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tebiz001\Desktop\jun\"/>
    </mc:Choice>
  </mc:AlternateContent>
  <xr:revisionPtr revIDLastSave="0" documentId="8_{7B30D72F-D82F-4913-8716-3C34F8C96B17}" xr6:coauthVersionLast="41" xr6:coauthVersionMax="41" xr10:uidLastSave="{00000000-0000-0000-0000-000000000000}"/>
  <bookViews>
    <workbookView xWindow="1920" yWindow="1920" windowWidth="17280" windowHeight="8964" xr2:uid="{A11FE742-BC87-46DE-8204-8167703F2EDE}"/>
  </bookViews>
  <sheets>
    <sheet name="취합_센터원본" sheetId="4" r:id="rId1"/>
    <sheet name="취합_지청별" sheetId="3" r:id="rId2"/>
    <sheet name="취합_청전체" sheetId="2" r:id="rId3"/>
    <sheet name="센터입력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D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3514" i="4"/>
  <c r="A3515" i="4"/>
  <c r="A3516" i="4"/>
  <c r="A3517" i="4"/>
  <c r="A3518" i="4"/>
  <c r="A3519" i="4"/>
  <c r="A3520" i="4"/>
  <c r="A3521" i="4"/>
  <c r="A3522" i="4"/>
  <c r="A3523" i="4"/>
  <c r="A3524" i="4"/>
  <c r="A3525" i="4"/>
  <c r="A3526" i="4"/>
  <c r="A3527" i="4"/>
  <c r="A3528" i="4"/>
  <c r="A3529" i="4"/>
  <c r="A3530" i="4"/>
  <c r="A3531" i="4"/>
  <c r="A3532" i="4"/>
  <c r="A3533" i="4"/>
  <c r="A3534" i="4"/>
  <c r="A3535" i="4"/>
  <c r="A3536" i="4"/>
  <c r="A3537" i="4"/>
  <c r="A3538" i="4"/>
  <c r="A3539" i="4"/>
  <c r="A3540" i="4"/>
  <c r="A3541" i="4"/>
  <c r="A3542" i="4"/>
  <c r="A3543" i="4"/>
  <c r="A3544" i="4"/>
  <c r="A3545" i="4"/>
  <c r="A3546" i="4"/>
  <c r="A3547" i="4"/>
  <c r="A3548" i="4"/>
  <c r="A3549" i="4"/>
  <c r="A3550" i="4"/>
  <c r="A3551" i="4"/>
  <c r="A3552" i="4"/>
  <c r="A3553" i="4"/>
  <c r="A3554" i="4"/>
  <c r="A3555" i="4"/>
  <c r="A3556" i="4"/>
  <c r="A3557" i="4"/>
  <c r="A3558" i="4"/>
  <c r="A3559" i="4"/>
  <c r="A3560" i="4"/>
  <c r="A3561" i="4"/>
  <c r="A3562" i="4"/>
  <c r="A3563" i="4"/>
  <c r="A3564" i="4"/>
  <c r="A3565" i="4"/>
  <c r="A3566" i="4"/>
  <c r="A3567" i="4"/>
  <c r="A3568" i="4"/>
  <c r="A3569" i="4"/>
  <c r="A3570" i="4"/>
  <c r="A3571" i="4"/>
  <c r="A3572" i="4"/>
  <c r="A3573" i="4"/>
  <c r="A3574" i="4"/>
  <c r="A3575" i="4"/>
  <c r="A3576" i="4"/>
  <c r="A3577" i="4"/>
  <c r="A3578" i="4"/>
  <c r="A3579" i="4"/>
  <c r="A3580" i="4"/>
  <c r="A3581" i="4"/>
  <c r="A3582" i="4"/>
  <c r="A3583" i="4"/>
  <c r="A3584" i="4"/>
  <c r="A3585" i="4"/>
  <c r="A3586" i="4"/>
  <c r="A3587" i="4"/>
  <c r="A3588" i="4"/>
  <c r="A3589" i="4"/>
  <c r="A3590" i="4"/>
  <c r="A3591" i="4"/>
  <c r="A3592" i="4"/>
  <c r="A3593" i="4"/>
  <c r="A3594" i="4"/>
  <c r="A3595" i="4"/>
  <c r="A3596" i="4"/>
  <c r="A3597" i="4"/>
  <c r="A3598" i="4"/>
  <c r="A3599" i="4"/>
  <c r="A3600" i="4"/>
  <c r="A3601" i="4"/>
  <c r="A3602" i="4"/>
  <c r="A3603" i="4"/>
  <c r="A3604" i="4"/>
  <c r="A3605" i="4"/>
  <c r="A3606" i="4"/>
  <c r="A3607" i="4"/>
  <c r="A3608" i="4"/>
  <c r="A3609" i="4"/>
  <c r="A3610" i="4"/>
  <c r="A3611" i="4"/>
  <c r="A3612" i="4"/>
  <c r="A3613" i="4"/>
  <c r="A3614" i="4"/>
  <c r="A3615" i="4"/>
  <c r="A3616" i="4"/>
  <c r="A3617" i="4"/>
  <c r="A3618" i="4"/>
  <c r="A3619" i="4"/>
  <c r="A3620" i="4"/>
  <c r="A3621" i="4"/>
  <c r="A3622" i="4"/>
  <c r="A3623" i="4"/>
  <c r="A3624" i="4"/>
  <c r="A3625" i="4"/>
  <c r="A3626" i="4"/>
  <c r="A3627" i="4"/>
  <c r="A3628" i="4"/>
  <c r="A3629" i="4"/>
  <c r="A3630" i="4"/>
  <c r="A3631" i="4"/>
  <c r="A3632" i="4"/>
  <c r="A3633" i="4"/>
  <c r="A3634" i="4"/>
  <c r="A3635" i="4"/>
  <c r="A3636" i="4"/>
  <c r="A3637" i="4"/>
  <c r="A3638" i="4"/>
  <c r="A3639" i="4"/>
  <c r="A3640" i="4"/>
  <c r="A3641" i="4"/>
  <c r="A3642" i="4"/>
  <c r="A3643" i="4"/>
  <c r="A3644" i="4"/>
  <c r="A3645" i="4"/>
  <c r="A3646" i="4"/>
  <c r="A3647" i="4"/>
  <c r="A3648" i="4"/>
  <c r="A3649" i="4"/>
  <c r="A3650" i="4"/>
  <c r="A3651" i="4"/>
  <c r="A3652" i="4"/>
  <c r="A3653" i="4"/>
  <c r="A3654" i="4"/>
  <c r="A3655" i="4"/>
  <c r="A3656" i="4"/>
  <c r="A3657" i="4"/>
  <c r="A3658" i="4"/>
  <c r="A3659" i="4"/>
  <c r="A3660" i="4"/>
  <c r="A3661" i="4"/>
  <c r="A3662" i="4"/>
  <c r="A3663" i="4"/>
  <c r="A3664" i="4"/>
  <c r="A3665" i="4"/>
  <c r="A3666" i="4"/>
  <c r="A3667" i="4"/>
  <c r="A3668" i="4"/>
  <c r="A3669" i="4"/>
  <c r="A3670" i="4"/>
  <c r="A3671" i="4"/>
  <c r="A3672" i="4"/>
  <c r="A3673" i="4"/>
  <c r="A3674" i="4"/>
  <c r="A3675" i="4"/>
  <c r="A3676" i="4"/>
  <c r="A3677" i="4"/>
  <c r="A3678" i="4"/>
  <c r="A3679" i="4"/>
  <c r="A3680" i="4"/>
  <c r="A3681" i="4"/>
  <c r="A3682" i="4"/>
  <c r="A3683" i="4"/>
  <c r="A3684" i="4"/>
  <c r="A3685" i="4"/>
  <c r="A3686" i="4"/>
  <c r="A3687" i="4"/>
  <c r="A3688" i="4"/>
  <c r="A3689" i="4"/>
  <c r="A3690" i="4"/>
  <c r="A3691" i="4"/>
  <c r="A3692" i="4"/>
  <c r="A3693" i="4"/>
  <c r="A3694" i="4"/>
  <c r="A3695" i="4"/>
  <c r="A3696" i="4"/>
  <c r="A3697" i="4"/>
  <c r="A3698" i="4"/>
  <c r="A3699" i="4"/>
  <c r="A3700" i="4"/>
  <c r="A3701" i="4"/>
  <c r="A3702" i="4"/>
  <c r="A3703" i="4"/>
  <c r="A3704" i="4"/>
  <c r="A3705" i="4"/>
  <c r="A3706" i="4"/>
  <c r="A3707" i="4"/>
  <c r="A3708" i="4"/>
  <c r="A3709" i="4"/>
  <c r="A3710" i="4"/>
  <c r="A3711" i="4"/>
  <c r="A3712" i="4"/>
  <c r="A3713" i="4"/>
  <c r="A3714" i="4"/>
  <c r="A3715" i="4"/>
  <c r="A3716" i="4"/>
  <c r="A3717" i="4"/>
  <c r="A3718" i="4"/>
  <c r="A3719" i="4"/>
  <c r="A3720" i="4"/>
  <c r="A3721" i="4"/>
  <c r="A3722" i="4"/>
  <c r="A3723" i="4"/>
  <c r="A3724" i="4"/>
  <c r="A3725" i="4"/>
  <c r="A3726" i="4"/>
  <c r="A3727" i="4"/>
  <c r="A3728" i="4"/>
  <c r="A3729" i="4"/>
  <c r="A3730" i="4"/>
  <c r="A3731" i="4"/>
  <c r="A3732" i="4"/>
  <c r="A3733" i="4"/>
  <c r="A3734" i="4"/>
  <c r="A3735" i="4"/>
  <c r="A3736" i="4"/>
  <c r="A3737" i="4"/>
  <c r="A3738" i="4"/>
  <c r="A3739" i="4"/>
  <c r="A3740" i="4"/>
  <c r="A3741" i="4"/>
  <c r="A3742" i="4"/>
  <c r="A3743" i="4"/>
  <c r="A3744" i="4"/>
  <c r="A3745" i="4"/>
  <c r="A3746" i="4"/>
  <c r="A3747" i="4"/>
  <c r="A3748" i="4"/>
  <c r="A3749" i="4"/>
  <c r="A3750" i="4"/>
  <c r="A3751" i="4"/>
  <c r="A3752" i="4"/>
  <c r="A3753" i="4"/>
  <c r="A3754" i="4"/>
  <c r="A3755" i="4"/>
  <c r="A3756" i="4"/>
  <c r="A3757" i="4"/>
  <c r="A3758" i="4"/>
  <c r="A3759" i="4"/>
  <c r="A3760" i="4"/>
  <c r="A3761" i="4"/>
  <c r="A3762" i="4"/>
  <c r="A3763" i="4"/>
  <c r="A3764" i="4"/>
  <c r="A3765" i="4"/>
  <c r="A3766" i="4"/>
  <c r="A3767" i="4"/>
  <c r="A3768" i="4"/>
  <c r="A3769" i="4"/>
  <c r="A3770" i="4"/>
  <c r="A3771" i="4"/>
  <c r="A3772" i="4"/>
  <c r="A3773" i="4"/>
  <c r="A3774" i="4"/>
  <c r="A3775" i="4"/>
  <c r="A3776" i="4"/>
  <c r="A3777" i="4"/>
  <c r="A3778" i="4"/>
  <c r="A3779" i="4"/>
  <c r="A3780" i="4"/>
  <c r="A3781" i="4"/>
  <c r="A3782" i="4"/>
  <c r="A3783" i="4"/>
  <c r="A3784" i="4"/>
  <c r="A3785" i="4"/>
  <c r="A3786" i="4"/>
  <c r="A3787" i="4"/>
  <c r="A3788" i="4"/>
  <c r="A3789" i="4"/>
  <c r="A3790" i="4"/>
  <c r="A3791" i="4"/>
  <c r="A3792" i="4"/>
  <c r="A3793" i="4"/>
  <c r="A3794" i="4"/>
  <c r="A3795" i="4"/>
  <c r="A3796" i="4"/>
  <c r="A3797" i="4"/>
  <c r="A3798" i="4"/>
  <c r="A3799" i="4"/>
  <c r="A3800" i="4"/>
  <c r="A3801" i="4"/>
  <c r="A3802" i="4"/>
  <c r="A3803" i="4"/>
  <c r="A3804" i="4"/>
  <c r="A3805" i="4"/>
  <c r="A3806" i="4"/>
  <c r="A3807" i="4"/>
  <c r="A3808" i="4"/>
  <c r="A3809" i="4"/>
  <c r="A3810" i="4"/>
  <c r="A3811" i="4"/>
  <c r="A3812" i="4"/>
  <c r="A3813" i="4"/>
  <c r="A3814" i="4"/>
  <c r="A3815" i="4"/>
  <c r="A3816" i="4"/>
  <c r="A3817" i="4"/>
  <c r="A3818" i="4"/>
  <c r="A3819" i="4"/>
  <c r="A3820" i="4"/>
  <c r="A3821" i="4"/>
  <c r="A3822" i="4"/>
  <c r="A3823" i="4"/>
  <c r="A3824" i="4"/>
  <c r="A3825" i="4"/>
  <c r="A3826" i="4"/>
  <c r="A3827" i="4"/>
  <c r="A3828" i="4"/>
  <c r="A3829" i="4"/>
  <c r="A3830" i="4"/>
  <c r="A3831" i="4"/>
  <c r="A3832" i="4"/>
  <c r="A3833" i="4"/>
  <c r="A3834" i="4"/>
  <c r="A3835" i="4"/>
  <c r="A3836" i="4"/>
  <c r="A3837" i="4"/>
  <c r="A3838" i="4"/>
  <c r="A3839" i="4"/>
  <c r="A3840" i="4"/>
  <c r="A3841" i="4"/>
  <c r="A3842" i="4"/>
  <c r="A3843" i="4"/>
  <c r="A3844" i="4"/>
  <c r="A3845" i="4"/>
  <c r="A3846" i="4"/>
  <c r="A3847" i="4"/>
  <c r="A3848" i="4"/>
  <c r="A3849" i="4"/>
  <c r="A3850" i="4"/>
  <c r="A3851" i="4"/>
  <c r="A3852" i="4"/>
  <c r="A3853" i="4"/>
  <c r="A3854" i="4"/>
  <c r="A3855" i="4"/>
  <c r="A3856" i="4"/>
  <c r="A3857" i="4"/>
  <c r="A3858" i="4"/>
  <c r="A3859" i="4"/>
  <c r="A3860" i="4"/>
  <c r="A3861" i="4"/>
  <c r="A3862" i="4"/>
  <c r="A3863" i="4"/>
  <c r="A3864" i="4"/>
  <c r="A3865" i="4"/>
  <c r="A3866" i="4"/>
  <c r="A3867" i="4"/>
  <c r="A3868" i="4"/>
  <c r="A3869" i="4"/>
  <c r="A3870" i="4"/>
  <c r="A3871" i="4"/>
  <c r="A3872" i="4"/>
  <c r="A3873" i="4"/>
  <c r="A3874" i="4"/>
  <c r="A3875" i="4"/>
  <c r="A3876" i="4"/>
  <c r="A3877" i="4"/>
  <c r="A3878" i="4"/>
  <c r="A3879" i="4"/>
  <c r="A3880" i="4"/>
  <c r="A3881" i="4"/>
  <c r="A3882" i="4"/>
  <c r="A3883" i="4"/>
  <c r="A3884" i="4"/>
  <c r="A3885" i="4"/>
  <c r="A3886" i="4"/>
  <c r="A3887" i="4"/>
  <c r="A3888" i="4"/>
  <c r="A3889" i="4"/>
  <c r="A3890" i="4"/>
  <c r="A3891" i="4"/>
  <c r="A3892" i="4"/>
  <c r="A3893" i="4"/>
  <c r="A3894" i="4"/>
  <c r="A3895" i="4"/>
  <c r="A3896" i="4"/>
  <c r="A3897" i="4"/>
  <c r="A3898" i="4"/>
  <c r="A3899" i="4"/>
  <c r="A3900" i="4"/>
  <c r="A3901" i="4"/>
  <c r="A3902" i="4"/>
  <c r="A3903" i="4"/>
  <c r="A3904" i="4"/>
  <c r="A3905" i="4"/>
  <c r="A3906" i="4"/>
  <c r="A3907" i="4"/>
  <c r="A3908" i="4"/>
  <c r="A3909" i="4"/>
  <c r="A3910" i="4"/>
  <c r="A3911" i="4"/>
  <c r="A3912" i="4"/>
  <c r="A3913" i="4"/>
  <c r="A3914" i="4"/>
  <c r="A3915" i="4"/>
  <c r="A3916" i="4"/>
  <c r="A3917" i="4"/>
  <c r="A3918" i="4"/>
  <c r="A3919" i="4"/>
  <c r="A3920" i="4"/>
  <c r="A3921" i="4"/>
  <c r="A3922" i="4"/>
  <c r="A3923" i="4"/>
  <c r="A3924" i="4"/>
  <c r="A3925" i="4"/>
  <c r="A3926" i="4"/>
  <c r="A3927" i="4"/>
  <c r="A3928" i="4"/>
  <c r="A3929" i="4"/>
  <c r="A3930" i="4"/>
  <c r="A3931" i="4"/>
  <c r="A3932" i="4"/>
  <c r="A3933" i="4"/>
  <c r="A3934" i="4"/>
  <c r="A3935" i="4"/>
  <c r="A3936" i="4"/>
  <c r="A3937" i="4"/>
  <c r="A3938" i="4"/>
  <c r="A3939" i="4"/>
  <c r="A3940" i="4"/>
  <c r="A3941" i="4"/>
  <c r="A3942" i="4"/>
  <c r="A3943" i="4"/>
  <c r="A3944" i="4"/>
  <c r="A3945" i="4"/>
  <c r="A3946" i="4"/>
  <c r="A3947" i="4"/>
  <c r="A3948" i="4"/>
  <c r="A3949" i="4"/>
  <c r="A3950" i="4"/>
  <c r="A3951" i="4"/>
  <c r="A3952" i="4"/>
  <c r="A3953" i="4"/>
  <c r="A3954" i="4"/>
  <c r="A3955" i="4"/>
  <c r="A3956" i="4"/>
  <c r="A3957" i="4"/>
  <c r="A3958" i="4"/>
  <c r="A3959" i="4"/>
  <c r="A3960" i="4"/>
  <c r="A3961" i="4"/>
  <c r="A3962" i="4"/>
  <c r="A3963" i="4"/>
  <c r="A3964" i="4"/>
  <c r="A3965" i="4"/>
  <c r="A3966" i="4"/>
  <c r="A3967" i="4"/>
  <c r="A3968" i="4"/>
  <c r="A3969" i="4"/>
  <c r="A3970" i="4"/>
  <c r="A3971" i="4"/>
  <c r="A3972" i="4"/>
  <c r="A3973" i="4"/>
  <c r="A3974" i="4"/>
  <c r="A3975" i="4"/>
  <c r="A3976" i="4"/>
  <c r="A3977" i="4"/>
  <c r="A3978" i="4"/>
  <c r="A3979" i="4"/>
  <c r="A3980" i="4"/>
  <c r="A3981" i="4"/>
  <c r="A3982" i="4"/>
  <c r="A3983" i="4"/>
  <c r="A3984" i="4"/>
  <c r="A3985" i="4"/>
  <c r="A3986" i="4"/>
  <c r="A3987" i="4"/>
  <c r="A3988" i="4"/>
  <c r="A3989" i="4"/>
  <c r="A3990" i="4"/>
  <c r="A3991" i="4"/>
  <c r="A3992" i="4"/>
  <c r="A3993" i="4"/>
  <c r="A3994" i="4"/>
  <c r="A3995" i="4"/>
  <c r="A3996" i="4"/>
  <c r="A3997" i="4"/>
  <c r="A3998" i="4"/>
  <c r="A3999" i="4"/>
  <c r="A4000" i="4"/>
  <c r="A4001" i="4"/>
  <c r="A4002" i="4"/>
  <c r="A4003" i="4"/>
  <c r="A4004" i="4"/>
  <c r="A4005" i="4"/>
  <c r="A4006" i="4"/>
  <c r="A4007" i="4"/>
  <c r="A4008" i="4"/>
  <c r="A4009" i="4"/>
  <c r="A4010" i="4"/>
  <c r="A4011" i="4"/>
  <c r="A4012" i="4"/>
  <c r="A4013" i="4"/>
  <c r="A4014" i="4"/>
  <c r="A4015" i="4"/>
  <c r="A4016" i="4"/>
  <c r="A4017" i="4"/>
  <c r="A4018" i="4"/>
  <c r="A4019" i="4"/>
  <c r="A4020" i="4"/>
  <c r="A4021" i="4"/>
  <c r="A4022" i="4"/>
  <c r="A4023" i="4"/>
  <c r="A4024" i="4"/>
  <c r="A4025" i="4"/>
  <c r="A4026" i="4"/>
  <c r="A4027" i="4"/>
  <c r="A4028" i="4"/>
  <c r="A4029" i="4"/>
  <c r="A4030" i="4"/>
  <c r="A4031" i="4"/>
  <c r="A4032" i="4"/>
  <c r="A4033" i="4"/>
  <c r="A4034" i="4"/>
  <c r="A4035" i="4"/>
  <c r="A4036" i="4"/>
  <c r="A4037" i="4"/>
  <c r="A4038" i="4"/>
  <c r="A4039" i="4"/>
  <c r="A4040" i="4"/>
  <c r="A4041" i="4"/>
  <c r="A4042" i="4"/>
  <c r="A4043" i="4"/>
  <c r="A4044" i="4"/>
  <c r="A4045" i="4"/>
  <c r="A4046" i="4"/>
  <c r="A4047" i="4"/>
  <c r="A4048" i="4"/>
  <c r="A4049" i="4"/>
  <c r="A4050" i="4"/>
  <c r="A4051" i="4"/>
  <c r="A4052" i="4"/>
  <c r="A4053" i="4"/>
  <c r="A4054" i="4"/>
  <c r="A4055" i="4"/>
  <c r="A4056" i="4"/>
  <c r="A4057" i="4"/>
  <c r="A4058" i="4"/>
  <c r="A4059" i="4"/>
  <c r="A4060" i="4"/>
  <c r="A4061" i="4"/>
  <c r="A4062" i="4"/>
  <c r="A4063" i="4"/>
  <c r="A4064" i="4"/>
  <c r="A4065" i="4"/>
  <c r="A4066" i="4"/>
  <c r="A4067" i="4"/>
  <c r="A4068" i="4"/>
  <c r="A4069" i="4"/>
  <c r="A4070" i="4"/>
  <c r="A4071" i="4"/>
  <c r="A4072" i="4"/>
  <c r="A4073" i="4"/>
  <c r="A4074" i="4"/>
  <c r="A4075" i="4"/>
  <c r="A4076" i="4"/>
  <c r="A4077" i="4"/>
  <c r="A4078" i="4"/>
  <c r="A4079" i="4"/>
  <c r="A4080" i="4"/>
  <c r="A4081" i="4"/>
  <c r="A4082" i="4"/>
  <c r="A4083" i="4"/>
  <c r="A4084" i="4"/>
  <c r="A4085" i="4"/>
  <c r="A4086" i="4"/>
  <c r="A4087" i="4"/>
  <c r="A4088" i="4"/>
  <c r="A4089" i="4"/>
  <c r="A4090" i="4"/>
  <c r="A4091" i="4"/>
  <c r="A4092" i="4"/>
  <c r="A4093" i="4"/>
  <c r="A4094" i="4"/>
  <c r="A4095" i="4"/>
  <c r="A4096" i="4"/>
  <c r="A4097" i="4"/>
  <c r="A4098" i="4"/>
  <c r="A4099" i="4"/>
  <c r="A4100" i="4"/>
  <c r="A4101" i="4"/>
  <c r="A4102" i="4"/>
  <c r="A4103" i="4"/>
  <c r="A4104" i="4"/>
  <c r="A4105" i="4"/>
  <c r="A4106" i="4"/>
  <c r="A4107" i="4"/>
  <c r="A4108" i="4"/>
  <c r="A4109" i="4"/>
  <c r="A4110" i="4"/>
  <c r="A4111" i="4"/>
  <c r="A4112" i="4"/>
  <c r="A4113" i="4"/>
  <c r="A4114" i="4"/>
  <c r="A4115" i="4"/>
  <c r="A4116" i="4"/>
  <c r="A4117" i="4"/>
  <c r="A4118" i="4"/>
  <c r="A4119" i="4"/>
  <c r="A4120" i="4"/>
  <c r="A4121" i="4"/>
  <c r="A4122" i="4"/>
  <c r="A4123" i="4"/>
  <c r="A4124" i="4"/>
  <c r="A4125" i="4"/>
  <c r="A4126" i="4"/>
  <c r="A4127" i="4"/>
  <c r="A4128" i="4"/>
  <c r="A4129" i="4"/>
  <c r="A4130" i="4"/>
  <c r="A4131" i="4"/>
  <c r="A4132" i="4"/>
  <c r="A4133" i="4"/>
  <c r="A4134" i="4"/>
  <c r="A4135" i="4"/>
  <c r="A4136" i="4"/>
  <c r="A4137" i="4"/>
  <c r="A4138" i="4"/>
  <c r="A4139" i="4"/>
  <c r="A4140" i="4"/>
  <c r="A4141" i="4"/>
  <c r="A4142" i="4"/>
  <c r="A4143" i="4"/>
  <c r="A4144" i="4"/>
  <c r="A4145" i="4"/>
  <c r="A4146" i="4"/>
  <c r="A4147" i="4"/>
  <c r="A4148" i="4"/>
  <c r="A4149" i="4"/>
  <c r="A4150" i="4"/>
  <c r="A4151" i="4"/>
  <c r="A4152" i="4"/>
  <c r="A4153" i="4"/>
  <c r="A4154" i="4"/>
  <c r="A4155" i="4"/>
  <c r="A4156" i="4"/>
  <c r="A4157" i="4"/>
  <c r="A4158" i="4"/>
  <c r="A4159" i="4"/>
  <c r="A4160" i="4"/>
  <c r="A4161" i="4"/>
  <c r="A4162" i="4"/>
  <c r="A4163" i="4"/>
  <c r="A4164" i="4"/>
  <c r="A4165" i="4"/>
  <c r="A4166" i="4"/>
  <c r="A4167" i="4"/>
  <c r="A4168" i="4"/>
  <c r="A4169" i="4"/>
  <c r="A4170" i="4"/>
  <c r="A4171" i="4"/>
  <c r="A4172" i="4"/>
  <c r="A4173" i="4"/>
  <c r="A4174" i="4"/>
  <c r="A4175" i="4"/>
  <c r="A4176" i="4"/>
  <c r="A4177" i="4"/>
  <c r="A4178" i="4"/>
  <c r="A4179" i="4"/>
  <c r="A4180" i="4"/>
  <c r="A4181" i="4"/>
  <c r="A4182" i="4"/>
  <c r="A4183" i="4"/>
  <c r="A4184" i="4"/>
  <c r="A4185" i="4"/>
  <c r="A4186" i="4"/>
  <c r="A4187" i="4"/>
  <c r="A4188" i="4"/>
  <c r="A4189" i="4"/>
  <c r="A4190" i="4"/>
  <c r="A4191" i="4"/>
  <c r="A4192" i="4"/>
  <c r="A4193" i="4"/>
  <c r="A4194" i="4"/>
  <c r="A4195" i="4"/>
  <c r="A4196" i="4"/>
  <c r="A4197" i="4"/>
  <c r="A4198" i="4"/>
  <c r="A4199" i="4"/>
  <c r="A4200" i="4"/>
  <c r="A4201" i="4"/>
  <c r="A4202" i="4"/>
  <c r="A4203" i="4"/>
  <c r="A4204" i="4"/>
  <c r="A4205" i="4"/>
  <c r="A4206" i="4"/>
  <c r="A4207" i="4"/>
  <c r="A4208" i="4"/>
  <c r="A4209" i="4"/>
  <c r="A4210" i="4"/>
  <c r="A4211" i="4"/>
  <c r="A4212" i="4"/>
  <c r="A4213" i="4"/>
  <c r="A4214" i="4"/>
  <c r="A4215" i="4"/>
  <c r="A4216" i="4"/>
  <c r="A4217" i="4"/>
  <c r="A4218" i="4"/>
  <c r="A4219" i="4"/>
  <c r="A4220" i="4"/>
  <c r="A4221" i="4"/>
  <c r="A4222" i="4"/>
  <c r="A4223" i="4"/>
  <c r="A4224" i="4"/>
  <c r="A4225" i="4"/>
  <c r="A4226" i="4"/>
  <c r="A4227" i="4"/>
  <c r="A4228" i="4"/>
  <c r="A4229" i="4"/>
  <c r="A4230" i="4"/>
  <c r="A4231" i="4"/>
  <c r="A4232" i="4"/>
  <c r="A4233" i="4"/>
  <c r="A4234" i="4"/>
  <c r="A4235" i="4"/>
  <c r="A4236" i="4"/>
  <c r="A4237" i="4"/>
  <c r="A4238" i="4"/>
  <c r="A4239" i="4"/>
  <c r="A4240" i="4"/>
  <c r="A4241" i="4"/>
  <c r="A4242" i="4"/>
  <c r="A4243" i="4"/>
  <c r="A4244" i="4"/>
  <c r="A4245" i="4"/>
  <c r="A4246" i="4"/>
  <c r="A4247" i="4"/>
  <c r="A4248" i="4"/>
  <c r="A4249" i="4"/>
  <c r="A4250" i="4"/>
  <c r="A4251" i="4"/>
  <c r="A4252" i="4"/>
  <c r="A4253" i="4"/>
  <c r="A4254" i="4"/>
  <c r="A4255" i="4"/>
  <c r="A4256" i="4"/>
  <c r="A4257" i="4"/>
  <c r="A4258" i="4"/>
  <c r="A4259" i="4"/>
  <c r="A4260" i="4"/>
  <c r="A4261" i="4"/>
  <c r="A4262" i="4"/>
  <c r="A4263" i="4"/>
  <c r="A4264" i="4"/>
  <c r="A4265" i="4"/>
  <c r="A4266" i="4"/>
  <c r="A4267" i="4"/>
  <c r="A4268" i="4"/>
  <c r="A4269" i="4"/>
  <c r="A4270" i="4"/>
  <c r="A4271" i="4"/>
  <c r="A4272" i="4"/>
  <c r="A4273" i="4"/>
  <c r="A4274" i="4"/>
  <c r="A4275" i="4"/>
  <c r="A4276" i="4"/>
  <c r="A4277" i="4"/>
  <c r="A4278" i="4"/>
  <c r="A4279" i="4"/>
  <c r="A4280" i="4"/>
  <c r="A4281" i="4"/>
  <c r="A4282" i="4"/>
  <c r="A4283" i="4"/>
  <c r="A4284" i="4"/>
  <c r="A4285" i="4"/>
  <c r="A4286" i="4"/>
  <c r="A4287" i="4"/>
  <c r="A4288" i="4"/>
  <c r="A4289" i="4"/>
  <c r="A4290" i="4"/>
  <c r="A4291" i="4"/>
  <c r="A4292" i="4"/>
  <c r="A4293" i="4"/>
  <c r="A4294" i="4"/>
  <c r="A4295" i="4"/>
  <c r="A4296" i="4"/>
  <c r="A4297" i="4"/>
  <c r="A4298" i="4"/>
  <c r="A4299" i="4"/>
  <c r="A4300" i="4"/>
  <c r="A4301" i="4"/>
  <c r="A4302" i="4"/>
  <c r="A4303" i="4"/>
  <c r="A4304" i="4"/>
  <c r="A4305" i="4"/>
  <c r="A4306" i="4"/>
  <c r="A4307" i="4"/>
  <c r="A4308" i="4"/>
  <c r="A4309" i="4"/>
  <c r="A4310" i="4"/>
  <c r="A4311" i="4"/>
  <c r="A4312" i="4"/>
  <c r="A4313" i="4"/>
  <c r="A4314" i="4"/>
  <c r="A4315" i="4"/>
  <c r="A4316" i="4"/>
  <c r="A4317" i="4"/>
  <c r="A4318" i="4"/>
  <c r="A4319" i="4"/>
  <c r="A4320" i="4"/>
  <c r="A4321" i="4"/>
  <c r="A4322" i="4"/>
  <c r="A4323" i="4"/>
  <c r="A4324" i="4"/>
  <c r="A4325" i="4"/>
  <c r="A4326" i="4"/>
  <c r="A4327" i="4"/>
  <c r="A4328" i="4"/>
  <c r="A4329" i="4"/>
  <c r="A4330" i="4"/>
  <c r="A4331" i="4"/>
  <c r="A4332" i="4"/>
  <c r="A4333" i="4"/>
  <c r="A4334" i="4"/>
  <c r="A4335" i="4"/>
  <c r="A4336" i="4"/>
  <c r="A4337" i="4"/>
  <c r="A4338" i="4"/>
  <c r="A4339" i="4"/>
  <c r="A4340" i="4"/>
  <c r="A4341" i="4"/>
  <c r="A4342" i="4"/>
  <c r="A4343" i="4"/>
  <c r="A4344" i="4"/>
  <c r="A4345" i="4"/>
  <c r="A4346" i="4"/>
  <c r="A4347" i="4"/>
  <c r="A4348" i="4"/>
  <c r="A4349" i="4"/>
  <c r="A4350" i="4"/>
  <c r="A4351" i="4"/>
  <c r="A4352" i="4"/>
  <c r="A4353" i="4"/>
  <c r="A4354" i="4"/>
  <c r="A4355" i="4"/>
  <c r="A4356" i="4"/>
  <c r="A4357" i="4"/>
  <c r="A4358" i="4"/>
  <c r="A4359" i="4"/>
  <c r="A4360" i="4"/>
  <c r="A4361" i="4"/>
  <c r="A4362" i="4"/>
  <c r="A4363" i="4"/>
  <c r="A4364" i="4"/>
  <c r="A4365" i="4"/>
  <c r="A4366" i="4"/>
  <c r="A4367" i="4"/>
  <c r="A4368" i="4"/>
  <c r="A4369" i="4"/>
  <c r="A4370" i="4"/>
  <c r="A4371" i="4"/>
  <c r="A4372" i="4"/>
  <c r="A4373" i="4"/>
  <c r="A4374" i="4"/>
  <c r="A4375" i="4"/>
  <c r="A4376" i="4"/>
  <c r="A4377" i="4"/>
  <c r="A4378" i="4"/>
  <c r="A4379" i="4"/>
  <c r="A4380" i="4"/>
  <c r="A4381" i="4"/>
  <c r="A4382" i="4"/>
  <c r="A4383" i="4"/>
  <c r="A4384" i="4"/>
  <c r="A4385" i="4"/>
  <c r="A4386" i="4"/>
  <c r="A4387" i="4"/>
  <c r="A4388" i="4"/>
  <c r="A4389" i="4"/>
  <c r="A4390" i="4"/>
  <c r="A4391" i="4"/>
  <c r="A4392" i="4"/>
  <c r="A4393" i="4"/>
  <c r="A4394" i="4"/>
  <c r="A4395" i="4"/>
  <c r="A4396" i="4"/>
  <c r="A4397" i="4"/>
  <c r="A4398" i="4"/>
  <c r="A4399" i="4"/>
  <c r="A4400" i="4"/>
  <c r="A4401" i="4"/>
  <c r="A4402" i="4"/>
  <c r="A4403" i="4"/>
  <c r="A4404" i="4"/>
  <c r="A4405" i="4"/>
  <c r="A4406" i="4"/>
  <c r="A4407" i="4"/>
  <c r="A4408" i="4"/>
  <c r="A4409" i="4"/>
  <c r="A4410" i="4"/>
  <c r="A4411" i="4"/>
  <c r="A4412" i="4"/>
  <c r="A4413" i="4"/>
  <c r="A4414" i="4"/>
  <c r="A4415" i="4"/>
  <c r="A4416" i="4"/>
  <c r="A4417" i="4"/>
  <c r="A4418" i="4"/>
  <c r="A4419" i="4"/>
  <c r="A4420" i="4"/>
  <c r="A4421" i="4"/>
  <c r="A4422" i="4"/>
  <c r="A4423" i="4"/>
  <c r="A4424" i="4"/>
  <c r="A4425" i="4"/>
  <c r="A4426" i="4"/>
  <c r="A4427" i="4"/>
  <c r="A4428" i="4"/>
  <c r="A4429" i="4"/>
  <c r="A4430" i="4"/>
  <c r="A4431" i="4"/>
  <c r="A4432" i="4"/>
  <c r="A4433" i="4"/>
  <c r="A4434" i="4"/>
  <c r="A4435" i="4"/>
  <c r="A4436" i="4"/>
  <c r="A4437" i="4"/>
  <c r="A4438" i="4"/>
  <c r="A4439" i="4"/>
  <c r="A4440" i="4"/>
  <c r="A4441" i="4"/>
  <c r="A4442" i="4"/>
  <c r="A4443" i="4"/>
  <c r="A4444" i="4"/>
  <c r="A4445" i="4"/>
  <c r="A4446" i="4"/>
  <c r="A4447" i="4"/>
  <c r="A4448" i="4"/>
  <c r="A4449" i="4"/>
  <c r="A4450" i="4"/>
  <c r="A4451" i="4"/>
  <c r="A4452" i="4"/>
  <c r="A4453" i="4"/>
  <c r="A4454" i="4"/>
  <c r="A4455" i="4"/>
  <c r="A4456" i="4"/>
  <c r="A4457" i="4"/>
  <c r="A4458" i="4"/>
  <c r="A4459" i="4"/>
  <c r="A4460" i="4"/>
  <c r="A4461" i="4"/>
  <c r="A4462" i="4"/>
  <c r="A4463" i="4"/>
  <c r="A4464" i="4"/>
  <c r="A4465" i="4"/>
  <c r="A4466" i="4"/>
  <c r="A4467" i="4"/>
  <c r="A4468" i="4"/>
  <c r="A4469" i="4"/>
  <c r="A4470" i="4"/>
  <c r="A4471" i="4"/>
  <c r="A4472" i="4"/>
  <c r="A4473" i="4"/>
  <c r="A4474" i="4"/>
  <c r="A4475" i="4"/>
  <c r="A4476" i="4"/>
  <c r="A4477" i="4"/>
  <c r="A4478" i="4"/>
  <c r="A4479" i="4"/>
  <c r="A4480" i="4"/>
  <c r="A4481" i="4"/>
  <c r="A4482" i="4"/>
  <c r="A4483" i="4"/>
  <c r="A4484" i="4"/>
  <c r="A4485" i="4"/>
  <c r="A4486" i="4"/>
  <c r="A4487" i="4"/>
  <c r="A4488" i="4"/>
  <c r="A4489" i="4"/>
  <c r="A4490" i="4"/>
  <c r="A4491" i="4"/>
  <c r="A4492" i="4"/>
  <c r="A4493" i="4"/>
  <c r="A4494" i="4"/>
  <c r="A4495" i="4"/>
  <c r="A4496" i="4"/>
  <c r="A4497" i="4"/>
  <c r="A4498" i="4"/>
  <c r="A4499" i="4"/>
  <c r="A4500" i="4"/>
  <c r="A4501" i="4"/>
  <c r="A4502" i="4"/>
  <c r="A4503" i="4"/>
  <c r="A4504" i="4"/>
  <c r="A4505" i="4"/>
  <c r="A4506" i="4"/>
  <c r="A4507" i="4"/>
  <c r="A4508" i="4"/>
  <c r="A4509" i="4"/>
  <c r="A4510" i="4"/>
  <c r="A4511" i="4"/>
  <c r="A4512" i="4"/>
  <c r="A4513" i="4"/>
  <c r="A4514" i="4"/>
  <c r="A4515" i="4"/>
  <c r="A4516" i="4"/>
  <c r="A4517" i="4"/>
  <c r="A4518" i="4"/>
  <c r="A4519" i="4"/>
  <c r="A4520" i="4"/>
  <c r="A4521" i="4"/>
  <c r="A4522" i="4"/>
  <c r="A4523" i="4"/>
  <c r="A4524" i="4"/>
  <c r="A4525" i="4"/>
  <c r="A4526" i="4"/>
  <c r="A4527" i="4"/>
  <c r="A4528" i="4"/>
  <c r="A4529" i="4"/>
  <c r="A4530" i="4"/>
  <c r="A4531" i="4"/>
  <c r="A4532" i="4"/>
  <c r="A4533" i="4"/>
  <c r="A4534" i="4"/>
  <c r="A4535" i="4"/>
  <c r="A4536" i="4"/>
  <c r="A4537" i="4"/>
  <c r="A4538" i="4"/>
  <c r="A4539" i="4"/>
  <c r="A4540" i="4"/>
  <c r="A4541" i="4"/>
  <c r="A4542" i="4"/>
  <c r="A4543" i="4"/>
  <c r="A4544" i="4"/>
  <c r="A4545" i="4"/>
  <c r="A4546" i="4"/>
  <c r="A4547" i="4"/>
  <c r="A4548" i="4"/>
  <c r="A4549" i="4"/>
  <c r="A4550" i="4"/>
  <c r="A4551" i="4"/>
  <c r="A4552" i="4"/>
  <c r="A4553" i="4"/>
  <c r="A4554" i="4"/>
  <c r="A4555" i="4"/>
  <c r="A4556" i="4"/>
  <c r="A4557" i="4"/>
  <c r="A4558" i="4"/>
  <c r="A4559" i="4"/>
  <c r="A4560" i="4"/>
  <c r="A4561" i="4"/>
  <c r="A4562" i="4"/>
  <c r="A4563" i="4"/>
  <c r="A4564" i="4"/>
  <c r="A4565" i="4"/>
  <c r="A4566" i="4"/>
  <c r="A4567" i="4"/>
  <c r="A4568" i="4"/>
  <c r="A4569" i="4"/>
  <c r="A4570" i="4"/>
  <c r="A4571" i="4"/>
  <c r="A4572" i="4"/>
  <c r="A4573" i="4"/>
  <c r="A4574" i="4"/>
  <c r="A4575" i="4"/>
  <c r="A4576" i="4"/>
  <c r="A4577" i="4"/>
  <c r="A4578" i="4"/>
  <c r="A4579" i="4"/>
  <c r="A4580" i="4"/>
  <c r="A4581" i="4"/>
  <c r="A4582" i="4"/>
  <c r="A4583" i="4"/>
  <c r="A4584" i="4"/>
  <c r="A4585" i="4"/>
  <c r="A4586" i="4"/>
  <c r="A4587" i="4"/>
  <c r="A4588" i="4"/>
  <c r="A4589" i="4"/>
  <c r="A4590" i="4"/>
  <c r="A4591" i="4"/>
  <c r="A4592" i="4"/>
  <c r="A4593" i="4"/>
  <c r="A4594" i="4"/>
  <c r="A4595" i="4"/>
  <c r="A4596" i="4"/>
  <c r="A4597" i="4"/>
  <c r="A4598" i="4"/>
  <c r="A4599" i="4"/>
  <c r="A4600" i="4"/>
  <c r="A4601" i="4"/>
  <c r="A4602" i="4"/>
  <c r="A4603" i="4"/>
  <c r="A4604" i="4"/>
  <c r="A4605" i="4"/>
  <c r="A4606" i="4"/>
  <c r="A4607" i="4"/>
  <c r="A4608" i="4"/>
  <c r="A4609" i="4"/>
  <c r="A4610" i="4"/>
  <c r="A4611" i="4"/>
  <c r="A4612" i="4"/>
  <c r="A4613" i="4"/>
  <c r="A4614" i="4"/>
  <c r="A4615" i="4"/>
  <c r="A4616" i="4"/>
  <c r="A4617" i="4"/>
  <c r="A4618" i="4"/>
  <c r="A4619" i="4"/>
  <c r="A4620" i="4"/>
  <c r="A4621" i="4"/>
  <c r="A4622" i="4"/>
  <c r="A4623" i="4"/>
  <c r="A4624" i="4"/>
  <c r="A4625" i="4"/>
  <c r="A4626" i="4"/>
  <c r="A4627" i="4"/>
  <c r="A4628" i="4"/>
  <c r="A4629" i="4"/>
  <c r="A4630" i="4"/>
  <c r="A4631" i="4"/>
  <c r="A4632" i="4"/>
  <c r="A4633" i="4"/>
  <c r="A4634" i="4"/>
  <c r="A4635" i="4"/>
  <c r="A4636" i="4"/>
  <c r="A4637" i="4"/>
  <c r="A4638" i="4"/>
  <c r="A4639" i="4"/>
  <c r="A4640" i="4"/>
  <c r="A4641" i="4"/>
  <c r="A4642" i="4"/>
  <c r="A4643" i="4"/>
  <c r="A4644" i="4"/>
  <c r="A4645" i="4"/>
  <c r="A4646" i="4"/>
  <c r="A4647" i="4"/>
  <c r="A4648" i="4"/>
  <c r="A4649" i="4"/>
  <c r="A4650" i="4"/>
  <c r="A4651" i="4"/>
  <c r="A4652" i="4"/>
  <c r="A4653" i="4"/>
  <c r="A4654" i="4"/>
  <c r="A4655" i="4"/>
  <c r="A4656" i="4"/>
  <c r="A4657" i="4"/>
  <c r="A4658" i="4"/>
  <c r="A4659" i="4"/>
  <c r="A4660" i="4"/>
  <c r="A4661" i="4"/>
  <c r="A4662" i="4"/>
  <c r="A4663" i="4"/>
  <c r="A4664" i="4"/>
  <c r="A4665" i="4"/>
  <c r="A4666" i="4"/>
  <c r="A4667" i="4"/>
  <c r="A4668" i="4"/>
  <c r="A4669" i="4"/>
  <c r="A4670" i="4"/>
  <c r="A4671" i="4"/>
  <c r="A4672" i="4"/>
  <c r="A4673" i="4"/>
  <c r="A4674" i="4"/>
  <c r="A4675" i="4"/>
  <c r="A4676" i="4"/>
  <c r="A4677" i="4"/>
  <c r="A4678" i="4"/>
  <c r="A4679" i="4"/>
  <c r="A4680" i="4"/>
  <c r="A4681" i="4"/>
  <c r="A4682" i="4"/>
  <c r="A4683" i="4"/>
  <c r="A4684" i="4"/>
  <c r="A4685" i="4"/>
  <c r="A4686" i="4"/>
  <c r="A4687" i="4"/>
  <c r="A4688" i="4"/>
  <c r="A4689" i="4"/>
  <c r="A4690" i="4"/>
  <c r="A4691" i="4"/>
  <c r="A4692" i="4"/>
  <c r="A4693" i="4"/>
  <c r="A4694" i="4"/>
  <c r="A4695" i="4"/>
  <c r="A4696" i="4"/>
  <c r="A4697" i="4"/>
  <c r="A4698" i="4"/>
  <c r="A4699" i="4"/>
  <c r="A4700" i="4"/>
  <c r="A4701" i="4"/>
  <c r="A4702" i="4"/>
  <c r="A4703" i="4"/>
  <c r="A4704" i="4"/>
  <c r="A4705" i="4"/>
  <c r="A4706" i="4"/>
  <c r="A4707" i="4"/>
  <c r="A4708" i="4"/>
  <c r="A4709" i="4"/>
  <c r="A4710" i="4"/>
  <c r="A4711" i="4"/>
  <c r="A4712" i="4"/>
  <c r="A4713" i="4"/>
  <c r="A4714" i="4"/>
  <c r="A4715" i="4"/>
  <c r="A4716" i="4"/>
  <c r="A4717" i="4"/>
  <c r="A4718" i="4"/>
  <c r="A4719" i="4"/>
  <c r="A4720" i="4"/>
  <c r="A4721" i="4"/>
  <c r="A4722" i="4"/>
  <c r="A4723" i="4"/>
  <c r="A4724" i="4"/>
  <c r="A4725" i="4"/>
  <c r="A4726" i="4"/>
  <c r="A4727" i="4"/>
  <c r="A4728" i="4"/>
  <c r="A4729" i="4"/>
  <c r="A4730" i="4"/>
  <c r="A4731" i="4"/>
  <c r="A4732" i="4"/>
  <c r="A4733" i="4"/>
  <c r="A4734" i="4"/>
  <c r="A4735" i="4"/>
  <c r="A4736" i="4"/>
  <c r="A4737" i="4"/>
  <c r="A4738" i="4"/>
  <c r="A4739" i="4"/>
  <c r="A4740" i="4"/>
  <c r="A4741" i="4"/>
  <c r="A4742" i="4"/>
  <c r="A4743" i="4"/>
  <c r="A4744" i="4"/>
  <c r="A4745" i="4"/>
  <c r="A4746" i="4"/>
  <c r="A4747" i="4"/>
  <c r="A4748" i="4"/>
  <c r="A4749" i="4"/>
  <c r="A4750" i="4"/>
  <c r="A4751" i="4"/>
  <c r="A4752" i="4"/>
  <c r="A4753" i="4"/>
  <c r="A4754" i="4"/>
  <c r="A4755" i="4"/>
  <c r="A4756" i="4"/>
  <c r="A4757" i="4"/>
  <c r="A4758" i="4"/>
  <c r="A4759" i="4"/>
  <c r="A4760" i="4"/>
  <c r="A4761" i="4"/>
  <c r="A4762" i="4"/>
  <c r="A4763" i="4"/>
  <c r="A4764" i="4"/>
  <c r="A4765" i="4"/>
  <c r="A4766" i="4"/>
  <c r="A4767" i="4"/>
  <c r="A4768" i="4"/>
  <c r="A4769" i="4"/>
  <c r="A4770" i="4"/>
  <c r="A4771" i="4"/>
  <c r="A4772" i="4"/>
  <c r="A4773" i="4"/>
  <c r="A4774" i="4"/>
  <c r="A4775" i="4"/>
  <c r="A4776" i="4"/>
  <c r="A4777" i="4"/>
  <c r="A4778" i="4"/>
  <c r="A4779" i="4"/>
  <c r="A4780" i="4"/>
  <c r="A4781" i="4"/>
  <c r="A4782" i="4"/>
  <c r="A4783" i="4"/>
  <c r="A4784" i="4"/>
  <c r="A4785" i="4"/>
  <c r="A4786" i="4"/>
  <c r="A4787" i="4"/>
  <c r="A4788" i="4"/>
  <c r="A4789" i="4"/>
  <c r="A4790" i="4"/>
  <c r="A4791" i="4"/>
  <c r="A4792" i="4"/>
  <c r="A4793" i="4"/>
  <c r="A4794" i="4"/>
  <c r="A4795" i="4"/>
  <c r="A4796" i="4"/>
  <c r="A4797" i="4"/>
  <c r="A4798" i="4"/>
  <c r="A4799" i="4"/>
  <c r="A4800" i="4"/>
  <c r="A4801" i="4"/>
  <c r="A4802" i="4"/>
  <c r="A4803" i="4"/>
  <c r="A4804" i="4"/>
  <c r="A4805" i="4"/>
  <c r="A4806" i="4"/>
  <c r="A4807" i="4"/>
  <c r="A4808" i="4"/>
  <c r="A4809" i="4"/>
  <c r="A4810" i="4"/>
  <c r="A4811" i="4"/>
  <c r="A4812" i="4"/>
  <c r="A4813" i="4"/>
  <c r="A4814" i="4"/>
  <c r="A4815" i="4"/>
  <c r="A4816" i="4"/>
  <c r="A4817" i="4"/>
  <c r="A4818" i="4"/>
  <c r="A4819" i="4"/>
  <c r="A4820" i="4"/>
  <c r="A4821" i="4"/>
  <c r="A4822" i="4"/>
  <c r="A4823" i="4"/>
  <c r="A4824" i="4"/>
  <c r="A4825" i="4"/>
  <c r="A4826" i="4"/>
  <c r="A4827" i="4"/>
  <c r="A4828" i="4"/>
  <c r="A4829" i="4"/>
  <c r="A4830" i="4"/>
  <c r="A4831" i="4"/>
  <c r="A4832" i="4"/>
  <c r="A4833" i="4"/>
  <c r="A4834" i="4"/>
  <c r="A4835" i="4"/>
  <c r="A4836" i="4"/>
  <c r="A4837" i="4"/>
  <c r="A4838" i="4"/>
  <c r="A4839" i="4"/>
  <c r="A4840" i="4"/>
  <c r="A4841" i="4"/>
  <c r="A4842" i="4"/>
  <c r="A4843" i="4"/>
  <c r="A4844" i="4"/>
  <c r="A4845" i="4"/>
  <c r="A4846" i="4"/>
  <c r="A4847" i="4"/>
  <c r="A4848" i="4"/>
  <c r="A4849" i="4"/>
  <c r="A4850" i="4"/>
  <c r="A4851" i="4"/>
  <c r="A4852" i="4"/>
  <c r="A4853" i="4"/>
  <c r="A4854" i="4"/>
  <c r="A4855" i="4"/>
  <c r="A4856" i="4"/>
  <c r="A4857" i="4"/>
  <c r="A4858" i="4"/>
  <c r="A4859" i="4"/>
  <c r="A4860" i="4"/>
  <c r="A4861" i="4"/>
  <c r="A4862" i="4"/>
  <c r="A4863" i="4"/>
  <c r="A4864" i="4"/>
  <c r="A4865" i="4"/>
  <c r="A4866" i="4"/>
  <c r="A4867" i="4"/>
  <c r="A4868" i="4"/>
  <c r="A4869" i="4"/>
  <c r="A4870" i="4"/>
  <c r="A4871" i="4"/>
  <c r="A4872" i="4"/>
  <c r="A4873" i="4"/>
  <c r="A4874" i="4"/>
  <c r="A4875" i="4"/>
  <c r="A4876" i="4"/>
  <c r="A4877" i="4"/>
  <c r="A4878" i="4"/>
  <c r="A4879" i="4"/>
  <c r="A4880" i="4"/>
  <c r="A4881" i="4"/>
  <c r="A4882" i="4"/>
  <c r="A4883" i="4"/>
  <c r="A4884" i="4"/>
  <c r="A4885" i="4"/>
  <c r="A4886" i="4"/>
  <c r="A4887" i="4"/>
  <c r="A4888" i="4"/>
  <c r="A4889" i="4"/>
  <c r="A4890" i="4"/>
  <c r="A4891" i="4"/>
  <c r="A4892" i="4"/>
  <c r="A4893" i="4"/>
  <c r="A4894" i="4"/>
  <c r="A4895" i="4"/>
  <c r="A4896" i="4"/>
  <c r="A4897" i="4"/>
  <c r="A4898" i="4"/>
  <c r="A4899" i="4"/>
  <c r="A4900" i="4"/>
  <c r="A4901" i="4"/>
  <c r="A4902" i="4"/>
  <c r="A4903" i="4"/>
  <c r="A4904" i="4"/>
  <c r="A4905" i="4"/>
  <c r="A4906" i="4"/>
  <c r="A4907" i="4"/>
  <c r="A4908" i="4"/>
  <c r="A4909" i="4"/>
  <c r="A4910" i="4"/>
  <c r="A4911" i="4"/>
  <c r="A4912" i="4"/>
  <c r="A4913" i="4"/>
  <c r="A4914" i="4"/>
  <c r="A4915" i="4"/>
  <c r="A4916" i="4"/>
  <c r="A4917" i="4"/>
  <c r="A4918" i="4"/>
  <c r="A4919" i="4"/>
  <c r="A4920" i="4"/>
  <c r="A4921" i="4"/>
  <c r="A4922" i="4"/>
  <c r="A4923" i="4"/>
  <c r="A4924" i="4"/>
  <c r="A4925" i="4"/>
  <c r="A4926" i="4"/>
  <c r="A4927" i="4"/>
  <c r="A4928" i="4"/>
  <c r="A4929" i="4"/>
  <c r="A4930" i="4"/>
  <c r="A4931" i="4"/>
  <c r="A4932" i="4"/>
  <c r="A4933" i="4"/>
  <c r="A4934" i="4"/>
  <c r="A4935" i="4"/>
  <c r="A4936" i="4"/>
  <c r="A4937" i="4"/>
  <c r="A4938" i="4"/>
  <c r="A4939" i="4"/>
  <c r="A4940" i="4"/>
  <c r="A4941" i="4"/>
  <c r="A4942" i="4"/>
  <c r="A4943" i="4"/>
  <c r="A4944" i="4"/>
  <c r="A4945" i="4"/>
  <c r="A4946" i="4"/>
  <c r="A4947" i="4"/>
  <c r="A4948" i="4"/>
  <c r="A4949" i="4"/>
  <c r="A4950" i="4"/>
  <c r="A4951" i="4"/>
  <c r="A4952" i="4"/>
  <c r="A4953" i="4"/>
  <c r="A4954" i="4"/>
  <c r="A4955" i="4"/>
  <c r="A4956" i="4"/>
  <c r="A4957" i="4"/>
  <c r="A4958" i="4"/>
  <c r="A4959" i="4"/>
  <c r="A4960" i="4"/>
  <c r="A4961" i="4"/>
  <c r="A4962" i="4"/>
  <c r="A4963" i="4"/>
  <c r="A4964" i="4"/>
  <c r="A4965" i="4"/>
  <c r="A4966" i="4"/>
  <c r="A4967" i="4"/>
  <c r="A4968" i="4"/>
  <c r="A4969" i="4"/>
  <c r="A4970" i="4"/>
  <c r="A4971" i="4"/>
  <c r="A4972" i="4"/>
  <c r="A4973" i="4"/>
  <c r="A4974" i="4"/>
  <c r="A4975" i="4"/>
  <c r="A4976" i="4"/>
  <c r="A4977" i="4"/>
  <c r="A4978" i="4"/>
  <c r="A4979" i="4"/>
  <c r="A4980" i="4"/>
  <c r="A4981" i="4"/>
  <c r="A4982" i="4"/>
  <c r="A4983" i="4"/>
  <c r="A4984" i="4"/>
  <c r="A4985" i="4"/>
  <c r="A4986" i="4"/>
  <c r="A4987" i="4"/>
  <c r="A4988" i="4"/>
  <c r="A4989" i="4"/>
  <c r="A4990" i="4"/>
  <c r="A4991" i="4"/>
  <c r="A4992" i="4"/>
  <c r="A4993" i="4"/>
  <c r="A4994" i="4"/>
  <c r="A4995" i="4"/>
  <c r="A4996" i="4"/>
  <c r="A4997" i="4"/>
  <c r="A4998" i="4"/>
  <c r="A4999" i="4"/>
  <c r="A5000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J2" i="1"/>
  <c r="I2" i="1"/>
  <c r="H2" i="1"/>
</calcChain>
</file>

<file path=xl/sharedStrings.xml><?xml version="1.0" encoding="utf-8"?>
<sst xmlns="http://schemas.openxmlformats.org/spreadsheetml/2006/main" count="30" uniqueCount="15">
  <si>
    <t>청</t>
  </si>
  <si>
    <t>지청</t>
  </si>
  <si>
    <t>센터</t>
  </si>
  <si>
    <t>품목코드</t>
  </si>
  <si>
    <t>품목명</t>
  </si>
  <si>
    <t>필요수량</t>
  </si>
  <si>
    <t>비고(선택)</t>
  </si>
  <si>
    <t>집계키_청</t>
  </si>
  <si>
    <t>집계키_지청</t>
  </si>
  <si>
    <t>집계키_센터</t>
  </si>
  <si>
    <t>필요수량합계</t>
  </si>
  <si>
    <t>집계키(숨김)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</si>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</sst>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2">
    <dxf>
      <numFmt numFmtId="1" formatCode="0"/>
    </dxf>
    <dxf>
      <font>
        <b/>
        <family val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DDCAB-56D5-4D85-9589-B11F79EDBF1C}" name="tbl_input" displayName="tbl_input" ref="A1:J2" totalsRowShown="0" headerRowDxfId="1">
  <autoFilter ref="A1:J2" xr:uid="{08CA557A-963E-4113-A305-2D166FB09AE1}"/>
  <tableColumns count="10">
    <tableColumn id="1" xr3:uid="{93FD0B68-2A12-40BE-A2AD-11D9739D05B6}" name="청"/>
    <tableColumn id="2" xr3:uid="{7E3E54F9-DA81-48BF-B9FA-113EA6910851}" name="지청"/>
    <tableColumn id="3" xr3:uid="{FD4A0293-6355-43A7-8430-1917CD422013}" name="센터"/>
    <tableColumn id="4" xr3:uid="{F06DB94E-F128-434B-A983-8D20791169AE}" name="품목코드"/>
    <tableColumn id="5" xr3:uid="{1F442B64-C965-4E42-8E97-BDBABFDE57F1}" name="품목명"/>
    <tableColumn id="6" xr3:uid="{70324211-A23B-4C3A-B45C-165A6412C7A4}" name="필요수량" dataDxfId="0"/>
    <tableColumn id="7" xr3:uid="{B1D5A87C-04CA-4986-86BA-6D6B31927440}" name="비고(선택)"/>
    <tableColumn id="8" xr3:uid="{E6D39B89-4EAB-4CB3-9587-CE4DA1BCD98C}" name="집계키_청">
      <calculatedColumnFormula>tbl_input[[#This Row],[품목코드]]&amp;"♦"&amp;tbl_input[[#This Row],[품목명]]</calculatedColumnFormula>
    </tableColumn>
    <tableColumn id="9" xr3:uid="{C4AD0AA5-C8CA-4DAD-9287-3FC2B0050B8D}" name="집계키_지청">
      <calculatedColumnFormula>tbl_input[[#This Row],[지청]]&amp;"♦"&amp;tbl_input[[#This Row],[품목코드]]&amp;"♦"&amp;tbl_input[[#This Row],[품목명]]</calculatedColumnFormula>
    </tableColumn>
    <tableColumn id="10" xr3:uid="{05C0F2F1-5B46-427F-BF03-AFB2182E2BE3}" name="집계키_센터">
      <calculatedColumnFormula>tbl_input[[#This Row],[지청]]&amp;"♦"&amp;tbl_input[[#This Row],[센터]]&amp;"♦"&amp;tbl_input[[#This Row],[품목코드]]&amp;"♦"&amp;tbl_input[[#This Row],[품목명]]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7222C-E072-48C5-A58D-C7246495C264}">
  <dimension ref="A1:I5000"/>
  <sheetViews>
    <sheetView tabSelected="1"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2" width="5" bestFit="1" customWidth="1"/>
    <col min="3" max="3" width="8.59765625" bestFit="1" customWidth="1"/>
    <col min="4" max="4" width="6.796875" bestFit="1" customWidth="1"/>
    <col min="5" max="5" width="12.3984375" bestFit="1" customWidth="1"/>
    <col min="6" max="9" width="0" hidden="1" customWidth="1"/>
  </cols>
  <sheetData>
    <row r="1" spans="1:9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4">
      <c r="A2" t="str">
        <f t="shared" ref="A2:A65" si="0">IF(F2="","",LEFT(F2,G2-1))</f>
        <v/>
      </c>
      <c r="B2" t="str">
        <f t="shared" ref="B2:B65" si="1">IF(F2="","",MID(F2,G2+1,H2-G2-1))</f>
        <v/>
      </c>
      <c r="C2" t="str">
        <f t="shared" ref="C2:C65" si="2">IF(F2="","",MID(F2,H2+1,I2-H2-1))</f>
        <v/>
      </c>
      <c r="D2" t="str">
        <f t="shared" ref="D2:D65" si="3">IF(F2="","",MID(F2,I2+1,999))</f>
        <v/>
      </c>
      <c r="E2">
        <f>IF(F2="","",IF(COUNTIF($F$2:F2,F2)&gt;1,"",SUMIFS(tbl_input[필요수량],tbl_input[집계키_센터],F2)))</f>
        <v>0</v>
      </c>
      <c r="F2" t="str">
        <f>IFERROR(INDEX(tbl_input[집계키_센터],ROW()-1),"")</f>
        <v>♦♦♦</v>
      </c>
      <c r="G2">
        <f t="shared" ref="G2:G65" si="4">IF(F2="","",FIND("♦",F2))</f>
        <v>1</v>
      </c>
      <c r="H2">
        <f t="shared" ref="H2:H65" si="5">IF(F2="","",FIND("♦",F2,G2+1))</f>
        <v>2</v>
      </c>
      <c r="I2">
        <f t="shared" ref="I2:I65" si="6">IF(F2="","",FIND("♦",F2,H2+1))</f>
        <v>3</v>
      </c>
    </row>
    <row r="3" spans="1:9" x14ac:dyDescent="0.4">
      <c r="A3" t="str">
        <f t="shared" si="0"/>
        <v/>
      </c>
      <c r="B3" t="str">
        <f t="shared" si="1"/>
        <v/>
      </c>
      <c r="C3" t="str">
        <f t="shared" si="2"/>
        <v/>
      </c>
      <c r="D3" t="str">
        <f t="shared" si="3"/>
        <v/>
      </c>
      <c r="E3" t="str">
        <f>IF(F3="","",IF(COUNTIF($F$2:F3,F3)&gt;1,"",SUMIFS(tbl_input[필요수량],tbl_input[집계키_센터],F3)))</f>
        <v/>
      </c>
      <c r="F3" t="str">
        <f>IFERROR(INDEX(tbl_input[집계키_센터],ROW()-1),"")</f>
        <v/>
      </c>
      <c r="G3" t="str">
        <f t="shared" si="4"/>
        <v/>
      </c>
      <c r="H3" t="str">
        <f t="shared" si="5"/>
        <v/>
      </c>
      <c r="I3" t="str">
        <f t="shared" si="6"/>
        <v/>
      </c>
    </row>
    <row r="4" spans="1:9" x14ac:dyDescent="0.4">
      <c r="A4" t="str">
        <f t="shared" si="0"/>
        <v/>
      </c>
      <c r="B4" t="str">
        <f t="shared" si="1"/>
        <v/>
      </c>
      <c r="C4" t="str">
        <f t="shared" si="2"/>
        <v/>
      </c>
      <c r="D4" t="str">
        <f t="shared" si="3"/>
        <v/>
      </c>
      <c r="E4" t="str">
        <f>IF(F4="","",IF(COUNTIF($F$2:F4,F4)&gt;1,"",SUMIFS(tbl_input[필요수량],tbl_input[집계키_센터],F4)))</f>
        <v/>
      </c>
      <c r="F4" t="str">
        <f>IFERROR(INDEX(tbl_input[집계키_센터],ROW()-1),"")</f>
        <v/>
      </c>
      <c r="G4" t="str">
        <f t="shared" si="4"/>
        <v/>
      </c>
      <c r="H4" t="str">
        <f t="shared" si="5"/>
        <v/>
      </c>
      <c r="I4" t="str">
        <f t="shared" si="6"/>
        <v/>
      </c>
    </row>
    <row r="5" spans="1:9" x14ac:dyDescent="0.4">
      <c r="A5" t="str">
        <f t="shared" si="0"/>
        <v/>
      </c>
      <c r="B5" t="str">
        <f t="shared" si="1"/>
        <v/>
      </c>
      <c r="C5" t="str">
        <f t="shared" si="2"/>
        <v/>
      </c>
      <c r="D5" t="str">
        <f t="shared" si="3"/>
        <v/>
      </c>
      <c r="E5" t="str">
        <f>IF(F5="","",IF(COUNTIF($F$2:F5,F5)&gt;1,"",SUMIFS(tbl_input[필요수량],tbl_input[집계키_센터],F5)))</f>
        <v/>
      </c>
      <c r="F5" t="str">
        <f>IFERROR(INDEX(tbl_input[집계키_센터],ROW()-1),"")</f>
        <v/>
      </c>
      <c r="G5" t="str">
        <f t="shared" si="4"/>
        <v/>
      </c>
      <c r="H5" t="str">
        <f t="shared" si="5"/>
        <v/>
      </c>
      <c r="I5" t="str">
        <f t="shared" si="6"/>
        <v/>
      </c>
    </row>
    <row r="6" spans="1:9" x14ac:dyDescent="0.4">
      <c r="A6" t="str">
        <f t="shared" si="0"/>
        <v/>
      </c>
      <c r="B6" t="str">
        <f t="shared" si="1"/>
        <v/>
      </c>
      <c r="C6" t="str">
        <f t="shared" si="2"/>
        <v/>
      </c>
      <c r="D6" t="str">
        <f t="shared" si="3"/>
        <v/>
      </c>
      <c r="E6" t="str">
        <f>IF(F6="","",IF(COUNTIF($F$2:F6,F6)&gt;1,"",SUMIFS(tbl_input[필요수량],tbl_input[집계키_센터],F6)))</f>
        <v/>
      </c>
      <c r="F6" t="str">
        <f>IFERROR(INDEX(tbl_input[집계키_센터],ROW()-1),"")</f>
        <v/>
      </c>
      <c r="G6" t="str">
        <f t="shared" si="4"/>
        <v/>
      </c>
      <c r="H6" t="str">
        <f t="shared" si="5"/>
        <v/>
      </c>
      <c r="I6" t="str">
        <f t="shared" si="6"/>
        <v/>
      </c>
    </row>
    <row r="7" spans="1:9" x14ac:dyDescent="0.4">
      <c r="A7" t="str">
        <f t="shared" si="0"/>
        <v/>
      </c>
      <c r="B7" t="str">
        <f t="shared" si="1"/>
        <v/>
      </c>
      <c r="C7" t="str">
        <f t="shared" si="2"/>
        <v/>
      </c>
      <c r="D7" t="str">
        <f t="shared" si="3"/>
        <v/>
      </c>
      <c r="E7" t="str">
        <f>IF(F7="","",IF(COUNTIF($F$2:F7,F7)&gt;1,"",SUMIFS(tbl_input[필요수량],tbl_input[집계키_센터],F7)))</f>
        <v/>
      </c>
      <c r="F7" t="str">
        <f>IFERROR(INDEX(tbl_input[집계키_센터],ROW()-1),"")</f>
        <v/>
      </c>
      <c r="G7" t="str">
        <f t="shared" si="4"/>
        <v/>
      </c>
      <c r="H7" t="str">
        <f t="shared" si="5"/>
        <v/>
      </c>
      <c r="I7" t="str">
        <f t="shared" si="6"/>
        <v/>
      </c>
    </row>
    <row r="8" spans="1:9" x14ac:dyDescent="0.4">
      <c r="A8" t="str">
        <f t="shared" si="0"/>
        <v/>
      </c>
      <c r="B8" t="str">
        <f t="shared" si="1"/>
        <v/>
      </c>
      <c r="C8" t="str">
        <f t="shared" si="2"/>
        <v/>
      </c>
      <c r="D8" t="str">
        <f t="shared" si="3"/>
        <v/>
      </c>
      <c r="E8" t="str">
        <f>IF(F8="","",IF(COUNTIF($F$2:F8,F8)&gt;1,"",SUMIFS(tbl_input[필요수량],tbl_input[집계키_센터],F8)))</f>
        <v/>
      </c>
      <c r="F8" t="str">
        <f>IFERROR(INDEX(tbl_input[집계키_센터],ROW()-1),"")</f>
        <v/>
      </c>
      <c r="G8" t="str">
        <f t="shared" si="4"/>
        <v/>
      </c>
      <c r="H8" t="str">
        <f t="shared" si="5"/>
        <v/>
      </c>
      <c r="I8" t="str">
        <f t="shared" si="6"/>
        <v/>
      </c>
    </row>
    <row r="9" spans="1:9" x14ac:dyDescent="0.4">
      <c r="A9" t="str">
        <f t="shared" si="0"/>
        <v/>
      </c>
      <c r="B9" t="str">
        <f t="shared" si="1"/>
        <v/>
      </c>
      <c r="C9" t="str">
        <f t="shared" si="2"/>
        <v/>
      </c>
      <c r="D9" t="str">
        <f t="shared" si="3"/>
        <v/>
      </c>
      <c r="E9" t="str">
        <f>IF(F9="","",IF(COUNTIF($F$2:F9,F9)&gt;1,"",SUMIFS(tbl_input[필요수량],tbl_input[집계키_센터],F9)))</f>
        <v/>
      </c>
      <c r="F9" t="str">
        <f>IFERROR(INDEX(tbl_input[집계키_센터],ROW()-1),"")</f>
        <v/>
      </c>
      <c r="G9" t="str">
        <f t="shared" si="4"/>
        <v/>
      </c>
      <c r="H9" t="str">
        <f t="shared" si="5"/>
        <v/>
      </c>
      <c r="I9" t="str">
        <f t="shared" si="6"/>
        <v/>
      </c>
    </row>
    <row r="10" spans="1:9" x14ac:dyDescent="0.4">
      <c r="A10" t="str">
        <f t="shared" si="0"/>
        <v/>
      </c>
      <c r="B10" t="str">
        <f t="shared" si="1"/>
        <v/>
      </c>
      <c r="C10" t="str">
        <f t="shared" si="2"/>
        <v/>
      </c>
      <c r="D10" t="str">
        <f t="shared" si="3"/>
        <v/>
      </c>
      <c r="E10" t="str">
        <f>IF(F10="","",IF(COUNTIF($F$2:F10,F10)&gt;1,"",SUMIFS(tbl_input[필요수량],tbl_input[집계키_센터],F10)))</f>
        <v/>
      </c>
      <c r="F10" t="str">
        <f>IFERROR(INDEX(tbl_input[집계키_센터],ROW()-1),"")</f>
        <v/>
      </c>
      <c r="G10" t="str">
        <f t="shared" si="4"/>
        <v/>
      </c>
      <c r="H10" t="str">
        <f t="shared" si="5"/>
        <v/>
      </c>
      <c r="I10" t="str">
        <f t="shared" si="6"/>
        <v/>
      </c>
    </row>
    <row r="11" spans="1:9" x14ac:dyDescent="0.4">
      <c r="A11" t="str">
        <f t="shared" si="0"/>
        <v/>
      </c>
      <c r="B11" t="str">
        <f t="shared" si="1"/>
        <v/>
      </c>
      <c r="C11" t="str">
        <f t="shared" si="2"/>
        <v/>
      </c>
      <c r="D11" t="str">
        <f t="shared" si="3"/>
        <v/>
      </c>
      <c r="E11" t="str">
        <f>IF(F11="","",IF(COUNTIF($F$2:F11,F11)&gt;1,"",SUMIFS(tbl_input[필요수량],tbl_input[집계키_센터],F11)))</f>
        <v/>
      </c>
      <c r="F11" t="str">
        <f>IFERROR(INDEX(tbl_input[집계키_센터],ROW()-1),"")</f>
        <v/>
      </c>
      <c r="G11" t="str">
        <f t="shared" si="4"/>
        <v/>
      </c>
      <c r="H11" t="str">
        <f t="shared" si="5"/>
        <v/>
      </c>
      <c r="I11" t="str">
        <f t="shared" si="6"/>
        <v/>
      </c>
    </row>
    <row r="12" spans="1:9" x14ac:dyDescent="0.4">
      <c r="A12" t="str">
        <f t="shared" si="0"/>
        <v/>
      </c>
      <c r="B12" t="str">
        <f t="shared" si="1"/>
        <v/>
      </c>
      <c r="C12" t="str">
        <f t="shared" si="2"/>
        <v/>
      </c>
      <c r="D12" t="str">
        <f t="shared" si="3"/>
        <v/>
      </c>
      <c r="E12" t="str">
        <f>IF(F12="","",IF(COUNTIF($F$2:F12,F12)&gt;1,"",SUMIFS(tbl_input[필요수량],tbl_input[집계키_센터],F12)))</f>
        <v/>
      </c>
      <c r="F12" t="str">
        <f>IFERROR(INDEX(tbl_input[집계키_센터],ROW()-1),"")</f>
        <v/>
      </c>
      <c r="G12" t="str">
        <f t="shared" si="4"/>
        <v/>
      </c>
      <c r="H12" t="str">
        <f t="shared" si="5"/>
        <v/>
      </c>
      <c r="I12" t="str">
        <f t="shared" si="6"/>
        <v/>
      </c>
    </row>
    <row r="13" spans="1:9" x14ac:dyDescent="0.4">
      <c r="A13" t="str">
        <f t="shared" si="0"/>
        <v/>
      </c>
      <c r="B13" t="str">
        <f t="shared" si="1"/>
        <v/>
      </c>
      <c r="C13" t="str">
        <f t="shared" si="2"/>
        <v/>
      </c>
      <c r="D13" t="str">
        <f t="shared" si="3"/>
        <v/>
      </c>
      <c r="E13" t="str">
        <f>IF(F13="","",IF(COUNTIF($F$2:F13,F13)&gt;1,"",SUMIFS(tbl_input[필요수량],tbl_input[집계키_센터],F13)))</f>
        <v/>
      </c>
      <c r="F13" t="str">
        <f>IFERROR(INDEX(tbl_input[집계키_센터],ROW()-1),"")</f>
        <v/>
      </c>
      <c r="G13" t="str">
        <f t="shared" si="4"/>
        <v/>
      </c>
      <c r="H13" t="str">
        <f t="shared" si="5"/>
        <v/>
      </c>
      <c r="I13" t="str">
        <f t="shared" si="6"/>
        <v/>
      </c>
    </row>
    <row r="14" spans="1:9" x14ac:dyDescent="0.4">
      <c r="A14" t="str">
        <f t="shared" si="0"/>
        <v/>
      </c>
      <c r="B14" t="str">
        <f t="shared" si="1"/>
        <v/>
      </c>
      <c r="C14" t="str">
        <f t="shared" si="2"/>
        <v/>
      </c>
      <c r="D14" t="str">
        <f t="shared" si="3"/>
        <v/>
      </c>
      <c r="E14" t="str">
        <f>IF(F14="","",IF(COUNTIF($F$2:F14,F14)&gt;1,"",SUMIFS(tbl_input[필요수량],tbl_input[집계키_센터],F14)))</f>
        <v/>
      </c>
      <c r="F14" t="str">
        <f>IFERROR(INDEX(tbl_input[집계키_센터],ROW()-1),"")</f>
        <v/>
      </c>
      <c r="G14" t="str">
        <f t="shared" si="4"/>
        <v/>
      </c>
      <c r="H14" t="str">
        <f t="shared" si="5"/>
        <v/>
      </c>
      <c r="I14" t="str">
        <f t="shared" si="6"/>
        <v/>
      </c>
    </row>
    <row r="15" spans="1:9" x14ac:dyDescent="0.4">
      <c r="A15" t="str">
        <f t="shared" si="0"/>
        <v/>
      </c>
      <c r="B15" t="str">
        <f t="shared" si="1"/>
        <v/>
      </c>
      <c r="C15" t="str">
        <f t="shared" si="2"/>
        <v/>
      </c>
      <c r="D15" t="str">
        <f t="shared" si="3"/>
        <v/>
      </c>
      <c r="E15" t="str">
        <f>IF(F15="","",IF(COUNTIF($F$2:F15,F15)&gt;1,"",SUMIFS(tbl_input[필요수량],tbl_input[집계키_센터],F15)))</f>
        <v/>
      </c>
      <c r="F15" t="str">
        <f>IFERROR(INDEX(tbl_input[집계키_센터],ROW()-1),"")</f>
        <v/>
      </c>
      <c r="G15" t="str">
        <f t="shared" si="4"/>
        <v/>
      </c>
      <c r="H15" t="str">
        <f t="shared" si="5"/>
        <v/>
      </c>
      <c r="I15" t="str">
        <f t="shared" si="6"/>
        <v/>
      </c>
    </row>
    <row r="16" spans="1:9" x14ac:dyDescent="0.4">
      <c r="A16" t="str">
        <f t="shared" si="0"/>
        <v/>
      </c>
      <c r="B16" t="str">
        <f t="shared" si="1"/>
        <v/>
      </c>
      <c r="C16" t="str">
        <f t="shared" si="2"/>
        <v/>
      </c>
      <c r="D16" t="str">
        <f t="shared" si="3"/>
        <v/>
      </c>
      <c r="E16" t="str">
        <f>IF(F16="","",IF(COUNTIF($F$2:F16,F16)&gt;1,"",SUMIFS(tbl_input[필요수량],tbl_input[집계키_센터],F16)))</f>
        <v/>
      </c>
      <c r="F16" t="str">
        <f>IFERROR(INDEX(tbl_input[집계키_센터],ROW()-1),"")</f>
        <v/>
      </c>
      <c r="G16" t="str">
        <f t="shared" si="4"/>
        <v/>
      </c>
      <c r="H16" t="str">
        <f t="shared" si="5"/>
        <v/>
      </c>
      <c r="I16" t="str">
        <f t="shared" si="6"/>
        <v/>
      </c>
    </row>
    <row r="17" spans="1:9" x14ac:dyDescent="0.4">
      <c r="A17" t="str">
        <f t="shared" si="0"/>
        <v/>
      </c>
      <c r="B17" t="str">
        <f t="shared" si="1"/>
        <v/>
      </c>
      <c r="C17" t="str">
        <f t="shared" si="2"/>
        <v/>
      </c>
      <c r="D17" t="str">
        <f t="shared" si="3"/>
        <v/>
      </c>
      <c r="E17" t="str">
        <f>IF(F17="","",IF(COUNTIF($F$2:F17,F17)&gt;1,"",SUMIFS(tbl_input[필요수량],tbl_input[집계키_센터],F17)))</f>
        <v/>
      </c>
      <c r="F17" t="str">
        <f>IFERROR(INDEX(tbl_input[집계키_센터],ROW()-1),"")</f>
        <v/>
      </c>
      <c r="G17" t="str">
        <f t="shared" si="4"/>
        <v/>
      </c>
      <c r="H17" t="str">
        <f t="shared" si="5"/>
        <v/>
      </c>
      <c r="I17" t="str">
        <f t="shared" si="6"/>
        <v/>
      </c>
    </row>
    <row r="18" spans="1:9" x14ac:dyDescent="0.4">
      <c r="A18" t="str">
        <f t="shared" si="0"/>
        <v/>
      </c>
      <c r="B18" t="str">
        <f t="shared" si="1"/>
        <v/>
      </c>
      <c r="C18" t="str">
        <f t="shared" si="2"/>
        <v/>
      </c>
      <c r="D18" t="str">
        <f t="shared" si="3"/>
        <v/>
      </c>
      <c r="E18" t="str">
        <f>IF(F18="","",IF(COUNTIF($F$2:F18,F18)&gt;1,"",SUMIFS(tbl_input[필요수량],tbl_input[집계키_센터],F18)))</f>
        <v/>
      </c>
      <c r="F18" t="str">
        <f>IFERROR(INDEX(tbl_input[집계키_센터],ROW()-1),"")</f>
        <v/>
      </c>
      <c r="G18" t="str">
        <f t="shared" si="4"/>
        <v/>
      </c>
      <c r="H18" t="str">
        <f t="shared" si="5"/>
        <v/>
      </c>
      <c r="I18" t="str">
        <f t="shared" si="6"/>
        <v/>
      </c>
    </row>
    <row r="19" spans="1:9" x14ac:dyDescent="0.4">
      <c r="A19" t="str">
        <f t="shared" si="0"/>
        <v/>
      </c>
      <c r="B19" t="str">
        <f t="shared" si="1"/>
        <v/>
      </c>
      <c r="C19" t="str">
        <f t="shared" si="2"/>
        <v/>
      </c>
      <c r="D19" t="str">
        <f t="shared" si="3"/>
        <v/>
      </c>
      <c r="E19" t="str">
        <f>IF(F19="","",IF(COUNTIF($F$2:F19,F19)&gt;1,"",SUMIFS(tbl_input[필요수량],tbl_input[집계키_센터],F19)))</f>
        <v/>
      </c>
      <c r="F19" t="str">
        <f>IFERROR(INDEX(tbl_input[집계키_센터],ROW()-1),"")</f>
        <v/>
      </c>
      <c r="G19" t="str">
        <f t="shared" si="4"/>
        <v/>
      </c>
      <c r="H19" t="str">
        <f t="shared" si="5"/>
        <v/>
      </c>
      <c r="I19" t="str">
        <f t="shared" si="6"/>
        <v/>
      </c>
    </row>
    <row r="20" spans="1:9" x14ac:dyDescent="0.4">
      <c r="A20" t="str">
        <f t="shared" si="0"/>
        <v/>
      </c>
      <c r="B20" t="str">
        <f t="shared" si="1"/>
        <v/>
      </c>
      <c r="C20" t="str">
        <f t="shared" si="2"/>
        <v/>
      </c>
      <c r="D20" t="str">
        <f t="shared" si="3"/>
        <v/>
      </c>
      <c r="E20" t="str">
        <f>IF(F20="","",IF(COUNTIF($F$2:F20,F20)&gt;1,"",SUMIFS(tbl_input[필요수량],tbl_input[집계키_센터],F20)))</f>
        <v/>
      </c>
      <c r="F20" t="str">
        <f>IFERROR(INDEX(tbl_input[집계키_센터],ROW()-1),"")</f>
        <v/>
      </c>
      <c r="G20" t="str">
        <f t="shared" si="4"/>
        <v/>
      </c>
      <c r="H20" t="str">
        <f t="shared" si="5"/>
        <v/>
      </c>
      <c r="I20" t="str">
        <f t="shared" si="6"/>
        <v/>
      </c>
    </row>
    <row r="21" spans="1:9" x14ac:dyDescent="0.4">
      <c r="A21" t="str">
        <f t="shared" si="0"/>
        <v/>
      </c>
      <c r="B21" t="str">
        <f t="shared" si="1"/>
        <v/>
      </c>
      <c r="C21" t="str">
        <f t="shared" si="2"/>
        <v/>
      </c>
      <c r="D21" t="str">
        <f t="shared" si="3"/>
        <v/>
      </c>
      <c r="E21" t="str">
        <f>IF(F21="","",IF(COUNTIF($F$2:F21,F21)&gt;1,"",SUMIFS(tbl_input[필요수량],tbl_input[집계키_센터],F21)))</f>
        <v/>
      </c>
      <c r="F21" t="str">
        <f>IFERROR(INDEX(tbl_input[집계키_센터],ROW()-1),"")</f>
        <v/>
      </c>
      <c r="G21" t="str">
        <f t="shared" si="4"/>
        <v/>
      </c>
      <c r="H21" t="str">
        <f t="shared" si="5"/>
        <v/>
      </c>
      <c r="I21" t="str">
        <f t="shared" si="6"/>
        <v/>
      </c>
    </row>
    <row r="22" spans="1:9" x14ac:dyDescent="0.4">
      <c r="A22" t="str">
        <f t="shared" si="0"/>
        <v/>
      </c>
      <c r="B22" t="str">
        <f t="shared" si="1"/>
        <v/>
      </c>
      <c r="C22" t="str">
        <f t="shared" si="2"/>
        <v/>
      </c>
      <c r="D22" t="str">
        <f t="shared" si="3"/>
        <v/>
      </c>
      <c r="E22" t="str">
        <f>IF(F22="","",IF(COUNTIF($F$2:F22,F22)&gt;1,"",SUMIFS(tbl_input[필요수량],tbl_input[집계키_센터],F22)))</f>
        <v/>
      </c>
      <c r="F22" t="str">
        <f>IFERROR(INDEX(tbl_input[집계키_센터],ROW()-1),"")</f>
        <v/>
      </c>
      <c r="G22" t="str">
        <f t="shared" si="4"/>
        <v/>
      </c>
      <c r="H22" t="str">
        <f t="shared" si="5"/>
        <v/>
      </c>
      <c r="I22" t="str">
        <f t="shared" si="6"/>
        <v/>
      </c>
    </row>
    <row r="23" spans="1:9" x14ac:dyDescent="0.4">
      <c r="A23" t="str">
        <f t="shared" si="0"/>
        <v/>
      </c>
      <c r="B23" t="str">
        <f t="shared" si="1"/>
        <v/>
      </c>
      <c r="C23" t="str">
        <f t="shared" si="2"/>
        <v/>
      </c>
      <c r="D23" t="str">
        <f t="shared" si="3"/>
        <v/>
      </c>
      <c r="E23" t="str">
        <f>IF(F23="","",IF(COUNTIF($F$2:F23,F23)&gt;1,"",SUMIFS(tbl_input[필요수량],tbl_input[집계키_센터],F23)))</f>
        <v/>
      </c>
      <c r="F23" t="str">
        <f>IFERROR(INDEX(tbl_input[집계키_센터],ROW()-1),"")</f>
        <v/>
      </c>
      <c r="G23" t="str">
        <f t="shared" si="4"/>
        <v/>
      </c>
      <c r="H23" t="str">
        <f t="shared" si="5"/>
        <v/>
      </c>
      <c r="I23" t="str">
        <f t="shared" si="6"/>
        <v/>
      </c>
    </row>
    <row r="24" spans="1:9" x14ac:dyDescent="0.4">
      <c r="A24" t="str">
        <f t="shared" si="0"/>
        <v/>
      </c>
      <c r="B24" t="str">
        <f t="shared" si="1"/>
        <v/>
      </c>
      <c r="C24" t="str">
        <f t="shared" si="2"/>
        <v/>
      </c>
      <c r="D24" t="str">
        <f t="shared" si="3"/>
        <v/>
      </c>
      <c r="E24" t="str">
        <f>IF(F24="","",IF(COUNTIF($F$2:F24,F24)&gt;1,"",SUMIFS(tbl_input[필요수량],tbl_input[집계키_센터],F24)))</f>
        <v/>
      </c>
      <c r="F24" t="str">
        <f>IFERROR(INDEX(tbl_input[집계키_센터],ROW()-1),"")</f>
        <v/>
      </c>
      <c r="G24" t="str">
        <f t="shared" si="4"/>
        <v/>
      </c>
      <c r="H24" t="str">
        <f t="shared" si="5"/>
        <v/>
      </c>
      <c r="I24" t="str">
        <f t="shared" si="6"/>
        <v/>
      </c>
    </row>
    <row r="25" spans="1:9" x14ac:dyDescent="0.4">
      <c r="A25" t="str">
        <f t="shared" si="0"/>
        <v/>
      </c>
      <c r="B25" t="str">
        <f t="shared" si="1"/>
        <v/>
      </c>
      <c r="C25" t="str">
        <f t="shared" si="2"/>
        <v/>
      </c>
      <c r="D25" t="str">
        <f t="shared" si="3"/>
        <v/>
      </c>
      <c r="E25" t="str">
        <f>IF(F25="","",IF(COUNTIF($F$2:F25,F25)&gt;1,"",SUMIFS(tbl_input[필요수량],tbl_input[집계키_센터],F25)))</f>
        <v/>
      </c>
      <c r="F25" t="str">
        <f>IFERROR(INDEX(tbl_input[집계키_센터],ROW()-1),"")</f>
        <v/>
      </c>
      <c r="G25" t="str">
        <f t="shared" si="4"/>
        <v/>
      </c>
      <c r="H25" t="str">
        <f t="shared" si="5"/>
        <v/>
      </c>
      <c r="I25" t="str">
        <f t="shared" si="6"/>
        <v/>
      </c>
    </row>
    <row r="26" spans="1:9" x14ac:dyDescent="0.4">
      <c r="A26" t="str">
        <f t="shared" si="0"/>
        <v/>
      </c>
      <c r="B26" t="str">
        <f t="shared" si="1"/>
        <v/>
      </c>
      <c r="C26" t="str">
        <f t="shared" si="2"/>
        <v/>
      </c>
      <c r="D26" t="str">
        <f t="shared" si="3"/>
        <v/>
      </c>
      <c r="E26" t="str">
        <f>IF(F26="","",IF(COUNTIF($F$2:F26,F26)&gt;1,"",SUMIFS(tbl_input[필요수량],tbl_input[집계키_센터],F26)))</f>
        <v/>
      </c>
      <c r="F26" t="str">
        <f>IFERROR(INDEX(tbl_input[집계키_센터],ROW()-1),"")</f>
        <v/>
      </c>
      <c r="G26" t="str">
        <f t="shared" si="4"/>
        <v/>
      </c>
      <c r="H26" t="str">
        <f t="shared" si="5"/>
        <v/>
      </c>
      <c r="I26" t="str">
        <f t="shared" si="6"/>
        <v/>
      </c>
    </row>
    <row r="27" spans="1:9" x14ac:dyDescent="0.4">
      <c r="A27" t="str">
        <f t="shared" si="0"/>
        <v/>
      </c>
      <c r="B27" t="str">
        <f t="shared" si="1"/>
        <v/>
      </c>
      <c r="C27" t="str">
        <f t="shared" si="2"/>
        <v/>
      </c>
      <c r="D27" t="str">
        <f t="shared" si="3"/>
        <v/>
      </c>
      <c r="E27" t="str">
        <f>IF(F27="","",IF(COUNTIF($F$2:F27,F27)&gt;1,"",SUMIFS(tbl_input[필요수량],tbl_input[집계키_센터],F27)))</f>
        <v/>
      </c>
      <c r="F27" t="str">
        <f>IFERROR(INDEX(tbl_input[집계키_센터],ROW()-1),"")</f>
        <v/>
      </c>
      <c r="G27" t="str">
        <f t="shared" si="4"/>
        <v/>
      </c>
      <c r="H27" t="str">
        <f t="shared" si="5"/>
        <v/>
      </c>
      <c r="I27" t="str">
        <f t="shared" si="6"/>
        <v/>
      </c>
    </row>
    <row r="28" spans="1:9" x14ac:dyDescent="0.4">
      <c r="A28" t="str">
        <f t="shared" si="0"/>
        <v/>
      </c>
      <c r="B28" t="str">
        <f t="shared" si="1"/>
        <v/>
      </c>
      <c r="C28" t="str">
        <f t="shared" si="2"/>
        <v/>
      </c>
      <c r="D28" t="str">
        <f t="shared" si="3"/>
        <v/>
      </c>
      <c r="E28" t="str">
        <f>IF(F28="","",IF(COUNTIF($F$2:F28,F28)&gt;1,"",SUMIFS(tbl_input[필요수량],tbl_input[집계키_센터],F28)))</f>
        <v/>
      </c>
      <c r="F28" t="str">
        <f>IFERROR(INDEX(tbl_input[집계키_센터],ROW()-1),"")</f>
        <v/>
      </c>
      <c r="G28" t="str">
        <f t="shared" si="4"/>
        <v/>
      </c>
      <c r="H28" t="str">
        <f t="shared" si="5"/>
        <v/>
      </c>
      <c r="I28" t="str">
        <f t="shared" si="6"/>
        <v/>
      </c>
    </row>
    <row r="29" spans="1:9" x14ac:dyDescent="0.4">
      <c r="A29" t="str">
        <f t="shared" si="0"/>
        <v/>
      </c>
      <c r="B29" t="str">
        <f t="shared" si="1"/>
        <v/>
      </c>
      <c r="C29" t="str">
        <f t="shared" si="2"/>
        <v/>
      </c>
      <c r="D29" t="str">
        <f t="shared" si="3"/>
        <v/>
      </c>
      <c r="E29" t="str">
        <f>IF(F29="","",IF(COUNTIF($F$2:F29,F29)&gt;1,"",SUMIFS(tbl_input[필요수량],tbl_input[집계키_센터],F29)))</f>
        <v/>
      </c>
      <c r="F29" t="str">
        <f>IFERROR(INDEX(tbl_input[집계키_센터],ROW()-1),"")</f>
        <v/>
      </c>
      <c r="G29" t="str">
        <f t="shared" si="4"/>
        <v/>
      </c>
      <c r="H29" t="str">
        <f t="shared" si="5"/>
        <v/>
      </c>
      <c r="I29" t="str">
        <f t="shared" si="6"/>
        <v/>
      </c>
    </row>
    <row r="30" spans="1:9" x14ac:dyDescent="0.4">
      <c r="A30" t="str">
        <f t="shared" si="0"/>
        <v/>
      </c>
      <c r="B30" t="str">
        <f t="shared" si="1"/>
        <v/>
      </c>
      <c r="C30" t="str">
        <f t="shared" si="2"/>
        <v/>
      </c>
      <c r="D30" t="str">
        <f t="shared" si="3"/>
        <v/>
      </c>
      <c r="E30" t="str">
        <f>IF(F30="","",IF(COUNTIF($F$2:F30,F30)&gt;1,"",SUMIFS(tbl_input[필요수량],tbl_input[집계키_센터],F30)))</f>
        <v/>
      </c>
      <c r="F30" t="str">
        <f>IFERROR(INDEX(tbl_input[집계키_센터],ROW()-1),"")</f>
        <v/>
      </c>
      <c r="G30" t="str">
        <f t="shared" si="4"/>
        <v/>
      </c>
      <c r="H30" t="str">
        <f t="shared" si="5"/>
        <v/>
      </c>
      <c r="I30" t="str">
        <f t="shared" si="6"/>
        <v/>
      </c>
    </row>
    <row r="31" spans="1:9" x14ac:dyDescent="0.4">
      <c r="A31" t="str">
        <f t="shared" si="0"/>
        <v/>
      </c>
      <c r="B31" t="str">
        <f t="shared" si="1"/>
        <v/>
      </c>
      <c r="C31" t="str">
        <f t="shared" si="2"/>
        <v/>
      </c>
      <c r="D31" t="str">
        <f t="shared" si="3"/>
        <v/>
      </c>
      <c r="E31" t="str">
        <f>IF(F31="","",IF(COUNTIF($F$2:F31,F31)&gt;1,"",SUMIFS(tbl_input[필요수량],tbl_input[집계키_센터],F31)))</f>
        <v/>
      </c>
      <c r="F31" t="str">
        <f>IFERROR(INDEX(tbl_input[집계키_센터],ROW()-1),"")</f>
        <v/>
      </c>
      <c r="G31" t="str">
        <f t="shared" si="4"/>
        <v/>
      </c>
      <c r="H31" t="str">
        <f t="shared" si="5"/>
        <v/>
      </c>
      <c r="I31" t="str">
        <f t="shared" si="6"/>
        <v/>
      </c>
    </row>
    <row r="32" spans="1:9" x14ac:dyDescent="0.4">
      <c r="A32" t="str">
        <f t="shared" si="0"/>
        <v/>
      </c>
      <c r="B32" t="str">
        <f t="shared" si="1"/>
        <v/>
      </c>
      <c r="C32" t="str">
        <f t="shared" si="2"/>
        <v/>
      </c>
      <c r="D32" t="str">
        <f t="shared" si="3"/>
        <v/>
      </c>
      <c r="E32" t="str">
        <f>IF(F32="","",IF(COUNTIF($F$2:F32,F32)&gt;1,"",SUMIFS(tbl_input[필요수량],tbl_input[집계키_센터],F32)))</f>
        <v/>
      </c>
      <c r="F32" t="str">
        <f>IFERROR(INDEX(tbl_input[집계키_센터],ROW()-1),"")</f>
        <v/>
      </c>
      <c r="G32" t="str">
        <f t="shared" si="4"/>
        <v/>
      </c>
      <c r="H32" t="str">
        <f t="shared" si="5"/>
        <v/>
      </c>
      <c r="I32" t="str">
        <f t="shared" si="6"/>
        <v/>
      </c>
    </row>
    <row r="33" spans="1:9" x14ac:dyDescent="0.4">
      <c r="A33" t="str">
        <f t="shared" si="0"/>
        <v/>
      </c>
      <c r="B33" t="str">
        <f t="shared" si="1"/>
        <v/>
      </c>
      <c r="C33" t="str">
        <f t="shared" si="2"/>
        <v/>
      </c>
      <c r="D33" t="str">
        <f t="shared" si="3"/>
        <v/>
      </c>
      <c r="E33" t="str">
        <f>IF(F33="","",IF(COUNTIF($F$2:F33,F33)&gt;1,"",SUMIFS(tbl_input[필요수량],tbl_input[집계키_센터],F33)))</f>
        <v/>
      </c>
      <c r="F33" t="str">
        <f>IFERROR(INDEX(tbl_input[집계키_센터],ROW()-1),"")</f>
        <v/>
      </c>
      <c r="G33" t="str">
        <f t="shared" si="4"/>
        <v/>
      </c>
      <c r="H33" t="str">
        <f t="shared" si="5"/>
        <v/>
      </c>
      <c r="I33" t="str">
        <f t="shared" si="6"/>
        <v/>
      </c>
    </row>
    <row r="34" spans="1:9" x14ac:dyDescent="0.4">
      <c r="A34" t="str">
        <f t="shared" si="0"/>
        <v/>
      </c>
      <c r="B34" t="str">
        <f t="shared" si="1"/>
        <v/>
      </c>
      <c r="C34" t="str">
        <f t="shared" si="2"/>
        <v/>
      </c>
      <c r="D34" t="str">
        <f t="shared" si="3"/>
        <v/>
      </c>
      <c r="E34" t="str">
        <f>IF(F34="","",IF(COUNTIF($F$2:F34,F34)&gt;1,"",SUMIFS(tbl_input[필요수량],tbl_input[집계키_센터],F34)))</f>
        <v/>
      </c>
      <c r="F34" t="str">
        <f>IFERROR(INDEX(tbl_input[집계키_센터],ROW()-1),"")</f>
        <v/>
      </c>
      <c r="G34" t="str">
        <f t="shared" si="4"/>
        <v/>
      </c>
      <c r="H34" t="str">
        <f t="shared" si="5"/>
        <v/>
      </c>
      <c r="I34" t="str">
        <f t="shared" si="6"/>
        <v/>
      </c>
    </row>
    <row r="35" spans="1:9" x14ac:dyDescent="0.4">
      <c r="A35" t="str">
        <f t="shared" si="0"/>
        <v/>
      </c>
      <c r="B35" t="str">
        <f t="shared" si="1"/>
        <v/>
      </c>
      <c r="C35" t="str">
        <f t="shared" si="2"/>
        <v/>
      </c>
      <c r="D35" t="str">
        <f t="shared" si="3"/>
        <v/>
      </c>
      <c r="E35" t="str">
        <f>IF(F35="","",IF(COUNTIF($F$2:F35,F35)&gt;1,"",SUMIFS(tbl_input[필요수량],tbl_input[집계키_센터],F35)))</f>
        <v/>
      </c>
      <c r="F35" t="str">
        <f>IFERROR(INDEX(tbl_input[집계키_센터],ROW()-1),"")</f>
        <v/>
      </c>
      <c r="G35" t="str">
        <f t="shared" si="4"/>
        <v/>
      </c>
      <c r="H35" t="str">
        <f t="shared" si="5"/>
        <v/>
      </c>
      <c r="I35" t="str">
        <f t="shared" si="6"/>
        <v/>
      </c>
    </row>
    <row r="36" spans="1:9" x14ac:dyDescent="0.4">
      <c r="A36" t="str">
        <f t="shared" si="0"/>
        <v/>
      </c>
      <c r="B36" t="str">
        <f t="shared" si="1"/>
        <v/>
      </c>
      <c r="C36" t="str">
        <f t="shared" si="2"/>
        <v/>
      </c>
      <c r="D36" t="str">
        <f t="shared" si="3"/>
        <v/>
      </c>
      <c r="E36" t="str">
        <f>IF(F36="","",IF(COUNTIF($F$2:F36,F36)&gt;1,"",SUMIFS(tbl_input[필요수량],tbl_input[집계키_센터],F36)))</f>
        <v/>
      </c>
      <c r="F36" t="str">
        <f>IFERROR(INDEX(tbl_input[집계키_센터],ROW()-1),"")</f>
        <v/>
      </c>
      <c r="G36" t="str">
        <f t="shared" si="4"/>
        <v/>
      </c>
      <c r="H36" t="str">
        <f t="shared" si="5"/>
        <v/>
      </c>
      <c r="I36" t="str">
        <f t="shared" si="6"/>
        <v/>
      </c>
    </row>
    <row r="37" spans="1:9" x14ac:dyDescent="0.4">
      <c r="A37" t="str">
        <f t="shared" si="0"/>
        <v/>
      </c>
      <c r="B37" t="str">
        <f t="shared" si="1"/>
        <v/>
      </c>
      <c r="C37" t="str">
        <f t="shared" si="2"/>
        <v/>
      </c>
      <c r="D37" t="str">
        <f t="shared" si="3"/>
        <v/>
      </c>
      <c r="E37" t="str">
        <f>IF(F37="","",IF(COUNTIF($F$2:F37,F37)&gt;1,"",SUMIFS(tbl_input[필요수량],tbl_input[집계키_센터],F37)))</f>
        <v/>
      </c>
      <c r="F37" t="str">
        <f>IFERROR(INDEX(tbl_input[집계키_센터],ROW()-1),"")</f>
        <v/>
      </c>
      <c r="G37" t="str">
        <f t="shared" si="4"/>
        <v/>
      </c>
      <c r="H37" t="str">
        <f t="shared" si="5"/>
        <v/>
      </c>
      <c r="I37" t="str">
        <f t="shared" si="6"/>
        <v/>
      </c>
    </row>
    <row r="38" spans="1:9" x14ac:dyDescent="0.4">
      <c r="A38" t="str">
        <f t="shared" si="0"/>
        <v/>
      </c>
      <c r="B38" t="str">
        <f t="shared" si="1"/>
        <v/>
      </c>
      <c r="C38" t="str">
        <f t="shared" si="2"/>
        <v/>
      </c>
      <c r="D38" t="str">
        <f t="shared" si="3"/>
        <v/>
      </c>
      <c r="E38" t="str">
        <f>IF(F38="","",IF(COUNTIF($F$2:F38,F38)&gt;1,"",SUMIFS(tbl_input[필요수량],tbl_input[집계키_센터],F38)))</f>
        <v/>
      </c>
      <c r="F38" t="str">
        <f>IFERROR(INDEX(tbl_input[집계키_센터],ROW()-1),"")</f>
        <v/>
      </c>
      <c r="G38" t="str">
        <f t="shared" si="4"/>
        <v/>
      </c>
      <c r="H38" t="str">
        <f t="shared" si="5"/>
        <v/>
      </c>
      <c r="I38" t="str">
        <f t="shared" si="6"/>
        <v/>
      </c>
    </row>
    <row r="39" spans="1:9" x14ac:dyDescent="0.4">
      <c r="A39" t="str">
        <f t="shared" si="0"/>
        <v/>
      </c>
      <c r="B39" t="str">
        <f t="shared" si="1"/>
        <v/>
      </c>
      <c r="C39" t="str">
        <f t="shared" si="2"/>
        <v/>
      </c>
      <c r="D39" t="str">
        <f t="shared" si="3"/>
        <v/>
      </c>
      <c r="E39" t="str">
        <f>IF(F39="","",IF(COUNTIF($F$2:F39,F39)&gt;1,"",SUMIFS(tbl_input[필요수량],tbl_input[집계키_센터],F39)))</f>
        <v/>
      </c>
      <c r="F39" t="str">
        <f>IFERROR(INDEX(tbl_input[집계키_센터],ROW()-1),"")</f>
        <v/>
      </c>
      <c r="G39" t="str">
        <f t="shared" si="4"/>
        <v/>
      </c>
      <c r="H39" t="str">
        <f t="shared" si="5"/>
        <v/>
      </c>
      <c r="I39" t="str">
        <f t="shared" si="6"/>
        <v/>
      </c>
    </row>
    <row r="40" spans="1:9" x14ac:dyDescent="0.4">
      <c r="A40" t="str">
        <f t="shared" si="0"/>
        <v/>
      </c>
      <c r="B40" t="str">
        <f t="shared" si="1"/>
        <v/>
      </c>
      <c r="C40" t="str">
        <f t="shared" si="2"/>
        <v/>
      </c>
      <c r="D40" t="str">
        <f t="shared" si="3"/>
        <v/>
      </c>
      <c r="E40" t="str">
        <f>IF(F40="","",IF(COUNTIF($F$2:F40,F40)&gt;1,"",SUMIFS(tbl_input[필요수량],tbl_input[집계키_센터],F40)))</f>
        <v/>
      </c>
      <c r="F40" t="str">
        <f>IFERROR(INDEX(tbl_input[집계키_센터],ROW()-1),"")</f>
        <v/>
      </c>
      <c r="G40" t="str">
        <f t="shared" si="4"/>
        <v/>
      </c>
      <c r="H40" t="str">
        <f t="shared" si="5"/>
        <v/>
      </c>
      <c r="I40" t="str">
        <f t="shared" si="6"/>
        <v/>
      </c>
    </row>
    <row r="41" spans="1:9" x14ac:dyDescent="0.4">
      <c r="A41" t="str">
        <f t="shared" si="0"/>
        <v/>
      </c>
      <c r="B41" t="str">
        <f t="shared" si="1"/>
        <v/>
      </c>
      <c r="C41" t="str">
        <f t="shared" si="2"/>
        <v/>
      </c>
      <c r="D41" t="str">
        <f t="shared" si="3"/>
        <v/>
      </c>
      <c r="E41" t="str">
        <f>IF(F41="","",IF(COUNTIF($F$2:F41,F41)&gt;1,"",SUMIFS(tbl_input[필요수량],tbl_input[집계키_센터],F41)))</f>
        <v/>
      </c>
      <c r="F41" t="str">
        <f>IFERROR(INDEX(tbl_input[집계키_센터],ROW()-1),"")</f>
        <v/>
      </c>
      <c r="G41" t="str">
        <f t="shared" si="4"/>
        <v/>
      </c>
      <c r="H41" t="str">
        <f t="shared" si="5"/>
        <v/>
      </c>
      <c r="I41" t="str">
        <f t="shared" si="6"/>
        <v/>
      </c>
    </row>
    <row r="42" spans="1:9" x14ac:dyDescent="0.4">
      <c r="A42" t="str">
        <f t="shared" si="0"/>
        <v/>
      </c>
      <c r="B42" t="str">
        <f t="shared" si="1"/>
        <v/>
      </c>
      <c r="C42" t="str">
        <f t="shared" si="2"/>
        <v/>
      </c>
      <c r="D42" t="str">
        <f t="shared" si="3"/>
        <v/>
      </c>
      <c r="E42" t="str">
        <f>IF(F42="","",IF(COUNTIF($F$2:F42,F42)&gt;1,"",SUMIFS(tbl_input[필요수량],tbl_input[집계키_센터],F42)))</f>
        <v/>
      </c>
      <c r="F42" t="str">
        <f>IFERROR(INDEX(tbl_input[집계키_센터],ROW()-1),"")</f>
        <v/>
      </c>
      <c r="G42" t="str">
        <f t="shared" si="4"/>
        <v/>
      </c>
      <c r="H42" t="str">
        <f t="shared" si="5"/>
        <v/>
      </c>
      <c r="I42" t="str">
        <f t="shared" si="6"/>
        <v/>
      </c>
    </row>
    <row r="43" spans="1:9" x14ac:dyDescent="0.4">
      <c r="A43" t="str">
        <f t="shared" si="0"/>
        <v/>
      </c>
      <c r="B43" t="str">
        <f t="shared" si="1"/>
        <v/>
      </c>
      <c r="C43" t="str">
        <f t="shared" si="2"/>
        <v/>
      </c>
      <c r="D43" t="str">
        <f t="shared" si="3"/>
        <v/>
      </c>
      <c r="E43" t="str">
        <f>IF(F43="","",IF(COUNTIF($F$2:F43,F43)&gt;1,"",SUMIFS(tbl_input[필요수량],tbl_input[집계키_센터],F43)))</f>
        <v/>
      </c>
      <c r="F43" t="str">
        <f>IFERROR(INDEX(tbl_input[집계키_센터],ROW()-1),"")</f>
        <v/>
      </c>
      <c r="G43" t="str">
        <f t="shared" si="4"/>
        <v/>
      </c>
      <c r="H43" t="str">
        <f t="shared" si="5"/>
        <v/>
      </c>
      <c r="I43" t="str">
        <f t="shared" si="6"/>
        <v/>
      </c>
    </row>
    <row r="44" spans="1:9" x14ac:dyDescent="0.4">
      <c r="A44" t="str">
        <f t="shared" si="0"/>
        <v/>
      </c>
      <c r="B44" t="str">
        <f t="shared" si="1"/>
        <v/>
      </c>
      <c r="C44" t="str">
        <f t="shared" si="2"/>
        <v/>
      </c>
      <c r="D44" t="str">
        <f t="shared" si="3"/>
        <v/>
      </c>
      <c r="E44" t="str">
        <f>IF(F44="","",IF(COUNTIF($F$2:F44,F44)&gt;1,"",SUMIFS(tbl_input[필요수량],tbl_input[집계키_센터],F44)))</f>
        <v/>
      </c>
      <c r="F44" t="str">
        <f>IFERROR(INDEX(tbl_input[집계키_센터],ROW()-1),"")</f>
        <v/>
      </c>
      <c r="G44" t="str">
        <f t="shared" si="4"/>
        <v/>
      </c>
      <c r="H44" t="str">
        <f t="shared" si="5"/>
        <v/>
      </c>
      <c r="I44" t="str">
        <f t="shared" si="6"/>
        <v/>
      </c>
    </row>
    <row r="45" spans="1:9" x14ac:dyDescent="0.4">
      <c r="A45" t="str">
        <f t="shared" si="0"/>
        <v/>
      </c>
      <c r="B45" t="str">
        <f t="shared" si="1"/>
        <v/>
      </c>
      <c r="C45" t="str">
        <f t="shared" si="2"/>
        <v/>
      </c>
      <c r="D45" t="str">
        <f t="shared" si="3"/>
        <v/>
      </c>
      <c r="E45" t="str">
        <f>IF(F45="","",IF(COUNTIF($F$2:F45,F45)&gt;1,"",SUMIFS(tbl_input[필요수량],tbl_input[집계키_센터],F45)))</f>
        <v/>
      </c>
      <c r="F45" t="str">
        <f>IFERROR(INDEX(tbl_input[집계키_센터],ROW()-1),"")</f>
        <v/>
      </c>
      <c r="G45" t="str">
        <f t="shared" si="4"/>
        <v/>
      </c>
      <c r="H45" t="str">
        <f t="shared" si="5"/>
        <v/>
      </c>
      <c r="I45" t="str">
        <f t="shared" si="6"/>
        <v/>
      </c>
    </row>
    <row r="46" spans="1:9" x14ac:dyDescent="0.4">
      <c r="A46" t="str">
        <f t="shared" si="0"/>
        <v/>
      </c>
      <c r="B46" t="str">
        <f t="shared" si="1"/>
        <v/>
      </c>
      <c r="C46" t="str">
        <f t="shared" si="2"/>
        <v/>
      </c>
      <c r="D46" t="str">
        <f t="shared" si="3"/>
        <v/>
      </c>
      <c r="E46" t="str">
        <f>IF(F46="","",IF(COUNTIF($F$2:F46,F46)&gt;1,"",SUMIFS(tbl_input[필요수량],tbl_input[집계키_센터],F46)))</f>
        <v/>
      </c>
      <c r="F46" t="str">
        <f>IFERROR(INDEX(tbl_input[집계키_센터],ROW()-1),"")</f>
        <v/>
      </c>
      <c r="G46" t="str">
        <f t="shared" si="4"/>
        <v/>
      </c>
      <c r="H46" t="str">
        <f t="shared" si="5"/>
        <v/>
      </c>
      <c r="I46" t="str">
        <f t="shared" si="6"/>
        <v/>
      </c>
    </row>
    <row r="47" spans="1:9" x14ac:dyDescent="0.4">
      <c r="A47" t="str">
        <f t="shared" si="0"/>
        <v/>
      </c>
      <c r="B47" t="str">
        <f t="shared" si="1"/>
        <v/>
      </c>
      <c r="C47" t="str">
        <f t="shared" si="2"/>
        <v/>
      </c>
      <c r="D47" t="str">
        <f t="shared" si="3"/>
        <v/>
      </c>
      <c r="E47" t="str">
        <f>IF(F47="","",IF(COUNTIF($F$2:F47,F47)&gt;1,"",SUMIFS(tbl_input[필요수량],tbl_input[집계키_센터],F47)))</f>
        <v/>
      </c>
      <c r="F47" t="str">
        <f>IFERROR(INDEX(tbl_input[집계키_센터],ROW()-1),"")</f>
        <v/>
      </c>
      <c r="G47" t="str">
        <f t="shared" si="4"/>
        <v/>
      </c>
      <c r="H47" t="str">
        <f t="shared" si="5"/>
        <v/>
      </c>
      <c r="I47" t="str">
        <f t="shared" si="6"/>
        <v/>
      </c>
    </row>
    <row r="48" spans="1:9" x14ac:dyDescent="0.4">
      <c r="A48" t="str">
        <f t="shared" si="0"/>
        <v/>
      </c>
      <c r="B48" t="str">
        <f t="shared" si="1"/>
        <v/>
      </c>
      <c r="C48" t="str">
        <f t="shared" si="2"/>
        <v/>
      </c>
      <c r="D48" t="str">
        <f t="shared" si="3"/>
        <v/>
      </c>
      <c r="E48" t="str">
        <f>IF(F48="","",IF(COUNTIF($F$2:F48,F48)&gt;1,"",SUMIFS(tbl_input[필요수량],tbl_input[집계키_센터],F48)))</f>
        <v/>
      </c>
      <c r="F48" t="str">
        <f>IFERROR(INDEX(tbl_input[집계키_센터],ROW()-1),"")</f>
        <v/>
      </c>
      <c r="G48" t="str">
        <f t="shared" si="4"/>
        <v/>
      </c>
      <c r="H48" t="str">
        <f t="shared" si="5"/>
        <v/>
      </c>
      <c r="I48" t="str">
        <f t="shared" si="6"/>
        <v/>
      </c>
    </row>
    <row r="49" spans="1:9" x14ac:dyDescent="0.4">
      <c r="A49" t="str">
        <f t="shared" si="0"/>
        <v/>
      </c>
      <c r="B49" t="str">
        <f t="shared" si="1"/>
        <v/>
      </c>
      <c r="C49" t="str">
        <f t="shared" si="2"/>
        <v/>
      </c>
      <c r="D49" t="str">
        <f t="shared" si="3"/>
        <v/>
      </c>
      <c r="E49" t="str">
        <f>IF(F49="","",IF(COUNTIF($F$2:F49,F49)&gt;1,"",SUMIFS(tbl_input[필요수량],tbl_input[집계키_센터],F49)))</f>
        <v/>
      </c>
      <c r="F49" t="str">
        <f>IFERROR(INDEX(tbl_input[집계키_센터],ROW()-1),"")</f>
        <v/>
      </c>
      <c r="G49" t="str">
        <f t="shared" si="4"/>
        <v/>
      </c>
      <c r="H49" t="str">
        <f t="shared" si="5"/>
        <v/>
      </c>
      <c r="I49" t="str">
        <f t="shared" si="6"/>
        <v/>
      </c>
    </row>
    <row r="50" spans="1:9" x14ac:dyDescent="0.4">
      <c r="A50" t="str">
        <f t="shared" si="0"/>
        <v/>
      </c>
      <c r="B50" t="str">
        <f t="shared" si="1"/>
        <v/>
      </c>
      <c r="C50" t="str">
        <f t="shared" si="2"/>
        <v/>
      </c>
      <c r="D50" t="str">
        <f t="shared" si="3"/>
        <v/>
      </c>
      <c r="E50" t="str">
        <f>IF(F50="","",IF(COUNTIF($F$2:F50,F50)&gt;1,"",SUMIFS(tbl_input[필요수량],tbl_input[집계키_센터],F50)))</f>
        <v/>
      </c>
      <c r="F50" t="str">
        <f>IFERROR(INDEX(tbl_input[집계키_센터],ROW()-1),"")</f>
        <v/>
      </c>
      <c r="G50" t="str">
        <f t="shared" si="4"/>
        <v/>
      </c>
      <c r="H50" t="str">
        <f t="shared" si="5"/>
        <v/>
      </c>
      <c r="I50" t="str">
        <f t="shared" si="6"/>
        <v/>
      </c>
    </row>
    <row r="51" spans="1:9" x14ac:dyDescent="0.4">
      <c r="A51" t="str">
        <f t="shared" si="0"/>
        <v/>
      </c>
      <c r="B51" t="str">
        <f t="shared" si="1"/>
        <v/>
      </c>
      <c r="C51" t="str">
        <f t="shared" si="2"/>
        <v/>
      </c>
      <c r="D51" t="str">
        <f t="shared" si="3"/>
        <v/>
      </c>
      <c r="E51" t="str">
        <f>IF(F51="","",IF(COUNTIF($F$2:F51,F51)&gt;1,"",SUMIFS(tbl_input[필요수량],tbl_input[집계키_센터],F51)))</f>
        <v/>
      </c>
      <c r="F51" t="str">
        <f>IFERROR(INDEX(tbl_input[집계키_센터],ROW()-1),"")</f>
        <v/>
      </c>
      <c r="G51" t="str">
        <f t="shared" si="4"/>
        <v/>
      </c>
      <c r="H51" t="str">
        <f t="shared" si="5"/>
        <v/>
      </c>
      <c r="I51" t="str">
        <f t="shared" si="6"/>
        <v/>
      </c>
    </row>
    <row r="52" spans="1:9" x14ac:dyDescent="0.4">
      <c r="A52" t="str">
        <f t="shared" si="0"/>
        <v/>
      </c>
      <c r="B52" t="str">
        <f t="shared" si="1"/>
        <v/>
      </c>
      <c r="C52" t="str">
        <f t="shared" si="2"/>
        <v/>
      </c>
      <c r="D52" t="str">
        <f t="shared" si="3"/>
        <v/>
      </c>
      <c r="E52" t="str">
        <f>IF(F52="","",IF(COUNTIF($F$2:F52,F52)&gt;1,"",SUMIFS(tbl_input[필요수량],tbl_input[집계키_센터],F52)))</f>
        <v/>
      </c>
      <c r="F52" t="str">
        <f>IFERROR(INDEX(tbl_input[집계키_센터],ROW()-1),"")</f>
        <v/>
      </c>
      <c r="G52" t="str">
        <f t="shared" si="4"/>
        <v/>
      </c>
      <c r="H52" t="str">
        <f t="shared" si="5"/>
        <v/>
      </c>
      <c r="I52" t="str">
        <f t="shared" si="6"/>
        <v/>
      </c>
    </row>
    <row r="53" spans="1:9" x14ac:dyDescent="0.4">
      <c r="A53" t="str">
        <f t="shared" si="0"/>
        <v/>
      </c>
      <c r="B53" t="str">
        <f t="shared" si="1"/>
        <v/>
      </c>
      <c r="C53" t="str">
        <f t="shared" si="2"/>
        <v/>
      </c>
      <c r="D53" t="str">
        <f t="shared" si="3"/>
        <v/>
      </c>
      <c r="E53" t="str">
        <f>IF(F53="","",IF(COUNTIF($F$2:F53,F53)&gt;1,"",SUMIFS(tbl_input[필요수량],tbl_input[집계키_센터],F53)))</f>
        <v/>
      </c>
      <c r="F53" t="str">
        <f>IFERROR(INDEX(tbl_input[집계키_센터],ROW()-1),"")</f>
        <v/>
      </c>
      <c r="G53" t="str">
        <f t="shared" si="4"/>
        <v/>
      </c>
      <c r="H53" t="str">
        <f t="shared" si="5"/>
        <v/>
      </c>
      <c r="I53" t="str">
        <f t="shared" si="6"/>
        <v/>
      </c>
    </row>
    <row r="54" spans="1:9" x14ac:dyDescent="0.4">
      <c r="A54" t="str">
        <f t="shared" si="0"/>
        <v/>
      </c>
      <c r="B54" t="str">
        <f t="shared" si="1"/>
        <v/>
      </c>
      <c r="C54" t="str">
        <f t="shared" si="2"/>
        <v/>
      </c>
      <c r="D54" t="str">
        <f t="shared" si="3"/>
        <v/>
      </c>
      <c r="E54" t="str">
        <f>IF(F54="","",IF(COUNTIF($F$2:F54,F54)&gt;1,"",SUMIFS(tbl_input[필요수량],tbl_input[집계키_센터],F54)))</f>
        <v/>
      </c>
      <c r="F54" t="str">
        <f>IFERROR(INDEX(tbl_input[집계키_센터],ROW()-1),"")</f>
        <v/>
      </c>
      <c r="G54" t="str">
        <f t="shared" si="4"/>
        <v/>
      </c>
      <c r="H54" t="str">
        <f t="shared" si="5"/>
        <v/>
      </c>
      <c r="I54" t="str">
        <f t="shared" si="6"/>
        <v/>
      </c>
    </row>
    <row r="55" spans="1:9" x14ac:dyDescent="0.4">
      <c r="A55" t="str">
        <f t="shared" si="0"/>
        <v/>
      </c>
      <c r="B55" t="str">
        <f t="shared" si="1"/>
        <v/>
      </c>
      <c r="C55" t="str">
        <f t="shared" si="2"/>
        <v/>
      </c>
      <c r="D55" t="str">
        <f t="shared" si="3"/>
        <v/>
      </c>
      <c r="E55" t="str">
        <f>IF(F55="","",IF(COUNTIF($F$2:F55,F55)&gt;1,"",SUMIFS(tbl_input[필요수량],tbl_input[집계키_센터],F55)))</f>
        <v/>
      </c>
      <c r="F55" t="str">
        <f>IFERROR(INDEX(tbl_input[집계키_센터],ROW()-1),"")</f>
        <v/>
      </c>
      <c r="G55" t="str">
        <f t="shared" si="4"/>
        <v/>
      </c>
      <c r="H55" t="str">
        <f t="shared" si="5"/>
        <v/>
      </c>
      <c r="I55" t="str">
        <f t="shared" si="6"/>
        <v/>
      </c>
    </row>
    <row r="56" spans="1:9" x14ac:dyDescent="0.4">
      <c r="A56" t="str">
        <f t="shared" si="0"/>
        <v/>
      </c>
      <c r="B56" t="str">
        <f t="shared" si="1"/>
        <v/>
      </c>
      <c r="C56" t="str">
        <f t="shared" si="2"/>
        <v/>
      </c>
      <c r="D56" t="str">
        <f t="shared" si="3"/>
        <v/>
      </c>
      <c r="E56" t="str">
        <f>IF(F56="","",IF(COUNTIF($F$2:F56,F56)&gt;1,"",SUMIFS(tbl_input[필요수량],tbl_input[집계키_센터],F56)))</f>
        <v/>
      </c>
      <c r="F56" t="str">
        <f>IFERROR(INDEX(tbl_input[집계키_센터],ROW()-1),"")</f>
        <v/>
      </c>
      <c r="G56" t="str">
        <f t="shared" si="4"/>
        <v/>
      </c>
      <c r="H56" t="str">
        <f t="shared" si="5"/>
        <v/>
      </c>
      <c r="I56" t="str">
        <f t="shared" si="6"/>
        <v/>
      </c>
    </row>
    <row r="57" spans="1:9" x14ac:dyDescent="0.4">
      <c r="A57" t="str">
        <f t="shared" si="0"/>
        <v/>
      </c>
      <c r="B57" t="str">
        <f t="shared" si="1"/>
        <v/>
      </c>
      <c r="C57" t="str">
        <f t="shared" si="2"/>
        <v/>
      </c>
      <c r="D57" t="str">
        <f t="shared" si="3"/>
        <v/>
      </c>
      <c r="E57" t="str">
        <f>IF(F57="","",IF(COUNTIF($F$2:F57,F57)&gt;1,"",SUMIFS(tbl_input[필요수량],tbl_input[집계키_센터],F57)))</f>
        <v/>
      </c>
      <c r="F57" t="str">
        <f>IFERROR(INDEX(tbl_input[집계키_센터],ROW()-1),"")</f>
        <v/>
      </c>
      <c r="G57" t="str">
        <f t="shared" si="4"/>
        <v/>
      </c>
      <c r="H57" t="str">
        <f t="shared" si="5"/>
        <v/>
      </c>
      <c r="I57" t="str">
        <f t="shared" si="6"/>
        <v/>
      </c>
    </row>
    <row r="58" spans="1:9" x14ac:dyDescent="0.4">
      <c r="A58" t="str">
        <f t="shared" si="0"/>
        <v/>
      </c>
      <c r="B58" t="str">
        <f t="shared" si="1"/>
        <v/>
      </c>
      <c r="C58" t="str">
        <f t="shared" si="2"/>
        <v/>
      </c>
      <c r="D58" t="str">
        <f t="shared" si="3"/>
        <v/>
      </c>
      <c r="E58" t="str">
        <f>IF(F58="","",IF(COUNTIF($F$2:F58,F58)&gt;1,"",SUMIFS(tbl_input[필요수량],tbl_input[집계키_센터],F58)))</f>
        <v/>
      </c>
      <c r="F58" t="str">
        <f>IFERROR(INDEX(tbl_input[집계키_센터],ROW()-1),"")</f>
        <v/>
      </c>
      <c r="G58" t="str">
        <f t="shared" si="4"/>
        <v/>
      </c>
      <c r="H58" t="str">
        <f t="shared" si="5"/>
        <v/>
      </c>
      <c r="I58" t="str">
        <f t="shared" si="6"/>
        <v/>
      </c>
    </row>
    <row r="59" spans="1:9" x14ac:dyDescent="0.4">
      <c r="A59" t="str">
        <f t="shared" si="0"/>
        <v/>
      </c>
      <c r="B59" t="str">
        <f t="shared" si="1"/>
        <v/>
      </c>
      <c r="C59" t="str">
        <f t="shared" si="2"/>
        <v/>
      </c>
      <c r="D59" t="str">
        <f t="shared" si="3"/>
        <v/>
      </c>
      <c r="E59" t="str">
        <f>IF(F59="","",IF(COUNTIF($F$2:F59,F59)&gt;1,"",SUMIFS(tbl_input[필요수량],tbl_input[집계키_센터],F59)))</f>
        <v/>
      </c>
      <c r="F59" t="str">
        <f>IFERROR(INDEX(tbl_input[집계키_센터],ROW()-1),"")</f>
        <v/>
      </c>
      <c r="G59" t="str">
        <f t="shared" si="4"/>
        <v/>
      </c>
      <c r="H59" t="str">
        <f t="shared" si="5"/>
        <v/>
      </c>
      <c r="I59" t="str">
        <f t="shared" si="6"/>
        <v/>
      </c>
    </row>
    <row r="60" spans="1:9" x14ac:dyDescent="0.4">
      <c r="A60" t="str">
        <f t="shared" si="0"/>
        <v/>
      </c>
      <c r="B60" t="str">
        <f t="shared" si="1"/>
        <v/>
      </c>
      <c r="C60" t="str">
        <f t="shared" si="2"/>
        <v/>
      </c>
      <c r="D60" t="str">
        <f t="shared" si="3"/>
        <v/>
      </c>
      <c r="E60" t="str">
        <f>IF(F60="","",IF(COUNTIF($F$2:F60,F60)&gt;1,"",SUMIFS(tbl_input[필요수량],tbl_input[집계키_센터],F60)))</f>
        <v/>
      </c>
      <c r="F60" t="str">
        <f>IFERROR(INDEX(tbl_input[집계키_센터],ROW()-1),"")</f>
        <v/>
      </c>
      <c r="G60" t="str">
        <f t="shared" si="4"/>
        <v/>
      </c>
      <c r="H60" t="str">
        <f t="shared" si="5"/>
        <v/>
      </c>
      <c r="I60" t="str">
        <f t="shared" si="6"/>
        <v/>
      </c>
    </row>
    <row r="61" spans="1:9" x14ac:dyDescent="0.4">
      <c r="A61" t="str">
        <f t="shared" si="0"/>
        <v/>
      </c>
      <c r="B61" t="str">
        <f t="shared" si="1"/>
        <v/>
      </c>
      <c r="C61" t="str">
        <f t="shared" si="2"/>
        <v/>
      </c>
      <c r="D61" t="str">
        <f t="shared" si="3"/>
        <v/>
      </c>
      <c r="E61" t="str">
        <f>IF(F61="","",IF(COUNTIF($F$2:F61,F61)&gt;1,"",SUMIFS(tbl_input[필요수량],tbl_input[집계키_센터],F61)))</f>
        <v/>
      </c>
      <c r="F61" t="str">
        <f>IFERROR(INDEX(tbl_input[집계키_센터],ROW()-1),"")</f>
        <v/>
      </c>
      <c r="G61" t="str">
        <f t="shared" si="4"/>
        <v/>
      </c>
      <c r="H61" t="str">
        <f t="shared" si="5"/>
        <v/>
      </c>
      <c r="I61" t="str">
        <f t="shared" si="6"/>
        <v/>
      </c>
    </row>
    <row r="62" spans="1:9" x14ac:dyDescent="0.4">
      <c r="A62" t="str">
        <f t="shared" si="0"/>
        <v/>
      </c>
      <c r="B62" t="str">
        <f t="shared" si="1"/>
        <v/>
      </c>
      <c r="C62" t="str">
        <f t="shared" si="2"/>
        <v/>
      </c>
      <c r="D62" t="str">
        <f t="shared" si="3"/>
        <v/>
      </c>
      <c r="E62" t="str">
        <f>IF(F62="","",IF(COUNTIF($F$2:F62,F62)&gt;1,"",SUMIFS(tbl_input[필요수량],tbl_input[집계키_센터],F62)))</f>
        <v/>
      </c>
      <c r="F62" t="str">
        <f>IFERROR(INDEX(tbl_input[집계키_센터],ROW()-1),"")</f>
        <v/>
      </c>
      <c r="G62" t="str">
        <f t="shared" si="4"/>
        <v/>
      </c>
      <c r="H62" t="str">
        <f t="shared" si="5"/>
        <v/>
      </c>
      <c r="I62" t="str">
        <f t="shared" si="6"/>
        <v/>
      </c>
    </row>
    <row r="63" spans="1:9" x14ac:dyDescent="0.4">
      <c r="A63" t="str">
        <f t="shared" si="0"/>
        <v/>
      </c>
      <c r="B63" t="str">
        <f t="shared" si="1"/>
        <v/>
      </c>
      <c r="C63" t="str">
        <f t="shared" si="2"/>
        <v/>
      </c>
      <c r="D63" t="str">
        <f t="shared" si="3"/>
        <v/>
      </c>
      <c r="E63" t="str">
        <f>IF(F63="","",IF(COUNTIF($F$2:F63,F63)&gt;1,"",SUMIFS(tbl_input[필요수량],tbl_input[집계키_센터],F63)))</f>
        <v/>
      </c>
      <c r="F63" t="str">
        <f>IFERROR(INDEX(tbl_input[집계키_센터],ROW()-1),"")</f>
        <v/>
      </c>
      <c r="G63" t="str">
        <f t="shared" si="4"/>
        <v/>
      </c>
      <c r="H63" t="str">
        <f t="shared" si="5"/>
        <v/>
      </c>
      <c r="I63" t="str">
        <f t="shared" si="6"/>
        <v/>
      </c>
    </row>
    <row r="64" spans="1:9" x14ac:dyDescent="0.4">
      <c r="A64" t="str">
        <f t="shared" si="0"/>
        <v/>
      </c>
      <c r="B64" t="str">
        <f t="shared" si="1"/>
        <v/>
      </c>
      <c r="C64" t="str">
        <f t="shared" si="2"/>
        <v/>
      </c>
      <c r="D64" t="str">
        <f t="shared" si="3"/>
        <v/>
      </c>
      <c r="E64" t="str">
        <f>IF(F64="","",IF(COUNTIF($F$2:F64,F64)&gt;1,"",SUMIFS(tbl_input[필요수량],tbl_input[집계키_센터],F64)))</f>
        <v/>
      </c>
      <c r="F64" t="str">
        <f>IFERROR(INDEX(tbl_input[집계키_센터],ROW()-1),"")</f>
        <v/>
      </c>
      <c r="G64" t="str">
        <f t="shared" si="4"/>
        <v/>
      </c>
      <c r="H64" t="str">
        <f t="shared" si="5"/>
        <v/>
      </c>
      <c r="I64" t="str">
        <f t="shared" si="6"/>
        <v/>
      </c>
    </row>
    <row r="65" spans="1:9" x14ac:dyDescent="0.4">
      <c r="A65" t="str">
        <f t="shared" si="0"/>
        <v/>
      </c>
      <c r="B65" t="str">
        <f t="shared" si="1"/>
        <v/>
      </c>
      <c r="C65" t="str">
        <f t="shared" si="2"/>
        <v/>
      </c>
      <c r="D65" t="str">
        <f t="shared" si="3"/>
        <v/>
      </c>
      <c r="E65" t="str">
        <f>IF(F65="","",IF(COUNTIF($F$2:F65,F65)&gt;1,"",SUMIFS(tbl_input[필요수량],tbl_input[집계키_센터],F65)))</f>
        <v/>
      </c>
      <c r="F65" t="str">
        <f>IFERROR(INDEX(tbl_input[집계키_센터],ROW()-1),"")</f>
        <v/>
      </c>
      <c r="G65" t="str">
        <f t="shared" si="4"/>
        <v/>
      </c>
      <c r="H65" t="str">
        <f t="shared" si="5"/>
        <v/>
      </c>
      <c r="I65" t="str">
        <f t="shared" si="6"/>
        <v/>
      </c>
    </row>
    <row r="66" spans="1:9" x14ac:dyDescent="0.4">
      <c r="A66" t="str">
        <f t="shared" ref="A66:A129" si="7">IF(F66="","",LEFT(F66,G66-1))</f>
        <v/>
      </c>
      <c r="B66" t="str">
        <f t="shared" ref="B66:B129" si="8">IF(F66="","",MID(F66,G66+1,H66-G66-1))</f>
        <v/>
      </c>
      <c r="C66" t="str">
        <f t="shared" ref="C66:C129" si="9">IF(F66="","",MID(F66,H66+1,I66-H66-1))</f>
        <v/>
      </c>
      <c r="D66" t="str">
        <f t="shared" ref="D66:D129" si="10">IF(F66="","",MID(F66,I66+1,999))</f>
        <v/>
      </c>
      <c r="E66" t="str">
        <f>IF(F66="","",IF(COUNTIF($F$2:F66,F66)&gt;1,"",SUMIFS(tbl_input[필요수량],tbl_input[집계키_센터],F66)))</f>
        <v/>
      </c>
      <c r="F66" t="str">
        <f>IFERROR(INDEX(tbl_input[집계키_센터],ROW()-1),"")</f>
        <v/>
      </c>
      <c r="G66" t="str">
        <f t="shared" ref="G66:G129" si="11">IF(F66="","",FIND("♦",F66))</f>
        <v/>
      </c>
      <c r="H66" t="str">
        <f t="shared" ref="H66:H129" si="12">IF(F66="","",FIND("♦",F66,G66+1))</f>
        <v/>
      </c>
      <c r="I66" t="str">
        <f t="shared" ref="I66:I129" si="13">IF(F66="","",FIND("♦",F66,H66+1))</f>
        <v/>
      </c>
    </row>
    <row r="67" spans="1:9" x14ac:dyDescent="0.4">
      <c r="A67" t="str">
        <f t="shared" si="7"/>
        <v/>
      </c>
      <c r="B67" t="str">
        <f t="shared" si="8"/>
        <v/>
      </c>
      <c r="C67" t="str">
        <f t="shared" si="9"/>
        <v/>
      </c>
      <c r="D67" t="str">
        <f t="shared" si="10"/>
        <v/>
      </c>
      <c r="E67" t="str">
        <f>IF(F67="","",IF(COUNTIF($F$2:F67,F67)&gt;1,"",SUMIFS(tbl_input[필요수량],tbl_input[집계키_센터],F67)))</f>
        <v/>
      </c>
      <c r="F67" t="str">
        <f>IFERROR(INDEX(tbl_input[집계키_센터],ROW()-1),"")</f>
        <v/>
      </c>
      <c r="G67" t="str">
        <f t="shared" si="11"/>
        <v/>
      </c>
      <c r="H67" t="str">
        <f t="shared" si="12"/>
        <v/>
      </c>
      <c r="I67" t="str">
        <f t="shared" si="13"/>
        <v/>
      </c>
    </row>
    <row r="68" spans="1:9" x14ac:dyDescent="0.4">
      <c r="A68" t="str">
        <f t="shared" si="7"/>
        <v/>
      </c>
      <c r="B68" t="str">
        <f t="shared" si="8"/>
        <v/>
      </c>
      <c r="C68" t="str">
        <f t="shared" si="9"/>
        <v/>
      </c>
      <c r="D68" t="str">
        <f t="shared" si="10"/>
        <v/>
      </c>
      <c r="E68" t="str">
        <f>IF(F68="","",IF(COUNTIF($F$2:F68,F68)&gt;1,"",SUMIFS(tbl_input[필요수량],tbl_input[집계키_센터],F68)))</f>
        <v/>
      </c>
      <c r="F68" t="str">
        <f>IFERROR(INDEX(tbl_input[집계키_센터],ROW()-1),"")</f>
        <v/>
      </c>
      <c r="G68" t="str">
        <f t="shared" si="11"/>
        <v/>
      </c>
      <c r="H68" t="str">
        <f t="shared" si="12"/>
        <v/>
      </c>
      <c r="I68" t="str">
        <f t="shared" si="13"/>
        <v/>
      </c>
    </row>
    <row r="69" spans="1:9" x14ac:dyDescent="0.4">
      <c r="A69" t="str">
        <f t="shared" si="7"/>
        <v/>
      </c>
      <c r="B69" t="str">
        <f t="shared" si="8"/>
        <v/>
      </c>
      <c r="C69" t="str">
        <f t="shared" si="9"/>
        <v/>
      </c>
      <c r="D69" t="str">
        <f t="shared" si="10"/>
        <v/>
      </c>
      <c r="E69" t="str">
        <f>IF(F69="","",IF(COUNTIF($F$2:F69,F69)&gt;1,"",SUMIFS(tbl_input[필요수량],tbl_input[집계키_센터],F69)))</f>
        <v/>
      </c>
      <c r="F69" t="str">
        <f>IFERROR(INDEX(tbl_input[집계키_센터],ROW()-1),"")</f>
        <v/>
      </c>
      <c r="G69" t="str">
        <f t="shared" si="11"/>
        <v/>
      </c>
      <c r="H69" t="str">
        <f t="shared" si="12"/>
        <v/>
      </c>
      <c r="I69" t="str">
        <f t="shared" si="13"/>
        <v/>
      </c>
    </row>
    <row r="70" spans="1:9" x14ac:dyDescent="0.4">
      <c r="A70" t="str">
        <f t="shared" si="7"/>
        <v/>
      </c>
      <c r="B70" t="str">
        <f t="shared" si="8"/>
        <v/>
      </c>
      <c r="C70" t="str">
        <f t="shared" si="9"/>
        <v/>
      </c>
      <c r="D70" t="str">
        <f t="shared" si="10"/>
        <v/>
      </c>
      <c r="E70" t="str">
        <f>IF(F70="","",IF(COUNTIF($F$2:F70,F70)&gt;1,"",SUMIFS(tbl_input[필요수량],tbl_input[집계키_센터],F70)))</f>
        <v/>
      </c>
      <c r="F70" t="str">
        <f>IFERROR(INDEX(tbl_input[집계키_센터],ROW()-1),"")</f>
        <v/>
      </c>
      <c r="G70" t="str">
        <f t="shared" si="11"/>
        <v/>
      </c>
      <c r="H70" t="str">
        <f t="shared" si="12"/>
        <v/>
      </c>
      <c r="I70" t="str">
        <f t="shared" si="13"/>
        <v/>
      </c>
    </row>
    <row r="71" spans="1:9" x14ac:dyDescent="0.4">
      <c r="A71" t="str">
        <f t="shared" si="7"/>
        <v/>
      </c>
      <c r="B71" t="str">
        <f t="shared" si="8"/>
        <v/>
      </c>
      <c r="C71" t="str">
        <f t="shared" si="9"/>
        <v/>
      </c>
      <c r="D71" t="str">
        <f t="shared" si="10"/>
        <v/>
      </c>
      <c r="E71" t="str">
        <f>IF(F71="","",IF(COUNTIF($F$2:F71,F71)&gt;1,"",SUMIFS(tbl_input[필요수량],tbl_input[집계키_센터],F71)))</f>
        <v/>
      </c>
      <c r="F71" t="str">
        <f>IFERROR(INDEX(tbl_input[집계키_센터],ROW()-1),"")</f>
        <v/>
      </c>
      <c r="G71" t="str">
        <f t="shared" si="11"/>
        <v/>
      </c>
      <c r="H71" t="str">
        <f t="shared" si="12"/>
        <v/>
      </c>
      <c r="I71" t="str">
        <f t="shared" si="13"/>
        <v/>
      </c>
    </row>
    <row r="72" spans="1:9" x14ac:dyDescent="0.4">
      <c r="A72" t="str">
        <f t="shared" si="7"/>
        <v/>
      </c>
      <c r="B72" t="str">
        <f t="shared" si="8"/>
        <v/>
      </c>
      <c r="C72" t="str">
        <f t="shared" si="9"/>
        <v/>
      </c>
      <c r="D72" t="str">
        <f t="shared" si="10"/>
        <v/>
      </c>
      <c r="E72" t="str">
        <f>IF(F72="","",IF(COUNTIF($F$2:F72,F72)&gt;1,"",SUMIFS(tbl_input[필요수량],tbl_input[집계키_센터],F72)))</f>
        <v/>
      </c>
      <c r="F72" t="str">
        <f>IFERROR(INDEX(tbl_input[집계키_센터],ROW()-1),"")</f>
        <v/>
      </c>
      <c r="G72" t="str">
        <f t="shared" si="11"/>
        <v/>
      </c>
      <c r="H72" t="str">
        <f t="shared" si="12"/>
        <v/>
      </c>
      <c r="I72" t="str">
        <f t="shared" si="13"/>
        <v/>
      </c>
    </row>
    <row r="73" spans="1:9" x14ac:dyDescent="0.4">
      <c r="A73" t="str">
        <f t="shared" si="7"/>
        <v/>
      </c>
      <c r="B73" t="str">
        <f t="shared" si="8"/>
        <v/>
      </c>
      <c r="C73" t="str">
        <f t="shared" si="9"/>
        <v/>
      </c>
      <c r="D73" t="str">
        <f t="shared" si="10"/>
        <v/>
      </c>
      <c r="E73" t="str">
        <f>IF(F73="","",IF(COUNTIF($F$2:F73,F73)&gt;1,"",SUMIFS(tbl_input[필요수량],tbl_input[집계키_센터],F73)))</f>
        <v/>
      </c>
      <c r="F73" t="str">
        <f>IFERROR(INDEX(tbl_input[집계키_센터],ROW()-1),"")</f>
        <v/>
      </c>
      <c r="G73" t="str">
        <f t="shared" si="11"/>
        <v/>
      </c>
      <c r="H73" t="str">
        <f t="shared" si="12"/>
        <v/>
      </c>
      <c r="I73" t="str">
        <f t="shared" si="13"/>
        <v/>
      </c>
    </row>
    <row r="74" spans="1:9" x14ac:dyDescent="0.4">
      <c r="A74" t="str">
        <f t="shared" si="7"/>
        <v/>
      </c>
      <c r="B74" t="str">
        <f t="shared" si="8"/>
        <v/>
      </c>
      <c r="C74" t="str">
        <f t="shared" si="9"/>
        <v/>
      </c>
      <c r="D74" t="str">
        <f t="shared" si="10"/>
        <v/>
      </c>
      <c r="E74" t="str">
        <f>IF(F74="","",IF(COUNTIF($F$2:F74,F74)&gt;1,"",SUMIFS(tbl_input[필요수량],tbl_input[집계키_센터],F74)))</f>
        <v/>
      </c>
      <c r="F74" t="str">
        <f>IFERROR(INDEX(tbl_input[집계키_센터],ROW()-1),"")</f>
        <v/>
      </c>
      <c r="G74" t="str">
        <f t="shared" si="11"/>
        <v/>
      </c>
      <c r="H74" t="str">
        <f t="shared" si="12"/>
        <v/>
      </c>
      <c r="I74" t="str">
        <f t="shared" si="13"/>
        <v/>
      </c>
    </row>
    <row r="75" spans="1:9" x14ac:dyDescent="0.4">
      <c r="A75" t="str">
        <f t="shared" si="7"/>
        <v/>
      </c>
      <c r="B75" t="str">
        <f t="shared" si="8"/>
        <v/>
      </c>
      <c r="C75" t="str">
        <f t="shared" si="9"/>
        <v/>
      </c>
      <c r="D75" t="str">
        <f t="shared" si="10"/>
        <v/>
      </c>
      <c r="E75" t="str">
        <f>IF(F75="","",IF(COUNTIF($F$2:F75,F75)&gt;1,"",SUMIFS(tbl_input[필요수량],tbl_input[집계키_센터],F75)))</f>
        <v/>
      </c>
      <c r="F75" t="str">
        <f>IFERROR(INDEX(tbl_input[집계키_센터],ROW()-1),"")</f>
        <v/>
      </c>
      <c r="G75" t="str">
        <f t="shared" si="11"/>
        <v/>
      </c>
      <c r="H75" t="str">
        <f t="shared" si="12"/>
        <v/>
      </c>
      <c r="I75" t="str">
        <f t="shared" si="13"/>
        <v/>
      </c>
    </row>
    <row r="76" spans="1:9" x14ac:dyDescent="0.4">
      <c r="A76" t="str">
        <f t="shared" si="7"/>
        <v/>
      </c>
      <c r="B76" t="str">
        <f t="shared" si="8"/>
        <v/>
      </c>
      <c r="C76" t="str">
        <f t="shared" si="9"/>
        <v/>
      </c>
      <c r="D76" t="str">
        <f t="shared" si="10"/>
        <v/>
      </c>
      <c r="E76" t="str">
        <f>IF(F76="","",IF(COUNTIF($F$2:F76,F76)&gt;1,"",SUMIFS(tbl_input[필요수량],tbl_input[집계키_센터],F76)))</f>
        <v/>
      </c>
      <c r="F76" t="str">
        <f>IFERROR(INDEX(tbl_input[집계키_센터],ROW()-1),"")</f>
        <v/>
      </c>
      <c r="G76" t="str">
        <f t="shared" si="11"/>
        <v/>
      </c>
      <c r="H76" t="str">
        <f t="shared" si="12"/>
        <v/>
      </c>
      <c r="I76" t="str">
        <f t="shared" si="13"/>
        <v/>
      </c>
    </row>
    <row r="77" spans="1:9" x14ac:dyDescent="0.4">
      <c r="A77" t="str">
        <f t="shared" si="7"/>
        <v/>
      </c>
      <c r="B77" t="str">
        <f t="shared" si="8"/>
        <v/>
      </c>
      <c r="C77" t="str">
        <f t="shared" si="9"/>
        <v/>
      </c>
      <c r="D77" t="str">
        <f t="shared" si="10"/>
        <v/>
      </c>
      <c r="E77" t="str">
        <f>IF(F77="","",IF(COUNTIF($F$2:F77,F77)&gt;1,"",SUMIFS(tbl_input[필요수량],tbl_input[집계키_센터],F77)))</f>
        <v/>
      </c>
      <c r="F77" t="str">
        <f>IFERROR(INDEX(tbl_input[집계키_센터],ROW()-1),"")</f>
        <v/>
      </c>
      <c r="G77" t="str">
        <f t="shared" si="11"/>
        <v/>
      </c>
      <c r="H77" t="str">
        <f t="shared" si="12"/>
        <v/>
      </c>
      <c r="I77" t="str">
        <f t="shared" si="13"/>
        <v/>
      </c>
    </row>
    <row r="78" spans="1:9" x14ac:dyDescent="0.4">
      <c r="A78" t="str">
        <f t="shared" si="7"/>
        <v/>
      </c>
      <c r="B78" t="str">
        <f t="shared" si="8"/>
        <v/>
      </c>
      <c r="C78" t="str">
        <f t="shared" si="9"/>
        <v/>
      </c>
      <c r="D78" t="str">
        <f t="shared" si="10"/>
        <v/>
      </c>
      <c r="E78" t="str">
        <f>IF(F78="","",IF(COUNTIF($F$2:F78,F78)&gt;1,"",SUMIFS(tbl_input[필요수량],tbl_input[집계키_센터],F78)))</f>
        <v/>
      </c>
      <c r="F78" t="str">
        <f>IFERROR(INDEX(tbl_input[집계키_센터],ROW()-1),"")</f>
        <v/>
      </c>
      <c r="G78" t="str">
        <f t="shared" si="11"/>
        <v/>
      </c>
      <c r="H78" t="str">
        <f t="shared" si="12"/>
        <v/>
      </c>
      <c r="I78" t="str">
        <f t="shared" si="13"/>
        <v/>
      </c>
    </row>
    <row r="79" spans="1:9" x14ac:dyDescent="0.4">
      <c r="A79" t="str">
        <f t="shared" si="7"/>
        <v/>
      </c>
      <c r="B79" t="str">
        <f t="shared" si="8"/>
        <v/>
      </c>
      <c r="C79" t="str">
        <f t="shared" si="9"/>
        <v/>
      </c>
      <c r="D79" t="str">
        <f t="shared" si="10"/>
        <v/>
      </c>
      <c r="E79" t="str">
        <f>IF(F79="","",IF(COUNTIF($F$2:F79,F79)&gt;1,"",SUMIFS(tbl_input[필요수량],tbl_input[집계키_센터],F79)))</f>
        <v/>
      </c>
      <c r="F79" t="str">
        <f>IFERROR(INDEX(tbl_input[집계키_센터],ROW()-1),"")</f>
        <v/>
      </c>
      <c r="G79" t="str">
        <f t="shared" si="11"/>
        <v/>
      </c>
      <c r="H79" t="str">
        <f t="shared" si="12"/>
        <v/>
      </c>
      <c r="I79" t="str">
        <f t="shared" si="13"/>
        <v/>
      </c>
    </row>
    <row r="80" spans="1:9" x14ac:dyDescent="0.4">
      <c r="A80" t="str">
        <f t="shared" si="7"/>
        <v/>
      </c>
      <c r="B80" t="str">
        <f t="shared" si="8"/>
        <v/>
      </c>
      <c r="C80" t="str">
        <f t="shared" si="9"/>
        <v/>
      </c>
      <c r="D80" t="str">
        <f t="shared" si="10"/>
        <v/>
      </c>
      <c r="E80" t="str">
        <f>IF(F80="","",IF(COUNTIF($F$2:F80,F80)&gt;1,"",SUMIFS(tbl_input[필요수량],tbl_input[집계키_센터],F80)))</f>
        <v/>
      </c>
      <c r="F80" t="str">
        <f>IFERROR(INDEX(tbl_input[집계키_센터],ROW()-1),"")</f>
        <v/>
      </c>
      <c r="G80" t="str">
        <f t="shared" si="11"/>
        <v/>
      </c>
      <c r="H80" t="str">
        <f t="shared" si="12"/>
        <v/>
      </c>
      <c r="I80" t="str">
        <f t="shared" si="13"/>
        <v/>
      </c>
    </row>
    <row r="81" spans="1:9" x14ac:dyDescent="0.4">
      <c r="A81" t="str">
        <f t="shared" si="7"/>
        <v/>
      </c>
      <c r="B81" t="str">
        <f t="shared" si="8"/>
        <v/>
      </c>
      <c r="C81" t="str">
        <f t="shared" si="9"/>
        <v/>
      </c>
      <c r="D81" t="str">
        <f t="shared" si="10"/>
        <v/>
      </c>
      <c r="E81" t="str">
        <f>IF(F81="","",IF(COUNTIF($F$2:F81,F81)&gt;1,"",SUMIFS(tbl_input[필요수량],tbl_input[집계키_센터],F81)))</f>
        <v/>
      </c>
      <c r="F81" t="str">
        <f>IFERROR(INDEX(tbl_input[집계키_센터],ROW()-1),"")</f>
        <v/>
      </c>
      <c r="G81" t="str">
        <f t="shared" si="11"/>
        <v/>
      </c>
      <c r="H81" t="str">
        <f t="shared" si="12"/>
        <v/>
      </c>
      <c r="I81" t="str">
        <f t="shared" si="13"/>
        <v/>
      </c>
    </row>
    <row r="82" spans="1:9" x14ac:dyDescent="0.4">
      <c r="A82" t="str">
        <f t="shared" si="7"/>
        <v/>
      </c>
      <c r="B82" t="str">
        <f t="shared" si="8"/>
        <v/>
      </c>
      <c r="C82" t="str">
        <f t="shared" si="9"/>
        <v/>
      </c>
      <c r="D82" t="str">
        <f t="shared" si="10"/>
        <v/>
      </c>
      <c r="E82" t="str">
        <f>IF(F82="","",IF(COUNTIF($F$2:F82,F82)&gt;1,"",SUMIFS(tbl_input[필요수량],tbl_input[집계키_센터],F82)))</f>
        <v/>
      </c>
      <c r="F82" t="str">
        <f>IFERROR(INDEX(tbl_input[집계키_센터],ROW()-1),"")</f>
        <v/>
      </c>
      <c r="G82" t="str">
        <f t="shared" si="11"/>
        <v/>
      </c>
      <c r="H82" t="str">
        <f t="shared" si="12"/>
        <v/>
      </c>
      <c r="I82" t="str">
        <f t="shared" si="13"/>
        <v/>
      </c>
    </row>
    <row r="83" spans="1:9" x14ac:dyDescent="0.4">
      <c r="A83" t="str">
        <f t="shared" si="7"/>
        <v/>
      </c>
      <c r="B83" t="str">
        <f t="shared" si="8"/>
        <v/>
      </c>
      <c r="C83" t="str">
        <f t="shared" si="9"/>
        <v/>
      </c>
      <c r="D83" t="str">
        <f t="shared" si="10"/>
        <v/>
      </c>
      <c r="E83" t="str">
        <f>IF(F83="","",IF(COUNTIF($F$2:F83,F83)&gt;1,"",SUMIFS(tbl_input[필요수량],tbl_input[집계키_센터],F83)))</f>
        <v/>
      </c>
      <c r="F83" t="str">
        <f>IFERROR(INDEX(tbl_input[집계키_센터],ROW()-1),"")</f>
        <v/>
      </c>
      <c r="G83" t="str">
        <f t="shared" si="11"/>
        <v/>
      </c>
      <c r="H83" t="str">
        <f t="shared" si="12"/>
        <v/>
      </c>
      <c r="I83" t="str">
        <f t="shared" si="13"/>
        <v/>
      </c>
    </row>
    <row r="84" spans="1:9" x14ac:dyDescent="0.4">
      <c r="A84" t="str">
        <f t="shared" si="7"/>
        <v/>
      </c>
      <c r="B84" t="str">
        <f t="shared" si="8"/>
        <v/>
      </c>
      <c r="C84" t="str">
        <f t="shared" si="9"/>
        <v/>
      </c>
      <c r="D84" t="str">
        <f t="shared" si="10"/>
        <v/>
      </c>
      <c r="E84" t="str">
        <f>IF(F84="","",IF(COUNTIF($F$2:F84,F84)&gt;1,"",SUMIFS(tbl_input[필요수량],tbl_input[집계키_센터],F84)))</f>
        <v/>
      </c>
      <c r="F84" t="str">
        <f>IFERROR(INDEX(tbl_input[집계키_센터],ROW()-1),"")</f>
        <v/>
      </c>
      <c r="G84" t="str">
        <f t="shared" si="11"/>
        <v/>
      </c>
      <c r="H84" t="str">
        <f t="shared" si="12"/>
        <v/>
      </c>
      <c r="I84" t="str">
        <f t="shared" si="13"/>
        <v/>
      </c>
    </row>
    <row r="85" spans="1:9" x14ac:dyDescent="0.4">
      <c r="A85" t="str">
        <f t="shared" si="7"/>
        <v/>
      </c>
      <c r="B85" t="str">
        <f t="shared" si="8"/>
        <v/>
      </c>
      <c r="C85" t="str">
        <f t="shared" si="9"/>
        <v/>
      </c>
      <c r="D85" t="str">
        <f t="shared" si="10"/>
        <v/>
      </c>
      <c r="E85" t="str">
        <f>IF(F85="","",IF(COUNTIF($F$2:F85,F85)&gt;1,"",SUMIFS(tbl_input[필요수량],tbl_input[집계키_센터],F85)))</f>
        <v/>
      </c>
      <c r="F85" t="str">
        <f>IFERROR(INDEX(tbl_input[집계키_센터],ROW()-1),"")</f>
        <v/>
      </c>
      <c r="G85" t="str">
        <f t="shared" si="11"/>
        <v/>
      </c>
      <c r="H85" t="str">
        <f t="shared" si="12"/>
        <v/>
      </c>
      <c r="I85" t="str">
        <f t="shared" si="13"/>
        <v/>
      </c>
    </row>
    <row r="86" spans="1:9" x14ac:dyDescent="0.4">
      <c r="A86" t="str">
        <f t="shared" si="7"/>
        <v/>
      </c>
      <c r="B86" t="str">
        <f t="shared" si="8"/>
        <v/>
      </c>
      <c r="C86" t="str">
        <f t="shared" si="9"/>
        <v/>
      </c>
      <c r="D86" t="str">
        <f t="shared" si="10"/>
        <v/>
      </c>
      <c r="E86" t="str">
        <f>IF(F86="","",IF(COUNTIF($F$2:F86,F86)&gt;1,"",SUMIFS(tbl_input[필요수량],tbl_input[집계키_센터],F86)))</f>
        <v/>
      </c>
      <c r="F86" t="str">
        <f>IFERROR(INDEX(tbl_input[집계키_센터],ROW()-1),"")</f>
        <v/>
      </c>
      <c r="G86" t="str">
        <f t="shared" si="11"/>
        <v/>
      </c>
      <c r="H86" t="str">
        <f t="shared" si="12"/>
        <v/>
      </c>
      <c r="I86" t="str">
        <f t="shared" si="13"/>
        <v/>
      </c>
    </row>
    <row r="87" spans="1:9" x14ac:dyDescent="0.4">
      <c r="A87" t="str">
        <f t="shared" si="7"/>
        <v/>
      </c>
      <c r="B87" t="str">
        <f t="shared" si="8"/>
        <v/>
      </c>
      <c r="C87" t="str">
        <f t="shared" si="9"/>
        <v/>
      </c>
      <c r="D87" t="str">
        <f t="shared" si="10"/>
        <v/>
      </c>
      <c r="E87" t="str">
        <f>IF(F87="","",IF(COUNTIF($F$2:F87,F87)&gt;1,"",SUMIFS(tbl_input[필요수량],tbl_input[집계키_센터],F87)))</f>
        <v/>
      </c>
      <c r="F87" t="str">
        <f>IFERROR(INDEX(tbl_input[집계키_센터],ROW()-1),"")</f>
        <v/>
      </c>
      <c r="G87" t="str">
        <f t="shared" si="11"/>
        <v/>
      </c>
      <c r="H87" t="str">
        <f t="shared" si="12"/>
        <v/>
      </c>
      <c r="I87" t="str">
        <f t="shared" si="13"/>
        <v/>
      </c>
    </row>
    <row r="88" spans="1:9" x14ac:dyDescent="0.4">
      <c r="A88" t="str">
        <f t="shared" si="7"/>
        <v/>
      </c>
      <c r="B88" t="str">
        <f t="shared" si="8"/>
        <v/>
      </c>
      <c r="C88" t="str">
        <f t="shared" si="9"/>
        <v/>
      </c>
      <c r="D88" t="str">
        <f t="shared" si="10"/>
        <v/>
      </c>
      <c r="E88" t="str">
        <f>IF(F88="","",IF(COUNTIF($F$2:F88,F88)&gt;1,"",SUMIFS(tbl_input[필요수량],tbl_input[집계키_센터],F88)))</f>
        <v/>
      </c>
      <c r="F88" t="str">
        <f>IFERROR(INDEX(tbl_input[집계키_센터],ROW()-1),"")</f>
        <v/>
      </c>
      <c r="G88" t="str">
        <f t="shared" si="11"/>
        <v/>
      </c>
      <c r="H88" t="str">
        <f t="shared" si="12"/>
        <v/>
      </c>
      <c r="I88" t="str">
        <f t="shared" si="13"/>
        <v/>
      </c>
    </row>
    <row r="89" spans="1:9" x14ac:dyDescent="0.4">
      <c r="A89" t="str">
        <f t="shared" si="7"/>
        <v/>
      </c>
      <c r="B89" t="str">
        <f t="shared" si="8"/>
        <v/>
      </c>
      <c r="C89" t="str">
        <f t="shared" si="9"/>
        <v/>
      </c>
      <c r="D89" t="str">
        <f t="shared" si="10"/>
        <v/>
      </c>
      <c r="E89" t="str">
        <f>IF(F89="","",IF(COUNTIF($F$2:F89,F89)&gt;1,"",SUMIFS(tbl_input[필요수량],tbl_input[집계키_센터],F89)))</f>
        <v/>
      </c>
      <c r="F89" t="str">
        <f>IFERROR(INDEX(tbl_input[집계키_센터],ROW()-1),"")</f>
        <v/>
      </c>
      <c r="G89" t="str">
        <f t="shared" si="11"/>
        <v/>
      </c>
      <c r="H89" t="str">
        <f t="shared" si="12"/>
        <v/>
      </c>
      <c r="I89" t="str">
        <f t="shared" si="13"/>
        <v/>
      </c>
    </row>
    <row r="90" spans="1:9" x14ac:dyDescent="0.4">
      <c r="A90" t="str">
        <f t="shared" si="7"/>
        <v/>
      </c>
      <c r="B90" t="str">
        <f t="shared" si="8"/>
        <v/>
      </c>
      <c r="C90" t="str">
        <f t="shared" si="9"/>
        <v/>
      </c>
      <c r="D90" t="str">
        <f t="shared" si="10"/>
        <v/>
      </c>
      <c r="E90" t="str">
        <f>IF(F90="","",IF(COUNTIF($F$2:F90,F90)&gt;1,"",SUMIFS(tbl_input[필요수량],tbl_input[집계키_센터],F90)))</f>
        <v/>
      </c>
      <c r="F90" t="str">
        <f>IFERROR(INDEX(tbl_input[집계키_센터],ROW()-1),"")</f>
        <v/>
      </c>
      <c r="G90" t="str">
        <f t="shared" si="11"/>
        <v/>
      </c>
      <c r="H90" t="str">
        <f t="shared" si="12"/>
        <v/>
      </c>
      <c r="I90" t="str">
        <f t="shared" si="13"/>
        <v/>
      </c>
    </row>
    <row r="91" spans="1:9" x14ac:dyDescent="0.4">
      <c r="A91" t="str">
        <f t="shared" si="7"/>
        <v/>
      </c>
      <c r="B91" t="str">
        <f t="shared" si="8"/>
        <v/>
      </c>
      <c r="C91" t="str">
        <f t="shared" si="9"/>
        <v/>
      </c>
      <c r="D91" t="str">
        <f t="shared" si="10"/>
        <v/>
      </c>
      <c r="E91" t="str">
        <f>IF(F91="","",IF(COUNTIF($F$2:F91,F91)&gt;1,"",SUMIFS(tbl_input[필요수량],tbl_input[집계키_센터],F91)))</f>
        <v/>
      </c>
      <c r="F91" t="str">
        <f>IFERROR(INDEX(tbl_input[집계키_센터],ROW()-1),"")</f>
        <v/>
      </c>
      <c r="G91" t="str">
        <f t="shared" si="11"/>
        <v/>
      </c>
      <c r="H91" t="str">
        <f t="shared" si="12"/>
        <v/>
      </c>
      <c r="I91" t="str">
        <f t="shared" si="13"/>
        <v/>
      </c>
    </row>
    <row r="92" spans="1:9" x14ac:dyDescent="0.4">
      <c r="A92" t="str">
        <f t="shared" si="7"/>
        <v/>
      </c>
      <c r="B92" t="str">
        <f t="shared" si="8"/>
        <v/>
      </c>
      <c r="C92" t="str">
        <f t="shared" si="9"/>
        <v/>
      </c>
      <c r="D92" t="str">
        <f t="shared" si="10"/>
        <v/>
      </c>
      <c r="E92" t="str">
        <f>IF(F92="","",IF(COUNTIF($F$2:F92,F92)&gt;1,"",SUMIFS(tbl_input[필요수량],tbl_input[집계키_센터],F92)))</f>
        <v/>
      </c>
      <c r="F92" t="str">
        <f>IFERROR(INDEX(tbl_input[집계키_센터],ROW()-1),"")</f>
        <v/>
      </c>
      <c r="G92" t="str">
        <f t="shared" si="11"/>
        <v/>
      </c>
      <c r="H92" t="str">
        <f t="shared" si="12"/>
        <v/>
      </c>
      <c r="I92" t="str">
        <f t="shared" si="13"/>
        <v/>
      </c>
    </row>
    <row r="93" spans="1:9" x14ac:dyDescent="0.4">
      <c r="A93" t="str">
        <f t="shared" si="7"/>
        <v/>
      </c>
      <c r="B93" t="str">
        <f t="shared" si="8"/>
        <v/>
      </c>
      <c r="C93" t="str">
        <f t="shared" si="9"/>
        <v/>
      </c>
      <c r="D93" t="str">
        <f t="shared" si="10"/>
        <v/>
      </c>
      <c r="E93" t="str">
        <f>IF(F93="","",IF(COUNTIF($F$2:F93,F93)&gt;1,"",SUMIFS(tbl_input[필요수량],tbl_input[집계키_센터],F93)))</f>
        <v/>
      </c>
      <c r="F93" t="str">
        <f>IFERROR(INDEX(tbl_input[집계키_센터],ROW()-1),"")</f>
        <v/>
      </c>
      <c r="G93" t="str">
        <f t="shared" si="11"/>
        <v/>
      </c>
      <c r="H93" t="str">
        <f t="shared" si="12"/>
        <v/>
      </c>
      <c r="I93" t="str">
        <f t="shared" si="13"/>
        <v/>
      </c>
    </row>
    <row r="94" spans="1:9" x14ac:dyDescent="0.4">
      <c r="A94" t="str">
        <f t="shared" si="7"/>
        <v/>
      </c>
      <c r="B94" t="str">
        <f t="shared" si="8"/>
        <v/>
      </c>
      <c r="C94" t="str">
        <f t="shared" si="9"/>
        <v/>
      </c>
      <c r="D94" t="str">
        <f t="shared" si="10"/>
        <v/>
      </c>
      <c r="E94" t="str">
        <f>IF(F94="","",IF(COUNTIF($F$2:F94,F94)&gt;1,"",SUMIFS(tbl_input[필요수량],tbl_input[집계키_센터],F94)))</f>
        <v/>
      </c>
      <c r="F94" t="str">
        <f>IFERROR(INDEX(tbl_input[집계키_센터],ROW()-1),"")</f>
        <v/>
      </c>
      <c r="G94" t="str">
        <f t="shared" si="11"/>
        <v/>
      </c>
      <c r="H94" t="str">
        <f t="shared" si="12"/>
        <v/>
      </c>
      <c r="I94" t="str">
        <f t="shared" si="13"/>
        <v/>
      </c>
    </row>
    <row r="95" spans="1:9" x14ac:dyDescent="0.4">
      <c r="A95" t="str">
        <f t="shared" si="7"/>
        <v/>
      </c>
      <c r="B95" t="str">
        <f t="shared" si="8"/>
        <v/>
      </c>
      <c r="C95" t="str">
        <f t="shared" si="9"/>
        <v/>
      </c>
      <c r="D95" t="str">
        <f t="shared" si="10"/>
        <v/>
      </c>
      <c r="E95" t="str">
        <f>IF(F95="","",IF(COUNTIF($F$2:F95,F95)&gt;1,"",SUMIFS(tbl_input[필요수량],tbl_input[집계키_센터],F95)))</f>
        <v/>
      </c>
      <c r="F95" t="str">
        <f>IFERROR(INDEX(tbl_input[집계키_센터],ROW()-1),"")</f>
        <v/>
      </c>
      <c r="G95" t="str">
        <f t="shared" si="11"/>
        <v/>
      </c>
      <c r="H95" t="str">
        <f t="shared" si="12"/>
        <v/>
      </c>
      <c r="I95" t="str">
        <f t="shared" si="13"/>
        <v/>
      </c>
    </row>
    <row r="96" spans="1:9" x14ac:dyDescent="0.4">
      <c r="A96" t="str">
        <f t="shared" si="7"/>
        <v/>
      </c>
      <c r="B96" t="str">
        <f t="shared" si="8"/>
        <v/>
      </c>
      <c r="C96" t="str">
        <f t="shared" si="9"/>
        <v/>
      </c>
      <c r="D96" t="str">
        <f t="shared" si="10"/>
        <v/>
      </c>
      <c r="E96" t="str">
        <f>IF(F96="","",IF(COUNTIF($F$2:F96,F96)&gt;1,"",SUMIFS(tbl_input[필요수량],tbl_input[집계키_센터],F96)))</f>
        <v/>
      </c>
      <c r="F96" t="str">
        <f>IFERROR(INDEX(tbl_input[집계키_센터],ROW()-1),"")</f>
        <v/>
      </c>
      <c r="G96" t="str">
        <f t="shared" si="11"/>
        <v/>
      </c>
      <c r="H96" t="str">
        <f t="shared" si="12"/>
        <v/>
      </c>
      <c r="I96" t="str">
        <f t="shared" si="13"/>
        <v/>
      </c>
    </row>
    <row r="97" spans="1:9" x14ac:dyDescent="0.4">
      <c r="A97" t="str">
        <f t="shared" si="7"/>
        <v/>
      </c>
      <c r="B97" t="str">
        <f t="shared" si="8"/>
        <v/>
      </c>
      <c r="C97" t="str">
        <f t="shared" si="9"/>
        <v/>
      </c>
      <c r="D97" t="str">
        <f t="shared" si="10"/>
        <v/>
      </c>
      <c r="E97" t="str">
        <f>IF(F97="","",IF(COUNTIF($F$2:F97,F97)&gt;1,"",SUMIFS(tbl_input[필요수량],tbl_input[집계키_센터],F97)))</f>
        <v/>
      </c>
      <c r="F97" t="str">
        <f>IFERROR(INDEX(tbl_input[집계키_센터],ROW()-1),"")</f>
        <v/>
      </c>
      <c r="G97" t="str">
        <f t="shared" si="11"/>
        <v/>
      </c>
      <c r="H97" t="str">
        <f t="shared" si="12"/>
        <v/>
      </c>
      <c r="I97" t="str">
        <f t="shared" si="13"/>
        <v/>
      </c>
    </row>
    <row r="98" spans="1:9" x14ac:dyDescent="0.4">
      <c r="A98" t="str">
        <f t="shared" si="7"/>
        <v/>
      </c>
      <c r="B98" t="str">
        <f t="shared" si="8"/>
        <v/>
      </c>
      <c r="C98" t="str">
        <f t="shared" si="9"/>
        <v/>
      </c>
      <c r="D98" t="str">
        <f t="shared" si="10"/>
        <v/>
      </c>
      <c r="E98" t="str">
        <f>IF(F98="","",IF(COUNTIF($F$2:F98,F98)&gt;1,"",SUMIFS(tbl_input[필요수량],tbl_input[집계키_센터],F98)))</f>
        <v/>
      </c>
      <c r="F98" t="str">
        <f>IFERROR(INDEX(tbl_input[집계키_센터],ROW()-1),"")</f>
        <v/>
      </c>
      <c r="G98" t="str">
        <f t="shared" si="11"/>
        <v/>
      </c>
      <c r="H98" t="str">
        <f t="shared" si="12"/>
        <v/>
      </c>
      <c r="I98" t="str">
        <f t="shared" si="13"/>
        <v/>
      </c>
    </row>
    <row r="99" spans="1:9" x14ac:dyDescent="0.4">
      <c r="A99" t="str">
        <f t="shared" si="7"/>
        <v/>
      </c>
      <c r="B99" t="str">
        <f t="shared" si="8"/>
        <v/>
      </c>
      <c r="C99" t="str">
        <f t="shared" si="9"/>
        <v/>
      </c>
      <c r="D99" t="str">
        <f t="shared" si="10"/>
        <v/>
      </c>
      <c r="E99" t="str">
        <f>IF(F99="","",IF(COUNTIF($F$2:F99,F99)&gt;1,"",SUMIFS(tbl_input[필요수량],tbl_input[집계키_센터],F99)))</f>
        <v/>
      </c>
      <c r="F99" t="str">
        <f>IFERROR(INDEX(tbl_input[집계키_센터],ROW()-1),"")</f>
        <v/>
      </c>
      <c r="G99" t="str">
        <f t="shared" si="11"/>
        <v/>
      </c>
      <c r="H99" t="str">
        <f t="shared" si="12"/>
        <v/>
      </c>
      <c r="I99" t="str">
        <f t="shared" si="13"/>
        <v/>
      </c>
    </row>
    <row r="100" spans="1:9" x14ac:dyDescent="0.4">
      <c r="A100" t="str">
        <f t="shared" si="7"/>
        <v/>
      </c>
      <c r="B100" t="str">
        <f t="shared" si="8"/>
        <v/>
      </c>
      <c r="C100" t="str">
        <f t="shared" si="9"/>
        <v/>
      </c>
      <c r="D100" t="str">
        <f t="shared" si="10"/>
        <v/>
      </c>
      <c r="E100" t="str">
        <f>IF(F100="","",IF(COUNTIF($F$2:F100,F100)&gt;1,"",SUMIFS(tbl_input[필요수량],tbl_input[집계키_센터],F100)))</f>
        <v/>
      </c>
      <c r="F100" t="str">
        <f>IFERROR(INDEX(tbl_input[집계키_센터],ROW()-1),"")</f>
        <v/>
      </c>
      <c r="G100" t="str">
        <f t="shared" si="11"/>
        <v/>
      </c>
      <c r="H100" t="str">
        <f t="shared" si="12"/>
        <v/>
      </c>
      <c r="I100" t="str">
        <f t="shared" si="13"/>
        <v/>
      </c>
    </row>
    <row r="101" spans="1:9" x14ac:dyDescent="0.4">
      <c r="A101" t="str">
        <f t="shared" si="7"/>
        <v/>
      </c>
      <c r="B101" t="str">
        <f t="shared" si="8"/>
        <v/>
      </c>
      <c r="C101" t="str">
        <f t="shared" si="9"/>
        <v/>
      </c>
      <c r="D101" t="str">
        <f t="shared" si="10"/>
        <v/>
      </c>
      <c r="E101" t="str">
        <f>IF(F101="","",IF(COUNTIF($F$2:F101,F101)&gt;1,"",SUMIFS(tbl_input[필요수량],tbl_input[집계키_센터],F101)))</f>
        <v/>
      </c>
      <c r="F101" t="str">
        <f>IFERROR(INDEX(tbl_input[집계키_센터],ROW()-1),"")</f>
        <v/>
      </c>
      <c r="G101" t="str">
        <f t="shared" si="11"/>
        <v/>
      </c>
      <c r="H101" t="str">
        <f t="shared" si="12"/>
        <v/>
      </c>
      <c r="I101" t="str">
        <f t="shared" si="13"/>
        <v/>
      </c>
    </row>
    <row r="102" spans="1:9" x14ac:dyDescent="0.4">
      <c r="A102" t="str">
        <f t="shared" si="7"/>
        <v/>
      </c>
      <c r="B102" t="str">
        <f t="shared" si="8"/>
        <v/>
      </c>
      <c r="C102" t="str">
        <f t="shared" si="9"/>
        <v/>
      </c>
      <c r="D102" t="str">
        <f t="shared" si="10"/>
        <v/>
      </c>
      <c r="E102" t="str">
        <f>IF(F102="","",IF(COUNTIF($F$2:F102,F102)&gt;1,"",SUMIFS(tbl_input[필요수량],tbl_input[집계키_센터],F102)))</f>
        <v/>
      </c>
      <c r="F102" t="str">
        <f>IFERROR(INDEX(tbl_input[집계키_센터],ROW()-1),"")</f>
        <v/>
      </c>
      <c r="G102" t="str">
        <f t="shared" si="11"/>
        <v/>
      </c>
      <c r="H102" t="str">
        <f t="shared" si="12"/>
        <v/>
      </c>
      <c r="I102" t="str">
        <f t="shared" si="13"/>
        <v/>
      </c>
    </row>
    <row r="103" spans="1:9" x14ac:dyDescent="0.4">
      <c r="A103" t="str">
        <f t="shared" si="7"/>
        <v/>
      </c>
      <c r="B103" t="str">
        <f t="shared" si="8"/>
        <v/>
      </c>
      <c r="C103" t="str">
        <f t="shared" si="9"/>
        <v/>
      </c>
      <c r="D103" t="str">
        <f t="shared" si="10"/>
        <v/>
      </c>
      <c r="E103" t="str">
        <f>IF(F103="","",IF(COUNTIF($F$2:F103,F103)&gt;1,"",SUMIFS(tbl_input[필요수량],tbl_input[집계키_센터],F103)))</f>
        <v/>
      </c>
      <c r="F103" t="str">
        <f>IFERROR(INDEX(tbl_input[집계키_센터],ROW()-1),"")</f>
        <v/>
      </c>
      <c r="G103" t="str">
        <f t="shared" si="11"/>
        <v/>
      </c>
      <c r="H103" t="str">
        <f t="shared" si="12"/>
        <v/>
      </c>
      <c r="I103" t="str">
        <f t="shared" si="13"/>
        <v/>
      </c>
    </row>
    <row r="104" spans="1:9" x14ac:dyDescent="0.4">
      <c r="A104" t="str">
        <f t="shared" si="7"/>
        <v/>
      </c>
      <c r="B104" t="str">
        <f t="shared" si="8"/>
        <v/>
      </c>
      <c r="C104" t="str">
        <f t="shared" si="9"/>
        <v/>
      </c>
      <c r="D104" t="str">
        <f t="shared" si="10"/>
        <v/>
      </c>
      <c r="E104" t="str">
        <f>IF(F104="","",IF(COUNTIF($F$2:F104,F104)&gt;1,"",SUMIFS(tbl_input[필요수량],tbl_input[집계키_센터],F104)))</f>
        <v/>
      </c>
      <c r="F104" t="str">
        <f>IFERROR(INDEX(tbl_input[집계키_센터],ROW()-1),"")</f>
        <v/>
      </c>
      <c r="G104" t="str">
        <f t="shared" si="11"/>
        <v/>
      </c>
      <c r="H104" t="str">
        <f t="shared" si="12"/>
        <v/>
      </c>
      <c r="I104" t="str">
        <f t="shared" si="13"/>
        <v/>
      </c>
    </row>
    <row r="105" spans="1:9" x14ac:dyDescent="0.4">
      <c r="A105" t="str">
        <f t="shared" si="7"/>
        <v/>
      </c>
      <c r="B105" t="str">
        <f t="shared" si="8"/>
        <v/>
      </c>
      <c r="C105" t="str">
        <f t="shared" si="9"/>
        <v/>
      </c>
      <c r="D105" t="str">
        <f t="shared" si="10"/>
        <v/>
      </c>
      <c r="E105" t="str">
        <f>IF(F105="","",IF(COUNTIF($F$2:F105,F105)&gt;1,"",SUMIFS(tbl_input[필요수량],tbl_input[집계키_센터],F105)))</f>
        <v/>
      </c>
      <c r="F105" t="str">
        <f>IFERROR(INDEX(tbl_input[집계키_센터],ROW()-1),"")</f>
        <v/>
      </c>
      <c r="G105" t="str">
        <f t="shared" si="11"/>
        <v/>
      </c>
      <c r="H105" t="str">
        <f t="shared" si="12"/>
        <v/>
      </c>
      <c r="I105" t="str">
        <f t="shared" si="13"/>
        <v/>
      </c>
    </row>
    <row r="106" spans="1:9" x14ac:dyDescent="0.4">
      <c r="A106" t="str">
        <f t="shared" si="7"/>
        <v/>
      </c>
      <c r="B106" t="str">
        <f t="shared" si="8"/>
        <v/>
      </c>
      <c r="C106" t="str">
        <f t="shared" si="9"/>
        <v/>
      </c>
      <c r="D106" t="str">
        <f t="shared" si="10"/>
        <v/>
      </c>
      <c r="E106" t="str">
        <f>IF(F106="","",IF(COUNTIF($F$2:F106,F106)&gt;1,"",SUMIFS(tbl_input[필요수량],tbl_input[집계키_센터],F106)))</f>
        <v/>
      </c>
      <c r="F106" t="str">
        <f>IFERROR(INDEX(tbl_input[집계키_센터],ROW()-1),"")</f>
        <v/>
      </c>
      <c r="G106" t="str">
        <f t="shared" si="11"/>
        <v/>
      </c>
      <c r="H106" t="str">
        <f t="shared" si="12"/>
        <v/>
      </c>
      <c r="I106" t="str">
        <f t="shared" si="13"/>
        <v/>
      </c>
    </row>
    <row r="107" spans="1:9" x14ac:dyDescent="0.4">
      <c r="A107" t="str">
        <f t="shared" si="7"/>
        <v/>
      </c>
      <c r="B107" t="str">
        <f t="shared" si="8"/>
        <v/>
      </c>
      <c r="C107" t="str">
        <f t="shared" si="9"/>
        <v/>
      </c>
      <c r="D107" t="str">
        <f t="shared" si="10"/>
        <v/>
      </c>
      <c r="E107" t="str">
        <f>IF(F107="","",IF(COUNTIF($F$2:F107,F107)&gt;1,"",SUMIFS(tbl_input[필요수량],tbl_input[집계키_센터],F107)))</f>
        <v/>
      </c>
      <c r="F107" t="str">
        <f>IFERROR(INDEX(tbl_input[집계키_센터],ROW()-1),"")</f>
        <v/>
      </c>
      <c r="G107" t="str">
        <f t="shared" si="11"/>
        <v/>
      </c>
      <c r="H107" t="str">
        <f t="shared" si="12"/>
        <v/>
      </c>
      <c r="I107" t="str">
        <f t="shared" si="13"/>
        <v/>
      </c>
    </row>
    <row r="108" spans="1:9" x14ac:dyDescent="0.4">
      <c r="A108" t="str">
        <f t="shared" si="7"/>
        <v/>
      </c>
      <c r="B108" t="str">
        <f t="shared" si="8"/>
        <v/>
      </c>
      <c r="C108" t="str">
        <f t="shared" si="9"/>
        <v/>
      </c>
      <c r="D108" t="str">
        <f t="shared" si="10"/>
        <v/>
      </c>
      <c r="E108" t="str">
        <f>IF(F108="","",IF(COUNTIF($F$2:F108,F108)&gt;1,"",SUMIFS(tbl_input[필요수량],tbl_input[집계키_센터],F108)))</f>
        <v/>
      </c>
      <c r="F108" t="str">
        <f>IFERROR(INDEX(tbl_input[집계키_센터],ROW()-1),"")</f>
        <v/>
      </c>
      <c r="G108" t="str">
        <f t="shared" si="11"/>
        <v/>
      </c>
      <c r="H108" t="str">
        <f t="shared" si="12"/>
        <v/>
      </c>
      <c r="I108" t="str">
        <f t="shared" si="13"/>
        <v/>
      </c>
    </row>
    <row r="109" spans="1:9" x14ac:dyDescent="0.4">
      <c r="A109" t="str">
        <f t="shared" si="7"/>
        <v/>
      </c>
      <c r="B109" t="str">
        <f t="shared" si="8"/>
        <v/>
      </c>
      <c r="C109" t="str">
        <f t="shared" si="9"/>
        <v/>
      </c>
      <c r="D109" t="str">
        <f t="shared" si="10"/>
        <v/>
      </c>
      <c r="E109" t="str">
        <f>IF(F109="","",IF(COUNTIF($F$2:F109,F109)&gt;1,"",SUMIFS(tbl_input[필요수량],tbl_input[집계키_센터],F109)))</f>
        <v/>
      </c>
      <c r="F109" t="str">
        <f>IFERROR(INDEX(tbl_input[집계키_센터],ROW()-1),"")</f>
        <v/>
      </c>
      <c r="G109" t="str">
        <f t="shared" si="11"/>
        <v/>
      </c>
      <c r="H109" t="str">
        <f t="shared" si="12"/>
        <v/>
      </c>
      <c r="I109" t="str">
        <f t="shared" si="13"/>
        <v/>
      </c>
    </row>
    <row r="110" spans="1:9" x14ac:dyDescent="0.4">
      <c r="A110" t="str">
        <f t="shared" si="7"/>
        <v/>
      </c>
      <c r="B110" t="str">
        <f t="shared" si="8"/>
        <v/>
      </c>
      <c r="C110" t="str">
        <f t="shared" si="9"/>
        <v/>
      </c>
      <c r="D110" t="str">
        <f t="shared" si="10"/>
        <v/>
      </c>
      <c r="E110" t="str">
        <f>IF(F110="","",IF(COUNTIF($F$2:F110,F110)&gt;1,"",SUMIFS(tbl_input[필요수량],tbl_input[집계키_센터],F110)))</f>
        <v/>
      </c>
      <c r="F110" t="str">
        <f>IFERROR(INDEX(tbl_input[집계키_센터],ROW()-1),"")</f>
        <v/>
      </c>
      <c r="G110" t="str">
        <f t="shared" si="11"/>
        <v/>
      </c>
      <c r="H110" t="str">
        <f t="shared" si="12"/>
        <v/>
      </c>
      <c r="I110" t="str">
        <f t="shared" si="13"/>
        <v/>
      </c>
    </row>
    <row r="111" spans="1:9" x14ac:dyDescent="0.4">
      <c r="A111" t="str">
        <f t="shared" si="7"/>
        <v/>
      </c>
      <c r="B111" t="str">
        <f t="shared" si="8"/>
        <v/>
      </c>
      <c r="C111" t="str">
        <f t="shared" si="9"/>
        <v/>
      </c>
      <c r="D111" t="str">
        <f t="shared" si="10"/>
        <v/>
      </c>
      <c r="E111" t="str">
        <f>IF(F111="","",IF(COUNTIF($F$2:F111,F111)&gt;1,"",SUMIFS(tbl_input[필요수량],tbl_input[집계키_센터],F111)))</f>
        <v/>
      </c>
      <c r="F111" t="str">
        <f>IFERROR(INDEX(tbl_input[집계키_센터],ROW()-1),"")</f>
        <v/>
      </c>
      <c r="G111" t="str">
        <f t="shared" si="11"/>
        <v/>
      </c>
      <c r="H111" t="str">
        <f t="shared" si="12"/>
        <v/>
      </c>
      <c r="I111" t="str">
        <f t="shared" si="13"/>
        <v/>
      </c>
    </row>
    <row r="112" spans="1:9" x14ac:dyDescent="0.4">
      <c r="A112" t="str">
        <f t="shared" si="7"/>
        <v/>
      </c>
      <c r="B112" t="str">
        <f t="shared" si="8"/>
        <v/>
      </c>
      <c r="C112" t="str">
        <f t="shared" si="9"/>
        <v/>
      </c>
      <c r="D112" t="str">
        <f t="shared" si="10"/>
        <v/>
      </c>
      <c r="E112" t="str">
        <f>IF(F112="","",IF(COUNTIF($F$2:F112,F112)&gt;1,"",SUMIFS(tbl_input[필요수량],tbl_input[집계키_센터],F112)))</f>
        <v/>
      </c>
      <c r="F112" t="str">
        <f>IFERROR(INDEX(tbl_input[집계키_센터],ROW()-1),"")</f>
        <v/>
      </c>
      <c r="G112" t="str">
        <f t="shared" si="11"/>
        <v/>
      </c>
      <c r="H112" t="str">
        <f t="shared" si="12"/>
        <v/>
      </c>
      <c r="I112" t="str">
        <f t="shared" si="13"/>
        <v/>
      </c>
    </row>
    <row r="113" spans="1:9" x14ac:dyDescent="0.4">
      <c r="A113" t="str">
        <f t="shared" si="7"/>
        <v/>
      </c>
      <c r="B113" t="str">
        <f t="shared" si="8"/>
        <v/>
      </c>
      <c r="C113" t="str">
        <f t="shared" si="9"/>
        <v/>
      </c>
      <c r="D113" t="str">
        <f t="shared" si="10"/>
        <v/>
      </c>
      <c r="E113" t="str">
        <f>IF(F113="","",IF(COUNTIF($F$2:F113,F113)&gt;1,"",SUMIFS(tbl_input[필요수량],tbl_input[집계키_센터],F113)))</f>
        <v/>
      </c>
      <c r="F113" t="str">
        <f>IFERROR(INDEX(tbl_input[집계키_센터],ROW()-1),"")</f>
        <v/>
      </c>
      <c r="G113" t="str">
        <f t="shared" si="11"/>
        <v/>
      </c>
      <c r="H113" t="str">
        <f t="shared" si="12"/>
        <v/>
      </c>
      <c r="I113" t="str">
        <f t="shared" si="13"/>
        <v/>
      </c>
    </row>
    <row r="114" spans="1:9" x14ac:dyDescent="0.4">
      <c r="A114" t="str">
        <f t="shared" si="7"/>
        <v/>
      </c>
      <c r="B114" t="str">
        <f t="shared" si="8"/>
        <v/>
      </c>
      <c r="C114" t="str">
        <f t="shared" si="9"/>
        <v/>
      </c>
      <c r="D114" t="str">
        <f t="shared" si="10"/>
        <v/>
      </c>
      <c r="E114" t="str">
        <f>IF(F114="","",IF(COUNTIF($F$2:F114,F114)&gt;1,"",SUMIFS(tbl_input[필요수량],tbl_input[집계키_센터],F114)))</f>
        <v/>
      </c>
      <c r="F114" t="str">
        <f>IFERROR(INDEX(tbl_input[집계키_센터],ROW()-1),"")</f>
        <v/>
      </c>
      <c r="G114" t="str">
        <f t="shared" si="11"/>
        <v/>
      </c>
      <c r="H114" t="str">
        <f t="shared" si="12"/>
        <v/>
      </c>
      <c r="I114" t="str">
        <f t="shared" si="13"/>
        <v/>
      </c>
    </row>
    <row r="115" spans="1:9" x14ac:dyDescent="0.4">
      <c r="A115" t="str">
        <f t="shared" si="7"/>
        <v/>
      </c>
      <c r="B115" t="str">
        <f t="shared" si="8"/>
        <v/>
      </c>
      <c r="C115" t="str">
        <f t="shared" si="9"/>
        <v/>
      </c>
      <c r="D115" t="str">
        <f t="shared" si="10"/>
        <v/>
      </c>
      <c r="E115" t="str">
        <f>IF(F115="","",IF(COUNTIF($F$2:F115,F115)&gt;1,"",SUMIFS(tbl_input[필요수량],tbl_input[집계키_센터],F115)))</f>
        <v/>
      </c>
      <c r="F115" t="str">
        <f>IFERROR(INDEX(tbl_input[집계키_센터],ROW()-1),"")</f>
        <v/>
      </c>
      <c r="G115" t="str">
        <f t="shared" si="11"/>
        <v/>
      </c>
      <c r="H115" t="str">
        <f t="shared" si="12"/>
        <v/>
      </c>
      <c r="I115" t="str">
        <f t="shared" si="13"/>
        <v/>
      </c>
    </row>
    <row r="116" spans="1:9" x14ac:dyDescent="0.4">
      <c r="A116" t="str">
        <f t="shared" si="7"/>
        <v/>
      </c>
      <c r="B116" t="str">
        <f t="shared" si="8"/>
        <v/>
      </c>
      <c r="C116" t="str">
        <f t="shared" si="9"/>
        <v/>
      </c>
      <c r="D116" t="str">
        <f t="shared" si="10"/>
        <v/>
      </c>
      <c r="E116" t="str">
        <f>IF(F116="","",IF(COUNTIF($F$2:F116,F116)&gt;1,"",SUMIFS(tbl_input[필요수량],tbl_input[집계키_센터],F116)))</f>
        <v/>
      </c>
      <c r="F116" t="str">
        <f>IFERROR(INDEX(tbl_input[집계키_센터],ROW()-1),"")</f>
        <v/>
      </c>
      <c r="G116" t="str">
        <f t="shared" si="11"/>
        <v/>
      </c>
      <c r="H116" t="str">
        <f t="shared" si="12"/>
        <v/>
      </c>
      <c r="I116" t="str">
        <f t="shared" si="13"/>
        <v/>
      </c>
    </row>
    <row r="117" spans="1:9" x14ac:dyDescent="0.4">
      <c r="A117" t="str">
        <f t="shared" si="7"/>
        <v/>
      </c>
      <c r="B117" t="str">
        <f t="shared" si="8"/>
        <v/>
      </c>
      <c r="C117" t="str">
        <f t="shared" si="9"/>
        <v/>
      </c>
      <c r="D117" t="str">
        <f t="shared" si="10"/>
        <v/>
      </c>
      <c r="E117" t="str">
        <f>IF(F117="","",IF(COUNTIF($F$2:F117,F117)&gt;1,"",SUMIFS(tbl_input[필요수량],tbl_input[집계키_센터],F117)))</f>
        <v/>
      </c>
      <c r="F117" t="str">
        <f>IFERROR(INDEX(tbl_input[집계키_센터],ROW()-1),"")</f>
        <v/>
      </c>
      <c r="G117" t="str">
        <f t="shared" si="11"/>
        <v/>
      </c>
      <c r="H117" t="str">
        <f t="shared" si="12"/>
        <v/>
      </c>
      <c r="I117" t="str">
        <f t="shared" si="13"/>
        <v/>
      </c>
    </row>
    <row r="118" spans="1:9" x14ac:dyDescent="0.4">
      <c r="A118" t="str">
        <f t="shared" si="7"/>
        <v/>
      </c>
      <c r="B118" t="str">
        <f t="shared" si="8"/>
        <v/>
      </c>
      <c r="C118" t="str">
        <f t="shared" si="9"/>
        <v/>
      </c>
      <c r="D118" t="str">
        <f t="shared" si="10"/>
        <v/>
      </c>
      <c r="E118" t="str">
        <f>IF(F118="","",IF(COUNTIF($F$2:F118,F118)&gt;1,"",SUMIFS(tbl_input[필요수량],tbl_input[집계키_센터],F118)))</f>
        <v/>
      </c>
      <c r="F118" t="str">
        <f>IFERROR(INDEX(tbl_input[집계키_센터],ROW()-1),"")</f>
        <v/>
      </c>
      <c r="G118" t="str">
        <f t="shared" si="11"/>
        <v/>
      </c>
      <c r="H118" t="str">
        <f t="shared" si="12"/>
        <v/>
      </c>
      <c r="I118" t="str">
        <f t="shared" si="13"/>
        <v/>
      </c>
    </row>
    <row r="119" spans="1:9" x14ac:dyDescent="0.4">
      <c r="A119" t="str">
        <f t="shared" si="7"/>
        <v/>
      </c>
      <c r="B119" t="str">
        <f t="shared" si="8"/>
        <v/>
      </c>
      <c r="C119" t="str">
        <f t="shared" si="9"/>
        <v/>
      </c>
      <c r="D119" t="str">
        <f t="shared" si="10"/>
        <v/>
      </c>
      <c r="E119" t="str">
        <f>IF(F119="","",IF(COUNTIF($F$2:F119,F119)&gt;1,"",SUMIFS(tbl_input[필요수량],tbl_input[집계키_센터],F119)))</f>
        <v/>
      </c>
      <c r="F119" t="str">
        <f>IFERROR(INDEX(tbl_input[집계키_센터],ROW()-1),"")</f>
        <v/>
      </c>
      <c r="G119" t="str">
        <f t="shared" si="11"/>
        <v/>
      </c>
      <c r="H119" t="str">
        <f t="shared" si="12"/>
        <v/>
      </c>
      <c r="I119" t="str">
        <f t="shared" si="13"/>
        <v/>
      </c>
    </row>
    <row r="120" spans="1:9" x14ac:dyDescent="0.4">
      <c r="A120" t="str">
        <f t="shared" si="7"/>
        <v/>
      </c>
      <c r="B120" t="str">
        <f t="shared" si="8"/>
        <v/>
      </c>
      <c r="C120" t="str">
        <f t="shared" si="9"/>
        <v/>
      </c>
      <c r="D120" t="str">
        <f t="shared" si="10"/>
        <v/>
      </c>
      <c r="E120" t="str">
        <f>IF(F120="","",IF(COUNTIF($F$2:F120,F120)&gt;1,"",SUMIFS(tbl_input[필요수량],tbl_input[집계키_센터],F120)))</f>
        <v/>
      </c>
      <c r="F120" t="str">
        <f>IFERROR(INDEX(tbl_input[집계키_센터],ROW()-1),"")</f>
        <v/>
      </c>
      <c r="G120" t="str">
        <f t="shared" si="11"/>
        <v/>
      </c>
      <c r="H120" t="str">
        <f t="shared" si="12"/>
        <v/>
      </c>
      <c r="I120" t="str">
        <f t="shared" si="13"/>
        <v/>
      </c>
    </row>
    <row r="121" spans="1:9" x14ac:dyDescent="0.4">
      <c r="A121" t="str">
        <f t="shared" si="7"/>
        <v/>
      </c>
      <c r="B121" t="str">
        <f t="shared" si="8"/>
        <v/>
      </c>
      <c r="C121" t="str">
        <f t="shared" si="9"/>
        <v/>
      </c>
      <c r="D121" t="str">
        <f t="shared" si="10"/>
        <v/>
      </c>
      <c r="E121" t="str">
        <f>IF(F121="","",IF(COUNTIF($F$2:F121,F121)&gt;1,"",SUMIFS(tbl_input[필요수량],tbl_input[집계키_센터],F121)))</f>
        <v/>
      </c>
      <c r="F121" t="str">
        <f>IFERROR(INDEX(tbl_input[집계키_센터],ROW()-1),"")</f>
        <v/>
      </c>
      <c r="G121" t="str">
        <f t="shared" si="11"/>
        <v/>
      </c>
      <c r="H121" t="str">
        <f t="shared" si="12"/>
        <v/>
      </c>
      <c r="I121" t="str">
        <f t="shared" si="13"/>
        <v/>
      </c>
    </row>
    <row r="122" spans="1:9" x14ac:dyDescent="0.4">
      <c r="A122" t="str">
        <f t="shared" si="7"/>
        <v/>
      </c>
      <c r="B122" t="str">
        <f t="shared" si="8"/>
        <v/>
      </c>
      <c r="C122" t="str">
        <f t="shared" si="9"/>
        <v/>
      </c>
      <c r="D122" t="str">
        <f t="shared" si="10"/>
        <v/>
      </c>
      <c r="E122" t="str">
        <f>IF(F122="","",IF(COUNTIF($F$2:F122,F122)&gt;1,"",SUMIFS(tbl_input[필요수량],tbl_input[집계키_센터],F122)))</f>
        <v/>
      </c>
      <c r="F122" t="str">
        <f>IFERROR(INDEX(tbl_input[집계키_센터],ROW()-1),"")</f>
        <v/>
      </c>
      <c r="G122" t="str">
        <f t="shared" si="11"/>
        <v/>
      </c>
      <c r="H122" t="str">
        <f t="shared" si="12"/>
        <v/>
      </c>
      <c r="I122" t="str">
        <f t="shared" si="13"/>
        <v/>
      </c>
    </row>
    <row r="123" spans="1:9" x14ac:dyDescent="0.4">
      <c r="A123" t="str">
        <f t="shared" si="7"/>
        <v/>
      </c>
      <c r="B123" t="str">
        <f t="shared" si="8"/>
        <v/>
      </c>
      <c r="C123" t="str">
        <f t="shared" si="9"/>
        <v/>
      </c>
      <c r="D123" t="str">
        <f t="shared" si="10"/>
        <v/>
      </c>
      <c r="E123" t="str">
        <f>IF(F123="","",IF(COUNTIF($F$2:F123,F123)&gt;1,"",SUMIFS(tbl_input[필요수량],tbl_input[집계키_센터],F123)))</f>
        <v/>
      </c>
      <c r="F123" t="str">
        <f>IFERROR(INDEX(tbl_input[집계키_센터],ROW()-1),"")</f>
        <v/>
      </c>
      <c r="G123" t="str">
        <f t="shared" si="11"/>
        <v/>
      </c>
      <c r="H123" t="str">
        <f t="shared" si="12"/>
        <v/>
      </c>
      <c r="I123" t="str">
        <f t="shared" si="13"/>
        <v/>
      </c>
    </row>
    <row r="124" spans="1:9" x14ac:dyDescent="0.4">
      <c r="A124" t="str">
        <f t="shared" si="7"/>
        <v/>
      </c>
      <c r="B124" t="str">
        <f t="shared" si="8"/>
        <v/>
      </c>
      <c r="C124" t="str">
        <f t="shared" si="9"/>
        <v/>
      </c>
      <c r="D124" t="str">
        <f t="shared" si="10"/>
        <v/>
      </c>
      <c r="E124" t="str">
        <f>IF(F124="","",IF(COUNTIF($F$2:F124,F124)&gt;1,"",SUMIFS(tbl_input[필요수량],tbl_input[집계키_센터],F124)))</f>
        <v/>
      </c>
      <c r="F124" t="str">
        <f>IFERROR(INDEX(tbl_input[집계키_센터],ROW()-1),"")</f>
        <v/>
      </c>
      <c r="G124" t="str">
        <f t="shared" si="11"/>
        <v/>
      </c>
      <c r="H124" t="str">
        <f t="shared" si="12"/>
        <v/>
      </c>
      <c r="I124" t="str">
        <f t="shared" si="13"/>
        <v/>
      </c>
    </row>
    <row r="125" spans="1:9" x14ac:dyDescent="0.4">
      <c r="A125" t="str">
        <f t="shared" si="7"/>
        <v/>
      </c>
      <c r="B125" t="str">
        <f t="shared" si="8"/>
        <v/>
      </c>
      <c r="C125" t="str">
        <f t="shared" si="9"/>
        <v/>
      </c>
      <c r="D125" t="str">
        <f t="shared" si="10"/>
        <v/>
      </c>
      <c r="E125" t="str">
        <f>IF(F125="","",IF(COUNTIF($F$2:F125,F125)&gt;1,"",SUMIFS(tbl_input[필요수량],tbl_input[집계키_센터],F125)))</f>
        <v/>
      </c>
      <c r="F125" t="str">
        <f>IFERROR(INDEX(tbl_input[집계키_센터],ROW()-1),"")</f>
        <v/>
      </c>
      <c r="G125" t="str">
        <f t="shared" si="11"/>
        <v/>
      </c>
      <c r="H125" t="str">
        <f t="shared" si="12"/>
        <v/>
      </c>
      <c r="I125" t="str">
        <f t="shared" si="13"/>
        <v/>
      </c>
    </row>
    <row r="126" spans="1:9" x14ac:dyDescent="0.4">
      <c r="A126" t="str">
        <f t="shared" si="7"/>
        <v/>
      </c>
      <c r="B126" t="str">
        <f t="shared" si="8"/>
        <v/>
      </c>
      <c r="C126" t="str">
        <f t="shared" si="9"/>
        <v/>
      </c>
      <c r="D126" t="str">
        <f t="shared" si="10"/>
        <v/>
      </c>
      <c r="E126" t="str">
        <f>IF(F126="","",IF(COUNTIF($F$2:F126,F126)&gt;1,"",SUMIFS(tbl_input[필요수량],tbl_input[집계키_센터],F126)))</f>
        <v/>
      </c>
      <c r="F126" t="str">
        <f>IFERROR(INDEX(tbl_input[집계키_센터],ROW()-1),"")</f>
        <v/>
      </c>
      <c r="G126" t="str">
        <f t="shared" si="11"/>
        <v/>
      </c>
      <c r="H126" t="str">
        <f t="shared" si="12"/>
        <v/>
      </c>
      <c r="I126" t="str">
        <f t="shared" si="13"/>
        <v/>
      </c>
    </row>
    <row r="127" spans="1:9" x14ac:dyDescent="0.4">
      <c r="A127" t="str">
        <f t="shared" si="7"/>
        <v/>
      </c>
      <c r="B127" t="str">
        <f t="shared" si="8"/>
        <v/>
      </c>
      <c r="C127" t="str">
        <f t="shared" si="9"/>
        <v/>
      </c>
      <c r="D127" t="str">
        <f t="shared" si="10"/>
        <v/>
      </c>
      <c r="E127" t="str">
        <f>IF(F127="","",IF(COUNTIF($F$2:F127,F127)&gt;1,"",SUMIFS(tbl_input[필요수량],tbl_input[집계키_센터],F127)))</f>
        <v/>
      </c>
      <c r="F127" t="str">
        <f>IFERROR(INDEX(tbl_input[집계키_센터],ROW()-1),"")</f>
        <v/>
      </c>
      <c r="G127" t="str">
        <f t="shared" si="11"/>
        <v/>
      </c>
      <c r="H127" t="str">
        <f t="shared" si="12"/>
        <v/>
      </c>
      <c r="I127" t="str">
        <f t="shared" si="13"/>
        <v/>
      </c>
    </row>
    <row r="128" spans="1:9" x14ac:dyDescent="0.4">
      <c r="A128" t="str">
        <f t="shared" si="7"/>
        <v/>
      </c>
      <c r="B128" t="str">
        <f t="shared" si="8"/>
        <v/>
      </c>
      <c r="C128" t="str">
        <f t="shared" si="9"/>
        <v/>
      </c>
      <c r="D128" t="str">
        <f t="shared" si="10"/>
        <v/>
      </c>
      <c r="E128" t="str">
        <f>IF(F128="","",IF(COUNTIF($F$2:F128,F128)&gt;1,"",SUMIFS(tbl_input[필요수량],tbl_input[집계키_센터],F128)))</f>
        <v/>
      </c>
      <c r="F128" t="str">
        <f>IFERROR(INDEX(tbl_input[집계키_센터],ROW()-1),"")</f>
        <v/>
      </c>
      <c r="G128" t="str">
        <f t="shared" si="11"/>
        <v/>
      </c>
      <c r="H128" t="str">
        <f t="shared" si="12"/>
        <v/>
      </c>
      <c r="I128" t="str">
        <f t="shared" si="13"/>
        <v/>
      </c>
    </row>
    <row r="129" spans="1:9" x14ac:dyDescent="0.4">
      <c r="A129" t="str">
        <f t="shared" si="7"/>
        <v/>
      </c>
      <c r="B129" t="str">
        <f t="shared" si="8"/>
        <v/>
      </c>
      <c r="C129" t="str">
        <f t="shared" si="9"/>
        <v/>
      </c>
      <c r="D129" t="str">
        <f t="shared" si="10"/>
        <v/>
      </c>
      <c r="E129" t="str">
        <f>IF(F129="","",IF(COUNTIF($F$2:F129,F129)&gt;1,"",SUMIFS(tbl_input[필요수량],tbl_input[집계키_센터],F129)))</f>
        <v/>
      </c>
      <c r="F129" t="str">
        <f>IFERROR(INDEX(tbl_input[집계키_센터],ROW()-1),"")</f>
        <v/>
      </c>
      <c r="G129" t="str">
        <f t="shared" si="11"/>
        <v/>
      </c>
      <c r="H129" t="str">
        <f t="shared" si="12"/>
        <v/>
      </c>
      <c r="I129" t="str">
        <f t="shared" si="13"/>
        <v/>
      </c>
    </row>
    <row r="130" spans="1:9" x14ac:dyDescent="0.4">
      <c r="A130" t="str">
        <f t="shared" ref="A130:A193" si="14">IF(F130="","",LEFT(F130,G130-1))</f>
        <v/>
      </c>
      <c r="B130" t="str">
        <f t="shared" ref="B130:B193" si="15">IF(F130="","",MID(F130,G130+1,H130-G130-1))</f>
        <v/>
      </c>
      <c r="C130" t="str">
        <f t="shared" ref="C130:C193" si="16">IF(F130="","",MID(F130,H130+1,I130-H130-1))</f>
        <v/>
      </c>
      <c r="D130" t="str">
        <f t="shared" ref="D130:D193" si="17">IF(F130="","",MID(F130,I130+1,999))</f>
        <v/>
      </c>
      <c r="E130" t="str">
        <f>IF(F130="","",IF(COUNTIF($F$2:F130,F130)&gt;1,"",SUMIFS(tbl_input[필요수량],tbl_input[집계키_센터],F130)))</f>
        <v/>
      </c>
      <c r="F130" t="str">
        <f>IFERROR(INDEX(tbl_input[집계키_센터],ROW()-1),"")</f>
        <v/>
      </c>
      <c r="G130" t="str">
        <f t="shared" ref="G130:G193" si="18">IF(F130="","",FIND("♦",F130))</f>
        <v/>
      </c>
      <c r="H130" t="str">
        <f t="shared" ref="H130:H193" si="19">IF(F130="","",FIND("♦",F130,G130+1))</f>
        <v/>
      </c>
      <c r="I130" t="str">
        <f t="shared" ref="I130:I193" si="20">IF(F130="","",FIND("♦",F130,H130+1))</f>
        <v/>
      </c>
    </row>
    <row r="131" spans="1:9" x14ac:dyDescent="0.4">
      <c r="A131" t="str">
        <f t="shared" si="14"/>
        <v/>
      </c>
      <c r="B131" t="str">
        <f t="shared" si="15"/>
        <v/>
      </c>
      <c r="C131" t="str">
        <f t="shared" si="16"/>
        <v/>
      </c>
      <c r="D131" t="str">
        <f t="shared" si="17"/>
        <v/>
      </c>
      <c r="E131" t="str">
        <f>IF(F131="","",IF(COUNTIF($F$2:F131,F131)&gt;1,"",SUMIFS(tbl_input[필요수량],tbl_input[집계키_센터],F131)))</f>
        <v/>
      </c>
      <c r="F131" t="str">
        <f>IFERROR(INDEX(tbl_input[집계키_센터],ROW()-1),"")</f>
        <v/>
      </c>
      <c r="G131" t="str">
        <f t="shared" si="18"/>
        <v/>
      </c>
      <c r="H131" t="str">
        <f t="shared" si="19"/>
        <v/>
      </c>
      <c r="I131" t="str">
        <f t="shared" si="20"/>
        <v/>
      </c>
    </row>
    <row r="132" spans="1:9" x14ac:dyDescent="0.4">
      <c r="A132" t="str">
        <f t="shared" si="14"/>
        <v/>
      </c>
      <c r="B132" t="str">
        <f t="shared" si="15"/>
        <v/>
      </c>
      <c r="C132" t="str">
        <f t="shared" si="16"/>
        <v/>
      </c>
      <c r="D132" t="str">
        <f t="shared" si="17"/>
        <v/>
      </c>
      <c r="E132" t="str">
        <f>IF(F132="","",IF(COUNTIF($F$2:F132,F132)&gt;1,"",SUMIFS(tbl_input[필요수량],tbl_input[집계키_센터],F132)))</f>
        <v/>
      </c>
      <c r="F132" t="str">
        <f>IFERROR(INDEX(tbl_input[집계키_센터],ROW()-1),"")</f>
        <v/>
      </c>
      <c r="G132" t="str">
        <f t="shared" si="18"/>
        <v/>
      </c>
      <c r="H132" t="str">
        <f t="shared" si="19"/>
        <v/>
      </c>
      <c r="I132" t="str">
        <f t="shared" si="20"/>
        <v/>
      </c>
    </row>
    <row r="133" spans="1:9" x14ac:dyDescent="0.4">
      <c r="A133" t="str">
        <f t="shared" si="14"/>
        <v/>
      </c>
      <c r="B133" t="str">
        <f t="shared" si="15"/>
        <v/>
      </c>
      <c r="C133" t="str">
        <f t="shared" si="16"/>
        <v/>
      </c>
      <c r="D133" t="str">
        <f t="shared" si="17"/>
        <v/>
      </c>
      <c r="E133" t="str">
        <f>IF(F133="","",IF(COUNTIF($F$2:F133,F133)&gt;1,"",SUMIFS(tbl_input[필요수량],tbl_input[집계키_센터],F133)))</f>
        <v/>
      </c>
      <c r="F133" t="str">
        <f>IFERROR(INDEX(tbl_input[집계키_센터],ROW()-1),"")</f>
        <v/>
      </c>
      <c r="G133" t="str">
        <f t="shared" si="18"/>
        <v/>
      </c>
      <c r="H133" t="str">
        <f t="shared" si="19"/>
        <v/>
      </c>
      <c r="I133" t="str">
        <f t="shared" si="20"/>
        <v/>
      </c>
    </row>
    <row r="134" spans="1:9" x14ac:dyDescent="0.4">
      <c r="A134" t="str">
        <f t="shared" si="14"/>
        <v/>
      </c>
      <c r="B134" t="str">
        <f t="shared" si="15"/>
        <v/>
      </c>
      <c r="C134" t="str">
        <f t="shared" si="16"/>
        <v/>
      </c>
      <c r="D134" t="str">
        <f t="shared" si="17"/>
        <v/>
      </c>
      <c r="E134" t="str">
        <f>IF(F134="","",IF(COUNTIF($F$2:F134,F134)&gt;1,"",SUMIFS(tbl_input[필요수량],tbl_input[집계키_센터],F134)))</f>
        <v/>
      </c>
      <c r="F134" t="str">
        <f>IFERROR(INDEX(tbl_input[집계키_센터],ROW()-1),"")</f>
        <v/>
      </c>
      <c r="G134" t="str">
        <f t="shared" si="18"/>
        <v/>
      </c>
      <c r="H134" t="str">
        <f t="shared" si="19"/>
        <v/>
      </c>
      <c r="I134" t="str">
        <f t="shared" si="20"/>
        <v/>
      </c>
    </row>
    <row r="135" spans="1:9" x14ac:dyDescent="0.4">
      <c r="A135" t="str">
        <f t="shared" si="14"/>
        <v/>
      </c>
      <c r="B135" t="str">
        <f t="shared" si="15"/>
        <v/>
      </c>
      <c r="C135" t="str">
        <f t="shared" si="16"/>
        <v/>
      </c>
      <c r="D135" t="str">
        <f t="shared" si="17"/>
        <v/>
      </c>
      <c r="E135" t="str">
        <f>IF(F135="","",IF(COUNTIF($F$2:F135,F135)&gt;1,"",SUMIFS(tbl_input[필요수량],tbl_input[집계키_센터],F135)))</f>
        <v/>
      </c>
      <c r="F135" t="str">
        <f>IFERROR(INDEX(tbl_input[집계키_센터],ROW()-1),"")</f>
        <v/>
      </c>
      <c r="G135" t="str">
        <f t="shared" si="18"/>
        <v/>
      </c>
      <c r="H135" t="str">
        <f t="shared" si="19"/>
        <v/>
      </c>
      <c r="I135" t="str">
        <f t="shared" si="20"/>
        <v/>
      </c>
    </row>
    <row r="136" spans="1:9" x14ac:dyDescent="0.4">
      <c r="A136" t="str">
        <f t="shared" si="14"/>
        <v/>
      </c>
      <c r="B136" t="str">
        <f t="shared" si="15"/>
        <v/>
      </c>
      <c r="C136" t="str">
        <f t="shared" si="16"/>
        <v/>
      </c>
      <c r="D136" t="str">
        <f t="shared" si="17"/>
        <v/>
      </c>
      <c r="E136" t="str">
        <f>IF(F136="","",IF(COUNTIF($F$2:F136,F136)&gt;1,"",SUMIFS(tbl_input[필요수량],tbl_input[집계키_센터],F136)))</f>
        <v/>
      </c>
      <c r="F136" t="str">
        <f>IFERROR(INDEX(tbl_input[집계키_센터],ROW()-1),"")</f>
        <v/>
      </c>
      <c r="G136" t="str">
        <f t="shared" si="18"/>
        <v/>
      </c>
      <c r="H136" t="str">
        <f t="shared" si="19"/>
        <v/>
      </c>
      <c r="I136" t="str">
        <f t="shared" si="20"/>
        <v/>
      </c>
    </row>
    <row r="137" spans="1:9" x14ac:dyDescent="0.4">
      <c r="A137" t="str">
        <f t="shared" si="14"/>
        <v/>
      </c>
      <c r="B137" t="str">
        <f t="shared" si="15"/>
        <v/>
      </c>
      <c r="C137" t="str">
        <f t="shared" si="16"/>
        <v/>
      </c>
      <c r="D137" t="str">
        <f t="shared" si="17"/>
        <v/>
      </c>
      <c r="E137" t="str">
        <f>IF(F137="","",IF(COUNTIF($F$2:F137,F137)&gt;1,"",SUMIFS(tbl_input[필요수량],tbl_input[집계키_센터],F137)))</f>
        <v/>
      </c>
      <c r="F137" t="str">
        <f>IFERROR(INDEX(tbl_input[집계키_센터],ROW()-1),"")</f>
        <v/>
      </c>
      <c r="G137" t="str">
        <f t="shared" si="18"/>
        <v/>
      </c>
      <c r="H137" t="str">
        <f t="shared" si="19"/>
        <v/>
      </c>
      <c r="I137" t="str">
        <f t="shared" si="20"/>
        <v/>
      </c>
    </row>
    <row r="138" spans="1:9" x14ac:dyDescent="0.4">
      <c r="A138" t="str">
        <f t="shared" si="14"/>
        <v/>
      </c>
      <c r="B138" t="str">
        <f t="shared" si="15"/>
        <v/>
      </c>
      <c r="C138" t="str">
        <f t="shared" si="16"/>
        <v/>
      </c>
      <c r="D138" t="str">
        <f t="shared" si="17"/>
        <v/>
      </c>
      <c r="E138" t="str">
        <f>IF(F138="","",IF(COUNTIF($F$2:F138,F138)&gt;1,"",SUMIFS(tbl_input[필요수량],tbl_input[집계키_센터],F138)))</f>
        <v/>
      </c>
      <c r="F138" t="str">
        <f>IFERROR(INDEX(tbl_input[집계키_센터],ROW()-1),"")</f>
        <v/>
      </c>
      <c r="G138" t="str">
        <f t="shared" si="18"/>
        <v/>
      </c>
      <c r="H138" t="str">
        <f t="shared" si="19"/>
        <v/>
      </c>
      <c r="I138" t="str">
        <f t="shared" si="20"/>
        <v/>
      </c>
    </row>
    <row r="139" spans="1:9" x14ac:dyDescent="0.4">
      <c r="A139" t="str">
        <f t="shared" si="14"/>
        <v/>
      </c>
      <c r="B139" t="str">
        <f t="shared" si="15"/>
        <v/>
      </c>
      <c r="C139" t="str">
        <f t="shared" si="16"/>
        <v/>
      </c>
      <c r="D139" t="str">
        <f t="shared" si="17"/>
        <v/>
      </c>
      <c r="E139" t="str">
        <f>IF(F139="","",IF(COUNTIF($F$2:F139,F139)&gt;1,"",SUMIFS(tbl_input[필요수량],tbl_input[집계키_센터],F139)))</f>
        <v/>
      </c>
      <c r="F139" t="str">
        <f>IFERROR(INDEX(tbl_input[집계키_센터],ROW()-1),"")</f>
        <v/>
      </c>
      <c r="G139" t="str">
        <f t="shared" si="18"/>
        <v/>
      </c>
      <c r="H139" t="str">
        <f t="shared" si="19"/>
        <v/>
      </c>
      <c r="I139" t="str">
        <f t="shared" si="20"/>
        <v/>
      </c>
    </row>
    <row r="140" spans="1:9" x14ac:dyDescent="0.4">
      <c r="A140" t="str">
        <f t="shared" si="14"/>
        <v/>
      </c>
      <c r="B140" t="str">
        <f t="shared" si="15"/>
        <v/>
      </c>
      <c r="C140" t="str">
        <f t="shared" si="16"/>
        <v/>
      </c>
      <c r="D140" t="str">
        <f t="shared" si="17"/>
        <v/>
      </c>
      <c r="E140" t="str">
        <f>IF(F140="","",IF(COUNTIF($F$2:F140,F140)&gt;1,"",SUMIFS(tbl_input[필요수량],tbl_input[집계키_센터],F140)))</f>
        <v/>
      </c>
      <c r="F140" t="str">
        <f>IFERROR(INDEX(tbl_input[집계키_센터],ROW()-1),"")</f>
        <v/>
      </c>
      <c r="G140" t="str">
        <f t="shared" si="18"/>
        <v/>
      </c>
      <c r="H140" t="str">
        <f t="shared" si="19"/>
        <v/>
      </c>
      <c r="I140" t="str">
        <f t="shared" si="20"/>
        <v/>
      </c>
    </row>
    <row r="141" spans="1:9" x14ac:dyDescent="0.4">
      <c r="A141" t="str">
        <f t="shared" si="14"/>
        <v/>
      </c>
      <c r="B141" t="str">
        <f t="shared" si="15"/>
        <v/>
      </c>
      <c r="C141" t="str">
        <f t="shared" si="16"/>
        <v/>
      </c>
      <c r="D141" t="str">
        <f t="shared" si="17"/>
        <v/>
      </c>
      <c r="E141" t="str">
        <f>IF(F141="","",IF(COUNTIF($F$2:F141,F141)&gt;1,"",SUMIFS(tbl_input[필요수량],tbl_input[집계키_센터],F141)))</f>
        <v/>
      </c>
      <c r="F141" t="str">
        <f>IFERROR(INDEX(tbl_input[집계키_센터],ROW()-1),"")</f>
        <v/>
      </c>
      <c r="G141" t="str">
        <f t="shared" si="18"/>
        <v/>
      </c>
      <c r="H141" t="str">
        <f t="shared" si="19"/>
        <v/>
      </c>
      <c r="I141" t="str">
        <f t="shared" si="20"/>
        <v/>
      </c>
    </row>
    <row r="142" spans="1:9" x14ac:dyDescent="0.4">
      <c r="A142" t="str">
        <f t="shared" si="14"/>
        <v/>
      </c>
      <c r="B142" t="str">
        <f t="shared" si="15"/>
        <v/>
      </c>
      <c r="C142" t="str">
        <f t="shared" si="16"/>
        <v/>
      </c>
      <c r="D142" t="str">
        <f t="shared" si="17"/>
        <v/>
      </c>
      <c r="E142" t="str">
        <f>IF(F142="","",IF(COUNTIF($F$2:F142,F142)&gt;1,"",SUMIFS(tbl_input[필요수량],tbl_input[집계키_센터],F142)))</f>
        <v/>
      </c>
      <c r="F142" t="str">
        <f>IFERROR(INDEX(tbl_input[집계키_센터],ROW()-1),"")</f>
        <v/>
      </c>
      <c r="G142" t="str">
        <f t="shared" si="18"/>
        <v/>
      </c>
      <c r="H142" t="str">
        <f t="shared" si="19"/>
        <v/>
      </c>
      <c r="I142" t="str">
        <f t="shared" si="20"/>
        <v/>
      </c>
    </row>
    <row r="143" spans="1:9" x14ac:dyDescent="0.4">
      <c r="A143" t="str">
        <f t="shared" si="14"/>
        <v/>
      </c>
      <c r="B143" t="str">
        <f t="shared" si="15"/>
        <v/>
      </c>
      <c r="C143" t="str">
        <f t="shared" si="16"/>
        <v/>
      </c>
      <c r="D143" t="str">
        <f t="shared" si="17"/>
        <v/>
      </c>
      <c r="E143" t="str">
        <f>IF(F143="","",IF(COUNTIF($F$2:F143,F143)&gt;1,"",SUMIFS(tbl_input[필요수량],tbl_input[집계키_센터],F143)))</f>
        <v/>
      </c>
      <c r="F143" t="str">
        <f>IFERROR(INDEX(tbl_input[집계키_센터],ROW()-1),"")</f>
        <v/>
      </c>
      <c r="G143" t="str">
        <f t="shared" si="18"/>
        <v/>
      </c>
      <c r="H143" t="str">
        <f t="shared" si="19"/>
        <v/>
      </c>
      <c r="I143" t="str">
        <f t="shared" si="20"/>
        <v/>
      </c>
    </row>
    <row r="144" spans="1:9" x14ac:dyDescent="0.4">
      <c r="A144" t="str">
        <f t="shared" si="14"/>
        <v/>
      </c>
      <c r="B144" t="str">
        <f t="shared" si="15"/>
        <v/>
      </c>
      <c r="C144" t="str">
        <f t="shared" si="16"/>
        <v/>
      </c>
      <c r="D144" t="str">
        <f t="shared" si="17"/>
        <v/>
      </c>
      <c r="E144" t="str">
        <f>IF(F144="","",IF(COUNTIF($F$2:F144,F144)&gt;1,"",SUMIFS(tbl_input[필요수량],tbl_input[집계키_센터],F144)))</f>
        <v/>
      </c>
      <c r="F144" t="str">
        <f>IFERROR(INDEX(tbl_input[집계키_센터],ROW()-1),"")</f>
        <v/>
      </c>
      <c r="G144" t="str">
        <f t="shared" si="18"/>
        <v/>
      </c>
      <c r="H144" t="str">
        <f t="shared" si="19"/>
        <v/>
      </c>
      <c r="I144" t="str">
        <f t="shared" si="20"/>
        <v/>
      </c>
    </row>
    <row r="145" spans="1:9" x14ac:dyDescent="0.4">
      <c r="A145" t="str">
        <f t="shared" si="14"/>
        <v/>
      </c>
      <c r="B145" t="str">
        <f t="shared" si="15"/>
        <v/>
      </c>
      <c r="C145" t="str">
        <f t="shared" si="16"/>
        <v/>
      </c>
      <c r="D145" t="str">
        <f t="shared" si="17"/>
        <v/>
      </c>
      <c r="E145" t="str">
        <f>IF(F145="","",IF(COUNTIF($F$2:F145,F145)&gt;1,"",SUMIFS(tbl_input[필요수량],tbl_input[집계키_센터],F145)))</f>
        <v/>
      </c>
      <c r="F145" t="str">
        <f>IFERROR(INDEX(tbl_input[집계키_센터],ROW()-1),"")</f>
        <v/>
      </c>
      <c r="G145" t="str">
        <f t="shared" si="18"/>
        <v/>
      </c>
      <c r="H145" t="str">
        <f t="shared" si="19"/>
        <v/>
      </c>
      <c r="I145" t="str">
        <f t="shared" si="20"/>
        <v/>
      </c>
    </row>
    <row r="146" spans="1:9" x14ac:dyDescent="0.4">
      <c r="A146" t="str">
        <f t="shared" si="14"/>
        <v/>
      </c>
      <c r="B146" t="str">
        <f t="shared" si="15"/>
        <v/>
      </c>
      <c r="C146" t="str">
        <f t="shared" si="16"/>
        <v/>
      </c>
      <c r="D146" t="str">
        <f t="shared" si="17"/>
        <v/>
      </c>
      <c r="E146" t="str">
        <f>IF(F146="","",IF(COUNTIF($F$2:F146,F146)&gt;1,"",SUMIFS(tbl_input[필요수량],tbl_input[집계키_센터],F146)))</f>
        <v/>
      </c>
      <c r="F146" t="str">
        <f>IFERROR(INDEX(tbl_input[집계키_센터],ROW()-1),"")</f>
        <v/>
      </c>
      <c r="G146" t="str">
        <f t="shared" si="18"/>
        <v/>
      </c>
      <c r="H146" t="str">
        <f t="shared" si="19"/>
        <v/>
      </c>
      <c r="I146" t="str">
        <f t="shared" si="20"/>
        <v/>
      </c>
    </row>
    <row r="147" spans="1:9" x14ac:dyDescent="0.4">
      <c r="A147" t="str">
        <f t="shared" si="14"/>
        <v/>
      </c>
      <c r="B147" t="str">
        <f t="shared" si="15"/>
        <v/>
      </c>
      <c r="C147" t="str">
        <f t="shared" si="16"/>
        <v/>
      </c>
      <c r="D147" t="str">
        <f t="shared" si="17"/>
        <v/>
      </c>
      <c r="E147" t="str">
        <f>IF(F147="","",IF(COUNTIF($F$2:F147,F147)&gt;1,"",SUMIFS(tbl_input[필요수량],tbl_input[집계키_센터],F147)))</f>
        <v/>
      </c>
      <c r="F147" t="str">
        <f>IFERROR(INDEX(tbl_input[집계키_센터],ROW()-1),"")</f>
        <v/>
      </c>
      <c r="G147" t="str">
        <f t="shared" si="18"/>
        <v/>
      </c>
      <c r="H147" t="str">
        <f t="shared" si="19"/>
        <v/>
      </c>
      <c r="I147" t="str">
        <f t="shared" si="20"/>
        <v/>
      </c>
    </row>
    <row r="148" spans="1:9" x14ac:dyDescent="0.4">
      <c r="A148" t="str">
        <f t="shared" si="14"/>
        <v/>
      </c>
      <c r="B148" t="str">
        <f t="shared" si="15"/>
        <v/>
      </c>
      <c r="C148" t="str">
        <f t="shared" si="16"/>
        <v/>
      </c>
      <c r="D148" t="str">
        <f t="shared" si="17"/>
        <v/>
      </c>
      <c r="E148" t="str">
        <f>IF(F148="","",IF(COUNTIF($F$2:F148,F148)&gt;1,"",SUMIFS(tbl_input[필요수량],tbl_input[집계키_센터],F148)))</f>
        <v/>
      </c>
      <c r="F148" t="str">
        <f>IFERROR(INDEX(tbl_input[집계키_센터],ROW()-1),"")</f>
        <v/>
      </c>
      <c r="G148" t="str">
        <f t="shared" si="18"/>
        <v/>
      </c>
      <c r="H148" t="str">
        <f t="shared" si="19"/>
        <v/>
      </c>
      <c r="I148" t="str">
        <f t="shared" si="20"/>
        <v/>
      </c>
    </row>
    <row r="149" spans="1:9" x14ac:dyDescent="0.4">
      <c r="A149" t="str">
        <f t="shared" si="14"/>
        <v/>
      </c>
      <c r="B149" t="str">
        <f t="shared" si="15"/>
        <v/>
      </c>
      <c r="C149" t="str">
        <f t="shared" si="16"/>
        <v/>
      </c>
      <c r="D149" t="str">
        <f t="shared" si="17"/>
        <v/>
      </c>
      <c r="E149" t="str">
        <f>IF(F149="","",IF(COUNTIF($F$2:F149,F149)&gt;1,"",SUMIFS(tbl_input[필요수량],tbl_input[집계키_센터],F149)))</f>
        <v/>
      </c>
      <c r="F149" t="str">
        <f>IFERROR(INDEX(tbl_input[집계키_센터],ROW()-1),"")</f>
        <v/>
      </c>
      <c r="G149" t="str">
        <f t="shared" si="18"/>
        <v/>
      </c>
      <c r="H149" t="str">
        <f t="shared" si="19"/>
        <v/>
      </c>
      <c r="I149" t="str">
        <f t="shared" si="20"/>
        <v/>
      </c>
    </row>
    <row r="150" spans="1:9" x14ac:dyDescent="0.4">
      <c r="A150" t="str">
        <f t="shared" si="14"/>
        <v/>
      </c>
      <c r="B150" t="str">
        <f t="shared" si="15"/>
        <v/>
      </c>
      <c r="C150" t="str">
        <f t="shared" si="16"/>
        <v/>
      </c>
      <c r="D150" t="str">
        <f t="shared" si="17"/>
        <v/>
      </c>
      <c r="E150" t="str">
        <f>IF(F150="","",IF(COUNTIF($F$2:F150,F150)&gt;1,"",SUMIFS(tbl_input[필요수량],tbl_input[집계키_센터],F150)))</f>
        <v/>
      </c>
      <c r="F150" t="str">
        <f>IFERROR(INDEX(tbl_input[집계키_센터],ROW()-1),"")</f>
        <v/>
      </c>
      <c r="G150" t="str">
        <f t="shared" si="18"/>
        <v/>
      </c>
      <c r="H150" t="str">
        <f t="shared" si="19"/>
        <v/>
      </c>
      <c r="I150" t="str">
        <f t="shared" si="20"/>
        <v/>
      </c>
    </row>
    <row r="151" spans="1:9" x14ac:dyDescent="0.4">
      <c r="A151" t="str">
        <f t="shared" si="14"/>
        <v/>
      </c>
      <c r="B151" t="str">
        <f t="shared" si="15"/>
        <v/>
      </c>
      <c r="C151" t="str">
        <f t="shared" si="16"/>
        <v/>
      </c>
      <c r="D151" t="str">
        <f t="shared" si="17"/>
        <v/>
      </c>
      <c r="E151" t="str">
        <f>IF(F151="","",IF(COUNTIF($F$2:F151,F151)&gt;1,"",SUMIFS(tbl_input[필요수량],tbl_input[집계키_센터],F151)))</f>
        <v/>
      </c>
      <c r="F151" t="str">
        <f>IFERROR(INDEX(tbl_input[집계키_센터],ROW()-1),"")</f>
        <v/>
      </c>
      <c r="G151" t="str">
        <f t="shared" si="18"/>
        <v/>
      </c>
      <c r="H151" t="str">
        <f t="shared" si="19"/>
        <v/>
      </c>
      <c r="I151" t="str">
        <f t="shared" si="20"/>
        <v/>
      </c>
    </row>
    <row r="152" spans="1:9" x14ac:dyDescent="0.4">
      <c r="A152" t="str">
        <f t="shared" si="14"/>
        <v/>
      </c>
      <c r="B152" t="str">
        <f t="shared" si="15"/>
        <v/>
      </c>
      <c r="C152" t="str">
        <f t="shared" si="16"/>
        <v/>
      </c>
      <c r="D152" t="str">
        <f t="shared" si="17"/>
        <v/>
      </c>
      <c r="E152" t="str">
        <f>IF(F152="","",IF(COUNTIF($F$2:F152,F152)&gt;1,"",SUMIFS(tbl_input[필요수량],tbl_input[집계키_센터],F152)))</f>
        <v/>
      </c>
      <c r="F152" t="str">
        <f>IFERROR(INDEX(tbl_input[집계키_센터],ROW()-1),"")</f>
        <v/>
      </c>
      <c r="G152" t="str">
        <f t="shared" si="18"/>
        <v/>
      </c>
      <c r="H152" t="str">
        <f t="shared" si="19"/>
        <v/>
      </c>
      <c r="I152" t="str">
        <f t="shared" si="20"/>
        <v/>
      </c>
    </row>
    <row r="153" spans="1:9" x14ac:dyDescent="0.4">
      <c r="A153" t="str">
        <f t="shared" si="14"/>
        <v/>
      </c>
      <c r="B153" t="str">
        <f t="shared" si="15"/>
        <v/>
      </c>
      <c r="C153" t="str">
        <f t="shared" si="16"/>
        <v/>
      </c>
      <c r="D153" t="str">
        <f t="shared" si="17"/>
        <v/>
      </c>
      <c r="E153" t="str">
        <f>IF(F153="","",IF(COUNTIF($F$2:F153,F153)&gt;1,"",SUMIFS(tbl_input[필요수량],tbl_input[집계키_센터],F153)))</f>
        <v/>
      </c>
      <c r="F153" t="str">
        <f>IFERROR(INDEX(tbl_input[집계키_센터],ROW()-1),"")</f>
        <v/>
      </c>
      <c r="G153" t="str">
        <f t="shared" si="18"/>
        <v/>
      </c>
      <c r="H153" t="str">
        <f t="shared" si="19"/>
        <v/>
      </c>
      <c r="I153" t="str">
        <f t="shared" si="20"/>
        <v/>
      </c>
    </row>
    <row r="154" spans="1:9" x14ac:dyDescent="0.4">
      <c r="A154" t="str">
        <f t="shared" si="14"/>
        <v/>
      </c>
      <c r="B154" t="str">
        <f t="shared" si="15"/>
        <v/>
      </c>
      <c r="C154" t="str">
        <f t="shared" si="16"/>
        <v/>
      </c>
      <c r="D154" t="str">
        <f t="shared" si="17"/>
        <v/>
      </c>
      <c r="E154" t="str">
        <f>IF(F154="","",IF(COUNTIF($F$2:F154,F154)&gt;1,"",SUMIFS(tbl_input[필요수량],tbl_input[집계키_센터],F154)))</f>
        <v/>
      </c>
      <c r="F154" t="str">
        <f>IFERROR(INDEX(tbl_input[집계키_센터],ROW()-1),"")</f>
        <v/>
      </c>
      <c r="G154" t="str">
        <f t="shared" si="18"/>
        <v/>
      </c>
      <c r="H154" t="str">
        <f t="shared" si="19"/>
        <v/>
      </c>
      <c r="I154" t="str">
        <f t="shared" si="20"/>
        <v/>
      </c>
    </row>
    <row r="155" spans="1:9" x14ac:dyDescent="0.4">
      <c r="A155" t="str">
        <f t="shared" si="14"/>
        <v/>
      </c>
      <c r="B155" t="str">
        <f t="shared" si="15"/>
        <v/>
      </c>
      <c r="C155" t="str">
        <f t="shared" si="16"/>
        <v/>
      </c>
      <c r="D155" t="str">
        <f t="shared" si="17"/>
        <v/>
      </c>
      <c r="E155" t="str">
        <f>IF(F155="","",IF(COUNTIF($F$2:F155,F155)&gt;1,"",SUMIFS(tbl_input[필요수량],tbl_input[집계키_센터],F155)))</f>
        <v/>
      </c>
      <c r="F155" t="str">
        <f>IFERROR(INDEX(tbl_input[집계키_센터],ROW()-1),"")</f>
        <v/>
      </c>
      <c r="G155" t="str">
        <f t="shared" si="18"/>
        <v/>
      </c>
      <c r="H155" t="str">
        <f t="shared" si="19"/>
        <v/>
      </c>
      <c r="I155" t="str">
        <f t="shared" si="20"/>
        <v/>
      </c>
    </row>
    <row r="156" spans="1:9" x14ac:dyDescent="0.4">
      <c r="A156" t="str">
        <f t="shared" si="14"/>
        <v/>
      </c>
      <c r="B156" t="str">
        <f t="shared" si="15"/>
        <v/>
      </c>
      <c r="C156" t="str">
        <f t="shared" si="16"/>
        <v/>
      </c>
      <c r="D156" t="str">
        <f t="shared" si="17"/>
        <v/>
      </c>
      <c r="E156" t="str">
        <f>IF(F156="","",IF(COUNTIF($F$2:F156,F156)&gt;1,"",SUMIFS(tbl_input[필요수량],tbl_input[집계키_센터],F156)))</f>
        <v/>
      </c>
      <c r="F156" t="str">
        <f>IFERROR(INDEX(tbl_input[집계키_센터],ROW()-1),"")</f>
        <v/>
      </c>
      <c r="G156" t="str">
        <f t="shared" si="18"/>
        <v/>
      </c>
      <c r="H156" t="str">
        <f t="shared" si="19"/>
        <v/>
      </c>
      <c r="I156" t="str">
        <f t="shared" si="20"/>
        <v/>
      </c>
    </row>
    <row r="157" spans="1:9" x14ac:dyDescent="0.4">
      <c r="A157" t="str">
        <f t="shared" si="14"/>
        <v/>
      </c>
      <c r="B157" t="str">
        <f t="shared" si="15"/>
        <v/>
      </c>
      <c r="C157" t="str">
        <f t="shared" si="16"/>
        <v/>
      </c>
      <c r="D157" t="str">
        <f t="shared" si="17"/>
        <v/>
      </c>
      <c r="E157" t="str">
        <f>IF(F157="","",IF(COUNTIF($F$2:F157,F157)&gt;1,"",SUMIFS(tbl_input[필요수량],tbl_input[집계키_센터],F157)))</f>
        <v/>
      </c>
      <c r="F157" t="str">
        <f>IFERROR(INDEX(tbl_input[집계키_센터],ROW()-1),"")</f>
        <v/>
      </c>
      <c r="G157" t="str">
        <f t="shared" si="18"/>
        <v/>
      </c>
      <c r="H157" t="str">
        <f t="shared" si="19"/>
        <v/>
      </c>
      <c r="I157" t="str">
        <f t="shared" si="20"/>
        <v/>
      </c>
    </row>
    <row r="158" spans="1:9" x14ac:dyDescent="0.4">
      <c r="A158" t="str">
        <f t="shared" si="14"/>
        <v/>
      </c>
      <c r="B158" t="str">
        <f t="shared" si="15"/>
        <v/>
      </c>
      <c r="C158" t="str">
        <f t="shared" si="16"/>
        <v/>
      </c>
      <c r="D158" t="str">
        <f t="shared" si="17"/>
        <v/>
      </c>
      <c r="E158" t="str">
        <f>IF(F158="","",IF(COUNTIF($F$2:F158,F158)&gt;1,"",SUMIFS(tbl_input[필요수량],tbl_input[집계키_센터],F158)))</f>
        <v/>
      </c>
      <c r="F158" t="str">
        <f>IFERROR(INDEX(tbl_input[집계키_센터],ROW()-1),"")</f>
        <v/>
      </c>
      <c r="G158" t="str">
        <f t="shared" si="18"/>
        <v/>
      </c>
      <c r="H158" t="str">
        <f t="shared" si="19"/>
        <v/>
      </c>
      <c r="I158" t="str">
        <f t="shared" si="20"/>
        <v/>
      </c>
    </row>
    <row r="159" spans="1:9" x14ac:dyDescent="0.4">
      <c r="A159" t="str">
        <f t="shared" si="14"/>
        <v/>
      </c>
      <c r="B159" t="str">
        <f t="shared" si="15"/>
        <v/>
      </c>
      <c r="C159" t="str">
        <f t="shared" si="16"/>
        <v/>
      </c>
      <c r="D159" t="str">
        <f t="shared" si="17"/>
        <v/>
      </c>
      <c r="E159" t="str">
        <f>IF(F159="","",IF(COUNTIF($F$2:F159,F159)&gt;1,"",SUMIFS(tbl_input[필요수량],tbl_input[집계키_센터],F159)))</f>
        <v/>
      </c>
      <c r="F159" t="str">
        <f>IFERROR(INDEX(tbl_input[집계키_센터],ROW()-1),"")</f>
        <v/>
      </c>
      <c r="G159" t="str">
        <f t="shared" si="18"/>
        <v/>
      </c>
      <c r="H159" t="str">
        <f t="shared" si="19"/>
        <v/>
      </c>
      <c r="I159" t="str">
        <f t="shared" si="20"/>
        <v/>
      </c>
    </row>
    <row r="160" spans="1:9" x14ac:dyDescent="0.4">
      <c r="A160" t="str">
        <f t="shared" si="14"/>
        <v/>
      </c>
      <c r="B160" t="str">
        <f t="shared" si="15"/>
        <v/>
      </c>
      <c r="C160" t="str">
        <f t="shared" si="16"/>
        <v/>
      </c>
      <c r="D160" t="str">
        <f t="shared" si="17"/>
        <v/>
      </c>
      <c r="E160" t="str">
        <f>IF(F160="","",IF(COUNTIF($F$2:F160,F160)&gt;1,"",SUMIFS(tbl_input[필요수량],tbl_input[집계키_센터],F160)))</f>
        <v/>
      </c>
      <c r="F160" t="str">
        <f>IFERROR(INDEX(tbl_input[집계키_센터],ROW()-1),"")</f>
        <v/>
      </c>
      <c r="G160" t="str">
        <f t="shared" si="18"/>
        <v/>
      </c>
      <c r="H160" t="str">
        <f t="shared" si="19"/>
        <v/>
      </c>
      <c r="I160" t="str">
        <f t="shared" si="20"/>
        <v/>
      </c>
    </row>
    <row r="161" spans="1:9" x14ac:dyDescent="0.4">
      <c r="A161" t="str">
        <f t="shared" si="14"/>
        <v/>
      </c>
      <c r="B161" t="str">
        <f t="shared" si="15"/>
        <v/>
      </c>
      <c r="C161" t="str">
        <f t="shared" si="16"/>
        <v/>
      </c>
      <c r="D161" t="str">
        <f t="shared" si="17"/>
        <v/>
      </c>
      <c r="E161" t="str">
        <f>IF(F161="","",IF(COUNTIF($F$2:F161,F161)&gt;1,"",SUMIFS(tbl_input[필요수량],tbl_input[집계키_센터],F161)))</f>
        <v/>
      </c>
      <c r="F161" t="str">
        <f>IFERROR(INDEX(tbl_input[집계키_센터],ROW()-1),"")</f>
        <v/>
      </c>
      <c r="G161" t="str">
        <f t="shared" si="18"/>
        <v/>
      </c>
      <c r="H161" t="str">
        <f t="shared" si="19"/>
        <v/>
      </c>
      <c r="I161" t="str">
        <f t="shared" si="20"/>
        <v/>
      </c>
    </row>
    <row r="162" spans="1:9" x14ac:dyDescent="0.4">
      <c r="A162" t="str">
        <f t="shared" si="14"/>
        <v/>
      </c>
      <c r="B162" t="str">
        <f t="shared" si="15"/>
        <v/>
      </c>
      <c r="C162" t="str">
        <f t="shared" si="16"/>
        <v/>
      </c>
      <c r="D162" t="str">
        <f t="shared" si="17"/>
        <v/>
      </c>
      <c r="E162" t="str">
        <f>IF(F162="","",IF(COUNTIF($F$2:F162,F162)&gt;1,"",SUMIFS(tbl_input[필요수량],tbl_input[집계키_센터],F162)))</f>
        <v/>
      </c>
      <c r="F162" t="str">
        <f>IFERROR(INDEX(tbl_input[집계키_센터],ROW()-1),"")</f>
        <v/>
      </c>
      <c r="G162" t="str">
        <f t="shared" si="18"/>
        <v/>
      </c>
      <c r="H162" t="str">
        <f t="shared" si="19"/>
        <v/>
      </c>
      <c r="I162" t="str">
        <f t="shared" si="20"/>
        <v/>
      </c>
    </row>
    <row r="163" spans="1:9" x14ac:dyDescent="0.4">
      <c r="A163" t="str">
        <f t="shared" si="14"/>
        <v/>
      </c>
      <c r="B163" t="str">
        <f t="shared" si="15"/>
        <v/>
      </c>
      <c r="C163" t="str">
        <f t="shared" si="16"/>
        <v/>
      </c>
      <c r="D163" t="str">
        <f t="shared" si="17"/>
        <v/>
      </c>
      <c r="E163" t="str">
        <f>IF(F163="","",IF(COUNTIF($F$2:F163,F163)&gt;1,"",SUMIFS(tbl_input[필요수량],tbl_input[집계키_센터],F163)))</f>
        <v/>
      </c>
      <c r="F163" t="str">
        <f>IFERROR(INDEX(tbl_input[집계키_센터],ROW()-1),"")</f>
        <v/>
      </c>
      <c r="G163" t="str">
        <f t="shared" si="18"/>
        <v/>
      </c>
      <c r="H163" t="str">
        <f t="shared" si="19"/>
        <v/>
      </c>
      <c r="I163" t="str">
        <f t="shared" si="20"/>
        <v/>
      </c>
    </row>
    <row r="164" spans="1:9" x14ac:dyDescent="0.4">
      <c r="A164" t="str">
        <f t="shared" si="14"/>
        <v/>
      </c>
      <c r="B164" t="str">
        <f t="shared" si="15"/>
        <v/>
      </c>
      <c r="C164" t="str">
        <f t="shared" si="16"/>
        <v/>
      </c>
      <c r="D164" t="str">
        <f t="shared" si="17"/>
        <v/>
      </c>
      <c r="E164" t="str">
        <f>IF(F164="","",IF(COUNTIF($F$2:F164,F164)&gt;1,"",SUMIFS(tbl_input[필요수량],tbl_input[집계키_센터],F164)))</f>
        <v/>
      </c>
      <c r="F164" t="str">
        <f>IFERROR(INDEX(tbl_input[집계키_센터],ROW()-1),"")</f>
        <v/>
      </c>
      <c r="G164" t="str">
        <f t="shared" si="18"/>
        <v/>
      </c>
      <c r="H164" t="str">
        <f t="shared" si="19"/>
        <v/>
      </c>
      <c r="I164" t="str">
        <f t="shared" si="20"/>
        <v/>
      </c>
    </row>
    <row r="165" spans="1:9" x14ac:dyDescent="0.4">
      <c r="A165" t="str">
        <f t="shared" si="14"/>
        <v/>
      </c>
      <c r="B165" t="str">
        <f t="shared" si="15"/>
        <v/>
      </c>
      <c r="C165" t="str">
        <f t="shared" si="16"/>
        <v/>
      </c>
      <c r="D165" t="str">
        <f t="shared" si="17"/>
        <v/>
      </c>
      <c r="E165" t="str">
        <f>IF(F165="","",IF(COUNTIF($F$2:F165,F165)&gt;1,"",SUMIFS(tbl_input[필요수량],tbl_input[집계키_센터],F165)))</f>
        <v/>
      </c>
      <c r="F165" t="str">
        <f>IFERROR(INDEX(tbl_input[집계키_센터],ROW()-1),"")</f>
        <v/>
      </c>
      <c r="G165" t="str">
        <f t="shared" si="18"/>
        <v/>
      </c>
      <c r="H165" t="str">
        <f t="shared" si="19"/>
        <v/>
      </c>
      <c r="I165" t="str">
        <f t="shared" si="20"/>
        <v/>
      </c>
    </row>
    <row r="166" spans="1:9" x14ac:dyDescent="0.4">
      <c r="A166" t="str">
        <f t="shared" si="14"/>
        <v/>
      </c>
      <c r="B166" t="str">
        <f t="shared" si="15"/>
        <v/>
      </c>
      <c r="C166" t="str">
        <f t="shared" si="16"/>
        <v/>
      </c>
      <c r="D166" t="str">
        <f t="shared" si="17"/>
        <v/>
      </c>
      <c r="E166" t="str">
        <f>IF(F166="","",IF(COUNTIF($F$2:F166,F166)&gt;1,"",SUMIFS(tbl_input[필요수량],tbl_input[집계키_센터],F166)))</f>
        <v/>
      </c>
      <c r="F166" t="str">
        <f>IFERROR(INDEX(tbl_input[집계키_센터],ROW()-1),"")</f>
        <v/>
      </c>
      <c r="G166" t="str">
        <f t="shared" si="18"/>
        <v/>
      </c>
      <c r="H166" t="str">
        <f t="shared" si="19"/>
        <v/>
      </c>
      <c r="I166" t="str">
        <f t="shared" si="20"/>
        <v/>
      </c>
    </row>
    <row r="167" spans="1:9" x14ac:dyDescent="0.4">
      <c r="A167" t="str">
        <f t="shared" si="14"/>
        <v/>
      </c>
      <c r="B167" t="str">
        <f t="shared" si="15"/>
        <v/>
      </c>
      <c r="C167" t="str">
        <f t="shared" si="16"/>
        <v/>
      </c>
      <c r="D167" t="str">
        <f t="shared" si="17"/>
        <v/>
      </c>
      <c r="E167" t="str">
        <f>IF(F167="","",IF(COUNTIF($F$2:F167,F167)&gt;1,"",SUMIFS(tbl_input[필요수량],tbl_input[집계키_센터],F167)))</f>
        <v/>
      </c>
      <c r="F167" t="str">
        <f>IFERROR(INDEX(tbl_input[집계키_센터],ROW()-1),"")</f>
        <v/>
      </c>
      <c r="G167" t="str">
        <f t="shared" si="18"/>
        <v/>
      </c>
      <c r="H167" t="str">
        <f t="shared" si="19"/>
        <v/>
      </c>
      <c r="I167" t="str">
        <f t="shared" si="20"/>
        <v/>
      </c>
    </row>
    <row r="168" spans="1:9" x14ac:dyDescent="0.4">
      <c r="A168" t="str">
        <f t="shared" si="14"/>
        <v/>
      </c>
      <c r="B168" t="str">
        <f t="shared" si="15"/>
        <v/>
      </c>
      <c r="C168" t="str">
        <f t="shared" si="16"/>
        <v/>
      </c>
      <c r="D168" t="str">
        <f t="shared" si="17"/>
        <v/>
      </c>
      <c r="E168" t="str">
        <f>IF(F168="","",IF(COUNTIF($F$2:F168,F168)&gt;1,"",SUMIFS(tbl_input[필요수량],tbl_input[집계키_센터],F168)))</f>
        <v/>
      </c>
      <c r="F168" t="str">
        <f>IFERROR(INDEX(tbl_input[집계키_센터],ROW()-1),"")</f>
        <v/>
      </c>
      <c r="G168" t="str">
        <f t="shared" si="18"/>
        <v/>
      </c>
      <c r="H168" t="str">
        <f t="shared" si="19"/>
        <v/>
      </c>
      <c r="I168" t="str">
        <f t="shared" si="20"/>
        <v/>
      </c>
    </row>
    <row r="169" spans="1:9" x14ac:dyDescent="0.4">
      <c r="A169" t="str">
        <f t="shared" si="14"/>
        <v/>
      </c>
      <c r="B169" t="str">
        <f t="shared" si="15"/>
        <v/>
      </c>
      <c r="C169" t="str">
        <f t="shared" si="16"/>
        <v/>
      </c>
      <c r="D169" t="str">
        <f t="shared" si="17"/>
        <v/>
      </c>
      <c r="E169" t="str">
        <f>IF(F169="","",IF(COUNTIF($F$2:F169,F169)&gt;1,"",SUMIFS(tbl_input[필요수량],tbl_input[집계키_센터],F169)))</f>
        <v/>
      </c>
      <c r="F169" t="str">
        <f>IFERROR(INDEX(tbl_input[집계키_센터],ROW()-1),"")</f>
        <v/>
      </c>
      <c r="G169" t="str">
        <f t="shared" si="18"/>
        <v/>
      </c>
      <c r="H169" t="str">
        <f t="shared" si="19"/>
        <v/>
      </c>
      <c r="I169" t="str">
        <f t="shared" si="20"/>
        <v/>
      </c>
    </row>
    <row r="170" spans="1:9" x14ac:dyDescent="0.4">
      <c r="A170" t="str">
        <f t="shared" si="14"/>
        <v/>
      </c>
      <c r="B170" t="str">
        <f t="shared" si="15"/>
        <v/>
      </c>
      <c r="C170" t="str">
        <f t="shared" si="16"/>
        <v/>
      </c>
      <c r="D170" t="str">
        <f t="shared" si="17"/>
        <v/>
      </c>
      <c r="E170" t="str">
        <f>IF(F170="","",IF(COUNTIF($F$2:F170,F170)&gt;1,"",SUMIFS(tbl_input[필요수량],tbl_input[집계키_센터],F170)))</f>
        <v/>
      </c>
      <c r="F170" t="str">
        <f>IFERROR(INDEX(tbl_input[집계키_센터],ROW()-1),"")</f>
        <v/>
      </c>
      <c r="G170" t="str">
        <f t="shared" si="18"/>
        <v/>
      </c>
      <c r="H170" t="str">
        <f t="shared" si="19"/>
        <v/>
      </c>
      <c r="I170" t="str">
        <f t="shared" si="20"/>
        <v/>
      </c>
    </row>
    <row r="171" spans="1:9" x14ac:dyDescent="0.4">
      <c r="A171" t="str">
        <f t="shared" si="14"/>
        <v/>
      </c>
      <c r="B171" t="str">
        <f t="shared" si="15"/>
        <v/>
      </c>
      <c r="C171" t="str">
        <f t="shared" si="16"/>
        <v/>
      </c>
      <c r="D171" t="str">
        <f t="shared" si="17"/>
        <v/>
      </c>
      <c r="E171" t="str">
        <f>IF(F171="","",IF(COUNTIF($F$2:F171,F171)&gt;1,"",SUMIFS(tbl_input[필요수량],tbl_input[집계키_센터],F171)))</f>
        <v/>
      </c>
      <c r="F171" t="str">
        <f>IFERROR(INDEX(tbl_input[집계키_센터],ROW()-1),"")</f>
        <v/>
      </c>
      <c r="G171" t="str">
        <f t="shared" si="18"/>
        <v/>
      </c>
      <c r="H171" t="str">
        <f t="shared" si="19"/>
        <v/>
      </c>
      <c r="I171" t="str">
        <f t="shared" si="20"/>
        <v/>
      </c>
    </row>
    <row r="172" spans="1:9" x14ac:dyDescent="0.4">
      <c r="A172" t="str">
        <f t="shared" si="14"/>
        <v/>
      </c>
      <c r="B172" t="str">
        <f t="shared" si="15"/>
        <v/>
      </c>
      <c r="C172" t="str">
        <f t="shared" si="16"/>
        <v/>
      </c>
      <c r="D172" t="str">
        <f t="shared" si="17"/>
        <v/>
      </c>
      <c r="E172" t="str">
        <f>IF(F172="","",IF(COUNTIF($F$2:F172,F172)&gt;1,"",SUMIFS(tbl_input[필요수량],tbl_input[집계키_센터],F172)))</f>
        <v/>
      </c>
      <c r="F172" t="str">
        <f>IFERROR(INDEX(tbl_input[집계키_센터],ROW()-1),"")</f>
        <v/>
      </c>
      <c r="G172" t="str">
        <f t="shared" si="18"/>
        <v/>
      </c>
      <c r="H172" t="str">
        <f t="shared" si="19"/>
        <v/>
      </c>
      <c r="I172" t="str">
        <f t="shared" si="20"/>
        <v/>
      </c>
    </row>
    <row r="173" spans="1:9" x14ac:dyDescent="0.4">
      <c r="A173" t="str">
        <f t="shared" si="14"/>
        <v/>
      </c>
      <c r="B173" t="str">
        <f t="shared" si="15"/>
        <v/>
      </c>
      <c r="C173" t="str">
        <f t="shared" si="16"/>
        <v/>
      </c>
      <c r="D173" t="str">
        <f t="shared" si="17"/>
        <v/>
      </c>
      <c r="E173" t="str">
        <f>IF(F173="","",IF(COUNTIF($F$2:F173,F173)&gt;1,"",SUMIFS(tbl_input[필요수량],tbl_input[집계키_센터],F173)))</f>
        <v/>
      </c>
      <c r="F173" t="str">
        <f>IFERROR(INDEX(tbl_input[집계키_센터],ROW()-1),"")</f>
        <v/>
      </c>
      <c r="G173" t="str">
        <f t="shared" si="18"/>
        <v/>
      </c>
      <c r="H173" t="str">
        <f t="shared" si="19"/>
        <v/>
      </c>
      <c r="I173" t="str">
        <f t="shared" si="20"/>
        <v/>
      </c>
    </row>
    <row r="174" spans="1:9" x14ac:dyDescent="0.4">
      <c r="A174" t="str">
        <f t="shared" si="14"/>
        <v/>
      </c>
      <c r="B174" t="str">
        <f t="shared" si="15"/>
        <v/>
      </c>
      <c r="C174" t="str">
        <f t="shared" si="16"/>
        <v/>
      </c>
      <c r="D174" t="str">
        <f t="shared" si="17"/>
        <v/>
      </c>
      <c r="E174" t="str">
        <f>IF(F174="","",IF(COUNTIF($F$2:F174,F174)&gt;1,"",SUMIFS(tbl_input[필요수량],tbl_input[집계키_센터],F174)))</f>
        <v/>
      </c>
      <c r="F174" t="str">
        <f>IFERROR(INDEX(tbl_input[집계키_센터],ROW()-1),"")</f>
        <v/>
      </c>
      <c r="G174" t="str">
        <f t="shared" si="18"/>
        <v/>
      </c>
      <c r="H174" t="str">
        <f t="shared" si="19"/>
        <v/>
      </c>
      <c r="I174" t="str">
        <f t="shared" si="20"/>
        <v/>
      </c>
    </row>
    <row r="175" spans="1:9" x14ac:dyDescent="0.4">
      <c r="A175" t="str">
        <f t="shared" si="14"/>
        <v/>
      </c>
      <c r="B175" t="str">
        <f t="shared" si="15"/>
        <v/>
      </c>
      <c r="C175" t="str">
        <f t="shared" si="16"/>
        <v/>
      </c>
      <c r="D175" t="str">
        <f t="shared" si="17"/>
        <v/>
      </c>
      <c r="E175" t="str">
        <f>IF(F175="","",IF(COUNTIF($F$2:F175,F175)&gt;1,"",SUMIFS(tbl_input[필요수량],tbl_input[집계키_센터],F175)))</f>
        <v/>
      </c>
      <c r="F175" t="str">
        <f>IFERROR(INDEX(tbl_input[집계키_센터],ROW()-1),"")</f>
        <v/>
      </c>
      <c r="G175" t="str">
        <f t="shared" si="18"/>
        <v/>
      </c>
      <c r="H175" t="str">
        <f t="shared" si="19"/>
        <v/>
      </c>
      <c r="I175" t="str">
        <f t="shared" si="20"/>
        <v/>
      </c>
    </row>
    <row r="176" spans="1:9" x14ac:dyDescent="0.4">
      <c r="A176" t="str">
        <f t="shared" si="14"/>
        <v/>
      </c>
      <c r="B176" t="str">
        <f t="shared" si="15"/>
        <v/>
      </c>
      <c r="C176" t="str">
        <f t="shared" si="16"/>
        <v/>
      </c>
      <c r="D176" t="str">
        <f t="shared" si="17"/>
        <v/>
      </c>
      <c r="E176" t="str">
        <f>IF(F176="","",IF(COUNTIF($F$2:F176,F176)&gt;1,"",SUMIFS(tbl_input[필요수량],tbl_input[집계키_센터],F176)))</f>
        <v/>
      </c>
      <c r="F176" t="str">
        <f>IFERROR(INDEX(tbl_input[집계키_센터],ROW()-1),"")</f>
        <v/>
      </c>
      <c r="G176" t="str">
        <f t="shared" si="18"/>
        <v/>
      </c>
      <c r="H176" t="str">
        <f t="shared" si="19"/>
        <v/>
      </c>
      <c r="I176" t="str">
        <f t="shared" si="20"/>
        <v/>
      </c>
    </row>
    <row r="177" spans="1:9" x14ac:dyDescent="0.4">
      <c r="A177" t="str">
        <f t="shared" si="14"/>
        <v/>
      </c>
      <c r="B177" t="str">
        <f t="shared" si="15"/>
        <v/>
      </c>
      <c r="C177" t="str">
        <f t="shared" si="16"/>
        <v/>
      </c>
      <c r="D177" t="str">
        <f t="shared" si="17"/>
        <v/>
      </c>
      <c r="E177" t="str">
        <f>IF(F177="","",IF(COUNTIF($F$2:F177,F177)&gt;1,"",SUMIFS(tbl_input[필요수량],tbl_input[집계키_센터],F177)))</f>
        <v/>
      </c>
      <c r="F177" t="str">
        <f>IFERROR(INDEX(tbl_input[집계키_센터],ROW()-1),"")</f>
        <v/>
      </c>
      <c r="G177" t="str">
        <f t="shared" si="18"/>
        <v/>
      </c>
      <c r="H177" t="str">
        <f t="shared" si="19"/>
        <v/>
      </c>
      <c r="I177" t="str">
        <f t="shared" si="20"/>
        <v/>
      </c>
    </row>
    <row r="178" spans="1:9" x14ac:dyDescent="0.4">
      <c r="A178" t="str">
        <f t="shared" si="14"/>
        <v/>
      </c>
      <c r="B178" t="str">
        <f t="shared" si="15"/>
        <v/>
      </c>
      <c r="C178" t="str">
        <f t="shared" si="16"/>
        <v/>
      </c>
      <c r="D178" t="str">
        <f t="shared" si="17"/>
        <v/>
      </c>
      <c r="E178" t="str">
        <f>IF(F178="","",IF(COUNTIF($F$2:F178,F178)&gt;1,"",SUMIFS(tbl_input[필요수량],tbl_input[집계키_센터],F178)))</f>
        <v/>
      </c>
      <c r="F178" t="str">
        <f>IFERROR(INDEX(tbl_input[집계키_센터],ROW()-1),"")</f>
        <v/>
      </c>
      <c r="G178" t="str">
        <f t="shared" si="18"/>
        <v/>
      </c>
      <c r="H178" t="str">
        <f t="shared" si="19"/>
        <v/>
      </c>
      <c r="I178" t="str">
        <f t="shared" si="20"/>
        <v/>
      </c>
    </row>
    <row r="179" spans="1:9" x14ac:dyDescent="0.4">
      <c r="A179" t="str">
        <f t="shared" si="14"/>
        <v/>
      </c>
      <c r="B179" t="str">
        <f t="shared" si="15"/>
        <v/>
      </c>
      <c r="C179" t="str">
        <f t="shared" si="16"/>
        <v/>
      </c>
      <c r="D179" t="str">
        <f t="shared" si="17"/>
        <v/>
      </c>
      <c r="E179" t="str">
        <f>IF(F179="","",IF(COUNTIF($F$2:F179,F179)&gt;1,"",SUMIFS(tbl_input[필요수량],tbl_input[집계키_센터],F179)))</f>
        <v/>
      </c>
      <c r="F179" t="str">
        <f>IFERROR(INDEX(tbl_input[집계키_센터],ROW()-1),"")</f>
        <v/>
      </c>
      <c r="G179" t="str">
        <f t="shared" si="18"/>
        <v/>
      </c>
      <c r="H179" t="str">
        <f t="shared" si="19"/>
        <v/>
      </c>
      <c r="I179" t="str">
        <f t="shared" si="20"/>
        <v/>
      </c>
    </row>
    <row r="180" spans="1:9" x14ac:dyDescent="0.4">
      <c r="A180" t="str">
        <f t="shared" si="14"/>
        <v/>
      </c>
      <c r="B180" t="str">
        <f t="shared" si="15"/>
        <v/>
      </c>
      <c r="C180" t="str">
        <f t="shared" si="16"/>
        <v/>
      </c>
      <c r="D180" t="str">
        <f t="shared" si="17"/>
        <v/>
      </c>
      <c r="E180" t="str">
        <f>IF(F180="","",IF(COUNTIF($F$2:F180,F180)&gt;1,"",SUMIFS(tbl_input[필요수량],tbl_input[집계키_센터],F180)))</f>
        <v/>
      </c>
      <c r="F180" t="str">
        <f>IFERROR(INDEX(tbl_input[집계키_센터],ROW()-1),"")</f>
        <v/>
      </c>
      <c r="G180" t="str">
        <f t="shared" si="18"/>
        <v/>
      </c>
      <c r="H180" t="str">
        <f t="shared" si="19"/>
        <v/>
      </c>
      <c r="I180" t="str">
        <f t="shared" si="20"/>
        <v/>
      </c>
    </row>
    <row r="181" spans="1:9" x14ac:dyDescent="0.4">
      <c r="A181" t="str">
        <f t="shared" si="14"/>
        <v/>
      </c>
      <c r="B181" t="str">
        <f t="shared" si="15"/>
        <v/>
      </c>
      <c r="C181" t="str">
        <f t="shared" si="16"/>
        <v/>
      </c>
      <c r="D181" t="str">
        <f t="shared" si="17"/>
        <v/>
      </c>
      <c r="E181" t="str">
        <f>IF(F181="","",IF(COUNTIF($F$2:F181,F181)&gt;1,"",SUMIFS(tbl_input[필요수량],tbl_input[집계키_센터],F181)))</f>
        <v/>
      </c>
      <c r="F181" t="str">
        <f>IFERROR(INDEX(tbl_input[집계키_센터],ROW()-1),"")</f>
        <v/>
      </c>
      <c r="G181" t="str">
        <f t="shared" si="18"/>
        <v/>
      </c>
      <c r="H181" t="str">
        <f t="shared" si="19"/>
        <v/>
      </c>
      <c r="I181" t="str">
        <f t="shared" si="20"/>
        <v/>
      </c>
    </row>
    <row r="182" spans="1:9" x14ac:dyDescent="0.4">
      <c r="A182" t="str">
        <f t="shared" si="14"/>
        <v/>
      </c>
      <c r="B182" t="str">
        <f t="shared" si="15"/>
        <v/>
      </c>
      <c r="C182" t="str">
        <f t="shared" si="16"/>
        <v/>
      </c>
      <c r="D182" t="str">
        <f t="shared" si="17"/>
        <v/>
      </c>
      <c r="E182" t="str">
        <f>IF(F182="","",IF(COUNTIF($F$2:F182,F182)&gt;1,"",SUMIFS(tbl_input[필요수량],tbl_input[집계키_센터],F182)))</f>
        <v/>
      </c>
      <c r="F182" t="str">
        <f>IFERROR(INDEX(tbl_input[집계키_센터],ROW()-1),"")</f>
        <v/>
      </c>
      <c r="G182" t="str">
        <f t="shared" si="18"/>
        <v/>
      </c>
      <c r="H182" t="str">
        <f t="shared" si="19"/>
        <v/>
      </c>
      <c r="I182" t="str">
        <f t="shared" si="20"/>
        <v/>
      </c>
    </row>
    <row r="183" spans="1:9" x14ac:dyDescent="0.4">
      <c r="A183" t="str">
        <f t="shared" si="14"/>
        <v/>
      </c>
      <c r="B183" t="str">
        <f t="shared" si="15"/>
        <v/>
      </c>
      <c r="C183" t="str">
        <f t="shared" si="16"/>
        <v/>
      </c>
      <c r="D183" t="str">
        <f t="shared" si="17"/>
        <v/>
      </c>
      <c r="E183" t="str">
        <f>IF(F183="","",IF(COUNTIF($F$2:F183,F183)&gt;1,"",SUMIFS(tbl_input[필요수량],tbl_input[집계키_센터],F183)))</f>
        <v/>
      </c>
      <c r="F183" t="str">
        <f>IFERROR(INDEX(tbl_input[집계키_센터],ROW()-1),"")</f>
        <v/>
      </c>
      <c r="G183" t="str">
        <f t="shared" si="18"/>
        <v/>
      </c>
      <c r="H183" t="str">
        <f t="shared" si="19"/>
        <v/>
      </c>
      <c r="I183" t="str">
        <f t="shared" si="20"/>
        <v/>
      </c>
    </row>
    <row r="184" spans="1:9" x14ac:dyDescent="0.4">
      <c r="A184" t="str">
        <f t="shared" si="14"/>
        <v/>
      </c>
      <c r="B184" t="str">
        <f t="shared" si="15"/>
        <v/>
      </c>
      <c r="C184" t="str">
        <f t="shared" si="16"/>
        <v/>
      </c>
      <c r="D184" t="str">
        <f t="shared" si="17"/>
        <v/>
      </c>
      <c r="E184" t="str">
        <f>IF(F184="","",IF(COUNTIF($F$2:F184,F184)&gt;1,"",SUMIFS(tbl_input[필요수량],tbl_input[집계키_센터],F184)))</f>
        <v/>
      </c>
      <c r="F184" t="str">
        <f>IFERROR(INDEX(tbl_input[집계키_센터],ROW()-1),"")</f>
        <v/>
      </c>
      <c r="G184" t="str">
        <f t="shared" si="18"/>
        <v/>
      </c>
      <c r="H184" t="str">
        <f t="shared" si="19"/>
        <v/>
      </c>
      <c r="I184" t="str">
        <f t="shared" si="20"/>
        <v/>
      </c>
    </row>
    <row r="185" spans="1:9" x14ac:dyDescent="0.4">
      <c r="A185" t="str">
        <f t="shared" si="14"/>
        <v/>
      </c>
      <c r="B185" t="str">
        <f t="shared" si="15"/>
        <v/>
      </c>
      <c r="C185" t="str">
        <f t="shared" si="16"/>
        <v/>
      </c>
      <c r="D185" t="str">
        <f t="shared" si="17"/>
        <v/>
      </c>
      <c r="E185" t="str">
        <f>IF(F185="","",IF(COUNTIF($F$2:F185,F185)&gt;1,"",SUMIFS(tbl_input[필요수량],tbl_input[집계키_센터],F185)))</f>
        <v/>
      </c>
      <c r="F185" t="str">
        <f>IFERROR(INDEX(tbl_input[집계키_센터],ROW()-1),"")</f>
        <v/>
      </c>
      <c r="G185" t="str">
        <f t="shared" si="18"/>
        <v/>
      </c>
      <c r="H185" t="str">
        <f t="shared" si="19"/>
        <v/>
      </c>
      <c r="I185" t="str">
        <f t="shared" si="20"/>
        <v/>
      </c>
    </row>
    <row r="186" spans="1:9" x14ac:dyDescent="0.4">
      <c r="A186" t="str">
        <f t="shared" si="14"/>
        <v/>
      </c>
      <c r="B186" t="str">
        <f t="shared" si="15"/>
        <v/>
      </c>
      <c r="C186" t="str">
        <f t="shared" si="16"/>
        <v/>
      </c>
      <c r="D186" t="str">
        <f t="shared" si="17"/>
        <v/>
      </c>
      <c r="E186" t="str">
        <f>IF(F186="","",IF(COUNTIF($F$2:F186,F186)&gt;1,"",SUMIFS(tbl_input[필요수량],tbl_input[집계키_센터],F186)))</f>
        <v/>
      </c>
      <c r="F186" t="str">
        <f>IFERROR(INDEX(tbl_input[집계키_센터],ROW()-1),"")</f>
        <v/>
      </c>
      <c r="G186" t="str">
        <f t="shared" si="18"/>
        <v/>
      </c>
      <c r="H186" t="str">
        <f t="shared" si="19"/>
        <v/>
      </c>
      <c r="I186" t="str">
        <f t="shared" si="20"/>
        <v/>
      </c>
    </row>
    <row r="187" spans="1:9" x14ac:dyDescent="0.4">
      <c r="A187" t="str">
        <f t="shared" si="14"/>
        <v/>
      </c>
      <c r="B187" t="str">
        <f t="shared" si="15"/>
        <v/>
      </c>
      <c r="C187" t="str">
        <f t="shared" si="16"/>
        <v/>
      </c>
      <c r="D187" t="str">
        <f t="shared" si="17"/>
        <v/>
      </c>
      <c r="E187" t="str">
        <f>IF(F187="","",IF(COUNTIF($F$2:F187,F187)&gt;1,"",SUMIFS(tbl_input[필요수량],tbl_input[집계키_센터],F187)))</f>
        <v/>
      </c>
      <c r="F187" t="str">
        <f>IFERROR(INDEX(tbl_input[집계키_센터],ROW()-1),"")</f>
        <v/>
      </c>
      <c r="G187" t="str">
        <f t="shared" si="18"/>
        <v/>
      </c>
      <c r="H187" t="str">
        <f t="shared" si="19"/>
        <v/>
      </c>
      <c r="I187" t="str">
        <f t="shared" si="20"/>
        <v/>
      </c>
    </row>
    <row r="188" spans="1:9" x14ac:dyDescent="0.4">
      <c r="A188" t="str">
        <f t="shared" si="14"/>
        <v/>
      </c>
      <c r="B188" t="str">
        <f t="shared" si="15"/>
        <v/>
      </c>
      <c r="C188" t="str">
        <f t="shared" si="16"/>
        <v/>
      </c>
      <c r="D188" t="str">
        <f t="shared" si="17"/>
        <v/>
      </c>
      <c r="E188" t="str">
        <f>IF(F188="","",IF(COUNTIF($F$2:F188,F188)&gt;1,"",SUMIFS(tbl_input[필요수량],tbl_input[집계키_센터],F188)))</f>
        <v/>
      </c>
      <c r="F188" t="str">
        <f>IFERROR(INDEX(tbl_input[집계키_센터],ROW()-1),"")</f>
        <v/>
      </c>
      <c r="G188" t="str">
        <f t="shared" si="18"/>
        <v/>
      </c>
      <c r="H188" t="str">
        <f t="shared" si="19"/>
        <v/>
      </c>
      <c r="I188" t="str">
        <f t="shared" si="20"/>
        <v/>
      </c>
    </row>
    <row r="189" spans="1:9" x14ac:dyDescent="0.4">
      <c r="A189" t="str">
        <f t="shared" si="14"/>
        <v/>
      </c>
      <c r="B189" t="str">
        <f t="shared" si="15"/>
        <v/>
      </c>
      <c r="C189" t="str">
        <f t="shared" si="16"/>
        <v/>
      </c>
      <c r="D189" t="str">
        <f t="shared" si="17"/>
        <v/>
      </c>
      <c r="E189" t="str">
        <f>IF(F189="","",IF(COUNTIF($F$2:F189,F189)&gt;1,"",SUMIFS(tbl_input[필요수량],tbl_input[집계키_센터],F189)))</f>
        <v/>
      </c>
      <c r="F189" t="str">
        <f>IFERROR(INDEX(tbl_input[집계키_센터],ROW()-1),"")</f>
        <v/>
      </c>
      <c r="G189" t="str">
        <f t="shared" si="18"/>
        <v/>
      </c>
      <c r="H189" t="str">
        <f t="shared" si="19"/>
        <v/>
      </c>
      <c r="I189" t="str">
        <f t="shared" si="20"/>
        <v/>
      </c>
    </row>
    <row r="190" spans="1:9" x14ac:dyDescent="0.4">
      <c r="A190" t="str">
        <f t="shared" si="14"/>
        <v/>
      </c>
      <c r="B190" t="str">
        <f t="shared" si="15"/>
        <v/>
      </c>
      <c r="C190" t="str">
        <f t="shared" si="16"/>
        <v/>
      </c>
      <c r="D190" t="str">
        <f t="shared" si="17"/>
        <v/>
      </c>
      <c r="E190" t="str">
        <f>IF(F190="","",IF(COUNTIF($F$2:F190,F190)&gt;1,"",SUMIFS(tbl_input[필요수량],tbl_input[집계키_센터],F190)))</f>
        <v/>
      </c>
      <c r="F190" t="str">
        <f>IFERROR(INDEX(tbl_input[집계키_센터],ROW()-1),"")</f>
        <v/>
      </c>
      <c r="G190" t="str">
        <f t="shared" si="18"/>
        <v/>
      </c>
      <c r="H190" t="str">
        <f t="shared" si="19"/>
        <v/>
      </c>
      <c r="I190" t="str">
        <f t="shared" si="20"/>
        <v/>
      </c>
    </row>
    <row r="191" spans="1:9" x14ac:dyDescent="0.4">
      <c r="A191" t="str">
        <f t="shared" si="14"/>
        <v/>
      </c>
      <c r="B191" t="str">
        <f t="shared" si="15"/>
        <v/>
      </c>
      <c r="C191" t="str">
        <f t="shared" si="16"/>
        <v/>
      </c>
      <c r="D191" t="str">
        <f t="shared" si="17"/>
        <v/>
      </c>
      <c r="E191" t="str">
        <f>IF(F191="","",IF(COUNTIF($F$2:F191,F191)&gt;1,"",SUMIFS(tbl_input[필요수량],tbl_input[집계키_센터],F191)))</f>
        <v/>
      </c>
      <c r="F191" t="str">
        <f>IFERROR(INDEX(tbl_input[집계키_센터],ROW()-1),"")</f>
        <v/>
      </c>
      <c r="G191" t="str">
        <f t="shared" si="18"/>
        <v/>
      </c>
      <c r="H191" t="str">
        <f t="shared" si="19"/>
        <v/>
      </c>
      <c r="I191" t="str">
        <f t="shared" si="20"/>
        <v/>
      </c>
    </row>
    <row r="192" spans="1:9" x14ac:dyDescent="0.4">
      <c r="A192" t="str">
        <f t="shared" si="14"/>
        <v/>
      </c>
      <c r="B192" t="str">
        <f t="shared" si="15"/>
        <v/>
      </c>
      <c r="C192" t="str">
        <f t="shared" si="16"/>
        <v/>
      </c>
      <c r="D192" t="str">
        <f t="shared" si="17"/>
        <v/>
      </c>
      <c r="E192" t="str">
        <f>IF(F192="","",IF(COUNTIF($F$2:F192,F192)&gt;1,"",SUMIFS(tbl_input[필요수량],tbl_input[집계키_센터],F192)))</f>
        <v/>
      </c>
      <c r="F192" t="str">
        <f>IFERROR(INDEX(tbl_input[집계키_센터],ROW()-1),"")</f>
        <v/>
      </c>
      <c r="G192" t="str">
        <f t="shared" si="18"/>
        <v/>
      </c>
      <c r="H192" t="str">
        <f t="shared" si="19"/>
        <v/>
      </c>
      <c r="I192" t="str">
        <f t="shared" si="20"/>
        <v/>
      </c>
    </row>
    <row r="193" spans="1:9" x14ac:dyDescent="0.4">
      <c r="A193" t="str">
        <f t="shared" si="14"/>
        <v/>
      </c>
      <c r="B193" t="str">
        <f t="shared" si="15"/>
        <v/>
      </c>
      <c r="C193" t="str">
        <f t="shared" si="16"/>
        <v/>
      </c>
      <c r="D193" t="str">
        <f t="shared" si="17"/>
        <v/>
      </c>
      <c r="E193" t="str">
        <f>IF(F193="","",IF(COUNTIF($F$2:F193,F193)&gt;1,"",SUMIFS(tbl_input[필요수량],tbl_input[집계키_센터],F193)))</f>
        <v/>
      </c>
      <c r="F193" t="str">
        <f>IFERROR(INDEX(tbl_input[집계키_센터],ROW()-1),"")</f>
        <v/>
      </c>
      <c r="G193" t="str">
        <f t="shared" si="18"/>
        <v/>
      </c>
      <c r="H193" t="str">
        <f t="shared" si="19"/>
        <v/>
      </c>
      <c r="I193" t="str">
        <f t="shared" si="20"/>
        <v/>
      </c>
    </row>
    <row r="194" spans="1:9" x14ac:dyDescent="0.4">
      <c r="A194" t="str">
        <f t="shared" ref="A194:A257" si="21">IF(F194="","",LEFT(F194,G194-1))</f>
        <v/>
      </c>
      <c r="B194" t="str">
        <f t="shared" ref="B194:B257" si="22">IF(F194="","",MID(F194,G194+1,H194-G194-1))</f>
        <v/>
      </c>
      <c r="C194" t="str">
        <f t="shared" ref="C194:C257" si="23">IF(F194="","",MID(F194,H194+1,I194-H194-1))</f>
        <v/>
      </c>
      <c r="D194" t="str">
        <f t="shared" ref="D194:D257" si="24">IF(F194="","",MID(F194,I194+1,999))</f>
        <v/>
      </c>
      <c r="E194" t="str">
        <f>IF(F194="","",IF(COUNTIF($F$2:F194,F194)&gt;1,"",SUMIFS(tbl_input[필요수량],tbl_input[집계키_센터],F194)))</f>
        <v/>
      </c>
      <c r="F194" t="str">
        <f>IFERROR(INDEX(tbl_input[집계키_센터],ROW()-1),"")</f>
        <v/>
      </c>
      <c r="G194" t="str">
        <f t="shared" ref="G194:G257" si="25">IF(F194="","",FIND("♦",F194))</f>
        <v/>
      </c>
      <c r="H194" t="str">
        <f t="shared" ref="H194:H257" si="26">IF(F194="","",FIND("♦",F194,G194+1))</f>
        <v/>
      </c>
      <c r="I194" t="str">
        <f t="shared" ref="I194:I257" si="27">IF(F194="","",FIND("♦",F194,H194+1))</f>
        <v/>
      </c>
    </row>
    <row r="195" spans="1:9" x14ac:dyDescent="0.4">
      <c r="A195" t="str">
        <f t="shared" si="21"/>
        <v/>
      </c>
      <c r="B195" t="str">
        <f t="shared" si="22"/>
        <v/>
      </c>
      <c r="C195" t="str">
        <f t="shared" si="23"/>
        <v/>
      </c>
      <c r="D195" t="str">
        <f t="shared" si="24"/>
        <v/>
      </c>
      <c r="E195" t="str">
        <f>IF(F195="","",IF(COUNTIF($F$2:F195,F195)&gt;1,"",SUMIFS(tbl_input[필요수량],tbl_input[집계키_센터],F195)))</f>
        <v/>
      </c>
      <c r="F195" t="str">
        <f>IFERROR(INDEX(tbl_input[집계키_센터],ROW()-1),"")</f>
        <v/>
      </c>
      <c r="G195" t="str">
        <f t="shared" si="25"/>
        <v/>
      </c>
      <c r="H195" t="str">
        <f t="shared" si="26"/>
        <v/>
      </c>
      <c r="I195" t="str">
        <f t="shared" si="27"/>
        <v/>
      </c>
    </row>
    <row r="196" spans="1:9" x14ac:dyDescent="0.4">
      <c r="A196" t="str">
        <f t="shared" si="21"/>
        <v/>
      </c>
      <c r="B196" t="str">
        <f t="shared" si="22"/>
        <v/>
      </c>
      <c r="C196" t="str">
        <f t="shared" si="23"/>
        <v/>
      </c>
      <c r="D196" t="str">
        <f t="shared" si="24"/>
        <v/>
      </c>
      <c r="E196" t="str">
        <f>IF(F196="","",IF(COUNTIF($F$2:F196,F196)&gt;1,"",SUMIFS(tbl_input[필요수량],tbl_input[집계키_센터],F196)))</f>
        <v/>
      </c>
      <c r="F196" t="str">
        <f>IFERROR(INDEX(tbl_input[집계키_센터],ROW()-1),"")</f>
        <v/>
      </c>
      <c r="G196" t="str">
        <f t="shared" si="25"/>
        <v/>
      </c>
      <c r="H196" t="str">
        <f t="shared" si="26"/>
        <v/>
      </c>
      <c r="I196" t="str">
        <f t="shared" si="27"/>
        <v/>
      </c>
    </row>
    <row r="197" spans="1:9" x14ac:dyDescent="0.4">
      <c r="A197" t="str">
        <f t="shared" si="21"/>
        <v/>
      </c>
      <c r="B197" t="str">
        <f t="shared" si="22"/>
        <v/>
      </c>
      <c r="C197" t="str">
        <f t="shared" si="23"/>
        <v/>
      </c>
      <c r="D197" t="str">
        <f t="shared" si="24"/>
        <v/>
      </c>
      <c r="E197" t="str">
        <f>IF(F197="","",IF(COUNTIF($F$2:F197,F197)&gt;1,"",SUMIFS(tbl_input[필요수량],tbl_input[집계키_센터],F197)))</f>
        <v/>
      </c>
      <c r="F197" t="str">
        <f>IFERROR(INDEX(tbl_input[집계키_센터],ROW()-1),"")</f>
        <v/>
      </c>
      <c r="G197" t="str">
        <f t="shared" si="25"/>
        <v/>
      </c>
      <c r="H197" t="str">
        <f t="shared" si="26"/>
        <v/>
      </c>
      <c r="I197" t="str">
        <f t="shared" si="27"/>
        <v/>
      </c>
    </row>
    <row r="198" spans="1:9" x14ac:dyDescent="0.4">
      <c r="A198" t="str">
        <f t="shared" si="21"/>
        <v/>
      </c>
      <c r="B198" t="str">
        <f t="shared" si="22"/>
        <v/>
      </c>
      <c r="C198" t="str">
        <f t="shared" si="23"/>
        <v/>
      </c>
      <c r="D198" t="str">
        <f t="shared" si="24"/>
        <v/>
      </c>
      <c r="E198" t="str">
        <f>IF(F198="","",IF(COUNTIF($F$2:F198,F198)&gt;1,"",SUMIFS(tbl_input[필요수량],tbl_input[집계키_센터],F198)))</f>
        <v/>
      </c>
      <c r="F198" t="str">
        <f>IFERROR(INDEX(tbl_input[집계키_센터],ROW()-1),"")</f>
        <v/>
      </c>
      <c r="G198" t="str">
        <f t="shared" si="25"/>
        <v/>
      </c>
      <c r="H198" t="str">
        <f t="shared" si="26"/>
        <v/>
      </c>
      <c r="I198" t="str">
        <f t="shared" si="27"/>
        <v/>
      </c>
    </row>
    <row r="199" spans="1:9" x14ac:dyDescent="0.4">
      <c r="A199" t="str">
        <f t="shared" si="21"/>
        <v/>
      </c>
      <c r="B199" t="str">
        <f t="shared" si="22"/>
        <v/>
      </c>
      <c r="C199" t="str">
        <f t="shared" si="23"/>
        <v/>
      </c>
      <c r="D199" t="str">
        <f t="shared" si="24"/>
        <v/>
      </c>
      <c r="E199" t="str">
        <f>IF(F199="","",IF(COUNTIF($F$2:F199,F199)&gt;1,"",SUMIFS(tbl_input[필요수량],tbl_input[집계키_센터],F199)))</f>
        <v/>
      </c>
      <c r="F199" t="str">
        <f>IFERROR(INDEX(tbl_input[집계키_센터],ROW()-1),"")</f>
        <v/>
      </c>
      <c r="G199" t="str">
        <f t="shared" si="25"/>
        <v/>
      </c>
      <c r="H199" t="str">
        <f t="shared" si="26"/>
        <v/>
      </c>
      <c r="I199" t="str">
        <f t="shared" si="27"/>
        <v/>
      </c>
    </row>
    <row r="200" spans="1:9" x14ac:dyDescent="0.4">
      <c r="A200" t="str">
        <f t="shared" si="21"/>
        <v/>
      </c>
      <c r="B200" t="str">
        <f t="shared" si="22"/>
        <v/>
      </c>
      <c r="C200" t="str">
        <f t="shared" si="23"/>
        <v/>
      </c>
      <c r="D200" t="str">
        <f t="shared" si="24"/>
        <v/>
      </c>
      <c r="E200" t="str">
        <f>IF(F200="","",IF(COUNTIF($F$2:F200,F200)&gt;1,"",SUMIFS(tbl_input[필요수량],tbl_input[집계키_센터],F200)))</f>
        <v/>
      </c>
      <c r="F200" t="str">
        <f>IFERROR(INDEX(tbl_input[집계키_센터],ROW()-1),"")</f>
        <v/>
      </c>
      <c r="G200" t="str">
        <f t="shared" si="25"/>
        <v/>
      </c>
      <c r="H200" t="str">
        <f t="shared" si="26"/>
        <v/>
      </c>
      <c r="I200" t="str">
        <f t="shared" si="27"/>
        <v/>
      </c>
    </row>
    <row r="201" spans="1:9" x14ac:dyDescent="0.4">
      <c r="A201" t="str">
        <f t="shared" si="21"/>
        <v/>
      </c>
      <c r="B201" t="str">
        <f t="shared" si="22"/>
        <v/>
      </c>
      <c r="C201" t="str">
        <f t="shared" si="23"/>
        <v/>
      </c>
      <c r="D201" t="str">
        <f t="shared" si="24"/>
        <v/>
      </c>
      <c r="E201" t="str">
        <f>IF(F201="","",IF(COUNTIF($F$2:F201,F201)&gt;1,"",SUMIFS(tbl_input[필요수량],tbl_input[집계키_센터],F201)))</f>
        <v/>
      </c>
      <c r="F201" t="str">
        <f>IFERROR(INDEX(tbl_input[집계키_센터],ROW()-1),"")</f>
        <v/>
      </c>
      <c r="G201" t="str">
        <f t="shared" si="25"/>
        <v/>
      </c>
      <c r="H201" t="str">
        <f t="shared" si="26"/>
        <v/>
      </c>
      <c r="I201" t="str">
        <f t="shared" si="27"/>
        <v/>
      </c>
    </row>
    <row r="202" spans="1:9" x14ac:dyDescent="0.4">
      <c r="A202" t="str">
        <f t="shared" si="21"/>
        <v/>
      </c>
      <c r="B202" t="str">
        <f t="shared" si="22"/>
        <v/>
      </c>
      <c r="C202" t="str">
        <f t="shared" si="23"/>
        <v/>
      </c>
      <c r="D202" t="str">
        <f t="shared" si="24"/>
        <v/>
      </c>
      <c r="E202" t="str">
        <f>IF(F202="","",IF(COUNTIF($F$2:F202,F202)&gt;1,"",SUMIFS(tbl_input[필요수량],tbl_input[집계키_센터],F202)))</f>
        <v/>
      </c>
      <c r="F202" t="str">
        <f>IFERROR(INDEX(tbl_input[집계키_센터],ROW()-1),"")</f>
        <v/>
      </c>
      <c r="G202" t="str">
        <f t="shared" si="25"/>
        <v/>
      </c>
      <c r="H202" t="str">
        <f t="shared" si="26"/>
        <v/>
      </c>
      <c r="I202" t="str">
        <f t="shared" si="27"/>
        <v/>
      </c>
    </row>
    <row r="203" spans="1:9" x14ac:dyDescent="0.4">
      <c r="A203" t="str">
        <f t="shared" si="21"/>
        <v/>
      </c>
      <c r="B203" t="str">
        <f t="shared" si="22"/>
        <v/>
      </c>
      <c r="C203" t="str">
        <f t="shared" si="23"/>
        <v/>
      </c>
      <c r="D203" t="str">
        <f t="shared" si="24"/>
        <v/>
      </c>
      <c r="E203" t="str">
        <f>IF(F203="","",IF(COUNTIF($F$2:F203,F203)&gt;1,"",SUMIFS(tbl_input[필요수량],tbl_input[집계키_센터],F203)))</f>
        <v/>
      </c>
      <c r="F203" t="str">
        <f>IFERROR(INDEX(tbl_input[집계키_센터],ROW()-1),"")</f>
        <v/>
      </c>
      <c r="G203" t="str">
        <f t="shared" si="25"/>
        <v/>
      </c>
      <c r="H203" t="str">
        <f t="shared" si="26"/>
        <v/>
      </c>
      <c r="I203" t="str">
        <f t="shared" si="27"/>
        <v/>
      </c>
    </row>
    <row r="204" spans="1:9" x14ac:dyDescent="0.4">
      <c r="A204" t="str">
        <f t="shared" si="21"/>
        <v/>
      </c>
      <c r="B204" t="str">
        <f t="shared" si="22"/>
        <v/>
      </c>
      <c r="C204" t="str">
        <f t="shared" si="23"/>
        <v/>
      </c>
      <c r="D204" t="str">
        <f t="shared" si="24"/>
        <v/>
      </c>
      <c r="E204" t="str">
        <f>IF(F204="","",IF(COUNTIF($F$2:F204,F204)&gt;1,"",SUMIFS(tbl_input[필요수량],tbl_input[집계키_센터],F204)))</f>
        <v/>
      </c>
      <c r="F204" t="str">
        <f>IFERROR(INDEX(tbl_input[집계키_센터],ROW()-1),"")</f>
        <v/>
      </c>
      <c r="G204" t="str">
        <f t="shared" si="25"/>
        <v/>
      </c>
      <c r="H204" t="str">
        <f t="shared" si="26"/>
        <v/>
      </c>
      <c r="I204" t="str">
        <f t="shared" si="27"/>
        <v/>
      </c>
    </row>
    <row r="205" spans="1:9" x14ac:dyDescent="0.4">
      <c r="A205" t="str">
        <f t="shared" si="21"/>
        <v/>
      </c>
      <c r="B205" t="str">
        <f t="shared" si="22"/>
        <v/>
      </c>
      <c r="C205" t="str">
        <f t="shared" si="23"/>
        <v/>
      </c>
      <c r="D205" t="str">
        <f t="shared" si="24"/>
        <v/>
      </c>
      <c r="E205" t="str">
        <f>IF(F205="","",IF(COUNTIF($F$2:F205,F205)&gt;1,"",SUMIFS(tbl_input[필요수량],tbl_input[집계키_센터],F205)))</f>
        <v/>
      </c>
      <c r="F205" t="str">
        <f>IFERROR(INDEX(tbl_input[집계키_센터],ROW()-1),"")</f>
        <v/>
      </c>
      <c r="G205" t="str">
        <f t="shared" si="25"/>
        <v/>
      </c>
      <c r="H205" t="str">
        <f t="shared" si="26"/>
        <v/>
      </c>
      <c r="I205" t="str">
        <f t="shared" si="27"/>
        <v/>
      </c>
    </row>
    <row r="206" spans="1:9" x14ac:dyDescent="0.4">
      <c r="A206" t="str">
        <f t="shared" si="21"/>
        <v/>
      </c>
      <c r="B206" t="str">
        <f t="shared" si="22"/>
        <v/>
      </c>
      <c r="C206" t="str">
        <f t="shared" si="23"/>
        <v/>
      </c>
      <c r="D206" t="str">
        <f t="shared" si="24"/>
        <v/>
      </c>
      <c r="E206" t="str">
        <f>IF(F206="","",IF(COUNTIF($F$2:F206,F206)&gt;1,"",SUMIFS(tbl_input[필요수량],tbl_input[집계키_센터],F206)))</f>
        <v/>
      </c>
      <c r="F206" t="str">
        <f>IFERROR(INDEX(tbl_input[집계키_센터],ROW()-1),"")</f>
        <v/>
      </c>
      <c r="G206" t="str">
        <f t="shared" si="25"/>
        <v/>
      </c>
      <c r="H206" t="str">
        <f t="shared" si="26"/>
        <v/>
      </c>
      <c r="I206" t="str">
        <f t="shared" si="27"/>
        <v/>
      </c>
    </row>
    <row r="207" spans="1:9" x14ac:dyDescent="0.4">
      <c r="A207" t="str">
        <f t="shared" si="21"/>
        <v/>
      </c>
      <c r="B207" t="str">
        <f t="shared" si="22"/>
        <v/>
      </c>
      <c r="C207" t="str">
        <f t="shared" si="23"/>
        <v/>
      </c>
      <c r="D207" t="str">
        <f t="shared" si="24"/>
        <v/>
      </c>
      <c r="E207" t="str">
        <f>IF(F207="","",IF(COUNTIF($F$2:F207,F207)&gt;1,"",SUMIFS(tbl_input[필요수량],tbl_input[집계키_센터],F207)))</f>
        <v/>
      </c>
      <c r="F207" t="str">
        <f>IFERROR(INDEX(tbl_input[집계키_센터],ROW()-1),"")</f>
        <v/>
      </c>
      <c r="G207" t="str">
        <f t="shared" si="25"/>
        <v/>
      </c>
      <c r="H207" t="str">
        <f t="shared" si="26"/>
        <v/>
      </c>
      <c r="I207" t="str">
        <f t="shared" si="27"/>
        <v/>
      </c>
    </row>
    <row r="208" spans="1:9" x14ac:dyDescent="0.4">
      <c r="A208" t="str">
        <f t="shared" si="21"/>
        <v/>
      </c>
      <c r="B208" t="str">
        <f t="shared" si="22"/>
        <v/>
      </c>
      <c r="C208" t="str">
        <f t="shared" si="23"/>
        <v/>
      </c>
      <c r="D208" t="str">
        <f t="shared" si="24"/>
        <v/>
      </c>
      <c r="E208" t="str">
        <f>IF(F208="","",IF(COUNTIF($F$2:F208,F208)&gt;1,"",SUMIFS(tbl_input[필요수량],tbl_input[집계키_센터],F208)))</f>
        <v/>
      </c>
      <c r="F208" t="str">
        <f>IFERROR(INDEX(tbl_input[집계키_센터],ROW()-1),"")</f>
        <v/>
      </c>
      <c r="G208" t="str">
        <f t="shared" si="25"/>
        <v/>
      </c>
      <c r="H208" t="str">
        <f t="shared" si="26"/>
        <v/>
      </c>
      <c r="I208" t="str">
        <f t="shared" si="27"/>
        <v/>
      </c>
    </row>
    <row r="209" spans="1:9" x14ac:dyDescent="0.4">
      <c r="A209" t="str">
        <f t="shared" si="21"/>
        <v/>
      </c>
      <c r="B209" t="str">
        <f t="shared" si="22"/>
        <v/>
      </c>
      <c r="C209" t="str">
        <f t="shared" si="23"/>
        <v/>
      </c>
      <c r="D209" t="str">
        <f t="shared" si="24"/>
        <v/>
      </c>
      <c r="E209" t="str">
        <f>IF(F209="","",IF(COUNTIF($F$2:F209,F209)&gt;1,"",SUMIFS(tbl_input[필요수량],tbl_input[집계키_센터],F209)))</f>
        <v/>
      </c>
      <c r="F209" t="str">
        <f>IFERROR(INDEX(tbl_input[집계키_센터],ROW()-1),"")</f>
        <v/>
      </c>
      <c r="G209" t="str">
        <f t="shared" si="25"/>
        <v/>
      </c>
      <c r="H209" t="str">
        <f t="shared" si="26"/>
        <v/>
      </c>
      <c r="I209" t="str">
        <f t="shared" si="27"/>
        <v/>
      </c>
    </row>
    <row r="210" spans="1:9" x14ac:dyDescent="0.4">
      <c r="A210" t="str">
        <f t="shared" si="21"/>
        <v/>
      </c>
      <c r="B210" t="str">
        <f t="shared" si="22"/>
        <v/>
      </c>
      <c r="C210" t="str">
        <f t="shared" si="23"/>
        <v/>
      </c>
      <c r="D210" t="str">
        <f t="shared" si="24"/>
        <v/>
      </c>
      <c r="E210" t="str">
        <f>IF(F210="","",IF(COUNTIF($F$2:F210,F210)&gt;1,"",SUMIFS(tbl_input[필요수량],tbl_input[집계키_센터],F210)))</f>
        <v/>
      </c>
      <c r="F210" t="str">
        <f>IFERROR(INDEX(tbl_input[집계키_센터],ROW()-1),"")</f>
        <v/>
      </c>
      <c r="G210" t="str">
        <f t="shared" si="25"/>
        <v/>
      </c>
      <c r="H210" t="str">
        <f t="shared" si="26"/>
        <v/>
      </c>
      <c r="I210" t="str">
        <f t="shared" si="27"/>
        <v/>
      </c>
    </row>
    <row r="211" spans="1:9" x14ac:dyDescent="0.4">
      <c r="A211" t="str">
        <f t="shared" si="21"/>
        <v/>
      </c>
      <c r="B211" t="str">
        <f t="shared" si="22"/>
        <v/>
      </c>
      <c r="C211" t="str">
        <f t="shared" si="23"/>
        <v/>
      </c>
      <c r="D211" t="str">
        <f t="shared" si="24"/>
        <v/>
      </c>
      <c r="E211" t="str">
        <f>IF(F211="","",IF(COUNTIF($F$2:F211,F211)&gt;1,"",SUMIFS(tbl_input[필요수량],tbl_input[집계키_센터],F211)))</f>
        <v/>
      </c>
      <c r="F211" t="str">
        <f>IFERROR(INDEX(tbl_input[집계키_센터],ROW()-1),"")</f>
        <v/>
      </c>
      <c r="G211" t="str">
        <f t="shared" si="25"/>
        <v/>
      </c>
      <c r="H211" t="str">
        <f t="shared" si="26"/>
        <v/>
      </c>
      <c r="I211" t="str">
        <f t="shared" si="27"/>
        <v/>
      </c>
    </row>
    <row r="212" spans="1:9" x14ac:dyDescent="0.4">
      <c r="A212" t="str">
        <f t="shared" si="21"/>
        <v/>
      </c>
      <c r="B212" t="str">
        <f t="shared" si="22"/>
        <v/>
      </c>
      <c r="C212" t="str">
        <f t="shared" si="23"/>
        <v/>
      </c>
      <c r="D212" t="str">
        <f t="shared" si="24"/>
        <v/>
      </c>
      <c r="E212" t="str">
        <f>IF(F212="","",IF(COUNTIF($F$2:F212,F212)&gt;1,"",SUMIFS(tbl_input[필요수량],tbl_input[집계키_센터],F212)))</f>
        <v/>
      </c>
      <c r="F212" t="str">
        <f>IFERROR(INDEX(tbl_input[집계키_센터],ROW()-1),"")</f>
        <v/>
      </c>
      <c r="G212" t="str">
        <f t="shared" si="25"/>
        <v/>
      </c>
      <c r="H212" t="str">
        <f t="shared" si="26"/>
        <v/>
      </c>
      <c r="I212" t="str">
        <f t="shared" si="27"/>
        <v/>
      </c>
    </row>
    <row r="213" spans="1:9" x14ac:dyDescent="0.4">
      <c r="A213" t="str">
        <f t="shared" si="21"/>
        <v/>
      </c>
      <c r="B213" t="str">
        <f t="shared" si="22"/>
        <v/>
      </c>
      <c r="C213" t="str">
        <f t="shared" si="23"/>
        <v/>
      </c>
      <c r="D213" t="str">
        <f t="shared" si="24"/>
        <v/>
      </c>
      <c r="E213" t="str">
        <f>IF(F213="","",IF(COUNTIF($F$2:F213,F213)&gt;1,"",SUMIFS(tbl_input[필요수량],tbl_input[집계키_센터],F213)))</f>
        <v/>
      </c>
      <c r="F213" t="str">
        <f>IFERROR(INDEX(tbl_input[집계키_센터],ROW()-1),"")</f>
        <v/>
      </c>
      <c r="G213" t="str">
        <f t="shared" si="25"/>
        <v/>
      </c>
      <c r="H213" t="str">
        <f t="shared" si="26"/>
        <v/>
      </c>
      <c r="I213" t="str">
        <f t="shared" si="27"/>
        <v/>
      </c>
    </row>
    <row r="214" spans="1:9" x14ac:dyDescent="0.4">
      <c r="A214" t="str">
        <f t="shared" si="21"/>
        <v/>
      </c>
      <c r="B214" t="str">
        <f t="shared" si="22"/>
        <v/>
      </c>
      <c r="C214" t="str">
        <f t="shared" si="23"/>
        <v/>
      </c>
      <c r="D214" t="str">
        <f t="shared" si="24"/>
        <v/>
      </c>
      <c r="E214" t="str">
        <f>IF(F214="","",IF(COUNTIF($F$2:F214,F214)&gt;1,"",SUMIFS(tbl_input[필요수량],tbl_input[집계키_센터],F214)))</f>
        <v/>
      </c>
      <c r="F214" t="str">
        <f>IFERROR(INDEX(tbl_input[집계키_센터],ROW()-1),"")</f>
        <v/>
      </c>
      <c r="G214" t="str">
        <f t="shared" si="25"/>
        <v/>
      </c>
      <c r="H214" t="str">
        <f t="shared" si="26"/>
        <v/>
      </c>
      <c r="I214" t="str">
        <f t="shared" si="27"/>
        <v/>
      </c>
    </row>
    <row r="215" spans="1:9" x14ac:dyDescent="0.4">
      <c r="A215" t="str">
        <f t="shared" si="21"/>
        <v/>
      </c>
      <c r="B215" t="str">
        <f t="shared" si="22"/>
        <v/>
      </c>
      <c r="C215" t="str">
        <f t="shared" si="23"/>
        <v/>
      </c>
      <c r="D215" t="str">
        <f t="shared" si="24"/>
        <v/>
      </c>
      <c r="E215" t="str">
        <f>IF(F215="","",IF(COUNTIF($F$2:F215,F215)&gt;1,"",SUMIFS(tbl_input[필요수량],tbl_input[집계키_센터],F215)))</f>
        <v/>
      </c>
      <c r="F215" t="str">
        <f>IFERROR(INDEX(tbl_input[집계키_센터],ROW()-1),"")</f>
        <v/>
      </c>
      <c r="G215" t="str">
        <f t="shared" si="25"/>
        <v/>
      </c>
      <c r="H215" t="str">
        <f t="shared" si="26"/>
        <v/>
      </c>
      <c r="I215" t="str">
        <f t="shared" si="27"/>
        <v/>
      </c>
    </row>
    <row r="216" spans="1:9" x14ac:dyDescent="0.4">
      <c r="A216" t="str">
        <f t="shared" si="21"/>
        <v/>
      </c>
      <c r="B216" t="str">
        <f t="shared" si="22"/>
        <v/>
      </c>
      <c r="C216" t="str">
        <f t="shared" si="23"/>
        <v/>
      </c>
      <c r="D216" t="str">
        <f t="shared" si="24"/>
        <v/>
      </c>
      <c r="E216" t="str">
        <f>IF(F216="","",IF(COUNTIF($F$2:F216,F216)&gt;1,"",SUMIFS(tbl_input[필요수량],tbl_input[집계키_센터],F216)))</f>
        <v/>
      </c>
      <c r="F216" t="str">
        <f>IFERROR(INDEX(tbl_input[집계키_센터],ROW()-1),"")</f>
        <v/>
      </c>
      <c r="G216" t="str">
        <f t="shared" si="25"/>
        <v/>
      </c>
      <c r="H216" t="str">
        <f t="shared" si="26"/>
        <v/>
      </c>
      <c r="I216" t="str">
        <f t="shared" si="27"/>
        <v/>
      </c>
    </row>
    <row r="217" spans="1:9" x14ac:dyDescent="0.4">
      <c r="A217" t="str">
        <f t="shared" si="21"/>
        <v/>
      </c>
      <c r="B217" t="str">
        <f t="shared" si="22"/>
        <v/>
      </c>
      <c r="C217" t="str">
        <f t="shared" si="23"/>
        <v/>
      </c>
      <c r="D217" t="str">
        <f t="shared" si="24"/>
        <v/>
      </c>
      <c r="E217" t="str">
        <f>IF(F217="","",IF(COUNTIF($F$2:F217,F217)&gt;1,"",SUMIFS(tbl_input[필요수량],tbl_input[집계키_센터],F217)))</f>
        <v/>
      </c>
      <c r="F217" t="str">
        <f>IFERROR(INDEX(tbl_input[집계키_센터],ROW()-1),"")</f>
        <v/>
      </c>
      <c r="G217" t="str">
        <f t="shared" si="25"/>
        <v/>
      </c>
      <c r="H217" t="str">
        <f t="shared" si="26"/>
        <v/>
      </c>
      <c r="I217" t="str">
        <f t="shared" si="27"/>
        <v/>
      </c>
    </row>
    <row r="218" spans="1:9" x14ac:dyDescent="0.4">
      <c r="A218" t="str">
        <f t="shared" si="21"/>
        <v/>
      </c>
      <c r="B218" t="str">
        <f t="shared" si="22"/>
        <v/>
      </c>
      <c r="C218" t="str">
        <f t="shared" si="23"/>
        <v/>
      </c>
      <c r="D218" t="str">
        <f t="shared" si="24"/>
        <v/>
      </c>
      <c r="E218" t="str">
        <f>IF(F218="","",IF(COUNTIF($F$2:F218,F218)&gt;1,"",SUMIFS(tbl_input[필요수량],tbl_input[집계키_센터],F218)))</f>
        <v/>
      </c>
      <c r="F218" t="str">
        <f>IFERROR(INDEX(tbl_input[집계키_센터],ROW()-1),"")</f>
        <v/>
      </c>
      <c r="G218" t="str">
        <f t="shared" si="25"/>
        <v/>
      </c>
      <c r="H218" t="str">
        <f t="shared" si="26"/>
        <v/>
      </c>
      <c r="I218" t="str">
        <f t="shared" si="27"/>
        <v/>
      </c>
    </row>
    <row r="219" spans="1:9" x14ac:dyDescent="0.4">
      <c r="A219" t="str">
        <f t="shared" si="21"/>
        <v/>
      </c>
      <c r="B219" t="str">
        <f t="shared" si="22"/>
        <v/>
      </c>
      <c r="C219" t="str">
        <f t="shared" si="23"/>
        <v/>
      </c>
      <c r="D219" t="str">
        <f t="shared" si="24"/>
        <v/>
      </c>
      <c r="E219" t="str">
        <f>IF(F219="","",IF(COUNTIF($F$2:F219,F219)&gt;1,"",SUMIFS(tbl_input[필요수량],tbl_input[집계키_센터],F219)))</f>
        <v/>
      </c>
      <c r="F219" t="str">
        <f>IFERROR(INDEX(tbl_input[집계키_센터],ROW()-1),"")</f>
        <v/>
      </c>
      <c r="G219" t="str">
        <f t="shared" si="25"/>
        <v/>
      </c>
      <c r="H219" t="str">
        <f t="shared" si="26"/>
        <v/>
      </c>
      <c r="I219" t="str">
        <f t="shared" si="27"/>
        <v/>
      </c>
    </row>
    <row r="220" spans="1:9" x14ac:dyDescent="0.4">
      <c r="A220" t="str">
        <f t="shared" si="21"/>
        <v/>
      </c>
      <c r="B220" t="str">
        <f t="shared" si="22"/>
        <v/>
      </c>
      <c r="C220" t="str">
        <f t="shared" si="23"/>
        <v/>
      </c>
      <c r="D220" t="str">
        <f t="shared" si="24"/>
        <v/>
      </c>
      <c r="E220" t="str">
        <f>IF(F220="","",IF(COUNTIF($F$2:F220,F220)&gt;1,"",SUMIFS(tbl_input[필요수량],tbl_input[집계키_센터],F220)))</f>
        <v/>
      </c>
      <c r="F220" t="str">
        <f>IFERROR(INDEX(tbl_input[집계키_센터],ROW()-1),"")</f>
        <v/>
      </c>
      <c r="G220" t="str">
        <f t="shared" si="25"/>
        <v/>
      </c>
      <c r="H220" t="str">
        <f t="shared" si="26"/>
        <v/>
      </c>
      <c r="I220" t="str">
        <f t="shared" si="27"/>
        <v/>
      </c>
    </row>
    <row r="221" spans="1:9" x14ac:dyDescent="0.4">
      <c r="A221" t="str">
        <f t="shared" si="21"/>
        <v/>
      </c>
      <c r="B221" t="str">
        <f t="shared" si="22"/>
        <v/>
      </c>
      <c r="C221" t="str">
        <f t="shared" si="23"/>
        <v/>
      </c>
      <c r="D221" t="str">
        <f t="shared" si="24"/>
        <v/>
      </c>
      <c r="E221" t="str">
        <f>IF(F221="","",IF(COUNTIF($F$2:F221,F221)&gt;1,"",SUMIFS(tbl_input[필요수량],tbl_input[집계키_센터],F221)))</f>
        <v/>
      </c>
      <c r="F221" t="str">
        <f>IFERROR(INDEX(tbl_input[집계키_센터],ROW()-1),"")</f>
        <v/>
      </c>
      <c r="G221" t="str">
        <f t="shared" si="25"/>
        <v/>
      </c>
      <c r="H221" t="str">
        <f t="shared" si="26"/>
        <v/>
      </c>
      <c r="I221" t="str">
        <f t="shared" si="27"/>
        <v/>
      </c>
    </row>
    <row r="222" spans="1:9" x14ac:dyDescent="0.4">
      <c r="A222" t="str">
        <f t="shared" si="21"/>
        <v/>
      </c>
      <c r="B222" t="str">
        <f t="shared" si="22"/>
        <v/>
      </c>
      <c r="C222" t="str">
        <f t="shared" si="23"/>
        <v/>
      </c>
      <c r="D222" t="str">
        <f t="shared" si="24"/>
        <v/>
      </c>
      <c r="E222" t="str">
        <f>IF(F222="","",IF(COUNTIF($F$2:F222,F222)&gt;1,"",SUMIFS(tbl_input[필요수량],tbl_input[집계키_센터],F222)))</f>
        <v/>
      </c>
      <c r="F222" t="str">
        <f>IFERROR(INDEX(tbl_input[집계키_센터],ROW()-1),"")</f>
        <v/>
      </c>
      <c r="G222" t="str">
        <f t="shared" si="25"/>
        <v/>
      </c>
      <c r="H222" t="str">
        <f t="shared" si="26"/>
        <v/>
      </c>
      <c r="I222" t="str">
        <f t="shared" si="27"/>
        <v/>
      </c>
    </row>
    <row r="223" spans="1:9" x14ac:dyDescent="0.4">
      <c r="A223" t="str">
        <f t="shared" si="21"/>
        <v/>
      </c>
      <c r="B223" t="str">
        <f t="shared" si="22"/>
        <v/>
      </c>
      <c r="C223" t="str">
        <f t="shared" si="23"/>
        <v/>
      </c>
      <c r="D223" t="str">
        <f t="shared" si="24"/>
        <v/>
      </c>
      <c r="E223" t="str">
        <f>IF(F223="","",IF(COUNTIF($F$2:F223,F223)&gt;1,"",SUMIFS(tbl_input[필요수량],tbl_input[집계키_센터],F223)))</f>
        <v/>
      </c>
      <c r="F223" t="str">
        <f>IFERROR(INDEX(tbl_input[집계키_센터],ROW()-1),"")</f>
        <v/>
      </c>
      <c r="G223" t="str">
        <f t="shared" si="25"/>
        <v/>
      </c>
      <c r="H223" t="str">
        <f t="shared" si="26"/>
        <v/>
      </c>
      <c r="I223" t="str">
        <f t="shared" si="27"/>
        <v/>
      </c>
    </row>
    <row r="224" spans="1:9" x14ac:dyDescent="0.4">
      <c r="A224" t="str">
        <f t="shared" si="21"/>
        <v/>
      </c>
      <c r="B224" t="str">
        <f t="shared" si="22"/>
        <v/>
      </c>
      <c r="C224" t="str">
        <f t="shared" si="23"/>
        <v/>
      </c>
      <c r="D224" t="str">
        <f t="shared" si="24"/>
        <v/>
      </c>
      <c r="E224" t="str">
        <f>IF(F224="","",IF(COUNTIF($F$2:F224,F224)&gt;1,"",SUMIFS(tbl_input[필요수량],tbl_input[집계키_센터],F224)))</f>
        <v/>
      </c>
      <c r="F224" t="str">
        <f>IFERROR(INDEX(tbl_input[집계키_센터],ROW()-1),"")</f>
        <v/>
      </c>
      <c r="G224" t="str">
        <f t="shared" si="25"/>
        <v/>
      </c>
      <c r="H224" t="str">
        <f t="shared" si="26"/>
        <v/>
      </c>
      <c r="I224" t="str">
        <f t="shared" si="27"/>
        <v/>
      </c>
    </row>
    <row r="225" spans="1:9" x14ac:dyDescent="0.4">
      <c r="A225" t="str">
        <f t="shared" si="21"/>
        <v/>
      </c>
      <c r="B225" t="str">
        <f t="shared" si="22"/>
        <v/>
      </c>
      <c r="C225" t="str">
        <f t="shared" si="23"/>
        <v/>
      </c>
      <c r="D225" t="str">
        <f t="shared" si="24"/>
        <v/>
      </c>
      <c r="E225" t="str">
        <f>IF(F225="","",IF(COUNTIF($F$2:F225,F225)&gt;1,"",SUMIFS(tbl_input[필요수량],tbl_input[집계키_센터],F225)))</f>
        <v/>
      </c>
      <c r="F225" t="str">
        <f>IFERROR(INDEX(tbl_input[집계키_센터],ROW()-1),"")</f>
        <v/>
      </c>
      <c r="G225" t="str">
        <f t="shared" si="25"/>
        <v/>
      </c>
      <c r="H225" t="str">
        <f t="shared" si="26"/>
        <v/>
      </c>
      <c r="I225" t="str">
        <f t="shared" si="27"/>
        <v/>
      </c>
    </row>
    <row r="226" spans="1:9" x14ac:dyDescent="0.4">
      <c r="A226" t="str">
        <f t="shared" si="21"/>
        <v/>
      </c>
      <c r="B226" t="str">
        <f t="shared" si="22"/>
        <v/>
      </c>
      <c r="C226" t="str">
        <f t="shared" si="23"/>
        <v/>
      </c>
      <c r="D226" t="str">
        <f t="shared" si="24"/>
        <v/>
      </c>
      <c r="E226" t="str">
        <f>IF(F226="","",IF(COUNTIF($F$2:F226,F226)&gt;1,"",SUMIFS(tbl_input[필요수량],tbl_input[집계키_센터],F226)))</f>
        <v/>
      </c>
      <c r="F226" t="str">
        <f>IFERROR(INDEX(tbl_input[집계키_센터],ROW()-1),"")</f>
        <v/>
      </c>
      <c r="G226" t="str">
        <f t="shared" si="25"/>
        <v/>
      </c>
      <c r="H226" t="str">
        <f t="shared" si="26"/>
        <v/>
      </c>
      <c r="I226" t="str">
        <f t="shared" si="27"/>
        <v/>
      </c>
    </row>
    <row r="227" spans="1:9" x14ac:dyDescent="0.4">
      <c r="A227" t="str">
        <f t="shared" si="21"/>
        <v/>
      </c>
      <c r="B227" t="str">
        <f t="shared" si="22"/>
        <v/>
      </c>
      <c r="C227" t="str">
        <f t="shared" si="23"/>
        <v/>
      </c>
      <c r="D227" t="str">
        <f t="shared" si="24"/>
        <v/>
      </c>
      <c r="E227" t="str">
        <f>IF(F227="","",IF(COUNTIF($F$2:F227,F227)&gt;1,"",SUMIFS(tbl_input[필요수량],tbl_input[집계키_센터],F227)))</f>
        <v/>
      </c>
      <c r="F227" t="str">
        <f>IFERROR(INDEX(tbl_input[집계키_센터],ROW()-1),"")</f>
        <v/>
      </c>
      <c r="G227" t="str">
        <f t="shared" si="25"/>
        <v/>
      </c>
      <c r="H227" t="str">
        <f t="shared" si="26"/>
        <v/>
      </c>
      <c r="I227" t="str">
        <f t="shared" si="27"/>
        <v/>
      </c>
    </row>
    <row r="228" spans="1:9" x14ac:dyDescent="0.4">
      <c r="A228" t="str">
        <f t="shared" si="21"/>
        <v/>
      </c>
      <c r="B228" t="str">
        <f t="shared" si="22"/>
        <v/>
      </c>
      <c r="C228" t="str">
        <f t="shared" si="23"/>
        <v/>
      </c>
      <c r="D228" t="str">
        <f t="shared" si="24"/>
        <v/>
      </c>
      <c r="E228" t="str">
        <f>IF(F228="","",IF(COUNTIF($F$2:F228,F228)&gt;1,"",SUMIFS(tbl_input[필요수량],tbl_input[집계키_센터],F228)))</f>
        <v/>
      </c>
      <c r="F228" t="str">
        <f>IFERROR(INDEX(tbl_input[집계키_센터],ROW()-1),"")</f>
        <v/>
      </c>
      <c r="G228" t="str">
        <f t="shared" si="25"/>
        <v/>
      </c>
      <c r="H228" t="str">
        <f t="shared" si="26"/>
        <v/>
      </c>
      <c r="I228" t="str">
        <f t="shared" si="27"/>
        <v/>
      </c>
    </row>
    <row r="229" spans="1:9" x14ac:dyDescent="0.4">
      <c r="A229" t="str">
        <f t="shared" si="21"/>
        <v/>
      </c>
      <c r="B229" t="str">
        <f t="shared" si="22"/>
        <v/>
      </c>
      <c r="C229" t="str">
        <f t="shared" si="23"/>
        <v/>
      </c>
      <c r="D229" t="str">
        <f t="shared" si="24"/>
        <v/>
      </c>
      <c r="E229" t="str">
        <f>IF(F229="","",IF(COUNTIF($F$2:F229,F229)&gt;1,"",SUMIFS(tbl_input[필요수량],tbl_input[집계키_센터],F229)))</f>
        <v/>
      </c>
      <c r="F229" t="str">
        <f>IFERROR(INDEX(tbl_input[집계키_센터],ROW()-1),"")</f>
        <v/>
      </c>
      <c r="G229" t="str">
        <f t="shared" si="25"/>
        <v/>
      </c>
      <c r="H229" t="str">
        <f t="shared" si="26"/>
        <v/>
      </c>
      <c r="I229" t="str">
        <f t="shared" si="27"/>
        <v/>
      </c>
    </row>
    <row r="230" spans="1:9" x14ac:dyDescent="0.4">
      <c r="A230" t="str">
        <f t="shared" si="21"/>
        <v/>
      </c>
      <c r="B230" t="str">
        <f t="shared" si="22"/>
        <v/>
      </c>
      <c r="C230" t="str">
        <f t="shared" si="23"/>
        <v/>
      </c>
      <c r="D230" t="str">
        <f t="shared" si="24"/>
        <v/>
      </c>
      <c r="E230" t="str">
        <f>IF(F230="","",IF(COUNTIF($F$2:F230,F230)&gt;1,"",SUMIFS(tbl_input[필요수량],tbl_input[집계키_센터],F230)))</f>
        <v/>
      </c>
      <c r="F230" t="str">
        <f>IFERROR(INDEX(tbl_input[집계키_센터],ROW()-1),"")</f>
        <v/>
      </c>
      <c r="G230" t="str">
        <f t="shared" si="25"/>
        <v/>
      </c>
      <c r="H230" t="str">
        <f t="shared" si="26"/>
        <v/>
      </c>
      <c r="I230" t="str">
        <f t="shared" si="27"/>
        <v/>
      </c>
    </row>
    <row r="231" spans="1:9" x14ac:dyDescent="0.4">
      <c r="A231" t="str">
        <f t="shared" si="21"/>
        <v/>
      </c>
      <c r="B231" t="str">
        <f t="shared" si="22"/>
        <v/>
      </c>
      <c r="C231" t="str">
        <f t="shared" si="23"/>
        <v/>
      </c>
      <c r="D231" t="str">
        <f t="shared" si="24"/>
        <v/>
      </c>
      <c r="E231" t="str">
        <f>IF(F231="","",IF(COUNTIF($F$2:F231,F231)&gt;1,"",SUMIFS(tbl_input[필요수량],tbl_input[집계키_센터],F231)))</f>
        <v/>
      </c>
      <c r="F231" t="str">
        <f>IFERROR(INDEX(tbl_input[집계키_센터],ROW()-1),"")</f>
        <v/>
      </c>
      <c r="G231" t="str">
        <f t="shared" si="25"/>
        <v/>
      </c>
      <c r="H231" t="str">
        <f t="shared" si="26"/>
        <v/>
      </c>
      <c r="I231" t="str">
        <f t="shared" si="27"/>
        <v/>
      </c>
    </row>
    <row r="232" spans="1:9" x14ac:dyDescent="0.4">
      <c r="A232" t="str">
        <f t="shared" si="21"/>
        <v/>
      </c>
      <c r="B232" t="str">
        <f t="shared" si="22"/>
        <v/>
      </c>
      <c r="C232" t="str">
        <f t="shared" si="23"/>
        <v/>
      </c>
      <c r="D232" t="str">
        <f t="shared" si="24"/>
        <v/>
      </c>
      <c r="E232" t="str">
        <f>IF(F232="","",IF(COUNTIF($F$2:F232,F232)&gt;1,"",SUMIFS(tbl_input[필요수량],tbl_input[집계키_센터],F232)))</f>
        <v/>
      </c>
      <c r="F232" t="str">
        <f>IFERROR(INDEX(tbl_input[집계키_센터],ROW()-1),"")</f>
        <v/>
      </c>
      <c r="G232" t="str">
        <f t="shared" si="25"/>
        <v/>
      </c>
      <c r="H232" t="str">
        <f t="shared" si="26"/>
        <v/>
      </c>
      <c r="I232" t="str">
        <f t="shared" si="27"/>
        <v/>
      </c>
    </row>
    <row r="233" spans="1:9" x14ac:dyDescent="0.4">
      <c r="A233" t="str">
        <f t="shared" si="21"/>
        <v/>
      </c>
      <c r="B233" t="str">
        <f t="shared" si="22"/>
        <v/>
      </c>
      <c r="C233" t="str">
        <f t="shared" si="23"/>
        <v/>
      </c>
      <c r="D233" t="str">
        <f t="shared" si="24"/>
        <v/>
      </c>
      <c r="E233" t="str">
        <f>IF(F233="","",IF(COUNTIF($F$2:F233,F233)&gt;1,"",SUMIFS(tbl_input[필요수량],tbl_input[집계키_센터],F233)))</f>
        <v/>
      </c>
      <c r="F233" t="str">
        <f>IFERROR(INDEX(tbl_input[집계키_센터],ROW()-1),"")</f>
        <v/>
      </c>
      <c r="G233" t="str">
        <f t="shared" si="25"/>
        <v/>
      </c>
      <c r="H233" t="str">
        <f t="shared" si="26"/>
        <v/>
      </c>
      <c r="I233" t="str">
        <f t="shared" si="27"/>
        <v/>
      </c>
    </row>
    <row r="234" spans="1:9" x14ac:dyDescent="0.4">
      <c r="A234" t="str">
        <f t="shared" si="21"/>
        <v/>
      </c>
      <c r="B234" t="str">
        <f t="shared" si="22"/>
        <v/>
      </c>
      <c r="C234" t="str">
        <f t="shared" si="23"/>
        <v/>
      </c>
      <c r="D234" t="str">
        <f t="shared" si="24"/>
        <v/>
      </c>
      <c r="E234" t="str">
        <f>IF(F234="","",IF(COUNTIF($F$2:F234,F234)&gt;1,"",SUMIFS(tbl_input[필요수량],tbl_input[집계키_센터],F234)))</f>
        <v/>
      </c>
      <c r="F234" t="str">
        <f>IFERROR(INDEX(tbl_input[집계키_센터],ROW()-1),"")</f>
        <v/>
      </c>
      <c r="G234" t="str">
        <f t="shared" si="25"/>
        <v/>
      </c>
      <c r="H234" t="str">
        <f t="shared" si="26"/>
        <v/>
      </c>
      <c r="I234" t="str">
        <f t="shared" si="27"/>
        <v/>
      </c>
    </row>
    <row r="235" spans="1:9" x14ac:dyDescent="0.4">
      <c r="A235" t="str">
        <f t="shared" si="21"/>
        <v/>
      </c>
      <c r="B235" t="str">
        <f t="shared" si="22"/>
        <v/>
      </c>
      <c r="C235" t="str">
        <f t="shared" si="23"/>
        <v/>
      </c>
      <c r="D235" t="str">
        <f t="shared" si="24"/>
        <v/>
      </c>
      <c r="E235" t="str">
        <f>IF(F235="","",IF(COUNTIF($F$2:F235,F235)&gt;1,"",SUMIFS(tbl_input[필요수량],tbl_input[집계키_센터],F235)))</f>
        <v/>
      </c>
      <c r="F235" t="str">
        <f>IFERROR(INDEX(tbl_input[집계키_센터],ROW()-1),"")</f>
        <v/>
      </c>
      <c r="G235" t="str">
        <f t="shared" si="25"/>
        <v/>
      </c>
      <c r="H235" t="str">
        <f t="shared" si="26"/>
        <v/>
      </c>
      <c r="I235" t="str">
        <f t="shared" si="27"/>
        <v/>
      </c>
    </row>
    <row r="236" spans="1:9" x14ac:dyDescent="0.4">
      <c r="A236" t="str">
        <f t="shared" si="21"/>
        <v/>
      </c>
      <c r="B236" t="str">
        <f t="shared" si="22"/>
        <v/>
      </c>
      <c r="C236" t="str">
        <f t="shared" si="23"/>
        <v/>
      </c>
      <c r="D236" t="str">
        <f t="shared" si="24"/>
        <v/>
      </c>
      <c r="E236" t="str">
        <f>IF(F236="","",IF(COUNTIF($F$2:F236,F236)&gt;1,"",SUMIFS(tbl_input[필요수량],tbl_input[집계키_센터],F236)))</f>
        <v/>
      </c>
      <c r="F236" t="str">
        <f>IFERROR(INDEX(tbl_input[집계키_센터],ROW()-1),"")</f>
        <v/>
      </c>
      <c r="G236" t="str">
        <f t="shared" si="25"/>
        <v/>
      </c>
      <c r="H236" t="str">
        <f t="shared" si="26"/>
        <v/>
      </c>
      <c r="I236" t="str">
        <f t="shared" si="27"/>
        <v/>
      </c>
    </row>
    <row r="237" spans="1:9" x14ac:dyDescent="0.4">
      <c r="A237" t="str">
        <f t="shared" si="21"/>
        <v/>
      </c>
      <c r="B237" t="str">
        <f t="shared" si="22"/>
        <v/>
      </c>
      <c r="C237" t="str">
        <f t="shared" si="23"/>
        <v/>
      </c>
      <c r="D237" t="str">
        <f t="shared" si="24"/>
        <v/>
      </c>
      <c r="E237" t="str">
        <f>IF(F237="","",IF(COUNTIF($F$2:F237,F237)&gt;1,"",SUMIFS(tbl_input[필요수량],tbl_input[집계키_센터],F237)))</f>
        <v/>
      </c>
      <c r="F237" t="str">
        <f>IFERROR(INDEX(tbl_input[집계키_센터],ROW()-1),"")</f>
        <v/>
      </c>
      <c r="G237" t="str">
        <f t="shared" si="25"/>
        <v/>
      </c>
      <c r="H237" t="str">
        <f t="shared" si="26"/>
        <v/>
      </c>
      <c r="I237" t="str">
        <f t="shared" si="27"/>
        <v/>
      </c>
    </row>
    <row r="238" spans="1:9" x14ac:dyDescent="0.4">
      <c r="A238" t="str">
        <f t="shared" si="21"/>
        <v/>
      </c>
      <c r="B238" t="str">
        <f t="shared" si="22"/>
        <v/>
      </c>
      <c r="C238" t="str">
        <f t="shared" si="23"/>
        <v/>
      </c>
      <c r="D238" t="str">
        <f t="shared" si="24"/>
        <v/>
      </c>
      <c r="E238" t="str">
        <f>IF(F238="","",IF(COUNTIF($F$2:F238,F238)&gt;1,"",SUMIFS(tbl_input[필요수량],tbl_input[집계키_센터],F238)))</f>
        <v/>
      </c>
      <c r="F238" t="str">
        <f>IFERROR(INDEX(tbl_input[집계키_센터],ROW()-1),"")</f>
        <v/>
      </c>
      <c r="G238" t="str">
        <f t="shared" si="25"/>
        <v/>
      </c>
      <c r="H238" t="str">
        <f t="shared" si="26"/>
        <v/>
      </c>
      <c r="I238" t="str">
        <f t="shared" si="27"/>
        <v/>
      </c>
    </row>
    <row r="239" spans="1:9" x14ac:dyDescent="0.4">
      <c r="A239" t="str">
        <f t="shared" si="21"/>
        <v/>
      </c>
      <c r="B239" t="str">
        <f t="shared" si="22"/>
        <v/>
      </c>
      <c r="C239" t="str">
        <f t="shared" si="23"/>
        <v/>
      </c>
      <c r="D239" t="str">
        <f t="shared" si="24"/>
        <v/>
      </c>
      <c r="E239" t="str">
        <f>IF(F239="","",IF(COUNTIF($F$2:F239,F239)&gt;1,"",SUMIFS(tbl_input[필요수량],tbl_input[집계키_센터],F239)))</f>
        <v/>
      </c>
      <c r="F239" t="str">
        <f>IFERROR(INDEX(tbl_input[집계키_센터],ROW()-1),"")</f>
        <v/>
      </c>
      <c r="G239" t="str">
        <f t="shared" si="25"/>
        <v/>
      </c>
      <c r="H239" t="str">
        <f t="shared" si="26"/>
        <v/>
      </c>
      <c r="I239" t="str">
        <f t="shared" si="27"/>
        <v/>
      </c>
    </row>
    <row r="240" spans="1:9" x14ac:dyDescent="0.4">
      <c r="A240" t="str">
        <f t="shared" si="21"/>
        <v/>
      </c>
      <c r="B240" t="str">
        <f t="shared" si="22"/>
        <v/>
      </c>
      <c r="C240" t="str">
        <f t="shared" si="23"/>
        <v/>
      </c>
      <c r="D240" t="str">
        <f t="shared" si="24"/>
        <v/>
      </c>
      <c r="E240" t="str">
        <f>IF(F240="","",IF(COUNTIF($F$2:F240,F240)&gt;1,"",SUMIFS(tbl_input[필요수량],tbl_input[집계키_센터],F240)))</f>
        <v/>
      </c>
      <c r="F240" t="str">
        <f>IFERROR(INDEX(tbl_input[집계키_센터],ROW()-1),"")</f>
        <v/>
      </c>
      <c r="G240" t="str">
        <f t="shared" si="25"/>
        <v/>
      </c>
      <c r="H240" t="str">
        <f t="shared" si="26"/>
        <v/>
      </c>
      <c r="I240" t="str">
        <f t="shared" si="27"/>
        <v/>
      </c>
    </row>
    <row r="241" spans="1:9" x14ac:dyDescent="0.4">
      <c r="A241" t="str">
        <f t="shared" si="21"/>
        <v/>
      </c>
      <c r="B241" t="str">
        <f t="shared" si="22"/>
        <v/>
      </c>
      <c r="C241" t="str">
        <f t="shared" si="23"/>
        <v/>
      </c>
      <c r="D241" t="str">
        <f t="shared" si="24"/>
        <v/>
      </c>
      <c r="E241" t="str">
        <f>IF(F241="","",IF(COUNTIF($F$2:F241,F241)&gt;1,"",SUMIFS(tbl_input[필요수량],tbl_input[집계키_센터],F241)))</f>
        <v/>
      </c>
      <c r="F241" t="str">
        <f>IFERROR(INDEX(tbl_input[집계키_센터],ROW()-1),"")</f>
        <v/>
      </c>
      <c r="G241" t="str">
        <f t="shared" si="25"/>
        <v/>
      </c>
      <c r="H241" t="str">
        <f t="shared" si="26"/>
        <v/>
      </c>
      <c r="I241" t="str">
        <f t="shared" si="27"/>
        <v/>
      </c>
    </row>
    <row r="242" spans="1:9" x14ac:dyDescent="0.4">
      <c r="A242" t="str">
        <f t="shared" si="21"/>
        <v/>
      </c>
      <c r="B242" t="str">
        <f t="shared" si="22"/>
        <v/>
      </c>
      <c r="C242" t="str">
        <f t="shared" si="23"/>
        <v/>
      </c>
      <c r="D242" t="str">
        <f t="shared" si="24"/>
        <v/>
      </c>
      <c r="E242" t="str">
        <f>IF(F242="","",IF(COUNTIF($F$2:F242,F242)&gt;1,"",SUMIFS(tbl_input[필요수량],tbl_input[집계키_센터],F242)))</f>
        <v/>
      </c>
      <c r="F242" t="str">
        <f>IFERROR(INDEX(tbl_input[집계키_센터],ROW()-1),"")</f>
        <v/>
      </c>
      <c r="G242" t="str">
        <f t="shared" si="25"/>
        <v/>
      </c>
      <c r="H242" t="str">
        <f t="shared" si="26"/>
        <v/>
      </c>
      <c r="I242" t="str">
        <f t="shared" si="27"/>
        <v/>
      </c>
    </row>
    <row r="243" spans="1:9" x14ac:dyDescent="0.4">
      <c r="A243" t="str">
        <f t="shared" si="21"/>
        <v/>
      </c>
      <c r="B243" t="str">
        <f t="shared" si="22"/>
        <v/>
      </c>
      <c r="C243" t="str">
        <f t="shared" si="23"/>
        <v/>
      </c>
      <c r="D243" t="str">
        <f t="shared" si="24"/>
        <v/>
      </c>
      <c r="E243" t="str">
        <f>IF(F243="","",IF(COUNTIF($F$2:F243,F243)&gt;1,"",SUMIFS(tbl_input[필요수량],tbl_input[집계키_센터],F243)))</f>
        <v/>
      </c>
      <c r="F243" t="str">
        <f>IFERROR(INDEX(tbl_input[집계키_센터],ROW()-1),"")</f>
        <v/>
      </c>
      <c r="G243" t="str">
        <f t="shared" si="25"/>
        <v/>
      </c>
      <c r="H243" t="str">
        <f t="shared" si="26"/>
        <v/>
      </c>
      <c r="I243" t="str">
        <f t="shared" si="27"/>
        <v/>
      </c>
    </row>
    <row r="244" spans="1:9" x14ac:dyDescent="0.4">
      <c r="A244" t="str">
        <f t="shared" si="21"/>
        <v/>
      </c>
      <c r="B244" t="str">
        <f t="shared" si="22"/>
        <v/>
      </c>
      <c r="C244" t="str">
        <f t="shared" si="23"/>
        <v/>
      </c>
      <c r="D244" t="str">
        <f t="shared" si="24"/>
        <v/>
      </c>
      <c r="E244" t="str">
        <f>IF(F244="","",IF(COUNTIF($F$2:F244,F244)&gt;1,"",SUMIFS(tbl_input[필요수량],tbl_input[집계키_센터],F244)))</f>
        <v/>
      </c>
      <c r="F244" t="str">
        <f>IFERROR(INDEX(tbl_input[집계키_센터],ROW()-1),"")</f>
        <v/>
      </c>
      <c r="G244" t="str">
        <f t="shared" si="25"/>
        <v/>
      </c>
      <c r="H244" t="str">
        <f t="shared" si="26"/>
        <v/>
      </c>
      <c r="I244" t="str">
        <f t="shared" si="27"/>
        <v/>
      </c>
    </row>
    <row r="245" spans="1:9" x14ac:dyDescent="0.4">
      <c r="A245" t="str">
        <f t="shared" si="21"/>
        <v/>
      </c>
      <c r="B245" t="str">
        <f t="shared" si="22"/>
        <v/>
      </c>
      <c r="C245" t="str">
        <f t="shared" si="23"/>
        <v/>
      </c>
      <c r="D245" t="str">
        <f t="shared" si="24"/>
        <v/>
      </c>
      <c r="E245" t="str">
        <f>IF(F245="","",IF(COUNTIF($F$2:F245,F245)&gt;1,"",SUMIFS(tbl_input[필요수량],tbl_input[집계키_센터],F245)))</f>
        <v/>
      </c>
      <c r="F245" t="str">
        <f>IFERROR(INDEX(tbl_input[집계키_센터],ROW()-1),"")</f>
        <v/>
      </c>
      <c r="G245" t="str">
        <f t="shared" si="25"/>
        <v/>
      </c>
      <c r="H245" t="str">
        <f t="shared" si="26"/>
        <v/>
      </c>
      <c r="I245" t="str">
        <f t="shared" si="27"/>
        <v/>
      </c>
    </row>
    <row r="246" spans="1:9" x14ac:dyDescent="0.4">
      <c r="A246" t="str">
        <f t="shared" si="21"/>
        <v/>
      </c>
      <c r="B246" t="str">
        <f t="shared" si="22"/>
        <v/>
      </c>
      <c r="C246" t="str">
        <f t="shared" si="23"/>
        <v/>
      </c>
      <c r="D246" t="str">
        <f t="shared" si="24"/>
        <v/>
      </c>
      <c r="E246" t="str">
        <f>IF(F246="","",IF(COUNTIF($F$2:F246,F246)&gt;1,"",SUMIFS(tbl_input[필요수량],tbl_input[집계키_센터],F246)))</f>
        <v/>
      </c>
      <c r="F246" t="str">
        <f>IFERROR(INDEX(tbl_input[집계키_센터],ROW()-1),"")</f>
        <v/>
      </c>
      <c r="G246" t="str">
        <f t="shared" si="25"/>
        <v/>
      </c>
      <c r="H246" t="str">
        <f t="shared" si="26"/>
        <v/>
      </c>
      <c r="I246" t="str">
        <f t="shared" si="27"/>
        <v/>
      </c>
    </row>
    <row r="247" spans="1:9" x14ac:dyDescent="0.4">
      <c r="A247" t="str">
        <f t="shared" si="21"/>
        <v/>
      </c>
      <c r="B247" t="str">
        <f t="shared" si="22"/>
        <v/>
      </c>
      <c r="C247" t="str">
        <f t="shared" si="23"/>
        <v/>
      </c>
      <c r="D247" t="str">
        <f t="shared" si="24"/>
        <v/>
      </c>
      <c r="E247" t="str">
        <f>IF(F247="","",IF(COUNTIF($F$2:F247,F247)&gt;1,"",SUMIFS(tbl_input[필요수량],tbl_input[집계키_센터],F247)))</f>
        <v/>
      </c>
      <c r="F247" t="str">
        <f>IFERROR(INDEX(tbl_input[집계키_센터],ROW()-1),"")</f>
        <v/>
      </c>
      <c r="G247" t="str">
        <f t="shared" si="25"/>
        <v/>
      </c>
      <c r="H247" t="str">
        <f t="shared" si="26"/>
        <v/>
      </c>
      <c r="I247" t="str">
        <f t="shared" si="27"/>
        <v/>
      </c>
    </row>
    <row r="248" spans="1:9" x14ac:dyDescent="0.4">
      <c r="A248" t="str">
        <f t="shared" si="21"/>
        <v/>
      </c>
      <c r="B248" t="str">
        <f t="shared" si="22"/>
        <v/>
      </c>
      <c r="C248" t="str">
        <f t="shared" si="23"/>
        <v/>
      </c>
      <c r="D248" t="str">
        <f t="shared" si="24"/>
        <v/>
      </c>
      <c r="E248" t="str">
        <f>IF(F248="","",IF(COUNTIF($F$2:F248,F248)&gt;1,"",SUMIFS(tbl_input[필요수량],tbl_input[집계키_센터],F248)))</f>
        <v/>
      </c>
      <c r="F248" t="str">
        <f>IFERROR(INDEX(tbl_input[집계키_센터],ROW()-1),"")</f>
        <v/>
      </c>
      <c r="G248" t="str">
        <f t="shared" si="25"/>
        <v/>
      </c>
      <c r="H248" t="str">
        <f t="shared" si="26"/>
        <v/>
      </c>
      <c r="I248" t="str">
        <f t="shared" si="27"/>
        <v/>
      </c>
    </row>
    <row r="249" spans="1:9" x14ac:dyDescent="0.4">
      <c r="A249" t="str">
        <f t="shared" si="21"/>
        <v/>
      </c>
      <c r="B249" t="str">
        <f t="shared" si="22"/>
        <v/>
      </c>
      <c r="C249" t="str">
        <f t="shared" si="23"/>
        <v/>
      </c>
      <c r="D249" t="str">
        <f t="shared" si="24"/>
        <v/>
      </c>
      <c r="E249" t="str">
        <f>IF(F249="","",IF(COUNTIF($F$2:F249,F249)&gt;1,"",SUMIFS(tbl_input[필요수량],tbl_input[집계키_센터],F249)))</f>
        <v/>
      </c>
      <c r="F249" t="str">
        <f>IFERROR(INDEX(tbl_input[집계키_센터],ROW()-1),"")</f>
        <v/>
      </c>
      <c r="G249" t="str">
        <f t="shared" si="25"/>
        <v/>
      </c>
      <c r="H249" t="str">
        <f t="shared" si="26"/>
        <v/>
      </c>
      <c r="I249" t="str">
        <f t="shared" si="27"/>
        <v/>
      </c>
    </row>
    <row r="250" spans="1:9" x14ac:dyDescent="0.4">
      <c r="A250" t="str">
        <f t="shared" si="21"/>
        <v/>
      </c>
      <c r="B250" t="str">
        <f t="shared" si="22"/>
        <v/>
      </c>
      <c r="C250" t="str">
        <f t="shared" si="23"/>
        <v/>
      </c>
      <c r="D250" t="str">
        <f t="shared" si="24"/>
        <v/>
      </c>
      <c r="E250" t="str">
        <f>IF(F250="","",IF(COUNTIF($F$2:F250,F250)&gt;1,"",SUMIFS(tbl_input[필요수량],tbl_input[집계키_센터],F250)))</f>
        <v/>
      </c>
      <c r="F250" t="str">
        <f>IFERROR(INDEX(tbl_input[집계키_센터],ROW()-1),"")</f>
        <v/>
      </c>
      <c r="G250" t="str">
        <f t="shared" si="25"/>
        <v/>
      </c>
      <c r="H250" t="str">
        <f t="shared" si="26"/>
        <v/>
      </c>
      <c r="I250" t="str">
        <f t="shared" si="27"/>
        <v/>
      </c>
    </row>
    <row r="251" spans="1:9" x14ac:dyDescent="0.4">
      <c r="A251" t="str">
        <f t="shared" si="21"/>
        <v/>
      </c>
      <c r="B251" t="str">
        <f t="shared" si="22"/>
        <v/>
      </c>
      <c r="C251" t="str">
        <f t="shared" si="23"/>
        <v/>
      </c>
      <c r="D251" t="str">
        <f t="shared" si="24"/>
        <v/>
      </c>
      <c r="E251" t="str">
        <f>IF(F251="","",IF(COUNTIF($F$2:F251,F251)&gt;1,"",SUMIFS(tbl_input[필요수량],tbl_input[집계키_센터],F251)))</f>
        <v/>
      </c>
      <c r="F251" t="str">
        <f>IFERROR(INDEX(tbl_input[집계키_센터],ROW()-1),"")</f>
        <v/>
      </c>
      <c r="G251" t="str">
        <f t="shared" si="25"/>
        <v/>
      </c>
      <c r="H251" t="str">
        <f t="shared" si="26"/>
        <v/>
      </c>
      <c r="I251" t="str">
        <f t="shared" si="27"/>
        <v/>
      </c>
    </row>
    <row r="252" spans="1:9" x14ac:dyDescent="0.4">
      <c r="A252" t="str">
        <f t="shared" si="21"/>
        <v/>
      </c>
      <c r="B252" t="str">
        <f t="shared" si="22"/>
        <v/>
      </c>
      <c r="C252" t="str">
        <f t="shared" si="23"/>
        <v/>
      </c>
      <c r="D252" t="str">
        <f t="shared" si="24"/>
        <v/>
      </c>
      <c r="E252" t="str">
        <f>IF(F252="","",IF(COUNTIF($F$2:F252,F252)&gt;1,"",SUMIFS(tbl_input[필요수량],tbl_input[집계키_센터],F252)))</f>
        <v/>
      </c>
      <c r="F252" t="str">
        <f>IFERROR(INDEX(tbl_input[집계키_센터],ROW()-1),"")</f>
        <v/>
      </c>
      <c r="G252" t="str">
        <f t="shared" si="25"/>
        <v/>
      </c>
      <c r="H252" t="str">
        <f t="shared" si="26"/>
        <v/>
      </c>
      <c r="I252" t="str">
        <f t="shared" si="27"/>
        <v/>
      </c>
    </row>
    <row r="253" spans="1:9" x14ac:dyDescent="0.4">
      <c r="A253" t="str">
        <f t="shared" si="21"/>
        <v/>
      </c>
      <c r="B253" t="str">
        <f t="shared" si="22"/>
        <v/>
      </c>
      <c r="C253" t="str">
        <f t="shared" si="23"/>
        <v/>
      </c>
      <c r="D253" t="str">
        <f t="shared" si="24"/>
        <v/>
      </c>
      <c r="E253" t="str">
        <f>IF(F253="","",IF(COUNTIF($F$2:F253,F253)&gt;1,"",SUMIFS(tbl_input[필요수량],tbl_input[집계키_센터],F253)))</f>
        <v/>
      </c>
      <c r="F253" t="str">
        <f>IFERROR(INDEX(tbl_input[집계키_센터],ROW()-1),"")</f>
        <v/>
      </c>
      <c r="G253" t="str">
        <f t="shared" si="25"/>
        <v/>
      </c>
      <c r="H253" t="str">
        <f t="shared" si="26"/>
        <v/>
      </c>
      <c r="I253" t="str">
        <f t="shared" si="27"/>
        <v/>
      </c>
    </row>
    <row r="254" spans="1:9" x14ac:dyDescent="0.4">
      <c r="A254" t="str">
        <f t="shared" si="21"/>
        <v/>
      </c>
      <c r="B254" t="str">
        <f t="shared" si="22"/>
        <v/>
      </c>
      <c r="C254" t="str">
        <f t="shared" si="23"/>
        <v/>
      </c>
      <c r="D254" t="str">
        <f t="shared" si="24"/>
        <v/>
      </c>
      <c r="E254" t="str">
        <f>IF(F254="","",IF(COUNTIF($F$2:F254,F254)&gt;1,"",SUMIFS(tbl_input[필요수량],tbl_input[집계키_센터],F254)))</f>
        <v/>
      </c>
      <c r="F254" t="str">
        <f>IFERROR(INDEX(tbl_input[집계키_센터],ROW()-1),"")</f>
        <v/>
      </c>
      <c r="G254" t="str">
        <f t="shared" si="25"/>
        <v/>
      </c>
      <c r="H254" t="str">
        <f t="shared" si="26"/>
        <v/>
      </c>
      <c r="I254" t="str">
        <f t="shared" si="27"/>
        <v/>
      </c>
    </row>
    <row r="255" spans="1:9" x14ac:dyDescent="0.4">
      <c r="A255" t="str">
        <f t="shared" si="21"/>
        <v/>
      </c>
      <c r="B255" t="str">
        <f t="shared" si="22"/>
        <v/>
      </c>
      <c r="C255" t="str">
        <f t="shared" si="23"/>
        <v/>
      </c>
      <c r="D255" t="str">
        <f t="shared" si="24"/>
        <v/>
      </c>
      <c r="E255" t="str">
        <f>IF(F255="","",IF(COUNTIF($F$2:F255,F255)&gt;1,"",SUMIFS(tbl_input[필요수량],tbl_input[집계키_센터],F255)))</f>
        <v/>
      </c>
      <c r="F255" t="str">
        <f>IFERROR(INDEX(tbl_input[집계키_센터],ROW()-1),"")</f>
        <v/>
      </c>
      <c r="G255" t="str">
        <f t="shared" si="25"/>
        <v/>
      </c>
      <c r="H255" t="str">
        <f t="shared" si="26"/>
        <v/>
      </c>
      <c r="I255" t="str">
        <f t="shared" si="27"/>
        <v/>
      </c>
    </row>
    <row r="256" spans="1:9" x14ac:dyDescent="0.4">
      <c r="A256" t="str">
        <f t="shared" si="21"/>
        <v/>
      </c>
      <c r="B256" t="str">
        <f t="shared" si="22"/>
        <v/>
      </c>
      <c r="C256" t="str">
        <f t="shared" si="23"/>
        <v/>
      </c>
      <c r="D256" t="str">
        <f t="shared" si="24"/>
        <v/>
      </c>
      <c r="E256" t="str">
        <f>IF(F256="","",IF(COUNTIF($F$2:F256,F256)&gt;1,"",SUMIFS(tbl_input[필요수량],tbl_input[집계키_센터],F256)))</f>
        <v/>
      </c>
      <c r="F256" t="str">
        <f>IFERROR(INDEX(tbl_input[집계키_센터],ROW()-1),"")</f>
        <v/>
      </c>
      <c r="G256" t="str">
        <f t="shared" si="25"/>
        <v/>
      </c>
      <c r="H256" t="str">
        <f t="shared" si="26"/>
        <v/>
      </c>
      <c r="I256" t="str">
        <f t="shared" si="27"/>
        <v/>
      </c>
    </row>
    <row r="257" spans="1:9" x14ac:dyDescent="0.4">
      <c r="A257" t="str">
        <f t="shared" si="21"/>
        <v/>
      </c>
      <c r="B257" t="str">
        <f t="shared" si="22"/>
        <v/>
      </c>
      <c r="C257" t="str">
        <f t="shared" si="23"/>
        <v/>
      </c>
      <c r="D257" t="str">
        <f t="shared" si="24"/>
        <v/>
      </c>
      <c r="E257" t="str">
        <f>IF(F257="","",IF(COUNTIF($F$2:F257,F257)&gt;1,"",SUMIFS(tbl_input[필요수량],tbl_input[집계키_센터],F257)))</f>
        <v/>
      </c>
      <c r="F257" t="str">
        <f>IFERROR(INDEX(tbl_input[집계키_센터],ROW()-1),"")</f>
        <v/>
      </c>
      <c r="G257" t="str">
        <f t="shared" si="25"/>
        <v/>
      </c>
      <c r="H257" t="str">
        <f t="shared" si="26"/>
        <v/>
      </c>
      <c r="I257" t="str">
        <f t="shared" si="27"/>
        <v/>
      </c>
    </row>
    <row r="258" spans="1:9" x14ac:dyDescent="0.4">
      <c r="A258" t="str">
        <f t="shared" ref="A258:A321" si="28">IF(F258="","",LEFT(F258,G258-1))</f>
        <v/>
      </c>
      <c r="B258" t="str">
        <f t="shared" ref="B258:B321" si="29">IF(F258="","",MID(F258,G258+1,H258-G258-1))</f>
        <v/>
      </c>
      <c r="C258" t="str">
        <f t="shared" ref="C258:C321" si="30">IF(F258="","",MID(F258,H258+1,I258-H258-1))</f>
        <v/>
      </c>
      <c r="D258" t="str">
        <f t="shared" ref="D258:D321" si="31">IF(F258="","",MID(F258,I258+1,999))</f>
        <v/>
      </c>
      <c r="E258" t="str">
        <f>IF(F258="","",IF(COUNTIF($F$2:F258,F258)&gt;1,"",SUMIFS(tbl_input[필요수량],tbl_input[집계키_센터],F258)))</f>
        <v/>
      </c>
      <c r="F258" t="str">
        <f>IFERROR(INDEX(tbl_input[집계키_센터],ROW()-1),"")</f>
        <v/>
      </c>
      <c r="G258" t="str">
        <f t="shared" ref="G258:G321" si="32">IF(F258="","",FIND("♦",F258))</f>
        <v/>
      </c>
      <c r="H258" t="str">
        <f t="shared" ref="H258:H321" si="33">IF(F258="","",FIND("♦",F258,G258+1))</f>
        <v/>
      </c>
      <c r="I258" t="str">
        <f t="shared" ref="I258:I321" si="34">IF(F258="","",FIND("♦",F258,H258+1))</f>
        <v/>
      </c>
    </row>
    <row r="259" spans="1:9" x14ac:dyDescent="0.4">
      <c r="A259" t="str">
        <f t="shared" si="28"/>
        <v/>
      </c>
      <c r="B259" t="str">
        <f t="shared" si="29"/>
        <v/>
      </c>
      <c r="C259" t="str">
        <f t="shared" si="30"/>
        <v/>
      </c>
      <c r="D259" t="str">
        <f t="shared" si="31"/>
        <v/>
      </c>
      <c r="E259" t="str">
        <f>IF(F259="","",IF(COUNTIF($F$2:F259,F259)&gt;1,"",SUMIFS(tbl_input[필요수량],tbl_input[집계키_센터],F259)))</f>
        <v/>
      </c>
      <c r="F259" t="str">
        <f>IFERROR(INDEX(tbl_input[집계키_센터],ROW()-1),"")</f>
        <v/>
      </c>
      <c r="G259" t="str">
        <f t="shared" si="32"/>
        <v/>
      </c>
      <c r="H259" t="str">
        <f t="shared" si="33"/>
        <v/>
      </c>
      <c r="I259" t="str">
        <f t="shared" si="34"/>
        <v/>
      </c>
    </row>
    <row r="260" spans="1:9" x14ac:dyDescent="0.4">
      <c r="A260" t="str">
        <f t="shared" si="28"/>
        <v/>
      </c>
      <c r="B260" t="str">
        <f t="shared" si="29"/>
        <v/>
      </c>
      <c r="C260" t="str">
        <f t="shared" si="30"/>
        <v/>
      </c>
      <c r="D260" t="str">
        <f t="shared" si="31"/>
        <v/>
      </c>
      <c r="E260" t="str">
        <f>IF(F260="","",IF(COUNTIF($F$2:F260,F260)&gt;1,"",SUMIFS(tbl_input[필요수량],tbl_input[집계키_센터],F260)))</f>
        <v/>
      </c>
      <c r="F260" t="str">
        <f>IFERROR(INDEX(tbl_input[집계키_센터],ROW()-1),"")</f>
        <v/>
      </c>
      <c r="G260" t="str">
        <f t="shared" si="32"/>
        <v/>
      </c>
      <c r="H260" t="str">
        <f t="shared" si="33"/>
        <v/>
      </c>
      <c r="I260" t="str">
        <f t="shared" si="34"/>
        <v/>
      </c>
    </row>
    <row r="261" spans="1:9" x14ac:dyDescent="0.4">
      <c r="A261" t="str">
        <f t="shared" si="28"/>
        <v/>
      </c>
      <c r="B261" t="str">
        <f t="shared" si="29"/>
        <v/>
      </c>
      <c r="C261" t="str">
        <f t="shared" si="30"/>
        <v/>
      </c>
      <c r="D261" t="str">
        <f t="shared" si="31"/>
        <v/>
      </c>
      <c r="E261" t="str">
        <f>IF(F261="","",IF(COUNTIF($F$2:F261,F261)&gt;1,"",SUMIFS(tbl_input[필요수량],tbl_input[집계키_센터],F261)))</f>
        <v/>
      </c>
      <c r="F261" t="str">
        <f>IFERROR(INDEX(tbl_input[집계키_센터],ROW()-1),"")</f>
        <v/>
      </c>
      <c r="G261" t="str">
        <f t="shared" si="32"/>
        <v/>
      </c>
      <c r="H261" t="str">
        <f t="shared" si="33"/>
        <v/>
      </c>
      <c r="I261" t="str">
        <f t="shared" si="34"/>
        <v/>
      </c>
    </row>
    <row r="262" spans="1:9" x14ac:dyDescent="0.4">
      <c r="A262" t="str">
        <f t="shared" si="28"/>
        <v/>
      </c>
      <c r="B262" t="str">
        <f t="shared" si="29"/>
        <v/>
      </c>
      <c r="C262" t="str">
        <f t="shared" si="30"/>
        <v/>
      </c>
      <c r="D262" t="str">
        <f t="shared" si="31"/>
        <v/>
      </c>
      <c r="E262" t="str">
        <f>IF(F262="","",IF(COUNTIF($F$2:F262,F262)&gt;1,"",SUMIFS(tbl_input[필요수량],tbl_input[집계키_센터],F262)))</f>
        <v/>
      </c>
      <c r="F262" t="str">
        <f>IFERROR(INDEX(tbl_input[집계키_센터],ROW()-1),"")</f>
        <v/>
      </c>
      <c r="G262" t="str">
        <f t="shared" si="32"/>
        <v/>
      </c>
      <c r="H262" t="str">
        <f t="shared" si="33"/>
        <v/>
      </c>
      <c r="I262" t="str">
        <f t="shared" si="34"/>
        <v/>
      </c>
    </row>
    <row r="263" spans="1:9" x14ac:dyDescent="0.4">
      <c r="A263" t="str">
        <f t="shared" si="28"/>
        <v/>
      </c>
      <c r="B263" t="str">
        <f t="shared" si="29"/>
        <v/>
      </c>
      <c r="C263" t="str">
        <f t="shared" si="30"/>
        <v/>
      </c>
      <c r="D263" t="str">
        <f t="shared" si="31"/>
        <v/>
      </c>
      <c r="E263" t="str">
        <f>IF(F263="","",IF(COUNTIF($F$2:F263,F263)&gt;1,"",SUMIFS(tbl_input[필요수량],tbl_input[집계키_센터],F263)))</f>
        <v/>
      </c>
      <c r="F263" t="str">
        <f>IFERROR(INDEX(tbl_input[집계키_센터],ROW()-1),"")</f>
        <v/>
      </c>
      <c r="G263" t="str">
        <f t="shared" si="32"/>
        <v/>
      </c>
      <c r="H263" t="str">
        <f t="shared" si="33"/>
        <v/>
      </c>
      <c r="I263" t="str">
        <f t="shared" si="34"/>
        <v/>
      </c>
    </row>
    <row r="264" spans="1:9" x14ac:dyDescent="0.4">
      <c r="A264" t="str">
        <f t="shared" si="28"/>
        <v/>
      </c>
      <c r="B264" t="str">
        <f t="shared" si="29"/>
        <v/>
      </c>
      <c r="C264" t="str">
        <f t="shared" si="30"/>
        <v/>
      </c>
      <c r="D264" t="str">
        <f t="shared" si="31"/>
        <v/>
      </c>
      <c r="E264" t="str">
        <f>IF(F264="","",IF(COUNTIF($F$2:F264,F264)&gt;1,"",SUMIFS(tbl_input[필요수량],tbl_input[집계키_센터],F264)))</f>
        <v/>
      </c>
      <c r="F264" t="str">
        <f>IFERROR(INDEX(tbl_input[집계키_센터],ROW()-1),"")</f>
        <v/>
      </c>
      <c r="G264" t="str">
        <f t="shared" si="32"/>
        <v/>
      </c>
      <c r="H264" t="str">
        <f t="shared" si="33"/>
        <v/>
      </c>
      <c r="I264" t="str">
        <f t="shared" si="34"/>
        <v/>
      </c>
    </row>
    <row r="265" spans="1:9" x14ac:dyDescent="0.4">
      <c r="A265" t="str">
        <f t="shared" si="28"/>
        <v/>
      </c>
      <c r="B265" t="str">
        <f t="shared" si="29"/>
        <v/>
      </c>
      <c r="C265" t="str">
        <f t="shared" si="30"/>
        <v/>
      </c>
      <c r="D265" t="str">
        <f t="shared" si="31"/>
        <v/>
      </c>
      <c r="E265" t="str">
        <f>IF(F265="","",IF(COUNTIF($F$2:F265,F265)&gt;1,"",SUMIFS(tbl_input[필요수량],tbl_input[집계키_센터],F265)))</f>
        <v/>
      </c>
      <c r="F265" t="str">
        <f>IFERROR(INDEX(tbl_input[집계키_센터],ROW()-1),"")</f>
        <v/>
      </c>
      <c r="G265" t="str">
        <f t="shared" si="32"/>
        <v/>
      </c>
      <c r="H265" t="str">
        <f t="shared" si="33"/>
        <v/>
      </c>
      <c r="I265" t="str">
        <f t="shared" si="34"/>
        <v/>
      </c>
    </row>
    <row r="266" spans="1:9" x14ac:dyDescent="0.4">
      <c r="A266" t="str">
        <f t="shared" si="28"/>
        <v/>
      </c>
      <c r="B266" t="str">
        <f t="shared" si="29"/>
        <v/>
      </c>
      <c r="C266" t="str">
        <f t="shared" si="30"/>
        <v/>
      </c>
      <c r="D266" t="str">
        <f t="shared" si="31"/>
        <v/>
      </c>
      <c r="E266" t="str">
        <f>IF(F266="","",IF(COUNTIF($F$2:F266,F266)&gt;1,"",SUMIFS(tbl_input[필요수량],tbl_input[집계키_센터],F266)))</f>
        <v/>
      </c>
      <c r="F266" t="str">
        <f>IFERROR(INDEX(tbl_input[집계키_센터],ROW()-1),"")</f>
        <v/>
      </c>
      <c r="G266" t="str">
        <f t="shared" si="32"/>
        <v/>
      </c>
      <c r="H266" t="str">
        <f t="shared" si="33"/>
        <v/>
      </c>
      <c r="I266" t="str">
        <f t="shared" si="34"/>
        <v/>
      </c>
    </row>
    <row r="267" spans="1:9" x14ac:dyDescent="0.4">
      <c r="A267" t="str">
        <f t="shared" si="28"/>
        <v/>
      </c>
      <c r="B267" t="str">
        <f t="shared" si="29"/>
        <v/>
      </c>
      <c r="C267" t="str">
        <f t="shared" si="30"/>
        <v/>
      </c>
      <c r="D267" t="str">
        <f t="shared" si="31"/>
        <v/>
      </c>
      <c r="E267" t="str">
        <f>IF(F267="","",IF(COUNTIF($F$2:F267,F267)&gt;1,"",SUMIFS(tbl_input[필요수량],tbl_input[집계키_센터],F267)))</f>
        <v/>
      </c>
      <c r="F267" t="str">
        <f>IFERROR(INDEX(tbl_input[집계키_센터],ROW()-1),"")</f>
        <v/>
      </c>
      <c r="G267" t="str">
        <f t="shared" si="32"/>
        <v/>
      </c>
      <c r="H267" t="str">
        <f t="shared" si="33"/>
        <v/>
      </c>
      <c r="I267" t="str">
        <f t="shared" si="34"/>
        <v/>
      </c>
    </row>
    <row r="268" spans="1:9" x14ac:dyDescent="0.4">
      <c r="A268" t="str">
        <f t="shared" si="28"/>
        <v/>
      </c>
      <c r="B268" t="str">
        <f t="shared" si="29"/>
        <v/>
      </c>
      <c r="C268" t="str">
        <f t="shared" si="30"/>
        <v/>
      </c>
      <c r="D268" t="str">
        <f t="shared" si="31"/>
        <v/>
      </c>
      <c r="E268" t="str">
        <f>IF(F268="","",IF(COUNTIF($F$2:F268,F268)&gt;1,"",SUMIFS(tbl_input[필요수량],tbl_input[집계키_센터],F268)))</f>
        <v/>
      </c>
      <c r="F268" t="str">
        <f>IFERROR(INDEX(tbl_input[집계키_센터],ROW()-1),"")</f>
        <v/>
      </c>
      <c r="G268" t="str">
        <f t="shared" si="32"/>
        <v/>
      </c>
      <c r="H268" t="str">
        <f t="shared" si="33"/>
        <v/>
      </c>
      <c r="I268" t="str">
        <f t="shared" si="34"/>
        <v/>
      </c>
    </row>
    <row r="269" spans="1:9" x14ac:dyDescent="0.4">
      <c r="A269" t="str">
        <f t="shared" si="28"/>
        <v/>
      </c>
      <c r="B269" t="str">
        <f t="shared" si="29"/>
        <v/>
      </c>
      <c r="C269" t="str">
        <f t="shared" si="30"/>
        <v/>
      </c>
      <c r="D269" t="str">
        <f t="shared" si="31"/>
        <v/>
      </c>
      <c r="E269" t="str">
        <f>IF(F269="","",IF(COUNTIF($F$2:F269,F269)&gt;1,"",SUMIFS(tbl_input[필요수량],tbl_input[집계키_센터],F269)))</f>
        <v/>
      </c>
      <c r="F269" t="str">
        <f>IFERROR(INDEX(tbl_input[집계키_센터],ROW()-1),"")</f>
        <v/>
      </c>
      <c r="G269" t="str">
        <f t="shared" si="32"/>
        <v/>
      </c>
      <c r="H269" t="str">
        <f t="shared" si="33"/>
        <v/>
      </c>
      <c r="I269" t="str">
        <f t="shared" si="34"/>
        <v/>
      </c>
    </row>
    <row r="270" spans="1:9" x14ac:dyDescent="0.4">
      <c r="A270" t="str">
        <f t="shared" si="28"/>
        <v/>
      </c>
      <c r="B270" t="str">
        <f t="shared" si="29"/>
        <v/>
      </c>
      <c r="C270" t="str">
        <f t="shared" si="30"/>
        <v/>
      </c>
      <c r="D270" t="str">
        <f t="shared" si="31"/>
        <v/>
      </c>
      <c r="E270" t="str">
        <f>IF(F270="","",IF(COUNTIF($F$2:F270,F270)&gt;1,"",SUMIFS(tbl_input[필요수량],tbl_input[집계키_센터],F270)))</f>
        <v/>
      </c>
      <c r="F270" t="str">
        <f>IFERROR(INDEX(tbl_input[집계키_센터],ROW()-1),"")</f>
        <v/>
      </c>
      <c r="G270" t="str">
        <f t="shared" si="32"/>
        <v/>
      </c>
      <c r="H270" t="str">
        <f t="shared" si="33"/>
        <v/>
      </c>
      <c r="I270" t="str">
        <f t="shared" si="34"/>
        <v/>
      </c>
    </row>
    <row r="271" spans="1:9" x14ac:dyDescent="0.4">
      <c r="A271" t="str">
        <f t="shared" si="28"/>
        <v/>
      </c>
      <c r="B271" t="str">
        <f t="shared" si="29"/>
        <v/>
      </c>
      <c r="C271" t="str">
        <f t="shared" si="30"/>
        <v/>
      </c>
      <c r="D271" t="str">
        <f t="shared" si="31"/>
        <v/>
      </c>
      <c r="E271" t="str">
        <f>IF(F271="","",IF(COUNTIF($F$2:F271,F271)&gt;1,"",SUMIFS(tbl_input[필요수량],tbl_input[집계키_센터],F271)))</f>
        <v/>
      </c>
      <c r="F271" t="str">
        <f>IFERROR(INDEX(tbl_input[집계키_센터],ROW()-1),"")</f>
        <v/>
      </c>
      <c r="G271" t="str">
        <f t="shared" si="32"/>
        <v/>
      </c>
      <c r="H271" t="str">
        <f t="shared" si="33"/>
        <v/>
      </c>
      <c r="I271" t="str">
        <f t="shared" si="34"/>
        <v/>
      </c>
    </row>
    <row r="272" spans="1:9" x14ac:dyDescent="0.4">
      <c r="A272" t="str">
        <f t="shared" si="28"/>
        <v/>
      </c>
      <c r="B272" t="str">
        <f t="shared" si="29"/>
        <v/>
      </c>
      <c r="C272" t="str">
        <f t="shared" si="30"/>
        <v/>
      </c>
      <c r="D272" t="str">
        <f t="shared" si="31"/>
        <v/>
      </c>
      <c r="E272" t="str">
        <f>IF(F272="","",IF(COUNTIF($F$2:F272,F272)&gt;1,"",SUMIFS(tbl_input[필요수량],tbl_input[집계키_센터],F272)))</f>
        <v/>
      </c>
      <c r="F272" t="str">
        <f>IFERROR(INDEX(tbl_input[집계키_센터],ROW()-1),"")</f>
        <v/>
      </c>
      <c r="G272" t="str">
        <f t="shared" si="32"/>
        <v/>
      </c>
      <c r="H272" t="str">
        <f t="shared" si="33"/>
        <v/>
      </c>
      <c r="I272" t="str">
        <f t="shared" si="34"/>
        <v/>
      </c>
    </row>
    <row r="273" spans="1:9" x14ac:dyDescent="0.4">
      <c r="A273" t="str">
        <f t="shared" si="28"/>
        <v/>
      </c>
      <c r="B273" t="str">
        <f t="shared" si="29"/>
        <v/>
      </c>
      <c r="C273" t="str">
        <f t="shared" si="30"/>
        <v/>
      </c>
      <c r="D273" t="str">
        <f t="shared" si="31"/>
        <v/>
      </c>
      <c r="E273" t="str">
        <f>IF(F273="","",IF(COUNTIF($F$2:F273,F273)&gt;1,"",SUMIFS(tbl_input[필요수량],tbl_input[집계키_센터],F273)))</f>
        <v/>
      </c>
      <c r="F273" t="str">
        <f>IFERROR(INDEX(tbl_input[집계키_센터],ROW()-1),"")</f>
        <v/>
      </c>
      <c r="G273" t="str">
        <f t="shared" si="32"/>
        <v/>
      </c>
      <c r="H273" t="str">
        <f t="shared" si="33"/>
        <v/>
      </c>
      <c r="I273" t="str">
        <f t="shared" si="34"/>
        <v/>
      </c>
    </row>
    <row r="274" spans="1:9" x14ac:dyDescent="0.4">
      <c r="A274" t="str">
        <f t="shared" si="28"/>
        <v/>
      </c>
      <c r="B274" t="str">
        <f t="shared" si="29"/>
        <v/>
      </c>
      <c r="C274" t="str">
        <f t="shared" si="30"/>
        <v/>
      </c>
      <c r="D274" t="str">
        <f t="shared" si="31"/>
        <v/>
      </c>
      <c r="E274" t="str">
        <f>IF(F274="","",IF(COUNTIF($F$2:F274,F274)&gt;1,"",SUMIFS(tbl_input[필요수량],tbl_input[집계키_센터],F274)))</f>
        <v/>
      </c>
      <c r="F274" t="str">
        <f>IFERROR(INDEX(tbl_input[집계키_센터],ROW()-1),"")</f>
        <v/>
      </c>
      <c r="G274" t="str">
        <f t="shared" si="32"/>
        <v/>
      </c>
      <c r="H274" t="str">
        <f t="shared" si="33"/>
        <v/>
      </c>
      <c r="I274" t="str">
        <f t="shared" si="34"/>
        <v/>
      </c>
    </row>
    <row r="275" spans="1:9" x14ac:dyDescent="0.4">
      <c r="A275" t="str">
        <f t="shared" si="28"/>
        <v/>
      </c>
      <c r="B275" t="str">
        <f t="shared" si="29"/>
        <v/>
      </c>
      <c r="C275" t="str">
        <f t="shared" si="30"/>
        <v/>
      </c>
      <c r="D275" t="str">
        <f t="shared" si="31"/>
        <v/>
      </c>
      <c r="E275" t="str">
        <f>IF(F275="","",IF(COUNTIF($F$2:F275,F275)&gt;1,"",SUMIFS(tbl_input[필요수량],tbl_input[집계키_센터],F275)))</f>
        <v/>
      </c>
      <c r="F275" t="str">
        <f>IFERROR(INDEX(tbl_input[집계키_센터],ROW()-1),"")</f>
        <v/>
      </c>
      <c r="G275" t="str">
        <f t="shared" si="32"/>
        <v/>
      </c>
      <c r="H275" t="str">
        <f t="shared" si="33"/>
        <v/>
      </c>
      <c r="I275" t="str">
        <f t="shared" si="34"/>
        <v/>
      </c>
    </row>
    <row r="276" spans="1:9" x14ac:dyDescent="0.4">
      <c r="A276" t="str">
        <f t="shared" si="28"/>
        <v/>
      </c>
      <c r="B276" t="str">
        <f t="shared" si="29"/>
        <v/>
      </c>
      <c r="C276" t="str">
        <f t="shared" si="30"/>
        <v/>
      </c>
      <c r="D276" t="str">
        <f t="shared" si="31"/>
        <v/>
      </c>
      <c r="E276" t="str">
        <f>IF(F276="","",IF(COUNTIF($F$2:F276,F276)&gt;1,"",SUMIFS(tbl_input[필요수량],tbl_input[집계키_센터],F276)))</f>
        <v/>
      </c>
      <c r="F276" t="str">
        <f>IFERROR(INDEX(tbl_input[집계키_센터],ROW()-1),"")</f>
        <v/>
      </c>
      <c r="G276" t="str">
        <f t="shared" si="32"/>
        <v/>
      </c>
      <c r="H276" t="str">
        <f t="shared" si="33"/>
        <v/>
      </c>
      <c r="I276" t="str">
        <f t="shared" si="34"/>
        <v/>
      </c>
    </row>
    <row r="277" spans="1:9" x14ac:dyDescent="0.4">
      <c r="A277" t="str">
        <f t="shared" si="28"/>
        <v/>
      </c>
      <c r="B277" t="str">
        <f t="shared" si="29"/>
        <v/>
      </c>
      <c r="C277" t="str">
        <f t="shared" si="30"/>
        <v/>
      </c>
      <c r="D277" t="str">
        <f t="shared" si="31"/>
        <v/>
      </c>
      <c r="E277" t="str">
        <f>IF(F277="","",IF(COUNTIF($F$2:F277,F277)&gt;1,"",SUMIFS(tbl_input[필요수량],tbl_input[집계키_센터],F277)))</f>
        <v/>
      </c>
      <c r="F277" t="str">
        <f>IFERROR(INDEX(tbl_input[집계키_센터],ROW()-1),"")</f>
        <v/>
      </c>
      <c r="G277" t="str">
        <f t="shared" si="32"/>
        <v/>
      </c>
      <c r="H277" t="str">
        <f t="shared" si="33"/>
        <v/>
      </c>
      <c r="I277" t="str">
        <f t="shared" si="34"/>
        <v/>
      </c>
    </row>
    <row r="278" spans="1:9" x14ac:dyDescent="0.4">
      <c r="A278" t="str">
        <f t="shared" si="28"/>
        <v/>
      </c>
      <c r="B278" t="str">
        <f t="shared" si="29"/>
        <v/>
      </c>
      <c r="C278" t="str">
        <f t="shared" si="30"/>
        <v/>
      </c>
      <c r="D278" t="str">
        <f t="shared" si="31"/>
        <v/>
      </c>
      <c r="E278" t="str">
        <f>IF(F278="","",IF(COUNTIF($F$2:F278,F278)&gt;1,"",SUMIFS(tbl_input[필요수량],tbl_input[집계키_센터],F278)))</f>
        <v/>
      </c>
      <c r="F278" t="str">
        <f>IFERROR(INDEX(tbl_input[집계키_센터],ROW()-1),"")</f>
        <v/>
      </c>
      <c r="G278" t="str">
        <f t="shared" si="32"/>
        <v/>
      </c>
      <c r="H278" t="str">
        <f t="shared" si="33"/>
        <v/>
      </c>
      <c r="I278" t="str">
        <f t="shared" si="34"/>
        <v/>
      </c>
    </row>
    <row r="279" spans="1:9" x14ac:dyDescent="0.4">
      <c r="A279" t="str">
        <f t="shared" si="28"/>
        <v/>
      </c>
      <c r="B279" t="str">
        <f t="shared" si="29"/>
        <v/>
      </c>
      <c r="C279" t="str">
        <f t="shared" si="30"/>
        <v/>
      </c>
      <c r="D279" t="str">
        <f t="shared" si="31"/>
        <v/>
      </c>
      <c r="E279" t="str">
        <f>IF(F279="","",IF(COUNTIF($F$2:F279,F279)&gt;1,"",SUMIFS(tbl_input[필요수량],tbl_input[집계키_센터],F279)))</f>
        <v/>
      </c>
      <c r="F279" t="str">
        <f>IFERROR(INDEX(tbl_input[집계키_센터],ROW()-1),"")</f>
        <v/>
      </c>
      <c r="G279" t="str">
        <f t="shared" si="32"/>
        <v/>
      </c>
      <c r="H279" t="str">
        <f t="shared" si="33"/>
        <v/>
      </c>
      <c r="I279" t="str">
        <f t="shared" si="34"/>
        <v/>
      </c>
    </row>
    <row r="280" spans="1:9" x14ac:dyDescent="0.4">
      <c r="A280" t="str">
        <f t="shared" si="28"/>
        <v/>
      </c>
      <c r="B280" t="str">
        <f t="shared" si="29"/>
        <v/>
      </c>
      <c r="C280" t="str">
        <f t="shared" si="30"/>
        <v/>
      </c>
      <c r="D280" t="str">
        <f t="shared" si="31"/>
        <v/>
      </c>
      <c r="E280" t="str">
        <f>IF(F280="","",IF(COUNTIF($F$2:F280,F280)&gt;1,"",SUMIFS(tbl_input[필요수량],tbl_input[집계키_센터],F280)))</f>
        <v/>
      </c>
      <c r="F280" t="str">
        <f>IFERROR(INDEX(tbl_input[집계키_센터],ROW()-1),"")</f>
        <v/>
      </c>
      <c r="G280" t="str">
        <f t="shared" si="32"/>
        <v/>
      </c>
      <c r="H280" t="str">
        <f t="shared" si="33"/>
        <v/>
      </c>
      <c r="I280" t="str">
        <f t="shared" si="34"/>
        <v/>
      </c>
    </row>
    <row r="281" spans="1:9" x14ac:dyDescent="0.4">
      <c r="A281" t="str">
        <f t="shared" si="28"/>
        <v/>
      </c>
      <c r="B281" t="str">
        <f t="shared" si="29"/>
        <v/>
      </c>
      <c r="C281" t="str">
        <f t="shared" si="30"/>
        <v/>
      </c>
      <c r="D281" t="str">
        <f t="shared" si="31"/>
        <v/>
      </c>
      <c r="E281" t="str">
        <f>IF(F281="","",IF(COUNTIF($F$2:F281,F281)&gt;1,"",SUMIFS(tbl_input[필요수량],tbl_input[집계키_센터],F281)))</f>
        <v/>
      </c>
      <c r="F281" t="str">
        <f>IFERROR(INDEX(tbl_input[집계키_센터],ROW()-1),"")</f>
        <v/>
      </c>
      <c r="G281" t="str">
        <f t="shared" si="32"/>
        <v/>
      </c>
      <c r="H281" t="str">
        <f t="shared" si="33"/>
        <v/>
      </c>
      <c r="I281" t="str">
        <f t="shared" si="34"/>
        <v/>
      </c>
    </row>
    <row r="282" spans="1:9" x14ac:dyDescent="0.4">
      <c r="A282" t="str">
        <f t="shared" si="28"/>
        <v/>
      </c>
      <c r="B282" t="str">
        <f t="shared" si="29"/>
        <v/>
      </c>
      <c r="C282" t="str">
        <f t="shared" si="30"/>
        <v/>
      </c>
      <c r="D282" t="str">
        <f t="shared" si="31"/>
        <v/>
      </c>
      <c r="E282" t="str">
        <f>IF(F282="","",IF(COUNTIF($F$2:F282,F282)&gt;1,"",SUMIFS(tbl_input[필요수량],tbl_input[집계키_센터],F282)))</f>
        <v/>
      </c>
      <c r="F282" t="str">
        <f>IFERROR(INDEX(tbl_input[집계키_센터],ROW()-1),"")</f>
        <v/>
      </c>
      <c r="G282" t="str">
        <f t="shared" si="32"/>
        <v/>
      </c>
      <c r="H282" t="str">
        <f t="shared" si="33"/>
        <v/>
      </c>
      <c r="I282" t="str">
        <f t="shared" si="34"/>
        <v/>
      </c>
    </row>
    <row r="283" spans="1:9" x14ac:dyDescent="0.4">
      <c r="A283" t="str">
        <f t="shared" si="28"/>
        <v/>
      </c>
      <c r="B283" t="str">
        <f t="shared" si="29"/>
        <v/>
      </c>
      <c r="C283" t="str">
        <f t="shared" si="30"/>
        <v/>
      </c>
      <c r="D283" t="str">
        <f t="shared" si="31"/>
        <v/>
      </c>
      <c r="E283" t="str">
        <f>IF(F283="","",IF(COUNTIF($F$2:F283,F283)&gt;1,"",SUMIFS(tbl_input[필요수량],tbl_input[집계키_센터],F283)))</f>
        <v/>
      </c>
      <c r="F283" t="str">
        <f>IFERROR(INDEX(tbl_input[집계키_센터],ROW()-1),"")</f>
        <v/>
      </c>
      <c r="G283" t="str">
        <f t="shared" si="32"/>
        <v/>
      </c>
      <c r="H283" t="str">
        <f t="shared" si="33"/>
        <v/>
      </c>
      <c r="I283" t="str">
        <f t="shared" si="34"/>
        <v/>
      </c>
    </row>
    <row r="284" spans="1:9" x14ac:dyDescent="0.4">
      <c r="A284" t="str">
        <f t="shared" si="28"/>
        <v/>
      </c>
      <c r="B284" t="str">
        <f t="shared" si="29"/>
        <v/>
      </c>
      <c r="C284" t="str">
        <f t="shared" si="30"/>
        <v/>
      </c>
      <c r="D284" t="str">
        <f t="shared" si="31"/>
        <v/>
      </c>
      <c r="E284" t="str">
        <f>IF(F284="","",IF(COUNTIF($F$2:F284,F284)&gt;1,"",SUMIFS(tbl_input[필요수량],tbl_input[집계키_센터],F284)))</f>
        <v/>
      </c>
      <c r="F284" t="str">
        <f>IFERROR(INDEX(tbl_input[집계키_센터],ROW()-1),"")</f>
        <v/>
      </c>
      <c r="G284" t="str">
        <f t="shared" si="32"/>
        <v/>
      </c>
      <c r="H284" t="str">
        <f t="shared" si="33"/>
        <v/>
      </c>
      <c r="I284" t="str">
        <f t="shared" si="34"/>
        <v/>
      </c>
    </row>
    <row r="285" spans="1:9" x14ac:dyDescent="0.4">
      <c r="A285" t="str">
        <f t="shared" si="28"/>
        <v/>
      </c>
      <c r="B285" t="str">
        <f t="shared" si="29"/>
        <v/>
      </c>
      <c r="C285" t="str">
        <f t="shared" si="30"/>
        <v/>
      </c>
      <c r="D285" t="str">
        <f t="shared" si="31"/>
        <v/>
      </c>
      <c r="E285" t="str">
        <f>IF(F285="","",IF(COUNTIF($F$2:F285,F285)&gt;1,"",SUMIFS(tbl_input[필요수량],tbl_input[집계키_센터],F285)))</f>
        <v/>
      </c>
      <c r="F285" t="str">
        <f>IFERROR(INDEX(tbl_input[집계키_센터],ROW()-1),"")</f>
        <v/>
      </c>
      <c r="G285" t="str">
        <f t="shared" si="32"/>
        <v/>
      </c>
      <c r="H285" t="str">
        <f t="shared" si="33"/>
        <v/>
      </c>
      <c r="I285" t="str">
        <f t="shared" si="34"/>
        <v/>
      </c>
    </row>
    <row r="286" spans="1:9" x14ac:dyDescent="0.4">
      <c r="A286" t="str">
        <f t="shared" si="28"/>
        <v/>
      </c>
      <c r="B286" t="str">
        <f t="shared" si="29"/>
        <v/>
      </c>
      <c r="C286" t="str">
        <f t="shared" si="30"/>
        <v/>
      </c>
      <c r="D286" t="str">
        <f t="shared" si="31"/>
        <v/>
      </c>
      <c r="E286" t="str">
        <f>IF(F286="","",IF(COUNTIF($F$2:F286,F286)&gt;1,"",SUMIFS(tbl_input[필요수량],tbl_input[집계키_센터],F286)))</f>
        <v/>
      </c>
      <c r="F286" t="str">
        <f>IFERROR(INDEX(tbl_input[집계키_센터],ROW()-1),"")</f>
        <v/>
      </c>
      <c r="G286" t="str">
        <f t="shared" si="32"/>
        <v/>
      </c>
      <c r="H286" t="str">
        <f t="shared" si="33"/>
        <v/>
      </c>
      <c r="I286" t="str">
        <f t="shared" si="34"/>
        <v/>
      </c>
    </row>
    <row r="287" spans="1:9" x14ac:dyDescent="0.4">
      <c r="A287" t="str">
        <f t="shared" si="28"/>
        <v/>
      </c>
      <c r="B287" t="str">
        <f t="shared" si="29"/>
        <v/>
      </c>
      <c r="C287" t="str">
        <f t="shared" si="30"/>
        <v/>
      </c>
      <c r="D287" t="str">
        <f t="shared" si="31"/>
        <v/>
      </c>
      <c r="E287" t="str">
        <f>IF(F287="","",IF(COUNTIF($F$2:F287,F287)&gt;1,"",SUMIFS(tbl_input[필요수량],tbl_input[집계키_센터],F287)))</f>
        <v/>
      </c>
      <c r="F287" t="str">
        <f>IFERROR(INDEX(tbl_input[집계키_센터],ROW()-1),"")</f>
        <v/>
      </c>
      <c r="G287" t="str">
        <f t="shared" si="32"/>
        <v/>
      </c>
      <c r="H287" t="str">
        <f t="shared" si="33"/>
        <v/>
      </c>
      <c r="I287" t="str">
        <f t="shared" si="34"/>
        <v/>
      </c>
    </row>
    <row r="288" spans="1:9" x14ac:dyDescent="0.4">
      <c r="A288" t="str">
        <f t="shared" si="28"/>
        <v/>
      </c>
      <c r="B288" t="str">
        <f t="shared" si="29"/>
        <v/>
      </c>
      <c r="C288" t="str">
        <f t="shared" si="30"/>
        <v/>
      </c>
      <c r="D288" t="str">
        <f t="shared" si="31"/>
        <v/>
      </c>
      <c r="E288" t="str">
        <f>IF(F288="","",IF(COUNTIF($F$2:F288,F288)&gt;1,"",SUMIFS(tbl_input[필요수량],tbl_input[집계키_센터],F288)))</f>
        <v/>
      </c>
      <c r="F288" t="str">
        <f>IFERROR(INDEX(tbl_input[집계키_센터],ROW()-1),"")</f>
        <v/>
      </c>
      <c r="G288" t="str">
        <f t="shared" si="32"/>
        <v/>
      </c>
      <c r="H288" t="str">
        <f t="shared" si="33"/>
        <v/>
      </c>
      <c r="I288" t="str">
        <f t="shared" si="34"/>
        <v/>
      </c>
    </row>
    <row r="289" spans="1:9" x14ac:dyDescent="0.4">
      <c r="A289" t="str">
        <f t="shared" si="28"/>
        <v/>
      </c>
      <c r="B289" t="str">
        <f t="shared" si="29"/>
        <v/>
      </c>
      <c r="C289" t="str">
        <f t="shared" si="30"/>
        <v/>
      </c>
      <c r="D289" t="str">
        <f t="shared" si="31"/>
        <v/>
      </c>
      <c r="E289" t="str">
        <f>IF(F289="","",IF(COUNTIF($F$2:F289,F289)&gt;1,"",SUMIFS(tbl_input[필요수량],tbl_input[집계키_센터],F289)))</f>
        <v/>
      </c>
      <c r="F289" t="str">
        <f>IFERROR(INDEX(tbl_input[집계키_센터],ROW()-1),"")</f>
        <v/>
      </c>
      <c r="G289" t="str">
        <f t="shared" si="32"/>
        <v/>
      </c>
      <c r="H289" t="str">
        <f t="shared" si="33"/>
        <v/>
      </c>
      <c r="I289" t="str">
        <f t="shared" si="34"/>
        <v/>
      </c>
    </row>
    <row r="290" spans="1:9" x14ac:dyDescent="0.4">
      <c r="A290" t="str">
        <f t="shared" si="28"/>
        <v/>
      </c>
      <c r="B290" t="str">
        <f t="shared" si="29"/>
        <v/>
      </c>
      <c r="C290" t="str">
        <f t="shared" si="30"/>
        <v/>
      </c>
      <c r="D290" t="str">
        <f t="shared" si="31"/>
        <v/>
      </c>
      <c r="E290" t="str">
        <f>IF(F290="","",IF(COUNTIF($F$2:F290,F290)&gt;1,"",SUMIFS(tbl_input[필요수량],tbl_input[집계키_센터],F290)))</f>
        <v/>
      </c>
      <c r="F290" t="str">
        <f>IFERROR(INDEX(tbl_input[집계키_센터],ROW()-1),"")</f>
        <v/>
      </c>
      <c r="G290" t="str">
        <f t="shared" si="32"/>
        <v/>
      </c>
      <c r="H290" t="str">
        <f t="shared" si="33"/>
        <v/>
      </c>
      <c r="I290" t="str">
        <f t="shared" si="34"/>
        <v/>
      </c>
    </row>
    <row r="291" spans="1:9" x14ac:dyDescent="0.4">
      <c r="A291" t="str">
        <f t="shared" si="28"/>
        <v/>
      </c>
      <c r="B291" t="str">
        <f t="shared" si="29"/>
        <v/>
      </c>
      <c r="C291" t="str">
        <f t="shared" si="30"/>
        <v/>
      </c>
      <c r="D291" t="str">
        <f t="shared" si="31"/>
        <v/>
      </c>
      <c r="E291" t="str">
        <f>IF(F291="","",IF(COUNTIF($F$2:F291,F291)&gt;1,"",SUMIFS(tbl_input[필요수량],tbl_input[집계키_센터],F291)))</f>
        <v/>
      </c>
      <c r="F291" t="str">
        <f>IFERROR(INDEX(tbl_input[집계키_센터],ROW()-1),"")</f>
        <v/>
      </c>
      <c r="G291" t="str">
        <f t="shared" si="32"/>
        <v/>
      </c>
      <c r="H291" t="str">
        <f t="shared" si="33"/>
        <v/>
      </c>
      <c r="I291" t="str">
        <f t="shared" si="34"/>
        <v/>
      </c>
    </row>
    <row r="292" spans="1:9" x14ac:dyDescent="0.4">
      <c r="A292" t="str">
        <f t="shared" si="28"/>
        <v/>
      </c>
      <c r="B292" t="str">
        <f t="shared" si="29"/>
        <v/>
      </c>
      <c r="C292" t="str">
        <f t="shared" si="30"/>
        <v/>
      </c>
      <c r="D292" t="str">
        <f t="shared" si="31"/>
        <v/>
      </c>
      <c r="E292" t="str">
        <f>IF(F292="","",IF(COUNTIF($F$2:F292,F292)&gt;1,"",SUMIFS(tbl_input[필요수량],tbl_input[집계키_센터],F292)))</f>
        <v/>
      </c>
      <c r="F292" t="str">
        <f>IFERROR(INDEX(tbl_input[집계키_센터],ROW()-1),"")</f>
        <v/>
      </c>
      <c r="G292" t="str">
        <f t="shared" si="32"/>
        <v/>
      </c>
      <c r="H292" t="str">
        <f t="shared" si="33"/>
        <v/>
      </c>
      <c r="I292" t="str">
        <f t="shared" si="34"/>
        <v/>
      </c>
    </row>
    <row r="293" spans="1:9" x14ac:dyDescent="0.4">
      <c r="A293" t="str">
        <f t="shared" si="28"/>
        <v/>
      </c>
      <c r="B293" t="str">
        <f t="shared" si="29"/>
        <v/>
      </c>
      <c r="C293" t="str">
        <f t="shared" si="30"/>
        <v/>
      </c>
      <c r="D293" t="str">
        <f t="shared" si="31"/>
        <v/>
      </c>
      <c r="E293" t="str">
        <f>IF(F293="","",IF(COUNTIF($F$2:F293,F293)&gt;1,"",SUMIFS(tbl_input[필요수량],tbl_input[집계키_센터],F293)))</f>
        <v/>
      </c>
      <c r="F293" t="str">
        <f>IFERROR(INDEX(tbl_input[집계키_센터],ROW()-1),"")</f>
        <v/>
      </c>
      <c r="G293" t="str">
        <f t="shared" si="32"/>
        <v/>
      </c>
      <c r="H293" t="str">
        <f t="shared" si="33"/>
        <v/>
      </c>
      <c r="I293" t="str">
        <f t="shared" si="34"/>
        <v/>
      </c>
    </row>
    <row r="294" spans="1:9" x14ac:dyDescent="0.4">
      <c r="A294" t="str">
        <f t="shared" si="28"/>
        <v/>
      </c>
      <c r="B294" t="str">
        <f t="shared" si="29"/>
        <v/>
      </c>
      <c r="C294" t="str">
        <f t="shared" si="30"/>
        <v/>
      </c>
      <c r="D294" t="str">
        <f t="shared" si="31"/>
        <v/>
      </c>
      <c r="E294" t="str">
        <f>IF(F294="","",IF(COUNTIF($F$2:F294,F294)&gt;1,"",SUMIFS(tbl_input[필요수량],tbl_input[집계키_센터],F294)))</f>
        <v/>
      </c>
      <c r="F294" t="str">
        <f>IFERROR(INDEX(tbl_input[집계키_센터],ROW()-1),"")</f>
        <v/>
      </c>
      <c r="G294" t="str">
        <f t="shared" si="32"/>
        <v/>
      </c>
      <c r="H294" t="str">
        <f t="shared" si="33"/>
        <v/>
      </c>
      <c r="I294" t="str">
        <f t="shared" si="34"/>
        <v/>
      </c>
    </row>
    <row r="295" spans="1:9" x14ac:dyDescent="0.4">
      <c r="A295" t="str">
        <f t="shared" si="28"/>
        <v/>
      </c>
      <c r="B295" t="str">
        <f t="shared" si="29"/>
        <v/>
      </c>
      <c r="C295" t="str">
        <f t="shared" si="30"/>
        <v/>
      </c>
      <c r="D295" t="str">
        <f t="shared" si="31"/>
        <v/>
      </c>
      <c r="E295" t="str">
        <f>IF(F295="","",IF(COUNTIF($F$2:F295,F295)&gt;1,"",SUMIFS(tbl_input[필요수량],tbl_input[집계키_센터],F295)))</f>
        <v/>
      </c>
      <c r="F295" t="str">
        <f>IFERROR(INDEX(tbl_input[집계키_센터],ROW()-1),"")</f>
        <v/>
      </c>
      <c r="G295" t="str">
        <f t="shared" si="32"/>
        <v/>
      </c>
      <c r="H295" t="str">
        <f t="shared" si="33"/>
        <v/>
      </c>
      <c r="I295" t="str">
        <f t="shared" si="34"/>
        <v/>
      </c>
    </row>
    <row r="296" spans="1:9" x14ac:dyDescent="0.4">
      <c r="A296" t="str">
        <f t="shared" si="28"/>
        <v/>
      </c>
      <c r="B296" t="str">
        <f t="shared" si="29"/>
        <v/>
      </c>
      <c r="C296" t="str">
        <f t="shared" si="30"/>
        <v/>
      </c>
      <c r="D296" t="str">
        <f t="shared" si="31"/>
        <v/>
      </c>
      <c r="E296" t="str">
        <f>IF(F296="","",IF(COUNTIF($F$2:F296,F296)&gt;1,"",SUMIFS(tbl_input[필요수량],tbl_input[집계키_센터],F296)))</f>
        <v/>
      </c>
      <c r="F296" t="str">
        <f>IFERROR(INDEX(tbl_input[집계키_센터],ROW()-1),"")</f>
        <v/>
      </c>
      <c r="G296" t="str">
        <f t="shared" si="32"/>
        <v/>
      </c>
      <c r="H296" t="str">
        <f t="shared" si="33"/>
        <v/>
      </c>
      <c r="I296" t="str">
        <f t="shared" si="34"/>
        <v/>
      </c>
    </row>
    <row r="297" spans="1:9" x14ac:dyDescent="0.4">
      <c r="A297" t="str">
        <f t="shared" si="28"/>
        <v/>
      </c>
      <c r="B297" t="str">
        <f t="shared" si="29"/>
        <v/>
      </c>
      <c r="C297" t="str">
        <f t="shared" si="30"/>
        <v/>
      </c>
      <c r="D297" t="str">
        <f t="shared" si="31"/>
        <v/>
      </c>
      <c r="E297" t="str">
        <f>IF(F297="","",IF(COUNTIF($F$2:F297,F297)&gt;1,"",SUMIFS(tbl_input[필요수량],tbl_input[집계키_센터],F297)))</f>
        <v/>
      </c>
      <c r="F297" t="str">
        <f>IFERROR(INDEX(tbl_input[집계키_센터],ROW()-1),"")</f>
        <v/>
      </c>
      <c r="G297" t="str">
        <f t="shared" si="32"/>
        <v/>
      </c>
      <c r="H297" t="str">
        <f t="shared" si="33"/>
        <v/>
      </c>
      <c r="I297" t="str">
        <f t="shared" si="34"/>
        <v/>
      </c>
    </row>
    <row r="298" spans="1:9" x14ac:dyDescent="0.4">
      <c r="A298" t="str">
        <f t="shared" si="28"/>
        <v/>
      </c>
      <c r="B298" t="str">
        <f t="shared" si="29"/>
        <v/>
      </c>
      <c r="C298" t="str">
        <f t="shared" si="30"/>
        <v/>
      </c>
      <c r="D298" t="str">
        <f t="shared" si="31"/>
        <v/>
      </c>
      <c r="E298" t="str">
        <f>IF(F298="","",IF(COUNTIF($F$2:F298,F298)&gt;1,"",SUMIFS(tbl_input[필요수량],tbl_input[집계키_센터],F298)))</f>
        <v/>
      </c>
      <c r="F298" t="str">
        <f>IFERROR(INDEX(tbl_input[집계키_센터],ROW()-1),"")</f>
        <v/>
      </c>
      <c r="G298" t="str">
        <f t="shared" si="32"/>
        <v/>
      </c>
      <c r="H298" t="str">
        <f t="shared" si="33"/>
        <v/>
      </c>
      <c r="I298" t="str">
        <f t="shared" si="34"/>
        <v/>
      </c>
    </row>
    <row r="299" spans="1:9" x14ac:dyDescent="0.4">
      <c r="A299" t="str">
        <f t="shared" si="28"/>
        <v/>
      </c>
      <c r="B299" t="str">
        <f t="shared" si="29"/>
        <v/>
      </c>
      <c r="C299" t="str">
        <f t="shared" si="30"/>
        <v/>
      </c>
      <c r="D299" t="str">
        <f t="shared" si="31"/>
        <v/>
      </c>
      <c r="E299" t="str">
        <f>IF(F299="","",IF(COUNTIF($F$2:F299,F299)&gt;1,"",SUMIFS(tbl_input[필요수량],tbl_input[집계키_센터],F299)))</f>
        <v/>
      </c>
      <c r="F299" t="str">
        <f>IFERROR(INDEX(tbl_input[집계키_센터],ROW()-1),"")</f>
        <v/>
      </c>
      <c r="G299" t="str">
        <f t="shared" si="32"/>
        <v/>
      </c>
      <c r="H299" t="str">
        <f t="shared" si="33"/>
        <v/>
      </c>
      <c r="I299" t="str">
        <f t="shared" si="34"/>
        <v/>
      </c>
    </row>
    <row r="300" spans="1:9" x14ac:dyDescent="0.4">
      <c r="A300" t="str">
        <f t="shared" si="28"/>
        <v/>
      </c>
      <c r="B300" t="str">
        <f t="shared" si="29"/>
        <v/>
      </c>
      <c r="C300" t="str">
        <f t="shared" si="30"/>
        <v/>
      </c>
      <c r="D300" t="str">
        <f t="shared" si="31"/>
        <v/>
      </c>
      <c r="E300" t="str">
        <f>IF(F300="","",IF(COUNTIF($F$2:F300,F300)&gt;1,"",SUMIFS(tbl_input[필요수량],tbl_input[집계키_센터],F300)))</f>
        <v/>
      </c>
      <c r="F300" t="str">
        <f>IFERROR(INDEX(tbl_input[집계키_센터],ROW()-1),"")</f>
        <v/>
      </c>
      <c r="G300" t="str">
        <f t="shared" si="32"/>
        <v/>
      </c>
      <c r="H300" t="str">
        <f t="shared" si="33"/>
        <v/>
      </c>
      <c r="I300" t="str">
        <f t="shared" si="34"/>
        <v/>
      </c>
    </row>
    <row r="301" spans="1:9" x14ac:dyDescent="0.4">
      <c r="A301" t="str">
        <f t="shared" si="28"/>
        <v/>
      </c>
      <c r="B301" t="str">
        <f t="shared" si="29"/>
        <v/>
      </c>
      <c r="C301" t="str">
        <f t="shared" si="30"/>
        <v/>
      </c>
      <c r="D301" t="str">
        <f t="shared" si="31"/>
        <v/>
      </c>
      <c r="E301" t="str">
        <f>IF(F301="","",IF(COUNTIF($F$2:F301,F301)&gt;1,"",SUMIFS(tbl_input[필요수량],tbl_input[집계키_센터],F301)))</f>
        <v/>
      </c>
      <c r="F301" t="str">
        <f>IFERROR(INDEX(tbl_input[집계키_센터],ROW()-1),"")</f>
        <v/>
      </c>
      <c r="G301" t="str">
        <f t="shared" si="32"/>
        <v/>
      </c>
      <c r="H301" t="str">
        <f t="shared" si="33"/>
        <v/>
      </c>
      <c r="I301" t="str">
        <f t="shared" si="34"/>
        <v/>
      </c>
    </row>
    <row r="302" spans="1:9" x14ac:dyDescent="0.4">
      <c r="A302" t="str">
        <f t="shared" si="28"/>
        <v/>
      </c>
      <c r="B302" t="str">
        <f t="shared" si="29"/>
        <v/>
      </c>
      <c r="C302" t="str">
        <f t="shared" si="30"/>
        <v/>
      </c>
      <c r="D302" t="str">
        <f t="shared" si="31"/>
        <v/>
      </c>
      <c r="E302" t="str">
        <f>IF(F302="","",IF(COUNTIF($F$2:F302,F302)&gt;1,"",SUMIFS(tbl_input[필요수량],tbl_input[집계키_센터],F302)))</f>
        <v/>
      </c>
      <c r="F302" t="str">
        <f>IFERROR(INDEX(tbl_input[집계키_센터],ROW()-1),"")</f>
        <v/>
      </c>
      <c r="G302" t="str">
        <f t="shared" si="32"/>
        <v/>
      </c>
      <c r="H302" t="str">
        <f t="shared" si="33"/>
        <v/>
      </c>
      <c r="I302" t="str">
        <f t="shared" si="34"/>
        <v/>
      </c>
    </row>
    <row r="303" spans="1:9" x14ac:dyDescent="0.4">
      <c r="A303" t="str">
        <f t="shared" si="28"/>
        <v/>
      </c>
      <c r="B303" t="str">
        <f t="shared" si="29"/>
        <v/>
      </c>
      <c r="C303" t="str">
        <f t="shared" si="30"/>
        <v/>
      </c>
      <c r="D303" t="str">
        <f t="shared" si="31"/>
        <v/>
      </c>
      <c r="E303" t="str">
        <f>IF(F303="","",IF(COUNTIF($F$2:F303,F303)&gt;1,"",SUMIFS(tbl_input[필요수량],tbl_input[집계키_센터],F303)))</f>
        <v/>
      </c>
      <c r="F303" t="str">
        <f>IFERROR(INDEX(tbl_input[집계키_센터],ROW()-1),"")</f>
        <v/>
      </c>
      <c r="G303" t="str">
        <f t="shared" si="32"/>
        <v/>
      </c>
      <c r="H303" t="str">
        <f t="shared" si="33"/>
        <v/>
      </c>
      <c r="I303" t="str">
        <f t="shared" si="34"/>
        <v/>
      </c>
    </row>
    <row r="304" spans="1:9" x14ac:dyDescent="0.4">
      <c r="A304" t="str">
        <f t="shared" si="28"/>
        <v/>
      </c>
      <c r="B304" t="str">
        <f t="shared" si="29"/>
        <v/>
      </c>
      <c r="C304" t="str">
        <f t="shared" si="30"/>
        <v/>
      </c>
      <c r="D304" t="str">
        <f t="shared" si="31"/>
        <v/>
      </c>
      <c r="E304" t="str">
        <f>IF(F304="","",IF(COUNTIF($F$2:F304,F304)&gt;1,"",SUMIFS(tbl_input[필요수량],tbl_input[집계키_센터],F304)))</f>
        <v/>
      </c>
      <c r="F304" t="str">
        <f>IFERROR(INDEX(tbl_input[집계키_센터],ROW()-1),"")</f>
        <v/>
      </c>
      <c r="G304" t="str">
        <f t="shared" si="32"/>
        <v/>
      </c>
      <c r="H304" t="str">
        <f t="shared" si="33"/>
        <v/>
      </c>
      <c r="I304" t="str">
        <f t="shared" si="34"/>
        <v/>
      </c>
    </row>
    <row r="305" spans="1:9" x14ac:dyDescent="0.4">
      <c r="A305" t="str">
        <f t="shared" si="28"/>
        <v/>
      </c>
      <c r="B305" t="str">
        <f t="shared" si="29"/>
        <v/>
      </c>
      <c r="C305" t="str">
        <f t="shared" si="30"/>
        <v/>
      </c>
      <c r="D305" t="str">
        <f t="shared" si="31"/>
        <v/>
      </c>
      <c r="E305" t="str">
        <f>IF(F305="","",IF(COUNTIF($F$2:F305,F305)&gt;1,"",SUMIFS(tbl_input[필요수량],tbl_input[집계키_센터],F305)))</f>
        <v/>
      </c>
      <c r="F305" t="str">
        <f>IFERROR(INDEX(tbl_input[집계키_센터],ROW()-1),"")</f>
        <v/>
      </c>
      <c r="G305" t="str">
        <f t="shared" si="32"/>
        <v/>
      </c>
      <c r="H305" t="str">
        <f t="shared" si="33"/>
        <v/>
      </c>
      <c r="I305" t="str">
        <f t="shared" si="34"/>
        <v/>
      </c>
    </row>
    <row r="306" spans="1:9" x14ac:dyDescent="0.4">
      <c r="A306" t="str">
        <f t="shared" si="28"/>
        <v/>
      </c>
      <c r="B306" t="str">
        <f t="shared" si="29"/>
        <v/>
      </c>
      <c r="C306" t="str">
        <f t="shared" si="30"/>
        <v/>
      </c>
      <c r="D306" t="str">
        <f t="shared" si="31"/>
        <v/>
      </c>
      <c r="E306" t="str">
        <f>IF(F306="","",IF(COUNTIF($F$2:F306,F306)&gt;1,"",SUMIFS(tbl_input[필요수량],tbl_input[집계키_센터],F306)))</f>
        <v/>
      </c>
      <c r="F306" t="str">
        <f>IFERROR(INDEX(tbl_input[집계키_센터],ROW()-1),"")</f>
        <v/>
      </c>
      <c r="G306" t="str">
        <f t="shared" si="32"/>
        <v/>
      </c>
      <c r="H306" t="str">
        <f t="shared" si="33"/>
        <v/>
      </c>
      <c r="I306" t="str">
        <f t="shared" si="34"/>
        <v/>
      </c>
    </row>
    <row r="307" spans="1:9" x14ac:dyDescent="0.4">
      <c r="A307" t="str">
        <f t="shared" si="28"/>
        <v/>
      </c>
      <c r="B307" t="str">
        <f t="shared" si="29"/>
        <v/>
      </c>
      <c r="C307" t="str">
        <f t="shared" si="30"/>
        <v/>
      </c>
      <c r="D307" t="str">
        <f t="shared" si="31"/>
        <v/>
      </c>
      <c r="E307" t="str">
        <f>IF(F307="","",IF(COUNTIF($F$2:F307,F307)&gt;1,"",SUMIFS(tbl_input[필요수량],tbl_input[집계키_센터],F307)))</f>
        <v/>
      </c>
      <c r="F307" t="str">
        <f>IFERROR(INDEX(tbl_input[집계키_센터],ROW()-1),"")</f>
        <v/>
      </c>
      <c r="G307" t="str">
        <f t="shared" si="32"/>
        <v/>
      </c>
      <c r="H307" t="str">
        <f t="shared" si="33"/>
        <v/>
      </c>
      <c r="I307" t="str">
        <f t="shared" si="34"/>
        <v/>
      </c>
    </row>
    <row r="308" spans="1:9" x14ac:dyDescent="0.4">
      <c r="A308" t="str">
        <f t="shared" si="28"/>
        <v/>
      </c>
      <c r="B308" t="str">
        <f t="shared" si="29"/>
        <v/>
      </c>
      <c r="C308" t="str">
        <f t="shared" si="30"/>
        <v/>
      </c>
      <c r="D308" t="str">
        <f t="shared" si="31"/>
        <v/>
      </c>
      <c r="E308" t="str">
        <f>IF(F308="","",IF(COUNTIF($F$2:F308,F308)&gt;1,"",SUMIFS(tbl_input[필요수량],tbl_input[집계키_센터],F308)))</f>
        <v/>
      </c>
      <c r="F308" t="str">
        <f>IFERROR(INDEX(tbl_input[집계키_센터],ROW()-1),"")</f>
        <v/>
      </c>
      <c r="G308" t="str">
        <f t="shared" si="32"/>
        <v/>
      </c>
      <c r="H308" t="str">
        <f t="shared" si="33"/>
        <v/>
      </c>
      <c r="I308" t="str">
        <f t="shared" si="34"/>
        <v/>
      </c>
    </row>
    <row r="309" spans="1:9" x14ac:dyDescent="0.4">
      <c r="A309" t="str">
        <f t="shared" si="28"/>
        <v/>
      </c>
      <c r="B309" t="str">
        <f t="shared" si="29"/>
        <v/>
      </c>
      <c r="C309" t="str">
        <f t="shared" si="30"/>
        <v/>
      </c>
      <c r="D309" t="str">
        <f t="shared" si="31"/>
        <v/>
      </c>
      <c r="E309" t="str">
        <f>IF(F309="","",IF(COUNTIF($F$2:F309,F309)&gt;1,"",SUMIFS(tbl_input[필요수량],tbl_input[집계키_센터],F309)))</f>
        <v/>
      </c>
      <c r="F309" t="str">
        <f>IFERROR(INDEX(tbl_input[집계키_센터],ROW()-1),"")</f>
        <v/>
      </c>
      <c r="G309" t="str">
        <f t="shared" si="32"/>
        <v/>
      </c>
      <c r="H309" t="str">
        <f t="shared" si="33"/>
        <v/>
      </c>
      <c r="I309" t="str">
        <f t="shared" si="34"/>
        <v/>
      </c>
    </row>
    <row r="310" spans="1:9" x14ac:dyDescent="0.4">
      <c r="A310" t="str">
        <f t="shared" si="28"/>
        <v/>
      </c>
      <c r="B310" t="str">
        <f t="shared" si="29"/>
        <v/>
      </c>
      <c r="C310" t="str">
        <f t="shared" si="30"/>
        <v/>
      </c>
      <c r="D310" t="str">
        <f t="shared" si="31"/>
        <v/>
      </c>
      <c r="E310" t="str">
        <f>IF(F310="","",IF(COUNTIF($F$2:F310,F310)&gt;1,"",SUMIFS(tbl_input[필요수량],tbl_input[집계키_센터],F310)))</f>
        <v/>
      </c>
      <c r="F310" t="str">
        <f>IFERROR(INDEX(tbl_input[집계키_센터],ROW()-1),"")</f>
        <v/>
      </c>
      <c r="G310" t="str">
        <f t="shared" si="32"/>
        <v/>
      </c>
      <c r="H310" t="str">
        <f t="shared" si="33"/>
        <v/>
      </c>
      <c r="I310" t="str">
        <f t="shared" si="34"/>
        <v/>
      </c>
    </row>
    <row r="311" spans="1:9" x14ac:dyDescent="0.4">
      <c r="A311" t="str">
        <f t="shared" si="28"/>
        <v/>
      </c>
      <c r="B311" t="str">
        <f t="shared" si="29"/>
        <v/>
      </c>
      <c r="C311" t="str">
        <f t="shared" si="30"/>
        <v/>
      </c>
      <c r="D311" t="str">
        <f t="shared" si="31"/>
        <v/>
      </c>
      <c r="E311" t="str">
        <f>IF(F311="","",IF(COUNTIF($F$2:F311,F311)&gt;1,"",SUMIFS(tbl_input[필요수량],tbl_input[집계키_센터],F311)))</f>
        <v/>
      </c>
      <c r="F311" t="str">
        <f>IFERROR(INDEX(tbl_input[집계키_센터],ROW()-1),"")</f>
        <v/>
      </c>
      <c r="G311" t="str">
        <f t="shared" si="32"/>
        <v/>
      </c>
      <c r="H311" t="str">
        <f t="shared" si="33"/>
        <v/>
      </c>
      <c r="I311" t="str">
        <f t="shared" si="34"/>
        <v/>
      </c>
    </row>
    <row r="312" spans="1:9" x14ac:dyDescent="0.4">
      <c r="A312" t="str">
        <f t="shared" si="28"/>
        <v/>
      </c>
      <c r="B312" t="str">
        <f t="shared" si="29"/>
        <v/>
      </c>
      <c r="C312" t="str">
        <f t="shared" si="30"/>
        <v/>
      </c>
      <c r="D312" t="str">
        <f t="shared" si="31"/>
        <v/>
      </c>
      <c r="E312" t="str">
        <f>IF(F312="","",IF(COUNTIF($F$2:F312,F312)&gt;1,"",SUMIFS(tbl_input[필요수량],tbl_input[집계키_센터],F312)))</f>
        <v/>
      </c>
      <c r="F312" t="str">
        <f>IFERROR(INDEX(tbl_input[집계키_센터],ROW()-1),"")</f>
        <v/>
      </c>
      <c r="G312" t="str">
        <f t="shared" si="32"/>
        <v/>
      </c>
      <c r="H312" t="str">
        <f t="shared" si="33"/>
        <v/>
      </c>
      <c r="I312" t="str">
        <f t="shared" si="34"/>
        <v/>
      </c>
    </row>
    <row r="313" spans="1:9" x14ac:dyDescent="0.4">
      <c r="A313" t="str">
        <f t="shared" si="28"/>
        <v/>
      </c>
      <c r="B313" t="str">
        <f t="shared" si="29"/>
        <v/>
      </c>
      <c r="C313" t="str">
        <f t="shared" si="30"/>
        <v/>
      </c>
      <c r="D313" t="str">
        <f t="shared" si="31"/>
        <v/>
      </c>
      <c r="E313" t="str">
        <f>IF(F313="","",IF(COUNTIF($F$2:F313,F313)&gt;1,"",SUMIFS(tbl_input[필요수량],tbl_input[집계키_센터],F313)))</f>
        <v/>
      </c>
      <c r="F313" t="str">
        <f>IFERROR(INDEX(tbl_input[집계키_센터],ROW()-1),"")</f>
        <v/>
      </c>
      <c r="G313" t="str">
        <f t="shared" si="32"/>
        <v/>
      </c>
      <c r="H313" t="str">
        <f t="shared" si="33"/>
        <v/>
      </c>
      <c r="I313" t="str">
        <f t="shared" si="34"/>
        <v/>
      </c>
    </row>
    <row r="314" spans="1:9" x14ac:dyDescent="0.4">
      <c r="A314" t="str">
        <f t="shared" si="28"/>
        <v/>
      </c>
      <c r="B314" t="str">
        <f t="shared" si="29"/>
        <v/>
      </c>
      <c r="C314" t="str">
        <f t="shared" si="30"/>
        <v/>
      </c>
      <c r="D314" t="str">
        <f t="shared" si="31"/>
        <v/>
      </c>
      <c r="E314" t="str">
        <f>IF(F314="","",IF(COUNTIF($F$2:F314,F314)&gt;1,"",SUMIFS(tbl_input[필요수량],tbl_input[집계키_센터],F314)))</f>
        <v/>
      </c>
      <c r="F314" t="str">
        <f>IFERROR(INDEX(tbl_input[집계키_센터],ROW()-1),"")</f>
        <v/>
      </c>
      <c r="G314" t="str">
        <f t="shared" si="32"/>
        <v/>
      </c>
      <c r="H314" t="str">
        <f t="shared" si="33"/>
        <v/>
      </c>
      <c r="I314" t="str">
        <f t="shared" si="34"/>
        <v/>
      </c>
    </row>
    <row r="315" spans="1:9" x14ac:dyDescent="0.4">
      <c r="A315" t="str">
        <f t="shared" si="28"/>
        <v/>
      </c>
      <c r="B315" t="str">
        <f t="shared" si="29"/>
        <v/>
      </c>
      <c r="C315" t="str">
        <f t="shared" si="30"/>
        <v/>
      </c>
      <c r="D315" t="str">
        <f t="shared" si="31"/>
        <v/>
      </c>
      <c r="E315" t="str">
        <f>IF(F315="","",IF(COUNTIF($F$2:F315,F315)&gt;1,"",SUMIFS(tbl_input[필요수량],tbl_input[집계키_센터],F315)))</f>
        <v/>
      </c>
      <c r="F315" t="str">
        <f>IFERROR(INDEX(tbl_input[집계키_센터],ROW()-1),"")</f>
        <v/>
      </c>
      <c r="G315" t="str">
        <f t="shared" si="32"/>
        <v/>
      </c>
      <c r="H315" t="str">
        <f t="shared" si="33"/>
        <v/>
      </c>
      <c r="I315" t="str">
        <f t="shared" si="34"/>
        <v/>
      </c>
    </row>
    <row r="316" spans="1:9" x14ac:dyDescent="0.4">
      <c r="A316" t="str">
        <f t="shared" si="28"/>
        <v/>
      </c>
      <c r="B316" t="str">
        <f t="shared" si="29"/>
        <v/>
      </c>
      <c r="C316" t="str">
        <f t="shared" si="30"/>
        <v/>
      </c>
      <c r="D316" t="str">
        <f t="shared" si="31"/>
        <v/>
      </c>
      <c r="E316" t="str">
        <f>IF(F316="","",IF(COUNTIF($F$2:F316,F316)&gt;1,"",SUMIFS(tbl_input[필요수량],tbl_input[집계키_센터],F316)))</f>
        <v/>
      </c>
      <c r="F316" t="str">
        <f>IFERROR(INDEX(tbl_input[집계키_센터],ROW()-1),"")</f>
        <v/>
      </c>
      <c r="G316" t="str">
        <f t="shared" si="32"/>
        <v/>
      </c>
      <c r="H316" t="str">
        <f t="shared" si="33"/>
        <v/>
      </c>
      <c r="I316" t="str">
        <f t="shared" si="34"/>
        <v/>
      </c>
    </row>
    <row r="317" spans="1:9" x14ac:dyDescent="0.4">
      <c r="A317" t="str">
        <f t="shared" si="28"/>
        <v/>
      </c>
      <c r="B317" t="str">
        <f t="shared" si="29"/>
        <v/>
      </c>
      <c r="C317" t="str">
        <f t="shared" si="30"/>
        <v/>
      </c>
      <c r="D317" t="str">
        <f t="shared" si="31"/>
        <v/>
      </c>
      <c r="E317" t="str">
        <f>IF(F317="","",IF(COUNTIF($F$2:F317,F317)&gt;1,"",SUMIFS(tbl_input[필요수량],tbl_input[집계키_센터],F317)))</f>
        <v/>
      </c>
      <c r="F317" t="str">
        <f>IFERROR(INDEX(tbl_input[집계키_센터],ROW()-1),"")</f>
        <v/>
      </c>
      <c r="G317" t="str">
        <f t="shared" si="32"/>
        <v/>
      </c>
      <c r="H317" t="str">
        <f t="shared" si="33"/>
        <v/>
      </c>
      <c r="I317" t="str">
        <f t="shared" si="34"/>
        <v/>
      </c>
    </row>
    <row r="318" spans="1:9" x14ac:dyDescent="0.4">
      <c r="A318" t="str">
        <f t="shared" si="28"/>
        <v/>
      </c>
      <c r="B318" t="str">
        <f t="shared" si="29"/>
        <v/>
      </c>
      <c r="C318" t="str">
        <f t="shared" si="30"/>
        <v/>
      </c>
      <c r="D318" t="str">
        <f t="shared" si="31"/>
        <v/>
      </c>
      <c r="E318" t="str">
        <f>IF(F318="","",IF(COUNTIF($F$2:F318,F318)&gt;1,"",SUMIFS(tbl_input[필요수량],tbl_input[집계키_센터],F318)))</f>
        <v/>
      </c>
      <c r="F318" t="str">
        <f>IFERROR(INDEX(tbl_input[집계키_센터],ROW()-1),"")</f>
        <v/>
      </c>
      <c r="G318" t="str">
        <f t="shared" si="32"/>
        <v/>
      </c>
      <c r="H318" t="str">
        <f t="shared" si="33"/>
        <v/>
      </c>
      <c r="I318" t="str">
        <f t="shared" si="34"/>
        <v/>
      </c>
    </row>
    <row r="319" spans="1:9" x14ac:dyDescent="0.4">
      <c r="A319" t="str">
        <f t="shared" si="28"/>
        <v/>
      </c>
      <c r="B319" t="str">
        <f t="shared" si="29"/>
        <v/>
      </c>
      <c r="C319" t="str">
        <f t="shared" si="30"/>
        <v/>
      </c>
      <c r="D319" t="str">
        <f t="shared" si="31"/>
        <v/>
      </c>
      <c r="E319" t="str">
        <f>IF(F319="","",IF(COUNTIF($F$2:F319,F319)&gt;1,"",SUMIFS(tbl_input[필요수량],tbl_input[집계키_센터],F319)))</f>
        <v/>
      </c>
      <c r="F319" t="str">
        <f>IFERROR(INDEX(tbl_input[집계키_센터],ROW()-1),"")</f>
        <v/>
      </c>
      <c r="G319" t="str">
        <f t="shared" si="32"/>
        <v/>
      </c>
      <c r="H319" t="str">
        <f t="shared" si="33"/>
        <v/>
      </c>
      <c r="I319" t="str">
        <f t="shared" si="34"/>
        <v/>
      </c>
    </row>
    <row r="320" spans="1:9" x14ac:dyDescent="0.4">
      <c r="A320" t="str">
        <f t="shared" si="28"/>
        <v/>
      </c>
      <c r="B320" t="str">
        <f t="shared" si="29"/>
        <v/>
      </c>
      <c r="C320" t="str">
        <f t="shared" si="30"/>
        <v/>
      </c>
      <c r="D320" t="str">
        <f t="shared" si="31"/>
        <v/>
      </c>
      <c r="E320" t="str">
        <f>IF(F320="","",IF(COUNTIF($F$2:F320,F320)&gt;1,"",SUMIFS(tbl_input[필요수량],tbl_input[집계키_센터],F320)))</f>
        <v/>
      </c>
      <c r="F320" t="str">
        <f>IFERROR(INDEX(tbl_input[집계키_센터],ROW()-1),"")</f>
        <v/>
      </c>
      <c r="G320" t="str">
        <f t="shared" si="32"/>
        <v/>
      </c>
      <c r="H320" t="str">
        <f t="shared" si="33"/>
        <v/>
      </c>
      <c r="I320" t="str">
        <f t="shared" si="34"/>
        <v/>
      </c>
    </row>
    <row r="321" spans="1:9" x14ac:dyDescent="0.4">
      <c r="A321" t="str">
        <f t="shared" si="28"/>
        <v/>
      </c>
      <c r="B321" t="str">
        <f t="shared" si="29"/>
        <v/>
      </c>
      <c r="C321" t="str">
        <f t="shared" si="30"/>
        <v/>
      </c>
      <c r="D321" t="str">
        <f t="shared" si="31"/>
        <v/>
      </c>
      <c r="E321" t="str">
        <f>IF(F321="","",IF(COUNTIF($F$2:F321,F321)&gt;1,"",SUMIFS(tbl_input[필요수량],tbl_input[집계키_센터],F321)))</f>
        <v/>
      </c>
      <c r="F321" t="str">
        <f>IFERROR(INDEX(tbl_input[집계키_센터],ROW()-1),"")</f>
        <v/>
      </c>
      <c r="G321" t="str">
        <f t="shared" si="32"/>
        <v/>
      </c>
      <c r="H321" t="str">
        <f t="shared" si="33"/>
        <v/>
      </c>
      <c r="I321" t="str">
        <f t="shared" si="34"/>
        <v/>
      </c>
    </row>
    <row r="322" spans="1:9" x14ac:dyDescent="0.4">
      <c r="A322" t="str">
        <f t="shared" ref="A322:A385" si="35">IF(F322="","",LEFT(F322,G322-1))</f>
        <v/>
      </c>
      <c r="B322" t="str">
        <f t="shared" ref="B322:B385" si="36">IF(F322="","",MID(F322,G322+1,H322-G322-1))</f>
        <v/>
      </c>
      <c r="C322" t="str">
        <f t="shared" ref="C322:C385" si="37">IF(F322="","",MID(F322,H322+1,I322-H322-1))</f>
        <v/>
      </c>
      <c r="D322" t="str">
        <f t="shared" ref="D322:D385" si="38">IF(F322="","",MID(F322,I322+1,999))</f>
        <v/>
      </c>
      <c r="E322" t="str">
        <f>IF(F322="","",IF(COUNTIF($F$2:F322,F322)&gt;1,"",SUMIFS(tbl_input[필요수량],tbl_input[집계키_센터],F322)))</f>
        <v/>
      </c>
      <c r="F322" t="str">
        <f>IFERROR(INDEX(tbl_input[집계키_센터],ROW()-1),"")</f>
        <v/>
      </c>
      <c r="G322" t="str">
        <f t="shared" ref="G322:G385" si="39">IF(F322="","",FIND("♦",F322))</f>
        <v/>
      </c>
      <c r="H322" t="str">
        <f t="shared" ref="H322:H385" si="40">IF(F322="","",FIND("♦",F322,G322+1))</f>
        <v/>
      </c>
      <c r="I322" t="str">
        <f t="shared" ref="I322:I385" si="41">IF(F322="","",FIND("♦",F322,H322+1))</f>
        <v/>
      </c>
    </row>
    <row r="323" spans="1:9" x14ac:dyDescent="0.4">
      <c r="A323" t="str">
        <f t="shared" si="35"/>
        <v/>
      </c>
      <c r="B323" t="str">
        <f t="shared" si="36"/>
        <v/>
      </c>
      <c r="C323" t="str">
        <f t="shared" si="37"/>
        <v/>
      </c>
      <c r="D323" t="str">
        <f t="shared" si="38"/>
        <v/>
      </c>
      <c r="E323" t="str">
        <f>IF(F323="","",IF(COUNTIF($F$2:F323,F323)&gt;1,"",SUMIFS(tbl_input[필요수량],tbl_input[집계키_센터],F323)))</f>
        <v/>
      </c>
      <c r="F323" t="str">
        <f>IFERROR(INDEX(tbl_input[집계키_센터],ROW()-1),"")</f>
        <v/>
      </c>
      <c r="G323" t="str">
        <f t="shared" si="39"/>
        <v/>
      </c>
      <c r="H323" t="str">
        <f t="shared" si="40"/>
        <v/>
      </c>
      <c r="I323" t="str">
        <f t="shared" si="41"/>
        <v/>
      </c>
    </row>
    <row r="324" spans="1:9" x14ac:dyDescent="0.4">
      <c r="A324" t="str">
        <f t="shared" si="35"/>
        <v/>
      </c>
      <c r="B324" t="str">
        <f t="shared" si="36"/>
        <v/>
      </c>
      <c r="C324" t="str">
        <f t="shared" si="37"/>
        <v/>
      </c>
      <c r="D324" t="str">
        <f t="shared" si="38"/>
        <v/>
      </c>
      <c r="E324" t="str">
        <f>IF(F324="","",IF(COUNTIF($F$2:F324,F324)&gt;1,"",SUMIFS(tbl_input[필요수량],tbl_input[집계키_센터],F324)))</f>
        <v/>
      </c>
      <c r="F324" t="str">
        <f>IFERROR(INDEX(tbl_input[집계키_센터],ROW()-1),"")</f>
        <v/>
      </c>
      <c r="G324" t="str">
        <f t="shared" si="39"/>
        <v/>
      </c>
      <c r="H324" t="str">
        <f t="shared" si="40"/>
        <v/>
      </c>
      <c r="I324" t="str">
        <f t="shared" si="41"/>
        <v/>
      </c>
    </row>
    <row r="325" spans="1:9" x14ac:dyDescent="0.4">
      <c r="A325" t="str">
        <f t="shared" si="35"/>
        <v/>
      </c>
      <c r="B325" t="str">
        <f t="shared" si="36"/>
        <v/>
      </c>
      <c r="C325" t="str">
        <f t="shared" si="37"/>
        <v/>
      </c>
      <c r="D325" t="str">
        <f t="shared" si="38"/>
        <v/>
      </c>
      <c r="E325" t="str">
        <f>IF(F325="","",IF(COUNTIF($F$2:F325,F325)&gt;1,"",SUMIFS(tbl_input[필요수량],tbl_input[집계키_센터],F325)))</f>
        <v/>
      </c>
      <c r="F325" t="str">
        <f>IFERROR(INDEX(tbl_input[집계키_센터],ROW()-1),"")</f>
        <v/>
      </c>
      <c r="G325" t="str">
        <f t="shared" si="39"/>
        <v/>
      </c>
      <c r="H325" t="str">
        <f t="shared" si="40"/>
        <v/>
      </c>
      <c r="I325" t="str">
        <f t="shared" si="41"/>
        <v/>
      </c>
    </row>
    <row r="326" spans="1:9" x14ac:dyDescent="0.4">
      <c r="A326" t="str">
        <f t="shared" si="35"/>
        <v/>
      </c>
      <c r="B326" t="str">
        <f t="shared" si="36"/>
        <v/>
      </c>
      <c r="C326" t="str">
        <f t="shared" si="37"/>
        <v/>
      </c>
      <c r="D326" t="str">
        <f t="shared" si="38"/>
        <v/>
      </c>
      <c r="E326" t="str">
        <f>IF(F326="","",IF(COUNTIF($F$2:F326,F326)&gt;1,"",SUMIFS(tbl_input[필요수량],tbl_input[집계키_센터],F326)))</f>
        <v/>
      </c>
      <c r="F326" t="str">
        <f>IFERROR(INDEX(tbl_input[집계키_센터],ROW()-1),"")</f>
        <v/>
      </c>
      <c r="G326" t="str">
        <f t="shared" si="39"/>
        <v/>
      </c>
      <c r="H326" t="str">
        <f t="shared" si="40"/>
        <v/>
      </c>
      <c r="I326" t="str">
        <f t="shared" si="41"/>
        <v/>
      </c>
    </row>
    <row r="327" spans="1:9" x14ac:dyDescent="0.4">
      <c r="A327" t="str">
        <f t="shared" si="35"/>
        <v/>
      </c>
      <c r="B327" t="str">
        <f t="shared" si="36"/>
        <v/>
      </c>
      <c r="C327" t="str">
        <f t="shared" si="37"/>
        <v/>
      </c>
      <c r="D327" t="str">
        <f t="shared" si="38"/>
        <v/>
      </c>
      <c r="E327" t="str">
        <f>IF(F327="","",IF(COUNTIF($F$2:F327,F327)&gt;1,"",SUMIFS(tbl_input[필요수량],tbl_input[집계키_센터],F327)))</f>
        <v/>
      </c>
      <c r="F327" t="str">
        <f>IFERROR(INDEX(tbl_input[집계키_센터],ROW()-1),"")</f>
        <v/>
      </c>
      <c r="G327" t="str">
        <f t="shared" si="39"/>
        <v/>
      </c>
      <c r="H327" t="str">
        <f t="shared" si="40"/>
        <v/>
      </c>
      <c r="I327" t="str">
        <f t="shared" si="41"/>
        <v/>
      </c>
    </row>
    <row r="328" spans="1:9" x14ac:dyDescent="0.4">
      <c r="A328" t="str">
        <f t="shared" si="35"/>
        <v/>
      </c>
      <c r="B328" t="str">
        <f t="shared" si="36"/>
        <v/>
      </c>
      <c r="C328" t="str">
        <f t="shared" si="37"/>
        <v/>
      </c>
      <c r="D328" t="str">
        <f t="shared" si="38"/>
        <v/>
      </c>
      <c r="E328" t="str">
        <f>IF(F328="","",IF(COUNTIF($F$2:F328,F328)&gt;1,"",SUMIFS(tbl_input[필요수량],tbl_input[집계키_센터],F328)))</f>
        <v/>
      </c>
      <c r="F328" t="str">
        <f>IFERROR(INDEX(tbl_input[집계키_센터],ROW()-1),"")</f>
        <v/>
      </c>
      <c r="G328" t="str">
        <f t="shared" si="39"/>
        <v/>
      </c>
      <c r="H328" t="str">
        <f t="shared" si="40"/>
        <v/>
      </c>
      <c r="I328" t="str">
        <f t="shared" si="41"/>
        <v/>
      </c>
    </row>
    <row r="329" spans="1:9" x14ac:dyDescent="0.4">
      <c r="A329" t="str">
        <f t="shared" si="35"/>
        <v/>
      </c>
      <c r="B329" t="str">
        <f t="shared" si="36"/>
        <v/>
      </c>
      <c r="C329" t="str">
        <f t="shared" si="37"/>
        <v/>
      </c>
      <c r="D329" t="str">
        <f t="shared" si="38"/>
        <v/>
      </c>
      <c r="E329" t="str">
        <f>IF(F329="","",IF(COUNTIF($F$2:F329,F329)&gt;1,"",SUMIFS(tbl_input[필요수량],tbl_input[집계키_센터],F329)))</f>
        <v/>
      </c>
      <c r="F329" t="str">
        <f>IFERROR(INDEX(tbl_input[집계키_센터],ROW()-1),"")</f>
        <v/>
      </c>
      <c r="G329" t="str">
        <f t="shared" si="39"/>
        <v/>
      </c>
      <c r="H329" t="str">
        <f t="shared" si="40"/>
        <v/>
      </c>
      <c r="I329" t="str">
        <f t="shared" si="41"/>
        <v/>
      </c>
    </row>
    <row r="330" spans="1:9" x14ac:dyDescent="0.4">
      <c r="A330" t="str">
        <f t="shared" si="35"/>
        <v/>
      </c>
      <c r="B330" t="str">
        <f t="shared" si="36"/>
        <v/>
      </c>
      <c r="C330" t="str">
        <f t="shared" si="37"/>
        <v/>
      </c>
      <c r="D330" t="str">
        <f t="shared" si="38"/>
        <v/>
      </c>
      <c r="E330" t="str">
        <f>IF(F330="","",IF(COUNTIF($F$2:F330,F330)&gt;1,"",SUMIFS(tbl_input[필요수량],tbl_input[집계키_센터],F330)))</f>
        <v/>
      </c>
      <c r="F330" t="str">
        <f>IFERROR(INDEX(tbl_input[집계키_센터],ROW()-1),"")</f>
        <v/>
      </c>
      <c r="G330" t="str">
        <f t="shared" si="39"/>
        <v/>
      </c>
      <c r="H330" t="str">
        <f t="shared" si="40"/>
        <v/>
      </c>
      <c r="I330" t="str">
        <f t="shared" si="41"/>
        <v/>
      </c>
    </row>
    <row r="331" spans="1:9" x14ac:dyDescent="0.4">
      <c r="A331" t="str">
        <f t="shared" si="35"/>
        <v/>
      </c>
      <c r="B331" t="str">
        <f t="shared" si="36"/>
        <v/>
      </c>
      <c r="C331" t="str">
        <f t="shared" si="37"/>
        <v/>
      </c>
      <c r="D331" t="str">
        <f t="shared" si="38"/>
        <v/>
      </c>
      <c r="E331" t="str">
        <f>IF(F331="","",IF(COUNTIF($F$2:F331,F331)&gt;1,"",SUMIFS(tbl_input[필요수량],tbl_input[집계키_센터],F331)))</f>
        <v/>
      </c>
      <c r="F331" t="str">
        <f>IFERROR(INDEX(tbl_input[집계키_센터],ROW()-1),"")</f>
        <v/>
      </c>
      <c r="G331" t="str">
        <f t="shared" si="39"/>
        <v/>
      </c>
      <c r="H331" t="str">
        <f t="shared" si="40"/>
        <v/>
      </c>
      <c r="I331" t="str">
        <f t="shared" si="41"/>
        <v/>
      </c>
    </row>
    <row r="332" spans="1:9" x14ac:dyDescent="0.4">
      <c r="A332" t="str">
        <f t="shared" si="35"/>
        <v/>
      </c>
      <c r="B332" t="str">
        <f t="shared" si="36"/>
        <v/>
      </c>
      <c r="C332" t="str">
        <f t="shared" si="37"/>
        <v/>
      </c>
      <c r="D332" t="str">
        <f t="shared" si="38"/>
        <v/>
      </c>
      <c r="E332" t="str">
        <f>IF(F332="","",IF(COUNTIF($F$2:F332,F332)&gt;1,"",SUMIFS(tbl_input[필요수량],tbl_input[집계키_센터],F332)))</f>
        <v/>
      </c>
      <c r="F332" t="str">
        <f>IFERROR(INDEX(tbl_input[집계키_센터],ROW()-1),"")</f>
        <v/>
      </c>
      <c r="G332" t="str">
        <f t="shared" si="39"/>
        <v/>
      </c>
      <c r="H332" t="str">
        <f t="shared" si="40"/>
        <v/>
      </c>
      <c r="I332" t="str">
        <f t="shared" si="41"/>
        <v/>
      </c>
    </row>
    <row r="333" spans="1:9" x14ac:dyDescent="0.4">
      <c r="A333" t="str">
        <f t="shared" si="35"/>
        <v/>
      </c>
      <c r="B333" t="str">
        <f t="shared" si="36"/>
        <v/>
      </c>
      <c r="C333" t="str">
        <f t="shared" si="37"/>
        <v/>
      </c>
      <c r="D333" t="str">
        <f t="shared" si="38"/>
        <v/>
      </c>
      <c r="E333" t="str">
        <f>IF(F333="","",IF(COUNTIF($F$2:F333,F333)&gt;1,"",SUMIFS(tbl_input[필요수량],tbl_input[집계키_센터],F333)))</f>
        <v/>
      </c>
      <c r="F333" t="str">
        <f>IFERROR(INDEX(tbl_input[집계키_센터],ROW()-1),"")</f>
        <v/>
      </c>
      <c r="G333" t="str">
        <f t="shared" si="39"/>
        <v/>
      </c>
      <c r="H333" t="str">
        <f t="shared" si="40"/>
        <v/>
      </c>
      <c r="I333" t="str">
        <f t="shared" si="41"/>
        <v/>
      </c>
    </row>
    <row r="334" spans="1:9" x14ac:dyDescent="0.4">
      <c r="A334" t="str">
        <f t="shared" si="35"/>
        <v/>
      </c>
      <c r="B334" t="str">
        <f t="shared" si="36"/>
        <v/>
      </c>
      <c r="C334" t="str">
        <f t="shared" si="37"/>
        <v/>
      </c>
      <c r="D334" t="str">
        <f t="shared" si="38"/>
        <v/>
      </c>
      <c r="E334" t="str">
        <f>IF(F334="","",IF(COUNTIF($F$2:F334,F334)&gt;1,"",SUMIFS(tbl_input[필요수량],tbl_input[집계키_센터],F334)))</f>
        <v/>
      </c>
      <c r="F334" t="str">
        <f>IFERROR(INDEX(tbl_input[집계키_센터],ROW()-1),"")</f>
        <v/>
      </c>
      <c r="G334" t="str">
        <f t="shared" si="39"/>
        <v/>
      </c>
      <c r="H334" t="str">
        <f t="shared" si="40"/>
        <v/>
      </c>
      <c r="I334" t="str">
        <f t="shared" si="41"/>
        <v/>
      </c>
    </row>
    <row r="335" spans="1:9" x14ac:dyDescent="0.4">
      <c r="A335" t="str">
        <f t="shared" si="35"/>
        <v/>
      </c>
      <c r="B335" t="str">
        <f t="shared" si="36"/>
        <v/>
      </c>
      <c r="C335" t="str">
        <f t="shared" si="37"/>
        <v/>
      </c>
      <c r="D335" t="str">
        <f t="shared" si="38"/>
        <v/>
      </c>
      <c r="E335" t="str">
        <f>IF(F335="","",IF(COUNTIF($F$2:F335,F335)&gt;1,"",SUMIFS(tbl_input[필요수량],tbl_input[집계키_센터],F335)))</f>
        <v/>
      </c>
      <c r="F335" t="str">
        <f>IFERROR(INDEX(tbl_input[집계키_센터],ROW()-1),"")</f>
        <v/>
      </c>
      <c r="G335" t="str">
        <f t="shared" si="39"/>
        <v/>
      </c>
      <c r="H335" t="str">
        <f t="shared" si="40"/>
        <v/>
      </c>
      <c r="I335" t="str">
        <f t="shared" si="41"/>
        <v/>
      </c>
    </row>
    <row r="336" spans="1:9" x14ac:dyDescent="0.4">
      <c r="A336" t="str">
        <f t="shared" si="35"/>
        <v/>
      </c>
      <c r="B336" t="str">
        <f t="shared" si="36"/>
        <v/>
      </c>
      <c r="C336" t="str">
        <f t="shared" si="37"/>
        <v/>
      </c>
      <c r="D336" t="str">
        <f t="shared" si="38"/>
        <v/>
      </c>
      <c r="E336" t="str">
        <f>IF(F336="","",IF(COUNTIF($F$2:F336,F336)&gt;1,"",SUMIFS(tbl_input[필요수량],tbl_input[집계키_센터],F336)))</f>
        <v/>
      </c>
      <c r="F336" t="str">
        <f>IFERROR(INDEX(tbl_input[집계키_센터],ROW()-1),"")</f>
        <v/>
      </c>
      <c r="G336" t="str">
        <f t="shared" si="39"/>
        <v/>
      </c>
      <c r="H336" t="str">
        <f t="shared" si="40"/>
        <v/>
      </c>
      <c r="I336" t="str">
        <f t="shared" si="41"/>
        <v/>
      </c>
    </row>
    <row r="337" spans="1:9" x14ac:dyDescent="0.4">
      <c r="A337" t="str">
        <f t="shared" si="35"/>
        <v/>
      </c>
      <c r="B337" t="str">
        <f t="shared" si="36"/>
        <v/>
      </c>
      <c r="C337" t="str">
        <f t="shared" si="37"/>
        <v/>
      </c>
      <c r="D337" t="str">
        <f t="shared" si="38"/>
        <v/>
      </c>
      <c r="E337" t="str">
        <f>IF(F337="","",IF(COUNTIF($F$2:F337,F337)&gt;1,"",SUMIFS(tbl_input[필요수량],tbl_input[집계키_센터],F337)))</f>
        <v/>
      </c>
      <c r="F337" t="str">
        <f>IFERROR(INDEX(tbl_input[집계키_센터],ROW()-1),"")</f>
        <v/>
      </c>
      <c r="G337" t="str">
        <f t="shared" si="39"/>
        <v/>
      </c>
      <c r="H337" t="str">
        <f t="shared" si="40"/>
        <v/>
      </c>
      <c r="I337" t="str">
        <f t="shared" si="41"/>
        <v/>
      </c>
    </row>
    <row r="338" spans="1:9" x14ac:dyDescent="0.4">
      <c r="A338" t="str">
        <f t="shared" si="35"/>
        <v/>
      </c>
      <c r="B338" t="str">
        <f t="shared" si="36"/>
        <v/>
      </c>
      <c r="C338" t="str">
        <f t="shared" si="37"/>
        <v/>
      </c>
      <c r="D338" t="str">
        <f t="shared" si="38"/>
        <v/>
      </c>
      <c r="E338" t="str">
        <f>IF(F338="","",IF(COUNTIF($F$2:F338,F338)&gt;1,"",SUMIFS(tbl_input[필요수량],tbl_input[집계키_센터],F338)))</f>
        <v/>
      </c>
      <c r="F338" t="str">
        <f>IFERROR(INDEX(tbl_input[집계키_센터],ROW()-1),"")</f>
        <v/>
      </c>
      <c r="G338" t="str">
        <f t="shared" si="39"/>
        <v/>
      </c>
      <c r="H338" t="str">
        <f t="shared" si="40"/>
        <v/>
      </c>
      <c r="I338" t="str">
        <f t="shared" si="41"/>
        <v/>
      </c>
    </row>
    <row r="339" spans="1:9" x14ac:dyDescent="0.4">
      <c r="A339" t="str">
        <f t="shared" si="35"/>
        <v/>
      </c>
      <c r="B339" t="str">
        <f t="shared" si="36"/>
        <v/>
      </c>
      <c r="C339" t="str">
        <f t="shared" si="37"/>
        <v/>
      </c>
      <c r="D339" t="str">
        <f t="shared" si="38"/>
        <v/>
      </c>
      <c r="E339" t="str">
        <f>IF(F339="","",IF(COUNTIF($F$2:F339,F339)&gt;1,"",SUMIFS(tbl_input[필요수량],tbl_input[집계키_센터],F339)))</f>
        <v/>
      </c>
      <c r="F339" t="str">
        <f>IFERROR(INDEX(tbl_input[집계키_센터],ROW()-1),"")</f>
        <v/>
      </c>
      <c r="G339" t="str">
        <f t="shared" si="39"/>
        <v/>
      </c>
      <c r="H339" t="str">
        <f t="shared" si="40"/>
        <v/>
      </c>
      <c r="I339" t="str">
        <f t="shared" si="41"/>
        <v/>
      </c>
    </row>
    <row r="340" spans="1:9" x14ac:dyDescent="0.4">
      <c r="A340" t="str">
        <f t="shared" si="35"/>
        <v/>
      </c>
      <c r="B340" t="str">
        <f t="shared" si="36"/>
        <v/>
      </c>
      <c r="C340" t="str">
        <f t="shared" si="37"/>
        <v/>
      </c>
      <c r="D340" t="str">
        <f t="shared" si="38"/>
        <v/>
      </c>
      <c r="E340" t="str">
        <f>IF(F340="","",IF(COUNTIF($F$2:F340,F340)&gt;1,"",SUMIFS(tbl_input[필요수량],tbl_input[집계키_센터],F340)))</f>
        <v/>
      </c>
      <c r="F340" t="str">
        <f>IFERROR(INDEX(tbl_input[집계키_센터],ROW()-1),"")</f>
        <v/>
      </c>
      <c r="G340" t="str">
        <f t="shared" si="39"/>
        <v/>
      </c>
      <c r="H340" t="str">
        <f t="shared" si="40"/>
        <v/>
      </c>
      <c r="I340" t="str">
        <f t="shared" si="41"/>
        <v/>
      </c>
    </row>
    <row r="341" spans="1:9" x14ac:dyDescent="0.4">
      <c r="A341" t="str">
        <f t="shared" si="35"/>
        <v/>
      </c>
      <c r="B341" t="str">
        <f t="shared" si="36"/>
        <v/>
      </c>
      <c r="C341" t="str">
        <f t="shared" si="37"/>
        <v/>
      </c>
      <c r="D341" t="str">
        <f t="shared" si="38"/>
        <v/>
      </c>
      <c r="E341" t="str">
        <f>IF(F341="","",IF(COUNTIF($F$2:F341,F341)&gt;1,"",SUMIFS(tbl_input[필요수량],tbl_input[집계키_센터],F341)))</f>
        <v/>
      </c>
      <c r="F341" t="str">
        <f>IFERROR(INDEX(tbl_input[집계키_센터],ROW()-1),"")</f>
        <v/>
      </c>
      <c r="G341" t="str">
        <f t="shared" si="39"/>
        <v/>
      </c>
      <c r="H341" t="str">
        <f t="shared" si="40"/>
        <v/>
      </c>
      <c r="I341" t="str">
        <f t="shared" si="41"/>
        <v/>
      </c>
    </row>
    <row r="342" spans="1:9" x14ac:dyDescent="0.4">
      <c r="A342" t="str">
        <f t="shared" si="35"/>
        <v/>
      </c>
      <c r="B342" t="str">
        <f t="shared" si="36"/>
        <v/>
      </c>
      <c r="C342" t="str">
        <f t="shared" si="37"/>
        <v/>
      </c>
      <c r="D342" t="str">
        <f t="shared" si="38"/>
        <v/>
      </c>
      <c r="E342" t="str">
        <f>IF(F342="","",IF(COUNTIF($F$2:F342,F342)&gt;1,"",SUMIFS(tbl_input[필요수량],tbl_input[집계키_센터],F342)))</f>
        <v/>
      </c>
      <c r="F342" t="str">
        <f>IFERROR(INDEX(tbl_input[집계키_센터],ROW()-1),"")</f>
        <v/>
      </c>
      <c r="G342" t="str">
        <f t="shared" si="39"/>
        <v/>
      </c>
      <c r="H342" t="str">
        <f t="shared" si="40"/>
        <v/>
      </c>
      <c r="I342" t="str">
        <f t="shared" si="41"/>
        <v/>
      </c>
    </row>
    <row r="343" spans="1:9" x14ac:dyDescent="0.4">
      <c r="A343" t="str">
        <f t="shared" si="35"/>
        <v/>
      </c>
      <c r="B343" t="str">
        <f t="shared" si="36"/>
        <v/>
      </c>
      <c r="C343" t="str">
        <f t="shared" si="37"/>
        <v/>
      </c>
      <c r="D343" t="str">
        <f t="shared" si="38"/>
        <v/>
      </c>
      <c r="E343" t="str">
        <f>IF(F343="","",IF(COUNTIF($F$2:F343,F343)&gt;1,"",SUMIFS(tbl_input[필요수량],tbl_input[집계키_센터],F343)))</f>
        <v/>
      </c>
      <c r="F343" t="str">
        <f>IFERROR(INDEX(tbl_input[집계키_센터],ROW()-1),"")</f>
        <v/>
      </c>
      <c r="G343" t="str">
        <f t="shared" si="39"/>
        <v/>
      </c>
      <c r="H343" t="str">
        <f t="shared" si="40"/>
        <v/>
      </c>
      <c r="I343" t="str">
        <f t="shared" si="41"/>
        <v/>
      </c>
    </row>
    <row r="344" spans="1:9" x14ac:dyDescent="0.4">
      <c r="A344" t="str">
        <f t="shared" si="35"/>
        <v/>
      </c>
      <c r="B344" t="str">
        <f t="shared" si="36"/>
        <v/>
      </c>
      <c r="C344" t="str">
        <f t="shared" si="37"/>
        <v/>
      </c>
      <c r="D344" t="str">
        <f t="shared" si="38"/>
        <v/>
      </c>
      <c r="E344" t="str">
        <f>IF(F344="","",IF(COUNTIF($F$2:F344,F344)&gt;1,"",SUMIFS(tbl_input[필요수량],tbl_input[집계키_센터],F344)))</f>
        <v/>
      </c>
      <c r="F344" t="str">
        <f>IFERROR(INDEX(tbl_input[집계키_센터],ROW()-1),"")</f>
        <v/>
      </c>
      <c r="G344" t="str">
        <f t="shared" si="39"/>
        <v/>
      </c>
      <c r="H344" t="str">
        <f t="shared" si="40"/>
        <v/>
      </c>
      <c r="I344" t="str">
        <f t="shared" si="41"/>
        <v/>
      </c>
    </row>
    <row r="345" spans="1:9" x14ac:dyDescent="0.4">
      <c r="A345" t="str">
        <f t="shared" si="35"/>
        <v/>
      </c>
      <c r="B345" t="str">
        <f t="shared" si="36"/>
        <v/>
      </c>
      <c r="C345" t="str">
        <f t="shared" si="37"/>
        <v/>
      </c>
      <c r="D345" t="str">
        <f t="shared" si="38"/>
        <v/>
      </c>
      <c r="E345" t="str">
        <f>IF(F345="","",IF(COUNTIF($F$2:F345,F345)&gt;1,"",SUMIFS(tbl_input[필요수량],tbl_input[집계키_센터],F345)))</f>
        <v/>
      </c>
      <c r="F345" t="str">
        <f>IFERROR(INDEX(tbl_input[집계키_센터],ROW()-1),"")</f>
        <v/>
      </c>
      <c r="G345" t="str">
        <f t="shared" si="39"/>
        <v/>
      </c>
      <c r="H345" t="str">
        <f t="shared" si="40"/>
        <v/>
      </c>
      <c r="I345" t="str">
        <f t="shared" si="41"/>
        <v/>
      </c>
    </row>
    <row r="346" spans="1:9" x14ac:dyDescent="0.4">
      <c r="A346" t="str">
        <f t="shared" si="35"/>
        <v/>
      </c>
      <c r="B346" t="str">
        <f t="shared" si="36"/>
        <v/>
      </c>
      <c r="C346" t="str">
        <f t="shared" si="37"/>
        <v/>
      </c>
      <c r="D346" t="str">
        <f t="shared" si="38"/>
        <v/>
      </c>
      <c r="E346" t="str">
        <f>IF(F346="","",IF(COUNTIF($F$2:F346,F346)&gt;1,"",SUMIFS(tbl_input[필요수량],tbl_input[집계키_센터],F346)))</f>
        <v/>
      </c>
      <c r="F346" t="str">
        <f>IFERROR(INDEX(tbl_input[집계키_센터],ROW()-1),"")</f>
        <v/>
      </c>
      <c r="G346" t="str">
        <f t="shared" si="39"/>
        <v/>
      </c>
      <c r="H346" t="str">
        <f t="shared" si="40"/>
        <v/>
      </c>
      <c r="I346" t="str">
        <f t="shared" si="41"/>
        <v/>
      </c>
    </row>
    <row r="347" spans="1:9" x14ac:dyDescent="0.4">
      <c r="A347" t="str">
        <f t="shared" si="35"/>
        <v/>
      </c>
      <c r="B347" t="str">
        <f t="shared" si="36"/>
        <v/>
      </c>
      <c r="C347" t="str">
        <f t="shared" si="37"/>
        <v/>
      </c>
      <c r="D347" t="str">
        <f t="shared" si="38"/>
        <v/>
      </c>
      <c r="E347" t="str">
        <f>IF(F347="","",IF(COUNTIF($F$2:F347,F347)&gt;1,"",SUMIFS(tbl_input[필요수량],tbl_input[집계키_센터],F347)))</f>
        <v/>
      </c>
      <c r="F347" t="str">
        <f>IFERROR(INDEX(tbl_input[집계키_센터],ROW()-1),"")</f>
        <v/>
      </c>
      <c r="G347" t="str">
        <f t="shared" si="39"/>
        <v/>
      </c>
      <c r="H347" t="str">
        <f t="shared" si="40"/>
        <v/>
      </c>
      <c r="I347" t="str">
        <f t="shared" si="41"/>
        <v/>
      </c>
    </row>
    <row r="348" spans="1:9" x14ac:dyDescent="0.4">
      <c r="A348" t="str">
        <f t="shared" si="35"/>
        <v/>
      </c>
      <c r="B348" t="str">
        <f t="shared" si="36"/>
        <v/>
      </c>
      <c r="C348" t="str">
        <f t="shared" si="37"/>
        <v/>
      </c>
      <c r="D348" t="str">
        <f t="shared" si="38"/>
        <v/>
      </c>
      <c r="E348" t="str">
        <f>IF(F348="","",IF(COUNTIF($F$2:F348,F348)&gt;1,"",SUMIFS(tbl_input[필요수량],tbl_input[집계키_센터],F348)))</f>
        <v/>
      </c>
      <c r="F348" t="str">
        <f>IFERROR(INDEX(tbl_input[집계키_센터],ROW()-1),"")</f>
        <v/>
      </c>
      <c r="G348" t="str">
        <f t="shared" si="39"/>
        <v/>
      </c>
      <c r="H348" t="str">
        <f t="shared" si="40"/>
        <v/>
      </c>
      <c r="I348" t="str">
        <f t="shared" si="41"/>
        <v/>
      </c>
    </row>
    <row r="349" spans="1:9" x14ac:dyDescent="0.4">
      <c r="A349" t="str">
        <f t="shared" si="35"/>
        <v/>
      </c>
      <c r="B349" t="str">
        <f t="shared" si="36"/>
        <v/>
      </c>
      <c r="C349" t="str">
        <f t="shared" si="37"/>
        <v/>
      </c>
      <c r="D349" t="str">
        <f t="shared" si="38"/>
        <v/>
      </c>
      <c r="E349" t="str">
        <f>IF(F349="","",IF(COUNTIF($F$2:F349,F349)&gt;1,"",SUMIFS(tbl_input[필요수량],tbl_input[집계키_센터],F349)))</f>
        <v/>
      </c>
      <c r="F349" t="str">
        <f>IFERROR(INDEX(tbl_input[집계키_센터],ROW()-1),"")</f>
        <v/>
      </c>
      <c r="G349" t="str">
        <f t="shared" si="39"/>
        <v/>
      </c>
      <c r="H349" t="str">
        <f t="shared" si="40"/>
        <v/>
      </c>
      <c r="I349" t="str">
        <f t="shared" si="41"/>
        <v/>
      </c>
    </row>
    <row r="350" spans="1:9" x14ac:dyDescent="0.4">
      <c r="A350" t="str">
        <f t="shared" si="35"/>
        <v/>
      </c>
      <c r="B350" t="str">
        <f t="shared" si="36"/>
        <v/>
      </c>
      <c r="C350" t="str">
        <f t="shared" si="37"/>
        <v/>
      </c>
      <c r="D350" t="str">
        <f t="shared" si="38"/>
        <v/>
      </c>
      <c r="E350" t="str">
        <f>IF(F350="","",IF(COUNTIF($F$2:F350,F350)&gt;1,"",SUMIFS(tbl_input[필요수량],tbl_input[집계키_센터],F350)))</f>
        <v/>
      </c>
      <c r="F350" t="str">
        <f>IFERROR(INDEX(tbl_input[집계키_센터],ROW()-1),"")</f>
        <v/>
      </c>
      <c r="G350" t="str">
        <f t="shared" si="39"/>
        <v/>
      </c>
      <c r="H350" t="str">
        <f t="shared" si="40"/>
        <v/>
      </c>
      <c r="I350" t="str">
        <f t="shared" si="41"/>
        <v/>
      </c>
    </row>
    <row r="351" spans="1:9" x14ac:dyDescent="0.4">
      <c r="A351" t="str">
        <f t="shared" si="35"/>
        <v/>
      </c>
      <c r="B351" t="str">
        <f t="shared" si="36"/>
        <v/>
      </c>
      <c r="C351" t="str">
        <f t="shared" si="37"/>
        <v/>
      </c>
      <c r="D351" t="str">
        <f t="shared" si="38"/>
        <v/>
      </c>
      <c r="E351" t="str">
        <f>IF(F351="","",IF(COUNTIF($F$2:F351,F351)&gt;1,"",SUMIFS(tbl_input[필요수량],tbl_input[집계키_센터],F351)))</f>
        <v/>
      </c>
      <c r="F351" t="str">
        <f>IFERROR(INDEX(tbl_input[집계키_센터],ROW()-1),"")</f>
        <v/>
      </c>
      <c r="G351" t="str">
        <f t="shared" si="39"/>
        <v/>
      </c>
      <c r="H351" t="str">
        <f t="shared" si="40"/>
        <v/>
      </c>
      <c r="I351" t="str">
        <f t="shared" si="41"/>
        <v/>
      </c>
    </row>
    <row r="352" spans="1:9" x14ac:dyDescent="0.4">
      <c r="A352" t="str">
        <f t="shared" si="35"/>
        <v/>
      </c>
      <c r="B352" t="str">
        <f t="shared" si="36"/>
        <v/>
      </c>
      <c r="C352" t="str">
        <f t="shared" si="37"/>
        <v/>
      </c>
      <c r="D352" t="str">
        <f t="shared" si="38"/>
        <v/>
      </c>
      <c r="E352" t="str">
        <f>IF(F352="","",IF(COUNTIF($F$2:F352,F352)&gt;1,"",SUMIFS(tbl_input[필요수량],tbl_input[집계키_센터],F352)))</f>
        <v/>
      </c>
      <c r="F352" t="str">
        <f>IFERROR(INDEX(tbl_input[집계키_센터],ROW()-1),"")</f>
        <v/>
      </c>
      <c r="G352" t="str">
        <f t="shared" si="39"/>
        <v/>
      </c>
      <c r="H352" t="str">
        <f t="shared" si="40"/>
        <v/>
      </c>
      <c r="I352" t="str">
        <f t="shared" si="41"/>
        <v/>
      </c>
    </row>
    <row r="353" spans="1:9" x14ac:dyDescent="0.4">
      <c r="A353" t="str">
        <f t="shared" si="35"/>
        <v/>
      </c>
      <c r="B353" t="str">
        <f t="shared" si="36"/>
        <v/>
      </c>
      <c r="C353" t="str">
        <f t="shared" si="37"/>
        <v/>
      </c>
      <c r="D353" t="str">
        <f t="shared" si="38"/>
        <v/>
      </c>
      <c r="E353" t="str">
        <f>IF(F353="","",IF(COUNTIF($F$2:F353,F353)&gt;1,"",SUMIFS(tbl_input[필요수량],tbl_input[집계키_센터],F353)))</f>
        <v/>
      </c>
      <c r="F353" t="str">
        <f>IFERROR(INDEX(tbl_input[집계키_센터],ROW()-1),"")</f>
        <v/>
      </c>
      <c r="G353" t="str">
        <f t="shared" si="39"/>
        <v/>
      </c>
      <c r="H353" t="str">
        <f t="shared" si="40"/>
        <v/>
      </c>
      <c r="I353" t="str">
        <f t="shared" si="41"/>
        <v/>
      </c>
    </row>
    <row r="354" spans="1:9" x14ac:dyDescent="0.4">
      <c r="A354" t="str">
        <f t="shared" si="35"/>
        <v/>
      </c>
      <c r="B354" t="str">
        <f t="shared" si="36"/>
        <v/>
      </c>
      <c r="C354" t="str">
        <f t="shared" si="37"/>
        <v/>
      </c>
      <c r="D354" t="str">
        <f t="shared" si="38"/>
        <v/>
      </c>
      <c r="E354" t="str">
        <f>IF(F354="","",IF(COUNTIF($F$2:F354,F354)&gt;1,"",SUMIFS(tbl_input[필요수량],tbl_input[집계키_센터],F354)))</f>
        <v/>
      </c>
      <c r="F354" t="str">
        <f>IFERROR(INDEX(tbl_input[집계키_센터],ROW()-1),"")</f>
        <v/>
      </c>
      <c r="G354" t="str">
        <f t="shared" si="39"/>
        <v/>
      </c>
      <c r="H354" t="str">
        <f t="shared" si="40"/>
        <v/>
      </c>
      <c r="I354" t="str">
        <f t="shared" si="41"/>
        <v/>
      </c>
    </row>
    <row r="355" spans="1:9" x14ac:dyDescent="0.4">
      <c r="A355" t="str">
        <f t="shared" si="35"/>
        <v/>
      </c>
      <c r="B355" t="str">
        <f t="shared" si="36"/>
        <v/>
      </c>
      <c r="C355" t="str">
        <f t="shared" si="37"/>
        <v/>
      </c>
      <c r="D355" t="str">
        <f t="shared" si="38"/>
        <v/>
      </c>
      <c r="E355" t="str">
        <f>IF(F355="","",IF(COUNTIF($F$2:F355,F355)&gt;1,"",SUMIFS(tbl_input[필요수량],tbl_input[집계키_센터],F355)))</f>
        <v/>
      </c>
      <c r="F355" t="str">
        <f>IFERROR(INDEX(tbl_input[집계키_센터],ROW()-1),"")</f>
        <v/>
      </c>
      <c r="G355" t="str">
        <f t="shared" si="39"/>
        <v/>
      </c>
      <c r="H355" t="str">
        <f t="shared" si="40"/>
        <v/>
      </c>
      <c r="I355" t="str">
        <f t="shared" si="41"/>
        <v/>
      </c>
    </row>
    <row r="356" spans="1:9" x14ac:dyDescent="0.4">
      <c r="A356" t="str">
        <f t="shared" si="35"/>
        <v/>
      </c>
      <c r="B356" t="str">
        <f t="shared" si="36"/>
        <v/>
      </c>
      <c r="C356" t="str">
        <f t="shared" si="37"/>
        <v/>
      </c>
      <c r="D356" t="str">
        <f t="shared" si="38"/>
        <v/>
      </c>
      <c r="E356" t="str">
        <f>IF(F356="","",IF(COUNTIF($F$2:F356,F356)&gt;1,"",SUMIFS(tbl_input[필요수량],tbl_input[집계키_센터],F356)))</f>
        <v/>
      </c>
      <c r="F356" t="str">
        <f>IFERROR(INDEX(tbl_input[집계키_센터],ROW()-1),"")</f>
        <v/>
      </c>
      <c r="G356" t="str">
        <f t="shared" si="39"/>
        <v/>
      </c>
      <c r="H356" t="str">
        <f t="shared" si="40"/>
        <v/>
      </c>
      <c r="I356" t="str">
        <f t="shared" si="41"/>
        <v/>
      </c>
    </row>
    <row r="357" spans="1:9" x14ac:dyDescent="0.4">
      <c r="A357" t="str">
        <f t="shared" si="35"/>
        <v/>
      </c>
      <c r="B357" t="str">
        <f t="shared" si="36"/>
        <v/>
      </c>
      <c r="C357" t="str">
        <f t="shared" si="37"/>
        <v/>
      </c>
      <c r="D357" t="str">
        <f t="shared" si="38"/>
        <v/>
      </c>
      <c r="E357" t="str">
        <f>IF(F357="","",IF(COUNTIF($F$2:F357,F357)&gt;1,"",SUMIFS(tbl_input[필요수량],tbl_input[집계키_센터],F357)))</f>
        <v/>
      </c>
      <c r="F357" t="str">
        <f>IFERROR(INDEX(tbl_input[집계키_센터],ROW()-1),"")</f>
        <v/>
      </c>
      <c r="G357" t="str">
        <f t="shared" si="39"/>
        <v/>
      </c>
      <c r="H357" t="str">
        <f t="shared" si="40"/>
        <v/>
      </c>
      <c r="I357" t="str">
        <f t="shared" si="41"/>
        <v/>
      </c>
    </row>
    <row r="358" spans="1:9" x14ac:dyDescent="0.4">
      <c r="A358" t="str">
        <f t="shared" si="35"/>
        <v/>
      </c>
      <c r="B358" t="str">
        <f t="shared" si="36"/>
        <v/>
      </c>
      <c r="C358" t="str">
        <f t="shared" si="37"/>
        <v/>
      </c>
      <c r="D358" t="str">
        <f t="shared" si="38"/>
        <v/>
      </c>
      <c r="E358" t="str">
        <f>IF(F358="","",IF(COUNTIF($F$2:F358,F358)&gt;1,"",SUMIFS(tbl_input[필요수량],tbl_input[집계키_센터],F358)))</f>
        <v/>
      </c>
      <c r="F358" t="str">
        <f>IFERROR(INDEX(tbl_input[집계키_센터],ROW()-1),"")</f>
        <v/>
      </c>
      <c r="G358" t="str">
        <f t="shared" si="39"/>
        <v/>
      </c>
      <c r="H358" t="str">
        <f t="shared" si="40"/>
        <v/>
      </c>
      <c r="I358" t="str">
        <f t="shared" si="41"/>
        <v/>
      </c>
    </row>
    <row r="359" spans="1:9" x14ac:dyDescent="0.4">
      <c r="A359" t="str">
        <f t="shared" si="35"/>
        <v/>
      </c>
      <c r="B359" t="str">
        <f t="shared" si="36"/>
        <v/>
      </c>
      <c r="C359" t="str">
        <f t="shared" si="37"/>
        <v/>
      </c>
      <c r="D359" t="str">
        <f t="shared" si="38"/>
        <v/>
      </c>
      <c r="E359" t="str">
        <f>IF(F359="","",IF(COUNTIF($F$2:F359,F359)&gt;1,"",SUMIFS(tbl_input[필요수량],tbl_input[집계키_센터],F359)))</f>
        <v/>
      </c>
      <c r="F359" t="str">
        <f>IFERROR(INDEX(tbl_input[집계키_센터],ROW()-1),"")</f>
        <v/>
      </c>
      <c r="G359" t="str">
        <f t="shared" si="39"/>
        <v/>
      </c>
      <c r="H359" t="str">
        <f t="shared" si="40"/>
        <v/>
      </c>
      <c r="I359" t="str">
        <f t="shared" si="41"/>
        <v/>
      </c>
    </row>
    <row r="360" spans="1:9" x14ac:dyDescent="0.4">
      <c r="A360" t="str">
        <f t="shared" si="35"/>
        <v/>
      </c>
      <c r="B360" t="str">
        <f t="shared" si="36"/>
        <v/>
      </c>
      <c r="C360" t="str">
        <f t="shared" si="37"/>
        <v/>
      </c>
      <c r="D360" t="str">
        <f t="shared" si="38"/>
        <v/>
      </c>
      <c r="E360" t="str">
        <f>IF(F360="","",IF(COUNTIF($F$2:F360,F360)&gt;1,"",SUMIFS(tbl_input[필요수량],tbl_input[집계키_센터],F360)))</f>
        <v/>
      </c>
      <c r="F360" t="str">
        <f>IFERROR(INDEX(tbl_input[집계키_센터],ROW()-1),"")</f>
        <v/>
      </c>
      <c r="G360" t="str">
        <f t="shared" si="39"/>
        <v/>
      </c>
      <c r="H360" t="str">
        <f t="shared" si="40"/>
        <v/>
      </c>
      <c r="I360" t="str">
        <f t="shared" si="41"/>
        <v/>
      </c>
    </row>
    <row r="361" spans="1:9" x14ac:dyDescent="0.4">
      <c r="A361" t="str">
        <f t="shared" si="35"/>
        <v/>
      </c>
      <c r="B361" t="str">
        <f t="shared" si="36"/>
        <v/>
      </c>
      <c r="C361" t="str">
        <f t="shared" si="37"/>
        <v/>
      </c>
      <c r="D361" t="str">
        <f t="shared" si="38"/>
        <v/>
      </c>
      <c r="E361" t="str">
        <f>IF(F361="","",IF(COUNTIF($F$2:F361,F361)&gt;1,"",SUMIFS(tbl_input[필요수량],tbl_input[집계키_센터],F361)))</f>
        <v/>
      </c>
      <c r="F361" t="str">
        <f>IFERROR(INDEX(tbl_input[집계키_센터],ROW()-1),"")</f>
        <v/>
      </c>
      <c r="G361" t="str">
        <f t="shared" si="39"/>
        <v/>
      </c>
      <c r="H361" t="str">
        <f t="shared" si="40"/>
        <v/>
      </c>
      <c r="I361" t="str">
        <f t="shared" si="41"/>
        <v/>
      </c>
    </row>
    <row r="362" spans="1:9" x14ac:dyDescent="0.4">
      <c r="A362" t="str">
        <f t="shared" si="35"/>
        <v/>
      </c>
      <c r="B362" t="str">
        <f t="shared" si="36"/>
        <v/>
      </c>
      <c r="C362" t="str">
        <f t="shared" si="37"/>
        <v/>
      </c>
      <c r="D362" t="str">
        <f t="shared" si="38"/>
        <v/>
      </c>
      <c r="E362" t="str">
        <f>IF(F362="","",IF(COUNTIF($F$2:F362,F362)&gt;1,"",SUMIFS(tbl_input[필요수량],tbl_input[집계키_센터],F362)))</f>
        <v/>
      </c>
      <c r="F362" t="str">
        <f>IFERROR(INDEX(tbl_input[집계키_센터],ROW()-1),"")</f>
        <v/>
      </c>
      <c r="G362" t="str">
        <f t="shared" si="39"/>
        <v/>
      </c>
      <c r="H362" t="str">
        <f t="shared" si="40"/>
        <v/>
      </c>
      <c r="I362" t="str">
        <f t="shared" si="41"/>
        <v/>
      </c>
    </row>
    <row r="363" spans="1:9" x14ac:dyDescent="0.4">
      <c r="A363" t="str">
        <f t="shared" si="35"/>
        <v/>
      </c>
      <c r="B363" t="str">
        <f t="shared" si="36"/>
        <v/>
      </c>
      <c r="C363" t="str">
        <f t="shared" si="37"/>
        <v/>
      </c>
      <c r="D363" t="str">
        <f t="shared" si="38"/>
        <v/>
      </c>
      <c r="E363" t="str">
        <f>IF(F363="","",IF(COUNTIF($F$2:F363,F363)&gt;1,"",SUMIFS(tbl_input[필요수량],tbl_input[집계키_센터],F363)))</f>
        <v/>
      </c>
      <c r="F363" t="str">
        <f>IFERROR(INDEX(tbl_input[집계키_센터],ROW()-1),"")</f>
        <v/>
      </c>
      <c r="G363" t="str">
        <f t="shared" si="39"/>
        <v/>
      </c>
      <c r="H363" t="str">
        <f t="shared" si="40"/>
        <v/>
      </c>
      <c r="I363" t="str">
        <f t="shared" si="41"/>
        <v/>
      </c>
    </row>
    <row r="364" spans="1:9" x14ac:dyDescent="0.4">
      <c r="A364" t="str">
        <f t="shared" si="35"/>
        <v/>
      </c>
      <c r="B364" t="str">
        <f t="shared" si="36"/>
        <v/>
      </c>
      <c r="C364" t="str">
        <f t="shared" si="37"/>
        <v/>
      </c>
      <c r="D364" t="str">
        <f t="shared" si="38"/>
        <v/>
      </c>
      <c r="E364" t="str">
        <f>IF(F364="","",IF(COUNTIF($F$2:F364,F364)&gt;1,"",SUMIFS(tbl_input[필요수량],tbl_input[집계키_센터],F364)))</f>
        <v/>
      </c>
      <c r="F364" t="str">
        <f>IFERROR(INDEX(tbl_input[집계키_센터],ROW()-1),"")</f>
        <v/>
      </c>
      <c r="G364" t="str">
        <f t="shared" si="39"/>
        <v/>
      </c>
      <c r="H364" t="str">
        <f t="shared" si="40"/>
        <v/>
      </c>
      <c r="I364" t="str">
        <f t="shared" si="41"/>
        <v/>
      </c>
    </row>
    <row r="365" spans="1:9" x14ac:dyDescent="0.4">
      <c r="A365" t="str">
        <f t="shared" si="35"/>
        <v/>
      </c>
      <c r="B365" t="str">
        <f t="shared" si="36"/>
        <v/>
      </c>
      <c r="C365" t="str">
        <f t="shared" si="37"/>
        <v/>
      </c>
      <c r="D365" t="str">
        <f t="shared" si="38"/>
        <v/>
      </c>
      <c r="E365" t="str">
        <f>IF(F365="","",IF(COUNTIF($F$2:F365,F365)&gt;1,"",SUMIFS(tbl_input[필요수량],tbl_input[집계키_센터],F365)))</f>
        <v/>
      </c>
      <c r="F365" t="str">
        <f>IFERROR(INDEX(tbl_input[집계키_센터],ROW()-1),"")</f>
        <v/>
      </c>
      <c r="G365" t="str">
        <f t="shared" si="39"/>
        <v/>
      </c>
      <c r="H365" t="str">
        <f t="shared" si="40"/>
        <v/>
      </c>
      <c r="I365" t="str">
        <f t="shared" si="41"/>
        <v/>
      </c>
    </row>
    <row r="366" spans="1:9" x14ac:dyDescent="0.4">
      <c r="A366" t="str">
        <f t="shared" si="35"/>
        <v/>
      </c>
      <c r="B366" t="str">
        <f t="shared" si="36"/>
        <v/>
      </c>
      <c r="C366" t="str">
        <f t="shared" si="37"/>
        <v/>
      </c>
      <c r="D366" t="str">
        <f t="shared" si="38"/>
        <v/>
      </c>
      <c r="E366" t="str">
        <f>IF(F366="","",IF(COUNTIF($F$2:F366,F366)&gt;1,"",SUMIFS(tbl_input[필요수량],tbl_input[집계키_센터],F366)))</f>
        <v/>
      </c>
      <c r="F366" t="str">
        <f>IFERROR(INDEX(tbl_input[집계키_센터],ROW()-1),"")</f>
        <v/>
      </c>
      <c r="G366" t="str">
        <f t="shared" si="39"/>
        <v/>
      </c>
      <c r="H366" t="str">
        <f t="shared" si="40"/>
        <v/>
      </c>
      <c r="I366" t="str">
        <f t="shared" si="41"/>
        <v/>
      </c>
    </row>
    <row r="367" spans="1:9" x14ac:dyDescent="0.4">
      <c r="A367" t="str">
        <f t="shared" si="35"/>
        <v/>
      </c>
      <c r="B367" t="str">
        <f t="shared" si="36"/>
        <v/>
      </c>
      <c r="C367" t="str">
        <f t="shared" si="37"/>
        <v/>
      </c>
      <c r="D367" t="str">
        <f t="shared" si="38"/>
        <v/>
      </c>
      <c r="E367" t="str">
        <f>IF(F367="","",IF(COUNTIF($F$2:F367,F367)&gt;1,"",SUMIFS(tbl_input[필요수량],tbl_input[집계키_센터],F367)))</f>
        <v/>
      </c>
      <c r="F367" t="str">
        <f>IFERROR(INDEX(tbl_input[집계키_센터],ROW()-1),"")</f>
        <v/>
      </c>
      <c r="G367" t="str">
        <f t="shared" si="39"/>
        <v/>
      </c>
      <c r="H367" t="str">
        <f t="shared" si="40"/>
        <v/>
      </c>
      <c r="I367" t="str">
        <f t="shared" si="41"/>
        <v/>
      </c>
    </row>
    <row r="368" spans="1:9" x14ac:dyDescent="0.4">
      <c r="A368" t="str">
        <f t="shared" si="35"/>
        <v/>
      </c>
      <c r="B368" t="str">
        <f t="shared" si="36"/>
        <v/>
      </c>
      <c r="C368" t="str">
        <f t="shared" si="37"/>
        <v/>
      </c>
      <c r="D368" t="str">
        <f t="shared" si="38"/>
        <v/>
      </c>
      <c r="E368" t="str">
        <f>IF(F368="","",IF(COUNTIF($F$2:F368,F368)&gt;1,"",SUMIFS(tbl_input[필요수량],tbl_input[집계키_센터],F368)))</f>
        <v/>
      </c>
      <c r="F368" t="str">
        <f>IFERROR(INDEX(tbl_input[집계키_센터],ROW()-1),"")</f>
        <v/>
      </c>
      <c r="G368" t="str">
        <f t="shared" si="39"/>
        <v/>
      </c>
      <c r="H368" t="str">
        <f t="shared" si="40"/>
        <v/>
      </c>
      <c r="I368" t="str">
        <f t="shared" si="41"/>
        <v/>
      </c>
    </row>
    <row r="369" spans="1:9" x14ac:dyDescent="0.4">
      <c r="A369" t="str">
        <f t="shared" si="35"/>
        <v/>
      </c>
      <c r="B369" t="str">
        <f t="shared" si="36"/>
        <v/>
      </c>
      <c r="C369" t="str">
        <f t="shared" si="37"/>
        <v/>
      </c>
      <c r="D369" t="str">
        <f t="shared" si="38"/>
        <v/>
      </c>
      <c r="E369" t="str">
        <f>IF(F369="","",IF(COUNTIF($F$2:F369,F369)&gt;1,"",SUMIFS(tbl_input[필요수량],tbl_input[집계키_센터],F369)))</f>
        <v/>
      </c>
      <c r="F369" t="str">
        <f>IFERROR(INDEX(tbl_input[집계키_센터],ROW()-1),"")</f>
        <v/>
      </c>
      <c r="G369" t="str">
        <f t="shared" si="39"/>
        <v/>
      </c>
      <c r="H369" t="str">
        <f t="shared" si="40"/>
        <v/>
      </c>
      <c r="I369" t="str">
        <f t="shared" si="41"/>
        <v/>
      </c>
    </row>
    <row r="370" spans="1:9" x14ac:dyDescent="0.4">
      <c r="A370" t="str">
        <f t="shared" si="35"/>
        <v/>
      </c>
      <c r="B370" t="str">
        <f t="shared" si="36"/>
        <v/>
      </c>
      <c r="C370" t="str">
        <f t="shared" si="37"/>
        <v/>
      </c>
      <c r="D370" t="str">
        <f t="shared" si="38"/>
        <v/>
      </c>
      <c r="E370" t="str">
        <f>IF(F370="","",IF(COUNTIF($F$2:F370,F370)&gt;1,"",SUMIFS(tbl_input[필요수량],tbl_input[집계키_센터],F370)))</f>
        <v/>
      </c>
      <c r="F370" t="str">
        <f>IFERROR(INDEX(tbl_input[집계키_센터],ROW()-1),"")</f>
        <v/>
      </c>
      <c r="G370" t="str">
        <f t="shared" si="39"/>
        <v/>
      </c>
      <c r="H370" t="str">
        <f t="shared" si="40"/>
        <v/>
      </c>
      <c r="I370" t="str">
        <f t="shared" si="41"/>
        <v/>
      </c>
    </row>
    <row r="371" spans="1:9" x14ac:dyDescent="0.4">
      <c r="A371" t="str">
        <f t="shared" si="35"/>
        <v/>
      </c>
      <c r="B371" t="str">
        <f t="shared" si="36"/>
        <v/>
      </c>
      <c r="C371" t="str">
        <f t="shared" si="37"/>
        <v/>
      </c>
      <c r="D371" t="str">
        <f t="shared" si="38"/>
        <v/>
      </c>
      <c r="E371" t="str">
        <f>IF(F371="","",IF(COUNTIF($F$2:F371,F371)&gt;1,"",SUMIFS(tbl_input[필요수량],tbl_input[집계키_센터],F371)))</f>
        <v/>
      </c>
      <c r="F371" t="str">
        <f>IFERROR(INDEX(tbl_input[집계키_센터],ROW()-1),"")</f>
        <v/>
      </c>
      <c r="G371" t="str">
        <f t="shared" si="39"/>
        <v/>
      </c>
      <c r="H371" t="str">
        <f t="shared" si="40"/>
        <v/>
      </c>
      <c r="I371" t="str">
        <f t="shared" si="41"/>
        <v/>
      </c>
    </row>
    <row r="372" spans="1:9" x14ac:dyDescent="0.4">
      <c r="A372" t="str">
        <f t="shared" si="35"/>
        <v/>
      </c>
      <c r="B372" t="str">
        <f t="shared" si="36"/>
        <v/>
      </c>
      <c r="C372" t="str">
        <f t="shared" si="37"/>
        <v/>
      </c>
      <c r="D372" t="str">
        <f t="shared" si="38"/>
        <v/>
      </c>
      <c r="E372" t="str">
        <f>IF(F372="","",IF(COUNTIF($F$2:F372,F372)&gt;1,"",SUMIFS(tbl_input[필요수량],tbl_input[집계키_센터],F372)))</f>
        <v/>
      </c>
      <c r="F372" t="str">
        <f>IFERROR(INDEX(tbl_input[집계키_센터],ROW()-1),"")</f>
        <v/>
      </c>
      <c r="G372" t="str">
        <f t="shared" si="39"/>
        <v/>
      </c>
      <c r="H372" t="str">
        <f t="shared" si="40"/>
        <v/>
      </c>
      <c r="I372" t="str">
        <f t="shared" si="41"/>
        <v/>
      </c>
    </row>
    <row r="373" spans="1:9" x14ac:dyDescent="0.4">
      <c r="A373" t="str">
        <f t="shared" si="35"/>
        <v/>
      </c>
      <c r="B373" t="str">
        <f t="shared" si="36"/>
        <v/>
      </c>
      <c r="C373" t="str">
        <f t="shared" si="37"/>
        <v/>
      </c>
      <c r="D373" t="str">
        <f t="shared" si="38"/>
        <v/>
      </c>
      <c r="E373" t="str">
        <f>IF(F373="","",IF(COUNTIF($F$2:F373,F373)&gt;1,"",SUMIFS(tbl_input[필요수량],tbl_input[집계키_센터],F373)))</f>
        <v/>
      </c>
      <c r="F373" t="str">
        <f>IFERROR(INDEX(tbl_input[집계키_센터],ROW()-1),"")</f>
        <v/>
      </c>
      <c r="G373" t="str">
        <f t="shared" si="39"/>
        <v/>
      </c>
      <c r="H373" t="str">
        <f t="shared" si="40"/>
        <v/>
      </c>
      <c r="I373" t="str">
        <f t="shared" si="41"/>
        <v/>
      </c>
    </row>
    <row r="374" spans="1:9" x14ac:dyDescent="0.4">
      <c r="A374" t="str">
        <f t="shared" si="35"/>
        <v/>
      </c>
      <c r="B374" t="str">
        <f t="shared" si="36"/>
        <v/>
      </c>
      <c r="C374" t="str">
        <f t="shared" si="37"/>
        <v/>
      </c>
      <c r="D374" t="str">
        <f t="shared" si="38"/>
        <v/>
      </c>
      <c r="E374" t="str">
        <f>IF(F374="","",IF(COUNTIF($F$2:F374,F374)&gt;1,"",SUMIFS(tbl_input[필요수량],tbl_input[집계키_센터],F374)))</f>
        <v/>
      </c>
      <c r="F374" t="str">
        <f>IFERROR(INDEX(tbl_input[집계키_센터],ROW()-1),"")</f>
        <v/>
      </c>
      <c r="G374" t="str">
        <f t="shared" si="39"/>
        <v/>
      </c>
      <c r="H374" t="str">
        <f t="shared" si="40"/>
        <v/>
      </c>
      <c r="I374" t="str">
        <f t="shared" si="41"/>
        <v/>
      </c>
    </row>
    <row r="375" spans="1:9" x14ac:dyDescent="0.4">
      <c r="A375" t="str">
        <f t="shared" si="35"/>
        <v/>
      </c>
      <c r="B375" t="str">
        <f t="shared" si="36"/>
        <v/>
      </c>
      <c r="C375" t="str">
        <f t="shared" si="37"/>
        <v/>
      </c>
      <c r="D375" t="str">
        <f t="shared" si="38"/>
        <v/>
      </c>
      <c r="E375" t="str">
        <f>IF(F375="","",IF(COUNTIF($F$2:F375,F375)&gt;1,"",SUMIFS(tbl_input[필요수량],tbl_input[집계키_센터],F375)))</f>
        <v/>
      </c>
      <c r="F375" t="str">
        <f>IFERROR(INDEX(tbl_input[집계키_센터],ROW()-1),"")</f>
        <v/>
      </c>
      <c r="G375" t="str">
        <f t="shared" si="39"/>
        <v/>
      </c>
      <c r="H375" t="str">
        <f t="shared" si="40"/>
        <v/>
      </c>
      <c r="I375" t="str">
        <f t="shared" si="41"/>
        <v/>
      </c>
    </row>
    <row r="376" spans="1:9" x14ac:dyDescent="0.4">
      <c r="A376" t="str">
        <f t="shared" si="35"/>
        <v/>
      </c>
      <c r="B376" t="str">
        <f t="shared" si="36"/>
        <v/>
      </c>
      <c r="C376" t="str">
        <f t="shared" si="37"/>
        <v/>
      </c>
      <c r="D376" t="str">
        <f t="shared" si="38"/>
        <v/>
      </c>
      <c r="E376" t="str">
        <f>IF(F376="","",IF(COUNTIF($F$2:F376,F376)&gt;1,"",SUMIFS(tbl_input[필요수량],tbl_input[집계키_센터],F376)))</f>
        <v/>
      </c>
      <c r="F376" t="str">
        <f>IFERROR(INDEX(tbl_input[집계키_센터],ROW()-1),"")</f>
        <v/>
      </c>
      <c r="G376" t="str">
        <f t="shared" si="39"/>
        <v/>
      </c>
      <c r="H376" t="str">
        <f t="shared" si="40"/>
        <v/>
      </c>
      <c r="I376" t="str">
        <f t="shared" si="41"/>
        <v/>
      </c>
    </row>
    <row r="377" spans="1:9" x14ac:dyDescent="0.4">
      <c r="A377" t="str">
        <f t="shared" si="35"/>
        <v/>
      </c>
      <c r="B377" t="str">
        <f t="shared" si="36"/>
        <v/>
      </c>
      <c r="C377" t="str">
        <f t="shared" si="37"/>
        <v/>
      </c>
      <c r="D377" t="str">
        <f t="shared" si="38"/>
        <v/>
      </c>
      <c r="E377" t="str">
        <f>IF(F377="","",IF(COUNTIF($F$2:F377,F377)&gt;1,"",SUMIFS(tbl_input[필요수량],tbl_input[집계키_센터],F377)))</f>
        <v/>
      </c>
      <c r="F377" t="str">
        <f>IFERROR(INDEX(tbl_input[집계키_센터],ROW()-1),"")</f>
        <v/>
      </c>
      <c r="G377" t="str">
        <f t="shared" si="39"/>
        <v/>
      </c>
      <c r="H377" t="str">
        <f t="shared" si="40"/>
        <v/>
      </c>
      <c r="I377" t="str">
        <f t="shared" si="41"/>
        <v/>
      </c>
    </row>
    <row r="378" spans="1:9" x14ac:dyDescent="0.4">
      <c r="A378" t="str">
        <f t="shared" si="35"/>
        <v/>
      </c>
      <c r="B378" t="str">
        <f t="shared" si="36"/>
        <v/>
      </c>
      <c r="C378" t="str">
        <f t="shared" si="37"/>
        <v/>
      </c>
      <c r="D378" t="str">
        <f t="shared" si="38"/>
        <v/>
      </c>
      <c r="E378" t="str">
        <f>IF(F378="","",IF(COUNTIF($F$2:F378,F378)&gt;1,"",SUMIFS(tbl_input[필요수량],tbl_input[집계키_센터],F378)))</f>
        <v/>
      </c>
      <c r="F378" t="str">
        <f>IFERROR(INDEX(tbl_input[집계키_센터],ROW()-1),"")</f>
        <v/>
      </c>
      <c r="G378" t="str">
        <f t="shared" si="39"/>
        <v/>
      </c>
      <c r="H378" t="str">
        <f t="shared" si="40"/>
        <v/>
      </c>
      <c r="I378" t="str">
        <f t="shared" si="41"/>
        <v/>
      </c>
    </row>
    <row r="379" spans="1:9" x14ac:dyDescent="0.4">
      <c r="A379" t="str">
        <f t="shared" si="35"/>
        <v/>
      </c>
      <c r="B379" t="str">
        <f t="shared" si="36"/>
        <v/>
      </c>
      <c r="C379" t="str">
        <f t="shared" si="37"/>
        <v/>
      </c>
      <c r="D379" t="str">
        <f t="shared" si="38"/>
        <v/>
      </c>
      <c r="E379" t="str">
        <f>IF(F379="","",IF(COUNTIF($F$2:F379,F379)&gt;1,"",SUMIFS(tbl_input[필요수량],tbl_input[집계키_센터],F379)))</f>
        <v/>
      </c>
      <c r="F379" t="str">
        <f>IFERROR(INDEX(tbl_input[집계키_센터],ROW()-1),"")</f>
        <v/>
      </c>
      <c r="G379" t="str">
        <f t="shared" si="39"/>
        <v/>
      </c>
      <c r="H379" t="str">
        <f t="shared" si="40"/>
        <v/>
      </c>
      <c r="I379" t="str">
        <f t="shared" si="41"/>
        <v/>
      </c>
    </row>
    <row r="380" spans="1:9" x14ac:dyDescent="0.4">
      <c r="A380" t="str">
        <f t="shared" si="35"/>
        <v/>
      </c>
      <c r="B380" t="str">
        <f t="shared" si="36"/>
        <v/>
      </c>
      <c r="C380" t="str">
        <f t="shared" si="37"/>
        <v/>
      </c>
      <c r="D380" t="str">
        <f t="shared" si="38"/>
        <v/>
      </c>
      <c r="E380" t="str">
        <f>IF(F380="","",IF(COUNTIF($F$2:F380,F380)&gt;1,"",SUMIFS(tbl_input[필요수량],tbl_input[집계키_센터],F380)))</f>
        <v/>
      </c>
      <c r="F380" t="str">
        <f>IFERROR(INDEX(tbl_input[집계키_센터],ROW()-1),"")</f>
        <v/>
      </c>
      <c r="G380" t="str">
        <f t="shared" si="39"/>
        <v/>
      </c>
      <c r="H380" t="str">
        <f t="shared" si="40"/>
        <v/>
      </c>
      <c r="I380" t="str">
        <f t="shared" si="41"/>
        <v/>
      </c>
    </row>
    <row r="381" spans="1:9" x14ac:dyDescent="0.4">
      <c r="A381" t="str">
        <f t="shared" si="35"/>
        <v/>
      </c>
      <c r="B381" t="str">
        <f t="shared" si="36"/>
        <v/>
      </c>
      <c r="C381" t="str">
        <f t="shared" si="37"/>
        <v/>
      </c>
      <c r="D381" t="str">
        <f t="shared" si="38"/>
        <v/>
      </c>
      <c r="E381" t="str">
        <f>IF(F381="","",IF(COUNTIF($F$2:F381,F381)&gt;1,"",SUMIFS(tbl_input[필요수량],tbl_input[집계키_센터],F381)))</f>
        <v/>
      </c>
      <c r="F381" t="str">
        <f>IFERROR(INDEX(tbl_input[집계키_센터],ROW()-1),"")</f>
        <v/>
      </c>
      <c r="G381" t="str">
        <f t="shared" si="39"/>
        <v/>
      </c>
      <c r="H381" t="str">
        <f t="shared" si="40"/>
        <v/>
      </c>
      <c r="I381" t="str">
        <f t="shared" si="41"/>
        <v/>
      </c>
    </row>
    <row r="382" spans="1:9" x14ac:dyDescent="0.4">
      <c r="A382" t="str">
        <f t="shared" si="35"/>
        <v/>
      </c>
      <c r="B382" t="str">
        <f t="shared" si="36"/>
        <v/>
      </c>
      <c r="C382" t="str">
        <f t="shared" si="37"/>
        <v/>
      </c>
      <c r="D382" t="str">
        <f t="shared" si="38"/>
        <v/>
      </c>
      <c r="E382" t="str">
        <f>IF(F382="","",IF(COUNTIF($F$2:F382,F382)&gt;1,"",SUMIFS(tbl_input[필요수량],tbl_input[집계키_센터],F382)))</f>
        <v/>
      </c>
      <c r="F382" t="str">
        <f>IFERROR(INDEX(tbl_input[집계키_센터],ROW()-1),"")</f>
        <v/>
      </c>
      <c r="G382" t="str">
        <f t="shared" si="39"/>
        <v/>
      </c>
      <c r="H382" t="str">
        <f t="shared" si="40"/>
        <v/>
      </c>
      <c r="I382" t="str">
        <f t="shared" si="41"/>
        <v/>
      </c>
    </row>
    <row r="383" spans="1:9" x14ac:dyDescent="0.4">
      <c r="A383" t="str">
        <f t="shared" si="35"/>
        <v/>
      </c>
      <c r="B383" t="str">
        <f t="shared" si="36"/>
        <v/>
      </c>
      <c r="C383" t="str">
        <f t="shared" si="37"/>
        <v/>
      </c>
      <c r="D383" t="str">
        <f t="shared" si="38"/>
        <v/>
      </c>
      <c r="E383" t="str">
        <f>IF(F383="","",IF(COUNTIF($F$2:F383,F383)&gt;1,"",SUMIFS(tbl_input[필요수량],tbl_input[집계키_센터],F383)))</f>
        <v/>
      </c>
      <c r="F383" t="str">
        <f>IFERROR(INDEX(tbl_input[집계키_센터],ROW()-1),"")</f>
        <v/>
      </c>
      <c r="G383" t="str">
        <f t="shared" si="39"/>
        <v/>
      </c>
      <c r="H383" t="str">
        <f t="shared" si="40"/>
        <v/>
      </c>
      <c r="I383" t="str">
        <f t="shared" si="41"/>
        <v/>
      </c>
    </row>
    <row r="384" spans="1:9" x14ac:dyDescent="0.4">
      <c r="A384" t="str">
        <f t="shared" si="35"/>
        <v/>
      </c>
      <c r="B384" t="str">
        <f t="shared" si="36"/>
        <v/>
      </c>
      <c r="C384" t="str">
        <f t="shared" si="37"/>
        <v/>
      </c>
      <c r="D384" t="str">
        <f t="shared" si="38"/>
        <v/>
      </c>
      <c r="E384" t="str">
        <f>IF(F384="","",IF(COUNTIF($F$2:F384,F384)&gt;1,"",SUMIFS(tbl_input[필요수량],tbl_input[집계키_센터],F384)))</f>
        <v/>
      </c>
      <c r="F384" t="str">
        <f>IFERROR(INDEX(tbl_input[집계키_센터],ROW()-1),"")</f>
        <v/>
      </c>
      <c r="G384" t="str">
        <f t="shared" si="39"/>
        <v/>
      </c>
      <c r="H384" t="str">
        <f t="shared" si="40"/>
        <v/>
      </c>
      <c r="I384" t="str">
        <f t="shared" si="41"/>
        <v/>
      </c>
    </row>
    <row r="385" spans="1:9" x14ac:dyDescent="0.4">
      <c r="A385" t="str">
        <f t="shared" si="35"/>
        <v/>
      </c>
      <c r="B385" t="str">
        <f t="shared" si="36"/>
        <v/>
      </c>
      <c r="C385" t="str">
        <f t="shared" si="37"/>
        <v/>
      </c>
      <c r="D385" t="str">
        <f t="shared" si="38"/>
        <v/>
      </c>
      <c r="E385" t="str">
        <f>IF(F385="","",IF(COUNTIF($F$2:F385,F385)&gt;1,"",SUMIFS(tbl_input[필요수량],tbl_input[집계키_센터],F385)))</f>
        <v/>
      </c>
      <c r="F385" t="str">
        <f>IFERROR(INDEX(tbl_input[집계키_센터],ROW()-1),"")</f>
        <v/>
      </c>
      <c r="G385" t="str">
        <f t="shared" si="39"/>
        <v/>
      </c>
      <c r="H385" t="str">
        <f t="shared" si="40"/>
        <v/>
      </c>
      <c r="I385" t="str">
        <f t="shared" si="41"/>
        <v/>
      </c>
    </row>
    <row r="386" spans="1:9" x14ac:dyDescent="0.4">
      <c r="A386" t="str">
        <f t="shared" ref="A386:A449" si="42">IF(F386="","",LEFT(F386,G386-1))</f>
        <v/>
      </c>
      <c r="B386" t="str">
        <f t="shared" ref="B386:B449" si="43">IF(F386="","",MID(F386,G386+1,H386-G386-1))</f>
        <v/>
      </c>
      <c r="C386" t="str">
        <f t="shared" ref="C386:C449" si="44">IF(F386="","",MID(F386,H386+1,I386-H386-1))</f>
        <v/>
      </c>
      <c r="D386" t="str">
        <f t="shared" ref="D386:D449" si="45">IF(F386="","",MID(F386,I386+1,999))</f>
        <v/>
      </c>
      <c r="E386" t="str">
        <f>IF(F386="","",IF(COUNTIF($F$2:F386,F386)&gt;1,"",SUMIFS(tbl_input[필요수량],tbl_input[집계키_센터],F386)))</f>
        <v/>
      </c>
      <c r="F386" t="str">
        <f>IFERROR(INDEX(tbl_input[집계키_센터],ROW()-1),"")</f>
        <v/>
      </c>
      <c r="G386" t="str">
        <f t="shared" ref="G386:G449" si="46">IF(F386="","",FIND("♦",F386))</f>
        <v/>
      </c>
      <c r="H386" t="str">
        <f t="shared" ref="H386:H449" si="47">IF(F386="","",FIND("♦",F386,G386+1))</f>
        <v/>
      </c>
      <c r="I386" t="str">
        <f t="shared" ref="I386:I449" si="48">IF(F386="","",FIND("♦",F386,H386+1))</f>
        <v/>
      </c>
    </row>
    <row r="387" spans="1:9" x14ac:dyDescent="0.4">
      <c r="A387" t="str">
        <f t="shared" si="42"/>
        <v/>
      </c>
      <c r="B387" t="str">
        <f t="shared" si="43"/>
        <v/>
      </c>
      <c r="C387" t="str">
        <f t="shared" si="44"/>
        <v/>
      </c>
      <c r="D387" t="str">
        <f t="shared" si="45"/>
        <v/>
      </c>
      <c r="E387" t="str">
        <f>IF(F387="","",IF(COUNTIF($F$2:F387,F387)&gt;1,"",SUMIFS(tbl_input[필요수량],tbl_input[집계키_센터],F387)))</f>
        <v/>
      </c>
      <c r="F387" t="str">
        <f>IFERROR(INDEX(tbl_input[집계키_센터],ROW()-1),"")</f>
        <v/>
      </c>
      <c r="G387" t="str">
        <f t="shared" si="46"/>
        <v/>
      </c>
      <c r="H387" t="str">
        <f t="shared" si="47"/>
        <v/>
      </c>
      <c r="I387" t="str">
        <f t="shared" si="48"/>
        <v/>
      </c>
    </row>
    <row r="388" spans="1:9" x14ac:dyDescent="0.4">
      <c r="A388" t="str">
        <f t="shared" si="42"/>
        <v/>
      </c>
      <c r="B388" t="str">
        <f t="shared" si="43"/>
        <v/>
      </c>
      <c r="C388" t="str">
        <f t="shared" si="44"/>
        <v/>
      </c>
      <c r="D388" t="str">
        <f t="shared" si="45"/>
        <v/>
      </c>
      <c r="E388" t="str">
        <f>IF(F388="","",IF(COUNTIF($F$2:F388,F388)&gt;1,"",SUMIFS(tbl_input[필요수량],tbl_input[집계키_센터],F388)))</f>
        <v/>
      </c>
      <c r="F388" t="str">
        <f>IFERROR(INDEX(tbl_input[집계키_센터],ROW()-1),"")</f>
        <v/>
      </c>
      <c r="G388" t="str">
        <f t="shared" si="46"/>
        <v/>
      </c>
      <c r="H388" t="str">
        <f t="shared" si="47"/>
        <v/>
      </c>
      <c r="I388" t="str">
        <f t="shared" si="48"/>
        <v/>
      </c>
    </row>
    <row r="389" spans="1:9" x14ac:dyDescent="0.4">
      <c r="A389" t="str">
        <f t="shared" si="42"/>
        <v/>
      </c>
      <c r="B389" t="str">
        <f t="shared" si="43"/>
        <v/>
      </c>
      <c r="C389" t="str">
        <f t="shared" si="44"/>
        <v/>
      </c>
      <c r="D389" t="str">
        <f t="shared" si="45"/>
        <v/>
      </c>
      <c r="E389" t="str">
        <f>IF(F389="","",IF(COUNTIF($F$2:F389,F389)&gt;1,"",SUMIFS(tbl_input[필요수량],tbl_input[집계키_센터],F389)))</f>
        <v/>
      </c>
      <c r="F389" t="str">
        <f>IFERROR(INDEX(tbl_input[집계키_센터],ROW()-1),"")</f>
        <v/>
      </c>
      <c r="G389" t="str">
        <f t="shared" si="46"/>
        <v/>
      </c>
      <c r="H389" t="str">
        <f t="shared" si="47"/>
        <v/>
      </c>
      <c r="I389" t="str">
        <f t="shared" si="48"/>
        <v/>
      </c>
    </row>
    <row r="390" spans="1:9" x14ac:dyDescent="0.4">
      <c r="A390" t="str">
        <f t="shared" si="42"/>
        <v/>
      </c>
      <c r="B390" t="str">
        <f t="shared" si="43"/>
        <v/>
      </c>
      <c r="C390" t="str">
        <f t="shared" si="44"/>
        <v/>
      </c>
      <c r="D390" t="str">
        <f t="shared" si="45"/>
        <v/>
      </c>
      <c r="E390" t="str">
        <f>IF(F390="","",IF(COUNTIF($F$2:F390,F390)&gt;1,"",SUMIFS(tbl_input[필요수량],tbl_input[집계키_센터],F390)))</f>
        <v/>
      </c>
      <c r="F390" t="str">
        <f>IFERROR(INDEX(tbl_input[집계키_센터],ROW()-1),"")</f>
        <v/>
      </c>
      <c r="G390" t="str">
        <f t="shared" si="46"/>
        <v/>
      </c>
      <c r="H390" t="str">
        <f t="shared" si="47"/>
        <v/>
      </c>
      <c r="I390" t="str">
        <f t="shared" si="48"/>
        <v/>
      </c>
    </row>
    <row r="391" spans="1:9" x14ac:dyDescent="0.4">
      <c r="A391" t="str">
        <f t="shared" si="42"/>
        <v/>
      </c>
      <c r="B391" t="str">
        <f t="shared" si="43"/>
        <v/>
      </c>
      <c r="C391" t="str">
        <f t="shared" si="44"/>
        <v/>
      </c>
      <c r="D391" t="str">
        <f t="shared" si="45"/>
        <v/>
      </c>
      <c r="E391" t="str">
        <f>IF(F391="","",IF(COUNTIF($F$2:F391,F391)&gt;1,"",SUMIFS(tbl_input[필요수량],tbl_input[집계키_센터],F391)))</f>
        <v/>
      </c>
      <c r="F391" t="str">
        <f>IFERROR(INDEX(tbl_input[집계키_센터],ROW()-1),"")</f>
        <v/>
      </c>
      <c r="G391" t="str">
        <f t="shared" si="46"/>
        <v/>
      </c>
      <c r="H391" t="str">
        <f t="shared" si="47"/>
        <v/>
      </c>
      <c r="I391" t="str">
        <f t="shared" si="48"/>
        <v/>
      </c>
    </row>
    <row r="392" spans="1:9" x14ac:dyDescent="0.4">
      <c r="A392" t="str">
        <f t="shared" si="42"/>
        <v/>
      </c>
      <c r="B392" t="str">
        <f t="shared" si="43"/>
        <v/>
      </c>
      <c r="C392" t="str">
        <f t="shared" si="44"/>
        <v/>
      </c>
      <c r="D392" t="str">
        <f t="shared" si="45"/>
        <v/>
      </c>
      <c r="E392" t="str">
        <f>IF(F392="","",IF(COUNTIF($F$2:F392,F392)&gt;1,"",SUMIFS(tbl_input[필요수량],tbl_input[집계키_센터],F392)))</f>
        <v/>
      </c>
      <c r="F392" t="str">
        <f>IFERROR(INDEX(tbl_input[집계키_센터],ROW()-1),"")</f>
        <v/>
      </c>
      <c r="G392" t="str">
        <f t="shared" si="46"/>
        <v/>
      </c>
      <c r="H392" t="str">
        <f t="shared" si="47"/>
        <v/>
      </c>
      <c r="I392" t="str">
        <f t="shared" si="48"/>
        <v/>
      </c>
    </row>
    <row r="393" spans="1:9" x14ac:dyDescent="0.4">
      <c r="A393" t="str">
        <f t="shared" si="42"/>
        <v/>
      </c>
      <c r="B393" t="str">
        <f t="shared" si="43"/>
        <v/>
      </c>
      <c r="C393" t="str">
        <f t="shared" si="44"/>
        <v/>
      </c>
      <c r="D393" t="str">
        <f t="shared" si="45"/>
        <v/>
      </c>
      <c r="E393" t="str">
        <f>IF(F393="","",IF(COUNTIF($F$2:F393,F393)&gt;1,"",SUMIFS(tbl_input[필요수량],tbl_input[집계키_센터],F393)))</f>
        <v/>
      </c>
      <c r="F393" t="str">
        <f>IFERROR(INDEX(tbl_input[집계키_센터],ROW()-1),"")</f>
        <v/>
      </c>
      <c r="G393" t="str">
        <f t="shared" si="46"/>
        <v/>
      </c>
      <c r="H393" t="str">
        <f t="shared" si="47"/>
        <v/>
      </c>
      <c r="I393" t="str">
        <f t="shared" si="48"/>
        <v/>
      </c>
    </row>
    <row r="394" spans="1:9" x14ac:dyDescent="0.4">
      <c r="A394" t="str">
        <f t="shared" si="42"/>
        <v/>
      </c>
      <c r="B394" t="str">
        <f t="shared" si="43"/>
        <v/>
      </c>
      <c r="C394" t="str">
        <f t="shared" si="44"/>
        <v/>
      </c>
      <c r="D394" t="str">
        <f t="shared" si="45"/>
        <v/>
      </c>
      <c r="E394" t="str">
        <f>IF(F394="","",IF(COUNTIF($F$2:F394,F394)&gt;1,"",SUMIFS(tbl_input[필요수량],tbl_input[집계키_센터],F394)))</f>
        <v/>
      </c>
      <c r="F394" t="str">
        <f>IFERROR(INDEX(tbl_input[집계키_센터],ROW()-1),"")</f>
        <v/>
      </c>
      <c r="G394" t="str">
        <f t="shared" si="46"/>
        <v/>
      </c>
      <c r="H394" t="str">
        <f t="shared" si="47"/>
        <v/>
      </c>
      <c r="I394" t="str">
        <f t="shared" si="48"/>
        <v/>
      </c>
    </row>
    <row r="395" spans="1:9" x14ac:dyDescent="0.4">
      <c r="A395" t="str">
        <f t="shared" si="42"/>
        <v/>
      </c>
      <c r="B395" t="str">
        <f t="shared" si="43"/>
        <v/>
      </c>
      <c r="C395" t="str">
        <f t="shared" si="44"/>
        <v/>
      </c>
      <c r="D395" t="str">
        <f t="shared" si="45"/>
        <v/>
      </c>
      <c r="E395" t="str">
        <f>IF(F395="","",IF(COUNTIF($F$2:F395,F395)&gt;1,"",SUMIFS(tbl_input[필요수량],tbl_input[집계키_센터],F395)))</f>
        <v/>
      </c>
      <c r="F395" t="str">
        <f>IFERROR(INDEX(tbl_input[집계키_센터],ROW()-1),"")</f>
        <v/>
      </c>
      <c r="G395" t="str">
        <f t="shared" si="46"/>
        <v/>
      </c>
      <c r="H395" t="str">
        <f t="shared" si="47"/>
        <v/>
      </c>
      <c r="I395" t="str">
        <f t="shared" si="48"/>
        <v/>
      </c>
    </row>
    <row r="396" spans="1:9" x14ac:dyDescent="0.4">
      <c r="A396" t="str">
        <f t="shared" si="42"/>
        <v/>
      </c>
      <c r="B396" t="str">
        <f t="shared" si="43"/>
        <v/>
      </c>
      <c r="C396" t="str">
        <f t="shared" si="44"/>
        <v/>
      </c>
      <c r="D396" t="str">
        <f t="shared" si="45"/>
        <v/>
      </c>
      <c r="E396" t="str">
        <f>IF(F396="","",IF(COUNTIF($F$2:F396,F396)&gt;1,"",SUMIFS(tbl_input[필요수량],tbl_input[집계키_센터],F396)))</f>
        <v/>
      </c>
      <c r="F396" t="str">
        <f>IFERROR(INDEX(tbl_input[집계키_센터],ROW()-1),"")</f>
        <v/>
      </c>
      <c r="G396" t="str">
        <f t="shared" si="46"/>
        <v/>
      </c>
      <c r="H396" t="str">
        <f t="shared" si="47"/>
        <v/>
      </c>
      <c r="I396" t="str">
        <f t="shared" si="48"/>
        <v/>
      </c>
    </row>
    <row r="397" spans="1:9" x14ac:dyDescent="0.4">
      <c r="A397" t="str">
        <f t="shared" si="42"/>
        <v/>
      </c>
      <c r="B397" t="str">
        <f t="shared" si="43"/>
        <v/>
      </c>
      <c r="C397" t="str">
        <f t="shared" si="44"/>
        <v/>
      </c>
      <c r="D397" t="str">
        <f t="shared" si="45"/>
        <v/>
      </c>
      <c r="E397" t="str">
        <f>IF(F397="","",IF(COUNTIF($F$2:F397,F397)&gt;1,"",SUMIFS(tbl_input[필요수량],tbl_input[집계키_센터],F397)))</f>
        <v/>
      </c>
      <c r="F397" t="str">
        <f>IFERROR(INDEX(tbl_input[집계키_센터],ROW()-1),"")</f>
        <v/>
      </c>
      <c r="G397" t="str">
        <f t="shared" si="46"/>
        <v/>
      </c>
      <c r="H397" t="str">
        <f t="shared" si="47"/>
        <v/>
      </c>
      <c r="I397" t="str">
        <f t="shared" si="48"/>
        <v/>
      </c>
    </row>
    <row r="398" spans="1:9" x14ac:dyDescent="0.4">
      <c r="A398" t="str">
        <f t="shared" si="42"/>
        <v/>
      </c>
      <c r="B398" t="str">
        <f t="shared" si="43"/>
        <v/>
      </c>
      <c r="C398" t="str">
        <f t="shared" si="44"/>
        <v/>
      </c>
      <c r="D398" t="str">
        <f t="shared" si="45"/>
        <v/>
      </c>
      <c r="E398" t="str">
        <f>IF(F398="","",IF(COUNTIF($F$2:F398,F398)&gt;1,"",SUMIFS(tbl_input[필요수량],tbl_input[집계키_센터],F398)))</f>
        <v/>
      </c>
      <c r="F398" t="str">
        <f>IFERROR(INDEX(tbl_input[집계키_센터],ROW()-1),"")</f>
        <v/>
      </c>
      <c r="G398" t="str">
        <f t="shared" si="46"/>
        <v/>
      </c>
      <c r="H398" t="str">
        <f t="shared" si="47"/>
        <v/>
      </c>
      <c r="I398" t="str">
        <f t="shared" si="48"/>
        <v/>
      </c>
    </row>
    <row r="399" spans="1:9" x14ac:dyDescent="0.4">
      <c r="A399" t="str">
        <f t="shared" si="42"/>
        <v/>
      </c>
      <c r="B399" t="str">
        <f t="shared" si="43"/>
        <v/>
      </c>
      <c r="C399" t="str">
        <f t="shared" si="44"/>
        <v/>
      </c>
      <c r="D399" t="str">
        <f t="shared" si="45"/>
        <v/>
      </c>
      <c r="E399" t="str">
        <f>IF(F399="","",IF(COUNTIF($F$2:F399,F399)&gt;1,"",SUMIFS(tbl_input[필요수량],tbl_input[집계키_센터],F399)))</f>
        <v/>
      </c>
      <c r="F399" t="str">
        <f>IFERROR(INDEX(tbl_input[집계키_센터],ROW()-1),"")</f>
        <v/>
      </c>
      <c r="G399" t="str">
        <f t="shared" si="46"/>
        <v/>
      </c>
      <c r="H399" t="str">
        <f t="shared" si="47"/>
        <v/>
      </c>
      <c r="I399" t="str">
        <f t="shared" si="48"/>
        <v/>
      </c>
    </row>
    <row r="400" spans="1:9" x14ac:dyDescent="0.4">
      <c r="A400" t="str">
        <f t="shared" si="42"/>
        <v/>
      </c>
      <c r="B400" t="str">
        <f t="shared" si="43"/>
        <v/>
      </c>
      <c r="C400" t="str">
        <f t="shared" si="44"/>
        <v/>
      </c>
      <c r="D400" t="str">
        <f t="shared" si="45"/>
        <v/>
      </c>
      <c r="E400" t="str">
        <f>IF(F400="","",IF(COUNTIF($F$2:F400,F400)&gt;1,"",SUMIFS(tbl_input[필요수량],tbl_input[집계키_센터],F400)))</f>
        <v/>
      </c>
      <c r="F400" t="str">
        <f>IFERROR(INDEX(tbl_input[집계키_센터],ROW()-1),"")</f>
        <v/>
      </c>
      <c r="G400" t="str">
        <f t="shared" si="46"/>
        <v/>
      </c>
      <c r="H400" t="str">
        <f t="shared" si="47"/>
        <v/>
      </c>
      <c r="I400" t="str">
        <f t="shared" si="48"/>
        <v/>
      </c>
    </row>
    <row r="401" spans="1:9" x14ac:dyDescent="0.4">
      <c r="A401" t="str">
        <f t="shared" si="42"/>
        <v/>
      </c>
      <c r="B401" t="str">
        <f t="shared" si="43"/>
        <v/>
      </c>
      <c r="C401" t="str">
        <f t="shared" si="44"/>
        <v/>
      </c>
      <c r="D401" t="str">
        <f t="shared" si="45"/>
        <v/>
      </c>
      <c r="E401" t="str">
        <f>IF(F401="","",IF(COUNTIF($F$2:F401,F401)&gt;1,"",SUMIFS(tbl_input[필요수량],tbl_input[집계키_센터],F401)))</f>
        <v/>
      </c>
      <c r="F401" t="str">
        <f>IFERROR(INDEX(tbl_input[집계키_센터],ROW()-1),"")</f>
        <v/>
      </c>
      <c r="G401" t="str">
        <f t="shared" si="46"/>
        <v/>
      </c>
      <c r="H401" t="str">
        <f t="shared" si="47"/>
        <v/>
      </c>
      <c r="I401" t="str">
        <f t="shared" si="48"/>
        <v/>
      </c>
    </row>
    <row r="402" spans="1:9" x14ac:dyDescent="0.4">
      <c r="A402" t="str">
        <f t="shared" si="42"/>
        <v/>
      </c>
      <c r="B402" t="str">
        <f t="shared" si="43"/>
        <v/>
      </c>
      <c r="C402" t="str">
        <f t="shared" si="44"/>
        <v/>
      </c>
      <c r="D402" t="str">
        <f t="shared" si="45"/>
        <v/>
      </c>
      <c r="E402" t="str">
        <f>IF(F402="","",IF(COUNTIF($F$2:F402,F402)&gt;1,"",SUMIFS(tbl_input[필요수량],tbl_input[집계키_센터],F402)))</f>
        <v/>
      </c>
      <c r="F402" t="str">
        <f>IFERROR(INDEX(tbl_input[집계키_센터],ROW()-1),"")</f>
        <v/>
      </c>
      <c r="G402" t="str">
        <f t="shared" si="46"/>
        <v/>
      </c>
      <c r="H402" t="str">
        <f t="shared" si="47"/>
        <v/>
      </c>
      <c r="I402" t="str">
        <f t="shared" si="48"/>
        <v/>
      </c>
    </row>
    <row r="403" spans="1:9" x14ac:dyDescent="0.4">
      <c r="A403" t="str">
        <f t="shared" si="42"/>
        <v/>
      </c>
      <c r="B403" t="str">
        <f t="shared" si="43"/>
        <v/>
      </c>
      <c r="C403" t="str">
        <f t="shared" si="44"/>
        <v/>
      </c>
      <c r="D403" t="str">
        <f t="shared" si="45"/>
        <v/>
      </c>
      <c r="E403" t="str">
        <f>IF(F403="","",IF(COUNTIF($F$2:F403,F403)&gt;1,"",SUMIFS(tbl_input[필요수량],tbl_input[집계키_센터],F403)))</f>
        <v/>
      </c>
      <c r="F403" t="str">
        <f>IFERROR(INDEX(tbl_input[집계키_센터],ROW()-1),"")</f>
        <v/>
      </c>
      <c r="G403" t="str">
        <f t="shared" si="46"/>
        <v/>
      </c>
      <c r="H403" t="str">
        <f t="shared" si="47"/>
        <v/>
      </c>
      <c r="I403" t="str">
        <f t="shared" si="48"/>
        <v/>
      </c>
    </row>
    <row r="404" spans="1:9" x14ac:dyDescent="0.4">
      <c r="A404" t="str">
        <f t="shared" si="42"/>
        <v/>
      </c>
      <c r="B404" t="str">
        <f t="shared" si="43"/>
        <v/>
      </c>
      <c r="C404" t="str">
        <f t="shared" si="44"/>
        <v/>
      </c>
      <c r="D404" t="str">
        <f t="shared" si="45"/>
        <v/>
      </c>
      <c r="E404" t="str">
        <f>IF(F404="","",IF(COUNTIF($F$2:F404,F404)&gt;1,"",SUMIFS(tbl_input[필요수량],tbl_input[집계키_센터],F404)))</f>
        <v/>
      </c>
      <c r="F404" t="str">
        <f>IFERROR(INDEX(tbl_input[집계키_센터],ROW()-1),"")</f>
        <v/>
      </c>
      <c r="G404" t="str">
        <f t="shared" si="46"/>
        <v/>
      </c>
      <c r="H404" t="str">
        <f t="shared" si="47"/>
        <v/>
      </c>
      <c r="I404" t="str">
        <f t="shared" si="48"/>
        <v/>
      </c>
    </row>
    <row r="405" spans="1:9" x14ac:dyDescent="0.4">
      <c r="A405" t="str">
        <f t="shared" si="42"/>
        <v/>
      </c>
      <c r="B405" t="str">
        <f t="shared" si="43"/>
        <v/>
      </c>
      <c r="C405" t="str">
        <f t="shared" si="44"/>
        <v/>
      </c>
      <c r="D405" t="str">
        <f t="shared" si="45"/>
        <v/>
      </c>
      <c r="E405" t="str">
        <f>IF(F405="","",IF(COUNTIF($F$2:F405,F405)&gt;1,"",SUMIFS(tbl_input[필요수량],tbl_input[집계키_센터],F405)))</f>
        <v/>
      </c>
      <c r="F405" t="str">
        <f>IFERROR(INDEX(tbl_input[집계키_센터],ROW()-1),"")</f>
        <v/>
      </c>
      <c r="G405" t="str">
        <f t="shared" si="46"/>
        <v/>
      </c>
      <c r="H405" t="str">
        <f t="shared" si="47"/>
        <v/>
      </c>
      <c r="I405" t="str">
        <f t="shared" si="48"/>
        <v/>
      </c>
    </row>
    <row r="406" spans="1:9" x14ac:dyDescent="0.4">
      <c r="A406" t="str">
        <f t="shared" si="42"/>
        <v/>
      </c>
      <c r="B406" t="str">
        <f t="shared" si="43"/>
        <v/>
      </c>
      <c r="C406" t="str">
        <f t="shared" si="44"/>
        <v/>
      </c>
      <c r="D406" t="str">
        <f t="shared" si="45"/>
        <v/>
      </c>
      <c r="E406" t="str">
        <f>IF(F406="","",IF(COUNTIF($F$2:F406,F406)&gt;1,"",SUMIFS(tbl_input[필요수량],tbl_input[집계키_센터],F406)))</f>
        <v/>
      </c>
      <c r="F406" t="str">
        <f>IFERROR(INDEX(tbl_input[집계키_센터],ROW()-1),"")</f>
        <v/>
      </c>
      <c r="G406" t="str">
        <f t="shared" si="46"/>
        <v/>
      </c>
      <c r="H406" t="str">
        <f t="shared" si="47"/>
        <v/>
      </c>
      <c r="I406" t="str">
        <f t="shared" si="48"/>
        <v/>
      </c>
    </row>
    <row r="407" spans="1:9" x14ac:dyDescent="0.4">
      <c r="A407" t="str">
        <f t="shared" si="42"/>
        <v/>
      </c>
      <c r="B407" t="str">
        <f t="shared" si="43"/>
        <v/>
      </c>
      <c r="C407" t="str">
        <f t="shared" si="44"/>
        <v/>
      </c>
      <c r="D407" t="str">
        <f t="shared" si="45"/>
        <v/>
      </c>
      <c r="E407" t="str">
        <f>IF(F407="","",IF(COUNTIF($F$2:F407,F407)&gt;1,"",SUMIFS(tbl_input[필요수량],tbl_input[집계키_센터],F407)))</f>
        <v/>
      </c>
      <c r="F407" t="str">
        <f>IFERROR(INDEX(tbl_input[집계키_센터],ROW()-1),"")</f>
        <v/>
      </c>
      <c r="G407" t="str">
        <f t="shared" si="46"/>
        <v/>
      </c>
      <c r="H407" t="str">
        <f t="shared" si="47"/>
        <v/>
      </c>
      <c r="I407" t="str">
        <f t="shared" si="48"/>
        <v/>
      </c>
    </row>
    <row r="408" spans="1:9" x14ac:dyDescent="0.4">
      <c r="A408" t="str">
        <f t="shared" si="42"/>
        <v/>
      </c>
      <c r="B408" t="str">
        <f t="shared" si="43"/>
        <v/>
      </c>
      <c r="C408" t="str">
        <f t="shared" si="44"/>
        <v/>
      </c>
      <c r="D408" t="str">
        <f t="shared" si="45"/>
        <v/>
      </c>
      <c r="E408" t="str">
        <f>IF(F408="","",IF(COUNTIF($F$2:F408,F408)&gt;1,"",SUMIFS(tbl_input[필요수량],tbl_input[집계키_센터],F408)))</f>
        <v/>
      </c>
      <c r="F408" t="str">
        <f>IFERROR(INDEX(tbl_input[집계키_센터],ROW()-1),"")</f>
        <v/>
      </c>
      <c r="G408" t="str">
        <f t="shared" si="46"/>
        <v/>
      </c>
      <c r="H408" t="str">
        <f t="shared" si="47"/>
        <v/>
      </c>
      <c r="I408" t="str">
        <f t="shared" si="48"/>
        <v/>
      </c>
    </row>
    <row r="409" spans="1:9" x14ac:dyDescent="0.4">
      <c r="A409" t="str">
        <f t="shared" si="42"/>
        <v/>
      </c>
      <c r="B409" t="str">
        <f t="shared" si="43"/>
        <v/>
      </c>
      <c r="C409" t="str">
        <f t="shared" si="44"/>
        <v/>
      </c>
      <c r="D409" t="str">
        <f t="shared" si="45"/>
        <v/>
      </c>
      <c r="E409" t="str">
        <f>IF(F409="","",IF(COUNTIF($F$2:F409,F409)&gt;1,"",SUMIFS(tbl_input[필요수량],tbl_input[집계키_센터],F409)))</f>
        <v/>
      </c>
      <c r="F409" t="str">
        <f>IFERROR(INDEX(tbl_input[집계키_센터],ROW()-1),"")</f>
        <v/>
      </c>
      <c r="G409" t="str">
        <f t="shared" si="46"/>
        <v/>
      </c>
      <c r="H409" t="str">
        <f t="shared" si="47"/>
        <v/>
      </c>
      <c r="I409" t="str">
        <f t="shared" si="48"/>
        <v/>
      </c>
    </row>
    <row r="410" spans="1:9" x14ac:dyDescent="0.4">
      <c r="A410" t="str">
        <f t="shared" si="42"/>
        <v/>
      </c>
      <c r="B410" t="str">
        <f t="shared" si="43"/>
        <v/>
      </c>
      <c r="C410" t="str">
        <f t="shared" si="44"/>
        <v/>
      </c>
      <c r="D410" t="str">
        <f t="shared" si="45"/>
        <v/>
      </c>
      <c r="E410" t="str">
        <f>IF(F410="","",IF(COUNTIF($F$2:F410,F410)&gt;1,"",SUMIFS(tbl_input[필요수량],tbl_input[집계키_센터],F410)))</f>
        <v/>
      </c>
      <c r="F410" t="str">
        <f>IFERROR(INDEX(tbl_input[집계키_센터],ROW()-1),"")</f>
        <v/>
      </c>
      <c r="G410" t="str">
        <f t="shared" si="46"/>
        <v/>
      </c>
      <c r="H410" t="str">
        <f t="shared" si="47"/>
        <v/>
      </c>
      <c r="I410" t="str">
        <f t="shared" si="48"/>
        <v/>
      </c>
    </row>
    <row r="411" spans="1:9" x14ac:dyDescent="0.4">
      <c r="A411" t="str">
        <f t="shared" si="42"/>
        <v/>
      </c>
      <c r="B411" t="str">
        <f t="shared" si="43"/>
        <v/>
      </c>
      <c r="C411" t="str">
        <f t="shared" si="44"/>
        <v/>
      </c>
      <c r="D411" t="str">
        <f t="shared" si="45"/>
        <v/>
      </c>
      <c r="E411" t="str">
        <f>IF(F411="","",IF(COUNTIF($F$2:F411,F411)&gt;1,"",SUMIFS(tbl_input[필요수량],tbl_input[집계키_센터],F411)))</f>
        <v/>
      </c>
      <c r="F411" t="str">
        <f>IFERROR(INDEX(tbl_input[집계키_센터],ROW()-1),"")</f>
        <v/>
      </c>
      <c r="G411" t="str">
        <f t="shared" si="46"/>
        <v/>
      </c>
      <c r="H411" t="str">
        <f t="shared" si="47"/>
        <v/>
      </c>
      <c r="I411" t="str">
        <f t="shared" si="48"/>
        <v/>
      </c>
    </row>
    <row r="412" spans="1:9" x14ac:dyDescent="0.4">
      <c r="A412" t="str">
        <f t="shared" si="42"/>
        <v/>
      </c>
      <c r="B412" t="str">
        <f t="shared" si="43"/>
        <v/>
      </c>
      <c r="C412" t="str">
        <f t="shared" si="44"/>
        <v/>
      </c>
      <c r="D412" t="str">
        <f t="shared" si="45"/>
        <v/>
      </c>
      <c r="E412" t="str">
        <f>IF(F412="","",IF(COUNTIF($F$2:F412,F412)&gt;1,"",SUMIFS(tbl_input[필요수량],tbl_input[집계키_센터],F412)))</f>
        <v/>
      </c>
      <c r="F412" t="str">
        <f>IFERROR(INDEX(tbl_input[집계키_센터],ROW()-1),"")</f>
        <v/>
      </c>
      <c r="G412" t="str">
        <f t="shared" si="46"/>
        <v/>
      </c>
      <c r="H412" t="str">
        <f t="shared" si="47"/>
        <v/>
      </c>
      <c r="I412" t="str">
        <f t="shared" si="48"/>
        <v/>
      </c>
    </row>
    <row r="413" spans="1:9" x14ac:dyDescent="0.4">
      <c r="A413" t="str">
        <f t="shared" si="42"/>
        <v/>
      </c>
      <c r="B413" t="str">
        <f t="shared" si="43"/>
        <v/>
      </c>
      <c r="C413" t="str">
        <f t="shared" si="44"/>
        <v/>
      </c>
      <c r="D413" t="str">
        <f t="shared" si="45"/>
        <v/>
      </c>
      <c r="E413" t="str">
        <f>IF(F413="","",IF(COUNTIF($F$2:F413,F413)&gt;1,"",SUMIFS(tbl_input[필요수량],tbl_input[집계키_센터],F413)))</f>
        <v/>
      </c>
      <c r="F413" t="str">
        <f>IFERROR(INDEX(tbl_input[집계키_센터],ROW()-1),"")</f>
        <v/>
      </c>
      <c r="G413" t="str">
        <f t="shared" si="46"/>
        <v/>
      </c>
      <c r="H413" t="str">
        <f t="shared" si="47"/>
        <v/>
      </c>
      <c r="I413" t="str">
        <f t="shared" si="48"/>
        <v/>
      </c>
    </row>
    <row r="414" spans="1:9" x14ac:dyDescent="0.4">
      <c r="A414" t="str">
        <f t="shared" si="42"/>
        <v/>
      </c>
      <c r="B414" t="str">
        <f t="shared" si="43"/>
        <v/>
      </c>
      <c r="C414" t="str">
        <f t="shared" si="44"/>
        <v/>
      </c>
      <c r="D414" t="str">
        <f t="shared" si="45"/>
        <v/>
      </c>
      <c r="E414" t="str">
        <f>IF(F414="","",IF(COUNTIF($F$2:F414,F414)&gt;1,"",SUMIFS(tbl_input[필요수량],tbl_input[집계키_센터],F414)))</f>
        <v/>
      </c>
      <c r="F414" t="str">
        <f>IFERROR(INDEX(tbl_input[집계키_센터],ROW()-1),"")</f>
        <v/>
      </c>
      <c r="G414" t="str">
        <f t="shared" si="46"/>
        <v/>
      </c>
      <c r="H414" t="str">
        <f t="shared" si="47"/>
        <v/>
      </c>
      <c r="I414" t="str">
        <f t="shared" si="48"/>
        <v/>
      </c>
    </row>
    <row r="415" spans="1:9" x14ac:dyDescent="0.4">
      <c r="A415" t="str">
        <f t="shared" si="42"/>
        <v/>
      </c>
      <c r="B415" t="str">
        <f t="shared" si="43"/>
        <v/>
      </c>
      <c r="C415" t="str">
        <f t="shared" si="44"/>
        <v/>
      </c>
      <c r="D415" t="str">
        <f t="shared" si="45"/>
        <v/>
      </c>
      <c r="E415" t="str">
        <f>IF(F415="","",IF(COUNTIF($F$2:F415,F415)&gt;1,"",SUMIFS(tbl_input[필요수량],tbl_input[집계키_센터],F415)))</f>
        <v/>
      </c>
      <c r="F415" t="str">
        <f>IFERROR(INDEX(tbl_input[집계키_센터],ROW()-1),"")</f>
        <v/>
      </c>
      <c r="G415" t="str">
        <f t="shared" si="46"/>
        <v/>
      </c>
      <c r="H415" t="str">
        <f t="shared" si="47"/>
        <v/>
      </c>
      <c r="I415" t="str">
        <f t="shared" si="48"/>
        <v/>
      </c>
    </row>
    <row r="416" spans="1:9" x14ac:dyDescent="0.4">
      <c r="A416" t="str">
        <f t="shared" si="42"/>
        <v/>
      </c>
      <c r="B416" t="str">
        <f t="shared" si="43"/>
        <v/>
      </c>
      <c r="C416" t="str">
        <f t="shared" si="44"/>
        <v/>
      </c>
      <c r="D416" t="str">
        <f t="shared" si="45"/>
        <v/>
      </c>
      <c r="E416" t="str">
        <f>IF(F416="","",IF(COUNTIF($F$2:F416,F416)&gt;1,"",SUMIFS(tbl_input[필요수량],tbl_input[집계키_센터],F416)))</f>
        <v/>
      </c>
      <c r="F416" t="str">
        <f>IFERROR(INDEX(tbl_input[집계키_센터],ROW()-1),"")</f>
        <v/>
      </c>
      <c r="G416" t="str">
        <f t="shared" si="46"/>
        <v/>
      </c>
      <c r="H416" t="str">
        <f t="shared" si="47"/>
        <v/>
      </c>
      <c r="I416" t="str">
        <f t="shared" si="48"/>
        <v/>
      </c>
    </row>
    <row r="417" spans="1:9" x14ac:dyDescent="0.4">
      <c r="A417" t="str">
        <f t="shared" si="42"/>
        <v/>
      </c>
      <c r="B417" t="str">
        <f t="shared" si="43"/>
        <v/>
      </c>
      <c r="C417" t="str">
        <f t="shared" si="44"/>
        <v/>
      </c>
      <c r="D417" t="str">
        <f t="shared" si="45"/>
        <v/>
      </c>
      <c r="E417" t="str">
        <f>IF(F417="","",IF(COUNTIF($F$2:F417,F417)&gt;1,"",SUMIFS(tbl_input[필요수량],tbl_input[집계키_센터],F417)))</f>
        <v/>
      </c>
      <c r="F417" t="str">
        <f>IFERROR(INDEX(tbl_input[집계키_센터],ROW()-1),"")</f>
        <v/>
      </c>
      <c r="G417" t="str">
        <f t="shared" si="46"/>
        <v/>
      </c>
      <c r="H417" t="str">
        <f t="shared" si="47"/>
        <v/>
      </c>
      <c r="I417" t="str">
        <f t="shared" si="48"/>
        <v/>
      </c>
    </row>
    <row r="418" spans="1:9" x14ac:dyDescent="0.4">
      <c r="A418" t="str">
        <f t="shared" si="42"/>
        <v/>
      </c>
      <c r="B418" t="str">
        <f t="shared" si="43"/>
        <v/>
      </c>
      <c r="C418" t="str">
        <f t="shared" si="44"/>
        <v/>
      </c>
      <c r="D418" t="str">
        <f t="shared" si="45"/>
        <v/>
      </c>
      <c r="E418" t="str">
        <f>IF(F418="","",IF(COUNTIF($F$2:F418,F418)&gt;1,"",SUMIFS(tbl_input[필요수량],tbl_input[집계키_센터],F418)))</f>
        <v/>
      </c>
      <c r="F418" t="str">
        <f>IFERROR(INDEX(tbl_input[집계키_센터],ROW()-1),"")</f>
        <v/>
      </c>
      <c r="G418" t="str">
        <f t="shared" si="46"/>
        <v/>
      </c>
      <c r="H418" t="str">
        <f t="shared" si="47"/>
        <v/>
      </c>
      <c r="I418" t="str">
        <f t="shared" si="48"/>
        <v/>
      </c>
    </row>
    <row r="419" spans="1:9" x14ac:dyDescent="0.4">
      <c r="A419" t="str">
        <f t="shared" si="42"/>
        <v/>
      </c>
      <c r="B419" t="str">
        <f t="shared" si="43"/>
        <v/>
      </c>
      <c r="C419" t="str">
        <f t="shared" si="44"/>
        <v/>
      </c>
      <c r="D419" t="str">
        <f t="shared" si="45"/>
        <v/>
      </c>
      <c r="E419" t="str">
        <f>IF(F419="","",IF(COUNTIF($F$2:F419,F419)&gt;1,"",SUMIFS(tbl_input[필요수량],tbl_input[집계키_센터],F419)))</f>
        <v/>
      </c>
      <c r="F419" t="str">
        <f>IFERROR(INDEX(tbl_input[집계키_센터],ROW()-1),"")</f>
        <v/>
      </c>
      <c r="G419" t="str">
        <f t="shared" si="46"/>
        <v/>
      </c>
      <c r="H419" t="str">
        <f t="shared" si="47"/>
        <v/>
      </c>
      <c r="I419" t="str">
        <f t="shared" si="48"/>
        <v/>
      </c>
    </row>
    <row r="420" spans="1:9" x14ac:dyDescent="0.4">
      <c r="A420" t="str">
        <f t="shared" si="42"/>
        <v/>
      </c>
      <c r="B420" t="str">
        <f t="shared" si="43"/>
        <v/>
      </c>
      <c r="C420" t="str">
        <f t="shared" si="44"/>
        <v/>
      </c>
      <c r="D420" t="str">
        <f t="shared" si="45"/>
        <v/>
      </c>
      <c r="E420" t="str">
        <f>IF(F420="","",IF(COUNTIF($F$2:F420,F420)&gt;1,"",SUMIFS(tbl_input[필요수량],tbl_input[집계키_센터],F420)))</f>
        <v/>
      </c>
      <c r="F420" t="str">
        <f>IFERROR(INDEX(tbl_input[집계키_센터],ROW()-1),"")</f>
        <v/>
      </c>
      <c r="G420" t="str">
        <f t="shared" si="46"/>
        <v/>
      </c>
      <c r="H420" t="str">
        <f t="shared" si="47"/>
        <v/>
      </c>
      <c r="I420" t="str">
        <f t="shared" si="48"/>
        <v/>
      </c>
    </row>
    <row r="421" spans="1:9" x14ac:dyDescent="0.4">
      <c r="A421" t="str">
        <f t="shared" si="42"/>
        <v/>
      </c>
      <c r="B421" t="str">
        <f t="shared" si="43"/>
        <v/>
      </c>
      <c r="C421" t="str">
        <f t="shared" si="44"/>
        <v/>
      </c>
      <c r="D421" t="str">
        <f t="shared" si="45"/>
        <v/>
      </c>
      <c r="E421" t="str">
        <f>IF(F421="","",IF(COUNTIF($F$2:F421,F421)&gt;1,"",SUMIFS(tbl_input[필요수량],tbl_input[집계키_센터],F421)))</f>
        <v/>
      </c>
      <c r="F421" t="str">
        <f>IFERROR(INDEX(tbl_input[집계키_센터],ROW()-1),"")</f>
        <v/>
      </c>
      <c r="G421" t="str">
        <f t="shared" si="46"/>
        <v/>
      </c>
      <c r="H421" t="str">
        <f t="shared" si="47"/>
        <v/>
      </c>
      <c r="I421" t="str">
        <f t="shared" si="48"/>
        <v/>
      </c>
    </row>
    <row r="422" spans="1:9" x14ac:dyDescent="0.4">
      <c r="A422" t="str">
        <f t="shared" si="42"/>
        <v/>
      </c>
      <c r="B422" t="str">
        <f t="shared" si="43"/>
        <v/>
      </c>
      <c r="C422" t="str">
        <f t="shared" si="44"/>
        <v/>
      </c>
      <c r="D422" t="str">
        <f t="shared" si="45"/>
        <v/>
      </c>
      <c r="E422" t="str">
        <f>IF(F422="","",IF(COUNTIF($F$2:F422,F422)&gt;1,"",SUMIFS(tbl_input[필요수량],tbl_input[집계키_센터],F422)))</f>
        <v/>
      </c>
      <c r="F422" t="str">
        <f>IFERROR(INDEX(tbl_input[집계키_센터],ROW()-1),"")</f>
        <v/>
      </c>
      <c r="G422" t="str">
        <f t="shared" si="46"/>
        <v/>
      </c>
      <c r="H422" t="str">
        <f t="shared" si="47"/>
        <v/>
      </c>
      <c r="I422" t="str">
        <f t="shared" si="48"/>
        <v/>
      </c>
    </row>
    <row r="423" spans="1:9" x14ac:dyDescent="0.4">
      <c r="A423" t="str">
        <f t="shared" si="42"/>
        <v/>
      </c>
      <c r="B423" t="str">
        <f t="shared" si="43"/>
        <v/>
      </c>
      <c r="C423" t="str">
        <f t="shared" si="44"/>
        <v/>
      </c>
      <c r="D423" t="str">
        <f t="shared" si="45"/>
        <v/>
      </c>
      <c r="E423" t="str">
        <f>IF(F423="","",IF(COUNTIF($F$2:F423,F423)&gt;1,"",SUMIFS(tbl_input[필요수량],tbl_input[집계키_센터],F423)))</f>
        <v/>
      </c>
      <c r="F423" t="str">
        <f>IFERROR(INDEX(tbl_input[집계키_센터],ROW()-1),"")</f>
        <v/>
      </c>
      <c r="G423" t="str">
        <f t="shared" si="46"/>
        <v/>
      </c>
      <c r="H423" t="str">
        <f t="shared" si="47"/>
        <v/>
      </c>
      <c r="I423" t="str">
        <f t="shared" si="48"/>
        <v/>
      </c>
    </row>
    <row r="424" spans="1:9" x14ac:dyDescent="0.4">
      <c r="A424" t="str">
        <f t="shared" si="42"/>
        <v/>
      </c>
      <c r="B424" t="str">
        <f t="shared" si="43"/>
        <v/>
      </c>
      <c r="C424" t="str">
        <f t="shared" si="44"/>
        <v/>
      </c>
      <c r="D424" t="str">
        <f t="shared" si="45"/>
        <v/>
      </c>
      <c r="E424" t="str">
        <f>IF(F424="","",IF(COUNTIF($F$2:F424,F424)&gt;1,"",SUMIFS(tbl_input[필요수량],tbl_input[집계키_센터],F424)))</f>
        <v/>
      </c>
      <c r="F424" t="str">
        <f>IFERROR(INDEX(tbl_input[집계키_센터],ROW()-1),"")</f>
        <v/>
      </c>
      <c r="G424" t="str">
        <f t="shared" si="46"/>
        <v/>
      </c>
      <c r="H424" t="str">
        <f t="shared" si="47"/>
        <v/>
      </c>
      <c r="I424" t="str">
        <f t="shared" si="48"/>
        <v/>
      </c>
    </row>
    <row r="425" spans="1:9" x14ac:dyDescent="0.4">
      <c r="A425" t="str">
        <f t="shared" si="42"/>
        <v/>
      </c>
      <c r="B425" t="str">
        <f t="shared" si="43"/>
        <v/>
      </c>
      <c r="C425" t="str">
        <f t="shared" si="44"/>
        <v/>
      </c>
      <c r="D425" t="str">
        <f t="shared" si="45"/>
        <v/>
      </c>
      <c r="E425" t="str">
        <f>IF(F425="","",IF(COUNTIF($F$2:F425,F425)&gt;1,"",SUMIFS(tbl_input[필요수량],tbl_input[집계키_센터],F425)))</f>
        <v/>
      </c>
      <c r="F425" t="str">
        <f>IFERROR(INDEX(tbl_input[집계키_센터],ROW()-1),"")</f>
        <v/>
      </c>
      <c r="G425" t="str">
        <f t="shared" si="46"/>
        <v/>
      </c>
      <c r="H425" t="str">
        <f t="shared" si="47"/>
        <v/>
      </c>
      <c r="I425" t="str">
        <f t="shared" si="48"/>
        <v/>
      </c>
    </row>
    <row r="426" spans="1:9" x14ac:dyDescent="0.4">
      <c r="A426" t="str">
        <f t="shared" si="42"/>
        <v/>
      </c>
      <c r="B426" t="str">
        <f t="shared" si="43"/>
        <v/>
      </c>
      <c r="C426" t="str">
        <f t="shared" si="44"/>
        <v/>
      </c>
      <c r="D426" t="str">
        <f t="shared" si="45"/>
        <v/>
      </c>
      <c r="E426" t="str">
        <f>IF(F426="","",IF(COUNTIF($F$2:F426,F426)&gt;1,"",SUMIFS(tbl_input[필요수량],tbl_input[집계키_센터],F426)))</f>
        <v/>
      </c>
      <c r="F426" t="str">
        <f>IFERROR(INDEX(tbl_input[집계키_센터],ROW()-1),"")</f>
        <v/>
      </c>
      <c r="G426" t="str">
        <f t="shared" si="46"/>
        <v/>
      </c>
      <c r="H426" t="str">
        <f t="shared" si="47"/>
        <v/>
      </c>
      <c r="I426" t="str">
        <f t="shared" si="48"/>
        <v/>
      </c>
    </row>
    <row r="427" spans="1:9" x14ac:dyDescent="0.4">
      <c r="A427" t="str">
        <f t="shared" si="42"/>
        <v/>
      </c>
      <c r="B427" t="str">
        <f t="shared" si="43"/>
        <v/>
      </c>
      <c r="C427" t="str">
        <f t="shared" si="44"/>
        <v/>
      </c>
      <c r="D427" t="str">
        <f t="shared" si="45"/>
        <v/>
      </c>
      <c r="E427" t="str">
        <f>IF(F427="","",IF(COUNTIF($F$2:F427,F427)&gt;1,"",SUMIFS(tbl_input[필요수량],tbl_input[집계키_센터],F427)))</f>
        <v/>
      </c>
      <c r="F427" t="str">
        <f>IFERROR(INDEX(tbl_input[집계키_센터],ROW()-1),"")</f>
        <v/>
      </c>
      <c r="G427" t="str">
        <f t="shared" si="46"/>
        <v/>
      </c>
      <c r="H427" t="str">
        <f t="shared" si="47"/>
        <v/>
      </c>
      <c r="I427" t="str">
        <f t="shared" si="48"/>
        <v/>
      </c>
    </row>
    <row r="428" spans="1:9" x14ac:dyDescent="0.4">
      <c r="A428" t="str">
        <f t="shared" si="42"/>
        <v/>
      </c>
      <c r="B428" t="str">
        <f t="shared" si="43"/>
        <v/>
      </c>
      <c r="C428" t="str">
        <f t="shared" si="44"/>
        <v/>
      </c>
      <c r="D428" t="str">
        <f t="shared" si="45"/>
        <v/>
      </c>
      <c r="E428" t="str">
        <f>IF(F428="","",IF(COUNTIF($F$2:F428,F428)&gt;1,"",SUMIFS(tbl_input[필요수량],tbl_input[집계키_센터],F428)))</f>
        <v/>
      </c>
      <c r="F428" t="str">
        <f>IFERROR(INDEX(tbl_input[집계키_센터],ROW()-1),"")</f>
        <v/>
      </c>
      <c r="G428" t="str">
        <f t="shared" si="46"/>
        <v/>
      </c>
      <c r="H428" t="str">
        <f t="shared" si="47"/>
        <v/>
      </c>
      <c r="I428" t="str">
        <f t="shared" si="48"/>
        <v/>
      </c>
    </row>
    <row r="429" spans="1:9" x14ac:dyDescent="0.4">
      <c r="A429" t="str">
        <f t="shared" si="42"/>
        <v/>
      </c>
      <c r="B429" t="str">
        <f t="shared" si="43"/>
        <v/>
      </c>
      <c r="C429" t="str">
        <f t="shared" si="44"/>
        <v/>
      </c>
      <c r="D429" t="str">
        <f t="shared" si="45"/>
        <v/>
      </c>
      <c r="E429" t="str">
        <f>IF(F429="","",IF(COUNTIF($F$2:F429,F429)&gt;1,"",SUMIFS(tbl_input[필요수량],tbl_input[집계키_센터],F429)))</f>
        <v/>
      </c>
      <c r="F429" t="str">
        <f>IFERROR(INDEX(tbl_input[집계키_센터],ROW()-1),"")</f>
        <v/>
      </c>
      <c r="G429" t="str">
        <f t="shared" si="46"/>
        <v/>
      </c>
      <c r="H429" t="str">
        <f t="shared" si="47"/>
        <v/>
      </c>
      <c r="I429" t="str">
        <f t="shared" si="48"/>
        <v/>
      </c>
    </row>
    <row r="430" spans="1:9" x14ac:dyDescent="0.4">
      <c r="A430" t="str">
        <f t="shared" si="42"/>
        <v/>
      </c>
      <c r="B430" t="str">
        <f t="shared" si="43"/>
        <v/>
      </c>
      <c r="C430" t="str">
        <f t="shared" si="44"/>
        <v/>
      </c>
      <c r="D430" t="str">
        <f t="shared" si="45"/>
        <v/>
      </c>
      <c r="E430" t="str">
        <f>IF(F430="","",IF(COUNTIF($F$2:F430,F430)&gt;1,"",SUMIFS(tbl_input[필요수량],tbl_input[집계키_센터],F430)))</f>
        <v/>
      </c>
      <c r="F430" t="str">
        <f>IFERROR(INDEX(tbl_input[집계키_센터],ROW()-1),"")</f>
        <v/>
      </c>
      <c r="G430" t="str">
        <f t="shared" si="46"/>
        <v/>
      </c>
      <c r="H430" t="str">
        <f t="shared" si="47"/>
        <v/>
      </c>
      <c r="I430" t="str">
        <f t="shared" si="48"/>
        <v/>
      </c>
    </row>
    <row r="431" spans="1:9" x14ac:dyDescent="0.4">
      <c r="A431" t="str">
        <f t="shared" si="42"/>
        <v/>
      </c>
      <c r="B431" t="str">
        <f t="shared" si="43"/>
        <v/>
      </c>
      <c r="C431" t="str">
        <f t="shared" si="44"/>
        <v/>
      </c>
      <c r="D431" t="str">
        <f t="shared" si="45"/>
        <v/>
      </c>
      <c r="E431" t="str">
        <f>IF(F431="","",IF(COUNTIF($F$2:F431,F431)&gt;1,"",SUMIFS(tbl_input[필요수량],tbl_input[집계키_센터],F431)))</f>
        <v/>
      </c>
      <c r="F431" t="str">
        <f>IFERROR(INDEX(tbl_input[집계키_센터],ROW()-1),"")</f>
        <v/>
      </c>
      <c r="G431" t="str">
        <f t="shared" si="46"/>
        <v/>
      </c>
      <c r="H431" t="str">
        <f t="shared" si="47"/>
        <v/>
      </c>
      <c r="I431" t="str">
        <f t="shared" si="48"/>
        <v/>
      </c>
    </row>
    <row r="432" spans="1:9" x14ac:dyDescent="0.4">
      <c r="A432" t="str">
        <f t="shared" si="42"/>
        <v/>
      </c>
      <c r="B432" t="str">
        <f t="shared" si="43"/>
        <v/>
      </c>
      <c r="C432" t="str">
        <f t="shared" si="44"/>
        <v/>
      </c>
      <c r="D432" t="str">
        <f t="shared" si="45"/>
        <v/>
      </c>
      <c r="E432" t="str">
        <f>IF(F432="","",IF(COUNTIF($F$2:F432,F432)&gt;1,"",SUMIFS(tbl_input[필요수량],tbl_input[집계키_센터],F432)))</f>
        <v/>
      </c>
      <c r="F432" t="str">
        <f>IFERROR(INDEX(tbl_input[집계키_센터],ROW()-1),"")</f>
        <v/>
      </c>
      <c r="G432" t="str">
        <f t="shared" si="46"/>
        <v/>
      </c>
      <c r="H432" t="str">
        <f t="shared" si="47"/>
        <v/>
      </c>
      <c r="I432" t="str">
        <f t="shared" si="48"/>
        <v/>
      </c>
    </row>
    <row r="433" spans="1:9" x14ac:dyDescent="0.4">
      <c r="A433" t="str">
        <f t="shared" si="42"/>
        <v/>
      </c>
      <c r="B433" t="str">
        <f t="shared" si="43"/>
        <v/>
      </c>
      <c r="C433" t="str">
        <f t="shared" si="44"/>
        <v/>
      </c>
      <c r="D433" t="str">
        <f t="shared" si="45"/>
        <v/>
      </c>
      <c r="E433" t="str">
        <f>IF(F433="","",IF(COUNTIF($F$2:F433,F433)&gt;1,"",SUMIFS(tbl_input[필요수량],tbl_input[집계키_센터],F433)))</f>
        <v/>
      </c>
      <c r="F433" t="str">
        <f>IFERROR(INDEX(tbl_input[집계키_센터],ROW()-1),"")</f>
        <v/>
      </c>
      <c r="G433" t="str">
        <f t="shared" si="46"/>
        <v/>
      </c>
      <c r="H433" t="str">
        <f t="shared" si="47"/>
        <v/>
      </c>
      <c r="I433" t="str">
        <f t="shared" si="48"/>
        <v/>
      </c>
    </row>
    <row r="434" spans="1:9" x14ac:dyDescent="0.4">
      <c r="A434" t="str">
        <f t="shared" si="42"/>
        <v/>
      </c>
      <c r="B434" t="str">
        <f t="shared" si="43"/>
        <v/>
      </c>
      <c r="C434" t="str">
        <f t="shared" si="44"/>
        <v/>
      </c>
      <c r="D434" t="str">
        <f t="shared" si="45"/>
        <v/>
      </c>
      <c r="E434" t="str">
        <f>IF(F434="","",IF(COUNTIF($F$2:F434,F434)&gt;1,"",SUMIFS(tbl_input[필요수량],tbl_input[집계키_센터],F434)))</f>
        <v/>
      </c>
      <c r="F434" t="str">
        <f>IFERROR(INDEX(tbl_input[집계키_센터],ROW()-1),"")</f>
        <v/>
      </c>
      <c r="G434" t="str">
        <f t="shared" si="46"/>
        <v/>
      </c>
      <c r="H434" t="str">
        <f t="shared" si="47"/>
        <v/>
      </c>
      <c r="I434" t="str">
        <f t="shared" si="48"/>
        <v/>
      </c>
    </row>
    <row r="435" spans="1:9" x14ac:dyDescent="0.4">
      <c r="A435" t="str">
        <f t="shared" si="42"/>
        <v/>
      </c>
      <c r="B435" t="str">
        <f t="shared" si="43"/>
        <v/>
      </c>
      <c r="C435" t="str">
        <f t="shared" si="44"/>
        <v/>
      </c>
      <c r="D435" t="str">
        <f t="shared" si="45"/>
        <v/>
      </c>
      <c r="E435" t="str">
        <f>IF(F435="","",IF(COUNTIF($F$2:F435,F435)&gt;1,"",SUMIFS(tbl_input[필요수량],tbl_input[집계키_센터],F435)))</f>
        <v/>
      </c>
      <c r="F435" t="str">
        <f>IFERROR(INDEX(tbl_input[집계키_센터],ROW()-1),"")</f>
        <v/>
      </c>
      <c r="G435" t="str">
        <f t="shared" si="46"/>
        <v/>
      </c>
      <c r="H435" t="str">
        <f t="shared" si="47"/>
        <v/>
      </c>
      <c r="I435" t="str">
        <f t="shared" si="48"/>
        <v/>
      </c>
    </row>
    <row r="436" spans="1:9" x14ac:dyDescent="0.4">
      <c r="A436" t="str">
        <f t="shared" si="42"/>
        <v/>
      </c>
      <c r="B436" t="str">
        <f t="shared" si="43"/>
        <v/>
      </c>
      <c r="C436" t="str">
        <f t="shared" si="44"/>
        <v/>
      </c>
      <c r="D436" t="str">
        <f t="shared" si="45"/>
        <v/>
      </c>
      <c r="E436" t="str">
        <f>IF(F436="","",IF(COUNTIF($F$2:F436,F436)&gt;1,"",SUMIFS(tbl_input[필요수량],tbl_input[집계키_센터],F436)))</f>
        <v/>
      </c>
      <c r="F436" t="str">
        <f>IFERROR(INDEX(tbl_input[집계키_센터],ROW()-1),"")</f>
        <v/>
      </c>
      <c r="G436" t="str">
        <f t="shared" si="46"/>
        <v/>
      </c>
      <c r="H436" t="str">
        <f t="shared" si="47"/>
        <v/>
      </c>
      <c r="I436" t="str">
        <f t="shared" si="48"/>
        <v/>
      </c>
    </row>
    <row r="437" spans="1:9" x14ac:dyDescent="0.4">
      <c r="A437" t="str">
        <f t="shared" si="42"/>
        <v/>
      </c>
      <c r="B437" t="str">
        <f t="shared" si="43"/>
        <v/>
      </c>
      <c r="C437" t="str">
        <f t="shared" si="44"/>
        <v/>
      </c>
      <c r="D437" t="str">
        <f t="shared" si="45"/>
        <v/>
      </c>
      <c r="E437" t="str">
        <f>IF(F437="","",IF(COUNTIF($F$2:F437,F437)&gt;1,"",SUMIFS(tbl_input[필요수량],tbl_input[집계키_센터],F437)))</f>
        <v/>
      </c>
      <c r="F437" t="str">
        <f>IFERROR(INDEX(tbl_input[집계키_센터],ROW()-1),"")</f>
        <v/>
      </c>
      <c r="G437" t="str">
        <f t="shared" si="46"/>
        <v/>
      </c>
      <c r="H437" t="str">
        <f t="shared" si="47"/>
        <v/>
      </c>
      <c r="I437" t="str">
        <f t="shared" si="48"/>
        <v/>
      </c>
    </row>
    <row r="438" spans="1:9" x14ac:dyDescent="0.4">
      <c r="A438" t="str">
        <f t="shared" si="42"/>
        <v/>
      </c>
      <c r="B438" t="str">
        <f t="shared" si="43"/>
        <v/>
      </c>
      <c r="C438" t="str">
        <f t="shared" si="44"/>
        <v/>
      </c>
      <c r="D438" t="str">
        <f t="shared" si="45"/>
        <v/>
      </c>
      <c r="E438" t="str">
        <f>IF(F438="","",IF(COUNTIF($F$2:F438,F438)&gt;1,"",SUMIFS(tbl_input[필요수량],tbl_input[집계키_센터],F438)))</f>
        <v/>
      </c>
      <c r="F438" t="str">
        <f>IFERROR(INDEX(tbl_input[집계키_센터],ROW()-1),"")</f>
        <v/>
      </c>
      <c r="G438" t="str">
        <f t="shared" si="46"/>
        <v/>
      </c>
      <c r="H438" t="str">
        <f t="shared" si="47"/>
        <v/>
      </c>
      <c r="I438" t="str">
        <f t="shared" si="48"/>
        <v/>
      </c>
    </row>
    <row r="439" spans="1:9" x14ac:dyDescent="0.4">
      <c r="A439" t="str">
        <f t="shared" si="42"/>
        <v/>
      </c>
      <c r="B439" t="str">
        <f t="shared" si="43"/>
        <v/>
      </c>
      <c r="C439" t="str">
        <f t="shared" si="44"/>
        <v/>
      </c>
      <c r="D439" t="str">
        <f t="shared" si="45"/>
        <v/>
      </c>
      <c r="E439" t="str">
        <f>IF(F439="","",IF(COUNTIF($F$2:F439,F439)&gt;1,"",SUMIFS(tbl_input[필요수량],tbl_input[집계키_센터],F439)))</f>
        <v/>
      </c>
      <c r="F439" t="str">
        <f>IFERROR(INDEX(tbl_input[집계키_센터],ROW()-1),"")</f>
        <v/>
      </c>
      <c r="G439" t="str">
        <f t="shared" si="46"/>
        <v/>
      </c>
      <c r="H439" t="str">
        <f t="shared" si="47"/>
        <v/>
      </c>
      <c r="I439" t="str">
        <f t="shared" si="48"/>
        <v/>
      </c>
    </row>
    <row r="440" spans="1:9" x14ac:dyDescent="0.4">
      <c r="A440" t="str">
        <f t="shared" si="42"/>
        <v/>
      </c>
      <c r="B440" t="str">
        <f t="shared" si="43"/>
        <v/>
      </c>
      <c r="C440" t="str">
        <f t="shared" si="44"/>
        <v/>
      </c>
      <c r="D440" t="str">
        <f t="shared" si="45"/>
        <v/>
      </c>
      <c r="E440" t="str">
        <f>IF(F440="","",IF(COUNTIF($F$2:F440,F440)&gt;1,"",SUMIFS(tbl_input[필요수량],tbl_input[집계키_센터],F440)))</f>
        <v/>
      </c>
      <c r="F440" t="str">
        <f>IFERROR(INDEX(tbl_input[집계키_센터],ROW()-1),"")</f>
        <v/>
      </c>
      <c r="G440" t="str">
        <f t="shared" si="46"/>
        <v/>
      </c>
      <c r="H440" t="str">
        <f t="shared" si="47"/>
        <v/>
      </c>
      <c r="I440" t="str">
        <f t="shared" si="48"/>
        <v/>
      </c>
    </row>
    <row r="441" spans="1:9" x14ac:dyDescent="0.4">
      <c r="A441" t="str">
        <f t="shared" si="42"/>
        <v/>
      </c>
      <c r="B441" t="str">
        <f t="shared" si="43"/>
        <v/>
      </c>
      <c r="C441" t="str">
        <f t="shared" si="44"/>
        <v/>
      </c>
      <c r="D441" t="str">
        <f t="shared" si="45"/>
        <v/>
      </c>
      <c r="E441" t="str">
        <f>IF(F441="","",IF(COUNTIF($F$2:F441,F441)&gt;1,"",SUMIFS(tbl_input[필요수량],tbl_input[집계키_센터],F441)))</f>
        <v/>
      </c>
      <c r="F441" t="str">
        <f>IFERROR(INDEX(tbl_input[집계키_센터],ROW()-1),"")</f>
        <v/>
      </c>
      <c r="G441" t="str">
        <f t="shared" si="46"/>
        <v/>
      </c>
      <c r="H441" t="str">
        <f t="shared" si="47"/>
        <v/>
      </c>
      <c r="I441" t="str">
        <f t="shared" si="48"/>
        <v/>
      </c>
    </row>
    <row r="442" spans="1:9" x14ac:dyDescent="0.4">
      <c r="A442" t="str">
        <f t="shared" si="42"/>
        <v/>
      </c>
      <c r="B442" t="str">
        <f t="shared" si="43"/>
        <v/>
      </c>
      <c r="C442" t="str">
        <f t="shared" si="44"/>
        <v/>
      </c>
      <c r="D442" t="str">
        <f t="shared" si="45"/>
        <v/>
      </c>
      <c r="E442" t="str">
        <f>IF(F442="","",IF(COUNTIF($F$2:F442,F442)&gt;1,"",SUMIFS(tbl_input[필요수량],tbl_input[집계키_센터],F442)))</f>
        <v/>
      </c>
      <c r="F442" t="str">
        <f>IFERROR(INDEX(tbl_input[집계키_센터],ROW()-1),"")</f>
        <v/>
      </c>
      <c r="G442" t="str">
        <f t="shared" si="46"/>
        <v/>
      </c>
      <c r="H442" t="str">
        <f t="shared" si="47"/>
        <v/>
      </c>
      <c r="I442" t="str">
        <f t="shared" si="48"/>
        <v/>
      </c>
    </row>
    <row r="443" spans="1:9" x14ac:dyDescent="0.4">
      <c r="A443" t="str">
        <f t="shared" si="42"/>
        <v/>
      </c>
      <c r="B443" t="str">
        <f t="shared" si="43"/>
        <v/>
      </c>
      <c r="C443" t="str">
        <f t="shared" si="44"/>
        <v/>
      </c>
      <c r="D443" t="str">
        <f t="shared" si="45"/>
        <v/>
      </c>
      <c r="E443" t="str">
        <f>IF(F443="","",IF(COUNTIF($F$2:F443,F443)&gt;1,"",SUMIFS(tbl_input[필요수량],tbl_input[집계키_센터],F443)))</f>
        <v/>
      </c>
      <c r="F443" t="str">
        <f>IFERROR(INDEX(tbl_input[집계키_센터],ROW()-1),"")</f>
        <v/>
      </c>
      <c r="G443" t="str">
        <f t="shared" si="46"/>
        <v/>
      </c>
      <c r="H443" t="str">
        <f t="shared" si="47"/>
        <v/>
      </c>
      <c r="I443" t="str">
        <f t="shared" si="48"/>
        <v/>
      </c>
    </row>
    <row r="444" spans="1:9" x14ac:dyDescent="0.4">
      <c r="A444" t="str">
        <f t="shared" si="42"/>
        <v/>
      </c>
      <c r="B444" t="str">
        <f t="shared" si="43"/>
        <v/>
      </c>
      <c r="C444" t="str">
        <f t="shared" si="44"/>
        <v/>
      </c>
      <c r="D444" t="str">
        <f t="shared" si="45"/>
        <v/>
      </c>
      <c r="E444" t="str">
        <f>IF(F444="","",IF(COUNTIF($F$2:F444,F444)&gt;1,"",SUMIFS(tbl_input[필요수량],tbl_input[집계키_센터],F444)))</f>
        <v/>
      </c>
      <c r="F444" t="str">
        <f>IFERROR(INDEX(tbl_input[집계키_센터],ROW()-1),"")</f>
        <v/>
      </c>
      <c r="G444" t="str">
        <f t="shared" si="46"/>
        <v/>
      </c>
      <c r="H444" t="str">
        <f t="shared" si="47"/>
        <v/>
      </c>
      <c r="I444" t="str">
        <f t="shared" si="48"/>
        <v/>
      </c>
    </row>
    <row r="445" spans="1:9" x14ac:dyDescent="0.4">
      <c r="A445" t="str">
        <f t="shared" si="42"/>
        <v/>
      </c>
      <c r="B445" t="str">
        <f t="shared" si="43"/>
        <v/>
      </c>
      <c r="C445" t="str">
        <f t="shared" si="44"/>
        <v/>
      </c>
      <c r="D445" t="str">
        <f t="shared" si="45"/>
        <v/>
      </c>
      <c r="E445" t="str">
        <f>IF(F445="","",IF(COUNTIF($F$2:F445,F445)&gt;1,"",SUMIFS(tbl_input[필요수량],tbl_input[집계키_센터],F445)))</f>
        <v/>
      </c>
      <c r="F445" t="str">
        <f>IFERROR(INDEX(tbl_input[집계키_센터],ROW()-1),"")</f>
        <v/>
      </c>
      <c r="G445" t="str">
        <f t="shared" si="46"/>
        <v/>
      </c>
      <c r="H445" t="str">
        <f t="shared" si="47"/>
        <v/>
      </c>
      <c r="I445" t="str">
        <f t="shared" si="48"/>
        <v/>
      </c>
    </row>
    <row r="446" spans="1:9" x14ac:dyDescent="0.4">
      <c r="A446" t="str">
        <f t="shared" si="42"/>
        <v/>
      </c>
      <c r="B446" t="str">
        <f t="shared" si="43"/>
        <v/>
      </c>
      <c r="C446" t="str">
        <f t="shared" si="44"/>
        <v/>
      </c>
      <c r="D446" t="str">
        <f t="shared" si="45"/>
        <v/>
      </c>
      <c r="E446" t="str">
        <f>IF(F446="","",IF(COUNTIF($F$2:F446,F446)&gt;1,"",SUMIFS(tbl_input[필요수량],tbl_input[집계키_센터],F446)))</f>
        <v/>
      </c>
      <c r="F446" t="str">
        <f>IFERROR(INDEX(tbl_input[집계키_센터],ROW()-1),"")</f>
        <v/>
      </c>
      <c r="G446" t="str">
        <f t="shared" si="46"/>
        <v/>
      </c>
      <c r="H446" t="str">
        <f t="shared" si="47"/>
        <v/>
      </c>
      <c r="I446" t="str">
        <f t="shared" si="48"/>
        <v/>
      </c>
    </row>
    <row r="447" spans="1:9" x14ac:dyDescent="0.4">
      <c r="A447" t="str">
        <f t="shared" si="42"/>
        <v/>
      </c>
      <c r="B447" t="str">
        <f t="shared" si="43"/>
        <v/>
      </c>
      <c r="C447" t="str">
        <f t="shared" si="44"/>
        <v/>
      </c>
      <c r="D447" t="str">
        <f t="shared" si="45"/>
        <v/>
      </c>
      <c r="E447" t="str">
        <f>IF(F447="","",IF(COUNTIF($F$2:F447,F447)&gt;1,"",SUMIFS(tbl_input[필요수량],tbl_input[집계키_센터],F447)))</f>
        <v/>
      </c>
      <c r="F447" t="str">
        <f>IFERROR(INDEX(tbl_input[집계키_센터],ROW()-1),"")</f>
        <v/>
      </c>
      <c r="G447" t="str">
        <f t="shared" si="46"/>
        <v/>
      </c>
      <c r="H447" t="str">
        <f t="shared" si="47"/>
        <v/>
      </c>
      <c r="I447" t="str">
        <f t="shared" si="48"/>
        <v/>
      </c>
    </row>
    <row r="448" spans="1:9" x14ac:dyDescent="0.4">
      <c r="A448" t="str">
        <f t="shared" si="42"/>
        <v/>
      </c>
      <c r="B448" t="str">
        <f t="shared" si="43"/>
        <v/>
      </c>
      <c r="C448" t="str">
        <f t="shared" si="44"/>
        <v/>
      </c>
      <c r="D448" t="str">
        <f t="shared" si="45"/>
        <v/>
      </c>
      <c r="E448" t="str">
        <f>IF(F448="","",IF(COUNTIF($F$2:F448,F448)&gt;1,"",SUMIFS(tbl_input[필요수량],tbl_input[집계키_센터],F448)))</f>
        <v/>
      </c>
      <c r="F448" t="str">
        <f>IFERROR(INDEX(tbl_input[집계키_센터],ROW()-1),"")</f>
        <v/>
      </c>
      <c r="G448" t="str">
        <f t="shared" si="46"/>
        <v/>
      </c>
      <c r="H448" t="str">
        <f t="shared" si="47"/>
        <v/>
      </c>
      <c r="I448" t="str">
        <f t="shared" si="48"/>
        <v/>
      </c>
    </row>
    <row r="449" spans="1:9" x14ac:dyDescent="0.4">
      <c r="A449" t="str">
        <f t="shared" si="42"/>
        <v/>
      </c>
      <c r="B449" t="str">
        <f t="shared" si="43"/>
        <v/>
      </c>
      <c r="C449" t="str">
        <f t="shared" si="44"/>
        <v/>
      </c>
      <c r="D449" t="str">
        <f t="shared" si="45"/>
        <v/>
      </c>
      <c r="E449" t="str">
        <f>IF(F449="","",IF(COUNTIF($F$2:F449,F449)&gt;1,"",SUMIFS(tbl_input[필요수량],tbl_input[집계키_센터],F449)))</f>
        <v/>
      </c>
      <c r="F449" t="str">
        <f>IFERROR(INDEX(tbl_input[집계키_센터],ROW()-1),"")</f>
        <v/>
      </c>
      <c r="G449" t="str">
        <f t="shared" si="46"/>
        <v/>
      </c>
      <c r="H449" t="str">
        <f t="shared" si="47"/>
        <v/>
      </c>
      <c r="I449" t="str">
        <f t="shared" si="48"/>
        <v/>
      </c>
    </row>
    <row r="450" spans="1:9" x14ac:dyDescent="0.4">
      <c r="A450" t="str">
        <f t="shared" ref="A450:A513" si="49">IF(F450="","",LEFT(F450,G450-1))</f>
        <v/>
      </c>
      <c r="B450" t="str">
        <f t="shared" ref="B450:B513" si="50">IF(F450="","",MID(F450,G450+1,H450-G450-1))</f>
        <v/>
      </c>
      <c r="C450" t="str">
        <f t="shared" ref="C450:C513" si="51">IF(F450="","",MID(F450,H450+1,I450-H450-1))</f>
        <v/>
      </c>
      <c r="D450" t="str">
        <f t="shared" ref="D450:D513" si="52">IF(F450="","",MID(F450,I450+1,999))</f>
        <v/>
      </c>
      <c r="E450" t="str">
        <f>IF(F450="","",IF(COUNTIF($F$2:F450,F450)&gt;1,"",SUMIFS(tbl_input[필요수량],tbl_input[집계키_센터],F450)))</f>
        <v/>
      </c>
      <c r="F450" t="str">
        <f>IFERROR(INDEX(tbl_input[집계키_센터],ROW()-1),"")</f>
        <v/>
      </c>
      <c r="G450" t="str">
        <f t="shared" ref="G450:G513" si="53">IF(F450="","",FIND("♦",F450))</f>
        <v/>
      </c>
      <c r="H450" t="str">
        <f t="shared" ref="H450:H513" si="54">IF(F450="","",FIND("♦",F450,G450+1))</f>
        <v/>
      </c>
      <c r="I450" t="str">
        <f t="shared" ref="I450:I513" si="55">IF(F450="","",FIND("♦",F450,H450+1))</f>
        <v/>
      </c>
    </row>
    <row r="451" spans="1:9" x14ac:dyDescent="0.4">
      <c r="A451" t="str">
        <f t="shared" si="49"/>
        <v/>
      </c>
      <c r="B451" t="str">
        <f t="shared" si="50"/>
        <v/>
      </c>
      <c r="C451" t="str">
        <f t="shared" si="51"/>
        <v/>
      </c>
      <c r="D451" t="str">
        <f t="shared" si="52"/>
        <v/>
      </c>
      <c r="E451" t="str">
        <f>IF(F451="","",IF(COUNTIF($F$2:F451,F451)&gt;1,"",SUMIFS(tbl_input[필요수량],tbl_input[집계키_센터],F451)))</f>
        <v/>
      </c>
      <c r="F451" t="str">
        <f>IFERROR(INDEX(tbl_input[집계키_센터],ROW()-1),"")</f>
        <v/>
      </c>
      <c r="G451" t="str">
        <f t="shared" si="53"/>
        <v/>
      </c>
      <c r="H451" t="str">
        <f t="shared" si="54"/>
        <v/>
      </c>
      <c r="I451" t="str">
        <f t="shared" si="55"/>
        <v/>
      </c>
    </row>
    <row r="452" spans="1:9" x14ac:dyDescent="0.4">
      <c r="A452" t="str">
        <f t="shared" si="49"/>
        <v/>
      </c>
      <c r="B452" t="str">
        <f t="shared" si="50"/>
        <v/>
      </c>
      <c r="C452" t="str">
        <f t="shared" si="51"/>
        <v/>
      </c>
      <c r="D452" t="str">
        <f t="shared" si="52"/>
        <v/>
      </c>
      <c r="E452" t="str">
        <f>IF(F452="","",IF(COUNTIF($F$2:F452,F452)&gt;1,"",SUMIFS(tbl_input[필요수량],tbl_input[집계키_센터],F452)))</f>
        <v/>
      </c>
      <c r="F452" t="str">
        <f>IFERROR(INDEX(tbl_input[집계키_센터],ROW()-1),"")</f>
        <v/>
      </c>
      <c r="G452" t="str">
        <f t="shared" si="53"/>
        <v/>
      </c>
      <c r="H452" t="str">
        <f t="shared" si="54"/>
        <v/>
      </c>
      <c r="I452" t="str">
        <f t="shared" si="55"/>
        <v/>
      </c>
    </row>
    <row r="453" spans="1:9" x14ac:dyDescent="0.4">
      <c r="A453" t="str">
        <f t="shared" si="49"/>
        <v/>
      </c>
      <c r="B453" t="str">
        <f t="shared" si="50"/>
        <v/>
      </c>
      <c r="C453" t="str">
        <f t="shared" si="51"/>
        <v/>
      </c>
      <c r="D453" t="str">
        <f t="shared" si="52"/>
        <v/>
      </c>
      <c r="E453" t="str">
        <f>IF(F453="","",IF(COUNTIF($F$2:F453,F453)&gt;1,"",SUMIFS(tbl_input[필요수량],tbl_input[집계키_센터],F453)))</f>
        <v/>
      </c>
      <c r="F453" t="str">
        <f>IFERROR(INDEX(tbl_input[집계키_센터],ROW()-1),"")</f>
        <v/>
      </c>
      <c r="G453" t="str">
        <f t="shared" si="53"/>
        <v/>
      </c>
      <c r="H453" t="str">
        <f t="shared" si="54"/>
        <v/>
      </c>
      <c r="I453" t="str">
        <f t="shared" si="55"/>
        <v/>
      </c>
    </row>
    <row r="454" spans="1:9" x14ac:dyDescent="0.4">
      <c r="A454" t="str">
        <f t="shared" si="49"/>
        <v/>
      </c>
      <c r="B454" t="str">
        <f t="shared" si="50"/>
        <v/>
      </c>
      <c r="C454" t="str">
        <f t="shared" si="51"/>
        <v/>
      </c>
      <c r="D454" t="str">
        <f t="shared" si="52"/>
        <v/>
      </c>
      <c r="E454" t="str">
        <f>IF(F454="","",IF(COUNTIF($F$2:F454,F454)&gt;1,"",SUMIFS(tbl_input[필요수량],tbl_input[집계키_센터],F454)))</f>
        <v/>
      </c>
      <c r="F454" t="str">
        <f>IFERROR(INDEX(tbl_input[집계키_센터],ROW()-1),"")</f>
        <v/>
      </c>
      <c r="G454" t="str">
        <f t="shared" si="53"/>
        <v/>
      </c>
      <c r="H454" t="str">
        <f t="shared" si="54"/>
        <v/>
      </c>
      <c r="I454" t="str">
        <f t="shared" si="55"/>
        <v/>
      </c>
    </row>
    <row r="455" spans="1:9" x14ac:dyDescent="0.4">
      <c r="A455" t="str">
        <f t="shared" si="49"/>
        <v/>
      </c>
      <c r="B455" t="str">
        <f t="shared" si="50"/>
        <v/>
      </c>
      <c r="C455" t="str">
        <f t="shared" si="51"/>
        <v/>
      </c>
      <c r="D455" t="str">
        <f t="shared" si="52"/>
        <v/>
      </c>
      <c r="E455" t="str">
        <f>IF(F455="","",IF(COUNTIF($F$2:F455,F455)&gt;1,"",SUMIFS(tbl_input[필요수량],tbl_input[집계키_센터],F455)))</f>
        <v/>
      </c>
      <c r="F455" t="str">
        <f>IFERROR(INDEX(tbl_input[집계키_센터],ROW()-1),"")</f>
        <v/>
      </c>
      <c r="G455" t="str">
        <f t="shared" si="53"/>
        <v/>
      </c>
      <c r="H455" t="str">
        <f t="shared" si="54"/>
        <v/>
      </c>
      <c r="I455" t="str">
        <f t="shared" si="55"/>
        <v/>
      </c>
    </row>
    <row r="456" spans="1:9" x14ac:dyDescent="0.4">
      <c r="A456" t="str">
        <f t="shared" si="49"/>
        <v/>
      </c>
      <c r="B456" t="str">
        <f t="shared" si="50"/>
        <v/>
      </c>
      <c r="C456" t="str">
        <f t="shared" si="51"/>
        <v/>
      </c>
      <c r="D456" t="str">
        <f t="shared" si="52"/>
        <v/>
      </c>
      <c r="E456" t="str">
        <f>IF(F456="","",IF(COUNTIF($F$2:F456,F456)&gt;1,"",SUMIFS(tbl_input[필요수량],tbl_input[집계키_센터],F456)))</f>
        <v/>
      </c>
      <c r="F456" t="str">
        <f>IFERROR(INDEX(tbl_input[집계키_센터],ROW()-1),"")</f>
        <v/>
      </c>
      <c r="G456" t="str">
        <f t="shared" si="53"/>
        <v/>
      </c>
      <c r="H456" t="str">
        <f t="shared" si="54"/>
        <v/>
      </c>
      <c r="I456" t="str">
        <f t="shared" si="55"/>
        <v/>
      </c>
    </row>
    <row r="457" spans="1:9" x14ac:dyDescent="0.4">
      <c r="A457" t="str">
        <f t="shared" si="49"/>
        <v/>
      </c>
      <c r="B457" t="str">
        <f t="shared" si="50"/>
        <v/>
      </c>
      <c r="C457" t="str">
        <f t="shared" si="51"/>
        <v/>
      </c>
      <c r="D457" t="str">
        <f t="shared" si="52"/>
        <v/>
      </c>
      <c r="E457" t="str">
        <f>IF(F457="","",IF(COUNTIF($F$2:F457,F457)&gt;1,"",SUMIFS(tbl_input[필요수량],tbl_input[집계키_센터],F457)))</f>
        <v/>
      </c>
      <c r="F457" t="str">
        <f>IFERROR(INDEX(tbl_input[집계키_센터],ROW()-1),"")</f>
        <v/>
      </c>
      <c r="G457" t="str">
        <f t="shared" si="53"/>
        <v/>
      </c>
      <c r="H457" t="str">
        <f t="shared" si="54"/>
        <v/>
      </c>
      <c r="I457" t="str">
        <f t="shared" si="55"/>
        <v/>
      </c>
    </row>
    <row r="458" spans="1:9" x14ac:dyDescent="0.4">
      <c r="A458" t="str">
        <f t="shared" si="49"/>
        <v/>
      </c>
      <c r="B458" t="str">
        <f t="shared" si="50"/>
        <v/>
      </c>
      <c r="C458" t="str">
        <f t="shared" si="51"/>
        <v/>
      </c>
      <c r="D458" t="str">
        <f t="shared" si="52"/>
        <v/>
      </c>
      <c r="E458" t="str">
        <f>IF(F458="","",IF(COUNTIF($F$2:F458,F458)&gt;1,"",SUMIFS(tbl_input[필요수량],tbl_input[집계키_센터],F458)))</f>
        <v/>
      </c>
      <c r="F458" t="str">
        <f>IFERROR(INDEX(tbl_input[집계키_센터],ROW()-1),"")</f>
        <v/>
      </c>
      <c r="G458" t="str">
        <f t="shared" si="53"/>
        <v/>
      </c>
      <c r="H458" t="str">
        <f t="shared" si="54"/>
        <v/>
      </c>
      <c r="I458" t="str">
        <f t="shared" si="55"/>
        <v/>
      </c>
    </row>
    <row r="459" spans="1:9" x14ac:dyDescent="0.4">
      <c r="A459" t="str">
        <f t="shared" si="49"/>
        <v/>
      </c>
      <c r="B459" t="str">
        <f t="shared" si="50"/>
        <v/>
      </c>
      <c r="C459" t="str">
        <f t="shared" si="51"/>
        <v/>
      </c>
      <c r="D459" t="str">
        <f t="shared" si="52"/>
        <v/>
      </c>
      <c r="E459" t="str">
        <f>IF(F459="","",IF(COUNTIF($F$2:F459,F459)&gt;1,"",SUMIFS(tbl_input[필요수량],tbl_input[집계키_센터],F459)))</f>
        <v/>
      </c>
      <c r="F459" t="str">
        <f>IFERROR(INDEX(tbl_input[집계키_센터],ROW()-1),"")</f>
        <v/>
      </c>
      <c r="G459" t="str">
        <f t="shared" si="53"/>
        <v/>
      </c>
      <c r="H459" t="str">
        <f t="shared" si="54"/>
        <v/>
      </c>
      <c r="I459" t="str">
        <f t="shared" si="55"/>
        <v/>
      </c>
    </row>
    <row r="460" spans="1:9" x14ac:dyDescent="0.4">
      <c r="A460" t="str">
        <f t="shared" si="49"/>
        <v/>
      </c>
      <c r="B460" t="str">
        <f t="shared" si="50"/>
        <v/>
      </c>
      <c r="C460" t="str">
        <f t="shared" si="51"/>
        <v/>
      </c>
      <c r="D460" t="str">
        <f t="shared" si="52"/>
        <v/>
      </c>
      <c r="E460" t="str">
        <f>IF(F460="","",IF(COUNTIF($F$2:F460,F460)&gt;1,"",SUMIFS(tbl_input[필요수량],tbl_input[집계키_센터],F460)))</f>
        <v/>
      </c>
      <c r="F460" t="str">
        <f>IFERROR(INDEX(tbl_input[집계키_센터],ROW()-1),"")</f>
        <v/>
      </c>
      <c r="G460" t="str">
        <f t="shared" si="53"/>
        <v/>
      </c>
      <c r="H460" t="str">
        <f t="shared" si="54"/>
        <v/>
      </c>
      <c r="I460" t="str">
        <f t="shared" si="55"/>
        <v/>
      </c>
    </row>
    <row r="461" spans="1:9" x14ac:dyDescent="0.4">
      <c r="A461" t="str">
        <f t="shared" si="49"/>
        <v/>
      </c>
      <c r="B461" t="str">
        <f t="shared" si="50"/>
        <v/>
      </c>
      <c r="C461" t="str">
        <f t="shared" si="51"/>
        <v/>
      </c>
      <c r="D461" t="str">
        <f t="shared" si="52"/>
        <v/>
      </c>
      <c r="E461" t="str">
        <f>IF(F461="","",IF(COUNTIF($F$2:F461,F461)&gt;1,"",SUMIFS(tbl_input[필요수량],tbl_input[집계키_센터],F461)))</f>
        <v/>
      </c>
      <c r="F461" t="str">
        <f>IFERROR(INDEX(tbl_input[집계키_센터],ROW()-1),"")</f>
        <v/>
      </c>
      <c r="G461" t="str">
        <f t="shared" si="53"/>
        <v/>
      </c>
      <c r="H461" t="str">
        <f t="shared" si="54"/>
        <v/>
      </c>
      <c r="I461" t="str">
        <f t="shared" si="55"/>
        <v/>
      </c>
    </row>
    <row r="462" spans="1:9" x14ac:dyDescent="0.4">
      <c r="A462" t="str">
        <f t="shared" si="49"/>
        <v/>
      </c>
      <c r="B462" t="str">
        <f t="shared" si="50"/>
        <v/>
      </c>
      <c r="C462" t="str">
        <f t="shared" si="51"/>
        <v/>
      </c>
      <c r="D462" t="str">
        <f t="shared" si="52"/>
        <v/>
      </c>
      <c r="E462" t="str">
        <f>IF(F462="","",IF(COUNTIF($F$2:F462,F462)&gt;1,"",SUMIFS(tbl_input[필요수량],tbl_input[집계키_센터],F462)))</f>
        <v/>
      </c>
      <c r="F462" t="str">
        <f>IFERROR(INDEX(tbl_input[집계키_센터],ROW()-1),"")</f>
        <v/>
      </c>
      <c r="G462" t="str">
        <f t="shared" si="53"/>
        <v/>
      </c>
      <c r="H462" t="str">
        <f t="shared" si="54"/>
        <v/>
      </c>
      <c r="I462" t="str">
        <f t="shared" si="55"/>
        <v/>
      </c>
    </row>
    <row r="463" spans="1:9" x14ac:dyDescent="0.4">
      <c r="A463" t="str">
        <f t="shared" si="49"/>
        <v/>
      </c>
      <c r="B463" t="str">
        <f t="shared" si="50"/>
        <v/>
      </c>
      <c r="C463" t="str">
        <f t="shared" si="51"/>
        <v/>
      </c>
      <c r="D463" t="str">
        <f t="shared" si="52"/>
        <v/>
      </c>
      <c r="E463" t="str">
        <f>IF(F463="","",IF(COUNTIF($F$2:F463,F463)&gt;1,"",SUMIFS(tbl_input[필요수량],tbl_input[집계키_센터],F463)))</f>
        <v/>
      </c>
      <c r="F463" t="str">
        <f>IFERROR(INDEX(tbl_input[집계키_센터],ROW()-1),"")</f>
        <v/>
      </c>
      <c r="G463" t="str">
        <f t="shared" si="53"/>
        <v/>
      </c>
      <c r="H463" t="str">
        <f t="shared" si="54"/>
        <v/>
      </c>
      <c r="I463" t="str">
        <f t="shared" si="55"/>
        <v/>
      </c>
    </row>
    <row r="464" spans="1:9" x14ac:dyDescent="0.4">
      <c r="A464" t="str">
        <f t="shared" si="49"/>
        <v/>
      </c>
      <c r="B464" t="str">
        <f t="shared" si="50"/>
        <v/>
      </c>
      <c r="C464" t="str">
        <f t="shared" si="51"/>
        <v/>
      </c>
      <c r="D464" t="str">
        <f t="shared" si="52"/>
        <v/>
      </c>
      <c r="E464" t="str">
        <f>IF(F464="","",IF(COUNTIF($F$2:F464,F464)&gt;1,"",SUMIFS(tbl_input[필요수량],tbl_input[집계키_센터],F464)))</f>
        <v/>
      </c>
      <c r="F464" t="str">
        <f>IFERROR(INDEX(tbl_input[집계키_센터],ROW()-1),"")</f>
        <v/>
      </c>
      <c r="G464" t="str">
        <f t="shared" si="53"/>
        <v/>
      </c>
      <c r="H464" t="str">
        <f t="shared" si="54"/>
        <v/>
      </c>
      <c r="I464" t="str">
        <f t="shared" si="55"/>
        <v/>
      </c>
    </row>
    <row r="465" spans="1:9" x14ac:dyDescent="0.4">
      <c r="A465" t="str">
        <f t="shared" si="49"/>
        <v/>
      </c>
      <c r="B465" t="str">
        <f t="shared" si="50"/>
        <v/>
      </c>
      <c r="C465" t="str">
        <f t="shared" si="51"/>
        <v/>
      </c>
      <c r="D465" t="str">
        <f t="shared" si="52"/>
        <v/>
      </c>
      <c r="E465" t="str">
        <f>IF(F465="","",IF(COUNTIF($F$2:F465,F465)&gt;1,"",SUMIFS(tbl_input[필요수량],tbl_input[집계키_센터],F465)))</f>
        <v/>
      </c>
      <c r="F465" t="str">
        <f>IFERROR(INDEX(tbl_input[집계키_센터],ROW()-1),"")</f>
        <v/>
      </c>
      <c r="G465" t="str">
        <f t="shared" si="53"/>
        <v/>
      </c>
      <c r="H465" t="str">
        <f t="shared" si="54"/>
        <v/>
      </c>
      <c r="I465" t="str">
        <f t="shared" si="55"/>
        <v/>
      </c>
    </row>
    <row r="466" spans="1:9" x14ac:dyDescent="0.4">
      <c r="A466" t="str">
        <f t="shared" si="49"/>
        <v/>
      </c>
      <c r="B466" t="str">
        <f t="shared" si="50"/>
        <v/>
      </c>
      <c r="C466" t="str">
        <f t="shared" si="51"/>
        <v/>
      </c>
      <c r="D466" t="str">
        <f t="shared" si="52"/>
        <v/>
      </c>
      <c r="E466" t="str">
        <f>IF(F466="","",IF(COUNTIF($F$2:F466,F466)&gt;1,"",SUMIFS(tbl_input[필요수량],tbl_input[집계키_센터],F466)))</f>
        <v/>
      </c>
      <c r="F466" t="str">
        <f>IFERROR(INDEX(tbl_input[집계키_센터],ROW()-1),"")</f>
        <v/>
      </c>
      <c r="G466" t="str">
        <f t="shared" si="53"/>
        <v/>
      </c>
      <c r="H466" t="str">
        <f t="shared" si="54"/>
        <v/>
      </c>
      <c r="I466" t="str">
        <f t="shared" si="55"/>
        <v/>
      </c>
    </row>
    <row r="467" spans="1:9" x14ac:dyDescent="0.4">
      <c r="A467" t="str">
        <f t="shared" si="49"/>
        <v/>
      </c>
      <c r="B467" t="str">
        <f t="shared" si="50"/>
        <v/>
      </c>
      <c r="C467" t="str">
        <f t="shared" si="51"/>
        <v/>
      </c>
      <c r="D467" t="str">
        <f t="shared" si="52"/>
        <v/>
      </c>
      <c r="E467" t="str">
        <f>IF(F467="","",IF(COUNTIF($F$2:F467,F467)&gt;1,"",SUMIFS(tbl_input[필요수량],tbl_input[집계키_센터],F467)))</f>
        <v/>
      </c>
      <c r="F467" t="str">
        <f>IFERROR(INDEX(tbl_input[집계키_센터],ROW()-1),"")</f>
        <v/>
      </c>
      <c r="G467" t="str">
        <f t="shared" si="53"/>
        <v/>
      </c>
      <c r="H467" t="str">
        <f t="shared" si="54"/>
        <v/>
      </c>
      <c r="I467" t="str">
        <f t="shared" si="55"/>
        <v/>
      </c>
    </row>
    <row r="468" spans="1:9" x14ac:dyDescent="0.4">
      <c r="A468" t="str">
        <f t="shared" si="49"/>
        <v/>
      </c>
      <c r="B468" t="str">
        <f t="shared" si="50"/>
        <v/>
      </c>
      <c r="C468" t="str">
        <f t="shared" si="51"/>
        <v/>
      </c>
      <c r="D468" t="str">
        <f t="shared" si="52"/>
        <v/>
      </c>
      <c r="E468" t="str">
        <f>IF(F468="","",IF(COUNTIF($F$2:F468,F468)&gt;1,"",SUMIFS(tbl_input[필요수량],tbl_input[집계키_센터],F468)))</f>
        <v/>
      </c>
      <c r="F468" t="str">
        <f>IFERROR(INDEX(tbl_input[집계키_센터],ROW()-1),"")</f>
        <v/>
      </c>
      <c r="G468" t="str">
        <f t="shared" si="53"/>
        <v/>
      </c>
      <c r="H468" t="str">
        <f t="shared" si="54"/>
        <v/>
      </c>
      <c r="I468" t="str">
        <f t="shared" si="55"/>
        <v/>
      </c>
    </row>
    <row r="469" spans="1:9" x14ac:dyDescent="0.4">
      <c r="A469" t="str">
        <f t="shared" si="49"/>
        <v/>
      </c>
      <c r="B469" t="str">
        <f t="shared" si="50"/>
        <v/>
      </c>
      <c r="C469" t="str">
        <f t="shared" si="51"/>
        <v/>
      </c>
      <c r="D469" t="str">
        <f t="shared" si="52"/>
        <v/>
      </c>
      <c r="E469" t="str">
        <f>IF(F469="","",IF(COUNTIF($F$2:F469,F469)&gt;1,"",SUMIFS(tbl_input[필요수량],tbl_input[집계키_센터],F469)))</f>
        <v/>
      </c>
      <c r="F469" t="str">
        <f>IFERROR(INDEX(tbl_input[집계키_센터],ROW()-1),"")</f>
        <v/>
      </c>
      <c r="G469" t="str">
        <f t="shared" si="53"/>
        <v/>
      </c>
      <c r="H469" t="str">
        <f t="shared" si="54"/>
        <v/>
      </c>
      <c r="I469" t="str">
        <f t="shared" si="55"/>
        <v/>
      </c>
    </row>
    <row r="470" spans="1:9" x14ac:dyDescent="0.4">
      <c r="A470" t="str">
        <f t="shared" si="49"/>
        <v/>
      </c>
      <c r="B470" t="str">
        <f t="shared" si="50"/>
        <v/>
      </c>
      <c r="C470" t="str">
        <f t="shared" si="51"/>
        <v/>
      </c>
      <c r="D470" t="str">
        <f t="shared" si="52"/>
        <v/>
      </c>
      <c r="E470" t="str">
        <f>IF(F470="","",IF(COUNTIF($F$2:F470,F470)&gt;1,"",SUMIFS(tbl_input[필요수량],tbl_input[집계키_센터],F470)))</f>
        <v/>
      </c>
      <c r="F470" t="str">
        <f>IFERROR(INDEX(tbl_input[집계키_센터],ROW()-1),"")</f>
        <v/>
      </c>
      <c r="G470" t="str">
        <f t="shared" si="53"/>
        <v/>
      </c>
      <c r="H470" t="str">
        <f t="shared" si="54"/>
        <v/>
      </c>
      <c r="I470" t="str">
        <f t="shared" si="55"/>
        <v/>
      </c>
    </row>
    <row r="471" spans="1:9" x14ac:dyDescent="0.4">
      <c r="A471" t="str">
        <f t="shared" si="49"/>
        <v/>
      </c>
      <c r="B471" t="str">
        <f t="shared" si="50"/>
        <v/>
      </c>
      <c r="C471" t="str">
        <f t="shared" si="51"/>
        <v/>
      </c>
      <c r="D471" t="str">
        <f t="shared" si="52"/>
        <v/>
      </c>
      <c r="E471" t="str">
        <f>IF(F471="","",IF(COUNTIF($F$2:F471,F471)&gt;1,"",SUMIFS(tbl_input[필요수량],tbl_input[집계키_센터],F471)))</f>
        <v/>
      </c>
      <c r="F471" t="str">
        <f>IFERROR(INDEX(tbl_input[집계키_센터],ROW()-1),"")</f>
        <v/>
      </c>
      <c r="G471" t="str">
        <f t="shared" si="53"/>
        <v/>
      </c>
      <c r="H471" t="str">
        <f t="shared" si="54"/>
        <v/>
      </c>
      <c r="I471" t="str">
        <f t="shared" si="55"/>
        <v/>
      </c>
    </row>
    <row r="472" spans="1:9" x14ac:dyDescent="0.4">
      <c r="A472" t="str">
        <f t="shared" si="49"/>
        <v/>
      </c>
      <c r="B472" t="str">
        <f t="shared" si="50"/>
        <v/>
      </c>
      <c r="C472" t="str">
        <f t="shared" si="51"/>
        <v/>
      </c>
      <c r="D472" t="str">
        <f t="shared" si="52"/>
        <v/>
      </c>
      <c r="E472" t="str">
        <f>IF(F472="","",IF(COUNTIF($F$2:F472,F472)&gt;1,"",SUMIFS(tbl_input[필요수량],tbl_input[집계키_센터],F472)))</f>
        <v/>
      </c>
      <c r="F472" t="str">
        <f>IFERROR(INDEX(tbl_input[집계키_센터],ROW()-1),"")</f>
        <v/>
      </c>
      <c r="G472" t="str">
        <f t="shared" si="53"/>
        <v/>
      </c>
      <c r="H472" t="str">
        <f t="shared" si="54"/>
        <v/>
      </c>
      <c r="I472" t="str">
        <f t="shared" si="55"/>
        <v/>
      </c>
    </row>
    <row r="473" spans="1:9" x14ac:dyDescent="0.4">
      <c r="A473" t="str">
        <f t="shared" si="49"/>
        <v/>
      </c>
      <c r="B473" t="str">
        <f t="shared" si="50"/>
        <v/>
      </c>
      <c r="C473" t="str">
        <f t="shared" si="51"/>
        <v/>
      </c>
      <c r="D473" t="str">
        <f t="shared" si="52"/>
        <v/>
      </c>
      <c r="E473" t="str">
        <f>IF(F473="","",IF(COUNTIF($F$2:F473,F473)&gt;1,"",SUMIFS(tbl_input[필요수량],tbl_input[집계키_센터],F473)))</f>
        <v/>
      </c>
      <c r="F473" t="str">
        <f>IFERROR(INDEX(tbl_input[집계키_센터],ROW()-1),"")</f>
        <v/>
      </c>
      <c r="G473" t="str">
        <f t="shared" si="53"/>
        <v/>
      </c>
      <c r="H473" t="str">
        <f t="shared" si="54"/>
        <v/>
      </c>
      <c r="I473" t="str">
        <f t="shared" si="55"/>
        <v/>
      </c>
    </row>
    <row r="474" spans="1:9" x14ac:dyDescent="0.4">
      <c r="A474" t="str">
        <f t="shared" si="49"/>
        <v/>
      </c>
      <c r="B474" t="str">
        <f t="shared" si="50"/>
        <v/>
      </c>
      <c r="C474" t="str">
        <f t="shared" si="51"/>
        <v/>
      </c>
      <c r="D474" t="str">
        <f t="shared" si="52"/>
        <v/>
      </c>
      <c r="E474" t="str">
        <f>IF(F474="","",IF(COUNTIF($F$2:F474,F474)&gt;1,"",SUMIFS(tbl_input[필요수량],tbl_input[집계키_센터],F474)))</f>
        <v/>
      </c>
      <c r="F474" t="str">
        <f>IFERROR(INDEX(tbl_input[집계키_센터],ROW()-1),"")</f>
        <v/>
      </c>
      <c r="G474" t="str">
        <f t="shared" si="53"/>
        <v/>
      </c>
      <c r="H474" t="str">
        <f t="shared" si="54"/>
        <v/>
      </c>
      <c r="I474" t="str">
        <f t="shared" si="55"/>
        <v/>
      </c>
    </row>
    <row r="475" spans="1:9" x14ac:dyDescent="0.4">
      <c r="A475" t="str">
        <f t="shared" si="49"/>
        <v/>
      </c>
      <c r="B475" t="str">
        <f t="shared" si="50"/>
        <v/>
      </c>
      <c r="C475" t="str">
        <f t="shared" si="51"/>
        <v/>
      </c>
      <c r="D475" t="str">
        <f t="shared" si="52"/>
        <v/>
      </c>
      <c r="E475" t="str">
        <f>IF(F475="","",IF(COUNTIF($F$2:F475,F475)&gt;1,"",SUMIFS(tbl_input[필요수량],tbl_input[집계키_센터],F475)))</f>
        <v/>
      </c>
      <c r="F475" t="str">
        <f>IFERROR(INDEX(tbl_input[집계키_센터],ROW()-1),"")</f>
        <v/>
      </c>
      <c r="G475" t="str">
        <f t="shared" si="53"/>
        <v/>
      </c>
      <c r="H475" t="str">
        <f t="shared" si="54"/>
        <v/>
      </c>
      <c r="I475" t="str">
        <f t="shared" si="55"/>
        <v/>
      </c>
    </row>
    <row r="476" spans="1:9" x14ac:dyDescent="0.4">
      <c r="A476" t="str">
        <f t="shared" si="49"/>
        <v/>
      </c>
      <c r="B476" t="str">
        <f t="shared" si="50"/>
        <v/>
      </c>
      <c r="C476" t="str">
        <f t="shared" si="51"/>
        <v/>
      </c>
      <c r="D476" t="str">
        <f t="shared" si="52"/>
        <v/>
      </c>
      <c r="E476" t="str">
        <f>IF(F476="","",IF(COUNTIF($F$2:F476,F476)&gt;1,"",SUMIFS(tbl_input[필요수량],tbl_input[집계키_센터],F476)))</f>
        <v/>
      </c>
      <c r="F476" t="str">
        <f>IFERROR(INDEX(tbl_input[집계키_센터],ROW()-1),"")</f>
        <v/>
      </c>
      <c r="G476" t="str">
        <f t="shared" si="53"/>
        <v/>
      </c>
      <c r="H476" t="str">
        <f t="shared" si="54"/>
        <v/>
      </c>
      <c r="I476" t="str">
        <f t="shared" si="55"/>
        <v/>
      </c>
    </row>
    <row r="477" spans="1:9" x14ac:dyDescent="0.4">
      <c r="A477" t="str">
        <f t="shared" si="49"/>
        <v/>
      </c>
      <c r="B477" t="str">
        <f t="shared" si="50"/>
        <v/>
      </c>
      <c r="C477" t="str">
        <f t="shared" si="51"/>
        <v/>
      </c>
      <c r="D477" t="str">
        <f t="shared" si="52"/>
        <v/>
      </c>
      <c r="E477" t="str">
        <f>IF(F477="","",IF(COUNTIF($F$2:F477,F477)&gt;1,"",SUMIFS(tbl_input[필요수량],tbl_input[집계키_센터],F477)))</f>
        <v/>
      </c>
      <c r="F477" t="str">
        <f>IFERROR(INDEX(tbl_input[집계키_센터],ROW()-1),"")</f>
        <v/>
      </c>
      <c r="G477" t="str">
        <f t="shared" si="53"/>
        <v/>
      </c>
      <c r="H477" t="str">
        <f t="shared" si="54"/>
        <v/>
      </c>
      <c r="I477" t="str">
        <f t="shared" si="55"/>
        <v/>
      </c>
    </row>
    <row r="478" spans="1:9" x14ac:dyDescent="0.4">
      <c r="A478" t="str">
        <f t="shared" si="49"/>
        <v/>
      </c>
      <c r="B478" t="str">
        <f t="shared" si="50"/>
        <v/>
      </c>
      <c r="C478" t="str">
        <f t="shared" si="51"/>
        <v/>
      </c>
      <c r="D478" t="str">
        <f t="shared" si="52"/>
        <v/>
      </c>
      <c r="E478" t="str">
        <f>IF(F478="","",IF(COUNTIF($F$2:F478,F478)&gt;1,"",SUMIFS(tbl_input[필요수량],tbl_input[집계키_센터],F478)))</f>
        <v/>
      </c>
      <c r="F478" t="str">
        <f>IFERROR(INDEX(tbl_input[집계키_센터],ROW()-1),"")</f>
        <v/>
      </c>
      <c r="G478" t="str">
        <f t="shared" si="53"/>
        <v/>
      </c>
      <c r="H478" t="str">
        <f t="shared" si="54"/>
        <v/>
      </c>
      <c r="I478" t="str">
        <f t="shared" si="55"/>
        <v/>
      </c>
    </row>
    <row r="479" spans="1:9" x14ac:dyDescent="0.4">
      <c r="A479" t="str">
        <f t="shared" si="49"/>
        <v/>
      </c>
      <c r="B479" t="str">
        <f t="shared" si="50"/>
        <v/>
      </c>
      <c r="C479" t="str">
        <f t="shared" si="51"/>
        <v/>
      </c>
      <c r="D479" t="str">
        <f t="shared" si="52"/>
        <v/>
      </c>
      <c r="E479" t="str">
        <f>IF(F479="","",IF(COUNTIF($F$2:F479,F479)&gt;1,"",SUMIFS(tbl_input[필요수량],tbl_input[집계키_센터],F479)))</f>
        <v/>
      </c>
      <c r="F479" t="str">
        <f>IFERROR(INDEX(tbl_input[집계키_센터],ROW()-1),"")</f>
        <v/>
      </c>
      <c r="G479" t="str">
        <f t="shared" si="53"/>
        <v/>
      </c>
      <c r="H479" t="str">
        <f t="shared" si="54"/>
        <v/>
      </c>
      <c r="I479" t="str">
        <f t="shared" si="55"/>
        <v/>
      </c>
    </row>
    <row r="480" spans="1:9" x14ac:dyDescent="0.4">
      <c r="A480" t="str">
        <f t="shared" si="49"/>
        <v/>
      </c>
      <c r="B480" t="str">
        <f t="shared" si="50"/>
        <v/>
      </c>
      <c r="C480" t="str">
        <f t="shared" si="51"/>
        <v/>
      </c>
      <c r="D480" t="str">
        <f t="shared" si="52"/>
        <v/>
      </c>
      <c r="E480" t="str">
        <f>IF(F480="","",IF(COUNTIF($F$2:F480,F480)&gt;1,"",SUMIFS(tbl_input[필요수량],tbl_input[집계키_센터],F480)))</f>
        <v/>
      </c>
      <c r="F480" t="str">
        <f>IFERROR(INDEX(tbl_input[집계키_센터],ROW()-1),"")</f>
        <v/>
      </c>
      <c r="G480" t="str">
        <f t="shared" si="53"/>
        <v/>
      </c>
      <c r="H480" t="str">
        <f t="shared" si="54"/>
        <v/>
      </c>
      <c r="I480" t="str">
        <f t="shared" si="55"/>
        <v/>
      </c>
    </row>
    <row r="481" spans="1:9" x14ac:dyDescent="0.4">
      <c r="A481" t="str">
        <f t="shared" si="49"/>
        <v/>
      </c>
      <c r="B481" t="str">
        <f t="shared" si="50"/>
        <v/>
      </c>
      <c r="C481" t="str">
        <f t="shared" si="51"/>
        <v/>
      </c>
      <c r="D481" t="str">
        <f t="shared" si="52"/>
        <v/>
      </c>
      <c r="E481" t="str">
        <f>IF(F481="","",IF(COUNTIF($F$2:F481,F481)&gt;1,"",SUMIFS(tbl_input[필요수량],tbl_input[집계키_센터],F481)))</f>
        <v/>
      </c>
      <c r="F481" t="str">
        <f>IFERROR(INDEX(tbl_input[집계키_센터],ROW()-1),"")</f>
        <v/>
      </c>
      <c r="G481" t="str">
        <f t="shared" si="53"/>
        <v/>
      </c>
      <c r="H481" t="str">
        <f t="shared" si="54"/>
        <v/>
      </c>
      <c r="I481" t="str">
        <f t="shared" si="55"/>
        <v/>
      </c>
    </row>
    <row r="482" spans="1:9" x14ac:dyDescent="0.4">
      <c r="A482" t="str">
        <f t="shared" si="49"/>
        <v/>
      </c>
      <c r="B482" t="str">
        <f t="shared" si="50"/>
        <v/>
      </c>
      <c r="C482" t="str">
        <f t="shared" si="51"/>
        <v/>
      </c>
      <c r="D482" t="str">
        <f t="shared" si="52"/>
        <v/>
      </c>
      <c r="E482" t="str">
        <f>IF(F482="","",IF(COUNTIF($F$2:F482,F482)&gt;1,"",SUMIFS(tbl_input[필요수량],tbl_input[집계키_센터],F482)))</f>
        <v/>
      </c>
      <c r="F482" t="str">
        <f>IFERROR(INDEX(tbl_input[집계키_센터],ROW()-1),"")</f>
        <v/>
      </c>
      <c r="G482" t="str">
        <f t="shared" si="53"/>
        <v/>
      </c>
      <c r="H482" t="str">
        <f t="shared" si="54"/>
        <v/>
      </c>
      <c r="I482" t="str">
        <f t="shared" si="55"/>
        <v/>
      </c>
    </row>
    <row r="483" spans="1:9" x14ac:dyDescent="0.4">
      <c r="A483" t="str">
        <f t="shared" si="49"/>
        <v/>
      </c>
      <c r="B483" t="str">
        <f t="shared" si="50"/>
        <v/>
      </c>
      <c r="C483" t="str">
        <f t="shared" si="51"/>
        <v/>
      </c>
      <c r="D483" t="str">
        <f t="shared" si="52"/>
        <v/>
      </c>
      <c r="E483" t="str">
        <f>IF(F483="","",IF(COUNTIF($F$2:F483,F483)&gt;1,"",SUMIFS(tbl_input[필요수량],tbl_input[집계키_센터],F483)))</f>
        <v/>
      </c>
      <c r="F483" t="str">
        <f>IFERROR(INDEX(tbl_input[집계키_센터],ROW()-1),"")</f>
        <v/>
      </c>
      <c r="G483" t="str">
        <f t="shared" si="53"/>
        <v/>
      </c>
      <c r="H483" t="str">
        <f t="shared" si="54"/>
        <v/>
      </c>
      <c r="I483" t="str">
        <f t="shared" si="55"/>
        <v/>
      </c>
    </row>
    <row r="484" spans="1:9" x14ac:dyDescent="0.4">
      <c r="A484" t="str">
        <f t="shared" si="49"/>
        <v/>
      </c>
      <c r="B484" t="str">
        <f t="shared" si="50"/>
        <v/>
      </c>
      <c r="C484" t="str">
        <f t="shared" si="51"/>
        <v/>
      </c>
      <c r="D484" t="str">
        <f t="shared" si="52"/>
        <v/>
      </c>
      <c r="E484" t="str">
        <f>IF(F484="","",IF(COUNTIF($F$2:F484,F484)&gt;1,"",SUMIFS(tbl_input[필요수량],tbl_input[집계키_센터],F484)))</f>
        <v/>
      </c>
      <c r="F484" t="str">
        <f>IFERROR(INDEX(tbl_input[집계키_센터],ROW()-1),"")</f>
        <v/>
      </c>
      <c r="G484" t="str">
        <f t="shared" si="53"/>
        <v/>
      </c>
      <c r="H484" t="str">
        <f t="shared" si="54"/>
        <v/>
      </c>
      <c r="I484" t="str">
        <f t="shared" si="55"/>
        <v/>
      </c>
    </row>
    <row r="485" spans="1:9" x14ac:dyDescent="0.4">
      <c r="A485" t="str">
        <f t="shared" si="49"/>
        <v/>
      </c>
      <c r="B485" t="str">
        <f t="shared" si="50"/>
        <v/>
      </c>
      <c r="C485" t="str">
        <f t="shared" si="51"/>
        <v/>
      </c>
      <c r="D485" t="str">
        <f t="shared" si="52"/>
        <v/>
      </c>
      <c r="E485" t="str">
        <f>IF(F485="","",IF(COUNTIF($F$2:F485,F485)&gt;1,"",SUMIFS(tbl_input[필요수량],tbl_input[집계키_센터],F485)))</f>
        <v/>
      </c>
      <c r="F485" t="str">
        <f>IFERROR(INDEX(tbl_input[집계키_센터],ROW()-1),"")</f>
        <v/>
      </c>
      <c r="G485" t="str">
        <f t="shared" si="53"/>
        <v/>
      </c>
      <c r="H485" t="str">
        <f t="shared" si="54"/>
        <v/>
      </c>
      <c r="I485" t="str">
        <f t="shared" si="55"/>
        <v/>
      </c>
    </row>
    <row r="486" spans="1:9" x14ac:dyDescent="0.4">
      <c r="A486" t="str">
        <f t="shared" si="49"/>
        <v/>
      </c>
      <c r="B486" t="str">
        <f t="shared" si="50"/>
        <v/>
      </c>
      <c r="C486" t="str">
        <f t="shared" si="51"/>
        <v/>
      </c>
      <c r="D486" t="str">
        <f t="shared" si="52"/>
        <v/>
      </c>
      <c r="E486" t="str">
        <f>IF(F486="","",IF(COUNTIF($F$2:F486,F486)&gt;1,"",SUMIFS(tbl_input[필요수량],tbl_input[집계키_센터],F486)))</f>
        <v/>
      </c>
      <c r="F486" t="str">
        <f>IFERROR(INDEX(tbl_input[집계키_센터],ROW()-1),"")</f>
        <v/>
      </c>
      <c r="G486" t="str">
        <f t="shared" si="53"/>
        <v/>
      </c>
      <c r="H486" t="str">
        <f t="shared" si="54"/>
        <v/>
      </c>
      <c r="I486" t="str">
        <f t="shared" si="55"/>
        <v/>
      </c>
    </row>
    <row r="487" spans="1:9" x14ac:dyDescent="0.4">
      <c r="A487" t="str">
        <f t="shared" si="49"/>
        <v/>
      </c>
      <c r="B487" t="str">
        <f t="shared" si="50"/>
        <v/>
      </c>
      <c r="C487" t="str">
        <f t="shared" si="51"/>
        <v/>
      </c>
      <c r="D487" t="str">
        <f t="shared" si="52"/>
        <v/>
      </c>
      <c r="E487" t="str">
        <f>IF(F487="","",IF(COUNTIF($F$2:F487,F487)&gt;1,"",SUMIFS(tbl_input[필요수량],tbl_input[집계키_센터],F487)))</f>
        <v/>
      </c>
      <c r="F487" t="str">
        <f>IFERROR(INDEX(tbl_input[집계키_센터],ROW()-1),"")</f>
        <v/>
      </c>
      <c r="G487" t="str">
        <f t="shared" si="53"/>
        <v/>
      </c>
      <c r="H487" t="str">
        <f t="shared" si="54"/>
        <v/>
      </c>
      <c r="I487" t="str">
        <f t="shared" si="55"/>
        <v/>
      </c>
    </row>
    <row r="488" spans="1:9" x14ac:dyDescent="0.4">
      <c r="A488" t="str">
        <f t="shared" si="49"/>
        <v/>
      </c>
      <c r="B488" t="str">
        <f t="shared" si="50"/>
        <v/>
      </c>
      <c r="C488" t="str">
        <f t="shared" si="51"/>
        <v/>
      </c>
      <c r="D488" t="str">
        <f t="shared" si="52"/>
        <v/>
      </c>
      <c r="E488" t="str">
        <f>IF(F488="","",IF(COUNTIF($F$2:F488,F488)&gt;1,"",SUMIFS(tbl_input[필요수량],tbl_input[집계키_센터],F488)))</f>
        <v/>
      </c>
      <c r="F488" t="str">
        <f>IFERROR(INDEX(tbl_input[집계키_센터],ROW()-1),"")</f>
        <v/>
      </c>
      <c r="G488" t="str">
        <f t="shared" si="53"/>
        <v/>
      </c>
      <c r="H488" t="str">
        <f t="shared" si="54"/>
        <v/>
      </c>
      <c r="I488" t="str">
        <f t="shared" si="55"/>
        <v/>
      </c>
    </row>
    <row r="489" spans="1:9" x14ac:dyDescent="0.4">
      <c r="A489" t="str">
        <f t="shared" si="49"/>
        <v/>
      </c>
      <c r="B489" t="str">
        <f t="shared" si="50"/>
        <v/>
      </c>
      <c r="C489" t="str">
        <f t="shared" si="51"/>
        <v/>
      </c>
      <c r="D489" t="str">
        <f t="shared" si="52"/>
        <v/>
      </c>
      <c r="E489" t="str">
        <f>IF(F489="","",IF(COUNTIF($F$2:F489,F489)&gt;1,"",SUMIFS(tbl_input[필요수량],tbl_input[집계키_센터],F489)))</f>
        <v/>
      </c>
      <c r="F489" t="str">
        <f>IFERROR(INDEX(tbl_input[집계키_센터],ROW()-1),"")</f>
        <v/>
      </c>
      <c r="G489" t="str">
        <f t="shared" si="53"/>
        <v/>
      </c>
      <c r="H489" t="str">
        <f t="shared" si="54"/>
        <v/>
      </c>
      <c r="I489" t="str">
        <f t="shared" si="55"/>
        <v/>
      </c>
    </row>
    <row r="490" spans="1:9" x14ac:dyDescent="0.4">
      <c r="A490" t="str">
        <f t="shared" si="49"/>
        <v/>
      </c>
      <c r="B490" t="str">
        <f t="shared" si="50"/>
        <v/>
      </c>
      <c r="C490" t="str">
        <f t="shared" si="51"/>
        <v/>
      </c>
      <c r="D490" t="str">
        <f t="shared" si="52"/>
        <v/>
      </c>
      <c r="E490" t="str">
        <f>IF(F490="","",IF(COUNTIF($F$2:F490,F490)&gt;1,"",SUMIFS(tbl_input[필요수량],tbl_input[집계키_센터],F490)))</f>
        <v/>
      </c>
      <c r="F490" t="str">
        <f>IFERROR(INDEX(tbl_input[집계키_센터],ROW()-1),"")</f>
        <v/>
      </c>
      <c r="G490" t="str">
        <f t="shared" si="53"/>
        <v/>
      </c>
      <c r="H490" t="str">
        <f t="shared" si="54"/>
        <v/>
      </c>
      <c r="I490" t="str">
        <f t="shared" si="55"/>
        <v/>
      </c>
    </row>
    <row r="491" spans="1:9" x14ac:dyDescent="0.4">
      <c r="A491" t="str">
        <f t="shared" si="49"/>
        <v/>
      </c>
      <c r="B491" t="str">
        <f t="shared" si="50"/>
        <v/>
      </c>
      <c r="C491" t="str">
        <f t="shared" si="51"/>
        <v/>
      </c>
      <c r="D491" t="str">
        <f t="shared" si="52"/>
        <v/>
      </c>
      <c r="E491" t="str">
        <f>IF(F491="","",IF(COUNTIF($F$2:F491,F491)&gt;1,"",SUMIFS(tbl_input[필요수량],tbl_input[집계키_센터],F491)))</f>
        <v/>
      </c>
      <c r="F491" t="str">
        <f>IFERROR(INDEX(tbl_input[집계키_센터],ROW()-1),"")</f>
        <v/>
      </c>
      <c r="G491" t="str">
        <f t="shared" si="53"/>
        <v/>
      </c>
      <c r="H491" t="str">
        <f t="shared" si="54"/>
        <v/>
      </c>
      <c r="I491" t="str">
        <f t="shared" si="55"/>
        <v/>
      </c>
    </row>
    <row r="492" spans="1:9" x14ac:dyDescent="0.4">
      <c r="A492" t="str">
        <f t="shared" si="49"/>
        <v/>
      </c>
      <c r="B492" t="str">
        <f t="shared" si="50"/>
        <v/>
      </c>
      <c r="C492" t="str">
        <f t="shared" si="51"/>
        <v/>
      </c>
      <c r="D492" t="str">
        <f t="shared" si="52"/>
        <v/>
      </c>
      <c r="E492" t="str">
        <f>IF(F492="","",IF(COUNTIF($F$2:F492,F492)&gt;1,"",SUMIFS(tbl_input[필요수량],tbl_input[집계키_센터],F492)))</f>
        <v/>
      </c>
      <c r="F492" t="str">
        <f>IFERROR(INDEX(tbl_input[집계키_센터],ROW()-1),"")</f>
        <v/>
      </c>
      <c r="G492" t="str">
        <f t="shared" si="53"/>
        <v/>
      </c>
      <c r="H492" t="str">
        <f t="shared" si="54"/>
        <v/>
      </c>
      <c r="I492" t="str">
        <f t="shared" si="55"/>
        <v/>
      </c>
    </row>
    <row r="493" spans="1:9" x14ac:dyDescent="0.4">
      <c r="A493" t="str">
        <f t="shared" si="49"/>
        <v/>
      </c>
      <c r="B493" t="str">
        <f t="shared" si="50"/>
        <v/>
      </c>
      <c r="C493" t="str">
        <f t="shared" si="51"/>
        <v/>
      </c>
      <c r="D493" t="str">
        <f t="shared" si="52"/>
        <v/>
      </c>
      <c r="E493" t="str">
        <f>IF(F493="","",IF(COUNTIF($F$2:F493,F493)&gt;1,"",SUMIFS(tbl_input[필요수량],tbl_input[집계키_센터],F493)))</f>
        <v/>
      </c>
      <c r="F493" t="str">
        <f>IFERROR(INDEX(tbl_input[집계키_센터],ROW()-1),"")</f>
        <v/>
      </c>
      <c r="G493" t="str">
        <f t="shared" si="53"/>
        <v/>
      </c>
      <c r="H493" t="str">
        <f t="shared" si="54"/>
        <v/>
      </c>
      <c r="I493" t="str">
        <f t="shared" si="55"/>
        <v/>
      </c>
    </row>
    <row r="494" spans="1:9" x14ac:dyDescent="0.4">
      <c r="A494" t="str">
        <f t="shared" si="49"/>
        <v/>
      </c>
      <c r="B494" t="str">
        <f t="shared" si="50"/>
        <v/>
      </c>
      <c r="C494" t="str">
        <f t="shared" si="51"/>
        <v/>
      </c>
      <c r="D494" t="str">
        <f t="shared" si="52"/>
        <v/>
      </c>
      <c r="E494" t="str">
        <f>IF(F494="","",IF(COUNTIF($F$2:F494,F494)&gt;1,"",SUMIFS(tbl_input[필요수량],tbl_input[집계키_센터],F494)))</f>
        <v/>
      </c>
      <c r="F494" t="str">
        <f>IFERROR(INDEX(tbl_input[집계키_센터],ROW()-1),"")</f>
        <v/>
      </c>
      <c r="G494" t="str">
        <f t="shared" si="53"/>
        <v/>
      </c>
      <c r="H494" t="str">
        <f t="shared" si="54"/>
        <v/>
      </c>
      <c r="I494" t="str">
        <f t="shared" si="55"/>
        <v/>
      </c>
    </row>
    <row r="495" spans="1:9" x14ac:dyDescent="0.4">
      <c r="A495" t="str">
        <f t="shared" si="49"/>
        <v/>
      </c>
      <c r="B495" t="str">
        <f t="shared" si="50"/>
        <v/>
      </c>
      <c r="C495" t="str">
        <f t="shared" si="51"/>
        <v/>
      </c>
      <c r="D495" t="str">
        <f t="shared" si="52"/>
        <v/>
      </c>
      <c r="E495" t="str">
        <f>IF(F495="","",IF(COUNTIF($F$2:F495,F495)&gt;1,"",SUMIFS(tbl_input[필요수량],tbl_input[집계키_센터],F495)))</f>
        <v/>
      </c>
      <c r="F495" t="str">
        <f>IFERROR(INDEX(tbl_input[집계키_센터],ROW()-1),"")</f>
        <v/>
      </c>
      <c r="G495" t="str">
        <f t="shared" si="53"/>
        <v/>
      </c>
      <c r="H495" t="str">
        <f t="shared" si="54"/>
        <v/>
      </c>
      <c r="I495" t="str">
        <f t="shared" si="55"/>
        <v/>
      </c>
    </row>
    <row r="496" spans="1:9" x14ac:dyDescent="0.4">
      <c r="A496" t="str">
        <f t="shared" si="49"/>
        <v/>
      </c>
      <c r="B496" t="str">
        <f t="shared" si="50"/>
        <v/>
      </c>
      <c r="C496" t="str">
        <f t="shared" si="51"/>
        <v/>
      </c>
      <c r="D496" t="str">
        <f t="shared" si="52"/>
        <v/>
      </c>
      <c r="E496" t="str">
        <f>IF(F496="","",IF(COUNTIF($F$2:F496,F496)&gt;1,"",SUMIFS(tbl_input[필요수량],tbl_input[집계키_센터],F496)))</f>
        <v/>
      </c>
      <c r="F496" t="str">
        <f>IFERROR(INDEX(tbl_input[집계키_센터],ROW()-1),"")</f>
        <v/>
      </c>
      <c r="G496" t="str">
        <f t="shared" si="53"/>
        <v/>
      </c>
      <c r="H496" t="str">
        <f t="shared" si="54"/>
        <v/>
      </c>
      <c r="I496" t="str">
        <f t="shared" si="55"/>
        <v/>
      </c>
    </row>
    <row r="497" spans="1:9" x14ac:dyDescent="0.4">
      <c r="A497" t="str">
        <f t="shared" si="49"/>
        <v/>
      </c>
      <c r="B497" t="str">
        <f t="shared" si="50"/>
        <v/>
      </c>
      <c r="C497" t="str">
        <f t="shared" si="51"/>
        <v/>
      </c>
      <c r="D497" t="str">
        <f t="shared" si="52"/>
        <v/>
      </c>
      <c r="E497" t="str">
        <f>IF(F497="","",IF(COUNTIF($F$2:F497,F497)&gt;1,"",SUMIFS(tbl_input[필요수량],tbl_input[집계키_센터],F497)))</f>
        <v/>
      </c>
      <c r="F497" t="str">
        <f>IFERROR(INDEX(tbl_input[집계키_센터],ROW()-1),"")</f>
        <v/>
      </c>
      <c r="G497" t="str">
        <f t="shared" si="53"/>
        <v/>
      </c>
      <c r="H497" t="str">
        <f t="shared" si="54"/>
        <v/>
      </c>
      <c r="I497" t="str">
        <f t="shared" si="55"/>
        <v/>
      </c>
    </row>
    <row r="498" spans="1:9" x14ac:dyDescent="0.4">
      <c r="A498" t="str">
        <f t="shared" si="49"/>
        <v/>
      </c>
      <c r="B498" t="str">
        <f t="shared" si="50"/>
        <v/>
      </c>
      <c r="C498" t="str">
        <f t="shared" si="51"/>
        <v/>
      </c>
      <c r="D498" t="str">
        <f t="shared" si="52"/>
        <v/>
      </c>
      <c r="E498" t="str">
        <f>IF(F498="","",IF(COUNTIF($F$2:F498,F498)&gt;1,"",SUMIFS(tbl_input[필요수량],tbl_input[집계키_센터],F498)))</f>
        <v/>
      </c>
      <c r="F498" t="str">
        <f>IFERROR(INDEX(tbl_input[집계키_센터],ROW()-1),"")</f>
        <v/>
      </c>
      <c r="G498" t="str">
        <f t="shared" si="53"/>
        <v/>
      </c>
      <c r="H498" t="str">
        <f t="shared" si="54"/>
        <v/>
      </c>
      <c r="I498" t="str">
        <f t="shared" si="55"/>
        <v/>
      </c>
    </row>
    <row r="499" spans="1:9" x14ac:dyDescent="0.4">
      <c r="A499" t="str">
        <f t="shared" si="49"/>
        <v/>
      </c>
      <c r="B499" t="str">
        <f t="shared" si="50"/>
        <v/>
      </c>
      <c r="C499" t="str">
        <f t="shared" si="51"/>
        <v/>
      </c>
      <c r="D499" t="str">
        <f t="shared" si="52"/>
        <v/>
      </c>
      <c r="E499" t="str">
        <f>IF(F499="","",IF(COUNTIF($F$2:F499,F499)&gt;1,"",SUMIFS(tbl_input[필요수량],tbl_input[집계키_센터],F499)))</f>
        <v/>
      </c>
      <c r="F499" t="str">
        <f>IFERROR(INDEX(tbl_input[집계키_센터],ROW()-1),"")</f>
        <v/>
      </c>
      <c r="G499" t="str">
        <f t="shared" si="53"/>
        <v/>
      </c>
      <c r="H499" t="str">
        <f t="shared" si="54"/>
        <v/>
      </c>
      <c r="I499" t="str">
        <f t="shared" si="55"/>
        <v/>
      </c>
    </row>
    <row r="500" spans="1:9" x14ac:dyDescent="0.4">
      <c r="A500" t="str">
        <f t="shared" si="49"/>
        <v/>
      </c>
      <c r="B500" t="str">
        <f t="shared" si="50"/>
        <v/>
      </c>
      <c r="C500" t="str">
        <f t="shared" si="51"/>
        <v/>
      </c>
      <c r="D500" t="str">
        <f t="shared" si="52"/>
        <v/>
      </c>
      <c r="E500" t="str">
        <f>IF(F500="","",IF(COUNTIF($F$2:F500,F500)&gt;1,"",SUMIFS(tbl_input[필요수량],tbl_input[집계키_센터],F500)))</f>
        <v/>
      </c>
      <c r="F500" t="str">
        <f>IFERROR(INDEX(tbl_input[집계키_센터],ROW()-1),"")</f>
        <v/>
      </c>
      <c r="G500" t="str">
        <f t="shared" si="53"/>
        <v/>
      </c>
      <c r="H500" t="str">
        <f t="shared" si="54"/>
        <v/>
      </c>
      <c r="I500" t="str">
        <f t="shared" si="55"/>
        <v/>
      </c>
    </row>
    <row r="501" spans="1:9" x14ac:dyDescent="0.4">
      <c r="A501" t="str">
        <f t="shared" si="49"/>
        <v/>
      </c>
      <c r="B501" t="str">
        <f t="shared" si="50"/>
        <v/>
      </c>
      <c r="C501" t="str">
        <f t="shared" si="51"/>
        <v/>
      </c>
      <c r="D501" t="str">
        <f t="shared" si="52"/>
        <v/>
      </c>
      <c r="E501" t="str">
        <f>IF(F501="","",IF(COUNTIF($F$2:F501,F501)&gt;1,"",SUMIFS(tbl_input[필요수량],tbl_input[집계키_센터],F501)))</f>
        <v/>
      </c>
      <c r="F501" t="str">
        <f>IFERROR(INDEX(tbl_input[집계키_센터],ROW()-1),"")</f>
        <v/>
      </c>
      <c r="G501" t="str">
        <f t="shared" si="53"/>
        <v/>
      </c>
      <c r="H501" t="str">
        <f t="shared" si="54"/>
        <v/>
      </c>
      <c r="I501" t="str">
        <f t="shared" si="55"/>
        <v/>
      </c>
    </row>
    <row r="502" spans="1:9" x14ac:dyDescent="0.4">
      <c r="A502" t="str">
        <f t="shared" si="49"/>
        <v/>
      </c>
      <c r="B502" t="str">
        <f t="shared" si="50"/>
        <v/>
      </c>
      <c r="C502" t="str">
        <f t="shared" si="51"/>
        <v/>
      </c>
      <c r="D502" t="str">
        <f t="shared" si="52"/>
        <v/>
      </c>
      <c r="E502" t="str">
        <f>IF(F502="","",IF(COUNTIF($F$2:F502,F502)&gt;1,"",SUMIFS(tbl_input[필요수량],tbl_input[집계키_센터],F502)))</f>
        <v/>
      </c>
      <c r="F502" t="str">
        <f>IFERROR(INDEX(tbl_input[집계키_센터],ROW()-1),"")</f>
        <v/>
      </c>
      <c r="G502" t="str">
        <f t="shared" si="53"/>
        <v/>
      </c>
      <c r="H502" t="str">
        <f t="shared" si="54"/>
        <v/>
      </c>
      <c r="I502" t="str">
        <f t="shared" si="55"/>
        <v/>
      </c>
    </row>
    <row r="503" spans="1:9" x14ac:dyDescent="0.4">
      <c r="A503" t="str">
        <f t="shared" si="49"/>
        <v/>
      </c>
      <c r="B503" t="str">
        <f t="shared" si="50"/>
        <v/>
      </c>
      <c r="C503" t="str">
        <f t="shared" si="51"/>
        <v/>
      </c>
      <c r="D503" t="str">
        <f t="shared" si="52"/>
        <v/>
      </c>
      <c r="E503" t="str">
        <f>IF(F503="","",IF(COUNTIF($F$2:F503,F503)&gt;1,"",SUMIFS(tbl_input[필요수량],tbl_input[집계키_센터],F503)))</f>
        <v/>
      </c>
      <c r="F503" t="str">
        <f>IFERROR(INDEX(tbl_input[집계키_센터],ROW()-1),"")</f>
        <v/>
      </c>
      <c r="G503" t="str">
        <f t="shared" si="53"/>
        <v/>
      </c>
      <c r="H503" t="str">
        <f t="shared" si="54"/>
        <v/>
      </c>
      <c r="I503" t="str">
        <f t="shared" si="55"/>
        <v/>
      </c>
    </row>
    <row r="504" spans="1:9" x14ac:dyDescent="0.4">
      <c r="A504" t="str">
        <f t="shared" si="49"/>
        <v/>
      </c>
      <c r="B504" t="str">
        <f t="shared" si="50"/>
        <v/>
      </c>
      <c r="C504" t="str">
        <f t="shared" si="51"/>
        <v/>
      </c>
      <c r="D504" t="str">
        <f t="shared" si="52"/>
        <v/>
      </c>
      <c r="E504" t="str">
        <f>IF(F504="","",IF(COUNTIF($F$2:F504,F504)&gt;1,"",SUMIFS(tbl_input[필요수량],tbl_input[집계키_센터],F504)))</f>
        <v/>
      </c>
      <c r="F504" t="str">
        <f>IFERROR(INDEX(tbl_input[집계키_센터],ROW()-1),"")</f>
        <v/>
      </c>
      <c r="G504" t="str">
        <f t="shared" si="53"/>
        <v/>
      </c>
      <c r="H504" t="str">
        <f t="shared" si="54"/>
        <v/>
      </c>
      <c r="I504" t="str">
        <f t="shared" si="55"/>
        <v/>
      </c>
    </row>
    <row r="505" spans="1:9" x14ac:dyDescent="0.4">
      <c r="A505" t="str">
        <f t="shared" si="49"/>
        <v/>
      </c>
      <c r="B505" t="str">
        <f t="shared" si="50"/>
        <v/>
      </c>
      <c r="C505" t="str">
        <f t="shared" si="51"/>
        <v/>
      </c>
      <c r="D505" t="str">
        <f t="shared" si="52"/>
        <v/>
      </c>
      <c r="E505" t="str">
        <f>IF(F505="","",IF(COUNTIF($F$2:F505,F505)&gt;1,"",SUMIFS(tbl_input[필요수량],tbl_input[집계키_센터],F505)))</f>
        <v/>
      </c>
      <c r="F505" t="str">
        <f>IFERROR(INDEX(tbl_input[집계키_센터],ROW()-1),"")</f>
        <v/>
      </c>
      <c r="G505" t="str">
        <f t="shared" si="53"/>
        <v/>
      </c>
      <c r="H505" t="str">
        <f t="shared" si="54"/>
        <v/>
      </c>
      <c r="I505" t="str">
        <f t="shared" si="55"/>
        <v/>
      </c>
    </row>
    <row r="506" spans="1:9" x14ac:dyDescent="0.4">
      <c r="A506" t="str">
        <f t="shared" si="49"/>
        <v/>
      </c>
      <c r="B506" t="str">
        <f t="shared" si="50"/>
        <v/>
      </c>
      <c r="C506" t="str">
        <f t="shared" si="51"/>
        <v/>
      </c>
      <c r="D506" t="str">
        <f t="shared" si="52"/>
        <v/>
      </c>
      <c r="E506" t="str">
        <f>IF(F506="","",IF(COUNTIF($F$2:F506,F506)&gt;1,"",SUMIFS(tbl_input[필요수량],tbl_input[집계키_센터],F506)))</f>
        <v/>
      </c>
      <c r="F506" t="str">
        <f>IFERROR(INDEX(tbl_input[집계키_센터],ROW()-1),"")</f>
        <v/>
      </c>
      <c r="G506" t="str">
        <f t="shared" si="53"/>
        <v/>
      </c>
      <c r="H506" t="str">
        <f t="shared" si="54"/>
        <v/>
      </c>
      <c r="I506" t="str">
        <f t="shared" si="55"/>
        <v/>
      </c>
    </row>
    <row r="507" spans="1:9" x14ac:dyDescent="0.4">
      <c r="A507" t="str">
        <f t="shared" si="49"/>
        <v/>
      </c>
      <c r="B507" t="str">
        <f t="shared" si="50"/>
        <v/>
      </c>
      <c r="C507" t="str">
        <f t="shared" si="51"/>
        <v/>
      </c>
      <c r="D507" t="str">
        <f t="shared" si="52"/>
        <v/>
      </c>
      <c r="E507" t="str">
        <f>IF(F507="","",IF(COUNTIF($F$2:F507,F507)&gt;1,"",SUMIFS(tbl_input[필요수량],tbl_input[집계키_센터],F507)))</f>
        <v/>
      </c>
      <c r="F507" t="str">
        <f>IFERROR(INDEX(tbl_input[집계키_센터],ROW()-1),"")</f>
        <v/>
      </c>
      <c r="G507" t="str">
        <f t="shared" si="53"/>
        <v/>
      </c>
      <c r="H507" t="str">
        <f t="shared" si="54"/>
        <v/>
      </c>
      <c r="I507" t="str">
        <f t="shared" si="55"/>
        <v/>
      </c>
    </row>
    <row r="508" spans="1:9" x14ac:dyDescent="0.4">
      <c r="A508" t="str">
        <f t="shared" si="49"/>
        <v/>
      </c>
      <c r="B508" t="str">
        <f t="shared" si="50"/>
        <v/>
      </c>
      <c r="C508" t="str">
        <f t="shared" si="51"/>
        <v/>
      </c>
      <c r="D508" t="str">
        <f t="shared" si="52"/>
        <v/>
      </c>
      <c r="E508" t="str">
        <f>IF(F508="","",IF(COUNTIF($F$2:F508,F508)&gt;1,"",SUMIFS(tbl_input[필요수량],tbl_input[집계키_센터],F508)))</f>
        <v/>
      </c>
      <c r="F508" t="str">
        <f>IFERROR(INDEX(tbl_input[집계키_센터],ROW()-1),"")</f>
        <v/>
      </c>
      <c r="G508" t="str">
        <f t="shared" si="53"/>
        <v/>
      </c>
      <c r="H508" t="str">
        <f t="shared" si="54"/>
        <v/>
      </c>
      <c r="I508" t="str">
        <f t="shared" si="55"/>
        <v/>
      </c>
    </row>
    <row r="509" spans="1:9" x14ac:dyDescent="0.4">
      <c r="A509" t="str">
        <f t="shared" si="49"/>
        <v/>
      </c>
      <c r="B509" t="str">
        <f t="shared" si="50"/>
        <v/>
      </c>
      <c r="C509" t="str">
        <f t="shared" si="51"/>
        <v/>
      </c>
      <c r="D509" t="str">
        <f t="shared" si="52"/>
        <v/>
      </c>
      <c r="E509" t="str">
        <f>IF(F509="","",IF(COUNTIF($F$2:F509,F509)&gt;1,"",SUMIFS(tbl_input[필요수량],tbl_input[집계키_센터],F509)))</f>
        <v/>
      </c>
      <c r="F509" t="str">
        <f>IFERROR(INDEX(tbl_input[집계키_센터],ROW()-1),"")</f>
        <v/>
      </c>
      <c r="G509" t="str">
        <f t="shared" si="53"/>
        <v/>
      </c>
      <c r="H509" t="str">
        <f t="shared" si="54"/>
        <v/>
      </c>
      <c r="I509" t="str">
        <f t="shared" si="55"/>
        <v/>
      </c>
    </row>
    <row r="510" spans="1:9" x14ac:dyDescent="0.4">
      <c r="A510" t="str">
        <f t="shared" si="49"/>
        <v/>
      </c>
      <c r="B510" t="str">
        <f t="shared" si="50"/>
        <v/>
      </c>
      <c r="C510" t="str">
        <f t="shared" si="51"/>
        <v/>
      </c>
      <c r="D510" t="str">
        <f t="shared" si="52"/>
        <v/>
      </c>
      <c r="E510" t="str">
        <f>IF(F510="","",IF(COUNTIF($F$2:F510,F510)&gt;1,"",SUMIFS(tbl_input[필요수량],tbl_input[집계키_센터],F510)))</f>
        <v/>
      </c>
      <c r="F510" t="str">
        <f>IFERROR(INDEX(tbl_input[집계키_센터],ROW()-1),"")</f>
        <v/>
      </c>
      <c r="G510" t="str">
        <f t="shared" si="53"/>
        <v/>
      </c>
      <c r="H510" t="str">
        <f t="shared" si="54"/>
        <v/>
      </c>
      <c r="I510" t="str">
        <f t="shared" si="55"/>
        <v/>
      </c>
    </row>
    <row r="511" spans="1:9" x14ac:dyDescent="0.4">
      <c r="A511" t="str">
        <f t="shared" si="49"/>
        <v/>
      </c>
      <c r="B511" t="str">
        <f t="shared" si="50"/>
        <v/>
      </c>
      <c r="C511" t="str">
        <f t="shared" si="51"/>
        <v/>
      </c>
      <c r="D511" t="str">
        <f t="shared" si="52"/>
        <v/>
      </c>
      <c r="E511" t="str">
        <f>IF(F511="","",IF(COUNTIF($F$2:F511,F511)&gt;1,"",SUMIFS(tbl_input[필요수량],tbl_input[집계키_센터],F511)))</f>
        <v/>
      </c>
      <c r="F511" t="str">
        <f>IFERROR(INDEX(tbl_input[집계키_센터],ROW()-1),"")</f>
        <v/>
      </c>
      <c r="G511" t="str">
        <f t="shared" si="53"/>
        <v/>
      </c>
      <c r="H511" t="str">
        <f t="shared" si="54"/>
        <v/>
      </c>
      <c r="I511" t="str">
        <f t="shared" si="55"/>
        <v/>
      </c>
    </row>
    <row r="512" spans="1:9" x14ac:dyDescent="0.4">
      <c r="A512" t="str">
        <f t="shared" si="49"/>
        <v/>
      </c>
      <c r="B512" t="str">
        <f t="shared" si="50"/>
        <v/>
      </c>
      <c r="C512" t="str">
        <f t="shared" si="51"/>
        <v/>
      </c>
      <c r="D512" t="str">
        <f t="shared" si="52"/>
        <v/>
      </c>
      <c r="E512" t="str">
        <f>IF(F512="","",IF(COUNTIF($F$2:F512,F512)&gt;1,"",SUMIFS(tbl_input[필요수량],tbl_input[집계키_센터],F512)))</f>
        <v/>
      </c>
      <c r="F512" t="str">
        <f>IFERROR(INDEX(tbl_input[집계키_센터],ROW()-1),"")</f>
        <v/>
      </c>
      <c r="G512" t="str">
        <f t="shared" si="53"/>
        <v/>
      </c>
      <c r="H512" t="str">
        <f t="shared" si="54"/>
        <v/>
      </c>
      <c r="I512" t="str">
        <f t="shared" si="55"/>
        <v/>
      </c>
    </row>
    <row r="513" spans="1:9" x14ac:dyDescent="0.4">
      <c r="A513" t="str">
        <f t="shared" si="49"/>
        <v/>
      </c>
      <c r="B513" t="str">
        <f t="shared" si="50"/>
        <v/>
      </c>
      <c r="C513" t="str">
        <f t="shared" si="51"/>
        <v/>
      </c>
      <c r="D513" t="str">
        <f t="shared" si="52"/>
        <v/>
      </c>
      <c r="E513" t="str">
        <f>IF(F513="","",IF(COUNTIF($F$2:F513,F513)&gt;1,"",SUMIFS(tbl_input[필요수량],tbl_input[집계키_센터],F513)))</f>
        <v/>
      </c>
      <c r="F513" t="str">
        <f>IFERROR(INDEX(tbl_input[집계키_센터],ROW()-1),"")</f>
        <v/>
      </c>
      <c r="G513" t="str">
        <f t="shared" si="53"/>
        <v/>
      </c>
      <c r="H513" t="str">
        <f t="shared" si="54"/>
        <v/>
      </c>
      <c r="I513" t="str">
        <f t="shared" si="55"/>
        <v/>
      </c>
    </row>
    <row r="514" spans="1:9" x14ac:dyDescent="0.4">
      <c r="A514" t="str">
        <f t="shared" ref="A514:A577" si="56">IF(F514="","",LEFT(F514,G514-1))</f>
        <v/>
      </c>
      <c r="B514" t="str">
        <f t="shared" ref="B514:B577" si="57">IF(F514="","",MID(F514,G514+1,H514-G514-1))</f>
        <v/>
      </c>
      <c r="C514" t="str">
        <f t="shared" ref="C514:C577" si="58">IF(F514="","",MID(F514,H514+1,I514-H514-1))</f>
        <v/>
      </c>
      <c r="D514" t="str">
        <f t="shared" ref="D514:D577" si="59">IF(F514="","",MID(F514,I514+1,999))</f>
        <v/>
      </c>
      <c r="E514" t="str">
        <f>IF(F514="","",IF(COUNTIF($F$2:F514,F514)&gt;1,"",SUMIFS(tbl_input[필요수량],tbl_input[집계키_센터],F514)))</f>
        <v/>
      </c>
      <c r="F514" t="str">
        <f>IFERROR(INDEX(tbl_input[집계키_센터],ROW()-1),"")</f>
        <v/>
      </c>
      <c r="G514" t="str">
        <f t="shared" ref="G514:G577" si="60">IF(F514="","",FIND("♦",F514))</f>
        <v/>
      </c>
      <c r="H514" t="str">
        <f t="shared" ref="H514:H577" si="61">IF(F514="","",FIND("♦",F514,G514+1))</f>
        <v/>
      </c>
      <c r="I514" t="str">
        <f t="shared" ref="I514:I577" si="62">IF(F514="","",FIND("♦",F514,H514+1))</f>
        <v/>
      </c>
    </row>
    <row r="515" spans="1:9" x14ac:dyDescent="0.4">
      <c r="A515" t="str">
        <f t="shared" si="56"/>
        <v/>
      </c>
      <c r="B515" t="str">
        <f t="shared" si="57"/>
        <v/>
      </c>
      <c r="C515" t="str">
        <f t="shared" si="58"/>
        <v/>
      </c>
      <c r="D515" t="str">
        <f t="shared" si="59"/>
        <v/>
      </c>
      <c r="E515" t="str">
        <f>IF(F515="","",IF(COUNTIF($F$2:F515,F515)&gt;1,"",SUMIFS(tbl_input[필요수량],tbl_input[집계키_센터],F515)))</f>
        <v/>
      </c>
      <c r="F515" t="str">
        <f>IFERROR(INDEX(tbl_input[집계키_센터],ROW()-1),"")</f>
        <v/>
      </c>
      <c r="G515" t="str">
        <f t="shared" si="60"/>
        <v/>
      </c>
      <c r="H515" t="str">
        <f t="shared" si="61"/>
        <v/>
      </c>
      <c r="I515" t="str">
        <f t="shared" si="62"/>
        <v/>
      </c>
    </row>
    <row r="516" spans="1:9" x14ac:dyDescent="0.4">
      <c r="A516" t="str">
        <f t="shared" si="56"/>
        <v/>
      </c>
      <c r="B516" t="str">
        <f t="shared" si="57"/>
        <v/>
      </c>
      <c r="C516" t="str">
        <f t="shared" si="58"/>
        <v/>
      </c>
      <c r="D516" t="str">
        <f t="shared" si="59"/>
        <v/>
      </c>
      <c r="E516" t="str">
        <f>IF(F516="","",IF(COUNTIF($F$2:F516,F516)&gt;1,"",SUMIFS(tbl_input[필요수량],tbl_input[집계키_센터],F516)))</f>
        <v/>
      </c>
      <c r="F516" t="str">
        <f>IFERROR(INDEX(tbl_input[집계키_센터],ROW()-1),"")</f>
        <v/>
      </c>
      <c r="G516" t="str">
        <f t="shared" si="60"/>
        <v/>
      </c>
      <c r="H516" t="str">
        <f t="shared" si="61"/>
        <v/>
      </c>
      <c r="I516" t="str">
        <f t="shared" si="62"/>
        <v/>
      </c>
    </row>
    <row r="517" spans="1:9" x14ac:dyDescent="0.4">
      <c r="A517" t="str">
        <f t="shared" si="56"/>
        <v/>
      </c>
      <c r="B517" t="str">
        <f t="shared" si="57"/>
        <v/>
      </c>
      <c r="C517" t="str">
        <f t="shared" si="58"/>
        <v/>
      </c>
      <c r="D517" t="str">
        <f t="shared" si="59"/>
        <v/>
      </c>
      <c r="E517" t="str">
        <f>IF(F517="","",IF(COUNTIF($F$2:F517,F517)&gt;1,"",SUMIFS(tbl_input[필요수량],tbl_input[집계키_센터],F517)))</f>
        <v/>
      </c>
      <c r="F517" t="str">
        <f>IFERROR(INDEX(tbl_input[집계키_센터],ROW()-1),"")</f>
        <v/>
      </c>
      <c r="G517" t="str">
        <f t="shared" si="60"/>
        <v/>
      </c>
      <c r="H517" t="str">
        <f t="shared" si="61"/>
        <v/>
      </c>
      <c r="I517" t="str">
        <f t="shared" si="62"/>
        <v/>
      </c>
    </row>
    <row r="518" spans="1:9" x14ac:dyDescent="0.4">
      <c r="A518" t="str">
        <f t="shared" si="56"/>
        <v/>
      </c>
      <c r="B518" t="str">
        <f t="shared" si="57"/>
        <v/>
      </c>
      <c r="C518" t="str">
        <f t="shared" si="58"/>
        <v/>
      </c>
      <c r="D518" t="str">
        <f t="shared" si="59"/>
        <v/>
      </c>
      <c r="E518" t="str">
        <f>IF(F518="","",IF(COUNTIF($F$2:F518,F518)&gt;1,"",SUMIFS(tbl_input[필요수량],tbl_input[집계키_센터],F518)))</f>
        <v/>
      </c>
      <c r="F518" t="str">
        <f>IFERROR(INDEX(tbl_input[집계키_센터],ROW()-1),"")</f>
        <v/>
      </c>
      <c r="G518" t="str">
        <f t="shared" si="60"/>
        <v/>
      </c>
      <c r="H518" t="str">
        <f t="shared" si="61"/>
        <v/>
      </c>
      <c r="I518" t="str">
        <f t="shared" si="62"/>
        <v/>
      </c>
    </row>
    <row r="519" spans="1:9" x14ac:dyDescent="0.4">
      <c r="A519" t="str">
        <f t="shared" si="56"/>
        <v/>
      </c>
      <c r="B519" t="str">
        <f t="shared" si="57"/>
        <v/>
      </c>
      <c r="C519" t="str">
        <f t="shared" si="58"/>
        <v/>
      </c>
      <c r="D519" t="str">
        <f t="shared" si="59"/>
        <v/>
      </c>
      <c r="E519" t="str">
        <f>IF(F519="","",IF(COUNTIF($F$2:F519,F519)&gt;1,"",SUMIFS(tbl_input[필요수량],tbl_input[집계키_센터],F519)))</f>
        <v/>
      </c>
      <c r="F519" t="str">
        <f>IFERROR(INDEX(tbl_input[집계키_센터],ROW()-1),"")</f>
        <v/>
      </c>
      <c r="G519" t="str">
        <f t="shared" si="60"/>
        <v/>
      </c>
      <c r="H519" t="str">
        <f t="shared" si="61"/>
        <v/>
      </c>
      <c r="I519" t="str">
        <f t="shared" si="62"/>
        <v/>
      </c>
    </row>
    <row r="520" spans="1:9" x14ac:dyDescent="0.4">
      <c r="A520" t="str">
        <f t="shared" si="56"/>
        <v/>
      </c>
      <c r="B520" t="str">
        <f t="shared" si="57"/>
        <v/>
      </c>
      <c r="C520" t="str">
        <f t="shared" si="58"/>
        <v/>
      </c>
      <c r="D520" t="str">
        <f t="shared" si="59"/>
        <v/>
      </c>
      <c r="E520" t="str">
        <f>IF(F520="","",IF(COUNTIF($F$2:F520,F520)&gt;1,"",SUMIFS(tbl_input[필요수량],tbl_input[집계키_센터],F520)))</f>
        <v/>
      </c>
      <c r="F520" t="str">
        <f>IFERROR(INDEX(tbl_input[집계키_센터],ROW()-1),"")</f>
        <v/>
      </c>
      <c r="G520" t="str">
        <f t="shared" si="60"/>
        <v/>
      </c>
      <c r="H520" t="str">
        <f t="shared" si="61"/>
        <v/>
      </c>
      <c r="I520" t="str">
        <f t="shared" si="62"/>
        <v/>
      </c>
    </row>
    <row r="521" spans="1:9" x14ac:dyDescent="0.4">
      <c r="A521" t="str">
        <f t="shared" si="56"/>
        <v/>
      </c>
      <c r="B521" t="str">
        <f t="shared" si="57"/>
        <v/>
      </c>
      <c r="C521" t="str">
        <f t="shared" si="58"/>
        <v/>
      </c>
      <c r="D521" t="str">
        <f t="shared" si="59"/>
        <v/>
      </c>
      <c r="E521" t="str">
        <f>IF(F521="","",IF(COUNTIF($F$2:F521,F521)&gt;1,"",SUMIFS(tbl_input[필요수량],tbl_input[집계키_센터],F521)))</f>
        <v/>
      </c>
      <c r="F521" t="str">
        <f>IFERROR(INDEX(tbl_input[집계키_센터],ROW()-1),"")</f>
        <v/>
      </c>
      <c r="G521" t="str">
        <f t="shared" si="60"/>
        <v/>
      </c>
      <c r="H521" t="str">
        <f t="shared" si="61"/>
        <v/>
      </c>
      <c r="I521" t="str">
        <f t="shared" si="62"/>
        <v/>
      </c>
    </row>
    <row r="522" spans="1:9" x14ac:dyDescent="0.4">
      <c r="A522" t="str">
        <f t="shared" si="56"/>
        <v/>
      </c>
      <c r="B522" t="str">
        <f t="shared" si="57"/>
        <v/>
      </c>
      <c r="C522" t="str">
        <f t="shared" si="58"/>
        <v/>
      </c>
      <c r="D522" t="str">
        <f t="shared" si="59"/>
        <v/>
      </c>
      <c r="E522" t="str">
        <f>IF(F522="","",IF(COUNTIF($F$2:F522,F522)&gt;1,"",SUMIFS(tbl_input[필요수량],tbl_input[집계키_센터],F522)))</f>
        <v/>
      </c>
      <c r="F522" t="str">
        <f>IFERROR(INDEX(tbl_input[집계키_센터],ROW()-1),"")</f>
        <v/>
      </c>
      <c r="G522" t="str">
        <f t="shared" si="60"/>
        <v/>
      </c>
      <c r="H522" t="str">
        <f t="shared" si="61"/>
        <v/>
      </c>
      <c r="I522" t="str">
        <f t="shared" si="62"/>
        <v/>
      </c>
    </row>
    <row r="523" spans="1:9" x14ac:dyDescent="0.4">
      <c r="A523" t="str">
        <f t="shared" si="56"/>
        <v/>
      </c>
      <c r="B523" t="str">
        <f t="shared" si="57"/>
        <v/>
      </c>
      <c r="C523" t="str">
        <f t="shared" si="58"/>
        <v/>
      </c>
      <c r="D523" t="str">
        <f t="shared" si="59"/>
        <v/>
      </c>
      <c r="E523" t="str">
        <f>IF(F523="","",IF(COUNTIF($F$2:F523,F523)&gt;1,"",SUMIFS(tbl_input[필요수량],tbl_input[집계키_센터],F523)))</f>
        <v/>
      </c>
      <c r="F523" t="str">
        <f>IFERROR(INDEX(tbl_input[집계키_센터],ROW()-1),"")</f>
        <v/>
      </c>
      <c r="G523" t="str">
        <f t="shared" si="60"/>
        <v/>
      </c>
      <c r="H523" t="str">
        <f t="shared" si="61"/>
        <v/>
      </c>
      <c r="I523" t="str">
        <f t="shared" si="62"/>
        <v/>
      </c>
    </row>
    <row r="524" spans="1:9" x14ac:dyDescent="0.4">
      <c r="A524" t="str">
        <f t="shared" si="56"/>
        <v/>
      </c>
      <c r="B524" t="str">
        <f t="shared" si="57"/>
        <v/>
      </c>
      <c r="C524" t="str">
        <f t="shared" si="58"/>
        <v/>
      </c>
      <c r="D524" t="str">
        <f t="shared" si="59"/>
        <v/>
      </c>
      <c r="E524" t="str">
        <f>IF(F524="","",IF(COUNTIF($F$2:F524,F524)&gt;1,"",SUMIFS(tbl_input[필요수량],tbl_input[집계키_센터],F524)))</f>
        <v/>
      </c>
      <c r="F524" t="str">
        <f>IFERROR(INDEX(tbl_input[집계키_센터],ROW()-1),"")</f>
        <v/>
      </c>
      <c r="G524" t="str">
        <f t="shared" si="60"/>
        <v/>
      </c>
      <c r="H524" t="str">
        <f t="shared" si="61"/>
        <v/>
      </c>
      <c r="I524" t="str">
        <f t="shared" si="62"/>
        <v/>
      </c>
    </row>
    <row r="525" spans="1:9" x14ac:dyDescent="0.4">
      <c r="A525" t="str">
        <f t="shared" si="56"/>
        <v/>
      </c>
      <c r="B525" t="str">
        <f t="shared" si="57"/>
        <v/>
      </c>
      <c r="C525" t="str">
        <f t="shared" si="58"/>
        <v/>
      </c>
      <c r="D525" t="str">
        <f t="shared" si="59"/>
        <v/>
      </c>
      <c r="E525" t="str">
        <f>IF(F525="","",IF(COUNTIF($F$2:F525,F525)&gt;1,"",SUMIFS(tbl_input[필요수량],tbl_input[집계키_센터],F525)))</f>
        <v/>
      </c>
      <c r="F525" t="str">
        <f>IFERROR(INDEX(tbl_input[집계키_센터],ROW()-1),"")</f>
        <v/>
      </c>
      <c r="G525" t="str">
        <f t="shared" si="60"/>
        <v/>
      </c>
      <c r="H525" t="str">
        <f t="shared" si="61"/>
        <v/>
      </c>
      <c r="I525" t="str">
        <f t="shared" si="62"/>
        <v/>
      </c>
    </row>
    <row r="526" spans="1:9" x14ac:dyDescent="0.4">
      <c r="A526" t="str">
        <f t="shared" si="56"/>
        <v/>
      </c>
      <c r="B526" t="str">
        <f t="shared" si="57"/>
        <v/>
      </c>
      <c r="C526" t="str">
        <f t="shared" si="58"/>
        <v/>
      </c>
      <c r="D526" t="str">
        <f t="shared" si="59"/>
        <v/>
      </c>
      <c r="E526" t="str">
        <f>IF(F526="","",IF(COUNTIF($F$2:F526,F526)&gt;1,"",SUMIFS(tbl_input[필요수량],tbl_input[집계키_센터],F526)))</f>
        <v/>
      </c>
      <c r="F526" t="str">
        <f>IFERROR(INDEX(tbl_input[집계키_센터],ROW()-1),"")</f>
        <v/>
      </c>
      <c r="G526" t="str">
        <f t="shared" si="60"/>
        <v/>
      </c>
      <c r="H526" t="str">
        <f t="shared" si="61"/>
        <v/>
      </c>
      <c r="I526" t="str">
        <f t="shared" si="62"/>
        <v/>
      </c>
    </row>
    <row r="527" spans="1:9" x14ac:dyDescent="0.4">
      <c r="A527" t="str">
        <f t="shared" si="56"/>
        <v/>
      </c>
      <c r="B527" t="str">
        <f t="shared" si="57"/>
        <v/>
      </c>
      <c r="C527" t="str">
        <f t="shared" si="58"/>
        <v/>
      </c>
      <c r="D527" t="str">
        <f t="shared" si="59"/>
        <v/>
      </c>
      <c r="E527" t="str">
        <f>IF(F527="","",IF(COUNTIF($F$2:F527,F527)&gt;1,"",SUMIFS(tbl_input[필요수량],tbl_input[집계키_센터],F527)))</f>
        <v/>
      </c>
      <c r="F527" t="str">
        <f>IFERROR(INDEX(tbl_input[집계키_센터],ROW()-1),"")</f>
        <v/>
      </c>
      <c r="G527" t="str">
        <f t="shared" si="60"/>
        <v/>
      </c>
      <c r="H527" t="str">
        <f t="shared" si="61"/>
        <v/>
      </c>
      <c r="I527" t="str">
        <f t="shared" si="62"/>
        <v/>
      </c>
    </row>
    <row r="528" spans="1:9" x14ac:dyDescent="0.4">
      <c r="A528" t="str">
        <f t="shared" si="56"/>
        <v/>
      </c>
      <c r="B528" t="str">
        <f t="shared" si="57"/>
        <v/>
      </c>
      <c r="C528" t="str">
        <f t="shared" si="58"/>
        <v/>
      </c>
      <c r="D528" t="str">
        <f t="shared" si="59"/>
        <v/>
      </c>
      <c r="E528" t="str">
        <f>IF(F528="","",IF(COUNTIF($F$2:F528,F528)&gt;1,"",SUMIFS(tbl_input[필요수량],tbl_input[집계키_센터],F528)))</f>
        <v/>
      </c>
      <c r="F528" t="str">
        <f>IFERROR(INDEX(tbl_input[집계키_센터],ROW()-1),"")</f>
        <v/>
      </c>
      <c r="G528" t="str">
        <f t="shared" si="60"/>
        <v/>
      </c>
      <c r="H528" t="str">
        <f t="shared" si="61"/>
        <v/>
      </c>
      <c r="I528" t="str">
        <f t="shared" si="62"/>
        <v/>
      </c>
    </row>
    <row r="529" spans="1:9" x14ac:dyDescent="0.4">
      <c r="A529" t="str">
        <f t="shared" si="56"/>
        <v/>
      </c>
      <c r="B529" t="str">
        <f t="shared" si="57"/>
        <v/>
      </c>
      <c r="C529" t="str">
        <f t="shared" si="58"/>
        <v/>
      </c>
      <c r="D529" t="str">
        <f t="shared" si="59"/>
        <v/>
      </c>
      <c r="E529" t="str">
        <f>IF(F529="","",IF(COUNTIF($F$2:F529,F529)&gt;1,"",SUMIFS(tbl_input[필요수량],tbl_input[집계키_센터],F529)))</f>
        <v/>
      </c>
      <c r="F529" t="str">
        <f>IFERROR(INDEX(tbl_input[집계키_센터],ROW()-1),"")</f>
        <v/>
      </c>
      <c r="G529" t="str">
        <f t="shared" si="60"/>
        <v/>
      </c>
      <c r="H529" t="str">
        <f t="shared" si="61"/>
        <v/>
      </c>
      <c r="I529" t="str">
        <f t="shared" si="62"/>
        <v/>
      </c>
    </row>
    <row r="530" spans="1:9" x14ac:dyDescent="0.4">
      <c r="A530" t="str">
        <f t="shared" si="56"/>
        <v/>
      </c>
      <c r="B530" t="str">
        <f t="shared" si="57"/>
        <v/>
      </c>
      <c r="C530" t="str">
        <f t="shared" si="58"/>
        <v/>
      </c>
      <c r="D530" t="str">
        <f t="shared" si="59"/>
        <v/>
      </c>
      <c r="E530" t="str">
        <f>IF(F530="","",IF(COUNTIF($F$2:F530,F530)&gt;1,"",SUMIFS(tbl_input[필요수량],tbl_input[집계키_센터],F530)))</f>
        <v/>
      </c>
      <c r="F530" t="str">
        <f>IFERROR(INDEX(tbl_input[집계키_센터],ROW()-1),"")</f>
        <v/>
      </c>
      <c r="G530" t="str">
        <f t="shared" si="60"/>
        <v/>
      </c>
      <c r="H530" t="str">
        <f t="shared" si="61"/>
        <v/>
      </c>
      <c r="I530" t="str">
        <f t="shared" si="62"/>
        <v/>
      </c>
    </row>
    <row r="531" spans="1:9" x14ac:dyDescent="0.4">
      <c r="A531" t="str">
        <f t="shared" si="56"/>
        <v/>
      </c>
      <c r="B531" t="str">
        <f t="shared" si="57"/>
        <v/>
      </c>
      <c r="C531" t="str">
        <f t="shared" si="58"/>
        <v/>
      </c>
      <c r="D531" t="str">
        <f t="shared" si="59"/>
        <v/>
      </c>
      <c r="E531" t="str">
        <f>IF(F531="","",IF(COUNTIF($F$2:F531,F531)&gt;1,"",SUMIFS(tbl_input[필요수량],tbl_input[집계키_센터],F531)))</f>
        <v/>
      </c>
      <c r="F531" t="str">
        <f>IFERROR(INDEX(tbl_input[집계키_센터],ROW()-1),"")</f>
        <v/>
      </c>
      <c r="G531" t="str">
        <f t="shared" si="60"/>
        <v/>
      </c>
      <c r="H531" t="str">
        <f t="shared" si="61"/>
        <v/>
      </c>
      <c r="I531" t="str">
        <f t="shared" si="62"/>
        <v/>
      </c>
    </row>
    <row r="532" spans="1:9" x14ac:dyDescent="0.4">
      <c r="A532" t="str">
        <f t="shared" si="56"/>
        <v/>
      </c>
      <c r="B532" t="str">
        <f t="shared" si="57"/>
        <v/>
      </c>
      <c r="C532" t="str">
        <f t="shared" si="58"/>
        <v/>
      </c>
      <c r="D532" t="str">
        <f t="shared" si="59"/>
        <v/>
      </c>
      <c r="E532" t="str">
        <f>IF(F532="","",IF(COUNTIF($F$2:F532,F532)&gt;1,"",SUMIFS(tbl_input[필요수량],tbl_input[집계키_센터],F532)))</f>
        <v/>
      </c>
      <c r="F532" t="str">
        <f>IFERROR(INDEX(tbl_input[집계키_센터],ROW()-1),"")</f>
        <v/>
      </c>
      <c r="G532" t="str">
        <f t="shared" si="60"/>
        <v/>
      </c>
      <c r="H532" t="str">
        <f t="shared" si="61"/>
        <v/>
      </c>
      <c r="I532" t="str">
        <f t="shared" si="62"/>
        <v/>
      </c>
    </row>
    <row r="533" spans="1:9" x14ac:dyDescent="0.4">
      <c r="A533" t="str">
        <f t="shared" si="56"/>
        <v/>
      </c>
      <c r="B533" t="str">
        <f t="shared" si="57"/>
        <v/>
      </c>
      <c r="C533" t="str">
        <f t="shared" si="58"/>
        <v/>
      </c>
      <c r="D533" t="str">
        <f t="shared" si="59"/>
        <v/>
      </c>
      <c r="E533" t="str">
        <f>IF(F533="","",IF(COUNTIF($F$2:F533,F533)&gt;1,"",SUMIFS(tbl_input[필요수량],tbl_input[집계키_센터],F533)))</f>
        <v/>
      </c>
      <c r="F533" t="str">
        <f>IFERROR(INDEX(tbl_input[집계키_센터],ROW()-1),"")</f>
        <v/>
      </c>
      <c r="G533" t="str">
        <f t="shared" si="60"/>
        <v/>
      </c>
      <c r="H533" t="str">
        <f t="shared" si="61"/>
        <v/>
      </c>
      <c r="I533" t="str">
        <f t="shared" si="62"/>
        <v/>
      </c>
    </row>
    <row r="534" spans="1:9" x14ac:dyDescent="0.4">
      <c r="A534" t="str">
        <f t="shared" si="56"/>
        <v/>
      </c>
      <c r="B534" t="str">
        <f t="shared" si="57"/>
        <v/>
      </c>
      <c r="C534" t="str">
        <f t="shared" si="58"/>
        <v/>
      </c>
      <c r="D534" t="str">
        <f t="shared" si="59"/>
        <v/>
      </c>
      <c r="E534" t="str">
        <f>IF(F534="","",IF(COUNTIF($F$2:F534,F534)&gt;1,"",SUMIFS(tbl_input[필요수량],tbl_input[집계키_센터],F534)))</f>
        <v/>
      </c>
      <c r="F534" t="str">
        <f>IFERROR(INDEX(tbl_input[집계키_센터],ROW()-1),"")</f>
        <v/>
      </c>
      <c r="G534" t="str">
        <f t="shared" si="60"/>
        <v/>
      </c>
      <c r="H534" t="str">
        <f t="shared" si="61"/>
        <v/>
      </c>
      <c r="I534" t="str">
        <f t="shared" si="62"/>
        <v/>
      </c>
    </row>
    <row r="535" spans="1:9" x14ac:dyDescent="0.4">
      <c r="A535" t="str">
        <f t="shared" si="56"/>
        <v/>
      </c>
      <c r="B535" t="str">
        <f t="shared" si="57"/>
        <v/>
      </c>
      <c r="C535" t="str">
        <f t="shared" si="58"/>
        <v/>
      </c>
      <c r="D535" t="str">
        <f t="shared" si="59"/>
        <v/>
      </c>
      <c r="E535" t="str">
        <f>IF(F535="","",IF(COUNTIF($F$2:F535,F535)&gt;1,"",SUMIFS(tbl_input[필요수량],tbl_input[집계키_센터],F535)))</f>
        <v/>
      </c>
      <c r="F535" t="str">
        <f>IFERROR(INDEX(tbl_input[집계키_센터],ROW()-1),"")</f>
        <v/>
      </c>
      <c r="G535" t="str">
        <f t="shared" si="60"/>
        <v/>
      </c>
      <c r="H535" t="str">
        <f t="shared" si="61"/>
        <v/>
      </c>
      <c r="I535" t="str">
        <f t="shared" si="62"/>
        <v/>
      </c>
    </row>
    <row r="536" spans="1:9" x14ac:dyDescent="0.4">
      <c r="A536" t="str">
        <f t="shared" si="56"/>
        <v/>
      </c>
      <c r="B536" t="str">
        <f t="shared" si="57"/>
        <v/>
      </c>
      <c r="C536" t="str">
        <f t="shared" si="58"/>
        <v/>
      </c>
      <c r="D536" t="str">
        <f t="shared" si="59"/>
        <v/>
      </c>
      <c r="E536" t="str">
        <f>IF(F536="","",IF(COUNTIF($F$2:F536,F536)&gt;1,"",SUMIFS(tbl_input[필요수량],tbl_input[집계키_센터],F536)))</f>
        <v/>
      </c>
      <c r="F536" t="str">
        <f>IFERROR(INDEX(tbl_input[집계키_센터],ROW()-1),"")</f>
        <v/>
      </c>
      <c r="G536" t="str">
        <f t="shared" si="60"/>
        <v/>
      </c>
      <c r="H536" t="str">
        <f t="shared" si="61"/>
        <v/>
      </c>
      <c r="I536" t="str">
        <f t="shared" si="62"/>
        <v/>
      </c>
    </row>
    <row r="537" spans="1:9" x14ac:dyDescent="0.4">
      <c r="A537" t="str">
        <f t="shared" si="56"/>
        <v/>
      </c>
      <c r="B537" t="str">
        <f t="shared" si="57"/>
        <v/>
      </c>
      <c r="C537" t="str">
        <f t="shared" si="58"/>
        <v/>
      </c>
      <c r="D537" t="str">
        <f t="shared" si="59"/>
        <v/>
      </c>
      <c r="E537" t="str">
        <f>IF(F537="","",IF(COUNTIF($F$2:F537,F537)&gt;1,"",SUMIFS(tbl_input[필요수량],tbl_input[집계키_센터],F537)))</f>
        <v/>
      </c>
      <c r="F537" t="str">
        <f>IFERROR(INDEX(tbl_input[집계키_센터],ROW()-1),"")</f>
        <v/>
      </c>
      <c r="G537" t="str">
        <f t="shared" si="60"/>
        <v/>
      </c>
      <c r="H537" t="str">
        <f t="shared" si="61"/>
        <v/>
      </c>
      <c r="I537" t="str">
        <f t="shared" si="62"/>
        <v/>
      </c>
    </row>
    <row r="538" spans="1:9" x14ac:dyDescent="0.4">
      <c r="A538" t="str">
        <f t="shared" si="56"/>
        <v/>
      </c>
      <c r="B538" t="str">
        <f t="shared" si="57"/>
        <v/>
      </c>
      <c r="C538" t="str">
        <f t="shared" si="58"/>
        <v/>
      </c>
      <c r="D538" t="str">
        <f t="shared" si="59"/>
        <v/>
      </c>
      <c r="E538" t="str">
        <f>IF(F538="","",IF(COUNTIF($F$2:F538,F538)&gt;1,"",SUMIFS(tbl_input[필요수량],tbl_input[집계키_센터],F538)))</f>
        <v/>
      </c>
      <c r="F538" t="str">
        <f>IFERROR(INDEX(tbl_input[집계키_센터],ROW()-1),"")</f>
        <v/>
      </c>
      <c r="G538" t="str">
        <f t="shared" si="60"/>
        <v/>
      </c>
      <c r="H538" t="str">
        <f t="shared" si="61"/>
        <v/>
      </c>
      <c r="I538" t="str">
        <f t="shared" si="62"/>
        <v/>
      </c>
    </row>
    <row r="539" spans="1:9" x14ac:dyDescent="0.4">
      <c r="A539" t="str">
        <f t="shared" si="56"/>
        <v/>
      </c>
      <c r="B539" t="str">
        <f t="shared" si="57"/>
        <v/>
      </c>
      <c r="C539" t="str">
        <f t="shared" si="58"/>
        <v/>
      </c>
      <c r="D539" t="str">
        <f t="shared" si="59"/>
        <v/>
      </c>
      <c r="E539" t="str">
        <f>IF(F539="","",IF(COUNTIF($F$2:F539,F539)&gt;1,"",SUMIFS(tbl_input[필요수량],tbl_input[집계키_센터],F539)))</f>
        <v/>
      </c>
      <c r="F539" t="str">
        <f>IFERROR(INDEX(tbl_input[집계키_센터],ROW()-1),"")</f>
        <v/>
      </c>
      <c r="G539" t="str">
        <f t="shared" si="60"/>
        <v/>
      </c>
      <c r="H539" t="str">
        <f t="shared" si="61"/>
        <v/>
      </c>
      <c r="I539" t="str">
        <f t="shared" si="62"/>
        <v/>
      </c>
    </row>
    <row r="540" spans="1:9" x14ac:dyDescent="0.4">
      <c r="A540" t="str">
        <f t="shared" si="56"/>
        <v/>
      </c>
      <c r="B540" t="str">
        <f t="shared" si="57"/>
        <v/>
      </c>
      <c r="C540" t="str">
        <f t="shared" si="58"/>
        <v/>
      </c>
      <c r="D540" t="str">
        <f t="shared" si="59"/>
        <v/>
      </c>
      <c r="E540" t="str">
        <f>IF(F540="","",IF(COUNTIF($F$2:F540,F540)&gt;1,"",SUMIFS(tbl_input[필요수량],tbl_input[집계키_센터],F540)))</f>
        <v/>
      </c>
      <c r="F540" t="str">
        <f>IFERROR(INDEX(tbl_input[집계키_센터],ROW()-1),"")</f>
        <v/>
      </c>
      <c r="G540" t="str">
        <f t="shared" si="60"/>
        <v/>
      </c>
      <c r="H540" t="str">
        <f t="shared" si="61"/>
        <v/>
      </c>
      <c r="I540" t="str">
        <f t="shared" si="62"/>
        <v/>
      </c>
    </row>
    <row r="541" spans="1:9" x14ac:dyDescent="0.4">
      <c r="A541" t="str">
        <f t="shared" si="56"/>
        <v/>
      </c>
      <c r="B541" t="str">
        <f t="shared" si="57"/>
        <v/>
      </c>
      <c r="C541" t="str">
        <f t="shared" si="58"/>
        <v/>
      </c>
      <c r="D541" t="str">
        <f t="shared" si="59"/>
        <v/>
      </c>
      <c r="E541" t="str">
        <f>IF(F541="","",IF(COUNTIF($F$2:F541,F541)&gt;1,"",SUMIFS(tbl_input[필요수량],tbl_input[집계키_센터],F541)))</f>
        <v/>
      </c>
      <c r="F541" t="str">
        <f>IFERROR(INDEX(tbl_input[집계키_센터],ROW()-1),"")</f>
        <v/>
      </c>
      <c r="G541" t="str">
        <f t="shared" si="60"/>
        <v/>
      </c>
      <c r="H541" t="str">
        <f t="shared" si="61"/>
        <v/>
      </c>
      <c r="I541" t="str">
        <f t="shared" si="62"/>
        <v/>
      </c>
    </row>
    <row r="542" spans="1:9" x14ac:dyDescent="0.4">
      <c r="A542" t="str">
        <f t="shared" si="56"/>
        <v/>
      </c>
      <c r="B542" t="str">
        <f t="shared" si="57"/>
        <v/>
      </c>
      <c r="C542" t="str">
        <f t="shared" si="58"/>
        <v/>
      </c>
      <c r="D542" t="str">
        <f t="shared" si="59"/>
        <v/>
      </c>
      <c r="E542" t="str">
        <f>IF(F542="","",IF(COUNTIF($F$2:F542,F542)&gt;1,"",SUMIFS(tbl_input[필요수량],tbl_input[집계키_센터],F542)))</f>
        <v/>
      </c>
      <c r="F542" t="str">
        <f>IFERROR(INDEX(tbl_input[집계키_센터],ROW()-1),"")</f>
        <v/>
      </c>
      <c r="G542" t="str">
        <f t="shared" si="60"/>
        <v/>
      </c>
      <c r="H542" t="str">
        <f t="shared" si="61"/>
        <v/>
      </c>
      <c r="I542" t="str">
        <f t="shared" si="62"/>
        <v/>
      </c>
    </row>
    <row r="543" spans="1:9" x14ac:dyDescent="0.4">
      <c r="A543" t="str">
        <f t="shared" si="56"/>
        <v/>
      </c>
      <c r="B543" t="str">
        <f t="shared" si="57"/>
        <v/>
      </c>
      <c r="C543" t="str">
        <f t="shared" si="58"/>
        <v/>
      </c>
      <c r="D543" t="str">
        <f t="shared" si="59"/>
        <v/>
      </c>
      <c r="E543" t="str">
        <f>IF(F543="","",IF(COUNTIF($F$2:F543,F543)&gt;1,"",SUMIFS(tbl_input[필요수량],tbl_input[집계키_센터],F543)))</f>
        <v/>
      </c>
      <c r="F543" t="str">
        <f>IFERROR(INDEX(tbl_input[집계키_센터],ROW()-1),"")</f>
        <v/>
      </c>
      <c r="G543" t="str">
        <f t="shared" si="60"/>
        <v/>
      </c>
      <c r="H543" t="str">
        <f t="shared" si="61"/>
        <v/>
      </c>
      <c r="I543" t="str">
        <f t="shared" si="62"/>
        <v/>
      </c>
    </row>
    <row r="544" spans="1:9" x14ac:dyDescent="0.4">
      <c r="A544" t="str">
        <f t="shared" si="56"/>
        <v/>
      </c>
      <c r="B544" t="str">
        <f t="shared" si="57"/>
        <v/>
      </c>
      <c r="C544" t="str">
        <f t="shared" si="58"/>
        <v/>
      </c>
      <c r="D544" t="str">
        <f t="shared" si="59"/>
        <v/>
      </c>
      <c r="E544" t="str">
        <f>IF(F544="","",IF(COUNTIF($F$2:F544,F544)&gt;1,"",SUMIFS(tbl_input[필요수량],tbl_input[집계키_센터],F544)))</f>
        <v/>
      </c>
      <c r="F544" t="str">
        <f>IFERROR(INDEX(tbl_input[집계키_센터],ROW()-1),"")</f>
        <v/>
      </c>
      <c r="G544" t="str">
        <f t="shared" si="60"/>
        <v/>
      </c>
      <c r="H544" t="str">
        <f t="shared" si="61"/>
        <v/>
      </c>
      <c r="I544" t="str">
        <f t="shared" si="62"/>
        <v/>
      </c>
    </row>
    <row r="545" spans="1:9" x14ac:dyDescent="0.4">
      <c r="A545" t="str">
        <f t="shared" si="56"/>
        <v/>
      </c>
      <c r="B545" t="str">
        <f t="shared" si="57"/>
        <v/>
      </c>
      <c r="C545" t="str">
        <f t="shared" si="58"/>
        <v/>
      </c>
      <c r="D545" t="str">
        <f t="shared" si="59"/>
        <v/>
      </c>
      <c r="E545" t="str">
        <f>IF(F545="","",IF(COUNTIF($F$2:F545,F545)&gt;1,"",SUMIFS(tbl_input[필요수량],tbl_input[집계키_센터],F545)))</f>
        <v/>
      </c>
      <c r="F545" t="str">
        <f>IFERROR(INDEX(tbl_input[집계키_센터],ROW()-1),"")</f>
        <v/>
      </c>
      <c r="G545" t="str">
        <f t="shared" si="60"/>
        <v/>
      </c>
      <c r="H545" t="str">
        <f t="shared" si="61"/>
        <v/>
      </c>
      <c r="I545" t="str">
        <f t="shared" si="62"/>
        <v/>
      </c>
    </row>
    <row r="546" spans="1:9" x14ac:dyDescent="0.4">
      <c r="A546" t="str">
        <f t="shared" si="56"/>
        <v/>
      </c>
      <c r="B546" t="str">
        <f t="shared" si="57"/>
        <v/>
      </c>
      <c r="C546" t="str">
        <f t="shared" si="58"/>
        <v/>
      </c>
      <c r="D546" t="str">
        <f t="shared" si="59"/>
        <v/>
      </c>
      <c r="E546" t="str">
        <f>IF(F546="","",IF(COUNTIF($F$2:F546,F546)&gt;1,"",SUMIFS(tbl_input[필요수량],tbl_input[집계키_센터],F546)))</f>
        <v/>
      </c>
      <c r="F546" t="str">
        <f>IFERROR(INDEX(tbl_input[집계키_센터],ROW()-1),"")</f>
        <v/>
      </c>
      <c r="G546" t="str">
        <f t="shared" si="60"/>
        <v/>
      </c>
      <c r="H546" t="str">
        <f t="shared" si="61"/>
        <v/>
      </c>
      <c r="I546" t="str">
        <f t="shared" si="62"/>
        <v/>
      </c>
    </row>
    <row r="547" spans="1:9" x14ac:dyDescent="0.4">
      <c r="A547" t="str">
        <f t="shared" si="56"/>
        <v/>
      </c>
      <c r="B547" t="str">
        <f t="shared" si="57"/>
        <v/>
      </c>
      <c r="C547" t="str">
        <f t="shared" si="58"/>
        <v/>
      </c>
      <c r="D547" t="str">
        <f t="shared" si="59"/>
        <v/>
      </c>
      <c r="E547" t="str">
        <f>IF(F547="","",IF(COUNTIF($F$2:F547,F547)&gt;1,"",SUMIFS(tbl_input[필요수량],tbl_input[집계키_센터],F547)))</f>
        <v/>
      </c>
      <c r="F547" t="str">
        <f>IFERROR(INDEX(tbl_input[집계키_센터],ROW()-1),"")</f>
        <v/>
      </c>
      <c r="G547" t="str">
        <f t="shared" si="60"/>
        <v/>
      </c>
      <c r="H547" t="str">
        <f t="shared" si="61"/>
        <v/>
      </c>
      <c r="I547" t="str">
        <f t="shared" si="62"/>
        <v/>
      </c>
    </row>
    <row r="548" spans="1:9" x14ac:dyDescent="0.4">
      <c r="A548" t="str">
        <f t="shared" si="56"/>
        <v/>
      </c>
      <c r="B548" t="str">
        <f t="shared" si="57"/>
        <v/>
      </c>
      <c r="C548" t="str">
        <f t="shared" si="58"/>
        <v/>
      </c>
      <c r="D548" t="str">
        <f t="shared" si="59"/>
        <v/>
      </c>
      <c r="E548" t="str">
        <f>IF(F548="","",IF(COUNTIF($F$2:F548,F548)&gt;1,"",SUMIFS(tbl_input[필요수량],tbl_input[집계키_센터],F548)))</f>
        <v/>
      </c>
      <c r="F548" t="str">
        <f>IFERROR(INDEX(tbl_input[집계키_센터],ROW()-1),"")</f>
        <v/>
      </c>
      <c r="G548" t="str">
        <f t="shared" si="60"/>
        <v/>
      </c>
      <c r="H548" t="str">
        <f t="shared" si="61"/>
        <v/>
      </c>
      <c r="I548" t="str">
        <f t="shared" si="62"/>
        <v/>
      </c>
    </row>
    <row r="549" spans="1:9" x14ac:dyDescent="0.4">
      <c r="A549" t="str">
        <f t="shared" si="56"/>
        <v/>
      </c>
      <c r="B549" t="str">
        <f t="shared" si="57"/>
        <v/>
      </c>
      <c r="C549" t="str">
        <f t="shared" si="58"/>
        <v/>
      </c>
      <c r="D549" t="str">
        <f t="shared" si="59"/>
        <v/>
      </c>
      <c r="E549" t="str">
        <f>IF(F549="","",IF(COUNTIF($F$2:F549,F549)&gt;1,"",SUMIFS(tbl_input[필요수량],tbl_input[집계키_센터],F549)))</f>
        <v/>
      </c>
      <c r="F549" t="str">
        <f>IFERROR(INDEX(tbl_input[집계키_센터],ROW()-1),"")</f>
        <v/>
      </c>
      <c r="G549" t="str">
        <f t="shared" si="60"/>
        <v/>
      </c>
      <c r="H549" t="str">
        <f t="shared" si="61"/>
        <v/>
      </c>
      <c r="I549" t="str">
        <f t="shared" si="62"/>
        <v/>
      </c>
    </row>
    <row r="550" spans="1:9" x14ac:dyDescent="0.4">
      <c r="A550" t="str">
        <f t="shared" si="56"/>
        <v/>
      </c>
      <c r="B550" t="str">
        <f t="shared" si="57"/>
        <v/>
      </c>
      <c r="C550" t="str">
        <f t="shared" si="58"/>
        <v/>
      </c>
      <c r="D550" t="str">
        <f t="shared" si="59"/>
        <v/>
      </c>
      <c r="E550" t="str">
        <f>IF(F550="","",IF(COUNTIF($F$2:F550,F550)&gt;1,"",SUMIFS(tbl_input[필요수량],tbl_input[집계키_센터],F550)))</f>
        <v/>
      </c>
      <c r="F550" t="str">
        <f>IFERROR(INDEX(tbl_input[집계키_센터],ROW()-1),"")</f>
        <v/>
      </c>
      <c r="G550" t="str">
        <f t="shared" si="60"/>
        <v/>
      </c>
      <c r="H550" t="str">
        <f t="shared" si="61"/>
        <v/>
      </c>
      <c r="I550" t="str">
        <f t="shared" si="62"/>
        <v/>
      </c>
    </row>
    <row r="551" spans="1:9" x14ac:dyDescent="0.4">
      <c r="A551" t="str">
        <f t="shared" si="56"/>
        <v/>
      </c>
      <c r="B551" t="str">
        <f t="shared" si="57"/>
        <v/>
      </c>
      <c r="C551" t="str">
        <f t="shared" si="58"/>
        <v/>
      </c>
      <c r="D551" t="str">
        <f t="shared" si="59"/>
        <v/>
      </c>
      <c r="E551" t="str">
        <f>IF(F551="","",IF(COUNTIF($F$2:F551,F551)&gt;1,"",SUMIFS(tbl_input[필요수량],tbl_input[집계키_센터],F551)))</f>
        <v/>
      </c>
      <c r="F551" t="str">
        <f>IFERROR(INDEX(tbl_input[집계키_센터],ROW()-1),"")</f>
        <v/>
      </c>
      <c r="G551" t="str">
        <f t="shared" si="60"/>
        <v/>
      </c>
      <c r="H551" t="str">
        <f t="shared" si="61"/>
        <v/>
      </c>
      <c r="I551" t="str">
        <f t="shared" si="62"/>
        <v/>
      </c>
    </row>
    <row r="552" spans="1:9" x14ac:dyDescent="0.4">
      <c r="A552" t="str">
        <f t="shared" si="56"/>
        <v/>
      </c>
      <c r="B552" t="str">
        <f t="shared" si="57"/>
        <v/>
      </c>
      <c r="C552" t="str">
        <f t="shared" si="58"/>
        <v/>
      </c>
      <c r="D552" t="str">
        <f t="shared" si="59"/>
        <v/>
      </c>
      <c r="E552" t="str">
        <f>IF(F552="","",IF(COUNTIF($F$2:F552,F552)&gt;1,"",SUMIFS(tbl_input[필요수량],tbl_input[집계키_센터],F552)))</f>
        <v/>
      </c>
      <c r="F552" t="str">
        <f>IFERROR(INDEX(tbl_input[집계키_센터],ROW()-1),"")</f>
        <v/>
      </c>
      <c r="G552" t="str">
        <f t="shared" si="60"/>
        <v/>
      </c>
      <c r="H552" t="str">
        <f t="shared" si="61"/>
        <v/>
      </c>
      <c r="I552" t="str">
        <f t="shared" si="62"/>
        <v/>
      </c>
    </row>
    <row r="553" spans="1:9" x14ac:dyDescent="0.4">
      <c r="A553" t="str">
        <f t="shared" si="56"/>
        <v/>
      </c>
      <c r="B553" t="str">
        <f t="shared" si="57"/>
        <v/>
      </c>
      <c r="C553" t="str">
        <f t="shared" si="58"/>
        <v/>
      </c>
      <c r="D553" t="str">
        <f t="shared" si="59"/>
        <v/>
      </c>
      <c r="E553" t="str">
        <f>IF(F553="","",IF(COUNTIF($F$2:F553,F553)&gt;1,"",SUMIFS(tbl_input[필요수량],tbl_input[집계키_센터],F553)))</f>
        <v/>
      </c>
      <c r="F553" t="str">
        <f>IFERROR(INDEX(tbl_input[집계키_센터],ROW()-1),"")</f>
        <v/>
      </c>
      <c r="G553" t="str">
        <f t="shared" si="60"/>
        <v/>
      </c>
      <c r="H553" t="str">
        <f t="shared" si="61"/>
        <v/>
      </c>
      <c r="I553" t="str">
        <f t="shared" si="62"/>
        <v/>
      </c>
    </row>
    <row r="554" spans="1:9" x14ac:dyDescent="0.4">
      <c r="A554" t="str">
        <f t="shared" si="56"/>
        <v/>
      </c>
      <c r="B554" t="str">
        <f t="shared" si="57"/>
        <v/>
      </c>
      <c r="C554" t="str">
        <f t="shared" si="58"/>
        <v/>
      </c>
      <c r="D554" t="str">
        <f t="shared" si="59"/>
        <v/>
      </c>
      <c r="E554" t="str">
        <f>IF(F554="","",IF(COUNTIF($F$2:F554,F554)&gt;1,"",SUMIFS(tbl_input[필요수량],tbl_input[집계키_센터],F554)))</f>
        <v/>
      </c>
      <c r="F554" t="str">
        <f>IFERROR(INDEX(tbl_input[집계키_센터],ROW()-1),"")</f>
        <v/>
      </c>
      <c r="G554" t="str">
        <f t="shared" si="60"/>
        <v/>
      </c>
      <c r="H554" t="str">
        <f t="shared" si="61"/>
        <v/>
      </c>
      <c r="I554" t="str">
        <f t="shared" si="62"/>
        <v/>
      </c>
    </row>
    <row r="555" spans="1:9" x14ac:dyDescent="0.4">
      <c r="A555" t="str">
        <f t="shared" si="56"/>
        <v/>
      </c>
      <c r="B555" t="str">
        <f t="shared" si="57"/>
        <v/>
      </c>
      <c r="C555" t="str">
        <f t="shared" si="58"/>
        <v/>
      </c>
      <c r="D555" t="str">
        <f t="shared" si="59"/>
        <v/>
      </c>
      <c r="E555" t="str">
        <f>IF(F555="","",IF(COUNTIF($F$2:F555,F555)&gt;1,"",SUMIFS(tbl_input[필요수량],tbl_input[집계키_센터],F555)))</f>
        <v/>
      </c>
      <c r="F555" t="str">
        <f>IFERROR(INDEX(tbl_input[집계키_센터],ROW()-1),"")</f>
        <v/>
      </c>
      <c r="G555" t="str">
        <f t="shared" si="60"/>
        <v/>
      </c>
      <c r="H555" t="str">
        <f t="shared" si="61"/>
        <v/>
      </c>
      <c r="I555" t="str">
        <f t="shared" si="62"/>
        <v/>
      </c>
    </row>
    <row r="556" spans="1:9" x14ac:dyDescent="0.4">
      <c r="A556" t="str">
        <f t="shared" si="56"/>
        <v/>
      </c>
      <c r="B556" t="str">
        <f t="shared" si="57"/>
        <v/>
      </c>
      <c r="C556" t="str">
        <f t="shared" si="58"/>
        <v/>
      </c>
      <c r="D556" t="str">
        <f t="shared" si="59"/>
        <v/>
      </c>
      <c r="E556" t="str">
        <f>IF(F556="","",IF(COUNTIF($F$2:F556,F556)&gt;1,"",SUMIFS(tbl_input[필요수량],tbl_input[집계키_센터],F556)))</f>
        <v/>
      </c>
      <c r="F556" t="str">
        <f>IFERROR(INDEX(tbl_input[집계키_센터],ROW()-1),"")</f>
        <v/>
      </c>
      <c r="G556" t="str">
        <f t="shared" si="60"/>
        <v/>
      </c>
      <c r="H556" t="str">
        <f t="shared" si="61"/>
        <v/>
      </c>
      <c r="I556" t="str">
        <f t="shared" si="62"/>
        <v/>
      </c>
    </row>
    <row r="557" spans="1:9" x14ac:dyDescent="0.4">
      <c r="A557" t="str">
        <f t="shared" si="56"/>
        <v/>
      </c>
      <c r="B557" t="str">
        <f t="shared" si="57"/>
        <v/>
      </c>
      <c r="C557" t="str">
        <f t="shared" si="58"/>
        <v/>
      </c>
      <c r="D557" t="str">
        <f t="shared" si="59"/>
        <v/>
      </c>
      <c r="E557" t="str">
        <f>IF(F557="","",IF(COUNTIF($F$2:F557,F557)&gt;1,"",SUMIFS(tbl_input[필요수량],tbl_input[집계키_센터],F557)))</f>
        <v/>
      </c>
      <c r="F557" t="str">
        <f>IFERROR(INDEX(tbl_input[집계키_센터],ROW()-1),"")</f>
        <v/>
      </c>
      <c r="G557" t="str">
        <f t="shared" si="60"/>
        <v/>
      </c>
      <c r="H557" t="str">
        <f t="shared" si="61"/>
        <v/>
      </c>
      <c r="I557" t="str">
        <f t="shared" si="62"/>
        <v/>
      </c>
    </row>
    <row r="558" spans="1:9" x14ac:dyDescent="0.4">
      <c r="A558" t="str">
        <f t="shared" si="56"/>
        <v/>
      </c>
      <c r="B558" t="str">
        <f t="shared" si="57"/>
        <v/>
      </c>
      <c r="C558" t="str">
        <f t="shared" si="58"/>
        <v/>
      </c>
      <c r="D558" t="str">
        <f t="shared" si="59"/>
        <v/>
      </c>
      <c r="E558" t="str">
        <f>IF(F558="","",IF(COUNTIF($F$2:F558,F558)&gt;1,"",SUMIFS(tbl_input[필요수량],tbl_input[집계키_센터],F558)))</f>
        <v/>
      </c>
      <c r="F558" t="str">
        <f>IFERROR(INDEX(tbl_input[집계키_센터],ROW()-1),"")</f>
        <v/>
      </c>
      <c r="G558" t="str">
        <f t="shared" si="60"/>
        <v/>
      </c>
      <c r="H558" t="str">
        <f t="shared" si="61"/>
        <v/>
      </c>
      <c r="I558" t="str">
        <f t="shared" si="62"/>
        <v/>
      </c>
    </row>
    <row r="559" spans="1:9" x14ac:dyDescent="0.4">
      <c r="A559" t="str">
        <f t="shared" si="56"/>
        <v/>
      </c>
      <c r="B559" t="str">
        <f t="shared" si="57"/>
        <v/>
      </c>
      <c r="C559" t="str">
        <f t="shared" si="58"/>
        <v/>
      </c>
      <c r="D559" t="str">
        <f t="shared" si="59"/>
        <v/>
      </c>
      <c r="E559" t="str">
        <f>IF(F559="","",IF(COUNTIF($F$2:F559,F559)&gt;1,"",SUMIFS(tbl_input[필요수량],tbl_input[집계키_센터],F559)))</f>
        <v/>
      </c>
      <c r="F559" t="str">
        <f>IFERROR(INDEX(tbl_input[집계키_센터],ROW()-1),"")</f>
        <v/>
      </c>
      <c r="G559" t="str">
        <f t="shared" si="60"/>
        <v/>
      </c>
      <c r="H559" t="str">
        <f t="shared" si="61"/>
        <v/>
      </c>
      <c r="I559" t="str">
        <f t="shared" si="62"/>
        <v/>
      </c>
    </row>
    <row r="560" spans="1:9" x14ac:dyDescent="0.4">
      <c r="A560" t="str">
        <f t="shared" si="56"/>
        <v/>
      </c>
      <c r="B560" t="str">
        <f t="shared" si="57"/>
        <v/>
      </c>
      <c r="C560" t="str">
        <f t="shared" si="58"/>
        <v/>
      </c>
      <c r="D560" t="str">
        <f t="shared" si="59"/>
        <v/>
      </c>
      <c r="E560" t="str">
        <f>IF(F560="","",IF(COUNTIF($F$2:F560,F560)&gt;1,"",SUMIFS(tbl_input[필요수량],tbl_input[집계키_센터],F560)))</f>
        <v/>
      </c>
      <c r="F560" t="str">
        <f>IFERROR(INDEX(tbl_input[집계키_센터],ROW()-1),"")</f>
        <v/>
      </c>
      <c r="G560" t="str">
        <f t="shared" si="60"/>
        <v/>
      </c>
      <c r="H560" t="str">
        <f t="shared" si="61"/>
        <v/>
      </c>
      <c r="I560" t="str">
        <f t="shared" si="62"/>
        <v/>
      </c>
    </row>
    <row r="561" spans="1:9" x14ac:dyDescent="0.4">
      <c r="A561" t="str">
        <f t="shared" si="56"/>
        <v/>
      </c>
      <c r="B561" t="str">
        <f t="shared" si="57"/>
        <v/>
      </c>
      <c r="C561" t="str">
        <f t="shared" si="58"/>
        <v/>
      </c>
      <c r="D561" t="str">
        <f t="shared" si="59"/>
        <v/>
      </c>
      <c r="E561" t="str">
        <f>IF(F561="","",IF(COUNTIF($F$2:F561,F561)&gt;1,"",SUMIFS(tbl_input[필요수량],tbl_input[집계키_센터],F561)))</f>
        <v/>
      </c>
      <c r="F561" t="str">
        <f>IFERROR(INDEX(tbl_input[집계키_센터],ROW()-1),"")</f>
        <v/>
      </c>
      <c r="G561" t="str">
        <f t="shared" si="60"/>
        <v/>
      </c>
      <c r="H561" t="str">
        <f t="shared" si="61"/>
        <v/>
      </c>
      <c r="I561" t="str">
        <f t="shared" si="62"/>
        <v/>
      </c>
    </row>
    <row r="562" spans="1:9" x14ac:dyDescent="0.4">
      <c r="A562" t="str">
        <f t="shared" si="56"/>
        <v/>
      </c>
      <c r="B562" t="str">
        <f t="shared" si="57"/>
        <v/>
      </c>
      <c r="C562" t="str">
        <f t="shared" si="58"/>
        <v/>
      </c>
      <c r="D562" t="str">
        <f t="shared" si="59"/>
        <v/>
      </c>
      <c r="E562" t="str">
        <f>IF(F562="","",IF(COUNTIF($F$2:F562,F562)&gt;1,"",SUMIFS(tbl_input[필요수량],tbl_input[집계키_센터],F562)))</f>
        <v/>
      </c>
      <c r="F562" t="str">
        <f>IFERROR(INDEX(tbl_input[집계키_센터],ROW()-1),"")</f>
        <v/>
      </c>
      <c r="G562" t="str">
        <f t="shared" si="60"/>
        <v/>
      </c>
      <c r="H562" t="str">
        <f t="shared" si="61"/>
        <v/>
      </c>
      <c r="I562" t="str">
        <f t="shared" si="62"/>
        <v/>
      </c>
    </row>
    <row r="563" spans="1:9" x14ac:dyDescent="0.4">
      <c r="A563" t="str">
        <f t="shared" si="56"/>
        <v/>
      </c>
      <c r="B563" t="str">
        <f t="shared" si="57"/>
        <v/>
      </c>
      <c r="C563" t="str">
        <f t="shared" si="58"/>
        <v/>
      </c>
      <c r="D563" t="str">
        <f t="shared" si="59"/>
        <v/>
      </c>
      <c r="E563" t="str">
        <f>IF(F563="","",IF(COUNTIF($F$2:F563,F563)&gt;1,"",SUMIFS(tbl_input[필요수량],tbl_input[집계키_센터],F563)))</f>
        <v/>
      </c>
      <c r="F563" t="str">
        <f>IFERROR(INDEX(tbl_input[집계키_센터],ROW()-1),"")</f>
        <v/>
      </c>
      <c r="G563" t="str">
        <f t="shared" si="60"/>
        <v/>
      </c>
      <c r="H563" t="str">
        <f t="shared" si="61"/>
        <v/>
      </c>
      <c r="I563" t="str">
        <f t="shared" si="62"/>
        <v/>
      </c>
    </row>
    <row r="564" spans="1:9" x14ac:dyDescent="0.4">
      <c r="A564" t="str">
        <f t="shared" si="56"/>
        <v/>
      </c>
      <c r="B564" t="str">
        <f t="shared" si="57"/>
        <v/>
      </c>
      <c r="C564" t="str">
        <f t="shared" si="58"/>
        <v/>
      </c>
      <c r="D564" t="str">
        <f t="shared" si="59"/>
        <v/>
      </c>
      <c r="E564" t="str">
        <f>IF(F564="","",IF(COUNTIF($F$2:F564,F564)&gt;1,"",SUMIFS(tbl_input[필요수량],tbl_input[집계키_센터],F564)))</f>
        <v/>
      </c>
      <c r="F564" t="str">
        <f>IFERROR(INDEX(tbl_input[집계키_센터],ROW()-1),"")</f>
        <v/>
      </c>
      <c r="G564" t="str">
        <f t="shared" si="60"/>
        <v/>
      </c>
      <c r="H564" t="str">
        <f t="shared" si="61"/>
        <v/>
      </c>
      <c r="I564" t="str">
        <f t="shared" si="62"/>
        <v/>
      </c>
    </row>
    <row r="565" spans="1:9" x14ac:dyDescent="0.4">
      <c r="A565" t="str">
        <f t="shared" si="56"/>
        <v/>
      </c>
      <c r="B565" t="str">
        <f t="shared" si="57"/>
        <v/>
      </c>
      <c r="C565" t="str">
        <f t="shared" si="58"/>
        <v/>
      </c>
      <c r="D565" t="str">
        <f t="shared" si="59"/>
        <v/>
      </c>
      <c r="E565" t="str">
        <f>IF(F565="","",IF(COUNTIF($F$2:F565,F565)&gt;1,"",SUMIFS(tbl_input[필요수량],tbl_input[집계키_센터],F565)))</f>
        <v/>
      </c>
      <c r="F565" t="str">
        <f>IFERROR(INDEX(tbl_input[집계키_센터],ROW()-1),"")</f>
        <v/>
      </c>
      <c r="G565" t="str">
        <f t="shared" si="60"/>
        <v/>
      </c>
      <c r="H565" t="str">
        <f t="shared" si="61"/>
        <v/>
      </c>
      <c r="I565" t="str">
        <f t="shared" si="62"/>
        <v/>
      </c>
    </row>
    <row r="566" spans="1:9" x14ac:dyDescent="0.4">
      <c r="A566" t="str">
        <f t="shared" si="56"/>
        <v/>
      </c>
      <c r="B566" t="str">
        <f t="shared" si="57"/>
        <v/>
      </c>
      <c r="C566" t="str">
        <f t="shared" si="58"/>
        <v/>
      </c>
      <c r="D566" t="str">
        <f t="shared" si="59"/>
        <v/>
      </c>
      <c r="E566" t="str">
        <f>IF(F566="","",IF(COUNTIF($F$2:F566,F566)&gt;1,"",SUMIFS(tbl_input[필요수량],tbl_input[집계키_센터],F566)))</f>
        <v/>
      </c>
      <c r="F566" t="str">
        <f>IFERROR(INDEX(tbl_input[집계키_센터],ROW()-1),"")</f>
        <v/>
      </c>
      <c r="G566" t="str">
        <f t="shared" si="60"/>
        <v/>
      </c>
      <c r="H566" t="str">
        <f t="shared" si="61"/>
        <v/>
      </c>
      <c r="I566" t="str">
        <f t="shared" si="62"/>
        <v/>
      </c>
    </row>
    <row r="567" spans="1:9" x14ac:dyDescent="0.4">
      <c r="A567" t="str">
        <f t="shared" si="56"/>
        <v/>
      </c>
      <c r="B567" t="str">
        <f t="shared" si="57"/>
        <v/>
      </c>
      <c r="C567" t="str">
        <f t="shared" si="58"/>
        <v/>
      </c>
      <c r="D567" t="str">
        <f t="shared" si="59"/>
        <v/>
      </c>
      <c r="E567" t="str">
        <f>IF(F567="","",IF(COUNTIF($F$2:F567,F567)&gt;1,"",SUMIFS(tbl_input[필요수량],tbl_input[집계키_센터],F567)))</f>
        <v/>
      </c>
      <c r="F567" t="str">
        <f>IFERROR(INDEX(tbl_input[집계키_센터],ROW()-1),"")</f>
        <v/>
      </c>
      <c r="G567" t="str">
        <f t="shared" si="60"/>
        <v/>
      </c>
      <c r="H567" t="str">
        <f t="shared" si="61"/>
        <v/>
      </c>
      <c r="I567" t="str">
        <f t="shared" si="62"/>
        <v/>
      </c>
    </row>
    <row r="568" spans="1:9" x14ac:dyDescent="0.4">
      <c r="A568" t="str">
        <f t="shared" si="56"/>
        <v/>
      </c>
      <c r="B568" t="str">
        <f t="shared" si="57"/>
        <v/>
      </c>
      <c r="C568" t="str">
        <f t="shared" si="58"/>
        <v/>
      </c>
      <c r="D568" t="str">
        <f t="shared" si="59"/>
        <v/>
      </c>
      <c r="E568" t="str">
        <f>IF(F568="","",IF(COUNTIF($F$2:F568,F568)&gt;1,"",SUMIFS(tbl_input[필요수량],tbl_input[집계키_센터],F568)))</f>
        <v/>
      </c>
      <c r="F568" t="str">
        <f>IFERROR(INDEX(tbl_input[집계키_센터],ROW()-1),"")</f>
        <v/>
      </c>
      <c r="G568" t="str">
        <f t="shared" si="60"/>
        <v/>
      </c>
      <c r="H568" t="str">
        <f t="shared" si="61"/>
        <v/>
      </c>
      <c r="I568" t="str">
        <f t="shared" si="62"/>
        <v/>
      </c>
    </row>
    <row r="569" spans="1:9" x14ac:dyDescent="0.4">
      <c r="A569" t="str">
        <f t="shared" si="56"/>
        <v/>
      </c>
      <c r="B569" t="str">
        <f t="shared" si="57"/>
        <v/>
      </c>
      <c r="C569" t="str">
        <f t="shared" si="58"/>
        <v/>
      </c>
      <c r="D569" t="str">
        <f t="shared" si="59"/>
        <v/>
      </c>
      <c r="E569" t="str">
        <f>IF(F569="","",IF(COUNTIF($F$2:F569,F569)&gt;1,"",SUMIFS(tbl_input[필요수량],tbl_input[집계키_센터],F569)))</f>
        <v/>
      </c>
      <c r="F569" t="str">
        <f>IFERROR(INDEX(tbl_input[집계키_센터],ROW()-1),"")</f>
        <v/>
      </c>
      <c r="G569" t="str">
        <f t="shared" si="60"/>
        <v/>
      </c>
      <c r="H569" t="str">
        <f t="shared" si="61"/>
        <v/>
      </c>
      <c r="I569" t="str">
        <f t="shared" si="62"/>
        <v/>
      </c>
    </row>
    <row r="570" spans="1:9" x14ac:dyDescent="0.4">
      <c r="A570" t="str">
        <f t="shared" si="56"/>
        <v/>
      </c>
      <c r="B570" t="str">
        <f t="shared" si="57"/>
        <v/>
      </c>
      <c r="C570" t="str">
        <f t="shared" si="58"/>
        <v/>
      </c>
      <c r="D570" t="str">
        <f t="shared" si="59"/>
        <v/>
      </c>
      <c r="E570" t="str">
        <f>IF(F570="","",IF(COUNTIF($F$2:F570,F570)&gt;1,"",SUMIFS(tbl_input[필요수량],tbl_input[집계키_센터],F570)))</f>
        <v/>
      </c>
      <c r="F570" t="str">
        <f>IFERROR(INDEX(tbl_input[집계키_센터],ROW()-1),"")</f>
        <v/>
      </c>
      <c r="G570" t="str">
        <f t="shared" si="60"/>
        <v/>
      </c>
      <c r="H570" t="str">
        <f t="shared" si="61"/>
        <v/>
      </c>
      <c r="I570" t="str">
        <f t="shared" si="62"/>
        <v/>
      </c>
    </row>
    <row r="571" spans="1:9" x14ac:dyDescent="0.4">
      <c r="A571" t="str">
        <f t="shared" si="56"/>
        <v/>
      </c>
      <c r="B571" t="str">
        <f t="shared" si="57"/>
        <v/>
      </c>
      <c r="C571" t="str">
        <f t="shared" si="58"/>
        <v/>
      </c>
      <c r="D571" t="str">
        <f t="shared" si="59"/>
        <v/>
      </c>
      <c r="E571" t="str">
        <f>IF(F571="","",IF(COUNTIF($F$2:F571,F571)&gt;1,"",SUMIFS(tbl_input[필요수량],tbl_input[집계키_센터],F571)))</f>
        <v/>
      </c>
      <c r="F571" t="str">
        <f>IFERROR(INDEX(tbl_input[집계키_센터],ROW()-1),"")</f>
        <v/>
      </c>
      <c r="G571" t="str">
        <f t="shared" si="60"/>
        <v/>
      </c>
      <c r="H571" t="str">
        <f t="shared" si="61"/>
        <v/>
      </c>
      <c r="I571" t="str">
        <f t="shared" si="62"/>
        <v/>
      </c>
    </row>
    <row r="572" spans="1:9" x14ac:dyDescent="0.4">
      <c r="A572" t="str">
        <f t="shared" si="56"/>
        <v/>
      </c>
      <c r="B572" t="str">
        <f t="shared" si="57"/>
        <v/>
      </c>
      <c r="C572" t="str">
        <f t="shared" si="58"/>
        <v/>
      </c>
      <c r="D572" t="str">
        <f t="shared" si="59"/>
        <v/>
      </c>
      <c r="E572" t="str">
        <f>IF(F572="","",IF(COUNTIF($F$2:F572,F572)&gt;1,"",SUMIFS(tbl_input[필요수량],tbl_input[집계키_센터],F572)))</f>
        <v/>
      </c>
      <c r="F572" t="str">
        <f>IFERROR(INDEX(tbl_input[집계키_센터],ROW()-1),"")</f>
        <v/>
      </c>
      <c r="G572" t="str">
        <f t="shared" si="60"/>
        <v/>
      </c>
      <c r="H572" t="str">
        <f t="shared" si="61"/>
        <v/>
      </c>
      <c r="I572" t="str">
        <f t="shared" si="62"/>
        <v/>
      </c>
    </row>
    <row r="573" spans="1:9" x14ac:dyDescent="0.4">
      <c r="A573" t="str">
        <f t="shared" si="56"/>
        <v/>
      </c>
      <c r="B573" t="str">
        <f t="shared" si="57"/>
        <v/>
      </c>
      <c r="C573" t="str">
        <f t="shared" si="58"/>
        <v/>
      </c>
      <c r="D573" t="str">
        <f t="shared" si="59"/>
        <v/>
      </c>
      <c r="E573" t="str">
        <f>IF(F573="","",IF(COUNTIF($F$2:F573,F573)&gt;1,"",SUMIFS(tbl_input[필요수량],tbl_input[집계키_센터],F573)))</f>
        <v/>
      </c>
      <c r="F573" t="str">
        <f>IFERROR(INDEX(tbl_input[집계키_센터],ROW()-1),"")</f>
        <v/>
      </c>
      <c r="G573" t="str">
        <f t="shared" si="60"/>
        <v/>
      </c>
      <c r="H573" t="str">
        <f t="shared" si="61"/>
        <v/>
      </c>
      <c r="I573" t="str">
        <f t="shared" si="62"/>
        <v/>
      </c>
    </row>
    <row r="574" spans="1:9" x14ac:dyDescent="0.4">
      <c r="A574" t="str">
        <f t="shared" si="56"/>
        <v/>
      </c>
      <c r="B574" t="str">
        <f t="shared" si="57"/>
        <v/>
      </c>
      <c r="C574" t="str">
        <f t="shared" si="58"/>
        <v/>
      </c>
      <c r="D574" t="str">
        <f t="shared" si="59"/>
        <v/>
      </c>
      <c r="E574" t="str">
        <f>IF(F574="","",IF(COUNTIF($F$2:F574,F574)&gt;1,"",SUMIFS(tbl_input[필요수량],tbl_input[집계키_센터],F574)))</f>
        <v/>
      </c>
      <c r="F574" t="str">
        <f>IFERROR(INDEX(tbl_input[집계키_센터],ROW()-1),"")</f>
        <v/>
      </c>
      <c r="G574" t="str">
        <f t="shared" si="60"/>
        <v/>
      </c>
      <c r="H574" t="str">
        <f t="shared" si="61"/>
        <v/>
      </c>
      <c r="I574" t="str">
        <f t="shared" si="62"/>
        <v/>
      </c>
    </row>
    <row r="575" spans="1:9" x14ac:dyDescent="0.4">
      <c r="A575" t="str">
        <f t="shared" si="56"/>
        <v/>
      </c>
      <c r="B575" t="str">
        <f t="shared" si="57"/>
        <v/>
      </c>
      <c r="C575" t="str">
        <f t="shared" si="58"/>
        <v/>
      </c>
      <c r="D575" t="str">
        <f t="shared" si="59"/>
        <v/>
      </c>
      <c r="E575" t="str">
        <f>IF(F575="","",IF(COUNTIF($F$2:F575,F575)&gt;1,"",SUMIFS(tbl_input[필요수량],tbl_input[집계키_센터],F575)))</f>
        <v/>
      </c>
      <c r="F575" t="str">
        <f>IFERROR(INDEX(tbl_input[집계키_센터],ROW()-1),"")</f>
        <v/>
      </c>
      <c r="G575" t="str">
        <f t="shared" si="60"/>
        <v/>
      </c>
      <c r="H575" t="str">
        <f t="shared" si="61"/>
        <v/>
      </c>
      <c r="I575" t="str">
        <f t="shared" si="62"/>
        <v/>
      </c>
    </row>
    <row r="576" spans="1:9" x14ac:dyDescent="0.4">
      <c r="A576" t="str">
        <f t="shared" si="56"/>
        <v/>
      </c>
      <c r="B576" t="str">
        <f t="shared" si="57"/>
        <v/>
      </c>
      <c r="C576" t="str">
        <f t="shared" si="58"/>
        <v/>
      </c>
      <c r="D576" t="str">
        <f t="shared" si="59"/>
        <v/>
      </c>
      <c r="E576" t="str">
        <f>IF(F576="","",IF(COUNTIF($F$2:F576,F576)&gt;1,"",SUMIFS(tbl_input[필요수량],tbl_input[집계키_센터],F576)))</f>
        <v/>
      </c>
      <c r="F576" t="str">
        <f>IFERROR(INDEX(tbl_input[집계키_센터],ROW()-1),"")</f>
        <v/>
      </c>
      <c r="G576" t="str">
        <f t="shared" si="60"/>
        <v/>
      </c>
      <c r="H576" t="str">
        <f t="shared" si="61"/>
        <v/>
      </c>
      <c r="I576" t="str">
        <f t="shared" si="62"/>
        <v/>
      </c>
    </row>
    <row r="577" spans="1:9" x14ac:dyDescent="0.4">
      <c r="A577" t="str">
        <f t="shared" si="56"/>
        <v/>
      </c>
      <c r="B577" t="str">
        <f t="shared" si="57"/>
        <v/>
      </c>
      <c r="C577" t="str">
        <f t="shared" si="58"/>
        <v/>
      </c>
      <c r="D577" t="str">
        <f t="shared" si="59"/>
        <v/>
      </c>
      <c r="E577" t="str">
        <f>IF(F577="","",IF(COUNTIF($F$2:F577,F577)&gt;1,"",SUMIFS(tbl_input[필요수량],tbl_input[집계키_센터],F577)))</f>
        <v/>
      </c>
      <c r="F577" t="str">
        <f>IFERROR(INDEX(tbl_input[집계키_센터],ROW()-1),"")</f>
        <v/>
      </c>
      <c r="G577" t="str">
        <f t="shared" si="60"/>
        <v/>
      </c>
      <c r="H577" t="str">
        <f t="shared" si="61"/>
        <v/>
      </c>
      <c r="I577" t="str">
        <f t="shared" si="62"/>
        <v/>
      </c>
    </row>
    <row r="578" spans="1:9" x14ac:dyDescent="0.4">
      <c r="A578" t="str">
        <f t="shared" ref="A578:A641" si="63">IF(F578="","",LEFT(F578,G578-1))</f>
        <v/>
      </c>
      <c r="B578" t="str">
        <f t="shared" ref="B578:B641" si="64">IF(F578="","",MID(F578,G578+1,H578-G578-1))</f>
        <v/>
      </c>
      <c r="C578" t="str">
        <f t="shared" ref="C578:C641" si="65">IF(F578="","",MID(F578,H578+1,I578-H578-1))</f>
        <v/>
      </c>
      <c r="D578" t="str">
        <f t="shared" ref="D578:D641" si="66">IF(F578="","",MID(F578,I578+1,999))</f>
        <v/>
      </c>
      <c r="E578" t="str">
        <f>IF(F578="","",IF(COUNTIF($F$2:F578,F578)&gt;1,"",SUMIFS(tbl_input[필요수량],tbl_input[집계키_센터],F578)))</f>
        <v/>
      </c>
      <c r="F578" t="str">
        <f>IFERROR(INDEX(tbl_input[집계키_센터],ROW()-1),"")</f>
        <v/>
      </c>
      <c r="G578" t="str">
        <f t="shared" ref="G578:G641" si="67">IF(F578="","",FIND("♦",F578))</f>
        <v/>
      </c>
      <c r="H578" t="str">
        <f t="shared" ref="H578:H641" si="68">IF(F578="","",FIND("♦",F578,G578+1))</f>
        <v/>
      </c>
      <c r="I578" t="str">
        <f t="shared" ref="I578:I641" si="69">IF(F578="","",FIND("♦",F578,H578+1))</f>
        <v/>
      </c>
    </row>
    <row r="579" spans="1:9" x14ac:dyDescent="0.4">
      <c r="A579" t="str">
        <f t="shared" si="63"/>
        <v/>
      </c>
      <c r="B579" t="str">
        <f t="shared" si="64"/>
        <v/>
      </c>
      <c r="C579" t="str">
        <f t="shared" si="65"/>
        <v/>
      </c>
      <c r="D579" t="str">
        <f t="shared" si="66"/>
        <v/>
      </c>
      <c r="E579" t="str">
        <f>IF(F579="","",IF(COUNTIF($F$2:F579,F579)&gt;1,"",SUMIFS(tbl_input[필요수량],tbl_input[집계키_센터],F579)))</f>
        <v/>
      </c>
      <c r="F579" t="str">
        <f>IFERROR(INDEX(tbl_input[집계키_센터],ROW()-1),"")</f>
        <v/>
      </c>
      <c r="G579" t="str">
        <f t="shared" si="67"/>
        <v/>
      </c>
      <c r="H579" t="str">
        <f t="shared" si="68"/>
        <v/>
      </c>
      <c r="I579" t="str">
        <f t="shared" si="69"/>
        <v/>
      </c>
    </row>
    <row r="580" spans="1:9" x14ac:dyDescent="0.4">
      <c r="A580" t="str">
        <f t="shared" si="63"/>
        <v/>
      </c>
      <c r="B580" t="str">
        <f t="shared" si="64"/>
        <v/>
      </c>
      <c r="C580" t="str">
        <f t="shared" si="65"/>
        <v/>
      </c>
      <c r="D580" t="str">
        <f t="shared" si="66"/>
        <v/>
      </c>
      <c r="E580" t="str">
        <f>IF(F580="","",IF(COUNTIF($F$2:F580,F580)&gt;1,"",SUMIFS(tbl_input[필요수량],tbl_input[집계키_센터],F580)))</f>
        <v/>
      </c>
      <c r="F580" t="str">
        <f>IFERROR(INDEX(tbl_input[집계키_센터],ROW()-1),"")</f>
        <v/>
      </c>
      <c r="G580" t="str">
        <f t="shared" si="67"/>
        <v/>
      </c>
      <c r="H580" t="str">
        <f t="shared" si="68"/>
        <v/>
      </c>
      <c r="I580" t="str">
        <f t="shared" si="69"/>
        <v/>
      </c>
    </row>
    <row r="581" spans="1:9" x14ac:dyDescent="0.4">
      <c r="A581" t="str">
        <f t="shared" si="63"/>
        <v/>
      </c>
      <c r="B581" t="str">
        <f t="shared" si="64"/>
        <v/>
      </c>
      <c r="C581" t="str">
        <f t="shared" si="65"/>
        <v/>
      </c>
      <c r="D581" t="str">
        <f t="shared" si="66"/>
        <v/>
      </c>
      <c r="E581" t="str">
        <f>IF(F581="","",IF(COUNTIF($F$2:F581,F581)&gt;1,"",SUMIFS(tbl_input[필요수량],tbl_input[집계키_센터],F581)))</f>
        <v/>
      </c>
      <c r="F581" t="str">
        <f>IFERROR(INDEX(tbl_input[집계키_센터],ROW()-1),"")</f>
        <v/>
      </c>
      <c r="G581" t="str">
        <f t="shared" si="67"/>
        <v/>
      </c>
      <c r="H581" t="str">
        <f t="shared" si="68"/>
        <v/>
      </c>
      <c r="I581" t="str">
        <f t="shared" si="69"/>
        <v/>
      </c>
    </row>
    <row r="582" spans="1:9" x14ac:dyDescent="0.4">
      <c r="A582" t="str">
        <f t="shared" si="63"/>
        <v/>
      </c>
      <c r="B582" t="str">
        <f t="shared" si="64"/>
        <v/>
      </c>
      <c r="C582" t="str">
        <f t="shared" si="65"/>
        <v/>
      </c>
      <c r="D582" t="str">
        <f t="shared" si="66"/>
        <v/>
      </c>
      <c r="E582" t="str">
        <f>IF(F582="","",IF(COUNTIF($F$2:F582,F582)&gt;1,"",SUMIFS(tbl_input[필요수량],tbl_input[집계키_센터],F582)))</f>
        <v/>
      </c>
      <c r="F582" t="str">
        <f>IFERROR(INDEX(tbl_input[집계키_센터],ROW()-1),"")</f>
        <v/>
      </c>
      <c r="G582" t="str">
        <f t="shared" si="67"/>
        <v/>
      </c>
      <c r="H582" t="str">
        <f t="shared" si="68"/>
        <v/>
      </c>
      <c r="I582" t="str">
        <f t="shared" si="69"/>
        <v/>
      </c>
    </row>
    <row r="583" spans="1:9" x14ac:dyDescent="0.4">
      <c r="A583" t="str">
        <f t="shared" si="63"/>
        <v/>
      </c>
      <c r="B583" t="str">
        <f t="shared" si="64"/>
        <v/>
      </c>
      <c r="C583" t="str">
        <f t="shared" si="65"/>
        <v/>
      </c>
      <c r="D583" t="str">
        <f t="shared" si="66"/>
        <v/>
      </c>
      <c r="E583" t="str">
        <f>IF(F583="","",IF(COUNTIF($F$2:F583,F583)&gt;1,"",SUMIFS(tbl_input[필요수량],tbl_input[집계키_센터],F583)))</f>
        <v/>
      </c>
      <c r="F583" t="str">
        <f>IFERROR(INDEX(tbl_input[집계키_센터],ROW()-1),"")</f>
        <v/>
      </c>
      <c r="G583" t="str">
        <f t="shared" si="67"/>
        <v/>
      </c>
      <c r="H583" t="str">
        <f t="shared" si="68"/>
        <v/>
      </c>
      <c r="I583" t="str">
        <f t="shared" si="69"/>
        <v/>
      </c>
    </row>
    <row r="584" spans="1:9" x14ac:dyDescent="0.4">
      <c r="A584" t="str">
        <f t="shared" si="63"/>
        <v/>
      </c>
      <c r="B584" t="str">
        <f t="shared" si="64"/>
        <v/>
      </c>
      <c r="C584" t="str">
        <f t="shared" si="65"/>
        <v/>
      </c>
      <c r="D584" t="str">
        <f t="shared" si="66"/>
        <v/>
      </c>
      <c r="E584" t="str">
        <f>IF(F584="","",IF(COUNTIF($F$2:F584,F584)&gt;1,"",SUMIFS(tbl_input[필요수량],tbl_input[집계키_센터],F584)))</f>
        <v/>
      </c>
      <c r="F584" t="str">
        <f>IFERROR(INDEX(tbl_input[집계키_센터],ROW()-1),"")</f>
        <v/>
      </c>
      <c r="G584" t="str">
        <f t="shared" si="67"/>
        <v/>
      </c>
      <c r="H584" t="str">
        <f t="shared" si="68"/>
        <v/>
      </c>
      <c r="I584" t="str">
        <f t="shared" si="69"/>
        <v/>
      </c>
    </row>
    <row r="585" spans="1:9" x14ac:dyDescent="0.4">
      <c r="A585" t="str">
        <f t="shared" si="63"/>
        <v/>
      </c>
      <c r="B585" t="str">
        <f t="shared" si="64"/>
        <v/>
      </c>
      <c r="C585" t="str">
        <f t="shared" si="65"/>
        <v/>
      </c>
      <c r="D585" t="str">
        <f t="shared" si="66"/>
        <v/>
      </c>
      <c r="E585" t="str">
        <f>IF(F585="","",IF(COUNTIF($F$2:F585,F585)&gt;1,"",SUMIFS(tbl_input[필요수량],tbl_input[집계키_센터],F585)))</f>
        <v/>
      </c>
      <c r="F585" t="str">
        <f>IFERROR(INDEX(tbl_input[집계키_센터],ROW()-1),"")</f>
        <v/>
      </c>
      <c r="G585" t="str">
        <f t="shared" si="67"/>
        <v/>
      </c>
      <c r="H585" t="str">
        <f t="shared" si="68"/>
        <v/>
      </c>
      <c r="I585" t="str">
        <f t="shared" si="69"/>
        <v/>
      </c>
    </row>
    <row r="586" spans="1:9" x14ac:dyDescent="0.4">
      <c r="A586" t="str">
        <f t="shared" si="63"/>
        <v/>
      </c>
      <c r="B586" t="str">
        <f t="shared" si="64"/>
        <v/>
      </c>
      <c r="C586" t="str">
        <f t="shared" si="65"/>
        <v/>
      </c>
      <c r="D586" t="str">
        <f t="shared" si="66"/>
        <v/>
      </c>
      <c r="E586" t="str">
        <f>IF(F586="","",IF(COUNTIF($F$2:F586,F586)&gt;1,"",SUMIFS(tbl_input[필요수량],tbl_input[집계키_센터],F586)))</f>
        <v/>
      </c>
      <c r="F586" t="str">
        <f>IFERROR(INDEX(tbl_input[집계키_센터],ROW()-1),"")</f>
        <v/>
      </c>
      <c r="G586" t="str">
        <f t="shared" si="67"/>
        <v/>
      </c>
      <c r="H586" t="str">
        <f t="shared" si="68"/>
        <v/>
      </c>
      <c r="I586" t="str">
        <f t="shared" si="69"/>
        <v/>
      </c>
    </row>
    <row r="587" spans="1:9" x14ac:dyDescent="0.4">
      <c r="A587" t="str">
        <f t="shared" si="63"/>
        <v/>
      </c>
      <c r="B587" t="str">
        <f t="shared" si="64"/>
        <v/>
      </c>
      <c r="C587" t="str">
        <f t="shared" si="65"/>
        <v/>
      </c>
      <c r="D587" t="str">
        <f t="shared" si="66"/>
        <v/>
      </c>
      <c r="E587" t="str">
        <f>IF(F587="","",IF(COUNTIF($F$2:F587,F587)&gt;1,"",SUMIFS(tbl_input[필요수량],tbl_input[집계키_센터],F587)))</f>
        <v/>
      </c>
      <c r="F587" t="str">
        <f>IFERROR(INDEX(tbl_input[집계키_센터],ROW()-1),"")</f>
        <v/>
      </c>
      <c r="G587" t="str">
        <f t="shared" si="67"/>
        <v/>
      </c>
      <c r="H587" t="str">
        <f t="shared" si="68"/>
        <v/>
      </c>
      <c r="I587" t="str">
        <f t="shared" si="69"/>
        <v/>
      </c>
    </row>
    <row r="588" spans="1:9" x14ac:dyDescent="0.4">
      <c r="A588" t="str">
        <f t="shared" si="63"/>
        <v/>
      </c>
      <c r="B588" t="str">
        <f t="shared" si="64"/>
        <v/>
      </c>
      <c r="C588" t="str">
        <f t="shared" si="65"/>
        <v/>
      </c>
      <c r="D588" t="str">
        <f t="shared" si="66"/>
        <v/>
      </c>
      <c r="E588" t="str">
        <f>IF(F588="","",IF(COUNTIF($F$2:F588,F588)&gt;1,"",SUMIFS(tbl_input[필요수량],tbl_input[집계키_센터],F588)))</f>
        <v/>
      </c>
      <c r="F588" t="str">
        <f>IFERROR(INDEX(tbl_input[집계키_센터],ROW()-1),"")</f>
        <v/>
      </c>
      <c r="G588" t="str">
        <f t="shared" si="67"/>
        <v/>
      </c>
      <c r="H588" t="str">
        <f t="shared" si="68"/>
        <v/>
      </c>
      <c r="I588" t="str">
        <f t="shared" si="69"/>
        <v/>
      </c>
    </row>
    <row r="589" spans="1:9" x14ac:dyDescent="0.4">
      <c r="A589" t="str">
        <f t="shared" si="63"/>
        <v/>
      </c>
      <c r="B589" t="str">
        <f t="shared" si="64"/>
        <v/>
      </c>
      <c r="C589" t="str">
        <f t="shared" si="65"/>
        <v/>
      </c>
      <c r="D589" t="str">
        <f t="shared" si="66"/>
        <v/>
      </c>
      <c r="E589" t="str">
        <f>IF(F589="","",IF(COUNTIF($F$2:F589,F589)&gt;1,"",SUMIFS(tbl_input[필요수량],tbl_input[집계키_센터],F589)))</f>
        <v/>
      </c>
      <c r="F589" t="str">
        <f>IFERROR(INDEX(tbl_input[집계키_센터],ROW()-1),"")</f>
        <v/>
      </c>
      <c r="G589" t="str">
        <f t="shared" si="67"/>
        <v/>
      </c>
      <c r="H589" t="str">
        <f t="shared" si="68"/>
        <v/>
      </c>
      <c r="I589" t="str">
        <f t="shared" si="69"/>
        <v/>
      </c>
    </row>
    <row r="590" spans="1:9" x14ac:dyDescent="0.4">
      <c r="A590" t="str">
        <f t="shared" si="63"/>
        <v/>
      </c>
      <c r="B590" t="str">
        <f t="shared" si="64"/>
        <v/>
      </c>
      <c r="C590" t="str">
        <f t="shared" si="65"/>
        <v/>
      </c>
      <c r="D590" t="str">
        <f t="shared" si="66"/>
        <v/>
      </c>
      <c r="E590" t="str">
        <f>IF(F590="","",IF(COUNTIF($F$2:F590,F590)&gt;1,"",SUMIFS(tbl_input[필요수량],tbl_input[집계키_센터],F590)))</f>
        <v/>
      </c>
      <c r="F590" t="str">
        <f>IFERROR(INDEX(tbl_input[집계키_센터],ROW()-1),"")</f>
        <v/>
      </c>
      <c r="G590" t="str">
        <f t="shared" si="67"/>
        <v/>
      </c>
      <c r="H590" t="str">
        <f t="shared" si="68"/>
        <v/>
      </c>
      <c r="I590" t="str">
        <f t="shared" si="69"/>
        <v/>
      </c>
    </row>
    <row r="591" spans="1:9" x14ac:dyDescent="0.4">
      <c r="A591" t="str">
        <f t="shared" si="63"/>
        <v/>
      </c>
      <c r="B591" t="str">
        <f t="shared" si="64"/>
        <v/>
      </c>
      <c r="C591" t="str">
        <f t="shared" si="65"/>
        <v/>
      </c>
      <c r="D591" t="str">
        <f t="shared" si="66"/>
        <v/>
      </c>
      <c r="E591" t="str">
        <f>IF(F591="","",IF(COUNTIF($F$2:F591,F591)&gt;1,"",SUMIFS(tbl_input[필요수량],tbl_input[집계키_센터],F591)))</f>
        <v/>
      </c>
      <c r="F591" t="str">
        <f>IFERROR(INDEX(tbl_input[집계키_센터],ROW()-1),"")</f>
        <v/>
      </c>
      <c r="G591" t="str">
        <f t="shared" si="67"/>
        <v/>
      </c>
      <c r="H591" t="str">
        <f t="shared" si="68"/>
        <v/>
      </c>
      <c r="I591" t="str">
        <f t="shared" si="69"/>
        <v/>
      </c>
    </row>
    <row r="592" spans="1:9" x14ac:dyDescent="0.4">
      <c r="A592" t="str">
        <f t="shared" si="63"/>
        <v/>
      </c>
      <c r="B592" t="str">
        <f t="shared" si="64"/>
        <v/>
      </c>
      <c r="C592" t="str">
        <f t="shared" si="65"/>
        <v/>
      </c>
      <c r="D592" t="str">
        <f t="shared" si="66"/>
        <v/>
      </c>
      <c r="E592" t="str">
        <f>IF(F592="","",IF(COUNTIF($F$2:F592,F592)&gt;1,"",SUMIFS(tbl_input[필요수량],tbl_input[집계키_센터],F592)))</f>
        <v/>
      </c>
      <c r="F592" t="str">
        <f>IFERROR(INDEX(tbl_input[집계키_센터],ROW()-1),"")</f>
        <v/>
      </c>
      <c r="G592" t="str">
        <f t="shared" si="67"/>
        <v/>
      </c>
      <c r="H592" t="str">
        <f t="shared" si="68"/>
        <v/>
      </c>
      <c r="I592" t="str">
        <f t="shared" si="69"/>
        <v/>
      </c>
    </row>
    <row r="593" spans="1:9" x14ac:dyDescent="0.4">
      <c r="A593" t="str">
        <f t="shared" si="63"/>
        <v/>
      </c>
      <c r="B593" t="str">
        <f t="shared" si="64"/>
        <v/>
      </c>
      <c r="C593" t="str">
        <f t="shared" si="65"/>
        <v/>
      </c>
      <c r="D593" t="str">
        <f t="shared" si="66"/>
        <v/>
      </c>
      <c r="E593" t="str">
        <f>IF(F593="","",IF(COUNTIF($F$2:F593,F593)&gt;1,"",SUMIFS(tbl_input[필요수량],tbl_input[집계키_센터],F593)))</f>
        <v/>
      </c>
      <c r="F593" t="str">
        <f>IFERROR(INDEX(tbl_input[집계키_센터],ROW()-1),"")</f>
        <v/>
      </c>
      <c r="G593" t="str">
        <f t="shared" si="67"/>
        <v/>
      </c>
      <c r="H593" t="str">
        <f t="shared" si="68"/>
        <v/>
      </c>
      <c r="I593" t="str">
        <f t="shared" si="69"/>
        <v/>
      </c>
    </row>
    <row r="594" spans="1:9" x14ac:dyDescent="0.4">
      <c r="A594" t="str">
        <f t="shared" si="63"/>
        <v/>
      </c>
      <c r="B594" t="str">
        <f t="shared" si="64"/>
        <v/>
      </c>
      <c r="C594" t="str">
        <f t="shared" si="65"/>
        <v/>
      </c>
      <c r="D594" t="str">
        <f t="shared" si="66"/>
        <v/>
      </c>
      <c r="E594" t="str">
        <f>IF(F594="","",IF(COUNTIF($F$2:F594,F594)&gt;1,"",SUMIFS(tbl_input[필요수량],tbl_input[집계키_센터],F594)))</f>
        <v/>
      </c>
      <c r="F594" t="str">
        <f>IFERROR(INDEX(tbl_input[집계키_센터],ROW()-1),"")</f>
        <v/>
      </c>
      <c r="G594" t="str">
        <f t="shared" si="67"/>
        <v/>
      </c>
      <c r="H594" t="str">
        <f t="shared" si="68"/>
        <v/>
      </c>
      <c r="I594" t="str">
        <f t="shared" si="69"/>
        <v/>
      </c>
    </row>
    <row r="595" spans="1:9" x14ac:dyDescent="0.4">
      <c r="A595" t="str">
        <f t="shared" si="63"/>
        <v/>
      </c>
      <c r="B595" t="str">
        <f t="shared" si="64"/>
        <v/>
      </c>
      <c r="C595" t="str">
        <f t="shared" si="65"/>
        <v/>
      </c>
      <c r="D595" t="str">
        <f t="shared" si="66"/>
        <v/>
      </c>
      <c r="E595" t="str">
        <f>IF(F595="","",IF(COUNTIF($F$2:F595,F595)&gt;1,"",SUMIFS(tbl_input[필요수량],tbl_input[집계키_센터],F595)))</f>
        <v/>
      </c>
      <c r="F595" t="str">
        <f>IFERROR(INDEX(tbl_input[집계키_센터],ROW()-1),"")</f>
        <v/>
      </c>
      <c r="G595" t="str">
        <f t="shared" si="67"/>
        <v/>
      </c>
      <c r="H595" t="str">
        <f t="shared" si="68"/>
        <v/>
      </c>
      <c r="I595" t="str">
        <f t="shared" si="69"/>
        <v/>
      </c>
    </row>
    <row r="596" spans="1:9" x14ac:dyDescent="0.4">
      <c r="A596" t="str">
        <f t="shared" si="63"/>
        <v/>
      </c>
      <c r="B596" t="str">
        <f t="shared" si="64"/>
        <v/>
      </c>
      <c r="C596" t="str">
        <f t="shared" si="65"/>
        <v/>
      </c>
      <c r="D596" t="str">
        <f t="shared" si="66"/>
        <v/>
      </c>
      <c r="E596" t="str">
        <f>IF(F596="","",IF(COUNTIF($F$2:F596,F596)&gt;1,"",SUMIFS(tbl_input[필요수량],tbl_input[집계키_센터],F596)))</f>
        <v/>
      </c>
      <c r="F596" t="str">
        <f>IFERROR(INDEX(tbl_input[집계키_센터],ROW()-1),"")</f>
        <v/>
      </c>
      <c r="G596" t="str">
        <f t="shared" si="67"/>
        <v/>
      </c>
      <c r="H596" t="str">
        <f t="shared" si="68"/>
        <v/>
      </c>
      <c r="I596" t="str">
        <f t="shared" si="69"/>
        <v/>
      </c>
    </row>
    <row r="597" spans="1:9" x14ac:dyDescent="0.4">
      <c r="A597" t="str">
        <f t="shared" si="63"/>
        <v/>
      </c>
      <c r="B597" t="str">
        <f t="shared" si="64"/>
        <v/>
      </c>
      <c r="C597" t="str">
        <f t="shared" si="65"/>
        <v/>
      </c>
      <c r="D597" t="str">
        <f t="shared" si="66"/>
        <v/>
      </c>
      <c r="E597" t="str">
        <f>IF(F597="","",IF(COUNTIF($F$2:F597,F597)&gt;1,"",SUMIFS(tbl_input[필요수량],tbl_input[집계키_센터],F597)))</f>
        <v/>
      </c>
      <c r="F597" t="str">
        <f>IFERROR(INDEX(tbl_input[집계키_센터],ROW()-1),"")</f>
        <v/>
      </c>
      <c r="G597" t="str">
        <f t="shared" si="67"/>
        <v/>
      </c>
      <c r="H597" t="str">
        <f t="shared" si="68"/>
        <v/>
      </c>
      <c r="I597" t="str">
        <f t="shared" si="69"/>
        <v/>
      </c>
    </row>
    <row r="598" spans="1:9" x14ac:dyDescent="0.4">
      <c r="A598" t="str">
        <f t="shared" si="63"/>
        <v/>
      </c>
      <c r="B598" t="str">
        <f t="shared" si="64"/>
        <v/>
      </c>
      <c r="C598" t="str">
        <f t="shared" si="65"/>
        <v/>
      </c>
      <c r="D598" t="str">
        <f t="shared" si="66"/>
        <v/>
      </c>
      <c r="E598" t="str">
        <f>IF(F598="","",IF(COUNTIF($F$2:F598,F598)&gt;1,"",SUMIFS(tbl_input[필요수량],tbl_input[집계키_센터],F598)))</f>
        <v/>
      </c>
      <c r="F598" t="str">
        <f>IFERROR(INDEX(tbl_input[집계키_센터],ROW()-1),"")</f>
        <v/>
      </c>
      <c r="G598" t="str">
        <f t="shared" si="67"/>
        <v/>
      </c>
      <c r="H598" t="str">
        <f t="shared" si="68"/>
        <v/>
      </c>
      <c r="I598" t="str">
        <f t="shared" si="69"/>
        <v/>
      </c>
    </row>
    <row r="599" spans="1:9" x14ac:dyDescent="0.4">
      <c r="A599" t="str">
        <f t="shared" si="63"/>
        <v/>
      </c>
      <c r="B599" t="str">
        <f t="shared" si="64"/>
        <v/>
      </c>
      <c r="C599" t="str">
        <f t="shared" si="65"/>
        <v/>
      </c>
      <c r="D599" t="str">
        <f t="shared" si="66"/>
        <v/>
      </c>
      <c r="E599" t="str">
        <f>IF(F599="","",IF(COUNTIF($F$2:F599,F599)&gt;1,"",SUMIFS(tbl_input[필요수량],tbl_input[집계키_센터],F599)))</f>
        <v/>
      </c>
      <c r="F599" t="str">
        <f>IFERROR(INDEX(tbl_input[집계키_센터],ROW()-1),"")</f>
        <v/>
      </c>
      <c r="G599" t="str">
        <f t="shared" si="67"/>
        <v/>
      </c>
      <c r="H599" t="str">
        <f t="shared" si="68"/>
        <v/>
      </c>
      <c r="I599" t="str">
        <f t="shared" si="69"/>
        <v/>
      </c>
    </row>
    <row r="600" spans="1:9" x14ac:dyDescent="0.4">
      <c r="A600" t="str">
        <f t="shared" si="63"/>
        <v/>
      </c>
      <c r="B600" t="str">
        <f t="shared" si="64"/>
        <v/>
      </c>
      <c r="C600" t="str">
        <f t="shared" si="65"/>
        <v/>
      </c>
      <c r="D600" t="str">
        <f t="shared" si="66"/>
        <v/>
      </c>
      <c r="E600" t="str">
        <f>IF(F600="","",IF(COUNTIF($F$2:F600,F600)&gt;1,"",SUMIFS(tbl_input[필요수량],tbl_input[집계키_센터],F600)))</f>
        <v/>
      </c>
      <c r="F600" t="str">
        <f>IFERROR(INDEX(tbl_input[집계키_센터],ROW()-1),"")</f>
        <v/>
      </c>
      <c r="G600" t="str">
        <f t="shared" si="67"/>
        <v/>
      </c>
      <c r="H600" t="str">
        <f t="shared" si="68"/>
        <v/>
      </c>
      <c r="I600" t="str">
        <f t="shared" si="69"/>
        <v/>
      </c>
    </row>
    <row r="601" spans="1:9" x14ac:dyDescent="0.4">
      <c r="A601" t="str">
        <f t="shared" si="63"/>
        <v/>
      </c>
      <c r="B601" t="str">
        <f t="shared" si="64"/>
        <v/>
      </c>
      <c r="C601" t="str">
        <f t="shared" si="65"/>
        <v/>
      </c>
      <c r="D601" t="str">
        <f t="shared" si="66"/>
        <v/>
      </c>
      <c r="E601" t="str">
        <f>IF(F601="","",IF(COUNTIF($F$2:F601,F601)&gt;1,"",SUMIFS(tbl_input[필요수량],tbl_input[집계키_센터],F601)))</f>
        <v/>
      </c>
      <c r="F601" t="str">
        <f>IFERROR(INDEX(tbl_input[집계키_센터],ROW()-1),"")</f>
        <v/>
      </c>
      <c r="G601" t="str">
        <f t="shared" si="67"/>
        <v/>
      </c>
      <c r="H601" t="str">
        <f t="shared" si="68"/>
        <v/>
      </c>
      <c r="I601" t="str">
        <f t="shared" si="69"/>
        <v/>
      </c>
    </row>
    <row r="602" spans="1:9" x14ac:dyDescent="0.4">
      <c r="A602" t="str">
        <f t="shared" si="63"/>
        <v/>
      </c>
      <c r="B602" t="str">
        <f t="shared" si="64"/>
        <v/>
      </c>
      <c r="C602" t="str">
        <f t="shared" si="65"/>
        <v/>
      </c>
      <c r="D602" t="str">
        <f t="shared" si="66"/>
        <v/>
      </c>
      <c r="E602" t="str">
        <f>IF(F602="","",IF(COUNTIF($F$2:F602,F602)&gt;1,"",SUMIFS(tbl_input[필요수량],tbl_input[집계키_센터],F602)))</f>
        <v/>
      </c>
      <c r="F602" t="str">
        <f>IFERROR(INDEX(tbl_input[집계키_센터],ROW()-1),"")</f>
        <v/>
      </c>
      <c r="G602" t="str">
        <f t="shared" si="67"/>
        <v/>
      </c>
      <c r="H602" t="str">
        <f t="shared" si="68"/>
        <v/>
      </c>
      <c r="I602" t="str">
        <f t="shared" si="69"/>
        <v/>
      </c>
    </row>
    <row r="603" spans="1:9" x14ac:dyDescent="0.4">
      <c r="A603" t="str">
        <f t="shared" si="63"/>
        <v/>
      </c>
      <c r="B603" t="str">
        <f t="shared" si="64"/>
        <v/>
      </c>
      <c r="C603" t="str">
        <f t="shared" si="65"/>
        <v/>
      </c>
      <c r="D603" t="str">
        <f t="shared" si="66"/>
        <v/>
      </c>
      <c r="E603" t="str">
        <f>IF(F603="","",IF(COUNTIF($F$2:F603,F603)&gt;1,"",SUMIFS(tbl_input[필요수량],tbl_input[집계키_센터],F603)))</f>
        <v/>
      </c>
      <c r="F603" t="str">
        <f>IFERROR(INDEX(tbl_input[집계키_센터],ROW()-1),"")</f>
        <v/>
      </c>
      <c r="G603" t="str">
        <f t="shared" si="67"/>
        <v/>
      </c>
      <c r="H603" t="str">
        <f t="shared" si="68"/>
        <v/>
      </c>
      <c r="I603" t="str">
        <f t="shared" si="69"/>
        <v/>
      </c>
    </row>
    <row r="604" spans="1:9" x14ac:dyDescent="0.4">
      <c r="A604" t="str">
        <f t="shared" si="63"/>
        <v/>
      </c>
      <c r="B604" t="str">
        <f t="shared" si="64"/>
        <v/>
      </c>
      <c r="C604" t="str">
        <f t="shared" si="65"/>
        <v/>
      </c>
      <c r="D604" t="str">
        <f t="shared" si="66"/>
        <v/>
      </c>
      <c r="E604" t="str">
        <f>IF(F604="","",IF(COUNTIF($F$2:F604,F604)&gt;1,"",SUMIFS(tbl_input[필요수량],tbl_input[집계키_센터],F604)))</f>
        <v/>
      </c>
      <c r="F604" t="str">
        <f>IFERROR(INDEX(tbl_input[집계키_센터],ROW()-1),"")</f>
        <v/>
      </c>
      <c r="G604" t="str">
        <f t="shared" si="67"/>
        <v/>
      </c>
      <c r="H604" t="str">
        <f t="shared" si="68"/>
        <v/>
      </c>
      <c r="I604" t="str">
        <f t="shared" si="69"/>
        <v/>
      </c>
    </row>
    <row r="605" spans="1:9" x14ac:dyDescent="0.4">
      <c r="A605" t="str">
        <f t="shared" si="63"/>
        <v/>
      </c>
      <c r="B605" t="str">
        <f t="shared" si="64"/>
        <v/>
      </c>
      <c r="C605" t="str">
        <f t="shared" si="65"/>
        <v/>
      </c>
      <c r="D605" t="str">
        <f t="shared" si="66"/>
        <v/>
      </c>
      <c r="E605" t="str">
        <f>IF(F605="","",IF(COUNTIF($F$2:F605,F605)&gt;1,"",SUMIFS(tbl_input[필요수량],tbl_input[집계키_센터],F605)))</f>
        <v/>
      </c>
      <c r="F605" t="str">
        <f>IFERROR(INDEX(tbl_input[집계키_센터],ROW()-1),"")</f>
        <v/>
      </c>
      <c r="G605" t="str">
        <f t="shared" si="67"/>
        <v/>
      </c>
      <c r="H605" t="str">
        <f t="shared" si="68"/>
        <v/>
      </c>
      <c r="I605" t="str">
        <f t="shared" si="69"/>
        <v/>
      </c>
    </row>
    <row r="606" spans="1:9" x14ac:dyDescent="0.4">
      <c r="A606" t="str">
        <f t="shared" si="63"/>
        <v/>
      </c>
      <c r="B606" t="str">
        <f t="shared" si="64"/>
        <v/>
      </c>
      <c r="C606" t="str">
        <f t="shared" si="65"/>
        <v/>
      </c>
      <c r="D606" t="str">
        <f t="shared" si="66"/>
        <v/>
      </c>
      <c r="E606" t="str">
        <f>IF(F606="","",IF(COUNTIF($F$2:F606,F606)&gt;1,"",SUMIFS(tbl_input[필요수량],tbl_input[집계키_센터],F606)))</f>
        <v/>
      </c>
      <c r="F606" t="str">
        <f>IFERROR(INDEX(tbl_input[집계키_센터],ROW()-1),"")</f>
        <v/>
      </c>
      <c r="G606" t="str">
        <f t="shared" si="67"/>
        <v/>
      </c>
      <c r="H606" t="str">
        <f t="shared" si="68"/>
        <v/>
      </c>
      <c r="I606" t="str">
        <f t="shared" si="69"/>
        <v/>
      </c>
    </row>
    <row r="607" spans="1:9" x14ac:dyDescent="0.4">
      <c r="A607" t="str">
        <f t="shared" si="63"/>
        <v/>
      </c>
      <c r="B607" t="str">
        <f t="shared" si="64"/>
        <v/>
      </c>
      <c r="C607" t="str">
        <f t="shared" si="65"/>
        <v/>
      </c>
      <c r="D607" t="str">
        <f t="shared" si="66"/>
        <v/>
      </c>
      <c r="E607" t="str">
        <f>IF(F607="","",IF(COUNTIF($F$2:F607,F607)&gt;1,"",SUMIFS(tbl_input[필요수량],tbl_input[집계키_센터],F607)))</f>
        <v/>
      </c>
      <c r="F607" t="str">
        <f>IFERROR(INDEX(tbl_input[집계키_센터],ROW()-1),"")</f>
        <v/>
      </c>
      <c r="G607" t="str">
        <f t="shared" si="67"/>
        <v/>
      </c>
      <c r="H607" t="str">
        <f t="shared" si="68"/>
        <v/>
      </c>
      <c r="I607" t="str">
        <f t="shared" si="69"/>
        <v/>
      </c>
    </row>
    <row r="608" spans="1:9" x14ac:dyDescent="0.4">
      <c r="A608" t="str">
        <f t="shared" si="63"/>
        <v/>
      </c>
      <c r="B608" t="str">
        <f t="shared" si="64"/>
        <v/>
      </c>
      <c r="C608" t="str">
        <f t="shared" si="65"/>
        <v/>
      </c>
      <c r="D608" t="str">
        <f t="shared" si="66"/>
        <v/>
      </c>
      <c r="E608" t="str">
        <f>IF(F608="","",IF(COUNTIF($F$2:F608,F608)&gt;1,"",SUMIFS(tbl_input[필요수량],tbl_input[집계키_센터],F608)))</f>
        <v/>
      </c>
      <c r="F608" t="str">
        <f>IFERROR(INDEX(tbl_input[집계키_센터],ROW()-1),"")</f>
        <v/>
      </c>
      <c r="G608" t="str">
        <f t="shared" si="67"/>
        <v/>
      </c>
      <c r="H608" t="str">
        <f t="shared" si="68"/>
        <v/>
      </c>
      <c r="I608" t="str">
        <f t="shared" si="69"/>
        <v/>
      </c>
    </row>
    <row r="609" spans="1:9" x14ac:dyDescent="0.4">
      <c r="A609" t="str">
        <f t="shared" si="63"/>
        <v/>
      </c>
      <c r="B609" t="str">
        <f t="shared" si="64"/>
        <v/>
      </c>
      <c r="C609" t="str">
        <f t="shared" si="65"/>
        <v/>
      </c>
      <c r="D609" t="str">
        <f t="shared" si="66"/>
        <v/>
      </c>
      <c r="E609" t="str">
        <f>IF(F609="","",IF(COUNTIF($F$2:F609,F609)&gt;1,"",SUMIFS(tbl_input[필요수량],tbl_input[집계키_센터],F609)))</f>
        <v/>
      </c>
      <c r="F609" t="str">
        <f>IFERROR(INDEX(tbl_input[집계키_센터],ROW()-1),"")</f>
        <v/>
      </c>
      <c r="G609" t="str">
        <f t="shared" si="67"/>
        <v/>
      </c>
      <c r="H609" t="str">
        <f t="shared" si="68"/>
        <v/>
      </c>
      <c r="I609" t="str">
        <f t="shared" si="69"/>
        <v/>
      </c>
    </row>
    <row r="610" spans="1:9" x14ac:dyDescent="0.4">
      <c r="A610" t="str">
        <f t="shared" si="63"/>
        <v/>
      </c>
      <c r="B610" t="str">
        <f t="shared" si="64"/>
        <v/>
      </c>
      <c r="C610" t="str">
        <f t="shared" si="65"/>
        <v/>
      </c>
      <c r="D610" t="str">
        <f t="shared" si="66"/>
        <v/>
      </c>
      <c r="E610" t="str">
        <f>IF(F610="","",IF(COUNTIF($F$2:F610,F610)&gt;1,"",SUMIFS(tbl_input[필요수량],tbl_input[집계키_센터],F610)))</f>
        <v/>
      </c>
      <c r="F610" t="str">
        <f>IFERROR(INDEX(tbl_input[집계키_센터],ROW()-1),"")</f>
        <v/>
      </c>
      <c r="G610" t="str">
        <f t="shared" si="67"/>
        <v/>
      </c>
      <c r="H610" t="str">
        <f t="shared" si="68"/>
        <v/>
      </c>
      <c r="I610" t="str">
        <f t="shared" si="69"/>
        <v/>
      </c>
    </row>
    <row r="611" spans="1:9" x14ac:dyDescent="0.4">
      <c r="A611" t="str">
        <f t="shared" si="63"/>
        <v/>
      </c>
      <c r="B611" t="str">
        <f t="shared" si="64"/>
        <v/>
      </c>
      <c r="C611" t="str">
        <f t="shared" si="65"/>
        <v/>
      </c>
      <c r="D611" t="str">
        <f t="shared" si="66"/>
        <v/>
      </c>
      <c r="E611" t="str">
        <f>IF(F611="","",IF(COUNTIF($F$2:F611,F611)&gt;1,"",SUMIFS(tbl_input[필요수량],tbl_input[집계키_센터],F611)))</f>
        <v/>
      </c>
      <c r="F611" t="str">
        <f>IFERROR(INDEX(tbl_input[집계키_센터],ROW()-1),"")</f>
        <v/>
      </c>
      <c r="G611" t="str">
        <f t="shared" si="67"/>
        <v/>
      </c>
      <c r="H611" t="str">
        <f t="shared" si="68"/>
        <v/>
      </c>
      <c r="I611" t="str">
        <f t="shared" si="69"/>
        <v/>
      </c>
    </row>
    <row r="612" spans="1:9" x14ac:dyDescent="0.4">
      <c r="A612" t="str">
        <f t="shared" si="63"/>
        <v/>
      </c>
      <c r="B612" t="str">
        <f t="shared" si="64"/>
        <v/>
      </c>
      <c r="C612" t="str">
        <f t="shared" si="65"/>
        <v/>
      </c>
      <c r="D612" t="str">
        <f t="shared" si="66"/>
        <v/>
      </c>
      <c r="E612" t="str">
        <f>IF(F612="","",IF(COUNTIF($F$2:F612,F612)&gt;1,"",SUMIFS(tbl_input[필요수량],tbl_input[집계키_센터],F612)))</f>
        <v/>
      </c>
      <c r="F612" t="str">
        <f>IFERROR(INDEX(tbl_input[집계키_센터],ROW()-1),"")</f>
        <v/>
      </c>
      <c r="G612" t="str">
        <f t="shared" si="67"/>
        <v/>
      </c>
      <c r="H612" t="str">
        <f t="shared" si="68"/>
        <v/>
      </c>
      <c r="I612" t="str">
        <f t="shared" si="69"/>
        <v/>
      </c>
    </row>
    <row r="613" spans="1:9" x14ac:dyDescent="0.4">
      <c r="A613" t="str">
        <f t="shared" si="63"/>
        <v/>
      </c>
      <c r="B613" t="str">
        <f t="shared" si="64"/>
        <v/>
      </c>
      <c r="C613" t="str">
        <f t="shared" si="65"/>
        <v/>
      </c>
      <c r="D613" t="str">
        <f t="shared" si="66"/>
        <v/>
      </c>
      <c r="E613" t="str">
        <f>IF(F613="","",IF(COUNTIF($F$2:F613,F613)&gt;1,"",SUMIFS(tbl_input[필요수량],tbl_input[집계키_센터],F613)))</f>
        <v/>
      </c>
      <c r="F613" t="str">
        <f>IFERROR(INDEX(tbl_input[집계키_센터],ROW()-1),"")</f>
        <v/>
      </c>
      <c r="G613" t="str">
        <f t="shared" si="67"/>
        <v/>
      </c>
      <c r="H613" t="str">
        <f t="shared" si="68"/>
        <v/>
      </c>
      <c r="I613" t="str">
        <f t="shared" si="69"/>
        <v/>
      </c>
    </row>
    <row r="614" spans="1:9" x14ac:dyDescent="0.4">
      <c r="A614" t="str">
        <f t="shared" si="63"/>
        <v/>
      </c>
      <c r="B614" t="str">
        <f t="shared" si="64"/>
        <v/>
      </c>
      <c r="C614" t="str">
        <f t="shared" si="65"/>
        <v/>
      </c>
      <c r="D614" t="str">
        <f t="shared" si="66"/>
        <v/>
      </c>
      <c r="E614" t="str">
        <f>IF(F614="","",IF(COUNTIF($F$2:F614,F614)&gt;1,"",SUMIFS(tbl_input[필요수량],tbl_input[집계키_센터],F614)))</f>
        <v/>
      </c>
      <c r="F614" t="str">
        <f>IFERROR(INDEX(tbl_input[집계키_센터],ROW()-1),"")</f>
        <v/>
      </c>
      <c r="G614" t="str">
        <f t="shared" si="67"/>
        <v/>
      </c>
      <c r="H614" t="str">
        <f t="shared" si="68"/>
        <v/>
      </c>
      <c r="I614" t="str">
        <f t="shared" si="69"/>
        <v/>
      </c>
    </row>
    <row r="615" spans="1:9" x14ac:dyDescent="0.4">
      <c r="A615" t="str">
        <f t="shared" si="63"/>
        <v/>
      </c>
      <c r="B615" t="str">
        <f t="shared" si="64"/>
        <v/>
      </c>
      <c r="C615" t="str">
        <f t="shared" si="65"/>
        <v/>
      </c>
      <c r="D615" t="str">
        <f t="shared" si="66"/>
        <v/>
      </c>
      <c r="E615" t="str">
        <f>IF(F615="","",IF(COUNTIF($F$2:F615,F615)&gt;1,"",SUMIFS(tbl_input[필요수량],tbl_input[집계키_센터],F615)))</f>
        <v/>
      </c>
      <c r="F615" t="str">
        <f>IFERROR(INDEX(tbl_input[집계키_센터],ROW()-1),"")</f>
        <v/>
      </c>
      <c r="G615" t="str">
        <f t="shared" si="67"/>
        <v/>
      </c>
      <c r="H615" t="str">
        <f t="shared" si="68"/>
        <v/>
      </c>
      <c r="I615" t="str">
        <f t="shared" si="69"/>
        <v/>
      </c>
    </row>
    <row r="616" spans="1:9" x14ac:dyDescent="0.4">
      <c r="A616" t="str">
        <f t="shared" si="63"/>
        <v/>
      </c>
      <c r="B616" t="str">
        <f t="shared" si="64"/>
        <v/>
      </c>
      <c r="C616" t="str">
        <f t="shared" si="65"/>
        <v/>
      </c>
      <c r="D616" t="str">
        <f t="shared" si="66"/>
        <v/>
      </c>
      <c r="E616" t="str">
        <f>IF(F616="","",IF(COUNTIF($F$2:F616,F616)&gt;1,"",SUMIFS(tbl_input[필요수량],tbl_input[집계키_센터],F616)))</f>
        <v/>
      </c>
      <c r="F616" t="str">
        <f>IFERROR(INDEX(tbl_input[집계키_센터],ROW()-1),"")</f>
        <v/>
      </c>
      <c r="G616" t="str">
        <f t="shared" si="67"/>
        <v/>
      </c>
      <c r="H616" t="str">
        <f t="shared" si="68"/>
        <v/>
      </c>
      <c r="I616" t="str">
        <f t="shared" si="69"/>
        <v/>
      </c>
    </row>
    <row r="617" spans="1:9" x14ac:dyDescent="0.4">
      <c r="A617" t="str">
        <f t="shared" si="63"/>
        <v/>
      </c>
      <c r="B617" t="str">
        <f t="shared" si="64"/>
        <v/>
      </c>
      <c r="C617" t="str">
        <f t="shared" si="65"/>
        <v/>
      </c>
      <c r="D617" t="str">
        <f t="shared" si="66"/>
        <v/>
      </c>
      <c r="E617" t="str">
        <f>IF(F617="","",IF(COUNTIF($F$2:F617,F617)&gt;1,"",SUMIFS(tbl_input[필요수량],tbl_input[집계키_센터],F617)))</f>
        <v/>
      </c>
      <c r="F617" t="str">
        <f>IFERROR(INDEX(tbl_input[집계키_센터],ROW()-1),"")</f>
        <v/>
      </c>
      <c r="G617" t="str">
        <f t="shared" si="67"/>
        <v/>
      </c>
      <c r="H617" t="str">
        <f t="shared" si="68"/>
        <v/>
      </c>
      <c r="I617" t="str">
        <f t="shared" si="69"/>
        <v/>
      </c>
    </row>
    <row r="618" spans="1:9" x14ac:dyDescent="0.4">
      <c r="A618" t="str">
        <f t="shared" si="63"/>
        <v/>
      </c>
      <c r="B618" t="str">
        <f t="shared" si="64"/>
        <v/>
      </c>
      <c r="C618" t="str">
        <f t="shared" si="65"/>
        <v/>
      </c>
      <c r="D618" t="str">
        <f t="shared" si="66"/>
        <v/>
      </c>
      <c r="E618" t="str">
        <f>IF(F618="","",IF(COUNTIF($F$2:F618,F618)&gt;1,"",SUMIFS(tbl_input[필요수량],tbl_input[집계키_센터],F618)))</f>
        <v/>
      </c>
      <c r="F618" t="str">
        <f>IFERROR(INDEX(tbl_input[집계키_센터],ROW()-1),"")</f>
        <v/>
      </c>
      <c r="G618" t="str">
        <f t="shared" si="67"/>
        <v/>
      </c>
      <c r="H618" t="str">
        <f t="shared" si="68"/>
        <v/>
      </c>
      <c r="I618" t="str">
        <f t="shared" si="69"/>
        <v/>
      </c>
    </row>
    <row r="619" spans="1:9" x14ac:dyDescent="0.4">
      <c r="A619" t="str">
        <f t="shared" si="63"/>
        <v/>
      </c>
      <c r="B619" t="str">
        <f t="shared" si="64"/>
        <v/>
      </c>
      <c r="C619" t="str">
        <f t="shared" si="65"/>
        <v/>
      </c>
      <c r="D619" t="str">
        <f t="shared" si="66"/>
        <v/>
      </c>
      <c r="E619" t="str">
        <f>IF(F619="","",IF(COUNTIF($F$2:F619,F619)&gt;1,"",SUMIFS(tbl_input[필요수량],tbl_input[집계키_센터],F619)))</f>
        <v/>
      </c>
      <c r="F619" t="str">
        <f>IFERROR(INDEX(tbl_input[집계키_센터],ROW()-1),"")</f>
        <v/>
      </c>
      <c r="G619" t="str">
        <f t="shared" si="67"/>
        <v/>
      </c>
      <c r="H619" t="str">
        <f t="shared" si="68"/>
        <v/>
      </c>
      <c r="I619" t="str">
        <f t="shared" si="69"/>
        <v/>
      </c>
    </row>
    <row r="620" spans="1:9" x14ac:dyDescent="0.4">
      <c r="A620" t="str">
        <f t="shared" si="63"/>
        <v/>
      </c>
      <c r="B620" t="str">
        <f t="shared" si="64"/>
        <v/>
      </c>
      <c r="C620" t="str">
        <f t="shared" si="65"/>
        <v/>
      </c>
      <c r="D620" t="str">
        <f t="shared" si="66"/>
        <v/>
      </c>
      <c r="E620" t="str">
        <f>IF(F620="","",IF(COUNTIF($F$2:F620,F620)&gt;1,"",SUMIFS(tbl_input[필요수량],tbl_input[집계키_센터],F620)))</f>
        <v/>
      </c>
      <c r="F620" t="str">
        <f>IFERROR(INDEX(tbl_input[집계키_센터],ROW()-1),"")</f>
        <v/>
      </c>
      <c r="G620" t="str">
        <f t="shared" si="67"/>
        <v/>
      </c>
      <c r="H620" t="str">
        <f t="shared" si="68"/>
        <v/>
      </c>
      <c r="I620" t="str">
        <f t="shared" si="69"/>
        <v/>
      </c>
    </row>
    <row r="621" spans="1:9" x14ac:dyDescent="0.4">
      <c r="A621" t="str">
        <f t="shared" si="63"/>
        <v/>
      </c>
      <c r="B621" t="str">
        <f t="shared" si="64"/>
        <v/>
      </c>
      <c r="C621" t="str">
        <f t="shared" si="65"/>
        <v/>
      </c>
      <c r="D621" t="str">
        <f t="shared" si="66"/>
        <v/>
      </c>
      <c r="E621" t="str">
        <f>IF(F621="","",IF(COUNTIF($F$2:F621,F621)&gt;1,"",SUMIFS(tbl_input[필요수량],tbl_input[집계키_센터],F621)))</f>
        <v/>
      </c>
      <c r="F621" t="str">
        <f>IFERROR(INDEX(tbl_input[집계키_센터],ROW()-1),"")</f>
        <v/>
      </c>
      <c r="G621" t="str">
        <f t="shared" si="67"/>
        <v/>
      </c>
      <c r="H621" t="str">
        <f t="shared" si="68"/>
        <v/>
      </c>
      <c r="I621" t="str">
        <f t="shared" si="69"/>
        <v/>
      </c>
    </row>
    <row r="622" spans="1:9" x14ac:dyDescent="0.4">
      <c r="A622" t="str">
        <f t="shared" si="63"/>
        <v/>
      </c>
      <c r="B622" t="str">
        <f t="shared" si="64"/>
        <v/>
      </c>
      <c r="C622" t="str">
        <f t="shared" si="65"/>
        <v/>
      </c>
      <c r="D622" t="str">
        <f t="shared" si="66"/>
        <v/>
      </c>
      <c r="E622" t="str">
        <f>IF(F622="","",IF(COUNTIF($F$2:F622,F622)&gt;1,"",SUMIFS(tbl_input[필요수량],tbl_input[집계키_센터],F622)))</f>
        <v/>
      </c>
      <c r="F622" t="str">
        <f>IFERROR(INDEX(tbl_input[집계키_센터],ROW()-1),"")</f>
        <v/>
      </c>
      <c r="G622" t="str">
        <f t="shared" si="67"/>
        <v/>
      </c>
      <c r="H622" t="str">
        <f t="shared" si="68"/>
        <v/>
      </c>
      <c r="I622" t="str">
        <f t="shared" si="69"/>
        <v/>
      </c>
    </row>
    <row r="623" spans="1:9" x14ac:dyDescent="0.4">
      <c r="A623" t="str">
        <f t="shared" si="63"/>
        <v/>
      </c>
      <c r="B623" t="str">
        <f t="shared" si="64"/>
        <v/>
      </c>
      <c r="C623" t="str">
        <f t="shared" si="65"/>
        <v/>
      </c>
      <c r="D623" t="str">
        <f t="shared" si="66"/>
        <v/>
      </c>
      <c r="E623" t="str">
        <f>IF(F623="","",IF(COUNTIF($F$2:F623,F623)&gt;1,"",SUMIFS(tbl_input[필요수량],tbl_input[집계키_센터],F623)))</f>
        <v/>
      </c>
      <c r="F623" t="str">
        <f>IFERROR(INDEX(tbl_input[집계키_센터],ROW()-1),"")</f>
        <v/>
      </c>
      <c r="G623" t="str">
        <f t="shared" si="67"/>
        <v/>
      </c>
      <c r="H623" t="str">
        <f t="shared" si="68"/>
        <v/>
      </c>
      <c r="I623" t="str">
        <f t="shared" si="69"/>
        <v/>
      </c>
    </row>
    <row r="624" spans="1:9" x14ac:dyDescent="0.4">
      <c r="A624" t="str">
        <f t="shared" si="63"/>
        <v/>
      </c>
      <c r="B624" t="str">
        <f t="shared" si="64"/>
        <v/>
      </c>
      <c r="C624" t="str">
        <f t="shared" si="65"/>
        <v/>
      </c>
      <c r="D624" t="str">
        <f t="shared" si="66"/>
        <v/>
      </c>
      <c r="E624" t="str">
        <f>IF(F624="","",IF(COUNTIF($F$2:F624,F624)&gt;1,"",SUMIFS(tbl_input[필요수량],tbl_input[집계키_센터],F624)))</f>
        <v/>
      </c>
      <c r="F624" t="str">
        <f>IFERROR(INDEX(tbl_input[집계키_센터],ROW()-1),"")</f>
        <v/>
      </c>
      <c r="G624" t="str">
        <f t="shared" si="67"/>
        <v/>
      </c>
      <c r="H624" t="str">
        <f t="shared" si="68"/>
        <v/>
      </c>
      <c r="I624" t="str">
        <f t="shared" si="69"/>
        <v/>
      </c>
    </row>
    <row r="625" spans="1:9" x14ac:dyDescent="0.4">
      <c r="A625" t="str">
        <f t="shared" si="63"/>
        <v/>
      </c>
      <c r="B625" t="str">
        <f t="shared" si="64"/>
        <v/>
      </c>
      <c r="C625" t="str">
        <f t="shared" si="65"/>
        <v/>
      </c>
      <c r="D625" t="str">
        <f t="shared" si="66"/>
        <v/>
      </c>
      <c r="E625" t="str">
        <f>IF(F625="","",IF(COUNTIF($F$2:F625,F625)&gt;1,"",SUMIFS(tbl_input[필요수량],tbl_input[집계키_센터],F625)))</f>
        <v/>
      </c>
      <c r="F625" t="str">
        <f>IFERROR(INDEX(tbl_input[집계키_센터],ROW()-1),"")</f>
        <v/>
      </c>
      <c r="G625" t="str">
        <f t="shared" si="67"/>
        <v/>
      </c>
      <c r="H625" t="str">
        <f t="shared" si="68"/>
        <v/>
      </c>
      <c r="I625" t="str">
        <f t="shared" si="69"/>
        <v/>
      </c>
    </row>
    <row r="626" spans="1:9" x14ac:dyDescent="0.4">
      <c r="A626" t="str">
        <f t="shared" si="63"/>
        <v/>
      </c>
      <c r="B626" t="str">
        <f t="shared" si="64"/>
        <v/>
      </c>
      <c r="C626" t="str">
        <f t="shared" si="65"/>
        <v/>
      </c>
      <c r="D626" t="str">
        <f t="shared" si="66"/>
        <v/>
      </c>
      <c r="E626" t="str">
        <f>IF(F626="","",IF(COUNTIF($F$2:F626,F626)&gt;1,"",SUMIFS(tbl_input[필요수량],tbl_input[집계키_센터],F626)))</f>
        <v/>
      </c>
      <c r="F626" t="str">
        <f>IFERROR(INDEX(tbl_input[집계키_센터],ROW()-1),"")</f>
        <v/>
      </c>
      <c r="G626" t="str">
        <f t="shared" si="67"/>
        <v/>
      </c>
      <c r="H626" t="str">
        <f t="shared" si="68"/>
        <v/>
      </c>
      <c r="I626" t="str">
        <f t="shared" si="69"/>
        <v/>
      </c>
    </row>
    <row r="627" spans="1:9" x14ac:dyDescent="0.4">
      <c r="A627" t="str">
        <f t="shared" si="63"/>
        <v/>
      </c>
      <c r="B627" t="str">
        <f t="shared" si="64"/>
        <v/>
      </c>
      <c r="C627" t="str">
        <f t="shared" si="65"/>
        <v/>
      </c>
      <c r="D627" t="str">
        <f t="shared" si="66"/>
        <v/>
      </c>
      <c r="E627" t="str">
        <f>IF(F627="","",IF(COUNTIF($F$2:F627,F627)&gt;1,"",SUMIFS(tbl_input[필요수량],tbl_input[집계키_센터],F627)))</f>
        <v/>
      </c>
      <c r="F627" t="str">
        <f>IFERROR(INDEX(tbl_input[집계키_센터],ROW()-1),"")</f>
        <v/>
      </c>
      <c r="G627" t="str">
        <f t="shared" si="67"/>
        <v/>
      </c>
      <c r="H627" t="str">
        <f t="shared" si="68"/>
        <v/>
      </c>
      <c r="I627" t="str">
        <f t="shared" si="69"/>
        <v/>
      </c>
    </row>
    <row r="628" spans="1:9" x14ac:dyDescent="0.4">
      <c r="A628" t="str">
        <f t="shared" si="63"/>
        <v/>
      </c>
      <c r="B628" t="str">
        <f t="shared" si="64"/>
        <v/>
      </c>
      <c r="C628" t="str">
        <f t="shared" si="65"/>
        <v/>
      </c>
      <c r="D628" t="str">
        <f t="shared" si="66"/>
        <v/>
      </c>
      <c r="E628" t="str">
        <f>IF(F628="","",IF(COUNTIF($F$2:F628,F628)&gt;1,"",SUMIFS(tbl_input[필요수량],tbl_input[집계키_센터],F628)))</f>
        <v/>
      </c>
      <c r="F628" t="str">
        <f>IFERROR(INDEX(tbl_input[집계키_센터],ROW()-1),"")</f>
        <v/>
      </c>
      <c r="G628" t="str">
        <f t="shared" si="67"/>
        <v/>
      </c>
      <c r="H628" t="str">
        <f t="shared" si="68"/>
        <v/>
      </c>
      <c r="I628" t="str">
        <f t="shared" si="69"/>
        <v/>
      </c>
    </row>
    <row r="629" spans="1:9" x14ac:dyDescent="0.4">
      <c r="A629" t="str">
        <f t="shared" si="63"/>
        <v/>
      </c>
      <c r="B629" t="str">
        <f t="shared" si="64"/>
        <v/>
      </c>
      <c r="C629" t="str">
        <f t="shared" si="65"/>
        <v/>
      </c>
      <c r="D629" t="str">
        <f t="shared" si="66"/>
        <v/>
      </c>
      <c r="E629" t="str">
        <f>IF(F629="","",IF(COUNTIF($F$2:F629,F629)&gt;1,"",SUMIFS(tbl_input[필요수량],tbl_input[집계키_센터],F629)))</f>
        <v/>
      </c>
      <c r="F629" t="str">
        <f>IFERROR(INDEX(tbl_input[집계키_센터],ROW()-1),"")</f>
        <v/>
      </c>
      <c r="G629" t="str">
        <f t="shared" si="67"/>
        <v/>
      </c>
      <c r="H629" t="str">
        <f t="shared" si="68"/>
        <v/>
      </c>
      <c r="I629" t="str">
        <f t="shared" si="69"/>
        <v/>
      </c>
    </row>
    <row r="630" spans="1:9" x14ac:dyDescent="0.4">
      <c r="A630" t="str">
        <f t="shared" si="63"/>
        <v/>
      </c>
      <c r="B630" t="str">
        <f t="shared" si="64"/>
        <v/>
      </c>
      <c r="C630" t="str">
        <f t="shared" si="65"/>
        <v/>
      </c>
      <c r="D630" t="str">
        <f t="shared" si="66"/>
        <v/>
      </c>
      <c r="E630" t="str">
        <f>IF(F630="","",IF(COUNTIF($F$2:F630,F630)&gt;1,"",SUMIFS(tbl_input[필요수량],tbl_input[집계키_센터],F630)))</f>
        <v/>
      </c>
      <c r="F630" t="str">
        <f>IFERROR(INDEX(tbl_input[집계키_센터],ROW()-1),"")</f>
        <v/>
      </c>
      <c r="G630" t="str">
        <f t="shared" si="67"/>
        <v/>
      </c>
      <c r="H630" t="str">
        <f t="shared" si="68"/>
        <v/>
      </c>
      <c r="I630" t="str">
        <f t="shared" si="69"/>
        <v/>
      </c>
    </row>
    <row r="631" spans="1:9" x14ac:dyDescent="0.4">
      <c r="A631" t="str">
        <f t="shared" si="63"/>
        <v/>
      </c>
      <c r="B631" t="str">
        <f t="shared" si="64"/>
        <v/>
      </c>
      <c r="C631" t="str">
        <f t="shared" si="65"/>
        <v/>
      </c>
      <c r="D631" t="str">
        <f t="shared" si="66"/>
        <v/>
      </c>
      <c r="E631" t="str">
        <f>IF(F631="","",IF(COUNTIF($F$2:F631,F631)&gt;1,"",SUMIFS(tbl_input[필요수량],tbl_input[집계키_센터],F631)))</f>
        <v/>
      </c>
      <c r="F631" t="str">
        <f>IFERROR(INDEX(tbl_input[집계키_센터],ROW()-1),"")</f>
        <v/>
      </c>
      <c r="G631" t="str">
        <f t="shared" si="67"/>
        <v/>
      </c>
      <c r="H631" t="str">
        <f t="shared" si="68"/>
        <v/>
      </c>
      <c r="I631" t="str">
        <f t="shared" si="69"/>
        <v/>
      </c>
    </row>
    <row r="632" spans="1:9" x14ac:dyDescent="0.4">
      <c r="A632" t="str">
        <f t="shared" si="63"/>
        <v/>
      </c>
      <c r="B632" t="str">
        <f t="shared" si="64"/>
        <v/>
      </c>
      <c r="C632" t="str">
        <f t="shared" si="65"/>
        <v/>
      </c>
      <c r="D632" t="str">
        <f t="shared" si="66"/>
        <v/>
      </c>
      <c r="E632" t="str">
        <f>IF(F632="","",IF(COUNTIF($F$2:F632,F632)&gt;1,"",SUMIFS(tbl_input[필요수량],tbl_input[집계키_센터],F632)))</f>
        <v/>
      </c>
      <c r="F632" t="str">
        <f>IFERROR(INDEX(tbl_input[집계키_센터],ROW()-1),"")</f>
        <v/>
      </c>
      <c r="G632" t="str">
        <f t="shared" si="67"/>
        <v/>
      </c>
      <c r="H632" t="str">
        <f t="shared" si="68"/>
        <v/>
      </c>
      <c r="I632" t="str">
        <f t="shared" si="69"/>
        <v/>
      </c>
    </row>
    <row r="633" spans="1:9" x14ac:dyDescent="0.4">
      <c r="A633" t="str">
        <f t="shared" si="63"/>
        <v/>
      </c>
      <c r="B633" t="str">
        <f t="shared" si="64"/>
        <v/>
      </c>
      <c r="C633" t="str">
        <f t="shared" si="65"/>
        <v/>
      </c>
      <c r="D633" t="str">
        <f t="shared" si="66"/>
        <v/>
      </c>
      <c r="E633" t="str">
        <f>IF(F633="","",IF(COUNTIF($F$2:F633,F633)&gt;1,"",SUMIFS(tbl_input[필요수량],tbl_input[집계키_센터],F633)))</f>
        <v/>
      </c>
      <c r="F633" t="str">
        <f>IFERROR(INDEX(tbl_input[집계키_센터],ROW()-1),"")</f>
        <v/>
      </c>
      <c r="G633" t="str">
        <f t="shared" si="67"/>
        <v/>
      </c>
      <c r="H633" t="str">
        <f t="shared" si="68"/>
        <v/>
      </c>
      <c r="I633" t="str">
        <f t="shared" si="69"/>
        <v/>
      </c>
    </row>
    <row r="634" spans="1:9" x14ac:dyDescent="0.4">
      <c r="A634" t="str">
        <f t="shared" si="63"/>
        <v/>
      </c>
      <c r="B634" t="str">
        <f t="shared" si="64"/>
        <v/>
      </c>
      <c r="C634" t="str">
        <f t="shared" si="65"/>
        <v/>
      </c>
      <c r="D634" t="str">
        <f t="shared" si="66"/>
        <v/>
      </c>
      <c r="E634" t="str">
        <f>IF(F634="","",IF(COUNTIF($F$2:F634,F634)&gt;1,"",SUMIFS(tbl_input[필요수량],tbl_input[집계키_센터],F634)))</f>
        <v/>
      </c>
      <c r="F634" t="str">
        <f>IFERROR(INDEX(tbl_input[집계키_센터],ROW()-1),"")</f>
        <v/>
      </c>
      <c r="G634" t="str">
        <f t="shared" si="67"/>
        <v/>
      </c>
      <c r="H634" t="str">
        <f t="shared" si="68"/>
        <v/>
      </c>
      <c r="I634" t="str">
        <f t="shared" si="69"/>
        <v/>
      </c>
    </row>
    <row r="635" spans="1:9" x14ac:dyDescent="0.4">
      <c r="A635" t="str">
        <f t="shared" si="63"/>
        <v/>
      </c>
      <c r="B635" t="str">
        <f t="shared" si="64"/>
        <v/>
      </c>
      <c r="C635" t="str">
        <f t="shared" si="65"/>
        <v/>
      </c>
      <c r="D635" t="str">
        <f t="shared" si="66"/>
        <v/>
      </c>
      <c r="E635" t="str">
        <f>IF(F635="","",IF(COUNTIF($F$2:F635,F635)&gt;1,"",SUMIFS(tbl_input[필요수량],tbl_input[집계키_센터],F635)))</f>
        <v/>
      </c>
      <c r="F635" t="str">
        <f>IFERROR(INDEX(tbl_input[집계키_센터],ROW()-1),"")</f>
        <v/>
      </c>
      <c r="G635" t="str">
        <f t="shared" si="67"/>
        <v/>
      </c>
      <c r="H635" t="str">
        <f t="shared" si="68"/>
        <v/>
      </c>
      <c r="I635" t="str">
        <f t="shared" si="69"/>
        <v/>
      </c>
    </row>
    <row r="636" spans="1:9" x14ac:dyDescent="0.4">
      <c r="A636" t="str">
        <f t="shared" si="63"/>
        <v/>
      </c>
      <c r="B636" t="str">
        <f t="shared" si="64"/>
        <v/>
      </c>
      <c r="C636" t="str">
        <f t="shared" si="65"/>
        <v/>
      </c>
      <c r="D636" t="str">
        <f t="shared" si="66"/>
        <v/>
      </c>
      <c r="E636" t="str">
        <f>IF(F636="","",IF(COUNTIF($F$2:F636,F636)&gt;1,"",SUMIFS(tbl_input[필요수량],tbl_input[집계키_센터],F636)))</f>
        <v/>
      </c>
      <c r="F636" t="str">
        <f>IFERROR(INDEX(tbl_input[집계키_센터],ROW()-1),"")</f>
        <v/>
      </c>
      <c r="G636" t="str">
        <f t="shared" si="67"/>
        <v/>
      </c>
      <c r="H636" t="str">
        <f t="shared" si="68"/>
        <v/>
      </c>
      <c r="I636" t="str">
        <f t="shared" si="69"/>
        <v/>
      </c>
    </row>
    <row r="637" spans="1:9" x14ac:dyDescent="0.4">
      <c r="A637" t="str">
        <f t="shared" si="63"/>
        <v/>
      </c>
      <c r="B637" t="str">
        <f t="shared" si="64"/>
        <v/>
      </c>
      <c r="C637" t="str">
        <f t="shared" si="65"/>
        <v/>
      </c>
      <c r="D637" t="str">
        <f t="shared" si="66"/>
        <v/>
      </c>
      <c r="E637" t="str">
        <f>IF(F637="","",IF(COUNTIF($F$2:F637,F637)&gt;1,"",SUMIFS(tbl_input[필요수량],tbl_input[집계키_센터],F637)))</f>
        <v/>
      </c>
      <c r="F637" t="str">
        <f>IFERROR(INDEX(tbl_input[집계키_센터],ROW()-1),"")</f>
        <v/>
      </c>
      <c r="G637" t="str">
        <f t="shared" si="67"/>
        <v/>
      </c>
      <c r="H637" t="str">
        <f t="shared" si="68"/>
        <v/>
      </c>
      <c r="I637" t="str">
        <f t="shared" si="69"/>
        <v/>
      </c>
    </row>
    <row r="638" spans="1:9" x14ac:dyDescent="0.4">
      <c r="A638" t="str">
        <f t="shared" si="63"/>
        <v/>
      </c>
      <c r="B638" t="str">
        <f t="shared" si="64"/>
        <v/>
      </c>
      <c r="C638" t="str">
        <f t="shared" si="65"/>
        <v/>
      </c>
      <c r="D638" t="str">
        <f t="shared" si="66"/>
        <v/>
      </c>
      <c r="E638" t="str">
        <f>IF(F638="","",IF(COUNTIF($F$2:F638,F638)&gt;1,"",SUMIFS(tbl_input[필요수량],tbl_input[집계키_센터],F638)))</f>
        <v/>
      </c>
      <c r="F638" t="str">
        <f>IFERROR(INDEX(tbl_input[집계키_센터],ROW()-1),"")</f>
        <v/>
      </c>
      <c r="G638" t="str">
        <f t="shared" si="67"/>
        <v/>
      </c>
      <c r="H638" t="str">
        <f t="shared" si="68"/>
        <v/>
      </c>
      <c r="I638" t="str">
        <f t="shared" si="69"/>
        <v/>
      </c>
    </row>
    <row r="639" spans="1:9" x14ac:dyDescent="0.4">
      <c r="A639" t="str">
        <f t="shared" si="63"/>
        <v/>
      </c>
      <c r="B639" t="str">
        <f t="shared" si="64"/>
        <v/>
      </c>
      <c r="C639" t="str">
        <f t="shared" si="65"/>
        <v/>
      </c>
      <c r="D639" t="str">
        <f t="shared" si="66"/>
        <v/>
      </c>
      <c r="E639" t="str">
        <f>IF(F639="","",IF(COUNTIF($F$2:F639,F639)&gt;1,"",SUMIFS(tbl_input[필요수량],tbl_input[집계키_센터],F639)))</f>
        <v/>
      </c>
      <c r="F639" t="str">
        <f>IFERROR(INDEX(tbl_input[집계키_센터],ROW()-1),"")</f>
        <v/>
      </c>
      <c r="G639" t="str">
        <f t="shared" si="67"/>
        <v/>
      </c>
      <c r="H639" t="str">
        <f t="shared" si="68"/>
        <v/>
      </c>
      <c r="I639" t="str">
        <f t="shared" si="69"/>
        <v/>
      </c>
    </row>
    <row r="640" spans="1:9" x14ac:dyDescent="0.4">
      <c r="A640" t="str">
        <f t="shared" si="63"/>
        <v/>
      </c>
      <c r="B640" t="str">
        <f t="shared" si="64"/>
        <v/>
      </c>
      <c r="C640" t="str">
        <f t="shared" si="65"/>
        <v/>
      </c>
      <c r="D640" t="str">
        <f t="shared" si="66"/>
        <v/>
      </c>
      <c r="E640" t="str">
        <f>IF(F640="","",IF(COUNTIF($F$2:F640,F640)&gt;1,"",SUMIFS(tbl_input[필요수량],tbl_input[집계키_센터],F640)))</f>
        <v/>
      </c>
      <c r="F640" t="str">
        <f>IFERROR(INDEX(tbl_input[집계키_센터],ROW()-1),"")</f>
        <v/>
      </c>
      <c r="G640" t="str">
        <f t="shared" si="67"/>
        <v/>
      </c>
      <c r="H640" t="str">
        <f t="shared" si="68"/>
        <v/>
      </c>
      <c r="I640" t="str">
        <f t="shared" si="69"/>
        <v/>
      </c>
    </row>
    <row r="641" spans="1:9" x14ac:dyDescent="0.4">
      <c r="A641" t="str">
        <f t="shared" si="63"/>
        <v/>
      </c>
      <c r="B641" t="str">
        <f t="shared" si="64"/>
        <v/>
      </c>
      <c r="C641" t="str">
        <f t="shared" si="65"/>
        <v/>
      </c>
      <c r="D641" t="str">
        <f t="shared" si="66"/>
        <v/>
      </c>
      <c r="E641" t="str">
        <f>IF(F641="","",IF(COUNTIF($F$2:F641,F641)&gt;1,"",SUMIFS(tbl_input[필요수량],tbl_input[집계키_센터],F641)))</f>
        <v/>
      </c>
      <c r="F641" t="str">
        <f>IFERROR(INDEX(tbl_input[집계키_센터],ROW()-1),"")</f>
        <v/>
      </c>
      <c r="G641" t="str">
        <f t="shared" si="67"/>
        <v/>
      </c>
      <c r="H641" t="str">
        <f t="shared" si="68"/>
        <v/>
      </c>
      <c r="I641" t="str">
        <f t="shared" si="69"/>
        <v/>
      </c>
    </row>
    <row r="642" spans="1:9" x14ac:dyDescent="0.4">
      <c r="A642" t="str">
        <f t="shared" ref="A642:A705" si="70">IF(F642="","",LEFT(F642,G642-1))</f>
        <v/>
      </c>
      <c r="B642" t="str">
        <f t="shared" ref="B642:B705" si="71">IF(F642="","",MID(F642,G642+1,H642-G642-1))</f>
        <v/>
      </c>
      <c r="C642" t="str">
        <f t="shared" ref="C642:C705" si="72">IF(F642="","",MID(F642,H642+1,I642-H642-1))</f>
        <v/>
      </c>
      <c r="D642" t="str">
        <f t="shared" ref="D642:D705" si="73">IF(F642="","",MID(F642,I642+1,999))</f>
        <v/>
      </c>
      <c r="E642" t="str">
        <f>IF(F642="","",IF(COUNTIF($F$2:F642,F642)&gt;1,"",SUMIFS(tbl_input[필요수량],tbl_input[집계키_센터],F642)))</f>
        <v/>
      </c>
      <c r="F642" t="str">
        <f>IFERROR(INDEX(tbl_input[집계키_센터],ROW()-1),"")</f>
        <v/>
      </c>
      <c r="G642" t="str">
        <f t="shared" ref="G642:G705" si="74">IF(F642="","",FIND("♦",F642))</f>
        <v/>
      </c>
      <c r="H642" t="str">
        <f t="shared" ref="H642:H705" si="75">IF(F642="","",FIND("♦",F642,G642+1))</f>
        <v/>
      </c>
      <c r="I642" t="str">
        <f t="shared" ref="I642:I705" si="76">IF(F642="","",FIND("♦",F642,H642+1))</f>
        <v/>
      </c>
    </row>
    <row r="643" spans="1:9" x14ac:dyDescent="0.4">
      <c r="A643" t="str">
        <f t="shared" si="70"/>
        <v/>
      </c>
      <c r="B643" t="str">
        <f t="shared" si="71"/>
        <v/>
      </c>
      <c r="C643" t="str">
        <f t="shared" si="72"/>
        <v/>
      </c>
      <c r="D643" t="str">
        <f t="shared" si="73"/>
        <v/>
      </c>
      <c r="E643" t="str">
        <f>IF(F643="","",IF(COUNTIF($F$2:F643,F643)&gt;1,"",SUMIFS(tbl_input[필요수량],tbl_input[집계키_센터],F643)))</f>
        <v/>
      </c>
      <c r="F643" t="str">
        <f>IFERROR(INDEX(tbl_input[집계키_센터],ROW()-1),"")</f>
        <v/>
      </c>
      <c r="G643" t="str">
        <f t="shared" si="74"/>
        <v/>
      </c>
      <c r="H643" t="str">
        <f t="shared" si="75"/>
        <v/>
      </c>
      <c r="I643" t="str">
        <f t="shared" si="76"/>
        <v/>
      </c>
    </row>
    <row r="644" spans="1:9" x14ac:dyDescent="0.4">
      <c r="A644" t="str">
        <f t="shared" si="70"/>
        <v/>
      </c>
      <c r="B644" t="str">
        <f t="shared" si="71"/>
        <v/>
      </c>
      <c r="C644" t="str">
        <f t="shared" si="72"/>
        <v/>
      </c>
      <c r="D644" t="str">
        <f t="shared" si="73"/>
        <v/>
      </c>
      <c r="E644" t="str">
        <f>IF(F644="","",IF(COUNTIF($F$2:F644,F644)&gt;1,"",SUMIFS(tbl_input[필요수량],tbl_input[집계키_센터],F644)))</f>
        <v/>
      </c>
      <c r="F644" t="str">
        <f>IFERROR(INDEX(tbl_input[집계키_센터],ROW()-1),"")</f>
        <v/>
      </c>
      <c r="G644" t="str">
        <f t="shared" si="74"/>
        <v/>
      </c>
      <c r="H644" t="str">
        <f t="shared" si="75"/>
        <v/>
      </c>
      <c r="I644" t="str">
        <f t="shared" si="76"/>
        <v/>
      </c>
    </row>
    <row r="645" spans="1:9" x14ac:dyDescent="0.4">
      <c r="A645" t="str">
        <f t="shared" si="70"/>
        <v/>
      </c>
      <c r="B645" t="str">
        <f t="shared" si="71"/>
        <v/>
      </c>
      <c r="C645" t="str">
        <f t="shared" si="72"/>
        <v/>
      </c>
      <c r="D645" t="str">
        <f t="shared" si="73"/>
        <v/>
      </c>
      <c r="E645" t="str">
        <f>IF(F645="","",IF(COUNTIF($F$2:F645,F645)&gt;1,"",SUMIFS(tbl_input[필요수량],tbl_input[집계키_센터],F645)))</f>
        <v/>
      </c>
      <c r="F645" t="str">
        <f>IFERROR(INDEX(tbl_input[집계키_센터],ROW()-1),"")</f>
        <v/>
      </c>
      <c r="G645" t="str">
        <f t="shared" si="74"/>
        <v/>
      </c>
      <c r="H645" t="str">
        <f t="shared" si="75"/>
        <v/>
      </c>
      <c r="I645" t="str">
        <f t="shared" si="76"/>
        <v/>
      </c>
    </row>
    <row r="646" spans="1:9" x14ac:dyDescent="0.4">
      <c r="A646" t="str">
        <f t="shared" si="70"/>
        <v/>
      </c>
      <c r="B646" t="str">
        <f t="shared" si="71"/>
        <v/>
      </c>
      <c r="C646" t="str">
        <f t="shared" si="72"/>
        <v/>
      </c>
      <c r="D646" t="str">
        <f t="shared" si="73"/>
        <v/>
      </c>
      <c r="E646" t="str">
        <f>IF(F646="","",IF(COUNTIF($F$2:F646,F646)&gt;1,"",SUMIFS(tbl_input[필요수량],tbl_input[집계키_센터],F646)))</f>
        <v/>
      </c>
      <c r="F646" t="str">
        <f>IFERROR(INDEX(tbl_input[집계키_센터],ROW()-1),"")</f>
        <v/>
      </c>
      <c r="G646" t="str">
        <f t="shared" si="74"/>
        <v/>
      </c>
      <c r="H646" t="str">
        <f t="shared" si="75"/>
        <v/>
      </c>
      <c r="I646" t="str">
        <f t="shared" si="76"/>
        <v/>
      </c>
    </row>
    <row r="647" spans="1:9" x14ac:dyDescent="0.4">
      <c r="A647" t="str">
        <f t="shared" si="70"/>
        <v/>
      </c>
      <c r="B647" t="str">
        <f t="shared" si="71"/>
        <v/>
      </c>
      <c r="C647" t="str">
        <f t="shared" si="72"/>
        <v/>
      </c>
      <c r="D647" t="str">
        <f t="shared" si="73"/>
        <v/>
      </c>
      <c r="E647" t="str">
        <f>IF(F647="","",IF(COUNTIF($F$2:F647,F647)&gt;1,"",SUMIFS(tbl_input[필요수량],tbl_input[집계키_센터],F647)))</f>
        <v/>
      </c>
      <c r="F647" t="str">
        <f>IFERROR(INDEX(tbl_input[집계키_센터],ROW()-1),"")</f>
        <v/>
      </c>
      <c r="G647" t="str">
        <f t="shared" si="74"/>
        <v/>
      </c>
      <c r="H647" t="str">
        <f t="shared" si="75"/>
        <v/>
      </c>
      <c r="I647" t="str">
        <f t="shared" si="76"/>
        <v/>
      </c>
    </row>
    <row r="648" spans="1:9" x14ac:dyDescent="0.4">
      <c r="A648" t="str">
        <f t="shared" si="70"/>
        <v/>
      </c>
      <c r="B648" t="str">
        <f t="shared" si="71"/>
        <v/>
      </c>
      <c r="C648" t="str">
        <f t="shared" si="72"/>
        <v/>
      </c>
      <c r="D648" t="str">
        <f t="shared" si="73"/>
        <v/>
      </c>
      <c r="E648" t="str">
        <f>IF(F648="","",IF(COUNTIF($F$2:F648,F648)&gt;1,"",SUMIFS(tbl_input[필요수량],tbl_input[집계키_센터],F648)))</f>
        <v/>
      </c>
      <c r="F648" t="str">
        <f>IFERROR(INDEX(tbl_input[집계키_센터],ROW()-1),"")</f>
        <v/>
      </c>
      <c r="G648" t="str">
        <f t="shared" si="74"/>
        <v/>
      </c>
      <c r="H648" t="str">
        <f t="shared" si="75"/>
        <v/>
      </c>
      <c r="I648" t="str">
        <f t="shared" si="76"/>
        <v/>
      </c>
    </row>
    <row r="649" spans="1:9" x14ac:dyDescent="0.4">
      <c r="A649" t="str">
        <f t="shared" si="70"/>
        <v/>
      </c>
      <c r="B649" t="str">
        <f t="shared" si="71"/>
        <v/>
      </c>
      <c r="C649" t="str">
        <f t="shared" si="72"/>
        <v/>
      </c>
      <c r="D649" t="str">
        <f t="shared" si="73"/>
        <v/>
      </c>
      <c r="E649" t="str">
        <f>IF(F649="","",IF(COUNTIF($F$2:F649,F649)&gt;1,"",SUMIFS(tbl_input[필요수량],tbl_input[집계키_센터],F649)))</f>
        <v/>
      </c>
      <c r="F649" t="str">
        <f>IFERROR(INDEX(tbl_input[집계키_센터],ROW()-1),"")</f>
        <v/>
      </c>
      <c r="G649" t="str">
        <f t="shared" si="74"/>
        <v/>
      </c>
      <c r="H649" t="str">
        <f t="shared" si="75"/>
        <v/>
      </c>
      <c r="I649" t="str">
        <f t="shared" si="76"/>
        <v/>
      </c>
    </row>
    <row r="650" spans="1:9" x14ac:dyDescent="0.4">
      <c r="A650" t="str">
        <f t="shared" si="70"/>
        <v/>
      </c>
      <c r="B650" t="str">
        <f t="shared" si="71"/>
        <v/>
      </c>
      <c r="C650" t="str">
        <f t="shared" si="72"/>
        <v/>
      </c>
      <c r="D650" t="str">
        <f t="shared" si="73"/>
        <v/>
      </c>
      <c r="E650" t="str">
        <f>IF(F650="","",IF(COUNTIF($F$2:F650,F650)&gt;1,"",SUMIFS(tbl_input[필요수량],tbl_input[집계키_센터],F650)))</f>
        <v/>
      </c>
      <c r="F650" t="str">
        <f>IFERROR(INDEX(tbl_input[집계키_센터],ROW()-1),"")</f>
        <v/>
      </c>
      <c r="G650" t="str">
        <f t="shared" si="74"/>
        <v/>
      </c>
      <c r="H650" t="str">
        <f t="shared" si="75"/>
        <v/>
      </c>
      <c r="I650" t="str">
        <f t="shared" si="76"/>
        <v/>
      </c>
    </row>
    <row r="651" spans="1:9" x14ac:dyDescent="0.4">
      <c r="A651" t="str">
        <f t="shared" si="70"/>
        <v/>
      </c>
      <c r="B651" t="str">
        <f t="shared" si="71"/>
        <v/>
      </c>
      <c r="C651" t="str">
        <f t="shared" si="72"/>
        <v/>
      </c>
      <c r="D651" t="str">
        <f t="shared" si="73"/>
        <v/>
      </c>
      <c r="E651" t="str">
        <f>IF(F651="","",IF(COUNTIF($F$2:F651,F651)&gt;1,"",SUMIFS(tbl_input[필요수량],tbl_input[집계키_센터],F651)))</f>
        <v/>
      </c>
      <c r="F651" t="str">
        <f>IFERROR(INDEX(tbl_input[집계키_센터],ROW()-1),"")</f>
        <v/>
      </c>
      <c r="G651" t="str">
        <f t="shared" si="74"/>
        <v/>
      </c>
      <c r="H651" t="str">
        <f t="shared" si="75"/>
        <v/>
      </c>
      <c r="I651" t="str">
        <f t="shared" si="76"/>
        <v/>
      </c>
    </row>
    <row r="652" spans="1:9" x14ac:dyDescent="0.4">
      <c r="A652" t="str">
        <f t="shared" si="70"/>
        <v/>
      </c>
      <c r="B652" t="str">
        <f t="shared" si="71"/>
        <v/>
      </c>
      <c r="C652" t="str">
        <f t="shared" si="72"/>
        <v/>
      </c>
      <c r="D652" t="str">
        <f t="shared" si="73"/>
        <v/>
      </c>
      <c r="E652" t="str">
        <f>IF(F652="","",IF(COUNTIF($F$2:F652,F652)&gt;1,"",SUMIFS(tbl_input[필요수량],tbl_input[집계키_센터],F652)))</f>
        <v/>
      </c>
      <c r="F652" t="str">
        <f>IFERROR(INDEX(tbl_input[집계키_센터],ROW()-1),"")</f>
        <v/>
      </c>
      <c r="G652" t="str">
        <f t="shared" si="74"/>
        <v/>
      </c>
      <c r="H652" t="str">
        <f t="shared" si="75"/>
        <v/>
      </c>
      <c r="I652" t="str">
        <f t="shared" si="76"/>
        <v/>
      </c>
    </row>
    <row r="653" spans="1:9" x14ac:dyDescent="0.4">
      <c r="A653" t="str">
        <f t="shared" si="70"/>
        <v/>
      </c>
      <c r="B653" t="str">
        <f t="shared" si="71"/>
        <v/>
      </c>
      <c r="C653" t="str">
        <f t="shared" si="72"/>
        <v/>
      </c>
      <c r="D653" t="str">
        <f t="shared" si="73"/>
        <v/>
      </c>
      <c r="E653" t="str">
        <f>IF(F653="","",IF(COUNTIF($F$2:F653,F653)&gt;1,"",SUMIFS(tbl_input[필요수량],tbl_input[집계키_센터],F653)))</f>
        <v/>
      </c>
      <c r="F653" t="str">
        <f>IFERROR(INDEX(tbl_input[집계키_센터],ROW()-1),"")</f>
        <v/>
      </c>
      <c r="G653" t="str">
        <f t="shared" si="74"/>
        <v/>
      </c>
      <c r="H653" t="str">
        <f t="shared" si="75"/>
        <v/>
      </c>
      <c r="I653" t="str">
        <f t="shared" si="76"/>
        <v/>
      </c>
    </row>
    <row r="654" spans="1:9" x14ac:dyDescent="0.4">
      <c r="A654" t="str">
        <f t="shared" si="70"/>
        <v/>
      </c>
      <c r="B654" t="str">
        <f t="shared" si="71"/>
        <v/>
      </c>
      <c r="C654" t="str">
        <f t="shared" si="72"/>
        <v/>
      </c>
      <c r="D654" t="str">
        <f t="shared" si="73"/>
        <v/>
      </c>
      <c r="E654" t="str">
        <f>IF(F654="","",IF(COUNTIF($F$2:F654,F654)&gt;1,"",SUMIFS(tbl_input[필요수량],tbl_input[집계키_센터],F654)))</f>
        <v/>
      </c>
      <c r="F654" t="str">
        <f>IFERROR(INDEX(tbl_input[집계키_센터],ROW()-1),"")</f>
        <v/>
      </c>
      <c r="G654" t="str">
        <f t="shared" si="74"/>
        <v/>
      </c>
      <c r="H654" t="str">
        <f t="shared" si="75"/>
        <v/>
      </c>
      <c r="I654" t="str">
        <f t="shared" si="76"/>
        <v/>
      </c>
    </row>
    <row r="655" spans="1:9" x14ac:dyDescent="0.4">
      <c r="A655" t="str">
        <f t="shared" si="70"/>
        <v/>
      </c>
      <c r="B655" t="str">
        <f t="shared" si="71"/>
        <v/>
      </c>
      <c r="C655" t="str">
        <f t="shared" si="72"/>
        <v/>
      </c>
      <c r="D655" t="str">
        <f t="shared" si="73"/>
        <v/>
      </c>
      <c r="E655" t="str">
        <f>IF(F655="","",IF(COUNTIF($F$2:F655,F655)&gt;1,"",SUMIFS(tbl_input[필요수량],tbl_input[집계키_센터],F655)))</f>
        <v/>
      </c>
      <c r="F655" t="str">
        <f>IFERROR(INDEX(tbl_input[집계키_센터],ROW()-1),"")</f>
        <v/>
      </c>
      <c r="G655" t="str">
        <f t="shared" si="74"/>
        <v/>
      </c>
      <c r="H655" t="str">
        <f t="shared" si="75"/>
        <v/>
      </c>
      <c r="I655" t="str">
        <f t="shared" si="76"/>
        <v/>
      </c>
    </row>
    <row r="656" spans="1:9" x14ac:dyDescent="0.4">
      <c r="A656" t="str">
        <f t="shared" si="70"/>
        <v/>
      </c>
      <c r="B656" t="str">
        <f t="shared" si="71"/>
        <v/>
      </c>
      <c r="C656" t="str">
        <f t="shared" si="72"/>
        <v/>
      </c>
      <c r="D656" t="str">
        <f t="shared" si="73"/>
        <v/>
      </c>
      <c r="E656" t="str">
        <f>IF(F656="","",IF(COUNTIF($F$2:F656,F656)&gt;1,"",SUMIFS(tbl_input[필요수량],tbl_input[집계키_센터],F656)))</f>
        <v/>
      </c>
      <c r="F656" t="str">
        <f>IFERROR(INDEX(tbl_input[집계키_센터],ROW()-1),"")</f>
        <v/>
      </c>
      <c r="G656" t="str">
        <f t="shared" si="74"/>
        <v/>
      </c>
      <c r="H656" t="str">
        <f t="shared" si="75"/>
        <v/>
      </c>
      <c r="I656" t="str">
        <f t="shared" si="76"/>
        <v/>
      </c>
    </row>
    <row r="657" spans="1:9" x14ac:dyDescent="0.4">
      <c r="A657" t="str">
        <f t="shared" si="70"/>
        <v/>
      </c>
      <c r="B657" t="str">
        <f t="shared" si="71"/>
        <v/>
      </c>
      <c r="C657" t="str">
        <f t="shared" si="72"/>
        <v/>
      </c>
      <c r="D657" t="str">
        <f t="shared" si="73"/>
        <v/>
      </c>
      <c r="E657" t="str">
        <f>IF(F657="","",IF(COUNTIF($F$2:F657,F657)&gt;1,"",SUMIFS(tbl_input[필요수량],tbl_input[집계키_센터],F657)))</f>
        <v/>
      </c>
      <c r="F657" t="str">
        <f>IFERROR(INDEX(tbl_input[집계키_센터],ROW()-1),"")</f>
        <v/>
      </c>
      <c r="G657" t="str">
        <f t="shared" si="74"/>
        <v/>
      </c>
      <c r="H657" t="str">
        <f t="shared" si="75"/>
        <v/>
      </c>
      <c r="I657" t="str">
        <f t="shared" si="76"/>
        <v/>
      </c>
    </row>
    <row r="658" spans="1:9" x14ac:dyDescent="0.4">
      <c r="A658" t="str">
        <f t="shared" si="70"/>
        <v/>
      </c>
      <c r="B658" t="str">
        <f t="shared" si="71"/>
        <v/>
      </c>
      <c r="C658" t="str">
        <f t="shared" si="72"/>
        <v/>
      </c>
      <c r="D658" t="str">
        <f t="shared" si="73"/>
        <v/>
      </c>
      <c r="E658" t="str">
        <f>IF(F658="","",IF(COUNTIF($F$2:F658,F658)&gt;1,"",SUMIFS(tbl_input[필요수량],tbl_input[집계키_센터],F658)))</f>
        <v/>
      </c>
      <c r="F658" t="str">
        <f>IFERROR(INDEX(tbl_input[집계키_센터],ROW()-1),"")</f>
        <v/>
      </c>
      <c r="G658" t="str">
        <f t="shared" si="74"/>
        <v/>
      </c>
      <c r="H658" t="str">
        <f t="shared" si="75"/>
        <v/>
      </c>
      <c r="I658" t="str">
        <f t="shared" si="76"/>
        <v/>
      </c>
    </row>
    <row r="659" spans="1:9" x14ac:dyDescent="0.4">
      <c r="A659" t="str">
        <f t="shared" si="70"/>
        <v/>
      </c>
      <c r="B659" t="str">
        <f t="shared" si="71"/>
        <v/>
      </c>
      <c r="C659" t="str">
        <f t="shared" si="72"/>
        <v/>
      </c>
      <c r="D659" t="str">
        <f t="shared" si="73"/>
        <v/>
      </c>
      <c r="E659" t="str">
        <f>IF(F659="","",IF(COUNTIF($F$2:F659,F659)&gt;1,"",SUMIFS(tbl_input[필요수량],tbl_input[집계키_센터],F659)))</f>
        <v/>
      </c>
      <c r="F659" t="str">
        <f>IFERROR(INDEX(tbl_input[집계키_센터],ROW()-1),"")</f>
        <v/>
      </c>
      <c r="G659" t="str">
        <f t="shared" si="74"/>
        <v/>
      </c>
      <c r="H659" t="str">
        <f t="shared" si="75"/>
        <v/>
      </c>
      <c r="I659" t="str">
        <f t="shared" si="76"/>
        <v/>
      </c>
    </row>
    <row r="660" spans="1:9" x14ac:dyDescent="0.4">
      <c r="A660" t="str">
        <f t="shared" si="70"/>
        <v/>
      </c>
      <c r="B660" t="str">
        <f t="shared" si="71"/>
        <v/>
      </c>
      <c r="C660" t="str">
        <f t="shared" si="72"/>
        <v/>
      </c>
      <c r="D660" t="str">
        <f t="shared" si="73"/>
        <v/>
      </c>
      <c r="E660" t="str">
        <f>IF(F660="","",IF(COUNTIF($F$2:F660,F660)&gt;1,"",SUMIFS(tbl_input[필요수량],tbl_input[집계키_센터],F660)))</f>
        <v/>
      </c>
      <c r="F660" t="str">
        <f>IFERROR(INDEX(tbl_input[집계키_센터],ROW()-1),"")</f>
        <v/>
      </c>
      <c r="G660" t="str">
        <f t="shared" si="74"/>
        <v/>
      </c>
      <c r="H660" t="str">
        <f t="shared" si="75"/>
        <v/>
      </c>
      <c r="I660" t="str">
        <f t="shared" si="76"/>
        <v/>
      </c>
    </row>
    <row r="661" spans="1:9" x14ac:dyDescent="0.4">
      <c r="A661" t="str">
        <f t="shared" si="70"/>
        <v/>
      </c>
      <c r="B661" t="str">
        <f t="shared" si="71"/>
        <v/>
      </c>
      <c r="C661" t="str">
        <f t="shared" si="72"/>
        <v/>
      </c>
      <c r="D661" t="str">
        <f t="shared" si="73"/>
        <v/>
      </c>
      <c r="E661" t="str">
        <f>IF(F661="","",IF(COUNTIF($F$2:F661,F661)&gt;1,"",SUMIFS(tbl_input[필요수량],tbl_input[집계키_센터],F661)))</f>
        <v/>
      </c>
      <c r="F661" t="str">
        <f>IFERROR(INDEX(tbl_input[집계키_센터],ROW()-1),"")</f>
        <v/>
      </c>
      <c r="G661" t="str">
        <f t="shared" si="74"/>
        <v/>
      </c>
      <c r="H661" t="str">
        <f t="shared" si="75"/>
        <v/>
      </c>
      <c r="I661" t="str">
        <f t="shared" si="76"/>
        <v/>
      </c>
    </row>
    <row r="662" spans="1:9" x14ac:dyDescent="0.4">
      <c r="A662" t="str">
        <f t="shared" si="70"/>
        <v/>
      </c>
      <c r="B662" t="str">
        <f t="shared" si="71"/>
        <v/>
      </c>
      <c r="C662" t="str">
        <f t="shared" si="72"/>
        <v/>
      </c>
      <c r="D662" t="str">
        <f t="shared" si="73"/>
        <v/>
      </c>
      <c r="E662" t="str">
        <f>IF(F662="","",IF(COUNTIF($F$2:F662,F662)&gt;1,"",SUMIFS(tbl_input[필요수량],tbl_input[집계키_센터],F662)))</f>
        <v/>
      </c>
      <c r="F662" t="str">
        <f>IFERROR(INDEX(tbl_input[집계키_센터],ROW()-1),"")</f>
        <v/>
      </c>
      <c r="G662" t="str">
        <f t="shared" si="74"/>
        <v/>
      </c>
      <c r="H662" t="str">
        <f t="shared" si="75"/>
        <v/>
      </c>
      <c r="I662" t="str">
        <f t="shared" si="76"/>
        <v/>
      </c>
    </row>
    <row r="663" spans="1:9" x14ac:dyDescent="0.4">
      <c r="A663" t="str">
        <f t="shared" si="70"/>
        <v/>
      </c>
      <c r="B663" t="str">
        <f t="shared" si="71"/>
        <v/>
      </c>
      <c r="C663" t="str">
        <f t="shared" si="72"/>
        <v/>
      </c>
      <c r="D663" t="str">
        <f t="shared" si="73"/>
        <v/>
      </c>
      <c r="E663" t="str">
        <f>IF(F663="","",IF(COUNTIF($F$2:F663,F663)&gt;1,"",SUMIFS(tbl_input[필요수량],tbl_input[집계키_센터],F663)))</f>
        <v/>
      </c>
      <c r="F663" t="str">
        <f>IFERROR(INDEX(tbl_input[집계키_센터],ROW()-1),"")</f>
        <v/>
      </c>
      <c r="G663" t="str">
        <f t="shared" si="74"/>
        <v/>
      </c>
      <c r="H663" t="str">
        <f t="shared" si="75"/>
        <v/>
      </c>
      <c r="I663" t="str">
        <f t="shared" si="76"/>
        <v/>
      </c>
    </row>
    <row r="664" spans="1:9" x14ac:dyDescent="0.4">
      <c r="A664" t="str">
        <f t="shared" si="70"/>
        <v/>
      </c>
      <c r="B664" t="str">
        <f t="shared" si="71"/>
        <v/>
      </c>
      <c r="C664" t="str">
        <f t="shared" si="72"/>
        <v/>
      </c>
      <c r="D664" t="str">
        <f t="shared" si="73"/>
        <v/>
      </c>
      <c r="E664" t="str">
        <f>IF(F664="","",IF(COUNTIF($F$2:F664,F664)&gt;1,"",SUMIFS(tbl_input[필요수량],tbl_input[집계키_센터],F664)))</f>
        <v/>
      </c>
      <c r="F664" t="str">
        <f>IFERROR(INDEX(tbl_input[집계키_센터],ROW()-1),"")</f>
        <v/>
      </c>
      <c r="G664" t="str">
        <f t="shared" si="74"/>
        <v/>
      </c>
      <c r="H664" t="str">
        <f t="shared" si="75"/>
        <v/>
      </c>
      <c r="I664" t="str">
        <f t="shared" si="76"/>
        <v/>
      </c>
    </row>
    <row r="665" spans="1:9" x14ac:dyDescent="0.4">
      <c r="A665" t="str">
        <f t="shared" si="70"/>
        <v/>
      </c>
      <c r="B665" t="str">
        <f t="shared" si="71"/>
        <v/>
      </c>
      <c r="C665" t="str">
        <f t="shared" si="72"/>
        <v/>
      </c>
      <c r="D665" t="str">
        <f t="shared" si="73"/>
        <v/>
      </c>
      <c r="E665" t="str">
        <f>IF(F665="","",IF(COUNTIF($F$2:F665,F665)&gt;1,"",SUMIFS(tbl_input[필요수량],tbl_input[집계키_센터],F665)))</f>
        <v/>
      </c>
      <c r="F665" t="str">
        <f>IFERROR(INDEX(tbl_input[집계키_센터],ROW()-1),"")</f>
        <v/>
      </c>
      <c r="G665" t="str">
        <f t="shared" si="74"/>
        <v/>
      </c>
      <c r="H665" t="str">
        <f t="shared" si="75"/>
        <v/>
      </c>
      <c r="I665" t="str">
        <f t="shared" si="76"/>
        <v/>
      </c>
    </row>
    <row r="666" spans="1:9" x14ac:dyDescent="0.4">
      <c r="A666" t="str">
        <f t="shared" si="70"/>
        <v/>
      </c>
      <c r="B666" t="str">
        <f t="shared" si="71"/>
        <v/>
      </c>
      <c r="C666" t="str">
        <f t="shared" si="72"/>
        <v/>
      </c>
      <c r="D666" t="str">
        <f t="shared" si="73"/>
        <v/>
      </c>
      <c r="E666" t="str">
        <f>IF(F666="","",IF(COUNTIF($F$2:F666,F666)&gt;1,"",SUMIFS(tbl_input[필요수량],tbl_input[집계키_센터],F666)))</f>
        <v/>
      </c>
      <c r="F666" t="str">
        <f>IFERROR(INDEX(tbl_input[집계키_센터],ROW()-1),"")</f>
        <v/>
      </c>
      <c r="G666" t="str">
        <f t="shared" si="74"/>
        <v/>
      </c>
      <c r="H666" t="str">
        <f t="shared" si="75"/>
        <v/>
      </c>
      <c r="I666" t="str">
        <f t="shared" si="76"/>
        <v/>
      </c>
    </row>
    <row r="667" spans="1:9" x14ac:dyDescent="0.4">
      <c r="A667" t="str">
        <f t="shared" si="70"/>
        <v/>
      </c>
      <c r="B667" t="str">
        <f t="shared" si="71"/>
        <v/>
      </c>
      <c r="C667" t="str">
        <f t="shared" si="72"/>
        <v/>
      </c>
      <c r="D667" t="str">
        <f t="shared" si="73"/>
        <v/>
      </c>
      <c r="E667" t="str">
        <f>IF(F667="","",IF(COUNTIF($F$2:F667,F667)&gt;1,"",SUMIFS(tbl_input[필요수량],tbl_input[집계키_센터],F667)))</f>
        <v/>
      </c>
      <c r="F667" t="str">
        <f>IFERROR(INDEX(tbl_input[집계키_센터],ROW()-1),"")</f>
        <v/>
      </c>
      <c r="G667" t="str">
        <f t="shared" si="74"/>
        <v/>
      </c>
      <c r="H667" t="str">
        <f t="shared" si="75"/>
        <v/>
      </c>
      <c r="I667" t="str">
        <f t="shared" si="76"/>
        <v/>
      </c>
    </row>
    <row r="668" spans="1:9" x14ac:dyDescent="0.4">
      <c r="A668" t="str">
        <f t="shared" si="70"/>
        <v/>
      </c>
      <c r="B668" t="str">
        <f t="shared" si="71"/>
        <v/>
      </c>
      <c r="C668" t="str">
        <f t="shared" si="72"/>
        <v/>
      </c>
      <c r="D668" t="str">
        <f t="shared" si="73"/>
        <v/>
      </c>
      <c r="E668" t="str">
        <f>IF(F668="","",IF(COUNTIF($F$2:F668,F668)&gt;1,"",SUMIFS(tbl_input[필요수량],tbl_input[집계키_센터],F668)))</f>
        <v/>
      </c>
      <c r="F668" t="str">
        <f>IFERROR(INDEX(tbl_input[집계키_센터],ROW()-1),"")</f>
        <v/>
      </c>
      <c r="G668" t="str">
        <f t="shared" si="74"/>
        <v/>
      </c>
      <c r="H668" t="str">
        <f t="shared" si="75"/>
        <v/>
      </c>
      <c r="I668" t="str">
        <f t="shared" si="76"/>
        <v/>
      </c>
    </row>
    <row r="669" spans="1:9" x14ac:dyDescent="0.4">
      <c r="A669" t="str">
        <f t="shared" si="70"/>
        <v/>
      </c>
      <c r="B669" t="str">
        <f t="shared" si="71"/>
        <v/>
      </c>
      <c r="C669" t="str">
        <f t="shared" si="72"/>
        <v/>
      </c>
      <c r="D669" t="str">
        <f t="shared" si="73"/>
        <v/>
      </c>
      <c r="E669" t="str">
        <f>IF(F669="","",IF(COUNTIF($F$2:F669,F669)&gt;1,"",SUMIFS(tbl_input[필요수량],tbl_input[집계키_센터],F669)))</f>
        <v/>
      </c>
      <c r="F669" t="str">
        <f>IFERROR(INDEX(tbl_input[집계키_센터],ROW()-1),"")</f>
        <v/>
      </c>
      <c r="G669" t="str">
        <f t="shared" si="74"/>
        <v/>
      </c>
      <c r="H669" t="str">
        <f t="shared" si="75"/>
        <v/>
      </c>
      <c r="I669" t="str">
        <f t="shared" si="76"/>
        <v/>
      </c>
    </row>
    <row r="670" spans="1:9" x14ac:dyDescent="0.4">
      <c r="A670" t="str">
        <f t="shared" si="70"/>
        <v/>
      </c>
      <c r="B670" t="str">
        <f t="shared" si="71"/>
        <v/>
      </c>
      <c r="C670" t="str">
        <f t="shared" si="72"/>
        <v/>
      </c>
      <c r="D670" t="str">
        <f t="shared" si="73"/>
        <v/>
      </c>
      <c r="E670" t="str">
        <f>IF(F670="","",IF(COUNTIF($F$2:F670,F670)&gt;1,"",SUMIFS(tbl_input[필요수량],tbl_input[집계키_센터],F670)))</f>
        <v/>
      </c>
      <c r="F670" t="str">
        <f>IFERROR(INDEX(tbl_input[집계키_센터],ROW()-1),"")</f>
        <v/>
      </c>
      <c r="G670" t="str">
        <f t="shared" si="74"/>
        <v/>
      </c>
      <c r="H670" t="str">
        <f t="shared" si="75"/>
        <v/>
      </c>
      <c r="I670" t="str">
        <f t="shared" si="76"/>
        <v/>
      </c>
    </row>
    <row r="671" spans="1:9" x14ac:dyDescent="0.4">
      <c r="A671" t="str">
        <f t="shared" si="70"/>
        <v/>
      </c>
      <c r="B671" t="str">
        <f t="shared" si="71"/>
        <v/>
      </c>
      <c r="C671" t="str">
        <f t="shared" si="72"/>
        <v/>
      </c>
      <c r="D671" t="str">
        <f t="shared" si="73"/>
        <v/>
      </c>
      <c r="E671" t="str">
        <f>IF(F671="","",IF(COUNTIF($F$2:F671,F671)&gt;1,"",SUMIFS(tbl_input[필요수량],tbl_input[집계키_센터],F671)))</f>
        <v/>
      </c>
      <c r="F671" t="str">
        <f>IFERROR(INDEX(tbl_input[집계키_센터],ROW()-1),"")</f>
        <v/>
      </c>
      <c r="G671" t="str">
        <f t="shared" si="74"/>
        <v/>
      </c>
      <c r="H671" t="str">
        <f t="shared" si="75"/>
        <v/>
      </c>
      <c r="I671" t="str">
        <f t="shared" si="76"/>
        <v/>
      </c>
    </row>
    <row r="672" spans="1:9" x14ac:dyDescent="0.4">
      <c r="A672" t="str">
        <f t="shared" si="70"/>
        <v/>
      </c>
      <c r="B672" t="str">
        <f t="shared" si="71"/>
        <v/>
      </c>
      <c r="C672" t="str">
        <f t="shared" si="72"/>
        <v/>
      </c>
      <c r="D672" t="str">
        <f t="shared" si="73"/>
        <v/>
      </c>
      <c r="E672" t="str">
        <f>IF(F672="","",IF(COUNTIF($F$2:F672,F672)&gt;1,"",SUMIFS(tbl_input[필요수량],tbl_input[집계키_센터],F672)))</f>
        <v/>
      </c>
      <c r="F672" t="str">
        <f>IFERROR(INDEX(tbl_input[집계키_센터],ROW()-1),"")</f>
        <v/>
      </c>
      <c r="G672" t="str">
        <f t="shared" si="74"/>
        <v/>
      </c>
      <c r="H672" t="str">
        <f t="shared" si="75"/>
        <v/>
      </c>
      <c r="I672" t="str">
        <f t="shared" si="76"/>
        <v/>
      </c>
    </row>
    <row r="673" spans="1:9" x14ac:dyDescent="0.4">
      <c r="A673" t="str">
        <f t="shared" si="70"/>
        <v/>
      </c>
      <c r="B673" t="str">
        <f t="shared" si="71"/>
        <v/>
      </c>
      <c r="C673" t="str">
        <f t="shared" si="72"/>
        <v/>
      </c>
      <c r="D673" t="str">
        <f t="shared" si="73"/>
        <v/>
      </c>
      <c r="E673" t="str">
        <f>IF(F673="","",IF(COUNTIF($F$2:F673,F673)&gt;1,"",SUMIFS(tbl_input[필요수량],tbl_input[집계키_센터],F673)))</f>
        <v/>
      </c>
      <c r="F673" t="str">
        <f>IFERROR(INDEX(tbl_input[집계키_센터],ROW()-1),"")</f>
        <v/>
      </c>
      <c r="G673" t="str">
        <f t="shared" si="74"/>
        <v/>
      </c>
      <c r="H673" t="str">
        <f t="shared" si="75"/>
        <v/>
      </c>
      <c r="I673" t="str">
        <f t="shared" si="76"/>
        <v/>
      </c>
    </row>
    <row r="674" spans="1:9" x14ac:dyDescent="0.4">
      <c r="A674" t="str">
        <f t="shared" si="70"/>
        <v/>
      </c>
      <c r="B674" t="str">
        <f t="shared" si="71"/>
        <v/>
      </c>
      <c r="C674" t="str">
        <f t="shared" si="72"/>
        <v/>
      </c>
      <c r="D674" t="str">
        <f t="shared" si="73"/>
        <v/>
      </c>
      <c r="E674" t="str">
        <f>IF(F674="","",IF(COUNTIF($F$2:F674,F674)&gt;1,"",SUMIFS(tbl_input[필요수량],tbl_input[집계키_센터],F674)))</f>
        <v/>
      </c>
      <c r="F674" t="str">
        <f>IFERROR(INDEX(tbl_input[집계키_센터],ROW()-1),"")</f>
        <v/>
      </c>
      <c r="G674" t="str">
        <f t="shared" si="74"/>
        <v/>
      </c>
      <c r="H674" t="str">
        <f t="shared" si="75"/>
        <v/>
      </c>
      <c r="I674" t="str">
        <f t="shared" si="76"/>
        <v/>
      </c>
    </row>
    <row r="675" spans="1:9" x14ac:dyDescent="0.4">
      <c r="A675" t="str">
        <f t="shared" si="70"/>
        <v/>
      </c>
      <c r="B675" t="str">
        <f t="shared" si="71"/>
        <v/>
      </c>
      <c r="C675" t="str">
        <f t="shared" si="72"/>
        <v/>
      </c>
      <c r="D675" t="str">
        <f t="shared" si="73"/>
        <v/>
      </c>
      <c r="E675" t="str">
        <f>IF(F675="","",IF(COUNTIF($F$2:F675,F675)&gt;1,"",SUMIFS(tbl_input[필요수량],tbl_input[집계키_센터],F675)))</f>
        <v/>
      </c>
      <c r="F675" t="str">
        <f>IFERROR(INDEX(tbl_input[집계키_센터],ROW()-1),"")</f>
        <v/>
      </c>
      <c r="G675" t="str">
        <f t="shared" si="74"/>
        <v/>
      </c>
      <c r="H675" t="str">
        <f t="shared" si="75"/>
        <v/>
      </c>
      <c r="I675" t="str">
        <f t="shared" si="76"/>
        <v/>
      </c>
    </row>
    <row r="676" spans="1:9" x14ac:dyDescent="0.4">
      <c r="A676" t="str">
        <f t="shared" si="70"/>
        <v/>
      </c>
      <c r="B676" t="str">
        <f t="shared" si="71"/>
        <v/>
      </c>
      <c r="C676" t="str">
        <f t="shared" si="72"/>
        <v/>
      </c>
      <c r="D676" t="str">
        <f t="shared" si="73"/>
        <v/>
      </c>
      <c r="E676" t="str">
        <f>IF(F676="","",IF(COUNTIF($F$2:F676,F676)&gt;1,"",SUMIFS(tbl_input[필요수량],tbl_input[집계키_센터],F676)))</f>
        <v/>
      </c>
      <c r="F676" t="str">
        <f>IFERROR(INDEX(tbl_input[집계키_센터],ROW()-1),"")</f>
        <v/>
      </c>
      <c r="G676" t="str">
        <f t="shared" si="74"/>
        <v/>
      </c>
      <c r="H676" t="str">
        <f t="shared" si="75"/>
        <v/>
      </c>
      <c r="I676" t="str">
        <f t="shared" si="76"/>
        <v/>
      </c>
    </row>
    <row r="677" spans="1:9" x14ac:dyDescent="0.4">
      <c r="A677" t="str">
        <f t="shared" si="70"/>
        <v/>
      </c>
      <c r="B677" t="str">
        <f t="shared" si="71"/>
        <v/>
      </c>
      <c r="C677" t="str">
        <f t="shared" si="72"/>
        <v/>
      </c>
      <c r="D677" t="str">
        <f t="shared" si="73"/>
        <v/>
      </c>
      <c r="E677" t="str">
        <f>IF(F677="","",IF(COUNTIF($F$2:F677,F677)&gt;1,"",SUMIFS(tbl_input[필요수량],tbl_input[집계키_센터],F677)))</f>
        <v/>
      </c>
      <c r="F677" t="str">
        <f>IFERROR(INDEX(tbl_input[집계키_센터],ROW()-1),"")</f>
        <v/>
      </c>
      <c r="G677" t="str">
        <f t="shared" si="74"/>
        <v/>
      </c>
      <c r="H677" t="str">
        <f t="shared" si="75"/>
        <v/>
      </c>
      <c r="I677" t="str">
        <f t="shared" si="76"/>
        <v/>
      </c>
    </row>
    <row r="678" spans="1:9" x14ac:dyDescent="0.4">
      <c r="A678" t="str">
        <f t="shared" si="70"/>
        <v/>
      </c>
      <c r="B678" t="str">
        <f t="shared" si="71"/>
        <v/>
      </c>
      <c r="C678" t="str">
        <f t="shared" si="72"/>
        <v/>
      </c>
      <c r="D678" t="str">
        <f t="shared" si="73"/>
        <v/>
      </c>
      <c r="E678" t="str">
        <f>IF(F678="","",IF(COUNTIF($F$2:F678,F678)&gt;1,"",SUMIFS(tbl_input[필요수량],tbl_input[집계키_센터],F678)))</f>
        <v/>
      </c>
      <c r="F678" t="str">
        <f>IFERROR(INDEX(tbl_input[집계키_센터],ROW()-1),"")</f>
        <v/>
      </c>
      <c r="G678" t="str">
        <f t="shared" si="74"/>
        <v/>
      </c>
      <c r="H678" t="str">
        <f t="shared" si="75"/>
        <v/>
      </c>
      <c r="I678" t="str">
        <f t="shared" si="76"/>
        <v/>
      </c>
    </row>
    <row r="679" spans="1:9" x14ac:dyDescent="0.4">
      <c r="A679" t="str">
        <f t="shared" si="70"/>
        <v/>
      </c>
      <c r="B679" t="str">
        <f t="shared" si="71"/>
        <v/>
      </c>
      <c r="C679" t="str">
        <f t="shared" si="72"/>
        <v/>
      </c>
      <c r="D679" t="str">
        <f t="shared" si="73"/>
        <v/>
      </c>
      <c r="E679" t="str">
        <f>IF(F679="","",IF(COUNTIF($F$2:F679,F679)&gt;1,"",SUMIFS(tbl_input[필요수량],tbl_input[집계키_센터],F679)))</f>
        <v/>
      </c>
      <c r="F679" t="str">
        <f>IFERROR(INDEX(tbl_input[집계키_센터],ROW()-1),"")</f>
        <v/>
      </c>
      <c r="G679" t="str">
        <f t="shared" si="74"/>
        <v/>
      </c>
      <c r="H679" t="str">
        <f t="shared" si="75"/>
        <v/>
      </c>
      <c r="I679" t="str">
        <f t="shared" si="76"/>
        <v/>
      </c>
    </row>
    <row r="680" spans="1:9" x14ac:dyDescent="0.4">
      <c r="A680" t="str">
        <f t="shared" si="70"/>
        <v/>
      </c>
      <c r="B680" t="str">
        <f t="shared" si="71"/>
        <v/>
      </c>
      <c r="C680" t="str">
        <f t="shared" si="72"/>
        <v/>
      </c>
      <c r="D680" t="str">
        <f t="shared" si="73"/>
        <v/>
      </c>
      <c r="E680" t="str">
        <f>IF(F680="","",IF(COUNTIF($F$2:F680,F680)&gt;1,"",SUMIFS(tbl_input[필요수량],tbl_input[집계키_센터],F680)))</f>
        <v/>
      </c>
      <c r="F680" t="str">
        <f>IFERROR(INDEX(tbl_input[집계키_센터],ROW()-1),"")</f>
        <v/>
      </c>
      <c r="G680" t="str">
        <f t="shared" si="74"/>
        <v/>
      </c>
      <c r="H680" t="str">
        <f t="shared" si="75"/>
        <v/>
      </c>
      <c r="I680" t="str">
        <f t="shared" si="76"/>
        <v/>
      </c>
    </row>
    <row r="681" spans="1:9" x14ac:dyDescent="0.4">
      <c r="A681" t="str">
        <f t="shared" si="70"/>
        <v/>
      </c>
      <c r="B681" t="str">
        <f t="shared" si="71"/>
        <v/>
      </c>
      <c r="C681" t="str">
        <f t="shared" si="72"/>
        <v/>
      </c>
      <c r="D681" t="str">
        <f t="shared" si="73"/>
        <v/>
      </c>
      <c r="E681" t="str">
        <f>IF(F681="","",IF(COUNTIF($F$2:F681,F681)&gt;1,"",SUMIFS(tbl_input[필요수량],tbl_input[집계키_센터],F681)))</f>
        <v/>
      </c>
      <c r="F681" t="str">
        <f>IFERROR(INDEX(tbl_input[집계키_센터],ROW()-1),"")</f>
        <v/>
      </c>
      <c r="G681" t="str">
        <f t="shared" si="74"/>
        <v/>
      </c>
      <c r="H681" t="str">
        <f t="shared" si="75"/>
        <v/>
      </c>
      <c r="I681" t="str">
        <f t="shared" si="76"/>
        <v/>
      </c>
    </row>
    <row r="682" spans="1:9" x14ac:dyDescent="0.4">
      <c r="A682" t="str">
        <f t="shared" si="70"/>
        <v/>
      </c>
      <c r="B682" t="str">
        <f t="shared" si="71"/>
        <v/>
      </c>
      <c r="C682" t="str">
        <f t="shared" si="72"/>
        <v/>
      </c>
      <c r="D682" t="str">
        <f t="shared" si="73"/>
        <v/>
      </c>
      <c r="E682" t="str">
        <f>IF(F682="","",IF(COUNTIF($F$2:F682,F682)&gt;1,"",SUMIFS(tbl_input[필요수량],tbl_input[집계키_센터],F682)))</f>
        <v/>
      </c>
      <c r="F682" t="str">
        <f>IFERROR(INDEX(tbl_input[집계키_센터],ROW()-1),"")</f>
        <v/>
      </c>
      <c r="G682" t="str">
        <f t="shared" si="74"/>
        <v/>
      </c>
      <c r="H682" t="str">
        <f t="shared" si="75"/>
        <v/>
      </c>
      <c r="I682" t="str">
        <f t="shared" si="76"/>
        <v/>
      </c>
    </row>
    <row r="683" spans="1:9" x14ac:dyDescent="0.4">
      <c r="A683" t="str">
        <f t="shared" si="70"/>
        <v/>
      </c>
      <c r="B683" t="str">
        <f t="shared" si="71"/>
        <v/>
      </c>
      <c r="C683" t="str">
        <f t="shared" si="72"/>
        <v/>
      </c>
      <c r="D683" t="str">
        <f t="shared" si="73"/>
        <v/>
      </c>
      <c r="E683" t="str">
        <f>IF(F683="","",IF(COUNTIF($F$2:F683,F683)&gt;1,"",SUMIFS(tbl_input[필요수량],tbl_input[집계키_센터],F683)))</f>
        <v/>
      </c>
      <c r="F683" t="str">
        <f>IFERROR(INDEX(tbl_input[집계키_센터],ROW()-1),"")</f>
        <v/>
      </c>
      <c r="G683" t="str">
        <f t="shared" si="74"/>
        <v/>
      </c>
      <c r="H683" t="str">
        <f t="shared" si="75"/>
        <v/>
      </c>
      <c r="I683" t="str">
        <f t="shared" si="76"/>
        <v/>
      </c>
    </row>
    <row r="684" spans="1:9" x14ac:dyDescent="0.4">
      <c r="A684" t="str">
        <f t="shared" si="70"/>
        <v/>
      </c>
      <c r="B684" t="str">
        <f t="shared" si="71"/>
        <v/>
      </c>
      <c r="C684" t="str">
        <f t="shared" si="72"/>
        <v/>
      </c>
      <c r="D684" t="str">
        <f t="shared" si="73"/>
        <v/>
      </c>
      <c r="E684" t="str">
        <f>IF(F684="","",IF(COUNTIF($F$2:F684,F684)&gt;1,"",SUMIFS(tbl_input[필요수량],tbl_input[집계키_센터],F684)))</f>
        <v/>
      </c>
      <c r="F684" t="str">
        <f>IFERROR(INDEX(tbl_input[집계키_센터],ROW()-1),"")</f>
        <v/>
      </c>
      <c r="G684" t="str">
        <f t="shared" si="74"/>
        <v/>
      </c>
      <c r="H684" t="str">
        <f t="shared" si="75"/>
        <v/>
      </c>
      <c r="I684" t="str">
        <f t="shared" si="76"/>
        <v/>
      </c>
    </row>
    <row r="685" spans="1:9" x14ac:dyDescent="0.4">
      <c r="A685" t="str">
        <f t="shared" si="70"/>
        <v/>
      </c>
      <c r="B685" t="str">
        <f t="shared" si="71"/>
        <v/>
      </c>
      <c r="C685" t="str">
        <f t="shared" si="72"/>
        <v/>
      </c>
      <c r="D685" t="str">
        <f t="shared" si="73"/>
        <v/>
      </c>
      <c r="E685" t="str">
        <f>IF(F685="","",IF(COUNTIF($F$2:F685,F685)&gt;1,"",SUMIFS(tbl_input[필요수량],tbl_input[집계키_센터],F685)))</f>
        <v/>
      </c>
      <c r="F685" t="str">
        <f>IFERROR(INDEX(tbl_input[집계키_센터],ROW()-1),"")</f>
        <v/>
      </c>
      <c r="G685" t="str">
        <f t="shared" si="74"/>
        <v/>
      </c>
      <c r="H685" t="str">
        <f t="shared" si="75"/>
        <v/>
      </c>
      <c r="I685" t="str">
        <f t="shared" si="76"/>
        <v/>
      </c>
    </row>
    <row r="686" spans="1:9" x14ac:dyDescent="0.4">
      <c r="A686" t="str">
        <f t="shared" si="70"/>
        <v/>
      </c>
      <c r="B686" t="str">
        <f t="shared" si="71"/>
        <v/>
      </c>
      <c r="C686" t="str">
        <f t="shared" si="72"/>
        <v/>
      </c>
      <c r="D686" t="str">
        <f t="shared" si="73"/>
        <v/>
      </c>
      <c r="E686" t="str">
        <f>IF(F686="","",IF(COUNTIF($F$2:F686,F686)&gt;1,"",SUMIFS(tbl_input[필요수량],tbl_input[집계키_센터],F686)))</f>
        <v/>
      </c>
      <c r="F686" t="str">
        <f>IFERROR(INDEX(tbl_input[집계키_센터],ROW()-1),"")</f>
        <v/>
      </c>
      <c r="G686" t="str">
        <f t="shared" si="74"/>
        <v/>
      </c>
      <c r="H686" t="str">
        <f t="shared" si="75"/>
        <v/>
      </c>
      <c r="I686" t="str">
        <f t="shared" si="76"/>
        <v/>
      </c>
    </row>
    <row r="687" spans="1:9" x14ac:dyDescent="0.4">
      <c r="A687" t="str">
        <f t="shared" si="70"/>
        <v/>
      </c>
      <c r="B687" t="str">
        <f t="shared" si="71"/>
        <v/>
      </c>
      <c r="C687" t="str">
        <f t="shared" si="72"/>
        <v/>
      </c>
      <c r="D687" t="str">
        <f t="shared" si="73"/>
        <v/>
      </c>
      <c r="E687" t="str">
        <f>IF(F687="","",IF(COUNTIF($F$2:F687,F687)&gt;1,"",SUMIFS(tbl_input[필요수량],tbl_input[집계키_센터],F687)))</f>
        <v/>
      </c>
      <c r="F687" t="str">
        <f>IFERROR(INDEX(tbl_input[집계키_센터],ROW()-1),"")</f>
        <v/>
      </c>
      <c r="G687" t="str">
        <f t="shared" si="74"/>
        <v/>
      </c>
      <c r="H687" t="str">
        <f t="shared" si="75"/>
        <v/>
      </c>
      <c r="I687" t="str">
        <f t="shared" si="76"/>
        <v/>
      </c>
    </row>
    <row r="688" spans="1:9" x14ac:dyDescent="0.4">
      <c r="A688" t="str">
        <f t="shared" si="70"/>
        <v/>
      </c>
      <c r="B688" t="str">
        <f t="shared" si="71"/>
        <v/>
      </c>
      <c r="C688" t="str">
        <f t="shared" si="72"/>
        <v/>
      </c>
      <c r="D688" t="str">
        <f t="shared" si="73"/>
        <v/>
      </c>
      <c r="E688" t="str">
        <f>IF(F688="","",IF(COUNTIF($F$2:F688,F688)&gt;1,"",SUMIFS(tbl_input[필요수량],tbl_input[집계키_센터],F688)))</f>
        <v/>
      </c>
      <c r="F688" t="str">
        <f>IFERROR(INDEX(tbl_input[집계키_센터],ROW()-1),"")</f>
        <v/>
      </c>
      <c r="G688" t="str">
        <f t="shared" si="74"/>
        <v/>
      </c>
      <c r="H688" t="str">
        <f t="shared" si="75"/>
        <v/>
      </c>
      <c r="I688" t="str">
        <f t="shared" si="76"/>
        <v/>
      </c>
    </row>
    <row r="689" spans="1:9" x14ac:dyDescent="0.4">
      <c r="A689" t="str">
        <f t="shared" si="70"/>
        <v/>
      </c>
      <c r="B689" t="str">
        <f t="shared" si="71"/>
        <v/>
      </c>
      <c r="C689" t="str">
        <f t="shared" si="72"/>
        <v/>
      </c>
      <c r="D689" t="str">
        <f t="shared" si="73"/>
        <v/>
      </c>
      <c r="E689" t="str">
        <f>IF(F689="","",IF(COUNTIF($F$2:F689,F689)&gt;1,"",SUMIFS(tbl_input[필요수량],tbl_input[집계키_센터],F689)))</f>
        <v/>
      </c>
      <c r="F689" t="str">
        <f>IFERROR(INDEX(tbl_input[집계키_센터],ROW()-1),"")</f>
        <v/>
      </c>
      <c r="G689" t="str">
        <f t="shared" si="74"/>
        <v/>
      </c>
      <c r="H689" t="str">
        <f t="shared" si="75"/>
        <v/>
      </c>
      <c r="I689" t="str">
        <f t="shared" si="76"/>
        <v/>
      </c>
    </row>
    <row r="690" spans="1:9" x14ac:dyDescent="0.4">
      <c r="A690" t="str">
        <f t="shared" si="70"/>
        <v/>
      </c>
      <c r="B690" t="str">
        <f t="shared" si="71"/>
        <v/>
      </c>
      <c r="C690" t="str">
        <f t="shared" si="72"/>
        <v/>
      </c>
      <c r="D690" t="str">
        <f t="shared" si="73"/>
        <v/>
      </c>
      <c r="E690" t="str">
        <f>IF(F690="","",IF(COUNTIF($F$2:F690,F690)&gt;1,"",SUMIFS(tbl_input[필요수량],tbl_input[집계키_센터],F690)))</f>
        <v/>
      </c>
      <c r="F690" t="str">
        <f>IFERROR(INDEX(tbl_input[집계키_센터],ROW()-1),"")</f>
        <v/>
      </c>
      <c r="G690" t="str">
        <f t="shared" si="74"/>
        <v/>
      </c>
      <c r="H690" t="str">
        <f t="shared" si="75"/>
        <v/>
      </c>
      <c r="I690" t="str">
        <f t="shared" si="76"/>
        <v/>
      </c>
    </row>
    <row r="691" spans="1:9" x14ac:dyDescent="0.4">
      <c r="A691" t="str">
        <f t="shared" si="70"/>
        <v/>
      </c>
      <c r="B691" t="str">
        <f t="shared" si="71"/>
        <v/>
      </c>
      <c r="C691" t="str">
        <f t="shared" si="72"/>
        <v/>
      </c>
      <c r="D691" t="str">
        <f t="shared" si="73"/>
        <v/>
      </c>
      <c r="E691" t="str">
        <f>IF(F691="","",IF(COUNTIF($F$2:F691,F691)&gt;1,"",SUMIFS(tbl_input[필요수량],tbl_input[집계키_센터],F691)))</f>
        <v/>
      </c>
      <c r="F691" t="str">
        <f>IFERROR(INDEX(tbl_input[집계키_센터],ROW()-1),"")</f>
        <v/>
      </c>
      <c r="G691" t="str">
        <f t="shared" si="74"/>
        <v/>
      </c>
      <c r="H691" t="str">
        <f t="shared" si="75"/>
        <v/>
      </c>
      <c r="I691" t="str">
        <f t="shared" si="76"/>
        <v/>
      </c>
    </row>
    <row r="692" spans="1:9" x14ac:dyDescent="0.4">
      <c r="A692" t="str">
        <f t="shared" si="70"/>
        <v/>
      </c>
      <c r="B692" t="str">
        <f t="shared" si="71"/>
        <v/>
      </c>
      <c r="C692" t="str">
        <f t="shared" si="72"/>
        <v/>
      </c>
      <c r="D692" t="str">
        <f t="shared" si="73"/>
        <v/>
      </c>
      <c r="E692" t="str">
        <f>IF(F692="","",IF(COUNTIF($F$2:F692,F692)&gt;1,"",SUMIFS(tbl_input[필요수량],tbl_input[집계키_센터],F692)))</f>
        <v/>
      </c>
      <c r="F692" t="str">
        <f>IFERROR(INDEX(tbl_input[집계키_센터],ROW()-1),"")</f>
        <v/>
      </c>
      <c r="G692" t="str">
        <f t="shared" si="74"/>
        <v/>
      </c>
      <c r="H692" t="str">
        <f t="shared" si="75"/>
        <v/>
      </c>
      <c r="I692" t="str">
        <f t="shared" si="76"/>
        <v/>
      </c>
    </row>
    <row r="693" spans="1:9" x14ac:dyDescent="0.4">
      <c r="A693" t="str">
        <f t="shared" si="70"/>
        <v/>
      </c>
      <c r="B693" t="str">
        <f t="shared" si="71"/>
        <v/>
      </c>
      <c r="C693" t="str">
        <f t="shared" si="72"/>
        <v/>
      </c>
      <c r="D693" t="str">
        <f t="shared" si="73"/>
        <v/>
      </c>
      <c r="E693" t="str">
        <f>IF(F693="","",IF(COUNTIF($F$2:F693,F693)&gt;1,"",SUMIFS(tbl_input[필요수량],tbl_input[집계키_센터],F693)))</f>
        <v/>
      </c>
      <c r="F693" t="str">
        <f>IFERROR(INDEX(tbl_input[집계키_센터],ROW()-1),"")</f>
        <v/>
      </c>
      <c r="G693" t="str">
        <f t="shared" si="74"/>
        <v/>
      </c>
      <c r="H693" t="str">
        <f t="shared" si="75"/>
        <v/>
      </c>
      <c r="I693" t="str">
        <f t="shared" si="76"/>
        <v/>
      </c>
    </row>
    <row r="694" spans="1:9" x14ac:dyDescent="0.4">
      <c r="A694" t="str">
        <f t="shared" si="70"/>
        <v/>
      </c>
      <c r="B694" t="str">
        <f t="shared" si="71"/>
        <v/>
      </c>
      <c r="C694" t="str">
        <f t="shared" si="72"/>
        <v/>
      </c>
      <c r="D694" t="str">
        <f t="shared" si="73"/>
        <v/>
      </c>
      <c r="E694" t="str">
        <f>IF(F694="","",IF(COUNTIF($F$2:F694,F694)&gt;1,"",SUMIFS(tbl_input[필요수량],tbl_input[집계키_센터],F694)))</f>
        <v/>
      </c>
      <c r="F694" t="str">
        <f>IFERROR(INDEX(tbl_input[집계키_센터],ROW()-1),"")</f>
        <v/>
      </c>
      <c r="G694" t="str">
        <f t="shared" si="74"/>
        <v/>
      </c>
      <c r="H694" t="str">
        <f t="shared" si="75"/>
        <v/>
      </c>
      <c r="I694" t="str">
        <f t="shared" si="76"/>
        <v/>
      </c>
    </row>
    <row r="695" spans="1:9" x14ac:dyDescent="0.4">
      <c r="A695" t="str">
        <f t="shared" si="70"/>
        <v/>
      </c>
      <c r="B695" t="str">
        <f t="shared" si="71"/>
        <v/>
      </c>
      <c r="C695" t="str">
        <f t="shared" si="72"/>
        <v/>
      </c>
      <c r="D695" t="str">
        <f t="shared" si="73"/>
        <v/>
      </c>
      <c r="E695" t="str">
        <f>IF(F695="","",IF(COUNTIF($F$2:F695,F695)&gt;1,"",SUMIFS(tbl_input[필요수량],tbl_input[집계키_센터],F695)))</f>
        <v/>
      </c>
      <c r="F695" t="str">
        <f>IFERROR(INDEX(tbl_input[집계키_센터],ROW()-1),"")</f>
        <v/>
      </c>
      <c r="G695" t="str">
        <f t="shared" si="74"/>
        <v/>
      </c>
      <c r="H695" t="str">
        <f t="shared" si="75"/>
        <v/>
      </c>
      <c r="I695" t="str">
        <f t="shared" si="76"/>
        <v/>
      </c>
    </row>
    <row r="696" spans="1:9" x14ac:dyDescent="0.4">
      <c r="A696" t="str">
        <f t="shared" si="70"/>
        <v/>
      </c>
      <c r="B696" t="str">
        <f t="shared" si="71"/>
        <v/>
      </c>
      <c r="C696" t="str">
        <f t="shared" si="72"/>
        <v/>
      </c>
      <c r="D696" t="str">
        <f t="shared" si="73"/>
        <v/>
      </c>
      <c r="E696" t="str">
        <f>IF(F696="","",IF(COUNTIF($F$2:F696,F696)&gt;1,"",SUMIFS(tbl_input[필요수량],tbl_input[집계키_센터],F696)))</f>
        <v/>
      </c>
      <c r="F696" t="str">
        <f>IFERROR(INDEX(tbl_input[집계키_센터],ROW()-1),"")</f>
        <v/>
      </c>
      <c r="G696" t="str">
        <f t="shared" si="74"/>
        <v/>
      </c>
      <c r="H696" t="str">
        <f t="shared" si="75"/>
        <v/>
      </c>
      <c r="I696" t="str">
        <f t="shared" si="76"/>
        <v/>
      </c>
    </row>
    <row r="697" spans="1:9" x14ac:dyDescent="0.4">
      <c r="A697" t="str">
        <f t="shared" si="70"/>
        <v/>
      </c>
      <c r="B697" t="str">
        <f t="shared" si="71"/>
        <v/>
      </c>
      <c r="C697" t="str">
        <f t="shared" si="72"/>
        <v/>
      </c>
      <c r="D697" t="str">
        <f t="shared" si="73"/>
        <v/>
      </c>
      <c r="E697" t="str">
        <f>IF(F697="","",IF(COUNTIF($F$2:F697,F697)&gt;1,"",SUMIFS(tbl_input[필요수량],tbl_input[집계키_센터],F697)))</f>
        <v/>
      </c>
      <c r="F697" t="str">
        <f>IFERROR(INDEX(tbl_input[집계키_센터],ROW()-1),"")</f>
        <v/>
      </c>
      <c r="G697" t="str">
        <f t="shared" si="74"/>
        <v/>
      </c>
      <c r="H697" t="str">
        <f t="shared" si="75"/>
        <v/>
      </c>
      <c r="I697" t="str">
        <f t="shared" si="76"/>
        <v/>
      </c>
    </row>
    <row r="698" spans="1:9" x14ac:dyDescent="0.4">
      <c r="A698" t="str">
        <f t="shared" si="70"/>
        <v/>
      </c>
      <c r="B698" t="str">
        <f t="shared" si="71"/>
        <v/>
      </c>
      <c r="C698" t="str">
        <f t="shared" si="72"/>
        <v/>
      </c>
      <c r="D698" t="str">
        <f t="shared" si="73"/>
        <v/>
      </c>
      <c r="E698" t="str">
        <f>IF(F698="","",IF(COUNTIF($F$2:F698,F698)&gt;1,"",SUMIFS(tbl_input[필요수량],tbl_input[집계키_센터],F698)))</f>
        <v/>
      </c>
      <c r="F698" t="str">
        <f>IFERROR(INDEX(tbl_input[집계키_센터],ROW()-1),"")</f>
        <v/>
      </c>
      <c r="G698" t="str">
        <f t="shared" si="74"/>
        <v/>
      </c>
      <c r="H698" t="str">
        <f t="shared" si="75"/>
        <v/>
      </c>
      <c r="I698" t="str">
        <f t="shared" si="76"/>
        <v/>
      </c>
    </row>
    <row r="699" spans="1:9" x14ac:dyDescent="0.4">
      <c r="A699" t="str">
        <f t="shared" si="70"/>
        <v/>
      </c>
      <c r="B699" t="str">
        <f t="shared" si="71"/>
        <v/>
      </c>
      <c r="C699" t="str">
        <f t="shared" si="72"/>
        <v/>
      </c>
      <c r="D699" t="str">
        <f t="shared" si="73"/>
        <v/>
      </c>
      <c r="E699" t="str">
        <f>IF(F699="","",IF(COUNTIF($F$2:F699,F699)&gt;1,"",SUMIFS(tbl_input[필요수량],tbl_input[집계키_센터],F699)))</f>
        <v/>
      </c>
      <c r="F699" t="str">
        <f>IFERROR(INDEX(tbl_input[집계키_센터],ROW()-1),"")</f>
        <v/>
      </c>
      <c r="G699" t="str">
        <f t="shared" si="74"/>
        <v/>
      </c>
      <c r="H699" t="str">
        <f t="shared" si="75"/>
        <v/>
      </c>
      <c r="I699" t="str">
        <f t="shared" si="76"/>
        <v/>
      </c>
    </row>
    <row r="700" spans="1:9" x14ac:dyDescent="0.4">
      <c r="A700" t="str">
        <f t="shared" si="70"/>
        <v/>
      </c>
      <c r="B700" t="str">
        <f t="shared" si="71"/>
        <v/>
      </c>
      <c r="C700" t="str">
        <f t="shared" si="72"/>
        <v/>
      </c>
      <c r="D700" t="str">
        <f t="shared" si="73"/>
        <v/>
      </c>
      <c r="E700" t="str">
        <f>IF(F700="","",IF(COUNTIF($F$2:F700,F700)&gt;1,"",SUMIFS(tbl_input[필요수량],tbl_input[집계키_센터],F700)))</f>
        <v/>
      </c>
      <c r="F700" t="str">
        <f>IFERROR(INDEX(tbl_input[집계키_센터],ROW()-1),"")</f>
        <v/>
      </c>
      <c r="G700" t="str">
        <f t="shared" si="74"/>
        <v/>
      </c>
      <c r="H700" t="str">
        <f t="shared" si="75"/>
        <v/>
      </c>
      <c r="I700" t="str">
        <f t="shared" si="76"/>
        <v/>
      </c>
    </row>
    <row r="701" spans="1:9" x14ac:dyDescent="0.4">
      <c r="A701" t="str">
        <f t="shared" si="70"/>
        <v/>
      </c>
      <c r="B701" t="str">
        <f t="shared" si="71"/>
        <v/>
      </c>
      <c r="C701" t="str">
        <f t="shared" si="72"/>
        <v/>
      </c>
      <c r="D701" t="str">
        <f t="shared" si="73"/>
        <v/>
      </c>
      <c r="E701" t="str">
        <f>IF(F701="","",IF(COUNTIF($F$2:F701,F701)&gt;1,"",SUMIFS(tbl_input[필요수량],tbl_input[집계키_센터],F701)))</f>
        <v/>
      </c>
      <c r="F701" t="str">
        <f>IFERROR(INDEX(tbl_input[집계키_센터],ROW()-1),"")</f>
        <v/>
      </c>
      <c r="G701" t="str">
        <f t="shared" si="74"/>
        <v/>
      </c>
      <c r="H701" t="str">
        <f t="shared" si="75"/>
        <v/>
      </c>
      <c r="I701" t="str">
        <f t="shared" si="76"/>
        <v/>
      </c>
    </row>
    <row r="702" spans="1:9" x14ac:dyDescent="0.4">
      <c r="A702" t="str">
        <f t="shared" si="70"/>
        <v/>
      </c>
      <c r="B702" t="str">
        <f t="shared" si="71"/>
        <v/>
      </c>
      <c r="C702" t="str">
        <f t="shared" si="72"/>
        <v/>
      </c>
      <c r="D702" t="str">
        <f t="shared" si="73"/>
        <v/>
      </c>
      <c r="E702" t="str">
        <f>IF(F702="","",IF(COUNTIF($F$2:F702,F702)&gt;1,"",SUMIFS(tbl_input[필요수량],tbl_input[집계키_센터],F702)))</f>
        <v/>
      </c>
      <c r="F702" t="str">
        <f>IFERROR(INDEX(tbl_input[집계키_센터],ROW()-1),"")</f>
        <v/>
      </c>
      <c r="G702" t="str">
        <f t="shared" si="74"/>
        <v/>
      </c>
      <c r="H702" t="str">
        <f t="shared" si="75"/>
        <v/>
      </c>
      <c r="I702" t="str">
        <f t="shared" si="76"/>
        <v/>
      </c>
    </row>
    <row r="703" spans="1:9" x14ac:dyDescent="0.4">
      <c r="A703" t="str">
        <f t="shared" si="70"/>
        <v/>
      </c>
      <c r="B703" t="str">
        <f t="shared" si="71"/>
        <v/>
      </c>
      <c r="C703" t="str">
        <f t="shared" si="72"/>
        <v/>
      </c>
      <c r="D703" t="str">
        <f t="shared" si="73"/>
        <v/>
      </c>
      <c r="E703" t="str">
        <f>IF(F703="","",IF(COUNTIF($F$2:F703,F703)&gt;1,"",SUMIFS(tbl_input[필요수량],tbl_input[집계키_센터],F703)))</f>
        <v/>
      </c>
      <c r="F703" t="str">
        <f>IFERROR(INDEX(tbl_input[집계키_센터],ROW()-1),"")</f>
        <v/>
      </c>
      <c r="G703" t="str">
        <f t="shared" si="74"/>
        <v/>
      </c>
      <c r="H703" t="str">
        <f t="shared" si="75"/>
        <v/>
      </c>
      <c r="I703" t="str">
        <f t="shared" si="76"/>
        <v/>
      </c>
    </row>
    <row r="704" spans="1:9" x14ac:dyDescent="0.4">
      <c r="A704" t="str">
        <f t="shared" si="70"/>
        <v/>
      </c>
      <c r="B704" t="str">
        <f t="shared" si="71"/>
        <v/>
      </c>
      <c r="C704" t="str">
        <f t="shared" si="72"/>
        <v/>
      </c>
      <c r="D704" t="str">
        <f t="shared" si="73"/>
        <v/>
      </c>
      <c r="E704" t="str">
        <f>IF(F704="","",IF(COUNTIF($F$2:F704,F704)&gt;1,"",SUMIFS(tbl_input[필요수량],tbl_input[집계키_센터],F704)))</f>
        <v/>
      </c>
      <c r="F704" t="str">
        <f>IFERROR(INDEX(tbl_input[집계키_센터],ROW()-1),"")</f>
        <v/>
      </c>
      <c r="G704" t="str">
        <f t="shared" si="74"/>
        <v/>
      </c>
      <c r="H704" t="str">
        <f t="shared" si="75"/>
        <v/>
      </c>
      <c r="I704" t="str">
        <f t="shared" si="76"/>
        <v/>
      </c>
    </row>
    <row r="705" spans="1:9" x14ac:dyDescent="0.4">
      <c r="A705" t="str">
        <f t="shared" si="70"/>
        <v/>
      </c>
      <c r="B705" t="str">
        <f t="shared" si="71"/>
        <v/>
      </c>
      <c r="C705" t="str">
        <f t="shared" si="72"/>
        <v/>
      </c>
      <c r="D705" t="str">
        <f t="shared" si="73"/>
        <v/>
      </c>
      <c r="E705" t="str">
        <f>IF(F705="","",IF(COUNTIF($F$2:F705,F705)&gt;1,"",SUMIFS(tbl_input[필요수량],tbl_input[집계키_센터],F705)))</f>
        <v/>
      </c>
      <c r="F705" t="str">
        <f>IFERROR(INDEX(tbl_input[집계키_센터],ROW()-1),"")</f>
        <v/>
      </c>
      <c r="G705" t="str">
        <f t="shared" si="74"/>
        <v/>
      </c>
      <c r="H705" t="str">
        <f t="shared" si="75"/>
        <v/>
      </c>
      <c r="I705" t="str">
        <f t="shared" si="76"/>
        <v/>
      </c>
    </row>
    <row r="706" spans="1:9" x14ac:dyDescent="0.4">
      <c r="A706" t="str">
        <f t="shared" ref="A706:A769" si="77">IF(F706="","",LEFT(F706,G706-1))</f>
        <v/>
      </c>
      <c r="B706" t="str">
        <f t="shared" ref="B706:B769" si="78">IF(F706="","",MID(F706,G706+1,H706-G706-1))</f>
        <v/>
      </c>
      <c r="C706" t="str">
        <f t="shared" ref="C706:C769" si="79">IF(F706="","",MID(F706,H706+1,I706-H706-1))</f>
        <v/>
      </c>
      <c r="D706" t="str">
        <f t="shared" ref="D706:D769" si="80">IF(F706="","",MID(F706,I706+1,999))</f>
        <v/>
      </c>
      <c r="E706" t="str">
        <f>IF(F706="","",IF(COUNTIF($F$2:F706,F706)&gt;1,"",SUMIFS(tbl_input[필요수량],tbl_input[집계키_센터],F706)))</f>
        <v/>
      </c>
      <c r="F706" t="str">
        <f>IFERROR(INDEX(tbl_input[집계키_센터],ROW()-1),"")</f>
        <v/>
      </c>
      <c r="G706" t="str">
        <f t="shared" ref="G706:G769" si="81">IF(F706="","",FIND("♦",F706))</f>
        <v/>
      </c>
      <c r="H706" t="str">
        <f t="shared" ref="H706:H769" si="82">IF(F706="","",FIND("♦",F706,G706+1))</f>
        <v/>
      </c>
      <c r="I706" t="str">
        <f t="shared" ref="I706:I769" si="83">IF(F706="","",FIND("♦",F706,H706+1))</f>
        <v/>
      </c>
    </row>
    <row r="707" spans="1:9" x14ac:dyDescent="0.4">
      <c r="A707" t="str">
        <f t="shared" si="77"/>
        <v/>
      </c>
      <c r="B707" t="str">
        <f t="shared" si="78"/>
        <v/>
      </c>
      <c r="C707" t="str">
        <f t="shared" si="79"/>
        <v/>
      </c>
      <c r="D707" t="str">
        <f t="shared" si="80"/>
        <v/>
      </c>
      <c r="E707" t="str">
        <f>IF(F707="","",IF(COUNTIF($F$2:F707,F707)&gt;1,"",SUMIFS(tbl_input[필요수량],tbl_input[집계키_센터],F707)))</f>
        <v/>
      </c>
      <c r="F707" t="str">
        <f>IFERROR(INDEX(tbl_input[집계키_센터],ROW()-1),"")</f>
        <v/>
      </c>
      <c r="G707" t="str">
        <f t="shared" si="81"/>
        <v/>
      </c>
      <c r="H707" t="str">
        <f t="shared" si="82"/>
        <v/>
      </c>
      <c r="I707" t="str">
        <f t="shared" si="83"/>
        <v/>
      </c>
    </row>
    <row r="708" spans="1:9" x14ac:dyDescent="0.4">
      <c r="A708" t="str">
        <f t="shared" si="77"/>
        <v/>
      </c>
      <c r="B708" t="str">
        <f t="shared" si="78"/>
        <v/>
      </c>
      <c r="C708" t="str">
        <f t="shared" si="79"/>
        <v/>
      </c>
      <c r="D708" t="str">
        <f t="shared" si="80"/>
        <v/>
      </c>
      <c r="E708" t="str">
        <f>IF(F708="","",IF(COUNTIF($F$2:F708,F708)&gt;1,"",SUMIFS(tbl_input[필요수량],tbl_input[집계키_센터],F708)))</f>
        <v/>
      </c>
      <c r="F708" t="str">
        <f>IFERROR(INDEX(tbl_input[집계키_센터],ROW()-1),"")</f>
        <v/>
      </c>
      <c r="G708" t="str">
        <f t="shared" si="81"/>
        <v/>
      </c>
      <c r="H708" t="str">
        <f t="shared" si="82"/>
        <v/>
      </c>
      <c r="I708" t="str">
        <f t="shared" si="83"/>
        <v/>
      </c>
    </row>
    <row r="709" spans="1:9" x14ac:dyDescent="0.4">
      <c r="A709" t="str">
        <f t="shared" si="77"/>
        <v/>
      </c>
      <c r="B709" t="str">
        <f t="shared" si="78"/>
        <v/>
      </c>
      <c r="C709" t="str">
        <f t="shared" si="79"/>
        <v/>
      </c>
      <c r="D709" t="str">
        <f t="shared" si="80"/>
        <v/>
      </c>
      <c r="E709" t="str">
        <f>IF(F709="","",IF(COUNTIF($F$2:F709,F709)&gt;1,"",SUMIFS(tbl_input[필요수량],tbl_input[집계키_센터],F709)))</f>
        <v/>
      </c>
      <c r="F709" t="str">
        <f>IFERROR(INDEX(tbl_input[집계키_센터],ROW()-1),"")</f>
        <v/>
      </c>
      <c r="G709" t="str">
        <f t="shared" si="81"/>
        <v/>
      </c>
      <c r="H709" t="str">
        <f t="shared" si="82"/>
        <v/>
      </c>
      <c r="I709" t="str">
        <f t="shared" si="83"/>
        <v/>
      </c>
    </row>
    <row r="710" spans="1:9" x14ac:dyDescent="0.4">
      <c r="A710" t="str">
        <f t="shared" si="77"/>
        <v/>
      </c>
      <c r="B710" t="str">
        <f t="shared" si="78"/>
        <v/>
      </c>
      <c r="C710" t="str">
        <f t="shared" si="79"/>
        <v/>
      </c>
      <c r="D710" t="str">
        <f t="shared" si="80"/>
        <v/>
      </c>
      <c r="E710" t="str">
        <f>IF(F710="","",IF(COUNTIF($F$2:F710,F710)&gt;1,"",SUMIFS(tbl_input[필요수량],tbl_input[집계키_센터],F710)))</f>
        <v/>
      </c>
      <c r="F710" t="str">
        <f>IFERROR(INDEX(tbl_input[집계키_센터],ROW()-1),"")</f>
        <v/>
      </c>
      <c r="G710" t="str">
        <f t="shared" si="81"/>
        <v/>
      </c>
      <c r="H710" t="str">
        <f t="shared" si="82"/>
        <v/>
      </c>
      <c r="I710" t="str">
        <f t="shared" si="83"/>
        <v/>
      </c>
    </row>
    <row r="711" spans="1:9" x14ac:dyDescent="0.4">
      <c r="A711" t="str">
        <f t="shared" si="77"/>
        <v/>
      </c>
      <c r="B711" t="str">
        <f t="shared" si="78"/>
        <v/>
      </c>
      <c r="C711" t="str">
        <f t="shared" si="79"/>
        <v/>
      </c>
      <c r="D711" t="str">
        <f t="shared" si="80"/>
        <v/>
      </c>
      <c r="E711" t="str">
        <f>IF(F711="","",IF(COUNTIF($F$2:F711,F711)&gt;1,"",SUMIFS(tbl_input[필요수량],tbl_input[집계키_센터],F711)))</f>
        <v/>
      </c>
      <c r="F711" t="str">
        <f>IFERROR(INDEX(tbl_input[집계키_센터],ROW()-1),"")</f>
        <v/>
      </c>
      <c r="G711" t="str">
        <f t="shared" si="81"/>
        <v/>
      </c>
      <c r="H711" t="str">
        <f t="shared" si="82"/>
        <v/>
      </c>
      <c r="I711" t="str">
        <f t="shared" si="83"/>
        <v/>
      </c>
    </row>
    <row r="712" spans="1:9" x14ac:dyDescent="0.4">
      <c r="A712" t="str">
        <f t="shared" si="77"/>
        <v/>
      </c>
      <c r="B712" t="str">
        <f t="shared" si="78"/>
        <v/>
      </c>
      <c r="C712" t="str">
        <f t="shared" si="79"/>
        <v/>
      </c>
      <c r="D712" t="str">
        <f t="shared" si="80"/>
        <v/>
      </c>
      <c r="E712" t="str">
        <f>IF(F712="","",IF(COUNTIF($F$2:F712,F712)&gt;1,"",SUMIFS(tbl_input[필요수량],tbl_input[집계키_센터],F712)))</f>
        <v/>
      </c>
      <c r="F712" t="str">
        <f>IFERROR(INDEX(tbl_input[집계키_센터],ROW()-1),"")</f>
        <v/>
      </c>
      <c r="G712" t="str">
        <f t="shared" si="81"/>
        <v/>
      </c>
      <c r="H712" t="str">
        <f t="shared" si="82"/>
        <v/>
      </c>
      <c r="I712" t="str">
        <f t="shared" si="83"/>
        <v/>
      </c>
    </row>
    <row r="713" spans="1:9" x14ac:dyDescent="0.4">
      <c r="A713" t="str">
        <f t="shared" si="77"/>
        <v/>
      </c>
      <c r="B713" t="str">
        <f t="shared" si="78"/>
        <v/>
      </c>
      <c r="C713" t="str">
        <f t="shared" si="79"/>
        <v/>
      </c>
      <c r="D713" t="str">
        <f t="shared" si="80"/>
        <v/>
      </c>
      <c r="E713" t="str">
        <f>IF(F713="","",IF(COUNTIF($F$2:F713,F713)&gt;1,"",SUMIFS(tbl_input[필요수량],tbl_input[집계키_센터],F713)))</f>
        <v/>
      </c>
      <c r="F713" t="str">
        <f>IFERROR(INDEX(tbl_input[집계키_센터],ROW()-1),"")</f>
        <v/>
      </c>
      <c r="G713" t="str">
        <f t="shared" si="81"/>
        <v/>
      </c>
      <c r="H713" t="str">
        <f t="shared" si="82"/>
        <v/>
      </c>
      <c r="I713" t="str">
        <f t="shared" si="83"/>
        <v/>
      </c>
    </row>
    <row r="714" spans="1:9" x14ac:dyDescent="0.4">
      <c r="A714" t="str">
        <f t="shared" si="77"/>
        <v/>
      </c>
      <c r="B714" t="str">
        <f t="shared" si="78"/>
        <v/>
      </c>
      <c r="C714" t="str">
        <f t="shared" si="79"/>
        <v/>
      </c>
      <c r="D714" t="str">
        <f t="shared" si="80"/>
        <v/>
      </c>
      <c r="E714" t="str">
        <f>IF(F714="","",IF(COUNTIF($F$2:F714,F714)&gt;1,"",SUMIFS(tbl_input[필요수량],tbl_input[집계키_센터],F714)))</f>
        <v/>
      </c>
      <c r="F714" t="str">
        <f>IFERROR(INDEX(tbl_input[집계키_센터],ROW()-1),"")</f>
        <v/>
      </c>
      <c r="G714" t="str">
        <f t="shared" si="81"/>
        <v/>
      </c>
      <c r="H714" t="str">
        <f t="shared" si="82"/>
        <v/>
      </c>
      <c r="I714" t="str">
        <f t="shared" si="83"/>
        <v/>
      </c>
    </row>
    <row r="715" spans="1:9" x14ac:dyDescent="0.4">
      <c r="A715" t="str">
        <f t="shared" si="77"/>
        <v/>
      </c>
      <c r="B715" t="str">
        <f t="shared" si="78"/>
        <v/>
      </c>
      <c r="C715" t="str">
        <f t="shared" si="79"/>
        <v/>
      </c>
      <c r="D715" t="str">
        <f t="shared" si="80"/>
        <v/>
      </c>
      <c r="E715" t="str">
        <f>IF(F715="","",IF(COUNTIF($F$2:F715,F715)&gt;1,"",SUMIFS(tbl_input[필요수량],tbl_input[집계키_센터],F715)))</f>
        <v/>
      </c>
      <c r="F715" t="str">
        <f>IFERROR(INDEX(tbl_input[집계키_센터],ROW()-1),"")</f>
        <v/>
      </c>
      <c r="G715" t="str">
        <f t="shared" si="81"/>
        <v/>
      </c>
      <c r="H715" t="str">
        <f t="shared" si="82"/>
        <v/>
      </c>
      <c r="I715" t="str">
        <f t="shared" si="83"/>
        <v/>
      </c>
    </row>
    <row r="716" spans="1:9" x14ac:dyDescent="0.4">
      <c r="A716" t="str">
        <f t="shared" si="77"/>
        <v/>
      </c>
      <c r="B716" t="str">
        <f t="shared" si="78"/>
        <v/>
      </c>
      <c r="C716" t="str">
        <f t="shared" si="79"/>
        <v/>
      </c>
      <c r="D716" t="str">
        <f t="shared" si="80"/>
        <v/>
      </c>
      <c r="E716" t="str">
        <f>IF(F716="","",IF(COUNTIF($F$2:F716,F716)&gt;1,"",SUMIFS(tbl_input[필요수량],tbl_input[집계키_센터],F716)))</f>
        <v/>
      </c>
      <c r="F716" t="str">
        <f>IFERROR(INDEX(tbl_input[집계키_센터],ROW()-1),"")</f>
        <v/>
      </c>
      <c r="G716" t="str">
        <f t="shared" si="81"/>
        <v/>
      </c>
      <c r="H716" t="str">
        <f t="shared" si="82"/>
        <v/>
      </c>
      <c r="I716" t="str">
        <f t="shared" si="83"/>
        <v/>
      </c>
    </row>
    <row r="717" spans="1:9" x14ac:dyDescent="0.4">
      <c r="A717" t="str">
        <f t="shared" si="77"/>
        <v/>
      </c>
      <c r="B717" t="str">
        <f t="shared" si="78"/>
        <v/>
      </c>
      <c r="C717" t="str">
        <f t="shared" si="79"/>
        <v/>
      </c>
      <c r="D717" t="str">
        <f t="shared" si="80"/>
        <v/>
      </c>
      <c r="E717" t="str">
        <f>IF(F717="","",IF(COUNTIF($F$2:F717,F717)&gt;1,"",SUMIFS(tbl_input[필요수량],tbl_input[집계키_센터],F717)))</f>
        <v/>
      </c>
      <c r="F717" t="str">
        <f>IFERROR(INDEX(tbl_input[집계키_센터],ROW()-1),"")</f>
        <v/>
      </c>
      <c r="G717" t="str">
        <f t="shared" si="81"/>
        <v/>
      </c>
      <c r="H717" t="str">
        <f t="shared" si="82"/>
        <v/>
      </c>
      <c r="I717" t="str">
        <f t="shared" si="83"/>
        <v/>
      </c>
    </row>
    <row r="718" spans="1:9" x14ac:dyDescent="0.4">
      <c r="A718" t="str">
        <f t="shared" si="77"/>
        <v/>
      </c>
      <c r="B718" t="str">
        <f t="shared" si="78"/>
        <v/>
      </c>
      <c r="C718" t="str">
        <f t="shared" si="79"/>
        <v/>
      </c>
      <c r="D718" t="str">
        <f t="shared" si="80"/>
        <v/>
      </c>
      <c r="E718" t="str">
        <f>IF(F718="","",IF(COUNTIF($F$2:F718,F718)&gt;1,"",SUMIFS(tbl_input[필요수량],tbl_input[집계키_센터],F718)))</f>
        <v/>
      </c>
      <c r="F718" t="str">
        <f>IFERROR(INDEX(tbl_input[집계키_센터],ROW()-1),"")</f>
        <v/>
      </c>
      <c r="G718" t="str">
        <f t="shared" si="81"/>
        <v/>
      </c>
      <c r="H718" t="str">
        <f t="shared" si="82"/>
        <v/>
      </c>
      <c r="I718" t="str">
        <f t="shared" si="83"/>
        <v/>
      </c>
    </row>
    <row r="719" spans="1:9" x14ac:dyDescent="0.4">
      <c r="A719" t="str">
        <f t="shared" si="77"/>
        <v/>
      </c>
      <c r="B719" t="str">
        <f t="shared" si="78"/>
        <v/>
      </c>
      <c r="C719" t="str">
        <f t="shared" si="79"/>
        <v/>
      </c>
      <c r="D719" t="str">
        <f t="shared" si="80"/>
        <v/>
      </c>
      <c r="E719" t="str">
        <f>IF(F719="","",IF(COUNTIF($F$2:F719,F719)&gt;1,"",SUMIFS(tbl_input[필요수량],tbl_input[집계키_센터],F719)))</f>
        <v/>
      </c>
      <c r="F719" t="str">
        <f>IFERROR(INDEX(tbl_input[집계키_센터],ROW()-1),"")</f>
        <v/>
      </c>
      <c r="G719" t="str">
        <f t="shared" si="81"/>
        <v/>
      </c>
      <c r="H719" t="str">
        <f t="shared" si="82"/>
        <v/>
      </c>
      <c r="I719" t="str">
        <f t="shared" si="83"/>
        <v/>
      </c>
    </row>
    <row r="720" spans="1:9" x14ac:dyDescent="0.4">
      <c r="A720" t="str">
        <f t="shared" si="77"/>
        <v/>
      </c>
      <c r="B720" t="str">
        <f t="shared" si="78"/>
        <v/>
      </c>
      <c r="C720" t="str">
        <f t="shared" si="79"/>
        <v/>
      </c>
      <c r="D720" t="str">
        <f t="shared" si="80"/>
        <v/>
      </c>
      <c r="E720" t="str">
        <f>IF(F720="","",IF(COUNTIF($F$2:F720,F720)&gt;1,"",SUMIFS(tbl_input[필요수량],tbl_input[집계키_센터],F720)))</f>
        <v/>
      </c>
      <c r="F720" t="str">
        <f>IFERROR(INDEX(tbl_input[집계키_센터],ROW()-1),"")</f>
        <v/>
      </c>
      <c r="G720" t="str">
        <f t="shared" si="81"/>
        <v/>
      </c>
      <c r="H720" t="str">
        <f t="shared" si="82"/>
        <v/>
      </c>
      <c r="I720" t="str">
        <f t="shared" si="83"/>
        <v/>
      </c>
    </row>
    <row r="721" spans="1:9" x14ac:dyDescent="0.4">
      <c r="A721" t="str">
        <f t="shared" si="77"/>
        <v/>
      </c>
      <c r="B721" t="str">
        <f t="shared" si="78"/>
        <v/>
      </c>
      <c r="C721" t="str">
        <f t="shared" si="79"/>
        <v/>
      </c>
      <c r="D721" t="str">
        <f t="shared" si="80"/>
        <v/>
      </c>
      <c r="E721" t="str">
        <f>IF(F721="","",IF(COUNTIF($F$2:F721,F721)&gt;1,"",SUMIFS(tbl_input[필요수량],tbl_input[집계키_센터],F721)))</f>
        <v/>
      </c>
      <c r="F721" t="str">
        <f>IFERROR(INDEX(tbl_input[집계키_센터],ROW()-1),"")</f>
        <v/>
      </c>
      <c r="G721" t="str">
        <f t="shared" si="81"/>
        <v/>
      </c>
      <c r="H721" t="str">
        <f t="shared" si="82"/>
        <v/>
      </c>
      <c r="I721" t="str">
        <f t="shared" si="83"/>
        <v/>
      </c>
    </row>
    <row r="722" spans="1:9" x14ac:dyDescent="0.4">
      <c r="A722" t="str">
        <f t="shared" si="77"/>
        <v/>
      </c>
      <c r="B722" t="str">
        <f t="shared" si="78"/>
        <v/>
      </c>
      <c r="C722" t="str">
        <f t="shared" si="79"/>
        <v/>
      </c>
      <c r="D722" t="str">
        <f t="shared" si="80"/>
        <v/>
      </c>
      <c r="E722" t="str">
        <f>IF(F722="","",IF(COUNTIF($F$2:F722,F722)&gt;1,"",SUMIFS(tbl_input[필요수량],tbl_input[집계키_센터],F722)))</f>
        <v/>
      </c>
      <c r="F722" t="str">
        <f>IFERROR(INDEX(tbl_input[집계키_센터],ROW()-1),"")</f>
        <v/>
      </c>
      <c r="G722" t="str">
        <f t="shared" si="81"/>
        <v/>
      </c>
      <c r="H722" t="str">
        <f t="shared" si="82"/>
        <v/>
      </c>
      <c r="I722" t="str">
        <f t="shared" si="83"/>
        <v/>
      </c>
    </row>
    <row r="723" spans="1:9" x14ac:dyDescent="0.4">
      <c r="A723" t="str">
        <f t="shared" si="77"/>
        <v/>
      </c>
      <c r="B723" t="str">
        <f t="shared" si="78"/>
        <v/>
      </c>
      <c r="C723" t="str">
        <f t="shared" si="79"/>
        <v/>
      </c>
      <c r="D723" t="str">
        <f t="shared" si="80"/>
        <v/>
      </c>
      <c r="E723" t="str">
        <f>IF(F723="","",IF(COUNTIF($F$2:F723,F723)&gt;1,"",SUMIFS(tbl_input[필요수량],tbl_input[집계키_센터],F723)))</f>
        <v/>
      </c>
      <c r="F723" t="str">
        <f>IFERROR(INDEX(tbl_input[집계키_센터],ROW()-1),"")</f>
        <v/>
      </c>
      <c r="G723" t="str">
        <f t="shared" si="81"/>
        <v/>
      </c>
      <c r="H723" t="str">
        <f t="shared" si="82"/>
        <v/>
      </c>
      <c r="I723" t="str">
        <f t="shared" si="83"/>
        <v/>
      </c>
    </row>
    <row r="724" spans="1:9" x14ac:dyDescent="0.4">
      <c r="A724" t="str">
        <f t="shared" si="77"/>
        <v/>
      </c>
      <c r="B724" t="str">
        <f t="shared" si="78"/>
        <v/>
      </c>
      <c r="C724" t="str">
        <f t="shared" si="79"/>
        <v/>
      </c>
      <c r="D724" t="str">
        <f t="shared" si="80"/>
        <v/>
      </c>
      <c r="E724" t="str">
        <f>IF(F724="","",IF(COUNTIF($F$2:F724,F724)&gt;1,"",SUMIFS(tbl_input[필요수량],tbl_input[집계키_센터],F724)))</f>
        <v/>
      </c>
      <c r="F724" t="str">
        <f>IFERROR(INDEX(tbl_input[집계키_센터],ROW()-1),"")</f>
        <v/>
      </c>
      <c r="G724" t="str">
        <f t="shared" si="81"/>
        <v/>
      </c>
      <c r="H724" t="str">
        <f t="shared" si="82"/>
        <v/>
      </c>
      <c r="I724" t="str">
        <f t="shared" si="83"/>
        <v/>
      </c>
    </row>
    <row r="725" spans="1:9" x14ac:dyDescent="0.4">
      <c r="A725" t="str">
        <f t="shared" si="77"/>
        <v/>
      </c>
      <c r="B725" t="str">
        <f t="shared" si="78"/>
        <v/>
      </c>
      <c r="C725" t="str">
        <f t="shared" si="79"/>
        <v/>
      </c>
      <c r="D725" t="str">
        <f t="shared" si="80"/>
        <v/>
      </c>
      <c r="E725" t="str">
        <f>IF(F725="","",IF(COUNTIF($F$2:F725,F725)&gt;1,"",SUMIFS(tbl_input[필요수량],tbl_input[집계키_센터],F725)))</f>
        <v/>
      </c>
      <c r="F725" t="str">
        <f>IFERROR(INDEX(tbl_input[집계키_센터],ROW()-1),"")</f>
        <v/>
      </c>
      <c r="G725" t="str">
        <f t="shared" si="81"/>
        <v/>
      </c>
      <c r="H725" t="str">
        <f t="shared" si="82"/>
        <v/>
      </c>
      <c r="I725" t="str">
        <f t="shared" si="83"/>
        <v/>
      </c>
    </row>
    <row r="726" spans="1:9" x14ac:dyDescent="0.4">
      <c r="A726" t="str">
        <f t="shared" si="77"/>
        <v/>
      </c>
      <c r="B726" t="str">
        <f t="shared" si="78"/>
        <v/>
      </c>
      <c r="C726" t="str">
        <f t="shared" si="79"/>
        <v/>
      </c>
      <c r="D726" t="str">
        <f t="shared" si="80"/>
        <v/>
      </c>
      <c r="E726" t="str">
        <f>IF(F726="","",IF(COUNTIF($F$2:F726,F726)&gt;1,"",SUMIFS(tbl_input[필요수량],tbl_input[집계키_센터],F726)))</f>
        <v/>
      </c>
      <c r="F726" t="str">
        <f>IFERROR(INDEX(tbl_input[집계키_센터],ROW()-1),"")</f>
        <v/>
      </c>
      <c r="G726" t="str">
        <f t="shared" si="81"/>
        <v/>
      </c>
      <c r="H726" t="str">
        <f t="shared" si="82"/>
        <v/>
      </c>
      <c r="I726" t="str">
        <f t="shared" si="83"/>
        <v/>
      </c>
    </row>
    <row r="727" spans="1:9" x14ac:dyDescent="0.4">
      <c r="A727" t="str">
        <f t="shared" si="77"/>
        <v/>
      </c>
      <c r="B727" t="str">
        <f t="shared" si="78"/>
        <v/>
      </c>
      <c r="C727" t="str">
        <f t="shared" si="79"/>
        <v/>
      </c>
      <c r="D727" t="str">
        <f t="shared" si="80"/>
        <v/>
      </c>
      <c r="E727" t="str">
        <f>IF(F727="","",IF(COUNTIF($F$2:F727,F727)&gt;1,"",SUMIFS(tbl_input[필요수량],tbl_input[집계키_센터],F727)))</f>
        <v/>
      </c>
      <c r="F727" t="str">
        <f>IFERROR(INDEX(tbl_input[집계키_센터],ROW()-1),"")</f>
        <v/>
      </c>
      <c r="G727" t="str">
        <f t="shared" si="81"/>
        <v/>
      </c>
      <c r="H727" t="str">
        <f t="shared" si="82"/>
        <v/>
      </c>
      <c r="I727" t="str">
        <f t="shared" si="83"/>
        <v/>
      </c>
    </row>
    <row r="728" spans="1:9" x14ac:dyDescent="0.4">
      <c r="A728" t="str">
        <f t="shared" si="77"/>
        <v/>
      </c>
      <c r="B728" t="str">
        <f t="shared" si="78"/>
        <v/>
      </c>
      <c r="C728" t="str">
        <f t="shared" si="79"/>
        <v/>
      </c>
      <c r="D728" t="str">
        <f t="shared" si="80"/>
        <v/>
      </c>
      <c r="E728" t="str">
        <f>IF(F728="","",IF(COUNTIF($F$2:F728,F728)&gt;1,"",SUMIFS(tbl_input[필요수량],tbl_input[집계키_센터],F728)))</f>
        <v/>
      </c>
      <c r="F728" t="str">
        <f>IFERROR(INDEX(tbl_input[집계키_센터],ROW()-1),"")</f>
        <v/>
      </c>
      <c r="G728" t="str">
        <f t="shared" si="81"/>
        <v/>
      </c>
      <c r="H728" t="str">
        <f t="shared" si="82"/>
        <v/>
      </c>
      <c r="I728" t="str">
        <f t="shared" si="83"/>
        <v/>
      </c>
    </row>
    <row r="729" spans="1:9" x14ac:dyDescent="0.4">
      <c r="A729" t="str">
        <f t="shared" si="77"/>
        <v/>
      </c>
      <c r="B729" t="str">
        <f t="shared" si="78"/>
        <v/>
      </c>
      <c r="C729" t="str">
        <f t="shared" si="79"/>
        <v/>
      </c>
      <c r="D729" t="str">
        <f t="shared" si="80"/>
        <v/>
      </c>
      <c r="E729" t="str">
        <f>IF(F729="","",IF(COUNTIF($F$2:F729,F729)&gt;1,"",SUMIFS(tbl_input[필요수량],tbl_input[집계키_센터],F729)))</f>
        <v/>
      </c>
      <c r="F729" t="str">
        <f>IFERROR(INDEX(tbl_input[집계키_센터],ROW()-1),"")</f>
        <v/>
      </c>
      <c r="G729" t="str">
        <f t="shared" si="81"/>
        <v/>
      </c>
      <c r="H729" t="str">
        <f t="shared" si="82"/>
        <v/>
      </c>
      <c r="I729" t="str">
        <f t="shared" si="83"/>
        <v/>
      </c>
    </row>
    <row r="730" spans="1:9" x14ac:dyDescent="0.4">
      <c r="A730" t="str">
        <f t="shared" si="77"/>
        <v/>
      </c>
      <c r="B730" t="str">
        <f t="shared" si="78"/>
        <v/>
      </c>
      <c r="C730" t="str">
        <f t="shared" si="79"/>
        <v/>
      </c>
      <c r="D730" t="str">
        <f t="shared" si="80"/>
        <v/>
      </c>
      <c r="E730" t="str">
        <f>IF(F730="","",IF(COUNTIF($F$2:F730,F730)&gt;1,"",SUMIFS(tbl_input[필요수량],tbl_input[집계키_센터],F730)))</f>
        <v/>
      </c>
      <c r="F730" t="str">
        <f>IFERROR(INDEX(tbl_input[집계키_센터],ROW()-1),"")</f>
        <v/>
      </c>
      <c r="G730" t="str">
        <f t="shared" si="81"/>
        <v/>
      </c>
      <c r="H730" t="str">
        <f t="shared" si="82"/>
        <v/>
      </c>
      <c r="I730" t="str">
        <f t="shared" si="83"/>
        <v/>
      </c>
    </row>
    <row r="731" spans="1:9" x14ac:dyDescent="0.4">
      <c r="A731" t="str">
        <f t="shared" si="77"/>
        <v/>
      </c>
      <c r="B731" t="str">
        <f t="shared" si="78"/>
        <v/>
      </c>
      <c r="C731" t="str">
        <f t="shared" si="79"/>
        <v/>
      </c>
      <c r="D731" t="str">
        <f t="shared" si="80"/>
        <v/>
      </c>
      <c r="E731" t="str">
        <f>IF(F731="","",IF(COUNTIF($F$2:F731,F731)&gt;1,"",SUMIFS(tbl_input[필요수량],tbl_input[집계키_센터],F731)))</f>
        <v/>
      </c>
      <c r="F731" t="str">
        <f>IFERROR(INDEX(tbl_input[집계키_센터],ROW()-1),"")</f>
        <v/>
      </c>
      <c r="G731" t="str">
        <f t="shared" si="81"/>
        <v/>
      </c>
      <c r="H731" t="str">
        <f t="shared" si="82"/>
        <v/>
      </c>
      <c r="I731" t="str">
        <f t="shared" si="83"/>
        <v/>
      </c>
    </row>
    <row r="732" spans="1:9" x14ac:dyDescent="0.4">
      <c r="A732" t="str">
        <f t="shared" si="77"/>
        <v/>
      </c>
      <c r="B732" t="str">
        <f t="shared" si="78"/>
        <v/>
      </c>
      <c r="C732" t="str">
        <f t="shared" si="79"/>
        <v/>
      </c>
      <c r="D732" t="str">
        <f t="shared" si="80"/>
        <v/>
      </c>
      <c r="E732" t="str">
        <f>IF(F732="","",IF(COUNTIF($F$2:F732,F732)&gt;1,"",SUMIFS(tbl_input[필요수량],tbl_input[집계키_센터],F732)))</f>
        <v/>
      </c>
      <c r="F732" t="str">
        <f>IFERROR(INDEX(tbl_input[집계키_센터],ROW()-1),"")</f>
        <v/>
      </c>
      <c r="G732" t="str">
        <f t="shared" si="81"/>
        <v/>
      </c>
      <c r="H732" t="str">
        <f t="shared" si="82"/>
        <v/>
      </c>
      <c r="I732" t="str">
        <f t="shared" si="83"/>
        <v/>
      </c>
    </row>
    <row r="733" spans="1:9" x14ac:dyDescent="0.4">
      <c r="A733" t="str">
        <f t="shared" si="77"/>
        <v/>
      </c>
      <c r="B733" t="str">
        <f t="shared" si="78"/>
        <v/>
      </c>
      <c r="C733" t="str">
        <f t="shared" si="79"/>
        <v/>
      </c>
      <c r="D733" t="str">
        <f t="shared" si="80"/>
        <v/>
      </c>
      <c r="E733" t="str">
        <f>IF(F733="","",IF(COUNTIF($F$2:F733,F733)&gt;1,"",SUMIFS(tbl_input[필요수량],tbl_input[집계키_센터],F733)))</f>
        <v/>
      </c>
      <c r="F733" t="str">
        <f>IFERROR(INDEX(tbl_input[집계키_센터],ROW()-1),"")</f>
        <v/>
      </c>
      <c r="G733" t="str">
        <f t="shared" si="81"/>
        <v/>
      </c>
      <c r="H733" t="str">
        <f t="shared" si="82"/>
        <v/>
      </c>
      <c r="I733" t="str">
        <f t="shared" si="83"/>
        <v/>
      </c>
    </row>
    <row r="734" spans="1:9" x14ac:dyDescent="0.4">
      <c r="A734" t="str">
        <f t="shared" si="77"/>
        <v/>
      </c>
      <c r="B734" t="str">
        <f t="shared" si="78"/>
        <v/>
      </c>
      <c r="C734" t="str">
        <f t="shared" si="79"/>
        <v/>
      </c>
      <c r="D734" t="str">
        <f t="shared" si="80"/>
        <v/>
      </c>
      <c r="E734" t="str">
        <f>IF(F734="","",IF(COUNTIF($F$2:F734,F734)&gt;1,"",SUMIFS(tbl_input[필요수량],tbl_input[집계키_센터],F734)))</f>
        <v/>
      </c>
      <c r="F734" t="str">
        <f>IFERROR(INDEX(tbl_input[집계키_센터],ROW()-1),"")</f>
        <v/>
      </c>
      <c r="G734" t="str">
        <f t="shared" si="81"/>
        <v/>
      </c>
      <c r="H734" t="str">
        <f t="shared" si="82"/>
        <v/>
      </c>
      <c r="I734" t="str">
        <f t="shared" si="83"/>
        <v/>
      </c>
    </row>
    <row r="735" spans="1:9" x14ac:dyDescent="0.4">
      <c r="A735" t="str">
        <f t="shared" si="77"/>
        <v/>
      </c>
      <c r="B735" t="str">
        <f t="shared" si="78"/>
        <v/>
      </c>
      <c r="C735" t="str">
        <f t="shared" si="79"/>
        <v/>
      </c>
      <c r="D735" t="str">
        <f t="shared" si="80"/>
        <v/>
      </c>
      <c r="E735" t="str">
        <f>IF(F735="","",IF(COUNTIF($F$2:F735,F735)&gt;1,"",SUMIFS(tbl_input[필요수량],tbl_input[집계키_센터],F735)))</f>
        <v/>
      </c>
      <c r="F735" t="str">
        <f>IFERROR(INDEX(tbl_input[집계키_센터],ROW()-1),"")</f>
        <v/>
      </c>
      <c r="G735" t="str">
        <f t="shared" si="81"/>
        <v/>
      </c>
      <c r="H735" t="str">
        <f t="shared" si="82"/>
        <v/>
      </c>
      <c r="I735" t="str">
        <f t="shared" si="83"/>
        <v/>
      </c>
    </row>
    <row r="736" spans="1:9" x14ac:dyDescent="0.4">
      <c r="A736" t="str">
        <f t="shared" si="77"/>
        <v/>
      </c>
      <c r="B736" t="str">
        <f t="shared" si="78"/>
        <v/>
      </c>
      <c r="C736" t="str">
        <f t="shared" si="79"/>
        <v/>
      </c>
      <c r="D736" t="str">
        <f t="shared" si="80"/>
        <v/>
      </c>
      <c r="E736" t="str">
        <f>IF(F736="","",IF(COUNTIF($F$2:F736,F736)&gt;1,"",SUMIFS(tbl_input[필요수량],tbl_input[집계키_센터],F736)))</f>
        <v/>
      </c>
      <c r="F736" t="str">
        <f>IFERROR(INDEX(tbl_input[집계키_센터],ROW()-1),"")</f>
        <v/>
      </c>
      <c r="G736" t="str">
        <f t="shared" si="81"/>
        <v/>
      </c>
      <c r="H736" t="str">
        <f t="shared" si="82"/>
        <v/>
      </c>
      <c r="I736" t="str">
        <f t="shared" si="83"/>
        <v/>
      </c>
    </row>
    <row r="737" spans="1:9" x14ac:dyDescent="0.4">
      <c r="A737" t="str">
        <f t="shared" si="77"/>
        <v/>
      </c>
      <c r="B737" t="str">
        <f t="shared" si="78"/>
        <v/>
      </c>
      <c r="C737" t="str">
        <f t="shared" si="79"/>
        <v/>
      </c>
      <c r="D737" t="str">
        <f t="shared" si="80"/>
        <v/>
      </c>
      <c r="E737" t="str">
        <f>IF(F737="","",IF(COUNTIF($F$2:F737,F737)&gt;1,"",SUMIFS(tbl_input[필요수량],tbl_input[집계키_센터],F737)))</f>
        <v/>
      </c>
      <c r="F737" t="str">
        <f>IFERROR(INDEX(tbl_input[집계키_센터],ROW()-1),"")</f>
        <v/>
      </c>
      <c r="G737" t="str">
        <f t="shared" si="81"/>
        <v/>
      </c>
      <c r="H737" t="str">
        <f t="shared" si="82"/>
        <v/>
      </c>
      <c r="I737" t="str">
        <f t="shared" si="83"/>
        <v/>
      </c>
    </row>
    <row r="738" spans="1:9" x14ac:dyDescent="0.4">
      <c r="A738" t="str">
        <f t="shared" si="77"/>
        <v/>
      </c>
      <c r="B738" t="str">
        <f t="shared" si="78"/>
        <v/>
      </c>
      <c r="C738" t="str">
        <f t="shared" si="79"/>
        <v/>
      </c>
      <c r="D738" t="str">
        <f t="shared" si="80"/>
        <v/>
      </c>
      <c r="E738" t="str">
        <f>IF(F738="","",IF(COUNTIF($F$2:F738,F738)&gt;1,"",SUMIFS(tbl_input[필요수량],tbl_input[집계키_센터],F738)))</f>
        <v/>
      </c>
      <c r="F738" t="str">
        <f>IFERROR(INDEX(tbl_input[집계키_센터],ROW()-1),"")</f>
        <v/>
      </c>
      <c r="G738" t="str">
        <f t="shared" si="81"/>
        <v/>
      </c>
      <c r="H738" t="str">
        <f t="shared" si="82"/>
        <v/>
      </c>
      <c r="I738" t="str">
        <f t="shared" si="83"/>
        <v/>
      </c>
    </row>
    <row r="739" spans="1:9" x14ac:dyDescent="0.4">
      <c r="A739" t="str">
        <f t="shared" si="77"/>
        <v/>
      </c>
      <c r="B739" t="str">
        <f t="shared" si="78"/>
        <v/>
      </c>
      <c r="C739" t="str">
        <f t="shared" si="79"/>
        <v/>
      </c>
      <c r="D739" t="str">
        <f t="shared" si="80"/>
        <v/>
      </c>
      <c r="E739" t="str">
        <f>IF(F739="","",IF(COUNTIF($F$2:F739,F739)&gt;1,"",SUMIFS(tbl_input[필요수량],tbl_input[집계키_센터],F739)))</f>
        <v/>
      </c>
      <c r="F739" t="str">
        <f>IFERROR(INDEX(tbl_input[집계키_센터],ROW()-1),"")</f>
        <v/>
      </c>
      <c r="G739" t="str">
        <f t="shared" si="81"/>
        <v/>
      </c>
      <c r="H739" t="str">
        <f t="shared" si="82"/>
        <v/>
      </c>
      <c r="I739" t="str">
        <f t="shared" si="83"/>
        <v/>
      </c>
    </row>
    <row r="740" spans="1:9" x14ac:dyDescent="0.4">
      <c r="A740" t="str">
        <f t="shared" si="77"/>
        <v/>
      </c>
      <c r="B740" t="str">
        <f t="shared" si="78"/>
        <v/>
      </c>
      <c r="C740" t="str">
        <f t="shared" si="79"/>
        <v/>
      </c>
      <c r="D740" t="str">
        <f t="shared" si="80"/>
        <v/>
      </c>
      <c r="E740" t="str">
        <f>IF(F740="","",IF(COUNTIF($F$2:F740,F740)&gt;1,"",SUMIFS(tbl_input[필요수량],tbl_input[집계키_센터],F740)))</f>
        <v/>
      </c>
      <c r="F740" t="str">
        <f>IFERROR(INDEX(tbl_input[집계키_센터],ROW()-1),"")</f>
        <v/>
      </c>
      <c r="G740" t="str">
        <f t="shared" si="81"/>
        <v/>
      </c>
      <c r="H740" t="str">
        <f t="shared" si="82"/>
        <v/>
      </c>
      <c r="I740" t="str">
        <f t="shared" si="83"/>
        <v/>
      </c>
    </row>
    <row r="741" spans="1:9" x14ac:dyDescent="0.4">
      <c r="A741" t="str">
        <f t="shared" si="77"/>
        <v/>
      </c>
      <c r="B741" t="str">
        <f t="shared" si="78"/>
        <v/>
      </c>
      <c r="C741" t="str">
        <f t="shared" si="79"/>
        <v/>
      </c>
      <c r="D741" t="str">
        <f t="shared" si="80"/>
        <v/>
      </c>
      <c r="E741" t="str">
        <f>IF(F741="","",IF(COUNTIF($F$2:F741,F741)&gt;1,"",SUMIFS(tbl_input[필요수량],tbl_input[집계키_센터],F741)))</f>
        <v/>
      </c>
      <c r="F741" t="str">
        <f>IFERROR(INDEX(tbl_input[집계키_센터],ROW()-1),"")</f>
        <v/>
      </c>
      <c r="G741" t="str">
        <f t="shared" si="81"/>
        <v/>
      </c>
      <c r="H741" t="str">
        <f t="shared" si="82"/>
        <v/>
      </c>
      <c r="I741" t="str">
        <f t="shared" si="83"/>
        <v/>
      </c>
    </row>
    <row r="742" spans="1:9" x14ac:dyDescent="0.4">
      <c r="A742" t="str">
        <f t="shared" si="77"/>
        <v/>
      </c>
      <c r="B742" t="str">
        <f t="shared" si="78"/>
        <v/>
      </c>
      <c r="C742" t="str">
        <f t="shared" si="79"/>
        <v/>
      </c>
      <c r="D742" t="str">
        <f t="shared" si="80"/>
        <v/>
      </c>
      <c r="E742" t="str">
        <f>IF(F742="","",IF(COUNTIF($F$2:F742,F742)&gt;1,"",SUMIFS(tbl_input[필요수량],tbl_input[집계키_센터],F742)))</f>
        <v/>
      </c>
      <c r="F742" t="str">
        <f>IFERROR(INDEX(tbl_input[집계키_센터],ROW()-1),"")</f>
        <v/>
      </c>
      <c r="G742" t="str">
        <f t="shared" si="81"/>
        <v/>
      </c>
      <c r="H742" t="str">
        <f t="shared" si="82"/>
        <v/>
      </c>
      <c r="I742" t="str">
        <f t="shared" si="83"/>
        <v/>
      </c>
    </row>
    <row r="743" spans="1:9" x14ac:dyDescent="0.4">
      <c r="A743" t="str">
        <f t="shared" si="77"/>
        <v/>
      </c>
      <c r="B743" t="str">
        <f t="shared" si="78"/>
        <v/>
      </c>
      <c r="C743" t="str">
        <f t="shared" si="79"/>
        <v/>
      </c>
      <c r="D743" t="str">
        <f t="shared" si="80"/>
        <v/>
      </c>
      <c r="E743" t="str">
        <f>IF(F743="","",IF(COUNTIF($F$2:F743,F743)&gt;1,"",SUMIFS(tbl_input[필요수량],tbl_input[집계키_센터],F743)))</f>
        <v/>
      </c>
      <c r="F743" t="str">
        <f>IFERROR(INDEX(tbl_input[집계키_센터],ROW()-1),"")</f>
        <v/>
      </c>
      <c r="G743" t="str">
        <f t="shared" si="81"/>
        <v/>
      </c>
      <c r="H743" t="str">
        <f t="shared" si="82"/>
        <v/>
      </c>
      <c r="I743" t="str">
        <f t="shared" si="83"/>
        <v/>
      </c>
    </row>
    <row r="744" spans="1:9" x14ac:dyDescent="0.4">
      <c r="A744" t="str">
        <f t="shared" si="77"/>
        <v/>
      </c>
      <c r="B744" t="str">
        <f t="shared" si="78"/>
        <v/>
      </c>
      <c r="C744" t="str">
        <f t="shared" si="79"/>
        <v/>
      </c>
      <c r="D744" t="str">
        <f t="shared" si="80"/>
        <v/>
      </c>
      <c r="E744" t="str">
        <f>IF(F744="","",IF(COUNTIF($F$2:F744,F744)&gt;1,"",SUMIFS(tbl_input[필요수량],tbl_input[집계키_센터],F744)))</f>
        <v/>
      </c>
      <c r="F744" t="str">
        <f>IFERROR(INDEX(tbl_input[집계키_센터],ROW()-1),"")</f>
        <v/>
      </c>
      <c r="G744" t="str">
        <f t="shared" si="81"/>
        <v/>
      </c>
      <c r="H744" t="str">
        <f t="shared" si="82"/>
        <v/>
      </c>
      <c r="I744" t="str">
        <f t="shared" si="83"/>
        <v/>
      </c>
    </row>
    <row r="745" spans="1:9" x14ac:dyDescent="0.4">
      <c r="A745" t="str">
        <f t="shared" si="77"/>
        <v/>
      </c>
      <c r="B745" t="str">
        <f t="shared" si="78"/>
        <v/>
      </c>
      <c r="C745" t="str">
        <f t="shared" si="79"/>
        <v/>
      </c>
      <c r="D745" t="str">
        <f t="shared" si="80"/>
        <v/>
      </c>
      <c r="E745" t="str">
        <f>IF(F745="","",IF(COUNTIF($F$2:F745,F745)&gt;1,"",SUMIFS(tbl_input[필요수량],tbl_input[집계키_센터],F745)))</f>
        <v/>
      </c>
      <c r="F745" t="str">
        <f>IFERROR(INDEX(tbl_input[집계키_센터],ROW()-1),"")</f>
        <v/>
      </c>
      <c r="G745" t="str">
        <f t="shared" si="81"/>
        <v/>
      </c>
      <c r="H745" t="str">
        <f t="shared" si="82"/>
        <v/>
      </c>
      <c r="I745" t="str">
        <f t="shared" si="83"/>
        <v/>
      </c>
    </row>
    <row r="746" spans="1:9" x14ac:dyDescent="0.4">
      <c r="A746" t="str">
        <f t="shared" si="77"/>
        <v/>
      </c>
      <c r="B746" t="str">
        <f t="shared" si="78"/>
        <v/>
      </c>
      <c r="C746" t="str">
        <f t="shared" si="79"/>
        <v/>
      </c>
      <c r="D746" t="str">
        <f t="shared" si="80"/>
        <v/>
      </c>
      <c r="E746" t="str">
        <f>IF(F746="","",IF(COUNTIF($F$2:F746,F746)&gt;1,"",SUMIFS(tbl_input[필요수량],tbl_input[집계키_센터],F746)))</f>
        <v/>
      </c>
      <c r="F746" t="str">
        <f>IFERROR(INDEX(tbl_input[집계키_센터],ROW()-1),"")</f>
        <v/>
      </c>
      <c r="G746" t="str">
        <f t="shared" si="81"/>
        <v/>
      </c>
      <c r="H746" t="str">
        <f t="shared" si="82"/>
        <v/>
      </c>
      <c r="I746" t="str">
        <f t="shared" si="83"/>
        <v/>
      </c>
    </row>
    <row r="747" spans="1:9" x14ac:dyDescent="0.4">
      <c r="A747" t="str">
        <f t="shared" si="77"/>
        <v/>
      </c>
      <c r="B747" t="str">
        <f t="shared" si="78"/>
        <v/>
      </c>
      <c r="C747" t="str">
        <f t="shared" si="79"/>
        <v/>
      </c>
      <c r="D747" t="str">
        <f t="shared" si="80"/>
        <v/>
      </c>
      <c r="E747" t="str">
        <f>IF(F747="","",IF(COUNTIF($F$2:F747,F747)&gt;1,"",SUMIFS(tbl_input[필요수량],tbl_input[집계키_센터],F747)))</f>
        <v/>
      </c>
      <c r="F747" t="str">
        <f>IFERROR(INDEX(tbl_input[집계키_센터],ROW()-1),"")</f>
        <v/>
      </c>
      <c r="G747" t="str">
        <f t="shared" si="81"/>
        <v/>
      </c>
      <c r="H747" t="str">
        <f t="shared" si="82"/>
        <v/>
      </c>
      <c r="I747" t="str">
        <f t="shared" si="83"/>
        <v/>
      </c>
    </row>
    <row r="748" spans="1:9" x14ac:dyDescent="0.4">
      <c r="A748" t="str">
        <f t="shared" si="77"/>
        <v/>
      </c>
      <c r="B748" t="str">
        <f t="shared" si="78"/>
        <v/>
      </c>
      <c r="C748" t="str">
        <f t="shared" si="79"/>
        <v/>
      </c>
      <c r="D748" t="str">
        <f t="shared" si="80"/>
        <v/>
      </c>
      <c r="E748" t="str">
        <f>IF(F748="","",IF(COUNTIF($F$2:F748,F748)&gt;1,"",SUMIFS(tbl_input[필요수량],tbl_input[집계키_센터],F748)))</f>
        <v/>
      </c>
      <c r="F748" t="str">
        <f>IFERROR(INDEX(tbl_input[집계키_센터],ROW()-1),"")</f>
        <v/>
      </c>
      <c r="G748" t="str">
        <f t="shared" si="81"/>
        <v/>
      </c>
      <c r="H748" t="str">
        <f t="shared" si="82"/>
        <v/>
      </c>
      <c r="I748" t="str">
        <f t="shared" si="83"/>
        <v/>
      </c>
    </row>
    <row r="749" spans="1:9" x14ac:dyDescent="0.4">
      <c r="A749" t="str">
        <f t="shared" si="77"/>
        <v/>
      </c>
      <c r="B749" t="str">
        <f t="shared" si="78"/>
        <v/>
      </c>
      <c r="C749" t="str">
        <f t="shared" si="79"/>
        <v/>
      </c>
      <c r="D749" t="str">
        <f t="shared" si="80"/>
        <v/>
      </c>
      <c r="E749" t="str">
        <f>IF(F749="","",IF(COUNTIF($F$2:F749,F749)&gt;1,"",SUMIFS(tbl_input[필요수량],tbl_input[집계키_센터],F749)))</f>
        <v/>
      </c>
      <c r="F749" t="str">
        <f>IFERROR(INDEX(tbl_input[집계키_센터],ROW()-1),"")</f>
        <v/>
      </c>
      <c r="G749" t="str">
        <f t="shared" si="81"/>
        <v/>
      </c>
      <c r="H749" t="str">
        <f t="shared" si="82"/>
        <v/>
      </c>
      <c r="I749" t="str">
        <f t="shared" si="83"/>
        <v/>
      </c>
    </row>
    <row r="750" spans="1:9" x14ac:dyDescent="0.4">
      <c r="A750" t="str">
        <f t="shared" si="77"/>
        <v/>
      </c>
      <c r="B750" t="str">
        <f t="shared" si="78"/>
        <v/>
      </c>
      <c r="C750" t="str">
        <f t="shared" si="79"/>
        <v/>
      </c>
      <c r="D750" t="str">
        <f t="shared" si="80"/>
        <v/>
      </c>
      <c r="E750" t="str">
        <f>IF(F750="","",IF(COUNTIF($F$2:F750,F750)&gt;1,"",SUMIFS(tbl_input[필요수량],tbl_input[집계키_센터],F750)))</f>
        <v/>
      </c>
      <c r="F750" t="str">
        <f>IFERROR(INDEX(tbl_input[집계키_센터],ROW()-1),"")</f>
        <v/>
      </c>
      <c r="G750" t="str">
        <f t="shared" si="81"/>
        <v/>
      </c>
      <c r="H750" t="str">
        <f t="shared" si="82"/>
        <v/>
      </c>
      <c r="I750" t="str">
        <f t="shared" si="83"/>
        <v/>
      </c>
    </row>
    <row r="751" spans="1:9" x14ac:dyDescent="0.4">
      <c r="A751" t="str">
        <f t="shared" si="77"/>
        <v/>
      </c>
      <c r="B751" t="str">
        <f t="shared" si="78"/>
        <v/>
      </c>
      <c r="C751" t="str">
        <f t="shared" si="79"/>
        <v/>
      </c>
      <c r="D751" t="str">
        <f t="shared" si="80"/>
        <v/>
      </c>
      <c r="E751" t="str">
        <f>IF(F751="","",IF(COUNTIF($F$2:F751,F751)&gt;1,"",SUMIFS(tbl_input[필요수량],tbl_input[집계키_센터],F751)))</f>
        <v/>
      </c>
      <c r="F751" t="str">
        <f>IFERROR(INDEX(tbl_input[집계키_센터],ROW()-1),"")</f>
        <v/>
      </c>
      <c r="G751" t="str">
        <f t="shared" si="81"/>
        <v/>
      </c>
      <c r="H751" t="str">
        <f t="shared" si="82"/>
        <v/>
      </c>
      <c r="I751" t="str">
        <f t="shared" si="83"/>
        <v/>
      </c>
    </row>
    <row r="752" spans="1:9" x14ac:dyDescent="0.4">
      <c r="A752" t="str">
        <f t="shared" si="77"/>
        <v/>
      </c>
      <c r="B752" t="str">
        <f t="shared" si="78"/>
        <v/>
      </c>
      <c r="C752" t="str">
        <f t="shared" si="79"/>
        <v/>
      </c>
      <c r="D752" t="str">
        <f t="shared" si="80"/>
        <v/>
      </c>
      <c r="E752" t="str">
        <f>IF(F752="","",IF(COUNTIF($F$2:F752,F752)&gt;1,"",SUMIFS(tbl_input[필요수량],tbl_input[집계키_센터],F752)))</f>
        <v/>
      </c>
      <c r="F752" t="str">
        <f>IFERROR(INDEX(tbl_input[집계키_센터],ROW()-1),"")</f>
        <v/>
      </c>
      <c r="G752" t="str">
        <f t="shared" si="81"/>
        <v/>
      </c>
      <c r="H752" t="str">
        <f t="shared" si="82"/>
        <v/>
      </c>
      <c r="I752" t="str">
        <f t="shared" si="83"/>
        <v/>
      </c>
    </row>
    <row r="753" spans="1:9" x14ac:dyDescent="0.4">
      <c r="A753" t="str">
        <f t="shared" si="77"/>
        <v/>
      </c>
      <c r="B753" t="str">
        <f t="shared" si="78"/>
        <v/>
      </c>
      <c r="C753" t="str">
        <f t="shared" si="79"/>
        <v/>
      </c>
      <c r="D753" t="str">
        <f t="shared" si="80"/>
        <v/>
      </c>
      <c r="E753" t="str">
        <f>IF(F753="","",IF(COUNTIF($F$2:F753,F753)&gt;1,"",SUMIFS(tbl_input[필요수량],tbl_input[집계키_센터],F753)))</f>
        <v/>
      </c>
      <c r="F753" t="str">
        <f>IFERROR(INDEX(tbl_input[집계키_센터],ROW()-1),"")</f>
        <v/>
      </c>
      <c r="G753" t="str">
        <f t="shared" si="81"/>
        <v/>
      </c>
      <c r="H753" t="str">
        <f t="shared" si="82"/>
        <v/>
      </c>
      <c r="I753" t="str">
        <f t="shared" si="83"/>
        <v/>
      </c>
    </row>
    <row r="754" spans="1:9" x14ac:dyDescent="0.4">
      <c r="A754" t="str">
        <f t="shared" si="77"/>
        <v/>
      </c>
      <c r="B754" t="str">
        <f t="shared" si="78"/>
        <v/>
      </c>
      <c r="C754" t="str">
        <f t="shared" si="79"/>
        <v/>
      </c>
      <c r="D754" t="str">
        <f t="shared" si="80"/>
        <v/>
      </c>
      <c r="E754" t="str">
        <f>IF(F754="","",IF(COUNTIF($F$2:F754,F754)&gt;1,"",SUMIFS(tbl_input[필요수량],tbl_input[집계키_센터],F754)))</f>
        <v/>
      </c>
      <c r="F754" t="str">
        <f>IFERROR(INDEX(tbl_input[집계키_센터],ROW()-1),"")</f>
        <v/>
      </c>
      <c r="G754" t="str">
        <f t="shared" si="81"/>
        <v/>
      </c>
      <c r="H754" t="str">
        <f t="shared" si="82"/>
        <v/>
      </c>
      <c r="I754" t="str">
        <f t="shared" si="83"/>
        <v/>
      </c>
    </row>
    <row r="755" spans="1:9" x14ac:dyDescent="0.4">
      <c r="A755" t="str">
        <f t="shared" si="77"/>
        <v/>
      </c>
      <c r="B755" t="str">
        <f t="shared" si="78"/>
        <v/>
      </c>
      <c r="C755" t="str">
        <f t="shared" si="79"/>
        <v/>
      </c>
      <c r="D755" t="str">
        <f t="shared" si="80"/>
        <v/>
      </c>
      <c r="E755" t="str">
        <f>IF(F755="","",IF(COUNTIF($F$2:F755,F755)&gt;1,"",SUMIFS(tbl_input[필요수량],tbl_input[집계키_센터],F755)))</f>
        <v/>
      </c>
      <c r="F755" t="str">
        <f>IFERROR(INDEX(tbl_input[집계키_센터],ROW()-1),"")</f>
        <v/>
      </c>
      <c r="G755" t="str">
        <f t="shared" si="81"/>
        <v/>
      </c>
      <c r="H755" t="str">
        <f t="shared" si="82"/>
        <v/>
      </c>
      <c r="I755" t="str">
        <f t="shared" si="83"/>
        <v/>
      </c>
    </row>
    <row r="756" spans="1:9" x14ac:dyDescent="0.4">
      <c r="A756" t="str">
        <f t="shared" si="77"/>
        <v/>
      </c>
      <c r="B756" t="str">
        <f t="shared" si="78"/>
        <v/>
      </c>
      <c r="C756" t="str">
        <f t="shared" si="79"/>
        <v/>
      </c>
      <c r="D756" t="str">
        <f t="shared" si="80"/>
        <v/>
      </c>
      <c r="E756" t="str">
        <f>IF(F756="","",IF(COUNTIF($F$2:F756,F756)&gt;1,"",SUMIFS(tbl_input[필요수량],tbl_input[집계키_센터],F756)))</f>
        <v/>
      </c>
      <c r="F756" t="str">
        <f>IFERROR(INDEX(tbl_input[집계키_센터],ROW()-1),"")</f>
        <v/>
      </c>
      <c r="G756" t="str">
        <f t="shared" si="81"/>
        <v/>
      </c>
      <c r="H756" t="str">
        <f t="shared" si="82"/>
        <v/>
      </c>
      <c r="I756" t="str">
        <f t="shared" si="83"/>
        <v/>
      </c>
    </row>
    <row r="757" spans="1:9" x14ac:dyDescent="0.4">
      <c r="A757" t="str">
        <f t="shared" si="77"/>
        <v/>
      </c>
      <c r="B757" t="str">
        <f t="shared" si="78"/>
        <v/>
      </c>
      <c r="C757" t="str">
        <f t="shared" si="79"/>
        <v/>
      </c>
      <c r="D757" t="str">
        <f t="shared" si="80"/>
        <v/>
      </c>
      <c r="E757" t="str">
        <f>IF(F757="","",IF(COUNTIF($F$2:F757,F757)&gt;1,"",SUMIFS(tbl_input[필요수량],tbl_input[집계키_센터],F757)))</f>
        <v/>
      </c>
      <c r="F757" t="str">
        <f>IFERROR(INDEX(tbl_input[집계키_센터],ROW()-1),"")</f>
        <v/>
      </c>
      <c r="G757" t="str">
        <f t="shared" si="81"/>
        <v/>
      </c>
      <c r="H757" t="str">
        <f t="shared" si="82"/>
        <v/>
      </c>
      <c r="I757" t="str">
        <f t="shared" si="83"/>
        <v/>
      </c>
    </row>
    <row r="758" spans="1:9" x14ac:dyDescent="0.4">
      <c r="A758" t="str">
        <f t="shared" si="77"/>
        <v/>
      </c>
      <c r="B758" t="str">
        <f t="shared" si="78"/>
        <v/>
      </c>
      <c r="C758" t="str">
        <f t="shared" si="79"/>
        <v/>
      </c>
      <c r="D758" t="str">
        <f t="shared" si="80"/>
        <v/>
      </c>
      <c r="E758" t="str">
        <f>IF(F758="","",IF(COUNTIF($F$2:F758,F758)&gt;1,"",SUMIFS(tbl_input[필요수량],tbl_input[집계키_센터],F758)))</f>
        <v/>
      </c>
      <c r="F758" t="str">
        <f>IFERROR(INDEX(tbl_input[집계키_센터],ROW()-1),"")</f>
        <v/>
      </c>
      <c r="G758" t="str">
        <f t="shared" si="81"/>
        <v/>
      </c>
      <c r="H758" t="str">
        <f t="shared" si="82"/>
        <v/>
      </c>
      <c r="I758" t="str">
        <f t="shared" si="83"/>
        <v/>
      </c>
    </row>
    <row r="759" spans="1:9" x14ac:dyDescent="0.4">
      <c r="A759" t="str">
        <f t="shared" si="77"/>
        <v/>
      </c>
      <c r="B759" t="str">
        <f t="shared" si="78"/>
        <v/>
      </c>
      <c r="C759" t="str">
        <f t="shared" si="79"/>
        <v/>
      </c>
      <c r="D759" t="str">
        <f t="shared" si="80"/>
        <v/>
      </c>
      <c r="E759" t="str">
        <f>IF(F759="","",IF(COUNTIF($F$2:F759,F759)&gt;1,"",SUMIFS(tbl_input[필요수량],tbl_input[집계키_센터],F759)))</f>
        <v/>
      </c>
      <c r="F759" t="str">
        <f>IFERROR(INDEX(tbl_input[집계키_센터],ROW()-1),"")</f>
        <v/>
      </c>
      <c r="G759" t="str">
        <f t="shared" si="81"/>
        <v/>
      </c>
      <c r="H759" t="str">
        <f t="shared" si="82"/>
        <v/>
      </c>
      <c r="I759" t="str">
        <f t="shared" si="83"/>
        <v/>
      </c>
    </row>
    <row r="760" spans="1:9" x14ac:dyDescent="0.4">
      <c r="A760" t="str">
        <f t="shared" si="77"/>
        <v/>
      </c>
      <c r="B760" t="str">
        <f t="shared" si="78"/>
        <v/>
      </c>
      <c r="C760" t="str">
        <f t="shared" si="79"/>
        <v/>
      </c>
      <c r="D760" t="str">
        <f t="shared" si="80"/>
        <v/>
      </c>
      <c r="E760" t="str">
        <f>IF(F760="","",IF(COUNTIF($F$2:F760,F760)&gt;1,"",SUMIFS(tbl_input[필요수량],tbl_input[집계키_센터],F760)))</f>
        <v/>
      </c>
      <c r="F760" t="str">
        <f>IFERROR(INDEX(tbl_input[집계키_센터],ROW()-1),"")</f>
        <v/>
      </c>
      <c r="G760" t="str">
        <f t="shared" si="81"/>
        <v/>
      </c>
      <c r="H760" t="str">
        <f t="shared" si="82"/>
        <v/>
      </c>
      <c r="I760" t="str">
        <f t="shared" si="83"/>
        <v/>
      </c>
    </row>
    <row r="761" spans="1:9" x14ac:dyDescent="0.4">
      <c r="A761" t="str">
        <f t="shared" si="77"/>
        <v/>
      </c>
      <c r="B761" t="str">
        <f t="shared" si="78"/>
        <v/>
      </c>
      <c r="C761" t="str">
        <f t="shared" si="79"/>
        <v/>
      </c>
      <c r="D761" t="str">
        <f t="shared" si="80"/>
        <v/>
      </c>
      <c r="E761" t="str">
        <f>IF(F761="","",IF(COUNTIF($F$2:F761,F761)&gt;1,"",SUMIFS(tbl_input[필요수량],tbl_input[집계키_센터],F761)))</f>
        <v/>
      </c>
      <c r="F761" t="str">
        <f>IFERROR(INDEX(tbl_input[집계키_센터],ROW()-1),"")</f>
        <v/>
      </c>
      <c r="G761" t="str">
        <f t="shared" si="81"/>
        <v/>
      </c>
      <c r="H761" t="str">
        <f t="shared" si="82"/>
        <v/>
      </c>
      <c r="I761" t="str">
        <f t="shared" si="83"/>
        <v/>
      </c>
    </row>
    <row r="762" spans="1:9" x14ac:dyDescent="0.4">
      <c r="A762" t="str">
        <f t="shared" si="77"/>
        <v/>
      </c>
      <c r="B762" t="str">
        <f t="shared" si="78"/>
        <v/>
      </c>
      <c r="C762" t="str">
        <f t="shared" si="79"/>
        <v/>
      </c>
      <c r="D762" t="str">
        <f t="shared" si="80"/>
        <v/>
      </c>
      <c r="E762" t="str">
        <f>IF(F762="","",IF(COUNTIF($F$2:F762,F762)&gt;1,"",SUMIFS(tbl_input[필요수량],tbl_input[집계키_센터],F762)))</f>
        <v/>
      </c>
      <c r="F762" t="str">
        <f>IFERROR(INDEX(tbl_input[집계키_센터],ROW()-1),"")</f>
        <v/>
      </c>
      <c r="G762" t="str">
        <f t="shared" si="81"/>
        <v/>
      </c>
      <c r="H762" t="str">
        <f t="shared" si="82"/>
        <v/>
      </c>
      <c r="I762" t="str">
        <f t="shared" si="83"/>
        <v/>
      </c>
    </row>
    <row r="763" spans="1:9" x14ac:dyDescent="0.4">
      <c r="A763" t="str">
        <f t="shared" si="77"/>
        <v/>
      </c>
      <c r="B763" t="str">
        <f t="shared" si="78"/>
        <v/>
      </c>
      <c r="C763" t="str">
        <f t="shared" si="79"/>
        <v/>
      </c>
      <c r="D763" t="str">
        <f t="shared" si="80"/>
        <v/>
      </c>
      <c r="E763" t="str">
        <f>IF(F763="","",IF(COUNTIF($F$2:F763,F763)&gt;1,"",SUMIFS(tbl_input[필요수량],tbl_input[집계키_센터],F763)))</f>
        <v/>
      </c>
      <c r="F763" t="str">
        <f>IFERROR(INDEX(tbl_input[집계키_센터],ROW()-1),"")</f>
        <v/>
      </c>
      <c r="G763" t="str">
        <f t="shared" si="81"/>
        <v/>
      </c>
      <c r="H763" t="str">
        <f t="shared" si="82"/>
        <v/>
      </c>
      <c r="I763" t="str">
        <f t="shared" si="83"/>
        <v/>
      </c>
    </row>
    <row r="764" spans="1:9" x14ac:dyDescent="0.4">
      <c r="A764" t="str">
        <f t="shared" si="77"/>
        <v/>
      </c>
      <c r="B764" t="str">
        <f t="shared" si="78"/>
        <v/>
      </c>
      <c r="C764" t="str">
        <f t="shared" si="79"/>
        <v/>
      </c>
      <c r="D764" t="str">
        <f t="shared" si="80"/>
        <v/>
      </c>
      <c r="E764" t="str">
        <f>IF(F764="","",IF(COUNTIF($F$2:F764,F764)&gt;1,"",SUMIFS(tbl_input[필요수량],tbl_input[집계키_센터],F764)))</f>
        <v/>
      </c>
      <c r="F764" t="str">
        <f>IFERROR(INDEX(tbl_input[집계키_센터],ROW()-1),"")</f>
        <v/>
      </c>
      <c r="G764" t="str">
        <f t="shared" si="81"/>
        <v/>
      </c>
      <c r="H764" t="str">
        <f t="shared" si="82"/>
        <v/>
      </c>
      <c r="I764" t="str">
        <f t="shared" si="83"/>
        <v/>
      </c>
    </row>
    <row r="765" spans="1:9" x14ac:dyDescent="0.4">
      <c r="A765" t="str">
        <f t="shared" si="77"/>
        <v/>
      </c>
      <c r="B765" t="str">
        <f t="shared" si="78"/>
        <v/>
      </c>
      <c r="C765" t="str">
        <f t="shared" si="79"/>
        <v/>
      </c>
      <c r="D765" t="str">
        <f t="shared" si="80"/>
        <v/>
      </c>
      <c r="E765" t="str">
        <f>IF(F765="","",IF(COUNTIF($F$2:F765,F765)&gt;1,"",SUMIFS(tbl_input[필요수량],tbl_input[집계키_센터],F765)))</f>
        <v/>
      </c>
      <c r="F765" t="str">
        <f>IFERROR(INDEX(tbl_input[집계키_센터],ROW()-1),"")</f>
        <v/>
      </c>
      <c r="G765" t="str">
        <f t="shared" si="81"/>
        <v/>
      </c>
      <c r="H765" t="str">
        <f t="shared" si="82"/>
        <v/>
      </c>
      <c r="I765" t="str">
        <f t="shared" si="83"/>
        <v/>
      </c>
    </row>
    <row r="766" spans="1:9" x14ac:dyDescent="0.4">
      <c r="A766" t="str">
        <f t="shared" si="77"/>
        <v/>
      </c>
      <c r="B766" t="str">
        <f t="shared" si="78"/>
        <v/>
      </c>
      <c r="C766" t="str">
        <f t="shared" si="79"/>
        <v/>
      </c>
      <c r="D766" t="str">
        <f t="shared" si="80"/>
        <v/>
      </c>
      <c r="E766" t="str">
        <f>IF(F766="","",IF(COUNTIF($F$2:F766,F766)&gt;1,"",SUMIFS(tbl_input[필요수량],tbl_input[집계키_센터],F766)))</f>
        <v/>
      </c>
      <c r="F766" t="str">
        <f>IFERROR(INDEX(tbl_input[집계키_센터],ROW()-1),"")</f>
        <v/>
      </c>
      <c r="G766" t="str">
        <f t="shared" si="81"/>
        <v/>
      </c>
      <c r="H766" t="str">
        <f t="shared" si="82"/>
        <v/>
      </c>
      <c r="I766" t="str">
        <f t="shared" si="83"/>
        <v/>
      </c>
    </row>
    <row r="767" spans="1:9" x14ac:dyDescent="0.4">
      <c r="A767" t="str">
        <f t="shared" si="77"/>
        <v/>
      </c>
      <c r="B767" t="str">
        <f t="shared" si="78"/>
        <v/>
      </c>
      <c r="C767" t="str">
        <f t="shared" si="79"/>
        <v/>
      </c>
      <c r="D767" t="str">
        <f t="shared" si="80"/>
        <v/>
      </c>
      <c r="E767" t="str">
        <f>IF(F767="","",IF(COUNTIF($F$2:F767,F767)&gt;1,"",SUMIFS(tbl_input[필요수량],tbl_input[집계키_센터],F767)))</f>
        <v/>
      </c>
      <c r="F767" t="str">
        <f>IFERROR(INDEX(tbl_input[집계키_센터],ROW()-1),"")</f>
        <v/>
      </c>
      <c r="G767" t="str">
        <f t="shared" si="81"/>
        <v/>
      </c>
      <c r="H767" t="str">
        <f t="shared" si="82"/>
        <v/>
      </c>
      <c r="I767" t="str">
        <f t="shared" si="83"/>
        <v/>
      </c>
    </row>
    <row r="768" spans="1:9" x14ac:dyDescent="0.4">
      <c r="A768" t="str">
        <f t="shared" si="77"/>
        <v/>
      </c>
      <c r="B768" t="str">
        <f t="shared" si="78"/>
        <v/>
      </c>
      <c r="C768" t="str">
        <f t="shared" si="79"/>
        <v/>
      </c>
      <c r="D768" t="str">
        <f t="shared" si="80"/>
        <v/>
      </c>
      <c r="E768" t="str">
        <f>IF(F768="","",IF(COUNTIF($F$2:F768,F768)&gt;1,"",SUMIFS(tbl_input[필요수량],tbl_input[집계키_센터],F768)))</f>
        <v/>
      </c>
      <c r="F768" t="str">
        <f>IFERROR(INDEX(tbl_input[집계키_센터],ROW()-1),"")</f>
        <v/>
      </c>
      <c r="G768" t="str">
        <f t="shared" si="81"/>
        <v/>
      </c>
      <c r="H768" t="str">
        <f t="shared" si="82"/>
        <v/>
      </c>
      <c r="I768" t="str">
        <f t="shared" si="83"/>
        <v/>
      </c>
    </row>
    <row r="769" spans="1:9" x14ac:dyDescent="0.4">
      <c r="A769" t="str">
        <f t="shared" si="77"/>
        <v/>
      </c>
      <c r="B769" t="str">
        <f t="shared" si="78"/>
        <v/>
      </c>
      <c r="C769" t="str">
        <f t="shared" si="79"/>
        <v/>
      </c>
      <c r="D769" t="str">
        <f t="shared" si="80"/>
        <v/>
      </c>
      <c r="E769" t="str">
        <f>IF(F769="","",IF(COUNTIF($F$2:F769,F769)&gt;1,"",SUMIFS(tbl_input[필요수량],tbl_input[집계키_센터],F769)))</f>
        <v/>
      </c>
      <c r="F769" t="str">
        <f>IFERROR(INDEX(tbl_input[집계키_센터],ROW()-1),"")</f>
        <v/>
      </c>
      <c r="G769" t="str">
        <f t="shared" si="81"/>
        <v/>
      </c>
      <c r="H769" t="str">
        <f t="shared" si="82"/>
        <v/>
      </c>
      <c r="I769" t="str">
        <f t="shared" si="83"/>
        <v/>
      </c>
    </row>
    <row r="770" spans="1:9" x14ac:dyDescent="0.4">
      <c r="A770" t="str">
        <f t="shared" ref="A770:A833" si="84">IF(F770="","",LEFT(F770,G770-1))</f>
        <v/>
      </c>
      <c r="B770" t="str">
        <f t="shared" ref="B770:B833" si="85">IF(F770="","",MID(F770,G770+1,H770-G770-1))</f>
        <v/>
      </c>
      <c r="C770" t="str">
        <f t="shared" ref="C770:C833" si="86">IF(F770="","",MID(F770,H770+1,I770-H770-1))</f>
        <v/>
      </c>
      <c r="D770" t="str">
        <f t="shared" ref="D770:D833" si="87">IF(F770="","",MID(F770,I770+1,999))</f>
        <v/>
      </c>
      <c r="E770" t="str">
        <f>IF(F770="","",IF(COUNTIF($F$2:F770,F770)&gt;1,"",SUMIFS(tbl_input[필요수량],tbl_input[집계키_센터],F770)))</f>
        <v/>
      </c>
      <c r="F770" t="str">
        <f>IFERROR(INDEX(tbl_input[집계키_센터],ROW()-1),"")</f>
        <v/>
      </c>
      <c r="G770" t="str">
        <f t="shared" ref="G770:G833" si="88">IF(F770="","",FIND("♦",F770))</f>
        <v/>
      </c>
      <c r="H770" t="str">
        <f t="shared" ref="H770:H833" si="89">IF(F770="","",FIND("♦",F770,G770+1))</f>
        <v/>
      </c>
      <c r="I770" t="str">
        <f t="shared" ref="I770:I833" si="90">IF(F770="","",FIND("♦",F770,H770+1))</f>
        <v/>
      </c>
    </row>
    <row r="771" spans="1:9" x14ac:dyDescent="0.4">
      <c r="A771" t="str">
        <f t="shared" si="84"/>
        <v/>
      </c>
      <c r="B771" t="str">
        <f t="shared" si="85"/>
        <v/>
      </c>
      <c r="C771" t="str">
        <f t="shared" si="86"/>
        <v/>
      </c>
      <c r="D771" t="str">
        <f t="shared" si="87"/>
        <v/>
      </c>
      <c r="E771" t="str">
        <f>IF(F771="","",IF(COUNTIF($F$2:F771,F771)&gt;1,"",SUMIFS(tbl_input[필요수량],tbl_input[집계키_센터],F771)))</f>
        <v/>
      </c>
      <c r="F771" t="str">
        <f>IFERROR(INDEX(tbl_input[집계키_센터],ROW()-1),"")</f>
        <v/>
      </c>
      <c r="G771" t="str">
        <f t="shared" si="88"/>
        <v/>
      </c>
      <c r="H771" t="str">
        <f t="shared" si="89"/>
        <v/>
      </c>
      <c r="I771" t="str">
        <f t="shared" si="90"/>
        <v/>
      </c>
    </row>
    <row r="772" spans="1:9" x14ac:dyDescent="0.4">
      <c r="A772" t="str">
        <f t="shared" si="84"/>
        <v/>
      </c>
      <c r="B772" t="str">
        <f t="shared" si="85"/>
        <v/>
      </c>
      <c r="C772" t="str">
        <f t="shared" si="86"/>
        <v/>
      </c>
      <c r="D772" t="str">
        <f t="shared" si="87"/>
        <v/>
      </c>
      <c r="E772" t="str">
        <f>IF(F772="","",IF(COUNTIF($F$2:F772,F772)&gt;1,"",SUMIFS(tbl_input[필요수량],tbl_input[집계키_센터],F772)))</f>
        <v/>
      </c>
      <c r="F772" t="str">
        <f>IFERROR(INDEX(tbl_input[집계키_센터],ROW()-1),"")</f>
        <v/>
      </c>
      <c r="G772" t="str">
        <f t="shared" si="88"/>
        <v/>
      </c>
      <c r="H772" t="str">
        <f t="shared" si="89"/>
        <v/>
      </c>
      <c r="I772" t="str">
        <f t="shared" si="90"/>
        <v/>
      </c>
    </row>
    <row r="773" spans="1:9" x14ac:dyDescent="0.4">
      <c r="A773" t="str">
        <f t="shared" si="84"/>
        <v/>
      </c>
      <c r="B773" t="str">
        <f t="shared" si="85"/>
        <v/>
      </c>
      <c r="C773" t="str">
        <f t="shared" si="86"/>
        <v/>
      </c>
      <c r="D773" t="str">
        <f t="shared" si="87"/>
        <v/>
      </c>
      <c r="E773" t="str">
        <f>IF(F773="","",IF(COUNTIF($F$2:F773,F773)&gt;1,"",SUMIFS(tbl_input[필요수량],tbl_input[집계키_센터],F773)))</f>
        <v/>
      </c>
      <c r="F773" t="str">
        <f>IFERROR(INDEX(tbl_input[집계키_센터],ROW()-1),"")</f>
        <v/>
      </c>
      <c r="G773" t="str">
        <f t="shared" si="88"/>
        <v/>
      </c>
      <c r="H773" t="str">
        <f t="shared" si="89"/>
        <v/>
      </c>
      <c r="I773" t="str">
        <f t="shared" si="90"/>
        <v/>
      </c>
    </row>
    <row r="774" spans="1:9" x14ac:dyDescent="0.4">
      <c r="A774" t="str">
        <f t="shared" si="84"/>
        <v/>
      </c>
      <c r="B774" t="str">
        <f t="shared" si="85"/>
        <v/>
      </c>
      <c r="C774" t="str">
        <f t="shared" si="86"/>
        <v/>
      </c>
      <c r="D774" t="str">
        <f t="shared" si="87"/>
        <v/>
      </c>
      <c r="E774" t="str">
        <f>IF(F774="","",IF(COUNTIF($F$2:F774,F774)&gt;1,"",SUMIFS(tbl_input[필요수량],tbl_input[집계키_센터],F774)))</f>
        <v/>
      </c>
      <c r="F774" t="str">
        <f>IFERROR(INDEX(tbl_input[집계키_센터],ROW()-1),"")</f>
        <v/>
      </c>
      <c r="G774" t="str">
        <f t="shared" si="88"/>
        <v/>
      </c>
      <c r="H774" t="str">
        <f t="shared" si="89"/>
        <v/>
      </c>
      <c r="I774" t="str">
        <f t="shared" si="90"/>
        <v/>
      </c>
    </row>
    <row r="775" spans="1:9" x14ac:dyDescent="0.4">
      <c r="A775" t="str">
        <f t="shared" si="84"/>
        <v/>
      </c>
      <c r="B775" t="str">
        <f t="shared" si="85"/>
        <v/>
      </c>
      <c r="C775" t="str">
        <f t="shared" si="86"/>
        <v/>
      </c>
      <c r="D775" t="str">
        <f t="shared" si="87"/>
        <v/>
      </c>
      <c r="E775" t="str">
        <f>IF(F775="","",IF(COUNTIF($F$2:F775,F775)&gt;1,"",SUMIFS(tbl_input[필요수량],tbl_input[집계키_센터],F775)))</f>
        <v/>
      </c>
      <c r="F775" t="str">
        <f>IFERROR(INDEX(tbl_input[집계키_센터],ROW()-1),"")</f>
        <v/>
      </c>
      <c r="G775" t="str">
        <f t="shared" si="88"/>
        <v/>
      </c>
      <c r="H775" t="str">
        <f t="shared" si="89"/>
        <v/>
      </c>
      <c r="I775" t="str">
        <f t="shared" si="90"/>
        <v/>
      </c>
    </row>
    <row r="776" spans="1:9" x14ac:dyDescent="0.4">
      <c r="A776" t="str">
        <f t="shared" si="84"/>
        <v/>
      </c>
      <c r="B776" t="str">
        <f t="shared" si="85"/>
        <v/>
      </c>
      <c r="C776" t="str">
        <f t="shared" si="86"/>
        <v/>
      </c>
      <c r="D776" t="str">
        <f t="shared" si="87"/>
        <v/>
      </c>
      <c r="E776" t="str">
        <f>IF(F776="","",IF(COUNTIF($F$2:F776,F776)&gt;1,"",SUMIFS(tbl_input[필요수량],tbl_input[집계키_센터],F776)))</f>
        <v/>
      </c>
      <c r="F776" t="str">
        <f>IFERROR(INDEX(tbl_input[집계키_센터],ROW()-1),"")</f>
        <v/>
      </c>
      <c r="G776" t="str">
        <f t="shared" si="88"/>
        <v/>
      </c>
      <c r="H776" t="str">
        <f t="shared" si="89"/>
        <v/>
      </c>
      <c r="I776" t="str">
        <f t="shared" si="90"/>
        <v/>
      </c>
    </row>
    <row r="777" spans="1:9" x14ac:dyDescent="0.4">
      <c r="A777" t="str">
        <f t="shared" si="84"/>
        <v/>
      </c>
      <c r="B777" t="str">
        <f t="shared" si="85"/>
        <v/>
      </c>
      <c r="C777" t="str">
        <f t="shared" si="86"/>
        <v/>
      </c>
      <c r="D777" t="str">
        <f t="shared" si="87"/>
        <v/>
      </c>
      <c r="E777" t="str">
        <f>IF(F777="","",IF(COUNTIF($F$2:F777,F777)&gt;1,"",SUMIFS(tbl_input[필요수량],tbl_input[집계키_센터],F777)))</f>
        <v/>
      </c>
      <c r="F777" t="str">
        <f>IFERROR(INDEX(tbl_input[집계키_센터],ROW()-1),"")</f>
        <v/>
      </c>
      <c r="G777" t="str">
        <f t="shared" si="88"/>
        <v/>
      </c>
      <c r="H777" t="str">
        <f t="shared" si="89"/>
        <v/>
      </c>
      <c r="I777" t="str">
        <f t="shared" si="90"/>
        <v/>
      </c>
    </row>
    <row r="778" spans="1:9" x14ac:dyDescent="0.4">
      <c r="A778" t="str">
        <f t="shared" si="84"/>
        <v/>
      </c>
      <c r="B778" t="str">
        <f t="shared" si="85"/>
        <v/>
      </c>
      <c r="C778" t="str">
        <f t="shared" si="86"/>
        <v/>
      </c>
      <c r="D778" t="str">
        <f t="shared" si="87"/>
        <v/>
      </c>
      <c r="E778" t="str">
        <f>IF(F778="","",IF(COUNTIF($F$2:F778,F778)&gt;1,"",SUMIFS(tbl_input[필요수량],tbl_input[집계키_센터],F778)))</f>
        <v/>
      </c>
      <c r="F778" t="str">
        <f>IFERROR(INDEX(tbl_input[집계키_센터],ROW()-1),"")</f>
        <v/>
      </c>
      <c r="G778" t="str">
        <f t="shared" si="88"/>
        <v/>
      </c>
      <c r="H778" t="str">
        <f t="shared" si="89"/>
        <v/>
      </c>
      <c r="I778" t="str">
        <f t="shared" si="90"/>
        <v/>
      </c>
    </row>
    <row r="779" spans="1:9" x14ac:dyDescent="0.4">
      <c r="A779" t="str">
        <f t="shared" si="84"/>
        <v/>
      </c>
      <c r="B779" t="str">
        <f t="shared" si="85"/>
        <v/>
      </c>
      <c r="C779" t="str">
        <f t="shared" si="86"/>
        <v/>
      </c>
      <c r="D779" t="str">
        <f t="shared" si="87"/>
        <v/>
      </c>
      <c r="E779" t="str">
        <f>IF(F779="","",IF(COUNTIF($F$2:F779,F779)&gt;1,"",SUMIFS(tbl_input[필요수량],tbl_input[집계키_센터],F779)))</f>
        <v/>
      </c>
      <c r="F779" t="str">
        <f>IFERROR(INDEX(tbl_input[집계키_센터],ROW()-1),"")</f>
        <v/>
      </c>
      <c r="G779" t="str">
        <f t="shared" si="88"/>
        <v/>
      </c>
      <c r="H779" t="str">
        <f t="shared" si="89"/>
        <v/>
      </c>
      <c r="I779" t="str">
        <f t="shared" si="90"/>
        <v/>
      </c>
    </row>
    <row r="780" spans="1:9" x14ac:dyDescent="0.4">
      <c r="A780" t="str">
        <f t="shared" si="84"/>
        <v/>
      </c>
      <c r="B780" t="str">
        <f t="shared" si="85"/>
        <v/>
      </c>
      <c r="C780" t="str">
        <f t="shared" si="86"/>
        <v/>
      </c>
      <c r="D780" t="str">
        <f t="shared" si="87"/>
        <v/>
      </c>
      <c r="E780" t="str">
        <f>IF(F780="","",IF(COUNTIF($F$2:F780,F780)&gt;1,"",SUMIFS(tbl_input[필요수량],tbl_input[집계키_센터],F780)))</f>
        <v/>
      </c>
      <c r="F780" t="str">
        <f>IFERROR(INDEX(tbl_input[집계키_센터],ROW()-1),"")</f>
        <v/>
      </c>
      <c r="G780" t="str">
        <f t="shared" si="88"/>
        <v/>
      </c>
      <c r="H780" t="str">
        <f t="shared" si="89"/>
        <v/>
      </c>
      <c r="I780" t="str">
        <f t="shared" si="90"/>
        <v/>
      </c>
    </row>
    <row r="781" spans="1:9" x14ac:dyDescent="0.4">
      <c r="A781" t="str">
        <f t="shared" si="84"/>
        <v/>
      </c>
      <c r="B781" t="str">
        <f t="shared" si="85"/>
        <v/>
      </c>
      <c r="C781" t="str">
        <f t="shared" si="86"/>
        <v/>
      </c>
      <c r="D781" t="str">
        <f t="shared" si="87"/>
        <v/>
      </c>
      <c r="E781" t="str">
        <f>IF(F781="","",IF(COUNTIF($F$2:F781,F781)&gt;1,"",SUMIFS(tbl_input[필요수량],tbl_input[집계키_센터],F781)))</f>
        <v/>
      </c>
      <c r="F781" t="str">
        <f>IFERROR(INDEX(tbl_input[집계키_센터],ROW()-1),"")</f>
        <v/>
      </c>
      <c r="G781" t="str">
        <f t="shared" si="88"/>
        <v/>
      </c>
      <c r="H781" t="str">
        <f t="shared" si="89"/>
        <v/>
      </c>
      <c r="I781" t="str">
        <f t="shared" si="90"/>
        <v/>
      </c>
    </row>
    <row r="782" spans="1:9" x14ac:dyDescent="0.4">
      <c r="A782" t="str">
        <f t="shared" si="84"/>
        <v/>
      </c>
      <c r="B782" t="str">
        <f t="shared" si="85"/>
        <v/>
      </c>
      <c r="C782" t="str">
        <f t="shared" si="86"/>
        <v/>
      </c>
      <c r="D782" t="str">
        <f t="shared" si="87"/>
        <v/>
      </c>
      <c r="E782" t="str">
        <f>IF(F782="","",IF(COUNTIF($F$2:F782,F782)&gt;1,"",SUMIFS(tbl_input[필요수량],tbl_input[집계키_센터],F782)))</f>
        <v/>
      </c>
      <c r="F782" t="str">
        <f>IFERROR(INDEX(tbl_input[집계키_센터],ROW()-1),"")</f>
        <v/>
      </c>
      <c r="G782" t="str">
        <f t="shared" si="88"/>
        <v/>
      </c>
      <c r="H782" t="str">
        <f t="shared" si="89"/>
        <v/>
      </c>
      <c r="I782" t="str">
        <f t="shared" si="90"/>
        <v/>
      </c>
    </row>
    <row r="783" spans="1:9" x14ac:dyDescent="0.4">
      <c r="A783" t="str">
        <f t="shared" si="84"/>
        <v/>
      </c>
      <c r="B783" t="str">
        <f t="shared" si="85"/>
        <v/>
      </c>
      <c r="C783" t="str">
        <f t="shared" si="86"/>
        <v/>
      </c>
      <c r="D783" t="str">
        <f t="shared" si="87"/>
        <v/>
      </c>
      <c r="E783" t="str">
        <f>IF(F783="","",IF(COUNTIF($F$2:F783,F783)&gt;1,"",SUMIFS(tbl_input[필요수량],tbl_input[집계키_센터],F783)))</f>
        <v/>
      </c>
      <c r="F783" t="str">
        <f>IFERROR(INDEX(tbl_input[집계키_센터],ROW()-1),"")</f>
        <v/>
      </c>
      <c r="G783" t="str">
        <f t="shared" si="88"/>
        <v/>
      </c>
      <c r="H783" t="str">
        <f t="shared" si="89"/>
        <v/>
      </c>
      <c r="I783" t="str">
        <f t="shared" si="90"/>
        <v/>
      </c>
    </row>
    <row r="784" spans="1:9" x14ac:dyDescent="0.4">
      <c r="A784" t="str">
        <f t="shared" si="84"/>
        <v/>
      </c>
      <c r="B784" t="str">
        <f t="shared" si="85"/>
        <v/>
      </c>
      <c r="C784" t="str">
        <f t="shared" si="86"/>
        <v/>
      </c>
      <c r="D784" t="str">
        <f t="shared" si="87"/>
        <v/>
      </c>
      <c r="E784" t="str">
        <f>IF(F784="","",IF(COUNTIF($F$2:F784,F784)&gt;1,"",SUMIFS(tbl_input[필요수량],tbl_input[집계키_센터],F784)))</f>
        <v/>
      </c>
      <c r="F784" t="str">
        <f>IFERROR(INDEX(tbl_input[집계키_센터],ROW()-1),"")</f>
        <v/>
      </c>
      <c r="G784" t="str">
        <f t="shared" si="88"/>
        <v/>
      </c>
      <c r="H784" t="str">
        <f t="shared" si="89"/>
        <v/>
      </c>
      <c r="I784" t="str">
        <f t="shared" si="90"/>
        <v/>
      </c>
    </row>
    <row r="785" spans="1:9" x14ac:dyDescent="0.4">
      <c r="A785" t="str">
        <f t="shared" si="84"/>
        <v/>
      </c>
      <c r="B785" t="str">
        <f t="shared" si="85"/>
        <v/>
      </c>
      <c r="C785" t="str">
        <f t="shared" si="86"/>
        <v/>
      </c>
      <c r="D785" t="str">
        <f t="shared" si="87"/>
        <v/>
      </c>
      <c r="E785" t="str">
        <f>IF(F785="","",IF(COUNTIF($F$2:F785,F785)&gt;1,"",SUMIFS(tbl_input[필요수량],tbl_input[집계키_센터],F785)))</f>
        <v/>
      </c>
      <c r="F785" t="str">
        <f>IFERROR(INDEX(tbl_input[집계키_센터],ROW()-1),"")</f>
        <v/>
      </c>
      <c r="G785" t="str">
        <f t="shared" si="88"/>
        <v/>
      </c>
      <c r="H785" t="str">
        <f t="shared" si="89"/>
        <v/>
      </c>
      <c r="I785" t="str">
        <f t="shared" si="90"/>
        <v/>
      </c>
    </row>
    <row r="786" spans="1:9" x14ac:dyDescent="0.4">
      <c r="A786" t="str">
        <f t="shared" si="84"/>
        <v/>
      </c>
      <c r="B786" t="str">
        <f t="shared" si="85"/>
        <v/>
      </c>
      <c r="C786" t="str">
        <f t="shared" si="86"/>
        <v/>
      </c>
      <c r="D786" t="str">
        <f t="shared" si="87"/>
        <v/>
      </c>
      <c r="E786" t="str">
        <f>IF(F786="","",IF(COUNTIF($F$2:F786,F786)&gt;1,"",SUMIFS(tbl_input[필요수량],tbl_input[집계키_센터],F786)))</f>
        <v/>
      </c>
      <c r="F786" t="str">
        <f>IFERROR(INDEX(tbl_input[집계키_센터],ROW()-1),"")</f>
        <v/>
      </c>
      <c r="G786" t="str">
        <f t="shared" si="88"/>
        <v/>
      </c>
      <c r="H786" t="str">
        <f t="shared" si="89"/>
        <v/>
      </c>
      <c r="I786" t="str">
        <f t="shared" si="90"/>
        <v/>
      </c>
    </row>
    <row r="787" spans="1:9" x14ac:dyDescent="0.4">
      <c r="A787" t="str">
        <f t="shared" si="84"/>
        <v/>
      </c>
      <c r="B787" t="str">
        <f t="shared" si="85"/>
        <v/>
      </c>
      <c r="C787" t="str">
        <f t="shared" si="86"/>
        <v/>
      </c>
      <c r="D787" t="str">
        <f t="shared" si="87"/>
        <v/>
      </c>
      <c r="E787" t="str">
        <f>IF(F787="","",IF(COUNTIF($F$2:F787,F787)&gt;1,"",SUMIFS(tbl_input[필요수량],tbl_input[집계키_센터],F787)))</f>
        <v/>
      </c>
      <c r="F787" t="str">
        <f>IFERROR(INDEX(tbl_input[집계키_센터],ROW()-1),"")</f>
        <v/>
      </c>
      <c r="G787" t="str">
        <f t="shared" si="88"/>
        <v/>
      </c>
      <c r="H787" t="str">
        <f t="shared" si="89"/>
        <v/>
      </c>
      <c r="I787" t="str">
        <f t="shared" si="90"/>
        <v/>
      </c>
    </row>
    <row r="788" spans="1:9" x14ac:dyDescent="0.4">
      <c r="A788" t="str">
        <f t="shared" si="84"/>
        <v/>
      </c>
      <c r="B788" t="str">
        <f t="shared" si="85"/>
        <v/>
      </c>
      <c r="C788" t="str">
        <f t="shared" si="86"/>
        <v/>
      </c>
      <c r="D788" t="str">
        <f t="shared" si="87"/>
        <v/>
      </c>
      <c r="E788" t="str">
        <f>IF(F788="","",IF(COUNTIF($F$2:F788,F788)&gt;1,"",SUMIFS(tbl_input[필요수량],tbl_input[집계키_센터],F788)))</f>
        <v/>
      </c>
      <c r="F788" t="str">
        <f>IFERROR(INDEX(tbl_input[집계키_센터],ROW()-1),"")</f>
        <v/>
      </c>
      <c r="G788" t="str">
        <f t="shared" si="88"/>
        <v/>
      </c>
      <c r="H788" t="str">
        <f t="shared" si="89"/>
        <v/>
      </c>
      <c r="I788" t="str">
        <f t="shared" si="90"/>
        <v/>
      </c>
    </row>
    <row r="789" spans="1:9" x14ac:dyDescent="0.4">
      <c r="A789" t="str">
        <f t="shared" si="84"/>
        <v/>
      </c>
      <c r="B789" t="str">
        <f t="shared" si="85"/>
        <v/>
      </c>
      <c r="C789" t="str">
        <f t="shared" si="86"/>
        <v/>
      </c>
      <c r="D789" t="str">
        <f t="shared" si="87"/>
        <v/>
      </c>
      <c r="E789" t="str">
        <f>IF(F789="","",IF(COUNTIF($F$2:F789,F789)&gt;1,"",SUMIFS(tbl_input[필요수량],tbl_input[집계키_센터],F789)))</f>
        <v/>
      </c>
      <c r="F789" t="str">
        <f>IFERROR(INDEX(tbl_input[집계키_센터],ROW()-1),"")</f>
        <v/>
      </c>
      <c r="G789" t="str">
        <f t="shared" si="88"/>
        <v/>
      </c>
      <c r="H789" t="str">
        <f t="shared" si="89"/>
        <v/>
      </c>
      <c r="I789" t="str">
        <f t="shared" si="90"/>
        <v/>
      </c>
    </row>
    <row r="790" spans="1:9" x14ac:dyDescent="0.4">
      <c r="A790" t="str">
        <f t="shared" si="84"/>
        <v/>
      </c>
      <c r="B790" t="str">
        <f t="shared" si="85"/>
        <v/>
      </c>
      <c r="C790" t="str">
        <f t="shared" si="86"/>
        <v/>
      </c>
      <c r="D790" t="str">
        <f t="shared" si="87"/>
        <v/>
      </c>
      <c r="E790" t="str">
        <f>IF(F790="","",IF(COUNTIF($F$2:F790,F790)&gt;1,"",SUMIFS(tbl_input[필요수량],tbl_input[집계키_센터],F790)))</f>
        <v/>
      </c>
      <c r="F790" t="str">
        <f>IFERROR(INDEX(tbl_input[집계키_센터],ROW()-1),"")</f>
        <v/>
      </c>
      <c r="G790" t="str">
        <f t="shared" si="88"/>
        <v/>
      </c>
      <c r="H790" t="str">
        <f t="shared" si="89"/>
        <v/>
      </c>
      <c r="I790" t="str">
        <f t="shared" si="90"/>
        <v/>
      </c>
    </row>
    <row r="791" spans="1:9" x14ac:dyDescent="0.4">
      <c r="A791" t="str">
        <f t="shared" si="84"/>
        <v/>
      </c>
      <c r="B791" t="str">
        <f t="shared" si="85"/>
        <v/>
      </c>
      <c r="C791" t="str">
        <f t="shared" si="86"/>
        <v/>
      </c>
      <c r="D791" t="str">
        <f t="shared" si="87"/>
        <v/>
      </c>
      <c r="E791" t="str">
        <f>IF(F791="","",IF(COUNTIF($F$2:F791,F791)&gt;1,"",SUMIFS(tbl_input[필요수량],tbl_input[집계키_센터],F791)))</f>
        <v/>
      </c>
      <c r="F791" t="str">
        <f>IFERROR(INDEX(tbl_input[집계키_센터],ROW()-1),"")</f>
        <v/>
      </c>
      <c r="G791" t="str">
        <f t="shared" si="88"/>
        <v/>
      </c>
      <c r="H791" t="str">
        <f t="shared" si="89"/>
        <v/>
      </c>
      <c r="I791" t="str">
        <f t="shared" si="90"/>
        <v/>
      </c>
    </row>
    <row r="792" spans="1:9" x14ac:dyDescent="0.4">
      <c r="A792" t="str">
        <f t="shared" si="84"/>
        <v/>
      </c>
      <c r="B792" t="str">
        <f t="shared" si="85"/>
        <v/>
      </c>
      <c r="C792" t="str">
        <f t="shared" si="86"/>
        <v/>
      </c>
      <c r="D792" t="str">
        <f t="shared" si="87"/>
        <v/>
      </c>
      <c r="E792" t="str">
        <f>IF(F792="","",IF(COUNTIF($F$2:F792,F792)&gt;1,"",SUMIFS(tbl_input[필요수량],tbl_input[집계키_센터],F792)))</f>
        <v/>
      </c>
      <c r="F792" t="str">
        <f>IFERROR(INDEX(tbl_input[집계키_센터],ROW()-1),"")</f>
        <v/>
      </c>
      <c r="G792" t="str">
        <f t="shared" si="88"/>
        <v/>
      </c>
      <c r="H792" t="str">
        <f t="shared" si="89"/>
        <v/>
      </c>
      <c r="I792" t="str">
        <f t="shared" si="90"/>
        <v/>
      </c>
    </row>
    <row r="793" spans="1:9" x14ac:dyDescent="0.4">
      <c r="A793" t="str">
        <f t="shared" si="84"/>
        <v/>
      </c>
      <c r="B793" t="str">
        <f t="shared" si="85"/>
        <v/>
      </c>
      <c r="C793" t="str">
        <f t="shared" si="86"/>
        <v/>
      </c>
      <c r="D793" t="str">
        <f t="shared" si="87"/>
        <v/>
      </c>
      <c r="E793" t="str">
        <f>IF(F793="","",IF(COUNTIF($F$2:F793,F793)&gt;1,"",SUMIFS(tbl_input[필요수량],tbl_input[집계키_센터],F793)))</f>
        <v/>
      </c>
      <c r="F793" t="str">
        <f>IFERROR(INDEX(tbl_input[집계키_센터],ROW()-1),"")</f>
        <v/>
      </c>
      <c r="G793" t="str">
        <f t="shared" si="88"/>
        <v/>
      </c>
      <c r="H793" t="str">
        <f t="shared" si="89"/>
        <v/>
      </c>
      <c r="I793" t="str">
        <f t="shared" si="90"/>
        <v/>
      </c>
    </row>
    <row r="794" spans="1:9" x14ac:dyDescent="0.4">
      <c r="A794" t="str">
        <f t="shared" si="84"/>
        <v/>
      </c>
      <c r="B794" t="str">
        <f t="shared" si="85"/>
        <v/>
      </c>
      <c r="C794" t="str">
        <f t="shared" si="86"/>
        <v/>
      </c>
      <c r="D794" t="str">
        <f t="shared" si="87"/>
        <v/>
      </c>
      <c r="E794" t="str">
        <f>IF(F794="","",IF(COUNTIF($F$2:F794,F794)&gt;1,"",SUMIFS(tbl_input[필요수량],tbl_input[집계키_센터],F794)))</f>
        <v/>
      </c>
      <c r="F794" t="str">
        <f>IFERROR(INDEX(tbl_input[집계키_센터],ROW()-1),"")</f>
        <v/>
      </c>
      <c r="G794" t="str">
        <f t="shared" si="88"/>
        <v/>
      </c>
      <c r="H794" t="str">
        <f t="shared" si="89"/>
        <v/>
      </c>
      <c r="I794" t="str">
        <f t="shared" si="90"/>
        <v/>
      </c>
    </row>
    <row r="795" spans="1:9" x14ac:dyDescent="0.4">
      <c r="A795" t="str">
        <f t="shared" si="84"/>
        <v/>
      </c>
      <c r="B795" t="str">
        <f t="shared" si="85"/>
        <v/>
      </c>
      <c r="C795" t="str">
        <f t="shared" si="86"/>
        <v/>
      </c>
      <c r="D795" t="str">
        <f t="shared" si="87"/>
        <v/>
      </c>
      <c r="E795" t="str">
        <f>IF(F795="","",IF(COUNTIF($F$2:F795,F795)&gt;1,"",SUMIFS(tbl_input[필요수량],tbl_input[집계키_센터],F795)))</f>
        <v/>
      </c>
      <c r="F795" t="str">
        <f>IFERROR(INDEX(tbl_input[집계키_센터],ROW()-1),"")</f>
        <v/>
      </c>
      <c r="G795" t="str">
        <f t="shared" si="88"/>
        <v/>
      </c>
      <c r="H795" t="str">
        <f t="shared" si="89"/>
        <v/>
      </c>
      <c r="I795" t="str">
        <f t="shared" si="90"/>
        <v/>
      </c>
    </row>
    <row r="796" spans="1:9" x14ac:dyDescent="0.4">
      <c r="A796" t="str">
        <f t="shared" si="84"/>
        <v/>
      </c>
      <c r="B796" t="str">
        <f t="shared" si="85"/>
        <v/>
      </c>
      <c r="C796" t="str">
        <f t="shared" si="86"/>
        <v/>
      </c>
      <c r="D796" t="str">
        <f t="shared" si="87"/>
        <v/>
      </c>
      <c r="E796" t="str">
        <f>IF(F796="","",IF(COUNTIF($F$2:F796,F796)&gt;1,"",SUMIFS(tbl_input[필요수량],tbl_input[집계키_센터],F796)))</f>
        <v/>
      </c>
      <c r="F796" t="str">
        <f>IFERROR(INDEX(tbl_input[집계키_센터],ROW()-1),"")</f>
        <v/>
      </c>
      <c r="G796" t="str">
        <f t="shared" si="88"/>
        <v/>
      </c>
      <c r="H796" t="str">
        <f t="shared" si="89"/>
        <v/>
      </c>
      <c r="I796" t="str">
        <f t="shared" si="90"/>
        <v/>
      </c>
    </row>
    <row r="797" spans="1:9" x14ac:dyDescent="0.4">
      <c r="A797" t="str">
        <f t="shared" si="84"/>
        <v/>
      </c>
      <c r="B797" t="str">
        <f t="shared" si="85"/>
        <v/>
      </c>
      <c r="C797" t="str">
        <f t="shared" si="86"/>
        <v/>
      </c>
      <c r="D797" t="str">
        <f t="shared" si="87"/>
        <v/>
      </c>
      <c r="E797" t="str">
        <f>IF(F797="","",IF(COUNTIF($F$2:F797,F797)&gt;1,"",SUMIFS(tbl_input[필요수량],tbl_input[집계키_센터],F797)))</f>
        <v/>
      </c>
      <c r="F797" t="str">
        <f>IFERROR(INDEX(tbl_input[집계키_센터],ROW()-1),"")</f>
        <v/>
      </c>
      <c r="G797" t="str">
        <f t="shared" si="88"/>
        <v/>
      </c>
      <c r="H797" t="str">
        <f t="shared" si="89"/>
        <v/>
      </c>
      <c r="I797" t="str">
        <f t="shared" si="90"/>
        <v/>
      </c>
    </row>
    <row r="798" spans="1:9" x14ac:dyDescent="0.4">
      <c r="A798" t="str">
        <f t="shared" si="84"/>
        <v/>
      </c>
      <c r="B798" t="str">
        <f t="shared" si="85"/>
        <v/>
      </c>
      <c r="C798" t="str">
        <f t="shared" si="86"/>
        <v/>
      </c>
      <c r="D798" t="str">
        <f t="shared" si="87"/>
        <v/>
      </c>
      <c r="E798" t="str">
        <f>IF(F798="","",IF(COUNTIF($F$2:F798,F798)&gt;1,"",SUMIFS(tbl_input[필요수량],tbl_input[집계키_센터],F798)))</f>
        <v/>
      </c>
      <c r="F798" t="str">
        <f>IFERROR(INDEX(tbl_input[집계키_센터],ROW()-1),"")</f>
        <v/>
      </c>
      <c r="G798" t="str">
        <f t="shared" si="88"/>
        <v/>
      </c>
      <c r="H798" t="str">
        <f t="shared" si="89"/>
        <v/>
      </c>
      <c r="I798" t="str">
        <f t="shared" si="90"/>
        <v/>
      </c>
    </row>
    <row r="799" spans="1:9" x14ac:dyDescent="0.4">
      <c r="A799" t="str">
        <f t="shared" si="84"/>
        <v/>
      </c>
      <c r="B799" t="str">
        <f t="shared" si="85"/>
        <v/>
      </c>
      <c r="C799" t="str">
        <f t="shared" si="86"/>
        <v/>
      </c>
      <c r="D799" t="str">
        <f t="shared" si="87"/>
        <v/>
      </c>
      <c r="E799" t="str">
        <f>IF(F799="","",IF(COUNTIF($F$2:F799,F799)&gt;1,"",SUMIFS(tbl_input[필요수량],tbl_input[집계키_센터],F799)))</f>
        <v/>
      </c>
      <c r="F799" t="str">
        <f>IFERROR(INDEX(tbl_input[집계키_센터],ROW()-1),"")</f>
        <v/>
      </c>
      <c r="G799" t="str">
        <f t="shared" si="88"/>
        <v/>
      </c>
      <c r="H799" t="str">
        <f t="shared" si="89"/>
        <v/>
      </c>
      <c r="I799" t="str">
        <f t="shared" si="90"/>
        <v/>
      </c>
    </row>
    <row r="800" spans="1:9" x14ac:dyDescent="0.4">
      <c r="A800" t="str">
        <f t="shared" si="84"/>
        <v/>
      </c>
      <c r="B800" t="str">
        <f t="shared" si="85"/>
        <v/>
      </c>
      <c r="C800" t="str">
        <f t="shared" si="86"/>
        <v/>
      </c>
      <c r="D800" t="str">
        <f t="shared" si="87"/>
        <v/>
      </c>
      <c r="E800" t="str">
        <f>IF(F800="","",IF(COUNTIF($F$2:F800,F800)&gt;1,"",SUMIFS(tbl_input[필요수량],tbl_input[집계키_센터],F800)))</f>
        <v/>
      </c>
      <c r="F800" t="str">
        <f>IFERROR(INDEX(tbl_input[집계키_센터],ROW()-1),"")</f>
        <v/>
      </c>
      <c r="G800" t="str">
        <f t="shared" si="88"/>
        <v/>
      </c>
      <c r="H800" t="str">
        <f t="shared" si="89"/>
        <v/>
      </c>
      <c r="I800" t="str">
        <f t="shared" si="90"/>
        <v/>
      </c>
    </row>
    <row r="801" spans="1:9" x14ac:dyDescent="0.4">
      <c r="A801" t="str">
        <f t="shared" si="84"/>
        <v/>
      </c>
      <c r="B801" t="str">
        <f t="shared" si="85"/>
        <v/>
      </c>
      <c r="C801" t="str">
        <f t="shared" si="86"/>
        <v/>
      </c>
      <c r="D801" t="str">
        <f t="shared" si="87"/>
        <v/>
      </c>
      <c r="E801" t="str">
        <f>IF(F801="","",IF(COUNTIF($F$2:F801,F801)&gt;1,"",SUMIFS(tbl_input[필요수량],tbl_input[집계키_센터],F801)))</f>
        <v/>
      </c>
      <c r="F801" t="str">
        <f>IFERROR(INDEX(tbl_input[집계키_센터],ROW()-1),"")</f>
        <v/>
      </c>
      <c r="G801" t="str">
        <f t="shared" si="88"/>
        <v/>
      </c>
      <c r="H801" t="str">
        <f t="shared" si="89"/>
        <v/>
      </c>
      <c r="I801" t="str">
        <f t="shared" si="90"/>
        <v/>
      </c>
    </row>
    <row r="802" spans="1:9" x14ac:dyDescent="0.4">
      <c r="A802" t="str">
        <f t="shared" si="84"/>
        <v/>
      </c>
      <c r="B802" t="str">
        <f t="shared" si="85"/>
        <v/>
      </c>
      <c r="C802" t="str">
        <f t="shared" si="86"/>
        <v/>
      </c>
      <c r="D802" t="str">
        <f t="shared" si="87"/>
        <v/>
      </c>
      <c r="E802" t="str">
        <f>IF(F802="","",IF(COUNTIF($F$2:F802,F802)&gt;1,"",SUMIFS(tbl_input[필요수량],tbl_input[집계키_센터],F802)))</f>
        <v/>
      </c>
      <c r="F802" t="str">
        <f>IFERROR(INDEX(tbl_input[집계키_센터],ROW()-1),"")</f>
        <v/>
      </c>
      <c r="G802" t="str">
        <f t="shared" si="88"/>
        <v/>
      </c>
      <c r="H802" t="str">
        <f t="shared" si="89"/>
        <v/>
      </c>
      <c r="I802" t="str">
        <f t="shared" si="90"/>
        <v/>
      </c>
    </row>
    <row r="803" spans="1:9" x14ac:dyDescent="0.4">
      <c r="A803" t="str">
        <f t="shared" si="84"/>
        <v/>
      </c>
      <c r="B803" t="str">
        <f t="shared" si="85"/>
        <v/>
      </c>
      <c r="C803" t="str">
        <f t="shared" si="86"/>
        <v/>
      </c>
      <c r="D803" t="str">
        <f t="shared" si="87"/>
        <v/>
      </c>
      <c r="E803" t="str">
        <f>IF(F803="","",IF(COUNTIF($F$2:F803,F803)&gt;1,"",SUMIFS(tbl_input[필요수량],tbl_input[집계키_센터],F803)))</f>
        <v/>
      </c>
      <c r="F803" t="str">
        <f>IFERROR(INDEX(tbl_input[집계키_센터],ROW()-1),"")</f>
        <v/>
      </c>
      <c r="G803" t="str">
        <f t="shared" si="88"/>
        <v/>
      </c>
      <c r="H803" t="str">
        <f t="shared" si="89"/>
        <v/>
      </c>
      <c r="I803" t="str">
        <f t="shared" si="90"/>
        <v/>
      </c>
    </row>
    <row r="804" spans="1:9" x14ac:dyDescent="0.4">
      <c r="A804" t="str">
        <f t="shared" si="84"/>
        <v/>
      </c>
      <c r="B804" t="str">
        <f t="shared" si="85"/>
        <v/>
      </c>
      <c r="C804" t="str">
        <f t="shared" si="86"/>
        <v/>
      </c>
      <c r="D804" t="str">
        <f t="shared" si="87"/>
        <v/>
      </c>
      <c r="E804" t="str">
        <f>IF(F804="","",IF(COUNTIF($F$2:F804,F804)&gt;1,"",SUMIFS(tbl_input[필요수량],tbl_input[집계키_센터],F804)))</f>
        <v/>
      </c>
      <c r="F804" t="str">
        <f>IFERROR(INDEX(tbl_input[집계키_센터],ROW()-1),"")</f>
        <v/>
      </c>
      <c r="G804" t="str">
        <f t="shared" si="88"/>
        <v/>
      </c>
      <c r="H804" t="str">
        <f t="shared" si="89"/>
        <v/>
      </c>
      <c r="I804" t="str">
        <f t="shared" si="90"/>
        <v/>
      </c>
    </row>
    <row r="805" spans="1:9" x14ac:dyDescent="0.4">
      <c r="A805" t="str">
        <f t="shared" si="84"/>
        <v/>
      </c>
      <c r="B805" t="str">
        <f t="shared" si="85"/>
        <v/>
      </c>
      <c r="C805" t="str">
        <f t="shared" si="86"/>
        <v/>
      </c>
      <c r="D805" t="str">
        <f t="shared" si="87"/>
        <v/>
      </c>
      <c r="E805" t="str">
        <f>IF(F805="","",IF(COUNTIF($F$2:F805,F805)&gt;1,"",SUMIFS(tbl_input[필요수량],tbl_input[집계키_센터],F805)))</f>
        <v/>
      </c>
      <c r="F805" t="str">
        <f>IFERROR(INDEX(tbl_input[집계키_센터],ROW()-1),"")</f>
        <v/>
      </c>
      <c r="G805" t="str">
        <f t="shared" si="88"/>
        <v/>
      </c>
      <c r="H805" t="str">
        <f t="shared" si="89"/>
        <v/>
      </c>
      <c r="I805" t="str">
        <f t="shared" si="90"/>
        <v/>
      </c>
    </row>
    <row r="806" spans="1:9" x14ac:dyDescent="0.4">
      <c r="A806" t="str">
        <f t="shared" si="84"/>
        <v/>
      </c>
      <c r="B806" t="str">
        <f t="shared" si="85"/>
        <v/>
      </c>
      <c r="C806" t="str">
        <f t="shared" si="86"/>
        <v/>
      </c>
      <c r="D806" t="str">
        <f t="shared" si="87"/>
        <v/>
      </c>
      <c r="E806" t="str">
        <f>IF(F806="","",IF(COUNTIF($F$2:F806,F806)&gt;1,"",SUMIFS(tbl_input[필요수량],tbl_input[집계키_센터],F806)))</f>
        <v/>
      </c>
      <c r="F806" t="str">
        <f>IFERROR(INDEX(tbl_input[집계키_센터],ROW()-1),"")</f>
        <v/>
      </c>
      <c r="G806" t="str">
        <f t="shared" si="88"/>
        <v/>
      </c>
      <c r="H806" t="str">
        <f t="shared" si="89"/>
        <v/>
      </c>
      <c r="I806" t="str">
        <f t="shared" si="90"/>
        <v/>
      </c>
    </row>
    <row r="807" spans="1:9" x14ac:dyDescent="0.4">
      <c r="A807" t="str">
        <f t="shared" si="84"/>
        <v/>
      </c>
      <c r="B807" t="str">
        <f t="shared" si="85"/>
        <v/>
      </c>
      <c r="C807" t="str">
        <f t="shared" si="86"/>
        <v/>
      </c>
      <c r="D807" t="str">
        <f t="shared" si="87"/>
        <v/>
      </c>
      <c r="E807" t="str">
        <f>IF(F807="","",IF(COUNTIF($F$2:F807,F807)&gt;1,"",SUMIFS(tbl_input[필요수량],tbl_input[집계키_센터],F807)))</f>
        <v/>
      </c>
      <c r="F807" t="str">
        <f>IFERROR(INDEX(tbl_input[집계키_센터],ROW()-1),"")</f>
        <v/>
      </c>
      <c r="G807" t="str">
        <f t="shared" si="88"/>
        <v/>
      </c>
      <c r="H807" t="str">
        <f t="shared" si="89"/>
        <v/>
      </c>
      <c r="I807" t="str">
        <f t="shared" si="90"/>
        <v/>
      </c>
    </row>
    <row r="808" spans="1:9" x14ac:dyDescent="0.4">
      <c r="A808" t="str">
        <f t="shared" si="84"/>
        <v/>
      </c>
      <c r="B808" t="str">
        <f t="shared" si="85"/>
        <v/>
      </c>
      <c r="C808" t="str">
        <f t="shared" si="86"/>
        <v/>
      </c>
      <c r="D808" t="str">
        <f t="shared" si="87"/>
        <v/>
      </c>
      <c r="E808" t="str">
        <f>IF(F808="","",IF(COUNTIF($F$2:F808,F808)&gt;1,"",SUMIFS(tbl_input[필요수량],tbl_input[집계키_센터],F808)))</f>
        <v/>
      </c>
      <c r="F808" t="str">
        <f>IFERROR(INDEX(tbl_input[집계키_센터],ROW()-1),"")</f>
        <v/>
      </c>
      <c r="G808" t="str">
        <f t="shared" si="88"/>
        <v/>
      </c>
      <c r="H808" t="str">
        <f t="shared" si="89"/>
        <v/>
      </c>
      <c r="I808" t="str">
        <f t="shared" si="90"/>
        <v/>
      </c>
    </row>
    <row r="809" spans="1:9" x14ac:dyDescent="0.4">
      <c r="A809" t="str">
        <f t="shared" si="84"/>
        <v/>
      </c>
      <c r="B809" t="str">
        <f t="shared" si="85"/>
        <v/>
      </c>
      <c r="C809" t="str">
        <f t="shared" si="86"/>
        <v/>
      </c>
      <c r="D809" t="str">
        <f t="shared" si="87"/>
        <v/>
      </c>
      <c r="E809" t="str">
        <f>IF(F809="","",IF(COUNTIF($F$2:F809,F809)&gt;1,"",SUMIFS(tbl_input[필요수량],tbl_input[집계키_센터],F809)))</f>
        <v/>
      </c>
      <c r="F809" t="str">
        <f>IFERROR(INDEX(tbl_input[집계키_센터],ROW()-1),"")</f>
        <v/>
      </c>
      <c r="G809" t="str">
        <f t="shared" si="88"/>
        <v/>
      </c>
      <c r="H809" t="str">
        <f t="shared" si="89"/>
        <v/>
      </c>
      <c r="I809" t="str">
        <f t="shared" si="90"/>
        <v/>
      </c>
    </row>
    <row r="810" spans="1:9" x14ac:dyDescent="0.4">
      <c r="A810" t="str">
        <f t="shared" si="84"/>
        <v/>
      </c>
      <c r="B810" t="str">
        <f t="shared" si="85"/>
        <v/>
      </c>
      <c r="C810" t="str">
        <f t="shared" si="86"/>
        <v/>
      </c>
      <c r="D810" t="str">
        <f t="shared" si="87"/>
        <v/>
      </c>
      <c r="E810" t="str">
        <f>IF(F810="","",IF(COUNTIF($F$2:F810,F810)&gt;1,"",SUMIFS(tbl_input[필요수량],tbl_input[집계키_센터],F810)))</f>
        <v/>
      </c>
      <c r="F810" t="str">
        <f>IFERROR(INDEX(tbl_input[집계키_센터],ROW()-1),"")</f>
        <v/>
      </c>
      <c r="G810" t="str">
        <f t="shared" si="88"/>
        <v/>
      </c>
      <c r="H810" t="str">
        <f t="shared" si="89"/>
        <v/>
      </c>
      <c r="I810" t="str">
        <f t="shared" si="90"/>
        <v/>
      </c>
    </row>
    <row r="811" spans="1:9" x14ac:dyDescent="0.4">
      <c r="A811" t="str">
        <f t="shared" si="84"/>
        <v/>
      </c>
      <c r="B811" t="str">
        <f t="shared" si="85"/>
        <v/>
      </c>
      <c r="C811" t="str">
        <f t="shared" si="86"/>
        <v/>
      </c>
      <c r="D811" t="str">
        <f t="shared" si="87"/>
        <v/>
      </c>
      <c r="E811" t="str">
        <f>IF(F811="","",IF(COUNTIF($F$2:F811,F811)&gt;1,"",SUMIFS(tbl_input[필요수량],tbl_input[집계키_센터],F811)))</f>
        <v/>
      </c>
      <c r="F811" t="str">
        <f>IFERROR(INDEX(tbl_input[집계키_센터],ROW()-1),"")</f>
        <v/>
      </c>
      <c r="G811" t="str">
        <f t="shared" si="88"/>
        <v/>
      </c>
      <c r="H811" t="str">
        <f t="shared" si="89"/>
        <v/>
      </c>
      <c r="I811" t="str">
        <f t="shared" si="90"/>
        <v/>
      </c>
    </row>
    <row r="812" spans="1:9" x14ac:dyDescent="0.4">
      <c r="A812" t="str">
        <f t="shared" si="84"/>
        <v/>
      </c>
      <c r="B812" t="str">
        <f t="shared" si="85"/>
        <v/>
      </c>
      <c r="C812" t="str">
        <f t="shared" si="86"/>
        <v/>
      </c>
      <c r="D812" t="str">
        <f t="shared" si="87"/>
        <v/>
      </c>
      <c r="E812" t="str">
        <f>IF(F812="","",IF(COUNTIF($F$2:F812,F812)&gt;1,"",SUMIFS(tbl_input[필요수량],tbl_input[집계키_센터],F812)))</f>
        <v/>
      </c>
      <c r="F812" t="str">
        <f>IFERROR(INDEX(tbl_input[집계키_센터],ROW()-1),"")</f>
        <v/>
      </c>
      <c r="G812" t="str">
        <f t="shared" si="88"/>
        <v/>
      </c>
      <c r="H812" t="str">
        <f t="shared" si="89"/>
        <v/>
      </c>
      <c r="I812" t="str">
        <f t="shared" si="90"/>
        <v/>
      </c>
    </row>
    <row r="813" spans="1:9" x14ac:dyDescent="0.4">
      <c r="A813" t="str">
        <f t="shared" si="84"/>
        <v/>
      </c>
      <c r="B813" t="str">
        <f t="shared" si="85"/>
        <v/>
      </c>
      <c r="C813" t="str">
        <f t="shared" si="86"/>
        <v/>
      </c>
      <c r="D813" t="str">
        <f t="shared" si="87"/>
        <v/>
      </c>
      <c r="E813" t="str">
        <f>IF(F813="","",IF(COUNTIF($F$2:F813,F813)&gt;1,"",SUMIFS(tbl_input[필요수량],tbl_input[집계키_센터],F813)))</f>
        <v/>
      </c>
      <c r="F813" t="str">
        <f>IFERROR(INDEX(tbl_input[집계키_센터],ROW()-1),"")</f>
        <v/>
      </c>
      <c r="G813" t="str">
        <f t="shared" si="88"/>
        <v/>
      </c>
      <c r="H813" t="str">
        <f t="shared" si="89"/>
        <v/>
      </c>
      <c r="I813" t="str">
        <f t="shared" si="90"/>
        <v/>
      </c>
    </row>
    <row r="814" spans="1:9" x14ac:dyDescent="0.4">
      <c r="A814" t="str">
        <f t="shared" si="84"/>
        <v/>
      </c>
      <c r="B814" t="str">
        <f t="shared" si="85"/>
        <v/>
      </c>
      <c r="C814" t="str">
        <f t="shared" si="86"/>
        <v/>
      </c>
      <c r="D814" t="str">
        <f t="shared" si="87"/>
        <v/>
      </c>
      <c r="E814" t="str">
        <f>IF(F814="","",IF(COUNTIF($F$2:F814,F814)&gt;1,"",SUMIFS(tbl_input[필요수량],tbl_input[집계키_센터],F814)))</f>
        <v/>
      </c>
      <c r="F814" t="str">
        <f>IFERROR(INDEX(tbl_input[집계키_센터],ROW()-1),"")</f>
        <v/>
      </c>
      <c r="G814" t="str">
        <f t="shared" si="88"/>
        <v/>
      </c>
      <c r="H814" t="str">
        <f t="shared" si="89"/>
        <v/>
      </c>
      <c r="I814" t="str">
        <f t="shared" si="90"/>
        <v/>
      </c>
    </row>
    <row r="815" spans="1:9" x14ac:dyDescent="0.4">
      <c r="A815" t="str">
        <f t="shared" si="84"/>
        <v/>
      </c>
      <c r="B815" t="str">
        <f t="shared" si="85"/>
        <v/>
      </c>
      <c r="C815" t="str">
        <f t="shared" si="86"/>
        <v/>
      </c>
      <c r="D815" t="str">
        <f t="shared" si="87"/>
        <v/>
      </c>
      <c r="E815" t="str">
        <f>IF(F815="","",IF(COUNTIF($F$2:F815,F815)&gt;1,"",SUMIFS(tbl_input[필요수량],tbl_input[집계키_센터],F815)))</f>
        <v/>
      </c>
      <c r="F815" t="str">
        <f>IFERROR(INDEX(tbl_input[집계키_센터],ROW()-1),"")</f>
        <v/>
      </c>
      <c r="G815" t="str">
        <f t="shared" si="88"/>
        <v/>
      </c>
      <c r="H815" t="str">
        <f t="shared" si="89"/>
        <v/>
      </c>
      <c r="I815" t="str">
        <f t="shared" si="90"/>
        <v/>
      </c>
    </row>
    <row r="816" spans="1:9" x14ac:dyDescent="0.4">
      <c r="A816" t="str">
        <f t="shared" si="84"/>
        <v/>
      </c>
      <c r="B816" t="str">
        <f t="shared" si="85"/>
        <v/>
      </c>
      <c r="C816" t="str">
        <f t="shared" si="86"/>
        <v/>
      </c>
      <c r="D816" t="str">
        <f t="shared" si="87"/>
        <v/>
      </c>
      <c r="E816" t="str">
        <f>IF(F816="","",IF(COUNTIF($F$2:F816,F816)&gt;1,"",SUMIFS(tbl_input[필요수량],tbl_input[집계키_센터],F816)))</f>
        <v/>
      </c>
      <c r="F816" t="str">
        <f>IFERROR(INDEX(tbl_input[집계키_센터],ROW()-1),"")</f>
        <v/>
      </c>
      <c r="G816" t="str">
        <f t="shared" si="88"/>
        <v/>
      </c>
      <c r="H816" t="str">
        <f t="shared" si="89"/>
        <v/>
      </c>
      <c r="I816" t="str">
        <f t="shared" si="90"/>
        <v/>
      </c>
    </row>
    <row r="817" spans="1:9" x14ac:dyDescent="0.4">
      <c r="A817" t="str">
        <f t="shared" si="84"/>
        <v/>
      </c>
      <c r="B817" t="str">
        <f t="shared" si="85"/>
        <v/>
      </c>
      <c r="C817" t="str">
        <f t="shared" si="86"/>
        <v/>
      </c>
      <c r="D817" t="str">
        <f t="shared" si="87"/>
        <v/>
      </c>
      <c r="E817" t="str">
        <f>IF(F817="","",IF(COUNTIF($F$2:F817,F817)&gt;1,"",SUMIFS(tbl_input[필요수량],tbl_input[집계키_센터],F817)))</f>
        <v/>
      </c>
      <c r="F817" t="str">
        <f>IFERROR(INDEX(tbl_input[집계키_센터],ROW()-1),"")</f>
        <v/>
      </c>
      <c r="G817" t="str">
        <f t="shared" si="88"/>
        <v/>
      </c>
      <c r="H817" t="str">
        <f t="shared" si="89"/>
        <v/>
      </c>
      <c r="I817" t="str">
        <f t="shared" si="90"/>
        <v/>
      </c>
    </row>
    <row r="818" spans="1:9" x14ac:dyDescent="0.4">
      <c r="A818" t="str">
        <f t="shared" si="84"/>
        <v/>
      </c>
      <c r="B818" t="str">
        <f t="shared" si="85"/>
        <v/>
      </c>
      <c r="C818" t="str">
        <f t="shared" si="86"/>
        <v/>
      </c>
      <c r="D818" t="str">
        <f t="shared" si="87"/>
        <v/>
      </c>
      <c r="E818" t="str">
        <f>IF(F818="","",IF(COUNTIF($F$2:F818,F818)&gt;1,"",SUMIFS(tbl_input[필요수량],tbl_input[집계키_센터],F818)))</f>
        <v/>
      </c>
      <c r="F818" t="str">
        <f>IFERROR(INDEX(tbl_input[집계키_센터],ROW()-1),"")</f>
        <v/>
      </c>
      <c r="G818" t="str">
        <f t="shared" si="88"/>
        <v/>
      </c>
      <c r="H818" t="str">
        <f t="shared" si="89"/>
        <v/>
      </c>
      <c r="I818" t="str">
        <f t="shared" si="90"/>
        <v/>
      </c>
    </row>
    <row r="819" spans="1:9" x14ac:dyDescent="0.4">
      <c r="A819" t="str">
        <f t="shared" si="84"/>
        <v/>
      </c>
      <c r="B819" t="str">
        <f t="shared" si="85"/>
        <v/>
      </c>
      <c r="C819" t="str">
        <f t="shared" si="86"/>
        <v/>
      </c>
      <c r="D819" t="str">
        <f t="shared" si="87"/>
        <v/>
      </c>
      <c r="E819" t="str">
        <f>IF(F819="","",IF(COUNTIF($F$2:F819,F819)&gt;1,"",SUMIFS(tbl_input[필요수량],tbl_input[집계키_센터],F819)))</f>
        <v/>
      </c>
      <c r="F819" t="str">
        <f>IFERROR(INDEX(tbl_input[집계키_센터],ROW()-1),"")</f>
        <v/>
      </c>
      <c r="G819" t="str">
        <f t="shared" si="88"/>
        <v/>
      </c>
      <c r="H819" t="str">
        <f t="shared" si="89"/>
        <v/>
      </c>
      <c r="I819" t="str">
        <f t="shared" si="90"/>
        <v/>
      </c>
    </row>
    <row r="820" spans="1:9" x14ac:dyDescent="0.4">
      <c r="A820" t="str">
        <f t="shared" si="84"/>
        <v/>
      </c>
      <c r="B820" t="str">
        <f t="shared" si="85"/>
        <v/>
      </c>
      <c r="C820" t="str">
        <f t="shared" si="86"/>
        <v/>
      </c>
      <c r="D820" t="str">
        <f t="shared" si="87"/>
        <v/>
      </c>
      <c r="E820" t="str">
        <f>IF(F820="","",IF(COUNTIF($F$2:F820,F820)&gt;1,"",SUMIFS(tbl_input[필요수량],tbl_input[집계키_센터],F820)))</f>
        <v/>
      </c>
      <c r="F820" t="str">
        <f>IFERROR(INDEX(tbl_input[집계키_센터],ROW()-1),"")</f>
        <v/>
      </c>
      <c r="G820" t="str">
        <f t="shared" si="88"/>
        <v/>
      </c>
      <c r="H820" t="str">
        <f t="shared" si="89"/>
        <v/>
      </c>
      <c r="I820" t="str">
        <f t="shared" si="90"/>
        <v/>
      </c>
    </row>
    <row r="821" spans="1:9" x14ac:dyDescent="0.4">
      <c r="A821" t="str">
        <f t="shared" si="84"/>
        <v/>
      </c>
      <c r="B821" t="str">
        <f t="shared" si="85"/>
        <v/>
      </c>
      <c r="C821" t="str">
        <f t="shared" si="86"/>
        <v/>
      </c>
      <c r="D821" t="str">
        <f t="shared" si="87"/>
        <v/>
      </c>
      <c r="E821" t="str">
        <f>IF(F821="","",IF(COUNTIF($F$2:F821,F821)&gt;1,"",SUMIFS(tbl_input[필요수량],tbl_input[집계키_센터],F821)))</f>
        <v/>
      </c>
      <c r="F821" t="str">
        <f>IFERROR(INDEX(tbl_input[집계키_센터],ROW()-1),"")</f>
        <v/>
      </c>
      <c r="G821" t="str">
        <f t="shared" si="88"/>
        <v/>
      </c>
      <c r="H821" t="str">
        <f t="shared" si="89"/>
        <v/>
      </c>
      <c r="I821" t="str">
        <f t="shared" si="90"/>
        <v/>
      </c>
    </row>
    <row r="822" spans="1:9" x14ac:dyDescent="0.4">
      <c r="A822" t="str">
        <f t="shared" si="84"/>
        <v/>
      </c>
      <c r="B822" t="str">
        <f t="shared" si="85"/>
        <v/>
      </c>
      <c r="C822" t="str">
        <f t="shared" si="86"/>
        <v/>
      </c>
      <c r="D822" t="str">
        <f t="shared" si="87"/>
        <v/>
      </c>
      <c r="E822" t="str">
        <f>IF(F822="","",IF(COUNTIF($F$2:F822,F822)&gt;1,"",SUMIFS(tbl_input[필요수량],tbl_input[집계키_센터],F822)))</f>
        <v/>
      </c>
      <c r="F822" t="str">
        <f>IFERROR(INDEX(tbl_input[집계키_센터],ROW()-1),"")</f>
        <v/>
      </c>
      <c r="G822" t="str">
        <f t="shared" si="88"/>
        <v/>
      </c>
      <c r="H822" t="str">
        <f t="shared" si="89"/>
        <v/>
      </c>
      <c r="I822" t="str">
        <f t="shared" si="90"/>
        <v/>
      </c>
    </row>
    <row r="823" spans="1:9" x14ac:dyDescent="0.4">
      <c r="A823" t="str">
        <f t="shared" si="84"/>
        <v/>
      </c>
      <c r="B823" t="str">
        <f t="shared" si="85"/>
        <v/>
      </c>
      <c r="C823" t="str">
        <f t="shared" si="86"/>
        <v/>
      </c>
      <c r="D823" t="str">
        <f t="shared" si="87"/>
        <v/>
      </c>
      <c r="E823" t="str">
        <f>IF(F823="","",IF(COUNTIF($F$2:F823,F823)&gt;1,"",SUMIFS(tbl_input[필요수량],tbl_input[집계키_센터],F823)))</f>
        <v/>
      </c>
      <c r="F823" t="str">
        <f>IFERROR(INDEX(tbl_input[집계키_센터],ROW()-1),"")</f>
        <v/>
      </c>
      <c r="G823" t="str">
        <f t="shared" si="88"/>
        <v/>
      </c>
      <c r="H823" t="str">
        <f t="shared" si="89"/>
        <v/>
      </c>
      <c r="I823" t="str">
        <f t="shared" si="90"/>
        <v/>
      </c>
    </row>
    <row r="824" spans="1:9" x14ac:dyDescent="0.4">
      <c r="A824" t="str">
        <f t="shared" si="84"/>
        <v/>
      </c>
      <c r="B824" t="str">
        <f t="shared" si="85"/>
        <v/>
      </c>
      <c r="C824" t="str">
        <f t="shared" si="86"/>
        <v/>
      </c>
      <c r="D824" t="str">
        <f t="shared" si="87"/>
        <v/>
      </c>
      <c r="E824" t="str">
        <f>IF(F824="","",IF(COUNTIF($F$2:F824,F824)&gt;1,"",SUMIFS(tbl_input[필요수량],tbl_input[집계키_센터],F824)))</f>
        <v/>
      </c>
      <c r="F824" t="str">
        <f>IFERROR(INDEX(tbl_input[집계키_센터],ROW()-1),"")</f>
        <v/>
      </c>
      <c r="G824" t="str">
        <f t="shared" si="88"/>
        <v/>
      </c>
      <c r="H824" t="str">
        <f t="shared" si="89"/>
        <v/>
      </c>
      <c r="I824" t="str">
        <f t="shared" si="90"/>
        <v/>
      </c>
    </row>
    <row r="825" spans="1:9" x14ac:dyDescent="0.4">
      <c r="A825" t="str">
        <f t="shared" si="84"/>
        <v/>
      </c>
      <c r="B825" t="str">
        <f t="shared" si="85"/>
        <v/>
      </c>
      <c r="C825" t="str">
        <f t="shared" si="86"/>
        <v/>
      </c>
      <c r="D825" t="str">
        <f t="shared" si="87"/>
        <v/>
      </c>
      <c r="E825" t="str">
        <f>IF(F825="","",IF(COUNTIF($F$2:F825,F825)&gt;1,"",SUMIFS(tbl_input[필요수량],tbl_input[집계키_센터],F825)))</f>
        <v/>
      </c>
      <c r="F825" t="str">
        <f>IFERROR(INDEX(tbl_input[집계키_센터],ROW()-1),"")</f>
        <v/>
      </c>
      <c r="G825" t="str">
        <f t="shared" si="88"/>
        <v/>
      </c>
      <c r="H825" t="str">
        <f t="shared" si="89"/>
        <v/>
      </c>
      <c r="I825" t="str">
        <f t="shared" si="90"/>
        <v/>
      </c>
    </row>
    <row r="826" spans="1:9" x14ac:dyDescent="0.4">
      <c r="A826" t="str">
        <f t="shared" si="84"/>
        <v/>
      </c>
      <c r="B826" t="str">
        <f t="shared" si="85"/>
        <v/>
      </c>
      <c r="C826" t="str">
        <f t="shared" si="86"/>
        <v/>
      </c>
      <c r="D826" t="str">
        <f t="shared" si="87"/>
        <v/>
      </c>
      <c r="E826" t="str">
        <f>IF(F826="","",IF(COUNTIF($F$2:F826,F826)&gt;1,"",SUMIFS(tbl_input[필요수량],tbl_input[집계키_센터],F826)))</f>
        <v/>
      </c>
      <c r="F826" t="str">
        <f>IFERROR(INDEX(tbl_input[집계키_센터],ROW()-1),"")</f>
        <v/>
      </c>
      <c r="G826" t="str">
        <f t="shared" si="88"/>
        <v/>
      </c>
      <c r="H826" t="str">
        <f t="shared" si="89"/>
        <v/>
      </c>
      <c r="I826" t="str">
        <f t="shared" si="90"/>
        <v/>
      </c>
    </row>
    <row r="827" spans="1:9" x14ac:dyDescent="0.4">
      <c r="A827" t="str">
        <f t="shared" si="84"/>
        <v/>
      </c>
      <c r="B827" t="str">
        <f t="shared" si="85"/>
        <v/>
      </c>
      <c r="C827" t="str">
        <f t="shared" si="86"/>
        <v/>
      </c>
      <c r="D827" t="str">
        <f t="shared" si="87"/>
        <v/>
      </c>
      <c r="E827" t="str">
        <f>IF(F827="","",IF(COUNTIF($F$2:F827,F827)&gt;1,"",SUMIFS(tbl_input[필요수량],tbl_input[집계키_센터],F827)))</f>
        <v/>
      </c>
      <c r="F827" t="str">
        <f>IFERROR(INDEX(tbl_input[집계키_센터],ROW()-1),"")</f>
        <v/>
      </c>
      <c r="G827" t="str">
        <f t="shared" si="88"/>
        <v/>
      </c>
      <c r="H827" t="str">
        <f t="shared" si="89"/>
        <v/>
      </c>
      <c r="I827" t="str">
        <f t="shared" si="90"/>
        <v/>
      </c>
    </row>
    <row r="828" spans="1:9" x14ac:dyDescent="0.4">
      <c r="A828" t="str">
        <f t="shared" si="84"/>
        <v/>
      </c>
      <c r="B828" t="str">
        <f t="shared" si="85"/>
        <v/>
      </c>
      <c r="C828" t="str">
        <f t="shared" si="86"/>
        <v/>
      </c>
      <c r="D828" t="str">
        <f t="shared" si="87"/>
        <v/>
      </c>
      <c r="E828" t="str">
        <f>IF(F828="","",IF(COUNTIF($F$2:F828,F828)&gt;1,"",SUMIFS(tbl_input[필요수량],tbl_input[집계키_센터],F828)))</f>
        <v/>
      </c>
      <c r="F828" t="str">
        <f>IFERROR(INDEX(tbl_input[집계키_센터],ROW()-1),"")</f>
        <v/>
      </c>
      <c r="G828" t="str">
        <f t="shared" si="88"/>
        <v/>
      </c>
      <c r="H828" t="str">
        <f t="shared" si="89"/>
        <v/>
      </c>
      <c r="I828" t="str">
        <f t="shared" si="90"/>
        <v/>
      </c>
    </row>
    <row r="829" spans="1:9" x14ac:dyDescent="0.4">
      <c r="A829" t="str">
        <f t="shared" si="84"/>
        <v/>
      </c>
      <c r="B829" t="str">
        <f t="shared" si="85"/>
        <v/>
      </c>
      <c r="C829" t="str">
        <f t="shared" si="86"/>
        <v/>
      </c>
      <c r="D829" t="str">
        <f t="shared" si="87"/>
        <v/>
      </c>
      <c r="E829" t="str">
        <f>IF(F829="","",IF(COUNTIF($F$2:F829,F829)&gt;1,"",SUMIFS(tbl_input[필요수량],tbl_input[집계키_센터],F829)))</f>
        <v/>
      </c>
      <c r="F829" t="str">
        <f>IFERROR(INDEX(tbl_input[집계키_센터],ROW()-1),"")</f>
        <v/>
      </c>
      <c r="G829" t="str">
        <f t="shared" si="88"/>
        <v/>
      </c>
      <c r="H829" t="str">
        <f t="shared" si="89"/>
        <v/>
      </c>
      <c r="I829" t="str">
        <f t="shared" si="90"/>
        <v/>
      </c>
    </row>
    <row r="830" spans="1:9" x14ac:dyDescent="0.4">
      <c r="A830" t="str">
        <f t="shared" si="84"/>
        <v/>
      </c>
      <c r="B830" t="str">
        <f t="shared" si="85"/>
        <v/>
      </c>
      <c r="C830" t="str">
        <f t="shared" si="86"/>
        <v/>
      </c>
      <c r="D830" t="str">
        <f t="shared" si="87"/>
        <v/>
      </c>
      <c r="E830" t="str">
        <f>IF(F830="","",IF(COUNTIF($F$2:F830,F830)&gt;1,"",SUMIFS(tbl_input[필요수량],tbl_input[집계키_센터],F830)))</f>
        <v/>
      </c>
      <c r="F830" t="str">
        <f>IFERROR(INDEX(tbl_input[집계키_센터],ROW()-1),"")</f>
        <v/>
      </c>
      <c r="G830" t="str">
        <f t="shared" si="88"/>
        <v/>
      </c>
      <c r="H830" t="str">
        <f t="shared" si="89"/>
        <v/>
      </c>
      <c r="I830" t="str">
        <f t="shared" si="90"/>
        <v/>
      </c>
    </row>
    <row r="831" spans="1:9" x14ac:dyDescent="0.4">
      <c r="A831" t="str">
        <f t="shared" si="84"/>
        <v/>
      </c>
      <c r="B831" t="str">
        <f t="shared" si="85"/>
        <v/>
      </c>
      <c r="C831" t="str">
        <f t="shared" si="86"/>
        <v/>
      </c>
      <c r="D831" t="str">
        <f t="shared" si="87"/>
        <v/>
      </c>
      <c r="E831" t="str">
        <f>IF(F831="","",IF(COUNTIF($F$2:F831,F831)&gt;1,"",SUMIFS(tbl_input[필요수량],tbl_input[집계키_센터],F831)))</f>
        <v/>
      </c>
      <c r="F831" t="str">
        <f>IFERROR(INDEX(tbl_input[집계키_센터],ROW()-1),"")</f>
        <v/>
      </c>
      <c r="G831" t="str">
        <f t="shared" si="88"/>
        <v/>
      </c>
      <c r="H831" t="str">
        <f t="shared" si="89"/>
        <v/>
      </c>
      <c r="I831" t="str">
        <f t="shared" si="90"/>
        <v/>
      </c>
    </row>
    <row r="832" spans="1:9" x14ac:dyDescent="0.4">
      <c r="A832" t="str">
        <f t="shared" si="84"/>
        <v/>
      </c>
      <c r="B832" t="str">
        <f t="shared" si="85"/>
        <v/>
      </c>
      <c r="C832" t="str">
        <f t="shared" si="86"/>
        <v/>
      </c>
      <c r="D832" t="str">
        <f t="shared" si="87"/>
        <v/>
      </c>
      <c r="E832" t="str">
        <f>IF(F832="","",IF(COUNTIF($F$2:F832,F832)&gt;1,"",SUMIFS(tbl_input[필요수량],tbl_input[집계키_센터],F832)))</f>
        <v/>
      </c>
      <c r="F832" t="str">
        <f>IFERROR(INDEX(tbl_input[집계키_센터],ROW()-1),"")</f>
        <v/>
      </c>
      <c r="G832" t="str">
        <f t="shared" si="88"/>
        <v/>
      </c>
      <c r="H832" t="str">
        <f t="shared" si="89"/>
        <v/>
      </c>
      <c r="I832" t="str">
        <f t="shared" si="90"/>
        <v/>
      </c>
    </row>
    <row r="833" spans="1:9" x14ac:dyDescent="0.4">
      <c r="A833" t="str">
        <f t="shared" si="84"/>
        <v/>
      </c>
      <c r="B833" t="str">
        <f t="shared" si="85"/>
        <v/>
      </c>
      <c r="C833" t="str">
        <f t="shared" si="86"/>
        <v/>
      </c>
      <c r="D833" t="str">
        <f t="shared" si="87"/>
        <v/>
      </c>
      <c r="E833" t="str">
        <f>IF(F833="","",IF(COUNTIF($F$2:F833,F833)&gt;1,"",SUMIFS(tbl_input[필요수량],tbl_input[집계키_센터],F833)))</f>
        <v/>
      </c>
      <c r="F833" t="str">
        <f>IFERROR(INDEX(tbl_input[집계키_센터],ROW()-1),"")</f>
        <v/>
      </c>
      <c r="G833" t="str">
        <f t="shared" si="88"/>
        <v/>
      </c>
      <c r="H833" t="str">
        <f t="shared" si="89"/>
        <v/>
      </c>
      <c r="I833" t="str">
        <f t="shared" si="90"/>
        <v/>
      </c>
    </row>
    <row r="834" spans="1:9" x14ac:dyDescent="0.4">
      <c r="A834" t="str">
        <f t="shared" ref="A834:A897" si="91">IF(F834="","",LEFT(F834,G834-1))</f>
        <v/>
      </c>
      <c r="B834" t="str">
        <f t="shared" ref="B834:B897" si="92">IF(F834="","",MID(F834,G834+1,H834-G834-1))</f>
        <v/>
      </c>
      <c r="C834" t="str">
        <f t="shared" ref="C834:C897" si="93">IF(F834="","",MID(F834,H834+1,I834-H834-1))</f>
        <v/>
      </c>
      <c r="D834" t="str">
        <f t="shared" ref="D834:D897" si="94">IF(F834="","",MID(F834,I834+1,999))</f>
        <v/>
      </c>
      <c r="E834" t="str">
        <f>IF(F834="","",IF(COUNTIF($F$2:F834,F834)&gt;1,"",SUMIFS(tbl_input[필요수량],tbl_input[집계키_센터],F834)))</f>
        <v/>
      </c>
      <c r="F834" t="str">
        <f>IFERROR(INDEX(tbl_input[집계키_센터],ROW()-1),"")</f>
        <v/>
      </c>
      <c r="G834" t="str">
        <f t="shared" ref="G834:G897" si="95">IF(F834="","",FIND("♦",F834))</f>
        <v/>
      </c>
      <c r="H834" t="str">
        <f t="shared" ref="H834:H897" si="96">IF(F834="","",FIND("♦",F834,G834+1))</f>
        <v/>
      </c>
      <c r="I834" t="str">
        <f t="shared" ref="I834:I897" si="97">IF(F834="","",FIND("♦",F834,H834+1))</f>
        <v/>
      </c>
    </row>
    <row r="835" spans="1:9" x14ac:dyDescent="0.4">
      <c r="A835" t="str">
        <f t="shared" si="91"/>
        <v/>
      </c>
      <c r="B835" t="str">
        <f t="shared" si="92"/>
        <v/>
      </c>
      <c r="C835" t="str">
        <f t="shared" si="93"/>
        <v/>
      </c>
      <c r="D835" t="str">
        <f t="shared" si="94"/>
        <v/>
      </c>
      <c r="E835" t="str">
        <f>IF(F835="","",IF(COUNTIF($F$2:F835,F835)&gt;1,"",SUMIFS(tbl_input[필요수량],tbl_input[집계키_센터],F835)))</f>
        <v/>
      </c>
      <c r="F835" t="str">
        <f>IFERROR(INDEX(tbl_input[집계키_센터],ROW()-1),"")</f>
        <v/>
      </c>
      <c r="G835" t="str">
        <f t="shared" si="95"/>
        <v/>
      </c>
      <c r="H835" t="str">
        <f t="shared" si="96"/>
        <v/>
      </c>
      <c r="I835" t="str">
        <f t="shared" si="97"/>
        <v/>
      </c>
    </row>
    <row r="836" spans="1:9" x14ac:dyDescent="0.4">
      <c r="A836" t="str">
        <f t="shared" si="91"/>
        <v/>
      </c>
      <c r="B836" t="str">
        <f t="shared" si="92"/>
        <v/>
      </c>
      <c r="C836" t="str">
        <f t="shared" si="93"/>
        <v/>
      </c>
      <c r="D836" t="str">
        <f t="shared" si="94"/>
        <v/>
      </c>
      <c r="E836" t="str">
        <f>IF(F836="","",IF(COUNTIF($F$2:F836,F836)&gt;1,"",SUMIFS(tbl_input[필요수량],tbl_input[집계키_센터],F836)))</f>
        <v/>
      </c>
      <c r="F836" t="str">
        <f>IFERROR(INDEX(tbl_input[집계키_센터],ROW()-1),"")</f>
        <v/>
      </c>
      <c r="G836" t="str">
        <f t="shared" si="95"/>
        <v/>
      </c>
      <c r="H836" t="str">
        <f t="shared" si="96"/>
        <v/>
      </c>
      <c r="I836" t="str">
        <f t="shared" si="97"/>
        <v/>
      </c>
    </row>
    <row r="837" spans="1:9" x14ac:dyDescent="0.4">
      <c r="A837" t="str">
        <f t="shared" si="91"/>
        <v/>
      </c>
      <c r="B837" t="str">
        <f t="shared" si="92"/>
        <v/>
      </c>
      <c r="C837" t="str">
        <f t="shared" si="93"/>
        <v/>
      </c>
      <c r="D837" t="str">
        <f t="shared" si="94"/>
        <v/>
      </c>
      <c r="E837" t="str">
        <f>IF(F837="","",IF(COUNTIF($F$2:F837,F837)&gt;1,"",SUMIFS(tbl_input[필요수량],tbl_input[집계키_센터],F837)))</f>
        <v/>
      </c>
      <c r="F837" t="str">
        <f>IFERROR(INDEX(tbl_input[집계키_센터],ROW()-1),"")</f>
        <v/>
      </c>
      <c r="G837" t="str">
        <f t="shared" si="95"/>
        <v/>
      </c>
      <c r="H837" t="str">
        <f t="shared" si="96"/>
        <v/>
      </c>
      <c r="I837" t="str">
        <f t="shared" si="97"/>
        <v/>
      </c>
    </row>
    <row r="838" spans="1:9" x14ac:dyDescent="0.4">
      <c r="A838" t="str">
        <f t="shared" si="91"/>
        <v/>
      </c>
      <c r="B838" t="str">
        <f t="shared" si="92"/>
        <v/>
      </c>
      <c r="C838" t="str">
        <f t="shared" si="93"/>
        <v/>
      </c>
      <c r="D838" t="str">
        <f t="shared" si="94"/>
        <v/>
      </c>
      <c r="E838" t="str">
        <f>IF(F838="","",IF(COUNTIF($F$2:F838,F838)&gt;1,"",SUMIFS(tbl_input[필요수량],tbl_input[집계키_센터],F838)))</f>
        <v/>
      </c>
      <c r="F838" t="str">
        <f>IFERROR(INDEX(tbl_input[집계키_센터],ROW()-1),"")</f>
        <v/>
      </c>
      <c r="G838" t="str">
        <f t="shared" si="95"/>
        <v/>
      </c>
      <c r="H838" t="str">
        <f t="shared" si="96"/>
        <v/>
      </c>
      <c r="I838" t="str">
        <f t="shared" si="97"/>
        <v/>
      </c>
    </row>
    <row r="839" spans="1:9" x14ac:dyDescent="0.4">
      <c r="A839" t="str">
        <f t="shared" si="91"/>
        <v/>
      </c>
      <c r="B839" t="str">
        <f t="shared" si="92"/>
        <v/>
      </c>
      <c r="C839" t="str">
        <f t="shared" si="93"/>
        <v/>
      </c>
      <c r="D839" t="str">
        <f t="shared" si="94"/>
        <v/>
      </c>
      <c r="E839" t="str">
        <f>IF(F839="","",IF(COUNTIF($F$2:F839,F839)&gt;1,"",SUMIFS(tbl_input[필요수량],tbl_input[집계키_센터],F839)))</f>
        <v/>
      </c>
      <c r="F839" t="str">
        <f>IFERROR(INDEX(tbl_input[집계키_센터],ROW()-1),"")</f>
        <v/>
      </c>
      <c r="G839" t="str">
        <f t="shared" si="95"/>
        <v/>
      </c>
      <c r="H839" t="str">
        <f t="shared" si="96"/>
        <v/>
      </c>
      <c r="I839" t="str">
        <f t="shared" si="97"/>
        <v/>
      </c>
    </row>
    <row r="840" spans="1:9" x14ac:dyDescent="0.4">
      <c r="A840" t="str">
        <f t="shared" si="91"/>
        <v/>
      </c>
      <c r="B840" t="str">
        <f t="shared" si="92"/>
        <v/>
      </c>
      <c r="C840" t="str">
        <f t="shared" si="93"/>
        <v/>
      </c>
      <c r="D840" t="str">
        <f t="shared" si="94"/>
        <v/>
      </c>
      <c r="E840" t="str">
        <f>IF(F840="","",IF(COUNTIF($F$2:F840,F840)&gt;1,"",SUMIFS(tbl_input[필요수량],tbl_input[집계키_센터],F840)))</f>
        <v/>
      </c>
      <c r="F840" t="str">
        <f>IFERROR(INDEX(tbl_input[집계키_센터],ROW()-1),"")</f>
        <v/>
      </c>
      <c r="G840" t="str">
        <f t="shared" si="95"/>
        <v/>
      </c>
      <c r="H840" t="str">
        <f t="shared" si="96"/>
        <v/>
      </c>
      <c r="I840" t="str">
        <f t="shared" si="97"/>
        <v/>
      </c>
    </row>
    <row r="841" spans="1:9" x14ac:dyDescent="0.4">
      <c r="A841" t="str">
        <f t="shared" si="91"/>
        <v/>
      </c>
      <c r="B841" t="str">
        <f t="shared" si="92"/>
        <v/>
      </c>
      <c r="C841" t="str">
        <f t="shared" si="93"/>
        <v/>
      </c>
      <c r="D841" t="str">
        <f t="shared" si="94"/>
        <v/>
      </c>
      <c r="E841" t="str">
        <f>IF(F841="","",IF(COUNTIF($F$2:F841,F841)&gt;1,"",SUMIFS(tbl_input[필요수량],tbl_input[집계키_센터],F841)))</f>
        <v/>
      </c>
      <c r="F841" t="str">
        <f>IFERROR(INDEX(tbl_input[집계키_센터],ROW()-1),"")</f>
        <v/>
      </c>
      <c r="G841" t="str">
        <f t="shared" si="95"/>
        <v/>
      </c>
      <c r="H841" t="str">
        <f t="shared" si="96"/>
        <v/>
      </c>
      <c r="I841" t="str">
        <f t="shared" si="97"/>
        <v/>
      </c>
    </row>
    <row r="842" spans="1:9" x14ac:dyDescent="0.4">
      <c r="A842" t="str">
        <f t="shared" si="91"/>
        <v/>
      </c>
      <c r="B842" t="str">
        <f t="shared" si="92"/>
        <v/>
      </c>
      <c r="C842" t="str">
        <f t="shared" si="93"/>
        <v/>
      </c>
      <c r="D842" t="str">
        <f t="shared" si="94"/>
        <v/>
      </c>
      <c r="E842" t="str">
        <f>IF(F842="","",IF(COUNTIF($F$2:F842,F842)&gt;1,"",SUMIFS(tbl_input[필요수량],tbl_input[집계키_센터],F842)))</f>
        <v/>
      </c>
      <c r="F842" t="str">
        <f>IFERROR(INDEX(tbl_input[집계키_센터],ROW()-1),"")</f>
        <v/>
      </c>
      <c r="G842" t="str">
        <f t="shared" si="95"/>
        <v/>
      </c>
      <c r="H842" t="str">
        <f t="shared" si="96"/>
        <v/>
      </c>
      <c r="I842" t="str">
        <f t="shared" si="97"/>
        <v/>
      </c>
    </row>
    <row r="843" spans="1:9" x14ac:dyDescent="0.4">
      <c r="A843" t="str">
        <f t="shared" si="91"/>
        <v/>
      </c>
      <c r="B843" t="str">
        <f t="shared" si="92"/>
        <v/>
      </c>
      <c r="C843" t="str">
        <f t="shared" si="93"/>
        <v/>
      </c>
      <c r="D843" t="str">
        <f t="shared" si="94"/>
        <v/>
      </c>
      <c r="E843" t="str">
        <f>IF(F843="","",IF(COUNTIF($F$2:F843,F843)&gt;1,"",SUMIFS(tbl_input[필요수량],tbl_input[집계키_센터],F843)))</f>
        <v/>
      </c>
      <c r="F843" t="str">
        <f>IFERROR(INDEX(tbl_input[집계키_센터],ROW()-1),"")</f>
        <v/>
      </c>
      <c r="G843" t="str">
        <f t="shared" si="95"/>
        <v/>
      </c>
      <c r="H843" t="str">
        <f t="shared" si="96"/>
        <v/>
      </c>
      <c r="I843" t="str">
        <f t="shared" si="97"/>
        <v/>
      </c>
    </row>
    <row r="844" spans="1:9" x14ac:dyDescent="0.4">
      <c r="A844" t="str">
        <f t="shared" si="91"/>
        <v/>
      </c>
      <c r="B844" t="str">
        <f t="shared" si="92"/>
        <v/>
      </c>
      <c r="C844" t="str">
        <f t="shared" si="93"/>
        <v/>
      </c>
      <c r="D844" t="str">
        <f t="shared" si="94"/>
        <v/>
      </c>
      <c r="E844" t="str">
        <f>IF(F844="","",IF(COUNTIF($F$2:F844,F844)&gt;1,"",SUMIFS(tbl_input[필요수량],tbl_input[집계키_센터],F844)))</f>
        <v/>
      </c>
      <c r="F844" t="str">
        <f>IFERROR(INDEX(tbl_input[집계키_센터],ROW()-1),"")</f>
        <v/>
      </c>
      <c r="G844" t="str">
        <f t="shared" si="95"/>
        <v/>
      </c>
      <c r="H844" t="str">
        <f t="shared" si="96"/>
        <v/>
      </c>
      <c r="I844" t="str">
        <f t="shared" si="97"/>
        <v/>
      </c>
    </row>
    <row r="845" spans="1:9" x14ac:dyDescent="0.4">
      <c r="A845" t="str">
        <f t="shared" si="91"/>
        <v/>
      </c>
      <c r="B845" t="str">
        <f t="shared" si="92"/>
        <v/>
      </c>
      <c r="C845" t="str">
        <f t="shared" si="93"/>
        <v/>
      </c>
      <c r="D845" t="str">
        <f t="shared" si="94"/>
        <v/>
      </c>
      <c r="E845" t="str">
        <f>IF(F845="","",IF(COUNTIF($F$2:F845,F845)&gt;1,"",SUMIFS(tbl_input[필요수량],tbl_input[집계키_센터],F845)))</f>
        <v/>
      </c>
      <c r="F845" t="str">
        <f>IFERROR(INDEX(tbl_input[집계키_센터],ROW()-1),"")</f>
        <v/>
      </c>
      <c r="G845" t="str">
        <f t="shared" si="95"/>
        <v/>
      </c>
      <c r="H845" t="str">
        <f t="shared" si="96"/>
        <v/>
      </c>
      <c r="I845" t="str">
        <f t="shared" si="97"/>
        <v/>
      </c>
    </row>
    <row r="846" spans="1:9" x14ac:dyDescent="0.4">
      <c r="A846" t="str">
        <f t="shared" si="91"/>
        <v/>
      </c>
      <c r="B846" t="str">
        <f t="shared" si="92"/>
        <v/>
      </c>
      <c r="C846" t="str">
        <f t="shared" si="93"/>
        <v/>
      </c>
      <c r="D846" t="str">
        <f t="shared" si="94"/>
        <v/>
      </c>
      <c r="E846" t="str">
        <f>IF(F846="","",IF(COUNTIF($F$2:F846,F846)&gt;1,"",SUMIFS(tbl_input[필요수량],tbl_input[집계키_센터],F846)))</f>
        <v/>
      </c>
      <c r="F846" t="str">
        <f>IFERROR(INDEX(tbl_input[집계키_센터],ROW()-1),"")</f>
        <v/>
      </c>
      <c r="G846" t="str">
        <f t="shared" si="95"/>
        <v/>
      </c>
      <c r="H846" t="str">
        <f t="shared" si="96"/>
        <v/>
      </c>
      <c r="I846" t="str">
        <f t="shared" si="97"/>
        <v/>
      </c>
    </row>
    <row r="847" spans="1:9" x14ac:dyDescent="0.4">
      <c r="A847" t="str">
        <f t="shared" si="91"/>
        <v/>
      </c>
      <c r="B847" t="str">
        <f t="shared" si="92"/>
        <v/>
      </c>
      <c r="C847" t="str">
        <f t="shared" si="93"/>
        <v/>
      </c>
      <c r="D847" t="str">
        <f t="shared" si="94"/>
        <v/>
      </c>
      <c r="E847" t="str">
        <f>IF(F847="","",IF(COUNTIF($F$2:F847,F847)&gt;1,"",SUMIFS(tbl_input[필요수량],tbl_input[집계키_센터],F847)))</f>
        <v/>
      </c>
      <c r="F847" t="str">
        <f>IFERROR(INDEX(tbl_input[집계키_센터],ROW()-1),"")</f>
        <v/>
      </c>
      <c r="G847" t="str">
        <f t="shared" si="95"/>
        <v/>
      </c>
      <c r="H847" t="str">
        <f t="shared" si="96"/>
        <v/>
      </c>
      <c r="I847" t="str">
        <f t="shared" si="97"/>
        <v/>
      </c>
    </row>
    <row r="848" spans="1:9" x14ac:dyDescent="0.4">
      <c r="A848" t="str">
        <f t="shared" si="91"/>
        <v/>
      </c>
      <c r="B848" t="str">
        <f t="shared" si="92"/>
        <v/>
      </c>
      <c r="C848" t="str">
        <f t="shared" si="93"/>
        <v/>
      </c>
      <c r="D848" t="str">
        <f t="shared" si="94"/>
        <v/>
      </c>
      <c r="E848" t="str">
        <f>IF(F848="","",IF(COUNTIF($F$2:F848,F848)&gt;1,"",SUMIFS(tbl_input[필요수량],tbl_input[집계키_센터],F848)))</f>
        <v/>
      </c>
      <c r="F848" t="str">
        <f>IFERROR(INDEX(tbl_input[집계키_센터],ROW()-1),"")</f>
        <v/>
      </c>
      <c r="G848" t="str">
        <f t="shared" si="95"/>
        <v/>
      </c>
      <c r="H848" t="str">
        <f t="shared" si="96"/>
        <v/>
      </c>
      <c r="I848" t="str">
        <f t="shared" si="97"/>
        <v/>
      </c>
    </row>
    <row r="849" spans="1:9" x14ac:dyDescent="0.4">
      <c r="A849" t="str">
        <f t="shared" si="91"/>
        <v/>
      </c>
      <c r="B849" t="str">
        <f t="shared" si="92"/>
        <v/>
      </c>
      <c r="C849" t="str">
        <f t="shared" si="93"/>
        <v/>
      </c>
      <c r="D849" t="str">
        <f t="shared" si="94"/>
        <v/>
      </c>
      <c r="E849" t="str">
        <f>IF(F849="","",IF(COUNTIF($F$2:F849,F849)&gt;1,"",SUMIFS(tbl_input[필요수량],tbl_input[집계키_센터],F849)))</f>
        <v/>
      </c>
      <c r="F849" t="str">
        <f>IFERROR(INDEX(tbl_input[집계키_센터],ROW()-1),"")</f>
        <v/>
      </c>
      <c r="G849" t="str">
        <f t="shared" si="95"/>
        <v/>
      </c>
      <c r="H849" t="str">
        <f t="shared" si="96"/>
        <v/>
      </c>
      <c r="I849" t="str">
        <f t="shared" si="97"/>
        <v/>
      </c>
    </row>
    <row r="850" spans="1:9" x14ac:dyDescent="0.4">
      <c r="A850" t="str">
        <f t="shared" si="91"/>
        <v/>
      </c>
      <c r="B850" t="str">
        <f t="shared" si="92"/>
        <v/>
      </c>
      <c r="C850" t="str">
        <f t="shared" si="93"/>
        <v/>
      </c>
      <c r="D850" t="str">
        <f t="shared" si="94"/>
        <v/>
      </c>
      <c r="E850" t="str">
        <f>IF(F850="","",IF(COUNTIF($F$2:F850,F850)&gt;1,"",SUMIFS(tbl_input[필요수량],tbl_input[집계키_센터],F850)))</f>
        <v/>
      </c>
      <c r="F850" t="str">
        <f>IFERROR(INDEX(tbl_input[집계키_센터],ROW()-1),"")</f>
        <v/>
      </c>
      <c r="G850" t="str">
        <f t="shared" si="95"/>
        <v/>
      </c>
      <c r="H850" t="str">
        <f t="shared" si="96"/>
        <v/>
      </c>
      <c r="I850" t="str">
        <f t="shared" si="97"/>
        <v/>
      </c>
    </row>
    <row r="851" spans="1:9" x14ac:dyDescent="0.4">
      <c r="A851" t="str">
        <f t="shared" si="91"/>
        <v/>
      </c>
      <c r="B851" t="str">
        <f t="shared" si="92"/>
        <v/>
      </c>
      <c r="C851" t="str">
        <f t="shared" si="93"/>
        <v/>
      </c>
      <c r="D851" t="str">
        <f t="shared" si="94"/>
        <v/>
      </c>
      <c r="E851" t="str">
        <f>IF(F851="","",IF(COUNTIF($F$2:F851,F851)&gt;1,"",SUMIFS(tbl_input[필요수량],tbl_input[집계키_센터],F851)))</f>
        <v/>
      </c>
      <c r="F851" t="str">
        <f>IFERROR(INDEX(tbl_input[집계키_센터],ROW()-1),"")</f>
        <v/>
      </c>
      <c r="G851" t="str">
        <f t="shared" si="95"/>
        <v/>
      </c>
      <c r="H851" t="str">
        <f t="shared" si="96"/>
        <v/>
      </c>
      <c r="I851" t="str">
        <f t="shared" si="97"/>
        <v/>
      </c>
    </row>
    <row r="852" spans="1:9" x14ac:dyDescent="0.4">
      <c r="A852" t="str">
        <f t="shared" si="91"/>
        <v/>
      </c>
      <c r="B852" t="str">
        <f t="shared" si="92"/>
        <v/>
      </c>
      <c r="C852" t="str">
        <f t="shared" si="93"/>
        <v/>
      </c>
      <c r="D852" t="str">
        <f t="shared" si="94"/>
        <v/>
      </c>
      <c r="E852" t="str">
        <f>IF(F852="","",IF(COUNTIF($F$2:F852,F852)&gt;1,"",SUMIFS(tbl_input[필요수량],tbl_input[집계키_센터],F852)))</f>
        <v/>
      </c>
      <c r="F852" t="str">
        <f>IFERROR(INDEX(tbl_input[집계키_센터],ROW()-1),"")</f>
        <v/>
      </c>
      <c r="G852" t="str">
        <f t="shared" si="95"/>
        <v/>
      </c>
      <c r="H852" t="str">
        <f t="shared" si="96"/>
        <v/>
      </c>
      <c r="I852" t="str">
        <f t="shared" si="97"/>
        <v/>
      </c>
    </row>
    <row r="853" spans="1:9" x14ac:dyDescent="0.4">
      <c r="A853" t="str">
        <f t="shared" si="91"/>
        <v/>
      </c>
      <c r="B853" t="str">
        <f t="shared" si="92"/>
        <v/>
      </c>
      <c r="C853" t="str">
        <f t="shared" si="93"/>
        <v/>
      </c>
      <c r="D853" t="str">
        <f t="shared" si="94"/>
        <v/>
      </c>
      <c r="E853" t="str">
        <f>IF(F853="","",IF(COUNTIF($F$2:F853,F853)&gt;1,"",SUMIFS(tbl_input[필요수량],tbl_input[집계키_센터],F853)))</f>
        <v/>
      </c>
      <c r="F853" t="str">
        <f>IFERROR(INDEX(tbl_input[집계키_센터],ROW()-1),"")</f>
        <v/>
      </c>
      <c r="G853" t="str">
        <f t="shared" si="95"/>
        <v/>
      </c>
      <c r="H853" t="str">
        <f t="shared" si="96"/>
        <v/>
      </c>
      <c r="I853" t="str">
        <f t="shared" si="97"/>
        <v/>
      </c>
    </row>
    <row r="854" spans="1:9" x14ac:dyDescent="0.4">
      <c r="A854" t="str">
        <f t="shared" si="91"/>
        <v/>
      </c>
      <c r="B854" t="str">
        <f t="shared" si="92"/>
        <v/>
      </c>
      <c r="C854" t="str">
        <f t="shared" si="93"/>
        <v/>
      </c>
      <c r="D854" t="str">
        <f t="shared" si="94"/>
        <v/>
      </c>
      <c r="E854" t="str">
        <f>IF(F854="","",IF(COUNTIF($F$2:F854,F854)&gt;1,"",SUMIFS(tbl_input[필요수량],tbl_input[집계키_센터],F854)))</f>
        <v/>
      </c>
      <c r="F854" t="str">
        <f>IFERROR(INDEX(tbl_input[집계키_센터],ROW()-1),"")</f>
        <v/>
      </c>
      <c r="G854" t="str">
        <f t="shared" si="95"/>
        <v/>
      </c>
      <c r="H854" t="str">
        <f t="shared" si="96"/>
        <v/>
      </c>
      <c r="I854" t="str">
        <f t="shared" si="97"/>
        <v/>
      </c>
    </row>
    <row r="855" spans="1:9" x14ac:dyDescent="0.4">
      <c r="A855" t="str">
        <f t="shared" si="91"/>
        <v/>
      </c>
      <c r="B855" t="str">
        <f t="shared" si="92"/>
        <v/>
      </c>
      <c r="C855" t="str">
        <f t="shared" si="93"/>
        <v/>
      </c>
      <c r="D855" t="str">
        <f t="shared" si="94"/>
        <v/>
      </c>
      <c r="E855" t="str">
        <f>IF(F855="","",IF(COUNTIF($F$2:F855,F855)&gt;1,"",SUMIFS(tbl_input[필요수량],tbl_input[집계키_센터],F855)))</f>
        <v/>
      </c>
      <c r="F855" t="str">
        <f>IFERROR(INDEX(tbl_input[집계키_센터],ROW()-1),"")</f>
        <v/>
      </c>
      <c r="G855" t="str">
        <f t="shared" si="95"/>
        <v/>
      </c>
      <c r="H855" t="str">
        <f t="shared" si="96"/>
        <v/>
      </c>
      <c r="I855" t="str">
        <f t="shared" si="97"/>
        <v/>
      </c>
    </row>
    <row r="856" spans="1:9" x14ac:dyDescent="0.4">
      <c r="A856" t="str">
        <f t="shared" si="91"/>
        <v/>
      </c>
      <c r="B856" t="str">
        <f t="shared" si="92"/>
        <v/>
      </c>
      <c r="C856" t="str">
        <f t="shared" si="93"/>
        <v/>
      </c>
      <c r="D856" t="str">
        <f t="shared" si="94"/>
        <v/>
      </c>
      <c r="E856" t="str">
        <f>IF(F856="","",IF(COUNTIF($F$2:F856,F856)&gt;1,"",SUMIFS(tbl_input[필요수량],tbl_input[집계키_센터],F856)))</f>
        <v/>
      </c>
      <c r="F856" t="str">
        <f>IFERROR(INDEX(tbl_input[집계키_센터],ROW()-1),"")</f>
        <v/>
      </c>
      <c r="G856" t="str">
        <f t="shared" si="95"/>
        <v/>
      </c>
      <c r="H856" t="str">
        <f t="shared" si="96"/>
        <v/>
      </c>
      <c r="I856" t="str">
        <f t="shared" si="97"/>
        <v/>
      </c>
    </row>
    <row r="857" spans="1:9" x14ac:dyDescent="0.4">
      <c r="A857" t="str">
        <f t="shared" si="91"/>
        <v/>
      </c>
      <c r="B857" t="str">
        <f t="shared" si="92"/>
        <v/>
      </c>
      <c r="C857" t="str">
        <f t="shared" si="93"/>
        <v/>
      </c>
      <c r="D857" t="str">
        <f t="shared" si="94"/>
        <v/>
      </c>
      <c r="E857" t="str">
        <f>IF(F857="","",IF(COUNTIF($F$2:F857,F857)&gt;1,"",SUMIFS(tbl_input[필요수량],tbl_input[집계키_센터],F857)))</f>
        <v/>
      </c>
      <c r="F857" t="str">
        <f>IFERROR(INDEX(tbl_input[집계키_센터],ROW()-1),"")</f>
        <v/>
      </c>
      <c r="G857" t="str">
        <f t="shared" si="95"/>
        <v/>
      </c>
      <c r="H857" t="str">
        <f t="shared" si="96"/>
        <v/>
      </c>
      <c r="I857" t="str">
        <f t="shared" si="97"/>
        <v/>
      </c>
    </row>
    <row r="858" spans="1:9" x14ac:dyDescent="0.4">
      <c r="A858" t="str">
        <f t="shared" si="91"/>
        <v/>
      </c>
      <c r="B858" t="str">
        <f t="shared" si="92"/>
        <v/>
      </c>
      <c r="C858" t="str">
        <f t="shared" si="93"/>
        <v/>
      </c>
      <c r="D858" t="str">
        <f t="shared" si="94"/>
        <v/>
      </c>
      <c r="E858" t="str">
        <f>IF(F858="","",IF(COUNTIF($F$2:F858,F858)&gt;1,"",SUMIFS(tbl_input[필요수량],tbl_input[집계키_센터],F858)))</f>
        <v/>
      </c>
      <c r="F858" t="str">
        <f>IFERROR(INDEX(tbl_input[집계키_센터],ROW()-1),"")</f>
        <v/>
      </c>
      <c r="G858" t="str">
        <f t="shared" si="95"/>
        <v/>
      </c>
      <c r="H858" t="str">
        <f t="shared" si="96"/>
        <v/>
      </c>
      <c r="I858" t="str">
        <f t="shared" si="97"/>
        <v/>
      </c>
    </row>
    <row r="859" spans="1:9" x14ac:dyDescent="0.4">
      <c r="A859" t="str">
        <f t="shared" si="91"/>
        <v/>
      </c>
      <c r="B859" t="str">
        <f t="shared" si="92"/>
        <v/>
      </c>
      <c r="C859" t="str">
        <f t="shared" si="93"/>
        <v/>
      </c>
      <c r="D859" t="str">
        <f t="shared" si="94"/>
        <v/>
      </c>
      <c r="E859" t="str">
        <f>IF(F859="","",IF(COUNTIF($F$2:F859,F859)&gt;1,"",SUMIFS(tbl_input[필요수량],tbl_input[집계키_센터],F859)))</f>
        <v/>
      </c>
      <c r="F859" t="str">
        <f>IFERROR(INDEX(tbl_input[집계키_센터],ROW()-1),"")</f>
        <v/>
      </c>
      <c r="G859" t="str">
        <f t="shared" si="95"/>
        <v/>
      </c>
      <c r="H859" t="str">
        <f t="shared" si="96"/>
        <v/>
      </c>
      <c r="I859" t="str">
        <f t="shared" si="97"/>
        <v/>
      </c>
    </row>
    <row r="860" spans="1:9" x14ac:dyDescent="0.4">
      <c r="A860" t="str">
        <f t="shared" si="91"/>
        <v/>
      </c>
      <c r="B860" t="str">
        <f t="shared" si="92"/>
        <v/>
      </c>
      <c r="C860" t="str">
        <f t="shared" si="93"/>
        <v/>
      </c>
      <c r="D860" t="str">
        <f t="shared" si="94"/>
        <v/>
      </c>
      <c r="E860" t="str">
        <f>IF(F860="","",IF(COUNTIF($F$2:F860,F860)&gt;1,"",SUMIFS(tbl_input[필요수량],tbl_input[집계키_센터],F860)))</f>
        <v/>
      </c>
      <c r="F860" t="str">
        <f>IFERROR(INDEX(tbl_input[집계키_센터],ROW()-1),"")</f>
        <v/>
      </c>
      <c r="G860" t="str">
        <f t="shared" si="95"/>
        <v/>
      </c>
      <c r="H860" t="str">
        <f t="shared" si="96"/>
        <v/>
      </c>
      <c r="I860" t="str">
        <f t="shared" si="97"/>
        <v/>
      </c>
    </row>
    <row r="861" spans="1:9" x14ac:dyDescent="0.4">
      <c r="A861" t="str">
        <f t="shared" si="91"/>
        <v/>
      </c>
      <c r="B861" t="str">
        <f t="shared" si="92"/>
        <v/>
      </c>
      <c r="C861" t="str">
        <f t="shared" si="93"/>
        <v/>
      </c>
      <c r="D861" t="str">
        <f t="shared" si="94"/>
        <v/>
      </c>
      <c r="E861" t="str">
        <f>IF(F861="","",IF(COUNTIF($F$2:F861,F861)&gt;1,"",SUMIFS(tbl_input[필요수량],tbl_input[집계키_센터],F861)))</f>
        <v/>
      </c>
      <c r="F861" t="str">
        <f>IFERROR(INDEX(tbl_input[집계키_센터],ROW()-1),"")</f>
        <v/>
      </c>
      <c r="G861" t="str">
        <f t="shared" si="95"/>
        <v/>
      </c>
      <c r="H861" t="str">
        <f t="shared" si="96"/>
        <v/>
      </c>
      <c r="I861" t="str">
        <f t="shared" si="97"/>
        <v/>
      </c>
    </row>
    <row r="862" spans="1:9" x14ac:dyDescent="0.4">
      <c r="A862" t="str">
        <f t="shared" si="91"/>
        <v/>
      </c>
      <c r="B862" t="str">
        <f t="shared" si="92"/>
        <v/>
      </c>
      <c r="C862" t="str">
        <f t="shared" si="93"/>
        <v/>
      </c>
      <c r="D862" t="str">
        <f t="shared" si="94"/>
        <v/>
      </c>
      <c r="E862" t="str">
        <f>IF(F862="","",IF(COUNTIF($F$2:F862,F862)&gt;1,"",SUMIFS(tbl_input[필요수량],tbl_input[집계키_센터],F862)))</f>
        <v/>
      </c>
      <c r="F862" t="str">
        <f>IFERROR(INDEX(tbl_input[집계키_센터],ROW()-1),"")</f>
        <v/>
      </c>
      <c r="G862" t="str">
        <f t="shared" si="95"/>
        <v/>
      </c>
      <c r="H862" t="str">
        <f t="shared" si="96"/>
        <v/>
      </c>
      <c r="I862" t="str">
        <f t="shared" si="97"/>
        <v/>
      </c>
    </row>
    <row r="863" spans="1:9" x14ac:dyDescent="0.4">
      <c r="A863" t="str">
        <f t="shared" si="91"/>
        <v/>
      </c>
      <c r="B863" t="str">
        <f t="shared" si="92"/>
        <v/>
      </c>
      <c r="C863" t="str">
        <f t="shared" si="93"/>
        <v/>
      </c>
      <c r="D863" t="str">
        <f t="shared" si="94"/>
        <v/>
      </c>
      <c r="E863" t="str">
        <f>IF(F863="","",IF(COUNTIF($F$2:F863,F863)&gt;1,"",SUMIFS(tbl_input[필요수량],tbl_input[집계키_센터],F863)))</f>
        <v/>
      </c>
      <c r="F863" t="str">
        <f>IFERROR(INDEX(tbl_input[집계키_센터],ROW()-1),"")</f>
        <v/>
      </c>
      <c r="G863" t="str">
        <f t="shared" si="95"/>
        <v/>
      </c>
      <c r="H863" t="str">
        <f t="shared" si="96"/>
        <v/>
      </c>
      <c r="I863" t="str">
        <f t="shared" si="97"/>
        <v/>
      </c>
    </row>
    <row r="864" spans="1:9" x14ac:dyDescent="0.4">
      <c r="A864" t="str">
        <f t="shared" si="91"/>
        <v/>
      </c>
      <c r="B864" t="str">
        <f t="shared" si="92"/>
        <v/>
      </c>
      <c r="C864" t="str">
        <f t="shared" si="93"/>
        <v/>
      </c>
      <c r="D864" t="str">
        <f t="shared" si="94"/>
        <v/>
      </c>
      <c r="E864" t="str">
        <f>IF(F864="","",IF(COUNTIF($F$2:F864,F864)&gt;1,"",SUMIFS(tbl_input[필요수량],tbl_input[집계키_센터],F864)))</f>
        <v/>
      </c>
      <c r="F864" t="str">
        <f>IFERROR(INDEX(tbl_input[집계키_센터],ROW()-1),"")</f>
        <v/>
      </c>
      <c r="G864" t="str">
        <f t="shared" si="95"/>
        <v/>
      </c>
      <c r="H864" t="str">
        <f t="shared" si="96"/>
        <v/>
      </c>
      <c r="I864" t="str">
        <f t="shared" si="97"/>
        <v/>
      </c>
    </row>
    <row r="865" spans="1:9" x14ac:dyDescent="0.4">
      <c r="A865" t="str">
        <f t="shared" si="91"/>
        <v/>
      </c>
      <c r="B865" t="str">
        <f t="shared" si="92"/>
        <v/>
      </c>
      <c r="C865" t="str">
        <f t="shared" si="93"/>
        <v/>
      </c>
      <c r="D865" t="str">
        <f t="shared" si="94"/>
        <v/>
      </c>
      <c r="E865" t="str">
        <f>IF(F865="","",IF(COUNTIF($F$2:F865,F865)&gt;1,"",SUMIFS(tbl_input[필요수량],tbl_input[집계키_센터],F865)))</f>
        <v/>
      </c>
      <c r="F865" t="str">
        <f>IFERROR(INDEX(tbl_input[집계키_센터],ROW()-1),"")</f>
        <v/>
      </c>
      <c r="G865" t="str">
        <f t="shared" si="95"/>
        <v/>
      </c>
      <c r="H865" t="str">
        <f t="shared" si="96"/>
        <v/>
      </c>
      <c r="I865" t="str">
        <f t="shared" si="97"/>
        <v/>
      </c>
    </row>
    <row r="866" spans="1:9" x14ac:dyDescent="0.4">
      <c r="A866" t="str">
        <f t="shared" si="91"/>
        <v/>
      </c>
      <c r="B866" t="str">
        <f t="shared" si="92"/>
        <v/>
      </c>
      <c r="C866" t="str">
        <f t="shared" si="93"/>
        <v/>
      </c>
      <c r="D866" t="str">
        <f t="shared" si="94"/>
        <v/>
      </c>
      <c r="E866" t="str">
        <f>IF(F866="","",IF(COUNTIF($F$2:F866,F866)&gt;1,"",SUMIFS(tbl_input[필요수량],tbl_input[집계키_센터],F866)))</f>
        <v/>
      </c>
      <c r="F866" t="str">
        <f>IFERROR(INDEX(tbl_input[집계키_센터],ROW()-1),"")</f>
        <v/>
      </c>
      <c r="G866" t="str">
        <f t="shared" si="95"/>
        <v/>
      </c>
      <c r="H866" t="str">
        <f t="shared" si="96"/>
        <v/>
      </c>
      <c r="I866" t="str">
        <f t="shared" si="97"/>
        <v/>
      </c>
    </row>
    <row r="867" spans="1:9" x14ac:dyDescent="0.4">
      <c r="A867" t="str">
        <f t="shared" si="91"/>
        <v/>
      </c>
      <c r="B867" t="str">
        <f t="shared" si="92"/>
        <v/>
      </c>
      <c r="C867" t="str">
        <f t="shared" si="93"/>
        <v/>
      </c>
      <c r="D867" t="str">
        <f t="shared" si="94"/>
        <v/>
      </c>
      <c r="E867" t="str">
        <f>IF(F867="","",IF(COUNTIF($F$2:F867,F867)&gt;1,"",SUMIFS(tbl_input[필요수량],tbl_input[집계키_센터],F867)))</f>
        <v/>
      </c>
      <c r="F867" t="str">
        <f>IFERROR(INDEX(tbl_input[집계키_센터],ROW()-1),"")</f>
        <v/>
      </c>
      <c r="G867" t="str">
        <f t="shared" si="95"/>
        <v/>
      </c>
      <c r="H867" t="str">
        <f t="shared" si="96"/>
        <v/>
      </c>
      <c r="I867" t="str">
        <f t="shared" si="97"/>
        <v/>
      </c>
    </row>
    <row r="868" spans="1:9" x14ac:dyDescent="0.4">
      <c r="A868" t="str">
        <f t="shared" si="91"/>
        <v/>
      </c>
      <c r="B868" t="str">
        <f t="shared" si="92"/>
        <v/>
      </c>
      <c r="C868" t="str">
        <f t="shared" si="93"/>
        <v/>
      </c>
      <c r="D868" t="str">
        <f t="shared" si="94"/>
        <v/>
      </c>
      <c r="E868" t="str">
        <f>IF(F868="","",IF(COUNTIF($F$2:F868,F868)&gt;1,"",SUMIFS(tbl_input[필요수량],tbl_input[집계키_센터],F868)))</f>
        <v/>
      </c>
      <c r="F868" t="str">
        <f>IFERROR(INDEX(tbl_input[집계키_센터],ROW()-1),"")</f>
        <v/>
      </c>
      <c r="G868" t="str">
        <f t="shared" si="95"/>
        <v/>
      </c>
      <c r="H868" t="str">
        <f t="shared" si="96"/>
        <v/>
      </c>
      <c r="I868" t="str">
        <f t="shared" si="97"/>
        <v/>
      </c>
    </row>
    <row r="869" spans="1:9" x14ac:dyDescent="0.4">
      <c r="A869" t="str">
        <f t="shared" si="91"/>
        <v/>
      </c>
      <c r="B869" t="str">
        <f t="shared" si="92"/>
        <v/>
      </c>
      <c r="C869" t="str">
        <f t="shared" si="93"/>
        <v/>
      </c>
      <c r="D869" t="str">
        <f t="shared" si="94"/>
        <v/>
      </c>
      <c r="E869" t="str">
        <f>IF(F869="","",IF(COUNTIF($F$2:F869,F869)&gt;1,"",SUMIFS(tbl_input[필요수량],tbl_input[집계키_센터],F869)))</f>
        <v/>
      </c>
      <c r="F869" t="str">
        <f>IFERROR(INDEX(tbl_input[집계키_센터],ROW()-1),"")</f>
        <v/>
      </c>
      <c r="G869" t="str">
        <f t="shared" si="95"/>
        <v/>
      </c>
      <c r="H869" t="str">
        <f t="shared" si="96"/>
        <v/>
      </c>
      <c r="I869" t="str">
        <f t="shared" si="97"/>
        <v/>
      </c>
    </row>
    <row r="870" spans="1:9" x14ac:dyDescent="0.4">
      <c r="A870" t="str">
        <f t="shared" si="91"/>
        <v/>
      </c>
      <c r="B870" t="str">
        <f t="shared" si="92"/>
        <v/>
      </c>
      <c r="C870" t="str">
        <f t="shared" si="93"/>
        <v/>
      </c>
      <c r="D870" t="str">
        <f t="shared" si="94"/>
        <v/>
      </c>
      <c r="E870" t="str">
        <f>IF(F870="","",IF(COUNTIF($F$2:F870,F870)&gt;1,"",SUMIFS(tbl_input[필요수량],tbl_input[집계키_센터],F870)))</f>
        <v/>
      </c>
      <c r="F870" t="str">
        <f>IFERROR(INDEX(tbl_input[집계키_센터],ROW()-1),"")</f>
        <v/>
      </c>
      <c r="G870" t="str">
        <f t="shared" si="95"/>
        <v/>
      </c>
      <c r="H870" t="str">
        <f t="shared" si="96"/>
        <v/>
      </c>
      <c r="I870" t="str">
        <f t="shared" si="97"/>
        <v/>
      </c>
    </row>
    <row r="871" spans="1:9" x14ac:dyDescent="0.4">
      <c r="A871" t="str">
        <f t="shared" si="91"/>
        <v/>
      </c>
      <c r="B871" t="str">
        <f t="shared" si="92"/>
        <v/>
      </c>
      <c r="C871" t="str">
        <f t="shared" si="93"/>
        <v/>
      </c>
      <c r="D871" t="str">
        <f t="shared" si="94"/>
        <v/>
      </c>
      <c r="E871" t="str">
        <f>IF(F871="","",IF(COUNTIF($F$2:F871,F871)&gt;1,"",SUMIFS(tbl_input[필요수량],tbl_input[집계키_센터],F871)))</f>
        <v/>
      </c>
      <c r="F871" t="str">
        <f>IFERROR(INDEX(tbl_input[집계키_센터],ROW()-1),"")</f>
        <v/>
      </c>
      <c r="G871" t="str">
        <f t="shared" si="95"/>
        <v/>
      </c>
      <c r="H871" t="str">
        <f t="shared" si="96"/>
        <v/>
      </c>
      <c r="I871" t="str">
        <f t="shared" si="97"/>
        <v/>
      </c>
    </row>
    <row r="872" spans="1:9" x14ac:dyDescent="0.4">
      <c r="A872" t="str">
        <f t="shared" si="91"/>
        <v/>
      </c>
      <c r="B872" t="str">
        <f t="shared" si="92"/>
        <v/>
      </c>
      <c r="C872" t="str">
        <f t="shared" si="93"/>
        <v/>
      </c>
      <c r="D872" t="str">
        <f t="shared" si="94"/>
        <v/>
      </c>
      <c r="E872" t="str">
        <f>IF(F872="","",IF(COUNTIF($F$2:F872,F872)&gt;1,"",SUMIFS(tbl_input[필요수량],tbl_input[집계키_센터],F872)))</f>
        <v/>
      </c>
      <c r="F872" t="str">
        <f>IFERROR(INDEX(tbl_input[집계키_센터],ROW()-1),"")</f>
        <v/>
      </c>
      <c r="G872" t="str">
        <f t="shared" si="95"/>
        <v/>
      </c>
      <c r="H872" t="str">
        <f t="shared" si="96"/>
        <v/>
      </c>
      <c r="I872" t="str">
        <f t="shared" si="97"/>
        <v/>
      </c>
    </row>
    <row r="873" spans="1:9" x14ac:dyDescent="0.4">
      <c r="A873" t="str">
        <f t="shared" si="91"/>
        <v/>
      </c>
      <c r="B873" t="str">
        <f t="shared" si="92"/>
        <v/>
      </c>
      <c r="C873" t="str">
        <f t="shared" si="93"/>
        <v/>
      </c>
      <c r="D873" t="str">
        <f t="shared" si="94"/>
        <v/>
      </c>
      <c r="E873" t="str">
        <f>IF(F873="","",IF(COUNTIF($F$2:F873,F873)&gt;1,"",SUMIFS(tbl_input[필요수량],tbl_input[집계키_센터],F873)))</f>
        <v/>
      </c>
      <c r="F873" t="str">
        <f>IFERROR(INDEX(tbl_input[집계키_센터],ROW()-1),"")</f>
        <v/>
      </c>
      <c r="G873" t="str">
        <f t="shared" si="95"/>
        <v/>
      </c>
      <c r="H873" t="str">
        <f t="shared" si="96"/>
        <v/>
      </c>
      <c r="I873" t="str">
        <f t="shared" si="97"/>
        <v/>
      </c>
    </row>
    <row r="874" spans="1:9" x14ac:dyDescent="0.4">
      <c r="A874" t="str">
        <f t="shared" si="91"/>
        <v/>
      </c>
      <c r="B874" t="str">
        <f t="shared" si="92"/>
        <v/>
      </c>
      <c r="C874" t="str">
        <f t="shared" si="93"/>
        <v/>
      </c>
      <c r="D874" t="str">
        <f t="shared" si="94"/>
        <v/>
      </c>
      <c r="E874" t="str">
        <f>IF(F874="","",IF(COUNTIF($F$2:F874,F874)&gt;1,"",SUMIFS(tbl_input[필요수량],tbl_input[집계키_센터],F874)))</f>
        <v/>
      </c>
      <c r="F874" t="str">
        <f>IFERROR(INDEX(tbl_input[집계키_센터],ROW()-1),"")</f>
        <v/>
      </c>
      <c r="G874" t="str">
        <f t="shared" si="95"/>
        <v/>
      </c>
      <c r="H874" t="str">
        <f t="shared" si="96"/>
        <v/>
      </c>
      <c r="I874" t="str">
        <f t="shared" si="97"/>
        <v/>
      </c>
    </row>
    <row r="875" spans="1:9" x14ac:dyDescent="0.4">
      <c r="A875" t="str">
        <f t="shared" si="91"/>
        <v/>
      </c>
      <c r="B875" t="str">
        <f t="shared" si="92"/>
        <v/>
      </c>
      <c r="C875" t="str">
        <f t="shared" si="93"/>
        <v/>
      </c>
      <c r="D875" t="str">
        <f t="shared" si="94"/>
        <v/>
      </c>
      <c r="E875" t="str">
        <f>IF(F875="","",IF(COUNTIF($F$2:F875,F875)&gt;1,"",SUMIFS(tbl_input[필요수량],tbl_input[집계키_센터],F875)))</f>
        <v/>
      </c>
      <c r="F875" t="str">
        <f>IFERROR(INDEX(tbl_input[집계키_센터],ROW()-1),"")</f>
        <v/>
      </c>
      <c r="G875" t="str">
        <f t="shared" si="95"/>
        <v/>
      </c>
      <c r="H875" t="str">
        <f t="shared" si="96"/>
        <v/>
      </c>
      <c r="I875" t="str">
        <f t="shared" si="97"/>
        <v/>
      </c>
    </row>
    <row r="876" spans="1:9" x14ac:dyDescent="0.4">
      <c r="A876" t="str">
        <f t="shared" si="91"/>
        <v/>
      </c>
      <c r="B876" t="str">
        <f t="shared" si="92"/>
        <v/>
      </c>
      <c r="C876" t="str">
        <f t="shared" si="93"/>
        <v/>
      </c>
      <c r="D876" t="str">
        <f t="shared" si="94"/>
        <v/>
      </c>
      <c r="E876" t="str">
        <f>IF(F876="","",IF(COUNTIF($F$2:F876,F876)&gt;1,"",SUMIFS(tbl_input[필요수량],tbl_input[집계키_센터],F876)))</f>
        <v/>
      </c>
      <c r="F876" t="str">
        <f>IFERROR(INDEX(tbl_input[집계키_센터],ROW()-1),"")</f>
        <v/>
      </c>
      <c r="G876" t="str">
        <f t="shared" si="95"/>
        <v/>
      </c>
      <c r="H876" t="str">
        <f t="shared" si="96"/>
        <v/>
      </c>
      <c r="I876" t="str">
        <f t="shared" si="97"/>
        <v/>
      </c>
    </row>
    <row r="877" spans="1:9" x14ac:dyDescent="0.4">
      <c r="A877" t="str">
        <f t="shared" si="91"/>
        <v/>
      </c>
      <c r="B877" t="str">
        <f t="shared" si="92"/>
        <v/>
      </c>
      <c r="C877" t="str">
        <f t="shared" si="93"/>
        <v/>
      </c>
      <c r="D877" t="str">
        <f t="shared" si="94"/>
        <v/>
      </c>
      <c r="E877" t="str">
        <f>IF(F877="","",IF(COUNTIF($F$2:F877,F877)&gt;1,"",SUMIFS(tbl_input[필요수량],tbl_input[집계키_센터],F877)))</f>
        <v/>
      </c>
      <c r="F877" t="str">
        <f>IFERROR(INDEX(tbl_input[집계키_센터],ROW()-1),"")</f>
        <v/>
      </c>
      <c r="G877" t="str">
        <f t="shared" si="95"/>
        <v/>
      </c>
      <c r="H877" t="str">
        <f t="shared" si="96"/>
        <v/>
      </c>
      <c r="I877" t="str">
        <f t="shared" si="97"/>
        <v/>
      </c>
    </row>
    <row r="878" spans="1:9" x14ac:dyDescent="0.4">
      <c r="A878" t="str">
        <f t="shared" si="91"/>
        <v/>
      </c>
      <c r="B878" t="str">
        <f t="shared" si="92"/>
        <v/>
      </c>
      <c r="C878" t="str">
        <f t="shared" si="93"/>
        <v/>
      </c>
      <c r="D878" t="str">
        <f t="shared" si="94"/>
        <v/>
      </c>
      <c r="E878" t="str">
        <f>IF(F878="","",IF(COUNTIF($F$2:F878,F878)&gt;1,"",SUMIFS(tbl_input[필요수량],tbl_input[집계키_센터],F878)))</f>
        <v/>
      </c>
      <c r="F878" t="str">
        <f>IFERROR(INDEX(tbl_input[집계키_센터],ROW()-1),"")</f>
        <v/>
      </c>
      <c r="G878" t="str">
        <f t="shared" si="95"/>
        <v/>
      </c>
      <c r="H878" t="str">
        <f t="shared" si="96"/>
        <v/>
      </c>
      <c r="I878" t="str">
        <f t="shared" si="97"/>
        <v/>
      </c>
    </row>
    <row r="879" spans="1:9" x14ac:dyDescent="0.4">
      <c r="A879" t="str">
        <f t="shared" si="91"/>
        <v/>
      </c>
      <c r="B879" t="str">
        <f t="shared" si="92"/>
        <v/>
      </c>
      <c r="C879" t="str">
        <f t="shared" si="93"/>
        <v/>
      </c>
      <c r="D879" t="str">
        <f t="shared" si="94"/>
        <v/>
      </c>
      <c r="E879" t="str">
        <f>IF(F879="","",IF(COUNTIF($F$2:F879,F879)&gt;1,"",SUMIFS(tbl_input[필요수량],tbl_input[집계키_센터],F879)))</f>
        <v/>
      </c>
      <c r="F879" t="str">
        <f>IFERROR(INDEX(tbl_input[집계키_센터],ROW()-1),"")</f>
        <v/>
      </c>
      <c r="G879" t="str">
        <f t="shared" si="95"/>
        <v/>
      </c>
      <c r="H879" t="str">
        <f t="shared" si="96"/>
        <v/>
      </c>
      <c r="I879" t="str">
        <f t="shared" si="97"/>
        <v/>
      </c>
    </row>
    <row r="880" spans="1:9" x14ac:dyDescent="0.4">
      <c r="A880" t="str">
        <f t="shared" si="91"/>
        <v/>
      </c>
      <c r="B880" t="str">
        <f t="shared" si="92"/>
        <v/>
      </c>
      <c r="C880" t="str">
        <f t="shared" si="93"/>
        <v/>
      </c>
      <c r="D880" t="str">
        <f t="shared" si="94"/>
        <v/>
      </c>
      <c r="E880" t="str">
        <f>IF(F880="","",IF(COUNTIF($F$2:F880,F880)&gt;1,"",SUMIFS(tbl_input[필요수량],tbl_input[집계키_센터],F880)))</f>
        <v/>
      </c>
      <c r="F880" t="str">
        <f>IFERROR(INDEX(tbl_input[집계키_센터],ROW()-1),"")</f>
        <v/>
      </c>
      <c r="G880" t="str">
        <f t="shared" si="95"/>
        <v/>
      </c>
      <c r="H880" t="str">
        <f t="shared" si="96"/>
        <v/>
      </c>
      <c r="I880" t="str">
        <f t="shared" si="97"/>
        <v/>
      </c>
    </row>
    <row r="881" spans="1:9" x14ac:dyDescent="0.4">
      <c r="A881" t="str">
        <f t="shared" si="91"/>
        <v/>
      </c>
      <c r="B881" t="str">
        <f t="shared" si="92"/>
        <v/>
      </c>
      <c r="C881" t="str">
        <f t="shared" si="93"/>
        <v/>
      </c>
      <c r="D881" t="str">
        <f t="shared" si="94"/>
        <v/>
      </c>
      <c r="E881" t="str">
        <f>IF(F881="","",IF(COUNTIF($F$2:F881,F881)&gt;1,"",SUMIFS(tbl_input[필요수량],tbl_input[집계키_센터],F881)))</f>
        <v/>
      </c>
      <c r="F881" t="str">
        <f>IFERROR(INDEX(tbl_input[집계키_센터],ROW()-1),"")</f>
        <v/>
      </c>
      <c r="G881" t="str">
        <f t="shared" si="95"/>
        <v/>
      </c>
      <c r="H881" t="str">
        <f t="shared" si="96"/>
        <v/>
      </c>
      <c r="I881" t="str">
        <f t="shared" si="97"/>
        <v/>
      </c>
    </row>
    <row r="882" spans="1:9" x14ac:dyDescent="0.4">
      <c r="A882" t="str">
        <f t="shared" si="91"/>
        <v/>
      </c>
      <c r="B882" t="str">
        <f t="shared" si="92"/>
        <v/>
      </c>
      <c r="C882" t="str">
        <f t="shared" si="93"/>
        <v/>
      </c>
      <c r="D882" t="str">
        <f t="shared" si="94"/>
        <v/>
      </c>
      <c r="E882" t="str">
        <f>IF(F882="","",IF(COUNTIF($F$2:F882,F882)&gt;1,"",SUMIFS(tbl_input[필요수량],tbl_input[집계키_센터],F882)))</f>
        <v/>
      </c>
      <c r="F882" t="str">
        <f>IFERROR(INDEX(tbl_input[집계키_센터],ROW()-1),"")</f>
        <v/>
      </c>
      <c r="G882" t="str">
        <f t="shared" si="95"/>
        <v/>
      </c>
      <c r="H882" t="str">
        <f t="shared" si="96"/>
        <v/>
      </c>
      <c r="I882" t="str">
        <f t="shared" si="97"/>
        <v/>
      </c>
    </row>
    <row r="883" spans="1:9" x14ac:dyDescent="0.4">
      <c r="A883" t="str">
        <f t="shared" si="91"/>
        <v/>
      </c>
      <c r="B883" t="str">
        <f t="shared" si="92"/>
        <v/>
      </c>
      <c r="C883" t="str">
        <f t="shared" si="93"/>
        <v/>
      </c>
      <c r="D883" t="str">
        <f t="shared" si="94"/>
        <v/>
      </c>
      <c r="E883" t="str">
        <f>IF(F883="","",IF(COUNTIF($F$2:F883,F883)&gt;1,"",SUMIFS(tbl_input[필요수량],tbl_input[집계키_센터],F883)))</f>
        <v/>
      </c>
      <c r="F883" t="str">
        <f>IFERROR(INDEX(tbl_input[집계키_센터],ROW()-1),"")</f>
        <v/>
      </c>
      <c r="G883" t="str">
        <f t="shared" si="95"/>
        <v/>
      </c>
      <c r="H883" t="str">
        <f t="shared" si="96"/>
        <v/>
      </c>
      <c r="I883" t="str">
        <f t="shared" si="97"/>
        <v/>
      </c>
    </row>
    <row r="884" spans="1:9" x14ac:dyDescent="0.4">
      <c r="A884" t="str">
        <f t="shared" si="91"/>
        <v/>
      </c>
      <c r="B884" t="str">
        <f t="shared" si="92"/>
        <v/>
      </c>
      <c r="C884" t="str">
        <f t="shared" si="93"/>
        <v/>
      </c>
      <c r="D884" t="str">
        <f t="shared" si="94"/>
        <v/>
      </c>
      <c r="E884" t="str">
        <f>IF(F884="","",IF(COUNTIF($F$2:F884,F884)&gt;1,"",SUMIFS(tbl_input[필요수량],tbl_input[집계키_센터],F884)))</f>
        <v/>
      </c>
      <c r="F884" t="str">
        <f>IFERROR(INDEX(tbl_input[집계키_센터],ROW()-1),"")</f>
        <v/>
      </c>
      <c r="G884" t="str">
        <f t="shared" si="95"/>
        <v/>
      </c>
      <c r="H884" t="str">
        <f t="shared" si="96"/>
        <v/>
      </c>
      <c r="I884" t="str">
        <f t="shared" si="97"/>
        <v/>
      </c>
    </row>
    <row r="885" spans="1:9" x14ac:dyDescent="0.4">
      <c r="A885" t="str">
        <f t="shared" si="91"/>
        <v/>
      </c>
      <c r="B885" t="str">
        <f t="shared" si="92"/>
        <v/>
      </c>
      <c r="C885" t="str">
        <f t="shared" si="93"/>
        <v/>
      </c>
      <c r="D885" t="str">
        <f t="shared" si="94"/>
        <v/>
      </c>
      <c r="E885" t="str">
        <f>IF(F885="","",IF(COUNTIF($F$2:F885,F885)&gt;1,"",SUMIFS(tbl_input[필요수량],tbl_input[집계키_센터],F885)))</f>
        <v/>
      </c>
      <c r="F885" t="str">
        <f>IFERROR(INDEX(tbl_input[집계키_센터],ROW()-1),"")</f>
        <v/>
      </c>
      <c r="G885" t="str">
        <f t="shared" si="95"/>
        <v/>
      </c>
      <c r="H885" t="str">
        <f t="shared" si="96"/>
        <v/>
      </c>
      <c r="I885" t="str">
        <f t="shared" si="97"/>
        <v/>
      </c>
    </row>
    <row r="886" spans="1:9" x14ac:dyDescent="0.4">
      <c r="A886" t="str">
        <f t="shared" si="91"/>
        <v/>
      </c>
      <c r="B886" t="str">
        <f t="shared" si="92"/>
        <v/>
      </c>
      <c r="C886" t="str">
        <f t="shared" si="93"/>
        <v/>
      </c>
      <c r="D886" t="str">
        <f t="shared" si="94"/>
        <v/>
      </c>
      <c r="E886" t="str">
        <f>IF(F886="","",IF(COUNTIF($F$2:F886,F886)&gt;1,"",SUMIFS(tbl_input[필요수량],tbl_input[집계키_센터],F886)))</f>
        <v/>
      </c>
      <c r="F886" t="str">
        <f>IFERROR(INDEX(tbl_input[집계키_센터],ROW()-1),"")</f>
        <v/>
      </c>
      <c r="G886" t="str">
        <f t="shared" si="95"/>
        <v/>
      </c>
      <c r="H886" t="str">
        <f t="shared" si="96"/>
        <v/>
      </c>
      <c r="I886" t="str">
        <f t="shared" si="97"/>
        <v/>
      </c>
    </row>
    <row r="887" spans="1:9" x14ac:dyDescent="0.4">
      <c r="A887" t="str">
        <f t="shared" si="91"/>
        <v/>
      </c>
      <c r="B887" t="str">
        <f t="shared" si="92"/>
        <v/>
      </c>
      <c r="C887" t="str">
        <f t="shared" si="93"/>
        <v/>
      </c>
      <c r="D887" t="str">
        <f t="shared" si="94"/>
        <v/>
      </c>
      <c r="E887" t="str">
        <f>IF(F887="","",IF(COUNTIF($F$2:F887,F887)&gt;1,"",SUMIFS(tbl_input[필요수량],tbl_input[집계키_센터],F887)))</f>
        <v/>
      </c>
      <c r="F887" t="str">
        <f>IFERROR(INDEX(tbl_input[집계키_센터],ROW()-1),"")</f>
        <v/>
      </c>
      <c r="G887" t="str">
        <f t="shared" si="95"/>
        <v/>
      </c>
      <c r="H887" t="str">
        <f t="shared" si="96"/>
        <v/>
      </c>
      <c r="I887" t="str">
        <f t="shared" si="97"/>
        <v/>
      </c>
    </row>
    <row r="888" spans="1:9" x14ac:dyDescent="0.4">
      <c r="A888" t="str">
        <f t="shared" si="91"/>
        <v/>
      </c>
      <c r="B888" t="str">
        <f t="shared" si="92"/>
        <v/>
      </c>
      <c r="C888" t="str">
        <f t="shared" si="93"/>
        <v/>
      </c>
      <c r="D888" t="str">
        <f t="shared" si="94"/>
        <v/>
      </c>
      <c r="E888" t="str">
        <f>IF(F888="","",IF(COUNTIF($F$2:F888,F888)&gt;1,"",SUMIFS(tbl_input[필요수량],tbl_input[집계키_센터],F888)))</f>
        <v/>
      </c>
      <c r="F888" t="str">
        <f>IFERROR(INDEX(tbl_input[집계키_센터],ROW()-1),"")</f>
        <v/>
      </c>
      <c r="G888" t="str">
        <f t="shared" si="95"/>
        <v/>
      </c>
      <c r="H888" t="str">
        <f t="shared" si="96"/>
        <v/>
      </c>
      <c r="I888" t="str">
        <f t="shared" si="97"/>
        <v/>
      </c>
    </row>
    <row r="889" spans="1:9" x14ac:dyDescent="0.4">
      <c r="A889" t="str">
        <f t="shared" si="91"/>
        <v/>
      </c>
      <c r="B889" t="str">
        <f t="shared" si="92"/>
        <v/>
      </c>
      <c r="C889" t="str">
        <f t="shared" si="93"/>
        <v/>
      </c>
      <c r="D889" t="str">
        <f t="shared" si="94"/>
        <v/>
      </c>
      <c r="E889" t="str">
        <f>IF(F889="","",IF(COUNTIF($F$2:F889,F889)&gt;1,"",SUMIFS(tbl_input[필요수량],tbl_input[집계키_센터],F889)))</f>
        <v/>
      </c>
      <c r="F889" t="str">
        <f>IFERROR(INDEX(tbl_input[집계키_센터],ROW()-1),"")</f>
        <v/>
      </c>
      <c r="G889" t="str">
        <f t="shared" si="95"/>
        <v/>
      </c>
      <c r="H889" t="str">
        <f t="shared" si="96"/>
        <v/>
      </c>
      <c r="I889" t="str">
        <f t="shared" si="97"/>
        <v/>
      </c>
    </row>
    <row r="890" spans="1:9" x14ac:dyDescent="0.4">
      <c r="A890" t="str">
        <f t="shared" si="91"/>
        <v/>
      </c>
      <c r="B890" t="str">
        <f t="shared" si="92"/>
        <v/>
      </c>
      <c r="C890" t="str">
        <f t="shared" si="93"/>
        <v/>
      </c>
      <c r="D890" t="str">
        <f t="shared" si="94"/>
        <v/>
      </c>
      <c r="E890" t="str">
        <f>IF(F890="","",IF(COUNTIF($F$2:F890,F890)&gt;1,"",SUMIFS(tbl_input[필요수량],tbl_input[집계키_센터],F890)))</f>
        <v/>
      </c>
      <c r="F890" t="str">
        <f>IFERROR(INDEX(tbl_input[집계키_센터],ROW()-1),"")</f>
        <v/>
      </c>
      <c r="G890" t="str">
        <f t="shared" si="95"/>
        <v/>
      </c>
      <c r="H890" t="str">
        <f t="shared" si="96"/>
        <v/>
      </c>
      <c r="I890" t="str">
        <f t="shared" si="97"/>
        <v/>
      </c>
    </row>
    <row r="891" spans="1:9" x14ac:dyDescent="0.4">
      <c r="A891" t="str">
        <f t="shared" si="91"/>
        <v/>
      </c>
      <c r="B891" t="str">
        <f t="shared" si="92"/>
        <v/>
      </c>
      <c r="C891" t="str">
        <f t="shared" si="93"/>
        <v/>
      </c>
      <c r="D891" t="str">
        <f t="shared" si="94"/>
        <v/>
      </c>
      <c r="E891" t="str">
        <f>IF(F891="","",IF(COUNTIF($F$2:F891,F891)&gt;1,"",SUMIFS(tbl_input[필요수량],tbl_input[집계키_센터],F891)))</f>
        <v/>
      </c>
      <c r="F891" t="str">
        <f>IFERROR(INDEX(tbl_input[집계키_센터],ROW()-1),"")</f>
        <v/>
      </c>
      <c r="G891" t="str">
        <f t="shared" si="95"/>
        <v/>
      </c>
      <c r="H891" t="str">
        <f t="shared" si="96"/>
        <v/>
      </c>
      <c r="I891" t="str">
        <f t="shared" si="97"/>
        <v/>
      </c>
    </row>
    <row r="892" spans="1:9" x14ac:dyDescent="0.4">
      <c r="A892" t="str">
        <f t="shared" si="91"/>
        <v/>
      </c>
      <c r="B892" t="str">
        <f t="shared" si="92"/>
        <v/>
      </c>
      <c r="C892" t="str">
        <f t="shared" si="93"/>
        <v/>
      </c>
      <c r="D892" t="str">
        <f t="shared" si="94"/>
        <v/>
      </c>
      <c r="E892" t="str">
        <f>IF(F892="","",IF(COUNTIF($F$2:F892,F892)&gt;1,"",SUMIFS(tbl_input[필요수량],tbl_input[집계키_센터],F892)))</f>
        <v/>
      </c>
      <c r="F892" t="str">
        <f>IFERROR(INDEX(tbl_input[집계키_센터],ROW()-1),"")</f>
        <v/>
      </c>
      <c r="G892" t="str">
        <f t="shared" si="95"/>
        <v/>
      </c>
      <c r="H892" t="str">
        <f t="shared" si="96"/>
        <v/>
      </c>
      <c r="I892" t="str">
        <f t="shared" si="97"/>
        <v/>
      </c>
    </row>
    <row r="893" spans="1:9" x14ac:dyDescent="0.4">
      <c r="A893" t="str">
        <f t="shared" si="91"/>
        <v/>
      </c>
      <c r="B893" t="str">
        <f t="shared" si="92"/>
        <v/>
      </c>
      <c r="C893" t="str">
        <f t="shared" si="93"/>
        <v/>
      </c>
      <c r="D893" t="str">
        <f t="shared" si="94"/>
        <v/>
      </c>
      <c r="E893" t="str">
        <f>IF(F893="","",IF(COUNTIF($F$2:F893,F893)&gt;1,"",SUMIFS(tbl_input[필요수량],tbl_input[집계키_센터],F893)))</f>
        <v/>
      </c>
      <c r="F893" t="str">
        <f>IFERROR(INDEX(tbl_input[집계키_센터],ROW()-1),"")</f>
        <v/>
      </c>
      <c r="G893" t="str">
        <f t="shared" si="95"/>
        <v/>
      </c>
      <c r="H893" t="str">
        <f t="shared" si="96"/>
        <v/>
      </c>
      <c r="I893" t="str">
        <f t="shared" si="97"/>
        <v/>
      </c>
    </row>
    <row r="894" spans="1:9" x14ac:dyDescent="0.4">
      <c r="A894" t="str">
        <f t="shared" si="91"/>
        <v/>
      </c>
      <c r="B894" t="str">
        <f t="shared" si="92"/>
        <v/>
      </c>
      <c r="C894" t="str">
        <f t="shared" si="93"/>
        <v/>
      </c>
      <c r="D894" t="str">
        <f t="shared" si="94"/>
        <v/>
      </c>
      <c r="E894" t="str">
        <f>IF(F894="","",IF(COUNTIF($F$2:F894,F894)&gt;1,"",SUMIFS(tbl_input[필요수량],tbl_input[집계키_센터],F894)))</f>
        <v/>
      </c>
      <c r="F894" t="str">
        <f>IFERROR(INDEX(tbl_input[집계키_센터],ROW()-1),"")</f>
        <v/>
      </c>
      <c r="G894" t="str">
        <f t="shared" si="95"/>
        <v/>
      </c>
      <c r="H894" t="str">
        <f t="shared" si="96"/>
        <v/>
      </c>
      <c r="I894" t="str">
        <f t="shared" si="97"/>
        <v/>
      </c>
    </row>
    <row r="895" spans="1:9" x14ac:dyDescent="0.4">
      <c r="A895" t="str">
        <f t="shared" si="91"/>
        <v/>
      </c>
      <c r="B895" t="str">
        <f t="shared" si="92"/>
        <v/>
      </c>
      <c r="C895" t="str">
        <f t="shared" si="93"/>
        <v/>
      </c>
      <c r="D895" t="str">
        <f t="shared" si="94"/>
        <v/>
      </c>
      <c r="E895" t="str">
        <f>IF(F895="","",IF(COUNTIF($F$2:F895,F895)&gt;1,"",SUMIFS(tbl_input[필요수량],tbl_input[집계키_센터],F895)))</f>
        <v/>
      </c>
      <c r="F895" t="str">
        <f>IFERROR(INDEX(tbl_input[집계키_센터],ROW()-1),"")</f>
        <v/>
      </c>
      <c r="G895" t="str">
        <f t="shared" si="95"/>
        <v/>
      </c>
      <c r="H895" t="str">
        <f t="shared" si="96"/>
        <v/>
      </c>
      <c r="I895" t="str">
        <f t="shared" si="97"/>
        <v/>
      </c>
    </row>
    <row r="896" spans="1:9" x14ac:dyDescent="0.4">
      <c r="A896" t="str">
        <f t="shared" si="91"/>
        <v/>
      </c>
      <c r="B896" t="str">
        <f t="shared" si="92"/>
        <v/>
      </c>
      <c r="C896" t="str">
        <f t="shared" si="93"/>
        <v/>
      </c>
      <c r="D896" t="str">
        <f t="shared" si="94"/>
        <v/>
      </c>
      <c r="E896" t="str">
        <f>IF(F896="","",IF(COUNTIF($F$2:F896,F896)&gt;1,"",SUMIFS(tbl_input[필요수량],tbl_input[집계키_센터],F896)))</f>
        <v/>
      </c>
      <c r="F896" t="str">
        <f>IFERROR(INDEX(tbl_input[집계키_센터],ROW()-1),"")</f>
        <v/>
      </c>
      <c r="G896" t="str">
        <f t="shared" si="95"/>
        <v/>
      </c>
      <c r="H896" t="str">
        <f t="shared" si="96"/>
        <v/>
      </c>
      <c r="I896" t="str">
        <f t="shared" si="97"/>
        <v/>
      </c>
    </row>
    <row r="897" spans="1:9" x14ac:dyDescent="0.4">
      <c r="A897" t="str">
        <f t="shared" si="91"/>
        <v/>
      </c>
      <c r="B897" t="str">
        <f t="shared" si="92"/>
        <v/>
      </c>
      <c r="C897" t="str">
        <f t="shared" si="93"/>
        <v/>
      </c>
      <c r="D897" t="str">
        <f t="shared" si="94"/>
        <v/>
      </c>
      <c r="E897" t="str">
        <f>IF(F897="","",IF(COUNTIF($F$2:F897,F897)&gt;1,"",SUMIFS(tbl_input[필요수량],tbl_input[집계키_센터],F897)))</f>
        <v/>
      </c>
      <c r="F897" t="str">
        <f>IFERROR(INDEX(tbl_input[집계키_센터],ROW()-1),"")</f>
        <v/>
      </c>
      <c r="G897" t="str">
        <f t="shared" si="95"/>
        <v/>
      </c>
      <c r="H897" t="str">
        <f t="shared" si="96"/>
        <v/>
      </c>
      <c r="I897" t="str">
        <f t="shared" si="97"/>
        <v/>
      </c>
    </row>
    <row r="898" spans="1:9" x14ac:dyDescent="0.4">
      <c r="A898" t="str">
        <f t="shared" ref="A898:A961" si="98">IF(F898="","",LEFT(F898,G898-1))</f>
        <v/>
      </c>
      <c r="B898" t="str">
        <f t="shared" ref="B898:B961" si="99">IF(F898="","",MID(F898,G898+1,H898-G898-1))</f>
        <v/>
      </c>
      <c r="C898" t="str">
        <f t="shared" ref="C898:C961" si="100">IF(F898="","",MID(F898,H898+1,I898-H898-1))</f>
        <v/>
      </c>
      <c r="D898" t="str">
        <f t="shared" ref="D898:D961" si="101">IF(F898="","",MID(F898,I898+1,999))</f>
        <v/>
      </c>
      <c r="E898" t="str">
        <f>IF(F898="","",IF(COUNTIF($F$2:F898,F898)&gt;1,"",SUMIFS(tbl_input[필요수량],tbl_input[집계키_센터],F898)))</f>
        <v/>
      </c>
      <c r="F898" t="str">
        <f>IFERROR(INDEX(tbl_input[집계키_센터],ROW()-1),"")</f>
        <v/>
      </c>
      <c r="G898" t="str">
        <f t="shared" ref="G898:G961" si="102">IF(F898="","",FIND("♦",F898))</f>
        <v/>
      </c>
      <c r="H898" t="str">
        <f t="shared" ref="H898:H961" si="103">IF(F898="","",FIND("♦",F898,G898+1))</f>
        <v/>
      </c>
      <c r="I898" t="str">
        <f t="shared" ref="I898:I961" si="104">IF(F898="","",FIND("♦",F898,H898+1))</f>
        <v/>
      </c>
    </row>
    <row r="899" spans="1:9" x14ac:dyDescent="0.4">
      <c r="A899" t="str">
        <f t="shared" si="98"/>
        <v/>
      </c>
      <c r="B899" t="str">
        <f t="shared" si="99"/>
        <v/>
      </c>
      <c r="C899" t="str">
        <f t="shared" si="100"/>
        <v/>
      </c>
      <c r="D899" t="str">
        <f t="shared" si="101"/>
        <v/>
      </c>
      <c r="E899" t="str">
        <f>IF(F899="","",IF(COUNTIF($F$2:F899,F899)&gt;1,"",SUMIFS(tbl_input[필요수량],tbl_input[집계키_센터],F899)))</f>
        <v/>
      </c>
      <c r="F899" t="str">
        <f>IFERROR(INDEX(tbl_input[집계키_센터],ROW()-1),"")</f>
        <v/>
      </c>
      <c r="G899" t="str">
        <f t="shared" si="102"/>
        <v/>
      </c>
      <c r="H899" t="str">
        <f t="shared" si="103"/>
        <v/>
      </c>
      <c r="I899" t="str">
        <f t="shared" si="104"/>
        <v/>
      </c>
    </row>
    <row r="900" spans="1:9" x14ac:dyDescent="0.4">
      <c r="A900" t="str">
        <f t="shared" si="98"/>
        <v/>
      </c>
      <c r="B900" t="str">
        <f t="shared" si="99"/>
        <v/>
      </c>
      <c r="C900" t="str">
        <f t="shared" si="100"/>
        <v/>
      </c>
      <c r="D900" t="str">
        <f t="shared" si="101"/>
        <v/>
      </c>
      <c r="E900" t="str">
        <f>IF(F900="","",IF(COUNTIF($F$2:F900,F900)&gt;1,"",SUMIFS(tbl_input[필요수량],tbl_input[집계키_센터],F900)))</f>
        <v/>
      </c>
      <c r="F900" t="str">
        <f>IFERROR(INDEX(tbl_input[집계키_센터],ROW()-1),"")</f>
        <v/>
      </c>
      <c r="G900" t="str">
        <f t="shared" si="102"/>
        <v/>
      </c>
      <c r="H900" t="str">
        <f t="shared" si="103"/>
        <v/>
      </c>
      <c r="I900" t="str">
        <f t="shared" si="104"/>
        <v/>
      </c>
    </row>
    <row r="901" spans="1:9" x14ac:dyDescent="0.4">
      <c r="A901" t="str">
        <f t="shared" si="98"/>
        <v/>
      </c>
      <c r="B901" t="str">
        <f t="shared" si="99"/>
        <v/>
      </c>
      <c r="C901" t="str">
        <f t="shared" si="100"/>
        <v/>
      </c>
      <c r="D901" t="str">
        <f t="shared" si="101"/>
        <v/>
      </c>
      <c r="E901" t="str">
        <f>IF(F901="","",IF(COUNTIF($F$2:F901,F901)&gt;1,"",SUMIFS(tbl_input[필요수량],tbl_input[집계키_센터],F901)))</f>
        <v/>
      </c>
      <c r="F901" t="str">
        <f>IFERROR(INDEX(tbl_input[집계키_센터],ROW()-1),"")</f>
        <v/>
      </c>
      <c r="G901" t="str">
        <f t="shared" si="102"/>
        <v/>
      </c>
      <c r="H901" t="str">
        <f t="shared" si="103"/>
        <v/>
      </c>
      <c r="I901" t="str">
        <f t="shared" si="104"/>
        <v/>
      </c>
    </row>
    <row r="902" spans="1:9" x14ac:dyDescent="0.4">
      <c r="A902" t="str">
        <f t="shared" si="98"/>
        <v/>
      </c>
      <c r="B902" t="str">
        <f t="shared" si="99"/>
        <v/>
      </c>
      <c r="C902" t="str">
        <f t="shared" si="100"/>
        <v/>
      </c>
      <c r="D902" t="str">
        <f t="shared" si="101"/>
        <v/>
      </c>
      <c r="E902" t="str">
        <f>IF(F902="","",IF(COUNTIF($F$2:F902,F902)&gt;1,"",SUMIFS(tbl_input[필요수량],tbl_input[집계키_센터],F902)))</f>
        <v/>
      </c>
      <c r="F902" t="str">
        <f>IFERROR(INDEX(tbl_input[집계키_센터],ROW()-1),"")</f>
        <v/>
      </c>
      <c r="G902" t="str">
        <f t="shared" si="102"/>
        <v/>
      </c>
      <c r="H902" t="str">
        <f t="shared" si="103"/>
        <v/>
      </c>
      <c r="I902" t="str">
        <f t="shared" si="104"/>
        <v/>
      </c>
    </row>
    <row r="903" spans="1:9" x14ac:dyDescent="0.4">
      <c r="A903" t="str">
        <f t="shared" si="98"/>
        <v/>
      </c>
      <c r="B903" t="str">
        <f t="shared" si="99"/>
        <v/>
      </c>
      <c r="C903" t="str">
        <f t="shared" si="100"/>
        <v/>
      </c>
      <c r="D903" t="str">
        <f t="shared" si="101"/>
        <v/>
      </c>
      <c r="E903" t="str">
        <f>IF(F903="","",IF(COUNTIF($F$2:F903,F903)&gt;1,"",SUMIFS(tbl_input[필요수량],tbl_input[집계키_센터],F903)))</f>
        <v/>
      </c>
      <c r="F903" t="str">
        <f>IFERROR(INDEX(tbl_input[집계키_센터],ROW()-1),"")</f>
        <v/>
      </c>
      <c r="G903" t="str">
        <f t="shared" si="102"/>
        <v/>
      </c>
      <c r="H903" t="str">
        <f t="shared" si="103"/>
        <v/>
      </c>
      <c r="I903" t="str">
        <f t="shared" si="104"/>
        <v/>
      </c>
    </row>
    <row r="904" spans="1:9" x14ac:dyDescent="0.4">
      <c r="A904" t="str">
        <f t="shared" si="98"/>
        <v/>
      </c>
      <c r="B904" t="str">
        <f t="shared" si="99"/>
        <v/>
      </c>
      <c r="C904" t="str">
        <f t="shared" si="100"/>
        <v/>
      </c>
      <c r="D904" t="str">
        <f t="shared" si="101"/>
        <v/>
      </c>
      <c r="E904" t="str">
        <f>IF(F904="","",IF(COUNTIF($F$2:F904,F904)&gt;1,"",SUMIFS(tbl_input[필요수량],tbl_input[집계키_센터],F904)))</f>
        <v/>
      </c>
      <c r="F904" t="str">
        <f>IFERROR(INDEX(tbl_input[집계키_센터],ROW()-1),"")</f>
        <v/>
      </c>
      <c r="G904" t="str">
        <f t="shared" si="102"/>
        <v/>
      </c>
      <c r="H904" t="str">
        <f t="shared" si="103"/>
        <v/>
      </c>
      <c r="I904" t="str">
        <f t="shared" si="104"/>
        <v/>
      </c>
    </row>
    <row r="905" spans="1:9" x14ac:dyDescent="0.4">
      <c r="A905" t="str">
        <f t="shared" si="98"/>
        <v/>
      </c>
      <c r="B905" t="str">
        <f t="shared" si="99"/>
        <v/>
      </c>
      <c r="C905" t="str">
        <f t="shared" si="100"/>
        <v/>
      </c>
      <c r="D905" t="str">
        <f t="shared" si="101"/>
        <v/>
      </c>
      <c r="E905" t="str">
        <f>IF(F905="","",IF(COUNTIF($F$2:F905,F905)&gt;1,"",SUMIFS(tbl_input[필요수량],tbl_input[집계키_센터],F905)))</f>
        <v/>
      </c>
      <c r="F905" t="str">
        <f>IFERROR(INDEX(tbl_input[집계키_센터],ROW()-1),"")</f>
        <v/>
      </c>
      <c r="G905" t="str">
        <f t="shared" si="102"/>
        <v/>
      </c>
      <c r="H905" t="str">
        <f t="shared" si="103"/>
        <v/>
      </c>
      <c r="I905" t="str">
        <f t="shared" si="104"/>
        <v/>
      </c>
    </row>
    <row r="906" spans="1:9" x14ac:dyDescent="0.4">
      <c r="A906" t="str">
        <f t="shared" si="98"/>
        <v/>
      </c>
      <c r="B906" t="str">
        <f t="shared" si="99"/>
        <v/>
      </c>
      <c r="C906" t="str">
        <f t="shared" si="100"/>
        <v/>
      </c>
      <c r="D906" t="str">
        <f t="shared" si="101"/>
        <v/>
      </c>
      <c r="E906" t="str">
        <f>IF(F906="","",IF(COUNTIF($F$2:F906,F906)&gt;1,"",SUMIFS(tbl_input[필요수량],tbl_input[집계키_센터],F906)))</f>
        <v/>
      </c>
      <c r="F906" t="str">
        <f>IFERROR(INDEX(tbl_input[집계키_센터],ROW()-1),"")</f>
        <v/>
      </c>
      <c r="G906" t="str">
        <f t="shared" si="102"/>
        <v/>
      </c>
      <c r="H906" t="str">
        <f t="shared" si="103"/>
        <v/>
      </c>
      <c r="I906" t="str">
        <f t="shared" si="104"/>
        <v/>
      </c>
    </row>
    <row r="907" spans="1:9" x14ac:dyDescent="0.4">
      <c r="A907" t="str">
        <f t="shared" si="98"/>
        <v/>
      </c>
      <c r="B907" t="str">
        <f t="shared" si="99"/>
        <v/>
      </c>
      <c r="C907" t="str">
        <f t="shared" si="100"/>
        <v/>
      </c>
      <c r="D907" t="str">
        <f t="shared" si="101"/>
        <v/>
      </c>
      <c r="E907" t="str">
        <f>IF(F907="","",IF(COUNTIF($F$2:F907,F907)&gt;1,"",SUMIFS(tbl_input[필요수량],tbl_input[집계키_센터],F907)))</f>
        <v/>
      </c>
      <c r="F907" t="str">
        <f>IFERROR(INDEX(tbl_input[집계키_센터],ROW()-1),"")</f>
        <v/>
      </c>
      <c r="G907" t="str">
        <f t="shared" si="102"/>
        <v/>
      </c>
      <c r="H907" t="str">
        <f t="shared" si="103"/>
        <v/>
      </c>
      <c r="I907" t="str">
        <f t="shared" si="104"/>
        <v/>
      </c>
    </row>
    <row r="908" spans="1:9" x14ac:dyDescent="0.4">
      <c r="A908" t="str">
        <f t="shared" si="98"/>
        <v/>
      </c>
      <c r="B908" t="str">
        <f t="shared" si="99"/>
        <v/>
      </c>
      <c r="C908" t="str">
        <f t="shared" si="100"/>
        <v/>
      </c>
      <c r="D908" t="str">
        <f t="shared" si="101"/>
        <v/>
      </c>
      <c r="E908" t="str">
        <f>IF(F908="","",IF(COUNTIF($F$2:F908,F908)&gt;1,"",SUMIFS(tbl_input[필요수량],tbl_input[집계키_센터],F908)))</f>
        <v/>
      </c>
      <c r="F908" t="str">
        <f>IFERROR(INDEX(tbl_input[집계키_센터],ROW()-1),"")</f>
        <v/>
      </c>
      <c r="G908" t="str">
        <f t="shared" si="102"/>
        <v/>
      </c>
      <c r="H908" t="str">
        <f t="shared" si="103"/>
        <v/>
      </c>
      <c r="I908" t="str">
        <f t="shared" si="104"/>
        <v/>
      </c>
    </row>
    <row r="909" spans="1:9" x14ac:dyDescent="0.4">
      <c r="A909" t="str">
        <f t="shared" si="98"/>
        <v/>
      </c>
      <c r="B909" t="str">
        <f t="shared" si="99"/>
        <v/>
      </c>
      <c r="C909" t="str">
        <f t="shared" si="100"/>
        <v/>
      </c>
      <c r="D909" t="str">
        <f t="shared" si="101"/>
        <v/>
      </c>
      <c r="E909" t="str">
        <f>IF(F909="","",IF(COUNTIF($F$2:F909,F909)&gt;1,"",SUMIFS(tbl_input[필요수량],tbl_input[집계키_센터],F909)))</f>
        <v/>
      </c>
      <c r="F909" t="str">
        <f>IFERROR(INDEX(tbl_input[집계키_센터],ROW()-1),"")</f>
        <v/>
      </c>
      <c r="G909" t="str">
        <f t="shared" si="102"/>
        <v/>
      </c>
      <c r="H909" t="str">
        <f t="shared" si="103"/>
        <v/>
      </c>
      <c r="I909" t="str">
        <f t="shared" si="104"/>
        <v/>
      </c>
    </row>
    <row r="910" spans="1:9" x14ac:dyDescent="0.4">
      <c r="A910" t="str">
        <f t="shared" si="98"/>
        <v/>
      </c>
      <c r="B910" t="str">
        <f t="shared" si="99"/>
        <v/>
      </c>
      <c r="C910" t="str">
        <f t="shared" si="100"/>
        <v/>
      </c>
      <c r="D910" t="str">
        <f t="shared" si="101"/>
        <v/>
      </c>
      <c r="E910" t="str">
        <f>IF(F910="","",IF(COUNTIF($F$2:F910,F910)&gt;1,"",SUMIFS(tbl_input[필요수량],tbl_input[집계키_센터],F910)))</f>
        <v/>
      </c>
      <c r="F910" t="str">
        <f>IFERROR(INDEX(tbl_input[집계키_센터],ROW()-1),"")</f>
        <v/>
      </c>
      <c r="G910" t="str">
        <f t="shared" si="102"/>
        <v/>
      </c>
      <c r="H910" t="str">
        <f t="shared" si="103"/>
        <v/>
      </c>
      <c r="I910" t="str">
        <f t="shared" si="104"/>
        <v/>
      </c>
    </row>
    <row r="911" spans="1:9" x14ac:dyDescent="0.4">
      <c r="A911" t="str">
        <f t="shared" si="98"/>
        <v/>
      </c>
      <c r="B911" t="str">
        <f t="shared" si="99"/>
        <v/>
      </c>
      <c r="C911" t="str">
        <f t="shared" si="100"/>
        <v/>
      </c>
      <c r="D911" t="str">
        <f t="shared" si="101"/>
        <v/>
      </c>
      <c r="E911" t="str">
        <f>IF(F911="","",IF(COUNTIF($F$2:F911,F911)&gt;1,"",SUMIFS(tbl_input[필요수량],tbl_input[집계키_센터],F911)))</f>
        <v/>
      </c>
      <c r="F911" t="str">
        <f>IFERROR(INDEX(tbl_input[집계키_센터],ROW()-1),"")</f>
        <v/>
      </c>
      <c r="G911" t="str">
        <f t="shared" si="102"/>
        <v/>
      </c>
      <c r="H911" t="str">
        <f t="shared" si="103"/>
        <v/>
      </c>
      <c r="I911" t="str">
        <f t="shared" si="104"/>
        <v/>
      </c>
    </row>
    <row r="912" spans="1:9" x14ac:dyDescent="0.4">
      <c r="A912" t="str">
        <f t="shared" si="98"/>
        <v/>
      </c>
      <c r="B912" t="str">
        <f t="shared" si="99"/>
        <v/>
      </c>
      <c r="C912" t="str">
        <f t="shared" si="100"/>
        <v/>
      </c>
      <c r="D912" t="str">
        <f t="shared" si="101"/>
        <v/>
      </c>
      <c r="E912" t="str">
        <f>IF(F912="","",IF(COUNTIF($F$2:F912,F912)&gt;1,"",SUMIFS(tbl_input[필요수량],tbl_input[집계키_센터],F912)))</f>
        <v/>
      </c>
      <c r="F912" t="str">
        <f>IFERROR(INDEX(tbl_input[집계키_센터],ROW()-1),"")</f>
        <v/>
      </c>
      <c r="G912" t="str">
        <f t="shared" si="102"/>
        <v/>
      </c>
      <c r="H912" t="str">
        <f t="shared" si="103"/>
        <v/>
      </c>
      <c r="I912" t="str">
        <f t="shared" si="104"/>
        <v/>
      </c>
    </row>
    <row r="913" spans="1:9" x14ac:dyDescent="0.4">
      <c r="A913" t="str">
        <f t="shared" si="98"/>
        <v/>
      </c>
      <c r="B913" t="str">
        <f t="shared" si="99"/>
        <v/>
      </c>
      <c r="C913" t="str">
        <f t="shared" si="100"/>
        <v/>
      </c>
      <c r="D913" t="str">
        <f t="shared" si="101"/>
        <v/>
      </c>
      <c r="E913" t="str">
        <f>IF(F913="","",IF(COUNTIF($F$2:F913,F913)&gt;1,"",SUMIFS(tbl_input[필요수량],tbl_input[집계키_센터],F913)))</f>
        <v/>
      </c>
      <c r="F913" t="str">
        <f>IFERROR(INDEX(tbl_input[집계키_센터],ROW()-1),"")</f>
        <v/>
      </c>
      <c r="G913" t="str">
        <f t="shared" si="102"/>
        <v/>
      </c>
      <c r="H913" t="str">
        <f t="shared" si="103"/>
        <v/>
      </c>
      <c r="I913" t="str">
        <f t="shared" si="104"/>
        <v/>
      </c>
    </row>
    <row r="914" spans="1:9" x14ac:dyDescent="0.4">
      <c r="A914" t="str">
        <f t="shared" si="98"/>
        <v/>
      </c>
      <c r="B914" t="str">
        <f t="shared" si="99"/>
        <v/>
      </c>
      <c r="C914" t="str">
        <f t="shared" si="100"/>
        <v/>
      </c>
      <c r="D914" t="str">
        <f t="shared" si="101"/>
        <v/>
      </c>
      <c r="E914" t="str">
        <f>IF(F914="","",IF(COUNTIF($F$2:F914,F914)&gt;1,"",SUMIFS(tbl_input[필요수량],tbl_input[집계키_센터],F914)))</f>
        <v/>
      </c>
      <c r="F914" t="str">
        <f>IFERROR(INDEX(tbl_input[집계키_센터],ROW()-1),"")</f>
        <v/>
      </c>
      <c r="G914" t="str">
        <f t="shared" si="102"/>
        <v/>
      </c>
      <c r="H914" t="str">
        <f t="shared" si="103"/>
        <v/>
      </c>
      <c r="I914" t="str">
        <f t="shared" si="104"/>
        <v/>
      </c>
    </row>
    <row r="915" spans="1:9" x14ac:dyDescent="0.4">
      <c r="A915" t="str">
        <f t="shared" si="98"/>
        <v/>
      </c>
      <c r="B915" t="str">
        <f t="shared" si="99"/>
        <v/>
      </c>
      <c r="C915" t="str">
        <f t="shared" si="100"/>
        <v/>
      </c>
      <c r="D915" t="str">
        <f t="shared" si="101"/>
        <v/>
      </c>
      <c r="E915" t="str">
        <f>IF(F915="","",IF(COUNTIF($F$2:F915,F915)&gt;1,"",SUMIFS(tbl_input[필요수량],tbl_input[집계키_센터],F915)))</f>
        <v/>
      </c>
      <c r="F915" t="str">
        <f>IFERROR(INDEX(tbl_input[집계키_센터],ROW()-1),"")</f>
        <v/>
      </c>
      <c r="G915" t="str">
        <f t="shared" si="102"/>
        <v/>
      </c>
      <c r="H915" t="str">
        <f t="shared" si="103"/>
        <v/>
      </c>
      <c r="I915" t="str">
        <f t="shared" si="104"/>
        <v/>
      </c>
    </row>
    <row r="916" spans="1:9" x14ac:dyDescent="0.4">
      <c r="A916" t="str">
        <f t="shared" si="98"/>
        <v/>
      </c>
      <c r="B916" t="str">
        <f t="shared" si="99"/>
        <v/>
      </c>
      <c r="C916" t="str">
        <f t="shared" si="100"/>
        <v/>
      </c>
      <c r="D916" t="str">
        <f t="shared" si="101"/>
        <v/>
      </c>
      <c r="E916" t="str">
        <f>IF(F916="","",IF(COUNTIF($F$2:F916,F916)&gt;1,"",SUMIFS(tbl_input[필요수량],tbl_input[집계키_센터],F916)))</f>
        <v/>
      </c>
      <c r="F916" t="str">
        <f>IFERROR(INDEX(tbl_input[집계키_센터],ROW()-1),"")</f>
        <v/>
      </c>
      <c r="G916" t="str">
        <f t="shared" si="102"/>
        <v/>
      </c>
      <c r="H916" t="str">
        <f t="shared" si="103"/>
        <v/>
      </c>
      <c r="I916" t="str">
        <f t="shared" si="104"/>
        <v/>
      </c>
    </row>
    <row r="917" spans="1:9" x14ac:dyDescent="0.4">
      <c r="A917" t="str">
        <f t="shared" si="98"/>
        <v/>
      </c>
      <c r="B917" t="str">
        <f t="shared" si="99"/>
        <v/>
      </c>
      <c r="C917" t="str">
        <f t="shared" si="100"/>
        <v/>
      </c>
      <c r="D917" t="str">
        <f t="shared" si="101"/>
        <v/>
      </c>
      <c r="E917" t="str">
        <f>IF(F917="","",IF(COUNTIF($F$2:F917,F917)&gt;1,"",SUMIFS(tbl_input[필요수량],tbl_input[집계키_센터],F917)))</f>
        <v/>
      </c>
      <c r="F917" t="str">
        <f>IFERROR(INDEX(tbl_input[집계키_센터],ROW()-1),"")</f>
        <v/>
      </c>
      <c r="G917" t="str">
        <f t="shared" si="102"/>
        <v/>
      </c>
      <c r="H917" t="str">
        <f t="shared" si="103"/>
        <v/>
      </c>
      <c r="I917" t="str">
        <f t="shared" si="104"/>
        <v/>
      </c>
    </row>
    <row r="918" spans="1:9" x14ac:dyDescent="0.4">
      <c r="A918" t="str">
        <f t="shared" si="98"/>
        <v/>
      </c>
      <c r="B918" t="str">
        <f t="shared" si="99"/>
        <v/>
      </c>
      <c r="C918" t="str">
        <f t="shared" si="100"/>
        <v/>
      </c>
      <c r="D918" t="str">
        <f t="shared" si="101"/>
        <v/>
      </c>
      <c r="E918" t="str">
        <f>IF(F918="","",IF(COUNTIF($F$2:F918,F918)&gt;1,"",SUMIFS(tbl_input[필요수량],tbl_input[집계키_센터],F918)))</f>
        <v/>
      </c>
      <c r="F918" t="str">
        <f>IFERROR(INDEX(tbl_input[집계키_센터],ROW()-1),"")</f>
        <v/>
      </c>
      <c r="G918" t="str">
        <f t="shared" si="102"/>
        <v/>
      </c>
      <c r="H918" t="str">
        <f t="shared" si="103"/>
        <v/>
      </c>
      <c r="I918" t="str">
        <f t="shared" si="104"/>
        <v/>
      </c>
    </row>
    <row r="919" spans="1:9" x14ac:dyDescent="0.4">
      <c r="A919" t="str">
        <f t="shared" si="98"/>
        <v/>
      </c>
      <c r="B919" t="str">
        <f t="shared" si="99"/>
        <v/>
      </c>
      <c r="C919" t="str">
        <f t="shared" si="100"/>
        <v/>
      </c>
      <c r="D919" t="str">
        <f t="shared" si="101"/>
        <v/>
      </c>
      <c r="E919" t="str">
        <f>IF(F919="","",IF(COUNTIF($F$2:F919,F919)&gt;1,"",SUMIFS(tbl_input[필요수량],tbl_input[집계키_센터],F919)))</f>
        <v/>
      </c>
      <c r="F919" t="str">
        <f>IFERROR(INDEX(tbl_input[집계키_센터],ROW()-1),"")</f>
        <v/>
      </c>
      <c r="G919" t="str">
        <f t="shared" si="102"/>
        <v/>
      </c>
      <c r="H919" t="str">
        <f t="shared" si="103"/>
        <v/>
      </c>
      <c r="I919" t="str">
        <f t="shared" si="104"/>
        <v/>
      </c>
    </row>
    <row r="920" spans="1:9" x14ac:dyDescent="0.4">
      <c r="A920" t="str">
        <f t="shared" si="98"/>
        <v/>
      </c>
      <c r="B920" t="str">
        <f t="shared" si="99"/>
        <v/>
      </c>
      <c r="C920" t="str">
        <f t="shared" si="100"/>
        <v/>
      </c>
      <c r="D920" t="str">
        <f t="shared" si="101"/>
        <v/>
      </c>
      <c r="E920" t="str">
        <f>IF(F920="","",IF(COUNTIF($F$2:F920,F920)&gt;1,"",SUMIFS(tbl_input[필요수량],tbl_input[집계키_센터],F920)))</f>
        <v/>
      </c>
      <c r="F920" t="str">
        <f>IFERROR(INDEX(tbl_input[집계키_센터],ROW()-1),"")</f>
        <v/>
      </c>
      <c r="G920" t="str">
        <f t="shared" si="102"/>
        <v/>
      </c>
      <c r="H920" t="str">
        <f t="shared" si="103"/>
        <v/>
      </c>
      <c r="I920" t="str">
        <f t="shared" si="104"/>
        <v/>
      </c>
    </row>
    <row r="921" spans="1:9" x14ac:dyDescent="0.4">
      <c r="A921" t="str">
        <f t="shared" si="98"/>
        <v/>
      </c>
      <c r="B921" t="str">
        <f t="shared" si="99"/>
        <v/>
      </c>
      <c r="C921" t="str">
        <f t="shared" si="100"/>
        <v/>
      </c>
      <c r="D921" t="str">
        <f t="shared" si="101"/>
        <v/>
      </c>
      <c r="E921" t="str">
        <f>IF(F921="","",IF(COUNTIF($F$2:F921,F921)&gt;1,"",SUMIFS(tbl_input[필요수량],tbl_input[집계키_센터],F921)))</f>
        <v/>
      </c>
      <c r="F921" t="str">
        <f>IFERROR(INDEX(tbl_input[집계키_센터],ROW()-1),"")</f>
        <v/>
      </c>
      <c r="G921" t="str">
        <f t="shared" si="102"/>
        <v/>
      </c>
      <c r="H921" t="str">
        <f t="shared" si="103"/>
        <v/>
      </c>
      <c r="I921" t="str">
        <f t="shared" si="104"/>
        <v/>
      </c>
    </row>
    <row r="922" spans="1:9" x14ac:dyDescent="0.4">
      <c r="A922" t="str">
        <f t="shared" si="98"/>
        <v/>
      </c>
      <c r="B922" t="str">
        <f t="shared" si="99"/>
        <v/>
      </c>
      <c r="C922" t="str">
        <f t="shared" si="100"/>
        <v/>
      </c>
      <c r="D922" t="str">
        <f t="shared" si="101"/>
        <v/>
      </c>
      <c r="E922" t="str">
        <f>IF(F922="","",IF(COUNTIF($F$2:F922,F922)&gt;1,"",SUMIFS(tbl_input[필요수량],tbl_input[집계키_센터],F922)))</f>
        <v/>
      </c>
      <c r="F922" t="str">
        <f>IFERROR(INDEX(tbl_input[집계키_센터],ROW()-1),"")</f>
        <v/>
      </c>
      <c r="G922" t="str">
        <f t="shared" si="102"/>
        <v/>
      </c>
      <c r="H922" t="str">
        <f t="shared" si="103"/>
        <v/>
      </c>
      <c r="I922" t="str">
        <f t="shared" si="104"/>
        <v/>
      </c>
    </row>
    <row r="923" spans="1:9" x14ac:dyDescent="0.4">
      <c r="A923" t="str">
        <f t="shared" si="98"/>
        <v/>
      </c>
      <c r="B923" t="str">
        <f t="shared" si="99"/>
        <v/>
      </c>
      <c r="C923" t="str">
        <f t="shared" si="100"/>
        <v/>
      </c>
      <c r="D923" t="str">
        <f t="shared" si="101"/>
        <v/>
      </c>
      <c r="E923" t="str">
        <f>IF(F923="","",IF(COUNTIF($F$2:F923,F923)&gt;1,"",SUMIFS(tbl_input[필요수량],tbl_input[집계키_센터],F923)))</f>
        <v/>
      </c>
      <c r="F923" t="str">
        <f>IFERROR(INDEX(tbl_input[집계키_센터],ROW()-1),"")</f>
        <v/>
      </c>
      <c r="G923" t="str">
        <f t="shared" si="102"/>
        <v/>
      </c>
      <c r="H923" t="str">
        <f t="shared" si="103"/>
        <v/>
      </c>
      <c r="I923" t="str">
        <f t="shared" si="104"/>
        <v/>
      </c>
    </row>
    <row r="924" spans="1:9" x14ac:dyDescent="0.4">
      <c r="A924" t="str">
        <f t="shared" si="98"/>
        <v/>
      </c>
      <c r="B924" t="str">
        <f t="shared" si="99"/>
        <v/>
      </c>
      <c r="C924" t="str">
        <f t="shared" si="100"/>
        <v/>
      </c>
      <c r="D924" t="str">
        <f t="shared" si="101"/>
        <v/>
      </c>
      <c r="E924" t="str">
        <f>IF(F924="","",IF(COUNTIF($F$2:F924,F924)&gt;1,"",SUMIFS(tbl_input[필요수량],tbl_input[집계키_센터],F924)))</f>
        <v/>
      </c>
      <c r="F924" t="str">
        <f>IFERROR(INDEX(tbl_input[집계키_센터],ROW()-1),"")</f>
        <v/>
      </c>
      <c r="G924" t="str">
        <f t="shared" si="102"/>
        <v/>
      </c>
      <c r="H924" t="str">
        <f t="shared" si="103"/>
        <v/>
      </c>
      <c r="I924" t="str">
        <f t="shared" si="104"/>
        <v/>
      </c>
    </row>
    <row r="925" spans="1:9" x14ac:dyDescent="0.4">
      <c r="A925" t="str">
        <f t="shared" si="98"/>
        <v/>
      </c>
      <c r="B925" t="str">
        <f t="shared" si="99"/>
        <v/>
      </c>
      <c r="C925" t="str">
        <f t="shared" si="100"/>
        <v/>
      </c>
      <c r="D925" t="str">
        <f t="shared" si="101"/>
        <v/>
      </c>
      <c r="E925" t="str">
        <f>IF(F925="","",IF(COUNTIF($F$2:F925,F925)&gt;1,"",SUMIFS(tbl_input[필요수량],tbl_input[집계키_센터],F925)))</f>
        <v/>
      </c>
      <c r="F925" t="str">
        <f>IFERROR(INDEX(tbl_input[집계키_센터],ROW()-1),"")</f>
        <v/>
      </c>
      <c r="G925" t="str">
        <f t="shared" si="102"/>
        <v/>
      </c>
      <c r="H925" t="str">
        <f t="shared" si="103"/>
        <v/>
      </c>
      <c r="I925" t="str">
        <f t="shared" si="104"/>
        <v/>
      </c>
    </row>
    <row r="926" spans="1:9" x14ac:dyDescent="0.4">
      <c r="A926" t="str">
        <f t="shared" si="98"/>
        <v/>
      </c>
      <c r="B926" t="str">
        <f t="shared" si="99"/>
        <v/>
      </c>
      <c r="C926" t="str">
        <f t="shared" si="100"/>
        <v/>
      </c>
      <c r="D926" t="str">
        <f t="shared" si="101"/>
        <v/>
      </c>
      <c r="E926" t="str">
        <f>IF(F926="","",IF(COUNTIF($F$2:F926,F926)&gt;1,"",SUMIFS(tbl_input[필요수량],tbl_input[집계키_센터],F926)))</f>
        <v/>
      </c>
      <c r="F926" t="str">
        <f>IFERROR(INDEX(tbl_input[집계키_센터],ROW()-1),"")</f>
        <v/>
      </c>
      <c r="G926" t="str">
        <f t="shared" si="102"/>
        <v/>
      </c>
      <c r="H926" t="str">
        <f t="shared" si="103"/>
        <v/>
      </c>
      <c r="I926" t="str">
        <f t="shared" si="104"/>
        <v/>
      </c>
    </row>
    <row r="927" spans="1:9" x14ac:dyDescent="0.4">
      <c r="A927" t="str">
        <f t="shared" si="98"/>
        <v/>
      </c>
      <c r="B927" t="str">
        <f t="shared" si="99"/>
        <v/>
      </c>
      <c r="C927" t="str">
        <f t="shared" si="100"/>
        <v/>
      </c>
      <c r="D927" t="str">
        <f t="shared" si="101"/>
        <v/>
      </c>
      <c r="E927" t="str">
        <f>IF(F927="","",IF(COUNTIF($F$2:F927,F927)&gt;1,"",SUMIFS(tbl_input[필요수량],tbl_input[집계키_센터],F927)))</f>
        <v/>
      </c>
      <c r="F927" t="str">
        <f>IFERROR(INDEX(tbl_input[집계키_센터],ROW()-1),"")</f>
        <v/>
      </c>
      <c r="G927" t="str">
        <f t="shared" si="102"/>
        <v/>
      </c>
      <c r="H927" t="str">
        <f t="shared" si="103"/>
        <v/>
      </c>
      <c r="I927" t="str">
        <f t="shared" si="104"/>
        <v/>
      </c>
    </row>
    <row r="928" spans="1:9" x14ac:dyDescent="0.4">
      <c r="A928" t="str">
        <f t="shared" si="98"/>
        <v/>
      </c>
      <c r="B928" t="str">
        <f t="shared" si="99"/>
        <v/>
      </c>
      <c r="C928" t="str">
        <f t="shared" si="100"/>
        <v/>
      </c>
      <c r="D928" t="str">
        <f t="shared" si="101"/>
        <v/>
      </c>
      <c r="E928" t="str">
        <f>IF(F928="","",IF(COUNTIF($F$2:F928,F928)&gt;1,"",SUMIFS(tbl_input[필요수량],tbl_input[집계키_센터],F928)))</f>
        <v/>
      </c>
      <c r="F928" t="str">
        <f>IFERROR(INDEX(tbl_input[집계키_센터],ROW()-1),"")</f>
        <v/>
      </c>
      <c r="G928" t="str">
        <f t="shared" si="102"/>
        <v/>
      </c>
      <c r="H928" t="str">
        <f t="shared" si="103"/>
        <v/>
      </c>
      <c r="I928" t="str">
        <f t="shared" si="104"/>
        <v/>
      </c>
    </row>
    <row r="929" spans="1:9" x14ac:dyDescent="0.4">
      <c r="A929" t="str">
        <f t="shared" si="98"/>
        <v/>
      </c>
      <c r="B929" t="str">
        <f t="shared" si="99"/>
        <v/>
      </c>
      <c r="C929" t="str">
        <f t="shared" si="100"/>
        <v/>
      </c>
      <c r="D929" t="str">
        <f t="shared" si="101"/>
        <v/>
      </c>
      <c r="E929" t="str">
        <f>IF(F929="","",IF(COUNTIF($F$2:F929,F929)&gt;1,"",SUMIFS(tbl_input[필요수량],tbl_input[집계키_센터],F929)))</f>
        <v/>
      </c>
      <c r="F929" t="str">
        <f>IFERROR(INDEX(tbl_input[집계키_센터],ROW()-1),"")</f>
        <v/>
      </c>
      <c r="G929" t="str">
        <f t="shared" si="102"/>
        <v/>
      </c>
      <c r="H929" t="str">
        <f t="shared" si="103"/>
        <v/>
      </c>
      <c r="I929" t="str">
        <f t="shared" si="104"/>
        <v/>
      </c>
    </row>
    <row r="930" spans="1:9" x14ac:dyDescent="0.4">
      <c r="A930" t="str">
        <f t="shared" si="98"/>
        <v/>
      </c>
      <c r="B930" t="str">
        <f t="shared" si="99"/>
        <v/>
      </c>
      <c r="C930" t="str">
        <f t="shared" si="100"/>
        <v/>
      </c>
      <c r="D930" t="str">
        <f t="shared" si="101"/>
        <v/>
      </c>
      <c r="E930" t="str">
        <f>IF(F930="","",IF(COUNTIF($F$2:F930,F930)&gt;1,"",SUMIFS(tbl_input[필요수량],tbl_input[집계키_센터],F930)))</f>
        <v/>
      </c>
      <c r="F930" t="str">
        <f>IFERROR(INDEX(tbl_input[집계키_센터],ROW()-1),"")</f>
        <v/>
      </c>
      <c r="G930" t="str">
        <f t="shared" si="102"/>
        <v/>
      </c>
      <c r="H930" t="str">
        <f t="shared" si="103"/>
        <v/>
      </c>
      <c r="I930" t="str">
        <f t="shared" si="104"/>
        <v/>
      </c>
    </row>
    <row r="931" spans="1:9" x14ac:dyDescent="0.4">
      <c r="A931" t="str">
        <f t="shared" si="98"/>
        <v/>
      </c>
      <c r="B931" t="str">
        <f t="shared" si="99"/>
        <v/>
      </c>
      <c r="C931" t="str">
        <f t="shared" si="100"/>
        <v/>
      </c>
      <c r="D931" t="str">
        <f t="shared" si="101"/>
        <v/>
      </c>
      <c r="E931" t="str">
        <f>IF(F931="","",IF(COUNTIF($F$2:F931,F931)&gt;1,"",SUMIFS(tbl_input[필요수량],tbl_input[집계키_센터],F931)))</f>
        <v/>
      </c>
      <c r="F931" t="str">
        <f>IFERROR(INDEX(tbl_input[집계키_센터],ROW()-1),"")</f>
        <v/>
      </c>
      <c r="G931" t="str">
        <f t="shared" si="102"/>
        <v/>
      </c>
      <c r="H931" t="str">
        <f t="shared" si="103"/>
        <v/>
      </c>
      <c r="I931" t="str">
        <f t="shared" si="104"/>
        <v/>
      </c>
    </row>
    <row r="932" spans="1:9" x14ac:dyDescent="0.4">
      <c r="A932" t="str">
        <f t="shared" si="98"/>
        <v/>
      </c>
      <c r="B932" t="str">
        <f t="shared" si="99"/>
        <v/>
      </c>
      <c r="C932" t="str">
        <f t="shared" si="100"/>
        <v/>
      </c>
      <c r="D932" t="str">
        <f t="shared" si="101"/>
        <v/>
      </c>
      <c r="E932" t="str">
        <f>IF(F932="","",IF(COUNTIF($F$2:F932,F932)&gt;1,"",SUMIFS(tbl_input[필요수량],tbl_input[집계키_센터],F932)))</f>
        <v/>
      </c>
      <c r="F932" t="str">
        <f>IFERROR(INDEX(tbl_input[집계키_센터],ROW()-1),"")</f>
        <v/>
      </c>
      <c r="G932" t="str">
        <f t="shared" si="102"/>
        <v/>
      </c>
      <c r="H932" t="str">
        <f t="shared" si="103"/>
        <v/>
      </c>
      <c r="I932" t="str">
        <f t="shared" si="104"/>
        <v/>
      </c>
    </row>
    <row r="933" spans="1:9" x14ac:dyDescent="0.4">
      <c r="A933" t="str">
        <f t="shared" si="98"/>
        <v/>
      </c>
      <c r="B933" t="str">
        <f t="shared" si="99"/>
        <v/>
      </c>
      <c r="C933" t="str">
        <f t="shared" si="100"/>
        <v/>
      </c>
      <c r="D933" t="str">
        <f t="shared" si="101"/>
        <v/>
      </c>
      <c r="E933" t="str">
        <f>IF(F933="","",IF(COUNTIF($F$2:F933,F933)&gt;1,"",SUMIFS(tbl_input[필요수량],tbl_input[집계키_센터],F933)))</f>
        <v/>
      </c>
      <c r="F933" t="str">
        <f>IFERROR(INDEX(tbl_input[집계키_센터],ROW()-1),"")</f>
        <v/>
      </c>
      <c r="G933" t="str">
        <f t="shared" si="102"/>
        <v/>
      </c>
      <c r="H933" t="str">
        <f t="shared" si="103"/>
        <v/>
      </c>
      <c r="I933" t="str">
        <f t="shared" si="104"/>
        <v/>
      </c>
    </row>
    <row r="934" spans="1:9" x14ac:dyDescent="0.4">
      <c r="A934" t="str">
        <f t="shared" si="98"/>
        <v/>
      </c>
      <c r="B934" t="str">
        <f t="shared" si="99"/>
        <v/>
      </c>
      <c r="C934" t="str">
        <f t="shared" si="100"/>
        <v/>
      </c>
      <c r="D934" t="str">
        <f t="shared" si="101"/>
        <v/>
      </c>
      <c r="E934" t="str">
        <f>IF(F934="","",IF(COUNTIF($F$2:F934,F934)&gt;1,"",SUMIFS(tbl_input[필요수량],tbl_input[집계키_센터],F934)))</f>
        <v/>
      </c>
      <c r="F934" t="str">
        <f>IFERROR(INDEX(tbl_input[집계키_센터],ROW()-1),"")</f>
        <v/>
      </c>
      <c r="G934" t="str">
        <f t="shared" si="102"/>
        <v/>
      </c>
      <c r="H934" t="str">
        <f t="shared" si="103"/>
        <v/>
      </c>
      <c r="I934" t="str">
        <f t="shared" si="104"/>
        <v/>
      </c>
    </row>
    <row r="935" spans="1:9" x14ac:dyDescent="0.4">
      <c r="A935" t="str">
        <f t="shared" si="98"/>
        <v/>
      </c>
      <c r="B935" t="str">
        <f t="shared" si="99"/>
        <v/>
      </c>
      <c r="C935" t="str">
        <f t="shared" si="100"/>
        <v/>
      </c>
      <c r="D935" t="str">
        <f t="shared" si="101"/>
        <v/>
      </c>
      <c r="E935" t="str">
        <f>IF(F935="","",IF(COUNTIF($F$2:F935,F935)&gt;1,"",SUMIFS(tbl_input[필요수량],tbl_input[집계키_센터],F935)))</f>
        <v/>
      </c>
      <c r="F935" t="str">
        <f>IFERROR(INDEX(tbl_input[집계키_센터],ROW()-1),"")</f>
        <v/>
      </c>
      <c r="G935" t="str">
        <f t="shared" si="102"/>
        <v/>
      </c>
      <c r="H935" t="str">
        <f t="shared" si="103"/>
        <v/>
      </c>
      <c r="I935" t="str">
        <f t="shared" si="104"/>
        <v/>
      </c>
    </row>
    <row r="936" spans="1:9" x14ac:dyDescent="0.4">
      <c r="A936" t="str">
        <f t="shared" si="98"/>
        <v/>
      </c>
      <c r="B936" t="str">
        <f t="shared" si="99"/>
        <v/>
      </c>
      <c r="C936" t="str">
        <f t="shared" si="100"/>
        <v/>
      </c>
      <c r="D936" t="str">
        <f t="shared" si="101"/>
        <v/>
      </c>
      <c r="E936" t="str">
        <f>IF(F936="","",IF(COUNTIF($F$2:F936,F936)&gt;1,"",SUMIFS(tbl_input[필요수량],tbl_input[집계키_센터],F936)))</f>
        <v/>
      </c>
      <c r="F936" t="str">
        <f>IFERROR(INDEX(tbl_input[집계키_센터],ROW()-1),"")</f>
        <v/>
      </c>
      <c r="G936" t="str">
        <f t="shared" si="102"/>
        <v/>
      </c>
      <c r="H936" t="str">
        <f t="shared" si="103"/>
        <v/>
      </c>
      <c r="I936" t="str">
        <f t="shared" si="104"/>
        <v/>
      </c>
    </row>
    <row r="937" spans="1:9" x14ac:dyDescent="0.4">
      <c r="A937" t="str">
        <f t="shared" si="98"/>
        <v/>
      </c>
      <c r="B937" t="str">
        <f t="shared" si="99"/>
        <v/>
      </c>
      <c r="C937" t="str">
        <f t="shared" si="100"/>
        <v/>
      </c>
      <c r="D937" t="str">
        <f t="shared" si="101"/>
        <v/>
      </c>
      <c r="E937" t="str">
        <f>IF(F937="","",IF(COUNTIF($F$2:F937,F937)&gt;1,"",SUMIFS(tbl_input[필요수량],tbl_input[집계키_센터],F937)))</f>
        <v/>
      </c>
      <c r="F937" t="str">
        <f>IFERROR(INDEX(tbl_input[집계키_센터],ROW()-1),"")</f>
        <v/>
      </c>
      <c r="G937" t="str">
        <f t="shared" si="102"/>
        <v/>
      </c>
      <c r="H937" t="str">
        <f t="shared" si="103"/>
        <v/>
      </c>
      <c r="I937" t="str">
        <f t="shared" si="104"/>
        <v/>
      </c>
    </row>
    <row r="938" spans="1:9" x14ac:dyDescent="0.4">
      <c r="A938" t="str">
        <f t="shared" si="98"/>
        <v/>
      </c>
      <c r="B938" t="str">
        <f t="shared" si="99"/>
        <v/>
      </c>
      <c r="C938" t="str">
        <f t="shared" si="100"/>
        <v/>
      </c>
      <c r="D938" t="str">
        <f t="shared" si="101"/>
        <v/>
      </c>
      <c r="E938" t="str">
        <f>IF(F938="","",IF(COUNTIF($F$2:F938,F938)&gt;1,"",SUMIFS(tbl_input[필요수량],tbl_input[집계키_센터],F938)))</f>
        <v/>
      </c>
      <c r="F938" t="str">
        <f>IFERROR(INDEX(tbl_input[집계키_센터],ROW()-1),"")</f>
        <v/>
      </c>
      <c r="G938" t="str">
        <f t="shared" si="102"/>
        <v/>
      </c>
      <c r="H938" t="str">
        <f t="shared" si="103"/>
        <v/>
      </c>
      <c r="I938" t="str">
        <f t="shared" si="104"/>
        <v/>
      </c>
    </row>
    <row r="939" spans="1:9" x14ac:dyDescent="0.4">
      <c r="A939" t="str">
        <f t="shared" si="98"/>
        <v/>
      </c>
      <c r="B939" t="str">
        <f t="shared" si="99"/>
        <v/>
      </c>
      <c r="C939" t="str">
        <f t="shared" si="100"/>
        <v/>
      </c>
      <c r="D939" t="str">
        <f t="shared" si="101"/>
        <v/>
      </c>
      <c r="E939" t="str">
        <f>IF(F939="","",IF(COUNTIF($F$2:F939,F939)&gt;1,"",SUMIFS(tbl_input[필요수량],tbl_input[집계키_센터],F939)))</f>
        <v/>
      </c>
      <c r="F939" t="str">
        <f>IFERROR(INDEX(tbl_input[집계키_센터],ROW()-1),"")</f>
        <v/>
      </c>
      <c r="G939" t="str">
        <f t="shared" si="102"/>
        <v/>
      </c>
      <c r="H939" t="str">
        <f t="shared" si="103"/>
        <v/>
      </c>
      <c r="I939" t="str">
        <f t="shared" si="104"/>
        <v/>
      </c>
    </row>
    <row r="940" spans="1:9" x14ac:dyDescent="0.4">
      <c r="A940" t="str">
        <f t="shared" si="98"/>
        <v/>
      </c>
      <c r="B940" t="str">
        <f t="shared" si="99"/>
        <v/>
      </c>
      <c r="C940" t="str">
        <f t="shared" si="100"/>
        <v/>
      </c>
      <c r="D940" t="str">
        <f t="shared" si="101"/>
        <v/>
      </c>
      <c r="E940" t="str">
        <f>IF(F940="","",IF(COUNTIF($F$2:F940,F940)&gt;1,"",SUMIFS(tbl_input[필요수량],tbl_input[집계키_센터],F940)))</f>
        <v/>
      </c>
      <c r="F940" t="str">
        <f>IFERROR(INDEX(tbl_input[집계키_센터],ROW()-1),"")</f>
        <v/>
      </c>
      <c r="G940" t="str">
        <f t="shared" si="102"/>
        <v/>
      </c>
      <c r="H940" t="str">
        <f t="shared" si="103"/>
        <v/>
      </c>
      <c r="I940" t="str">
        <f t="shared" si="104"/>
        <v/>
      </c>
    </row>
    <row r="941" spans="1:9" x14ac:dyDescent="0.4">
      <c r="A941" t="str">
        <f t="shared" si="98"/>
        <v/>
      </c>
      <c r="B941" t="str">
        <f t="shared" si="99"/>
        <v/>
      </c>
      <c r="C941" t="str">
        <f t="shared" si="100"/>
        <v/>
      </c>
      <c r="D941" t="str">
        <f t="shared" si="101"/>
        <v/>
      </c>
      <c r="E941" t="str">
        <f>IF(F941="","",IF(COUNTIF($F$2:F941,F941)&gt;1,"",SUMIFS(tbl_input[필요수량],tbl_input[집계키_센터],F941)))</f>
        <v/>
      </c>
      <c r="F941" t="str">
        <f>IFERROR(INDEX(tbl_input[집계키_센터],ROW()-1),"")</f>
        <v/>
      </c>
      <c r="G941" t="str">
        <f t="shared" si="102"/>
        <v/>
      </c>
      <c r="H941" t="str">
        <f t="shared" si="103"/>
        <v/>
      </c>
      <c r="I941" t="str">
        <f t="shared" si="104"/>
        <v/>
      </c>
    </row>
    <row r="942" spans="1:9" x14ac:dyDescent="0.4">
      <c r="A942" t="str">
        <f t="shared" si="98"/>
        <v/>
      </c>
      <c r="B942" t="str">
        <f t="shared" si="99"/>
        <v/>
      </c>
      <c r="C942" t="str">
        <f t="shared" si="100"/>
        <v/>
      </c>
      <c r="D942" t="str">
        <f t="shared" si="101"/>
        <v/>
      </c>
      <c r="E942" t="str">
        <f>IF(F942="","",IF(COUNTIF($F$2:F942,F942)&gt;1,"",SUMIFS(tbl_input[필요수량],tbl_input[집계키_센터],F942)))</f>
        <v/>
      </c>
      <c r="F942" t="str">
        <f>IFERROR(INDEX(tbl_input[집계키_센터],ROW()-1),"")</f>
        <v/>
      </c>
      <c r="G942" t="str">
        <f t="shared" si="102"/>
        <v/>
      </c>
      <c r="H942" t="str">
        <f t="shared" si="103"/>
        <v/>
      </c>
      <c r="I942" t="str">
        <f t="shared" si="104"/>
        <v/>
      </c>
    </row>
    <row r="943" spans="1:9" x14ac:dyDescent="0.4">
      <c r="A943" t="str">
        <f t="shared" si="98"/>
        <v/>
      </c>
      <c r="B943" t="str">
        <f t="shared" si="99"/>
        <v/>
      </c>
      <c r="C943" t="str">
        <f t="shared" si="100"/>
        <v/>
      </c>
      <c r="D943" t="str">
        <f t="shared" si="101"/>
        <v/>
      </c>
      <c r="E943" t="str">
        <f>IF(F943="","",IF(COUNTIF($F$2:F943,F943)&gt;1,"",SUMIFS(tbl_input[필요수량],tbl_input[집계키_센터],F943)))</f>
        <v/>
      </c>
      <c r="F943" t="str">
        <f>IFERROR(INDEX(tbl_input[집계키_센터],ROW()-1),"")</f>
        <v/>
      </c>
      <c r="G943" t="str">
        <f t="shared" si="102"/>
        <v/>
      </c>
      <c r="H943" t="str">
        <f t="shared" si="103"/>
        <v/>
      </c>
      <c r="I943" t="str">
        <f t="shared" si="104"/>
        <v/>
      </c>
    </row>
    <row r="944" spans="1:9" x14ac:dyDescent="0.4">
      <c r="A944" t="str">
        <f t="shared" si="98"/>
        <v/>
      </c>
      <c r="B944" t="str">
        <f t="shared" si="99"/>
        <v/>
      </c>
      <c r="C944" t="str">
        <f t="shared" si="100"/>
        <v/>
      </c>
      <c r="D944" t="str">
        <f t="shared" si="101"/>
        <v/>
      </c>
      <c r="E944" t="str">
        <f>IF(F944="","",IF(COUNTIF($F$2:F944,F944)&gt;1,"",SUMIFS(tbl_input[필요수량],tbl_input[집계키_센터],F944)))</f>
        <v/>
      </c>
      <c r="F944" t="str">
        <f>IFERROR(INDEX(tbl_input[집계키_센터],ROW()-1),"")</f>
        <v/>
      </c>
      <c r="G944" t="str">
        <f t="shared" si="102"/>
        <v/>
      </c>
      <c r="H944" t="str">
        <f t="shared" si="103"/>
        <v/>
      </c>
      <c r="I944" t="str">
        <f t="shared" si="104"/>
        <v/>
      </c>
    </row>
    <row r="945" spans="1:9" x14ac:dyDescent="0.4">
      <c r="A945" t="str">
        <f t="shared" si="98"/>
        <v/>
      </c>
      <c r="B945" t="str">
        <f t="shared" si="99"/>
        <v/>
      </c>
      <c r="C945" t="str">
        <f t="shared" si="100"/>
        <v/>
      </c>
      <c r="D945" t="str">
        <f t="shared" si="101"/>
        <v/>
      </c>
      <c r="E945" t="str">
        <f>IF(F945="","",IF(COUNTIF($F$2:F945,F945)&gt;1,"",SUMIFS(tbl_input[필요수량],tbl_input[집계키_센터],F945)))</f>
        <v/>
      </c>
      <c r="F945" t="str">
        <f>IFERROR(INDEX(tbl_input[집계키_센터],ROW()-1),"")</f>
        <v/>
      </c>
      <c r="G945" t="str">
        <f t="shared" si="102"/>
        <v/>
      </c>
      <c r="H945" t="str">
        <f t="shared" si="103"/>
        <v/>
      </c>
      <c r="I945" t="str">
        <f t="shared" si="104"/>
        <v/>
      </c>
    </row>
    <row r="946" spans="1:9" x14ac:dyDescent="0.4">
      <c r="A946" t="str">
        <f t="shared" si="98"/>
        <v/>
      </c>
      <c r="B946" t="str">
        <f t="shared" si="99"/>
        <v/>
      </c>
      <c r="C946" t="str">
        <f t="shared" si="100"/>
        <v/>
      </c>
      <c r="D946" t="str">
        <f t="shared" si="101"/>
        <v/>
      </c>
      <c r="E946" t="str">
        <f>IF(F946="","",IF(COUNTIF($F$2:F946,F946)&gt;1,"",SUMIFS(tbl_input[필요수량],tbl_input[집계키_센터],F946)))</f>
        <v/>
      </c>
      <c r="F946" t="str">
        <f>IFERROR(INDEX(tbl_input[집계키_센터],ROW()-1),"")</f>
        <v/>
      </c>
      <c r="G946" t="str">
        <f t="shared" si="102"/>
        <v/>
      </c>
      <c r="H946" t="str">
        <f t="shared" si="103"/>
        <v/>
      </c>
      <c r="I946" t="str">
        <f t="shared" si="104"/>
        <v/>
      </c>
    </row>
    <row r="947" spans="1:9" x14ac:dyDescent="0.4">
      <c r="A947" t="str">
        <f t="shared" si="98"/>
        <v/>
      </c>
      <c r="B947" t="str">
        <f t="shared" si="99"/>
        <v/>
      </c>
      <c r="C947" t="str">
        <f t="shared" si="100"/>
        <v/>
      </c>
      <c r="D947" t="str">
        <f t="shared" si="101"/>
        <v/>
      </c>
      <c r="E947" t="str">
        <f>IF(F947="","",IF(COUNTIF($F$2:F947,F947)&gt;1,"",SUMIFS(tbl_input[필요수량],tbl_input[집계키_센터],F947)))</f>
        <v/>
      </c>
      <c r="F947" t="str">
        <f>IFERROR(INDEX(tbl_input[집계키_센터],ROW()-1),"")</f>
        <v/>
      </c>
      <c r="G947" t="str">
        <f t="shared" si="102"/>
        <v/>
      </c>
      <c r="H947" t="str">
        <f t="shared" si="103"/>
        <v/>
      </c>
      <c r="I947" t="str">
        <f t="shared" si="104"/>
        <v/>
      </c>
    </row>
    <row r="948" spans="1:9" x14ac:dyDescent="0.4">
      <c r="A948" t="str">
        <f t="shared" si="98"/>
        <v/>
      </c>
      <c r="B948" t="str">
        <f t="shared" si="99"/>
        <v/>
      </c>
      <c r="C948" t="str">
        <f t="shared" si="100"/>
        <v/>
      </c>
      <c r="D948" t="str">
        <f t="shared" si="101"/>
        <v/>
      </c>
      <c r="E948" t="str">
        <f>IF(F948="","",IF(COUNTIF($F$2:F948,F948)&gt;1,"",SUMIFS(tbl_input[필요수량],tbl_input[집계키_센터],F948)))</f>
        <v/>
      </c>
      <c r="F948" t="str">
        <f>IFERROR(INDEX(tbl_input[집계키_센터],ROW()-1),"")</f>
        <v/>
      </c>
      <c r="G948" t="str">
        <f t="shared" si="102"/>
        <v/>
      </c>
      <c r="H948" t="str">
        <f t="shared" si="103"/>
        <v/>
      </c>
      <c r="I948" t="str">
        <f t="shared" si="104"/>
        <v/>
      </c>
    </row>
    <row r="949" spans="1:9" x14ac:dyDescent="0.4">
      <c r="A949" t="str">
        <f t="shared" si="98"/>
        <v/>
      </c>
      <c r="B949" t="str">
        <f t="shared" si="99"/>
        <v/>
      </c>
      <c r="C949" t="str">
        <f t="shared" si="100"/>
        <v/>
      </c>
      <c r="D949" t="str">
        <f t="shared" si="101"/>
        <v/>
      </c>
      <c r="E949" t="str">
        <f>IF(F949="","",IF(COUNTIF($F$2:F949,F949)&gt;1,"",SUMIFS(tbl_input[필요수량],tbl_input[집계키_센터],F949)))</f>
        <v/>
      </c>
      <c r="F949" t="str">
        <f>IFERROR(INDEX(tbl_input[집계키_센터],ROW()-1),"")</f>
        <v/>
      </c>
      <c r="G949" t="str">
        <f t="shared" si="102"/>
        <v/>
      </c>
      <c r="H949" t="str">
        <f t="shared" si="103"/>
        <v/>
      </c>
      <c r="I949" t="str">
        <f t="shared" si="104"/>
        <v/>
      </c>
    </row>
    <row r="950" spans="1:9" x14ac:dyDescent="0.4">
      <c r="A950" t="str">
        <f t="shared" si="98"/>
        <v/>
      </c>
      <c r="B950" t="str">
        <f t="shared" si="99"/>
        <v/>
      </c>
      <c r="C950" t="str">
        <f t="shared" si="100"/>
        <v/>
      </c>
      <c r="D950" t="str">
        <f t="shared" si="101"/>
        <v/>
      </c>
      <c r="E950" t="str">
        <f>IF(F950="","",IF(COUNTIF($F$2:F950,F950)&gt;1,"",SUMIFS(tbl_input[필요수량],tbl_input[집계키_센터],F950)))</f>
        <v/>
      </c>
      <c r="F950" t="str">
        <f>IFERROR(INDEX(tbl_input[집계키_센터],ROW()-1),"")</f>
        <v/>
      </c>
      <c r="G950" t="str">
        <f t="shared" si="102"/>
        <v/>
      </c>
      <c r="H950" t="str">
        <f t="shared" si="103"/>
        <v/>
      </c>
      <c r="I950" t="str">
        <f t="shared" si="104"/>
        <v/>
      </c>
    </row>
    <row r="951" spans="1:9" x14ac:dyDescent="0.4">
      <c r="A951" t="str">
        <f t="shared" si="98"/>
        <v/>
      </c>
      <c r="B951" t="str">
        <f t="shared" si="99"/>
        <v/>
      </c>
      <c r="C951" t="str">
        <f t="shared" si="100"/>
        <v/>
      </c>
      <c r="D951" t="str">
        <f t="shared" si="101"/>
        <v/>
      </c>
      <c r="E951" t="str">
        <f>IF(F951="","",IF(COUNTIF($F$2:F951,F951)&gt;1,"",SUMIFS(tbl_input[필요수량],tbl_input[집계키_센터],F951)))</f>
        <v/>
      </c>
      <c r="F951" t="str">
        <f>IFERROR(INDEX(tbl_input[집계키_센터],ROW()-1),"")</f>
        <v/>
      </c>
      <c r="G951" t="str">
        <f t="shared" si="102"/>
        <v/>
      </c>
      <c r="H951" t="str">
        <f t="shared" si="103"/>
        <v/>
      </c>
      <c r="I951" t="str">
        <f t="shared" si="104"/>
        <v/>
      </c>
    </row>
    <row r="952" spans="1:9" x14ac:dyDescent="0.4">
      <c r="A952" t="str">
        <f t="shared" si="98"/>
        <v/>
      </c>
      <c r="B952" t="str">
        <f t="shared" si="99"/>
        <v/>
      </c>
      <c r="C952" t="str">
        <f t="shared" si="100"/>
        <v/>
      </c>
      <c r="D952" t="str">
        <f t="shared" si="101"/>
        <v/>
      </c>
      <c r="E952" t="str">
        <f>IF(F952="","",IF(COUNTIF($F$2:F952,F952)&gt;1,"",SUMIFS(tbl_input[필요수량],tbl_input[집계키_센터],F952)))</f>
        <v/>
      </c>
      <c r="F952" t="str">
        <f>IFERROR(INDEX(tbl_input[집계키_센터],ROW()-1),"")</f>
        <v/>
      </c>
      <c r="G952" t="str">
        <f t="shared" si="102"/>
        <v/>
      </c>
      <c r="H952" t="str">
        <f t="shared" si="103"/>
        <v/>
      </c>
      <c r="I952" t="str">
        <f t="shared" si="104"/>
        <v/>
      </c>
    </row>
    <row r="953" spans="1:9" x14ac:dyDescent="0.4">
      <c r="A953" t="str">
        <f t="shared" si="98"/>
        <v/>
      </c>
      <c r="B953" t="str">
        <f t="shared" si="99"/>
        <v/>
      </c>
      <c r="C953" t="str">
        <f t="shared" si="100"/>
        <v/>
      </c>
      <c r="D953" t="str">
        <f t="shared" si="101"/>
        <v/>
      </c>
      <c r="E953" t="str">
        <f>IF(F953="","",IF(COUNTIF($F$2:F953,F953)&gt;1,"",SUMIFS(tbl_input[필요수량],tbl_input[집계키_센터],F953)))</f>
        <v/>
      </c>
      <c r="F953" t="str">
        <f>IFERROR(INDEX(tbl_input[집계키_센터],ROW()-1),"")</f>
        <v/>
      </c>
      <c r="G953" t="str">
        <f t="shared" si="102"/>
        <v/>
      </c>
      <c r="H953" t="str">
        <f t="shared" si="103"/>
        <v/>
      </c>
      <c r="I953" t="str">
        <f t="shared" si="104"/>
        <v/>
      </c>
    </row>
    <row r="954" spans="1:9" x14ac:dyDescent="0.4">
      <c r="A954" t="str">
        <f t="shared" si="98"/>
        <v/>
      </c>
      <c r="B954" t="str">
        <f t="shared" si="99"/>
        <v/>
      </c>
      <c r="C954" t="str">
        <f t="shared" si="100"/>
        <v/>
      </c>
      <c r="D954" t="str">
        <f t="shared" si="101"/>
        <v/>
      </c>
      <c r="E954" t="str">
        <f>IF(F954="","",IF(COUNTIF($F$2:F954,F954)&gt;1,"",SUMIFS(tbl_input[필요수량],tbl_input[집계키_센터],F954)))</f>
        <v/>
      </c>
      <c r="F954" t="str">
        <f>IFERROR(INDEX(tbl_input[집계키_센터],ROW()-1),"")</f>
        <v/>
      </c>
      <c r="G954" t="str">
        <f t="shared" si="102"/>
        <v/>
      </c>
      <c r="H954" t="str">
        <f t="shared" si="103"/>
        <v/>
      </c>
      <c r="I954" t="str">
        <f t="shared" si="104"/>
        <v/>
      </c>
    </row>
    <row r="955" spans="1:9" x14ac:dyDescent="0.4">
      <c r="A955" t="str">
        <f t="shared" si="98"/>
        <v/>
      </c>
      <c r="B955" t="str">
        <f t="shared" si="99"/>
        <v/>
      </c>
      <c r="C955" t="str">
        <f t="shared" si="100"/>
        <v/>
      </c>
      <c r="D955" t="str">
        <f t="shared" si="101"/>
        <v/>
      </c>
      <c r="E955" t="str">
        <f>IF(F955="","",IF(COUNTIF($F$2:F955,F955)&gt;1,"",SUMIFS(tbl_input[필요수량],tbl_input[집계키_센터],F955)))</f>
        <v/>
      </c>
      <c r="F955" t="str">
        <f>IFERROR(INDEX(tbl_input[집계키_센터],ROW()-1),"")</f>
        <v/>
      </c>
      <c r="G955" t="str">
        <f t="shared" si="102"/>
        <v/>
      </c>
      <c r="H955" t="str">
        <f t="shared" si="103"/>
        <v/>
      </c>
      <c r="I955" t="str">
        <f t="shared" si="104"/>
        <v/>
      </c>
    </row>
    <row r="956" spans="1:9" x14ac:dyDescent="0.4">
      <c r="A956" t="str">
        <f t="shared" si="98"/>
        <v/>
      </c>
      <c r="B956" t="str">
        <f t="shared" si="99"/>
        <v/>
      </c>
      <c r="C956" t="str">
        <f t="shared" si="100"/>
        <v/>
      </c>
      <c r="D956" t="str">
        <f t="shared" si="101"/>
        <v/>
      </c>
      <c r="E956" t="str">
        <f>IF(F956="","",IF(COUNTIF($F$2:F956,F956)&gt;1,"",SUMIFS(tbl_input[필요수량],tbl_input[집계키_센터],F956)))</f>
        <v/>
      </c>
      <c r="F956" t="str">
        <f>IFERROR(INDEX(tbl_input[집계키_센터],ROW()-1),"")</f>
        <v/>
      </c>
      <c r="G956" t="str">
        <f t="shared" si="102"/>
        <v/>
      </c>
      <c r="H956" t="str">
        <f t="shared" si="103"/>
        <v/>
      </c>
      <c r="I956" t="str">
        <f t="shared" si="104"/>
        <v/>
      </c>
    </row>
    <row r="957" spans="1:9" x14ac:dyDescent="0.4">
      <c r="A957" t="str">
        <f t="shared" si="98"/>
        <v/>
      </c>
      <c r="B957" t="str">
        <f t="shared" si="99"/>
        <v/>
      </c>
      <c r="C957" t="str">
        <f t="shared" si="100"/>
        <v/>
      </c>
      <c r="D957" t="str">
        <f t="shared" si="101"/>
        <v/>
      </c>
      <c r="E957" t="str">
        <f>IF(F957="","",IF(COUNTIF($F$2:F957,F957)&gt;1,"",SUMIFS(tbl_input[필요수량],tbl_input[집계키_센터],F957)))</f>
        <v/>
      </c>
      <c r="F957" t="str">
        <f>IFERROR(INDEX(tbl_input[집계키_센터],ROW()-1),"")</f>
        <v/>
      </c>
      <c r="G957" t="str">
        <f t="shared" si="102"/>
        <v/>
      </c>
      <c r="H957" t="str">
        <f t="shared" si="103"/>
        <v/>
      </c>
      <c r="I957" t="str">
        <f t="shared" si="104"/>
        <v/>
      </c>
    </row>
    <row r="958" spans="1:9" x14ac:dyDescent="0.4">
      <c r="A958" t="str">
        <f t="shared" si="98"/>
        <v/>
      </c>
      <c r="B958" t="str">
        <f t="shared" si="99"/>
        <v/>
      </c>
      <c r="C958" t="str">
        <f t="shared" si="100"/>
        <v/>
      </c>
      <c r="D958" t="str">
        <f t="shared" si="101"/>
        <v/>
      </c>
      <c r="E958" t="str">
        <f>IF(F958="","",IF(COUNTIF($F$2:F958,F958)&gt;1,"",SUMIFS(tbl_input[필요수량],tbl_input[집계키_센터],F958)))</f>
        <v/>
      </c>
      <c r="F958" t="str">
        <f>IFERROR(INDEX(tbl_input[집계키_센터],ROW()-1),"")</f>
        <v/>
      </c>
      <c r="G958" t="str">
        <f t="shared" si="102"/>
        <v/>
      </c>
      <c r="H958" t="str">
        <f t="shared" si="103"/>
        <v/>
      </c>
      <c r="I958" t="str">
        <f t="shared" si="104"/>
        <v/>
      </c>
    </row>
    <row r="959" spans="1:9" x14ac:dyDescent="0.4">
      <c r="A959" t="str">
        <f t="shared" si="98"/>
        <v/>
      </c>
      <c r="B959" t="str">
        <f t="shared" si="99"/>
        <v/>
      </c>
      <c r="C959" t="str">
        <f t="shared" si="100"/>
        <v/>
      </c>
      <c r="D959" t="str">
        <f t="shared" si="101"/>
        <v/>
      </c>
      <c r="E959" t="str">
        <f>IF(F959="","",IF(COUNTIF($F$2:F959,F959)&gt;1,"",SUMIFS(tbl_input[필요수량],tbl_input[집계키_센터],F959)))</f>
        <v/>
      </c>
      <c r="F959" t="str">
        <f>IFERROR(INDEX(tbl_input[집계키_센터],ROW()-1),"")</f>
        <v/>
      </c>
      <c r="G959" t="str">
        <f t="shared" si="102"/>
        <v/>
      </c>
      <c r="H959" t="str">
        <f t="shared" si="103"/>
        <v/>
      </c>
      <c r="I959" t="str">
        <f t="shared" si="104"/>
        <v/>
      </c>
    </row>
    <row r="960" spans="1:9" x14ac:dyDescent="0.4">
      <c r="A960" t="str">
        <f t="shared" si="98"/>
        <v/>
      </c>
      <c r="B960" t="str">
        <f t="shared" si="99"/>
        <v/>
      </c>
      <c r="C960" t="str">
        <f t="shared" si="100"/>
        <v/>
      </c>
      <c r="D960" t="str">
        <f t="shared" si="101"/>
        <v/>
      </c>
      <c r="E960" t="str">
        <f>IF(F960="","",IF(COUNTIF($F$2:F960,F960)&gt;1,"",SUMIFS(tbl_input[필요수량],tbl_input[집계키_센터],F960)))</f>
        <v/>
      </c>
      <c r="F960" t="str">
        <f>IFERROR(INDEX(tbl_input[집계키_센터],ROW()-1),"")</f>
        <v/>
      </c>
      <c r="G960" t="str">
        <f t="shared" si="102"/>
        <v/>
      </c>
      <c r="H960" t="str">
        <f t="shared" si="103"/>
        <v/>
      </c>
      <c r="I960" t="str">
        <f t="shared" si="104"/>
        <v/>
      </c>
    </row>
    <row r="961" spans="1:9" x14ac:dyDescent="0.4">
      <c r="A961" t="str">
        <f t="shared" si="98"/>
        <v/>
      </c>
      <c r="B961" t="str">
        <f t="shared" si="99"/>
        <v/>
      </c>
      <c r="C961" t="str">
        <f t="shared" si="100"/>
        <v/>
      </c>
      <c r="D961" t="str">
        <f t="shared" si="101"/>
        <v/>
      </c>
      <c r="E961" t="str">
        <f>IF(F961="","",IF(COUNTIF($F$2:F961,F961)&gt;1,"",SUMIFS(tbl_input[필요수량],tbl_input[집계키_센터],F961)))</f>
        <v/>
      </c>
      <c r="F961" t="str">
        <f>IFERROR(INDEX(tbl_input[집계키_센터],ROW()-1),"")</f>
        <v/>
      </c>
      <c r="G961" t="str">
        <f t="shared" si="102"/>
        <v/>
      </c>
      <c r="H961" t="str">
        <f t="shared" si="103"/>
        <v/>
      </c>
      <c r="I961" t="str">
        <f t="shared" si="104"/>
        <v/>
      </c>
    </row>
    <row r="962" spans="1:9" x14ac:dyDescent="0.4">
      <c r="A962" t="str">
        <f t="shared" ref="A962:A1025" si="105">IF(F962="","",LEFT(F962,G962-1))</f>
        <v/>
      </c>
      <c r="B962" t="str">
        <f t="shared" ref="B962:B1025" si="106">IF(F962="","",MID(F962,G962+1,H962-G962-1))</f>
        <v/>
      </c>
      <c r="C962" t="str">
        <f t="shared" ref="C962:C1025" si="107">IF(F962="","",MID(F962,H962+1,I962-H962-1))</f>
        <v/>
      </c>
      <c r="D962" t="str">
        <f t="shared" ref="D962:D1025" si="108">IF(F962="","",MID(F962,I962+1,999))</f>
        <v/>
      </c>
      <c r="E962" t="str">
        <f>IF(F962="","",IF(COUNTIF($F$2:F962,F962)&gt;1,"",SUMIFS(tbl_input[필요수량],tbl_input[집계키_센터],F962)))</f>
        <v/>
      </c>
      <c r="F962" t="str">
        <f>IFERROR(INDEX(tbl_input[집계키_센터],ROW()-1),"")</f>
        <v/>
      </c>
      <c r="G962" t="str">
        <f t="shared" ref="G962:G1025" si="109">IF(F962="","",FIND("♦",F962))</f>
        <v/>
      </c>
      <c r="H962" t="str">
        <f t="shared" ref="H962:H1025" si="110">IF(F962="","",FIND("♦",F962,G962+1))</f>
        <v/>
      </c>
      <c r="I962" t="str">
        <f t="shared" ref="I962:I1025" si="111">IF(F962="","",FIND("♦",F962,H962+1))</f>
        <v/>
      </c>
    </row>
    <row r="963" spans="1:9" x14ac:dyDescent="0.4">
      <c r="A963" t="str">
        <f t="shared" si="105"/>
        <v/>
      </c>
      <c r="B963" t="str">
        <f t="shared" si="106"/>
        <v/>
      </c>
      <c r="C963" t="str">
        <f t="shared" si="107"/>
        <v/>
      </c>
      <c r="D963" t="str">
        <f t="shared" si="108"/>
        <v/>
      </c>
      <c r="E963" t="str">
        <f>IF(F963="","",IF(COUNTIF($F$2:F963,F963)&gt;1,"",SUMIFS(tbl_input[필요수량],tbl_input[집계키_센터],F963)))</f>
        <v/>
      </c>
      <c r="F963" t="str">
        <f>IFERROR(INDEX(tbl_input[집계키_센터],ROW()-1),"")</f>
        <v/>
      </c>
      <c r="G963" t="str">
        <f t="shared" si="109"/>
        <v/>
      </c>
      <c r="H963" t="str">
        <f t="shared" si="110"/>
        <v/>
      </c>
      <c r="I963" t="str">
        <f t="shared" si="111"/>
        <v/>
      </c>
    </row>
    <row r="964" spans="1:9" x14ac:dyDescent="0.4">
      <c r="A964" t="str">
        <f t="shared" si="105"/>
        <v/>
      </c>
      <c r="B964" t="str">
        <f t="shared" si="106"/>
        <v/>
      </c>
      <c r="C964" t="str">
        <f t="shared" si="107"/>
        <v/>
      </c>
      <c r="D964" t="str">
        <f t="shared" si="108"/>
        <v/>
      </c>
      <c r="E964" t="str">
        <f>IF(F964="","",IF(COUNTIF($F$2:F964,F964)&gt;1,"",SUMIFS(tbl_input[필요수량],tbl_input[집계키_센터],F964)))</f>
        <v/>
      </c>
      <c r="F964" t="str">
        <f>IFERROR(INDEX(tbl_input[집계키_센터],ROW()-1),"")</f>
        <v/>
      </c>
      <c r="G964" t="str">
        <f t="shared" si="109"/>
        <v/>
      </c>
      <c r="H964" t="str">
        <f t="shared" si="110"/>
        <v/>
      </c>
      <c r="I964" t="str">
        <f t="shared" si="111"/>
        <v/>
      </c>
    </row>
    <row r="965" spans="1:9" x14ac:dyDescent="0.4">
      <c r="A965" t="str">
        <f t="shared" si="105"/>
        <v/>
      </c>
      <c r="B965" t="str">
        <f t="shared" si="106"/>
        <v/>
      </c>
      <c r="C965" t="str">
        <f t="shared" si="107"/>
        <v/>
      </c>
      <c r="D965" t="str">
        <f t="shared" si="108"/>
        <v/>
      </c>
      <c r="E965" t="str">
        <f>IF(F965="","",IF(COUNTIF($F$2:F965,F965)&gt;1,"",SUMIFS(tbl_input[필요수량],tbl_input[집계키_센터],F965)))</f>
        <v/>
      </c>
      <c r="F965" t="str">
        <f>IFERROR(INDEX(tbl_input[집계키_센터],ROW()-1),"")</f>
        <v/>
      </c>
      <c r="G965" t="str">
        <f t="shared" si="109"/>
        <v/>
      </c>
      <c r="H965" t="str">
        <f t="shared" si="110"/>
        <v/>
      </c>
      <c r="I965" t="str">
        <f t="shared" si="111"/>
        <v/>
      </c>
    </row>
    <row r="966" spans="1:9" x14ac:dyDescent="0.4">
      <c r="A966" t="str">
        <f t="shared" si="105"/>
        <v/>
      </c>
      <c r="B966" t="str">
        <f t="shared" si="106"/>
        <v/>
      </c>
      <c r="C966" t="str">
        <f t="shared" si="107"/>
        <v/>
      </c>
      <c r="D966" t="str">
        <f t="shared" si="108"/>
        <v/>
      </c>
      <c r="E966" t="str">
        <f>IF(F966="","",IF(COUNTIF($F$2:F966,F966)&gt;1,"",SUMIFS(tbl_input[필요수량],tbl_input[집계키_센터],F966)))</f>
        <v/>
      </c>
      <c r="F966" t="str">
        <f>IFERROR(INDEX(tbl_input[집계키_센터],ROW()-1),"")</f>
        <v/>
      </c>
      <c r="G966" t="str">
        <f t="shared" si="109"/>
        <v/>
      </c>
      <c r="H966" t="str">
        <f t="shared" si="110"/>
        <v/>
      </c>
      <c r="I966" t="str">
        <f t="shared" si="111"/>
        <v/>
      </c>
    </row>
    <row r="967" spans="1:9" x14ac:dyDescent="0.4">
      <c r="A967" t="str">
        <f t="shared" si="105"/>
        <v/>
      </c>
      <c r="B967" t="str">
        <f t="shared" si="106"/>
        <v/>
      </c>
      <c r="C967" t="str">
        <f t="shared" si="107"/>
        <v/>
      </c>
      <c r="D967" t="str">
        <f t="shared" si="108"/>
        <v/>
      </c>
      <c r="E967" t="str">
        <f>IF(F967="","",IF(COUNTIF($F$2:F967,F967)&gt;1,"",SUMIFS(tbl_input[필요수량],tbl_input[집계키_센터],F967)))</f>
        <v/>
      </c>
      <c r="F967" t="str">
        <f>IFERROR(INDEX(tbl_input[집계키_센터],ROW()-1),"")</f>
        <v/>
      </c>
      <c r="G967" t="str">
        <f t="shared" si="109"/>
        <v/>
      </c>
      <c r="H967" t="str">
        <f t="shared" si="110"/>
        <v/>
      </c>
      <c r="I967" t="str">
        <f t="shared" si="111"/>
        <v/>
      </c>
    </row>
    <row r="968" spans="1:9" x14ac:dyDescent="0.4">
      <c r="A968" t="str">
        <f t="shared" si="105"/>
        <v/>
      </c>
      <c r="B968" t="str">
        <f t="shared" si="106"/>
        <v/>
      </c>
      <c r="C968" t="str">
        <f t="shared" si="107"/>
        <v/>
      </c>
      <c r="D968" t="str">
        <f t="shared" si="108"/>
        <v/>
      </c>
      <c r="E968" t="str">
        <f>IF(F968="","",IF(COUNTIF($F$2:F968,F968)&gt;1,"",SUMIFS(tbl_input[필요수량],tbl_input[집계키_센터],F968)))</f>
        <v/>
      </c>
      <c r="F968" t="str">
        <f>IFERROR(INDEX(tbl_input[집계키_센터],ROW()-1),"")</f>
        <v/>
      </c>
      <c r="G968" t="str">
        <f t="shared" si="109"/>
        <v/>
      </c>
      <c r="H968" t="str">
        <f t="shared" si="110"/>
        <v/>
      </c>
      <c r="I968" t="str">
        <f t="shared" si="111"/>
        <v/>
      </c>
    </row>
    <row r="969" spans="1:9" x14ac:dyDescent="0.4">
      <c r="A969" t="str">
        <f t="shared" si="105"/>
        <v/>
      </c>
      <c r="B969" t="str">
        <f t="shared" si="106"/>
        <v/>
      </c>
      <c r="C969" t="str">
        <f t="shared" si="107"/>
        <v/>
      </c>
      <c r="D969" t="str">
        <f t="shared" si="108"/>
        <v/>
      </c>
      <c r="E969" t="str">
        <f>IF(F969="","",IF(COUNTIF($F$2:F969,F969)&gt;1,"",SUMIFS(tbl_input[필요수량],tbl_input[집계키_센터],F969)))</f>
        <v/>
      </c>
      <c r="F969" t="str">
        <f>IFERROR(INDEX(tbl_input[집계키_센터],ROW()-1),"")</f>
        <v/>
      </c>
      <c r="G969" t="str">
        <f t="shared" si="109"/>
        <v/>
      </c>
      <c r="H969" t="str">
        <f t="shared" si="110"/>
        <v/>
      </c>
      <c r="I969" t="str">
        <f t="shared" si="111"/>
        <v/>
      </c>
    </row>
    <row r="970" spans="1:9" x14ac:dyDescent="0.4">
      <c r="A970" t="str">
        <f t="shared" si="105"/>
        <v/>
      </c>
      <c r="B970" t="str">
        <f t="shared" si="106"/>
        <v/>
      </c>
      <c r="C970" t="str">
        <f t="shared" si="107"/>
        <v/>
      </c>
      <c r="D970" t="str">
        <f t="shared" si="108"/>
        <v/>
      </c>
      <c r="E970" t="str">
        <f>IF(F970="","",IF(COUNTIF($F$2:F970,F970)&gt;1,"",SUMIFS(tbl_input[필요수량],tbl_input[집계키_센터],F970)))</f>
        <v/>
      </c>
      <c r="F970" t="str">
        <f>IFERROR(INDEX(tbl_input[집계키_센터],ROW()-1),"")</f>
        <v/>
      </c>
      <c r="G970" t="str">
        <f t="shared" si="109"/>
        <v/>
      </c>
      <c r="H970" t="str">
        <f t="shared" si="110"/>
        <v/>
      </c>
      <c r="I970" t="str">
        <f t="shared" si="111"/>
        <v/>
      </c>
    </row>
    <row r="971" spans="1:9" x14ac:dyDescent="0.4">
      <c r="A971" t="str">
        <f t="shared" si="105"/>
        <v/>
      </c>
      <c r="B971" t="str">
        <f t="shared" si="106"/>
        <v/>
      </c>
      <c r="C971" t="str">
        <f t="shared" si="107"/>
        <v/>
      </c>
      <c r="D971" t="str">
        <f t="shared" si="108"/>
        <v/>
      </c>
      <c r="E971" t="str">
        <f>IF(F971="","",IF(COUNTIF($F$2:F971,F971)&gt;1,"",SUMIFS(tbl_input[필요수량],tbl_input[집계키_센터],F971)))</f>
        <v/>
      </c>
      <c r="F971" t="str">
        <f>IFERROR(INDEX(tbl_input[집계키_센터],ROW()-1),"")</f>
        <v/>
      </c>
      <c r="G971" t="str">
        <f t="shared" si="109"/>
        <v/>
      </c>
      <c r="H971" t="str">
        <f t="shared" si="110"/>
        <v/>
      </c>
      <c r="I971" t="str">
        <f t="shared" si="111"/>
        <v/>
      </c>
    </row>
    <row r="972" spans="1:9" x14ac:dyDescent="0.4">
      <c r="A972" t="str">
        <f t="shared" si="105"/>
        <v/>
      </c>
      <c r="B972" t="str">
        <f t="shared" si="106"/>
        <v/>
      </c>
      <c r="C972" t="str">
        <f t="shared" si="107"/>
        <v/>
      </c>
      <c r="D972" t="str">
        <f t="shared" si="108"/>
        <v/>
      </c>
      <c r="E972" t="str">
        <f>IF(F972="","",IF(COUNTIF($F$2:F972,F972)&gt;1,"",SUMIFS(tbl_input[필요수량],tbl_input[집계키_센터],F972)))</f>
        <v/>
      </c>
      <c r="F972" t="str">
        <f>IFERROR(INDEX(tbl_input[집계키_센터],ROW()-1),"")</f>
        <v/>
      </c>
      <c r="G972" t="str">
        <f t="shared" si="109"/>
        <v/>
      </c>
      <c r="H972" t="str">
        <f t="shared" si="110"/>
        <v/>
      </c>
      <c r="I972" t="str">
        <f t="shared" si="111"/>
        <v/>
      </c>
    </row>
    <row r="973" spans="1:9" x14ac:dyDescent="0.4">
      <c r="A973" t="str">
        <f t="shared" si="105"/>
        <v/>
      </c>
      <c r="B973" t="str">
        <f t="shared" si="106"/>
        <v/>
      </c>
      <c r="C973" t="str">
        <f t="shared" si="107"/>
        <v/>
      </c>
      <c r="D973" t="str">
        <f t="shared" si="108"/>
        <v/>
      </c>
      <c r="E973" t="str">
        <f>IF(F973="","",IF(COUNTIF($F$2:F973,F973)&gt;1,"",SUMIFS(tbl_input[필요수량],tbl_input[집계키_센터],F973)))</f>
        <v/>
      </c>
      <c r="F973" t="str">
        <f>IFERROR(INDEX(tbl_input[집계키_센터],ROW()-1),"")</f>
        <v/>
      </c>
      <c r="G973" t="str">
        <f t="shared" si="109"/>
        <v/>
      </c>
      <c r="H973" t="str">
        <f t="shared" si="110"/>
        <v/>
      </c>
      <c r="I973" t="str">
        <f t="shared" si="111"/>
        <v/>
      </c>
    </row>
    <row r="974" spans="1:9" x14ac:dyDescent="0.4">
      <c r="A974" t="str">
        <f t="shared" si="105"/>
        <v/>
      </c>
      <c r="B974" t="str">
        <f t="shared" si="106"/>
        <v/>
      </c>
      <c r="C974" t="str">
        <f t="shared" si="107"/>
        <v/>
      </c>
      <c r="D974" t="str">
        <f t="shared" si="108"/>
        <v/>
      </c>
      <c r="E974" t="str">
        <f>IF(F974="","",IF(COUNTIF($F$2:F974,F974)&gt;1,"",SUMIFS(tbl_input[필요수량],tbl_input[집계키_센터],F974)))</f>
        <v/>
      </c>
      <c r="F974" t="str">
        <f>IFERROR(INDEX(tbl_input[집계키_센터],ROW()-1),"")</f>
        <v/>
      </c>
      <c r="G974" t="str">
        <f t="shared" si="109"/>
        <v/>
      </c>
      <c r="H974" t="str">
        <f t="shared" si="110"/>
        <v/>
      </c>
      <c r="I974" t="str">
        <f t="shared" si="111"/>
        <v/>
      </c>
    </row>
    <row r="975" spans="1:9" x14ac:dyDescent="0.4">
      <c r="A975" t="str">
        <f t="shared" si="105"/>
        <v/>
      </c>
      <c r="B975" t="str">
        <f t="shared" si="106"/>
        <v/>
      </c>
      <c r="C975" t="str">
        <f t="shared" si="107"/>
        <v/>
      </c>
      <c r="D975" t="str">
        <f t="shared" si="108"/>
        <v/>
      </c>
      <c r="E975" t="str">
        <f>IF(F975="","",IF(COUNTIF($F$2:F975,F975)&gt;1,"",SUMIFS(tbl_input[필요수량],tbl_input[집계키_센터],F975)))</f>
        <v/>
      </c>
      <c r="F975" t="str">
        <f>IFERROR(INDEX(tbl_input[집계키_센터],ROW()-1),"")</f>
        <v/>
      </c>
      <c r="G975" t="str">
        <f t="shared" si="109"/>
        <v/>
      </c>
      <c r="H975" t="str">
        <f t="shared" si="110"/>
        <v/>
      </c>
      <c r="I975" t="str">
        <f t="shared" si="111"/>
        <v/>
      </c>
    </row>
    <row r="976" spans="1:9" x14ac:dyDescent="0.4">
      <c r="A976" t="str">
        <f t="shared" si="105"/>
        <v/>
      </c>
      <c r="B976" t="str">
        <f t="shared" si="106"/>
        <v/>
      </c>
      <c r="C976" t="str">
        <f t="shared" si="107"/>
        <v/>
      </c>
      <c r="D976" t="str">
        <f t="shared" si="108"/>
        <v/>
      </c>
      <c r="E976" t="str">
        <f>IF(F976="","",IF(COUNTIF($F$2:F976,F976)&gt;1,"",SUMIFS(tbl_input[필요수량],tbl_input[집계키_센터],F976)))</f>
        <v/>
      </c>
      <c r="F976" t="str">
        <f>IFERROR(INDEX(tbl_input[집계키_센터],ROW()-1),"")</f>
        <v/>
      </c>
      <c r="G976" t="str">
        <f t="shared" si="109"/>
        <v/>
      </c>
      <c r="H976" t="str">
        <f t="shared" si="110"/>
        <v/>
      </c>
      <c r="I976" t="str">
        <f t="shared" si="111"/>
        <v/>
      </c>
    </row>
    <row r="977" spans="1:9" x14ac:dyDescent="0.4">
      <c r="A977" t="str">
        <f t="shared" si="105"/>
        <v/>
      </c>
      <c r="B977" t="str">
        <f t="shared" si="106"/>
        <v/>
      </c>
      <c r="C977" t="str">
        <f t="shared" si="107"/>
        <v/>
      </c>
      <c r="D977" t="str">
        <f t="shared" si="108"/>
        <v/>
      </c>
      <c r="E977" t="str">
        <f>IF(F977="","",IF(COUNTIF($F$2:F977,F977)&gt;1,"",SUMIFS(tbl_input[필요수량],tbl_input[집계키_센터],F977)))</f>
        <v/>
      </c>
      <c r="F977" t="str">
        <f>IFERROR(INDEX(tbl_input[집계키_센터],ROW()-1),"")</f>
        <v/>
      </c>
      <c r="G977" t="str">
        <f t="shared" si="109"/>
        <v/>
      </c>
      <c r="H977" t="str">
        <f t="shared" si="110"/>
        <v/>
      </c>
      <c r="I977" t="str">
        <f t="shared" si="111"/>
        <v/>
      </c>
    </row>
    <row r="978" spans="1:9" x14ac:dyDescent="0.4">
      <c r="A978" t="str">
        <f t="shared" si="105"/>
        <v/>
      </c>
      <c r="B978" t="str">
        <f t="shared" si="106"/>
        <v/>
      </c>
      <c r="C978" t="str">
        <f t="shared" si="107"/>
        <v/>
      </c>
      <c r="D978" t="str">
        <f t="shared" si="108"/>
        <v/>
      </c>
      <c r="E978" t="str">
        <f>IF(F978="","",IF(COUNTIF($F$2:F978,F978)&gt;1,"",SUMIFS(tbl_input[필요수량],tbl_input[집계키_센터],F978)))</f>
        <v/>
      </c>
      <c r="F978" t="str">
        <f>IFERROR(INDEX(tbl_input[집계키_센터],ROW()-1),"")</f>
        <v/>
      </c>
      <c r="G978" t="str">
        <f t="shared" si="109"/>
        <v/>
      </c>
      <c r="H978" t="str">
        <f t="shared" si="110"/>
        <v/>
      </c>
      <c r="I978" t="str">
        <f t="shared" si="111"/>
        <v/>
      </c>
    </row>
    <row r="979" spans="1:9" x14ac:dyDescent="0.4">
      <c r="A979" t="str">
        <f t="shared" si="105"/>
        <v/>
      </c>
      <c r="B979" t="str">
        <f t="shared" si="106"/>
        <v/>
      </c>
      <c r="C979" t="str">
        <f t="shared" si="107"/>
        <v/>
      </c>
      <c r="D979" t="str">
        <f t="shared" si="108"/>
        <v/>
      </c>
      <c r="E979" t="str">
        <f>IF(F979="","",IF(COUNTIF($F$2:F979,F979)&gt;1,"",SUMIFS(tbl_input[필요수량],tbl_input[집계키_센터],F979)))</f>
        <v/>
      </c>
      <c r="F979" t="str">
        <f>IFERROR(INDEX(tbl_input[집계키_센터],ROW()-1),"")</f>
        <v/>
      </c>
      <c r="G979" t="str">
        <f t="shared" si="109"/>
        <v/>
      </c>
      <c r="H979" t="str">
        <f t="shared" si="110"/>
        <v/>
      </c>
      <c r="I979" t="str">
        <f t="shared" si="111"/>
        <v/>
      </c>
    </row>
    <row r="980" spans="1:9" x14ac:dyDescent="0.4">
      <c r="A980" t="str">
        <f t="shared" si="105"/>
        <v/>
      </c>
      <c r="B980" t="str">
        <f t="shared" si="106"/>
        <v/>
      </c>
      <c r="C980" t="str">
        <f t="shared" si="107"/>
        <v/>
      </c>
      <c r="D980" t="str">
        <f t="shared" si="108"/>
        <v/>
      </c>
      <c r="E980" t="str">
        <f>IF(F980="","",IF(COUNTIF($F$2:F980,F980)&gt;1,"",SUMIFS(tbl_input[필요수량],tbl_input[집계키_센터],F980)))</f>
        <v/>
      </c>
      <c r="F980" t="str">
        <f>IFERROR(INDEX(tbl_input[집계키_센터],ROW()-1),"")</f>
        <v/>
      </c>
      <c r="G980" t="str">
        <f t="shared" si="109"/>
        <v/>
      </c>
      <c r="H980" t="str">
        <f t="shared" si="110"/>
        <v/>
      </c>
      <c r="I980" t="str">
        <f t="shared" si="111"/>
        <v/>
      </c>
    </row>
    <row r="981" spans="1:9" x14ac:dyDescent="0.4">
      <c r="A981" t="str">
        <f t="shared" si="105"/>
        <v/>
      </c>
      <c r="B981" t="str">
        <f t="shared" si="106"/>
        <v/>
      </c>
      <c r="C981" t="str">
        <f t="shared" si="107"/>
        <v/>
      </c>
      <c r="D981" t="str">
        <f t="shared" si="108"/>
        <v/>
      </c>
      <c r="E981" t="str">
        <f>IF(F981="","",IF(COUNTIF($F$2:F981,F981)&gt;1,"",SUMIFS(tbl_input[필요수량],tbl_input[집계키_센터],F981)))</f>
        <v/>
      </c>
      <c r="F981" t="str">
        <f>IFERROR(INDEX(tbl_input[집계키_센터],ROW()-1),"")</f>
        <v/>
      </c>
      <c r="G981" t="str">
        <f t="shared" si="109"/>
        <v/>
      </c>
      <c r="H981" t="str">
        <f t="shared" si="110"/>
        <v/>
      </c>
      <c r="I981" t="str">
        <f t="shared" si="111"/>
        <v/>
      </c>
    </row>
    <row r="982" spans="1:9" x14ac:dyDescent="0.4">
      <c r="A982" t="str">
        <f t="shared" si="105"/>
        <v/>
      </c>
      <c r="B982" t="str">
        <f t="shared" si="106"/>
        <v/>
      </c>
      <c r="C982" t="str">
        <f t="shared" si="107"/>
        <v/>
      </c>
      <c r="D982" t="str">
        <f t="shared" si="108"/>
        <v/>
      </c>
      <c r="E982" t="str">
        <f>IF(F982="","",IF(COUNTIF($F$2:F982,F982)&gt;1,"",SUMIFS(tbl_input[필요수량],tbl_input[집계키_센터],F982)))</f>
        <v/>
      </c>
      <c r="F982" t="str">
        <f>IFERROR(INDEX(tbl_input[집계키_센터],ROW()-1),"")</f>
        <v/>
      </c>
      <c r="G982" t="str">
        <f t="shared" si="109"/>
        <v/>
      </c>
      <c r="H982" t="str">
        <f t="shared" si="110"/>
        <v/>
      </c>
      <c r="I982" t="str">
        <f t="shared" si="111"/>
        <v/>
      </c>
    </row>
    <row r="983" spans="1:9" x14ac:dyDescent="0.4">
      <c r="A983" t="str">
        <f t="shared" si="105"/>
        <v/>
      </c>
      <c r="B983" t="str">
        <f t="shared" si="106"/>
        <v/>
      </c>
      <c r="C983" t="str">
        <f t="shared" si="107"/>
        <v/>
      </c>
      <c r="D983" t="str">
        <f t="shared" si="108"/>
        <v/>
      </c>
      <c r="E983" t="str">
        <f>IF(F983="","",IF(COUNTIF($F$2:F983,F983)&gt;1,"",SUMIFS(tbl_input[필요수량],tbl_input[집계키_센터],F983)))</f>
        <v/>
      </c>
      <c r="F983" t="str">
        <f>IFERROR(INDEX(tbl_input[집계키_센터],ROW()-1),"")</f>
        <v/>
      </c>
      <c r="G983" t="str">
        <f t="shared" si="109"/>
        <v/>
      </c>
      <c r="H983" t="str">
        <f t="shared" si="110"/>
        <v/>
      </c>
      <c r="I983" t="str">
        <f t="shared" si="111"/>
        <v/>
      </c>
    </row>
    <row r="984" spans="1:9" x14ac:dyDescent="0.4">
      <c r="A984" t="str">
        <f t="shared" si="105"/>
        <v/>
      </c>
      <c r="B984" t="str">
        <f t="shared" si="106"/>
        <v/>
      </c>
      <c r="C984" t="str">
        <f t="shared" si="107"/>
        <v/>
      </c>
      <c r="D984" t="str">
        <f t="shared" si="108"/>
        <v/>
      </c>
      <c r="E984" t="str">
        <f>IF(F984="","",IF(COUNTIF($F$2:F984,F984)&gt;1,"",SUMIFS(tbl_input[필요수량],tbl_input[집계키_센터],F984)))</f>
        <v/>
      </c>
      <c r="F984" t="str">
        <f>IFERROR(INDEX(tbl_input[집계키_센터],ROW()-1),"")</f>
        <v/>
      </c>
      <c r="G984" t="str">
        <f t="shared" si="109"/>
        <v/>
      </c>
      <c r="H984" t="str">
        <f t="shared" si="110"/>
        <v/>
      </c>
      <c r="I984" t="str">
        <f t="shared" si="111"/>
        <v/>
      </c>
    </row>
    <row r="985" spans="1:9" x14ac:dyDescent="0.4">
      <c r="A985" t="str">
        <f t="shared" si="105"/>
        <v/>
      </c>
      <c r="B985" t="str">
        <f t="shared" si="106"/>
        <v/>
      </c>
      <c r="C985" t="str">
        <f t="shared" si="107"/>
        <v/>
      </c>
      <c r="D985" t="str">
        <f t="shared" si="108"/>
        <v/>
      </c>
      <c r="E985" t="str">
        <f>IF(F985="","",IF(COUNTIF($F$2:F985,F985)&gt;1,"",SUMIFS(tbl_input[필요수량],tbl_input[집계키_센터],F985)))</f>
        <v/>
      </c>
      <c r="F985" t="str">
        <f>IFERROR(INDEX(tbl_input[집계키_센터],ROW()-1),"")</f>
        <v/>
      </c>
      <c r="G985" t="str">
        <f t="shared" si="109"/>
        <v/>
      </c>
      <c r="H985" t="str">
        <f t="shared" si="110"/>
        <v/>
      </c>
      <c r="I985" t="str">
        <f t="shared" si="111"/>
        <v/>
      </c>
    </row>
    <row r="986" spans="1:9" x14ac:dyDescent="0.4">
      <c r="A986" t="str">
        <f t="shared" si="105"/>
        <v/>
      </c>
      <c r="B986" t="str">
        <f t="shared" si="106"/>
        <v/>
      </c>
      <c r="C986" t="str">
        <f t="shared" si="107"/>
        <v/>
      </c>
      <c r="D986" t="str">
        <f t="shared" si="108"/>
        <v/>
      </c>
      <c r="E986" t="str">
        <f>IF(F986="","",IF(COUNTIF($F$2:F986,F986)&gt;1,"",SUMIFS(tbl_input[필요수량],tbl_input[집계키_센터],F986)))</f>
        <v/>
      </c>
      <c r="F986" t="str">
        <f>IFERROR(INDEX(tbl_input[집계키_센터],ROW()-1),"")</f>
        <v/>
      </c>
      <c r="G986" t="str">
        <f t="shared" si="109"/>
        <v/>
      </c>
      <c r="H986" t="str">
        <f t="shared" si="110"/>
        <v/>
      </c>
      <c r="I986" t="str">
        <f t="shared" si="111"/>
        <v/>
      </c>
    </row>
    <row r="987" spans="1:9" x14ac:dyDescent="0.4">
      <c r="A987" t="str">
        <f t="shared" si="105"/>
        <v/>
      </c>
      <c r="B987" t="str">
        <f t="shared" si="106"/>
        <v/>
      </c>
      <c r="C987" t="str">
        <f t="shared" si="107"/>
        <v/>
      </c>
      <c r="D987" t="str">
        <f t="shared" si="108"/>
        <v/>
      </c>
      <c r="E987" t="str">
        <f>IF(F987="","",IF(COUNTIF($F$2:F987,F987)&gt;1,"",SUMIFS(tbl_input[필요수량],tbl_input[집계키_센터],F987)))</f>
        <v/>
      </c>
      <c r="F987" t="str">
        <f>IFERROR(INDEX(tbl_input[집계키_센터],ROW()-1),"")</f>
        <v/>
      </c>
      <c r="G987" t="str">
        <f t="shared" si="109"/>
        <v/>
      </c>
      <c r="H987" t="str">
        <f t="shared" si="110"/>
        <v/>
      </c>
      <c r="I987" t="str">
        <f t="shared" si="111"/>
        <v/>
      </c>
    </row>
    <row r="988" spans="1:9" x14ac:dyDescent="0.4">
      <c r="A988" t="str">
        <f t="shared" si="105"/>
        <v/>
      </c>
      <c r="B988" t="str">
        <f t="shared" si="106"/>
        <v/>
      </c>
      <c r="C988" t="str">
        <f t="shared" si="107"/>
        <v/>
      </c>
      <c r="D988" t="str">
        <f t="shared" si="108"/>
        <v/>
      </c>
      <c r="E988" t="str">
        <f>IF(F988="","",IF(COUNTIF($F$2:F988,F988)&gt;1,"",SUMIFS(tbl_input[필요수량],tbl_input[집계키_센터],F988)))</f>
        <v/>
      </c>
      <c r="F988" t="str">
        <f>IFERROR(INDEX(tbl_input[집계키_센터],ROW()-1),"")</f>
        <v/>
      </c>
      <c r="G988" t="str">
        <f t="shared" si="109"/>
        <v/>
      </c>
      <c r="H988" t="str">
        <f t="shared" si="110"/>
        <v/>
      </c>
      <c r="I988" t="str">
        <f t="shared" si="111"/>
        <v/>
      </c>
    </row>
    <row r="989" spans="1:9" x14ac:dyDescent="0.4">
      <c r="A989" t="str">
        <f t="shared" si="105"/>
        <v/>
      </c>
      <c r="B989" t="str">
        <f t="shared" si="106"/>
        <v/>
      </c>
      <c r="C989" t="str">
        <f t="shared" si="107"/>
        <v/>
      </c>
      <c r="D989" t="str">
        <f t="shared" si="108"/>
        <v/>
      </c>
      <c r="E989" t="str">
        <f>IF(F989="","",IF(COUNTIF($F$2:F989,F989)&gt;1,"",SUMIFS(tbl_input[필요수량],tbl_input[집계키_센터],F989)))</f>
        <v/>
      </c>
      <c r="F989" t="str">
        <f>IFERROR(INDEX(tbl_input[집계키_센터],ROW()-1),"")</f>
        <v/>
      </c>
      <c r="G989" t="str">
        <f t="shared" si="109"/>
        <v/>
      </c>
      <c r="H989" t="str">
        <f t="shared" si="110"/>
        <v/>
      </c>
      <c r="I989" t="str">
        <f t="shared" si="111"/>
        <v/>
      </c>
    </row>
    <row r="990" spans="1:9" x14ac:dyDescent="0.4">
      <c r="A990" t="str">
        <f t="shared" si="105"/>
        <v/>
      </c>
      <c r="B990" t="str">
        <f t="shared" si="106"/>
        <v/>
      </c>
      <c r="C990" t="str">
        <f t="shared" si="107"/>
        <v/>
      </c>
      <c r="D990" t="str">
        <f t="shared" si="108"/>
        <v/>
      </c>
      <c r="E990" t="str">
        <f>IF(F990="","",IF(COUNTIF($F$2:F990,F990)&gt;1,"",SUMIFS(tbl_input[필요수량],tbl_input[집계키_센터],F990)))</f>
        <v/>
      </c>
      <c r="F990" t="str">
        <f>IFERROR(INDEX(tbl_input[집계키_센터],ROW()-1),"")</f>
        <v/>
      </c>
      <c r="G990" t="str">
        <f t="shared" si="109"/>
        <v/>
      </c>
      <c r="H990" t="str">
        <f t="shared" si="110"/>
        <v/>
      </c>
      <c r="I990" t="str">
        <f t="shared" si="111"/>
        <v/>
      </c>
    </row>
    <row r="991" spans="1:9" x14ac:dyDescent="0.4">
      <c r="A991" t="str">
        <f t="shared" si="105"/>
        <v/>
      </c>
      <c r="B991" t="str">
        <f t="shared" si="106"/>
        <v/>
      </c>
      <c r="C991" t="str">
        <f t="shared" si="107"/>
        <v/>
      </c>
      <c r="D991" t="str">
        <f t="shared" si="108"/>
        <v/>
      </c>
      <c r="E991" t="str">
        <f>IF(F991="","",IF(COUNTIF($F$2:F991,F991)&gt;1,"",SUMIFS(tbl_input[필요수량],tbl_input[집계키_센터],F991)))</f>
        <v/>
      </c>
      <c r="F991" t="str">
        <f>IFERROR(INDEX(tbl_input[집계키_센터],ROW()-1),"")</f>
        <v/>
      </c>
      <c r="G991" t="str">
        <f t="shared" si="109"/>
        <v/>
      </c>
      <c r="H991" t="str">
        <f t="shared" si="110"/>
        <v/>
      </c>
      <c r="I991" t="str">
        <f t="shared" si="111"/>
        <v/>
      </c>
    </row>
    <row r="992" spans="1:9" x14ac:dyDescent="0.4">
      <c r="A992" t="str">
        <f t="shared" si="105"/>
        <v/>
      </c>
      <c r="B992" t="str">
        <f t="shared" si="106"/>
        <v/>
      </c>
      <c r="C992" t="str">
        <f t="shared" si="107"/>
        <v/>
      </c>
      <c r="D992" t="str">
        <f t="shared" si="108"/>
        <v/>
      </c>
      <c r="E992" t="str">
        <f>IF(F992="","",IF(COUNTIF($F$2:F992,F992)&gt;1,"",SUMIFS(tbl_input[필요수량],tbl_input[집계키_센터],F992)))</f>
        <v/>
      </c>
      <c r="F992" t="str">
        <f>IFERROR(INDEX(tbl_input[집계키_센터],ROW()-1),"")</f>
        <v/>
      </c>
      <c r="G992" t="str">
        <f t="shared" si="109"/>
        <v/>
      </c>
      <c r="H992" t="str">
        <f t="shared" si="110"/>
        <v/>
      </c>
      <c r="I992" t="str">
        <f t="shared" si="111"/>
        <v/>
      </c>
    </row>
    <row r="993" spans="1:9" x14ac:dyDescent="0.4">
      <c r="A993" t="str">
        <f t="shared" si="105"/>
        <v/>
      </c>
      <c r="B993" t="str">
        <f t="shared" si="106"/>
        <v/>
      </c>
      <c r="C993" t="str">
        <f t="shared" si="107"/>
        <v/>
      </c>
      <c r="D993" t="str">
        <f t="shared" si="108"/>
        <v/>
      </c>
      <c r="E993" t="str">
        <f>IF(F993="","",IF(COUNTIF($F$2:F993,F993)&gt;1,"",SUMIFS(tbl_input[필요수량],tbl_input[집계키_센터],F993)))</f>
        <v/>
      </c>
      <c r="F993" t="str">
        <f>IFERROR(INDEX(tbl_input[집계키_센터],ROW()-1),"")</f>
        <v/>
      </c>
      <c r="G993" t="str">
        <f t="shared" si="109"/>
        <v/>
      </c>
      <c r="H993" t="str">
        <f t="shared" si="110"/>
        <v/>
      </c>
      <c r="I993" t="str">
        <f t="shared" si="111"/>
        <v/>
      </c>
    </row>
    <row r="994" spans="1:9" x14ac:dyDescent="0.4">
      <c r="A994" t="str">
        <f t="shared" si="105"/>
        <v/>
      </c>
      <c r="B994" t="str">
        <f t="shared" si="106"/>
        <v/>
      </c>
      <c r="C994" t="str">
        <f t="shared" si="107"/>
        <v/>
      </c>
      <c r="D994" t="str">
        <f t="shared" si="108"/>
        <v/>
      </c>
      <c r="E994" t="str">
        <f>IF(F994="","",IF(COUNTIF($F$2:F994,F994)&gt;1,"",SUMIFS(tbl_input[필요수량],tbl_input[집계키_센터],F994)))</f>
        <v/>
      </c>
      <c r="F994" t="str">
        <f>IFERROR(INDEX(tbl_input[집계키_센터],ROW()-1),"")</f>
        <v/>
      </c>
      <c r="G994" t="str">
        <f t="shared" si="109"/>
        <v/>
      </c>
      <c r="H994" t="str">
        <f t="shared" si="110"/>
        <v/>
      </c>
      <c r="I994" t="str">
        <f t="shared" si="111"/>
        <v/>
      </c>
    </row>
    <row r="995" spans="1:9" x14ac:dyDescent="0.4">
      <c r="A995" t="str">
        <f t="shared" si="105"/>
        <v/>
      </c>
      <c r="B995" t="str">
        <f t="shared" si="106"/>
        <v/>
      </c>
      <c r="C995" t="str">
        <f t="shared" si="107"/>
        <v/>
      </c>
      <c r="D995" t="str">
        <f t="shared" si="108"/>
        <v/>
      </c>
      <c r="E995" t="str">
        <f>IF(F995="","",IF(COUNTIF($F$2:F995,F995)&gt;1,"",SUMIFS(tbl_input[필요수량],tbl_input[집계키_센터],F995)))</f>
        <v/>
      </c>
      <c r="F995" t="str">
        <f>IFERROR(INDEX(tbl_input[집계키_센터],ROW()-1),"")</f>
        <v/>
      </c>
      <c r="G995" t="str">
        <f t="shared" si="109"/>
        <v/>
      </c>
      <c r="H995" t="str">
        <f t="shared" si="110"/>
        <v/>
      </c>
      <c r="I995" t="str">
        <f t="shared" si="111"/>
        <v/>
      </c>
    </row>
    <row r="996" spans="1:9" x14ac:dyDescent="0.4">
      <c r="A996" t="str">
        <f t="shared" si="105"/>
        <v/>
      </c>
      <c r="B996" t="str">
        <f t="shared" si="106"/>
        <v/>
      </c>
      <c r="C996" t="str">
        <f t="shared" si="107"/>
        <v/>
      </c>
      <c r="D996" t="str">
        <f t="shared" si="108"/>
        <v/>
      </c>
      <c r="E996" t="str">
        <f>IF(F996="","",IF(COUNTIF($F$2:F996,F996)&gt;1,"",SUMIFS(tbl_input[필요수량],tbl_input[집계키_센터],F996)))</f>
        <v/>
      </c>
      <c r="F996" t="str">
        <f>IFERROR(INDEX(tbl_input[집계키_센터],ROW()-1),"")</f>
        <v/>
      </c>
      <c r="G996" t="str">
        <f t="shared" si="109"/>
        <v/>
      </c>
      <c r="H996" t="str">
        <f t="shared" si="110"/>
        <v/>
      </c>
      <c r="I996" t="str">
        <f t="shared" si="111"/>
        <v/>
      </c>
    </row>
    <row r="997" spans="1:9" x14ac:dyDescent="0.4">
      <c r="A997" t="str">
        <f t="shared" si="105"/>
        <v/>
      </c>
      <c r="B997" t="str">
        <f t="shared" si="106"/>
        <v/>
      </c>
      <c r="C997" t="str">
        <f t="shared" si="107"/>
        <v/>
      </c>
      <c r="D997" t="str">
        <f t="shared" si="108"/>
        <v/>
      </c>
      <c r="E997" t="str">
        <f>IF(F997="","",IF(COUNTIF($F$2:F997,F997)&gt;1,"",SUMIFS(tbl_input[필요수량],tbl_input[집계키_센터],F997)))</f>
        <v/>
      </c>
      <c r="F997" t="str">
        <f>IFERROR(INDEX(tbl_input[집계키_센터],ROW()-1),"")</f>
        <v/>
      </c>
      <c r="G997" t="str">
        <f t="shared" si="109"/>
        <v/>
      </c>
      <c r="H997" t="str">
        <f t="shared" si="110"/>
        <v/>
      </c>
      <c r="I997" t="str">
        <f t="shared" si="111"/>
        <v/>
      </c>
    </row>
    <row r="998" spans="1:9" x14ac:dyDescent="0.4">
      <c r="A998" t="str">
        <f t="shared" si="105"/>
        <v/>
      </c>
      <c r="B998" t="str">
        <f t="shared" si="106"/>
        <v/>
      </c>
      <c r="C998" t="str">
        <f t="shared" si="107"/>
        <v/>
      </c>
      <c r="D998" t="str">
        <f t="shared" si="108"/>
        <v/>
      </c>
      <c r="E998" t="str">
        <f>IF(F998="","",IF(COUNTIF($F$2:F998,F998)&gt;1,"",SUMIFS(tbl_input[필요수량],tbl_input[집계키_센터],F998)))</f>
        <v/>
      </c>
      <c r="F998" t="str">
        <f>IFERROR(INDEX(tbl_input[집계키_센터],ROW()-1),"")</f>
        <v/>
      </c>
      <c r="G998" t="str">
        <f t="shared" si="109"/>
        <v/>
      </c>
      <c r="H998" t="str">
        <f t="shared" si="110"/>
        <v/>
      </c>
      <c r="I998" t="str">
        <f t="shared" si="111"/>
        <v/>
      </c>
    </row>
    <row r="999" spans="1:9" x14ac:dyDescent="0.4">
      <c r="A999" t="str">
        <f t="shared" si="105"/>
        <v/>
      </c>
      <c r="B999" t="str">
        <f t="shared" si="106"/>
        <v/>
      </c>
      <c r="C999" t="str">
        <f t="shared" si="107"/>
        <v/>
      </c>
      <c r="D999" t="str">
        <f t="shared" si="108"/>
        <v/>
      </c>
      <c r="E999" t="str">
        <f>IF(F999="","",IF(COUNTIF($F$2:F999,F999)&gt;1,"",SUMIFS(tbl_input[필요수량],tbl_input[집계키_센터],F999)))</f>
        <v/>
      </c>
      <c r="F999" t="str">
        <f>IFERROR(INDEX(tbl_input[집계키_센터],ROW()-1),"")</f>
        <v/>
      </c>
      <c r="G999" t="str">
        <f t="shared" si="109"/>
        <v/>
      </c>
      <c r="H999" t="str">
        <f t="shared" si="110"/>
        <v/>
      </c>
      <c r="I999" t="str">
        <f t="shared" si="111"/>
        <v/>
      </c>
    </row>
    <row r="1000" spans="1:9" x14ac:dyDescent="0.4">
      <c r="A1000" t="str">
        <f t="shared" si="105"/>
        <v/>
      </c>
      <c r="B1000" t="str">
        <f t="shared" si="106"/>
        <v/>
      </c>
      <c r="C1000" t="str">
        <f t="shared" si="107"/>
        <v/>
      </c>
      <c r="D1000" t="str">
        <f t="shared" si="108"/>
        <v/>
      </c>
      <c r="E1000" t="str">
        <f>IF(F1000="","",IF(COUNTIF($F$2:F1000,F1000)&gt;1,"",SUMIFS(tbl_input[필요수량],tbl_input[집계키_센터],F1000)))</f>
        <v/>
      </c>
      <c r="F1000" t="str">
        <f>IFERROR(INDEX(tbl_input[집계키_센터],ROW()-1),"")</f>
        <v/>
      </c>
      <c r="G1000" t="str">
        <f t="shared" si="109"/>
        <v/>
      </c>
      <c r="H1000" t="str">
        <f t="shared" si="110"/>
        <v/>
      </c>
      <c r="I1000" t="str">
        <f t="shared" si="111"/>
        <v/>
      </c>
    </row>
    <row r="1001" spans="1:9" x14ac:dyDescent="0.4">
      <c r="A1001" t="str">
        <f t="shared" si="105"/>
        <v/>
      </c>
      <c r="B1001" t="str">
        <f t="shared" si="106"/>
        <v/>
      </c>
      <c r="C1001" t="str">
        <f t="shared" si="107"/>
        <v/>
      </c>
      <c r="D1001" t="str">
        <f t="shared" si="108"/>
        <v/>
      </c>
      <c r="E1001" t="str">
        <f>IF(F1001="","",IF(COUNTIF($F$2:F1001,F1001)&gt;1,"",SUMIFS(tbl_input[필요수량],tbl_input[집계키_센터],F1001)))</f>
        <v/>
      </c>
      <c r="F1001" t="str">
        <f>IFERROR(INDEX(tbl_input[집계키_센터],ROW()-1),"")</f>
        <v/>
      </c>
      <c r="G1001" t="str">
        <f t="shared" si="109"/>
        <v/>
      </c>
      <c r="H1001" t="str">
        <f t="shared" si="110"/>
        <v/>
      </c>
      <c r="I1001" t="str">
        <f t="shared" si="111"/>
        <v/>
      </c>
    </row>
    <row r="1002" spans="1:9" x14ac:dyDescent="0.4">
      <c r="A1002" t="str">
        <f t="shared" si="105"/>
        <v/>
      </c>
      <c r="B1002" t="str">
        <f t="shared" si="106"/>
        <v/>
      </c>
      <c r="C1002" t="str">
        <f t="shared" si="107"/>
        <v/>
      </c>
      <c r="D1002" t="str">
        <f t="shared" si="108"/>
        <v/>
      </c>
      <c r="E1002" t="str">
        <f>IF(F1002="","",IF(COUNTIF($F$2:F1002,F1002)&gt;1,"",SUMIFS(tbl_input[필요수량],tbl_input[집계키_센터],F1002)))</f>
        <v/>
      </c>
      <c r="F1002" t="str">
        <f>IFERROR(INDEX(tbl_input[집계키_센터],ROW()-1),"")</f>
        <v/>
      </c>
      <c r="G1002" t="str">
        <f t="shared" si="109"/>
        <v/>
      </c>
      <c r="H1002" t="str">
        <f t="shared" si="110"/>
        <v/>
      </c>
      <c r="I1002" t="str">
        <f t="shared" si="111"/>
        <v/>
      </c>
    </row>
    <row r="1003" spans="1:9" x14ac:dyDescent="0.4">
      <c r="A1003" t="str">
        <f t="shared" si="105"/>
        <v/>
      </c>
      <c r="B1003" t="str">
        <f t="shared" si="106"/>
        <v/>
      </c>
      <c r="C1003" t="str">
        <f t="shared" si="107"/>
        <v/>
      </c>
      <c r="D1003" t="str">
        <f t="shared" si="108"/>
        <v/>
      </c>
      <c r="E1003" t="str">
        <f>IF(F1003="","",IF(COUNTIF($F$2:F1003,F1003)&gt;1,"",SUMIFS(tbl_input[필요수량],tbl_input[집계키_센터],F1003)))</f>
        <v/>
      </c>
      <c r="F1003" t="str">
        <f>IFERROR(INDEX(tbl_input[집계키_센터],ROW()-1),"")</f>
        <v/>
      </c>
      <c r="G1003" t="str">
        <f t="shared" si="109"/>
        <v/>
      </c>
      <c r="H1003" t="str">
        <f t="shared" si="110"/>
        <v/>
      </c>
      <c r="I1003" t="str">
        <f t="shared" si="111"/>
        <v/>
      </c>
    </row>
    <row r="1004" spans="1:9" x14ac:dyDescent="0.4">
      <c r="A1004" t="str">
        <f t="shared" si="105"/>
        <v/>
      </c>
      <c r="B1004" t="str">
        <f t="shared" si="106"/>
        <v/>
      </c>
      <c r="C1004" t="str">
        <f t="shared" si="107"/>
        <v/>
      </c>
      <c r="D1004" t="str">
        <f t="shared" si="108"/>
        <v/>
      </c>
      <c r="E1004" t="str">
        <f>IF(F1004="","",IF(COUNTIF($F$2:F1004,F1004)&gt;1,"",SUMIFS(tbl_input[필요수량],tbl_input[집계키_센터],F1004)))</f>
        <v/>
      </c>
      <c r="F1004" t="str">
        <f>IFERROR(INDEX(tbl_input[집계키_센터],ROW()-1),"")</f>
        <v/>
      </c>
      <c r="G1004" t="str">
        <f t="shared" si="109"/>
        <v/>
      </c>
      <c r="H1004" t="str">
        <f t="shared" si="110"/>
        <v/>
      </c>
      <c r="I1004" t="str">
        <f t="shared" si="111"/>
        <v/>
      </c>
    </row>
    <row r="1005" spans="1:9" x14ac:dyDescent="0.4">
      <c r="A1005" t="str">
        <f t="shared" si="105"/>
        <v/>
      </c>
      <c r="B1005" t="str">
        <f t="shared" si="106"/>
        <v/>
      </c>
      <c r="C1005" t="str">
        <f t="shared" si="107"/>
        <v/>
      </c>
      <c r="D1005" t="str">
        <f t="shared" si="108"/>
        <v/>
      </c>
      <c r="E1005" t="str">
        <f>IF(F1005="","",IF(COUNTIF($F$2:F1005,F1005)&gt;1,"",SUMIFS(tbl_input[필요수량],tbl_input[집계키_센터],F1005)))</f>
        <v/>
      </c>
      <c r="F1005" t="str">
        <f>IFERROR(INDEX(tbl_input[집계키_센터],ROW()-1),"")</f>
        <v/>
      </c>
      <c r="G1005" t="str">
        <f t="shared" si="109"/>
        <v/>
      </c>
      <c r="H1005" t="str">
        <f t="shared" si="110"/>
        <v/>
      </c>
      <c r="I1005" t="str">
        <f t="shared" si="111"/>
        <v/>
      </c>
    </row>
    <row r="1006" spans="1:9" x14ac:dyDescent="0.4">
      <c r="A1006" t="str">
        <f t="shared" si="105"/>
        <v/>
      </c>
      <c r="B1006" t="str">
        <f t="shared" si="106"/>
        <v/>
      </c>
      <c r="C1006" t="str">
        <f t="shared" si="107"/>
        <v/>
      </c>
      <c r="D1006" t="str">
        <f t="shared" si="108"/>
        <v/>
      </c>
      <c r="E1006" t="str">
        <f>IF(F1006="","",IF(COUNTIF($F$2:F1006,F1006)&gt;1,"",SUMIFS(tbl_input[필요수량],tbl_input[집계키_센터],F1006)))</f>
        <v/>
      </c>
      <c r="F1006" t="str">
        <f>IFERROR(INDEX(tbl_input[집계키_센터],ROW()-1),"")</f>
        <v/>
      </c>
      <c r="G1006" t="str">
        <f t="shared" si="109"/>
        <v/>
      </c>
      <c r="H1006" t="str">
        <f t="shared" si="110"/>
        <v/>
      </c>
      <c r="I1006" t="str">
        <f t="shared" si="111"/>
        <v/>
      </c>
    </row>
    <row r="1007" spans="1:9" x14ac:dyDescent="0.4">
      <c r="A1007" t="str">
        <f t="shared" si="105"/>
        <v/>
      </c>
      <c r="B1007" t="str">
        <f t="shared" si="106"/>
        <v/>
      </c>
      <c r="C1007" t="str">
        <f t="shared" si="107"/>
        <v/>
      </c>
      <c r="D1007" t="str">
        <f t="shared" si="108"/>
        <v/>
      </c>
      <c r="E1007" t="str">
        <f>IF(F1007="","",IF(COUNTIF($F$2:F1007,F1007)&gt;1,"",SUMIFS(tbl_input[필요수량],tbl_input[집계키_센터],F1007)))</f>
        <v/>
      </c>
      <c r="F1007" t="str">
        <f>IFERROR(INDEX(tbl_input[집계키_센터],ROW()-1),"")</f>
        <v/>
      </c>
      <c r="G1007" t="str">
        <f t="shared" si="109"/>
        <v/>
      </c>
      <c r="H1007" t="str">
        <f t="shared" si="110"/>
        <v/>
      </c>
      <c r="I1007" t="str">
        <f t="shared" si="111"/>
        <v/>
      </c>
    </row>
    <row r="1008" spans="1:9" x14ac:dyDescent="0.4">
      <c r="A1008" t="str">
        <f t="shared" si="105"/>
        <v/>
      </c>
      <c r="B1008" t="str">
        <f t="shared" si="106"/>
        <v/>
      </c>
      <c r="C1008" t="str">
        <f t="shared" si="107"/>
        <v/>
      </c>
      <c r="D1008" t="str">
        <f t="shared" si="108"/>
        <v/>
      </c>
      <c r="E1008" t="str">
        <f>IF(F1008="","",IF(COUNTIF($F$2:F1008,F1008)&gt;1,"",SUMIFS(tbl_input[필요수량],tbl_input[집계키_센터],F1008)))</f>
        <v/>
      </c>
      <c r="F1008" t="str">
        <f>IFERROR(INDEX(tbl_input[집계키_센터],ROW()-1),"")</f>
        <v/>
      </c>
      <c r="G1008" t="str">
        <f t="shared" si="109"/>
        <v/>
      </c>
      <c r="H1008" t="str">
        <f t="shared" si="110"/>
        <v/>
      </c>
      <c r="I1008" t="str">
        <f t="shared" si="111"/>
        <v/>
      </c>
    </row>
    <row r="1009" spans="1:9" x14ac:dyDescent="0.4">
      <c r="A1009" t="str">
        <f t="shared" si="105"/>
        <v/>
      </c>
      <c r="B1009" t="str">
        <f t="shared" si="106"/>
        <v/>
      </c>
      <c r="C1009" t="str">
        <f t="shared" si="107"/>
        <v/>
      </c>
      <c r="D1009" t="str">
        <f t="shared" si="108"/>
        <v/>
      </c>
      <c r="E1009" t="str">
        <f>IF(F1009="","",IF(COUNTIF($F$2:F1009,F1009)&gt;1,"",SUMIFS(tbl_input[필요수량],tbl_input[집계키_센터],F1009)))</f>
        <v/>
      </c>
      <c r="F1009" t="str">
        <f>IFERROR(INDEX(tbl_input[집계키_센터],ROW()-1),"")</f>
        <v/>
      </c>
      <c r="G1009" t="str">
        <f t="shared" si="109"/>
        <v/>
      </c>
      <c r="H1009" t="str">
        <f t="shared" si="110"/>
        <v/>
      </c>
      <c r="I1009" t="str">
        <f t="shared" si="111"/>
        <v/>
      </c>
    </row>
    <row r="1010" spans="1:9" x14ac:dyDescent="0.4">
      <c r="A1010" t="str">
        <f t="shared" si="105"/>
        <v/>
      </c>
      <c r="B1010" t="str">
        <f t="shared" si="106"/>
        <v/>
      </c>
      <c r="C1010" t="str">
        <f t="shared" si="107"/>
        <v/>
      </c>
      <c r="D1010" t="str">
        <f t="shared" si="108"/>
        <v/>
      </c>
      <c r="E1010" t="str">
        <f>IF(F1010="","",IF(COUNTIF($F$2:F1010,F1010)&gt;1,"",SUMIFS(tbl_input[필요수량],tbl_input[집계키_센터],F1010)))</f>
        <v/>
      </c>
      <c r="F1010" t="str">
        <f>IFERROR(INDEX(tbl_input[집계키_센터],ROW()-1),"")</f>
        <v/>
      </c>
      <c r="G1010" t="str">
        <f t="shared" si="109"/>
        <v/>
      </c>
      <c r="H1010" t="str">
        <f t="shared" si="110"/>
        <v/>
      </c>
      <c r="I1010" t="str">
        <f t="shared" si="111"/>
        <v/>
      </c>
    </row>
    <row r="1011" spans="1:9" x14ac:dyDescent="0.4">
      <c r="A1011" t="str">
        <f t="shared" si="105"/>
        <v/>
      </c>
      <c r="B1011" t="str">
        <f t="shared" si="106"/>
        <v/>
      </c>
      <c r="C1011" t="str">
        <f t="shared" si="107"/>
        <v/>
      </c>
      <c r="D1011" t="str">
        <f t="shared" si="108"/>
        <v/>
      </c>
      <c r="E1011" t="str">
        <f>IF(F1011="","",IF(COUNTIF($F$2:F1011,F1011)&gt;1,"",SUMIFS(tbl_input[필요수량],tbl_input[집계키_센터],F1011)))</f>
        <v/>
      </c>
      <c r="F1011" t="str">
        <f>IFERROR(INDEX(tbl_input[집계키_센터],ROW()-1),"")</f>
        <v/>
      </c>
      <c r="G1011" t="str">
        <f t="shared" si="109"/>
        <v/>
      </c>
      <c r="H1011" t="str">
        <f t="shared" si="110"/>
        <v/>
      </c>
      <c r="I1011" t="str">
        <f t="shared" si="111"/>
        <v/>
      </c>
    </row>
    <row r="1012" spans="1:9" x14ac:dyDescent="0.4">
      <c r="A1012" t="str">
        <f t="shared" si="105"/>
        <v/>
      </c>
      <c r="B1012" t="str">
        <f t="shared" si="106"/>
        <v/>
      </c>
      <c r="C1012" t="str">
        <f t="shared" si="107"/>
        <v/>
      </c>
      <c r="D1012" t="str">
        <f t="shared" si="108"/>
        <v/>
      </c>
      <c r="E1012" t="str">
        <f>IF(F1012="","",IF(COUNTIF($F$2:F1012,F1012)&gt;1,"",SUMIFS(tbl_input[필요수량],tbl_input[집계키_센터],F1012)))</f>
        <v/>
      </c>
      <c r="F1012" t="str">
        <f>IFERROR(INDEX(tbl_input[집계키_센터],ROW()-1),"")</f>
        <v/>
      </c>
      <c r="G1012" t="str">
        <f t="shared" si="109"/>
        <v/>
      </c>
      <c r="H1012" t="str">
        <f t="shared" si="110"/>
        <v/>
      </c>
      <c r="I1012" t="str">
        <f t="shared" si="111"/>
        <v/>
      </c>
    </row>
    <row r="1013" spans="1:9" x14ac:dyDescent="0.4">
      <c r="A1013" t="str">
        <f t="shared" si="105"/>
        <v/>
      </c>
      <c r="B1013" t="str">
        <f t="shared" si="106"/>
        <v/>
      </c>
      <c r="C1013" t="str">
        <f t="shared" si="107"/>
        <v/>
      </c>
      <c r="D1013" t="str">
        <f t="shared" si="108"/>
        <v/>
      </c>
      <c r="E1013" t="str">
        <f>IF(F1013="","",IF(COUNTIF($F$2:F1013,F1013)&gt;1,"",SUMIFS(tbl_input[필요수량],tbl_input[집계키_센터],F1013)))</f>
        <v/>
      </c>
      <c r="F1013" t="str">
        <f>IFERROR(INDEX(tbl_input[집계키_센터],ROW()-1),"")</f>
        <v/>
      </c>
      <c r="G1013" t="str">
        <f t="shared" si="109"/>
        <v/>
      </c>
      <c r="H1013" t="str">
        <f t="shared" si="110"/>
        <v/>
      </c>
      <c r="I1013" t="str">
        <f t="shared" si="111"/>
        <v/>
      </c>
    </row>
    <row r="1014" spans="1:9" x14ac:dyDescent="0.4">
      <c r="A1014" t="str">
        <f t="shared" si="105"/>
        <v/>
      </c>
      <c r="B1014" t="str">
        <f t="shared" si="106"/>
        <v/>
      </c>
      <c r="C1014" t="str">
        <f t="shared" si="107"/>
        <v/>
      </c>
      <c r="D1014" t="str">
        <f t="shared" si="108"/>
        <v/>
      </c>
      <c r="E1014" t="str">
        <f>IF(F1014="","",IF(COUNTIF($F$2:F1014,F1014)&gt;1,"",SUMIFS(tbl_input[필요수량],tbl_input[집계키_센터],F1014)))</f>
        <v/>
      </c>
      <c r="F1014" t="str">
        <f>IFERROR(INDEX(tbl_input[집계키_센터],ROW()-1),"")</f>
        <v/>
      </c>
      <c r="G1014" t="str">
        <f t="shared" si="109"/>
        <v/>
      </c>
      <c r="H1014" t="str">
        <f t="shared" si="110"/>
        <v/>
      </c>
      <c r="I1014" t="str">
        <f t="shared" si="111"/>
        <v/>
      </c>
    </row>
    <row r="1015" spans="1:9" x14ac:dyDescent="0.4">
      <c r="A1015" t="str">
        <f t="shared" si="105"/>
        <v/>
      </c>
      <c r="B1015" t="str">
        <f t="shared" si="106"/>
        <v/>
      </c>
      <c r="C1015" t="str">
        <f t="shared" si="107"/>
        <v/>
      </c>
      <c r="D1015" t="str">
        <f t="shared" si="108"/>
        <v/>
      </c>
      <c r="E1015" t="str">
        <f>IF(F1015="","",IF(COUNTIF($F$2:F1015,F1015)&gt;1,"",SUMIFS(tbl_input[필요수량],tbl_input[집계키_센터],F1015)))</f>
        <v/>
      </c>
      <c r="F1015" t="str">
        <f>IFERROR(INDEX(tbl_input[집계키_센터],ROW()-1),"")</f>
        <v/>
      </c>
      <c r="G1015" t="str">
        <f t="shared" si="109"/>
        <v/>
      </c>
      <c r="H1015" t="str">
        <f t="shared" si="110"/>
        <v/>
      </c>
      <c r="I1015" t="str">
        <f t="shared" si="111"/>
        <v/>
      </c>
    </row>
    <row r="1016" spans="1:9" x14ac:dyDescent="0.4">
      <c r="A1016" t="str">
        <f t="shared" si="105"/>
        <v/>
      </c>
      <c r="B1016" t="str">
        <f t="shared" si="106"/>
        <v/>
      </c>
      <c r="C1016" t="str">
        <f t="shared" si="107"/>
        <v/>
      </c>
      <c r="D1016" t="str">
        <f t="shared" si="108"/>
        <v/>
      </c>
      <c r="E1016" t="str">
        <f>IF(F1016="","",IF(COUNTIF($F$2:F1016,F1016)&gt;1,"",SUMIFS(tbl_input[필요수량],tbl_input[집계키_센터],F1016)))</f>
        <v/>
      </c>
      <c r="F1016" t="str">
        <f>IFERROR(INDEX(tbl_input[집계키_센터],ROW()-1),"")</f>
        <v/>
      </c>
      <c r="G1016" t="str">
        <f t="shared" si="109"/>
        <v/>
      </c>
      <c r="H1016" t="str">
        <f t="shared" si="110"/>
        <v/>
      </c>
      <c r="I1016" t="str">
        <f t="shared" si="111"/>
        <v/>
      </c>
    </row>
    <row r="1017" spans="1:9" x14ac:dyDescent="0.4">
      <c r="A1017" t="str">
        <f t="shared" si="105"/>
        <v/>
      </c>
      <c r="B1017" t="str">
        <f t="shared" si="106"/>
        <v/>
      </c>
      <c r="C1017" t="str">
        <f t="shared" si="107"/>
        <v/>
      </c>
      <c r="D1017" t="str">
        <f t="shared" si="108"/>
        <v/>
      </c>
      <c r="E1017" t="str">
        <f>IF(F1017="","",IF(COUNTIF($F$2:F1017,F1017)&gt;1,"",SUMIFS(tbl_input[필요수량],tbl_input[집계키_센터],F1017)))</f>
        <v/>
      </c>
      <c r="F1017" t="str">
        <f>IFERROR(INDEX(tbl_input[집계키_센터],ROW()-1),"")</f>
        <v/>
      </c>
      <c r="G1017" t="str">
        <f t="shared" si="109"/>
        <v/>
      </c>
      <c r="H1017" t="str">
        <f t="shared" si="110"/>
        <v/>
      </c>
      <c r="I1017" t="str">
        <f t="shared" si="111"/>
        <v/>
      </c>
    </row>
    <row r="1018" spans="1:9" x14ac:dyDescent="0.4">
      <c r="A1018" t="str">
        <f t="shared" si="105"/>
        <v/>
      </c>
      <c r="B1018" t="str">
        <f t="shared" si="106"/>
        <v/>
      </c>
      <c r="C1018" t="str">
        <f t="shared" si="107"/>
        <v/>
      </c>
      <c r="D1018" t="str">
        <f t="shared" si="108"/>
        <v/>
      </c>
      <c r="E1018" t="str">
        <f>IF(F1018="","",IF(COUNTIF($F$2:F1018,F1018)&gt;1,"",SUMIFS(tbl_input[필요수량],tbl_input[집계키_센터],F1018)))</f>
        <v/>
      </c>
      <c r="F1018" t="str">
        <f>IFERROR(INDEX(tbl_input[집계키_센터],ROW()-1),"")</f>
        <v/>
      </c>
      <c r="G1018" t="str">
        <f t="shared" si="109"/>
        <v/>
      </c>
      <c r="H1018" t="str">
        <f t="shared" si="110"/>
        <v/>
      </c>
      <c r="I1018" t="str">
        <f t="shared" si="111"/>
        <v/>
      </c>
    </row>
    <row r="1019" spans="1:9" x14ac:dyDescent="0.4">
      <c r="A1019" t="str">
        <f t="shared" si="105"/>
        <v/>
      </c>
      <c r="B1019" t="str">
        <f t="shared" si="106"/>
        <v/>
      </c>
      <c r="C1019" t="str">
        <f t="shared" si="107"/>
        <v/>
      </c>
      <c r="D1019" t="str">
        <f t="shared" si="108"/>
        <v/>
      </c>
      <c r="E1019" t="str">
        <f>IF(F1019="","",IF(COUNTIF($F$2:F1019,F1019)&gt;1,"",SUMIFS(tbl_input[필요수량],tbl_input[집계키_센터],F1019)))</f>
        <v/>
      </c>
      <c r="F1019" t="str">
        <f>IFERROR(INDEX(tbl_input[집계키_센터],ROW()-1),"")</f>
        <v/>
      </c>
      <c r="G1019" t="str">
        <f t="shared" si="109"/>
        <v/>
      </c>
      <c r="H1019" t="str">
        <f t="shared" si="110"/>
        <v/>
      </c>
      <c r="I1019" t="str">
        <f t="shared" si="111"/>
        <v/>
      </c>
    </row>
    <row r="1020" spans="1:9" x14ac:dyDescent="0.4">
      <c r="A1020" t="str">
        <f t="shared" si="105"/>
        <v/>
      </c>
      <c r="B1020" t="str">
        <f t="shared" si="106"/>
        <v/>
      </c>
      <c r="C1020" t="str">
        <f t="shared" si="107"/>
        <v/>
      </c>
      <c r="D1020" t="str">
        <f t="shared" si="108"/>
        <v/>
      </c>
      <c r="E1020" t="str">
        <f>IF(F1020="","",IF(COUNTIF($F$2:F1020,F1020)&gt;1,"",SUMIFS(tbl_input[필요수량],tbl_input[집계키_센터],F1020)))</f>
        <v/>
      </c>
      <c r="F1020" t="str">
        <f>IFERROR(INDEX(tbl_input[집계키_센터],ROW()-1),"")</f>
        <v/>
      </c>
      <c r="G1020" t="str">
        <f t="shared" si="109"/>
        <v/>
      </c>
      <c r="H1020" t="str">
        <f t="shared" si="110"/>
        <v/>
      </c>
      <c r="I1020" t="str">
        <f t="shared" si="111"/>
        <v/>
      </c>
    </row>
    <row r="1021" spans="1:9" x14ac:dyDescent="0.4">
      <c r="A1021" t="str">
        <f t="shared" si="105"/>
        <v/>
      </c>
      <c r="B1021" t="str">
        <f t="shared" si="106"/>
        <v/>
      </c>
      <c r="C1021" t="str">
        <f t="shared" si="107"/>
        <v/>
      </c>
      <c r="D1021" t="str">
        <f t="shared" si="108"/>
        <v/>
      </c>
      <c r="E1021" t="str">
        <f>IF(F1021="","",IF(COUNTIF($F$2:F1021,F1021)&gt;1,"",SUMIFS(tbl_input[필요수량],tbl_input[집계키_센터],F1021)))</f>
        <v/>
      </c>
      <c r="F1021" t="str">
        <f>IFERROR(INDEX(tbl_input[집계키_센터],ROW()-1),"")</f>
        <v/>
      </c>
      <c r="G1021" t="str">
        <f t="shared" si="109"/>
        <v/>
      </c>
      <c r="H1021" t="str">
        <f t="shared" si="110"/>
        <v/>
      </c>
      <c r="I1021" t="str">
        <f t="shared" si="111"/>
        <v/>
      </c>
    </row>
    <row r="1022" spans="1:9" x14ac:dyDescent="0.4">
      <c r="A1022" t="str">
        <f t="shared" si="105"/>
        <v/>
      </c>
      <c r="B1022" t="str">
        <f t="shared" si="106"/>
        <v/>
      </c>
      <c r="C1022" t="str">
        <f t="shared" si="107"/>
        <v/>
      </c>
      <c r="D1022" t="str">
        <f t="shared" si="108"/>
        <v/>
      </c>
      <c r="E1022" t="str">
        <f>IF(F1022="","",IF(COUNTIF($F$2:F1022,F1022)&gt;1,"",SUMIFS(tbl_input[필요수량],tbl_input[집계키_센터],F1022)))</f>
        <v/>
      </c>
      <c r="F1022" t="str">
        <f>IFERROR(INDEX(tbl_input[집계키_센터],ROW()-1),"")</f>
        <v/>
      </c>
      <c r="G1022" t="str">
        <f t="shared" si="109"/>
        <v/>
      </c>
      <c r="H1022" t="str">
        <f t="shared" si="110"/>
        <v/>
      </c>
      <c r="I1022" t="str">
        <f t="shared" si="111"/>
        <v/>
      </c>
    </row>
    <row r="1023" spans="1:9" x14ac:dyDescent="0.4">
      <c r="A1023" t="str">
        <f t="shared" si="105"/>
        <v/>
      </c>
      <c r="B1023" t="str">
        <f t="shared" si="106"/>
        <v/>
      </c>
      <c r="C1023" t="str">
        <f t="shared" si="107"/>
        <v/>
      </c>
      <c r="D1023" t="str">
        <f t="shared" si="108"/>
        <v/>
      </c>
      <c r="E1023" t="str">
        <f>IF(F1023="","",IF(COUNTIF($F$2:F1023,F1023)&gt;1,"",SUMIFS(tbl_input[필요수량],tbl_input[집계키_센터],F1023)))</f>
        <v/>
      </c>
      <c r="F1023" t="str">
        <f>IFERROR(INDEX(tbl_input[집계키_센터],ROW()-1),"")</f>
        <v/>
      </c>
      <c r="G1023" t="str">
        <f t="shared" si="109"/>
        <v/>
      </c>
      <c r="H1023" t="str">
        <f t="shared" si="110"/>
        <v/>
      </c>
      <c r="I1023" t="str">
        <f t="shared" si="111"/>
        <v/>
      </c>
    </row>
    <row r="1024" spans="1:9" x14ac:dyDescent="0.4">
      <c r="A1024" t="str">
        <f t="shared" si="105"/>
        <v/>
      </c>
      <c r="B1024" t="str">
        <f t="shared" si="106"/>
        <v/>
      </c>
      <c r="C1024" t="str">
        <f t="shared" si="107"/>
        <v/>
      </c>
      <c r="D1024" t="str">
        <f t="shared" si="108"/>
        <v/>
      </c>
      <c r="E1024" t="str">
        <f>IF(F1024="","",IF(COUNTIF($F$2:F1024,F1024)&gt;1,"",SUMIFS(tbl_input[필요수량],tbl_input[집계키_센터],F1024)))</f>
        <v/>
      </c>
      <c r="F1024" t="str">
        <f>IFERROR(INDEX(tbl_input[집계키_센터],ROW()-1),"")</f>
        <v/>
      </c>
      <c r="G1024" t="str">
        <f t="shared" si="109"/>
        <v/>
      </c>
      <c r="H1024" t="str">
        <f t="shared" si="110"/>
        <v/>
      </c>
      <c r="I1024" t="str">
        <f t="shared" si="111"/>
        <v/>
      </c>
    </row>
    <row r="1025" spans="1:9" x14ac:dyDescent="0.4">
      <c r="A1025" t="str">
        <f t="shared" si="105"/>
        <v/>
      </c>
      <c r="B1025" t="str">
        <f t="shared" si="106"/>
        <v/>
      </c>
      <c r="C1025" t="str">
        <f t="shared" si="107"/>
        <v/>
      </c>
      <c r="D1025" t="str">
        <f t="shared" si="108"/>
        <v/>
      </c>
      <c r="E1025" t="str">
        <f>IF(F1025="","",IF(COUNTIF($F$2:F1025,F1025)&gt;1,"",SUMIFS(tbl_input[필요수량],tbl_input[집계키_센터],F1025)))</f>
        <v/>
      </c>
      <c r="F1025" t="str">
        <f>IFERROR(INDEX(tbl_input[집계키_센터],ROW()-1),"")</f>
        <v/>
      </c>
      <c r="G1025" t="str">
        <f t="shared" si="109"/>
        <v/>
      </c>
      <c r="H1025" t="str">
        <f t="shared" si="110"/>
        <v/>
      </c>
      <c r="I1025" t="str">
        <f t="shared" si="111"/>
        <v/>
      </c>
    </row>
    <row r="1026" spans="1:9" x14ac:dyDescent="0.4">
      <c r="A1026" t="str">
        <f t="shared" ref="A1026:A1089" si="112">IF(F1026="","",LEFT(F1026,G1026-1))</f>
        <v/>
      </c>
      <c r="B1026" t="str">
        <f t="shared" ref="B1026:B1089" si="113">IF(F1026="","",MID(F1026,G1026+1,H1026-G1026-1))</f>
        <v/>
      </c>
      <c r="C1026" t="str">
        <f t="shared" ref="C1026:C1089" si="114">IF(F1026="","",MID(F1026,H1026+1,I1026-H1026-1))</f>
        <v/>
      </c>
      <c r="D1026" t="str">
        <f t="shared" ref="D1026:D1089" si="115">IF(F1026="","",MID(F1026,I1026+1,999))</f>
        <v/>
      </c>
      <c r="E1026" t="str">
        <f>IF(F1026="","",IF(COUNTIF($F$2:F1026,F1026)&gt;1,"",SUMIFS(tbl_input[필요수량],tbl_input[집계키_센터],F1026)))</f>
        <v/>
      </c>
      <c r="F1026" t="str">
        <f>IFERROR(INDEX(tbl_input[집계키_센터],ROW()-1),"")</f>
        <v/>
      </c>
      <c r="G1026" t="str">
        <f t="shared" ref="G1026:G1089" si="116">IF(F1026="","",FIND("♦",F1026))</f>
        <v/>
      </c>
      <c r="H1026" t="str">
        <f t="shared" ref="H1026:H1089" si="117">IF(F1026="","",FIND("♦",F1026,G1026+1))</f>
        <v/>
      </c>
      <c r="I1026" t="str">
        <f t="shared" ref="I1026:I1089" si="118">IF(F1026="","",FIND("♦",F1026,H1026+1))</f>
        <v/>
      </c>
    </row>
    <row r="1027" spans="1:9" x14ac:dyDescent="0.4">
      <c r="A1027" t="str">
        <f t="shared" si="112"/>
        <v/>
      </c>
      <c r="B1027" t="str">
        <f t="shared" si="113"/>
        <v/>
      </c>
      <c r="C1027" t="str">
        <f t="shared" si="114"/>
        <v/>
      </c>
      <c r="D1027" t="str">
        <f t="shared" si="115"/>
        <v/>
      </c>
      <c r="E1027" t="str">
        <f>IF(F1027="","",IF(COUNTIF($F$2:F1027,F1027)&gt;1,"",SUMIFS(tbl_input[필요수량],tbl_input[집계키_센터],F1027)))</f>
        <v/>
      </c>
      <c r="F1027" t="str">
        <f>IFERROR(INDEX(tbl_input[집계키_센터],ROW()-1),"")</f>
        <v/>
      </c>
      <c r="G1027" t="str">
        <f t="shared" si="116"/>
        <v/>
      </c>
      <c r="H1027" t="str">
        <f t="shared" si="117"/>
        <v/>
      </c>
      <c r="I1027" t="str">
        <f t="shared" si="118"/>
        <v/>
      </c>
    </row>
    <row r="1028" spans="1:9" x14ac:dyDescent="0.4">
      <c r="A1028" t="str">
        <f t="shared" si="112"/>
        <v/>
      </c>
      <c r="B1028" t="str">
        <f t="shared" si="113"/>
        <v/>
      </c>
      <c r="C1028" t="str">
        <f t="shared" si="114"/>
        <v/>
      </c>
      <c r="D1028" t="str">
        <f t="shared" si="115"/>
        <v/>
      </c>
      <c r="E1028" t="str">
        <f>IF(F1028="","",IF(COUNTIF($F$2:F1028,F1028)&gt;1,"",SUMIFS(tbl_input[필요수량],tbl_input[집계키_센터],F1028)))</f>
        <v/>
      </c>
      <c r="F1028" t="str">
        <f>IFERROR(INDEX(tbl_input[집계키_센터],ROW()-1),"")</f>
        <v/>
      </c>
      <c r="G1028" t="str">
        <f t="shared" si="116"/>
        <v/>
      </c>
      <c r="H1028" t="str">
        <f t="shared" si="117"/>
        <v/>
      </c>
      <c r="I1028" t="str">
        <f t="shared" si="118"/>
        <v/>
      </c>
    </row>
    <row r="1029" spans="1:9" x14ac:dyDescent="0.4">
      <c r="A1029" t="str">
        <f t="shared" si="112"/>
        <v/>
      </c>
      <c r="B1029" t="str">
        <f t="shared" si="113"/>
        <v/>
      </c>
      <c r="C1029" t="str">
        <f t="shared" si="114"/>
        <v/>
      </c>
      <c r="D1029" t="str">
        <f t="shared" si="115"/>
        <v/>
      </c>
      <c r="E1029" t="str">
        <f>IF(F1029="","",IF(COUNTIF($F$2:F1029,F1029)&gt;1,"",SUMIFS(tbl_input[필요수량],tbl_input[집계키_센터],F1029)))</f>
        <v/>
      </c>
      <c r="F1029" t="str">
        <f>IFERROR(INDEX(tbl_input[집계키_센터],ROW()-1),"")</f>
        <v/>
      </c>
      <c r="G1029" t="str">
        <f t="shared" si="116"/>
        <v/>
      </c>
      <c r="H1029" t="str">
        <f t="shared" si="117"/>
        <v/>
      </c>
      <c r="I1029" t="str">
        <f t="shared" si="118"/>
        <v/>
      </c>
    </row>
    <row r="1030" spans="1:9" x14ac:dyDescent="0.4">
      <c r="A1030" t="str">
        <f t="shared" si="112"/>
        <v/>
      </c>
      <c r="B1030" t="str">
        <f t="shared" si="113"/>
        <v/>
      </c>
      <c r="C1030" t="str">
        <f t="shared" si="114"/>
        <v/>
      </c>
      <c r="D1030" t="str">
        <f t="shared" si="115"/>
        <v/>
      </c>
      <c r="E1030" t="str">
        <f>IF(F1030="","",IF(COUNTIF($F$2:F1030,F1030)&gt;1,"",SUMIFS(tbl_input[필요수량],tbl_input[집계키_센터],F1030)))</f>
        <v/>
      </c>
      <c r="F1030" t="str">
        <f>IFERROR(INDEX(tbl_input[집계키_센터],ROW()-1),"")</f>
        <v/>
      </c>
      <c r="G1030" t="str">
        <f t="shared" si="116"/>
        <v/>
      </c>
      <c r="H1030" t="str">
        <f t="shared" si="117"/>
        <v/>
      </c>
      <c r="I1030" t="str">
        <f t="shared" si="118"/>
        <v/>
      </c>
    </row>
    <row r="1031" spans="1:9" x14ac:dyDescent="0.4">
      <c r="A1031" t="str">
        <f t="shared" si="112"/>
        <v/>
      </c>
      <c r="B1031" t="str">
        <f t="shared" si="113"/>
        <v/>
      </c>
      <c r="C1031" t="str">
        <f t="shared" si="114"/>
        <v/>
      </c>
      <c r="D1031" t="str">
        <f t="shared" si="115"/>
        <v/>
      </c>
      <c r="E1031" t="str">
        <f>IF(F1031="","",IF(COUNTIF($F$2:F1031,F1031)&gt;1,"",SUMIFS(tbl_input[필요수량],tbl_input[집계키_센터],F1031)))</f>
        <v/>
      </c>
      <c r="F1031" t="str">
        <f>IFERROR(INDEX(tbl_input[집계키_센터],ROW()-1),"")</f>
        <v/>
      </c>
      <c r="G1031" t="str">
        <f t="shared" si="116"/>
        <v/>
      </c>
      <c r="H1031" t="str">
        <f t="shared" si="117"/>
        <v/>
      </c>
      <c r="I1031" t="str">
        <f t="shared" si="118"/>
        <v/>
      </c>
    </row>
    <row r="1032" spans="1:9" x14ac:dyDescent="0.4">
      <c r="A1032" t="str">
        <f t="shared" si="112"/>
        <v/>
      </c>
      <c r="B1032" t="str">
        <f t="shared" si="113"/>
        <v/>
      </c>
      <c r="C1032" t="str">
        <f t="shared" si="114"/>
        <v/>
      </c>
      <c r="D1032" t="str">
        <f t="shared" si="115"/>
        <v/>
      </c>
      <c r="E1032" t="str">
        <f>IF(F1032="","",IF(COUNTIF($F$2:F1032,F1032)&gt;1,"",SUMIFS(tbl_input[필요수량],tbl_input[집계키_센터],F1032)))</f>
        <v/>
      </c>
      <c r="F1032" t="str">
        <f>IFERROR(INDEX(tbl_input[집계키_센터],ROW()-1),"")</f>
        <v/>
      </c>
      <c r="G1032" t="str">
        <f t="shared" si="116"/>
        <v/>
      </c>
      <c r="H1032" t="str">
        <f t="shared" si="117"/>
        <v/>
      </c>
      <c r="I1032" t="str">
        <f t="shared" si="118"/>
        <v/>
      </c>
    </row>
    <row r="1033" spans="1:9" x14ac:dyDescent="0.4">
      <c r="A1033" t="str">
        <f t="shared" si="112"/>
        <v/>
      </c>
      <c r="B1033" t="str">
        <f t="shared" si="113"/>
        <v/>
      </c>
      <c r="C1033" t="str">
        <f t="shared" si="114"/>
        <v/>
      </c>
      <c r="D1033" t="str">
        <f t="shared" si="115"/>
        <v/>
      </c>
      <c r="E1033" t="str">
        <f>IF(F1033="","",IF(COUNTIF($F$2:F1033,F1033)&gt;1,"",SUMIFS(tbl_input[필요수량],tbl_input[집계키_센터],F1033)))</f>
        <v/>
      </c>
      <c r="F1033" t="str">
        <f>IFERROR(INDEX(tbl_input[집계키_센터],ROW()-1),"")</f>
        <v/>
      </c>
      <c r="G1033" t="str">
        <f t="shared" si="116"/>
        <v/>
      </c>
      <c r="H1033" t="str">
        <f t="shared" si="117"/>
        <v/>
      </c>
      <c r="I1033" t="str">
        <f t="shared" si="118"/>
        <v/>
      </c>
    </row>
    <row r="1034" spans="1:9" x14ac:dyDescent="0.4">
      <c r="A1034" t="str">
        <f t="shared" si="112"/>
        <v/>
      </c>
      <c r="B1034" t="str">
        <f t="shared" si="113"/>
        <v/>
      </c>
      <c r="C1034" t="str">
        <f t="shared" si="114"/>
        <v/>
      </c>
      <c r="D1034" t="str">
        <f t="shared" si="115"/>
        <v/>
      </c>
      <c r="E1034" t="str">
        <f>IF(F1034="","",IF(COUNTIF($F$2:F1034,F1034)&gt;1,"",SUMIFS(tbl_input[필요수량],tbl_input[집계키_센터],F1034)))</f>
        <v/>
      </c>
      <c r="F1034" t="str">
        <f>IFERROR(INDEX(tbl_input[집계키_센터],ROW()-1),"")</f>
        <v/>
      </c>
      <c r="G1034" t="str">
        <f t="shared" si="116"/>
        <v/>
      </c>
      <c r="H1034" t="str">
        <f t="shared" si="117"/>
        <v/>
      </c>
      <c r="I1034" t="str">
        <f t="shared" si="118"/>
        <v/>
      </c>
    </row>
    <row r="1035" spans="1:9" x14ac:dyDescent="0.4">
      <c r="A1035" t="str">
        <f t="shared" si="112"/>
        <v/>
      </c>
      <c r="B1035" t="str">
        <f t="shared" si="113"/>
        <v/>
      </c>
      <c r="C1035" t="str">
        <f t="shared" si="114"/>
        <v/>
      </c>
      <c r="D1035" t="str">
        <f t="shared" si="115"/>
        <v/>
      </c>
      <c r="E1035" t="str">
        <f>IF(F1035="","",IF(COUNTIF($F$2:F1035,F1035)&gt;1,"",SUMIFS(tbl_input[필요수량],tbl_input[집계키_센터],F1035)))</f>
        <v/>
      </c>
      <c r="F1035" t="str">
        <f>IFERROR(INDEX(tbl_input[집계키_센터],ROW()-1),"")</f>
        <v/>
      </c>
      <c r="G1035" t="str">
        <f t="shared" si="116"/>
        <v/>
      </c>
      <c r="H1035" t="str">
        <f t="shared" si="117"/>
        <v/>
      </c>
      <c r="I1035" t="str">
        <f t="shared" si="118"/>
        <v/>
      </c>
    </row>
    <row r="1036" spans="1:9" x14ac:dyDescent="0.4">
      <c r="A1036" t="str">
        <f t="shared" si="112"/>
        <v/>
      </c>
      <c r="B1036" t="str">
        <f t="shared" si="113"/>
        <v/>
      </c>
      <c r="C1036" t="str">
        <f t="shared" si="114"/>
        <v/>
      </c>
      <c r="D1036" t="str">
        <f t="shared" si="115"/>
        <v/>
      </c>
      <c r="E1036" t="str">
        <f>IF(F1036="","",IF(COUNTIF($F$2:F1036,F1036)&gt;1,"",SUMIFS(tbl_input[필요수량],tbl_input[집계키_센터],F1036)))</f>
        <v/>
      </c>
      <c r="F1036" t="str">
        <f>IFERROR(INDEX(tbl_input[집계키_센터],ROW()-1),"")</f>
        <v/>
      </c>
      <c r="G1036" t="str">
        <f t="shared" si="116"/>
        <v/>
      </c>
      <c r="H1036" t="str">
        <f t="shared" si="117"/>
        <v/>
      </c>
      <c r="I1036" t="str">
        <f t="shared" si="118"/>
        <v/>
      </c>
    </row>
    <row r="1037" spans="1:9" x14ac:dyDescent="0.4">
      <c r="A1037" t="str">
        <f t="shared" si="112"/>
        <v/>
      </c>
      <c r="B1037" t="str">
        <f t="shared" si="113"/>
        <v/>
      </c>
      <c r="C1037" t="str">
        <f t="shared" si="114"/>
        <v/>
      </c>
      <c r="D1037" t="str">
        <f t="shared" si="115"/>
        <v/>
      </c>
      <c r="E1037" t="str">
        <f>IF(F1037="","",IF(COUNTIF($F$2:F1037,F1037)&gt;1,"",SUMIFS(tbl_input[필요수량],tbl_input[집계키_센터],F1037)))</f>
        <v/>
      </c>
      <c r="F1037" t="str">
        <f>IFERROR(INDEX(tbl_input[집계키_센터],ROW()-1),"")</f>
        <v/>
      </c>
      <c r="G1037" t="str">
        <f t="shared" si="116"/>
        <v/>
      </c>
      <c r="H1037" t="str">
        <f t="shared" si="117"/>
        <v/>
      </c>
      <c r="I1037" t="str">
        <f t="shared" si="118"/>
        <v/>
      </c>
    </row>
    <row r="1038" spans="1:9" x14ac:dyDescent="0.4">
      <c r="A1038" t="str">
        <f t="shared" si="112"/>
        <v/>
      </c>
      <c r="B1038" t="str">
        <f t="shared" si="113"/>
        <v/>
      </c>
      <c r="C1038" t="str">
        <f t="shared" si="114"/>
        <v/>
      </c>
      <c r="D1038" t="str">
        <f t="shared" si="115"/>
        <v/>
      </c>
      <c r="E1038" t="str">
        <f>IF(F1038="","",IF(COUNTIF($F$2:F1038,F1038)&gt;1,"",SUMIFS(tbl_input[필요수량],tbl_input[집계키_센터],F1038)))</f>
        <v/>
      </c>
      <c r="F1038" t="str">
        <f>IFERROR(INDEX(tbl_input[집계키_센터],ROW()-1),"")</f>
        <v/>
      </c>
      <c r="G1038" t="str">
        <f t="shared" si="116"/>
        <v/>
      </c>
      <c r="H1038" t="str">
        <f t="shared" si="117"/>
        <v/>
      </c>
      <c r="I1038" t="str">
        <f t="shared" si="118"/>
        <v/>
      </c>
    </row>
    <row r="1039" spans="1:9" x14ac:dyDescent="0.4">
      <c r="A1039" t="str">
        <f t="shared" si="112"/>
        <v/>
      </c>
      <c r="B1039" t="str">
        <f t="shared" si="113"/>
        <v/>
      </c>
      <c r="C1039" t="str">
        <f t="shared" si="114"/>
        <v/>
      </c>
      <c r="D1039" t="str">
        <f t="shared" si="115"/>
        <v/>
      </c>
      <c r="E1039" t="str">
        <f>IF(F1039="","",IF(COUNTIF($F$2:F1039,F1039)&gt;1,"",SUMIFS(tbl_input[필요수량],tbl_input[집계키_센터],F1039)))</f>
        <v/>
      </c>
      <c r="F1039" t="str">
        <f>IFERROR(INDEX(tbl_input[집계키_센터],ROW()-1),"")</f>
        <v/>
      </c>
      <c r="G1039" t="str">
        <f t="shared" si="116"/>
        <v/>
      </c>
      <c r="H1039" t="str">
        <f t="shared" si="117"/>
        <v/>
      </c>
      <c r="I1039" t="str">
        <f t="shared" si="118"/>
        <v/>
      </c>
    </row>
    <row r="1040" spans="1:9" x14ac:dyDescent="0.4">
      <c r="A1040" t="str">
        <f t="shared" si="112"/>
        <v/>
      </c>
      <c r="B1040" t="str">
        <f t="shared" si="113"/>
        <v/>
      </c>
      <c r="C1040" t="str">
        <f t="shared" si="114"/>
        <v/>
      </c>
      <c r="D1040" t="str">
        <f t="shared" si="115"/>
        <v/>
      </c>
      <c r="E1040" t="str">
        <f>IF(F1040="","",IF(COUNTIF($F$2:F1040,F1040)&gt;1,"",SUMIFS(tbl_input[필요수량],tbl_input[집계키_센터],F1040)))</f>
        <v/>
      </c>
      <c r="F1040" t="str">
        <f>IFERROR(INDEX(tbl_input[집계키_센터],ROW()-1),"")</f>
        <v/>
      </c>
      <c r="G1040" t="str">
        <f t="shared" si="116"/>
        <v/>
      </c>
      <c r="H1040" t="str">
        <f t="shared" si="117"/>
        <v/>
      </c>
      <c r="I1040" t="str">
        <f t="shared" si="118"/>
        <v/>
      </c>
    </row>
    <row r="1041" spans="1:9" x14ac:dyDescent="0.4">
      <c r="A1041" t="str">
        <f t="shared" si="112"/>
        <v/>
      </c>
      <c r="B1041" t="str">
        <f t="shared" si="113"/>
        <v/>
      </c>
      <c r="C1041" t="str">
        <f t="shared" si="114"/>
        <v/>
      </c>
      <c r="D1041" t="str">
        <f t="shared" si="115"/>
        <v/>
      </c>
      <c r="E1041" t="str">
        <f>IF(F1041="","",IF(COUNTIF($F$2:F1041,F1041)&gt;1,"",SUMIFS(tbl_input[필요수량],tbl_input[집계키_센터],F1041)))</f>
        <v/>
      </c>
      <c r="F1041" t="str">
        <f>IFERROR(INDEX(tbl_input[집계키_센터],ROW()-1),"")</f>
        <v/>
      </c>
      <c r="G1041" t="str">
        <f t="shared" si="116"/>
        <v/>
      </c>
      <c r="H1041" t="str">
        <f t="shared" si="117"/>
        <v/>
      </c>
      <c r="I1041" t="str">
        <f t="shared" si="118"/>
        <v/>
      </c>
    </row>
    <row r="1042" spans="1:9" x14ac:dyDescent="0.4">
      <c r="A1042" t="str">
        <f t="shared" si="112"/>
        <v/>
      </c>
      <c r="B1042" t="str">
        <f t="shared" si="113"/>
        <v/>
      </c>
      <c r="C1042" t="str">
        <f t="shared" si="114"/>
        <v/>
      </c>
      <c r="D1042" t="str">
        <f t="shared" si="115"/>
        <v/>
      </c>
      <c r="E1042" t="str">
        <f>IF(F1042="","",IF(COUNTIF($F$2:F1042,F1042)&gt;1,"",SUMIFS(tbl_input[필요수량],tbl_input[집계키_센터],F1042)))</f>
        <v/>
      </c>
      <c r="F1042" t="str">
        <f>IFERROR(INDEX(tbl_input[집계키_센터],ROW()-1),"")</f>
        <v/>
      </c>
      <c r="G1042" t="str">
        <f t="shared" si="116"/>
        <v/>
      </c>
      <c r="H1042" t="str">
        <f t="shared" si="117"/>
        <v/>
      </c>
      <c r="I1042" t="str">
        <f t="shared" si="118"/>
        <v/>
      </c>
    </row>
    <row r="1043" spans="1:9" x14ac:dyDescent="0.4">
      <c r="A1043" t="str">
        <f t="shared" si="112"/>
        <v/>
      </c>
      <c r="B1043" t="str">
        <f t="shared" si="113"/>
        <v/>
      </c>
      <c r="C1043" t="str">
        <f t="shared" si="114"/>
        <v/>
      </c>
      <c r="D1043" t="str">
        <f t="shared" si="115"/>
        <v/>
      </c>
      <c r="E1043" t="str">
        <f>IF(F1043="","",IF(COUNTIF($F$2:F1043,F1043)&gt;1,"",SUMIFS(tbl_input[필요수량],tbl_input[집계키_센터],F1043)))</f>
        <v/>
      </c>
      <c r="F1043" t="str">
        <f>IFERROR(INDEX(tbl_input[집계키_센터],ROW()-1),"")</f>
        <v/>
      </c>
      <c r="G1043" t="str">
        <f t="shared" si="116"/>
        <v/>
      </c>
      <c r="H1043" t="str">
        <f t="shared" si="117"/>
        <v/>
      </c>
      <c r="I1043" t="str">
        <f t="shared" si="118"/>
        <v/>
      </c>
    </row>
    <row r="1044" spans="1:9" x14ac:dyDescent="0.4">
      <c r="A1044" t="str">
        <f t="shared" si="112"/>
        <v/>
      </c>
      <c r="B1044" t="str">
        <f t="shared" si="113"/>
        <v/>
      </c>
      <c r="C1044" t="str">
        <f t="shared" si="114"/>
        <v/>
      </c>
      <c r="D1044" t="str">
        <f t="shared" si="115"/>
        <v/>
      </c>
      <c r="E1044" t="str">
        <f>IF(F1044="","",IF(COUNTIF($F$2:F1044,F1044)&gt;1,"",SUMIFS(tbl_input[필요수량],tbl_input[집계키_센터],F1044)))</f>
        <v/>
      </c>
      <c r="F1044" t="str">
        <f>IFERROR(INDEX(tbl_input[집계키_센터],ROW()-1),"")</f>
        <v/>
      </c>
      <c r="G1044" t="str">
        <f t="shared" si="116"/>
        <v/>
      </c>
      <c r="H1044" t="str">
        <f t="shared" si="117"/>
        <v/>
      </c>
      <c r="I1044" t="str">
        <f t="shared" si="118"/>
        <v/>
      </c>
    </row>
    <row r="1045" spans="1:9" x14ac:dyDescent="0.4">
      <c r="A1045" t="str">
        <f t="shared" si="112"/>
        <v/>
      </c>
      <c r="B1045" t="str">
        <f t="shared" si="113"/>
        <v/>
      </c>
      <c r="C1045" t="str">
        <f t="shared" si="114"/>
        <v/>
      </c>
      <c r="D1045" t="str">
        <f t="shared" si="115"/>
        <v/>
      </c>
      <c r="E1045" t="str">
        <f>IF(F1045="","",IF(COUNTIF($F$2:F1045,F1045)&gt;1,"",SUMIFS(tbl_input[필요수량],tbl_input[집계키_센터],F1045)))</f>
        <v/>
      </c>
      <c r="F1045" t="str">
        <f>IFERROR(INDEX(tbl_input[집계키_센터],ROW()-1),"")</f>
        <v/>
      </c>
      <c r="G1045" t="str">
        <f t="shared" si="116"/>
        <v/>
      </c>
      <c r="H1045" t="str">
        <f t="shared" si="117"/>
        <v/>
      </c>
      <c r="I1045" t="str">
        <f t="shared" si="118"/>
        <v/>
      </c>
    </row>
    <row r="1046" spans="1:9" x14ac:dyDescent="0.4">
      <c r="A1046" t="str">
        <f t="shared" si="112"/>
        <v/>
      </c>
      <c r="B1046" t="str">
        <f t="shared" si="113"/>
        <v/>
      </c>
      <c r="C1046" t="str">
        <f t="shared" si="114"/>
        <v/>
      </c>
      <c r="D1046" t="str">
        <f t="shared" si="115"/>
        <v/>
      </c>
      <c r="E1046" t="str">
        <f>IF(F1046="","",IF(COUNTIF($F$2:F1046,F1046)&gt;1,"",SUMIFS(tbl_input[필요수량],tbl_input[집계키_센터],F1046)))</f>
        <v/>
      </c>
      <c r="F1046" t="str">
        <f>IFERROR(INDEX(tbl_input[집계키_센터],ROW()-1),"")</f>
        <v/>
      </c>
      <c r="G1046" t="str">
        <f t="shared" si="116"/>
        <v/>
      </c>
      <c r="H1046" t="str">
        <f t="shared" si="117"/>
        <v/>
      </c>
      <c r="I1046" t="str">
        <f t="shared" si="118"/>
        <v/>
      </c>
    </row>
    <row r="1047" spans="1:9" x14ac:dyDescent="0.4">
      <c r="A1047" t="str">
        <f t="shared" si="112"/>
        <v/>
      </c>
      <c r="B1047" t="str">
        <f t="shared" si="113"/>
        <v/>
      </c>
      <c r="C1047" t="str">
        <f t="shared" si="114"/>
        <v/>
      </c>
      <c r="D1047" t="str">
        <f t="shared" si="115"/>
        <v/>
      </c>
      <c r="E1047" t="str">
        <f>IF(F1047="","",IF(COUNTIF($F$2:F1047,F1047)&gt;1,"",SUMIFS(tbl_input[필요수량],tbl_input[집계키_센터],F1047)))</f>
        <v/>
      </c>
      <c r="F1047" t="str">
        <f>IFERROR(INDEX(tbl_input[집계키_센터],ROW()-1),"")</f>
        <v/>
      </c>
      <c r="G1047" t="str">
        <f t="shared" si="116"/>
        <v/>
      </c>
      <c r="H1047" t="str">
        <f t="shared" si="117"/>
        <v/>
      </c>
      <c r="I1047" t="str">
        <f t="shared" si="118"/>
        <v/>
      </c>
    </row>
    <row r="1048" spans="1:9" x14ac:dyDescent="0.4">
      <c r="A1048" t="str">
        <f t="shared" si="112"/>
        <v/>
      </c>
      <c r="B1048" t="str">
        <f t="shared" si="113"/>
        <v/>
      </c>
      <c r="C1048" t="str">
        <f t="shared" si="114"/>
        <v/>
      </c>
      <c r="D1048" t="str">
        <f t="shared" si="115"/>
        <v/>
      </c>
      <c r="E1048" t="str">
        <f>IF(F1048="","",IF(COUNTIF($F$2:F1048,F1048)&gt;1,"",SUMIFS(tbl_input[필요수량],tbl_input[집계키_센터],F1048)))</f>
        <v/>
      </c>
      <c r="F1048" t="str">
        <f>IFERROR(INDEX(tbl_input[집계키_센터],ROW()-1),"")</f>
        <v/>
      </c>
      <c r="G1048" t="str">
        <f t="shared" si="116"/>
        <v/>
      </c>
      <c r="H1048" t="str">
        <f t="shared" si="117"/>
        <v/>
      </c>
      <c r="I1048" t="str">
        <f t="shared" si="118"/>
        <v/>
      </c>
    </row>
    <row r="1049" spans="1:9" x14ac:dyDescent="0.4">
      <c r="A1049" t="str">
        <f t="shared" si="112"/>
        <v/>
      </c>
      <c r="B1049" t="str">
        <f t="shared" si="113"/>
        <v/>
      </c>
      <c r="C1049" t="str">
        <f t="shared" si="114"/>
        <v/>
      </c>
      <c r="D1049" t="str">
        <f t="shared" si="115"/>
        <v/>
      </c>
      <c r="E1049" t="str">
        <f>IF(F1049="","",IF(COUNTIF($F$2:F1049,F1049)&gt;1,"",SUMIFS(tbl_input[필요수량],tbl_input[집계키_센터],F1049)))</f>
        <v/>
      </c>
      <c r="F1049" t="str">
        <f>IFERROR(INDEX(tbl_input[집계키_센터],ROW()-1),"")</f>
        <v/>
      </c>
      <c r="G1049" t="str">
        <f t="shared" si="116"/>
        <v/>
      </c>
      <c r="H1049" t="str">
        <f t="shared" si="117"/>
        <v/>
      </c>
      <c r="I1049" t="str">
        <f t="shared" si="118"/>
        <v/>
      </c>
    </row>
    <row r="1050" spans="1:9" x14ac:dyDescent="0.4">
      <c r="A1050" t="str">
        <f t="shared" si="112"/>
        <v/>
      </c>
      <c r="B1050" t="str">
        <f t="shared" si="113"/>
        <v/>
      </c>
      <c r="C1050" t="str">
        <f t="shared" si="114"/>
        <v/>
      </c>
      <c r="D1050" t="str">
        <f t="shared" si="115"/>
        <v/>
      </c>
      <c r="E1050" t="str">
        <f>IF(F1050="","",IF(COUNTIF($F$2:F1050,F1050)&gt;1,"",SUMIFS(tbl_input[필요수량],tbl_input[집계키_센터],F1050)))</f>
        <v/>
      </c>
      <c r="F1050" t="str">
        <f>IFERROR(INDEX(tbl_input[집계키_센터],ROW()-1),"")</f>
        <v/>
      </c>
      <c r="G1050" t="str">
        <f t="shared" si="116"/>
        <v/>
      </c>
      <c r="H1050" t="str">
        <f t="shared" si="117"/>
        <v/>
      </c>
      <c r="I1050" t="str">
        <f t="shared" si="118"/>
        <v/>
      </c>
    </row>
    <row r="1051" spans="1:9" x14ac:dyDescent="0.4">
      <c r="A1051" t="str">
        <f t="shared" si="112"/>
        <v/>
      </c>
      <c r="B1051" t="str">
        <f t="shared" si="113"/>
        <v/>
      </c>
      <c r="C1051" t="str">
        <f t="shared" si="114"/>
        <v/>
      </c>
      <c r="D1051" t="str">
        <f t="shared" si="115"/>
        <v/>
      </c>
      <c r="E1051" t="str">
        <f>IF(F1051="","",IF(COUNTIF($F$2:F1051,F1051)&gt;1,"",SUMIFS(tbl_input[필요수량],tbl_input[집계키_센터],F1051)))</f>
        <v/>
      </c>
      <c r="F1051" t="str">
        <f>IFERROR(INDEX(tbl_input[집계키_센터],ROW()-1),"")</f>
        <v/>
      </c>
      <c r="G1051" t="str">
        <f t="shared" si="116"/>
        <v/>
      </c>
      <c r="H1051" t="str">
        <f t="shared" si="117"/>
        <v/>
      </c>
      <c r="I1051" t="str">
        <f t="shared" si="118"/>
        <v/>
      </c>
    </row>
    <row r="1052" spans="1:9" x14ac:dyDescent="0.4">
      <c r="A1052" t="str">
        <f t="shared" si="112"/>
        <v/>
      </c>
      <c r="B1052" t="str">
        <f t="shared" si="113"/>
        <v/>
      </c>
      <c r="C1052" t="str">
        <f t="shared" si="114"/>
        <v/>
      </c>
      <c r="D1052" t="str">
        <f t="shared" si="115"/>
        <v/>
      </c>
      <c r="E1052" t="str">
        <f>IF(F1052="","",IF(COUNTIF($F$2:F1052,F1052)&gt;1,"",SUMIFS(tbl_input[필요수량],tbl_input[집계키_센터],F1052)))</f>
        <v/>
      </c>
      <c r="F1052" t="str">
        <f>IFERROR(INDEX(tbl_input[집계키_센터],ROW()-1),"")</f>
        <v/>
      </c>
      <c r="G1052" t="str">
        <f t="shared" si="116"/>
        <v/>
      </c>
      <c r="H1052" t="str">
        <f t="shared" si="117"/>
        <v/>
      </c>
      <c r="I1052" t="str">
        <f t="shared" si="118"/>
        <v/>
      </c>
    </row>
    <row r="1053" spans="1:9" x14ac:dyDescent="0.4">
      <c r="A1053" t="str">
        <f t="shared" si="112"/>
        <v/>
      </c>
      <c r="B1053" t="str">
        <f t="shared" si="113"/>
        <v/>
      </c>
      <c r="C1053" t="str">
        <f t="shared" si="114"/>
        <v/>
      </c>
      <c r="D1053" t="str">
        <f t="shared" si="115"/>
        <v/>
      </c>
      <c r="E1053" t="str">
        <f>IF(F1053="","",IF(COUNTIF($F$2:F1053,F1053)&gt;1,"",SUMIFS(tbl_input[필요수량],tbl_input[집계키_센터],F1053)))</f>
        <v/>
      </c>
      <c r="F1053" t="str">
        <f>IFERROR(INDEX(tbl_input[집계키_센터],ROW()-1),"")</f>
        <v/>
      </c>
      <c r="G1053" t="str">
        <f t="shared" si="116"/>
        <v/>
      </c>
      <c r="H1053" t="str">
        <f t="shared" si="117"/>
        <v/>
      </c>
      <c r="I1053" t="str">
        <f t="shared" si="118"/>
        <v/>
      </c>
    </row>
    <row r="1054" spans="1:9" x14ac:dyDescent="0.4">
      <c r="A1054" t="str">
        <f t="shared" si="112"/>
        <v/>
      </c>
      <c r="B1054" t="str">
        <f t="shared" si="113"/>
        <v/>
      </c>
      <c r="C1054" t="str">
        <f t="shared" si="114"/>
        <v/>
      </c>
      <c r="D1054" t="str">
        <f t="shared" si="115"/>
        <v/>
      </c>
      <c r="E1054" t="str">
        <f>IF(F1054="","",IF(COUNTIF($F$2:F1054,F1054)&gt;1,"",SUMIFS(tbl_input[필요수량],tbl_input[집계키_센터],F1054)))</f>
        <v/>
      </c>
      <c r="F1054" t="str">
        <f>IFERROR(INDEX(tbl_input[집계키_센터],ROW()-1),"")</f>
        <v/>
      </c>
      <c r="G1054" t="str">
        <f t="shared" si="116"/>
        <v/>
      </c>
      <c r="H1054" t="str">
        <f t="shared" si="117"/>
        <v/>
      </c>
      <c r="I1054" t="str">
        <f t="shared" si="118"/>
        <v/>
      </c>
    </row>
    <row r="1055" spans="1:9" x14ac:dyDescent="0.4">
      <c r="A1055" t="str">
        <f t="shared" si="112"/>
        <v/>
      </c>
      <c r="B1055" t="str">
        <f t="shared" si="113"/>
        <v/>
      </c>
      <c r="C1055" t="str">
        <f t="shared" si="114"/>
        <v/>
      </c>
      <c r="D1055" t="str">
        <f t="shared" si="115"/>
        <v/>
      </c>
      <c r="E1055" t="str">
        <f>IF(F1055="","",IF(COUNTIF($F$2:F1055,F1055)&gt;1,"",SUMIFS(tbl_input[필요수량],tbl_input[집계키_센터],F1055)))</f>
        <v/>
      </c>
      <c r="F1055" t="str">
        <f>IFERROR(INDEX(tbl_input[집계키_센터],ROW()-1),"")</f>
        <v/>
      </c>
      <c r="G1055" t="str">
        <f t="shared" si="116"/>
        <v/>
      </c>
      <c r="H1055" t="str">
        <f t="shared" si="117"/>
        <v/>
      </c>
      <c r="I1055" t="str">
        <f t="shared" si="118"/>
        <v/>
      </c>
    </row>
    <row r="1056" spans="1:9" x14ac:dyDescent="0.4">
      <c r="A1056" t="str">
        <f t="shared" si="112"/>
        <v/>
      </c>
      <c r="B1056" t="str">
        <f t="shared" si="113"/>
        <v/>
      </c>
      <c r="C1056" t="str">
        <f t="shared" si="114"/>
        <v/>
      </c>
      <c r="D1056" t="str">
        <f t="shared" si="115"/>
        <v/>
      </c>
      <c r="E1056" t="str">
        <f>IF(F1056="","",IF(COUNTIF($F$2:F1056,F1056)&gt;1,"",SUMIFS(tbl_input[필요수량],tbl_input[집계키_센터],F1056)))</f>
        <v/>
      </c>
      <c r="F1056" t="str">
        <f>IFERROR(INDEX(tbl_input[집계키_센터],ROW()-1),"")</f>
        <v/>
      </c>
      <c r="G1056" t="str">
        <f t="shared" si="116"/>
        <v/>
      </c>
      <c r="H1056" t="str">
        <f t="shared" si="117"/>
        <v/>
      </c>
      <c r="I1056" t="str">
        <f t="shared" si="118"/>
        <v/>
      </c>
    </row>
    <row r="1057" spans="1:9" x14ac:dyDescent="0.4">
      <c r="A1057" t="str">
        <f t="shared" si="112"/>
        <v/>
      </c>
      <c r="B1057" t="str">
        <f t="shared" si="113"/>
        <v/>
      </c>
      <c r="C1057" t="str">
        <f t="shared" si="114"/>
        <v/>
      </c>
      <c r="D1057" t="str">
        <f t="shared" si="115"/>
        <v/>
      </c>
      <c r="E1057" t="str">
        <f>IF(F1057="","",IF(COUNTIF($F$2:F1057,F1057)&gt;1,"",SUMIFS(tbl_input[필요수량],tbl_input[집계키_센터],F1057)))</f>
        <v/>
      </c>
      <c r="F1057" t="str">
        <f>IFERROR(INDEX(tbl_input[집계키_센터],ROW()-1),"")</f>
        <v/>
      </c>
      <c r="G1057" t="str">
        <f t="shared" si="116"/>
        <v/>
      </c>
      <c r="H1057" t="str">
        <f t="shared" si="117"/>
        <v/>
      </c>
      <c r="I1057" t="str">
        <f t="shared" si="118"/>
        <v/>
      </c>
    </row>
    <row r="1058" spans="1:9" x14ac:dyDescent="0.4">
      <c r="A1058" t="str">
        <f t="shared" si="112"/>
        <v/>
      </c>
      <c r="B1058" t="str">
        <f t="shared" si="113"/>
        <v/>
      </c>
      <c r="C1058" t="str">
        <f t="shared" si="114"/>
        <v/>
      </c>
      <c r="D1058" t="str">
        <f t="shared" si="115"/>
        <v/>
      </c>
      <c r="E1058" t="str">
        <f>IF(F1058="","",IF(COUNTIF($F$2:F1058,F1058)&gt;1,"",SUMIFS(tbl_input[필요수량],tbl_input[집계키_센터],F1058)))</f>
        <v/>
      </c>
      <c r="F1058" t="str">
        <f>IFERROR(INDEX(tbl_input[집계키_센터],ROW()-1),"")</f>
        <v/>
      </c>
      <c r="G1058" t="str">
        <f t="shared" si="116"/>
        <v/>
      </c>
      <c r="H1058" t="str">
        <f t="shared" si="117"/>
        <v/>
      </c>
      <c r="I1058" t="str">
        <f t="shared" si="118"/>
        <v/>
      </c>
    </row>
    <row r="1059" spans="1:9" x14ac:dyDescent="0.4">
      <c r="A1059" t="str">
        <f t="shared" si="112"/>
        <v/>
      </c>
      <c r="B1059" t="str">
        <f t="shared" si="113"/>
        <v/>
      </c>
      <c r="C1059" t="str">
        <f t="shared" si="114"/>
        <v/>
      </c>
      <c r="D1059" t="str">
        <f t="shared" si="115"/>
        <v/>
      </c>
      <c r="E1059" t="str">
        <f>IF(F1059="","",IF(COUNTIF($F$2:F1059,F1059)&gt;1,"",SUMIFS(tbl_input[필요수량],tbl_input[집계키_센터],F1059)))</f>
        <v/>
      </c>
      <c r="F1059" t="str">
        <f>IFERROR(INDEX(tbl_input[집계키_센터],ROW()-1),"")</f>
        <v/>
      </c>
      <c r="G1059" t="str">
        <f t="shared" si="116"/>
        <v/>
      </c>
      <c r="H1059" t="str">
        <f t="shared" si="117"/>
        <v/>
      </c>
      <c r="I1059" t="str">
        <f t="shared" si="118"/>
        <v/>
      </c>
    </row>
    <row r="1060" spans="1:9" x14ac:dyDescent="0.4">
      <c r="A1060" t="str">
        <f t="shared" si="112"/>
        <v/>
      </c>
      <c r="B1060" t="str">
        <f t="shared" si="113"/>
        <v/>
      </c>
      <c r="C1060" t="str">
        <f t="shared" si="114"/>
        <v/>
      </c>
      <c r="D1060" t="str">
        <f t="shared" si="115"/>
        <v/>
      </c>
      <c r="E1060" t="str">
        <f>IF(F1060="","",IF(COUNTIF($F$2:F1060,F1060)&gt;1,"",SUMIFS(tbl_input[필요수량],tbl_input[집계키_센터],F1060)))</f>
        <v/>
      </c>
      <c r="F1060" t="str">
        <f>IFERROR(INDEX(tbl_input[집계키_센터],ROW()-1),"")</f>
        <v/>
      </c>
      <c r="G1060" t="str">
        <f t="shared" si="116"/>
        <v/>
      </c>
      <c r="H1060" t="str">
        <f t="shared" si="117"/>
        <v/>
      </c>
      <c r="I1060" t="str">
        <f t="shared" si="118"/>
        <v/>
      </c>
    </row>
    <row r="1061" spans="1:9" x14ac:dyDescent="0.4">
      <c r="A1061" t="str">
        <f t="shared" si="112"/>
        <v/>
      </c>
      <c r="B1061" t="str">
        <f t="shared" si="113"/>
        <v/>
      </c>
      <c r="C1061" t="str">
        <f t="shared" si="114"/>
        <v/>
      </c>
      <c r="D1061" t="str">
        <f t="shared" si="115"/>
        <v/>
      </c>
      <c r="E1061" t="str">
        <f>IF(F1061="","",IF(COUNTIF($F$2:F1061,F1061)&gt;1,"",SUMIFS(tbl_input[필요수량],tbl_input[집계키_센터],F1061)))</f>
        <v/>
      </c>
      <c r="F1061" t="str">
        <f>IFERROR(INDEX(tbl_input[집계키_센터],ROW()-1),"")</f>
        <v/>
      </c>
      <c r="G1061" t="str">
        <f t="shared" si="116"/>
        <v/>
      </c>
      <c r="H1061" t="str">
        <f t="shared" si="117"/>
        <v/>
      </c>
      <c r="I1061" t="str">
        <f t="shared" si="118"/>
        <v/>
      </c>
    </row>
    <row r="1062" spans="1:9" x14ac:dyDescent="0.4">
      <c r="A1062" t="str">
        <f t="shared" si="112"/>
        <v/>
      </c>
      <c r="B1062" t="str">
        <f t="shared" si="113"/>
        <v/>
      </c>
      <c r="C1062" t="str">
        <f t="shared" si="114"/>
        <v/>
      </c>
      <c r="D1062" t="str">
        <f t="shared" si="115"/>
        <v/>
      </c>
      <c r="E1062" t="str">
        <f>IF(F1062="","",IF(COUNTIF($F$2:F1062,F1062)&gt;1,"",SUMIFS(tbl_input[필요수량],tbl_input[집계키_센터],F1062)))</f>
        <v/>
      </c>
      <c r="F1062" t="str">
        <f>IFERROR(INDEX(tbl_input[집계키_센터],ROW()-1),"")</f>
        <v/>
      </c>
      <c r="G1062" t="str">
        <f t="shared" si="116"/>
        <v/>
      </c>
      <c r="H1062" t="str">
        <f t="shared" si="117"/>
        <v/>
      </c>
      <c r="I1062" t="str">
        <f t="shared" si="118"/>
        <v/>
      </c>
    </row>
    <row r="1063" spans="1:9" x14ac:dyDescent="0.4">
      <c r="A1063" t="str">
        <f t="shared" si="112"/>
        <v/>
      </c>
      <c r="B1063" t="str">
        <f t="shared" si="113"/>
        <v/>
      </c>
      <c r="C1063" t="str">
        <f t="shared" si="114"/>
        <v/>
      </c>
      <c r="D1063" t="str">
        <f t="shared" si="115"/>
        <v/>
      </c>
      <c r="E1063" t="str">
        <f>IF(F1063="","",IF(COUNTIF($F$2:F1063,F1063)&gt;1,"",SUMIFS(tbl_input[필요수량],tbl_input[집계키_센터],F1063)))</f>
        <v/>
      </c>
      <c r="F1063" t="str">
        <f>IFERROR(INDEX(tbl_input[집계키_센터],ROW()-1),"")</f>
        <v/>
      </c>
      <c r="G1063" t="str">
        <f t="shared" si="116"/>
        <v/>
      </c>
      <c r="H1063" t="str">
        <f t="shared" si="117"/>
        <v/>
      </c>
      <c r="I1063" t="str">
        <f t="shared" si="118"/>
        <v/>
      </c>
    </row>
    <row r="1064" spans="1:9" x14ac:dyDescent="0.4">
      <c r="A1064" t="str">
        <f t="shared" si="112"/>
        <v/>
      </c>
      <c r="B1064" t="str">
        <f t="shared" si="113"/>
        <v/>
      </c>
      <c r="C1064" t="str">
        <f t="shared" si="114"/>
        <v/>
      </c>
      <c r="D1064" t="str">
        <f t="shared" si="115"/>
        <v/>
      </c>
      <c r="E1064" t="str">
        <f>IF(F1064="","",IF(COUNTIF($F$2:F1064,F1064)&gt;1,"",SUMIFS(tbl_input[필요수량],tbl_input[집계키_센터],F1064)))</f>
        <v/>
      </c>
      <c r="F1064" t="str">
        <f>IFERROR(INDEX(tbl_input[집계키_센터],ROW()-1),"")</f>
        <v/>
      </c>
      <c r="G1064" t="str">
        <f t="shared" si="116"/>
        <v/>
      </c>
      <c r="H1064" t="str">
        <f t="shared" si="117"/>
        <v/>
      </c>
      <c r="I1064" t="str">
        <f t="shared" si="118"/>
        <v/>
      </c>
    </row>
    <row r="1065" spans="1:9" x14ac:dyDescent="0.4">
      <c r="A1065" t="str">
        <f t="shared" si="112"/>
        <v/>
      </c>
      <c r="B1065" t="str">
        <f t="shared" si="113"/>
        <v/>
      </c>
      <c r="C1065" t="str">
        <f t="shared" si="114"/>
        <v/>
      </c>
      <c r="D1065" t="str">
        <f t="shared" si="115"/>
        <v/>
      </c>
      <c r="E1065" t="str">
        <f>IF(F1065="","",IF(COUNTIF($F$2:F1065,F1065)&gt;1,"",SUMIFS(tbl_input[필요수량],tbl_input[집계키_센터],F1065)))</f>
        <v/>
      </c>
      <c r="F1065" t="str">
        <f>IFERROR(INDEX(tbl_input[집계키_센터],ROW()-1),"")</f>
        <v/>
      </c>
      <c r="G1065" t="str">
        <f t="shared" si="116"/>
        <v/>
      </c>
      <c r="H1065" t="str">
        <f t="shared" si="117"/>
        <v/>
      </c>
      <c r="I1065" t="str">
        <f t="shared" si="118"/>
        <v/>
      </c>
    </row>
    <row r="1066" spans="1:9" x14ac:dyDescent="0.4">
      <c r="A1066" t="str">
        <f t="shared" si="112"/>
        <v/>
      </c>
      <c r="B1066" t="str">
        <f t="shared" si="113"/>
        <v/>
      </c>
      <c r="C1066" t="str">
        <f t="shared" si="114"/>
        <v/>
      </c>
      <c r="D1066" t="str">
        <f t="shared" si="115"/>
        <v/>
      </c>
      <c r="E1066" t="str">
        <f>IF(F1066="","",IF(COUNTIF($F$2:F1066,F1066)&gt;1,"",SUMIFS(tbl_input[필요수량],tbl_input[집계키_센터],F1066)))</f>
        <v/>
      </c>
      <c r="F1066" t="str">
        <f>IFERROR(INDEX(tbl_input[집계키_센터],ROW()-1),"")</f>
        <v/>
      </c>
      <c r="G1066" t="str">
        <f t="shared" si="116"/>
        <v/>
      </c>
      <c r="H1066" t="str">
        <f t="shared" si="117"/>
        <v/>
      </c>
      <c r="I1066" t="str">
        <f t="shared" si="118"/>
        <v/>
      </c>
    </row>
    <row r="1067" spans="1:9" x14ac:dyDescent="0.4">
      <c r="A1067" t="str">
        <f t="shared" si="112"/>
        <v/>
      </c>
      <c r="B1067" t="str">
        <f t="shared" si="113"/>
        <v/>
      </c>
      <c r="C1067" t="str">
        <f t="shared" si="114"/>
        <v/>
      </c>
      <c r="D1067" t="str">
        <f t="shared" si="115"/>
        <v/>
      </c>
      <c r="E1067" t="str">
        <f>IF(F1067="","",IF(COUNTIF($F$2:F1067,F1067)&gt;1,"",SUMIFS(tbl_input[필요수량],tbl_input[집계키_센터],F1067)))</f>
        <v/>
      </c>
      <c r="F1067" t="str">
        <f>IFERROR(INDEX(tbl_input[집계키_센터],ROW()-1),"")</f>
        <v/>
      </c>
      <c r="G1067" t="str">
        <f t="shared" si="116"/>
        <v/>
      </c>
      <c r="H1067" t="str">
        <f t="shared" si="117"/>
        <v/>
      </c>
      <c r="I1067" t="str">
        <f t="shared" si="118"/>
        <v/>
      </c>
    </row>
    <row r="1068" spans="1:9" x14ac:dyDescent="0.4">
      <c r="A1068" t="str">
        <f t="shared" si="112"/>
        <v/>
      </c>
      <c r="B1068" t="str">
        <f t="shared" si="113"/>
        <v/>
      </c>
      <c r="C1068" t="str">
        <f t="shared" si="114"/>
        <v/>
      </c>
      <c r="D1068" t="str">
        <f t="shared" si="115"/>
        <v/>
      </c>
      <c r="E1068" t="str">
        <f>IF(F1068="","",IF(COUNTIF($F$2:F1068,F1068)&gt;1,"",SUMIFS(tbl_input[필요수량],tbl_input[집계키_센터],F1068)))</f>
        <v/>
      </c>
      <c r="F1068" t="str">
        <f>IFERROR(INDEX(tbl_input[집계키_센터],ROW()-1),"")</f>
        <v/>
      </c>
      <c r="G1068" t="str">
        <f t="shared" si="116"/>
        <v/>
      </c>
      <c r="H1068" t="str">
        <f t="shared" si="117"/>
        <v/>
      </c>
      <c r="I1068" t="str">
        <f t="shared" si="118"/>
        <v/>
      </c>
    </row>
    <row r="1069" spans="1:9" x14ac:dyDescent="0.4">
      <c r="A1069" t="str">
        <f t="shared" si="112"/>
        <v/>
      </c>
      <c r="B1069" t="str">
        <f t="shared" si="113"/>
        <v/>
      </c>
      <c r="C1069" t="str">
        <f t="shared" si="114"/>
        <v/>
      </c>
      <c r="D1069" t="str">
        <f t="shared" si="115"/>
        <v/>
      </c>
      <c r="E1069" t="str">
        <f>IF(F1069="","",IF(COUNTIF($F$2:F1069,F1069)&gt;1,"",SUMIFS(tbl_input[필요수량],tbl_input[집계키_센터],F1069)))</f>
        <v/>
      </c>
      <c r="F1069" t="str">
        <f>IFERROR(INDEX(tbl_input[집계키_센터],ROW()-1),"")</f>
        <v/>
      </c>
      <c r="G1069" t="str">
        <f t="shared" si="116"/>
        <v/>
      </c>
      <c r="H1069" t="str">
        <f t="shared" si="117"/>
        <v/>
      </c>
      <c r="I1069" t="str">
        <f t="shared" si="118"/>
        <v/>
      </c>
    </row>
    <row r="1070" spans="1:9" x14ac:dyDescent="0.4">
      <c r="A1070" t="str">
        <f t="shared" si="112"/>
        <v/>
      </c>
      <c r="B1070" t="str">
        <f t="shared" si="113"/>
        <v/>
      </c>
      <c r="C1070" t="str">
        <f t="shared" si="114"/>
        <v/>
      </c>
      <c r="D1070" t="str">
        <f t="shared" si="115"/>
        <v/>
      </c>
      <c r="E1070" t="str">
        <f>IF(F1070="","",IF(COUNTIF($F$2:F1070,F1070)&gt;1,"",SUMIFS(tbl_input[필요수량],tbl_input[집계키_센터],F1070)))</f>
        <v/>
      </c>
      <c r="F1070" t="str">
        <f>IFERROR(INDEX(tbl_input[집계키_센터],ROW()-1),"")</f>
        <v/>
      </c>
      <c r="G1070" t="str">
        <f t="shared" si="116"/>
        <v/>
      </c>
      <c r="H1070" t="str">
        <f t="shared" si="117"/>
        <v/>
      </c>
      <c r="I1070" t="str">
        <f t="shared" si="118"/>
        <v/>
      </c>
    </row>
    <row r="1071" spans="1:9" x14ac:dyDescent="0.4">
      <c r="A1071" t="str">
        <f t="shared" si="112"/>
        <v/>
      </c>
      <c r="B1071" t="str">
        <f t="shared" si="113"/>
        <v/>
      </c>
      <c r="C1071" t="str">
        <f t="shared" si="114"/>
        <v/>
      </c>
      <c r="D1071" t="str">
        <f t="shared" si="115"/>
        <v/>
      </c>
      <c r="E1071" t="str">
        <f>IF(F1071="","",IF(COUNTIF($F$2:F1071,F1071)&gt;1,"",SUMIFS(tbl_input[필요수량],tbl_input[집계키_센터],F1071)))</f>
        <v/>
      </c>
      <c r="F1071" t="str">
        <f>IFERROR(INDEX(tbl_input[집계키_센터],ROW()-1),"")</f>
        <v/>
      </c>
      <c r="G1071" t="str">
        <f t="shared" si="116"/>
        <v/>
      </c>
      <c r="H1071" t="str">
        <f t="shared" si="117"/>
        <v/>
      </c>
      <c r="I1071" t="str">
        <f t="shared" si="118"/>
        <v/>
      </c>
    </row>
    <row r="1072" spans="1:9" x14ac:dyDescent="0.4">
      <c r="A1072" t="str">
        <f t="shared" si="112"/>
        <v/>
      </c>
      <c r="B1072" t="str">
        <f t="shared" si="113"/>
        <v/>
      </c>
      <c r="C1072" t="str">
        <f t="shared" si="114"/>
        <v/>
      </c>
      <c r="D1072" t="str">
        <f t="shared" si="115"/>
        <v/>
      </c>
      <c r="E1072" t="str">
        <f>IF(F1072="","",IF(COUNTIF($F$2:F1072,F1072)&gt;1,"",SUMIFS(tbl_input[필요수량],tbl_input[집계키_센터],F1072)))</f>
        <v/>
      </c>
      <c r="F1072" t="str">
        <f>IFERROR(INDEX(tbl_input[집계키_센터],ROW()-1),"")</f>
        <v/>
      </c>
      <c r="G1072" t="str">
        <f t="shared" si="116"/>
        <v/>
      </c>
      <c r="H1072" t="str">
        <f t="shared" si="117"/>
        <v/>
      </c>
      <c r="I1072" t="str">
        <f t="shared" si="118"/>
        <v/>
      </c>
    </row>
    <row r="1073" spans="1:9" x14ac:dyDescent="0.4">
      <c r="A1073" t="str">
        <f t="shared" si="112"/>
        <v/>
      </c>
      <c r="B1073" t="str">
        <f t="shared" si="113"/>
        <v/>
      </c>
      <c r="C1073" t="str">
        <f t="shared" si="114"/>
        <v/>
      </c>
      <c r="D1073" t="str">
        <f t="shared" si="115"/>
        <v/>
      </c>
      <c r="E1073" t="str">
        <f>IF(F1073="","",IF(COUNTIF($F$2:F1073,F1073)&gt;1,"",SUMIFS(tbl_input[필요수량],tbl_input[집계키_센터],F1073)))</f>
        <v/>
      </c>
      <c r="F1073" t="str">
        <f>IFERROR(INDEX(tbl_input[집계키_센터],ROW()-1),"")</f>
        <v/>
      </c>
      <c r="G1073" t="str">
        <f t="shared" si="116"/>
        <v/>
      </c>
      <c r="H1073" t="str">
        <f t="shared" si="117"/>
        <v/>
      </c>
      <c r="I1073" t="str">
        <f t="shared" si="118"/>
        <v/>
      </c>
    </row>
    <row r="1074" spans="1:9" x14ac:dyDescent="0.4">
      <c r="A1074" t="str">
        <f t="shared" si="112"/>
        <v/>
      </c>
      <c r="B1074" t="str">
        <f t="shared" si="113"/>
        <v/>
      </c>
      <c r="C1074" t="str">
        <f t="shared" si="114"/>
        <v/>
      </c>
      <c r="D1074" t="str">
        <f t="shared" si="115"/>
        <v/>
      </c>
      <c r="E1074" t="str">
        <f>IF(F1074="","",IF(COUNTIF($F$2:F1074,F1074)&gt;1,"",SUMIFS(tbl_input[필요수량],tbl_input[집계키_센터],F1074)))</f>
        <v/>
      </c>
      <c r="F1074" t="str">
        <f>IFERROR(INDEX(tbl_input[집계키_센터],ROW()-1),"")</f>
        <v/>
      </c>
      <c r="G1074" t="str">
        <f t="shared" si="116"/>
        <v/>
      </c>
      <c r="H1074" t="str">
        <f t="shared" si="117"/>
        <v/>
      </c>
      <c r="I1074" t="str">
        <f t="shared" si="118"/>
        <v/>
      </c>
    </row>
    <row r="1075" spans="1:9" x14ac:dyDescent="0.4">
      <c r="A1075" t="str">
        <f t="shared" si="112"/>
        <v/>
      </c>
      <c r="B1075" t="str">
        <f t="shared" si="113"/>
        <v/>
      </c>
      <c r="C1075" t="str">
        <f t="shared" si="114"/>
        <v/>
      </c>
      <c r="D1075" t="str">
        <f t="shared" si="115"/>
        <v/>
      </c>
      <c r="E1075" t="str">
        <f>IF(F1075="","",IF(COUNTIF($F$2:F1075,F1075)&gt;1,"",SUMIFS(tbl_input[필요수량],tbl_input[집계키_센터],F1075)))</f>
        <v/>
      </c>
      <c r="F1075" t="str">
        <f>IFERROR(INDEX(tbl_input[집계키_센터],ROW()-1),"")</f>
        <v/>
      </c>
      <c r="G1075" t="str">
        <f t="shared" si="116"/>
        <v/>
      </c>
      <c r="H1075" t="str">
        <f t="shared" si="117"/>
        <v/>
      </c>
      <c r="I1075" t="str">
        <f t="shared" si="118"/>
        <v/>
      </c>
    </row>
    <row r="1076" spans="1:9" x14ac:dyDescent="0.4">
      <c r="A1076" t="str">
        <f t="shared" si="112"/>
        <v/>
      </c>
      <c r="B1076" t="str">
        <f t="shared" si="113"/>
        <v/>
      </c>
      <c r="C1076" t="str">
        <f t="shared" si="114"/>
        <v/>
      </c>
      <c r="D1076" t="str">
        <f t="shared" si="115"/>
        <v/>
      </c>
      <c r="E1076" t="str">
        <f>IF(F1076="","",IF(COUNTIF($F$2:F1076,F1076)&gt;1,"",SUMIFS(tbl_input[필요수량],tbl_input[집계키_센터],F1076)))</f>
        <v/>
      </c>
      <c r="F1076" t="str">
        <f>IFERROR(INDEX(tbl_input[집계키_센터],ROW()-1),"")</f>
        <v/>
      </c>
      <c r="G1076" t="str">
        <f t="shared" si="116"/>
        <v/>
      </c>
      <c r="H1076" t="str">
        <f t="shared" si="117"/>
        <v/>
      </c>
      <c r="I1076" t="str">
        <f t="shared" si="118"/>
        <v/>
      </c>
    </row>
    <row r="1077" spans="1:9" x14ac:dyDescent="0.4">
      <c r="A1077" t="str">
        <f t="shared" si="112"/>
        <v/>
      </c>
      <c r="B1077" t="str">
        <f t="shared" si="113"/>
        <v/>
      </c>
      <c r="C1077" t="str">
        <f t="shared" si="114"/>
        <v/>
      </c>
      <c r="D1077" t="str">
        <f t="shared" si="115"/>
        <v/>
      </c>
      <c r="E1077" t="str">
        <f>IF(F1077="","",IF(COUNTIF($F$2:F1077,F1077)&gt;1,"",SUMIFS(tbl_input[필요수량],tbl_input[집계키_센터],F1077)))</f>
        <v/>
      </c>
      <c r="F1077" t="str">
        <f>IFERROR(INDEX(tbl_input[집계키_센터],ROW()-1),"")</f>
        <v/>
      </c>
      <c r="G1077" t="str">
        <f t="shared" si="116"/>
        <v/>
      </c>
      <c r="H1077" t="str">
        <f t="shared" si="117"/>
        <v/>
      </c>
      <c r="I1077" t="str">
        <f t="shared" si="118"/>
        <v/>
      </c>
    </row>
    <row r="1078" spans="1:9" x14ac:dyDescent="0.4">
      <c r="A1078" t="str">
        <f t="shared" si="112"/>
        <v/>
      </c>
      <c r="B1078" t="str">
        <f t="shared" si="113"/>
        <v/>
      </c>
      <c r="C1078" t="str">
        <f t="shared" si="114"/>
        <v/>
      </c>
      <c r="D1078" t="str">
        <f t="shared" si="115"/>
        <v/>
      </c>
      <c r="E1078" t="str">
        <f>IF(F1078="","",IF(COUNTIF($F$2:F1078,F1078)&gt;1,"",SUMIFS(tbl_input[필요수량],tbl_input[집계키_센터],F1078)))</f>
        <v/>
      </c>
      <c r="F1078" t="str">
        <f>IFERROR(INDEX(tbl_input[집계키_센터],ROW()-1),"")</f>
        <v/>
      </c>
      <c r="G1078" t="str">
        <f t="shared" si="116"/>
        <v/>
      </c>
      <c r="H1078" t="str">
        <f t="shared" si="117"/>
        <v/>
      </c>
      <c r="I1078" t="str">
        <f t="shared" si="118"/>
        <v/>
      </c>
    </row>
    <row r="1079" spans="1:9" x14ac:dyDescent="0.4">
      <c r="A1079" t="str">
        <f t="shared" si="112"/>
        <v/>
      </c>
      <c r="B1079" t="str">
        <f t="shared" si="113"/>
        <v/>
      </c>
      <c r="C1079" t="str">
        <f t="shared" si="114"/>
        <v/>
      </c>
      <c r="D1079" t="str">
        <f t="shared" si="115"/>
        <v/>
      </c>
      <c r="E1079" t="str">
        <f>IF(F1079="","",IF(COUNTIF($F$2:F1079,F1079)&gt;1,"",SUMIFS(tbl_input[필요수량],tbl_input[집계키_센터],F1079)))</f>
        <v/>
      </c>
      <c r="F1079" t="str">
        <f>IFERROR(INDEX(tbl_input[집계키_센터],ROW()-1),"")</f>
        <v/>
      </c>
      <c r="G1079" t="str">
        <f t="shared" si="116"/>
        <v/>
      </c>
      <c r="H1079" t="str">
        <f t="shared" si="117"/>
        <v/>
      </c>
      <c r="I1079" t="str">
        <f t="shared" si="118"/>
        <v/>
      </c>
    </row>
    <row r="1080" spans="1:9" x14ac:dyDescent="0.4">
      <c r="A1080" t="str">
        <f t="shared" si="112"/>
        <v/>
      </c>
      <c r="B1080" t="str">
        <f t="shared" si="113"/>
        <v/>
      </c>
      <c r="C1080" t="str">
        <f t="shared" si="114"/>
        <v/>
      </c>
      <c r="D1080" t="str">
        <f t="shared" si="115"/>
        <v/>
      </c>
      <c r="E1080" t="str">
        <f>IF(F1080="","",IF(COUNTIF($F$2:F1080,F1080)&gt;1,"",SUMIFS(tbl_input[필요수량],tbl_input[집계키_센터],F1080)))</f>
        <v/>
      </c>
      <c r="F1080" t="str">
        <f>IFERROR(INDEX(tbl_input[집계키_센터],ROW()-1),"")</f>
        <v/>
      </c>
      <c r="G1080" t="str">
        <f t="shared" si="116"/>
        <v/>
      </c>
      <c r="H1080" t="str">
        <f t="shared" si="117"/>
        <v/>
      </c>
      <c r="I1080" t="str">
        <f t="shared" si="118"/>
        <v/>
      </c>
    </row>
    <row r="1081" spans="1:9" x14ac:dyDescent="0.4">
      <c r="A1081" t="str">
        <f t="shared" si="112"/>
        <v/>
      </c>
      <c r="B1081" t="str">
        <f t="shared" si="113"/>
        <v/>
      </c>
      <c r="C1081" t="str">
        <f t="shared" si="114"/>
        <v/>
      </c>
      <c r="D1081" t="str">
        <f t="shared" si="115"/>
        <v/>
      </c>
      <c r="E1081" t="str">
        <f>IF(F1081="","",IF(COUNTIF($F$2:F1081,F1081)&gt;1,"",SUMIFS(tbl_input[필요수량],tbl_input[집계키_센터],F1081)))</f>
        <v/>
      </c>
      <c r="F1081" t="str">
        <f>IFERROR(INDEX(tbl_input[집계키_센터],ROW()-1),"")</f>
        <v/>
      </c>
      <c r="G1081" t="str">
        <f t="shared" si="116"/>
        <v/>
      </c>
      <c r="H1081" t="str">
        <f t="shared" si="117"/>
        <v/>
      </c>
      <c r="I1081" t="str">
        <f t="shared" si="118"/>
        <v/>
      </c>
    </row>
    <row r="1082" spans="1:9" x14ac:dyDescent="0.4">
      <c r="A1082" t="str">
        <f t="shared" si="112"/>
        <v/>
      </c>
      <c r="B1082" t="str">
        <f t="shared" si="113"/>
        <v/>
      </c>
      <c r="C1082" t="str">
        <f t="shared" si="114"/>
        <v/>
      </c>
      <c r="D1082" t="str">
        <f t="shared" si="115"/>
        <v/>
      </c>
      <c r="E1082" t="str">
        <f>IF(F1082="","",IF(COUNTIF($F$2:F1082,F1082)&gt;1,"",SUMIFS(tbl_input[필요수량],tbl_input[집계키_센터],F1082)))</f>
        <v/>
      </c>
      <c r="F1082" t="str">
        <f>IFERROR(INDEX(tbl_input[집계키_센터],ROW()-1),"")</f>
        <v/>
      </c>
      <c r="G1082" t="str">
        <f t="shared" si="116"/>
        <v/>
      </c>
      <c r="H1082" t="str">
        <f t="shared" si="117"/>
        <v/>
      </c>
      <c r="I1082" t="str">
        <f t="shared" si="118"/>
        <v/>
      </c>
    </row>
    <row r="1083" spans="1:9" x14ac:dyDescent="0.4">
      <c r="A1083" t="str">
        <f t="shared" si="112"/>
        <v/>
      </c>
      <c r="B1083" t="str">
        <f t="shared" si="113"/>
        <v/>
      </c>
      <c r="C1083" t="str">
        <f t="shared" si="114"/>
        <v/>
      </c>
      <c r="D1083" t="str">
        <f t="shared" si="115"/>
        <v/>
      </c>
      <c r="E1083" t="str">
        <f>IF(F1083="","",IF(COUNTIF($F$2:F1083,F1083)&gt;1,"",SUMIFS(tbl_input[필요수량],tbl_input[집계키_센터],F1083)))</f>
        <v/>
      </c>
      <c r="F1083" t="str">
        <f>IFERROR(INDEX(tbl_input[집계키_센터],ROW()-1),"")</f>
        <v/>
      </c>
      <c r="G1083" t="str">
        <f t="shared" si="116"/>
        <v/>
      </c>
      <c r="H1083" t="str">
        <f t="shared" si="117"/>
        <v/>
      </c>
      <c r="I1083" t="str">
        <f t="shared" si="118"/>
        <v/>
      </c>
    </row>
    <row r="1084" spans="1:9" x14ac:dyDescent="0.4">
      <c r="A1084" t="str">
        <f t="shared" si="112"/>
        <v/>
      </c>
      <c r="B1084" t="str">
        <f t="shared" si="113"/>
        <v/>
      </c>
      <c r="C1084" t="str">
        <f t="shared" si="114"/>
        <v/>
      </c>
      <c r="D1084" t="str">
        <f t="shared" si="115"/>
        <v/>
      </c>
      <c r="E1084" t="str">
        <f>IF(F1084="","",IF(COUNTIF($F$2:F1084,F1084)&gt;1,"",SUMIFS(tbl_input[필요수량],tbl_input[집계키_센터],F1084)))</f>
        <v/>
      </c>
      <c r="F1084" t="str">
        <f>IFERROR(INDEX(tbl_input[집계키_센터],ROW()-1),"")</f>
        <v/>
      </c>
      <c r="G1084" t="str">
        <f t="shared" si="116"/>
        <v/>
      </c>
      <c r="H1084" t="str">
        <f t="shared" si="117"/>
        <v/>
      </c>
      <c r="I1084" t="str">
        <f t="shared" si="118"/>
        <v/>
      </c>
    </row>
    <row r="1085" spans="1:9" x14ac:dyDescent="0.4">
      <c r="A1085" t="str">
        <f t="shared" si="112"/>
        <v/>
      </c>
      <c r="B1085" t="str">
        <f t="shared" si="113"/>
        <v/>
      </c>
      <c r="C1085" t="str">
        <f t="shared" si="114"/>
        <v/>
      </c>
      <c r="D1085" t="str">
        <f t="shared" si="115"/>
        <v/>
      </c>
      <c r="E1085" t="str">
        <f>IF(F1085="","",IF(COUNTIF($F$2:F1085,F1085)&gt;1,"",SUMIFS(tbl_input[필요수량],tbl_input[집계키_센터],F1085)))</f>
        <v/>
      </c>
      <c r="F1085" t="str">
        <f>IFERROR(INDEX(tbl_input[집계키_센터],ROW()-1),"")</f>
        <v/>
      </c>
      <c r="G1085" t="str">
        <f t="shared" si="116"/>
        <v/>
      </c>
      <c r="H1085" t="str">
        <f t="shared" si="117"/>
        <v/>
      </c>
      <c r="I1085" t="str">
        <f t="shared" si="118"/>
        <v/>
      </c>
    </row>
    <row r="1086" spans="1:9" x14ac:dyDescent="0.4">
      <c r="A1086" t="str">
        <f t="shared" si="112"/>
        <v/>
      </c>
      <c r="B1086" t="str">
        <f t="shared" si="113"/>
        <v/>
      </c>
      <c r="C1086" t="str">
        <f t="shared" si="114"/>
        <v/>
      </c>
      <c r="D1086" t="str">
        <f t="shared" si="115"/>
        <v/>
      </c>
      <c r="E1086" t="str">
        <f>IF(F1086="","",IF(COUNTIF($F$2:F1086,F1086)&gt;1,"",SUMIFS(tbl_input[필요수량],tbl_input[집계키_센터],F1086)))</f>
        <v/>
      </c>
      <c r="F1086" t="str">
        <f>IFERROR(INDEX(tbl_input[집계키_센터],ROW()-1),"")</f>
        <v/>
      </c>
      <c r="G1086" t="str">
        <f t="shared" si="116"/>
        <v/>
      </c>
      <c r="H1086" t="str">
        <f t="shared" si="117"/>
        <v/>
      </c>
      <c r="I1086" t="str">
        <f t="shared" si="118"/>
        <v/>
      </c>
    </row>
    <row r="1087" spans="1:9" x14ac:dyDescent="0.4">
      <c r="A1087" t="str">
        <f t="shared" si="112"/>
        <v/>
      </c>
      <c r="B1087" t="str">
        <f t="shared" si="113"/>
        <v/>
      </c>
      <c r="C1087" t="str">
        <f t="shared" si="114"/>
        <v/>
      </c>
      <c r="D1087" t="str">
        <f t="shared" si="115"/>
        <v/>
      </c>
      <c r="E1087" t="str">
        <f>IF(F1087="","",IF(COUNTIF($F$2:F1087,F1087)&gt;1,"",SUMIFS(tbl_input[필요수량],tbl_input[집계키_센터],F1087)))</f>
        <v/>
      </c>
      <c r="F1087" t="str">
        <f>IFERROR(INDEX(tbl_input[집계키_센터],ROW()-1),"")</f>
        <v/>
      </c>
      <c r="G1087" t="str">
        <f t="shared" si="116"/>
        <v/>
      </c>
      <c r="H1087" t="str">
        <f t="shared" si="117"/>
        <v/>
      </c>
      <c r="I1087" t="str">
        <f t="shared" si="118"/>
        <v/>
      </c>
    </row>
    <row r="1088" spans="1:9" x14ac:dyDescent="0.4">
      <c r="A1088" t="str">
        <f t="shared" si="112"/>
        <v/>
      </c>
      <c r="B1088" t="str">
        <f t="shared" si="113"/>
        <v/>
      </c>
      <c r="C1088" t="str">
        <f t="shared" si="114"/>
        <v/>
      </c>
      <c r="D1088" t="str">
        <f t="shared" si="115"/>
        <v/>
      </c>
      <c r="E1088" t="str">
        <f>IF(F1088="","",IF(COUNTIF($F$2:F1088,F1088)&gt;1,"",SUMIFS(tbl_input[필요수량],tbl_input[집계키_센터],F1088)))</f>
        <v/>
      </c>
      <c r="F1088" t="str">
        <f>IFERROR(INDEX(tbl_input[집계키_센터],ROW()-1),"")</f>
        <v/>
      </c>
      <c r="G1088" t="str">
        <f t="shared" si="116"/>
        <v/>
      </c>
      <c r="H1088" t="str">
        <f t="shared" si="117"/>
        <v/>
      </c>
      <c r="I1088" t="str">
        <f t="shared" si="118"/>
        <v/>
      </c>
    </row>
    <row r="1089" spans="1:9" x14ac:dyDescent="0.4">
      <c r="A1089" t="str">
        <f t="shared" si="112"/>
        <v/>
      </c>
      <c r="B1089" t="str">
        <f t="shared" si="113"/>
        <v/>
      </c>
      <c r="C1089" t="str">
        <f t="shared" si="114"/>
        <v/>
      </c>
      <c r="D1089" t="str">
        <f t="shared" si="115"/>
        <v/>
      </c>
      <c r="E1089" t="str">
        <f>IF(F1089="","",IF(COUNTIF($F$2:F1089,F1089)&gt;1,"",SUMIFS(tbl_input[필요수량],tbl_input[집계키_센터],F1089)))</f>
        <v/>
      </c>
      <c r="F1089" t="str">
        <f>IFERROR(INDEX(tbl_input[집계키_센터],ROW()-1),"")</f>
        <v/>
      </c>
      <c r="G1089" t="str">
        <f t="shared" si="116"/>
        <v/>
      </c>
      <c r="H1089" t="str">
        <f t="shared" si="117"/>
        <v/>
      </c>
      <c r="I1089" t="str">
        <f t="shared" si="118"/>
        <v/>
      </c>
    </row>
    <row r="1090" spans="1:9" x14ac:dyDescent="0.4">
      <c r="A1090" t="str">
        <f t="shared" ref="A1090:A1153" si="119">IF(F1090="","",LEFT(F1090,G1090-1))</f>
        <v/>
      </c>
      <c r="B1090" t="str">
        <f t="shared" ref="B1090:B1153" si="120">IF(F1090="","",MID(F1090,G1090+1,H1090-G1090-1))</f>
        <v/>
      </c>
      <c r="C1090" t="str">
        <f t="shared" ref="C1090:C1153" si="121">IF(F1090="","",MID(F1090,H1090+1,I1090-H1090-1))</f>
        <v/>
      </c>
      <c r="D1090" t="str">
        <f t="shared" ref="D1090:D1153" si="122">IF(F1090="","",MID(F1090,I1090+1,999))</f>
        <v/>
      </c>
      <c r="E1090" t="str">
        <f>IF(F1090="","",IF(COUNTIF($F$2:F1090,F1090)&gt;1,"",SUMIFS(tbl_input[필요수량],tbl_input[집계키_센터],F1090)))</f>
        <v/>
      </c>
      <c r="F1090" t="str">
        <f>IFERROR(INDEX(tbl_input[집계키_센터],ROW()-1),"")</f>
        <v/>
      </c>
      <c r="G1090" t="str">
        <f t="shared" ref="G1090:G1153" si="123">IF(F1090="","",FIND("♦",F1090))</f>
        <v/>
      </c>
      <c r="H1090" t="str">
        <f t="shared" ref="H1090:H1153" si="124">IF(F1090="","",FIND("♦",F1090,G1090+1))</f>
        <v/>
      </c>
      <c r="I1090" t="str">
        <f t="shared" ref="I1090:I1153" si="125">IF(F1090="","",FIND("♦",F1090,H1090+1))</f>
        <v/>
      </c>
    </row>
    <row r="1091" spans="1:9" x14ac:dyDescent="0.4">
      <c r="A1091" t="str">
        <f t="shared" si="119"/>
        <v/>
      </c>
      <c r="B1091" t="str">
        <f t="shared" si="120"/>
        <v/>
      </c>
      <c r="C1091" t="str">
        <f t="shared" si="121"/>
        <v/>
      </c>
      <c r="D1091" t="str">
        <f t="shared" si="122"/>
        <v/>
      </c>
      <c r="E1091" t="str">
        <f>IF(F1091="","",IF(COUNTIF($F$2:F1091,F1091)&gt;1,"",SUMIFS(tbl_input[필요수량],tbl_input[집계키_센터],F1091)))</f>
        <v/>
      </c>
      <c r="F1091" t="str">
        <f>IFERROR(INDEX(tbl_input[집계키_센터],ROW()-1),"")</f>
        <v/>
      </c>
      <c r="G1091" t="str">
        <f t="shared" si="123"/>
        <v/>
      </c>
      <c r="H1091" t="str">
        <f t="shared" si="124"/>
        <v/>
      </c>
      <c r="I1091" t="str">
        <f t="shared" si="125"/>
        <v/>
      </c>
    </row>
    <row r="1092" spans="1:9" x14ac:dyDescent="0.4">
      <c r="A1092" t="str">
        <f t="shared" si="119"/>
        <v/>
      </c>
      <c r="B1092" t="str">
        <f t="shared" si="120"/>
        <v/>
      </c>
      <c r="C1092" t="str">
        <f t="shared" si="121"/>
        <v/>
      </c>
      <c r="D1092" t="str">
        <f t="shared" si="122"/>
        <v/>
      </c>
      <c r="E1092" t="str">
        <f>IF(F1092="","",IF(COUNTIF($F$2:F1092,F1092)&gt;1,"",SUMIFS(tbl_input[필요수량],tbl_input[집계키_센터],F1092)))</f>
        <v/>
      </c>
      <c r="F1092" t="str">
        <f>IFERROR(INDEX(tbl_input[집계키_센터],ROW()-1),"")</f>
        <v/>
      </c>
      <c r="G1092" t="str">
        <f t="shared" si="123"/>
        <v/>
      </c>
      <c r="H1092" t="str">
        <f t="shared" si="124"/>
        <v/>
      </c>
      <c r="I1092" t="str">
        <f t="shared" si="125"/>
        <v/>
      </c>
    </row>
    <row r="1093" spans="1:9" x14ac:dyDescent="0.4">
      <c r="A1093" t="str">
        <f t="shared" si="119"/>
        <v/>
      </c>
      <c r="B1093" t="str">
        <f t="shared" si="120"/>
        <v/>
      </c>
      <c r="C1093" t="str">
        <f t="shared" si="121"/>
        <v/>
      </c>
      <c r="D1093" t="str">
        <f t="shared" si="122"/>
        <v/>
      </c>
      <c r="E1093" t="str">
        <f>IF(F1093="","",IF(COUNTIF($F$2:F1093,F1093)&gt;1,"",SUMIFS(tbl_input[필요수량],tbl_input[집계키_센터],F1093)))</f>
        <v/>
      </c>
      <c r="F1093" t="str">
        <f>IFERROR(INDEX(tbl_input[집계키_센터],ROW()-1),"")</f>
        <v/>
      </c>
      <c r="G1093" t="str">
        <f t="shared" si="123"/>
        <v/>
      </c>
      <c r="H1093" t="str">
        <f t="shared" si="124"/>
        <v/>
      </c>
      <c r="I1093" t="str">
        <f t="shared" si="125"/>
        <v/>
      </c>
    </row>
    <row r="1094" spans="1:9" x14ac:dyDescent="0.4">
      <c r="A1094" t="str">
        <f t="shared" si="119"/>
        <v/>
      </c>
      <c r="B1094" t="str">
        <f t="shared" si="120"/>
        <v/>
      </c>
      <c r="C1094" t="str">
        <f t="shared" si="121"/>
        <v/>
      </c>
      <c r="D1094" t="str">
        <f t="shared" si="122"/>
        <v/>
      </c>
      <c r="E1094" t="str">
        <f>IF(F1094="","",IF(COUNTIF($F$2:F1094,F1094)&gt;1,"",SUMIFS(tbl_input[필요수량],tbl_input[집계키_센터],F1094)))</f>
        <v/>
      </c>
      <c r="F1094" t="str">
        <f>IFERROR(INDEX(tbl_input[집계키_센터],ROW()-1),"")</f>
        <v/>
      </c>
      <c r="G1094" t="str">
        <f t="shared" si="123"/>
        <v/>
      </c>
      <c r="H1094" t="str">
        <f t="shared" si="124"/>
        <v/>
      </c>
      <c r="I1094" t="str">
        <f t="shared" si="125"/>
        <v/>
      </c>
    </row>
    <row r="1095" spans="1:9" x14ac:dyDescent="0.4">
      <c r="A1095" t="str">
        <f t="shared" si="119"/>
        <v/>
      </c>
      <c r="B1095" t="str">
        <f t="shared" si="120"/>
        <v/>
      </c>
      <c r="C1095" t="str">
        <f t="shared" si="121"/>
        <v/>
      </c>
      <c r="D1095" t="str">
        <f t="shared" si="122"/>
        <v/>
      </c>
      <c r="E1095" t="str">
        <f>IF(F1095="","",IF(COUNTIF($F$2:F1095,F1095)&gt;1,"",SUMIFS(tbl_input[필요수량],tbl_input[집계키_센터],F1095)))</f>
        <v/>
      </c>
      <c r="F1095" t="str">
        <f>IFERROR(INDEX(tbl_input[집계키_센터],ROW()-1),"")</f>
        <v/>
      </c>
      <c r="G1095" t="str">
        <f t="shared" si="123"/>
        <v/>
      </c>
      <c r="H1095" t="str">
        <f t="shared" si="124"/>
        <v/>
      </c>
      <c r="I1095" t="str">
        <f t="shared" si="125"/>
        <v/>
      </c>
    </row>
    <row r="1096" spans="1:9" x14ac:dyDescent="0.4">
      <c r="A1096" t="str">
        <f t="shared" si="119"/>
        <v/>
      </c>
      <c r="B1096" t="str">
        <f t="shared" si="120"/>
        <v/>
      </c>
      <c r="C1096" t="str">
        <f t="shared" si="121"/>
        <v/>
      </c>
      <c r="D1096" t="str">
        <f t="shared" si="122"/>
        <v/>
      </c>
      <c r="E1096" t="str">
        <f>IF(F1096="","",IF(COUNTIF($F$2:F1096,F1096)&gt;1,"",SUMIFS(tbl_input[필요수량],tbl_input[집계키_센터],F1096)))</f>
        <v/>
      </c>
      <c r="F1096" t="str">
        <f>IFERROR(INDEX(tbl_input[집계키_센터],ROW()-1),"")</f>
        <v/>
      </c>
      <c r="G1096" t="str">
        <f t="shared" si="123"/>
        <v/>
      </c>
      <c r="H1096" t="str">
        <f t="shared" si="124"/>
        <v/>
      </c>
      <c r="I1096" t="str">
        <f t="shared" si="125"/>
        <v/>
      </c>
    </row>
    <row r="1097" spans="1:9" x14ac:dyDescent="0.4">
      <c r="A1097" t="str">
        <f t="shared" si="119"/>
        <v/>
      </c>
      <c r="B1097" t="str">
        <f t="shared" si="120"/>
        <v/>
      </c>
      <c r="C1097" t="str">
        <f t="shared" si="121"/>
        <v/>
      </c>
      <c r="D1097" t="str">
        <f t="shared" si="122"/>
        <v/>
      </c>
      <c r="E1097" t="str">
        <f>IF(F1097="","",IF(COUNTIF($F$2:F1097,F1097)&gt;1,"",SUMIFS(tbl_input[필요수량],tbl_input[집계키_센터],F1097)))</f>
        <v/>
      </c>
      <c r="F1097" t="str">
        <f>IFERROR(INDEX(tbl_input[집계키_센터],ROW()-1),"")</f>
        <v/>
      </c>
      <c r="G1097" t="str">
        <f t="shared" si="123"/>
        <v/>
      </c>
      <c r="H1097" t="str">
        <f t="shared" si="124"/>
        <v/>
      </c>
      <c r="I1097" t="str">
        <f t="shared" si="125"/>
        <v/>
      </c>
    </row>
    <row r="1098" spans="1:9" x14ac:dyDescent="0.4">
      <c r="A1098" t="str">
        <f t="shared" si="119"/>
        <v/>
      </c>
      <c r="B1098" t="str">
        <f t="shared" si="120"/>
        <v/>
      </c>
      <c r="C1098" t="str">
        <f t="shared" si="121"/>
        <v/>
      </c>
      <c r="D1098" t="str">
        <f t="shared" si="122"/>
        <v/>
      </c>
      <c r="E1098" t="str">
        <f>IF(F1098="","",IF(COUNTIF($F$2:F1098,F1098)&gt;1,"",SUMIFS(tbl_input[필요수량],tbl_input[집계키_센터],F1098)))</f>
        <v/>
      </c>
      <c r="F1098" t="str">
        <f>IFERROR(INDEX(tbl_input[집계키_센터],ROW()-1),"")</f>
        <v/>
      </c>
      <c r="G1098" t="str">
        <f t="shared" si="123"/>
        <v/>
      </c>
      <c r="H1098" t="str">
        <f t="shared" si="124"/>
        <v/>
      </c>
      <c r="I1098" t="str">
        <f t="shared" si="125"/>
        <v/>
      </c>
    </row>
    <row r="1099" spans="1:9" x14ac:dyDescent="0.4">
      <c r="A1099" t="str">
        <f t="shared" si="119"/>
        <v/>
      </c>
      <c r="B1099" t="str">
        <f t="shared" si="120"/>
        <v/>
      </c>
      <c r="C1099" t="str">
        <f t="shared" si="121"/>
        <v/>
      </c>
      <c r="D1099" t="str">
        <f t="shared" si="122"/>
        <v/>
      </c>
      <c r="E1099" t="str">
        <f>IF(F1099="","",IF(COUNTIF($F$2:F1099,F1099)&gt;1,"",SUMIFS(tbl_input[필요수량],tbl_input[집계키_센터],F1099)))</f>
        <v/>
      </c>
      <c r="F1099" t="str">
        <f>IFERROR(INDEX(tbl_input[집계키_센터],ROW()-1),"")</f>
        <v/>
      </c>
      <c r="G1099" t="str">
        <f t="shared" si="123"/>
        <v/>
      </c>
      <c r="H1099" t="str">
        <f t="shared" si="124"/>
        <v/>
      </c>
      <c r="I1099" t="str">
        <f t="shared" si="125"/>
        <v/>
      </c>
    </row>
    <row r="1100" spans="1:9" x14ac:dyDescent="0.4">
      <c r="A1100" t="str">
        <f t="shared" si="119"/>
        <v/>
      </c>
      <c r="B1100" t="str">
        <f t="shared" si="120"/>
        <v/>
      </c>
      <c r="C1100" t="str">
        <f t="shared" si="121"/>
        <v/>
      </c>
      <c r="D1100" t="str">
        <f t="shared" si="122"/>
        <v/>
      </c>
      <c r="E1100" t="str">
        <f>IF(F1100="","",IF(COUNTIF($F$2:F1100,F1100)&gt;1,"",SUMIFS(tbl_input[필요수량],tbl_input[집계키_센터],F1100)))</f>
        <v/>
      </c>
      <c r="F1100" t="str">
        <f>IFERROR(INDEX(tbl_input[집계키_센터],ROW()-1),"")</f>
        <v/>
      </c>
      <c r="G1100" t="str">
        <f t="shared" si="123"/>
        <v/>
      </c>
      <c r="H1100" t="str">
        <f t="shared" si="124"/>
        <v/>
      </c>
      <c r="I1100" t="str">
        <f t="shared" si="125"/>
        <v/>
      </c>
    </row>
    <row r="1101" spans="1:9" x14ac:dyDescent="0.4">
      <c r="A1101" t="str">
        <f t="shared" si="119"/>
        <v/>
      </c>
      <c r="B1101" t="str">
        <f t="shared" si="120"/>
        <v/>
      </c>
      <c r="C1101" t="str">
        <f t="shared" si="121"/>
        <v/>
      </c>
      <c r="D1101" t="str">
        <f t="shared" si="122"/>
        <v/>
      </c>
      <c r="E1101" t="str">
        <f>IF(F1101="","",IF(COUNTIF($F$2:F1101,F1101)&gt;1,"",SUMIFS(tbl_input[필요수량],tbl_input[집계키_센터],F1101)))</f>
        <v/>
      </c>
      <c r="F1101" t="str">
        <f>IFERROR(INDEX(tbl_input[집계키_센터],ROW()-1),"")</f>
        <v/>
      </c>
      <c r="G1101" t="str">
        <f t="shared" si="123"/>
        <v/>
      </c>
      <c r="H1101" t="str">
        <f t="shared" si="124"/>
        <v/>
      </c>
      <c r="I1101" t="str">
        <f t="shared" si="125"/>
        <v/>
      </c>
    </row>
    <row r="1102" spans="1:9" x14ac:dyDescent="0.4">
      <c r="A1102" t="str">
        <f t="shared" si="119"/>
        <v/>
      </c>
      <c r="B1102" t="str">
        <f t="shared" si="120"/>
        <v/>
      </c>
      <c r="C1102" t="str">
        <f t="shared" si="121"/>
        <v/>
      </c>
      <c r="D1102" t="str">
        <f t="shared" si="122"/>
        <v/>
      </c>
      <c r="E1102" t="str">
        <f>IF(F1102="","",IF(COUNTIF($F$2:F1102,F1102)&gt;1,"",SUMIFS(tbl_input[필요수량],tbl_input[집계키_센터],F1102)))</f>
        <v/>
      </c>
      <c r="F1102" t="str">
        <f>IFERROR(INDEX(tbl_input[집계키_센터],ROW()-1),"")</f>
        <v/>
      </c>
      <c r="G1102" t="str">
        <f t="shared" si="123"/>
        <v/>
      </c>
      <c r="H1102" t="str">
        <f t="shared" si="124"/>
        <v/>
      </c>
      <c r="I1102" t="str">
        <f t="shared" si="125"/>
        <v/>
      </c>
    </row>
    <row r="1103" spans="1:9" x14ac:dyDescent="0.4">
      <c r="A1103" t="str">
        <f t="shared" si="119"/>
        <v/>
      </c>
      <c r="B1103" t="str">
        <f t="shared" si="120"/>
        <v/>
      </c>
      <c r="C1103" t="str">
        <f t="shared" si="121"/>
        <v/>
      </c>
      <c r="D1103" t="str">
        <f t="shared" si="122"/>
        <v/>
      </c>
      <c r="E1103" t="str">
        <f>IF(F1103="","",IF(COUNTIF($F$2:F1103,F1103)&gt;1,"",SUMIFS(tbl_input[필요수량],tbl_input[집계키_센터],F1103)))</f>
        <v/>
      </c>
      <c r="F1103" t="str">
        <f>IFERROR(INDEX(tbl_input[집계키_센터],ROW()-1),"")</f>
        <v/>
      </c>
      <c r="G1103" t="str">
        <f t="shared" si="123"/>
        <v/>
      </c>
      <c r="H1103" t="str">
        <f t="shared" si="124"/>
        <v/>
      </c>
      <c r="I1103" t="str">
        <f t="shared" si="125"/>
        <v/>
      </c>
    </row>
    <row r="1104" spans="1:9" x14ac:dyDescent="0.4">
      <c r="A1104" t="str">
        <f t="shared" si="119"/>
        <v/>
      </c>
      <c r="B1104" t="str">
        <f t="shared" si="120"/>
        <v/>
      </c>
      <c r="C1104" t="str">
        <f t="shared" si="121"/>
        <v/>
      </c>
      <c r="D1104" t="str">
        <f t="shared" si="122"/>
        <v/>
      </c>
      <c r="E1104" t="str">
        <f>IF(F1104="","",IF(COUNTIF($F$2:F1104,F1104)&gt;1,"",SUMIFS(tbl_input[필요수량],tbl_input[집계키_센터],F1104)))</f>
        <v/>
      </c>
      <c r="F1104" t="str">
        <f>IFERROR(INDEX(tbl_input[집계키_센터],ROW()-1),"")</f>
        <v/>
      </c>
      <c r="G1104" t="str">
        <f t="shared" si="123"/>
        <v/>
      </c>
      <c r="H1104" t="str">
        <f t="shared" si="124"/>
        <v/>
      </c>
      <c r="I1104" t="str">
        <f t="shared" si="125"/>
        <v/>
      </c>
    </row>
    <row r="1105" spans="1:9" x14ac:dyDescent="0.4">
      <c r="A1105" t="str">
        <f t="shared" si="119"/>
        <v/>
      </c>
      <c r="B1105" t="str">
        <f t="shared" si="120"/>
        <v/>
      </c>
      <c r="C1105" t="str">
        <f t="shared" si="121"/>
        <v/>
      </c>
      <c r="D1105" t="str">
        <f t="shared" si="122"/>
        <v/>
      </c>
      <c r="E1105" t="str">
        <f>IF(F1105="","",IF(COUNTIF($F$2:F1105,F1105)&gt;1,"",SUMIFS(tbl_input[필요수량],tbl_input[집계키_센터],F1105)))</f>
        <v/>
      </c>
      <c r="F1105" t="str">
        <f>IFERROR(INDEX(tbl_input[집계키_센터],ROW()-1),"")</f>
        <v/>
      </c>
      <c r="G1105" t="str">
        <f t="shared" si="123"/>
        <v/>
      </c>
      <c r="H1105" t="str">
        <f t="shared" si="124"/>
        <v/>
      </c>
      <c r="I1105" t="str">
        <f t="shared" si="125"/>
        <v/>
      </c>
    </row>
    <row r="1106" spans="1:9" x14ac:dyDescent="0.4">
      <c r="A1106" t="str">
        <f t="shared" si="119"/>
        <v/>
      </c>
      <c r="B1106" t="str">
        <f t="shared" si="120"/>
        <v/>
      </c>
      <c r="C1106" t="str">
        <f t="shared" si="121"/>
        <v/>
      </c>
      <c r="D1106" t="str">
        <f t="shared" si="122"/>
        <v/>
      </c>
      <c r="E1106" t="str">
        <f>IF(F1106="","",IF(COUNTIF($F$2:F1106,F1106)&gt;1,"",SUMIFS(tbl_input[필요수량],tbl_input[집계키_센터],F1106)))</f>
        <v/>
      </c>
      <c r="F1106" t="str">
        <f>IFERROR(INDEX(tbl_input[집계키_센터],ROW()-1),"")</f>
        <v/>
      </c>
      <c r="G1106" t="str">
        <f t="shared" si="123"/>
        <v/>
      </c>
      <c r="H1106" t="str">
        <f t="shared" si="124"/>
        <v/>
      </c>
      <c r="I1106" t="str">
        <f t="shared" si="125"/>
        <v/>
      </c>
    </row>
    <row r="1107" spans="1:9" x14ac:dyDescent="0.4">
      <c r="A1107" t="str">
        <f t="shared" si="119"/>
        <v/>
      </c>
      <c r="B1107" t="str">
        <f t="shared" si="120"/>
        <v/>
      </c>
      <c r="C1107" t="str">
        <f t="shared" si="121"/>
        <v/>
      </c>
      <c r="D1107" t="str">
        <f t="shared" si="122"/>
        <v/>
      </c>
      <c r="E1107" t="str">
        <f>IF(F1107="","",IF(COUNTIF($F$2:F1107,F1107)&gt;1,"",SUMIFS(tbl_input[필요수량],tbl_input[집계키_센터],F1107)))</f>
        <v/>
      </c>
      <c r="F1107" t="str">
        <f>IFERROR(INDEX(tbl_input[집계키_센터],ROW()-1),"")</f>
        <v/>
      </c>
      <c r="G1107" t="str">
        <f t="shared" si="123"/>
        <v/>
      </c>
      <c r="H1107" t="str">
        <f t="shared" si="124"/>
        <v/>
      </c>
      <c r="I1107" t="str">
        <f t="shared" si="125"/>
        <v/>
      </c>
    </row>
    <row r="1108" spans="1:9" x14ac:dyDescent="0.4">
      <c r="A1108" t="str">
        <f t="shared" si="119"/>
        <v/>
      </c>
      <c r="B1108" t="str">
        <f t="shared" si="120"/>
        <v/>
      </c>
      <c r="C1108" t="str">
        <f t="shared" si="121"/>
        <v/>
      </c>
      <c r="D1108" t="str">
        <f t="shared" si="122"/>
        <v/>
      </c>
      <c r="E1108" t="str">
        <f>IF(F1108="","",IF(COUNTIF($F$2:F1108,F1108)&gt;1,"",SUMIFS(tbl_input[필요수량],tbl_input[집계키_센터],F1108)))</f>
        <v/>
      </c>
      <c r="F1108" t="str">
        <f>IFERROR(INDEX(tbl_input[집계키_센터],ROW()-1),"")</f>
        <v/>
      </c>
      <c r="G1108" t="str">
        <f t="shared" si="123"/>
        <v/>
      </c>
      <c r="H1108" t="str">
        <f t="shared" si="124"/>
        <v/>
      </c>
      <c r="I1108" t="str">
        <f t="shared" si="125"/>
        <v/>
      </c>
    </row>
    <row r="1109" spans="1:9" x14ac:dyDescent="0.4">
      <c r="A1109" t="str">
        <f t="shared" si="119"/>
        <v/>
      </c>
      <c r="B1109" t="str">
        <f t="shared" si="120"/>
        <v/>
      </c>
      <c r="C1109" t="str">
        <f t="shared" si="121"/>
        <v/>
      </c>
      <c r="D1109" t="str">
        <f t="shared" si="122"/>
        <v/>
      </c>
      <c r="E1109" t="str">
        <f>IF(F1109="","",IF(COUNTIF($F$2:F1109,F1109)&gt;1,"",SUMIFS(tbl_input[필요수량],tbl_input[집계키_센터],F1109)))</f>
        <v/>
      </c>
      <c r="F1109" t="str">
        <f>IFERROR(INDEX(tbl_input[집계키_센터],ROW()-1),"")</f>
        <v/>
      </c>
      <c r="G1109" t="str">
        <f t="shared" si="123"/>
        <v/>
      </c>
      <c r="H1109" t="str">
        <f t="shared" si="124"/>
        <v/>
      </c>
      <c r="I1109" t="str">
        <f t="shared" si="125"/>
        <v/>
      </c>
    </row>
    <row r="1110" spans="1:9" x14ac:dyDescent="0.4">
      <c r="A1110" t="str">
        <f t="shared" si="119"/>
        <v/>
      </c>
      <c r="B1110" t="str">
        <f t="shared" si="120"/>
        <v/>
      </c>
      <c r="C1110" t="str">
        <f t="shared" si="121"/>
        <v/>
      </c>
      <c r="D1110" t="str">
        <f t="shared" si="122"/>
        <v/>
      </c>
      <c r="E1110" t="str">
        <f>IF(F1110="","",IF(COUNTIF($F$2:F1110,F1110)&gt;1,"",SUMIFS(tbl_input[필요수량],tbl_input[집계키_센터],F1110)))</f>
        <v/>
      </c>
      <c r="F1110" t="str">
        <f>IFERROR(INDEX(tbl_input[집계키_센터],ROW()-1),"")</f>
        <v/>
      </c>
      <c r="G1110" t="str">
        <f t="shared" si="123"/>
        <v/>
      </c>
      <c r="H1110" t="str">
        <f t="shared" si="124"/>
        <v/>
      </c>
      <c r="I1110" t="str">
        <f t="shared" si="125"/>
        <v/>
      </c>
    </row>
    <row r="1111" spans="1:9" x14ac:dyDescent="0.4">
      <c r="A1111" t="str">
        <f t="shared" si="119"/>
        <v/>
      </c>
      <c r="B1111" t="str">
        <f t="shared" si="120"/>
        <v/>
      </c>
      <c r="C1111" t="str">
        <f t="shared" si="121"/>
        <v/>
      </c>
      <c r="D1111" t="str">
        <f t="shared" si="122"/>
        <v/>
      </c>
      <c r="E1111" t="str">
        <f>IF(F1111="","",IF(COUNTIF($F$2:F1111,F1111)&gt;1,"",SUMIFS(tbl_input[필요수량],tbl_input[집계키_센터],F1111)))</f>
        <v/>
      </c>
      <c r="F1111" t="str">
        <f>IFERROR(INDEX(tbl_input[집계키_센터],ROW()-1),"")</f>
        <v/>
      </c>
      <c r="G1111" t="str">
        <f t="shared" si="123"/>
        <v/>
      </c>
      <c r="H1111" t="str">
        <f t="shared" si="124"/>
        <v/>
      </c>
      <c r="I1111" t="str">
        <f t="shared" si="125"/>
        <v/>
      </c>
    </row>
    <row r="1112" spans="1:9" x14ac:dyDescent="0.4">
      <c r="A1112" t="str">
        <f t="shared" si="119"/>
        <v/>
      </c>
      <c r="B1112" t="str">
        <f t="shared" si="120"/>
        <v/>
      </c>
      <c r="C1112" t="str">
        <f t="shared" si="121"/>
        <v/>
      </c>
      <c r="D1112" t="str">
        <f t="shared" si="122"/>
        <v/>
      </c>
      <c r="E1112" t="str">
        <f>IF(F1112="","",IF(COUNTIF($F$2:F1112,F1112)&gt;1,"",SUMIFS(tbl_input[필요수량],tbl_input[집계키_센터],F1112)))</f>
        <v/>
      </c>
      <c r="F1112" t="str">
        <f>IFERROR(INDEX(tbl_input[집계키_센터],ROW()-1),"")</f>
        <v/>
      </c>
      <c r="G1112" t="str">
        <f t="shared" si="123"/>
        <v/>
      </c>
      <c r="H1112" t="str">
        <f t="shared" si="124"/>
        <v/>
      </c>
      <c r="I1112" t="str">
        <f t="shared" si="125"/>
        <v/>
      </c>
    </row>
    <row r="1113" spans="1:9" x14ac:dyDescent="0.4">
      <c r="A1113" t="str">
        <f t="shared" si="119"/>
        <v/>
      </c>
      <c r="B1113" t="str">
        <f t="shared" si="120"/>
        <v/>
      </c>
      <c r="C1113" t="str">
        <f t="shared" si="121"/>
        <v/>
      </c>
      <c r="D1113" t="str">
        <f t="shared" si="122"/>
        <v/>
      </c>
      <c r="E1113" t="str">
        <f>IF(F1113="","",IF(COUNTIF($F$2:F1113,F1113)&gt;1,"",SUMIFS(tbl_input[필요수량],tbl_input[집계키_센터],F1113)))</f>
        <v/>
      </c>
      <c r="F1113" t="str">
        <f>IFERROR(INDEX(tbl_input[집계키_센터],ROW()-1),"")</f>
        <v/>
      </c>
      <c r="G1113" t="str">
        <f t="shared" si="123"/>
        <v/>
      </c>
      <c r="H1113" t="str">
        <f t="shared" si="124"/>
        <v/>
      </c>
      <c r="I1113" t="str">
        <f t="shared" si="125"/>
        <v/>
      </c>
    </row>
    <row r="1114" spans="1:9" x14ac:dyDescent="0.4">
      <c r="A1114" t="str">
        <f t="shared" si="119"/>
        <v/>
      </c>
      <c r="B1114" t="str">
        <f t="shared" si="120"/>
        <v/>
      </c>
      <c r="C1114" t="str">
        <f t="shared" si="121"/>
        <v/>
      </c>
      <c r="D1114" t="str">
        <f t="shared" si="122"/>
        <v/>
      </c>
      <c r="E1114" t="str">
        <f>IF(F1114="","",IF(COUNTIF($F$2:F1114,F1114)&gt;1,"",SUMIFS(tbl_input[필요수량],tbl_input[집계키_센터],F1114)))</f>
        <v/>
      </c>
      <c r="F1114" t="str">
        <f>IFERROR(INDEX(tbl_input[집계키_센터],ROW()-1),"")</f>
        <v/>
      </c>
      <c r="G1114" t="str">
        <f t="shared" si="123"/>
        <v/>
      </c>
      <c r="H1114" t="str">
        <f t="shared" si="124"/>
        <v/>
      </c>
      <c r="I1114" t="str">
        <f t="shared" si="125"/>
        <v/>
      </c>
    </row>
    <row r="1115" spans="1:9" x14ac:dyDescent="0.4">
      <c r="A1115" t="str">
        <f t="shared" si="119"/>
        <v/>
      </c>
      <c r="B1115" t="str">
        <f t="shared" si="120"/>
        <v/>
      </c>
      <c r="C1115" t="str">
        <f t="shared" si="121"/>
        <v/>
      </c>
      <c r="D1115" t="str">
        <f t="shared" si="122"/>
        <v/>
      </c>
      <c r="E1115" t="str">
        <f>IF(F1115="","",IF(COUNTIF($F$2:F1115,F1115)&gt;1,"",SUMIFS(tbl_input[필요수량],tbl_input[집계키_센터],F1115)))</f>
        <v/>
      </c>
      <c r="F1115" t="str">
        <f>IFERROR(INDEX(tbl_input[집계키_센터],ROW()-1),"")</f>
        <v/>
      </c>
      <c r="G1115" t="str">
        <f t="shared" si="123"/>
        <v/>
      </c>
      <c r="H1115" t="str">
        <f t="shared" si="124"/>
        <v/>
      </c>
      <c r="I1115" t="str">
        <f t="shared" si="125"/>
        <v/>
      </c>
    </row>
    <row r="1116" spans="1:9" x14ac:dyDescent="0.4">
      <c r="A1116" t="str">
        <f t="shared" si="119"/>
        <v/>
      </c>
      <c r="B1116" t="str">
        <f t="shared" si="120"/>
        <v/>
      </c>
      <c r="C1116" t="str">
        <f t="shared" si="121"/>
        <v/>
      </c>
      <c r="D1116" t="str">
        <f t="shared" si="122"/>
        <v/>
      </c>
      <c r="E1116" t="str">
        <f>IF(F1116="","",IF(COUNTIF($F$2:F1116,F1116)&gt;1,"",SUMIFS(tbl_input[필요수량],tbl_input[집계키_센터],F1116)))</f>
        <v/>
      </c>
      <c r="F1116" t="str">
        <f>IFERROR(INDEX(tbl_input[집계키_센터],ROW()-1),"")</f>
        <v/>
      </c>
      <c r="G1116" t="str">
        <f t="shared" si="123"/>
        <v/>
      </c>
      <c r="H1116" t="str">
        <f t="shared" si="124"/>
        <v/>
      </c>
      <c r="I1116" t="str">
        <f t="shared" si="125"/>
        <v/>
      </c>
    </row>
    <row r="1117" spans="1:9" x14ac:dyDescent="0.4">
      <c r="A1117" t="str">
        <f t="shared" si="119"/>
        <v/>
      </c>
      <c r="B1117" t="str">
        <f t="shared" si="120"/>
        <v/>
      </c>
      <c r="C1117" t="str">
        <f t="shared" si="121"/>
        <v/>
      </c>
      <c r="D1117" t="str">
        <f t="shared" si="122"/>
        <v/>
      </c>
      <c r="E1117" t="str">
        <f>IF(F1117="","",IF(COUNTIF($F$2:F1117,F1117)&gt;1,"",SUMIFS(tbl_input[필요수량],tbl_input[집계키_센터],F1117)))</f>
        <v/>
      </c>
      <c r="F1117" t="str">
        <f>IFERROR(INDEX(tbl_input[집계키_센터],ROW()-1),"")</f>
        <v/>
      </c>
      <c r="G1117" t="str">
        <f t="shared" si="123"/>
        <v/>
      </c>
      <c r="H1117" t="str">
        <f t="shared" si="124"/>
        <v/>
      </c>
      <c r="I1117" t="str">
        <f t="shared" si="125"/>
        <v/>
      </c>
    </row>
    <row r="1118" spans="1:9" x14ac:dyDescent="0.4">
      <c r="A1118" t="str">
        <f t="shared" si="119"/>
        <v/>
      </c>
      <c r="B1118" t="str">
        <f t="shared" si="120"/>
        <v/>
      </c>
      <c r="C1118" t="str">
        <f t="shared" si="121"/>
        <v/>
      </c>
      <c r="D1118" t="str">
        <f t="shared" si="122"/>
        <v/>
      </c>
      <c r="E1118" t="str">
        <f>IF(F1118="","",IF(COUNTIF($F$2:F1118,F1118)&gt;1,"",SUMIFS(tbl_input[필요수량],tbl_input[집계키_센터],F1118)))</f>
        <v/>
      </c>
      <c r="F1118" t="str">
        <f>IFERROR(INDEX(tbl_input[집계키_센터],ROW()-1),"")</f>
        <v/>
      </c>
      <c r="G1118" t="str">
        <f t="shared" si="123"/>
        <v/>
      </c>
      <c r="H1118" t="str">
        <f t="shared" si="124"/>
        <v/>
      </c>
      <c r="I1118" t="str">
        <f t="shared" si="125"/>
        <v/>
      </c>
    </row>
    <row r="1119" spans="1:9" x14ac:dyDescent="0.4">
      <c r="A1119" t="str">
        <f t="shared" si="119"/>
        <v/>
      </c>
      <c r="B1119" t="str">
        <f t="shared" si="120"/>
        <v/>
      </c>
      <c r="C1119" t="str">
        <f t="shared" si="121"/>
        <v/>
      </c>
      <c r="D1119" t="str">
        <f t="shared" si="122"/>
        <v/>
      </c>
      <c r="E1119" t="str">
        <f>IF(F1119="","",IF(COUNTIF($F$2:F1119,F1119)&gt;1,"",SUMIFS(tbl_input[필요수량],tbl_input[집계키_센터],F1119)))</f>
        <v/>
      </c>
      <c r="F1119" t="str">
        <f>IFERROR(INDEX(tbl_input[집계키_센터],ROW()-1),"")</f>
        <v/>
      </c>
      <c r="G1119" t="str">
        <f t="shared" si="123"/>
        <v/>
      </c>
      <c r="H1119" t="str">
        <f t="shared" si="124"/>
        <v/>
      </c>
      <c r="I1119" t="str">
        <f t="shared" si="125"/>
        <v/>
      </c>
    </row>
    <row r="1120" spans="1:9" x14ac:dyDescent="0.4">
      <c r="A1120" t="str">
        <f t="shared" si="119"/>
        <v/>
      </c>
      <c r="B1120" t="str">
        <f t="shared" si="120"/>
        <v/>
      </c>
      <c r="C1120" t="str">
        <f t="shared" si="121"/>
        <v/>
      </c>
      <c r="D1120" t="str">
        <f t="shared" si="122"/>
        <v/>
      </c>
      <c r="E1120" t="str">
        <f>IF(F1120="","",IF(COUNTIF($F$2:F1120,F1120)&gt;1,"",SUMIFS(tbl_input[필요수량],tbl_input[집계키_센터],F1120)))</f>
        <v/>
      </c>
      <c r="F1120" t="str">
        <f>IFERROR(INDEX(tbl_input[집계키_센터],ROW()-1),"")</f>
        <v/>
      </c>
      <c r="G1120" t="str">
        <f t="shared" si="123"/>
        <v/>
      </c>
      <c r="H1120" t="str">
        <f t="shared" si="124"/>
        <v/>
      </c>
      <c r="I1120" t="str">
        <f t="shared" si="125"/>
        <v/>
      </c>
    </row>
    <row r="1121" spans="1:9" x14ac:dyDescent="0.4">
      <c r="A1121" t="str">
        <f t="shared" si="119"/>
        <v/>
      </c>
      <c r="B1121" t="str">
        <f t="shared" si="120"/>
        <v/>
      </c>
      <c r="C1121" t="str">
        <f t="shared" si="121"/>
        <v/>
      </c>
      <c r="D1121" t="str">
        <f t="shared" si="122"/>
        <v/>
      </c>
      <c r="E1121" t="str">
        <f>IF(F1121="","",IF(COUNTIF($F$2:F1121,F1121)&gt;1,"",SUMIFS(tbl_input[필요수량],tbl_input[집계키_센터],F1121)))</f>
        <v/>
      </c>
      <c r="F1121" t="str">
        <f>IFERROR(INDEX(tbl_input[집계키_센터],ROW()-1),"")</f>
        <v/>
      </c>
      <c r="G1121" t="str">
        <f t="shared" si="123"/>
        <v/>
      </c>
      <c r="H1121" t="str">
        <f t="shared" si="124"/>
        <v/>
      </c>
      <c r="I1121" t="str">
        <f t="shared" si="125"/>
        <v/>
      </c>
    </row>
    <row r="1122" spans="1:9" x14ac:dyDescent="0.4">
      <c r="A1122" t="str">
        <f t="shared" si="119"/>
        <v/>
      </c>
      <c r="B1122" t="str">
        <f t="shared" si="120"/>
        <v/>
      </c>
      <c r="C1122" t="str">
        <f t="shared" si="121"/>
        <v/>
      </c>
      <c r="D1122" t="str">
        <f t="shared" si="122"/>
        <v/>
      </c>
      <c r="E1122" t="str">
        <f>IF(F1122="","",IF(COUNTIF($F$2:F1122,F1122)&gt;1,"",SUMIFS(tbl_input[필요수량],tbl_input[집계키_센터],F1122)))</f>
        <v/>
      </c>
      <c r="F1122" t="str">
        <f>IFERROR(INDEX(tbl_input[집계키_센터],ROW()-1),"")</f>
        <v/>
      </c>
      <c r="G1122" t="str">
        <f t="shared" si="123"/>
        <v/>
      </c>
      <c r="H1122" t="str">
        <f t="shared" si="124"/>
        <v/>
      </c>
      <c r="I1122" t="str">
        <f t="shared" si="125"/>
        <v/>
      </c>
    </row>
    <row r="1123" spans="1:9" x14ac:dyDescent="0.4">
      <c r="A1123" t="str">
        <f t="shared" si="119"/>
        <v/>
      </c>
      <c r="B1123" t="str">
        <f t="shared" si="120"/>
        <v/>
      </c>
      <c r="C1123" t="str">
        <f t="shared" si="121"/>
        <v/>
      </c>
      <c r="D1123" t="str">
        <f t="shared" si="122"/>
        <v/>
      </c>
      <c r="E1123" t="str">
        <f>IF(F1123="","",IF(COUNTIF($F$2:F1123,F1123)&gt;1,"",SUMIFS(tbl_input[필요수량],tbl_input[집계키_센터],F1123)))</f>
        <v/>
      </c>
      <c r="F1123" t="str">
        <f>IFERROR(INDEX(tbl_input[집계키_센터],ROW()-1),"")</f>
        <v/>
      </c>
      <c r="G1123" t="str">
        <f t="shared" si="123"/>
        <v/>
      </c>
      <c r="H1123" t="str">
        <f t="shared" si="124"/>
        <v/>
      </c>
      <c r="I1123" t="str">
        <f t="shared" si="125"/>
        <v/>
      </c>
    </row>
    <row r="1124" spans="1:9" x14ac:dyDescent="0.4">
      <c r="A1124" t="str">
        <f t="shared" si="119"/>
        <v/>
      </c>
      <c r="B1124" t="str">
        <f t="shared" si="120"/>
        <v/>
      </c>
      <c r="C1124" t="str">
        <f t="shared" si="121"/>
        <v/>
      </c>
      <c r="D1124" t="str">
        <f t="shared" si="122"/>
        <v/>
      </c>
      <c r="E1124" t="str">
        <f>IF(F1124="","",IF(COUNTIF($F$2:F1124,F1124)&gt;1,"",SUMIFS(tbl_input[필요수량],tbl_input[집계키_센터],F1124)))</f>
        <v/>
      </c>
      <c r="F1124" t="str">
        <f>IFERROR(INDEX(tbl_input[집계키_센터],ROW()-1),"")</f>
        <v/>
      </c>
      <c r="G1124" t="str">
        <f t="shared" si="123"/>
        <v/>
      </c>
      <c r="H1124" t="str">
        <f t="shared" si="124"/>
        <v/>
      </c>
      <c r="I1124" t="str">
        <f t="shared" si="125"/>
        <v/>
      </c>
    </row>
    <row r="1125" spans="1:9" x14ac:dyDescent="0.4">
      <c r="A1125" t="str">
        <f t="shared" si="119"/>
        <v/>
      </c>
      <c r="B1125" t="str">
        <f t="shared" si="120"/>
        <v/>
      </c>
      <c r="C1125" t="str">
        <f t="shared" si="121"/>
        <v/>
      </c>
      <c r="D1125" t="str">
        <f t="shared" si="122"/>
        <v/>
      </c>
      <c r="E1125" t="str">
        <f>IF(F1125="","",IF(COUNTIF($F$2:F1125,F1125)&gt;1,"",SUMIFS(tbl_input[필요수량],tbl_input[집계키_센터],F1125)))</f>
        <v/>
      </c>
      <c r="F1125" t="str">
        <f>IFERROR(INDEX(tbl_input[집계키_센터],ROW()-1),"")</f>
        <v/>
      </c>
      <c r="G1125" t="str">
        <f t="shared" si="123"/>
        <v/>
      </c>
      <c r="H1125" t="str">
        <f t="shared" si="124"/>
        <v/>
      </c>
      <c r="I1125" t="str">
        <f t="shared" si="125"/>
        <v/>
      </c>
    </row>
    <row r="1126" spans="1:9" x14ac:dyDescent="0.4">
      <c r="A1126" t="str">
        <f t="shared" si="119"/>
        <v/>
      </c>
      <c r="B1126" t="str">
        <f t="shared" si="120"/>
        <v/>
      </c>
      <c r="C1126" t="str">
        <f t="shared" si="121"/>
        <v/>
      </c>
      <c r="D1126" t="str">
        <f t="shared" si="122"/>
        <v/>
      </c>
      <c r="E1126" t="str">
        <f>IF(F1126="","",IF(COUNTIF($F$2:F1126,F1126)&gt;1,"",SUMIFS(tbl_input[필요수량],tbl_input[집계키_센터],F1126)))</f>
        <v/>
      </c>
      <c r="F1126" t="str">
        <f>IFERROR(INDEX(tbl_input[집계키_센터],ROW()-1),"")</f>
        <v/>
      </c>
      <c r="G1126" t="str">
        <f t="shared" si="123"/>
        <v/>
      </c>
      <c r="H1126" t="str">
        <f t="shared" si="124"/>
        <v/>
      </c>
      <c r="I1126" t="str">
        <f t="shared" si="125"/>
        <v/>
      </c>
    </row>
    <row r="1127" spans="1:9" x14ac:dyDescent="0.4">
      <c r="A1127" t="str">
        <f t="shared" si="119"/>
        <v/>
      </c>
      <c r="B1127" t="str">
        <f t="shared" si="120"/>
        <v/>
      </c>
      <c r="C1127" t="str">
        <f t="shared" si="121"/>
        <v/>
      </c>
      <c r="D1127" t="str">
        <f t="shared" si="122"/>
        <v/>
      </c>
      <c r="E1127" t="str">
        <f>IF(F1127="","",IF(COUNTIF($F$2:F1127,F1127)&gt;1,"",SUMIFS(tbl_input[필요수량],tbl_input[집계키_센터],F1127)))</f>
        <v/>
      </c>
      <c r="F1127" t="str">
        <f>IFERROR(INDEX(tbl_input[집계키_센터],ROW()-1),"")</f>
        <v/>
      </c>
      <c r="G1127" t="str">
        <f t="shared" si="123"/>
        <v/>
      </c>
      <c r="H1127" t="str">
        <f t="shared" si="124"/>
        <v/>
      </c>
      <c r="I1127" t="str">
        <f t="shared" si="125"/>
        <v/>
      </c>
    </row>
    <row r="1128" spans="1:9" x14ac:dyDescent="0.4">
      <c r="A1128" t="str">
        <f t="shared" si="119"/>
        <v/>
      </c>
      <c r="B1128" t="str">
        <f t="shared" si="120"/>
        <v/>
      </c>
      <c r="C1128" t="str">
        <f t="shared" si="121"/>
        <v/>
      </c>
      <c r="D1128" t="str">
        <f t="shared" si="122"/>
        <v/>
      </c>
      <c r="E1128" t="str">
        <f>IF(F1128="","",IF(COUNTIF($F$2:F1128,F1128)&gt;1,"",SUMIFS(tbl_input[필요수량],tbl_input[집계키_센터],F1128)))</f>
        <v/>
      </c>
      <c r="F1128" t="str">
        <f>IFERROR(INDEX(tbl_input[집계키_센터],ROW()-1),"")</f>
        <v/>
      </c>
      <c r="G1128" t="str">
        <f t="shared" si="123"/>
        <v/>
      </c>
      <c r="H1128" t="str">
        <f t="shared" si="124"/>
        <v/>
      </c>
      <c r="I1128" t="str">
        <f t="shared" si="125"/>
        <v/>
      </c>
    </row>
    <row r="1129" spans="1:9" x14ac:dyDescent="0.4">
      <c r="A1129" t="str">
        <f t="shared" si="119"/>
        <v/>
      </c>
      <c r="B1129" t="str">
        <f t="shared" si="120"/>
        <v/>
      </c>
      <c r="C1129" t="str">
        <f t="shared" si="121"/>
        <v/>
      </c>
      <c r="D1129" t="str">
        <f t="shared" si="122"/>
        <v/>
      </c>
      <c r="E1129" t="str">
        <f>IF(F1129="","",IF(COUNTIF($F$2:F1129,F1129)&gt;1,"",SUMIFS(tbl_input[필요수량],tbl_input[집계키_센터],F1129)))</f>
        <v/>
      </c>
      <c r="F1129" t="str">
        <f>IFERROR(INDEX(tbl_input[집계키_센터],ROW()-1),"")</f>
        <v/>
      </c>
      <c r="G1129" t="str">
        <f t="shared" si="123"/>
        <v/>
      </c>
      <c r="H1129" t="str">
        <f t="shared" si="124"/>
        <v/>
      </c>
      <c r="I1129" t="str">
        <f t="shared" si="125"/>
        <v/>
      </c>
    </row>
    <row r="1130" spans="1:9" x14ac:dyDescent="0.4">
      <c r="A1130" t="str">
        <f t="shared" si="119"/>
        <v/>
      </c>
      <c r="B1130" t="str">
        <f t="shared" si="120"/>
        <v/>
      </c>
      <c r="C1130" t="str">
        <f t="shared" si="121"/>
        <v/>
      </c>
      <c r="D1130" t="str">
        <f t="shared" si="122"/>
        <v/>
      </c>
      <c r="E1130" t="str">
        <f>IF(F1130="","",IF(COUNTIF($F$2:F1130,F1130)&gt;1,"",SUMIFS(tbl_input[필요수량],tbl_input[집계키_센터],F1130)))</f>
        <v/>
      </c>
      <c r="F1130" t="str">
        <f>IFERROR(INDEX(tbl_input[집계키_센터],ROW()-1),"")</f>
        <v/>
      </c>
      <c r="G1130" t="str">
        <f t="shared" si="123"/>
        <v/>
      </c>
      <c r="H1130" t="str">
        <f t="shared" si="124"/>
        <v/>
      </c>
      <c r="I1130" t="str">
        <f t="shared" si="125"/>
        <v/>
      </c>
    </row>
    <row r="1131" spans="1:9" x14ac:dyDescent="0.4">
      <c r="A1131" t="str">
        <f t="shared" si="119"/>
        <v/>
      </c>
      <c r="B1131" t="str">
        <f t="shared" si="120"/>
        <v/>
      </c>
      <c r="C1131" t="str">
        <f t="shared" si="121"/>
        <v/>
      </c>
      <c r="D1131" t="str">
        <f t="shared" si="122"/>
        <v/>
      </c>
      <c r="E1131" t="str">
        <f>IF(F1131="","",IF(COUNTIF($F$2:F1131,F1131)&gt;1,"",SUMIFS(tbl_input[필요수량],tbl_input[집계키_센터],F1131)))</f>
        <v/>
      </c>
      <c r="F1131" t="str">
        <f>IFERROR(INDEX(tbl_input[집계키_센터],ROW()-1),"")</f>
        <v/>
      </c>
      <c r="G1131" t="str">
        <f t="shared" si="123"/>
        <v/>
      </c>
      <c r="H1131" t="str">
        <f t="shared" si="124"/>
        <v/>
      </c>
      <c r="I1131" t="str">
        <f t="shared" si="125"/>
        <v/>
      </c>
    </row>
    <row r="1132" spans="1:9" x14ac:dyDescent="0.4">
      <c r="A1132" t="str">
        <f t="shared" si="119"/>
        <v/>
      </c>
      <c r="B1132" t="str">
        <f t="shared" si="120"/>
        <v/>
      </c>
      <c r="C1132" t="str">
        <f t="shared" si="121"/>
        <v/>
      </c>
      <c r="D1132" t="str">
        <f t="shared" si="122"/>
        <v/>
      </c>
      <c r="E1132" t="str">
        <f>IF(F1132="","",IF(COUNTIF($F$2:F1132,F1132)&gt;1,"",SUMIFS(tbl_input[필요수량],tbl_input[집계키_센터],F1132)))</f>
        <v/>
      </c>
      <c r="F1132" t="str">
        <f>IFERROR(INDEX(tbl_input[집계키_센터],ROW()-1),"")</f>
        <v/>
      </c>
      <c r="G1132" t="str">
        <f t="shared" si="123"/>
        <v/>
      </c>
      <c r="H1132" t="str">
        <f t="shared" si="124"/>
        <v/>
      </c>
      <c r="I1132" t="str">
        <f t="shared" si="125"/>
        <v/>
      </c>
    </row>
    <row r="1133" spans="1:9" x14ac:dyDescent="0.4">
      <c r="A1133" t="str">
        <f t="shared" si="119"/>
        <v/>
      </c>
      <c r="B1133" t="str">
        <f t="shared" si="120"/>
        <v/>
      </c>
      <c r="C1133" t="str">
        <f t="shared" si="121"/>
        <v/>
      </c>
      <c r="D1133" t="str">
        <f t="shared" si="122"/>
        <v/>
      </c>
      <c r="E1133" t="str">
        <f>IF(F1133="","",IF(COUNTIF($F$2:F1133,F1133)&gt;1,"",SUMIFS(tbl_input[필요수량],tbl_input[집계키_센터],F1133)))</f>
        <v/>
      </c>
      <c r="F1133" t="str">
        <f>IFERROR(INDEX(tbl_input[집계키_센터],ROW()-1),"")</f>
        <v/>
      </c>
      <c r="G1133" t="str">
        <f t="shared" si="123"/>
        <v/>
      </c>
      <c r="H1133" t="str">
        <f t="shared" si="124"/>
        <v/>
      </c>
      <c r="I1133" t="str">
        <f t="shared" si="125"/>
        <v/>
      </c>
    </row>
    <row r="1134" spans="1:9" x14ac:dyDescent="0.4">
      <c r="A1134" t="str">
        <f t="shared" si="119"/>
        <v/>
      </c>
      <c r="B1134" t="str">
        <f t="shared" si="120"/>
        <v/>
      </c>
      <c r="C1134" t="str">
        <f t="shared" si="121"/>
        <v/>
      </c>
      <c r="D1134" t="str">
        <f t="shared" si="122"/>
        <v/>
      </c>
      <c r="E1134" t="str">
        <f>IF(F1134="","",IF(COUNTIF($F$2:F1134,F1134)&gt;1,"",SUMIFS(tbl_input[필요수량],tbl_input[집계키_센터],F1134)))</f>
        <v/>
      </c>
      <c r="F1134" t="str">
        <f>IFERROR(INDEX(tbl_input[집계키_센터],ROW()-1),"")</f>
        <v/>
      </c>
      <c r="G1134" t="str">
        <f t="shared" si="123"/>
        <v/>
      </c>
      <c r="H1134" t="str">
        <f t="shared" si="124"/>
        <v/>
      </c>
      <c r="I1134" t="str">
        <f t="shared" si="125"/>
        <v/>
      </c>
    </row>
    <row r="1135" spans="1:9" x14ac:dyDescent="0.4">
      <c r="A1135" t="str">
        <f t="shared" si="119"/>
        <v/>
      </c>
      <c r="B1135" t="str">
        <f t="shared" si="120"/>
        <v/>
      </c>
      <c r="C1135" t="str">
        <f t="shared" si="121"/>
        <v/>
      </c>
      <c r="D1135" t="str">
        <f t="shared" si="122"/>
        <v/>
      </c>
      <c r="E1135" t="str">
        <f>IF(F1135="","",IF(COUNTIF($F$2:F1135,F1135)&gt;1,"",SUMIFS(tbl_input[필요수량],tbl_input[집계키_센터],F1135)))</f>
        <v/>
      </c>
      <c r="F1135" t="str">
        <f>IFERROR(INDEX(tbl_input[집계키_센터],ROW()-1),"")</f>
        <v/>
      </c>
      <c r="G1135" t="str">
        <f t="shared" si="123"/>
        <v/>
      </c>
      <c r="H1135" t="str">
        <f t="shared" si="124"/>
        <v/>
      </c>
      <c r="I1135" t="str">
        <f t="shared" si="125"/>
        <v/>
      </c>
    </row>
    <row r="1136" spans="1:9" x14ac:dyDescent="0.4">
      <c r="A1136" t="str">
        <f t="shared" si="119"/>
        <v/>
      </c>
      <c r="B1136" t="str">
        <f t="shared" si="120"/>
        <v/>
      </c>
      <c r="C1136" t="str">
        <f t="shared" si="121"/>
        <v/>
      </c>
      <c r="D1136" t="str">
        <f t="shared" si="122"/>
        <v/>
      </c>
      <c r="E1136" t="str">
        <f>IF(F1136="","",IF(COUNTIF($F$2:F1136,F1136)&gt;1,"",SUMIFS(tbl_input[필요수량],tbl_input[집계키_센터],F1136)))</f>
        <v/>
      </c>
      <c r="F1136" t="str">
        <f>IFERROR(INDEX(tbl_input[집계키_센터],ROW()-1),"")</f>
        <v/>
      </c>
      <c r="G1136" t="str">
        <f t="shared" si="123"/>
        <v/>
      </c>
      <c r="H1136" t="str">
        <f t="shared" si="124"/>
        <v/>
      </c>
      <c r="I1136" t="str">
        <f t="shared" si="125"/>
        <v/>
      </c>
    </row>
    <row r="1137" spans="1:9" x14ac:dyDescent="0.4">
      <c r="A1137" t="str">
        <f t="shared" si="119"/>
        <v/>
      </c>
      <c r="B1137" t="str">
        <f t="shared" si="120"/>
        <v/>
      </c>
      <c r="C1137" t="str">
        <f t="shared" si="121"/>
        <v/>
      </c>
      <c r="D1137" t="str">
        <f t="shared" si="122"/>
        <v/>
      </c>
      <c r="E1137" t="str">
        <f>IF(F1137="","",IF(COUNTIF($F$2:F1137,F1137)&gt;1,"",SUMIFS(tbl_input[필요수량],tbl_input[집계키_센터],F1137)))</f>
        <v/>
      </c>
      <c r="F1137" t="str">
        <f>IFERROR(INDEX(tbl_input[집계키_센터],ROW()-1),"")</f>
        <v/>
      </c>
      <c r="G1137" t="str">
        <f t="shared" si="123"/>
        <v/>
      </c>
      <c r="H1137" t="str">
        <f t="shared" si="124"/>
        <v/>
      </c>
      <c r="I1137" t="str">
        <f t="shared" si="125"/>
        <v/>
      </c>
    </row>
    <row r="1138" spans="1:9" x14ac:dyDescent="0.4">
      <c r="A1138" t="str">
        <f t="shared" si="119"/>
        <v/>
      </c>
      <c r="B1138" t="str">
        <f t="shared" si="120"/>
        <v/>
      </c>
      <c r="C1138" t="str">
        <f t="shared" si="121"/>
        <v/>
      </c>
      <c r="D1138" t="str">
        <f t="shared" si="122"/>
        <v/>
      </c>
      <c r="E1138" t="str">
        <f>IF(F1138="","",IF(COUNTIF($F$2:F1138,F1138)&gt;1,"",SUMIFS(tbl_input[필요수량],tbl_input[집계키_센터],F1138)))</f>
        <v/>
      </c>
      <c r="F1138" t="str">
        <f>IFERROR(INDEX(tbl_input[집계키_센터],ROW()-1),"")</f>
        <v/>
      </c>
      <c r="G1138" t="str">
        <f t="shared" si="123"/>
        <v/>
      </c>
      <c r="H1138" t="str">
        <f t="shared" si="124"/>
        <v/>
      </c>
      <c r="I1138" t="str">
        <f t="shared" si="125"/>
        <v/>
      </c>
    </row>
    <row r="1139" spans="1:9" x14ac:dyDescent="0.4">
      <c r="A1139" t="str">
        <f t="shared" si="119"/>
        <v/>
      </c>
      <c r="B1139" t="str">
        <f t="shared" si="120"/>
        <v/>
      </c>
      <c r="C1139" t="str">
        <f t="shared" si="121"/>
        <v/>
      </c>
      <c r="D1139" t="str">
        <f t="shared" si="122"/>
        <v/>
      </c>
      <c r="E1139" t="str">
        <f>IF(F1139="","",IF(COUNTIF($F$2:F1139,F1139)&gt;1,"",SUMIFS(tbl_input[필요수량],tbl_input[집계키_센터],F1139)))</f>
        <v/>
      </c>
      <c r="F1139" t="str">
        <f>IFERROR(INDEX(tbl_input[집계키_센터],ROW()-1),"")</f>
        <v/>
      </c>
      <c r="G1139" t="str">
        <f t="shared" si="123"/>
        <v/>
      </c>
      <c r="H1139" t="str">
        <f t="shared" si="124"/>
        <v/>
      </c>
      <c r="I1139" t="str">
        <f t="shared" si="125"/>
        <v/>
      </c>
    </row>
    <row r="1140" spans="1:9" x14ac:dyDescent="0.4">
      <c r="A1140" t="str">
        <f t="shared" si="119"/>
        <v/>
      </c>
      <c r="B1140" t="str">
        <f t="shared" si="120"/>
        <v/>
      </c>
      <c r="C1140" t="str">
        <f t="shared" si="121"/>
        <v/>
      </c>
      <c r="D1140" t="str">
        <f t="shared" si="122"/>
        <v/>
      </c>
      <c r="E1140" t="str">
        <f>IF(F1140="","",IF(COUNTIF($F$2:F1140,F1140)&gt;1,"",SUMIFS(tbl_input[필요수량],tbl_input[집계키_센터],F1140)))</f>
        <v/>
      </c>
      <c r="F1140" t="str">
        <f>IFERROR(INDEX(tbl_input[집계키_센터],ROW()-1),"")</f>
        <v/>
      </c>
      <c r="G1140" t="str">
        <f t="shared" si="123"/>
        <v/>
      </c>
      <c r="H1140" t="str">
        <f t="shared" si="124"/>
        <v/>
      </c>
      <c r="I1140" t="str">
        <f t="shared" si="125"/>
        <v/>
      </c>
    </row>
    <row r="1141" spans="1:9" x14ac:dyDescent="0.4">
      <c r="A1141" t="str">
        <f t="shared" si="119"/>
        <v/>
      </c>
      <c r="B1141" t="str">
        <f t="shared" si="120"/>
        <v/>
      </c>
      <c r="C1141" t="str">
        <f t="shared" si="121"/>
        <v/>
      </c>
      <c r="D1141" t="str">
        <f t="shared" si="122"/>
        <v/>
      </c>
      <c r="E1141" t="str">
        <f>IF(F1141="","",IF(COUNTIF($F$2:F1141,F1141)&gt;1,"",SUMIFS(tbl_input[필요수량],tbl_input[집계키_센터],F1141)))</f>
        <v/>
      </c>
      <c r="F1141" t="str">
        <f>IFERROR(INDEX(tbl_input[집계키_센터],ROW()-1),"")</f>
        <v/>
      </c>
      <c r="G1141" t="str">
        <f t="shared" si="123"/>
        <v/>
      </c>
      <c r="H1141" t="str">
        <f t="shared" si="124"/>
        <v/>
      </c>
      <c r="I1141" t="str">
        <f t="shared" si="125"/>
        <v/>
      </c>
    </row>
    <row r="1142" spans="1:9" x14ac:dyDescent="0.4">
      <c r="A1142" t="str">
        <f t="shared" si="119"/>
        <v/>
      </c>
      <c r="B1142" t="str">
        <f t="shared" si="120"/>
        <v/>
      </c>
      <c r="C1142" t="str">
        <f t="shared" si="121"/>
        <v/>
      </c>
      <c r="D1142" t="str">
        <f t="shared" si="122"/>
        <v/>
      </c>
      <c r="E1142" t="str">
        <f>IF(F1142="","",IF(COUNTIF($F$2:F1142,F1142)&gt;1,"",SUMIFS(tbl_input[필요수량],tbl_input[집계키_센터],F1142)))</f>
        <v/>
      </c>
      <c r="F1142" t="str">
        <f>IFERROR(INDEX(tbl_input[집계키_센터],ROW()-1),"")</f>
        <v/>
      </c>
      <c r="G1142" t="str">
        <f t="shared" si="123"/>
        <v/>
      </c>
      <c r="H1142" t="str">
        <f t="shared" si="124"/>
        <v/>
      </c>
      <c r="I1142" t="str">
        <f t="shared" si="125"/>
        <v/>
      </c>
    </row>
    <row r="1143" spans="1:9" x14ac:dyDescent="0.4">
      <c r="A1143" t="str">
        <f t="shared" si="119"/>
        <v/>
      </c>
      <c r="B1143" t="str">
        <f t="shared" si="120"/>
        <v/>
      </c>
      <c r="C1143" t="str">
        <f t="shared" si="121"/>
        <v/>
      </c>
      <c r="D1143" t="str">
        <f t="shared" si="122"/>
        <v/>
      </c>
      <c r="E1143" t="str">
        <f>IF(F1143="","",IF(COUNTIF($F$2:F1143,F1143)&gt;1,"",SUMIFS(tbl_input[필요수량],tbl_input[집계키_센터],F1143)))</f>
        <v/>
      </c>
      <c r="F1143" t="str">
        <f>IFERROR(INDEX(tbl_input[집계키_센터],ROW()-1),"")</f>
        <v/>
      </c>
      <c r="G1143" t="str">
        <f t="shared" si="123"/>
        <v/>
      </c>
      <c r="H1143" t="str">
        <f t="shared" si="124"/>
        <v/>
      </c>
      <c r="I1143" t="str">
        <f t="shared" si="125"/>
        <v/>
      </c>
    </row>
    <row r="1144" spans="1:9" x14ac:dyDescent="0.4">
      <c r="A1144" t="str">
        <f t="shared" si="119"/>
        <v/>
      </c>
      <c r="B1144" t="str">
        <f t="shared" si="120"/>
        <v/>
      </c>
      <c r="C1144" t="str">
        <f t="shared" si="121"/>
        <v/>
      </c>
      <c r="D1144" t="str">
        <f t="shared" si="122"/>
        <v/>
      </c>
      <c r="E1144" t="str">
        <f>IF(F1144="","",IF(COUNTIF($F$2:F1144,F1144)&gt;1,"",SUMIFS(tbl_input[필요수량],tbl_input[집계키_센터],F1144)))</f>
        <v/>
      </c>
      <c r="F1144" t="str">
        <f>IFERROR(INDEX(tbl_input[집계키_센터],ROW()-1),"")</f>
        <v/>
      </c>
      <c r="G1144" t="str">
        <f t="shared" si="123"/>
        <v/>
      </c>
      <c r="H1144" t="str">
        <f t="shared" si="124"/>
        <v/>
      </c>
      <c r="I1144" t="str">
        <f t="shared" si="125"/>
        <v/>
      </c>
    </row>
    <row r="1145" spans="1:9" x14ac:dyDescent="0.4">
      <c r="A1145" t="str">
        <f t="shared" si="119"/>
        <v/>
      </c>
      <c r="B1145" t="str">
        <f t="shared" si="120"/>
        <v/>
      </c>
      <c r="C1145" t="str">
        <f t="shared" si="121"/>
        <v/>
      </c>
      <c r="D1145" t="str">
        <f t="shared" si="122"/>
        <v/>
      </c>
      <c r="E1145" t="str">
        <f>IF(F1145="","",IF(COUNTIF($F$2:F1145,F1145)&gt;1,"",SUMIFS(tbl_input[필요수량],tbl_input[집계키_센터],F1145)))</f>
        <v/>
      </c>
      <c r="F1145" t="str">
        <f>IFERROR(INDEX(tbl_input[집계키_센터],ROW()-1),"")</f>
        <v/>
      </c>
      <c r="G1145" t="str">
        <f t="shared" si="123"/>
        <v/>
      </c>
      <c r="H1145" t="str">
        <f t="shared" si="124"/>
        <v/>
      </c>
      <c r="I1145" t="str">
        <f t="shared" si="125"/>
        <v/>
      </c>
    </row>
    <row r="1146" spans="1:9" x14ac:dyDescent="0.4">
      <c r="A1146" t="str">
        <f t="shared" si="119"/>
        <v/>
      </c>
      <c r="B1146" t="str">
        <f t="shared" si="120"/>
        <v/>
      </c>
      <c r="C1146" t="str">
        <f t="shared" si="121"/>
        <v/>
      </c>
      <c r="D1146" t="str">
        <f t="shared" si="122"/>
        <v/>
      </c>
      <c r="E1146" t="str">
        <f>IF(F1146="","",IF(COUNTIF($F$2:F1146,F1146)&gt;1,"",SUMIFS(tbl_input[필요수량],tbl_input[집계키_센터],F1146)))</f>
        <v/>
      </c>
      <c r="F1146" t="str">
        <f>IFERROR(INDEX(tbl_input[집계키_센터],ROW()-1),"")</f>
        <v/>
      </c>
      <c r="G1146" t="str">
        <f t="shared" si="123"/>
        <v/>
      </c>
      <c r="H1146" t="str">
        <f t="shared" si="124"/>
        <v/>
      </c>
      <c r="I1146" t="str">
        <f t="shared" si="125"/>
        <v/>
      </c>
    </row>
    <row r="1147" spans="1:9" x14ac:dyDescent="0.4">
      <c r="A1147" t="str">
        <f t="shared" si="119"/>
        <v/>
      </c>
      <c r="B1147" t="str">
        <f t="shared" si="120"/>
        <v/>
      </c>
      <c r="C1147" t="str">
        <f t="shared" si="121"/>
        <v/>
      </c>
      <c r="D1147" t="str">
        <f t="shared" si="122"/>
        <v/>
      </c>
      <c r="E1147" t="str">
        <f>IF(F1147="","",IF(COUNTIF($F$2:F1147,F1147)&gt;1,"",SUMIFS(tbl_input[필요수량],tbl_input[집계키_센터],F1147)))</f>
        <v/>
      </c>
      <c r="F1147" t="str">
        <f>IFERROR(INDEX(tbl_input[집계키_센터],ROW()-1),"")</f>
        <v/>
      </c>
      <c r="G1147" t="str">
        <f t="shared" si="123"/>
        <v/>
      </c>
      <c r="H1147" t="str">
        <f t="shared" si="124"/>
        <v/>
      </c>
      <c r="I1147" t="str">
        <f t="shared" si="125"/>
        <v/>
      </c>
    </row>
    <row r="1148" spans="1:9" x14ac:dyDescent="0.4">
      <c r="A1148" t="str">
        <f t="shared" si="119"/>
        <v/>
      </c>
      <c r="B1148" t="str">
        <f t="shared" si="120"/>
        <v/>
      </c>
      <c r="C1148" t="str">
        <f t="shared" si="121"/>
        <v/>
      </c>
      <c r="D1148" t="str">
        <f t="shared" si="122"/>
        <v/>
      </c>
      <c r="E1148" t="str">
        <f>IF(F1148="","",IF(COUNTIF($F$2:F1148,F1148)&gt;1,"",SUMIFS(tbl_input[필요수량],tbl_input[집계키_센터],F1148)))</f>
        <v/>
      </c>
      <c r="F1148" t="str">
        <f>IFERROR(INDEX(tbl_input[집계키_센터],ROW()-1),"")</f>
        <v/>
      </c>
      <c r="G1148" t="str">
        <f t="shared" si="123"/>
        <v/>
      </c>
      <c r="H1148" t="str">
        <f t="shared" si="124"/>
        <v/>
      </c>
      <c r="I1148" t="str">
        <f t="shared" si="125"/>
        <v/>
      </c>
    </row>
    <row r="1149" spans="1:9" x14ac:dyDescent="0.4">
      <c r="A1149" t="str">
        <f t="shared" si="119"/>
        <v/>
      </c>
      <c r="B1149" t="str">
        <f t="shared" si="120"/>
        <v/>
      </c>
      <c r="C1149" t="str">
        <f t="shared" si="121"/>
        <v/>
      </c>
      <c r="D1149" t="str">
        <f t="shared" si="122"/>
        <v/>
      </c>
      <c r="E1149" t="str">
        <f>IF(F1149="","",IF(COUNTIF($F$2:F1149,F1149)&gt;1,"",SUMIFS(tbl_input[필요수량],tbl_input[집계키_센터],F1149)))</f>
        <v/>
      </c>
      <c r="F1149" t="str">
        <f>IFERROR(INDEX(tbl_input[집계키_센터],ROW()-1),"")</f>
        <v/>
      </c>
      <c r="G1149" t="str">
        <f t="shared" si="123"/>
        <v/>
      </c>
      <c r="H1149" t="str">
        <f t="shared" si="124"/>
        <v/>
      </c>
      <c r="I1149" t="str">
        <f t="shared" si="125"/>
        <v/>
      </c>
    </row>
    <row r="1150" spans="1:9" x14ac:dyDescent="0.4">
      <c r="A1150" t="str">
        <f t="shared" si="119"/>
        <v/>
      </c>
      <c r="B1150" t="str">
        <f t="shared" si="120"/>
        <v/>
      </c>
      <c r="C1150" t="str">
        <f t="shared" si="121"/>
        <v/>
      </c>
      <c r="D1150" t="str">
        <f t="shared" si="122"/>
        <v/>
      </c>
      <c r="E1150" t="str">
        <f>IF(F1150="","",IF(COUNTIF($F$2:F1150,F1150)&gt;1,"",SUMIFS(tbl_input[필요수량],tbl_input[집계키_센터],F1150)))</f>
        <v/>
      </c>
      <c r="F1150" t="str">
        <f>IFERROR(INDEX(tbl_input[집계키_센터],ROW()-1),"")</f>
        <v/>
      </c>
      <c r="G1150" t="str">
        <f t="shared" si="123"/>
        <v/>
      </c>
      <c r="H1150" t="str">
        <f t="shared" si="124"/>
        <v/>
      </c>
      <c r="I1150" t="str">
        <f t="shared" si="125"/>
        <v/>
      </c>
    </row>
    <row r="1151" spans="1:9" x14ac:dyDescent="0.4">
      <c r="A1151" t="str">
        <f t="shared" si="119"/>
        <v/>
      </c>
      <c r="B1151" t="str">
        <f t="shared" si="120"/>
        <v/>
      </c>
      <c r="C1151" t="str">
        <f t="shared" si="121"/>
        <v/>
      </c>
      <c r="D1151" t="str">
        <f t="shared" si="122"/>
        <v/>
      </c>
      <c r="E1151" t="str">
        <f>IF(F1151="","",IF(COUNTIF($F$2:F1151,F1151)&gt;1,"",SUMIFS(tbl_input[필요수량],tbl_input[집계키_센터],F1151)))</f>
        <v/>
      </c>
      <c r="F1151" t="str">
        <f>IFERROR(INDEX(tbl_input[집계키_센터],ROW()-1),"")</f>
        <v/>
      </c>
      <c r="G1151" t="str">
        <f t="shared" si="123"/>
        <v/>
      </c>
      <c r="H1151" t="str">
        <f t="shared" si="124"/>
        <v/>
      </c>
      <c r="I1151" t="str">
        <f t="shared" si="125"/>
        <v/>
      </c>
    </row>
    <row r="1152" spans="1:9" x14ac:dyDescent="0.4">
      <c r="A1152" t="str">
        <f t="shared" si="119"/>
        <v/>
      </c>
      <c r="B1152" t="str">
        <f t="shared" si="120"/>
        <v/>
      </c>
      <c r="C1152" t="str">
        <f t="shared" si="121"/>
        <v/>
      </c>
      <c r="D1152" t="str">
        <f t="shared" si="122"/>
        <v/>
      </c>
      <c r="E1152" t="str">
        <f>IF(F1152="","",IF(COUNTIF($F$2:F1152,F1152)&gt;1,"",SUMIFS(tbl_input[필요수량],tbl_input[집계키_센터],F1152)))</f>
        <v/>
      </c>
      <c r="F1152" t="str">
        <f>IFERROR(INDEX(tbl_input[집계키_센터],ROW()-1),"")</f>
        <v/>
      </c>
      <c r="G1152" t="str">
        <f t="shared" si="123"/>
        <v/>
      </c>
      <c r="H1152" t="str">
        <f t="shared" si="124"/>
        <v/>
      </c>
      <c r="I1152" t="str">
        <f t="shared" si="125"/>
        <v/>
      </c>
    </row>
    <row r="1153" spans="1:9" x14ac:dyDescent="0.4">
      <c r="A1153" t="str">
        <f t="shared" si="119"/>
        <v/>
      </c>
      <c r="B1153" t="str">
        <f t="shared" si="120"/>
        <v/>
      </c>
      <c r="C1153" t="str">
        <f t="shared" si="121"/>
        <v/>
      </c>
      <c r="D1153" t="str">
        <f t="shared" si="122"/>
        <v/>
      </c>
      <c r="E1153" t="str">
        <f>IF(F1153="","",IF(COUNTIF($F$2:F1153,F1153)&gt;1,"",SUMIFS(tbl_input[필요수량],tbl_input[집계키_센터],F1153)))</f>
        <v/>
      </c>
      <c r="F1153" t="str">
        <f>IFERROR(INDEX(tbl_input[집계키_센터],ROW()-1),"")</f>
        <v/>
      </c>
      <c r="G1153" t="str">
        <f t="shared" si="123"/>
        <v/>
      </c>
      <c r="H1153" t="str">
        <f t="shared" si="124"/>
        <v/>
      </c>
      <c r="I1153" t="str">
        <f t="shared" si="125"/>
        <v/>
      </c>
    </row>
    <row r="1154" spans="1:9" x14ac:dyDescent="0.4">
      <c r="A1154" t="str">
        <f t="shared" ref="A1154:A1217" si="126">IF(F1154="","",LEFT(F1154,G1154-1))</f>
        <v/>
      </c>
      <c r="B1154" t="str">
        <f t="shared" ref="B1154:B1217" si="127">IF(F1154="","",MID(F1154,G1154+1,H1154-G1154-1))</f>
        <v/>
      </c>
      <c r="C1154" t="str">
        <f t="shared" ref="C1154:C1217" si="128">IF(F1154="","",MID(F1154,H1154+1,I1154-H1154-1))</f>
        <v/>
      </c>
      <c r="D1154" t="str">
        <f t="shared" ref="D1154:D1217" si="129">IF(F1154="","",MID(F1154,I1154+1,999))</f>
        <v/>
      </c>
      <c r="E1154" t="str">
        <f>IF(F1154="","",IF(COUNTIF($F$2:F1154,F1154)&gt;1,"",SUMIFS(tbl_input[필요수량],tbl_input[집계키_센터],F1154)))</f>
        <v/>
      </c>
      <c r="F1154" t="str">
        <f>IFERROR(INDEX(tbl_input[집계키_센터],ROW()-1),"")</f>
        <v/>
      </c>
      <c r="G1154" t="str">
        <f t="shared" ref="G1154:G1217" si="130">IF(F1154="","",FIND("♦",F1154))</f>
        <v/>
      </c>
      <c r="H1154" t="str">
        <f t="shared" ref="H1154:H1217" si="131">IF(F1154="","",FIND("♦",F1154,G1154+1))</f>
        <v/>
      </c>
      <c r="I1154" t="str">
        <f t="shared" ref="I1154:I1217" si="132">IF(F1154="","",FIND("♦",F1154,H1154+1))</f>
        <v/>
      </c>
    </row>
    <row r="1155" spans="1:9" x14ac:dyDescent="0.4">
      <c r="A1155" t="str">
        <f t="shared" si="126"/>
        <v/>
      </c>
      <c r="B1155" t="str">
        <f t="shared" si="127"/>
        <v/>
      </c>
      <c r="C1155" t="str">
        <f t="shared" si="128"/>
        <v/>
      </c>
      <c r="D1155" t="str">
        <f t="shared" si="129"/>
        <v/>
      </c>
      <c r="E1155" t="str">
        <f>IF(F1155="","",IF(COUNTIF($F$2:F1155,F1155)&gt;1,"",SUMIFS(tbl_input[필요수량],tbl_input[집계키_센터],F1155)))</f>
        <v/>
      </c>
      <c r="F1155" t="str">
        <f>IFERROR(INDEX(tbl_input[집계키_센터],ROW()-1),"")</f>
        <v/>
      </c>
      <c r="G1155" t="str">
        <f t="shared" si="130"/>
        <v/>
      </c>
      <c r="H1155" t="str">
        <f t="shared" si="131"/>
        <v/>
      </c>
      <c r="I1155" t="str">
        <f t="shared" si="132"/>
        <v/>
      </c>
    </row>
    <row r="1156" spans="1:9" x14ac:dyDescent="0.4">
      <c r="A1156" t="str">
        <f t="shared" si="126"/>
        <v/>
      </c>
      <c r="B1156" t="str">
        <f t="shared" si="127"/>
        <v/>
      </c>
      <c r="C1156" t="str">
        <f t="shared" si="128"/>
        <v/>
      </c>
      <c r="D1156" t="str">
        <f t="shared" si="129"/>
        <v/>
      </c>
      <c r="E1156" t="str">
        <f>IF(F1156="","",IF(COUNTIF($F$2:F1156,F1156)&gt;1,"",SUMIFS(tbl_input[필요수량],tbl_input[집계키_센터],F1156)))</f>
        <v/>
      </c>
      <c r="F1156" t="str">
        <f>IFERROR(INDEX(tbl_input[집계키_센터],ROW()-1),"")</f>
        <v/>
      </c>
      <c r="G1156" t="str">
        <f t="shared" si="130"/>
        <v/>
      </c>
      <c r="H1156" t="str">
        <f t="shared" si="131"/>
        <v/>
      </c>
      <c r="I1156" t="str">
        <f t="shared" si="132"/>
        <v/>
      </c>
    </row>
    <row r="1157" spans="1:9" x14ac:dyDescent="0.4">
      <c r="A1157" t="str">
        <f t="shared" si="126"/>
        <v/>
      </c>
      <c r="B1157" t="str">
        <f t="shared" si="127"/>
        <v/>
      </c>
      <c r="C1157" t="str">
        <f t="shared" si="128"/>
        <v/>
      </c>
      <c r="D1157" t="str">
        <f t="shared" si="129"/>
        <v/>
      </c>
      <c r="E1157" t="str">
        <f>IF(F1157="","",IF(COUNTIF($F$2:F1157,F1157)&gt;1,"",SUMIFS(tbl_input[필요수량],tbl_input[집계키_센터],F1157)))</f>
        <v/>
      </c>
      <c r="F1157" t="str">
        <f>IFERROR(INDEX(tbl_input[집계키_센터],ROW()-1),"")</f>
        <v/>
      </c>
      <c r="G1157" t="str">
        <f t="shared" si="130"/>
        <v/>
      </c>
      <c r="H1157" t="str">
        <f t="shared" si="131"/>
        <v/>
      </c>
      <c r="I1157" t="str">
        <f t="shared" si="132"/>
        <v/>
      </c>
    </row>
    <row r="1158" spans="1:9" x14ac:dyDescent="0.4">
      <c r="A1158" t="str">
        <f t="shared" si="126"/>
        <v/>
      </c>
      <c r="B1158" t="str">
        <f t="shared" si="127"/>
        <v/>
      </c>
      <c r="C1158" t="str">
        <f t="shared" si="128"/>
        <v/>
      </c>
      <c r="D1158" t="str">
        <f t="shared" si="129"/>
        <v/>
      </c>
      <c r="E1158" t="str">
        <f>IF(F1158="","",IF(COUNTIF($F$2:F1158,F1158)&gt;1,"",SUMIFS(tbl_input[필요수량],tbl_input[집계키_센터],F1158)))</f>
        <v/>
      </c>
      <c r="F1158" t="str">
        <f>IFERROR(INDEX(tbl_input[집계키_센터],ROW()-1),"")</f>
        <v/>
      </c>
      <c r="G1158" t="str">
        <f t="shared" si="130"/>
        <v/>
      </c>
      <c r="H1158" t="str">
        <f t="shared" si="131"/>
        <v/>
      </c>
      <c r="I1158" t="str">
        <f t="shared" si="132"/>
        <v/>
      </c>
    </row>
    <row r="1159" spans="1:9" x14ac:dyDescent="0.4">
      <c r="A1159" t="str">
        <f t="shared" si="126"/>
        <v/>
      </c>
      <c r="B1159" t="str">
        <f t="shared" si="127"/>
        <v/>
      </c>
      <c r="C1159" t="str">
        <f t="shared" si="128"/>
        <v/>
      </c>
      <c r="D1159" t="str">
        <f t="shared" si="129"/>
        <v/>
      </c>
      <c r="E1159" t="str">
        <f>IF(F1159="","",IF(COUNTIF($F$2:F1159,F1159)&gt;1,"",SUMIFS(tbl_input[필요수량],tbl_input[집계키_센터],F1159)))</f>
        <v/>
      </c>
      <c r="F1159" t="str">
        <f>IFERROR(INDEX(tbl_input[집계키_센터],ROW()-1),"")</f>
        <v/>
      </c>
      <c r="G1159" t="str">
        <f t="shared" si="130"/>
        <v/>
      </c>
      <c r="H1159" t="str">
        <f t="shared" si="131"/>
        <v/>
      </c>
      <c r="I1159" t="str">
        <f t="shared" si="132"/>
        <v/>
      </c>
    </row>
    <row r="1160" spans="1:9" x14ac:dyDescent="0.4">
      <c r="A1160" t="str">
        <f t="shared" si="126"/>
        <v/>
      </c>
      <c r="B1160" t="str">
        <f t="shared" si="127"/>
        <v/>
      </c>
      <c r="C1160" t="str">
        <f t="shared" si="128"/>
        <v/>
      </c>
      <c r="D1160" t="str">
        <f t="shared" si="129"/>
        <v/>
      </c>
      <c r="E1160" t="str">
        <f>IF(F1160="","",IF(COUNTIF($F$2:F1160,F1160)&gt;1,"",SUMIFS(tbl_input[필요수량],tbl_input[집계키_센터],F1160)))</f>
        <v/>
      </c>
      <c r="F1160" t="str">
        <f>IFERROR(INDEX(tbl_input[집계키_센터],ROW()-1),"")</f>
        <v/>
      </c>
      <c r="G1160" t="str">
        <f t="shared" si="130"/>
        <v/>
      </c>
      <c r="H1160" t="str">
        <f t="shared" si="131"/>
        <v/>
      </c>
      <c r="I1160" t="str">
        <f t="shared" si="132"/>
        <v/>
      </c>
    </row>
    <row r="1161" spans="1:9" x14ac:dyDescent="0.4">
      <c r="A1161" t="str">
        <f t="shared" si="126"/>
        <v/>
      </c>
      <c r="B1161" t="str">
        <f t="shared" si="127"/>
        <v/>
      </c>
      <c r="C1161" t="str">
        <f t="shared" si="128"/>
        <v/>
      </c>
      <c r="D1161" t="str">
        <f t="shared" si="129"/>
        <v/>
      </c>
      <c r="E1161" t="str">
        <f>IF(F1161="","",IF(COUNTIF($F$2:F1161,F1161)&gt;1,"",SUMIFS(tbl_input[필요수량],tbl_input[집계키_센터],F1161)))</f>
        <v/>
      </c>
      <c r="F1161" t="str">
        <f>IFERROR(INDEX(tbl_input[집계키_센터],ROW()-1),"")</f>
        <v/>
      </c>
      <c r="G1161" t="str">
        <f t="shared" si="130"/>
        <v/>
      </c>
      <c r="H1161" t="str">
        <f t="shared" si="131"/>
        <v/>
      </c>
      <c r="I1161" t="str">
        <f t="shared" si="132"/>
        <v/>
      </c>
    </row>
    <row r="1162" spans="1:9" x14ac:dyDescent="0.4">
      <c r="A1162" t="str">
        <f t="shared" si="126"/>
        <v/>
      </c>
      <c r="B1162" t="str">
        <f t="shared" si="127"/>
        <v/>
      </c>
      <c r="C1162" t="str">
        <f t="shared" si="128"/>
        <v/>
      </c>
      <c r="D1162" t="str">
        <f t="shared" si="129"/>
        <v/>
      </c>
      <c r="E1162" t="str">
        <f>IF(F1162="","",IF(COUNTIF($F$2:F1162,F1162)&gt;1,"",SUMIFS(tbl_input[필요수량],tbl_input[집계키_센터],F1162)))</f>
        <v/>
      </c>
      <c r="F1162" t="str">
        <f>IFERROR(INDEX(tbl_input[집계키_센터],ROW()-1),"")</f>
        <v/>
      </c>
      <c r="G1162" t="str">
        <f t="shared" si="130"/>
        <v/>
      </c>
      <c r="H1162" t="str">
        <f t="shared" si="131"/>
        <v/>
      </c>
      <c r="I1162" t="str">
        <f t="shared" si="132"/>
        <v/>
      </c>
    </row>
    <row r="1163" spans="1:9" x14ac:dyDescent="0.4">
      <c r="A1163" t="str">
        <f t="shared" si="126"/>
        <v/>
      </c>
      <c r="B1163" t="str">
        <f t="shared" si="127"/>
        <v/>
      </c>
      <c r="C1163" t="str">
        <f t="shared" si="128"/>
        <v/>
      </c>
      <c r="D1163" t="str">
        <f t="shared" si="129"/>
        <v/>
      </c>
      <c r="E1163" t="str">
        <f>IF(F1163="","",IF(COUNTIF($F$2:F1163,F1163)&gt;1,"",SUMIFS(tbl_input[필요수량],tbl_input[집계키_센터],F1163)))</f>
        <v/>
      </c>
      <c r="F1163" t="str">
        <f>IFERROR(INDEX(tbl_input[집계키_센터],ROW()-1),"")</f>
        <v/>
      </c>
      <c r="G1163" t="str">
        <f t="shared" si="130"/>
        <v/>
      </c>
      <c r="H1163" t="str">
        <f t="shared" si="131"/>
        <v/>
      </c>
      <c r="I1163" t="str">
        <f t="shared" si="132"/>
        <v/>
      </c>
    </row>
    <row r="1164" spans="1:9" x14ac:dyDescent="0.4">
      <c r="A1164" t="str">
        <f t="shared" si="126"/>
        <v/>
      </c>
      <c r="B1164" t="str">
        <f t="shared" si="127"/>
        <v/>
      </c>
      <c r="C1164" t="str">
        <f t="shared" si="128"/>
        <v/>
      </c>
      <c r="D1164" t="str">
        <f t="shared" si="129"/>
        <v/>
      </c>
      <c r="E1164" t="str">
        <f>IF(F1164="","",IF(COUNTIF($F$2:F1164,F1164)&gt;1,"",SUMIFS(tbl_input[필요수량],tbl_input[집계키_센터],F1164)))</f>
        <v/>
      </c>
      <c r="F1164" t="str">
        <f>IFERROR(INDEX(tbl_input[집계키_센터],ROW()-1),"")</f>
        <v/>
      </c>
      <c r="G1164" t="str">
        <f t="shared" si="130"/>
        <v/>
      </c>
      <c r="H1164" t="str">
        <f t="shared" si="131"/>
        <v/>
      </c>
      <c r="I1164" t="str">
        <f t="shared" si="132"/>
        <v/>
      </c>
    </row>
    <row r="1165" spans="1:9" x14ac:dyDescent="0.4">
      <c r="A1165" t="str">
        <f t="shared" si="126"/>
        <v/>
      </c>
      <c r="B1165" t="str">
        <f t="shared" si="127"/>
        <v/>
      </c>
      <c r="C1165" t="str">
        <f t="shared" si="128"/>
        <v/>
      </c>
      <c r="D1165" t="str">
        <f t="shared" si="129"/>
        <v/>
      </c>
      <c r="E1165" t="str">
        <f>IF(F1165="","",IF(COUNTIF($F$2:F1165,F1165)&gt;1,"",SUMIFS(tbl_input[필요수량],tbl_input[집계키_센터],F1165)))</f>
        <v/>
      </c>
      <c r="F1165" t="str">
        <f>IFERROR(INDEX(tbl_input[집계키_센터],ROW()-1),"")</f>
        <v/>
      </c>
      <c r="G1165" t="str">
        <f t="shared" si="130"/>
        <v/>
      </c>
      <c r="H1165" t="str">
        <f t="shared" si="131"/>
        <v/>
      </c>
      <c r="I1165" t="str">
        <f t="shared" si="132"/>
        <v/>
      </c>
    </row>
    <row r="1166" spans="1:9" x14ac:dyDescent="0.4">
      <c r="A1166" t="str">
        <f t="shared" si="126"/>
        <v/>
      </c>
      <c r="B1166" t="str">
        <f t="shared" si="127"/>
        <v/>
      </c>
      <c r="C1166" t="str">
        <f t="shared" si="128"/>
        <v/>
      </c>
      <c r="D1166" t="str">
        <f t="shared" si="129"/>
        <v/>
      </c>
      <c r="E1166" t="str">
        <f>IF(F1166="","",IF(COUNTIF($F$2:F1166,F1166)&gt;1,"",SUMIFS(tbl_input[필요수량],tbl_input[집계키_센터],F1166)))</f>
        <v/>
      </c>
      <c r="F1166" t="str">
        <f>IFERROR(INDEX(tbl_input[집계키_센터],ROW()-1),"")</f>
        <v/>
      </c>
      <c r="G1166" t="str">
        <f t="shared" si="130"/>
        <v/>
      </c>
      <c r="H1166" t="str">
        <f t="shared" si="131"/>
        <v/>
      </c>
      <c r="I1166" t="str">
        <f t="shared" si="132"/>
        <v/>
      </c>
    </row>
    <row r="1167" spans="1:9" x14ac:dyDescent="0.4">
      <c r="A1167" t="str">
        <f t="shared" si="126"/>
        <v/>
      </c>
      <c r="B1167" t="str">
        <f t="shared" si="127"/>
        <v/>
      </c>
      <c r="C1167" t="str">
        <f t="shared" si="128"/>
        <v/>
      </c>
      <c r="D1167" t="str">
        <f t="shared" si="129"/>
        <v/>
      </c>
      <c r="E1167" t="str">
        <f>IF(F1167="","",IF(COUNTIF($F$2:F1167,F1167)&gt;1,"",SUMIFS(tbl_input[필요수량],tbl_input[집계키_센터],F1167)))</f>
        <v/>
      </c>
      <c r="F1167" t="str">
        <f>IFERROR(INDEX(tbl_input[집계키_센터],ROW()-1),"")</f>
        <v/>
      </c>
      <c r="G1167" t="str">
        <f t="shared" si="130"/>
        <v/>
      </c>
      <c r="H1167" t="str">
        <f t="shared" si="131"/>
        <v/>
      </c>
      <c r="I1167" t="str">
        <f t="shared" si="132"/>
        <v/>
      </c>
    </row>
    <row r="1168" spans="1:9" x14ac:dyDescent="0.4">
      <c r="A1168" t="str">
        <f t="shared" si="126"/>
        <v/>
      </c>
      <c r="B1168" t="str">
        <f t="shared" si="127"/>
        <v/>
      </c>
      <c r="C1168" t="str">
        <f t="shared" si="128"/>
        <v/>
      </c>
      <c r="D1168" t="str">
        <f t="shared" si="129"/>
        <v/>
      </c>
      <c r="E1168" t="str">
        <f>IF(F1168="","",IF(COUNTIF($F$2:F1168,F1168)&gt;1,"",SUMIFS(tbl_input[필요수량],tbl_input[집계키_센터],F1168)))</f>
        <v/>
      </c>
      <c r="F1168" t="str">
        <f>IFERROR(INDEX(tbl_input[집계키_센터],ROW()-1),"")</f>
        <v/>
      </c>
      <c r="G1168" t="str">
        <f t="shared" si="130"/>
        <v/>
      </c>
      <c r="H1168" t="str">
        <f t="shared" si="131"/>
        <v/>
      </c>
      <c r="I1168" t="str">
        <f t="shared" si="132"/>
        <v/>
      </c>
    </row>
    <row r="1169" spans="1:9" x14ac:dyDescent="0.4">
      <c r="A1169" t="str">
        <f t="shared" si="126"/>
        <v/>
      </c>
      <c r="B1169" t="str">
        <f t="shared" si="127"/>
        <v/>
      </c>
      <c r="C1169" t="str">
        <f t="shared" si="128"/>
        <v/>
      </c>
      <c r="D1169" t="str">
        <f t="shared" si="129"/>
        <v/>
      </c>
      <c r="E1169" t="str">
        <f>IF(F1169="","",IF(COUNTIF($F$2:F1169,F1169)&gt;1,"",SUMIFS(tbl_input[필요수량],tbl_input[집계키_센터],F1169)))</f>
        <v/>
      </c>
      <c r="F1169" t="str">
        <f>IFERROR(INDEX(tbl_input[집계키_센터],ROW()-1),"")</f>
        <v/>
      </c>
      <c r="G1169" t="str">
        <f t="shared" si="130"/>
        <v/>
      </c>
      <c r="H1169" t="str">
        <f t="shared" si="131"/>
        <v/>
      </c>
      <c r="I1169" t="str">
        <f t="shared" si="132"/>
        <v/>
      </c>
    </row>
    <row r="1170" spans="1:9" x14ac:dyDescent="0.4">
      <c r="A1170" t="str">
        <f t="shared" si="126"/>
        <v/>
      </c>
      <c r="B1170" t="str">
        <f t="shared" si="127"/>
        <v/>
      </c>
      <c r="C1170" t="str">
        <f t="shared" si="128"/>
        <v/>
      </c>
      <c r="D1170" t="str">
        <f t="shared" si="129"/>
        <v/>
      </c>
      <c r="E1170" t="str">
        <f>IF(F1170="","",IF(COUNTIF($F$2:F1170,F1170)&gt;1,"",SUMIFS(tbl_input[필요수량],tbl_input[집계키_센터],F1170)))</f>
        <v/>
      </c>
      <c r="F1170" t="str">
        <f>IFERROR(INDEX(tbl_input[집계키_센터],ROW()-1),"")</f>
        <v/>
      </c>
      <c r="G1170" t="str">
        <f t="shared" si="130"/>
        <v/>
      </c>
      <c r="H1170" t="str">
        <f t="shared" si="131"/>
        <v/>
      </c>
      <c r="I1170" t="str">
        <f t="shared" si="132"/>
        <v/>
      </c>
    </row>
    <row r="1171" spans="1:9" x14ac:dyDescent="0.4">
      <c r="A1171" t="str">
        <f t="shared" si="126"/>
        <v/>
      </c>
      <c r="B1171" t="str">
        <f t="shared" si="127"/>
        <v/>
      </c>
      <c r="C1171" t="str">
        <f t="shared" si="128"/>
        <v/>
      </c>
      <c r="D1171" t="str">
        <f t="shared" si="129"/>
        <v/>
      </c>
      <c r="E1171" t="str">
        <f>IF(F1171="","",IF(COUNTIF($F$2:F1171,F1171)&gt;1,"",SUMIFS(tbl_input[필요수량],tbl_input[집계키_센터],F1171)))</f>
        <v/>
      </c>
      <c r="F1171" t="str">
        <f>IFERROR(INDEX(tbl_input[집계키_센터],ROW()-1),"")</f>
        <v/>
      </c>
      <c r="G1171" t="str">
        <f t="shared" si="130"/>
        <v/>
      </c>
      <c r="H1171" t="str">
        <f t="shared" si="131"/>
        <v/>
      </c>
      <c r="I1171" t="str">
        <f t="shared" si="132"/>
        <v/>
      </c>
    </row>
    <row r="1172" spans="1:9" x14ac:dyDescent="0.4">
      <c r="A1172" t="str">
        <f t="shared" si="126"/>
        <v/>
      </c>
      <c r="B1172" t="str">
        <f t="shared" si="127"/>
        <v/>
      </c>
      <c r="C1172" t="str">
        <f t="shared" si="128"/>
        <v/>
      </c>
      <c r="D1172" t="str">
        <f t="shared" si="129"/>
        <v/>
      </c>
      <c r="E1172" t="str">
        <f>IF(F1172="","",IF(COUNTIF($F$2:F1172,F1172)&gt;1,"",SUMIFS(tbl_input[필요수량],tbl_input[집계키_센터],F1172)))</f>
        <v/>
      </c>
      <c r="F1172" t="str">
        <f>IFERROR(INDEX(tbl_input[집계키_센터],ROW()-1),"")</f>
        <v/>
      </c>
      <c r="G1172" t="str">
        <f t="shared" si="130"/>
        <v/>
      </c>
      <c r="H1172" t="str">
        <f t="shared" si="131"/>
        <v/>
      </c>
      <c r="I1172" t="str">
        <f t="shared" si="132"/>
        <v/>
      </c>
    </row>
    <row r="1173" spans="1:9" x14ac:dyDescent="0.4">
      <c r="A1173" t="str">
        <f t="shared" si="126"/>
        <v/>
      </c>
      <c r="B1173" t="str">
        <f t="shared" si="127"/>
        <v/>
      </c>
      <c r="C1173" t="str">
        <f t="shared" si="128"/>
        <v/>
      </c>
      <c r="D1173" t="str">
        <f t="shared" si="129"/>
        <v/>
      </c>
      <c r="E1173" t="str">
        <f>IF(F1173="","",IF(COUNTIF($F$2:F1173,F1173)&gt;1,"",SUMIFS(tbl_input[필요수량],tbl_input[집계키_센터],F1173)))</f>
        <v/>
      </c>
      <c r="F1173" t="str">
        <f>IFERROR(INDEX(tbl_input[집계키_센터],ROW()-1),"")</f>
        <v/>
      </c>
      <c r="G1173" t="str">
        <f t="shared" si="130"/>
        <v/>
      </c>
      <c r="H1173" t="str">
        <f t="shared" si="131"/>
        <v/>
      </c>
      <c r="I1173" t="str">
        <f t="shared" si="132"/>
        <v/>
      </c>
    </row>
    <row r="1174" spans="1:9" x14ac:dyDescent="0.4">
      <c r="A1174" t="str">
        <f t="shared" si="126"/>
        <v/>
      </c>
      <c r="B1174" t="str">
        <f t="shared" si="127"/>
        <v/>
      </c>
      <c r="C1174" t="str">
        <f t="shared" si="128"/>
        <v/>
      </c>
      <c r="D1174" t="str">
        <f t="shared" si="129"/>
        <v/>
      </c>
      <c r="E1174" t="str">
        <f>IF(F1174="","",IF(COUNTIF($F$2:F1174,F1174)&gt;1,"",SUMIFS(tbl_input[필요수량],tbl_input[집계키_센터],F1174)))</f>
        <v/>
      </c>
      <c r="F1174" t="str">
        <f>IFERROR(INDEX(tbl_input[집계키_센터],ROW()-1),"")</f>
        <v/>
      </c>
      <c r="G1174" t="str">
        <f t="shared" si="130"/>
        <v/>
      </c>
      <c r="H1174" t="str">
        <f t="shared" si="131"/>
        <v/>
      </c>
      <c r="I1174" t="str">
        <f t="shared" si="132"/>
        <v/>
      </c>
    </row>
    <row r="1175" spans="1:9" x14ac:dyDescent="0.4">
      <c r="A1175" t="str">
        <f t="shared" si="126"/>
        <v/>
      </c>
      <c r="B1175" t="str">
        <f t="shared" si="127"/>
        <v/>
      </c>
      <c r="C1175" t="str">
        <f t="shared" si="128"/>
        <v/>
      </c>
      <c r="D1175" t="str">
        <f t="shared" si="129"/>
        <v/>
      </c>
      <c r="E1175" t="str">
        <f>IF(F1175="","",IF(COUNTIF($F$2:F1175,F1175)&gt;1,"",SUMIFS(tbl_input[필요수량],tbl_input[집계키_센터],F1175)))</f>
        <v/>
      </c>
      <c r="F1175" t="str">
        <f>IFERROR(INDEX(tbl_input[집계키_센터],ROW()-1),"")</f>
        <v/>
      </c>
      <c r="G1175" t="str">
        <f t="shared" si="130"/>
        <v/>
      </c>
      <c r="H1175" t="str">
        <f t="shared" si="131"/>
        <v/>
      </c>
      <c r="I1175" t="str">
        <f t="shared" si="132"/>
        <v/>
      </c>
    </row>
    <row r="1176" spans="1:9" x14ac:dyDescent="0.4">
      <c r="A1176" t="str">
        <f t="shared" si="126"/>
        <v/>
      </c>
      <c r="B1176" t="str">
        <f t="shared" si="127"/>
        <v/>
      </c>
      <c r="C1176" t="str">
        <f t="shared" si="128"/>
        <v/>
      </c>
      <c r="D1176" t="str">
        <f t="shared" si="129"/>
        <v/>
      </c>
      <c r="E1176" t="str">
        <f>IF(F1176="","",IF(COUNTIF($F$2:F1176,F1176)&gt;1,"",SUMIFS(tbl_input[필요수량],tbl_input[집계키_센터],F1176)))</f>
        <v/>
      </c>
      <c r="F1176" t="str">
        <f>IFERROR(INDEX(tbl_input[집계키_센터],ROW()-1),"")</f>
        <v/>
      </c>
      <c r="G1176" t="str">
        <f t="shared" si="130"/>
        <v/>
      </c>
      <c r="H1176" t="str">
        <f t="shared" si="131"/>
        <v/>
      </c>
      <c r="I1176" t="str">
        <f t="shared" si="132"/>
        <v/>
      </c>
    </row>
    <row r="1177" spans="1:9" x14ac:dyDescent="0.4">
      <c r="A1177" t="str">
        <f t="shared" si="126"/>
        <v/>
      </c>
      <c r="B1177" t="str">
        <f t="shared" si="127"/>
        <v/>
      </c>
      <c r="C1177" t="str">
        <f t="shared" si="128"/>
        <v/>
      </c>
      <c r="D1177" t="str">
        <f t="shared" si="129"/>
        <v/>
      </c>
      <c r="E1177" t="str">
        <f>IF(F1177="","",IF(COUNTIF($F$2:F1177,F1177)&gt;1,"",SUMIFS(tbl_input[필요수량],tbl_input[집계키_센터],F1177)))</f>
        <v/>
      </c>
      <c r="F1177" t="str">
        <f>IFERROR(INDEX(tbl_input[집계키_센터],ROW()-1),"")</f>
        <v/>
      </c>
      <c r="G1177" t="str">
        <f t="shared" si="130"/>
        <v/>
      </c>
      <c r="H1177" t="str">
        <f t="shared" si="131"/>
        <v/>
      </c>
      <c r="I1177" t="str">
        <f t="shared" si="132"/>
        <v/>
      </c>
    </row>
    <row r="1178" spans="1:9" x14ac:dyDescent="0.4">
      <c r="A1178" t="str">
        <f t="shared" si="126"/>
        <v/>
      </c>
      <c r="B1178" t="str">
        <f t="shared" si="127"/>
        <v/>
      </c>
      <c r="C1178" t="str">
        <f t="shared" si="128"/>
        <v/>
      </c>
      <c r="D1178" t="str">
        <f t="shared" si="129"/>
        <v/>
      </c>
      <c r="E1178" t="str">
        <f>IF(F1178="","",IF(COUNTIF($F$2:F1178,F1178)&gt;1,"",SUMIFS(tbl_input[필요수량],tbl_input[집계키_센터],F1178)))</f>
        <v/>
      </c>
      <c r="F1178" t="str">
        <f>IFERROR(INDEX(tbl_input[집계키_센터],ROW()-1),"")</f>
        <v/>
      </c>
      <c r="G1178" t="str">
        <f t="shared" si="130"/>
        <v/>
      </c>
      <c r="H1178" t="str">
        <f t="shared" si="131"/>
        <v/>
      </c>
      <c r="I1178" t="str">
        <f t="shared" si="132"/>
        <v/>
      </c>
    </row>
    <row r="1179" spans="1:9" x14ac:dyDescent="0.4">
      <c r="A1179" t="str">
        <f t="shared" si="126"/>
        <v/>
      </c>
      <c r="B1179" t="str">
        <f t="shared" si="127"/>
        <v/>
      </c>
      <c r="C1179" t="str">
        <f t="shared" si="128"/>
        <v/>
      </c>
      <c r="D1179" t="str">
        <f t="shared" si="129"/>
        <v/>
      </c>
      <c r="E1179" t="str">
        <f>IF(F1179="","",IF(COUNTIF($F$2:F1179,F1179)&gt;1,"",SUMIFS(tbl_input[필요수량],tbl_input[집계키_센터],F1179)))</f>
        <v/>
      </c>
      <c r="F1179" t="str">
        <f>IFERROR(INDEX(tbl_input[집계키_센터],ROW()-1),"")</f>
        <v/>
      </c>
      <c r="G1179" t="str">
        <f t="shared" si="130"/>
        <v/>
      </c>
      <c r="H1179" t="str">
        <f t="shared" si="131"/>
        <v/>
      </c>
      <c r="I1179" t="str">
        <f t="shared" si="132"/>
        <v/>
      </c>
    </row>
    <row r="1180" spans="1:9" x14ac:dyDescent="0.4">
      <c r="A1180" t="str">
        <f t="shared" si="126"/>
        <v/>
      </c>
      <c r="B1180" t="str">
        <f t="shared" si="127"/>
        <v/>
      </c>
      <c r="C1180" t="str">
        <f t="shared" si="128"/>
        <v/>
      </c>
      <c r="D1180" t="str">
        <f t="shared" si="129"/>
        <v/>
      </c>
      <c r="E1180" t="str">
        <f>IF(F1180="","",IF(COUNTIF($F$2:F1180,F1180)&gt;1,"",SUMIFS(tbl_input[필요수량],tbl_input[집계키_센터],F1180)))</f>
        <v/>
      </c>
      <c r="F1180" t="str">
        <f>IFERROR(INDEX(tbl_input[집계키_센터],ROW()-1),"")</f>
        <v/>
      </c>
      <c r="G1180" t="str">
        <f t="shared" si="130"/>
        <v/>
      </c>
      <c r="H1180" t="str">
        <f t="shared" si="131"/>
        <v/>
      </c>
      <c r="I1180" t="str">
        <f t="shared" si="132"/>
        <v/>
      </c>
    </row>
    <row r="1181" spans="1:9" x14ac:dyDescent="0.4">
      <c r="A1181" t="str">
        <f t="shared" si="126"/>
        <v/>
      </c>
      <c r="B1181" t="str">
        <f t="shared" si="127"/>
        <v/>
      </c>
      <c r="C1181" t="str">
        <f t="shared" si="128"/>
        <v/>
      </c>
      <c r="D1181" t="str">
        <f t="shared" si="129"/>
        <v/>
      </c>
      <c r="E1181" t="str">
        <f>IF(F1181="","",IF(COUNTIF($F$2:F1181,F1181)&gt;1,"",SUMIFS(tbl_input[필요수량],tbl_input[집계키_센터],F1181)))</f>
        <v/>
      </c>
      <c r="F1181" t="str">
        <f>IFERROR(INDEX(tbl_input[집계키_센터],ROW()-1),"")</f>
        <v/>
      </c>
      <c r="G1181" t="str">
        <f t="shared" si="130"/>
        <v/>
      </c>
      <c r="H1181" t="str">
        <f t="shared" si="131"/>
        <v/>
      </c>
      <c r="I1181" t="str">
        <f t="shared" si="132"/>
        <v/>
      </c>
    </row>
    <row r="1182" spans="1:9" x14ac:dyDescent="0.4">
      <c r="A1182" t="str">
        <f t="shared" si="126"/>
        <v/>
      </c>
      <c r="B1182" t="str">
        <f t="shared" si="127"/>
        <v/>
      </c>
      <c r="C1182" t="str">
        <f t="shared" si="128"/>
        <v/>
      </c>
      <c r="D1182" t="str">
        <f t="shared" si="129"/>
        <v/>
      </c>
      <c r="E1182" t="str">
        <f>IF(F1182="","",IF(COUNTIF($F$2:F1182,F1182)&gt;1,"",SUMIFS(tbl_input[필요수량],tbl_input[집계키_센터],F1182)))</f>
        <v/>
      </c>
      <c r="F1182" t="str">
        <f>IFERROR(INDEX(tbl_input[집계키_센터],ROW()-1),"")</f>
        <v/>
      </c>
      <c r="G1182" t="str">
        <f t="shared" si="130"/>
        <v/>
      </c>
      <c r="H1182" t="str">
        <f t="shared" si="131"/>
        <v/>
      </c>
      <c r="I1182" t="str">
        <f t="shared" si="132"/>
        <v/>
      </c>
    </row>
    <row r="1183" spans="1:9" x14ac:dyDescent="0.4">
      <c r="A1183" t="str">
        <f t="shared" si="126"/>
        <v/>
      </c>
      <c r="B1183" t="str">
        <f t="shared" si="127"/>
        <v/>
      </c>
      <c r="C1183" t="str">
        <f t="shared" si="128"/>
        <v/>
      </c>
      <c r="D1183" t="str">
        <f t="shared" si="129"/>
        <v/>
      </c>
      <c r="E1183" t="str">
        <f>IF(F1183="","",IF(COUNTIF($F$2:F1183,F1183)&gt;1,"",SUMIFS(tbl_input[필요수량],tbl_input[집계키_센터],F1183)))</f>
        <v/>
      </c>
      <c r="F1183" t="str">
        <f>IFERROR(INDEX(tbl_input[집계키_센터],ROW()-1),"")</f>
        <v/>
      </c>
      <c r="G1183" t="str">
        <f t="shared" si="130"/>
        <v/>
      </c>
      <c r="H1183" t="str">
        <f t="shared" si="131"/>
        <v/>
      </c>
      <c r="I1183" t="str">
        <f t="shared" si="132"/>
        <v/>
      </c>
    </row>
    <row r="1184" spans="1:9" x14ac:dyDescent="0.4">
      <c r="A1184" t="str">
        <f t="shared" si="126"/>
        <v/>
      </c>
      <c r="B1184" t="str">
        <f t="shared" si="127"/>
        <v/>
      </c>
      <c r="C1184" t="str">
        <f t="shared" si="128"/>
        <v/>
      </c>
      <c r="D1184" t="str">
        <f t="shared" si="129"/>
        <v/>
      </c>
      <c r="E1184" t="str">
        <f>IF(F1184="","",IF(COUNTIF($F$2:F1184,F1184)&gt;1,"",SUMIFS(tbl_input[필요수량],tbl_input[집계키_센터],F1184)))</f>
        <v/>
      </c>
      <c r="F1184" t="str">
        <f>IFERROR(INDEX(tbl_input[집계키_센터],ROW()-1),"")</f>
        <v/>
      </c>
      <c r="G1184" t="str">
        <f t="shared" si="130"/>
        <v/>
      </c>
      <c r="H1184" t="str">
        <f t="shared" si="131"/>
        <v/>
      </c>
      <c r="I1184" t="str">
        <f t="shared" si="132"/>
        <v/>
      </c>
    </row>
    <row r="1185" spans="1:9" x14ac:dyDescent="0.4">
      <c r="A1185" t="str">
        <f t="shared" si="126"/>
        <v/>
      </c>
      <c r="B1185" t="str">
        <f t="shared" si="127"/>
        <v/>
      </c>
      <c r="C1185" t="str">
        <f t="shared" si="128"/>
        <v/>
      </c>
      <c r="D1185" t="str">
        <f t="shared" si="129"/>
        <v/>
      </c>
      <c r="E1185" t="str">
        <f>IF(F1185="","",IF(COUNTIF($F$2:F1185,F1185)&gt;1,"",SUMIFS(tbl_input[필요수량],tbl_input[집계키_센터],F1185)))</f>
        <v/>
      </c>
      <c r="F1185" t="str">
        <f>IFERROR(INDEX(tbl_input[집계키_센터],ROW()-1),"")</f>
        <v/>
      </c>
      <c r="G1185" t="str">
        <f t="shared" si="130"/>
        <v/>
      </c>
      <c r="H1185" t="str">
        <f t="shared" si="131"/>
        <v/>
      </c>
      <c r="I1185" t="str">
        <f t="shared" si="132"/>
        <v/>
      </c>
    </row>
    <row r="1186" spans="1:9" x14ac:dyDescent="0.4">
      <c r="A1186" t="str">
        <f t="shared" si="126"/>
        <v/>
      </c>
      <c r="B1186" t="str">
        <f t="shared" si="127"/>
        <v/>
      </c>
      <c r="C1186" t="str">
        <f t="shared" si="128"/>
        <v/>
      </c>
      <c r="D1186" t="str">
        <f t="shared" si="129"/>
        <v/>
      </c>
      <c r="E1186" t="str">
        <f>IF(F1186="","",IF(COUNTIF($F$2:F1186,F1186)&gt;1,"",SUMIFS(tbl_input[필요수량],tbl_input[집계키_센터],F1186)))</f>
        <v/>
      </c>
      <c r="F1186" t="str">
        <f>IFERROR(INDEX(tbl_input[집계키_센터],ROW()-1),"")</f>
        <v/>
      </c>
      <c r="G1186" t="str">
        <f t="shared" si="130"/>
        <v/>
      </c>
      <c r="H1186" t="str">
        <f t="shared" si="131"/>
        <v/>
      </c>
      <c r="I1186" t="str">
        <f t="shared" si="132"/>
        <v/>
      </c>
    </row>
    <row r="1187" spans="1:9" x14ac:dyDescent="0.4">
      <c r="A1187" t="str">
        <f t="shared" si="126"/>
        <v/>
      </c>
      <c r="B1187" t="str">
        <f t="shared" si="127"/>
        <v/>
      </c>
      <c r="C1187" t="str">
        <f t="shared" si="128"/>
        <v/>
      </c>
      <c r="D1187" t="str">
        <f t="shared" si="129"/>
        <v/>
      </c>
      <c r="E1187" t="str">
        <f>IF(F1187="","",IF(COUNTIF($F$2:F1187,F1187)&gt;1,"",SUMIFS(tbl_input[필요수량],tbl_input[집계키_센터],F1187)))</f>
        <v/>
      </c>
      <c r="F1187" t="str">
        <f>IFERROR(INDEX(tbl_input[집계키_센터],ROW()-1),"")</f>
        <v/>
      </c>
      <c r="G1187" t="str">
        <f t="shared" si="130"/>
        <v/>
      </c>
      <c r="H1187" t="str">
        <f t="shared" si="131"/>
        <v/>
      </c>
      <c r="I1187" t="str">
        <f t="shared" si="132"/>
        <v/>
      </c>
    </row>
    <row r="1188" spans="1:9" x14ac:dyDescent="0.4">
      <c r="A1188" t="str">
        <f t="shared" si="126"/>
        <v/>
      </c>
      <c r="B1188" t="str">
        <f t="shared" si="127"/>
        <v/>
      </c>
      <c r="C1188" t="str">
        <f t="shared" si="128"/>
        <v/>
      </c>
      <c r="D1188" t="str">
        <f t="shared" si="129"/>
        <v/>
      </c>
      <c r="E1188" t="str">
        <f>IF(F1188="","",IF(COUNTIF($F$2:F1188,F1188)&gt;1,"",SUMIFS(tbl_input[필요수량],tbl_input[집계키_센터],F1188)))</f>
        <v/>
      </c>
      <c r="F1188" t="str">
        <f>IFERROR(INDEX(tbl_input[집계키_센터],ROW()-1),"")</f>
        <v/>
      </c>
      <c r="G1188" t="str">
        <f t="shared" si="130"/>
        <v/>
      </c>
      <c r="H1188" t="str">
        <f t="shared" si="131"/>
        <v/>
      </c>
      <c r="I1188" t="str">
        <f t="shared" si="132"/>
        <v/>
      </c>
    </row>
    <row r="1189" spans="1:9" x14ac:dyDescent="0.4">
      <c r="A1189" t="str">
        <f t="shared" si="126"/>
        <v/>
      </c>
      <c r="B1189" t="str">
        <f t="shared" si="127"/>
        <v/>
      </c>
      <c r="C1189" t="str">
        <f t="shared" si="128"/>
        <v/>
      </c>
      <c r="D1189" t="str">
        <f t="shared" si="129"/>
        <v/>
      </c>
      <c r="E1189" t="str">
        <f>IF(F1189="","",IF(COUNTIF($F$2:F1189,F1189)&gt;1,"",SUMIFS(tbl_input[필요수량],tbl_input[집계키_센터],F1189)))</f>
        <v/>
      </c>
      <c r="F1189" t="str">
        <f>IFERROR(INDEX(tbl_input[집계키_센터],ROW()-1),"")</f>
        <v/>
      </c>
      <c r="G1189" t="str">
        <f t="shared" si="130"/>
        <v/>
      </c>
      <c r="H1189" t="str">
        <f t="shared" si="131"/>
        <v/>
      </c>
      <c r="I1189" t="str">
        <f t="shared" si="132"/>
        <v/>
      </c>
    </row>
    <row r="1190" spans="1:9" x14ac:dyDescent="0.4">
      <c r="A1190" t="str">
        <f t="shared" si="126"/>
        <v/>
      </c>
      <c r="B1190" t="str">
        <f t="shared" si="127"/>
        <v/>
      </c>
      <c r="C1190" t="str">
        <f t="shared" si="128"/>
        <v/>
      </c>
      <c r="D1190" t="str">
        <f t="shared" si="129"/>
        <v/>
      </c>
      <c r="E1190" t="str">
        <f>IF(F1190="","",IF(COUNTIF($F$2:F1190,F1190)&gt;1,"",SUMIFS(tbl_input[필요수량],tbl_input[집계키_센터],F1190)))</f>
        <v/>
      </c>
      <c r="F1190" t="str">
        <f>IFERROR(INDEX(tbl_input[집계키_센터],ROW()-1),"")</f>
        <v/>
      </c>
      <c r="G1190" t="str">
        <f t="shared" si="130"/>
        <v/>
      </c>
      <c r="H1190" t="str">
        <f t="shared" si="131"/>
        <v/>
      </c>
      <c r="I1190" t="str">
        <f t="shared" si="132"/>
        <v/>
      </c>
    </row>
    <row r="1191" spans="1:9" x14ac:dyDescent="0.4">
      <c r="A1191" t="str">
        <f t="shared" si="126"/>
        <v/>
      </c>
      <c r="B1191" t="str">
        <f t="shared" si="127"/>
        <v/>
      </c>
      <c r="C1191" t="str">
        <f t="shared" si="128"/>
        <v/>
      </c>
      <c r="D1191" t="str">
        <f t="shared" si="129"/>
        <v/>
      </c>
      <c r="E1191" t="str">
        <f>IF(F1191="","",IF(COUNTIF($F$2:F1191,F1191)&gt;1,"",SUMIFS(tbl_input[필요수량],tbl_input[집계키_센터],F1191)))</f>
        <v/>
      </c>
      <c r="F1191" t="str">
        <f>IFERROR(INDEX(tbl_input[집계키_센터],ROW()-1),"")</f>
        <v/>
      </c>
      <c r="G1191" t="str">
        <f t="shared" si="130"/>
        <v/>
      </c>
      <c r="H1191" t="str">
        <f t="shared" si="131"/>
        <v/>
      </c>
      <c r="I1191" t="str">
        <f t="shared" si="132"/>
        <v/>
      </c>
    </row>
    <row r="1192" spans="1:9" x14ac:dyDescent="0.4">
      <c r="A1192" t="str">
        <f t="shared" si="126"/>
        <v/>
      </c>
      <c r="B1192" t="str">
        <f t="shared" si="127"/>
        <v/>
      </c>
      <c r="C1192" t="str">
        <f t="shared" si="128"/>
        <v/>
      </c>
      <c r="D1192" t="str">
        <f t="shared" si="129"/>
        <v/>
      </c>
      <c r="E1192" t="str">
        <f>IF(F1192="","",IF(COUNTIF($F$2:F1192,F1192)&gt;1,"",SUMIFS(tbl_input[필요수량],tbl_input[집계키_센터],F1192)))</f>
        <v/>
      </c>
      <c r="F1192" t="str">
        <f>IFERROR(INDEX(tbl_input[집계키_센터],ROW()-1),"")</f>
        <v/>
      </c>
      <c r="G1192" t="str">
        <f t="shared" si="130"/>
        <v/>
      </c>
      <c r="H1192" t="str">
        <f t="shared" si="131"/>
        <v/>
      </c>
      <c r="I1192" t="str">
        <f t="shared" si="132"/>
        <v/>
      </c>
    </row>
    <row r="1193" spans="1:9" x14ac:dyDescent="0.4">
      <c r="A1193" t="str">
        <f t="shared" si="126"/>
        <v/>
      </c>
      <c r="B1193" t="str">
        <f t="shared" si="127"/>
        <v/>
      </c>
      <c r="C1193" t="str">
        <f t="shared" si="128"/>
        <v/>
      </c>
      <c r="D1193" t="str">
        <f t="shared" si="129"/>
        <v/>
      </c>
      <c r="E1193" t="str">
        <f>IF(F1193="","",IF(COUNTIF($F$2:F1193,F1193)&gt;1,"",SUMIFS(tbl_input[필요수량],tbl_input[집계키_센터],F1193)))</f>
        <v/>
      </c>
      <c r="F1193" t="str">
        <f>IFERROR(INDEX(tbl_input[집계키_센터],ROW()-1),"")</f>
        <v/>
      </c>
      <c r="G1193" t="str">
        <f t="shared" si="130"/>
        <v/>
      </c>
      <c r="H1193" t="str">
        <f t="shared" si="131"/>
        <v/>
      </c>
      <c r="I1193" t="str">
        <f t="shared" si="132"/>
        <v/>
      </c>
    </row>
    <row r="1194" spans="1:9" x14ac:dyDescent="0.4">
      <c r="A1194" t="str">
        <f t="shared" si="126"/>
        <v/>
      </c>
      <c r="B1194" t="str">
        <f t="shared" si="127"/>
        <v/>
      </c>
      <c r="C1194" t="str">
        <f t="shared" si="128"/>
        <v/>
      </c>
      <c r="D1194" t="str">
        <f t="shared" si="129"/>
        <v/>
      </c>
      <c r="E1194" t="str">
        <f>IF(F1194="","",IF(COUNTIF($F$2:F1194,F1194)&gt;1,"",SUMIFS(tbl_input[필요수량],tbl_input[집계키_센터],F1194)))</f>
        <v/>
      </c>
      <c r="F1194" t="str">
        <f>IFERROR(INDEX(tbl_input[집계키_센터],ROW()-1),"")</f>
        <v/>
      </c>
      <c r="G1194" t="str">
        <f t="shared" si="130"/>
        <v/>
      </c>
      <c r="H1194" t="str">
        <f t="shared" si="131"/>
        <v/>
      </c>
      <c r="I1194" t="str">
        <f t="shared" si="132"/>
        <v/>
      </c>
    </row>
    <row r="1195" spans="1:9" x14ac:dyDescent="0.4">
      <c r="A1195" t="str">
        <f t="shared" si="126"/>
        <v/>
      </c>
      <c r="B1195" t="str">
        <f t="shared" si="127"/>
        <v/>
      </c>
      <c r="C1195" t="str">
        <f t="shared" si="128"/>
        <v/>
      </c>
      <c r="D1195" t="str">
        <f t="shared" si="129"/>
        <v/>
      </c>
      <c r="E1195" t="str">
        <f>IF(F1195="","",IF(COUNTIF($F$2:F1195,F1195)&gt;1,"",SUMIFS(tbl_input[필요수량],tbl_input[집계키_센터],F1195)))</f>
        <v/>
      </c>
      <c r="F1195" t="str">
        <f>IFERROR(INDEX(tbl_input[집계키_센터],ROW()-1),"")</f>
        <v/>
      </c>
      <c r="G1195" t="str">
        <f t="shared" si="130"/>
        <v/>
      </c>
      <c r="H1195" t="str">
        <f t="shared" si="131"/>
        <v/>
      </c>
      <c r="I1195" t="str">
        <f t="shared" si="132"/>
        <v/>
      </c>
    </row>
    <row r="1196" spans="1:9" x14ac:dyDescent="0.4">
      <c r="A1196" t="str">
        <f t="shared" si="126"/>
        <v/>
      </c>
      <c r="B1196" t="str">
        <f t="shared" si="127"/>
        <v/>
      </c>
      <c r="C1196" t="str">
        <f t="shared" si="128"/>
        <v/>
      </c>
      <c r="D1196" t="str">
        <f t="shared" si="129"/>
        <v/>
      </c>
      <c r="E1196" t="str">
        <f>IF(F1196="","",IF(COUNTIF($F$2:F1196,F1196)&gt;1,"",SUMIFS(tbl_input[필요수량],tbl_input[집계키_센터],F1196)))</f>
        <v/>
      </c>
      <c r="F1196" t="str">
        <f>IFERROR(INDEX(tbl_input[집계키_센터],ROW()-1),"")</f>
        <v/>
      </c>
      <c r="G1196" t="str">
        <f t="shared" si="130"/>
        <v/>
      </c>
      <c r="H1196" t="str">
        <f t="shared" si="131"/>
        <v/>
      </c>
      <c r="I1196" t="str">
        <f t="shared" si="132"/>
        <v/>
      </c>
    </row>
    <row r="1197" spans="1:9" x14ac:dyDescent="0.4">
      <c r="A1197" t="str">
        <f t="shared" si="126"/>
        <v/>
      </c>
      <c r="B1197" t="str">
        <f t="shared" si="127"/>
        <v/>
      </c>
      <c r="C1197" t="str">
        <f t="shared" si="128"/>
        <v/>
      </c>
      <c r="D1197" t="str">
        <f t="shared" si="129"/>
        <v/>
      </c>
      <c r="E1197" t="str">
        <f>IF(F1197="","",IF(COUNTIF($F$2:F1197,F1197)&gt;1,"",SUMIFS(tbl_input[필요수량],tbl_input[집계키_센터],F1197)))</f>
        <v/>
      </c>
      <c r="F1197" t="str">
        <f>IFERROR(INDEX(tbl_input[집계키_센터],ROW()-1),"")</f>
        <v/>
      </c>
      <c r="G1197" t="str">
        <f t="shared" si="130"/>
        <v/>
      </c>
      <c r="H1197" t="str">
        <f t="shared" si="131"/>
        <v/>
      </c>
      <c r="I1197" t="str">
        <f t="shared" si="132"/>
        <v/>
      </c>
    </row>
    <row r="1198" spans="1:9" x14ac:dyDescent="0.4">
      <c r="A1198" t="str">
        <f t="shared" si="126"/>
        <v/>
      </c>
      <c r="B1198" t="str">
        <f t="shared" si="127"/>
        <v/>
      </c>
      <c r="C1198" t="str">
        <f t="shared" si="128"/>
        <v/>
      </c>
      <c r="D1198" t="str">
        <f t="shared" si="129"/>
        <v/>
      </c>
      <c r="E1198" t="str">
        <f>IF(F1198="","",IF(COUNTIF($F$2:F1198,F1198)&gt;1,"",SUMIFS(tbl_input[필요수량],tbl_input[집계키_센터],F1198)))</f>
        <v/>
      </c>
      <c r="F1198" t="str">
        <f>IFERROR(INDEX(tbl_input[집계키_센터],ROW()-1),"")</f>
        <v/>
      </c>
      <c r="G1198" t="str">
        <f t="shared" si="130"/>
        <v/>
      </c>
      <c r="H1198" t="str">
        <f t="shared" si="131"/>
        <v/>
      </c>
      <c r="I1198" t="str">
        <f t="shared" si="132"/>
        <v/>
      </c>
    </row>
    <row r="1199" spans="1:9" x14ac:dyDescent="0.4">
      <c r="A1199" t="str">
        <f t="shared" si="126"/>
        <v/>
      </c>
      <c r="B1199" t="str">
        <f t="shared" si="127"/>
        <v/>
      </c>
      <c r="C1199" t="str">
        <f t="shared" si="128"/>
        <v/>
      </c>
      <c r="D1199" t="str">
        <f t="shared" si="129"/>
        <v/>
      </c>
      <c r="E1199" t="str">
        <f>IF(F1199="","",IF(COUNTIF($F$2:F1199,F1199)&gt;1,"",SUMIFS(tbl_input[필요수량],tbl_input[집계키_센터],F1199)))</f>
        <v/>
      </c>
      <c r="F1199" t="str">
        <f>IFERROR(INDEX(tbl_input[집계키_센터],ROW()-1),"")</f>
        <v/>
      </c>
      <c r="G1199" t="str">
        <f t="shared" si="130"/>
        <v/>
      </c>
      <c r="H1199" t="str">
        <f t="shared" si="131"/>
        <v/>
      </c>
      <c r="I1199" t="str">
        <f t="shared" si="132"/>
        <v/>
      </c>
    </row>
    <row r="1200" spans="1:9" x14ac:dyDescent="0.4">
      <c r="A1200" t="str">
        <f t="shared" si="126"/>
        <v/>
      </c>
      <c r="B1200" t="str">
        <f t="shared" si="127"/>
        <v/>
      </c>
      <c r="C1200" t="str">
        <f t="shared" si="128"/>
        <v/>
      </c>
      <c r="D1200" t="str">
        <f t="shared" si="129"/>
        <v/>
      </c>
      <c r="E1200" t="str">
        <f>IF(F1200="","",IF(COUNTIF($F$2:F1200,F1200)&gt;1,"",SUMIFS(tbl_input[필요수량],tbl_input[집계키_센터],F1200)))</f>
        <v/>
      </c>
      <c r="F1200" t="str">
        <f>IFERROR(INDEX(tbl_input[집계키_센터],ROW()-1),"")</f>
        <v/>
      </c>
      <c r="G1200" t="str">
        <f t="shared" si="130"/>
        <v/>
      </c>
      <c r="H1200" t="str">
        <f t="shared" si="131"/>
        <v/>
      </c>
      <c r="I1200" t="str">
        <f t="shared" si="132"/>
        <v/>
      </c>
    </row>
    <row r="1201" spans="1:9" x14ac:dyDescent="0.4">
      <c r="A1201" t="str">
        <f t="shared" si="126"/>
        <v/>
      </c>
      <c r="B1201" t="str">
        <f t="shared" si="127"/>
        <v/>
      </c>
      <c r="C1201" t="str">
        <f t="shared" si="128"/>
        <v/>
      </c>
      <c r="D1201" t="str">
        <f t="shared" si="129"/>
        <v/>
      </c>
      <c r="E1201" t="str">
        <f>IF(F1201="","",IF(COUNTIF($F$2:F1201,F1201)&gt;1,"",SUMIFS(tbl_input[필요수량],tbl_input[집계키_센터],F1201)))</f>
        <v/>
      </c>
      <c r="F1201" t="str">
        <f>IFERROR(INDEX(tbl_input[집계키_센터],ROW()-1),"")</f>
        <v/>
      </c>
      <c r="G1201" t="str">
        <f t="shared" si="130"/>
        <v/>
      </c>
      <c r="H1201" t="str">
        <f t="shared" si="131"/>
        <v/>
      </c>
      <c r="I1201" t="str">
        <f t="shared" si="132"/>
        <v/>
      </c>
    </row>
    <row r="1202" spans="1:9" x14ac:dyDescent="0.4">
      <c r="A1202" t="str">
        <f t="shared" si="126"/>
        <v/>
      </c>
      <c r="B1202" t="str">
        <f t="shared" si="127"/>
        <v/>
      </c>
      <c r="C1202" t="str">
        <f t="shared" si="128"/>
        <v/>
      </c>
      <c r="D1202" t="str">
        <f t="shared" si="129"/>
        <v/>
      </c>
      <c r="E1202" t="str">
        <f>IF(F1202="","",IF(COUNTIF($F$2:F1202,F1202)&gt;1,"",SUMIFS(tbl_input[필요수량],tbl_input[집계키_센터],F1202)))</f>
        <v/>
      </c>
      <c r="F1202" t="str">
        <f>IFERROR(INDEX(tbl_input[집계키_센터],ROW()-1),"")</f>
        <v/>
      </c>
      <c r="G1202" t="str">
        <f t="shared" si="130"/>
        <v/>
      </c>
      <c r="H1202" t="str">
        <f t="shared" si="131"/>
        <v/>
      </c>
      <c r="I1202" t="str">
        <f t="shared" si="132"/>
        <v/>
      </c>
    </row>
    <row r="1203" spans="1:9" x14ac:dyDescent="0.4">
      <c r="A1203" t="str">
        <f t="shared" si="126"/>
        <v/>
      </c>
      <c r="B1203" t="str">
        <f t="shared" si="127"/>
        <v/>
      </c>
      <c r="C1203" t="str">
        <f t="shared" si="128"/>
        <v/>
      </c>
      <c r="D1203" t="str">
        <f t="shared" si="129"/>
        <v/>
      </c>
      <c r="E1203" t="str">
        <f>IF(F1203="","",IF(COUNTIF($F$2:F1203,F1203)&gt;1,"",SUMIFS(tbl_input[필요수량],tbl_input[집계키_센터],F1203)))</f>
        <v/>
      </c>
      <c r="F1203" t="str">
        <f>IFERROR(INDEX(tbl_input[집계키_센터],ROW()-1),"")</f>
        <v/>
      </c>
      <c r="G1203" t="str">
        <f t="shared" si="130"/>
        <v/>
      </c>
      <c r="H1203" t="str">
        <f t="shared" si="131"/>
        <v/>
      </c>
      <c r="I1203" t="str">
        <f t="shared" si="132"/>
        <v/>
      </c>
    </row>
    <row r="1204" spans="1:9" x14ac:dyDescent="0.4">
      <c r="A1204" t="str">
        <f t="shared" si="126"/>
        <v/>
      </c>
      <c r="B1204" t="str">
        <f t="shared" si="127"/>
        <v/>
      </c>
      <c r="C1204" t="str">
        <f t="shared" si="128"/>
        <v/>
      </c>
      <c r="D1204" t="str">
        <f t="shared" si="129"/>
        <v/>
      </c>
      <c r="E1204" t="str">
        <f>IF(F1204="","",IF(COUNTIF($F$2:F1204,F1204)&gt;1,"",SUMIFS(tbl_input[필요수량],tbl_input[집계키_센터],F1204)))</f>
        <v/>
      </c>
      <c r="F1204" t="str">
        <f>IFERROR(INDEX(tbl_input[집계키_센터],ROW()-1),"")</f>
        <v/>
      </c>
      <c r="G1204" t="str">
        <f t="shared" si="130"/>
        <v/>
      </c>
      <c r="H1204" t="str">
        <f t="shared" si="131"/>
        <v/>
      </c>
      <c r="I1204" t="str">
        <f t="shared" si="132"/>
        <v/>
      </c>
    </row>
    <row r="1205" spans="1:9" x14ac:dyDescent="0.4">
      <c r="A1205" t="str">
        <f t="shared" si="126"/>
        <v/>
      </c>
      <c r="B1205" t="str">
        <f t="shared" si="127"/>
        <v/>
      </c>
      <c r="C1205" t="str">
        <f t="shared" si="128"/>
        <v/>
      </c>
      <c r="D1205" t="str">
        <f t="shared" si="129"/>
        <v/>
      </c>
      <c r="E1205" t="str">
        <f>IF(F1205="","",IF(COUNTIF($F$2:F1205,F1205)&gt;1,"",SUMIFS(tbl_input[필요수량],tbl_input[집계키_센터],F1205)))</f>
        <v/>
      </c>
      <c r="F1205" t="str">
        <f>IFERROR(INDEX(tbl_input[집계키_센터],ROW()-1),"")</f>
        <v/>
      </c>
      <c r="G1205" t="str">
        <f t="shared" si="130"/>
        <v/>
      </c>
      <c r="H1205" t="str">
        <f t="shared" si="131"/>
        <v/>
      </c>
      <c r="I1205" t="str">
        <f t="shared" si="132"/>
        <v/>
      </c>
    </row>
    <row r="1206" spans="1:9" x14ac:dyDescent="0.4">
      <c r="A1206" t="str">
        <f t="shared" si="126"/>
        <v/>
      </c>
      <c r="B1206" t="str">
        <f t="shared" si="127"/>
        <v/>
      </c>
      <c r="C1206" t="str">
        <f t="shared" si="128"/>
        <v/>
      </c>
      <c r="D1206" t="str">
        <f t="shared" si="129"/>
        <v/>
      </c>
      <c r="E1206" t="str">
        <f>IF(F1206="","",IF(COUNTIF($F$2:F1206,F1206)&gt;1,"",SUMIFS(tbl_input[필요수량],tbl_input[집계키_센터],F1206)))</f>
        <v/>
      </c>
      <c r="F1206" t="str">
        <f>IFERROR(INDEX(tbl_input[집계키_센터],ROW()-1),"")</f>
        <v/>
      </c>
      <c r="G1206" t="str">
        <f t="shared" si="130"/>
        <v/>
      </c>
      <c r="H1206" t="str">
        <f t="shared" si="131"/>
        <v/>
      </c>
      <c r="I1206" t="str">
        <f t="shared" si="132"/>
        <v/>
      </c>
    </row>
    <row r="1207" spans="1:9" x14ac:dyDescent="0.4">
      <c r="A1207" t="str">
        <f t="shared" si="126"/>
        <v/>
      </c>
      <c r="B1207" t="str">
        <f t="shared" si="127"/>
        <v/>
      </c>
      <c r="C1207" t="str">
        <f t="shared" si="128"/>
        <v/>
      </c>
      <c r="D1207" t="str">
        <f t="shared" si="129"/>
        <v/>
      </c>
      <c r="E1207" t="str">
        <f>IF(F1207="","",IF(COUNTIF($F$2:F1207,F1207)&gt;1,"",SUMIFS(tbl_input[필요수량],tbl_input[집계키_센터],F1207)))</f>
        <v/>
      </c>
      <c r="F1207" t="str">
        <f>IFERROR(INDEX(tbl_input[집계키_센터],ROW()-1),"")</f>
        <v/>
      </c>
      <c r="G1207" t="str">
        <f t="shared" si="130"/>
        <v/>
      </c>
      <c r="H1207" t="str">
        <f t="shared" si="131"/>
        <v/>
      </c>
      <c r="I1207" t="str">
        <f t="shared" si="132"/>
        <v/>
      </c>
    </row>
    <row r="1208" spans="1:9" x14ac:dyDescent="0.4">
      <c r="A1208" t="str">
        <f t="shared" si="126"/>
        <v/>
      </c>
      <c r="B1208" t="str">
        <f t="shared" si="127"/>
        <v/>
      </c>
      <c r="C1208" t="str">
        <f t="shared" si="128"/>
        <v/>
      </c>
      <c r="D1208" t="str">
        <f t="shared" si="129"/>
        <v/>
      </c>
      <c r="E1208" t="str">
        <f>IF(F1208="","",IF(COUNTIF($F$2:F1208,F1208)&gt;1,"",SUMIFS(tbl_input[필요수량],tbl_input[집계키_센터],F1208)))</f>
        <v/>
      </c>
      <c r="F1208" t="str">
        <f>IFERROR(INDEX(tbl_input[집계키_센터],ROW()-1),"")</f>
        <v/>
      </c>
      <c r="G1208" t="str">
        <f t="shared" si="130"/>
        <v/>
      </c>
      <c r="H1208" t="str">
        <f t="shared" si="131"/>
        <v/>
      </c>
      <c r="I1208" t="str">
        <f t="shared" si="132"/>
        <v/>
      </c>
    </row>
    <row r="1209" spans="1:9" x14ac:dyDescent="0.4">
      <c r="A1209" t="str">
        <f t="shared" si="126"/>
        <v/>
      </c>
      <c r="B1209" t="str">
        <f t="shared" si="127"/>
        <v/>
      </c>
      <c r="C1209" t="str">
        <f t="shared" si="128"/>
        <v/>
      </c>
      <c r="D1209" t="str">
        <f t="shared" si="129"/>
        <v/>
      </c>
      <c r="E1209" t="str">
        <f>IF(F1209="","",IF(COUNTIF($F$2:F1209,F1209)&gt;1,"",SUMIFS(tbl_input[필요수량],tbl_input[집계키_센터],F1209)))</f>
        <v/>
      </c>
      <c r="F1209" t="str">
        <f>IFERROR(INDEX(tbl_input[집계키_센터],ROW()-1),"")</f>
        <v/>
      </c>
      <c r="G1209" t="str">
        <f t="shared" si="130"/>
        <v/>
      </c>
      <c r="H1209" t="str">
        <f t="shared" si="131"/>
        <v/>
      </c>
      <c r="I1209" t="str">
        <f t="shared" si="132"/>
        <v/>
      </c>
    </row>
    <row r="1210" spans="1:9" x14ac:dyDescent="0.4">
      <c r="A1210" t="str">
        <f t="shared" si="126"/>
        <v/>
      </c>
      <c r="B1210" t="str">
        <f t="shared" si="127"/>
        <v/>
      </c>
      <c r="C1210" t="str">
        <f t="shared" si="128"/>
        <v/>
      </c>
      <c r="D1210" t="str">
        <f t="shared" si="129"/>
        <v/>
      </c>
      <c r="E1210" t="str">
        <f>IF(F1210="","",IF(COUNTIF($F$2:F1210,F1210)&gt;1,"",SUMIFS(tbl_input[필요수량],tbl_input[집계키_센터],F1210)))</f>
        <v/>
      </c>
      <c r="F1210" t="str">
        <f>IFERROR(INDEX(tbl_input[집계키_센터],ROW()-1),"")</f>
        <v/>
      </c>
      <c r="G1210" t="str">
        <f t="shared" si="130"/>
        <v/>
      </c>
      <c r="H1210" t="str">
        <f t="shared" si="131"/>
        <v/>
      </c>
      <c r="I1210" t="str">
        <f t="shared" si="132"/>
        <v/>
      </c>
    </row>
    <row r="1211" spans="1:9" x14ac:dyDescent="0.4">
      <c r="A1211" t="str">
        <f t="shared" si="126"/>
        <v/>
      </c>
      <c r="B1211" t="str">
        <f t="shared" si="127"/>
        <v/>
      </c>
      <c r="C1211" t="str">
        <f t="shared" si="128"/>
        <v/>
      </c>
      <c r="D1211" t="str">
        <f t="shared" si="129"/>
        <v/>
      </c>
      <c r="E1211" t="str">
        <f>IF(F1211="","",IF(COUNTIF($F$2:F1211,F1211)&gt;1,"",SUMIFS(tbl_input[필요수량],tbl_input[집계키_센터],F1211)))</f>
        <v/>
      </c>
      <c r="F1211" t="str">
        <f>IFERROR(INDEX(tbl_input[집계키_센터],ROW()-1),"")</f>
        <v/>
      </c>
      <c r="G1211" t="str">
        <f t="shared" si="130"/>
        <v/>
      </c>
      <c r="H1211" t="str">
        <f t="shared" si="131"/>
        <v/>
      </c>
      <c r="I1211" t="str">
        <f t="shared" si="132"/>
        <v/>
      </c>
    </row>
    <row r="1212" spans="1:9" x14ac:dyDescent="0.4">
      <c r="A1212" t="str">
        <f t="shared" si="126"/>
        <v/>
      </c>
      <c r="B1212" t="str">
        <f t="shared" si="127"/>
        <v/>
      </c>
      <c r="C1212" t="str">
        <f t="shared" si="128"/>
        <v/>
      </c>
      <c r="D1212" t="str">
        <f t="shared" si="129"/>
        <v/>
      </c>
      <c r="E1212" t="str">
        <f>IF(F1212="","",IF(COUNTIF($F$2:F1212,F1212)&gt;1,"",SUMIFS(tbl_input[필요수량],tbl_input[집계키_센터],F1212)))</f>
        <v/>
      </c>
      <c r="F1212" t="str">
        <f>IFERROR(INDEX(tbl_input[집계키_센터],ROW()-1),"")</f>
        <v/>
      </c>
      <c r="G1212" t="str">
        <f t="shared" si="130"/>
        <v/>
      </c>
      <c r="H1212" t="str">
        <f t="shared" si="131"/>
        <v/>
      </c>
      <c r="I1212" t="str">
        <f t="shared" si="132"/>
        <v/>
      </c>
    </row>
    <row r="1213" spans="1:9" x14ac:dyDescent="0.4">
      <c r="A1213" t="str">
        <f t="shared" si="126"/>
        <v/>
      </c>
      <c r="B1213" t="str">
        <f t="shared" si="127"/>
        <v/>
      </c>
      <c r="C1213" t="str">
        <f t="shared" si="128"/>
        <v/>
      </c>
      <c r="D1213" t="str">
        <f t="shared" si="129"/>
        <v/>
      </c>
      <c r="E1213" t="str">
        <f>IF(F1213="","",IF(COUNTIF($F$2:F1213,F1213)&gt;1,"",SUMIFS(tbl_input[필요수량],tbl_input[집계키_센터],F1213)))</f>
        <v/>
      </c>
      <c r="F1213" t="str">
        <f>IFERROR(INDEX(tbl_input[집계키_센터],ROW()-1),"")</f>
        <v/>
      </c>
      <c r="G1213" t="str">
        <f t="shared" si="130"/>
        <v/>
      </c>
      <c r="H1213" t="str">
        <f t="shared" si="131"/>
        <v/>
      </c>
      <c r="I1213" t="str">
        <f t="shared" si="132"/>
        <v/>
      </c>
    </row>
    <row r="1214" spans="1:9" x14ac:dyDescent="0.4">
      <c r="A1214" t="str">
        <f t="shared" si="126"/>
        <v/>
      </c>
      <c r="B1214" t="str">
        <f t="shared" si="127"/>
        <v/>
      </c>
      <c r="C1214" t="str">
        <f t="shared" si="128"/>
        <v/>
      </c>
      <c r="D1214" t="str">
        <f t="shared" si="129"/>
        <v/>
      </c>
      <c r="E1214" t="str">
        <f>IF(F1214="","",IF(COUNTIF($F$2:F1214,F1214)&gt;1,"",SUMIFS(tbl_input[필요수량],tbl_input[집계키_센터],F1214)))</f>
        <v/>
      </c>
      <c r="F1214" t="str">
        <f>IFERROR(INDEX(tbl_input[집계키_센터],ROW()-1),"")</f>
        <v/>
      </c>
      <c r="G1214" t="str">
        <f t="shared" si="130"/>
        <v/>
      </c>
      <c r="H1214" t="str">
        <f t="shared" si="131"/>
        <v/>
      </c>
      <c r="I1214" t="str">
        <f t="shared" si="132"/>
        <v/>
      </c>
    </row>
    <row r="1215" spans="1:9" x14ac:dyDescent="0.4">
      <c r="A1215" t="str">
        <f t="shared" si="126"/>
        <v/>
      </c>
      <c r="B1215" t="str">
        <f t="shared" si="127"/>
        <v/>
      </c>
      <c r="C1215" t="str">
        <f t="shared" si="128"/>
        <v/>
      </c>
      <c r="D1215" t="str">
        <f t="shared" si="129"/>
        <v/>
      </c>
      <c r="E1215" t="str">
        <f>IF(F1215="","",IF(COUNTIF($F$2:F1215,F1215)&gt;1,"",SUMIFS(tbl_input[필요수량],tbl_input[집계키_센터],F1215)))</f>
        <v/>
      </c>
      <c r="F1215" t="str">
        <f>IFERROR(INDEX(tbl_input[집계키_센터],ROW()-1),"")</f>
        <v/>
      </c>
      <c r="G1215" t="str">
        <f t="shared" si="130"/>
        <v/>
      </c>
      <c r="H1215" t="str">
        <f t="shared" si="131"/>
        <v/>
      </c>
      <c r="I1215" t="str">
        <f t="shared" si="132"/>
        <v/>
      </c>
    </row>
    <row r="1216" spans="1:9" x14ac:dyDescent="0.4">
      <c r="A1216" t="str">
        <f t="shared" si="126"/>
        <v/>
      </c>
      <c r="B1216" t="str">
        <f t="shared" si="127"/>
        <v/>
      </c>
      <c r="C1216" t="str">
        <f t="shared" si="128"/>
        <v/>
      </c>
      <c r="D1216" t="str">
        <f t="shared" si="129"/>
        <v/>
      </c>
      <c r="E1216" t="str">
        <f>IF(F1216="","",IF(COUNTIF($F$2:F1216,F1216)&gt;1,"",SUMIFS(tbl_input[필요수량],tbl_input[집계키_센터],F1216)))</f>
        <v/>
      </c>
      <c r="F1216" t="str">
        <f>IFERROR(INDEX(tbl_input[집계키_센터],ROW()-1),"")</f>
        <v/>
      </c>
      <c r="G1216" t="str">
        <f t="shared" si="130"/>
        <v/>
      </c>
      <c r="H1216" t="str">
        <f t="shared" si="131"/>
        <v/>
      </c>
      <c r="I1216" t="str">
        <f t="shared" si="132"/>
        <v/>
      </c>
    </row>
    <row r="1217" spans="1:9" x14ac:dyDescent="0.4">
      <c r="A1217" t="str">
        <f t="shared" si="126"/>
        <v/>
      </c>
      <c r="B1217" t="str">
        <f t="shared" si="127"/>
        <v/>
      </c>
      <c r="C1217" t="str">
        <f t="shared" si="128"/>
        <v/>
      </c>
      <c r="D1217" t="str">
        <f t="shared" si="129"/>
        <v/>
      </c>
      <c r="E1217" t="str">
        <f>IF(F1217="","",IF(COUNTIF($F$2:F1217,F1217)&gt;1,"",SUMIFS(tbl_input[필요수량],tbl_input[집계키_센터],F1217)))</f>
        <v/>
      </c>
      <c r="F1217" t="str">
        <f>IFERROR(INDEX(tbl_input[집계키_센터],ROW()-1),"")</f>
        <v/>
      </c>
      <c r="G1217" t="str">
        <f t="shared" si="130"/>
        <v/>
      </c>
      <c r="H1217" t="str">
        <f t="shared" si="131"/>
        <v/>
      </c>
      <c r="I1217" t="str">
        <f t="shared" si="132"/>
        <v/>
      </c>
    </row>
    <row r="1218" spans="1:9" x14ac:dyDescent="0.4">
      <c r="A1218" t="str">
        <f t="shared" ref="A1218:A1281" si="133">IF(F1218="","",LEFT(F1218,G1218-1))</f>
        <v/>
      </c>
      <c r="B1218" t="str">
        <f t="shared" ref="B1218:B1281" si="134">IF(F1218="","",MID(F1218,G1218+1,H1218-G1218-1))</f>
        <v/>
      </c>
      <c r="C1218" t="str">
        <f t="shared" ref="C1218:C1281" si="135">IF(F1218="","",MID(F1218,H1218+1,I1218-H1218-1))</f>
        <v/>
      </c>
      <c r="D1218" t="str">
        <f t="shared" ref="D1218:D1281" si="136">IF(F1218="","",MID(F1218,I1218+1,999))</f>
        <v/>
      </c>
      <c r="E1218" t="str">
        <f>IF(F1218="","",IF(COUNTIF($F$2:F1218,F1218)&gt;1,"",SUMIFS(tbl_input[필요수량],tbl_input[집계키_센터],F1218)))</f>
        <v/>
      </c>
      <c r="F1218" t="str">
        <f>IFERROR(INDEX(tbl_input[집계키_센터],ROW()-1),"")</f>
        <v/>
      </c>
      <c r="G1218" t="str">
        <f t="shared" ref="G1218:G1281" si="137">IF(F1218="","",FIND("♦",F1218))</f>
        <v/>
      </c>
      <c r="H1218" t="str">
        <f t="shared" ref="H1218:H1281" si="138">IF(F1218="","",FIND("♦",F1218,G1218+1))</f>
        <v/>
      </c>
      <c r="I1218" t="str">
        <f t="shared" ref="I1218:I1281" si="139">IF(F1218="","",FIND("♦",F1218,H1218+1))</f>
        <v/>
      </c>
    </row>
    <row r="1219" spans="1:9" x14ac:dyDescent="0.4">
      <c r="A1219" t="str">
        <f t="shared" si="133"/>
        <v/>
      </c>
      <c r="B1219" t="str">
        <f t="shared" si="134"/>
        <v/>
      </c>
      <c r="C1219" t="str">
        <f t="shared" si="135"/>
        <v/>
      </c>
      <c r="D1219" t="str">
        <f t="shared" si="136"/>
        <v/>
      </c>
      <c r="E1219" t="str">
        <f>IF(F1219="","",IF(COUNTIF($F$2:F1219,F1219)&gt;1,"",SUMIFS(tbl_input[필요수량],tbl_input[집계키_센터],F1219)))</f>
        <v/>
      </c>
      <c r="F1219" t="str">
        <f>IFERROR(INDEX(tbl_input[집계키_센터],ROW()-1),"")</f>
        <v/>
      </c>
      <c r="G1219" t="str">
        <f t="shared" si="137"/>
        <v/>
      </c>
      <c r="H1219" t="str">
        <f t="shared" si="138"/>
        <v/>
      </c>
      <c r="I1219" t="str">
        <f t="shared" si="139"/>
        <v/>
      </c>
    </row>
    <row r="1220" spans="1:9" x14ac:dyDescent="0.4">
      <c r="A1220" t="str">
        <f t="shared" si="133"/>
        <v/>
      </c>
      <c r="B1220" t="str">
        <f t="shared" si="134"/>
        <v/>
      </c>
      <c r="C1220" t="str">
        <f t="shared" si="135"/>
        <v/>
      </c>
      <c r="D1220" t="str">
        <f t="shared" si="136"/>
        <v/>
      </c>
      <c r="E1220" t="str">
        <f>IF(F1220="","",IF(COUNTIF($F$2:F1220,F1220)&gt;1,"",SUMIFS(tbl_input[필요수량],tbl_input[집계키_센터],F1220)))</f>
        <v/>
      </c>
      <c r="F1220" t="str">
        <f>IFERROR(INDEX(tbl_input[집계키_센터],ROW()-1),"")</f>
        <v/>
      </c>
      <c r="G1220" t="str">
        <f t="shared" si="137"/>
        <v/>
      </c>
      <c r="H1220" t="str">
        <f t="shared" si="138"/>
        <v/>
      </c>
      <c r="I1220" t="str">
        <f t="shared" si="139"/>
        <v/>
      </c>
    </row>
    <row r="1221" spans="1:9" x14ac:dyDescent="0.4">
      <c r="A1221" t="str">
        <f t="shared" si="133"/>
        <v/>
      </c>
      <c r="B1221" t="str">
        <f t="shared" si="134"/>
        <v/>
      </c>
      <c r="C1221" t="str">
        <f t="shared" si="135"/>
        <v/>
      </c>
      <c r="D1221" t="str">
        <f t="shared" si="136"/>
        <v/>
      </c>
      <c r="E1221" t="str">
        <f>IF(F1221="","",IF(COUNTIF($F$2:F1221,F1221)&gt;1,"",SUMIFS(tbl_input[필요수량],tbl_input[집계키_센터],F1221)))</f>
        <v/>
      </c>
      <c r="F1221" t="str">
        <f>IFERROR(INDEX(tbl_input[집계키_센터],ROW()-1),"")</f>
        <v/>
      </c>
      <c r="G1221" t="str">
        <f t="shared" si="137"/>
        <v/>
      </c>
      <c r="H1221" t="str">
        <f t="shared" si="138"/>
        <v/>
      </c>
      <c r="I1221" t="str">
        <f t="shared" si="139"/>
        <v/>
      </c>
    </row>
    <row r="1222" spans="1:9" x14ac:dyDescent="0.4">
      <c r="A1222" t="str">
        <f t="shared" si="133"/>
        <v/>
      </c>
      <c r="B1222" t="str">
        <f t="shared" si="134"/>
        <v/>
      </c>
      <c r="C1222" t="str">
        <f t="shared" si="135"/>
        <v/>
      </c>
      <c r="D1222" t="str">
        <f t="shared" si="136"/>
        <v/>
      </c>
      <c r="E1222" t="str">
        <f>IF(F1222="","",IF(COUNTIF($F$2:F1222,F1222)&gt;1,"",SUMIFS(tbl_input[필요수량],tbl_input[집계키_센터],F1222)))</f>
        <v/>
      </c>
      <c r="F1222" t="str">
        <f>IFERROR(INDEX(tbl_input[집계키_센터],ROW()-1),"")</f>
        <v/>
      </c>
      <c r="G1222" t="str">
        <f t="shared" si="137"/>
        <v/>
      </c>
      <c r="H1222" t="str">
        <f t="shared" si="138"/>
        <v/>
      </c>
      <c r="I1222" t="str">
        <f t="shared" si="139"/>
        <v/>
      </c>
    </row>
    <row r="1223" spans="1:9" x14ac:dyDescent="0.4">
      <c r="A1223" t="str">
        <f t="shared" si="133"/>
        <v/>
      </c>
      <c r="B1223" t="str">
        <f t="shared" si="134"/>
        <v/>
      </c>
      <c r="C1223" t="str">
        <f t="shared" si="135"/>
        <v/>
      </c>
      <c r="D1223" t="str">
        <f t="shared" si="136"/>
        <v/>
      </c>
      <c r="E1223" t="str">
        <f>IF(F1223="","",IF(COUNTIF($F$2:F1223,F1223)&gt;1,"",SUMIFS(tbl_input[필요수량],tbl_input[집계키_센터],F1223)))</f>
        <v/>
      </c>
      <c r="F1223" t="str">
        <f>IFERROR(INDEX(tbl_input[집계키_센터],ROW()-1),"")</f>
        <v/>
      </c>
      <c r="G1223" t="str">
        <f t="shared" si="137"/>
        <v/>
      </c>
      <c r="H1223" t="str">
        <f t="shared" si="138"/>
        <v/>
      </c>
      <c r="I1223" t="str">
        <f t="shared" si="139"/>
        <v/>
      </c>
    </row>
    <row r="1224" spans="1:9" x14ac:dyDescent="0.4">
      <c r="A1224" t="str">
        <f t="shared" si="133"/>
        <v/>
      </c>
      <c r="B1224" t="str">
        <f t="shared" si="134"/>
        <v/>
      </c>
      <c r="C1224" t="str">
        <f t="shared" si="135"/>
        <v/>
      </c>
      <c r="D1224" t="str">
        <f t="shared" si="136"/>
        <v/>
      </c>
      <c r="E1224" t="str">
        <f>IF(F1224="","",IF(COUNTIF($F$2:F1224,F1224)&gt;1,"",SUMIFS(tbl_input[필요수량],tbl_input[집계키_센터],F1224)))</f>
        <v/>
      </c>
      <c r="F1224" t="str">
        <f>IFERROR(INDEX(tbl_input[집계키_센터],ROW()-1),"")</f>
        <v/>
      </c>
      <c r="G1224" t="str">
        <f t="shared" si="137"/>
        <v/>
      </c>
      <c r="H1224" t="str">
        <f t="shared" si="138"/>
        <v/>
      </c>
      <c r="I1224" t="str">
        <f t="shared" si="139"/>
        <v/>
      </c>
    </row>
    <row r="1225" spans="1:9" x14ac:dyDescent="0.4">
      <c r="A1225" t="str">
        <f t="shared" si="133"/>
        <v/>
      </c>
      <c r="B1225" t="str">
        <f t="shared" si="134"/>
        <v/>
      </c>
      <c r="C1225" t="str">
        <f t="shared" si="135"/>
        <v/>
      </c>
      <c r="D1225" t="str">
        <f t="shared" si="136"/>
        <v/>
      </c>
      <c r="E1225" t="str">
        <f>IF(F1225="","",IF(COUNTIF($F$2:F1225,F1225)&gt;1,"",SUMIFS(tbl_input[필요수량],tbl_input[집계키_센터],F1225)))</f>
        <v/>
      </c>
      <c r="F1225" t="str">
        <f>IFERROR(INDEX(tbl_input[집계키_센터],ROW()-1),"")</f>
        <v/>
      </c>
      <c r="G1225" t="str">
        <f t="shared" si="137"/>
        <v/>
      </c>
      <c r="H1225" t="str">
        <f t="shared" si="138"/>
        <v/>
      </c>
      <c r="I1225" t="str">
        <f t="shared" si="139"/>
        <v/>
      </c>
    </row>
    <row r="1226" spans="1:9" x14ac:dyDescent="0.4">
      <c r="A1226" t="str">
        <f t="shared" si="133"/>
        <v/>
      </c>
      <c r="B1226" t="str">
        <f t="shared" si="134"/>
        <v/>
      </c>
      <c r="C1226" t="str">
        <f t="shared" si="135"/>
        <v/>
      </c>
      <c r="D1226" t="str">
        <f t="shared" si="136"/>
        <v/>
      </c>
      <c r="E1226" t="str">
        <f>IF(F1226="","",IF(COUNTIF($F$2:F1226,F1226)&gt;1,"",SUMIFS(tbl_input[필요수량],tbl_input[집계키_센터],F1226)))</f>
        <v/>
      </c>
      <c r="F1226" t="str">
        <f>IFERROR(INDEX(tbl_input[집계키_센터],ROW()-1),"")</f>
        <v/>
      </c>
      <c r="G1226" t="str">
        <f t="shared" si="137"/>
        <v/>
      </c>
      <c r="H1226" t="str">
        <f t="shared" si="138"/>
        <v/>
      </c>
      <c r="I1226" t="str">
        <f t="shared" si="139"/>
        <v/>
      </c>
    </row>
    <row r="1227" spans="1:9" x14ac:dyDescent="0.4">
      <c r="A1227" t="str">
        <f t="shared" si="133"/>
        <v/>
      </c>
      <c r="B1227" t="str">
        <f t="shared" si="134"/>
        <v/>
      </c>
      <c r="C1227" t="str">
        <f t="shared" si="135"/>
        <v/>
      </c>
      <c r="D1227" t="str">
        <f t="shared" si="136"/>
        <v/>
      </c>
      <c r="E1227" t="str">
        <f>IF(F1227="","",IF(COUNTIF($F$2:F1227,F1227)&gt;1,"",SUMIFS(tbl_input[필요수량],tbl_input[집계키_센터],F1227)))</f>
        <v/>
      </c>
      <c r="F1227" t="str">
        <f>IFERROR(INDEX(tbl_input[집계키_센터],ROW()-1),"")</f>
        <v/>
      </c>
      <c r="G1227" t="str">
        <f t="shared" si="137"/>
        <v/>
      </c>
      <c r="H1227" t="str">
        <f t="shared" si="138"/>
        <v/>
      </c>
      <c r="I1227" t="str">
        <f t="shared" si="139"/>
        <v/>
      </c>
    </row>
    <row r="1228" spans="1:9" x14ac:dyDescent="0.4">
      <c r="A1228" t="str">
        <f t="shared" si="133"/>
        <v/>
      </c>
      <c r="B1228" t="str">
        <f t="shared" si="134"/>
        <v/>
      </c>
      <c r="C1228" t="str">
        <f t="shared" si="135"/>
        <v/>
      </c>
      <c r="D1228" t="str">
        <f t="shared" si="136"/>
        <v/>
      </c>
      <c r="E1228" t="str">
        <f>IF(F1228="","",IF(COUNTIF($F$2:F1228,F1228)&gt;1,"",SUMIFS(tbl_input[필요수량],tbl_input[집계키_센터],F1228)))</f>
        <v/>
      </c>
      <c r="F1228" t="str">
        <f>IFERROR(INDEX(tbl_input[집계키_센터],ROW()-1),"")</f>
        <v/>
      </c>
      <c r="G1228" t="str">
        <f t="shared" si="137"/>
        <v/>
      </c>
      <c r="H1228" t="str">
        <f t="shared" si="138"/>
        <v/>
      </c>
      <c r="I1228" t="str">
        <f t="shared" si="139"/>
        <v/>
      </c>
    </row>
    <row r="1229" spans="1:9" x14ac:dyDescent="0.4">
      <c r="A1229" t="str">
        <f t="shared" si="133"/>
        <v/>
      </c>
      <c r="B1229" t="str">
        <f t="shared" si="134"/>
        <v/>
      </c>
      <c r="C1229" t="str">
        <f t="shared" si="135"/>
        <v/>
      </c>
      <c r="D1229" t="str">
        <f t="shared" si="136"/>
        <v/>
      </c>
      <c r="E1229" t="str">
        <f>IF(F1229="","",IF(COUNTIF($F$2:F1229,F1229)&gt;1,"",SUMIFS(tbl_input[필요수량],tbl_input[집계키_센터],F1229)))</f>
        <v/>
      </c>
      <c r="F1229" t="str">
        <f>IFERROR(INDEX(tbl_input[집계키_센터],ROW()-1),"")</f>
        <v/>
      </c>
      <c r="G1229" t="str">
        <f t="shared" si="137"/>
        <v/>
      </c>
      <c r="H1229" t="str">
        <f t="shared" si="138"/>
        <v/>
      </c>
      <c r="I1229" t="str">
        <f t="shared" si="139"/>
        <v/>
      </c>
    </row>
    <row r="1230" spans="1:9" x14ac:dyDescent="0.4">
      <c r="A1230" t="str">
        <f t="shared" si="133"/>
        <v/>
      </c>
      <c r="B1230" t="str">
        <f t="shared" si="134"/>
        <v/>
      </c>
      <c r="C1230" t="str">
        <f t="shared" si="135"/>
        <v/>
      </c>
      <c r="D1230" t="str">
        <f t="shared" si="136"/>
        <v/>
      </c>
      <c r="E1230" t="str">
        <f>IF(F1230="","",IF(COUNTIF($F$2:F1230,F1230)&gt;1,"",SUMIFS(tbl_input[필요수량],tbl_input[집계키_센터],F1230)))</f>
        <v/>
      </c>
      <c r="F1230" t="str">
        <f>IFERROR(INDEX(tbl_input[집계키_센터],ROW()-1),"")</f>
        <v/>
      </c>
      <c r="G1230" t="str">
        <f t="shared" si="137"/>
        <v/>
      </c>
      <c r="H1230" t="str">
        <f t="shared" si="138"/>
        <v/>
      </c>
      <c r="I1230" t="str">
        <f t="shared" si="139"/>
        <v/>
      </c>
    </row>
    <row r="1231" spans="1:9" x14ac:dyDescent="0.4">
      <c r="A1231" t="str">
        <f t="shared" si="133"/>
        <v/>
      </c>
      <c r="B1231" t="str">
        <f t="shared" si="134"/>
        <v/>
      </c>
      <c r="C1231" t="str">
        <f t="shared" si="135"/>
        <v/>
      </c>
      <c r="D1231" t="str">
        <f t="shared" si="136"/>
        <v/>
      </c>
      <c r="E1231" t="str">
        <f>IF(F1231="","",IF(COUNTIF($F$2:F1231,F1231)&gt;1,"",SUMIFS(tbl_input[필요수량],tbl_input[집계키_센터],F1231)))</f>
        <v/>
      </c>
      <c r="F1231" t="str">
        <f>IFERROR(INDEX(tbl_input[집계키_센터],ROW()-1),"")</f>
        <v/>
      </c>
      <c r="G1231" t="str">
        <f t="shared" si="137"/>
        <v/>
      </c>
      <c r="H1231" t="str">
        <f t="shared" si="138"/>
        <v/>
      </c>
      <c r="I1231" t="str">
        <f t="shared" si="139"/>
        <v/>
      </c>
    </row>
    <row r="1232" spans="1:9" x14ac:dyDescent="0.4">
      <c r="A1232" t="str">
        <f t="shared" si="133"/>
        <v/>
      </c>
      <c r="B1232" t="str">
        <f t="shared" si="134"/>
        <v/>
      </c>
      <c r="C1232" t="str">
        <f t="shared" si="135"/>
        <v/>
      </c>
      <c r="D1232" t="str">
        <f t="shared" si="136"/>
        <v/>
      </c>
      <c r="E1232" t="str">
        <f>IF(F1232="","",IF(COUNTIF($F$2:F1232,F1232)&gt;1,"",SUMIFS(tbl_input[필요수량],tbl_input[집계키_센터],F1232)))</f>
        <v/>
      </c>
      <c r="F1232" t="str">
        <f>IFERROR(INDEX(tbl_input[집계키_센터],ROW()-1),"")</f>
        <v/>
      </c>
      <c r="G1232" t="str">
        <f t="shared" si="137"/>
        <v/>
      </c>
      <c r="H1232" t="str">
        <f t="shared" si="138"/>
        <v/>
      </c>
      <c r="I1232" t="str">
        <f t="shared" si="139"/>
        <v/>
      </c>
    </row>
    <row r="1233" spans="1:9" x14ac:dyDescent="0.4">
      <c r="A1233" t="str">
        <f t="shared" si="133"/>
        <v/>
      </c>
      <c r="B1233" t="str">
        <f t="shared" si="134"/>
        <v/>
      </c>
      <c r="C1233" t="str">
        <f t="shared" si="135"/>
        <v/>
      </c>
      <c r="D1233" t="str">
        <f t="shared" si="136"/>
        <v/>
      </c>
      <c r="E1233" t="str">
        <f>IF(F1233="","",IF(COUNTIF($F$2:F1233,F1233)&gt;1,"",SUMIFS(tbl_input[필요수량],tbl_input[집계키_센터],F1233)))</f>
        <v/>
      </c>
      <c r="F1233" t="str">
        <f>IFERROR(INDEX(tbl_input[집계키_센터],ROW()-1),"")</f>
        <v/>
      </c>
      <c r="G1233" t="str">
        <f t="shared" si="137"/>
        <v/>
      </c>
      <c r="H1233" t="str">
        <f t="shared" si="138"/>
        <v/>
      </c>
      <c r="I1233" t="str">
        <f t="shared" si="139"/>
        <v/>
      </c>
    </row>
    <row r="1234" spans="1:9" x14ac:dyDescent="0.4">
      <c r="A1234" t="str">
        <f t="shared" si="133"/>
        <v/>
      </c>
      <c r="B1234" t="str">
        <f t="shared" si="134"/>
        <v/>
      </c>
      <c r="C1234" t="str">
        <f t="shared" si="135"/>
        <v/>
      </c>
      <c r="D1234" t="str">
        <f t="shared" si="136"/>
        <v/>
      </c>
      <c r="E1234" t="str">
        <f>IF(F1234="","",IF(COUNTIF($F$2:F1234,F1234)&gt;1,"",SUMIFS(tbl_input[필요수량],tbl_input[집계키_센터],F1234)))</f>
        <v/>
      </c>
      <c r="F1234" t="str">
        <f>IFERROR(INDEX(tbl_input[집계키_센터],ROW()-1),"")</f>
        <v/>
      </c>
      <c r="G1234" t="str">
        <f t="shared" si="137"/>
        <v/>
      </c>
      <c r="H1234" t="str">
        <f t="shared" si="138"/>
        <v/>
      </c>
      <c r="I1234" t="str">
        <f t="shared" si="139"/>
        <v/>
      </c>
    </row>
    <row r="1235" spans="1:9" x14ac:dyDescent="0.4">
      <c r="A1235" t="str">
        <f t="shared" si="133"/>
        <v/>
      </c>
      <c r="B1235" t="str">
        <f t="shared" si="134"/>
        <v/>
      </c>
      <c r="C1235" t="str">
        <f t="shared" si="135"/>
        <v/>
      </c>
      <c r="D1235" t="str">
        <f t="shared" si="136"/>
        <v/>
      </c>
      <c r="E1235" t="str">
        <f>IF(F1235="","",IF(COUNTIF($F$2:F1235,F1235)&gt;1,"",SUMIFS(tbl_input[필요수량],tbl_input[집계키_센터],F1235)))</f>
        <v/>
      </c>
      <c r="F1235" t="str">
        <f>IFERROR(INDEX(tbl_input[집계키_센터],ROW()-1),"")</f>
        <v/>
      </c>
      <c r="G1235" t="str">
        <f t="shared" si="137"/>
        <v/>
      </c>
      <c r="H1235" t="str">
        <f t="shared" si="138"/>
        <v/>
      </c>
      <c r="I1235" t="str">
        <f t="shared" si="139"/>
        <v/>
      </c>
    </row>
    <row r="1236" spans="1:9" x14ac:dyDescent="0.4">
      <c r="A1236" t="str">
        <f t="shared" si="133"/>
        <v/>
      </c>
      <c r="B1236" t="str">
        <f t="shared" si="134"/>
        <v/>
      </c>
      <c r="C1236" t="str">
        <f t="shared" si="135"/>
        <v/>
      </c>
      <c r="D1236" t="str">
        <f t="shared" si="136"/>
        <v/>
      </c>
      <c r="E1236" t="str">
        <f>IF(F1236="","",IF(COUNTIF($F$2:F1236,F1236)&gt;1,"",SUMIFS(tbl_input[필요수량],tbl_input[집계키_센터],F1236)))</f>
        <v/>
      </c>
      <c r="F1236" t="str">
        <f>IFERROR(INDEX(tbl_input[집계키_센터],ROW()-1),"")</f>
        <v/>
      </c>
      <c r="G1236" t="str">
        <f t="shared" si="137"/>
        <v/>
      </c>
      <c r="H1236" t="str">
        <f t="shared" si="138"/>
        <v/>
      </c>
      <c r="I1236" t="str">
        <f t="shared" si="139"/>
        <v/>
      </c>
    </row>
    <row r="1237" spans="1:9" x14ac:dyDescent="0.4">
      <c r="A1237" t="str">
        <f t="shared" si="133"/>
        <v/>
      </c>
      <c r="B1237" t="str">
        <f t="shared" si="134"/>
        <v/>
      </c>
      <c r="C1237" t="str">
        <f t="shared" si="135"/>
        <v/>
      </c>
      <c r="D1237" t="str">
        <f t="shared" si="136"/>
        <v/>
      </c>
      <c r="E1237" t="str">
        <f>IF(F1237="","",IF(COUNTIF($F$2:F1237,F1237)&gt;1,"",SUMIFS(tbl_input[필요수량],tbl_input[집계키_센터],F1237)))</f>
        <v/>
      </c>
      <c r="F1237" t="str">
        <f>IFERROR(INDEX(tbl_input[집계키_센터],ROW()-1),"")</f>
        <v/>
      </c>
      <c r="G1237" t="str">
        <f t="shared" si="137"/>
        <v/>
      </c>
      <c r="H1237" t="str">
        <f t="shared" si="138"/>
        <v/>
      </c>
      <c r="I1237" t="str">
        <f t="shared" si="139"/>
        <v/>
      </c>
    </row>
    <row r="1238" spans="1:9" x14ac:dyDescent="0.4">
      <c r="A1238" t="str">
        <f t="shared" si="133"/>
        <v/>
      </c>
      <c r="B1238" t="str">
        <f t="shared" si="134"/>
        <v/>
      </c>
      <c r="C1238" t="str">
        <f t="shared" si="135"/>
        <v/>
      </c>
      <c r="D1238" t="str">
        <f t="shared" si="136"/>
        <v/>
      </c>
      <c r="E1238" t="str">
        <f>IF(F1238="","",IF(COUNTIF($F$2:F1238,F1238)&gt;1,"",SUMIFS(tbl_input[필요수량],tbl_input[집계키_센터],F1238)))</f>
        <v/>
      </c>
      <c r="F1238" t="str">
        <f>IFERROR(INDEX(tbl_input[집계키_센터],ROW()-1),"")</f>
        <v/>
      </c>
      <c r="G1238" t="str">
        <f t="shared" si="137"/>
        <v/>
      </c>
      <c r="H1238" t="str">
        <f t="shared" si="138"/>
        <v/>
      </c>
      <c r="I1238" t="str">
        <f t="shared" si="139"/>
        <v/>
      </c>
    </row>
    <row r="1239" spans="1:9" x14ac:dyDescent="0.4">
      <c r="A1239" t="str">
        <f t="shared" si="133"/>
        <v/>
      </c>
      <c r="B1239" t="str">
        <f t="shared" si="134"/>
        <v/>
      </c>
      <c r="C1239" t="str">
        <f t="shared" si="135"/>
        <v/>
      </c>
      <c r="D1239" t="str">
        <f t="shared" si="136"/>
        <v/>
      </c>
      <c r="E1239" t="str">
        <f>IF(F1239="","",IF(COUNTIF($F$2:F1239,F1239)&gt;1,"",SUMIFS(tbl_input[필요수량],tbl_input[집계키_센터],F1239)))</f>
        <v/>
      </c>
      <c r="F1239" t="str">
        <f>IFERROR(INDEX(tbl_input[집계키_센터],ROW()-1),"")</f>
        <v/>
      </c>
      <c r="G1239" t="str">
        <f t="shared" si="137"/>
        <v/>
      </c>
      <c r="H1239" t="str">
        <f t="shared" si="138"/>
        <v/>
      </c>
      <c r="I1239" t="str">
        <f t="shared" si="139"/>
        <v/>
      </c>
    </row>
    <row r="1240" spans="1:9" x14ac:dyDescent="0.4">
      <c r="A1240" t="str">
        <f t="shared" si="133"/>
        <v/>
      </c>
      <c r="B1240" t="str">
        <f t="shared" si="134"/>
        <v/>
      </c>
      <c r="C1240" t="str">
        <f t="shared" si="135"/>
        <v/>
      </c>
      <c r="D1240" t="str">
        <f t="shared" si="136"/>
        <v/>
      </c>
      <c r="E1240" t="str">
        <f>IF(F1240="","",IF(COUNTIF($F$2:F1240,F1240)&gt;1,"",SUMIFS(tbl_input[필요수량],tbl_input[집계키_센터],F1240)))</f>
        <v/>
      </c>
      <c r="F1240" t="str">
        <f>IFERROR(INDEX(tbl_input[집계키_센터],ROW()-1),"")</f>
        <v/>
      </c>
      <c r="G1240" t="str">
        <f t="shared" si="137"/>
        <v/>
      </c>
      <c r="H1240" t="str">
        <f t="shared" si="138"/>
        <v/>
      </c>
      <c r="I1240" t="str">
        <f t="shared" si="139"/>
        <v/>
      </c>
    </row>
    <row r="1241" spans="1:9" x14ac:dyDescent="0.4">
      <c r="A1241" t="str">
        <f t="shared" si="133"/>
        <v/>
      </c>
      <c r="B1241" t="str">
        <f t="shared" si="134"/>
        <v/>
      </c>
      <c r="C1241" t="str">
        <f t="shared" si="135"/>
        <v/>
      </c>
      <c r="D1241" t="str">
        <f t="shared" si="136"/>
        <v/>
      </c>
      <c r="E1241" t="str">
        <f>IF(F1241="","",IF(COUNTIF($F$2:F1241,F1241)&gt;1,"",SUMIFS(tbl_input[필요수량],tbl_input[집계키_센터],F1241)))</f>
        <v/>
      </c>
      <c r="F1241" t="str">
        <f>IFERROR(INDEX(tbl_input[집계키_센터],ROW()-1),"")</f>
        <v/>
      </c>
      <c r="G1241" t="str">
        <f t="shared" si="137"/>
        <v/>
      </c>
      <c r="H1241" t="str">
        <f t="shared" si="138"/>
        <v/>
      </c>
      <c r="I1241" t="str">
        <f t="shared" si="139"/>
        <v/>
      </c>
    </row>
    <row r="1242" spans="1:9" x14ac:dyDescent="0.4">
      <c r="A1242" t="str">
        <f t="shared" si="133"/>
        <v/>
      </c>
      <c r="B1242" t="str">
        <f t="shared" si="134"/>
        <v/>
      </c>
      <c r="C1242" t="str">
        <f t="shared" si="135"/>
        <v/>
      </c>
      <c r="D1242" t="str">
        <f t="shared" si="136"/>
        <v/>
      </c>
      <c r="E1242" t="str">
        <f>IF(F1242="","",IF(COUNTIF($F$2:F1242,F1242)&gt;1,"",SUMIFS(tbl_input[필요수량],tbl_input[집계키_센터],F1242)))</f>
        <v/>
      </c>
      <c r="F1242" t="str">
        <f>IFERROR(INDEX(tbl_input[집계키_센터],ROW()-1),"")</f>
        <v/>
      </c>
      <c r="G1242" t="str">
        <f t="shared" si="137"/>
        <v/>
      </c>
      <c r="H1242" t="str">
        <f t="shared" si="138"/>
        <v/>
      </c>
      <c r="I1242" t="str">
        <f t="shared" si="139"/>
        <v/>
      </c>
    </row>
    <row r="1243" spans="1:9" x14ac:dyDescent="0.4">
      <c r="A1243" t="str">
        <f t="shared" si="133"/>
        <v/>
      </c>
      <c r="B1243" t="str">
        <f t="shared" si="134"/>
        <v/>
      </c>
      <c r="C1243" t="str">
        <f t="shared" si="135"/>
        <v/>
      </c>
      <c r="D1243" t="str">
        <f t="shared" si="136"/>
        <v/>
      </c>
      <c r="E1243" t="str">
        <f>IF(F1243="","",IF(COUNTIF($F$2:F1243,F1243)&gt;1,"",SUMIFS(tbl_input[필요수량],tbl_input[집계키_센터],F1243)))</f>
        <v/>
      </c>
      <c r="F1243" t="str">
        <f>IFERROR(INDEX(tbl_input[집계키_센터],ROW()-1),"")</f>
        <v/>
      </c>
      <c r="G1243" t="str">
        <f t="shared" si="137"/>
        <v/>
      </c>
      <c r="H1243" t="str">
        <f t="shared" si="138"/>
        <v/>
      </c>
      <c r="I1243" t="str">
        <f t="shared" si="139"/>
        <v/>
      </c>
    </row>
    <row r="1244" spans="1:9" x14ac:dyDescent="0.4">
      <c r="A1244" t="str">
        <f t="shared" si="133"/>
        <v/>
      </c>
      <c r="B1244" t="str">
        <f t="shared" si="134"/>
        <v/>
      </c>
      <c r="C1244" t="str">
        <f t="shared" si="135"/>
        <v/>
      </c>
      <c r="D1244" t="str">
        <f t="shared" si="136"/>
        <v/>
      </c>
      <c r="E1244" t="str">
        <f>IF(F1244="","",IF(COUNTIF($F$2:F1244,F1244)&gt;1,"",SUMIFS(tbl_input[필요수량],tbl_input[집계키_센터],F1244)))</f>
        <v/>
      </c>
      <c r="F1244" t="str">
        <f>IFERROR(INDEX(tbl_input[집계키_센터],ROW()-1),"")</f>
        <v/>
      </c>
      <c r="G1244" t="str">
        <f t="shared" si="137"/>
        <v/>
      </c>
      <c r="H1244" t="str">
        <f t="shared" si="138"/>
        <v/>
      </c>
      <c r="I1244" t="str">
        <f t="shared" si="139"/>
        <v/>
      </c>
    </row>
    <row r="1245" spans="1:9" x14ac:dyDescent="0.4">
      <c r="A1245" t="str">
        <f t="shared" si="133"/>
        <v/>
      </c>
      <c r="B1245" t="str">
        <f t="shared" si="134"/>
        <v/>
      </c>
      <c r="C1245" t="str">
        <f t="shared" si="135"/>
        <v/>
      </c>
      <c r="D1245" t="str">
        <f t="shared" si="136"/>
        <v/>
      </c>
      <c r="E1245" t="str">
        <f>IF(F1245="","",IF(COUNTIF($F$2:F1245,F1245)&gt;1,"",SUMIFS(tbl_input[필요수량],tbl_input[집계키_센터],F1245)))</f>
        <v/>
      </c>
      <c r="F1245" t="str">
        <f>IFERROR(INDEX(tbl_input[집계키_센터],ROW()-1),"")</f>
        <v/>
      </c>
      <c r="G1245" t="str">
        <f t="shared" si="137"/>
        <v/>
      </c>
      <c r="H1245" t="str">
        <f t="shared" si="138"/>
        <v/>
      </c>
      <c r="I1245" t="str">
        <f t="shared" si="139"/>
        <v/>
      </c>
    </row>
    <row r="1246" spans="1:9" x14ac:dyDescent="0.4">
      <c r="A1246" t="str">
        <f t="shared" si="133"/>
        <v/>
      </c>
      <c r="B1246" t="str">
        <f t="shared" si="134"/>
        <v/>
      </c>
      <c r="C1246" t="str">
        <f t="shared" si="135"/>
        <v/>
      </c>
      <c r="D1246" t="str">
        <f t="shared" si="136"/>
        <v/>
      </c>
      <c r="E1246" t="str">
        <f>IF(F1246="","",IF(COUNTIF($F$2:F1246,F1246)&gt;1,"",SUMIFS(tbl_input[필요수량],tbl_input[집계키_센터],F1246)))</f>
        <v/>
      </c>
      <c r="F1246" t="str">
        <f>IFERROR(INDEX(tbl_input[집계키_센터],ROW()-1),"")</f>
        <v/>
      </c>
      <c r="G1246" t="str">
        <f t="shared" si="137"/>
        <v/>
      </c>
      <c r="H1246" t="str">
        <f t="shared" si="138"/>
        <v/>
      </c>
      <c r="I1246" t="str">
        <f t="shared" si="139"/>
        <v/>
      </c>
    </row>
    <row r="1247" spans="1:9" x14ac:dyDescent="0.4">
      <c r="A1247" t="str">
        <f t="shared" si="133"/>
        <v/>
      </c>
      <c r="B1247" t="str">
        <f t="shared" si="134"/>
        <v/>
      </c>
      <c r="C1247" t="str">
        <f t="shared" si="135"/>
        <v/>
      </c>
      <c r="D1247" t="str">
        <f t="shared" si="136"/>
        <v/>
      </c>
      <c r="E1247" t="str">
        <f>IF(F1247="","",IF(COUNTIF($F$2:F1247,F1247)&gt;1,"",SUMIFS(tbl_input[필요수량],tbl_input[집계키_센터],F1247)))</f>
        <v/>
      </c>
      <c r="F1247" t="str">
        <f>IFERROR(INDEX(tbl_input[집계키_센터],ROW()-1),"")</f>
        <v/>
      </c>
      <c r="G1247" t="str">
        <f t="shared" si="137"/>
        <v/>
      </c>
      <c r="H1247" t="str">
        <f t="shared" si="138"/>
        <v/>
      </c>
      <c r="I1247" t="str">
        <f t="shared" si="139"/>
        <v/>
      </c>
    </row>
    <row r="1248" spans="1:9" x14ac:dyDescent="0.4">
      <c r="A1248" t="str">
        <f t="shared" si="133"/>
        <v/>
      </c>
      <c r="B1248" t="str">
        <f t="shared" si="134"/>
        <v/>
      </c>
      <c r="C1248" t="str">
        <f t="shared" si="135"/>
        <v/>
      </c>
      <c r="D1248" t="str">
        <f t="shared" si="136"/>
        <v/>
      </c>
      <c r="E1248" t="str">
        <f>IF(F1248="","",IF(COUNTIF($F$2:F1248,F1248)&gt;1,"",SUMIFS(tbl_input[필요수량],tbl_input[집계키_센터],F1248)))</f>
        <v/>
      </c>
      <c r="F1248" t="str">
        <f>IFERROR(INDEX(tbl_input[집계키_센터],ROW()-1),"")</f>
        <v/>
      </c>
      <c r="G1248" t="str">
        <f t="shared" si="137"/>
        <v/>
      </c>
      <c r="H1248" t="str">
        <f t="shared" si="138"/>
        <v/>
      </c>
      <c r="I1248" t="str">
        <f t="shared" si="139"/>
        <v/>
      </c>
    </row>
    <row r="1249" spans="1:9" x14ac:dyDescent="0.4">
      <c r="A1249" t="str">
        <f t="shared" si="133"/>
        <v/>
      </c>
      <c r="B1249" t="str">
        <f t="shared" si="134"/>
        <v/>
      </c>
      <c r="C1249" t="str">
        <f t="shared" si="135"/>
        <v/>
      </c>
      <c r="D1249" t="str">
        <f t="shared" si="136"/>
        <v/>
      </c>
      <c r="E1249" t="str">
        <f>IF(F1249="","",IF(COUNTIF($F$2:F1249,F1249)&gt;1,"",SUMIFS(tbl_input[필요수량],tbl_input[집계키_센터],F1249)))</f>
        <v/>
      </c>
      <c r="F1249" t="str">
        <f>IFERROR(INDEX(tbl_input[집계키_센터],ROW()-1),"")</f>
        <v/>
      </c>
      <c r="G1249" t="str">
        <f t="shared" si="137"/>
        <v/>
      </c>
      <c r="H1249" t="str">
        <f t="shared" si="138"/>
        <v/>
      </c>
      <c r="I1249" t="str">
        <f t="shared" si="139"/>
        <v/>
      </c>
    </row>
    <row r="1250" spans="1:9" x14ac:dyDescent="0.4">
      <c r="A1250" t="str">
        <f t="shared" si="133"/>
        <v/>
      </c>
      <c r="B1250" t="str">
        <f t="shared" si="134"/>
        <v/>
      </c>
      <c r="C1250" t="str">
        <f t="shared" si="135"/>
        <v/>
      </c>
      <c r="D1250" t="str">
        <f t="shared" si="136"/>
        <v/>
      </c>
      <c r="E1250" t="str">
        <f>IF(F1250="","",IF(COUNTIF($F$2:F1250,F1250)&gt;1,"",SUMIFS(tbl_input[필요수량],tbl_input[집계키_센터],F1250)))</f>
        <v/>
      </c>
      <c r="F1250" t="str">
        <f>IFERROR(INDEX(tbl_input[집계키_센터],ROW()-1),"")</f>
        <v/>
      </c>
      <c r="G1250" t="str">
        <f t="shared" si="137"/>
        <v/>
      </c>
      <c r="H1250" t="str">
        <f t="shared" si="138"/>
        <v/>
      </c>
      <c r="I1250" t="str">
        <f t="shared" si="139"/>
        <v/>
      </c>
    </row>
    <row r="1251" spans="1:9" x14ac:dyDescent="0.4">
      <c r="A1251" t="str">
        <f t="shared" si="133"/>
        <v/>
      </c>
      <c r="B1251" t="str">
        <f t="shared" si="134"/>
        <v/>
      </c>
      <c r="C1251" t="str">
        <f t="shared" si="135"/>
        <v/>
      </c>
      <c r="D1251" t="str">
        <f t="shared" si="136"/>
        <v/>
      </c>
      <c r="E1251" t="str">
        <f>IF(F1251="","",IF(COUNTIF($F$2:F1251,F1251)&gt;1,"",SUMIFS(tbl_input[필요수량],tbl_input[집계키_센터],F1251)))</f>
        <v/>
      </c>
      <c r="F1251" t="str">
        <f>IFERROR(INDEX(tbl_input[집계키_센터],ROW()-1),"")</f>
        <v/>
      </c>
      <c r="G1251" t="str">
        <f t="shared" si="137"/>
        <v/>
      </c>
      <c r="H1251" t="str">
        <f t="shared" si="138"/>
        <v/>
      </c>
      <c r="I1251" t="str">
        <f t="shared" si="139"/>
        <v/>
      </c>
    </row>
    <row r="1252" spans="1:9" x14ac:dyDescent="0.4">
      <c r="A1252" t="str">
        <f t="shared" si="133"/>
        <v/>
      </c>
      <c r="B1252" t="str">
        <f t="shared" si="134"/>
        <v/>
      </c>
      <c r="C1252" t="str">
        <f t="shared" si="135"/>
        <v/>
      </c>
      <c r="D1252" t="str">
        <f t="shared" si="136"/>
        <v/>
      </c>
      <c r="E1252" t="str">
        <f>IF(F1252="","",IF(COUNTIF($F$2:F1252,F1252)&gt;1,"",SUMIFS(tbl_input[필요수량],tbl_input[집계키_센터],F1252)))</f>
        <v/>
      </c>
      <c r="F1252" t="str">
        <f>IFERROR(INDEX(tbl_input[집계키_센터],ROW()-1),"")</f>
        <v/>
      </c>
      <c r="G1252" t="str">
        <f t="shared" si="137"/>
        <v/>
      </c>
      <c r="H1252" t="str">
        <f t="shared" si="138"/>
        <v/>
      </c>
      <c r="I1252" t="str">
        <f t="shared" si="139"/>
        <v/>
      </c>
    </row>
    <row r="1253" spans="1:9" x14ac:dyDescent="0.4">
      <c r="A1253" t="str">
        <f t="shared" si="133"/>
        <v/>
      </c>
      <c r="B1253" t="str">
        <f t="shared" si="134"/>
        <v/>
      </c>
      <c r="C1253" t="str">
        <f t="shared" si="135"/>
        <v/>
      </c>
      <c r="D1253" t="str">
        <f t="shared" si="136"/>
        <v/>
      </c>
      <c r="E1253" t="str">
        <f>IF(F1253="","",IF(COUNTIF($F$2:F1253,F1253)&gt;1,"",SUMIFS(tbl_input[필요수량],tbl_input[집계키_센터],F1253)))</f>
        <v/>
      </c>
      <c r="F1253" t="str">
        <f>IFERROR(INDEX(tbl_input[집계키_센터],ROW()-1),"")</f>
        <v/>
      </c>
      <c r="G1253" t="str">
        <f t="shared" si="137"/>
        <v/>
      </c>
      <c r="H1253" t="str">
        <f t="shared" si="138"/>
        <v/>
      </c>
      <c r="I1253" t="str">
        <f t="shared" si="139"/>
        <v/>
      </c>
    </row>
    <row r="1254" spans="1:9" x14ac:dyDescent="0.4">
      <c r="A1254" t="str">
        <f t="shared" si="133"/>
        <v/>
      </c>
      <c r="B1254" t="str">
        <f t="shared" si="134"/>
        <v/>
      </c>
      <c r="C1254" t="str">
        <f t="shared" si="135"/>
        <v/>
      </c>
      <c r="D1254" t="str">
        <f t="shared" si="136"/>
        <v/>
      </c>
      <c r="E1254" t="str">
        <f>IF(F1254="","",IF(COUNTIF($F$2:F1254,F1254)&gt;1,"",SUMIFS(tbl_input[필요수량],tbl_input[집계키_센터],F1254)))</f>
        <v/>
      </c>
      <c r="F1254" t="str">
        <f>IFERROR(INDEX(tbl_input[집계키_센터],ROW()-1),"")</f>
        <v/>
      </c>
      <c r="G1254" t="str">
        <f t="shared" si="137"/>
        <v/>
      </c>
      <c r="H1254" t="str">
        <f t="shared" si="138"/>
        <v/>
      </c>
      <c r="I1254" t="str">
        <f t="shared" si="139"/>
        <v/>
      </c>
    </row>
    <row r="1255" spans="1:9" x14ac:dyDescent="0.4">
      <c r="A1255" t="str">
        <f t="shared" si="133"/>
        <v/>
      </c>
      <c r="B1255" t="str">
        <f t="shared" si="134"/>
        <v/>
      </c>
      <c r="C1255" t="str">
        <f t="shared" si="135"/>
        <v/>
      </c>
      <c r="D1255" t="str">
        <f t="shared" si="136"/>
        <v/>
      </c>
      <c r="E1255" t="str">
        <f>IF(F1255="","",IF(COUNTIF($F$2:F1255,F1255)&gt;1,"",SUMIFS(tbl_input[필요수량],tbl_input[집계키_센터],F1255)))</f>
        <v/>
      </c>
      <c r="F1255" t="str">
        <f>IFERROR(INDEX(tbl_input[집계키_센터],ROW()-1),"")</f>
        <v/>
      </c>
      <c r="G1255" t="str">
        <f t="shared" si="137"/>
        <v/>
      </c>
      <c r="H1255" t="str">
        <f t="shared" si="138"/>
        <v/>
      </c>
      <c r="I1255" t="str">
        <f t="shared" si="139"/>
        <v/>
      </c>
    </row>
    <row r="1256" spans="1:9" x14ac:dyDescent="0.4">
      <c r="A1256" t="str">
        <f t="shared" si="133"/>
        <v/>
      </c>
      <c r="B1256" t="str">
        <f t="shared" si="134"/>
        <v/>
      </c>
      <c r="C1256" t="str">
        <f t="shared" si="135"/>
        <v/>
      </c>
      <c r="D1256" t="str">
        <f t="shared" si="136"/>
        <v/>
      </c>
      <c r="E1256" t="str">
        <f>IF(F1256="","",IF(COUNTIF($F$2:F1256,F1256)&gt;1,"",SUMIFS(tbl_input[필요수량],tbl_input[집계키_센터],F1256)))</f>
        <v/>
      </c>
      <c r="F1256" t="str">
        <f>IFERROR(INDEX(tbl_input[집계키_센터],ROW()-1),"")</f>
        <v/>
      </c>
      <c r="G1256" t="str">
        <f t="shared" si="137"/>
        <v/>
      </c>
      <c r="H1256" t="str">
        <f t="shared" si="138"/>
        <v/>
      </c>
      <c r="I1256" t="str">
        <f t="shared" si="139"/>
        <v/>
      </c>
    </row>
    <row r="1257" spans="1:9" x14ac:dyDescent="0.4">
      <c r="A1257" t="str">
        <f t="shared" si="133"/>
        <v/>
      </c>
      <c r="B1257" t="str">
        <f t="shared" si="134"/>
        <v/>
      </c>
      <c r="C1257" t="str">
        <f t="shared" si="135"/>
        <v/>
      </c>
      <c r="D1257" t="str">
        <f t="shared" si="136"/>
        <v/>
      </c>
      <c r="E1257" t="str">
        <f>IF(F1257="","",IF(COUNTIF($F$2:F1257,F1257)&gt;1,"",SUMIFS(tbl_input[필요수량],tbl_input[집계키_센터],F1257)))</f>
        <v/>
      </c>
      <c r="F1257" t="str">
        <f>IFERROR(INDEX(tbl_input[집계키_센터],ROW()-1),"")</f>
        <v/>
      </c>
      <c r="G1257" t="str">
        <f t="shared" si="137"/>
        <v/>
      </c>
      <c r="H1257" t="str">
        <f t="shared" si="138"/>
        <v/>
      </c>
      <c r="I1257" t="str">
        <f t="shared" si="139"/>
        <v/>
      </c>
    </row>
    <row r="1258" spans="1:9" x14ac:dyDescent="0.4">
      <c r="A1258" t="str">
        <f t="shared" si="133"/>
        <v/>
      </c>
      <c r="B1258" t="str">
        <f t="shared" si="134"/>
        <v/>
      </c>
      <c r="C1258" t="str">
        <f t="shared" si="135"/>
        <v/>
      </c>
      <c r="D1258" t="str">
        <f t="shared" si="136"/>
        <v/>
      </c>
      <c r="E1258" t="str">
        <f>IF(F1258="","",IF(COUNTIF($F$2:F1258,F1258)&gt;1,"",SUMIFS(tbl_input[필요수량],tbl_input[집계키_센터],F1258)))</f>
        <v/>
      </c>
      <c r="F1258" t="str">
        <f>IFERROR(INDEX(tbl_input[집계키_센터],ROW()-1),"")</f>
        <v/>
      </c>
      <c r="G1258" t="str">
        <f t="shared" si="137"/>
        <v/>
      </c>
      <c r="H1258" t="str">
        <f t="shared" si="138"/>
        <v/>
      </c>
      <c r="I1258" t="str">
        <f t="shared" si="139"/>
        <v/>
      </c>
    </row>
    <row r="1259" spans="1:9" x14ac:dyDescent="0.4">
      <c r="A1259" t="str">
        <f t="shared" si="133"/>
        <v/>
      </c>
      <c r="B1259" t="str">
        <f t="shared" si="134"/>
        <v/>
      </c>
      <c r="C1259" t="str">
        <f t="shared" si="135"/>
        <v/>
      </c>
      <c r="D1259" t="str">
        <f t="shared" si="136"/>
        <v/>
      </c>
      <c r="E1259" t="str">
        <f>IF(F1259="","",IF(COUNTIF($F$2:F1259,F1259)&gt;1,"",SUMIFS(tbl_input[필요수량],tbl_input[집계키_센터],F1259)))</f>
        <v/>
      </c>
      <c r="F1259" t="str">
        <f>IFERROR(INDEX(tbl_input[집계키_센터],ROW()-1),"")</f>
        <v/>
      </c>
      <c r="G1259" t="str">
        <f t="shared" si="137"/>
        <v/>
      </c>
      <c r="H1259" t="str">
        <f t="shared" si="138"/>
        <v/>
      </c>
      <c r="I1259" t="str">
        <f t="shared" si="139"/>
        <v/>
      </c>
    </row>
    <row r="1260" spans="1:9" x14ac:dyDescent="0.4">
      <c r="A1260" t="str">
        <f t="shared" si="133"/>
        <v/>
      </c>
      <c r="B1260" t="str">
        <f t="shared" si="134"/>
        <v/>
      </c>
      <c r="C1260" t="str">
        <f t="shared" si="135"/>
        <v/>
      </c>
      <c r="D1260" t="str">
        <f t="shared" si="136"/>
        <v/>
      </c>
      <c r="E1260" t="str">
        <f>IF(F1260="","",IF(COUNTIF($F$2:F1260,F1260)&gt;1,"",SUMIFS(tbl_input[필요수량],tbl_input[집계키_센터],F1260)))</f>
        <v/>
      </c>
      <c r="F1260" t="str">
        <f>IFERROR(INDEX(tbl_input[집계키_센터],ROW()-1),"")</f>
        <v/>
      </c>
      <c r="G1260" t="str">
        <f t="shared" si="137"/>
        <v/>
      </c>
      <c r="H1260" t="str">
        <f t="shared" si="138"/>
        <v/>
      </c>
      <c r="I1260" t="str">
        <f t="shared" si="139"/>
        <v/>
      </c>
    </row>
    <row r="1261" spans="1:9" x14ac:dyDescent="0.4">
      <c r="A1261" t="str">
        <f t="shared" si="133"/>
        <v/>
      </c>
      <c r="B1261" t="str">
        <f t="shared" si="134"/>
        <v/>
      </c>
      <c r="C1261" t="str">
        <f t="shared" si="135"/>
        <v/>
      </c>
      <c r="D1261" t="str">
        <f t="shared" si="136"/>
        <v/>
      </c>
      <c r="E1261" t="str">
        <f>IF(F1261="","",IF(COUNTIF($F$2:F1261,F1261)&gt;1,"",SUMIFS(tbl_input[필요수량],tbl_input[집계키_센터],F1261)))</f>
        <v/>
      </c>
      <c r="F1261" t="str">
        <f>IFERROR(INDEX(tbl_input[집계키_센터],ROW()-1),"")</f>
        <v/>
      </c>
      <c r="G1261" t="str">
        <f t="shared" si="137"/>
        <v/>
      </c>
      <c r="H1261" t="str">
        <f t="shared" si="138"/>
        <v/>
      </c>
      <c r="I1261" t="str">
        <f t="shared" si="139"/>
        <v/>
      </c>
    </row>
    <row r="1262" spans="1:9" x14ac:dyDescent="0.4">
      <c r="A1262" t="str">
        <f t="shared" si="133"/>
        <v/>
      </c>
      <c r="B1262" t="str">
        <f t="shared" si="134"/>
        <v/>
      </c>
      <c r="C1262" t="str">
        <f t="shared" si="135"/>
        <v/>
      </c>
      <c r="D1262" t="str">
        <f t="shared" si="136"/>
        <v/>
      </c>
      <c r="E1262" t="str">
        <f>IF(F1262="","",IF(COUNTIF($F$2:F1262,F1262)&gt;1,"",SUMIFS(tbl_input[필요수량],tbl_input[집계키_센터],F1262)))</f>
        <v/>
      </c>
      <c r="F1262" t="str">
        <f>IFERROR(INDEX(tbl_input[집계키_센터],ROW()-1),"")</f>
        <v/>
      </c>
      <c r="G1262" t="str">
        <f t="shared" si="137"/>
        <v/>
      </c>
      <c r="H1262" t="str">
        <f t="shared" si="138"/>
        <v/>
      </c>
      <c r="I1262" t="str">
        <f t="shared" si="139"/>
        <v/>
      </c>
    </row>
    <row r="1263" spans="1:9" x14ac:dyDescent="0.4">
      <c r="A1263" t="str">
        <f t="shared" si="133"/>
        <v/>
      </c>
      <c r="B1263" t="str">
        <f t="shared" si="134"/>
        <v/>
      </c>
      <c r="C1263" t="str">
        <f t="shared" si="135"/>
        <v/>
      </c>
      <c r="D1263" t="str">
        <f t="shared" si="136"/>
        <v/>
      </c>
      <c r="E1263" t="str">
        <f>IF(F1263="","",IF(COUNTIF($F$2:F1263,F1263)&gt;1,"",SUMIFS(tbl_input[필요수량],tbl_input[집계키_센터],F1263)))</f>
        <v/>
      </c>
      <c r="F1263" t="str">
        <f>IFERROR(INDEX(tbl_input[집계키_센터],ROW()-1),"")</f>
        <v/>
      </c>
      <c r="G1263" t="str">
        <f t="shared" si="137"/>
        <v/>
      </c>
      <c r="H1263" t="str">
        <f t="shared" si="138"/>
        <v/>
      </c>
      <c r="I1263" t="str">
        <f t="shared" si="139"/>
        <v/>
      </c>
    </row>
    <row r="1264" spans="1:9" x14ac:dyDescent="0.4">
      <c r="A1264" t="str">
        <f t="shared" si="133"/>
        <v/>
      </c>
      <c r="B1264" t="str">
        <f t="shared" si="134"/>
        <v/>
      </c>
      <c r="C1264" t="str">
        <f t="shared" si="135"/>
        <v/>
      </c>
      <c r="D1264" t="str">
        <f t="shared" si="136"/>
        <v/>
      </c>
      <c r="E1264" t="str">
        <f>IF(F1264="","",IF(COUNTIF($F$2:F1264,F1264)&gt;1,"",SUMIFS(tbl_input[필요수량],tbl_input[집계키_센터],F1264)))</f>
        <v/>
      </c>
      <c r="F1264" t="str">
        <f>IFERROR(INDEX(tbl_input[집계키_센터],ROW()-1),"")</f>
        <v/>
      </c>
      <c r="G1264" t="str">
        <f t="shared" si="137"/>
        <v/>
      </c>
      <c r="H1264" t="str">
        <f t="shared" si="138"/>
        <v/>
      </c>
      <c r="I1264" t="str">
        <f t="shared" si="139"/>
        <v/>
      </c>
    </row>
    <row r="1265" spans="1:9" x14ac:dyDescent="0.4">
      <c r="A1265" t="str">
        <f t="shared" si="133"/>
        <v/>
      </c>
      <c r="B1265" t="str">
        <f t="shared" si="134"/>
        <v/>
      </c>
      <c r="C1265" t="str">
        <f t="shared" si="135"/>
        <v/>
      </c>
      <c r="D1265" t="str">
        <f t="shared" si="136"/>
        <v/>
      </c>
      <c r="E1265" t="str">
        <f>IF(F1265="","",IF(COUNTIF($F$2:F1265,F1265)&gt;1,"",SUMIFS(tbl_input[필요수량],tbl_input[집계키_센터],F1265)))</f>
        <v/>
      </c>
      <c r="F1265" t="str">
        <f>IFERROR(INDEX(tbl_input[집계키_센터],ROW()-1),"")</f>
        <v/>
      </c>
      <c r="G1265" t="str">
        <f t="shared" si="137"/>
        <v/>
      </c>
      <c r="H1265" t="str">
        <f t="shared" si="138"/>
        <v/>
      </c>
      <c r="I1265" t="str">
        <f t="shared" si="139"/>
        <v/>
      </c>
    </row>
    <row r="1266" spans="1:9" x14ac:dyDescent="0.4">
      <c r="A1266" t="str">
        <f t="shared" si="133"/>
        <v/>
      </c>
      <c r="B1266" t="str">
        <f t="shared" si="134"/>
        <v/>
      </c>
      <c r="C1266" t="str">
        <f t="shared" si="135"/>
        <v/>
      </c>
      <c r="D1266" t="str">
        <f t="shared" si="136"/>
        <v/>
      </c>
      <c r="E1266" t="str">
        <f>IF(F1266="","",IF(COUNTIF($F$2:F1266,F1266)&gt;1,"",SUMIFS(tbl_input[필요수량],tbl_input[집계키_센터],F1266)))</f>
        <v/>
      </c>
      <c r="F1266" t="str">
        <f>IFERROR(INDEX(tbl_input[집계키_센터],ROW()-1),"")</f>
        <v/>
      </c>
      <c r="G1266" t="str">
        <f t="shared" si="137"/>
        <v/>
      </c>
      <c r="H1266" t="str">
        <f t="shared" si="138"/>
        <v/>
      </c>
      <c r="I1266" t="str">
        <f t="shared" si="139"/>
        <v/>
      </c>
    </row>
    <row r="1267" spans="1:9" x14ac:dyDescent="0.4">
      <c r="A1267" t="str">
        <f t="shared" si="133"/>
        <v/>
      </c>
      <c r="B1267" t="str">
        <f t="shared" si="134"/>
        <v/>
      </c>
      <c r="C1267" t="str">
        <f t="shared" si="135"/>
        <v/>
      </c>
      <c r="D1267" t="str">
        <f t="shared" si="136"/>
        <v/>
      </c>
      <c r="E1267" t="str">
        <f>IF(F1267="","",IF(COUNTIF($F$2:F1267,F1267)&gt;1,"",SUMIFS(tbl_input[필요수량],tbl_input[집계키_센터],F1267)))</f>
        <v/>
      </c>
      <c r="F1267" t="str">
        <f>IFERROR(INDEX(tbl_input[집계키_센터],ROW()-1),"")</f>
        <v/>
      </c>
      <c r="G1267" t="str">
        <f t="shared" si="137"/>
        <v/>
      </c>
      <c r="H1267" t="str">
        <f t="shared" si="138"/>
        <v/>
      </c>
      <c r="I1267" t="str">
        <f t="shared" si="139"/>
        <v/>
      </c>
    </row>
    <row r="1268" spans="1:9" x14ac:dyDescent="0.4">
      <c r="A1268" t="str">
        <f t="shared" si="133"/>
        <v/>
      </c>
      <c r="B1268" t="str">
        <f t="shared" si="134"/>
        <v/>
      </c>
      <c r="C1268" t="str">
        <f t="shared" si="135"/>
        <v/>
      </c>
      <c r="D1268" t="str">
        <f t="shared" si="136"/>
        <v/>
      </c>
      <c r="E1268" t="str">
        <f>IF(F1268="","",IF(COUNTIF($F$2:F1268,F1268)&gt;1,"",SUMIFS(tbl_input[필요수량],tbl_input[집계키_센터],F1268)))</f>
        <v/>
      </c>
      <c r="F1268" t="str">
        <f>IFERROR(INDEX(tbl_input[집계키_센터],ROW()-1),"")</f>
        <v/>
      </c>
      <c r="G1268" t="str">
        <f t="shared" si="137"/>
        <v/>
      </c>
      <c r="H1268" t="str">
        <f t="shared" si="138"/>
        <v/>
      </c>
      <c r="I1268" t="str">
        <f t="shared" si="139"/>
        <v/>
      </c>
    </row>
    <row r="1269" spans="1:9" x14ac:dyDescent="0.4">
      <c r="A1269" t="str">
        <f t="shared" si="133"/>
        <v/>
      </c>
      <c r="B1269" t="str">
        <f t="shared" si="134"/>
        <v/>
      </c>
      <c r="C1269" t="str">
        <f t="shared" si="135"/>
        <v/>
      </c>
      <c r="D1269" t="str">
        <f t="shared" si="136"/>
        <v/>
      </c>
      <c r="E1269" t="str">
        <f>IF(F1269="","",IF(COUNTIF($F$2:F1269,F1269)&gt;1,"",SUMIFS(tbl_input[필요수량],tbl_input[집계키_센터],F1269)))</f>
        <v/>
      </c>
      <c r="F1269" t="str">
        <f>IFERROR(INDEX(tbl_input[집계키_센터],ROW()-1),"")</f>
        <v/>
      </c>
      <c r="G1269" t="str">
        <f t="shared" si="137"/>
        <v/>
      </c>
      <c r="H1269" t="str">
        <f t="shared" si="138"/>
        <v/>
      </c>
      <c r="I1269" t="str">
        <f t="shared" si="139"/>
        <v/>
      </c>
    </row>
    <row r="1270" spans="1:9" x14ac:dyDescent="0.4">
      <c r="A1270" t="str">
        <f t="shared" si="133"/>
        <v/>
      </c>
      <c r="B1270" t="str">
        <f t="shared" si="134"/>
        <v/>
      </c>
      <c r="C1270" t="str">
        <f t="shared" si="135"/>
        <v/>
      </c>
      <c r="D1270" t="str">
        <f t="shared" si="136"/>
        <v/>
      </c>
      <c r="E1270" t="str">
        <f>IF(F1270="","",IF(COUNTIF($F$2:F1270,F1270)&gt;1,"",SUMIFS(tbl_input[필요수량],tbl_input[집계키_센터],F1270)))</f>
        <v/>
      </c>
      <c r="F1270" t="str">
        <f>IFERROR(INDEX(tbl_input[집계키_센터],ROW()-1),"")</f>
        <v/>
      </c>
      <c r="G1270" t="str">
        <f t="shared" si="137"/>
        <v/>
      </c>
      <c r="H1270" t="str">
        <f t="shared" si="138"/>
        <v/>
      </c>
      <c r="I1270" t="str">
        <f t="shared" si="139"/>
        <v/>
      </c>
    </row>
    <row r="1271" spans="1:9" x14ac:dyDescent="0.4">
      <c r="A1271" t="str">
        <f t="shared" si="133"/>
        <v/>
      </c>
      <c r="B1271" t="str">
        <f t="shared" si="134"/>
        <v/>
      </c>
      <c r="C1271" t="str">
        <f t="shared" si="135"/>
        <v/>
      </c>
      <c r="D1271" t="str">
        <f t="shared" si="136"/>
        <v/>
      </c>
      <c r="E1271" t="str">
        <f>IF(F1271="","",IF(COUNTIF($F$2:F1271,F1271)&gt;1,"",SUMIFS(tbl_input[필요수량],tbl_input[집계키_센터],F1271)))</f>
        <v/>
      </c>
      <c r="F1271" t="str">
        <f>IFERROR(INDEX(tbl_input[집계키_센터],ROW()-1),"")</f>
        <v/>
      </c>
      <c r="G1271" t="str">
        <f t="shared" si="137"/>
        <v/>
      </c>
      <c r="H1271" t="str">
        <f t="shared" si="138"/>
        <v/>
      </c>
      <c r="I1271" t="str">
        <f t="shared" si="139"/>
        <v/>
      </c>
    </row>
    <row r="1272" spans="1:9" x14ac:dyDescent="0.4">
      <c r="A1272" t="str">
        <f t="shared" si="133"/>
        <v/>
      </c>
      <c r="B1272" t="str">
        <f t="shared" si="134"/>
        <v/>
      </c>
      <c r="C1272" t="str">
        <f t="shared" si="135"/>
        <v/>
      </c>
      <c r="D1272" t="str">
        <f t="shared" si="136"/>
        <v/>
      </c>
      <c r="E1272" t="str">
        <f>IF(F1272="","",IF(COUNTIF($F$2:F1272,F1272)&gt;1,"",SUMIFS(tbl_input[필요수량],tbl_input[집계키_센터],F1272)))</f>
        <v/>
      </c>
      <c r="F1272" t="str">
        <f>IFERROR(INDEX(tbl_input[집계키_센터],ROW()-1),"")</f>
        <v/>
      </c>
      <c r="G1272" t="str">
        <f t="shared" si="137"/>
        <v/>
      </c>
      <c r="H1272" t="str">
        <f t="shared" si="138"/>
        <v/>
      </c>
      <c r="I1272" t="str">
        <f t="shared" si="139"/>
        <v/>
      </c>
    </row>
    <row r="1273" spans="1:9" x14ac:dyDescent="0.4">
      <c r="A1273" t="str">
        <f t="shared" si="133"/>
        <v/>
      </c>
      <c r="B1273" t="str">
        <f t="shared" si="134"/>
        <v/>
      </c>
      <c r="C1273" t="str">
        <f t="shared" si="135"/>
        <v/>
      </c>
      <c r="D1273" t="str">
        <f t="shared" si="136"/>
        <v/>
      </c>
      <c r="E1273" t="str">
        <f>IF(F1273="","",IF(COUNTIF($F$2:F1273,F1273)&gt;1,"",SUMIFS(tbl_input[필요수량],tbl_input[집계키_센터],F1273)))</f>
        <v/>
      </c>
      <c r="F1273" t="str">
        <f>IFERROR(INDEX(tbl_input[집계키_센터],ROW()-1),"")</f>
        <v/>
      </c>
      <c r="G1273" t="str">
        <f t="shared" si="137"/>
        <v/>
      </c>
      <c r="H1273" t="str">
        <f t="shared" si="138"/>
        <v/>
      </c>
      <c r="I1273" t="str">
        <f t="shared" si="139"/>
        <v/>
      </c>
    </row>
    <row r="1274" spans="1:9" x14ac:dyDescent="0.4">
      <c r="A1274" t="str">
        <f t="shared" si="133"/>
        <v/>
      </c>
      <c r="B1274" t="str">
        <f t="shared" si="134"/>
        <v/>
      </c>
      <c r="C1274" t="str">
        <f t="shared" si="135"/>
        <v/>
      </c>
      <c r="D1274" t="str">
        <f t="shared" si="136"/>
        <v/>
      </c>
      <c r="E1274" t="str">
        <f>IF(F1274="","",IF(COUNTIF($F$2:F1274,F1274)&gt;1,"",SUMIFS(tbl_input[필요수량],tbl_input[집계키_센터],F1274)))</f>
        <v/>
      </c>
      <c r="F1274" t="str">
        <f>IFERROR(INDEX(tbl_input[집계키_센터],ROW()-1),"")</f>
        <v/>
      </c>
      <c r="G1274" t="str">
        <f t="shared" si="137"/>
        <v/>
      </c>
      <c r="H1274" t="str">
        <f t="shared" si="138"/>
        <v/>
      </c>
      <c r="I1274" t="str">
        <f t="shared" si="139"/>
        <v/>
      </c>
    </row>
    <row r="1275" spans="1:9" x14ac:dyDescent="0.4">
      <c r="A1275" t="str">
        <f t="shared" si="133"/>
        <v/>
      </c>
      <c r="B1275" t="str">
        <f t="shared" si="134"/>
        <v/>
      </c>
      <c r="C1275" t="str">
        <f t="shared" si="135"/>
        <v/>
      </c>
      <c r="D1275" t="str">
        <f t="shared" si="136"/>
        <v/>
      </c>
      <c r="E1275" t="str">
        <f>IF(F1275="","",IF(COUNTIF($F$2:F1275,F1275)&gt;1,"",SUMIFS(tbl_input[필요수량],tbl_input[집계키_센터],F1275)))</f>
        <v/>
      </c>
      <c r="F1275" t="str">
        <f>IFERROR(INDEX(tbl_input[집계키_센터],ROW()-1),"")</f>
        <v/>
      </c>
      <c r="G1275" t="str">
        <f t="shared" si="137"/>
        <v/>
      </c>
      <c r="H1275" t="str">
        <f t="shared" si="138"/>
        <v/>
      </c>
      <c r="I1275" t="str">
        <f t="shared" si="139"/>
        <v/>
      </c>
    </row>
    <row r="1276" spans="1:9" x14ac:dyDescent="0.4">
      <c r="A1276" t="str">
        <f t="shared" si="133"/>
        <v/>
      </c>
      <c r="B1276" t="str">
        <f t="shared" si="134"/>
        <v/>
      </c>
      <c r="C1276" t="str">
        <f t="shared" si="135"/>
        <v/>
      </c>
      <c r="D1276" t="str">
        <f t="shared" si="136"/>
        <v/>
      </c>
      <c r="E1276" t="str">
        <f>IF(F1276="","",IF(COUNTIF($F$2:F1276,F1276)&gt;1,"",SUMIFS(tbl_input[필요수량],tbl_input[집계키_센터],F1276)))</f>
        <v/>
      </c>
      <c r="F1276" t="str">
        <f>IFERROR(INDEX(tbl_input[집계키_센터],ROW()-1),"")</f>
        <v/>
      </c>
      <c r="G1276" t="str">
        <f t="shared" si="137"/>
        <v/>
      </c>
      <c r="H1276" t="str">
        <f t="shared" si="138"/>
        <v/>
      </c>
      <c r="I1276" t="str">
        <f t="shared" si="139"/>
        <v/>
      </c>
    </row>
    <row r="1277" spans="1:9" x14ac:dyDescent="0.4">
      <c r="A1277" t="str">
        <f t="shared" si="133"/>
        <v/>
      </c>
      <c r="B1277" t="str">
        <f t="shared" si="134"/>
        <v/>
      </c>
      <c r="C1277" t="str">
        <f t="shared" si="135"/>
        <v/>
      </c>
      <c r="D1277" t="str">
        <f t="shared" si="136"/>
        <v/>
      </c>
      <c r="E1277" t="str">
        <f>IF(F1277="","",IF(COUNTIF($F$2:F1277,F1277)&gt;1,"",SUMIFS(tbl_input[필요수량],tbl_input[집계키_센터],F1277)))</f>
        <v/>
      </c>
      <c r="F1277" t="str">
        <f>IFERROR(INDEX(tbl_input[집계키_센터],ROW()-1),"")</f>
        <v/>
      </c>
      <c r="G1277" t="str">
        <f t="shared" si="137"/>
        <v/>
      </c>
      <c r="H1277" t="str">
        <f t="shared" si="138"/>
        <v/>
      </c>
      <c r="I1277" t="str">
        <f t="shared" si="139"/>
        <v/>
      </c>
    </row>
    <row r="1278" spans="1:9" x14ac:dyDescent="0.4">
      <c r="A1278" t="str">
        <f t="shared" si="133"/>
        <v/>
      </c>
      <c r="B1278" t="str">
        <f t="shared" si="134"/>
        <v/>
      </c>
      <c r="C1278" t="str">
        <f t="shared" si="135"/>
        <v/>
      </c>
      <c r="D1278" t="str">
        <f t="shared" si="136"/>
        <v/>
      </c>
      <c r="E1278" t="str">
        <f>IF(F1278="","",IF(COUNTIF($F$2:F1278,F1278)&gt;1,"",SUMIFS(tbl_input[필요수량],tbl_input[집계키_센터],F1278)))</f>
        <v/>
      </c>
      <c r="F1278" t="str">
        <f>IFERROR(INDEX(tbl_input[집계키_센터],ROW()-1),"")</f>
        <v/>
      </c>
      <c r="G1278" t="str">
        <f t="shared" si="137"/>
        <v/>
      </c>
      <c r="H1278" t="str">
        <f t="shared" si="138"/>
        <v/>
      </c>
      <c r="I1278" t="str">
        <f t="shared" si="139"/>
        <v/>
      </c>
    </row>
    <row r="1279" spans="1:9" x14ac:dyDescent="0.4">
      <c r="A1279" t="str">
        <f t="shared" si="133"/>
        <v/>
      </c>
      <c r="B1279" t="str">
        <f t="shared" si="134"/>
        <v/>
      </c>
      <c r="C1279" t="str">
        <f t="shared" si="135"/>
        <v/>
      </c>
      <c r="D1279" t="str">
        <f t="shared" si="136"/>
        <v/>
      </c>
      <c r="E1279" t="str">
        <f>IF(F1279="","",IF(COUNTIF($F$2:F1279,F1279)&gt;1,"",SUMIFS(tbl_input[필요수량],tbl_input[집계키_센터],F1279)))</f>
        <v/>
      </c>
      <c r="F1279" t="str">
        <f>IFERROR(INDEX(tbl_input[집계키_센터],ROW()-1),"")</f>
        <v/>
      </c>
      <c r="G1279" t="str">
        <f t="shared" si="137"/>
        <v/>
      </c>
      <c r="H1279" t="str">
        <f t="shared" si="138"/>
        <v/>
      </c>
      <c r="I1279" t="str">
        <f t="shared" si="139"/>
        <v/>
      </c>
    </row>
    <row r="1280" spans="1:9" x14ac:dyDescent="0.4">
      <c r="A1280" t="str">
        <f t="shared" si="133"/>
        <v/>
      </c>
      <c r="B1280" t="str">
        <f t="shared" si="134"/>
        <v/>
      </c>
      <c r="C1280" t="str">
        <f t="shared" si="135"/>
        <v/>
      </c>
      <c r="D1280" t="str">
        <f t="shared" si="136"/>
        <v/>
      </c>
      <c r="E1280" t="str">
        <f>IF(F1280="","",IF(COUNTIF($F$2:F1280,F1280)&gt;1,"",SUMIFS(tbl_input[필요수량],tbl_input[집계키_센터],F1280)))</f>
        <v/>
      </c>
      <c r="F1280" t="str">
        <f>IFERROR(INDEX(tbl_input[집계키_센터],ROW()-1),"")</f>
        <v/>
      </c>
      <c r="G1280" t="str">
        <f t="shared" si="137"/>
        <v/>
      </c>
      <c r="H1280" t="str">
        <f t="shared" si="138"/>
        <v/>
      </c>
      <c r="I1280" t="str">
        <f t="shared" si="139"/>
        <v/>
      </c>
    </row>
    <row r="1281" spans="1:9" x14ac:dyDescent="0.4">
      <c r="A1281" t="str">
        <f t="shared" si="133"/>
        <v/>
      </c>
      <c r="B1281" t="str">
        <f t="shared" si="134"/>
        <v/>
      </c>
      <c r="C1281" t="str">
        <f t="shared" si="135"/>
        <v/>
      </c>
      <c r="D1281" t="str">
        <f t="shared" si="136"/>
        <v/>
      </c>
      <c r="E1281" t="str">
        <f>IF(F1281="","",IF(COUNTIF($F$2:F1281,F1281)&gt;1,"",SUMIFS(tbl_input[필요수량],tbl_input[집계키_센터],F1281)))</f>
        <v/>
      </c>
      <c r="F1281" t="str">
        <f>IFERROR(INDEX(tbl_input[집계키_센터],ROW()-1),"")</f>
        <v/>
      </c>
      <c r="G1281" t="str">
        <f t="shared" si="137"/>
        <v/>
      </c>
      <c r="H1281" t="str">
        <f t="shared" si="138"/>
        <v/>
      </c>
      <c r="I1281" t="str">
        <f t="shared" si="139"/>
        <v/>
      </c>
    </row>
    <row r="1282" spans="1:9" x14ac:dyDescent="0.4">
      <c r="A1282" t="str">
        <f t="shared" ref="A1282:A1345" si="140">IF(F1282="","",LEFT(F1282,G1282-1))</f>
        <v/>
      </c>
      <c r="B1282" t="str">
        <f t="shared" ref="B1282:B1345" si="141">IF(F1282="","",MID(F1282,G1282+1,H1282-G1282-1))</f>
        <v/>
      </c>
      <c r="C1282" t="str">
        <f t="shared" ref="C1282:C1345" si="142">IF(F1282="","",MID(F1282,H1282+1,I1282-H1282-1))</f>
        <v/>
      </c>
      <c r="D1282" t="str">
        <f t="shared" ref="D1282:D1345" si="143">IF(F1282="","",MID(F1282,I1282+1,999))</f>
        <v/>
      </c>
      <c r="E1282" t="str">
        <f>IF(F1282="","",IF(COUNTIF($F$2:F1282,F1282)&gt;1,"",SUMIFS(tbl_input[필요수량],tbl_input[집계키_센터],F1282)))</f>
        <v/>
      </c>
      <c r="F1282" t="str">
        <f>IFERROR(INDEX(tbl_input[집계키_센터],ROW()-1),"")</f>
        <v/>
      </c>
      <c r="G1282" t="str">
        <f t="shared" ref="G1282:G1345" si="144">IF(F1282="","",FIND("♦",F1282))</f>
        <v/>
      </c>
      <c r="H1282" t="str">
        <f t="shared" ref="H1282:H1345" si="145">IF(F1282="","",FIND("♦",F1282,G1282+1))</f>
        <v/>
      </c>
      <c r="I1282" t="str">
        <f t="shared" ref="I1282:I1345" si="146">IF(F1282="","",FIND("♦",F1282,H1282+1))</f>
        <v/>
      </c>
    </row>
    <row r="1283" spans="1:9" x14ac:dyDescent="0.4">
      <c r="A1283" t="str">
        <f t="shared" si="140"/>
        <v/>
      </c>
      <c r="B1283" t="str">
        <f t="shared" si="141"/>
        <v/>
      </c>
      <c r="C1283" t="str">
        <f t="shared" si="142"/>
        <v/>
      </c>
      <c r="D1283" t="str">
        <f t="shared" si="143"/>
        <v/>
      </c>
      <c r="E1283" t="str">
        <f>IF(F1283="","",IF(COUNTIF($F$2:F1283,F1283)&gt;1,"",SUMIFS(tbl_input[필요수량],tbl_input[집계키_센터],F1283)))</f>
        <v/>
      </c>
      <c r="F1283" t="str">
        <f>IFERROR(INDEX(tbl_input[집계키_센터],ROW()-1),"")</f>
        <v/>
      </c>
      <c r="G1283" t="str">
        <f t="shared" si="144"/>
        <v/>
      </c>
      <c r="H1283" t="str">
        <f t="shared" si="145"/>
        <v/>
      </c>
      <c r="I1283" t="str">
        <f t="shared" si="146"/>
        <v/>
      </c>
    </row>
    <row r="1284" spans="1:9" x14ac:dyDescent="0.4">
      <c r="A1284" t="str">
        <f t="shared" si="140"/>
        <v/>
      </c>
      <c r="B1284" t="str">
        <f t="shared" si="141"/>
        <v/>
      </c>
      <c r="C1284" t="str">
        <f t="shared" si="142"/>
        <v/>
      </c>
      <c r="D1284" t="str">
        <f t="shared" si="143"/>
        <v/>
      </c>
      <c r="E1284" t="str">
        <f>IF(F1284="","",IF(COUNTIF($F$2:F1284,F1284)&gt;1,"",SUMIFS(tbl_input[필요수량],tbl_input[집계키_센터],F1284)))</f>
        <v/>
      </c>
      <c r="F1284" t="str">
        <f>IFERROR(INDEX(tbl_input[집계키_센터],ROW()-1),"")</f>
        <v/>
      </c>
      <c r="G1284" t="str">
        <f t="shared" si="144"/>
        <v/>
      </c>
      <c r="H1284" t="str">
        <f t="shared" si="145"/>
        <v/>
      </c>
      <c r="I1284" t="str">
        <f t="shared" si="146"/>
        <v/>
      </c>
    </row>
    <row r="1285" spans="1:9" x14ac:dyDescent="0.4">
      <c r="A1285" t="str">
        <f t="shared" si="140"/>
        <v/>
      </c>
      <c r="B1285" t="str">
        <f t="shared" si="141"/>
        <v/>
      </c>
      <c r="C1285" t="str">
        <f t="shared" si="142"/>
        <v/>
      </c>
      <c r="D1285" t="str">
        <f t="shared" si="143"/>
        <v/>
      </c>
      <c r="E1285" t="str">
        <f>IF(F1285="","",IF(COUNTIF($F$2:F1285,F1285)&gt;1,"",SUMIFS(tbl_input[필요수량],tbl_input[집계키_센터],F1285)))</f>
        <v/>
      </c>
      <c r="F1285" t="str">
        <f>IFERROR(INDEX(tbl_input[집계키_센터],ROW()-1),"")</f>
        <v/>
      </c>
      <c r="G1285" t="str">
        <f t="shared" si="144"/>
        <v/>
      </c>
      <c r="H1285" t="str">
        <f t="shared" si="145"/>
        <v/>
      </c>
      <c r="I1285" t="str">
        <f t="shared" si="146"/>
        <v/>
      </c>
    </row>
    <row r="1286" spans="1:9" x14ac:dyDescent="0.4">
      <c r="A1286" t="str">
        <f t="shared" si="140"/>
        <v/>
      </c>
      <c r="B1286" t="str">
        <f t="shared" si="141"/>
        <v/>
      </c>
      <c r="C1286" t="str">
        <f t="shared" si="142"/>
        <v/>
      </c>
      <c r="D1286" t="str">
        <f t="shared" si="143"/>
        <v/>
      </c>
      <c r="E1286" t="str">
        <f>IF(F1286="","",IF(COUNTIF($F$2:F1286,F1286)&gt;1,"",SUMIFS(tbl_input[필요수량],tbl_input[집계키_센터],F1286)))</f>
        <v/>
      </c>
      <c r="F1286" t="str">
        <f>IFERROR(INDEX(tbl_input[집계키_센터],ROW()-1),"")</f>
        <v/>
      </c>
      <c r="G1286" t="str">
        <f t="shared" si="144"/>
        <v/>
      </c>
      <c r="H1286" t="str">
        <f t="shared" si="145"/>
        <v/>
      </c>
      <c r="I1286" t="str">
        <f t="shared" si="146"/>
        <v/>
      </c>
    </row>
    <row r="1287" spans="1:9" x14ac:dyDescent="0.4">
      <c r="A1287" t="str">
        <f t="shared" si="140"/>
        <v/>
      </c>
      <c r="B1287" t="str">
        <f t="shared" si="141"/>
        <v/>
      </c>
      <c r="C1287" t="str">
        <f t="shared" si="142"/>
        <v/>
      </c>
      <c r="D1287" t="str">
        <f t="shared" si="143"/>
        <v/>
      </c>
      <c r="E1287" t="str">
        <f>IF(F1287="","",IF(COUNTIF($F$2:F1287,F1287)&gt;1,"",SUMIFS(tbl_input[필요수량],tbl_input[집계키_센터],F1287)))</f>
        <v/>
      </c>
      <c r="F1287" t="str">
        <f>IFERROR(INDEX(tbl_input[집계키_센터],ROW()-1),"")</f>
        <v/>
      </c>
      <c r="G1287" t="str">
        <f t="shared" si="144"/>
        <v/>
      </c>
      <c r="H1287" t="str">
        <f t="shared" si="145"/>
        <v/>
      </c>
      <c r="I1287" t="str">
        <f t="shared" si="146"/>
        <v/>
      </c>
    </row>
    <row r="1288" spans="1:9" x14ac:dyDescent="0.4">
      <c r="A1288" t="str">
        <f t="shared" si="140"/>
        <v/>
      </c>
      <c r="B1288" t="str">
        <f t="shared" si="141"/>
        <v/>
      </c>
      <c r="C1288" t="str">
        <f t="shared" si="142"/>
        <v/>
      </c>
      <c r="D1288" t="str">
        <f t="shared" si="143"/>
        <v/>
      </c>
      <c r="E1288" t="str">
        <f>IF(F1288="","",IF(COUNTIF($F$2:F1288,F1288)&gt;1,"",SUMIFS(tbl_input[필요수량],tbl_input[집계키_센터],F1288)))</f>
        <v/>
      </c>
      <c r="F1288" t="str">
        <f>IFERROR(INDEX(tbl_input[집계키_센터],ROW()-1),"")</f>
        <v/>
      </c>
      <c r="G1288" t="str">
        <f t="shared" si="144"/>
        <v/>
      </c>
      <c r="H1288" t="str">
        <f t="shared" si="145"/>
        <v/>
      </c>
      <c r="I1288" t="str">
        <f t="shared" si="146"/>
        <v/>
      </c>
    </row>
    <row r="1289" spans="1:9" x14ac:dyDescent="0.4">
      <c r="A1289" t="str">
        <f t="shared" si="140"/>
        <v/>
      </c>
      <c r="B1289" t="str">
        <f t="shared" si="141"/>
        <v/>
      </c>
      <c r="C1289" t="str">
        <f t="shared" si="142"/>
        <v/>
      </c>
      <c r="D1289" t="str">
        <f t="shared" si="143"/>
        <v/>
      </c>
      <c r="E1289" t="str">
        <f>IF(F1289="","",IF(COUNTIF($F$2:F1289,F1289)&gt;1,"",SUMIFS(tbl_input[필요수량],tbl_input[집계키_센터],F1289)))</f>
        <v/>
      </c>
      <c r="F1289" t="str">
        <f>IFERROR(INDEX(tbl_input[집계키_센터],ROW()-1),"")</f>
        <v/>
      </c>
      <c r="G1289" t="str">
        <f t="shared" si="144"/>
        <v/>
      </c>
      <c r="H1289" t="str">
        <f t="shared" si="145"/>
        <v/>
      </c>
      <c r="I1289" t="str">
        <f t="shared" si="146"/>
        <v/>
      </c>
    </row>
    <row r="1290" spans="1:9" x14ac:dyDescent="0.4">
      <c r="A1290" t="str">
        <f t="shared" si="140"/>
        <v/>
      </c>
      <c r="B1290" t="str">
        <f t="shared" si="141"/>
        <v/>
      </c>
      <c r="C1290" t="str">
        <f t="shared" si="142"/>
        <v/>
      </c>
      <c r="D1290" t="str">
        <f t="shared" si="143"/>
        <v/>
      </c>
      <c r="E1290" t="str">
        <f>IF(F1290="","",IF(COUNTIF($F$2:F1290,F1290)&gt;1,"",SUMIFS(tbl_input[필요수량],tbl_input[집계키_센터],F1290)))</f>
        <v/>
      </c>
      <c r="F1290" t="str">
        <f>IFERROR(INDEX(tbl_input[집계키_센터],ROW()-1),"")</f>
        <v/>
      </c>
      <c r="G1290" t="str">
        <f t="shared" si="144"/>
        <v/>
      </c>
      <c r="H1290" t="str">
        <f t="shared" si="145"/>
        <v/>
      </c>
      <c r="I1290" t="str">
        <f t="shared" si="146"/>
        <v/>
      </c>
    </row>
    <row r="1291" spans="1:9" x14ac:dyDescent="0.4">
      <c r="A1291" t="str">
        <f t="shared" si="140"/>
        <v/>
      </c>
      <c r="B1291" t="str">
        <f t="shared" si="141"/>
        <v/>
      </c>
      <c r="C1291" t="str">
        <f t="shared" si="142"/>
        <v/>
      </c>
      <c r="D1291" t="str">
        <f t="shared" si="143"/>
        <v/>
      </c>
      <c r="E1291" t="str">
        <f>IF(F1291="","",IF(COUNTIF($F$2:F1291,F1291)&gt;1,"",SUMIFS(tbl_input[필요수량],tbl_input[집계키_센터],F1291)))</f>
        <v/>
      </c>
      <c r="F1291" t="str">
        <f>IFERROR(INDEX(tbl_input[집계키_센터],ROW()-1),"")</f>
        <v/>
      </c>
      <c r="G1291" t="str">
        <f t="shared" si="144"/>
        <v/>
      </c>
      <c r="H1291" t="str">
        <f t="shared" si="145"/>
        <v/>
      </c>
      <c r="I1291" t="str">
        <f t="shared" si="146"/>
        <v/>
      </c>
    </row>
    <row r="1292" spans="1:9" x14ac:dyDescent="0.4">
      <c r="A1292" t="str">
        <f t="shared" si="140"/>
        <v/>
      </c>
      <c r="B1292" t="str">
        <f t="shared" si="141"/>
        <v/>
      </c>
      <c r="C1292" t="str">
        <f t="shared" si="142"/>
        <v/>
      </c>
      <c r="D1292" t="str">
        <f t="shared" si="143"/>
        <v/>
      </c>
      <c r="E1292" t="str">
        <f>IF(F1292="","",IF(COUNTIF($F$2:F1292,F1292)&gt;1,"",SUMIFS(tbl_input[필요수량],tbl_input[집계키_센터],F1292)))</f>
        <v/>
      </c>
      <c r="F1292" t="str">
        <f>IFERROR(INDEX(tbl_input[집계키_센터],ROW()-1),"")</f>
        <v/>
      </c>
      <c r="G1292" t="str">
        <f t="shared" si="144"/>
        <v/>
      </c>
      <c r="H1292" t="str">
        <f t="shared" si="145"/>
        <v/>
      </c>
      <c r="I1292" t="str">
        <f t="shared" si="146"/>
        <v/>
      </c>
    </row>
    <row r="1293" spans="1:9" x14ac:dyDescent="0.4">
      <c r="A1293" t="str">
        <f t="shared" si="140"/>
        <v/>
      </c>
      <c r="B1293" t="str">
        <f t="shared" si="141"/>
        <v/>
      </c>
      <c r="C1293" t="str">
        <f t="shared" si="142"/>
        <v/>
      </c>
      <c r="D1293" t="str">
        <f t="shared" si="143"/>
        <v/>
      </c>
      <c r="E1293" t="str">
        <f>IF(F1293="","",IF(COUNTIF($F$2:F1293,F1293)&gt;1,"",SUMIFS(tbl_input[필요수량],tbl_input[집계키_센터],F1293)))</f>
        <v/>
      </c>
      <c r="F1293" t="str">
        <f>IFERROR(INDEX(tbl_input[집계키_센터],ROW()-1),"")</f>
        <v/>
      </c>
      <c r="G1293" t="str">
        <f t="shared" si="144"/>
        <v/>
      </c>
      <c r="H1293" t="str">
        <f t="shared" si="145"/>
        <v/>
      </c>
      <c r="I1293" t="str">
        <f t="shared" si="146"/>
        <v/>
      </c>
    </row>
    <row r="1294" spans="1:9" x14ac:dyDescent="0.4">
      <c r="A1294" t="str">
        <f t="shared" si="140"/>
        <v/>
      </c>
      <c r="B1294" t="str">
        <f t="shared" si="141"/>
        <v/>
      </c>
      <c r="C1294" t="str">
        <f t="shared" si="142"/>
        <v/>
      </c>
      <c r="D1294" t="str">
        <f t="shared" si="143"/>
        <v/>
      </c>
      <c r="E1294" t="str">
        <f>IF(F1294="","",IF(COUNTIF($F$2:F1294,F1294)&gt;1,"",SUMIFS(tbl_input[필요수량],tbl_input[집계키_센터],F1294)))</f>
        <v/>
      </c>
      <c r="F1294" t="str">
        <f>IFERROR(INDEX(tbl_input[집계키_센터],ROW()-1),"")</f>
        <v/>
      </c>
      <c r="G1294" t="str">
        <f t="shared" si="144"/>
        <v/>
      </c>
      <c r="H1294" t="str">
        <f t="shared" si="145"/>
        <v/>
      </c>
      <c r="I1294" t="str">
        <f t="shared" si="146"/>
        <v/>
      </c>
    </row>
    <row r="1295" spans="1:9" x14ac:dyDescent="0.4">
      <c r="A1295" t="str">
        <f t="shared" si="140"/>
        <v/>
      </c>
      <c r="B1295" t="str">
        <f t="shared" si="141"/>
        <v/>
      </c>
      <c r="C1295" t="str">
        <f t="shared" si="142"/>
        <v/>
      </c>
      <c r="D1295" t="str">
        <f t="shared" si="143"/>
        <v/>
      </c>
      <c r="E1295" t="str">
        <f>IF(F1295="","",IF(COUNTIF($F$2:F1295,F1295)&gt;1,"",SUMIFS(tbl_input[필요수량],tbl_input[집계키_센터],F1295)))</f>
        <v/>
      </c>
      <c r="F1295" t="str">
        <f>IFERROR(INDEX(tbl_input[집계키_센터],ROW()-1),"")</f>
        <v/>
      </c>
      <c r="G1295" t="str">
        <f t="shared" si="144"/>
        <v/>
      </c>
      <c r="H1295" t="str">
        <f t="shared" si="145"/>
        <v/>
      </c>
      <c r="I1295" t="str">
        <f t="shared" si="146"/>
        <v/>
      </c>
    </row>
    <row r="1296" spans="1:9" x14ac:dyDescent="0.4">
      <c r="A1296" t="str">
        <f t="shared" si="140"/>
        <v/>
      </c>
      <c r="B1296" t="str">
        <f t="shared" si="141"/>
        <v/>
      </c>
      <c r="C1296" t="str">
        <f t="shared" si="142"/>
        <v/>
      </c>
      <c r="D1296" t="str">
        <f t="shared" si="143"/>
        <v/>
      </c>
      <c r="E1296" t="str">
        <f>IF(F1296="","",IF(COUNTIF($F$2:F1296,F1296)&gt;1,"",SUMIFS(tbl_input[필요수량],tbl_input[집계키_센터],F1296)))</f>
        <v/>
      </c>
      <c r="F1296" t="str">
        <f>IFERROR(INDEX(tbl_input[집계키_센터],ROW()-1),"")</f>
        <v/>
      </c>
      <c r="G1296" t="str">
        <f t="shared" si="144"/>
        <v/>
      </c>
      <c r="H1296" t="str">
        <f t="shared" si="145"/>
        <v/>
      </c>
      <c r="I1296" t="str">
        <f t="shared" si="146"/>
        <v/>
      </c>
    </row>
    <row r="1297" spans="1:9" x14ac:dyDescent="0.4">
      <c r="A1297" t="str">
        <f t="shared" si="140"/>
        <v/>
      </c>
      <c r="B1297" t="str">
        <f t="shared" si="141"/>
        <v/>
      </c>
      <c r="C1297" t="str">
        <f t="shared" si="142"/>
        <v/>
      </c>
      <c r="D1297" t="str">
        <f t="shared" si="143"/>
        <v/>
      </c>
      <c r="E1297" t="str">
        <f>IF(F1297="","",IF(COUNTIF($F$2:F1297,F1297)&gt;1,"",SUMIFS(tbl_input[필요수량],tbl_input[집계키_센터],F1297)))</f>
        <v/>
      </c>
      <c r="F1297" t="str">
        <f>IFERROR(INDEX(tbl_input[집계키_센터],ROW()-1),"")</f>
        <v/>
      </c>
      <c r="G1297" t="str">
        <f t="shared" si="144"/>
        <v/>
      </c>
      <c r="H1297" t="str">
        <f t="shared" si="145"/>
        <v/>
      </c>
      <c r="I1297" t="str">
        <f t="shared" si="146"/>
        <v/>
      </c>
    </row>
    <row r="1298" spans="1:9" x14ac:dyDescent="0.4">
      <c r="A1298" t="str">
        <f t="shared" si="140"/>
        <v/>
      </c>
      <c r="B1298" t="str">
        <f t="shared" si="141"/>
        <v/>
      </c>
      <c r="C1298" t="str">
        <f t="shared" si="142"/>
        <v/>
      </c>
      <c r="D1298" t="str">
        <f t="shared" si="143"/>
        <v/>
      </c>
      <c r="E1298" t="str">
        <f>IF(F1298="","",IF(COUNTIF($F$2:F1298,F1298)&gt;1,"",SUMIFS(tbl_input[필요수량],tbl_input[집계키_센터],F1298)))</f>
        <v/>
      </c>
      <c r="F1298" t="str">
        <f>IFERROR(INDEX(tbl_input[집계키_센터],ROW()-1),"")</f>
        <v/>
      </c>
      <c r="G1298" t="str">
        <f t="shared" si="144"/>
        <v/>
      </c>
      <c r="H1298" t="str">
        <f t="shared" si="145"/>
        <v/>
      </c>
      <c r="I1298" t="str">
        <f t="shared" si="146"/>
        <v/>
      </c>
    </row>
    <row r="1299" spans="1:9" x14ac:dyDescent="0.4">
      <c r="A1299" t="str">
        <f t="shared" si="140"/>
        <v/>
      </c>
      <c r="B1299" t="str">
        <f t="shared" si="141"/>
        <v/>
      </c>
      <c r="C1299" t="str">
        <f t="shared" si="142"/>
        <v/>
      </c>
      <c r="D1299" t="str">
        <f t="shared" si="143"/>
        <v/>
      </c>
      <c r="E1299" t="str">
        <f>IF(F1299="","",IF(COUNTIF($F$2:F1299,F1299)&gt;1,"",SUMIFS(tbl_input[필요수량],tbl_input[집계키_센터],F1299)))</f>
        <v/>
      </c>
      <c r="F1299" t="str">
        <f>IFERROR(INDEX(tbl_input[집계키_센터],ROW()-1),"")</f>
        <v/>
      </c>
      <c r="G1299" t="str">
        <f t="shared" si="144"/>
        <v/>
      </c>
      <c r="H1299" t="str">
        <f t="shared" si="145"/>
        <v/>
      </c>
      <c r="I1299" t="str">
        <f t="shared" si="146"/>
        <v/>
      </c>
    </row>
    <row r="1300" spans="1:9" x14ac:dyDescent="0.4">
      <c r="A1300" t="str">
        <f t="shared" si="140"/>
        <v/>
      </c>
      <c r="B1300" t="str">
        <f t="shared" si="141"/>
        <v/>
      </c>
      <c r="C1300" t="str">
        <f t="shared" si="142"/>
        <v/>
      </c>
      <c r="D1300" t="str">
        <f t="shared" si="143"/>
        <v/>
      </c>
      <c r="E1300" t="str">
        <f>IF(F1300="","",IF(COUNTIF($F$2:F1300,F1300)&gt;1,"",SUMIFS(tbl_input[필요수량],tbl_input[집계키_센터],F1300)))</f>
        <v/>
      </c>
      <c r="F1300" t="str">
        <f>IFERROR(INDEX(tbl_input[집계키_센터],ROW()-1),"")</f>
        <v/>
      </c>
      <c r="G1300" t="str">
        <f t="shared" si="144"/>
        <v/>
      </c>
      <c r="H1300" t="str">
        <f t="shared" si="145"/>
        <v/>
      </c>
      <c r="I1300" t="str">
        <f t="shared" si="146"/>
        <v/>
      </c>
    </row>
    <row r="1301" spans="1:9" x14ac:dyDescent="0.4">
      <c r="A1301" t="str">
        <f t="shared" si="140"/>
        <v/>
      </c>
      <c r="B1301" t="str">
        <f t="shared" si="141"/>
        <v/>
      </c>
      <c r="C1301" t="str">
        <f t="shared" si="142"/>
        <v/>
      </c>
      <c r="D1301" t="str">
        <f t="shared" si="143"/>
        <v/>
      </c>
      <c r="E1301" t="str">
        <f>IF(F1301="","",IF(COUNTIF($F$2:F1301,F1301)&gt;1,"",SUMIFS(tbl_input[필요수량],tbl_input[집계키_센터],F1301)))</f>
        <v/>
      </c>
      <c r="F1301" t="str">
        <f>IFERROR(INDEX(tbl_input[집계키_센터],ROW()-1),"")</f>
        <v/>
      </c>
      <c r="G1301" t="str">
        <f t="shared" si="144"/>
        <v/>
      </c>
      <c r="H1301" t="str">
        <f t="shared" si="145"/>
        <v/>
      </c>
      <c r="I1301" t="str">
        <f t="shared" si="146"/>
        <v/>
      </c>
    </row>
    <row r="1302" spans="1:9" x14ac:dyDescent="0.4">
      <c r="A1302" t="str">
        <f t="shared" si="140"/>
        <v/>
      </c>
      <c r="B1302" t="str">
        <f t="shared" si="141"/>
        <v/>
      </c>
      <c r="C1302" t="str">
        <f t="shared" si="142"/>
        <v/>
      </c>
      <c r="D1302" t="str">
        <f t="shared" si="143"/>
        <v/>
      </c>
      <c r="E1302" t="str">
        <f>IF(F1302="","",IF(COUNTIF($F$2:F1302,F1302)&gt;1,"",SUMIFS(tbl_input[필요수량],tbl_input[집계키_센터],F1302)))</f>
        <v/>
      </c>
      <c r="F1302" t="str">
        <f>IFERROR(INDEX(tbl_input[집계키_센터],ROW()-1),"")</f>
        <v/>
      </c>
      <c r="G1302" t="str">
        <f t="shared" si="144"/>
        <v/>
      </c>
      <c r="H1302" t="str">
        <f t="shared" si="145"/>
        <v/>
      </c>
      <c r="I1302" t="str">
        <f t="shared" si="146"/>
        <v/>
      </c>
    </row>
    <row r="1303" spans="1:9" x14ac:dyDescent="0.4">
      <c r="A1303" t="str">
        <f t="shared" si="140"/>
        <v/>
      </c>
      <c r="B1303" t="str">
        <f t="shared" si="141"/>
        <v/>
      </c>
      <c r="C1303" t="str">
        <f t="shared" si="142"/>
        <v/>
      </c>
      <c r="D1303" t="str">
        <f t="shared" si="143"/>
        <v/>
      </c>
      <c r="E1303" t="str">
        <f>IF(F1303="","",IF(COUNTIF($F$2:F1303,F1303)&gt;1,"",SUMIFS(tbl_input[필요수량],tbl_input[집계키_센터],F1303)))</f>
        <v/>
      </c>
      <c r="F1303" t="str">
        <f>IFERROR(INDEX(tbl_input[집계키_센터],ROW()-1),"")</f>
        <v/>
      </c>
      <c r="G1303" t="str">
        <f t="shared" si="144"/>
        <v/>
      </c>
      <c r="H1303" t="str">
        <f t="shared" si="145"/>
        <v/>
      </c>
      <c r="I1303" t="str">
        <f t="shared" si="146"/>
        <v/>
      </c>
    </row>
    <row r="1304" spans="1:9" x14ac:dyDescent="0.4">
      <c r="A1304" t="str">
        <f t="shared" si="140"/>
        <v/>
      </c>
      <c r="B1304" t="str">
        <f t="shared" si="141"/>
        <v/>
      </c>
      <c r="C1304" t="str">
        <f t="shared" si="142"/>
        <v/>
      </c>
      <c r="D1304" t="str">
        <f t="shared" si="143"/>
        <v/>
      </c>
      <c r="E1304" t="str">
        <f>IF(F1304="","",IF(COUNTIF($F$2:F1304,F1304)&gt;1,"",SUMIFS(tbl_input[필요수량],tbl_input[집계키_센터],F1304)))</f>
        <v/>
      </c>
      <c r="F1304" t="str">
        <f>IFERROR(INDEX(tbl_input[집계키_센터],ROW()-1),"")</f>
        <v/>
      </c>
      <c r="G1304" t="str">
        <f t="shared" si="144"/>
        <v/>
      </c>
      <c r="H1304" t="str">
        <f t="shared" si="145"/>
        <v/>
      </c>
      <c r="I1304" t="str">
        <f t="shared" si="146"/>
        <v/>
      </c>
    </row>
    <row r="1305" spans="1:9" x14ac:dyDescent="0.4">
      <c r="A1305" t="str">
        <f t="shared" si="140"/>
        <v/>
      </c>
      <c r="B1305" t="str">
        <f t="shared" si="141"/>
        <v/>
      </c>
      <c r="C1305" t="str">
        <f t="shared" si="142"/>
        <v/>
      </c>
      <c r="D1305" t="str">
        <f t="shared" si="143"/>
        <v/>
      </c>
      <c r="E1305" t="str">
        <f>IF(F1305="","",IF(COUNTIF($F$2:F1305,F1305)&gt;1,"",SUMIFS(tbl_input[필요수량],tbl_input[집계키_센터],F1305)))</f>
        <v/>
      </c>
      <c r="F1305" t="str">
        <f>IFERROR(INDEX(tbl_input[집계키_센터],ROW()-1),"")</f>
        <v/>
      </c>
      <c r="G1305" t="str">
        <f t="shared" si="144"/>
        <v/>
      </c>
      <c r="H1305" t="str">
        <f t="shared" si="145"/>
        <v/>
      </c>
      <c r="I1305" t="str">
        <f t="shared" si="146"/>
        <v/>
      </c>
    </row>
    <row r="1306" spans="1:9" x14ac:dyDescent="0.4">
      <c r="A1306" t="str">
        <f t="shared" si="140"/>
        <v/>
      </c>
      <c r="B1306" t="str">
        <f t="shared" si="141"/>
        <v/>
      </c>
      <c r="C1306" t="str">
        <f t="shared" si="142"/>
        <v/>
      </c>
      <c r="D1306" t="str">
        <f t="shared" si="143"/>
        <v/>
      </c>
      <c r="E1306" t="str">
        <f>IF(F1306="","",IF(COUNTIF($F$2:F1306,F1306)&gt;1,"",SUMIFS(tbl_input[필요수량],tbl_input[집계키_센터],F1306)))</f>
        <v/>
      </c>
      <c r="F1306" t="str">
        <f>IFERROR(INDEX(tbl_input[집계키_센터],ROW()-1),"")</f>
        <v/>
      </c>
      <c r="G1306" t="str">
        <f t="shared" si="144"/>
        <v/>
      </c>
      <c r="H1306" t="str">
        <f t="shared" si="145"/>
        <v/>
      </c>
      <c r="I1306" t="str">
        <f t="shared" si="146"/>
        <v/>
      </c>
    </row>
    <row r="1307" spans="1:9" x14ac:dyDescent="0.4">
      <c r="A1307" t="str">
        <f t="shared" si="140"/>
        <v/>
      </c>
      <c r="B1307" t="str">
        <f t="shared" si="141"/>
        <v/>
      </c>
      <c r="C1307" t="str">
        <f t="shared" si="142"/>
        <v/>
      </c>
      <c r="D1307" t="str">
        <f t="shared" si="143"/>
        <v/>
      </c>
      <c r="E1307" t="str">
        <f>IF(F1307="","",IF(COUNTIF($F$2:F1307,F1307)&gt;1,"",SUMIFS(tbl_input[필요수량],tbl_input[집계키_센터],F1307)))</f>
        <v/>
      </c>
      <c r="F1307" t="str">
        <f>IFERROR(INDEX(tbl_input[집계키_센터],ROW()-1),"")</f>
        <v/>
      </c>
      <c r="G1307" t="str">
        <f t="shared" si="144"/>
        <v/>
      </c>
      <c r="H1307" t="str">
        <f t="shared" si="145"/>
        <v/>
      </c>
      <c r="I1307" t="str">
        <f t="shared" si="146"/>
        <v/>
      </c>
    </row>
    <row r="1308" spans="1:9" x14ac:dyDescent="0.4">
      <c r="A1308" t="str">
        <f t="shared" si="140"/>
        <v/>
      </c>
      <c r="B1308" t="str">
        <f t="shared" si="141"/>
        <v/>
      </c>
      <c r="C1308" t="str">
        <f t="shared" si="142"/>
        <v/>
      </c>
      <c r="D1308" t="str">
        <f t="shared" si="143"/>
        <v/>
      </c>
      <c r="E1308" t="str">
        <f>IF(F1308="","",IF(COUNTIF($F$2:F1308,F1308)&gt;1,"",SUMIFS(tbl_input[필요수량],tbl_input[집계키_센터],F1308)))</f>
        <v/>
      </c>
      <c r="F1308" t="str">
        <f>IFERROR(INDEX(tbl_input[집계키_센터],ROW()-1),"")</f>
        <v/>
      </c>
      <c r="G1308" t="str">
        <f t="shared" si="144"/>
        <v/>
      </c>
      <c r="H1308" t="str">
        <f t="shared" si="145"/>
        <v/>
      </c>
      <c r="I1308" t="str">
        <f t="shared" si="146"/>
        <v/>
      </c>
    </row>
    <row r="1309" spans="1:9" x14ac:dyDescent="0.4">
      <c r="A1309" t="str">
        <f t="shared" si="140"/>
        <v/>
      </c>
      <c r="B1309" t="str">
        <f t="shared" si="141"/>
        <v/>
      </c>
      <c r="C1309" t="str">
        <f t="shared" si="142"/>
        <v/>
      </c>
      <c r="D1309" t="str">
        <f t="shared" si="143"/>
        <v/>
      </c>
      <c r="E1309" t="str">
        <f>IF(F1309="","",IF(COUNTIF($F$2:F1309,F1309)&gt;1,"",SUMIFS(tbl_input[필요수량],tbl_input[집계키_센터],F1309)))</f>
        <v/>
      </c>
      <c r="F1309" t="str">
        <f>IFERROR(INDEX(tbl_input[집계키_센터],ROW()-1),"")</f>
        <v/>
      </c>
      <c r="G1309" t="str">
        <f t="shared" si="144"/>
        <v/>
      </c>
      <c r="H1309" t="str">
        <f t="shared" si="145"/>
        <v/>
      </c>
      <c r="I1309" t="str">
        <f t="shared" si="146"/>
        <v/>
      </c>
    </row>
    <row r="1310" spans="1:9" x14ac:dyDescent="0.4">
      <c r="A1310" t="str">
        <f t="shared" si="140"/>
        <v/>
      </c>
      <c r="B1310" t="str">
        <f t="shared" si="141"/>
        <v/>
      </c>
      <c r="C1310" t="str">
        <f t="shared" si="142"/>
        <v/>
      </c>
      <c r="D1310" t="str">
        <f t="shared" si="143"/>
        <v/>
      </c>
      <c r="E1310" t="str">
        <f>IF(F1310="","",IF(COUNTIF($F$2:F1310,F1310)&gt;1,"",SUMIFS(tbl_input[필요수량],tbl_input[집계키_센터],F1310)))</f>
        <v/>
      </c>
      <c r="F1310" t="str">
        <f>IFERROR(INDEX(tbl_input[집계키_센터],ROW()-1),"")</f>
        <v/>
      </c>
      <c r="G1310" t="str">
        <f t="shared" si="144"/>
        <v/>
      </c>
      <c r="H1310" t="str">
        <f t="shared" si="145"/>
        <v/>
      </c>
      <c r="I1310" t="str">
        <f t="shared" si="146"/>
        <v/>
      </c>
    </row>
    <row r="1311" spans="1:9" x14ac:dyDescent="0.4">
      <c r="A1311" t="str">
        <f t="shared" si="140"/>
        <v/>
      </c>
      <c r="B1311" t="str">
        <f t="shared" si="141"/>
        <v/>
      </c>
      <c r="C1311" t="str">
        <f t="shared" si="142"/>
        <v/>
      </c>
      <c r="D1311" t="str">
        <f t="shared" si="143"/>
        <v/>
      </c>
      <c r="E1311" t="str">
        <f>IF(F1311="","",IF(COUNTIF($F$2:F1311,F1311)&gt;1,"",SUMIFS(tbl_input[필요수량],tbl_input[집계키_센터],F1311)))</f>
        <v/>
      </c>
      <c r="F1311" t="str">
        <f>IFERROR(INDEX(tbl_input[집계키_센터],ROW()-1),"")</f>
        <v/>
      </c>
      <c r="G1311" t="str">
        <f t="shared" si="144"/>
        <v/>
      </c>
      <c r="H1311" t="str">
        <f t="shared" si="145"/>
        <v/>
      </c>
      <c r="I1311" t="str">
        <f t="shared" si="146"/>
        <v/>
      </c>
    </row>
    <row r="1312" spans="1:9" x14ac:dyDescent="0.4">
      <c r="A1312" t="str">
        <f t="shared" si="140"/>
        <v/>
      </c>
      <c r="B1312" t="str">
        <f t="shared" si="141"/>
        <v/>
      </c>
      <c r="C1312" t="str">
        <f t="shared" si="142"/>
        <v/>
      </c>
      <c r="D1312" t="str">
        <f t="shared" si="143"/>
        <v/>
      </c>
      <c r="E1312" t="str">
        <f>IF(F1312="","",IF(COUNTIF($F$2:F1312,F1312)&gt;1,"",SUMIFS(tbl_input[필요수량],tbl_input[집계키_센터],F1312)))</f>
        <v/>
      </c>
      <c r="F1312" t="str">
        <f>IFERROR(INDEX(tbl_input[집계키_센터],ROW()-1),"")</f>
        <v/>
      </c>
      <c r="G1312" t="str">
        <f t="shared" si="144"/>
        <v/>
      </c>
      <c r="H1312" t="str">
        <f t="shared" si="145"/>
        <v/>
      </c>
      <c r="I1312" t="str">
        <f t="shared" si="146"/>
        <v/>
      </c>
    </row>
    <row r="1313" spans="1:9" x14ac:dyDescent="0.4">
      <c r="A1313" t="str">
        <f t="shared" si="140"/>
        <v/>
      </c>
      <c r="B1313" t="str">
        <f t="shared" si="141"/>
        <v/>
      </c>
      <c r="C1313" t="str">
        <f t="shared" si="142"/>
        <v/>
      </c>
      <c r="D1313" t="str">
        <f t="shared" si="143"/>
        <v/>
      </c>
      <c r="E1313" t="str">
        <f>IF(F1313="","",IF(COUNTIF($F$2:F1313,F1313)&gt;1,"",SUMIFS(tbl_input[필요수량],tbl_input[집계키_센터],F1313)))</f>
        <v/>
      </c>
      <c r="F1313" t="str">
        <f>IFERROR(INDEX(tbl_input[집계키_센터],ROW()-1),"")</f>
        <v/>
      </c>
      <c r="G1313" t="str">
        <f t="shared" si="144"/>
        <v/>
      </c>
      <c r="H1313" t="str">
        <f t="shared" si="145"/>
        <v/>
      </c>
      <c r="I1313" t="str">
        <f t="shared" si="146"/>
        <v/>
      </c>
    </row>
    <row r="1314" spans="1:9" x14ac:dyDescent="0.4">
      <c r="A1314" t="str">
        <f t="shared" si="140"/>
        <v/>
      </c>
      <c r="B1314" t="str">
        <f t="shared" si="141"/>
        <v/>
      </c>
      <c r="C1314" t="str">
        <f t="shared" si="142"/>
        <v/>
      </c>
      <c r="D1314" t="str">
        <f t="shared" si="143"/>
        <v/>
      </c>
      <c r="E1314" t="str">
        <f>IF(F1314="","",IF(COUNTIF($F$2:F1314,F1314)&gt;1,"",SUMIFS(tbl_input[필요수량],tbl_input[집계키_센터],F1314)))</f>
        <v/>
      </c>
      <c r="F1314" t="str">
        <f>IFERROR(INDEX(tbl_input[집계키_센터],ROW()-1),"")</f>
        <v/>
      </c>
      <c r="G1314" t="str">
        <f t="shared" si="144"/>
        <v/>
      </c>
      <c r="H1314" t="str">
        <f t="shared" si="145"/>
        <v/>
      </c>
      <c r="I1314" t="str">
        <f t="shared" si="146"/>
        <v/>
      </c>
    </row>
    <row r="1315" spans="1:9" x14ac:dyDescent="0.4">
      <c r="A1315" t="str">
        <f t="shared" si="140"/>
        <v/>
      </c>
      <c r="B1315" t="str">
        <f t="shared" si="141"/>
        <v/>
      </c>
      <c r="C1315" t="str">
        <f t="shared" si="142"/>
        <v/>
      </c>
      <c r="D1315" t="str">
        <f t="shared" si="143"/>
        <v/>
      </c>
      <c r="E1315" t="str">
        <f>IF(F1315="","",IF(COUNTIF($F$2:F1315,F1315)&gt;1,"",SUMIFS(tbl_input[필요수량],tbl_input[집계키_센터],F1315)))</f>
        <v/>
      </c>
      <c r="F1315" t="str">
        <f>IFERROR(INDEX(tbl_input[집계키_센터],ROW()-1),"")</f>
        <v/>
      </c>
      <c r="G1315" t="str">
        <f t="shared" si="144"/>
        <v/>
      </c>
      <c r="H1315" t="str">
        <f t="shared" si="145"/>
        <v/>
      </c>
      <c r="I1315" t="str">
        <f t="shared" si="146"/>
        <v/>
      </c>
    </row>
    <row r="1316" spans="1:9" x14ac:dyDescent="0.4">
      <c r="A1316" t="str">
        <f t="shared" si="140"/>
        <v/>
      </c>
      <c r="B1316" t="str">
        <f t="shared" si="141"/>
        <v/>
      </c>
      <c r="C1316" t="str">
        <f t="shared" si="142"/>
        <v/>
      </c>
      <c r="D1316" t="str">
        <f t="shared" si="143"/>
        <v/>
      </c>
      <c r="E1316" t="str">
        <f>IF(F1316="","",IF(COUNTIF($F$2:F1316,F1316)&gt;1,"",SUMIFS(tbl_input[필요수량],tbl_input[집계키_센터],F1316)))</f>
        <v/>
      </c>
      <c r="F1316" t="str">
        <f>IFERROR(INDEX(tbl_input[집계키_센터],ROW()-1),"")</f>
        <v/>
      </c>
      <c r="G1316" t="str">
        <f t="shared" si="144"/>
        <v/>
      </c>
      <c r="H1316" t="str">
        <f t="shared" si="145"/>
        <v/>
      </c>
      <c r="I1316" t="str">
        <f t="shared" si="146"/>
        <v/>
      </c>
    </row>
    <row r="1317" spans="1:9" x14ac:dyDescent="0.4">
      <c r="A1317" t="str">
        <f t="shared" si="140"/>
        <v/>
      </c>
      <c r="B1317" t="str">
        <f t="shared" si="141"/>
        <v/>
      </c>
      <c r="C1317" t="str">
        <f t="shared" si="142"/>
        <v/>
      </c>
      <c r="D1317" t="str">
        <f t="shared" si="143"/>
        <v/>
      </c>
      <c r="E1317" t="str">
        <f>IF(F1317="","",IF(COUNTIF($F$2:F1317,F1317)&gt;1,"",SUMIFS(tbl_input[필요수량],tbl_input[집계키_센터],F1317)))</f>
        <v/>
      </c>
      <c r="F1317" t="str">
        <f>IFERROR(INDEX(tbl_input[집계키_센터],ROW()-1),"")</f>
        <v/>
      </c>
      <c r="G1317" t="str">
        <f t="shared" si="144"/>
        <v/>
      </c>
      <c r="H1317" t="str">
        <f t="shared" si="145"/>
        <v/>
      </c>
      <c r="I1317" t="str">
        <f t="shared" si="146"/>
        <v/>
      </c>
    </row>
    <row r="1318" spans="1:9" x14ac:dyDescent="0.4">
      <c r="A1318" t="str">
        <f t="shared" si="140"/>
        <v/>
      </c>
      <c r="B1318" t="str">
        <f t="shared" si="141"/>
        <v/>
      </c>
      <c r="C1318" t="str">
        <f t="shared" si="142"/>
        <v/>
      </c>
      <c r="D1318" t="str">
        <f t="shared" si="143"/>
        <v/>
      </c>
      <c r="E1318" t="str">
        <f>IF(F1318="","",IF(COUNTIF($F$2:F1318,F1318)&gt;1,"",SUMIFS(tbl_input[필요수량],tbl_input[집계키_센터],F1318)))</f>
        <v/>
      </c>
      <c r="F1318" t="str">
        <f>IFERROR(INDEX(tbl_input[집계키_센터],ROW()-1),"")</f>
        <v/>
      </c>
      <c r="G1318" t="str">
        <f t="shared" si="144"/>
        <v/>
      </c>
      <c r="H1318" t="str">
        <f t="shared" si="145"/>
        <v/>
      </c>
      <c r="I1318" t="str">
        <f t="shared" si="146"/>
        <v/>
      </c>
    </row>
    <row r="1319" spans="1:9" x14ac:dyDescent="0.4">
      <c r="A1319" t="str">
        <f t="shared" si="140"/>
        <v/>
      </c>
      <c r="B1319" t="str">
        <f t="shared" si="141"/>
        <v/>
      </c>
      <c r="C1319" t="str">
        <f t="shared" si="142"/>
        <v/>
      </c>
      <c r="D1319" t="str">
        <f t="shared" si="143"/>
        <v/>
      </c>
      <c r="E1319" t="str">
        <f>IF(F1319="","",IF(COUNTIF($F$2:F1319,F1319)&gt;1,"",SUMIFS(tbl_input[필요수량],tbl_input[집계키_센터],F1319)))</f>
        <v/>
      </c>
      <c r="F1319" t="str">
        <f>IFERROR(INDEX(tbl_input[집계키_센터],ROW()-1),"")</f>
        <v/>
      </c>
      <c r="G1319" t="str">
        <f t="shared" si="144"/>
        <v/>
      </c>
      <c r="H1319" t="str">
        <f t="shared" si="145"/>
        <v/>
      </c>
      <c r="I1319" t="str">
        <f t="shared" si="146"/>
        <v/>
      </c>
    </row>
    <row r="1320" spans="1:9" x14ac:dyDescent="0.4">
      <c r="A1320" t="str">
        <f t="shared" si="140"/>
        <v/>
      </c>
      <c r="B1320" t="str">
        <f t="shared" si="141"/>
        <v/>
      </c>
      <c r="C1320" t="str">
        <f t="shared" si="142"/>
        <v/>
      </c>
      <c r="D1320" t="str">
        <f t="shared" si="143"/>
        <v/>
      </c>
      <c r="E1320" t="str">
        <f>IF(F1320="","",IF(COUNTIF($F$2:F1320,F1320)&gt;1,"",SUMIFS(tbl_input[필요수량],tbl_input[집계키_센터],F1320)))</f>
        <v/>
      </c>
      <c r="F1320" t="str">
        <f>IFERROR(INDEX(tbl_input[집계키_센터],ROW()-1),"")</f>
        <v/>
      </c>
      <c r="G1320" t="str">
        <f t="shared" si="144"/>
        <v/>
      </c>
      <c r="H1320" t="str">
        <f t="shared" si="145"/>
        <v/>
      </c>
      <c r="I1320" t="str">
        <f t="shared" si="146"/>
        <v/>
      </c>
    </row>
    <row r="1321" spans="1:9" x14ac:dyDescent="0.4">
      <c r="A1321" t="str">
        <f t="shared" si="140"/>
        <v/>
      </c>
      <c r="B1321" t="str">
        <f t="shared" si="141"/>
        <v/>
      </c>
      <c r="C1321" t="str">
        <f t="shared" si="142"/>
        <v/>
      </c>
      <c r="D1321" t="str">
        <f t="shared" si="143"/>
        <v/>
      </c>
      <c r="E1321" t="str">
        <f>IF(F1321="","",IF(COUNTIF($F$2:F1321,F1321)&gt;1,"",SUMIFS(tbl_input[필요수량],tbl_input[집계키_센터],F1321)))</f>
        <v/>
      </c>
      <c r="F1321" t="str">
        <f>IFERROR(INDEX(tbl_input[집계키_센터],ROW()-1),"")</f>
        <v/>
      </c>
      <c r="G1321" t="str">
        <f t="shared" si="144"/>
        <v/>
      </c>
      <c r="H1321" t="str">
        <f t="shared" si="145"/>
        <v/>
      </c>
      <c r="I1321" t="str">
        <f t="shared" si="146"/>
        <v/>
      </c>
    </row>
    <row r="1322" spans="1:9" x14ac:dyDescent="0.4">
      <c r="A1322" t="str">
        <f t="shared" si="140"/>
        <v/>
      </c>
      <c r="B1322" t="str">
        <f t="shared" si="141"/>
        <v/>
      </c>
      <c r="C1322" t="str">
        <f t="shared" si="142"/>
        <v/>
      </c>
      <c r="D1322" t="str">
        <f t="shared" si="143"/>
        <v/>
      </c>
      <c r="E1322" t="str">
        <f>IF(F1322="","",IF(COUNTIF($F$2:F1322,F1322)&gt;1,"",SUMIFS(tbl_input[필요수량],tbl_input[집계키_센터],F1322)))</f>
        <v/>
      </c>
      <c r="F1322" t="str">
        <f>IFERROR(INDEX(tbl_input[집계키_센터],ROW()-1),"")</f>
        <v/>
      </c>
      <c r="G1322" t="str">
        <f t="shared" si="144"/>
        <v/>
      </c>
      <c r="H1322" t="str">
        <f t="shared" si="145"/>
        <v/>
      </c>
      <c r="I1322" t="str">
        <f t="shared" si="146"/>
        <v/>
      </c>
    </row>
    <row r="1323" spans="1:9" x14ac:dyDescent="0.4">
      <c r="A1323" t="str">
        <f t="shared" si="140"/>
        <v/>
      </c>
      <c r="B1323" t="str">
        <f t="shared" si="141"/>
        <v/>
      </c>
      <c r="C1323" t="str">
        <f t="shared" si="142"/>
        <v/>
      </c>
      <c r="D1323" t="str">
        <f t="shared" si="143"/>
        <v/>
      </c>
      <c r="E1323" t="str">
        <f>IF(F1323="","",IF(COUNTIF($F$2:F1323,F1323)&gt;1,"",SUMIFS(tbl_input[필요수량],tbl_input[집계키_센터],F1323)))</f>
        <v/>
      </c>
      <c r="F1323" t="str">
        <f>IFERROR(INDEX(tbl_input[집계키_센터],ROW()-1),"")</f>
        <v/>
      </c>
      <c r="G1323" t="str">
        <f t="shared" si="144"/>
        <v/>
      </c>
      <c r="H1323" t="str">
        <f t="shared" si="145"/>
        <v/>
      </c>
      <c r="I1323" t="str">
        <f t="shared" si="146"/>
        <v/>
      </c>
    </row>
    <row r="1324" spans="1:9" x14ac:dyDescent="0.4">
      <c r="A1324" t="str">
        <f t="shared" si="140"/>
        <v/>
      </c>
      <c r="B1324" t="str">
        <f t="shared" si="141"/>
        <v/>
      </c>
      <c r="C1324" t="str">
        <f t="shared" si="142"/>
        <v/>
      </c>
      <c r="D1324" t="str">
        <f t="shared" si="143"/>
        <v/>
      </c>
      <c r="E1324" t="str">
        <f>IF(F1324="","",IF(COUNTIF($F$2:F1324,F1324)&gt;1,"",SUMIFS(tbl_input[필요수량],tbl_input[집계키_센터],F1324)))</f>
        <v/>
      </c>
      <c r="F1324" t="str">
        <f>IFERROR(INDEX(tbl_input[집계키_센터],ROW()-1),"")</f>
        <v/>
      </c>
      <c r="G1324" t="str">
        <f t="shared" si="144"/>
        <v/>
      </c>
      <c r="H1324" t="str">
        <f t="shared" si="145"/>
        <v/>
      </c>
      <c r="I1324" t="str">
        <f t="shared" si="146"/>
        <v/>
      </c>
    </row>
    <row r="1325" spans="1:9" x14ac:dyDescent="0.4">
      <c r="A1325" t="str">
        <f t="shared" si="140"/>
        <v/>
      </c>
      <c r="B1325" t="str">
        <f t="shared" si="141"/>
        <v/>
      </c>
      <c r="C1325" t="str">
        <f t="shared" si="142"/>
        <v/>
      </c>
      <c r="D1325" t="str">
        <f t="shared" si="143"/>
        <v/>
      </c>
      <c r="E1325" t="str">
        <f>IF(F1325="","",IF(COUNTIF($F$2:F1325,F1325)&gt;1,"",SUMIFS(tbl_input[필요수량],tbl_input[집계키_센터],F1325)))</f>
        <v/>
      </c>
      <c r="F1325" t="str">
        <f>IFERROR(INDEX(tbl_input[집계키_센터],ROW()-1),"")</f>
        <v/>
      </c>
      <c r="G1325" t="str">
        <f t="shared" si="144"/>
        <v/>
      </c>
      <c r="H1325" t="str">
        <f t="shared" si="145"/>
        <v/>
      </c>
      <c r="I1325" t="str">
        <f t="shared" si="146"/>
        <v/>
      </c>
    </row>
    <row r="1326" spans="1:9" x14ac:dyDescent="0.4">
      <c r="A1326" t="str">
        <f t="shared" si="140"/>
        <v/>
      </c>
      <c r="B1326" t="str">
        <f t="shared" si="141"/>
        <v/>
      </c>
      <c r="C1326" t="str">
        <f t="shared" si="142"/>
        <v/>
      </c>
      <c r="D1326" t="str">
        <f t="shared" si="143"/>
        <v/>
      </c>
      <c r="E1326" t="str">
        <f>IF(F1326="","",IF(COUNTIF($F$2:F1326,F1326)&gt;1,"",SUMIFS(tbl_input[필요수량],tbl_input[집계키_센터],F1326)))</f>
        <v/>
      </c>
      <c r="F1326" t="str">
        <f>IFERROR(INDEX(tbl_input[집계키_센터],ROW()-1),"")</f>
        <v/>
      </c>
      <c r="G1326" t="str">
        <f t="shared" si="144"/>
        <v/>
      </c>
      <c r="H1326" t="str">
        <f t="shared" si="145"/>
        <v/>
      </c>
      <c r="I1326" t="str">
        <f t="shared" si="146"/>
        <v/>
      </c>
    </row>
    <row r="1327" spans="1:9" x14ac:dyDescent="0.4">
      <c r="A1327" t="str">
        <f t="shared" si="140"/>
        <v/>
      </c>
      <c r="B1327" t="str">
        <f t="shared" si="141"/>
        <v/>
      </c>
      <c r="C1327" t="str">
        <f t="shared" si="142"/>
        <v/>
      </c>
      <c r="D1327" t="str">
        <f t="shared" si="143"/>
        <v/>
      </c>
      <c r="E1327" t="str">
        <f>IF(F1327="","",IF(COUNTIF($F$2:F1327,F1327)&gt;1,"",SUMIFS(tbl_input[필요수량],tbl_input[집계키_센터],F1327)))</f>
        <v/>
      </c>
      <c r="F1327" t="str">
        <f>IFERROR(INDEX(tbl_input[집계키_센터],ROW()-1),"")</f>
        <v/>
      </c>
      <c r="G1327" t="str">
        <f t="shared" si="144"/>
        <v/>
      </c>
      <c r="H1327" t="str">
        <f t="shared" si="145"/>
        <v/>
      </c>
      <c r="I1327" t="str">
        <f t="shared" si="146"/>
        <v/>
      </c>
    </row>
    <row r="1328" spans="1:9" x14ac:dyDescent="0.4">
      <c r="A1328" t="str">
        <f t="shared" si="140"/>
        <v/>
      </c>
      <c r="B1328" t="str">
        <f t="shared" si="141"/>
        <v/>
      </c>
      <c r="C1328" t="str">
        <f t="shared" si="142"/>
        <v/>
      </c>
      <c r="D1328" t="str">
        <f t="shared" si="143"/>
        <v/>
      </c>
      <c r="E1328" t="str">
        <f>IF(F1328="","",IF(COUNTIF($F$2:F1328,F1328)&gt;1,"",SUMIFS(tbl_input[필요수량],tbl_input[집계키_센터],F1328)))</f>
        <v/>
      </c>
      <c r="F1328" t="str">
        <f>IFERROR(INDEX(tbl_input[집계키_센터],ROW()-1),"")</f>
        <v/>
      </c>
      <c r="G1328" t="str">
        <f t="shared" si="144"/>
        <v/>
      </c>
      <c r="H1328" t="str">
        <f t="shared" si="145"/>
        <v/>
      </c>
      <c r="I1328" t="str">
        <f t="shared" si="146"/>
        <v/>
      </c>
    </row>
    <row r="1329" spans="1:9" x14ac:dyDescent="0.4">
      <c r="A1329" t="str">
        <f t="shared" si="140"/>
        <v/>
      </c>
      <c r="B1329" t="str">
        <f t="shared" si="141"/>
        <v/>
      </c>
      <c r="C1329" t="str">
        <f t="shared" si="142"/>
        <v/>
      </c>
      <c r="D1329" t="str">
        <f t="shared" si="143"/>
        <v/>
      </c>
      <c r="E1329" t="str">
        <f>IF(F1329="","",IF(COUNTIF($F$2:F1329,F1329)&gt;1,"",SUMIFS(tbl_input[필요수량],tbl_input[집계키_센터],F1329)))</f>
        <v/>
      </c>
      <c r="F1329" t="str">
        <f>IFERROR(INDEX(tbl_input[집계키_센터],ROW()-1),"")</f>
        <v/>
      </c>
      <c r="G1329" t="str">
        <f t="shared" si="144"/>
        <v/>
      </c>
      <c r="H1329" t="str">
        <f t="shared" si="145"/>
        <v/>
      </c>
      <c r="I1329" t="str">
        <f t="shared" si="146"/>
        <v/>
      </c>
    </row>
    <row r="1330" spans="1:9" x14ac:dyDescent="0.4">
      <c r="A1330" t="str">
        <f t="shared" si="140"/>
        <v/>
      </c>
      <c r="B1330" t="str">
        <f t="shared" si="141"/>
        <v/>
      </c>
      <c r="C1330" t="str">
        <f t="shared" si="142"/>
        <v/>
      </c>
      <c r="D1330" t="str">
        <f t="shared" si="143"/>
        <v/>
      </c>
      <c r="E1330" t="str">
        <f>IF(F1330="","",IF(COUNTIF($F$2:F1330,F1330)&gt;1,"",SUMIFS(tbl_input[필요수량],tbl_input[집계키_센터],F1330)))</f>
        <v/>
      </c>
      <c r="F1330" t="str">
        <f>IFERROR(INDEX(tbl_input[집계키_센터],ROW()-1),"")</f>
        <v/>
      </c>
      <c r="G1330" t="str">
        <f t="shared" si="144"/>
        <v/>
      </c>
      <c r="H1330" t="str">
        <f t="shared" si="145"/>
        <v/>
      </c>
      <c r="I1330" t="str">
        <f t="shared" si="146"/>
        <v/>
      </c>
    </row>
    <row r="1331" spans="1:9" x14ac:dyDescent="0.4">
      <c r="A1331" t="str">
        <f t="shared" si="140"/>
        <v/>
      </c>
      <c r="B1331" t="str">
        <f t="shared" si="141"/>
        <v/>
      </c>
      <c r="C1331" t="str">
        <f t="shared" si="142"/>
        <v/>
      </c>
      <c r="D1331" t="str">
        <f t="shared" si="143"/>
        <v/>
      </c>
      <c r="E1331" t="str">
        <f>IF(F1331="","",IF(COUNTIF($F$2:F1331,F1331)&gt;1,"",SUMIFS(tbl_input[필요수량],tbl_input[집계키_센터],F1331)))</f>
        <v/>
      </c>
      <c r="F1331" t="str">
        <f>IFERROR(INDEX(tbl_input[집계키_센터],ROW()-1),"")</f>
        <v/>
      </c>
      <c r="G1331" t="str">
        <f t="shared" si="144"/>
        <v/>
      </c>
      <c r="H1331" t="str">
        <f t="shared" si="145"/>
        <v/>
      </c>
      <c r="I1331" t="str">
        <f t="shared" si="146"/>
        <v/>
      </c>
    </row>
    <row r="1332" spans="1:9" x14ac:dyDescent="0.4">
      <c r="A1332" t="str">
        <f t="shared" si="140"/>
        <v/>
      </c>
      <c r="B1332" t="str">
        <f t="shared" si="141"/>
        <v/>
      </c>
      <c r="C1332" t="str">
        <f t="shared" si="142"/>
        <v/>
      </c>
      <c r="D1332" t="str">
        <f t="shared" si="143"/>
        <v/>
      </c>
      <c r="E1332" t="str">
        <f>IF(F1332="","",IF(COUNTIF($F$2:F1332,F1332)&gt;1,"",SUMIFS(tbl_input[필요수량],tbl_input[집계키_센터],F1332)))</f>
        <v/>
      </c>
      <c r="F1332" t="str">
        <f>IFERROR(INDEX(tbl_input[집계키_센터],ROW()-1),"")</f>
        <v/>
      </c>
      <c r="G1332" t="str">
        <f t="shared" si="144"/>
        <v/>
      </c>
      <c r="H1332" t="str">
        <f t="shared" si="145"/>
        <v/>
      </c>
      <c r="I1332" t="str">
        <f t="shared" si="146"/>
        <v/>
      </c>
    </row>
    <row r="1333" spans="1:9" x14ac:dyDescent="0.4">
      <c r="A1333" t="str">
        <f t="shared" si="140"/>
        <v/>
      </c>
      <c r="B1333" t="str">
        <f t="shared" si="141"/>
        <v/>
      </c>
      <c r="C1333" t="str">
        <f t="shared" si="142"/>
        <v/>
      </c>
      <c r="D1333" t="str">
        <f t="shared" si="143"/>
        <v/>
      </c>
      <c r="E1333" t="str">
        <f>IF(F1333="","",IF(COUNTIF($F$2:F1333,F1333)&gt;1,"",SUMIFS(tbl_input[필요수량],tbl_input[집계키_센터],F1333)))</f>
        <v/>
      </c>
      <c r="F1333" t="str">
        <f>IFERROR(INDEX(tbl_input[집계키_센터],ROW()-1),"")</f>
        <v/>
      </c>
      <c r="G1333" t="str">
        <f t="shared" si="144"/>
        <v/>
      </c>
      <c r="H1333" t="str">
        <f t="shared" si="145"/>
        <v/>
      </c>
      <c r="I1333" t="str">
        <f t="shared" si="146"/>
        <v/>
      </c>
    </row>
    <row r="1334" spans="1:9" x14ac:dyDescent="0.4">
      <c r="A1334" t="str">
        <f t="shared" si="140"/>
        <v/>
      </c>
      <c r="B1334" t="str">
        <f t="shared" si="141"/>
        <v/>
      </c>
      <c r="C1334" t="str">
        <f t="shared" si="142"/>
        <v/>
      </c>
      <c r="D1334" t="str">
        <f t="shared" si="143"/>
        <v/>
      </c>
      <c r="E1334" t="str">
        <f>IF(F1334="","",IF(COUNTIF($F$2:F1334,F1334)&gt;1,"",SUMIFS(tbl_input[필요수량],tbl_input[집계키_센터],F1334)))</f>
        <v/>
      </c>
      <c r="F1334" t="str">
        <f>IFERROR(INDEX(tbl_input[집계키_센터],ROW()-1),"")</f>
        <v/>
      </c>
      <c r="G1334" t="str">
        <f t="shared" si="144"/>
        <v/>
      </c>
      <c r="H1334" t="str">
        <f t="shared" si="145"/>
        <v/>
      </c>
      <c r="I1334" t="str">
        <f t="shared" si="146"/>
        <v/>
      </c>
    </row>
    <row r="1335" spans="1:9" x14ac:dyDescent="0.4">
      <c r="A1335" t="str">
        <f t="shared" si="140"/>
        <v/>
      </c>
      <c r="B1335" t="str">
        <f t="shared" si="141"/>
        <v/>
      </c>
      <c r="C1335" t="str">
        <f t="shared" si="142"/>
        <v/>
      </c>
      <c r="D1335" t="str">
        <f t="shared" si="143"/>
        <v/>
      </c>
      <c r="E1335" t="str">
        <f>IF(F1335="","",IF(COUNTIF($F$2:F1335,F1335)&gt;1,"",SUMIFS(tbl_input[필요수량],tbl_input[집계키_센터],F1335)))</f>
        <v/>
      </c>
      <c r="F1335" t="str">
        <f>IFERROR(INDEX(tbl_input[집계키_센터],ROW()-1),"")</f>
        <v/>
      </c>
      <c r="G1335" t="str">
        <f t="shared" si="144"/>
        <v/>
      </c>
      <c r="H1335" t="str">
        <f t="shared" si="145"/>
        <v/>
      </c>
      <c r="I1335" t="str">
        <f t="shared" si="146"/>
        <v/>
      </c>
    </row>
    <row r="1336" spans="1:9" x14ac:dyDescent="0.4">
      <c r="A1336" t="str">
        <f t="shared" si="140"/>
        <v/>
      </c>
      <c r="B1336" t="str">
        <f t="shared" si="141"/>
        <v/>
      </c>
      <c r="C1336" t="str">
        <f t="shared" si="142"/>
        <v/>
      </c>
      <c r="D1336" t="str">
        <f t="shared" si="143"/>
        <v/>
      </c>
      <c r="E1336" t="str">
        <f>IF(F1336="","",IF(COUNTIF($F$2:F1336,F1336)&gt;1,"",SUMIFS(tbl_input[필요수량],tbl_input[집계키_센터],F1336)))</f>
        <v/>
      </c>
      <c r="F1336" t="str">
        <f>IFERROR(INDEX(tbl_input[집계키_센터],ROW()-1),"")</f>
        <v/>
      </c>
      <c r="G1336" t="str">
        <f t="shared" si="144"/>
        <v/>
      </c>
      <c r="H1336" t="str">
        <f t="shared" si="145"/>
        <v/>
      </c>
      <c r="I1336" t="str">
        <f t="shared" si="146"/>
        <v/>
      </c>
    </row>
    <row r="1337" spans="1:9" x14ac:dyDescent="0.4">
      <c r="A1337" t="str">
        <f t="shared" si="140"/>
        <v/>
      </c>
      <c r="B1337" t="str">
        <f t="shared" si="141"/>
        <v/>
      </c>
      <c r="C1337" t="str">
        <f t="shared" si="142"/>
        <v/>
      </c>
      <c r="D1337" t="str">
        <f t="shared" si="143"/>
        <v/>
      </c>
      <c r="E1337" t="str">
        <f>IF(F1337="","",IF(COUNTIF($F$2:F1337,F1337)&gt;1,"",SUMIFS(tbl_input[필요수량],tbl_input[집계키_센터],F1337)))</f>
        <v/>
      </c>
      <c r="F1337" t="str">
        <f>IFERROR(INDEX(tbl_input[집계키_센터],ROW()-1),"")</f>
        <v/>
      </c>
      <c r="G1337" t="str">
        <f t="shared" si="144"/>
        <v/>
      </c>
      <c r="H1337" t="str">
        <f t="shared" si="145"/>
        <v/>
      </c>
      <c r="I1337" t="str">
        <f t="shared" si="146"/>
        <v/>
      </c>
    </row>
    <row r="1338" spans="1:9" x14ac:dyDescent="0.4">
      <c r="A1338" t="str">
        <f t="shared" si="140"/>
        <v/>
      </c>
      <c r="B1338" t="str">
        <f t="shared" si="141"/>
        <v/>
      </c>
      <c r="C1338" t="str">
        <f t="shared" si="142"/>
        <v/>
      </c>
      <c r="D1338" t="str">
        <f t="shared" si="143"/>
        <v/>
      </c>
      <c r="E1338" t="str">
        <f>IF(F1338="","",IF(COUNTIF($F$2:F1338,F1338)&gt;1,"",SUMIFS(tbl_input[필요수량],tbl_input[집계키_센터],F1338)))</f>
        <v/>
      </c>
      <c r="F1338" t="str">
        <f>IFERROR(INDEX(tbl_input[집계키_센터],ROW()-1),"")</f>
        <v/>
      </c>
      <c r="G1338" t="str">
        <f t="shared" si="144"/>
        <v/>
      </c>
      <c r="H1338" t="str">
        <f t="shared" si="145"/>
        <v/>
      </c>
      <c r="I1338" t="str">
        <f t="shared" si="146"/>
        <v/>
      </c>
    </row>
    <row r="1339" spans="1:9" x14ac:dyDescent="0.4">
      <c r="A1339" t="str">
        <f t="shared" si="140"/>
        <v/>
      </c>
      <c r="B1339" t="str">
        <f t="shared" si="141"/>
        <v/>
      </c>
      <c r="C1339" t="str">
        <f t="shared" si="142"/>
        <v/>
      </c>
      <c r="D1339" t="str">
        <f t="shared" si="143"/>
        <v/>
      </c>
      <c r="E1339" t="str">
        <f>IF(F1339="","",IF(COUNTIF($F$2:F1339,F1339)&gt;1,"",SUMIFS(tbl_input[필요수량],tbl_input[집계키_센터],F1339)))</f>
        <v/>
      </c>
      <c r="F1339" t="str">
        <f>IFERROR(INDEX(tbl_input[집계키_센터],ROW()-1),"")</f>
        <v/>
      </c>
      <c r="G1339" t="str">
        <f t="shared" si="144"/>
        <v/>
      </c>
      <c r="H1339" t="str">
        <f t="shared" si="145"/>
        <v/>
      </c>
      <c r="I1339" t="str">
        <f t="shared" si="146"/>
        <v/>
      </c>
    </row>
    <row r="1340" spans="1:9" x14ac:dyDescent="0.4">
      <c r="A1340" t="str">
        <f t="shared" si="140"/>
        <v/>
      </c>
      <c r="B1340" t="str">
        <f t="shared" si="141"/>
        <v/>
      </c>
      <c r="C1340" t="str">
        <f t="shared" si="142"/>
        <v/>
      </c>
      <c r="D1340" t="str">
        <f t="shared" si="143"/>
        <v/>
      </c>
      <c r="E1340" t="str">
        <f>IF(F1340="","",IF(COUNTIF($F$2:F1340,F1340)&gt;1,"",SUMIFS(tbl_input[필요수량],tbl_input[집계키_센터],F1340)))</f>
        <v/>
      </c>
      <c r="F1340" t="str">
        <f>IFERROR(INDEX(tbl_input[집계키_센터],ROW()-1),"")</f>
        <v/>
      </c>
      <c r="G1340" t="str">
        <f t="shared" si="144"/>
        <v/>
      </c>
      <c r="H1340" t="str">
        <f t="shared" si="145"/>
        <v/>
      </c>
      <c r="I1340" t="str">
        <f t="shared" si="146"/>
        <v/>
      </c>
    </row>
    <row r="1341" spans="1:9" x14ac:dyDescent="0.4">
      <c r="A1341" t="str">
        <f t="shared" si="140"/>
        <v/>
      </c>
      <c r="B1341" t="str">
        <f t="shared" si="141"/>
        <v/>
      </c>
      <c r="C1341" t="str">
        <f t="shared" si="142"/>
        <v/>
      </c>
      <c r="D1341" t="str">
        <f t="shared" si="143"/>
        <v/>
      </c>
      <c r="E1341" t="str">
        <f>IF(F1341="","",IF(COUNTIF($F$2:F1341,F1341)&gt;1,"",SUMIFS(tbl_input[필요수량],tbl_input[집계키_센터],F1341)))</f>
        <v/>
      </c>
      <c r="F1341" t="str">
        <f>IFERROR(INDEX(tbl_input[집계키_센터],ROW()-1),"")</f>
        <v/>
      </c>
      <c r="G1341" t="str">
        <f t="shared" si="144"/>
        <v/>
      </c>
      <c r="H1341" t="str">
        <f t="shared" si="145"/>
        <v/>
      </c>
      <c r="I1341" t="str">
        <f t="shared" si="146"/>
        <v/>
      </c>
    </row>
    <row r="1342" spans="1:9" x14ac:dyDescent="0.4">
      <c r="A1342" t="str">
        <f t="shared" si="140"/>
        <v/>
      </c>
      <c r="B1342" t="str">
        <f t="shared" si="141"/>
        <v/>
      </c>
      <c r="C1342" t="str">
        <f t="shared" si="142"/>
        <v/>
      </c>
      <c r="D1342" t="str">
        <f t="shared" si="143"/>
        <v/>
      </c>
      <c r="E1342" t="str">
        <f>IF(F1342="","",IF(COUNTIF($F$2:F1342,F1342)&gt;1,"",SUMIFS(tbl_input[필요수량],tbl_input[집계키_센터],F1342)))</f>
        <v/>
      </c>
      <c r="F1342" t="str">
        <f>IFERROR(INDEX(tbl_input[집계키_센터],ROW()-1),"")</f>
        <v/>
      </c>
      <c r="G1342" t="str">
        <f t="shared" si="144"/>
        <v/>
      </c>
      <c r="H1342" t="str">
        <f t="shared" si="145"/>
        <v/>
      </c>
      <c r="I1342" t="str">
        <f t="shared" si="146"/>
        <v/>
      </c>
    </row>
    <row r="1343" spans="1:9" x14ac:dyDescent="0.4">
      <c r="A1343" t="str">
        <f t="shared" si="140"/>
        <v/>
      </c>
      <c r="B1343" t="str">
        <f t="shared" si="141"/>
        <v/>
      </c>
      <c r="C1343" t="str">
        <f t="shared" si="142"/>
        <v/>
      </c>
      <c r="D1343" t="str">
        <f t="shared" si="143"/>
        <v/>
      </c>
      <c r="E1343" t="str">
        <f>IF(F1343="","",IF(COUNTIF($F$2:F1343,F1343)&gt;1,"",SUMIFS(tbl_input[필요수량],tbl_input[집계키_센터],F1343)))</f>
        <v/>
      </c>
      <c r="F1343" t="str">
        <f>IFERROR(INDEX(tbl_input[집계키_센터],ROW()-1),"")</f>
        <v/>
      </c>
      <c r="G1343" t="str">
        <f t="shared" si="144"/>
        <v/>
      </c>
      <c r="H1343" t="str">
        <f t="shared" si="145"/>
        <v/>
      </c>
      <c r="I1343" t="str">
        <f t="shared" si="146"/>
        <v/>
      </c>
    </row>
    <row r="1344" spans="1:9" x14ac:dyDescent="0.4">
      <c r="A1344" t="str">
        <f t="shared" si="140"/>
        <v/>
      </c>
      <c r="B1344" t="str">
        <f t="shared" si="141"/>
        <v/>
      </c>
      <c r="C1344" t="str">
        <f t="shared" si="142"/>
        <v/>
      </c>
      <c r="D1344" t="str">
        <f t="shared" si="143"/>
        <v/>
      </c>
      <c r="E1344" t="str">
        <f>IF(F1344="","",IF(COUNTIF($F$2:F1344,F1344)&gt;1,"",SUMIFS(tbl_input[필요수량],tbl_input[집계키_센터],F1344)))</f>
        <v/>
      </c>
      <c r="F1344" t="str">
        <f>IFERROR(INDEX(tbl_input[집계키_센터],ROW()-1),"")</f>
        <v/>
      </c>
      <c r="G1344" t="str">
        <f t="shared" si="144"/>
        <v/>
      </c>
      <c r="H1344" t="str">
        <f t="shared" si="145"/>
        <v/>
      </c>
      <c r="I1344" t="str">
        <f t="shared" si="146"/>
        <v/>
      </c>
    </row>
    <row r="1345" spans="1:9" x14ac:dyDescent="0.4">
      <c r="A1345" t="str">
        <f t="shared" si="140"/>
        <v/>
      </c>
      <c r="B1345" t="str">
        <f t="shared" si="141"/>
        <v/>
      </c>
      <c r="C1345" t="str">
        <f t="shared" si="142"/>
        <v/>
      </c>
      <c r="D1345" t="str">
        <f t="shared" si="143"/>
        <v/>
      </c>
      <c r="E1345" t="str">
        <f>IF(F1345="","",IF(COUNTIF($F$2:F1345,F1345)&gt;1,"",SUMIFS(tbl_input[필요수량],tbl_input[집계키_센터],F1345)))</f>
        <v/>
      </c>
      <c r="F1345" t="str">
        <f>IFERROR(INDEX(tbl_input[집계키_센터],ROW()-1),"")</f>
        <v/>
      </c>
      <c r="G1345" t="str">
        <f t="shared" si="144"/>
        <v/>
      </c>
      <c r="H1345" t="str">
        <f t="shared" si="145"/>
        <v/>
      </c>
      <c r="I1345" t="str">
        <f t="shared" si="146"/>
        <v/>
      </c>
    </row>
    <row r="1346" spans="1:9" x14ac:dyDescent="0.4">
      <c r="A1346" t="str">
        <f t="shared" ref="A1346:A1409" si="147">IF(F1346="","",LEFT(F1346,G1346-1))</f>
        <v/>
      </c>
      <c r="B1346" t="str">
        <f t="shared" ref="B1346:B1409" si="148">IF(F1346="","",MID(F1346,G1346+1,H1346-G1346-1))</f>
        <v/>
      </c>
      <c r="C1346" t="str">
        <f t="shared" ref="C1346:C1409" si="149">IF(F1346="","",MID(F1346,H1346+1,I1346-H1346-1))</f>
        <v/>
      </c>
      <c r="D1346" t="str">
        <f t="shared" ref="D1346:D1409" si="150">IF(F1346="","",MID(F1346,I1346+1,999))</f>
        <v/>
      </c>
      <c r="E1346" t="str">
        <f>IF(F1346="","",IF(COUNTIF($F$2:F1346,F1346)&gt;1,"",SUMIFS(tbl_input[필요수량],tbl_input[집계키_센터],F1346)))</f>
        <v/>
      </c>
      <c r="F1346" t="str">
        <f>IFERROR(INDEX(tbl_input[집계키_센터],ROW()-1),"")</f>
        <v/>
      </c>
      <c r="G1346" t="str">
        <f t="shared" ref="G1346:G1409" si="151">IF(F1346="","",FIND("♦",F1346))</f>
        <v/>
      </c>
      <c r="H1346" t="str">
        <f t="shared" ref="H1346:H1409" si="152">IF(F1346="","",FIND("♦",F1346,G1346+1))</f>
        <v/>
      </c>
      <c r="I1346" t="str">
        <f t="shared" ref="I1346:I1409" si="153">IF(F1346="","",FIND("♦",F1346,H1346+1))</f>
        <v/>
      </c>
    </row>
    <row r="1347" spans="1:9" x14ac:dyDescent="0.4">
      <c r="A1347" t="str">
        <f t="shared" si="147"/>
        <v/>
      </c>
      <c r="B1347" t="str">
        <f t="shared" si="148"/>
        <v/>
      </c>
      <c r="C1347" t="str">
        <f t="shared" si="149"/>
        <v/>
      </c>
      <c r="D1347" t="str">
        <f t="shared" si="150"/>
        <v/>
      </c>
      <c r="E1347" t="str">
        <f>IF(F1347="","",IF(COUNTIF($F$2:F1347,F1347)&gt;1,"",SUMIFS(tbl_input[필요수량],tbl_input[집계키_센터],F1347)))</f>
        <v/>
      </c>
      <c r="F1347" t="str">
        <f>IFERROR(INDEX(tbl_input[집계키_센터],ROW()-1),"")</f>
        <v/>
      </c>
      <c r="G1347" t="str">
        <f t="shared" si="151"/>
        <v/>
      </c>
      <c r="H1347" t="str">
        <f t="shared" si="152"/>
        <v/>
      </c>
      <c r="I1347" t="str">
        <f t="shared" si="153"/>
        <v/>
      </c>
    </row>
    <row r="1348" spans="1:9" x14ac:dyDescent="0.4">
      <c r="A1348" t="str">
        <f t="shared" si="147"/>
        <v/>
      </c>
      <c r="B1348" t="str">
        <f t="shared" si="148"/>
        <v/>
      </c>
      <c r="C1348" t="str">
        <f t="shared" si="149"/>
        <v/>
      </c>
      <c r="D1348" t="str">
        <f t="shared" si="150"/>
        <v/>
      </c>
      <c r="E1348" t="str">
        <f>IF(F1348="","",IF(COUNTIF($F$2:F1348,F1348)&gt;1,"",SUMIFS(tbl_input[필요수량],tbl_input[집계키_센터],F1348)))</f>
        <v/>
      </c>
      <c r="F1348" t="str">
        <f>IFERROR(INDEX(tbl_input[집계키_센터],ROW()-1),"")</f>
        <v/>
      </c>
      <c r="G1348" t="str">
        <f t="shared" si="151"/>
        <v/>
      </c>
      <c r="H1348" t="str">
        <f t="shared" si="152"/>
        <v/>
      </c>
      <c r="I1348" t="str">
        <f t="shared" si="153"/>
        <v/>
      </c>
    </row>
    <row r="1349" spans="1:9" x14ac:dyDescent="0.4">
      <c r="A1349" t="str">
        <f t="shared" si="147"/>
        <v/>
      </c>
      <c r="B1349" t="str">
        <f t="shared" si="148"/>
        <v/>
      </c>
      <c r="C1349" t="str">
        <f t="shared" si="149"/>
        <v/>
      </c>
      <c r="D1349" t="str">
        <f t="shared" si="150"/>
        <v/>
      </c>
      <c r="E1349" t="str">
        <f>IF(F1349="","",IF(COUNTIF($F$2:F1349,F1349)&gt;1,"",SUMIFS(tbl_input[필요수량],tbl_input[집계키_센터],F1349)))</f>
        <v/>
      </c>
      <c r="F1349" t="str">
        <f>IFERROR(INDEX(tbl_input[집계키_센터],ROW()-1),"")</f>
        <v/>
      </c>
      <c r="G1349" t="str">
        <f t="shared" si="151"/>
        <v/>
      </c>
      <c r="H1349" t="str">
        <f t="shared" si="152"/>
        <v/>
      </c>
      <c r="I1349" t="str">
        <f t="shared" si="153"/>
        <v/>
      </c>
    </row>
    <row r="1350" spans="1:9" x14ac:dyDescent="0.4">
      <c r="A1350" t="str">
        <f t="shared" si="147"/>
        <v/>
      </c>
      <c r="B1350" t="str">
        <f t="shared" si="148"/>
        <v/>
      </c>
      <c r="C1350" t="str">
        <f t="shared" si="149"/>
        <v/>
      </c>
      <c r="D1350" t="str">
        <f t="shared" si="150"/>
        <v/>
      </c>
      <c r="E1350" t="str">
        <f>IF(F1350="","",IF(COUNTIF($F$2:F1350,F1350)&gt;1,"",SUMIFS(tbl_input[필요수량],tbl_input[집계키_센터],F1350)))</f>
        <v/>
      </c>
      <c r="F1350" t="str">
        <f>IFERROR(INDEX(tbl_input[집계키_센터],ROW()-1),"")</f>
        <v/>
      </c>
      <c r="G1350" t="str">
        <f t="shared" si="151"/>
        <v/>
      </c>
      <c r="H1350" t="str">
        <f t="shared" si="152"/>
        <v/>
      </c>
      <c r="I1350" t="str">
        <f t="shared" si="153"/>
        <v/>
      </c>
    </row>
    <row r="1351" spans="1:9" x14ac:dyDescent="0.4">
      <c r="A1351" t="str">
        <f t="shared" si="147"/>
        <v/>
      </c>
      <c r="B1351" t="str">
        <f t="shared" si="148"/>
        <v/>
      </c>
      <c r="C1351" t="str">
        <f t="shared" si="149"/>
        <v/>
      </c>
      <c r="D1351" t="str">
        <f t="shared" si="150"/>
        <v/>
      </c>
      <c r="E1351" t="str">
        <f>IF(F1351="","",IF(COUNTIF($F$2:F1351,F1351)&gt;1,"",SUMIFS(tbl_input[필요수량],tbl_input[집계키_센터],F1351)))</f>
        <v/>
      </c>
      <c r="F1351" t="str">
        <f>IFERROR(INDEX(tbl_input[집계키_센터],ROW()-1),"")</f>
        <v/>
      </c>
      <c r="G1351" t="str">
        <f t="shared" si="151"/>
        <v/>
      </c>
      <c r="H1351" t="str">
        <f t="shared" si="152"/>
        <v/>
      </c>
      <c r="I1351" t="str">
        <f t="shared" si="153"/>
        <v/>
      </c>
    </row>
    <row r="1352" spans="1:9" x14ac:dyDescent="0.4">
      <c r="A1352" t="str">
        <f t="shared" si="147"/>
        <v/>
      </c>
      <c r="B1352" t="str">
        <f t="shared" si="148"/>
        <v/>
      </c>
      <c r="C1352" t="str">
        <f t="shared" si="149"/>
        <v/>
      </c>
      <c r="D1352" t="str">
        <f t="shared" si="150"/>
        <v/>
      </c>
      <c r="E1352" t="str">
        <f>IF(F1352="","",IF(COUNTIF($F$2:F1352,F1352)&gt;1,"",SUMIFS(tbl_input[필요수량],tbl_input[집계키_센터],F1352)))</f>
        <v/>
      </c>
      <c r="F1352" t="str">
        <f>IFERROR(INDEX(tbl_input[집계키_센터],ROW()-1),"")</f>
        <v/>
      </c>
      <c r="G1352" t="str">
        <f t="shared" si="151"/>
        <v/>
      </c>
      <c r="H1352" t="str">
        <f t="shared" si="152"/>
        <v/>
      </c>
      <c r="I1352" t="str">
        <f t="shared" si="153"/>
        <v/>
      </c>
    </row>
    <row r="1353" spans="1:9" x14ac:dyDescent="0.4">
      <c r="A1353" t="str">
        <f t="shared" si="147"/>
        <v/>
      </c>
      <c r="B1353" t="str">
        <f t="shared" si="148"/>
        <v/>
      </c>
      <c r="C1353" t="str">
        <f t="shared" si="149"/>
        <v/>
      </c>
      <c r="D1353" t="str">
        <f t="shared" si="150"/>
        <v/>
      </c>
      <c r="E1353" t="str">
        <f>IF(F1353="","",IF(COUNTIF($F$2:F1353,F1353)&gt;1,"",SUMIFS(tbl_input[필요수량],tbl_input[집계키_센터],F1353)))</f>
        <v/>
      </c>
      <c r="F1353" t="str">
        <f>IFERROR(INDEX(tbl_input[집계키_센터],ROW()-1),"")</f>
        <v/>
      </c>
      <c r="G1353" t="str">
        <f t="shared" si="151"/>
        <v/>
      </c>
      <c r="H1353" t="str">
        <f t="shared" si="152"/>
        <v/>
      </c>
      <c r="I1353" t="str">
        <f t="shared" si="153"/>
        <v/>
      </c>
    </row>
    <row r="1354" spans="1:9" x14ac:dyDescent="0.4">
      <c r="A1354" t="str">
        <f t="shared" si="147"/>
        <v/>
      </c>
      <c r="B1354" t="str">
        <f t="shared" si="148"/>
        <v/>
      </c>
      <c r="C1354" t="str">
        <f t="shared" si="149"/>
        <v/>
      </c>
      <c r="D1354" t="str">
        <f t="shared" si="150"/>
        <v/>
      </c>
      <c r="E1354" t="str">
        <f>IF(F1354="","",IF(COUNTIF($F$2:F1354,F1354)&gt;1,"",SUMIFS(tbl_input[필요수량],tbl_input[집계키_센터],F1354)))</f>
        <v/>
      </c>
      <c r="F1354" t="str">
        <f>IFERROR(INDEX(tbl_input[집계키_센터],ROW()-1),"")</f>
        <v/>
      </c>
      <c r="G1354" t="str">
        <f t="shared" si="151"/>
        <v/>
      </c>
      <c r="H1354" t="str">
        <f t="shared" si="152"/>
        <v/>
      </c>
      <c r="I1354" t="str">
        <f t="shared" si="153"/>
        <v/>
      </c>
    </row>
    <row r="1355" spans="1:9" x14ac:dyDescent="0.4">
      <c r="A1355" t="str">
        <f t="shared" si="147"/>
        <v/>
      </c>
      <c r="B1355" t="str">
        <f t="shared" si="148"/>
        <v/>
      </c>
      <c r="C1355" t="str">
        <f t="shared" si="149"/>
        <v/>
      </c>
      <c r="D1355" t="str">
        <f t="shared" si="150"/>
        <v/>
      </c>
      <c r="E1355" t="str">
        <f>IF(F1355="","",IF(COUNTIF($F$2:F1355,F1355)&gt;1,"",SUMIFS(tbl_input[필요수량],tbl_input[집계키_센터],F1355)))</f>
        <v/>
      </c>
      <c r="F1355" t="str">
        <f>IFERROR(INDEX(tbl_input[집계키_센터],ROW()-1),"")</f>
        <v/>
      </c>
      <c r="G1355" t="str">
        <f t="shared" si="151"/>
        <v/>
      </c>
      <c r="H1355" t="str">
        <f t="shared" si="152"/>
        <v/>
      </c>
      <c r="I1355" t="str">
        <f t="shared" si="153"/>
        <v/>
      </c>
    </row>
    <row r="1356" spans="1:9" x14ac:dyDescent="0.4">
      <c r="A1356" t="str">
        <f t="shared" si="147"/>
        <v/>
      </c>
      <c r="B1356" t="str">
        <f t="shared" si="148"/>
        <v/>
      </c>
      <c r="C1356" t="str">
        <f t="shared" si="149"/>
        <v/>
      </c>
      <c r="D1356" t="str">
        <f t="shared" si="150"/>
        <v/>
      </c>
      <c r="E1356" t="str">
        <f>IF(F1356="","",IF(COUNTIF($F$2:F1356,F1356)&gt;1,"",SUMIFS(tbl_input[필요수량],tbl_input[집계키_센터],F1356)))</f>
        <v/>
      </c>
      <c r="F1356" t="str">
        <f>IFERROR(INDEX(tbl_input[집계키_센터],ROW()-1),"")</f>
        <v/>
      </c>
      <c r="G1356" t="str">
        <f t="shared" si="151"/>
        <v/>
      </c>
      <c r="H1356" t="str">
        <f t="shared" si="152"/>
        <v/>
      </c>
      <c r="I1356" t="str">
        <f t="shared" si="153"/>
        <v/>
      </c>
    </row>
    <row r="1357" spans="1:9" x14ac:dyDescent="0.4">
      <c r="A1357" t="str">
        <f t="shared" si="147"/>
        <v/>
      </c>
      <c r="B1357" t="str">
        <f t="shared" si="148"/>
        <v/>
      </c>
      <c r="C1357" t="str">
        <f t="shared" si="149"/>
        <v/>
      </c>
      <c r="D1357" t="str">
        <f t="shared" si="150"/>
        <v/>
      </c>
      <c r="E1357" t="str">
        <f>IF(F1357="","",IF(COUNTIF($F$2:F1357,F1357)&gt;1,"",SUMIFS(tbl_input[필요수량],tbl_input[집계키_센터],F1357)))</f>
        <v/>
      </c>
      <c r="F1357" t="str">
        <f>IFERROR(INDEX(tbl_input[집계키_센터],ROW()-1),"")</f>
        <v/>
      </c>
      <c r="G1357" t="str">
        <f t="shared" si="151"/>
        <v/>
      </c>
      <c r="H1357" t="str">
        <f t="shared" si="152"/>
        <v/>
      </c>
      <c r="I1357" t="str">
        <f t="shared" si="153"/>
        <v/>
      </c>
    </row>
    <row r="1358" spans="1:9" x14ac:dyDescent="0.4">
      <c r="A1358" t="str">
        <f t="shared" si="147"/>
        <v/>
      </c>
      <c r="B1358" t="str">
        <f t="shared" si="148"/>
        <v/>
      </c>
      <c r="C1358" t="str">
        <f t="shared" si="149"/>
        <v/>
      </c>
      <c r="D1358" t="str">
        <f t="shared" si="150"/>
        <v/>
      </c>
      <c r="E1358" t="str">
        <f>IF(F1358="","",IF(COUNTIF($F$2:F1358,F1358)&gt;1,"",SUMIFS(tbl_input[필요수량],tbl_input[집계키_센터],F1358)))</f>
        <v/>
      </c>
      <c r="F1358" t="str">
        <f>IFERROR(INDEX(tbl_input[집계키_센터],ROW()-1),"")</f>
        <v/>
      </c>
      <c r="G1358" t="str">
        <f t="shared" si="151"/>
        <v/>
      </c>
      <c r="H1358" t="str">
        <f t="shared" si="152"/>
        <v/>
      </c>
      <c r="I1358" t="str">
        <f t="shared" si="153"/>
        <v/>
      </c>
    </row>
    <row r="1359" spans="1:9" x14ac:dyDescent="0.4">
      <c r="A1359" t="str">
        <f t="shared" si="147"/>
        <v/>
      </c>
      <c r="B1359" t="str">
        <f t="shared" si="148"/>
        <v/>
      </c>
      <c r="C1359" t="str">
        <f t="shared" si="149"/>
        <v/>
      </c>
      <c r="D1359" t="str">
        <f t="shared" si="150"/>
        <v/>
      </c>
      <c r="E1359" t="str">
        <f>IF(F1359="","",IF(COUNTIF($F$2:F1359,F1359)&gt;1,"",SUMIFS(tbl_input[필요수량],tbl_input[집계키_센터],F1359)))</f>
        <v/>
      </c>
      <c r="F1359" t="str">
        <f>IFERROR(INDEX(tbl_input[집계키_센터],ROW()-1),"")</f>
        <v/>
      </c>
      <c r="G1359" t="str">
        <f t="shared" si="151"/>
        <v/>
      </c>
      <c r="H1359" t="str">
        <f t="shared" si="152"/>
        <v/>
      </c>
      <c r="I1359" t="str">
        <f t="shared" si="153"/>
        <v/>
      </c>
    </row>
    <row r="1360" spans="1:9" x14ac:dyDescent="0.4">
      <c r="A1360" t="str">
        <f t="shared" si="147"/>
        <v/>
      </c>
      <c r="B1360" t="str">
        <f t="shared" si="148"/>
        <v/>
      </c>
      <c r="C1360" t="str">
        <f t="shared" si="149"/>
        <v/>
      </c>
      <c r="D1360" t="str">
        <f t="shared" si="150"/>
        <v/>
      </c>
      <c r="E1360" t="str">
        <f>IF(F1360="","",IF(COUNTIF($F$2:F1360,F1360)&gt;1,"",SUMIFS(tbl_input[필요수량],tbl_input[집계키_센터],F1360)))</f>
        <v/>
      </c>
      <c r="F1360" t="str">
        <f>IFERROR(INDEX(tbl_input[집계키_센터],ROW()-1),"")</f>
        <v/>
      </c>
      <c r="G1360" t="str">
        <f t="shared" si="151"/>
        <v/>
      </c>
      <c r="H1360" t="str">
        <f t="shared" si="152"/>
        <v/>
      </c>
      <c r="I1360" t="str">
        <f t="shared" si="153"/>
        <v/>
      </c>
    </row>
    <row r="1361" spans="1:9" x14ac:dyDescent="0.4">
      <c r="A1361" t="str">
        <f t="shared" si="147"/>
        <v/>
      </c>
      <c r="B1361" t="str">
        <f t="shared" si="148"/>
        <v/>
      </c>
      <c r="C1361" t="str">
        <f t="shared" si="149"/>
        <v/>
      </c>
      <c r="D1361" t="str">
        <f t="shared" si="150"/>
        <v/>
      </c>
      <c r="E1361" t="str">
        <f>IF(F1361="","",IF(COUNTIF($F$2:F1361,F1361)&gt;1,"",SUMIFS(tbl_input[필요수량],tbl_input[집계키_센터],F1361)))</f>
        <v/>
      </c>
      <c r="F1361" t="str">
        <f>IFERROR(INDEX(tbl_input[집계키_센터],ROW()-1),"")</f>
        <v/>
      </c>
      <c r="G1361" t="str">
        <f t="shared" si="151"/>
        <v/>
      </c>
      <c r="H1361" t="str">
        <f t="shared" si="152"/>
        <v/>
      </c>
      <c r="I1361" t="str">
        <f t="shared" si="153"/>
        <v/>
      </c>
    </row>
    <row r="1362" spans="1:9" x14ac:dyDescent="0.4">
      <c r="A1362" t="str">
        <f t="shared" si="147"/>
        <v/>
      </c>
      <c r="B1362" t="str">
        <f t="shared" si="148"/>
        <v/>
      </c>
      <c r="C1362" t="str">
        <f t="shared" si="149"/>
        <v/>
      </c>
      <c r="D1362" t="str">
        <f t="shared" si="150"/>
        <v/>
      </c>
      <c r="E1362" t="str">
        <f>IF(F1362="","",IF(COUNTIF($F$2:F1362,F1362)&gt;1,"",SUMIFS(tbl_input[필요수량],tbl_input[집계키_센터],F1362)))</f>
        <v/>
      </c>
      <c r="F1362" t="str">
        <f>IFERROR(INDEX(tbl_input[집계키_센터],ROW()-1),"")</f>
        <v/>
      </c>
      <c r="G1362" t="str">
        <f t="shared" si="151"/>
        <v/>
      </c>
      <c r="H1362" t="str">
        <f t="shared" si="152"/>
        <v/>
      </c>
      <c r="I1362" t="str">
        <f t="shared" si="153"/>
        <v/>
      </c>
    </row>
    <row r="1363" spans="1:9" x14ac:dyDescent="0.4">
      <c r="A1363" t="str">
        <f t="shared" si="147"/>
        <v/>
      </c>
      <c r="B1363" t="str">
        <f t="shared" si="148"/>
        <v/>
      </c>
      <c r="C1363" t="str">
        <f t="shared" si="149"/>
        <v/>
      </c>
      <c r="D1363" t="str">
        <f t="shared" si="150"/>
        <v/>
      </c>
      <c r="E1363" t="str">
        <f>IF(F1363="","",IF(COUNTIF($F$2:F1363,F1363)&gt;1,"",SUMIFS(tbl_input[필요수량],tbl_input[집계키_센터],F1363)))</f>
        <v/>
      </c>
      <c r="F1363" t="str">
        <f>IFERROR(INDEX(tbl_input[집계키_센터],ROW()-1),"")</f>
        <v/>
      </c>
      <c r="G1363" t="str">
        <f t="shared" si="151"/>
        <v/>
      </c>
      <c r="H1363" t="str">
        <f t="shared" si="152"/>
        <v/>
      </c>
      <c r="I1363" t="str">
        <f t="shared" si="153"/>
        <v/>
      </c>
    </row>
    <row r="1364" spans="1:9" x14ac:dyDescent="0.4">
      <c r="A1364" t="str">
        <f t="shared" si="147"/>
        <v/>
      </c>
      <c r="B1364" t="str">
        <f t="shared" si="148"/>
        <v/>
      </c>
      <c r="C1364" t="str">
        <f t="shared" si="149"/>
        <v/>
      </c>
      <c r="D1364" t="str">
        <f t="shared" si="150"/>
        <v/>
      </c>
      <c r="E1364" t="str">
        <f>IF(F1364="","",IF(COUNTIF($F$2:F1364,F1364)&gt;1,"",SUMIFS(tbl_input[필요수량],tbl_input[집계키_센터],F1364)))</f>
        <v/>
      </c>
      <c r="F1364" t="str">
        <f>IFERROR(INDEX(tbl_input[집계키_센터],ROW()-1),"")</f>
        <v/>
      </c>
      <c r="G1364" t="str">
        <f t="shared" si="151"/>
        <v/>
      </c>
      <c r="H1364" t="str">
        <f t="shared" si="152"/>
        <v/>
      </c>
      <c r="I1364" t="str">
        <f t="shared" si="153"/>
        <v/>
      </c>
    </row>
    <row r="1365" spans="1:9" x14ac:dyDescent="0.4">
      <c r="A1365" t="str">
        <f t="shared" si="147"/>
        <v/>
      </c>
      <c r="B1365" t="str">
        <f t="shared" si="148"/>
        <v/>
      </c>
      <c r="C1365" t="str">
        <f t="shared" si="149"/>
        <v/>
      </c>
      <c r="D1365" t="str">
        <f t="shared" si="150"/>
        <v/>
      </c>
      <c r="E1365" t="str">
        <f>IF(F1365="","",IF(COUNTIF($F$2:F1365,F1365)&gt;1,"",SUMIFS(tbl_input[필요수량],tbl_input[집계키_센터],F1365)))</f>
        <v/>
      </c>
      <c r="F1365" t="str">
        <f>IFERROR(INDEX(tbl_input[집계키_센터],ROW()-1),"")</f>
        <v/>
      </c>
      <c r="G1365" t="str">
        <f t="shared" si="151"/>
        <v/>
      </c>
      <c r="H1365" t="str">
        <f t="shared" si="152"/>
        <v/>
      </c>
      <c r="I1365" t="str">
        <f t="shared" si="153"/>
        <v/>
      </c>
    </row>
    <row r="1366" spans="1:9" x14ac:dyDescent="0.4">
      <c r="A1366" t="str">
        <f t="shared" si="147"/>
        <v/>
      </c>
      <c r="B1366" t="str">
        <f t="shared" si="148"/>
        <v/>
      </c>
      <c r="C1366" t="str">
        <f t="shared" si="149"/>
        <v/>
      </c>
      <c r="D1366" t="str">
        <f t="shared" si="150"/>
        <v/>
      </c>
      <c r="E1366" t="str">
        <f>IF(F1366="","",IF(COUNTIF($F$2:F1366,F1366)&gt;1,"",SUMIFS(tbl_input[필요수량],tbl_input[집계키_센터],F1366)))</f>
        <v/>
      </c>
      <c r="F1366" t="str">
        <f>IFERROR(INDEX(tbl_input[집계키_센터],ROW()-1),"")</f>
        <v/>
      </c>
      <c r="G1366" t="str">
        <f t="shared" si="151"/>
        <v/>
      </c>
      <c r="H1366" t="str">
        <f t="shared" si="152"/>
        <v/>
      </c>
      <c r="I1366" t="str">
        <f t="shared" si="153"/>
        <v/>
      </c>
    </row>
    <row r="1367" spans="1:9" x14ac:dyDescent="0.4">
      <c r="A1367" t="str">
        <f t="shared" si="147"/>
        <v/>
      </c>
      <c r="B1367" t="str">
        <f t="shared" si="148"/>
        <v/>
      </c>
      <c r="C1367" t="str">
        <f t="shared" si="149"/>
        <v/>
      </c>
      <c r="D1367" t="str">
        <f t="shared" si="150"/>
        <v/>
      </c>
      <c r="E1367" t="str">
        <f>IF(F1367="","",IF(COUNTIF($F$2:F1367,F1367)&gt;1,"",SUMIFS(tbl_input[필요수량],tbl_input[집계키_센터],F1367)))</f>
        <v/>
      </c>
      <c r="F1367" t="str">
        <f>IFERROR(INDEX(tbl_input[집계키_센터],ROW()-1),"")</f>
        <v/>
      </c>
      <c r="G1367" t="str">
        <f t="shared" si="151"/>
        <v/>
      </c>
      <c r="H1367" t="str">
        <f t="shared" si="152"/>
        <v/>
      </c>
      <c r="I1367" t="str">
        <f t="shared" si="153"/>
        <v/>
      </c>
    </row>
    <row r="1368" spans="1:9" x14ac:dyDescent="0.4">
      <c r="A1368" t="str">
        <f t="shared" si="147"/>
        <v/>
      </c>
      <c r="B1368" t="str">
        <f t="shared" si="148"/>
        <v/>
      </c>
      <c r="C1368" t="str">
        <f t="shared" si="149"/>
        <v/>
      </c>
      <c r="D1368" t="str">
        <f t="shared" si="150"/>
        <v/>
      </c>
      <c r="E1368" t="str">
        <f>IF(F1368="","",IF(COUNTIF($F$2:F1368,F1368)&gt;1,"",SUMIFS(tbl_input[필요수량],tbl_input[집계키_센터],F1368)))</f>
        <v/>
      </c>
      <c r="F1368" t="str">
        <f>IFERROR(INDEX(tbl_input[집계키_센터],ROW()-1),"")</f>
        <v/>
      </c>
      <c r="G1368" t="str">
        <f t="shared" si="151"/>
        <v/>
      </c>
      <c r="H1368" t="str">
        <f t="shared" si="152"/>
        <v/>
      </c>
      <c r="I1368" t="str">
        <f t="shared" si="153"/>
        <v/>
      </c>
    </row>
    <row r="1369" spans="1:9" x14ac:dyDescent="0.4">
      <c r="A1369" t="str">
        <f t="shared" si="147"/>
        <v/>
      </c>
      <c r="B1369" t="str">
        <f t="shared" si="148"/>
        <v/>
      </c>
      <c r="C1369" t="str">
        <f t="shared" si="149"/>
        <v/>
      </c>
      <c r="D1369" t="str">
        <f t="shared" si="150"/>
        <v/>
      </c>
      <c r="E1369" t="str">
        <f>IF(F1369="","",IF(COUNTIF($F$2:F1369,F1369)&gt;1,"",SUMIFS(tbl_input[필요수량],tbl_input[집계키_센터],F1369)))</f>
        <v/>
      </c>
      <c r="F1369" t="str">
        <f>IFERROR(INDEX(tbl_input[집계키_센터],ROW()-1),"")</f>
        <v/>
      </c>
      <c r="G1369" t="str">
        <f t="shared" si="151"/>
        <v/>
      </c>
      <c r="H1369" t="str">
        <f t="shared" si="152"/>
        <v/>
      </c>
      <c r="I1369" t="str">
        <f t="shared" si="153"/>
        <v/>
      </c>
    </row>
    <row r="1370" spans="1:9" x14ac:dyDescent="0.4">
      <c r="A1370" t="str">
        <f t="shared" si="147"/>
        <v/>
      </c>
      <c r="B1370" t="str">
        <f t="shared" si="148"/>
        <v/>
      </c>
      <c r="C1370" t="str">
        <f t="shared" si="149"/>
        <v/>
      </c>
      <c r="D1370" t="str">
        <f t="shared" si="150"/>
        <v/>
      </c>
      <c r="E1370" t="str">
        <f>IF(F1370="","",IF(COUNTIF($F$2:F1370,F1370)&gt;1,"",SUMIFS(tbl_input[필요수량],tbl_input[집계키_센터],F1370)))</f>
        <v/>
      </c>
      <c r="F1370" t="str">
        <f>IFERROR(INDEX(tbl_input[집계키_센터],ROW()-1),"")</f>
        <v/>
      </c>
      <c r="G1370" t="str">
        <f t="shared" si="151"/>
        <v/>
      </c>
      <c r="H1370" t="str">
        <f t="shared" si="152"/>
        <v/>
      </c>
      <c r="I1370" t="str">
        <f t="shared" si="153"/>
        <v/>
      </c>
    </row>
    <row r="1371" spans="1:9" x14ac:dyDescent="0.4">
      <c r="A1371" t="str">
        <f t="shared" si="147"/>
        <v/>
      </c>
      <c r="B1371" t="str">
        <f t="shared" si="148"/>
        <v/>
      </c>
      <c r="C1371" t="str">
        <f t="shared" si="149"/>
        <v/>
      </c>
      <c r="D1371" t="str">
        <f t="shared" si="150"/>
        <v/>
      </c>
      <c r="E1371" t="str">
        <f>IF(F1371="","",IF(COUNTIF($F$2:F1371,F1371)&gt;1,"",SUMIFS(tbl_input[필요수량],tbl_input[집계키_센터],F1371)))</f>
        <v/>
      </c>
      <c r="F1371" t="str">
        <f>IFERROR(INDEX(tbl_input[집계키_센터],ROW()-1),"")</f>
        <v/>
      </c>
      <c r="G1371" t="str">
        <f t="shared" si="151"/>
        <v/>
      </c>
      <c r="H1371" t="str">
        <f t="shared" si="152"/>
        <v/>
      </c>
      <c r="I1371" t="str">
        <f t="shared" si="153"/>
        <v/>
      </c>
    </row>
    <row r="1372" spans="1:9" x14ac:dyDescent="0.4">
      <c r="A1372" t="str">
        <f t="shared" si="147"/>
        <v/>
      </c>
      <c r="B1372" t="str">
        <f t="shared" si="148"/>
        <v/>
      </c>
      <c r="C1372" t="str">
        <f t="shared" si="149"/>
        <v/>
      </c>
      <c r="D1372" t="str">
        <f t="shared" si="150"/>
        <v/>
      </c>
      <c r="E1372" t="str">
        <f>IF(F1372="","",IF(COUNTIF($F$2:F1372,F1372)&gt;1,"",SUMIFS(tbl_input[필요수량],tbl_input[집계키_센터],F1372)))</f>
        <v/>
      </c>
      <c r="F1372" t="str">
        <f>IFERROR(INDEX(tbl_input[집계키_센터],ROW()-1),"")</f>
        <v/>
      </c>
      <c r="G1372" t="str">
        <f t="shared" si="151"/>
        <v/>
      </c>
      <c r="H1372" t="str">
        <f t="shared" si="152"/>
        <v/>
      </c>
      <c r="I1372" t="str">
        <f t="shared" si="153"/>
        <v/>
      </c>
    </row>
    <row r="1373" spans="1:9" x14ac:dyDescent="0.4">
      <c r="A1373" t="str">
        <f t="shared" si="147"/>
        <v/>
      </c>
      <c r="B1373" t="str">
        <f t="shared" si="148"/>
        <v/>
      </c>
      <c r="C1373" t="str">
        <f t="shared" si="149"/>
        <v/>
      </c>
      <c r="D1373" t="str">
        <f t="shared" si="150"/>
        <v/>
      </c>
      <c r="E1373" t="str">
        <f>IF(F1373="","",IF(COUNTIF($F$2:F1373,F1373)&gt;1,"",SUMIFS(tbl_input[필요수량],tbl_input[집계키_센터],F1373)))</f>
        <v/>
      </c>
      <c r="F1373" t="str">
        <f>IFERROR(INDEX(tbl_input[집계키_센터],ROW()-1),"")</f>
        <v/>
      </c>
      <c r="G1373" t="str">
        <f t="shared" si="151"/>
        <v/>
      </c>
      <c r="H1373" t="str">
        <f t="shared" si="152"/>
        <v/>
      </c>
      <c r="I1373" t="str">
        <f t="shared" si="153"/>
        <v/>
      </c>
    </row>
    <row r="1374" spans="1:9" x14ac:dyDescent="0.4">
      <c r="A1374" t="str">
        <f t="shared" si="147"/>
        <v/>
      </c>
      <c r="B1374" t="str">
        <f t="shared" si="148"/>
        <v/>
      </c>
      <c r="C1374" t="str">
        <f t="shared" si="149"/>
        <v/>
      </c>
      <c r="D1374" t="str">
        <f t="shared" si="150"/>
        <v/>
      </c>
      <c r="E1374" t="str">
        <f>IF(F1374="","",IF(COUNTIF($F$2:F1374,F1374)&gt;1,"",SUMIFS(tbl_input[필요수량],tbl_input[집계키_센터],F1374)))</f>
        <v/>
      </c>
      <c r="F1374" t="str">
        <f>IFERROR(INDEX(tbl_input[집계키_센터],ROW()-1),"")</f>
        <v/>
      </c>
      <c r="G1374" t="str">
        <f t="shared" si="151"/>
        <v/>
      </c>
      <c r="H1374" t="str">
        <f t="shared" si="152"/>
        <v/>
      </c>
      <c r="I1374" t="str">
        <f t="shared" si="153"/>
        <v/>
      </c>
    </row>
    <row r="1375" spans="1:9" x14ac:dyDescent="0.4">
      <c r="A1375" t="str">
        <f t="shared" si="147"/>
        <v/>
      </c>
      <c r="B1375" t="str">
        <f t="shared" si="148"/>
        <v/>
      </c>
      <c r="C1375" t="str">
        <f t="shared" si="149"/>
        <v/>
      </c>
      <c r="D1375" t="str">
        <f t="shared" si="150"/>
        <v/>
      </c>
      <c r="E1375" t="str">
        <f>IF(F1375="","",IF(COUNTIF($F$2:F1375,F1375)&gt;1,"",SUMIFS(tbl_input[필요수량],tbl_input[집계키_센터],F1375)))</f>
        <v/>
      </c>
      <c r="F1375" t="str">
        <f>IFERROR(INDEX(tbl_input[집계키_센터],ROW()-1),"")</f>
        <v/>
      </c>
      <c r="G1375" t="str">
        <f t="shared" si="151"/>
        <v/>
      </c>
      <c r="H1375" t="str">
        <f t="shared" si="152"/>
        <v/>
      </c>
      <c r="I1375" t="str">
        <f t="shared" si="153"/>
        <v/>
      </c>
    </row>
    <row r="1376" spans="1:9" x14ac:dyDescent="0.4">
      <c r="A1376" t="str">
        <f t="shared" si="147"/>
        <v/>
      </c>
      <c r="B1376" t="str">
        <f t="shared" si="148"/>
        <v/>
      </c>
      <c r="C1376" t="str">
        <f t="shared" si="149"/>
        <v/>
      </c>
      <c r="D1376" t="str">
        <f t="shared" si="150"/>
        <v/>
      </c>
      <c r="E1376" t="str">
        <f>IF(F1376="","",IF(COUNTIF($F$2:F1376,F1376)&gt;1,"",SUMIFS(tbl_input[필요수량],tbl_input[집계키_센터],F1376)))</f>
        <v/>
      </c>
      <c r="F1376" t="str">
        <f>IFERROR(INDEX(tbl_input[집계키_센터],ROW()-1),"")</f>
        <v/>
      </c>
      <c r="G1376" t="str">
        <f t="shared" si="151"/>
        <v/>
      </c>
      <c r="H1376" t="str">
        <f t="shared" si="152"/>
        <v/>
      </c>
      <c r="I1376" t="str">
        <f t="shared" si="153"/>
        <v/>
      </c>
    </row>
    <row r="1377" spans="1:9" x14ac:dyDescent="0.4">
      <c r="A1377" t="str">
        <f t="shared" si="147"/>
        <v/>
      </c>
      <c r="B1377" t="str">
        <f t="shared" si="148"/>
        <v/>
      </c>
      <c r="C1377" t="str">
        <f t="shared" si="149"/>
        <v/>
      </c>
      <c r="D1377" t="str">
        <f t="shared" si="150"/>
        <v/>
      </c>
      <c r="E1377" t="str">
        <f>IF(F1377="","",IF(COUNTIF($F$2:F1377,F1377)&gt;1,"",SUMIFS(tbl_input[필요수량],tbl_input[집계키_센터],F1377)))</f>
        <v/>
      </c>
      <c r="F1377" t="str">
        <f>IFERROR(INDEX(tbl_input[집계키_센터],ROW()-1),"")</f>
        <v/>
      </c>
      <c r="G1377" t="str">
        <f t="shared" si="151"/>
        <v/>
      </c>
      <c r="H1377" t="str">
        <f t="shared" si="152"/>
        <v/>
      </c>
      <c r="I1377" t="str">
        <f t="shared" si="153"/>
        <v/>
      </c>
    </row>
    <row r="1378" spans="1:9" x14ac:dyDescent="0.4">
      <c r="A1378" t="str">
        <f t="shared" si="147"/>
        <v/>
      </c>
      <c r="B1378" t="str">
        <f t="shared" si="148"/>
        <v/>
      </c>
      <c r="C1378" t="str">
        <f t="shared" si="149"/>
        <v/>
      </c>
      <c r="D1378" t="str">
        <f t="shared" si="150"/>
        <v/>
      </c>
      <c r="E1378" t="str">
        <f>IF(F1378="","",IF(COUNTIF($F$2:F1378,F1378)&gt;1,"",SUMIFS(tbl_input[필요수량],tbl_input[집계키_센터],F1378)))</f>
        <v/>
      </c>
      <c r="F1378" t="str">
        <f>IFERROR(INDEX(tbl_input[집계키_센터],ROW()-1),"")</f>
        <v/>
      </c>
      <c r="G1378" t="str">
        <f t="shared" si="151"/>
        <v/>
      </c>
      <c r="H1378" t="str">
        <f t="shared" si="152"/>
        <v/>
      </c>
      <c r="I1378" t="str">
        <f t="shared" si="153"/>
        <v/>
      </c>
    </row>
    <row r="1379" spans="1:9" x14ac:dyDescent="0.4">
      <c r="A1379" t="str">
        <f t="shared" si="147"/>
        <v/>
      </c>
      <c r="B1379" t="str">
        <f t="shared" si="148"/>
        <v/>
      </c>
      <c r="C1379" t="str">
        <f t="shared" si="149"/>
        <v/>
      </c>
      <c r="D1379" t="str">
        <f t="shared" si="150"/>
        <v/>
      </c>
      <c r="E1379" t="str">
        <f>IF(F1379="","",IF(COUNTIF($F$2:F1379,F1379)&gt;1,"",SUMIFS(tbl_input[필요수량],tbl_input[집계키_센터],F1379)))</f>
        <v/>
      </c>
      <c r="F1379" t="str">
        <f>IFERROR(INDEX(tbl_input[집계키_센터],ROW()-1),"")</f>
        <v/>
      </c>
      <c r="G1379" t="str">
        <f t="shared" si="151"/>
        <v/>
      </c>
      <c r="H1379" t="str">
        <f t="shared" si="152"/>
        <v/>
      </c>
      <c r="I1379" t="str">
        <f t="shared" si="153"/>
        <v/>
      </c>
    </row>
    <row r="1380" spans="1:9" x14ac:dyDescent="0.4">
      <c r="A1380" t="str">
        <f t="shared" si="147"/>
        <v/>
      </c>
      <c r="B1380" t="str">
        <f t="shared" si="148"/>
        <v/>
      </c>
      <c r="C1380" t="str">
        <f t="shared" si="149"/>
        <v/>
      </c>
      <c r="D1380" t="str">
        <f t="shared" si="150"/>
        <v/>
      </c>
      <c r="E1380" t="str">
        <f>IF(F1380="","",IF(COUNTIF($F$2:F1380,F1380)&gt;1,"",SUMIFS(tbl_input[필요수량],tbl_input[집계키_센터],F1380)))</f>
        <v/>
      </c>
      <c r="F1380" t="str">
        <f>IFERROR(INDEX(tbl_input[집계키_센터],ROW()-1),"")</f>
        <v/>
      </c>
      <c r="G1380" t="str">
        <f t="shared" si="151"/>
        <v/>
      </c>
      <c r="H1380" t="str">
        <f t="shared" si="152"/>
        <v/>
      </c>
      <c r="I1380" t="str">
        <f t="shared" si="153"/>
        <v/>
      </c>
    </row>
    <row r="1381" spans="1:9" x14ac:dyDescent="0.4">
      <c r="A1381" t="str">
        <f t="shared" si="147"/>
        <v/>
      </c>
      <c r="B1381" t="str">
        <f t="shared" si="148"/>
        <v/>
      </c>
      <c r="C1381" t="str">
        <f t="shared" si="149"/>
        <v/>
      </c>
      <c r="D1381" t="str">
        <f t="shared" si="150"/>
        <v/>
      </c>
      <c r="E1381" t="str">
        <f>IF(F1381="","",IF(COUNTIF($F$2:F1381,F1381)&gt;1,"",SUMIFS(tbl_input[필요수량],tbl_input[집계키_센터],F1381)))</f>
        <v/>
      </c>
      <c r="F1381" t="str">
        <f>IFERROR(INDEX(tbl_input[집계키_센터],ROW()-1),"")</f>
        <v/>
      </c>
      <c r="G1381" t="str">
        <f t="shared" si="151"/>
        <v/>
      </c>
      <c r="H1381" t="str">
        <f t="shared" si="152"/>
        <v/>
      </c>
      <c r="I1381" t="str">
        <f t="shared" si="153"/>
        <v/>
      </c>
    </row>
    <row r="1382" spans="1:9" x14ac:dyDescent="0.4">
      <c r="A1382" t="str">
        <f t="shared" si="147"/>
        <v/>
      </c>
      <c r="B1382" t="str">
        <f t="shared" si="148"/>
        <v/>
      </c>
      <c r="C1382" t="str">
        <f t="shared" si="149"/>
        <v/>
      </c>
      <c r="D1382" t="str">
        <f t="shared" si="150"/>
        <v/>
      </c>
      <c r="E1382" t="str">
        <f>IF(F1382="","",IF(COUNTIF($F$2:F1382,F1382)&gt;1,"",SUMIFS(tbl_input[필요수량],tbl_input[집계키_센터],F1382)))</f>
        <v/>
      </c>
      <c r="F1382" t="str">
        <f>IFERROR(INDEX(tbl_input[집계키_센터],ROW()-1),"")</f>
        <v/>
      </c>
      <c r="G1382" t="str">
        <f t="shared" si="151"/>
        <v/>
      </c>
      <c r="H1382" t="str">
        <f t="shared" si="152"/>
        <v/>
      </c>
      <c r="I1382" t="str">
        <f t="shared" si="153"/>
        <v/>
      </c>
    </row>
    <row r="1383" spans="1:9" x14ac:dyDescent="0.4">
      <c r="A1383" t="str">
        <f t="shared" si="147"/>
        <v/>
      </c>
      <c r="B1383" t="str">
        <f t="shared" si="148"/>
        <v/>
      </c>
      <c r="C1383" t="str">
        <f t="shared" si="149"/>
        <v/>
      </c>
      <c r="D1383" t="str">
        <f t="shared" si="150"/>
        <v/>
      </c>
      <c r="E1383" t="str">
        <f>IF(F1383="","",IF(COUNTIF($F$2:F1383,F1383)&gt;1,"",SUMIFS(tbl_input[필요수량],tbl_input[집계키_센터],F1383)))</f>
        <v/>
      </c>
      <c r="F1383" t="str">
        <f>IFERROR(INDEX(tbl_input[집계키_센터],ROW()-1),"")</f>
        <v/>
      </c>
      <c r="G1383" t="str">
        <f t="shared" si="151"/>
        <v/>
      </c>
      <c r="H1383" t="str">
        <f t="shared" si="152"/>
        <v/>
      </c>
      <c r="I1383" t="str">
        <f t="shared" si="153"/>
        <v/>
      </c>
    </row>
    <row r="1384" spans="1:9" x14ac:dyDescent="0.4">
      <c r="A1384" t="str">
        <f t="shared" si="147"/>
        <v/>
      </c>
      <c r="B1384" t="str">
        <f t="shared" si="148"/>
        <v/>
      </c>
      <c r="C1384" t="str">
        <f t="shared" si="149"/>
        <v/>
      </c>
      <c r="D1384" t="str">
        <f t="shared" si="150"/>
        <v/>
      </c>
      <c r="E1384" t="str">
        <f>IF(F1384="","",IF(COUNTIF($F$2:F1384,F1384)&gt;1,"",SUMIFS(tbl_input[필요수량],tbl_input[집계키_센터],F1384)))</f>
        <v/>
      </c>
      <c r="F1384" t="str">
        <f>IFERROR(INDEX(tbl_input[집계키_센터],ROW()-1),"")</f>
        <v/>
      </c>
      <c r="G1384" t="str">
        <f t="shared" si="151"/>
        <v/>
      </c>
      <c r="H1384" t="str">
        <f t="shared" si="152"/>
        <v/>
      </c>
      <c r="I1384" t="str">
        <f t="shared" si="153"/>
        <v/>
      </c>
    </row>
    <row r="1385" spans="1:9" x14ac:dyDescent="0.4">
      <c r="A1385" t="str">
        <f t="shared" si="147"/>
        <v/>
      </c>
      <c r="B1385" t="str">
        <f t="shared" si="148"/>
        <v/>
      </c>
      <c r="C1385" t="str">
        <f t="shared" si="149"/>
        <v/>
      </c>
      <c r="D1385" t="str">
        <f t="shared" si="150"/>
        <v/>
      </c>
      <c r="E1385" t="str">
        <f>IF(F1385="","",IF(COUNTIF($F$2:F1385,F1385)&gt;1,"",SUMIFS(tbl_input[필요수량],tbl_input[집계키_센터],F1385)))</f>
        <v/>
      </c>
      <c r="F1385" t="str">
        <f>IFERROR(INDEX(tbl_input[집계키_센터],ROW()-1),"")</f>
        <v/>
      </c>
      <c r="G1385" t="str">
        <f t="shared" si="151"/>
        <v/>
      </c>
      <c r="H1385" t="str">
        <f t="shared" si="152"/>
        <v/>
      </c>
      <c r="I1385" t="str">
        <f t="shared" si="153"/>
        <v/>
      </c>
    </row>
    <row r="1386" spans="1:9" x14ac:dyDescent="0.4">
      <c r="A1386" t="str">
        <f t="shared" si="147"/>
        <v/>
      </c>
      <c r="B1386" t="str">
        <f t="shared" si="148"/>
        <v/>
      </c>
      <c r="C1386" t="str">
        <f t="shared" si="149"/>
        <v/>
      </c>
      <c r="D1386" t="str">
        <f t="shared" si="150"/>
        <v/>
      </c>
      <c r="E1386" t="str">
        <f>IF(F1386="","",IF(COUNTIF($F$2:F1386,F1386)&gt;1,"",SUMIFS(tbl_input[필요수량],tbl_input[집계키_센터],F1386)))</f>
        <v/>
      </c>
      <c r="F1386" t="str">
        <f>IFERROR(INDEX(tbl_input[집계키_센터],ROW()-1),"")</f>
        <v/>
      </c>
      <c r="G1386" t="str">
        <f t="shared" si="151"/>
        <v/>
      </c>
      <c r="H1386" t="str">
        <f t="shared" si="152"/>
        <v/>
      </c>
      <c r="I1386" t="str">
        <f t="shared" si="153"/>
        <v/>
      </c>
    </row>
    <row r="1387" spans="1:9" x14ac:dyDescent="0.4">
      <c r="A1387" t="str">
        <f t="shared" si="147"/>
        <v/>
      </c>
      <c r="B1387" t="str">
        <f t="shared" si="148"/>
        <v/>
      </c>
      <c r="C1387" t="str">
        <f t="shared" si="149"/>
        <v/>
      </c>
      <c r="D1387" t="str">
        <f t="shared" si="150"/>
        <v/>
      </c>
      <c r="E1387" t="str">
        <f>IF(F1387="","",IF(COUNTIF($F$2:F1387,F1387)&gt;1,"",SUMIFS(tbl_input[필요수량],tbl_input[집계키_센터],F1387)))</f>
        <v/>
      </c>
      <c r="F1387" t="str">
        <f>IFERROR(INDEX(tbl_input[집계키_센터],ROW()-1),"")</f>
        <v/>
      </c>
      <c r="G1387" t="str">
        <f t="shared" si="151"/>
        <v/>
      </c>
      <c r="H1387" t="str">
        <f t="shared" si="152"/>
        <v/>
      </c>
      <c r="I1387" t="str">
        <f t="shared" si="153"/>
        <v/>
      </c>
    </row>
    <row r="1388" spans="1:9" x14ac:dyDescent="0.4">
      <c r="A1388" t="str">
        <f t="shared" si="147"/>
        <v/>
      </c>
      <c r="B1388" t="str">
        <f t="shared" si="148"/>
        <v/>
      </c>
      <c r="C1388" t="str">
        <f t="shared" si="149"/>
        <v/>
      </c>
      <c r="D1388" t="str">
        <f t="shared" si="150"/>
        <v/>
      </c>
      <c r="E1388" t="str">
        <f>IF(F1388="","",IF(COUNTIF($F$2:F1388,F1388)&gt;1,"",SUMIFS(tbl_input[필요수량],tbl_input[집계키_센터],F1388)))</f>
        <v/>
      </c>
      <c r="F1388" t="str">
        <f>IFERROR(INDEX(tbl_input[집계키_센터],ROW()-1),"")</f>
        <v/>
      </c>
      <c r="G1388" t="str">
        <f t="shared" si="151"/>
        <v/>
      </c>
      <c r="H1388" t="str">
        <f t="shared" si="152"/>
        <v/>
      </c>
      <c r="I1388" t="str">
        <f t="shared" si="153"/>
        <v/>
      </c>
    </row>
    <row r="1389" spans="1:9" x14ac:dyDescent="0.4">
      <c r="A1389" t="str">
        <f t="shared" si="147"/>
        <v/>
      </c>
      <c r="B1389" t="str">
        <f t="shared" si="148"/>
        <v/>
      </c>
      <c r="C1389" t="str">
        <f t="shared" si="149"/>
        <v/>
      </c>
      <c r="D1389" t="str">
        <f t="shared" si="150"/>
        <v/>
      </c>
      <c r="E1389" t="str">
        <f>IF(F1389="","",IF(COUNTIF($F$2:F1389,F1389)&gt;1,"",SUMIFS(tbl_input[필요수량],tbl_input[집계키_센터],F1389)))</f>
        <v/>
      </c>
      <c r="F1389" t="str">
        <f>IFERROR(INDEX(tbl_input[집계키_센터],ROW()-1),"")</f>
        <v/>
      </c>
      <c r="G1389" t="str">
        <f t="shared" si="151"/>
        <v/>
      </c>
      <c r="H1389" t="str">
        <f t="shared" si="152"/>
        <v/>
      </c>
      <c r="I1389" t="str">
        <f t="shared" si="153"/>
        <v/>
      </c>
    </row>
    <row r="1390" spans="1:9" x14ac:dyDescent="0.4">
      <c r="A1390" t="str">
        <f t="shared" si="147"/>
        <v/>
      </c>
      <c r="B1390" t="str">
        <f t="shared" si="148"/>
        <v/>
      </c>
      <c r="C1390" t="str">
        <f t="shared" si="149"/>
        <v/>
      </c>
      <c r="D1390" t="str">
        <f t="shared" si="150"/>
        <v/>
      </c>
      <c r="E1390" t="str">
        <f>IF(F1390="","",IF(COUNTIF($F$2:F1390,F1390)&gt;1,"",SUMIFS(tbl_input[필요수량],tbl_input[집계키_센터],F1390)))</f>
        <v/>
      </c>
      <c r="F1390" t="str">
        <f>IFERROR(INDEX(tbl_input[집계키_센터],ROW()-1),"")</f>
        <v/>
      </c>
      <c r="G1390" t="str">
        <f t="shared" si="151"/>
        <v/>
      </c>
      <c r="H1390" t="str">
        <f t="shared" si="152"/>
        <v/>
      </c>
      <c r="I1390" t="str">
        <f t="shared" si="153"/>
        <v/>
      </c>
    </row>
    <row r="1391" spans="1:9" x14ac:dyDescent="0.4">
      <c r="A1391" t="str">
        <f t="shared" si="147"/>
        <v/>
      </c>
      <c r="B1391" t="str">
        <f t="shared" si="148"/>
        <v/>
      </c>
      <c r="C1391" t="str">
        <f t="shared" si="149"/>
        <v/>
      </c>
      <c r="D1391" t="str">
        <f t="shared" si="150"/>
        <v/>
      </c>
      <c r="E1391" t="str">
        <f>IF(F1391="","",IF(COUNTIF($F$2:F1391,F1391)&gt;1,"",SUMIFS(tbl_input[필요수량],tbl_input[집계키_센터],F1391)))</f>
        <v/>
      </c>
      <c r="F1391" t="str">
        <f>IFERROR(INDEX(tbl_input[집계키_센터],ROW()-1),"")</f>
        <v/>
      </c>
      <c r="G1391" t="str">
        <f t="shared" si="151"/>
        <v/>
      </c>
      <c r="H1391" t="str">
        <f t="shared" si="152"/>
        <v/>
      </c>
      <c r="I1391" t="str">
        <f t="shared" si="153"/>
        <v/>
      </c>
    </row>
    <row r="1392" spans="1:9" x14ac:dyDescent="0.4">
      <c r="A1392" t="str">
        <f t="shared" si="147"/>
        <v/>
      </c>
      <c r="B1392" t="str">
        <f t="shared" si="148"/>
        <v/>
      </c>
      <c r="C1392" t="str">
        <f t="shared" si="149"/>
        <v/>
      </c>
      <c r="D1392" t="str">
        <f t="shared" si="150"/>
        <v/>
      </c>
      <c r="E1392" t="str">
        <f>IF(F1392="","",IF(COUNTIF($F$2:F1392,F1392)&gt;1,"",SUMIFS(tbl_input[필요수량],tbl_input[집계키_센터],F1392)))</f>
        <v/>
      </c>
      <c r="F1392" t="str">
        <f>IFERROR(INDEX(tbl_input[집계키_센터],ROW()-1),"")</f>
        <v/>
      </c>
      <c r="G1392" t="str">
        <f t="shared" si="151"/>
        <v/>
      </c>
      <c r="H1392" t="str">
        <f t="shared" si="152"/>
        <v/>
      </c>
      <c r="I1392" t="str">
        <f t="shared" si="153"/>
        <v/>
      </c>
    </row>
    <row r="1393" spans="1:9" x14ac:dyDescent="0.4">
      <c r="A1393" t="str">
        <f t="shared" si="147"/>
        <v/>
      </c>
      <c r="B1393" t="str">
        <f t="shared" si="148"/>
        <v/>
      </c>
      <c r="C1393" t="str">
        <f t="shared" si="149"/>
        <v/>
      </c>
      <c r="D1393" t="str">
        <f t="shared" si="150"/>
        <v/>
      </c>
      <c r="E1393" t="str">
        <f>IF(F1393="","",IF(COUNTIF($F$2:F1393,F1393)&gt;1,"",SUMIFS(tbl_input[필요수량],tbl_input[집계키_센터],F1393)))</f>
        <v/>
      </c>
      <c r="F1393" t="str">
        <f>IFERROR(INDEX(tbl_input[집계키_센터],ROW()-1),"")</f>
        <v/>
      </c>
      <c r="G1393" t="str">
        <f t="shared" si="151"/>
        <v/>
      </c>
      <c r="H1393" t="str">
        <f t="shared" si="152"/>
        <v/>
      </c>
      <c r="I1393" t="str">
        <f t="shared" si="153"/>
        <v/>
      </c>
    </row>
    <row r="1394" spans="1:9" x14ac:dyDescent="0.4">
      <c r="A1394" t="str">
        <f t="shared" si="147"/>
        <v/>
      </c>
      <c r="B1394" t="str">
        <f t="shared" si="148"/>
        <v/>
      </c>
      <c r="C1394" t="str">
        <f t="shared" si="149"/>
        <v/>
      </c>
      <c r="D1394" t="str">
        <f t="shared" si="150"/>
        <v/>
      </c>
      <c r="E1394" t="str">
        <f>IF(F1394="","",IF(COUNTIF($F$2:F1394,F1394)&gt;1,"",SUMIFS(tbl_input[필요수량],tbl_input[집계키_센터],F1394)))</f>
        <v/>
      </c>
      <c r="F1394" t="str">
        <f>IFERROR(INDEX(tbl_input[집계키_센터],ROW()-1),"")</f>
        <v/>
      </c>
      <c r="G1394" t="str">
        <f t="shared" si="151"/>
        <v/>
      </c>
      <c r="H1394" t="str">
        <f t="shared" si="152"/>
        <v/>
      </c>
      <c r="I1394" t="str">
        <f t="shared" si="153"/>
        <v/>
      </c>
    </row>
    <row r="1395" spans="1:9" x14ac:dyDescent="0.4">
      <c r="A1395" t="str">
        <f t="shared" si="147"/>
        <v/>
      </c>
      <c r="B1395" t="str">
        <f t="shared" si="148"/>
        <v/>
      </c>
      <c r="C1395" t="str">
        <f t="shared" si="149"/>
        <v/>
      </c>
      <c r="D1395" t="str">
        <f t="shared" si="150"/>
        <v/>
      </c>
      <c r="E1395" t="str">
        <f>IF(F1395="","",IF(COUNTIF($F$2:F1395,F1395)&gt;1,"",SUMIFS(tbl_input[필요수량],tbl_input[집계키_센터],F1395)))</f>
        <v/>
      </c>
      <c r="F1395" t="str">
        <f>IFERROR(INDEX(tbl_input[집계키_센터],ROW()-1),"")</f>
        <v/>
      </c>
      <c r="G1395" t="str">
        <f t="shared" si="151"/>
        <v/>
      </c>
      <c r="H1395" t="str">
        <f t="shared" si="152"/>
        <v/>
      </c>
      <c r="I1395" t="str">
        <f t="shared" si="153"/>
        <v/>
      </c>
    </row>
    <row r="1396" spans="1:9" x14ac:dyDescent="0.4">
      <c r="A1396" t="str">
        <f t="shared" si="147"/>
        <v/>
      </c>
      <c r="B1396" t="str">
        <f t="shared" si="148"/>
        <v/>
      </c>
      <c r="C1396" t="str">
        <f t="shared" si="149"/>
        <v/>
      </c>
      <c r="D1396" t="str">
        <f t="shared" si="150"/>
        <v/>
      </c>
      <c r="E1396" t="str">
        <f>IF(F1396="","",IF(COUNTIF($F$2:F1396,F1396)&gt;1,"",SUMIFS(tbl_input[필요수량],tbl_input[집계키_센터],F1396)))</f>
        <v/>
      </c>
      <c r="F1396" t="str">
        <f>IFERROR(INDEX(tbl_input[집계키_센터],ROW()-1),"")</f>
        <v/>
      </c>
      <c r="G1396" t="str">
        <f t="shared" si="151"/>
        <v/>
      </c>
      <c r="H1396" t="str">
        <f t="shared" si="152"/>
        <v/>
      </c>
      <c r="I1396" t="str">
        <f t="shared" si="153"/>
        <v/>
      </c>
    </row>
    <row r="1397" spans="1:9" x14ac:dyDescent="0.4">
      <c r="A1397" t="str">
        <f t="shared" si="147"/>
        <v/>
      </c>
      <c r="B1397" t="str">
        <f t="shared" si="148"/>
        <v/>
      </c>
      <c r="C1397" t="str">
        <f t="shared" si="149"/>
        <v/>
      </c>
      <c r="D1397" t="str">
        <f t="shared" si="150"/>
        <v/>
      </c>
      <c r="E1397" t="str">
        <f>IF(F1397="","",IF(COUNTIF($F$2:F1397,F1397)&gt;1,"",SUMIFS(tbl_input[필요수량],tbl_input[집계키_센터],F1397)))</f>
        <v/>
      </c>
      <c r="F1397" t="str">
        <f>IFERROR(INDEX(tbl_input[집계키_센터],ROW()-1),"")</f>
        <v/>
      </c>
      <c r="G1397" t="str">
        <f t="shared" si="151"/>
        <v/>
      </c>
      <c r="H1397" t="str">
        <f t="shared" si="152"/>
        <v/>
      </c>
      <c r="I1397" t="str">
        <f t="shared" si="153"/>
        <v/>
      </c>
    </row>
    <row r="1398" spans="1:9" x14ac:dyDescent="0.4">
      <c r="A1398" t="str">
        <f t="shared" si="147"/>
        <v/>
      </c>
      <c r="B1398" t="str">
        <f t="shared" si="148"/>
        <v/>
      </c>
      <c r="C1398" t="str">
        <f t="shared" si="149"/>
        <v/>
      </c>
      <c r="D1398" t="str">
        <f t="shared" si="150"/>
        <v/>
      </c>
      <c r="E1398" t="str">
        <f>IF(F1398="","",IF(COUNTIF($F$2:F1398,F1398)&gt;1,"",SUMIFS(tbl_input[필요수량],tbl_input[집계키_센터],F1398)))</f>
        <v/>
      </c>
      <c r="F1398" t="str">
        <f>IFERROR(INDEX(tbl_input[집계키_센터],ROW()-1),"")</f>
        <v/>
      </c>
      <c r="G1398" t="str">
        <f t="shared" si="151"/>
        <v/>
      </c>
      <c r="H1398" t="str">
        <f t="shared" si="152"/>
        <v/>
      </c>
      <c r="I1398" t="str">
        <f t="shared" si="153"/>
        <v/>
      </c>
    </row>
    <row r="1399" spans="1:9" x14ac:dyDescent="0.4">
      <c r="A1399" t="str">
        <f t="shared" si="147"/>
        <v/>
      </c>
      <c r="B1399" t="str">
        <f t="shared" si="148"/>
        <v/>
      </c>
      <c r="C1399" t="str">
        <f t="shared" si="149"/>
        <v/>
      </c>
      <c r="D1399" t="str">
        <f t="shared" si="150"/>
        <v/>
      </c>
      <c r="E1399" t="str">
        <f>IF(F1399="","",IF(COUNTIF($F$2:F1399,F1399)&gt;1,"",SUMIFS(tbl_input[필요수량],tbl_input[집계키_센터],F1399)))</f>
        <v/>
      </c>
      <c r="F1399" t="str">
        <f>IFERROR(INDEX(tbl_input[집계키_센터],ROW()-1),"")</f>
        <v/>
      </c>
      <c r="G1399" t="str">
        <f t="shared" si="151"/>
        <v/>
      </c>
      <c r="H1399" t="str">
        <f t="shared" si="152"/>
        <v/>
      </c>
      <c r="I1399" t="str">
        <f t="shared" si="153"/>
        <v/>
      </c>
    </row>
    <row r="1400" spans="1:9" x14ac:dyDescent="0.4">
      <c r="A1400" t="str">
        <f t="shared" si="147"/>
        <v/>
      </c>
      <c r="B1400" t="str">
        <f t="shared" si="148"/>
        <v/>
      </c>
      <c r="C1400" t="str">
        <f t="shared" si="149"/>
        <v/>
      </c>
      <c r="D1400" t="str">
        <f t="shared" si="150"/>
        <v/>
      </c>
      <c r="E1400" t="str">
        <f>IF(F1400="","",IF(COUNTIF($F$2:F1400,F1400)&gt;1,"",SUMIFS(tbl_input[필요수량],tbl_input[집계키_센터],F1400)))</f>
        <v/>
      </c>
      <c r="F1400" t="str">
        <f>IFERROR(INDEX(tbl_input[집계키_센터],ROW()-1),"")</f>
        <v/>
      </c>
      <c r="G1400" t="str">
        <f t="shared" si="151"/>
        <v/>
      </c>
      <c r="H1400" t="str">
        <f t="shared" si="152"/>
        <v/>
      </c>
      <c r="I1400" t="str">
        <f t="shared" si="153"/>
        <v/>
      </c>
    </row>
    <row r="1401" spans="1:9" x14ac:dyDescent="0.4">
      <c r="A1401" t="str">
        <f t="shared" si="147"/>
        <v/>
      </c>
      <c r="B1401" t="str">
        <f t="shared" si="148"/>
        <v/>
      </c>
      <c r="C1401" t="str">
        <f t="shared" si="149"/>
        <v/>
      </c>
      <c r="D1401" t="str">
        <f t="shared" si="150"/>
        <v/>
      </c>
      <c r="E1401" t="str">
        <f>IF(F1401="","",IF(COUNTIF($F$2:F1401,F1401)&gt;1,"",SUMIFS(tbl_input[필요수량],tbl_input[집계키_센터],F1401)))</f>
        <v/>
      </c>
      <c r="F1401" t="str">
        <f>IFERROR(INDEX(tbl_input[집계키_센터],ROW()-1),"")</f>
        <v/>
      </c>
      <c r="G1401" t="str">
        <f t="shared" si="151"/>
        <v/>
      </c>
      <c r="H1401" t="str">
        <f t="shared" si="152"/>
        <v/>
      </c>
      <c r="I1401" t="str">
        <f t="shared" si="153"/>
        <v/>
      </c>
    </row>
    <row r="1402" spans="1:9" x14ac:dyDescent="0.4">
      <c r="A1402" t="str">
        <f t="shared" si="147"/>
        <v/>
      </c>
      <c r="B1402" t="str">
        <f t="shared" si="148"/>
        <v/>
      </c>
      <c r="C1402" t="str">
        <f t="shared" si="149"/>
        <v/>
      </c>
      <c r="D1402" t="str">
        <f t="shared" si="150"/>
        <v/>
      </c>
      <c r="E1402" t="str">
        <f>IF(F1402="","",IF(COUNTIF($F$2:F1402,F1402)&gt;1,"",SUMIFS(tbl_input[필요수량],tbl_input[집계키_센터],F1402)))</f>
        <v/>
      </c>
      <c r="F1402" t="str">
        <f>IFERROR(INDEX(tbl_input[집계키_센터],ROW()-1),"")</f>
        <v/>
      </c>
      <c r="G1402" t="str">
        <f t="shared" si="151"/>
        <v/>
      </c>
      <c r="H1402" t="str">
        <f t="shared" si="152"/>
        <v/>
      </c>
      <c r="I1402" t="str">
        <f t="shared" si="153"/>
        <v/>
      </c>
    </row>
    <row r="1403" spans="1:9" x14ac:dyDescent="0.4">
      <c r="A1403" t="str">
        <f t="shared" si="147"/>
        <v/>
      </c>
      <c r="B1403" t="str">
        <f t="shared" si="148"/>
        <v/>
      </c>
      <c r="C1403" t="str">
        <f t="shared" si="149"/>
        <v/>
      </c>
      <c r="D1403" t="str">
        <f t="shared" si="150"/>
        <v/>
      </c>
      <c r="E1403" t="str">
        <f>IF(F1403="","",IF(COUNTIF($F$2:F1403,F1403)&gt;1,"",SUMIFS(tbl_input[필요수량],tbl_input[집계키_센터],F1403)))</f>
        <v/>
      </c>
      <c r="F1403" t="str">
        <f>IFERROR(INDEX(tbl_input[집계키_센터],ROW()-1),"")</f>
        <v/>
      </c>
      <c r="G1403" t="str">
        <f t="shared" si="151"/>
        <v/>
      </c>
      <c r="H1403" t="str">
        <f t="shared" si="152"/>
        <v/>
      </c>
      <c r="I1403" t="str">
        <f t="shared" si="153"/>
        <v/>
      </c>
    </row>
    <row r="1404" spans="1:9" x14ac:dyDescent="0.4">
      <c r="A1404" t="str">
        <f t="shared" si="147"/>
        <v/>
      </c>
      <c r="B1404" t="str">
        <f t="shared" si="148"/>
        <v/>
      </c>
      <c r="C1404" t="str">
        <f t="shared" si="149"/>
        <v/>
      </c>
      <c r="D1404" t="str">
        <f t="shared" si="150"/>
        <v/>
      </c>
      <c r="E1404" t="str">
        <f>IF(F1404="","",IF(COUNTIF($F$2:F1404,F1404)&gt;1,"",SUMIFS(tbl_input[필요수량],tbl_input[집계키_센터],F1404)))</f>
        <v/>
      </c>
      <c r="F1404" t="str">
        <f>IFERROR(INDEX(tbl_input[집계키_센터],ROW()-1),"")</f>
        <v/>
      </c>
      <c r="G1404" t="str">
        <f t="shared" si="151"/>
        <v/>
      </c>
      <c r="H1404" t="str">
        <f t="shared" si="152"/>
        <v/>
      </c>
      <c r="I1404" t="str">
        <f t="shared" si="153"/>
        <v/>
      </c>
    </row>
    <row r="1405" spans="1:9" x14ac:dyDescent="0.4">
      <c r="A1405" t="str">
        <f t="shared" si="147"/>
        <v/>
      </c>
      <c r="B1405" t="str">
        <f t="shared" si="148"/>
        <v/>
      </c>
      <c r="C1405" t="str">
        <f t="shared" si="149"/>
        <v/>
      </c>
      <c r="D1405" t="str">
        <f t="shared" si="150"/>
        <v/>
      </c>
      <c r="E1405" t="str">
        <f>IF(F1405="","",IF(COUNTIF($F$2:F1405,F1405)&gt;1,"",SUMIFS(tbl_input[필요수량],tbl_input[집계키_센터],F1405)))</f>
        <v/>
      </c>
      <c r="F1405" t="str">
        <f>IFERROR(INDEX(tbl_input[집계키_센터],ROW()-1),"")</f>
        <v/>
      </c>
      <c r="G1405" t="str">
        <f t="shared" si="151"/>
        <v/>
      </c>
      <c r="H1405" t="str">
        <f t="shared" si="152"/>
        <v/>
      </c>
      <c r="I1405" t="str">
        <f t="shared" si="153"/>
        <v/>
      </c>
    </row>
    <row r="1406" spans="1:9" x14ac:dyDescent="0.4">
      <c r="A1406" t="str">
        <f t="shared" si="147"/>
        <v/>
      </c>
      <c r="B1406" t="str">
        <f t="shared" si="148"/>
        <v/>
      </c>
      <c r="C1406" t="str">
        <f t="shared" si="149"/>
        <v/>
      </c>
      <c r="D1406" t="str">
        <f t="shared" si="150"/>
        <v/>
      </c>
      <c r="E1406" t="str">
        <f>IF(F1406="","",IF(COUNTIF($F$2:F1406,F1406)&gt;1,"",SUMIFS(tbl_input[필요수량],tbl_input[집계키_센터],F1406)))</f>
        <v/>
      </c>
      <c r="F1406" t="str">
        <f>IFERROR(INDEX(tbl_input[집계키_센터],ROW()-1),"")</f>
        <v/>
      </c>
      <c r="G1406" t="str">
        <f t="shared" si="151"/>
        <v/>
      </c>
      <c r="H1406" t="str">
        <f t="shared" si="152"/>
        <v/>
      </c>
      <c r="I1406" t="str">
        <f t="shared" si="153"/>
        <v/>
      </c>
    </row>
    <row r="1407" spans="1:9" x14ac:dyDescent="0.4">
      <c r="A1407" t="str">
        <f t="shared" si="147"/>
        <v/>
      </c>
      <c r="B1407" t="str">
        <f t="shared" si="148"/>
        <v/>
      </c>
      <c r="C1407" t="str">
        <f t="shared" si="149"/>
        <v/>
      </c>
      <c r="D1407" t="str">
        <f t="shared" si="150"/>
        <v/>
      </c>
      <c r="E1407" t="str">
        <f>IF(F1407="","",IF(COUNTIF($F$2:F1407,F1407)&gt;1,"",SUMIFS(tbl_input[필요수량],tbl_input[집계키_센터],F1407)))</f>
        <v/>
      </c>
      <c r="F1407" t="str">
        <f>IFERROR(INDEX(tbl_input[집계키_센터],ROW()-1),"")</f>
        <v/>
      </c>
      <c r="G1407" t="str">
        <f t="shared" si="151"/>
        <v/>
      </c>
      <c r="H1407" t="str">
        <f t="shared" si="152"/>
        <v/>
      </c>
      <c r="I1407" t="str">
        <f t="shared" si="153"/>
        <v/>
      </c>
    </row>
    <row r="1408" spans="1:9" x14ac:dyDescent="0.4">
      <c r="A1408" t="str">
        <f t="shared" si="147"/>
        <v/>
      </c>
      <c r="B1408" t="str">
        <f t="shared" si="148"/>
        <v/>
      </c>
      <c r="C1408" t="str">
        <f t="shared" si="149"/>
        <v/>
      </c>
      <c r="D1408" t="str">
        <f t="shared" si="150"/>
        <v/>
      </c>
      <c r="E1408" t="str">
        <f>IF(F1408="","",IF(COUNTIF($F$2:F1408,F1408)&gt;1,"",SUMIFS(tbl_input[필요수량],tbl_input[집계키_센터],F1408)))</f>
        <v/>
      </c>
      <c r="F1408" t="str">
        <f>IFERROR(INDEX(tbl_input[집계키_센터],ROW()-1),"")</f>
        <v/>
      </c>
      <c r="G1408" t="str">
        <f t="shared" si="151"/>
        <v/>
      </c>
      <c r="H1408" t="str">
        <f t="shared" si="152"/>
        <v/>
      </c>
      <c r="I1408" t="str">
        <f t="shared" si="153"/>
        <v/>
      </c>
    </row>
    <row r="1409" spans="1:9" x14ac:dyDescent="0.4">
      <c r="A1409" t="str">
        <f t="shared" si="147"/>
        <v/>
      </c>
      <c r="B1409" t="str">
        <f t="shared" si="148"/>
        <v/>
      </c>
      <c r="C1409" t="str">
        <f t="shared" si="149"/>
        <v/>
      </c>
      <c r="D1409" t="str">
        <f t="shared" si="150"/>
        <v/>
      </c>
      <c r="E1409" t="str">
        <f>IF(F1409="","",IF(COUNTIF($F$2:F1409,F1409)&gt;1,"",SUMIFS(tbl_input[필요수량],tbl_input[집계키_센터],F1409)))</f>
        <v/>
      </c>
      <c r="F1409" t="str">
        <f>IFERROR(INDEX(tbl_input[집계키_센터],ROW()-1),"")</f>
        <v/>
      </c>
      <c r="G1409" t="str">
        <f t="shared" si="151"/>
        <v/>
      </c>
      <c r="H1409" t="str">
        <f t="shared" si="152"/>
        <v/>
      </c>
      <c r="I1409" t="str">
        <f t="shared" si="153"/>
        <v/>
      </c>
    </row>
    <row r="1410" spans="1:9" x14ac:dyDescent="0.4">
      <c r="A1410" t="str">
        <f t="shared" ref="A1410:A1473" si="154">IF(F1410="","",LEFT(F1410,G1410-1))</f>
        <v/>
      </c>
      <c r="B1410" t="str">
        <f t="shared" ref="B1410:B1473" si="155">IF(F1410="","",MID(F1410,G1410+1,H1410-G1410-1))</f>
        <v/>
      </c>
      <c r="C1410" t="str">
        <f t="shared" ref="C1410:C1473" si="156">IF(F1410="","",MID(F1410,H1410+1,I1410-H1410-1))</f>
        <v/>
      </c>
      <c r="D1410" t="str">
        <f t="shared" ref="D1410:D1473" si="157">IF(F1410="","",MID(F1410,I1410+1,999))</f>
        <v/>
      </c>
      <c r="E1410" t="str">
        <f>IF(F1410="","",IF(COUNTIF($F$2:F1410,F1410)&gt;1,"",SUMIFS(tbl_input[필요수량],tbl_input[집계키_센터],F1410)))</f>
        <v/>
      </c>
      <c r="F1410" t="str">
        <f>IFERROR(INDEX(tbl_input[집계키_센터],ROW()-1),"")</f>
        <v/>
      </c>
      <c r="G1410" t="str">
        <f t="shared" ref="G1410:G1473" si="158">IF(F1410="","",FIND("♦",F1410))</f>
        <v/>
      </c>
      <c r="H1410" t="str">
        <f t="shared" ref="H1410:H1473" si="159">IF(F1410="","",FIND("♦",F1410,G1410+1))</f>
        <v/>
      </c>
      <c r="I1410" t="str">
        <f t="shared" ref="I1410:I1473" si="160">IF(F1410="","",FIND("♦",F1410,H1410+1))</f>
        <v/>
      </c>
    </row>
    <row r="1411" spans="1:9" x14ac:dyDescent="0.4">
      <c r="A1411" t="str">
        <f t="shared" si="154"/>
        <v/>
      </c>
      <c r="B1411" t="str">
        <f t="shared" si="155"/>
        <v/>
      </c>
      <c r="C1411" t="str">
        <f t="shared" si="156"/>
        <v/>
      </c>
      <c r="D1411" t="str">
        <f t="shared" si="157"/>
        <v/>
      </c>
      <c r="E1411" t="str">
        <f>IF(F1411="","",IF(COUNTIF($F$2:F1411,F1411)&gt;1,"",SUMIFS(tbl_input[필요수량],tbl_input[집계키_센터],F1411)))</f>
        <v/>
      </c>
      <c r="F1411" t="str">
        <f>IFERROR(INDEX(tbl_input[집계키_센터],ROW()-1),"")</f>
        <v/>
      </c>
      <c r="G1411" t="str">
        <f t="shared" si="158"/>
        <v/>
      </c>
      <c r="H1411" t="str">
        <f t="shared" si="159"/>
        <v/>
      </c>
      <c r="I1411" t="str">
        <f t="shared" si="160"/>
        <v/>
      </c>
    </row>
    <row r="1412" spans="1:9" x14ac:dyDescent="0.4">
      <c r="A1412" t="str">
        <f t="shared" si="154"/>
        <v/>
      </c>
      <c r="B1412" t="str">
        <f t="shared" si="155"/>
        <v/>
      </c>
      <c r="C1412" t="str">
        <f t="shared" si="156"/>
        <v/>
      </c>
      <c r="D1412" t="str">
        <f t="shared" si="157"/>
        <v/>
      </c>
      <c r="E1412" t="str">
        <f>IF(F1412="","",IF(COUNTIF($F$2:F1412,F1412)&gt;1,"",SUMIFS(tbl_input[필요수량],tbl_input[집계키_센터],F1412)))</f>
        <v/>
      </c>
      <c r="F1412" t="str">
        <f>IFERROR(INDEX(tbl_input[집계키_센터],ROW()-1),"")</f>
        <v/>
      </c>
      <c r="G1412" t="str">
        <f t="shared" si="158"/>
        <v/>
      </c>
      <c r="H1412" t="str">
        <f t="shared" si="159"/>
        <v/>
      </c>
      <c r="I1412" t="str">
        <f t="shared" si="160"/>
        <v/>
      </c>
    </row>
    <row r="1413" spans="1:9" x14ac:dyDescent="0.4">
      <c r="A1413" t="str">
        <f t="shared" si="154"/>
        <v/>
      </c>
      <c r="B1413" t="str">
        <f t="shared" si="155"/>
        <v/>
      </c>
      <c r="C1413" t="str">
        <f t="shared" si="156"/>
        <v/>
      </c>
      <c r="D1413" t="str">
        <f t="shared" si="157"/>
        <v/>
      </c>
      <c r="E1413" t="str">
        <f>IF(F1413="","",IF(COUNTIF($F$2:F1413,F1413)&gt;1,"",SUMIFS(tbl_input[필요수량],tbl_input[집계키_센터],F1413)))</f>
        <v/>
      </c>
      <c r="F1413" t="str">
        <f>IFERROR(INDEX(tbl_input[집계키_센터],ROW()-1),"")</f>
        <v/>
      </c>
      <c r="G1413" t="str">
        <f t="shared" si="158"/>
        <v/>
      </c>
      <c r="H1413" t="str">
        <f t="shared" si="159"/>
        <v/>
      </c>
      <c r="I1413" t="str">
        <f t="shared" si="160"/>
        <v/>
      </c>
    </row>
    <row r="1414" spans="1:9" x14ac:dyDescent="0.4">
      <c r="A1414" t="str">
        <f t="shared" si="154"/>
        <v/>
      </c>
      <c r="B1414" t="str">
        <f t="shared" si="155"/>
        <v/>
      </c>
      <c r="C1414" t="str">
        <f t="shared" si="156"/>
        <v/>
      </c>
      <c r="D1414" t="str">
        <f t="shared" si="157"/>
        <v/>
      </c>
      <c r="E1414" t="str">
        <f>IF(F1414="","",IF(COUNTIF($F$2:F1414,F1414)&gt;1,"",SUMIFS(tbl_input[필요수량],tbl_input[집계키_센터],F1414)))</f>
        <v/>
      </c>
      <c r="F1414" t="str">
        <f>IFERROR(INDEX(tbl_input[집계키_센터],ROW()-1),"")</f>
        <v/>
      </c>
      <c r="G1414" t="str">
        <f t="shared" si="158"/>
        <v/>
      </c>
      <c r="H1414" t="str">
        <f t="shared" si="159"/>
        <v/>
      </c>
      <c r="I1414" t="str">
        <f t="shared" si="160"/>
        <v/>
      </c>
    </row>
    <row r="1415" spans="1:9" x14ac:dyDescent="0.4">
      <c r="A1415" t="str">
        <f t="shared" si="154"/>
        <v/>
      </c>
      <c r="B1415" t="str">
        <f t="shared" si="155"/>
        <v/>
      </c>
      <c r="C1415" t="str">
        <f t="shared" si="156"/>
        <v/>
      </c>
      <c r="D1415" t="str">
        <f t="shared" si="157"/>
        <v/>
      </c>
      <c r="E1415" t="str">
        <f>IF(F1415="","",IF(COUNTIF($F$2:F1415,F1415)&gt;1,"",SUMIFS(tbl_input[필요수량],tbl_input[집계키_센터],F1415)))</f>
        <v/>
      </c>
      <c r="F1415" t="str">
        <f>IFERROR(INDEX(tbl_input[집계키_센터],ROW()-1),"")</f>
        <v/>
      </c>
      <c r="G1415" t="str">
        <f t="shared" si="158"/>
        <v/>
      </c>
      <c r="H1415" t="str">
        <f t="shared" si="159"/>
        <v/>
      </c>
      <c r="I1415" t="str">
        <f t="shared" si="160"/>
        <v/>
      </c>
    </row>
    <row r="1416" spans="1:9" x14ac:dyDescent="0.4">
      <c r="A1416" t="str">
        <f t="shared" si="154"/>
        <v/>
      </c>
      <c r="B1416" t="str">
        <f t="shared" si="155"/>
        <v/>
      </c>
      <c r="C1416" t="str">
        <f t="shared" si="156"/>
        <v/>
      </c>
      <c r="D1416" t="str">
        <f t="shared" si="157"/>
        <v/>
      </c>
      <c r="E1416" t="str">
        <f>IF(F1416="","",IF(COUNTIF($F$2:F1416,F1416)&gt;1,"",SUMIFS(tbl_input[필요수량],tbl_input[집계키_센터],F1416)))</f>
        <v/>
      </c>
      <c r="F1416" t="str">
        <f>IFERROR(INDEX(tbl_input[집계키_센터],ROW()-1),"")</f>
        <v/>
      </c>
      <c r="G1416" t="str">
        <f t="shared" si="158"/>
        <v/>
      </c>
      <c r="H1416" t="str">
        <f t="shared" si="159"/>
        <v/>
      </c>
      <c r="I1416" t="str">
        <f t="shared" si="160"/>
        <v/>
      </c>
    </row>
    <row r="1417" spans="1:9" x14ac:dyDescent="0.4">
      <c r="A1417" t="str">
        <f t="shared" si="154"/>
        <v/>
      </c>
      <c r="B1417" t="str">
        <f t="shared" si="155"/>
        <v/>
      </c>
      <c r="C1417" t="str">
        <f t="shared" si="156"/>
        <v/>
      </c>
      <c r="D1417" t="str">
        <f t="shared" si="157"/>
        <v/>
      </c>
      <c r="E1417" t="str">
        <f>IF(F1417="","",IF(COUNTIF($F$2:F1417,F1417)&gt;1,"",SUMIFS(tbl_input[필요수량],tbl_input[집계키_센터],F1417)))</f>
        <v/>
      </c>
      <c r="F1417" t="str">
        <f>IFERROR(INDEX(tbl_input[집계키_센터],ROW()-1),"")</f>
        <v/>
      </c>
      <c r="G1417" t="str">
        <f t="shared" si="158"/>
        <v/>
      </c>
      <c r="H1417" t="str">
        <f t="shared" si="159"/>
        <v/>
      </c>
      <c r="I1417" t="str">
        <f t="shared" si="160"/>
        <v/>
      </c>
    </row>
    <row r="1418" spans="1:9" x14ac:dyDescent="0.4">
      <c r="A1418" t="str">
        <f t="shared" si="154"/>
        <v/>
      </c>
      <c r="B1418" t="str">
        <f t="shared" si="155"/>
        <v/>
      </c>
      <c r="C1418" t="str">
        <f t="shared" si="156"/>
        <v/>
      </c>
      <c r="D1418" t="str">
        <f t="shared" si="157"/>
        <v/>
      </c>
      <c r="E1418" t="str">
        <f>IF(F1418="","",IF(COUNTIF($F$2:F1418,F1418)&gt;1,"",SUMIFS(tbl_input[필요수량],tbl_input[집계키_센터],F1418)))</f>
        <v/>
      </c>
      <c r="F1418" t="str">
        <f>IFERROR(INDEX(tbl_input[집계키_센터],ROW()-1),"")</f>
        <v/>
      </c>
      <c r="G1418" t="str">
        <f t="shared" si="158"/>
        <v/>
      </c>
      <c r="H1418" t="str">
        <f t="shared" si="159"/>
        <v/>
      </c>
      <c r="I1418" t="str">
        <f t="shared" si="160"/>
        <v/>
      </c>
    </row>
    <row r="1419" spans="1:9" x14ac:dyDescent="0.4">
      <c r="A1419" t="str">
        <f t="shared" si="154"/>
        <v/>
      </c>
      <c r="B1419" t="str">
        <f t="shared" si="155"/>
        <v/>
      </c>
      <c r="C1419" t="str">
        <f t="shared" si="156"/>
        <v/>
      </c>
      <c r="D1419" t="str">
        <f t="shared" si="157"/>
        <v/>
      </c>
      <c r="E1419" t="str">
        <f>IF(F1419="","",IF(COUNTIF($F$2:F1419,F1419)&gt;1,"",SUMIFS(tbl_input[필요수량],tbl_input[집계키_센터],F1419)))</f>
        <v/>
      </c>
      <c r="F1419" t="str">
        <f>IFERROR(INDEX(tbl_input[집계키_센터],ROW()-1),"")</f>
        <v/>
      </c>
      <c r="G1419" t="str">
        <f t="shared" si="158"/>
        <v/>
      </c>
      <c r="H1419" t="str">
        <f t="shared" si="159"/>
        <v/>
      </c>
      <c r="I1419" t="str">
        <f t="shared" si="160"/>
        <v/>
      </c>
    </row>
    <row r="1420" spans="1:9" x14ac:dyDescent="0.4">
      <c r="A1420" t="str">
        <f t="shared" si="154"/>
        <v/>
      </c>
      <c r="B1420" t="str">
        <f t="shared" si="155"/>
        <v/>
      </c>
      <c r="C1420" t="str">
        <f t="shared" si="156"/>
        <v/>
      </c>
      <c r="D1420" t="str">
        <f t="shared" si="157"/>
        <v/>
      </c>
      <c r="E1420" t="str">
        <f>IF(F1420="","",IF(COUNTIF($F$2:F1420,F1420)&gt;1,"",SUMIFS(tbl_input[필요수량],tbl_input[집계키_센터],F1420)))</f>
        <v/>
      </c>
      <c r="F1420" t="str">
        <f>IFERROR(INDEX(tbl_input[집계키_센터],ROW()-1),"")</f>
        <v/>
      </c>
      <c r="G1420" t="str">
        <f t="shared" si="158"/>
        <v/>
      </c>
      <c r="H1420" t="str">
        <f t="shared" si="159"/>
        <v/>
      </c>
      <c r="I1420" t="str">
        <f t="shared" si="160"/>
        <v/>
      </c>
    </row>
    <row r="1421" spans="1:9" x14ac:dyDescent="0.4">
      <c r="A1421" t="str">
        <f t="shared" si="154"/>
        <v/>
      </c>
      <c r="B1421" t="str">
        <f t="shared" si="155"/>
        <v/>
      </c>
      <c r="C1421" t="str">
        <f t="shared" si="156"/>
        <v/>
      </c>
      <c r="D1421" t="str">
        <f t="shared" si="157"/>
        <v/>
      </c>
      <c r="E1421" t="str">
        <f>IF(F1421="","",IF(COUNTIF($F$2:F1421,F1421)&gt;1,"",SUMIFS(tbl_input[필요수량],tbl_input[집계키_센터],F1421)))</f>
        <v/>
      </c>
      <c r="F1421" t="str">
        <f>IFERROR(INDEX(tbl_input[집계키_센터],ROW()-1),"")</f>
        <v/>
      </c>
      <c r="G1421" t="str">
        <f t="shared" si="158"/>
        <v/>
      </c>
      <c r="H1421" t="str">
        <f t="shared" si="159"/>
        <v/>
      </c>
      <c r="I1421" t="str">
        <f t="shared" si="160"/>
        <v/>
      </c>
    </row>
    <row r="1422" spans="1:9" x14ac:dyDescent="0.4">
      <c r="A1422" t="str">
        <f t="shared" si="154"/>
        <v/>
      </c>
      <c r="B1422" t="str">
        <f t="shared" si="155"/>
        <v/>
      </c>
      <c r="C1422" t="str">
        <f t="shared" si="156"/>
        <v/>
      </c>
      <c r="D1422" t="str">
        <f t="shared" si="157"/>
        <v/>
      </c>
      <c r="E1422" t="str">
        <f>IF(F1422="","",IF(COUNTIF($F$2:F1422,F1422)&gt;1,"",SUMIFS(tbl_input[필요수량],tbl_input[집계키_센터],F1422)))</f>
        <v/>
      </c>
      <c r="F1422" t="str">
        <f>IFERROR(INDEX(tbl_input[집계키_센터],ROW()-1),"")</f>
        <v/>
      </c>
      <c r="G1422" t="str">
        <f t="shared" si="158"/>
        <v/>
      </c>
      <c r="H1422" t="str">
        <f t="shared" si="159"/>
        <v/>
      </c>
      <c r="I1422" t="str">
        <f t="shared" si="160"/>
        <v/>
      </c>
    </row>
    <row r="1423" spans="1:9" x14ac:dyDescent="0.4">
      <c r="A1423" t="str">
        <f t="shared" si="154"/>
        <v/>
      </c>
      <c r="B1423" t="str">
        <f t="shared" si="155"/>
        <v/>
      </c>
      <c r="C1423" t="str">
        <f t="shared" si="156"/>
        <v/>
      </c>
      <c r="D1423" t="str">
        <f t="shared" si="157"/>
        <v/>
      </c>
      <c r="E1423" t="str">
        <f>IF(F1423="","",IF(COUNTIF($F$2:F1423,F1423)&gt;1,"",SUMIFS(tbl_input[필요수량],tbl_input[집계키_센터],F1423)))</f>
        <v/>
      </c>
      <c r="F1423" t="str">
        <f>IFERROR(INDEX(tbl_input[집계키_센터],ROW()-1),"")</f>
        <v/>
      </c>
      <c r="G1423" t="str">
        <f t="shared" si="158"/>
        <v/>
      </c>
      <c r="H1423" t="str">
        <f t="shared" si="159"/>
        <v/>
      </c>
      <c r="I1423" t="str">
        <f t="shared" si="160"/>
        <v/>
      </c>
    </row>
    <row r="1424" spans="1:9" x14ac:dyDescent="0.4">
      <c r="A1424" t="str">
        <f t="shared" si="154"/>
        <v/>
      </c>
      <c r="B1424" t="str">
        <f t="shared" si="155"/>
        <v/>
      </c>
      <c r="C1424" t="str">
        <f t="shared" si="156"/>
        <v/>
      </c>
      <c r="D1424" t="str">
        <f t="shared" si="157"/>
        <v/>
      </c>
      <c r="E1424" t="str">
        <f>IF(F1424="","",IF(COUNTIF($F$2:F1424,F1424)&gt;1,"",SUMIFS(tbl_input[필요수량],tbl_input[집계키_센터],F1424)))</f>
        <v/>
      </c>
      <c r="F1424" t="str">
        <f>IFERROR(INDEX(tbl_input[집계키_센터],ROW()-1),"")</f>
        <v/>
      </c>
      <c r="G1424" t="str">
        <f t="shared" si="158"/>
        <v/>
      </c>
      <c r="H1424" t="str">
        <f t="shared" si="159"/>
        <v/>
      </c>
      <c r="I1424" t="str">
        <f t="shared" si="160"/>
        <v/>
      </c>
    </row>
    <row r="1425" spans="1:9" x14ac:dyDescent="0.4">
      <c r="A1425" t="str">
        <f t="shared" si="154"/>
        <v/>
      </c>
      <c r="B1425" t="str">
        <f t="shared" si="155"/>
        <v/>
      </c>
      <c r="C1425" t="str">
        <f t="shared" si="156"/>
        <v/>
      </c>
      <c r="D1425" t="str">
        <f t="shared" si="157"/>
        <v/>
      </c>
      <c r="E1425" t="str">
        <f>IF(F1425="","",IF(COUNTIF($F$2:F1425,F1425)&gt;1,"",SUMIFS(tbl_input[필요수량],tbl_input[집계키_센터],F1425)))</f>
        <v/>
      </c>
      <c r="F1425" t="str">
        <f>IFERROR(INDEX(tbl_input[집계키_센터],ROW()-1),"")</f>
        <v/>
      </c>
      <c r="G1425" t="str">
        <f t="shared" si="158"/>
        <v/>
      </c>
      <c r="H1425" t="str">
        <f t="shared" si="159"/>
        <v/>
      </c>
      <c r="I1425" t="str">
        <f t="shared" si="160"/>
        <v/>
      </c>
    </row>
    <row r="1426" spans="1:9" x14ac:dyDescent="0.4">
      <c r="A1426" t="str">
        <f t="shared" si="154"/>
        <v/>
      </c>
      <c r="B1426" t="str">
        <f t="shared" si="155"/>
        <v/>
      </c>
      <c r="C1426" t="str">
        <f t="shared" si="156"/>
        <v/>
      </c>
      <c r="D1426" t="str">
        <f t="shared" si="157"/>
        <v/>
      </c>
      <c r="E1426" t="str">
        <f>IF(F1426="","",IF(COUNTIF($F$2:F1426,F1426)&gt;1,"",SUMIFS(tbl_input[필요수량],tbl_input[집계키_센터],F1426)))</f>
        <v/>
      </c>
      <c r="F1426" t="str">
        <f>IFERROR(INDEX(tbl_input[집계키_센터],ROW()-1),"")</f>
        <v/>
      </c>
      <c r="G1426" t="str">
        <f t="shared" si="158"/>
        <v/>
      </c>
      <c r="H1426" t="str">
        <f t="shared" si="159"/>
        <v/>
      </c>
      <c r="I1426" t="str">
        <f t="shared" si="160"/>
        <v/>
      </c>
    </row>
    <row r="1427" spans="1:9" x14ac:dyDescent="0.4">
      <c r="A1427" t="str">
        <f t="shared" si="154"/>
        <v/>
      </c>
      <c r="B1427" t="str">
        <f t="shared" si="155"/>
        <v/>
      </c>
      <c r="C1427" t="str">
        <f t="shared" si="156"/>
        <v/>
      </c>
      <c r="D1427" t="str">
        <f t="shared" si="157"/>
        <v/>
      </c>
      <c r="E1427" t="str">
        <f>IF(F1427="","",IF(COUNTIF($F$2:F1427,F1427)&gt;1,"",SUMIFS(tbl_input[필요수량],tbl_input[집계키_센터],F1427)))</f>
        <v/>
      </c>
      <c r="F1427" t="str">
        <f>IFERROR(INDEX(tbl_input[집계키_센터],ROW()-1),"")</f>
        <v/>
      </c>
      <c r="G1427" t="str">
        <f t="shared" si="158"/>
        <v/>
      </c>
      <c r="H1427" t="str">
        <f t="shared" si="159"/>
        <v/>
      </c>
      <c r="I1427" t="str">
        <f t="shared" si="160"/>
        <v/>
      </c>
    </row>
    <row r="1428" spans="1:9" x14ac:dyDescent="0.4">
      <c r="A1428" t="str">
        <f t="shared" si="154"/>
        <v/>
      </c>
      <c r="B1428" t="str">
        <f t="shared" si="155"/>
        <v/>
      </c>
      <c r="C1428" t="str">
        <f t="shared" si="156"/>
        <v/>
      </c>
      <c r="D1428" t="str">
        <f t="shared" si="157"/>
        <v/>
      </c>
      <c r="E1428" t="str">
        <f>IF(F1428="","",IF(COUNTIF($F$2:F1428,F1428)&gt;1,"",SUMIFS(tbl_input[필요수량],tbl_input[집계키_센터],F1428)))</f>
        <v/>
      </c>
      <c r="F1428" t="str">
        <f>IFERROR(INDEX(tbl_input[집계키_센터],ROW()-1),"")</f>
        <v/>
      </c>
      <c r="G1428" t="str">
        <f t="shared" si="158"/>
        <v/>
      </c>
      <c r="H1428" t="str">
        <f t="shared" si="159"/>
        <v/>
      </c>
      <c r="I1428" t="str">
        <f t="shared" si="160"/>
        <v/>
      </c>
    </row>
    <row r="1429" spans="1:9" x14ac:dyDescent="0.4">
      <c r="A1429" t="str">
        <f t="shared" si="154"/>
        <v/>
      </c>
      <c r="B1429" t="str">
        <f t="shared" si="155"/>
        <v/>
      </c>
      <c r="C1429" t="str">
        <f t="shared" si="156"/>
        <v/>
      </c>
      <c r="D1429" t="str">
        <f t="shared" si="157"/>
        <v/>
      </c>
      <c r="E1429" t="str">
        <f>IF(F1429="","",IF(COUNTIF($F$2:F1429,F1429)&gt;1,"",SUMIFS(tbl_input[필요수량],tbl_input[집계키_센터],F1429)))</f>
        <v/>
      </c>
      <c r="F1429" t="str">
        <f>IFERROR(INDEX(tbl_input[집계키_센터],ROW()-1),"")</f>
        <v/>
      </c>
      <c r="G1429" t="str">
        <f t="shared" si="158"/>
        <v/>
      </c>
      <c r="H1429" t="str">
        <f t="shared" si="159"/>
        <v/>
      </c>
      <c r="I1429" t="str">
        <f t="shared" si="160"/>
        <v/>
      </c>
    </row>
    <row r="1430" spans="1:9" x14ac:dyDescent="0.4">
      <c r="A1430" t="str">
        <f t="shared" si="154"/>
        <v/>
      </c>
      <c r="B1430" t="str">
        <f t="shared" si="155"/>
        <v/>
      </c>
      <c r="C1430" t="str">
        <f t="shared" si="156"/>
        <v/>
      </c>
      <c r="D1430" t="str">
        <f t="shared" si="157"/>
        <v/>
      </c>
      <c r="E1430" t="str">
        <f>IF(F1430="","",IF(COUNTIF($F$2:F1430,F1430)&gt;1,"",SUMIFS(tbl_input[필요수량],tbl_input[집계키_센터],F1430)))</f>
        <v/>
      </c>
      <c r="F1430" t="str">
        <f>IFERROR(INDEX(tbl_input[집계키_센터],ROW()-1),"")</f>
        <v/>
      </c>
      <c r="G1430" t="str">
        <f t="shared" si="158"/>
        <v/>
      </c>
      <c r="H1430" t="str">
        <f t="shared" si="159"/>
        <v/>
      </c>
      <c r="I1430" t="str">
        <f t="shared" si="160"/>
        <v/>
      </c>
    </row>
    <row r="1431" spans="1:9" x14ac:dyDescent="0.4">
      <c r="A1431" t="str">
        <f t="shared" si="154"/>
        <v/>
      </c>
      <c r="B1431" t="str">
        <f t="shared" si="155"/>
        <v/>
      </c>
      <c r="C1431" t="str">
        <f t="shared" si="156"/>
        <v/>
      </c>
      <c r="D1431" t="str">
        <f t="shared" si="157"/>
        <v/>
      </c>
      <c r="E1431" t="str">
        <f>IF(F1431="","",IF(COUNTIF($F$2:F1431,F1431)&gt;1,"",SUMIFS(tbl_input[필요수량],tbl_input[집계키_센터],F1431)))</f>
        <v/>
      </c>
      <c r="F1431" t="str">
        <f>IFERROR(INDEX(tbl_input[집계키_센터],ROW()-1),"")</f>
        <v/>
      </c>
      <c r="G1431" t="str">
        <f t="shared" si="158"/>
        <v/>
      </c>
      <c r="H1431" t="str">
        <f t="shared" si="159"/>
        <v/>
      </c>
      <c r="I1431" t="str">
        <f t="shared" si="160"/>
        <v/>
      </c>
    </row>
    <row r="1432" spans="1:9" x14ac:dyDescent="0.4">
      <c r="A1432" t="str">
        <f t="shared" si="154"/>
        <v/>
      </c>
      <c r="B1432" t="str">
        <f t="shared" si="155"/>
        <v/>
      </c>
      <c r="C1432" t="str">
        <f t="shared" si="156"/>
        <v/>
      </c>
      <c r="D1432" t="str">
        <f t="shared" si="157"/>
        <v/>
      </c>
      <c r="E1432" t="str">
        <f>IF(F1432="","",IF(COUNTIF($F$2:F1432,F1432)&gt;1,"",SUMIFS(tbl_input[필요수량],tbl_input[집계키_센터],F1432)))</f>
        <v/>
      </c>
      <c r="F1432" t="str">
        <f>IFERROR(INDEX(tbl_input[집계키_센터],ROW()-1),"")</f>
        <v/>
      </c>
      <c r="G1432" t="str">
        <f t="shared" si="158"/>
        <v/>
      </c>
      <c r="H1432" t="str">
        <f t="shared" si="159"/>
        <v/>
      </c>
      <c r="I1432" t="str">
        <f t="shared" si="160"/>
        <v/>
      </c>
    </row>
    <row r="1433" spans="1:9" x14ac:dyDescent="0.4">
      <c r="A1433" t="str">
        <f t="shared" si="154"/>
        <v/>
      </c>
      <c r="B1433" t="str">
        <f t="shared" si="155"/>
        <v/>
      </c>
      <c r="C1433" t="str">
        <f t="shared" si="156"/>
        <v/>
      </c>
      <c r="D1433" t="str">
        <f t="shared" si="157"/>
        <v/>
      </c>
      <c r="E1433" t="str">
        <f>IF(F1433="","",IF(COUNTIF($F$2:F1433,F1433)&gt;1,"",SUMIFS(tbl_input[필요수량],tbl_input[집계키_센터],F1433)))</f>
        <v/>
      </c>
      <c r="F1433" t="str">
        <f>IFERROR(INDEX(tbl_input[집계키_센터],ROW()-1),"")</f>
        <v/>
      </c>
      <c r="G1433" t="str">
        <f t="shared" si="158"/>
        <v/>
      </c>
      <c r="H1433" t="str">
        <f t="shared" si="159"/>
        <v/>
      </c>
      <c r="I1433" t="str">
        <f t="shared" si="160"/>
        <v/>
      </c>
    </row>
    <row r="1434" spans="1:9" x14ac:dyDescent="0.4">
      <c r="A1434" t="str">
        <f t="shared" si="154"/>
        <v/>
      </c>
      <c r="B1434" t="str">
        <f t="shared" si="155"/>
        <v/>
      </c>
      <c r="C1434" t="str">
        <f t="shared" si="156"/>
        <v/>
      </c>
      <c r="D1434" t="str">
        <f t="shared" si="157"/>
        <v/>
      </c>
      <c r="E1434" t="str">
        <f>IF(F1434="","",IF(COUNTIF($F$2:F1434,F1434)&gt;1,"",SUMIFS(tbl_input[필요수량],tbl_input[집계키_센터],F1434)))</f>
        <v/>
      </c>
      <c r="F1434" t="str">
        <f>IFERROR(INDEX(tbl_input[집계키_센터],ROW()-1),"")</f>
        <v/>
      </c>
      <c r="G1434" t="str">
        <f t="shared" si="158"/>
        <v/>
      </c>
      <c r="H1434" t="str">
        <f t="shared" si="159"/>
        <v/>
      </c>
      <c r="I1434" t="str">
        <f t="shared" si="160"/>
        <v/>
      </c>
    </row>
    <row r="1435" spans="1:9" x14ac:dyDescent="0.4">
      <c r="A1435" t="str">
        <f t="shared" si="154"/>
        <v/>
      </c>
      <c r="B1435" t="str">
        <f t="shared" si="155"/>
        <v/>
      </c>
      <c r="C1435" t="str">
        <f t="shared" si="156"/>
        <v/>
      </c>
      <c r="D1435" t="str">
        <f t="shared" si="157"/>
        <v/>
      </c>
      <c r="E1435" t="str">
        <f>IF(F1435="","",IF(COUNTIF($F$2:F1435,F1435)&gt;1,"",SUMIFS(tbl_input[필요수량],tbl_input[집계키_센터],F1435)))</f>
        <v/>
      </c>
      <c r="F1435" t="str">
        <f>IFERROR(INDEX(tbl_input[집계키_센터],ROW()-1),"")</f>
        <v/>
      </c>
      <c r="G1435" t="str">
        <f t="shared" si="158"/>
        <v/>
      </c>
      <c r="H1435" t="str">
        <f t="shared" si="159"/>
        <v/>
      </c>
      <c r="I1435" t="str">
        <f t="shared" si="160"/>
        <v/>
      </c>
    </row>
    <row r="1436" spans="1:9" x14ac:dyDescent="0.4">
      <c r="A1436" t="str">
        <f t="shared" si="154"/>
        <v/>
      </c>
      <c r="B1436" t="str">
        <f t="shared" si="155"/>
        <v/>
      </c>
      <c r="C1436" t="str">
        <f t="shared" si="156"/>
        <v/>
      </c>
      <c r="D1436" t="str">
        <f t="shared" si="157"/>
        <v/>
      </c>
      <c r="E1436" t="str">
        <f>IF(F1436="","",IF(COUNTIF($F$2:F1436,F1436)&gt;1,"",SUMIFS(tbl_input[필요수량],tbl_input[집계키_센터],F1436)))</f>
        <v/>
      </c>
      <c r="F1436" t="str">
        <f>IFERROR(INDEX(tbl_input[집계키_센터],ROW()-1),"")</f>
        <v/>
      </c>
      <c r="G1436" t="str">
        <f t="shared" si="158"/>
        <v/>
      </c>
      <c r="H1436" t="str">
        <f t="shared" si="159"/>
        <v/>
      </c>
      <c r="I1436" t="str">
        <f t="shared" si="160"/>
        <v/>
      </c>
    </row>
    <row r="1437" spans="1:9" x14ac:dyDescent="0.4">
      <c r="A1437" t="str">
        <f t="shared" si="154"/>
        <v/>
      </c>
      <c r="B1437" t="str">
        <f t="shared" si="155"/>
        <v/>
      </c>
      <c r="C1437" t="str">
        <f t="shared" si="156"/>
        <v/>
      </c>
      <c r="D1437" t="str">
        <f t="shared" si="157"/>
        <v/>
      </c>
      <c r="E1437" t="str">
        <f>IF(F1437="","",IF(COUNTIF($F$2:F1437,F1437)&gt;1,"",SUMIFS(tbl_input[필요수량],tbl_input[집계키_센터],F1437)))</f>
        <v/>
      </c>
      <c r="F1437" t="str">
        <f>IFERROR(INDEX(tbl_input[집계키_센터],ROW()-1),"")</f>
        <v/>
      </c>
      <c r="G1437" t="str">
        <f t="shared" si="158"/>
        <v/>
      </c>
      <c r="H1437" t="str">
        <f t="shared" si="159"/>
        <v/>
      </c>
      <c r="I1437" t="str">
        <f t="shared" si="160"/>
        <v/>
      </c>
    </row>
    <row r="1438" spans="1:9" x14ac:dyDescent="0.4">
      <c r="A1438" t="str">
        <f t="shared" si="154"/>
        <v/>
      </c>
      <c r="B1438" t="str">
        <f t="shared" si="155"/>
        <v/>
      </c>
      <c r="C1438" t="str">
        <f t="shared" si="156"/>
        <v/>
      </c>
      <c r="D1438" t="str">
        <f t="shared" si="157"/>
        <v/>
      </c>
      <c r="E1438" t="str">
        <f>IF(F1438="","",IF(COUNTIF($F$2:F1438,F1438)&gt;1,"",SUMIFS(tbl_input[필요수량],tbl_input[집계키_센터],F1438)))</f>
        <v/>
      </c>
      <c r="F1438" t="str">
        <f>IFERROR(INDEX(tbl_input[집계키_센터],ROW()-1),"")</f>
        <v/>
      </c>
      <c r="G1438" t="str">
        <f t="shared" si="158"/>
        <v/>
      </c>
      <c r="H1438" t="str">
        <f t="shared" si="159"/>
        <v/>
      </c>
      <c r="I1438" t="str">
        <f t="shared" si="160"/>
        <v/>
      </c>
    </row>
    <row r="1439" spans="1:9" x14ac:dyDescent="0.4">
      <c r="A1439" t="str">
        <f t="shared" si="154"/>
        <v/>
      </c>
      <c r="B1439" t="str">
        <f t="shared" si="155"/>
        <v/>
      </c>
      <c r="C1439" t="str">
        <f t="shared" si="156"/>
        <v/>
      </c>
      <c r="D1439" t="str">
        <f t="shared" si="157"/>
        <v/>
      </c>
      <c r="E1439" t="str">
        <f>IF(F1439="","",IF(COUNTIF($F$2:F1439,F1439)&gt;1,"",SUMIFS(tbl_input[필요수량],tbl_input[집계키_센터],F1439)))</f>
        <v/>
      </c>
      <c r="F1439" t="str">
        <f>IFERROR(INDEX(tbl_input[집계키_센터],ROW()-1),"")</f>
        <v/>
      </c>
      <c r="G1439" t="str">
        <f t="shared" si="158"/>
        <v/>
      </c>
      <c r="H1439" t="str">
        <f t="shared" si="159"/>
        <v/>
      </c>
      <c r="I1439" t="str">
        <f t="shared" si="160"/>
        <v/>
      </c>
    </row>
    <row r="1440" spans="1:9" x14ac:dyDescent="0.4">
      <c r="A1440" t="str">
        <f t="shared" si="154"/>
        <v/>
      </c>
      <c r="B1440" t="str">
        <f t="shared" si="155"/>
        <v/>
      </c>
      <c r="C1440" t="str">
        <f t="shared" si="156"/>
        <v/>
      </c>
      <c r="D1440" t="str">
        <f t="shared" si="157"/>
        <v/>
      </c>
      <c r="E1440" t="str">
        <f>IF(F1440="","",IF(COUNTIF($F$2:F1440,F1440)&gt;1,"",SUMIFS(tbl_input[필요수량],tbl_input[집계키_센터],F1440)))</f>
        <v/>
      </c>
      <c r="F1440" t="str">
        <f>IFERROR(INDEX(tbl_input[집계키_센터],ROW()-1),"")</f>
        <v/>
      </c>
      <c r="G1440" t="str">
        <f t="shared" si="158"/>
        <v/>
      </c>
      <c r="H1440" t="str">
        <f t="shared" si="159"/>
        <v/>
      </c>
      <c r="I1440" t="str">
        <f t="shared" si="160"/>
        <v/>
      </c>
    </row>
    <row r="1441" spans="1:9" x14ac:dyDescent="0.4">
      <c r="A1441" t="str">
        <f t="shared" si="154"/>
        <v/>
      </c>
      <c r="B1441" t="str">
        <f t="shared" si="155"/>
        <v/>
      </c>
      <c r="C1441" t="str">
        <f t="shared" si="156"/>
        <v/>
      </c>
      <c r="D1441" t="str">
        <f t="shared" si="157"/>
        <v/>
      </c>
      <c r="E1441" t="str">
        <f>IF(F1441="","",IF(COUNTIF($F$2:F1441,F1441)&gt;1,"",SUMIFS(tbl_input[필요수량],tbl_input[집계키_센터],F1441)))</f>
        <v/>
      </c>
      <c r="F1441" t="str">
        <f>IFERROR(INDEX(tbl_input[집계키_센터],ROW()-1),"")</f>
        <v/>
      </c>
      <c r="G1441" t="str">
        <f t="shared" si="158"/>
        <v/>
      </c>
      <c r="H1441" t="str">
        <f t="shared" si="159"/>
        <v/>
      </c>
      <c r="I1441" t="str">
        <f t="shared" si="160"/>
        <v/>
      </c>
    </row>
    <row r="1442" spans="1:9" x14ac:dyDescent="0.4">
      <c r="A1442" t="str">
        <f t="shared" si="154"/>
        <v/>
      </c>
      <c r="B1442" t="str">
        <f t="shared" si="155"/>
        <v/>
      </c>
      <c r="C1442" t="str">
        <f t="shared" si="156"/>
        <v/>
      </c>
      <c r="D1442" t="str">
        <f t="shared" si="157"/>
        <v/>
      </c>
      <c r="E1442" t="str">
        <f>IF(F1442="","",IF(COUNTIF($F$2:F1442,F1442)&gt;1,"",SUMIFS(tbl_input[필요수량],tbl_input[집계키_센터],F1442)))</f>
        <v/>
      </c>
      <c r="F1442" t="str">
        <f>IFERROR(INDEX(tbl_input[집계키_센터],ROW()-1),"")</f>
        <v/>
      </c>
      <c r="G1442" t="str">
        <f t="shared" si="158"/>
        <v/>
      </c>
      <c r="H1442" t="str">
        <f t="shared" si="159"/>
        <v/>
      </c>
      <c r="I1442" t="str">
        <f t="shared" si="160"/>
        <v/>
      </c>
    </row>
    <row r="1443" spans="1:9" x14ac:dyDescent="0.4">
      <c r="A1443" t="str">
        <f t="shared" si="154"/>
        <v/>
      </c>
      <c r="B1443" t="str">
        <f t="shared" si="155"/>
        <v/>
      </c>
      <c r="C1443" t="str">
        <f t="shared" si="156"/>
        <v/>
      </c>
      <c r="D1443" t="str">
        <f t="shared" si="157"/>
        <v/>
      </c>
      <c r="E1443" t="str">
        <f>IF(F1443="","",IF(COUNTIF($F$2:F1443,F1443)&gt;1,"",SUMIFS(tbl_input[필요수량],tbl_input[집계키_센터],F1443)))</f>
        <v/>
      </c>
      <c r="F1443" t="str">
        <f>IFERROR(INDEX(tbl_input[집계키_센터],ROW()-1),"")</f>
        <v/>
      </c>
      <c r="G1443" t="str">
        <f t="shared" si="158"/>
        <v/>
      </c>
      <c r="H1443" t="str">
        <f t="shared" si="159"/>
        <v/>
      </c>
      <c r="I1443" t="str">
        <f t="shared" si="160"/>
        <v/>
      </c>
    </row>
    <row r="1444" spans="1:9" x14ac:dyDescent="0.4">
      <c r="A1444" t="str">
        <f t="shared" si="154"/>
        <v/>
      </c>
      <c r="B1444" t="str">
        <f t="shared" si="155"/>
        <v/>
      </c>
      <c r="C1444" t="str">
        <f t="shared" si="156"/>
        <v/>
      </c>
      <c r="D1444" t="str">
        <f t="shared" si="157"/>
        <v/>
      </c>
      <c r="E1444" t="str">
        <f>IF(F1444="","",IF(COUNTIF($F$2:F1444,F1444)&gt;1,"",SUMIFS(tbl_input[필요수량],tbl_input[집계키_센터],F1444)))</f>
        <v/>
      </c>
      <c r="F1444" t="str">
        <f>IFERROR(INDEX(tbl_input[집계키_센터],ROW()-1),"")</f>
        <v/>
      </c>
      <c r="G1444" t="str">
        <f t="shared" si="158"/>
        <v/>
      </c>
      <c r="H1444" t="str">
        <f t="shared" si="159"/>
        <v/>
      </c>
      <c r="I1444" t="str">
        <f t="shared" si="160"/>
        <v/>
      </c>
    </row>
    <row r="1445" spans="1:9" x14ac:dyDescent="0.4">
      <c r="A1445" t="str">
        <f t="shared" si="154"/>
        <v/>
      </c>
      <c r="B1445" t="str">
        <f t="shared" si="155"/>
        <v/>
      </c>
      <c r="C1445" t="str">
        <f t="shared" si="156"/>
        <v/>
      </c>
      <c r="D1445" t="str">
        <f t="shared" si="157"/>
        <v/>
      </c>
      <c r="E1445" t="str">
        <f>IF(F1445="","",IF(COUNTIF($F$2:F1445,F1445)&gt;1,"",SUMIFS(tbl_input[필요수량],tbl_input[집계키_센터],F1445)))</f>
        <v/>
      </c>
      <c r="F1445" t="str">
        <f>IFERROR(INDEX(tbl_input[집계키_센터],ROW()-1),"")</f>
        <v/>
      </c>
      <c r="G1445" t="str">
        <f t="shared" si="158"/>
        <v/>
      </c>
      <c r="H1445" t="str">
        <f t="shared" si="159"/>
        <v/>
      </c>
      <c r="I1445" t="str">
        <f t="shared" si="160"/>
        <v/>
      </c>
    </row>
    <row r="1446" spans="1:9" x14ac:dyDescent="0.4">
      <c r="A1446" t="str">
        <f t="shared" si="154"/>
        <v/>
      </c>
      <c r="B1446" t="str">
        <f t="shared" si="155"/>
        <v/>
      </c>
      <c r="C1446" t="str">
        <f t="shared" si="156"/>
        <v/>
      </c>
      <c r="D1446" t="str">
        <f t="shared" si="157"/>
        <v/>
      </c>
      <c r="E1446" t="str">
        <f>IF(F1446="","",IF(COUNTIF($F$2:F1446,F1446)&gt;1,"",SUMIFS(tbl_input[필요수량],tbl_input[집계키_센터],F1446)))</f>
        <v/>
      </c>
      <c r="F1446" t="str">
        <f>IFERROR(INDEX(tbl_input[집계키_센터],ROW()-1),"")</f>
        <v/>
      </c>
      <c r="G1446" t="str">
        <f t="shared" si="158"/>
        <v/>
      </c>
      <c r="H1446" t="str">
        <f t="shared" si="159"/>
        <v/>
      </c>
      <c r="I1446" t="str">
        <f t="shared" si="160"/>
        <v/>
      </c>
    </row>
    <row r="1447" spans="1:9" x14ac:dyDescent="0.4">
      <c r="A1447" t="str">
        <f t="shared" si="154"/>
        <v/>
      </c>
      <c r="B1447" t="str">
        <f t="shared" si="155"/>
        <v/>
      </c>
      <c r="C1447" t="str">
        <f t="shared" si="156"/>
        <v/>
      </c>
      <c r="D1447" t="str">
        <f t="shared" si="157"/>
        <v/>
      </c>
      <c r="E1447" t="str">
        <f>IF(F1447="","",IF(COUNTIF($F$2:F1447,F1447)&gt;1,"",SUMIFS(tbl_input[필요수량],tbl_input[집계키_센터],F1447)))</f>
        <v/>
      </c>
      <c r="F1447" t="str">
        <f>IFERROR(INDEX(tbl_input[집계키_센터],ROW()-1),"")</f>
        <v/>
      </c>
      <c r="G1447" t="str">
        <f t="shared" si="158"/>
        <v/>
      </c>
      <c r="H1447" t="str">
        <f t="shared" si="159"/>
        <v/>
      </c>
      <c r="I1447" t="str">
        <f t="shared" si="160"/>
        <v/>
      </c>
    </row>
    <row r="1448" spans="1:9" x14ac:dyDescent="0.4">
      <c r="A1448" t="str">
        <f t="shared" si="154"/>
        <v/>
      </c>
      <c r="B1448" t="str">
        <f t="shared" si="155"/>
        <v/>
      </c>
      <c r="C1448" t="str">
        <f t="shared" si="156"/>
        <v/>
      </c>
      <c r="D1448" t="str">
        <f t="shared" si="157"/>
        <v/>
      </c>
      <c r="E1448" t="str">
        <f>IF(F1448="","",IF(COUNTIF($F$2:F1448,F1448)&gt;1,"",SUMIFS(tbl_input[필요수량],tbl_input[집계키_센터],F1448)))</f>
        <v/>
      </c>
      <c r="F1448" t="str">
        <f>IFERROR(INDEX(tbl_input[집계키_센터],ROW()-1),"")</f>
        <v/>
      </c>
      <c r="G1448" t="str">
        <f t="shared" si="158"/>
        <v/>
      </c>
      <c r="H1448" t="str">
        <f t="shared" si="159"/>
        <v/>
      </c>
      <c r="I1448" t="str">
        <f t="shared" si="160"/>
        <v/>
      </c>
    </row>
    <row r="1449" spans="1:9" x14ac:dyDescent="0.4">
      <c r="A1449" t="str">
        <f t="shared" si="154"/>
        <v/>
      </c>
      <c r="B1449" t="str">
        <f t="shared" si="155"/>
        <v/>
      </c>
      <c r="C1449" t="str">
        <f t="shared" si="156"/>
        <v/>
      </c>
      <c r="D1449" t="str">
        <f t="shared" si="157"/>
        <v/>
      </c>
      <c r="E1449" t="str">
        <f>IF(F1449="","",IF(COUNTIF($F$2:F1449,F1449)&gt;1,"",SUMIFS(tbl_input[필요수량],tbl_input[집계키_센터],F1449)))</f>
        <v/>
      </c>
      <c r="F1449" t="str">
        <f>IFERROR(INDEX(tbl_input[집계키_센터],ROW()-1),"")</f>
        <v/>
      </c>
      <c r="G1449" t="str">
        <f t="shared" si="158"/>
        <v/>
      </c>
      <c r="H1449" t="str">
        <f t="shared" si="159"/>
        <v/>
      </c>
      <c r="I1449" t="str">
        <f t="shared" si="160"/>
        <v/>
      </c>
    </row>
    <row r="1450" spans="1:9" x14ac:dyDescent="0.4">
      <c r="A1450" t="str">
        <f t="shared" si="154"/>
        <v/>
      </c>
      <c r="B1450" t="str">
        <f t="shared" si="155"/>
        <v/>
      </c>
      <c r="C1450" t="str">
        <f t="shared" si="156"/>
        <v/>
      </c>
      <c r="D1450" t="str">
        <f t="shared" si="157"/>
        <v/>
      </c>
      <c r="E1450" t="str">
        <f>IF(F1450="","",IF(COUNTIF($F$2:F1450,F1450)&gt;1,"",SUMIFS(tbl_input[필요수량],tbl_input[집계키_센터],F1450)))</f>
        <v/>
      </c>
      <c r="F1450" t="str">
        <f>IFERROR(INDEX(tbl_input[집계키_센터],ROW()-1),"")</f>
        <v/>
      </c>
      <c r="G1450" t="str">
        <f t="shared" si="158"/>
        <v/>
      </c>
      <c r="H1450" t="str">
        <f t="shared" si="159"/>
        <v/>
      </c>
      <c r="I1450" t="str">
        <f t="shared" si="160"/>
        <v/>
      </c>
    </row>
    <row r="1451" spans="1:9" x14ac:dyDescent="0.4">
      <c r="A1451" t="str">
        <f t="shared" si="154"/>
        <v/>
      </c>
      <c r="B1451" t="str">
        <f t="shared" si="155"/>
        <v/>
      </c>
      <c r="C1451" t="str">
        <f t="shared" si="156"/>
        <v/>
      </c>
      <c r="D1451" t="str">
        <f t="shared" si="157"/>
        <v/>
      </c>
      <c r="E1451" t="str">
        <f>IF(F1451="","",IF(COUNTIF($F$2:F1451,F1451)&gt;1,"",SUMIFS(tbl_input[필요수량],tbl_input[집계키_센터],F1451)))</f>
        <v/>
      </c>
      <c r="F1451" t="str">
        <f>IFERROR(INDEX(tbl_input[집계키_센터],ROW()-1),"")</f>
        <v/>
      </c>
      <c r="G1451" t="str">
        <f t="shared" si="158"/>
        <v/>
      </c>
      <c r="H1451" t="str">
        <f t="shared" si="159"/>
        <v/>
      </c>
      <c r="I1451" t="str">
        <f t="shared" si="160"/>
        <v/>
      </c>
    </row>
    <row r="1452" spans="1:9" x14ac:dyDescent="0.4">
      <c r="A1452" t="str">
        <f t="shared" si="154"/>
        <v/>
      </c>
      <c r="B1452" t="str">
        <f t="shared" si="155"/>
        <v/>
      </c>
      <c r="C1452" t="str">
        <f t="shared" si="156"/>
        <v/>
      </c>
      <c r="D1452" t="str">
        <f t="shared" si="157"/>
        <v/>
      </c>
      <c r="E1452" t="str">
        <f>IF(F1452="","",IF(COUNTIF($F$2:F1452,F1452)&gt;1,"",SUMIFS(tbl_input[필요수량],tbl_input[집계키_센터],F1452)))</f>
        <v/>
      </c>
      <c r="F1452" t="str">
        <f>IFERROR(INDEX(tbl_input[집계키_센터],ROW()-1),"")</f>
        <v/>
      </c>
      <c r="G1452" t="str">
        <f t="shared" si="158"/>
        <v/>
      </c>
      <c r="H1452" t="str">
        <f t="shared" si="159"/>
        <v/>
      </c>
      <c r="I1452" t="str">
        <f t="shared" si="160"/>
        <v/>
      </c>
    </row>
    <row r="1453" spans="1:9" x14ac:dyDescent="0.4">
      <c r="A1453" t="str">
        <f t="shared" si="154"/>
        <v/>
      </c>
      <c r="B1453" t="str">
        <f t="shared" si="155"/>
        <v/>
      </c>
      <c r="C1453" t="str">
        <f t="shared" si="156"/>
        <v/>
      </c>
      <c r="D1453" t="str">
        <f t="shared" si="157"/>
        <v/>
      </c>
      <c r="E1453" t="str">
        <f>IF(F1453="","",IF(COUNTIF($F$2:F1453,F1453)&gt;1,"",SUMIFS(tbl_input[필요수량],tbl_input[집계키_센터],F1453)))</f>
        <v/>
      </c>
      <c r="F1453" t="str">
        <f>IFERROR(INDEX(tbl_input[집계키_센터],ROW()-1),"")</f>
        <v/>
      </c>
      <c r="G1453" t="str">
        <f t="shared" si="158"/>
        <v/>
      </c>
      <c r="H1453" t="str">
        <f t="shared" si="159"/>
        <v/>
      </c>
      <c r="I1453" t="str">
        <f t="shared" si="160"/>
        <v/>
      </c>
    </row>
    <row r="1454" spans="1:9" x14ac:dyDescent="0.4">
      <c r="A1454" t="str">
        <f t="shared" si="154"/>
        <v/>
      </c>
      <c r="B1454" t="str">
        <f t="shared" si="155"/>
        <v/>
      </c>
      <c r="C1454" t="str">
        <f t="shared" si="156"/>
        <v/>
      </c>
      <c r="D1454" t="str">
        <f t="shared" si="157"/>
        <v/>
      </c>
      <c r="E1454" t="str">
        <f>IF(F1454="","",IF(COUNTIF($F$2:F1454,F1454)&gt;1,"",SUMIFS(tbl_input[필요수량],tbl_input[집계키_센터],F1454)))</f>
        <v/>
      </c>
      <c r="F1454" t="str">
        <f>IFERROR(INDEX(tbl_input[집계키_센터],ROW()-1),"")</f>
        <v/>
      </c>
      <c r="G1454" t="str">
        <f t="shared" si="158"/>
        <v/>
      </c>
      <c r="H1454" t="str">
        <f t="shared" si="159"/>
        <v/>
      </c>
      <c r="I1454" t="str">
        <f t="shared" si="160"/>
        <v/>
      </c>
    </row>
    <row r="1455" spans="1:9" x14ac:dyDescent="0.4">
      <c r="A1455" t="str">
        <f t="shared" si="154"/>
        <v/>
      </c>
      <c r="B1455" t="str">
        <f t="shared" si="155"/>
        <v/>
      </c>
      <c r="C1455" t="str">
        <f t="shared" si="156"/>
        <v/>
      </c>
      <c r="D1455" t="str">
        <f t="shared" si="157"/>
        <v/>
      </c>
      <c r="E1455" t="str">
        <f>IF(F1455="","",IF(COUNTIF($F$2:F1455,F1455)&gt;1,"",SUMIFS(tbl_input[필요수량],tbl_input[집계키_센터],F1455)))</f>
        <v/>
      </c>
      <c r="F1455" t="str">
        <f>IFERROR(INDEX(tbl_input[집계키_센터],ROW()-1),"")</f>
        <v/>
      </c>
      <c r="G1455" t="str">
        <f t="shared" si="158"/>
        <v/>
      </c>
      <c r="H1455" t="str">
        <f t="shared" si="159"/>
        <v/>
      </c>
      <c r="I1455" t="str">
        <f t="shared" si="160"/>
        <v/>
      </c>
    </row>
    <row r="1456" spans="1:9" x14ac:dyDescent="0.4">
      <c r="A1456" t="str">
        <f t="shared" si="154"/>
        <v/>
      </c>
      <c r="B1456" t="str">
        <f t="shared" si="155"/>
        <v/>
      </c>
      <c r="C1456" t="str">
        <f t="shared" si="156"/>
        <v/>
      </c>
      <c r="D1456" t="str">
        <f t="shared" si="157"/>
        <v/>
      </c>
      <c r="E1456" t="str">
        <f>IF(F1456="","",IF(COUNTIF($F$2:F1456,F1456)&gt;1,"",SUMIFS(tbl_input[필요수량],tbl_input[집계키_센터],F1456)))</f>
        <v/>
      </c>
      <c r="F1456" t="str">
        <f>IFERROR(INDEX(tbl_input[집계키_센터],ROW()-1),"")</f>
        <v/>
      </c>
      <c r="G1456" t="str">
        <f t="shared" si="158"/>
        <v/>
      </c>
      <c r="H1456" t="str">
        <f t="shared" si="159"/>
        <v/>
      </c>
      <c r="I1456" t="str">
        <f t="shared" si="160"/>
        <v/>
      </c>
    </row>
    <row r="1457" spans="1:9" x14ac:dyDescent="0.4">
      <c r="A1457" t="str">
        <f t="shared" si="154"/>
        <v/>
      </c>
      <c r="B1457" t="str">
        <f t="shared" si="155"/>
        <v/>
      </c>
      <c r="C1457" t="str">
        <f t="shared" si="156"/>
        <v/>
      </c>
      <c r="D1457" t="str">
        <f t="shared" si="157"/>
        <v/>
      </c>
      <c r="E1457" t="str">
        <f>IF(F1457="","",IF(COUNTIF($F$2:F1457,F1457)&gt;1,"",SUMIFS(tbl_input[필요수량],tbl_input[집계키_센터],F1457)))</f>
        <v/>
      </c>
      <c r="F1457" t="str">
        <f>IFERROR(INDEX(tbl_input[집계키_센터],ROW()-1),"")</f>
        <v/>
      </c>
      <c r="G1457" t="str">
        <f t="shared" si="158"/>
        <v/>
      </c>
      <c r="H1457" t="str">
        <f t="shared" si="159"/>
        <v/>
      </c>
      <c r="I1457" t="str">
        <f t="shared" si="160"/>
        <v/>
      </c>
    </row>
    <row r="1458" spans="1:9" x14ac:dyDescent="0.4">
      <c r="A1458" t="str">
        <f t="shared" si="154"/>
        <v/>
      </c>
      <c r="B1458" t="str">
        <f t="shared" si="155"/>
        <v/>
      </c>
      <c r="C1458" t="str">
        <f t="shared" si="156"/>
        <v/>
      </c>
      <c r="D1458" t="str">
        <f t="shared" si="157"/>
        <v/>
      </c>
      <c r="E1458" t="str">
        <f>IF(F1458="","",IF(COUNTIF($F$2:F1458,F1458)&gt;1,"",SUMIFS(tbl_input[필요수량],tbl_input[집계키_센터],F1458)))</f>
        <v/>
      </c>
      <c r="F1458" t="str">
        <f>IFERROR(INDEX(tbl_input[집계키_센터],ROW()-1),"")</f>
        <v/>
      </c>
      <c r="G1458" t="str">
        <f t="shared" si="158"/>
        <v/>
      </c>
      <c r="H1458" t="str">
        <f t="shared" si="159"/>
        <v/>
      </c>
      <c r="I1458" t="str">
        <f t="shared" si="160"/>
        <v/>
      </c>
    </row>
    <row r="1459" spans="1:9" x14ac:dyDescent="0.4">
      <c r="A1459" t="str">
        <f t="shared" si="154"/>
        <v/>
      </c>
      <c r="B1459" t="str">
        <f t="shared" si="155"/>
        <v/>
      </c>
      <c r="C1459" t="str">
        <f t="shared" si="156"/>
        <v/>
      </c>
      <c r="D1459" t="str">
        <f t="shared" si="157"/>
        <v/>
      </c>
      <c r="E1459" t="str">
        <f>IF(F1459="","",IF(COUNTIF($F$2:F1459,F1459)&gt;1,"",SUMIFS(tbl_input[필요수량],tbl_input[집계키_센터],F1459)))</f>
        <v/>
      </c>
      <c r="F1459" t="str">
        <f>IFERROR(INDEX(tbl_input[집계키_센터],ROW()-1),"")</f>
        <v/>
      </c>
      <c r="G1459" t="str">
        <f t="shared" si="158"/>
        <v/>
      </c>
      <c r="H1459" t="str">
        <f t="shared" si="159"/>
        <v/>
      </c>
      <c r="I1459" t="str">
        <f t="shared" si="160"/>
        <v/>
      </c>
    </row>
    <row r="1460" spans="1:9" x14ac:dyDescent="0.4">
      <c r="A1460" t="str">
        <f t="shared" si="154"/>
        <v/>
      </c>
      <c r="B1460" t="str">
        <f t="shared" si="155"/>
        <v/>
      </c>
      <c r="C1460" t="str">
        <f t="shared" si="156"/>
        <v/>
      </c>
      <c r="D1460" t="str">
        <f t="shared" si="157"/>
        <v/>
      </c>
      <c r="E1460" t="str">
        <f>IF(F1460="","",IF(COUNTIF($F$2:F1460,F1460)&gt;1,"",SUMIFS(tbl_input[필요수량],tbl_input[집계키_센터],F1460)))</f>
        <v/>
      </c>
      <c r="F1460" t="str">
        <f>IFERROR(INDEX(tbl_input[집계키_센터],ROW()-1),"")</f>
        <v/>
      </c>
      <c r="G1460" t="str">
        <f t="shared" si="158"/>
        <v/>
      </c>
      <c r="H1460" t="str">
        <f t="shared" si="159"/>
        <v/>
      </c>
      <c r="I1460" t="str">
        <f t="shared" si="160"/>
        <v/>
      </c>
    </row>
    <row r="1461" spans="1:9" x14ac:dyDescent="0.4">
      <c r="A1461" t="str">
        <f t="shared" si="154"/>
        <v/>
      </c>
      <c r="B1461" t="str">
        <f t="shared" si="155"/>
        <v/>
      </c>
      <c r="C1461" t="str">
        <f t="shared" si="156"/>
        <v/>
      </c>
      <c r="D1461" t="str">
        <f t="shared" si="157"/>
        <v/>
      </c>
      <c r="E1461" t="str">
        <f>IF(F1461="","",IF(COUNTIF($F$2:F1461,F1461)&gt;1,"",SUMIFS(tbl_input[필요수량],tbl_input[집계키_센터],F1461)))</f>
        <v/>
      </c>
      <c r="F1461" t="str">
        <f>IFERROR(INDEX(tbl_input[집계키_센터],ROW()-1),"")</f>
        <v/>
      </c>
      <c r="G1461" t="str">
        <f t="shared" si="158"/>
        <v/>
      </c>
      <c r="H1461" t="str">
        <f t="shared" si="159"/>
        <v/>
      </c>
      <c r="I1461" t="str">
        <f t="shared" si="160"/>
        <v/>
      </c>
    </row>
    <row r="1462" spans="1:9" x14ac:dyDescent="0.4">
      <c r="A1462" t="str">
        <f t="shared" si="154"/>
        <v/>
      </c>
      <c r="B1462" t="str">
        <f t="shared" si="155"/>
        <v/>
      </c>
      <c r="C1462" t="str">
        <f t="shared" si="156"/>
        <v/>
      </c>
      <c r="D1462" t="str">
        <f t="shared" si="157"/>
        <v/>
      </c>
      <c r="E1462" t="str">
        <f>IF(F1462="","",IF(COUNTIF($F$2:F1462,F1462)&gt;1,"",SUMIFS(tbl_input[필요수량],tbl_input[집계키_센터],F1462)))</f>
        <v/>
      </c>
      <c r="F1462" t="str">
        <f>IFERROR(INDEX(tbl_input[집계키_센터],ROW()-1),"")</f>
        <v/>
      </c>
      <c r="G1462" t="str">
        <f t="shared" si="158"/>
        <v/>
      </c>
      <c r="H1462" t="str">
        <f t="shared" si="159"/>
        <v/>
      </c>
      <c r="I1462" t="str">
        <f t="shared" si="160"/>
        <v/>
      </c>
    </row>
    <row r="1463" spans="1:9" x14ac:dyDescent="0.4">
      <c r="A1463" t="str">
        <f t="shared" si="154"/>
        <v/>
      </c>
      <c r="B1463" t="str">
        <f t="shared" si="155"/>
        <v/>
      </c>
      <c r="C1463" t="str">
        <f t="shared" si="156"/>
        <v/>
      </c>
      <c r="D1463" t="str">
        <f t="shared" si="157"/>
        <v/>
      </c>
      <c r="E1463" t="str">
        <f>IF(F1463="","",IF(COUNTIF($F$2:F1463,F1463)&gt;1,"",SUMIFS(tbl_input[필요수량],tbl_input[집계키_센터],F1463)))</f>
        <v/>
      </c>
      <c r="F1463" t="str">
        <f>IFERROR(INDEX(tbl_input[집계키_센터],ROW()-1),"")</f>
        <v/>
      </c>
      <c r="G1463" t="str">
        <f t="shared" si="158"/>
        <v/>
      </c>
      <c r="H1463" t="str">
        <f t="shared" si="159"/>
        <v/>
      </c>
      <c r="I1463" t="str">
        <f t="shared" si="160"/>
        <v/>
      </c>
    </row>
    <row r="1464" spans="1:9" x14ac:dyDescent="0.4">
      <c r="A1464" t="str">
        <f t="shared" si="154"/>
        <v/>
      </c>
      <c r="B1464" t="str">
        <f t="shared" si="155"/>
        <v/>
      </c>
      <c r="C1464" t="str">
        <f t="shared" si="156"/>
        <v/>
      </c>
      <c r="D1464" t="str">
        <f t="shared" si="157"/>
        <v/>
      </c>
      <c r="E1464" t="str">
        <f>IF(F1464="","",IF(COUNTIF($F$2:F1464,F1464)&gt;1,"",SUMIFS(tbl_input[필요수량],tbl_input[집계키_센터],F1464)))</f>
        <v/>
      </c>
      <c r="F1464" t="str">
        <f>IFERROR(INDEX(tbl_input[집계키_센터],ROW()-1),"")</f>
        <v/>
      </c>
      <c r="G1464" t="str">
        <f t="shared" si="158"/>
        <v/>
      </c>
      <c r="H1464" t="str">
        <f t="shared" si="159"/>
        <v/>
      </c>
      <c r="I1464" t="str">
        <f t="shared" si="160"/>
        <v/>
      </c>
    </row>
    <row r="1465" spans="1:9" x14ac:dyDescent="0.4">
      <c r="A1465" t="str">
        <f t="shared" si="154"/>
        <v/>
      </c>
      <c r="B1465" t="str">
        <f t="shared" si="155"/>
        <v/>
      </c>
      <c r="C1465" t="str">
        <f t="shared" si="156"/>
        <v/>
      </c>
      <c r="D1465" t="str">
        <f t="shared" si="157"/>
        <v/>
      </c>
      <c r="E1465" t="str">
        <f>IF(F1465="","",IF(COUNTIF($F$2:F1465,F1465)&gt;1,"",SUMIFS(tbl_input[필요수량],tbl_input[집계키_센터],F1465)))</f>
        <v/>
      </c>
      <c r="F1465" t="str">
        <f>IFERROR(INDEX(tbl_input[집계키_센터],ROW()-1),"")</f>
        <v/>
      </c>
      <c r="G1465" t="str">
        <f t="shared" si="158"/>
        <v/>
      </c>
      <c r="H1465" t="str">
        <f t="shared" si="159"/>
        <v/>
      </c>
      <c r="I1465" t="str">
        <f t="shared" si="160"/>
        <v/>
      </c>
    </row>
    <row r="1466" spans="1:9" x14ac:dyDescent="0.4">
      <c r="A1466" t="str">
        <f t="shared" si="154"/>
        <v/>
      </c>
      <c r="B1466" t="str">
        <f t="shared" si="155"/>
        <v/>
      </c>
      <c r="C1466" t="str">
        <f t="shared" si="156"/>
        <v/>
      </c>
      <c r="D1466" t="str">
        <f t="shared" si="157"/>
        <v/>
      </c>
      <c r="E1466" t="str">
        <f>IF(F1466="","",IF(COUNTIF($F$2:F1466,F1466)&gt;1,"",SUMIFS(tbl_input[필요수량],tbl_input[집계키_센터],F1466)))</f>
        <v/>
      </c>
      <c r="F1466" t="str">
        <f>IFERROR(INDEX(tbl_input[집계키_센터],ROW()-1),"")</f>
        <v/>
      </c>
      <c r="G1466" t="str">
        <f t="shared" si="158"/>
        <v/>
      </c>
      <c r="H1466" t="str">
        <f t="shared" si="159"/>
        <v/>
      </c>
      <c r="I1466" t="str">
        <f t="shared" si="160"/>
        <v/>
      </c>
    </row>
    <row r="1467" spans="1:9" x14ac:dyDescent="0.4">
      <c r="A1467" t="str">
        <f t="shared" si="154"/>
        <v/>
      </c>
      <c r="B1467" t="str">
        <f t="shared" si="155"/>
        <v/>
      </c>
      <c r="C1467" t="str">
        <f t="shared" si="156"/>
        <v/>
      </c>
      <c r="D1467" t="str">
        <f t="shared" si="157"/>
        <v/>
      </c>
      <c r="E1467" t="str">
        <f>IF(F1467="","",IF(COUNTIF($F$2:F1467,F1467)&gt;1,"",SUMIFS(tbl_input[필요수량],tbl_input[집계키_센터],F1467)))</f>
        <v/>
      </c>
      <c r="F1467" t="str">
        <f>IFERROR(INDEX(tbl_input[집계키_센터],ROW()-1),"")</f>
        <v/>
      </c>
      <c r="G1467" t="str">
        <f t="shared" si="158"/>
        <v/>
      </c>
      <c r="H1467" t="str">
        <f t="shared" si="159"/>
        <v/>
      </c>
      <c r="I1467" t="str">
        <f t="shared" si="160"/>
        <v/>
      </c>
    </row>
    <row r="1468" spans="1:9" x14ac:dyDescent="0.4">
      <c r="A1468" t="str">
        <f t="shared" si="154"/>
        <v/>
      </c>
      <c r="B1468" t="str">
        <f t="shared" si="155"/>
        <v/>
      </c>
      <c r="C1468" t="str">
        <f t="shared" si="156"/>
        <v/>
      </c>
      <c r="D1468" t="str">
        <f t="shared" si="157"/>
        <v/>
      </c>
      <c r="E1468" t="str">
        <f>IF(F1468="","",IF(COUNTIF($F$2:F1468,F1468)&gt;1,"",SUMIFS(tbl_input[필요수량],tbl_input[집계키_센터],F1468)))</f>
        <v/>
      </c>
      <c r="F1468" t="str">
        <f>IFERROR(INDEX(tbl_input[집계키_센터],ROW()-1),"")</f>
        <v/>
      </c>
      <c r="G1468" t="str">
        <f t="shared" si="158"/>
        <v/>
      </c>
      <c r="H1468" t="str">
        <f t="shared" si="159"/>
        <v/>
      </c>
      <c r="I1468" t="str">
        <f t="shared" si="160"/>
        <v/>
      </c>
    </row>
    <row r="1469" spans="1:9" x14ac:dyDescent="0.4">
      <c r="A1469" t="str">
        <f t="shared" si="154"/>
        <v/>
      </c>
      <c r="B1469" t="str">
        <f t="shared" si="155"/>
        <v/>
      </c>
      <c r="C1469" t="str">
        <f t="shared" si="156"/>
        <v/>
      </c>
      <c r="D1469" t="str">
        <f t="shared" si="157"/>
        <v/>
      </c>
      <c r="E1469" t="str">
        <f>IF(F1469="","",IF(COUNTIF($F$2:F1469,F1469)&gt;1,"",SUMIFS(tbl_input[필요수량],tbl_input[집계키_센터],F1469)))</f>
        <v/>
      </c>
      <c r="F1469" t="str">
        <f>IFERROR(INDEX(tbl_input[집계키_센터],ROW()-1),"")</f>
        <v/>
      </c>
      <c r="G1469" t="str">
        <f t="shared" si="158"/>
        <v/>
      </c>
      <c r="H1469" t="str">
        <f t="shared" si="159"/>
        <v/>
      </c>
      <c r="I1469" t="str">
        <f t="shared" si="160"/>
        <v/>
      </c>
    </row>
    <row r="1470" spans="1:9" x14ac:dyDescent="0.4">
      <c r="A1470" t="str">
        <f t="shared" si="154"/>
        <v/>
      </c>
      <c r="B1470" t="str">
        <f t="shared" si="155"/>
        <v/>
      </c>
      <c r="C1470" t="str">
        <f t="shared" si="156"/>
        <v/>
      </c>
      <c r="D1470" t="str">
        <f t="shared" si="157"/>
        <v/>
      </c>
      <c r="E1470" t="str">
        <f>IF(F1470="","",IF(COUNTIF($F$2:F1470,F1470)&gt;1,"",SUMIFS(tbl_input[필요수량],tbl_input[집계키_센터],F1470)))</f>
        <v/>
      </c>
      <c r="F1470" t="str">
        <f>IFERROR(INDEX(tbl_input[집계키_센터],ROW()-1),"")</f>
        <v/>
      </c>
      <c r="G1470" t="str">
        <f t="shared" si="158"/>
        <v/>
      </c>
      <c r="H1470" t="str">
        <f t="shared" si="159"/>
        <v/>
      </c>
      <c r="I1470" t="str">
        <f t="shared" si="160"/>
        <v/>
      </c>
    </row>
    <row r="1471" spans="1:9" x14ac:dyDescent="0.4">
      <c r="A1471" t="str">
        <f t="shared" si="154"/>
        <v/>
      </c>
      <c r="B1471" t="str">
        <f t="shared" si="155"/>
        <v/>
      </c>
      <c r="C1471" t="str">
        <f t="shared" si="156"/>
        <v/>
      </c>
      <c r="D1471" t="str">
        <f t="shared" si="157"/>
        <v/>
      </c>
      <c r="E1471" t="str">
        <f>IF(F1471="","",IF(COUNTIF($F$2:F1471,F1471)&gt;1,"",SUMIFS(tbl_input[필요수량],tbl_input[집계키_센터],F1471)))</f>
        <v/>
      </c>
      <c r="F1471" t="str">
        <f>IFERROR(INDEX(tbl_input[집계키_센터],ROW()-1),"")</f>
        <v/>
      </c>
      <c r="G1471" t="str">
        <f t="shared" si="158"/>
        <v/>
      </c>
      <c r="H1471" t="str">
        <f t="shared" si="159"/>
        <v/>
      </c>
      <c r="I1471" t="str">
        <f t="shared" si="160"/>
        <v/>
      </c>
    </row>
    <row r="1472" spans="1:9" x14ac:dyDescent="0.4">
      <c r="A1472" t="str">
        <f t="shared" si="154"/>
        <v/>
      </c>
      <c r="B1472" t="str">
        <f t="shared" si="155"/>
        <v/>
      </c>
      <c r="C1472" t="str">
        <f t="shared" si="156"/>
        <v/>
      </c>
      <c r="D1472" t="str">
        <f t="shared" si="157"/>
        <v/>
      </c>
      <c r="E1472" t="str">
        <f>IF(F1472="","",IF(COUNTIF($F$2:F1472,F1472)&gt;1,"",SUMIFS(tbl_input[필요수량],tbl_input[집계키_센터],F1472)))</f>
        <v/>
      </c>
      <c r="F1472" t="str">
        <f>IFERROR(INDEX(tbl_input[집계키_센터],ROW()-1),"")</f>
        <v/>
      </c>
      <c r="G1472" t="str">
        <f t="shared" si="158"/>
        <v/>
      </c>
      <c r="H1472" t="str">
        <f t="shared" si="159"/>
        <v/>
      </c>
      <c r="I1472" t="str">
        <f t="shared" si="160"/>
        <v/>
      </c>
    </row>
    <row r="1473" spans="1:9" x14ac:dyDescent="0.4">
      <c r="A1473" t="str">
        <f t="shared" si="154"/>
        <v/>
      </c>
      <c r="B1473" t="str">
        <f t="shared" si="155"/>
        <v/>
      </c>
      <c r="C1473" t="str">
        <f t="shared" si="156"/>
        <v/>
      </c>
      <c r="D1473" t="str">
        <f t="shared" si="157"/>
        <v/>
      </c>
      <c r="E1473" t="str">
        <f>IF(F1473="","",IF(COUNTIF($F$2:F1473,F1473)&gt;1,"",SUMIFS(tbl_input[필요수량],tbl_input[집계키_센터],F1473)))</f>
        <v/>
      </c>
      <c r="F1473" t="str">
        <f>IFERROR(INDEX(tbl_input[집계키_센터],ROW()-1),"")</f>
        <v/>
      </c>
      <c r="G1473" t="str">
        <f t="shared" si="158"/>
        <v/>
      </c>
      <c r="H1473" t="str">
        <f t="shared" si="159"/>
        <v/>
      </c>
      <c r="I1473" t="str">
        <f t="shared" si="160"/>
        <v/>
      </c>
    </row>
    <row r="1474" spans="1:9" x14ac:dyDescent="0.4">
      <c r="A1474" t="str">
        <f t="shared" ref="A1474:A1537" si="161">IF(F1474="","",LEFT(F1474,G1474-1))</f>
        <v/>
      </c>
      <c r="B1474" t="str">
        <f t="shared" ref="B1474:B1537" si="162">IF(F1474="","",MID(F1474,G1474+1,H1474-G1474-1))</f>
        <v/>
      </c>
      <c r="C1474" t="str">
        <f t="shared" ref="C1474:C1537" si="163">IF(F1474="","",MID(F1474,H1474+1,I1474-H1474-1))</f>
        <v/>
      </c>
      <c r="D1474" t="str">
        <f t="shared" ref="D1474:D1537" si="164">IF(F1474="","",MID(F1474,I1474+1,999))</f>
        <v/>
      </c>
      <c r="E1474" t="str">
        <f>IF(F1474="","",IF(COUNTIF($F$2:F1474,F1474)&gt;1,"",SUMIFS(tbl_input[필요수량],tbl_input[집계키_센터],F1474)))</f>
        <v/>
      </c>
      <c r="F1474" t="str">
        <f>IFERROR(INDEX(tbl_input[집계키_센터],ROW()-1),"")</f>
        <v/>
      </c>
      <c r="G1474" t="str">
        <f t="shared" ref="G1474:G1537" si="165">IF(F1474="","",FIND("♦",F1474))</f>
        <v/>
      </c>
      <c r="H1474" t="str">
        <f t="shared" ref="H1474:H1537" si="166">IF(F1474="","",FIND("♦",F1474,G1474+1))</f>
        <v/>
      </c>
      <c r="I1474" t="str">
        <f t="shared" ref="I1474:I1537" si="167">IF(F1474="","",FIND("♦",F1474,H1474+1))</f>
        <v/>
      </c>
    </row>
    <row r="1475" spans="1:9" x14ac:dyDescent="0.4">
      <c r="A1475" t="str">
        <f t="shared" si="161"/>
        <v/>
      </c>
      <c r="B1475" t="str">
        <f t="shared" si="162"/>
        <v/>
      </c>
      <c r="C1475" t="str">
        <f t="shared" si="163"/>
        <v/>
      </c>
      <c r="D1475" t="str">
        <f t="shared" si="164"/>
        <v/>
      </c>
      <c r="E1475" t="str">
        <f>IF(F1475="","",IF(COUNTIF($F$2:F1475,F1475)&gt;1,"",SUMIFS(tbl_input[필요수량],tbl_input[집계키_센터],F1475)))</f>
        <v/>
      </c>
      <c r="F1475" t="str">
        <f>IFERROR(INDEX(tbl_input[집계키_센터],ROW()-1),"")</f>
        <v/>
      </c>
      <c r="G1475" t="str">
        <f t="shared" si="165"/>
        <v/>
      </c>
      <c r="H1475" t="str">
        <f t="shared" si="166"/>
        <v/>
      </c>
      <c r="I1475" t="str">
        <f t="shared" si="167"/>
        <v/>
      </c>
    </row>
    <row r="1476" spans="1:9" x14ac:dyDescent="0.4">
      <c r="A1476" t="str">
        <f t="shared" si="161"/>
        <v/>
      </c>
      <c r="B1476" t="str">
        <f t="shared" si="162"/>
        <v/>
      </c>
      <c r="C1476" t="str">
        <f t="shared" si="163"/>
        <v/>
      </c>
      <c r="D1476" t="str">
        <f t="shared" si="164"/>
        <v/>
      </c>
      <c r="E1476" t="str">
        <f>IF(F1476="","",IF(COUNTIF($F$2:F1476,F1476)&gt;1,"",SUMIFS(tbl_input[필요수량],tbl_input[집계키_센터],F1476)))</f>
        <v/>
      </c>
      <c r="F1476" t="str">
        <f>IFERROR(INDEX(tbl_input[집계키_센터],ROW()-1),"")</f>
        <v/>
      </c>
      <c r="G1476" t="str">
        <f t="shared" si="165"/>
        <v/>
      </c>
      <c r="H1476" t="str">
        <f t="shared" si="166"/>
        <v/>
      </c>
      <c r="I1476" t="str">
        <f t="shared" si="167"/>
        <v/>
      </c>
    </row>
    <row r="1477" spans="1:9" x14ac:dyDescent="0.4">
      <c r="A1477" t="str">
        <f t="shared" si="161"/>
        <v/>
      </c>
      <c r="B1477" t="str">
        <f t="shared" si="162"/>
        <v/>
      </c>
      <c r="C1477" t="str">
        <f t="shared" si="163"/>
        <v/>
      </c>
      <c r="D1477" t="str">
        <f t="shared" si="164"/>
        <v/>
      </c>
      <c r="E1477" t="str">
        <f>IF(F1477="","",IF(COUNTIF($F$2:F1477,F1477)&gt;1,"",SUMIFS(tbl_input[필요수량],tbl_input[집계키_센터],F1477)))</f>
        <v/>
      </c>
      <c r="F1477" t="str">
        <f>IFERROR(INDEX(tbl_input[집계키_센터],ROW()-1),"")</f>
        <v/>
      </c>
      <c r="G1477" t="str">
        <f t="shared" si="165"/>
        <v/>
      </c>
      <c r="H1477" t="str">
        <f t="shared" si="166"/>
        <v/>
      </c>
      <c r="I1477" t="str">
        <f t="shared" si="167"/>
        <v/>
      </c>
    </row>
    <row r="1478" spans="1:9" x14ac:dyDescent="0.4">
      <c r="A1478" t="str">
        <f t="shared" si="161"/>
        <v/>
      </c>
      <c r="B1478" t="str">
        <f t="shared" si="162"/>
        <v/>
      </c>
      <c r="C1478" t="str">
        <f t="shared" si="163"/>
        <v/>
      </c>
      <c r="D1478" t="str">
        <f t="shared" si="164"/>
        <v/>
      </c>
      <c r="E1478" t="str">
        <f>IF(F1478="","",IF(COUNTIF($F$2:F1478,F1478)&gt;1,"",SUMIFS(tbl_input[필요수량],tbl_input[집계키_센터],F1478)))</f>
        <v/>
      </c>
      <c r="F1478" t="str">
        <f>IFERROR(INDEX(tbl_input[집계키_센터],ROW()-1),"")</f>
        <v/>
      </c>
      <c r="G1478" t="str">
        <f t="shared" si="165"/>
        <v/>
      </c>
      <c r="H1478" t="str">
        <f t="shared" si="166"/>
        <v/>
      </c>
      <c r="I1478" t="str">
        <f t="shared" si="167"/>
        <v/>
      </c>
    </row>
    <row r="1479" spans="1:9" x14ac:dyDescent="0.4">
      <c r="A1479" t="str">
        <f t="shared" si="161"/>
        <v/>
      </c>
      <c r="B1479" t="str">
        <f t="shared" si="162"/>
        <v/>
      </c>
      <c r="C1479" t="str">
        <f t="shared" si="163"/>
        <v/>
      </c>
      <c r="D1479" t="str">
        <f t="shared" si="164"/>
        <v/>
      </c>
      <c r="E1479" t="str">
        <f>IF(F1479="","",IF(COUNTIF($F$2:F1479,F1479)&gt;1,"",SUMIFS(tbl_input[필요수량],tbl_input[집계키_센터],F1479)))</f>
        <v/>
      </c>
      <c r="F1479" t="str">
        <f>IFERROR(INDEX(tbl_input[집계키_센터],ROW()-1),"")</f>
        <v/>
      </c>
      <c r="G1479" t="str">
        <f t="shared" si="165"/>
        <v/>
      </c>
      <c r="H1479" t="str">
        <f t="shared" si="166"/>
        <v/>
      </c>
      <c r="I1479" t="str">
        <f t="shared" si="167"/>
        <v/>
      </c>
    </row>
    <row r="1480" spans="1:9" x14ac:dyDescent="0.4">
      <c r="A1480" t="str">
        <f t="shared" si="161"/>
        <v/>
      </c>
      <c r="B1480" t="str">
        <f t="shared" si="162"/>
        <v/>
      </c>
      <c r="C1480" t="str">
        <f t="shared" si="163"/>
        <v/>
      </c>
      <c r="D1480" t="str">
        <f t="shared" si="164"/>
        <v/>
      </c>
      <c r="E1480" t="str">
        <f>IF(F1480="","",IF(COUNTIF($F$2:F1480,F1480)&gt;1,"",SUMIFS(tbl_input[필요수량],tbl_input[집계키_센터],F1480)))</f>
        <v/>
      </c>
      <c r="F1480" t="str">
        <f>IFERROR(INDEX(tbl_input[집계키_센터],ROW()-1),"")</f>
        <v/>
      </c>
      <c r="G1480" t="str">
        <f t="shared" si="165"/>
        <v/>
      </c>
      <c r="H1480" t="str">
        <f t="shared" si="166"/>
        <v/>
      </c>
      <c r="I1480" t="str">
        <f t="shared" si="167"/>
        <v/>
      </c>
    </row>
    <row r="1481" spans="1:9" x14ac:dyDescent="0.4">
      <c r="A1481" t="str">
        <f t="shared" si="161"/>
        <v/>
      </c>
      <c r="B1481" t="str">
        <f t="shared" si="162"/>
        <v/>
      </c>
      <c r="C1481" t="str">
        <f t="shared" si="163"/>
        <v/>
      </c>
      <c r="D1481" t="str">
        <f t="shared" si="164"/>
        <v/>
      </c>
      <c r="E1481" t="str">
        <f>IF(F1481="","",IF(COUNTIF($F$2:F1481,F1481)&gt;1,"",SUMIFS(tbl_input[필요수량],tbl_input[집계키_센터],F1481)))</f>
        <v/>
      </c>
      <c r="F1481" t="str">
        <f>IFERROR(INDEX(tbl_input[집계키_센터],ROW()-1),"")</f>
        <v/>
      </c>
      <c r="G1481" t="str">
        <f t="shared" si="165"/>
        <v/>
      </c>
      <c r="H1481" t="str">
        <f t="shared" si="166"/>
        <v/>
      </c>
      <c r="I1481" t="str">
        <f t="shared" si="167"/>
        <v/>
      </c>
    </row>
    <row r="1482" spans="1:9" x14ac:dyDescent="0.4">
      <c r="A1482" t="str">
        <f t="shared" si="161"/>
        <v/>
      </c>
      <c r="B1482" t="str">
        <f t="shared" si="162"/>
        <v/>
      </c>
      <c r="C1482" t="str">
        <f t="shared" si="163"/>
        <v/>
      </c>
      <c r="D1482" t="str">
        <f t="shared" si="164"/>
        <v/>
      </c>
      <c r="E1482" t="str">
        <f>IF(F1482="","",IF(COUNTIF($F$2:F1482,F1482)&gt;1,"",SUMIFS(tbl_input[필요수량],tbl_input[집계키_센터],F1482)))</f>
        <v/>
      </c>
      <c r="F1482" t="str">
        <f>IFERROR(INDEX(tbl_input[집계키_센터],ROW()-1),"")</f>
        <v/>
      </c>
      <c r="G1482" t="str">
        <f t="shared" si="165"/>
        <v/>
      </c>
      <c r="H1482" t="str">
        <f t="shared" si="166"/>
        <v/>
      </c>
      <c r="I1482" t="str">
        <f t="shared" si="167"/>
        <v/>
      </c>
    </row>
    <row r="1483" spans="1:9" x14ac:dyDescent="0.4">
      <c r="A1483" t="str">
        <f t="shared" si="161"/>
        <v/>
      </c>
      <c r="B1483" t="str">
        <f t="shared" si="162"/>
        <v/>
      </c>
      <c r="C1483" t="str">
        <f t="shared" si="163"/>
        <v/>
      </c>
      <c r="D1483" t="str">
        <f t="shared" si="164"/>
        <v/>
      </c>
      <c r="E1483" t="str">
        <f>IF(F1483="","",IF(COUNTIF($F$2:F1483,F1483)&gt;1,"",SUMIFS(tbl_input[필요수량],tbl_input[집계키_센터],F1483)))</f>
        <v/>
      </c>
      <c r="F1483" t="str">
        <f>IFERROR(INDEX(tbl_input[집계키_센터],ROW()-1),"")</f>
        <v/>
      </c>
      <c r="G1483" t="str">
        <f t="shared" si="165"/>
        <v/>
      </c>
      <c r="H1483" t="str">
        <f t="shared" si="166"/>
        <v/>
      </c>
      <c r="I1483" t="str">
        <f t="shared" si="167"/>
        <v/>
      </c>
    </row>
    <row r="1484" spans="1:9" x14ac:dyDescent="0.4">
      <c r="A1484" t="str">
        <f t="shared" si="161"/>
        <v/>
      </c>
      <c r="B1484" t="str">
        <f t="shared" si="162"/>
        <v/>
      </c>
      <c r="C1484" t="str">
        <f t="shared" si="163"/>
        <v/>
      </c>
      <c r="D1484" t="str">
        <f t="shared" si="164"/>
        <v/>
      </c>
      <c r="E1484" t="str">
        <f>IF(F1484="","",IF(COUNTIF($F$2:F1484,F1484)&gt;1,"",SUMIFS(tbl_input[필요수량],tbl_input[집계키_센터],F1484)))</f>
        <v/>
      </c>
      <c r="F1484" t="str">
        <f>IFERROR(INDEX(tbl_input[집계키_센터],ROW()-1),"")</f>
        <v/>
      </c>
      <c r="G1484" t="str">
        <f t="shared" si="165"/>
        <v/>
      </c>
      <c r="H1484" t="str">
        <f t="shared" si="166"/>
        <v/>
      </c>
      <c r="I1484" t="str">
        <f t="shared" si="167"/>
        <v/>
      </c>
    </row>
    <row r="1485" spans="1:9" x14ac:dyDescent="0.4">
      <c r="A1485" t="str">
        <f t="shared" si="161"/>
        <v/>
      </c>
      <c r="B1485" t="str">
        <f t="shared" si="162"/>
        <v/>
      </c>
      <c r="C1485" t="str">
        <f t="shared" si="163"/>
        <v/>
      </c>
      <c r="D1485" t="str">
        <f t="shared" si="164"/>
        <v/>
      </c>
      <c r="E1485" t="str">
        <f>IF(F1485="","",IF(COUNTIF($F$2:F1485,F1485)&gt;1,"",SUMIFS(tbl_input[필요수량],tbl_input[집계키_센터],F1485)))</f>
        <v/>
      </c>
      <c r="F1485" t="str">
        <f>IFERROR(INDEX(tbl_input[집계키_센터],ROW()-1),"")</f>
        <v/>
      </c>
      <c r="G1485" t="str">
        <f t="shared" si="165"/>
        <v/>
      </c>
      <c r="H1485" t="str">
        <f t="shared" si="166"/>
        <v/>
      </c>
      <c r="I1485" t="str">
        <f t="shared" si="167"/>
        <v/>
      </c>
    </row>
    <row r="1486" spans="1:9" x14ac:dyDescent="0.4">
      <c r="A1486" t="str">
        <f t="shared" si="161"/>
        <v/>
      </c>
      <c r="B1486" t="str">
        <f t="shared" si="162"/>
        <v/>
      </c>
      <c r="C1486" t="str">
        <f t="shared" si="163"/>
        <v/>
      </c>
      <c r="D1486" t="str">
        <f t="shared" si="164"/>
        <v/>
      </c>
      <c r="E1486" t="str">
        <f>IF(F1486="","",IF(COUNTIF($F$2:F1486,F1486)&gt;1,"",SUMIFS(tbl_input[필요수량],tbl_input[집계키_센터],F1486)))</f>
        <v/>
      </c>
      <c r="F1486" t="str">
        <f>IFERROR(INDEX(tbl_input[집계키_센터],ROW()-1),"")</f>
        <v/>
      </c>
      <c r="G1486" t="str">
        <f t="shared" si="165"/>
        <v/>
      </c>
      <c r="H1486" t="str">
        <f t="shared" si="166"/>
        <v/>
      </c>
      <c r="I1486" t="str">
        <f t="shared" si="167"/>
        <v/>
      </c>
    </row>
    <row r="1487" spans="1:9" x14ac:dyDescent="0.4">
      <c r="A1487" t="str">
        <f t="shared" si="161"/>
        <v/>
      </c>
      <c r="B1487" t="str">
        <f t="shared" si="162"/>
        <v/>
      </c>
      <c r="C1487" t="str">
        <f t="shared" si="163"/>
        <v/>
      </c>
      <c r="D1487" t="str">
        <f t="shared" si="164"/>
        <v/>
      </c>
      <c r="E1487" t="str">
        <f>IF(F1487="","",IF(COUNTIF($F$2:F1487,F1487)&gt;1,"",SUMIFS(tbl_input[필요수량],tbl_input[집계키_센터],F1487)))</f>
        <v/>
      </c>
      <c r="F1487" t="str">
        <f>IFERROR(INDEX(tbl_input[집계키_센터],ROW()-1),"")</f>
        <v/>
      </c>
      <c r="G1487" t="str">
        <f t="shared" si="165"/>
        <v/>
      </c>
      <c r="H1487" t="str">
        <f t="shared" si="166"/>
        <v/>
      </c>
      <c r="I1487" t="str">
        <f t="shared" si="167"/>
        <v/>
      </c>
    </row>
    <row r="1488" spans="1:9" x14ac:dyDescent="0.4">
      <c r="A1488" t="str">
        <f t="shared" si="161"/>
        <v/>
      </c>
      <c r="B1488" t="str">
        <f t="shared" si="162"/>
        <v/>
      </c>
      <c r="C1488" t="str">
        <f t="shared" si="163"/>
        <v/>
      </c>
      <c r="D1488" t="str">
        <f t="shared" si="164"/>
        <v/>
      </c>
      <c r="E1488" t="str">
        <f>IF(F1488="","",IF(COUNTIF($F$2:F1488,F1488)&gt;1,"",SUMIFS(tbl_input[필요수량],tbl_input[집계키_센터],F1488)))</f>
        <v/>
      </c>
      <c r="F1488" t="str">
        <f>IFERROR(INDEX(tbl_input[집계키_센터],ROW()-1),"")</f>
        <v/>
      </c>
      <c r="G1488" t="str">
        <f t="shared" si="165"/>
        <v/>
      </c>
      <c r="H1488" t="str">
        <f t="shared" si="166"/>
        <v/>
      </c>
      <c r="I1488" t="str">
        <f t="shared" si="167"/>
        <v/>
      </c>
    </row>
    <row r="1489" spans="1:9" x14ac:dyDescent="0.4">
      <c r="A1489" t="str">
        <f t="shared" si="161"/>
        <v/>
      </c>
      <c r="B1489" t="str">
        <f t="shared" si="162"/>
        <v/>
      </c>
      <c r="C1489" t="str">
        <f t="shared" si="163"/>
        <v/>
      </c>
      <c r="D1489" t="str">
        <f t="shared" si="164"/>
        <v/>
      </c>
      <c r="E1489" t="str">
        <f>IF(F1489="","",IF(COUNTIF($F$2:F1489,F1489)&gt;1,"",SUMIFS(tbl_input[필요수량],tbl_input[집계키_센터],F1489)))</f>
        <v/>
      </c>
      <c r="F1489" t="str">
        <f>IFERROR(INDEX(tbl_input[집계키_센터],ROW()-1),"")</f>
        <v/>
      </c>
      <c r="G1489" t="str">
        <f t="shared" si="165"/>
        <v/>
      </c>
      <c r="H1489" t="str">
        <f t="shared" si="166"/>
        <v/>
      </c>
      <c r="I1489" t="str">
        <f t="shared" si="167"/>
        <v/>
      </c>
    </row>
    <row r="1490" spans="1:9" x14ac:dyDescent="0.4">
      <c r="A1490" t="str">
        <f t="shared" si="161"/>
        <v/>
      </c>
      <c r="B1490" t="str">
        <f t="shared" si="162"/>
        <v/>
      </c>
      <c r="C1490" t="str">
        <f t="shared" si="163"/>
        <v/>
      </c>
      <c r="D1490" t="str">
        <f t="shared" si="164"/>
        <v/>
      </c>
      <c r="E1490" t="str">
        <f>IF(F1490="","",IF(COUNTIF($F$2:F1490,F1490)&gt;1,"",SUMIFS(tbl_input[필요수량],tbl_input[집계키_센터],F1490)))</f>
        <v/>
      </c>
      <c r="F1490" t="str">
        <f>IFERROR(INDEX(tbl_input[집계키_센터],ROW()-1),"")</f>
        <v/>
      </c>
      <c r="G1490" t="str">
        <f t="shared" si="165"/>
        <v/>
      </c>
      <c r="H1490" t="str">
        <f t="shared" si="166"/>
        <v/>
      </c>
      <c r="I1490" t="str">
        <f t="shared" si="167"/>
        <v/>
      </c>
    </row>
    <row r="1491" spans="1:9" x14ac:dyDescent="0.4">
      <c r="A1491" t="str">
        <f t="shared" si="161"/>
        <v/>
      </c>
      <c r="B1491" t="str">
        <f t="shared" si="162"/>
        <v/>
      </c>
      <c r="C1491" t="str">
        <f t="shared" si="163"/>
        <v/>
      </c>
      <c r="D1491" t="str">
        <f t="shared" si="164"/>
        <v/>
      </c>
      <c r="E1491" t="str">
        <f>IF(F1491="","",IF(COUNTIF($F$2:F1491,F1491)&gt;1,"",SUMIFS(tbl_input[필요수량],tbl_input[집계키_센터],F1491)))</f>
        <v/>
      </c>
      <c r="F1491" t="str">
        <f>IFERROR(INDEX(tbl_input[집계키_센터],ROW()-1),"")</f>
        <v/>
      </c>
      <c r="G1491" t="str">
        <f t="shared" si="165"/>
        <v/>
      </c>
      <c r="H1491" t="str">
        <f t="shared" si="166"/>
        <v/>
      </c>
      <c r="I1491" t="str">
        <f t="shared" si="167"/>
        <v/>
      </c>
    </row>
    <row r="1492" spans="1:9" x14ac:dyDescent="0.4">
      <c r="A1492" t="str">
        <f t="shared" si="161"/>
        <v/>
      </c>
      <c r="B1492" t="str">
        <f t="shared" si="162"/>
        <v/>
      </c>
      <c r="C1492" t="str">
        <f t="shared" si="163"/>
        <v/>
      </c>
      <c r="D1492" t="str">
        <f t="shared" si="164"/>
        <v/>
      </c>
      <c r="E1492" t="str">
        <f>IF(F1492="","",IF(COUNTIF($F$2:F1492,F1492)&gt;1,"",SUMIFS(tbl_input[필요수량],tbl_input[집계키_센터],F1492)))</f>
        <v/>
      </c>
      <c r="F1492" t="str">
        <f>IFERROR(INDEX(tbl_input[집계키_센터],ROW()-1),"")</f>
        <v/>
      </c>
      <c r="G1492" t="str">
        <f t="shared" si="165"/>
        <v/>
      </c>
      <c r="H1492" t="str">
        <f t="shared" si="166"/>
        <v/>
      </c>
      <c r="I1492" t="str">
        <f t="shared" si="167"/>
        <v/>
      </c>
    </row>
    <row r="1493" spans="1:9" x14ac:dyDescent="0.4">
      <c r="A1493" t="str">
        <f t="shared" si="161"/>
        <v/>
      </c>
      <c r="B1493" t="str">
        <f t="shared" si="162"/>
        <v/>
      </c>
      <c r="C1493" t="str">
        <f t="shared" si="163"/>
        <v/>
      </c>
      <c r="D1493" t="str">
        <f t="shared" si="164"/>
        <v/>
      </c>
      <c r="E1493" t="str">
        <f>IF(F1493="","",IF(COUNTIF($F$2:F1493,F1493)&gt;1,"",SUMIFS(tbl_input[필요수량],tbl_input[집계키_센터],F1493)))</f>
        <v/>
      </c>
      <c r="F1493" t="str">
        <f>IFERROR(INDEX(tbl_input[집계키_센터],ROW()-1),"")</f>
        <v/>
      </c>
      <c r="G1493" t="str">
        <f t="shared" si="165"/>
        <v/>
      </c>
      <c r="H1493" t="str">
        <f t="shared" si="166"/>
        <v/>
      </c>
      <c r="I1493" t="str">
        <f t="shared" si="167"/>
        <v/>
      </c>
    </row>
    <row r="1494" spans="1:9" x14ac:dyDescent="0.4">
      <c r="A1494" t="str">
        <f t="shared" si="161"/>
        <v/>
      </c>
      <c r="B1494" t="str">
        <f t="shared" si="162"/>
        <v/>
      </c>
      <c r="C1494" t="str">
        <f t="shared" si="163"/>
        <v/>
      </c>
      <c r="D1494" t="str">
        <f t="shared" si="164"/>
        <v/>
      </c>
      <c r="E1494" t="str">
        <f>IF(F1494="","",IF(COUNTIF($F$2:F1494,F1494)&gt;1,"",SUMIFS(tbl_input[필요수량],tbl_input[집계키_센터],F1494)))</f>
        <v/>
      </c>
      <c r="F1494" t="str">
        <f>IFERROR(INDEX(tbl_input[집계키_센터],ROW()-1),"")</f>
        <v/>
      </c>
      <c r="G1494" t="str">
        <f t="shared" si="165"/>
        <v/>
      </c>
      <c r="H1494" t="str">
        <f t="shared" si="166"/>
        <v/>
      </c>
      <c r="I1494" t="str">
        <f t="shared" si="167"/>
        <v/>
      </c>
    </row>
    <row r="1495" spans="1:9" x14ac:dyDescent="0.4">
      <c r="A1495" t="str">
        <f t="shared" si="161"/>
        <v/>
      </c>
      <c r="B1495" t="str">
        <f t="shared" si="162"/>
        <v/>
      </c>
      <c r="C1495" t="str">
        <f t="shared" si="163"/>
        <v/>
      </c>
      <c r="D1495" t="str">
        <f t="shared" si="164"/>
        <v/>
      </c>
      <c r="E1495" t="str">
        <f>IF(F1495="","",IF(COUNTIF($F$2:F1495,F1495)&gt;1,"",SUMIFS(tbl_input[필요수량],tbl_input[집계키_센터],F1495)))</f>
        <v/>
      </c>
      <c r="F1495" t="str">
        <f>IFERROR(INDEX(tbl_input[집계키_센터],ROW()-1),"")</f>
        <v/>
      </c>
      <c r="G1495" t="str">
        <f t="shared" si="165"/>
        <v/>
      </c>
      <c r="H1495" t="str">
        <f t="shared" si="166"/>
        <v/>
      </c>
      <c r="I1495" t="str">
        <f t="shared" si="167"/>
        <v/>
      </c>
    </row>
    <row r="1496" spans="1:9" x14ac:dyDescent="0.4">
      <c r="A1496" t="str">
        <f t="shared" si="161"/>
        <v/>
      </c>
      <c r="B1496" t="str">
        <f t="shared" si="162"/>
        <v/>
      </c>
      <c r="C1496" t="str">
        <f t="shared" si="163"/>
        <v/>
      </c>
      <c r="D1496" t="str">
        <f t="shared" si="164"/>
        <v/>
      </c>
      <c r="E1496" t="str">
        <f>IF(F1496="","",IF(COUNTIF($F$2:F1496,F1496)&gt;1,"",SUMIFS(tbl_input[필요수량],tbl_input[집계키_센터],F1496)))</f>
        <v/>
      </c>
      <c r="F1496" t="str">
        <f>IFERROR(INDEX(tbl_input[집계키_센터],ROW()-1),"")</f>
        <v/>
      </c>
      <c r="G1496" t="str">
        <f t="shared" si="165"/>
        <v/>
      </c>
      <c r="H1496" t="str">
        <f t="shared" si="166"/>
        <v/>
      </c>
      <c r="I1496" t="str">
        <f t="shared" si="167"/>
        <v/>
      </c>
    </row>
    <row r="1497" spans="1:9" x14ac:dyDescent="0.4">
      <c r="A1497" t="str">
        <f t="shared" si="161"/>
        <v/>
      </c>
      <c r="B1497" t="str">
        <f t="shared" si="162"/>
        <v/>
      </c>
      <c r="C1497" t="str">
        <f t="shared" si="163"/>
        <v/>
      </c>
      <c r="D1497" t="str">
        <f t="shared" si="164"/>
        <v/>
      </c>
      <c r="E1497" t="str">
        <f>IF(F1497="","",IF(COUNTIF($F$2:F1497,F1497)&gt;1,"",SUMIFS(tbl_input[필요수량],tbl_input[집계키_센터],F1497)))</f>
        <v/>
      </c>
      <c r="F1497" t="str">
        <f>IFERROR(INDEX(tbl_input[집계키_센터],ROW()-1),"")</f>
        <v/>
      </c>
      <c r="G1497" t="str">
        <f t="shared" si="165"/>
        <v/>
      </c>
      <c r="H1497" t="str">
        <f t="shared" si="166"/>
        <v/>
      </c>
      <c r="I1497" t="str">
        <f t="shared" si="167"/>
        <v/>
      </c>
    </row>
    <row r="1498" spans="1:9" x14ac:dyDescent="0.4">
      <c r="A1498" t="str">
        <f t="shared" si="161"/>
        <v/>
      </c>
      <c r="B1498" t="str">
        <f t="shared" si="162"/>
        <v/>
      </c>
      <c r="C1498" t="str">
        <f t="shared" si="163"/>
        <v/>
      </c>
      <c r="D1498" t="str">
        <f t="shared" si="164"/>
        <v/>
      </c>
      <c r="E1498" t="str">
        <f>IF(F1498="","",IF(COUNTIF($F$2:F1498,F1498)&gt;1,"",SUMIFS(tbl_input[필요수량],tbl_input[집계키_센터],F1498)))</f>
        <v/>
      </c>
      <c r="F1498" t="str">
        <f>IFERROR(INDEX(tbl_input[집계키_센터],ROW()-1),"")</f>
        <v/>
      </c>
      <c r="G1498" t="str">
        <f t="shared" si="165"/>
        <v/>
      </c>
      <c r="H1498" t="str">
        <f t="shared" si="166"/>
        <v/>
      </c>
      <c r="I1498" t="str">
        <f t="shared" si="167"/>
        <v/>
      </c>
    </row>
    <row r="1499" spans="1:9" x14ac:dyDescent="0.4">
      <c r="A1499" t="str">
        <f t="shared" si="161"/>
        <v/>
      </c>
      <c r="B1499" t="str">
        <f t="shared" si="162"/>
        <v/>
      </c>
      <c r="C1499" t="str">
        <f t="shared" si="163"/>
        <v/>
      </c>
      <c r="D1499" t="str">
        <f t="shared" si="164"/>
        <v/>
      </c>
      <c r="E1499" t="str">
        <f>IF(F1499="","",IF(COUNTIF($F$2:F1499,F1499)&gt;1,"",SUMIFS(tbl_input[필요수량],tbl_input[집계키_센터],F1499)))</f>
        <v/>
      </c>
      <c r="F1499" t="str">
        <f>IFERROR(INDEX(tbl_input[집계키_센터],ROW()-1),"")</f>
        <v/>
      </c>
      <c r="G1499" t="str">
        <f t="shared" si="165"/>
        <v/>
      </c>
      <c r="H1499" t="str">
        <f t="shared" si="166"/>
        <v/>
      </c>
      <c r="I1499" t="str">
        <f t="shared" si="167"/>
        <v/>
      </c>
    </row>
    <row r="1500" spans="1:9" x14ac:dyDescent="0.4">
      <c r="A1500" t="str">
        <f t="shared" si="161"/>
        <v/>
      </c>
      <c r="B1500" t="str">
        <f t="shared" si="162"/>
        <v/>
      </c>
      <c r="C1500" t="str">
        <f t="shared" si="163"/>
        <v/>
      </c>
      <c r="D1500" t="str">
        <f t="shared" si="164"/>
        <v/>
      </c>
      <c r="E1500" t="str">
        <f>IF(F1500="","",IF(COUNTIF($F$2:F1500,F1500)&gt;1,"",SUMIFS(tbl_input[필요수량],tbl_input[집계키_센터],F1500)))</f>
        <v/>
      </c>
      <c r="F1500" t="str">
        <f>IFERROR(INDEX(tbl_input[집계키_센터],ROW()-1),"")</f>
        <v/>
      </c>
      <c r="G1500" t="str">
        <f t="shared" si="165"/>
        <v/>
      </c>
      <c r="H1500" t="str">
        <f t="shared" si="166"/>
        <v/>
      </c>
      <c r="I1500" t="str">
        <f t="shared" si="167"/>
        <v/>
      </c>
    </row>
    <row r="1501" spans="1:9" x14ac:dyDescent="0.4">
      <c r="A1501" t="str">
        <f t="shared" si="161"/>
        <v/>
      </c>
      <c r="B1501" t="str">
        <f t="shared" si="162"/>
        <v/>
      </c>
      <c r="C1501" t="str">
        <f t="shared" si="163"/>
        <v/>
      </c>
      <c r="D1501" t="str">
        <f t="shared" si="164"/>
        <v/>
      </c>
      <c r="E1501" t="str">
        <f>IF(F1501="","",IF(COUNTIF($F$2:F1501,F1501)&gt;1,"",SUMIFS(tbl_input[필요수량],tbl_input[집계키_센터],F1501)))</f>
        <v/>
      </c>
      <c r="F1501" t="str">
        <f>IFERROR(INDEX(tbl_input[집계키_센터],ROW()-1),"")</f>
        <v/>
      </c>
      <c r="G1501" t="str">
        <f t="shared" si="165"/>
        <v/>
      </c>
      <c r="H1501" t="str">
        <f t="shared" si="166"/>
        <v/>
      </c>
      <c r="I1501" t="str">
        <f t="shared" si="167"/>
        <v/>
      </c>
    </row>
    <row r="1502" spans="1:9" x14ac:dyDescent="0.4">
      <c r="A1502" t="str">
        <f t="shared" si="161"/>
        <v/>
      </c>
      <c r="B1502" t="str">
        <f t="shared" si="162"/>
        <v/>
      </c>
      <c r="C1502" t="str">
        <f t="shared" si="163"/>
        <v/>
      </c>
      <c r="D1502" t="str">
        <f t="shared" si="164"/>
        <v/>
      </c>
      <c r="E1502" t="str">
        <f>IF(F1502="","",IF(COUNTIF($F$2:F1502,F1502)&gt;1,"",SUMIFS(tbl_input[필요수량],tbl_input[집계키_센터],F1502)))</f>
        <v/>
      </c>
      <c r="F1502" t="str">
        <f>IFERROR(INDEX(tbl_input[집계키_센터],ROW()-1),"")</f>
        <v/>
      </c>
      <c r="G1502" t="str">
        <f t="shared" si="165"/>
        <v/>
      </c>
      <c r="H1502" t="str">
        <f t="shared" si="166"/>
        <v/>
      </c>
      <c r="I1502" t="str">
        <f t="shared" si="167"/>
        <v/>
      </c>
    </row>
    <row r="1503" spans="1:9" x14ac:dyDescent="0.4">
      <c r="A1503" t="str">
        <f t="shared" si="161"/>
        <v/>
      </c>
      <c r="B1503" t="str">
        <f t="shared" si="162"/>
        <v/>
      </c>
      <c r="C1503" t="str">
        <f t="shared" si="163"/>
        <v/>
      </c>
      <c r="D1503" t="str">
        <f t="shared" si="164"/>
        <v/>
      </c>
      <c r="E1503" t="str">
        <f>IF(F1503="","",IF(COUNTIF($F$2:F1503,F1503)&gt;1,"",SUMIFS(tbl_input[필요수량],tbl_input[집계키_센터],F1503)))</f>
        <v/>
      </c>
      <c r="F1503" t="str">
        <f>IFERROR(INDEX(tbl_input[집계키_센터],ROW()-1),"")</f>
        <v/>
      </c>
      <c r="G1503" t="str">
        <f t="shared" si="165"/>
        <v/>
      </c>
      <c r="H1503" t="str">
        <f t="shared" si="166"/>
        <v/>
      </c>
      <c r="I1503" t="str">
        <f t="shared" si="167"/>
        <v/>
      </c>
    </row>
    <row r="1504" spans="1:9" x14ac:dyDescent="0.4">
      <c r="A1504" t="str">
        <f t="shared" si="161"/>
        <v/>
      </c>
      <c r="B1504" t="str">
        <f t="shared" si="162"/>
        <v/>
      </c>
      <c r="C1504" t="str">
        <f t="shared" si="163"/>
        <v/>
      </c>
      <c r="D1504" t="str">
        <f t="shared" si="164"/>
        <v/>
      </c>
      <c r="E1504" t="str">
        <f>IF(F1504="","",IF(COUNTIF($F$2:F1504,F1504)&gt;1,"",SUMIFS(tbl_input[필요수량],tbl_input[집계키_센터],F1504)))</f>
        <v/>
      </c>
      <c r="F1504" t="str">
        <f>IFERROR(INDEX(tbl_input[집계키_센터],ROW()-1),"")</f>
        <v/>
      </c>
      <c r="G1504" t="str">
        <f t="shared" si="165"/>
        <v/>
      </c>
      <c r="H1504" t="str">
        <f t="shared" si="166"/>
        <v/>
      </c>
      <c r="I1504" t="str">
        <f t="shared" si="167"/>
        <v/>
      </c>
    </row>
    <row r="1505" spans="1:9" x14ac:dyDescent="0.4">
      <c r="A1505" t="str">
        <f t="shared" si="161"/>
        <v/>
      </c>
      <c r="B1505" t="str">
        <f t="shared" si="162"/>
        <v/>
      </c>
      <c r="C1505" t="str">
        <f t="shared" si="163"/>
        <v/>
      </c>
      <c r="D1505" t="str">
        <f t="shared" si="164"/>
        <v/>
      </c>
      <c r="E1505" t="str">
        <f>IF(F1505="","",IF(COUNTIF($F$2:F1505,F1505)&gt;1,"",SUMIFS(tbl_input[필요수량],tbl_input[집계키_센터],F1505)))</f>
        <v/>
      </c>
      <c r="F1505" t="str">
        <f>IFERROR(INDEX(tbl_input[집계키_센터],ROW()-1),"")</f>
        <v/>
      </c>
      <c r="G1505" t="str">
        <f t="shared" si="165"/>
        <v/>
      </c>
      <c r="H1505" t="str">
        <f t="shared" si="166"/>
        <v/>
      </c>
      <c r="I1505" t="str">
        <f t="shared" si="167"/>
        <v/>
      </c>
    </row>
    <row r="1506" spans="1:9" x14ac:dyDescent="0.4">
      <c r="A1506" t="str">
        <f t="shared" si="161"/>
        <v/>
      </c>
      <c r="B1506" t="str">
        <f t="shared" si="162"/>
        <v/>
      </c>
      <c r="C1506" t="str">
        <f t="shared" si="163"/>
        <v/>
      </c>
      <c r="D1506" t="str">
        <f t="shared" si="164"/>
        <v/>
      </c>
      <c r="E1506" t="str">
        <f>IF(F1506="","",IF(COUNTIF($F$2:F1506,F1506)&gt;1,"",SUMIFS(tbl_input[필요수량],tbl_input[집계키_센터],F1506)))</f>
        <v/>
      </c>
      <c r="F1506" t="str">
        <f>IFERROR(INDEX(tbl_input[집계키_센터],ROW()-1),"")</f>
        <v/>
      </c>
      <c r="G1506" t="str">
        <f t="shared" si="165"/>
        <v/>
      </c>
      <c r="H1506" t="str">
        <f t="shared" si="166"/>
        <v/>
      </c>
      <c r="I1506" t="str">
        <f t="shared" si="167"/>
        <v/>
      </c>
    </row>
    <row r="1507" spans="1:9" x14ac:dyDescent="0.4">
      <c r="A1507" t="str">
        <f t="shared" si="161"/>
        <v/>
      </c>
      <c r="B1507" t="str">
        <f t="shared" si="162"/>
        <v/>
      </c>
      <c r="C1507" t="str">
        <f t="shared" si="163"/>
        <v/>
      </c>
      <c r="D1507" t="str">
        <f t="shared" si="164"/>
        <v/>
      </c>
      <c r="E1507" t="str">
        <f>IF(F1507="","",IF(COUNTIF($F$2:F1507,F1507)&gt;1,"",SUMIFS(tbl_input[필요수량],tbl_input[집계키_센터],F1507)))</f>
        <v/>
      </c>
      <c r="F1507" t="str">
        <f>IFERROR(INDEX(tbl_input[집계키_센터],ROW()-1),"")</f>
        <v/>
      </c>
      <c r="G1507" t="str">
        <f t="shared" si="165"/>
        <v/>
      </c>
      <c r="H1507" t="str">
        <f t="shared" si="166"/>
        <v/>
      </c>
      <c r="I1507" t="str">
        <f t="shared" si="167"/>
        <v/>
      </c>
    </row>
    <row r="1508" spans="1:9" x14ac:dyDescent="0.4">
      <c r="A1508" t="str">
        <f t="shared" si="161"/>
        <v/>
      </c>
      <c r="B1508" t="str">
        <f t="shared" si="162"/>
        <v/>
      </c>
      <c r="C1508" t="str">
        <f t="shared" si="163"/>
        <v/>
      </c>
      <c r="D1508" t="str">
        <f t="shared" si="164"/>
        <v/>
      </c>
      <c r="E1508" t="str">
        <f>IF(F1508="","",IF(COUNTIF($F$2:F1508,F1508)&gt;1,"",SUMIFS(tbl_input[필요수량],tbl_input[집계키_센터],F1508)))</f>
        <v/>
      </c>
      <c r="F1508" t="str">
        <f>IFERROR(INDEX(tbl_input[집계키_센터],ROW()-1),"")</f>
        <v/>
      </c>
      <c r="G1508" t="str">
        <f t="shared" si="165"/>
        <v/>
      </c>
      <c r="H1508" t="str">
        <f t="shared" si="166"/>
        <v/>
      </c>
      <c r="I1508" t="str">
        <f t="shared" si="167"/>
        <v/>
      </c>
    </row>
    <row r="1509" spans="1:9" x14ac:dyDescent="0.4">
      <c r="A1509" t="str">
        <f t="shared" si="161"/>
        <v/>
      </c>
      <c r="B1509" t="str">
        <f t="shared" si="162"/>
        <v/>
      </c>
      <c r="C1509" t="str">
        <f t="shared" si="163"/>
        <v/>
      </c>
      <c r="D1509" t="str">
        <f t="shared" si="164"/>
        <v/>
      </c>
      <c r="E1509" t="str">
        <f>IF(F1509="","",IF(COUNTIF($F$2:F1509,F1509)&gt;1,"",SUMIFS(tbl_input[필요수량],tbl_input[집계키_센터],F1509)))</f>
        <v/>
      </c>
      <c r="F1509" t="str">
        <f>IFERROR(INDEX(tbl_input[집계키_센터],ROW()-1),"")</f>
        <v/>
      </c>
      <c r="G1509" t="str">
        <f t="shared" si="165"/>
        <v/>
      </c>
      <c r="H1509" t="str">
        <f t="shared" si="166"/>
        <v/>
      </c>
      <c r="I1509" t="str">
        <f t="shared" si="167"/>
        <v/>
      </c>
    </row>
    <row r="1510" spans="1:9" x14ac:dyDescent="0.4">
      <c r="A1510" t="str">
        <f t="shared" si="161"/>
        <v/>
      </c>
      <c r="B1510" t="str">
        <f t="shared" si="162"/>
        <v/>
      </c>
      <c r="C1510" t="str">
        <f t="shared" si="163"/>
        <v/>
      </c>
      <c r="D1510" t="str">
        <f t="shared" si="164"/>
        <v/>
      </c>
      <c r="E1510" t="str">
        <f>IF(F1510="","",IF(COUNTIF($F$2:F1510,F1510)&gt;1,"",SUMIFS(tbl_input[필요수량],tbl_input[집계키_센터],F1510)))</f>
        <v/>
      </c>
      <c r="F1510" t="str">
        <f>IFERROR(INDEX(tbl_input[집계키_센터],ROW()-1),"")</f>
        <v/>
      </c>
      <c r="G1510" t="str">
        <f t="shared" si="165"/>
        <v/>
      </c>
      <c r="H1510" t="str">
        <f t="shared" si="166"/>
        <v/>
      </c>
      <c r="I1510" t="str">
        <f t="shared" si="167"/>
        <v/>
      </c>
    </row>
    <row r="1511" spans="1:9" x14ac:dyDescent="0.4">
      <c r="A1511" t="str">
        <f t="shared" si="161"/>
        <v/>
      </c>
      <c r="B1511" t="str">
        <f t="shared" si="162"/>
        <v/>
      </c>
      <c r="C1511" t="str">
        <f t="shared" si="163"/>
        <v/>
      </c>
      <c r="D1511" t="str">
        <f t="shared" si="164"/>
        <v/>
      </c>
      <c r="E1511" t="str">
        <f>IF(F1511="","",IF(COUNTIF($F$2:F1511,F1511)&gt;1,"",SUMIFS(tbl_input[필요수량],tbl_input[집계키_센터],F1511)))</f>
        <v/>
      </c>
      <c r="F1511" t="str">
        <f>IFERROR(INDEX(tbl_input[집계키_센터],ROW()-1),"")</f>
        <v/>
      </c>
      <c r="G1511" t="str">
        <f t="shared" si="165"/>
        <v/>
      </c>
      <c r="H1511" t="str">
        <f t="shared" si="166"/>
        <v/>
      </c>
      <c r="I1511" t="str">
        <f t="shared" si="167"/>
        <v/>
      </c>
    </row>
    <row r="1512" spans="1:9" x14ac:dyDescent="0.4">
      <c r="A1512" t="str">
        <f t="shared" si="161"/>
        <v/>
      </c>
      <c r="B1512" t="str">
        <f t="shared" si="162"/>
        <v/>
      </c>
      <c r="C1512" t="str">
        <f t="shared" si="163"/>
        <v/>
      </c>
      <c r="D1512" t="str">
        <f t="shared" si="164"/>
        <v/>
      </c>
      <c r="E1512" t="str">
        <f>IF(F1512="","",IF(COUNTIF($F$2:F1512,F1512)&gt;1,"",SUMIFS(tbl_input[필요수량],tbl_input[집계키_센터],F1512)))</f>
        <v/>
      </c>
      <c r="F1512" t="str">
        <f>IFERROR(INDEX(tbl_input[집계키_센터],ROW()-1),"")</f>
        <v/>
      </c>
      <c r="G1512" t="str">
        <f t="shared" si="165"/>
        <v/>
      </c>
      <c r="H1512" t="str">
        <f t="shared" si="166"/>
        <v/>
      </c>
      <c r="I1512" t="str">
        <f t="shared" si="167"/>
        <v/>
      </c>
    </row>
    <row r="1513" spans="1:9" x14ac:dyDescent="0.4">
      <c r="A1513" t="str">
        <f t="shared" si="161"/>
        <v/>
      </c>
      <c r="B1513" t="str">
        <f t="shared" si="162"/>
        <v/>
      </c>
      <c r="C1513" t="str">
        <f t="shared" si="163"/>
        <v/>
      </c>
      <c r="D1513" t="str">
        <f t="shared" si="164"/>
        <v/>
      </c>
      <c r="E1513" t="str">
        <f>IF(F1513="","",IF(COUNTIF($F$2:F1513,F1513)&gt;1,"",SUMIFS(tbl_input[필요수량],tbl_input[집계키_센터],F1513)))</f>
        <v/>
      </c>
      <c r="F1513" t="str">
        <f>IFERROR(INDEX(tbl_input[집계키_센터],ROW()-1),"")</f>
        <v/>
      </c>
      <c r="G1513" t="str">
        <f t="shared" si="165"/>
        <v/>
      </c>
      <c r="H1513" t="str">
        <f t="shared" si="166"/>
        <v/>
      </c>
      <c r="I1513" t="str">
        <f t="shared" si="167"/>
        <v/>
      </c>
    </row>
    <row r="1514" spans="1:9" x14ac:dyDescent="0.4">
      <c r="A1514" t="str">
        <f t="shared" si="161"/>
        <v/>
      </c>
      <c r="B1514" t="str">
        <f t="shared" si="162"/>
        <v/>
      </c>
      <c r="C1514" t="str">
        <f t="shared" si="163"/>
        <v/>
      </c>
      <c r="D1514" t="str">
        <f t="shared" si="164"/>
        <v/>
      </c>
      <c r="E1514" t="str">
        <f>IF(F1514="","",IF(COUNTIF($F$2:F1514,F1514)&gt;1,"",SUMIFS(tbl_input[필요수량],tbl_input[집계키_센터],F1514)))</f>
        <v/>
      </c>
      <c r="F1514" t="str">
        <f>IFERROR(INDEX(tbl_input[집계키_센터],ROW()-1),"")</f>
        <v/>
      </c>
      <c r="G1514" t="str">
        <f t="shared" si="165"/>
        <v/>
      </c>
      <c r="H1514" t="str">
        <f t="shared" si="166"/>
        <v/>
      </c>
      <c r="I1514" t="str">
        <f t="shared" si="167"/>
        <v/>
      </c>
    </row>
    <row r="1515" spans="1:9" x14ac:dyDescent="0.4">
      <c r="A1515" t="str">
        <f t="shared" si="161"/>
        <v/>
      </c>
      <c r="B1515" t="str">
        <f t="shared" si="162"/>
        <v/>
      </c>
      <c r="C1515" t="str">
        <f t="shared" si="163"/>
        <v/>
      </c>
      <c r="D1515" t="str">
        <f t="shared" si="164"/>
        <v/>
      </c>
      <c r="E1515" t="str">
        <f>IF(F1515="","",IF(COUNTIF($F$2:F1515,F1515)&gt;1,"",SUMIFS(tbl_input[필요수량],tbl_input[집계키_센터],F1515)))</f>
        <v/>
      </c>
      <c r="F1515" t="str">
        <f>IFERROR(INDEX(tbl_input[집계키_센터],ROW()-1),"")</f>
        <v/>
      </c>
      <c r="G1515" t="str">
        <f t="shared" si="165"/>
        <v/>
      </c>
      <c r="H1515" t="str">
        <f t="shared" si="166"/>
        <v/>
      </c>
      <c r="I1515" t="str">
        <f t="shared" si="167"/>
        <v/>
      </c>
    </row>
    <row r="1516" spans="1:9" x14ac:dyDescent="0.4">
      <c r="A1516" t="str">
        <f t="shared" si="161"/>
        <v/>
      </c>
      <c r="B1516" t="str">
        <f t="shared" si="162"/>
        <v/>
      </c>
      <c r="C1516" t="str">
        <f t="shared" si="163"/>
        <v/>
      </c>
      <c r="D1516" t="str">
        <f t="shared" si="164"/>
        <v/>
      </c>
      <c r="E1516" t="str">
        <f>IF(F1516="","",IF(COUNTIF($F$2:F1516,F1516)&gt;1,"",SUMIFS(tbl_input[필요수량],tbl_input[집계키_센터],F1516)))</f>
        <v/>
      </c>
      <c r="F1516" t="str">
        <f>IFERROR(INDEX(tbl_input[집계키_센터],ROW()-1),"")</f>
        <v/>
      </c>
      <c r="G1516" t="str">
        <f t="shared" si="165"/>
        <v/>
      </c>
      <c r="H1516" t="str">
        <f t="shared" si="166"/>
        <v/>
      </c>
      <c r="I1516" t="str">
        <f t="shared" si="167"/>
        <v/>
      </c>
    </row>
    <row r="1517" spans="1:9" x14ac:dyDescent="0.4">
      <c r="A1517" t="str">
        <f t="shared" si="161"/>
        <v/>
      </c>
      <c r="B1517" t="str">
        <f t="shared" si="162"/>
        <v/>
      </c>
      <c r="C1517" t="str">
        <f t="shared" si="163"/>
        <v/>
      </c>
      <c r="D1517" t="str">
        <f t="shared" si="164"/>
        <v/>
      </c>
      <c r="E1517" t="str">
        <f>IF(F1517="","",IF(COUNTIF($F$2:F1517,F1517)&gt;1,"",SUMIFS(tbl_input[필요수량],tbl_input[집계키_센터],F1517)))</f>
        <v/>
      </c>
      <c r="F1517" t="str">
        <f>IFERROR(INDEX(tbl_input[집계키_센터],ROW()-1),"")</f>
        <v/>
      </c>
      <c r="G1517" t="str">
        <f t="shared" si="165"/>
        <v/>
      </c>
      <c r="H1517" t="str">
        <f t="shared" si="166"/>
        <v/>
      </c>
      <c r="I1517" t="str">
        <f t="shared" si="167"/>
        <v/>
      </c>
    </row>
    <row r="1518" spans="1:9" x14ac:dyDescent="0.4">
      <c r="A1518" t="str">
        <f t="shared" si="161"/>
        <v/>
      </c>
      <c r="B1518" t="str">
        <f t="shared" si="162"/>
        <v/>
      </c>
      <c r="C1518" t="str">
        <f t="shared" si="163"/>
        <v/>
      </c>
      <c r="D1518" t="str">
        <f t="shared" si="164"/>
        <v/>
      </c>
      <c r="E1518" t="str">
        <f>IF(F1518="","",IF(COUNTIF($F$2:F1518,F1518)&gt;1,"",SUMIFS(tbl_input[필요수량],tbl_input[집계키_센터],F1518)))</f>
        <v/>
      </c>
      <c r="F1518" t="str">
        <f>IFERROR(INDEX(tbl_input[집계키_센터],ROW()-1),"")</f>
        <v/>
      </c>
      <c r="G1518" t="str">
        <f t="shared" si="165"/>
        <v/>
      </c>
      <c r="H1518" t="str">
        <f t="shared" si="166"/>
        <v/>
      </c>
      <c r="I1518" t="str">
        <f t="shared" si="167"/>
        <v/>
      </c>
    </row>
    <row r="1519" spans="1:9" x14ac:dyDescent="0.4">
      <c r="A1519" t="str">
        <f t="shared" si="161"/>
        <v/>
      </c>
      <c r="B1519" t="str">
        <f t="shared" si="162"/>
        <v/>
      </c>
      <c r="C1519" t="str">
        <f t="shared" si="163"/>
        <v/>
      </c>
      <c r="D1519" t="str">
        <f t="shared" si="164"/>
        <v/>
      </c>
      <c r="E1519" t="str">
        <f>IF(F1519="","",IF(COUNTIF($F$2:F1519,F1519)&gt;1,"",SUMIFS(tbl_input[필요수량],tbl_input[집계키_센터],F1519)))</f>
        <v/>
      </c>
      <c r="F1519" t="str">
        <f>IFERROR(INDEX(tbl_input[집계키_센터],ROW()-1),"")</f>
        <v/>
      </c>
      <c r="G1519" t="str">
        <f t="shared" si="165"/>
        <v/>
      </c>
      <c r="H1519" t="str">
        <f t="shared" si="166"/>
        <v/>
      </c>
      <c r="I1519" t="str">
        <f t="shared" si="167"/>
        <v/>
      </c>
    </row>
    <row r="1520" spans="1:9" x14ac:dyDescent="0.4">
      <c r="A1520" t="str">
        <f t="shared" si="161"/>
        <v/>
      </c>
      <c r="B1520" t="str">
        <f t="shared" si="162"/>
        <v/>
      </c>
      <c r="C1520" t="str">
        <f t="shared" si="163"/>
        <v/>
      </c>
      <c r="D1520" t="str">
        <f t="shared" si="164"/>
        <v/>
      </c>
      <c r="E1520" t="str">
        <f>IF(F1520="","",IF(COUNTIF($F$2:F1520,F1520)&gt;1,"",SUMIFS(tbl_input[필요수량],tbl_input[집계키_센터],F1520)))</f>
        <v/>
      </c>
      <c r="F1520" t="str">
        <f>IFERROR(INDEX(tbl_input[집계키_센터],ROW()-1),"")</f>
        <v/>
      </c>
      <c r="G1520" t="str">
        <f t="shared" si="165"/>
        <v/>
      </c>
      <c r="H1520" t="str">
        <f t="shared" si="166"/>
        <v/>
      </c>
      <c r="I1520" t="str">
        <f t="shared" si="167"/>
        <v/>
      </c>
    </row>
    <row r="1521" spans="1:9" x14ac:dyDescent="0.4">
      <c r="A1521" t="str">
        <f t="shared" si="161"/>
        <v/>
      </c>
      <c r="B1521" t="str">
        <f t="shared" si="162"/>
        <v/>
      </c>
      <c r="C1521" t="str">
        <f t="shared" si="163"/>
        <v/>
      </c>
      <c r="D1521" t="str">
        <f t="shared" si="164"/>
        <v/>
      </c>
      <c r="E1521" t="str">
        <f>IF(F1521="","",IF(COUNTIF($F$2:F1521,F1521)&gt;1,"",SUMIFS(tbl_input[필요수량],tbl_input[집계키_센터],F1521)))</f>
        <v/>
      </c>
      <c r="F1521" t="str">
        <f>IFERROR(INDEX(tbl_input[집계키_센터],ROW()-1),"")</f>
        <v/>
      </c>
      <c r="G1521" t="str">
        <f t="shared" si="165"/>
        <v/>
      </c>
      <c r="H1521" t="str">
        <f t="shared" si="166"/>
        <v/>
      </c>
      <c r="I1521" t="str">
        <f t="shared" si="167"/>
        <v/>
      </c>
    </row>
    <row r="1522" spans="1:9" x14ac:dyDescent="0.4">
      <c r="A1522" t="str">
        <f t="shared" si="161"/>
        <v/>
      </c>
      <c r="B1522" t="str">
        <f t="shared" si="162"/>
        <v/>
      </c>
      <c r="C1522" t="str">
        <f t="shared" si="163"/>
        <v/>
      </c>
      <c r="D1522" t="str">
        <f t="shared" si="164"/>
        <v/>
      </c>
      <c r="E1522" t="str">
        <f>IF(F1522="","",IF(COUNTIF($F$2:F1522,F1522)&gt;1,"",SUMIFS(tbl_input[필요수량],tbl_input[집계키_센터],F1522)))</f>
        <v/>
      </c>
      <c r="F1522" t="str">
        <f>IFERROR(INDEX(tbl_input[집계키_센터],ROW()-1),"")</f>
        <v/>
      </c>
      <c r="G1522" t="str">
        <f t="shared" si="165"/>
        <v/>
      </c>
      <c r="H1522" t="str">
        <f t="shared" si="166"/>
        <v/>
      </c>
      <c r="I1522" t="str">
        <f t="shared" si="167"/>
        <v/>
      </c>
    </row>
    <row r="1523" spans="1:9" x14ac:dyDescent="0.4">
      <c r="A1523" t="str">
        <f t="shared" si="161"/>
        <v/>
      </c>
      <c r="B1523" t="str">
        <f t="shared" si="162"/>
        <v/>
      </c>
      <c r="C1523" t="str">
        <f t="shared" si="163"/>
        <v/>
      </c>
      <c r="D1523" t="str">
        <f t="shared" si="164"/>
        <v/>
      </c>
      <c r="E1523" t="str">
        <f>IF(F1523="","",IF(COUNTIF($F$2:F1523,F1523)&gt;1,"",SUMIFS(tbl_input[필요수량],tbl_input[집계키_센터],F1523)))</f>
        <v/>
      </c>
      <c r="F1523" t="str">
        <f>IFERROR(INDEX(tbl_input[집계키_센터],ROW()-1),"")</f>
        <v/>
      </c>
      <c r="G1523" t="str">
        <f t="shared" si="165"/>
        <v/>
      </c>
      <c r="H1523" t="str">
        <f t="shared" si="166"/>
        <v/>
      </c>
      <c r="I1523" t="str">
        <f t="shared" si="167"/>
        <v/>
      </c>
    </row>
    <row r="1524" spans="1:9" x14ac:dyDescent="0.4">
      <c r="A1524" t="str">
        <f t="shared" si="161"/>
        <v/>
      </c>
      <c r="B1524" t="str">
        <f t="shared" si="162"/>
        <v/>
      </c>
      <c r="C1524" t="str">
        <f t="shared" si="163"/>
        <v/>
      </c>
      <c r="D1524" t="str">
        <f t="shared" si="164"/>
        <v/>
      </c>
      <c r="E1524" t="str">
        <f>IF(F1524="","",IF(COUNTIF($F$2:F1524,F1524)&gt;1,"",SUMIFS(tbl_input[필요수량],tbl_input[집계키_센터],F1524)))</f>
        <v/>
      </c>
      <c r="F1524" t="str">
        <f>IFERROR(INDEX(tbl_input[집계키_센터],ROW()-1),"")</f>
        <v/>
      </c>
      <c r="G1524" t="str">
        <f t="shared" si="165"/>
        <v/>
      </c>
      <c r="H1524" t="str">
        <f t="shared" si="166"/>
        <v/>
      </c>
      <c r="I1524" t="str">
        <f t="shared" si="167"/>
        <v/>
      </c>
    </row>
    <row r="1525" spans="1:9" x14ac:dyDescent="0.4">
      <c r="A1525" t="str">
        <f t="shared" si="161"/>
        <v/>
      </c>
      <c r="B1525" t="str">
        <f t="shared" si="162"/>
        <v/>
      </c>
      <c r="C1525" t="str">
        <f t="shared" si="163"/>
        <v/>
      </c>
      <c r="D1525" t="str">
        <f t="shared" si="164"/>
        <v/>
      </c>
      <c r="E1525" t="str">
        <f>IF(F1525="","",IF(COUNTIF($F$2:F1525,F1525)&gt;1,"",SUMIFS(tbl_input[필요수량],tbl_input[집계키_센터],F1525)))</f>
        <v/>
      </c>
      <c r="F1525" t="str">
        <f>IFERROR(INDEX(tbl_input[집계키_센터],ROW()-1),"")</f>
        <v/>
      </c>
      <c r="G1525" t="str">
        <f t="shared" si="165"/>
        <v/>
      </c>
      <c r="H1525" t="str">
        <f t="shared" si="166"/>
        <v/>
      </c>
      <c r="I1525" t="str">
        <f t="shared" si="167"/>
        <v/>
      </c>
    </row>
    <row r="1526" spans="1:9" x14ac:dyDescent="0.4">
      <c r="A1526" t="str">
        <f t="shared" si="161"/>
        <v/>
      </c>
      <c r="B1526" t="str">
        <f t="shared" si="162"/>
        <v/>
      </c>
      <c r="C1526" t="str">
        <f t="shared" si="163"/>
        <v/>
      </c>
      <c r="D1526" t="str">
        <f t="shared" si="164"/>
        <v/>
      </c>
      <c r="E1526" t="str">
        <f>IF(F1526="","",IF(COUNTIF($F$2:F1526,F1526)&gt;1,"",SUMIFS(tbl_input[필요수량],tbl_input[집계키_센터],F1526)))</f>
        <v/>
      </c>
      <c r="F1526" t="str">
        <f>IFERROR(INDEX(tbl_input[집계키_센터],ROW()-1),"")</f>
        <v/>
      </c>
      <c r="G1526" t="str">
        <f t="shared" si="165"/>
        <v/>
      </c>
      <c r="H1526" t="str">
        <f t="shared" si="166"/>
        <v/>
      </c>
      <c r="I1526" t="str">
        <f t="shared" si="167"/>
        <v/>
      </c>
    </row>
    <row r="1527" spans="1:9" x14ac:dyDescent="0.4">
      <c r="A1527" t="str">
        <f t="shared" si="161"/>
        <v/>
      </c>
      <c r="B1527" t="str">
        <f t="shared" si="162"/>
        <v/>
      </c>
      <c r="C1527" t="str">
        <f t="shared" si="163"/>
        <v/>
      </c>
      <c r="D1527" t="str">
        <f t="shared" si="164"/>
        <v/>
      </c>
      <c r="E1527" t="str">
        <f>IF(F1527="","",IF(COUNTIF($F$2:F1527,F1527)&gt;1,"",SUMIFS(tbl_input[필요수량],tbl_input[집계키_센터],F1527)))</f>
        <v/>
      </c>
      <c r="F1527" t="str">
        <f>IFERROR(INDEX(tbl_input[집계키_센터],ROW()-1),"")</f>
        <v/>
      </c>
      <c r="G1527" t="str">
        <f t="shared" si="165"/>
        <v/>
      </c>
      <c r="H1527" t="str">
        <f t="shared" si="166"/>
        <v/>
      </c>
      <c r="I1527" t="str">
        <f t="shared" si="167"/>
        <v/>
      </c>
    </row>
    <row r="1528" spans="1:9" x14ac:dyDescent="0.4">
      <c r="A1528" t="str">
        <f t="shared" si="161"/>
        <v/>
      </c>
      <c r="B1528" t="str">
        <f t="shared" si="162"/>
        <v/>
      </c>
      <c r="C1528" t="str">
        <f t="shared" si="163"/>
        <v/>
      </c>
      <c r="D1528" t="str">
        <f t="shared" si="164"/>
        <v/>
      </c>
      <c r="E1528" t="str">
        <f>IF(F1528="","",IF(COUNTIF($F$2:F1528,F1528)&gt;1,"",SUMIFS(tbl_input[필요수량],tbl_input[집계키_센터],F1528)))</f>
        <v/>
      </c>
      <c r="F1528" t="str">
        <f>IFERROR(INDEX(tbl_input[집계키_센터],ROW()-1),"")</f>
        <v/>
      </c>
      <c r="G1528" t="str">
        <f t="shared" si="165"/>
        <v/>
      </c>
      <c r="H1528" t="str">
        <f t="shared" si="166"/>
        <v/>
      </c>
      <c r="I1528" t="str">
        <f t="shared" si="167"/>
        <v/>
      </c>
    </row>
    <row r="1529" spans="1:9" x14ac:dyDescent="0.4">
      <c r="A1529" t="str">
        <f t="shared" si="161"/>
        <v/>
      </c>
      <c r="B1529" t="str">
        <f t="shared" si="162"/>
        <v/>
      </c>
      <c r="C1529" t="str">
        <f t="shared" si="163"/>
        <v/>
      </c>
      <c r="D1529" t="str">
        <f t="shared" si="164"/>
        <v/>
      </c>
      <c r="E1529" t="str">
        <f>IF(F1529="","",IF(COUNTIF($F$2:F1529,F1529)&gt;1,"",SUMIFS(tbl_input[필요수량],tbl_input[집계키_센터],F1529)))</f>
        <v/>
      </c>
      <c r="F1529" t="str">
        <f>IFERROR(INDEX(tbl_input[집계키_센터],ROW()-1),"")</f>
        <v/>
      </c>
      <c r="G1529" t="str">
        <f t="shared" si="165"/>
        <v/>
      </c>
      <c r="H1529" t="str">
        <f t="shared" si="166"/>
        <v/>
      </c>
      <c r="I1529" t="str">
        <f t="shared" si="167"/>
        <v/>
      </c>
    </row>
    <row r="1530" spans="1:9" x14ac:dyDescent="0.4">
      <c r="A1530" t="str">
        <f t="shared" si="161"/>
        <v/>
      </c>
      <c r="B1530" t="str">
        <f t="shared" si="162"/>
        <v/>
      </c>
      <c r="C1530" t="str">
        <f t="shared" si="163"/>
        <v/>
      </c>
      <c r="D1530" t="str">
        <f t="shared" si="164"/>
        <v/>
      </c>
      <c r="E1530" t="str">
        <f>IF(F1530="","",IF(COUNTIF($F$2:F1530,F1530)&gt;1,"",SUMIFS(tbl_input[필요수량],tbl_input[집계키_센터],F1530)))</f>
        <v/>
      </c>
      <c r="F1530" t="str">
        <f>IFERROR(INDEX(tbl_input[집계키_센터],ROW()-1),"")</f>
        <v/>
      </c>
      <c r="G1530" t="str">
        <f t="shared" si="165"/>
        <v/>
      </c>
      <c r="H1530" t="str">
        <f t="shared" si="166"/>
        <v/>
      </c>
      <c r="I1530" t="str">
        <f t="shared" si="167"/>
        <v/>
      </c>
    </row>
    <row r="1531" spans="1:9" x14ac:dyDescent="0.4">
      <c r="A1531" t="str">
        <f t="shared" si="161"/>
        <v/>
      </c>
      <c r="B1531" t="str">
        <f t="shared" si="162"/>
        <v/>
      </c>
      <c r="C1531" t="str">
        <f t="shared" si="163"/>
        <v/>
      </c>
      <c r="D1531" t="str">
        <f t="shared" si="164"/>
        <v/>
      </c>
      <c r="E1531" t="str">
        <f>IF(F1531="","",IF(COUNTIF($F$2:F1531,F1531)&gt;1,"",SUMIFS(tbl_input[필요수량],tbl_input[집계키_센터],F1531)))</f>
        <v/>
      </c>
      <c r="F1531" t="str">
        <f>IFERROR(INDEX(tbl_input[집계키_센터],ROW()-1),"")</f>
        <v/>
      </c>
      <c r="G1531" t="str">
        <f t="shared" si="165"/>
        <v/>
      </c>
      <c r="H1531" t="str">
        <f t="shared" si="166"/>
        <v/>
      </c>
      <c r="I1531" t="str">
        <f t="shared" si="167"/>
        <v/>
      </c>
    </row>
    <row r="1532" spans="1:9" x14ac:dyDescent="0.4">
      <c r="A1532" t="str">
        <f t="shared" si="161"/>
        <v/>
      </c>
      <c r="B1532" t="str">
        <f t="shared" si="162"/>
        <v/>
      </c>
      <c r="C1532" t="str">
        <f t="shared" si="163"/>
        <v/>
      </c>
      <c r="D1532" t="str">
        <f t="shared" si="164"/>
        <v/>
      </c>
      <c r="E1532" t="str">
        <f>IF(F1532="","",IF(COUNTIF($F$2:F1532,F1532)&gt;1,"",SUMIFS(tbl_input[필요수량],tbl_input[집계키_센터],F1532)))</f>
        <v/>
      </c>
      <c r="F1532" t="str">
        <f>IFERROR(INDEX(tbl_input[집계키_센터],ROW()-1),"")</f>
        <v/>
      </c>
      <c r="G1532" t="str">
        <f t="shared" si="165"/>
        <v/>
      </c>
      <c r="H1532" t="str">
        <f t="shared" si="166"/>
        <v/>
      </c>
      <c r="I1532" t="str">
        <f t="shared" si="167"/>
        <v/>
      </c>
    </row>
    <row r="1533" spans="1:9" x14ac:dyDescent="0.4">
      <c r="A1533" t="str">
        <f t="shared" si="161"/>
        <v/>
      </c>
      <c r="B1533" t="str">
        <f t="shared" si="162"/>
        <v/>
      </c>
      <c r="C1533" t="str">
        <f t="shared" si="163"/>
        <v/>
      </c>
      <c r="D1533" t="str">
        <f t="shared" si="164"/>
        <v/>
      </c>
      <c r="E1533" t="str">
        <f>IF(F1533="","",IF(COUNTIF($F$2:F1533,F1533)&gt;1,"",SUMIFS(tbl_input[필요수량],tbl_input[집계키_센터],F1533)))</f>
        <v/>
      </c>
      <c r="F1533" t="str">
        <f>IFERROR(INDEX(tbl_input[집계키_센터],ROW()-1),"")</f>
        <v/>
      </c>
      <c r="G1533" t="str">
        <f t="shared" si="165"/>
        <v/>
      </c>
      <c r="H1533" t="str">
        <f t="shared" si="166"/>
        <v/>
      </c>
      <c r="I1533" t="str">
        <f t="shared" si="167"/>
        <v/>
      </c>
    </row>
    <row r="1534" spans="1:9" x14ac:dyDescent="0.4">
      <c r="A1534" t="str">
        <f t="shared" si="161"/>
        <v/>
      </c>
      <c r="B1534" t="str">
        <f t="shared" si="162"/>
        <v/>
      </c>
      <c r="C1534" t="str">
        <f t="shared" si="163"/>
        <v/>
      </c>
      <c r="D1534" t="str">
        <f t="shared" si="164"/>
        <v/>
      </c>
      <c r="E1534" t="str">
        <f>IF(F1534="","",IF(COUNTIF($F$2:F1534,F1534)&gt;1,"",SUMIFS(tbl_input[필요수량],tbl_input[집계키_센터],F1534)))</f>
        <v/>
      </c>
      <c r="F1534" t="str">
        <f>IFERROR(INDEX(tbl_input[집계키_센터],ROW()-1),"")</f>
        <v/>
      </c>
      <c r="G1534" t="str">
        <f t="shared" si="165"/>
        <v/>
      </c>
      <c r="H1534" t="str">
        <f t="shared" si="166"/>
        <v/>
      </c>
      <c r="I1534" t="str">
        <f t="shared" si="167"/>
        <v/>
      </c>
    </row>
    <row r="1535" spans="1:9" x14ac:dyDescent="0.4">
      <c r="A1535" t="str">
        <f t="shared" si="161"/>
        <v/>
      </c>
      <c r="B1535" t="str">
        <f t="shared" si="162"/>
        <v/>
      </c>
      <c r="C1535" t="str">
        <f t="shared" si="163"/>
        <v/>
      </c>
      <c r="D1535" t="str">
        <f t="shared" si="164"/>
        <v/>
      </c>
      <c r="E1535" t="str">
        <f>IF(F1535="","",IF(COUNTIF($F$2:F1535,F1535)&gt;1,"",SUMIFS(tbl_input[필요수량],tbl_input[집계키_센터],F1535)))</f>
        <v/>
      </c>
      <c r="F1535" t="str">
        <f>IFERROR(INDEX(tbl_input[집계키_센터],ROW()-1),"")</f>
        <v/>
      </c>
      <c r="G1535" t="str">
        <f t="shared" si="165"/>
        <v/>
      </c>
      <c r="H1535" t="str">
        <f t="shared" si="166"/>
        <v/>
      </c>
      <c r="I1535" t="str">
        <f t="shared" si="167"/>
        <v/>
      </c>
    </row>
    <row r="1536" spans="1:9" x14ac:dyDescent="0.4">
      <c r="A1536" t="str">
        <f t="shared" si="161"/>
        <v/>
      </c>
      <c r="B1536" t="str">
        <f t="shared" si="162"/>
        <v/>
      </c>
      <c r="C1536" t="str">
        <f t="shared" si="163"/>
        <v/>
      </c>
      <c r="D1536" t="str">
        <f t="shared" si="164"/>
        <v/>
      </c>
      <c r="E1536" t="str">
        <f>IF(F1536="","",IF(COUNTIF($F$2:F1536,F1536)&gt;1,"",SUMIFS(tbl_input[필요수량],tbl_input[집계키_센터],F1536)))</f>
        <v/>
      </c>
      <c r="F1536" t="str">
        <f>IFERROR(INDEX(tbl_input[집계키_센터],ROW()-1),"")</f>
        <v/>
      </c>
      <c r="G1536" t="str">
        <f t="shared" si="165"/>
        <v/>
      </c>
      <c r="H1536" t="str">
        <f t="shared" si="166"/>
        <v/>
      </c>
      <c r="I1536" t="str">
        <f t="shared" si="167"/>
        <v/>
      </c>
    </row>
    <row r="1537" spans="1:9" x14ac:dyDescent="0.4">
      <c r="A1537" t="str">
        <f t="shared" si="161"/>
        <v/>
      </c>
      <c r="B1537" t="str">
        <f t="shared" si="162"/>
        <v/>
      </c>
      <c r="C1537" t="str">
        <f t="shared" si="163"/>
        <v/>
      </c>
      <c r="D1537" t="str">
        <f t="shared" si="164"/>
        <v/>
      </c>
      <c r="E1537" t="str">
        <f>IF(F1537="","",IF(COUNTIF($F$2:F1537,F1537)&gt;1,"",SUMIFS(tbl_input[필요수량],tbl_input[집계키_센터],F1537)))</f>
        <v/>
      </c>
      <c r="F1537" t="str">
        <f>IFERROR(INDEX(tbl_input[집계키_센터],ROW()-1),"")</f>
        <v/>
      </c>
      <c r="G1537" t="str">
        <f t="shared" si="165"/>
        <v/>
      </c>
      <c r="H1537" t="str">
        <f t="shared" si="166"/>
        <v/>
      </c>
      <c r="I1537" t="str">
        <f t="shared" si="167"/>
        <v/>
      </c>
    </row>
    <row r="1538" spans="1:9" x14ac:dyDescent="0.4">
      <c r="A1538" t="str">
        <f t="shared" ref="A1538:A1601" si="168">IF(F1538="","",LEFT(F1538,G1538-1))</f>
        <v/>
      </c>
      <c r="B1538" t="str">
        <f t="shared" ref="B1538:B1601" si="169">IF(F1538="","",MID(F1538,G1538+1,H1538-G1538-1))</f>
        <v/>
      </c>
      <c r="C1538" t="str">
        <f t="shared" ref="C1538:C1601" si="170">IF(F1538="","",MID(F1538,H1538+1,I1538-H1538-1))</f>
        <v/>
      </c>
      <c r="D1538" t="str">
        <f t="shared" ref="D1538:D1601" si="171">IF(F1538="","",MID(F1538,I1538+1,999))</f>
        <v/>
      </c>
      <c r="E1538" t="str">
        <f>IF(F1538="","",IF(COUNTIF($F$2:F1538,F1538)&gt;1,"",SUMIFS(tbl_input[필요수량],tbl_input[집계키_센터],F1538)))</f>
        <v/>
      </c>
      <c r="F1538" t="str">
        <f>IFERROR(INDEX(tbl_input[집계키_센터],ROW()-1),"")</f>
        <v/>
      </c>
      <c r="G1538" t="str">
        <f t="shared" ref="G1538:G1601" si="172">IF(F1538="","",FIND("♦",F1538))</f>
        <v/>
      </c>
      <c r="H1538" t="str">
        <f t="shared" ref="H1538:H1601" si="173">IF(F1538="","",FIND("♦",F1538,G1538+1))</f>
        <v/>
      </c>
      <c r="I1538" t="str">
        <f t="shared" ref="I1538:I1601" si="174">IF(F1538="","",FIND("♦",F1538,H1538+1))</f>
        <v/>
      </c>
    </row>
    <row r="1539" spans="1:9" x14ac:dyDescent="0.4">
      <c r="A1539" t="str">
        <f t="shared" si="168"/>
        <v/>
      </c>
      <c r="B1539" t="str">
        <f t="shared" si="169"/>
        <v/>
      </c>
      <c r="C1539" t="str">
        <f t="shared" si="170"/>
        <v/>
      </c>
      <c r="D1539" t="str">
        <f t="shared" si="171"/>
        <v/>
      </c>
      <c r="E1539" t="str">
        <f>IF(F1539="","",IF(COUNTIF($F$2:F1539,F1539)&gt;1,"",SUMIFS(tbl_input[필요수량],tbl_input[집계키_센터],F1539)))</f>
        <v/>
      </c>
      <c r="F1539" t="str">
        <f>IFERROR(INDEX(tbl_input[집계키_센터],ROW()-1),"")</f>
        <v/>
      </c>
      <c r="G1539" t="str">
        <f t="shared" si="172"/>
        <v/>
      </c>
      <c r="H1539" t="str">
        <f t="shared" si="173"/>
        <v/>
      </c>
      <c r="I1539" t="str">
        <f t="shared" si="174"/>
        <v/>
      </c>
    </row>
    <row r="1540" spans="1:9" x14ac:dyDescent="0.4">
      <c r="A1540" t="str">
        <f t="shared" si="168"/>
        <v/>
      </c>
      <c r="B1540" t="str">
        <f t="shared" si="169"/>
        <v/>
      </c>
      <c r="C1540" t="str">
        <f t="shared" si="170"/>
        <v/>
      </c>
      <c r="D1540" t="str">
        <f t="shared" si="171"/>
        <v/>
      </c>
      <c r="E1540" t="str">
        <f>IF(F1540="","",IF(COUNTIF($F$2:F1540,F1540)&gt;1,"",SUMIFS(tbl_input[필요수량],tbl_input[집계키_센터],F1540)))</f>
        <v/>
      </c>
      <c r="F1540" t="str">
        <f>IFERROR(INDEX(tbl_input[집계키_센터],ROW()-1),"")</f>
        <v/>
      </c>
      <c r="G1540" t="str">
        <f t="shared" si="172"/>
        <v/>
      </c>
      <c r="H1540" t="str">
        <f t="shared" si="173"/>
        <v/>
      </c>
      <c r="I1540" t="str">
        <f t="shared" si="174"/>
        <v/>
      </c>
    </row>
    <row r="1541" spans="1:9" x14ac:dyDescent="0.4">
      <c r="A1541" t="str">
        <f t="shared" si="168"/>
        <v/>
      </c>
      <c r="B1541" t="str">
        <f t="shared" si="169"/>
        <v/>
      </c>
      <c r="C1541" t="str">
        <f t="shared" si="170"/>
        <v/>
      </c>
      <c r="D1541" t="str">
        <f t="shared" si="171"/>
        <v/>
      </c>
      <c r="E1541" t="str">
        <f>IF(F1541="","",IF(COUNTIF($F$2:F1541,F1541)&gt;1,"",SUMIFS(tbl_input[필요수량],tbl_input[집계키_센터],F1541)))</f>
        <v/>
      </c>
      <c r="F1541" t="str">
        <f>IFERROR(INDEX(tbl_input[집계키_센터],ROW()-1),"")</f>
        <v/>
      </c>
      <c r="G1541" t="str">
        <f t="shared" si="172"/>
        <v/>
      </c>
      <c r="H1541" t="str">
        <f t="shared" si="173"/>
        <v/>
      </c>
      <c r="I1541" t="str">
        <f t="shared" si="174"/>
        <v/>
      </c>
    </row>
    <row r="1542" spans="1:9" x14ac:dyDescent="0.4">
      <c r="A1542" t="str">
        <f t="shared" si="168"/>
        <v/>
      </c>
      <c r="B1542" t="str">
        <f t="shared" si="169"/>
        <v/>
      </c>
      <c r="C1542" t="str">
        <f t="shared" si="170"/>
        <v/>
      </c>
      <c r="D1542" t="str">
        <f t="shared" si="171"/>
        <v/>
      </c>
      <c r="E1542" t="str">
        <f>IF(F1542="","",IF(COUNTIF($F$2:F1542,F1542)&gt;1,"",SUMIFS(tbl_input[필요수량],tbl_input[집계키_센터],F1542)))</f>
        <v/>
      </c>
      <c r="F1542" t="str">
        <f>IFERROR(INDEX(tbl_input[집계키_센터],ROW()-1),"")</f>
        <v/>
      </c>
      <c r="G1542" t="str">
        <f t="shared" si="172"/>
        <v/>
      </c>
      <c r="H1542" t="str">
        <f t="shared" si="173"/>
        <v/>
      </c>
      <c r="I1542" t="str">
        <f t="shared" si="174"/>
        <v/>
      </c>
    </row>
    <row r="1543" spans="1:9" x14ac:dyDescent="0.4">
      <c r="A1543" t="str">
        <f t="shared" si="168"/>
        <v/>
      </c>
      <c r="B1543" t="str">
        <f t="shared" si="169"/>
        <v/>
      </c>
      <c r="C1543" t="str">
        <f t="shared" si="170"/>
        <v/>
      </c>
      <c r="D1543" t="str">
        <f t="shared" si="171"/>
        <v/>
      </c>
      <c r="E1543" t="str">
        <f>IF(F1543="","",IF(COUNTIF($F$2:F1543,F1543)&gt;1,"",SUMIFS(tbl_input[필요수량],tbl_input[집계키_센터],F1543)))</f>
        <v/>
      </c>
      <c r="F1543" t="str">
        <f>IFERROR(INDEX(tbl_input[집계키_센터],ROW()-1),"")</f>
        <v/>
      </c>
      <c r="G1543" t="str">
        <f t="shared" si="172"/>
        <v/>
      </c>
      <c r="H1543" t="str">
        <f t="shared" si="173"/>
        <v/>
      </c>
      <c r="I1543" t="str">
        <f t="shared" si="174"/>
        <v/>
      </c>
    </row>
    <row r="1544" spans="1:9" x14ac:dyDescent="0.4">
      <c r="A1544" t="str">
        <f t="shared" si="168"/>
        <v/>
      </c>
      <c r="B1544" t="str">
        <f t="shared" si="169"/>
        <v/>
      </c>
      <c r="C1544" t="str">
        <f t="shared" si="170"/>
        <v/>
      </c>
      <c r="D1544" t="str">
        <f t="shared" si="171"/>
        <v/>
      </c>
      <c r="E1544" t="str">
        <f>IF(F1544="","",IF(COUNTIF($F$2:F1544,F1544)&gt;1,"",SUMIFS(tbl_input[필요수량],tbl_input[집계키_센터],F1544)))</f>
        <v/>
      </c>
      <c r="F1544" t="str">
        <f>IFERROR(INDEX(tbl_input[집계키_센터],ROW()-1),"")</f>
        <v/>
      </c>
      <c r="G1544" t="str">
        <f t="shared" si="172"/>
        <v/>
      </c>
      <c r="H1544" t="str">
        <f t="shared" si="173"/>
        <v/>
      </c>
      <c r="I1544" t="str">
        <f t="shared" si="174"/>
        <v/>
      </c>
    </row>
    <row r="1545" spans="1:9" x14ac:dyDescent="0.4">
      <c r="A1545" t="str">
        <f t="shared" si="168"/>
        <v/>
      </c>
      <c r="B1545" t="str">
        <f t="shared" si="169"/>
        <v/>
      </c>
      <c r="C1545" t="str">
        <f t="shared" si="170"/>
        <v/>
      </c>
      <c r="D1545" t="str">
        <f t="shared" si="171"/>
        <v/>
      </c>
      <c r="E1545" t="str">
        <f>IF(F1545="","",IF(COUNTIF($F$2:F1545,F1545)&gt;1,"",SUMIFS(tbl_input[필요수량],tbl_input[집계키_센터],F1545)))</f>
        <v/>
      </c>
      <c r="F1545" t="str">
        <f>IFERROR(INDEX(tbl_input[집계키_센터],ROW()-1),"")</f>
        <v/>
      </c>
      <c r="G1545" t="str">
        <f t="shared" si="172"/>
        <v/>
      </c>
      <c r="H1545" t="str">
        <f t="shared" si="173"/>
        <v/>
      </c>
      <c r="I1545" t="str">
        <f t="shared" si="174"/>
        <v/>
      </c>
    </row>
    <row r="1546" spans="1:9" x14ac:dyDescent="0.4">
      <c r="A1546" t="str">
        <f t="shared" si="168"/>
        <v/>
      </c>
      <c r="B1546" t="str">
        <f t="shared" si="169"/>
        <v/>
      </c>
      <c r="C1546" t="str">
        <f t="shared" si="170"/>
        <v/>
      </c>
      <c r="D1546" t="str">
        <f t="shared" si="171"/>
        <v/>
      </c>
      <c r="E1546" t="str">
        <f>IF(F1546="","",IF(COUNTIF($F$2:F1546,F1546)&gt;1,"",SUMIFS(tbl_input[필요수량],tbl_input[집계키_센터],F1546)))</f>
        <v/>
      </c>
      <c r="F1546" t="str">
        <f>IFERROR(INDEX(tbl_input[집계키_센터],ROW()-1),"")</f>
        <v/>
      </c>
      <c r="G1546" t="str">
        <f t="shared" si="172"/>
        <v/>
      </c>
      <c r="H1546" t="str">
        <f t="shared" si="173"/>
        <v/>
      </c>
      <c r="I1546" t="str">
        <f t="shared" si="174"/>
        <v/>
      </c>
    </row>
    <row r="1547" spans="1:9" x14ac:dyDescent="0.4">
      <c r="A1547" t="str">
        <f t="shared" si="168"/>
        <v/>
      </c>
      <c r="B1547" t="str">
        <f t="shared" si="169"/>
        <v/>
      </c>
      <c r="C1547" t="str">
        <f t="shared" si="170"/>
        <v/>
      </c>
      <c r="D1547" t="str">
        <f t="shared" si="171"/>
        <v/>
      </c>
      <c r="E1547" t="str">
        <f>IF(F1547="","",IF(COUNTIF($F$2:F1547,F1547)&gt;1,"",SUMIFS(tbl_input[필요수량],tbl_input[집계키_센터],F1547)))</f>
        <v/>
      </c>
      <c r="F1547" t="str">
        <f>IFERROR(INDEX(tbl_input[집계키_센터],ROW()-1),"")</f>
        <v/>
      </c>
      <c r="G1547" t="str">
        <f t="shared" si="172"/>
        <v/>
      </c>
      <c r="H1547" t="str">
        <f t="shared" si="173"/>
        <v/>
      </c>
      <c r="I1547" t="str">
        <f t="shared" si="174"/>
        <v/>
      </c>
    </row>
    <row r="1548" spans="1:9" x14ac:dyDescent="0.4">
      <c r="A1548" t="str">
        <f t="shared" si="168"/>
        <v/>
      </c>
      <c r="B1548" t="str">
        <f t="shared" si="169"/>
        <v/>
      </c>
      <c r="C1548" t="str">
        <f t="shared" si="170"/>
        <v/>
      </c>
      <c r="D1548" t="str">
        <f t="shared" si="171"/>
        <v/>
      </c>
      <c r="E1548" t="str">
        <f>IF(F1548="","",IF(COUNTIF($F$2:F1548,F1548)&gt;1,"",SUMIFS(tbl_input[필요수량],tbl_input[집계키_센터],F1548)))</f>
        <v/>
      </c>
      <c r="F1548" t="str">
        <f>IFERROR(INDEX(tbl_input[집계키_센터],ROW()-1),"")</f>
        <v/>
      </c>
      <c r="G1548" t="str">
        <f t="shared" si="172"/>
        <v/>
      </c>
      <c r="H1548" t="str">
        <f t="shared" si="173"/>
        <v/>
      </c>
      <c r="I1548" t="str">
        <f t="shared" si="174"/>
        <v/>
      </c>
    </row>
    <row r="1549" spans="1:9" x14ac:dyDescent="0.4">
      <c r="A1549" t="str">
        <f t="shared" si="168"/>
        <v/>
      </c>
      <c r="B1549" t="str">
        <f t="shared" si="169"/>
        <v/>
      </c>
      <c r="C1549" t="str">
        <f t="shared" si="170"/>
        <v/>
      </c>
      <c r="D1549" t="str">
        <f t="shared" si="171"/>
        <v/>
      </c>
      <c r="E1549" t="str">
        <f>IF(F1549="","",IF(COUNTIF($F$2:F1549,F1549)&gt;1,"",SUMIFS(tbl_input[필요수량],tbl_input[집계키_센터],F1549)))</f>
        <v/>
      </c>
      <c r="F1549" t="str">
        <f>IFERROR(INDEX(tbl_input[집계키_센터],ROW()-1),"")</f>
        <v/>
      </c>
      <c r="G1549" t="str">
        <f t="shared" si="172"/>
        <v/>
      </c>
      <c r="H1549" t="str">
        <f t="shared" si="173"/>
        <v/>
      </c>
      <c r="I1549" t="str">
        <f t="shared" si="174"/>
        <v/>
      </c>
    </row>
    <row r="1550" spans="1:9" x14ac:dyDescent="0.4">
      <c r="A1550" t="str">
        <f t="shared" si="168"/>
        <v/>
      </c>
      <c r="B1550" t="str">
        <f t="shared" si="169"/>
        <v/>
      </c>
      <c r="C1550" t="str">
        <f t="shared" si="170"/>
        <v/>
      </c>
      <c r="D1550" t="str">
        <f t="shared" si="171"/>
        <v/>
      </c>
      <c r="E1550" t="str">
        <f>IF(F1550="","",IF(COUNTIF($F$2:F1550,F1550)&gt;1,"",SUMIFS(tbl_input[필요수량],tbl_input[집계키_센터],F1550)))</f>
        <v/>
      </c>
      <c r="F1550" t="str">
        <f>IFERROR(INDEX(tbl_input[집계키_센터],ROW()-1),"")</f>
        <v/>
      </c>
      <c r="G1550" t="str">
        <f t="shared" si="172"/>
        <v/>
      </c>
      <c r="H1550" t="str">
        <f t="shared" si="173"/>
        <v/>
      </c>
      <c r="I1550" t="str">
        <f t="shared" si="174"/>
        <v/>
      </c>
    </row>
    <row r="1551" spans="1:9" x14ac:dyDescent="0.4">
      <c r="A1551" t="str">
        <f t="shared" si="168"/>
        <v/>
      </c>
      <c r="B1551" t="str">
        <f t="shared" si="169"/>
        <v/>
      </c>
      <c r="C1551" t="str">
        <f t="shared" si="170"/>
        <v/>
      </c>
      <c r="D1551" t="str">
        <f t="shared" si="171"/>
        <v/>
      </c>
      <c r="E1551" t="str">
        <f>IF(F1551="","",IF(COUNTIF($F$2:F1551,F1551)&gt;1,"",SUMIFS(tbl_input[필요수량],tbl_input[집계키_센터],F1551)))</f>
        <v/>
      </c>
      <c r="F1551" t="str">
        <f>IFERROR(INDEX(tbl_input[집계키_센터],ROW()-1),"")</f>
        <v/>
      </c>
      <c r="G1551" t="str">
        <f t="shared" si="172"/>
        <v/>
      </c>
      <c r="H1551" t="str">
        <f t="shared" si="173"/>
        <v/>
      </c>
      <c r="I1551" t="str">
        <f t="shared" si="174"/>
        <v/>
      </c>
    </row>
    <row r="1552" spans="1:9" x14ac:dyDescent="0.4">
      <c r="A1552" t="str">
        <f t="shared" si="168"/>
        <v/>
      </c>
      <c r="B1552" t="str">
        <f t="shared" si="169"/>
        <v/>
      </c>
      <c r="C1552" t="str">
        <f t="shared" si="170"/>
        <v/>
      </c>
      <c r="D1552" t="str">
        <f t="shared" si="171"/>
        <v/>
      </c>
      <c r="E1552" t="str">
        <f>IF(F1552="","",IF(COUNTIF($F$2:F1552,F1552)&gt;1,"",SUMIFS(tbl_input[필요수량],tbl_input[집계키_센터],F1552)))</f>
        <v/>
      </c>
      <c r="F1552" t="str">
        <f>IFERROR(INDEX(tbl_input[집계키_센터],ROW()-1),"")</f>
        <v/>
      </c>
      <c r="G1552" t="str">
        <f t="shared" si="172"/>
        <v/>
      </c>
      <c r="H1552" t="str">
        <f t="shared" si="173"/>
        <v/>
      </c>
      <c r="I1552" t="str">
        <f t="shared" si="174"/>
        <v/>
      </c>
    </row>
    <row r="1553" spans="1:9" x14ac:dyDescent="0.4">
      <c r="A1553" t="str">
        <f t="shared" si="168"/>
        <v/>
      </c>
      <c r="B1553" t="str">
        <f t="shared" si="169"/>
        <v/>
      </c>
      <c r="C1553" t="str">
        <f t="shared" si="170"/>
        <v/>
      </c>
      <c r="D1553" t="str">
        <f t="shared" si="171"/>
        <v/>
      </c>
      <c r="E1553" t="str">
        <f>IF(F1553="","",IF(COUNTIF($F$2:F1553,F1553)&gt;1,"",SUMIFS(tbl_input[필요수량],tbl_input[집계키_센터],F1553)))</f>
        <v/>
      </c>
      <c r="F1553" t="str">
        <f>IFERROR(INDEX(tbl_input[집계키_센터],ROW()-1),"")</f>
        <v/>
      </c>
      <c r="G1553" t="str">
        <f t="shared" si="172"/>
        <v/>
      </c>
      <c r="H1553" t="str">
        <f t="shared" si="173"/>
        <v/>
      </c>
      <c r="I1553" t="str">
        <f t="shared" si="174"/>
        <v/>
      </c>
    </row>
    <row r="1554" spans="1:9" x14ac:dyDescent="0.4">
      <c r="A1554" t="str">
        <f t="shared" si="168"/>
        <v/>
      </c>
      <c r="B1554" t="str">
        <f t="shared" si="169"/>
        <v/>
      </c>
      <c r="C1554" t="str">
        <f t="shared" si="170"/>
        <v/>
      </c>
      <c r="D1554" t="str">
        <f t="shared" si="171"/>
        <v/>
      </c>
      <c r="E1554" t="str">
        <f>IF(F1554="","",IF(COUNTIF($F$2:F1554,F1554)&gt;1,"",SUMIFS(tbl_input[필요수량],tbl_input[집계키_센터],F1554)))</f>
        <v/>
      </c>
      <c r="F1554" t="str">
        <f>IFERROR(INDEX(tbl_input[집계키_센터],ROW()-1),"")</f>
        <v/>
      </c>
      <c r="G1554" t="str">
        <f t="shared" si="172"/>
        <v/>
      </c>
      <c r="H1554" t="str">
        <f t="shared" si="173"/>
        <v/>
      </c>
      <c r="I1554" t="str">
        <f t="shared" si="174"/>
        <v/>
      </c>
    </row>
    <row r="1555" spans="1:9" x14ac:dyDescent="0.4">
      <c r="A1555" t="str">
        <f t="shared" si="168"/>
        <v/>
      </c>
      <c r="B1555" t="str">
        <f t="shared" si="169"/>
        <v/>
      </c>
      <c r="C1555" t="str">
        <f t="shared" si="170"/>
        <v/>
      </c>
      <c r="D1555" t="str">
        <f t="shared" si="171"/>
        <v/>
      </c>
      <c r="E1555" t="str">
        <f>IF(F1555="","",IF(COUNTIF($F$2:F1555,F1555)&gt;1,"",SUMIFS(tbl_input[필요수량],tbl_input[집계키_센터],F1555)))</f>
        <v/>
      </c>
      <c r="F1555" t="str">
        <f>IFERROR(INDEX(tbl_input[집계키_센터],ROW()-1),"")</f>
        <v/>
      </c>
      <c r="G1555" t="str">
        <f t="shared" si="172"/>
        <v/>
      </c>
      <c r="H1555" t="str">
        <f t="shared" si="173"/>
        <v/>
      </c>
      <c r="I1555" t="str">
        <f t="shared" si="174"/>
        <v/>
      </c>
    </row>
    <row r="1556" spans="1:9" x14ac:dyDescent="0.4">
      <c r="A1556" t="str">
        <f t="shared" si="168"/>
        <v/>
      </c>
      <c r="B1556" t="str">
        <f t="shared" si="169"/>
        <v/>
      </c>
      <c r="C1556" t="str">
        <f t="shared" si="170"/>
        <v/>
      </c>
      <c r="D1556" t="str">
        <f t="shared" si="171"/>
        <v/>
      </c>
      <c r="E1556" t="str">
        <f>IF(F1556="","",IF(COUNTIF($F$2:F1556,F1556)&gt;1,"",SUMIFS(tbl_input[필요수량],tbl_input[집계키_센터],F1556)))</f>
        <v/>
      </c>
      <c r="F1556" t="str">
        <f>IFERROR(INDEX(tbl_input[집계키_센터],ROW()-1),"")</f>
        <v/>
      </c>
      <c r="G1556" t="str">
        <f t="shared" si="172"/>
        <v/>
      </c>
      <c r="H1556" t="str">
        <f t="shared" si="173"/>
        <v/>
      </c>
      <c r="I1556" t="str">
        <f t="shared" si="174"/>
        <v/>
      </c>
    </row>
    <row r="1557" spans="1:9" x14ac:dyDescent="0.4">
      <c r="A1557" t="str">
        <f t="shared" si="168"/>
        <v/>
      </c>
      <c r="B1557" t="str">
        <f t="shared" si="169"/>
        <v/>
      </c>
      <c r="C1557" t="str">
        <f t="shared" si="170"/>
        <v/>
      </c>
      <c r="D1557" t="str">
        <f t="shared" si="171"/>
        <v/>
      </c>
      <c r="E1557" t="str">
        <f>IF(F1557="","",IF(COUNTIF($F$2:F1557,F1557)&gt;1,"",SUMIFS(tbl_input[필요수량],tbl_input[집계키_센터],F1557)))</f>
        <v/>
      </c>
      <c r="F1557" t="str">
        <f>IFERROR(INDEX(tbl_input[집계키_센터],ROW()-1),"")</f>
        <v/>
      </c>
      <c r="G1557" t="str">
        <f t="shared" si="172"/>
        <v/>
      </c>
      <c r="H1557" t="str">
        <f t="shared" si="173"/>
        <v/>
      </c>
      <c r="I1557" t="str">
        <f t="shared" si="174"/>
        <v/>
      </c>
    </row>
    <row r="1558" spans="1:9" x14ac:dyDescent="0.4">
      <c r="A1558" t="str">
        <f t="shared" si="168"/>
        <v/>
      </c>
      <c r="B1558" t="str">
        <f t="shared" si="169"/>
        <v/>
      </c>
      <c r="C1558" t="str">
        <f t="shared" si="170"/>
        <v/>
      </c>
      <c r="D1558" t="str">
        <f t="shared" si="171"/>
        <v/>
      </c>
      <c r="E1558" t="str">
        <f>IF(F1558="","",IF(COUNTIF($F$2:F1558,F1558)&gt;1,"",SUMIFS(tbl_input[필요수량],tbl_input[집계키_센터],F1558)))</f>
        <v/>
      </c>
      <c r="F1558" t="str">
        <f>IFERROR(INDEX(tbl_input[집계키_센터],ROW()-1),"")</f>
        <v/>
      </c>
      <c r="G1558" t="str">
        <f t="shared" si="172"/>
        <v/>
      </c>
      <c r="H1558" t="str">
        <f t="shared" si="173"/>
        <v/>
      </c>
      <c r="I1558" t="str">
        <f t="shared" si="174"/>
        <v/>
      </c>
    </row>
    <row r="1559" spans="1:9" x14ac:dyDescent="0.4">
      <c r="A1559" t="str">
        <f t="shared" si="168"/>
        <v/>
      </c>
      <c r="B1559" t="str">
        <f t="shared" si="169"/>
        <v/>
      </c>
      <c r="C1559" t="str">
        <f t="shared" si="170"/>
        <v/>
      </c>
      <c r="D1559" t="str">
        <f t="shared" si="171"/>
        <v/>
      </c>
      <c r="E1559" t="str">
        <f>IF(F1559="","",IF(COUNTIF($F$2:F1559,F1559)&gt;1,"",SUMIFS(tbl_input[필요수량],tbl_input[집계키_센터],F1559)))</f>
        <v/>
      </c>
      <c r="F1559" t="str">
        <f>IFERROR(INDEX(tbl_input[집계키_센터],ROW()-1),"")</f>
        <v/>
      </c>
      <c r="G1559" t="str">
        <f t="shared" si="172"/>
        <v/>
      </c>
      <c r="H1559" t="str">
        <f t="shared" si="173"/>
        <v/>
      </c>
      <c r="I1559" t="str">
        <f t="shared" si="174"/>
        <v/>
      </c>
    </row>
    <row r="1560" spans="1:9" x14ac:dyDescent="0.4">
      <c r="A1560" t="str">
        <f t="shared" si="168"/>
        <v/>
      </c>
      <c r="B1560" t="str">
        <f t="shared" si="169"/>
        <v/>
      </c>
      <c r="C1560" t="str">
        <f t="shared" si="170"/>
        <v/>
      </c>
      <c r="D1560" t="str">
        <f t="shared" si="171"/>
        <v/>
      </c>
      <c r="E1560" t="str">
        <f>IF(F1560="","",IF(COUNTIF($F$2:F1560,F1560)&gt;1,"",SUMIFS(tbl_input[필요수량],tbl_input[집계키_센터],F1560)))</f>
        <v/>
      </c>
      <c r="F1560" t="str">
        <f>IFERROR(INDEX(tbl_input[집계키_센터],ROW()-1),"")</f>
        <v/>
      </c>
      <c r="G1560" t="str">
        <f t="shared" si="172"/>
        <v/>
      </c>
      <c r="H1560" t="str">
        <f t="shared" si="173"/>
        <v/>
      </c>
      <c r="I1560" t="str">
        <f t="shared" si="174"/>
        <v/>
      </c>
    </row>
    <row r="1561" spans="1:9" x14ac:dyDescent="0.4">
      <c r="A1561" t="str">
        <f t="shared" si="168"/>
        <v/>
      </c>
      <c r="B1561" t="str">
        <f t="shared" si="169"/>
        <v/>
      </c>
      <c r="C1561" t="str">
        <f t="shared" si="170"/>
        <v/>
      </c>
      <c r="D1561" t="str">
        <f t="shared" si="171"/>
        <v/>
      </c>
      <c r="E1561" t="str">
        <f>IF(F1561="","",IF(COUNTIF($F$2:F1561,F1561)&gt;1,"",SUMIFS(tbl_input[필요수량],tbl_input[집계키_센터],F1561)))</f>
        <v/>
      </c>
      <c r="F1561" t="str">
        <f>IFERROR(INDEX(tbl_input[집계키_센터],ROW()-1),"")</f>
        <v/>
      </c>
      <c r="G1561" t="str">
        <f t="shared" si="172"/>
        <v/>
      </c>
      <c r="H1561" t="str">
        <f t="shared" si="173"/>
        <v/>
      </c>
      <c r="I1561" t="str">
        <f t="shared" si="174"/>
        <v/>
      </c>
    </row>
    <row r="1562" spans="1:9" x14ac:dyDescent="0.4">
      <c r="A1562" t="str">
        <f t="shared" si="168"/>
        <v/>
      </c>
      <c r="B1562" t="str">
        <f t="shared" si="169"/>
        <v/>
      </c>
      <c r="C1562" t="str">
        <f t="shared" si="170"/>
        <v/>
      </c>
      <c r="D1562" t="str">
        <f t="shared" si="171"/>
        <v/>
      </c>
      <c r="E1562" t="str">
        <f>IF(F1562="","",IF(COUNTIF($F$2:F1562,F1562)&gt;1,"",SUMIFS(tbl_input[필요수량],tbl_input[집계키_센터],F1562)))</f>
        <v/>
      </c>
      <c r="F1562" t="str">
        <f>IFERROR(INDEX(tbl_input[집계키_센터],ROW()-1),"")</f>
        <v/>
      </c>
      <c r="G1562" t="str">
        <f t="shared" si="172"/>
        <v/>
      </c>
      <c r="H1562" t="str">
        <f t="shared" si="173"/>
        <v/>
      </c>
      <c r="I1562" t="str">
        <f t="shared" si="174"/>
        <v/>
      </c>
    </row>
    <row r="1563" spans="1:9" x14ac:dyDescent="0.4">
      <c r="A1563" t="str">
        <f t="shared" si="168"/>
        <v/>
      </c>
      <c r="B1563" t="str">
        <f t="shared" si="169"/>
        <v/>
      </c>
      <c r="C1563" t="str">
        <f t="shared" si="170"/>
        <v/>
      </c>
      <c r="D1563" t="str">
        <f t="shared" si="171"/>
        <v/>
      </c>
      <c r="E1563" t="str">
        <f>IF(F1563="","",IF(COUNTIF($F$2:F1563,F1563)&gt;1,"",SUMIFS(tbl_input[필요수량],tbl_input[집계키_센터],F1563)))</f>
        <v/>
      </c>
      <c r="F1563" t="str">
        <f>IFERROR(INDEX(tbl_input[집계키_센터],ROW()-1),"")</f>
        <v/>
      </c>
      <c r="G1563" t="str">
        <f t="shared" si="172"/>
        <v/>
      </c>
      <c r="H1563" t="str">
        <f t="shared" si="173"/>
        <v/>
      </c>
      <c r="I1563" t="str">
        <f t="shared" si="174"/>
        <v/>
      </c>
    </row>
    <row r="1564" spans="1:9" x14ac:dyDescent="0.4">
      <c r="A1564" t="str">
        <f t="shared" si="168"/>
        <v/>
      </c>
      <c r="B1564" t="str">
        <f t="shared" si="169"/>
        <v/>
      </c>
      <c r="C1564" t="str">
        <f t="shared" si="170"/>
        <v/>
      </c>
      <c r="D1564" t="str">
        <f t="shared" si="171"/>
        <v/>
      </c>
      <c r="E1564" t="str">
        <f>IF(F1564="","",IF(COUNTIF($F$2:F1564,F1564)&gt;1,"",SUMIFS(tbl_input[필요수량],tbl_input[집계키_센터],F1564)))</f>
        <v/>
      </c>
      <c r="F1564" t="str">
        <f>IFERROR(INDEX(tbl_input[집계키_센터],ROW()-1),"")</f>
        <v/>
      </c>
      <c r="G1564" t="str">
        <f t="shared" si="172"/>
        <v/>
      </c>
      <c r="H1564" t="str">
        <f t="shared" si="173"/>
        <v/>
      </c>
      <c r="I1564" t="str">
        <f t="shared" si="174"/>
        <v/>
      </c>
    </row>
    <row r="1565" spans="1:9" x14ac:dyDescent="0.4">
      <c r="A1565" t="str">
        <f t="shared" si="168"/>
        <v/>
      </c>
      <c r="B1565" t="str">
        <f t="shared" si="169"/>
        <v/>
      </c>
      <c r="C1565" t="str">
        <f t="shared" si="170"/>
        <v/>
      </c>
      <c r="D1565" t="str">
        <f t="shared" si="171"/>
        <v/>
      </c>
      <c r="E1565" t="str">
        <f>IF(F1565="","",IF(COUNTIF($F$2:F1565,F1565)&gt;1,"",SUMIFS(tbl_input[필요수량],tbl_input[집계키_센터],F1565)))</f>
        <v/>
      </c>
      <c r="F1565" t="str">
        <f>IFERROR(INDEX(tbl_input[집계키_센터],ROW()-1),"")</f>
        <v/>
      </c>
      <c r="G1565" t="str">
        <f t="shared" si="172"/>
        <v/>
      </c>
      <c r="H1565" t="str">
        <f t="shared" si="173"/>
        <v/>
      </c>
      <c r="I1565" t="str">
        <f t="shared" si="174"/>
        <v/>
      </c>
    </row>
    <row r="1566" spans="1:9" x14ac:dyDescent="0.4">
      <c r="A1566" t="str">
        <f t="shared" si="168"/>
        <v/>
      </c>
      <c r="B1566" t="str">
        <f t="shared" si="169"/>
        <v/>
      </c>
      <c r="C1566" t="str">
        <f t="shared" si="170"/>
        <v/>
      </c>
      <c r="D1566" t="str">
        <f t="shared" si="171"/>
        <v/>
      </c>
      <c r="E1566" t="str">
        <f>IF(F1566="","",IF(COUNTIF($F$2:F1566,F1566)&gt;1,"",SUMIFS(tbl_input[필요수량],tbl_input[집계키_센터],F1566)))</f>
        <v/>
      </c>
      <c r="F1566" t="str">
        <f>IFERROR(INDEX(tbl_input[집계키_센터],ROW()-1),"")</f>
        <v/>
      </c>
      <c r="G1566" t="str">
        <f t="shared" si="172"/>
        <v/>
      </c>
      <c r="H1566" t="str">
        <f t="shared" si="173"/>
        <v/>
      </c>
      <c r="I1566" t="str">
        <f t="shared" si="174"/>
        <v/>
      </c>
    </row>
    <row r="1567" spans="1:9" x14ac:dyDescent="0.4">
      <c r="A1567" t="str">
        <f t="shared" si="168"/>
        <v/>
      </c>
      <c r="B1567" t="str">
        <f t="shared" si="169"/>
        <v/>
      </c>
      <c r="C1567" t="str">
        <f t="shared" si="170"/>
        <v/>
      </c>
      <c r="D1567" t="str">
        <f t="shared" si="171"/>
        <v/>
      </c>
      <c r="E1567" t="str">
        <f>IF(F1567="","",IF(COUNTIF($F$2:F1567,F1567)&gt;1,"",SUMIFS(tbl_input[필요수량],tbl_input[집계키_센터],F1567)))</f>
        <v/>
      </c>
      <c r="F1567" t="str">
        <f>IFERROR(INDEX(tbl_input[집계키_센터],ROW()-1),"")</f>
        <v/>
      </c>
      <c r="G1567" t="str">
        <f t="shared" si="172"/>
        <v/>
      </c>
      <c r="H1567" t="str">
        <f t="shared" si="173"/>
        <v/>
      </c>
      <c r="I1567" t="str">
        <f t="shared" si="174"/>
        <v/>
      </c>
    </row>
    <row r="1568" spans="1:9" x14ac:dyDescent="0.4">
      <c r="A1568" t="str">
        <f t="shared" si="168"/>
        <v/>
      </c>
      <c r="B1568" t="str">
        <f t="shared" si="169"/>
        <v/>
      </c>
      <c r="C1568" t="str">
        <f t="shared" si="170"/>
        <v/>
      </c>
      <c r="D1568" t="str">
        <f t="shared" si="171"/>
        <v/>
      </c>
      <c r="E1568" t="str">
        <f>IF(F1568="","",IF(COUNTIF($F$2:F1568,F1568)&gt;1,"",SUMIFS(tbl_input[필요수량],tbl_input[집계키_센터],F1568)))</f>
        <v/>
      </c>
      <c r="F1568" t="str">
        <f>IFERROR(INDEX(tbl_input[집계키_센터],ROW()-1),"")</f>
        <v/>
      </c>
      <c r="G1568" t="str">
        <f t="shared" si="172"/>
        <v/>
      </c>
      <c r="H1568" t="str">
        <f t="shared" si="173"/>
        <v/>
      </c>
      <c r="I1568" t="str">
        <f t="shared" si="174"/>
        <v/>
      </c>
    </row>
    <row r="1569" spans="1:9" x14ac:dyDescent="0.4">
      <c r="A1569" t="str">
        <f t="shared" si="168"/>
        <v/>
      </c>
      <c r="B1569" t="str">
        <f t="shared" si="169"/>
        <v/>
      </c>
      <c r="C1569" t="str">
        <f t="shared" si="170"/>
        <v/>
      </c>
      <c r="D1569" t="str">
        <f t="shared" si="171"/>
        <v/>
      </c>
      <c r="E1569" t="str">
        <f>IF(F1569="","",IF(COUNTIF($F$2:F1569,F1569)&gt;1,"",SUMIFS(tbl_input[필요수량],tbl_input[집계키_센터],F1569)))</f>
        <v/>
      </c>
      <c r="F1569" t="str">
        <f>IFERROR(INDEX(tbl_input[집계키_센터],ROW()-1),"")</f>
        <v/>
      </c>
      <c r="G1569" t="str">
        <f t="shared" si="172"/>
        <v/>
      </c>
      <c r="H1569" t="str">
        <f t="shared" si="173"/>
        <v/>
      </c>
      <c r="I1569" t="str">
        <f t="shared" si="174"/>
        <v/>
      </c>
    </row>
    <row r="1570" spans="1:9" x14ac:dyDescent="0.4">
      <c r="A1570" t="str">
        <f t="shared" si="168"/>
        <v/>
      </c>
      <c r="B1570" t="str">
        <f t="shared" si="169"/>
        <v/>
      </c>
      <c r="C1570" t="str">
        <f t="shared" si="170"/>
        <v/>
      </c>
      <c r="D1570" t="str">
        <f t="shared" si="171"/>
        <v/>
      </c>
      <c r="E1570" t="str">
        <f>IF(F1570="","",IF(COUNTIF($F$2:F1570,F1570)&gt;1,"",SUMIFS(tbl_input[필요수량],tbl_input[집계키_센터],F1570)))</f>
        <v/>
      </c>
      <c r="F1570" t="str">
        <f>IFERROR(INDEX(tbl_input[집계키_센터],ROW()-1),"")</f>
        <v/>
      </c>
      <c r="G1570" t="str">
        <f t="shared" si="172"/>
        <v/>
      </c>
      <c r="H1570" t="str">
        <f t="shared" si="173"/>
        <v/>
      </c>
      <c r="I1570" t="str">
        <f t="shared" si="174"/>
        <v/>
      </c>
    </row>
    <row r="1571" spans="1:9" x14ac:dyDescent="0.4">
      <c r="A1571" t="str">
        <f t="shared" si="168"/>
        <v/>
      </c>
      <c r="B1571" t="str">
        <f t="shared" si="169"/>
        <v/>
      </c>
      <c r="C1571" t="str">
        <f t="shared" si="170"/>
        <v/>
      </c>
      <c r="D1571" t="str">
        <f t="shared" si="171"/>
        <v/>
      </c>
      <c r="E1571" t="str">
        <f>IF(F1571="","",IF(COUNTIF($F$2:F1571,F1571)&gt;1,"",SUMIFS(tbl_input[필요수량],tbl_input[집계키_센터],F1571)))</f>
        <v/>
      </c>
      <c r="F1571" t="str">
        <f>IFERROR(INDEX(tbl_input[집계키_센터],ROW()-1),"")</f>
        <v/>
      </c>
      <c r="G1571" t="str">
        <f t="shared" si="172"/>
        <v/>
      </c>
      <c r="H1571" t="str">
        <f t="shared" si="173"/>
        <v/>
      </c>
      <c r="I1571" t="str">
        <f t="shared" si="174"/>
        <v/>
      </c>
    </row>
    <row r="1572" spans="1:9" x14ac:dyDescent="0.4">
      <c r="A1572" t="str">
        <f t="shared" si="168"/>
        <v/>
      </c>
      <c r="B1572" t="str">
        <f t="shared" si="169"/>
        <v/>
      </c>
      <c r="C1572" t="str">
        <f t="shared" si="170"/>
        <v/>
      </c>
      <c r="D1572" t="str">
        <f t="shared" si="171"/>
        <v/>
      </c>
      <c r="E1572" t="str">
        <f>IF(F1572="","",IF(COUNTIF($F$2:F1572,F1572)&gt;1,"",SUMIFS(tbl_input[필요수량],tbl_input[집계키_센터],F1572)))</f>
        <v/>
      </c>
      <c r="F1572" t="str">
        <f>IFERROR(INDEX(tbl_input[집계키_센터],ROW()-1),"")</f>
        <v/>
      </c>
      <c r="G1572" t="str">
        <f t="shared" si="172"/>
        <v/>
      </c>
      <c r="H1572" t="str">
        <f t="shared" si="173"/>
        <v/>
      </c>
      <c r="I1572" t="str">
        <f t="shared" si="174"/>
        <v/>
      </c>
    </row>
    <row r="1573" spans="1:9" x14ac:dyDescent="0.4">
      <c r="A1573" t="str">
        <f t="shared" si="168"/>
        <v/>
      </c>
      <c r="B1573" t="str">
        <f t="shared" si="169"/>
        <v/>
      </c>
      <c r="C1573" t="str">
        <f t="shared" si="170"/>
        <v/>
      </c>
      <c r="D1573" t="str">
        <f t="shared" si="171"/>
        <v/>
      </c>
      <c r="E1573" t="str">
        <f>IF(F1573="","",IF(COUNTIF($F$2:F1573,F1573)&gt;1,"",SUMIFS(tbl_input[필요수량],tbl_input[집계키_센터],F1573)))</f>
        <v/>
      </c>
      <c r="F1573" t="str">
        <f>IFERROR(INDEX(tbl_input[집계키_센터],ROW()-1),"")</f>
        <v/>
      </c>
      <c r="G1573" t="str">
        <f t="shared" si="172"/>
        <v/>
      </c>
      <c r="H1573" t="str">
        <f t="shared" si="173"/>
        <v/>
      </c>
      <c r="I1573" t="str">
        <f t="shared" si="174"/>
        <v/>
      </c>
    </row>
    <row r="1574" spans="1:9" x14ac:dyDescent="0.4">
      <c r="A1574" t="str">
        <f t="shared" si="168"/>
        <v/>
      </c>
      <c r="B1574" t="str">
        <f t="shared" si="169"/>
        <v/>
      </c>
      <c r="C1574" t="str">
        <f t="shared" si="170"/>
        <v/>
      </c>
      <c r="D1574" t="str">
        <f t="shared" si="171"/>
        <v/>
      </c>
      <c r="E1574" t="str">
        <f>IF(F1574="","",IF(COUNTIF($F$2:F1574,F1574)&gt;1,"",SUMIFS(tbl_input[필요수량],tbl_input[집계키_센터],F1574)))</f>
        <v/>
      </c>
      <c r="F1574" t="str">
        <f>IFERROR(INDEX(tbl_input[집계키_센터],ROW()-1),"")</f>
        <v/>
      </c>
      <c r="G1574" t="str">
        <f t="shared" si="172"/>
        <v/>
      </c>
      <c r="H1574" t="str">
        <f t="shared" si="173"/>
        <v/>
      </c>
      <c r="I1574" t="str">
        <f t="shared" si="174"/>
        <v/>
      </c>
    </row>
    <row r="1575" spans="1:9" x14ac:dyDescent="0.4">
      <c r="A1575" t="str">
        <f t="shared" si="168"/>
        <v/>
      </c>
      <c r="B1575" t="str">
        <f t="shared" si="169"/>
        <v/>
      </c>
      <c r="C1575" t="str">
        <f t="shared" si="170"/>
        <v/>
      </c>
      <c r="D1575" t="str">
        <f t="shared" si="171"/>
        <v/>
      </c>
      <c r="E1575" t="str">
        <f>IF(F1575="","",IF(COUNTIF($F$2:F1575,F1575)&gt;1,"",SUMIFS(tbl_input[필요수량],tbl_input[집계키_센터],F1575)))</f>
        <v/>
      </c>
      <c r="F1575" t="str">
        <f>IFERROR(INDEX(tbl_input[집계키_센터],ROW()-1),"")</f>
        <v/>
      </c>
      <c r="G1575" t="str">
        <f t="shared" si="172"/>
        <v/>
      </c>
      <c r="H1575" t="str">
        <f t="shared" si="173"/>
        <v/>
      </c>
      <c r="I1575" t="str">
        <f t="shared" si="174"/>
        <v/>
      </c>
    </row>
    <row r="1576" spans="1:9" x14ac:dyDescent="0.4">
      <c r="A1576" t="str">
        <f t="shared" si="168"/>
        <v/>
      </c>
      <c r="B1576" t="str">
        <f t="shared" si="169"/>
        <v/>
      </c>
      <c r="C1576" t="str">
        <f t="shared" si="170"/>
        <v/>
      </c>
      <c r="D1576" t="str">
        <f t="shared" si="171"/>
        <v/>
      </c>
      <c r="E1576" t="str">
        <f>IF(F1576="","",IF(COUNTIF($F$2:F1576,F1576)&gt;1,"",SUMIFS(tbl_input[필요수량],tbl_input[집계키_센터],F1576)))</f>
        <v/>
      </c>
      <c r="F1576" t="str">
        <f>IFERROR(INDEX(tbl_input[집계키_센터],ROW()-1),"")</f>
        <v/>
      </c>
      <c r="G1576" t="str">
        <f t="shared" si="172"/>
        <v/>
      </c>
      <c r="H1576" t="str">
        <f t="shared" si="173"/>
        <v/>
      </c>
      <c r="I1576" t="str">
        <f t="shared" si="174"/>
        <v/>
      </c>
    </row>
    <row r="1577" spans="1:9" x14ac:dyDescent="0.4">
      <c r="A1577" t="str">
        <f t="shared" si="168"/>
        <v/>
      </c>
      <c r="B1577" t="str">
        <f t="shared" si="169"/>
        <v/>
      </c>
      <c r="C1577" t="str">
        <f t="shared" si="170"/>
        <v/>
      </c>
      <c r="D1577" t="str">
        <f t="shared" si="171"/>
        <v/>
      </c>
      <c r="E1577" t="str">
        <f>IF(F1577="","",IF(COUNTIF($F$2:F1577,F1577)&gt;1,"",SUMIFS(tbl_input[필요수량],tbl_input[집계키_센터],F1577)))</f>
        <v/>
      </c>
      <c r="F1577" t="str">
        <f>IFERROR(INDEX(tbl_input[집계키_센터],ROW()-1),"")</f>
        <v/>
      </c>
      <c r="G1577" t="str">
        <f t="shared" si="172"/>
        <v/>
      </c>
      <c r="H1577" t="str">
        <f t="shared" si="173"/>
        <v/>
      </c>
      <c r="I1577" t="str">
        <f t="shared" si="174"/>
        <v/>
      </c>
    </row>
    <row r="1578" spans="1:9" x14ac:dyDescent="0.4">
      <c r="A1578" t="str">
        <f t="shared" si="168"/>
        <v/>
      </c>
      <c r="B1578" t="str">
        <f t="shared" si="169"/>
        <v/>
      </c>
      <c r="C1578" t="str">
        <f t="shared" si="170"/>
        <v/>
      </c>
      <c r="D1578" t="str">
        <f t="shared" si="171"/>
        <v/>
      </c>
      <c r="E1578" t="str">
        <f>IF(F1578="","",IF(COUNTIF($F$2:F1578,F1578)&gt;1,"",SUMIFS(tbl_input[필요수량],tbl_input[집계키_센터],F1578)))</f>
        <v/>
      </c>
      <c r="F1578" t="str">
        <f>IFERROR(INDEX(tbl_input[집계키_센터],ROW()-1),"")</f>
        <v/>
      </c>
      <c r="G1578" t="str">
        <f t="shared" si="172"/>
        <v/>
      </c>
      <c r="H1578" t="str">
        <f t="shared" si="173"/>
        <v/>
      </c>
      <c r="I1578" t="str">
        <f t="shared" si="174"/>
        <v/>
      </c>
    </row>
    <row r="1579" spans="1:9" x14ac:dyDescent="0.4">
      <c r="A1579" t="str">
        <f t="shared" si="168"/>
        <v/>
      </c>
      <c r="B1579" t="str">
        <f t="shared" si="169"/>
        <v/>
      </c>
      <c r="C1579" t="str">
        <f t="shared" si="170"/>
        <v/>
      </c>
      <c r="D1579" t="str">
        <f t="shared" si="171"/>
        <v/>
      </c>
      <c r="E1579" t="str">
        <f>IF(F1579="","",IF(COUNTIF($F$2:F1579,F1579)&gt;1,"",SUMIFS(tbl_input[필요수량],tbl_input[집계키_센터],F1579)))</f>
        <v/>
      </c>
      <c r="F1579" t="str">
        <f>IFERROR(INDEX(tbl_input[집계키_센터],ROW()-1),"")</f>
        <v/>
      </c>
      <c r="G1579" t="str">
        <f t="shared" si="172"/>
        <v/>
      </c>
      <c r="H1579" t="str">
        <f t="shared" si="173"/>
        <v/>
      </c>
      <c r="I1579" t="str">
        <f t="shared" si="174"/>
        <v/>
      </c>
    </row>
    <row r="1580" spans="1:9" x14ac:dyDescent="0.4">
      <c r="A1580" t="str">
        <f t="shared" si="168"/>
        <v/>
      </c>
      <c r="B1580" t="str">
        <f t="shared" si="169"/>
        <v/>
      </c>
      <c r="C1580" t="str">
        <f t="shared" si="170"/>
        <v/>
      </c>
      <c r="D1580" t="str">
        <f t="shared" si="171"/>
        <v/>
      </c>
      <c r="E1580" t="str">
        <f>IF(F1580="","",IF(COUNTIF($F$2:F1580,F1580)&gt;1,"",SUMIFS(tbl_input[필요수량],tbl_input[집계키_센터],F1580)))</f>
        <v/>
      </c>
      <c r="F1580" t="str">
        <f>IFERROR(INDEX(tbl_input[집계키_센터],ROW()-1),"")</f>
        <v/>
      </c>
      <c r="G1580" t="str">
        <f t="shared" si="172"/>
        <v/>
      </c>
      <c r="H1580" t="str">
        <f t="shared" si="173"/>
        <v/>
      </c>
      <c r="I1580" t="str">
        <f t="shared" si="174"/>
        <v/>
      </c>
    </row>
    <row r="1581" spans="1:9" x14ac:dyDescent="0.4">
      <c r="A1581" t="str">
        <f t="shared" si="168"/>
        <v/>
      </c>
      <c r="B1581" t="str">
        <f t="shared" si="169"/>
        <v/>
      </c>
      <c r="C1581" t="str">
        <f t="shared" si="170"/>
        <v/>
      </c>
      <c r="D1581" t="str">
        <f t="shared" si="171"/>
        <v/>
      </c>
      <c r="E1581" t="str">
        <f>IF(F1581="","",IF(COUNTIF($F$2:F1581,F1581)&gt;1,"",SUMIFS(tbl_input[필요수량],tbl_input[집계키_센터],F1581)))</f>
        <v/>
      </c>
      <c r="F1581" t="str">
        <f>IFERROR(INDEX(tbl_input[집계키_센터],ROW()-1),"")</f>
        <v/>
      </c>
      <c r="G1581" t="str">
        <f t="shared" si="172"/>
        <v/>
      </c>
      <c r="H1581" t="str">
        <f t="shared" si="173"/>
        <v/>
      </c>
      <c r="I1581" t="str">
        <f t="shared" si="174"/>
        <v/>
      </c>
    </row>
    <row r="1582" spans="1:9" x14ac:dyDescent="0.4">
      <c r="A1582" t="str">
        <f t="shared" si="168"/>
        <v/>
      </c>
      <c r="B1582" t="str">
        <f t="shared" si="169"/>
        <v/>
      </c>
      <c r="C1582" t="str">
        <f t="shared" si="170"/>
        <v/>
      </c>
      <c r="D1582" t="str">
        <f t="shared" si="171"/>
        <v/>
      </c>
      <c r="E1582" t="str">
        <f>IF(F1582="","",IF(COUNTIF($F$2:F1582,F1582)&gt;1,"",SUMIFS(tbl_input[필요수량],tbl_input[집계키_센터],F1582)))</f>
        <v/>
      </c>
      <c r="F1582" t="str">
        <f>IFERROR(INDEX(tbl_input[집계키_센터],ROW()-1),"")</f>
        <v/>
      </c>
      <c r="G1582" t="str">
        <f t="shared" si="172"/>
        <v/>
      </c>
      <c r="H1582" t="str">
        <f t="shared" si="173"/>
        <v/>
      </c>
      <c r="I1582" t="str">
        <f t="shared" si="174"/>
        <v/>
      </c>
    </row>
    <row r="1583" spans="1:9" x14ac:dyDescent="0.4">
      <c r="A1583" t="str">
        <f t="shared" si="168"/>
        <v/>
      </c>
      <c r="B1583" t="str">
        <f t="shared" si="169"/>
        <v/>
      </c>
      <c r="C1583" t="str">
        <f t="shared" si="170"/>
        <v/>
      </c>
      <c r="D1583" t="str">
        <f t="shared" si="171"/>
        <v/>
      </c>
      <c r="E1583" t="str">
        <f>IF(F1583="","",IF(COUNTIF($F$2:F1583,F1583)&gt;1,"",SUMIFS(tbl_input[필요수량],tbl_input[집계키_센터],F1583)))</f>
        <v/>
      </c>
      <c r="F1583" t="str">
        <f>IFERROR(INDEX(tbl_input[집계키_센터],ROW()-1),"")</f>
        <v/>
      </c>
      <c r="G1583" t="str">
        <f t="shared" si="172"/>
        <v/>
      </c>
      <c r="H1583" t="str">
        <f t="shared" si="173"/>
        <v/>
      </c>
      <c r="I1583" t="str">
        <f t="shared" si="174"/>
        <v/>
      </c>
    </row>
    <row r="1584" spans="1:9" x14ac:dyDescent="0.4">
      <c r="A1584" t="str">
        <f t="shared" si="168"/>
        <v/>
      </c>
      <c r="B1584" t="str">
        <f t="shared" si="169"/>
        <v/>
      </c>
      <c r="C1584" t="str">
        <f t="shared" si="170"/>
        <v/>
      </c>
      <c r="D1584" t="str">
        <f t="shared" si="171"/>
        <v/>
      </c>
      <c r="E1584" t="str">
        <f>IF(F1584="","",IF(COUNTIF($F$2:F1584,F1584)&gt;1,"",SUMIFS(tbl_input[필요수량],tbl_input[집계키_센터],F1584)))</f>
        <v/>
      </c>
      <c r="F1584" t="str">
        <f>IFERROR(INDEX(tbl_input[집계키_센터],ROW()-1),"")</f>
        <v/>
      </c>
      <c r="G1584" t="str">
        <f t="shared" si="172"/>
        <v/>
      </c>
      <c r="H1584" t="str">
        <f t="shared" si="173"/>
        <v/>
      </c>
      <c r="I1584" t="str">
        <f t="shared" si="174"/>
        <v/>
      </c>
    </row>
    <row r="1585" spans="1:9" x14ac:dyDescent="0.4">
      <c r="A1585" t="str">
        <f t="shared" si="168"/>
        <v/>
      </c>
      <c r="B1585" t="str">
        <f t="shared" si="169"/>
        <v/>
      </c>
      <c r="C1585" t="str">
        <f t="shared" si="170"/>
        <v/>
      </c>
      <c r="D1585" t="str">
        <f t="shared" si="171"/>
        <v/>
      </c>
      <c r="E1585" t="str">
        <f>IF(F1585="","",IF(COUNTIF($F$2:F1585,F1585)&gt;1,"",SUMIFS(tbl_input[필요수량],tbl_input[집계키_센터],F1585)))</f>
        <v/>
      </c>
      <c r="F1585" t="str">
        <f>IFERROR(INDEX(tbl_input[집계키_센터],ROW()-1),"")</f>
        <v/>
      </c>
      <c r="G1585" t="str">
        <f t="shared" si="172"/>
        <v/>
      </c>
      <c r="H1585" t="str">
        <f t="shared" si="173"/>
        <v/>
      </c>
      <c r="I1585" t="str">
        <f t="shared" si="174"/>
        <v/>
      </c>
    </row>
    <row r="1586" spans="1:9" x14ac:dyDescent="0.4">
      <c r="A1586" t="str">
        <f t="shared" si="168"/>
        <v/>
      </c>
      <c r="B1586" t="str">
        <f t="shared" si="169"/>
        <v/>
      </c>
      <c r="C1586" t="str">
        <f t="shared" si="170"/>
        <v/>
      </c>
      <c r="D1586" t="str">
        <f t="shared" si="171"/>
        <v/>
      </c>
      <c r="E1586" t="str">
        <f>IF(F1586="","",IF(COUNTIF($F$2:F1586,F1586)&gt;1,"",SUMIFS(tbl_input[필요수량],tbl_input[집계키_센터],F1586)))</f>
        <v/>
      </c>
      <c r="F1586" t="str">
        <f>IFERROR(INDEX(tbl_input[집계키_센터],ROW()-1),"")</f>
        <v/>
      </c>
      <c r="G1586" t="str">
        <f t="shared" si="172"/>
        <v/>
      </c>
      <c r="H1586" t="str">
        <f t="shared" si="173"/>
        <v/>
      </c>
      <c r="I1586" t="str">
        <f t="shared" si="174"/>
        <v/>
      </c>
    </row>
    <row r="1587" spans="1:9" x14ac:dyDescent="0.4">
      <c r="A1587" t="str">
        <f t="shared" si="168"/>
        <v/>
      </c>
      <c r="B1587" t="str">
        <f t="shared" si="169"/>
        <v/>
      </c>
      <c r="C1587" t="str">
        <f t="shared" si="170"/>
        <v/>
      </c>
      <c r="D1587" t="str">
        <f t="shared" si="171"/>
        <v/>
      </c>
      <c r="E1587" t="str">
        <f>IF(F1587="","",IF(COUNTIF($F$2:F1587,F1587)&gt;1,"",SUMIFS(tbl_input[필요수량],tbl_input[집계키_센터],F1587)))</f>
        <v/>
      </c>
      <c r="F1587" t="str">
        <f>IFERROR(INDEX(tbl_input[집계키_센터],ROW()-1),"")</f>
        <v/>
      </c>
      <c r="G1587" t="str">
        <f t="shared" si="172"/>
        <v/>
      </c>
      <c r="H1587" t="str">
        <f t="shared" si="173"/>
        <v/>
      </c>
      <c r="I1587" t="str">
        <f t="shared" si="174"/>
        <v/>
      </c>
    </row>
    <row r="1588" spans="1:9" x14ac:dyDescent="0.4">
      <c r="A1588" t="str">
        <f t="shared" si="168"/>
        <v/>
      </c>
      <c r="B1588" t="str">
        <f t="shared" si="169"/>
        <v/>
      </c>
      <c r="C1588" t="str">
        <f t="shared" si="170"/>
        <v/>
      </c>
      <c r="D1588" t="str">
        <f t="shared" si="171"/>
        <v/>
      </c>
      <c r="E1588" t="str">
        <f>IF(F1588="","",IF(COUNTIF($F$2:F1588,F1588)&gt;1,"",SUMIFS(tbl_input[필요수량],tbl_input[집계키_센터],F1588)))</f>
        <v/>
      </c>
      <c r="F1588" t="str">
        <f>IFERROR(INDEX(tbl_input[집계키_센터],ROW()-1),"")</f>
        <v/>
      </c>
      <c r="G1588" t="str">
        <f t="shared" si="172"/>
        <v/>
      </c>
      <c r="H1588" t="str">
        <f t="shared" si="173"/>
        <v/>
      </c>
      <c r="I1588" t="str">
        <f t="shared" si="174"/>
        <v/>
      </c>
    </row>
    <row r="1589" spans="1:9" x14ac:dyDescent="0.4">
      <c r="A1589" t="str">
        <f t="shared" si="168"/>
        <v/>
      </c>
      <c r="B1589" t="str">
        <f t="shared" si="169"/>
        <v/>
      </c>
      <c r="C1589" t="str">
        <f t="shared" si="170"/>
        <v/>
      </c>
      <c r="D1589" t="str">
        <f t="shared" si="171"/>
        <v/>
      </c>
      <c r="E1589" t="str">
        <f>IF(F1589="","",IF(COUNTIF($F$2:F1589,F1589)&gt;1,"",SUMIFS(tbl_input[필요수량],tbl_input[집계키_센터],F1589)))</f>
        <v/>
      </c>
      <c r="F1589" t="str">
        <f>IFERROR(INDEX(tbl_input[집계키_센터],ROW()-1),"")</f>
        <v/>
      </c>
      <c r="G1589" t="str">
        <f t="shared" si="172"/>
        <v/>
      </c>
      <c r="H1589" t="str">
        <f t="shared" si="173"/>
        <v/>
      </c>
      <c r="I1589" t="str">
        <f t="shared" si="174"/>
        <v/>
      </c>
    </row>
    <row r="1590" spans="1:9" x14ac:dyDescent="0.4">
      <c r="A1590" t="str">
        <f t="shared" si="168"/>
        <v/>
      </c>
      <c r="B1590" t="str">
        <f t="shared" si="169"/>
        <v/>
      </c>
      <c r="C1590" t="str">
        <f t="shared" si="170"/>
        <v/>
      </c>
      <c r="D1590" t="str">
        <f t="shared" si="171"/>
        <v/>
      </c>
      <c r="E1590" t="str">
        <f>IF(F1590="","",IF(COUNTIF($F$2:F1590,F1590)&gt;1,"",SUMIFS(tbl_input[필요수량],tbl_input[집계키_센터],F1590)))</f>
        <v/>
      </c>
      <c r="F1590" t="str">
        <f>IFERROR(INDEX(tbl_input[집계키_센터],ROW()-1),"")</f>
        <v/>
      </c>
      <c r="G1590" t="str">
        <f t="shared" si="172"/>
        <v/>
      </c>
      <c r="H1590" t="str">
        <f t="shared" si="173"/>
        <v/>
      </c>
      <c r="I1590" t="str">
        <f t="shared" si="174"/>
        <v/>
      </c>
    </row>
    <row r="1591" spans="1:9" x14ac:dyDescent="0.4">
      <c r="A1591" t="str">
        <f t="shared" si="168"/>
        <v/>
      </c>
      <c r="B1591" t="str">
        <f t="shared" si="169"/>
        <v/>
      </c>
      <c r="C1591" t="str">
        <f t="shared" si="170"/>
        <v/>
      </c>
      <c r="D1591" t="str">
        <f t="shared" si="171"/>
        <v/>
      </c>
      <c r="E1591" t="str">
        <f>IF(F1591="","",IF(COUNTIF($F$2:F1591,F1591)&gt;1,"",SUMIFS(tbl_input[필요수량],tbl_input[집계키_센터],F1591)))</f>
        <v/>
      </c>
      <c r="F1591" t="str">
        <f>IFERROR(INDEX(tbl_input[집계키_센터],ROW()-1),"")</f>
        <v/>
      </c>
      <c r="G1591" t="str">
        <f t="shared" si="172"/>
        <v/>
      </c>
      <c r="H1591" t="str">
        <f t="shared" si="173"/>
        <v/>
      </c>
      <c r="I1591" t="str">
        <f t="shared" si="174"/>
        <v/>
      </c>
    </row>
    <row r="1592" spans="1:9" x14ac:dyDescent="0.4">
      <c r="A1592" t="str">
        <f t="shared" si="168"/>
        <v/>
      </c>
      <c r="B1592" t="str">
        <f t="shared" si="169"/>
        <v/>
      </c>
      <c r="C1592" t="str">
        <f t="shared" si="170"/>
        <v/>
      </c>
      <c r="D1592" t="str">
        <f t="shared" si="171"/>
        <v/>
      </c>
      <c r="E1592" t="str">
        <f>IF(F1592="","",IF(COUNTIF($F$2:F1592,F1592)&gt;1,"",SUMIFS(tbl_input[필요수량],tbl_input[집계키_센터],F1592)))</f>
        <v/>
      </c>
      <c r="F1592" t="str">
        <f>IFERROR(INDEX(tbl_input[집계키_센터],ROW()-1),"")</f>
        <v/>
      </c>
      <c r="G1592" t="str">
        <f t="shared" si="172"/>
        <v/>
      </c>
      <c r="H1592" t="str">
        <f t="shared" si="173"/>
        <v/>
      </c>
      <c r="I1592" t="str">
        <f t="shared" si="174"/>
        <v/>
      </c>
    </row>
    <row r="1593" spans="1:9" x14ac:dyDescent="0.4">
      <c r="A1593" t="str">
        <f t="shared" si="168"/>
        <v/>
      </c>
      <c r="B1593" t="str">
        <f t="shared" si="169"/>
        <v/>
      </c>
      <c r="C1593" t="str">
        <f t="shared" si="170"/>
        <v/>
      </c>
      <c r="D1593" t="str">
        <f t="shared" si="171"/>
        <v/>
      </c>
      <c r="E1593" t="str">
        <f>IF(F1593="","",IF(COUNTIF($F$2:F1593,F1593)&gt;1,"",SUMIFS(tbl_input[필요수량],tbl_input[집계키_센터],F1593)))</f>
        <v/>
      </c>
      <c r="F1593" t="str">
        <f>IFERROR(INDEX(tbl_input[집계키_센터],ROW()-1),"")</f>
        <v/>
      </c>
      <c r="G1593" t="str">
        <f t="shared" si="172"/>
        <v/>
      </c>
      <c r="H1593" t="str">
        <f t="shared" si="173"/>
        <v/>
      </c>
      <c r="I1593" t="str">
        <f t="shared" si="174"/>
        <v/>
      </c>
    </row>
    <row r="1594" spans="1:9" x14ac:dyDescent="0.4">
      <c r="A1594" t="str">
        <f t="shared" si="168"/>
        <v/>
      </c>
      <c r="B1594" t="str">
        <f t="shared" si="169"/>
        <v/>
      </c>
      <c r="C1594" t="str">
        <f t="shared" si="170"/>
        <v/>
      </c>
      <c r="D1594" t="str">
        <f t="shared" si="171"/>
        <v/>
      </c>
      <c r="E1594" t="str">
        <f>IF(F1594="","",IF(COUNTIF($F$2:F1594,F1594)&gt;1,"",SUMIFS(tbl_input[필요수량],tbl_input[집계키_센터],F1594)))</f>
        <v/>
      </c>
      <c r="F1594" t="str">
        <f>IFERROR(INDEX(tbl_input[집계키_센터],ROW()-1),"")</f>
        <v/>
      </c>
      <c r="G1594" t="str">
        <f t="shared" si="172"/>
        <v/>
      </c>
      <c r="H1594" t="str">
        <f t="shared" si="173"/>
        <v/>
      </c>
      <c r="I1594" t="str">
        <f t="shared" si="174"/>
        <v/>
      </c>
    </row>
    <row r="1595" spans="1:9" x14ac:dyDescent="0.4">
      <c r="A1595" t="str">
        <f t="shared" si="168"/>
        <v/>
      </c>
      <c r="B1595" t="str">
        <f t="shared" si="169"/>
        <v/>
      </c>
      <c r="C1595" t="str">
        <f t="shared" si="170"/>
        <v/>
      </c>
      <c r="D1595" t="str">
        <f t="shared" si="171"/>
        <v/>
      </c>
      <c r="E1595" t="str">
        <f>IF(F1595="","",IF(COUNTIF($F$2:F1595,F1595)&gt;1,"",SUMIFS(tbl_input[필요수량],tbl_input[집계키_센터],F1595)))</f>
        <v/>
      </c>
      <c r="F1595" t="str">
        <f>IFERROR(INDEX(tbl_input[집계키_센터],ROW()-1),"")</f>
        <v/>
      </c>
      <c r="G1595" t="str">
        <f t="shared" si="172"/>
        <v/>
      </c>
      <c r="H1595" t="str">
        <f t="shared" si="173"/>
        <v/>
      </c>
      <c r="I1595" t="str">
        <f t="shared" si="174"/>
        <v/>
      </c>
    </row>
    <row r="1596" spans="1:9" x14ac:dyDescent="0.4">
      <c r="A1596" t="str">
        <f t="shared" si="168"/>
        <v/>
      </c>
      <c r="B1596" t="str">
        <f t="shared" si="169"/>
        <v/>
      </c>
      <c r="C1596" t="str">
        <f t="shared" si="170"/>
        <v/>
      </c>
      <c r="D1596" t="str">
        <f t="shared" si="171"/>
        <v/>
      </c>
      <c r="E1596" t="str">
        <f>IF(F1596="","",IF(COUNTIF($F$2:F1596,F1596)&gt;1,"",SUMIFS(tbl_input[필요수량],tbl_input[집계키_센터],F1596)))</f>
        <v/>
      </c>
      <c r="F1596" t="str">
        <f>IFERROR(INDEX(tbl_input[집계키_센터],ROW()-1),"")</f>
        <v/>
      </c>
      <c r="G1596" t="str">
        <f t="shared" si="172"/>
        <v/>
      </c>
      <c r="H1596" t="str">
        <f t="shared" si="173"/>
        <v/>
      </c>
      <c r="I1596" t="str">
        <f t="shared" si="174"/>
        <v/>
      </c>
    </row>
    <row r="1597" spans="1:9" x14ac:dyDescent="0.4">
      <c r="A1597" t="str">
        <f t="shared" si="168"/>
        <v/>
      </c>
      <c r="B1597" t="str">
        <f t="shared" si="169"/>
        <v/>
      </c>
      <c r="C1597" t="str">
        <f t="shared" si="170"/>
        <v/>
      </c>
      <c r="D1597" t="str">
        <f t="shared" si="171"/>
        <v/>
      </c>
      <c r="E1597" t="str">
        <f>IF(F1597="","",IF(COUNTIF($F$2:F1597,F1597)&gt;1,"",SUMIFS(tbl_input[필요수량],tbl_input[집계키_센터],F1597)))</f>
        <v/>
      </c>
      <c r="F1597" t="str">
        <f>IFERROR(INDEX(tbl_input[집계키_센터],ROW()-1),"")</f>
        <v/>
      </c>
      <c r="G1597" t="str">
        <f t="shared" si="172"/>
        <v/>
      </c>
      <c r="H1597" t="str">
        <f t="shared" si="173"/>
        <v/>
      </c>
      <c r="I1597" t="str">
        <f t="shared" si="174"/>
        <v/>
      </c>
    </row>
    <row r="1598" spans="1:9" x14ac:dyDescent="0.4">
      <c r="A1598" t="str">
        <f t="shared" si="168"/>
        <v/>
      </c>
      <c r="B1598" t="str">
        <f t="shared" si="169"/>
        <v/>
      </c>
      <c r="C1598" t="str">
        <f t="shared" si="170"/>
        <v/>
      </c>
      <c r="D1598" t="str">
        <f t="shared" si="171"/>
        <v/>
      </c>
      <c r="E1598" t="str">
        <f>IF(F1598="","",IF(COUNTIF($F$2:F1598,F1598)&gt;1,"",SUMIFS(tbl_input[필요수량],tbl_input[집계키_센터],F1598)))</f>
        <v/>
      </c>
      <c r="F1598" t="str">
        <f>IFERROR(INDEX(tbl_input[집계키_센터],ROW()-1),"")</f>
        <v/>
      </c>
      <c r="G1598" t="str">
        <f t="shared" si="172"/>
        <v/>
      </c>
      <c r="H1598" t="str">
        <f t="shared" si="173"/>
        <v/>
      </c>
      <c r="I1598" t="str">
        <f t="shared" si="174"/>
        <v/>
      </c>
    </row>
    <row r="1599" spans="1:9" x14ac:dyDescent="0.4">
      <c r="A1599" t="str">
        <f t="shared" si="168"/>
        <v/>
      </c>
      <c r="B1599" t="str">
        <f t="shared" si="169"/>
        <v/>
      </c>
      <c r="C1599" t="str">
        <f t="shared" si="170"/>
        <v/>
      </c>
      <c r="D1599" t="str">
        <f t="shared" si="171"/>
        <v/>
      </c>
      <c r="E1599" t="str">
        <f>IF(F1599="","",IF(COUNTIF($F$2:F1599,F1599)&gt;1,"",SUMIFS(tbl_input[필요수량],tbl_input[집계키_센터],F1599)))</f>
        <v/>
      </c>
      <c r="F1599" t="str">
        <f>IFERROR(INDEX(tbl_input[집계키_센터],ROW()-1),"")</f>
        <v/>
      </c>
      <c r="G1599" t="str">
        <f t="shared" si="172"/>
        <v/>
      </c>
      <c r="H1599" t="str">
        <f t="shared" si="173"/>
        <v/>
      </c>
      <c r="I1599" t="str">
        <f t="shared" si="174"/>
        <v/>
      </c>
    </row>
    <row r="1600" spans="1:9" x14ac:dyDescent="0.4">
      <c r="A1600" t="str">
        <f t="shared" si="168"/>
        <v/>
      </c>
      <c r="B1600" t="str">
        <f t="shared" si="169"/>
        <v/>
      </c>
      <c r="C1600" t="str">
        <f t="shared" si="170"/>
        <v/>
      </c>
      <c r="D1600" t="str">
        <f t="shared" si="171"/>
        <v/>
      </c>
      <c r="E1600" t="str">
        <f>IF(F1600="","",IF(COUNTIF($F$2:F1600,F1600)&gt;1,"",SUMIFS(tbl_input[필요수량],tbl_input[집계키_센터],F1600)))</f>
        <v/>
      </c>
      <c r="F1600" t="str">
        <f>IFERROR(INDEX(tbl_input[집계키_센터],ROW()-1),"")</f>
        <v/>
      </c>
      <c r="G1600" t="str">
        <f t="shared" si="172"/>
        <v/>
      </c>
      <c r="H1600" t="str">
        <f t="shared" si="173"/>
        <v/>
      </c>
      <c r="I1600" t="str">
        <f t="shared" si="174"/>
        <v/>
      </c>
    </row>
    <row r="1601" spans="1:9" x14ac:dyDescent="0.4">
      <c r="A1601" t="str">
        <f t="shared" si="168"/>
        <v/>
      </c>
      <c r="B1601" t="str">
        <f t="shared" si="169"/>
        <v/>
      </c>
      <c r="C1601" t="str">
        <f t="shared" si="170"/>
        <v/>
      </c>
      <c r="D1601" t="str">
        <f t="shared" si="171"/>
        <v/>
      </c>
      <c r="E1601" t="str">
        <f>IF(F1601="","",IF(COUNTIF($F$2:F1601,F1601)&gt;1,"",SUMIFS(tbl_input[필요수량],tbl_input[집계키_센터],F1601)))</f>
        <v/>
      </c>
      <c r="F1601" t="str">
        <f>IFERROR(INDEX(tbl_input[집계키_센터],ROW()-1),"")</f>
        <v/>
      </c>
      <c r="G1601" t="str">
        <f t="shared" si="172"/>
        <v/>
      </c>
      <c r="H1601" t="str">
        <f t="shared" si="173"/>
        <v/>
      </c>
      <c r="I1601" t="str">
        <f t="shared" si="174"/>
        <v/>
      </c>
    </row>
    <row r="1602" spans="1:9" x14ac:dyDescent="0.4">
      <c r="A1602" t="str">
        <f t="shared" ref="A1602:A1665" si="175">IF(F1602="","",LEFT(F1602,G1602-1))</f>
        <v/>
      </c>
      <c r="B1602" t="str">
        <f t="shared" ref="B1602:B1665" si="176">IF(F1602="","",MID(F1602,G1602+1,H1602-G1602-1))</f>
        <v/>
      </c>
      <c r="C1602" t="str">
        <f t="shared" ref="C1602:C1665" si="177">IF(F1602="","",MID(F1602,H1602+1,I1602-H1602-1))</f>
        <v/>
      </c>
      <c r="D1602" t="str">
        <f t="shared" ref="D1602:D1665" si="178">IF(F1602="","",MID(F1602,I1602+1,999))</f>
        <v/>
      </c>
      <c r="E1602" t="str">
        <f>IF(F1602="","",IF(COUNTIF($F$2:F1602,F1602)&gt;1,"",SUMIFS(tbl_input[필요수량],tbl_input[집계키_센터],F1602)))</f>
        <v/>
      </c>
      <c r="F1602" t="str">
        <f>IFERROR(INDEX(tbl_input[집계키_센터],ROW()-1),"")</f>
        <v/>
      </c>
      <c r="G1602" t="str">
        <f t="shared" ref="G1602:G1665" si="179">IF(F1602="","",FIND("♦",F1602))</f>
        <v/>
      </c>
      <c r="H1602" t="str">
        <f t="shared" ref="H1602:H1665" si="180">IF(F1602="","",FIND("♦",F1602,G1602+1))</f>
        <v/>
      </c>
      <c r="I1602" t="str">
        <f t="shared" ref="I1602:I1665" si="181">IF(F1602="","",FIND("♦",F1602,H1602+1))</f>
        <v/>
      </c>
    </row>
    <row r="1603" spans="1:9" x14ac:dyDescent="0.4">
      <c r="A1603" t="str">
        <f t="shared" si="175"/>
        <v/>
      </c>
      <c r="B1603" t="str">
        <f t="shared" si="176"/>
        <v/>
      </c>
      <c r="C1603" t="str">
        <f t="shared" si="177"/>
        <v/>
      </c>
      <c r="D1603" t="str">
        <f t="shared" si="178"/>
        <v/>
      </c>
      <c r="E1603" t="str">
        <f>IF(F1603="","",IF(COUNTIF($F$2:F1603,F1603)&gt;1,"",SUMIFS(tbl_input[필요수량],tbl_input[집계키_센터],F1603)))</f>
        <v/>
      </c>
      <c r="F1603" t="str">
        <f>IFERROR(INDEX(tbl_input[집계키_센터],ROW()-1),"")</f>
        <v/>
      </c>
      <c r="G1603" t="str">
        <f t="shared" si="179"/>
        <v/>
      </c>
      <c r="H1603" t="str">
        <f t="shared" si="180"/>
        <v/>
      </c>
      <c r="I1603" t="str">
        <f t="shared" si="181"/>
        <v/>
      </c>
    </row>
    <row r="1604" spans="1:9" x14ac:dyDescent="0.4">
      <c r="A1604" t="str">
        <f t="shared" si="175"/>
        <v/>
      </c>
      <c r="B1604" t="str">
        <f t="shared" si="176"/>
        <v/>
      </c>
      <c r="C1604" t="str">
        <f t="shared" si="177"/>
        <v/>
      </c>
      <c r="D1604" t="str">
        <f t="shared" si="178"/>
        <v/>
      </c>
      <c r="E1604" t="str">
        <f>IF(F1604="","",IF(COUNTIF($F$2:F1604,F1604)&gt;1,"",SUMIFS(tbl_input[필요수량],tbl_input[집계키_센터],F1604)))</f>
        <v/>
      </c>
      <c r="F1604" t="str">
        <f>IFERROR(INDEX(tbl_input[집계키_센터],ROW()-1),"")</f>
        <v/>
      </c>
      <c r="G1604" t="str">
        <f t="shared" si="179"/>
        <v/>
      </c>
      <c r="H1604" t="str">
        <f t="shared" si="180"/>
        <v/>
      </c>
      <c r="I1604" t="str">
        <f t="shared" si="181"/>
        <v/>
      </c>
    </row>
    <row r="1605" spans="1:9" x14ac:dyDescent="0.4">
      <c r="A1605" t="str">
        <f t="shared" si="175"/>
        <v/>
      </c>
      <c r="B1605" t="str">
        <f t="shared" si="176"/>
        <v/>
      </c>
      <c r="C1605" t="str">
        <f t="shared" si="177"/>
        <v/>
      </c>
      <c r="D1605" t="str">
        <f t="shared" si="178"/>
        <v/>
      </c>
      <c r="E1605" t="str">
        <f>IF(F1605="","",IF(COUNTIF($F$2:F1605,F1605)&gt;1,"",SUMIFS(tbl_input[필요수량],tbl_input[집계키_센터],F1605)))</f>
        <v/>
      </c>
      <c r="F1605" t="str">
        <f>IFERROR(INDEX(tbl_input[집계키_센터],ROW()-1),"")</f>
        <v/>
      </c>
      <c r="G1605" t="str">
        <f t="shared" si="179"/>
        <v/>
      </c>
      <c r="H1605" t="str">
        <f t="shared" si="180"/>
        <v/>
      </c>
      <c r="I1605" t="str">
        <f t="shared" si="181"/>
        <v/>
      </c>
    </row>
    <row r="1606" spans="1:9" x14ac:dyDescent="0.4">
      <c r="A1606" t="str">
        <f t="shared" si="175"/>
        <v/>
      </c>
      <c r="B1606" t="str">
        <f t="shared" si="176"/>
        <v/>
      </c>
      <c r="C1606" t="str">
        <f t="shared" si="177"/>
        <v/>
      </c>
      <c r="D1606" t="str">
        <f t="shared" si="178"/>
        <v/>
      </c>
      <c r="E1606" t="str">
        <f>IF(F1606="","",IF(COUNTIF($F$2:F1606,F1606)&gt;1,"",SUMIFS(tbl_input[필요수량],tbl_input[집계키_센터],F1606)))</f>
        <v/>
      </c>
      <c r="F1606" t="str">
        <f>IFERROR(INDEX(tbl_input[집계키_센터],ROW()-1),"")</f>
        <v/>
      </c>
      <c r="G1606" t="str">
        <f t="shared" si="179"/>
        <v/>
      </c>
      <c r="H1606" t="str">
        <f t="shared" si="180"/>
        <v/>
      </c>
      <c r="I1606" t="str">
        <f t="shared" si="181"/>
        <v/>
      </c>
    </row>
    <row r="1607" spans="1:9" x14ac:dyDescent="0.4">
      <c r="A1607" t="str">
        <f t="shared" si="175"/>
        <v/>
      </c>
      <c r="B1607" t="str">
        <f t="shared" si="176"/>
        <v/>
      </c>
      <c r="C1607" t="str">
        <f t="shared" si="177"/>
        <v/>
      </c>
      <c r="D1607" t="str">
        <f t="shared" si="178"/>
        <v/>
      </c>
      <c r="E1607" t="str">
        <f>IF(F1607="","",IF(COUNTIF($F$2:F1607,F1607)&gt;1,"",SUMIFS(tbl_input[필요수량],tbl_input[집계키_센터],F1607)))</f>
        <v/>
      </c>
      <c r="F1607" t="str">
        <f>IFERROR(INDEX(tbl_input[집계키_센터],ROW()-1),"")</f>
        <v/>
      </c>
      <c r="G1607" t="str">
        <f t="shared" si="179"/>
        <v/>
      </c>
      <c r="H1607" t="str">
        <f t="shared" si="180"/>
        <v/>
      </c>
      <c r="I1607" t="str">
        <f t="shared" si="181"/>
        <v/>
      </c>
    </row>
    <row r="1608" spans="1:9" x14ac:dyDescent="0.4">
      <c r="A1608" t="str">
        <f t="shared" si="175"/>
        <v/>
      </c>
      <c r="B1608" t="str">
        <f t="shared" si="176"/>
        <v/>
      </c>
      <c r="C1608" t="str">
        <f t="shared" si="177"/>
        <v/>
      </c>
      <c r="D1608" t="str">
        <f t="shared" si="178"/>
        <v/>
      </c>
      <c r="E1608" t="str">
        <f>IF(F1608="","",IF(COUNTIF($F$2:F1608,F1608)&gt;1,"",SUMIFS(tbl_input[필요수량],tbl_input[집계키_센터],F1608)))</f>
        <v/>
      </c>
      <c r="F1608" t="str">
        <f>IFERROR(INDEX(tbl_input[집계키_센터],ROW()-1),"")</f>
        <v/>
      </c>
      <c r="G1608" t="str">
        <f t="shared" si="179"/>
        <v/>
      </c>
      <c r="H1608" t="str">
        <f t="shared" si="180"/>
        <v/>
      </c>
      <c r="I1608" t="str">
        <f t="shared" si="181"/>
        <v/>
      </c>
    </row>
    <row r="1609" spans="1:9" x14ac:dyDescent="0.4">
      <c r="A1609" t="str">
        <f t="shared" si="175"/>
        <v/>
      </c>
      <c r="B1609" t="str">
        <f t="shared" si="176"/>
        <v/>
      </c>
      <c r="C1609" t="str">
        <f t="shared" si="177"/>
        <v/>
      </c>
      <c r="D1609" t="str">
        <f t="shared" si="178"/>
        <v/>
      </c>
      <c r="E1609" t="str">
        <f>IF(F1609="","",IF(COUNTIF($F$2:F1609,F1609)&gt;1,"",SUMIFS(tbl_input[필요수량],tbl_input[집계키_센터],F1609)))</f>
        <v/>
      </c>
      <c r="F1609" t="str">
        <f>IFERROR(INDEX(tbl_input[집계키_센터],ROW()-1),"")</f>
        <v/>
      </c>
      <c r="G1609" t="str">
        <f t="shared" si="179"/>
        <v/>
      </c>
      <c r="H1609" t="str">
        <f t="shared" si="180"/>
        <v/>
      </c>
      <c r="I1609" t="str">
        <f t="shared" si="181"/>
        <v/>
      </c>
    </row>
    <row r="1610" spans="1:9" x14ac:dyDescent="0.4">
      <c r="A1610" t="str">
        <f t="shared" si="175"/>
        <v/>
      </c>
      <c r="B1610" t="str">
        <f t="shared" si="176"/>
        <v/>
      </c>
      <c r="C1610" t="str">
        <f t="shared" si="177"/>
        <v/>
      </c>
      <c r="D1610" t="str">
        <f t="shared" si="178"/>
        <v/>
      </c>
      <c r="E1610" t="str">
        <f>IF(F1610="","",IF(COUNTIF($F$2:F1610,F1610)&gt;1,"",SUMIFS(tbl_input[필요수량],tbl_input[집계키_센터],F1610)))</f>
        <v/>
      </c>
      <c r="F1610" t="str">
        <f>IFERROR(INDEX(tbl_input[집계키_센터],ROW()-1),"")</f>
        <v/>
      </c>
      <c r="G1610" t="str">
        <f t="shared" si="179"/>
        <v/>
      </c>
      <c r="H1610" t="str">
        <f t="shared" si="180"/>
        <v/>
      </c>
      <c r="I1610" t="str">
        <f t="shared" si="181"/>
        <v/>
      </c>
    </row>
    <row r="1611" spans="1:9" x14ac:dyDescent="0.4">
      <c r="A1611" t="str">
        <f t="shared" si="175"/>
        <v/>
      </c>
      <c r="B1611" t="str">
        <f t="shared" si="176"/>
        <v/>
      </c>
      <c r="C1611" t="str">
        <f t="shared" si="177"/>
        <v/>
      </c>
      <c r="D1611" t="str">
        <f t="shared" si="178"/>
        <v/>
      </c>
      <c r="E1611" t="str">
        <f>IF(F1611="","",IF(COUNTIF($F$2:F1611,F1611)&gt;1,"",SUMIFS(tbl_input[필요수량],tbl_input[집계키_센터],F1611)))</f>
        <v/>
      </c>
      <c r="F1611" t="str">
        <f>IFERROR(INDEX(tbl_input[집계키_센터],ROW()-1),"")</f>
        <v/>
      </c>
      <c r="G1611" t="str">
        <f t="shared" si="179"/>
        <v/>
      </c>
      <c r="H1611" t="str">
        <f t="shared" si="180"/>
        <v/>
      </c>
      <c r="I1611" t="str">
        <f t="shared" si="181"/>
        <v/>
      </c>
    </row>
    <row r="1612" spans="1:9" x14ac:dyDescent="0.4">
      <c r="A1612" t="str">
        <f t="shared" si="175"/>
        <v/>
      </c>
      <c r="B1612" t="str">
        <f t="shared" si="176"/>
        <v/>
      </c>
      <c r="C1612" t="str">
        <f t="shared" si="177"/>
        <v/>
      </c>
      <c r="D1612" t="str">
        <f t="shared" si="178"/>
        <v/>
      </c>
      <c r="E1612" t="str">
        <f>IF(F1612="","",IF(COUNTIF($F$2:F1612,F1612)&gt;1,"",SUMIFS(tbl_input[필요수량],tbl_input[집계키_센터],F1612)))</f>
        <v/>
      </c>
      <c r="F1612" t="str">
        <f>IFERROR(INDEX(tbl_input[집계키_센터],ROW()-1),"")</f>
        <v/>
      </c>
      <c r="G1612" t="str">
        <f t="shared" si="179"/>
        <v/>
      </c>
      <c r="H1612" t="str">
        <f t="shared" si="180"/>
        <v/>
      </c>
      <c r="I1612" t="str">
        <f t="shared" si="181"/>
        <v/>
      </c>
    </row>
    <row r="1613" spans="1:9" x14ac:dyDescent="0.4">
      <c r="A1613" t="str">
        <f t="shared" si="175"/>
        <v/>
      </c>
      <c r="B1613" t="str">
        <f t="shared" si="176"/>
        <v/>
      </c>
      <c r="C1613" t="str">
        <f t="shared" si="177"/>
        <v/>
      </c>
      <c r="D1613" t="str">
        <f t="shared" si="178"/>
        <v/>
      </c>
      <c r="E1613" t="str">
        <f>IF(F1613="","",IF(COUNTIF($F$2:F1613,F1613)&gt;1,"",SUMIFS(tbl_input[필요수량],tbl_input[집계키_센터],F1613)))</f>
        <v/>
      </c>
      <c r="F1613" t="str">
        <f>IFERROR(INDEX(tbl_input[집계키_센터],ROW()-1),"")</f>
        <v/>
      </c>
      <c r="G1613" t="str">
        <f t="shared" si="179"/>
        <v/>
      </c>
      <c r="H1613" t="str">
        <f t="shared" si="180"/>
        <v/>
      </c>
      <c r="I1613" t="str">
        <f t="shared" si="181"/>
        <v/>
      </c>
    </row>
    <row r="1614" spans="1:9" x14ac:dyDescent="0.4">
      <c r="A1614" t="str">
        <f t="shared" si="175"/>
        <v/>
      </c>
      <c r="B1614" t="str">
        <f t="shared" si="176"/>
        <v/>
      </c>
      <c r="C1614" t="str">
        <f t="shared" si="177"/>
        <v/>
      </c>
      <c r="D1614" t="str">
        <f t="shared" si="178"/>
        <v/>
      </c>
      <c r="E1614" t="str">
        <f>IF(F1614="","",IF(COUNTIF($F$2:F1614,F1614)&gt;1,"",SUMIFS(tbl_input[필요수량],tbl_input[집계키_센터],F1614)))</f>
        <v/>
      </c>
      <c r="F1614" t="str">
        <f>IFERROR(INDEX(tbl_input[집계키_센터],ROW()-1),"")</f>
        <v/>
      </c>
      <c r="G1614" t="str">
        <f t="shared" si="179"/>
        <v/>
      </c>
      <c r="H1614" t="str">
        <f t="shared" si="180"/>
        <v/>
      </c>
      <c r="I1614" t="str">
        <f t="shared" si="181"/>
        <v/>
      </c>
    </row>
    <row r="1615" spans="1:9" x14ac:dyDescent="0.4">
      <c r="A1615" t="str">
        <f t="shared" si="175"/>
        <v/>
      </c>
      <c r="B1615" t="str">
        <f t="shared" si="176"/>
        <v/>
      </c>
      <c r="C1615" t="str">
        <f t="shared" si="177"/>
        <v/>
      </c>
      <c r="D1615" t="str">
        <f t="shared" si="178"/>
        <v/>
      </c>
      <c r="E1615" t="str">
        <f>IF(F1615="","",IF(COUNTIF($F$2:F1615,F1615)&gt;1,"",SUMIFS(tbl_input[필요수량],tbl_input[집계키_센터],F1615)))</f>
        <v/>
      </c>
      <c r="F1615" t="str">
        <f>IFERROR(INDEX(tbl_input[집계키_센터],ROW()-1),"")</f>
        <v/>
      </c>
      <c r="G1615" t="str">
        <f t="shared" si="179"/>
        <v/>
      </c>
      <c r="H1615" t="str">
        <f t="shared" si="180"/>
        <v/>
      </c>
      <c r="I1615" t="str">
        <f t="shared" si="181"/>
        <v/>
      </c>
    </row>
    <row r="1616" spans="1:9" x14ac:dyDescent="0.4">
      <c r="A1616" t="str">
        <f t="shared" si="175"/>
        <v/>
      </c>
      <c r="B1616" t="str">
        <f t="shared" si="176"/>
        <v/>
      </c>
      <c r="C1616" t="str">
        <f t="shared" si="177"/>
        <v/>
      </c>
      <c r="D1616" t="str">
        <f t="shared" si="178"/>
        <v/>
      </c>
      <c r="E1616" t="str">
        <f>IF(F1616="","",IF(COUNTIF($F$2:F1616,F1616)&gt;1,"",SUMIFS(tbl_input[필요수량],tbl_input[집계키_센터],F1616)))</f>
        <v/>
      </c>
      <c r="F1616" t="str">
        <f>IFERROR(INDEX(tbl_input[집계키_센터],ROW()-1),"")</f>
        <v/>
      </c>
      <c r="G1616" t="str">
        <f t="shared" si="179"/>
        <v/>
      </c>
      <c r="H1616" t="str">
        <f t="shared" si="180"/>
        <v/>
      </c>
      <c r="I1616" t="str">
        <f t="shared" si="181"/>
        <v/>
      </c>
    </row>
    <row r="1617" spans="1:9" x14ac:dyDescent="0.4">
      <c r="A1617" t="str">
        <f t="shared" si="175"/>
        <v/>
      </c>
      <c r="B1617" t="str">
        <f t="shared" si="176"/>
        <v/>
      </c>
      <c r="C1617" t="str">
        <f t="shared" si="177"/>
        <v/>
      </c>
      <c r="D1617" t="str">
        <f t="shared" si="178"/>
        <v/>
      </c>
      <c r="E1617" t="str">
        <f>IF(F1617="","",IF(COUNTIF($F$2:F1617,F1617)&gt;1,"",SUMIFS(tbl_input[필요수량],tbl_input[집계키_센터],F1617)))</f>
        <v/>
      </c>
      <c r="F1617" t="str">
        <f>IFERROR(INDEX(tbl_input[집계키_센터],ROW()-1),"")</f>
        <v/>
      </c>
      <c r="G1617" t="str">
        <f t="shared" si="179"/>
        <v/>
      </c>
      <c r="H1617" t="str">
        <f t="shared" si="180"/>
        <v/>
      </c>
      <c r="I1617" t="str">
        <f t="shared" si="181"/>
        <v/>
      </c>
    </row>
    <row r="1618" spans="1:9" x14ac:dyDescent="0.4">
      <c r="A1618" t="str">
        <f t="shared" si="175"/>
        <v/>
      </c>
      <c r="B1618" t="str">
        <f t="shared" si="176"/>
        <v/>
      </c>
      <c r="C1618" t="str">
        <f t="shared" si="177"/>
        <v/>
      </c>
      <c r="D1618" t="str">
        <f t="shared" si="178"/>
        <v/>
      </c>
      <c r="E1618" t="str">
        <f>IF(F1618="","",IF(COUNTIF($F$2:F1618,F1618)&gt;1,"",SUMIFS(tbl_input[필요수량],tbl_input[집계키_센터],F1618)))</f>
        <v/>
      </c>
      <c r="F1618" t="str">
        <f>IFERROR(INDEX(tbl_input[집계키_센터],ROW()-1),"")</f>
        <v/>
      </c>
      <c r="G1618" t="str">
        <f t="shared" si="179"/>
        <v/>
      </c>
      <c r="H1618" t="str">
        <f t="shared" si="180"/>
        <v/>
      </c>
      <c r="I1618" t="str">
        <f t="shared" si="181"/>
        <v/>
      </c>
    </row>
    <row r="1619" spans="1:9" x14ac:dyDescent="0.4">
      <c r="A1619" t="str">
        <f t="shared" si="175"/>
        <v/>
      </c>
      <c r="B1619" t="str">
        <f t="shared" si="176"/>
        <v/>
      </c>
      <c r="C1619" t="str">
        <f t="shared" si="177"/>
        <v/>
      </c>
      <c r="D1619" t="str">
        <f t="shared" si="178"/>
        <v/>
      </c>
      <c r="E1619" t="str">
        <f>IF(F1619="","",IF(COUNTIF($F$2:F1619,F1619)&gt;1,"",SUMIFS(tbl_input[필요수량],tbl_input[집계키_센터],F1619)))</f>
        <v/>
      </c>
      <c r="F1619" t="str">
        <f>IFERROR(INDEX(tbl_input[집계키_센터],ROW()-1),"")</f>
        <v/>
      </c>
      <c r="G1619" t="str">
        <f t="shared" si="179"/>
        <v/>
      </c>
      <c r="H1619" t="str">
        <f t="shared" si="180"/>
        <v/>
      </c>
      <c r="I1619" t="str">
        <f t="shared" si="181"/>
        <v/>
      </c>
    </row>
    <row r="1620" spans="1:9" x14ac:dyDescent="0.4">
      <c r="A1620" t="str">
        <f t="shared" si="175"/>
        <v/>
      </c>
      <c r="B1620" t="str">
        <f t="shared" si="176"/>
        <v/>
      </c>
      <c r="C1620" t="str">
        <f t="shared" si="177"/>
        <v/>
      </c>
      <c r="D1620" t="str">
        <f t="shared" si="178"/>
        <v/>
      </c>
      <c r="E1620" t="str">
        <f>IF(F1620="","",IF(COUNTIF($F$2:F1620,F1620)&gt;1,"",SUMIFS(tbl_input[필요수량],tbl_input[집계키_센터],F1620)))</f>
        <v/>
      </c>
      <c r="F1620" t="str">
        <f>IFERROR(INDEX(tbl_input[집계키_센터],ROW()-1),"")</f>
        <v/>
      </c>
      <c r="G1620" t="str">
        <f t="shared" si="179"/>
        <v/>
      </c>
      <c r="H1620" t="str">
        <f t="shared" si="180"/>
        <v/>
      </c>
      <c r="I1620" t="str">
        <f t="shared" si="181"/>
        <v/>
      </c>
    </row>
    <row r="1621" spans="1:9" x14ac:dyDescent="0.4">
      <c r="A1621" t="str">
        <f t="shared" si="175"/>
        <v/>
      </c>
      <c r="B1621" t="str">
        <f t="shared" si="176"/>
        <v/>
      </c>
      <c r="C1621" t="str">
        <f t="shared" si="177"/>
        <v/>
      </c>
      <c r="D1621" t="str">
        <f t="shared" si="178"/>
        <v/>
      </c>
      <c r="E1621" t="str">
        <f>IF(F1621="","",IF(COUNTIF($F$2:F1621,F1621)&gt;1,"",SUMIFS(tbl_input[필요수량],tbl_input[집계키_센터],F1621)))</f>
        <v/>
      </c>
      <c r="F1621" t="str">
        <f>IFERROR(INDEX(tbl_input[집계키_센터],ROW()-1),"")</f>
        <v/>
      </c>
      <c r="G1621" t="str">
        <f t="shared" si="179"/>
        <v/>
      </c>
      <c r="H1621" t="str">
        <f t="shared" si="180"/>
        <v/>
      </c>
      <c r="I1621" t="str">
        <f t="shared" si="181"/>
        <v/>
      </c>
    </row>
    <row r="1622" spans="1:9" x14ac:dyDescent="0.4">
      <c r="A1622" t="str">
        <f t="shared" si="175"/>
        <v/>
      </c>
      <c r="B1622" t="str">
        <f t="shared" si="176"/>
        <v/>
      </c>
      <c r="C1622" t="str">
        <f t="shared" si="177"/>
        <v/>
      </c>
      <c r="D1622" t="str">
        <f t="shared" si="178"/>
        <v/>
      </c>
      <c r="E1622" t="str">
        <f>IF(F1622="","",IF(COUNTIF($F$2:F1622,F1622)&gt;1,"",SUMIFS(tbl_input[필요수량],tbl_input[집계키_센터],F1622)))</f>
        <v/>
      </c>
      <c r="F1622" t="str">
        <f>IFERROR(INDEX(tbl_input[집계키_센터],ROW()-1),"")</f>
        <v/>
      </c>
      <c r="G1622" t="str">
        <f t="shared" si="179"/>
        <v/>
      </c>
      <c r="H1622" t="str">
        <f t="shared" si="180"/>
        <v/>
      </c>
      <c r="I1622" t="str">
        <f t="shared" si="181"/>
        <v/>
      </c>
    </row>
    <row r="1623" spans="1:9" x14ac:dyDescent="0.4">
      <c r="A1623" t="str">
        <f t="shared" si="175"/>
        <v/>
      </c>
      <c r="B1623" t="str">
        <f t="shared" si="176"/>
        <v/>
      </c>
      <c r="C1623" t="str">
        <f t="shared" si="177"/>
        <v/>
      </c>
      <c r="D1623" t="str">
        <f t="shared" si="178"/>
        <v/>
      </c>
      <c r="E1623" t="str">
        <f>IF(F1623="","",IF(COUNTIF($F$2:F1623,F1623)&gt;1,"",SUMIFS(tbl_input[필요수량],tbl_input[집계키_센터],F1623)))</f>
        <v/>
      </c>
      <c r="F1623" t="str">
        <f>IFERROR(INDEX(tbl_input[집계키_센터],ROW()-1),"")</f>
        <v/>
      </c>
      <c r="G1623" t="str">
        <f t="shared" si="179"/>
        <v/>
      </c>
      <c r="H1623" t="str">
        <f t="shared" si="180"/>
        <v/>
      </c>
      <c r="I1623" t="str">
        <f t="shared" si="181"/>
        <v/>
      </c>
    </row>
    <row r="1624" spans="1:9" x14ac:dyDescent="0.4">
      <c r="A1624" t="str">
        <f t="shared" si="175"/>
        <v/>
      </c>
      <c r="B1624" t="str">
        <f t="shared" si="176"/>
        <v/>
      </c>
      <c r="C1624" t="str">
        <f t="shared" si="177"/>
        <v/>
      </c>
      <c r="D1624" t="str">
        <f t="shared" si="178"/>
        <v/>
      </c>
      <c r="E1624" t="str">
        <f>IF(F1624="","",IF(COUNTIF($F$2:F1624,F1624)&gt;1,"",SUMIFS(tbl_input[필요수량],tbl_input[집계키_센터],F1624)))</f>
        <v/>
      </c>
      <c r="F1624" t="str">
        <f>IFERROR(INDEX(tbl_input[집계키_센터],ROW()-1),"")</f>
        <v/>
      </c>
      <c r="G1624" t="str">
        <f t="shared" si="179"/>
        <v/>
      </c>
      <c r="H1624" t="str">
        <f t="shared" si="180"/>
        <v/>
      </c>
      <c r="I1624" t="str">
        <f t="shared" si="181"/>
        <v/>
      </c>
    </row>
    <row r="1625" spans="1:9" x14ac:dyDescent="0.4">
      <c r="A1625" t="str">
        <f t="shared" si="175"/>
        <v/>
      </c>
      <c r="B1625" t="str">
        <f t="shared" si="176"/>
        <v/>
      </c>
      <c r="C1625" t="str">
        <f t="shared" si="177"/>
        <v/>
      </c>
      <c r="D1625" t="str">
        <f t="shared" si="178"/>
        <v/>
      </c>
      <c r="E1625" t="str">
        <f>IF(F1625="","",IF(COUNTIF($F$2:F1625,F1625)&gt;1,"",SUMIFS(tbl_input[필요수량],tbl_input[집계키_센터],F1625)))</f>
        <v/>
      </c>
      <c r="F1625" t="str">
        <f>IFERROR(INDEX(tbl_input[집계키_센터],ROW()-1),"")</f>
        <v/>
      </c>
      <c r="G1625" t="str">
        <f t="shared" si="179"/>
        <v/>
      </c>
      <c r="H1625" t="str">
        <f t="shared" si="180"/>
        <v/>
      </c>
      <c r="I1625" t="str">
        <f t="shared" si="181"/>
        <v/>
      </c>
    </row>
    <row r="1626" spans="1:9" x14ac:dyDescent="0.4">
      <c r="A1626" t="str">
        <f t="shared" si="175"/>
        <v/>
      </c>
      <c r="B1626" t="str">
        <f t="shared" si="176"/>
        <v/>
      </c>
      <c r="C1626" t="str">
        <f t="shared" si="177"/>
        <v/>
      </c>
      <c r="D1626" t="str">
        <f t="shared" si="178"/>
        <v/>
      </c>
      <c r="E1626" t="str">
        <f>IF(F1626="","",IF(COUNTIF($F$2:F1626,F1626)&gt;1,"",SUMIFS(tbl_input[필요수량],tbl_input[집계키_센터],F1626)))</f>
        <v/>
      </c>
      <c r="F1626" t="str">
        <f>IFERROR(INDEX(tbl_input[집계키_센터],ROW()-1),"")</f>
        <v/>
      </c>
      <c r="G1626" t="str">
        <f t="shared" si="179"/>
        <v/>
      </c>
      <c r="H1626" t="str">
        <f t="shared" si="180"/>
        <v/>
      </c>
      <c r="I1626" t="str">
        <f t="shared" si="181"/>
        <v/>
      </c>
    </row>
    <row r="1627" spans="1:9" x14ac:dyDescent="0.4">
      <c r="A1627" t="str">
        <f t="shared" si="175"/>
        <v/>
      </c>
      <c r="B1627" t="str">
        <f t="shared" si="176"/>
        <v/>
      </c>
      <c r="C1627" t="str">
        <f t="shared" si="177"/>
        <v/>
      </c>
      <c r="D1627" t="str">
        <f t="shared" si="178"/>
        <v/>
      </c>
      <c r="E1627" t="str">
        <f>IF(F1627="","",IF(COUNTIF($F$2:F1627,F1627)&gt;1,"",SUMIFS(tbl_input[필요수량],tbl_input[집계키_센터],F1627)))</f>
        <v/>
      </c>
      <c r="F1627" t="str">
        <f>IFERROR(INDEX(tbl_input[집계키_센터],ROW()-1),"")</f>
        <v/>
      </c>
      <c r="G1627" t="str">
        <f t="shared" si="179"/>
        <v/>
      </c>
      <c r="H1627" t="str">
        <f t="shared" si="180"/>
        <v/>
      </c>
      <c r="I1627" t="str">
        <f t="shared" si="181"/>
        <v/>
      </c>
    </row>
    <row r="1628" spans="1:9" x14ac:dyDescent="0.4">
      <c r="A1628" t="str">
        <f t="shared" si="175"/>
        <v/>
      </c>
      <c r="B1628" t="str">
        <f t="shared" si="176"/>
        <v/>
      </c>
      <c r="C1628" t="str">
        <f t="shared" si="177"/>
        <v/>
      </c>
      <c r="D1628" t="str">
        <f t="shared" si="178"/>
        <v/>
      </c>
      <c r="E1628" t="str">
        <f>IF(F1628="","",IF(COUNTIF($F$2:F1628,F1628)&gt;1,"",SUMIFS(tbl_input[필요수량],tbl_input[집계키_센터],F1628)))</f>
        <v/>
      </c>
      <c r="F1628" t="str">
        <f>IFERROR(INDEX(tbl_input[집계키_센터],ROW()-1),"")</f>
        <v/>
      </c>
      <c r="G1628" t="str">
        <f t="shared" si="179"/>
        <v/>
      </c>
      <c r="H1628" t="str">
        <f t="shared" si="180"/>
        <v/>
      </c>
      <c r="I1628" t="str">
        <f t="shared" si="181"/>
        <v/>
      </c>
    </row>
    <row r="1629" spans="1:9" x14ac:dyDescent="0.4">
      <c r="A1629" t="str">
        <f t="shared" si="175"/>
        <v/>
      </c>
      <c r="B1629" t="str">
        <f t="shared" si="176"/>
        <v/>
      </c>
      <c r="C1629" t="str">
        <f t="shared" si="177"/>
        <v/>
      </c>
      <c r="D1629" t="str">
        <f t="shared" si="178"/>
        <v/>
      </c>
      <c r="E1629" t="str">
        <f>IF(F1629="","",IF(COUNTIF($F$2:F1629,F1629)&gt;1,"",SUMIFS(tbl_input[필요수량],tbl_input[집계키_센터],F1629)))</f>
        <v/>
      </c>
      <c r="F1629" t="str">
        <f>IFERROR(INDEX(tbl_input[집계키_센터],ROW()-1),"")</f>
        <v/>
      </c>
      <c r="G1629" t="str">
        <f t="shared" si="179"/>
        <v/>
      </c>
      <c r="H1629" t="str">
        <f t="shared" si="180"/>
        <v/>
      </c>
      <c r="I1629" t="str">
        <f t="shared" si="181"/>
        <v/>
      </c>
    </row>
    <row r="1630" spans="1:9" x14ac:dyDescent="0.4">
      <c r="A1630" t="str">
        <f t="shared" si="175"/>
        <v/>
      </c>
      <c r="B1630" t="str">
        <f t="shared" si="176"/>
        <v/>
      </c>
      <c r="C1630" t="str">
        <f t="shared" si="177"/>
        <v/>
      </c>
      <c r="D1630" t="str">
        <f t="shared" si="178"/>
        <v/>
      </c>
      <c r="E1630" t="str">
        <f>IF(F1630="","",IF(COUNTIF($F$2:F1630,F1630)&gt;1,"",SUMIFS(tbl_input[필요수량],tbl_input[집계키_센터],F1630)))</f>
        <v/>
      </c>
      <c r="F1630" t="str">
        <f>IFERROR(INDEX(tbl_input[집계키_센터],ROW()-1),"")</f>
        <v/>
      </c>
      <c r="G1630" t="str">
        <f t="shared" si="179"/>
        <v/>
      </c>
      <c r="H1630" t="str">
        <f t="shared" si="180"/>
        <v/>
      </c>
      <c r="I1630" t="str">
        <f t="shared" si="181"/>
        <v/>
      </c>
    </row>
    <row r="1631" spans="1:9" x14ac:dyDescent="0.4">
      <c r="A1631" t="str">
        <f t="shared" si="175"/>
        <v/>
      </c>
      <c r="B1631" t="str">
        <f t="shared" si="176"/>
        <v/>
      </c>
      <c r="C1631" t="str">
        <f t="shared" si="177"/>
        <v/>
      </c>
      <c r="D1631" t="str">
        <f t="shared" si="178"/>
        <v/>
      </c>
      <c r="E1631" t="str">
        <f>IF(F1631="","",IF(COUNTIF($F$2:F1631,F1631)&gt;1,"",SUMIFS(tbl_input[필요수량],tbl_input[집계키_센터],F1631)))</f>
        <v/>
      </c>
      <c r="F1631" t="str">
        <f>IFERROR(INDEX(tbl_input[집계키_센터],ROW()-1),"")</f>
        <v/>
      </c>
      <c r="G1631" t="str">
        <f t="shared" si="179"/>
        <v/>
      </c>
      <c r="H1631" t="str">
        <f t="shared" si="180"/>
        <v/>
      </c>
      <c r="I1631" t="str">
        <f t="shared" si="181"/>
        <v/>
      </c>
    </row>
    <row r="1632" spans="1:9" x14ac:dyDescent="0.4">
      <c r="A1632" t="str">
        <f t="shared" si="175"/>
        <v/>
      </c>
      <c r="B1632" t="str">
        <f t="shared" si="176"/>
        <v/>
      </c>
      <c r="C1632" t="str">
        <f t="shared" si="177"/>
        <v/>
      </c>
      <c r="D1632" t="str">
        <f t="shared" si="178"/>
        <v/>
      </c>
      <c r="E1632" t="str">
        <f>IF(F1632="","",IF(COUNTIF($F$2:F1632,F1632)&gt;1,"",SUMIFS(tbl_input[필요수량],tbl_input[집계키_센터],F1632)))</f>
        <v/>
      </c>
      <c r="F1632" t="str">
        <f>IFERROR(INDEX(tbl_input[집계키_센터],ROW()-1),"")</f>
        <v/>
      </c>
      <c r="G1632" t="str">
        <f t="shared" si="179"/>
        <v/>
      </c>
      <c r="H1632" t="str">
        <f t="shared" si="180"/>
        <v/>
      </c>
      <c r="I1632" t="str">
        <f t="shared" si="181"/>
        <v/>
      </c>
    </row>
    <row r="1633" spans="1:9" x14ac:dyDescent="0.4">
      <c r="A1633" t="str">
        <f t="shared" si="175"/>
        <v/>
      </c>
      <c r="B1633" t="str">
        <f t="shared" si="176"/>
        <v/>
      </c>
      <c r="C1633" t="str">
        <f t="shared" si="177"/>
        <v/>
      </c>
      <c r="D1633" t="str">
        <f t="shared" si="178"/>
        <v/>
      </c>
      <c r="E1633" t="str">
        <f>IF(F1633="","",IF(COUNTIF($F$2:F1633,F1633)&gt;1,"",SUMIFS(tbl_input[필요수량],tbl_input[집계키_센터],F1633)))</f>
        <v/>
      </c>
      <c r="F1633" t="str">
        <f>IFERROR(INDEX(tbl_input[집계키_센터],ROW()-1),"")</f>
        <v/>
      </c>
      <c r="G1633" t="str">
        <f t="shared" si="179"/>
        <v/>
      </c>
      <c r="H1633" t="str">
        <f t="shared" si="180"/>
        <v/>
      </c>
      <c r="I1633" t="str">
        <f t="shared" si="181"/>
        <v/>
      </c>
    </row>
    <row r="1634" spans="1:9" x14ac:dyDescent="0.4">
      <c r="A1634" t="str">
        <f t="shared" si="175"/>
        <v/>
      </c>
      <c r="B1634" t="str">
        <f t="shared" si="176"/>
        <v/>
      </c>
      <c r="C1634" t="str">
        <f t="shared" si="177"/>
        <v/>
      </c>
      <c r="D1634" t="str">
        <f t="shared" si="178"/>
        <v/>
      </c>
      <c r="E1634" t="str">
        <f>IF(F1634="","",IF(COUNTIF($F$2:F1634,F1634)&gt;1,"",SUMIFS(tbl_input[필요수량],tbl_input[집계키_센터],F1634)))</f>
        <v/>
      </c>
      <c r="F1634" t="str">
        <f>IFERROR(INDEX(tbl_input[집계키_센터],ROW()-1),"")</f>
        <v/>
      </c>
      <c r="G1634" t="str">
        <f t="shared" si="179"/>
        <v/>
      </c>
      <c r="H1634" t="str">
        <f t="shared" si="180"/>
        <v/>
      </c>
      <c r="I1634" t="str">
        <f t="shared" si="181"/>
        <v/>
      </c>
    </row>
    <row r="1635" spans="1:9" x14ac:dyDescent="0.4">
      <c r="A1635" t="str">
        <f t="shared" si="175"/>
        <v/>
      </c>
      <c r="B1635" t="str">
        <f t="shared" si="176"/>
        <v/>
      </c>
      <c r="C1635" t="str">
        <f t="shared" si="177"/>
        <v/>
      </c>
      <c r="D1635" t="str">
        <f t="shared" si="178"/>
        <v/>
      </c>
      <c r="E1635" t="str">
        <f>IF(F1635="","",IF(COUNTIF($F$2:F1635,F1635)&gt;1,"",SUMIFS(tbl_input[필요수량],tbl_input[집계키_센터],F1635)))</f>
        <v/>
      </c>
      <c r="F1635" t="str">
        <f>IFERROR(INDEX(tbl_input[집계키_센터],ROW()-1),"")</f>
        <v/>
      </c>
      <c r="G1635" t="str">
        <f t="shared" si="179"/>
        <v/>
      </c>
      <c r="H1635" t="str">
        <f t="shared" si="180"/>
        <v/>
      </c>
      <c r="I1635" t="str">
        <f t="shared" si="181"/>
        <v/>
      </c>
    </row>
    <row r="1636" spans="1:9" x14ac:dyDescent="0.4">
      <c r="A1636" t="str">
        <f t="shared" si="175"/>
        <v/>
      </c>
      <c r="B1636" t="str">
        <f t="shared" si="176"/>
        <v/>
      </c>
      <c r="C1636" t="str">
        <f t="shared" si="177"/>
        <v/>
      </c>
      <c r="D1636" t="str">
        <f t="shared" si="178"/>
        <v/>
      </c>
      <c r="E1636" t="str">
        <f>IF(F1636="","",IF(COUNTIF($F$2:F1636,F1636)&gt;1,"",SUMIFS(tbl_input[필요수량],tbl_input[집계키_센터],F1636)))</f>
        <v/>
      </c>
      <c r="F1636" t="str">
        <f>IFERROR(INDEX(tbl_input[집계키_센터],ROW()-1),"")</f>
        <v/>
      </c>
      <c r="G1636" t="str">
        <f t="shared" si="179"/>
        <v/>
      </c>
      <c r="H1636" t="str">
        <f t="shared" si="180"/>
        <v/>
      </c>
      <c r="I1636" t="str">
        <f t="shared" si="181"/>
        <v/>
      </c>
    </row>
    <row r="1637" spans="1:9" x14ac:dyDescent="0.4">
      <c r="A1637" t="str">
        <f t="shared" si="175"/>
        <v/>
      </c>
      <c r="B1637" t="str">
        <f t="shared" si="176"/>
        <v/>
      </c>
      <c r="C1637" t="str">
        <f t="shared" si="177"/>
        <v/>
      </c>
      <c r="D1637" t="str">
        <f t="shared" si="178"/>
        <v/>
      </c>
      <c r="E1637" t="str">
        <f>IF(F1637="","",IF(COUNTIF($F$2:F1637,F1637)&gt;1,"",SUMIFS(tbl_input[필요수량],tbl_input[집계키_센터],F1637)))</f>
        <v/>
      </c>
      <c r="F1637" t="str">
        <f>IFERROR(INDEX(tbl_input[집계키_센터],ROW()-1),"")</f>
        <v/>
      </c>
      <c r="G1637" t="str">
        <f t="shared" si="179"/>
        <v/>
      </c>
      <c r="H1637" t="str">
        <f t="shared" si="180"/>
        <v/>
      </c>
      <c r="I1637" t="str">
        <f t="shared" si="181"/>
        <v/>
      </c>
    </row>
    <row r="1638" spans="1:9" x14ac:dyDescent="0.4">
      <c r="A1638" t="str">
        <f t="shared" si="175"/>
        <v/>
      </c>
      <c r="B1638" t="str">
        <f t="shared" si="176"/>
        <v/>
      </c>
      <c r="C1638" t="str">
        <f t="shared" si="177"/>
        <v/>
      </c>
      <c r="D1638" t="str">
        <f t="shared" si="178"/>
        <v/>
      </c>
      <c r="E1638" t="str">
        <f>IF(F1638="","",IF(COUNTIF($F$2:F1638,F1638)&gt;1,"",SUMIFS(tbl_input[필요수량],tbl_input[집계키_센터],F1638)))</f>
        <v/>
      </c>
      <c r="F1638" t="str">
        <f>IFERROR(INDEX(tbl_input[집계키_센터],ROW()-1),"")</f>
        <v/>
      </c>
      <c r="G1638" t="str">
        <f t="shared" si="179"/>
        <v/>
      </c>
      <c r="H1638" t="str">
        <f t="shared" si="180"/>
        <v/>
      </c>
      <c r="I1638" t="str">
        <f t="shared" si="181"/>
        <v/>
      </c>
    </row>
    <row r="1639" spans="1:9" x14ac:dyDescent="0.4">
      <c r="A1639" t="str">
        <f t="shared" si="175"/>
        <v/>
      </c>
      <c r="B1639" t="str">
        <f t="shared" si="176"/>
        <v/>
      </c>
      <c r="C1639" t="str">
        <f t="shared" si="177"/>
        <v/>
      </c>
      <c r="D1639" t="str">
        <f t="shared" si="178"/>
        <v/>
      </c>
      <c r="E1639" t="str">
        <f>IF(F1639="","",IF(COUNTIF($F$2:F1639,F1639)&gt;1,"",SUMIFS(tbl_input[필요수량],tbl_input[집계키_센터],F1639)))</f>
        <v/>
      </c>
      <c r="F1639" t="str">
        <f>IFERROR(INDEX(tbl_input[집계키_센터],ROW()-1),"")</f>
        <v/>
      </c>
      <c r="G1639" t="str">
        <f t="shared" si="179"/>
        <v/>
      </c>
      <c r="H1639" t="str">
        <f t="shared" si="180"/>
        <v/>
      </c>
      <c r="I1639" t="str">
        <f t="shared" si="181"/>
        <v/>
      </c>
    </row>
    <row r="1640" spans="1:9" x14ac:dyDescent="0.4">
      <c r="A1640" t="str">
        <f t="shared" si="175"/>
        <v/>
      </c>
      <c r="B1640" t="str">
        <f t="shared" si="176"/>
        <v/>
      </c>
      <c r="C1640" t="str">
        <f t="shared" si="177"/>
        <v/>
      </c>
      <c r="D1640" t="str">
        <f t="shared" si="178"/>
        <v/>
      </c>
      <c r="E1640" t="str">
        <f>IF(F1640="","",IF(COUNTIF($F$2:F1640,F1640)&gt;1,"",SUMIFS(tbl_input[필요수량],tbl_input[집계키_센터],F1640)))</f>
        <v/>
      </c>
      <c r="F1640" t="str">
        <f>IFERROR(INDEX(tbl_input[집계키_센터],ROW()-1),"")</f>
        <v/>
      </c>
      <c r="G1640" t="str">
        <f t="shared" si="179"/>
        <v/>
      </c>
      <c r="H1640" t="str">
        <f t="shared" si="180"/>
        <v/>
      </c>
      <c r="I1640" t="str">
        <f t="shared" si="181"/>
        <v/>
      </c>
    </row>
    <row r="1641" spans="1:9" x14ac:dyDescent="0.4">
      <c r="A1641" t="str">
        <f t="shared" si="175"/>
        <v/>
      </c>
      <c r="B1641" t="str">
        <f t="shared" si="176"/>
        <v/>
      </c>
      <c r="C1641" t="str">
        <f t="shared" si="177"/>
        <v/>
      </c>
      <c r="D1641" t="str">
        <f t="shared" si="178"/>
        <v/>
      </c>
      <c r="E1641" t="str">
        <f>IF(F1641="","",IF(COUNTIF($F$2:F1641,F1641)&gt;1,"",SUMIFS(tbl_input[필요수량],tbl_input[집계키_센터],F1641)))</f>
        <v/>
      </c>
      <c r="F1641" t="str">
        <f>IFERROR(INDEX(tbl_input[집계키_센터],ROW()-1),"")</f>
        <v/>
      </c>
      <c r="G1641" t="str">
        <f t="shared" si="179"/>
        <v/>
      </c>
      <c r="H1641" t="str">
        <f t="shared" si="180"/>
        <v/>
      </c>
      <c r="I1641" t="str">
        <f t="shared" si="181"/>
        <v/>
      </c>
    </row>
    <row r="1642" spans="1:9" x14ac:dyDescent="0.4">
      <c r="A1642" t="str">
        <f t="shared" si="175"/>
        <v/>
      </c>
      <c r="B1642" t="str">
        <f t="shared" si="176"/>
        <v/>
      </c>
      <c r="C1642" t="str">
        <f t="shared" si="177"/>
        <v/>
      </c>
      <c r="D1642" t="str">
        <f t="shared" si="178"/>
        <v/>
      </c>
      <c r="E1642" t="str">
        <f>IF(F1642="","",IF(COUNTIF($F$2:F1642,F1642)&gt;1,"",SUMIFS(tbl_input[필요수량],tbl_input[집계키_센터],F1642)))</f>
        <v/>
      </c>
      <c r="F1642" t="str">
        <f>IFERROR(INDEX(tbl_input[집계키_센터],ROW()-1),"")</f>
        <v/>
      </c>
      <c r="G1642" t="str">
        <f t="shared" si="179"/>
        <v/>
      </c>
      <c r="H1642" t="str">
        <f t="shared" si="180"/>
        <v/>
      </c>
      <c r="I1642" t="str">
        <f t="shared" si="181"/>
        <v/>
      </c>
    </row>
    <row r="1643" spans="1:9" x14ac:dyDescent="0.4">
      <c r="A1643" t="str">
        <f t="shared" si="175"/>
        <v/>
      </c>
      <c r="B1643" t="str">
        <f t="shared" si="176"/>
        <v/>
      </c>
      <c r="C1643" t="str">
        <f t="shared" si="177"/>
        <v/>
      </c>
      <c r="D1643" t="str">
        <f t="shared" si="178"/>
        <v/>
      </c>
      <c r="E1643" t="str">
        <f>IF(F1643="","",IF(COUNTIF($F$2:F1643,F1643)&gt;1,"",SUMIFS(tbl_input[필요수량],tbl_input[집계키_센터],F1643)))</f>
        <v/>
      </c>
      <c r="F1643" t="str">
        <f>IFERROR(INDEX(tbl_input[집계키_센터],ROW()-1),"")</f>
        <v/>
      </c>
      <c r="G1643" t="str">
        <f t="shared" si="179"/>
        <v/>
      </c>
      <c r="H1643" t="str">
        <f t="shared" si="180"/>
        <v/>
      </c>
      <c r="I1643" t="str">
        <f t="shared" si="181"/>
        <v/>
      </c>
    </row>
    <row r="1644" spans="1:9" x14ac:dyDescent="0.4">
      <c r="A1644" t="str">
        <f t="shared" si="175"/>
        <v/>
      </c>
      <c r="B1644" t="str">
        <f t="shared" si="176"/>
        <v/>
      </c>
      <c r="C1644" t="str">
        <f t="shared" si="177"/>
        <v/>
      </c>
      <c r="D1644" t="str">
        <f t="shared" si="178"/>
        <v/>
      </c>
      <c r="E1644" t="str">
        <f>IF(F1644="","",IF(COUNTIF($F$2:F1644,F1644)&gt;1,"",SUMIFS(tbl_input[필요수량],tbl_input[집계키_센터],F1644)))</f>
        <v/>
      </c>
      <c r="F1644" t="str">
        <f>IFERROR(INDEX(tbl_input[집계키_센터],ROW()-1),"")</f>
        <v/>
      </c>
      <c r="G1644" t="str">
        <f t="shared" si="179"/>
        <v/>
      </c>
      <c r="H1644" t="str">
        <f t="shared" si="180"/>
        <v/>
      </c>
      <c r="I1644" t="str">
        <f t="shared" si="181"/>
        <v/>
      </c>
    </row>
    <row r="1645" spans="1:9" x14ac:dyDescent="0.4">
      <c r="A1645" t="str">
        <f t="shared" si="175"/>
        <v/>
      </c>
      <c r="B1645" t="str">
        <f t="shared" si="176"/>
        <v/>
      </c>
      <c r="C1645" t="str">
        <f t="shared" si="177"/>
        <v/>
      </c>
      <c r="D1645" t="str">
        <f t="shared" si="178"/>
        <v/>
      </c>
      <c r="E1645" t="str">
        <f>IF(F1645="","",IF(COUNTIF($F$2:F1645,F1645)&gt;1,"",SUMIFS(tbl_input[필요수량],tbl_input[집계키_센터],F1645)))</f>
        <v/>
      </c>
      <c r="F1645" t="str">
        <f>IFERROR(INDEX(tbl_input[집계키_센터],ROW()-1),"")</f>
        <v/>
      </c>
      <c r="G1645" t="str">
        <f t="shared" si="179"/>
        <v/>
      </c>
      <c r="H1645" t="str">
        <f t="shared" si="180"/>
        <v/>
      </c>
      <c r="I1645" t="str">
        <f t="shared" si="181"/>
        <v/>
      </c>
    </row>
    <row r="1646" spans="1:9" x14ac:dyDescent="0.4">
      <c r="A1646" t="str">
        <f t="shared" si="175"/>
        <v/>
      </c>
      <c r="B1646" t="str">
        <f t="shared" si="176"/>
        <v/>
      </c>
      <c r="C1646" t="str">
        <f t="shared" si="177"/>
        <v/>
      </c>
      <c r="D1646" t="str">
        <f t="shared" si="178"/>
        <v/>
      </c>
      <c r="E1646" t="str">
        <f>IF(F1646="","",IF(COUNTIF($F$2:F1646,F1646)&gt;1,"",SUMIFS(tbl_input[필요수량],tbl_input[집계키_센터],F1646)))</f>
        <v/>
      </c>
      <c r="F1646" t="str">
        <f>IFERROR(INDEX(tbl_input[집계키_센터],ROW()-1),"")</f>
        <v/>
      </c>
      <c r="G1646" t="str">
        <f t="shared" si="179"/>
        <v/>
      </c>
      <c r="H1646" t="str">
        <f t="shared" si="180"/>
        <v/>
      </c>
      <c r="I1646" t="str">
        <f t="shared" si="181"/>
        <v/>
      </c>
    </row>
    <row r="1647" spans="1:9" x14ac:dyDescent="0.4">
      <c r="A1647" t="str">
        <f t="shared" si="175"/>
        <v/>
      </c>
      <c r="B1647" t="str">
        <f t="shared" si="176"/>
        <v/>
      </c>
      <c r="C1647" t="str">
        <f t="shared" si="177"/>
        <v/>
      </c>
      <c r="D1647" t="str">
        <f t="shared" si="178"/>
        <v/>
      </c>
      <c r="E1647" t="str">
        <f>IF(F1647="","",IF(COUNTIF($F$2:F1647,F1647)&gt;1,"",SUMIFS(tbl_input[필요수량],tbl_input[집계키_센터],F1647)))</f>
        <v/>
      </c>
      <c r="F1647" t="str">
        <f>IFERROR(INDEX(tbl_input[집계키_센터],ROW()-1),"")</f>
        <v/>
      </c>
      <c r="G1647" t="str">
        <f t="shared" si="179"/>
        <v/>
      </c>
      <c r="H1647" t="str">
        <f t="shared" si="180"/>
        <v/>
      </c>
      <c r="I1647" t="str">
        <f t="shared" si="181"/>
        <v/>
      </c>
    </row>
    <row r="1648" spans="1:9" x14ac:dyDescent="0.4">
      <c r="A1648" t="str">
        <f t="shared" si="175"/>
        <v/>
      </c>
      <c r="B1648" t="str">
        <f t="shared" si="176"/>
        <v/>
      </c>
      <c r="C1648" t="str">
        <f t="shared" si="177"/>
        <v/>
      </c>
      <c r="D1648" t="str">
        <f t="shared" si="178"/>
        <v/>
      </c>
      <c r="E1648" t="str">
        <f>IF(F1648="","",IF(COUNTIF($F$2:F1648,F1648)&gt;1,"",SUMIFS(tbl_input[필요수량],tbl_input[집계키_센터],F1648)))</f>
        <v/>
      </c>
      <c r="F1648" t="str">
        <f>IFERROR(INDEX(tbl_input[집계키_센터],ROW()-1),"")</f>
        <v/>
      </c>
      <c r="G1648" t="str">
        <f t="shared" si="179"/>
        <v/>
      </c>
      <c r="H1648" t="str">
        <f t="shared" si="180"/>
        <v/>
      </c>
      <c r="I1648" t="str">
        <f t="shared" si="181"/>
        <v/>
      </c>
    </row>
    <row r="1649" spans="1:9" x14ac:dyDescent="0.4">
      <c r="A1649" t="str">
        <f t="shared" si="175"/>
        <v/>
      </c>
      <c r="B1649" t="str">
        <f t="shared" si="176"/>
        <v/>
      </c>
      <c r="C1649" t="str">
        <f t="shared" si="177"/>
        <v/>
      </c>
      <c r="D1649" t="str">
        <f t="shared" si="178"/>
        <v/>
      </c>
      <c r="E1649" t="str">
        <f>IF(F1649="","",IF(COUNTIF($F$2:F1649,F1649)&gt;1,"",SUMIFS(tbl_input[필요수량],tbl_input[집계키_센터],F1649)))</f>
        <v/>
      </c>
      <c r="F1649" t="str">
        <f>IFERROR(INDEX(tbl_input[집계키_센터],ROW()-1),"")</f>
        <v/>
      </c>
      <c r="G1649" t="str">
        <f t="shared" si="179"/>
        <v/>
      </c>
      <c r="H1649" t="str">
        <f t="shared" si="180"/>
        <v/>
      </c>
      <c r="I1649" t="str">
        <f t="shared" si="181"/>
        <v/>
      </c>
    </row>
    <row r="1650" spans="1:9" x14ac:dyDescent="0.4">
      <c r="A1650" t="str">
        <f t="shared" si="175"/>
        <v/>
      </c>
      <c r="B1650" t="str">
        <f t="shared" si="176"/>
        <v/>
      </c>
      <c r="C1650" t="str">
        <f t="shared" si="177"/>
        <v/>
      </c>
      <c r="D1650" t="str">
        <f t="shared" si="178"/>
        <v/>
      </c>
      <c r="E1650" t="str">
        <f>IF(F1650="","",IF(COUNTIF($F$2:F1650,F1650)&gt;1,"",SUMIFS(tbl_input[필요수량],tbl_input[집계키_센터],F1650)))</f>
        <v/>
      </c>
      <c r="F1650" t="str">
        <f>IFERROR(INDEX(tbl_input[집계키_센터],ROW()-1),"")</f>
        <v/>
      </c>
      <c r="G1650" t="str">
        <f t="shared" si="179"/>
        <v/>
      </c>
      <c r="H1650" t="str">
        <f t="shared" si="180"/>
        <v/>
      </c>
      <c r="I1650" t="str">
        <f t="shared" si="181"/>
        <v/>
      </c>
    </row>
    <row r="1651" spans="1:9" x14ac:dyDescent="0.4">
      <c r="A1651" t="str">
        <f t="shared" si="175"/>
        <v/>
      </c>
      <c r="B1651" t="str">
        <f t="shared" si="176"/>
        <v/>
      </c>
      <c r="C1651" t="str">
        <f t="shared" si="177"/>
        <v/>
      </c>
      <c r="D1651" t="str">
        <f t="shared" si="178"/>
        <v/>
      </c>
      <c r="E1651" t="str">
        <f>IF(F1651="","",IF(COUNTIF($F$2:F1651,F1651)&gt;1,"",SUMIFS(tbl_input[필요수량],tbl_input[집계키_센터],F1651)))</f>
        <v/>
      </c>
      <c r="F1651" t="str">
        <f>IFERROR(INDEX(tbl_input[집계키_센터],ROW()-1),"")</f>
        <v/>
      </c>
      <c r="G1651" t="str">
        <f t="shared" si="179"/>
        <v/>
      </c>
      <c r="H1651" t="str">
        <f t="shared" si="180"/>
        <v/>
      </c>
      <c r="I1651" t="str">
        <f t="shared" si="181"/>
        <v/>
      </c>
    </row>
    <row r="1652" spans="1:9" x14ac:dyDescent="0.4">
      <c r="A1652" t="str">
        <f t="shared" si="175"/>
        <v/>
      </c>
      <c r="B1652" t="str">
        <f t="shared" si="176"/>
        <v/>
      </c>
      <c r="C1652" t="str">
        <f t="shared" si="177"/>
        <v/>
      </c>
      <c r="D1652" t="str">
        <f t="shared" si="178"/>
        <v/>
      </c>
      <c r="E1652" t="str">
        <f>IF(F1652="","",IF(COUNTIF($F$2:F1652,F1652)&gt;1,"",SUMIFS(tbl_input[필요수량],tbl_input[집계키_센터],F1652)))</f>
        <v/>
      </c>
      <c r="F1652" t="str">
        <f>IFERROR(INDEX(tbl_input[집계키_센터],ROW()-1),"")</f>
        <v/>
      </c>
      <c r="G1652" t="str">
        <f t="shared" si="179"/>
        <v/>
      </c>
      <c r="H1652" t="str">
        <f t="shared" si="180"/>
        <v/>
      </c>
      <c r="I1652" t="str">
        <f t="shared" si="181"/>
        <v/>
      </c>
    </row>
    <row r="1653" spans="1:9" x14ac:dyDescent="0.4">
      <c r="A1653" t="str">
        <f t="shared" si="175"/>
        <v/>
      </c>
      <c r="B1653" t="str">
        <f t="shared" si="176"/>
        <v/>
      </c>
      <c r="C1653" t="str">
        <f t="shared" si="177"/>
        <v/>
      </c>
      <c r="D1653" t="str">
        <f t="shared" si="178"/>
        <v/>
      </c>
      <c r="E1653" t="str">
        <f>IF(F1653="","",IF(COUNTIF($F$2:F1653,F1653)&gt;1,"",SUMIFS(tbl_input[필요수량],tbl_input[집계키_센터],F1653)))</f>
        <v/>
      </c>
      <c r="F1653" t="str">
        <f>IFERROR(INDEX(tbl_input[집계키_센터],ROW()-1),"")</f>
        <v/>
      </c>
      <c r="G1653" t="str">
        <f t="shared" si="179"/>
        <v/>
      </c>
      <c r="H1653" t="str">
        <f t="shared" si="180"/>
        <v/>
      </c>
      <c r="I1653" t="str">
        <f t="shared" si="181"/>
        <v/>
      </c>
    </row>
    <row r="1654" spans="1:9" x14ac:dyDescent="0.4">
      <c r="A1654" t="str">
        <f t="shared" si="175"/>
        <v/>
      </c>
      <c r="B1654" t="str">
        <f t="shared" si="176"/>
        <v/>
      </c>
      <c r="C1654" t="str">
        <f t="shared" si="177"/>
        <v/>
      </c>
      <c r="D1654" t="str">
        <f t="shared" si="178"/>
        <v/>
      </c>
      <c r="E1654" t="str">
        <f>IF(F1654="","",IF(COUNTIF($F$2:F1654,F1654)&gt;1,"",SUMIFS(tbl_input[필요수량],tbl_input[집계키_센터],F1654)))</f>
        <v/>
      </c>
      <c r="F1654" t="str">
        <f>IFERROR(INDEX(tbl_input[집계키_센터],ROW()-1),"")</f>
        <v/>
      </c>
      <c r="G1654" t="str">
        <f t="shared" si="179"/>
        <v/>
      </c>
      <c r="H1654" t="str">
        <f t="shared" si="180"/>
        <v/>
      </c>
      <c r="I1654" t="str">
        <f t="shared" si="181"/>
        <v/>
      </c>
    </row>
    <row r="1655" spans="1:9" x14ac:dyDescent="0.4">
      <c r="A1655" t="str">
        <f t="shared" si="175"/>
        <v/>
      </c>
      <c r="B1655" t="str">
        <f t="shared" si="176"/>
        <v/>
      </c>
      <c r="C1655" t="str">
        <f t="shared" si="177"/>
        <v/>
      </c>
      <c r="D1655" t="str">
        <f t="shared" si="178"/>
        <v/>
      </c>
      <c r="E1655" t="str">
        <f>IF(F1655="","",IF(COUNTIF($F$2:F1655,F1655)&gt;1,"",SUMIFS(tbl_input[필요수량],tbl_input[집계키_센터],F1655)))</f>
        <v/>
      </c>
      <c r="F1655" t="str">
        <f>IFERROR(INDEX(tbl_input[집계키_센터],ROW()-1),"")</f>
        <v/>
      </c>
      <c r="G1655" t="str">
        <f t="shared" si="179"/>
        <v/>
      </c>
      <c r="H1655" t="str">
        <f t="shared" si="180"/>
        <v/>
      </c>
      <c r="I1655" t="str">
        <f t="shared" si="181"/>
        <v/>
      </c>
    </row>
    <row r="1656" spans="1:9" x14ac:dyDescent="0.4">
      <c r="A1656" t="str">
        <f t="shared" si="175"/>
        <v/>
      </c>
      <c r="B1656" t="str">
        <f t="shared" si="176"/>
        <v/>
      </c>
      <c r="C1656" t="str">
        <f t="shared" si="177"/>
        <v/>
      </c>
      <c r="D1656" t="str">
        <f t="shared" si="178"/>
        <v/>
      </c>
      <c r="E1656" t="str">
        <f>IF(F1656="","",IF(COUNTIF($F$2:F1656,F1656)&gt;1,"",SUMIFS(tbl_input[필요수량],tbl_input[집계키_센터],F1656)))</f>
        <v/>
      </c>
      <c r="F1656" t="str">
        <f>IFERROR(INDEX(tbl_input[집계키_센터],ROW()-1),"")</f>
        <v/>
      </c>
      <c r="G1656" t="str">
        <f t="shared" si="179"/>
        <v/>
      </c>
      <c r="H1656" t="str">
        <f t="shared" si="180"/>
        <v/>
      </c>
      <c r="I1656" t="str">
        <f t="shared" si="181"/>
        <v/>
      </c>
    </row>
    <row r="1657" spans="1:9" x14ac:dyDescent="0.4">
      <c r="A1657" t="str">
        <f t="shared" si="175"/>
        <v/>
      </c>
      <c r="B1657" t="str">
        <f t="shared" si="176"/>
        <v/>
      </c>
      <c r="C1657" t="str">
        <f t="shared" si="177"/>
        <v/>
      </c>
      <c r="D1657" t="str">
        <f t="shared" si="178"/>
        <v/>
      </c>
      <c r="E1657" t="str">
        <f>IF(F1657="","",IF(COUNTIF($F$2:F1657,F1657)&gt;1,"",SUMIFS(tbl_input[필요수량],tbl_input[집계키_센터],F1657)))</f>
        <v/>
      </c>
      <c r="F1657" t="str">
        <f>IFERROR(INDEX(tbl_input[집계키_센터],ROW()-1),"")</f>
        <v/>
      </c>
      <c r="G1657" t="str">
        <f t="shared" si="179"/>
        <v/>
      </c>
      <c r="H1657" t="str">
        <f t="shared" si="180"/>
        <v/>
      </c>
      <c r="I1657" t="str">
        <f t="shared" si="181"/>
        <v/>
      </c>
    </row>
    <row r="1658" spans="1:9" x14ac:dyDescent="0.4">
      <c r="A1658" t="str">
        <f t="shared" si="175"/>
        <v/>
      </c>
      <c r="B1658" t="str">
        <f t="shared" si="176"/>
        <v/>
      </c>
      <c r="C1658" t="str">
        <f t="shared" si="177"/>
        <v/>
      </c>
      <c r="D1658" t="str">
        <f t="shared" si="178"/>
        <v/>
      </c>
      <c r="E1658" t="str">
        <f>IF(F1658="","",IF(COUNTIF($F$2:F1658,F1658)&gt;1,"",SUMIFS(tbl_input[필요수량],tbl_input[집계키_센터],F1658)))</f>
        <v/>
      </c>
      <c r="F1658" t="str">
        <f>IFERROR(INDEX(tbl_input[집계키_센터],ROW()-1),"")</f>
        <v/>
      </c>
      <c r="G1658" t="str">
        <f t="shared" si="179"/>
        <v/>
      </c>
      <c r="H1658" t="str">
        <f t="shared" si="180"/>
        <v/>
      </c>
      <c r="I1658" t="str">
        <f t="shared" si="181"/>
        <v/>
      </c>
    </row>
    <row r="1659" spans="1:9" x14ac:dyDescent="0.4">
      <c r="A1659" t="str">
        <f t="shared" si="175"/>
        <v/>
      </c>
      <c r="B1659" t="str">
        <f t="shared" si="176"/>
        <v/>
      </c>
      <c r="C1659" t="str">
        <f t="shared" si="177"/>
        <v/>
      </c>
      <c r="D1659" t="str">
        <f t="shared" si="178"/>
        <v/>
      </c>
      <c r="E1659" t="str">
        <f>IF(F1659="","",IF(COUNTIF($F$2:F1659,F1659)&gt;1,"",SUMIFS(tbl_input[필요수량],tbl_input[집계키_센터],F1659)))</f>
        <v/>
      </c>
      <c r="F1659" t="str">
        <f>IFERROR(INDEX(tbl_input[집계키_센터],ROW()-1),"")</f>
        <v/>
      </c>
      <c r="G1659" t="str">
        <f t="shared" si="179"/>
        <v/>
      </c>
      <c r="H1659" t="str">
        <f t="shared" si="180"/>
        <v/>
      </c>
      <c r="I1659" t="str">
        <f t="shared" si="181"/>
        <v/>
      </c>
    </row>
    <row r="1660" spans="1:9" x14ac:dyDescent="0.4">
      <c r="A1660" t="str">
        <f t="shared" si="175"/>
        <v/>
      </c>
      <c r="B1660" t="str">
        <f t="shared" si="176"/>
        <v/>
      </c>
      <c r="C1660" t="str">
        <f t="shared" si="177"/>
        <v/>
      </c>
      <c r="D1660" t="str">
        <f t="shared" si="178"/>
        <v/>
      </c>
      <c r="E1660" t="str">
        <f>IF(F1660="","",IF(COUNTIF($F$2:F1660,F1660)&gt;1,"",SUMIFS(tbl_input[필요수량],tbl_input[집계키_센터],F1660)))</f>
        <v/>
      </c>
      <c r="F1660" t="str">
        <f>IFERROR(INDEX(tbl_input[집계키_센터],ROW()-1),"")</f>
        <v/>
      </c>
      <c r="G1660" t="str">
        <f t="shared" si="179"/>
        <v/>
      </c>
      <c r="H1660" t="str">
        <f t="shared" si="180"/>
        <v/>
      </c>
      <c r="I1660" t="str">
        <f t="shared" si="181"/>
        <v/>
      </c>
    </row>
    <row r="1661" spans="1:9" x14ac:dyDescent="0.4">
      <c r="A1661" t="str">
        <f t="shared" si="175"/>
        <v/>
      </c>
      <c r="B1661" t="str">
        <f t="shared" si="176"/>
        <v/>
      </c>
      <c r="C1661" t="str">
        <f t="shared" si="177"/>
        <v/>
      </c>
      <c r="D1661" t="str">
        <f t="shared" si="178"/>
        <v/>
      </c>
      <c r="E1661" t="str">
        <f>IF(F1661="","",IF(COUNTIF($F$2:F1661,F1661)&gt;1,"",SUMIFS(tbl_input[필요수량],tbl_input[집계키_센터],F1661)))</f>
        <v/>
      </c>
      <c r="F1661" t="str">
        <f>IFERROR(INDEX(tbl_input[집계키_센터],ROW()-1),"")</f>
        <v/>
      </c>
      <c r="G1661" t="str">
        <f t="shared" si="179"/>
        <v/>
      </c>
      <c r="H1661" t="str">
        <f t="shared" si="180"/>
        <v/>
      </c>
      <c r="I1661" t="str">
        <f t="shared" si="181"/>
        <v/>
      </c>
    </row>
    <row r="1662" spans="1:9" x14ac:dyDescent="0.4">
      <c r="A1662" t="str">
        <f t="shared" si="175"/>
        <v/>
      </c>
      <c r="B1662" t="str">
        <f t="shared" si="176"/>
        <v/>
      </c>
      <c r="C1662" t="str">
        <f t="shared" si="177"/>
        <v/>
      </c>
      <c r="D1662" t="str">
        <f t="shared" si="178"/>
        <v/>
      </c>
      <c r="E1662" t="str">
        <f>IF(F1662="","",IF(COUNTIF($F$2:F1662,F1662)&gt;1,"",SUMIFS(tbl_input[필요수량],tbl_input[집계키_센터],F1662)))</f>
        <v/>
      </c>
      <c r="F1662" t="str">
        <f>IFERROR(INDEX(tbl_input[집계키_센터],ROW()-1),"")</f>
        <v/>
      </c>
      <c r="G1662" t="str">
        <f t="shared" si="179"/>
        <v/>
      </c>
      <c r="H1662" t="str">
        <f t="shared" si="180"/>
        <v/>
      </c>
      <c r="I1662" t="str">
        <f t="shared" si="181"/>
        <v/>
      </c>
    </row>
    <row r="1663" spans="1:9" x14ac:dyDescent="0.4">
      <c r="A1663" t="str">
        <f t="shared" si="175"/>
        <v/>
      </c>
      <c r="B1663" t="str">
        <f t="shared" si="176"/>
        <v/>
      </c>
      <c r="C1663" t="str">
        <f t="shared" si="177"/>
        <v/>
      </c>
      <c r="D1663" t="str">
        <f t="shared" si="178"/>
        <v/>
      </c>
      <c r="E1663" t="str">
        <f>IF(F1663="","",IF(COUNTIF($F$2:F1663,F1663)&gt;1,"",SUMIFS(tbl_input[필요수량],tbl_input[집계키_센터],F1663)))</f>
        <v/>
      </c>
      <c r="F1663" t="str">
        <f>IFERROR(INDEX(tbl_input[집계키_센터],ROW()-1),"")</f>
        <v/>
      </c>
      <c r="G1663" t="str">
        <f t="shared" si="179"/>
        <v/>
      </c>
      <c r="H1663" t="str">
        <f t="shared" si="180"/>
        <v/>
      </c>
      <c r="I1663" t="str">
        <f t="shared" si="181"/>
        <v/>
      </c>
    </row>
    <row r="1664" spans="1:9" x14ac:dyDescent="0.4">
      <c r="A1664" t="str">
        <f t="shared" si="175"/>
        <v/>
      </c>
      <c r="B1664" t="str">
        <f t="shared" si="176"/>
        <v/>
      </c>
      <c r="C1664" t="str">
        <f t="shared" si="177"/>
        <v/>
      </c>
      <c r="D1664" t="str">
        <f t="shared" si="178"/>
        <v/>
      </c>
      <c r="E1664" t="str">
        <f>IF(F1664="","",IF(COUNTIF($F$2:F1664,F1664)&gt;1,"",SUMIFS(tbl_input[필요수량],tbl_input[집계키_센터],F1664)))</f>
        <v/>
      </c>
      <c r="F1664" t="str">
        <f>IFERROR(INDEX(tbl_input[집계키_센터],ROW()-1),"")</f>
        <v/>
      </c>
      <c r="G1664" t="str">
        <f t="shared" si="179"/>
        <v/>
      </c>
      <c r="H1664" t="str">
        <f t="shared" si="180"/>
        <v/>
      </c>
      <c r="I1664" t="str">
        <f t="shared" si="181"/>
        <v/>
      </c>
    </row>
    <row r="1665" spans="1:9" x14ac:dyDescent="0.4">
      <c r="A1665" t="str">
        <f t="shared" si="175"/>
        <v/>
      </c>
      <c r="B1665" t="str">
        <f t="shared" si="176"/>
        <v/>
      </c>
      <c r="C1665" t="str">
        <f t="shared" si="177"/>
        <v/>
      </c>
      <c r="D1665" t="str">
        <f t="shared" si="178"/>
        <v/>
      </c>
      <c r="E1665" t="str">
        <f>IF(F1665="","",IF(COUNTIF($F$2:F1665,F1665)&gt;1,"",SUMIFS(tbl_input[필요수량],tbl_input[집계키_센터],F1665)))</f>
        <v/>
      </c>
      <c r="F1665" t="str">
        <f>IFERROR(INDEX(tbl_input[집계키_센터],ROW()-1),"")</f>
        <v/>
      </c>
      <c r="G1665" t="str">
        <f t="shared" si="179"/>
        <v/>
      </c>
      <c r="H1665" t="str">
        <f t="shared" si="180"/>
        <v/>
      </c>
      <c r="I1665" t="str">
        <f t="shared" si="181"/>
        <v/>
      </c>
    </row>
    <row r="1666" spans="1:9" x14ac:dyDescent="0.4">
      <c r="A1666" t="str">
        <f t="shared" ref="A1666:A1729" si="182">IF(F1666="","",LEFT(F1666,G1666-1))</f>
        <v/>
      </c>
      <c r="B1666" t="str">
        <f t="shared" ref="B1666:B1729" si="183">IF(F1666="","",MID(F1666,G1666+1,H1666-G1666-1))</f>
        <v/>
      </c>
      <c r="C1666" t="str">
        <f t="shared" ref="C1666:C1729" si="184">IF(F1666="","",MID(F1666,H1666+1,I1666-H1666-1))</f>
        <v/>
      </c>
      <c r="D1666" t="str">
        <f t="shared" ref="D1666:D1729" si="185">IF(F1666="","",MID(F1666,I1666+1,999))</f>
        <v/>
      </c>
      <c r="E1666" t="str">
        <f>IF(F1666="","",IF(COUNTIF($F$2:F1666,F1666)&gt;1,"",SUMIFS(tbl_input[필요수량],tbl_input[집계키_센터],F1666)))</f>
        <v/>
      </c>
      <c r="F1666" t="str">
        <f>IFERROR(INDEX(tbl_input[집계키_센터],ROW()-1),"")</f>
        <v/>
      </c>
      <c r="G1666" t="str">
        <f t="shared" ref="G1666:G1729" si="186">IF(F1666="","",FIND("♦",F1666))</f>
        <v/>
      </c>
      <c r="H1666" t="str">
        <f t="shared" ref="H1666:H1729" si="187">IF(F1666="","",FIND("♦",F1666,G1666+1))</f>
        <v/>
      </c>
      <c r="I1666" t="str">
        <f t="shared" ref="I1666:I1729" si="188">IF(F1666="","",FIND("♦",F1666,H1666+1))</f>
        <v/>
      </c>
    </row>
    <row r="1667" spans="1:9" x14ac:dyDescent="0.4">
      <c r="A1667" t="str">
        <f t="shared" si="182"/>
        <v/>
      </c>
      <c r="B1667" t="str">
        <f t="shared" si="183"/>
        <v/>
      </c>
      <c r="C1667" t="str">
        <f t="shared" si="184"/>
        <v/>
      </c>
      <c r="D1667" t="str">
        <f t="shared" si="185"/>
        <v/>
      </c>
      <c r="E1667" t="str">
        <f>IF(F1667="","",IF(COUNTIF($F$2:F1667,F1667)&gt;1,"",SUMIFS(tbl_input[필요수량],tbl_input[집계키_센터],F1667)))</f>
        <v/>
      </c>
      <c r="F1667" t="str">
        <f>IFERROR(INDEX(tbl_input[집계키_센터],ROW()-1),"")</f>
        <v/>
      </c>
      <c r="G1667" t="str">
        <f t="shared" si="186"/>
        <v/>
      </c>
      <c r="H1667" t="str">
        <f t="shared" si="187"/>
        <v/>
      </c>
      <c r="I1667" t="str">
        <f t="shared" si="188"/>
        <v/>
      </c>
    </row>
    <row r="1668" spans="1:9" x14ac:dyDescent="0.4">
      <c r="A1668" t="str">
        <f t="shared" si="182"/>
        <v/>
      </c>
      <c r="B1668" t="str">
        <f t="shared" si="183"/>
        <v/>
      </c>
      <c r="C1668" t="str">
        <f t="shared" si="184"/>
        <v/>
      </c>
      <c r="D1668" t="str">
        <f t="shared" si="185"/>
        <v/>
      </c>
      <c r="E1668" t="str">
        <f>IF(F1668="","",IF(COUNTIF($F$2:F1668,F1668)&gt;1,"",SUMIFS(tbl_input[필요수량],tbl_input[집계키_센터],F1668)))</f>
        <v/>
      </c>
      <c r="F1668" t="str">
        <f>IFERROR(INDEX(tbl_input[집계키_센터],ROW()-1),"")</f>
        <v/>
      </c>
      <c r="G1668" t="str">
        <f t="shared" si="186"/>
        <v/>
      </c>
      <c r="H1668" t="str">
        <f t="shared" si="187"/>
        <v/>
      </c>
      <c r="I1668" t="str">
        <f t="shared" si="188"/>
        <v/>
      </c>
    </row>
    <row r="1669" spans="1:9" x14ac:dyDescent="0.4">
      <c r="A1669" t="str">
        <f t="shared" si="182"/>
        <v/>
      </c>
      <c r="B1669" t="str">
        <f t="shared" si="183"/>
        <v/>
      </c>
      <c r="C1669" t="str">
        <f t="shared" si="184"/>
        <v/>
      </c>
      <c r="D1669" t="str">
        <f t="shared" si="185"/>
        <v/>
      </c>
      <c r="E1669" t="str">
        <f>IF(F1669="","",IF(COUNTIF($F$2:F1669,F1669)&gt;1,"",SUMIFS(tbl_input[필요수량],tbl_input[집계키_센터],F1669)))</f>
        <v/>
      </c>
      <c r="F1669" t="str">
        <f>IFERROR(INDEX(tbl_input[집계키_센터],ROW()-1),"")</f>
        <v/>
      </c>
      <c r="G1669" t="str">
        <f t="shared" si="186"/>
        <v/>
      </c>
      <c r="H1669" t="str">
        <f t="shared" si="187"/>
        <v/>
      </c>
      <c r="I1669" t="str">
        <f t="shared" si="188"/>
        <v/>
      </c>
    </row>
    <row r="1670" spans="1:9" x14ac:dyDescent="0.4">
      <c r="A1670" t="str">
        <f t="shared" si="182"/>
        <v/>
      </c>
      <c r="B1670" t="str">
        <f t="shared" si="183"/>
        <v/>
      </c>
      <c r="C1670" t="str">
        <f t="shared" si="184"/>
        <v/>
      </c>
      <c r="D1670" t="str">
        <f t="shared" si="185"/>
        <v/>
      </c>
      <c r="E1670" t="str">
        <f>IF(F1670="","",IF(COUNTIF($F$2:F1670,F1670)&gt;1,"",SUMIFS(tbl_input[필요수량],tbl_input[집계키_센터],F1670)))</f>
        <v/>
      </c>
      <c r="F1670" t="str">
        <f>IFERROR(INDEX(tbl_input[집계키_센터],ROW()-1),"")</f>
        <v/>
      </c>
      <c r="G1670" t="str">
        <f t="shared" si="186"/>
        <v/>
      </c>
      <c r="H1670" t="str">
        <f t="shared" si="187"/>
        <v/>
      </c>
      <c r="I1670" t="str">
        <f t="shared" si="188"/>
        <v/>
      </c>
    </row>
    <row r="1671" spans="1:9" x14ac:dyDescent="0.4">
      <c r="A1671" t="str">
        <f t="shared" si="182"/>
        <v/>
      </c>
      <c r="B1671" t="str">
        <f t="shared" si="183"/>
        <v/>
      </c>
      <c r="C1671" t="str">
        <f t="shared" si="184"/>
        <v/>
      </c>
      <c r="D1671" t="str">
        <f t="shared" si="185"/>
        <v/>
      </c>
      <c r="E1671" t="str">
        <f>IF(F1671="","",IF(COUNTIF($F$2:F1671,F1671)&gt;1,"",SUMIFS(tbl_input[필요수량],tbl_input[집계키_센터],F1671)))</f>
        <v/>
      </c>
      <c r="F1671" t="str">
        <f>IFERROR(INDEX(tbl_input[집계키_센터],ROW()-1),"")</f>
        <v/>
      </c>
      <c r="G1671" t="str">
        <f t="shared" si="186"/>
        <v/>
      </c>
      <c r="H1671" t="str">
        <f t="shared" si="187"/>
        <v/>
      </c>
      <c r="I1671" t="str">
        <f t="shared" si="188"/>
        <v/>
      </c>
    </row>
    <row r="1672" spans="1:9" x14ac:dyDescent="0.4">
      <c r="A1672" t="str">
        <f t="shared" si="182"/>
        <v/>
      </c>
      <c r="B1672" t="str">
        <f t="shared" si="183"/>
        <v/>
      </c>
      <c r="C1672" t="str">
        <f t="shared" si="184"/>
        <v/>
      </c>
      <c r="D1672" t="str">
        <f t="shared" si="185"/>
        <v/>
      </c>
      <c r="E1672" t="str">
        <f>IF(F1672="","",IF(COUNTIF($F$2:F1672,F1672)&gt;1,"",SUMIFS(tbl_input[필요수량],tbl_input[집계키_센터],F1672)))</f>
        <v/>
      </c>
      <c r="F1672" t="str">
        <f>IFERROR(INDEX(tbl_input[집계키_센터],ROW()-1),"")</f>
        <v/>
      </c>
      <c r="G1672" t="str">
        <f t="shared" si="186"/>
        <v/>
      </c>
      <c r="H1672" t="str">
        <f t="shared" si="187"/>
        <v/>
      </c>
      <c r="I1672" t="str">
        <f t="shared" si="188"/>
        <v/>
      </c>
    </row>
    <row r="1673" spans="1:9" x14ac:dyDescent="0.4">
      <c r="A1673" t="str">
        <f t="shared" si="182"/>
        <v/>
      </c>
      <c r="B1673" t="str">
        <f t="shared" si="183"/>
        <v/>
      </c>
      <c r="C1673" t="str">
        <f t="shared" si="184"/>
        <v/>
      </c>
      <c r="D1673" t="str">
        <f t="shared" si="185"/>
        <v/>
      </c>
      <c r="E1673" t="str">
        <f>IF(F1673="","",IF(COUNTIF($F$2:F1673,F1673)&gt;1,"",SUMIFS(tbl_input[필요수량],tbl_input[집계키_센터],F1673)))</f>
        <v/>
      </c>
      <c r="F1673" t="str">
        <f>IFERROR(INDEX(tbl_input[집계키_센터],ROW()-1),"")</f>
        <v/>
      </c>
      <c r="G1673" t="str">
        <f t="shared" si="186"/>
        <v/>
      </c>
      <c r="H1673" t="str">
        <f t="shared" si="187"/>
        <v/>
      </c>
      <c r="I1673" t="str">
        <f t="shared" si="188"/>
        <v/>
      </c>
    </row>
    <row r="1674" spans="1:9" x14ac:dyDescent="0.4">
      <c r="A1674" t="str">
        <f t="shared" si="182"/>
        <v/>
      </c>
      <c r="B1674" t="str">
        <f t="shared" si="183"/>
        <v/>
      </c>
      <c r="C1674" t="str">
        <f t="shared" si="184"/>
        <v/>
      </c>
      <c r="D1674" t="str">
        <f t="shared" si="185"/>
        <v/>
      </c>
      <c r="E1674" t="str">
        <f>IF(F1674="","",IF(COUNTIF($F$2:F1674,F1674)&gt;1,"",SUMIFS(tbl_input[필요수량],tbl_input[집계키_센터],F1674)))</f>
        <v/>
      </c>
      <c r="F1674" t="str">
        <f>IFERROR(INDEX(tbl_input[집계키_센터],ROW()-1),"")</f>
        <v/>
      </c>
      <c r="G1674" t="str">
        <f t="shared" si="186"/>
        <v/>
      </c>
      <c r="H1674" t="str">
        <f t="shared" si="187"/>
        <v/>
      </c>
      <c r="I1674" t="str">
        <f t="shared" si="188"/>
        <v/>
      </c>
    </row>
    <row r="1675" spans="1:9" x14ac:dyDescent="0.4">
      <c r="A1675" t="str">
        <f t="shared" si="182"/>
        <v/>
      </c>
      <c r="B1675" t="str">
        <f t="shared" si="183"/>
        <v/>
      </c>
      <c r="C1675" t="str">
        <f t="shared" si="184"/>
        <v/>
      </c>
      <c r="D1675" t="str">
        <f t="shared" si="185"/>
        <v/>
      </c>
      <c r="E1675" t="str">
        <f>IF(F1675="","",IF(COUNTIF($F$2:F1675,F1675)&gt;1,"",SUMIFS(tbl_input[필요수량],tbl_input[집계키_센터],F1675)))</f>
        <v/>
      </c>
      <c r="F1675" t="str">
        <f>IFERROR(INDEX(tbl_input[집계키_센터],ROW()-1),"")</f>
        <v/>
      </c>
      <c r="G1675" t="str">
        <f t="shared" si="186"/>
        <v/>
      </c>
      <c r="H1675" t="str">
        <f t="shared" si="187"/>
        <v/>
      </c>
      <c r="I1675" t="str">
        <f t="shared" si="188"/>
        <v/>
      </c>
    </row>
    <row r="1676" spans="1:9" x14ac:dyDescent="0.4">
      <c r="A1676" t="str">
        <f t="shared" si="182"/>
        <v/>
      </c>
      <c r="B1676" t="str">
        <f t="shared" si="183"/>
        <v/>
      </c>
      <c r="C1676" t="str">
        <f t="shared" si="184"/>
        <v/>
      </c>
      <c r="D1676" t="str">
        <f t="shared" si="185"/>
        <v/>
      </c>
      <c r="E1676" t="str">
        <f>IF(F1676="","",IF(COUNTIF($F$2:F1676,F1676)&gt;1,"",SUMIFS(tbl_input[필요수량],tbl_input[집계키_센터],F1676)))</f>
        <v/>
      </c>
      <c r="F1676" t="str">
        <f>IFERROR(INDEX(tbl_input[집계키_센터],ROW()-1),"")</f>
        <v/>
      </c>
      <c r="G1676" t="str">
        <f t="shared" si="186"/>
        <v/>
      </c>
      <c r="H1676" t="str">
        <f t="shared" si="187"/>
        <v/>
      </c>
      <c r="I1676" t="str">
        <f t="shared" si="188"/>
        <v/>
      </c>
    </row>
    <row r="1677" spans="1:9" x14ac:dyDescent="0.4">
      <c r="A1677" t="str">
        <f t="shared" si="182"/>
        <v/>
      </c>
      <c r="B1677" t="str">
        <f t="shared" si="183"/>
        <v/>
      </c>
      <c r="C1677" t="str">
        <f t="shared" si="184"/>
        <v/>
      </c>
      <c r="D1677" t="str">
        <f t="shared" si="185"/>
        <v/>
      </c>
      <c r="E1677" t="str">
        <f>IF(F1677="","",IF(COUNTIF($F$2:F1677,F1677)&gt;1,"",SUMIFS(tbl_input[필요수량],tbl_input[집계키_센터],F1677)))</f>
        <v/>
      </c>
      <c r="F1677" t="str">
        <f>IFERROR(INDEX(tbl_input[집계키_센터],ROW()-1),"")</f>
        <v/>
      </c>
      <c r="G1677" t="str">
        <f t="shared" si="186"/>
        <v/>
      </c>
      <c r="H1677" t="str">
        <f t="shared" si="187"/>
        <v/>
      </c>
      <c r="I1677" t="str">
        <f t="shared" si="188"/>
        <v/>
      </c>
    </row>
    <row r="1678" spans="1:9" x14ac:dyDescent="0.4">
      <c r="A1678" t="str">
        <f t="shared" si="182"/>
        <v/>
      </c>
      <c r="B1678" t="str">
        <f t="shared" si="183"/>
        <v/>
      </c>
      <c r="C1678" t="str">
        <f t="shared" si="184"/>
        <v/>
      </c>
      <c r="D1678" t="str">
        <f t="shared" si="185"/>
        <v/>
      </c>
      <c r="E1678" t="str">
        <f>IF(F1678="","",IF(COUNTIF($F$2:F1678,F1678)&gt;1,"",SUMIFS(tbl_input[필요수량],tbl_input[집계키_센터],F1678)))</f>
        <v/>
      </c>
      <c r="F1678" t="str">
        <f>IFERROR(INDEX(tbl_input[집계키_센터],ROW()-1),"")</f>
        <v/>
      </c>
      <c r="G1678" t="str">
        <f t="shared" si="186"/>
        <v/>
      </c>
      <c r="H1678" t="str">
        <f t="shared" si="187"/>
        <v/>
      </c>
      <c r="I1678" t="str">
        <f t="shared" si="188"/>
        <v/>
      </c>
    </row>
    <row r="1679" spans="1:9" x14ac:dyDescent="0.4">
      <c r="A1679" t="str">
        <f t="shared" si="182"/>
        <v/>
      </c>
      <c r="B1679" t="str">
        <f t="shared" si="183"/>
        <v/>
      </c>
      <c r="C1679" t="str">
        <f t="shared" si="184"/>
        <v/>
      </c>
      <c r="D1679" t="str">
        <f t="shared" si="185"/>
        <v/>
      </c>
      <c r="E1679" t="str">
        <f>IF(F1679="","",IF(COUNTIF($F$2:F1679,F1679)&gt;1,"",SUMIFS(tbl_input[필요수량],tbl_input[집계키_센터],F1679)))</f>
        <v/>
      </c>
      <c r="F1679" t="str">
        <f>IFERROR(INDEX(tbl_input[집계키_센터],ROW()-1),"")</f>
        <v/>
      </c>
      <c r="G1679" t="str">
        <f t="shared" si="186"/>
        <v/>
      </c>
      <c r="H1679" t="str">
        <f t="shared" si="187"/>
        <v/>
      </c>
      <c r="I1679" t="str">
        <f t="shared" si="188"/>
        <v/>
      </c>
    </row>
    <row r="1680" spans="1:9" x14ac:dyDescent="0.4">
      <c r="A1680" t="str">
        <f t="shared" si="182"/>
        <v/>
      </c>
      <c r="B1680" t="str">
        <f t="shared" si="183"/>
        <v/>
      </c>
      <c r="C1680" t="str">
        <f t="shared" si="184"/>
        <v/>
      </c>
      <c r="D1680" t="str">
        <f t="shared" si="185"/>
        <v/>
      </c>
      <c r="E1680" t="str">
        <f>IF(F1680="","",IF(COUNTIF($F$2:F1680,F1680)&gt;1,"",SUMIFS(tbl_input[필요수량],tbl_input[집계키_센터],F1680)))</f>
        <v/>
      </c>
      <c r="F1680" t="str">
        <f>IFERROR(INDEX(tbl_input[집계키_센터],ROW()-1),"")</f>
        <v/>
      </c>
      <c r="G1680" t="str">
        <f t="shared" si="186"/>
        <v/>
      </c>
      <c r="H1680" t="str">
        <f t="shared" si="187"/>
        <v/>
      </c>
      <c r="I1680" t="str">
        <f t="shared" si="188"/>
        <v/>
      </c>
    </row>
    <row r="1681" spans="1:9" x14ac:dyDescent="0.4">
      <c r="A1681" t="str">
        <f t="shared" si="182"/>
        <v/>
      </c>
      <c r="B1681" t="str">
        <f t="shared" si="183"/>
        <v/>
      </c>
      <c r="C1681" t="str">
        <f t="shared" si="184"/>
        <v/>
      </c>
      <c r="D1681" t="str">
        <f t="shared" si="185"/>
        <v/>
      </c>
      <c r="E1681" t="str">
        <f>IF(F1681="","",IF(COUNTIF($F$2:F1681,F1681)&gt;1,"",SUMIFS(tbl_input[필요수량],tbl_input[집계키_센터],F1681)))</f>
        <v/>
      </c>
      <c r="F1681" t="str">
        <f>IFERROR(INDEX(tbl_input[집계키_센터],ROW()-1),"")</f>
        <v/>
      </c>
      <c r="G1681" t="str">
        <f t="shared" si="186"/>
        <v/>
      </c>
      <c r="H1681" t="str">
        <f t="shared" si="187"/>
        <v/>
      </c>
      <c r="I1681" t="str">
        <f t="shared" si="188"/>
        <v/>
      </c>
    </row>
    <row r="1682" spans="1:9" x14ac:dyDescent="0.4">
      <c r="A1682" t="str">
        <f t="shared" si="182"/>
        <v/>
      </c>
      <c r="B1682" t="str">
        <f t="shared" si="183"/>
        <v/>
      </c>
      <c r="C1682" t="str">
        <f t="shared" si="184"/>
        <v/>
      </c>
      <c r="D1682" t="str">
        <f t="shared" si="185"/>
        <v/>
      </c>
      <c r="E1682" t="str">
        <f>IF(F1682="","",IF(COUNTIF($F$2:F1682,F1682)&gt;1,"",SUMIFS(tbl_input[필요수량],tbl_input[집계키_센터],F1682)))</f>
        <v/>
      </c>
      <c r="F1682" t="str">
        <f>IFERROR(INDEX(tbl_input[집계키_센터],ROW()-1),"")</f>
        <v/>
      </c>
      <c r="G1682" t="str">
        <f t="shared" si="186"/>
        <v/>
      </c>
      <c r="H1682" t="str">
        <f t="shared" si="187"/>
        <v/>
      </c>
      <c r="I1682" t="str">
        <f t="shared" si="188"/>
        <v/>
      </c>
    </row>
    <row r="1683" spans="1:9" x14ac:dyDescent="0.4">
      <c r="A1683" t="str">
        <f t="shared" si="182"/>
        <v/>
      </c>
      <c r="B1683" t="str">
        <f t="shared" si="183"/>
        <v/>
      </c>
      <c r="C1683" t="str">
        <f t="shared" si="184"/>
        <v/>
      </c>
      <c r="D1683" t="str">
        <f t="shared" si="185"/>
        <v/>
      </c>
      <c r="E1683" t="str">
        <f>IF(F1683="","",IF(COUNTIF($F$2:F1683,F1683)&gt;1,"",SUMIFS(tbl_input[필요수량],tbl_input[집계키_센터],F1683)))</f>
        <v/>
      </c>
      <c r="F1683" t="str">
        <f>IFERROR(INDEX(tbl_input[집계키_센터],ROW()-1),"")</f>
        <v/>
      </c>
      <c r="G1683" t="str">
        <f t="shared" si="186"/>
        <v/>
      </c>
      <c r="H1683" t="str">
        <f t="shared" si="187"/>
        <v/>
      </c>
      <c r="I1683" t="str">
        <f t="shared" si="188"/>
        <v/>
      </c>
    </row>
    <row r="1684" spans="1:9" x14ac:dyDescent="0.4">
      <c r="A1684" t="str">
        <f t="shared" si="182"/>
        <v/>
      </c>
      <c r="B1684" t="str">
        <f t="shared" si="183"/>
        <v/>
      </c>
      <c r="C1684" t="str">
        <f t="shared" si="184"/>
        <v/>
      </c>
      <c r="D1684" t="str">
        <f t="shared" si="185"/>
        <v/>
      </c>
      <c r="E1684" t="str">
        <f>IF(F1684="","",IF(COUNTIF($F$2:F1684,F1684)&gt;1,"",SUMIFS(tbl_input[필요수량],tbl_input[집계키_센터],F1684)))</f>
        <v/>
      </c>
      <c r="F1684" t="str">
        <f>IFERROR(INDEX(tbl_input[집계키_센터],ROW()-1),"")</f>
        <v/>
      </c>
      <c r="G1684" t="str">
        <f t="shared" si="186"/>
        <v/>
      </c>
      <c r="H1684" t="str">
        <f t="shared" si="187"/>
        <v/>
      </c>
      <c r="I1684" t="str">
        <f t="shared" si="188"/>
        <v/>
      </c>
    </row>
    <row r="1685" spans="1:9" x14ac:dyDescent="0.4">
      <c r="A1685" t="str">
        <f t="shared" si="182"/>
        <v/>
      </c>
      <c r="B1685" t="str">
        <f t="shared" si="183"/>
        <v/>
      </c>
      <c r="C1685" t="str">
        <f t="shared" si="184"/>
        <v/>
      </c>
      <c r="D1685" t="str">
        <f t="shared" si="185"/>
        <v/>
      </c>
      <c r="E1685" t="str">
        <f>IF(F1685="","",IF(COUNTIF($F$2:F1685,F1685)&gt;1,"",SUMIFS(tbl_input[필요수량],tbl_input[집계키_센터],F1685)))</f>
        <v/>
      </c>
      <c r="F1685" t="str">
        <f>IFERROR(INDEX(tbl_input[집계키_센터],ROW()-1),"")</f>
        <v/>
      </c>
      <c r="G1685" t="str">
        <f t="shared" si="186"/>
        <v/>
      </c>
      <c r="H1685" t="str">
        <f t="shared" si="187"/>
        <v/>
      </c>
      <c r="I1685" t="str">
        <f t="shared" si="188"/>
        <v/>
      </c>
    </row>
    <row r="1686" spans="1:9" x14ac:dyDescent="0.4">
      <c r="A1686" t="str">
        <f t="shared" si="182"/>
        <v/>
      </c>
      <c r="B1686" t="str">
        <f t="shared" si="183"/>
        <v/>
      </c>
      <c r="C1686" t="str">
        <f t="shared" si="184"/>
        <v/>
      </c>
      <c r="D1686" t="str">
        <f t="shared" si="185"/>
        <v/>
      </c>
      <c r="E1686" t="str">
        <f>IF(F1686="","",IF(COUNTIF($F$2:F1686,F1686)&gt;1,"",SUMIFS(tbl_input[필요수량],tbl_input[집계키_센터],F1686)))</f>
        <v/>
      </c>
      <c r="F1686" t="str">
        <f>IFERROR(INDEX(tbl_input[집계키_센터],ROW()-1),"")</f>
        <v/>
      </c>
      <c r="G1686" t="str">
        <f t="shared" si="186"/>
        <v/>
      </c>
      <c r="H1686" t="str">
        <f t="shared" si="187"/>
        <v/>
      </c>
      <c r="I1686" t="str">
        <f t="shared" si="188"/>
        <v/>
      </c>
    </row>
    <row r="1687" spans="1:9" x14ac:dyDescent="0.4">
      <c r="A1687" t="str">
        <f t="shared" si="182"/>
        <v/>
      </c>
      <c r="B1687" t="str">
        <f t="shared" si="183"/>
        <v/>
      </c>
      <c r="C1687" t="str">
        <f t="shared" si="184"/>
        <v/>
      </c>
      <c r="D1687" t="str">
        <f t="shared" si="185"/>
        <v/>
      </c>
      <c r="E1687" t="str">
        <f>IF(F1687="","",IF(COUNTIF($F$2:F1687,F1687)&gt;1,"",SUMIFS(tbl_input[필요수량],tbl_input[집계키_센터],F1687)))</f>
        <v/>
      </c>
      <c r="F1687" t="str">
        <f>IFERROR(INDEX(tbl_input[집계키_센터],ROW()-1),"")</f>
        <v/>
      </c>
      <c r="G1687" t="str">
        <f t="shared" si="186"/>
        <v/>
      </c>
      <c r="H1687" t="str">
        <f t="shared" si="187"/>
        <v/>
      </c>
      <c r="I1687" t="str">
        <f t="shared" si="188"/>
        <v/>
      </c>
    </row>
    <row r="1688" spans="1:9" x14ac:dyDescent="0.4">
      <c r="A1688" t="str">
        <f t="shared" si="182"/>
        <v/>
      </c>
      <c r="B1688" t="str">
        <f t="shared" si="183"/>
        <v/>
      </c>
      <c r="C1688" t="str">
        <f t="shared" si="184"/>
        <v/>
      </c>
      <c r="D1688" t="str">
        <f t="shared" si="185"/>
        <v/>
      </c>
      <c r="E1688" t="str">
        <f>IF(F1688="","",IF(COUNTIF($F$2:F1688,F1688)&gt;1,"",SUMIFS(tbl_input[필요수량],tbl_input[집계키_센터],F1688)))</f>
        <v/>
      </c>
      <c r="F1688" t="str">
        <f>IFERROR(INDEX(tbl_input[집계키_센터],ROW()-1),"")</f>
        <v/>
      </c>
      <c r="G1688" t="str">
        <f t="shared" si="186"/>
        <v/>
      </c>
      <c r="H1688" t="str">
        <f t="shared" si="187"/>
        <v/>
      </c>
      <c r="I1688" t="str">
        <f t="shared" si="188"/>
        <v/>
      </c>
    </row>
    <row r="1689" spans="1:9" x14ac:dyDescent="0.4">
      <c r="A1689" t="str">
        <f t="shared" si="182"/>
        <v/>
      </c>
      <c r="B1689" t="str">
        <f t="shared" si="183"/>
        <v/>
      </c>
      <c r="C1689" t="str">
        <f t="shared" si="184"/>
        <v/>
      </c>
      <c r="D1689" t="str">
        <f t="shared" si="185"/>
        <v/>
      </c>
      <c r="E1689" t="str">
        <f>IF(F1689="","",IF(COUNTIF($F$2:F1689,F1689)&gt;1,"",SUMIFS(tbl_input[필요수량],tbl_input[집계키_센터],F1689)))</f>
        <v/>
      </c>
      <c r="F1689" t="str">
        <f>IFERROR(INDEX(tbl_input[집계키_센터],ROW()-1),"")</f>
        <v/>
      </c>
      <c r="G1689" t="str">
        <f t="shared" si="186"/>
        <v/>
      </c>
      <c r="H1689" t="str">
        <f t="shared" si="187"/>
        <v/>
      </c>
      <c r="I1689" t="str">
        <f t="shared" si="188"/>
        <v/>
      </c>
    </row>
    <row r="1690" spans="1:9" x14ac:dyDescent="0.4">
      <c r="A1690" t="str">
        <f t="shared" si="182"/>
        <v/>
      </c>
      <c r="B1690" t="str">
        <f t="shared" si="183"/>
        <v/>
      </c>
      <c r="C1690" t="str">
        <f t="shared" si="184"/>
        <v/>
      </c>
      <c r="D1690" t="str">
        <f t="shared" si="185"/>
        <v/>
      </c>
      <c r="E1690" t="str">
        <f>IF(F1690="","",IF(COUNTIF($F$2:F1690,F1690)&gt;1,"",SUMIFS(tbl_input[필요수량],tbl_input[집계키_센터],F1690)))</f>
        <v/>
      </c>
      <c r="F1690" t="str">
        <f>IFERROR(INDEX(tbl_input[집계키_센터],ROW()-1),"")</f>
        <v/>
      </c>
      <c r="G1690" t="str">
        <f t="shared" si="186"/>
        <v/>
      </c>
      <c r="H1690" t="str">
        <f t="shared" si="187"/>
        <v/>
      </c>
      <c r="I1690" t="str">
        <f t="shared" si="188"/>
        <v/>
      </c>
    </row>
    <row r="1691" spans="1:9" x14ac:dyDescent="0.4">
      <c r="A1691" t="str">
        <f t="shared" si="182"/>
        <v/>
      </c>
      <c r="B1691" t="str">
        <f t="shared" si="183"/>
        <v/>
      </c>
      <c r="C1691" t="str">
        <f t="shared" si="184"/>
        <v/>
      </c>
      <c r="D1691" t="str">
        <f t="shared" si="185"/>
        <v/>
      </c>
      <c r="E1691" t="str">
        <f>IF(F1691="","",IF(COUNTIF($F$2:F1691,F1691)&gt;1,"",SUMIFS(tbl_input[필요수량],tbl_input[집계키_센터],F1691)))</f>
        <v/>
      </c>
      <c r="F1691" t="str">
        <f>IFERROR(INDEX(tbl_input[집계키_센터],ROW()-1),"")</f>
        <v/>
      </c>
      <c r="G1691" t="str">
        <f t="shared" si="186"/>
        <v/>
      </c>
      <c r="H1691" t="str">
        <f t="shared" si="187"/>
        <v/>
      </c>
      <c r="I1691" t="str">
        <f t="shared" si="188"/>
        <v/>
      </c>
    </row>
    <row r="1692" spans="1:9" x14ac:dyDescent="0.4">
      <c r="A1692" t="str">
        <f t="shared" si="182"/>
        <v/>
      </c>
      <c r="B1692" t="str">
        <f t="shared" si="183"/>
        <v/>
      </c>
      <c r="C1692" t="str">
        <f t="shared" si="184"/>
        <v/>
      </c>
      <c r="D1692" t="str">
        <f t="shared" si="185"/>
        <v/>
      </c>
      <c r="E1692" t="str">
        <f>IF(F1692="","",IF(COUNTIF($F$2:F1692,F1692)&gt;1,"",SUMIFS(tbl_input[필요수량],tbl_input[집계키_센터],F1692)))</f>
        <v/>
      </c>
      <c r="F1692" t="str">
        <f>IFERROR(INDEX(tbl_input[집계키_센터],ROW()-1),"")</f>
        <v/>
      </c>
      <c r="G1692" t="str">
        <f t="shared" si="186"/>
        <v/>
      </c>
      <c r="H1692" t="str">
        <f t="shared" si="187"/>
        <v/>
      </c>
      <c r="I1692" t="str">
        <f t="shared" si="188"/>
        <v/>
      </c>
    </row>
    <row r="1693" spans="1:9" x14ac:dyDescent="0.4">
      <c r="A1693" t="str">
        <f t="shared" si="182"/>
        <v/>
      </c>
      <c r="B1693" t="str">
        <f t="shared" si="183"/>
        <v/>
      </c>
      <c r="C1693" t="str">
        <f t="shared" si="184"/>
        <v/>
      </c>
      <c r="D1693" t="str">
        <f t="shared" si="185"/>
        <v/>
      </c>
      <c r="E1693" t="str">
        <f>IF(F1693="","",IF(COUNTIF($F$2:F1693,F1693)&gt;1,"",SUMIFS(tbl_input[필요수량],tbl_input[집계키_센터],F1693)))</f>
        <v/>
      </c>
      <c r="F1693" t="str">
        <f>IFERROR(INDEX(tbl_input[집계키_센터],ROW()-1),"")</f>
        <v/>
      </c>
      <c r="G1693" t="str">
        <f t="shared" si="186"/>
        <v/>
      </c>
      <c r="H1693" t="str">
        <f t="shared" si="187"/>
        <v/>
      </c>
      <c r="I1693" t="str">
        <f t="shared" si="188"/>
        <v/>
      </c>
    </row>
    <row r="1694" spans="1:9" x14ac:dyDescent="0.4">
      <c r="A1694" t="str">
        <f t="shared" si="182"/>
        <v/>
      </c>
      <c r="B1694" t="str">
        <f t="shared" si="183"/>
        <v/>
      </c>
      <c r="C1694" t="str">
        <f t="shared" si="184"/>
        <v/>
      </c>
      <c r="D1694" t="str">
        <f t="shared" si="185"/>
        <v/>
      </c>
      <c r="E1694" t="str">
        <f>IF(F1694="","",IF(COUNTIF($F$2:F1694,F1694)&gt;1,"",SUMIFS(tbl_input[필요수량],tbl_input[집계키_센터],F1694)))</f>
        <v/>
      </c>
      <c r="F1694" t="str">
        <f>IFERROR(INDEX(tbl_input[집계키_센터],ROW()-1),"")</f>
        <v/>
      </c>
      <c r="G1694" t="str">
        <f t="shared" si="186"/>
        <v/>
      </c>
      <c r="H1694" t="str">
        <f t="shared" si="187"/>
        <v/>
      </c>
      <c r="I1694" t="str">
        <f t="shared" si="188"/>
        <v/>
      </c>
    </row>
    <row r="1695" spans="1:9" x14ac:dyDescent="0.4">
      <c r="A1695" t="str">
        <f t="shared" si="182"/>
        <v/>
      </c>
      <c r="B1695" t="str">
        <f t="shared" si="183"/>
        <v/>
      </c>
      <c r="C1695" t="str">
        <f t="shared" si="184"/>
        <v/>
      </c>
      <c r="D1695" t="str">
        <f t="shared" si="185"/>
        <v/>
      </c>
      <c r="E1695" t="str">
        <f>IF(F1695="","",IF(COUNTIF($F$2:F1695,F1695)&gt;1,"",SUMIFS(tbl_input[필요수량],tbl_input[집계키_센터],F1695)))</f>
        <v/>
      </c>
      <c r="F1695" t="str">
        <f>IFERROR(INDEX(tbl_input[집계키_센터],ROW()-1),"")</f>
        <v/>
      </c>
      <c r="G1695" t="str">
        <f t="shared" si="186"/>
        <v/>
      </c>
      <c r="H1695" t="str">
        <f t="shared" si="187"/>
        <v/>
      </c>
      <c r="I1695" t="str">
        <f t="shared" si="188"/>
        <v/>
      </c>
    </row>
    <row r="1696" spans="1:9" x14ac:dyDescent="0.4">
      <c r="A1696" t="str">
        <f t="shared" si="182"/>
        <v/>
      </c>
      <c r="B1696" t="str">
        <f t="shared" si="183"/>
        <v/>
      </c>
      <c r="C1696" t="str">
        <f t="shared" si="184"/>
        <v/>
      </c>
      <c r="D1696" t="str">
        <f t="shared" si="185"/>
        <v/>
      </c>
      <c r="E1696" t="str">
        <f>IF(F1696="","",IF(COUNTIF($F$2:F1696,F1696)&gt;1,"",SUMIFS(tbl_input[필요수량],tbl_input[집계키_센터],F1696)))</f>
        <v/>
      </c>
      <c r="F1696" t="str">
        <f>IFERROR(INDEX(tbl_input[집계키_센터],ROW()-1),"")</f>
        <v/>
      </c>
      <c r="G1696" t="str">
        <f t="shared" si="186"/>
        <v/>
      </c>
      <c r="H1696" t="str">
        <f t="shared" si="187"/>
        <v/>
      </c>
      <c r="I1696" t="str">
        <f t="shared" si="188"/>
        <v/>
      </c>
    </row>
    <row r="1697" spans="1:9" x14ac:dyDescent="0.4">
      <c r="A1697" t="str">
        <f t="shared" si="182"/>
        <v/>
      </c>
      <c r="B1697" t="str">
        <f t="shared" si="183"/>
        <v/>
      </c>
      <c r="C1697" t="str">
        <f t="shared" si="184"/>
        <v/>
      </c>
      <c r="D1697" t="str">
        <f t="shared" si="185"/>
        <v/>
      </c>
      <c r="E1697" t="str">
        <f>IF(F1697="","",IF(COUNTIF($F$2:F1697,F1697)&gt;1,"",SUMIFS(tbl_input[필요수량],tbl_input[집계키_센터],F1697)))</f>
        <v/>
      </c>
      <c r="F1697" t="str">
        <f>IFERROR(INDEX(tbl_input[집계키_센터],ROW()-1),"")</f>
        <v/>
      </c>
      <c r="G1697" t="str">
        <f t="shared" si="186"/>
        <v/>
      </c>
      <c r="H1697" t="str">
        <f t="shared" si="187"/>
        <v/>
      </c>
      <c r="I1697" t="str">
        <f t="shared" si="188"/>
        <v/>
      </c>
    </row>
    <row r="1698" spans="1:9" x14ac:dyDescent="0.4">
      <c r="A1698" t="str">
        <f t="shared" si="182"/>
        <v/>
      </c>
      <c r="B1698" t="str">
        <f t="shared" si="183"/>
        <v/>
      </c>
      <c r="C1698" t="str">
        <f t="shared" si="184"/>
        <v/>
      </c>
      <c r="D1698" t="str">
        <f t="shared" si="185"/>
        <v/>
      </c>
      <c r="E1698" t="str">
        <f>IF(F1698="","",IF(COUNTIF($F$2:F1698,F1698)&gt;1,"",SUMIFS(tbl_input[필요수량],tbl_input[집계키_센터],F1698)))</f>
        <v/>
      </c>
      <c r="F1698" t="str">
        <f>IFERROR(INDEX(tbl_input[집계키_센터],ROW()-1),"")</f>
        <v/>
      </c>
      <c r="G1698" t="str">
        <f t="shared" si="186"/>
        <v/>
      </c>
      <c r="H1698" t="str">
        <f t="shared" si="187"/>
        <v/>
      </c>
      <c r="I1698" t="str">
        <f t="shared" si="188"/>
        <v/>
      </c>
    </row>
    <row r="1699" spans="1:9" x14ac:dyDescent="0.4">
      <c r="A1699" t="str">
        <f t="shared" si="182"/>
        <v/>
      </c>
      <c r="B1699" t="str">
        <f t="shared" si="183"/>
        <v/>
      </c>
      <c r="C1699" t="str">
        <f t="shared" si="184"/>
        <v/>
      </c>
      <c r="D1699" t="str">
        <f t="shared" si="185"/>
        <v/>
      </c>
      <c r="E1699" t="str">
        <f>IF(F1699="","",IF(COUNTIF($F$2:F1699,F1699)&gt;1,"",SUMIFS(tbl_input[필요수량],tbl_input[집계키_센터],F1699)))</f>
        <v/>
      </c>
      <c r="F1699" t="str">
        <f>IFERROR(INDEX(tbl_input[집계키_센터],ROW()-1),"")</f>
        <v/>
      </c>
      <c r="G1699" t="str">
        <f t="shared" si="186"/>
        <v/>
      </c>
      <c r="H1699" t="str">
        <f t="shared" si="187"/>
        <v/>
      </c>
      <c r="I1699" t="str">
        <f t="shared" si="188"/>
        <v/>
      </c>
    </row>
    <row r="1700" spans="1:9" x14ac:dyDescent="0.4">
      <c r="A1700" t="str">
        <f t="shared" si="182"/>
        <v/>
      </c>
      <c r="B1700" t="str">
        <f t="shared" si="183"/>
        <v/>
      </c>
      <c r="C1700" t="str">
        <f t="shared" si="184"/>
        <v/>
      </c>
      <c r="D1700" t="str">
        <f t="shared" si="185"/>
        <v/>
      </c>
      <c r="E1700" t="str">
        <f>IF(F1700="","",IF(COUNTIF($F$2:F1700,F1700)&gt;1,"",SUMIFS(tbl_input[필요수량],tbl_input[집계키_센터],F1700)))</f>
        <v/>
      </c>
      <c r="F1700" t="str">
        <f>IFERROR(INDEX(tbl_input[집계키_센터],ROW()-1),"")</f>
        <v/>
      </c>
      <c r="G1700" t="str">
        <f t="shared" si="186"/>
        <v/>
      </c>
      <c r="H1700" t="str">
        <f t="shared" si="187"/>
        <v/>
      </c>
      <c r="I1700" t="str">
        <f t="shared" si="188"/>
        <v/>
      </c>
    </row>
    <row r="1701" spans="1:9" x14ac:dyDescent="0.4">
      <c r="A1701" t="str">
        <f t="shared" si="182"/>
        <v/>
      </c>
      <c r="B1701" t="str">
        <f t="shared" si="183"/>
        <v/>
      </c>
      <c r="C1701" t="str">
        <f t="shared" si="184"/>
        <v/>
      </c>
      <c r="D1701" t="str">
        <f t="shared" si="185"/>
        <v/>
      </c>
      <c r="E1701" t="str">
        <f>IF(F1701="","",IF(COUNTIF($F$2:F1701,F1701)&gt;1,"",SUMIFS(tbl_input[필요수량],tbl_input[집계키_센터],F1701)))</f>
        <v/>
      </c>
      <c r="F1701" t="str">
        <f>IFERROR(INDEX(tbl_input[집계키_센터],ROW()-1),"")</f>
        <v/>
      </c>
      <c r="G1701" t="str">
        <f t="shared" si="186"/>
        <v/>
      </c>
      <c r="H1701" t="str">
        <f t="shared" si="187"/>
        <v/>
      </c>
      <c r="I1701" t="str">
        <f t="shared" si="188"/>
        <v/>
      </c>
    </row>
    <row r="1702" spans="1:9" x14ac:dyDescent="0.4">
      <c r="A1702" t="str">
        <f t="shared" si="182"/>
        <v/>
      </c>
      <c r="B1702" t="str">
        <f t="shared" si="183"/>
        <v/>
      </c>
      <c r="C1702" t="str">
        <f t="shared" si="184"/>
        <v/>
      </c>
      <c r="D1702" t="str">
        <f t="shared" si="185"/>
        <v/>
      </c>
      <c r="E1702" t="str">
        <f>IF(F1702="","",IF(COUNTIF($F$2:F1702,F1702)&gt;1,"",SUMIFS(tbl_input[필요수량],tbl_input[집계키_센터],F1702)))</f>
        <v/>
      </c>
      <c r="F1702" t="str">
        <f>IFERROR(INDEX(tbl_input[집계키_센터],ROW()-1),"")</f>
        <v/>
      </c>
      <c r="G1702" t="str">
        <f t="shared" si="186"/>
        <v/>
      </c>
      <c r="H1702" t="str">
        <f t="shared" si="187"/>
        <v/>
      </c>
      <c r="I1702" t="str">
        <f t="shared" si="188"/>
        <v/>
      </c>
    </row>
    <row r="1703" spans="1:9" x14ac:dyDescent="0.4">
      <c r="A1703" t="str">
        <f t="shared" si="182"/>
        <v/>
      </c>
      <c r="B1703" t="str">
        <f t="shared" si="183"/>
        <v/>
      </c>
      <c r="C1703" t="str">
        <f t="shared" si="184"/>
        <v/>
      </c>
      <c r="D1703" t="str">
        <f t="shared" si="185"/>
        <v/>
      </c>
      <c r="E1703" t="str">
        <f>IF(F1703="","",IF(COUNTIF($F$2:F1703,F1703)&gt;1,"",SUMIFS(tbl_input[필요수량],tbl_input[집계키_센터],F1703)))</f>
        <v/>
      </c>
      <c r="F1703" t="str">
        <f>IFERROR(INDEX(tbl_input[집계키_센터],ROW()-1),"")</f>
        <v/>
      </c>
      <c r="G1703" t="str">
        <f t="shared" si="186"/>
        <v/>
      </c>
      <c r="H1703" t="str">
        <f t="shared" si="187"/>
        <v/>
      </c>
      <c r="I1703" t="str">
        <f t="shared" si="188"/>
        <v/>
      </c>
    </row>
    <row r="1704" spans="1:9" x14ac:dyDescent="0.4">
      <c r="A1704" t="str">
        <f t="shared" si="182"/>
        <v/>
      </c>
      <c r="B1704" t="str">
        <f t="shared" si="183"/>
        <v/>
      </c>
      <c r="C1704" t="str">
        <f t="shared" si="184"/>
        <v/>
      </c>
      <c r="D1704" t="str">
        <f t="shared" si="185"/>
        <v/>
      </c>
      <c r="E1704" t="str">
        <f>IF(F1704="","",IF(COUNTIF($F$2:F1704,F1704)&gt;1,"",SUMIFS(tbl_input[필요수량],tbl_input[집계키_센터],F1704)))</f>
        <v/>
      </c>
      <c r="F1704" t="str">
        <f>IFERROR(INDEX(tbl_input[집계키_센터],ROW()-1),"")</f>
        <v/>
      </c>
      <c r="G1704" t="str">
        <f t="shared" si="186"/>
        <v/>
      </c>
      <c r="H1704" t="str">
        <f t="shared" si="187"/>
        <v/>
      </c>
      <c r="I1704" t="str">
        <f t="shared" si="188"/>
        <v/>
      </c>
    </row>
    <row r="1705" spans="1:9" x14ac:dyDescent="0.4">
      <c r="A1705" t="str">
        <f t="shared" si="182"/>
        <v/>
      </c>
      <c r="B1705" t="str">
        <f t="shared" si="183"/>
        <v/>
      </c>
      <c r="C1705" t="str">
        <f t="shared" si="184"/>
        <v/>
      </c>
      <c r="D1705" t="str">
        <f t="shared" si="185"/>
        <v/>
      </c>
      <c r="E1705" t="str">
        <f>IF(F1705="","",IF(COUNTIF($F$2:F1705,F1705)&gt;1,"",SUMIFS(tbl_input[필요수량],tbl_input[집계키_센터],F1705)))</f>
        <v/>
      </c>
      <c r="F1705" t="str">
        <f>IFERROR(INDEX(tbl_input[집계키_센터],ROW()-1),"")</f>
        <v/>
      </c>
      <c r="G1705" t="str">
        <f t="shared" si="186"/>
        <v/>
      </c>
      <c r="H1705" t="str">
        <f t="shared" si="187"/>
        <v/>
      </c>
      <c r="I1705" t="str">
        <f t="shared" si="188"/>
        <v/>
      </c>
    </row>
    <row r="1706" spans="1:9" x14ac:dyDescent="0.4">
      <c r="A1706" t="str">
        <f t="shared" si="182"/>
        <v/>
      </c>
      <c r="B1706" t="str">
        <f t="shared" si="183"/>
        <v/>
      </c>
      <c r="C1706" t="str">
        <f t="shared" si="184"/>
        <v/>
      </c>
      <c r="D1706" t="str">
        <f t="shared" si="185"/>
        <v/>
      </c>
      <c r="E1706" t="str">
        <f>IF(F1706="","",IF(COUNTIF($F$2:F1706,F1706)&gt;1,"",SUMIFS(tbl_input[필요수량],tbl_input[집계키_센터],F1706)))</f>
        <v/>
      </c>
      <c r="F1706" t="str">
        <f>IFERROR(INDEX(tbl_input[집계키_센터],ROW()-1),"")</f>
        <v/>
      </c>
      <c r="G1706" t="str">
        <f t="shared" si="186"/>
        <v/>
      </c>
      <c r="H1706" t="str">
        <f t="shared" si="187"/>
        <v/>
      </c>
      <c r="I1706" t="str">
        <f t="shared" si="188"/>
        <v/>
      </c>
    </row>
    <row r="1707" spans="1:9" x14ac:dyDescent="0.4">
      <c r="A1707" t="str">
        <f t="shared" si="182"/>
        <v/>
      </c>
      <c r="B1707" t="str">
        <f t="shared" si="183"/>
        <v/>
      </c>
      <c r="C1707" t="str">
        <f t="shared" si="184"/>
        <v/>
      </c>
      <c r="D1707" t="str">
        <f t="shared" si="185"/>
        <v/>
      </c>
      <c r="E1707" t="str">
        <f>IF(F1707="","",IF(COUNTIF($F$2:F1707,F1707)&gt;1,"",SUMIFS(tbl_input[필요수량],tbl_input[집계키_센터],F1707)))</f>
        <v/>
      </c>
      <c r="F1707" t="str">
        <f>IFERROR(INDEX(tbl_input[집계키_센터],ROW()-1),"")</f>
        <v/>
      </c>
      <c r="G1707" t="str">
        <f t="shared" si="186"/>
        <v/>
      </c>
      <c r="H1707" t="str">
        <f t="shared" si="187"/>
        <v/>
      </c>
      <c r="I1707" t="str">
        <f t="shared" si="188"/>
        <v/>
      </c>
    </row>
    <row r="1708" spans="1:9" x14ac:dyDescent="0.4">
      <c r="A1708" t="str">
        <f t="shared" si="182"/>
        <v/>
      </c>
      <c r="B1708" t="str">
        <f t="shared" si="183"/>
        <v/>
      </c>
      <c r="C1708" t="str">
        <f t="shared" si="184"/>
        <v/>
      </c>
      <c r="D1708" t="str">
        <f t="shared" si="185"/>
        <v/>
      </c>
      <c r="E1708" t="str">
        <f>IF(F1708="","",IF(COUNTIF($F$2:F1708,F1708)&gt;1,"",SUMIFS(tbl_input[필요수량],tbl_input[집계키_센터],F1708)))</f>
        <v/>
      </c>
      <c r="F1708" t="str">
        <f>IFERROR(INDEX(tbl_input[집계키_센터],ROW()-1),"")</f>
        <v/>
      </c>
      <c r="G1708" t="str">
        <f t="shared" si="186"/>
        <v/>
      </c>
      <c r="H1708" t="str">
        <f t="shared" si="187"/>
        <v/>
      </c>
      <c r="I1708" t="str">
        <f t="shared" si="188"/>
        <v/>
      </c>
    </row>
    <row r="1709" spans="1:9" x14ac:dyDescent="0.4">
      <c r="A1709" t="str">
        <f t="shared" si="182"/>
        <v/>
      </c>
      <c r="B1709" t="str">
        <f t="shared" si="183"/>
        <v/>
      </c>
      <c r="C1709" t="str">
        <f t="shared" si="184"/>
        <v/>
      </c>
      <c r="D1709" t="str">
        <f t="shared" si="185"/>
        <v/>
      </c>
      <c r="E1709" t="str">
        <f>IF(F1709="","",IF(COUNTIF($F$2:F1709,F1709)&gt;1,"",SUMIFS(tbl_input[필요수량],tbl_input[집계키_센터],F1709)))</f>
        <v/>
      </c>
      <c r="F1709" t="str">
        <f>IFERROR(INDEX(tbl_input[집계키_센터],ROW()-1),"")</f>
        <v/>
      </c>
      <c r="G1709" t="str">
        <f t="shared" si="186"/>
        <v/>
      </c>
      <c r="H1709" t="str">
        <f t="shared" si="187"/>
        <v/>
      </c>
      <c r="I1709" t="str">
        <f t="shared" si="188"/>
        <v/>
      </c>
    </row>
    <row r="1710" spans="1:9" x14ac:dyDescent="0.4">
      <c r="A1710" t="str">
        <f t="shared" si="182"/>
        <v/>
      </c>
      <c r="B1710" t="str">
        <f t="shared" si="183"/>
        <v/>
      </c>
      <c r="C1710" t="str">
        <f t="shared" si="184"/>
        <v/>
      </c>
      <c r="D1710" t="str">
        <f t="shared" si="185"/>
        <v/>
      </c>
      <c r="E1710" t="str">
        <f>IF(F1710="","",IF(COUNTIF($F$2:F1710,F1710)&gt;1,"",SUMIFS(tbl_input[필요수량],tbl_input[집계키_센터],F1710)))</f>
        <v/>
      </c>
      <c r="F1710" t="str">
        <f>IFERROR(INDEX(tbl_input[집계키_센터],ROW()-1),"")</f>
        <v/>
      </c>
      <c r="G1710" t="str">
        <f t="shared" si="186"/>
        <v/>
      </c>
      <c r="H1710" t="str">
        <f t="shared" si="187"/>
        <v/>
      </c>
      <c r="I1710" t="str">
        <f t="shared" si="188"/>
        <v/>
      </c>
    </row>
    <row r="1711" spans="1:9" x14ac:dyDescent="0.4">
      <c r="A1711" t="str">
        <f t="shared" si="182"/>
        <v/>
      </c>
      <c r="B1711" t="str">
        <f t="shared" si="183"/>
        <v/>
      </c>
      <c r="C1711" t="str">
        <f t="shared" si="184"/>
        <v/>
      </c>
      <c r="D1711" t="str">
        <f t="shared" si="185"/>
        <v/>
      </c>
      <c r="E1711" t="str">
        <f>IF(F1711="","",IF(COUNTIF($F$2:F1711,F1711)&gt;1,"",SUMIFS(tbl_input[필요수량],tbl_input[집계키_센터],F1711)))</f>
        <v/>
      </c>
      <c r="F1711" t="str">
        <f>IFERROR(INDEX(tbl_input[집계키_센터],ROW()-1),"")</f>
        <v/>
      </c>
      <c r="G1711" t="str">
        <f t="shared" si="186"/>
        <v/>
      </c>
      <c r="H1711" t="str">
        <f t="shared" si="187"/>
        <v/>
      </c>
      <c r="I1711" t="str">
        <f t="shared" si="188"/>
        <v/>
      </c>
    </row>
    <row r="1712" spans="1:9" x14ac:dyDescent="0.4">
      <c r="A1712" t="str">
        <f t="shared" si="182"/>
        <v/>
      </c>
      <c r="B1712" t="str">
        <f t="shared" si="183"/>
        <v/>
      </c>
      <c r="C1712" t="str">
        <f t="shared" si="184"/>
        <v/>
      </c>
      <c r="D1712" t="str">
        <f t="shared" si="185"/>
        <v/>
      </c>
      <c r="E1712" t="str">
        <f>IF(F1712="","",IF(COUNTIF($F$2:F1712,F1712)&gt;1,"",SUMIFS(tbl_input[필요수량],tbl_input[집계키_센터],F1712)))</f>
        <v/>
      </c>
      <c r="F1712" t="str">
        <f>IFERROR(INDEX(tbl_input[집계키_센터],ROW()-1),"")</f>
        <v/>
      </c>
      <c r="G1712" t="str">
        <f t="shared" si="186"/>
        <v/>
      </c>
      <c r="H1712" t="str">
        <f t="shared" si="187"/>
        <v/>
      </c>
      <c r="I1712" t="str">
        <f t="shared" si="188"/>
        <v/>
      </c>
    </row>
    <row r="1713" spans="1:9" x14ac:dyDescent="0.4">
      <c r="A1713" t="str">
        <f t="shared" si="182"/>
        <v/>
      </c>
      <c r="B1713" t="str">
        <f t="shared" si="183"/>
        <v/>
      </c>
      <c r="C1713" t="str">
        <f t="shared" si="184"/>
        <v/>
      </c>
      <c r="D1713" t="str">
        <f t="shared" si="185"/>
        <v/>
      </c>
      <c r="E1713" t="str">
        <f>IF(F1713="","",IF(COUNTIF($F$2:F1713,F1713)&gt;1,"",SUMIFS(tbl_input[필요수량],tbl_input[집계키_센터],F1713)))</f>
        <v/>
      </c>
      <c r="F1713" t="str">
        <f>IFERROR(INDEX(tbl_input[집계키_센터],ROW()-1),"")</f>
        <v/>
      </c>
      <c r="G1713" t="str">
        <f t="shared" si="186"/>
        <v/>
      </c>
      <c r="H1713" t="str">
        <f t="shared" si="187"/>
        <v/>
      </c>
      <c r="I1713" t="str">
        <f t="shared" si="188"/>
        <v/>
      </c>
    </row>
    <row r="1714" spans="1:9" x14ac:dyDescent="0.4">
      <c r="A1714" t="str">
        <f t="shared" si="182"/>
        <v/>
      </c>
      <c r="B1714" t="str">
        <f t="shared" si="183"/>
        <v/>
      </c>
      <c r="C1714" t="str">
        <f t="shared" si="184"/>
        <v/>
      </c>
      <c r="D1714" t="str">
        <f t="shared" si="185"/>
        <v/>
      </c>
      <c r="E1714" t="str">
        <f>IF(F1714="","",IF(COUNTIF($F$2:F1714,F1714)&gt;1,"",SUMIFS(tbl_input[필요수량],tbl_input[집계키_센터],F1714)))</f>
        <v/>
      </c>
      <c r="F1714" t="str">
        <f>IFERROR(INDEX(tbl_input[집계키_센터],ROW()-1),"")</f>
        <v/>
      </c>
      <c r="G1714" t="str">
        <f t="shared" si="186"/>
        <v/>
      </c>
      <c r="H1714" t="str">
        <f t="shared" si="187"/>
        <v/>
      </c>
      <c r="I1714" t="str">
        <f t="shared" si="188"/>
        <v/>
      </c>
    </row>
    <row r="1715" spans="1:9" x14ac:dyDescent="0.4">
      <c r="A1715" t="str">
        <f t="shared" si="182"/>
        <v/>
      </c>
      <c r="B1715" t="str">
        <f t="shared" si="183"/>
        <v/>
      </c>
      <c r="C1715" t="str">
        <f t="shared" si="184"/>
        <v/>
      </c>
      <c r="D1715" t="str">
        <f t="shared" si="185"/>
        <v/>
      </c>
      <c r="E1715" t="str">
        <f>IF(F1715="","",IF(COUNTIF($F$2:F1715,F1715)&gt;1,"",SUMIFS(tbl_input[필요수량],tbl_input[집계키_센터],F1715)))</f>
        <v/>
      </c>
      <c r="F1715" t="str">
        <f>IFERROR(INDEX(tbl_input[집계키_센터],ROW()-1),"")</f>
        <v/>
      </c>
      <c r="G1715" t="str">
        <f t="shared" si="186"/>
        <v/>
      </c>
      <c r="H1715" t="str">
        <f t="shared" si="187"/>
        <v/>
      </c>
      <c r="I1715" t="str">
        <f t="shared" si="188"/>
        <v/>
      </c>
    </row>
    <row r="1716" spans="1:9" x14ac:dyDescent="0.4">
      <c r="A1716" t="str">
        <f t="shared" si="182"/>
        <v/>
      </c>
      <c r="B1716" t="str">
        <f t="shared" si="183"/>
        <v/>
      </c>
      <c r="C1716" t="str">
        <f t="shared" si="184"/>
        <v/>
      </c>
      <c r="D1716" t="str">
        <f t="shared" si="185"/>
        <v/>
      </c>
      <c r="E1716" t="str">
        <f>IF(F1716="","",IF(COUNTIF($F$2:F1716,F1716)&gt;1,"",SUMIFS(tbl_input[필요수량],tbl_input[집계키_센터],F1716)))</f>
        <v/>
      </c>
      <c r="F1716" t="str">
        <f>IFERROR(INDEX(tbl_input[집계키_센터],ROW()-1),"")</f>
        <v/>
      </c>
      <c r="G1716" t="str">
        <f t="shared" si="186"/>
        <v/>
      </c>
      <c r="H1716" t="str">
        <f t="shared" si="187"/>
        <v/>
      </c>
      <c r="I1716" t="str">
        <f t="shared" si="188"/>
        <v/>
      </c>
    </row>
    <row r="1717" spans="1:9" x14ac:dyDescent="0.4">
      <c r="A1717" t="str">
        <f t="shared" si="182"/>
        <v/>
      </c>
      <c r="B1717" t="str">
        <f t="shared" si="183"/>
        <v/>
      </c>
      <c r="C1717" t="str">
        <f t="shared" si="184"/>
        <v/>
      </c>
      <c r="D1717" t="str">
        <f t="shared" si="185"/>
        <v/>
      </c>
      <c r="E1717" t="str">
        <f>IF(F1717="","",IF(COUNTIF($F$2:F1717,F1717)&gt;1,"",SUMIFS(tbl_input[필요수량],tbl_input[집계키_센터],F1717)))</f>
        <v/>
      </c>
      <c r="F1717" t="str">
        <f>IFERROR(INDEX(tbl_input[집계키_센터],ROW()-1),"")</f>
        <v/>
      </c>
      <c r="G1717" t="str">
        <f t="shared" si="186"/>
        <v/>
      </c>
      <c r="H1717" t="str">
        <f t="shared" si="187"/>
        <v/>
      </c>
      <c r="I1717" t="str">
        <f t="shared" si="188"/>
        <v/>
      </c>
    </row>
    <row r="1718" spans="1:9" x14ac:dyDescent="0.4">
      <c r="A1718" t="str">
        <f t="shared" si="182"/>
        <v/>
      </c>
      <c r="B1718" t="str">
        <f t="shared" si="183"/>
        <v/>
      </c>
      <c r="C1718" t="str">
        <f t="shared" si="184"/>
        <v/>
      </c>
      <c r="D1718" t="str">
        <f t="shared" si="185"/>
        <v/>
      </c>
      <c r="E1718" t="str">
        <f>IF(F1718="","",IF(COUNTIF($F$2:F1718,F1718)&gt;1,"",SUMIFS(tbl_input[필요수량],tbl_input[집계키_센터],F1718)))</f>
        <v/>
      </c>
      <c r="F1718" t="str">
        <f>IFERROR(INDEX(tbl_input[집계키_센터],ROW()-1),"")</f>
        <v/>
      </c>
      <c r="G1718" t="str">
        <f t="shared" si="186"/>
        <v/>
      </c>
      <c r="H1718" t="str">
        <f t="shared" si="187"/>
        <v/>
      </c>
      <c r="I1718" t="str">
        <f t="shared" si="188"/>
        <v/>
      </c>
    </row>
    <row r="1719" spans="1:9" x14ac:dyDescent="0.4">
      <c r="A1719" t="str">
        <f t="shared" si="182"/>
        <v/>
      </c>
      <c r="B1719" t="str">
        <f t="shared" si="183"/>
        <v/>
      </c>
      <c r="C1719" t="str">
        <f t="shared" si="184"/>
        <v/>
      </c>
      <c r="D1719" t="str">
        <f t="shared" si="185"/>
        <v/>
      </c>
      <c r="E1719" t="str">
        <f>IF(F1719="","",IF(COUNTIF($F$2:F1719,F1719)&gt;1,"",SUMIFS(tbl_input[필요수량],tbl_input[집계키_센터],F1719)))</f>
        <v/>
      </c>
      <c r="F1719" t="str">
        <f>IFERROR(INDEX(tbl_input[집계키_센터],ROW()-1),"")</f>
        <v/>
      </c>
      <c r="G1719" t="str">
        <f t="shared" si="186"/>
        <v/>
      </c>
      <c r="H1719" t="str">
        <f t="shared" si="187"/>
        <v/>
      </c>
      <c r="I1719" t="str">
        <f t="shared" si="188"/>
        <v/>
      </c>
    </row>
    <row r="1720" spans="1:9" x14ac:dyDescent="0.4">
      <c r="A1720" t="str">
        <f t="shared" si="182"/>
        <v/>
      </c>
      <c r="B1720" t="str">
        <f t="shared" si="183"/>
        <v/>
      </c>
      <c r="C1720" t="str">
        <f t="shared" si="184"/>
        <v/>
      </c>
      <c r="D1720" t="str">
        <f t="shared" si="185"/>
        <v/>
      </c>
      <c r="E1720" t="str">
        <f>IF(F1720="","",IF(COUNTIF($F$2:F1720,F1720)&gt;1,"",SUMIFS(tbl_input[필요수량],tbl_input[집계키_센터],F1720)))</f>
        <v/>
      </c>
      <c r="F1720" t="str">
        <f>IFERROR(INDEX(tbl_input[집계키_센터],ROW()-1),"")</f>
        <v/>
      </c>
      <c r="G1720" t="str">
        <f t="shared" si="186"/>
        <v/>
      </c>
      <c r="H1720" t="str">
        <f t="shared" si="187"/>
        <v/>
      </c>
      <c r="I1720" t="str">
        <f t="shared" si="188"/>
        <v/>
      </c>
    </row>
    <row r="1721" spans="1:9" x14ac:dyDescent="0.4">
      <c r="A1721" t="str">
        <f t="shared" si="182"/>
        <v/>
      </c>
      <c r="B1721" t="str">
        <f t="shared" si="183"/>
        <v/>
      </c>
      <c r="C1721" t="str">
        <f t="shared" si="184"/>
        <v/>
      </c>
      <c r="D1721" t="str">
        <f t="shared" si="185"/>
        <v/>
      </c>
      <c r="E1721" t="str">
        <f>IF(F1721="","",IF(COUNTIF($F$2:F1721,F1721)&gt;1,"",SUMIFS(tbl_input[필요수량],tbl_input[집계키_센터],F1721)))</f>
        <v/>
      </c>
      <c r="F1721" t="str">
        <f>IFERROR(INDEX(tbl_input[집계키_센터],ROW()-1),"")</f>
        <v/>
      </c>
      <c r="G1721" t="str">
        <f t="shared" si="186"/>
        <v/>
      </c>
      <c r="H1721" t="str">
        <f t="shared" si="187"/>
        <v/>
      </c>
      <c r="I1721" t="str">
        <f t="shared" si="188"/>
        <v/>
      </c>
    </row>
    <row r="1722" spans="1:9" x14ac:dyDescent="0.4">
      <c r="A1722" t="str">
        <f t="shared" si="182"/>
        <v/>
      </c>
      <c r="B1722" t="str">
        <f t="shared" si="183"/>
        <v/>
      </c>
      <c r="C1722" t="str">
        <f t="shared" si="184"/>
        <v/>
      </c>
      <c r="D1722" t="str">
        <f t="shared" si="185"/>
        <v/>
      </c>
      <c r="E1722" t="str">
        <f>IF(F1722="","",IF(COUNTIF($F$2:F1722,F1722)&gt;1,"",SUMIFS(tbl_input[필요수량],tbl_input[집계키_센터],F1722)))</f>
        <v/>
      </c>
      <c r="F1722" t="str">
        <f>IFERROR(INDEX(tbl_input[집계키_센터],ROW()-1),"")</f>
        <v/>
      </c>
      <c r="G1722" t="str">
        <f t="shared" si="186"/>
        <v/>
      </c>
      <c r="H1722" t="str">
        <f t="shared" si="187"/>
        <v/>
      </c>
      <c r="I1722" t="str">
        <f t="shared" si="188"/>
        <v/>
      </c>
    </row>
    <row r="1723" spans="1:9" x14ac:dyDescent="0.4">
      <c r="A1723" t="str">
        <f t="shared" si="182"/>
        <v/>
      </c>
      <c r="B1723" t="str">
        <f t="shared" si="183"/>
        <v/>
      </c>
      <c r="C1723" t="str">
        <f t="shared" si="184"/>
        <v/>
      </c>
      <c r="D1723" t="str">
        <f t="shared" si="185"/>
        <v/>
      </c>
      <c r="E1723" t="str">
        <f>IF(F1723="","",IF(COUNTIF($F$2:F1723,F1723)&gt;1,"",SUMIFS(tbl_input[필요수량],tbl_input[집계키_센터],F1723)))</f>
        <v/>
      </c>
      <c r="F1723" t="str">
        <f>IFERROR(INDEX(tbl_input[집계키_센터],ROW()-1),"")</f>
        <v/>
      </c>
      <c r="G1723" t="str">
        <f t="shared" si="186"/>
        <v/>
      </c>
      <c r="H1723" t="str">
        <f t="shared" si="187"/>
        <v/>
      </c>
      <c r="I1723" t="str">
        <f t="shared" si="188"/>
        <v/>
      </c>
    </row>
    <row r="1724" spans="1:9" x14ac:dyDescent="0.4">
      <c r="A1724" t="str">
        <f t="shared" si="182"/>
        <v/>
      </c>
      <c r="B1724" t="str">
        <f t="shared" si="183"/>
        <v/>
      </c>
      <c r="C1724" t="str">
        <f t="shared" si="184"/>
        <v/>
      </c>
      <c r="D1724" t="str">
        <f t="shared" si="185"/>
        <v/>
      </c>
      <c r="E1724" t="str">
        <f>IF(F1724="","",IF(COUNTIF($F$2:F1724,F1724)&gt;1,"",SUMIFS(tbl_input[필요수량],tbl_input[집계키_센터],F1724)))</f>
        <v/>
      </c>
      <c r="F1724" t="str">
        <f>IFERROR(INDEX(tbl_input[집계키_센터],ROW()-1),"")</f>
        <v/>
      </c>
      <c r="G1724" t="str">
        <f t="shared" si="186"/>
        <v/>
      </c>
      <c r="H1724" t="str">
        <f t="shared" si="187"/>
        <v/>
      </c>
      <c r="I1724" t="str">
        <f t="shared" si="188"/>
        <v/>
      </c>
    </row>
    <row r="1725" spans="1:9" x14ac:dyDescent="0.4">
      <c r="A1725" t="str">
        <f t="shared" si="182"/>
        <v/>
      </c>
      <c r="B1725" t="str">
        <f t="shared" si="183"/>
        <v/>
      </c>
      <c r="C1725" t="str">
        <f t="shared" si="184"/>
        <v/>
      </c>
      <c r="D1725" t="str">
        <f t="shared" si="185"/>
        <v/>
      </c>
      <c r="E1725" t="str">
        <f>IF(F1725="","",IF(COUNTIF($F$2:F1725,F1725)&gt;1,"",SUMIFS(tbl_input[필요수량],tbl_input[집계키_센터],F1725)))</f>
        <v/>
      </c>
      <c r="F1725" t="str">
        <f>IFERROR(INDEX(tbl_input[집계키_센터],ROW()-1),"")</f>
        <v/>
      </c>
      <c r="G1725" t="str">
        <f t="shared" si="186"/>
        <v/>
      </c>
      <c r="H1725" t="str">
        <f t="shared" si="187"/>
        <v/>
      </c>
      <c r="I1725" t="str">
        <f t="shared" si="188"/>
        <v/>
      </c>
    </row>
    <row r="1726" spans="1:9" x14ac:dyDescent="0.4">
      <c r="A1726" t="str">
        <f t="shared" si="182"/>
        <v/>
      </c>
      <c r="B1726" t="str">
        <f t="shared" si="183"/>
        <v/>
      </c>
      <c r="C1726" t="str">
        <f t="shared" si="184"/>
        <v/>
      </c>
      <c r="D1726" t="str">
        <f t="shared" si="185"/>
        <v/>
      </c>
      <c r="E1726" t="str">
        <f>IF(F1726="","",IF(COUNTIF($F$2:F1726,F1726)&gt;1,"",SUMIFS(tbl_input[필요수량],tbl_input[집계키_센터],F1726)))</f>
        <v/>
      </c>
      <c r="F1726" t="str">
        <f>IFERROR(INDEX(tbl_input[집계키_센터],ROW()-1),"")</f>
        <v/>
      </c>
      <c r="G1726" t="str">
        <f t="shared" si="186"/>
        <v/>
      </c>
      <c r="H1726" t="str">
        <f t="shared" si="187"/>
        <v/>
      </c>
      <c r="I1726" t="str">
        <f t="shared" si="188"/>
        <v/>
      </c>
    </row>
    <row r="1727" spans="1:9" x14ac:dyDescent="0.4">
      <c r="A1727" t="str">
        <f t="shared" si="182"/>
        <v/>
      </c>
      <c r="B1727" t="str">
        <f t="shared" si="183"/>
        <v/>
      </c>
      <c r="C1727" t="str">
        <f t="shared" si="184"/>
        <v/>
      </c>
      <c r="D1727" t="str">
        <f t="shared" si="185"/>
        <v/>
      </c>
      <c r="E1727" t="str">
        <f>IF(F1727="","",IF(COUNTIF($F$2:F1727,F1727)&gt;1,"",SUMIFS(tbl_input[필요수량],tbl_input[집계키_센터],F1727)))</f>
        <v/>
      </c>
      <c r="F1727" t="str">
        <f>IFERROR(INDEX(tbl_input[집계키_센터],ROW()-1),"")</f>
        <v/>
      </c>
      <c r="G1727" t="str">
        <f t="shared" si="186"/>
        <v/>
      </c>
      <c r="H1727" t="str">
        <f t="shared" si="187"/>
        <v/>
      </c>
      <c r="I1727" t="str">
        <f t="shared" si="188"/>
        <v/>
      </c>
    </row>
    <row r="1728" spans="1:9" x14ac:dyDescent="0.4">
      <c r="A1728" t="str">
        <f t="shared" si="182"/>
        <v/>
      </c>
      <c r="B1728" t="str">
        <f t="shared" si="183"/>
        <v/>
      </c>
      <c r="C1728" t="str">
        <f t="shared" si="184"/>
        <v/>
      </c>
      <c r="D1728" t="str">
        <f t="shared" si="185"/>
        <v/>
      </c>
      <c r="E1728" t="str">
        <f>IF(F1728="","",IF(COUNTIF($F$2:F1728,F1728)&gt;1,"",SUMIFS(tbl_input[필요수량],tbl_input[집계키_센터],F1728)))</f>
        <v/>
      </c>
      <c r="F1728" t="str">
        <f>IFERROR(INDEX(tbl_input[집계키_센터],ROW()-1),"")</f>
        <v/>
      </c>
      <c r="G1728" t="str">
        <f t="shared" si="186"/>
        <v/>
      </c>
      <c r="H1728" t="str">
        <f t="shared" si="187"/>
        <v/>
      </c>
      <c r="I1728" t="str">
        <f t="shared" si="188"/>
        <v/>
      </c>
    </row>
    <row r="1729" spans="1:9" x14ac:dyDescent="0.4">
      <c r="A1729" t="str">
        <f t="shared" si="182"/>
        <v/>
      </c>
      <c r="B1729" t="str">
        <f t="shared" si="183"/>
        <v/>
      </c>
      <c r="C1729" t="str">
        <f t="shared" si="184"/>
        <v/>
      </c>
      <c r="D1729" t="str">
        <f t="shared" si="185"/>
        <v/>
      </c>
      <c r="E1729" t="str">
        <f>IF(F1729="","",IF(COUNTIF($F$2:F1729,F1729)&gt;1,"",SUMIFS(tbl_input[필요수량],tbl_input[집계키_센터],F1729)))</f>
        <v/>
      </c>
      <c r="F1729" t="str">
        <f>IFERROR(INDEX(tbl_input[집계키_센터],ROW()-1),"")</f>
        <v/>
      </c>
      <c r="G1729" t="str">
        <f t="shared" si="186"/>
        <v/>
      </c>
      <c r="H1729" t="str">
        <f t="shared" si="187"/>
        <v/>
      </c>
      <c r="I1729" t="str">
        <f t="shared" si="188"/>
        <v/>
      </c>
    </row>
    <row r="1730" spans="1:9" x14ac:dyDescent="0.4">
      <c r="A1730" t="str">
        <f t="shared" ref="A1730:A1793" si="189">IF(F1730="","",LEFT(F1730,G1730-1))</f>
        <v/>
      </c>
      <c r="B1730" t="str">
        <f t="shared" ref="B1730:B1793" si="190">IF(F1730="","",MID(F1730,G1730+1,H1730-G1730-1))</f>
        <v/>
      </c>
      <c r="C1730" t="str">
        <f t="shared" ref="C1730:C1793" si="191">IF(F1730="","",MID(F1730,H1730+1,I1730-H1730-1))</f>
        <v/>
      </c>
      <c r="D1730" t="str">
        <f t="shared" ref="D1730:D1793" si="192">IF(F1730="","",MID(F1730,I1730+1,999))</f>
        <v/>
      </c>
      <c r="E1730" t="str">
        <f>IF(F1730="","",IF(COUNTIF($F$2:F1730,F1730)&gt;1,"",SUMIFS(tbl_input[필요수량],tbl_input[집계키_센터],F1730)))</f>
        <v/>
      </c>
      <c r="F1730" t="str">
        <f>IFERROR(INDEX(tbl_input[집계키_센터],ROW()-1),"")</f>
        <v/>
      </c>
      <c r="G1730" t="str">
        <f t="shared" ref="G1730:G1793" si="193">IF(F1730="","",FIND("♦",F1730))</f>
        <v/>
      </c>
      <c r="H1730" t="str">
        <f t="shared" ref="H1730:H1793" si="194">IF(F1730="","",FIND("♦",F1730,G1730+1))</f>
        <v/>
      </c>
      <c r="I1730" t="str">
        <f t="shared" ref="I1730:I1793" si="195">IF(F1730="","",FIND("♦",F1730,H1730+1))</f>
        <v/>
      </c>
    </row>
    <row r="1731" spans="1:9" x14ac:dyDescent="0.4">
      <c r="A1731" t="str">
        <f t="shared" si="189"/>
        <v/>
      </c>
      <c r="B1731" t="str">
        <f t="shared" si="190"/>
        <v/>
      </c>
      <c r="C1731" t="str">
        <f t="shared" si="191"/>
        <v/>
      </c>
      <c r="D1731" t="str">
        <f t="shared" si="192"/>
        <v/>
      </c>
      <c r="E1731" t="str">
        <f>IF(F1731="","",IF(COUNTIF($F$2:F1731,F1731)&gt;1,"",SUMIFS(tbl_input[필요수량],tbl_input[집계키_센터],F1731)))</f>
        <v/>
      </c>
      <c r="F1731" t="str">
        <f>IFERROR(INDEX(tbl_input[집계키_센터],ROW()-1),"")</f>
        <v/>
      </c>
      <c r="G1731" t="str">
        <f t="shared" si="193"/>
        <v/>
      </c>
      <c r="H1731" t="str">
        <f t="shared" si="194"/>
        <v/>
      </c>
      <c r="I1731" t="str">
        <f t="shared" si="195"/>
        <v/>
      </c>
    </row>
    <row r="1732" spans="1:9" x14ac:dyDescent="0.4">
      <c r="A1732" t="str">
        <f t="shared" si="189"/>
        <v/>
      </c>
      <c r="B1732" t="str">
        <f t="shared" si="190"/>
        <v/>
      </c>
      <c r="C1732" t="str">
        <f t="shared" si="191"/>
        <v/>
      </c>
      <c r="D1732" t="str">
        <f t="shared" si="192"/>
        <v/>
      </c>
      <c r="E1732" t="str">
        <f>IF(F1732="","",IF(COUNTIF($F$2:F1732,F1732)&gt;1,"",SUMIFS(tbl_input[필요수량],tbl_input[집계키_센터],F1732)))</f>
        <v/>
      </c>
      <c r="F1732" t="str">
        <f>IFERROR(INDEX(tbl_input[집계키_센터],ROW()-1),"")</f>
        <v/>
      </c>
      <c r="G1732" t="str">
        <f t="shared" si="193"/>
        <v/>
      </c>
      <c r="H1732" t="str">
        <f t="shared" si="194"/>
        <v/>
      </c>
      <c r="I1732" t="str">
        <f t="shared" si="195"/>
        <v/>
      </c>
    </row>
    <row r="1733" spans="1:9" x14ac:dyDescent="0.4">
      <c r="A1733" t="str">
        <f t="shared" si="189"/>
        <v/>
      </c>
      <c r="B1733" t="str">
        <f t="shared" si="190"/>
        <v/>
      </c>
      <c r="C1733" t="str">
        <f t="shared" si="191"/>
        <v/>
      </c>
      <c r="D1733" t="str">
        <f t="shared" si="192"/>
        <v/>
      </c>
      <c r="E1733" t="str">
        <f>IF(F1733="","",IF(COUNTIF($F$2:F1733,F1733)&gt;1,"",SUMIFS(tbl_input[필요수량],tbl_input[집계키_센터],F1733)))</f>
        <v/>
      </c>
      <c r="F1733" t="str">
        <f>IFERROR(INDEX(tbl_input[집계키_센터],ROW()-1),"")</f>
        <v/>
      </c>
      <c r="G1733" t="str">
        <f t="shared" si="193"/>
        <v/>
      </c>
      <c r="H1733" t="str">
        <f t="shared" si="194"/>
        <v/>
      </c>
      <c r="I1733" t="str">
        <f t="shared" si="195"/>
        <v/>
      </c>
    </row>
    <row r="1734" spans="1:9" x14ac:dyDescent="0.4">
      <c r="A1734" t="str">
        <f t="shared" si="189"/>
        <v/>
      </c>
      <c r="B1734" t="str">
        <f t="shared" si="190"/>
        <v/>
      </c>
      <c r="C1734" t="str">
        <f t="shared" si="191"/>
        <v/>
      </c>
      <c r="D1734" t="str">
        <f t="shared" si="192"/>
        <v/>
      </c>
      <c r="E1734" t="str">
        <f>IF(F1734="","",IF(COUNTIF($F$2:F1734,F1734)&gt;1,"",SUMIFS(tbl_input[필요수량],tbl_input[집계키_센터],F1734)))</f>
        <v/>
      </c>
      <c r="F1734" t="str">
        <f>IFERROR(INDEX(tbl_input[집계키_센터],ROW()-1),"")</f>
        <v/>
      </c>
      <c r="G1734" t="str">
        <f t="shared" si="193"/>
        <v/>
      </c>
      <c r="H1734" t="str">
        <f t="shared" si="194"/>
        <v/>
      </c>
      <c r="I1734" t="str">
        <f t="shared" si="195"/>
        <v/>
      </c>
    </row>
    <row r="1735" spans="1:9" x14ac:dyDescent="0.4">
      <c r="A1735" t="str">
        <f t="shared" si="189"/>
        <v/>
      </c>
      <c r="B1735" t="str">
        <f t="shared" si="190"/>
        <v/>
      </c>
      <c r="C1735" t="str">
        <f t="shared" si="191"/>
        <v/>
      </c>
      <c r="D1735" t="str">
        <f t="shared" si="192"/>
        <v/>
      </c>
      <c r="E1735" t="str">
        <f>IF(F1735="","",IF(COUNTIF($F$2:F1735,F1735)&gt;1,"",SUMIFS(tbl_input[필요수량],tbl_input[집계키_센터],F1735)))</f>
        <v/>
      </c>
      <c r="F1735" t="str">
        <f>IFERROR(INDEX(tbl_input[집계키_센터],ROW()-1),"")</f>
        <v/>
      </c>
      <c r="G1735" t="str">
        <f t="shared" si="193"/>
        <v/>
      </c>
      <c r="H1735" t="str">
        <f t="shared" si="194"/>
        <v/>
      </c>
      <c r="I1735" t="str">
        <f t="shared" si="195"/>
        <v/>
      </c>
    </row>
    <row r="1736" spans="1:9" x14ac:dyDescent="0.4">
      <c r="A1736" t="str">
        <f t="shared" si="189"/>
        <v/>
      </c>
      <c r="B1736" t="str">
        <f t="shared" si="190"/>
        <v/>
      </c>
      <c r="C1736" t="str">
        <f t="shared" si="191"/>
        <v/>
      </c>
      <c r="D1736" t="str">
        <f t="shared" si="192"/>
        <v/>
      </c>
      <c r="E1736" t="str">
        <f>IF(F1736="","",IF(COUNTIF($F$2:F1736,F1736)&gt;1,"",SUMIFS(tbl_input[필요수량],tbl_input[집계키_센터],F1736)))</f>
        <v/>
      </c>
      <c r="F1736" t="str">
        <f>IFERROR(INDEX(tbl_input[집계키_센터],ROW()-1),"")</f>
        <v/>
      </c>
      <c r="G1736" t="str">
        <f t="shared" si="193"/>
        <v/>
      </c>
      <c r="H1736" t="str">
        <f t="shared" si="194"/>
        <v/>
      </c>
      <c r="I1736" t="str">
        <f t="shared" si="195"/>
        <v/>
      </c>
    </row>
    <row r="1737" spans="1:9" x14ac:dyDescent="0.4">
      <c r="A1737" t="str">
        <f t="shared" si="189"/>
        <v/>
      </c>
      <c r="B1737" t="str">
        <f t="shared" si="190"/>
        <v/>
      </c>
      <c r="C1737" t="str">
        <f t="shared" si="191"/>
        <v/>
      </c>
      <c r="D1737" t="str">
        <f t="shared" si="192"/>
        <v/>
      </c>
      <c r="E1737" t="str">
        <f>IF(F1737="","",IF(COUNTIF($F$2:F1737,F1737)&gt;1,"",SUMIFS(tbl_input[필요수량],tbl_input[집계키_센터],F1737)))</f>
        <v/>
      </c>
      <c r="F1737" t="str">
        <f>IFERROR(INDEX(tbl_input[집계키_센터],ROW()-1),"")</f>
        <v/>
      </c>
      <c r="G1737" t="str">
        <f t="shared" si="193"/>
        <v/>
      </c>
      <c r="H1737" t="str">
        <f t="shared" si="194"/>
        <v/>
      </c>
      <c r="I1737" t="str">
        <f t="shared" si="195"/>
        <v/>
      </c>
    </row>
    <row r="1738" spans="1:9" x14ac:dyDescent="0.4">
      <c r="A1738" t="str">
        <f t="shared" si="189"/>
        <v/>
      </c>
      <c r="B1738" t="str">
        <f t="shared" si="190"/>
        <v/>
      </c>
      <c r="C1738" t="str">
        <f t="shared" si="191"/>
        <v/>
      </c>
      <c r="D1738" t="str">
        <f t="shared" si="192"/>
        <v/>
      </c>
      <c r="E1738" t="str">
        <f>IF(F1738="","",IF(COUNTIF($F$2:F1738,F1738)&gt;1,"",SUMIFS(tbl_input[필요수량],tbl_input[집계키_센터],F1738)))</f>
        <v/>
      </c>
      <c r="F1738" t="str">
        <f>IFERROR(INDEX(tbl_input[집계키_센터],ROW()-1),"")</f>
        <v/>
      </c>
      <c r="G1738" t="str">
        <f t="shared" si="193"/>
        <v/>
      </c>
      <c r="H1738" t="str">
        <f t="shared" si="194"/>
        <v/>
      </c>
      <c r="I1738" t="str">
        <f t="shared" si="195"/>
        <v/>
      </c>
    </row>
    <row r="1739" spans="1:9" x14ac:dyDescent="0.4">
      <c r="A1739" t="str">
        <f t="shared" si="189"/>
        <v/>
      </c>
      <c r="B1739" t="str">
        <f t="shared" si="190"/>
        <v/>
      </c>
      <c r="C1739" t="str">
        <f t="shared" si="191"/>
        <v/>
      </c>
      <c r="D1739" t="str">
        <f t="shared" si="192"/>
        <v/>
      </c>
      <c r="E1739" t="str">
        <f>IF(F1739="","",IF(COUNTIF($F$2:F1739,F1739)&gt;1,"",SUMIFS(tbl_input[필요수량],tbl_input[집계키_센터],F1739)))</f>
        <v/>
      </c>
      <c r="F1739" t="str">
        <f>IFERROR(INDEX(tbl_input[집계키_센터],ROW()-1),"")</f>
        <v/>
      </c>
      <c r="G1739" t="str">
        <f t="shared" si="193"/>
        <v/>
      </c>
      <c r="H1739" t="str">
        <f t="shared" si="194"/>
        <v/>
      </c>
      <c r="I1739" t="str">
        <f t="shared" si="195"/>
        <v/>
      </c>
    </row>
    <row r="1740" spans="1:9" x14ac:dyDescent="0.4">
      <c r="A1740" t="str">
        <f t="shared" si="189"/>
        <v/>
      </c>
      <c r="B1740" t="str">
        <f t="shared" si="190"/>
        <v/>
      </c>
      <c r="C1740" t="str">
        <f t="shared" si="191"/>
        <v/>
      </c>
      <c r="D1740" t="str">
        <f t="shared" si="192"/>
        <v/>
      </c>
      <c r="E1740" t="str">
        <f>IF(F1740="","",IF(COUNTIF($F$2:F1740,F1740)&gt;1,"",SUMIFS(tbl_input[필요수량],tbl_input[집계키_센터],F1740)))</f>
        <v/>
      </c>
      <c r="F1740" t="str">
        <f>IFERROR(INDEX(tbl_input[집계키_센터],ROW()-1),"")</f>
        <v/>
      </c>
      <c r="G1740" t="str">
        <f t="shared" si="193"/>
        <v/>
      </c>
      <c r="H1740" t="str">
        <f t="shared" si="194"/>
        <v/>
      </c>
      <c r="I1740" t="str">
        <f t="shared" si="195"/>
        <v/>
      </c>
    </row>
    <row r="1741" spans="1:9" x14ac:dyDescent="0.4">
      <c r="A1741" t="str">
        <f t="shared" si="189"/>
        <v/>
      </c>
      <c r="B1741" t="str">
        <f t="shared" si="190"/>
        <v/>
      </c>
      <c r="C1741" t="str">
        <f t="shared" si="191"/>
        <v/>
      </c>
      <c r="D1741" t="str">
        <f t="shared" si="192"/>
        <v/>
      </c>
      <c r="E1741" t="str">
        <f>IF(F1741="","",IF(COUNTIF($F$2:F1741,F1741)&gt;1,"",SUMIFS(tbl_input[필요수량],tbl_input[집계키_센터],F1741)))</f>
        <v/>
      </c>
      <c r="F1741" t="str">
        <f>IFERROR(INDEX(tbl_input[집계키_센터],ROW()-1),"")</f>
        <v/>
      </c>
      <c r="G1741" t="str">
        <f t="shared" si="193"/>
        <v/>
      </c>
      <c r="H1741" t="str">
        <f t="shared" si="194"/>
        <v/>
      </c>
      <c r="I1741" t="str">
        <f t="shared" si="195"/>
        <v/>
      </c>
    </row>
    <row r="1742" spans="1:9" x14ac:dyDescent="0.4">
      <c r="A1742" t="str">
        <f t="shared" si="189"/>
        <v/>
      </c>
      <c r="B1742" t="str">
        <f t="shared" si="190"/>
        <v/>
      </c>
      <c r="C1742" t="str">
        <f t="shared" si="191"/>
        <v/>
      </c>
      <c r="D1742" t="str">
        <f t="shared" si="192"/>
        <v/>
      </c>
      <c r="E1742" t="str">
        <f>IF(F1742="","",IF(COUNTIF($F$2:F1742,F1742)&gt;1,"",SUMIFS(tbl_input[필요수량],tbl_input[집계키_센터],F1742)))</f>
        <v/>
      </c>
      <c r="F1742" t="str">
        <f>IFERROR(INDEX(tbl_input[집계키_센터],ROW()-1),"")</f>
        <v/>
      </c>
      <c r="G1742" t="str">
        <f t="shared" si="193"/>
        <v/>
      </c>
      <c r="H1742" t="str">
        <f t="shared" si="194"/>
        <v/>
      </c>
      <c r="I1742" t="str">
        <f t="shared" si="195"/>
        <v/>
      </c>
    </row>
    <row r="1743" spans="1:9" x14ac:dyDescent="0.4">
      <c r="A1743" t="str">
        <f t="shared" si="189"/>
        <v/>
      </c>
      <c r="B1743" t="str">
        <f t="shared" si="190"/>
        <v/>
      </c>
      <c r="C1743" t="str">
        <f t="shared" si="191"/>
        <v/>
      </c>
      <c r="D1743" t="str">
        <f t="shared" si="192"/>
        <v/>
      </c>
      <c r="E1743" t="str">
        <f>IF(F1743="","",IF(COUNTIF($F$2:F1743,F1743)&gt;1,"",SUMIFS(tbl_input[필요수량],tbl_input[집계키_센터],F1743)))</f>
        <v/>
      </c>
      <c r="F1743" t="str">
        <f>IFERROR(INDEX(tbl_input[집계키_센터],ROW()-1),"")</f>
        <v/>
      </c>
      <c r="G1743" t="str">
        <f t="shared" si="193"/>
        <v/>
      </c>
      <c r="H1743" t="str">
        <f t="shared" si="194"/>
        <v/>
      </c>
      <c r="I1743" t="str">
        <f t="shared" si="195"/>
        <v/>
      </c>
    </row>
    <row r="1744" spans="1:9" x14ac:dyDescent="0.4">
      <c r="A1744" t="str">
        <f t="shared" si="189"/>
        <v/>
      </c>
      <c r="B1744" t="str">
        <f t="shared" si="190"/>
        <v/>
      </c>
      <c r="C1744" t="str">
        <f t="shared" si="191"/>
        <v/>
      </c>
      <c r="D1744" t="str">
        <f t="shared" si="192"/>
        <v/>
      </c>
      <c r="E1744" t="str">
        <f>IF(F1744="","",IF(COUNTIF($F$2:F1744,F1744)&gt;1,"",SUMIFS(tbl_input[필요수량],tbl_input[집계키_센터],F1744)))</f>
        <v/>
      </c>
      <c r="F1744" t="str">
        <f>IFERROR(INDEX(tbl_input[집계키_센터],ROW()-1),"")</f>
        <v/>
      </c>
      <c r="G1744" t="str">
        <f t="shared" si="193"/>
        <v/>
      </c>
      <c r="H1744" t="str">
        <f t="shared" si="194"/>
        <v/>
      </c>
      <c r="I1744" t="str">
        <f t="shared" si="195"/>
        <v/>
      </c>
    </row>
    <row r="1745" spans="1:9" x14ac:dyDescent="0.4">
      <c r="A1745" t="str">
        <f t="shared" si="189"/>
        <v/>
      </c>
      <c r="B1745" t="str">
        <f t="shared" si="190"/>
        <v/>
      </c>
      <c r="C1745" t="str">
        <f t="shared" si="191"/>
        <v/>
      </c>
      <c r="D1745" t="str">
        <f t="shared" si="192"/>
        <v/>
      </c>
      <c r="E1745" t="str">
        <f>IF(F1745="","",IF(COUNTIF($F$2:F1745,F1745)&gt;1,"",SUMIFS(tbl_input[필요수량],tbl_input[집계키_센터],F1745)))</f>
        <v/>
      </c>
      <c r="F1745" t="str">
        <f>IFERROR(INDEX(tbl_input[집계키_센터],ROW()-1),"")</f>
        <v/>
      </c>
      <c r="G1745" t="str">
        <f t="shared" si="193"/>
        <v/>
      </c>
      <c r="H1745" t="str">
        <f t="shared" si="194"/>
        <v/>
      </c>
      <c r="I1745" t="str">
        <f t="shared" si="195"/>
        <v/>
      </c>
    </row>
    <row r="1746" spans="1:9" x14ac:dyDescent="0.4">
      <c r="A1746" t="str">
        <f t="shared" si="189"/>
        <v/>
      </c>
      <c r="B1746" t="str">
        <f t="shared" si="190"/>
        <v/>
      </c>
      <c r="C1746" t="str">
        <f t="shared" si="191"/>
        <v/>
      </c>
      <c r="D1746" t="str">
        <f t="shared" si="192"/>
        <v/>
      </c>
      <c r="E1746" t="str">
        <f>IF(F1746="","",IF(COUNTIF($F$2:F1746,F1746)&gt;1,"",SUMIFS(tbl_input[필요수량],tbl_input[집계키_센터],F1746)))</f>
        <v/>
      </c>
      <c r="F1746" t="str">
        <f>IFERROR(INDEX(tbl_input[집계키_센터],ROW()-1),"")</f>
        <v/>
      </c>
      <c r="G1746" t="str">
        <f t="shared" si="193"/>
        <v/>
      </c>
      <c r="H1746" t="str">
        <f t="shared" si="194"/>
        <v/>
      </c>
      <c r="I1746" t="str">
        <f t="shared" si="195"/>
        <v/>
      </c>
    </row>
    <row r="1747" spans="1:9" x14ac:dyDescent="0.4">
      <c r="A1747" t="str">
        <f t="shared" si="189"/>
        <v/>
      </c>
      <c r="B1747" t="str">
        <f t="shared" si="190"/>
        <v/>
      </c>
      <c r="C1747" t="str">
        <f t="shared" si="191"/>
        <v/>
      </c>
      <c r="D1747" t="str">
        <f t="shared" si="192"/>
        <v/>
      </c>
      <c r="E1747" t="str">
        <f>IF(F1747="","",IF(COUNTIF($F$2:F1747,F1747)&gt;1,"",SUMIFS(tbl_input[필요수량],tbl_input[집계키_센터],F1747)))</f>
        <v/>
      </c>
      <c r="F1747" t="str">
        <f>IFERROR(INDEX(tbl_input[집계키_센터],ROW()-1),"")</f>
        <v/>
      </c>
      <c r="G1747" t="str">
        <f t="shared" si="193"/>
        <v/>
      </c>
      <c r="H1747" t="str">
        <f t="shared" si="194"/>
        <v/>
      </c>
      <c r="I1747" t="str">
        <f t="shared" si="195"/>
        <v/>
      </c>
    </row>
    <row r="1748" spans="1:9" x14ac:dyDescent="0.4">
      <c r="A1748" t="str">
        <f t="shared" si="189"/>
        <v/>
      </c>
      <c r="B1748" t="str">
        <f t="shared" si="190"/>
        <v/>
      </c>
      <c r="C1748" t="str">
        <f t="shared" si="191"/>
        <v/>
      </c>
      <c r="D1748" t="str">
        <f t="shared" si="192"/>
        <v/>
      </c>
      <c r="E1748" t="str">
        <f>IF(F1748="","",IF(COUNTIF($F$2:F1748,F1748)&gt;1,"",SUMIFS(tbl_input[필요수량],tbl_input[집계키_센터],F1748)))</f>
        <v/>
      </c>
      <c r="F1748" t="str">
        <f>IFERROR(INDEX(tbl_input[집계키_센터],ROW()-1),"")</f>
        <v/>
      </c>
      <c r="G1748" t="str">
        <f t="shared" si="193"/>
        <v/>
      </c>
      <c r="H1748" t="str">
        <f t="shared" si="194"/>
        <v/>
      </c>
      <c r="I1748" t="str">
        <f t="shared" si="195"/>
        <v/>
      </c>
    </row>
    <row r="1749" spans="1:9" x14ac:dyDescent="0.4">
      <c r="A1749" t="str">
        <f t="shared" si="189"/>
        <v/>
      </c>
      <c r="B1749" t="str">
        <f t="shared" si="190"/>
        <v/>
      </c>
      <c r="C1749" t="str">
        <f t="shared" si="191"/>
        <v/>
      </c>
      <c r="D1749" t="str">
        <f t="shared" si="192"/>
        <v/>
      </c>
      <c r="E1749" t="str">
        <f>IF(F1749="","",IF(COUNTIF($F$2:F1749,F1749)&gt;1,"",SUMIFS(tbl_input[필요수량],tbl_input[집계키_센터],F1749)))</f>
        <v/>
      </c>
      <c r="F1749" t="str">
        <f>IFERROR(INDEX(tbl_input[집계키_센터],ROW()-1),"")</f>
        <v/>
      </c>
      <c r="G1749" t="str">
        <f t="shared" si="193"/>
        <v/>
      </c>
      <c r="H1749" t="str">
        <f t="shared" si="194"/>
        <v/>
      </c>
      <c r="I1749" t="str">
        <f t="shared" si="195"/>
        <v/>
      </c>
    </row>
    <row r="1750" spans="1:9" x14ac:dyDescent="0.4">
      <c r="A1750" t="str">
        <f t="shared" si="189"/>
        <v/>
      </c>
      <c r="B1750" t="str">
        <f t="shared" si="190"/>
        <v/>
      </c>
      <c r="C1750" t="str">
        <f t="shared" si="191"/>
        <v/>
      </c>
      <c r="D1750" t="str">
        <f t="shared" si="192"/>
        <v/>
      </c>
      <c r="E1750" t="str">
        <f>IF(F1750="","",IF(COUNTIF($F$2:F1750,F1750)&gt;1,"",SUMIFS(tbl_input[필요수량],tbl_input[집계키_센터],F1750)))</f>
        <v/>
      </c>
      <c r="F1750" t="str">
        <f>IFERROR(INDEX(tbl_input[집계키_센터],ROW()-1),"")</f>
        <v/>
      </c>
      <c r="G1750" t="str">
        <f t="shared" si="193"/>
        <v/>
      </c>
      <c r="H1750" t="str">
        <f t="shared" si="194"/>
        <v/>
      </c>
      <c r="I1750" t="str">
        <f t="shared" si="195"/>
        <v/>
      </c>
    </row>
    <row r="1751" spans="1:9" x14ac:dyDescent="0.4">
      <c r="A1751" t="str">
        <f t="shared" si="189"/>
        <v/>
      </c>
      <c r="B1751" t="str">
        <f t="shared" si="190"/>
        <v/>
      </c>
      <c r="C1751" t="str">
        <f t="shared" si="191"/>
        <v/>
      </c>
      <c r="D1751" t="str">
        <f t="shared" si="192"/>
        <v/>
      </c>
      <c r="E1751" t="str">
        <f>IF(F1751="","",IF(COUNTIF($F$2:F1751,F1751)&gt;1,"",SUMIFS(tbl_input[필요수량],tbl_input[집계키_센터],F1751)))</f>
        <v/>
      </c>
      <c r="F1751" t="str">
        <f>IFERROR(INDEX(tbl_input[집계키_센터],ROW()-1),"")</f>
        <v/>
      </c>
      <c r="G1751" t="str">
        <f t="shared" si="193"/>
        <v/>
      </c>
      <c r="H1751" t="str">
        <f t="shared" si="194"/>
        <v/>
      </c>
      <c r="I1751" t="str">
        <f t="shared" si="195"/>
        <v/>
      </c>
    </row>
    <row r="1752" spans="1:9" x14ac:dyDescent="0.4">
      <c r="A1752" t="str">
        <f t="shared" si="189"/>
        <v/>
      </c>
      <c r="B1752" t="str">
        <f t="shared" si="190"/>
        <v/>
      </c>
      <c r="C1752" t="str">
        <f t="shared" si="191"/>
        <v/>
      </c>
      <c r="D1752" t="str">
        <f t="shared" si="192"/>
        <v/>
      </c>
      <c r="E1752" t="str">
        <f>IF(F1752="","",IF(COUNTIF($F$2:F1752,F1752)&gt;1,"",SUMIFS(tbl_input[필요수량],tbl_input[집계키_센터],F1752)))</f>
        <v/>
      </c>
      <c r="F1752" t="str">
        <f>IFERROR(INDEX(tbl_input[집계키_센터],ROW()-1),"")</f>
        <v/>
      </c>
      <c r="G1752" t="str">
        <f t="shared" si="193"/>
        <v/>
      </c>
      <c r="H1752" t="str">
        <f t="shared" si="194"/>
        <v/>
      </c>
      <c r="I1752" t="str">
        <f t="shared" si="195"/>
        <v/>
      </c>
    </row>
    <row r="1753" spans="1:9" x14ac:dyDescent="0.4">
      <c r="A1753" t="str">
        <f t="shared" si="189"/>
        <v/>
      </c>
      <c r="B1753" t="str">
        <f t="shared" si="190"/>
        <v/>
      </c>
      <c r="C1753" t="str">
        <f t="shared" si="191"/>
        <v/>
      </c>
      <c r="D1753" t="str">
        <f t="shared" si="192"/>
        <v/>
      </c>
      <c r="E1753" t="str">
        <f>IF(F1753="","",IF(COUNTIF($F$2:F1753,F1753)&gt;1,"",SUMIFS(tbl_input[필요수량],tbl_input[집계키_센터],F1753)))</f>
        <v/>
      </c>
      <c r="F1753" t="str">
        <f>IFERROR(INDEX(tbl_input[집계키_센터],ROW()-1),"")</f>
        <v/>
      </c>
      <c r="G1753" t="str">
        <f t="shared" si="193"/>
        <v/>
      </c>
      <c r="H1753" t="str">
        <f t="shared" si="194"/>
        <v/>
      </c>
      <c r="I1753" t="str">
        <f t="shared" si="195"/>
        <v/>
      </c>
    </row>
    <row r="1754" spans="1:9" x14ac:dyDescent="0.4">
      <c r="A1754" t="str">
        <f t="shared" si="189"/>
        <v/>
      </c>
      <c r="B1754" t="str">
        <f t="shared" si="190"/>
        <v/>
      </c>
      <c r="C1754" t="str">
        <f t="shared" si="191"/>
        <v/>
      </c>
      <c r="D1754" t="str">
        <f t="shared" si="192"/>
        <v/>
      </c>
      <c r="E1754" t="str">
        <f>IF(F1754="","",IF(COUNTIF($F$2:F1754,F1754)&gt;1,"",SUMIFS(tbl_input[필요수량],tbl_input[집계키_센터],F1754)))</f>
        <v/>
      </c>
      <c r="F1754" t="str">
        <f>IFERROR(INDEX(tbl_input[집계키_센터],ROW()-1),"")</f>
        <v/>
      </c>
      <c r="G1754" t="str">
        <f t="shared" si="193"/>
        <v/>
      </c>
      <c r="H1754" t="str">
        <f t="shared" si="194"/>
        <v/>
      </c>
      <c r="I1754" t="str">
        <f t="shared" si="195"/>
        <v/>
      </c>
    </row>
    <row r="1755" spans="1:9" x14ac:dyDescent="0.4">
      <c r="A1755" t="str">
        <f t="shared" si="189"/>
        <v/>
      </c>
      <c r="B1755" t="str">
        <f t="shared" si="190"/>
        <v/>
      </c>
      <c r="C1755" t="str">
        <f t="shared" si="191"/>
        <v/>
      </c>
      <c r="D1755" t="str">
        <f t="shared" si="192"/>
        <v/>
      </c>
      <c r="E1755" t="str">
        <f>IF(F1755="","",IF(COUNTIF($F$2:F1755,F1755)&gt;1,"",SUMIFS(tbl_input[필요수량],tbl_input[집계키_센터],F1755)))</f>
        <v/>
      </c>
      <c r="F1755" t="str">
        <f>IFERROR(INDEX(tbl_input[집계키_센터],ROW()-1),"")</f>
        <v/>
      </c>
      <c r="G1755" t="str">
        <f t="shared" si="193"/>
        <v/>
      </c>
      <c r="H1755" t="str">
        <f t="shared" si="194"/>
        <v/>
      </c>
      <c r="I1755" t="str">
        <f t="shared" si="195"/>
        <v/>
      </c>
    </row>
    <row r="1756" spans="1:9" x14ac:dyDescent="0.4">
      <c r="A1756" t="str">
        <f t="shared" si="189"/>
        <v/>
      </c>
      <c r="B1756" t="str">
        <f t="shared" si="190"/>
        <v/>
      </c>
      <c r="C1756" t="str">
        <f t="shared" si="191"/>
        <v/>
      </c>
      <c r="D1756" t="str">
        <f t="shared" si="192"/>
        <v/>
      </c>
      <c r="E1756" t="str">
        <f>IF(F1756="","",IF(COUNTIF($F$2:F1756,F1756)&gt;1,"",SUMIFS(tbl_input[필요수량],tbl_input[집계키_센터],F1756)))</f>
        <v/>
      </c>
      <c r="F1756" t="str">
        <f>IFERROR(INDEX(tbl_input[집계키_센터],ROW()-1),"")</f>
        <v/>
      </c>
      <c r="G1756" t="str">
        <f t="shared" si="193"/>
        <v/>
      </c>
      <c r="H1756" t="str">
        <f t="shared" si="194"/>
        <v/>
      </c>
      <c r="I1756" t="str">
        <f t="shared" si="195"/>
        <v/>
      </c>
    </row>
    <row r="1757" spans="1:9" x14ac:dyDescent="0.4">
      <c r="A1757" t="str">
        <f t="shared" si="189"/>
        <v/>
      </c>
      <c r="B1757" t="str">
        <f t="shared" si="190"/>
        <v/>
      </c>
      <c r="C1757" t="str">
        <f t="shared" si="191"/>
        <v/>
      </c>
      <c r="D1757" t="str">
        <f t="shared" si="192"/>
        <v/>
      </c>
      <c r="E1757" t="str">
        <f>IF(F1757="","",IF(COUNTIF($F$2:F1757,F1757)&gt;1,"",SUMIFS(tbl_input[필요수량],tbl_input[집계키_센터],F1757)))</f>
        <v/>
      </c>
      <c r="F1757" t="str">
        <f>IFERROR(INDEX(tbl_input[집계키_센터],ROW()-1),"")</f>
        <v/>
      </c>
      <c r="G1757" t="str">
        <f t="shared" si="193"/>
        <v/>
      </c>
      <c r="H1757" t="str">
        <f t="shared" si="194"/>
        <v/>
      </c>
      <c r="I1757" t="str">
        <f t="shared" si="195"/>
        <v/>
      </c>
    </row>
    <row r="1758" spans="1:9" x14ac:dyDescent="0.4">
      <c r="A1758" t="str">
        <f t="shared" si="189"/>
        <v/>
      </c>
      <c r="B1758" t="str">
        <f t="shared" si="190"/>
        <v/>
      </c>
      <c r="C1758" t="str">
        <f t="shared" si="191"/>
        <v/>
      </c>
      <c r="D1758" t="str">
        <f t="shared" si="192"/>
        <v/>
      </c>
      <c r="E1758" t="str">
        <f>IF(F1758="","",IF(COUNTIF($F$2:F1758,F1758)&gt;1,"",SUMIFS(tbl_input[필요수량],tbl_input[집계키_센터],F1758)))</f>
        <v/>
      </c>
      <c r="F1758" t="str">
        <f>IFERROR(INDEX(tbl_input[집계키_센터],ROW()-1),"")</f>
        <v/>
      </c>
      <c r="G1758" t="str">
        <f t="shared" si="193"/>
        <v/>
      </c>
      <c r="H1758" t="str">
        <f t="shared" si="194"/>
        <v/>
      </c>
      <c r="I1758" t="str">
        <f t="shared" si="195"/>
        <v/>
      </c>
    </row>
    <row r="1759" spans="1:9" x14ac:dyDescent="0.4">
      <c r="A1759" t="str">
        <f t="shared" si="189"/>
        <v/>
      </c>
      <c r="B1759" t="str">
        <f t="shared" si="190"/>
        <v/>
      </c>
      <c r="C1759" t="str">
        <f t="shared" si="191"/>
        <v/>
      </c>
      <c r="D1759" t="str">
        <f t="shared" si="192"/>
        <v/>
      </c>
      <c r="E1759" t="str">
        <f>IF(F1759="","",IF(COUNTIF($F$2:F1759,F1759)&gt;1,"",SUMIFS(tbl_input[필요수량],tbl_input[집계키_센터],F1759)))</f>
        <v/>
      </c>
      <c r="F1759" t="str">
        <f>IFERROR(INDEX(tbl_input[집계키_센터],ROW()-1),"")</f>
        <v/>
      </c>
      <c r="G1759" t="str">
        <f t="shared" si="193"/>
        <v/>
      </c>
      <c r="H1759" t="str">
        <f t="shared" si="194"/>
        <v/>
      </c>
      <c r="I1759" t="str">
        <f t="shared" si="195"/>
        <v/>
      </c>
    </row>
    <row r="1760" spans="1:9" x14ac:dyDescent="0.4">
      <c r="A1760" t="str">
        <f t="shared" si="189"/>
        <v/>
      </c>
      <c r="B1760" t="str">
        <f t="shared" si="190"/>
        <v/>
      </c>
      <c r="C1760" t="str">
        <f t="shared" si="191"/>
        <v/>
      </c>
      <c r="D1760" t="str">
        <f t="shared" si="192"/>
        <v/>
      </c>
      <c r="E1760" t="str">
        <f>IF(F1760="","",IF(COUNTIF($F$2:F1760,F1760)&gt;1,"",SUMIFS(tbl_input[필요수량],tbl_input[집계키_센터],F1760)))</f>
        <v/>
      </c>
      <c r="F1760" t="str">
        <f>IFERROR(INDEX(tbl_input[집계키_센터],ROW()-1),"")</f>
        <v/>
      </c>
      <c r="G1760" t="str">
        <f t="shared" si="193"/>
        <v/>
      </c>
      <c r="H1760" t="str">
        <f t="shared" si="194"/>
        <v/>
      </c>
      <c r="I1760" t="str">
        <f t="shared" si="195"/>
        <v/>
      </c>
    </row>
    <row r="1761" spans="1:9" x14ac:dyDescent="0.4">
      <c r="A1761" t="str">
        <f t="shared" si="189"/>
        <v/>
      </c>
      <c r="B1761" t="str">
        <f t="shared" si="190"/>
        <v/>
      </c>
      <c r="C1761" t="str">
        <f t="shared" si="191"/>
        <v/>
      </c>
      <c r="D1761" t="str">
        <f t="shared" si="192"/>
        <v/>
      </c>
      <c r="E1761" t="str">
        <f>IF(F1761="","",IF(COUNTIF($F$2:F1761,F1761)&gt;1,"",SUMIFS(tbl_input[필요수량],tbl_input[집계키_센터],F1761)))</f>
        <v/>
      </c>
      <c r="F1761" t="str">
        <f>IFERROR(INDEX(tbl_input[집계키_센터],ROW()-1),"")</f>
        <v/>
      </c>
      <c r="G1761" t="str">
        <f t="shared" si="193"/>
        <v/>
      </c>
      <c r="H1761" t="str">
        <f t="shared" si="194"/>
        <v/>
      </c>
      <c r="I1761" t="str">
        <f t="shared" si="195"/>
        <v/>
      </c>
    </row>
    <row r="1762" spans="1:9" x14ac:dyDescent="0.4">
      <c r="A1762" t="str">
        <f t="shared" si="189"/>
        <v/>
      </c>
      <c r="B1762" t="str">
        <f t="shared" si="190"/>
        <v/>
      </c>
      <c r="C1762" t="str">
        <f t="shared" si="191"/>
        <v/>
      </c>
      <c r="D1762" t="str">
        <f t="shared" si="192"/>
        <v/>
      </c>
      <c r="E1762" t="str">
        <f>IF(F1762="","",IF(COUNTIF($F$2:F1762,F1762)&gt;1,"",SUMIFS(tbl_input[필요수량],tbl_input[집계키_센터],F1762)))</f>
        <v/>
      </c>
      <c r="F1762" t="str">
        <f>IFERROR(INDEX(tbl_input[집계키_센터],ROW()-1),"")</f>
        <v/>
      </c>
      <c r="G1762" t="str">
        <f t="shared" si="193"/>
        <v/>
      </c>
      <c r="H1762" t="str">
        <f t="shared" si="194"/>
        <v/>
      </c>
      <c r="I1762" t="str">
        <f t="shared" si="195"/>
        <v/>
      </c>
    </row>
    <row r="1763" spans="1:9" x14ac:dyDescent="0.4">
      <c r="A1763" t="str">
        <f t="shared" si="189"/>
        <v/>
      </c>
      <c r="B1763" t="str">
        <f t="shared" si="190"/>
        <v/>
      </c>
      <c r="C1763" t="str">
        <f t="shared" si="191"/>
        <v/>
      </c>
      <c r="D1763" t="str">
        <f t="shared" si="192"/>
        <v/>
      </c>
      <c r="E1763" t="str">
        <f>IF(F1763="","",IF(COUNTIF($F$2:F1763,F1763)&gt;1,"",SUMIFS(tbl_input[필요수량],tbl_input[집계키_센터],F1763)))</f>
        <v/>
      </c>
      <c r="F1763" t="str">
        <f>IFERROR(INDEX(tbl_input[집계키_센터],ROW()-1),"")</f>
        <v/>
      </c>
      <c r="G1763" t="str">
        <f t="shared" si="193"/>
        <v/>
      </c>
      <c r="H1763" t="str">
        <f t="shared" si="194"/>
        <v/>
      </c>
      <c r="I1763" t="str">
        <f t="shared" si="195"/>
        <v/>
      </c>
    </row>
    <row r="1764" spans="1:9" x14ac:dyDescent="0.4">
      <c r="A1764" t="str">
        <f t="shared" si="189"/>
        <v/>
      </c>
      <c r="B1764" t="str">
        <f t="shared" si="190"/>
        <v/>
      </c>
      <c r="C1764" t="str">
        <f t="shared" si="191"/>
        <v/>
      </c>
      <c r="D1764" t="str">
        <f t="shared" si="192"/>
        <v/>
      </c>
      <c r="E1764" t="str">
        <f>IF(F1764="","",IF(COUNTIF($F$2:F1764,F1764)&gt;1,"",SUMIFS(tbl_input[필요수량],tbl_input[집계키_센터],F1764)))</f>
        <v/>
      </c>
      <c r="F1764" t="str">
        <f>IFERROR(INDEX(tbl_input[집계키_센터],ROW()-1),"")</f>
        <v/>
      </c>
      <c r="G1764" t="str">
        <f t="shared" si="193"/>
        <v/>
      </c>
      <c r="H1764" t="str">
        <f t="shared" si="194"/>
        <v/>
      </c>
      <c r="I1764" t="str">
        <f t="shared" si="195"/>
        <v/>
      </c>
    </row>
    <row r="1765" spans="1:9" x14ac:dyDescent="0.4">
      <c r="A1765" t="str">
        <f t="shared" si="189"/>
        <v/>
      </c>
      <c r="B1765" t="str">
        <f t="shared" si="190"/>
        <v/>
      </c>
      <c r="C1765" t="str">
        <f t="shared" si="191"/>
        <v/>
      </c>
      <c r="D1765" t="str">
        <f t="shared" si="192"/>
        <v/>
      </c>
      <c r="E1765" t="str">
        <f>IF(F1765="","",IF(COUNTIF($F$2:F1765,F1765)&gt;1,"",SUMIFS(tbl_input[필요수량],tbl_input[집계키_센터],F1765)))</f>
        <v/>
      </c>
      <c r="F1765" t="str">
        <f>IFERROR(INDEX(tbl_input[집계키_센터],ROW()-1),"")</f>
        <v/>
      </c>
      <c r="G1765" t="str">
        <f t="shared" si="193"/>
        <v/>
      </c>
      <c r="H1765" t="str">
        <f t="shared" si="194"/>
        <v/>
      </c>
      <c r="I1765" t="str">
        <f t="shared" si="195"/>
        <v/>
      </c>
    </row>
    <row r="1766" spans="1:9" x14ac:dyDescent="0.4">
      <c r="A1766" t="str">
        <f t="shared" si="189"/>
        <v/>
      </c>
      <c r="B1766" t="str">
        <f t="shared" si="190"/>
        <v/>
      </c>
      <c r="C1766" t="str">
        <f t="shared" si="191"/>
        <v/>
      </c>
      <c r="D1766" t="str">
        <f t="shared" si="192"/>
        <v/>
      </c>
      <c r="E1766" t="str">
        <f>IF(F1766="","",IF(COUNTIF($F$2:F1766,F1766)&gt;1,"",SUMIFS(tbl_input[필요수량],tbl_input[집계키_센터],F1766)))</f>
        <v/>
      </c>
      <c r="F1766" t="str">
        <f>IFERROR(INDEX(tbl_input[집계키_센터],ROW()-1),"")</f>
        <v/>
      </c>
      <c r="G1766" t="str">
        <f t="shared" si="193"/>
        <v/>
      </c>
      <c r="H1766" t="str">
        <f t="shared" si="194"/>
        <v/>
      </c>
      <c r="I1766" t="str">
        <f t="shared" si="195"/>
        <v/>
      </c>
    </row>
    <row r="1767" spans="1:9" x14ac:dyDescent="0.4">
      <c r="A1767" t="str">
        <f t="shared" si="189"/>
        <v/>
      </c>
      <c r="B1767" t="str">
        <f t="shared" si="190"/>
        <v/>
      </c>
      <c r="C1767" t="str">
        <f t="shared" si="191"/>
        <v/>
      </c>
      <c r="D1767" t="str">
        <f t="shared" si="192"/>
        <v/>
      </c>
      <c r="E1767" t="str">
        <f>IF(F1767="","",IF(COUNTIF($F$2:F1767,F1767)&gt;1,"",SUMIFS(tbl_input[필요수량],tbl_input[집계키_센터],F1767)))</f>
        <v/>
      </c>
      <c r="F1767" t="str">
        <f>IFERROR(INDEX(tbl_input[집계키_센터],ROW()-1),"")</f>
        <v/>
      </c>
      <c r="G1767" t="str">
        <f t="shared" si="193"/>
        <v/>
      </c>
      <c r="H1767" t="str">
        <f t="shared" si="194"/>
        <v/>
      </c>
      <c r="I1767" t="str">
        <f t="shared" si="195"/>
        <v/>
      </c>
    </row>
    <row r="1768" spans="1:9" x14ac:dyDescent="0.4">
      <c r="A1768" t="str">
        <f t="shared" si="189"/>
        <v/>
      </c>
      <c r="B1768" t="str">
        <f t="shared" si="190"/>
        <v/>
      </c>
      <c r="C1768" t="str">
        <f t="shared" si="191"/>
        <v/>
      </c>
      <c r="D1768" t="str">
        <f t="shared" si="192"/>
        <v/>
      </c>
      <c r="E1768" t="str">
        <f>IF(F1768="","",IF(COUNTIF($F$2:F1768,F1768)&gt;1,"",SUMIFS(tbl_input[필요수량],tbl_input[집계키_센터],F1768)))</f>
        <v/>
      </c>
      <c r="F1768" t="str">
        <f>IFERROR(INDEX(tbl_input[집계키_센터],ROW()-1),"")</f>
        <v/>
      </c>
      <c r="G1768" t="str">
        <f t="shared" si="193"/>
        <v/>
      </c>
      <c r="H1768" t="str">
        <f t="shared" si="194"/>
        <v/>
      </c>
      <c r="I1768" t="str">
        <f t="shared" si="195"/>
        <v/>
      </c>
    </row>
    <row r="1769" spans="1:9" x14ac:dyDescent="0.4">
      <c r="A1769" t="str">
        <f t="shared" si="189"/>
        <v/>
      </c>
      <c r="B1769" t="str">
        <f t="shared" si="190"/>
        <v/>
      </c>
      <c r="C1769" t="str">
        <f t="shared" si="191"/>
        <v/>
      </c>
      <c r="D1769" t="str">
        <f t="shared" si="192"/>
        <v/>
      </c>
      <c r="E1769" t="str">
        <f>IF(F1769="","",IF(COUNTIF($F$2:F1769,F1769)&gt;1,"",SUMIFS(tbl_input[필요수량],tbl_input[집계키_센터],F1769)))</f>
        <v/>
      </c>
      <c r="F1769" t="str">
        <f>IFERROR(INDEX(tbl_input[집계키_센터],ROW()-1),"")</f>
        <v/>
      </c>
      <c r="G1769" t="str">
        <f t="shared" si="193"/>
        <v/>
      </c>
      <c r="H1769" t="str">
        <f t="shared" si="194"/>
        <v/>
      </c>
      <c r="I1769" t="str">
        <f t="shared" si="195"/>
        <v/>
      </c>
    </row>
    <row r="1770" spans="1:9" x14ac:dyDescent="0.4">
      <c r="A1770" t="str">
        <f t="shared" si="189"/>
        <v/>
      </c>
      <c r="B1770" t="str">
        <f t="shared" si="190"/>
        <v/>
      </c>
      <c r="C1770" t="str">
        <f t="shared" si="191"/>
        <v/>
      </c>
      <c r="D1770" t="str">
        <f t="shared" si="192"/>
        <v/>
      </c>
      <c r="E1770" t="str">
        <f>IF(F1770="","",IF(COUNTIF($F$2:F1770,F1770)&gt;1,"",SUMIFS(tbl_input[필요수량],tbl_input[집계키_센터],F1770)))</f>
        <v/>
      </c>
      <c r="F1770" t="str">
        <f>IFERROR(INDEX(tbl_input[집계키_센터],ROW()-1),"")</f>
        <v/>
      </c>
      <c r="G1770" t="str">
        <f t="shared" si="193"/>
        <v/>
      </c>
      <c r="H1770" t="str">
        <f t="shared" si="194"/>
        <v/>
      </c>
      <c r="I1770" t="str">
        <f t="shared" si="195"/>
        <v/>
      </c>
    </row>
    <row r="1771" spans="1:9" x14ac:dyDescent="0.4">
      <c r="A1771" t="str">
        <f t="shared" si="189"/>
        <v/>
      </c>
      <c r="B1771" t="str">
        <f t="shared" si="190"/>
        <v/>
      </c>
      <c r="C1771" t="str">
        <f t="shared" si="191"/>
        <v/>
      </c>
      <c r="D1771" t="str">
        <f t="shared" si="192"/>
        <v/>
      </c>
      <c r="E1771" t="str">
        <f>IF(F1771="","",IF(COUNTIF($F$2:F1771,F1771)&gt;1,"",SUMIFS(tbl_input[필요수량],tbl_input[집계키_센터],F1771)))</f>
        <v/>
      </c>
      <c r="F1771" t="str">
        <f>IFERROR(INDEX(tbl_input[집계키_센터],ROW()-1),"")</f>
        <v/>
      </c>
      <c r="G1771" t="str">
        <f t="shared" si="193"/>
        <v/>
      </c>
      <c r="H1771" t="str">
        <f t="shared" si="194"/>
        <v/>
      </c>
      <c r="I1771" t="str">
        <f t="shared" si="195"/>
        <v/>
      </c>
    </row>
    <row r="1772" spans="1:9" x14ac:dyDescent="0.4">
      <c r="A1772" t="str">
        <f t="shared" si="189"/>
        <v/>
      </c>
      <c r="B1772" t="str">
        <f t="shared" si="190"/>
        <v/>
      </c>
      <c r="C1772" t="str">
        <f t="shared" si="191"/>
        <v/>
      </c>
      <c r="D1772" t="str">
        <f t="shared" si="192"/>
        <v/>
      </c>
      <c r="E1772" t="str">
        <f>IF(F1772="","",IF(COUNTIF($F$2:F1772,F1772)&gt;1,"",SUMIFS(tbl_input[필요수량],tbl_input[집계키_센터],F1772)))</f>
        <v/>
      </c>
      <c r="F1772" t="str">
        <f>IFERROR(INDEX(tbl_input[집계키_센터],ROW()-1),"")</f>
        <v/>
      </c>
      <c r="G1772" t="str">
        <f t="shared" si="193"/>
        <v/>
      </c>
      <c r="H1772" t="str">
        <f t="shared" si="194"/>
        <v/>
      </c>
      <c r="I1772" t="str">
        <f t="shared" si="195"/>
        <v/>
      </c>
    </row>
    <row r="1773" spans="1:9" x14ac:dyDescent="0.4">
      <c r="A1773" t="str">
        <f t="shared" si="189"/>
        <v/>
      </c>
      <c r="B1773" t="str">
        <f t="shared" si="190"/>
        <v/>
      </c>
      <c r="C1773" t="str">
        <f t="shared" si="191"/>
        <v/>
      </c>
      <c r="D1773" t="str">
        <f t="shared" si="192"/>
        <v/>
      </c>
      <c r="E1773" t="str">
        <f>IF(F1773="","",IF(COUNTIF($F$2:F1773,F1773)&gt;1,"",SUMIFS(tbl_input[필요수량],tbl_input[집계키_센터],F1773)))</f>
        <v/>
      </c>
      <c r="F1773" t="str">
        <f>IFERROR(INDEX(tbl_input[집계키_센터],ROW()-1),"")</f>
        <v/>
      </c>
      <c r="G1773" t="str">
        <f t="shared" si="193"/>
        <v/>
      </c>
      <c r="H1773" t="str">
        <f t="shared" si="194"/>
        <v/>
      </c>
      <c r="I1773" t="str">
        <f t="shared" si="195"/>
        <v/>
      </c>
    </row>
    <row r="1774" spans="1:9" x14ac:dyDescent="0.4">
      <c r="A1774" t="str">
        <f t="shared" si="189"/>
        <v/>
      </c>
      <c r="B1774" t="str">
        <f t="shared" si="190"/>
        <v/>
      </c>
      <c r="C1774" t="str">
        <f t="shared" si="191"/>
        <v/>
      </c>
      <c r="D1774" t="str">
        <f t="shared" si="192"/>
        <v/>
      </c>
      <c r="E1774" t="str">
        <f>IF(F1774="","",IF(COUNTIF($F$2:F1774,F1774)&gt;1,"",SUMIFS(tbl_input[필요수량],tbl_input[집계키_센터],F1774)))</f>
        <v/>
      </c>
      <c r="F1774" t="str">
        <f>IFERROR(INDEX(tbl_input[집계키_센터],ROW()-1),"")</f>
        <v/>
      </c>
      <c r="G1774" t="str">
        <f t="shared" si="193"/>
        <v/>
      </c>
      <c r="H1774" t="str">
        <f t="shared" si="194"/>
        <v/>
      </c>
      <c r="I1774" t="str">
        <f t="shared" si="195"/>
        <v/>
      </c>
    </row>
    <row r="1775" spans="1:9" x14ac:dyDescent="0.4">
      <c r="A1775" t="str">
        <f t="shared" si="189"/>
        <v/>
      </c>
      <c r="B1775" t="str">
        <f t="shared" si="190"/>
        <v/>
      </c>
      <c r="C1775" t="str">
        <f t="shared" si="191"/>
        <v/>
      </c>
      <c r="D1775" t="str">
        <f t="shared" si="192"/>
        <v/>
      </c>
      <c r="E1775" t="str">
        <f>IF(F1775="","",IF(COUNTIF($F$2:F1775,F1775)&gt;1,"",SUMIFS(tbl_input[필요수량],tbl_input[집계키_센터],F1775)))</f>
        <v/>
      </c>
      <c r="F1775" t="str">
        <f>IFERROR(INDEX(tbl_input[집계키_센터],ROW()-1),"")</f>
        <v/>
      </c>
      <c r="G1775" t="str">
        <f t="shared" si="193"/>
        <v/>
      </c>
      <c r="H1775" t="str">
        <f t="shared" si="194"/>
        <v/>
      </c>
      <c r="I1775" t="str">
        <f t="shared" si="195"/>
        <v/>
      </c>
    </row>
    <row r="1776" spans="1:9" x14ac:dyDescent="0.4">
      <c r="A1776" t="str">
        <f t="shared" si="189"/>
        <v/>
      </c>
      <c r="B1776" t="str">
        <f t="shared" si="190"/>
        <v/>
      </c>
      <c r="C1776" t="str">
        <f t="shared" si="191"/>
        <v/>
      </c>
      <c r="D1776" t="str">
        <f t="shared" si="192"/>
        <v/>
      </c>
      <c r="E1776" t="str">
        <f>IF(F1776="","",IF(COUNTIF($F$2:F1776,F1776)&gt;1,"",SUMIFS(tbl_input[필요수량],tbl_input[집계키_센터],F1776)))</f>
        <v/>
      </c>
      <c r="F1776" t="str">
        <f>IFERROR(INDEX(tbl_input[집계키_센터],ROW()-1),"")</f>
        <v/>
      </c>
      <c r="G1776" t="str">
        <f t="shared" si="193"/>
        <v/>
      </c>
      <c r="H1776" t="str">
        <f t="shared" si="194"/>
        <v/>
      </c>
      <c r="I1776" t="str">
        <f t="shared" si="195"/>
        <v/>
      </c>
    </row>
    <row r="1777" spans="1:9" x14ac:dyDescent="0.4">
      <c r="A1777" t="str">
        <f t="shared" si="189"/>
        <v/>
      </c>
      <c r="B1777" t="str">
        <f t="shared" si="190"/>
        <v/>
      </c>
      <c r="C1777" t="str">
        <f t="shared" si="191"/>
        <v/>
      </c>
      <c r="D1777" t="str">
        <f t="shared" si="192"/>
        <v/>
      </c>
      <c r="E1777" t="str">
        <f>IF(F1777="","",IF(COUNTIF($F$2:F1777,F1777)&gt;1,"",SUMIFS(tbl_input[필요수량],tbl_input[집계키_센터],F1777)))</f>
        <v/>
      </c>
      <c r="F1777" t="str">
        <f>IFERROR(INDEX(tbl_input[집계키_센터],ROW()-1),"")</f>
        <v/>
      </c>
      <c r="G1777" t="str">
        <f t="shared" si="193"/>
        <v/>
      </c>
      <c r="H1777" t="str">
        <f t="shared" si="194"/>
        <v/>
      </c>
      <c r="I1777" t="str">
        <f t="shared" si="195"/>
        <v/>
      </c>
    </row>
    <row r="1778" spans="1:9" x14ac:dyDescent="0.4">
      <c r="A1778" t="str">
        <f t="shared" si="189"/>
        <v/>
      </c>
      <c r="B1778" t="str">
        <f t="shared" si="190"/>
        <v/>
      </c>
      <c r="C1778" t="str">
        <f t="shared" si="191"/>
        <v/>
      </c>
      <c r="D1778" t="str">
        <f t="shared" si="192"/>
        <v/>
      </c>
      <c r="E1778" t="str">
        <f>IF(F1778="","",IF(COUNTIF($F$2:F1778,F1778)&gt;1,"",SUMIFS(tbl_input[필요수량],tbl_input[집계키_센터],F1778)))</f>
        <v/>
      </c>
      <c r="F1778" t="str">
        <f>IFERROR(INDEX(tbl_input[집계키_센터],ROW()-1),"")</f>
        <v/>
      </c>
      <c r="G1778" t="str">
        <f t="shared" si="193"/>
        <v/>
      </c>
      <c r="H1778" t="str">
        <f t="shared" si="194"/>
        <v/>
      </c>
      <c r="I1778" t="str">
        <f t="shared" si="195"/>
        <v/>
      </c>
    </row>
    <row r="1779" spans="1:9" x14ac:dyDescent="0.4">
      <c r="A1779" t="str">
        <f t="shared" si="189"/>
        <v/>
      </c>
      <c r="B1779" t="str">
        <f t="shared" si="190"/>
        <v/>
      </c>
      <c r="C1779" t="str">
        <f t="shared" si="191"/>
        <v/>
      </c>
      <c r="D1779" t="str">
        <f t="shared" si="192"/>
        <v/>
      </c>
      <c r="E1779" t="str">
        <f>IF(F1779="","",IF(COUNTIF($F$2:F1779,F1779)&gt;1,"",SUMIFS(tbl_input[필요수량],tbl_input[집계키_센터],F1779)))</f>
        <v/>
      </c>
      <c r="F1779" t="str">
        <f>IFERROR(INDEX(tbl_input[집계키_센터],ROW()-1),"")</f>
        <v/>
      </c>
      <c r="G1779" t="str">
        <f t="shared" si="193"/>
        <v/>
      </c>
      <c r="H1779" t="str">
        <f t="shared" si="194"/>
        <v/>
      </c>
      <c r="I1779" t="str">
        <f t="shared" si="195"/>
        <v/>
      </c>
    </row>
    <row r="1780" spans="1:9" x14ac:dyDescent="0.4">
      <c r="A1780" t="str">
        <f t="shared" si="189"/>
        <v/>
      </c>
      <c r="B1780" t="str">
        <f t="shared" si="190"/>
        <v/>
      </c>
      <c r="C1780" t="str">
        <f t="shared" si="191"/>
        <v/>
      </c>
      <c r="D1780" t="str">
        <f t="shared" si="192"/>
        <v/>
      </c>
      <c r="E1780" t="str">
        <f>IF(F1780="","",IF(COUNTIF($F$2:F1780,F1780)&gt;1,"",SUMIFS(tbl_input[필요수량],tbl_input[집계키_센터],F1780)))</f>
        <v/>
      </c>
      <c r="F1780" t="str">
        <f>IFERROR(INDEX(tbl_input[집계키_센터],ROW()-1),"")</f>
        <v/>
      </c>
      <c r="G1780" t="str">
        <f t="shared" si="193"/>
        <v/>
      </c>
      <c r="H1780" t="str">
        <f t="shared" si="194"/>
        <v/>
      </c>
      <c r="I1780" t="str">
        <f t="shared" si="195"/>
        <v/>
      </c>
    </row>
    <row r="1781" spans="1:9" x14ac:dyDescent="0.4">
      <c r="A1781" t="str">
        <f t="shared" si="189"/>
        <v/>
      </c>
      <c r="B1781" t="str">
        <f t="shared" si="190"/>
        <v/>
      </c>
      <c r="C1781" t="str">
        <f t="shared" si="191"/>
        <v/>
      </c>
      <c r="D1781" t="str">
        <f t="shared" si="192"/>
        <v/>
      </c>
      <c r="E1781" t="str">
        <f>IF(F1781="","",IF(COUNTIF($F$2:F1781,F1781)&gt;1,"",SUMIFS(tbl_input[필요수량],tbl_input[집계키_센터],F1781)))</f>
        <v/>
      </c>
      <c r="F1781" t="str">
        <f>IFERROR(INDEX(tbl_input[집계키_센터],ROW()-1),"")</f>
        <v/>
      </c>
      <c r="G1781" t="str">
        <f t="shared" si="193"/>
        <v/>
      </c>
      <c r="H1781" t="str">
        <f t="shared" si="194"/>
        <v/>
      </c>
      <c r="I1781" t="str">
        <f t="shared" si="195"/>
        <v/>
      </c>
    </row>
    <row r="1782" spans="1:9" x14ac:dyDescent="0.4">
      <c r="A1782" t="str">
        <f t="shared" si="189"/>
        <v/>
      </c>
      <c r="B1782" t="str">
        <f t="shared" si="190"/>
        <v/>
      </c>
      <c r="C1782" t="str">
        <f t="shared" si="191"/>
        <v/>
      </c>
      <c r="D1782" t="str">
        <f t="shared" si="192"/>
        <v/>
      </c>
      <c r="E1782" t="str">
        <f>IF(F1782="","",IF(COUNTIF($F$2:F1782,F1782)&gt;1,"",SUMIFS(tbl_input[필요수량],tbl_input[집계키_센터],F1782)))</f>
        <v/>
      </c>
      <c r="F1782" t="str">
        <f>IFERROR(INDEX(tbl_input[집계키_센터],ROW()-1),"")</f>
        <v/>
      </c>
      <c r="G1782" t="str">
        <f t="shared" si="193"/>
        <v/>
      </c>
      <c r="H1782" t="str">
        <f t="shared" si="194"/>
        <v/>
      </c>
      <c r="I1782" t="str">
        <f t="shared" si="195"/>
        <v/>
      </c>
    </row>
    <row r="1783" spans="1:9" x14ac:dyDescent="0.4">
      <c r="A1783" t="str">
        <f t="shared" si="189"/>
        <v/>
      </c>
      <c r="B1783" t="str">
        <f t="shared" si="190"/>
        <v/>
      </c>
      <c r="C1783" t="str">
        <f t="shared" si="191"/>
        <v/>
      </c>
      <c r="D1783" t="str">
        <f t="shared" si="192"/>
        <v/>
      </c>
      <c r="E1783" t="str">
        <f>IF(F1783="","",IF(COUNTIF($F$2:F1783,F1783)&gt;1,"",SUMIFS(tbl_input[필요수량],tbl_input[집계키_센터],F1783)))</f>
        <v/>
      </c>
      <c r="F1783" t="str">
        <f>IFERROR(INDEX(tbl_input[집계키_센터],ROW()-1),"")</f>
        <v/>
      </c>
      <c r="G1783" t="str">
        <f t="shared" si="193"/>
        <v/>
      </c>
      <c r="H1783" t="str">
        <f t="shared" si="194"/>
        <v/>
      </c>
      <c r="I1783" t="str">
        <f t="shared" si="195"/>
        <v/>
      </c>
    </row>
    <row r="1784" spans="1:9" x14ac:dyDescent="0.4">
      <c r="A1784" t="str">
        <f t="shared" si="189"/>
        <v/>
      </c>
      <c r="B1784" t="str">
        <f t="shared" si="190"/>
        <v/>
      </c>
      <c r="C1784" t="str">
        <f t="shared" si="191"/>
        <v/>
      </c>
      <c r="D1784" t="str">
        <f t="shared" si="192"/>
        <v/>
      </c>
      <c r="E1784" t="str">
        <f>IF(F1784="","",IF(COUNTIF($F$2:F1784,F1784)&gt;1,"",SUMIFS(tbl_input[필요수량],tbl_input[집계키_센터],F1784)))</f>
        <v/>
      </c>
      <c r="F1784" t="str">
        <f>IFERROR(INDEX(tbl_input[집계키_센터],ROW()-1),"")</f>
        <v/>
      </c>
      <c r="G1784" t="str">
        <f t="shared" si="193"/>
        <v/>
      </c>
      <c r="H1784" t="str">
        <f t="shared" si="194"/>
        <v/>
      </c>
      <c r="I1784" t="str">
        <f t="shared" si="195"/>
        <v/>
      </c>
    </row>
    <row r="1785" spans="1:9" x14ac:dyDescent="0.4">
      <c r="A1785" t="str">
        <f t="shared" si="189"/>
        <v/>
      </c>
      <c r="B1785" t="str">
        <f t="shared" si="190"/>
        <v/>
      </c>
      <c r="C1785" t="str">
        <f t="shared" si="191"/>
        <v/>
      </c>
      <c r="D1785" t="str">
        <f t="shared" si="192"/>
        <v/>
      </c>
      <c r="E1785" t="str">
        <f>IF(F1785="","",IF(COUNTIF($F$2:F1785,F1785)&gt;1,"",SUMIFS(tbl_input[필요수량],tbl_input[집계키_센터],F1785)))</f>
        <v/>
      </c>
      <c r="F1785" t="str">
        <f>IFERROR(INDEX(tbl_input[집계키_센터],ROW()-1),"")</f>
        <v/>
      </c>
      <c r="G1785" t="str">
        <f t="shared" si="193"/>
        <v/>
      </c>
      <c r="H1785" t="str">
        <f t="shared" si="194"/>
        <v/>
      </c>
      <c r="I1785" t="str">
        <f t="shared" si="195"/>
        <v/>
      </c>
    </row>
    <row r="1786" spans="1:9" x14ac:dyDescent="0.4">
      <c r="A1786" t="str">
        <f t="shared" si="189"/>
        <v/>
      </c>
      <c r="B1786" t="str">
        <f t="shared" si="190"/>
        <v/>
      </c>
      <c r="C1786" t="str">
        <f t="shared" si="191"/>
        <v/>
      </c>
      <c r="D1786" t="str">
        <f t="shared" si="192"/>
        <v/>
      </c>
      <c r="E1786" t="str">
        <f>IF(F1786="","",IF(COUNTIF($F$2:F1786,F1786)&gt;1,"",SUMIFS(tbl_input[필요수량],tbl_input[집계키_센터],F1786)))</f>
        <v/>
      </c>
      <c r="F1786" t="str">
        <f>IFERROR(INDEX(tbl_input[집계키_센터],ROW()-1),"")</f>
        <v/>
      </c>
      <c r="G1786" t="str">
        <f t="shared" si="193"/>
        <v/>
      </c>
      <c r="H1786" t="str">
        <f t="shared" si="194"/>
        <v/>
      </c>
      <c r="I1786" t="str">
        <f t="shared" si="195"/>
        <v/>
      </c>
    </row>
    <row r="1787" spans="1:9" x14ac:dyDescent="0.4">
      <c r="A1787" t="str">
        <f t="shared" si="189"/>
        <v/>
      </c>
      <c r="B1787" t="str">
        <f t="shared" si="190"/>
        <v/>
      </c>
      <c r="C1787" t="str">
        <f t="shared" si="191"/>
        <v/>
      </c>
      <c r="D1787" t="str">
        <f t="shared" si="192"/>
        <v/>
      </c>
      <c r="E1787" t="str">
        <f>IF(F1787="","",IF(COUNTIF($F$2:F1787,F1787)&gt;1,"",SUMIFS(tbl_input[필요수량],tbl_input[집계키_센터],F1787)))</f>
        <v/>
      </c>
      <c r="F1787" t="str">
        <f>IFERROR(INDEX(tbl_input[집계키_센터],ROW()-1),"")</f>
        <v/>
      </c>
      <c r="G1787" t="str">
        <f t="shared" si="193"/>
        <v/>
      </c>
      <c r="H1787" t="str">
        <f t="shared" si="194"/>
        <v/>
      </c>
      <c r="I1787" t="str">
        <f t="shared" si="195"/>
        <v/>
      </c>
    </row>
    <row r="1788" spans="1:9" x14ac:dyDescent="0.4">
      <c r="A1788" t="str">
        <f t="shared" si="189"/>
        <v/>
      </c>
      <c r="B1788" t="str">
        <f t="shared" si="190"/>
        <v/>
      </c>
      <c r="C1788" t="str">
        <f t="shared" si="191"/>
        <v/>
      </c>
      <c r="D1788" t="str">
        <f t="shared" si="192"/>
        <v/>
      </c>
      <c r="E1788" t="str">
        <f>IF(F1788="","",IF(COUNTIF($F$2:F1788,F1788)&gt;1,"",SUMIFS(tbl_input[필요수량],tbl_input[집계키_센터],F1788)))</f>
        <v/>
      </c>
      <c r="F1788" t="str">
        <f>IFERROR(INDEX(tbl_input[집계키_센터],ROW()-1),"")</f>
        <v/>
      </c>
      <c r="G1788" t="str">
        <f t="shared" si="193"/>
        <v/>
      </c>
      <c r="H1788" t="str">
        <f t="shared" si="194"/>
        <v/>
      </c>
      <c r="I1788" t="str">
        <f t="shared" si="195"/>
        <v/>
      </c>
    </row>
    <row r="1789" spans="1:9" x14ac:dyDescent="0.4">
      <c r="A1789" t="str">
        <f t="shared" si="189"/>
        <v/>
      </c>
      <c r="B1789" t="str">
        <f t="shared" si="190"/>
        <v/>
      </c>
      <c r="C1789" t="str">
        <f t="shared" si="191"/>
        <v/>
      </c>
      <c r="D1789" t="str">
        <f t="shared" si="192"/>
        <v/>
      </c>
      <c r="E1789" t="str">
        <f>IF(F1789="","",IF(COUNTIF($F$2:F1789,F1789)&gt;1,"",SUMIFS(tbl_input[필요수량],tbl_input[집계키_센터],F1789)))</f>
        <v/>
      </c>
      <c r="F1789" t="str">
        <f>IFERROR(INDEX(tbl_input[집계키_센터],ROW()-1),"")</f>
        <v/>
      </c>
      <c r="G1789" t="str">
        <f t="shared" si="193"/>
        <v/>
      </c>
      <c r="H1789" t="str">
        <f t="shared" si="194"/>
        <v/>
      </c>
      <c r="I1789" t="str">
        <f t="shared" si="195"/>
        <v/>
      </c>
    </row>
    <row r="1790" spans="1:9" x14ac:dyDescent="0.4">
      <c r="A1790" t="str">
        <f t="shared" si="189"/>
        <v/>
      </c>
      <c r="B1790" t="str">
        <f t="shared" si="190"/>
        <v/>
      </c>
      <c r="C1790" t="str">
        <f t="shared" si="191"/>
        <v/>
      </c>
      <c r="D1790" t="str">
        <f t="shared" si="192"/>
        <v/>
      </c>
      <c r="E1790" t="str">
        <f>IF(F1790="","",IF(COUNTIF($F$2:F1790,F1790)&gt;1,"",SUMIFS(tbl_input[필요수량],tbl_input[집계키_센터],F1790)))</f>
        <v/>
      </c>
      <c r="F1790" t="str">
        <f>IFERROR(INDEX(tbl_input[집계키_센터],ROW()-1),"")</f>
        <v/>
      </c>
      <c r="G1790" t="str">
        <f t="shared" si="193"/>
        <v/>
      </c>
      <c r="H1790" t="str">
        <f t="shared" si="194"/>
        <v/>
      </c>
      <c r="I1790" t="str">
        <f t="shared" si="195"/>
        <v/>
      </c>
    </row>
    <row r="1791" spans="1:9" x14ac:dyDescent="0.4">
      <c r="A1791" t="str">
        <f t="shared" si="189"/>
        <v/>
      </c>
      <c r="B1791" t="str">
        <f t="shared" si="190"/>
        <v/>
      </c>
      <c r="C1791" t="str">
        <f t="shared" si="191"/>
        <v/>
      </c>
      <c r="D1791" t="str">
        <f t="shared" si="192"/>
        <v/>
      </c>
      <c r="E1791" t="str">
        <f>IF(F1791="","",IF(COUNTIF($F$2:F1791,F1791)&gt;1,"",SUMIFS(tbl_input[필요수량],tbl_input[집계키_센터],F1791)))</f>
        <v/>
      </c>
      <c r="F1791" t="str">
        <f>IFERROR(INDEX(tbl_input[집계키_센터],ROW()-1),"")</f>
        <v/>
      </c>
      <c r="G1791" t="str">
        <f t="shared" si="193"/>
        <v/>
      </c>
      <c r="H1791" t="str">
        <f t="shared" si="194"/>
        <v/>
      </c>
      <c r="I1791" t="str">
        <f t="shared" si="195"/>
        <v/>
      </c>
    </row>
    <row r="1792" spans="1:9" x14ac:dyDescent="0.4">
      <c r="A1792" t="str">
        <f t="shared" si="189"/>
        <v/>
      </c>
      <c r="B1792" t="str">
        <f t="shared" si="190"/>
        <v/>
      </c>
      <c r="C1792" t="str">
        <f t="shared" si="191"/>
        <v/>
      </c>
      <c r="D1792" t="str">
        <f t="shared" si="192"/>
        <v/>
      </c>
      <c r="E1792" t="str">
        <f>IF(F1792="","",IF(COUNTIF($F$2:F1792,F1792)&gt;1,"",SUMIFS(tbl_input[필요수량],tbl_input[집계키_센터],F1792)))</f>
        <v/>
      </c>
      <c r="F1792" t="str">
        <f>IFERROR(INDEX(tbl_input[집계키_센터],ROW()-1),"")</f>
        <v/>
      </c>
      <c r="G1792" t="str">
        <f t="shared" si="193"/>
        <v/>
      </c>
      <c r="H1792" t="str">
        <f t="shared" si="194"/>
        <v/>
      </c>
      <c r="I1792" t="str">
        <f t="shared" si="195"/>
        <v/>
      </c>
    </row>
    <row r="1793" spans="1:9" x14ac:dyDescent="0.4">
      <c r="A1793" t="str">
        <f t="shared" si="189"/>
        <v/>
      </c>
      <c r="B1793" t="str">
        <f t="shared" si="190"/>
        <v/>
      </c>
      <c r="C1793" t="str">
        <f t="shared" si="191"/>
        <v/>
      </c>
      <c r="D1793" t="str">
        <f t="shared" si="192"/>
        <v/>
      </c>
      <c r="E1793" t="str">
        <f>IF(F1793="","",IF(COUNTIF($F$2:F1793,F1793)&gt;1,"",SUMIFS(tbl_input[필요수량],tbl_input[집계키_센터],F1793)))</f>
        <v/>
      </c>
      <c r="F1793" t="str">
        <f>IFERROR(INDEX(tbl_input[집계키_센터],ROW()-1),"")</f>
        <v/>
      </c>
      <c r="G1793" t="str">
        <f t="shared" si="193"/>
        <v/>
      </c>
      <c r="H1793" t="str">
        <f t="shared" si="194"/>
        <v/>
      </c>
      <c r="I1793" t="str">
        <f t="shared" si="195"/>
        <v/>
      </c>
    </row>
    <row r="1794" spans="1:9" x14ac:dyDescent="0.4">
      <c r="A1794" t="str">
        <f t="shared" ref="A1794:A1857" si="196">IF(F1794="","",LEFT(F1794,G1794-1))</f>
        <v/>
      </c>
      <c r="B1794" t="str">
        <f t="shared" ref="B1794:B1857" si="197">IF(F1794="","",MID(F1794,G1794+1,H1794-G1794-1))</f>
        <v/>
      </c>
      <c r="C1794" t="str">
        <f t="shared" ref="C1794:C1857" si="198">IF(F1794="","",MID(F1794,H1794+1,I1794-H1794-1))</f>
        <v/>
      </c>
      <c r="D1794" t="str">
        <f t="shared" ref="D1794:D1857" si="199">IF(F1794="","",MID(F1794,I1794+1,999))</f>
        <v/>
      </c>
      <c r="E1794" t="str">
        <f>IF(F1794="","",IF(COUNTIF($F$2:F1794,F1794)&gt;1,"",SUMIFS(tbl_input[필요수량],tbl_input[집계키_센터],F1794)))</f>
        <v/>
      </c>
      <c r="F1794" t="str">
        <f>IFERROR(INDEX(tbl_input[집계키_센터],ROW()-1),"")</f>
        <v/>
      </c>
      <c r="G1794" t="str">
        <f t="shared" ref="G1794:G1857" si="200">IF(F1794="","",FIND("♦",F1794))</f>
        <v/>
      </c>
      <c r="H1794" t="str">
        <f t="shared" ref="H1794:H1857" si="201">IF(F1794="","",FIND("♦",F1794,G1794+1))</f>
        <v/>
      </c>
      <c r="I1794" t="str">
        <f t="shared" ref="I1794:I1857" si="202">IF(F1794="","",FIND("♦",F1794,H1794+1))</f>
        <v/>
      </c>
    </row>
    <row r="1795" spans="1:9" x14ac:dyDescent="0.4">
      <c r="A1795" t="str">
        <f t="shared" si="196"/>
        <v/>
      </c>
      <c r="B1795" t="str">
        <f t="shared" si="197"/>
        <v/>
      </c>
      <c r="C1795" t="str">
        <f t="shared" si="198"/>
        <v/>
      </c>
      <c r="D1795" t="str">
        <f t="shared" si="199"/>
        <v/>
      </c>
      <c r="E1795" t="str">
        <f>IF(F1795="","",IF(COUNTIF($F$2:F1795,F1795)&gt;1,"",SUMIFS(tbl_input[필요수량],tbl_input[집계키_센터],F1795)))</f>
        <v/>
      </c>
      <c r="F1795" t="str">
        <f>IFERROR(INDEX(tbl_input[집계키_센터],ROW()-1),"")</f>
        <v/>
      </c>
      <c r="G1795" t="str">
        <f t="shared" si="200"/>
        <v/>
      </c>
      <c r="H1795" t="str">
        <f t="shared" si="201"/>
        <v/>
      </c>
      <c r="I1795" t="str">
        <f t="shared" si="202"/>
        <v/>
      </c>
    </row>
    <row r="1796" spans="1:9" x14ac:dyDescent="0.4">
      <c r="A1796" t="str">
        <f t="shared" si="196"/>
        <v/>
      </c>
      <c r="B1796" t="str">
        <f t="shared" si="197"/>
        <v/>
      </c>
      <c r="C1796" t="str">
        <f t="shared" si="198"/>
        <v/>
      </c>
      <c r="D1796" t="str">
        <f t="shared" si="199"/>
        <v/>
      </c>
      <c r="E1796" t="str">
        <f>IF(F1796="","",IF(COUNTIF($F$2:F1796,F1796)&gt;1,"",SUMIFS(tbl_input[필요수량],tbl_input[집계키_센터],F1796)))</f>
        <v/>
      </c>
      <c r="F1796" t="str">
        <f>IFERROR(INDEX(tbl_input[집계키_센터],ROW()-1),"")</f>
        <v/>
      </c>
      <c r="G1796" t="str">
        <f t="shared" si="200"/>
        <v/>
      </c>
      <c r="H1796" t="str">
        <f t="shared" si="201"/>
        <v/>
      </c>
      <c r="I1796" t="str">
        <f t="shared" si="202"/>
        <v/>
      </c>
    </row>
    <row r="1797" spans="1:9" x14ac:dyDescent="0.4">
      <c r="A1797" t="str">
        <f t="shared" si="196"/>
        <v/>
      </c>
      <c r="B1797" t="str">
        <f t="shared" si="197"/>
        <v/>
      </c>
      <c r="C1797" t="str">
        <f t="shared" si="198"/>
        <v/>
      </c>
      <c r="D1797" t="str">
        <f t="shared" si="199"/>
        <v/>
      </c>
      <c r="E1797" t="str">
        <f>IF(F1797="","",IF(COUNTIF($F$2:F1797,F1797)&gt;1,"",SUMIFS(tbl_input[필요수량],tbl_input[집계키_센터],F1797)))</f>
        <v/>
      </c>
      <c r="F1797" t="str">
        <f>IFERROR(INDEX(tbl_input[집계키_센터],ROW()-1),"")</f>
        <v/>
      </c>
      <c r="G1797" t="str">
        <f t="shared" si="200"/>
        <v/>
      </c>
      <c r="H1797" t="str">
        <f t="shared" si="201"/>
        <v/>
      </c>
      <c r="I1797" t="str">
        <f t="shared" si="202"/>
        <v/>
      </c>
    </row>
    <row r="1798" spans="1:9" x14ac:dyDescent="0.4">
      <c r="A1798" t="str">
        <f t="shared" si="196"/>
        <v/>
      </c>
      <c r="B1798" t="str">
        <f t="shared" si="197"/>
        <v/>
      </c>
      <c r="C1798" t="str">
        <f t="shared" si="198"/>
        <v/>
      </c>
      <c r="D1798" t="str">
        <f t="shared" si="199"/>
        <v/>
      </c>
      <c r="E1798" t="str">
        <f>IF(F1798="","",IF(COUNTIF($F$2:F1798,F1798)&gt;1,"",SUMIFS(tbl_input[필요수량],tbl_input[집계키_센터],F1798)))</f>
        <v/>
      </c>
      <c r="F1798" t="str">
        <f>IFERROR(INDEX(tbl_input[집계키_센터],ROW()-1),"")</f>
        <v/>
      </c>
      <c r="G1798" t="str">
        <f t="shared" si="200"/>
        <v/>
      </c>
      <c r="H1798" t="str">
        <f t="shared" si="201"/>
        <v/>
      </c>
      <c r="I1798" t="str">
        <f t="shared" si="202"/>
        <v/>
      </c>
    </row>
    <row r="1799" spans="1:9" x14ac:dyDescent="0.4">
      <c r="A1799" t="str">
        <f t="shared" si="196"/>
        <v/>
      </c>
      <c r="B1799" t="str">
        <f t="shared" si="197"/>
        <v/>
      </c>
      <c r="C1799" t="str">
        <f t="shared" si="198"/>
        <v/>
      </c>
      <c r="D1799" t="str">
        <f t="shared" si="199"/>
        <v/>
      </c>
      <c r="E1799" t="str">
        <f>IF(F1799="","",IF(COUNTIF($F$2:F1799,F1799)&gt;1,"",SUMIFS(tbl_input[필요수량],tbl_input[집계키_센터],F1799)))</f>
        <v/>
      </c>
      <c r="F1799" t="str">
        <f>IFERROR(INDEX(tbl_input[집계키_센터],ROW()-1),"")</f>
        <v/>
      </c>
      <c r="G1799" t="str">
        <f t="shared" si="200"/>
        <v/>
      </c>
      <c r="H1799" t="str">
        <f t="shared" si="201"/>
        <v/>
      </c>
      <c r="I1799" t="str">
        <f t="shared" si="202"/>
        <v/>
      </c>
    </row>
    <row r="1800" spans="1:9" x14ac:dyDescent="0.4">
      <c r="A1800" t="str">
        <f t="shared" si="196"/>
        <v/>
      </c>
      <c r="B1800" t="str">
        <f t="shared" si="197"/>
        <v/>
      </c>
      <c r="C1800" t="str">
        <f t="shared" si="198"/>
        <v/>
      </c>
      <c r="D1800" t="str">
        <f t="shared" si="199"/>
        <v/>
      </c>
      <c r="E1800" t="str">
        <f>IF(F1800="","",IF(COUNTIF($F$2:F1800,F1800)&gt;1,"",SUMIFS(tbl_input[필요수량],tbl_input[집계키_센터],F1800)))</f>
        <v/>
      </c>
      <c r="F1800" t="str">
        <f>IFERROR(INDEX(tbl_input[집계키_센터],ROW()-1),"")</f>
        <v/>
      </c>
      <c r="G1800" t="str">
        <f t="shared" si="200"/>
        <v/>
      </c>
      <c r="H1800" t="str">
        <f t="shared" si="201"/>
        <v/>
      </c>
      <c r="I1800" t="str">
        <f t="shared" si="202"/>
        <v/>
      </c>
    </row>
    <row r="1801" spans="1:9" x14ac:dyDescent="0.4">
      <c r="A1801" t="str">
        <f t="shared" si="196"/>
        <v/>
      </c>
      <c r="B1801" t="str">
        <f t="shared" si="197"/>
        <v/>
      </c>
      <c r="C1801" t="str">
        <f t="shared" si="198"/>
        <v/>
      </c>
      <c r="D1801" t="str">
        <f t="shared" si="199"/>
        <v/>
      </c>
      <c r="E1801" t="str">
        <f>IF(F1801="","",IF(COUNTIF($F$2:F1801,F1801)&gt;1,"",SUMIFS(tbl_input[필요수량],tbl_input[집계키_센터],F1801)))</f>
        <v/>
      </c>
      <c r="F1801" t="str">
        <f>IFERROR(INDEX(tbl_input[집계키_센터],ROW()-1),"")</f>
        <v/>
      </c>
      <c r="G1801" t="str">
        <f t="shared" si="200"/>
        <v/>
      </c>
      <c r="H1801" t="str">
        <f t="shared" si="201"/>
        <v/>
      </c>
      <c r="I1801" t="str">
        <f t="shared" si="202"/>
        <v/>
      </c>
    </row>
    <row r="1802" spans="1:9" x14ac:dyDescent="0.4">
      <c r="A1802" t="str">
        <f t="shared" si="196"/>
        <v/>
      </c>
      <c r="B1802" t="str">
        <f t="shared" si="197"/>
        <v/>
      </c>
      <c r="C1802" t="str">
        <f t="shared" si="198"/>
        <v/>
      </c>
      <c r="D1802" t="str">
        <f t="shared" si="199"/>
        <v/>
      </c>
      <c r="E1802" t="str">
        <f>IF(F1802="","",IF(COUNTIF($F$2:F1802,F1802)&gt;1,"",SUMIFS(tbl_input[필요수량],tbl_input[집계키_센터],F1802)))</f>
        <v/>
      </c>
      <c r="F1802" t="str">
        <f>IFERROR(INDEX(tbl_input[집계키_센터],ROW()-1),"")</f>
        <v/>
      </c>
      <c r="G1802" t="str">
        <f t="shared" si="200"/>
        <v/>
      </c>
      <c r="H1802" t="str">
        <f t="shared" si="201"/>
        <v/>
      </c>
      <c r="I1802" t="str">
        <f t="shared" si="202"/>
        <v/>
      </c>
    </row>
    <row r="1803" spans="1:9" x14ac:dyDescent="0.4">
      <c r="A1803" t="str">
        <f t="shared" si="196"/>
        <v/>
      </c>
      <c r="B1803" t="str">
        <f t="shared" si="197"/>
        <v/>
      </c>
      <c r="C1803" t="str">
        <f t="shared" si="198"/>
        <v/>
      </c>
      <c r="D1803" t="str">
        <f t="shared" si="199"/>
        <v/>
      </c>
      <c r="E1803" t="str">
        <f>IF(F1803="","",IF(COUNTIF($F$2:F1803,F1803)&gt;1,"",SUMIFS(tbl_input[필요수량],tbl_input[집계키_센터],F1803)))</f>
        <v/>
      </c>
      <c r="F1803" t="str">
        <f>IFERROR(INDEX(tbl_input[집계키_센터],ROW()-1),"")</f>
        <v/>
      </c>
      <c r="G1803" t="str">
        <f t="shared" si="200"/>
        <v/>
      </c>
      <c r="H1803" t="str">
        <f t="shared" si="201"/>
        <v/>
      </c>
      <c r="I1803" t="str">
        <f t="shared" si="202"/>
        <v/>
      </c>
    </row>
    <row r="1804" spans="1:9" x14ac:dyDescent="0.4">
      <c r="A1804" t="str">
        <f t="shared" si="196"/>
        <v/>
      </c>
      <c r="B1804" t="str">
        <f t="shared" si="197"/>
        <v/>
      </c>
      <c r="C1804" t="str">
        <f t="shared" si="198"/>
        <v/>
      </c>
      <c r="D1804" t="str">
        <f t="shared" si="199"/>
        <v/>
      </c>
      <c r="E1804" t="str">
        <f>IF(F1804="","",IF(COUNTIF($F$2:F1804,F1804)&gt;1,"",SUMIFS(tbl_input[필요수량],tbl_input[집계키_센터],F1804)))</f>
        <v/>
      </c>
      <c r="F1804" t="str">
        <f>IFERROR(INDEX(tbl_input[집계키_센터],ROW()-1),"")</f>
        <v/>
      </c>
      <c r="G1804" t="str">
        <f t="shared" si="200"/>
        <v/>
      </c>
      <c r="H1804" t="str">
        <f t="shared" si="201"/>
        <v/>
      </c>
      <c r="I1804" t="str">
        <f t="shared" si="202"/>
        <v/>
      </c>
    </row>
    <row r="1805" spans="1:9" x14ac:dyDescent="0.4">
      <c r="A1805" t="str">
        <f t="shared" si="196"/>
        <v/>
      </c>
      <c r="B1805" t="str">
        <f t="shared" si="197"/>
        <v/>
      </c>
      <c r="C1805" t="str">
        <f t="shared" si="198"/>
        <v/>
      </c>
      <c r="D1805" t="str">
        <f t="shared" si="199"/>
        <v/>
      </c>
      <c r="E1805" t="str">
        <f>IF(F1805="","",IF(COUNTIF($F$2:F1805,F1805)&gt;1,"",SUMIFS(tbl_input[필요수량],tbl_input[집계키_센터],F1805)))</f>
        <v/>
      </c>
      <c r="F1805" t="str">
        <f>IFERROR(INDEX(tbl_input[집계키_센터],ROW()-1),"")</f>
        <v/>
      </c>
      <c r="G1805" t="str">
        <f t="shared" si="200"/>
        <v/>
      </c>
      <c r="H1805" t="str">
        <f t="shared" si="201"/>
        <v/>
      </c>
      <c r="I1805" t="str">
        <f t="shared" si="202"/>
        <v/>
      </c>
    </row>
    <row r="1806" spans="1:9" x14ac:dyDescent="0.4">
      <c r="A1806" t="str">
        <f t="shared" si="196"/>
        <v/>
      </c>
      <c r="B1806" t="str">
        <f t="shared" si="197"/>
        <v/>
      </c>
      <c r="C1806" t="str">
        <f t="shared" si="198"/>
        <v/>
      </c>
      <c r="D1806" t="str">
        <f t="shared" si="199"/>
        <v/>
      </c>
      <c r="E1806" t="str">
        <f>IF(F1806="","",IF(COUNTIF($F$2:F1806,F1806)&gt;1,"",SUMIFS(tbl_input[필요수량],tbl_input[집계키_센터],F1806)))</f>
        <v/>
      </c>
      <c r="F1806" t="str">
        <f>IFERROR(INDEX(tbl_input[집계키_센터],ROW()-1),"")</f>
        <v/>
      </c>
      <c r="G1806" t="str">
        <f t="shared" si="200"/>
        <v/>
      </c>
      <c r="H1806" t="str">
        <f t="shared" si="201"/>
        <v/>
      </c>
      <c r="I1806" t="str">
        <f t="shared" si="202"/>
        <v/>
      </c>
    </row>
    <row r="1807" spans="1:9" x14ac:dyDescent="0.4">
      <c r="A1807" t="str">
        <f t="shared" si="196"/>
        <v/>
      </c>
      <c r="B1807" t="str">
        <f t="shared" si="197"/>
        <v/>
      </c>
      <c r="C1807" t="str">
        <f t="shared" si="198"/>
        <v/>
      </c>
      <c r="D1807" t="str">
        <f t="shared" si="199"/>
        <v/>
      </c>
      <c r="E1807" t="str">
        <f>IF(F1807="","",IF(COUNTIF($F$2:F1807,F1807)&gt;1,"",SUMIFS(tbl_input[필요수량],tbl_input[집계키_센터],F1807)))</f>
        <v/>
      </c>
      <c r="F1807" t="str">
        <f>IFERROR(INDEX(tbl_input[집계키_센터],ROW()-1),"")</f>
        <v/>
      </c>
      <c r="G1807" t="str">
        <f t="shared" si="200"/>
        <v/>
      </c>
      <c r="H1807" t="str">
        <f t="shared" si="201"/>
        <v/>
      </c>
      <c r="I1807" t="str">
        <f t="shared" si="202"/>
        <v/>
      </c>
    </row>
    <row r="1808" spans="1:9" x14ac:dyDescent="0.4">
      <c r="A1808" t="str">
        <f t="shared" si="196"/>
        <v/>
      </c>
      <c r="B1808" t="str">
        <f t="shared" si="197"/>
        <v/>
      </c>
      <c r="C1808" t="str">
        <f t="shared" si="198"/>
        <v/>
      </c>
      <c r="D1808" t="str">
        <f t="shared" si="199"/>
        <v/>
      </c>
      <c r="E1808" t="str">
        <f>IF(F1808="","",IF(COUNTIF($F$2:F1808,F1808)&gt;1,"",SUMIFS(tbl_input[필요수량],tbl_input[집계키_센터],F1808)))</f>
        <v/>
      </c>
      <c r="F1808" t="str">
        <f>IFERROR(INDEX(tbl_input[집계키_센터],ROW()-1),"")</f>
        <v/>
      </c>
      <c r="G1808" t="str">
        <f t="shared" si="200"/>
        <v/>
      </c>
      <c r="H1808" t="str">
        <f t="shared" si="201"/>
        <v/>
      </c>
      <c r="I1808" t="str">
        <f t="shared" si="202"/>
        <v/>
      </c>
    </row>
    <row r="1809" spans="1:9" x14ac:dyDescent="0.4">
      <c r="A1809" t="str">
        <f t="shared" si="196"/>
        <v/>
      </c>
      <c r="B1809" t="str">
        <f t="shared" si="197"/>
        <v/>
      </c>
      <c r="C1809" t="str">
        <f t="shared" si="198"/>
        <v/>
      </c>
      <c r="D1809" t="str">
        <f t="shared" si="199"/>
        <v/>
      </c>
      <c r="E1809" t="str">
        <f>IF(F1809="","",IF(COUNTIF($F$2:F1809,F1809)&gt;1,"",SUMIFS(tbl_input[필요수량],tbl_input[집계키_센터],F1809)))</f>
        <v/>
      </c>
      <c r="F1809" t="str">
        <f>IFERROR(INDEX(tbl_input[집계키_센터],ROW()-1),"")</f>
        <v/>
      </c>
      <c r="G1809" t="str">
        <f t="shared" si="200"/>
        <v/>
      </c>
      <c r="H1809" t="str">
        <f t="shared" si="201"/>
        <v/>
      </c>
      <c r="I1809" t="str">
        <f t="shared" si="202"/>
        <v/>
      </c>
    </row>
    <row r="1810" spans="1:9" x14ac:dyDescent="0.4">
      <c r="A1810" t="str">
        <f t="shared" si="196"/>
        <v/>
      </c>
      <c r="B1810" t="str">
        <f t="shared" si="197"/>
        <v/>
      </c>
      <c r="C1810" t="str">
        <f t="shared" si="198"/>
        <v/>
      </c>
      <c r="D1810" t="str">
        <f t="shared" si="199"/>
        <v/>
      </c>
      <c r="E1810" t="str">
        <f>IF(F1810="","",IF(COUNTIF($F$2:F1810,F1810)&gt;1,"",SUMIFS(tbl_input[필요수량],tbl_input[집계키_센터],F1810)))</f>
        <v/>
      </c>
      <c r="F1810" t="str">
        <f>IFERROR(INDEX(tbl_input[집계키_센터],ROW()-1),"")</f>
        <v/>
      </c>
      <c r="G1810" t="str">
        <f t="shared" si="200"/>
        <v/>
      </c>
      <c r="H1810" t="str">
        <f t="shared" si="201"/>
        <v/>
      </c>
      <c r="I1810" t="str">
        <f t="shared" si="202"/>
        <v/>
      </c>
    </row>
    <row r="1811" spans="1:9" x14ac:dyDescent="0.4">
      <c r="A1811" t="str">
        <f t="shared" si="196"/>
        <v/>
      </c>
      <c r="B1811" t="str">
        <f t="shared" si="197"/>
        <v/>
      </c>
      <c r="C1811" t="str">
        <f t="shared" si="198"/>
        <v/>
      </c>
      <c r="D1811" t="str">
        <f t="shared" si="199"/>
        <v/>
      </c>
      <c r="E1811" t="str">
        <f>IF(F1811="","",IF(COUNTIF($F$2:F1811,F1811)&gt;1,"",SUMIFS(tbl_input[필요수량],tbl_input[집계키_센터],F1811)))</f>
        <v/>
      </c>
      <c r="F1811" t="str">
        <f>IFERROR(INDEX(tbl_input[집계키_센터],ROW()-1),"")</f>
        <v/>
      </c>
      <c r="G1811" t="str">
        <f t="shared" si="200"/>
        <v/>
      </c>
      <c r="H1811" t="str">
        <f t="shared" si="201"/>
        <v/>
      </c>
      <c r="I1811" t="str">
        <f t="shared" si="202"/>
        <v/>
      </c>
    </row>
    <row r="1812" spans="1:9" x14ac:dyDescent="0.4">
      <c r="A1812" t="str">
        <f t="shared" si="196"/>
        <v/>
      </c>
      <c r="B1812" t="str">
        <f t="shared" si="197"/>
        <v/>
      </c>
      <c r="C1812" t="str">
        <f t="shared" si="198"/>
        <v/>
      </c>
      <c r="D1812" t="str">
        <f t="shared" si="199"/>
        <v/>
      </c>
      <c r="E1812" t="str">
        <f>IF(F1812="","",IF(COUNTIF($F$2:F1812,F1812)&gt;1,"",SUMIFS(tbl_input[필요수량],tbl_input[집계키_센터],F1812)))</f>
        <v/>
      </c>
      <c r="F1812" t="str">
        <f>IFERROR(INDEX(tbl_input[집계키_센터],ROW()-1),"")</f>
        <v/>
      </c>
      <c r="G1812" t="str">
        <f t="shared" si="200"/>
        <v/>
      </c>
      <c r="H1812" t="str">
        <f t="shared" si="201"/>
        <v/>
      </c>
      <c r="I1812" t="str">
        <f t="shared" si="202"/>
        <v/>
      </c>
    </row>
    <row r="1813" spans="1:9" x14ac:dyDescent="0.4">
      <c r="A1813" t="str">
        <f t="shared" si="196"/>
        <v/>
      </c>
      <c r="B1813" t="str">
        <f t="shared" si="197"/>
        <v/>
      </c>
      <c r="C1813" t="str">
        <f t="shared" si="198"/>
        <v/>
      </c>
      <c r="D1813" t="str">
        <f t="shared" si="199"/>
        <v/>
      </c>
      <c r="E1813" t="str">
        <f>IF(F1813="","",IF(COUNTIF($F$2:F1813,F1813)&gt;1,"",SUMIFS(tbl_input[필요수량],tbl_input[집계키_센터],F1813)))</f>
        <v/>
      </c>
      <c r="F1813" t="str">
        <f>IFERROR(INDEX(tbl_input[집계키_센터],ROW()-1),"")</f>
        <v/>
      </c>
      <c r="G1813" t="str">
        <f t="shared" si="200"/>
        <v/>
      </c>
      <c r="H1813" t="str">
        <f t="shared" si="201"/>
        <v/>
      </c>
      <c r="I1813" t="str">
        <f t="shared" si="202"/>
        <v/>
      </c>
    </row>
    <row r="1814" spans="1:9" x14ac:dyDescent="0.4">
      <c r="A1814" t="str">
        <f t="shared" si="196"/>
        <v/>
      </c>
      <c r="B1814" t="str">
        <f t="shared" si="197"/>
        <v/>
      </c>
      <c r="C1814" t="str">
        <f t="shared" si="198"/>
        <v/>
      </c>
      <c r="D1814" t="str">
        <f t="shared" si="199"/>
        <v/>
      </c>
      <c r="E1814" t="str">
        <f>IF(F1814="","",IF(COUNTIF($F$2:F1814,F1814)&gt;1,"",SUMIFS(tbl_input[필요수량],tbl_input[집계키_센터],F1814)))</f>
        <v/>
      </c>
      <c r="F1814" t="str">
        <f>IFERROR(INDEX(tbl_input[집계키_센터],ROW()-1),"")</f>
        <v/>
      </c>
      <c r="G1814" t="str">
        <f t="shared" si="200"/>
        <v/>
      </c>
      <c r="H1814" t="str">
        <f t="shared" si="201"/>
        <v/>
      </c>
      <c r="I1814" t="str">
        <f t="shared" si="202"/>
        <v/>
      </c>
    </row>
    <row r="1815" spans="1:9" x14ac:dyDescent="0.4">
      <c r="A1815" t="str">
        <f t="shared" si="196"/>
        <v/>
      </c>
      <c r="B1815" t="str">
        <f t="shared" si="197"/>
        <v/>
      </c>
      <c r="C1815" t="str">
        <f t="shared" si="198"/>
        <v/>
      </c>
      <c r="D1815" t="str">
        <f t="shared" si="199"/>
        <v/>
      </c>
      <c r="E1815" t="str">
        <f>IF(F1815="","",IF(COUNTIF($F$2:F1815,F1815)&gt;1,"",SUMIFS(tbl_input[필요수량],tbl_input[집계키_센터],F1815)))</f>
        <v/>
      </c>
      <c r="F1815" t="str">
        <f>IFERROR(INDEX(tbl_input[집계키_센터],ROW()-1),"")</f>
        <v/>
      </c>
      <c r="G1815" t="str">
        <f t="shared" si="200"/>
        <v/>
      </c>
      <c r="H1815" t="str">
        <f t="shared" si="201"/>
        <v/>
      </c>
      <c r="I1815" t="str">
        <f t="shared" si="202"/>
        <v/>
      </c>
    </row>
    <row r="1816" spans="1:9" x14ac:dyDescent="0.4">
      <c r="A1816" t="str">
        <f t="shared" si="196"/>
        <v/>
      </c>
      <c r="B1816" t="str">
        <f t="shared" si="197"/>
        <v/>
      </c>
      <c r="C1816" t="str">
        <f t="shared" si="198"/>
        <v/>
      </c>
      <c r="D1816" t="str">
        <f t="shared" si="199"/>
        <v/>
      </c>
      <c r="E1816" t="str">
        <f>IF(F1816="","",IF(COUNTIF($F$2:F1816,F1816)&gt;1,"",SUMIFS(tbl_input[필요수량],tbl_input[집계키_센터],F1816)))</f>
        <v/>
      </c>
      <c r="F1816" t="str">
        <f>IFERROR(INDEX(tbl_input[집계키_센터],ROW()-1),"")</f>
        <v/>
      </c>
      <c r="G1816" t="str">
        <f t="shared" si="200"/>
        <v/>
      </c>
      <c r="H1816" t="str">
        <f t="shared" si="201"/>
        <v/>
      </c>
      <c r="I1816" t="str">
        <f t="shared" si="202"/>
        <v/>
      </c>
    </row>
    <row r="1817" spans="1:9" x14ac:dyDescent="0.4">
      <c r="A1817" t="str">
        <f t="shared" si="196"/>
        <v/>
      </c>
      <c r="B1817" t="str">
        <f t="shared" si="197"/>
        <v/>
      </c>
      <c r="C1817" t="str">
        <f t="shared" si="198"/>
        <v/>
      </c>
      <c r="D1817" t="str">
        <f t="shared" si="199"/>
        <v/>
      </c>
      <c r="E1817" t="str">
        <f>IF(F1817="","",IF(COUNTIF($F$2:F1817,F1817)&gt;1,"",SUMIFS(tbl_input[필요수량],tbl_input[집계키_센터],F1817)))</f>
        <v/>
      </c>
      <c r="F1817" t="str">
        <f>IFERROR(INDEX(tbl_input[집계키_센터],ROW()-1),"")</f>
        <v/>
      </c>
      <c r="G1817" t="str">
        <f t="shared" si="200"/>
        <v/>
      </c>
      <c r="H1817" t="str">
        <f t="shared" si="201"/>
        <v/>
      </c>
      <c r="I1817" t="str">
        <f t="shared" si="202"/>
        <v/>
      </c>
    </row>
    <row r="1818" spans="1:9" x14ac:dyDescent="0.4">
      <c r="A1818" t="str">
        <f t="shared" si="196"/>
        <v/>
      </c>
      <c r="B1818" t="str">
        <f t="shared" si="197"/>
        <v/>
      </c>
      <c r="C1818" t="str">
        <f t="shared" si="198"/>
        <v/>
      </c>
      <c r="D1818" t="str">
        <f t="shared" si="199"/>
        <v/>
      </c>
      <c r="E1818" t="str">
        <f>IF(F1818="","",IF(COUNTIF($F$2:F1818,F1818)&gt;1,"",SUMIFS(tbl_input[필요수량],tbl_input[집계키_센터],F1818)))</f>
        <v/>
      </c>
      <c r="F1818" t="str">
        <f>IFERROR(INDEX(tbl_input[집계키_센터],ROW()-1),"")</f>
        <v/>
      </c>
      <c r="G1818" t="str">
        <f t="shared" si="200"/>
        <v/>
      </c>
      <c r="H1818" t="str">
        <f t="shared" si="201"/>
        <v/>
      </c>
      <c r="I1818" t="str">
        <f t="shared" si="202"/>
        <v/>
      </c>
    </row>
    <row r="1819" spans="1:9" x14ac:dyDescent="0.4">
      <c r="A1819" t="str">
        <f t="shared" si="196"/>
        <v/>
      </c>
      <c r="B1819" t="str">
        <f t="shared" si="197"/>
        <v/>
      </c>
      <c r="C1819" t="str">
        <f t="shared" si="198"/>
        <v/>
      </c>
      <c r="D1819" t="str">
        <f t="shared" si="199"/>
        <v/>
      </c>
      <c r="E1819" t="str">
        <f>IF(F1819="","",IF(COUNTIF($F$2:F1819,F1819)&gt;1,"",SUMIFS(tbl_input[필요수량],tbl_input[집계키_센터],F1819)))</f>
        <v/>
      </c>
      <c r="F1819" t="str">
        <f>IFERROR(INDEX(tbl_input[집계키_센터],ROW()-1),"")</f>
        <v/>
      </c>
      <c r="G1819" t="str">
        <f t="shared" si="200"/>
        <v/>
      </c>
      <c r="H1819" t="str">
        <f t="shared" si="201"/>
        <v/>
      </c>
      <c r="I1819" t="str">
        <f t="shared" si="202"/>
        <v/>
      </c>
    </row>
    <row r="1820" spans="1:9" x14ac:dyDescent="0.4">
      <c r="A1820" t="str">
        <f t="shared" si="196"/>
        <v/>
      </c>
      <c r="B1820" t="str">
        <f t="shared" si="197"/>
        <v/>
      </c>
      <c r="C1820" t="str">
        <f t="shared" si="198"/>
        <v/>
      </c>
      <c r="D1820" t="str">
        <f t="shared" si="199"/>
        <v/>
      </c>
      <c r="E1820" t="str">
        <f>IF(F1820="","",IF(COUNTIF($F$2:F1820,F1820)&gt;1,"",SUMIFS(tbl_input[필요수량],tbl_input[집계키_센터],F1820)))</f>
        <v/>
      </c>
      <c r="F1820" t="str">
        <f>IFERROR(INDEX(tbl_input[집계키_센터],ROW()-1),"")</f>
        <v/>
      </c>
      <c r="G1820" t="str">
        <f t="shared" si="200"/>
        <v/>
      </c>
      <c r="H1820" t="str">
        <f t="shared" si="201"/>
        <v/>
      </c>
      <c r="I1820" t="str">
        <f t="shared" si="202"/>
        <v/>
      </c>
    </row>
    <row r="1821" spans="1:9" x14ac:dyDescent="0.4">
      <c r="A1821" t="str">
        <f t="shared" si="196"/>
        <v/>
      </c>
      <c r="B1821" t="str">
        <f t="shared" si="197"/>
        <v/>
      </c>
      <c r="C1821" t="str">
        <f t="shared" si="198"/>
        <v/>
      </c>
      <c r="D1821" t="str">
        <f t="shared" si="199"/>
        <v/>
      </c>
      <c r="E1821" t="str">
        <f>IF(F1821="","",IF(COUNTIF($F$2:F1821,F1821)&gt;1,"",SUMIFS(tbl_input[필요수량],tbl_input[집계키_센터],F1821)))</f>
        <v/>
      </c>
      <c r="F1821" t="str">
        <f>IFERROR(INDEX(tbl_input[집계키_센터],ROW()-1),"")</f>
        <v/>
      </c>
      <c r="G1821" t="str">
        <f t="shared" si="200"/>
        <v/>
      </c>
      <c r="H1821" t="str">
        <f t="shared" si="201"/>
        <v/>
      </c>
      <c r="I1821" t="str">
        <f t="shared" si="202"/>
        <v/>
      </c>
    </row>
    <row r="1822" spans="1:9" x14ac:dyDescent="0.4">
      <c r="A1822" t="str">
        <f t="shared" si="196"/>
        <v/>
      </c>
      <c r="B1822" t="str">
        <f t="shared" si="197"/>
        <v/>
      </c>
      <c r="C1822" t="str">
        <f t="shared" si="198"/>
        <v/>
      </c>
      <c r="D1822" t="str">
        <f t="shared" si="199"/>
        <v/>
      </c>
      <c r="E1822" t="str">
        <f>IF(F1822="","",IF(COUNTIF($F$2:F1822,F1822)&gt;1,"",SUMIFS(tbl_input[필요수량],tbl_input[집계키_센터],F1822)))</f>
        <v/>
      </c>
      <c r="F1822" t="str">
        <f>IFERROR(INDEX(tbl_input[집계키_센터],ROW()-1),"")</f>
        <v/>
      </c>
      <c r="G1822" t="str">
        <f t="shared" si="200"/>
        <v/>
      </c>
      <c r="H1822" t="str">
        <f t="shared" si="201"/>
        <v/>
      </c>
      <c r="I1822" t="str">
        <f t="shared" si="202"/>
        <v/>
      </c>
    </row>
    <row r="1823" spans="1:9" x14ac:dyDescent="0.4">
      <c r="A1823" t="str">
        <f t="shared" si="196"/>
        <v/>
      </c>
      <c r="B1823" t="str">
        <f t="shared" si="197"/>
        <v/>
      </c>
      <c r="C1823" t="str">
        <f t="shared" si="198"/>
        <v/>
      </c>
      <c r="D1823" t="str">
        <f t="shared" si="199"/>
        <v/>
      </c>
      <c r="E1823" t="str">
        <f>IF(F1823="","",IF(COUNTIF($F$2:F1823,F1823)&gt;1,"",SUMIFS(tbl_input[필요수량],tbl_input[집계키_센터],F1823)))</f>
        <v/>
      </c>
      <c r="F1823" t="str">
        <f>IFERROR(INDEX(tbl_input[집계키_센터],ROW()-1),"")</f>
        <v/>
      </c>
      <c r="G1823" t="str">
        <f t="shared" si="200"/>
        <v/>
      </c>
      <c r="H1823" t="str">
        <f t="shared" si="201"/>
        <v/>
      </c>
      <c r="I1823" t="str">
        <f t="shared" si="202"/>
        <v/>
      </c>
    </row>
    <row r="1824" spans="1:9" x14ac:dyDescent="0.4">
      <c r="A1824" t="str">
        <f t="shared" si="196"/>
        <v/>
      </c>
      <c r="B1824" t="str">
        <f t="shared" si="197"/>
        <v/>
      </c>
      <c r="C1824" t="str">
        <f t="shared" si="198"/>
        <v/>
      </c>
      <c r="D1824" t="str">
        <f t="shared" si="199"/>
        <v/>
      </c>
      <c r="E1824" t="str">
        <f>IF(F1824="","",IF(COUNTIF($F$2:F1824,F1824)&gt;1,"",SUMIFS(tbl_input[필요수량],tbl_input[집계키_센터],F1824)))</f>
        <v/>
      </c>
      <c r="F1824" t="str">
        <f>IFERROR(INDEX(tbl_input[집계키_센터],ROW()-1),"")</f>
        <v/>
      </c>
      <c r="G1824" t="str">
        <f t="shared" si="200"/>
        <v/>
      </c>
      <c r="H1824" t="str">
        <f t="shared" si="201"/>
        <v/>
      </c>
      <c r="I1824" t="str">
        <f t="shared" si="202"/>
        <v/>
      </c>
    </row>
    <row r="1825" spans="1:9" x14ac:dyDescent="0.4">
      <c r="A1825" t="str">
        <f t="shared" si="196"/>
        <v/>
      </c>
      <c r="B1825" t="str">
        <f t="shared" si="197"/>
        <v/>
      </c>
      <c r="C1825" t="str">
        <f t="shared" si="198"/>
        <v/>
      </c>
      <c r="D1825" t="str">
        <f t="shared" si="199"/>
        <v/>
      </c>
      <c r="E1825" t="str">
        <f>IF(F1825="","",IF(COUNTIF($F$2:F1825,F1825)&gt;1,"",SUMIFS(tbl_input[필요수량],tbl_input[집계키_센터],F1825)))</f>
        <v/>
      </c>
      <c r="F1825" t="str">
        <f>IFERROR(INDEX(tbl_input[집계키_센터],ROW()-1),"")</f>
        <v/>
      </c>
      <c r="G1825" t="str">
        <f t="shared" si="200"/>
        <v/>
      </c>
      <c r="H1825" t="str">
        <f t="shared" si="201"/>
        <v/>
      </c>
      <c r="I1825" t="str">
        <f t="shared" si="202"/>
        <v/>
      </c>
    </row>
    <row r="1826" spans="1:9" x14ac:dyDescent="0.4">
      <c r="A1826" t="str">
        <f t="shared" si="196"/>
        <v/>
      </c>
      <c r="B1826" t="str">
        <f t="shared" si="197"/>
        <v/>
      </c>
      <c r="C1826" t="str">
        <f t="shared" si="198"/>
        <v/>
      </c>
      <c r="D1826" t="str">
        <f t="shared" si="199"/>
        <v/>
      </c>
      <c r="E1826" t="str">
        <f>IF(F1826="","",IF(COUNTIF($F$2:F1826,F1826)&gt;1,"",SUMIFS(tbl_input[필요수량],tbl_input[집계키_센터],F1826)))</f>
        <v/>
      </c>
      <c r="F1826" t="str">
        <f>IFERROR(INDEX(tbl_input[집계키_센터],ROW()-1),"")</f>
        <v/>
      </c>
      <c r="G1826" t="str">
        <f t="shared" si="200"/>
        <v/>
      </c>
      <c r="H1826" t="str">
        <f t="shared" si="201"/>
        <v/>
      </c>
      <c r="I1826" t="str">
        <f t="shared" si="202"/>
        <v/>
      </c>
    </row>
    <row r="1827" spans="1:9" x14ac:dyDescent="0.4">
      <c r="A1827" t="str">
        <f t="shared" si="196"/>
        <v/>
      </c>
      <c r="B1827" t="str">
        <f t="shared" si="197"/>
        <v/>
      </c>
      <c r="C1827" t="str">
        <f t="shared" si="198"/>
        <v/>
      </c>
      <c r="D1827" t="str">
        <f t="shared" si="199"/>
        <v/>
      </c>
      <c r="E1827" t="str">
        <f>IF(F1827="","",IF(COUNTIF($F$2:F1827,F1827)&gt;1,"",SUMIFS(tbl_input[필요수량],tbl_input[집계키_센터],F1827)))</f>
        <v/>
      </c>
      <c r="F1827" t="str">
        <f>IFERROR(INDEX(tbl_input[집계키_센터],ROW()-1),"")</f>
        <v/>
      </c>
      <c r="G1827" t="str">
        <f t="shared" si="200"/>
        <v/>
      </c>
      <c r="H1827" t="str">
        <f t="shared" si="201"/>
        <v/>
      </c>
      <c r="I1827" t="str">
        <f t="shared" si="202"/>
        <v/>
      </c>
    </row>
    <row r="1828" spans="1:9" x14ac:dyDescent="0.4">
      <c r="A1828" t="str">
        <f t="shared" si="196"/>
        <v/>
      </c>
      <c r="B1828" t="str">
        <f t="shared" si="197"/>
        <v/>
      </c>
      <c r="C1828" t="str">
        <f t="shared" si="198"/>
        <v/>
      </c>
      <c r="D1828" t="str">
        <f t="shared" si="199"/>
        <v/>
      </c>
      <c r="E1828" t="str">
        <f>IF(F1828="","",IF(COUNTIF($F$2:F1828,F1828)&gt;1,"",SUMIFS(tbl_input[필요수량],tbl_input[집계키_센터],F1828)))</f>
        <v/>
      </c>
      <c r="F1828" t="str">
        <f>IFERROR(INDEX(tbl_input[집계키_센터],ROW()-1),"")</f>
        <v/>
      </c>
      <c r="G1828" t="str">
        <f t="shared" si="200"/>
        <v/>
      </c>
      <c r="H1828" t="str">
        <f t="shared" si="201"/>
        <v/>
      </c>
      <c r="I1828" t="str">
        <f t="shared" si="202"/>
        <v/>
      </c>
    </row>
    <row r="1829" spans="1:9" x14ac:dyDescent="0.4">
      <c r="A1829" t="str">
        <f t="shared" si="196"/>
        <v/>
      </c>
      <c r="B1829" t="str">
        <f t="shared" si="197"/>
        <v/>
      </c>
      <c r="C1829" t="str">
        <f t="shared" si="198"/>
        <v/>
      </c>
      <c r="D1829" t="str">
        <f t="shared" si="199"/>
        <v/>
      </c>
      <c r="E1829" t="str">
        <f>IF(F1829="","",IF(COUNTIF($F$2:F1829,F1829)&gt;1,"",SUMIFS(tbl_input[필요수량],tbl_input[집계키_센터],F1829)))</f>
        <v/>
      </c>
      <c r="F1829" t="str">
        <f>IFERROR(INDEX(tbl_input[집계키_센터],ROW()-1),"")</f>
        <v/>
      </c>
      <c r="G1829" t="str">
        <f t="shared" si="200"/>
        <v/>
      </c>
      <c r="H1829" t="str">
        <f t="shared" si="201"/>
        <v/>
      </c>
      <c r="I1829" t="str">
        <f t="shared" si="202"/>
        <v/>
      </c>
    </row>
    <row r="1830" spans="1:9" x14ac:dyDescent="0.4">
      <c r="A1830" t="str">
        <f t="shared" si="196"/>
        <v/>
      </c>
      <c r="B1830" t="str">
        <f t="shared" si="197"/>
        <v/>
      </c>
      <c r="C1830" t="str">
        <f t="shared" si="198"/>
        <v/>
      </c>
      <c r="D1830" t="str">
        <f t="shared" si="199"/>
        <v/>
      </c>
      <c r="E1830" t="str">
        <f>IF(F1830="","",IF(COUNTIF($F$2:F1830,F1830)&gt;1,"",SUMIFS(tbl_input[필요수량],tbl_input[집계키_센터],F1830)))</f>
        <v/>
      </c>
      <c r="F1830" t="str">
        <f>IFERROR(INDEX(tbl_input[집계키_센터],ROW()-1),"")</f>
        <v/>
      </c>
      <c r="G1830" t="str">
        <f t="shared" si="200"/>
        <v/>
      </c>
      <c r="H1830" t="str">
        <f t="shared" si="201"/>
        <v/>
      </c>
      <c r="I1830" t="str">
        <f t="shared" si="202"/>
        <v/>
      </c>
    </row>
    <row r="1831" spans="1:9" x14ac:dyDescent="0.4">
      <c r="A1831" t="str">
        <f t="shared" si="196"/>
        <v/>
      </c>
      <c r="B1831" t="str">
        <f t="shared" si="197"/>
        <v/>
      </c>
      <c r="C1831" t="str">
        <f t="shared" si="198"/>
        <v/>
      </c>
      <c r="D1831" t="str">
        <f t="shared" si="199"/>
        <v/>
      </c>
      <c r="E1831" t="str">
        <f>IF(F1831="","",IF(COUNTIF($F$2:F1831,F1831)&gt;1,"",SUMIFS(tbl_input[필요수량],tbl_input[집계키_센터],F1831)))</f>
        <v/>
      </c>
      <c r="F1831" t="str">
        <f>IFERROR(INDEX(tbl_input[집계키_센터],ROW()-1),"")</f>
        <v/>
      </c>
      <c r="G1831" t="str">
        <f t="shared" si="200"/>
        <v/>
      </c>
      <c r="H1831" t="str">
        <f t="shared" si="201"/>
        <v/>
      </c>
      <c r="I1831" t="str">
        <f t="shared" si="202"/>
        <v/>
      </c>
    </row>
    <row r="1832" spans="1:9" x14ac:dyDescent="0.4">
      <c r="A1832" t="str">
        <f t="shared" si="196"/>
        <v/>
      </c>
      <c r="B1832" t="str">
        <f t="shared" si="197"/>
        <v/>
      </c>
      <c r="C1832" t="str">
        <f t="shared" si="198"/>
        <v/>
      </c>
      <c r="D1832" t="str">
        <f t="shared" si="199"/>
        <v/>
      </c>
      <c r="E1832" t="str">
        <f>IF(F1832="","",IF(COUNTIF($F$2:F1832,F1832)&gt;1,"",SUMIFS(tbl_input[필요수량],tbl_input[집계키_센터],F1832)))</f>
        <v/>
      </c>
      <c r="F1832" t="str">
        <f>IFERROR(INDEX(tbl_input[집계키_센터],ROW()-1),"")</f>
        <v/>
      </c>
      <c r="G1832" t="str">
        <f t="shared" si="200"/>
        <v/>
      </c>
      <c r="H1832" t="str">
        <f t="shared" si="201"/>
        <v/>
      </c>
      <c r="I1832" t="str">
        <f t="shared" si="202"/>
        <v/>
      </c>
    </row>
    <row r="1833" spans="1:9" x14ac:dyDescent="0.4">
      <c r="A1833" t="str">
        <f t="shared" si="196"/>
        <v/>
      </c>
      <c r="B1833" t="str">
        <f t="shared" si="197"/>
        <v/>
      </c>
      <c r="C1833" t="str">
        <f t="shared" si="198"/>
        <v/>
      </c>
      <c r="D1833" t="str">
        <f t="shared" si="199"/>
        <v/>
      </c>
      <c r="E1833" t="str">
        <f>IF(F1833="","",IF(COUNTIF($F$2:F1833,F1833)&gt;1,"",SUMIFS(tbl_input[필요수량],tbl_input[집계키_센터],F1833)))</f>
        <v/>
      </c>
      <c r="F1833" t="str">
        <f>IFERROR(INDEX(tbl_input[집계키_센터],ROW()-1),"")</f>
        <v/>
      </c>
      <c r="G1833" t="str">
        <f t="shared" si="200"/>
        <v/>
      </c>
      <c r="H1833" t="str">
        <f t="shared" si="201"/>
        <v/>
      </c>
      <c r="I1833" t="str">
        <f t="shared" si="202"/>
        <v/>
      </c>
    </row>
    <row r="1834" spans="1:9" x14ac:dyDescent="0.4">
      <c r="A1834" t="str">
        <f t="shared" si="196"/>
        <v/>
      </c>
      <c r="B1834" t="str">
        <f t="shared" si="197"/>
        <v/>
      </c>
      <c r="C1834" t="str">
        <f t="shared" si="198"/>
        <v/>
      </c>
      <c r="D1834" t="str">
        <f t="shared" si="199"/>
        <v/>
      </c>
      <c r="E1834" t="str">
        <f>IF(F1834="","",IF(COUNTIF($F$2:F1834,F1834)&gt;1,"",SUMIFS(tbl_input[필요수량],tbl_input[집계키_센터],F1834)))</f>
        <v/>
      </c>
      <c r="F1834" t="str">
        <f>IFERROR(INDEX(tbl_input[집계키_센터],ROW()-1),"")</f>
        <v/>
      </c>
      <c r="G1834" t="str">
        <f t="shared" si="200"/>
        <v/>
      </c>
      <c r="H1834" t="str">
        <f t="shared" si="201"/>
        <v/>
      </c>
      <c r="I1834" t="str">
        <f t="shared" si="202"/>
        <v/>
      </c>
    </row>
    <row r="1835" spans="1:9" x14ac:dyDescent="0.4">
      <c r="A1835" t="str">
        <f t="shared" si="196"/>
        <v/>
      </c>
      <c r="B1835" t="str">
        <f t="shared" si="197"/>
        <v/>
      </c>
      <c r="C1835" t="str">
        <f t="shared" si="198"/>
        <v/>
      </c>
      <c r="D1835" t="str">
        <f t="shared" si="199"/>
        <v/>
      </c>
      <c r="E1835" t="str">
        <f>IF(F1835="","",IF(COUNTIF($F$2:F1835,F1835)&gt;1,"",SUMIFS(tbl_input[필요수량],tbl_input[집계키_센터],F1835)))</f>
        <v/>
      </c>
      <c r="F1835" t="str">
        <f>IFERROR(INDEX(tbl_input[집계키_센터],ROW()-1),"")</f>
        <v/>
      </c>
      <c r="G1835" t="str">
        <f t="shared" si="200"/>
        <v/>
      </c>
      <c r="H1835" t="str">
        <f t="shared" si="201"/>
        <v/>
      </c>
      <c r="I1835" t="str">
        <f t="shared" si="202"/>
        <v/>
      </c>
    </row>
    <row r="1836" spans="1:9" x14ac:dyDescent="0.4">
      <c r="A1836" t="str">
        <f t="shared" si="196"/>
        <v/>
      </c>
      <c r="B1836" t="str">
        <f t="shared" si="197"/>
        <v/>
      </c>
      <c r="C1836" t="str">
        <f t="shared" si="198"/>
        <v/>
      </c>
      <c r="D1836" t="str">
        <f t="shared" si="199"/>
        <v/>
      </c>
      <c r="E1836" t="str">
        <f>IF(F1836="","",IF(COUNTIF($F$2:F1836,F1836)&gt;1,"",SUMIFS(tbl_input[필요수량],tbl_input[집계키_센터],F1836)))</f>
        <v/>
      </c>
      <c r="F1836" t="str">
        <f>IFERROR(INDEX(tbl_input[집계키_센터],ROW()-1),"")</f>
        <v/>
      </c>
      <c r="G1836" t="str">
        <f t="shared" si="200"/>
        <v/>
      </c>
      <c r="H1836" t="str">
        <f t="shared" si="201"/>
        <v/>
      </c>
      <c r="I1836" t="str">
        <f t="shared" si="202"/>
        <v/>
      </c>
    </row>
    <row r="1837" spans="1:9" x14ac:dyDescent="0.4">
      <c r="A1837" t="str">
        <f t="shared" si="196"/>
        <v/>
      </c>
      <c r="B1837" t="str">
        <f t="shared" si="197"/>
        <v/>
      </c>
      <c r="C1837" t="str">
        <f t="shared" si="198"/>
        <v/>
      </c>
      <c r="D1837" t="str">
        <f t="shared" si="199"/>
        <v/>
      </c>
      <c r="E1837" t="str">
        <f>IF(F1837="","",IF(COUNTIF($F$2:F1837,F1837)&gt;1,"",SUMIFS(tbl_input[필요수량],tbl_input[집계키_센터],F1837)))</f>
        <v/>
      </c>
      <c r="F1837" t="str">
        <f>IFERROR(INDEX(tbl_input[집계키_센터],ROW()-1),"")</f>
        <v/>
      </c>
      <c r="G1837" t="str">
        <f t="shared" si="200"/>
        <v/>
      </c>
      <c r="H1837" t="str">
        <f t="shared" si="201"/>
        <v/>
      </c>
      <c r="I1837" t="str">
        <f t="shared" si="202"/>
        <v/>
      </c>
    </row>
    <row r="1838" spans="1:9" x14ac:dyDescent="0.4">
      <c r="A1838" t="str">
        <f t="shared" si="196"/>
        <v/>
      </c>
      <c r="B1838" t="str">
        <f t="shared" si="197"/>
        <v/>
      </c>
      <c r="C1838" t="str">
        <f t="shared" si="198"/>
        <v/>
      </c>
      <c r="D1838" t="str">
        <f t="shared" si="199"/>
        <v/>
      </c>
      <c r="E1838" t="str">
        <f>IF(F1838="","",IF(COUNTIF($F$2:F1838,F1838)&gt;1,"",SUMIFS(tbl_input[필요수량],tbl_input[집계키_센터],F1838)))</f>
        <v/>
      </c>
      <c r="F1838" t="str">
        <f>IFERROR(INDEX(tbl_input[집계키_센터],ROW()-1),"")</f>
        <v/>
      </c>
      <c r="G1838" t="str">
        <f t="shared" si="200"/>
        <v/>
      </c>
      <c r="H1838" t="str">
        <f t="shared" si="201"/>
        <v/>
      </c>
      <c r="I1838" t="str">
        <f t="shared" si="202"/>
        <v/>
      </c>
    </row>
    <row r="1839" spans="1:9" x14ac:dyDescent="0.4">
      <c r="A1839" t="str">
        <f t="shared" si="196"/>
        <v/>
      </c>
      <c r="B1839" t="str">
        <f t="shared" si="197"/>
        <v/>
      </c>
      <c r="C1839" t="str">
        <f t="shared" si="198"/>
        <v/>
      </c>
      <c r="D1839" t="str">
        <f t="shared" si="199"/>
        <v/>
      </c>
      <c r="E1839" t="str">
        <f>IF(F1839="","",IF(COUNTIF($F$2:F1839,F1839)&gt;1,"",SUMIFS(tbl_input[필요수량],tbl_input[집계키_센터],F1839)))</f>
        <v/>
      </c>
      <c r="F1839" t="str">
        <f>IFERROR(INDEX(tbl_input[집계키_센터],ROW()-1),"")</f>
        <v/>
      </c>
      <c r="G1839" t="str">
        <f t="shared" si="200"/>
        <v/>
      </c>
      <c r="H1839" t="str">
        <f t="shared" si="201"/>
        <v/>
      </c>
      <c r="I1839" t="str">
        <f t="shared" si="202"/>
        <v/>
      </c>
    </row>
    <row r="1840" spans="1:9" x14ac:dyDescent="0.4">
      <c r="A1840" t="str">
        <f t="shared" si="196"/>
        <v/>
      </c>
      <c r="B1840" t="str">
        <f t="shared" si="197"/>
        <v/>
      </c>
      <c r="C1840" t="str">
        <f t="shared" si="198"/>
        <v/>
      </c>
      <c r="D1840" t="str">
        <f t="shared" si="199"/>
        <v/>
      </c>
      <c r="E1840" t="str">
        <f>IF(F1840="","",IF(COUNTIF($F$2:F1840,F1840)&gt;1,"",SUMIFS(tbl_input[필요수량],tbl_input[집계키_센터],F1840)))</f>
        <v/>
      </c>
      <c r="F1840" t="str">
        <f>IFERROR(INDEX(tbl_input[집계키_센터],ROW()-1),"")</f>
        <v/>
      </c>
      <c r="G1840" t="str">
        <f t="shared" si="200"/>
        <v/>
      </c>
      <c r="H1840" t="str">
        <f t="shared" si="201"/>
        <v/>
      </c>
      <c r="I1840" t="str">
        <f t="shared" si="202"/>
        <v/>
      </c>
    </row>
    <row r="1841" spans="1:9" x14ac:dyDescent="0.4">
      <c r="A1841" t="str">
        <f t="shared" si="196"/>
        <v/>
      </c>
      <c r="B1841" t="str">
        <f t="shared" si="197"/>
        <v/>
      </c>
      <c r="C1841" t="str">
        <f t="shared" si="198"/>
        <v/>
      </c>
      <c r="D1841" t="str">
        <f t="shared" si="199"/>
        <v/>
      </c>
      <c r="E1841" t="str">
        <f>IF(F1841="","",IF(COUNTIF($F$2:F1841,F1841)&gt;1,"",SUMIFS(tbl_input[필요수량],tbl_input[집계키_센터],F1841)))</f>
        <v/>
      </c>
      <c r="F1841" t="str">
        <f>IFERROR(INDEX(tbl_input[집계키_센터],ROW()-1),"")</f>
        <v/>
      </c>
      <c r="G1841" t="str">
        <f t="shared" si="200"/>
        <v/>
      </c>
      <c r="H1841" t="str">
        <f t="shared" si="201"/>
        <v/>
      </c>
      <c r="I1841" t="str">
        <f t="shared" si="202"/>
        <v/>
      </c>
    </row>
    <row r="1842" spans="1:9" x14ac:dyDescent="0.4">
      <c r="A1842" t="str">
        <f t="shared" si="196"/>
        <v/>
      </c>
      <c r="B1842" t="str">
        <f t="shared" si="197"/>
        <v/>
      </c>
      <c r="C1842" t="str">
        <f t="shared" si="198"/>
        <v/>
      </c>
      <c r="D1842" t="str">
        <f t="shared" si="199"/>
        <v/>
      </c>
      <c r="E1842" t="str">
        <f>IF(F1842="","",IF(COUNTIF($F$2:F1842,F1842)&gt;1,"",SUMIFS(tbl_input[필요수량],tbl_input[집계키_센터],F1842)))</f>
        <v/>
      </c>
      <c r="F1842" t="str">
        <f>IFERROR(INDEX(tbl_input[집계키_센터],ROW()-1),"")</f>
        <v/>
      </c>
      <c r="G1842" t="str">
        <f t="shared" si="200"/>
        <v/>
      </c>
      <c r="H1842" t="str">
        <f t="shared" si="201"/>
        <v/>
      </c>
      <c r="I1842" t="str">
        <f t="shared" si="202"/>
        <v/>
      </c>
    </row>
    <row r="1843" spans="1:9" x14ac:dyDescent="0.4">
      <c r="A1843" t="str">
        <f t="shared" si="196"/>
        <v/>
      </c>
      <c r="B1843" t="str">
        <f t="shared" si="197"/>
        <v/>
      </c>
      <c r="C1843" t="str">
        <f t="shared" si="198"/>
        <v/>
      </c>
      <c r="D1843" t="str">
        <f t="shared" si="199"/>
        <v/>
      </c>
      <c r="E1843" t="str">
        <f>IF(F1843="","",IF(COUNTIF($F$2:F1843,F1843)&gt;1,"",SUMIFS(tbl_input[필요수량],tbl_input[집계키_센터],F1843)))</f>
        <v/>
      </c>
      <c r="F1843" t="str">
        <f>IFERROR(INDEX(tbl_input[집계키_센터],ROW()-1),"")</f>
        <v/>
      </c>
      <c r="G1843" t="str">
        <f t="shared" si="200"/>
        <v/>
      </c>
      <c r="H1843" t="str">
        <f t="shared" si="201"/>
        <v/>
      </c>
      <c r="I1843" t="str">
        <f t="shared" si="202"/>
        <v/>
      </c>
    </row>
    <row r="1844" spans="1:9" x14ac:dyDescent="0.4">
      <c r="A1844" t="str">
        <f t="shared" si="196"/>
        <v/>
      </c>
      <c r="B1844" t="str">
        <f t="shared" si="197"/>
        <v/>
      </c>
      <c r="C1844" t="str">
        <f t="shared" si="198"/>
        <v/>
      </c>
      <c r="D1844" t="str">
        <f t="shared" si="199"/>
        <v/>
      </c>
      <c r="E1844" t="str">
        <f>IF(F1844="","",IF(COUNTIF($F$2:F1844,F1844)&gt;1,"",SUMIFS(tbl_input[필요수량],tbl_input[집계키_센터],F1844)))</f>
        <v/>
      </c>
      <c r="F1844" t="str">
        <f>IFERROR(INDEX(tbl_input[집계키_센터],ROW()-1),"")</f>
        <v/>
      </c>
      <c r="G1844" t="str">
        <f t="shared" si="200"/>
        <v/>
      </c>
      <c r="H1844" t="str">
        <f t="shared" si="201"/>
        <v/>
      </c>
      <c r="I1844" t="str">
        <f t="shared" si="202"/>
        <v/>
      </c>
    </row>
    <row r="1845" spans="1:9" x14ac:dyDescent="0.4">
      <c r="A1845" t="str">
        <f t="shared" si="196"/>
        <v/>
      </c>
      <c r="B1845" t="str">
        <f t="shared" si="197"/>
        <v/>
      </c>
      <c r="C1845" t="str">
        <f t="shared" si="198"/>
        <v/>
      </c>
      <c r="D1845" t="str">
        <f t="shared" si="199"/>
        <v/>
      </c>
      <c r="E1845" t="str">
        <f>IF(F1845="","",IF(COUNTIF($F$2:F1845,F1845)&gt;1,"",SUMIFS(tbl_input[필요수량],tbl_input[집계키_센터],F1845)))</f>
        <v/>
      </c>
      <c r="F1845" t="str">
        <f>IFERROR(INDEX(tbl_input[집계키_센터],ROW()-1),"")</f>
        <v/>
      </c>
      <c r="G1845" t="str">
        <f t="shared" si="200"/>
        <v/>
      </c>
      <c r="H1845" t="str">
        <f t="shared" si="201"/>
        <v/>
      </c>
      <c r="I1845" t="str">
        <f t="shared" si="202"/>
        <v/>
      </c>
    </row>
    <row r="1846" spans="1:9" x14ac:dyDescent="0.4">
      <c r="A1846" t="str">
        <f t="shared" si="196"/>
        <v/>
      </c>
      <c r="B1846" t="str">
        <f t="shared" si="197"/>
        <v/>
      </c>
      <c r="C1846" t="str">
        <f t="shared" si="198"/>
        <v/>
      </c>
      <c r="D1846" t="str">
        <f t="shared" si="199"/>
        <v/>
      </c>
      <c r="E1846" t="str">
        <f>IF(F1846="","",IF(COUNTIF($F$2:F1846,F1846)&gt;1,"",SUMIFS(tbl_input[필요수량],tbl_input[집계키_센터],F1846)))</f>
        <v/>
      </c>
      <c r="F1846" t="str">
        <f>IFERROR(INDEX(tbl_input[집계키_센터],ROW()-1),"")</f>
        <v/>
      </c>
      <c r="G1846" t="str">
        <f t="shared" si="200"/>
        <v/>
      </c>
      <c r="H1846" t="str">
        <f t="shared" si="201"/>
        <v/>
      </c>
      <c r="I1846" t="str">
        <f t="shared" si="202"/>
        <v/>
      </c>
    </row>
    <row r="1847" spans="1:9" x14ac:dyDescent="0.4">
      <c r="A1847" t="str">
        <f t="shared" si="196"/>
        <v/>
      </c>
      <c r="B1847" t="str">
        <f t="shared" si="197"/>
        <v/>
      </c>
      <c r="C1847" t="str">
        <f t="shared" si="198"/>
        <v/>
      </c>
      <c r="D1847" t="str">
        <f t="shared" si="199"/>
        <v/>
      </c>
      <c r="E1847" t="str">
        <f>IF(F1847="","",IF(COUNTIF($F$2:F1847,F1847)&gt;1,"",SUMIFS(tbl_input[필요수량],tbl_input[집계키_센터],F1847)))</f>
        <v/>
      </c>
      <c r="F1847" t="str">
        <f>IFERROR(INDEX(tbl_input[집계키_센터],ROW()-1),"")</f>
        <v/>
      </c>
      <c r="G1847" t="str">
        <f t="shared" si="200"/>
        <v/>
      </c>
      <c r="H1847" t="str">
        <f t="shared" si="201"/>
        <v/>
      </c>
      <c r="I1847" t="str">
        <f t="shared" si="202"/>
        <v/>
      </c>
    </row>
    <row r="1848" spans="1:9" x14ac:dyDescent="0.4">
      <c r="A1848" t="str">
        <f t="shared" si="196"/>
        <v/>
      </c>
      <c r="B1848" t="str">
        <f t="shared" si="197"/>
        <v/>
      </c>
      <c r="C1848" t="str">
        <f t="shared" si="198"/>
        <v/>
      </c>
      <c r="D1848" t="str">
        <f t="shared" si="199"/>
        <v/>
      </c>
      <c r="E1848" t="str">
        <f>IF(F1848="","",IF(COUNTIF($F$2:F1848,F1848)&gt;1,"",SUMIFS(tbl_input[필요수량],tbl_input[집계키_센터],F1848)))</f>
        <v/>
      </c>
      <c r="F1848" t="str">
        <f>IFERROR(INDEX(tbl_input[집계키_센터],ROW()-1),"")</f>
        <v/>
      </c>
      <c r="G1848" t="str">
        <f t="shared" si="200"/>
        <v/>
      </c>
      <c r="H1848" t="str">
        <f t="shared" si="201"/>
        <v/>
      </c>
      <c r="I1848" t="str">
        <f t="shared" si="202"/>
        <v/>
      </c>
    </row>
    <row r="1849" spans="1:9" x14ac:dyDescent="0.4">
      <c r="A1849" t="str">
        <f t="shared" si="196"/>
        <v/>
      </c>
      <c r="B1849" t="str">
        <f t="shared" si="197"/>
        <v/>
      </c>
      <c r="C1849" t="str">
        <f t="shared" si="198"/>
        <v/>
      </c>
      <c r="D1849" t="str">
        <f t="shared" si="199"/>
        <v/>
      </c>
      <c r="E1849" t="str">
        <f>IF(F1849="","",IF(COUNTIF($F$2:F1849,F1849)&gt;1,"",SUMIFS(tbl_input[필요수량],tbl_input[집계키_센터],F1849)))</f>
        <v/>
      </c>
      <c r="F1849" t="str">
        <f>IFERROR(INDEX(tbl_input[집계키_센터],ROW()-1),"")</f>
        <v/>
      </c>
      <c r="G1849" t="str">
        <f t="shared" si="200"/>
        <v/>
      </c>
      <c r="H1849" t="str">
        <f t="shared" si="201"/>
        <v/>
      </c>
      <c r="I1849" t="str">
        <f t="shared" si="202"/>
        <v/>
      </c>
    </row>
    <row r="1850" spans="1:9" x14ac:dyDescent="0.4">
      <c r="A1850" t="str">
        <f t="shared" si="196"/>
        <v/>
      </c>
      <c r="B1850" t="str">
        <f t="shared" si="197"/>
        <v/>
      </c>
      <c r="C1850" t="str">
        <f t="shared" si="198"/>
        <v/>
      </c>
      <c r="D1850" t="str">
        <f t="shared" si="199"/>
        <v/>
      </c>
      <c r="E1850" t="str">
        <f>IF(F1850="","",IF(COUNTIF($F$2:F1850,F1850)&gt;1,"",SUMIFS(tbl_input[필요수량],tbl_input[집계키_센터],F1850)))</f>
        <v/>
      </c>
      <c r="F1850" t="str">
        <f>IFERROR(INDEX(tbl_input[집계키_센터],ROW()-1),"")</f>
        <v/>
      </c>
      <c r="G1850" t="str">
        <f t="shared" si="200"/>
        <v/>
      </c>
      <c r="H1850" t="str">
        <f t="shared" si="201"/>
        <v/>
      </c>
      <c r="I1850" t="str">
        <f t="shared" si="202"/>
        <v/>
      </c>
    </row>
    <row r="1851" spans="1:9" x14ac:dyDescent="0.4">
      <c r="A1851" t="str">
        <f t="shared" si="196"/>
        <v/>
      </c>
      <c r="B1851" t="str">
        <f t="shared" si="197"/>
        <v/>
      </c>
      <c r="C1851" t="str">
        <f t="shared" si="198"/>
        <v/>
      </c>
      <c r="D1851" t="str">
        <f t="shared" si="199"/>
        <v/>
      </c>
      <c r="E1851" t="str">
        <f>IF(F1851="","",IF(COUNTIF($F$2:F1851,F1851)&gt;1,"",SUMIFS(tbl_input[필요수량],tbl_input[집계키_센터],F1851)))</f>
        <v/>
      </c>
      <c r="F1851" t="str">
        <f>IFERROR(INDEX(tbl_input[집계키_센터],ROW()-1),"")</f>
        <v/>
      </c>
      <c r="G1851" t="str">
        <f t="shared" si="200"/>
        <v/>
      </c>
      <c r="H1851" t="str">
        <f t="shared" si="201"/>
        <v/>
      </c>
      <c r="I1851" t="str">
        <f t="shared" si="202"/>
        <v/>
      </c>
    </row>
    <row r="1852" spans="1:9" x14ac:dyDescent="0.4">
      <c r="A1852" t="str">
        <f t="shared" si="196"/>
        <v/>
      </c>
      <c r="B1852" t="str">
        <f t="shared" si="197"/>
        <v/>
      </c>
      <c r="C1852" t="str">
        <f t="shared" si="198"/>
        <v/>
      </c>
      <c r="D1852" t="str">
        <f t="shared" si="199"/>
        <v/>
      </c>
      <c r="E1852" t="str">
        <f>IF(F1852="","",IF(COUNTIF($F$2:F1852,F1852)&gt;1,"",SUMIFS(tbl_input[필요수량],tbl_input[집계키_센터],F1852)))</f>
        <v/>
      </c>
      <c r="F1852" t="str">
        <f>IFERROR(INDEX(tbl_input[집계키_센터],ROW()-1),"")</f>
        <v/>
      </c>
      <c r="G1852" t="str">
        <f t="shared" si="200"/>
        <v/>
      </c>
      <c r="H1852" t="str">
        <f t="shared" si="201"/>
        <v/>
      </c>
      <c r="I1852" t="str">
        <f t="shared" si="202"/>
        <v/>
      </c>
    </row>
    <row r="1853" spans="1:9" x14ac:dyDescent="0.4">
      <c r="A1853" t="str">
        <f t="shared" si="196"/>
        <v/>
      </c>
      <c r="B1853" t="str">
        <f t="shared" si="197"/>
        <v/>
      </c>
      <c r="C1853" t="str">
        <f t="shared" si="198"/>
        <v/>
      </c>
      <c r="D1853" t="str">
        <f t="shared" si="199"/>
        <v/>
      </c>
      <c r="E1853" t="str">
        <f>IF(F1853="","",IF(COUNTIF($F$2:F1853,F1853)&gt;1,"",SUMIFS(tbl_input[필요수량],tbl_input[집계키_센터],F1853)))</f>
        <v/>
      </c>
      <c r="F1853" t="str">
        <f>IFERROR(INDEX(tbl_input[집계키_센터],ROW()-1),"")</f>
        <v/>
      </c>
      <c r="G1853" t="str">
        <f t="shared" si="200"/>
        <v/>
      </c>
      <c r="H1853" t="str">
        <f t="shared" si="201"/>
        <v/>
      </c>
      <c r="I1853" t="str">
        <f t="shared" si="202"/>
        <v/>
      </c>
    </row>
    <row r="1854" spans="1:9" x14ac:dyDescent="0.4">
      <c r="A1854" t="str">
        <f t="shared" si="196"/>
        <v/>
      </c>
      <c r="B1854" t="str">
        <f t="shared" si="197"/>
        <v/>
      </c>
      <c r="C1854" t="str">
        <f t="shared" si="198"/>
        <v/>
      </c>
      <c r="D1854" t="str">
        <f t="shared" si="199"/>
        <v/>
      </c>
      <c r="E1854" t="str">
        <f>IF(F1854="","",IF(COUNTIF($F$2:F1854,F1854)&gt;1,"",SUMIFS(tbl_input[필요수량],tbl_input[집계키_센터],F1854)))</f>
        <v/>
      </c>
      <c r="F1854" t="str">
        <f>IFERROR(INDEX(tbl_input[집계키_센터],ROW()-1),"")</f>
        <v/>
      </c>
      <c r="G1854" t="str">
        <f t="shared" si="200"/>
        <v/>
      </c>
      <c r="H1854" t="str">
        <f t="shared" si="201"/>
        <v/>
      </c>
      <c r="I1854" t="str">
        <f t="shared" si="202"/>
        <v/>
      </c>
    </row>
    <row r="1855" spans="1:9" x14ac:dyDescent="0.4">
      <c r="A1855" t="str">
        <f t="shared" si="196"/>
        <v/>
      </c>
      <c r="B1855" t="str">
        <f t="shared" si="197"/>
        <v/>
      </c>
      <c r="C1855" t="str">
        <f t="shared" si="198"/>
        <v/>
      </c>
      <c r="D1855" t="str">
        <f t="shared" si="199"/>
        <v/>
      </c>
      <c r="E1855" t="str">
        <f>IF(F1855="","",IF(COUNTIF($F$2:F1855,F1855)&gt;1,"",SUMIFS(tbl_input[필요수량],tbl_input[집계키_센터],F1855)))</f>
        <v/>
      </c>
      <c r="F1855" t="str">
        <f>IFERROR(INDEX(tbl_input[집계키_센터],ROW()-1),"")</f>
        <v/>
      </c>
      <c r="G1855" t="str">
        <f t="shared" si="200"/>
        <v/>
      </c>
      <c r="H1855" t="str">
        <f t="shared" si="201"/>
        <v/>
      </c>
      <c r="I1855" t="str">
        <f t="shared" si="202"/>
        <v/>
      </c>
    </row>
    <row r="1856" spans="1:9" x14ac:dyDescent="0.4">
      <c r="A1856" t="str">
        <f t="shared" si="196"/>
        <v/>
      </c>
      <c r="B1856" t="str">
        <f t="shared" si="197"/>
        <v/>
      </c>
      <c r="C1856" t="str">
        <f t="shared" si="198"/>
        <v/>
      </c>
      <c r="D1856" t="str">
        <f t="shared" si="199"/>
        <v/>
      </c>
      <c r="E1856" t="str">
        <f>IF(F1856="","",IF(COUNTIF($F$2:F1856,F1856)&gt;1,"",SUMIFS(tbl_input[필요수량],tbl_input[집계키_센터],F1856)))</f>
        <v/>
      </c>
      <c r="F1856" t="str">
        <f>IFERROR(INDEX(tbl_input[집계키_센터],ROW()-1),"")</f>
        <v/>
      </c>
      <c r="G1856" t="str">
        <f t="shared" si="200"/>
        <v/>
      </c>
      <c r="H1856" t="str">
        <f t="shared" si="201"/>
        <v/>
      </c>
      <c r="I1856" t="str">
        <f t="shared" si="202"/>
        <v/>
      </c>
    </row>
    <row r="1857" spans="1:9" x14ac:dyDescent="0.4">
      <c r="A1857" t="str">
        <f t="shared" si="196"/>
        <v/>
      </c>
      <c r="B1857" t="str">
        <f t="shared" si="197"/>
        <v/>
      </c>
      <c r="C1857" t="str">
        <f t="shared" si="198"/>
        <v/>
      </c>
      <c r="D1857" t="str">
        <f t="shared" si="199"/>
        <v/>
      </c>
      <c r="E1857" t="str">
        <f>IF(F1857="","",IF(COUNTIF($F$2:F1857,F1857)&gt;1,"",SUMIFS(tbl_input[필요수량],tbl_input[집계키_센터],F1857)))</f>
        <v/>
      </c>
      <c r="F1857" t="str">
        <f>IFERROR(INDEX(tbl_input[집계키_센터],ROW()-1),"")</f>
        <v/>
      </c>
      <c r="G1857" t="str">
        <f t="shared" si="200"/>
        <v/>
      </c>
      <c r="H1857" t="str">
        <f t="shared" si="201"/>
        <v/>
      </c>
      <c r="I1857" t="str">
        <f t="shared" si="202"/>
        <v/>
      </c>
    </row>
    <row r="1858" spans="1:9" x14ac:dyDescent="0.4">
      <c r="A1858" t="str">
        <f t="shared" ref="A1858:A1921" si="203">IF(F1858="","",LEFT(F1858,G1858-1))</f>
        <v/>
      </c>
      <c r="B1858" t="str">
        <f t="shared" ref="B1858:B1921" si="204">IF(F1858="","",MID(F1858,G1858+1,H1858-G1858-1))</f>
        <v/>
      </c>
      <c r="C1858" t="str">
        <f t="shared" ref="C1858:C1921" si="205">IF(F1858="","",MID(F1858,H1858+1,I1858-H1858-1))</f>
        <v/>
      </c>
      <c r="D1858" t="str">
        <f t="shared" ref="D1858:D1921" si="206">IF(F1858="","",MID(F1858,I1858+1,999))</f>
        <v/>
      </c>
      <c r="E1858" t="str">
        <f>IF(F1858="","",IF(COUNTIF($F$2:F1858,F1858)&gt;1,"",SUMIFS(tbl_input[필요수량],tbl_input[집계키_센터],F1858)))</f>
        <v/>
      </c>
      <c r="F1858" t="str">
        <f>IFERROR(INDEX(tbl_input[집계키_센터],ROW()-1),"")</f>
        <v/>
      </c>
      <c r="G1858" t="str">
        <f t="shared" ref="G1858:G1921" si="207">IF(F1858="","",FIND("♦",F1858))</f>
        <v/>
      </c>
      <c r="H1858" t="str">
        <f t="shared" ref="H1858:H1921" si="208">IF(F1858="","",FIND("♦",F1858,G1858+1))</f>
        <v/>
      </c>
      <c r="I1858" t="str">
        <f t="shared" ref="I1858:I1921" si="209">IF(F1858="","",FIND("♦",F1858,H1858+1))</f>
        <v/>
      </c>
    </row>
    <row r="1859" spans="1:9" x14ac:dyDescent="0.4">
      <c r="A1859" t="str">
        <f t="shared" si="203"/>
        <v/>
      </c>
      <c r="B1859" t="str">
        <f t="shared" si="204"/>
        <v/>
      </c>
      <c r="C1859" t="str">
        <f t="shared" si="205"/>
        <v/>
      </c>
      <c r="D1859" t="str">
        <f t="shared" si="206"/>
        <v/>
      </c>
      <c r="E1859" t="str">
        <f>IF(F1859="","",IF(COUNTIF($F$2:F1859,F1859)&gt;1,"",SUMIFS(tbl_input[필요수량],tbl_input[집계키_센터],F1859)))</f>
        <v/>
      </c>
      <c r="F1859" t="str">
        <f>IFERROR(INDEX(tbl_input[집계키_센터],ROW()-1),"")</f>
        <v/>
      </c>
      <c r="G1859" t="str">
        <f t="shared" si="207"/>
        <v/>
      </c>
      <c r="H1859" t="str">
        <f t="shared" si="208"/>
        <v/>
      </c>
      <c r="I1859" t="str">
        <f t="shared" si="209"/>
        <v/>
      </c>
    </row>
    <row r="1860" spans="1:9" x14ac:dyDescent="0.4">
      <c r="A1860" t="str">
        <f t="shared" si="203"/>
        <v/>
      </c>
      <c r="B1860" t="str">
        <f t="shared" si="204"/>
        <v/>
      </c>
      <c r="C1860" t="str">
        <f t="shared" si="205"/>
        <v/>
      </c>
      <c r="D1860" t="str">
        <f t="shared" si="206"/>
        <v/>
      </c>
      <c r="E1860" t="str">
        <f>IF(F1860="","",IF(COUNTIF($F$2:F1860,F1860)&gt;1,"",SUMIFS(tbl_input[필요수량],tbl_input[집계키_센터],F1860)))</f>
        <v/>
      </c>
      <c r="F1860" t="str">
        <f>IFERROR(INDEX(tbl_input[집계키_센터],ROW()-1),"")</f>
        <v/>
      </c>
      <c r="G1860" t="str">
        <f t="shared" si="207"/>
        <v/>
      </c>
      <c r="H1860" t="str">
        <f t="shared" si="208"/>
        <v/>
      </c>
      <c r="I1860" t="str">
        <f t="shared" si="209"/>
        <v/>
      </c>
    </row>
    <row r="1861" spans="1:9" x14ac:dyDescent="0.4">
      <c r="A1861" t="str">
        <f t="shared" si="203"/>
        <v/>
      </c>
      <c r="B1861" t="str">
        <f t="shared" si="204"/>
        <v/>
      </c>
      <c r="C1861" t="str">
        <f t="shared" si="205"/>
        <v/>
      </c>
      <c r="D1861" t="str">
        <f t="shared" si="206"/>
        <v/>
      </c>
      <c r="E1861" t="str">
        <f>IF(F1861="","",IF(COUNTIF($F$2:F1861,F1861)&gt;1,"",SUMIFS(tbl_input[필요수량],tbl_input[집계키_센터],F1861)))</f>
        <v/>
      </c>
      <c r="F1861" t="str">
        <f>IFERROR(INDEX(tbl_input[집계키_센터],ROW()-1),"")</f>
        <v/>
      </c>
      <c r="G1861" t="str">
        <f t="shared" si="207"/>
        <v/>
      </c>
      <c r="H1861" t="str">
        <f t="shared" si="208"/>
        <v/>
      </c>
      <c r="I1861" t="str">
        <f t="shared" si="209"/>
        <v/>
      </c>
    </row>
    <row r="1862" spans="1:9" x14ac:dyDescent="0.4">
      <c r="A1862" t="str">
        <f t="shared" si="203"/>
        <v/>
      </c>
      <c r="B1862" t="str">
        <f t="shared" si="204"/>
        <v/>
      </c>
      <c r="C1862" t="str">
        <f t="shared" si="205"/>
        <v/>
      </c>
      <c r="D1862" t="str">
        <f t="shared" si="206"/>
        <v/>
      </c>
      <c r="E1862" t="str">
        <f>IF(F1862="","",IF(COUNTIF($F$2:F1862,F1862)&gt;1,"",SUMIFS(tbl_input[필요수량],tbl_input[집계키_센터],F1862)))</f>
        <v/>
      </c>
      <c r="F1862" t="str">
        <f>IFERROR(INDEX(tbl_input[집계키_센터],ROW()-1),"")</f>
        <v/>
      </c>
      <c r="G1862" t="str">
        <f t="shared" si="207"/>
        <v/>
      </c>
      <c r="H1862" t="str">
        <f t="shared" si="208"/>
        <v/>
      </c>
      <c r="I1862" t="str">
        <f t="shared" si="209"/>
        <v/>
      </c>
    </row>
    <row r="1863" spans="1:9" x14ac:dyDescent="0.4">
      <c r="A1863" t="str">
        <f t="shared" si="203"/>
        <v/>
      </c>
      <c r="B1863" t="str">
        <f t="shared" si="204"/>
        <v/>
      </c>
      <c r="C1863" t="str">
        <f t="shared" si="205"/>
        <v/>
      </c>
      <c r="D1863" t="str">
        <f t="shared" si="206"/>
        <v/>
      </c>
      <c r="E1863" t="str">
        <f>IF(F1863="","",IF(COUNTIF($F$2:F1863,F1863)&gt;1,"",SUMIFS(tbl_input[필요수량],tbl_input[집계키_센터],F1863)))</f>
        <v/>
      </c>
      <c r="F1863" t="str">
        <f>IFERROR(INDEX(tbl_input[집계키_센터],ROW()-1),"")</f>
        <v/>
      </c>
      <c r="G1863" t="str">
        <f t="shared" si="207"/>
        <v/>
      </c>
      <c r="H1863" t="str">
        <f t="shared" si="208"/>
        <v/>
      </c>
      <c r="I1863" t="str">
        <f t="shared" si="209"/>
        <v/>
      </c>
    </row>
    <row r="1864" spans="1:9" x14ac:dyDescent="0.4">
      <c r="A1864" t="str">
        <f t="shared" si="203"/>
        <v/>
      </c>
      <c r="B1864" t="str">
        <f t="shared" si="204"/>
        <v/>
      </c>
      <c r="C1864" t="str">
        <f t="shared" si="205"/>
        <v/>
      </c>
      <c r="D1864" t="str">
        <f t="shared" si="206"/>
        <v/>
      </c>
      <c r="E1864" t="str">
        <f>IF(F1864="","",IF(COUNTIF($F$2:F1864,F1864)&gt;1,"",SUMIFS(tbl_input[필요수량],tbl_input[집계키_센터],F1864)))</f>
        <v/>
      </c>
      <c r="F1864" t="str">
        <f>IFERROR(INDEX(tbl_input[집계키_센터],ROW()-1),"")</f>
        <v/>
      </c>
      <c r="G1864" t="str">
        <f t="shared" si="207"/>
        <v/>
      </c>
      <c r="H1864" t="str">
        <f t="shared" si="208"/>
        <v/>
      </c>
      <c r="I1864" t="str">
        <f t="shared" si="209"/>
        <v/>
      </c>
    </row>
    <row r="1865" spans="1:9" x14ac:dyDescent="0.4">
      <c r="A1865" t="str">
        <f t="shared" si="203"/>
        <v/>
      </c>
      <c r="B1865" t="str">
        <f t="shared" si="204"/>
        <v/>
      </c>
      <c r="C1865" t="str">
        <f t="shared" si="205"/>
        <v/>
      </c>
      <c r="D1865" t="str">
        <f t="shared" si="206"/>
        <v/>
      </c>
      <c r="E1865" t="str">
        <f>IF(F1865="","",IF(COUNTIF($F$2:F1865,F1865)&gt;1,"",SUMIFS(tbl_input[필요수량],tbl_input[집계키_센터],F1865)))</f>
        <v/>
      </c>
      <c r="F1865" t="str">
        <f>IFERROR(INDEX(tbl_input[집계키_센터],ROW()-1),"")</f>
        <v/>
      </c>
      <c r="G1865" t="str">
        <f t="shared" si="207"/>
        <v/>
      </c>
      <c r="H1865" t="str">
        <f t="shared" si="208"/>
        <v/>
      </c>
      <c r="I1865" t="str">
        <f t="shared" si="209"/>
        <v/>
      </c>
    </row>
    <row r="1866" spans="1:9" x14ac:dyDescent="0.4">
      <c r="A1866" t="str">
        <f t="shared" si="203"/>
        <v/>
      </c>
      <c r="B1866" t="str">
        <f t="shared" si="204"/>
        <v/>
      </c>
      <c r="C1866" t="str">
        <f t="shared" si="205"/>
        <v/>
      </c>
      <c r="D1866" t="str">
        <f t="shared" si="206"/>
        <v/>
      </c>
      <c r="E1866" t="str">
        <f>IF(F1866="","",IF(COUNTIF($F$2:F1866,F1866)&gt;1,"",SUMIFS(tbl_input[필요수량],tbl_input[집계키_센터],F1866)))</f>
        <v/>
      </c>
      <c r="F1866" t="str">
        <f>IFERROR(INDEX(tbl_input[집계키_센터],ROW()-1),"")</f>
        <v/>
      </c>
      <c r="G1866" t="str">
        <f t="shared" si="207"/>
        <v/>
      </c>
      <c r="H1866" t="str">
        <f t="shared" si="208"/>
        <v/>
      </c>
      <c r="I1866" t="str">
        <f t="shared" si="209"/>
        <v/>
      </c>
    </row>
    <row r="1867" spans="1:9" x14ac:dyDescent="0.4">
      <c r="A1867" t="str">
        <f t="shared" si="203"/>
        <v/>
      </c>
      <c r="B1867" t="str">
        <f t="shared" si="204"/>
        <v/>
      </c>
      <c r="C1867" t="str">
        <f t="shared" si="205"/>
        <v/>
      </c>
      <c r="D1867" t="str">
        <f t="shared" si="206"/>
        <v/>
      </c>
      <c r="E1867" t="str">
        <f>IF(F1867="","",IF(COUNTIF($F$2:F1867,F1867)&gt;1,"",SUMIFS(tbl_input[필요수량],tbl_input[집계키_센터],F1867)))</f>
        <v/>
      </c>
      <c r="F1867" t="str">
        <f>IFERROR(INDEX(tbl_input[집계키_센터],ROW()-1),"")</f>
        <v/>
      </c>
      <c r="G1867" t="str">
        <f t="shared" si="207"/>
        <v/>
      </c>
      <c r="H1867" t="str">
        <f t="shared" si="208"/>
        <v/>
      </c>
      <c r="I1867" t="str">
        <f t="shared" si="209"/>
        <v/>
      </c>
    </row>
    <row r="1868" spans="1:9" x14ac:dyDescent="0.4">
      <c r="A1868" t="str">
        <f t="shared" si="203"/>
        <v/>
      </c>
      <c r="B1868" t="str">
        <f t="shared" si="204"/>
        <v/>
      </c>
      <c r="C1868" t="str">
        <f t="shared" si="205"/>
        <v/>
      </c>
      <c r="D1868" t="str">
        <f t="shared" si="206"/>
        <v/>
      </c>
      <c r="E1868" t="str">
        <f>IF(F1868="","",IF(COUNTIF($F$2:F1868,F1868)&gt;1,"",SUMIFS(tbl_input[필요수량],tbl_input[집계키_센터],F1868)))</f>
        <v/>
      </c>
      <c r="F1868" t="str">
        <f>IFERROR(INDEX(tbl_input[집계키_센터],ROW()-1),"")</f>
        <v/>
      </c>
      <c r="G1868" t="str">
        <f t="shared" si="207"/>
        <v/>
      </c>
      <c r="H1868" t="str">
        <f t="shared" si="208"/>
        <v/>
      </c>
      <c r="I1868" t="str">
        <f t="shared" si="209"/>
        <v/>
      </c>
    </row>
    <row r="1869" spans="1:9" x14ac:dyDescent="0.4">
      <c r="A1869" t="str">
        <f t="shared" si="203"/>
        <v/>
      </c>
      <c r="B1869" t="str">
        <f t="shared" si="204"/>
        <v/>
      </c>
      <c r="C1869" t="str">
        <f t="shared" si="205"/>
        <v/>
      </c>
      <c r="D1869" t="str">
        <f t="shared" si="206"/>
        <v/>
      </c>
      <c r="E1869" t="str">
        <f>IF(F1869="","",IF(COUNTIF($F$2:F1869,F1869)&gt;1,"",SUMIFS(tbl_input[필요수량],tbl_input[집계키_센터],F1869)))</f>
        <v/>
      </c>
      <c r="F1869" t="str">
        <f>IFERROR(INDEX(tbl_input[집계키_센터],ROW()-1),"")</f>
        <v/>
      </c>
      <c r="G1869" t="str">
        <f t="shared" si="207"/>
        <v/>
      </c>
      <c r="H1869" t="str">
        <f t="shared" si="208"/>
        <v/>
      </c>
      <c r="I1869" t="str">
        <f t="shared" si="209"/>
        <v/>
      </c>
    </row>
    <row r="1870" spans="1:9" x14ac:dyDescent="0.4">
      <c r="A1870" t="str">
        <f t="shared" si="203"/>
        <v/>
      </c>
      <c r="B1870" t="str">
        <f t="shared" si="204"/>
        <v/>
      </c>
      <c r="C1870" t="str">
        <f t="shared" si="205"/>
        <v/>
      </c>
      <c r="D1870" t="str">
        <f t="shared" si="206"/>
        <v/>
      </c>
      <c r="E1870" t="str">
        <f>IF(F1870="","",IF(COUNTIF($F$2:F1870,F1870)&gt;1,"",SUMIFS(tbl_input[필요수량],tbl_input[집계키_센터],F1870)))</f>
        <v/>
      </c>
      <c r="F1870" t="str">
        <f>IFERROR(INDEX(tbl_input[집계키_센터],ROW()-1),"")</f>
        <v/>
      </c>
      <c r="G1870" t="str">
        <f t="shared" si="207"/>
        <v/>
      </c>
      <c r="H1870" t="str">
        <f t="shared" si="208"/>
        <v/>
      </c>
      <c r="I1870" t="str">
        <f t="shared" si="209"/>
        <v/>
      </c>
    </row>
    <row r="1871" spans="1:9" x14ac:dyDescent="0.4">
      <c r="A1871" t="str">
        <f t="shared" si="203"/>
        <v/>
      </c>
      <c r="B1871" t="str">
        <f t="shared" si="204"/>
        <v/>
      </c>
      <c r="C1871" t="str">
        <f t="shared" si="205"/>
        <v/>
      </c>
      <c r="D1871" t="str">
        <f t="shared" si="206"/>
        <v/>
      </c>
      <c r="E1871" t="str">
        <f>IF(F1871="","",IF(COUNTIF($F$2:F1871,F1871)&gt;1,"",SUMIFS(tbl_input[필요수량],tbl_input[집계키_센터],F1871)))</f>
        <v/>
      </c>
      <c r="F1871" t="str">
        <f>IFERROR(INDEX(tbl_input[집계키_센터],ROW()-1),"")</f>
        <v/>
      </c>
      <c r="G1871" t="str">
        <f t="shared" si="207"/>
        <v/>
      </c>
      <c r="H1871" t="str">
        <f t="shared" si="208"/>
        <v/>
      </c>
      <c r="I1871" t="str">
        <f t="shared" si="209"/>
        <v/>
      </c>
    </row>
    <row r="1872" spans="1:9" x14ac:dyDescent="0.4">
      <c r="A1872" t="str">
        <f t="shared" si="203"/>
        <v/>
      </c>
      <c r="B1872" t="str">
        <f t="shared" si="204"/>
        <v/>
      </c>
      <c r="C1872" t="str">
        <f t="shared" si="205"/>
        <v/>
      </c>
      <c r="D1872" t="str">
        <f t="shared" si="206"/>
        <v/>
      </c>
      <c r="E1872" t="str">
        <f>IF(F1872="","",IF(COUNTIF($F$2:F1872,F1872)&gt;1,"",SUMIFS(tbl_input[필요수량],tbl_input[집계키_센터],F1872)))</f>
        <v/>
      </c>
      <c r="F1872" t="str">
        <f>IFERROR(INDEX(tbl_input[집계키_센터],ROW()-1),"")</f>
        <v/>
      </c>
      <c r="G1872" t="str">
        <f t="shared" si="207"/>
        <v/>
      </c>
      <c r="H1872" t="str">
        <f t="shared" si="208"/>
        <v/>
      </c>
      <c r="I1872" t="str">
        <f t="shared" si="209"/>
        <v/>
      </c>
    </row>
    <row r="1873" spans="1:9" x14ac:dyDescent="0.4">
      <c r="A1873" t="str">
        <f t="shared" si="203"/>
        <v/>
      </c>
      <c r="B1873" t="str">
        <f t="shared" si="204"/>
        <v/>
      </c>
      <c r="C1873" t="str">
        <f t="shared" si="205"/>
        <v/>
      </c>
      <c r="D1873" t="str">
        <f t="shared" si="206"/>
        <v/>
      </c>
      <c r="E1873" t="str">
        <f>IF(F1873="","",IF(COUNTIF($F$2:F1873,F1873)&gt;1,"",SUMIFS(tbl_input[필요수량],tbl_input[집계키_센터],F1873)))</f>
        <v/>
      </c>
      <c r="F1873" t="str">
        <f>IFERROR(INDEX(tbl_input[집계키_센터],ROW()-1),"")</f>
        <v/>
      </c>
      <c r="G1873" t="str">
        <f t="shared" si="207"/>
        <v/>
      </c>
      <c r="H1873" t="str">
        <f t="shared" si="208"/>
        <v/>
      </c>
      <c r="I1873" t="str">
        <f t="shared" si="209"/>
        <v/>
      </c>
    </row>
    <row r="1874" spans="1:9" x14ac:dyDescent="0.4">
      <c r="A1874" t="str">
        <f t="shared" si="203"/>
        <v/>
      </c>
      <c r="B1874" t="str">
        <f t="shared" si="204"/>
        <v/>
      </c>
      <c r="C1874" t="str">
        <f t="shared" si="205"/>
        <v/>
      </c>
      <c r="D1874" t="str">
        <f t="shared" si="206"/>
        <v/>
      </c>
      <c r="E1874" t="str">
        <f>IF(F1874="","",IF(COUNTIF($F$2:F1874,F1874)&gt;1,"",SUMIFS(tbl_input[필요수량],tbl_input[집계키_센터],F1874)))</f>
        <v/>
      </c>
      <c r="F1874" t="str">
        <f>IFERROR(INDEX(tbl_input[집계키_센터],ROW()-1),"")</f>
        <v/>
      </c>
      <c r="G1874" t="str">
        <f t="shared" si="207"/>
        <v/>
      </c>
      <c r="H1874" t="str">
        <f t="shared" si="208"/>
        <v/>
      </c>
      <c r="I1874" t="str">
        <f t="shared" si="209"/>
        <v/>
      </c>
    </row>
    <row r="1875" spans="1:9" x14ac:dyDescent="0.4">
      <c r="A1875" t="str">
        <f t="shared" si="203"/>
        <v/>
      </c>
      <c r="B1875" t="str">
        <f t="shared" si="204"/>
        <v/>
      </c>
      <c r="C1875" t="str">
        <f t="shared" si="205"/>
        <v/>
      </c>
      <c r="D1875" t="str">
        <f t="shared" si="206"/>
        <v/>
      </c>
      <c r="E1875" t="str">
        <f>IF(F1875="","",IF(COUNTIF($F$2:F1875,F1875)&gt;1,"",SUMIFS(tbl_input[필요수량],tbl_input[집계키_센터],F1875)))</f>
        <v/>
      </c>
      <c r="F1875" t="str">
        <f>IFERROR(INDEX(tbl_input[집계키_센터],ROW()-1),"")</f>
        <v/>
      </c>
      <c r="G1875" t="str">
        <f t="shared" si="207"/>
        <v/>
      </c>
      <c r="H1875" t="str">
        <f t="shared" si="208"/>
        <v/>
      </c>
      <c r="I1875" t="str">
        <f t="shared" si="209"/>
        <v/>
      </c>
    </row>
    <row r="1876" spans="1:9" x14ac:dyDescent="0.4">
      <c r="A1876" t="str">
        <f t="shared" si="203"/>
        <v/>
      </c>
      <c r="B1876" t="str">
        <f t="shared" si="204"/>
        <v/>
      </c>
      <c r="C1876" t="str">
        <f t="shared" si="205"/>
        <v/>
      </c>
      <c r="D1876" t="str">
        <f t="shared" si="206"/>
        <v/>
      </c>
      <c r="E1876" t="str">
        <f>IF(F1876="","",IF(COUNTIF($F$2:F1876,F1876)&gt;1,"",SUMIFS(tbl_input[필요수량],tbl_input[집계키_센터],F1876)))</f>
        <v/>
      </c>
      <c r="F1876" t="str">
        <f>IFERROR(INDEX(tbl_input[집계키_센터],ROW()-1),"")</f>
        <v/>
      </c>
      <c r="G1876" t="str">
        <f t="shared" si="207"/>
        <v/>
      </c>
      <c r="H1876" t="str">
        <f t="shared" si="208"/>
        <v/>
      </c>
      <c r="I1876" t="str">
        <f t="shared" si="209"/>
        <v/>
      </c>
    </row>
    <row r="1877" spans="1:9" x14ac:dyDescent="0.4">
      <c r="A1877" t="str">
        <f t="shared" si="203"/>
        <v/>
      </c>
      <c r="B1877" t="str">
        <f t="shared" si="204"/>
        <v/>
      </c>
      <c r="C1877" t="str">
        <f t="shared" si="205"/>
        <v/>
      </c>
      <c r="D1877" t="str">
        <f t="shared" si="206"/>
        <v/>
      </c>
      <c r="E1877" t="str">
        <f>IF(F1877="","",IF(COUNTIF($F$2:F1877,F1877)&gt;1,"",SUMIFS(tbl_input[필요수량],tbl_input[집계키_센터],F1877)))</f>
        <v/>
      </c>
      <c r="F1877" t="str">
        <f>IFERROR(INDEX(tbl_input[집계키_센터],ROW()-1),"")</f>
        <v/>
      </c>
      <c r="G1877" t="str">
        <f t="shared" si="207"/>
        <v/>
      </c>
      <c r="H1877" t="str">
        <f t="shared" si="208"/>
        <v/>
      </c>
      <c r="I1877" t="str">
        <f t="shared" si="209"/>
        <v/>
      </c>
    </row>
    <row r="1878" spans="1:9" x14ac:dyDescent="0.4">
      <c r="A1878" t="str">
        <f t="shared" si="203"/>
        <v/>
      </c>
      <c r="B1878" t="str">
        <f t="shared" si="204"/>
        <v/>
      </c>
      <c r="C1878" t="str">
        <f t="shared" si="205"/>
        <v/>
      </c>
      <c r="D1878" t="str">
        <f t="shared" si="206"/>
        <v/>
      </c>
      <c r="E1878" t="str">
        <f>IF(F1878="","",IF(COUNTIF($F$2:F1878,F1878)&gt;1,"",SUMIFS(tbl_input[필요수량],tbl_input[집계키_센터],F1878)))</f>
        <v/>
      </c>
      <c r="F1878" t="str">
        <f>IFERROR(INDEX(tbl_input[집계키_센터],ROW()-1),"")</f>
        <v/>
      </c>
      <c r="G1878" t="str">
        <f t="shared" si="207"/>
        <v/>
      </c>
      <c r="H1878" t="str">
        <f t="shared" si="208"/>
        <v/>
      </c>
      <c r="I1878" t="str">
        <f t="shared" si="209"/>
        <v/>
      </c>
    </row>
    <row r="1879" spans="1:9" x14ac:dyDescent="0.4">
      <c r="A1879" t="str">
        <f t="shared" si="203"/>
        <v/>
      </c>
      <c r="B1879" t="str">
        <f t="shared" si="204"/>
        <v/>
      </c>
      <c r="C1879" t="str">
        <f t="shared" si="205"/>
        <v/>
      </c>
      <c r="D1879" t="str">
        <f t="shared" si="206"/>
        <v/>
      </c>
      <c r="E1879" t="str">
        <f>IF(F1879="","",IF(COUNTIF($F$2:F1879,F1879)&gt;1,"",SUMIFS(tbl_input[필요수량],tbl_input[집계키_센터],F1879)))</f>
        <v/>
      </c>
      <c r="F1879" t="str">
        <f>IFERROR(INDEX(tbl_input[집계키_센터],ROW()-1),"")</f>
        <v/>
      </c>
      <c r="G1879" t="str">
        <f t="shared" si="207"/>
        <v/>
      </c>
      <c r="H1879" t="str">
        <f t="shared" si="208"/>
        <v/>
      </c>
      <c r="I1879" t="str">
        <f t="shared" si="209"/>
        <v/>
      </c>
    </row>
    <row r="1880" spans="1:9" x14ac:dyDescent="0.4">
      <c r="A1880" t="str">
        <f t="shared" si="203"/>
        <v/>
      </c>
      <c r="B1880" t="str">
        <f t="shared" si="204"/>
        <v/>
      </c>
      <c r="C1880" t="str">
        <f t="shared" si="205"/>
        <v/>
      </c>
      <c r="D1880" t="str">
        <f t="shared" si="206"/>
        <v/>
      </c>
      <c r="E1880" t="str">
        <f>IF(F1880="","",IF(COUNTIF($F$2:F1880,F1880)&gt;1,"",SUMIFS(tbl_input[필요수량],tbl_input[집계키_센터],F1880)))</f>
        <v/>
      </c>
      <c r="F1880" t="str">
        <f>IFERROR(INDEX(tbl_input[집계키_센터],ROW()-1),"")</f>
        <v/>
      </c>
      <c r="G1880" t="str">
        <f t="shared" si="207"/>
        <v/>
      </c>
      <c r="H1880" t="str">
        <f t="shared" si="208"/>
        <v/>
      </c>
      <c r="I1880" t="str">
        <f t="shared" si="209"/>
        <v/>
      </c>
    </row>
    <row r="1881" spans="1:9" x14ac:dyDescent="0.4">
      <c r="A1881" t="str">
        <f t="shared" si="203"/>
        <v/>
      </c>
      <c r="B1881" t="str">
        <f t="shared" si="204"/>
        <v/>
      </c>
      <c r="C1881" t="str">
        <f t="shared" si="205"/>
        <v/>
      </c>
      <c r="D1881" t="str">
        <f t="shared" si="206"/>
        <v/>
      </c>
      <c r="E1881" t="str">
        <f>IF(F1881="","",IF(COUNTIF($F$2:F1881,F1881)&gt;1,"",SUMIFS(tbl_input[필요수량],tbl_input[집계키_센터],F1881)))</f>
        <v/>
      </c>
      <c r="F1881" t="str">
        <f>IFERROR(INDEX(tbl_input[집계키_센터],ROW()-1),"")</f>
        <v/>
      </c>
      <c r="G1881" t="str">
        <f t="shared" si="207"/>
        <v/>
      </c>
      <c r="H1881" t="str">
        <f t="shared" si="208"/>
        <v/>
      </c>
      <c r="I1881" t="str">
        <f t="shared" si="209"/>
        <v/>
      </c>
    </row>
    <row r="1882" spans="1:9" x14ac:dyDescent="0.4">
      <c r="A1882" t="str">
        <f t="shared" si="203"/>
        <v/>
      </c>
      <c r="B1882" t="str">
        <f t="shared" si="204"/>
        <v/>
      </c>
      <c r="C1882" t="str">
        <f t="shared" si="205"/>
        <v/>
      </c>
      <c r="D1882" t="str">
        <f t="shared" si="206"/>
        <v/>
      </c>
      <c r="E1882" t="str">
        <f>IF(F1882="","",IF(COUNTIF($F$2:F1882,F1882)&gt;1,"",SUMIFS(tbl_input[필요수량],tbl_input[집계키_센터],F1882)))</f>
        <v/>
      </c>
      <c r="F1882" t="str">
        <f>IFERROR(INDEX(tbl_input[집계키_센터],ROW()-1),"")</f>
        <v/>
      </c>
      <c r="G1882" t="str">
        <f t="shared" si="207"/>
        <v/>
      </c>
      <c r="H1882" t="str">
        <f t="shared" si="208"/>
        <v/>
      </c>
      <c r="I1882" t="str">
        <f t="shared" si="209"/>
        <v/>
      </c>
    </row>
    <row r="1883" spans="1:9" x14ac:dyDescent="0.4">
      <c r="A1883" t="str">
        <f t="shared" si="203"/>
        <v/>
      </c>
      <c r="B1883" t="str">
        <f t="shared" si="204"/>
        <v/>
      </c>
      <c r="C1883" t="str">
        <f t="shared" si="205"/>
        <v/>
      </c>
      <c r="D1883" t="str">
        <f t="shared" si="206"/>
        <v/>
      </c>
      <c r="E1883" t="str">
        <f>IF(F1883="","",IF(COUNTIF($F$2:F1883,F1883)&gt;1,"",SUMIFS(tbl_input[필요수량],tbl_input[집계키_센터],F1883)))</f>
        <v/>
      </c>
      <c r="F1883" t="str">
        <f>IFERROR(INDEX(tbl_input[집계키_센터],ROW()-1),"")</f>
        <v/>
      </c>
      <c r="G1883" t="str">
        <f t="shared" si="207"/>
        <v/>
      </c>
      <c r="H1883" t="str">
        <f t="shared" si="208"/>
        <v/>
      </c>
      <c r="I1883" t="str">
        <f t="shared" si="209"/>
        <v/>
      </c>
    </row>
    <row r="1884" spans="1:9" x14ac:dyDescent="0.4">
      <c r="A1884" t="str">
        <f t="shared" si="203"/>
        <v/>
      </c>
      <c r="B1884" t="str">
        <f t="shared" si="204"/>
        <v/>
      </c>
      <c r="C1884" t="str">
        <f t="shared" si="205"/>
        <v/>
      </c>
      <c r="D1884" t="str">
        <f t="shared" si="206"/>
        <v/>
      </c>
      <c r="E1884" t="str">
        <f>IF(F1884="","",IF(COUNTIF($F$2:F1884,F1884)&gt;1,"",SUMIFS(tbl_input[필요수량],tbl_input[집계키_센터],F1884)))</f>
        <v/>
      </c>
      <c r="F1884" t="str">
        <f>IFERROR(INDEX(tbl_input[집계키_센터],ROW()-1),"")</f>
        <v/>
      </c>
      <c r="G1884" t="str">
        <f t="shared" si="207"/>
        <v/>
      </c>
      <c r="H1884" t="str">
        <f t="shared" si="208"/>
        <v/>
      </c>
      <c r="I1884" t="str">
        <f t="shared" si="209"/>
        <v/>
      </c>
    </row>
    <row r="1885" spans="1:9" x14ac:dyDescent="0.4">
      <c r="A1885" t="str">
        <f t="shared" si="203"/>
        <v/>
      </c>
      <c r="B1885" t="str">
        <f t="shared" si="204"/>
        <v/>
      </c>
      <c r="C1885" t="str">
        <f t="shared" si="205"/>
        <v/>
      </c>
      <c r="D1885" t="str">
        <f t="shared" si="206"/>
        <v/>
      </c>
      <c r="E1885" t="str">
        <f>IF(F1885="","",IF(COUNTIF($F$2:F1885,F1885)&gt;1,"",SUMIFS(tbl_input[필요수량],tbl_input[집계키_센터],F1885)))</f>
        <v/>
      </c>
      <c r="F1885" t="str">
        <f>IFERROR(INDEX(tbl_input[집계키_센터],ROW()-1),"")</f>
        <v/>
      </c>
      <c r="G1885" t="str">
        <f t="shared" si="207"/>
        <v/>
      </c>
      <c r="H1885" t="str">
        <f t="shared" si="208"/>
        <v/>
      </c>
      <c r="I1885" t="str">
        <f t="shared" si="209"/>
        <v/>
      </c>
    </row>
    <row r="1886" spans="1:9" x14ac:dyDescent="0.4">
      <c r="A1886" t="str">
        <f t="shared" si="203"/>
        <v/>
      </c>
      <c r="B1886" t="str">
        <f t="shared" si="204"/>
        <v/>
      </c>
      <c r="C1886" t="str">
        <f t="shared" si="205"/>
        <v/>
      </c>
      <c r="D1886" t="str">
        <f t="shared" si="206"/>
        <v/>
      </c>
      <c r="E1886" t="str">
        <f>IF(F1886="","",IF(COUNTIF($F$2:F1886,F1886)&gt;1,"",SUMIFS(tbl_input[필요수량],tbl_input[집계키_센터],F1886)))</f>
        <v/>
      </c>
      <c r="F1886" t="str">
        <f>IFERROR(INDEX(tbl_input[집계키_센터],ROW()-1),"")</f>
        <v/>
      </c>
      <c r="G1886" t="str">
        <f t="shared" si="207"/>
        <v/>
      </c>
      <c r="H1886" t="str">
        <f t="shared" si="208"/>
        <v/>
      </c>
      <c r="I1886" t="str">
        <f t="shared" si="209"/>
        <v/>
      </c>
    </row>
    <row r="1887" spans="1:9" x14ac:dyDescent="0.4">
      <c r="A1887" t="str">
        <f t="shared" si="203"/>
        <v/>
      </c>
      <c r="B1887" t="str">
        <f t="shared" si="204"/>
        <v/>
      </c>
      <c r="C1887" t="str">
        <f t="shared" si="205"/>
        <v/>
      </c>
      <c r="D1887" t="str">
        <f t="shared" si="206"/>
        <v/>
      </c>
      <c r="E1887" t="str">
        <f>IF(F1887="","",IF(COUNTIF($F$2:F1887,F1887)&gt;1,"",SUMIFS(tbl_input[필요수량],tbl_input[집계키_센터],F1887)))</f>
        <v/>
      </c>
      <c r="F1887" t="str">
        <f>IFERROR(INDEX(tbl_input[집계키_센터],ROW()-1),"")</f>
        <v/>
      </c>
      <c r="G1887" t="str">
        <f t="shared" si="207"/>
        <v/>
      </c>
      <c r="H1887" t="str">
        <f t="shared" si="208"/>
        <v/>
      </c>
      <c r="I1887" t="str">
        <f t="shared" si="209"/>
        <v/>
      </c>
    </row>
    <row r="1888" spans="1:9" x14ac:dyDescent="0.4">
      <c r="A1888" t="str">
        <f t="shared" si="203"/>
        <v/>
      </c>
      <c r="B1888" t="str">
        <f t="shared" si="204"/>
        <v/>
      </c>
      <c r="C1888" t="str">
        <f t="shared" si="205"/>
        <v/>
      </c>
      <c r="D1888" t="str">
        <f t="shared" si="206"/>
        <v/>
      </c>
      <c r="E1888" t="str">
        <f>IF(F1888="","",IF(COUNTIF($F$2:F1888,F1888)&gt;1,"",SUMIFS(tbl_input[필요수량],tbl_input[집계키_센터],F1888)))</f>
        <v/>
      </c>
      <c r="F1888" t="str">
        <f>IFERROR(INDEX(tbl_input[집계키_센터],ROW()-1),"")</f>
        <v/>
      </c>
      <c r="G1888" t="str">
        <f t="shared" si="207"/>
        <v/>
      </c>
      <c r="H1888" t="str">
        <f t="shared" si="208"/>
        <v/>
      </c>
      <c r="I1888" t="str">
        <f t="shared" si="209"/>
        <v/>
      </c>
    </row>
    <row r="1889" spans="1:9" x14ac:dyDescent="0.4">
      <c r="A1889" t="str">
        <f t="shared" si="203"/>
        <v/>
      </c>
      <c r="B1889" t="str">
        <f t="shared" si="204"/>
        <v/>
      </c>
      <c r="C1889" t="str">
        <f t="shared" si="205"/>
        <v/>
      </c>
      <c r="D1889" t="str">
        <f t="shared" si="206"/>
        <v/>
      </c>
      <c r="E1889" t="str">
        <f>IF(F1889="","",IF(COUNTIF($F$2:F1889,F1889)&gt;1,"",SUMIFS(tbl_input[필요수량],tbl_input[집계키_센터],F1889)))</f>
        <v/>
      </c>
      <c r="F1889" t="str">
        <f>IFERROR(INDEX(tbl_input[집계키_센터],ROW()-1),"")</f>
        <v/>
      </c>
      <c r="G1889" t="str">
        <f t="shared" si="207"/>
        <v/>
      </c>
      <c r="H1889" t="str">
        <f t="shared" si="208"/>
        <v/>
      </c>
      <c r="I1889" t="str">
        <f t="shared" si="209"/>
        <v/>
      </c>
    </row>
    <row r="1890" spans="1:9" x14ac:dyDescent="0.4">
      <c r="A1890" t="str">
        <f t="shared" si="203"/>
        <v/>
      </c>
      <c r="B1890" t="str">
        <f t="shared" si="204"/>
        <v/>
      </c>
      <c r="C1890" t="str">
        <f t="shared" si="205"/>
        <v/>
      </c>
      <c r="D1890" t="str">
        <f t="shared" si="206"/>
        <v/>
      </c>
      <c r="E1890" t="str">
        <f>IF(F1890="","",IF(COUNTIF($F$2:F1890,F1890)&gt;1,"",SUMIFS(tbl_input[필요수량],tbl_input[집계키_센터],F1890)))</f>
        <v/>
      </c>
      <c r="F1890" t="str">
        <f>IFERROR(INDEX(tbl_input[집계키_센터],ROW()-1),"")</f>
        <v/>
      </c>
      <c r="G1890" t="str">
        <f t="shared" si="207"/>
        <v/>
      </c>
      <c r="H1890" t="str">
        <f t="shared" si="208"/>
        <v/>
      </c>
      <c r="I1890" t="str">
        <f t="shared" si="209"/>
        <v/>
      </c>
    </row>
    <row r="1891" spans="1:9" x14ac:dyDescent="0.4">
      <c r="A1891" t="str">
        <f t="shared" si="203"/>
        <v/>
      </c>
      <c r="B1891" t="str">
        <f t="shared" si="204"/>
        <v/>
      </c>
      <c r="C1891" t="str">
        <f t="shared" si="205"/>
        <v/>
      </c>
      <c r="D1891" t="str">
        <f t="shared" si="206"/>
        <v/>
      </c>
      <c r="E1891" t="str">
        <f>IF(F1891="","",IF(COUNTIF($F$2:F1891,F1891)&gt;1,"",SUMIFS(tbl_input[필요수량],tbl_input[집계키_센터],F1891)))</f>
        <v/>
      </c>
      <c r="F1891" t="str">
        <f>IFERROR(INDEX(tbl_input[집계키_센터],ROW()-1),"")</f>
        <v/>
      </c>
      <c r="G1891" t="str">
        <f t="shared" si="207"/>
        <v/>
      </c>
      <c r="H1891" t="str">
        <f t="shared" si="208"/>
        <v/>
      </c>
      <c r="I1891" t="str">
        <f t="shared" si="209"/>
        <v/>
      </c>
    </row>
    <row r="1892" spans="1:9" x14ac:dyDescent="0.4">
      <c r="A1892" t="str">
        <f t="shared" si="203"/>
        <v/>
      </c>
      <c r="B1892" t="str">
        <f t="shared" si="204"/>
        <v/>
      </c>
      <c r="C1892" t="str">
        <f t="shared" si="205"/>
        <v/>
      </c>
      <c r="D1892" t="str">
        <f t="shared" si="206"/>
        <v/>
      </c>
      <c r="E1892" t="str">
        <f>IF(F1892="","",IF(COUNTIF($F$2:F1892,F1892)&gt;1,"",SUMIFS(tbl_input[필요수량],tbl_input[집계키_센터],F1892)))</f>
        <v/>
      </c>
      <c r="F1892" t="str">
        <f>IFERROR(INDEX(tbl_input[집계키_센터],ROW()-1),"")</f>
        <v/>
      </c>
      <c r="G1892" t="str">
        <f t="shared" si="207"/>
        <v/>
      </c>
      <c r="H1892" t="str">
        <f t="shared" si="208"/>
        <v/>
      </c>
      <c r="I1892" t="str">
        <f t="shared" si="209"/>
        <v/>
      </c>
    </row>
    <row r="1893" spans="1:9" x14ac:dyDescent="0.4">
      <c r="A1893" t="str">
        <f t="shared" si="203"/>
        <v/>
      </c>
      <c r="B1893" t="str">
        <f t="shared" si="204"/>
        <v/>
      </c>
      <c r="C1893" t="str">
        <f t="shared" si="205"/>
        <v/>
      </c>
      <c r="D1893" t="str">
        <f t="shared" si="206"/>
        <v/>
      </c>
      <c r="E1893" t="str">
        <f>IF(F1893="","",IF(COUNTIF($F$2:F1893,F1893)&gt;1,"",SUMIFS(tbl_input[필요수량],tbl_input[집계키_센터],F1893)))</f>
        <v/>
      </c>
      <c r="F1893" t="str">
        <f>IFERROR(INDEX(tbl_input[집계키_센터],ROW()-1),"")</f>
        <v/>
      </c>
      <c r="G1893" t="str">
        <f t="shared" si="207"/>
        <v/>
      </c>
      <c r="H1893" t="str">
        <f t="shared" si="208"/>
        <v/>
      </c>
      <c r="I1893" t="str">
        <f t="shared" si="209"/>
        <v/>
      </c>
    </row>
    <row r="1894" spans="1:9" x14ac:dyDescent="0.4">
      <c r="A1894" t="str">
        <f t="shared" si="203"/>
        <v/>
      </c>
      <c r="B1894" t="str">
        <f t="shared" si="204"/>
        <v/>
      </c>
      <c r="C1894" t="str">
        <f t="shared" si="205"/>
        <v/>
      </c>
      <c r="D1894" t="str">
        <f t="shared" si="206"/>
        <v/>
      </c>
      <c r="E1894" t="str">
        <f>IF(F1894="","",IF(COUNTIF($F$2:F1894,F1894)&gt;1,"",SUMIFS(tbl_input[필요수량],tbl_input[집계키_센터],F1894)))</f>
        <v/>
      </c>
      <c r="F1894" t="str">
        <f>IFERROR(INDEX(tbl_input[집계키_센터],ROW()-1),"")</f>
        <v/>
      </c>
      <c r="G1894" t="str">
        <f t="shared" si="207"/>
        <v/>
      </c>
      <c r="H1894" t="str">
        <f t="shared" si="208"/>
        <v/>
      </c>
      <c r="I1894" t="str">
        <f t="shared" si="209"/>
        <v/>
      </c>
    </row>
    <row r="1895" spans="1:9" x14ac:dyDescent="0.4">
      <c r="A1895" t="str">
        <f t="shared" si="203"/>
        <v/>
      </c>
      <c r="B1895" t="str">
        <f t="shared" si="204"/>
        <v/>
      </c>
      <c r="C1895" t="str">
        <f t="shared" si="205"/>
        <v/>
      </c>
      <c r="D1895" t="str">
        <f t="shared" si="206"/>
        <v/>
      </c>
      <c r="E1895" t="str">
        <f>IF(F1895="","",IF(COUNTIF($F$2:F1895,F1895)&gt;1,"",SUMIFS(tbl_input[필요수량],tbl_input[집계키_센터],F1895)))</f>
        <v/>
      </c>
      <c r="F1895" t="str">
        <f>IFERROR(INDEX(tbl_input[집계키_센터],ROW()-1),"")</f>
        <v/>
      </c>
      <c r="G1895" t="str">
        <f t="shared" si="207"/>
        <v/>
      </c>
      <c r="H1895" t="str">
        <f t="shared" si="208"/>
        <v/>
      </c>
      <c r="I1895" t="str">
        <f t="shared" si="209"/>
        <v/>
      </c>
    </row>
    <row r="1896" spans="1:9" x14ac:dyDescent="0.4">
      <c r="A1896" t="str">
        <f t="shared" si="203"/>
        <v/>
      </c>
      <c r="B1896" t="str">
        <f t="shared" si="204"/>
        <v/>
      </c>
      <c r="C1896" t="str">
        <f t="shared" si="205"/>
        <v/>
      </c>
      <c r="D1896" t="str">
        <f t="shared" si="206"/>
        <v/>
      </c>
      <c r="E1896" t="str">
        <f>IF(F1896="","",IF(COUNTIF($F$2:F1896,F1896)&gt;1,"",SUMIFS(tbl_input[필요수량],tbl_input[집계키_센터],F1896)))</f>
        <v/>
      </c>
      <c r="F1896" t="str">
        <f>IFERROR(INDEX(tbl_input[집계키_센터],ROW()-1),"")</f>
        <v/>
      </c>
      <c r="G1896" t="str">
        <f t="shared" si="207"/>
        <v/>
      </c>
      <c r="H1896" t="str">
        <f t="shared" si="208"/>
        <v/>
      </c>
      <c r="I1896" t="str">
        <f t="shared" si="209"/>
        <v/>
      </c>
    </row>
    <row r="1897" spans="1:9" x14ac:dyDescent="0.4">
      <c r="A1897" t="str">
        <f t="shared" si="203"/>
        <v/>
      </c>
      <c r="B1897" t="str">
        <f t="shared" si="204"/>
        <v/>
      </c>
      <c r="C1897" t="str">
        <f t="shared" si="205"/>
        <v/>
      </c>
      <c r="D1897" t="str">
        <f t="shared" si="206"/>
        <v/>
      </c>
      <c r="E1897" t="str">
        <f>IF(F1897="","",IF(COUNTIF($F$2:F1897,F1897)&gt;1,"",SUMIFS(tbl_input[필요수량],tbl_input[집계키_센터],F1897)))</f>
        <v/>
      </c>
      <c r="F1897" t="str">
        <f>IFERROR(INDEX(tbl_input[집계키_센터],ROW()-1),"")</f>
        <v/>
      </c>
      <c r="G1897" t="str">
        <f t="shared" si="207"/>
        <v/>
      </c>
      <c r="H1897" t="str">
        <f t="shared" si="208"/>
        <v/>
      </c>
      <c r="I1897" t="str">
        <f t="shared" si="209"/>
        <v/>
      </c>
    </row>
    <row r="1898" spans="1:9" x14ac:dyDescent="0.4">
      <c r="A1898" t="str">
        <f t="shared" si="203"/>
        <v/>
      </c>
      <c r="B1898" t="str">
        <f t="shared" si="204"/>
        <v/>
      </c>
      <c r="C1898" t="str">
        <f t="shared" si="205"/>
        <v/>
      </c>
      <c r="D1898" t="str">
        <f t="shared" si="206"/>
        <v/>
      </c>
      <c r="E1898" t="str">
        <f>IF(F1898="","",IF(COUNTIF($F$2:F1898,F1898)&gt;1,"",SUMIFS(tbl_input[필요수량],tbl_input[집계키_센터],F1898)))</f>
        <v/>
      </c>
      <c r="F1898" t="str">
        <f>IFERROR(INDEX(tbl_input[집계키_센터],ROW()-1),"")</f>
        <v/>
      </c>
      <c r="G1898" t="str">
        <f t="shared" si="207"/>
        <v/>
      </c>
      <c r="H1898" t="str">
        <f t="shared" si="208"/>
        <v/>
      </c>
      <c r="I1898" t="str">
        <f t="shared" si="209"/>
        <v/>
      </c>
    </row>
    <row r="1899" spans="1:9" x14ac:dyDescent="0.4">
      <c r="A1899" t="str">
        <f t="shared" si="203"/>
        <v/>
      </c>
      <c r="B1899" t="str">
        <f t="shared" si="204"/>
        <v/>
      </c>
      <c r="C1899" t="str">
        <f t="shared" si="205"/>
        <v/>
      </c>
      <c r="D1899" t="str">
        <f t="shared" si="206"/>
        <v/>
      </c>
      <c r="E1899" t="str">
        <f>IF(F1899="","",IF(COUNTIF($F$2:F1899,F1899)&gt;1,"",SUMIFS(tbl_input[필요수량],tbl_input[집계키_센터],F1899)))</f>
        <v/>
      </c>
      <c r="F1899" t="str">
        <f>IFERROR(INDEX(tbl_input[집계키_센터],ROW()-1),"")</f>
        <v/>
      </c>
      <c r="G1899" t="str">
        <f t="shared" si="207"/>
        <v/>
      </c>
      <c r="H1899" t="str">
        <f t="shared" si="208"/>
        <v/>
      </c>
      <c r="I1899" t="str">
        <f t="shared" si="209"/>
        <v/>
      </c>
    </row>
    <row r="1900" spans="1:9" x14ac:dyDescent="0.4">
      <c r="A1900" t="str">
        <f t="shared" si="203"/>
        <v/>
      </c>
      <c r="B1900" t="str">
        <f t="shared" si="204"/>
        <v/>
      </c>
      <c r="C1900" t="str">
        <f t="shared" si="205"/>
        <v/>
      </c>
      <c r="D1900" t="str">
        <f t="shared" si="206"/>
        <v/>
      </c>
      <c r="E1900" t="str">
        <f>IF(F1900="","",IF(COUNTIF($F$2:F1900,F1900)&gt;1,"",SUMIFS(tbl_input[필요수량],tbl_input[집계키_센터],F1900)))</f>
        <v/>
      </c>
      <c r="F1900" t="str">
        <f>IFERROR(INDEX(tbl_input[집계키_센터],ROW()-1),"")</f>
        <v/>
      </c>
      <c r="G1900" t="str">
        <f t="shared" si="207"/>
        <v/>
      </c>
      <c r="H1900" t="str">
        <f t="shared" si="208"/>
        <v/>
      </c>
      <c r="I1900" t="str">
        <f t="shared" si="209"/>
        <v/>
      </c>
    </row>
    <row r="1901" spans="1:9" x14ac:dyDescent="0.4">
      <c r="A1901" t="str">
        <f t="shared" si="203"/>
        <v/>
      </c>
      <c r="B1901" t="str">
        <f t="shared" si="204"/>
        <v/>
      </c>
      <c r="C1901" t="str">
        <f t="shared" si="205"/>
        <v/>
      </c>
      <c r="D1901" t="str">
        <f t="shared" si="206"/>
        <v/>
      </c>
      <c r="E1901" t="str">
        <f>IF(F1901="","",IF(COUNTIF($F$2:F1901,F1901)&gt;1,"",SUMIFS(tbl_input[필요수량],tbl_input[집계키_센터],F1901)))</f>
        <v/>
      </c>
      <c r="F1901" t="str">
        <f>IFERROR(INDEX(tbl_input[집계키_센터],ROW()-1),"")</f>
        <v/>
      </c>
      <c r="G1901" t="str">
        <f t="shared" si="207"/>
        <v/>
      </c>
      <c r="H1901" t="str">
        <f t="shared" si="208"/>
        <v/>
      </c>
      <c r="I1901" t="str">
        <f t="shared" si="209"/>
        <v/>
      </c>
    </row>
    <row r="1902" spans="1:9" x14ac:dyDescent="0.4">
      <c r="A1902" t="str">
        <f t="shared" si="203"/>
        <v/>
      </c>
      <c r="B1902" t="str">
        <f t="shared" si="204"/>
        <v/>
      </c>
      <c r="C1902" t="str">
        <f t="shared" si="205"/>
        <v/>
      </c>
      <c r="D1902" t="str">
        <f t="shared" si="206"/>
        <v/>
      </c>
      <c r="E1902" t="str">
        <f>IF(F1902="","",IF(COUNTIF($F$2:F1902,F1902)&gt;1,"",SUMIFS(tbl_input[필요수량],tbl_input[집계키_센터],F1902)))</f>
        <v/>
      </c>
      <c r="F1902" t="str">
        <f>IFERROR(INDEX(tbl_input[집계키_센터],ROW()-1),"")</f>
        <v/>
      </c>
      <c r="G1902" t="str">
        <f t="shared" si="207"/>
        <v/>
      </c>
      <c r="H1902" t="str">
        <f t="shared" si="208"/>
        <v/>
      </c>
      <c r="I1902" t="str">
        <f t="shared" si="209"/>
        <v/>
      </c>
    </row>
    <row r="1903" spans="1:9" x14ac:dyDescent="0.4">
      <c r="A1903" t="str">
        <f t="shared" si="203"/>
        <v/>
      </c>
      <c r="B1903" t="str">
        <f t="shared" si="204"/>
        <v/>
      </c>
      <c r="C1903" t="str">
        <f t="shared" si="205"/>
        <v/>
      </c>
      <c r="D1903" t="str">
        <f t="shared" si="206"/>
        <v/>
      </c>
      <c r="E1903" t="str">
        <f>IF(F1903="","",IF(COUNTIF($F$2:F1903,F1903)&gt;1,"",SUMIFS(tbl_input[필요수량],tbl_input[집계키_센터],F1903)))</f>
        <v/>
      </c>
      <c r="F1903" t="str">
        <f>IFERROR(INDEX(tbl_input[집계키_센터],ROW()-1),"")</f>
        <v/>
      </c>
      <c r="G1903" t="str">
        <f t="shared" si="207"/>
        <v/>
      </c>
      <c r="H1903" t="str">
        <f t="shared" si="208"/>
        <v/>
      </c>
      <c r="I1903" t="str">
        <f t="shared" si="209"/>
        <v/>
      </c>
    </row>
    <row r="1904" spans="1:9" x14ac:dyDescent="0.4">
      <c r="A1904" t="str">
        <f t="shared" si="203"/>
        <v/>
      </c>
      <c r="B1904" t="str">
        <f t="shared" si="204"/>
        <v/>
      </c>
      <c r="C1904" t="str">
        <f t="shared" si="205"/>
        <v/>
      </c>
      <c r="D1904" t="str">
        <f t="shared" si="206"/>
        <v/>
      </c>
      <c r="E1904" t="str">
        <f>IF(F1904="","",IF(COUNTIF($F$2:F1904,F1904)&gt;1,"",SUMIFS(tbl_input[필요수량],tbl_input[집계키_센터],F1904)))</f>
        <v/>
      </c>
      <c r="F1904" t="str">
        <f>IFERROR(INDEX(tbl_input[집계키_센터],ROW()-1),"")</f>
        <v/>
      </c>
      <c r="G1904" t="str">
        <f t="shared" si="207"/>
        <v/>
      </c>
      <c r="H1904" t="str">
        <f t="shared" si="208"/>
        <v/>
      </c>
      <c r="I1904" t="str">
        <f t="shared" si="209"/>
        <v/>
      </c>
    </row>
    <row r="1905" spans="1:9" x14ac:dyDescent="0.4">
      <c r="A1905" t="str">
        <f t="shared" si="203"/>
        <v/>
      </c>
      <c r="B1905" t="str">
        <f t="shared" si="204"/>
        <v/>
      </c>
      <c r="C1905" t="str">
        <f t="shared" si="205"/>
        <v/>
      </c>
      <c r="D1905" t="str">
        <f t="shared" si="206"/>
        <v/>
      </c>
      <c r="E1905" t="str">
        <f>IF(F1905="","",IF(COUNTIF($F$2:F1905,F1905)&gt;1,"",SUMIFS(tbl_input[필요수량],tbl_input[집계키_센터],F1905)))</f>
        <v/>
      </c>
      <c r="F1905" t="str">
        <f>IFERROR(INDEX(tbl_input[집계키_센터],ROW()-1),"")</f>
        <v/>
      </c>
      <c r="G1905" t="str">
        <f t="shared" si="207"/>
        <v/>
      </c>
      <c r="H1905" t="str">
        <f t="shared" si="208"/>
        <v/>
      </c>
      <c r="I1905" t="str">
        <f t="shared" si="209"/>
        <v/>
      </c>
    </row>
    <row r="1906" spans="1:9" x14ac:dyDescent="0.4">
      <c r="A1906" t="str">
        <f t="shared" si="203"/>
        <v/>
      </c>
      <c r="B1906" t="str">
        <f t="shared" si="204"/>
        <v/>
      </c>
      <c r="C1906" t="str">
        <f t="shared" si="205"/>
        <v/>
      </c>
      <c r="D1906" t="str">
        <f t="shared" si="206"/>
        <v/>
      </c>
      <c r="E1906" t="str">
        <f>IF(F1906="","",IF(COUNTIF($F$2:F1906,F1906)&gt;1,"",SUMIFS(tbl_input[필요수량],tbl_input[집계키_센터],F1906)))</f>
        <v/>
      </c>
      <c r="F1906" t="str">
        <f>IFERROR(INDEX(tbl_input[집계키_센터],ROW()-1),"")</f>
        <v/>
      </c>
      <c r="G1906" t="str">
        <f t="shared" si="207"/>
        <v/>
      </c>
      <c r="H1906" t="str">
        <f t="shared" si="208"/>
        <v/>
      </c>
      <c r="I1906" t="str">
        <f t="shared" si="209"/>
        <v/>
      </c>
    </row>
    <row r="1907" spans="1:9" x14ac:dyDescent="0.4">
      <c r="A1907" t="str">
        <f t="shared" si="203"/>
        <v/>
      </c>
      <c r="B1907" t="str">
        <f t="shared" si="204"/>
        <v/>
      </c>
      <c r="C1907" t="str">
        <f t="shared" si="205"/>
        <v/>
      </c>
      <c r="D1907" t="str">
        <f t="shared" si="206"/>
        <v/>
      </c>
      <c r="E1907" t="str">
        <f>IF(F1907="","",IF(COUNTIF($F$2:F1907,F1907)&gt;1,"",SUMIFS(tbl_input[필요수량],tbl_input[집계키_센터],F1907)))</f>
        <v/>
      </c>
      <c r="F1907" t="str">
        <f>IFERROR(INDEX(tbl_input[집계키_센터],ROW()-1),"")</f>
        <v/>
      </c>
      <c r="G1907" t="str">
        <f t="shared" si="207"/>
        <v/>
      </c>
      <c r="H1907" t="str">
        <f t="shared" si="208"/>
        <v/>
      </c>
      <c r="I1907" t="str">
        <f t="shared" si="209"/>
        <v/>
      </c>
    </row>
    <row r="1908" spans="1:9" x14ac:dyDescent="0.4">
      <c r="A1908" t="str">
        <f t="shared" si="203"/>
        <v/>
      </c>
      <c r="B1908" t="str">
        <f t="shared" si="204"/>
        <v/>
      </c>
      <c r="C1908" t="str">
        <f t="shared" si="205"/>
        <v/>
      </c>
      <c r="D1908" t="str">
        <f t="shared" si="206"/>
        <v/>
      </c>
      <c r="E1908" t="str">
        <f>IF(F1908="","",IF(COUNTIF($F$2:F1908,F1908)&gt;1,"",SUMIFS(tbl_input[필요수량],tbl_input[집계키_센터],F1908)))</f>
        <v/>
      </c>
      <c r="F1908" t="str">
        <f>IFERROR(INDEX(tbl_input[집계키_센터],ROW()-1),"")</f>
        <v/>
      </c>
      <c r="G1908" t="str">
        <f t="shared" si="207"/>
        <v/>
      </c>
      <c r="H1908" t="str">
        <f t="shared" si="208"/>
        <v/>
      </c>
      <c r="I1908" t="str">
        <f t="shared" si="209"/>
        <v/>
      </c>
    </row>
    <row r="1909" spans="1:9" x14ac:dyDescent="0.4">
      <c r="A1909" t="str">
        <f t="shared" si="203"/>
        <v/>
      </c>
      <c r="B1909" t="str">
        <f t="shared" si="204"/>
        <v/>
      </c>
      <c r="C1909" t="str">
        <f t="shared" si="205"/>
        <v/>
      </c>
      <c r="D1909" t="str">
        <f t="shared" si="206"/>
        <v/>
      </c>
      <c r="E1909" t="str">
        <f>IF(F1909="","",IF(COUNTIF($F$2:F1909,F1909)&gt;1,"",SUMIFS(tbl_input[필요수량],tbl_input[집계키_센터],F1909)))</f>
        <v/>
      </c>
      <c r="F1909" t="str">
        <f>IFERROR(INDEX(tbl_input[집계키_센터],ROW()-1),"")</f>
        <v/>
      </c>
      <c r="G1909" t="str">
        <f t="shared" si="207"/>
        <v/>
      </c>
      <c r="H1909" t="str">
        <f t="shared" si="208"/>
        <v/>
      </c>
      <c r="I1909" t="str">
        <f t="shared" si="209"/>
        <v/>
      </c>
    </row>
    <row r="1910" spans="1:9" x14ac:dyDescent="0.4">
      <c r="A1910" t="str">
        <f t="shared" si="203"/>
        <v/>
      </c>
      <c r="B1910" t="str">
        <f t="shared" si="204"/>
        <v/>
      </c>
      <c r="C1910" t="str">
        <f t="shared" si="205"/>
        <v/>
      </c>
      <c r="D1910" t="str">
        <f t="shared" si="206"/>
        <v/>
      </c>
      <c r="E1910" t="str">
        <f>IF(F1910="","",IF(COUNTIF($F$2:F1910,F1910)&gt;1,"",SUMIFS(tbl_input[필요수량],tbl_input[집계키_센터],F1910)))</f>
        <v/>
      </c>
      <c r="F1910" t="str">
        <f>IFERROR(INDEX(tbl_input[집계키_센터],ROW()-1),"")</f>
        <v/>
      </c>
      <c r="G1910" t="str">
        <f t="shared" si="207"/>
        <v/>
      </c>
      <c r="H1910" t="str">
        <f t="shared" si="208"/>
        <v/>
      </c>
      <c r="I1910" t="str">
        <f t="shared" si="209"/>
        <v/>
      </c>
    </row>
    <row r="1911" spans="1:9" x14ac:dyDescent="0.4">
      <c r="A1911" t="str">
        <f t="shared" si="203"/>
        <v/>
      </c>
      <c r="B1911" t="str">
        <f t="shared" si="204"/>
        <v/>
      </c>
      <c r="C1911" t="str">
        <f t="shared" si="205"/>
        <v/>
      </c>
      <c r="D1911" t="str">
        <f t="shared" si="206"/>
        <v/>
      </c>
      <c r="E1911" t="str">
        <f>IF(F1911="","",IF(COUNTIF($F$2:F1911,F1911)&gt;1,"",SUMIFS(tbl_input[필요수량],tbl_input[집계키_센터],F1911)))</f>
        <v/>
      </c>
      <c r="F1911" t="str">
        <f>IFERROR(INDEX(tbl_input[집계키_센터],ROW()-1),"")</f>
        <v/>
      </c>
      <c r="G1911" t="str">
        <f t="shared" si="207"/>
        <v/>
      </c>
      <c r="H1911" t="str">
        <f t="shared" si="208"/>
        <v/>
      </c>
      <c r="I1911" t="str">
        <f t="shared" si="209"/>
        <v/>
      </c>
    </row>
    <row r="1912" spans="1:9" x14ac:dyDescent="0.4">
      <c r="A1912" t="str">
        <f t="shared" si="203"/>
        <v/>
      </c>
      <c r="B1912" t="str">
        <f t="shared" si="204"/>
        <v/>
      </c>
      <c r="C1912" t="str">
        <f t="shared" si="205"/>
        <v/>
      </c>
      <c r="D1912" t="str">
        <f t="shared" si="206"/>
        <v/>
      </c>
      <c r="E1912" t="str">
        <f>IF(F1912="","",IF(COUNTIF($F$2:F1912,F1912)&gt;1,"",SUMIFS(tbl_input[필요수량],tbl_input[집계키_센터],F1912)))</f>
        <v/>
      </c>
      <c r="F1912" t="str">
        <f>IFERROR(INDEX(tbl_input[집계키_센터],ROW()-1),"")</f>
        <v/>
      </c>
      <c r="G1912" t="str">
        <f t="shared" si="207"/>
        <v/>
      </c>
      <c r="H1912" t="str">
        <f t="shared" si="208"/>
        <v/>
      </c>
      <c r="I1912" t="str">
        <f t="shared" si="209"/>
        <v/>
      </c>
    </row>
    <row r="1913" spans="1:9" x14ac:dyDescent="0.4">
      <c r="A1913" t="str">
        <f t="shared" si="203"/>
        <v/>
      </c>
      <c r="B1913" t="str">
        <f t="shared" si="204"/>
        <v/>
      </c>
      <c r="C1913" t="str">
        <f t="shared" si="205"/>
        <v/>
      </c>
      <c r="D1913" t="str">
        <f t="shared" si="206"/>
        <v/>
      </c>
      <c r="E1913" t="str">
        <f>IF(F1913="","",IF(COUNTIF($F$2:F1913,F1913)&gt;1,"",SUMIFS(tbl_input[필요수량],tbl_input[집계키_센터],F1913)))</f>
        <v/>
      </c>
      <c r="F1913" t="str">
        <f>IFERROR(INDEX(tbl_input[집계키_센터],ROW()-1),"")</f>
        <v/>
      </c>
      <c r="G1913" t="str">
        <f t="shared" si="207"/>
        <v/>
      </c>
      <c r="H1913" t="str">
        <f t="shared" si="208"/>
        <v/>
      </c>
      <c r="I1913" t="str">
        <f t="shared" si="209"/>
        <v/>
      </c>
    </row>
    <row r="1914" spans="1:9" x14ac:dyDescent="0.4">
      <c r="A1914" t="str">
        <f t="shared" si="203"/>
        <v/>
      </c>
      <c r="B1914" t="str">
        <f t="shared" si="204"/>
        <v/>
      </c>
      <c r="C1914" t="str">
        <f t="shared" si="205"/>
        <v/>
      </c>
      <c r="D1914" t="str">
        <f t="shared" si="206"/>
        <v/>
      </c>
      <c r="E1914" t="str">
        <f>IF(F1914="","",IF(COUNTIF($F$2:F1914,F1914)&gt;1,"",SUMIFS(tbl_input[필요수량],tbl_input[집계키_센터],F1914)))</f>
        <v/>
      </c>
      <c r="F1914" t="str">
        <f>IFERROR(INDEX(tbl_input[집계키_센터],ROW()-1),"")</f>
        <v/>
      </c>
      <c r="G1914" t="str">
        <f t="shared" si="207"/>
        <v/>
      </c>
      <c r="H1914" t="str">
        <f t="shared" si="208"/>
        <v/>
      </c>
      <c r="I1914" t="str">
        <f t="shared" si="209"/>
        <v/>
      </c>
    </row>
    <row r="1915" spans="1:9" x14ac:dyDescent="0.4">
      <c r="A1915" t="str">
        <f t="shared" si="203"/>
        <v/>
      </c>
      <c r="B1915" t="str">
        <f t="shared" si="204"/>
        <v/>
      </c>
      <c r="C1915" t="str">
        <f t="shared" si="205"/>
        <v/>
      </c>
      <c r="D1915" t="str">
        <f t="shared" si="206"/>
        <v/>
      </c>
      <c r="E1915" t="str">
        <f>IF(F1915="","",IF(COUNTIF($F$2:F1915,F1915)&gt;1,"",SUMIFS(tbl_input[필요수량],tbl_input[집계키_센터],F1915)))</f>
        <v/>
      </c>
      <c r="F1915" t="str">
        <f>IFERROR(INDEX(tbl_input[집계키_센터],ROW()-1),"")</f>
        <v/>
      </c>
      <c r="G1915" t="str">
        <f t="shared" si="207"/>
        <v/>
      </c>
      <c r="H1915" t="str">
        <f t="shared" si="208"/>
        <v/>
      </c>
      <c r="I1915" t="str">
        <f t="shared" si="209"/>
        <v/>
      </c>
    </row>
    <row r="1916" spans="1:9" x14ac:dyDescent="0.4">
      <c r="A1916" t="str">
        <f t="shared" si="203"/>
        <v/>
      </c>
      <c r="B1916" t="str">
        <f t="shared" si="204"/>
        <v/>
      </c>
      <c r="C1916" t="str">
        <f t="shared" si="205"/>
        <v/>
      </c>
      <c r="D1916" t="str">
        <f t="shared" si="206"/>
        <v/>
      </c>
      <c r="E1916" t="str">
        <f>IF(F1916="","",IF(COUNTIF($F$2:F1916,F1916)&gt;1,"",SUMIFS(tbl_input[필요수량],tbl_input[집계키_센터],F1916)))</f>
        <v/>
      </c>
      <c r="F1916" t="str">
        <f>IFERROR(INDEX(tbl_input[집계키_센터],ROW()-1),"")</f>
        <v/>
      </c>
      <c r="G1916" t="str">
        <f t="shared" si="207"/>
        <v/>
      </c>
      <c r="H1916" t="str">
        <f t="shared" si="208"/>
        <v/>
      </c>
      <c r="I1916" t="str">
        <f t="shared" si="209"/>
        <v/>
      </c>
    </row>
    <row r="1917" spans="1:9" x14ac:dyDescent="0.4">
      <c r="A1917" t="str">
        <f t="shared" si="203"/>
        <v/>
      </c>
      <c r="B1917" t="str">
        <f t="shared" si="204"/>
        <v/>
      </c>
      <c r="C1917" t="str">
        <f t="shared" si="205"/>
        <v/>
      </c>
      <c r="D1917" t="str">
        <f t="shared" si="206"/>
        <v/>
      </c>
      <c r="E1917" t="str">
        <f>IF(F1917="","",IF(COUNTIF($F$2:F1917,F1917)&gt;1,"",SUMIFS(tbl_input[필요수량],tbl_input[집계키_센터],F1917)))</f>
        <v/>
      </c>
      <c r="F1917" t="str">
        <f>IFERROR(INDEX(tbl_input[집계키_센터],ROW()-1),"")</f>
        <v/>
      </c>
      <c r="G1917" t="str">
        <f t="shared" si="207"/>
        <v/>
      </c>
      <c r="H1917" t="str">
        <f t="shared" si="208"/>
        <v/>
      </c>
      <c r="I1917" t="str">
        <f t="shared" si="209"/>
        <v/>
      </c>
    </row>
    <row r="1918" spans="1:9" x14ac:dyDescent="0.4">
      <c r="A1918" t="str">
        <f t="shared" si="203"/>
        <v/>
      </c>
      <c r="B1918" t="str">
        <f t="shared" si="204"/>
        <v/>
      </c>
      <c r="C1918" t="str">
        <f t="shared" si="205"/>
        <v/>
      </c>
      <c r="D1918" t="str">
        <f t="shared" si="206"/>
        <v/>
      </c>
      <c r="E1918" t="str">
        <f>IF(F1918="","",IF(COUNTIF($F$2:F1918,F1918)&gt;1,"",SUMIFS(tbl_input[필요수량],tbl_input[집계키_센터],F1918)))</f>
        <v/>
      </c>
      <c r="F1918" t="str">
        <f>IFERROR(INDEX(tbl_input[집계키_센터],ROW()-1),"")</f>
        <v/>
      </c>
      <c r="G1918" t="str">
        <f t="shared" si="207"/>
        <v/>
      </c>
      <c r="H1918" t="str">
        <f t="shared" si="208"/>
        <v/>
      </c>
      <c r="I1918" t="str">
        <f t="shared" si="209"/>
        <v/>
      </c>
    </row>
    <row r="1919" spans="1:9" x14ac:dyDescent="0.4">
      <c r="A1919" t="str">
        <f t="shared" si="203"/>
        <v/>
      </c>
      <c r="B1919" t="str">
        <f t="shared" si="204"/>
        <v/>
      </c>
      <c r="C1919" t="str">
        <f t="shared" si="205"/>
        <v/>
      </c>
      <c r="D1919" t="str">
        <f t="shared" si="206"/>
        <v/>
      </c>
      <c r="E1919" t="str">
        <f>IF(F1919="","",IF(COUNTIF($F$2:F1919,F1919)&gt;1,"",SUMIFS(tbl_input[필요수량],tbl_input[집계키_센터],F1919)))</f>
        <v/>
      </c>
      <c r="F1919" t="str">
        <f>IFERROR(INDEX(tbl_input[집계키_센터],ROW()-1),"")</f>
        <v/>
      </c>
      <c r="G1919" t="str">
        <f t="shared" si="207"/>
        <v/>
      </c>
      <c r="H1919" t="str">
        <f t="shared" si="208"/>
        <v/>
      </c>
      <c r="I1919" t="str">
        <f t="shared" si="209"/>
        <v/>
      </c>
    </row>
    <row r="1920" spans="1:9" x14ac:dyDescent="0.4">
      <c r="A1920" t="str">
        <f t="shared" si="203"/>
        <v/>
      </c>
      <c r="B1920" t="str">
        <f t="shared" si="204"/>
        <v/>
      </c>
      <c r="C1920" t="str">
        <f t="shared" si="205"/>
        <v/>
      </c>
      <c r="D1920" t="str">
        <f t="shared" si="206"/>
        <v/>
      </c>
      <c r="E1920" t="str">
        <f>IF(F1920="","",IF(COUNTIF($F$2:F1920,F1920)&gt;1,"",SUMIFS(tbl_input[필요수량],tbl_input[집계키_센터],F1920)))</f>
        <v/>
      </c>
      <c r="F1920" t="str">
        <f>IFERROR(INDEX(tbl_input[집계키_센터],ROW()-1),"")</f>
        <v/>
      </c>
      <c r="G1920" t="str">
        <f t="shared" si="207"/>
        <v/>
      </c>
      <c r="H1920" t="str">
        <f t="shared" si="208"/>
        <v/>
      </c>
      <c r="I1920" t="str">
        <f t="shared" si="209"/>
        <v/>
      </c>
    </row>
    <row r="1921" spans="1:9" x14ac:dyDescent="0.4">
      <c r="A1921" t="str">
        <f t="shared" si="203"/>
        <v/>
      </c>
      <c r="B1921" t="str">
        <f t="shared" si="204"/>
        <v/>
      </c>
      <c r="C1921" t="str">
        <f t="shared" si="205"/>
        <v/>
      </c>
      <c r="D1921" t="str">
        <f t="shared" si="206"/>
        <v/>
      </c>
      <c r="E1921" t="str">
        <f>IF(F1921="","",IF(COUNTIF($F$2:F1921,F1921)&gt;1,"",SUMIFS(tbl_input[필요수량],tbl_input[집계키_센터],F1921)))</f>
        <v/>
      </c>
      <c r="F1921" t="str">
        <f>IFERROR(INDEX(tbl_input[집계키_센터],ROW()-1),"")</f>
        <v/>
      </c>
      <c r="G1921" t="str">
        <f t="shared" si="207"/>
        <v/>
      </c>
      <c r="H1921" t="str">
        <f t="shared" si="208"/>
        <v/>
      </c>
      <c r="I1921" t="str">
        <f t="shared" si="209"/>
        <v/>
      </c>
    </row>
    <row r="1922" spans="1:9" x14ac:dyDescent="0.4">
      <c r="A1922" t="str">
        <f t="shared" ref="A1922:A1985" si="210">IF(F1922="","",LEFT(F1922,G1922-1))</f>
        <v/>
      </c>
      <c r="B1922" t="str">
        <f t="shared" ref="B1922:B1985" si="211">IF(F1922="","",MID(F1922,G1922+1,H1922-G1922-1))</f>
        <v/>
      </c>
      <c r="C1922" t="str">
        <f t="shared" ref="C1922:C1985" si="212">IF(F1922="","",MID(F1922,H1922+1,I1922-H1922-1))</f>
        <v/>
      </c>
      <c r="D1922" t="str">
        <f t="shared" ref="D1922:D1985" si="213">IF(F1922="","",MID(F1922,I1922+1,999))</f>
        <v/>
      </c>
      <c r="E1922" t="str">
        <f>IF(F1922="","",IF(COUNTIF($F$2:F1922,F1922)&gt;1,"",SUMIFS(tbl_input[필요수량],tbl_input[집계키_센터],F1922)))</f>
        <v/>
      </c>
      <c r="F1922" t="str">
        <f>IFERROR(INDEX(tbl_input[집계키_센터],ROW()-1),"")</f>
        <v/>
      </c>
      <c r="G1922" t="str">
        <f t="shared" ref="G1922:G1985" si="214">IF(F1922="","",FIND("♦",F1922))</f>
        <v/>
      </c>
      <c r="H1922" t="str">
        <f t="shared" ref="H1922:H1985" si="215">IF(F1922="","",FIND("♦",F1922,G1922+1))</f>
        <v/>
      </c>
      <c r="I1922" t="str">
        <f t="shared" ref="I1922:I1985" si="216">IF(F1922="","",FIND("♦",F1922,H1922+1))</f>
        <v/>
      </c>
    </row>
    <row r="1923" spans="1:9" x14ac:dyDescent="0.4">
      <c r="A1923" t="str">
        <f t="shared" si="210"/>
        <v/>
      </c>
      <c r="B1923" t="str">
        <f t="shared" si="211"/>
        <v/>
      </c>
      <c r="C1923" t="str">
        <f t="shared" si="212"/>
        <v/>
      </c>
      <c r="D1923" t="str">
        <f t="shared" si="213"/>
        <v/>
      </c>
      <c r="E1923" t="str">
        <f>IF(F1923="","",IF(COUNTIF($F$2:F1923,F1923)&gt;1,"",SUMIFS(tbl_input[필요수량],tbl_input[집계키_센터],F1923)))</f>
        <v/>
      </c>
      <c r="F1923" t="str">
        <f>IFERROR(INDEX(tbl_input[집계키_센터],ROW()-1),"")</f>
        <v/>
      </c>
      <c r="G1923" t="str">
        <f t="shared" si="214"/>
        <v/>
      </c>
      <c r="H1923" t="str">
        <f t="shared" si="215"/>
        <v/>
      </c>
      <c r="I1923" t="str">
        <f t="shared" si="216"/>
        <v/>
      </c>
    </row>
    <row r="1924" spans="1:9" x14ac:dyDescent="0.4">
      <c r="A1924" t="str">
        <f t="shared" si="210"/>
        <v/>
      </c>
      <c r="B1924" t="str">
        <f t="shared" si="211"/>
        <v/>
      </c>
      <c r="C1924" t="str">
        <f t="shared" si="212"/>
        <v/>
      </c>
      <c r="D1924" t="str">
        <f t="shared" si="213"/>
        <v/>
      </c>
      <c r="E1924" t="str">
        <f>IF(F1924="","",IF(COUNTIF($F$2:F1924,F1924)&gt;1,"",SUMIFS(tbl_input[필요수량],tbl_input[집계키_센터],F1924)))</f>
        <v/>
      </c>
      <c r="F1924" t="str">
        <f>IFERROR(INDEX(tbl_input[집계키_센터],ROW()-1),"")</f>
        <v/>
      </c>
      <c r="G1924" t="str">
        <f t="shared" si="214"/>
        <v/>
      </c>
      <c r="H1924" t="str">
        <f t="shared" si="215"/>
        <v/>
      </c>
      <c r="I1924" t="str">
        <f t="shared" si="216"/>
        <v/>
      </c>
    </row>
    <row r="1925" spans="1:9" x14ac:dyDescent="0.4">
      <c r="A1925" t="str">
        <f t="shared" si="210"/>
        <v/>
      </c>
      <c r="B1925" t="str">
        <f t="shared" si="211"/>
        <v/>
      </c>
      <c r="C1925" t="str">
        <f t="shared" si="212"/>
        <v/>
      </c>
      <c r="D1925" t="str">
        <f t="shared" si="213"/>
        <v/>
      </c>
      <c r="E1925" t="str">
        <f>IF(F1925="","",IF(COUNTIF($F$2:F1925,F1925)&gt;1,"",SUMIFS(tbl_input[필요수량],tbl_input[집계키_센터],F1925)))</f>
        <v/>
      </c>
      <c r="F1925" t="str">
        <f>IFERROR(INDEX(tbl_input[집계키_센터],ROW()-1),"")</f>
        <v/>
      </c>
      <c r="G1925" t="str">
        <f t="shared" si="214"/>
        <v/>
      </c>
      <c r="H1925" t="str">
        <f t="shared" si="215"/>
        <v/>
      </c>
      <c r="I1925" t="str">
        <f t="shared" si="216"/>
        <v/>
      </c>
    </row>
    <row r="1926" spans="1:9" x14ac:dyDescent="0.4">
      <c r="A1926" t="str">
        <f t="shared" si="210"/>
        <v/>
      </c>
      <c r="B1926" t="str">
        <f t="shared" si="211"/>
        <v/>
      </c>
      <c r="C1926" t="str">
        <f t="shared" si="212"/>
        <v/>
      </c>
      <c r="D1926" t="str">
        <f t="shared" si="213"/>
        <v/>
      </c>
      <c r="E1926" t="str">
        <f>IF(F1926="","",IF(COUNTIF($F$2:F1926,F1926)&gt;1,"",SUMIFS(tbl_input[필요수량],tbl_input[집계키_센터],F1926)))</f>
        <v/>
      </c>
      <c r="F1926" t="str">
        <f>IFERROR(INDEX(tbl_input[집계키_센터],ROW()-1),"")</f>
        <v/>
      </c>
      <c r="G1926" t="str">
        <f t="shared" si="214"/>
        <v/>
      </c>
      <c r="H1926" t="str">
        <f t="shared" si="215"/>
        <v/>
      </c>
      <c r="I1926" t="str">
        <f t="shared" si="216"/>
        <v/>
      </c>
    </row>
    <row r="1927" spans="1:9" x14ac:dyDescent="0.4">
      <c r="A1927" t="str">
        <f t="shared" si="210"/>
        <v/>
      </c>
      <c r="B1927" t="str">
        <f t="shared" si="211"/>
        <v/>
      </c>
      <c r="C1927" t="str">
        <f t="shared" si="212"/>
        <v/>
      </c>
      <c r="D1927" t="str">
        <f t="shared" si="213"/>
        <v/>
      </c>
      <c r="E1927" t="str">
        <f>IF(F1927="","",IF(COUNTIF($F$2:F1927,F1927)&gt;1,"",SUMIFS(tbl_input[필요수량],tbl_input[집계키_센터],F1927)))</f>
        <v/>
      </c>
      <c r="F1927" t="str">
        <f>IFERROR(INDEX(tbl_input[집계키_센터],ROW()-1),"")</f>
        <v/>
      </c>
      <c r="G1927" t="str">
        <f t="shared" si="214"/>
        <v/>
      </c>
      <c r="H1927" t="str">
        <f t="shared" si="215"/>
        <v/>
      </c>
      <c r="I1927" t="str">
        <f t="shared" si="216"/>
        <v/>
      </c>
    </row>
    <row r="1928" spans="1:9" x14ac:dyDescent="0.4">
      <c r="A1928" t="str">
        <f t="shared" si="210"/>
        <v/>
      </c>
      <c r="B1928" t="str">
        <f t="shared" si="211"/>
        <v/>
      </c>
      <c r="C1928" t="str">
        <f t="shared" si="212"/>
        <v/>
      </c>
      <c r="D1928" t="str">
        <f t="shared" si="213"/>
        <v/>
      </c>
      <c r="E1928" t="str">
        <f>IF(F1928="","",IF(COUNTIF($F$2:F1928,F1928)&gt;1,"",SUMIFS(tbl_input[필요수량],tbl_input[집계키_센터],F1928)))</f>
        <v/>
      </c>
      <c r="F1928" t="str">
        <f>IFERROR(INDEX(tbl_input[집계키_센터],ROW()-1),"")</f>
        <v/>
      </c>
      <c r="G1928" t="str">
        <f t="shared" si="214"/>
        <v/>
      </c>
      <c r="H1928" t="str">
        <f t="shared" si="215"/>
        <v/>
      </c>
      <c r="I1928" t="str">
        <f t="shared" si="216"/>
        <v/>
      </c>
    </row>
    <row r="1929" spans="1:9" x14ac:dyDescent="0.4">
      <c r="A1929" t="str">
        <f t="shared" si="210"/>
        <v/>
      </c>
      <c r="B1929" t="str">
        <f t="shared" si="211"/>
        <v/>
      </c>
      <c r="C1929" t="str">
        <f t="shared" si="212"/>
        <v/>
      </c>
      <c r="D1929" t="str">
        <f t="shared" si="213"/>
        <v/>
      </c>
      <c r="E1929" t="str">
        <f>IF(F1929="","",IF(COUNTIF($F$2:F1929,F1929)&gt;1,"",SUMIFS(tbl_input[필요수량],tbl_input[집계키_센터],F1929)))</f>
        <v/>
      </c>
      <c r="F1929" t="str">
        <f>IFERROR(INDEX(tbl_input[집계키_센터],ROW()-1),"")</f>
        <v/>
      </c>
      <c r="G1929" t="str">
        <f t="shared" si="214"/>
        <v/>
      </c>
      <c r="H1929" t="str">
        <f t="shared" si="215"/>
        <v/>
      </c>
      <c r="I1929" t="str">
        <f t="shared" si="216"/>
        <v/>
      </c>
    </row>
    <row r="1930" spans="1:9" x14ac:dyDescent="0.4">
      <c r="A1930" t="str">
        <f t="shared" si="210"/>
        <v/>
      </c>
      <c r="B1930" t="str">
        <f t="shared" si="211"/>
        <v/>
      </c>
      <c r="C1930" t="str">
        <f t="shared" si="212"/>
        <v/>
      </c>
      <c r="D1930" t="str">
        <f t="shared" si="213"/>
        <v/>
      </c>
      <c r="E1930" t="str">
        <f>IF(F1930="","",IF(COUNTIF($F$2:F1930,F1930)&gt;1,"",SUMIFS(tbl_input[필요수량],tbl_input[집계키_센터],F1930)))</f>
        <v/>
      </c>
      <c r="F1930" t="str">
        <f>IFERROR(INDEX(tbl_input[집계키_센터],ROW()-1),"")</f>
        <v/>
      </c>
      <c r="G1930" t="str">
        <f t="shared" si="214"/>
        <v/>
      </c>
      <c r="H1930" t="str">
        <f t="shared" si="215"/>
        <v/>
      </c>
      <c r="I1930" t="str">
        <f t="shared" si="216"/>
        <v/>
      </c>
    </row>
    <row r="1931" spans="1:9" x14ac:dyDescent="0.4">
      <c r="A1931" t="str">
        <f t="shared" si="210"/>
        <v/>
      </c>
      <c r="B1931" t="str">
        <f t="shared" si="211"/>
        <v/>
      </c>
      <c r="C1931" t="str">
        <f t="shared" si="212"/>
        <v/>
      </c>
      <c r="D1931" t="str">
        <f t="shared" si="213"/>
        <v/>
      </c>
      <c r="E1931" t="str">
        <f>IF(F1931="","",IF(COUNTIF($F$2:F1931,F1931)&gt;1,"",SUMIFS(tbl_input[필요수량],tbl_input[집계키_센터],F1931)))</f>
        <v/>
      </c>
      <c r="F1931" t="str">
        <f>IFERROR(INDEX(tbl_input[집계키_센터],ROW()-1),"")</f>
        <v/>
      </c>
      <c r="G1931" t="str">
        <f t="shared" si="214"/>
        <v/>
      </c>
      <c r="H1931" t="str">
        <f t="shared" si="215"/>
        <v/>
      </c>
      <c r="I1931" t="str">
        <f t="shared" si="216"/>
        <v/>
      </c>
    </row>
    <row r="1932" spans="1:9" x14ac:dyDescent="0.4">
      <c r="A1932" t="str">
        <f t="shared" si="210"/>
        <v/>
      </c>
      <c r="B1932" t="str">
        <f t="shared" si="211"/>
        <v/>
      </c>
      <c r="C1932" t="str">
        <f t="shared" si="212"/>
        <v/>
      </c>
      <c r="D1932" t="str">
        <f t="shared" si="213"/>
        <v/>
      </c>
      <c r="E1932" t="str">
        <f>IF(F1932="","",IF(COUNTIF($F$2:F1932,F1932)&gt;1,"",SUMIFS(tbl_input[필요수량],tbl_input[집계키_센터],F1932)))</f>
        <v/>
      </c>
      <c r="F1932" t="str">
        <f>IFERROR(INDEX(tbl_input[집계키_센터],ROW()-1),"")</f>
        <v/>
      </c>
      <c r="G1932" t="str">
        <f t="shared" si="214"/>
        <v/>
      </c>
      <c r="H1932" t="str">
        <f t="shared" si="215"/>
        <v/>
      </c>
      <c r="I1932" t="str">
        <f t="shared" si="216"/>
        <v/>
      </c>
    </row>
    <row r="1933" spans="1:9" x14ac:dyDescent="0.4">
      <c r="A1933" t="str">
        <f t="shared" si="210"/>
        <v/>
      </c>
      <c r="B1933" t="str">
        <f t="shared" si="211"/>
        <v/>
      </c>
      <c r="C1933" t="str">
        <f t="shared" si="212"/>
        <v/>
      </c>
      <c r="D1933" t="str">
        <f t="shared" si="213"/>
        <v/>
      </c>
      <c r="E1933" t="str">
        <f>IF(F1933="","",IF(COUNTIF($F$2:F1933,F1933)&gt;1,"",SUMIFS(tbl_input[필요수량],tbl_input[집계키_센터],F1933)))</f>
        <v/>
      </c>
      <c r="F1933" t="str">
        <f>IFERROR(INDEX(tbl_input[집계키_센터],ROW()-1),"")</f>
        <v/>
      </c>
      <c r="G1933" t="str">
        <f t="shared" si="214"/>
        <v/>
      </c>
      <c r="H1933" t="str">
        <f t="shared" si="215"/>
        <v/>
      </c>
      <c r="I1933" t="str">
        <f t="shared" si="216"/>
        <v/>
      </c>
    </row>
    <row r="1934" spans="1:9" x14ac:dyDescent="0.4">
      <c r="A1934" t="str">
        <f t="shared" si="210"/>
        <v/>
      </c>
      <c r="B1934" t="str">
        <f t="shared" si="211"/>
        <v/>
      </c>
      <c r="C1934" t="str">
        <f t="shared" si="212"/>
        <v/>
      </c>
      <c r="D1934" t="str">
        <f t="shared" si="213"/>
        <v/>
      </c>
      <c r="E1934" t="str">
        <f>IF(F1934="","",IF(COUNTIF($F$2:F1934,F1934)&gt;1,"",SUMIFS(tbl_input[필요수량],tbl_input[집계키_센터],F1934)))</f>
        <v/>
      </c>
      <c r="F1934" t="str">
        <f>IFERROR(INDEX(tbl_input[집계키_센터],ROW()-1),"")</f>
        <v/>
      </c>
      <c r="G1934" t="str">
        <f t="shared" si="214"/>
        <v/>
      </c>
      <c r="H1934" t="str">
        <f t="shared" si="215"/>
        <v/>
      </c>
      <c r="I1934" t="str">
        <f t="shared" si="216"/>
        <v/>
      </c>
    </row>
    <row r="1935" spans="1:9" x14ac:dyDescent="0.4">
      <c r="A1935" t="str">
        <f t="shared" si="210"/>
        <v/>
      </c>
      <c r="B1935" t="str">
        <f t="shared" si="211"/>
        <v/>
      </c>
      <c r="C1935" t="str">
        <f t="shared" si="212"/>
        <v/>
      </c>
      <c r="D1935" t="str">
        <f t="shared" si="213"/>
        <v/>
      </c>
      <c r="E1935" t="str">
        <f>IF(F1935="","",IF(COUNTIF($F$2:F1935,F1935)&gt;1,"",SUMIFS(tbl_input[필요수량],tbl_input[집계키_센터],F1935)))</f>
        <v/>
      </c>
      <c r="F1935" t="str">
        <f>IFERROR(INDEX(tbl_input[집계키_센터],ROW()-1),"")</f>
        <v/>
      </c>
      <c r="G1935" t="str">
        <f t="shared" si="214"/>
        <v/>
      </c>
      <c r="H1935" t="str">
        <f t="shared" si="215"/>
        <v/>
      </c>
      <c r="I1935" t="str">
        <f t="shared" si="216"/>
        <v/>
      </c>
    </row>
    <row r="1936" spans="1:9" x14ac:dyDescent="0.4">
      <c r="A1936" t="str">
        <f t="shared" si="210"/>
        <v/>
      </c>
      <c r="B1936" t="str">
        <f t="shared" si="211"/>
        <v/>
      </c>
      <c r="C1936" t="str">
        <f t="shared" si="212"/>
        <v/>
      </c>
      <c r="D1936" t="str">
        <f t="shared" si="213"/>
        <v/>
      </c>
      <c r="E1936" t="str">
        <f>IF(F1936="","",IF(COUNTIF($F$2:F1936,F1936)&gt;1,"",SUMIFS(tbl_input[필요수량],tbl_input[집계키_센터],F1936)))</f>
        <v/>
      </c>
      <c r="F1936" t="str">
        <f>IFERROR(INDEX(tbl_input[집계키_센터],ROW()-1),"")</f>
        <v/>
      </c>
      <c r="G1936" t="str">
        <f t="shared" si="214"/>
        <v/>
      </c>
      <c r="H1936" t="str">
        <f t="shared" si="215"/>
        <v/>
      </c>
      <c r="I1936" t="str">
        <f t="shared" si="216"/>
        <v/>
      </c>
    </row>
    <row r="1937" spans="1:9" x14ac:dyDescent="0.4">
      <c r="A1937" t="str">
        <f t="shared" si="210"/>
        <v/>
      </c>
      <c r="B1937" t="str">
        <f t="shared" si="211"/>
        <v/>
      </c>
      <c r="C1937" t="str">
        <f t="shared" si="212"/>
        <v/>
      </c>
      <c r="D1937" t="str">
        <f t="shared" si="213"/>
        <v/>
      </c>
      <c r="E1937" t="str">
        <f>IF(F1937="","",IF(COUNTIF($F$2:F1937,F1937)&gt;1,"",SUMIFS(tbl_input[필요수량],tbl_input[집계키_센터],F1937)))</f>
        <v/>
      </c>
      <c r="F1937" t="str">
        <f>IFERROR(INDEX(tbl_input[집계키_센터],ROW()-1),"")</f>
        <v/>
      </c>
      <c r="G1937" t="str">
        <f t="shared" si="214"/>
        <v/>
      </c>
      <c r="H1937" t="str">
        <f t="shared" si="215"/>
        <v/>
      </c>
      <c r="I1937" t="str">
        <f t="shared" si="216"/>
        <v/>
      </c>
    </row>
    <row r="1938" spans="1:9" x14ac:dyDescent="0.4">
      <c r="A1938" t="str">
        <f t="shared" si="210"/>
        <v/>
      </c>
      <c r="B1938" t="str">
        <f t="shared" si="211"/>
        <v/>
      </c>
      <c r="C1938" t="str">
        <f t="shared" si="212"/>
        <v/>
      </c>
      <c r="D1938" t="str">
        <f t="shared" si="213"/>
        <v/>
      </c>
      <c r="E1938" t="str">
        <f>IF(F1938="","",IF(COUNTIF($F$2:F1938,F1938)&gt;1,"",SUMIFS(tbl_input[필요수량],tbl_input[집계키_센터],F1938)))</f>
        <v/>
      </c>
      <c r="F1938" t="str">
        <f>IFERROR(INDEX(tbl_input[집계키_센터],ROW()-1),"")</f>
        <v/>
      </c>
      <c r="G1938" t="str">
        <f t="shared" si="214"/>
        <v/>
      </c>
      <c r="H1938" t="str">
        <f t="shared" si="215"/>
        <v/>
      </c>
      <c r="I1938" t="str">
        <f t="shared" si="216"/>
        <v/>
      </c>
    </row>
    <row r="1939" spans="1:9" x14ac:dyDescent="0.4">
      <c r="A1939" t="str">
        <f t="shared" si="210"/>
        <v/>
      </c>
      <c r="B1939" t="str">
        <f t="shared" si="211"/>
        <v/>
      </c>
      <c r="C1939" t="str">
        <f t="shared" si="212"/>
        <v/>
      </c>
      <c r="D1939" t="str">
        <f t="shared" si="213"/>
        <v/>
      </c>
      <c r="E1939" t="str">
        <f>IF(F1939="","",IF(COUNTIF($F$2:F1939,F1939)&gt;1,"",SUMIFS(tbl_input[필요수량],tbl_input[집계키_센터],F1939)))</f>
        <v/>
      </c>
      <c r="F1939" t="str">
        <f>IFERROR(INDEX(tbl_input[집계키_센터],ROW()-1),"")</f>
        <v/>
      </c>
      <c r="G1939" t="str">
        <f t="shared" si="214"/>
        <v/>
      </c>
      <c r="H1939" t="str">
        <f t="shared" si="215"/>
        <v/>
      </c>
      <c r="I1939" t="str">
        <f t="shared" si="216"/>
        <v/>
      </c>
    </row>
    <row r="1940" spans="1:9" x14ac:dyDescent="0.4">
      <c r="A1940" t="str">
        <f t="shared" si="210"/>
        <v/>
      </c>
      <c r="B1940" t="str">
        <f t="shared" si="211"/>
        <v/>
      </c>
      <c r="C1940" t="str">
        <f t="shared" si="212"/>
        <v/>
      </c>
      <c r="D1940" t="str">
        <f t="shared" si="213"/>
        <v/>
      </c>
      <c r="E1940" t="str">
        <f>IF(F1940="","",IF(COUNTIF($F$2:F1940,F1940)&gt;1,"",SUMIFS(tbl_input[필요수량],tbl_input[집계키_센터],F1940)))</f>
        <v/>
      </c>
      <c r="F1940" t="str">
        <f>IFERROR(INDEX(tbl_input[집계키_센터],ROW()-1),"")</f>
        <v/>
      </c>
      <c r="G1940" t="str">
        <f t="shared" si="214"/>
        <v/>
      </c>
      <c r="H1940" t="str">
        <f t="shared" si="215"/>
        <v/>
      </c>
      <c r="I1940" t="str">
        <f t="shared" si="216"/>
        <v/>
      </c>
    </row>
    <row r="1941" spans="1:9" x14ac:dyDescent="0.4">
      <c r="A1941" t="str">
        <f t="shared" si="210"/>
        <v/>
      </c>
      <c r="B1941" t="str">
        <f t="shared" si="211"/>
        <v/>
      </c>
      <c r="C1941" t="str">
        <f t="shared" si="212"/>
        <v/>
      </c>
      <c r="D1941" t="str">
        <f t="shared" si="213"/>
        <v/>
      </c>
      <c r="E1941" t="str">
        <f>IF(F1941="","",IF(COUNTIF($F$2:F1941,F1941)&gt;1,"",SUMIFS(tbl_input[필요수량],tbl_input[집계키_센터],F1941)))</f>
        <v/>
      </c>
      <c r="F1941" t="str">
        <f>IFERROR(INDEX(tbl_input[집계키_센터],ROW()-1),"")</f>
        <v/>
      </c>
      <c r="G1941" t="str">
        <f t="shared" si="214"/>
        <v/>
      </c>
      <c r="H1941" t="str">
        <f t="shared" si="215"/>
        <v/>
      </c>
      <c r="I1941" t="str">
        <f t="shared" si="216"/>
        <v/>
      </c>
    </row>
    <row r="1942" spans="1:9" x14ac:dyDescent="0.4">
      <c r="A1942" t="str">
        <f t="shared" si="210"/>
        <v/>
      </c>
      <c r="B1942" t="str">
        <f t="shared" si="211"/>
        <v/>
      </c>
      <c r="C1942" t="str">
        <f t="shared" si="212"/>
        <v/>
      </c>
      <c r="D1942" t="str">
        <f t="shared" si="213"/>
        <v/>
      </c>
      <c r="E1942" t="str">
        <f>IF(F1942="","",IF(COUNTIF($F$2:F1942,F1942)&gt;1,"",SUMIFS(tbl_input[필요수량],tbl_input[집계키_센터],F1942)))</f>
        <v/>
      </c>
      <c r="F1942" t="str">
        <f>IFERROR(INDEX(tbl_input[집계키_센터],ROW()-1),"")</f>
        <v/>
      </c>
      <c r="G1942" t="str">
        <f t="shared" si="214"/>
        <v/>
      </c>
      <c r="H1942" t="str">
        <f t="shared" si="215"/>
        <v/>
      </c>
      <c r="I1942" t="str">
        <f t="shared" si="216"/>
        <v/>
      </c>
    </row>
    <row r="1943" spans="1:9" x14ac:dyDescent="0.4">
      <c r="A1943" t="str">
        <f t="shared" si="210"/>
        <v/>
      </c>
      <c r="B1943" t="str">
        <f t="shared" si="211"/>
        <v/>
      </c>
      <c r="C1943" t="str">
        <f t="shared" si="212"/>
        <v/>
      </c>
      <c r="D1943" t="str">
        <f t="shared" si="213"/>
        <v/>
      </c>
      <c r="E1943" t="str">
        <f>IF(F1943="","",IF(COUNTIF($F$2:F1943,F1943)&gt;1,"",SUMIFS(tbl_input[필요수량],tbl_input[집계키_센터],F1943)))</f>
        <v/>
      </c>
      <c r="F1943" t="str">
        <f>IFERROR(INDEX(tbl_input[집계키_센터],ROW()-1),"")</f>
        <v/>
      </c>
      <c r="G1943" t="str">
        <f t="shared" si="214"/>
        <v/>
      </c>
      <c r="H1943" t="str">
        <f t="shared" si="215"/>
        <v/>
      </c>
      <c r="I1943" t="str">
        <f t="shared" si="216"/>
        <v/>
      </c>
    </row>
    <row r="1944" spans="1:9" x14ac:dyDescent="0.4">
      <c r="A1944" t="str">
        <f t="shared" si="210"/>
        <v/>
      </c>
      <c r="B1944" t="str">
        <f t="shared" si="211"/>
        <v/>
      </c>
      <c r="C1944" t="str">
        <f t="shared" si="212"/>
        <v/>
      </c>
      <c r="D1944" t="str">
        <f t="shared" si="213"/>
        <v/>
      </c>
      <c r="E1944" t="str">
        <f>IF(F1944="","",IF(COUNTIF($F$2:F1944,F1944)&gt;1,"",SUMIFS(tbl_input[필요수량],tbl_input[집계키_센터],F1944)))</f>
        <v/>
      </c>
      <c r="F1944" t="str">
        <f>IFERROR(INDEX(tbl_input[집계키_센터],ROW()-1),"")</f>
        <v/>
      </c>
      <c r="G1944" t="str">
        <f t="shared" si="214"/>
        <v/>
      </c>
      <c r="H1944" t="str">
        <f t="shared" si="215"/>
        <v/>
      </c>
      <c r="I1944" t="str">
        <f t="shared" si="216"/>
        <v/>
      </c>
    </row>
    <row r="1945" spans="1:9" x14ac:dyDescent="0.4">
      <c r="A1945" t="str">
        <f t="shared" si="210"/>
        <v/>
      </c>
      <c r="B1945" t="str">
        <f t="shared" si="211"/>
        <v/>
      </c>
      <c r="C1945" t="str">
        <f t="shared" si="212"/>
        <v/>
      </c>
      <c r="D1945" t="str">
        <f t="shared" si="213"/>
        <v/>
      </c>
      <c r="E1945" t="str">
        <f>IF(F1945="","",IF(COUNTIF($F$2:F1945,F1945)&gt;1,"",SUMIFS(tbl_input[필요수량],tbl_input[집계키_센터],F1945)))</f>
        <v/>
      </c>
      <c r="F1945" t="str">
        <f>IFERROR(INDEX(tbl_input[집계키_센터],ROW()-1),"")</f>
        <v/>
      </c>
      <c r="G1945" t="str">
        <f t="shared" si="214"/>
        <v/>
      </c>
      <c r="H1945" t="str">
        <f t="shared" si="215"/>
        <v/>
      </c>
      <c r="I1945" t="str">
        <f t="shared" si="216"/>
        <v/>
      </c>
    </row>
    <row r="1946" spans="1:9" x14ac:dyDescent="0.4">
      <c r="A1946" t="str">
        <f t="shared" si="210"/>
        <v/>
      </c>
      <c r="B1946" t="str">
        <f t="shared" si="211"/>
        <v/>
      </c>
      <c r="C1946" t="str">
        <f t="shared" si="212"/>
        <v/>
      </c>
      <c r="D1946" t="str">
        <f t="shared" si="213"/>
        <v/>
      </c>
      <c r="E1946" t="str">
        <f>IF(F1946="","",IF(COUNTIF($F$2:F1946,F1946)&gt;1,"",SUMIFS(tbl_input[필요수량],tbl_input[집계키_센터],F1946)))</f>
        <v/>
      </c>
      <c r="F1946" t="str">
        <f>IFERROR(INDEX(tbl_input[집계키_센터],ROW()-1),"")</f>
        <v/>
      </c>
      <c r="G1946" t="str">
        <f t="shared" si="214"/>
        <v/>
      </c>
      <c r="H1946" t="str">
        <f t="shared" si="215"/>
        <v/>
      </c>
      <c r="I1946" t="str">
        <f t="shared" si="216"/>
        <v/>
      </c>
    </row>
    <row r="1947" spans="1:9" x14ac:dyDescent="0.4">
      <c r="A1947" t="str">
        <f t="shared" si="210"/>
        <v/>
      </c>
      <c r="B1947" t="str">
        <f t="shared" si="211"/>
        <v/>
      </c>
      <c r="C1947" t="str">
        <f t="shared" si="212"/>
        <v/>
      </c>
      <c r="D1947" t="str">
        <f t="shared" si="213"/>
        <v/>
      </c>
      <c r="E1947" t="str">
        <f>IF(F1947="","",IF(COUNTIF($F$2:F1947,F1947)&gt;1,"",SUMIFS(tbl_input[필요수량],tbl_input[집계키_센터],F1947)))</f>
        <v/>
      </c>
      <c r="F1947" t="str">
        <f>IFERROR(INDEX(tbl_input[집계키_센터],ROW()-1),"")</f>
        <v/>
      </c>
      <c r="G1947" t="str">
        <f t="shared" si="214"/>
        <v/>
      </c>
      <c r="H1947" t="str">
        <f t="shared" si="215"/>
        <v/>
      </c>
      <c r="I1947" t="str">
        <f t="shared" si="216"/>
        <v/>
      </c>
    </row>
    <row r="1948" spans="1:9" x14ac:dyDescent="0.4">
      <c r="A1948" t="str">
        <f t="shared" si="210"/>
        <v/>
      </c>
      <c r="B1948" t="str">
        <f t="shared" si="211"/>
        <v/>
      </c>
      <c r="C1948" t="str">
        <f t="shared" si="212"/>
        <v/>
      </c>
      <c r="D1948" t="str">
        <f t="shared" si="213"/>
        <v/>
      </c>
      <c r="E1948" t="str">
        <f>IF(F1948="","",IF(COUNTIF($F$2:F1948,F1948)&gt;1,"",SUMIFS(tbl_input[필요수량],tbl_input[집계키_센터],F1948)))</f>
        <v/>
      </c>
      <c r="F1948" t="str">
        <f>IFERROR(INDEX(tbl_input[집계키_센터],ROW()-1),"")</f>
        <v/>
      </c>
      <c r="G1948" t="str">
        <f t="shared" si="214"/>
        <v/>
      </c>
      <c r="H1948" t="str">
        <f t="shared" si="215"/>
        <v/>
      </c>
      <c r="I1948" t="str">
        <f t="shared" si="216"/>
        <v/>
      </c>
    </row>
    <row r="1949" spans="1:9" x14ac:dyDescent="0.4">
      <c r="A1949" t="str">
        <f t="shared" si="210"/>
        <v/>
      </c>
      <c r="B1949" t="str">
        <f t="shared" si="211"/>
        <v/>
      </c>
      <c r="C1949" t="str">
        <f t="shared" si="212"/>
        <v/>
      </c>
      <c r="D1949" t="str">
        <f t="shared" si="213"/>
        <v/>
      </c>
      <c r="E1949" t="str">
        <f>IF(F1949="","",IF(COUNTIF($F$2:F1949,F1949)&gt;1,"",SUMIFS(tbl_input[필요수량],tbl_input[집계키_센터],F1949)))</f>
        <v/>
      </c>
      <c r="F1949" t="str">
        <f>IFERROR(INDEX(tbl_input[집계키_센터],ROW()-1),"")</f>
        <v/>
      </c>
      <c r="G1949" t="str">
        <f t="shared" si="214"/>
        <v/>
      </c>
      <c r="H1949" t="str">
        <f t="shared" si="215"/>
        <v/>
      </c>
      <c r="I1949" t="str">
        <f t="shared" si="216"/>
        <v/>
      </c>
    </row>
    <row r="1950" spans="1:9" x14ac:dyDescent="0.4">
      <c r="A1950" t="str">
        <f t="shared" si="210"/>
        <v/>
      </c>
      <c r="B1950" t="str">
        <f t="shared" si="211"/>
        <v/>
      </c>
      <c r="C1950" t="str">
        <f t="shared" si="212"/>
        <v/>
      </c>
      <c r="D1950" t="str">
        <f t="shared" si="213"/>
        <v/>
      </c>
      <c r="E1950" t="str">
        <f>IF(F1950="","",IF(COUNTIF($F$2:F1950,F1950)&gt;1,"",SUMIFS(tbl_input[필요수량],tbl_input[집계키_센터],F1950)))</f>
        <v/>
      </c>
      <c r="F1950" t="str">
        <f>IFERROR(INDEX(tbl_input[집계키_센터],ROW()-1),"")</f>
        <v/>
      </c>
      <c r="G1950" t="str">
        <f t="shared" si="214"/>
        <v/>
      </c>
      <c r="H1950" t="str">
        <f t="shared" si="215"/>
        <v/>
      </c>
      <c r="I1950" t="str">
        <f t="shared" si="216"/>
        <v/>
      </c>
    </row>
    <row r="1951" spans="1:9" x14ac:dyDescent="0.4">
      <c r="A1951" t="str">
        <f t="shared" si="210"/>
        <v/>
      </c>
      <c r="B1951" t="str">
        <f t="shared" si="211"/>
        <v/>
      </c>
      <c r="C1951" t="str">
        <f t="shared" si="212"/>
        <v/>
      </c>
      <c r="D1951" t="str">
        <f t="shared" si="213"/>
        <v/>
      </c>
      <c r="E1951" t="str">
        <f>IF(F1951="","",IF(COUNTIF($F$2:F1951,F1951)&gt;1,"",SUMIFS(tbl_input[필요수량],tbl_input[집계키_센터],F1951)))</f>
        <v/>
      </c>
      <c r="F1951" t="str">
        <f>IFERROR(INDEX(tbl_input[집계키_센터],ROW()-1),"")</f>
        <v/>
      </c>
      <c r="G1951" t="str">
        <f t="shared" si="214"/>
        <v/>
      </c>
      <c r="H1951" t="str">
        <f t="shared" si="215"/>
        <v/>
      </c>
      <c r="I1951" t="str">
        <f t="shared" si="216"/>
        <v/>
      </c>
    </row>
    <row r="1952" spans="1:9" x14ac:dyDescent="0.4">
      <c r="A1952" t="str">
        <f t="shared" si="210"/>
        <v/>
      </c>
      <c r="B1952" t="str">
        <f t="shared" si="211"/>
        <v/>
      </c>
      <c r="C1952" t="str">
        <f t="shared" si="212"/>
        <v/>
      </c>
      <c r="D1952" t="str">
        <f t="shared" si="213"/>
        <v/>
      </c>
      <c r="E1952" t="str">
        <f>IF(F1952="","",IF(COUNTIF($F$2:F1952,F1952)&gt;1,"",SUMIFS(tbl_input[필요수량],tbl_input[집계키_센터],F1952)))</f>
        <v/>
      </c>
      <c r="F1952" t="str">
        <f>IFERROR(INDEX(tbl_input[집계키_센터],ROW()-1),"")</f>
        <v/>
      </c>
      <c r="G1952" t="str">
        <f t="shared" si="214"/>
        <v/>
      </c>
      <c r="H1952" t="str">
        <f t="shared" si="215"/>
        <v/>
      </c>
      <c r="I1952" t="str">
        <f t="shared" si="216"/>
        <v/>
      </c>
    </row>
    <row r="1953" spans="1:9" x14ac:dyDescent="0.4">
      <c r="A1953" t="str">
        <f t="shared" si="210"/>
        <v/>
      </c>
      <c r="B1953" t="str">
        <f t="shared" si="211"/>
        <v/>
      </c>
      <c r="C1953" t="str">
        <f t="shared" si="212"/>
        <v/>
      </c>
      <c r="D1953" t="str">
        <f t="shared" si="213"/>
        <v/>
      </c>
      <c r="E1953" t="str">
        <f>IF(F1953="","",IF(COUNTIF($F$2:F1953,F1953)&gt;1,"",SUMIFS(tbl_input[필요수량],tbl_input[집계키_센터],F1953)))</f>
        <v/>
      </c>
      <c r="F1953" t="str">
        <f>IFERROR(INDEX(tbl_input[집계키_센터],ROW()-1),"")</f>
        <v/>
      </c>
      <c r="G1953" t="str">
        <f t="shared" si="214"/>
        <v/>
      </c>
      <c r="H1953" t="str">
        <f t="shared" si="215"/>
        <v/>
      </c>
      <c r="I1953" t="str">
        <f t="shared" si="216"/>
        <v/>
      </c>
    </row>
    <row r="1954" spans="1:9" x14ac:dyDescent="0.4">
      <c r="A1954" t="str">
        <f t="shared" si="210"/>
        <v/>
      </c>
      <c r="B1954" t="str">
        <f t="shared" si="211"/>
        <v/>
      </c>
      <c r="C1954" t="str">
        <f t="shared" si="212"/>
        <v/>
      </c>
      <c r="D1954" t="str">
        <f t="shared" si="213"/>
        <v/>
      </c>
      <c r="E1954" t="str">
        <f>IF(F1954="","",IF(COUNTIF($F$2:F1954,F1954)&gt;1,"",SUMIFS(tbl_input[필요수량],tbl_input[집계키_센터],F1954)))</f>
        <v/>
      </c>
      <c r="F1954" t="str">
        <f>IFERROR(INDEX(tbl_input[집계키_센터],ROW()-1),"")</f>
        <v/>
      </c>
      <c r="G1954" t="str">
        <f t="shared" si="214"/>
        <v/>
      </c>
      <c r="H1954" t="str">
        <f t="shared" si="215"/>
        <v/>
      </c>
      <c r="I1954" t="str">
        <f t="shared" si="216"/>
        <v/>
      </c>
    </row>
    <row r="1955" spans="1:9" x14ac:dyDescent="0.4">
      <c r="A1955" t="str">
        <f t="shared" si="210"/>
        <v/>
      </c>
      <c r="B1955" t="str">
        <f t="shared" si="211"/>
        <v/>
      </c>
      <c r="C1955" t="str">
        <f t="shared" si="212"/>
        <v/>
      </c>
      <c r="D1955" t="str">
        <f t="shared" si="213"/>
        <v/>
      </c>
      <c r="E1955" t="str">
        <f>IF(F1955="","",IF(COUNTIF($F$2:F1955,F1955)&gt;1,"",SUMIFS(tbl_input[필요수량],tbl_input[집계키_센터],F1955)))</f>
        <v/>
      </c>
      <c r="F1955" t="str">
        <f>IFERROR(INDEX(tbl_input[집계키_센터],ROW()-1),"")</f>
        <v/>
      </c>
      <c r="G1955" t="str">
        <f t="shared" si="214"/>
        <v/>
      </c>
      <c r="H1955" t="str">
        <f t="shared" si="215"/>
        <v/>
      </c>
      <c r="I1955" t="str">
        <f t="shared" si="216"/>
        <v/>
      </c>
    </row>
    <row r="1956" spans="1:9" x14ac:dyDescent="0.4">
      <c r="A1956" t="str">
        <f t="shared" si="210"/>
        <v/>
      </c>
      <c r="B1956" t="str">
        <f t="shared" si="211"/>
        <v/>
      </c>
      <c r="C1956" t="str">
        <f t="shared" si="212"/>
        <v/>
      </c>
      <c r="D1956" t="str">
        <f t="shared" si="213"/>
        <v/>
      </c>
      <c r="E1956" t="str">
        <f>IF(F1956="","",IF(COUNTIF($F$2:F1956,F1956)&gt;1,"",SUMIFS(tbl_input[필요수량],tbl_input[집계키_센터],F1956)))</f>
        <v/>
      </c>
      <c r="F1956" t="str">
        <f>IFERROR(INDEX(tbl_input[집계키_센터],ROW()-1),"")</f>
        <v/>
      </c>
      <c r="G1956" t="str">
        <f t="shared" si="214"/>
        <v/>
      </c>
      <c r="H1956" t="str">
        <f t="shared" si="215"/>
        <v/>
      </c>
      <c r="I1956" t="str">
        <f t="shared" si="216"/>
        <v/>
      </c>
    </row>
    <row r="1957" spans="1:9" x14ac:dyDescent="0.4">
      <c r="A1957" t="str">
        <f t="shared" si="210"/>
        <v/>
      </c>
      <c r="B1957" t="str">
        <f t="shared" si="211"/>
        <v/>
      </c>
      <c r="C1957" t="str">
        <f t="shared" si="212"/>
        <v/>
      </c>
      <c r="D1957" t="str">
        <f t="shared" si="213"/>
        <v/>
      </c>
      <c r="E1957" t="str">
        <f>IF(F1957="","",IF(COUNTIF($F$2:F1957,F1957)&gt;1,"",SUMIFS(tbl_input[필요수량],tbl_input[집계키_센터],F1957)))</f>
        <v/>
      </c>
      <c r="F1957" t="str">
        <f>IFERROR(INDEX(tbl_input[집계키_센터],ROW()-1),"")</f>
        <v/>
      </c>
      <c r="G1957" t="str">
        <f t="shared" si="214"/>
        <v/>
      </c>
      <c r="H1957" t="str">
        <f t="shared" si="215"/>
        <v/>
      </c>
      <c r="I1957" t="str">
        <f t="shared" si="216"/>
        <v/>
      </c>
    </row>
    <row r="1958" spans="1:9" x14ac:dyDescent="0.4">
      <c r="A1958" t="str">
        <f t="shared" si="210"/>
        <v/>
      </c>
      <c r="B1958" t="str">
        <f t="shared" si="211"/>
        <v/>
      </c>
      <c r="C1958" t="str">
        <f t="shared" si="212"/>
        <v/>
      </c>
      <c r="D1958" t="str">
        <f t="shared" si="213"/>
        <v/>
      </c>
      <c r="E1958" t="str">
        <f>IF(F1958="","",IF(COUNTIF($F$2:F1958,F1958)&gt;1,"",SUMIFS(tbl_input[필요수량],tbl_input[집계키_센터],F1958)))</f>
        <v/>
      </c>
      <c r="F1958" t="str">
        <f>IFERROR(INDEX(tbl_input[집계키_센터],ROW()-1),"")</f>
        <v/>
      </c>
      <c r="G1958" t="str">
        <f t="shared" si="214"/>
        <v/>
      </c>
      <c r="H1958" t="str">
        <f t="shared" si="215"/>
        <v/>
      </c>
      <c r="I1958" t="str">
        <f t="shared" si="216"/>
        <v/>
      </c>
    </row>
    <row r="1959" spans="1:9" x14ac:dyDescent="0.4">
      <c r="A1959" t="str">
        <f t="shared" si="210"/>
        <v/>
      </c>
      <c r="B1959" t="str">
        <f t="shared" si="211"/>
        <v/>
      </c>
      <c r="C1959" t="str">
        <f t="shared" si="212"/>
        <v/>
      </c>
      <c r="D1959" t="str">
        <f t="shared" si="213"/>
        <v/>
      </c>
      <c r="E1959" t="str">
        <f>IF(F1959="","",IF(COUNTIF($F$2:F1959,F1959)&gt;1,"",SUMIFS(tbl_input[필요수량],tbl_input[집계키_센터],F1959)))</f>
        <v/>
      </c>
      <c r="F1959" t="str">
        <f>IFERROR(INDEX(tbl_input[집계키_센터],ROW()-1),"")</f>
        <v/>
      </c>
      <c r="G1959" t="str">
        <f t="shared" si="214"/>
        <v/>
      </c>
      <c r="H1959" t="str">
        <f t="shared" si="215"/>
        <v/>
      </c>
      <c r="I1959" t="str">
        <f t="shared" si="216"/>
        <v/>
      </c>
    </row>
    <row r="1960" spans="1:9" x14ac:dyDescent="0.4">
      <c r="A1960" t="str">
        <f t="shared" si="210"/>
        <v/>
      </c>
      <c r="B1960" t="str">
        <f t="shared" si="211"/>
        <v/>
      </c>
      <c r="C1960" t="str">
        <f t="shared" si="212"/>
        <v/>
      </c>
      <c r="D1960" t="str">
        <f t="shared" si="213"/>
        <v/>
      </c>
      <c r="E1960" t="str">
        <f>IF(F1960="","",IF(COUNTIF($F$2:F1960,F1960)&gt;1,"",SUMIFS(tbl_input[필요수량],tbl_input[집계키_센터],F1960)))</f>
        <v/>
      </c>
      <c r="F1960" t="str">
        <f>IFERROR(INDEX(tbl_input[집계키_센터],ROW()-1),"")</f>
        <v/>
      </c>
      <c r="G1960" t="str">
        <f t="shared" si="214"/>
        <v/>
      </c>
      <c r="H1960" t="str">
        <f t="shared" si="215"/>
        <v/>
      </c>
      <c r="I1960" t="str">
        <f t="shared" si="216"/>
        <v/>
      </c>
    </row>
    <row r="1961" spans="1:9" x14ac:dyDescent="0.4">
      <c r="A1961" t="str">
        <f t="shared" si="210"/>
        <v/>
      </c>
      <c r="B1961" t="str">
        <f t="shared" si="211"/>
        <v/>
      </c>
      <c r="C1961" t="str">
        <f t="shared" si="212"/>
        <v/>
      </c>
      <c r="D1961" t="str">
        <f t="shared" si="213"/>
        <v/>
      </c>
      <c r="E1961" t="str">
        <f>IF(F1961="","",IF(COUNTIF($F$2:F1961,F1961)&gt;1,"",SUMIFS(tbl_input[필요수량],tbl_input[집계키_센터],F1961)))</f>
        <v/>
      </c>
      <c r="F1961" t="str">
        <f>IFERROR(INDEX(tbl_input[집계키_센터],ROW()-1),"")</f>
        <v/>
      </c>
      <c r="G1961" t="str">
        <f t="shared" si="214"/>
        <v/>
      </c>
      <c r="H1961" t="str">
        <f t="shared" si="215"/>
        <v/>
      </c>
      <c r="I1961" t="str">
        <f t="shared" si="216"/>
        <v/>
      </c>
    </row>
    <row r="1962" spans="1:9" x14ac:dyDescent="0.4">
      <c r="A1962" t="str">
        <f t="shared" si="210"/>
        <v/>
      </c>
      <c r="B1962" t="str">
        <f t="shared" si="211"/>
        <v/>
      </c>
      <c r="C1962" t="str">
        <f t="shared" si="212"/>
        <v/>
      </c>
      <c r="D1962" t="str">
        <f t="shared" si="213"/>
        <v/>
      </c>
      <c r="E1962" t="str">
        <f>IF(F1962="","",IF(COUNTIF($F$2:F1962,F1962)&gt;1,"",SUMIFS(tbl_input[필요수량],tbl_input[집계키_센터],F1962)))</f>
        <v/>
      </c>
      <c r="F1962" t="str">
        <f>IFERROR(INDEX(tbl_input[집계키_센터],ROW()-1),"")</f>
        <v/>
      </c>
      <c r="G1962" t="str">
        <f t="shared" si="214"/>
        <v/>
      </c>
      <c r="H1962" t="str">
        <f t="shared" si="215"/>
        <v/>
      </c>
      <c r="I1962" t="str">
        <f t="shared" si="216"/>
        <v/>
      </c>
    </row>
    <row r="1963" spans="1:9" x14ac:dyDescent="0.4">
      <c r="A1963" t="str">
        <f t="shared" si="210"/>
        <v/>
      </c>
      <c r="B1963" t="str">
        <f t="shared" si="211"/>
        <v/>
      </c>
      <c r="C1963" t="str">
        <f t="shared" si="212"/>
        <v/>
      </c>
      <c r="D1963" t="str">
        <f t="shared" si="213"/>
        <v/>
      </c>
      <c r="E1963" t="str">
        <f>IF(F1963="","",IF(COUNTIF($F$2:F1963,F1963)&gt;1,"",SUMIFS(tbl_input[필요수량],tbl_input[집계키_센터],F1963)))</f>
        <v/>
      </c>
      <c r="F1963" t="str">
        <f>IFERROR(INDEX(tbl_input[집계키_센터],ROW()-1),"")</f>
        <v/>
      </c>
      <c r="G1963" t="str">
        <f t="shared" si="214"/>
        <v/>
      </c>
      <c r="H1963" t="str">
        <f t="shared" si="215"/>
        <v/>
      </c>
      <c r="I1963" t="str">
        <f t="shared" si="216"/>
        <v/>
      </c>
    </row>
    <row r="1964" spans="1:9" x14ac:dyDescent="0.4">
      <c r="A1964" t="str">
        <f t="shared" si="210"/>
        <v/>
      </c>
      <c r="B1964" t="str">
        <f t="shared" si="211"/>
        <v/>
      </c>
      <c r="C1964" t="str">
        <f t="shared" si="212"/>
        <v/>
      </c>
      <c r="D1964" t="str">
        <f t="shared" si="213"/>
        <v/>
      </c>
      <c r="E1964" t="str">
        <f>IF(F1964="","",IF(COUNTIF($F$2:F1964,F1964)&gt;1,"",SUMIFS(tbl_input[필요수량],tbl_input[집계키_센터],F1964)))</f>
        <v/>
      </c>
      <c r="F1964" t="str">
        <f>IFERROR(INDEX(tbl_input[집계키_센터],ROW()-1),"")</f>
        <v/>
      </c>
      <c r="G1964" t="str">
        <f t="shared" si="214"/>
        <v/>
      </c>
      <c r="H1964" t="str">
        <f t="shared" si="215"/>
        <v/>
      </c>
      <c r="I1964" t="str">
        <f t="shared" si="216"/>
        <v/>
      </c>
    </row>
    <row r="1965" spans="1:9" x14ac:dyDescent="0.4">
      <c r="A1965" t="str">
        <f t="shared" si="210"/>
        <v/>
      </c>
      <c r="B1965" t="str">
        <f t="shared" si="211"/>
        <v/>
      </c>
      <c r="C1965" t="str">
        <f t="shared" si="212"/>
        <v/>
      </c>
      <c r="D1965" t="str">
        <f t="shared" si="213"/>
        <v/>
      </c>
      <c r="E1965" t="str">
        <f>IF(F1965="","",IF(COUNTIF($F$2:F1965,F1965)&gt;1,"",SUMIFS(tbl_input[필요수량],tbl_input[집계키_센터],F1965)))</f>
        <v/>
      </c>
      <c r="F1965" t="str">
        <f>IFERROR(INDEX(tbl_input[집계키_센터],ROW()-1),"")</f>
        <v/>
      </c>
      <c r="G1965" t="str">
        <f t="shared" si="214"/>
        <v/>
      </c>
      <c r="H1965" t="str">
        <f t="shared" si="215"/>
        <v/>
      </c>
      <c r="I1965" t="str">
        <f t="shared" si="216"/>
        <v/>
      </c>
    </row>
    <row r="1966" spans="1:9" x14ac:dyDescent="0.4">
      <c r="A1966" t="str">
        <f t="shared" si="210"/>
        <v/>
      </c>
      <c r="B1966" t="str">
        <f t="shared" si="211"/>
        <v/>
      </c>
      <c r="C1966" t="str">
        <f t="shared" si="212"/>
        <v/>
      </c>
      <c r="D1966" t="str">
        <f t="shared" si="213"/>
        <v/>
      </c>
      <c r="E1966" t="str">
        <f>IF(F1966="","",IF(COUNTIF($F$2:F1966,F1966)&gt;1,"",SUMIFS(tbl_input[필요수량],tbl_input[집계키_센터],F1966)))</f>
        <v/>
      </c>
      <c r="F1966" t="str">
        <f>IFERROR(INDEX(tbl_input[집계키_센터],ROW()-1),"")</f>
        <v/>
      </c>
      <c r="G1966" t="str">
        <f t="shared" si="214"/>
        <v/>
      </c>
      <c r="H1966" t="str">
        <f t="shared" si="215"/>
        <v/>
      </c>
      <c r="I1966" t="str">
        <f t="shared" si="216"/>
        <v/>
      </c>
    </row>
    <row r="1967" spans="1:9" x14ac:dyDescent="0.4">
      <c r="A1967" t="str">
        <f t="shared" si="210"/>
        <v/>
      </c>
      <c r="B1967" t="str">
        <f t="shared" si="211"/>
        <v/>
      </c>
      <c r="C1967" t="str">
        <f t="shared" si="212"/>
        <v/>
      </c>
      <c r="D1967" t="str">
        <f t="shared" si="213"/>
        <v/>
      </c>
      <c r="E1967" t="str">
        <f>IF(F1967="","",IF(COUNTIF($F$2:F1967,F1967)&gt;1,"",SUMIFS(tbl_input[필요수량],tbl_input[집계키_센터],F1967)))</f>
        <v/>
      </c>
      <c r="F1967" t="str">
        <f>IFERROR(INDEX(tbl_input[집계키_센터],ROW()-1),"")</f>
        <v/>
      </c>
      <c r="G1967" t="str">
        <f t="shared" si="214"/>
        <v/>
      </c>
      <c r="H1967" t="str">
        <f t="shared" si="215"/>
        <v/>
      </c>
      <c r="I1967" t="str">
        <f t="shared" si="216"/>
        <v/>
      </c>
    </row>
    <row r="1968" spans="1:9" x14ac:dyDescent="0.4">
      <c r="A1968" t="str">
        <f t="shared" si="210"/>
        <v/>
      </c>
      <c r="B1968" t="str">
        <f t="shared" si="211"/>
        <v/>
      </c>
      <c r="C1968" t="str">
        <f t="shared" si="212"/>
        <v/>
      </c>
      <c r="D1968" t="str">
        <f t="shared" si="213"/>
        <v/>
      </c>
      <c r="E1968" t="str">
        <f>IF(F1968="","",IF(COUNTIF($F$2:F1968,F1968)&gt;1,"",SUMIFS(tbl_input[필요수량],tbl_input[집계키_센터],F1968)))</f>
        <v/>
      </c>
      <c r="F1968" t="str">
        <f>IFERROR(INDEX(tbl_input[집계키_센터],ROW()-1),"")</f>
        <v/>
      </c>
      <c r="G1968" t="str">
        <f t="shared" si="214"/>
        <v/>
      </c>
      <c r="H1968" t="str">
        <f t="shared" si="215"/>
        <v/>
      </c>
      <c r="I1968" t="str">
        <f t="shared" si="216"/>
        <v/>
      </c>
    </row>
    <row r="1969" spans="1:9" x14ac:dyDescent="0.4">
      <c r="A1969" t="str">
        <f t="shared" si="210"/>
        <v/>
      </c>
      <c r="B1969" t="str">
        <f t="shared" si="211"/>
        <v/>
      </c>
      <c r="C1969" t="str">
        <f t="shared" si="212"/>
        <v/>
      </c>
      <c r="D1969" t="str">
        <f t="shared" si="213"/>
        <v/>
      </c>
      <c r="E1969" t="str">
        <f>IF(F1969="","",IF(COUNTIF($F$2:F1969,F1969)&gt;1,"",SUMIFS(tbl_input[필요수량],tbl_input[집계키_센터],F1969)))</f>
        <v/>
      </c>
      <c r="F1969" t="str">
        <f>IFERROR(INDEX(tbl_input[집계키_센터],ROW()-1),"")</f>
        <v/>
      </c>
      <c r="G1969" t="str">
        <f t="shared" si="214"/>
        <v/>
      </c>
      <c r="H1969" t="str">
        <f t="shared" si="215"/>
        <v/>
      </c>
      <c r="I1969" t="str">
        <f t="shared" si="216"/>
        <v/>
      </c>
    </row>
    <row r="1970" spans="1:9" x14ac:dyDescent="0.4">
      <c r="A1970" t="str">
        <f t="shared" si="210"/>
        <v/>
      </c>
      <c r="B1970" t="str">
        <f t="shared" si="211"/>
        <v/>
      </c>
      <c r="C1970" t="str">
        <f t="shared" si="212"/>
        <v/>
      </c>
      <c r="D1970" t="str">
        <f t="shared" si="213"/>
        <v/>
      </c>
      <c r="E1970" t="str">
        <f>IF(F1970="","",IF(COUNTIF($F$2:F1970,F1970)&gt;1,"",SUMIFS(tbl_input[필요수량],tbl_input[집계키_센터],F1970)))</f>
        <v/>
      </c>
      <c r="F1970" t="str">
        <f>IFERROR(INDEX(tbl_input[집계키_센터],ROW()-1),"")</f>
        <v/>
      </c>
      <c r="G1970" t="str">
        <f t="shared" si="214"/>
        <v/>
      </c>
      <c r="H1970" t="str">
        <f t="shared" si="215"/>
        <v/>
      </c>
      <c r="I1970" t="str">
        <f t="shared" si="216"/>
        <v/>
      </c>
    </row>
    <row r="1971" spans="1:9" x14ac:dyDescent="0.4">
      <c r="A1971" t="str">
        <f t="shared" si="210"/>
        <v/>
      </c>
      <c r="B1971" t="str">
        <f t="shared" si="211"/>
        <v/>
      </c>
      <c r="C1971" t="str">
        <f t="shared" si="212"/>
        <v/>
      </c>
      <c r="D1971" t="str">
        <f t="shared" si="213"/>
        <v/>
      </c>
      <c r="E1971" t="str">
        <f>IF(F1971="","",IF(COUNTIF($F$2:F1971,F1971)&gt;1,"",SUMIFS(tbl_input[필요수량],tbl_input[집계키_센터],F1971)))</f>
        <v/>
      </c>
      <c r="F1971" t="str">
        <f>IFERROR(INDEX(tbl_input[집계키_센터],ROW()-1),"")</f>
        <v/>
      </c>
      <c r="G1971" t="str">
        <f t="shared" si="214"/>
        <v/>
      </c>
      <c r="H1971" t="str">
        <f t="shared" si="215"/>
        <v/>
      </c>
      <c r="I1971" t="str">
        <f t="shared" si="216"/>
        <v/>
      </c>
    </row>
    <row r="1972" spans="1:9" x14ac:dyDescent="0.4">
      <c r="A1972" t="str">
        <f t="shared" si="210"/>
        <v/>
      </c>
      <c r="B1972" t="str">
        <f t="shared" si="211"/>
        <v/>
      </c>
      <c r="C1972" t="str">
        <f t="shared" si="212"/>
        <v/>
      </c>
      <c r="D1972" t="str">
        <f t="shared" si="213"/>
        <v/>
      </c>
      <c r="E1972" t="str">
        <f>IF(F1972="","",IF(COUNTIF($F$2:F1972,F1972)&gt;1,"",SUMIFS(tbl_input[필요수량],tbl_input[집계키_센터],F1972)))</f>
        <v/>
      </c>
      <c r="F1972" t="str">
        <f>IFERROR(INDEX(tbl_input[집계키_센터],ROW()-1),"")</f>
        <v/>
      </c>
      <c r="G1972" t="str">
        <f t="shared" si="214"/>
        <v/>
      </c>
      <c r="H1972" t="str">
        <f t="shared" si="215"/>
        <v/>
      </c>
      <c r="I1972" t="str">
        <f t="shared" si="216"/>
        <v/>
      </c>
    </row>
    <row r="1973" spans="1:9" x14ac:dyDescent="0.4">
      <c r="A1973" t="str">
        <f t="shared" si="210"/>
        <v/>
      </c>
      <c r="B1973" t="str">
        <f t="shared" si="211"/>
        <v/>
      </c>
      <c r="C1973" t="str">
        <f t="shared" si="212"/>
        <v/>
      </c>
      <c r="D1973" t="str">
        <f t="shared" si="213"/>
        <v/>
      </c>
      <c r="E1973" t="str">
        <f>IF(F1973="","",IF(COUNTIF($F$2:F1973,F1973)&gt;1,"",SUMIFS(tbl_input[필요수량],tbl_input[집계키_센터],F1973)))</f>
        <v/>
      </c>
      <c r="F1973" t="str">
        <f>IFERROR(INDEX(tbl_input[집계키_센터],ROW()-1),"")</f>
        <v/>
      </c>
      <c r="G1973" t="str">
        <f t="shared" si="214"/>
        <v/>
      </c>
      <c r="H1973" t="str">
        <f t="shared" si="215"/>
        <v/>
      </c>
      <c r="I1973" t="str">
        <f t="shared" si="216"/>
        <v/>
      </c>
    </row>
    <row r="1974" spans="1:9" x14ac:dyDescent="0.4">
      <c r="A1974" t="str">
        <f t="shared" si="210"/>
        <v/>
      </c>
      <c r="B1974" t="str">
        <f t="shared" si="211"/>
        <v/>
      </c>
      <c r="C1974" t="str">
        <f t="shared" si="212"/>
        <v/>
      </c>
      <c r="D1974" t="str">
        <f t="shared" si="213"/>
        <v/>
      </c>
      <c r="E1974" t="str">
        <f>IF(F1974="","",IF(COUNTIF($F$2:F1974,F1974)&gt;1,"",SUMIFS(tbl_input[필요수량],tbl_input[집계키_센터],F1974)))</f>
        <v/>
      </c>
      <c r="F1974" t="str">
        <f>IFERROR(INDEX(tbl_input[집계키_센터],ROW()-1),"")</f>
        <v/>
      </c>
      <c r="G1974" t="str">
        <f t="shared" si="214"/>
        <v/>
      </c>
      <c r="H1974" t="str">
        <f t="shared" si="215"/>
        <v/>
      </c>
      <c r="I1974" t="str">
        <f t="shared" si="216"/>
        <v/>
      </c>
    </row>
    <row r="1975" spans="1:9" x14ac:dyDescent="0.4">
      <c r="A1975" t="str">
        <f t="shared" si="210"/>
        <v/>
      </c>
      <c r="B1975" t="str">
        <f t="shared" si="211"/>
        <v/>
      </c>
      <c r="C1975" t="str">
        <f t="shared" si="212"/>
        <v/>
      </c>
      <c r="D1975" t="str">
        <f t="shared" si="213"/>
        <v/>
      </c>
      <c r="E1975" t="str">
        <f>IF(F1975="","",IF(COUNTIF($F$2:F1975,F1975)&gt;1,"",SUMIFS(tbl_input[필요수량],tbl_input[집계키_센터],F1975)))</f>
        <v/>
      </c>
      <c r="F1975" t="str">
        <f>IFERROR(INDEX(tbl_input[집계키_센터],ROW()-1),"")</f>
        <v/>
      </c>
      <c r="G1975" t="str">
        <f t="shared" si="214"/>
        <v/>
      </c>
      <c r="H1975" t="str">
        <f t="shared" si="215"/>
        <v/>
      </c>
      <c r="I1975" t="str">
        <f t="shared" si="216"/>
        <v/>
      </c>
    </row>
    <row r="1976" spans="1:9" x14ac:dyDescent="0.4">
      <c r="A1976" t="str">
        <f t="shared" si="210"/>
        <v/>
      </c>
      <c r="B1976" t="str">
        <f t="shared" si="211"/>
        <v/>
      </c>
      <c r="C1976" t="str">
        <f t="shared" si="212"/>
        <v/>
      </c>
      <c r="D1976" t="str">
        <f t="shared" si="213"/>
        <v/>
      </c>
      <c r="E1976" t="str">
        <f>IF(F1976="","",IF(COUNTIF($F$2:F1976,F1976)&gt;1,"",SUMIFS(tbl_input[필요수량],tbl_input[집계키_센터],F1976)))</f>
        <v/>
      </c>
      <c r="F1976" t="str">
        <f>IFERROR(INDEX(tbl_input[집계키_센터],ROW()-1),"")</f>
        <v/>
      </c>
      <c r="G1976" t="str">
        <f t="shared" si="214"/>
        <v/>
      </c>
      <c r="H1976" t="str">
        <f t="shared" si="215"/>
        <v/>
      </c>
      <c r="I1976" t="str">
        <f t="shared" si="216"/>
        <v/>
      </c>
    </row>
    <row r="1977" spans="1:9" x14ac:dyDescent="0.4">
      <c r="A1977" t="str">
        <f t="shared" si="210"/>
        <v/>
      </c>
      <c r="B1977" t="str">
        <f t="shared" si="211"/>
        <v/>
      </c>
      <c r="C1977" t="str">
        <f t="shared" si="212"/>
        <v/>
      </c>
      <c r="D1977" t="str">
        <f t="shared" si="213"/>
        <v/>
      </c>
      <c r="E1977" t="str">
        <f>IF(F1977="","",IF(COUNTIF($F$2:F1977,F1977)&gt;1,"",SUMIFS(tbl_input[필요수량],tbl_input[집계키_센터],F1977)))</f>
        <v/>
      </c>
      <c r="F1977" t="str">
        <f>IFERROR(INDEX(tbl_input[집계키_센터],ROW()-1),"")</f>
        <v/>
      </c>
      <c r="G1977" t="str">
        <f t="shared" si="214"/>
        <v/>
      </c>
      <c r="H1977" t="str">
        <f t="shared" si="215"/>
        <v/>
      </c>
      <c r="I1977" t="str">
        <f t="shared" si="216"/>
        <v/>
      </c>
    </row>
    <row r="1978" spans="1:9" x14ac:dyDescent="0.4">
      <c r="A1978" t="str">
        <f t="shared" si="210"/>
        <v/>
      </c>
      <c r="B1978" t="str">
        <f t="shared" si="211"/>
        <v/>
      </c>
      <c r="C1978" t="str">
        <f t="shared" si="212"/>
        <v/>
      </c>
      <c r="D1978" t="str">
        <f t="shared" si="213"/>
        <v/>
      </c>
      <c r="E1978" t="str">
        <f>IF(F1978="","",IF(COUNTIF($F$2:F1978,F1978)&gt;1,"",SUMIFS(tbl_input[필요수량],tbl_input[집계키_센터],F1978)))</f>
        <v/>
      </c>
      <c r="F1978" t="str">
        <f>IFERROR(INDEX(tbl_input[집계키_센터],ROW()-1),"")</f>
        <v/>
      </c>
      <c r="G1978" t="str">
        <f t="shared" si="214"/>
        <v/>
      </c>
      <c r="H1978" t="str">
        <f t="shared" si="215"/>
        <v/>
      </c>
      <c r="I1978" t="str">
        <f t="shared" si="216"/>
        <v/>
      </c>
    </row>
    <row r="1979" spans="1:9" x14ac:dyDescent="0.4">
      <c r="A1979" t="str">
        <f t="shared" si="210"/>
        <v/>
      </c>
      <c r="B1979" t="str">
        <f t="shared" si="211"/>
        <v/>
      </c>
      <c r="C1979" t="str">
        <f t="shared" si="212"/>
        <v/>
      </c>
      <c r="D1979" t="str">
        <f t="shared" si="213"/>
        <v/>
      </c>
      <c r="E1979" t="str">
        <f>IF(F1979="","",IF(COUNTIF($F$2:F1979,F1979)&gt;1,"",SUMIFS(tbl_input[필요수량],tbl_input[집계키_센터],F1979)))</f>
        <v/>
      </c>
      <c r="F1979" t="str">
        <f>IFERROR(INDEX(tbl_input[집계키_센터],ROW()-1),"")</f>
        <v/>
      </c>
      <c r="G1979" t="str">
        <f t="shared" si="214"/>
        <v/>
      </c>
      <c r="H1979" t="str">
        <f t="shared" si="215"/>
        <v/>
      </c>
      <c r="I1979" t="str">
        <f t="shared" si="216"/>
        <v/>
      </c>
    </row>
    <row r="1980" spans="1:9" x14ac:dyDescent="0.4">
      <c r="A1980" t="str">
        <f t="shared" si="210"/>
        <v/>
      </c>
      <c r="B1980" t="str">
        <f t="shared" si="211"/>
        <v/>
      </c>
      <c r="C1980" t="str">
        <f t="shared" si="212"/>
        <v/>
      </c>
      <c r="D1980" t="str">
        <f t="shared" si="213"/>
        <v/>
      </c>
      <c r="E1980" t="str">
        <f>IF(F1980="","",IF(COUNTIF($F$2:F1980,F1980)&gt;1,"",SUMIFS(tbl_input[필요수량],tbl_input[집계키_센터],F1980)))</f>
        <v/>
      </c>
      <c r="F1980" t="str">
        <f>IFERROR(INDEX(tbl_input[집계키_센터],ROW()-1),"")</f>
        <v/>
      </c>
      <c r="G1980" t="str">
        <f t="shared" si="214"/>
        <v/>
      </c>
      <c r="H1980" t="str">
        <f t="shared" si="215"/>
        <v/>
      </c>
      <c r="I1980" t="str">
        <f t="shared" si="216"/>
        <v/>
      </c>
    </row>
    <row r="1981" spans="1:9" x14ac:dyDescent="0.4">
      <c r="A1981" t="str">
        <f t="shared" si="210"/>
        <v/>
      </c>
      <c r="B1981" t="str">
        <f t="shared" si="211"/>
        <v/>
      </c>
      <c r="C1981" t="str">
        <f t="shared" si="212"/>
        <v/>
      </c>
      <c r="D1981" t="str">
        <f t="shared" si="213"/>
        <v/>
      </c>
      <c r="E1981" t="str">
        <f>IF(F1981="","",IF(COUNTIF($F$2:F1981,F1981)&gt;1,"",SUMIFS(tbl_input[필요수량],tbl_input[집계키_센터],F1981)))</f>
        <v/>
      </c>
      <c r="F1981" t="str">
        <f>IFERROR(INDEX(tbl_input[집계키_센터],ROW()-1),"")</f>
        <v/>
      </c>
      <c r="G1981" t="str">
        <f t="shared" si="214"/>
        <v/>
      </c>
      <c r="H1981" t="str">
        <f t="shared" si="215"/>
        <v/>
      </c>
      <c r="I1981" t="str">
        <f t="shared" si="216"/>
        <v/>
      </c>
    </row>
    <row r="1982" spans="1:9" x14ac:dyDescent="0.4">
      <c r="A1982" t="str">
        <f t="shared" si="210"/>
        <v/>
      </c>
      <c r="B1982" t="str">
        <f t="shared" si="211"/>
        <v/>
      </c>
      <c r="C1982" t="str">
        <f t="shared" si="212"/>
        <v/>
      </c>
      <c r="D1982" t="str">
        <f t="shared" si="213"/>
        <v/>
      </c>
      <c r="E1982" t="str">
        <f>IF(F1982="","",IF(COUNTIF($F$2:F1982,F1982)&gt;1,"",SUMIFS(tbl_input[필요수량],tbl_input[집계키_센터],F1982)))</f>
        <v/>
      </c>
      <c r="F1982" t="str">
        <f>IFERROR(INDEX(tbl_input[집계키_센터],ROW()-1),"")</f>
        <v/>
      </c>
      <c r="G1982" t="str">
        <f t="shared" si="214"/>
        <v/>
      </c>
      <c r="H1982" t="str">
        <f t="shared" si="215"/>
        <v/>
      </c>
      <c r="I1982" t="str">
        <f t="shared" si="216"/>
        <v/>
      </c>
    </row>
    <row r="1983" spans="1:9" x14ac:dyDescent="0.4">
      <c r="A1983" t="str">
        <f t="shared" si="210"/>
        <v/>
      </c>
      <c r="B1983" t="str">
        <f t="shared" si="211"/>
        <v/>
      </c>
      <c r="C1983" t="str">
        <f t="shared" si="212"/>
        <v/>
      </c>
      <c r="D1983" t="str">
        <f t="shared" si="213"/>
        <v/>
      </c>
      <c r="E1983" t="str">
        <f>IF(F1983="","",IF(COUNTIF($F$2:F1983,F1983)&gt;1,"",SUMIFS(tbl_input[필요수량],tbl_input[집계키_센터],F1983)))</f>
        <v/>
      </c>
      <c r="F1983" t="str">
        <f>IFERROR(INDEX(tbl_input[집계키_센터],ROW()-1),"")</f>
        <v/>
      </c>
      <c r="G1983" t="str">
        <f t="shared" si="214"/>
        <v/>
      </c>
      <c r="H1983" t="str">
        <f t="shared" si="215"/>
        <v/>
      </c>
      <c r="I1983" t="str">
        <f t="shared" si="216"/>
        <v/>
      </c>
    </row>
    <row r="1984" spans="1:9" x14ac:dyDescent="0.4">
      <c r="A1984" t="str">
        <f t="shared" si="210"/>
        <v/>
      </c>
      <c r="B1984" t="str">
        <f t="shared" si="211"/>
        <v/>
      </c>
      <c r="C1984" t="str">
        <f t="shared" si="212"/>
        <v/>
      </c>
      <c r="D1984" t="str">
        <f t="shared" si="213"/>
        <v/>
      </c>
      <c r="E1984" t="str">
        <f>IF(F1984="","",IF(COUNTIF($F$2:F1984,F1984)&gt;1,"",SUMIFS(tbl_input[필요수량],tbl_input[집계키_센터],F1984)))</f>
        <v/>
      </c>
      <c r="F1984" t="str">
        <f>IFERROR(INDEX(tbl_input[집계키_센터],ROW()-1),"")</f>
        <v/>
      </c>
      <c r="G1984" t="str">
        <f t="shared" si="214"/>
        <v/>
      </c>
      <c r="H1984" t="str">
        <f t="shared" si="215"/>
        <v/>
      </c>
      <c r="I1984" t="str">
        <f t="shared" si="216"/>
        <v/>
      </c>
    </row>
    <row r="1985" spans="1:9" x14ac:dyDescent="0.4">
      <c r="A1985" t="str">
        <f t="shared" si="210"/>
        <v/>
      </c>
      <c r="B1985" t="str">
        <f t="shared" si="211"/>
        <v/>
      </c>
      <c r="C1985" t="str">
        <f t="shared" si="212"/>
        <v/>
      </c>
      <c r="D1985" t="str">
        <f t="shared" si="213"/>
        <v/>
      </c>
      <c r="E1985" t="str">
        <f>IF(F1985="","",IF(COUNTIF($F$2:F1985,F1985)&gt;1,"",SUMIFS(tbl_input[필요수량],tbl_input[집계키_센터],F1985)))</f>
        <v/>
      </c>
      <c r="F1985" t="str">
        <f>IFERROR(INDEX(tbl_input[집계키_센터],ROW()-1),"")</f>
        <v/>
      </c>
      <c r="G1985" t="str">
        <f t="shared" si="214"/>
        <v/>
      </c>
      <c r="H1985" t="str">
        <f t="shared" si="215"/>
        <v/>
      </c>
      <c r="I1985" t="str">
        <f t="shared" si="216"/>
        <v/>
      </c>
    </row>
    <row r="1986" spans="1:9" x14ac:dyDescent="0.4">
      <c r="A1986" t="str">
        <f t="shared" ref="A1986:A2049" si="217">IF(F1986="","",LEFT(F1986,G1986-1))</f>
        <v/>
      </c>
      <c r="B1986" t="str">
        <f t="shared" ref="B1986:B2049" si="218">IF(F1986="","",MID(F1986,G1986+1,H1986-G1986-1))</f>
        <v/>
      </c>
      <c r="C1986" t="str">
        <f t="shared" ref="C1986:C2049" si="219">IF(F1986="","",MID(F1986,H1986+1,I1986-H1986-1))</f>
        <v/>
      </c>
      <c r="D1986" t="str">
        <f t="shared" ref="D1986:D2049" si="220">IF(F1986="","",MID(F1986,I1986+1,999))</f>
        <v/>
      </c>
      <c r="E1986" t="str">
        <f>IF(F1986="","",IF(COUNTIF($F$2:F1986,F1986)&gt;1,"",SUMIFS(tbl_input[필요수량],tbl_input[집계키_센터],F1986)))</f>
        <v/>
      </c>
      <c r="F1986" t="str">
        <f>IFERROR(INDEX(tbl_input[집계키_센터],ROW()-1),"")</f>
        <v/>
      </c>
      <c r="G1986" t="str">
        <f t="shared" ref="G1986:G2049" si="221">IF(F1986="","",FIND("♦",F1986))</f>
        <v/>
      </c>
      <c r="H1986" t="str">
        <f t="shared" ref="H1986:H2049" si="222">IF(F1986="","",FIND("♦",F1986,G1986+1))</f>
        <v/>
      </c>
      <c r="I1986" t="str">
        <f t="shared" ref="I1986:I2049" si="223">IF(F1986="","",FIND("♦",F1986,H1986+1))</f>
        <v/>
      </c>
    </row>
    <row r="1987" spans="1:9" x14ac:dyDescent="0.4">
      <c r="A1987" t="str">
        <f t="shared" si="217"/>
        <v/>
      </c>
      <c r="B1987" t="str">
        <f t="shared" si="218"/>
        <v/>
      </c>
      <c r="C1987" t="str">
        <f t="shared" si="219"/>
        <v/>
      </c>
      <c r="D1987" t="str">
        <f t="shared" si="220"/>
        <v/>
      </c>
      <c r="E1987" t="str">
        <f>IF(F1987="","",IF(COUNTIF($F$2:F1987,F1987)&gt;1,"",SUMIFS(tbl_input[필요수량],tbl_input[집계키_센터],F1987)))</f>
        <v/>
      </c>
      <c r="F1987" t="str">
        <f>IFERROR(INDEX(tbl_input[집계키_센터],ROW()-1),"")</f>
        <v/>
      </c>
      <c r="G1987" t="str">
        <f t="shared" si="221"/>
        <v/>
      </c>
      <c r="H1987" t="str">
        <f t="shared" si="222"/>
        <v/>
      </c>
      <c r="I1987" t="str">
        <f t="shared" si="223"/>
        <v/>
      </c>
    </row>
    <row r="1988" spans="1:9" x14ac:dyDescent="0.4">
      <c r="A1988" t="str">
        <f t="shared" si="217"/>
        <v/>
      </c>
      <c r="B1988" t="str">
        <f t="shared" si="218"/>
        <v/>
      </c>
      <c r="C1988" t="str">
        <f t="shared" si="219"/>
        <v/>
      </c>
      <c r="D1988" t="str">
        <f t="shared" si="220"/>
        <v/>
      </c>
      <c r="E1988" t="str">
        <f>IF(F1988="","",IF(COUNTIF($F$2:F1988,F1988)&gt;1,"",SUMIFS(tbl_input[필요수량],tbl_input[집계키_센터],F1988)))</f>
        <v/>
      </c>
      <c r="F1988" t="str">
        <f>IFERROR(INDEX(tbl_input[집계키_센터],ROW()-1),"")</f>
        <v/>
      </c>
      <c r="G1988" t="str">
        <f t="shared" si="221"/>
        <v/>
      </c>
      <c r="H1988" t="str">
        <f t="shared" si="222"/>
        <v/>
      </c>
      <c r="I1988" t="str">
        <f t="shared" si="223"/>
        <v/>
      </c>
    </row>
    <row r="1989" spans="1:9" x14ac:dyDescent="0.4">
      <c r="A1989" t="str">
        <f t="shared" si="217"/>
        <v/>
      </c>
      <c r="B1989" t="str">
        <f t="shared" si="218"/>
        <v/>
      </c>
      <c r="C1989" t="str">
        <f t="shared" si="219"/>
        <v/>
      </c>
      <c r="D1989" t="str">
        <f t="shared" si="220"/>
        <v/>
      </c>
      <c r="E1989" t="str">
        <f>IF(F1989="","",IF(COUNTIF($F$2:F1989,F1989)&gt;1,"",SUMIFS(tbl_input[필요수량],tbl_input[집계키_센터],F1989)))</f>
        <v/>
      </c>
      <c r="F1989" t="str">
        <f>IFERROR(INDEX(tbl_input[집계키_센터],ROW()-1),"")</f>
        <v/>
      </c>
      <c r="G1989" t="str">
        <f t="shared" si="221"/>
        <v/>
      </c>
      <c r="H1989" t="str">
        <f t="shared" si="222"/>
        <v/>
      </c>
      <c r="I1989" t="str">
        <f t="shared" si="223"/>
        <v/>
      </c>
    </row>
    <row r="1990" spans="1:9" x14ac:dyDescent="0.4">
      <c r="A1990" t="str">
        <f t="shared" si="217"/>
        <v/>
      </c>
      <c r="B1990" t="str">
        <f t="shared" si="218"/>
        <v/>
      </c>
      <c r="C1990" t="str">
        <f t="shared" si="219"/>
        <v/>
      </c>
      <c r="D1990" t="str">
        <f t="shared" si="220"/>
        <v/>
      </c>
      <c r="E1990" t="str">
        <f>IF(F1990="","",IF(COUNTIF($F$2:F1990,F1990)&gt;1,"",SUMIFS(tbl_input[필요수량],tbl_input[집계키_센터],F1990)))</f>
        <v/>
      </c>
      <c r="F1990" t="str">
        <f>IFERROR(INDEX(tbl_input[집계키_센터],ROW()-1),"")</f>
        <v/>
      </c>
      <c r="G1990" t="str">
        <f t="shared" si="221"/>
        <v/>
      </c>
      <c r="H1990" t="str">
        <f t="shared" si="222"/>
        <v/>
      </c>
      <c r="I1990" t="str">
        <f t="shared" si="223"/>
        <v/>
      </c>
    </row>
    <row r="1991" spans="1:9" x14ac:dyDescent="0.4">
      <c r="A1991" t="str">
        <f t="shared" si="217"/>
        <v/>
      </c>
      <c r="B1991" t="str">
        <f t="shared" si="218"/>
        <v/>
      </c>
      <c r="C1991" t="str">
        <f t="shared" si="219"/>
        <v/>
      </c>
      <c r="D1991" t="str">
        <f t="shared" si="220"/>
        <v/>
      </c>
      <c r="E1991" t="str">
        <f>IF(F1991="","",IF(COUNTIF($F$2:F1991,F1991)&gt;1,"",SUMIFS(tbl_input[필요수량],tbl_input[집계키_센터],F1991)))</f>
        <v/>
      </c>
      <c r="F1991" t="str">
        <f>IFERROR(INDEX(tbl_input[집계키_센터],ROW()-1),"")</f>
        <v/>
      </c>
      <c r="G1991" t="str">
        <f t="shared" si="221"/>
        <v/>
      </c>
      <c r="H1991" t="str">
        <f t="shared" si="222"/>
        <v/>
      </c>
      <c r="I1991" t="str">
        <f t="shared" si="223"/>
        <v/>
      </c>
    </row>
    <row r="1992" spans="1:9" x14ac:dyDescent="0.4">
      <c r="A1992" t="str">
        <f t="shared" si="217"/>
        <v/>
      </c>
      <c r="B1992" t="str">
        <f t="shared" si="218"/>
        <v/>
      </c>
      <c r="C1992" t="str">
        <f t="shared" si="219"/>
        <v/>
      </c>
      <c r="D1992" t="str">
        <f t="shared" si="220"/>
        <v/>
      </c>
      <c r="E1992" t="str">
        <f>IF(F1992="","",IF(COUNTIF($F$2:F1992,F1992)&gt;1,"",SUMIFS(tbl_input[필요수량],tbl_input[집계키_센터],F1992)))</f>
        <v/>
      </c>
      <c r="F1992" t="str">
        <f>IFERROR(INDEX(tbl_input[집계키_센터],ROW()-1),"")</f>
        <v/>
      </c>
      <c r="G1992" t="str">
        <f t="shared" si="221"/>
        <v/>
      </c>
      <c r="H1992" t="str">
        <f t="shared" si="222"/>
        <v/>
      </c>
      <c r="I1992" t="str">
        <f t="shared" si="223"/>
        <v/>
      </c>
    </row>
    <row r="1993" spans="1:9" x14ac:dyDescent="0.4">
      <c r="A1993" t="str">
        <f t="shared" si="217"/>
        <v/>
      </c>
      <c r="B1993" t="str">
        <f t="shared" si="218"/>
        <v/>
      </c>
      <c r="C1993" t="str">
        <f t="shared" si="219"/>
        <v/>
      </c>
      <c r="D1993" t="str">
        <f t="shared" si="220"/>
        <v/>
      </c>
      <c r="E1993" t="str">
        <f>IF(F1993="","",IF(COUNTIF($F$2:F1993,F1993)&gt;1,"",SUMIFS(tbl_input[필요수량],tbl_input[집계키_센터],F1993)))</f>
        <v/>
      </c>
      <c r="F1993" t="str">
        <f>IFERROR(INDEX(tbl_input[집계키_센터],ROW()-1),"")</f>
        <v/>
      </c>
      <c r="G1993" t="str">
        <f t="shared" si="221"/>
        <v/>
      </c>
      <c r="H1993" t="str">
        <f t="shared" si="222"/>
        <v/>
      </c>
      <c r="I1993" t="str">
        <f t="shared" si="223"/>
        <v/>
      </c>
    </row>
    <row r="1994" spans="1:9" x14ac:dyDescent="0.4">
      <c r="A1994" t="str">
        <f t="shared" si="217"/>
        <v/>
      </c>
      <c r="B1994" t="str">
        <f t="shared" si="218"/>
        <v/>
      </c>
      <c r="C1994" t="str">
        <f t="shared" si="219"/>
        <v/>
      </c>
      <c r="D1994" t="str">
        <f t="shared" si="220"/>
        <v/>
      </c>
      <c r="E1994" t="str">
        <f>IF(F1994="","",IF(COUNTIF($F$2:F1994,F1994)&gt;1,"",SUMIFS(tbl_input[필요수량],tbl_input[집계키_센터],F1994)))</f>
        <v/>
      </c>
      <c r="F1994" t="str">
        <f>IFERROR(INDEX(tbl_input[집계키_센터],ROW()-1),"")</f>
        <v/>
      </c>
      <c r="G1994" t="str">
        <f t="shared" si="221"/>
        <v/>
      </c>
      <c r="H1994" t="str">
        <f t="shared" si="222"/>
        <v/>
      </c>
      <c r="I1994" t="str">
        <f t="shared" si="223"/>
        <v/>
      </c>
    </row>
    <row r="1995" spans="1:9" x14ac:dyDescent="0.4">
      <c r="A1995" t="str">
        <f t="shared" si="217"/>
        <v/>
      </c>
      <c r="B1995" t="str">
        <f t="shared" si="218"/>
        <v/>
      </c>
      <c r="C1995" t="str">
        <f t="shared" si="219"/>
        <v/>
      </c>
      <c r="D1995" t="str">
        <f t="shared" si="220"/>
        <v/>
      </c>
      <c r="E1995" t="str">
        <f>IF(F1995="","",IF(COUNTIF($F$2:F1995,F1995)&gt;1,"",SUMIFS(tbl_input[필요수량],tbl_input[집계키_센터],F1995)))</f>
        <v/>
      </c>
      <c r="F1995" t="str">
        <f>IFERROR(INDEX(tbl_input[집계키_센터],ROW()-1),"")</f>
        <v/>
      </c>
      <c r="G1995" t="str">
        <f t="shared" si="221"/>
        <v/>
      </c>
      <c r="H1995" t="str">
        <f t="shared" si="222"/>
        <v/>
      </c>
      <c r="I1995" t="str">
        <f t="shared" si="223"/>
        <v/>
      </c>
    </row>
    <row r="1996" spans="1:9" x14ac:dyDescent="0.4">
      <c r="A1996" t="str">
        <f t="shared" si="217"/>
        <v/>
      </c>
      <c r="B1996" t="str">
        <f t="shared" si="218"/>
        <v/>
      </c>
      <c r="C1996" t="str">
        <f t="shared" si="219"/>
        <v/>
      </c>
      <c r="D1996" t="str">
        <f t="shared" si="220"/>
        <v/>
      </c>
      <c r="E1996" t="str">
        <f>IF(F1996="","",IF(COUNTIF($F$2:F1996,F1996)&gt;1,"",SUMIFS(tbl_input[필요수량],tbl_input[집계키_센터],F1996)))</f>
        <v/>
      </c>
      <c r="F1996" t="str">
        <f>IFERROR(INDEX(tbl_input[집계키_센터],ROW()-1),"")</f>
        <v/>
      </c>
      <c r="G1996" t="str">
        <f t="shared" si="221"/>
        <v/>
      </c>
      <c r="H1996" t="str">
        <f t="shared" si="222"/>
        <v/>
      </c>
      <c r="I1996" t="str">
        <f t="shared" si="223"/>
        <v/>
      </c>
    </row>
    <row r="1997" spans="1:9" x14ac:dyDescent="0.4">
      <c r="A1997" t="str">
        <f t="shared" si="217"/>
        <v/>
      </c>
      <c r="B1997" t="str">
        <f t="shared" si="218"/>
        <v/>
      </c>
      <c r="C1997" t="str">
        <f t="shared" si="219"/>
        <v/>
      </c>
      <c r="D1997" t="str">
        <f t="shared" si="220"/>
        <v/>
      </c>
      <c r="E1997" t="str">
        <f>IF(F1997="","",IF(COUNTIF($F$2:F1997,F1997)&gt;1,"",SUMIFS(tbl_input[필요수량],tbl_input[집계키_센터],F1997)))</f>
        <v/>
      </c>
      <c r="F1997" t="str">
        <f>IFERROR(INDEX(tbl_input[집계키_센터],ROW()-1),"")</f>
        <v/>
      </c>
      <c r="G1997" t="str">
        <f t="shared" si="221"/>
        <v/>
      </c>
      <c r="H1997" t="str">
        <f t="shared" si="222"/>
        <v/>
      </c>
      <c r="I1997" t="str">
        <f t="shared" si="223"/>
        <v/>
      </c>
    </row>
    <row r="1998" spans="1:9" x14ac:dyDescent="0.4">
      <c r="A1998" t="str">
        <f t="shared" si="217"/>
        <v/>
      </c>
      <c r="B1998" t="str">
        <f t="shared" si="218"/>
        <v/>
      </c>
      <c r="C1998" t="str">
        <f t="shared" si="219"/>
        <v/>
      </c>
      <c r="D1998" t="str">
        <f t="shared" si="220"/>
        <v/>
      </c>
      <c r="E1998" t="str">
        <f>IF(F1998="","",IF(COUNTIF($F$2:F1998,F1998)&gt;1,"",SUMIFS(tbl_input[필요수량],tbl_input[집계키_센터],F1998)))</f>
        <v/>
      </c>
      <c r="F1998" t="str">
        <f>IFERROR(INDEX(tbl_input[집계키_센터],ROW()-1),"")</f>
        <v/>
      </c>
      <c r="G1998" t="str">
        <f t="shared" si="221"/>
        <v/>
      </c>
      <c r="H1998" t="str">
        <f t="shared" si="222"/>
        <v/>
      </c>
      <c r="I1998" t="str">
        <f t="shared" si="223"/>
        <v/>
      </c>
    </row>
    <row r="1999" spans="1:9" x14ac:dyDescent="0.4">
      <c r="A1999" t="str">
        <f t="shared" si="217"/>
        <v/>
      </c>
      <c r="B1999" t="str">
        <f t="shared" si="218"/>
        <v/>
      </c>
      <c r="C1999" t="str">
        <f t="shared" si="219"/>
        <v/>
      </c>
      <c r="D1999" t="str">
        <f t="shared" si="220"/>
        <v/>
      </c>
      <c r="E1999" t="str">
        <f>IF(F1999="","",IF(COUNTIF($F$2:F1999,F1999)&gt;1,"",SUMIFS(tbl_input[필요수량],tbl_input[집계키_센터],F1999)))</f>
        <v/>
      </c>
      <c r="F1999" t="str">
        <f>IFERROR(INDEX(tbl_input[집계키_센터],ROW()-1),"")</f>
        <v/>
      </c>
      <c r="G1999" t="str">
        <f t="shared" si="221"/>
        <v/>
      </c>
      <c r="H1999" t="str">
        <f t="shared" si="222"/>
        <v/>
      </c>
      <c r="I1999" t="str">
        <f t="shared" si="223"/>
        <v/>
      </c>
    </row>
    <row r="2000" spans="1:9" x14ac:dyDescent="0.4">
      <c r="A2000" t="str">
        <f t="shared" si="217"/>
        <v/>
      </c>
      <c r="B2000" t="str">
        <f t="shared" si="218"/>
        <v/>
      </c>
      <c r="C2000" t="str">
        <f t="shared" si="219"/>
        <v/>
      </c>
      <c r="D2000" t="str">
        <f t="shared" si="220"/>
        <v/>
      </c>
      <c r="E2000" t="str">
        <f>IF(F2000="","",IF(COUNTIF($F$2:F2000,F2000)&gt;1,"",SUMIFS(tbl_input[필요수량],tbl_input[집계키_센터],F2000)))</f>
        <v/>
      </c>
      <c r="F2000" t="str">
        <f>IFERROR(INDEX(tbl_input[집계키_센터],ROW()-1),"")</f>
        <v/>
      </c>
      <c r="G2000" t="str">
        <f t="shared" si="221"/>
        <v/>
      </c>
      <c r="H2000" t="str">
        <f t="shared" si="222"/>
        <v/>
      </c>
      <c r="I2000" t="str">
        <f t="shared" si="223"/>
        <v/>
      </c>
    </row>
    <row r="2001" spans="1:9" x14ac:dyDescent="0.4">
      <c r="A2001" t="str">
        <f t="shared" si="217"/>
        <v/>
      </c>
      <c r="B2001" t="str">
        <f t="shared" si="218"/>
        <v/>
      </c>
      <c r="C2001" t="str">
        <f t="shared" si="219"/>
        <v/>
      </c>
      <c r="D2001" t="str">
        <f t="shared" si="220"/>
        <v/>
      </c>
      <c r="E2001" t="str">
        <f>IF(F2001="","",IF(COUNTIF($F$2:F2001,F2001)&gt;1,"",SUMIFS(tbl_input[필요수량],tbl_input[집계키_센터],F2001)))</f>
        <v/>
      </c>
      <c r="F2001" t="str">
        <f>IFERROR(INDEX(tbl_input[집계키_센터],ROW()-1),"")</f>
        <v/>
      </c>
      <c r="G2001" t="str">
        <f t="shared" si="221"/>
        <v/>
      </c>
      <c r="H2001" t="str">
        <f t="shared" si="222"/>
        <v/>
      </c>
      <c r="I2001" t="str">
        <f t="shared" si="223"/>
        <v/>
      </c>
    </row>
    <row r="2002" spans="1:9" x14ac:dyDescent="0.4">
      <c r="A2002" t="str">
        <f t="shared" si="217"/>
        <v/>
      </c>
      <c r="B2002" t="str">
        <f t="shared" si="218"/>
        <v/>
      </c>
      <c r="C2002" t="str">
        <f t="shared" si="219"/>
        <v/>
      </c>
      <c r="D2002" t="str">
        <f t="shared" si="220"/>
        <v/>
      </c>
      <c r="E2002" t="str">
        <f>IF(F2002="","",IF(COUNTIF($F$2:F2002,F2002)&gt;1,"",SUMIFS(tbl_input[필요수량],tbl_input[집계키_센터],F2002)))</f>
        <v/>
      </c>
      <c r="F2002" t="str">
        <f>IFERROR(INDEX(tbl_input[집계키_센터],ROW()-1),"")</f>
        <v/>
      </c>
      <c r="G2002" t="str">
        <f t="shared" si="221"/>
        <v/>
      </c>
      <c r="H2002" t="str">
        <f t="shared" si="222"/>
        <v/>
      </c>
      <c r="I2002" t="str">
        <f t="shared" si="223"/>
        <v/>
      </c>
    </row>
    <row r="2003" spans="1:9" x14ac:dyDescent="0.4">
      <c r="A2003" t="str">
        <f t="shared" si="217"/>
        <v/>
      </c>
      <c r="B2003" t="str">
        <f t="shared" si="218"/>
        <v/>
      </c>
      <c r="C2003" t="str">
        <f t="shared" si="219"/>
        <v/>
      </c>
      <c r="D2003" t="str">
        <f t="shared" si="220"/>
        <v/>
      </c>
      <c r="E2003" t="str">
        <f>IF(F2003="","",IF(COUNTIF($F$2:F2003,F2003)&gt;1,"",SUMIFS(tbl_input[필요수량],tbl_input[집계키_센터],F2003)))</f>
        <v/>
      </c>
      <c r="F2003" t="str">
        <f>IFERROR(INDEX(tbl_input[집계키_센터],ROW()-1),"")</f>
        <v/>
      </c>
      <c r="G2003" t="str">
        <f t="shared" si="221"/>
        <v/>
      </c>
      <c r="H2003" t="str">
        <f t="shared" si="222"/>
        <v/>
      </c>
      <c r="I2003" t="str">
        <f t="shared" si="223"/>
        <v/>
      </c>
    </row>
    <row r="2004" spans="1:9" x14ac:dyDescent="0.4">
      <c r="A2004" t="str">
        <f t="shared" si="217"/>
        <v/>
      </c>
      <c r="B2004" t="str">
        <f t="shared" si="218"/>
        <v/>
      </c>
      <c r="C2004" t="str">
        <f t="shared" si="219"/>
        <v/>
      </c>
      <c r="D2004" t="str">
        <f t="shared" si="220"/>
        <v/>
      </c>
      <c r="E2004" t="str">
        <f>IF(F2004="","",IF(COUNTIF($F$2:F2004,F2004)&gt;1,"",SUMIFS(tbl_input[필요수량],tbl_input[집계키_센터],F2004)))</f>
        <v/>
      </c>
      <c r="F2004" t="str">
        <f>IFERROR(INDEX(tbl_input[집계키_센터],ROW()-1),"")</f>
        <v/>
      </c>
      <c r="G2004" t="str">
        <f t="shared" si="221"/>
        <v/>
      </c>
      <c r="H2004" t="str">
        <f t="shared" si="222"/>
        <v/>
      </c>
      <c r="I2004" t="str">
        <f t="shared" si="223"/>
        <v/>
      </c>
    </row>
    <row r="2005" spans="1:9" x14ac:dyDescent="0.4">
      <c r="A2005" t="str">
        <f t="shared" si="217"/>
        <v/>
      </c>
      <c r="B2005" t="str">
        <f t="shared" si="218"/>
        <v/>
      </c>
      <c r="C2005" t="str">
        <f t="shared" si="219"/>
        <v/>
      </c>
      <c r="D2005" t="str">
        <f t="shared" si="220"/>
        <v/>
      </c>
      <c r="E2005" t="str">
        <f>IF(F2005="","",IF(COUNTIF($F$2:F2005,F2005)&gt;1,"",SUMIFS(tbl_input[필요수량],tbl_input[집계키_센터],F2005)))</f>
        <v/>
      </c>
      <c r="F2005" t="str">
        <f>IFERROR(INDEX(tbl_input[집계키_센터],ROW()-1),"")</f>
        <v/>
      </c>
      <c r="G2005" t="str">
        <f t="shared" si="221"/>
        <v/>
      </c>
      <c r="H2005" t="str">
        <f t="shared" si="222"/>
        <v/>
      </c>
      <c r="I2005" t="str">
        <f t="shared" si="223"/>
        <v/>
      </c>
    </row>
    <row r="2006" spans="1:9" x14ac:dyDescent="0.4">
      <c r="A2006" t="str">
        <f t="shared" si="217"/>
        <v/>
      </c>
      <c r="B2006" t="str">
        <f t="shared" si="218"/>
        <v/>
      </c>
      <c r="C2006" t="str">
        <f t="shared" si="219"/>
        <v/>
      </c>
      <c r="D2006" t="str">
        <f t="shared" si="220"/>
        <v/>
      </c>
      <c r="E2006" t="str">
        <f>IF(F2006="","",IF(COUNTIF($F$2:F2006,F2006)&gt;1,"",SUMIFS(tbl_input[필요수량],tbl_input[집계키_센터],F2006)))</f>
        <v/>
      </c>
      <c r="F2006" t="str">
        <f>IFERROR(INDEX(tbl_input[집계키_센터],ROW()-1),"")</f>
        <v/>
      </c>
      <c r="G2006" t="str">
        <f t="shared" si="221"/>
        <v/>
      </c>
      <c r="H2006" t="str">
        <f t="shared" si="222"/>
        <v/>
      </c>
      <c r="I2006" t="str">
        <f t="shared" si="223"/>
        <v/>
      </c>
    </row>
    <row r="2007" spans="1:9" x14ac:dyDescent="0.4">
      <c r="A2007" t="str">
        <f t="shared" si="217"/>
        <v/>
      </c>
      <c r="B2007" t="str">
        <f t="shared" si="218"/>
        <v/>
      </c>
      <c r="C2007" t="str">
        <f t="shared" si="219"/>
        <v/>
      </c>
      <c r="D2007" t="str">
        <f t="shared" si="220"/>
        <v/>
      </c>
      <c r="E2007" t="str">
        <f>IF(F2007="","",IF(COUNTIF($F$2:F2007,F2007)&gt;1,"",SUMIFS(tbl_input[필요수량],tbl_input[집계키_센터],F2007)))</f>
        <v/>
      </c>
      <c r="F2007" t="str">
        <f>IFERROR(INDEX(tbl_input[집계키_센터],ROW()-1),"")</f>
        <v/>
      </c>
      <c r="G2007" t="str">
        <f t="shared" si="221"/>
        <v/>
      </c>
      <c r="H2007" t="str">
        <f t="shared" si="222"/>
        <v/>
      </c>
      <c r="I2007" t="str">
        <f t="shared" si="223"/>
        <v/>
      </c>
    </row>
    <row r="2008" spans="1:9" x14ac:dyDescent="0.4">
      <c r="A2008" t="str">
        <f t="shared" si="217"/>
        <v/>
      </c>
      <c r="B2008" t="str">
        <f t="shared" si="218"/>
        <v/>
      </c>
      <c r="C2008" t="str">
        <f t="shared" si="219"/>
        <v/>
      </c>
      <c r="D2008" t="str">
        <f t="shared" si="220"/>
        <v/>
      </c>
      <c r="E2008" t="str">
        <f>IF(F2008="","",IF(COUNTIF($F$2:F2008,F2008)&gt;1,"",SUMIFS(tbl_input[필요수량],tbl_input[집계키_센터],F2008)))</f>
        <v/>
      </c>
      <c r="F2008" t="str">
        <f>IFERROR(INDEX(tbl_input[집계키_센터],ROW()-1),"")</f>
        <v/>
      </c>
      <c r="G2008" t="str">
        <f t="shared" si="221"/>
        <v/>
      </c>
      <c r="H2008" t="str">
        <f t="shared" si="222"/>
        <v/>
      </c>
      <c r="I2008" t="str">
        <f t="shared" si="223"/>
        <v/>
      </c>
    </row>
    <row r="2009" spans="1:9" x14ac:dyDescent="0.4">
      <c r="A2009" t="str">
        <f t="shared" si="217"/>
        <v/>
      </c>
      <c r="B2009" t="str">
        <f t="shared" si="218"/>
        <v/>
      </c>
      <c r="C2009" t="str">
        <f t="shared" si="219"/>
        <v/>
      </c>
      <c r="D2009" t="str">
        <f t="shared" si="220"/>
        <v/>
      </c>
      <c r="E2009" t="str">
        <f>IF(F2009="","",IF(COUNTIF($F$2:F2009,F2009)&gt;1,"",SUMIFS(tbl_input[필요수량],tbl_input[집계키_센터],F2009)))</f>
        <v/>
      </c>
      <c r="F2009" t="str">
        <f>IFERROR(INDEX(tbl_input[집계키_센터],ROW()-1),"")</f>
        <v/>
      </c>
      <c r="G2009" t="str">
        <f t="shared" si="221"/>
        <v/>
      </c>
      <c r="H2009" t="str">
        <f t="shared" si="222"/>
        <v/>
      </c>
      <c r="I2009" t="str">
        <f t="shared" si="223"/>
        <v/>
      </c>
    </row>
    <row r="2010" spans="1:9" x14ac:dyDescent="0.4">
      <c r="A2010" t="str">
        <f t="shared" si="217"/>
        <v/>
      </c>
      <c r="B2010" t="str">
        <f t="shared" si="218"/>
        <v/>
      </c>
      <c r="C2010" t="str">
        <f t="shared" si="219"/>
        <v/>
      </c>
      <c r="D2010" t="str">
        <f t="shared" si="220"/>
        <v/>
      </c>
      <c r="E2010" t="str">
        <f>IF(F2010="","",IF(COUNTIF($F$2:F2010,F2010)&gt;1,"",SUMIFS(tbl_input[필요수량],tbl_input[집계키_센터],F2010)))</f>
        <v/>
      </c>
      <c r="F2010" t="str">
        <f>IFERROR(INDEX(tbl_input[집계키_센터],ROW()-1),"")</f>
        <v/>
      </c>
      <c r="G2010" t="str">
        <f t="shared" si="221"/>
        <v/>
      </c>
      <c r="H2010" t="str">
        <f t="shared" si="222"/>
        <v/>
      </c>
      <c r="I2010" t="str">
        <f t="shared" si="223"/>
        <v/>
      </c>
    </row>
    <row r="2011" spans="1:9" x14ac:dyDescent="0.4">
      <c r="A2011" t="str">
        <f t="shared" si="217"/>
        <v/>
      </c>
      <c r="B2011" t="str">
        <f t="shared" si="218"/>
        <v/>
      </c>
      <c r="C2011" t="str">
        <f t="shared" si="219"/>
        <v/>
      </c>
      <c r="D2011" t="str">
        <f t="shared" si="220"/>
        <v/>
      </c>
      <c r="E2011" t="str">
        <f>IF(F2011="","",IF(COUNTIF($F$2:F2011,F2011)&gt;1,"",SUMIFS(tbl_input[필요수량],tbl_input[집계키_센터],F2011)))</f>
        <v/>
      </c>
      <c r="F2011" t="str">
        <f>IFERROR(INDEX(tbl_input[집계키_센터],ROW()-1),"")</f>
        <v/>
      </c>
      <c r="G2011" t="str">
        <f t="shared" si="221"/>
        <v/>
      </c>
      <c r="H2011" t="str">
        <f t="shared" si="222"/>
        <v/>
      </c>
      <c r="I2011" t="str">
        <f t="shared" si="223"/>
        <v/>
      </c>
    </row>
    <row r="2012" spans="1:9" x14ac:dyDescent="0.4">
      <c r="A2012" t="str">
        <f t="shared" si="217"/>
        <v/>
      </c>
      <c r="B2012" t="str">
        <f t="shared" si="218"/>
        <v/>
      </c>
      <c r="C2012" t="str">
        <f t="shared" si="219"/>
        <v/>
      </c>
      <c r="D2012" t="str">
        <f t="shared" si="220"/>
        <v/>
      </c>
      <c r="E2012" t="str">
        <f>IF(F2012="","",IF(COUNTIF($F$2:F2012,F2012)&gt;1,"",SUMIFS(tbl_input[필요수량],tbl_input[집계키_센터],F2012)))</f>
        <v/>
      </c>
      <c r="F2012" t="str">
        <f>IFERROR(INDEX(tbl_input[집계키_센터],ROW()-1),"")</f>
        <v/>
      </c>
      <c r="G2012" t="str">
        <f t="shared" si="221"/>
        <v/>
      </c>
      <c r="H2012" t="str">
        <f t="shared" si="222"/>
        <v/>
      </c>
      <c r="I2012" t="str">
        <f t="shared" si="223"/>
        <v/>
      </c>
    </row>
    <row r="2013" spans="1:9" x14ac:dyDescent="0.4">
      <c r="A2013" t="str">
        <f t="shared" si="217"/>
        <v/>
      </c>
      <c r="B2013" t="str">
        <f t="shared" si="218"/>
        <v/>
      </c>
      <c r="C2013" t="str">
        <f t="shared" si="219"/>
        <v/>
      </c>
      <c r="D2013" t="str">
        <f t="shared" si="220"/>
        <v/>
      </c>
      <c r="E2013" t="str">
        <f>IF(F2013="","",IF(COUNTIF($F$2:F2013,F2013)&gt;1,"",SUMIFS(tbl_input[필요수량],tbl_input[집계키_센터],F2013)))</f>
        <v/>
      </c>
      <c r="F2013" t="str">
        <f>IFERROR(INDEX(tbl_input[집계키_센터],ROW()-1),"")</f>
        <v/>
      </c>
      <c r="G2013" t="str">
        <f t="shared" si="221"/>
        <v/>
      </c>
      <c r="H2013" t="str">
        <f t="shared" si="222"/>
        <v/>
      </c>
      <c r="I2013" t="str">
        <f t="shared" si="223"/>
        <v/>
      </c>
    </row>
    <row r="2014" spans="1:9" x14ac:dyDescent="0.4">
      <c r="A2014" t="str">
        <f t="shared" si="217"/>
        <v/>
      </c>
      <c r="B2014" t="str">
        <f t="shared" si="218"/>
        <v/>
      </c>
      <c r="C2014" t="str">
        <f t="shared" si="219"/>
        <v/>
      </c>
      <c r="D2014" t="str">
        <f t="shared" si="220"/>
        <v/>
      </c>
      <c r="E2014" t="str">
        <f>IF(F2014="","",IF(COUNTIF($F$2:F2014,F2014)&gt;1,"",SUMIFS(tbl_input[필요수량],tbl_input[집계키_센터],F2014)))</f>
        <v/>
      </c>
      <c r="F2014" t="str">
        <f>IFERROR(INDEX(tbl_input[집계키_센터],ROW()-1),"")</f>
        <v/>
      </c>
      <c r="G2014" t="str">
        <f t="shared" si="221"/>
        <v/>
      </c>
      <c r="H2014" t="str">
        <f t="shared" si="222"/>
        <v/>
      </c>
      <c r="I2014" t="str">
        <f t="shared" si="223"/>
        <v/>
      </c>
    </row>
    <row r="2015" spans="1:9" x14ac:dyDescent="0.4">
      <c r="A2015" t="str">
        <f t="shared" si="217"/>
        <v/>
      </c>
      <c r="B2015" t="str">
        <f t="shared" si="218"/>
        <v/>
      </c>
      <c r="C2015" t="str">
        <f t="shared" si="219"/>
        <v/>
      </c>
      <c r="D2015" t="str">
        <f t="shared" si="220"/>
        <v/>
      </c>
      <c r="E2015" t="str">
        <f>IF(F2015="","",IF(COUNTIF($F$2:F2015,F2015)&gt;1,"",SUMIFS(tbl_input[필요수량],tbl_input[집계키_센터],F2015)))</f>
        <v/>
      </c>
      <c r="F2015" t="str">
        <f>IFERROR(INDEX(tbl_input[집계키_센터],ROW()-1),"")</f>
        <v/>
      </c>
      <c r="G2015" t="str">
        <f t="shared" si="221"/>
        <v/>
      </c>
      <c r="H2015" t="str">
        <f t="shared" si="222"/>
        <v/>
      </c>
      <c r="I2015" t="str">
        <f t="shared" si="223"/>
        <v/>
      </c>
    </row>
    <row r="2016" spans="1:9" x14ac:dyDescent="0.4">
      <c r="A2016" t="str">
        <f t="shared" si="217"/>
        <v/>
      </c>
      <c r="B2016" t="str">
        <f t="shared" si="218"/>
        <v/>
      </c>
      <c r="C2016" t="str">
        <f t="shared" si="219"/>
        <v/>
      </c>
      <c r="D2016" t="str">
        <f t="shared" si="220"/>
        <v/>
      </c>
      <c r="E2016" t="str">
        <f>IF(F2016="","",IF(COUNTIF($F$2:F2016,F2016)&gt;1,"",SUMIFS(tbl_input[필요수량],tbl_input[집계키_센터],F2016)))</f>
        <v/>
      </c>
      <c r="F2016" t="str">
        <f>IFERROR(INDEX(tbl_input[집계키_센터],ROW()-1),"")</f>
        <v/>
      </c>
      <c r="G2016" t="str">
        <f t="shared" si="221"/>
        <v/>
      </c>
      <c r="H2016" t="str">
        <f t="shared" si="222"/>
        <v/>
      </c>
      <c r="I2016" t="str">
        <f t="shared" si="223"/>
        <v/>
      </c>
    </row>
    <row r="2017" spans="1:9" x14ac:dyDescent="0.4">
      <c r="A2017" t="str">
        <f t="shared" si="217"/>
        <v/>
      </c>
      <c r="B2017" t="str">
        <f t="shared" si="218"/>
        <v/>
      </c>
      <c r="C2017" t="str">
        <f t="shared" si="219"/>
        <v/>
      </c>
      <c r="D2017" t="str">
        <f t="shared" si="220"/>
        <v/>
      </c>
      <c r="E2017" t="str">
        <f>IF(F2017="","",IF(COUNTIF($F$2:F2017,F2017)&gt;1,"",SUMIFS(tbl_input[필요수량],tbl_input[집계키_센터],F2017)))</f>
        <v/>
      </c>
      <c r="F2017" t="str">
        <f>IFERROR(INDEX(tbl_input[집계키_센터],ROW()-1),"")</f>
        <v/>
      </c>
      <c r="G2017" t="str">
        <f t="shared" si="221"/>
        <v/>
      </c>
      <c r="H2017" t="str">
        <f t="shared" si="222"/>
        <v/>
      </c>
      <c r="I2017" t="str">
        <f t="shared" si="223"/>
        <v/>
      </c>
    </row>
    <row r="2018" spans="1:9" x14ac:dyDescent="0.4">
      <c r="A2018" t="str">
        <f t="shared" si="217"/>
        <v/>
      </c>
      <c r="B2018" t="str">
        <f t="shared" si="218"/>
        <v/>
      </c>
      <c r="C2018" t="str">
        <f t="shared" si="219"/>
        <v/>
      </c>
      <c r="D2018" t="str">
        <f t="shared" si="220"/>
        <v/>
      </c>
      <c r="E2018" t="str">
        <f>IF(F2018="","",IF(COUNTIF($F$2:F2018,F2018)&gt;1,"",SUMIFS(tbl_input[필요수량],tbl_input[집계키_센터],F2018)))</f>
        <v/>
      </c>
      <c r="F2018" t="str">
        <f>IFERROR(INDEX(tbl_input[집계키_센터],ROW()-1),"")</f>
        <v/>
      </c>
      <c r="G2018" t="str">
        <f t="shared" si="221"/>
        <v/>
      </c>
      <c r="H2018" t="str">
        <f t="shared" si="222"/>
        <v/>
      </c>
      <c r="I2018" t="str">
        <f t="shared" si="223"/>
        <v/>
      </c>
    </row>
    <row r="2019" spans="1:9" x14ac:dyDescent="0.4">
      <c r="A2019" t="str">
        <f t="shared" si="217"/>
        <v/>
      </c>
      <c r="B2019" t="str">
        <f t="shared" si="218"/>
        <v/>
      </c>
      <c r="C2019" t="str">
        <f t="shared" si="219"/>
        <v/>
      </c>
      <c r="D2019" t="str">
        <f t="shared" si="220"/>
        <v/>
      </c>
      <c r="E2019" t="str">
        <f>IF(F2019="","",IF(COUNTIF($F$2:F2019,F2019)&gt;1,"",SUMIFS(tbl_input[필요수량],tbl_input[집계키_센터],F2019)))</f>
        <v/>
      </c>
      <c r="F2019" t="str">
        <f>IFERROR(INDEX(tbl_input[집계키_센터],ROW()-1),"")</f>
        <v/>
      </c>
      <c r="G2019" t="str">
        <f t="shared" si="221"/>
        <v/>
      </c>
      <c r="H2019" t="str">
        <f t="shared" si="222"/>
        <v/>
      </c>
      <c r="I2019" t="str">
        <f t="shared" si="223"/>
        <v/>
      </c>
    </row>
    <row r="2020" spans="1:9" x14ac:dyDescent="0.4">
      <c r="A2020" t="str">
        <f t="shared" si="217"/>
        <v/>
      </c>
      <c r="B2020" t="str">
        <f t="shared" si="218"/>
        <v/>
      </c>
      <c r="C2020" t="str">
        <f t="shared" si="219"/>
        <v/>
      </c>
      <c r="D2020" t="str">
        <f t="shared" si="220"/>
        <v/>
      </c>
      <c r="E2020" t="str">
        <f>IF(F2020="","",IF(COUNTIF($F$2:F2020,F2020)&gt;1,"",SUMIFS(tbl_input[필요수량],tbl_input[집계키_센터],F2020)))</f>
        <v/>
      </c>
      <c r="F2020" t="str">
        <f>IFERROR(INDEX(tbl_input[집계키_센터],ROW()-1),"")</f>
        <v/>
      </c>
      <c r="G2020" t="str">
        <f t="shared" si="221"/>
        <v/>
      </c>
      <c r="H2020" t="str">
        <f t="shared" si="222"/>
        <v/>
      </c>
      <c r="I2020" t="str">
        <f t="shared" si="223"/>
        <v/>
      </c>
    </row>
    <row r="2021" spans="1:9" x14ac:dyDescent="0.4">
      <c r="A2021" t="str">
        <f t="shared" si="217"/>
        <v/>
      </c>
      <c r="B2021" t="str">
        <f t="shared" si="218"/>
        <v/>
      </c>
      <c r="C2021" t="str">
        <f t="shared" si="219"/>
        <v/>
      </c>
      <c r="D2021" t="str">
        <f t="shared" si="220"/>
        <v/>
      </c>
      <c r="E2021" t="str">
        <f>IF(F2021="","",IF(COUNTIF($F$2:F2021,F2021)&gt;1,"",SUMIFS(tbl_input[필요수량],tbl_input[집계키_센터],F2021)))</f>
        <v/>
      </c>
      <c r="F2021" t="str">
        <f>IFERROR(INDEX(tbl_input[집계키_센터],ROW()-1),"")</f>
        <v/>
      </c>
      <c r="G2021" t="str">
        <f t="shared" si="221"/>
        <v/>
      </c>
      <c r="H2021" t="str">
        <f t="shared" si="222"/>
        <v/>
      </c>
      <c r="I2021" t="str">
        <f t="shared" si="223"/>
        <v/>
      </c>
    </row>
    <row r="2022" spans="1:9" x14ac:dyDescent="0.4">
      <c r="A2022" t="str">
        <f t="shared" si="217"/>
        <v/>
      </c>
      <c r="B2022" t="str">
        <f t="shared" si="218"/>
        <v/>
      </c>
      <c r="C2022" t="str">
        <f t="shared" si="219"/>
        <v/>
      </c>
      <c r="D2022" t="str">
        <f t="shared" si="220"/>
        <v/>
      </c>
      <c r="E2022" t="str">
        <f>IF(F2022="","",IF(COUNTIF($F$2:F2022,F2022)&gt;1,"",SUMIFS(tbl_input[필요수량],tbl_input[집계키_센터],F2022)))</f>
        <v/>
      </c>
      <c r="F2022" t="str">
        <f>IFERROR(INDEX(tbl_input[집계키_센터],ROW()-1),"")</f>
        <v/>
      </c>
      <c r="G2022" t="str">
        <f t="shared" si="221"/>
        <v/>
      </c>
      <c r="H2022" t="str">
        <f t="shared" si="222"/>
        <v/>
      </c>
      <c r="I2022" t="str">
        <f t="shared" si="223"/>
        <v/>
      </c>
    </row>
    <row r="2023" spans="1:9" x14ac:dyDescent="0.4">
      <c r="A2023" t="str">
        <f t="shared" si="217"/>
        <v/>
      </c>
      <c r="B2023" t="str">
        <f t="shared" si="218"/>
        <v/>
      </c>
      <c r="C2023" t="str">
        <f t="shared" si="219"/>
        <v/>
      </c>
      <c r="D2023" t="str">
        <f t="shared" si="220"/>
        <v/>
      </c>
      <c r="E2023" t="str">
        <f>IF(F2023="","",IF(COUNTIF($F$2:F2023,F2023)&gt;1,"",SUMIFS(tbl_input[필요수량],tbl_input[집계키_센터],F2023)))</f>
        <v/>
      </c>
      <c r="F2023" t="str">
        <f>IFERROR(INDEX(tbl_input[집계키_센터],ROW()-1),"")</f>
        <v/>
      </c>
      <c r="G2023" t="str">
        <f t="shared" si="221"/>
        <v/>
      </c>
      <c r="H2023" t="str">
        <f t="shared" si="222"/>
        <v/>
      </c>
      <c r="I2023" t="str">
        <f t="shared" si="223"/>
        <v/>
      </c>
    </row>
    <row r="2024" spans="1:9" x14ac:dyDescent="0.4">
      <c r="A2024" t="str">
        <f t="shared" si="217"/>
        <v/>
      </c>
      <c r="B2024" t="str">
        <f t="shared" si="218"/>
        <v/>
      </c>
      <c r="C2024" t="str">
        <f t="shared" si="219"/>
        <v/>
      </c>
      <c r="D2024" t="str">
        <f t="shared" si="220"/>
        <v/>
      </c>
      <c r="E2024" t="str">
        <f>IF(F2024="","",IF(COUNTIF($F$2:F2024,F2024)&gt;1,"",SUMIFS(tbl_input[필요수량],tbl_input[집계키_센터],F2024)))</f>
        <v/>
      </c>
      <c r="F2024" t="str">
        <f>IFERROR(INDEX(tbl_input[집계키_센터],ROW()-1),"")</f>
        <v/>
      </c>
      <c r="G2024" t="str">
        <f t="shared" si="221"/>
        <v/>
      </c>
      <c r="H2024" t="str">
        <f t="shared" si="222"/>
        <v/>
      </c>
      <c r="I2024" t="str">
        <f t="shared" si="223"/>
        <v/>
      </c>
    </row>
    <row r="2025" spans="1:9" x14ac:dyDescent="0.4">
      <c r="A2025" t="str">
        <f t="shared" si="217"/>
        <v/>
      </c>
      <c r="B2025" t="str">
        <f t="shared" si="218"/>
        <v/>
      </c>
      <c r="C2025" t="str">
        <f t="shared" si="219"/>
        <v/>
      </c>
      <c r="D2025" t="str">
        <f t="shared" si="220"/>
        <v/>
      </c>
      <c r="E2025" t="str">
        <f>IF(F2025="","",IF(COUNTIF($F$2:F2025,F2025)&gt;1,"",SUMIFS(tbl_input[필요수량],tbl_input[집계키_센터],F2025)))</f>
        <v/>
      </c>
      <c r="F2025" t="str">
        <f>IFERROR(INDEX(tbl_input[집계키_센터],ROW()-1),"")</f>
        <v/>
      </c>
      <c r="G2025" t="str">
        <f t="shared" si="221"/>
        <v/>
      </c>
      <c r="H2025" t="str">
        <f t="shared" si="222"/>
        <v/>
      </c>
      <c r="I2025" t="str">
        <f t="shared" si="223"/>
        <v/>
      </c>
    </row>
    <row r="2026" spans="1:9" x14ac:dyDescent="0.4">
      <c r="A2026" t="str">
        <f t="shared" si="217"/>
        <v/>
      </c>
      <c r="B2026" t="str">
        <f t="shared" si="218"/>
        <v/>
      </c>
      <c r="C2026" t="str">
        <f t="shared" si="219"/>
        <v/>
      </c>
      <c r="D2026" t="str">
        <f t="shared" si="220"/>
        <v/>
      </c>
      <c r="E2026" t="str">
        <f>IF(F2026="","",IF(COUNTIF($F$2:F2026,F2026)&gt;1,"",SUMIFS(tbl_input[필요수량],tbl_input[집계키_센터],F2026)))</f>
        <v/>
      </c>
      <c r="F2026" t="str">
        <f>IFERROR(INDEX(tbl_input[집계키_센터],ROW()-1),"")</f>
        <v/>
      </c>
      <c r="G2026" t="str">
        <f t="shared" si="221"/>
        <v/>
      </c>
      <c r="H2026" t="str">
        <f t="shared" si="222"/>
        <v/>
      </c>
      <c r="I2026" t="str">
        <f t="shared" si="223"/>
        <v/>
      </c>
    </row>
    <row r="2027" spans="1:9" x14ac:dyDescent="0.4">
      <c r="A2027" t="str">
        <f t="shared" si="217"/>
        <v/>
      </c>
      <c r="B2027" t="str">
        <f t="shared" si="218"/>
        <v/>
      </c>
      <c r="C2027" t="str">
        <f t="shared" si="219"/>
        <v/>
      </c>
      <c r="D2027" t="str">
        <f t="shared" si="220"/>
        <v/>
      </c>
      <c r="E2027" t="str">
        <f>IF(F2027="","",IF(COUNTIF($F$2:F2027,F2027)&gt;1,"",SUMIFS(tbl_input[필요수량],tbl_input[집계키_센터],F2027)))</f>
        <v/>
      </c>
      <c r="F2027" t="str">
        <f>IFERROR(INDEX(tbl_input[집계키_센터],ROW()-1),"")</f>
        <v/>
      </c>
      <c r="G2027" t="str">
        <f t="shared" si="221"/>
        <v/>
      </c>
      <c r="H2027" t="str">
        <f t="shared" si="222"/>
        <v/>
      </c>
      <c r="I2027" t="str">
        <f t="shared" si="223"/>
        <v/>
      </c>
    </row>
    <row r="2028" spans="1:9" x14ac:dyDescent="0.4">
      <c r="A2028" t="str">
        <f t="shared" si="217"/>
        <v/>
      </c>
      <c r="B2028" t="str">
        <f t="shared" si="218"/>
        <v/>
      </c>
      <c r="C2028" t="str">
        <f t="shared" si="219"/>
        <v/>
      </c>
      <c r="D2028" t="str">
        <f t="shared" si="220"/>
        <v/>
      </c>
      <c r="E2028" t="str">
        <f>IF(F2028="","",IF(COUNTIF($F$2:F2028,F2028)&gt;1,"",SUMIFS(tbl_input[필요수량],tbl_input[집계키_센터],F2028)))</f>
        <v/>
      </c>
      <c r="F2028" t="str">
        <f>IFERROR(INDEX(tbl_input[집계키_센터],ROW()-1),"")</f>
        <v/>
      </c>
      <c r="G2028" t="str">
        <f t="shared" si="221"/>
        <v/>
      </c>
      <c r="H2028" t="str">
        <f t="shared" si="222"/>
        <v/>
      </c>
      <c r="I2028" t="str">
        <f t="shared" si="223"/>
        <v/>
      </c>
    </row>
    <row r="2029" spans="1:9" x14ac:dyDescent="0.4">
      <c r="A2029" t="str">
        <f t="shared" si="217"/>
        <v/>
      </c>
      <c r="B2029" t="str">
        <f t="shared" si="218"/>
        <v/>
      </c>
      <c r="C2029" t="str">
        <f t="shared" si="219"/>
        <v/>
      </c>
      <c r="D2029" t="str">
        <f t="shared" si="220"/>
        <v/>
      </c>
      <c r="E2029" t="str">
        <f>IF(F2029="","",IF(COUNTIF($F$2:F2029,F2029)&gt;1,"",SUMIFS(tbl_input[필요수량],tbl_input[집계키_센터],F2029)))</f>
        <v/>
      </c>
      <c r="F2029" t="str">
        <f>IFERROR(INDEX(tbl_input[집계키_센터],ROW()-1),"")</f>
        <v/>
      </c>
      <c r="G2029" t="str">
        <f t="shared" si="221"/>
        <v/>
      </c>
      <c r="H2029" t="str">
        <f t="shared" si="222"/>
        <v/>
      </c>
      <c r="I2029" t="str">
        <f t="shared" si="223"/>
        <v/>
      </c>
    </row>
    <row r="2030" spans="1:9" x14ac:dyDescent="0.4">
      <c r="A2030" t="str">
        <f t="shared" si="217"/>
        <v/>
      </c>
      <c r="B2030" t="str">
        <f t="shared" si="218"/>
        <v/>
      </c>
      <c r="C2030" t="str">
        <f t="shared" si="219"/>
        <v/>
      </c>
      <c r="D2030" t="str">
        <f t="shared" si="220"/>
        <v/>
      </c>
      <c r="E2030" t="str">
        <f>IF(F2030="","",IF(COUNTIF($F$2:F2030,F2030)&gt;1,"",SUMIFS(tbl_input[필요수량],tbl_input[집계키_센터],F2030)))</f>
        <v/>
      </c>
      <c r="F2030" t="str">
        <f>IFERROR(INDEX(tbl_input[집계키_센터],ROW()-1),"")</f>
        <v/>
      </c>
      <c r="G2030" t="str">
        <f t="shared" si="221"/>
        <v/>
      </c>
      <c r="H2030" t="str">
        <f t="shared" si="222"/>
        <v/>
      </c>
      <c r="I2030" t="str">
        <f t="shared" si="223"/>
        <v/>
      </c>
    </row>
    <row r="2031" spans="1:9" x14ac:dyDescent="0.4">
      <c r="A2031" t="str">
        <f t="shared" si="217"/>
        <v/>
      </c>
      <c r="B2031" t="str">
        <f t="shared" si="218"/>
        <v/>
      </c>
      <c r="C2031" t="str">
        <f t="shared" si="219"/>
        <v/>
      </c>
      <c r="D2031" t="str">
        <f t="shared" si="220"/>
        <v/>
      </c>
      <c r="E2031" t="str">
        <f>IF(F2031="","",IF(COUNTIF($F$2:F2031,F2031)&gt;1,"",SUMIFS(tbl_input[필요수량],tbl_input[집계키_센터],F2031)))</f>
        <v/>
      </c>
      <c r="F2031" t="str">
        <f>IFERROR(INDEX(tbl_input[집계키_센터],ROW()-1),"")</f>
        <v/>
      </c>
      <c r="G2031" t="str">
        <f t="shared" si="221"/>
        <v/>
      </c>
      <c r="H2031" t="str">
        <f t="shared" si="222"/>
        <v/>
      </c>
      <c r="I2031" t="str">
        <f t="shared" si="223"/>
        <v/>
      </c>
    </row>
    <row r="2032" spans="1:9" x14ac:dyDescent="0.4">
      <c r="A2032" t="str">
        <f t="shared" si="217"/>
        <v/>
      </c>
      <c r="B2032" t="str">
        <f t="shared" si="218"/>
        <v/>
      </c>
      <c r="C2032" t="str">
        <f t="shared" si="219"/>
        <v/>
      </c>
      <c r="D2032" t="str">
        <f t="shared" si="220"/>
        <v/>
      </c>
      <c r="E2032" t="str">
        <f>IF(F2032="","",IF(COUNTIF($F$2:F2032,F2032)&gt;1,"",SUMIFS(tbl_input[필요수량],tbl_input[집계키_센터],F2032)))</f>
        <v/>
      </c>
      <c r="F2032" t="str">
        <f>IFERROR(INDEX(tbl_input[집계키_센터],ROW()-1),"")</f>
        <v/>
      </c>
      <c r="G2032" t="str">
        <f t="shared" si="221"/>
        <v/>
      </c>
      <c r="H2032" t="str">
        <f t="shared" si="222"/>
        <v/>
      </c>
      <c r="I2032" t="str">
        <f t="shared" si="223"/>
        <v/>
      </c>
    </row>
    <row r="2033" spans="1:9" x14ac:dyDescent="0.4">
      <c r="A2033" t="str">
        <f t="shared" si="217"/>
        <v/>
      </c>
      <c r="B2033" t="str">
        <f t="shared" si="218"/>
        <v/>
      </c>
      <c r="C2033" t="str">
        <f t="shared" si="219"/>
        <v/>
      </c>
      <c r="D2033" t="str">
        <f t="shared" si="220"/>
        <v/>
      </c>
      <c r="E2033" t="str">
        <f>IF(F2033="","",IF(COUNTIF($F$2:F2033,F2033)&gt;1,"",SUMIFS(tbl_input[필요수량],tbl_input[집계키_센터],F2033)))</f>
        <v/>
      </c>
      <c r="F2033" t="str">
        <f>IFERROR(INDEX(tbl_input[집계키_센터],ROW()-1),"")</f>
        <v/>
      </c>
      <c r="G2033" t="str">
        <f t="shared" si="221"/>
        <v/>
      </c>
      <c r="H2033" t="str">
        <f t="shared" si="222"/>
        <v/>
      </c>
      <c r="I2033" t="str">
        <f t="shared" si="223"/>
        <v/>
      </c>
    </row>
    <row r="2034" spans="1:9" x14ac:dyDescent="0.4">
      <c r="A2034" t="str">
        <f t="shared" si="217"/>
        <v/>
      </c>
      <c r="B2034" t="str">
        <f t="shared" si="218"/>
        <v/>
      </c>
      <c r="C2034" t="str">
        <f t="shared" si="219"/>
        <v/>
      </c>
      <c r="D2034" t="str">
        <f t="shared" si="220"/>
        <v/>
      </c>
      <c r="E2034" t="str">
        <f>IF(F2034="","",IF(COUNTIF($F$2:F2034,F2034)&gt;1,"",SUMIFS(tbl_input[필요수량],tbl_input[집계키_센터],F2034)))</f>
        <v/>
      </c>
      <c r="F2034" t="str">
        <f>IFERROR(INDEX(tbl_input[집계키_센터],ROW()-1),"")</f>
        <v/>
      </c>
      <c r="G2034" t="str">
        <f t="shared" si="221"/>
        <v/>
      </c>
      <c r="H2034" t="str">
        <f t="shared" si="222"/>
        <v/>
      </c>
      <c r="I2034" t="str">
        <f t="shared" si="223"/>
        <v/>
      </c>
    </row>
    <row r="2035" spans="1:9" x14ac:dyDescent="0.4">
      <c r="A2035" t="str">
        <f t="shared" si="217"/>
        <v/>
      </c>
      <c r="B2035" t="str">
        <f t="shared" si="218"/>
        <v/>
      </c>
      <c r="C2035" t="str">
        <f t="shared" si="219"/>
        <v/>
      </c>
      <c r="D2035" t="str">
        <f t="shared" si="220"/>
        <v/>
      </c>
      <c r="E2035" t="str">
        <f>IF(F2035="","",IF(COUNTIF($F$2:F2035,F2035)&gt;1,"",SUMIFS(tbl_input[필요수량],tbl_input[집계키_센터],F2035)))</f>
        <v/>
      </c>
      <c r="F2035" t="str">
        <f>IFERROR(INDEX(tbl_input[집계키_센터],ROW()-1),"")</f>
        <v/>
      </c>
      <c r="G2035" t="str">
        <f t="shared" si="221"/>
        <v/>
      </c>
      <c r="H2035" t="str">
        <f t="shared" si="222"/>
        <v/>
      </c>
      <c r="I2035" t="str">
        <f t="shared" si="223"/>
        <v/>
      </c>
    </row>
    <row r="2036" spans="1:9" x14ac:dyDescent="0.4">
      <c r="A2036" t="str">
        <f t="shared" si="217"/>
        <v/>
      </c>
      <c r="B2036" t="str">
        <f t="shared" si="218"/>
        <v/>
      </c>
      <c r="C2036" t="str">
        <f t="shared" si="219"/>
        <v/>
      </c>
      <c r="D2036" t="str">
        <f t="shared" si="220"/>
        <v/>
      </c>
      <c r="E2036" t="str">
        <f>IF(F2036="","",IF(COUNTIF($F$2:F2036,F2036)&gt;1,"",SUMIFS(tbl_input[필요수량],tbl_input[집계키_센터],F2036)))</f>
        <v/>
      </c>
      <c r="F2036" t="str">
        <f>IFERROR(INDEX(tbl_input[집계키_센터],ROW()-1),"")</f>
        <v/>
      </c>
      <c r="G2036" t="str">
        <f t="shared" si="221"/>
        <v/>
      </c>
      <c r="H2036" t="str">
        <f t="shared" si="222"/>
        <v/>
      </c>
      <c r="I2036" t="str">
        <f t="shared" si="223"/>
        <v/>
      </c>
    </row>
    <row r="2037" spans="1:9" x14ac:dyDescent="0.4">
      <c r="A2037" t="str">
        <f t="shared" si="217"/>
        <v/>
      </c>
      <c r="B2037" t="str">
        <f t="shared" si="218"/>
        <v/>
      </c>
      <c r="C2037" t="str">
        <f t="shared" si="219"/>
        <v/>
      </c>
      <c r="D2037" t="str">
        <f t="shared" si="220"/>
        <v/>
      </c>
      <c r="E2037" t="str">
        <f>IF(F2037="","",IF(COUNTIF($F$2:F2037,F2037)&gt;1,"",SUMIFS(tbl_input[필요수량],tbl_input[집계키_센터],F2037)))</f>
        <v/>
      </c>
      <c r="F2037" t="str">
        <f>IFERROR(INDEX(tbl_input[집계키_센터],ROW()-1),"")</f>
        <v/>
      </c>
      <c r="G2037" t="str">
        <f t="shared" si="221"/>
        <v/>
      </c>
      <c r="H2037" t="str">
        <f t="shared" si="222"/>
        <v/>
      </c>
      <c r="I2037" t="str">
        <f t="shared" si="223"/>
        <v/>
      </c>
    </row>
    <row r="2038" spans="1:9" x14ac:dyDescent="0.4">
      <c r="A2038" t="str">
        <f t="shared" si="217"/>
        <v/>
      </c>
      <c r="B2038" t="str">
        <f t="shared" si="218"/>
        <v/>
      </c>
      <c r="C2038" t="str">
        <f t="shared" si="219"/>
        <v/>
      </c>
      <c r="D2038" t="str">
        <f t="shared" si="220"/>
        <v/>
      </c>
      <c r="E2038" t="str">
        <f>IF(F2038="","",IF(COUNTIF($F$2:F2038,F2038)&gt;1,"",SUMIFS(tbl_input[필요수량],tbl_input[집계키_센터],F2038)))</f>
        <v/>
      </c>
      <c r="F2038" t="str">
        <f>IFERROR(INDEX(tbl_input[집계키_센터],ROW()-1),"")</f>
        <v/>
      </c>
      <c r="G2038" t="str">
        <f t="shared" si="221"/>
        <v/>
      </c>
      <c r="H2038" t="str">
        <f t="shared" si="222"/>
        <v/>
      </c>
      <c r="I2038" t="str">
        <f t="shared" si="223"/>
        <v/>
      </c>
    </row>
    <row r="2039" spans="1:9" x14ac:dyDescent="0.4">
      <c r="A2039" t="str">
        <f t="shared" si="217"/>
        <v/>
      </c>
      <c r="B2039" t="str">
        <f t="shared" si="218"/>
        <v/>
      </c>
      <c r="C2039" t="str">
        <f t="shared" si="219"/>
        <v/>
      </c>
      <c r="D2039" t="str">
        <f t="shared" si="220"/>
        <v/>
      </c>
      <c r="E2039" t="str">
        <f>IF(F2039="","",IF(COUNTIF($F$2:F2039,F2039)&gt;1,"",SUMIFS(tbl_input[필요수량],tbl_input[집계키_센터],F2039)))</f>
        <v/>
      </c>
      <c r="F2039" t="str">
        <f>IFERROR(INDEX(tbl_input[집계키_센터],ROW()-1),"")</f>
        <v/>
      </c>
      <c r="G2039" t="str">
        <f t="shared" si="221"/>
        <v/>
      </c>
      <c r="H2039" t="str">
        <f t="shared" si="222"/>
        <v/>
      </c>
      <c r="I2039" t="str">
        <f t="shared" si="223"/>
        <v/>
      </c>
    </row>
    <row r="2040" spans="1:9" x14ac:dyDescent="0.4">
      <c r="A2040" t="str">
        <f t="shared" si="217"/>
        <v/>
      </c>
      <c r="B2040" t="str">
        <f t="shared" si="218"/>
        <v/>
      </c>
      <c r="C2040" t="str">
        <f t="shared" si="219"/>
        <v/>
      </c>
      <c r="D2040" t="str">
        <f t="shared" si="220"/>
        <v/>
      </c>
      <c r="E2040" t="str">
        <f>IF(F2040="","",IF(COUNTIF($F$2:F2040,F2040)&gt;1,"",SUMIFS(tbl_input[필요수량],tbl_input[집계키_센터],F2040)))</f>
        <v/>
      </c>
      <c r="F2040" t="str">
        <f>IFERROR(INDEX(tbl_input[집계키_센터],ROW()-1),"")</f>
        <v/>
      </c>
      <c r="G2040" t="str">
        <f t="shared" si="221"/>
        <v/>
      </c>
      <c r="H2040" t="str">
        <f t="shared" si="222"/>
        <v/>
      </c>
      <c r="I2040" t="str">
        <f t="shared" si="223"/>
        <v/>
      </c>
    </row>
    <row r="2041" spans="1:9" x14ac:dyDescent="0.4">
      <c r="A2041" t="str">
        <f t="shared" si="217"/>
        <v/>
      </c>
      <c r="B2041" t="str">
        <f t="shared" si="218"/>
        <v/>
      </c>
      <c r="C2041" t="str">
        <f t="shared" si="219"/>
        <v/>
      </c>
      <c r="D2041" t="str">
        <f t="shared" si="220"/>
        <v/>
      </c>
      <c r="E2041" t="str">
        <f>IF(F2041="","",IF(COUNTIF($F$2:F2041,F2041)&gt;1,"",SUMIFS(tbl_input[필요수량],tbl_input[집계키_센터],F2041)))</f>
        <v/>
      </c>
      <c r="F2041" t="str">
        <f>IFERROR(INDEX(tbl_input[집계키_센터],ROW()-1),"")</f>
        <v/>
      </c>
      <c r="G2041" t="str">
        <f t="shared" si="221"/>
        <v/>
      </c>
      <c r="H2041" t="str">
        <f t="shared" si="222"/>
        <v/>
      </c>
      <c r="I2041" t="str">
        <f t="shared" si="223"/>
        <v/>
      </c>
    </row>
    <row r="2042" spans="1:9" x14ac:dyDescent="0.4">
      <c r="A2042" t="str">
        <f t="shared" si="217"/>
        <v/>
      </c>
      <c r="B2042" t="str">
        <f t="shared" si="218"/>
        <v/>
      </c>
      <c r="C2042" t="str">
        <f t="shared" si="219"/>
        <v/>
      </c>
      <c r="D2042" t="str">
        <f t="shared" si="220"/>
        <v/>
      </c>
      <c r="E2042" t="str">
        <f>IF(F2042="","",IF(COUNTIF($F$2:F2042,F2042)&gt;1,"",SUMIFS(tbl_input[필요수량],tbl_input[집계키_센터],F2042)))</f>
        <v/>
      </c>
      <c r="F2042" t="str">
        <f>IFERROR(INDEX(tbl_input[집계키_센터],ROW()-1),"")</f>
        <v/>
      </c>
      <c r="G2042" t="str">
        <f t="shared" si="221"/>
        <v/>
      </c>
      <c r="H2042" t="str">
        <f t="shared" si="222"/>
        <v/>
      </c>
      <c r="I2042" t="str">
        <f t="shared" si="223"/>
        <v/>
      </c>
    </row>
    <row r="2043" spans="1:9" x14ac:dyDescent="0.4">
      <c r="A2043" t="str">
        <f t="shared" si="217"/>
        <v/>
      </c>
      <c r="B2043" t="str">
        <f t="shared" si="218"/>
        <v/>
      </c>
      <c r="C2043" t="str">
        <f t="shared" si="219"/>
        <v/>
      </c>
      <c r="D2043" t="str">
        <f t="shared" si="220"/>
        <v/>
      </c>
      <c r="E2043" t="str">
        <f>IF(F2043="","",IF(COUNTIF($F$2:F2043,F2043)&gt;1,"",SUMIFS(tbl_input[필요수량],tbl_input[집계키_센터],F2043)))</f>
        <v/>
      </c>
      <c r="F2043" t="str">
        <f>IFERROR(INDEX(tbl_input[집계키_센터],ROW()-1),"")</f>
        <v/>
      </c>
      <c r="G2043" t="str">
        <f t="shared" si="221"/>
        <v/>
      </c>
      <c r="H2043" t="str">
        <f t="shared" si="222"/>
        <v/>
      </c>
      <c r="I2043" t="str">
        <f t="shared" si="223"/>
        <v/>
      </c>
    </row>
    <row r="2044" spans="1:9" x14ac:dyDescent="0.4">
      <c r="A2044" t="str">
        <f t="shared" si="217"/>
        <v/>
      </c>
      <c r="B2044" t="str">
        <f t="shared" si="218"/>
        <v/>
      </c>
      <c r="C2044" t="str">
        <f t="shared" si="219"/>
        <v/>
      </c>
      <c r="D2044" t="str">
        <f t="shared" si="220"/>
        <v/>
      </c>
      <c r="E2044" t="str">
        <f>IF(F2044="","",IF(COUNTIF($F$2:F2044,F2044)&gt;1,"",SUMIFS(tbl_input[필요수량],tbl_input[집계키_센터],F2044)))</f>
        <v/>
      </c>
      <c r="F2044" t="str">
        <f>IFERROR(INDEX(tbl_input[집계키_센터],ROW()-1),"")</f>
        <v/>
      </c>
      <c r="G2044" t="str">
        <f t="shared" si="221"/>
        <v/>
      </c>
      <c r="H2044" t="str">
        <f t="shared" si="222"/>
        <v/>
      </c>
      <c r="I2044" t="str">
        <f t="shared" si="223"/>
        <v/>
      </c>
    </row>
    <row r="2045" spans="1:9" x14ac:dyDescent="0.4">
      <c r="A2045" t="str">
        <f t="shared" si="217"/>
        <v/>
      </c>
      <c r="B2045" t="str">
        <f t="shared" si="218"/>
        <v/>
      </c>
      <c r="C2045" t="str">
        <f t="shared" si="219"/>
        <v/>
      </c>
      <c r="D2045" t="str">
        <f t="shared" si="220"/>
        <v/>
      </c>
      <c r="E2045" t="str">
        <f>IF(F2045="","",IF(COUNTIF($F$2:F2045,F2045)&gt;1,"",SUMIFS(tbl_input[필요수량],tbl_input[집계키_센터],F2045)))</f>
        <v/>
      </c>
      <c r="F2045" t="str">
        <f>IFERROR(INDEX(tbl_input[집계키_센터],ROW()-1),"")</f>
        <v/>
      </c>
      <c r="G2045" t="str">
        <f t="shared" si="221"/>
        <v/>
      </c>
      <c r="H2045" t="str">
        <f t="shared" si="222"/>
        <v/>
      </c>
      <c r="I2045" t="str">
        <f t="shared" si="223"/>
        <v/>
      </c>
    </row>
    <row r="2046" spans="1:9" x14ac:dyDescent="0.4">
      <c r="A2046" t="str">
        <f t="shared" si="217"/>
        <v/>
      </c>
      <c r="B2046" t="str">
        <f t="shared" si="218"/>
        <v/>
      </c>
      <c r="C2046" t="str">
        <f t="shared" si="219"/>
        <v/>
      </c>
      <c r="D2046" t="str">
        <f t="shared" si="220"/>
        <v/>
      </c>
      <c r="E2046" t="str">
        <f>IF(F2046="","",IF(COUNTIF($F$2:F2046,F2046)&gt;1,"",SUMIFS(tbl_input[필요수량],tbl_input[집계키_센터],F2046)))</f>
        <v/>
      </c>
      <c r="F2046" t="str">
        <f>IFERROR(INDEX(tbl_input[집계키_센터],ROW()-1),"")</f>
        <v/>
      </c>
      <c r="G2046" t="str">
        <f t="shared" si="221"/>
        <v/>
      </c>
      <c r="H2046" t="str">
        <f t="shared" si="222"/>
        <v/>
      </c>
      <c r="I2046" t="str">
        <f t="shared" si="223"/>
        <v/>
      </c>
    </row>
    <row r="2047" spans="1:9" x14ac:dyDescent="0.4">
      <c r="A2047" t="str">
        <f t="shared" si="217"/>
        <v/>
      </c>
      <c r="B2047" t="str">
        <f t="shared" si="218"/>
        <v/>
      </c>
      <c r="C2047" t="str">
        <f t="shared" si="219"/>
        <v/>
      </c>
      <c r="D2047" t="str">
        <f t="shared" si="220"/>
        <v/>
      </c>
      <c r="E2047" t="str">
        <f>IF(F2047="","",IF(COUNTIF($F$2:F2047,F2047)&gt;1,"",SUMIFS(tbl_input[필요수량],tbl_input[집계키_센터],F2047)))</f>
        <v/>
      </c>
      <c r="F2047" t="str">
        <f>IFERROR(INDEX(tbl_input[집계키_센터],ROW()-1),"")</f>
        <v/>
      </c>
      <c r="G2047" t="str">
        <f t="shared" si="221"/>
        <v/>
      </c>
      <c r="H2047" t="str">
        <f t="shared" si="222"/>
        <v/>
      </c>
      <c r="I2047" t="str">
        <f t="shared" si="223"/>
        <v/>
      </c>
    </row>
    <row r="2048" spans="1:9" x14ac:dyDescent="0.4">
      <c r="A2048" t="str">
        <f t="shared" si="217"/>
        <v/>
      </c>
      <c r="B2048" t="str">
        <f t="shared" si="218"/>
        <v/>
      </c>
      <c r="C2048" t="str">
        <f t="shared" si="219"/>
        <v/>
      </c>
      <c r="D2048" t="str">
        <f t="shared" si="220"/>
        <v/>
      </c>
      <c r="E2048" t="str">
        <f>IF(F2048="","",IF(COUNTIF($F$2:F2048,F2048)&gt;1,"",SUMIFS(tbl_input[필요수량],tbl_input[집계키_센터],F2048)))</f>
        <v/>
      </c>
      <c r="F2048" t="str">
        <f>IFERROR(INDEX(tbl_input[집계키_센터],ROW()-1),"")</f>
        <v/>
      </c>
      <c r="G2048" t="str">
        <f t="shared" si="221"/>
        <v/>
      </c>
      <c r="H2048" t="str">
        <f t="shared" si="222"/>
        <v/>
      </c>
      <c r="I2048" t="str">
        <f t="shared" si="223"/>
        <v/>
      </c>
    </row>
    <row r="2049" spans="1:9" x14ac:dyDescent="0.4">
      <c r="A2049" t="str">
        <f t="shared" si="217"/>
        <v/>
      </c>
      <c r="B2049" t="str">
        <f t="shared" si="218"/>
        <v/>
      </c>
      <c r="C2049" t="str">
        <f t="shared" si="219"/>
        <v/>
      </c>
      <c r="D2049" t="str">
        <f t="shared" si="220"/>
        <v/>
      </c>
      <c r="E2049" t="str">
        <f>IF(F2049="","",IF(COUNTIF($F$2:F2049,F2049)&gt;1,"",SUMIFS(tbl_input[필요수량],tbl_input[집계키_센터],F2049)))</f>
        <v/>
      </c>
      <c r="F2049" t="str">
        <f>IFERROR(INDEX(tbl_input[집계키_센터],ROW()-1),"")</f>
        <v/>
      </c>
      <c r="G2049" t="str">
        <f t="shared" si="221"/>
        <v/>
      </c>
      <c r="H2049" t="str">
        <f t="shared" si="222"/>
        <v/>
      </c>
      <c r="I2049" t="str">
        <f t="shared" si="223"/>
        <v/>
      </c>
    </row>
    <row r="2050" spans="1:9" x14ac:dyDescent="0.4">
      <c r="A2050" t="str">
        <f t="shared" ref="A2050:A2113" si="224">IF(F2050="","",LEFT(F2050,G2050-1))</f>
        <v/>
      </c>
      <c r="B2050" t="str">
        <f t="shared" ref="B2050:B2113" si="225">IF(F2050="","",MID(F2050,G2050+1,H2050-G2050-1))</f>
        <v/>
      </c>
      <c r="C2050" t="str">
        <f t="shared" ref="C2050:C2113" si="226">IF(F2050="","",MID(F2050,H2050+1,I2050-H2050-1))</f>
        <v/>
      </c>
      <c r="D2050" t="str">
        <f t="shared" ref="D2050:D2113" si="227">IF(F2050="","",MID(F2050,I2050+1,999))</f>
        <v/>
      </c>
      <c r="E2050" t="str">
        <f>IF(F2050="","",IF(COUNTIF($F$2:F2050,F2050)&gt;1,"",SUMIFS(tbl_input[필요수량],tbl_input[집계키_센터],F2050)))</f>
        <v/>
      </c>
      <c r="F2050" t="str">
        <f>IFERROR(INDEX(tbl_input[집계키_센터],ROW()-1),"")</f>
        <v/>
      </c>
      <c r="G2050" t="str">
        <f t="shared" ref="G2050:G2113" si="228">IF(F2050="","",FIND("♦",F2050))</f>
        <v/>
      </c>
      <c r="H2050" t="str">
        <f t="shared" ref="H2050:H2113" si="229">IF(F2050="","",FIND("♦",F2050,G2050+1))</f>
        <v/>
      </c>
      <c r="I2050" t="str">
        <f t="shared" ref="I2050:I2113" si="230">IF(F2050="","",FIND("♦",F2050,H2050+1))</f>
        <v/>
      </c>
    </row>
    <row r="2051" spans="1:9" x14ac:dyDescent="0.4">
      <c r="A2051" t="str">
        <f t="shared" si="224"/>
        <v/>
      </c>
      <c r="B2051" t="str">
        <f t="shared" si="225"/>
        <v/>
      </c>
      <c r="C2051" t="str">
        <f t="shared" si="226"/>
        <v/>
      </c>
      <c r="D2051" t="str">
        <f t="shared" si="227"/>
        <v/>
      </c>
      <c r="E2051" t="str">
        <f>IF(F2051="","",IF(COUNTIF($F$2:F2051,F2051)&gt;1,"",SUMIFS(tbl_input[필요수량],tbl_input[집계키_센터],F2051)))</f>
        <v/>
      </c>
      <c r="F2051" t="str">
        <f>IFERROR(INDEX(tbl_input[집계키_센터],ROW()-1),"")</f>
        <v/>
      </c>
      <c r="G2051" t="str">
        <f t="shared" si="228"/>
        <v/>
      </c>
      <c r="H2051" t="str">
        <f t="shared" si="229"/>
        <v/>
      </c>
      <c r="I2051" t="str">
        <f t="shared" si="230"/>
        <v/>
      </c>
    </row>
    <row r="2052" spans="1:9" x14ac:dyDescent="0.4">
      <c r="A2052" t="str">
        <f t="shared" si="224"/>
        <v/>
      </c>
      <c r="B2052" t="str">
        <f t="shared" si="225"/>
        <v/>
      </c>
      <c r="C2052" t="str">
        <f t="shared" si="226"/>
        <v/>
      </c>
      <c r="D2052" t="str">
        <f t="shared" si="227"/>
        <v/>
      </c>
      <c r="E2052" t="str">
        <f>IF(F2052="","",IF(COUNTIF($F$2:F2052,F2052)&gt;1,"",SUMIFS(tbl_input[필요수량],tbl_input[집계키_센터],F2052)))</f>
        <v/>
      </c>
      <c r="F2052" t="str">
        <f>IFERROR(INDEX(tbl_input[집계키_센터],ROW()-1),"")</f>
        <v/>
      </c>
      <c r="G2052" t="str">
        <f t="shared" si="228"/>
        <v/>
      </c>
      <c r="H2052" t="str">
        <f t="shared" si="229"/>
        <v/>
      </c>
      <c r="I2052" t="str">
        <f t="shared" si="230"/>
        <v/>
      </c>
    </row>
    <row r="2053" spans="1:9" x14ac:dyDescent="0.4">
      <c r="A2053" t="str">
        <f t="shared" si="224"/>
        <v/>
      </c>
      <c r="B2053" t="str">
        <f t="shared" si="225"/>
        <v/>
      </c>
      <c r="C2053" t="str">
        <f t="shared" si="226"/>
        <v/>
      </c>
      <c r="D2053" t="str">
        <f t="shared" si="227"/>
        <v/>
      </c>
      <c r="E2053" t="str">
        <f>IF(F2053="","",IF(COUNTIF($F$2:F2053,F2053)&gt;1,"",SUMIFS(tbl_input[필요수량],tbl_input[집계키_센터],F2053)))</f>
        <v/>
      </c>
      <c r="F2053" t="str">
        <f>IFERROR(INDEX(tbl_input[집계키_센터],ROW()-1),"")</f>
        <v/>
      </c>
      <c r="G2053" t="str">
        <f t="shared" si="228"/>
        <v/>
      </c>
      <c r="H2053" t="str">
        <f t="shared" si="229"/>
        <v/>
      </c>
      <c r="I2053" t="str">
        <f t="shared" si="230"/>
        <v/>
      </c>
    </row>
    <row r="2054" spans="1:9" x14ac:dyDescent="0.4">
      <c r="A2054" t="str">
        <f t="shared" si="224"/>
        <v/>
      </c>
      <c r="B2054" t="str">
        <f t="shared" si="225"/>
        <v/>
      </c>
      <c r="C2054" t="str">
        <f t="shared" si="226"/>
        <v/>
      </c>
      <c r="D2054" t="str">
        <f t="shared" si="227"/>
        <v/>
      </c>
      <c r="E2054" t="str">
        <f>IF(F2054="","",IF(COUNTIF($F$2:F2054,F2054)&gt;1,"",SUMIFS(tbl_input[필요수량],tbl_input[집계키_센터],F2054)))</f>
        <v/>
      </c>
      <c r="F2054" t="str">
        <f>IFERROR(INDEX(tbl_input[집계키_센터],ROW()-1),"")</f>
        <v/>
      </c>
      <c r="G2054" t="str">
        <f t="shared" si="228"/>
        <v/>
      </c>
      <c r="H2054" t="str">
        <f t="shared" si="229"/>
        <v/>
      </c>
      <c r="I2054" t="str">
        <f t="shared" si="230"/>
        <v/>
      </c>
    </row>
    <row r="2055" spans="1:9" x14ac:dyDescent="0.4">
      <c r="A2055" t="str">
        <f t="shared" si="224"/>
        <v/>
      </c>
      <c r="B2055" t="str">
        <f t="shared" si="225"/>
        <v/>
      </c>
      <c r="C2055" t="str">
        <f t="shared" si="226"/>
        <v/>
      </c>
      <c r="D2055" t="str">
        <f t="shared" si="227"/>
        <v/>
      </c>
      <c r="E2055" t="str">
        <f>IF(F2055="","",IF(COUNTIF($F$2:F2055,F2055)&gt;1,"",SUMIFS(tbl_input[필요수량],tbl_input[집계키_센터],F2055)))</f>
        <v/>
      </c>
      <c r="F2055" t="str">
        <f>IFERROR(INDEX(tbl_input[집계키_센터],ROW()-1),"")</f>
        <v/>
      </c>
      <c r="G2055" t="str">
        <f t="shared" si="228"/>
        <v/>
      </c>
      <c r="H2055" t="str">
        <f t="shared" si="229"/>
        <v/>
      </c>
      <c r="I2055" t="str">
        <f t="shared" si="230"/>
        <v/>
      </c>
    </row>
    <row r="2056" spans="1:9" x14ac:dyDescent="0.4">
      <c r="A2056" t="str">
        <f t="shared" si="224"/>
        <v/>
      </c>
      <c r="B2056" t="str">
        <f t="shared" si="225"/>
        <v/>
      </c>
      <c r="C2056" t="str">
        <f t="shared" si="226"/>
        <v/>
      </c>
      <c r="D2056" t="str">
        <f t="shared" si="227"/>
        <v/>
      </c>
      <c r="E2056" t="str">
        <f>IF(F2056="","",IF(COUNTIF($F$2:F2056,F2056)&gt;1,"",SUMIFS(tbl_input[필요수량],tbl_input[집계키_센터],F2056)))</f>
        <v/>
      </c>
      <c r="F2056" t="str">
        <f>IFERROR(INDEX(tbl_input[집계키_센터],ROW()-1),"")</f>
        <v/>
      </c>
      <c r="G2056" t="str">
        <f t="shared" si="228"/>
        <v/>
      </c>
      <c r="H2056" t="str">
        <f t="shared" si="229"/>
        <v/>
      </c>
      <c r="I2056" t="str">
        <f t="shared" si="230"/>
        <v/>
      </c>
    </row>
    <row r="2057" spans="1:9" x14ac:dyDescent="0.4">
      <c r="A2057" t="str">
        <f t="shared" si="224"/>
        <v/>
      </c>
      <c r="B2057" t="str">
        <f t="shared" si="225"/>
        <v/>
      </c>
      <c r="C2057" t="str">
        <f t="shared" si="226"/>
        <v/>
      </c>
      <c r="D2057" t="str">
        <f t="shared" si="227"/>
        <v/>
      </c>
      <c r="E2057" t="str">
        <f>IF(F2057="","",IF(COUNTIF($F$2:F2057,F2057)&gt;1,"",SUMIFS(tbl_input[필요수량],tbl_input[집계키_센터],F2057)))</f>
        <v/>
      </c>
      <c r="F2057" t="str">
        <f>IFERROR(INDEX(tbl_input[집계키_센터],ROW()-1),"")</f>
        <v/>
      </c>
      <c r="G2057" t="str">
        <f t="shared" si="228"/>
        <v/>
      </c>
      <c r="H2057" t="str">
        <f t="shared" si="229"/>
        <v/>
      </c>
      <c r="I2057" t="str">
        <f t="shared" si="230"/>
        <v/>
      </c>
    </row>
    <row r="2058" spans="1:9" x14ac:dyDescent="0.4">
      <c r="A2058" t="str">
        <f t="shared" si="224"/>
        <v/>
      </c>
      <c r="B2058" t="str">
        <f t="shared" si="225"/>
        <v/>
      </c>
      <c r="C2058" t="str">
        <f t="shared" si="226"/>
        <v/>
      </c>
      <c r="D2058" t="str">
        <f t="shared" si="227"/>
        <v/>
      </c>
      <c r="E2058" t="str">
        <f>IF(F2058="","",IF(COUNTIF($F$2:F2058,F2058)&gt;1,"",SUMIFS(tbl_input[필요수량],tbl_input[집계키_센터],F2058)))</f>
        <v/>
      </c>
      <c r="F2058" t="str">
        <f>IFERROR(INDEX(tbl_input[집계키_센터],ROW()-1),"")</f>
        <v/>
      </c>
      <c r="G2058" t="str">
        <f t="shared" si="228"/>
        <v/>
      </c>
      <c r="H2058" t="str">
        <f t="shared" si="229"/>
        <v/>
      </c>
      <c r="I2058" t="str">
        <f t="shared" si="230"/>
        <v/>
      </c>
    </row>
    <row r="2059" spans="1:9" x14ac:dyDescent="0.4">
      <c r="A2059" t="str">
        <f t="shared" si="224"/>
        <v/>
      </c>
      <c r="B2059" t="str">
        <f t="shared" si="225"/>
        <v/>
      </c>
      <c r="C2059" t="str">
        <f t="shared" si="226"/>
        <v/>
      </c>
      <c r="D2059" t="str">
        <f t="shared" si="227"/>
        <v/>
      </c>
      <c r="E2059" t="str">
        <f>IF(F2059="","",IF(COUNTIF($F$2:F2059,F2059)&gt;1,"",SUMIFS(tbl_input[필요수량],tbl_input[집계키_센터],F2059)))</f>
        <v/>
      </c>
      <c r="F2059" t="str">
        <f>IFERROR(INDEX(tbl_input[집계키_센터],ROW()-1),"")</f>
        <v/>
      </c>
      <c r="G2059" t="str">
        <f t="shared" si="228"/>
        <v/>
      </c>
      <c r="H2059" t="str">
        <f t="shared" si="229"/>
        <v/>
      </c>
      <c r="I2059" t="str">
        <f t="shared" si="230"/>
        <v/>
      </c>
    </row>
    <row r="2060" spans="1:9" x14ac:dyDescent="0.4">
      <c r="A2060" t="str">
        <f t="shared" si="224"/>
        <v/>
      </c>
      <c r="B2060" t="str">
        <f t="shared" si="225"/>
        <v/>
      </c>
      <c r="C2060" t="str">
        <f t="shared" si="226"/>
        <v/>
      </c>
      <c r="D2060" t="str">
        <f t="shared" si="227"/>
        <v/>
      </c>
      <c r="E2060" t="str">
        <f>IF(F2060="","",IF(COUNTIF($F$2:F2060,F2060)&gt;1,"",SUMIFS(tbl_input[필요수량],tbl_input[집계키_센터],F2060)))</f>
        <v/>
      </c>
      <c r="F2060" t="str">
        <f>IFERROR(INDEX(tbl_input[집계키_센터],ROW()-1),"")</f>
        <v/>
      </c>
      <c r="G2060" t="str">
        <f t="shared" si="228"/>
        <v/>
      </c>
      <c r="H2060" t="str">
        <f t="shared" si="229"/>
        <v/>
      </c>
      <c r="I2060" t="str">
        <f t="shared" si="230"/>
        <v/>
      </c>
    </row>
    <row r="2061" spans="1:9" x14ac:dyDescent="0.4">
      <c r="A2061" t="str">
        <f t="shared" si="224"/>
        <v/>
      </c>
      <c r="B2061" t="str">
        <f t="shared" si="225"/>
        <v/>
      </c>
      <c r="C2061" t="str">
        <f t="shared" si="226"/>
        <v/>
      </c>
      <c r="D2061" t="str">
        <f t="shared" si="227"/>
        <v/>
      </c>
      <c r="E2061" t="str">
        <f>IF(F2061="","",IF(COUNTIF($F$2:F2061,F2061)&gt;1,"",SUMIFS(tbl_input[필요수량],tbl_input[집계키_센터],F2061)))</f>
        <v/>
      </c>
      <c r="F2061" t="str">
        <f>IFERROR(INDEX(tbl_input[집계키_센터],ROW()-1),"")</f>
        <v/>
      </c>
      <c r="G2061" t="str">
        <f t="shared" si="228"/>
        <v/>
      </c>
      <c r="H2061" t="str">
        <f t="shared" si="229"/>
        <v/>
      </c>
      <c r="I2061" t="str">
        <f t="shared" si="230"/>
        <v/>
      </c>
    </row>
    <row r="2062" spans="1:9" x14ac:dyDescent="0.4">
      <c r="A2062" t="str">
        <f t="shared" si="224"/>
        <v/>
      </c>
      <c r="B2062" t="str">
        <f t="shared" si="225"/>
        <v/>
      </c>
      <c r="C2062" t="str">
        <f t="shared" si="226"/>
        <v/>
      </c>
      <c r="D2062" t="str">
        <f t="shared" si="227"/>
        <v/>
      </c>
      <c r="E2062" t="str">
        <f>IF(F2062="","",IF(COUNTIF($F$2:F2062,F2062)&gt;1,"",SUMIFS(tbl_input[필요수량],tbl_input[집계키_센터],F2062)))</f>
        <v/>
      </c>
      <c r="F2062" t="str">
        <f>IFERROR(INDEX(tbl_input[집계키_센터],ROW()-1),"")</f>
        <v/>
      </c>
      <c r="G2062" t="str">
        <f t="shared" si="228"/>
        <v/>
      </c>
      <c r="H2062" t="str">
        <f t="shared" si="229"/>
        <v/>
      </c>
      <c r="I2062" t="str">
        <f t="shared" si="230"/>
        <v/>
      </c>
    </row>
    <row r="2063" spans="1:9" x14ac:dyDescent="0.4">
      <c r="A2063" t="str">
        <f t="shared" si="224"/>
        <v/>
      </c>
      <c r="B2063" t="str">
        <f t="shared" si="225"/>
        <v/>
      </c>
      <c r="C2063" t="str">
        <f t="shared" si="226"/>
        <v/>
      </c>
      <c r="D2063" t="str">
        <f t="shared" si="227"/>
        <v/>
      </c>
      <c r="E2063" t="str">
        <f>IF(F2063="","",IF(COUNTIF($F$2:F2063,F2063)&gt;1,"",SUMIFS(tbl_input[필요수량],tbl_input[집계키_센터],F2063)))</f>
        <v/>
      </c>
      <c r="F2063" t="str">
        <f>IFERROR(INDEX(tbl_input[집계키_센터],ROW()-1),"")</f>
        <v/>
      </c>
      <c r="G2063" t="str">
        <f t="shared" si="228"/>
        <v/>
      </c>
      <c r="H2063" t="str">
        <f t="shared" si="229"/>
        <v/>
      </c>
      <c r="I2063" t="str">
        <f t="shared" si="230"/>
        <v/>
      </c>
    </row>
    <row r="2064" spans="1:9" x14ac:dyDescent="0.4">
      <c r="A2064" t="str">
        <f t="shared" si="224"/>
        <v/>
      </c>
      <c r="B2064" t="str">
        <f t="shared" si="225"/>
        <v/>
      </c>
      <c r="C2064" t="str">
        <f t="shared" si="226"/>
        <v/>
      </c>
      <c r="D2064" t="str">
        <f t="shared" si="227"/>
        <v/>
      </c>
      <c r="E2064" t="str">
        <f>IF(F2064="","",IF(COUNTIF($F$2:F2064,F2064)&gt;1,"",SUMIFS(tbl_input[필요수량],tbl_input[집계키_센터],F2064)))</f>
        <v/>
      </c>
      <c r="F2064" t="str">
        <f>IFERROR(INDEX(tbl_input[집계키_센터],ROW()-1),"")</f>
        <v/>
      </c>
      <c r="G2064" t="str">
        <f t="shared" si="228"/>
        <v/>
      </c>
      <c r="H2064" t="str">
        <f t="shared" si="229"/>
        <v/>
      </c>
      <c r="I2064" t="str">
        <f t="shared" si="230"/>
        <v/>
      </c>
    </row>
    <row r="2065" spans="1:9" x14ac:dyDescent="0.4">
      <c r="A2065" t="str">
        <f t="shared" si="224"/>
        <v/>
      </c>
      <c r="B2065" t="str">
        <f t="shared" si="225"/>
        <v/>
      </c>
      <c r="C2065" t="str">
        <f t="shared" si="226"/>
        <v/>
      </c>
      <c r="D2065" t="str">
        <f t="shared" si="227"/>
        <v/>
      </c>
      <c r="E2065" t="str">
        <f>IF(F2065="","",IF(COUNTIF($F$2:F2065,F2065)&gt;1,"",SUMIFS(tbl_input[필요수량],tbl_input[집계키_센터],F2065)))</f>
        <v/>
      </c>
      <c r="F2065" t="str">
        <f>IFERROR(INDEX(tbl_input[집계키_센터],ROW()-1),"")</f>
        <v/>
      </c>
      <c r="G2065" t="str">
        <f t="shared" si="228"/>
        <v/>
      </c>
      <c r="H2065" t="str">
        <f t="shared" si="229"/>
        <v/>
      </c>
      <c r="I2065" t="str">
        <f t="shared" si="230"/>
        <v/>
      </c>
    </row>
    <row r="2066" spans="1:9" x14ac:dyDescent="0.4">
      <c r="A2066" t="str">
        <f t="shared" si="224"/>
        <v/>
      </c>
      <c r="B2066" t="str">
        <f t="shared" si="225"/>
        <v/>
      </c>
      <c r="C2066" t="str">
        <f t="shared" si="226"/>
        <v/>
      </c>
      <c r="D2066" t="str">
        <f t="shared" si="227"/>
        <v/>
      </c>
      <c r="E2066" t="str">
        <f>IF(F2066="","",IF(COUNTIF($F$2:F2066,F2066)&gt;1,"",SUMIFS(tbl_input[필요수량],tbl_input[집계키_센터],F2066)))</f>
        <v/>
      </c>
      <c r="F2066" t="str">
        <f>IFERROR(INDEX(tbl_input[집계키_센터],ROW()-1),"")</f>
        <v/>
      </c>
      <c r="G2066" t="str">
        <f t="shared" si="228"/>
        <v/>
      </c>
      <c r="H2066" t="str">
        <f t="shared" si="229"/>
        <v/>
      </c>
      <c r="I2066" t="str">
        <f t="shared" si="230"/>
        <v/>
      </c>
    </row>
    <row r="2067" spans="1:9" x14ac:dyDescent="0.4">
      <c r="A2067" t="str">
        <f t="shared" si="224"/>
        <v/>
      </c>
      <c r="B2067" t="str">
        <f t="shared" si="225"/>
        <v/>
      </c>
      <c r="C2067" t="str">
        <f t="shared" si="226"/>
        <v/>
      </c>
      <c r="D2067" t="str">
        <f t="shared" si="227"/>
        <v/>
      </c>
      <c r="E2067" t="str">
        <f>IF(F2067="","",IF(COUNTIF($F$2:F2067,F2067)&gt;1,"",SUMIFS(tbl_input[필요수량],tbl_input[집계키_센터],F2067)))</f>
        <v/>
      </c>
      <c r="F2067" t="str">
        <f>IFERROR(INDEX(tbl_input[집계키_센터],ROW()-1),"")</f>
        <v/>
      </c>
      <c r="G2067" t="str">
        <f t="shared" si="228"/>
        <v/>
      </c>
      <c r="H2067" t="str">
        <f t="shared" si="229"/>
        <v/>
      </c>
      <c r="I2067" t="str">
        <f t="shared" si="230"/>
        <v/>
      </c>
    </row>
    <row r="2068" spans="1:9" x14ac:dyDescent="0.4">
      <c r="A2068" t="str">
        <f t="shared" si="224"/>
        <v/>
      </c>
      <c r="B2068" t="str">
        <f t="shared" si="225"/>
        <v/>
      </c>
      <c r="C2068" t="str">
        <f t="shared" si="226"/>
        <v/>
      </c>
      <c r="D2068" t="str">
        <f t="shared" si="227"/>
        <v/>
      </c>
      <c r="E2068" t="str">
        <f>IF(F2068="","",IF(COUNTIF($F$2:F2068,F2068)&gt;1,"",SUMIFS(tbl_input[필요수량],tbl_input[집계키_센터],F2068)))</f>
        <v/>
      </c>
      <c r="F2068" t="str">
        <f>IFERROR(INDEX(tbl_input[집계키_센터],ROW()-1),"")</f>
        <v/>
      </c>
      <c r="G2068" t="str">
        <f t="shared" si="228"/>
        <v/>
      </c>
      <c r="H2068" t="str">
        <f t="shared" si="229"/>
        <v/>
      </c>
      <c r="I2068" t="str">
        <f t="shared" si="230"/>
        <v/>
      </c>
    </row>
    <row r="2069" spans="1:9" x14ac:dyDescent="0.4">
      <c r="A2069" t="str">
        <f t="shared" si="224"/>
        <v/>
      </c>
      <c r="B2069" t="str">
        <f t="shared" si="225"/>
        <v/>
      </c>
      <c r="C2069" t="str">
        <f t="shared" si="226"/>
        <v/>
      </c>
      <c r="D2069" t="str">
        <f t="shared" si="227"/>
        <v/>
      </c>
      <c r="E2069" t="str">
        <f>IF(F2069="","",IF(COUNTIF($F$2:F2069,F2069)&gt;1,"",SUMIFS(tbl_input[필요수량],tbl_input[집계키_센터],F2069)))</f>
        <v/>
      </c>
      <c r="F2069" t="str">
        <f>IFERROR(INDEX(tbl_input[집계키_센터],ROW()-1),"")</f>
        <v/>
      </c>
      <c r="G2069" t="str">
        <f t="shared" si="228"/>
        <v/>
      </c>
      <c r="H2069" t="str">
        <f t="shared" si="229"/>
        <v/>
      </c>
      <c r="I2069" t="str">
        <f t="shared" si="230"/>
        <v/>
      </c>
    </row>
    <row r="2070" spans="1:9" x14ac:dyDescent="0.4">
      <c r="A2070" t="str">
        <f t="shared" si="224"/>
        <v/>
      </c>
      <c r="B2070" t="str">
        <f t="shared" si="225"/>
        <v/>
      </c>
      <c r="C2070" t="str">
        <f t="shared" si="226"/>
        <v/>
      </c>
      <c r="D2070" t="str">
        <f t="shared" si="227"/>
        <v/>
      </c>
      <c r="E2070" t="str">
        <f>IF(F2070="","",IF(COUNTIF($F$2:F2070,F2070)&gt;1,"",SUMIFS(tbl_input[필요수량],tbl_input[집계키_센터],F2070)))</f>
        <v/>
      </c>
      <c r="F2070" t="str">
        <f>IFERROR(INDEX(tbl_input[집계키_센터],ROW()-1),"")</f>
        <v/>
      </c>
      <c r="G2070" t="str">
        <f t="shared" si="228"/>
        <v/>
      </c>
      <c r="H2070" t="str">
        <f t="shared" si="229"/>
        <v/>
      </c>
      <c r="I2070" t="str">
        <f t="shared" si="230"/>
        <v/>
      </c>
    </row>
    <row r="2071" spans="1:9" x14ac:dyDescent="0.4">
      <c r="A2071" t="str">
        <f t="shared" si="224"/>
        <v/>
      </c>
      <c r="B2071" t="str">
        <f t="shared" si="225"/>
        <v/>
      </c>
      <c r="C2071" t="str">
        <f t="shared" si="226"/>
        <v/>
      </c>
      <c r="D2071" t="str">
        <f t="shared" si="227"/>
        <v/>
      </c>
      <c r="E2071" t="str">
        <f>IF(F2071="","",IF(COUNTIF($F$2:F2071,F2071)&gt;1,"",SUMIFS(tbl_input[필요수량],tbl_input[집계키_센터],F2071)))</f>
        <v/>
      </c>
      <c r="F2071" t="str">
        <f>IFERROR(INDEX(tbl_input[집계키_센터],ROW()-1),"")</f>
        <v/>
      </c>
      <c r="G2071" t="str">
        <f t="shared" si="228"/>
        <v/>
      </c>
      <c r="H2071" t="str">
        <f t="shared" si="229"/>
        <v/>
      </c>
      <c r="I2071" t="str">
        <f t="shared" si="230"/>
        <v/>
      </c>
    </row>
    <row r="2072" spans="1:9" x14ac:dyDescent="0.4">
      <c r="A2072" t="str">
        <f t="shared" si="224"/>
        <v/>
      </c>
      <c r="B2072" t="str">
        <f t="shared" si="225"/>
        <v/>
      </c>
      <c r="C2072" t="str">
        <f t="shared" si="226"/>
        <v/>
      </c>
      <c r="D2072" t="str">
        <f t="shared" si="227"/>
        <v/>
      </c>
      <c r="E2072" t="str">
        <f>IF(F2072="","",IF(COUNTIF($F$2:F2072,F2072)&gt;1,"",SUMIFS(tbl_input[필요수량],tbl_input[집계키_센터],F2072)))</f>
        <v/>
      </c>
      <c r="F2072" t="str">
        <f>IFERROR(INDEX(tbl_input[집계키_센터],ROW()-1),"")</f>
        <v/>
      </c>
      <c r="G2072" t="str">
        <f t="shared" si="228"/>
        <v/>
      </c>
      <c r="H2072" t="str">
        <f t="shared" si="229"/>
        <v/>
      </c>
      <c r="I2072" t="str">
        <f t="shared" si="230"/>
        <v/>
      </c>
    </row>
    <row r="2073" spans="1:9" x14ac:dyDescent="0.4">
      <c r="A2073" t="str">
        <f t="shared" si="224"/>
        <v/>
      </c>
      <c r="B2073" t="str">
        <f t="shared" si="225"/>
        <v/>
      </c>
      <c r="C2073" t="str">
        <f t="shared" si="226"/>
        <v/>
      </c>
      <c r="D2073" t="str">
        <f t="shared" si="227"/>
        <v/>
      </c>
      <c r="E2073" t="str">
        <f>IF(F2073="","",IF(COUNTIF($F$2:F2073,F2073)&gt;1,"",SUMIFS(tbl_input[필요수량],tbl_input[집계키_센터],F2073)))</f>
        <v/>
      </c>
      <c r="F2073" t="str">
        <f>IFERROR(INDEX(tbl_input[집계키_센터],ROW()-1),"")</f>
        <v/>
      </c>
      <c r="G2073" t="str">
        <f t="shared" si="228"/>
        <v/>
      </c>
      <c r="H2073" t="str">
        <f t="shared" si="229"/>
        <v/>
      </c>
      <c r="I2073" t="str">
        <f t="shared" si="230"/>
        <v/>
      </c>
    </row>
    <row r="2074" spans="1:9" x14ac:dyDescent="0.4">
      <c r="A2074" t="str">
        <f t="shared" si="224"/>
        <v/>
      </c>
      <c r="B2074" t="str">
        <f t="shared" si="225"/>
        <v/>
      </c>
      <c r="C2074" t="str">
        <f t="shared" si="226"/>
        <v/>
      </c>
      <c r="D2074" t="str">
        <f t="shared" si="227"/>
        <v/>
      </c>
      <c r="E2074" t="str">
        <f>IF(F2074="","",IF(COUNTIF($F$2:F2074,F2074)&gt;1,"",SUMIFS(tbl_input[필요수량],tbl_input[집계키_센터],F2074)))</f>
        <v/>
      </c>
      <c r="F2074" t="str">
        <f>IFERROR(INDEX(tbl_input[집계키_센터],ROW()-1),"")</f>
        <v/>
      </c>
      <c r="G2074" t="str">
        <f t="shared" si="228"/>
        <v/>
      </c>
      <c r="H2074" t="str">
        <f t="shared" si="229"/>
        <v/>
      </c>
      <c r="I2074" t="str">
        <f t="shared" si="230"/>
        <v/>
      </c>
    </row>
    <row r="2075" spans="1:9" x14ac:dyDescent="0.4">
      <c r="A2075" t="str">
        <f t="shared" si="224"/>
        <v/>
      </c>
      <c r="B2075" t="str">
        <f t="shared" si="225"/>
        <v/>
      </c>
      <c r="C2075" t="str">
        <f t="shared" si="226"/>
        <v/>
      </c>
      <c r="D2075" t="str">
        <f t="shared" si="227"/>
        <v/>
      </c>
      <c r="E2075" t="str">
        <f>IF(F2075="","",IF(COUNTIF($F$2:F2075,F2075)&gt;1,"",SUMIFS(tbl_input[필요수량],tbl_input[집계키_센터],F2075)))</f>
        <v/>
      </c>
      <c r="F2075" t="str">
        <f>IFERROR(INDEX(tbl_input[집계키_센터],ROW()-1),"")</f>
        <v/>
      </c>
      <c r="G2075" t="str">
        <f t="shared" si="228"/>
        <v/>
      </c>
      <c r="H2075" t="str">
        <f t="shared" si="229"/>
        <v/>
      </c>
      <c r="I2075" t="str">
        <f t="shared" si="230"/>
        <v/>
      </c>
    </row>
    <row r="2076" spans="1:9" x14ac:dyDescent="0.4">
      <c r="A2076" t="str">
        <f t="shared" si="224"/>
        <v/>
      </c>
      <c r="B2076" t="str">
        <f t="shared" si="225"/>
        <v/>
      </c>
      <c r="C2076" t="str">
        <f t="shared" si="226"/>
        <v/>
      </c>
      <c r="D2076" t="str">
        <f t="shared" si="227"/>
        <v/>
      </c>
      <c r="E2076" t="str">
        <f>IF(F2076="","",IF(COUNTIF($F$2:F2076,F2076)&gt;1,"",SUMIFS(tbl_input[필요수량],tbl_input[집계키_센터],F2076)))</f>
        <v/>
      </c>
      <c r="F2076" t="str">
        <f>IFERROR(INDEX(tbl_input[집계키_센터],ROW()-1),"")</f>
        <v/>
      </c>
      <c r="G2076" t="str">
        <f t="shared" si="228"/>
        <v/>
      </c>
      <c r="H2076" t="str">
        <f t="shared" si="229"/>
        <v/>
      </c>
      <c r="I2076" t="str">
        <f t="shared" si="230"/>
        <v/>
      </c>
    </row>
    <row r="2077" spans="1:9" x14ac:dyDescent="0.4">
      <c r="A2077" t="str">
        <f t="shared" si="224"/>
        <v/>
      </c>
      <c r="B2077" t="str">
        <f t="shared" si="225"/>
        <v/>
      </c>
      <c r="C2077" t="str">
        <f t="shared" si="226"/>
        <v/>
      </c>
      <c r="D2077" t="str">
        <f t="shared" si="227"/>
        <v/>
      </c>
      <c r="E2077" t="str">
        <f>IF(F2077="","",IF(COUNTIF($F$2:F2077,F2077)&gt;1,"",SUMIFS(tbl_input[필요수량],tbl_input[집계키_센터],F2077)))</f>
        <v/>
      </c>
      <c r="F2077" t="str">
        <f>IFERROR(INDEX(tbl_input[집계키_센터],ROW()-1),"")</f>
        <v/>
      </c>
      <c r="G2077" t="str">
        <f t="shared" si="228"/>
        <v/>
      </c>
      <c r="H2077" t="str">
        <f t="shared" si="229"/>
        <v/>
      </c>
      <c r="I2077" t="str">
        <f t="shared" si="230"/>
        <v/>
      </c>
    </row>
    <row r="2078" spans="1:9" x14ac:dyDescent="0.4">
      <c r="A2078" t="str">
        <f t="shared" si="224"/>
        <v/>
      </c>
      <c r="B2078" t="str">
        <f t="shared" si="225"/>
        <v/>
      </c>
      <c r="C2078" t="str">
        <f t="shared" si="226"/>
        <v/>
      </c>
      <c r="D2078" t="str">
        <f t="shared" si="227"/>
        <v/>
      </c>
      <c r="E2078" t="str">
        <f>IF(F2078="","",IF(COUNTIF($F$2:F2078,F2078)&gt;1,"",SUMIFS(tbl_input[필요수량],tbl_input[집계키_센터],F2078)))</f>
        <v/>
      </c>
      <c r="F2078" t="str">
        <f>IFERROR(INDEX(tbl_input[집계키_센터],ROW()-1),"")</f>
        <v/>
      </c>
      <c r="G2078" t="str">
        <f t="shared" si="228"/>
        <v/>
      </c>
      <c r="H2078" t="str">
        <f t="shared" si="229"/>
        <v/>
      </c>
      <c r="I2078" t="str">
        <f t="shared" si="230"/>
        <v/>
      </c>
    </row>
    <row r="2079" spans="1:9" x14ac:dyDescent="0.4">
      <c r="A2079" t="str">
        <f t="shared" si="224"/>
        <v/>
      </c>
      <c r="B2079" t="str">
        <f t="shared" si="225"/>
        <v/>
      </c>
      <c r="C2079" t="str">
        <f t="shared" si="226"/>
        <v/>
      </c>
      <c r="D2079" t="str">
        <f t="shared" si="227"/>
        <v/>
      </c>
      <c r="E2079" t="str">
        <f>IF(F2079="","",IF(COUNTIF($F$2:F2079,F2079)&gt;1,"",SUMIFS(tbl_input[필요수량],tbl_input[집계키_센터],F2079)))</f>
        <v/>
      </c>
      <c r="F2079" t="str">
        <f>IFERROR(INDEX(tbl_input[집계키_센터],ROW()-1),"")</f>
        <v/>
      </c>
      <c r="G2079" t="str">
        <f t="shared" si="228"/>
        <v/>
      </c>
      <c r="H2079" t="str">
        <f t="shared" si="229"/>
        <v/>
      </c>
      <c r="I2079" t="str">
        <f t="shared" si="230"/>
        <v/>
      </c>
    </row>
    <row r="2080" spans="1:9" x14ac:dyDescent="0.4">
      <c r="A2080" t="str">
        <f t="shared" si="224"/>
        <v/>
      </c>
      <c r="B2080" t="str">
        <f t="shared" si="225"/>
        <v/>
      </c>
      <c r="C2080" t="str">
        <f t="shared" si="226"/>
        <v/>
      </c>
      <c r="D2080" t="str">
        <f t="shared" si="227"/>
        <v/>
      </c>
      <c r="E2080" t="str">
        <f>IF(F2080="","",IF(COUNTIF($F$2:F2080,F2080)&gt;1,"",SUMIFS(tbl_input[필요수량],tbl_input[집계키_센터],F2080)))</f>
        <v/>
      </c>
      <c r="F2080" t="str">
        <f>IFERROR(INDEX(tbl_input[집계키_센터],ROW()-1),"")</f>
        <v/>
      </c>
      <c r="G2080" t="str">
        <f t="shared" si="228"/>
        <v/>
      </c>
      <c r="H2080" t="str">
        <f t="shared" si="229"/>
        <v/>
      </c>
      <c r="I2080" t="str">
        <f t="shared" si="230"/>
        <v/>
      </c>
    </row>
    <row r="2081" spans="1:9" x14ac:dyDescent="0.4">
      <c r="A2081" t="str">
        <f t="shared" si="224"/>
        <v/>
      </c>
      <c r="B2081" t="str">
        <f t="shared" si="225"/>
        <v/>
      </c>
      <c r="C2081" t="str">
        <f t="shared" si="226"/>
        <v/>
      </c>
      <c r="D2081" t="str">
        <f t="shared" si="227"/>
        <v/>
      </c>
      <c r="E2081" t="str">
        <f>IF(F2081="","",IF(COUNTIF($F$2:F2081,F2081)&gt;1,"",SUMIFS(tbl_input[필요수량],tbl_input[집계키_센터],F2081)))</f>
        <v/>
      </c>
      <c r="F2081" t="str">
        <f>IFERROR(INDEX(tbl_input[집계키_센터],ROW()-1),"")</f>
        <v/>
      </c>
      <c r="G2081" t="str">
        <f t="shared" si="228"/>
        <v/>
      </c>
      <c r="H2081" t="str">
        <f t="shared" si="229"/>
        <v/>
      </c>
      <c r="I2081" t="str">
        <f t="shared" si="230"/>
        <v/>
      </c>
    </row>
    <row r="2082" spans="1:9" x14ac:dyDescent="0.4">
      <c r="A2082" t="str">
        <f t="shared" si="224"/>
        <v/>
      </c>
      <c r="B2082" t="str">
        <f t="shared" si="225"/>
        <v/>
      </c>
      <c r="C2082" t="str">
        <f t="shared" si="226"/>
        <v/>
      </c>
      <c r="D2082" t="str">
        <f t="shared" si="227"/>
        <v/>
      </c>
      <c r="E2082" t="str">
        <f>IF(F2082="","",IF(COUNTIF($F$2:F2082,F2082)&gt;1,"",SUMIFS(tbl_input[필요수량],tbl_input[집계키_센터],F2082)))</f>
        <v/>
      </c>
      <c r="F2082" t="str">
        <f>IFERROR(INDEX(tbl_input[집계키_센터],ROW()-1),"")</f>
        <v/>
      </c>
      <c r="G2082" t="str">
        <f t="shared" si="228"/>
        <v/>
      </c>
      <c r="H2082" t="str">
        <f t="shared" si="229"/>
        <v/>
      </c>
      <c r="I2082" t="str">
        <f t="shared" si="230"/>
        <v/>
      </c>
    </row>
    <row r="2083" spans="1:9" x14ac:dyDescent="0.4">
      <c r="A2083" t="str">
        <f t="shared" si="224"/>
        <v/>
      </c>
      <c r="B2083" t="str">
        <f t="shared" si="225"/>
        <v/>
      </c>
      <c r="C2083" t="str">
        <f t="shared" si="226"/>
        <v/>
      </c>
      <c r="D2083" t="str">
        <f t="shared" si="227"/>
        <v/>
      </c>
      <c r="E2083" t="str">
        <f>IF(F2083="","",IF(COUNTIF($F$2:F2083,F2083)&gt;1,"",SUMIFS(tbl_input[필요수량],tbl_input[집계키_센터],F2083)))</f>
        <v/>
      </c>
      <c r="F2083" t="str">
        <f>IFERROR(INDEX(tbl_input[집계키_센터],ROW()-1),"")</f>
        <v/>
      </c>
      <c r="G2083" t="str">
        <f t="shared" si="228"/>
        <v/>
      </c>
      <c r="H2083" t="str">
        <f t="shared" si="229"/>
        <v/>
      </c>
      <c r="I2083" t="str">
        <f t="shared" si="230"/>
        <v/>
      </c>
    </row>
    <row r="2084" spans="1:9" x14ac:dyDescent="0.4">
      <c r="A2084" t="str">
        <f t="shared" si="224"/>
        <v/>
      </c>
      <c r="B2084" t="str">
        <f t="shared" si="225"/>
        <v/>
      </c>
      <c r="C2084" t="str">
        <f t="shared" si="226"/>
        <v/>
      </c>
      <c r="D2084" t="str">
        <f t="shared" si="227"/>
        <v/>
      </c>
      <c r="E2084" t="str">
        <f>IF(F2084="","",IF(COUNTIF($F$2:F2084,F2084)&gt;1,"",SUMIFS(tbl_input[필요수량],tbl_input[집계키_센터],F2084)))</f>
        <v/>
      </c>
      <c r="F2084" t="str">
        <f>IFERROR(INDEX(tbl_input[집계키_센터],ROW()-1),"")</f>
        <v/>
      </c>
      <c r="G2084" t="str">
        <f t="shared" si="228"/>
        <v/>
      </c>
      <c r="H2084" t="str">
        <f t="shared" si="229"/>
        <v/>
      </c>
      <c r="I2084" t="str">
        <f t="shared" si="230"/>
        <v/>
      </c>
    </row>
    <row r="2085" spans="1:9" x14ac:dyDescent="0.4">
      <c r="A2085" t="str">
        <f t="shared" si="224"/>
        <v/>
      </c>
      <c r="B2085" t="str">
        <f t="shared" si="225"/>
        <v/>
      </c>
      <c r="C2085" t="str">
        <f t="shared" si="226"/>
        <v/>
      </c>
      <c r="D2085" t="str">
        <f t="shared" si="227"/>
        <v/>
      </c>
      <c r="E2085" t="str">
        <f>IF(F2085="","",IF(COUNTIF($F$2:F2085,F2085)&gt;1,"",SUMIFS(tbl_input[필요수량],tbl_input[집계키_센터],F2085)))</f>
        <v/>
      </c>
      <c r="F2085" t="str">
        <f>IFERROR(INDEX(tbl_input[집계키_센터],ROW()-1),"")</f>
        <v/>
      </c>
      <c r="G2085" t="str">
        <f t="shared" si="228"/>
        <v/>
      </c>
      <c r="H2085" t="str">
        <f t="shared" si="229"/>
        <v/>
      </c>
      <c r="I2085" t="str">
        <f t="shared" si="230"/>
        <v/>
      </c>
    </row>
    <row r="2086" spans="1:9" x14ac:dyDescent="0.4">
      <c r="A2086" t="str">
        <f t="shared" si="224"/>
        <v/>
      </c>
      <c r="B2086" t="str">
        <f t="shared" si="225"/>
        <v/>
      </c>
      <c r="C2086" t="str">
        <f t="shared" si="226"/>
        <v/>
      </c>
      <c r="D2086" t="str">
        <f t="shared" si="227"/>
        <v/>
      </c>
      <c r="E2086" t="str">
        <f>IF(F2086="","",IF(COUNTIF($F$2:F2086,F2086)&gt;1,"",SUMIFS(tbl_input[필요수량],tbl_input[집계키_센터],F2086)))</f>
        <v/>
      </c>
      <c r="F2086" t="str">
        <f>IFERROR(INDEX(tbl_input[집계키_센터],ROW()-1),"")</f>
        <v/>
      </c>
      <c r="G2086" t="str">
        <f t="shared" si="228"/>
        <v/>
      </c>
      <c r="H2086" t="str">
        <f t="shared" si="229"/>
        <v/>
      </c>
      <c r="I2086" t="str">
        <f t="shared" si="230"/>
        <v/>
      </c>
    </row>
    <row r="2087" spans="1:9" x14ac:dyDescent="0.4">
      <c r="A2087" t="str">
        <f t="shared" si="224"/>
        <v/>
      </c>
      <c r="B2087" t="str">
        <f t="shared" si="225"/>
        <v/>
      </c>
      <c r="C2087" t="str">
        <f t="shared" si="226"/>
        <v/>
      </c>
      <c r="D2087" t="str">
        <f t="shared" si="227"/>
        <v/>
      </c>
      <c r="E2087" t="str">
        <f>IF(F2087="","",IF(COUNTIF($F$2:F2087,F2087)&gt;1,"",SUMIFS(tbl_input[필요수량],tbl_input[집계키_센터],F2087)))</f>
        <v/>
      </c>
      <c r="F2087" t="str">
        <f>IFERROR(INDEX(tbl_input[집계키_센터],ROW()-1),"")</f>
        <v/>
      </c>
      <c r="G2087" t="str">
        <f t="shared" si="228"/>
        <v/>
      </c>
      <c r="H2087" t="str">
        <f t="shared" si="229"/>
        <v/>
      </c>
      <c r="I2087" t="str">
        <f t="shared" si="230"/>
        <v/>
      </c>
    </row>
    <row r="2088" spans="1:9" x14ac:dyDescent="0.4">
      <c r="A2088" t="str">
        <f t="shared" si="224"/>
        <v/>
      </c>
      <c r="B2088" t="str">
        <f t="shared" si="225"/>
        <v/>
      </c>
      <c r="C2088" t="str">
        <f t="shared" si="226"/>
        <v/>
      </c>
      <c r="D2088" t="str">
        <f t="shared" si="227"/>
        <v/>
      </c>
      <c r="E2088" t="str">
        <f>IF(F2088="","",IF(COUNTIF($F$2:F2088,F2088)&gt;1,"",SUMIFS(tbl_input[필요수량],tbl_input[집계키_센터],F2088)))</f>
        <v/>
      </c>
      <c r="F2088" t="str">
        <f>IFERROR(INDEX(tbl_input[집계키_센터],ROW()-1),"")</f>
        <v/>
      </c>
      <c r="G2088" t="str">
        <f t="shared" si="228"/>
        <v/>
      </c>
      <c r="H2088" t="str">
        <f t="shared" si="229"/>
        <v/>
      </c>
      <c r="I2088" t="str">
        <f t="shared" si="230"/>
        <v/>
      </c>
    </row>
    <row r="2089" spans="1:9" x14ac:dyDescent="0.4">
      <c r="A2089" t="str">
        <f t="shared" si="224"/>
        <v/>
      </c>
      <c r="B2089" t="str">
        <f t="shared" si="225"/>
        <v/>
      </c>
      <c r="C2089" t="str">
        <f t="shared" si="226"/>
        <v/>
      </c>
      <c r="D2089" t="str">
        <f t="shared" si="227"/>
        <v/>
      </c>
      <c r="E2089" t="str">
        <f>IF(F2089="","",IF(COUNTIF($F$2:F2089,F2089)&gt;1,"",SUMIFS(tbl_input[필요수량],tbl_input[집계키_센터],F2089)))</f>
        <v/>
      </c>
      <c r="F2089" t="str">
        <f>IFERROR(INDEX(tbl_input[집계키_센터],ROW()-1),"")</f>
        <v/>
      </c>
      <c r="G2089" t="str">
        <f t="shared" si="228"/>
        <v/>
      </c>
      <c r="H2089" t="str">
        <f t="shared" si="229"/>
        <v/>
      </c>
      <c r="I2089" t="str">
        <f t="shared" si="230"/>
        <v/>
      </c>
    </row>
    <row r="2090" spans="1:9" x14ac:dyDescent="0.4">
      <c r="A2090" t="str">
        <f t="shared" si="224"/>
        <v/>
      </c>
      <c r="B2090" t="str">
        <f t="shared" si="225"/>
        <v/>
      </c>
      <c r="C2090" t="str">
        <f t="shared" si="226"/>
        <v/>
      </c>
      <c r="D2090" t="str">
        <f t="shared" si="227"/>
        <v/>
      </c>
      <c r="E2090" t="str">
        <f>IF(F2090="","",IF(COUNTIF($F$2:F2090,F2090)&gt;1,"",SUMIFS(tbl_input[필요수량],tbl_input[집계키_센터],F2090)))</f>
        <v/>
      </c>
      <c r="F2090" t="str">
        <f>IFERROR(INDEX(tbl_input[집계키_센터],ROW()-1),"")</f>
        <v/>
      </c>
      <c r="G2090" t="str">
        <f t="shared" si="228"/>
        <v/>
      </c>
      <c r="H2090" t="str">
        <f t="shared" si="229"/>
        <v/>
      </c>
      <c r="I2090" t="str">
        <f t="shared" si="230"/>
        <v/>
      </c>
    </row>
    <row r="2091" spans="1:9" x14ac:dyDescent="0.4">
      <c r="A2091" t="str">
        <f t="shared" si="224"/>
        <v/>
      </c>
      <c r="B2091" t="str">
        <f t="shared" si="225"/>
        <v/>
      </c>
      <c r="C2091" t="str">
        <f t="shared" si="226"/>
        <v/>
      </c>
      <c r="D2091" t="str">
        <f t="shared" si="227"/>
        <v/>
      </c>
      <c r="E2091" t="str">
        <f>IF(F2091="","",IF(COUNTIF($F$2:F2091,F2091)&gt;1,"",SUMIFS(tbl_input[필요수량],tbl_input[집계키_센터],F2091)))</f>
        <v/>
      </c>
      <c r="F2091" t="str">
        <f>IFERROR(INDEX(tbl_input[집계키_센터],ROW()-1),"")</f>
        <v/>
      </c>
      <c r="G2091" t="str">
        <f t="shared" si="228"/>
        <v/>
      </c>
      <c r="H2091" t="str">
        <f t="shared" si="229"/>
        <v/>
      </c>
      <c r="I2091" t="str">
        <f t="shared" si="230"/>
        <v/>
      </c>
    </row>
    <row r="2092" spans="1:9" x14ac:dyDescent="0.4">
      <c r="A2092" t="str">
        <f t="shared" si="224"/>
        <v/>
      </c>
      <c r="B2092" t="str">
        <f t="shared" si="225"/>
        <v/>
      </c>
      <c r="C2092" t="str">
        <f t="shared" si="226"/>
        <v/>
      </c>
      <c r="D2092" t="str">
        <f t="shared" si="227"/>
        <v/>
      </c>
      <c r="E2092" t="str">
        <f>IF(F2092="","",IF(COUNTIF($F$2:F2092,F2092)&gt;1,"",SUMIFS(tbl_input[필요수량],tbl_input[집계키_센터],F2092)))</f>
        <v/>
      </c>
      <c r="F2092" t="str">
        <f>IFERROR(INDEX(tbl_input[집계키_센터],ROW()-1),"")</f>
        <v/>
      </c>
      <c r="G2092" t="str">
        <f t="shared" si="228"/>
        <v/>
      </c>
      <c r="H2092" t="str">
        <f t="shared" si="229"/>
        <v/>
      </c>
      <c r="I2092" t="str">
        <f t="shared" si="230"/>
        <v/>
      </c>
    </row>
    <row r="2093" spans="1:9" x14ac:dyDescent="0.4">
      <c r="A2093" t="str">
        <f t="shared" si="224"/>
        <v/>
      </c>
      <c r="B2093" t="str">
        <f t="shared" si="225"/>
        <v/>
      </c>
      <c r="C2093" t="str">
        <f t="shared" si="226"/>
        <v/>
      </c>
      <c r="D2093" t="str">
        <f t="shared" si="227"/>
        <v/>
      </c>
      <c r="E2093" t="str">
        <f>IF(F2093="","",IF(COUNTIF($F$2:F2093,F2093)&gt;1,"",SUMIFS(tbl_input[필요수량],tbl_input[집계키_센터],F2093)))</f>
        <v/>
      </c>
      <c r="F2093" t="str">
        <f>IFERROR(INDEX(tbl_input[집계키_센터],ROW()-1),"")</f>
        <v/>
      </c>
      <c r="G2093" t="str">
        <f t="shared" si="228"/>
        <v/>
      </c>
      <c r="H2093" t="str">
        <f t="shared" si="229"/>
        <v/>
      </c>
      <c r="I2093" t="str">
        <f t="shared" si="230"/>
        <v/>
      </c>
    </row>
    <row r="2094" spans="1:9" x14ac:dyDescent="0.4">
      <c r="A2094" t="str">
        <f t="shared" si="224"/>
        <v/>
      </c>
      <c r="B2094" t="str">
        <f t="shared" si="225"/>
        <v/>
      </c>
      <c r="C2094" t="str">
        <f t="shared" si="226"/>
        <v/>
      </c>
      <c r="D2094" t="str">
        <f t="shared" si="227"/>
        <v/>
      </c>
      <c r="E2094" t="str">
        <f>IF(F2094="","",IF(COUNTIF($F$2:F2094,F2094)&gt;1,"",SUMIFS(tbl_input[필요수량],tbl_input[집계키_센터],F2094)))</f>
        <v/>
      </c>
      <c r="F2094" t="str">
        <f>IFERROR(INDEX(tbl_input[집계키_센터],ROW()-1),"")</f>
        <v/>
      </c>
      <c r="G2094" t="str">
        <f t="shared" si="228"/>
        <v/>
      </c>
      <c r="H2094" t="str">
        <f t="shared" si="229"/>
        <v/>
      </c>
      <c r="I2094" t="str">
        <f t="shared" si="230"/>
        <v/>
      </c>
    </row>
    <row r="2095" spans="1:9" x14ac:dyDescent="0.4">
      <c r="A2095" t="str">
        <f t="shared" si="224"/>
        <v/>
      </c>
      <c r="B2095" t="str">
        <f t="shared" si="225"/>
        <v/>
      </c>
      <c r="C2095" t="str">
        <f t="shared" si="226"/>
        <v/>
      </c>
      <c r="D2095" t="str">
        <f t="shared" si="227"/>
        <v/>
      </c>
      <c r="E2095" t="str">
        <f>IF(F2095="","",IF(COUNTIF($F$2:F2095,F2095)&gt;1,"",SUMIFS(tbl_input[필요수량],tbl_input[집계키_센터],F2095)))</f>
        <v/>
      </c>
      <c r="F2095" t="str">
        <f>IFERROR(INDEX(tbl_input[집계키_센터],ROW()-1),"")</f>
        <v/>
      </c>
      <c r="G2095" t="str">
        <f t="shared" si="228"/>
        <v/>
      </c>
      <c r="H2095" t="str">
        <f t="shared" si="229"/>
        <v/>
      </c>
      <c r="I2095" t="str">
        <f t="shared" si="230"/>
        <v/>
      </c>
    </row>
    <row r="2096" spans="1:9" x14ac:dyDescent="0.4">
      <c r="A2096" t="str">
        <f t="shared" si="224"/>
        <v/>
      </c>
      <c r="B2096" t="str">
        <f t="shared" si="225"/>
        <v/>
      </c>
      <c r="C2096" t="str">
        <f t="shared" si="226"/>
        <v/>
      </c>
      <c r="D2096" t="str">
        <f t="shared" si="227"/>
        <v/>
      </c>
      <c r="E2096" t="str">
        <f>IF(F2096="","",IF(COUNTIF($F$2:F2096,F2096)&gt;1,"",SUMIFS(tbl_input[필요수량],tbl_input[집계키_센터],F2096)))</f>
        <v/>
      </c>
      <c r="F2096" t="str">
        <f>IFERROR(INDEX(tbl_input[집계키_센터],ROW()-1),"")</f>
        <v/>
      </c>
      <c r="G2096" t="str">
        <f t="shared" si="228"/>
        <v/>
      </c>
      <c r="H2096" t="str">
        <f t="shared" si="229"/>
        <v/>
      </c>
      <c r="I2096" t="str">
        <f t="shared" si="230"/>
        <v/>
      </c>
    </row>
    <row r="2097" spans="1:9" x14ac:dyDescent="0.4">
      <c r="A2097" t="str">
        <f t="shared" si="224"/>
        <v/>
      </c>
      <c r="B2097" t="str">
        <f t="shared" si="225"/>
        <v/>
      </c>
      <c r="C2097" t="str">
        <f t="shared" si="226"/>
        <v/>
      </c>
      <c r="D2097" t="str">
        <f t="shared" si="227"/>
        <v/>
      </c>
      <c r="E2097" t="str">
        <f>IF(F2097="","",IF(COUNTIF($F$2:F2097,F2097)&gt;1,"",SUMIFS(tbl_input[필요수량],tbl_input[집계키_센터],F2097)))</f>
        <v/>
      </c>
      <c r="F2097" t="str">
        <f>IFERROR(INDEX(tbl_input[집계키_센터],ROW()-1),"")</f>
        <v/>
      </c>
      <c r="G2097" t="str">
        <f t="shared" si="228"/>
        <v/>
      </c>
      <c r="H2097" t="str">
        <f t="shared" si="229"/>
        <v/>
      </c>
      <c r="I2097" t="str">
        <f t="shared" si="230"/>
        <v/>
      </c>
    </row>
    <row r="2098" spans="1:9" x14ac:dyDescent="0.4">
      <c r="A2098" t="str">
        <f t="shared" si="224"/>
        <v/>
      </c>
      <c r="B2098" t="str">
        <f t="shared" si="225"/>
        <v/>
      </c>
      <c r="C2098" t="str">
        <f t="shared" si="226"/>
        <v/>
      </c>
      <c r="D2098" t="str">
        <f t="shared" si="227"/>
        <v/>
      </c>
      <c r="E2098" t="str">
        <f>IF(F2098="","",IF(COUNTIF($F$2:F2098,F2098)&gt;1,"",SUMIFS(tbl_input[필요수량],tbl_input[집계키_센터],F2098)))</f>
        <v/>
      </c>
      <c r="F2098" t="str">
        <f>IFERROR(INDEX(tbl_input[집계키_센터],ROW()-1),"")</f>
        <v/>
      </c>
      <c r="G2098" t="str">
        <f t="shared" si="228"/>
        <v/>
      </c>
      <c r="H2098" t="str">
        <f t="shared" si="229"/>
        <v/>
      </c>
      <c r="I2098" t="str">
        <f t="shared" si="230"/>
        <v/>
      </c>
    </row>
    <row r="2099" spans="1:9" x14ac:dyDescent="0.4">
      <c r="A2099" t="str">
        <f t="shared" si="224"/>
        <v/>
      </c>
      <c r="B2099" t="str">
        <f t="shared" si="225"/>
        <v/>
      </c>
      <c r="C2099" t="str">
        <f t="shared" si="226"/>
        <v/>
      </c>
      <c r="D2099" t="str">
        <f t="shared" si="227"/>
        <v/>
      </c>
      <c r="E2099" t="str">
        <f>IF(F2099="","",IF(COUNTIF($F$2:F2099,F2099)&gt;1,"",SUMIFS(tbl_input[필요수량],tbl_input[집계키_센터],F2099)))</f>
        <v/>
      </c>
      <c r="F2099" t="str">
        <f>IFERROR(INDEX(tbl_input[집계키_센터],ROW()-1),"")</f>
        <v/>
      </c>
      <c r="G2099" t="str">
        <f t="shared" si="228"/>
        <v/>
      </c>
      <c r="H2099" t="str">
        <f t="shared" si="229"/>
        <v/>
      </c>
      <c r="I2099" t="str">
        <f t="shared" si="230"/>
        <v/>
      </c>
    </row>
    <row r="2100" spans="1:9" x14ac:dyDescent="0.4">
      <c r="A2100" t="str">
        <f t="shared" si="224"/>
        <v/>
      </c>
      <c r="B2100" t="str">
        <f t="shared" si="225"/>
        <v/>
      </c>
      <c r="C2100" t="str">
        <f t="shared" si="226"/>
        <v/>
      </c>
      <c r="D2100" t="str">
        <f t="shared" si="227"/>
        <v/>
      </c>
      <c r="E2100" t="str">
        <f>IF(F2100="","",IF(COUNTIF($F$2:F2100,F2100)&gt;1,"",SUMIFS(tbl_input[필요수량],tbl_input[집계키_센터],F2100)))</f>
        <v/>
      </c>
      <c r="F2100" t="str">
        <f>IFERROR(INDEX(tbl_input[집계키_센터],ROW()-1),"")</f>
        <v/>
      </c>
      <c r="G2100" t="str">
        <f t="shared" si="228"/>
        <v/>
      </c>
      <c r="H2100" t="str">
        <f t="shared" si="229"/>
        <v/>
      </c>
      <c r="I2100" t="str">
        <f t="shared" si="230"/>
        <v/>
      </c>
    </row>
    <row r="2101" spans="1:9" x14ac:dyDescent="0.4">
      <c r="A2101" t="str">
        <f t="shared" si="224"/>
        <v/>
      </c>
      <c r="B2101" t="str">
        <f t="shared" si="225"/>
        <v/>
      </c>
      <c r="C2101" t="str">
        <f t="shared" si="226"/>
        <v/>
      </c>
      <c r="D2101" t="str">
        <f t="shared" si="227"/>
        <v/>
      </c>
      <c r="E2101" t="str">
        <f>IF(F2101="","",IF(COUNTIF($F$2:F2101,F2101)&gt;1,"",SUMIFS(tbl_input[필요수량],tbl_input[집계키_센터],F2101)))</f>
        <v/>
      </c>
      <c r="F2101" t="str">
        <f>IFERROR(INDEX(tbl_input[집계키_센터],ROW()-1),"")</f>
        <v/>
      </c>
      <c r="G2101" t="str">
        <f t="shared" si="228"/>
        <v/>
      </c>
      <c r="H2101" t="str">
        <f t="shared" si="229"/>
        <v/>
      </c>
      <c r="I2101" t="str">
        <f t="shared" si="230"/>
        <v/>
      </c>
    </row>
    <row r="2102" spans="1:9" x14ac:dyDescent="0.4">
      <c r="A2102" t="str">
        <f t="shared" si="224"/>
        <v/>
      </c>
      <c r="B2102" t="str">
        <f t="shared" si="225"/>
        <v/>
      </c>
      <c r="C2102" t="str">
        <f t="shared" si="226"/>
        <v/>
      </c>
      <c r="D2102" t="str">
        <f t="shared" si="227"/>
        <v/>
      </c>
      <c r="E2102" t="str">
        <f>IF(F2102="","",IF(COUNTIF($F$2:F2102,F2102)&gt;1,"",SUMIFS(tbl_input[필요수량],tbl_input[집계키_센터],F2102)))</f>
        <v/>
      </c>
      <c r="F2102" t="str">
        <f>IFERROR(INDEX(tbl_input[집계키_센터],ROW()-1),"")</f>
        <v/>
      </c>
      <c r="G2102" t="str">
        <f t="shared" si="228"/>
        <v/>
      </c>
      <c r="H2102" t="str">
        <f t="shared" si="229"/>
        <v/>
      </c>
      <c r="I2102" t="str">
        <f t="shared" si="230"/>
        <v/>
      </c>
    </row>
    <row r="2103" spans="1:9" x14ac:dyDescent="0.4">
      <c r="A2103" t="str">
        <f t="shared" si="224"/>
        <v/>
      </c>
      <c r="B2103" t="str">
        <f t="shared" si="225"/>
        <v/>
      </c>
      <c r="C2103" t="str">
        <f t="shared" si="226"/>
        <v/>
      </c>
      <c r="D2103" t="str">
        <f t="shared" si="227"/>
        <v/>
      </c>
      <c r="E2103" t="str">
        <f>IF(F2103="","",IF(COUNTIF($F$2:F2103,F2103)&gt;1,"",SUMIFS(tbl_input[필요수량],tbl_input[집계키_센터],F2103)))</f>
        <v/>
      </c>
      <c r="F2103" t="str">
        <f>IFERROR(INDEX(tbl_input[집계키_센터],ROW()-1),"")</f>
        <v/>
      </c>
      <c r="G2103" t="str">
        <f t="shared" si="228"/>
        <v/>
      </c>
      <c r="H2103" t="str">
        <f t="shared" si="229"/>
        <v/>
      </c>
      <c r="I2103" t="str">
        <f t="shared" si="230"/>
        <v/>
      </c>
    </row>
    <row r="2104" spans="1:9" x14ac:dyDescent="0.4">
      <c r="A2104" t="str">
        <f t="shared" si="224"/>
        <v/>
      </c>
      <c r="B2104" t="str">
        <f t="shared" si="225"/>
        <v/>
      </c>
      <c r="C2104" t="str">
        <f t="shared" si="226"/>
        <v/>
      </c>
      <c r="D2104" t="str">
        <f t="shared" si="227"/>
        <v/>
      </c>
      <c r="E2104" t="str">
        <f>IF(F2104="","",IF(COUNTIF($F$2:F2104,F2104)&gt;1,"",SUMIFS(tbl_input[필요수량],tbl_input[집계키_센터],F2104)))</f>
        <v/>
      </c>
      <c r="F2104" t="str">
        <f>IFERROR(INDEX(tbl_input[집계키_센터],ROW()-1),"")</f>
        <v/>
      </c>
      <c r="G2104" t="str">
        <f t="shared" si="228"/>
        <v/>
      </c>
      <c r="H2104" t="str">
        <f t="shared" si="229"/>
        <v/>
      </c>
      <c r="I2104" t="str">
        <f t="shared" si="230"/>
        <v/>
      </c>
    </row>
    <row r="2105" spans="1:9" x14ac:dyDescent="0.4">
      <c r="A2105" t="str">
        <f t="shared" si="224"/>
        <v/>
      </c>
      <c r="B2105" t="str">
        <f t="shared" si="225"/>
        <v/>
      </c>
      <c r="C2105" t="str">
        <f t="shared" si="226"/>
        <v/>
      </c>
      <c r="D2105" t="str">
        <f t="shared" si="227"/>
        <v/>
      </c>
      <c r="E2105" t="str">
        <f>IF(F2105="","",IF(COUNTIF($F$2:F2105,F2105)&gt;1,"",SUMIFS(tbl_input[필요수량],tbl_input[집계키_센터],F2105)))</f>
        <v/>
      </c>
      <c r="F2105" t="str">
        <f>IFERROR(INDEX(tbl_input[집계키_센터],ROW()-1),"")</f>
        <v/>
      </c>
      <c r="G2105" t="str">
        <f t="shared" si="228"/>
        <v/>
      </c>
      <c r="H2105" t="str">
        <f t="shared" si="229"/>
        <v/>
      </c>
      <c r="I2105" t="str">
        <f t="shared" si="230"/>
        <v/>
      </c>
    </row>
    <row r="2106" spans="1:9" x14ac:dyDescent="0.4">
      <c r="A2106" t="str">
        <f t="shared" si="224"/>
        <v/>
      </c>
      <c r="B2106" t="str">
        <f t="shared" si="225"/>
        <v/>
      </c>
      <c r="C2106" t="str">
        <f t="shared" si="226"/>
        <v/>
      </c>
      <c r="D2106" t="str">
        <f t="shared" si="227"/>
        <v/>
      </c>
      <c r="E2106" t="str">
        <f>IF(F2106="","",IF(COUNTIF($F$2:F2106,F2106)&gt;1,"",SUMIFS(tbl_input[필요수량],tbl_input[집계키_센터],F2106)))</f>
        <v/>
      </c>
      <c r="F2106" t="str">
        <f>IFERROR(INDEX(tbl_input[집계키_센터],ROW()-1),"")</f>
        <v/>
      </c>
      <c r="G2106" t="str">
        <f t="shared" si="228"/>
        <v/>
      </c>
      <c r="H2106" t="str">
        <f t="shared" si="229"/>
        <v/>
      </c>
      <c r="I2106" t="str">
        <f t="shared" si="230"/>
        <v/>
      </c>
    </row>
    <row r="2107" spans="1:9" x14ac:dyDescent="0.4">
      <c r="A2107" t="str">
        <f t="shared" si="224"/>
        <v/>
      </c>
      <c r="B2107" t="str">
        <f t="shared" si="225"/>
        <v/>
      </c>
      <c r="C2107" t="str">
        <f t="shared" si="226"/>
        <v/>
      </c>
      <c r="D2107" t="str">
        <f t="shared" si="227"/>
        <v/>
      </c>
      <c r="E2107" t="str">
        <f>IF(F2107="","",IF(COUNTIF($F$2:F2107,F2107)&gt;1,"",SUMIFS(tbl_input[필요수량],tbl_input[집계키_센터],F2107)))</f>
        <v/>
      </c>
      <c r="F2107" t="str">
        <f>IFERROR(INDEX(tbl_input[집계키_센터],ROW()-1),"")</f>
        <v/>
      </c>
      <c r="G2107" t="str">
        <f t="shared" si="228"/>
        <v/>
      </c>
      <c r="H2107" t="str">
        <f t="shared" si="229"/>
        <v/>
      </c>
      <c r="I2107" t="str">
        <f t="shared" si="230"/>
        <v/>
      </c>
    </row>
    <row r="2108" spans="1:9" x14ac:dyDescent="0.4">
      <c r="A2108" t="str">
        <f t="shared" si="224"/>
        <v/>
      </c>
      <c r="B2108" t="str">
        <f t="shared" si="225"/>
        <v/>
      </c>
      <c r="C2108" t="str">
        <f t="shared" si="226"/>
        <v/>
      </c>
      <c r="D2108" t="str">
        <f t="shared" si="227"/>
        <v/>
      </c>
      <c r="E2108" t="str">
        <f>IF(F2108="","",IF(COUNTIF($F$2:F2108,F2108)&gt;1,"",SUMIFS(tbl_input[필요수량],tbl_input[집계키_센터],F2108)))</f>
        <v/>
      </c>
      <c r="F2108" t="str">
        <f>IFERROR(INDEX(tbl_input[집계키_센터],ROW()-1),"")</f>
        <v/>
      </c>
      <c r="G2108" t="str">
        <f t="shared" si="228"/>
        <v/>
      </c>
      <c r="H2108" t="str">
        <f t="shared" si="229"/>
        <v/>
      </c>
      <c r="I2108" t="str">
        <f t="shared" si="230"/>
        <v/>
      </c>
    </row>
    <row r="2109" spans="1:9" x14ac:dyDescent="0.4">
      <c r="A2109" t="str">
        <f t="shared" si="224"/>
        <v/>
      </c>
      <c r="B2109" t="str">
        <f t="shared" si="225"/>
        <v/>
      </c>
      <c r="C2109" t="str">
        <f t="shared" si="226"/>
        <v/>
      </c>
      <c r="D2109" t="str">
        <f t="shared" si="227"/>
        <v/>
      </c>
      <c r="E2109" t="str">
        <f>IF(F2109="","",IF(COUNTIF($F$2:F2109,F2109)&gt;1,"",SUMIFS(tbl_input[필요수량],tbl_input[집계키_센터],F2109)))</f>
        <v/>
      </c>
      <c r="F2109" t="str">
        <f>IFERROR(INDEX(tbl_input[집계키_센터],ROW()-1),"")</f>
        <v/>
      </c>
      <c r="G2109" t="str">
        <f t="shared" si="228"/>
        <v/>
      </c>
      <c r="H2109" t="str">
        <f t="shared" si="229"/>
        <v/>
      </c>
      <c r="I2109" t="str">
        <f t="shared" si="230"/>
        <v/>
      </c>
    </row>
    <row r="2110" spans="1:9" x14ac:dyDescent="0.4">
      <c r="A2110" t="str">
        <f t="shared" si="224"/>
        <v/>
      </c>
      <c r="B2110" t="str">
        <f t="shared" si="225"/>
        <v/>
      </c>
      <c r="C2110" t="str">
        <f t="shared" si="226"/>
        <v/>
      </c>
      <c r="D2110" t="str">
        <f t="shared" si="227"/>
        <v/>
      </c>
      <c r="E2110" t="str">
        <f>IF(F2110="","",IF(COUNTIF($F$2:F2110,F2110)&gt;1,"",SUMIFS(tbl_input[필요수량],tbl_input[집계키_센터],F2110)))</f>
        <v/>
      </c>
      <c r="F2110" t="str">
        <f>IFERROR(INDEX(tbl_input[집계키_센터],ROW()-1),"")</f>
        <v/>
      </c>
      <c r="G2110" t="str">
        <f t="shared" si="228"/>
        <v/>
      </c>
      <c r="H2110" t="str">
        <f t="shared" si="229"/>
        <v/>
      </c>
      <c r="I2110" t="str">
        <f t="shared" si="230"/>
        <v/>
      </c>
    </row>
    <row r="2111" spans="1:9" x14ac:dyDescent="0.4">
      <c r="A2111" t="str">
        <f t="shared" si="224"/>
        <v/>
      </c>
      <c r="B2111" t="str">
        <f t="shared" si="225"/>
        <v/>
      </c>
      <c r="C2111" t="str">
        <f t="shared" si="226"/>
        <v/>
      </c>
      <c r="D2111" t="str">
        <f t="shared" si="227"/>
        <v/>
      </c>
      <c r="E2111" t="str">
        <f>IF(F2111="","",IF(COUNTIF($F$2:F2111,F2111)&gt;1,"",SUMIFS(tbl_input[필요수량],tbl_input[집계키_센터],F2111)))</f>
        <v/>
      </c>
      <c r="F2111" t="str">
        <f>IFERROR(INDEX(tbl_input[집계키_센터],ROW()-1),"")</f>
        <v/>
      </c>
      <c r="G2111" t="str">
        <f t="shared" si="228"/>
        <v/>
      </c>
      <c r="H2111" t="str">
        <f t="shared" si="229"/>
        <v/>
      </c>
      <c r="I2111" t="str">
        <f t="shared" si="230"/>
        <v/>
      </c>
    </row>
    <row r="2112" spans="1:9" x14ac:dyDescent="0.4">
      <c r="A2112" t="str">
        <f t="shared" si="224"/>
        <v/>
      </c>
      <c r="B2112" t="str">
        <f t="shared" si="225"/>
        <v/>
      </c>
      <c r="C2112" t="str">
        <f t="shared" si="226"/>
        <v/>
      </c>
      <c r="D2112" t="str">
        <f t="shared" si="227"/>
        <v/>
      </c>
      <c r="E2112" t="str">
        <f>IF(F2112="","",IF(COUNTIF($F$2:F2112,F2112)&gt;1,"",SUMIFS(tbl_input[필요수량],tbl_input[집계키_센터],F2112)))</f>
        <v/>
      </c>
      <c r="F2112" t="str">
        <f>IFERROR(INDEX(tbl_input[집계키_센터],ROW()-1),"")</f>
        <v/>
      </c>
      <c r="G2112" t="str">
        <f t="shared" si="228"/>
        <v/>
      </c>
      <c r="H2112" t="str">
        <f t="shared" si="229"/>
        <v/>
      </c>
      <c r="I2112" t="str">
        <f t="shared" si="230"/>
        <v/>
      </c>
    </row>
    <row r="2113" spans="1:9" x14ac:dyDescent="0.4">
      <c r="A2113" t="str">
        <f t="shared" si="224"/>
        <v/>
      </c>
      <c r="B2113" t="str">
        <f t="shared" si="225"/>
        <v/>
      </c>
      <c r="C2113" t="str">
        <f t="shared" si="226"/>
        <v/>
      </c>
      <c r="D2113" t="str">
        <f t="shared" si="227"/>
        <v/>
      </c>
      <c r="E2113" t="str">
        <f>IF(F2113="","",IF(COUNTIF($F$2:F2113,F2113)&gt;1,"",SUMIFS(tbl_input[필요수량],tbl_input[집계키_센터],F2113)))</f>
        <v/>
      </c>
      <c r="F2113" t="str">
        <f>IFERROR(INDEX(tbl_input[집계키_센터],ROW()-1),"")</f>
        <v/>
      </c>
      <c r="G2113" t="str">
        <f t="shared" si="228"/>
        <v/>
      </c>
      <c r="H2113" t="str">
        <f t="shared" si="229"/>
        <v/>
      </c>
      <c r="I2113" t="str">
        <f t="shared" si="230"/>
        <v/>
      </c>
    </row>
    <row r="2114" spans="1:9" x14ac:dyDescent="0.4">
      <c r="A2114" t="str">
        <f t="shared" ref="A2114:A2177" si="231">IF(F2114="","",LEFT(F2114,G2114-1))</f>
        <v/>
      </c>
      <c r="B2114" t="str">
        <f t="shared" ref="B2114:B2177" si="232">IF(F2114="","",MID(F2114,G2114+1,H2114-G2114-1))</f>
        <v/>
      </c>
      <c r="C2114" t="str">
        <f t="shared" ref="C2114:C2177" si="233">IF(F2114="","",MID(F2114,H2114+1,I2114-H2114-1))</f>
        <v/>
      </c>
      <c r="D2114" t="str">
        <f t="shared" ref="D2114:D2177" si="234">IF(F2114="","",MID(F2114,I2114+1,999))</f>
        <v/>
      </c>
      <c r="E2114" t="str">
        <f>IF(F2114="","",IF(COUNTIF($F$2:F2114,F2114)&gt;1,"",SUMIFS(tbl_input[필요수량],tbl_input[집계키_센터],F2114)))</f>
        <v/>
      </c>
      <c r="F2114" t="str">
        <f>IFERROR(INDEX(tbl_input[집계키_센터],ROW()-1),"")</f>
        <v/>
      </c>
      <c r="G2114" t="str">
        <f t="shared" ref="G2114:G2177" si="235">IF(F2114="","",FIND("♦",F2114))</f>
        <v/>
      </c>
      <c r="H2114" t="str">
        <f t="shared" ref="H2114:H2177" si="236">IF(F2114="","",FIND("♦",F2114,G2114+1))</f>
        <v/>
      </c>
      <c r="I2114" t="str">
        <f t="shared" ref="I2114:I2177" si="237">IF(F2114="","",FIND("♦",F2114,H2114+1))</f>
        <v/>
      </c>
    </row>
    <row r="2115" spans="1:9" x14ac:dyDescent="0.4">
      <c r="A2115" t="str">
        <f t="shared" si="231"/>
        <v/>
      </c>
      <c r="B2115" t="str">
        <f t="shared" si="232"/>
        <v/>
      </c>
      <c r="C2115" t="str">
        <f t="shared" si="233"/>
        <v/>
      </c>
      <c r="D2115" t="str">
        <f t="shared" si="234"/>
        <v/>
      </c>
      <c r="E2115" t="str">
        <f>IF(F2115="","",IF(COUNTIF($F$2:F2115,F2115)&gt;1,"",SUMIFS(tbl_input[필요수량],tbl_input[집계키_센터],F2115)))</f>
        <v/>
      </c>
      <c r="F2115" t="str">
        <f>IFERROR(INDEX(tbl_input[집계키_센터],ROW()-1),"")</f>
        <v/>
      </c>
      <c r="G2115" t="str">
        <f t="shared" si="235"/>
        <v/>
      </c>
      <c r="H2115" t="str">
        <f t="shared" si="236"/>
        <v/>
      </c>
      <c r="I2115" t="str">
        <f t="shared" si="237"/>
        <v/>
      </c>
    </row>
    <row r="2116" spans="1:9" x14ac:dyDescent="0.4">
      <c r="A2116" t="str">
        <f t="shared" si="231"/>
        <v/>
      </c>
      <c r="B2116" t="str">
        <f t="shared" si="232"/>
        <v/>
      </c>
      <c r="C2116" t="str">
        <f t="shared" si="233"/>
        <v/>
      </c>
      <c r="D2116" t="str">
        <f t="shared" si="234"/>
        <v/>
      </c>
      <c r="E2116" t="str">
        <f>IF(F2116="","",IF(COUNTIF($F$2:F2116,F2116)&gt;1,"",SUMIFS(tbl_input[필요수량],tbl_input[집계키_센터],F2116)))</f>
        <v/>
      </c>
      <c r="F2116" t="str">
        <f>IFERROR(INDEX(tbl_input[집계키_센터],ROW()-1),"")</f>
        <v/>
      </c>
      <c r="G2116" t="str">
        <f t="shared" si="235"/>
        <v/>
      </c>
      <c r="H2116" t="str">
        <f t="shared" si="236"/>
        <v/>
      </c>
      <c r="I2116" t="str">
        <f t="shared" si="237"/>
        <v/>
      </c>
    </row>
    <row r="2117" spans="1:9" x14ac:dyDescent="0.4">
      <c r="A2117" t="str">
        <f t="shared" si="231"/>
        <v/>
      </c>
      <c r="B2117" t="str">
        <f t="shared" si="232"/>
        <v/>
      </c>
      <c r="C2117" t="str">
        <f t="shared" si="233"/>
        <v/>
      </c>
      <c r="D2117" t="str">
        <f t="shared" si="234"/>
        <v/>
      </c>
      <c r="E2117" t="str">
        <f>IF(F2117="","",IF(COUNTIF($F$2:F2117,F2117)&gt;1,"",SUMIFS(tbl_input[필요수량],tbl_input[집계키_센터],F2117)))</f>
        <v/>
      </c>
      <c r="F2117" t="str">
        <f>IFERROR(INDEX(tbl_input[집계키_센터],ROW()-1),"")</f>
        <v/>
      </c>
      <c r="G2117" t="str">
        <f t="shared" si="235"/>
        <v/>
      </c>
      <c r="H2117" t="str">
        <f t="shared" si="236"/>
        <v/>
      </c>
      <c r="I2117" t="str">
        <f t="shared" si="237"/>
        <v/>
      </c>
    </row>
    <row r="2118" spans="1:9" x14ac:dyDescent="0.4">
      <c r="A2118" t="str">
        <f t="shared" si="231"/>
        <v/>
      </c>
      <c r="B2118" t="str">
        <f t="shared" si="232"/>
        <v/>
      </c>
      <c r="C2118" t="str">
        <f t="shared" si="233"/>
        <v/>
      </c>
      <c r="D2118" t="str">
        <f t="shared" si="234"/>
        <v/>
      </c>
      <c r="E2118" t="str">
        <f>IF(F2118="","",IF(COUNTIF($F$2:F2118,F2118)&gt;1,"",SUMIFS(tbl_input[필요수량],tbl_input[집계키_센터],F2118)))</f>
        <v/>
      </c>
      <c r="F2118" t="str">
        <f>IFERROR(INDEX(tbl_input[집계키_센터],ROW()-1),"")</f>
        <v/>
      </c>
      <c r="G2118" t="str">
        <f t="shared" si="235"/>
        <v/>
      </c>
      <c r="H2118" t="str">
        <f t="shared" si="236"/>
        <v/>
      </c>
      <c r="I2118" t="str">
        <f t="shared" si="237"/>
        <v/>
      </c>
    </row>
    <row r="2119" spans="1:9" x14ac:dyDescent="0.4">
      <c r="A2119" t="str">
        <f t="shared" si="231"/>
        <v/>
      </c>
      <c r="B2119" t="str">
        <f t="shared" si="232"/>
        <v/>
      </c>
      <c r="C2119" t="str">
        <f t="shared" si="233"/>
        <v/>
      </c>
      <c r="D2119" t="str">
        <f t="shared" si="234"/>
        <v/>
      </c>
      <c r="E2119" t="str">
        <f>IF(F2119="","",IF(COUNTIF($F$2:F2119,F2119)&gt;1,"",SUMIFS(tbl_input[필요수량],tbl_input[집계키_센터],F2119)))</f>
        <v/>
      </c>
      <c r="F2119" t="str">
        <f>IFERROR(INDEX(tbl_input[집계키_센터],ROW()-1),"")</f>
        <v/>
      </c>
      <c r="G2119" t="str">
        <f t="shared" si="235"/>
        <v/>
      </c>
      <c r="H2119" t="str">
        <f t="shared" si="236"/>
        <v/>
      </c>
      <c r="I2119" t="str">
        <f t="shared" si="237"/>
        <v/>
      </c>
    </row>
    <row r="2120" spans="1:9" x14ac:dyDescent="0.4">
      <c r="A2120" t="str">
        <f t="shared" si="231"/>
        <v/>
      </c>
      <c r="B2120" t="str">
        <f t="shared" si="232"/>
        <v/>
      </c>
      <c r="C2120" t="str">
        <f t="shared" si="233"/>
        <v/>
      </c>
      <c r="D2120" t="str">
        <f t="shared" si="234"/>
        <v/>
      </c>
      <c r="E2120" t="str">
        <f>IF(F2120="","",IF(COUNTIF($F$2:F2120,F2120)&gt;1,"",SUMIFS(tbl_input[필요수량],tbl_input[집계키_센터],F2120)))</f>
        <v/>
      </c>
      <c r="F2120" t="str">
        <f>IFERROR(INDEX(tbl_input[집계키_센터],ROW()-1),"")</f>
        <v/>
      </c>
      <c r="G2120" t="str">
        <f t="shared" si="235"/>
        <v/>
      </c>
      <c r="H2120" t="str">
        <f t="shared" si="236"/>
        <v/>
      </c>
      <c r="I2120" t="str">
        <f t="shared" si="237"/>
        <v/>
      </c>
    </row>
    <row r="2121" spans="1:9" x14ac:dyDescent="0.4">
      <c r="A2121" t="str">
        <f t="shared" si="231"/>
        <v/>
      </c>
      <c r="B2121" t="str">
        <f t="shared" si="232"/>
        <v/>
      </c>
      <c r="C2121" t="str">
        <f t="shared" si="233"/>
        <v/>
      </c>
      <c r="D2121" t="str">
        <f t="shared" si="234"/>
        <v/>
      </c>
      <c r="E2121" t="str">
        <f>IF(F2121="","",IF(COUNTIF($F$2:F2121,F2121)&gt;1,"",SUMIFS(tbl_input[필요수량],tbl_input[집계키_센터],F2121)))</f>
        <v/>
      </c>
      <c r="F2121" t="str">
        <f>IFERROR(INDEX(tbl_input[집계키_센터],ROW()-1),"")</f>
        <v/>
      </c>
      <c r="G2121" t="str">
        <f t="shared" si="235"/>
        <v/>
      </c>
      <c r="H2121" t="str">
        <f t="shared" si="236"/>
        <v/>
      </c>
      <c r="I2121" t="str">
        <f t="shared" si="237"/>
        <v/>
      </c>
    </row>
    <row r="2122" spans="1:9" x14ac:dyDescent="0.4">
      <c r="A2122" t="str">
        <f t="shared" si="231"/>
        <v/>
      </c>
      <c r="B2122" t="str">
        <f t="shared" si="232"/>
        <v/>
      </c>
      <c r="C2122" t="str">
        <f t="shared" si="233"/>
        <v/>
      </c>
      <c r="D2122" t="str">
        <f t="shared" si="234"/>
        <v/>
      </c>
      <c r="E2122" t="str">
        <f>IF(F2122="","",IF(COUNTIF($F$2:F2122,F2122)&gt;1,"",SUMIFS(tbl_input[필요수량],tbl_input[집계키_센터],F2122)))</f>
        <v/>
      </c>
      <c r="F2122" t="str">
        <f>IFERROR(INDEX(tbl_input[집계키_센터],ROW()-1),"")</f>
        <v/>
      </c>
      <c r="G2122" t="str">
        <f t="shared" si="235"/>
        <v/>
      </c>
      <c r="H2122" t="str">
        <f t="shared" si="236"/>
        <v/>
      </c>
      <c r="I2122" t="str">
        <f t="shared" si="237"/>
        <v/>
      </c>
    </row>
    <row r="2123" spans="1:9" x14ac:dyDescent="0.4">
      <c r="A2123" t="str">
        <f t="shared" si="231"/>
        <v/>
      </c>
      <c r="B2123" t="str">
        <f t="shared" si="232"/>
        <v/>
      </c>
      <c r="C2123" t="str">
        <f t="shared" si="233"/>
        <v/>
      </c>
      <c r="D2123" t="str">
        <f t="shared" si="234"/>
        <v/>
      </c>
      <c r="E2123" t="str">
        <f>IF(F2123="","",IF(COUNTIF($F$2:F2123,F2123)&gt;1,"",SUMIFS(tbl_input[필요수량],tbl_input[집계키_센터],F2123)))</f>
        <v/>
      </c>
      <c r="F2123" t="str">
        <f>IFERROR(INDEX(tbl_input[집계키_센터],ROW()-1),"")</f>
        <v/>
      </c>
      <c r="G2123" t="str">
        <f t="shared" si="235"/>
        <v/>
      </c>
      <c r="H2123" t="str">
        <f t="shared" si="236"/>
        <v/>
      </c>
      <c r="I2123" t="str">
        <f t="shared" si="237"/>
        <v/>
      </c>
    </row>
    <row r="2124" spans="1:9" x14ac:dyDescent="0.4">
      <c r="A2124" t="str">
        <f t="shared" si="231"/>
        <v/>
      </c>
      <c r="B2124" t="str">
        <f t="shared" si="232"/>
        <v/>
      </c>
      <c r="C2124" t="str">
        <f t="shared" si="233"/>
        <v/>
      </c>
      <c r="D2124" t="str">
        <f t="shared" si="234"/>
        <v/>
      </c>
      <c r="E2124" t="str">
        <f>IF(F2124="","",IF(COUNTIF($F$2:F2124,F2124)&gt;1,"",SUMIFS(tbl_input[필요수량],tbl_input[집계키_센터],F2124)))</f>
        <v/>
      </c>
      <c r="F2124" t="str">
        <f>IFERROR(INDEX(tbl_input[집계키_센터],ROW()-1),"")</f>
        <v/>
      </c>
      <c r="G2124" t="str">
        <f t="shared" si="235"/>
        <v/>
      </c>
      <c r="H2124" t="str">
        <f t="shared" si="236"/>
        <v/>
      </c>
      <c r="I2124" t="str">
        <f t="shared" si="237"/>
        <v/>
      </c>
    </row>
    <row r="2125" spans="1:9" x14ac:dyDescent="0.4">
      <c r="A2125" t="str">
        <f t="shared" si="231"/>
        <v/>
      </c>
      <c r="B2125" t="str">
        <f t="shared" si="232"/>
        <v/>
      </c>
      <c r="C2125" t="str">
        <f t="shared" si="233"/>
        <v/>
      </c>
      <c r="D2125" t="str">
        <f t="shared" si="234"/>
        <v/>
      </c>
      <c r="E2125" t="str">
        <f>IF(F2125="","",IF(COUNTIF($F$2:F2125,F2125)&gt;1,"",SUMIFS(tbl_input[필요수량],tbl_input[집계키_센터],F2125)))</f>
        <v/>
      </c>
      <c r="F2125" t="str">
        <f>IFERROR(INDEX(tbl_input[집계키_센터],ROW()-1),"")</f>
        <v/>
      </c>
      <c r="G2125" t="str">
        <f t="shared" si="235"/>
        <v/>
      </c>
      <c r="H2125" t="str">
        <f t="shared" si="236"/>
        <v/>
      </c>
      <c r="I2125" t="str">
        <f t="shared" si="237"/>
        <v/>
      </c>
    </row>
    <row r="2126" spans="1:9" x14ac:dyDescent="0.4">
      <c r="A2126" t="str">
        <f t="shared" si="231"/>
        <v/>
      </c>
      <c r="B2126" t="str">
        <f t="shared" si="232"/>
        <v/>
      </c>
      <c r="C2126" t="str">
        <f t="shared" si="233"/>
        <v/>
      </c>
      <c r="D2126" t="str">
        <f t="shared" si="234"/>
        <v/>
      </c>
      <c r="E2126" t="str">
        <f>IF(F2126="","",IF(COUNTIF($F$2:F2126,F2126)&gt;1,"",SUMIFS(tbl_input[필요수량],tbl_input[집계키_센터],F2126)))</f>
        <v/>
      </c>
      <c r="F2126" t="str">
        <f>IFERROR(INDEX(tbl_input[집계키_센터],ROW()-1),"")</f>
        <v/>
      </c>
      <c r="G2126" t="str">
        <f t="shared" si="235"/>
        <v/>
      </c>
      <c r="H2126" t="str">
        <f t="shared" si="236"/>
        <v/>
      </c>
      <c r="I2126" t="str">
        <f t="shared" si="237"/>
        <v/>
      </c>
    </row>
    <row r="2127" spans="1:9" x14ac:dyDescent="0.4">
      <c r="A2127" t="str">
        <f t="shared" si="231"/>
        <v/>
      </c>
      <c r="B2127" t="str">
        <f t="shared" si="232"/>
        <v/>
      </c>
      <c r="C2127" t="str">
        <f t="shared" si="233"/>
        <v/>
      </c>
      <c r="D2127" t="str">
        <f t="shared" si="234"/>
        <v/>
      </c>
      <c r="E2127" t="str">
        <f>IF(F2127="","",IF(COUNTIF($F$2:F2127,F2127)&gt;1,"",SUMIFS(tbl_input[필요수량],tbl_input[집계키_센터],F2127)))</f>
        <v/>
      </c>
      <c r="F2127" t="str">
        <f>IFERROR(INDEX(tbl_input[집계키_센터],ROW()-1),"")</f>
        <v/>
      </c>
      <c r="G2127" t="str">
        <f t="shared" si="235"/>
        <v/>
      </c>
      <c r="H2127" t="str">
        <f t="shared" si="236"/>
        <v/>
      </c>
      <c r="I2127" t="str">
        <f t="shared" si="237"/>
        <v/>
      </c>
    </row>
    <row r="2128" spans="1:9" x14ac:dyDescent="0.4">
      <c r="A2128" t="str">
        <f t="shared" si="231"/>
        <v/>
      </c>
      <c r="B2128" t="str">
        <f t="shared" si="232"/>
        <v/>
      </c>
      <c r="C2128" t="str">
        <f t="shared" si="233"/>
        <v/>
      </c>
      <c r="D2128" t="str">
        <f t="shared" si="234"/>
        <v/>
      </c>
      <c r="E2128" t="str">
        <f>IF(F2128="","",IF(COUNTIF($F$2:F2128,F2128)&gt;1,"",SUMIFS(tbl_input[필요수량],tbl_input[집계키_센터],F2128)))</f>
        <v/>
      </c>
      <c r="F2128" t="str">
        <f>IFERROR(INDEX(tbl_input[집계키_센터],ROW()-1),"")</f>
        <v/>
      </c>
      <c r="G2128" t="str">
        <f t="shared" si="235"/>
        <v/>
      </c>
      <c r="H2128" t="str">
        <f t="shared" si="236"/>
        <v/>
      </c>
      <c r="I2128" t="str">
        <f t="shared" si="237"/>
        <v/>
      </c>
    </row>
    <row r="2129" spans="1:9" x14ac:dyDescent="0.4">
      <c r="A2129" t="str">
        <f t="shared" si="231"/>
        <v/>
      </c>
      <c r="B2129" t="str">
        <f t="shared" si="232"/>
        <v/>
      </c>
      <c r="C2129" t="str">
        <f t="shared" si="233"/>
        <v/>
      </c>
      <c r="D2129" t="str">
        <f t="shared" si="234"/>
        <v/>
      </c>
      <c r="E2129" t="str">
        <f>IF(F2129="","",IF(COUNTIF($F$2:F2129,F2129)&gt;1,"",SUMIFS(tbl_input[필요수량],tbl_input[집계키_센터],F2129)))</f>
        <v/>
      </c>
      <c r="F2129" t="str">
        <f>IFERROR(INDEX(tbl_input[집계키_센터],ROW()-1),"")</f>
        <v/>
      </c>
      <c r="G2129" t="str">
        <f t="shared" si="235"/>
        <v/>
      </c>
      <c r="H2129" t="str">
        <f t="shared" si="236"/>
        <v/>
      </c>
      <c r="I2129" t="str">
        <f t="shared" si="237"/>
        <v/>
      </c>
    </row>
    <row r="2130" spans="1:9" x14ac:dyDescent="0.4">
      <c r="A2130" t="str">
        <f t="shared" si="231"/>
        <v/>
      </c>
      <c r="B2130" t="str">
        <f t="shared" si="232"/>
        <v/>
      </c>
      <c r="C2130" t="str">
        <f t="shared" si="233"/>
        <v/>
      </c>
      <c r="D2130" t="str">
        <f t="shared" si="234"/>
        <v/>
      </c>
      <c r="E2130" t="str">
        <f>IF(F2130="","",IF(COUNTIF($F$2:F2130,F2130)&gt;1,"",SUMIFS(tbl_input[필요수량],tbl_input[집계키_센터],F2130)))</f>
        <v/>
      </c>
      <c r="F2130" t="str">
        <f>IFERROR(INDEX(tbl_input[집계키_센터],ROW()-1),"")</f>
        <v/>
      </c>
      <c r="G2130" t="str">
        <f t="shared" si="235"/>
        <v/>
      </c>
      <c r="H2130" t="str">
        <f t="shared" si="236"/>
        <v/>
      </c>
      <c r="I2130" t="str">
        <f t="shared" si="237"/>
        <v/>
      </c>
    </row>
    <row r="2131" spans="1:9" x14ac:dyDescent="0.4">
      <c r="A2131" t="str">
        <f t="shared" si="231"/>
        <v/>
      </c>
      <c r="B2131" t="str">
        <f t="shared" si="232"/>
        <v/>
      </c>
      <c r="C2131" t="str">
        <f t="shared" si="233"/>
        <v/>
      </c>
      <c r="D2131" t="str">
        <f t="shared" si="234"/>
        <v/>
      </c>
      <c r="E2131" t="str">
        <f>IF(F2131="","",IF(COUNTIF($F$2:F2131,F2131)&gt;1,"",SUMIFS(tbl_input[필요수량],tbl_input[집계키_센터],F2131)))</f>
        <v/>
      </c>
      <c r="F2131" t="str">
        <f>IFERROR(INDEX(tbl_input[집계키_센터],ROW()-1),"")</f>
        <v/>
      </c>
      <c r="G2131" t="str">
        <f t="shared" si="235"/>
        <v/>
      </c>
      <c r="H2131" t="str">
        <f t="shared" si="236"/>
        <v/>
      </c>
      <c r="I2131" t="str">
        <f t="shared" si="237"/>
        <v/>
      </c>
    </row>
    <row r="2132" spans="1:9" x14ac:dyDescent="0.4">
      <c r="A2132" t="str">
        <f t="shared" si="231"/>
        <v/>
      </c>
      <c r="B2132" t="str">
        <f t="shared" si="232"/>
        <v/>
      </c>
      <c r="C2132" t="str">
        <f t="shared" si="233"/>
        <v/>
      </c>
      <c r="D2132" t="str">
        <f t="shared" si="234"/>
        <v/>
      </c>
      <c r="E2132" t="str">
        <f>IF(F2132="","",IF(COUNTIF($F$2:F2132,F2132)&gt;1,"",SUMIFS(tbl_input[필요수량],tbl_input[집계키_센터],F2132)))</f>
        <v/>
      </c>
      <c r="F2132" t="str">
        <f>IFERROR(INDEX(tbl_input[집계키_센터],ROW()-1),"")</f>
        <v/>
      </c>
      <c r="G2132" t="str">
        <f t="shared" si="235"/>
        <v/>
      </c>
      <c r="H2132" t="str">
        <f t="shared" si="236"/>
        <v/>
      </c>
      <c r="I2132" t="str">
        <f t="shared" si="237"/>
        <v/>
      </c>
    </row>
    <row r="2133" spans="1:9" x14ac:dyDescent="0.4">
      <c r="A2133" t="str">
        <f t="shared" si="231"/>
        <v/>
      </c>
      <c r="B2133" t="str">
        <f t="shared" si="232"/>
        <v/>
      </c>
      <c r="C2133" t="str">
        <f t="shared" si="233"/>
        <v/>
      </c>
      <c r="D2133" t="str">
        <f t="shared" si="234"/>
        <v/>
      </c>
      <c r="E2133" t="str">
        <f>IF(F2133="","",IF(COUNTIF($F$2:F2133,F2133)&gt;1,"",SUMIFS(tbl_input[필요수량],tbl_input[집계키_센터],F2133)))</f>
        <v/>
      </c>
      <c r="F2133" t="str">
        <f>IFERROR(INDEX(tbl_input[집계키_센터],ROW()-1),"")</f>
        <v/>
      </c>
      <c r="G2133" t="str">
        <f t="shared" si="235"/>
        <v/>
      </c>
      <c r="H2133" t="str">
        <f t="shared" si="236"/>
        <v/>
      </c>
      <c r="I2133" t="str">
        <f t="shared" si="237"/>
        <v/>
      </c>
    </row>
    <row r="2134" spans="1:9" x14ac:dyDescent="0.4">
      <c r="A2134" t="str">
        <f t="shared" si="231"/>
        <v/>
      </c>
      <c r="B2134" t="str">
        <f t="shared" si="232"/>
        <v/>
      </c>
      <c r="C2134" t="str">
        <f t="shared" si="233"/>
        <v/>
      </c>
      <c r="D2134" t="str">
        <f t="shared" si="234"/>
        <v/>
      </c>
      <c r="E2134" t="str">
        <f>IF(F2134="","",IF(COUNTIF($F$2:F2134,F2134)&gt;1,"",SUMIFS(tbl_input[필요수량],tbl_input[집계키_센터],F2134)))</f>
        <v/>
      </c>
      <c r="F2134" t="str">
        <f>IFERROR(INDEX(tbl_input[집계키_센터],ROW()-1),"")</f>
        <v/>
      </c>
      <c r="G2134" t="str">
        <f t="shared" si="235"/>
        <v/>
      </c>
      <c r="H2134" t="str">
        <f t="shared" si="236"/>
        <v/>
      </c>
      <c r="I2134" t="str">
        <f t="shared" si="237"/>
        <v/>
      </c>
    </row>
    <row r="2135" spans="1:9" x14ac:dyDescent="0.4">
      <c r="A2135" t="str">
        <f t="shared" si="231"/>
        <v/>
      </c>
      <c r="B2135" t="str">
        <f t="shared" si="232"/>
        <v/>
      </c>
      <c r="C2135" t="str">
        <f t="shared" si="233"/>
        <v/>
      </c>
      <c r="D2135" t="str">
        <f t="shared" si="234"/>
        <v/>
      </c>
      <c r="E2135" t="str">
        <f>IF(F2135="","",IF(COUNTIF($F$2:F2135,F2135)&gt;1,"",SUMIFS(tbl_input[필요수량],tbl_input[집계키_센터],F2135)))</f>
        <v/>
      </c>
      <c r="F2135" t="str">
        <f>IFERROR(INDEX(tbl_input[집계키_센터],ROW()-1),"")</f>
        <v/>
      </c>
      <c r="G2135" t="str">
        <f t="shared" si="235"/>
        <v/>
      </c>
      <c r="H2135" t="str">
        <f t="shared" si="236"/>
        <v/>
      </c>
      <c r="I2135" t="str">
        <f t="shared" si="237"/>
        <v/>
      </c>
    </row>
    <row r="2136" spans="1:9" x14ac:dyDescent="0.4">
      <c r="A2136" t="str">
        <f t="shared" si="231"/>
        <v/>
      </c>
      <c r="B2136" t="str">
        <f t="shared" si="232"/>
        <v/>
      </c>
      <c r="C2136" t="str">
        <f t="shared" si="233"/>
        <v/>
      </c>
      <c r="D2136" t="str">
        <f t="shared" si="234"/>
        <v/>
      </c>
      <c r="E2136" t="str">
        <f>IF(F2136="","",IF(COUNTIF($F$2:F2136,F2136)&gt;1,"",SUMIFS(tbl_input[필요수량],tbl_input[집계키_센터],F2136)))</f>
        <v/>
      </c>
      <c r="F2136" t="str">
        <f>IFERROR(INDEX(tbl_input[집계키_센터],ROW()-1),"")</f>
        <v/>
      </c>
      <c r="G2136" t="str">
        <f t="shared" si="235"/>
        <v/>
      </c>
      <c r="H2136" t="str">
        <f t="shared" si="236"/>
        <v/>
      </c>
      <c r="I2136" t="str">
        <f t="shared" si="237"/>
        <v/>
      </c>
    </row>
    <row r="2137" spans="1:9" x14ac:dyDescent="0.4">
      <c r="A2137" t="str">
        <f t="shared" si="231"/>
        <v/>
      </c>
      <c r="B2137" t="str">
        <f t="shared" si="232"/>
        <v/>
      </c>
      <c r="C2137" t="str">
        <f t="shared" si="233"/>
        <v/>
      </c>
      <c r="D2137" t="str">
        <f t="shared" si="234"/>
        <v/>
      </c>
      <c r="E2137" t="str">
        <f>IF(F2137="","",IF(COUNTIF($F$2:F2137,F2137)&gt;1,"",SUMIFS(tbl_input[필요수량],tbl_input[집계키_센터],F2137)))</f>
        <v/>
      </c>
      <c r="F2137" t="str">
        <f>IFERROR(INDEX(tbl_input[집계키_센터],ROW()-1),"")</f>
        <v/>
      </c>
      <c r="G2137" t="str">
        <f t="shared" si="235"/>
        <v/>
      </c>
      <c r="H2137" t="str">
        <f t="shared" si="236"/>
        <v/>
      </c>
      <c r="I2137" t="str">
        <f t="shared" si="237"/>
        <v/>
      </c>
    </row>
    <row r="2138" spans="1:9" x14ac:dyDescent="0.4">
      <c r="A2138" t="str">
        <f t="shared" si="231"/>
        <v/>
      </c>
      <c r="B2138" t="str">
        <f t="shared" si="232"/>
        <v/>
      </c>
      <c r="C2138" t="str">
        <f t="shared" si="233"/>
        <v/>
      </c>
      <c r="D2138" t="str">
        <f t="shared" si="234"/>
        <v/>
      </c>
      <c r="E2138" t="str">
        <f>IF(F2138="","",IF(COUNTIF($F$2:F2138,F2138)&gt;1,"",SUMIFS(tbl_input[필요수량],tbl_input[집계키_센터],F2138)))</f>
        <v/>
      </c>
      <c r="F2138" t="str">
        <f>IFERROR(INDEX(tbl_input[집계키_센터],ROW()-1),"")</f>
        <v/>
      </c>
      <c r="G2138" t="str">
        <f t="shared" si="235"/>
        <v/>
      </c>
      <c r="H2138" t="str">
        <f t="shared" si="236"/>
        <v/>
      </c>
      <c r="I2138" t="str">
        <f t="shared" si="237"/>
        <v/>
      </c>
    </row>
    <row r="2139" spans="1:9" x14ac:dyDescent="0.4">
      <c r="A2139" t="str">
        <f t="shared" si="231"/>
        <v/>
      </c>
      <c r="B2139" t="str">
        <f t="shared" si="232"/>
        <v/>
      </c>
      <c r="C2139" t="str">
        <f t="shared" si="233"/>
        <v/>
      </c>
      <c r="D2139" t="str">
        <f t="shared" si="234"/>
        <v/>
      </c>
      <c r="E2139" t="str">
        <f>IF(F2139="","",IF(COUNTIF($F$2:F2139,F2139)&gt;1,"",SUMIFS(tbl_input[필요수량],tbl_input[집계키_센터],F2139)))</f>
        <v/>
      </c>
      <c r="F2139" t="str">
        <f>IFERROR(INDEX(tbl_input[집계키_센터],ROW()-1),"")</f>
        <v/>
      </c>
      <c r="G2139" t="str">
        <f t="shared" si="235"/>
        <v/>
      </c>
      <c r="H2139" t="str">
        <f t="shared" si="236"/>
        <v/>
      </c>
      <c r="I2139" t="str">
        <f t="shared" si="237"/>
        <v/>
      </c>
    </row>
    <row r="2140" spans="1:9" x14ac:dyDescent="0.4">
      <c r="A2140" t="str">
        <f t="shared" si="231"/>
        <v/>
      </c>
      <c r="B2140" t="str">
        <f t="shared" si="232"/>
        <v/>
      </c>
      <c r="C2140" t="str">
        <f t="shared" si="233"/>
        <v/>
      </c>
      <c r="D2140" t="str">
        <f t="shared" si="234"/>
        <v/>
      </c>
      <c r="E2140" t="str">
        <f>IF(F2140="","",IF(COUNTIF($F$2:F2140,F2140)&gt;1,"",SUMIFS(tbl_input[필요수량],tbl_input[집계키_센터],F2140)))</f>
        <v/>
      </c>
      <c r="F2140" t="str">
        <f>IFERROR(INDEX(tbl_input[집계키_센터],ROW()-1),"")</f>
        <v/>
      </c>
      <c r="G2140" t="str">
        <f t="shared" si="235"/>
        <v/>
      </c>
      <c r="H2140" t="str">
        <f t="shared" si="236"/>
        <v/>
      </c>
      <c r="I2140" t="str">
        <f t="shared" si="237"/>
        <v/>
      </c>
    </row>
    <row r="2141" spans="1:9" x14ac:dyDescent="0.4">
      <c r="A2141" t="str">
        <f t="shared" si="231"/>
        <v/>
      </c>
      <c r="B2141" t="str">
        <f t="shared" si="232"/>
        <v/>
      </c>
      <c r="C2141" t="str">
        <f t="shared" si="233"/>
        <v/>
      </c>
      <c r="D2141" t="str">
        <f t="shared" si="234"/>
        <v/>
      </c>
      <c r="E2141" t="str">
        <f>IF(F2141="","",IF(COUNTIF($F$2:F2141,F2141)&gt;1,"",SUMIFS(tbl_input[필요수량],tbl_input[집계키_센터],F2141)))</f>
        <v/>
      </c>
      <c r="F2141" t="str">
        <f>IFERROR(INDEX(tbl_input[집계키_센터],ROW()-1),"")</f>
        <v/>
      </c>
      <c r="G2141" t="str">
        <f t="shared" si="235"/>
        <v/>
      </c>
      <c r="H2141" t="str">
        <f t="shared" si="236"/>
        <v/>
      </c>
      <c r="I2141" t="str">
        <f t="shared" si="237"/>
        <v/>
      </c>
    </row>
    <row r="2142" spans="1:9" x14ac:dyDescent="0.4">
      <c r="A2142" t="str">
        <f t="shared" si="231"/>
        <v/>
      </c>
      <c r="B2142" t="str">
        <f t="shared" si="232"/>
        <v/>
      </c>
      <c r="C2142" t="str">
        <f t="shared" si="233"/>
        <v/>
      </c>
      <c r="D2142" t="str">
        <f t="shared" si="234"/>
        <v/>
      </c>
      <c r="E2142" t="str">
        <f>IF(F2142="","",IF(COUNTIF($F$2:F2142,F2142)&gt;1,"",SUMIFS(tbl_input[필요수량],tbl_input[집계키_센터],F2142)))</f>
        <v/>
      </c>
      <c r="F2142" t="str">
        <f>IFERROR(INDEX(tbl_input[집계키_센터],ROW()-1),"")</f>
        <v/>
      </c>
      <c r="G2142" t="str">
        <f t="shared" si="235"/>
        <v/>
      </c>
      <c r="H2142" t="str">
        <f t="shared" si="236"/>
        <v/>
      </c>
      <c r="I2142" t="str">
        <f t="shared" si="237"/>
        <v/>
      </c>
    </row>
    <row r="2143" spans="1:9" x14ac:dyDescent="0.4">
      <c r="A2143" t="str">
        <f t="shared" si="231"/>
        <v/>
      </c>
      <c r="B2143" t="str">
        <f t="shared" si="232"/>
        <v/>
      </c>
      <c r="C2143" t="str">
        <f t="shared" si="233"/>
        <v/>
      </c>
      <c r="D2143" t="str">
        <f t="shared" si="234"/>
        <v/>
      </c>
      <c r="E2143" t="str">
        <f>IF(F2143="","",IF(COUNTIF($F$2:F2143,F2143)&gt;1,"",SUMIFS(tbl_input[필요수량],tbl_input[집계키_센터],F2143)))</f>
        <v/>
      </c>
      <c r="F2143" t="str">
        <f>IFERROR(INDEX(tbl_input[집계키_센터],ROW()-1),"")</f>
        <v/>
      </c>
      <c r="G2143" t="str">
        <f t="shared" si="235"/>
        <v/>
      </c>
      <c r="H2143" t="str">
        <f t="shared" si="236"/>
        <v/>
      </c>
      <c r="I2143" t="str">
        <f t="shared" si="237"/>
        <v/>
      </c>
    </row>
    <row r="2144" spans="1:9" x14ac:dyDescent="0.4">
      <c r="A2144" t="str">
        <f t="shared" si="231"/>
        <v/>
      </c>
      <c r="B2144" t="str">
        <f t="shared" si="232"/>
        <v/>
      </c>
      <c r="C2144" t="str">
        <f t="shared" si="233"/>
        <v/>
      </c>
      <c r="D2144" t="str">
        <f t="shared" si="234"/>
        <v/>
      </c>
      <c r="E2144" t="str">
        <f>IF(F2144="","",IF(COUNTIF($F$2:F2144,F2144)&gt;1,"",SUMIFS(tbl_input[필요수량],tbl_input[집계키_센터],F2144)))</f>
        <v/>
      </c>
      <c r="F2144" t="str">
        <f>IFERROR(INDEX(tbl_input[집계키_센터],ROW()-1),"")</f>
        <v/>
      </c>
      <c r="G2144" t="str">
        <f t="shared" si="235"/>
        <v/>
      </c>
      <c r="H2144" t="str">
        <f t="shared" si="236"/>
        <v/>
      </c>
      <c r="I2144" t="str">
        <f t="shared" si="237"/>
        <v/>
      </c>
    </row>
    <row r="2145" spans="1:9" x14ac:dyDescent="0.4">
      <c r="A2145" t="str">
        <f t="shared" si="231"/>
        <v/>
      </c>
      <c r="B2145" t="str">
        <f t="shared" si="232"/>
        <v/>
      </c>
      <c r="C2145" t="str">
        <f t="shared" si="233"/>
        <v/>
      </c>
      <c r="D2145" t="str">
        <f t="shared" si="234"/>
        <v/>
      </c>
      <c r="E2145" t="str">
        <f>IF(F2145="","",IF(COUNTIF($F$2:F2145,F2145)&gt;1,"",SUMIFS(tbl_input[필요수량],tbl_input[집계키_센터],F2145)))</f>
        <v/>
      </c>
      <c r="F2145" t="str">
        <f>IFERROR(INDEX(tbl_input[집계키_센터],ROW()-1),"")</f>
        <v/>
      </c>
      <c r="G2145" t="str">
        <f t="shared" si="235"/>
        <v/>
      </c>
      <c r="H2145" t="str">
        <f t="shared" si="236"/>
        <v/>
      </c>
      <c r="I2145" t="str">
        <f t="shared" si="237"/>
        <v/>
      </c>
    </row>
    <row r="2146" spans="1:9" x14ac:dyDescent="0.4">
      <c r="A2146" t="str">
        <f t="shared" si="231"/>
        <v/>
      </c>
      <c r="B2146" t="str">
        <f t="shared" si="232"/>
        <v/>
      </c>
      <c r="C2146" t="str">
        <f t="shared" si="233"/>
        <v/>
      </c>
      <c r="D2146" t="str">
        <f t="shared" si="234"/>
        <v/>
      </c>
      <c r="E2146" t="str">
        <f>IF(F2146="","",IF(COUNTIF($F$2:F2146,F2146)&gt;1,"",SUMIFS(tbl_input[필요수량],tbl_input[집계키_센터],F2146)))</f>
        <v/>
      </c>
      <c r="F2146" t="str">
        <f>IFERROR(INDEX(tbl_input[집계키_센터],ROW()-1),"")</f>
        <v/>
      </c>
      <c r="G2146" t="str">
        <f t="shared" si="235"/>
        <v/>
      </c>
      <c r="H2146" t="str">
        <f t="shared" si="236"/>
        <v/>
      </c>
      <c r="I2146" t="str">
        <f t="shared" si="237"/>
        <v/>
      </c>
    </row>
    <row r="2147" spans="1:9" x14ac:dyDescent="0.4">
      <c r="A2147" t="str">
        <f t="shared" si="231"/>
        <v/>
      </c>
      <c r="B2147" t="str">
        <f t="shared" si="232"/>
        <v/>
      </c>
      <c r="C2147" t="str">
        <f t="shared" si="233"/>
        <v/>
      </c>
      <c r="D2147" t="str">
        <f t="shared" si="234"/>
        <v/>
      </c>
      <c r="E2147" t="str">
        <f>IF(F2147="","",IF(COUNTIF($F$2:F2147,F2147)&gt;1,"",SUMIFS(tbl_input[필요수량],tbl_input[집계키_센터],F2147)))</f>
        <v/>
      </c>
      <c r="F2147" t="str">
        <f>IFERROR(INDEX(tbl_input[집계키_센터],ROW()-1),"")</f>
        <v/>
      </c>
      <c r="G2147" t="str">
        <f t="shared" si="235"/>
        <v/>
      </c>
      <c r="H2147" t="str">
        <f t="shared" si="236"/>
        <v/>
      </c>
      <c r="I2147" t="str">
        <f t="shared" si="237"/>
        <v/>
      </c>
    </row>
    <row r="2148" spans="1:9" x14ac:dyDescent="0.4">
      <c r="A2148" t="str">
        <f t="shared" si="231"/>
        <v/>
      </c>
      <c r="B2148" t="str">
        <f t="shared" si="232"/>
        <v/>
      </c>
      <c r="C2148" t="str">
        <f t="shared" si="233"/>
        <v/>
      </c>
      <c r="D2148" t="str">
        <f t="shared" si="234"/>
        <v/>
      </c>
      <c r="E2148" t="str">
        <f>IF(F2148="","",IF(COUNTIF($F$2:F2148,F2148)&gt;1,"",SUMIFS(tbl_input[필요수량],tbl_input[집계키_센터],F2148)))</f>
        <v/>
      </c>
      <c r="F2148" t="str">
        <f>IFERROR(INDEX(tbl_input[집계키_센터],ROW()-1),"")</f>
        <v/>
      </c>
      <c r="G2148" t="str">
        <f t="shared" si="235"/>
        <v/>
      </c>
      <c r="H2148" t="str">
        <f t="shared" si="236"/>
        <v/>
      </c>
      <c r="I2148" t="str">
        <f t="shared" si="237"/>
        <v/>
      </c>
    </row>
    <row r="2149" spans="1:9" x14ac:dyDescent="0.4">
      <c r="A2149" t="str">
        <f t="shared" si="231"/>
        <v/>
      </c>
      <c r="B2149" t="str">
        <f t="shared" si="232"/>
        <v/>
      </c>
      <c r="C2149" t="str">
        <f t="shared" si="233"/>
        <v/>
      </c>
      <c r="D2149" t="str">
        <f t="shared" si="234"/>
        <v/>
      </c>
      <c r="E2149" t="str">
        <f>IF(F2149="","",IF(COUNTIF($F$2:F2149,F2149)&gt;1,"",SUMIFS(tbl_input[필요수량],tbl_input[집계키_센터],F2149)))</f>
        <v/>
      </c>
      <c r="F2149" t="str">
        <f>IFERROR(INDEX(tbl_input[집계키_센터],ROW()-1),"")</f>
        <v/>
      </c>
      <c r="G2149" t="str">
        <f t="shared" si="235"/>
        <v/>
      </c>
      <c r="H2149" t="str">
        <f t="shared" si="236"/>
        <v/>
      </c>
      <c r="I2149" t="str">
        <f t="shared" si="237"/>
        <v/>
      </c>
    </row>
    <row r="2150" spans="1:9" x14ac:dyDescent="0.4">
      <c r="A2150" t="str">
        <f t="shared" si="231"/>
        <v/>
      </c>
      <c r="B2150" t="str">
        <f t="shared" si="232"/>
        <v/>
      </c>
      <c r="C2150" t="str">
        <f t="shared" si="233"/>
        <v/>
      </c>
      <c r="D2150" t="str">
        <f t="shared" si="234"/>
        <v/>
      </c>
      <c r="E2150" t="str">
        <f>IF(F2150="","",IF(COUNTIF($F$2:F2150,F2150)&gt;1,"",SUMIFS(tbl_input[필요수량],tbl_input[집계키_센터],F2150)))</f>
        <v/>
      </c>
      <c r="F2150" t="str">
        <f>IFERROR(INDEX(tbl_input[집계키_센터],ROW()-1),"")</f>
        <v/>
      </c>
      <c r="G2150" t="str">
        <f t="shared" si="235"/>
        <v/>
      </c>
      <c r="H2150" t="str">
        <f t="shared" si="236"/>
        <v/>
      </c>
      <c r="I2150" t="str">
        <f t="shared" si="237"/>
        <v/>
      </c>
    </row>
    <row r="2151" spans="1:9" x14ac:dyDescent="0.4">
      <c r="A2151" t="str">
        <f t="shared" si="231"/>
        <v/>
      </c>
      <c r="B2151" t="str">
        <f t="shared" si="232"/>
        <v/>
      </c>
      <c r="C2151" t="str">
        <f t="shared" si="233"/>
        <v/>
      </c>
      <c r="D2151" t="str">
        <f t="shared" si="234"/>
        <v/>
      </c>
      <c r="E2151" t="str">
        <f>IF(F2151="","",IF(COUNTIF($F$2:F2151,F2151)&gt;1,"",SUMIFS(tbl_input[필요수량],tbl_input[집계키_센터],F2151)))</f>
        <v/>
      </c>
      <c r="F2151" t="str">
        <f>IFERROR(INDEX(tbl_input[집계키_센터],ROW()-1),"")</f>
        <v/>
      </c>
      <c r="G2151" t="str">
        <f t="shared" si="235"/>
        <v/>
      </c>
      <c r="H2151" t="str">
        <f t="shared" si="236"/>
        <v/>
      </c>
      <c r="I2151" t="str">
        <f t="shared" si="237"/>
        <v/>
      </c>
    </row>
    <row r="2152" spans="1:9" x14ac:dyDescent="0.4">
      <c r="A2152" t="str">
        <f t="shared" si="231"/>
        <v/>
      </c>
      <c r="B2152" t="str">
        <f t="shared" si="232"/>
        <v/>
      </c>
      <c r="C2152" t="str">
        <f t="shared" si="233"/>
        <v/>
      </c>
      <c r="D2152" t="str">
        <f t="shared" si="234"/>
        <v/>
      </c>
      <c r="E2152" t="str">
        <f>IF(F2152="","",IF(COUNTIF($F$2:F2152,F2152)&gt;1,"",SUMIFS(tbl_input[필요수량],tbl_input[집계키_센터],F2152)))</f>
        <v/>
      </c>
      <c r="F2152" t="str">
        <f>IFERROR(INDEX(tbl_input[집계키_센터],ROW()-1),"")</f>
        <v/>
      </c>
      <c r="G2152" t="str">
        <f t="shared" si="235"/>
        <v/>
      </c>
      <c r="H2152" t="str">
        <f t="shared" si="236"/>
        <v/>
      </c>
      <c r="I2152" t="str">
        <f t="shared" si="237"/>
        <v/>
      </c>
    </row>
    <row r="2153" spans="1:9" x14ac:dyDescent="0.4">
      <c r="A2153" t="str">
        <f t="shared" si="231"/>
        <v/>
      </c>
      <c r="B2153" t="str">
        <f t="shared" si="232"/>
        <v/>
      </c>
      <c r="C2153" t="str">
        <f t="shared" si="233"/>
        <v/>
      </c>
      <c r="D2153" t="str">
        <f t="shared" si="234"/>
        <v/>
      </c>
      <c r="E2153" t="str">
        <f>IF(F2153="","",IF(COUNTIF($F$2:F2153,F2153)&gt;1,"",SUMIFS(tbl_input[필요수량],tbl_input[집계키_센터],F2153)))</f>
        <v/>
      </c>
      <c r="F2153" t="str">
        <f>IFERROR(INDEX(tbl_input[집계키_센터],ROW()-1),"")</f>
        <v/>
      </c>
      <c r="G2153" t="str">
        <f t="shared" si="235"/>
        <v/>
      </c>
      <c r="H2153" t="str">
        <f t="shared" si="236"/>
        <v/>
      </c>
      <c r="I2153" t="str">
        <f t="shared" si="237"/>
        <v/>
      </c>
    </row>
    <row r="2154" spans="1:9" x14ac:dyDescent="0.4">
      <c r="A2154" t="str">
        <f t="shared" si="231"/>
        <v/>
      </c>
      <c r="B2154" t="str">
        <f t="shared" si="232"/>
        <v/>
      </c>
      <c r="C2154" t="str">
        <f t="shared" si="233"/>
        <v/>
      </c>
      <c r="D2154" t="str">
        <f t="shared" si="234"/>
        <v/>
      </c>
      <c r="E2154" t="str">
        <f>IF(F2154="","",IF(COUNTIF($F$2:F2154,F2154)&gt;1,"",SUMIFS(tbl_input[필요수량],tbl_input[집계키_센터],F2154)))</f>
        <v/>
      </c>
      <c r="F2154" t="str">
        <f>IFERROR(INDEX(tbl_input[집계키_센터],ROW()-1),"")</f>
        <v/>
      </c>
      <c r="G2154" t="str">
        <f t="shared" si="235"/>
        <v/>
      </c>
      <c r="H2154" t="str">
        <f t="shared" si="236"/>
        <v/>
      </c>
      <c r="I2154" t="str">
        <f t="shared" si="237"/>
        <v/>
      </c>
    </row>
    <row r="2155" spans="1:9" x14ac:dyDescent="0.4">
      <c r="A2155" t="str">
        <f t="shared" si="231"/>
        <v/>
      </c>
      <c r="B2155" t="str">
        <f t="shared" si="232"/>
        <v/>
      </c>
      <c r="C2155" t="str">
        <f t="shared" si="233"/>
        <v/>
      </c>
      <c r="D2155" t="str">
        <f t="shared" si="234"/>
        <v/>
      </c>
      <c r="E2155" t="str">
        <f>IF(F2155="","",IF(COUNTIF($F$2:F2155,F2155)&gt;1,"",SUMIFS(tbl_input[필요수량],tbl_input[집계키_센터],F2155)))</f>
        <v/>
      </c>
      <c r="F2155" t="str">
        <f>IFERROR(INDEX(tbl_input[집계키_센터],ROW()-1),"")</f>
        <v/>
      </c>
      <c r="G2155" t="str">
        <f t="shared" si="235"/>
        <v/>
      </c>
      <c r="H2155" t="str">
        <f t="shared" si="236"/>
        <v/>
      </c>
      <c r="I2155" t="str">
        <f t="shared" si="237"/>
        <v/>
      </c>
    </row>
    <row r="2156" spans="1:9" x14ac:dyDescent="0.4">
      <c r="A2156" t="str">
        <f t="shared" si="231"/>
        <v/>
      </c>
      <c r="B2156" t="str">
        <f t="shared" si="232"/>
        <v/>
      </c>
      <c r="C2156" t="str">
        <f t="shared" si="233"/>
        <v/>
      </c>
      <c r="D2156" t="str">
        <f t="shared" si="234"/>
        <v/>
      </c>
      <c r="E2156" t="str">
        <f>IF(F2156="","",IF(COUNTIF($F$2:F2156,F2156)&gt;1,"",SUMIFS(tbl_input[필요수량],tbl_input[집계키_센터],F2156)))</f>
        <v/>
      </c>
      <c r="F2156" t="str">
        <f>IFERROR(INDEX(tbl_input[집계키_센터],ROW()-1),"")</f>
        <v/>
      </c>
      <c r="G2156" t="str">
        <f t="shared" si="235"/>
        <v/>
      </c>
      <c r="H2156" t="str">
        <f t="shared" si="236"/>
        <v/>
      </c>
      <c r="I2156" t="str">
        <f t="shared" si="237"/>
        <v/>
      </c>
    </row>
    <row r="2157" spans="1:9" x14ac:dyDescent="0.4">
      <c r="A2157" t="str">
        <f t="shared" si="231"/>
        <v/>
      </c>
      <c r="B2157" t="str">
        <f t="shared" si="232"/>
        <v/>
      </c>
      <c r="C2157" t="str">
        <f t="shared" si="233"/>
        <v/>
      </c>
      <c r="D2157" t="str">
        <f t="shared" si="234"/>
        <v/>
      </c>
      <c r="E2157" t="str">
        <f>IF(F2157="","",IF(COUNTIF($F$2:F2157,F2157)&gt;1,"",SUMIFS(tbl_input[필요수량],tbl_input[집계키_센터],F2157)))</f>
        <v/>
      </c>
      <c r="F2157" t="str">
        <f>IFERROR(INDEX(tbl_input[집계키_센터],ROW()-1),"")</f>
        <v/>
      </c>
      <c r="G2157" t="str">
        <f t="shared" si="235"/>
        <v/>
      </c>
      <c r="H2157" t="str">
        <f t="shared" si="236"/>
        <v/>
      </c>
      <c r="I2157" t="str">
        <f t="shared" si="237"/>
        <v/>
      </c>
    </row>
    <row r="2158" spans="1:9" x14ac:dyDescent="0.4">
      <c r="A2158" t="str">
        <f t="shared" si="231"/>
        <v/>
      </c>
      <c r="B2158" t="str">
        <f t="shared" si="232"/>
        <v/>
      </c>
      <c r="C2158" t="str">
        <f t="shared" si="233"/>
        <v/>
      </c>
      <c r="D2158" t="str">
        <f t="shared" si="234"/>
        <v/>
      </c>
      <c r="E2158" t="str">
        <f>IF(F2158="","",IF(COUNTIF($F$2:F2158,F2158)&gt;1,"",SUMIFS(tbl_input[필요수량],tbl_input[집계키_센터],F2158)))</f>
        <v/>
      </c>
      <c r="F2158" t="str">
        <f>IFERROR(INDEX(tbl_input[집계키_센터],ROW()-1),"")</f>
        <v/>
      </c>
      <c r="G2158" t="str">
        <f t="shared" si="235"/>
        <v/>
      </c>
      <c r="H2158" t="str">
        <f t="shared" si="236"/>
        <v/>
      </c>
      <c r="I2158" t="str">
        <f t="shared" si="237"/>
        <v/>
      </c>
    </row>
    <row r="2159" spans="1:9" x14ac:dyDescent="0.4">
      <c r="A2159" t="str">
        <f t="shared" si="231"/>
        <v/>
      </c>
      <c r="B2159" t="str">
        <f t="shared" si="232"/>
        <v/>
      </c>
      <c r="C2159" t="str">
        <f t="shared" si="233"/>
        <v/>
      </c>
      <c r="D2159" t="str">
        <f t="shared" si="234"/>
        <v/>
      </c>
      <c r="E2159" t="str">
        <f>IF(F2159="","",IF(COUNTIF($F$2:F2159,F2159)&gt;1,"",SUMIFS(tbl_input[필요수량],tbl_input[집계키_센터],F2159)))</f>
        <v/>
      </c>
      <c r="F2159" t="str">
        <f>IFERROR(INDEX(tbl_input[집계키_센터],ROW()-1),"")</f>
        <v/>
      </c>
      <c r="G2159" t="str">
        <f t="shared" si="235"/>
        <v/>
      </c>
      <c r="H2159" t="str">
        <f t="shared" si="236"/>
        <v/>
      </c>
      <c r="I2159" t="str">
        <f t="shared" si="237"/>
        <v/>
      </c>
    </row>
    <row r="2160" spans="1:9" x14ac:dyDescent="0.4">
      <c r="A2160" t="str">
        <f t="shared" si="231"/>
        <v/>
      </c>
      <c r="B2160" t="str">
        <f t="shared" si="232"/>
        <v/>
      </c>
      <c r="C2160" t="str">
        <f t="shared" si="233"/>
        <v/>
      </c>
      <c r="D2160" t="str">
        <f t="shared" si="234"/>
        <v/>
      </c>
      <c r="E2160" t="str">
        <f>IF(F2160="","",IF(COUNTIF($F$2:F2160,F2160)&gt;1,"",SUMIFS(tbl_input[필요수량],tbl_input[집계키_센터],F2160)))</f>
        <v/>
      </c>
      <c r="F2160" t="str">
        <f>IFERROR(INDEX(tbl_input[집계키_센터],ROW()-1),"")</f>
        <v/>
      </c>
      <c r="G2160" t="str">
        <f t="shared" si="235"/>
        <v/>
      </c>
      <c r="H2160" t="str">
        <f t="shared" si="236"/>
        <v/>
      </c>
      <c r="I2160" t="str">
        <f t="shared" si="237"/>
        <v/>
      </c>
    </row>
    <row r="2161" spans="1:9" x14ac:dyDescent="0.4">
      <c r="A2161" t="str">
        <f t="shared" si="231"/>
        <v/>
      </c>
      <c r="B2161" t="str">
        <f t="shared" si="232"/>
        <v/>
      </c>
      <c r="C2161" t="str">
        <f t="shared" si="233"/>
        <v/>
      </c>
      <c r="D2161" t="str">
        <f t="shared" si="234"/>
        <v/>
      </c>
      <c r="E2161" t="str">
        <f>IF(F2161="","",IF(COUNTIF($F$2:F2161,F2161)&gt;1,"",SUMIFS(tbl_input[필요수량],tbl_input[집계키_센터],F2161)))</f>
        <v/>
      </c>
      <c r="F2161" t="str">
        <f>IFERROR(INDEX(tbl_input[집계키_센터],ROW()-1),"")</f>
        <v/>
      </c>
      <c r="G2161" t="str">
        <f t="shared" si="235"/>
        <v/>
      </c>
      <c r="H2161" t="str">
        <f t="shared" si="236"/>
        <v/>
      </c>
      <c r="I2161" t="str">
        <f t="shared" si="237"/>
        <v/>
      </c>
    </row>
    <row r="2162" spans="1:9" x14ac:dyDescent="0.4">
      <c r="A2162" t="str">
        <f t="shared" si="231"/>
        <v/>
      </c>
      <c r="B2162" t="str">
        <f t="shared" si="232"/>
        <v/>
      </c>
      <c r="C2162" t="str">
        <f t="shared" si="233"/>
        <v/>
      </c>
      <c r="D2162" t="str">
        <f t="shared" si="234"/>
        <v/>
      </c>
      <c r="E2162" t="str">
        <f>IF(F2162="","",IF(COUNTIF($F$2:F2162,F2162)&gt;1,"",SUMIFS(tbl_input[필요수량],tbl_input[집계키_센터],F2162)))</f>
        <v/>
      </c>
      <c r="F2162" t="str">
        <f>IFERROR(INDEX(tbl_input[집계키_센터],ROW()-1),"")</f>
        <v/>
      </c>
      <c r="G2162" t="str">
        <f t="shared" si="235"/>
        <v/>
      </c>
      <c r="H2162" t="str">
        <f t="shared" si="236"/>
        <v/>
      </c>
      <c r="I2162" t="str">
        <f t="shared" si="237"/>
        <v/>
      </c>
    </row>
    <row r="2163" spans="1:9" x14ac:dyDescent="0.4">
      <c r="A2163" t="str">
        <f t="shared" si="231"/>
        <v/>
      </c>
      <c r="B2163" t="str">
        <f t="shared" si="232"/>
        <v/>
      </c>
      <c r="C2163" t="str">
        <f t="shared" si="233"/>
        <v/>
      </c>
      <c r="D2163" t="str">
        <f t="shared" si="234"/>
        <v/>
      </c>
      <c r="E2163" t="str">
        <f>IF(F2163="","",IF(COUNTIF($F$2:F2163,F2163)&gt;1,"",SUMIFS(tbl_input[필요수량],tbl_input[집계키_센터],F2163)))</f>
        <v/>
      </c>
      <c r="F2163" t="str">
        <f>IFERROR(INDEX(tbl_input[집계키_센터],ROW()-1),"")</f>
        <v/>
      </c>
      <c r="G2163" t="str">
        <f t="shared" si="235"/>
        <v/>
      </c>
      <c r="H2163" t="str">
        <f t="shared" si="236"/>
        <v/>
      </c>
      <c r="I2163" t="str">
        <f t="shared" si="237"/>
        <v/>
      </c>
    </row>
    <row r="2164" spans="1:9" x14ac:dyDescent="0.4">
      <c r="A2164" t="str">
        <f t="shared" si="231"/>
        <v/>
      </c>
      <c r="B2164" t="str">
        <f t="shared" si="232"/>
        <v/>
      </c>
      <c r="C2164" t="str">
        <f t="shared" si="233"/>
        <v/>
      </c>
      <c r="D2164" t="str">
        <f t="shared" si="234"/>
        <v/>
      </c>
      <c r="E2164" t="str">
        <f>IF(F2164="","",IF(COUNTIF($F$2:F2164,F2164)&gt;1,"",SUMIFS(tbl_input[필요수량],tbl_input[집계키_센터],F2164)))</f>
        <v/>
      </c>
      <c r="F2164" t="str">
        <f>IFERROR(INDEX(tbl_input[집계키_센터],ROW()-1),"")</f>
        <v/>
      </c>
      <c r="G2164" t="str">
        <f t="shared" si="235"/>
        <v/>
      </c>
      <c r="H2164" t="str">
        <f t="shared" si="236"/>
        <v/>
      </c>
      <c r="I2164" t="str">
        <f t="shared" si="237"/>
        <v/>
      </c>
    </row>
    <row r="2165" spans="1:9" x14ac:dyDescent="0.4">
      <c r="A2165" t="str">
        <f t="shared" si="231"/>
        <v/>
      </c>
      <c r="B2165" t="str">
        <f t="shared" si="232"/>
        <v/>
      </c>
      <c r="C2165" t="str">
        <f t="shared" si="233"/>
        <v/>
      </c>
      <c r="D2165" t="str">
        <f t="shared" si="234"/>
        <v/>
      </c>
      <c r="E2165" t="str">
        <f>IF(F2165="","",IF(COUNTIF($F$2:F2165,F2165)&gt;1,"",SUMIFS(tbl_input[필요수량],tbl_input[집계키_센터],F2165)))</f>
        <v/>
      </c>
      <c r="F2165" t="str">
        <f>IFERROR(INDEX(tbl_input[집계키_센터],ROW()-1),"")</f>
        <v/>
      </c>
      <c r="G2165" t="str">
        <f t="shared" si="235"/>
        <v/>
      </c>
      <c r="H2165" t="str">
        <f t="shared" si="236"/>
        <v/>
      </c>
      <c r="I2165" t="str">
        <f t="shared" si="237"/>
        <v/>
      </c>
    </row>
    <row r="2166" spans="1:9" x14ac:dyDescent="0.4">
      <c r="A2166" t="str">
        <f t="shared" si="231"/>
        <v/>
      </c>
      <c r="B2166" t="str">
        <f t="shared" si="232"/>
        <v/>
      </c>
      <c r="C2166" t="str">
        <f t="shared" si="233"/>
        <v/>
      </c>
      <c r="D2166" t="str">
        <f t="shared" si="234"/>
        <v/>
      </c>
      <c r="E2166" t="str">
        <f>IF(F2166="","",IF(COUNTIF($F$2:F2166,F2166)&gt;1,"",SUMIFS(tbl_input[필요수량],tbl_input[집계키_센터],F2166)))</f>
        <v/>
      </c>
      <c r="F2166" t="str">
        <f>IFERROR(INDEX(tbl_input[집계키_센터],ROW()-1),"")</f>
        <v/>
      </c>
      <c r="G2166" t="str">
        <f t="shared" si="235"/>
        <v/>
      </c>
      <c r="H2166" t="str">
        <f t="shared" si="236"/>
        <v/>
      </c>
      <c r="I2166" t="str">
        <f t="shared" si="237"/>
        <v/>
      </c>
    </row>
    <row r="2167" spans="1:9" x14ac:dyDescent="0.4">
      <c r="A2167" t="str">
        <f t="shared" si="231"/>
        <v/>
      </c>
      <c r="B2167" t="str">
        <f t="shared" si="232"/>
        <v/>
      </c>
      <c r="C2167" t="str">
        <f t="shared" si="233"/>
        <v/>
      </c>
      <c r="D2167" t="str">
        <f t="shared" si="234"/>
        <v/>
      </c>
      <c r="E2167" t="str">
        <f>IF(F2167="","",IF(COUNTIF($F$2:F2167,F2167)&gt;1,"",SUMIFS(tbl_input[필요수량],tbl_input[집계키_센터],F2167)))</f>
        <v/>
      </c>
      <c r="F2167" t="str">
        <f>IFERROR(INDEX(tbl_input[집계키_센터],ROW()-1),"")</f>
        <v/>
      </c>
      <c r="G2167" t="str">
        <f t="shared" si="235"/>
        <v/>
      </c>
      <c r="H2167" t="str">
        <f t="shared" si="236"/>
        <v/>
      </c>
      <c r="I2167" t="str">
        <f t="shared" si="237"/>
        <v/>
      </c>
    </row>
    <row r="2168" spans="1:9" x14ac:dyDescent="0.4">
      <c r="A2168" t="str">
        <f t="shared" si="231"/>
        <v/>
      </c>
      <c r="B2168" t="str">
        <f t="shared" si="232"/>
        <v/>
      </c>
      <c r="C2168" t="str">
        <f t="shared" si="233"/>
        <v/>
      </c>
      <c r="D2168" t="str">
        <f t="shared" si="234"/>
        <v/>
      </c>
      <c r="E2168" t="str">
        <f>IF(F2168="","",IF(COUNTIF($F$2:F2168,F2168)&gt;1,"",SUMIFS(tbl_input[필요수량],tbl_input[집계키_센터],F2168)))</f>
        <v/>
      </c>
      <c r="F2168" t="str">
        <f>IFERROR(INDEX(tbl_input[집계키_센터],ROW()-1),"")</f>
        <v/>
      </c>
      <c r="G2168" t="str">
        <f t="shared" si="235"/>
        <v/>
      </c>
      <c r="H2168" t="str">
        <f t="shared" si="236"/>
        <v/>
      </c>
      <c r="I2168" t="str">
        <f t="shared" si="237"/>
        <v/>
      </c>
    </row>
    <row r="2169" spans="1:9" x14ac:dyDescent="0.4">
      <c r="A2169" t="str">
        <f t="shared" si="231"/>
        <v/>
      </c>
      <c r="B2169" t="str">
        <f t="shared" si="232"/>
        <v/>
      </c>
      <c r="C2169" t="str">
        <f t="shared" si="233"/>
        <v/>
      </c>
      <c r="D2169" t="str">
        <f t="shared" si="234"/>
        <v/>
      </c>
      <c r="E2169" t="str">
        <f>IF(F2169="","",IF(COUNTIF($F$2:F2169,F2169)&gt;1,"",SUMIFS(tbl_input[필요수량],tbl_input[집계키_센터],F2169)))</f>
        <v/>
      </c>
      <c r="F2169" t="str">
        <f>IFERROR(INDEX(tbl_input[집계키_센터],ROW()-1),"")</f>
        <v/>
      </c>
      <c r="G2169" t="str">
        <f t="shared" si="235"/>
        <v/>
      </c>
      <c r="H2169" t="str">
        <f t="shared" si="236"/>
        <v/>
      </c>
      <c r="I2169" t="str">
        <f t="shared" si="237"/>
        <v/>
      </c>
    </row>
    <row r="2170" spans="1:9" x14ac:dyDescent="0.4">
      <c r="A2170" t="str">
        <f t="shared" si="231"/>
        <v/>
      </c>
      <c r="B2170" t="str">
        <f t="shared" si="232"/>
        <v/>
      </c>
      <c r="C2170" t="str">
        <f t="shared" si="233"/>
        <v/>
      </c>
      <c r="D2170" t="str">
        <f t="shared" si="234"/>
        <v/>
      </c>
      <c r="E2170" t="str">
        <f>IF(F2170="","",IF(COUNTIF($F$2:F2170,F2170)&gt;1,"",SUMIFS(tbl_input[필요수량],tbl_input[집계키_센터],F2170)))</f>
        <v/>
      </c>
      <c r="F2170" t="str">
        <f>IFERROR(INDEX(tbl_input[집계키_센터],ROW()-1),"")</f>
        <v/>
      </c>
      <c r="G2170" t="str">
        <f t="shared" si="235"/>
        <v/>
      </c>
      <c r="H2170" t="str">
        <f t="shared" si="236"/>
        <v/>
      </c>
      <c r="I2170" t="str">
        <f t="shared" si="237"/>
        <v/>
      </c>
    </row>
    <row r="2171" spans="1:9" x14ac:dyDescent="0.4">
      <c r="A2171" t="str">
        <f t="shared" si="231"/>
        <v/>
      </c>
      <c r="B2171" t="str">
        <f t="shared" si="232"/>
        <v/>
      </c>
      <c r="C2171" t="str">
        <f t="shared" si="233"/>
        <v/>
      </c>
      <c r="D2171" t="str">
        <f t="shared" si="234"/>
        <v/>
      </c>
      <c r="E2171" t="str">
        <f>IF(F2171="","",IF(COUNTIF($F$2:F2171,F2171)&gt;1,"",SUMIFS(tbl_input[필요수량],tbl_input[집계키_센터],F2171)))</f>
        <v/>
      </c>
      <c r="F2171" t="str">
        <f>IFERROR(INDEX(tbl_input[집계키_센터],ROW()-1),"")</f>
        <v/>
      </c>
      <c r="G2171" t="str">
        <f t="shared" si="235"/>
        <v/>
      </c>
      <c r="H2171" t="str">
        <f t="shared" si="236"/>
        <v/>
      </c>
      <c r="I2171" t="str">
        <f t="shared" si="237"/>
        <v/>
      </c>
    </row>
    <row r="2172" spans="1:9" x14ac:dyDescent="0.4">
      <c r="A2172" t="str">
        <f t="shared" si="231"/>
        <v/>
      </c>
      <c r="B2172" t="str">
        <f t="shared" si="232"/>
        <v/>
      </c>
      <c r="C2172" t="str">
        <f t="shared" si="233"/>
        <v/>
      </c>
      <c r="D2172" t="str">
        <f t="shared" si="234"/>
        <v/>
      </c>
      <c r="E2172" t="str">
        <f>IF(F2172="","",IF(COUNTIF($F$2:F2172,F2172)&gt;1,"",SUMIFS(tbl_input[필요수량],tbl_input[집계키_센터],F2172)))</f>
        <v/>
      </c>
      <c r="F2172" t="str">
        <f>IFERROR(INDEX(tbl_input[집계키_센터],ROW()-1),"")</f>
        <v/>
      </c>
      <c r="G2172" t="str">
        <f t="shared" si="235"/>
        <v/>
      </c>
      <c r="H2172" t="str">
        <f t="shared" si="236"/>
        <v/>
      </c>
      <c r="I2172" t="str">
        <f t="shared" si="237"/>
        <v/>
      </c>
    </row>
    <row r="2173" spans="1:9" x14ac:dyDescent="0.4">
      <c r="A2173" t="str">
        <f t="shared" si="231"/>
        <v/>
      </c>
      <c r="B2173" t="str">
        <f t="shared" si="232"/>
        <v/>
      </c>
      <c r="C2173" t="str">
        <f t="shared" si="233"/>
        <v/>
      </c>
      <c r="D2173" t="str">
        <f t="shared" si="234"/>
        <v/>
      </c>
      <c r="E2173" t="str">
        <f>IF(F2173="","",IF(COUNTIF($F$2:F2173,F2173)&gt;1,"",SUMIFS(tbl_input[필요수량],tbl_input[집계키_센터],F2173)))</f>
        <v/>
      </c>
      <c r="F2173" t="str">
        <f>IFERROR(INDEX(tbl_input[집계키_센터],ROW()-1),"")</f>
        <v/>
      </c>
      <c r="G2173" t="str">
        <f t="shared" si="235"/>
        <v/>
      </c>
      <c r="H2173" t="str">
        <f t="shared" si="236"/>
        <v/>
      </c>
      <c r="I2173" t="str">
        <f t="shared" si="237"/>
        <v/>
      </c>
    </row>
    <row r="2174" spans="1:9" x14ac:dyDescent="0.4">
      <c r="A2174" t="str">
        <f t="shared" si="231"/>
        <v/>
      </c>
      <c r="B2174" t="str">
        <f t="shared" si="232"/>
        <v/>
      </c>
      <c r="C2174" t="str">
        <f t="shared" si="233"/>
        <v/>
      </c>
      <c r="D2174" t="str">
        <f t="shared" si="234"/>
        <v/>
      </c>
      <c r="E2174" t="str">
        <f>IF(F2174="","",IF(COUNTIF($F$2:F2174,F2174)&gt;1,"",SUMIFS(tbl_input[필요수량],tbl_input[집계키_센터],F2174)))</f>
        <v/>
      </c>
      <c r="F2174" t="str">
        <f>IFERROR(INDEX(tbl_input[집계키_센터],ROW()-1),"")</f>
        <v/>
      </c>
      <c r="G2174" t="str">
        <f t="shared" si="235"/>
        <v/>
      </c>
      <c r="H2174" t="str">
        <f t="shared" si="236"/>
        <v/>
      </c>
      <c r="I2174" t="str">
        <f t="shared" si="237"/>
        <v/>
      </c>
    </row>
    <row r="2175" spans="1:9" x14ac:dyDescent="0.4">
      <c r="A2175" t="str">
        <f t="shared" si="231"/>
        <v/>
      </c>
      <c r="B2175" t="str">
        <f t="shared" si="232"/>
        <v/>
      </c>
      <c r="C2175" t="str">
        <f t="shared" si="233"/>
        <v/>
      </c>
      <c r="D2175" t="str">
        <f t="shared" si="234"/>
        <v/>
      </c>
      <c r="E2175" t="str">
        <f>IF(F2175="","",IF(COUNTIF($F$2:F2175,F2175)&gt;1,"",SUMIFS(tbl_input[필요수량],tbl_input[집계키_센터],F2175)))</f>
        <v/>
      </c>
      <c r="F2175" t="str">
        <f>IFERROR(INDEX(tbl_input[집계키_센터],ROW()-1),"")</f>
        <v/>
      </c>
      <c r="G2175" t="str">
        <f t="shared" si="235"/>
        <v/>
      </c>
      <c r="H2175" t="str">
        <f t="shared" si="236"/>
        <v/>
      </c>
      <c r="I2175" t="str">
        <f t="shared" si="237"/>
        <v/>
      </c>
    </row>
    <row r="2176" spans="1:9" x14ac:dyDescent="0.4">
      <c r="A2176" t="str">
        <f t="shared" si="231"/>
        <v/>
      </c>
      <c r="B2176" t="str">
        <f t="shared" si="232"/>
        <v/>
      </c>
      <c r="C2176" t="str">
        <f t="shared" si="233"/>
        <v/>
      </c>
      <c r="D2176" t="str">
        <f t="shared" si="234"/>
        <v/>
      </c>
      <c r="E2176" t="str">
        <f>IF(F2176="","",IF(COUNTIF($F$2:F2176,F2176)&gt;1,"",SUMIFS(tbl_input[필요수량],tbl_input[집계키_센터],F2176)))</f>
        <v/>
      </c>
      <c r="F2176" t="str">
        <f>IFERROR(INDEX(tbl_input[집계키_센터],ROW()-1),"")</f>
        <v/>
      </c>
      <c r="G2176" t="str">
        <f t="shared" si="235"/>
        <v/>
      </c>
      <c r="H2176" t="str">
        <f t="shared" si="236"/>
        <v/>
      </c>
      <c r="I2176" t="str">
        <f t="shared" si="237"/>
        <v/>
      </c>
    </row>
    <row r="2177" spans="1:9" x14ac:dyDescent="0.4">
      <c r="A2177" t="str">
        <f t="shared" si="231"/>
        <v/>
      </c>
      <c r="B2177" t="str">
        <f t="shared" si="232"/>
        <v/>
      </c>
      <c r="C2177" t="str">
        <f t="shared" si="233"/>
        <v/>
      </c>
      <c r="D2177" t="str">
        <f t="shared" si="234"/>
        <v/>
      </c>
      <c r="E2177" t="str">
        <f>IF(F2177="","",IF(COUNTIF($F$2:F2177,F2177)&gt;1,"",SUMIFS(tbl_input[필요수량],tbl_input[집계키_센터],F2177)))</f>
        <v/>
      </c>
      <c r="F2177" t="str">
        <f>IFERROR(INDEX(tbl_input[집계키_센터],ROW()-1),"")</f>
        <v/>
      </c>
      <c r="G2177" t="str">
        <f t="shared" si="235"/>
        <v/>
      </c>
      <c r="H2177" t="str">
        <f t="shared" si="236"/>
        <v/>
      </c>
      <c r="I2177" t="str">
        <f t="shared" si="237"/>
        <v/>
      </c>
    </row>
    <row r="2178" spans="1:9" x14ac:dyDescent="0.4">
      <c r="A2178" t="str">
        <f t="shared" ref="A2178:A2241" si="238">IF(F2178="","",LEFT(F2178,G2178-1))</f>
        <v/>
      </c>
      <c r="B2178" t="str">
        <f t="shared" ref="B2178:B2241" si="239">IF(F2178="","",MID(F2178,G2178+1,H2178-G2178-1))</f>
        <v/>
      </c>
      <c r="C2178" t="str">
        <f t="shared" ref="C2178:C2241" si="240">IF(F2178="","",MID(F2178,H2178+1,I2178-H2178-1))</f>
        <v/>
      </c>
      <c r="D2178" t="str">
        <f t="shared" ref="D2178:D2241" si="241">IF(F2178="","",MID(F2178,I2178+1,999))</f>
        <v/>
      </c>
      <c r="E2178" t="str">
        <f>IF(F2178="","",IF(COUNTIF($F$2:F2178,F2178)&gt;1,"",SUMIFS(tbl_input[필요수량],tbl_input[집계키_센터],F2178)))</f>
        <v/>
      </c>
      <c r="F2178" t="str">
        <f>IFERROR(INDEX(tbl_input[집계키_센터],ROW()-1),"")</f>
        <v/>
      </c>
      <c r="G2178" t="str">
        <f t="shared" ref="G2178:G2241" si="242">IF(F2178="","",FIND("♦",F2178))</f>
        <v/>
      </c>
      <c r="H2178" t="str">
        <f t="shared" ref="H2178:H2241" si="243">IF(F2178="","",FIND("♦",F2178,G2178+1))</f>
        <v/>
      </c>
      <c r="I2178" t="str">
        <f t="shared" ref="I2178:I2241" si="244">IF(F2178="","",FIND("♦",F2178,H2178+1))</f>
        <v/>
      </c>
    </row>
    <row r="2179" spans="1:9" x14ac:dyDescent="0.4">
      <c r="A2179" t="str">
        <f t="shared" si="238"/>
        <v/>
      </c>
      <c r="B2179" t="str">
        <f t="shared" si="239"/>
        <v/>
      </c>
      <c r="C2179" t="str">
        <f t="shared" si="240"/>
        <v/>
      </c>
      <c r="D2179" t="str">
        <f t="shared" si="241"/>
        <v/>
      </c>
      <c r="E2179" t="str">
        <f>IF(F2179="","",IF(COUNTIF($F$2:F2179,F2179)&gt;1,"",SUMIFS(tbl_input[필요수량],tbl_input[집계키_센터],F2179)))</f>
        <v/>
      </c>
      <c r="F2179" t="str">
        <f>IFERROR(INDEX(tbl_input[집계키_센터],ROW()-1),"")</f>
        <v/>
      </c>
      <c r="G2179" t="str">
        <f t="shared" si="242"/>
        <v/>
      </c>
      <c r="H2179" t="str">
        <f t="shared" si="243"/>
        <v/>
      </c>
      <c r="I2179" t="str">
        <f t="shared" si="244"/>
        <v/>
      </c>
    </row>
    <row r="2180" spans="1:9" x14ac:dyDescent="0.4">
      <c r="A2180" t="str">
        <f t="shared" si="238"/>
        <v/>
      </c>
      <c r="B2180" t="str">
        <f t="shared" si="239"/>
        <v/>
      </c>
      <c r="C2180" t="str">
        <f t="shared" si="240"/>
        <v/>
      </c>
      <c r="D2180" t="str">
        <f t="shared" si="241"/>
        <v/>
      </c>
      <c r="E2180" t="str">
        <f>IF(F2180="","",IF(COUNTIF($F$2:F2180,F2180)&gt;1,"",SUMIFS(tbl_input[필요수량],tbl_input[집계키_센터],F2180)))</f>
        <v/>
      </c>
      <c r="F2180" t="str">
        <f>IFERROR(INDEX(tbl_input[집계키_센터],ROW()-1),"")</f>
        <v/>
      </c>
      <c r="G2180" t="str">
        <f t="shared" si="242"/>
        <v/>
      </c>
      <c r="H2180" t="str">
        <f t="shared" si="243"/>
        <v/>
      </c>
      <c r="I2180" t="str">
        <f t="shared" si="244"/>
        <v/>
      </c>
    </row>
    <row r="2181" spans="1:9" x14ac:dyDescent="0.4">
      <c r="A2181" t="str">
        <f t="shared" si="238"/>
        <v/>
      </c>
      <c r="B2181" t="str">
        <f t="shared" si="239"/>
        <v/>
      </c>
      <c r="C2181" t="str">
        <f t="shared" si="240"/>
        <v/>
      </c>
      <c r="D2181" t="str">
        <f t="shared" si="241"/>
        <v/>
      </c>
      <c r="E2181" t="str">
        <f>IF(F2181="","",IF(COUNTIF($F$2:F2181,F2181)&gt;1,"",SUMIFS(tbl_input[필요수량],tbl_input[집계키_센터],F2181)))</f>
        <v/>
      </c>
      <c r="F2181" t="str">
        <f>IFERROR(INDEX(tbl_input[집계키_센터],ROW()-1),"")</f>
        <v/>
      </c>
      <c r="G2181" t="str">
        <f t="shared" si="242"/>
        <v/>
      </c>
      <c r="H2181" t="str">
        <f t="shared" si="243"/>
        <v/>
      </c>
      <c r="I2181" t="str">
        <f t="shared" si="244"/>
        <v/>
      </c>
    </row>
    <row r="2182" spans="1:9" x14ac:dyDescent="0.4">
      <c r="A2182" t="str">
        <f t="shared" si="238"/>
        <v/>
      </c>
      <c r="B2182" t="str">
        <f t="shared" si="239"/>
        <v/>
      </c>
      <c r="C2182" t="str">
        <f t="shared" si="240"/>
        <v/>
      </c>
      <c r="D2182" t="str">
        <f t="shared" si="241"/>
        <v/>
      </c>
      <c r="E2182" t="str">
        <f>IF(F2182="","",IF(COUNTIF($F$2:F2182,F2182)&gt;1,"",SUMIFS(tbl_input[필요수량],tbl_input[집계키_센터],F2182)))</f>
        <v/>
      </c>
      <c r="F2182" t="str">
        <f>IFERROR(INDEX(tbl_input[집계키_센터],ROW()-1),"")</f>
        <v/>
      </c>
      <c r="G2182" t="str">
        <f t="shared" si="242"/>
        <v/>
      </c>
      <c r="H2182" t="str">
        <f t="shared" si="243"/>
        <v/>
      </c>
      <c r="I2182" t="str">
        <f t="shared" si="244"/>
        <v/>
      </c>
    </row>
    <row r="2183" spans="1:9" x14ac:dyDescent="0.4">
      <c r="A2183" t="str">
        <f t="shared" si="238"/>
        <v/>
      </c>
      <c r="B2183" t="str">
        <f t="shared" si="239"/>
        <v/>
      </c>
      <c r="C2183" t="str">
        <f t="shared" si="240"/>
        <v/>
      </c>
      <c r="D2183" t="str">
        <f t="shared" si="241"/>
        <v/>
      </c>
      <c r="E2183" t="str">
        <f>IF(F2183="","",IF(COUNTIF($F$2:F2183,F2183)&gt;1,"",SUMIFS(tbl_input[필요수량],tbl_input[집계키_센터],F2183)))</f>
        <v/>
      </c>
      <c r="F2183" t="str">
        <f>IFERROR(INDEX(tbl_input[집계키_센터],ROW()-1),"")</f>
        <v/>
      </c>
      <c r="G2183" t="str">
        <f t="shared" si="242"/>
        <v/>
      </c>
      <c r="H2183" t="str">
        <f t="shared" si="243"/>
        <v/>
      </c>
      <c r="I2183" t="str">
        <f t="shared" si="244"/>
        <v/>
      </c>
    </row>
    <row r="2184" spans="1:9" x14ac:dyDescent="0.4">
      <c r="A2184" t="str">
        <f t="shared" si="238"/>
        <v/>
      </c>
      <c r="B2184" t="str">
        <f t="shared" si="239"/>
        <v/>
      </c>
      <c r="C2184" t="str">
        <f t="shared" si="240"/>
        <v/>
      </c>
      <c r="D2184" t="str">
        <f t="shared" si="241"/>
        <v/>
      </c>
      <c r="E2184" t="str">
        <f>IF(F2184="","",IF(COUNTIF($F$2:F2184,F2184)&gt;1,"",SUMIFS(tbl_input[필요수량],tbl_input[집계키_센터],F2184)))</f>
        <v/>
      </c>
      <c r="F2184" t="str">
        <f>IFERROR(INDEX(tbl_input[집계키_센터],ROW()-1),"")</f>
        <v/>
      </c>
      <c r="G2184" t="str">
        <f t="shared" si="242"/>
        <v/>
      </c>
      <c r="H2184" t="str">
        <f t="shared" si="243"/>
        <v/>
      </c>
      <c r="I2184" t="str">
        <f t="shared" si="244"/>
        <v/>
      </c>
    </row>
    <row r="2185" spans="1:9" x14ac:dyDescent="0.4">
      <c r="A2185" t="str">
        <f t="shared" si="238"/>
        <v/>
      </c>
      <c r="B2185" t="str">
        <f t="shared" si="239"/>
        <v/>
      </c>
      <c r="C2185" t="str">
        <f t="shared" si="240"/>
        <v/>
      </c>
      <c r="D2185" t="str">
        <f t="shared" si="241"/>
        <v/>
      </c>
      <c r="E2185" t="str">
        <f>IF(F2185="","",IF(COUNTIF($F$2:F2185,F2185)&gt;1,"",SUMIFS(tbl_input[필요수량],tbl_input[집계키_센터],F2185)))</f>
        <v/>
      </c>
      <c r="F2185" t="str">
        <f>IFERROR(INDEX(tbl_input[집계키_센터],ROW()-1),"")</f>
        <v/>
      </c>
      <c r="G2185" t="str">
        <f t="shared" si="242"/>
        <v/>
      </c>
      <c r="H2185" t="str">
        <f t="shared" si="243"/>
        <v/>
      </c>
      <c r="I2185" t="str">
        <f t="shared" si="244"/>
        <v/>
      </c>
    </row>
    <row r="2186" spans="1:9" x14ac:dyDescent="0.4">
      <c r="A2186" t="str">
        <f t="shared" si="238"/>
        <v/>
      </c>
      <c r="B2186" t="str">
        <f t="shared" si="239"/>
        <v/>
      </c>
      <c r="C2186" t="str">
        <f t="shared" si="240"/>
        <v/>
      </c>
      <c r="D2186" t="str">
        <f t="shared" si="241"/>
        <v/>
      </c>
      <c r="E2186" t="str">
        <f>IF(F2186="","",IF(COUNTIF($F$2:F2186,F2186)&gt;1,"",SUMIFS(tbl_input[필요수량],tbl_input[집계키_센터],F2186)))</f>
        <v/>
      </c>
      <c r="F2186" t="str">
        <f>IFERROR(INDEX(tbl_input[집계키_센터],ROW()-1),"")</f>
        <v/>
      </c>
      <c r="G2186" t="str">
        <f t="shared" si="242"/>
        <v/>
      </c>
      <c r="H2186" t="str">
        <f t="shared" si="243"/>
        <v/>
      </c>
      <c r="I2186" t="str">
        <f t="shared" si="244"/>
        <v/>
      </c>
    </row>
    <row r="2187" spans="1:9" x14ac:dyDescent="0.4">
      <c r="A2187" t="str">
        <f t="shared" si="238"/>
        <v/>
      </c>
      <c r="B2187" t="str">
        <f t="shared" si="239"/>
        <v/>
      </c>
      <c r="C2187" t="str">
        <f t="shared" si="240"/>
        <v/>
      </c>
      <c r="D2187" t="str">
        <f t="shared" si="241"/>
        <v/>
      </c>
      <c r="E2187" t="str">
        <f>IF(F2187="","",IF(COUNTIF($F$2:F2187,F2187)&gt;1,"",SUMIFS(tbl_input[필요수량],tbl_input[집계키_센터],F2187)))</f>
        <v/>
      </c>
      <c r="F2187" t="str">
        <f>IFERROR(INDEX(tbl_input[집계키_센터],ROW()-1),"")</f>
        <v/>
      </c>
      <c r="G2187" t="str">
        <f t="shared" si="242"/>
        <v/>
      </c>
      <c r="H2187" t="str">
        <f t="shared" si="243"/>
        <v/>
      </c>
      <c r="I2187" t="str">
        <f t="shared" si="244"/>
        <v/>
      </c>
    </row>
    <row r="2188" spans="1:9" x14ac:dyDescent="0.4">
      <c r="A2188" t="str">
        <f t="shared" si="238"/>
        <v/>
      </c>
      <c r="B2188" t="str">
        <f t="shared" si="239"/>
        <v/>
      </c>
      <c r="C2188" t="str">
        <f t="shared" si="240"/>
        <v/>
      </c>
      <c r="D2188" t="str">
        <f t="shared" si="241"/>
        <v/>
      </c>
      <c r="E2188" t="str">
        <f>IF(F2188="","",IF(COUNTIF($F$2:F2188,F2188)&gt;1,"",SUMIFS(tbl_input[필요수량],tbl_input[집계키_센터],F2188)))</f>
        <v/>
      </c>
      <c r="F2188" t="str">
        <f>IFERROR(INDEX(tbl_input[집계키_센터],ROW()-1),"")</f>
        <v/>
      </c>
      <c r="G2188" t="str">
        <f t="shared" si="242"/>
        <v/>
      </c>
      <c r="H2188" t="str">
        <f t="shared" si="243"/>
        <v/>
      </c>
      <c r="I2188" t="str">
        <f t="shared" si="244"/>
        <v/>
      </c>
    </row>
    <row r="2189" spans="1:9" x14ac:dyDescent="0.4">
      <c r="A2189" t="str">
        <f t="shared" si="238"/>
        <v/>
      </c>
      <c r="B2189" t="str">
        <f t="shared" si="239"/>
        <v/>
      </c>
      <c r="C2189" t="str">
        <f t="shared" si="240"/>
        <v/>
      </c>
      <c r="D2189" t="str">
        <f t="shared" si="241"/>
        <v/>
      </c>
      <c r="E2189" t="str">
        <f>IF(F2189="","",IF(COUNTIF($F$2:F2189,F2189)&gt;1,"",SUMIFS(tbl_input[필요수량],tbl_input[집계키_센터],F2189)))</f>
        <v/>
      </c>
      <c r="F2189" t="str">
        <f>IFERROR(INDEX(tbl_input[집계키_센터],ROW()-1),"")</f>
        <v/>
      </c>
      <c r="G2189" t="str">
        <f t="shared" si="242"/>
        <v/>
      </c>
      <c r="H2189" t="str">
        <f t="shared" si="243"/>
        <v/>
      </c>
      <c r="I2189" t="str">
        <f t="shared" si="244"/>
        <v/>
      </c>
    </row>
    <row r="2190" spans="1:9" x14ac:dyDescent="0.4">
      <c r="A2190" t="str">
        <f t="shared" si="238"/>
        <v/>
      </c>
      <c r="B2190" t="str">
        <f t="shared" si="239"/>
        <v/>
      </c>
      <c r="C2190" t="str">
        <f t="shared" si="240"/>
        <v/>
      </c>
      <c r="D2190" t="str">
        <f t="shared" si="241"/>
        <v/>
      </c>
      <c r="E2190" t="str">
        <f>IF(F2190="","",IF(COUNTIF($F$2:F2190,F2190)&gt;1,"",SUMIFS(tbl_input[필요수량],tbl_input[집계키_센터],F2190)))</f>
        <v/>
      </c>
      <c r="F2190" t="str">
        <f>IFERROR(INDEX(tbl_input[집계키_센터],ROW()-1),"")</f>
        <v/>
      </c>
      <c r="G2190" t="str">
        <f t="shared" si="242"/>
        <v/>
      </c>
      <c r="H2190" t="str">
        <f t="shared" si="243"/>
        <v/>
      </c>
      <c r="I2190" t="str">
        <f t="shared" si="244"/>
        <v/>
      </c>
    </row>
    <row r="2191" spans="1:9" x14ac:dyDescent="0.4">
      <c r="A2191" t="str">
        <f t="shared" si="238"/>
        <v/>
      </c>
      <c r="B2191" t="str">
        <f t="shared" si="239"/>
        <v/>
      </c>
      <c r="C2191" t="str">
        <f t="shared" si="240"/>
        <v/>
      </c>
      <c r="D2191" t="str">
        <f t="shared" si="241"/>
        <v/>
      </c>
      <c r="E2191" t="str">
        <f>IF(F2191="","",IF(COUNTIF($F$2:F2191,F2191)&gt;1,"",SUMIFS(tbl_input[필요수량],tbl_input[집계키_센터],F2191)))</f>
        <v/>
      </c>
      <c r="F2191" t="str">
        <f>IFERROR(INDEX(tbl_input[집계키_센터],ROW()-1),"")</f>
        <v/>
      </c>
      <c r="G2191" t="str">
        <f t="shared" si="242"/>
        <v/>
      </c>
      <c r="H2191" t="str">
        <f t="shared" si="243"/>
        <v/>
      </c>
      <c r="I2191" t="str">
        <f t="shared" si="244"/>
        <v/>
      </c>
    </row>
    <row r="2192" spans="1:9" x14ac:dyDescent="0.4">
      <c r="A2192" t="str">
        <f t="shared" si="238"/>
        <v/>
      </c>
      <c r="B2192" t="str">
        <f t="shared" si="239"/>
        <v/>
      </c>
      <c r="C2192" t="str">
        <f t="shared" si="240"/>
        <v/>
      </c>
      <c r="D2192" t="str">
        <f t="shared" si="241"/>
        <v/>
      </c>
      <c r="E2192" t="str">
        <f>IF(F2192="","",IF(COUNTIF($F$2:F2192,F2192)&gt;1,"",SUMIFS(tbl_input[필요수량],tbl_input[집계키_센터],F2192)))</f>
        <v/>
      </c>
      <c r="F2192" t="str">
        <f>IFERROR(INDEX(tbl_input[집계키_센터],ROW()-1),"")</f>
        <v/>
      </c>
      <c r="G2192" t="str">
        <f t="shared" si="242"/>
        <v/>
      </c>
      <c r="H2192" t="str">
        <f t="shared" si="243"/>
        <v/>
      </c>
      <c r="I2192" t="str">
        <f t="shared" si="244"/>
        <v/>
      </c>
    </row>
    <row r="2193" spans="1:9" x14ac:dyDescent="0.4">
      <c r="A2193" t="str">
        <f t="shared" si="238"/>
        <v/>
      </c>
      <c r="B2193" t="str">
        <f t="shared" si="239"/>
        <v/>
      </c>
      <c r="C2193" t="str">
        <f t="shared" si="240"/>
        <v/>
      </c>
      <c r="D2193" t="str">
        <f t="shared" si="241"/>
        <v/>
      </c>
      <c r="E2193" t="str">
        <f>IF(F2193="","",IF(COUNTIF($F$2:F2193,F2193)&gt;1,"",SUMIFS(tbl_input[필요수량],tbl_input[집계키_센터],F2193)))</f>
        <v/>
      </c>
      <c r="F2193" t="str">
        <f>IFERROR(INDEX(tbl_input[집계키_센터],ROW()-1),"")</f>
        <v/>
      </c>
      <c r="G2193" t="str">
        <f t="shared" si="242"/>
        <v/>
      </c>
      <c r="H2193" t="str">
        <f t="shared" si="243"/>
        <v/>
      </c>
      <c r="I2193" t="str">
        <f t="shared" si="244"/>
        <v/>
      </c>
    </row>
    <row r="2194" spans="1:9" x14ac:dyDescent="0.4">
      <c r="A2194" t="str">
        <f t="shared" si="238"/>
        <v/>
      </c>
      <c r="B2194" t="str">
        <f t="shared" si="239"/>
        <v/>
      </c>
      <c r="C2194" t="str">
        <f t="shared" si="240"/>
        <v/>
      </c>
      <c r="D2194" t="str">
        <f t="shared" si="241"/>
        <v/>
      </c>
      <c r="E2194" t="str">
        <f>IF(F2194="","",IF(COUNTIF($F$2:F2194,F2194)&gt;1,"",SUMIFS(tbl_input[필요수량],tbl_input[집계키_센터],F2194)))</f>
        <v/>
      </c>
      <c r="F2194" t="str">
        <f>IFERROR(INDEX(tbl_input[집계키_센터],ROW()-1),"")</f>
        <v/>
      </c>
      <c r="G2194" t="str">
        <f t="shared" si="242"/>
        <v/>
      </c>
      <c r="H2194" t="str">
        <f t="shared" si="243"/>
        <v/>
      </c>
      <c r="I2194" t="str">
        <f t="shared" si="244"/>
        <v/>
      </c>
    </row>
    <row r="2195" spans="1:9" x14ac:dyDescent="0.4">
      <c r="A2195" t="str">
        <f t="shared" si="238"/>
        <v/>
      </c>
      <c r="B2195" t="str">
        <f t="shared" si="239"/>
        <v/>
      </c>
      <c r="C2195" t="str">
        <f t="shared" si="240"/>
        <v/>
      </c>
      <c r="D2195" t="str">
        <f t="shared" si="241"/>
        <v/>
      </c>
      <c r="E2195" t="str">
        <f>IF(F2195="","",IF(COUNTIF($F$2:F2195,F2195)&gt;1,"",SUMIFS(tbl_input[필요수량],tbl_input[집계키_센터],F2195)))</f>
        <v/>
      </c>
      <c r="F2195" t="str">
        <f>IFERROR(INDEX(tbl_input[집계키_센터],ROW()-1),"")</f>
        <v/>
      </c>
      <c r="G2195" t="str">
        <f t="shared" si="242"/>
        <v/>
      </c>
      <c r="H2195" t="str">
        <f t="shared" si="243"/>
        <v/>
      </c>
      <c r="I2195" t="str">
        <f t="shared" si="244"/>
        <v/>
      </c>
    </row>
    <row r="2196" spans="1:9" x14ac:dyDescent="0.4">
      <c r="A2196" t="str">
        <f t="shared" si="238"/>
        <v/>
      </c>
      <c r="B2196" t="str">
        <f t="shared" si="239"/>
        <v/>
      </c>
      <c r="C2196" t="str">
        <f t="shared" si="240"/>
        <v/>
      </c>
      <c r="D2196" t="str">
        <f t="shared" si="241"/>
        <v/>
      </c>
      <c r="E2196" t="str">
        <f>IF(F2196="","",IF(COUNTIF($F$2:F2196,F2196)&gt;1,"",SUMIFS(tbl_input[필요수량],tbl_input[집계키_센터],F2196)))</f>
        <v/>
      </c>
      <c r="F2196" t="str">
        <f>IFERROR(INDEX(tbl_input[집계키_센터],ROW()-1),"")</f>
        <v/>
      </c>
      <c r="G2196" t="str">
        <f t="shared" si="242"/>
        <v/>
      </c>
      <c r="H2196" t="str">
        <f t="shared" si="243"/>
        <v/>
      </c>
      <c r="I2196" t="str">
        <f t="shared" si="244"/>
        <v/>
      </c>
    </row>
    <row r="2197" spans="1:9" x14ac:dyDescent="0.4">
      <c r="A2197" t="str">
        <f t="shared" si="238"/>
        <v/>
      </c>
      <c r="B2197" t="str">
        <f t="shared" si="239"/>
        <v/>
      </c>
      <c r="C2197" t="str">
        <f t="shared" si="240"/>
        <v/>
      </c>
      <c r="D2197" t="str">
        <f t="shared" si="241"/>
        <v/>
      </c>
      <c r="E2197" t="str">
        <f>IF(F2197="","",IF(COUNTIF($F$2:F2197,F2197)&gt;1,"",SUMIFS(tbl_input[필요수량],tbl_input[집계키_센터],F2197)))</f>
        <v/>
      </c>
      <c r="F2197" t="str">
        <f>IFERROR(INDEX(tbl_input[집계키_센터],ROW()-1),"")</f>
        <v/>
      </c>
      <c r="G2197" t="str">
        <f t="shared" si="242"/>
        <v/>
      </c>
      <c r="H2197" t="str">
        <f t="shared" si="243"/>
        <v/>
      </c>
      <c r="I2197" t="str">
        <f t="shared" si="244"/>
        <v/>
      </c>
    </row>
    <row r="2198" spans="1:9" x14ac:dyDescent="0.4">
      <c r="A2198" t="str">
        <f t="shared" si="238"/>
        <v/>
      </c>
      <c r="B2198" t="str">
        <f t="shared" si="239"/>
        <v/>
      </c>
      <c r="C2198" t="str">
        <f t="shared" si="240"/>
        <v/>
      </c>
      <c r="D2198" t="str">
        <f t="shared" si="241"/>
        <v/>
      </c>
      <c r="E2198" t="str">
        <f>IF(F2198="","",IF(COUNTIF($F$2:F2198,F2198)&gt;1,"",SUMIFS(tbl_input[필요수량],tbl_input[집계키_센터],F2198)))</f>
        <v/>
      </c>
      <c r="F2198" t="str">
        <f>IFERROR(INDEX(tbl_input[집계키_센터],ROW()-1),"")</f>
        <v/>
      </c>
      <c r="G2198" t="str">
        <f t="shared" si="242"/>
        <v/>
      </c>
      <c r="H2198" t="str">
        <f t="shared" si="243"/>
        <v/>
      </c>
      <c r="I2198" t="str">
        <f t="shared" si="244"/>
        <v/>
      </c>
    </row>
    <row r="2199" spans="1:9" x14ac:dyDescent="0.4">
      <c r="A2199" t="str">
        <f t="shared" si="238"/>
        <v/>
      </c>
      <c r="B2199" t="str">
        <f t="shared" si="239"/>
        <v/>
      </c>
      <c r="C2199" t="str">
        <f t="shared" si="240"/>
        <v/>
      </c>
      <c r="D2199" t="str">
        <f t="shared" si="241"/>
        <v/>
      </c>
      <c r="E2199" t="str">
        <f>IF(F2199="","",IF(COUNTIF($F$2:F2199,F2199)&gt;1,"",SUMIFS(tbl_input[필요수량],tbl_input[집계키_센터],F2199)))</f>
        <v/>
      </c>
      <c r="F2199" t="str">
        <f>IFERROR(INDEX(tbl_input[집계키_센터],ROW()-1),"")</f>
        <v/>
      </c>
      <c r="G2199" t="str">
        <f t="shared" si="242"/>
        <v/>
      </c>
      <c r="H2199" t="str">
        <f t="shared" si="243"/>
        <v/>
      </c>
      <c r="I2199" t="str">
        <f t="shared" si="244"/>
        <v/>
      </c>
    </row>
    <row r="2200" spans="1:9" x14ac:dyDescent="0.4">
      <c r="A2200" t="str">
        <f t="shared" si="238"/>
        <v/>
      </c>
      <c r="B2200" t="str">
        <f t="shared" si="239"/>
        <v/>
      </c>
      <c r="C2200" t="str">
        <f t="shared" si="240"/>
        <v/>
      </c>
      <c r="D2200" t="str">
        <f t="shared" si="241"/>
        <v/>
      </c>
      <c r="E2200" t="str">
        <f>IF(F2200="","",IF(COUNTIF($F$2:F2200,F2200)&gt;1,"",SUMIFS(tbl_input[필요수량],tbl_input[집계키_센터],F2200)))</f>
        <v/>
      </c>
      <c r="F2200" t="str">
        <f>IFERROR(INDEX(tbl_input[집계키_센터],ROW()-1),"")</f>
        <v/>
      </c>
      <c r="G2200" t="str">
        <f t="shared" si="242"/>
        <v/>
      </c>
      <c r="H2200" t="str">
        <f t="shared" si="243"/>
        <v/>
      </c>
      <c r="I2200" t="str">
        <f t="shared" si="244"/>
        <v/>
      </c>
    </row>
    <row r="2201" spans="1:9" x14ac:dyDescent="0.4">
      <c r="A2201" t="str">
        <f t="shared" si="238"/>
        <v/>
      </c>
      <c r="B2201" t="str">
        <f t="shared" si="239"/>
        <v/>
      </c>
      <c r="C2201" t="str">
        <f t="shared" si="240"/>
        <v/>
      </c>
      <c r="D2201" t="str">
        <f t="shared" si="241"/>
        <v/>
      </c>
      <c r="E2201" t="str">
        <f>IF(F2201="","",IF(COUNTIF($F$2:F2201,F2201)&gt;1,"",SUMIFS(tbl_input[필요수량],tbl_input[집계키_센터],F2201)))</f>
        <v/>
      </c>
      <c r="F2201" t="str">
        <f>IFERROR(INDEX(tbl_input[집계키_센터],ROW()-1),"")</f>
        <v/>
      </c>
      <c r="G2201" t="str">
        <f t="shared" si="242"/>
        <v/>
      </c>
      <c r="H2201" t="str">
        <f t="shared" si="243"/>
        <v/>
      </c>
      <c r="I2201" t="str">
        <f t="shared" si="244"/>
        <v/>
      </c>
    </row>
    <row r="2202" spans="1:9" x14ac:dyDescent="0.4">
      <c r="A2202" t="str">
        <f t="shared" si="238"/>
        <v/>
      </c>
      <c r="B2202" t="str">
        <f t="shared" si="239"/>
        <v/>
      </c>
      <c r="C2202" t="str">
        <f t="shared" si="240"/>
        <v/>
      </c>
      <c r="D2202" t="str">
        <f t="shared" si="241"/>
        <v/>
      </c>
      <c r="E2202" t="str">
        <f>IF(F2202="","",IF(COUNTIF($F$2:F2202,F2202)&gt;1,"",SUMIFS(tbl_input[필요수량],tbl_input[집계키_센터],F2202)))</f>
        <v/>
      </c>
      <c r="F2202" t="str">
        <f>IFERROR(INDEX(tbl_input[집계키_센터],ROW()-1),"")</f>
        <v/>
      </c>
      <c r="G2202" t="str">
        <f t="shared" si="242"/>
        <v/>
      </c>
      <c r="H2202" t="str">
        <f t="shared" si="243"/>
        <v/>
      </c>
      <c r="I2202" t="str">
        <f t="shared" si="244"/>
        <v/>
      </c>
    </row>
    <row r="2203" spans="1:9" x14ac:dyDescent="0.4">
      <c r="A2203" t="str">
        <f t="shared" si="238"/>
        <v/>
      </c>
      <c r="B2203" t="str">
        <f t="shared" si="239"/>
        <v/>
      </c>
      <c r="C2203" t="str">
        <f t="shared" si="240"/>
        <v/>
      </c>
      <c r="D2203" t="str">
        <f t="shared" si="241"/>
        <v/>
      </c>
      <c r="E2203" t="str">
        <f>IF(F2203="","",IF(COUNTIF($F$2:F2203,F2203)&gt;1,"",SUMIFS(tbl_input[필요수량],tbl_input[집계키_센터],F2203)))</f>
        <v/>
      </c>
      <c r="F2203" t="str">
        <f>IFERROR(INDEX(tbl_input[집계키_센터],ROW()-1),"")</f>
        <v/>
      </c>
      <c r="G2203" t="str">
        <f t="shared" si="242"/>
        <v/>
      </c>
      <c r="H2203" t="str">
        <f t="shared" si="243"/>
        <v/>
      </c>
      <c r="I2203" t="str">
        <f t="shared" si="244"/>
        <v/>
      </c>
    </row>
    <row r="2204" spans="1:9" x14ac:dyDescent="0.4">
      <c r="A2204" t="str">
        <f t="shared" si="238"/>
        <v/>
      </c>
      <c r="B2204" t="str">
        <f t="shared" si="239"/>
        <v/>
      </c>
      <c r="C2204" t="str">
        <f t="shared" si="240"/>
        <v/>
      </c>
      <c r="D2204" t="str">
        <f t="shared" si="241"/>
        <v/>
      </c>
      <c r="E2204" t="str">
        <f>IF(F2204="","",IF(COUNTIF($F$2:F2204,F2204)&gt;1,"",SUMIFS(tbl_input[필요수량],tbl_input[집계키_센터],F2204)))</f>
        <v/>
      </c>
      <c r="F2204" t="str">
        <f>IFERROR(INDEX(tbl_input[집계키_센터],ROW()-1),"")</f>
        <v/>
      </c>
      <c r="G2204" t="str">
        <f t="shared" si="242"/>
        <v/>
      </c>
      <c r="H2204" t="str">
        <f t="shared" si="243"/>
        <v/>
      </c>
      <c r="I2204" t="str">
        <f t="shared" si="244"/>
        <v/>
      </c>
    </row>
    <row r="2205" spans="1:9" x14ac:dyDescent="0.4">
      <c r="A2205" t="str">
        <f t="shared" si="238"/>
        <v/>
      </c>
      <c r="B2205" t="str">
        <f t="shared" si="239"/>
        <v/>
      </c>
      <c r="C2205" t="str">
        <f t="shared" si="240"/>
        <v/>
      </c>
      <c r="D2205" t="str">
        <f t="shared" si="241"/>
        <v/>
      </c>
      <c r="E2205" t="str">
        <f>IF(F2205="","",IF(COUNTIF($F$2:F2205,F2205)&gt;1,"",SUMIFS(tbl_input[필요수량],tbl_input[집계키_센터],F2205)))</f>
        <v/>
      </c>
      <c r="F2205" t="str">
        <f>IFERROR(INDEX(tbl_input[집계키_센터],ROW()-1),"")</f>
        <v/>
      </c>
      <c r="G2205" t="str">
        <f t="shared" si="242"/>
        <v/>
      </c>
      <c r="H2205" t="str">
        <f t="shared" si="243"/>
        <v/>
      </c>
      <c r="I2205" t="str">
        <f t="shared" si="244"/>
        <v/>
      </c>
    </row>
    <row r="2206" spans="1:9" x14ac:dyDescent="0.4">
      <c r="A2206" t="str">
        <f t="shared" si="238"/>
        <v/>
      </c>
      <c r="B2206" t="str">
        <f t="shared" si="239"/>
        <v/>
      </c>
      <c r="C2206" t="str">
        <f t="shared" si="240"/>
        <v/>
      </c>
      <c r="D2206" t="str">
        <f t="shared" si="241"/>
        <v/>
      </c>
      <c r="E2206" t="str">
        <f>IF(F2206="","",IF(COUNTIF($F$2:F2206,F2206)&gt;1,"",SUMIFS(tbl_input[필요수량],tbl_input[집계키_센터],F2206)))</f>
        <v/>
      </c>
      <c r="F2206" t="str">
        <f>IFERROR(INDEX(tbl_input[집계키_센터],ROW()-1),"")</f>
        <v/>
      </c>
      <c r="G2206" t="str">
        <f t="shared" si="242"/>
        <v/>
      </c>
      <c r="H2206" t="str">
        <f t="shared" si="243"/>
        <v/>
      </c>
      <c r="I2206" t="str">
        <f t="shared" si="244"/>
        <v/>
      </c>
    </row>
    <row r="2207" spans="1:9" x14ac:dyDescent="0.4">
      <c r="A2207" t="str">
        <f t="shared" si="238"/>
        <v/>
      </c>
      <c r="B2207" t="str">
        <f t="shared" si="239"/>
        <v/>
      </c>
      <c r="C2207" t="str">
        <f t="shared" si="240"/>
        <v/>
      </c>
      <c r="D2207" t="str">
        <f t="shared" si="241"/>
        <v/>
      </c>
      <c r="E2207" t="str">
        <f>IF(F2207="","",IF(COUNTIF($F$2:F2207,F2207)&gt;1,"",SUMIFS(tbl_input[필요수량],tbl_input[집계키_센터],F2207)))</f>
        <v/>
      </c>
      <c r="F2207" t="str">
        <f>IFERROR(INDEX(tbl_input[집계키_센터],ROW()-1),"")</f>
        <v/>
      </c>
      <c r="G2207" t="str">
        <f t="shared" si="242"/>
        <v/>
      </c>
      <c r="H2207" t="str">
        <f t="shared" si="243"/>
        <v/>
      </c>
      <c r="I2207" t="str">
        <f t="shared" si="244"/>
        <v/>
      </c>
    </row>
    <row r="2208" spans="1:9" x14ac:dyDescent="0.4">
      <c r="A2208" t="str">
        <f t="shared" si="238"/>
        <v/>
      </c>
      <c r="B2208" t="str">
        <f t="shared" si="239"/>
        <v/>
      </c>
      <c r="C2208" t="str">
        <f t="shared" si="240"/>
        <v/>
      </c>
      <c r="D2208" t="str">
        <f t="shared" si="241"/>
        <v/>
      </c>
      <c r="E2208" t="str">
        <f>IF(F2208="","",IF(COUNTIF($F$2:F2208,F2208)&gt;1,"",SUMIFS(tbl_input[필요수량],tbl_input[집계키_센터],F2208)))</f>
        <v/>
      </c>
      <c r="F2208" t="str">
        <f>IFERROR(INDEX(tbl_input[집계키_센터],ROW()-1),"")</f>
        <v/>
      </c>
      <c r="G2208" t="str">
        <f t="shared" si="242"/>
        <v/>
      </c>
      <c r="H2208" t="str">
        <f t="shared" si="243"/>
        <v/>
      </c>
      <c r="I2208" t="str">
        <f t="shared" si="244"/>
        <v/>
      </c>
    </row>
    <row r="2209" spans="1:9" x14ac:dyDescent="0.4">
      <c r="A2209" t="str">
        <f t="shared" si="238"/>
        <v/>
      </c>
      <c r="B2209" t="str">
        <f t="shared" si="239"/>
        <v/>
      </c>
      <c r="C2209" t="str">
        <f t="shared" si="240"/>
        <v/>
      </c>
      <c r="D2209" t="str">
        <f t="shared" si="241"/>
        <v/>
      </c>
      <c r="E2209" t="str">
        <f>IF(F2209="","",IF(COUNTIF($F$2:F2209,F2209)&gt;1,"",SUMIFS(tbl_input[필요수량],tbl_input[집계키_센터],F2209)))</f>
        <v/>
      </c>
      <c r="F2209" t="str">
        <f>IFERROR(INDEX(tbl_input[집계키_센터],ROW()-1),"")</f>
        <v/>
      </c>
      <c r="G2209" t="str">
        <f t="shared" si="242"/>
        <v/>
      </c>
      <c r="H2209" t="str">
        <f t="shared" si="243"/>
        <v/>
      </c>
      <c r="I2209" t="str">
        <f t="shared" si="244"/>
        <v/>
      </c>
    </row>
    <row r="2210" spans="1:9" x14ac:dyDescent="0.4">
      <c r="A2210" t="str">
        <f t="shared" si="238"/>
        <v/>
      </c>
      <c r="B2210" t="str">
        <f t="shared" si="239"/>
        <v/>
      </c>
      <c r="C2210" t="str">
        <f t="shared" si="240"/>
        <v/>
      </c>
      <c r="D2210" t="str">
        <f t="shared" si="241"/>
        <v/>
      </c>
      <c r="E2210" t="str">
        <f>IF(F2210="","",IF(COUNTIF($F$2:F2210,F2210)&gt;1,"",SUMIFS(tbl_input[필요수량],tbl_input[집계키_센터],F2210)))</f>
        <v/>
      </c>
      <c r="F2210" t="str">
        <f>IFERROR(INDEX(tbl_input[집계키_센터],ROW()-1),"")</f>
        <v/>
      </c>
      <c r="G2210" t="str">
        <f t="shared" si="242"/>
        <v/>
      </c>
      <c r="H2210" t="str">
        <f t="shared" si="243"/>
        <v/>
      </c>
      <c r="I2210" t="str">
        <f t="shared" si="244"/>
        <v/>
      </c>
    </row>
    <row r="2211" spans="1:9" x14ac:dyDescent="0.4">
      <c r="A2211" t="str">
        <f t="shared" si="238"/>
        <v/>
      </c>
      <c r="B2211" t="str">
        <f t="shared" si="239"/>
        <v/>
      </c>
      <c r="C2211" t="str">
        <f t="shared" si="240"/>
        <v/>
      </c>
      <c r="D2211" t="str">
        <f t="shared" si="241"/>
        <v/>
      </c>
      <c r="E2211" t="str">
        <f>IF(F2211="","",IF(COUNTIF($F$2:F2211,F2211)&gt;1,"",SUMIFS(tbl_input[필요수량],tbl_input[집계키_센터],F2211)))</f>
        <v/>
      </c>
      <c r="F2211" t="str">
        <f>IFERROR(INDEX(tbl_input[집계키_센터],ROW()-1),"")</f>
        <v/>
      </c>
      <c r="G2211" t="str">
        <f t="shared" si="242"/>
        <v/>
      </c>
      <c r="H2211" t="str">
        <f t="shared" si="243"/>
        <v/>
      </c>
      <c r="I2211" t="str">
        <f t="shared" si="244"/>
        <v/>
      </c>
    </row>
    <row r="2212" spans="1:9" x14ac:dyDescent="0.4">
      <c r="A2212" t="str">
        <f t="shared" si="238"/>
        <v/>
      </c>
      <c r="B2212" t="str">
        <f t="shared" si="239"/>
        <v/>
      </c>
      <c r="C2212" t="str">
        <f t="shared" si="240"/>
        <v/>
      </c>
      <c r="D2212" t="str">
        <f t="shared" si="241"/>
        <v/>
      </c>
      <c r="E2212" t="str">
        <f>IF(F2212="","",IF(COUNTIF($F$2:F2212,F2212)&gt;1,"",SUMIFS(tbl_input[필요수량],tbl_input[집계키_센터],F2212)))</f>
        <v/>
      </c>
      <c r="F2212" t="str">
        <f>IFERROR(INDEX(tbl_input[집계키_센터],ROW()-1),"")</f>
        <v/>
      </c>
      <c r="G2212" t="str">
        <f t="shared" si="242"/>
        <v/>
      </c>
      <c r="H2212" t="str">
        <f t="shared" si="243"/>
        <v/>
      </c>
      <c r="I2212" t="str">
        <f t="shared" si="244"/>
        <v/>
      </c>
    </row>
    <row r="2213" spans="1:9" x14ac:dyDescent="0.4">
      <c r="A2213" t="str">
        <f t="shared" si="238"/>
        <v/>
      </c>
      <c r="B2213" t="str">
        <f t="shared" si="239"/>
        <v/>
      </c>
      <c r="C2213" t="str">
        <f t="shared" si="240"/>
        <v/>
      </c>
      <c r="D2213" t="str">
        <f t="shared" si="241"/>
        <v/>
      </c>
      <c r="E2213" t="str">
        <f>IF(F2213="","",IF(COUNTIF($F$2:F2213,F2213)&gt;1,"",SUMIFS(tbl_input[필요수량],tbl_input[집계키_센터],F2213)))</f>
        <v/>
      </c>
      <c r="F2213" t="str">
        <f>IFERROR(INDEX(tbl_input[집계키_센터],ROW()-1),"")</f>
        <v/>
      </c>
      <c r="G2213" t="str">
        <f t="shared" si="242"/>
        <v/>
      </c>
      <c r="H2213" t="str">
        <f t="shared" si="243"/>
        <v/>
      </c>
      <c r="I2213" t="str">
        <f t="shared" si="244"/>
        <v/>
      </c>
    </row>
    <row r="2214" spans="1:9" x14ac:dyDescent="0.4">
      <c r="A2214" t="str">
        <f t="shared" si="238"/>
        <v/>
      </c>
      <c r="B2214" t="str">
        <f t="shared" si="239"/>
        <v/>
      </c>
      <c r="C2214" t="str">
        <f t="shared" si="240"/>
        <v/>
      </c>
      <c r="D2214" t="str">
        <f t="shared" si="241"/>
        <v/>
      </c>
      <c r="E2214" t="str">
        <f>IF(F2214="","",IF(COUNTIF($F$2:F2214,F2214)&gt;1,"",SUMIFS(tbl_input[필요수량],tbl_input[집계키_센터],F2214)))</f>
        <v/>
      </c>
      <c r="F2214" t="str">
        <f>IFERROR(INDEX(tbl_input[집계키_센터],ROW()-1),"")</f>
        <v/>
      </c>
      <c r="G2214" t="str">
        <f t="shared" si="242"/>
        <v/>
      </c>
      <c r="H2214" t="str">
        <f t="shared" si="243"/>
        <v/>
      </c>
      <c r="I2214" t="str">
        <f t="shared" si="244"/>
        <v/>
      </c>
    </row>
    <row r="2215" spans="1:9" x14ac:dyDescent="0.4">
      <c r="A2215" t="str">
        <f t="shared" si="238"/>
        <v/>
      </c>
      <c r="B2215" t="str">
        <f t="shared" si="239"/>
        <v/>
      </c>
      <c r="C2215" t="str">
        <f t="shared" si="240"/>
        <v/>
      </c>
      <c r="D2215" t="str">
        <f t="shared" si="241"/>
        <v/>
      </c>
      <c r="E2215" t="str">
        <f>IF(F2215="","",IF(COUNTIF($F$2:F2215,F2215)&gt;1,"",SUMIFS(tbl_input[필요수량],tbl_input[집계키_센터],F2215)))</f>
        <v/>
      </c>
      <c r="F2215" t="str">
        <f>IFERROR(INDEX(tbl_input[집계키_센터],ROW()-1),"")</f>
        <v/>
      </c>
      <c r="G2215" t="str">
        <f t="shared" si="242"/>
        <v/>
      </c>
      <c r="H2215" t="str">
        <f t="shared" si="243"/>
        <v/>
      </c>
      <c r="I2215" t="str">
        <f t="shared" si="244"/>
        <v/>
      </c>
    </row>
    <row r="2216" spans="1:9" x14ac:dyDescent="0.4">
      <c r="A2216" t="str">
        <f t="shared" si="238"/>
        <v/>
      </c>
      <c r="B2216" t="str">
        <f t="shared" si="239"/>
        <v/>
      </c>
      <c r="C2216" t="str">
        <f t="shared" si="240"/>
        <v/>
      </c>
      <c r="D2216" t="str">
        <f t="shared" si="241"/>
        <v/>
      </c>
      <c r="E2216" t="str">
        <f>IF(F2216="","",IF(COUNTIF($F$2:F2216,F2216)&gt;1,"",SUMIFS(tbl_input[필요수량],tbl_input[집계키_센터],F2216)))</f>
        <v/>
      </c>
      <c r="F2216" t="str">
        <f>IFERROR(INDEX(tbl_input[집계키_센터],ROW()-1),"")</f>
        <v/>
      </c>
      <c r="G2216" t="str">
        <f t="shared" si="242"/>
        <v/>
      </c>
      <c r="H2216" t="str">
        <f t="shared" si="243"/>
        <v/>
      </c>
      <c r="I2216" t="str">
        <f t="shared" si="244"/>
        <v/>
      </c>
    </row>
    <row r="2217" spans="1:9" x14ac:dyDescent="0.4">
      <c r="A2217" t="str">
        <f t="shared" si="238"/>
        <v/>
      </c>
      <c r="B2217" t="str">
        <f t="shared" si="239"/>
        <v/>
      </c>
      <c r="C2217" t="str">
        <f t="shared" si="240"/>
        <v/>
      </c>
      <c r="D2217" t="str">
        <f t="shared" si="241"/>
        <v/>
      </c>
      <c r="E2217" t="str">
        <f>IF(F2217="","",IF(COUNTIF($F$2:F2217,F2217)&gt;1,"",SUMIFS(tbl_input[필요수량],tbl_input[집계키_센터],F2217)))</f>
        <v/>
      </c>
      <c r="F2217" t="str">
        <f>IFERROR(INDEX(tbl_input[집계키_센터],ROW()-1),"")</f>
        <v/>
      </c>
      <c r="G2217" t="str">
        <f t="shared" si="242"/>
        <v/>
      </c>
      <c r="H2217" t="str">
        <f t="shared" si="243"/>
        <v/>
      </c>
      <c r="I2217" t="str">
        <f t="shared" si="244"/>
        <v/>
      </c>
    </row>
    <row r="2218" spans="1:9" x14ac:dyDescent="0.4">
      <c r="A2218" t="str">
        <f t="shared" si="238"/>
        <v/>
      </c>
      <c r="B2218" t="str">
        <f t="shared" si="239"/>
        <v/>
      </c>
      <c r="C2218" t="str">
        <f t="shared" si="240"/>
        <v/>
      </c>
      <c r="D2218" t="str">
        <f t="shared" si="241"/>
        <v/>
      </c>
      <c r="E2218" t="str">
        <f>IF(F2218="","",IF(COUNTIF($F$2:F2218,F2218)&gt;1,"",SUMIFS(tbl_input[필요수량],tbl_input[집계키_센터],F2218)))</f>
        <v/>
      </c>
      <c r="F2218" t="str">
        <f>IFERROR(INDEX(tbl_input[집계키_센터],ROW()-1),"")</f>
        <v/>
      </c>
      <c r="G2218" t="str">
        <f t="shared" si="242"/>
        <v/>
      </c>
      <c r="H2218" t="str">
        <f t="shared" si="243"/>
        <v/>
      </c>
      <c r="I2218" t="str">
        <f t="shared" si="244"/>
        <v/>
      </c>
    </row>
    <row r="2219" spans="1:9" x14ac:dyDescent="0.4">
      <c r="A2219" t="str">
        <f t="shared" si="238"/>
        <v/>
      </c>
      <c r="B2219" t="str">
        <f t="shared" si="239"/>
        <v/>
      </c>
      <c r="C2219" t="str">
        <f t="shared" si="240"/>
        <v/>
      </c>
      <c r="D2219" t="str">
        <f t="shared" si="241"/>
        <v/>
      </c>
      <c r="E2219" t="str">
        <f>IF(F2219="","",IF(COUNTIF($F$2:F2219,F2219)&gt;1,"",SUMIFS(tbl_input[필요수량],tbl_input[집계키_센터],F2219)))</f>
        <v/>
      </c>
      <c r="F2219" t="str">
        <f>IFERROR(INDEX(tbl_input[집계키_센터],ROW()-1),"")</f>
        <v/>
      </c>
      <c r="G2219" t="str">
        <f t="shared" si="242"/>
        <v/>
      </c>
      <c r="H2219" t="str">
        <f t="shared" si="243"/>
        <v/>
      </c>
      <c r="I2219" t="str">
        <f t="shared" si="244"/>
        <v/>
      </c>
    </row>
    <row r="2220" spans="1:9" x14ac:dyDescent="0.4">
      <c r="A2220" t="str">
        <f t="shared" si="238"/>
        <v/>
      </c>
      <c r="B2220" t="str">
        <f t="shared" si="239"/>
        <v/>
      </c>
      <c r="C2220" t="str">
        <f t="shared" si="240"/>
        <v/>
      </c>
      <c r="D2220" t="str">
        <f t="shared" si="241"/>
        <v/>
      </c>
      <c r="E2220" t="str">
        <f>IF(F2220="","",IF(COUNTIF($F$2:F2220,F2220)&gt;1,"",SUMIFS(tbl_input[필요수량],tbl_input[집계키_센터],F2220)))</f>
        <v/>
      </c>
      <c r="F2220" t="str">
        <f>IFERROR(INDEX(tbl_input[집계키_센터],ROW()-1),"")</f>
        <v/>
      </c>
      <c r="G2220" t="str">
        <f t="shared" si="242"/>
        <v/>
      </c>
      <c r="H2220" t="str">
        <f t="shared" si="243"/>
        <v/>
      </c>
      <c r="I2220" t="str">
        <f t="shared" si="244"/>
        <v/>
      </c>
    </row>
    <row r="2221" spans="1:9" x14ac:dyDescent="0.4">
      <c r="A2221" t="str">
        <f t="shared" si="238"/>
        <v/>
      </c>
      <c r="B2221" t="str">
        <f t="shared" si="239"/>
        <v/>
      </c>
      <c r="C2221" t="str">
        <f t="shared" si="240"/>
        <v/>
      </c>
      <c r="D2221" t="str">
        <f t="shared" si="241"/>
        <v/>
      </c>
      <c r="E2221" t="str">
        <f>IF(F2221="","",IF(COUNTIF($F$2:F2221,F2221)&gt;1,"",SUMIFS(tbl_input[필요수량],tbl_input[집계키_센터],F2221)))</f>
        <v/>
      </c>
      <c r="F2221" t="str">
        <f>IFERROR(INDEX(tbl_input[집계키_센터],ROW()-1),"")</f>
        <v/>
      </c>
      <c r="G2221" t="str">
        <f t="shared" si="242"/>
        <v/>
      </c>
      <c r="H2221" t="str">
        <f t="shared" si="243"/>
        <v/>
      </c>
      <c r="I2221" t="str">
        <f t="shared" si="244"/>
        <v/>
      </c>
    </row>
    <row r="2222" spans="1:9" x14ac:dyDescent="0.4">
      <c r="A2222" t="str">
        <f t="shared" si="238"/>
        <v/>
      </c>
      <c r="B2222" t="str">
        <f t="shared" si="239"/>
        <v/>
      </c>
      <c r="C2222" t="str">
        <f t="shared" si="240"/>
        <v/>
      </c>
      <c r="D2222" t="str">
        <f t="shared" si="241"/>
        <v/>
      </c>
      <c r="E2222" t="str">
        <f>IF(F2222="","",IF(COUNTIF($F$2:F2222,F2222)&gt;1,"",SUMIFS(tbl_input[필요수량],tbl_input[집계키_센터],F2222)))</f>
        <v/>
      </c>
      <c r="F2222" t="str">
        <f>IFERROR(INDEX(tbl_input[집계키_센터],ROW()-1),"")</f>
        <v/>
      </c>
      <c r="G2222" t="str">
        <f t="shared" si="242"/>
        <v/>
      </c>
      <c r="H2222" t="str">
        <f t="shared" si="243"/>
        <v/>
      </c>
      <c r="I2222" t="str">
        <f t="shared" si="244"/>
        <v/>
      </c>
    </row>
    <row r="2223" spans="1:9" x14ac:dyDescent="0.4">
      <c r="A2223" t="str">
        <f t="shared" si="238"/>
        <v/>
      </c>
      <c r="B2223" t="str">
        <f t="shared" si="239"/>
        <v/>
      </c>
      <c r="C2223" t="str">
        <f t="shared" si="240"/>
        <v/>
      </c>
      <c r="D2223" t="str">
        <f t="shared" si="241"/>
        <v/>
      </c>
      <c r="E2223" t="str">
        <f>IF(F2223="","",IF(COUNTIF($F$2:F2223,F2223)&gt;1,"",SUMIFS(tbl_input[필요수량],tbl_input[집계키_센터],F2223)))</f>
        <v/>
      </c>
      <c r="F2223" t="str">
        <f>IFERROR(INDEX(tbl_input[집계키_센터],ROW()-1),"")</f>
        <v/>
      </c>
      <c r="G2223" t="str">
        <f t="shared" si="242"/>
        <v/>
      </c>
      <c r="H2223" t="str">
        <f t="shared" si="243"/>
        <v/>
      </c>
      <c r="I2223" t="str">
        <f t="shared" si="244"/>
        <v/>
      </c>
    </row>
    <row r="2224" spans="1:9" x14ac:dyDescent="0.4">
      <c r="A2224" t="str">
        <f t="shared" si="238"/>
        <v/>
      </c>
      <c r="B2224" t="str">
        <f t="shared" si="239"/>
        <v/>
      </c>
      <c r="C2224" t="str">
        <f t="shared" si="240"/>
        <v/>
      </c>
      <c r="D2224" t="str">
        <f t="shared" si="241"/>
        <v/>
      </c>
      <c r="E2224" t="str">
        <f>IF(F2224="","",IF(COUNTIF($F$2:F2224,F2224)&gt;1,"",SUMIFS(tbl_input[필요수량],tbl_input[집계키_센터],F2224)))</f>
        <v/>
      </c>
      <c r="F2224" t="str">
        <f>IFERROR(INDEX(tbl_input[집계키_센터],ROW()-1),"")</f>
        <v/>
      </c>
      <c r="G2224" t="str">
        <f t="shared" si="242"/>
        <v/>
      </c>
      <c r="H2224" t="str">
        <f t="shared" si="243"/>
        <v/>
      </c>
      <c r="I2224" t="str">
        <f t="shared" si="244"/>
        <v/>
      </c>
    </row>
    <row r="2225" spans="1:9" x14ac:dyDescent="0.4">
      <c r="A2225" t="str">
        <f t="shared" si="238"/>
        <v/>
      </c>
      <c r="B2225" t="str">
        <f t="shared" si="239"/>
        <v/>
      </c>
      <c r="C2225" t="str">
        <f t="shared" si="240"/>
        <v/>
      </c>
      <c r="D2225" t="str">
        <f t="shared" si="241"/>
        <v/>
      </c>
      <c r="E2225" t="str">
        <f>IF(F2225="","",IF(COUNTIF($F$2:F2225,F2225)&gt;1,"",SUMIFS(tbl_input[필요수량],tbl_input[집계키_센터],F2225)))</f>
        <v/>
      </c>
      <c r="F2225" t="str">
        <f>IFERROR(INDEX(tbl_input[집계키_센터],ROW()-1),"")</f>
        <v/>
      </c>
      <c r="G2225" t="str">
        <f t="shared" si="242"/>
        <v/>
      </c>
      <c r="H2225" t="str">
        <f t="shared" si="243"/>
        <v/>
      </c>
      <c r="I2225" t="str">
        <f t="shared" si="244"/>
        <v/>
      </c>
    </row>
    <row r="2226" spans="1:9" x14ac:dyDescent="0.4">
      <c r="A2226" t="str">
        <f t="shared" si="238"/>
        <v/>
      </c>
      <c r="B2226" t="str">
        <f t="shared" si="239"/>
        <v/>
      </c>
      <c r="C2226" t="str">
        <f t="shared" si="240"/>
        <v/>
      </c>
      <c r="D2226" t="str">
        <f t="shared" si="241"/>
        <v/>
      </c>
      <c r="E2226" t="str">
        <f>IF(F2226="","",IF(COUNTIF($F$2:F2226,F2226)&gt;1,"",SUMIFS(tbl_input[필요수량],tbl_input[집계키_센터],F2226)))</f>
        <v/>
      </c>
      <c r="F2226" t="str">
        <f>IFERROR(INDEX(tbl_input[집계키_센터],ROW()-1),"")</f>
        <v/>
      </c>
      <c r="G2226" t="str">
        <f t="shared" si="242"/>
        <v/>
      </c>
      <c r="H2226" t="str">
        <f t="shared" si="243"/>
        <v/>
      </c>
      <c r="I2226" t="str">
        <f t="shared" si="244"/>
        <v/>
      </c>
    </row>
    <row r="2227" spans="1:9" x14ac:dyDescent="0.4">
      <c r="A2227" t="str">
        <f t="shared" si="238"/>
        <v/>
      </c>
      <c r="B2227" t="str">
        <f t="shared" si="239"/>
        <v/>
      </c>
      <c r="C2227" t="str">
        <f t="shared" si="240"/>
        <v/>
      </c>
      <c r="D2227" t="str">
        <f t="shared" si="241"/>
        <v/>
      </c>
      <c r="E2227" t="str">
        <f>IF(F2227="","",IF(COUNTIF($F$2:F2227,F2227)&gt;1,"",SUMIFS(tbl_input[필요수량],tbl_input[집계키_센터],F2227)))</f>
        <v/>
      </c>
      <c r="F2227" t="str">
        <f>IFERROR(INDEX(tbl_input[집계키_센터],ROW()-1),"")</f>
        <v/>
      </c>
      <c r="G2227" t="str">
        <f t="shared" si="242"/>
        <v/>
      </c>
      <c r="H2227" t="str">
        <f t="shared" si="243"/>
        <v/>
      </c>
      <c r="I2227" t="str">
        <f t="shared" si="244"/>
        <v/>
      </c>
    </row>
    <row r="2228" spans="1:9" x14ac:dyDescent="0.4">
      <c r="A2228" t="str">
        <f t="shared" si="238"/>
        <v/>
      </c>
      <c r="B2228" t="str">
        <f t="shared" si="239"/>
        <v/>
      </c>
      <c r="C2228" t="str">
        <f t="shared" si="240"/>
        <v/>
      </c>
      <c r="D2228" t="str">
        <f t="shared" si="241"/>
        <v/>
      </c>
      <c r="E2228" t="str">
        <f>IF(F2228="","",IF(COUNTIF($F$2:F2228,F2228)&gt;1,"",SUMIFS(tbl_input[필요수량],tbl_input[집계키_센터],F2228)))</f>
        <v/>
      </c>
      <c r="F2228" t="str">
        <f>IFERROR(INDEX(tbl_input[집계키_센터],ROW()-1),"")</f>
        <v/>
      </c>
      <c r="G2228" t="str">
        <f t="shared" si="242"/>
        <v/>
      </c>
      <c r="H2228" t="str">
        <f t="shared" si="243"/>
        <v/>
      </c>
      <c r="I2228" t="str">
        <f t="shared" si="244"/>
        <v/>
      </c>
    </row>
    <row r="2229" spans="1:9" x14ac:dyDescent="0.4">
      <c r="A2229" t="str">
        <f t="shared" si="238"/>
        <v/>
      </c>
      <c r="B2229" t="str">
        <f t="shared" si="239"/>
        <v/>
      </c>
      <c r="C2229" t="str">
        <f t="shared" si="240"/>
        <v/>
      </c>
      <c r="D2229" t="str">
        <f t="shared" si="241"/>
        <v/>
      </c>
      <c r="E2229" t="str">
        <f>IF(F2229="","",IF(COUNTIF($F$2:F2229,F2229)&gt;1,"",SUMIFS(tbl_input[필요수량],tbl_input[집계키_센터],F2229)))</f>
        <v/>
      </c>
      <c r="F2229" t="str">
        <f>IFERROR(INDEX(tbl_input[집계키_센터],ROW()-1),"")</f>
        <v/>
      </c>
      <c r="G2229" t="str">
        <f t="shared" si="242"/>
        <v/>
      </c>
      <c r="H2229" t="str">
        <f t="shared" si="243"/>
        <v/>
      </c>
      <c r="I2229" t="str">
        <f t="shared" si="244"/>
        <v/>
      </c>
    </row>
    <row r="2230" spans="1:9" x14ac:dyDescent="0.4">
      <c r="A2230" t="str">
        <f t="shared" si="238"/>
        <v/>
      </c>
      <c r="B2230" t="str">
        <f t="shared" si="239"/>
        <v/>
      </c>
      <c r="C2230" t="str">
        <f t="shared" si="240"/>
        <v/>
      </c>
      <c r="D2230" t="str">
        <f t="shared" si="241"/>
        <v/>
      </c>
      <c r="E2230" t="str">
        <f>IF(F2230="","",IF(COUNTIF($F$2:F2230,F2230)&gt;1,"",SUMIFS(tbl_input[필요수량],tbl_input[집계키_센터],F2230)))</f>
        <v/>
      </c>
      <c r="F2230" t="str">
        <f>IFERROR(INDEX(tbl_input[집계키_센터],ROW()-1),"")</f>
        <v/>
      </c>
      <c r="G2230" t="str">
        <f t="shared" si="242"/>
        <v/>
      </c>
      <c r="H2230" t="str">
        <f t="shared" si="243"/>
        <v/>
      </c>
      <c r="I2230" t="str">
        <f t="shared" si="244"/>
        <v/>
      </c>
    </row>
    <row r="2231" spans="1:9" x14ac:dyDescent="0.4">
      <c r="A2231" t="str">
        <f t="shared" si="238"/>
        <v/>
      </c>
      <c r="B2231" t="str">
        <f t="shared" si="239"/>
        <v/>
      </c>
      <c r="C2231" t="str">
        <f t="shared" si="240"/>
        <v/>
      </c>
      <c r="D2231" t="str">
        <f t="shared" si="241"/>
        <v/>
      </c>
      <c r="E2231" t="str">
        <f>IF(F2231="","",IF(COUNTIF($F$2:F2231,F2231)&gt;1,"",SUMIFS(tbl_input[필요수량],tbl_input[집계키_센터],F2231)))</f>
        <v/>
      </c>
      <c r="F2231" t="str">
        <f>IFERROR(INDEX(tbl_input[집계키_센터],ROW()-1),"")</f>
        <v/>
      </c>
      <c r="G2231" t="str">
        <f t="shared" si="242"/>
        <v/>
      </c>
      <c r="H2231" t="str">
        <f t="shared" si="243"/>
        <v/>
      </c>
      <c r="I2231" t="str">
        <f t="shared" si="244"/>
        <v/>
      </c>
    </row>
    <row r="2232" spans="1:9" x14ac:dyDescent="0.4">
      <c r="A2232" t="str">
        <f t="shared" si="238"/>
        <v/>
      </c>
      <c r="B2232" t="str">
        <f t="shared" si="239"/>
        <v/>
      </c>
      <c r="C2232" t="str">
        <f t="shared" si="240"/>
        <v/>
      </c>
      <c r="D2232" t="str">
        <f t="shared" si="241"/>
        <v/>
      </c>
      <c r="E2232" t="str">
        <f>IF(F2232="","",IF(COUNTIF($F$2:F2232,F2232)&gt;1,"",SUMIFS(tbl_input[필요수량],tbl_input[집계키_센터],F2232)))</f>
        <v/>
      </c>
      <c r="F2232" t="str">
        <f>IFERROR(INDEX(tbl_input[집계키_센터],ROW()-1),"")</f>
        <v/>
      </c>
      <c r="G2232" t="str">
        <f t="shared" si="242"/>
        <v/>
      </c>
      <c r="H2232" t="str">
        <f t="shared" si="243"/>
        <v/>
      </c>
      <c r="I2232" t="str">
        <f t="shared" si="244"/>
        <v/>
      </c>
    </row>
    <row r="2233" spans="1:9" x14ac:dyDescent="0.4">
      <c r="A2233" t="str">
        <f t="shared" si="238"/>
        <v/>
      </c>
      <c r="B2233" t="str">
        <f t="shared" si="239"/>
        <v/>
      </c>
      <c r="C2233" t="str">
        <f t="shared" si="240"/>
        <v/>
      </c>
      <c r="D2233" t="str">
        <f t="shared" si="241"/>
        <v/>
      </c>
      <c r="E2233" t="str">
        <f>IF(F2233="","",IF(COUNTIF($F$2:F2233,F2233)&gt;1,"",SUMIFS(tbl_input[필요수량],tbl_input[집계키_센터],F2233)))</f>
        <v/>
      </c>
      <c r="F2233" t="str">
        <f>IFERROR(INDEX(tbl_input[집계키_센터],ROW()-1),"")</f>
        <v/>
      </c>
      <c r="G2233" t="str">
        <f t="shared" si="242"/>
        <v/>
      </c>
      <c r="H2233" t="str">
        <f t="shared" si="243"/>
        <v/>
      </c>
      <c r="I2233" t="str">
        <f t="shared" si="244"/>
        <v/>
      </c>
    </row>
    <row r="2234" spans="1:9" x14ac:dyDescent="0.4">
      <c r="A2234" t="str">
        <f t="shared" si="238"/>
        <v/>
      </c>
      <c r="B2234" t="str">
        <f t="shared" si="239"/>
        <v/>
      </c>
      <c r="C2234" t="str">
        <f t="shared" si="240"/>
        <v/>
      </c>
      <c r="D2234" t="str">
        <f t="shared" si="241"/>
        <v/>
      </c>
      <c r="E2234" t="str">
        <f>IF(F2234="","",IF(COUNTIF($F$2:F2234,F2234)&gt;1,"",SUMIFS(tbl_input[필요수량],tbl_input[집계키_센터],F2234)))</f>
        <v/>
      </c>
      <c r="F2234" t="str">
        <f>IFERROR(INDEX(tbl_input[집계키_센터],ROW()-1),"")</f>
        <v/>
      </c>
      <c r="G2234" t="str">
        <f t="shared" si="242"/>
        <v/>
      </c>
      <c r="H2234" t="str">
        <f t="shared" si="243"/>
        <v/>
      </c>
      <c r="I2234" t="str">
        <f t="shared" si="244"/>
        <v/>
      </c>
    </row>
    <row r="2235" spans="1:9" x14ac:dyDescent="0.4">
      <c r="A2235" t="str">
        <f t="shared" si="238"/>
        <v/>
      </c>
      <c r="B2235" t="str">
        <f t="shared" si="239"/>
        <v/>
      </c>
      <c r="C2235" t="str">
        <f t="shared" si="240"/>
        <v/>
      </c>
      <c r="D2235" t="str">
        <f t="shared" si="241"/>
        <v/>
      </c>
      <c r="E2235" t="str">
        <f>IF(F2235="","",IF(COUNTIF($F$2:F2235,F2235)&gt;1,"",SUMIFS(tbl_input[필요수량],tbl_input[집계키_센터],F2235)))</f>
        <v/>
      </c>
      <c r="F2235" t="str">
        <f>IFERROR(INDEX(tbl_input[집계키_센터],ROW()-1),"")</f>
        <v/>
      </c>
      <c r="G2235" t="str">
        <f t="shared" si="242"/>
        <v/>
      </c>
      <c r="H2235" t="str">
        <f t="shared" si="243"/>
        <v/>
      </c>
      <c r="I2235" t="str">
        <f t="shared" si="244"/>
        <v/>
      </c>
    </row>
    <row r="2236" spans="1:9" x14ac:dyDescent="0.4">
      <c r="A2236" t="str">
        <f t="shared" si="238"/>
        <v/>
      </c>
      <c r="B2236" t="str">
        <f t="shared" si="239"/>
        <v/>
      </c>
      <c r="C2236" t="str">
        <f t="shared" si="240"/>
        <v/>
      </c>
      <c r="D2236" t="str">
        <f t="shared" si="241"/>
        <v/>
      </c>
      <c r="E2236" t="str">
        <f>IF(F2236="","",IF(COUNTIF($F$2:F2236,F2236)&gt;1,"",SUMIFS(tbl_input[필요수량],tbl_input[집계키_센터],F2236)))</f>
        <v/>
      </c>
      <c r="F2236" t="str">
        <f>IFERROR(INDEX(tbl_input[집계키_센터],ROW()-1),"")</f>
        <v/>
      </c>
      <c r="G2236" t="str">
        <f t="shared" si="242"/>
        <v/>
      </c>
      <c r="H2236" t="str">
        <f t="shared" si="243"/>
        <v/>
      </c>
      <c r="I2236" t="str">
        <f t="shared" si="244"/>
        <v/>
      </c>
    </row>
    <row r="2237" spans="1:9" x14ac:dyDescent="0.4">
      <c r="A2237" t="str">
        <f t="shared" si="238"/>
        <v/>
      </c>
      <c r="B2237" t="str">
        <f t="shared" si="239"/>
        <v/>
      </c>
      <c r="C2237" t="str">
        <f t="shared" si="240"/>
        <v/>
      </c>
      <c r="D2237" t="str">
        <f t="shared" si="241"/>
        <v/>
      </c>
      <c r="E2237" t="str">
        <f>IF(F2237="","",IF(COUNTIF($F$2:F2237,F2237)&gt;1,"",SUMIFS(tbl_input[필요수량],tbl_input[집계키_센터],F2237)))</f>
        <v/>
      </c>
      <c r="F2237" t="str">
        <f>IFERROR(INDEX(tbl_input[집계키_센터],ROW()-1),"")</f>
        <v/>
      </c>
      <c r="G2237" t="str">
        <f t="shared" si="242"/>
        <v/>
      </c>
      <c r="H2237" t="str">
        <f t="shared" si="243"/>
        <v/>
      </c>
      <c r="I2237" t="str">
        <f t="shared" si="244"/>
        <v/>
      </c>
    </row>
    <row r="2238" spans="1:9" x14ac:dyDescent="0.4">
      <c r="A2238" t="str">
        <f t="shared" si="238"/>
        <v/>
      </c>
      <c r="B2238" t="str">
        <f t="shared" si="239"/>
        <v/>
      </c>
      <c r="C2238" t="str">
        <f t="shared" si="240"/>
        <v/>
      </c>
      <c r="D2238" t="str">
        <f t="shared" si="241"/>
        <v/>
      </c>
      <c r="E2238" t="str">
        <f>IF(F2238="","",IF(COUNTIF($F$2:F2238,F2238)&gt;1,"",SUMIFS(tbl_input[필요수량],tbl_input[집계키_센터],F2238)))</f>
        <v/>
      </c>
      <c r="F2238" t="str">
        <f>IFERROR(INDEX(tbl_input[집계키_센터],ROW()-1),"")</f>
        <v/>
      </c>
      <c r="G2238" t="str">
        <f t="shared" si="242"/>
        <v/>
      </c>
      <c r="H2238" t="str">
        <f t="shared" si="243"/>
        <v/>
      </c>
      <c r="I2238" t="str">
        <f t="shared" si="244"/>
        <v/>
      </c>
    </row>
    <row r="2239" spans="1:9" x14ac:dyDescent="0.4">
      <c r="A2239" t="str">
        <f t="shared" si="238"/>
        <v/>
      </c>
      <c r="B2239" t="str">
        <f t="shared" si="239"/>
        <v/>
      </c>
      <c r="C2239" t="str">
        <f t="shared" si="240"/>
        <v/>
      </c>
      <c r="D2239" t="str">
        <f t="shared" si="241"/>
        <v/>
      </c>
      <c r="E2239" t="str">
        <f>IF(F2239="","",IF(COUNTIF($F$2:F2239,F2239)&gt;1,"",SUMIFS(tbl_input[필요수량],tbl_input[집계키_센터],F2239)))</f>
        <v/>
      </c>
      <c r="F2239" t="str">
        <f>IFERROR(INDEX(tbl_input[집계키_센터],ROW()-1),"")</f>
        <v/>
      </c>
      <c r="G2239" t="str">
        <f t="shared" si="242"/>
        <v/>
      </c>
      <c r="H2239" t="str">
        <f t="shared" si="243"/>
        <v/>
      </c>
      <c r="I2239" t="str">
        <f t="shared" si="244"/>
        <v/>
      </c>
    </row>
    <row r="2240" spans="1:9" x14ac:dyDescent="0.4">
      <c r="A2240" t="str">
        <f t="shared" si="238"/>
        <v/>
      </c>
      <c r="B2240" t="str">
        <f t="shared" si="239"/>
        <v/>
      </c>
      <c r="C2240" t="str">
        <f t="shared" si="240"/>
        <v/>
      </c>
      <c r="D2240" t="str">
        <f t="shared" si="241"/>
        <v/>
      </c>
      <c r="E2240" t="str">
        <f>IF(F2240="","",IF(COUNTIF($F$2:F2240,F2240)&gt;1,"",SUMIFS(tbl_input[필요수량],tbl_input[집계키_센터],F2240)))</f>
        <v/>
      </c>
      <c r="F2240" t="str">
        <f>IFERROR(INDEX(tbl_input[집계키_센터],ROW()-1),"")</f>
        <v/>
      </c>
      <c r="G2240" t="str">
        <f t="shared" si="242"/>
        <v/>
      </c>
      <c r="H2240" t="str">
        <f t="shared" si="243"/>
        <v/>
      </c>
      <c r="I2240" t="str">
        <f t="shared" si="244"/>
        <v/>
      </c>
    </row>
    <row r="2241" spans="1:9" x14ac:dyDescent="0.4">
      <c r="A2241" t="str">
        <f t="shared" si="238"/>
        <v/>
      </c>
      <c r="B2241" t="str">
        <f t="shared" si="239"/>
        <v/>
      </c>
      <c r="C2241" t="str">
        <f t="shared" si="240"/>
        <v/>
      </c>
      <c r="D2241" t="str">
        <f t="shared" si="241"/>
        <v/>
      </c>
      <c r="E2241" t="str">
        <f>IF(F2241="","",IF(COUNTIF($F$2:F2241,F2241)&gt;1,"",SUMIFS(tbl_input[필요수량],tbl_input[집계키_센터],F2241)))</f>
        <v/>
      </c>
      <c r="F2241" t="str">
        <f>IFERROR(INDEX(tbl_input[집계키_센터],ROW()-1),"")</f>
        <v/>
      </c>
      <c r="G2241" t="str">
        <f t="shared" si="242"/>
        <v/>
      </c>
      <c r="H2241" t="str">
        <f t="shared" si="243"/>
        <v/>
      </c>
      <c r="I2241" t="str">
        <f t="shared" si="244"/>
        <v/>
      </c>
    </row>
    <row r="2242" spans="1:9" x14ac:dyDescent="0.4">
      <c r="A2242" t="str">
        <f t="shared" ref="A2242:A2305" si="245">IF(F2242="","",LEFT(F2242,G2242-1))</f>
        <v/>
      </c>
      <c r="B2242" t="str">
        <f t="shared" ref="B2242:B2305" si="246">IF(F2242="","",MID(F2242,G2242+1,H2242-G2242-1))</f>
        <v/>
      </c>
      <c r="C2242" t="str">
        <f t="shared" ref="C2242:C2305" si="247">IF(F2242="","",MID(F2242,H2242+1,I2242-H2242-1))</f>
        <v/>
      </c>
      <c r="D2242" t="str">
        <f t="shared" ref="D2242:D2305" si="248">IF(F2242="","",MID(F2242,I2242+1,999))</f>
        <v/>
      </c>
      <c r="E2242" t="str">
        <f>IF(F2242="","",IF(COUNTIF($F$2:F2242,F2242)&gt;1,"",SUMIFS(tbl_input[필요수량],tbl_input[집계키_센터],F2242)))</f>
        <v/>
      </c>
      <c r="F2242" t="str">
        <f>IFERROR(INDEX(tbl_input[집계키_센터],ROW()-1),"")</f>
        <v/>
      </c>
      <c r="G2242" t="str">
        <f t="shared" ref="G2242:G2305" si="249">IF(F2242="","",FIND("♦",F2242))</f>
        <v/>
      </c>
      <c r="H2242" t="str">
        <f t="shared" ref="H2242:H2305" si="250">IF(F2242="","",FIND("♦",F2242,G2242+1))</f>
        <v/>
      </c>
      <c r="I2242" t="str">
        <f t="shared" ref="I2242:I2305" si="251">IF(F2242="","",FIND("♦",F2242,H2242+1))</f>
        <v/>
      </c>
    </row>
    <row r="2243" spans="1:9" x14ac:dyDescent="0.4">
      <c r="A2243" t="str">
        <f t="shared" si="245"/>
        <v/>
      </c>
      <c r="B2243" t="str">
        <f t="shared" si="246"/>
        <v/>
      </c>
      <c r="C2243" t="str">
        <f t="shared" si="247"/>
        <v/>
      </c>
      <c r="D2243" t="str">
        <f t="shared" si="248"/>
        <v/>
      </c>
      <c r="E2243" t="str">
        <f>IF(F2243="","",IF(COUNTIF($F$2:F2243,F2243)&gt;1,"",SUMIFS(tbl_input[필요수량],tbl_input[집계키_센터],F2243)))</f>
        <v/>
      </c>
      <c r="F2243" t="str">
        <f>IFERROR(INDEX(tbl_input[집계키_센터],ROW()-1),"")</f>
        <v/>
      </c>
      <c r="G2243" t="str">
        <f t="shared" si="249"/>
        <v/>
      </c>
      <c r="H2243" t="str">
        <f t="shared" si="250"/>
        <v/>
      </c>
      <c r="I2243" t="str">
        <f t="shared" si="251"/>
        <v/>
      </c>
    </row>
    <row r="2244" spans="1:9" x14ac:dyDescent="0.4">
      <c r="A2244" t="str">
        <f t="shared" si="245"/>
        <v/>
      </c>
      <c r="B2244" t="str">
        <f t="shared" si="246"/>
        <v/>
      </c>
      <c r="C2244" t="str">
        <f t="shared" si="247"/>
        <v/>
      </c>
      <c r="D2244" t="str">
        <f t="shared" si="248"/>
        <v/>
      </c>
      <c r="E2244" t="str">
        <f>IF(F2244="","",IF(COUNTIF($F$2:F2244,F2244)&gt;1,"",SUMIFS(tbl_input[필요수량],tbl_input[집계키_센터],F2244)))</f>
        <v/>
      </c>
      <c r="F2244" t="str">
        <f>IFERROR(INDEX(tbl_input[집계키_센터],ROW()-1),"")</f>
        <v/>
      </c>
      <c r="G2244" t="str">
        <f t="shared" si="249"/>
        <v/>
      </c>
      <c r="H2244" t="str">
        <f t="shared" si="250"/>
        <v/>
      </c>
      <c r="I2244" t="str">
        <f t="shared" si="251"/>
        <v/>
      </c>
    </row>
    <row r="2245" spans="1:9" x14ac:dyDescent="0.4">
      <c r="A2245" t="str">
        <f t="shared" si="245"/>
        <v/>
      </c>
      <c r="B2245" t="str">
        <f t="shared" si="246"/>
        <v/>
      </c>
      <c r="C2245" t="str">
        <f t="shared" si="247"/>
        <v/>
      </c>
      <c r="D2245" t="str">
        <f t="shared" si="248"/>
        <v/>
      </c>
      <c r="E2245" t="str">
        <f>IF(F2245="","",IF(COUNTIF($F$2:F2245,F2245)&gt;1,"",SUMIFS(tbl_input[필요수량],tbl_input[집계키_센터],F2245)))</f>
        <v/>
      </c>
      <c r="F2245" t="str">
        <f>IFERROR(INDEX(tbl_input[집계키_센터],ROW()-1),"")</f>
        <v/>
      </c>
      <c r="G2245" t="str">
        <f t="shared" si="249"/>
        <v/>
      </c>
      <c r="H2245" t="str">
        <f t="shared" si="250"/>
        <v/>
      </c>
      <c r="I2245" t="str">
        <f t="shared" si="251"/>
        <v/>
      </c>
    </row>
    <row r="2246" spans="1:9" x14ac:dyDescent="0.4">
      <c r="A2246" t="str">
        <f t="shared" si="245"/>
        <v/>
      </c>
      <c r="B2246" t="str">
        <f t="shared" si="246"/>
        <v/>
      </c>
      <c r="C2246" t="str">
        <f t="shared" si="247"/>
        <v/>
      </c>
      <c r="D2246" t="str">
        <f t="shared" si="248"/>
        <v/>
      </c>
      <c r="E2246" t="str">
        <f>IF(F2246="","",IF(COUNTIF($F$2:F2246,F2246)&gt;1,"",SUMIFS(tbl_input[필요수량],tbl_input[집계키_센터],F2246)))</f>
        <v/>
      </c>
      <c r="F2246" t="str">
        <f>IFERROR(INDEX(tbl_input[집계키_센터],ROW()-1),"")</f>
        <v/>
      </c>
      <c r="G2246" t="str">
        <f t="shared" si="249"/>
        <v/>
      </c>
      <c r="H2246" t="str">
        <f t="shared" si="250"/>
        <v/>
      </c>
      <c r="I2246" t="str">
        <f t="shared" si="251"/>
        <v/>
      </c>
    </row>
    <row r="2247" spans="1:9" x14ac:dyDescent="0.4">
      <c r="A2247" t="str">
        <f t="shared" si="245"/>
        <v/>
      </c>
      <c r="B2247" t="str">
        <f t="shared" si="246"/>
        <v/>
      </c>
      <c r="C2247" t="str">
        <f t="shared" si="247"/>
        <v/>
      </c>
      <c r="D2247" t="str">
        <f t="shared" si="248"/>
        <v/>
      </c>
      <c r="E2247" t="str">
        <f>IF(F2247="","",IF(COUNTIF($F$2:F2247,F2247)&gt;1,"",SUMIFS(tbl_input[필요수량],tbl_input[집계키_센터],F2247)))</f>
        <v/>
      </c>
      <c r="F2247" t="str">
        <f>IFERROR(INDEX(tbl_input[집계키_센터],ROW()-1),"")</f>
        <v/>
      </c>
      <c r="G2247" t="str">
        <f t="shared" si="249"/>
        <v/>
      </c>
      <c r="H2247" t="str">
        <f t="shared" si="250"/>
        <v/>
      </c>
      <c r="I2247" t="str">
        <f t="shared" si="251"/>
        <v/>
      </c>
    </row>
    <row r="2248" spans="1:9" x14ac:dyDescent="0.4">
      <c r="A2248" t="str">
        <f t="shared" si="245"/>
        <v/>
      </c>
      <c r="B2248" t="str">
        <f t="shared" si="246"/>
        <v/>
      </c>
      <c r="C2248" t="str">
        <f t="shared" si="247"/>
        <v/>
      </c>
      <c r="D2248" t="str">
        <f t="shared" si="248"/>
        <v/>
      </c>
      <c r="E2248" t="str">
        <f>IF(F2248="","",IF(COUNTIF($F$2:F2248,F2248)&gt;1,"",SUMIFS(tbl_input[필요수량],tbl_input[집계키_센터],F2248)))</f>
        <v/>
      </c>
      <c r="F2248" t="str">
        <f>IFERROR(INDEX(tbl_input[집계키_센터],ROW()-1),"")</f>
        <v/>
      </c>
      <c r="G2248" t="str">
        <f t="shared" si="249"/>
        <v/>
      </c>
      <c r="H2248" t="str">
        <f t="shared" si="250"/>
        <v/>
      </c>
      <c r="I2248" t="str">
        <f t="shared" si="251"/>
        <v/>
      </c>
    </row>
    <row r="2249" spans="1:9" x14ac:dyDescent="0.4">
      <c r="A2249" t="str">
        <f t="shared" si="245"/>
        <v/>
      </c>
      <c r="B2249" t="str">
        <f t="shared" si="246"/>
        <v/>
      </c>
      <c r="C2249" t="str">
        <f t="shared" si="247"/>
        <v/>
      </c>
      <c r="D2249" t="str">
        <f t="shared" si="248"/>
        <v/>
      </c>
      <c r="E2249" t="str">
        <f>IF(F2249="","",IF(COUNTIF($F$2:F2249,F2249)&gt;1,"",SUMIFS(tbl_input[필요수량],tbl_input[집계키_센터],F2249)))</f>
        <v/>
      </c>
      <c r="F2249" t="str">
        <f>IFERROR(INDEX(tbl_input[집계키_센터],ROW()-1),"")</f>
        <v/>
      </c>
      <c r="G2249" t="str">
        <f t="shared" si="249"/>
        <v/>
      </c>
      <c r="H2249" t="str">
        <f t="shared" si="250"/>
        <v/>
      </c>
      <c r="I2249" t="str">
        <f t="shared" si="251"/>
        <v/>
      </c>
    </row>
    <row r="2250" spans="1:9" x14ac:dyDescent="0.4">
      <c r="A2250" t="str">
        <f t="shared" si="245"/>
        <v/>
      </c>
      <c r="B2250" t="str">
        <f t="shared" si="246"/>
        <v/>
      </c>
      <c r="C2250" t="str">
        <f t="shared" si="247"/>
        <v/>
      </c>
      <c r="D2250" t="str">
        <f t="shared" si="248"/>
        <v/>
      </c>
      <c r="E2250" t="str">
        <f>IF(F2250="","",IF(COUNTIF($F$2:F2250,F2250)&gt;1,"",SUMIFS(tbl_input[필요수량],tbl_input[집계키_센터],F2250)))</f>
        <v/>
      </c>
      <c r="F2250" t="str">
        <f>IFERROR(INDEX(tbl_input[집계키_센터],ROW()-1),"")</f>
        <v/>
      </c>
      <c r="G2250" t="str">
        <f t="shared" si="249"/>
        <v/>
      </c>
      <c r="H2250" t="str">
        <f t="shared" si="250"/>
        <v/>
      </c>
      <c r="I2250" t="str">
        <f t="shared" si="251"/>
        <v/>
      </c>
    </row>
    <row r="2251" spans="1:9" x14ac:dyDescent="0.4">
      <c r="A2251" t="str">
        <f t="shared" si="245"/>
        <v/>
      </c>
      <c r="B2251" t="str">
        <f t="shared" si="246"/>
        <v/>
      </c>
      <c r="C2251" t="str">
        <f t="shared" si="247"/>
        <v/>
      </c>
      <c r="D2251" t="str">
        <f t="shared" si="248"/>
        <v/>
      </c>
      <c r="E2251" t="str">
        <f>IF(F2251="","",IF(COUNTIF($F$2:F2251,F2251)&gt;1,"",SUMIFS(tbl_input[필요수량],tbl_input[집계키_센터],F2251)))</f>
        <v/>
      </c>
      <c r="F2251" t="str">
        <f>IFERROR(INDEX(tbl_input[집계키_센터],ROW()-1),"")</f>
        <v/>
      </c>
      <c r="G2251" t="str">
        <f t="shared" si="249"/>
        <v/>
      </c>
      <c r="H2251" t="str">
        <f t="shared" si="250"/>
        <v/>
      </c>
      <c r="I2251" t="str">
        <f t="shared" si="251"/>
        <v/>
      </c>
    </row>
    <row r="2252" spans="1:9" x14ac:dyDescent="0.4">
      <c r="A2252" t="str">
        <f t="shared" si="245"/>
        <v/>
      </c>
      <c r="B2252" t="str">
        <f t="shared" si="246"/>
        <v/>
      </c>
      <c r="C2252" t="str">
        <f t="shared" si="247"/>
        <v/>
      </c>
      <c r="D2252" t="str">
        <f t="shared" si="248"/>
        <v/>
      </c>
      <c r="E2252" t="str">
        <f>IF(F2252="","",IF(COUNTIF($F$2:F2252,F2252)&gt;1,"",SUMIFS(tbl_input[필요수량],tbl_input[집계키_센터],F2252)))</f>
        <v/>
      </c>
      <c r="F2252" t="str">
        <f>IFERROR(INDEX(tbl_input[집계키_센터],ROW()-1),"")</f>
        <v/>
      </c>
      <c r="G2252" t="str">
        <f t="shared" si="249"/>
        <v/>
      </c>
      <c r="H2252" t="str">
        <f t="shared" si="250"/>
        <v/>
      </c>
      <c r="I2252" t="str">
        <f t="shared" si="251"/>
        <v/>
      </c>
    </row>
    <row r="2253" spans="1:9" x14ac:dyDescent="0.4">
      <c r="A2253" t="str">
        <f t="shared" si="245"/>
        <v/>
      </c>
      <c r="B2253" t="str">
        <f t="shared" si="246"/>
        <v/>
      </c>
      <c r="C2253" t="str">
        <f t="shared" si="247"/>
        <v/>
      </c>
      <c r="D2253" t="str">
        <f t="shared" si="248"/>
        <v/>
      </c>
      <c r="E2253" t="str">
        <f>IF(F2253="","",IF(COUNTIF($F$2:F2253,F2253)&gt;1,"",SUMIFS(tbl_input[필요수량],tbl_input[집계키_센터],F2253)))</f>
        <v/>
      </c>
      <c r="F2253" t="str">
        <f>IFERROR(INDEX(tbl_input[집계키_센터],ROW()-1),"")</f>
        <v/>
      </c>
      <c r="G2253" t="str">
        <f t="shared" si="249"/>
        <v/>
      </c>
      <c r="H2253" t="str">
        <f t="shared" si="250"/>
        <v/>
      </c>
      <c r="I2253" t="str">
        <f t="shared" si="251"/>
        <v/>
      </c>
    </row>
    <row r="2254" spans="1:9" x14ac:dyDescent="0.4">
      <c r="A2254" t="str">
        <f t="shared" si="245"/>
        <v/>
      </c>
      <c r="B2254" t="str">
        <f t="shared" si="246"/>
        <v/>
      </c>
      <c r="C2254" t="str">
        <f t="shared" si="247"/>
        <v/>
      </c>
      <c r="D2254" t="str">
        <f t="shared" si="248"/>
        <v/>
      </c>
      <c r="E2254" t="str">
        <f>IF(F2254="","",IF(COUNTIF($F$2:F2254,F2254)&gt;1,"",SUMIFS(tbl_input[필요수량],tbl_input[집계키_센터],F2254)))</f>
        <v/>
      </c>
      <c r="F2254" t="str">
        <f>IFERROR(INDEX(tbl_input[집계키_센터],ROW()-1),"")</f>
        <v/>
      </c>
      <c r="G2254" t="str">
        <f t="shared" si="249"/>
        <v/>
      </c>
      <c r="H2254" t="str">
        <f t="shared" si="250"/>
        <v/>
      </c>
      <c r="I2254" t="str">
        <f t="shared" si="251"/>
        <v/>
      </c>
    </row>
    <row r="2255" spans="1:9" x14ac:dyDescent="0.4">
      <c r="A2255" t="str">
        <f t="shared" si="245"/>
        <v/>
      </c>
      <c r="B2255" t="str">
        <f t="shared" si="246"/>
        <v/>
      </c>
      <c r="C2255" t="str">
        <f t="shared" si="247"/>
        <v/>
      </c>
      <c r="D2255" t="str">
        <f t="shared" si="248"/>
        <v/>
      </c>
      <c r="E2255" t="str">
        <f>IF(F2255="","",IF(COUNTIF($F$2:F2255,F2255)&gt;1,"",SUMIFS(tbl_input[필요수량],tbl_input[집계키_센터],F2255)))</f>
        <v/>
      </c>
      <c r="F2255" t="str">
        <f>IFERROR(INDEX(tbl_input[집계키_센터],ROW()-1),"")</f>
        <v/>
      </c>
      <c r="G2255" t="str">
        <f t="shared" si="249"/>
        <v/>
      </c>
      <c r="H2255" t="str">
        <f t="shared" si="250"/>
        <v/>
      </c>
      <c r="I2255" t="str">
        <f t="shared" si="251"/>
        <v/>
      </c>
    </row>
    <row r="2256" spans="1:9" x14ac:dyDescent="0.4">
      <c r="A2256" t="str">
        <f t="shared" si="245"/>
        <v/>
      </c>
      <c r="B2256" t="str">
        <f t="shared" si="246"/>
        <v/>
      </c>
      <c r="C2256" t="str">
        <f t="shared" si="247"/>
        <v/>
      </c>
      <c r="D2256" t="str">
        <f t="shared" si="248"/>
        <v/>
      </c>
      <c r="E2256" t="str">
        <f>IF(F2256="","",IF(COUNTIF($F$2:F2256,F2256)&gt;1,"",SUMIFS(tbl_input[필요수량],tbl_input[집계키_센터],F2256)))</f>
        <v/>
      </c>
      <c r="F2256" t="str">
        <f>IFERROR(INDEX(tbl_input[집계키_센터],ROW()-1),"")</f>
        <v/>
      </c>
      <c r="G2256" t="str">
        <f t="shared" si="249"/>
        <v/>
      </c>
      <c r="H2256" t="str">
        <f t="shared" si="250"/>
        <v/>
      </c>
      <c r="I2256" t="str">
        <f t="shared" si="251"/>
        <v/>
      </c>
    </row>
    <row r="2257" spans="1:9" x14ac:dyDescent="0.4">
      <c r="A2257" t="str">
        <f t="shared" si="245"/>
        <v/>
      </c>
      <c r="B2257" t="str">
        <f t="shared" si="246"/>
        <v/>
      </c>
      <c r="C2257" t="str">
        <f t="shared" si="247"/>
        <v/>
      </c>
      <c r="D2257" t="str">
        <f t="shared" si="248"/>
        <v/>
      </c>
      <c r="E2257" t="str">
        <f>IF(F2257="","",IF(COUNTIF($F$2:F2257,F2257)&gt;1,"",SUMIFS(tbl_input[필요수량],tbl_input[집계키_센터],F2257)))</f>
        <v/>
      </c>
      <c r="F2257" t="str">
        <f>IFERROR(INDEX(tbl_input[집계키_센터],ROW()-1),"")</f>
        <v/>
      </c>
      <c r="G2257" t="str">
        <f t="shared" si="249"/>
        <v/>
      </c>
      <c r="H2257" t="str">
        <f t="shared" si="250"/>
        <v/>
      </c>
      <c r="I2257" t="str">
        <f t="shared" si="251"/>
        <v/>
      </c>
    </row>
    <row r="2258" spans="1:9" x14ac:dyDescent="0.4">
      <c r="A2258" t="str">
        <f t="shared" si="245"/>
        <v/>
      </c>
      <c r="B2258" t="str">
        <f t="shared" si="246"/>
        <v/>
      </c>
      <c r="C2258" t="str">
        <f t="shared" si="247"/>
        <v/>
      </c>
      <c r="D2258" t="str">
        <f t="shared" si="248"/>
        <v/>
      </c>
      <c r="E2258" t="str">
        <f>IF(F2258="","",IF(COUNTIF($F$2:F2258,F2258)&gt;1,"",SUMIFS(tbl_input[필요수량],tbl_input[집계키_센터],F2258)))</f>
        <v/>
      </c>
      <c r="F2258" t="str">
        <f>IFERROR(INDEX(tbl_input[집계키_센터],ROW()-1),"")</f>
        <v/>
      </c>
      <c r="G2258" t="str">
        <f t="shared" si="249"/>
        <v/>
      </c>
      <c r="H2258" t="str">
        <f t="shared" si="250"/>
        <v/>
      </c>
      <c r="I2258" t="str">
        <f t="shared" si="251"/>
        <v/>
      </c>
    </row>
    <row r="2259" spans="1:9" x14ac:dyDescent="0.4">
      <c r="A2259" t="str">
        <f t="shared" si="245"/>
        <v/>
      </c>
      <c r="B2259" t="str">
        <f t="shared" si="246"/>
        <v/>
      </c>
      <c r="C2259" t="str">
        <f t="shared" si="247"/>
        <v/>
      </c>
      <c r="D2259" t="str">
        <f t="shared" si="248"/>
        <v/>
      </c>
      <c r="E2259" t="str">
        <f>IF(F2259="","",IF(COUNTIF($F$2:F2259,F2259)&gt;1,"",SUMIFS(tbl_input[필요수량],tbl_input[집계키_센터],F2259)))</f>
        <v/>
      </c>
      <c r="F2259" t="str">
        <f>IFERROR(INDEX(tbl_input[집계키_센터],ROW()-1),"")</f>
        <v/>
      </c>
      <c r="G2259" t="str">
        <f t="shared" si="249"/>
        <v/>
      </c>
      <c r="H2259" t="str">
        <f t="shared" si="250"/>
        <v/>
      </c>
      <c r="I2259" t="str">
        <f t="shared" si="251"/>
        <v/>
      </c>
    </row>
    <row r="2260" spans="1:9" x14ac:dyDescent="0.4">
      <c r="A2260" t="str">
        <f t="shared" si="245"/>
        <v/>
      </c>
      <c r="B2260" t="str">
        <f t="shared" si="246"/>
        <v/>
      </c>
      <c r="C2260" t="str">
        <f t="shared" si="247"/>
        <v/>
      </c>
      <c r="D2260" t="str">
        <f t="shared" si="248"/>
        <v/>
      </c>
      <c r="E2260" t="str">
        <f>IF(F2260="","",IF(COUNTIF($F$2:F2260,F2260)&gt;1,"",SUMIFS(tbl_input[필요수량],tbl_input[집계키_센터],F2260)))</f>
        <v/>
      </c>
      <c r="F2260" t="str">
        <f>IFERROR(INDEX(tbl_input[집계키_센터],ROW()-1),"")</f>
        <v/>
      </c>
      <c r="G2260" t="str">
        <f t="shared" si="249"/>
        <v/>
      </c>
      <c r="H2260" t="str">
        <f t="shared" si="250"/>
        <v/>
      </c>
      <c r="I2260" t="str">
        <f t="shared" si="251"/>
        <v/>
      </c>
    </row>
    <row r="2261" spans="1:9" x14ac:dyDescent="0.4">
      <c r="A2261" t="str">
        <f t="shared" si="245"/>
        <v/>
      </c>
      <c r="B2261" t="str">
        <f t="shared" si="246"/>
        <v/>
      </c>
      <c r="C2261" t="str">
        <f t="shared" si="247"/>
        <v/>
      </c>
      <c r="D2261" t="str">
        <f t="shared" si="248"/>
        <v/>
      </c>
      <c r="E2261" t="str">
        <f>IF(F2261="","",IF(COUNTIF($F$2:F2261,F2261)&gt;1,"",SUMIFS(tbl_input[필요수량],tbl_input[집계키_센터],F2261)))</f>
        <v/>
      </c>
      <c r="F2261" t="str">
        <f>IFERROR(INDEX(tbl_input[집계키_센터],ROW()-1),"")</f>
        <v/>
      </c>
      <c r="G2261" t="str">
        <f t="shared" si="249"/>
        <v/>
      </c>
      <c r="H2261" t="str">
        <f t="shared" si="250"/>
        <v/>
      </c>
      <c r="I2261" t="str">
        <f t="shared" si="251"/>
        <v/>
      </c>
    </row>
    <row r="2262" spans="1:9" x14ac:dyDescent="0.4">
      <c r="A2262" t="str">
        <f t="shared" si="245"/>
        <v/>
      </c>
      <c r="B2262" t="str">
        <f t="shared" si="246"/>
        <v/>
      </c>
      <c r="C2262" t="str">
        <f t="shared" si="247"/>
        <v/>
      </c>
      <c r="D2262" t="str">
        <f t="shared" si="248"/>
        <v/>
      </c>
      <c r="E2262" t="str">
        <f>IF(F2262="","",IF(COUNTIF($F$2:F2262,F2262)&gt;1,"",SUMIFS(tbl_input[필요수량],tbl_input[집계키_센터],F2262)))</f>
        <v/>
      </c>
      <c r="F2262" t="str">
        <f>IFERROR(INDEX(tbl_input[집계키_센터],ROW()-1),"")</f>
        <v/>
      </c>
      <c r="G2262" t="str">
        <f t="shared" si="249"/>
        <v/>
      </c>
      <c r="H2262" t="str">
        <f t="shared" si="250"/>
        <v/>
      </c>
      <c r="I2262" t="str">
        <f t="shared" si="251"/>
        <v/>
      </c>
    </row>
    <row r="2263" spans="1:9" x14ac:dyDescent="0.4">
      <c r="A2263" t="str">
        <f t="shared" si="245"/>
        <v/>
      </c>
      <c r="B2263" t="str">
        <f t="shared" si="246"/>
        <v/>
      </c>
      <c r="C2263" t="str">
        <f t="shared" si="247"/>
        <v/>
      </c>
      <c r="D2263" t="str">
        <f t="shared" si="248"/>
        <v/>
      </c>
      <c r="E2263" t="str">
        <f>IF(F2263="","",IF(COUNTIF($F$2:F2263,F2263)&gt;1,"",SUMIFS(tbl_input[필요수량],tbl_input[집계키_센터],F2263)))</f>
        <v/>
      </c>
      <c r="F2263" t="str">
        <f>IFERROR(INDEX(tbl_input[집계키_센터],ROW()-1),"")</f>
        <v/>
      </c>
      <c r="G2263" t="str">
        <f t="shared" si="249"/>
        <v/>
      </c>
      <c r="H2263" t="str">
        <f t="shared" si="250"/>
        <v/>
      </c>
      <c r="I2263" t="str">
        <f t="shared" si="251"/>
        <v/>
      </c>
    </row>
    <row r="2264" spans="1:9" x14ac:dyDescent="0.4">
      <c r="A2264" t="str">
        <f t="shared" si="245"/>
        <v/>
      </c>
      <c r="B2264" t="str">
        <f t="shared" si="246"/>
        <v/>
      </c>
      <c r="C2264" t="str">
        <f t="shared" si="247"/>
        <v/>
      </c>
      <c r="D2264" t="str">
        <f t="shared" si="248"/>
        <v/>
      </c>
      <c r="E2264" t="str">
        <f>IF(F2264="","",IF(COUNTIF($F$2:F2264,F2264)&gt;1,"",SUMIFS(tbl_input[필요수량],tbl_input[집계키_센터],F2264)))</f>
        <v/>
      </c>
      <c r="F2264" t="str">
        <f>IFERROR(INDEX(tbl_input[집계키_센터],ROW()-1),"")</f>
        <v/>
      </c>
      <c r="G2264" t="str">
        <f t="shared" si="249"/>
        <v/>
      </c>
      <c r="H2264" t="str">
        <f t="shared" si="250"/>
        <v/>
      </c>
      <c r="I2264" t="str">
        <f t="shared" si="251"/>
        <v/>
      </c>
    </row>
    <row r="2265" spans="1:9" x14ac:dyDescent="0.4">
      <c r="A2265" t="str">
        <f t="shared" si="245"/>
        <v/>
      </c>
      <c r="B2265" t="str">
        <f t="shared" si="246"/>
        <v/>
      </c>
      <c r="C2265" t="str">
        <f t="shared" si="247"/>
        <v/>
      </c>
      <c r="D2265" t="str">
        <f t="shared" si="248"/>
        <v/>
      </c>
      <c r="E2265" t="str">
        <f>IF(F2265="","",IF(COUNTIF($F$2:F2265,F2265)&gt;1,"",SUMIFS(tbl_input[필요수량],tbl_input[집계키_센터],F2265)))</f>
        <v/>
      </c>
      <c r="F2265" t="str">
        <f>IFERROR(INDEX(tbl_input[집계키_센터],ROW()-1),"")</f>
        <v/>
      </c>
      <c r="G2265" t="str">
        <f t="shared" si="249"/>
        <v/>
      </c>
      <c r="H2265" t="str">
        <f t="shared" si="250"/>
        <v/>
      </c>
      <c r="I2265" t="str">
        <f t="shared" si="251"/>
        <v/>
      </c>
    </row>
    <row r="2266" spans="1:9" x14ac:dyDescent="0.4">
      <c r="A2266" t="str">
        <f t="shared" si="245"/>
        <v/>
      </c>
      <c r="B2266" t="str">
        <f t="shared" si="246"/>
        <v/>
      </c>
      <c r="C2266" t="str">
        <f t="shared" si="247"/>
        <v/>
      </c>
      <c r="D2266" t="str">
        <f t="shared" si="248"/>
        <v/>
      </c>
      <c r="E2266" t="str">
        <f>IF(F2266="","",IF(COUNTIF($F$2:F2266,F2266)&gt;1,"",SUMIFS(tbl_input[필요수량],tbl_input[집계키_센터],F2266)))</f>
        <v/>
      </c>
      <c r="F2266" t="str">
        <f>IFERROR(INDEX(tbl_input[집계키_센터],ROW()-1),"")</f>
        <v/>
      </c>
      <c r="G2266" t="str">
        <f t="shared" si="249"/>
        <v/>
      </c>
      <c r="H2266" t="str">
        <f t="shared" si="250"/>
        <v/>
      </c>
      <c r="I2266" t="str">
        <f t="shared" si="251"/>
        <v/>
      </c>
    </row>
    <row r="2267" spans="1:9" x14ac:dyDescent="0.4">
      <c r="A2267" t="str">
        <f t="shared" si="245"/>
        <v/>
      </c>
      <c r="B2267" t="str">
        <f t="shared" si="246"/>
        <v/>
      </c>
      <c r="C2267" t="str">
        <f t="shared" si="247"/>
        <v/>
      </c>
      <c r="D2267" t="str">
        <f t="shared" si="248"/>
        <v/>
      </c>
      <c r="E2267" t="str">
        <f>IF(F2267="","",IF(COUNTIF($F$2:F2267,F2267)&gt;1,"",SUMIFS(tbl_input[필요수량],tbl_input[집계키_센터],F2267)))</f>
        <v/>
      </c>
      <c r="F2267" t="str">
        <f>IFERROR(INDEX(tbl_input[집계키_센터],ROW()-1),"")</f>
        <v/>
      </c>
      <c r="G2267" t="str">
        <f t="shared" si="249"/>
        <v/>
      </c>
      <c r="H2267" t="str">
        <f t="shared" si="250"/>
        <v/>
      </c>
      <c r="I2267" t="str">
        <f t="shared" si="251"/>
        <v/>
      </c>
    </row>
    <row r="2268" spans="1:9" x14ac:dyDescent="0.4">
      <c r="A2268" t="str">
        <f t="shared" si="245"/>
        <v/>
      </c>
      <c r="B2268" t="str">
        <f t="shared" si="246"/>
        <v/>
      </c>
      <c r="C2268" t="str">
        <f t="shared" si="247"/>
        <v/>
      </c>
      <c r="D2268" t="str">
        <f t="shared" si="248"/>
        <v/>
      </c>
      <c r="E2268" t="str">
        <f>IF(F2268="","",IF(COUNTIF($F$2:F2268,F2268)&gt;1,"",SUMIFS(tbl_input[필요수량],tbl_input[집계키_센터],F2268)))</f>
        <v/>
      </c>
      <c r="F2268" t="str">
        <f>IFERROR(INDEX(tbl_input[집계키_센터],ROW()-1),"")</f>
        <v/>
      </c>
      <c r="G2268" t="str">
        <f t="shared" si="249"/>
        <v/>
      </c>
      <c r="H2268" t="str">
        <f t="shared" si="250"/>
        <v/>
      </c>
      <c r="I2268" t="str">
        <f t="shared" si="251"/>
        <v/>
      </c>
    </row>
    <row r="2269" spans="1:9" x14ac:dyDescent="0.4">
      <c r="A2269" t="str">
        <f t="shared" si="245"/>
        <v/>
      </c>
      <c r="B2269" t="str">
        <f t="shared" si="246"/>
        <v/>
      </c>
      <c r="C2269" t="str">
        <f t="shared" si="247"/>
        <v/>
      </c>
      <c r="D2269" t="str">
        <f t="shared" si="248"/>
        <v/>
      </c>
      <c r="E2269" t="str">
        <f>IF(F2269="","",IF(COUNTIF($F$2:F2269,F2269)&gt;1,"",SUMIFS(tbl_input[필요수량],tbl_input[집계키_센터],F2269)))</f>
        <v/>
      </c>
      <c r="F2269" t="str">
        <f>IFERROR(INDEX(tbl_input[집계키_센터],ROW()-1),"")</f>
        <v/>
      </c>
      <c r="G2269" t="str">
        <f t="shared" si="249"/>
        <v/>
      </c>
      <c r="H2269" t="str">
        <f t="shared" si="250"/>
        <v/>
      </c>
      <c r="I2269" t="str">
        <f t="shared" si="251"/>
        <v/>
      </c>
    </row>
    <row r="2270" spans="1:9" x14ac:dyDescent="0.4">
      <c r="A2270" t="str">
        <f t="shared" si="245"/>
        <v/>
      </c>
      <c r="B2270" t="str">
        <f t="shared" si="246"/>
        <v/>
      </c>
      <c r="C2270" t="str">
        <f t="shared" si="247"/>
        <v/>
      </c>
      <c r="D2270" t="str">
        <f t="shared" si="248"/>
        <v/>
      </c>
      <c r="E2270" t="str">
        <f>IF(F2270="","",IF(COUNTIF($F$2:F2270,F2270)&gt;1,"",SUMIFS(tbl_input[필요수량],tbl_input[집계키_센터],F2270)))</f>
        <v/>
      </c>
      <c r="F2270" t="str">
        <f>IFERROR(INDEX(tbl_input[집계키_센터],ROW()-1),"")</f>
        <v/>
      </c>
      <c r="G2270" t="str">
        <f t="shared" si="249"/>
        <v/>
      </c>
      <c r="H2270" t="str">
        <f t="shared" si="250"/>
        <v/>
      </c>
      <c r="I2270" t="str">
        <f t="shared" si="251"/>
        <v/>
      </c>
    </row>
    <row r="2271" spans="1:9" x14ac:dyDescent="0.4">
      <c r="A2271" t="str">
        <f t="shared" si="245"/>
        <v/>
      </c>
      <c r="B2271" t="str">
        <f t="shared" si="246"/>
        <v/>
      </c>
      <c r="C2271" t="str">
        <f t="shared" si="247"/>
        <v/>
      </c>
      <c r="D2271" t="str">
        <f t="shared" si="248"/>
        <v/>
      </c>
      <c r="E2271" t="str">
        <f>IF(F2271="","",IF(COUNTIF($F$2:F2271,F2271)&gt;1,"",SUMIFS(tbl_input[필요수량],tbl_input[집계키_센터],F2271)))</f>
        <v/>
      </c>
      <c r="F2271" t="str">
        <f>IFERROR(INDEX(tbl_input[집계키_센터],ROW()-1),"")</f>
        <v/>
      </c>
      <c r="G2271" t="str">
        <f t="shared" si="249"/>
        <v/>
      </c>
      <c r="H2271" t="str">
        <f t="shared" si="250"/>
        <v/>
      </c>
      <c r="I2271" t="str">
        <f t="shared" si="251"/>
        <v/>
      </c>
    </row>
    <row r="2272" spans="1:9" x14ac:dyDescent="0.4">
      <c r="A2272" t="str">
        <f t="shared" si="245"/>
        <v/>
      </c>
      <c r="B2272" t="str">
        <f t="shared" si="246"/>
        <v/>
      </c>
      <c r="C2272" t="str">
        <f t="shared" si="247"/>
        <v/>
      </c>
      <c r="D2272" t="str">
        <f t="shared" si="248"/>
        <v/>
      </c>
      <c r="E2272" t="str">
        <f>IF(F2272="","",IF(COUNTIF($F$2:F2272,F2272)&gt;1,"",SUMIFS(tbl_input[필요수량],tbl_input[집계키_센터],F2272)))</f>
        <v/>
      </c>
      <c r="F2272" t="str">
        <f>IFERROR(INDEX(tbl_input[집계키_센터],ROW()-1),"")</f>
        <v/>
      </c>
      <c r="G2272" t="str">
        <f t="shared" si="249"/>
        <v/>
      </c>
      <c r="H2272" t="str">
        <f t="shared" si="250"/>
        <v/>
      </c>
      <c r="I2272" t="str">
        <f t="shared" si="251"/>
        <v/>
      </c>
    </row>
    <row r="2273" spans="1:9" x14ac:dyDescent="0.4">
      <c r="A2273" t="str">
        <f t="shared" si="245"/>
        <v/>
      </c>
      <c r="B2273" t="str">
        <f t="shared" si="246"/>
        <v/>
      </c>
      <c r="C2273" t="str">
        <f t="shared" si="247"/>
        <v/>
      </c>
      <c r="D2273" t="str">
        <f t="shared" si="248"/>
        <v/>
      </c>
      <c r="E2273" t="str">
        <f>IF(F2273="","",IF(COUNTIF($F$2:F2273,F2273)&gt;1,"",SUMIFS(tbl_input[필요수량],tbl_input[집계키_센터],F2273)))</f>
        <v/>
      </c>
      <c r="F2273" t="str">
        <f>IFERROR(INDEX(tbl_input[집계키_센터],ROW()-1),"")</f>
        <v/>
      </c>
      <c r="G2273" t="str">
        <f t="shared" si="249"/>
        <v/>
      </c>
      <c r="H2273" t="str">
        <f t="shared" si="250"/>
        <v/>
      </c>
      <c r="I2273" t="str">
        <f t="shared" si="251"/>
        <v/>
      </c>
    </row>
    <row r="2274" spans="1:9" x14ac:dyDescent="0.4">
      <c r="A2274" t="str">
        <f t="shared" si="245"/>
        <v/>
      </c>
      <c r="B2274" t="str">
        <f t="shared" si="246"/>
        <v/>
      </c>
      <c r="C2274" t="str">
        <f t="shared" si="247"/>
        <v/>
      </c>
      <c r="D2274" t="str">
        <f t="shared" si="248"/>
        <v/>
      </c>
      <c r="E2274" t="str">
        <f>IF(F2274="","",IF(COUNTIF($F$2:F2274,F2274)&gt;1,"",SUMIFS(tbl_input[필요수량],tbl_input[집계키_센터],F2274)))</f>
        <v/>
      </c>
      <c r="F2274" t="str">
        <f>IFERROR(INDEX(tbl_input[집계키_센터],ROW()-1),"")</f>
        <v/>
      </c>
      <c r="G2274" t="str">
        <f t="shared" si="249"/>
        <v/>
      </c>
      <c r="H2274" t="str">
        <f t="shared" si="250"/>
        <v/>
      </c>
      <c r="I2274" t="str">
        <f t="shared" si="251"/>
        <v/>
      </c>
    </row>
    <row r="2275" spans="1:9" x14ac:dyDescent="0.4">
      <c r="A2275" t="str">
        <f t="shared" si="245"/>
        <v/>
      </c>
      <c r="B2275" t="str">
        <f t="shared" si="246"/>
        <v/>
      </c>
      <c r="C2275" t="str">
        <f t="shared" si="247"/>
        <v/>
      </c>
      <c r="D2275" t="str">
        <f t="shared" si="248"/>
        <v/>
      </c>
      <c r="E2275" t="str">
        <f>IF(F2275="","",IF(COUNTIF($F$2:F2275,F2275)&gt;1,"",SUMIFS(tbl_input[필요수량],tbl_input[집계키_센터],F2275)))</f>
        <v/>
      </c>
      <c r="F2275" t="str">
        <f>IFERROR(INDEX(tbl_input[집계키_센터],ROW()-1),"")</f>
        <v/>
      </c>
      <c r="G2275" t="str">
        <f t="shared" si="249"/>
        <v/>
      </c>
      <c r="H2275" t="str">
        <f t="shared" si="250"/>
        <v/>
      </c>
      <c r="I2275" t="str">
        <f t="shared" si="251"/>
        <v/>
      </c>
    </row>
    <row r="2276" spans="1:9" x14ac:dyDescent="0.4">
      <c r="A2276" t="str">
        <f t="shared" si="245"/>
        <v/>
      </c>
      <c r="B2276" t="str">
        <f t="shared" si="246"/>
        <v/>
      </c>
      <c r="C2276" t="str">
        <f t="shared" si="247"/>
        <v/>
      </c>
      <c r="D2276" t="str">
        <f t="shared" si="248"/>
        <v/>
      </c>
      <c r="E2276" t="str">
        <f>IF(F2276="","",IF(COUNTIF($F$2:F2276,F2276)&gt;1,"",SUMIFS(tbl_input[필요수량],tbl_input[집계키_센터],F2276)))</f>
        <v/>
      </c>
      <c r="F2276" t="str">
        <f>IFERROR(INDEX(tbl_input[집계키_센터],ROW()-1),"")</f>
        <v/>
      </c>
      <c r="G2276" t="str">
        <f t="shared" si="249"/>
        <v/>
      </c>
      <c r="H2276" t="str">
        <f t="shared" si="250"/>
        <v/>
      </c>
      <c r="I2276" t="str">
        <f t="shared" si="251"/>
        <v/>
      </c>
    </row>
    <row r="2277" spans="1:9" x14ac:dyDescent="0.4">
      <c r="A2277" t="str">
        <f t="shared" si="245"/>
        <v/>
      </c>
      <c r="B2277" t="str">
        <f t="shared" si="246"/>
        <v/>
      </c>
      <c r="C2277" t="str">
        <f t="shared" si="247"/>
        <v/>
      </c>
      <c r="D2277" t="str">
        <f t="shared" si="248"/>
        <v/>
      </c>
      <c r="E2277" t="str">
        <f>IF(F2277="","",IF(COUNTIF($F$2:F2277,F2277)&gt;1,"",SUMIFS(tbl_input[필요수량],tbl_input[집계키_센터],F2277)))</f>
        <v/>
      </c>
      <c r="F2277" t="str">
        <f>IFERROR(INDEX(tbl_input[집계키_센터],ROW()-1),"")</f>
        <v/>
      </c>
      <c r="G2277" t="str">
        <f t="shared" si="249"/>
        <v/>
      </c>
      <c r="H2277" t="str">
        <f t="shared" si="250"/>
        <v/>
      </c>
      <c r="I2277" t="str">
        <f t="shared" si="251"/>
        <v/>
      </c>
    </row>
    <row r="2278" spans="1:9" x14ac:dyDescent="0.4">
      <c r="A2278" t="str">
        <f t="shared" si="245"/>
        <v/>
      </c>
      <c r="B2278" t="str">
        <f t="shared" si="246"/>
        <v/>
      </c>
      <c r="C2278" t="str">
        <f t="shared" si="247"/>
        <v/>
      </c>
      <c r="D2278" t="str">
        <f t="shared" si="248"/>
        <v/>
      </c>
      <c r="E2278" t="str">
        <f>IF(F2278="","",IF(COUNTIF($F$2:F2278,F2278)&gt;1,"",SUMIFS(tbl_input[필요수량],tbl_input[집계키_센터],F2278)))</f>
        <v/>
      </c>
      <c r="F2278" t="str">
        <f>IFERROR(INDEX(tbl_input[집계키_센터],ROW()-1),"")</f>
        <v/>
      </c>
      <c r="G2278" t="str">
        <f t="shared" si="249"/>
        <v/>
      </c>
      <c r="H2278" t="str">
        <f t="shared" si="250"/>
        <v/>
      </c>
      <c r="I2278" t="str">
        <f t="shared" si="251"/>
        <v/>
      </c>
    </row>
    <row r="2279" spans="1:9" x14ac:dyDescent="0.4">
      <c r="A2279" t="str">
        <f t="shared" si="245"/>
        <v/>
      </c>
      <c r="B2279" t="str">
        <f t="shared" si="246"/>
        <v/>
      </c>
      <c r="C2279" t="str">
        <f t="shared" si="247"/>
        <v/>
      </c>
      <c r="D2279" t="str">
        <f t="shared" si="248"/>
        <v/>
      </c>
      <c r="E2279" t="str">
        <f>IF(F2279="","",IF(COUNTIF($F$2:F2279,F2279)&gt;1,"",SUMIFS(tbl_input[필요수량],tbl_input[집계키_센터],F2279)))</f>
        <v/>
      </c>
      <c r="F2279" t="str">
        <f>IFERROR(INDEX(tbl_input[집계키_센터],ROW()-1),"")</f>
        <v/>
      </c>
      <c r="G2279" t="str">
        <f t="shared" si="249"/>
        <v/>
      </c>
      <c r="H2279" t="str">
        <f t="shared" si="250"/>
        <v/>
      </c>
      <c r="I2279" t="str">
        <f t="shared" si="251"/>
        <v/>
      </c>
    </row>
    <row r="2280" spans="1:9" x14ac:dyDescent="0.4">
      <c r="A2280" t="str">
        <f t="shared" si="245"/>
        <v/>
      </c>
      <c r="B2280" t="str">
        <f t="shared" si="246"/>
        <v/>
      </c>
      <c r="C2280" t="str">
        <f t="shared" si="247"/>
        <v/>
      </c>
      <c r="D2280" t="str">
        <f t="shared" si="248"/>
        <v/>
      </c>
      <c r="E2280" t="str">
        <f>IF(F2280="","",IF(COUNTIF($F$2:F2280,F2280)&gt;1,"",SUMIFS(tbl_input[필요수량],tbl_input[집계키_센터],F2280)))</f>
        <v/>
      </c>
      <c r="F2280" t="str">
        <f>IFERROR(INDEX(tbl_input[집계키_센터],ROW()-1),"")</f>
        <v/>
      </c>
      <c r="G2280" t="str">
        <f t="shared" si="249"/>
        <v/>
      </c>
      <c r="H2280" t="str">
        <f t="shared" si="250"/>
        <v/>
      </c>
      <c r="I2280" t="str">
        <f t="shared" si="251"/>
        <v/>
      </c>
    </row>
    <row r="2281" spans="1:9" x14ac:dyDescent="0.4">
      <c r="A2281" t="str">
        <f t="shared" si="245"/>
        <v/>
      </c>
      <c r="B2281" t="str">
        <f t="shared" si="246"/>
        <v/>
      </c>
      <c r="C2281" t="str">
        <f t="shared" si="247"/>
        <v/>
      </c>
      <c r="D2281" t="str">
        <f t="shared" si="248"/>
        <v/>
      </c>
      <c r="E2281" t="str">
        <f>IF(F2281="","",IF(COUNTIF($F$2:F2281,F2281)&gt;1,"",SUMIFS(tbl_input[필요수량],tbl_input[집계키_센터],F2281)))</f>
        <v/>
      </c>
      <c r="F2281" t="str">
        <f>IFERROR(INDEX(tbl_input[집계키_센터],ROW()-1),"")</f>
        <v/>
      </c>
      <c r="G2281" t="str">
        <f t="shared" si="249"/>
        <v/>
      </c>
      <c r="H2281" t="str">
        <f t="shared" si="250"/>
        <v/>
      </c>
      <c r="I2281" t="str">
        <f t="shared" si="251"/>
        <v/>
      </c>
    </row>
    <row r="2282" spans="1:9" x14ac:dyDescent="0.4">
      <c r="A2282" t="str">
        <f t="shared" si="245"/>
        <v/>
      </c>
      <c r="B2282" t="str">
        <f t="shared" si="246"/>
        <v/>
      </c>
      <c r="C2282" t="str">
        <f t="shared" si="247"/>
        <v/>
      </c>
      <c r="D2282" t="str">
        <f t="shared" si="248"/>
        <v/>
      </c>
      <c r="E2282" t="str">
        <f>IF(F2282="","",IF(COUNTIF($F$2:F2282,F2282)&gt;1,"",SUMIFS(tbl_input[필요수량],tbl_input[집계키_센터],F2282)))</f>
        <v/>
      </c>
      <c r="F2282" t="str">
        <f>IFERROR(INDEX(tbl_input[집계키_센터],ROW()-1),"")</f>
        <v/>
      </c>
      <c r="G2282" t="str">
        <f t="shared" si="249"/>
        <v/>
      </c>
      <c r="H2282" t="str">
        <f t="shared" si="250"/>
        <v/>
      </c>
      <c r="I2282" t="str">
        <f t="shared" si="251"/>
        <v/>
      </c>
    </row>
    <row r="2283" spans="1:9" x14ac:dyDescent="0.4">
      <c r="A2283" t="str">
        <f t="shared" si="245"/>
        <v/>
      </c>
      <c r="B2283" t="str">
        <f t="shared" si="246"/>
        <v/>
      </c>
      <c r="C2283" t="str">
        <f t="shared" si="247"/>
        <v/>
      </c>
      <c r="D2283" t="str">
        <f t="shared" si="248"/>
        <v/>
      </c>
      <c r="E2283" t="str">
        <f>IF(F2283="","",IF(COUNTIF($F$2:F2283,F2283)&gt;1,"",SUMIFS(tbl_input[필요수량],tbl_input[집계키_센터],F2283)))</f>
        <v/>
      </c>
      <c r="F2283" t="str">
        <f>IFERROR(INDEX(tbl_input[집계키_센터],ROW()-1),"")</f>
        <v/>
      </c>
      <c r="G2283" t="str">
        <f t="shared" si="249"/>
        <v/>
      </c>
      <c r="H2283" t="str">
        <f t="shared" si="250"/>
        <v/>
      </c>
      <c r="I2283" t="str">
        <f t="shared" si="251"/>
        <v/>
      </c>
    </row>
    <row r="2284" spans="1:9" x14ac:dyDescent="0.4">
      <c r="A2284" t="str">
        <f t="shared" si="245"/>
        <v/>
      </c>
      <c r="B2284" t="str">
        <f t="shared" si="246"/>
        <v/>
      </c>
      <c r="C2284" t="str">
        <f t="shared" si="247"/>
        <v/>
      </c>
      <c r="D2284" t="str">
        <f t="shared" si="248"/>
        <v/>
      </c>
      <c r="E2284" t="str">
        <f>IF(F2284="","",IF(COUNTIF($F$2:F2284,F2284)&gt;1,"",SUMIFS(tbl_input[필요수량],tbl_input[집계키_센터],F2284)))</f>
        <v/>
      </c>
      <c r="F2284" t="str">
        <f>IFERROR(INDEX(tbl_input[집계키_센터],ROW()-1),"")</f>
        <v/>
      </c>
      <c r="G2284" t="str">
        <f t="shared" si="249"/>
        <v/>
      </c>
      <c r="H2284" t="str">
        <f t="shared" si="250"/>
        <v/>
      </c>
      <c r="I2284" t="str">
        <f t="shared" si="251"/>
        <v/>
      </c>
    </row>
    <row r="2285" spans="1:9" x14ac:dyDescent="0.4">
      <c r="A2285" t="str">
        <f t="shared" si="245"/>
        <v/>
      </c>
      <c r="B2285" t="str">
        <f t="shared" si="246"/>
        <v/>
      </c>
      <c r="C2285" t="str">
        <f t="shared" si="247"/>
        <v/>
      </c>
      <c r="D2285" t="str">
        <f t="shared" si="248"/>
        <v/>
      </c>
      <c r="E2285" t="str">
        <f>IF(F2285="","",IF(COUNTIF($F$2:F2285,F2285)&gt;1,"",SUMIFS(tbl_input[필요수량],tbl_input[집계키_센터],F2285)))</f>
        <v/>
      </c>
      <c r="F2285" t="str">
        <f>IFERROR(INDEX(tbl_input[집계키_센터],ROW()-1),"")</f>
        <v/>
      </c>
      <c r="G2285" t="str">
        <f t="shared" si="249"/>
        <v/>
      </c>
      <c r="H2285" t="str">
        <f t="shared" si="250"/>
        <v/>
      </c>
      <c r="I2285" t="str">
        <f t="shared" si="251"/>
        <v/>
      </c>
    </row>
    <row r="2286" spans="1:9" x14ac:dyDescent="0.4">
      <c r="A2286" t="str">
        <f t="shared" si="245"/>
        <v/>
      </c>
      <c r="B2286" t="str">
        <f t="shared" si="246"/>
        <v/>
      </c>
      <c r="C2286" t="str">
        <f t="shared" si="247"/>
        <v/>
      </c>
      <c r="D2286" t="str">
        <f t="shared" si="248"/>
        <v/>
      </c>
      <c r="E2286" t="str">
        <f>IF(F2286="","",IF(COUNTIF($F$2:F2286,F2286)&gt;1,"",SUMIFS(tbl_input[필요수량],tbl_input[집계키_센터],F2286)))</f>
        <v/>
      </c>
      <c r="F2286" t="str">
        <f>IFERROR(INDEX(tbl_input[집계키_센터],ROW()-1),"")</f>
        <v/>
      </c>
      <c r="G2286" t="str">
        <f t="shared" si="249"/>
        <v/>
      </c>
      <c r="H2286" t="str">
        <f t="shared" si="250"/>
        <v/>
      </c>
      <c r="I2286" t="str">
        <f t="shared" si="251"/>
        <v/>
      </c>
    </row>
    <row r="2287" spans="1:9" x14ac:dyDescent="0.4">
      <c r="A2287" t="str">
        <f t="shared" si="245"/>
        <v/>
      </c>
      <c r="B2287" t="str">
        <f t="shared" si="246"/>
        <v/>
      </c>
      <c r="C2287" t="str">
        <f t="shared" si="247"/>
        <v/>
      </c>
      <c r="D2287" t="str">
        <f t="shared" si="248"/>
        <v/>
      </c>
      <c r="E2287" t="str">
        <f>IF(F2287="","",IF(COUNTIF($F$2:F2287,F2287)&gt;1,"",SUMIFS(tbl_input[필요수량],tbl_input[집계키_센터],F2287)))</f>
        <v/>
      </c>
      <c r="F2287" t="str">
        <f>IFERROR(INDEX(tbl_input[집계키_센터],ROW()-1),"")</f>
        <v/>
      </c>
      <c r="G2287" t="str">
        <f t="shared" si="249"/>
        <v/>
      </c>
      <c r="H2287" t="str">
        <f t="shared" si="250"/>
        <v/>
      </c>
      <c r="I2287" t="str">
        <f t="shared" si="251"/>
        <v/>
      </c>
    </row>
    <row r="2288" spans="1:9" x14ac:dyDescent="0.4">
      <c r="A2288" t="str">
        <f t="shared" si="245"/>
        <v/>
      </c>
      <c r="B2288" t="str">
        <f t="shared" si="246"/>
        <v/>
      </c>
      <c r="C2288" t="str">
        <f t="shared" si="247"/>
        <v/>
      </c>
      <c r="D2288" t="str">
        <f t="shared" si="248"/>
        <v/>
      </c>
      <c r="E2288" t="str">
        <f>IF(F2288="","",IF(COUNTIF($F$2:F2288,F2288)&gt;1,"",SUMIFS(tbl_input[필요수량],tbl_input[집계키_센터],F2288)))</f>
        <v/>
      </c>
      <c r="F2288" t="str">
        <f>IFERROR(INDEX(tbl_input[집계키_센터],ROW()-1),"")</f>
        <v/>
      </c>
      <c r="G2288" t="str">
        <f t="shared" si="249"/>
        <v/>
      </c>
      <c r="H2288" t="str">
        <f t="shared" si="250"/>
        <v/>
      </c>
      <c r="I2288" t="str">
        <f t="shared" si="251"/>
        <v/>
      </c>
    </row>
    <row r="2289" spans="1:9" x14ac:dyDescent="0.4">
      <c r="A2289" t="str">
        <f t="shared" si="245"/>
        <v/>
      </c>
      <c r="B2289" t="str">
        <f t="shared" si="246"/>
        <v/>
      </c>
      <c r="C2289" t="str">
        <f t="shared" si="247"/>
        <v/>
      </c>
      <c r="D2289" t="str">
        <f t="shared" si="248"/>
        <v/>
      </c>
      <c r="E2289" t="str">
        <f>IF(F2289="","",IF(COUNTIF($F$2:F2289,F2289)&gt;1,"",SUMIFS(tbl_input[필요수량],tbl_input[집계키_센터],F2289)))</f>
        <v/>
      </c>
      <c r="F2289" t="str">
        <f>IFERROR(INDEX(tbl_input[집계키_센터],ROW()-1),"")</f>
        <v/>
      </c>
      <c r="G2289" t="str">
        <f t="shared" si="249"/>
        <v/>
      </c>
      <c r="H2289" t="str">
        <f t="shared" si="250"/>
        <v/>
      </c>
      <c r="I2289" t="str">
        <f t="shared" si="251"/>
        <v/>
      </c>
    </row>
    <row r="2290" spans="1:9" x14ac:dyDescent="0.4">
      <c r="A2290" t="str">
        <f t="shared" si="245"/>
        <v/>
      </c>
      <c r="B2290" t="str">
        <f t="shared" si="246"/>
        <v/>
      </c>
      <c r="C2290" t="str">
        <f t="shared" si="247"/>
        <v/>
      </c>
      <c r="D2290" t="str">
        <f t="shared" si="248"/>
        <v/>
      </c>
      <c r="E2290" t="str">
        <f>IF(F2290="","",IF(COUNTIF($F$2:F2290,F2290)&gt;1,"",SUMIFS(tbl_input[필요수량],tbl_input[집계키_센터],F2290)))</f>
        <v/>
      </c>
      <c r="F2290" t="str">
        <f>IFERROR(INDEX(tbl_input[집계키_센터],ROW()-1),"")</f>
        <v/>
      </c>
      <c r="G2290" t="str">
        <f t="shared" si="249"/>
        <v/>
      </c>
      <c r="H2290" t="str">
        <f t="shared" si="250"/>
        <v/>
      </c>
      <c r="I2290" t="str">
        <f t="shared" si="251"/>
        <v/>
      </c>
    </row>
    <row r="2291" spans="1:9" x14ac:dyDescent="0.4">
      <c r="A2291" t="str">
        <f t="shared" si="245"/>
        <v/>
      </c>
      <c r="B2291" t="str">
        <f t="shared" si="246"/>
        <v/>
      </c>
      <c r="C2291" t="str">
        <f t="shared" si="247"/>
        <v/>
      </c>
      <c r="D2291" t="str">
        <f t="shared" si="248"/>
        <v/>
      </c>
      <c r="E2291" t="str">
        <f>IF(F2291="","",IF(COUNTIF($F$2:F2291,F2291)&gt;1,"",SUMIFS(tbl_input[필요수량],tbl_input[집계키_센터],F2291)))</f>
        <v/>
      </c>
      <c r="F2291" t="str">
        <f>IFERROR(INDEX(tbl_input[집계키_센터],ROW()-1),"")</f>
        <v/>
      </c>
      <c r="G2291" t="str">
        <f t="shared" si="249"/>
        <v/>
      </c>
      <c r="H2291" t="str">
        <f t="shared" si="250"/>
        <v/>
      </c>
      <c r="I2291" t="str">
        <f t="shared" si="251"/>
        <v/>
      </c>
    </row>
    <row r="2292" spans="1:9" x14ac:dyDescent="0.4">
      <c r="A2292" t="str">
        <f t="shared" si="245"/>
        <v/>
      </c>
      <c r="B2292" t="str">
        <f t="shared" si="246"/>
        <v/>
      </c>
      <c r="C2292" t="str">
        <f t="shared" si="247"/>
        <v/>
      </c>
      <c r="D2292" t="str">
        <f t="shared" si="248"/>
        <v/>
      </c>
      <c r="E2292" t="str">
        <f>IF(F2292="","",IF(COUNTIF($F$2:F2292,F2292)&gt;1,"",SUMIFS(tbl_input[필요수량],tbl_input[집계키_센터],F2292)))</f>
        <v/>
      </c>
      <c r="F2292" t="str">
        <f>IFERROR(INDEX(tbl_input[집계키_센터],ROW()-1),"")</f>
        <v/>
      </c>
      <c r="G2292" t="str">
        <f t="shared" si="249"/>
        <v/>
      </c>
      <c r="H2292" t="str">
        <f t="shared" si="250"/>
        <v/>
      </c>
      <c r="I2292" t="str">
        <f t="shared" si="251"/>
        <v/>
      </c>
    </row>
    <row r="2293" spans="1:9" x14ac:dyDescent="0.4">
      <c r="A2293" t="str">
        <f t="shared" si="245"/>
        <v/>
      </c>
      <c r="B2293" t="str">
        <f t="shared" si="246"/>
        <v/>
      </c>
      <c r="C2293" t="str">
        <f t="shared" si="247"/>
        <v/>
      </c>
      <c r="D2293" t="str">
        <f t="shared" si="248"/>
        <v/>
      </c>
      <c r="E2293" t="str">
        <f>IF(F2293="","",IF(COUNTIF($F$2:F2293,F2293)&gt;1,"",SUMIFS(tbl_input[필요수량],tbl_input[집계키_센터],F2293)))</f>
        <v/>
      </c>
      <c r="F2293" t="str">
        <f>IFERROR(INDEX(tbl_input[집계키_센터],ROW()-1),"")</f>
        <v/>
      </c>
      <c r="G2293" t="str">
        <f t="shared" si="249"/>
        <v/>
      </c>
      <c r="H2293" t="str">
        <f t="shared" si="250"/>
        <v/>
      </c>
      <c r="I2293" t="str">
        <f t="shared" si="251"/>
        <v/>
      </c>
    </row>
    <row r="2294" spans="1:9" x14ac:dyDescent="0.4">
      <c r="A2294" t="str">
        <f t="shared" si="245"/>
        <v/>
      </c>
      <c r="B2294" t="str">
        <f t="shared" si="246"/>
        <v/>
      </c>
      <c r="C2294" t="str">
        <f t="shared" si="247"/>
        <v/>
      </c>
      <c r="D2294" t="str">
        <f t="shared" si="248"/>
        <v/>
      </c>
      <c r="E2294" t="str">
        <f>IF(F2294="","",IF(COUNTIF($F$2:F2294,F2294)&gt;1,"",SUMIFS(tbl_input[필요수량],tbl_input[집계키_센터],F2294)))</f>
        <v/>
      </c>
      <c r="F2294" t="str">
        <f>IFERROR(INDEX(tbl_input[집계키_센터],ROW()-1),"")</f>
        <v/>
      </c>
      <c r="G2294" t="str">
        <f t="shared" si="249"/>
        <v/>
      </c>
      <c r="H2294" t="str">
        <f t="shared" si="250"/>
        <v/>
      </c>
      <c r="I2294" t="str">
        <f t="shared" si="251"/>
        <v/>
      </c>
    </row>
    <row r="2295" spans="1:9" x14ac:dyDescent="0.4">
      <c r="A2295" t="str">
        <f t="shared" si="245"/>
        <v/>
      </c>
      <c r="B2295" t="str">
        <f t="shared" si="246"/>
        <v/>
      </c>
      <c r="C2295" t="str">
        <f t="shared" si="247"/>
        <v/>
      </c>
      <c r="D2295" t="str">
        <f t="shared" si="248"/>
        <v/>
      </c>
      <c r="E2295" t="str">
        <f>IF(F2295="","",IF(COUNTIF($F$2:F2295,F2295)&gt;1,"",SUMIFS(tbl_input[필요수량],tbl_input[집계키_센터],F2295)))</f>
        <v/>
      </c>
      <c r="F2295" t="str">
        <f>IFERROR(INDEX(tbl_input[집계키_센터],ROW()-1),"")</f>
        <v/>
      </c>
      <c r="G2295" t="str">
        <f t="shared" si="249"/>
        <v/>
      </c>
      <c r="H2295" t="str">
        <f t="shared" si="250"/>
        <v/>
      </c>
      <c r="I2295" t="str">
        <f t="shared" si="251"/>
        <v/>
      </c>
    </row>
    <row r="2296" spans="1:9" x14ac:dyDescent="0.4">
      <c r="A2296" t="str">
        <f t="shared" si="245"/>
        <v/>
      </c>
      <c r="B2296" t="str">
        <f t="shared" si="246"/>
        <v/>
      </c>
      <c r="C2296" t="str">
        <f t="shared" si="247"/>
        <v/>
      </c>
      <c r="D2296" t="str">
        <f t="shared" si="248"/>
        <v/>
      </c>
      <c r="E2296" t="str">
        <f>IF(F2296="","",IF(COUNTIF($F$2:F2296,F2296)&gt;1,"",SUMIFS(tbl_input[필요수량],tbl_input[집계키_센터],F2296)))</f>
        <v/>
      </c>
      <c r="F2296" t="str">
        <f>IFERROR(INDEX(tbl_input[집계키_센터],ROW()-1),"")</f>
        <v/>
      </c>
      <c r="G2296" t="str">
        <f t="shared" si="249"/>
        <v/>
      </c>
      <c r="H2296" t="str">
        <f t="shared" si="250"/>
        <v/>
      </c>
      <c r="I2296" t="str">
        <f t="shared" si="251"/>
        <v/>
      </c>
    </row>
    <row r="2297" spans="1:9" x14ac:dyDescent="0.4">
      <c r="A2297" t="str">
        <f t="shared" si="245"/>
        <v/>
      </c>
      <c r="B2297" t="str">
        <f t="shared" si="246"/>
        <v/>
      </c>
      <c r="C2297" t="str">
        <f t="shared" si="247"/>
        <v/>
      </c>
      <c r="D2297" t="str">
        <f t="shared" si="248"/>
        <v/>
      </c>
      <c r="E2297" t="str">
        <f>IF(F2297="","",IF(COUNTIF($F$2:F2297,F2297)&gt;1,"",SUMIFS(tbl_input[필요수량],tbl_input[집계키_센터],F2297)))</f>
        <v/>
      </c>
      <c r="F2297" t="str">
        <f>IFERROR(INDEX(tbl_input[집계키_센터],ROW()-1),"")</f>
        <v/>
      </c>
      <c r="G2297" t="str">
        <f t="shared" si="249"/>
        <v/>
      </c>
      <c r="H2297" t="str">
        <f t="shared" si="250"/>
        <v/>
      </c>
      <c r="I2297" t="str">
        <f t="shared" si="251"/>
        <v/>
      </c>
    </row>
    <row r="2298" spans="1:9" x14ac:dyDescent="0.4">
      <c r="A2298" t="str">
        <f t="shared" si="245"/>
        <v/>
      </c>
      <c r="B2298" t="str">
        <f t="shared" si="246"/>
        <v/>
      </c>
      <c r="C2298" t="str">
        <f t="shared" si="247"/>
        <v/>
      </c>
      <c r="D2298" t="str">
        <f t="shared" si="248"/>
        <v/>
      </c>
      <c r="E2298" t="str">
        <f>IF(F2298="","",IF(COUNTIF($F$2:F2298,F2298)&gt;1,"",SUMIFS(tbl_input[필요수량],tbl_input[집계키_센터],F2298)))</f>
        <v/>
      </c>
      <c r="F2298" t="str">
        <f>IFERROR(INDEX(tbl_input[집계키_센터],ROW()-1),"")</f>
        <v/>
      </c>
      <c r="G2298" t="str">
        <f t="shared" si="249"/>
        <v/>
      </c>
      <c r="H2298" t="str">
        <f t="shared" si="250"/>
        <v/>
      </c>
      <c r="I2298" t="str">
        <f t="shared" si="251"/>
        <v/>
      </c>
    </row>
    <row r="2299" spans="1:9" x14ac:dyDescent="0.4">
      <c r="A2299" t="str">
        <f t="shared" si="245"/>
        <v/>
      </c>
      <c r="B2299" t="str">
        <f t="shared" si="246"/>
        <v/>
      </c>
      <c r="C2299" t="str">
        <f t="shared" si="247"/>
        <v/>
      </c>
      <c r="D2299" t="str">
        <f t="shared" si="248"/>
        <v/>
      </c>
      <c r="E2299" t="str">
        <f>IF(F2299="","",IF(COUNTIF($F$2:F2299,F2299)&gt;1,"",SUMIFS(tbl_input[필요수량],tbl_input[집계키_센터],F2299)))</f>
        <v/>
      </c>
      <c r="F2299" t="str">
        <f>IFERROR(INDEX(tbl_input[집계키_센터],ROW()-1),"")</f>
        <v/>
      </c>
      <c r="G2299" t="str">
        <f t="shared" si="249"/>
        <v/>
      </c>
      <c r="H2299" t="str">
        <f t="shared" si="250"/>
        <v/>
      </c>
      <c r="I2299" t="str">
        <f t="shared" si="251"/>
        <v/>
      </c>
    </row>
    <row r="2300" spans="1:9" x14ac:dyDescent="0.4">
      <c r="A2300" t="str">
        <f t="shared" si="245"/>
        <v/>
      </c>
      <c r="B2300" t="str">
        <f t="shared" si="246"/>
        <v/>
      </c>
      <c r="C2300" t="str">
        <f t="shared" si="247"/>
        <v/>
      </c>
      <c r="D2300" t="str">
        <f t="shared" si="248"/>
        <v/>
      </c>
      <c r="E2300" t="str">
        <f>IF(F2300="","",IF(COUNTIF($F$2:F2300,F2300)&gt;1,"",SUMIFS(tbl_input[필요수량],tbl_input[집계키_센터],F2300)))</f>
        <v/>
      </c>
      <c r="F2300" t="str">
        <f>IFERROR(INDEX(tbl_input[집계키_센터],ROW()-1),"")</f>
        <v/>
      </c>
      <c r="G2300" t="str">
        <f t="shared" si="249"/>
        <v/>
      </c>
      <c r="H2300" t="str">
        <f t="shared" si="250"/>
        <v/>
      </c>
      <c r="I2300" t="str">
        <f t="shared" si="251"/>
        <v/>
      </c>
    </row>
    <row r="2301" spans="1:9" x14ac:dyDescent="0.4">
      <c r="A2301" t="str">
        <f t="shared" si="245"/>
        <v/>
      </c>
      <c r="B2301" t="str">
        <f t="shared" si="246"/>
        <v/>
      </c>
      <c r="C2301" t="str">
        <f t="shared" si="247"/>
        <v/>
      </c>
      <c r="D2301" t="str">
        <f t="shared" si="248"/>
        <v/>
      </c>
      <c r="E2301" t="str">
        <f>IF(F2301="","",IF(COUNTIF($F$2:F2301,F2301)&gt;1,"",SUMIFS(tbl_input[필요수량],tbl_input[집계키_센터],F2301)))</f>
        <v/>
      </c>
      <c r="F2301" t="str">
        <f>IFERROR(INDEX(tbl_input[집계키_센터],ROW()-1),"")</f>
        <v/>
      </c>
      <c r="G2301" t="str">
        <f t="shared" si="249"/>
        <v/>
      </c>
      <c r="H2301" t="str">
        <f t="shared" si="250"/>
        <v/>
      </c>
      <c r="I2301" t="str">
        <f t="shared" si="251"/>
        <v/>
      </c>
    </row>
    <row r="2302" spans="1:9" x14ac:dyDescent="0.4">
      <c r="A2302" t="str">
        <f t="shared" si="245"/>
        <v/>
      </c>
      <c r="B2302" t="str">
        <f t="shared" si="246"/>
        <v/>
      </c>
      <c r="C2302" t="str">
        <f t="shared" si="247"/>
        <v/>
      </c>
      <c r="D2302" t="str">
        <f t="shared" si="248"/>
        <v/>
      </c>
      <c r="E2302" t="str">
        <f>IF(F2302="","",IF(COUNTIF($F$2:F2302,F2302)&gt;1,"",SUMIFS(tbl_input[필요수량],tbl_input[집계키_센터],F2302)))</f>
        <v/>
      </c>
      <c r="F2302" t="str">
        <f>IFERROR(INDEX(tbl_input[집계키_센터],ROW()-1),"")</f>
        <v/>
      </c>
      <c r="G2302" t="str">
        <f t="shared" si="249"/>
        <v/>
      </c>
      <c r="H2302" t="str">
        <f t="shared" si="250"/>
        <v/>
      </c>
      <c r="I2302" t="str">
        <f t="shared" si="251"/>
        <v/>
      </c>
    </row>
    <row r="2303" spans="1:9" x14ac:dyDescent="0.4">
      <c r="A2303" t="str">
        <f t="shared" si="245"/>
        <v/>
      </c>
      <c r="B2303" t="str">
        <f t="shared" si="246"/>
        <v/>
      </c>
      <c r="C2303" t="str">
        <f t="shared" si="247"/>
        <v/>
      </c>
      <c r="D2303" t="str">
        <f t="shared" si="248"/>
        <v/>
      </c>
      <c r="E2303" t="str">
        <f>IF(F2303="","",IF(COUNTIF($F$2:F2303,F2303)&gt;1,"",SUMIFS(tbl_input[필요수량],tbl_input[집계키_센터],F2303)))</f>
        <v/>
      </c>
      <c r="F2303" t="str">
        <f>IFERROR(INDEX(tbl_input[집계키_센터],ROW()-1),"")</f>
        <v/>
      </c>
      <c r="G2303" t="str">
        <f t="shared" si="249"/>
        <v/>
      </c>
      <c r="H2303" t="str">
        <f t="shared" si="250"/>
        <v/>
      </c>
      <c r="I2303" t="str">
        <f t="shared" si="251"/>
        <v/>
      </c>
    </row>
    <row r="2304" spans="1:9" x14ac:dyDescent="0.4">
      <c r="A2304" t="str">
        <f t="shared" si="245"/>
        <v/>
      </c>
      <c r="B2304" t="str">
        <f t="shared" si="246"/>
        <v/>
      </c>
      <c r="C2304" t="str">
        <f t="shared" si="247"/>
        <v/>
      </c>
      <c r="D2304" t="str">
        <f t="shared" si="248"/>
        <v/>
      </c>
      <c r="E2304" t="str">
        <f>IF(F2304="","",IF(COUNTIF($F$2:F2304,F2304)&gt;1,"",SUMIFS(tbl_input[필요수량],tbl_input[집계키_센터],F2304)))</f>
        <v/>
      </c>
      <c r="F2304" t="str">
        <f>IFERROR(INDEX(tbl_input[집계키_센터],ROW()-1),"")</f>
        <v/>
      </c>
      <c r="G2304" t="str">
        <f t="shared" si="249"/>
        <v/>
      </c>
      <c r="H2304" t="str">
        <f t="shared" si="250"/>
        <v/>
      </c>
      <c r="I2304" t="str">
        <f t="shared" si="251"/>
        <v/>
      </c>
    </row>
    <row r="2305" spans="1:9" x14ac:dyDescent="0.4">
      <c r="A2305" t="str">
        <f t="shared" si="245"/>
        <v/>
      </c>
      <c r="B2305" t="str">
        <f t="shared" si="246"/>
        <v/>
      </c>
      <c r="C2305" t="str">
        <f t="shared" si="247"/>
        <v/>
      </c>
      <c r="D2305" t="str">
        <f t="shared" si="248"/>
        <v/>
      </c>
      <c r="E2305" t="str">
        <f>IF(F2305="","",IF(COUNTIF($F$2:F2305,F2305)&gt;1,"",SUMIFS(tbl_input[필요수량],tbl_input[집계키_센터],F2305)))</f>
        <v/>
      </c>
      <c r="F2305" t="str">
        <f>IFERROR(INDEX(tbl_input[집계키_센터],ROW()-1),"")</f>
        <v/>
      </c>
      <c r="G2305" t="str">
        <f t="shared" si="249"/>
        <v/>
      </c>
      <c r="H2305" t="str">
        <f t="shared" si="250"/>
        <v/>
      </c>
      <c r="I2305" t="str">
        <f t="shared" si="251"/>
        <v/>
      </c>
    </row>
    <row r="2306" spans="1:9" x14ac:dyDescent="0.4">
      <c r="A2306" t="str">
        <f t="shared" ref="A2306:A2369" si="252">IF(F2306="","",LEFT(F2306,G2306-1))</f>
        <v/>
      </c>
      <c r="B2306" t="str">
        <f t="shared" ref="B2306:B2369" si="253">IF(F2306="","",MID(F2306,G2306+1,H2306-G2306-1))</f>
        <v/>
      </c>
      <c r="C2306" t="str">
        <f t="shared" ref="C2306:C2369" si="254">IF(F2306="","",MID(F2306,H2306+1,I2306-H2306-1))</f>
        <v/>
      </c>
      <c r="D2306" t="str">
        <f t="shared" ref="D2306:D2369" si="255">IF(F2306="","",MID(F2306,I2306+1,999))</f>
        <v/>
      </c>
      <c r="E2306" t="str">
        <f>IF(F2306="","",IF(COUNTIF($F$2:F2306,F2306)&gt;1,"",SUMIFS(tbl_input[필요수량],tbl_input[집계키_센터],F2306)))</f>
        <v/>
      </c>
      <c r="F2306" t="str">
        <f>IFERROR(INDEX(tbl_input[집계키_센터],ROW()-1),"")</f>
        <v/>
      </c>
      <c r="G2306" t="str">
        <f t="shared" ref="G2306:G2369" si="256">IF(F2306="","",FIND("♦",F2306))</f>
        <v/>
      </c>
      <c r="H2306" t="str">
        <f t="shared" ref="H2306:H2369" si="257">IF(F2306="","",FIND("♦",F2306,G2306+1))</f>
        <v/>
      </c>
      <c r="I2306" t="str">
        <f t="shared" ref="I2306:I2369" si="258">IF(F2306="","",FIND("♦",F2306,H2306+1))</f>
        <v/>
      </c>
    </row>
    <row r="2307" spans="1:9" x14ac:dyDescent="0.4">
      <c r="A2307" t="str">
        <f t="shared" si="252"/>
        <v/>
      </c>
      <c r="B2307" t="str">
        <f t="shared" si="253"/>
        <v/>
      </c>
      <c r="C2307" t="str">
        <f t="shared" si="254"/>
        <v/>
      </c>
      <c r="D2307" t="str">
        <f t="shared" si="255"/>
        <v/>
      </c>
      <c r="E2307" t="str">
        <f>IF(F2307="","",IF(COUNTIF($F$2:F2307,F2307)&gt;1,"",SUMIFS(tbl_input[필요수량],tbl_input[집계키_센터],F2307)))</f>
        <v/>
      </c>
      <c r="F2307" t="str">
        <f>IFERROR(INDEX(tbl_input[집계키_센터],ROW()-1),"")</f>
        <v/>
      </c>
      <c r="G2307" t="str">
        <f t="shared" si="256"/>
        <v/>
      </c>
      <c r="H2307" t="str">
        <f t="shared" si="257"/>
        <v/>
      </c>
      <c r="I2307" t="str">
        <f t="shared" si="258"/>
        <v/>
      </c>
    </row>
    <row r="2308" spans="1:9" x14ac:dyDescent="0.4">
      <c r="A2308" t="str">
        <f t="shared" si="252"/>
        <v/>
      </c>
      <c r="B2308" t="str">
        <f t="shared" si="253"/>
        <v/>
      </c>
      <c r="C2308" t="str">
        <f t="shared" si="254"/>
        <v/>
      </c>
      <c r="D2308" t="str">
        <f t="shared" si="255"/>
        <v/>
      </c>
      <c r="E2308" t="str">
        <f>IF(F2308="","",IF(COUNTIF($F$2:F2308,F2308)&gt;1,"",SUMIFS(tbl_input[필요수량],tbl_input[집계키_센터],F2308)))</f>
        <v/>
      </c>
      <c r="F2308" t="str">
        <f>IFERROR(INDEX(tbl_input[집계키_센터],ROW()-1),"")</f>
        <v/>
      </c>
      <c r="G2308" t="str">
        <f t="shared" si="256"/>
        <v/>
      </c>
      <c r="H2308" t="str">
        <f t="shared" si="257"/>
        <v/>
      </c>
      <c r="I2308" t="str">
        <f t="shared" si="258"/>
        <v/>
      </c>
    </row>
    <row r="2309" spans="1:9" x14ac:dyDescent="0.4">
      <c r="A2309" t="str">
        <f t="shared" si="252"/>
        <v/>
      </c>
      <c r="B2309" t="str">
        <f t="shared" si="253"/>
        <v/>
      </c>
      <c r="C2309" t="str">
        <f t="shared" si="254"/>
        <v/>
      </c>
      <c r="D2309" t="str">
        <f t="shared" si="255"/>
        <v/>
      </c>
      <c r="E2309" t="str">
        <f>IF(F2309="","",IF(COUNTIF($F$2:F2309,F2309)&gt;1,"",SUMIFS(tbl_input[필요수량],tbl_input[집계키_센터],F2309)))</f>
        <v/>
      </c>
      <c r="F2309" t="str">
        <f>IFERROR(INDEX(tbl_input[집계키_센터],ROW()-1),"")</f>
        <v/>
      </c>
      <c r="G2309" t="str">
        <f t="shared" si="256"/>
        <v/>
      </c>
      <c r="H2309" t="str">
        <f t="shared" si="257"/>
        <v/>
      </c>
      <c r="I2309" t="str">
        <f t="shared" si="258"/>
        <v/>
      </c>
    </row>
    <row r="2310" spans="1:9" x14ac:dyDescent="0.4">
      <c r="A2310" t="str">
        <f t="shared" si="252"/>
        <v/>
      </c>
      <c r="B2310" t="str">
        <f t="shared" si="253"/>
        <v/>
      </c>
      <c r="C2310" t="str">
        <f t="shared" si="254"/>
        <v/>
      </c>
      <c r="D2310" t="str">
        <f t="shared" si="255"/>
        <v/>
      </c>
      <c r="E2310" t="str">
        <f>IF(F2310="","",IF(COUNTIF($F$2:F2310,F2310)&gt;1,"",SUMIFS(tbl_input[필요수량],tbl_input[집계키_센터],F2310)))</f>
        <v/>
      </c>
      <c r="F2310" t="str">
        <f>IFERROR(INDEX(tbl_input[집계키_센터],ROW()-1),"")</f>
        <v/>
      </c>
      <c r="G2310" t="str">
        <f t="shared" si="256"/>
        <v/>
      </c>
      <c r="H2310" t="str">
        <f t="shared" si="257"/>
        <v/>
      </c>
      <c r="I2310" t="str">
        <f t="shared" si="258"/>
        <v/>
      </c>
    </row>
    <row r="2311" spans="1:9" x14ac:dyDescent="0.4">
      <c r="A2311" t="str">
        <f t="shared" si="252"/>
        <v/>
      </c>
      <c r="B2311" t="str">
        <f t="shared" si="253"/>
        <v/>
      </c>
      <c r="C2311" t="str">
        <f t="shared" si="254"/>
        <v/>
      </c>
      <c r="D2311" t="str">
        <f t="shared" si="255"/>
        <v/>
      </c>
      <c r="E2311" t="str">
        <f>IF(F2311="","",IF(COUNTIF($F$2:F2311,F2311)&gt;1,"",SUMIFS(tbl_input[필요수량],tbl_input[집계키_센터],F2311)))</f>
        <v/>
      </c>
      <c r="F2311" t="str">
        <f>IFERROR(INDEX(tbl_input[집계키_센터],ROW()-1),"")</f>
        <v/>
      </c>
      <c r="G2311" t="str">
        <f t="shared" si="256"/>
        <v/>
      </c>
      <c r="H2311" t="str">
        <f t="shared" si="257"/>
        <v/>
      </c>
      <c r="I2311" t="str">
        <f t="shared" si="258"/>
        <v/>
      </c>
    </row>
    <row r="2312" spans="1:9" x14ac:dyDescent="0.4">
      <c r="A2312" t="str">
        <f t="shared" si="252"/>
        <v/>
      </c>
      <c r="B2312" t="str">
        <f t="shared" si="253"/>
        <v/>
      </c>
      <c r="C2312" t="str">
        <f t="shared" si="254"/>
        <v/>
      </c>
      <c r="D2312" t="str">
        <f t="shared" si="255"/>
        <v/>
      </c>
      <c r="E2312" t="str">
        <f>IF(F2312="","",IF(COUNTIF($F$2:F2312,F2312)&gt;1,"",SUMIFS(tbl_input[필요수량],tbl_input[집계키_센터],F2312)))</f>
        <v/>
      </c>
      <c r="F2312" t="str">
        <f>IFERROR(INDEX(tbl_input[집계키_센터],ROW()-1),"")</f>
        <v/>
      </c>
      <c r="G2312" t="str">
        <f t="shared" si="256"/>
        <v/>
      </c>
      <c r="H2312" t="str">
        <f t="shared" si="257"/>
        <v/>
      </c>
      <c r="I2312" t="str">
        <f t="shared" si="258"/>
        <v/>
      </c>
    </row>
    <row r="2313" spans="1:9" x14ac:dyDescent="0.4">
      <c r="A2313" t="str">
        <f t="shared" si="252"/>
        <v/>
      </c>
      <c r="B2313" t="str">
        <f t="shared" si="253"/>
        <v/>
      </c>
      <c r="C2313" t="str">
        <f t="shared" si="254"/>
        <v/>
      </c>
      <c r="D2313" t="str">
        <f t="shared" si="255"/>
        <v/>
      </c>
      <c r="E2313" t="str">
        <f>IF(F2313="","",IF(COUNTIF($F$2:F2313,F2313)&gt;1,"",SUMIFS(tbl_input[필요수량],tbl_input[집계키_센터],F2313)))</f>
        <v/>
      </c>
      <c r="F2313" t="str">
        <f>IFERROR(INDEX(tbl_input[집계키_센터],ROW()-1),"")</f>
        <v/>
      </c>
      <c r="G2313" t="str">
        <f t="shared" si="256"/>
        <v/>
      </c>
      <c r="H2313" t="str">
        <f t="shared" si="257"/>
        <v/>
      </c>
      <c r="I2313" t="str">
        <f t="shared" si="258"/>
        <v/>
      </c>
    </row>
    <row r="2314" spans="1:9" x14ac:dyDescent="0.4">
      <c r="A2314" t="str">
        <f t="shared" si="252"/>
        <v/>
      </c>
      <c r="B2314" t="str">
        <f t="shared" si="253"/>
        <v/>
      </c>
      <c r="C2314" t="str">
        <f t="shared" si="254"/>
        <v/>
      </c>
      <c r="D2314" t="str">
        <f t="shared" si="255"/>
        <v/>
      </c>
      <c r="E2314" t="str">
        <f>IF(F2314="","",IF(COUNTIF($F$2:F2314,F2314)&gt;1,"",SUMIFS(tbl_input[필요수량],tbl_input[집계키_센터],F2314)))</f>
        <v/>
      </c>
      <c r="F2314" t="str">
        <f>IFERROR(INDEX(tbl_input[집계키_센터],ROW()-1),"")</f>
        <v/>
      </c>
      <c r="G2314" t="str">
        <f t="shared" si="256"/>
        <v/>
      </c>
      <c r="H2314" t="str">
        <f t="shared" si="257"/>
        <v/>
      </c>
      <c r="I2314" t="str">
        <f t="shared" si="258"/>
        <v/>
      </c>
    </row>
    <row r="2315" spans="1:9" x14ac:dyDescent="0.4">
      <c r="A2315" t="str">
        <f t="shared" si="252"/>
        <v/>
      </c>
      <c r="B2315" t="str">
        <f t="shared" si="253"/>
        <v/>
      </c>
      <c r="C2315" t="str">
        <f t="shared" si="254"/>
        <v/>
      </c>
      <c r="D2315" t="str">
        <f t="shared" si="255"/>
        <v/>
      </c>
      <c r="E2315" t="str">
        <f>IF(F2315="","",IF(COUNTIF($F$2:F2315,F2315)&gt;1,"",SUMIFS(tbl_input[필요수량],tbl_input[집계키_센터],F2315)))</f>
        <v/>
      </c>
      <c r="F2315" t="str">
        <f>IFERROR(INDEX(tbl_input[집계키_센터],ROW()-1),"")</f>
        <v/>
      </c>
      <c r="G2315" t="str">
        <f t="shared" si="256"/>
        <v/>
      </c>
      <c r="H2315" t="str">
        <f t="shared" si="257"/>
        <v/>
      </c>
      <c r="I2315" t="str">
        <f t="shared" si="258"/>
        <v/>
      </c>
    </row>
    <row r="2316" spans="1:9" x14ac:dyDescent="0.4">
      <c r="A2316" t="str">
        <f t="shared" si="252"/>
        <v/>
      </c>
      <c r="B2316" t="str">
        <f t="shared" si="253"/>
        <v/>
      </c>
      <c r="C2316" t="str">
        <f t="shared" si="254"/>
        <v/>
      </c>
      <c r="D2316" t="str">
        <f t="shared" si="255"/>
        <v/>
      </c>
      <c r="E2316" t="str">
        <f>IF(F2316="","",IF(COUNTIF($F$2:F2316,F2316)&gt;1,"",SUMIFS(tbl_input[필요수량],tbl_input[집계키_센터],F2316)))</f>
        <v/>
      </c>
      <c r="F2316" t="str">
        <f>IFERROR(INDEX(tbl_input[집계키_센터],ROW()-1),"")</f>
        <v/>
      </c>
      <c r="G2316" t="str">
        <f t="shared" si="256"/>
        <v/>
      </c>
      <c r="H2316" t="str">
        <f t="shared" si="257"/>
        <v/>
      </c>
      <c r="I2316" t="str">
        <f t="shared" si="258"/>
        <v/>
      </c>
    </row>
    <row r="2317" spans="1:9" x14ac:dyDescent="0.4">
      <c r="A2317" t="str">
        <f t="shared" si="252"/>
        <v/>
      </c>
      <c r="B2317" t="str">
        <f t="shared" si="253"/>
        <v/>
      </c>
      <c r="C2317" t="str">
        <f t="shared" si="254"/>
        <v/>
      </c>
      <c r="D2317" t="str">
        <f t="shared" si="255"/>
        <v/>
      </c>
      <c r="E2317" t="str">
        <f>IF(F2317="","",IF(COUNTIF($F$2:F2317,F2317)&gt;1,"",SUMIFS(tbl_input[필요수량],tbl_input[집계키_센터],F2317)))</f>
        <v/>
      </c>
      <c r="F2317" t="str">
        <f>IFERROR(INDEX(tbl_input[집계키_센터],ROW()-1),"")</f>
        <v/>
      </c>
      <c r="G2317" t="str">
        <f t="shared" si="256"/>
        <v/>
      </c>
      <c r="H2317" t="str">
        <f t="shared" si="257"/>
        <v/>
      </c>
      <c r="I2317" t="str">
        <f t="shared" si="258"/>
        <v/>
      </c>
    </row>
    <row r="2318" spans="1:9" x14ac:dyDescent="0.4">
      <c r="A2318" t="str">
        <f t="shared" si="252"/>
        <v/>
      </c>
      <c r="B2318" t="str">
        <f t="shared" si="253"/>
        <v/>
      </c>
      <c r="C2318" t="str">
        <f t="shared" si="254"/>
        <v/>
      </c>
      <c r="D2318" t="str">
        <f t="shared" si="255"/>
        <v/>
      </c>
      <c r="E2318" t="str">
        <f>IF(F2318="","",IF(COUNTIF($F$2:F2318,F2318)&gt;1,"",SUMIFS(tbl_input[필요수량],tbl_input[집계키_센터],F2318)))</f>
        <v/>
      </c>
      <c r="F2318" t="str">
        <f>IFERROR(INDEX(tbl_input[집계키_센터],ROW()-1),"")</f>
        <v/>
      </c>
      <c r="G2318" t="str">
        <f t="shared" si="256"/>
        <v/>
      </c>
      <c r="H2318" t="str">
        <f t="shared" si="257"/>
        <v/>
      </c>
      <c r="I2318" t="str">
        <f t="shared" si="258"/>
        <v/>
      </c>
    </row>
    <row r="2319" spans="1:9" x14ac:dyDescent="0.4">
      <c r="A2319" t="str">
        <f t="shared" si="252"/>
        <v/>
      </c>
      <c r="B2319" t="str">
        <f t="shared" si="253"/>
        <v/>
      </c>
      <c r="C2319" t="str">
        <f t="shared" si="254"/>
        <v/>
      </c>
      <c r="D2319" t="str">
        <f t="shared" si="255"/>
        <v/>
      </c>
      <c r="E2319" t="str">
        <f>IF(F2319="","",IF(COUNTIF($F$2:F2319,F2319)&gt;1,"",SUMIFS(tbl_input[필요수량],tbl_input[집계키_센터],F2319)))</f>
        <v/>
      </c>
      <c r="F2319" t="str">
        <f>IFERROR(INDEX(tbl_input[집계키_센터],ROW()-1),"")</f>
        <v/>
      </c>
      <c r="G2319" t="str">
        <f t="shared" si="256"/>
        <v/>
      </c>
      <c r="H2319" t="str">
        <f t="shared" si="257"/>
        <v/>
      </c>
      <c r="I2319" t="str">
        <f t="shared" si="258"/>
        <v/>
      </c>
    </row>
    <row r="2320" spans="1:9" x14ac:dyDescent="0.4">
      <c r="A2320" t="str">
        <f t="shared" si="252"/>
        <v/>
      </c>
      <c r="B2320" t="str">
        <f t="shared" si="253"/>
        <v/>
      </c>
      <c r="C2320" t="str">
        <f t="shared" si="254"/>
        <v/>
      </c>
      <c r="D2320" t="str">
        <f t="shared" si="255"/>
        <v/>
      </c>
      <c r="E2320" t="str">
        <f>IF(F2320="","",IF(COUNTIF($F$2:F2320,F2320)&gt;1,"",SUMIFS(tbl_input[필요수량],tbl_input[집계키_센터],F2320)))</f>
        <v/>
      </c>
      <c r="F2320" t="str">
        <f>IFERROR(INDEX(tbl_input[집계키_센터],ROW()-1),"")</f>
        <v/>
      </c>
      <c r="G2320" t="str">
        <f t="shared" si="256"/>
        <v/>
      </c>
      <c r="H2320" t="str">
        <f t="shared" si="257"/>
        <v/>
      </c>
      <c r="I2320" t="str">
        <f t="shared" si="258"/>
        <v/>
      </c>
    </row>
    <row r="2321" spans="1:9" x14ac:dyDescent="0.4">
      <c r="A2321" t="str">
        <f t="shared" si="252"/>
        <v/>
      </c>
      <c r="B2321" t="str">
        <f t="shared" si="253"/>
        <v/>
      </c>
      <c r="C2321" t="str">
        <f t="shared" si="254"/>
        <v/>
      </c>
      <c r="D2321" t="str">
        <f t="shared" si="255"/>
        <v/>
      </c>
      <c r="E2321" t="str">
        <f>IF(F2321="","",IF(COUNTIF($F$2:F2321,F2321)&gt;1,"",SUMIFS(tbl_input[필요수량],tbl_input[집계키_센터],F2321)))</f>
        <v/>
      </c>
      <c r="F2321" t="str">
        <f>IFERROR(INDEX(tbl_input[집계키_센터],ROW()-1),"")</f>
        <v/>
      </c>
      <c r="G2321" t="str">
        <f t="shared" si="256"/>
        <v/>
      </c>
      <c r="H2321" t="str">
        <f t="shared" si="257"/>
        <v/>
      </c>
      <c r="I2321" t="str">
        <f t="shared" si="258"/>
        <v/>
      </c>
    </row>
    <row r="2322" spans="1:9" x14ac:dyDescent="0.4">
      <c r="A2322" t="str">
        <f t="shared" si="252"/>
        <v/>
      </c>
      <c r="B2322" t="str">
        <f t="shared" si="253"/>
        <v/>
      </c>
      <c r="C2322" t="str">
        <f t="shared" si="254"/>
        <v/>
      </c>
      <c r="D2322" t="str">
        <f t="shared" si="255"/>
        <v/>
      </c>
      <c r="E2322" t="str">
        <f>IF(F2322="","",IF(COUNTIF($F$2:F2322,F2322)&gt;1,"",SUMIFS(tbl_input[필요수량],tbl_input[집계키_센터],F2322)))</f>
        <v/>
      </c>
      <c r="F2322" t="str">
        <f>IFERROR(INDEX(tbl_input[집계키_센터],ROW()-1),"")</f>
        <v/>
      </c>
      <c r="G2322" t="str">
        <f t="shared" si="256"/>
        <v/>
      </c>
      <c r="H2322" t="str">
        <f t="shared" si="257"/>
        <v/>
      </c>
      <c r="I2322" t="str">
        <f t="shared" si="258"/>
        <v/>
      </c>
    </row>
    <row r="2323" spans="1:9" x14ac:dyDescent="0.4">
      <c r="A2323" t="str">
        <f t="shared" si="252"/>
        <v/>
      </c>
      <c r="B2323" t="str">
        <f t="shared" si="253"/>
        <v/>
      </c>
      <c r="C2323" t="str">
        <f t="shared" si="254"/>
        <v/>
      </c>
      <c r="D2323" t="str">
        <f t="shared" si="255"/>
        <v/>
      </c>
      <c r="E2323" t="str">
        <f>IF(F2323="","",IF(COUNTIF($F$2:F2323,F2323)&gt;1,"",SUMIFS(tbl_input[필요수량],tbl_input[집계키_센터],F2323)))</f>
        <v/>
      </c>
      <c r="F2323" t="str">
        <f>IFERROR(INDEX(tbl_input[집계키_센터],ROW()-1),"")</f>
        <v/>
      </c>
      <c r="G2323" t="str">
        <f t="shared" si="256"/>
        <v/>
      </c>
      <c r="H2323" t="str">
        <f t="shared" si="257"/>
        <v/>
      </c>
      <c r="I2323" t="str">
        <f t="shared" si="258"/>
        <v/>
      </c>
    </row>
    <row r="2324" spans="1:9" x14ac:dyDescent="0.4">
      <c r="A2324" t="str">
        <f t="shared" si="252"/>
        <v/>
      </c>
      <c r="B2324" t="str">
        <f t="shared" si="253"/>
        <v/>
      </c>
      <c r="C2324" t="str">
        <f t="shared" si="254"/>
        <v/>
      </c>
      <c r="D2324" t="str">
        <f t="shared" si="255"/>
        <v/>
      </c>
      <c r="E2324" t="str">
        <f>IF(F2324="","",IF(COUNTIF($F$2:F2324,F2324)&gt;1,"",SUMIFS(tbl_input[필요수량],tbl_input[집계키_센터],F2324)))</f>
        <v/>
      </c>
      <c r="F2324" t="str">
        <f>IFERROR(INDEX(tbl_input[집계키_센터],ROW()-1),"")</f>
        <v/>
      </c>
      <c r="G2324" t="str">
        <f t="shared" si="256"/>
        <v/>
      </c>
      <c r="H2324" t="str">
        <f t="shared" si="257"/>
        <v/>
      </c>
      <c r="I2324" t="str">
        <f t="shared" si="258"/>
        <v/>
      </c>
    </row>
    <row r="2325" spans="1:9" x14ac:dyDescent="0.4">
      <c r="A2325" t="str">
        <f t="shared" si="252"/>
        <v/>
      </c>
      <c r="B2325" t="str">
        <f t="shared" si="253"/>
        <v/>
      </c>
      <c r="C2325" t="str">
        <f t="shared" si="254"/>
        <v/>
      </c>
      <c r="D2325" t="str">
        <f t="shared" si="255"/>
        <v/>
      </c>
      <c r="E2325" t="str">
        <f>IF(F2325="","",IF(COUNTIF($F$2:F2325,F2325)&gt;1,"",SUMIFS(tbl_input[필요수량],tbl_input[집계키_센터],F2325)))</f>
        <v/>
      </c>
      <c r="F2325" t="str">
        <f>IFERROR(INDEX(tbl_input[집계키_센터],ROW()-1),"")</f>
        <v/>
      </c>
      <c r="G2325" t="str">
        <f t="shared" si="256"/>
        <v/>
      </c>
      <c r="H2325" t="str">
        <f t="shared" si="257"/>
        <v/>
      </c>
      <c r="I2325" t="str">
        <f t="shared" si="258"/>
        <v/>
      </c>
    </row>
    <row r="2326" spans="1:9" x14ac:dyDescent="0.4">
      <c r="A2326" t="str">
        <f t="shared" si="252"/>
        <v/>
      </c>
      <c r="B2326" t="str">
        <f t="shared" si="253"/>
        <v/>
      </c>
      <c r="C2326" t="str">
        <f t="shared" si="254"/>
        <v/>
      </c>
      <c r="D2326" t="str">
        <f t="shared" si="255"/>
        <v/>
      </c>
      <c r="E2326" t="str">
        <f>IF(F2326="","",IF(COUNTIF($F$2:F2326,F2326)&gt;1,"",SUMIFS(tbl_input[필요수량],tbl_input[집계키_센터],F2326)))</f>
        <v/>
      </c>
      <c r="F2326" t="str">
        <f>IFERROR(INDEX(tbl_input[집계키_센터],ROW()-1),"")</f>
        <v/>
      </c>
      <c r="G2326" t="str">
        <f t="shared" si="256"/>
        <v/>
      </c>
      <c r="H2326" t="str">
        <f t="shared" si="257"/>
        <v/>
      </c>
      <c r="I2326" t="str">
        <f t="shared" si="258"/>
        <v/>
      </c>
    </row>
    <row r="2327" spans="1:9" x14ac:dyDescent="0.4">
      <c r="A2327" t="str">
        <f t="shared" si="252"/>
        <v/>
      </c>
      <c r="B2327" t="str">
        <f t="shared" si="253"/>
        <v/>
      </c>
      <c r="C2327" t="str">
        <f t="shared" si="254"/>
        <v/>
      </c>
      <c r="D2327" t="str">
        <f t="shared" si="255"/>
        <v/>
      </c>
      <c r="E2327" t="str">
        <f>IF(F2327="","",IF(COUNTIF($F$2:F2327,F2327)&gt;1,"",SUMIFS(tbl_input[필요수량],tbl_input[집계키_센터],F2327)))</f>
        <v/>
      </c>
      <c r="F2327" t="str">
        <f>IFERROR(INDEX(tbl_input[집계키_센터],ROW()-1),"")</f>
        <v/>
      </c>
      <c r="G2327" t="str">
        <f t="shared" si="256"/>
        <v/>
      </c>
      <c r="H2327" t="str">
        <f t="shared" si="257"/>
        <v/>
      </c>
      <c r="I2327" t="str">
        <f t="shared" si="258"/>
        <v/>
      </c>
    </row>
    <row r="2328" spans="1:9" x14ac:dyDescent="0.4">
      <c r="A2328" t="str">
        <f t="shared" si="252"/>
        <v/>
      </c>
      <c r="B2328" t="str">
        <f t="shared" si="253"/>
        <v/>
      </c>
      <c r="C2328" t="str">
        <f t="shared" si="254"/>
        <v/>
      </c>
      <c r="D2328" t="str">
        <f t="shared" si="255"/>
        <v/>
      </c>
      <c r="E2328" t="str">
        <f>IF(F2328="","",IF(COUNTIF($F$2:F2328,F2328)&gt;1,"",SUMIFS(tbl_input[필요수량],tbl_input[집계키_센터],F2328)))</f>
        <v/>
      </c>
      <c r="F2328" t="str">
        <f>IFERROR(INDEX(tbl_input[집계키_센터],ROW()-1),"")</f>
        <v/>
      </c>
      <c r="G2328" t="str">
        <f t="shared" si="256"/>
        <v/>
      </c>
      <c r="H2328" t="str">
        <f t="shared" si="257"/>
        <v/>
      </c>
      <c r="I2328" t="str">
        <f t="shared" si="258"/>
        <v/>
      </c>
    </row>
    <row r="2329" spans="1:9" x14ac:dyDescent="0.4">
      <c r="A2329" t="str">
        <f t="shared" si="252"/>
        <v/>
      </c>
      <c r="B2329" t="str">
        <f t="shared" si="253"/>
        <v/>
      </c>
      <c r="C2329" t="str">
        <f t="shared" si="254"/>
        <v/>
      </c>
      <c r="D2329" t="str">
        <f t="shared" si="255"/>
        <v/>
      </c>
      <c r="E2329" t="str">
        <f>IF(F2329="","",IF(COUNTIF($F$2:F2329,F2329)&gt;1,"",SUMIFS(tbl_input[필요수량],tbl_input[집계키_센터],F2329)))</f>
        <v/>
      </c>
      <c r="F2329" t="str">
        <f>IFERROR(INDEX(tbl_input[집계키_센터],ROW()-1),"")</f>
        <v/>
      </c>
      <c r="G2329" t="str">
        <f t="shared" si="256"/>
        <v/>
      </c>
      <c r="H2329" t="str">
        <f t="shared" si="257"/>
        <v/>
      </c>
      <c r="I2329" t="str">
        <f t="shared" si="258"/>
        <v/>
      </c>
    </row>
    <row r="2330" spans="1:9" x14ac:dyDescent="0.4">
      <c r="A2330" t="str">
        <f t="shared" si="252"/>
        <v/>
      </c>
      <c r="B2330" t="str">
        <f t="shared" si="253"/>
        <v/>
      </c>
      <c r="C2330" t="str">
        <f t="shared" si="254"/>
        <v/>
      </c>
      <c r="D2330" t="str">
        <f t="shared" si="255"/>
        <v/>
      </c>
      <c r="E2330" t="str">
        <f>IF(F2330="","",IF(COUNTIF($F$2:F2330,F2330)&gt;1,"",SUMIFS(tbl_input[필요수량],tbl_input[집계키_센터],F2330)))</f>
        <v/>
      </c>
      <c r="F2330" t="str">
        <f>IFERROR(INDEX(tbl_input[집계키_센터],ROW()-1),"")</f>
        <v/>
      </c>
      <c r="G2330" t="str">
        <f t="shared" si="256"/>
        <v/>
      </c>
      <c r="H2330" t="str">
        <f t="shared" si="257"/>
        <v/>
      </c>
      <c r="I2330" t="str">
        <f t="shared" si="258"/>
        <v/>
      </c>
    </row>
    <row r="2331" spans="1:9" x14ac:dyDescent="0.4">
      <c r="A2331" t="str">
        <f t="shared" si="252"/>
        <v/>
      </c>
      <c r="B2331" t="str">
        <f t="shared" si="253"/>
        <v/>
      </c>
      <c r="C2331" t="str">
        <f t="shared" si="254"/>
        <v/>
      </c>
      <c r="D2331" t="str">
        <f t="shared" si="255"/>
        <v/>
      </c>
      <c r="E2331" t="str">
        <f>IF(F2331="","",IF(COUNTIF($F$2:F2331,F2331)&gt;1,"",SUMIFS(tbl_input[필요수량],tbl_input[집계키_센터],F2331)))</f>
        <v/>
      </c>
      <c r="F2331" t="str">
        <f>IFERROR(INDEX(tbl_input[집계키_센터],ROW()-1),"")</f>
        <v/>
      </c>
      <c r="G2331" t="str">
        <f t="shared" si="256"/>
        <v/>
      </c>
      <c r="H2331" t="str">
        <f t="shared" si="257"/>
        <v/>
      </c>
      <c r="I2331" t="str">
        <f t="shared" si="258"/>
        <v/>
      </c>
    </row>
    <row r="2332" spans="1:9" x14ac:dyDescent="0.4">
      <c r="A2332" t="str">
        <f t="shared" si="252"/>
        <v/>
      </c>
      <c r="B2332" t="str">
        <f t="shared" si="253"/>
        <v/>
      </c>
      <c r="C2332" t="str">
        <f t="shared" si="254"/>
        <v/>
      </c>
      <c r="D2332" t="str">
        <f t="shared" si="255"/>
        <v/>
      </c>
      <c r="E2332" t="str">
        <f>IF(F2332="","",IF(COUNTIF($F$2:F2332,F2332)&gt;1,"",SUMIFS(tbl_input[필요수량],tbl_input[집계키_센터],F2332)))</f>
        <v/>
      </c>
      <c r="F2332" t="str">
        <f>IFERROR(INDEX(tbl_input[집계키_센터],ROW()-1),"")</f>
        <v/>
      </c>
      <c r="G2332" t="str">
        <f t="shared" si="256"/>
        <v/>
      </c>
      <c r="H2332" t="str">
        <f t="shared" si="257"/>
        <v/>
      </c>
      <c r="I2332" t="str">
        <f t="shared" si="258"/>
        <v/>
      </c>
    </row>
    <row r="2333" spans="1:9" x14ac:dyDescent="0.4">
      <c r="A2333" t="str">
        <f t="shared" si="252"/>
        <v/>
      </c>
      <c r="B2333" t="str">
        <f t="shared" si="253"/>
        <v/>
      </c>
      <c r="C2333" t="str">
        <f t="shared" si="254"/>
        <v/>
      </c>
      <c r="D2333" t="str">
        <f t="shared" si="255"/>
        <v/>
      </c>
      <c r="E2333" t="str">
        <f>IF(F2333="","",IF(COUNTIF($F$2:F2333,F2333)&gt;1,"",SUMIFS(tbl_input[필요수량],tbl_input[집계키_센터],F2333)))</f>
        <v/>
      </c>
      <c r="F2333" t="str">
        <f>IFERROR(INDEX(tbl_input[집계키_센터],ROW()-1),"")</f>
        <v/>
      </c>
      <c r="G2333" t="str">
        <f t="shared" si="256"/>
        <v/>
      </c>
      <c r="H2333" t="str">
        <f t="shared" si="257"/>
        <v/>
      </c>
      <c r="I2333" t="str">
        <f t="shared" si="258"/>
        <v/>
      </c>
    </row>
    <row r="2334" spans="1:9" x14ac:dyDescent="0.4">
      <c r="A2334" t="str">
        <f t="shared" si="252"/>
        <v/>
      </c>
      <c r="B2334" t="str">
        <f t="shared" si="253"/>
        <v/>
      </c>
      <c r="C2334" t="str">
        <f t="shared" si="254"/>
        <v/>
      </c>
      <c r="D2334" t="str">
        <f t="shared" si="255"/>
        <v/>
      </c>
      <c r="E2334" t="str">
        <f>IF(F2334="","",IF(COUNTIF($F$2:F2334,F2334)&gt;1,"",SUMIFS(tbl_input[필요수량],tbl_input[집계키_센터],F2334)))</f>
        <v/>
      </c>
      <c r="F2334" t="str">
        <f>IFERROR(INDEX(tbl_input[집계키_센터],ROW()-1),"")</f>
        <v/>
      </c>
      <c r="G2334" t="str">
        <f t="shared" si="256"/>
        <v/>
      </c>
      <c r="H2334" t="str">
        <f t="shared" si="257"/>
        <v/>
      </c>
      <c r="I2334" t="str">
        <f t="shared" si="258"/>
        <v/>
      </c>
    </row>
    <row r="2335" spans="1:9" x14ac:dyDescent="0.4">
      <c r="A2335" t="str">
        <f t="shared" si="252"/>
        <v/>
      </c>
      <c r="B2335" t="str">
        <f t="shared" si="253"/>
        <v/>
      </c>
      <c r="C2335" t="str">
        <f t="shared" si="254"/>
        <v/>
      </c>
      <c r="D2335" t="str">
        <f t="shared" si="255"/>
        <v/>
      </c>
      <c r="E2335" t="str">
        <f>IF(F2335="","",IF(COUNTIF($F$2:F2335,F2335)&gt;1,"",SUMIFS(tbl_input[필요수량],tbl_input[집계키_센터],F2335)))</f>
        <v/>
      </c>
      <c r="F2335" t="str">
        <f>IFERROR(INDEX(tbl_input[집계키_센터],ROW()-1),"")</f>
        <v/>
      </c>
      <c r="G2335" t="str">
        <f t="shared" si="256"/>
        <v/>
      </c>
      <c r="H2335" t="str">
        <f t="shared" si="257"/>
        <v/>
      </c>
      <c r="I2335" t="str">
        <f t="shared" si="258"/>
        <v/>
      </c>
    </row>
    <row r="2336" spans="1:9" x14ac:dyDescent="0.4">
      <c r="A2336" t="str">
        <f t="shared" si="252"/>
        <v/>
      </c>
      <c r="B2336" t="str">
        <f t="shared" si="253"/>
        <v/>
      </c>
      <c r="C2336" t="str">
        <f t="shared" si="254"/>
        <v/>
      </c>
      <c r="D2336" t="str">
        <f t="shared" si="255"/>
        <v/>
      </c>
      <c r="E2336" t="str">
        <f>IF(F2336="","",IF(COUNTIF($F$2:F2336,F2336)&gt;1,"",SUMIFS(tbl_input[필요수량],tbl_input[집계키_센터],F2336)))</f>
        <v/>
      </c>
      <c r="F2336" t="str">
        <f>IFERROR(INDEX(tbl_input[집계키_센터],ROW()-1),"")</f>
        <v/>
      </c>
      <c r="G2336" t="str">
        <f t="shared" si="256"/>
        <v/>
      </c>
      <c r="H2336" t="str">
        <f t="shared" si="257"/>
        <v/>
      </c>
      <c r="I2336" t="str">
        <f t="shared" si="258"/>
        <v/>
      </c>
    </row>
    <row r="2337" spans="1:9" x14ac:dyDescent="0.4">
      <c r="A2337" t="str">
        <f t="shared" si="252"/>
        <v/>
      </c>
      <c r="B2337" t="str">
        <f t="shared" si="253"/>
        <v/>
      </c>
      <c r="C2337" t="str">
        <f t="shared" si="254"/>
        <v/>
      </c>
      <c r="D2337" t="str">
        <f t="shared" si="255"/>
        <v/>
      </c>
      <c r="E2337" t="str">
        <f>IF(F2337="","",IF(COUNTIF($F$2:F2337,F2337)&gt;1,"",SUMIFS(tbl_input[필요수량],tbl_input[집계키_센터],F2337)))</f>
        <v/>
      </c>
      <c r="F2337" t="str">
        <f>IFERROR(INDEX(tbl_input[집계키_센터],ROW()-1),"")</f>
        <v/>
      </c>
      <c r="G2337" t="str">
        <f t="shared" si="256"/>
        <v/>
      </c>
      <c r="H2337" t="str">
        <f t="shared" si="257"/>
        <v/>
      </c>
      <c r="I2337" t="str">
        <f t="shared" si="258"/>
        <v/>
      </c>
    </row>
    <row r="2338" spans="1:9" x14ac:dyDescent="0.4">
      <c r="A2338" t="str">
        <f t="shared" si="252"/>
        <v/>
      </c>
      <c r="B2338" t="str">
        <f t="shared" si="253"/>
        <v/>
      </c>
      <c r="C2338" t="str">
        <f t="shared" si="254"/>
        <v/>
      </c>
      <c r="D2338" t="str">
        <f t="shared" si="255"/>
        <v/>
      </c>
      <c r="E2338" t="str">
        <f>IF(F2338="","",IF(COUNTIF($F$2:F2338,F2338)&gt;1,"",SUMIFS(tbl_input[필요수량],tbl_input[집계키_센터],F2338)))</f>
        <v/>
      </c>
      <c r="F2338" t="str">
        <f>IFERROR(INDEX(tbl_input[집계키_센터],ROW()-1),"")</f>
        <v/>
      </c>
      <c r="G2338" t="str">
        <f t="shared" si="256"/>
        <v/>
      </c>
      <c r="H2338" t="str">
        <f t="shared" si="257"/>
        <v/>
      </c>
      <c r="I2338" t="str">
        <f t="shared" si="258"/>
        <v/>
      </c>
    </row>
    <row r="2339" spans="1:9" x14ac:dyDescent="0.4">
      <c r="A2339" t="str">
        <f t="shared" si="252"/>
        <v/>
      </c>
      <c r="B2339" t="str">
        <f t="shared" si="253"/>
        <v/>
      </c>
      <c r="C2339" t="str">
        <f t="shared" si="254"/>
        <v/>
      </c>
      <c r="D2339" t="str">
        <f t="shared" si="255"/>
        <v/>
      </c>
      <c r="E2339" t="str">
        <f>IF(F2339="","",IF(COUNTIF($F$2:F2339,F2339)&gt;1,"",SUMIFS(tbl_input[필요수량],tbl_input[집계키_센터],F2339)))</f>
        <v/>
      </c>
      <c r="F2339" t="str">
        <f>IFERROR(INDEX(tbl_input[집계키_센터],ROW()-1),"")</f>
        <v/>
      </c>
      <c r="G2339" t="str">
        <f t="shared" si="256"/>
        <v/>
      </c>
      <c r="H2339" t="str">
        <f t="shared" si="257"/>
        <v/>
      </c>
      <c r="I2339" t="str">
        <f t="shared" si="258"/>
        <v/>
      </c>
    </row>
    <row r="2340" spans="1:9" x14ac:dyDescent="0.4">
      <c r="A2340" t="str">
        <f t="shared" si="252"/>
        <v/>
      </c>
      <c r="B2340" t="str">
        <f t="shared" si="253"/>
        <v/>
      </c>
      <c r="C2340" t="str">
        <f t="shared" si="254"/>
        <v/>
      </c>
      <c r="D2340" t="str">
        <f t="shared" si="255"/>
        <v/>
      </c>
      <c r="E2340" t="str">
        <f>IF(F2340="","",IF(COUNTIF($F$2:F2340,F2340)&gt;1,"",SUMIFS(tbl_input[필요수량],tbl_input[집계키_센터],F2340)))</f>
        <v/>
      </c>
      <c r="F2340" t="str">
        <f>IFERROR(INDEX(tbl_input[집계키_센터],ROW()-1),"")</f>
        <v/>
      </c>
      <c r="G2340" t="str">
        <f t="shared" si="256"/>
        <v/>
      </c>
      <c r="H2340" t="str">
        <f t="shared" si="257"/>
        <v/>
      </c>
      <c r="I2340" t="str">
        <f t="shared" si="258"/>
        <v/>
      </c>
    </row>
    <row r="2341" spans="1:9" x14ac:dyDescent="0.4">
      <c r="A2341" t="str">
        <f t="shared" si="252"/>
        <v/>
      </c>
      <c r="B2341" t="str">
        <f t="shared" si="253"/>
        <v/>
      </c>
      <c r="C2341" t="str">
        <f t="shared" si="254"/>
        <v/>
      </c>
      <c r="D2341" t="str">
        <f t="shared" si="255"/>
        <v/>
      </c>
      <c r="E2341" t="str">
        <f>IF(F2341="","",IF(COUNTIF($F$2:F2341,F2341)&gt;1,"",SUMIFS(tbl_input[필요수량],tbl_input[집계키_센터],F2341)))</f>
        <v/>
      </c>
      <c r="F2341" t="str">
        <f>IFERROR(INDEX(tbl_input[집계키_센터],ROW()-1),"")</f>
        <v/>
      </c>
      <c r="G2341" t="str">
        <f t="shared" si="256"/>
        <v/>
      </c>
      <c r="H2341" t="str">
        <f t="shared" si="257"/>
        <v/>
      </c>
      <c r="I2341" t="str">
        <f t="shared" si="258"/>
        <v/>
      </c>
    </row>
    <row r="2342" spans="1:9" x14ac:dyDescent="0.4">
      <c r="A2342" t="str">
        <f t="shared" si="252"/>
        <v/>
      </c>
      <c r="B2342" t="str">
        <f t="shared" si="253"/>
        <v/>
      </c>
      <c r="C2342" t="str">
        <f t="shared" si="254"/>
        <v/>
      </c>
      <c r="D2342" t="str">
        <f t="shared" si="255"/>
        <v/>
      </c>
      <c r="E2342" t="str">
        <f>IF(F2342="","",IF(COUNTIF($F$2:F2342,F2342)&gt;1,"",SUMIFS(tbl_input[필요수량],tbl_input[집계키_센터],F2342)))</f>
        <v/>
      </c>
      <c r="F2342" t="str">
        <f>IFERROR(INDEX(tbl_input[집계키_센터],ROW()-1),"")</f>
        <v/>
      </c>
      <c r="G2342" t="str">
        <f t="shared" si="256"/>
        <v/>
      </c>
      <c r="H2342" t="str">
        <f t="shared" si="257"/>
        <v/>
      </c>
      <c r="I2342" t="str">
        <f t="shared" si="258"/>
        <v/>
      </c>
    </row>
    <row r="2343" spans="1:9" x14ac:dyDescent="0.4">
      <c r="A2343" t="str">
        <f t="shared" si="252"/>
        <v/>
      </c>
      <c r="B2343" t="str">
        <f t="shared" si="253"/>
        <v/>
      </c>
      <c r="C2343" t="str">
        <f t="shared" si="254"/>
        <v/>
      </c>
      <c r="D2343" t="str">
        <f t="shared" si="255"/>
        <v/>
      </c>
      <c r="E2343" t="str">
        <f>IF(F2343="","",IF(COUNTIF($F$2:F2343,F2343)&gt;1,"",SUMIFS(tbl_input[필요수량],tbl_input[집계키_센터],F2343)))</f>
        <v/>
      </c>
      <c r="F2343" t="str">
        <f>IFERROR(INDEX(tbl_input[집계키_센터],ROW()-1),"")</f>
        <v/>
      </c>
      <c r="G2343" t="str">
        <f t="shared" si="256"/>
        <v/>
      </c>
      <c r="H2343" t="str">
        <f t="shared" si="257"/>
        <v/>
      </c>
      <c r="I2343" t="str">
        <f t="shared" si="258"/>
        <v/>
      </c>
    </row>
    <row r="2344" spans="1:9" x14ac:dyDescent="0.4">
      <c r="A2344" t="str">
        <f t="shared" si="252"/>
        <v/>
      </c>
      <c r="B2344" t="str">
        <f t="shared" si="253"/>
        <v/>
      </c>
      <c r="C2344" t="str">
        <f t="shared" si="254"/>
        <v/>
      </c>
      <c r="D2344" t="str">
        <f t="shared" si="255"/>
        <v/>
      </c>
      <c r="E2344" t="str">
        <f>IF(F2344="","",IF(COUNTIF($F$2:F2344,F2344)&gt;1,"",SUMIFS(tbl_input[필요수량],tbl_input[집계키_센터],F2344)))</f>
        <v/>
      </c>
      <c r="F2344" t="str">
        <f>IFERROR(INDEX(tbl_input[집계키_센터],ROW()-1),"")</f>
        <v/>
      </c>
      <c r="G2344" t="str">
        <f t="shared" si="256"/>
        <v/>
      </c>
      <c r="H2344" t="str">
        <f t="shared" si="257"/>
        <v/>
      </c>
      <c r="I2344" t="str">
        <f t="shared" si="258"/>
        <v/>
      </c>
    </row>
    <row r="2345" spans="1:9" x14ac:dyDescent="0.4">
      <c r="A2345" t="str">
        <f t="shared" si="252"/>
        <v/>
      </c>
      <c r="B2345" t="str">
        <f t="shared" si="253"/>
        <v/>
      </c>
      <c r="C2345" t="str">
        <f t="shared" si="254"/>
        <v/>
      </c>
      <c r="D2345" t="str">
        <f t="shared" si="255"/>
        <v/>
      </c>
      <c r="E2345" t="str">
        <f>IF(F2345="","",IF(COUNTIF($F$2:F2345,F2345)&gt;1,"",SUMIFS(tbl_input[필요수량],tbl_input[집계키_센터],F2345)))</f>
        <v/>
      </c>
      <c r="F2345" t="str">
        <f>IFERROR(INDEX(tbl_input[집계키_센터],ROW()-1),"")</f>
        <v/>
      </c>
      <c r="G2345" t="str">
        <f t="shared" si="256"/>
        <v/>
      </c>
      <c r="H2345" t="str">
        <f t="shared" si="257"/>
        <v/>
      </c>
      <c r="I2345" t="str">
        <f t="shared" si="258"/>
        <v/>
      </c>
    </row>
    <row r="2346" spans="1:9" x14ac:dyDescent="0.4">
      <c r="A2346" t="str">
        <f t="shared" si="252"/>
        <v/>
      </c>
      <c r="B2346" t="str">
        <f t="shared" si="253"/>
        <v/>
      </c>
      <c r="C2346" t="str">
        <f t="shared" si="254"/>
        <v/>
      </c>
      <c r="D2346" t="str">
        <f t="shared" si="255"/>
        <v/>
      </c>
      <c r="E2346" t="str">
        <f>IF(F2346="","",IF(COUNTIF($F$2:F2346,F2346)&gt;1,"",SUMIFS(tbl_input[필요수량],tbl_input[집계키_센터],F2346)))</f>
        <v/>
      </c>
      <c r="F2346" t="str">
        <f>IFERROR(INDEX(tbl_input[집계키_센터],ROW()-1),"")</f>
        <v/>
      </c>
      <c r="G2346" t="str">
        <f t="shared" si="256"/>
        <v/>
      </c>
      <c r="H2346" t="str">
        <f t="shared" si="257"/>
        <v/>
      </c>
      <c r="I2346" t="str">
        <f t="shared" si="258"/>
        <v/>
      </c>
    </row>
    <row r="2347" spans="1:9" x14ac:dyDescent="0.4">
      <c r="A2347" t="str">
        <f t="shared" si="252"/>
        <v/>
      </c>
      <c r="B2347" t="str">
        <f t="shared" si="253"/>
        <v/>
      </c>
      <c r="C2347" t="str">
        <f t="shared" si="254"/>
        <v/>
      </c>
      <c r="D2347" t="str">
        <f t="shared" si="255"/>
        <v/>
      </c>
      <c r="E2347" t="str">
        <f>IF(F2347="","",IF(COUNTIF($F$2:F2347,F2347)&gt;1,"",SUMIFS(tbl_input[필요수량],tbl_input[집계키_센터],F2347)))</f>
        <v/>
      </c>
      <c r="F2347" t="str">
        <f>IFERROR(INDEX(tbl_input[집계키_센터],ROW()-1),"")</f>
        <v/>
      </c>
      <c r="G2347" t="str">
        <f t="shared" si="256"/>
        <v/>
      </c>
      <c r="H2347" t="str">
        <f t="shared" si="257"/>
        <v/>
      </c>
      <c r="I2347" t="str">
        <f t="shared" si="258"/>
        <v/>
      </c>
    </row>
    <row r="2348" spans="1:9" x14ac:dyDescent="0.4">
      <c r="A2348" t="str">
        <f t="shared" si="252"/>
        <v/>
      </c>
      <c r="B2348" t="str">
        <f t="shared" si="253"/>
        <v/>
      </c>
      <c r="C2348" t="str">
        <f t="shared" si="254"/>
        <v/>
      </c>
      <c r="D2348" t="str">
        <f t="shared" si="255"/>
        <v/>
      </c>
      <c r="E2348" t="str">
        <f>IF(F2348="","",IF(COUNTIF($F$2:F2348,F2348)&gt;1,"",SUMIFS(tbl_input[필요수량],tbl_input[집계키_센터],F2348)))</f>
        <v/>
      </c>
      <c r="F2348" t="str">
        <f>IFERROR(INDEX(tbl_input[집계키_센터],ROW()-1),"")</f>
        <v/>
      </c>
      <c r="G2348" t="str">
        <f t="shared" si="256"/>
        <v/>
      </c>
      <c r="H2348" t="str">
        <f t="shared" si="257"/>
        <v/>
      </c>
      <c r="I2348" t="str">
        <f t="shared" si="258"/>
        <v/>
      </c>
    </row>
    <row r="2349" spans="1:9" x14ac:dyDescent="0.4">
      <c r="A2349" t="str">
        <f t="shared" si="252"/>
        <v/>
      </c>
      <c r="B2349" t="str">
        <f t="shared" si="253"/>
        <v/>
      </c>
      <c r="C2349" t="str">
        <f t="shared" si="254"/>
        <v/>
      </c>
      <c r="D2349" t="str">
        <f t="shared" si="255"/>
        <v/>
      </c>
      <c r="E2349" t="str">
        <f>IF(F2349="","",IF(COUNTIF($F$2:F2349,F2349)&gt;1,"",SUMIFS(tbl_input[필요수량],tbl_input[집계키_센터],F2349)))</f>
        <v/>
      </c>
      <c r="F2349" t="str">
        <f>IFERROR(INDEX(tbl_input[집계키_센터],ROW()-1),"")</f>
        <v/>
      </c>
      <c r="G2349" t="str">
        <f t="shared" si="256"/>
        <v/>
      </c>
      <c r="H2349" t="str">
        <f t="shared" si="257"/>
        <v/>
      </c>
      <c r="I2349" t="str">
        <f t="shared" si="258"/>
        <v/>
      </c>
    </row>
    <row r="2350" spans="1:9" x14ac:dyDescent="0.4">
      <c r="A2350" t="str">
        <f t="shared" si="252"/>
        <v/>
      </c>
      <c r="B2350" t="str">
        <f t="shared" si="253"/>
        <v/>
      </c>
      <c r="C2350" t="str">
        <f t="shared" si="254"/>
        <v/>
      </c>
      <c r="D2350" t="str">
        <f t="shared" si="255"/>
        <v/>
      </c>
      <c r="E2350" t="str">
        <f>IF(F2350="","",IF(COUNTIF($F$2:F2350,F2350)&gt;1,"",SUMIFS(tbl_input[필요수량],tbl_input[집계키_센터],F2350)))</f>
        <v/>
      </c>
      <c r="F2350" t="str">
        <f>IFERROR(INDEX(tbl_input[집계키_센터],ROW()-1),"")</f>
        <v/>
      </c>
      <c r="G2350" t="str">
        <f t="shared" si="256"/>
        <v/>
      </c>
      <c r="H2350" t="str">
        <f t="shared" si="257"/>
        <v/>
      </c>
      <c r="I2350" t="str">
        <f t="shared" si="258"/>
        <v/>
      </c>
    </row>
    <row r="2351" spans="1:9" x14ac:dyDescent="0.4">
      <c r="A2351" t="str">
        <f t="shared" si="252"/>
        <v/>
      </c>
      <c r="B2351" t="str">
        <f t="shared" si="253"/>
        <v/>
      </c>
      <c r="C2351" t="str">
        <f t="shared" si="254"/>
        <v/>
      </c>
      <c r="D2351" t="str">
        <f t="shared" si="255"/>
        <v/>
      </c>
      <c r="E2351" t="str">
        <f>IF(F2351="","",IF(COUNTIF($F$2:F2351,F2351)&gt;1,"",SUMIFS(tbl_input[필요수량],tbl_input[집계키_센터],F2351)))</f>
        <v/>
      </c>
      <c r="F2351" t="str">
        <f>IFERROR(INDEX(tbl_input[집계키_센터],ROW()-1),"")</f>
        <v/>
      </c>
      <c r="G2351" t="str">
        <f t="shared" si="256"/>
        <v/>
      </c>
      <c r="H2351" t="str">
        <f t="shared" si="257"/>
        <v/>
      </c>
      <c r="I2351" t="str">
        <f t="shared" si="258"/>
        <v/>
      </c>
    </row>
    <row r="2352" spans="1:9" x14ac:dyDescent="0.4">
      <c r="A2352" t="str">
        <f t="shared" si="252"/>
        <v/>
      </c>
      <c r="B2352" t="str">
        <f t="shared" si="253"/>
        <v/>
      </c>
      <c r="C2352" t="str">
        <f t="shared" si="254"/>
        <v/>
      </c>
      <c r="D2352" t="str">
        <f t="shared" si="255"/>
        <v/>
      </c>
      <c r="E2352" t="str">
        <f>IF(F2352="","",IF(COUNTIF($F$2:F2352,F2352)&gt;1,"",SUMIFS(tbl_input[필요수량],tbl_input[집계키_센터],F2352)))</f>
        <v/>
      </c>
      <c r="F2352" t="str">
        <f>IFERROR(INDEX(tbl_input[집계키_센터],ROW()-1),"")</f>
        <v/>
      </c>
      <c r="G2352" t="str">
        <f t="shared" si="256"/>
        <v/>
      </c>
      <c r="H2352" t="str">
        <f t="shared" si="257"/>
        <v/>
      </c>
      <c r="I2352" t="str">
        <f t="shared" si="258"/>
        <v/>
      </c>
    </row>
    <row r="2353" spans="1:9" x14ac:dyDescent="0.4">
      <c r="A2353" t="str">
        <f t="shared" si="252"/>
        <v/>
      </c>
      <c r="B2353" t="str">
        <f t="shared" si="253"/>
        <v/>
      </c>
      <c r="C2353" t="str">
        <f t="shared" si="254"/>
        <v/>
      </c>
      <c r="D2353" t="str">
        <f t="shared" si="255"/>
        <v/>
      </c>
      <c r="E2353" t="str">
        <f>IF(F2353="","",IF(COUNTIF($F$2:F2353,F2353)&gt;1,"",SUMIFS(tbl_input[필요수량],tbl_input[집계키_센터],F2353)))</f>
        <v/>
      </c>
      <c r="F2353" t="str">
        <f>IFERROR(INDEX(tbl_input[집계키_센터],ROW()-1),"")</f>
        <v/>
      </c>
      <c r="G2353" t="str">
        <f t="shared" si="256"/>
        <v/>
      </c>
      <c r="H2353" t="str">
        <f t="shared" si="257"/>
        <v/>
      </c>
      <c r="I2353" t="str">
        <f t="shared" si="258"/>
        <v/>
      </c>
    </row>
    <row r="2354" spans="1:9" x14ac:dyDescent="0.4">
      <c r="A2354" t="str">
        <f t="shared" si="252"/>
        <v/>
      </c>
      <c r="B2354" t="str">
        <f t="shared" si="253"/>
        <v/>
      </c>
      <c r="C2354" t="str">
        <f t="shared" si="254"/>
        <v/>
      </c>
      <c r="D2354" t="str">
        <f t="shared" si="255"/>
        <v/>
      </c>
      <c r="E2354" t="str">
        <f>IF(F2354="","",IF(COUNTIF($F$2:F2354,F2354)&gt;1,"",SUMIFS(tbl_input[필요수량],tbl_input[집계키_센터],F2354)))</f>
        <v/>
      </c>
      <c r="F2354" t="str">
        <f>IFERROR(INDEX(tbl_input[집계키_센터],ROW()-1),"")</f>
        <v/>
      </c>
      <c r="G2354" t="str">
        <f t="shared" si="256"/>
        <v/>
      </c>
      <c r="H2354" t="str">
        <f t="shared" si="257"/>
        <v/>
      </c>
      <c r="I2354" t="str">
        <f t="shared" si="258"/>
        <v/>
      </c>
    </row>
    <row r="2355" spans="1:9" x14ac:dyDescent="0.4">
      <c r="A2355" t="str">
        <f t="shared" si="252"/>
        <v/>
      </c>
      <c r="B2355" t="str">
        <f t="shared" si="253"/>
        <v/>
      </c>
      <c r="C2355" t="str">
        <f t="shared" si="254"/>
        <v/>
      </c>
      <c r="D2355" t="str">
        <f t="shared" si="255"/>
        <v/>
      </c>
      <c r="E2355" t="str">
        <f>IF(F2355="","",IF(COUNTIF($F$2:F2355,F2355)&gt;1,"",SUMIFS(tbl_input[필요수량],tbl_input[집계키_센터],F2355)))</f>
        <v/>
      </c>
      <c r="F2355" t="str">
        <f>IFERROR(INDEX(tbl_input[집계키_센터],ROW()-1),"")</f>
        <v/>
      </c>
      <c r="G2355" t="str">
        <f t="shared" si="256"/>
        <v/>
      </c>
      <c r="H2355" t="str">
        <f t="shared" si="257"/>
        <v/>
      </c>
      <c r="I2355" t="str">
        <f t="shared" si="258"/>
        <v/>
      </c>
    </row>
    <row r="2356" spans="1:9" x14ac:dyDescent="0.4">
      <c r="A2356" t="str">
        <f t="shared" si="252"/>
        <v/>
      </c>
      <c r="B2356" t="str">
        <f t="shared" si="253"/>
        <v/>
      </c>
      <c r="C2356" t="str">
        <f t="shared" si="254"/>
        <v/>
      </c>
      <c r="D2356" t="str">
        <f t="shared" si="255"/>
        <v/>
      </c>
      <c r="E2356" t="str">
        <f>IF(F2356="","",IF(COUNTIF($F$2:F2356,F2356)&gt;1,"",SUMIFS(tbl_input[필요수량],tbl_input[집계키_센터],F2356)))</f>
        <v/>
      </c>
      <c r="F2356" t="str">
        <f>IFERROR(INDEX(tbl_input[집계키_센터],ROW()-1),"")</f>
        <v/>
      </c>
      <c r="G2356" t="str">
        <f t="shared" si="256"/>
        <v/>
      </c>
      <c r="H2356" t="str">
        <f t="shared" si="257"/>
        <v/>
      </c>
      <c r="I2356" t="str">
        <f t="shared" si="258"/>
        <v/>
      </c>
    </row>
    <row r="2357" spans="1:9" x14ac:dyDescent="0.4">
      <c r="A2357" t="str">
        <f t="shared" si="252"/>
        <v/>
      </c>
      <c r="B2357" t="str">
        <f t="shared" si="253"/>
        <v/>
      </c>
      <c r="C2357" t="str">
        <f t="shared" si="254"/>
        <v/>
      </c>
      <c r="D2357" t="str">
        <f t="shared" si="255"/>
        <v/>
      </c>
      <c r="E2357" t="str">
        <f>IF(F2357="","",IF(COUNTIF($F$2:F2357,F2357)&gt;1,"",SUMIFS(tbl_input[필요수량],tbl_input[집계키_센터],F2357)))</f>
        <v/>
      </c>
      <c r="F2357" t="str">
        <f>IFERROR(INDEX(tbl_input[집계키_센터],ROW()-1),"")</f>
        <v/>
      </c>
      <c r="G2357" t="str">
        <f t="shared" si="256"/>
        <v/>
      </c>
      <c r="H2357" t="str">
        <f t="shared" si="257"/>
        <v/>
      </c>
      <c r="I2357" t="str">
        <f t="shared" si="258"/>
        <v/>
      </c>
    </row>
    <row r="2358" spans="1:9" x14ac:dyDescent="0.4">
      <c r="A2358" t="str">
        <f t="shared" si="252"/>
        <v/>
      </c>
      <c r="B2358" t="str">
        <f t="shared" si="253"/>
        <v/>
      </c>
      <c r="C2358" t="str">
        <f t="shared" si="254"/>
        <v/>
      </c>
      <c r="D2358" t="str">
        <f t="shared" si="255"/>
        <v/>
      </c>
      <c r="E2358" t="str">
        <f>IF(F2358="","",IF(COUNTIF($F$2:F2358,F2358)&gt;1,"",SUMIFS(tbl_input[필요수량],tbl_input[집계키_센터],F2358)))</f>
        <v/>
      </c>
      <c r="F2358" t="str">
        <f>IFERROR(INDEX(tbl_input[집계키_센터],ROW()-1),"")</f>
        <v/>
      </c>
      <c r="G2358" t="str">
        <f t="shared" si="256"/>
        <v/>
      </c>
      <c r="H2358" t="str">
        <f t="shared" si="257"/>
        <v/>
      </c>
      <c r="I2358" t="str">
        <f t="shared" si="258"/>
        <v/>
      </c>
    </row>
    <row r="2359" spans="1:9" x14ac:dyDescent="0.4">
      <c r="A2359" t="str">
        <f t="shared" si="252"/>
        <v/>
      </c>
      <c r="B2359" t="str">
        <f t="shared" si="253"/>
        <v/>
      </c>
      <c r="C2359" t="str">
        <f t="shared" si="254"/>
        <v/>
      </c>
      <c r="D2359" t="str">
        <f t="shared" si="255"/>
        <v/>
      </c>
      <c r="E2359" t="str">
        <f>IF(F2359="","",IF(COUNTIF($F$2:F2359,F2359)&gt;1,"",SUMIFS(tbl_input[필요수량],tbl_input[집계키_센터],F2359)))</f>
        <v/>
      </c>
      <c r="F2359" t="str">
        <f>IFERROR(INDEX(tbl_input[집계키_센터],ROW()-1),"")</f>
        <v/>
      </c>
      <c r="G2359" t="str">
        <f t="shared" si="256"/>
        <v/>
      </c>
      <c r="H2359" t="str">
        <f t="shared" si="257"/>
        <v/>
      </c>
      <c r="I2359" t="str">
        <f t="shared" si="258"/>
        <v/>
      </c>
    </row>
    <row r="2360" spans="1:9" x14ac:dyDescent="0.4">
      <c r="A2360" t="str">
        <f t="shared" si="252"/>
        <v/>
      </c>
      <c r="B2360" t="str">
        <f t="shared" si="253"/>
        <v/>
      </c>
      <c r="C2360" t="str">
        <f t="shared" si="254"/>
        <v/>
      </c>
      <c r="D2360" t="str">
        <f t="shared" si="255"/>
        <v/>
      </c>
      <c r="E2360" t="str">
        <f>IF(F2360="","",IF(COUNTIF($F$2:F2360,F2360)&gt;1,"",SUMIFS(tbl_input[필요수량],tbl_input[집계키_센터],F2360)))</f>
        <v/>
      </c>
      <c r="F2360" t="str">
        <f>IFERROR(INDEX(tbl_input[집계키_센터],ROW()-1),"")</f>
        <v/>
      </c>
      <c r="G2360" t="str">
        <f t="shared" si="256"/>
        <v/>
      </c>
      <c r="H2360" t="str">
        <f t="shared" si="257"/>
        <v/>
      </c>
      <c r="I2360" t="str">
        <f t="shared" si="258"/>
        <v/>
      </c>
    </row>
    <row r="2361" spans="1:9" x14ac:dyDescent="0.4">
      <c r="A2361" t="str">
        <f t="shared" si="252"/>
        <v/>
      </c>
      <c r="B2361" t="str">
        <f t="shared" si="253"/>
        <v/>
      </c>
      <c r="C2361" t="str">
        <f t="shared" si="254"/>
        <v/>
      </c>
      <c r="D2361" t="str">
        <f t="shared" si="255"/>
        <v/>
      </c>
      <c r="E2361" t="str">
        <f>IF(F2361="","",IF(COUNTIF($F$2:F2361,F2361)&gt;1,"",SUMIFS(tbl_input[필요수량],tbl_input[집계키_센터],F2361)))</f>
        <v/>
      </c>
      <c r="F2361" t="str">
        <f>IFERROR(INDEX(tbl_input[집계키_센터],ROW()-1),"")</f>
        <v/>
      </c>
      <c r="G2361" t="str">
        <f t="shared" si="256"/>
        <v/>
      </c>
      <c r="H2361" t="str">
        <f t="shared" si="257"/>
        <v/>
      </c>
      <c r="I2361" t="str">
        <f t="shared" si="258"/>
        <v/>
      </c>
    </row>
    <row r="2362" spans="1:9" x14ac:dyDescent="0.4">
      <c r="A2362" t="str">
        <f t="shared" si="252"/>
        <v/>
      </c>
      <c r="B2362" t="str">
        <f t="shared" si="253"/>
        <v/>
      </c>
      <c r="C2362" t="str">
        <f t="shared" si="254"/>
        <v/>
      </c>
      <c r="D2362" t="str">
        <f t="shared" si="255"/>
        <v/>
      </c>
      <c r="E2362" t="str">
        <f>IF(F2362="","",IF(COUNTIF($F$2:F2362,F2362)&gt;1,"",SUMIFS(tbl_input[필요수량],tbl_input[집계키_센터],F2362)))</f>
        <v/>
      </c>
      <c r="F2362" t="str">
        <f>IFERROR(INDEX(tbl_input[집계키_센터],ROW()-1),"")</f>
        <v/>
      </c>
      <c r="G2362" t="str">
        <f t="shared" si="256"/>
        <v/>
      </c>
      <c r="H2362" t="str">
        <f t="shared" si="257"/>
        <v/>
      </c>
      <c r="I2362" t="str">
        <f t="shared" si="258"/>
        <v/>
      </c>
    </row>
    <row r="2363" spans="1:9" x14ac:dyDescent="0.4">
      <c r="A2363" t="str">
        <f t="shared" si="252"/>
        <v/>
      </c>
      <c r="B2363" t="str">
        <f t="shared" si="253"/>
        <v/>
      </c>
      <c r="C2363" t="str">
        <f t="shared" si="254"/>
        <v/>
      </c>
      <c r="D2363" t="str">
        <f t="shared" si="255"/>
        <v/>
      </c>
      <c r="E2363" t="str">
        <f>IF(F2363="","",IF(COUNTIF($F$2:F2363,F2363)&gt;1,"",SUMIFS(tbl_input[필요수량],tbl_input[집계키_센터],F2363)))</f>
        <v/>
      </c>
      <c r="F2363" t="str">
        <f>IFERROR(INDEX(tbl_input[집계키_센터],ROW()-1),"")</f>
        <v/>
      </c>
      <c r="G2363" t="str">
        <f t="shared" si="256"/>
        <v/>
      </c>
      <c r="H2363" t="str">
        <f t="shared" si="257"/>
        <v/>
      </c>
      <c r="I2363" t="str">
        <f t="shared" si="258"/>
        <v/>
      </c>
    </row>
    <row r="2364" spans="1:9" x14ac:dyDescent="0.4">
      <c r="A2364" t="str">
        <f t="shared" si="252"/>
        <v/>
      </c>
      <c r="B2364" t="str">
        <f t="shared" si="253"/>
        <v/>
      </c>
      <c r="C2364" t="str">
        <f t="shared" si="254"/>
        <v/>
      </c>
      <c r="D2364" t="str">
        <f t="shared" si="255"/>
        <v/>
      </c>
      <c r="E2364" t="str">
        <f>IF(F2364="","",IF(COUNTIF($F$2:F2364,F2364)&gt;1,"",SUMIFS(tbl_input[필요수량],tbl_input[집계키_센터],F2364)))</f>
        <v/>
      </c>
      <c r="F2364" t="str">
        <f>IFERROR(INDEX(tbl_input[집계키_센터],ROW()-1),"")</f>
        <v/>
      </c>
      <c r="G2364" t="str">
        <f t="shared" si="256"/>
        <v/>
      </c>
      <c r="H2364" t="str">
        <f t="shared" si="257"/>
        <v/>
      </c>
      <c r="I2364" t="str">
        <f t="shared" si="258"/>
        <v/>
      </c>
    </row>
    <row r="2365" spans="1:9" x14ac:dyDescent="0.4">
      <c r="A2365" t="str">
        <f t="shared" si="252"/>
        <v/>
      </c>
      <c r="B2365" t="str">
        <f t="shared" si="253"/>
        <v/>
      </c>
      <c r="C2365" t="str">
        <f t="shared" si="254"/>
        <v/>
      </c>
      <c r="D2365" t="str">
        <f t="shared" si="255"/>
        <v/>
      </c>
      <c r="E2365" t="str">
        <f>IF(F2365="","",IF(COUNTIF($F$2:F2365,F2365)&gt;1,"",SUMIFS(tbl_input[필요수량],tbl_input[집계키_센터],F2365)))</f>
        <v/>
      </c>
      <c r="F2365" t="str">
        <f>IFERROR(INDEX(tbl_input[집계키_센터],ROW()-1),"")</f>
        <v/>
      </c>
      <c r="G2365" t="str">
        <f t="shared" si="256"/>
        <v/>
      </c>
      <c r="H2365" t="str">
        <f t="shared" si="257"/>
        <v/>
      </c>
      <c r="I2365" t="str">
        <f t="shared" si="258"/>
        <v/>
      </c>
    </row>
    <row r="2366" spans="1:9" x14ac:dyDescent="0.4">
      <c r="A2366" t="str">
        <f t="shared" si="252"/>
        <v/>
      </c>
      <c r="B2366" t="str">
        <f t="shared" si="253"/>
        <v/>
      </c>
      <c r="C2366" t="str">
        <f t="shared" si="254"/>
        <v/>
      </c>
      <c r="D2366" t="str">
        <f t="shared" si="255"/>
        <v/>
      </c>
      <c r="E2366" t="str">
        <f>IF(F2366="","",IF(COUNTIF($F$2:F2366,F2366)&gt;1,"",SUMIFS(tbl_input[필요수량],tbl_input[집계키_센터],F2366)))</f>
        <v/>
      </c>
      <c r="F2366" t="str">
        <f>IFERROR(INDEX(tbl_input[집계키_센터],ROW()-1),"")</f>
        <v/>
      </c>
      <c r="G2366" t="str">
        <f t="shared" si="256"/>
        <v/>
      </c>
      <c r="H2366" t="str">
        <f t="shared" si="257"/>
        <v/>
      </c>
      <c r="I2366" t="str">
        <f t="shared" si="258"/>
        <v/>
      </c>
    </row>
    <row r="2367" spans="1:9" x14ac:dyDescent="0.4">
      <c r="A2367" t="str">
        <f t="shared" si="252"/>
        <v/>
      </c>
      <c r="B2367" t="str">
        <f t="shared" si="253"/>
        <v/>
      </c>
      <c r="C2367" t="str">
        <f t="shared" si="254"/>
        <v/>
      </c>
      <c r="D2367" t="str">
        <f t="shared" si="255"/>
        <v/>
      </c>
      <c r="E2367" t="str">
        <f>IF(F2367="","",IF(COUNTIF($F$2:F2367,F2367)&gt;1,"",SUMIFS(tbl_input[필요수량],tbl_input[집계키_센터],F2367)))</f>
        <v/>
      </c>
      <c r="F2367" t="str">
        <f>IFERROR(INDEX(tbl_input[집계키_센터],ROW()-1),"")</f>
        <v/>
      </c>
      <c r="G2367" t="str">
        <f t="shared" si="256"/>
        <v/>
      </c>
      <c r="H2367" t="str">
        <f t="shared" si="257"/>
        <v/>
      </c>
      <c r="I2367" t="str">
        <f t="shared" si="258"/>
        <v/>
      </c>
    </row>
    <row r="2368" spans="1:9" x14ac:dyDescent="0.4">
      <c r="A2368" t="str">
        <f t="shared" si="252"/>
        <v/>
      </c>
      <c r="B2368" t="str">
        <f t="shared" si="253"/>
        <v/>
      </c>
      <c r="C2368" t="str">
        <f t="shared" si="254"/>
        <v/>
      </c>
      <c r="D2368" t="str">
        <f t="shared" si="255"/>
        <v/>
      </c>
      <c r="E2368" t="str">
        <f>IF(F2368="","",IF(COUNTIF($F$2:F2368,F2368)&gt;1,"",SUMIFS(tbl_input[필요수량],tbl_input[집계키_센터],F2368)))</f>
        <v/>
      </c>
      <c r="F2368" t="str">
        <f>IFERROR(INDEX(tbl_input[집계키_센터],ROW()-1),"")</f>
        <v/>
      </c>
      <c r="G2368" t="str">
        <f t="shared" si="256"/>
        <v/>
      </c>
      <c r="H2368" t="str">
        <f t="shared" si="257"/>
        <v/>
      </c>
      <c r="I2368" t="str">
        <f t="shared" si="258"/>
        <v/>
      </c>
    </row>
    <row r="2369" spans="1:9" x14ac:dyDescent="0.4">
      <c r="A2369" t="str">
        <f t="shared" si="252"/>
        <v/>
      </c>
      <c r="B2369" t="str">
        <f t="shared" si="253"/>
        <v/>
      </c>
      <c r="C2369" t="str">
        <f t="shared" si="254"/>
        <v/>
      </c>
      <c r="D2369" t="str">
        <f t="shared" si="255"/>
        <v/>
      </c>
      <c r="E2369" t="str">
        <f>IF(F2369="","",IF(COUNTIF($F$2:F2369,F2369)&gt;1,"",SUMIFS(tbl_input[필요수량],tbl_input[집계키_센터],F2369)))</f>
        <v/>
      </c>
      <c r="F2369" t="str">
        <f>IFERROR(INDEX(tbl_input[집계키_센터],ROW()-1),"")</f>
        <v/>
      </c>
      <c r="G2369" t="str">
        <f t="shared" si="256"/>
        <v/>
      </c>
      <c r="H2369" t="str">
        <f t="shared" si="257"/>
        <v/>
      </c>
      <c r="I2369" t="str">
        <f t="shared" si="258"/>
        <v/>
      </c>
    </row>
    <row r="2370" spans="1:9" x14ac:dyDescent="0.4">
      <c r="A2370" t="str">
        <f t="shared" ref="A2370:A2433" si="259">IF(F2370="","",LEFT(F2370,G2370-1))</f>
        <v/>
      </c>
      <c r="B2370" t="str">
        <f t="shared" ref="B2370:B2433" si="260">IF(F2370="","",MID(F2370,G2370+1,H2370-G2370-1))</f>
        <v/>
      </c>
      <c r="C2370" t="str">
        <f t="shared" ref="C2370:C2433" si="261">IF(F2370="","",MID(F2370,H2370+1,I2370-H2370-1))</f>
        <v/>
      </c>
      <c r="D2370" t="str">
        <f t="shared" ref="D2370:D2433" si="262">IF(F2370="","",MID(F2370,I2370+1,999))</f>
        <v/>
      </c>
      <c r="E2370" t="str">
        <f>IF(F2370="","",IF(COUNTIF($F$2:F2370,F2370)&gt;1,"",SUMIFS(tbl_input[필요수량],tbl_input[집계키_센터],F2370)))</f>
        <v/>
      </c>
      <c r="F2370" t="str">
        <f>IFERROR(INDEX(tbl_input[집계키_센터],ROW()-1),"")</f>
        <v/>
      </c>
      <c r="G2370" t="str">
        <f t="shared" ref="G2370:G2433" si="263">IF(F2370="","",FIND("♦",F2370))</f>
        <v/>
      </c>
      <c r="H2370" t="str">
        <f t="shared" ref="H2370:H2433" si="264">IF(F2370="","",FIND("♦",F2370,G2370+1))</f>
        <v/>
      </c>
      <c r="I2370" t="str">
        <f t="shared" ref="I2370:I2433" si="265">IF(F2370="","",FIND("♦",F2370,H2370+1))</f>
        <v/>
      </c>
    </row>
    <row r="2371" spans="1:9" x14ac:dyDescent="0.4">
      <c r="A2371" t="str">
        <f t="shared" si="259"/>
        <v/>
      </c>
      <c r="B2371" t="str">
        <f t="shared" si="260"/>
        <v/>
      </c>
      <c r="C2371" t="str">
        <f t="shared" si="261"/>
        <v/>
      </c>
      <c r="D2371" t="str">
        <f t="shared" si="262"/>
        <v/>
      </c>
      <c r="E2371" t="str">
        <f>IF(F2371="","",IF(COUNTIF($F$2:F2371,F2371)&gt;1,"",SUMIFS(tbl_input[필요수량],tbl_input[집계키_센터],F2371)))</f>
        <v/>
      </c>
      <c r="F2371" t="str">
        <f>IFERROR(INDEX(tbl_input[집계키_센터],ROW()-1),"")</f>
        <v/>
      </c>
      <c r="G2371" t="str">
        <f t="shared" si="263"/>
        <v/>
      </c>
      <c r="H2371" t="str">
        <f t="shared" si="264"/>
        <v/>
      </c>
      <c r="I2371" t="str">
        <f t="shared" si="265"/>
        <v/>
      </c>
    </row>
    <row r="2372" spans="1:9" x14ac:dyDescent="0.4">
      <c r="A2372" t="str">
        <f t="shared" si="259"/>
        <v/>
      </c>
      <c r="B2372" t="str">
        <f t="shared" si="260"/>
        <v/>
      </c>
      <c r="C2372" t="str">
        <f t="shared" si="261"/>
        <v/>
      </c>
      <c r="D2372" t="str">
        <f t="shared" si="262"/>
        <v/>
      </c>
      <c r="E2372" t="str">
        <f>IF(F2372="","",IF(COUNTIF($F$2:F2372,F2372)&gt;1,"",SUMIFS(tbl_input[필요수량],tbl_input[집계키_센터],F2372)))</f>
        <v/>
      </c>
      <c r="F2372" t="str">
        <f>IFERROR(INDEX(tbl_input[집계키_센터],ROW()-1),"")</f>
        <v/>
      </c>
      <c r="G2372" t="str">
        <f t="shared" si="263"/>
        <v/>
      </c>
      <c r="H2372" t="str">
        <f t="shared" si="264"/>
        <v/>
      </c>
      <c r="I2372" t="str">
        <f t="shared" si="265"/>
        <v/>
      </c>
    </row>
    <row r="2373" spans="1:9" x14ac:dyDescent="0.4">
      <c r="A2373" t="str">
        <f t="shared" si="259"/>
        <v/>
      </c>
      <c r="B2373" t="str">
        <f t="shared" si="260"/>
        <v/>
      </c>
      <c r="C2373" t="str">
        <f t="shared" si="261"/>
        <v/>
      </c>
      <c r="D2373" t="str">
        <f t="shared" si="262"/>
        <v/>
      </c>
      <c r="E2373" t="str">
        <f>IF(F2373="","",IF(COUNTIF($F$2:F2373,F2373)&gt;1,"",SUMIFS(tbl_input[필요수량],tbl_input[집계키_센터],F2373)))</f>
        <v/>
      </c>
      <c r="F2373" t="str">
        <f>IFERROR(INDEX(tbl_input[집계키_센터],ROW()-1),"")</f>
        <v/>
      </c>
      <c r="G2373" t="str">
        <f t="shared" si="263"/>
        <v/>
      </c>
      <c r="H2373" t="str">
        <f t="shared" si="264"/>
        <v/>
      </c>
      <c r="I2373" t="str">
        <f t="shared" si="265"/>
        <v/>
      </c>
    </row>
    <row r="2374" spans="1:9" x14ac:dyDescent="0.4">
      <c r="A2374" t="str">
        <f t="shared" si="259"/>
        <v/>
      </c>
      <c r="B2374" t="str">
        <f t="shared" si="260"/>
        <v/>
      </c>
      <c r="C2374" t="str">
        <f t="shared" si="261"/>
        <v/>
      </c>
      <c r="D2374" t="str">
        <f t="shared" si="262"/>
        <v/>
      </c>
      <c r="E2374" t="str">
        <f>IF(F2374="","",IF(COUNTIF($F$2:F2374,F2374)&gt;1,"",SUMIFS(tbl_input[필요수량],tbl_input[집계키_센터],F2374)))</f>
        <v/>
      </c>
      <c r="F2374" t="str">
        <f>IFERROR(INDEX(tbl_input[집계키_센터],ROW()-1),"")</f>
        <v/>
      </c>
      <c r="G2374" t="str">
        <f t="shared" si="263"/>
        <v/>
      </c>
      <c r="H2374" t="str">
        <f t="shared" si="264"/>
        <v/>
      </c>
      <c r="I2374" t="str">
        <f t="shared" si="265"/>
        <v/>
      </c>
    </row>
    <row r="2375" spans="1:9" x14ac:dyDescent="0.4">
      <c r="A2375" t="str">
        <f t="shared" si="259"/>
        <v/>
      </c>
      <c r="B2375" t="str">
        <f t="shared" si="260"/>
        <v/>
      </c>
      <c r="C2375" t="str">
        <f t="shared" si="261"/>
        <v/>
      </c>
      <c r="D2375" t="str">
        <f t="shared" si="262"/>
        <v/>
      </c>
      <c r="E2375" t="str">
        <f>IF(F2375="","",IF(COUNTIF($F$2:F2375,F2375)&gt;1,"",SUMIFS(tbl_input[필요수량],tbl_input[집계키_센터],F2375)))</f>
        <v/>
      </c>
      <c r="F2375" t="str">
        <f>IFERROR(INDEX(tbl_input[집계키_센터],ROW()-1),"")</f>
        <v/>
      </c>
      <c r="G2375" t="str">
        <f t="shared" si="263"/>
        <v/>
      </c>
      <c r="H2375" t="str">
        <f t="shared" si="264"/>
        <v/>
      </c>
      <c r="I2375" t="str">
        <f t="shared" si="265"/>
        <v/>
      </c>
    </row>
    <row r="2376" spans="1:9" x14ac:dyDescent="0.4">
      <c r="A2376" t="str">
        <f t="shared" si="259"/>
        <v/>
      </c>
      <c r="B2376" t="str">
        <f t="shared" si="260"/>
        <v/>
      </c>
      <c r="C2376" t="str">
        <f t="shared" si="261"/>
        <v/>
      </c>
      <c r="D2376" t="str">
        <f t="shared" si="262"/>
        <v/>
      </c>
      <c r="E2376" t="str">
        <f>IF(F2376="","",IF(COUNTIF($F$2:F2376,F2376)&gt;1,"",SUMIFS(tbl_input[필요수량],tbl_input[집계키_센터],F2376)))</f>
        <v/>
      </c>
      <c r="F2376" t="str">
        <f>IFERROR(INDEX(tbl_input[집계키_센터],ROW()-1),"")</f>
        <v/>
      </c>
      <c r="G2376" t="str">
        <f t="shared" si="263"/>
        <v/>
      </c>
      <c r="H2376" t="str">
        <f t="shared" si="264"/>
        <v/>
      </c>
      <c r="I2376" t="str">
        <f t="shared" si="265"/>
        <v/>
      </c>
    </row>
    <row r="2377" spans="1:9" x14ac:dyDescent="0.4">
      <c r="A2377" t="str">
        <f t="shared" si="259"/>
        <v/>
      </c>
      <c r="B2377" t="str">
        <f t="shared" si="260"/>
        <v/>
      </c>
      <c r="C2377" t="str">
        <f t="shared" si="261"/>
        <v/>
      </c>
      <c r="D2377" t="str">
        <f t="shared" si="262"/>
        <v/>
      </c>
      <c r="E2377" t="str">
        <f>IF(F2377="","",IF(COUNTIF($F$2:F2377,F2377)&gt;1,"",SUMIFS(tbl_input[필요수량],tbl_input[집계키_센터],F2377)))</f>
        <v/>
      </c>
      <c r="F2377" t="str">
        <f>IFERROR(INDEX(tbl_input[집계키_센터],ROW()-1),"")</f>
        <v/>
      </c>
      <c r="G2377" t="str">
        <f t="shared" si="263"/>
        <v/>
      </c>
      <c r="H2377" t="str">
        <f t="shared" si="264"/>
        <v/>
      </c>
      <c r="I2377" t="str">
        <f t="shared" si="265"/>
        <v/>
      </c>
    </row>
    <row r="2378" spans="1:9" x14ac:dyDescent="0.4">
      <c r="A2378" t="str">
        <f t="shared" si="259"/>
        <v/>
      </c>
      <c r="B2378" t="str">
        <f t="shared" si="260"/>
        <v/>
      </c>
      <c r="C2378" t="str">
        <f t="shared" si="261"/>
        <v/>
      </c>
      <c r="D2378" t="str">
        <f t="shared" si="262"/>
        <v/>
      </c>
      <c r="E2378" t="str">
        <f>IF(F2378="","",IF(COUNTIF($F$2:F2378,F2378)&gt;1,"",SUMIFS(tbl_input[필요수량],tbl_input[집계키_센터],F2378)))</f>
        <v/>
      </c>
      <c r="F2378" t="str">
        <f>IFERROR(INDEX(tbl_input[집계키_센터],ROW()-1),"")</f>
        <v/>
      </c>
      <c r="G2378" t="str">
        <f t="shared" si="263"/>
        <v/>
      </c>
      <c r="H2378" t="str">
        <f t="shared" si="264"/>
        <v/>
      </c>
      <c r="I2378" t="str">
        <f t="shared" si="265"/>
        <v/>
      </c>
    </row>
    <row r="2379" spans="1:9" x14ac:dyDescent="0.4">
      <c r="A2379" t="str">
        <f t="shared" si="259"/>
        <v/>
      </c>
      <c r="B2379" t="str">
        <f t="shared" si="260"/>
        <v/>
      </c>
      <c r="C2379" t="str">
        <f t="shared" si="261"/>
        <v/>
      </c>
      <c r="D2379" t="str">
        <f t="shared" si="262"/>
        <v/>
      </c>
      <c r="E2379" t="str">
        <f>IF(F2379="","",IF(COUNTIF($F$2:F2379,F2379)&gt;1,"",SUMIFS(tbl_input[필요수량],tbl_input[집계키_센터],F2379)))</f>
        <v/>
      </c>
      <c r="F2379" t="str">
        <f>IFERROR(INDEX(tbl_input[집계키_센터],ROW()-1),"")</f>
        <v/>
      </c>
      <c r="G2379" t="str">
        <f t="shared" si="263"/>
        <v/>
      </c>
      <c r="H2379" t="str">
        <f t="shared" si="264"/>
        <v/>
      </c>
      <c r="I2379" t="str">
        <f t="shared" si="265"/>
        <v/>
      </c>
    </row>
    <row r="2380" spans="1:9" x14ac:dyDescent="0.4">
      <c r="A2380" t="str">
        <f t="shared" si="259"/>
        <v/>
      </c>
      <c r="B2380" t="str">
        <f t="shared" si="260"/>
        <v/>
      </c>
      <c r="C2380" t="str">
        <f t="shared" si="261"/>
        <v/>
      </c>
      <c r="D2380" t="str">
        <f t="shared" si="262"/>
        <v/>
      </c>
      <c r="E2380" t="str">
        <f>IF(F2380="","",IF(COUNTIF($F$2:F2380,F2380)&gt;1,"",SUMIFS(tbl_input[필요수량],tbl_input[집계키_센터],F2380)))</f>
        <v/>
      </c>
      <c r="F2380" t="str">
        <f>IFERROR(INDEX(tbl_input[집계키_센터],ROW()-1),"")</f>
        <v/>
      </c>
      <c r="G2380" t="str">
        <f t="shared" si="263"/>
        <v/>
      </c>
      <c r="H2380" t="str">
        <f t="shared" si="264"/>
        <v/>
      </c>
      <c r="I2380" t="str">
        <f t="shared" si="265"/>
        <v/>
      </c>
    </row>
    <row r="2381" spans="1:9" x14ac:dyDescent="0.4">
      <c r="A2381" t="str">
        <f t="shared" si="259"/>
        <v/>
      </c>
      <c r="B2381" t="str">
        <f t="shared" si="260"/>
        <v/>
      </c>
      <c r="C2381" t="str">
        <f t="shared" si="261"/>
        <v/>
      </c>
      <c r="D2381" t="str">
        <f t="shared" si="262"/>
        <v/>
      </c>
      <c r="E2381" t="str">
        <f>IF(F2381="","",IF(COUNTIF($F$2:F2381,F2381)&gt;1,"",SUMIFS(tbl_input[필요수량],tbl_input[집계키_센터],F2381)))</f>
        <v/>
      </c>
      <c r="F2381" t="str">
        <f>IFERROR(INDEX(tbl_input[집계키_센터],ROW()-1),"")</f>
        <v/>
      </c>
      <c r="G2381" t="str">
        <f t="shared" si="263"/>
        <v/>
      </c>
      <c r="H2381" t="str">
        <f t="shared" si="264"/>
        <v/>
      </c>
      <c r="I2381" t="str">
        <f t="shared" si="265"/>
        <v/>
      </c>
    </row>
    <row r="2382" spans="1:9" x14ac:dyDescent="0.4">
      <c r="A2382" t="str">
        <f t="shared" si="259"/>
        <v/>
      </c>
      <c r="B2382" t="str">
        <f t="shared" si="260"/>
        <v/>
      </c>
      <c r="C2382" t="str">
        <f t="shared" si="261"/>
        <v/>
      </c>
      <c r="D2382" t="str">
        <f t="shared" si="262"/>
        <v/>
      </c>
      <c r="E2382" t="str">
        <f>IF(F2382="","",IF(COUNTIF($F$2:F2382,F2382)&gt;1,"",SUMIFS(tbl_input[필요수량],tbl_input[집계키_센터],F2382)))</f>
        <v/>
      </c>
      <c r="F2382" t="str">
        <f>IFERROR(INDEX(tbl_input[집계키_센터],ROW()-1),"")</f>
        <v/>
      </c>
      <c r="G2382" t="str">
        <f t="shared" si="263"/>
        <v/>
      </c>
      <c r="H2382" t="str">
        <f t="shared" si="264"/>
        <v/>
      </c>
      <c r="I2382" t="str">
        <f t="shared" si="265"/>
        <v/>
      </c>
    </row>
    <row r="2383" spans="1:9" x14ac:dyDescent="0.4">
      <c r="A2383" t="str">
        <f t="shared" si="259"/>
        <v/>
      </c>
      <c r="B2383" t="str">
        <f t="shared" si="260"/>
        <v/>
      </c>
      <c r="C2383" t="str">
        <f t="shared" si="261"/>
        <v/>
      </c>
      <c r="D2383" t="str">
        <f t="shared" si="262"/>
        <v/>
      </c>
      <c r="E2383" t="str">
        <f>IF(F2383="","",IF(COUNTIF($F$2:F2383,F2383)&gt;1,"",SUMIFS(tbl_input[필요수량],tbl_input[집계키_센터],F2383)))</f>
        <v/>
      </c>
      <c r="F2383" t="str">
        <f>IFERROR(INDEX(tbl_input[집계키_센터],ROW()-1),"")</f>
        <v/>
      </c>
      <c r="G2383" t="str">
        <f t="shared" si="263"/>
        <v/>
      </c>
      <c r="H2383" t="str">
        <f t="shared" si="264"/>
        <v/>
      </c>
      <c r="I2383" t="str">
        <f t="shared" si="265"/>
        <v/>
      </c>
    </row>
    <row r="2384" spans="1:9" x14ac:dyDescent="0.4">
      <c r="A2384" t="str">
        <f t="shared" si="259"/>
        <v/>
      </c>
      <c r="B2384" t="str">
        <f t="shared" si="260"/>
        <v/>
      </c>
      <c r="C2384" t="str">
        <f t="shared" si="261"/>
        <v/>
      </c>
      <c r="D2384" t="str">
        <f t="shared" si="262"/>
        <v/>
      </c>
      <c r="E2384" t="str">
        <f>IF(F2384="","",IF(COUNTIF($F$2:F2384,F2384)&gt;1,"",SUMIFS(tbl_input[필요수량],tbl_input[집계키_센터],F2384)))</f>
        <v/>
      </c>
      <c r="F2384" t="str">
        <f>IFERROR(INDEX(tbl_input[집계키_센터],ROW()-1),"")</f>
        <v/>
      </c>
      <c r="G2384" t="str">
        <f t="shared" si="263"/>
        <v/>
      </c>
      <c r="H2384" t="str">
        <f t="shared" si="264"/>
        <v/>
      </c>
      <c r="I2384" t="str">
        <f t="shared" si="265"/>
        <v/>
      </c>
    </row>
    <row r="2385" spans="1:9" x14ac:dyDescent="0.4">
      <c r="A2385" t="str">
        <f t="shared" si="259"/>
        <v/>
      </c>
      <c r="B2385" t="str">
        <f t="shared" si="260"/>
        <v/>
      </c>
      <c r="C2385" t="str">
        <f t="shared" si="261"/>
        <v/>
      </c>
      <c r="D2385" t="str">
        <f t="shared" si="262"/>
        <v/>
      </c>
      <c r="E2385" t="str">
        <f>IF(F2385="","",IF(COUNTIF($F$2:F2385,F2385)&gt;1,"",SUMIFS(tbl_input[필요수량],tbl_input[집계키_센터],F2385)))</f>
        <v/>
      </c>
      <c r="F2385" t="str">
        <f>IFERROR(INDEX(tbl_input[집계키_센터],ROW()-1),"")</f>
        <v/>
      </c>
      <c r="G2385" t="str">
        <f t="shared" si="263"/>
        <v/>
      </c>
      <c r="H2385" t="str">
        <f t="shared" si="264"/>
        <v/>
      </c>
      <c r="I2385" t="str">
        <f t="shared" si="265"/>
        <v/>
      </c>
    </row>
    <row r="2386" spans="1:9" x14ac:dyDescent="0.4">
      <c r="A2386" t="str">
        <f t="shared" si="259"/>
        <v/>
      </c>
      <c r="B2386" t="str">
        <f t="shared" si="260"/>
        <v/>
      </c>
      <c r="C2386" t="str">
        <f t="shared" si="261"/>
        <v/>
      </c>
      <c r="D2386" t="str">
        <f t="shared" si="262"/>
        <v/>
      </c>
      <c r="E2386" t="str">
        <f>IF(F2386="","",IF(COUNTIF($F$2:F2386,F2386)&gt;1,"",SUMIFS(tbl_input[필요수량],tbl_input[집계키_센터],F2386)))</f>
        <v/>
      </c>
      <c r="F2386" t="str">
        <f>IFERROR(INDEX(tbl_input[집계키_센터],ROW()-1),"")</f>
        <v/>
      </c>
      <c r="G2386" t="str">
        <f t="shared" si="263"/>
        <v/>
      </c>
      <c r="H2386" t="str">
        <f t="shared" si="264"/>
        <v/>
      </c>
      <c r="I2386" t="str">
        <f t="shared" si="265"/>
        <v/>
      </c>
    </row>
    <row r="2387" spans="1:9" x14ac:dyDescent="0.4">
      <c r="A2387" t="str">
        <f t="shared" si="259"/>
        <v/>
      </c>
      <c r="B2387" t="str">
        <f t="shared" si="260"/>
        <v/>
      </c>
      <c r="C2387" t="str">
        <f t="shared" si="261"/>
        <v/>
      </c>
      <c r="D2387" t="str">
        <f t="shared" si="262"/>
        <v/>
      </c>
      <c r="E2387" t="str">
        <f>IF(F2387="","",IF(COUNTIF($F$2:F2387,F2387)&gt;1,"",SUMIFS(tbl_input[필요수량],tbl_input[집계키_센터],F2387)))</f>
        <v/>
      </c>
      <c r="F2387" t="str">
        <f>IFERROR(INDEX(tbl_input[집계키_센터],ROW()-1),"")</f>
        <v/>
      </c>
      <c r="G2387" t="str">
        <f t="shared" si="263"/>
        <v/>
      </c>
      <c r="H2387" t="str">
        <f t="shared" si="264"/>
        <v/>
      </c>
      <c r="I2387" t="str">
        <f t="shared" si="265"/>
        <v/>
      </c>
    </row>
    <row r="2388" spans="1:9" x14ac:dyDescent="0.4">
      <c r="A2388" t="str">
        <f t="shared" si="259"/>
        <v/>
      </c>
      <c r="B2388" t="str">
        <f t="shared" si="260"/>
        <v/>
      </c>
      <c r="C2388" t="str">
        <f t="shared" si="261"/>
        <v/>
      </c>
      <c r="D2388" t="str">
        <f t="shared" si="262"/>
        <v/>
      </c>
      <c r="E2388" t="str">
        <f>IF(F2388="","",IF(COUNTIF($F$2:F2388,F2388)&gt;1,"",SUMIFS(tbl_input[필요수량],tbl_input[집계키_센터],F2388)))</f>
        <v/>
      </c>
      <c r="F2388" t="str">
        <f>IFERROR(INDEX(tbl_input[집계키_센터],ROW()-1),"")</f>
        <v/>
      </c>
      <c r="G2388" t="str">
        <f t="shared" si="263"/>
        <v/>
      </c>
      <c r="H2388" t="str">
        <f t="shared" si="264"/>
        <v/>
      </c>
      <c r="I2388" t="str">
        <f t="shared" si="265"/>
        <v/>
      </c>
    </row>
    <row r="2389" spans="1:9" x14ac:dyDescent="0.4">
      <c r="A2389" t="str">
        <f t="shared" si="259"/>
        <v/>
      </c>
      <c r="B2389" t="str">
        <f t="shared" si="260"/>
        <v/>
      </c>
      <c r="C2389" t="str">
        <f t="shared" si="261"/>
        <v/>
      </c>
      <c r="D2389" t="str">
        <f t="shared" si="262"/>
        <v/>
      </c>
      <c r="E2389" t="str">
        <f>IF(F2389="","",IF(COUNTIF($F$2:F2389,F2389)&gt;1,"",SUMIFS(tbl_input[필요수량],tbl_input[집계키_센터],F2389)))</f>
        <v/>
      </c>
      <c r="F2389" t="str">
        <f>IFERROR(INDEX(tbl_input[집계키_센터],ROW()-1),"")</f>
        <v/>
      </c>
      <c r="G2389" t="str">
        <f t="shared" si="263"/>
        <v/>
      </c>
      <c r="H2389" t="str">
        <f t="shared" si="264"/>
        <v/>
      </c>
      <c r="I2389" t="str">
        <f t="shared" si="265"/>
        <v/>
      </c>
    </row>
    <row r="2390" spans="1:9" x14ac:dyDescent="0.4">
      <c r="A2390" t="str">
        <f t="shared" si="259"/>
        <v/>
      </c>
      <c r="B2390" t="str">
        <f t="shared" si="260"/>
        <v/>
      </c>
      <c r="C2390" t="str">
        <f t="shared" si="261"/>
        <v/>
      </c>
      <c r="D2390" t="str">
        <f t="shared" si="262"/>
        <v/>
      </c>
      <c r="E2390" t="str">
        <f>IF(F2390="","",IF(COUNTIF($F$2:F2390,F2390)&gt;1,"",SUMIFS(tbl_input[필요수량],tbl_input[집계키_센터],F2390)))</f>
        <v/>
      </c>
      <c r="F2390" t="str">
        <f>IFERROR(INDEX(tbl_input[집계키_센터],ROW()-1),"")</f>
        <v/>
      </c>
      <c r="G2390" t="str">
        <f t="shared" si="263"/>
        <v/>
      </c>
      <c r="H2390" t="str">
        <f t="shared" si="264"/>
        <v/>
      </c>
      <c r="I2390" t="str">
        <f t="shared" si="265"/>
        <v/>
      </c>
    </row>
    <row r="2391" spans="1:9" x14ac:dyDescent="0.4">
      <c r="A2391" t="str">
        <f t="shared" si="259"/>
        <v/>
      </c>
      <c r="B2391" t="str">
        <f t="shared" si="260"/>
        <v/>
      </c>
      <c r="C2391" t="str">
        <f t="shared" si="261"/>
        <v/>
      </c>
      <c r="D2391" t="str">
        <f t="shared" si="262"/>
        <v/>
      </c>
      <c r="E2391" t="str">
        <f>IF(F2391="","",IF(COUNTIF($F$2:F2391,F2391)&gt;1,"",SUMIFS(tbl_input[필요수량],tbl_input[집계키_센터],F2391)))</f>
        <v/>
      </c>
      <c r="F2391" t="str">
        <f>IFERROR(INDEX(tbl_input[집계키_센터],ROW()-1),"")</f>
        <v/>
      </c>
      <c r="G2391" t="str">
        <f t="shared" si="263"/>
        <v/>
      </c>
      <c r="H2391" t="str">
        <f t="shared" si="264"/>
        <v/>
      </c>
      <c r="I2391" t="str">
        <f t="shared" si="265"/>
        <v/>
      </c>
    </row>
    <row r="2392" spans="1:9" x14ac:dyDescent="0.4">
      <c r="A2392" t="str">
        <f t="shared" si="259"/>
        <v/>
      </c>
      <c r="B2392" t="str">
        <f t="shared" si="260"/>
        <v/>
      </c>
      <c r="C2392" t="str">
        <f t="shared" si="261"/>
        <v/>
      </c>
      <c r="D2392" t="str">
        <f t="shared" si="262"/>
        <v/>
      </c>
      <c r="E2392" t="str">
        <f>IF(F2392="","",IF(COUNTIF($F$2:F2392,F2392)&gt;1,"",SUMIFS(tbl_input[필요수량],tbl_input[집계키_센터],F2392)))</f>
        <v/>
      </c>
      <c r="F2392" t="str">
        <f>IFERROR(INDEX(tbl_input[집계키_센터],ROW()-1),"")</f>
        <v/>
      </c>
      <c r="G2392" t="str">
        <f t="shared" si="263"/>
        <v/>
      </c>
      <c r="H2392" t="str">
        <f t="shared" si="264"/>
        <v/>
      </c>
      <c r="I2392" t="str">
        <f t="shared" si="265"/>
        <v/>
      </c>
    </row>
    <row r="2393" spans="1:9" x14ac:dyDescent="0.4">
      <c r="A2393" t="str">
        <f t="shared" si="259"/>
        <v/>
      </c>
      <c r="B2393" t="str">
        <f t="shared" si="260"/>
        <v/>
      </c>
      <c r="C2393" t="str">
        <f t="shared" si="261"/>
        <v/>
      </c>
      <c r="D2393" t="str">
        <f t="shared" si="262"/>
        <v/>
      </c>
      <c r="E2393" t="str">
        <f>IF(F2393="","",IF(COUNTIF($F$2:F2393,F2393)&gt;1,"",SUMIFS(tbl_input[필요수량],tbl_input[집계키_센터],F2393)))</f>
        <v/>
      </c>
      <c r="F2393" t="str">
        <f>IFERROR(INDEX(tbl_input[집계키_센터],ROW()-1),"")</f>
        <v/>
      </c>
      <c r="G2393" t="str">
        <f t="shared" si="263"/>
        <v/>
      </c>
      <c r="H2393" t="str">
        <f t="shared" si="264"/>
        <v/>
      </c>
      <c r="I2393" t="str">
        <f t="shared" si="265"/>
        <v/>
      </c>
    </row>
    <row r="2394" spans="1:9" x14ac:dyDescent="0.4">
      <c r="A2394" t="str">
        <f t="shared" si="259"/>
        <v/>
      </c>
      <c r="B2394" t="str">
        <f t="shared" si="260"/>
        <v/>
      </c>
      <c r="C2394" t="str">
        <f t="shared" si="261"/>
        <v/>
      </c>
      <c r="D2394" t="str">
        <f t="shared" si="262"/>
        <v/>
      </c>
      <c r="E2394" t="str">
        <f>IF(F2394="","",IF(COUNTIF($F$2:F2394,F2394)&gt;1,"",SUMIFS(tbl_input[필요수량],tbl_input[집계키_센터],F2394)))</f>
        <v/>
      </c>
      <c r="F2394" t="str">
        <f>IFERROR(INDEX(tbl_input[집계키_센터],ROW()-1),"")</f>
        <v/>
      </c>
      <c r="G2394" t="str">
        <f t="shared" si="263"/>
        <v/>
      </c>
      <c r="H2394" t="str">
        <f t="shared" si="264"/>
        <v/>
      </c>
      <c r="I2394" t="str">
        <f t="shared" si="265"/>
        <v/>
      </c>
    </row>
    <row r="2395" spans="1:9" x14ac:dyDescent="0.4">
      <c r="A2395" t="str">
        <f t="shared" si="259"/>
        <v/>
      </c>
      <c r="B2395" t="str">
        <f t="shared" si="260"/>
        <v/>
      </c>
      <c r="C2395" t="str">
        <f t="shared" si="261"/>
        <v/>
      </c>
      <c r="D2395" t="str">
        <f t="shared" si="262"/>
        <v/>
      </c>
      <c r="E2395" t="str">
        <f>IF(F2395="","",IF(COUNTIF($F$2:F2395,F2395)&gt;1,"",SUMIFS(tbl_input[필요수량],tbl_input[집계키_센터],F2395)))</f>
        <v/>
      </c>
      <c r="F2395" t="str">
        <f>IFERROR(INDEX(tbl_input[집계키_센터],ROW()-1),"")</f>
        <v/>
      </c>
      <c r="G2395" t="str">
        <f t="shared" si="263"/>
        <v/>
      </c>
      <c r="H2395" t="str">
        <f t="shared" si="264"/>
        <v/>
      </c>
      <c r="I2395" t="str">
        <f t="shared" si="265"/>
        <v/>
      </c>
    </row>
    <row r="2396" spans="1:9" x14ac:dyDescent="0.4">
      <c r="A2396" t="str">
        <f t="shared" si="259"/>
        <v/>
      </c>
      <c r="B2396" t="str">
        <f t="shared" si="260"/>
        <v/>
      </c>
      <c r="C2396" t="str">
        <f t="shared" si="261"/>
        <v/>
      </c>
      <c r="D2396" t="str">
        <f t="shared" si="262"/>
        <v/>
      </c>
      <c r="E2396" t="str">
        <f>IF(F2396="","",IF(COUNTIF($F$2:F2396,F2396)&gt;1,"",SUMIFS(tbl_input[필요수량],tbl_input[집계키_센터],F2396)))</f>
        <v/>
      </c>
      <c r="F2396" t="str">
        <f>IFERROR(INDEX(tbl_input[집계키_센터],ROW()-1),"")</f>
        <v/>
      </c>
      <c r="G2396" t="str">
        <f t="shared" si="263"/>
        <v/>
      </c>
      <c r="H2396" t="str">
        <f t="shared" si="264"/>
        <v/>
      </c>
      <c r="I2396" t="str">
        <f t="shared" si="265"/>
        <v/>
      </c>
    </row>
    <row r="2397" spans="1:9" x14ac:dyDescent="0.4">
      <c r="A2397" t="str">
        <f t="shared" si="259"/>
        <v/>
      </c>
      <c r="B2397" t="str">
        <f t="shared" si="260"/>
        <v/>
      </c>
      <c r="C2397" t="str">
        <f t="shared" si="261"/>
        <v/>
      </c>
      <c r="D2397" t="str">
        <f t="shared" si="262"/>
        <v/>
      </c>
      <c r="E2397" t="str">
        <f>IF(F2397="","",IF(COUNTIF($F$2:F2397,F2397)&gt;1,"",SUMIFS(tbl_input[필요수량],tbl_input[집계키_센터],F2397)))</f>
        <v/>
      </c>
      <c r="F2397" t="str">
        <f>IFERROR(INDEX(tbl_input[집계키_센터],ROW()-1),"")</f>
        <v/>
      </c>
      <c r="G2397" t="str">
        <f t="shared" si="263"/>
        <v/>
      </c>
      <c r="H2397" t="str">
        <f t="shared" si="264"/>
        <v/>
      </c>
      <c r="I2397" t="str">
        <f t="shared" si="265"/>
        <v/>
      </c>
    </row>
    <row r="2398" spans="1:9" x14ac:dyDescent="0.4">
      <c r="A2398" t="str">
        <f t="shared" si="259"/>
        <v/>
      </c>
      <c r="B2398" t="str">
        <f t="shared" si="260"/>
        <v/>
      </c>
      <c r="C2398" t="str">
        <f t="shared" si="261"/>
        <v/>
      </c>
      <c r="D2398" t="str">
        <f t="shared" si="262"/>
        <v/>
      </c>
      <c r="E2398" t="str">
        <f>IF(F2398="","",IF(COUNTIF($F$2:F2398,F2398)&gt;1,"",SUMIFS(tbl_input[필요수량],tbl_input[집계키_센터],F2398)))</f>
        <v/>
      </c>
      <c r="F2398" t="str">
        <f>IFERROR(INDEX(tbl_input[집계키_센터],ROW()-1),"")</f>
        <v/>
      </c>
      <c r="G2398" t="str">
        <f t="shared" si="263"/>
        <v/>
      </c>
      <c r="H2398" t="str">
        <f t="shared" si="264"/>
        <v/>
      </c>
      <c r="I2398" t="str">
        <f t="shared" si="265"/>
        <v/>
      </c>
    </row>
    <row r="2399" spans="1:9" x14ac:dyDescent="0.4">
      <c r="A2399" t="str">
        <f t="shared" si="259"/>
        <v/>
      </c>
      <c r="B2399" t="str">
        <f t="shared" si="260"/>
        <v/>
      </c>
      <c r="C2399" t="str">
        <f t="shared" si="261"/>
        <v/>
      </c>
      <c r="D2399" t="str">
        <f t="shared" si="262"/>
        <v/>
      </c>
      <c r="E2399" t="str">
        <f>IF(F2399="","",IF(COUNTIF($F$2:F2399,F2399)&gt;1,"",SUMIFS(tbl_input[필요수량],tbl_input[집계키_센터],F2399)))</f>
        <v/>
      </c>
      <c r="F2399" t="str">
        <f>IFERROR(INDEX(tbl_input[집계키_센터],ROW()-1),"")</f>
        <v/>
      </c>
      <c r="G2399" t="str">
        <f t="shared" si="263"/>
        <v/>
      </c>
      <c r="H2399" t="str">
        <f t="shared" si="264"/>
        <v/>
      </c>
      <c r="I2399" t="str">
        <f t="shared" si="265"/>
        <v/>
      </c>
    </row>
    <row r="2400" spans="1:9" x14ac:dyDescent="0.4">
      <c r="A2400" t="str">
        <f t="shared" si="259"/>
        <v/>
      </c>
      <c r="B2400" t="str">
        <f t="shared" si="260"/>
        <v/>
      </c>
      <c r="C2400" t="str">
        <f t="shared" si="261"/>
        <v/>
      </c>
      <c r="D2400" t="str">
        <f t="shared" si="262"/>
        <v/>
      </c>
      <c r="E2400" t="str">
        <f>IF(F2400="","",IF(COUNTIF($F$2:F2400,F2400)&gt;1,"",SUMIFS(tbl_input[필요수량],tbl_input[집계키_센터],F2400)))</f>
        <v/>
      </c>
      <c r="F2400" t="str">
        <f>IFERROR(INDEX(tbl_input[집계키_센터],ROW()-1),"")</f>
        <v/>
      </c>
      <c r="G2400" t="str">
        <f t="shared" si="263"/>
        <v/>
      </c>
      <c r="H2400" t="str">
        <f t="shared" si="264"/>
        <v/>
      </c>
      <c r="I2400" t="str">
        <f t="shared" si="265"/>
        <v/>
      </c>
    </row>
    <row r="2401" spans="1:9" x14ac:dyDescent="0.4">
      <c r="A2401" t="str">
        <f t="shared" si="259"/>
        <v/>
      </c>
      <c r="B2401" t="str">
        <f t="shared" si="260"/>
        <v/>
      </c>
      <c r="C2401" t="str">
        <f t="shared" si="261"/>
        <v/>
      </c>
      <c r="D2401" t="str">
        <f t="shared" si="262"/>
        <v/>
      </c>
      <c r="E2401" t="str">
        <f>IF(F2401="","",IF(COUNTIF($F$2:F2401,F2401)&gt;1,"",SUMIFS(tbl_input[필요수량],tbl_input[집계키_센터],F2401)))</f>
        <v/>
      </c>
      <c r="F2401" t="str">
        <f>IFERROR(INDEX(tbl_input[집계키_센터],ROW()-1),"")</f>
        <v/>
      </c>
      <c r="G2401" t="str">
        <f t="shared" si="263"/>
        <v/>
      </c>
      <c r="H2401" t="str">
        <f t="shared" si="264"/>
        <v/>
      </c>
      <c r="I2401" t="str">
        <f t="shared" si="265"/>
        <v/>
      </c>
    </row>
    <row r="2402" spans="1:9" x14ac:dyDescent="0.4">
      <c r="A2402" t="str">
        <f t="shared" si="259"/>
        <v/>
      </c>
      <c r="B2402" t="str">
        <f t="shared" si="260"/>
        <v/>
      </c>
      <c r="C2402" t="str">
        <f t="shared" si="261"/>
        <v/>
      </c>
      <c r="D2402" t="str">
        <f t="shared" si="262"/>
        <v/>
      </c>
      <c r="E2402" t="str">
        <f>IF(F2402="","",IF(COUNTIF($F$2:F2402,F2402)&gt;1,"",SUMIFS(tbl_input[필요수량],tbl_input[집계키_센터],F2402)))</f>
        <v/>
      </c>
      <c r="F2402" t="str">
        <f>IFERROR(INDEX(tbl_input[집계키_센터],ROW()-1),"")</f>
        <v/>
      </c>
      <c r="G2402" t="str">
        <f t="shared" si="263"/>
        <v/>
      </c>
      <c r="H2402" t="str">
        <f t="shared" si="264"/>
        <v/>
      </c>
      <c r="I2402" t="str">
        <f t="shared" si="265"/>
        <v/>
      </c>
    </row>
    <row r="2403" spans="1:9" x14ac:dyDescent="0.4">
      <c r="A2403" t="str">
        <f t="shared" si="259"/>
        <v/>
      </c>
      <c r="B2403" t="str">
        <f t="shared" si="260"/>
        <v/>
      </c>
      <c r="C2403" t="str">
        <f t="shared" si="261"/>
        <v/>
      </c>
      <c r="D2403" t="str">
        <f t="shared" si="262"/>
        <v/>
      </c>
      <c r="E2403" t="str">
        <f>IF(F2403="","",IF(COUNTIF($F$2:F2403,F2403)&gt;1,"",SUMIFS(tbl_input[필요수량],tbl_input[집계키_센터],F2403)))</f>
        <v/>
      </c>
      <c r="F2403" t="str">
        <f>IFERROR(INDEX(tbl_input[집계키_센터],ROW()-1),"")</f>
        <v/>
      </c>
      <c r="G2403" t="str">
        <f t="shared" si="263"/>
        <v/>
      </c>
      <c r="H2403" t="str">
        <f t="shared" si="264"/>
        <v/>
      </c>
      <c r="I2403" t="str">
        <f t="shared" si="265"/>
        <v/>
      </c>
    </row>
    <row r="2404" spans="1:9" x14ac:dyDescent="0.4">
      <c r="A2404" t="str">
        <f t="shared" si="259"/>
        <v/>
      </c>
      <c r="B2404" t="str">
        <f t="shared" si="260"/>
        <v/>
      </c>
      <c r="C2404" t="str">
        <f t="shared" si="261"/>
        <v/>
      </c>
      <c r="D2404" t="str">
        <f t="shared" si="262"/>
        <v/>
      </c>
      <c r="E2404" t="str">
        <f>IF(F2404="","",IF(COUNTIF($F$2:F2404,F2404)&gt;1,"",SUMIFS(tbl_input[필요수량],tbl_input[집계키_센터],F2404)))</f>
        <v/>
      </c>
      <c r="F2404" t="str">
        <f>IFERROR(INDEX(tbl_input[집계키_센터],ROW()-1),"")</f>
        <v/>
      </c>
      <c r="G2404" t="str">
        <f t="shared" si="263"/>
        <v/>
      </c>
      <c r="H2404" t="str">
        <f t="shared" si="264"/>
        <v/>
      </c>
      <c r="I2404" t="str">
        <f t="shared" si="265"/>
        <v/>
      </c>
    </row>
    <row r="2405" spans="1:9" x14ac:dyDescent="0.4">
      <c r="A2405" t="str">
        <f t="shared" si="259"/>
        <v/>
      </c>
      <c r="B2405" t="str">
        <f t="shared" si="260"/>
        <v/>
      </c>
      <c r="C2405" t="str">
        <f t="shared" si="261"/>
        <v/>
      </c>
      <c r="D2405" t="str">
        <f t="shared" si="262"/>
        <v/>
      </c>
      <c r="E2405" t="str">
        <f>IF(F2405="","",IF(COUNTIF($F$2:F2405,F2405)&gt;1,"",SUMIFS(tbl_input[필요수량],tbl_input[집계키_센터],F2405)))</f>
        <v/>
      </c>
      <c r="F2405" t="str">
        <f>IFERROR(INDEX(tbl_input[집계키_센터],ROW()-1),"")</f>
        <v/>
      </c>
      <c r="G2405" t="str">
        <f t="shared" si="263"/>
        <v/>
      </c>
      <c r="H2405" t="str">
        <f t="shared" si="264"/>
        <v/>
      </c>
      <c r="I2405" t="str">
        <f t="shared" si="265"/>
        <v/>
      </c>
    </row>
    <row r="2406" spans="1:9" x14ac:dyDescent="0.4">
      <c r="A2406" t="str">
        <f t="shared" si="259"/>
        <v/>
      </c>
      <c r="B2406" t="str">
        <f t="shared" si="260"/>
        <v/>
      </c>
      <c r="C2406" t="str">
        <f t="shared" si="261"/>
        <v/>
      </c>
      <c r="D2406" t="str">
        <f t="shared" si="262"/>
        <v/>
      </c>
      <c r="E2406" t="str">
        <f>IF(F2406="","",IF(COUNTIF($F$2:F2406,F2406)&gt;1,"",SUMIFS(tbl_input[필요수량],tbl_input[집계키_센터],F2406)))</f>
        <v/>
      </c>
      <c r="F2406" t="str">
        <f>IFERROR(INDEX(tbl_input[집계키_센터],ROW()-1),"")</f>
        <v/>
      </c>
      <c r="G2406" t="str">
        <f t="shared" si="263"/>
        <v/>
      </c>
      <c r="H2406" t="str">
        <f t="shared" si="264"/>
        <v/>
      </c>
      <c r="I2406" t="str">
        <f t="shared" si="265"/>
        <v/>
      </c>
    </row>
    <row r="2407" spans="1:9" x14ac:dyDescent="0.4">
      <c r="A2407" t="str">
        <f t="shared" si="259"/>
        <v/>
      </c>
      <c r="B2407" t="str">
        <f t="shared" si="260"/>
        <v/>
      </c>
      <c r="C2407" t="str">
        <f t="shared" si="261"/>
        <v/>
      </c>
      <c r="D2407" t="str">
        <f t="shared" si="262"/>
        <v/>
      </c>
      <c r="E2407" t="str">
        <f>IF(F2407="","",IF(COUNTIF($F$2:F2407,F2407)&gt;1,"",SUMIFS(tbl_input[필요수량],tbl_input[집계키_센터],F2407)))</f>
        <v/>
      </c>
      <c r="F2407" t="str">
        <f>IFERROR(INDEX(tbl_input[집계키_센터],ROW()-1),"")</f>
        <v/>
      </c>
      <c r="G2407" t="str">
        <f t="shared" si="263"/>
        <v/>
      </c>
      <c r="H2407" t="str">
        <f t="shared" si="264"/>
        <v/>
      </c>
      <c r="I2407" t="str">
        <f t="shared" si="265"/>
        <v/>
      </c>
    </row>
    <row r="2408" spans="1:9" x14ac:dyDescent="0.4">
      <c r="A2408" t="str">
        <f t="shared" si="259"/>
        <v/>
      </c>
      <c r="B2408" t="str">
        <f t="shared" si="260"/>
        <v/>
      </c>
      <c r="C2408" t="str">
        <f t="shared" si="261"/>
        <v/>
      </c>
      <c r="D2408" t="str">
        <f t="shared" si="262"/>
        <v/>
      </c>
      <c r="E2408" t="str">
        <f>IF(F2408="","",IF(COUNTIF($F$2:F2408,F2408)&gt;1,"",SUMIFS(tbl_input[필요수량],tbl_input[집계키_센터],F2408)))</f>
        <v/>
      </c>
      <c r="F2408" t="str">
        <f>IFERROR(INDEX(tbl_input[집계키_센터],ROW()-1),"")</f>
        <v/>
      </c>
      <c r="G2408" t="str">
        <f t="shared" si="263"/>
        <v/>
      </c>
      <c r="H2408" t="str">
        <f t="shared" si="264"/>
        <v/>
      </c>
      <c r="I2408" t="str">
        <f t="shared" si="265"/>
        <v/>
      </c>
    </row>
    <row r="2409" spans="1:9" x14ac:dyDescent="0.4">
      <c r="A2409" t="str">
        <f t="shared" si="259"/>
        <v/>
      </c>
      <c r="B2409" t="str">
        <f t="shared" si="260"/>
        <v/>
      </c>
      <c r="C2409" t="str">
        <f t="shared" si="261"/>
        <v/>
      </c>
      <c r="D2409" t="str">
        <f t="shared" si="262"/>
        <v/>
      </c>
      <c r="E2409" t="str">
        <f>IF(F2409="","",IF(COUNTIF($F$2:F2409,F2409)&gt;1,"",SUMIFS(tbl_input[필요수량],tbl_input[집계키_센터],F2409)))</f>
        <v/>
      </c>
      <c r="F2409" t="str">
        <f>IFERROR(INDEX(tbl_input[집계키_센터],ROW()-1),"")</f>
        <v/>
      </c>
      <c r="G2409" t="str">
        <f t="shared" si="263"/>
        <v/>
      </c>
      <c r="H2409" t="str">
        <f t="shared" si="264"/>
        <v/>
      </c>
      <c r="I2409" t="str">
        <f t="shared" si="265"/>
        <v/>
      </c>
    </row>
    <row r="2410" spans="1:9" x14ac:dyDescent="0.4">
      <c r="A2410" t="str">
        <f t="shared" si="259"/>
        <v/>
      </c>
      <c r="B2410" t="str">
        <f t="shared" si="260"/>
        <v/>
      </c>
      <c r="C2410" t="str">
        <f t="shared" si="261"/>
        <v/>
      </c>
      <c r="D2410" t="str">
        <f t="shared" si="262"/>
        <v/>
      </c>
      <c r="E2410" t="str">
        <f>IF(F2410="","",IF(COUNTIF($F$2:F2410,F2410)&gt;1,"",SUMIFS(tbl_input[필요수량],tbl_input[집계키_센터],F2410)))</f>
        <v/>
      </c>
      <c r="F2410" t="str">
        <f>IFERROR(INDEX(tbl_input[집계키_센터],ROW()-1),"")</f>
        <v/>
      </c>
      <c r="G2410" t="str">
        <f t="shared" si="263"/>
        <v/>
      </c>
      <c r="H2410" t="str">
        <f t="shared" si="264"/>
        <v/>
      </c>
      <c r="I2410" t="str">
        <f t="shared" si="265"/>
        <v/>
      </c>
    </row>
    <row r="2411" spans="1:9" x14ac:dyDescent="0.4">
      <c r="A2411" t="str">
        <f t="shared" si="259"/>
        <v/>
      </c>
      <c r="B2411" t="str">
        <f t="shared" si="260"/>
        <v/>
      </c>
      <c r="C2411" t="str">
        <f t="shared" si="261"/>
        <v/>
      </c>
      <c r="D2411" t="str">
        <f t="shared" si="262"/>
        <v/>
      </c>
      <c r="E2411" t="str">
        <f>IF(F2411="","",IF(COUNTIF($F$2:F2411,F2411)&gt;1,"",SUMIFS(tbl_input[필요수량],tbl_input[집계키_센터],F2411)))</f>
        <v/>
      </c>
      <c r="F2411" t="str">
        <f>IFERROR(INDEX(tbl_input[집계키_센터],ROW()-1),"")</f>
        <v/>
      </c>
      <c r="G2411" t="str">
        <f t="shared" si="263"/>
        <v/>
      </c>
      <c r="H2411" t="str">
        <f t="shared" si="264"/>
        <v/>
      </c>
      <c r="I2411" t="str">
        <f t="shared" si="265"/>
        <v/>
      </c>
    </row>
    <row r="2412" spans="1:9" x14ac:dyDescent="0.4">
      <c r="A2412" t="str">
        <f t="shared" si="259"/>
        <v/>
      </c>
      <c r="B2412" t="str">
        <f t="shared" si="260"/>
        <v/>
      </c>
      <c r="C2412" t="str">
        <f t="shared" si="261"/>
        <v/>
      </c>
      <c r="D2412" t="str">
        <f t="shared" si="262"/>
        <v/>
      </c>
      <c r="E2412" t="str">
        <f>IF(F2412="","",IF(COUNTIF($F$2:F2412,F2412)&gt;1,"",SUMIFS(tbl_input[필요수량],tbl_input[집계키_센터],F2412)))</f>
        <v/>
      </c>
      <c r="F2412" t="str">
        <f>IFERROR(INDEX(tbl_input[집계키_센터],ROW()-1),"")</f>
        <v/>
      </c>
      <c r="G2412" t="str">
        <f t="shared" si="263"/>
        <v/>
      </c>
      <c r="H2412" t="str">
        <f t="shared" si="264"/>
        <v/>
      </c>
      <c r="I2412" t="str">
        <f t="shared" si="265"/>
        <v/>
      </c>
    </row>
    <row r="2413" spans="1:9" x14ac:dyDescent="0.4">
      <c r="A2413" t="str">
        <f t="shared" si="259"/>
        <v/>
      </c>
      <c r="B2413" t="str">
        <f t="shared" si="260"/>
        <v/>
      </c>
      <c r="C2413" t="str">
        <f t="shared" si="261"/>
        <v/>
      </c>
      <c r="D2413" t="str">
        <f t="shared" si="262"/>
        <v/>
      </c>
      <c r="E2413" t="str">
        <f>IF(F2413="","",IF(COUNTIF($F$2:F2413,F2413)&gt;1,"",SUMIFS(tbl_input[필요수량],tbl_input[집계키_센터],F2413)))</f>
        <v/>
      </c>
      <c r="F2413" t="str">
        <f>IFERROR(INDEX(tbl_input[집계키_센터],ROW()-1),"")</f>
        <v/>
      </c>
      <c r="G2413" t="str">
        <f t="shared" si="263"/>
        <v/>
      </c>
      <c r="H2413" t="str">
        <f t="shared" si="264"/>
        <v/>
      </c>
      <c r="I2413" t="str">
        <f t="shared" si="265"/>
        <v/>
      </c>
    </row>
    <row r="2414" spans="1:9" x14ac:dyDescent="0.4">
      <c r="A2414" t="str">
        <f t="shared" si="259"/>
        <v/>
      </c>
      <c r="B2414" t="str">
        <f t="shared" si="260"/>
        <v/>
      </c>
      <c r="C2414" t="str">
        <f t="shared" si="261"/>
        <v/>
      </c>
      <c r="D2414" t="str">
        <f t="shared" si="262"/>
        <v/>
      </c>
      <c r="E2414" t="str">
        <f>IF(F2414="","",IF(COUNTIF($F$2:F2414,F2414)&gt;1,"",SUMIFS(tbl_input[필요수량],tbl_input[집계키_센터],F2414)))</f>
        <v/>
      </c>
      <c r="F2414" t="str">
        <f>IFERROR(INDEX(tbl_input[집계키_센터],ROW()-1),"")</f>
        <v/>
      </c>
      <c r="G2414" t="str">
        <f t="shared" si="263"/>
        <v/>
      </c>
      <c r="H2414" t="str">
        <f t="shared" si="264"/>
        <v/>
      </c>
      <c r="I2414" t="str">
        <f t="shared" si="265"/>
        <v/>
      </c>
    </row>
    <row r="2415" spans="1:9" x14ac:dyDescent="0.4">
      <c r="A2415" t="str">
        <f t="shared" si="259"/>
        <v/>
      </c>
      <c r="B2415" t="str">
        <f t="shared" si="260"/>
        <v/>
      </c>
      <c r="C2415" t="str">
        <f t="shared" si="261"/>
        <v/>
      </c>
      <c r="D2415" t="str">
        <f t="shared" si="262"/>
        <v/>
      </c>
      <c r="E2415" t="str">
        <f>IF(F2415="","",IF(COUNTIF($F$2:F2415,F2415)&gt;1,"",SUMIFS(tbl_input[필요수량],tbl_input[집계키_센터],F2415)))</f>
        <v/>
      </c>
      <c r="F2415" t="str">
        <f>IFERROR(INDEX(tbl_input[집계키_센터],ROW()-1),"")</f>
        <v/>
      </c>
      <c r="G2415" t="str">
        <f t="shared" si="263"/>
        <v/>
      </c>
      <c r="H2415" t="str">
        <f t="shared" si="264"/>
        <v/>
      </c>
      <c r="I2415" t="str">
        <f t="shared" si="265"/>
        <v/>
      </c>
    </row>
    <row r="2416" spans="1:9" x14ac:dyDescent="0.4">
      <c r="A2416" t="str">
        <f t="shared" si="259"/>
        <v/>
      </c>
      <c r="B2416" t="str">
        <f t="shared" si="260"/>
        <v/>
      </c>
      <c r="C2416" t="str">
        <f t="shared" si="261"/>
        <v/>
      </c>
      <c r="D2416" t="str">
        <f t="shared" si="262"/>
        <v/>
      </c>
      <c r="E2416" t="str">
        <f>IF(F2416="","",IF(COUNTIF($F$2:F2416,F2416)&gt;1,"",SUMIFS(tbl_input[필요수량],tbl_input[집계키_센터],F2416)))</f>
        <v/>
      </c>
      <c r="F2416" t="str">
        <f>IFERROR(INDEX(tbl_input[집계키_센터],ROW()-1),"")</f>
        <v/>
      </c>
      <c r="G2416" t="str">
        <f t="shared" si="263"/>
        <v/>
      </c>
      <c r="H2416" t="str">
        <f t="shared" si="264"/>
        <v/>
      </c>
      <c r="I2416" t="str">
        <f t="shared" si="265"/>
        <v/>
      </c>
    </row>
    <row r="2417" spans="1:9" x14ac:dyDescent="0.4">
      <c r="A2417" t="str">
        <f t="shared" si="259"/>
        <v/>
      </c>
      <c r="B2417" t="str">
        <f t="shared" si="260"/>
        <v/>
      </c>
      <c r="C2417" t="str">
        <f t="shared" si="261"/>
        <v/>
      </c>
      <c r="D2417" t="str">
        <f t="shared" si="262"/>
        <v/>
      </c>
      <c r="E2417" t="str">
        <f>IF(F2417="","",IF(COUNTIF($F$2:F2417,F2417)&gt;1,"",SUMIFS(tbl_input[필요수량],tbl_input[집계키_센터],F2417)))</f>
        <v/>
      </c>
      <c r="F2417" t="str">
        <f>IFERROR(INDEX(tbl_input[집계키_센터],ROW()-1),"")</f>
        <v/>
      </c>
      <c r="G2417" t="str">
        <f t="shared" si="263"/>
        <v/>
      </c>
      <c r="H2417" t="str">
        <f t="shared" si="264"/>
        <v/>
      </c>
      <c r="I2417" t="str">
        <f t="shared" si="265"/>
        <v/>
      </c>
    </row>
    <row r="2418" spans="1:9" x14ac:dyDescent="0.4">
      <c r="A2418" t="str">
        <f t="shared" si="259"/>
        <v/>
      </c>
      <c r="B2418" t="str">
        <f t="shared" si="260"/>
        <v/>
      </c>
      <c r="C2418" t="str">
        <f t="shared" si="261"/>
        <v/>
      </c>
      <c r="D2418" t="str">
        <f t="shared" si="262"/>
        <v/>
      </c>
      <c r="E2418" t="str">
        <f>IF(F2418="","",IF(COUNTIF($F$2:F2418,F2418)&gt;1,"",SUMIFS(tbl_input[필요수량],tbl_input[집계키_센터],F2418)))</f>
        <v/>
      </c>
      <c r="F2418" t="str">
        <f>IFERROR(INDEX(tbl_input[집계키_센터],ROW()-1),"")</f>
        <v/>
      </c>
      <c r="G2418" t="str">
        <f t="shared" si="263"/>
        <v/>
      </c>
      <c r="H2418" t="str">
        <f t="shared" si="264"/>
        <v/>
      </c>
      <c r="I2418" t="str">
        <f t="shared" si="265"/>
        <v/>
      </c>
    </row>
    <row r="2419" spans="1:9" x14ac:dyDescent="0.4">
      <c r="A2419" t="str">
        <f t="shared" si="259"/>
        <v/>
      </c>
      <c r="B2419" t="str">
        <f t="shared" si="260"/>
        <v/>
      </c>
      <c r="C2419" t="str">
        <f t="shared" si="261"/>
        <v/>
      </c>
      <c r="D2419" t="str">
        <f t="shared" si="262"/>
        <v/>
      </c>
      <c r="E2419" t="str">
        <f>IF(F2419="","",IF(COUNTIF($F$2:F2419,F2419)&gt;1,"",SUMIFS(tbl_input[필요수량],tbl_input[집계키_센터],F2419)))</f>
        <v/>
      </c>
      <c r="F2419" t="str">
        <f>IFERROR(INDEX(tbl_input[집계키_센터],ROW()-1),"")</f>
        <v/>
      </c>
      <c r="G2419" t="str">
        <f t="shared" si="263"/>
        <v/>
      </c>
      <c r="H2419" t="str">
        <f t="shared" si="264"/>
        <v/>
      </c>
      <c r="I2419" t="str">
        <f t="shared" si="265"/>
        <v/>
      </c>
    </row>
    <row r="2420" spans="1:9" x14ac:dyDescent="0.4">
      <c r="A2420" t="str">
        <f t="shared" si="259"/>
        <v/>
      </c>
      <c r="B2420" t="str">
        <f t="shared" si="260"/>
        <v/>
      </c>
      <c r="C2420" t="str">
        <f t="shared" si="261"/>
        <v/>
      </c>
      <c r="D2420" t="str">
        <f t="shared" si="262"/>
        <v/>
      </c>
      <c r="E2420" t="str">
        <f>IF(F2420="","",IF(COUNTIF($F$2:F2420,F2420)&gt;1,"",SUMIFS(tbl_input[필요수량],tbl_input[집계키_센터],F2420)))</f>
        <v/>
      </c>
      <c r="F2420" t="str">
        <f>IFERROR(INDEX(tbl_input[집계키_센터],ROW()-1),"")</f>
        <v/>
      </c>
      <c r="G2420" t="str">
        <f t="shared" si="263"/>
        <v/>
      </c>
      <c r="H2420" t="str">
        <f t="shared" si="264"/>
        <v/>
      </c>
      <c r="I2420" t="str">
        <f t="shared" si="265"/>
        <v/>
      </c>
    </row>
    <row r="2421" spans="1:9" x14ac:dyDescent="0.4">
      <c r="A2421" t="str">
        <f t="shared" si="259"/>
        <v/>
      </c>
      <c r="B2421" t="str">
        <f t="shared" si="260"/>
        <v/>
      </c>
      <c r="C2421" t="str">
        <f t="shared" si="261"/>
        <v/>
      </c>
      <c r="D2421" t="str">
        <f t="shared" si="262"/>
        <v/>
      </c>
      <c r="E2421" t="str">
        <f>IF(F2421="","",IF(COUNTIF($F$2:F2421,F2421)&gt;1,"",SUMIFS(tbl_input[필요수량],tbl_input[집계키_센터],F2421)))</f>
        <v/>
      </c>
      <c r="F2421" t="str">
        <f>IFERROR(INDEX(tbl_input[집계키_센터],ROW()-1),"")</f>
        <v/>
      </c>
      <c r="G2421" t="str">
        <f t="shared" si="263"/>
        <v/>
      </c>
      <c r="H2421" t="str">
        <f t="shared" si="264"/>
        <v/>
      </c>
      <c r="I2421" t="str">
        <f t="shared" si="265"/>
        <v/>
      </c>
    </row>
    <row r="2422" spans="1:9" x14ac:dyDescent="0.4">
      <c r="A2422" t="str">
        <f t="shared" si="259"/>
        <v/>
      </c>
      <c r="B2422" t="str">
        <f t="shared" si="260"/>
        <v/>
      </c>
      <c r="C2422" t="str">
        <f t="shared" si="261"/>
        <v/>
      </c>
      <c r="D2422" t="str">
        <f t="shared" si="262"/>
        <v/>
      </c>
      <c r="E2422" t="str">
        <f>IF(F2422="","",IF(COUNTIF($F$2:F2422,F2422)&gt;1,"",SUMIFS(tbl_input[필요수량],tbl_input[집계키_센터],F2422)))</f>
        <v/>
      </c>
      <c r="F2422" t="str">
        <f>IFERROR(INDEX(tbl_input[집계키_센터],ROW()-1),"")</f>
        <v/>
      </c>
      <c r="G2422" t="str">
        <f t="shared" si="263"/>
        <v/>
      </c>
      <c r="H2422" t="str">
        <f t="shared" si="264"/>
        <v/>
      </c>
      <c r="I2422" t="str">
        <f t="shared" si="265"/>
        <v/>
      </c>
    </row>
    <row r="2423" spans="1:9" x14ac:dyDescent="0.4">
      <c r="A2423" t="str">
        <f t="shared" si="259"/>
        <v/>
      </c>
      <c r="B2423" t="str">
        <f t="shared" si="260"/>
        <v/>
      </c>
      <c r="C2423" t="str">
        <f t="shared" si="261"/>
        <v/>
      </c>
      <c r="D2423" t="str">
        <f t="shared" si="262"/>
        <v/>
      </c>
      <c r="E2423" t="str">
        <f>IF(F2423="","",IF(COUNTIF($F$2:F2423,F2423)&gt;1,"",SUMIFS(tbl_input[필요수량],tbl_input[집계키_센터],F2423)))</f>
        <v/>
      </c>
      <c r="F2423" t="str">
        <f>IFERROR(INDEX(tbl_input[집계키_센터],ROW()-1),"")</f>
        <v/>
      </c>
      <c r="G2423" t="str">
        <f t="shared" si="263"/>
        <v/>
      </c>
      <c r="H2423" t="str">
        <f t="shared" si="264"/>
        <v/>
      </c>
      <c r="I2423" t="str">
        <f t="shared" si="265"/>
        <v/>
      </c>
    </row>
    <row r="2424" spans="1:9" x14ac:dyDescent="0.4">
      <c r="A2424" t="str">
        <f t="shared" si="259"/>
        <v/>
      </c>
      <c r="B2424" t="str">
        <f t="shared" si="260"/>
        <v/>
      </c>
      <c r="C2424" t="str">
        <f t="shared" si="261"/>
        <v/>
      </c>
      <c r="D2424" t="str">
        <f t="shared" si="262"/>
        <v/>
      </c>
      <c r="E2424" t="str">
        <f>IF(F2424="","",IF(COUNTIF($F$2:F2424,F2424)&gt;1,"",SUMIFS(tbl_input[필요수량],tbl_input[집계키_센터],F2424)))</f>
        <v/>
      </c>
      <c r="F2424" t="str">
        <f>IFERROR(INDEX(tbl_input[집계키_센터],ROW()-1),"")</f>
        <v/>
      </c>
      <c r="G2424" t="str">
        <f t="shared" si="263"/>
        <v/>
      </c>
      <c r="H2424" t="str">
        <f t="shared" si="264"/>
        <v/>
      </c>
      <c r="I2424" t="str">
        <f t="shared" si="265"/>
        <v/>
      </c>
    </row>
    <row r="2425" spans="1:9" x14ac:dyDescent="0.4">
      <c r="A2425" t="str">
        <f t="shared" si="259"/>
        <v/>
      </c>
      <c r="B2425" t="str">
        <f t="shared" si="260"/>
        <v/>
      </c>
      <c r="C2425" t="str">
        <f t="shared" si="261"/>
        <v/>
      </c>
      <c r="D2425" t="str">
        <f t="shared" si="262"/>
        <v/>
      </c>
      <c r="E2425" t="str">
        <f>IF(F2425="","",IF(COUNTIF($F$2:F2425,F2425)&gt;1,"",SUMIFS(tbl_input[필요수량],tbl_input[집계키_센터],F2425)))</f>
        <v/>
      </c>
      <c r="F2425" t="str">
        <f>IFERROR(INDEX(tbl_input[집계키_센터],ROW()-1),"")</f>
        <v/>
      </c>
      <c r="G2425" t="str">
        <f t="shared" si="263"/>
        <v/>
      </c>
      <c r="H2425" t="str">
        <f t="shared" si="264"/>
        <v/>
      </c>
      <c r="I2425" t="str">
        <f t="shared" si="265"/>
        <v/>
      </c>
    </row>
    <row r="2426" spans="1:9" x14ac:dyDescent="0.4">
      <c r="A2426" t="str">
        <f t="shared" si="259"/>
        <v/>
      </c>
      <c r="B2426" t="str">
        <f t="shared" si="260"/>
        <v/>
      </c>
      <c r="C2426" t="str">
        <f t="shared" si="261"/>
        <v/>
      </c>
      <c r="D2426" t="str">
        <f t="shared" si="262"/>
        <v/>
      </c>
      <c r="E2426" t="str">
        <f>IF(F2426="","",IF(COUNTIF($F$2:F2426,F2426)&gt;1,"",SUMIFS(tbl_input[필요수량],tbl_input[집계키_센터],F2426)))</f>
        <v/>
      </c>
      <c r="F2426" t="str">
        <f>IFERROR(INDEX(tbl_input[집계키_센터],ROW()-1),"")</f>
        <v/>
      </c>
      <c r="G2426" t="str">
        <f t="shared" si="263"/>
        <v/>
      </c>
      <c r="H2426" t="str">
        <f t="shared" si="264"/>
        <v/>
      </c>
      <c r="I2426" t="str">
        <f t="shared" si="265"/>
        <v/>
      </c>
    </row>
    <row r="2427" spans="1:9" x14ac:dyDescent="0.4">
      <c r="A2427" t="str">
        <f t="shared" si="259"/>
        <v/>
      </c>
      <c r="B2427" t="str">
        <f t="shared" si="260"/>
        <v/>
      </c>
      <c r="C2427" t="str">
        <f t="shared" si="261"/>
        <v/>
      </c>
      <c r="D2427" t="str">
        <f t="shared" si="262"/>
        <v/>
      </c>
      <c r="E2427" t="str">
        <f>IF(F2427="","",IF(COUNTIF($F$2:F2427,F2427)&gt;1,"",SUMIFS(tbl_input[필요수량],tbl_input[집계키_센터],F2427)))</f>
        <v/>
      </c>
      <c r="F2427" t="str">
        <f>IFERROR(INDEX(tbl_input[집계키_센터],ROW()-1),"")</f>
        <v/>
      </c>
      <c r="G2427" t="str">
        <f t="shared" si="263"/>
        <v/>
      </c>
      <c r="H2427" t="str">
        <f t="shared" si="264"/>
        <v/>
      </c>
      <c r="I2427" t="str">
        <f t="shared" si="265"/>
        <v/>
      </c>
    </row>
    <row r="2428" spans="1:9" x14ac:dyDescent="0.4">
      <c r="A2428" t="str">
        <f t="shared" si="259"/>
        <v/>
      </c>
      <c r="B2428" t="str">
        <f t="shared" si="260"/>
        <v/>
      </c>
      <c r="C2428" t="str">
        <f t="shared" si="261"/>
        <v/>
      </c>
      <c r="D2428" t="str">
        <f t="shared" si="262"/>
        <v/>
      </c>
      <c r="E2428" t="str">
        <f>IF(F2428="","",IF(COUNTIF($F$2:F2428,F2428)&gt;1,"",SUMIFS(tbl_input[필요수량],tbl_input[집계키_센터],F2428)))</f>
        <v/>
      </c>
      <c r="F2428" t="str">
        <f>IFERROR(INDEX(tbl_input[집계키_센터],ROW()-1),"")</f>
        <v/>
      </c>
      <c r="G2428" t="str">
        <f t="shared" si="263"/>
        <v/>
      </c>
      <c r="H2428" t="str">
        <f t="shared" si="264"/>
        <v/>
      </c>
      <c r="I2428" t="str">
        <f t="shared" si="265"/>
        <v/>
      </c>
    </row>
    <row r="2429" spans="1:9" x14ac:dyDescent="0.4">
      <c r="A2429" t="str">
        <f t="shared" si="259"/>
        <v/>
      </c>
      <c r="B2429" t="str">
        <f t="shared" si="260"/>
        <v/>
      </c>
      <c r="C2429" t="str">
        <f t="shared" si="261"/>
        <v/>
      </c>
      <c r="D2429" t="str">
        <f t="shared" si="262"/>
        <v/>
      </c>
      <c r="E2429" t="str">
        <f>IF(F2429="","",IF(COUNTIF($F$2:F2429,F2429)&gt;1,"",SUMIFS(tbl_input[필요수량],tbl_input[집계키_센터],F2429)))</f>
        <v/>
      </c>
      <c r="F2429" t="str">
        <f>IFERROR(INDEX(tbl_input[집계키_센터],ROW()-1),"")</f>
        <v/>
      </c>
      <c r="G2429" t="str">
        <f t="shared" si="263"/>
        <v/>
      </c>
      <c r="H2429" t="str">
        <f t="shared" si="264"/>
        <v/>
      </c>
      <c r="I2429" t="str">
        <f t="shared" si="265"/>
        <v/>
      </c>
    </row>
    <row r="2430" spans="1:9" x14ac:dyDescent="0.4">
      <c r="A2430" t="str">
        <f t="shared" si="259"/>
        <v/>
      </c>
      <c r="B2430" t="str">
        <f t="shared" si="260"/>
        <v/>
      </c>
      <c r="C2430" t="str">
        <f t="shared" si="261"/>
        <v/>
      </c>
      <c r="D2430" t="str">
        <f t="shared" si="262"/>
        <v/>
      </c>
      <c r="E2430" t="str">
        <f>IF(F2430="","",IF(COUNTIF($F$2:F2430,F2430)&gt;1,"",SUMIFS(tbl_input[필요수량],tbl_input[집계키_센터],F2430)))</f>
        <v/>
      </c>
      <c r="F2430" t="str">
        <f>IFERROR(INDEX(tbl_input[집계키_센터],ROW()-1),"")</f>
        <v/>
      </c>
      <c r="G2430" t="str">
        <f t="shared" si="263"/>
        <v/>
      </c>
      <c r="H2430" t="str">
        <f t="shared" si="264"/>
        <v/>
      </c>
      <c r="I2430" t="str">
        <f t="shared" si="265"/>
        <v/>
      </c>
    </row>
    <row r="2431" spans="1:9" x14ac:dyDescent="0.4">
      <c r="A2431" t="str">
        <f t="shared" si="259"/>
        <v/>
      </c>
      <c r="B2431" t="str">
        <f t="shared" si="260"/>
        <v/>
      </c>
      <c r="C2431" t="str">
        <f t="shared" si="261"/>
        <v/>
      </c>
      <c r="D2431" t="str">
        <f t="shared" si="262"/>
        <v/>
      </c>
      <c r="E2431" t="str">
        <f>IF(F2431="","",IF(COUNTIF($F$2:F2431,F2431)&gt;1,"",SUMIFS(tbl_input[필요수량],tbl_input[집계키_센터],F2431)))</f>
        <v/>
      </c>
      <c r="F2431" t="str">
        <f>IFERROR(INDEX(tbl_input[집계키_센터],ROW()-1),"")</f>
        <v/>
      </c>
      <c r="G2431" t="str">
        <f t="shared" si="263"/>
        <v/>
      </c>
      <c r="H2431" t="str">
        <f t="shared" si="264"/>
        <v/>
      </c>
      <c r="I2431" t="str">
        <f t="shared" si="265"/>
        <v/>
      </c>
    </row>
    <row r="2432" spans="1:9" x14ac:dyDescent="0.4">
      <c r="A2432" t="str">
        <f t="shared" si="259"/>
        <v/>
      </c>
      <c r="B2432" t="str">
        <f t="shared" si="260"/>
        <v/>
      </c>
      <c r="C2432" t="str">
        <f t="shared" si="261"/>
        <v/>
      </c>
      <c r="D2432" t="str">
        <f t="shared" si="262"/>
        <v/>
      </c>
      <c r="E2432" t="str">
        <f>IF(F2432="","",IF(COUNTIF($F$2:F2432,F2432)&gt;1,"",SUMIFS(tbl_input[필요수량],tbl_input[집계키_센터],F2432)))</f>
        <v/>
      </c>
      <c r="F2432" t="str">
        <f>IFERROR(INDEX(tbl_input[집계키_센터],ROW()-1),"")</f>
        <v/>
      </c>
      <c r="G2432" t="str">
        <f t="shared" si="263"/>
        <v/>
      </c>
      <c r="H2432" t="str">
        <f t="shared" si="264"/>
        <v/>
      </c>
      <c r="I2432" t="str">
        <f t="shared" si="265"/>
        <v/>
      </c>
    </row>
    <row r="2433" spans="1:9" x14ac:dyDescent="0.4">
      <c r="A2433" t="str">
        <f t="shared" si="259"/>
        <v/>
      </c>
      <c r="B2433" t="str">
        <f t="shared" si="260"/>
        <v/>
      </c>
      <c r="C2433" t="str">
        <f t="shared" si="261"/>
        <v/>
      </c>
      <c r="D2433" t="str">
        <f t="shared" si="262"/>
        <v/>
      </c>
      <c r="E2433" t="str">
        <f>IF(F2433="","",IF(COUNTIF($F$2:F2433,F2433)&gt;1,"",SUMIFS(tbl_input[필요수량],tbl_input[집계키_센터],F2433)))</f>
        <v/>
      </c>
      <c r="F2433" t="str">
        <f>IFERROR(INDEX(tbl_input[집계키_센터],ROW()-1),"")</f>
        <v/>
      </c>
      <c r="G2433" t="str">
        <f t="shared" si="263"/>
        <v/>
      </c>
      <c r="H2433" t="str">
        <f t="shared" si="264"/>
        <v/>
      </c>
      <c r="I2433" t="str">
        <f t="shared" si="265"/>
        <v/>
      </c>
    </row>
    <row r="2434" spans="1:9" x14ac:dyDescent="0.4">
      <c r="A2434" t="str">
        <f t="shared" ref="A2434:A2497" si="266">IF(F2434="","",LEFT(F2434,G2434-1))</f>
        <v/>
      </c>
      <c r="B2434" t="str">
        <f t="shared" ref="B2434:B2497" si="267">IF(F2434="","",MID(F2434,G2434+1,H2434-G2434-1))</f>
        <v/>
      </c>
      <c r="C2434" t="str">
        <f t="shared" ref="C2434:C2497" si="268">IF(F2434="","",MID(F2434,H2434+1,I2434-H2434-1))</f>
        <v/>
      </c>
      <c r="D2434" t="str">
        <f t="shared" ref="D2434:D2497" si="269">IF(F2434="","",MID(F2434,I2434+1,999))</f>
        <v/>
      </c>
      <c r="E2434" t="str">
        <f>IF(F2434="","",IF(COUNTIF($F$2:F2434,F2434)&gt;1,"",SUMIFS(tbl_input[필요수량],tbl_input[집계키_센터],F2434)))</f>
        <v/>
      </c>
      <c r="F2434" t="str">
        <f>IFERROR(INDEX(tbl_input[집계키_센터],ROW()-1),"")</f>
        <v/>
      </c>
      <c r="G2434" t="str">
        <f t="shared" ref="G2434:G2497" si="270">IF(F2434="","",FIND("♦",F2434))</f>
        <v/>
      </c>
      <c r="H2434" t="str">
        <f t="shared" ref="H2434:H2497" si="271">IF(F2434="","",FIND("♦",F2434,G2434+1))</f>
        <v/>
      </c>
      <c r="I2434" t="str">
        <f t="shared" ref="I2434:I2497" si="272">IF(F2434="","",FIND("♦",F2434,H2434+1))</f>
        <v/>
      </c>
    </row>
    <row r="2435" spans="1:9" x14ac:dyDescent="0.4">
      <c r="A2435" t="str">
        <f t="shared" si="266"/>
        <v/>
      </c>
      <c r="B2435" t="str">
        <f t="shared" si="267"/>
        <v/>
      </c>
      <c r="C2435" t="str">
        <f t="shared" si="268"/>
        <v/>
      </c>
      <c r="D2435" t="str">
        <f t="shared" si="269"/>
        <v/>
      </c>
      <c r="E2435" t="str">
        <f>IF(F2435="","",IF(COUNTIF($F$2:F2435,F2435)&gt;1,"",SUMIFS(tbl_input[필요수량],tbl_input[집계키_센터],F2435)))</f>
        <v/>
      </c>
      <c r="F2435" t="str">
        <f>IFERROR(INDEX(tbl_input[집계키_센터],ROW()-1),"")</f>
        <v/>
      </c>
      <c r="G2435" t="str">
        <f t="shared" si="270"/>
        <v/>
      </c>
      <c r="H2435" t="str">
        <f t="shared" si="271"/>
        <v/>
      </c>
      <c r="I2435" t="str">
        <f t="shared" si="272"/>
        <v/>
      </c>
    </row>
    <row r="2436" spans="1:9" x14ac:dyDescent="0.4">
      <c r="A2436" t="str">
        <f t="shared" si="266"/>
        <v/>
      </c>
      <c r="B2436" t="str">
        <f t="shared" si="267"/>
        <v/>
      </c>
      <c r="C2436" t="str">
        <f t="shared" si="268"/>
        <v/>
      </c>
      <c r="D2436" t="str">
        <f t="shared" si="269"/>
        <v/>
      </c>
      <c r="E2436" t="str">
        <f>IF(F2436="","",IF(COUNTIF($F$2:F2436,F2436)&gt;1,"",SUMIFS(tbl_input[필요수량],tbl_input[집계키_센터],F2436)))</f>
        <v/>
      </c>
      <c r="F2436" t="str">
        <f>IFERROR(INDEX(tbl_input[집계키_센터],ROW()-1),"")</f>
        <v/>
      </c>
      <c r="G2436" t="str">
        <f t="shared" si="270"/>
        <v/>
      </c>
      <c r="H2436" t="str">
        <f t="shared" si="271"/>
        <v/>
      </c>
      <c r="I2436" t="str">
        <f t="shared" si="272"/>
        <v/>
      </c>
    </row>
    <row r="2437" spans="1:9" x14ac:dyDescent="0.4">
      <c r="A2437" t="str">
        <f t="shared" si="266"/>
        <v/>
      </c>
      <c r="B2437" t="str">
        <f t="shared" si="267"/>
        <v/>
      </c>
      <c r="C2437" t="str">
        <f t="shared" si="268"/>
        <v/>
      </c>
      <c r="D2437" t="str">
        <f t="shared" si="269"/>
        <v/>
      </c>
      <c r="E2437" t="str">
        <f>IF(F2437="","",IF(COUNTIF($F$2:F2437,F2437)&gt;1,"",SUMIFS(tbl_input[필요수량],tbl_input[집계키_센터],F2437)))</f>
        <v/>
      </c>
      <c r="F2437" t="str">
        <f>IFERROR(INDEX(tbl_input[집계키_센터],ROW()-1),"")</f>
        <v/>
      </c>
      <c r="G2437" t="str">
        <f t="shared" si="270"/>
        <v/>
      </c>
      <c r="H2437" t="str">
        <f t="shared" si="271"/>
        <v/>
      </c>
      <c r="I2437" t="str">
        <f t="shared" si="272"/>
        <v/>
      </c>
    </row>
    <row r="2438" spans="1:9" x14ac:dyDescent="0.4">
      <c r="A2438" t="str">
        <f t="shared" si="266"/>
        <v/>
      </c>
      <c r="B2438" t="str">
        <f t="shared" si="267"/>
        <v/>
      </c>
      <c r="C2438" t="str">
        <f t="shared" si="268"/>
        <v/>
      </c>
      <c r="D2438" t="str">
        <f t="shared" si="269"/>
        <v/>
      </c>
      <c r="E2438" t="str">
        <f>IF(F2438="","",IF(COUNTIF($F$2:F2438,F2438)&gt;1,"",SUMIFS(tbl_input[필요수량],tbl_input[집계키_센터],F2438)))</f>
        <v/>
      </c>
      <c r="F2438" t="str">
        <f>IFERROR(INDEX(tbl_input[집계키_센터],ROW()-1),"")</f>
        <v/>
      </c>
      <c r="G2438" t="str">
        <f t="shared" si="270"/>
        <v/>
      </c>
      <c r="H2438" t="str">
        <f t="shared" si="271"/>
        <v/>
      </c>
      <c r="I2438" t="str">
        <f t="shared" si="272"/>
        <v/>
      </c>
    </row>
    <row r="2439" spans="1:9" x14ac:dyDescent="0.4">
      <c r="A2439" t="str">
        <f t="shared" si="266"/>
        <v/>
      </c>
      <c r="B2439" t="str">
        <f t="shared" si="267"/>
        <v/>
      </c>
      <c r="C2439" t="str">
        <f t="shared" si="268"/>
        <v/>
      </c>
      <c r="D2439" t="str">
        <f t="shared" si="269"/>
        <v/>
      </c>
      <c r="E2439" t="str">
        <f>IF(F2439="","",IF(COUNTIF($F$2:F2439,F2439)&gt;1,"",SUMIFS(tbl_input[필요수량],tbl_input[집계키_센터],F2439)))</f>
        <v/>
      </c>
      <c r="F2439" t="str">
        <f>IFERROR(INDEX(tbl_input[집계키_센터],ROW()-1),"")</f>
        <v/>
      </c>
      <c r="G2439" t="str">
        <f t="shared" si="270"/>
        <v/>
      </c>
      <c r="H2439" t="str">
        <f t="shared" si="271"/>
        <v/>
      </c>
      <c r="I2439" t="str">
        <f t="shared" si="272"/>
        <v/>
      </c>
    </row>
    <row r="2440" spans="1:9" x14ac:dyDescent="0.4">
      <c r="A2440" t="str">
        <f t="shared" si="266"/>
        <v/>
      </c>
      <c r="B2440" t="str">
        <f t="shared" si="267"/>
        <v/>
      </c>
      <c r="C2440" t="str">
        <f t="shared" si="268"/>
        <v/>
      </c>
      <c r="D2440" t="str">
        <f t="shared" si="269"/>
        <v/>
      </c>
      <c r="E2440" t="str">
        <f>IF(F2440="","",IF(COUNTIF($F$2:F2440,F2440)&gt;1,"",SUMIFS(tbl_input[필요수량],tbl_input[집계키_센터],F2440)))</f>
        <v/>
      </c>
      <c r="F2440" t="str">
        <f>IFERROR(INDEX(tbl_input[집계키_센터],ROW()-1),"")</f>
        <v/>
      </c>
      <c r="G2440" t="str">
        <f t="shared" si="270"/>
        <v/>
      </c>
      <c r="H2440" t="str">
        <f t="shared" si="271"/>
        <v/>
      </c>
      <c r="I2440" t="str">
        <f t="shared" si="272"/>
        <v/>
      </c>
    </row>
    <row r="2441" spans="1:9" x14ac:dyDescent="0.4">
      <c r="A2441" t="str">
        <f t="shared" si="266"/>
        <v/>
      </c>
      <c r="B2441" t="str">
        <f t="shared" si="267"/>
        <v/>
      </c>
      <c r="C2441" t="str">
        <f t="shared" si="268"/>
        <v/>
      </c>
      <c r="D2441" t="str">
        <f t="shared" si="269"/>
        <v/>
      </c>
      <c r="E2441" t="str">
        <f>IF(F2441="","",IF(COUNTIF($F$2:F2441,F2441)&gt;1,"",SUMIFS(tbl_input[필요수량],tbl_input[집계키_센터],F2441)))</f>
        <v/>
      </c>
      <c r="F2441" t="str">
        <f>IFERROR(INDEX(tbl_input[집계키_센터],ROW()-1),"")</f>
        <v/>
      </c>
      <c r="G2441" t="str">
        <f t="shared" si="270"/>
        <v/>
      </c>
      <c r="H2441" t="str">
        <f t="shared" si="271"/>
        <v/>
      </c>
      <c r="I2441" t="str">
        <f t="shared" si="272"/>
        <v/>
      </c>
    </row>
    <row r="2442" spans="1:9" x14ac:dyDescent="0.4">
      <c r="A2442" t="str">
        <f t="shared" si="266"/>
        <v/>
      </c>
      <c r="B2442" t="str">
        <f t="shared" si="267"/>
        <v/>
      </c>
      <c r="C2442" t="str">
        <f t="shared" si="268"/>
        <v/>
      </c>
      <c r="D2442" t="str">
        <f t="shared" si="269"/>
        <v/>
      </c>
      <c r="E2442" t="str">
        <f>IF(F2442="","",IF(COUNTIF($F$2:F2442,F2442)&gt;1,"",SUMIFS(tbl_input[필요수량],tbl_input[집계키_센터],F2442)))</f>
        <v/>
      </c>
      <c r="F2442" t="str">
        <f>IFERROR(INDEX(tbl_input[집계키_센터],ROW()-1),"")</f>
        <v/>
      </c>
      <c r="G2442" t="str">
        <f t="shared" si="270"/>
        <v/>
      </c>
      <c r="H2442" t="str">
        <f t="shared" si="271"/>
        <v/>
      </c>
      <c r="I2442" t="str">
        <f t="shared" si="272"/>
        <v/>
      </c>
    </row>
    <row r="2443" spans="1:9" x14ac:dyDescent="0.4">
      <c r="A2443" t="str">
        <f t="shared" si="266"/>
        <v/>
      </c>
      <c r="B2443" t="str">
        <f t="shared" si="267"/>
        <v/>
      </c>
      <c r="C2443" t="str">
        <f t="shared" si="268"/>
        <v/>
      </c>
      <c r="D2443" t="str">
        <f t="shared" si="269"/>
        <v/>
      </c>
      <c r="E2443" t="str">
        <f>IF(F2443="","",IF(COUNTIF($F$2:F2443,F2443)&gt;1,"",SUMIFS(tbl_input[필요수량],tbl_input[집계키_센터],F2443)))</f>
        <v/>
      </c>
      <c r="F2443" t="str">
        <f>IFERROR(INDEX(tbl_input[집계키_센터],ROW()-1),"")</f>
        <v/>
      </c>
      <c r="G2443" t="str">
        <f t="shared" si="270"/>
        <v/>
      </c>
      <c r="H2443" t="str">
        <f t="shared" si="271"/>
        <v/>
      </c>
      <c r="I2443" t="str">
        <f t="shared" si="272"/>
        <v/>
      </c>
    </row>
    <row r="2444" spans="1:9" x14ac:dyDescent="0.4">
      <c r="A2444" t="str">
        <f t="shared" si="266"/>
        <v/>
      </c>
      <c r="B2444" t="str">
        <f t="shared" si="267"/>
        <v/>
      </c>
      <c r="C2444" t="str">
        <f t="shared" si="268"/>
        <v/>
      </c>
      <c r="D2444" t="str">
        <f t="shared" si="269"/>
        <v/>
      </c>
      <c r="E2444" t="str">
        <f>IF(F2444="","",IF(COUNTIF($F$2:F2444,F2444)&gt;1,"",SUMIFS(tbl_input[필요수량],tbl_input[집계키_센터],F2444)))</f>
        <v/>
      </c>
      <c r="F2444" t="str">
        <f>IFERROR(INDEX(tbl_input[집계키_센터],ROW()-1),"")</f>
        <v/>
      </c>
      <c r="G2444" t="str">
        <f t="shared" si="270"/>
        <v/>
      </c>
      <c r="H2444" t="str">
        <f t="shared" si="271"/>
        <v/>
      </c>
      <c r="I2444" t="str">
        <f t="shared" si="272"/>
        <v/>
      </c>
    </row>
    <row r="2445" spans="1:9" x14ac:dyDescent="0.4">
      <c r="A2445" t="str">
        <f t="shared" si="266"/>
        <v/>
      </c>
      <c r="B2445" t="str">
        <f t="shared" si="267"/>
        <v/>
      </c>
      <c r="C2445" t="str">
        <f t="shared" si="268"/>
        <v/>
      </c>
      <c r="D2445" t="str">
        <f t="shared" si="269"/>
        <v/>
      </c>
      <c r="E2445" t="str">
        <f>IF(F2445="","",IF(COUNTIF($F$2:F2445,F2445)&gt;1,"",SUMIFS(tbl_input[필요수량],tbl_input[집계키_센터],F2445)))</f>
        <v/>
      </c>
      <c r="F2445" t="str">
        <f>IFERROR(INDEX(tbl_input[집계키_센터],ROW()-1),"")</f>
        <v/>
      </c>
      <c r="G2445" t="str">
        <f t="shared" si="270"/>
        <v/>
      </c>
      <c r="H2445" t="str">
        <f t="shared" si="271"/>
        <v/>
      </c>
      <c r="I2445" t="str">
        <f t="shared" si="272"/>
        <v/>
      </c>
    </row>
    <row r="2446" spans="1:9" x14ac:dyDescent="0.4">
      <c r="A2446" t="str">
        <f t="shared" si="266"/>
        <v/>
      </c>
      <c r="B2446" t="str">
        <f t="shared" si="267"/>
        <v/>
      </c>
      <c r="C2446" t="str">
        <f t="shared" si="268"/>
        <v/>
      </c>
      <c r="D2446" t="str">
        <f t="shared" si="269"/>
        <v/>
      </c>
      <c r="E2446" t="str">
        <f>IF(F2446="","",IF(COUNTIF($F$2:F2446,F2446)&gt;1,"",SUMIFS(tbl_input[필요수량],tbl_input[집계키_센터],F2446)))</f>
        <v/>
      </c>
      <c r="F2446" t="str">
        <f>IFERROR(INDEX(tbl_input[집계키_센터],ROW()-1),"")</f>
        <v/>
      </c>
      <c r="G2446" t="str">
        <f t="shared" si="270"/>
        <v/>
      </c>
      <c r="H2446" t="str">
        <f t="shared" si="271"/>
        <v/>
      </c>
      <c r="I2446" t="str">
        <f t="shared" si="272"/>
        <v/>
      </c>
    </row>
    <row r="2447" spans="1:9" x14ac:dyDescent="0.4">
      <c r="A2447" t="str">
        <f t="shared" si="266"/>
        <v/>
      </c>
      <c r="B2447" t="str">
        <f t="shared" si="267"/>
        <v/>
      </c>
      <c r="C2447" t="str">
        <f t="shared" si="268"/>
        <v/>
      </c>
      <c r="D2447" t="str">
        <f t="shared" si="269"/>
        <v/>
      </c>
      <c r="E2447" t="str">
        <f>IF(F2447="","",IF(COUNTIF($F$2:F2447,F2447)&gt;1,"",SUMIFS(tbl_input[필요수량],tbl_input[집계키_센터],F2447)))</f>
        <v/>
      </c>
      <c r="F2447" t="str">
        <f>IFERROR(INDEX(tbl_input[집계키_센터],ROW()-1),"")</f>
        <v/>
      </c>
      <c r="G2447" t="str">
        <f t="shared" si="270"/>
        <v/>
      </c>
      <c r="H2447" t="str">
        <f t="shared" si="271"/>
        <v/>
      </c>
      <c r="I2447" t="str">
        <f t="shared" si="272"/>
        <v/>
      </c>
    </row>
    <row r="2448" spans="1:9" x14ac:dyDescent="0.4">
      <c r="A2448" t="str">
        <f t="shared" si="266"/>
        <v/>
      </c>
      <c r="B2448" t="str">
        <f t="shared" si="267"/>
        <v/>
      </c>
      <c r="C2448" t="str">
        <f t="shared" si="268"/>
        <v/>
      </c>
      <c r="D2448" t="str">
        <f t="shared" si="269"/>
        <v/>
      </c>
      <c r="E2448" t="str">
        <f>IF(F2448="","",IF(COUNTIF($F$2:F2448,F2448)&gt;1,"",SUMIFS(tbl_input[필요수량],tbl_input[집계키_센터],F2448)))</f>
        <v/>
      </c>
      <c r="F2448" t="str">
        <f>IFERROR(INDEX(tbl_input[집계키_센터],ROW()-1),"")</f>
        <v/>
      </c>
      <c r="G2448" t="str">
        <f t="shared" si="270"/>
        <v/>
      </c>
      <c r="H2448" t="str">
        <f t="shared" si="271"/>
        <v/>
      </c>
      <c r="I2448" t="str">
        <f t="shared" si="272"/>
        <v/>
      </c>
    </row>
    <row r="2449" spans="1:9" x14ac:dyDescent="0.4">
      <c r="A2449" t="str">
        <f t="shared" si="266"/>
        <v/>
      </c>
      <c r="B2449" t="str">
        <f t="shared" si="267"/>
        <v/>
      </c>
      <c r="C2449" t="str">
        <f t="shared" si="268"/>
        <v/>
      </c>
      <c r="D2449" t="str">
        <f t="shared" si="269"/>
        <v/>
      </c>
      <c r="E2449" t="str">
        <f>IF(F2449="","",IF(COUNTIF($F$2:F2449,F2449)&gt;1,"",SUMIFS(tbl_input[필요수량],tbl_input[집계키_센터],F2449)))</f>
        <v/>
      </c>
      <c r="F2449" t="str">
        <f>IFERROR(INDEX(tbl_input[집계키_센터],ROW()-1),"")</f>
        <v/>
      </c>
      <c r="G2449" t="str">
        <f t="shared" si="270"/>
        <v/>
      </c>
      <c r="H2449" t="str">
        <f t="shared" si="271"/>
        <v/>
      </c>
      <c r="I2449" t="str">
        <f t="shared" si="272"/>
        <v/>
      </c>
    </row>
    <row r="2450" spans="1:9" x14ac:dyDescent="0.4">
      <c r="A2450" t="str">
        <f t="shared" si="266"/>
        <v/>
      </c>
      <c r="B2450" t="str">
        <f t="shared" si="267"/>
        <v/>
      </c>
      <c r="C2450" t="str">
        <f t="shared" si="268"/>
        <v/>
      </c>
      <c r="D2450" t="str">
        <f t="shared" si="269"/>
        <v/>
      </c>
      <c r="E2450" t="str">
        <f>IF(F2450="","",IF(COUNTIF($F$2:F2450,F2450)&gt;1,"",SUMIFS(tbl_input[필요수량],tbl_input[집계키_센터],F2450)))</f>
        <v/>
      </c>
      <c r="F2450" t="str">
        <f>IFERROR(INDEX(tbl_input[집계키_센터],ROW()-1),"")</f>
        <v/>
      </c>
      <c r="G2450" t="str">
        <f t="shared" si="270"/>
        <v/>
      </c>
      <c r="H2450" t="str">
        <f t="shared" si="271"/>
        <v/>
      </c>
      <c r="I2450" t="str">
        <f t="shared" si="272"/>
        <v/>
      </c>
    </row>
    <row r="2451" spans="1:9" x14ac:dyDescent="0.4">
      <c r="A2451" t="str">
        <f t="shared" si="266"/>
        <v/>
      </c>
      <c r="B2451" t="str">
        <f t="shared" si="267"/>
        <v/>
      </c>
      <c r="C2451" t="str">
        <f t="shared" si="268"/>
        <v/>
      </c>
      <c r="D2451" t="str">
        <f t="shared" si="269"/>
        <v/>
      </c>
      <c r="E2451" t="str">
        <f>IF(F2451="","",IF(COUNTIF($F$2:F2451,F2451)&gt;1,"",SUMIFS(tbl_input[필요수량],tbl_input[집계키_센터],F2451)))</f>
        <v/>
      </c>
      <c r="F2451" t="str">
        <f>IFERROR(INDEX(tbl_input[집계키_센터],ROW()-1),"")</f>
        <v/>
      </c>
      <c r="G2451" t="str">
        <f t="shared" si="270"/>
        <v/>
      </c>
      <c r="H2451" t="str">
        <f t="shared" si="271"/>
        <v/>
      </c>
      <c r="I2451" t="str">
        <f t="shared" si="272"/>
        <v/>
      </c>
    </row>
    <row r="2452" spans="1:9" x14ac:dyDescent="0.4">
      <c r="A2452" t="str">
        <f t="shared" si="266"/>
        <v/>
      </c>
      <c r="B2452" t="str">
        <f t="shared" si="267"/>
        <v/>
      </c>
      <c r="C2452" t="str">
        <f t="shared" si="268"/>
        <v/>
      </c>
      <c r="D2452" t="str">
        <f t="shared" si="269"/>
        <v/>
      </c>
      <c r="E2452" t="str">
        <f>IF(F2452="","",IF(COUNTIF($F$2:F2452,F2452)&gt;1,"",SUMIFS(tbl_input[필요수량],tbl_input[집계키_센터],F2452)))</f>
        <v/>
      </c>
      <c r="F2452" t="str">
        <f>IFERROR(INDEX(tbl_input[집계키_센터],ROW()-1),"")</f>
        <v/>
      </c>
      <c r="G2452" t="str">
        <f t="shared" si="270"/>
        <v/>
      </c>
      <c r="H2452" t="str">
        <f t="shared" si="271"/>
        <v/>
      </c>
      <c r="I2452" t="str">
        <f t="shared" si="272"/>
        <v/>
      </c>
    </row>
    <row r="2453" spans="1:9" x14ac:dyDescent="0.4">
      <c r="A2453" t="str">
        <f t="shared" si="266"/>
        <v/>
      </c>
      <c r="B2453" t="str">
        <f t="shared" si="267"/>
        <v/>
      </c>
      <c r="C2453" t="str">
        <f t="shared" si="268"/>
        <v/>
      </c>
      <c r="D2453" t="str">
        <f t="shared" si="269"/>
        <v/>
      </c>
      <c r="E2453" t="str">
        <f>IF(F2453="","",IF(COUNTIF($F$2:F2453,F2453)&gt;1,"",SUMIFS(tbl_input[필요수량],tbl_input[집계키_센터],F2453)))</f>
        <v/>
      </c>
      <c r="F2453" t="str">
        <f>IFERROR(INDEX(tbl_input[집계키_센터],ROW()-1),"")</f>
        <v/>
      </c>
      <c r="G2453" t="str">
        <f t="shared" si="270"/>
        <v/>
      </c>
      <c r="H2453" t="str">
        <f t="shared" si="271"/>
        <v/>
      </c>
      <c r="I2453" t="str">
        <f t="shared" si="272"/>
        <v/>
      </c>
    </row>
    <row r="2454" spans="1:9" x14ac:dyDescent="0.4">
      <c r="A2454" t="str">
        <f t="shared" si="266"/>
        <v/>
      </c>
      <c r="B2454" t="str">
        <f t="shared" si="267"/>
        <v/>
      </c>
      <c r="C2454" t="str">
        <f t="shared" si="268"/>
        <v/>
      </c>
      <c r="D2454" t="str">
        <f t="shared" si="269"/>
        <v/>
      </c>
      <c r="E2454" t="str">
        <f>IF(F2454="","",IF(COUNTIF($F$2:F2454,F2454)&gt;1,"",SUMIFS(tbl_input[필요수량],tbl_input[집계키_센터],F2454)))</f>
        <v/>
      </c>
      <c r="F2454" t="str">
        <f>IFERROR(INDEX(tbl_input[집계키_센터],ROW()-1),"")</f>
        <v/>
      </c>
      <c r="G2454" t="str">
        <f t="shared" si="270"/>
        <v/>
      </c>
      <c r="H2454" t="str">
        <f t="shared" si="271"/>
        <v/>
      </c>
      <c r="I2454" t="str">
        <f t="shared" si="272"/>
        <v/>
      </c>
    </row>
    <row r="2455" spans="1:9" x14ac:dyDescent="0.4">
      <c r="A2455" t="str">
        <f t="shared" si="266"/>
        <v/>
      </c>
      <c r="B2455" t="str">
        <f t="shared" si="267"/>
        <v/>
      </c>
      <c r="C2455" t="str">
        <f t="shared" si="268"/>
        <v/>
      </c>
      <c r="D2455" t="str">
        <f t="shared" si="269"/>
        <v/>
      </c>
      <c r="E2455" t="str">
        <f>IF(F2455="","",IF(COUNTIF($F$2:F2455,F2455)&gt;1,"",SUMIFS(tbl_input[필요수량],tbl_input[집계키_센터],F2455)))</f>
        <v/>
      </c>
      <c r="F2455" t="str">
        <f>IFERROR(INDEX(tbl_input[집계키_센터],ROW()-1),"")</f>
        <v/>
      </c>
      <c r="G2455" t="str">
        <f t="shared" si="270"/>
        <v/>
      </c>
      <c r="H2455" t="str">
        <f t="shared" si="271"/>
        <v/>
      </c>
      <c r="I2455" t="str">
        <f t="shared" si="272"/>
        <v/>
      </c>
    </row>
    <row r="2456" spans="1:9" x14ac:dyDescent="0.4">
      <c r="A2456" t="str">
        <f t="shared" si="266"/>
        <v/>
      </c>
      <c r="B2456" t="str">
        <f t="shared" si="267"/>
        <v/>
      </c>
      <c r="C2456" t="str">
        <f t="shared" si="268"/>
        <v/>
      </c>
      <c r="D2456" t="str">
        <f t="shared" si="269"/>
        <v/>
      </c>
      <c r="E2456" t="str">
        <f>IF(F2456="","",IF(COUNTIF($F$2:F2456,F2456)&gt;1,"",SUMIFS(tbl_input[필요수량],tbl_input[집계키_센터],F2456)))</f>
        <v/>
      </c>
      <c r="F2456" t="str">
        <f>IFERROR(INDEX(tbl_input[집계키_센터],ROW()-1),"")</f>
        <v/>
      </c>
      <c r="G2456" t="str">
        <f t="shared" si="270"/>
        <v/>
      </c>
      <c r="H2456" t="str">
        <f t="shared" si="271"/>
        <v/>
      </c>
      <c r="I2456" t="str">
        <f t="shared" si="272"/>
        <v/>
      </c>
    </row>
    <row r="2457" spans="1:9" x14ac:dyDescent="0.4">
      <c r="A2457" t="str">
        <f t="shared" si="266"/>
        <v/>
      </c>
      <c r="B2457" t="str">
        <f t="shared" si="267"/>
        <v/>
      </c>
      <c r="C2457" t="str">
        <f t="shared" si="268"/>
        <v/>
      </c>
      <c r="D2457" t="str">
        <f t="shared" si="269"/>
        <v/>
      </c>
      <c r="E2457" t="str">
        <f>IF(F2457="","",IF(COUNTIF($F$2:F2457,F2457)&gt;1,"",SUMIFS(tbl_input[필요수량],tbl_input[집계키_센터],F2457)))</f>
        <v/>
      </c>
      <c r="F2457" t="str">
        <f>IFERROR(INDEX(tbl_input[집계키_센터],ROW()-1),"")</f>
        <v/>
      </c>
      <c r="G2457" t="str">
        <f t="shared" si="270"/>
        <v/>
      </c>
      <c r="H2457" t="str">
        <f t="shared" si="271"/>
        <v/>
      </c>
      <c r="I2457" t="str">
        <f t="shared" si="272"/>
        <v/>
      </c>
    </row>
    <row r="2458" spans="1:9" x14ac:dyDescent="0.4">
      <c r="A2458" t="str">
        <f t="shared" si="266"/>
        <v/>
      </c>
      <c r="B2458" t="str">
        <f t="shared" si="267"/>
        <v/>
      </c>
      <c r="C2458" t="str">
        <f t="shared" si="268"/>
        <v/>
      </c>
      <c r="D2458" t="str">
        <f t="shared" si="269"/>
        <v/>
      </c>
      <c r="E2458" t="str">
        <f>IF(F2458="","",IF(COUNTIF($F$2:F2458,F2458)&gt;1,"",SUMIFS(tbl_input[필요수량],tbl_input[집계키_센터],F2458)))</f>
        <v/>
      </c>
      <c r="F2458" t="str">
        <f>IFERROR(INDEX(tbl_input[집계키_센터],ROW()-1),"")</f>
        <v/>
      </c>
      <c r="G2458" t="str">
        <f t="shared" si="270"/>
        <v/>
      </c>
      <c r="H2458" t="str">
        <f t="shared" si="271"/>
        <v/>
      </c>
      <c r="I2458" t="str">
        <f t="shared" si="272"/>
        <v/>
      </c>
    </row>
    <row r="2459" spans="1:9" x14ac:dyDescent="0.4">
      <c r="A2459" t="str">
        <f t="shared" si="266"/>
        <v/>
      </c>
      <c r="B2459" t="str">
        <f t="shared" si="267"/>
        <v/>
      </c>
      <c r="C2459" t="str">
        <f t="shared" si="268"/>
        <v/>
      </c>
      <c r="D2459" t="str">
        <f t="shared" si="269"/>
        <v/>
      </c>
      <c r="E2459" t="str">
        <f>IF(F2459="","",IF(COUNTIF($F$2:F2459,F2459)&gt;1,"",SUMIFS(tbl_input[필요수량],tbl_input[집계키_센터],F2459)))</f>
        <v/>
      </c>
      <c r="F2459" t="str">
        <f>IFERROR(INDEX(tbl_input[집계키_센터],ROW()-1),"")</f>
        <v/>
      </c>
      <c r="G2459" t="str">
        <f t="shared" si="270"/>
        <v/>
      </c>
      <c r="H2459" t="str">
        <f t="shared" si="271"/>
        <v/>
      </c>
      <c r="I2459" t="str">
        <f t="shared" si="272"/>
        <v/>
      </c>
    </row>
    <row r="2460" spans="1:9" x14ac:dyDescent="0.4">
      <c r="A2460" t="str">
        <f t="shared" si="266"/>
        <v/>
      </c>
      <c r="B2460" t="str">
        <f t="shared" si="267"/>
        <v/>
      </c>
      <c r="C2460" t="str">
        <f t="shared" si="268"/>
        <v/>
      </c>
      <c r="D2460" t="str">
        <f t="shared" si="269"/>
        <v/>
      </c>
      <c r="E2460" t="str">
        <f>IF(F2460="","",IF(COUNTIF($F$2:F2460,F2460)&gt;1,"",SUMIFS(tbl_input[필요수량],tbl_input[집계키_센터],F2460)))</f>
        <v/>
      </c>
      <c r="F2460" t="str">
        <f>IFERROR(INDEX(tbl_input[집계키_센터],ROW()-1),"")</f>
        <v/>
      </c>
      <c r="G2460" t="str">
        <f t="shared" si="270"/>
        <v/>
      </c>
      <c r="H2460" t="str">
        <f t="shared" si="271"/>
        <v/>
      </c>
      <c r="I2460" t="str">
        <f t="shared" si="272"/>
        <v/>
      </c>
    </row>
    <row r="2461" spans="1:9" x14ac:dyDescent="0.4">
      <c r="A2461" t="str">
        <f t="shared" si="266"/>
        <v/>
      </c>
      <c r="B2461" t="str">
        <f t="shared" si="267"/>
        <v/>
      </c>
      <c r="C2461" t="str">
        <f t="shared" si="268"/>
        <v/>
      </c>
      <c r="D2461" t="str">
        <f t="shared" si="269"/>
        <v/>
      </c>
      <c r="E2461" t="str">
        <f>IF(F2461="","",IF(COUNTIF($F$2:F2461,F2461)&gt;1,"",SUMIFS(tbl_input[필요수량],tbl_input[집계키_센터],F2461)))</f>
        <v/>
      </c>
      <c r="F2461" t="str">
        <f>IFERROR(INDEX(tbl_input[집계키_센터],ROW()-1),"")</f>
        <v/>
      </c>
      <c r="G2461" t="str">
        <f t="shared" si="270"/>
        <v/>
      </c>
      <c r="H2461" t="str">
        <f t="shared" si="271"/>
        <v/>
      </c>
      <c r="I2461" t="str">
        <f t="shared" si="272"/>
        <v/>
      </c>
    </row>
    <row r="2462" spans="1:9" x14ac:dyDescent="0.4">
      <c r="A2462" t="str">
        <f t="shared" si="266"/>
        <v/>
      </c>
      <c r="B2462" t="str">
        <f t="shared" si="267"/>
        <v/>
      </c>
      <c r="C2462" t="str">
        <f t="shared" si="268"/>
        <v/>
      </c>
      <c r="D2462" t="str">
        <f t="shared" si="269"/>
        <v/>
      </c>
      <c r="E2462" t="str">
        <f>IF(F2462="","",IF(COUNTIF($F$2:F2462,F2462)&gt;1,"",SUMIFS(tbl_input[필요수량],tbl_input[집계키_센터],F2462)))</f>
        <v/>
      </c>
      <c r="F2462" t="str">
        <f>IFERROR(INDEX(tbl_input[집계키_센터],ROW()-1),"")</f>
        <v/>
      </c>
      <c r="G2462" t="str">
        <f t="shared" si="270"/>
        <v/>
      </c>
      <c r="H2462" t="str">
        <f t="shared" si="271"/>
        <v/>
      </c>
      <c r="I2462" t="str">
        <f t="shared" si="272"/>
        <v/>
      </c>
    </row>
    <row r="2463" spans="1:9" x14ac:dyDescent="0.4">
      <c r="A2463" t="str">
        <f t="shared" si="266"/>
        <v/>
      </c>
      <c r="B2463" t="str">
        <f t="shared" si="267"/>
        <v/>
      </c>
      <c r="C2463" t="str">
        <f t="shared" si="268"/>
        <v/>
      </c>
      <c r="D2463" t="str">
        <f t="shared" si="269"/>
        <v/>
      </c>
      <c r="E2463" t="str">
        <f>IF(F2463="","",IF(COUNTIF($F$2:F2463,F2463)&gt;1,"",SUMIFS(tbl_input[필요수량],tbl_input[집계키_센터],F2463)))</f>
        <v/>
      </c>
      <c r="F2463" t="str">
        <f>IFERROR(INDEX(tbl_input[집계키_센터],ROW()-1),"")</f>
        <v/>
      </c>
      <c r="G2463" t="str">
        <f t="shared" si="270"/>
        <v/>
      </c>
      <c r="H2463" t="str">
        <f t="shared" si="271"/>
        <v/>
      </c>
      <c r="I2463" t="str">
        <f t="shared" si="272"/>
        <v/>
      </c>
    </row>
    <row r="2464" spans="1:9" x14ac:dyDescent="0.4">
      <c r="A2464" t="str">
        <f t="shared" si="266"/>
        <v/>
      </c>
      <c r="B2464" t="str">
        <f t="shared" si="267"/>
        <v/>
      </c>
      <c r="C2464" t="str">
        <f t="shared" si="268"/>
        <v/>
      </c>
      <c r="D2464" t="str">
        <f t="shared" si="269"/>
        <v/>
      </c>
      <c r="E2464" t="str">
        <f>IF(F2464="","",IF(COUNTIF($F$2:F2464,F2464)&gt;1,"",SUMIFS(tbl_input[필요수량],tbl_input[집계키_센터],F2464)))</f>
        <v/>
      </c>
      <c r="F2464" t="str">
        <f>IFERROR(INDEX(tbl_input[집계키_센터],ROW()-1),"")</f>
        <v/>
      </c>
      <c r="G2464" t="str">
        <f t="shared" si="270"/>
        <v/>
      </c>
      <c r="H2464" t="str">
        <f t="shared" si="271"/>
        <v/>
      </c>
      <c r="I2464" t="str">
        <f t="shared" si="272"/>
        <v/>
      </c>
    </row>
    <row r="2465" spans="1:9" x14ac:dyDescent="0.4">
      <c r="A2465" t="str">
        <f t="shared" si="266"/>
        <v/>
      </c>
      <c r="B2465" t="str">
        <f t="shared" si="267"/>
        <v/>
      </c>
      <c r="C2465" t="str">
        <f t="shared" si="268"/>
        <v/>
      </c>
      <c r="D2465" t="str">
        <f t="shared" si="269"/>
        <v/>
      </c>
      <c r="E2465" t="str">
        <f>IF(F2465="","",IF(COUNTIF($F$2:F2465,F2465)&gt;1,"",SUMIFS(tbl_input[필요수량],tbl_input[집계키_센터],F2465)))</f>
        <v/>
      </c>
      <c r="F2465" t="str">
        <f>IFERROR(INDEX(tbl_input[집계키_센터],ROW()-1),"")</f>
        <v/>
      </c>
      <c r="G2465" t="str">
        <f t="shared" si="270"/>
        <v/>
      </c>
      <c r="H2465" t="str">
        <f t="shared" si="271"/>
        <v/>
      </c>
      <c r="I2465" t="str">
        <f t="shared" si="272"/>
        <v/>
      </c>
    </row>
    <row r="2466" spans="1:9" x14ac:dyDescent="0.4">
      <c r="A2466" t="str">
        <f t="shared" si="266"/>
        <v/>
      </c>
      <c r="B2466" t="str">
        <f t="shared" si="267"/>
        <v/>
      </c>
      <c r="C2466" t="str">
        <f t="shared" si="268"/>
        <v/>
      </c>
      <c r="D2466" t="str">
        <f t="shared" si="269"/>
        <v/>
      </c>
      <c r="E2466" t="str">
        <f>IF(F2466="","",IF(COUNTIF($F$2:F2466,F2466)&gt;1,"",SUMIFS(tbl_input[필요수량],tbl_input[집계키_센터],F2466)))</f>
        <v/>
      </c>
      <c r="F2466" t="str">
        <f>IFERROR(INDEX(tbl_input[집계키_센터],ROW()-1),"")</f>
        <v/>
      </c>
      <c r="G2466" t="str">
        <f t="shared" si="270"/>
        <v/>
      </c>
      <c r="H2466" t="str">
        <f t="shared" si="271"/>
        <v/>
      </c>
      <c r="I2466" t="str">
        <f t="shared" si="272"/>
        <v/>
      </c>
    </row>
    <row r="2467" spans="1:9" x14ac:dyDescent="0.4">
      <c r="A2467" t="str">
        <f t="shared" si="266"/>
        <v/>
      </c>
      <c r="B2467" t="str">
        <f t="shared" si="267"/>
        <v/>
      </c>
      <c r="C2467" t="str">
        <f t="shared" si="268"/>
        <v/>
      </c>
      <c r="D2467" t="str">
        <f t="shared" si="269"/>
        <v/>
      </c>
      <c r="E2467" t="str">
        <f>IF(F2467="","",IF(COUNTIF($F$2:F2467,F2467)&gt;1,"",SUMIFS(tbl_input[필요수량],tbl_input[집계키_센터],F2467)))</f>
        <v/>
      </c>
      <c r="F2467" t="str">
        <f>IFERROR(INDEX(tbl_input[집계키_센터],ROW()-1),"")</f>
        <v/>
      </c>
      <c r="G2467" t="str">
        <f t="shared" si="270"/>
        <v/>
      </c>
      <c r="H2467" t="str">
        <f t="shared" si="271"/>
        <v/>
      </c>
      <c r="I2467" t="str">
        <f t="shared" si="272"/>
        <v/>
      </c>
    </row>
    <row r="2468" spans="1:9" x14ac:dyDescent="0.4">
      <c r="A2468" t="str">
        <f t="shared" si="266"/>
        <v/>
      </c>
      <c r="B2468" t="str">
        <f t="shared" si="267"/>
        <v/>
      </c>
      <c r="C2468" t="str">
        <f t="shared" si="268"/>
        <v/>
      </c>
      <c r="D2468" t="str">
        <f t="shared" si="269"/>
        <v/>
      </c>
      <c r="E2468" t="str">
        <f>IF(F2468="","",IF(COUNTIF($F$2:F2468,F2468)&gt;1,"",SUMIFS(tbl_input[필요수량],tbl_input[집계키_센터],F2468)))</f>
        <v/>
      </c>
      <c r="F2468" t="str">
        <f>IFERROR(INDEX(tbl_input[집계키_센터],ROW()-1),"")</f>
        <v/>
      </c>
      <c r="G2468" t="str">
        <f t="shared" si="270"/>
        <v/>
      </c>
      <c r="H2468" t="str">
        <f t="shared" si="271"/>
        <v/>
      </c>
      <c r="I2468" t="str">
        <f t="shared" si="272"/>
        <v/>
      </c>
    </row>
    <row r="2469" spans="1:9" x14ac:dyDescent="0.4">
      <c r="A2469" t="str">
        <f t="shared" si="266"/>
        <v/>
      </c>
      <c r="B2469" t="str">
        <f t="shared" si="267"/>
        <v/>
      </c>
      <c r="C2469" t="str">
        <f t="shared" si="268"/>
        <v/>
      </c>
      <c r="D2469" t="str">
        <f t="shared" si="269"/>
        <v/>
      </c>
      <c r="E2469" t="str">
        <f>IF(F2469="","",IF(COUNTIF($F$2:F2469,F2469)&gt;1,"",SUMIFS(tbl_input[필요수량],tbl_input[집계키_센터],F2469)))</f>
        <v/>
      </c>
      <c r="F2469" t="str">
        <f>IFERROR(INDEX(tbl_input[집계키_센터],ROW()-1),"")</f>
        <v/>
      </c>
      <c r="G2469" t="str">
        <f t="shared" si="270"/>
        <v/>
      </c>
      <c r="H2469" t="str">
        <f t="shared" si="271"/>
        <v/>
      </c>
      <c r="I2469" t="str">
        <f t="shared" si="272"/>
        <v/>
      </c>
    </row>
    <row r="2470" spans="1:9" x14ac:dyDescent="0.4">
      <c r="A2470" t="str">
        <f t="shared" si="266"/>
        <v/>
      </c>
      <c r="B2470" t="str">
        <f t="shared" si="267"/>
        <v/>
      </c>
      <c r="C2470" t="str">
        <f t="shared" si="268"/>
        <v/>
      </c>
      <c r="D2470" t="str">
        <f t="shared" si="269"/>
        <v/>
      </c>
      <c r="E2470" t="str">
        <f>IF(F2470="","",IF(COUNTIF($F$2:F2470,F2470)&gt;1,"",SUMIFS(tbl_input[필요수량],tbl_input[집계키_센터],F2470)))</f>
        <v/>
      </c>
      <c r="F2470" t="str">
        <f>IFERROR(INDEX(tbl_input[집계키_센터],ROW()-1),"")</f>
        <v/>
      </c>
      <c r="G2470" t="str">
        <f t="shared" si="270"/>
        <v/>
      </c>
      <c r="H2470" t="str">
        <f t="shared" si="271"/>
        <v/>
      </c>
      <c r="I2470" t="str">
        <f t="shared" si="272"/>
        <v/>
      </c>
    </row>
    <row r="2471" spans="1:9" x14ac:dyDescent="0.4">
      <c r="A2471" t="str">
        <f t="shared" si="266"/>
        <v/>
      </c>
      <c r="B2471" t="str">
        <f t="shared" si="267"/>
        <v/>
      </c>
      <c r="C2471" t="str">
        <f t="shared" si="268"/>
        <v/>
      </c>
      <c r="D2471" t="str">
        <f t="shared" si="269"/>
        <v/>
      </c>
      <c r="E2471" t="str">
        <f>IF(F2471="","",IF(COUNTIF($F$2:F2471,F2471)&gt;1,"",SUMIFS(tbl_input[필요수량],tbl_input[집계키_센터],F2471)))</f>
        <v/>
      </c>
      <c r="F2471" t="str">
        <f>IFERROR(INDEX(tbl_input[집계키_센터],ROW()-1),"")</f>
        <v/>
      </c>
      <c r="G2471" t="str">
        <f t="shared" si="270"/>
        <v/>
      </c>
      <c r="H2471" t="str">
        <f t="shared" si="271"/>
        <v/>
      </c>
      <c r="I2471" t="str">
        <f t="shared" si="272"/>
        <v/>
      </c>
    </row>
    <row r="2472" spans="1:9" x14ac:dyDescent="0.4">
      <c r="A2472" t="str">
        <f t="shared" si="266"/>
        <v/>
      </c>
      <c r="B2472" t="str">
        <f t="shared" si="267"/>
        <v/>
      </c>
      <c r="C2472" t="str">
        <f t="shared" si="268"/>
        <v/>
      </c>
      <c r="D2472" t="str">
        <f t="shared" si="269"/>
        <v/>
      </c>
      <c r="E2472" t="str">
        <f>IF(F2472="","",IF(COUNTIF($F$2:F2472,F2472)&gt;1,"",SUMIFS(tbl_input[필요수량],tbl_input[집계키_센터],F2472)))</f>
        <v/>
      </c>
      <c r="F2472" t="str">
        <f>IFERROR(INDEX(tbl_input[집계키_센터],ROW()-1),"")</f>
        <v/>
      </c>
      <c r="G2472" t="str">
        <f t="shared" si="270"/>
        <v/>
      </c>
      <c r="H2472" t="str">
        <f t="shared" si="271"/>
        <v/>
      </c>
      <c r="I2472" t="str">
        <f t="shared" si="272"/>
        <v/>
      </c>
    </row>
    <row r="2473" spans="1:9" x14ac:dyDescent="0.4">
      <c r="A2473" t="str">
        <f t="shared" si="266"/>
        <v/>
      </c>
      <c r="B2473" t="str">
        <f t="shared" si="267"/>
        <v/>
      </c>
      <c r="C2473" t="str">
        <f t="shared" si="268"/>
        <v/>
      </c>
      <c r="D2473" t="str">
        <f t="shared" si="269"/>
        <v/>
      </c>
      <c r="E2473" t="str">
        <f>IF(F2473="","",IF(COUNTIF($F$2:F2473,F2473)&gt;1,"",SUMIFS(tbl_input[필요수량],tbl_input[집계키_센터],F2473)))</f>
        <v/>
      </c>
      <c r="F2473" t="str">
        <f>IFERROR(INDEX(tbl_input[집계키_센터],ROW()-1),"")</f>
        <v/>
      </c>
      <c r="G2473" t="str">
        <f t="shared" si="270"/>
        <v/>
      </c>
      <c r="H2473" t="str">
        <f t="shared" si="271"/>
        <v/>
      </c>
      <c r="I2473" t="str">
        <f t="shared" si="272"/>
        <v/>
      </c>
    </row>
    <row r="2474" spans="1:9" x14ac:dyDescent="0.4">
      <c r="A2474" t="str">
        <f t="shared" si="266"/>
        <v/>
      </c>
      <c r="B2474" t="str">
        <f t="shared" si="267"/>
        <v/>
      </c>
      <c r="C2474" t="str">
        <f t="shared" si="268"/>
        <v/>
      </c>
      <c r="D2474" t="str">
        <f t="shared" si="269"/>
        <v/>
      </c>
      <c r="E2474" t="str">
        <f>IF(F2474="","",IF(COUNTIF($F$2:F2474,F2474)&gt;1,"",SUMIFS(tbl_input[필요수량],tbl_input[집계키_센터],F2474)))</f>
        <v/>
      </c>
      <c r="F2474" t="str">
        <f>IFERROR(INDEX(tbl_input[집계키_센터],ROW()-1),"")</f>
        <v/>
      </c>
      <c r="G2474" t="str">
        <f t="shared" si="270"/>
        <v/>
      </c>
      <c r="H2474" t="str">
        <f t="shared" si="271"/>
        <v/>
      </c>
      <c r="I2474" t="str">
        <f t="shared" si="272"/>
        <v/>
      </c>
    </row>
    <row r="2475" spans="1:9" x14ac:dyDescent="0.4">
      <c r="A2475" t="str">
        <f t="shared" si="266"/>
        <v/>
      </c>
      <c r="B2475" t="str">
        <f t="shared" si="267"/>
        <v/>
      </c>
      <c r="C2475" t="str">
        <f t="shared" si="268"/>
        <v/>
      </c>
      <c r="D2475" t="str">
        <f t="shared" si="269"/>
        <v/>
      </c>
      <c r="E2475" t="str">
        <f>IF(F2475="","",IF(COUNTIF($F$2:F2475,F2475)&gt;1,"",SUMIFS(tbl_input[필요수량],tbl_input[집계키_센터],F2475)))</f>
        <v/>
      </c>
      <c r="F2475" t="str">
        <f>IFERROR(INDEX(tbl_input[집계키_센터],ROW()-1),"")</f>
        <v/>
      </c>
      <c r="G2475" t="str">
        <f t="shared" si="270"/>
        <v/>
      </c>
      <c r="H2475" t="str">
        <f t="shared" si="271"/>
        <v/>
      </c>
      <c r="I2475" t="str">
        <f t="shared" si="272"/>
        <v/>
      </c>
    </row>
    <row r="2476" spans="1:9" x14ac:dyDescent="0.4">
      <c r="A2476" t="str">
        <f t="shared" si="266"/>
        <v/>
      </c>
      <c r="B2476" t="str">
        <f t="shared" si="267"/>
        <v/>
      </c>
      <c r="C2476" t="str">
        <f t="shared" si="268"/>
        <v/>
      </c>
      <c r="D2476" t="str">
        <f t="shared" si="269"/>
        <v/>
      </c>
      <c r="E2476" t="str">
        <f>IF(F2476="","",IF(COUNTIF($F$2:F2476,F2476)&gt;1,"",SUMIFS(tbl_input[필요수량],tbl_input[집계키_센터],F2476)))</f>
        <v/>
      </c>
      <c r="F2476" t="str">
        <f>IFERROR(INDEX(tbl_input[집계키_센터],ROW()-1),"")</f>
        <v/>
      </c>
      <c r="G2476" t="str">
        <f t="shared" si="270"/>
        <v/>
      </c>
      <c r="H2476" t="str">
        <f t="shared" si="271"/>
        <v/>
      </c>
      <c r="I2476" t="str">
        <f t="shared" si="272"/>
        <v/>
      </c>
    </row>
    <row r="2477" spans="1:9" x14ac:dyDescent="0.4">
      <c r="A2477" t="str">
        <f t="shared" si="266"/>
        <v/>
      </c>
      <c r="B2477" t="str">
        <f t="shared" si="267"/>
        <v/>
      </c>
      <c r="C2477" t="str">
        <f t="shared" si="268"/>
        <v/>
      </c>
      <c r="D2477" t="str">
        <f t="shared" si="269"/>
        <v/>
      </c>
      <c r="E2477" t="str">
        <f>IF(F2477="","",IF(COUNTIF($F$2:F2477,F2477)&gt;1,"",SUMIFS(tbl_input[필요수량],tbl_input[집계키_센터],F2477)))</f>
        <v/>
      </c>
      <c r="F2477" t="str">
        <f>IFERROR(INDEX(tbl_input[집계키_센터],ROW()-1),"")</f>
        <v/>
      </c>
      <c r="G2477" t="str">
        <f t="shared" si="270"/>
        <v/>
      </c>
      <c r="H2477" t="str">
        <f t="shared" si="271"/>
        <v/>
      </c>
      <c r="I2477" t="str">
        <f t="shared" si="272"/>
        <v/>
      </c>
    </row>
    <row r="2478" spans="1:9" x14ac:dyDescent="0.4">
      <c r="A2478" t="str">
        <f t="shared" si="266"/>
        <v/>
      </c>
      <c r="B2478" t="str">
        <f t="shared" si="267"/>
        <v/>
      </c>
      <c r="C2478" t="str">
        <f t="shared" si="268"/>
        <v/>
      </c>
      <c r="D2478" t="str">
        <f t="shared" si="269"/>
        <v/>
      </c>
      <c r="E2478" t="str">
        <f>IF(F2478="","",IF(COUNTIF($F$2:F2478,F2478)&gt;1,"",SUMIFS(tbl_input[필요수량],tbl_input[집계키_센터],F2478)))</f>
        <v/>
      </c>
      <c r="F2478" t="str">
        <f>IFERROR(INDEX(tbl_input[집계키_센터],ROW()-1),"")</f>
        <v/>
      </c>
      <c r="G2478" t="str">
        <f t="shared" si="270"/>
        <v/>
      </c>
      <c r="H2478" t="str">
        <f t="shared" si="271"/>
        <v/>
      </c>
      <c r="I2478" t="str">
        <f t="shared" si="272"/>
        <v/>
      </c>
    </row>
    <row r="2479" spans="1:9" x14ac:dyDescent="0.4">
      <c r="A2479" t="str">
        <f t="shared" si="266"/>
        <v/>
      </c>
      <c r="B2479" t="str">
        <f t="shared" si="267"/>
        <v/>
      </c>
      <c r="C2479" t="str">
        <f t="shared" si="268"/>
        <v/>
      </c>
      <c r="D2479" t="str">
        <f t="shared" si="269"/>
        <v/>
      </c>
      <c r="E2479" t="str">
        <f>IF(F2479="","",IF(COUNTIF($F$2:F2479,F2479)&gt;1,"",SUMIFS(tbl_input[필요수량],tbl_input[집계키_센터],F2479)))</f>
        <v/>
      </c>
      <c r="F2479" t="str">
        <f>IFERROR(INDEX(tbl_input[집계키_센터],ROW()-1),"")</f>
        <v/>
      </c>
      <c r="G2479" t="str">
        <f t="shared" si="270"/>
        <v/>
      </c>
      <c r="H2479" t="str">
        <f t="shared" si="271"/>
        <v/>
      </c>
      <c r="I2479" t="str">
        <f t="shared" si="272"/>
        <v/>
      </c>
    </row>
    <row r="2480" spans="1:9" x14ac:dyDescent="0.4">
      <c r="A2480" t="str">
        <f t="shared" si="266"/>
        <v/>
      </c>
      <c r="B2480" t="str">
        <f t="shared" si="267"/>
        <v/>
      </c>
      <c r="C2480" t="str">
        <f t="shared" si="268"/>
        <v/>
      </c>
      <c r="D2480" t="str">
        <f t="shared" si="269"/>
        <v/>
      </c>
      <c r="E2480" t="str">
        <f>IF(F2480="","",IF(COUNTIF($F$2:F2480,F2480)&gt;1,"",SUMIFS(tbl_input[필요수량],tbl_input[집계키_센터],F2480)))</f>
        <v/>
      </c>
      <c r="F2480" t="str">
        <f>IFERROR(INDEX(tbl_input[집계키_센터],ROW()-1),"")</f>
        <v/>
      </c>
      <c r="G2480" t="str">
        <f t="shared" si="270"/>
        <v/>
      </c>
      <c r="H2480" t="str">
        <f t="shared" si="271"/>
        <v/>
      </c>
      <c r="I2480" t="str">
        <f t="shared" si="272"/>
        <v/>
      </c>
    </row>
    <row r="2481" spans="1:9" x14ac:dyDescent="0.4">
      <c r="A2481" t="str">
        <f t="shared" si="266"/>
        <v/>
      </c>
      <c r="B2481" t="str">
        <f t="shared" si="267"/>
        <v/>
      </c>
      <c r="C2481" t="str">
        <f t="shared" si="268"/>
        <v/>
      </c>
      <c r="D2481" t="str">
        <f t="shared" si="269"/>
        <v/>
      </c>
      <c r="E2481" t="str">
        <f>IF(F2481="","",IF(COUNTIF($F$2:F2481,F2481)&gt;1,"",SUMIFS(tbl_input[필요수량],tbl_input[집계키_센터],F2481)))</f>
        <v/>
      </c>
      <c r="F2481" t="str">
        <f>IFERROR(INDEX(tbl_input[집계키_센터],ROW()-1),"")</f>
        <v/>
      </c>
      <c r="G2481" t="str">
        <f t="shared" si="270"/>
        <v/>
      </c>
      <c r="H2481" t="str">
        <f t="shared" si="271"/>
        <v/>
      </c>
      <c r="I2481" t="str">
        <f t="shared" si="272"/>
        <v/>
      </c>
    </row>
    <row r="2482" spans="1:9" x14ac:dyDescent="0.4">
      <c r="A2482" t="str">
        <f t="shared" si="266"/>
        <v/>
      </c>
      <c r="B2482" t="str">
        <f t="shared" si="267"/>
        <v/>
      </c>
      <c r="C2482" t="str">
        <f t="shared" si="268"/>
        <v/>
      </c>
      <c r="D2482" t="str">
        <f t="shared" si="269"/>
        <v/>
      </c>
      <c r="E2482" t="str">
        <f>IF(F2482="","",IF(COUNTIF($F$2:F2482,F2482)&gt;1,"",SUMIFS(tbl_input[필요수량],tbl_input[집계키_센터],F2482)))</f>
        <v/>
      </c>
      <c r="F2482" t="str">
        <f>IFERROR(INDEX(tbl_input[집계키_센터],ROW()-1),"")</f>
        <v/>
      </c>
      <c r="G2482" t="str">
        <f t="shared" si="270"/>
        <v/>
      </c>
      <c r="H2482" t="str">
        <f t="shared" si="271"/>
        <v/>
      </c>
      <c r="I2482" t="str">
        <f t="shared" si="272"/>
        <v/>
      </c>
    </row>
    <row r="2483" spans="1:9" x14ac:dyDescent="0.4">
      <c r="A2483" t="str">
        <f t="shared" si="266"/>
        <v/>
      </c>
      <c r="B2483" t="str">
        <f t="shared" si="267"/>
        <v/>
      </c>
      <c r="C2483" t="str">
        <f t="shared" si="268"/>
        <v/>
      </c>
      <c r="D2483" t="str">
        <f t="shared" si="269"/>
        <v/>
      </c>
      <c r="E2483" t="str">
        <f>IF(F2483="","",IF(COUNTIF($F$2:F2483,F2483)&gt;1,"",SUMIFS(tbl_input[필요수량],tbl_input[집계키_센터],F2483)))</f>
        <v/>
      </c>
      <c r="F2483" t="str">
        <f>IFERROR(INDEX(tbl_input[집계키_센터],ROW()-1),"")</f>
        <v/>
      </c>
      <c r="G2483" t="str">
        <f t="shared" si="270"/>
        <v/>
      </c>
      <c r="H2483" t="str">
        <f t="shared" si="271"/>
        <v/>
      </c>
      <c r="I2483" t="str">
        <f t="shared" si="272"/>
        <v/>
      </c>
    </row>
    <row r="2484" spans="1:9" x14ac:dyDescent="0.4">
      <c r="A2484" t="str">
        <f t="shared" si="266"/>
        <v/>
      </c>
      <c r="B2484" t="str">
        <f t="shared" si="267"/>
        <v/>
      </c>
      <c r="C2484" t="str">
        <f t="shared" si="268"/>
        <v/>
      </c>
      <c r="D2484" t="str">
        <f t="shared" si="269"/>
        <v/>
      </c>
      <c r="E2484" t="str">
        <f>IF(F2484="","",IF(COUNTIF($F$2:F2484,F2484)&gt;1,"",SUMIFS(tbl_input[필요수량],tbl_input[집계키_센터],F2484)))</f>
        <v/>
      </c>
      <c r="F2484" t="str">
        <f>IFERROR(INDEX(tbl_input[집계키_센터],ROW()-1),"")</f>
        <v/>
      </c>
      <c r="G2484" t="str">
        <f t="shared" si="270"/>
        <v/>
      </c>
      <c r="H2484" t="str">
        <f t="shared" si="271"/>
        <v/>
      </c>
      <c r="I2484" t="str">
        <f t="shared" si="272"/>
        <v/>
      </c>
    </row>
    <row r="2485" spans="1:9" x14ac:dyDescent="0.4">
      <c r="A2485" t="str">
        <f t="shared" si="266"/>
        <v/>
      </c>
      <c r="B2485" t="str">
        <f t="shared" si="267"/>
        <v/>
      </c>
      <c r="C2485" t="str">
        <f t="shared" si="268"/>
        <v/>
      </c>
      <c r="D2485" t="str">
        <f t="shared" si="269"/>
        <v/>
      </c>
      <c r="E2485" t="str">
        <f>IF(F2485="","",IF(COUNTIF($F$2:F2485,F2485)&gt;1,"",SUMIFS(tbl_input[필요수량],tbl_input[집계키_센터],F2485)))</f>
        <v/>
      </c>
      <c r="F2485" t="str">
        <f>IFERROR(INDEX(tbl_input[집계키_센터],ROW()-1),"")</f>
        <v/>
      </c>
      <c r="G2485" t="str">
        <f t="shared" si="270"/>
        <v/>
      </c>
      <c r="H2485" t="str">
        <f t="shared" si="271"/>
        <v/>
      </c>
      <c r="I2485" t="str">
        <f t="shared" si="272"/>
        <v/>
      </c>
    </row>
    <row r="2486" spans="1:9" x14ac:dyDescent="0.4">
      <c r="A2486" t="str">
        <f t="shared" si="266"/>
        <v/>
      </c>
      <c r="B2486" t="str">
        <f t="shared" si="267"/>
        <v/>
      </c>
      <c r="C2486" t="str">
        <f t="shared" si="268"/>
        <v/>
      </c>
      <c r="D2486" t="str">
        <f t="shared" si="269"/>
        <v/>
      </c>
      <c r="E2486" t="str">
        <f>IF(F2486="","",IF(COUNTIF($F$2:F2486,F2486)&gt;1,"",SUMIFS(tbl_input[필요수량],tbl_input[집계키_센터],F2486)))</f>
        <v/>
      </c>
      <c r="F2486" t="str">
        <f>IFERROR(INDEX(tbl_input[집계키_센터],ROW()-1),"")</f>
        <v/>
      </c>
      <c r="G2486" t="str">
        <f t="shared" si="270"/>
        <v/>
      </c>
      <c r="H2486" t="str">
        <f t="shared" si="271"/>
        <v/>
      </c>
      <c r="I2486" t="str">
        <f t="shared" si="272"/>
        <v/>
      </c>
    </row>
    <row r="2487" spans="1:9" x14ac:dyDescent="0.4">
      <c r="A2487" t="str">
        <f t="shared" si="266"/>
        <v/>
      </c>
      <c r="B2487" t="str">
        <f t="shared" si="267"/>
        <v/>
      </c>
      <c r="C2487" t="str">
        <f t="shared" si="268"/>
        <v/>
      </c>
      <c r="D2487" t="str">
        <f t="shared" si="269"/>
        <v/>
      </c>
      <c r="E2487" t="str">
        <f>IF(F2487="","",IF(COUNTIF($F$2:F2487,F2487)&gt;1,"",SUMIFS(tbl_input[필요수량],tbl_input[집계키_센터],F2487)))</f>
        <v/>
      </c>
      <c r="F2487" t="str">
        <f>IFERROR(INDEX(tbl_input[집계키_센터],ROW()-1),"")</f>
        <v/>
      </c>
      <c r="G2487" t="str">
        <f t="shared" si="270"/>
        <v/>
      </c>
      <c r="H2487" t="str">
        <f t="shared" si="271"/>
        <v/>
      </c>
      <c r="I2487" t="str">
        <f t="shared" si="272"/>
        <v/>
      </c>
    </row>
    <row r="2488" spans="1:9" x14ac:dyDescent="0.4">
      <c r="A2488" t="str">
        <f t="shared" si="266"/>
        <v/>
      </c>
      <c r="B2488" t="str">
        <f t="shared" si="267"/>
        <v/>
      </c>
      <c r="C2488" t="str">
        <f t="shared" si="268"/>
        <v/>
      </c>
      <c r="D2488" t="str">
        <f t="shared" si="269"/>
        <v/>
      </c>
      <c r="E2488" t="str">
        <f>IF(F2488="","",IF(COUNTIF($F$2:F2488,F2488)&gt;1,"",SUMIFS(tbl_input[필요수량],tbl_input[집계키_센터],F2488)))</f>
        <v/>
      </c>
      <c r="F2488" t="str">
        <f>IFERROR(INDEX(tbl_input[집계키_센터],ROW()-1),"")</f>
        <v/>
      </c>
      <c r="G2488" t="str">
        <f t="shared" si="270"/>
        <v/>
      </c>
      <c r="H2488" t="str">
        <f t="shared" si="271"/>
        <v/>
      </c>
      <c r="I2488" t="str">
        <f t="shared" si="272"/>
        <v/>
      </c>
    </row>
    <row r="2489" spans="1:9" x14ac:dyDescent="0.4">
      <c r="A2489" t="str">
        <f t="shared" si="266"/>
        <v/>
      </c>
      <c r="B2489" t="str">
        <f t="shared" si="267"/>
        <v/>
      </c>
      <c r="C2489" t="str">
        <f t="shared" si="268"/>
        <v/>
      </c>
      <c r="D2489" t="str">
        <f t="shared" si="269"/>
        <v/>
      </c>
      <c r="E2489" t="str">
        <f>IF(F2489="","",IF(COUNTIF($F$2:F2489,F2489)&gt;1,"",SUMIFS(tbl_input[필요수량],tbl_input[집계키_센터],F2489)))</f>
        <v/>
      </c>
      <c r="F2489" t="str">
        <f>IFERROR(INDEX(tbl_input[집계키_센터],ROW()-1),"")</f>
        <v/>
      </c>
      <c r="G2489" t="str">
        <f t="shared" si="270"/>
        <v/>
      </c>
      <c r="H2489" t="str">
        <f t="shared" si="271"/>
        <v/>
      </c>
      <c r="I2489" t="str">
        <f t="shared" si="272"/>
        <v/>
      </c>
    </row>
    <row r="2490" spans="1:9" x14ac:dyDescent="0.4">
      <c r="A2490" t="str">
        <f t="shared" si="266"/>
        <v/>
      </c>
      <c r="B2490" t="str">
        <f t="shared" si="267"/>
        <v/>
      </c>
      <c r="C2490" t="str">
        <f t="shared" si="268"/>
        <v/>
      </c>
      <c r="D2490" t="str">
        <f t="shared" si="269"/>
        <v/>
      </c>
      <c r="E2490" t="str">
        <f>IF(F2490="","",IF(COUNTIF($F$2:F2490,F2490)&gt;1,"",SUMIFS(tbl_input[필요수량],tbl_input[집계키_센터],F2490)))</f>
        <v/>
      </c>
      <c r="F2490" t="str">
        <f>IFERROR(INDEX(tbl_input[집계키_센터],ROW()-1),"")</f>
        <v/>
      </c>
      <c r="G2490" t="str">
        <f t="shared" si="270"/>
        <v/>
      </c>
      <c r="H2490" t="str">
        <f t="shared" si="271"/>
        <v/>
      </c>
      <c r="I2490" t="str">
        <f t="shared" si="272"/>
        <v/>
      </c>
    </row>
    <row r="2491" spans="1:9" x14ac:dyDescent="0.4">
      <c r="A2491" t="str">
        <f t="shared" si="266"/>
        <v/>
      </c>
      <c r="B2491" t="str">
        <f t="shared" si="267"/>
        <v/>
      </c>
      <c r="C2491" t="str">
        <f t="shared" si="268"/>
        <v/>
      </c>
      <c r="D2491" t="str">
        <f t="shared" si="269"/>
        <v/>
      </c>
      <c r="E2491" t="str">
        <f>IF(F2491="","",IF(COUNTIF($F$2:F2491,F2491)&gt;1,"",SUMIFS(tbl_input[필요수량],tbl_input[집계키_센터],F2491)))</f>
        <v/>
      </c>
      <c r="F2491" t="str">
        <f>IFERROR(INDEX(tbl_input[집계키_센터],ROW()-1),"")</f>
        <v/>
      </c>
      <c r="G2491" t="str">
        <f t="shared" si="270"/>
        <v/>
      </c>
      <c r="H2491" t="str">
        <f t="shared" si="271"/>
        <v/>
      </c>
      <c r="I2491" t="str">
        <f t="shared" si="272"/>
        <v/>
      </c>
    </row>
    <row r="2492" spans="1:9" x14ac:dyDescent="0.4">
      <c r="A2492" t="str">
        <f t="shared" si="266"/>
        <v/>
      </c>
      <c r="B2492" t="str">
        <f t="shared" si="267"/>
        <v/>
      </c>
      <c r="C2492" t="str">
        <f t="shared" si="268"/>
        <v/>
      </c>
      <c r="D2492" t="str">
        <f t="shared" si="269"/>
        <v/>
      </c>
      <c r="E2492" t="str">
        <f>IF(F2492="","",IF(COUNTIF($F$2:F2492,F2492)&gt;1,"",SUMIFS(tbl_input[필요수량],tbl_input[집계키_센터],F2492)))</f>
        <v/>
      </c>
      <c r="F2492" t="str">
        <f>IFERROR(INDEX(tbl_input[집계키_센터],ROW()-1),"")</f>
        <v/>
      </c>
      <c r="G2492" t="str">
        <f t="shared" si="270"/>
        <v/>
      </c>
      <c r="H2492" t="str">
        <f t="shared" si="271"/>
        <v/>
      </c>
      <c r="I2492" t="str">
        <f t="shared" si="272"/>
        <v/>
      </c>
    </row>
    <row r="2493" spans="1:9" x14ac:dyDescent="0.4">
      <c r="A2493" t="str">
        <f t="shared" si="266"/>
        <v/>
      </c>
      <c r="B2493" t="str">
        <f t="shared" si="267"/>
        <v/>
      </c>
      <c r="C2493" t="str">
        <f t="shared" si="268"/>
        <v/>
      </c>
      <c r="D2493" t="str">
        <f t="shared" si="269"/>
        <v/>
      </c>
      <c r="E2493" t="str">
        <f>IF(F2493="","",IF(COUNTIF($F$2:F2493,F2493)&gt;1,"",SUMIFS(tbl_input[필요수량],tbl_input[집계키_센터],F2493)))</f>
        <v/>
      </c>
      <c r="F2493" t="str">
        <f>IFERROR(INDEX(tbl_input[집계키_센터],ROW()-1),"")</f>
        <v/>
      </c>
      <c r="G2493" t="str">
        <f t="shared" si="270"/>
        <v/>
      </c>
      <c r="H2493" t="str">
        <f t="shared" si="271"/>
        <v/>
      </c>
      <c r="I2493" t="str">
        <f t="shared" si="272"/>
        <v/>
      </c>
    </row>
    <row r="2494" spans="1:9" x14ac:dyDescent="0.4">
      <c r="A2494" t="str">
        <f t="shared" si="266"/>
        <v/>
      </c>
      <c r="B2494" t="str">
        <f t="shared" si="267"/>
        <v/>
      </c>
      <c r="C2494" t="str">
        <f t="shared" si="268"/>
        <v/>
      </c>
      <c r="D2494" t="str">
        <f t="shared" si="269"/>
        <v/>
      </c>
      <c r="E2494" t="str">
        <f>IF(F2494="","",IF(COUNTIF($F$2:F2494,F2494)&gt;1,"",SUMIFS(tbl_input[필요수량],tbl_input[집계키_센터],F2494)))</f>
        <v/>
      </c>
      <c r="F2494" t="str">
        <f>IFERROR(INDEX(tbl_input[집계키_센터],ROW()-1),"")</f>
        <v/>
      </c>
      <c r="G2494" t="str">
        <f t="shared" si="270"/>
        <v/>
      </c>
      <c r="H2494" t="str">
        <f t="shared" si="271"/>
        <v/>
      </c>
      <c r="I2494" t="str">
        <f t="shared" si="272"/>
        <v/>
      </c>
    </row>
    <row r="2495" spans="1:9" x14ac:dyDescent="0.4">
      <c r="A2495" t="str">
        <f t="shared" si="266"/>
        <v/>
      </c>
      <c r="B2495" t="str">
        <f t="shared" si="267"/>
        <v/>
      </c>
      <c r="C2495" t="str">
        <f t="shared" si="268"/>
        <v/>
      </c>
      <c r="D2495" t="str">
        <f t="shared" si="269"/>
        <v/>
      </c>
      <c r="E2495" t="str">
        <f>IF(F2495="","",IF(COUNTIF($F$2:F2495,F2495)&gt;1,"",SUMIFS(tbl_input[필요수량],tbl_input[집계키_센터],F2495)))</f>
        <v/>
      </c>
      <c r="F2495" t="str">
        <f>IFERROR(INDEX(tbl_input[집계키_센터],ROW()-1),"")</f>
        <v/>
      </c>
      <c r="G2495" t="str">
        <f t="shared" si="270"/>
        <v/>
      </c>
      <c r="H2495" t="str">
        <f t="shared" si="271"/>
        <v/>
      </c>
      <c r="I2495" t="str">
        <f t="shared" si="272"/>
        <v/>
      </c>
    </row>
    <row r="2496" spans="1:9" x14ac:dyDescent="0.4">
      <c r="A2496" t="str">
        <f t="shared" si="266"/>
        <v/>
      </c>
      <c r="B2496" t="str">
        <f t="shared" si="267"/>
        <v/>
      </c>
      <c r="C2496" t="str">
        <f t="shared" si="268"/>
        <v/>
      </c>
      <c r="D2496" t="str">
        <f t="shared" si="269"/>
        <v/>
      </c>
      <c r="E2496" t="str">
        <f>IF(F2496="","",IF(COUNTIF($F$2:F2496,F2496)&gt;1,"",SUMIFS(tbl_input[필요수량],tbl_input[집계키_센터],F2496)))</f>
        <v/>
      </c>
      <c r="F2496" t="str">
        <f>IFERROR(INDEX(tbl_input[집계키_센터],ROW()-1),"")</f>
        <v/>
      </c>
      <c r="G2496" t="str">
        <f t="shared" si="270"/>
        <v/>
      </c>
      <c r="H2496" t="str">
        <f t="shared" si="271"/>
        <v/>
      </c>
      <c r="I2496" t="str">
        <f t="shared" si="272"/>
        <v/>
      </c>
    </row>
    <row r="2497" spans="1:9" x14ac:dyDescent="0.4">
      <c r="A2497" t="str">
        <f t="shared" si="266"/>
        <v/>
      </c>
      <c r="B2497" t="str">
        <f t="shared" si="267"/>
        <v/>
      </c>
      <c r="C2497" t="str">
        <f t="shared" si="268"/>
        <v/>
      </c>
      <c r="D2497" t="str">
        <f t="shared" si="269"/>
        <v/>
      </c>
      <c r="E2497" t="str">
        <f>IF(F2497="","",IF(COUNTIF($F$2:F2497,F2497)&gt;1,"",SUMIFS(tbl_input[필요수량],tbl_input[집계키_센터],F2497)))</f>
        <v/>
      </c>
      <c r="F2497" t="str">
        <f>IFERROR(INDEX(tbl_input[집계키_센터],ROW()-1),"")</f>
        <v/>
      </c>
      <c r="G2497" t="str">
        <f t="shared" si="270"/>
        <v/>
      </c>
      <c r="H2497" t="str">
        <f t="shared" si="271"/>
        <v/>
      </c>
      <c r="I2497" t="str">
        <f t="shared" si="272"/>
        <v/>
      </c>
    </row>
    <row r="2498" spans="1:9" x14ac:dyDescent="0.4">
      <c r="A2498" t="str">
        <f t="shared" ref="A2498:A2561" si="273">IF(F2498="","",LEFT(F2498,G2498-1))</f>
        <v/>
      </c>
      <c r="B2498" t="str">
        <f t="shared" ref="B2498:B2561" si="274">IF(F2498="","",MID(F2498,G2498+1,H2498-G2498-1))</f>
        <v/>
      </c>
      <c r="C2498" t="str">
        <f t="shared" ref="C2498:C2561" si="275">IF(F2498="","",MID(F2498,H2498+1,I2498-H2498-1))</f>
        <v/>
      </c>
      <c r="D2498" t="str">
        <f t="shared" ref="D2498:D2561" si="276">IF(F2498="","",MID(F2498,I2498+1,999))</f>
        <v/>
      </c>
      <c r="E2498" t="str">
        <f>IF(F2498="","",IF(COUNTIF($F$2:F2498,F2498)&gt;1,"",SUMIFS(tbl_input[필요수량],tbl_input[집계키_센터],F2498)))</f>
        <v/>
      </c>
      <c r="F2498" t="str">
        <f>IFERROR(INDEX(tbl_input[집계키_센터],ROW()-1),"")</f>
        <v/>
      </c>
      <c r="G2498" t="str">
        <f t="shared" ref="G2498:G2561" si="277">IF(F2498="","",FIND("♦",F2498))</f>
        <v/>
      </c>
      <c r="H2498" t="str">
        <f t="shared" ref="H2498:H2561" si="278">IF(F2498="","",FIND("♦",F2498,G2498+1))</f>
        <v/>
      </c>
      <c r="I2498" t="str">
        <f t="shared" ref="I2498:I2561" si="279">IF(F2498="","",FIND("♦",F2498,H2498+1))</f>
        <v/>
      </c>
    </row>
    <row r="2499" spans="1:9" x14ac:dyDescent="0.4">
      <c r="A2499" t="str">
        <f t="shared" si="273"/>
        <v/>
      </c>
      <c r="B2499" t="str">
        <f t="shared" si="274"/>
        <v/>
      </c>
      <c r="C2499" t="str">
        <f t="shared" si="275"/>
        <v/>
      </c>
      <c r="D2499" t="str">
        <f t="shared" si="276"/>
        <v/>
      </c>
      <c r="E2499" t="str">
        <f>IF(F2499="","",IF(COUNTIF($F$2:F2499,F2499)&gt;1,"",SUMIFS(tbl_input[필요수량],tbl_input[집계키_센터],F2499)))</f>
        <v/>
      </c>
      <c r="F2499" t="str">
        <f>IFERROR(INDEX(tbl_input[집계키_센터],ROW()-1),"")</f>
        <v/>
      </c>
      <c r="G2499" t="str">
        <f t="shared" si="277"/>
        <v/>
      </c>
      <c r="H2499" t="str">
        <f t="shared" si="278"/>
        <v/>
      </c>
      <c r="I2499" t="str">
        <f t="shared" si="279"/>
        <v/>
      </c>
    </row>
    <row r="2500" spans="1:9" x14ac:dyDescent="0.4">
      <c r="A2500" t="str">
        <f t="shared" si="273"/>
        <v/>
      </c>
      <c r="B2500" t="str">
        <f t="shared" si="274"/>
        <v/>
      </c>
      <c r="C2500" t="str">
        <f t="shared" si="275"/>
        <v/>
      </c>
      <c r="D2500" t="str">
        <f t="shared" si="276"/>
        <v/>
      </c>
      <c r="E2500" t="str">
        <f>IF(F2500="","",IF(COUNTIF($F$2:F2500,F2500)&gt;1,"",SUMIFS(tbl_input[필요수량],tbl_input[집계키_센터],F2500)))</f>
        <v/>
      </c>
      <c r="F2500" t="str">
        <f>IFERROR(INDEX(tbl_input[집계키_센터],ROW()-1),"")</f>
        <v/>
      </c>
      <c r="G2500" t="str">
        <f t="shared" si="277"/>
        <v/>
      </c>
      <c r="H2500" t="str">
        <f t="shared" si="278"/>
        <v/>
      </c>
      <c r="I2500" t="str">
        <f t="shared" si="279"/>
        <v/>
      </c>
    </row>
    <row r="2501" spans="1:9" x14ac:dyDescent="0.4">
      <c r="A2501" t="str">
        <f t="shared" si="273"/>
        <v/>
      </c>
      <c r="B2501" t="str">
        <f t="shared" si="274"/>
        <v/>
      </c>
      <c r="C2501" t="str">
        <f t="shared" si="275"/>
        <v/>
      </c>
      <c r="D2501" t="str">
        <f t="shared" si="276"/>
        <v/>
      </c>
      <c r="E2501" t="str">
        <f>IF(F2501="","",IF(COUNTIF($F$2:F2501,F2501)&gt;1,"",SUMIFS(tbl_input[필요수량],tbl_input[집계키_센터],F2501)))</f>
        <v/>
      </c>
      <c r="F2501" t="str">
        <f>IFERROR(INDEX(tbl_input[집계키_센터],ROW()-1),"")</f>
        <v/>
      </c>
      <c r="G2501" t="str">
        <f t="shared" si="277"/>
        <v/>
      </c>
      <c r="H2501" t="str">
        <f t="shared" si="278"/>
        <v/>
      </c>
      <c r="I2501" t="str">
        <f t="shared" si="279"/>
        <v/>
      </c>
    </row>
    <row r="2502" spans="1:9" x14ac:dyDescent="0.4">
      <c r="A2502" t="str">
        <f t="shared" si="273"/>
        <v/>
      </c>
      <c r="B2502" t="str">
        <f t="shared" si="274"/>
        <v/>
      </c>
      <c r="C2502" t="str">
        <f t="shared" si="275"/>
        <v/>
      </c>
      <c r="D2502" t="str">
        <f t="shared" si="276"/>
        <v/>
      </c>
      <c r="E2502" t="str">
        <f>IF(F2502="","",IF(COUNTIF($F$2:F2502,F2502)&gt;1,"",SUMIFS(tbl_input[필요수량],tbl_input[집계키_센터],F2502)))</f>
        <v/>
      </c>
      <c r="F2502" t="str">
        <f>IFERROR(INDEX(tbl_input[집계키_센터],ROW()-1),"")</f>
        <v/>
      </c>
      <c r="G2502" t="str">
        <f t="shared" si="277"/>
        <v/>
      </c>
      <c r="H2502" t="str">
        <f t="shared" si="278"/>
        <v/>
      </c>
      <c r="I2502" t="str">
        <f t="shared" si="279"/>
        <v/>
      </c>
    </row>
    <row r="2503" spans="1:9" x14ac:dyDescent="0.4">
      <c r="A2503" t="str">
        <f t="shared" si="273"/>
        <v/>
      </c>
      <c r="B2503" t="str">
        <f t="shared" si="274"/>
        <v/>
      </c>
      <c r="C2503" t="str">
        <f t="shared" si="275"/>
        <v/>
      </c>
      <c r="D2503" t="str">
        <f t="shared" si="276"/>
        <v/>
      </c>
      <c r="E2503" t="str">
        <f>IF(F2503="","",IF(COUNTIF($F$2:F2503,F2503)&gt;1,"",SUMIFS(tbl_input[필요수량],tbl_input[집계키_센터],F2503)))</f>
        <v/>
      </c>
      <c r="F2503" t="str">
        <f>IFERROR(INDEX(tbl_input[집계키_센터],ROW()-1),"")</f>
        <v/>
      </c>
      <c r="G2503" t="str">
        <f t="shared" si="277"/>
        <v/>
      </c>
      <c r="H2503" t="str">
        <f t="shared" si="278"/>
        <v/>
      </c>
      <c r="I2503" t="str">
        <f t="shared" si="279"/>
        <v/>
      </c>
    </row>
    <row r="2504" spans="1:9" x14ac:dyDescent="0.4">
      <c r="A2504" t="str">
        <f t="shared" si="273"/>
        <v/>
      </c>
      <c r="B2504" t="str">
        <f t="shared" si="274"/>
        <v/>
      </c>
      <c r="C2504" t="str">
        <f t="shared" si="275"/>
        <v/>
      </c>
      <c r="D2504" t="str">
        <f t="shared" si="276"/>
        <v/>
      </c>
      <c r="E2504" t="str">
        <f>IF(F2504="","",IF(COUNTIF($F$2:F2504,F2504)&gt;1,"",SUMIFS(tbl_input[필요수량],tbl_input[집계키_센터],F2504)))</f>
        <v/>
      </c>
      <c r="F2504" t="str">
        <f>IFERROR(INDEX(tbl_input[집계키_센터],ROW()-1),"")</f>
        <v/>
      </c>
      <c r="G2504" t="str">
        <f t="shared" si="277"/>
        <v/>
      </c>
      <c r="H2504" t="str">
        <f t="shared" si="278"/>
        <v/>
      </c>
      <c r="I2504" t="str">
        <f t="shared" si="279"/>
        <v/>
      </c>
    </row>
    <row r="2505" spans="1:9" x14ac:dyDescent="0.4">
      <c r="A2505" t="str">
        <f t="shared" si="273"/>
        <v/>
      </c>
      <c r="B2505" t="str">
        <f t="shared" si="274"/>
        <v/>
      </c>
      <c r="C2505" t="str">
        <f t="shared" si="275"/>
        <v/>
      </c>
      <c r="D2505" t="str">
        <f t="shared" si="276"/>
        <v/>
      </c>
      <c r="E2505" t="str">
        <f>IF(F2505="","",IF(COUNTIF($F$2:F2505,F2505)&gt;1,"",SUMIFS(tbl_input[필요수량],tbl_input[집계키_센터],F2505)))</f>
        <v/>
      </c>
      <c r="F2505" t="str">
        <f>IFERROR(INDEX(tbl_input[집계키_센터],ROW()-1),"")</f>
        <v/>
      </c>
      <c r="G2505" t="str">
        <f t="shared" si="277"/>
        <v/>
      </c>
      <c r="H2505" t="str">
        <f t="shared" si="278"/>
        <v/>
      </c>
      <c r="I2505" t="str">
        <f t="shared" si="279"/>
        <v/>
      </c>
    </row>
    <row r="2506" spans="1:9" x14ac:dyDescent="0.4">
      <c r="A2506" t="str">
        <f t="shared" si="273"/>
        <v/>
      </c>
      <c r="B2506" t="str">
        <f t="shared" si="274"/>
        <v/>
      </c>
      <c r="C2506" t="str">
        <f t="shared" si="275"/>
        <v/>
      </c>
      <c r="D2506" t="str">
        <f t="shared" si="276"/>
        <v/>
      </c>
      <c r="E2506" t="str">
        <f>IF(F2506="","",IF(COUNTIF($F$2:F2506,F2506)&gt;1,"",SUMIFS(tbl_input[필요수량],tbl_input[집계키_센터],F2506)))</f>
        <v/>
      </c>
      <c r="F2506" t="str">
        <f>IFERROR(INDEX(tbl_input[집계키_센터],ROW()-1),"")</f>
        <v/>
      </c>
      <c r="G2506" t="str">
        <f t="shared" si="277"/>
        <v/>
      </c>
      <c r="H2506" t="str">
        <f t="shared" si="278"/>
        <v/>
      </c>
      <c r="I2506" t="str">
        <f t="shared" si="279"/>
        <v/>
      </c>
    </row>
    <row r="2507" spans="1:9" x14ac:dyDescent="0.4">
      <c r="A2507" t="str">
        <f t="shared" si="273"/>
        <v/>
      </c>
      <c r="B2507" t="str">
        <f t="shared" si="274"/>
        <v/>
      </c>
      <c r="C2507" t="str">
        <f t="shared" si="275"/>
        <v/>
      </c>
      <c r="D2507" t="str">
        <f t="shared" si="276"/>
        <v/>
      </c>
      <c r="E2507" t="str">
        <f>IF(F2507="","",IF(COUNTIF($F$2:F2507,F2507)&gt;1,"",SUMIFS(tbl_input[필요수량],tbl_input[집계키_센터],F2507)))</f>
        <v/>
      </c>
      <c r="F2507" t="str">
        <f>IFERROR(INDEX(tbl_input[집계키_센터],ROW()-1),"")</f>
        <v/>
      </c>
      <c r="G2507" t="str">
        <f t="shared" si="277"/>
        <v/>
      </c>
      <c r="H2507" t="str">
        <f t="shared" si="278"/>
        <v/>
      </c>
      <c r="I2507" t="str">
        <f t="shared" si="279"/>
        <v/>
      </c>
    </row>
    <row r="2508" spans="1:9" x14ac:dyDescent="0.4">
      <c r="A2508" t="str">
        <f t="shared" si="273"/>
        <v/>
      </c>
      <c r="B2508" t="str">
        <f t="shared" si="274"/>
        <v/>
      </c>
      <c r="C2508" t="str">
        <f t="shared" si="275"/>
        <v/>
      </c>
      <c r="D2508" t="str">
        <f t="shared" si="276"/>
        <v/>
      </c>
      <c r="E2508" t="str">
        <f>IF(F2508="","",IF(COUNTIF($F$2:F2508,F2508)&gt;1,"",SUMIFS(tbl_input[필요수량],tbl_input[집계키_센터],F2508)))</f>
        <v/>
      </c>
      <c r="F2508" t="str">
        <f>IFERROR(INDEX(tbl_input[집계키_센터],ROW()-1),"")</f>
        <v/>
      </c>
      <c r="G2508" t="str">
        <f t="shared" si="277"/>
        <v/>
      </c>
      <c r="H2508" t="str">
        <f t="shared" si="278"/>
        <v/>
      </c>
      <c r="I2508" t="str">
        <f t="shared" si="279"/>
        <v/>
      </c>
    </row>
    <row r="2509" spans="1:9" x14ac:dyDescent="0.4">
      <c r="A2509" t="str">
        <f t="shared" si="273"/>
        <v/>
      </c>
      <c r="B2509" t="str">
        <f t="shared" si="274"/>
        <v/>
      </c>
      <c r="C2509" t="str">
        <f t="shared" si="275"/>
        <v/>
      </c>
      <c r="D2509" t="str">
        <f t="shared" si="276"/>
        <v/>
      </c>
      <c r="E2509" t="str">
        <f>IF(F2509="","",IF(COUNTIF($F$2:F2509,F2509)&gt;1,"",SUMIFS(tbl_input[필요수량],tbl_input[집계키_센터],F2509)))</f>
        <v/>
      </c>
      <c r="F2509" t="str">
        <f>IFERROR(INDEX(tbl_input[집계키_센터],ROW()-1),"")</f>
        <v/>
      </c>
      <c r="G2509" t="str">
        <f t="shared" si="277"/>
        <v/>
      </c>
      <c r="H2509" t="str">
        <f t="shared" si="278"/>
        <v/>
      </c>
      <c r="I2509" t="str">
        <f t="shared" si="279"/>
        <v/>
      </c>
    </row>
    <row r="2510" spans="1:9" x14ac:dyDescent="0.4">
      <c r="A2510" t="str">
        <f t="shared" si="273"/>
        <v/>
      </c>
      <c r="B2510" t="str">
        <f t="shared" si="274"/>
        <v/>
      </c>
      <c r="C2510" t="str">
        <f t="shared" si="275"/>
        <v/>
      </c>
      <c r="D2510" t="str">
        <f t="shared" si="276"/>
        <v/>
      </c>
      <c r="E2510" t="str">
        <f>IF(F2510="","",IF(COUNTIF($F$2:F2510,F2510)&gt;1,"",SUMIFS(tbl_input[필요수량],tbl_input[집계키_센터],F2510)))</f>
        <v/>
      </c>
      <c r="F2510" t="str">
        <f>IFERROR(INDEX(tbl_input[집계키_센터],ROW()-1),"")</f>
        <v/>
      </c>
      <c r="G2510" t="str">
        <f t="shared" si="277"/>
        <v/>
      </c>
      <c r="H2510" t="str">
        <f t="shared" si="278"/>
        <v/>
      </c>
      <c r="I2510" t="str">
        <f t="shared" si="279"/>
        <v/>
      </c>
    </row>
    <row r="2511" spans="1:9" x14ac:dyDescent="0.4">
      <c r="A2511" t="str">
        <f t="shared" si="273"/>
        <v/>
      </c>
      <c r="B2511" t="str">
        <f t="shared" si="274"/>
        <v/>
      </c>
      <c r="C2511" t="str">
        <f t="shared" si="275"/>
        <v/>
      </c>
      <c r="D2511" t="str">
        <f t="shared" si="276"/>
        <v/>
      </c>
      <c r="E2511" t="str">
        <f>IF(F2511="","",IF(COUNTIF($F$2:F2511,F2511)&gt;1,"",SUMIFS(tbl_input[필요수량],tbl_input[집계키_센터],F2511)))</f>
        <v/>
      </c>
      <c r="F2511" t="str">
        <f>IFERROR(INDEX(tbl_input[집계키_센터],ROW()-1),"")</f>
        <v/>
      </c>
      <c r="G2511" t="str">
        <f t="shared" si="277"/>
        <v/>
      </c>
      <c r="H2511" t="str">
        <f t="shared" si="278"/>
        <v/>
      </c>
      <c r="I2511" t="str">
        <f t="shared" si="279"/>
        <v/>
      </c>
    </row>
    <row r="2512" spans="1:9" x14ac:dyDescent="0.4">
      <c r="A2512" t="str">
        <f t="shared" si="273"/>
        <v/>
      </c>
      <c r="B2512" t="str">
        <f t="shared" si="274"/>
        <v/>
      </c>
      <c r="C2512" t="str">
        <f t="shared" si="275"/>
        <v/>
      </c>
      <c r="D2512" t="str">
        <f t="shared" si="276"/>
        <v/>
      </c>
      <c r="E2512" t="str">
        <f>IF(F2512="","",IF(COUNTIF($F$2:F2512,F2512)&gt;1,"",SUMIFS(tbl_input[필요수량],tbl_input[집계키_센터],F2512)))</f>
        <v/>
      </c>
      <c r="F2512" t="str">
        <f>IFERROR(INDEX(tbl_input[집계키_센터],ROW()-1),"")</f>
        <v/>
      </c>
      <c r="G2512" t="str">
        <f t="shared" si="277"/>
        <v/>
      </c>
      <c r="H2512" t="str">
        <f t="shared" si="278"/>
        <v/>
      </c>
      <c r="I2512" t="str">
        <f t="shared" si="279"/>
        <v/>
      </c>
    </row>
    <row r="2513" spans="1:9" x14ac:dyDescent="0.4">
      <c r="A2513" t="str">
        <f t="shared" si="273"/>
        <v/>
      </c>
      <c r="B2513" t="str">
        <f t="shared" si="274"/>
        <v/>
      </c>
      <c r="C2513" t="str">
        <f t="shared" si="275"/>
        <v/>
      </c>
      <c r="D2513" t="str">
        <f t="shared" si="276"/>
        <v/>
      </c>
      <c r="E2513" t="str">
        <f>IF(F2513="","",IF(COUNTIF($F$2:F2513,F2513)&gt;1,"",SUMIFS(tbl_input[필요수량],tbl_input[집계키_센터],F2513)))</f>
        <v/>
      </c>
      <c r="F2513" t="str">
        <f>IFERROR(INDEX(tbl_input[집계키_센터],ROW()-1),"")</f>
        <v/>
      </c>
      <c r="G2513" t="str">
        <f t="shared" si="277"/>
        <v/>
      </c>
      <c r="H2513" t="str">
        <f t="shared" si="278"/>
        <v/>
      </c>
      <c r="I2513" t="str">
        <f t="shared" si="279"/>
        <v/>
      </c>
    </row>
    <row r="2514" spans="1:9" x14ac:dyDescent="0.4">
      <c r="A2514" t="str">
        <f t="shared" si="273"/>
        <v/>
      </c>
      <c r="B2514" t="str">
        <f t="shared" si="274"/>
        <v/>
      </c>
      <c r="C2514" t="str">
        <f t="shared" si="275"/>
        <v/>
      </c>
      <c r="D2514" t="str">
        <f t="shared" si="276"/>
        <v/>
      </c>
      <c r="E2514" t="str">
        <f>IF(F2514="","",IF(COUNTIF($F$2:F2514,F2514)&gt;1,"",SUMIFS(tbl_input[필요수량],tbl_input[집계키_센터],F2514)))</f>
        <v/>
      </c>
      <c r="F2514" t="str">
        <f>IFERROR(INDEX(tbl_input[집계키_센터],ROW()-1),"")</f>
        <v/>
      </c>
      <c r="G2514" t="str">
        <f t="shared" si="277"/>
        <v/>
      </c>
      <c r="H2514" t="str">
        <f t="shared" si="278"/>
        <v/>
      </c>
      <c r="I2514" t="str">
        <f t="shared" si="279"/>
        <v/>
      </c>
    </row>
    <row r="2515" spans="1:9" x14ac:dyDescent="0.4">
      <c r="A2515" t="str">
        <f t="shared" si="273"/>
        <v/>
      </c>
      <c r="B2515" t="str">
        <f t="shared" si="274"/>
        <v/>
      </c>
      <c r="C2515" t="str">
        <f t="shared" si="275"/>
        <v/>
      </c>
      <c r="D2515" t="str">
        <f t="shared" si="276"/>
        <v/>
      </c>
      <c r="E2515" t="str">
        <f>IF(F2515="","",IF(COUNTIF($F$2:F2515,F2515)&gt;1,"",SUMIFS(tbl_input[필요수량],tbl_input[집계키_센터],F2515)))</f>
        <v/>
      </c>
      <c r="F2515" t="str">
        <f>IFERROR(INDEX(tbl_input[집계키_센터],ROW()-1),"")</f>
        <v/>
      </c>
      <c r="G2515" t="str">
        <f t="shared" si="277"/>
        <v/>
      </c>
      <c r="H2515" t="str">
        <f t="shared" si="278"/>
        <v/>
      </c>
      <c r="I2515" t="str">
        <f t="shared" si="279"/>
        <v/>
      </c>
    </row>
    <row r="2516" spans="1:9" x14ac:dyDescent="0.4">
      <c r="A2516" t="str">
        <f t="shared" si="273"/>
        <v/>
      </c>
      <c r="B2516" t="str">
        <f t="shared" si="274"/>
        <v/>
      </c>
      <c r="C2516" t="str">
        <f t="shared" si="275"/>
        <v/>
      </c>
      <c r="D2516" t="str">
        <f t="shared" si="276"/>
        <v/>
      </c>
      <c r="E2516" t="str">
        <f>IF(F2516="","",IF(COUNTIF($F$2:F2516,F2516)&gt;1,"",SUMIFS(tbl_input[필요수량],tbl_input[집계키_센터],F2516)))</f>
        <v/>
      </c>
      <c r="F2516" t="str">
        <f>IFERROR(INDEX(tbl_input[집계키_센터],ROW()-1),"")</f>
        <v/>
      </c>
      <c r="G2516" t="str">
        <f t="shared" si="277"/>
        <v/>
      </c>
      <c r="H2516" t="str">
        <f t="shared" si="278"/>
        <v/>
      </c>
      <c r="I2516" t="str">
        <f t="shared" si="279"/>
        <v/>
      </c>
    </row>
    <row r="2517" spans="1:9" x14ac:dyDescent="0.4">
      <c r="A2517" t="str">
        <f t="shared" si="273"/>
        <v/>
      </c>
      <c r="B2517" t="str">
        <f t="shared" si="274"/>
        <v/>
      </c>
      <c r="C2517" t="str">
        <f t="shared" si="275"/>
        <v/>
      </c>
      <c r="D2517" t="str">
        <f t="shared" si="276"/>
        <v/>
      </c>
      <c r="E2517" t="str">
        <f>IF(F2517="","",IF(COUNTIF($F$2:F2517,F2517)&gt;1,"",SUMIFS(tbl_input[필요수량],tbl_input[집계키_센터],F2517)))</f>
        <v/>
      </c>
      <c r="F2517" t="str">
        <f>IFERROR(INDEX(tbl_input[집계키_센터],ROW()-1),"")</f>
        <v/>
      </c>
      <c r="G2517" t="str">
        <f t="shared" si="277"/>
        <v/>
      </c>
      <c r="H2517" t="str">
        <f t="shared" si="278"/>
        <v/>
      </c>
      <c r="I2517" t="str">
        <f t="shared" si="279"/>
        <v/>
      </c>
    </row>
    <row r="2518" spans="1:9" x14ac:dyDescent="0.4">
      <c r="A2518" t="str">
        <f t="shared" si="273"/>
        <v/>
      </c>
      <c r="B2518" t="str">
        <f t="shared" si="274"/>
        <v/>
      </c>
      <c r="C2518" t="str">
        <f t="shared" si="275"/>
        <v/>
      </c>
      <c r="D2518" t="str">
        <f t="shared" si="276"/>
        <v/>
      </c>
      <c r="E2518" t="str">
        <f>IF(F2518="","",IF(COUNTIF($F$2:F2518,F2518)&gt;1,"",SUMIFS(tbl_input[필요수량],tbl_input[집계키_센터],F2518)))</f>
        <v/>
      </c>
      <c r="F2518" t="str">
        <f>IFERROR(INDEX(tbl_input[집계키_센터],ROW()-1),"")</f>
        <v/>
      </c>
      <c r="G2518" t="str">
        <f t="shared" si="277"/>
        <v/>
      </c>
      <c r="H2518" t="str">
        <f t="shared" si="278"/>
        <v/>
      </c>
      <c r="I2518" t="str">
        <f t="shared" si="279"/>
        <v/>
      </c>
    </row>
    <row r="2519" spans="1:9" x14ac:dyDescent="0.4">
      <c r="A2519" t="str">
        <f t="shared" si="273"/>
        <v/>
      </c>
      <c r="B2519" t="str">
        <f t="shared" si="274"/>
        <v/>
      </c>
      <c r="C2519" t="str">
        <f t="shared" si="275"/>
        <v/>
      </c>
      <c r="D2519" t="str">
        <f t="shared" si="276"/>
        <v/>
      </c>
      <c r="E2519" t="str">
        <f>IF(F2519="","",IF(COUNTIF($F$2:F2519,F2519)&gt;1,"",SUMIFS(tbl_input[필요수량],tbl_input[집계키_센터],F2519)))</f>
        <v/>
      </c>
      <c r="F2519" t="str">
        <f>IFERROR(INDEX(tbl_input[집계키_센터],ROW()-1),"")</f>
        <v/>
      </c>
      <c r="G2519" t="str">
        <f t="shared" si="277"/>
        <v/>
      </c>
      <c r="H2519" t="str">
        <f t="shared" si="278"/>
        <v/>
      </c>
      <c r="I2519" t="str">
        <f t="shared" si="279"/>
        <v/>
      </c>
    </row>
    <row r="2520" spans="1:9" x14ac:dyDescent="0.4">
      <c r="A2520" t="str">
        <f t="shared" si="273"/>
        <v/>
      </c>
      <c r="B2520" t="str">
        <f t="shared" si="274"/>
        <v/>
      </c>
      <c r="C2520" t="str">
        <f t="shared" si="275"/>
        <v/>
      </c>
      <c r="D2520" t="str">
        <f t="shared" si="276"/>
        <v/>
      </c>
      <c r="E2520" t="str">
        <f>IF(F2520="","",IF(COUNTIF($F$2:F2520,F2520)&gt;1,"",SUMIFS(tbl_input[필요수량],tbl_input[집계키_센터],F2520)))</f>
        <v/>
      </c>
      <c r="F2520" t="str">
        <f>IFERROR(INDEX(tbl_input[집계키_센터],ROW()-1),"")</f>
        <v/>
      </c>
      <c r="G2520" t="str">
        <f t="shared" si="277"/>
        <v/>
      </c>
      <c r="H2520" t="str">
        <f t="shared" si="278"/>
        <v/>
      </c>
      <c r="I2520" t="str">
        <f t="shared" si="279"/>
        <v/>
      </c>
    </row>
    <row r="2521" spans="1:9" x14ac:dyDescent="0.4">
      <c r="A2521" t="str">
        <f t="shared" si="273"/>
        <v/>
      </c>
      <c r="B2521" t="str">
        <f t="shared" si="274"/>
        <v/>
      </c>
      <c r="C2521" t="str">
        <f t="shared" si="275"/>
        <v/>
      </c>
      <c r="D2521" t="str">
        <f t="shared" si="276"/>
        <v/>
      </c>
      <c r="E2521" t="str">
        <f>IF(F2521="","",IF(COUNTIF($F$2:F2521,F2521)&gt;1,"",SUMIFS(tbl_input[필요수량],tbl_input[집계키_센터],F2521)))</f>
        <v/>
      </c>
      <c r="F2521" t="str">
        <f>IFERROR(INDEX(tbl_input[집계키_센터],ROW()-1),"")</f>
        <v/>
      </c>
      <c r="G2521" t="str">
        <f t="shared" si="277"/>
        <v/>
      </c>
      <c r="H2521" t="str">
        <f t="shared" si="278"/>
        <v/>
      </c>
      <c r="I2521" t="str">
        <f t="shared" si="279"/>
        <v/>
      </c>
    </row>
    <row r="2522" spans="1:9" x14ac:dyDescent="0.4">
      <c r="A2522" t="str">
        <f t="shared" si="273"/>
        <v/>
      </c>
      <c r="B2522" t="str">
        <f t="shared" si="274"/>
        <v/>
      </c>
      <c r="C2522" t="str">
        <f t="shared" si="275"/>
        <v/>
      </c>
      <c r="D2522" t="str">
        <f t="shared" si="276"/>
        <v/>
      </c>
      <c r="E2522" t="str">
        <f>IF(F2522="","",IF(COUNTIF($F$2:F2522,F2522)&gt;1,"",SUMIFS(tbl_input[필요수량],tbl_input[집계키_센터],F2522)))</f>
        <v/>
      </c>
      <c r="F2522" t="str">
        <f>IFERROR(INDEX(tbl_input[집계키_센터],ROW()-1),"")</f>
        <v/>
      </c>
      <c r="G2522" t="str">
        <f t="shared" si="277"/>
        <v/>
      </c>
      <c r="H2522" t="str">
        <f t="shared" si="278"/>
        <v/>
      </c>
      <c r="I2522" t="str">
        <f t="shared" si="279"/>
        <v/>
      </c>
    </row>
    <row r="2523" spans="1:9" x14ac:dyDescent="0.4">
      <c r="A2523" t="str">
        <f t="shared" si="273"/>
        <v/>
      </c>
      <c r="B2523" t="str">
        <f t="shared" si="274"/>
        <v/>
      </c>
      <c r="C2523" t="str">
        <f t="shared" si="275"/>
        <v/>
      </c>
      <c r="D2523" t="str">
        <f t="shared" si="276"/>
        <v/>
      </c>
      <c r="E2523" t="str">
        <f>IF(F2523="","",IF(COUNTIF($F$2:F2523,F2523)&gt;1,"",SUMIFS(tbl_input[필요수량],tbl_input[집계키_센터],F2523)))</f>
        <v/>
      </c>
      <c r="F2523" t="str">
        <f>IFERROR(INDEX(tbl_input[집계키_센터],ROW()-1),"")</f>
        <v/>
      </c>
      <c r="G2523" t="str">
        <f t="shared" si="277"/>
        <v/>
      </c>
      <c r="H2523" t="str">
        <f t="shared" si="278"/>
        <v/>
      </c>
      <c r="I2523" t="str">
        <f t="shared" si="279"/>
        <v/>
      </c>
    </row>
    <row r="2524" spans="1:9" x14ac:dyDescent="0.4">
      <c r="A2524" t="str">
        <f t="shared" si="273"/>
        <v/>
      </c>
      <c r="B2524" t="str">
        <f t="shared" si="274"/>
        <v/>
      </c>
      <c r="C2524" t="str">
        <f t="shared" si="275"/>
        <v/>
      </c>
      <c r="D2524" t="str">
        <f t="shared" si="276"/>
        <v/>
      </c>
      <c r="E2524" t="str">
        <f>IF(F2524="","",IF(COUNTIF($F$2:F2524,F2524)&gt;1,"",SUMIFS(tbl_input[필요수량],tbl_input[집계키_센터],F2524)))</f>
        <v/>
      </c>
      <c r="F2524" t="str">
        <f>IFERROR(INDEX(tbl_input[집계키_센터],ROW()-1),"")</f>
        <v/>
      </c>
      <c r="G2524" t="str">
        <f t="shared" si="277"/>
        <v/>
      </c>
      <c r="H2524" t="str">
        <f t="shared" si="278"/>
        <v/>
      </c>
      <c r="I2524" t="str">
        <f t="shared" si="279"/>
        <v/>
      </c>
    </row>
    <row r="2525" spans="1:9" x14ac:dyDescent="0.4">
      <c r="A2525" t="str">
        <f t="shared" si="273"/>
        <v/>
      </c>
      <c r="B2525" t="str">
        <f t="shared" si="274"/>
        <v/>
      </c>
      <c r="C2525" t="str">
        <f t="shared" si="275"/>
        <v/>
      </c>
      <c r="D2525" t="str">
        <f t="shared" si="276"/>
        <v/>
      </c>
      <c r="E2525" t="str">
        <f>IF(F2525="","",IF(COUNTIF($F$2:F2525,F2525)&gt;1,"",SUMIFS(tbl_input[필요수량],tbl_input[집계키_센터],F2525)))</f>
        <v/>
      </c>
      <c r="F2525" t="str">
        <f>IFERROR(INDEX(tbl_input[집계키_센터],ROW()-1),"")</f>
        <v/>
      </c>
      <c r="G2525" t="str">
        <f t="shared" si="277"/>
        <v/>
      </c>
      <c r="H2525" t="str">
        <f t="shared" si="278"/>
        <v/>
      </c>
      <c r="I2525" t="str">
        <f t="shared" si="279"/>
        <v/>
      </c>
    </row>
    <row r="2526" spans="1:9" x14ac:dyDescent="0.4">
      <c r="A2526" t="str">
        <f t="shared" si="273"/>
        <v/>
      </c>
      <c r="B2526" t="str">
        <f t="shared" si="274"/>
        <v/>
      </c>
      <c r="C2526" t="str">
        <f t="shared" si="275"/>
        <v/>
      </c>
      <c r="D2526" t="str">
        <f t="shared" si="276"/>
        <v/>
      </c>
      <c r="E2526" t="str">
        <f>IF(F2526="","",IF(COUNTIF($F$2:F2526,F2526)&gt;1,"",SUMIFS(tbl_input[필요수량],tbl_input[집계키_센터],F2526)))</f>
        <v/>
      </c>
      <c r="F2526" t="str">
        <f>IFERROR(INDEX(tbl_input[집계키_센터],ROW()-1),"")</f>
        <v/>
      </c>
      <c r="G2526" t="str">
        <f t="shared" si="277"/>
        <v/>
      </c>
      <c r="H2526" t="str">
        <f t="shared" si="278"/>
        <v/>
      </c>
      <c r="I2526" t="str">
        <f t="shared" si="279"/>
        <v/>
      </c>
    </row>
    <row r="2527" spans="1:9" x14ac:dyDescent="0.4">
      <c r="A2527" t="str">
        <f t="shared" si="273"/>
        <v/>
      </c>
      <c r="B2527" t="str">
        <f t="shared" si="274"/>
        <v/>
      </c>
      <c r="C2527" t="str">
        <f t="shared" si="275"/>
        <v/>
      </c>
      <c r="D2527" t="str">
        <f t="shared" si="276"/>
        <v/>
      </c>
      <c r="E2527" t="str">
        <f>IF(F2527="","",IF(COUNTIF($F$2:F2527,F2527)&gt;1,"",SUMIFS(tbl_input[필요수량],tbl_input[집계키_센터],F2527)))</f>
        <v/>
      </c>
      <c r="F2527" t="str">
        <f>IFERROR(INDEX(tbl_input[집계키_센터],ROW()-1),"")</f>
        <v/>
      </c>
      <c r="G2527" t="str">
        <f t="shared" si="277"/>
        <v/>
      </c>
      <c r="H2527" t="str">
        <f t="shared" si="278"/>
        <v/>
      </c>
      <c r="I2527" t="str">
        <f t="shared" si="279"/>
        <v/>
      </c>
    </row>
    <row r="2528" spans="1:9" x14ac:dyDescent="0.4">
      <c r="A2528" t="str">
        <f t="shared" si="273"/>
        <v/>
      </c>
      <c r="B2528" t="str">
        <f t="shared" si="274"/>
        <v/>
      </c>
      <c r="C2528" t="str">
        <f t="shared" si="275"/>
        <v/>
      </c>
      <c r="D2528" t="str">
        <f t="shared" si="276"/>
        <v/>
      </c>
      <c r="E2528" t="str">
        <f>IF(F2528="","",IF(COUNTIF($F$2:F2528,F2528)&gt;1,"",SUMIFS(tbl_input[필요수량],tbl_input[집계키_센터],F2528)))</f>
        <v/>
      </c>
      <c r="F2528" t="str">
        <f>IFERROR(INDEX(tbl_input[집계키_센터],ROW()-1),"")</f>
        <v/>
      </c>
      <c r="G2528" t="str">
        <f t="shared" si="277"/>
        <v/>
      </c>
      <c r="H2528" t="str">
        <f t="shared" si="278"/>
        <v/>
      </c>
      <c r="I2528" t="str">
        <f t="shared" si="279"/>
        <v/>
      </c>
    </row>
    <row r="2529" spans="1:9" x14ac:dyDescent="0.4">
      <c r="A2529" t="str">
        <f t="shared" si="273"/>
        <v/>
      </c>
      <c r="B2529" t="str">
        <f t="shared" si="274"/>
        <v/>
      </c>
      <c r="C2529" t="str">
        <f t="shared" si="275"/>
        <v/>
      </c>
      <c r="D2529" t="str">
        <f t="shared" si="276"/>
        <v/>
      </c>
      <c r="E2529" t="str">
        <f>IF(F2529="","",IF(COUNTIF($F$2:F2529,F2529)&gt;1,"",SUMIFS(tbl_input[필요수량],tbl_input[집계키_센터],F2529)))</f>
        <v/>
      </c>
      <c r="F2529" t="str">
        <f>IFERROR(INDEX(tbl_input[집계키_센터],ROW()-1),"")</f>
        <v/>
      </c>
      <c r="G2529" t="str">
        <f t="shared" si="277"/>
        <v/>
      </c>
      <c r="H2529" t="str">
        <f t="shared" si="278"/>
        <v/>
      </c>
      <c r="I2529" t="str">
        <f t="shared" si="279"/>
        <v/>
      </c>
    </row>
    <row r="2530" spans="1:9" x14ac:dyDescent="0.4">
      <c r="A2530" t="str">
        <f t="shared" si="273"/>
        <v/>
      </c>
      <c r="B2530" t="str">
        <f t="shared" si="274"/>
        <v/>
      </c>
      <c r="C2530" t="str">
        <f t="shared" si="275"/>
        <v/>
      </c>
      <c r="D2530" t="str">
        <f t="shared" si="276"/>
        <v/>
      </c>
      <c r="E2530" t="str">
        <f>IF(F2530="","",IF(COUNTIF($F$2:F2530,F2530)&gt;1,"",SUMIFS(tbl_input[필요수량],tbl_input[집계키_센터],F2530)))</f>
        <v/>
      </c>
      <c r="F2530" t="str">
        <f>IFERROR(INDEX(tbl_input[집계키_센터],ROW()-1),"")</f>
        <v/>
      </c>
      <c r="G2530" t="str">
        <f t="shared" si="277"/>
        <v/>
      </c>
      <c r="H2530" t="str">
        <f t="shared" si="278"/>
        <v/>
      </c>
      <c r="I2530" t="str">
        <f t="shared" si="279"/>
        <v/>
      </c>
    </row>
    <row r="2531" spans="1:9" x14ac:dyDescent="0.4">
      <c r="A2531" t="str">
        <f t="shared" si="273"/>
        <v/>
      </c>
      <c r="B2531" t="str">
        <f t="shared" si="274"/>
        <v/>
      </c>
      <c r="C2531" t="str">
        <f t="shared" si="275"/>
        <v/>
      </c>
      <c r="D2531" t="str">
        <f t="shared" si="276"/>
        <v/>
      </c>
      <c r="E2531" t="str">
        <f>IF(F2531="","",IF(COUNTIF($F$2:F2531,F2531)&gt;1,"",SUMIFS(tbl_input[필요수량],tbl_input[집계키_센터],F2531)))</f>
        <v/>
      </c>
      <c r="F2531" t="str">
        <f>IFERROR(INDEX(tbl_input[집계키_센터],ROW()-1),"")</f>
        <v/>
      </c>
      <c r="G2531" t="str">
        <f t="shared" si="277"/>
        <v/>
      </c>
      <c r="H2531" t="str">
        <f t="shared" si="278"/>
        <v/>
      </c>
      <c r="I2531" t="str">
        <f t="shared" si="279"/>
        <v/>
      </c>
    </row>
    <row r="2532" spans="1:9" x14ac:dyDescent="0.4">
      <c r="A2532" t="str">
        <f t="shared" si="273"/>
        <v/>
      </c>
      <c r="B2532" t="str">
        <f t="shared" si="274"/>
        <v/>
      </c>
      <c r="C2532" t="str">
        <f t="shared" si="275"/>
        <v/>
      </c>
      <c r="D2532" t="str">
        <f t="shared" si="276"/>
        <v/>
      </c>
      <c r="E2532" t="str">
        <f>IF(F2532="","",IF(COUNTIF($F$2:F2532,F2532)&gt;1,"",SUMIFS(tbl_input[필요수량],tbl_input[집계키_센터],F2532)))</f>
        <v/>
      </c>
      <c r="F2532" t="str">
        <f>IFERROR(INDEX(tbl_input[집계키_센터],ROW()-1),"")</f>
        <v/>
      </c>
      <c r="G2532" t="str">
        <f t="shared" si="277"/>
        <v/>
      </c>
      <c r="H2532" t="str">
        <f t="shared" si="278"/>
        <v/>
      </c>
      <c r="I2532" t="str">
        <f t="shared" si="279"/>
        <v/>
      </c>
    </row>
    <row r="2533" spans="1:9" x14ac:dyDescent="0.4">
      <c r="A2533" t="str">
        <f t="shared" si="273"/>
        <v/>
      </c>
      <c r="B2533" t="str">
        <f t="shared" si="274"/>
        <v/>
      </c>
      <c r="C2533" t="str">
        <f t="shared" si="275"/>
        <v/>
      </c>
      <c r="D2533" t="str">
        <f t="shared" si="276"/>
        <v/>
      </c>
      <c r="E2533" t="str">
        <f>IF(F2533="","",IF(COUNTIF($F$2:F2533,F2533)&gt;1,"",SUMIFS(tbl_input[필요수량],tbl_input[집계키_센터],F2533)))</f>
        <v/>
      </c>
      <c r="F2533" t="str">
        <f>IFERROR(INDEX(tbl_input[집계키_센터],ROW()-1),"")</f>
        <v/>
      </c>
      <c r="G2533" t="str">
        <f t="shared" si="277"/>
        <v/>
      </c>
      <c r="H2533" t="str">
        <f t="shared" si="278"/>
        <v/>
      </c>
      <c r="I2533" t="str">
        <f t="shared" si="279"/>
        <v/>
      </c>
    </row>
    <row r="2534" spans="1:9" x14ac:dyDescent="0.4">
      <c r="A2534" t="str">
        <f t="shared" si="273"/>
        <v/>
      </c>
      <c r="B2534" t="str">
        <f t="shared" si="274"/>
        <v/>
      </c>
      <c r="C2534" t="str">
        <f t="shared" si="275"/>
        <v/>
      </c>
      <c r="D2534" t="str">
        <f t="shared" si="276"/>
        <v/>
      </c>
      <c r="E2534" t="str">
        <f>IF(F2534="","",IF(COUNTIF($F$2:F2534,F2534)&gt;1,"",SUMIFS(tbl_input[필요수량],tbl_input[집계키_센터],F2534)))</f>
        <v/>
      </c>
      <c r="F2534" t="str">
        <f>IFERROR(INDEX(tbl_input[집계키_센터],ROW()-1),"")</f>
        <v/>
      </c>
      <c r="G2534" t="str">
        <f t="shared" si="277"/>
        <v/>
      </c>
      <c r="H2534" t="str">
        <f t="shared" si="278"/>
        <v/>
      </c>
      <c r="I2534" t="str">
        <f t="shared" si="279"/>
        <v/>
      </c>
    </row>
    <row r="2535" spans="1:9" x14ac:dyDescent="0.4">
      <c r="A2535" t="str">
        <f t="shared" si="273"/>
        <v/>
      </c>
      <c r="B2535" t="str">
        <f t="shared" si="274"/>
        <v/>
      </c>
      <c r="C2535" t="str">
        <f t="shared" si="275"/>
        <v/>
      </c>
      <c r="D2535" t="str">
        <f t="shared" si="276"/>
        <v/>
      </c>
      <c r="E2535" t="str">
        <f>IF(F2535="","",IF(COUNTIF($F$2:F2535,F2535)&gt;1,"",SUMIFS(tbl_input[필요수량],tbl_input[집계키_센터],F2535)))</f>
        <v/>
      </c>
      <c r="F2535" t="str">
        <f>IFERROR(INDEX(tbl_input[집계키_센터],ROW()-1),"")</f>
        <v/>
      </c>
      <c r="G2535" t="str">
        <f t="shared" si="277"/>
        <v/>
      </c>
      <c r="H2535" t="str">
        <f t="shared" si="278"/>
        <v/>
      </c>
      <c r="I2535" t="str">
        <f t="shared" si="279"/>
        <v/>
      </c>
    </row>
    <row r="2536" spans="1:9" x14ac:dyDescent="0.4">
      <c r="A2536" t="str">
        <f t="shared" si="273"/>
        <v/>
      </c>
      <c r="B2536" t="str">
        <f t="shared" si="274"/>
        <v/>
      </c>
      <c r="C2536" t="str">
        <f t="shared" si="275"/>
        <v/>
      </c>
      <c r="D2536" t="str">
        <f t="shared" si="276"/>
        <v/>
      </c>
      <c r="E2536" t="str">
        <f>IF(F2536="","",IF(COUNTIF($F$2:F2536,F2536)&gt;1,"",SUMIFS(tbl_input[필요수량],tbl_input[집계키_센터],F2536)))</f>
        <v/>
      </c>
      <c r="F2536" t="str">
        <f>IFERROR(INDEX(tbl_input[집계키_센터],ROW()-1),"")</f>
        <v/>
      </c>
      <c r="G2536" t="str">
        <f t="shared" si="277"/>
        <v/>
      </c>
      <c r="H2536" t="str">
        <f t="shared" si="278"/>
        <v/>
      </c>
      <c r="I2536" t="str">
        <f t="shared" si="279"/>
        <v/>
      </c>
    </row>
    <row r="2537" spans="1:9" x14ac:dyDescent="0.4">
      <c r="A2537" t="str">
        <f t="shared" si="273"/>
        <v/>
      </c>
      <c r="B2537" t="str">
        <f t="shared" si="274"/>
        <v/>
      </c>
      <c r="C2537" t="str">
        <f t="shared" si="275"/>
        <v/>
      </c>
      <c r="D2537" t="str">
        <f t="shared" si="276"/>
        <v/>
      </c>
      <c r="E2537" t="str">
        <f>IF(F2537="","",IF(COUNTIF($F$2:F2537,F2537)&gt;1,"",SUMIFS(tbl_input[필요수량],tbl_input[집계키_센터],F2537)))</f>
        <v/>
      </c>
      <c r="F2537" t="str">
        <f>IFERROR(INDEX(tbl_input[집계키_센터],ROW()-1),"")</f>
        <v/>
      </c>
      <c r="G2537" t="str">
        <f t="shared" si="277"/>
        <v/>
      </c>
      <c r="H2537" t="str">
        <f t="shared" si="278"/>
        <v/>
      </c>
      <c r="I2537" t="str">
        <f t="shared" si="279"/>
        <v/>
      </c>
    </row>
    <row r="2538" spans="1:9" x14ac:dyDescent="0.4">
      <c r="A2538" t="str">
        <f t="shared" si="273"/>
        <v/>
      </c>
      <c r="B2538" t="str">
        <f t="shared" si="274"/>
        <v/>
      </c>
      <c r="C2538" t="str">
        <f t="shared" si="275"/>
        <v/>
      </c>
      <c r="D2538" t="str">
        <f t="shared" si="276"/>
        <v/>
      </c>
      <c r="E2538" t="str">
        <f>IF(F2538="","",IF(COUNTIF($F$2:F2538,F2538)&gt;1,"",SUMIFS(tbl_input[필요수량],tbl_input[집계키_센터],F2538)))</f>
        <v/>
      </c>
      <c r="F2538" t="str">
        <f>IFERROR(INDEX(tbl_input[집계키_센터],ROW()-1),"")</f>
        <v/>
      </c>
      <c r="G2538" t="str">
        <f t="shared" si="277"/>
        <v/>
      </c>
      <c r="H2538" t="str">
        <f t="shared" si="278"/>
        <v/>
      </c>
      <c r="I2538" t="str">
        <f t="shared" si="279"/>
        <v/>
      </c>
    </row>
    <row r="2539" spans="1:9" x14ac:dyDescent="0.4">
      <c r="A2539" t="str">
        <f t="shared" si="273"/>
        <v/>
      </c>
      <c r="B2539" t="str">
        <f t="shared" si="274"/>
        <v/>
      </c>
      <c r="C2539" t="str">
        <f t="shared" si="275"/>
        <v/>
      </c>
      <c r="D2539" t="str">
        <f t="shared" si="276"/>
        <v/>
      </c>
      <c r="E2539" t="str">
        <f>IF(F2539="","",IF(COUNTIF($F$2:F2539,F2539)&gt;1,"",SUMIFS(tbl_input[필요수량],tbl_input[집계키_센터],F2539)))</f>
        <v/>
      </c>
      <c r="F2539" t="str">
        <f>IFERROR(INDEX(tbl_input[집계키_센터],ROW()-1),"")</f>
        <v/>
      </c>
      <c r="G2539" t="str">
        <f t="shared" si="277"/>
        <v/>
      </c>
      <c r="H2539" t="str">
        <f t="shared" si="278"/>
        <v/>
      </c>
      <c r="I2539" t="str">
        <f t="shared" si="279"/>
        <v/>
      </c>
    </row>
    <row r="2540" spans="1:9" x14ac:dyDescent="0.4">
      <c r="A2540" t="str">
        <f t="shared" si="273"/>
        <v/>
      </c>
      <c r="B2540" t="str">
        <f t="shared" si="274"/>
        <v/>
      </c>
      <c r="C2540" t="str">
        <f t="shared" si="275"/>
        <v/>
      </c>
      <c r="D2540" t="str">
        <f t="shared" si="276"/>
        <v/>
      </c>
      <c r="E2540" t="str">
        <f>IF(F2540="","",IF(COUNTIF($F$2:F2540,F2540)&gt;1,"",SUMIFS(tbl_input[필요수량],tbl_input[집계키_센터],F2540)))</f>
        <v/>
      </c>
      <c r="F2540" t="str">
        <f>IFERROR(INDEX(tbl_input[집계키_센터],ROW()-1),"")</f>
        <v/>
      </c>
      <c r="G2540" t="str">
        <f t="shared" si="277"/>
        <v/>
      </c>
      <c r="H2540" t="str">
        <f t="shared" si="278"/>
        <v/>
      </c>
      <c r="I2540" t="str">
        <f t="shared" si="279"/>
        <v/>
      </c>
    </row>
    <row r="2541" spans="1:9" x14ac:dyDescent="0.4">
      <c r="A2541" t="str">
        <f t="shared" si="273"/>
        <v/>
      </c>
      <c r="B2541" t="str">
        <f t="shared" si="274"/>
        <v/>
      </c>
      <c r="C2541" t="str">
        <f t="shared" si="275"/>
        <v/>
      </c>
      <c r="D2541" t="str">
        <f t="shared" si="276"/>
        <v/>
      </c>
      <c r="E2541" t="str">
        <f>IF(F2541="","",IF(COUNTIF($F$2:F2541,F2541)&gt;1,"",SUMIFS(tbl_input[필요수량],tbl_input[집계키_센터],F2541)))</f>
        <v/>
      </c>
      <c r="F2541" t="str">
        <f>IFERROR(INDEX(tbl_input[집계키_센터],ROW()-1),"")</f>
        <v/>
      </c>
      <c r="G2541" t="str">
        <f t="shared" si="277"/>
        <v/>
      </c>
      <c r="H2541" t="str">
        <f t="shared" si="278"/>
        <v/>
      </c>
      <c r="I2541" t="str">
        <f t="shared" si="279"/>
        <v/>
      </c>
    </row>
    <row r="2542" spans="1:9" x14ac:dyDescent="0.4">
      <c r="A2542" t="str">
        <f t="shared" si="273"/>
        <v/>
      </c>
      <c r="B2542" t="str">
        <f t="shared" si="274"/>
        <v/>
      </c>
      <c r="C2542" t="str">
        <f t="shared" si="275"/>
        <v/>
      </c>
      <c r="D2542" t="str">
        <f t="shared" si="276"/>
        <v/>
      </c>
      <c r="E2542" t="str">
        <f>IF(F2542="","",IF(COUNTIF($F$2:F2542,F2542)&gt;1,"",SUMIFS(tbl_input[필요수량],tbl_input[집계키_센터],F2542)))</f>
        <v/>
      </c>
      <c r="F2542" t="str">
        <f>IFERROR(INDEX(tbl_input[집계키_센터],ROW()-1),"")</f>
        <v/>
      </c>
      <c r="G2542" t="str">
        <f t="shared" si="277"/>
        <v/>
      </c>
      <c r="H2542" t="str">
        <f t="shared" si="278"/>
        <v/>
      </c>
      <c r="I2542" t="str">
        <f t="shared" si="279"/>
        <v/>
      </c>
    </row>
    <row r="2543" spans="1:9" x14ac:dyDescent="0.4">
      <c r="A2543" t="str">
        <f t="shared" si="273"/>
        <v/>
      </c>
      <c r="B2543" t="str">
        <f t="shared" si="274"/>
        <v/>
      </c>
      <c r="C2543" t="str">
        <f t="shared" si="275"/>
        <v/>
      </c>
      <c r="D2543" t="str">
        <f t="shared" si="276"/>
        <v/>
      </c>
      <c r="E2543" t="str">
        <f>IF(F2543="","",IF(COUNTIF($F$2:F2543,F2543)&gt;1,"",SUMIFS(tbl_input[필요수량],tbl_input[집계키_센터],F2543)))</f>
        <v/>
      </c>
      <c r="F2543" t="str">
        <f>IFERROR(INDEX(tbl_input[집계키_센터],ROW()-1),"")</f>
        <v/>
      </c>
      <c r="G2543" t="str">
        <f t="shared" si="277"/>
        <v/>
      </c>
      <c r="H2543" t="str">
        <f t="shared" si="278"/>
        <v/>
      </c>
      <c r="I2543" t="str">
        <f t="shared" si="279"/>
        <v/>
      </c>
    </row>
    <row r="2544" spans="1:9" x14ac:dyDescent="0.4">
      <c r="A2544" t="str">
        <f t="shared" si="273"/>
        <v/>
      </c>
      <c r="B2544" t="str">
        <f t="shared" si="274"/>
        <v/>
      </c>
      <c r="C2544" t="str">
        <f t="shared" si="275"/>
        <v/>
      </c>
      <c r="D2544" t="str">
        <f t="shared" si="276"/>
        <v/>
      </c>
      <c r="E2544" t="str">
        <f>IF(F2544="","",IF(COUNTIF($F$2:F2544,F2544)&gt;1,"",SUMIFS(tbl_input[필요수량],tbl_input[집계키_센터],F2544)))</f>
        <v/>
      </c>
      <c r="F2544" t="str">
        <f>IFERROR(INDEX(tbl_input[집계키_센터],ROW()-1),"")</f>
        <v/>
      </c>
      <c r="G2544" t="str">
        <f t="shared" si="277"/>
        <v/>
      </c>
      <c r="H2544" t="str">
        <f t="shared" si="278"/>
        <v/>
      </c>
      <c r="I2544" t="str">
        <f t="shared" si="279"/>
        <v/>
      </c>
    </row>
    <row r="2545" spans="1:9" x14ac:dyDescent="0.4">
      <c r="A2545" t="str">
        <f t="shared" si="273"/>
        <v/>
      </c>
      <c r="B2545" t="str">
        <f t="shared" si="274"/>
        <v/>
      </c>
      <c r="C2545" t="str">
        <f t="shared" si="275"/>
        <v/>
      </c>
      <c r="D2545" t="str">
        <f t="shared" si="276"/>
        <v/>
      </c>
      <c r="E2545" t="str">
        <f>IF(F2545="","",IF(COUNTIF($F$2:F2545,F2545)&gt;1,"",SUMIFS(tbl_input[필요수량],tbl_input[집계키_센터],F2545)))</f>
        <v/>
      </c>
      <c r="F2545" t="str">
        <f>IFERROR(INDEX(tbl_input[집계키_센터],ROW()-1),"")</f>
        <v/>
      </c>
      <c r="G2545" t="str">
        <f t="shared" si="277"/>
        <v/>
      </c>
      <c r="H2545" t="str">
        <f t="shared" si="278"/>
        <v/>
      </c>
      <c r="I2545" t="str">
        <f t="shared" si="279"/>
        <v/>
      </c>
    </row>
    <row r="2546" spans="1:9" x14ac:dyDescent="0.4">
      <c r="A2546" t="str">
        <f t="shared" si="273"/>
        <v/>
      </c>
      <c r="B2546" t="str">
        <f t="shared" si="274"/>
        <v/>
      </c>
      <c r="C2546" t="str">
        <f t="shared" si="275"/>
        <v/>
      </c>
      <c r="D2546" t="str">
        <f t="shared" si="276"/>
        <v/>
      </c>
      <c r="E2546" t="str">
        <f>IF(F2546="","",IF(COUNTIF($F$2:F2546,F2546)&gt;1,"",SUMIFS(tbl_input[필요수량],tbl_input[집계키_센터],F2546)))</f>
        <v/>
      </c>
      <c r="F2546" t="str">
        <f>IFERROR(INDEX(tbl_input[집계키_센터],ROW()-1),"")</f>
        <v/>
      </c>
      <c r="G2546" t="str">
        <f t="shared" si="277"/>
        <v/>
      </c>
      <c r="H2546" t="str">
        <f t="shared" si="278"/>
        <v/>
      </c>
      <c r="I2546" t="str">
        <f t="shared" si="279"/>
        <v/>
      </c>
    </row>
    <row r="2547" spans="1:9" x14ac:dyDescent="0.4">
      <c r="A2547" t="str">
        <f t="shared" si="273"/>
        <v/>
      </c>
      <c r="B2547" t="str">
        <f t="shared" si="274"/>
        <v/>
      </c>
      <c r="C2547" t="str">
        <f t="shared" si="275"/>
        <v/>
      </c>
      <c r="D2547" t="str">
        <f t="shared" si="276"/>
        <v/>
      </c>
      <c r="E2547" t="str">
        <f>IF(F2547="","",IF(COUNTIF($F$2:F2547,F2547)&gt;1,"",SUMIFS(tbl_input[필요수량],tbl_input[집계키_센터],F2547)))</f>
        <v/>
      </c>
      <c r="F2547" t="str">
        <f>IFERROR(INDEX(tbl_input[집계키_센터],ROW()-1),"")</f>
        <v/>
      </c>
      <c r="G2547" t="str">
        <f t="shared" si="277"/>
        <v/>
      </c>
      <c r="H2547" t="str">
        <f t="shared" si="278"/>
        <v/>
      </c>
      <c r="I2547" t="str">
        <f t="shared" si="279"/>
        <v/>
      </c>
    </row>
    <row r="2548" spans="1:9" x14ac:dyDescent="0.4">
      <c r="A2548" t="str">
        <f t="shared" si="273"/>
        <v/>
      </c>
      <c r="B2548" t="str">
        <f t="shared" si="274"/>
        <v/>
      </c>
      <c r="C2548" t="str">
        <f t="shared" si="275"/>
        <v/>
      </c>
      <c r="D2548" t="str">
        <f t="shared" si="276"/>
        <v/>
      </c>
      <c r="E2548" t="str">
        <f>IF(F2548="","",IF(COUNTIF($F$2:F2548,F2548)&gt;1,"",SUMIFS(tbl_input[필요수량],tbl_input[집계키_센터],F2548)))</f>
        <v/>
      </c>
      <c r="F2548" t="str">
        <f>IFERROR(INDEX(tbl_input[집계키_센터],ROW()-1),"")</f>
        <v/>
      </c>
      <c r="G2548" t="str">
        <f t="shared" si="277"/>
        <v/>
      </c>
      <c r="H2548" t="str">
        <f t="shared" si="278"/>
        <v/>
      </c>
      <c r="I2548" t="str">
        <f t="shared" si="279"/>
        <v/>
      </c>
    </row>
    <row r="2549" spans="1:9" x14ac:dyDescent="0.4">
      <c r="A2549" t="str">
        <f t="shared" si="273"/>
        <v/>
      </c>
      <c r="B2549" t="str">
        <f t="shared" si="274"/>
        <v/>
      </c>
      <c r="C2549" t="str">
        <f t="shared" si="275"/>
        <v/>
      </c>
      <c r="D2549" t="str">
        <f t="shared" si="276"/>
        <v/>
      </c>
      <c r="E2549" t="str">
        <f>IF(F2549="","",IF(COUNTIF($F$2:F2549,F2549)&gt;1,"",SUMIFS(tbl_input[필요수량],tbl_input[집계키_센터],F2549)))</f>
        <v/>
      </c>
      <c r="F2549" t="str">
        <f>IFERROR(INDEX(tbl_input[집계키_센터],ROW()-1),"")</f>
        <v/>
      </c>
      <c r="G2549" t="str">
        <f t="shared" si="277"/>
        <v/>
      </c>
      <c r="H2549" t="str">
        <f t="shared" si="278"/>
        <v/>
      </c>
      <c r="I2549" t="str">
        <f t="shared" si="279"/>
        <v/>
      </c>
    </row>
    <row r="2550" spans="1:9" x14ac:dyDescent="0.4">
      <c r="A2550" t="str">
        <f t="shared" si="273"/>
        <v/>
      </c>
      <c r="B2550" t="str">
        <f t="shared" si="274"/>
        <v/>
      </c>
      <c r="C2550" t="str">
        <f t="shared" si="275"/>
        <v/>
      </c>
      <c r="D2550" t="str">
        <f t="shared" si="276"/>
        <v/>
      </c>
      <c r="E2550" t="str">
        <f>IF(F2550="","",IF(COUNTIF($F$2:F2550,F2550)&gt;1,"",SUMIFS(tbl_input[필요수량],tbl_input[집계키_센터],F2550)))</f>
        <v/>
      </c>
      <c r="F2550" t="str">
        <f>IFERROR(INDEX(tbl_input[집계키_센터],ROW()-1),"")</f>
        <v/>
      </c>
      <c r="G2550" t="str">
        <f t="shared" si="277"/>
        <v/>
      </c>
      <c r="H2550" t="str">
        <f t="shared" si="278"/>
        <v/>
      </c>
      <c r="I2550" t="str">
        <f t="shared" si="279"/>
        <v/>
      </c>
    </row>
    <row r="2551" spans="1:9" x14ac:dyDescent="0.4">
      <c r="A2551" t="str">
        <f t="shared" si="273"/>
        <v/>
      </c>
      <c r="B2551" t="str">
        <f t="shared" si="274"/>
        <v/>
      </c>
      <c r="C2551" t="str">
        <f t="shared" si="275"/>
        <v/>
      </c>
      <c r="D2551" t="str">
        <f t="shared" si="276"/>
        <v/>
      </c>
      <c r="E2551" t="str">
        <f>IF(F2551="","",IF(COUNTIF($F$2:F2551,F2551)&gt;1,"",SUMIFS(tbl_input[필요수량],tbl_input[집계키_센터],F2551)))</f>
        <v/>
      </c>
      <c r="F2551" t="str">
        <f>IFERROR(INDEX(tbl_input[집계키_센터],ROW()-1),"")</f>
        <v/>
      </c>
      <c r="G2551" t="str">
        <f t="shared" si="277"/>
        <v/>
      </c>
      <c r="H2551" t="str">
        <f t="shared" si="278"/>
        <v/>
      </c>
      <c r="I2551" t="str">
        <f t="shared" si="279"/>
        <v/>
      </c>
    </row>
    <row r="2552" spans="1:9" x14ac:dyDescent="0.4">
      <c r="A2552" t="str">
        <f t="shared" si="273"/>
        <v/>
      </c>
      <c r="B2552" t="str">
        <f t="shared" si="274"/>
        <v/>
      </c>
      <c r="C2552" t="str">
        <f t="shared" si="275"/>
        <v/>
      </c>
      <c r="D2552" t="str">
        <f t="shared" si="276"/>
        <v/>
      </c>
      <c r="E2552" t="str">
        <f>IF(F2552="","",IF(COUNTIF($F$2:F2552,F2552)&gt;1,"",SUMIFS(tbl_input[필요수량],tbl_input[집계키_센터],F2552)))</f>
        <v/>
      </c>
      <c r="F2552" t="str">
        <f>IFERROR(INDEX(tbl_input[집계키_센터],ROW()-1),"")</f>
        <v/>
      </c>
      <c r="G2552" t="str">
        <f t="shared" si="277"/>
        <v/>
      </c>
      <c r="H2552" t="str">
        <f t="shared" si="278"/>
        <v/>
      </c>
      <c r="I2552" t="str">
        <f t="shared" si="279"/>
        <v/>
      </c>
    </row>
    <row r="2553" spans="1:9" x14ac:dyDescent="0.4">
      <c r="A2553" t="str">
        <f t="shared" si="273"/>
        <v/>
      </c>
      <c r="B2553" t="str">
        <f t="shared" si="274"/>
        <v/>
      </c>
      <c r="C2553" t="str">
        <f t="shared" si="275"/>
        <v/>
      </c>
      <c r="D2553" t="str">
        <f t="shared" si="276"/>
        <v/>
      </c>
      <c r="E2553" t="str">
        <f>IF(F2553="","",IF(COUNTIF($F$2:F2553,F2553)&gt;1,"",SUMIFS(tbl_input[필요수량],tbl_input[집계키_센터],F2553)))</f>
        <v/>
      </c>
      <c r="F2553" t="str">
        <f>IFERROR(INDEX(tbl_input[집계키_센터],ROW()-1),"")</f>
        <v/>
      </c>
      <c r="G2553" t="str">
        <f t="shared" si="277"/>
        <v/>
      </c>
      <c r="H2553" t="str">
        <f t="shared" si="278"/>
        <v/>
      </c>
      <c r="I2553" t="str">
        <f t="shared" si="279"/>
        <v/>
      </c>
    </row>
    <row r="2554" spans="1:9" x14ac:dyDescent="0.4">
      <c r="A2554" t="str">
        <f t="shared" si="273"/>
        <v/>
      </c>
      <c r="B2554" t="str">
        <f t="shared" si="274"/>
        <v/>
      </c>
      <c r="C2554" t="str">
        <f t="shared" si="275"/>
        <v/>
      </c>
      <c r="D2554" t="str">
        <f t="shared" si="276"/>
        <v/>
      </c>
      <c r="E2554" t="str">
        <f>IF(F2554="","",IF(COUNTIF($F$2:F2554,F2554)&gt;1,"",SUMIFS(tbl_input[필요수량],tbl_input[집계키_센터],F2554)))</f>
        <v/>
      </c>
      <c r="F2554" t="str">
        <f>IFERROR(INDEX(tbl_input[집계키_센터],ROW()-1),"")</f>
        <v/>
      </c>
      <c r="G2554" t="str">
        <f t="shared" si="277"/>
        <v/>
      </c>
      <c r="H2554" t="str">
        <f t="shared" si="278"/>
        <v/>
      </c>
      <c r="I2554" t="str">
        <f t="shared" si="279"/>
        <v/>
      </c>
    </row>
    <row r="2555" spans="1:9" x14ac:dyDescent="0.4">
      <c r="A2555" t="str">
        <f t="shared" si="273"/>
        <v/>
      </c>
      <c r="B2555" t="str">
        <f t="shared" si="274"/>
        <v/>
      </c>
      <c r="C2555" t="str">
        <f t="shared" si="275"/>
        <v/>
      </c>
      <c r="D2555" t="str">
        <f t="shared" si="276"/>
        <v/>
      </c>
      <c r="E2555" t="str">
        <f>IF(F2555="","",IF(COUNTIF($F$2:F2555,F2555)&gt;1,"",SUMIFS(tbl_input[필요수량],tbl_input[집계키_센터],F2555)))</f>
        <v/>
      </c>
      <c r="F2555" t="str">
        <f>IFERROR(INDEX(tbl_input[집계키_센터],ROW()-1),"")</f>
        <v/>
      </c>
      <c r="G2555" t="str">
        <f t="shared" si="277"/>
        <v/>
      </c>
      <c r="H2555" t="str">
        <f t="shared" si="278"/>
        <v/>
      </c>
      <c r="I2555" t="str">
        <f t="shared" si="279"/>
        <v/>
      </c>
    </row>
    <row r="2556" spans="1:9" x14ac:dyDescent="0.4">
      <c r="A2556" t="str">
        <f t="shared" si="273"/>
        <v/>
      </c>
      <c r="B2556" t="str">
        <f t="shared" si="274"/>
        <v/>
      </c>
      <c r="C2556" t="str">
        <f t="shared" si="275"/>
        <v/>
      </c>
      <c r="D2556" t="str">
        <f t="shared" si="276"/>
        <v/>
      </c>
      <c r="E2556" t="str">
        <f>IF(F2556="","",IF(COUNTIF($F$2:F2556,F2556)&gt;1,"",SUMIFS(tbl_input[필요수량],tbl_input[집계키_센터],F2556)))</f>
        <v/>
      </c>
      <c r="F2556" t="str">
        <f>IFERROR(INDEX(tbl_input[집계키_센터],ROW()-1),"")</f>
        <v/>
      </c>
      <c r="G2556" t="str">
        <f t="shared" si="277"/>
        <v/>
      </c>
      <c r="H2556" t="str">
        <f t="shared" si="278"/>
        <v/>
      </c>
      <c r="I2556" t="str">
        <f t="shared" si="279"/>
        <v/>
      </c>
    </row>
    <row r="2557" spans="1:9" x14ac:dyDescent="0.4">
      <c r="A2557" t="str">
        <f t="shared" si="273"/>
        <v/>
      </c>
      <c r="B2557" t="str">
        <f t="shared" si="274"/>
        <v/>
      </c>
      <c r="C2557" t="str">
        <f t="shared" si="275"/>
        <v/>
      </c>
      <c r="D2557" t="str">
        <f t="shared" si="276"/>
        <v/>
      </c>
      <c r="E2557" t="str">
        <f>IF(F2557="","",IF(COUNTIF($F$2:F2557,F2557)&gt;1,"",SUMIFS(tbl_input[필요수량],tbl_input[집계키_센터],F2557)))</f>
        <v/>
      </c>
      <c r="F2557" t="str">
        <f>IFERROR(INDEX(tbl_input[집계키_센터],ROW()-1),"")</f>
        <v/>
      </c>
      <c r="G2557" t="str">
        <f t="shared" si="277"/>
        <v/>
      </c>
      <c r="H2557" t="str">
        <f t="shared" si="278"/>
        <v/>
      </c>
      <c r="I2557" t="str">
        <f t="shared" si="279"/>
        <v/>
      </c>
    </row>
    <row r="2558" spans="1:9" x14ac:dyDescent="0.4">
      <c r="A2558" t="str">
        <f t="shared" si="273"/>
        <v/>
      </c>
      <c r="B2558" t="str">
        <f t="shared" si="274"/>
        <v/>
      </c>
      <c r="C2558" t="str">
        <f t="shared" si="275"/>
        <v/>
      </c>
      <c r="D2558" t="str">
        <f t="shared" si="276"/>
        <v/>
      </c>
      <c r="E2558" t="str">
        <f>IF(F2558="","",IF(COUNTIF($F$2:F2558,F2558)&gt;1,"",SUMIFS(tbl_input[필요수량],tbl_input[집계키_센터],F2558)))</f>
        <v/>
      </c>
      <c r="F2558" t="str">
        <f>IFERROR(INDEX(tbl_input[집계키_센터],ROW()-1),"")</f>
        <v/>
      </c>
      <c r="G2558" t="str">
        <f t="shared" si="277"/>
        <v/>
      </c>
      <c r="H2558" t="str">
        <f t="shared" si="278"/>
        <v/>
      </c>
      <c r="I2558" t="str">
        <f t="shared" si="279"/>
        <v/>
      </c>
    </row>
    <row r="2559" spans="1:9" x14ac:dyDescent="0.4">
      <c r="A2559" t="str">
        <f t="shared" si="273"/>
        <v/>
      </c>
      <c r="B2559" t="str">
        <f t="shared" si="274"/>
        <v/>
      </c>
      <c r="C2559" t="str">
        <f t="shared" si="275"/>
        <v/>
      </c>
      <c r="D2559" t="str">
        <f t="shared" si="276"/>
        <v/>
      </c>
      <c r="E2559" t="str">
        <f>IF(F2559="","",IF(COUNTIF($F$2:F2559,F2559)&gt;1,"",SUMIFS(tbl_input[필요수량],tbl_input[집계키_센터],F2559)))</f>
        <v/>
      </c>
      <c r="F2559" t="str">
        <f>IFERROR(INDEX(tbl_input[집계키_센터],ROW()-1),"")</f>
        <v/>
      </c>
      <c r="G2559" t="str">
        <f t="shared" si="277"/>
        <v/>
      </c>
      <c r="H2559" t="str">
        <f t="shared" si="278"/>
        <v/>
      </c>
      <c r="I2559" t="str">
        <f t="shared" si="279"/>
        <v/>
      </c>
    </row>
    <row r="2560" spans="1:9" x14ac:dyDescent="0.4">
      <c r="A2560" t="str">
        <f t="shared" si="273"/>
        <v/>
      </c>
      <c r="B2560" t="str">
        <f t="shared" si="274"/>
        <v/>
      </c>
      <c r="C2560" t="str">
        <f t="shared" si="275"/>
        <v/>
      </c>
      <c r="D2560" t="str">
        <f t="shared" si="276"/>
        <v/>
      </c>
      <c r="E2560" t="str">
        <f>IF(F2560="","",IF(COUNTIF($F$2:F2560,F2560)&gt;1,"",SUMIFS(tbl_input[필요수량],tbl_input[집계키_센터],F2560)))</f>
        <v/>
      </c>
      <c r="F2560" t="str">
        <f>IFERROR(INDEX(tbl_input[집계키_센터],ROW()-1),"")</f>
        <v/>
      </c>
      <c r="G2560" t="str">
        <f t="shared" si="277"/>
        <v/>
      </c>
      <c r="H2560" t="str">
        <f t="shared" si="278"/>
        <v/>
      </c>
      <c r="I2560" t="str">
        <f t="shared" si="279"/>
        <v/>
      </c>
    </row>
    <row r="2561" spans="1:9" x14ac:dyDescent="0.4">
      <c r="A2561" t="str">
        <f t="shared" si="273"/>
        <v/>
      </c>
      <c r="B2561" t="str">
        <f t="shared" si="274"/>
        <v/>
      </c>
      <c r="C2561" t="str">
        <f t="shared" si="275"/>
        <v/>
      </c>
      <c r="D2561" t="str">
        <f t="shared" si="276"/>
        <v/>
      </c>
      <c r="E2561" t="str">
        <f>IF(F2561="","",IF(COUNTIF($F$2:F2561,F2561)&gt;1,"",SUMIFS(tbl_input[필요수량],tbl_input[집계키_센터],F2561)))</f>
        <v/>
      </c>
      <c r="F2561" t="str">
        <f>IFERROR(INDEX(tbl_input[집계키_센터],ROW()-1),"")</f>
        <v/>
      </c>
      <c r="G2561" t="str">
        <f t="shared" si="277"/>
        <v/>
      </c>
      <c r="H2561" t="str">
        <f t="shared" si="278"/>
        <v/>
      </c>
      <c r="I2561" t="str">
        <f t="shared" si="279"/>
        <v/>
      </c>
    </row>
    <row r="2562" spans="1:9" x14ac:dyDescent="0.4">
      <c r="A2562" t="str">
        <f t="shared" ref="A2562:A2625" si="280">IF(F2562="","",LEFT(F2562,G2562-1))</f>
        <v/>
      </c>
      <c r="B2562" t="str">
        <f t="shared" ref="B2562:B2625" si="281">IF(F2562="","",MID(F2562,G2562+1,H2562-G2562-1))</f>
        <v/>
      </c>
      <c r="C2562" t="str">
        <f t="shared" ref="C2562:C2625" si="282">IF(F2562="","",MID(F2562,H2562+1,I2562-H2562-1))</f>
        <v/>
      </c>
      <c r="D2562" t="str">
        <f t="shared" ref="D2562:D2625" si="283">IF(F2562="","",MID(F2562,I2562+1,999))</f>
        <v/>
      </c>
      <c r="E2562" t="str">
        <f>IF(F2562="","",IF(COUNTIF($F$2:F2562,F2562)&gt;1,"",SUMIFS(tbl_input[필요수량],tbl_input[집계키_센터],F2562)))</f>
        <v/>
      </c>
      <c r="F2562" t="str">
        <f>IFERROR(INDEX(tbl_input[집계키_센터],ROW()-1),"")</f>
        <v/>
      </c>
      <c r="G2562" t="str">
        <f t="shared" ref="G2562:G2625" si="284">IF(F2562="","",FIND("♦",F2562))</f>
        <v/>
      </c>
      <c r="H2562" t="str">
        <f t="shared" ref="H2562:H2625" si="285">IF(F2562="","",FIND("♦",F2562,G2562+1))</f>
        <v/>
      </c>
      <c r="I2562" t="str">
        <f t="shared" ref="I2562:I2625" si="286">IF(F2562="","",FIND("♦",F2562,H2562+1))</f>
        <v/>
      </c>
    </row>
    <row r="2563" spans="1:9" x14ac:dyDescent="0.4">
      <c r="A2563" t="str">
        <f t="shared" si="280"/>
        <v/>
      </c>
      <c r="B2563" t="str">
        <f t="shared" si="281"/>
        <v/>
      </c>
      <c r="C2563" t="str">
        <f t="shared" si="282"/>
        <v/>
      </c>
      <c r="D2563" t="str">
        <f t="shared" si="283"/>
        <v/>
      </c>
      <c r="E2563" t="str">
        <f>IF(F2563="","",IF(COUNTIF($F$2:F2563,F2563)&gt;1,"",SUMIFS(tbl_input[필요수량],tbl_input[집계키_센터],F2563)))</f>
        <v/>
      </c>
      <c r="F2563" t="str">
        <f>IFERROR(INDEX(tbl_input[집계키_센터],ROW()-1),"")</f>
        <v/>
      </c>
      <c r="G2563" t="str">
        <f t="shared" si="284"/>
        <v/>
      </c>
      <c r="H2563" t="str">
        <f t="shared" si="285"/>
        <v/>
      </c>
      <c r="I2563" t="str">
        <f t="shared" si="286"/>
        <v/>
      </c>
    </row>
    <row r="2564" spans="1:9" x14ac:dyDescent="0.4">
      <c r="A2564" t="str">
        <f t="shared" si="280"/>
        <v/>
      </c>
      <c r="B2564" t="str">
        <f t="shared" si="281"/>
        <v/>
      </c>
      <c r="C2564" t="str">
        <f t="shared" si="282"/>
        <v/>
      </c>
      <c r="D2564" t="str">
        <f t="shared" si="283"/>
        <v/>
      </c>
      <c r="E2564" t="str">
        <f>IF(F2564="","",IF(COUNTIF($F$2:F2564,F2564)&gt;1,"",SUMIFS(tbl_input[필요수량],tbl_input[집계키_센터],F2564)))</f>
        <v/>
      </c>
      <c r="F2564" t="str">
        <f>IFERROR(INDEX(tbl_input[집계키_센터],ROW()-1),"")</f>
        <v/>
      </c>
      <c r="G2564" t="str">
        <f t="shared" si="284"/>
        <v/>
      </c>
      <c r="H2564" t="str">
        <f t="shared" si="285"/>
        <v/>
      </c>
      <c r="I2564" t="str">
        <f t="shared" si="286"/>
        <v/>
      </c>
    </row>
    <row r="2565" spans="1:9" x14ac:dyDescent="0.4">
      <c r="A2565" t="str">
        <f t="shared" si="280"/>
        <v/>
      </c>
      <c r="B2565" t="str">
        <f t="shared" si="281"/>
        <v/>
      </c>
      <c r="C2565" t="str">
        <f t="shared" si="282"/>
        <v/>
      </c>
      <c r="D2565" t="str">
        <f t="shared" si="283"/>
        <v/>
      </c>
      <c r="E2565" t="str">
        <f>IF(F2565="","",IF(COUNTIF($F$2:F2565,F2565)&gt;1,"",SUMIFS(tbl_input[필요수량],tbl_input[집계키_센터],F2565)))</f>
        <v/>
      </c>
      <c r="F2565" t="str">
        <f>IFERROR(INDEX(tbl_input[집계키_센터],ROW()-1),"")</f>
        <v/>
      </c>
      <c r="G2565" t="str">
        <f t="shared" si="284"/>
        <v/>
      </c>
      <c r="H2565" t="str">
        <f t="shared" si="285"/>
        <v/>
      </c>
      <c r="I2565" t="str">
        <f t="shared" si="286"/>
        <v/>
      </c>
    </row>
    <row r="2566" spans="1:9" x14ac:dyDescent="0.4">
      <c r="A2566" t="str">
        <f t="shared" si="280"/>
        <v/>
      </c>
      <c r="B2566" t="str">
        <f t="shared" si="281"/>
        <v/>
      </c>
      <c r="C2566" t="str">
        <f t="shared" si="282"/>
        <v/>
      </c>
      <c r="D2566" t="str">
        <f t="shared" si="283"/>
        <v/>
      </c>
      <c r="E2566" t="str">
        <f>IF(F2566="","",IF(COUNTIF($F$2:F2566,F2566)&gt;1,"",SUMIFS(tbl_input[필요수량],tbl_input[집계키_센터],F2566)))</f>
        <v/>
      </c>
      <c r="F2566" t="str">
        <f>IFERROR(INDEX(tbl_input[집계키_센터],ROW()-1),"")</f>
        <v/>
      </c>
      <c r="G2566" t="str">
        <f t="shared" si="284"/>
        <v/>
      </c>
      <c r="H2566" t="str">
        <f t="shared" si="285"/>
        <v/>
      </c>
      <c r="I2566" t="str">
        <f t="shared" si="286"/>
        <v/>
      </c>
    </row>
    <row r="2567" spans="1:9" x14ac:dyDescent="0.4">
      <c r="A2567" t="str">
        <f t="shared" si="280"/>
        <v/>
      </c>
      <c r="B2567" t="str">
        <f t="shared" si="281"/>
        <v/>
      </c>
      <c r="C2567" t="str">
        <f t="shared" si="282"/>
        <v/>
      </c>
      <c r="D2567" t="str">
        <f t="shared" si="283"/>
        <v/>
      </c>
      <c r="E2567" t="str">
        <f>IF(F2567="","",IF(COUNTIF($F$2:F2567,F2567)&gt;1,"",SUMIFS(tbl_input[필요수량],tbl_input[집계키_센터],F2567)))</f>
        <v/>
      </c>
      <c r="F2567" t="str">
        <f>IFERROR(INDEX(tbl_input[집계키_센터],ROW()-1),"")</f>
        <v/>
      </c>
      <c r="G2567" t="str">
        <f t="shared" si="284"/>
        <v/>
      </c>
      <c r="H2567" t="str">
        <f t="shared" si="285"/>
        <v/>
      </c>
      <c r="I2567" t="str">
        <f t="shared" si="286"/>
        <v/>
      </c>
    </row>
    <row r="2568" spans="1:9" x14ac:dyDescent="0.4">
      <c r="A2568" t="str">
        <f t="shared" si="280"/>
        <v/>
      </c>
      <c r="B2568" t="str">
        <f t="shared" si="281"/>
        <v/>
      </c>
      <c r="C2568" t="str">
        <f t="shared" si="282"/>
        <v/>
      </c>
      <c r="D2568" t="str">
        <f t="shared" si="283"/>
        <v/>
      </c>
      <c r="E2568" t="str">
        <f>IF(F2568="","",IF(COUNTIF($F$2:F2568,F2568)&gt;1,"",SUMIFS(tbl_input[필요수량],tbl_input[집계키_센터],F2568)))</f>
        <v/>
      </c>
      <c r="F2568" t="str">
        <f>IFERROR(INDEX(tbl_input[집계키_센터],ROW()-1),"")</f>
        <v/>
      </c>
      <c r="G2568" t="str">
        <f t="shared" si="284"/>
        <v/>
      </c>
      <c r="H2568" t="str">
        <f t="shared" si="285"/>
        <v/>
      </c>
      <c r="I2568" t="str">
        <f t="shared" si="286"/>
        <v/>
      </c>
    </row>
    <row r="2569" spans="1:9" x14ac:dyDescent="0.4">
      <c r="A2569" t="str">
        <f t="shared" si="280"/>
        <v/>
      </c>
      <c r="B2569" t="str">
        <f t="shared" si="281"/>
        <v/>
      </c>
      <c r="C2569" t="str">
        <f t="shared" si="282"/>
        <v/>
      </c>
      <c r="D2569" t="str">
        <f t="shared" si="283"/>
        <v/>
      </c>
      <c r="E2569" t="str">
        <f>IF(F2569="","",IF(COUNTIF($F$2:F2569,F2569)&gt;1,"",SUMIFS(tbl_input[필요수량],tbl_input[집계키_센터],F2569)))</f>
        <v/>
      </c>
      <c r="F2569" t="str">
        <f>IFERROR(INDEX(tbl_input[집계키_센터],ROW()-1),"")</f>
        <v/>
      </c>
      <c r="G2569" t="str">
        <f t="shared" si="284"/>
        <v/>
      </c>
      <c r="H2569" t="str">
        <f t="shared" si="285"/>
        <v/>
      </c>
      <c r="I2569" t="str">
        <f t="shared" si="286"/>
        <v/>
      </c>
    </row>
    <row r="2570" spans="1:9" x14ac:dyDescent="0.4">
      <c r="A2570" t="str">
        <f t="shared" si="280"/>
        <v/>
      </c>
      <c r="B2570" t="str">
        <f t="shared" si="281"/>
        <v/>
      </c>
      <c r="C2570" t="str">
        <f t="shared" si="282"/>
        <v/>
      </c>
      <c r="D2570" t="str">
        <f t="shared" si="283"/>
        <v/>
      </c>
      <c r="E2570" t="str">
        <f>IF(F2570="","",IF(COUNTIF($F$2:F2570,F2570)&gt;1,"",SUMIFS(tbl_input[필요수량],tbl_input[집계키_센터],F2570)))</f>
        <v/>
      </c>
      <c r="F2570" t="str">
        <f>IFERROR(INDEX(tbl_input[집계키_센터],ROW()-1),"")</f>
        <v/>
      </c>
      <c r="G2570" t="str">
        <f t="shared" si="284"/>
        <v/>
      </c>
      <c r="H2570" t="str">
        <f t="shared" si="285"/>
        <v/>
      </c>
      <c r="I2570" t="str">
        <f t="shared" si="286"/>
        <v/>
      </c>
    </row>
    <row r="2571" spans="1:9" x14ac:dyDescent="0.4">
      <c r="A2571" t="str">
        <f t="shared" si="280"/>
        <v/>
      </c>
      <c r="B2571" t="str">
        <f t="shared" si="281"/>
        <v/>
      </c>
      <c r="C2571" t="str">
        <f t="shared" si="282"/>
        <v/>
      </c>
      <c r="D2571" t="str">
        <f t="shared" si="283"/>
        <v/>
      </c>
      <c r="E2571" t="str">
        <f>IF(F2571="","",IF(COUNTIF($F$2:F2571,F2571)&gt;1,"",SUMIFS(tbl_input[필요수량],tbl_input[집계키_센터],F2571)))</f>
        <v/>
      </c>
      <c r="F2571" t="str">
        <f>IFERROR(INDEX(tbl_input[집계키_센터],ROW()-1),"")</f>
        <v/>
      </c>
      <c r="G2571" t="str">
        <f t="shared" si="284"/>
        <v/>
      </c>
      <c r="H2571" t="str">
        <f t="shared" si="285"/>
        <v/>
      </c>
      <c r="I2571" t="str">
        <f t="shared" si="286"/>
        <v/>
      </c>
    </row>
    <row r="2572" spans="1:9" x14ac:dyDescent="0.4">
      <c r="A2572" t="str">
        <f t="shared" si="280"/>
        <v/>
      </c>
      <c r="B2572" t="str">
        <f t="shared" si="281"/>
        <v/>
      </c>
      <c r="C2572" t="str">
        <f t="shared" si="282"/>
        <v/>
      </c>
      <c r="D2572" t="str">
        <f t="shared" si="283"/>
        <v/>
      </c>
      <c r="E2572" t="str">
        <f>IF(F2572="","",IF(COUNTIF($F$2:F2572,F2572)&gt;1,"",SUMIFS(tbl_input[필요수량],tbl_input[집계키_센터],F2572)))</f>
        <v/>
      </c>
      <c r="F2572" t="str">
        <f>IFERROR(INDEX(tbl_input[집계키_센터],ROW()-1),"")</f>
        <v/>
      </c>
      <c r="G2572" t="str">
        <f t="shared" si="284"/>
        <v/>
      </c>
      <c r="H2572" t="str">
        <f t="shared" si="285"/>
        <v/>
      </c>
      <c r="I2572" t="str">
        <f t="shared" si="286"/>
        <v/>
      </c>
    </row>
    <row r="2573" spans="1:9" x14ac:dyDescent="0.4">
      <c r="A2573" t="str">
        <f t="shared" si="280"/>
        <v/>
      </c>
      <c r="B2573" t="str">
        <f t="shared" si="281"/>
        <v/>
      </c>
      <c r="C2573" t="str">
        <f t="shared" si="282"/>
        <v/>
      </c>
      <c r="D2573" t="str">
        <f t="shared" si="283"/>
        <v/>
      </c>
      <c r="E2573" t="str">
        <f>IF(F2573="","",IF(COUNTIF($F$2:F2573,F2573)&gt;1,"",SUMIFS(tbl_input[필요수량],tbl_input[집계키_센터],F2573)))</f>
        <v/>
      </c>
      <c r="F2573" t="str">
        <f>IFERROR(INDEX(tbl_input[집계키_센터],ROW()-1),"")</f>
        <v/>
      </c>
      <c r="G2573" t="str">
        <f t="shared" si="284"/>
        <v/>
      </c>
      <c r="H2573" t="str">
        <f t="shared" si="285"/>
        <v/>
      </c>
      <c r="I2573" t="str">
        <f t="shared" si="286"/>
        <v/>
      </c>
    </row>
    <row r="2574" spans="1:9" x14ac:dyDescent="0.4">
      <c r="A2574" t="str">
        <f t="shared" si="280"/>
        <v/>
      </c>
      <c r="B2574" t="str">
        <f t="shared" si="281"/>
        <v/>
      </c>
      <c r="C2574" t="str">
        <f t="shared" si="282"/>
        <v/>
      </c>
      <c r="D2574" t="str">
        <f t="shared" si="283"/>
        <v/>
      </c>
      <c r="E2574" t="str">
        <f>IF(F2574="","",IF(COUNTIF($F$2:F2574,F2574)&gt;1,"",SUMIFS(tbl_input[필요수량],tbl_input[집계키_센터],F2574)))</f>
        <v/>
      </c>
      <c r="F2574" t="str">
        <f>IFERROR(INDEX(tbl_input[집계키_센터],ROW()-1),"")</f>
        <v/>
      </c>
      <c r="G2574" t="str">
        <f t="shared" si="284"/>
        <v/>
      </c>
      <c r="H2574" t="str">
        <f t="shared" si="285"/>
        <v/>
      </c>
      <c r="I2574" t="str">
        <f t="shared" si="286"/>
        <v/>
      </c>
    </row>
    <row r="2575" spans="1:9" x14ac:dyDescent="0.4">
      <c r="A2575" t="str">
        <f t="shared" si="280"/>
        <v/>
      </c>
      <c r="B2575" t="str">
        <f t="shared" si="281"/>
        <v/>
      </c>
      <c r="C2575" t="str">
        <f t="shared" si="282"/>
        <v/>
      </c>
      <c r="D2575" t="str">
        <f t="shared" si="283"/>
        <v/>
      </c>
      <c r="E2575" t="str">
        <f>IF(F2575="","",IF(COUNTIF($F$2:F2575,F2575)&gt;1,"",SUMIFS(tbl_input[필요수량],tbl_input[집계키_센터],F2575)))</f>
        <v/>
      </c>
      <c r="F2575" t="str">
        <f>IFERROR(INDEX(tbl_input[집계키_센터],ROW()-1),"")</f>
        <v/>
      </c>
      <c r="G2575" t="str">
        <f t="shared" si="284"/>
        <v/>
      </c>
      <c r="H2575" t="str">
        <f t="shared" si="285"/>
        <v/>
      </c>
      <c r="I2575" t="str">
        <f t="shared" si="286"/>
        <v/>
      </c>
    </row>
    <row r="2576" spans="1:9" x14ac:dyDescent="0.4">
      <c r="A2576" t="str">
        <f t="shared" si="280"/>
        <v/>
      </c>
      <c r="B2576" t="str">
        <f t="shared" si="281"/>
        <v/>
      </c>
      <c r="C2576" t="str">
        <f t="shared" si="282"/>
        <v/>
      </c>
      <c r="D2576" t="str">
        <f t="shared" si="283"/>
        <v/>
      </c>
      <c r="E2576" t="str">
        <f>IF(F2576="","",IF(COUNTIF($F$2:F2576,F2576)&gt;1,"",SUMIFS(tbl_input[필요수량],tbl_input[집계키_센터],F2576)))</f>
        <v/>
      </c>
      <c r="F2576" t="str">
        <f>IFERROR(INDEX(tbl_input[집계키_센터],ROW()-1),"")</f>
        <v/>
      </c>
      <c r="G2576" t="str">
        <f t="shared" si="284"/>
        <v/>
      </c>
      <c r="H2576" t="str">
        <f t="shared" si="285"/>
        <v/>
      </c>
      <c r="I2576" t="str">
        <f t="shared" si="286"/>
        <v/>
      </c>
    </row>
    <row r="2577" spans="1:9" x14ac:dyDescent="0.4">
      <c r="A2577" t="str">
        <f t="shared" si="280"/>
        <v/>
      </c>
      <c r="B2577" t="str">
        <f t="shared" si="281"/>
        <v/>
      </c>
      <c r="C2577" t="str">
        <f t="shared" si="282"/>
        <v/>
      </c>
      <c r="D2577" t="str">
        <f t="shared" si="283"/>
        <v/>
      </c>
      <c r="E2577" t="str">
        <f>IF(F2577="","",IF(COUNTIF($F$2:F2577,F2577)&gt;1,"",SUMIFS(tbl_input[필요수량],tbl_input[집계키_센터],F2577)))</f>
        <v/>
      </c>
      <c r="F2577" t="str">
        <f>IFERROR(INDEX(tbl_input[집계키_센터],ROW()-1),"")</f>
        <v/>
      </c>
      <c r="G2577" t="str">
        <f t="shared" si="284"/>
        <v/>
      </c>
      <c r="H2577" t="str">
        <f t="shared" si="285"/>
        <v/>
      </c>
      <c r="I2577" t="str">
        <f t="shared" si="286"/>
        <v/>
      </c>
    </row>
    <row r="2578" spans="1:9" x14ac:dyDescent="0.4">
      <c r="A2578" t="str">
        <f t="shared" si="280"/>
        <v/>
      </c>
      <c r="B2578" t="str">
        <f t="shared" si="281"/>
        <v/>
      </c>
      <c r="C2578" t="str">
        <f t="shared" si="282"/>
        <v/>
      </c>
      <c r="D2578" t="str">
        <f t="shared" si="283"/>
        <v/>
      </c>
      <c r="E2578" t="str">
        <f>IF(F2578="","",IF(COUNTIF($F$2:F2578,F2578)&gt;1,"",SUMIFS(tbl_input[필요수량],tbl_input[집계키_센터],F2578)))</f>
        <v/>
      </c>
      <c r="F2578" t="str">
        <f>IFERROR(INDEX(tbl_input[집계키_센터],ROW()-1),"")</f>
        <v/>
      </c>
      <c r="G2578" t="str">
        <f t="shared" si="284"/>
        <v/>
      </c>
      <c r="H2578" t="str">
        <f t="shared" si="285"/>
        <v/>
      </c>
      <c r="I2578" t="str">
        <f t="shared" si="286"/>
        <v/>
      </c>
    </row>
    <row r="2579" spans="1:9" x14ac:dyDescent="0.4">
      <c r="A2579" t="str">
        <f t="shared" si="280"/>
        <v/>
      </c>
      <c r="B2579" t="str">
        <f t="shared" si="281"/>
        <v/>
      </c>
      <c r="C2579" t="str">
        <f t="shared" si="282"/>
        <v/>
      </c>
      <c r="D2579" t="str">
        <f t="shared" si="283"/>
        <v/>
      </c>
      <c r="E2579" t="str">
        <f>IF(F2579="","",IF(COUNTIF($F$2:F2579,F2579)&gt;1,"",SUMIFS(tbl_input[필요수량],tbl_input[집계키_센터],F2579)))</f>
        <v/>
      </c>
      <c r="F2579" t="str">
        <f>IFERROR(INDEX(tbl_input[집계키_센터],ROW()-1),"")</f>
        <v/>
      </c>
      <c r="G2579" t="str">
        <f t="shared" si="284"/>
        <v/>
      </c>
      <c r="H2579" t="str">
        <f t="shared" si="285"/>
        <v/>
      </c>
      <c r="I2579" t="str">
        <f t="shared" si="286"/>
        <v/>
      </c>
    </row>
    <row r="2580" spans="1:9" x14ac:dyDescent="0.4">
      <c r="A2580" t="str">
        <f t="shared" si="280"/>
        <v/>
      </c>
      <c r="B2580" t="str">
        <f t="shared" si="281"/>
        <v/>
      </c>
      <c r="C2580" t="str">
        <f t="shared" si="282"/>
        <v/>
      </c>
      <c r="D2580" t="str">
        <f t="shared" si="283"/>
        <v/>
      </c>
      <c r="E2580" t="str">
        <f>IF(F2580="","",IF(COUNTIF($F$2:F2580,F2580)&gt;1,"",SUMIFS(tbl_input[필요수량],tbl_input[집계키_센터],F2580)))</f>
        <v/>
      </c>
      <c r="F2580" t="str">
        <f>IFERROR(INDEX(tbl_input[집계키_센터],ROW()-1),"")</f>
        <v/>
      </c>
      <c r="G2580" t="str">
        <f t="shared" si="284"/>
        <v/>
      </c>
      <c r="H2580" t="str">
        <f t="shared" si="285"/>
        <v/>
      </c>
      <c r="I2580" t="str">
        <f t="shared" si="286"/>
        <v/>
      </c>
    </row>
    <row r="2581" spans="1:9" x14ac:dyDescent="0.4">
      <c r="A2581" t="str">
        <f t="shared" si="280"/>
        <v/>
      </c>
      <c r="B2581" t="str">
        <f t="shared" si="281"/>
        <v/>
      </c>
      <c r="C2581" t="str">
        <f t="shared" si="282"/>
        <v/>
      </c>
      <c r="D2581" t="str">
        <f t="shared" si="283"/>
        <v/>
      </c>
      <c r="E2581" t="str">
        <f>IF(F2581="","",IF(COUNTIF($F$2:F2581,F2581)&gt;1,"",SUMIFS(tbl_input[필요수량],tbl_input[집계키_센터],F2581)))</f>
        <v/>
      </c>
      <c r="F2581" t="str">
        <f>IFERROR(INDEX(tbl_input[집계키_센터],ROW()-1),"")</f>
        <v/>
      </c>
      <c r="G2581" t="str">
        <f t="shared" si="284"/>
        <v/>
      </c>
      <c r="H2581" t="str">
        <f t="shared" si="285"/>
        <v/>
      </c>
      <c r="I2581" t="str">
        <f t="shared" si="286"/>
        <v/>
      </c>
    </row>
    <row r="2582" spans="1:9" x14ac:dyDescent="0.4">
      <c r="A2582" t="str">
        <f t="shared" si="280"/>
        <v/>
      </c>
      <c r="B2582" t="str">
        <f t="shared" si="281"/>
        <v/>
      </c>
      <c r="C2582" t="str">
        <f t="shared" si="282"/>
        <v/>
      </c>
      <c r="D2582" t="str">
        <f t="shared" si="283"/>
        <v/>
      </c>
      <c r="E2582" t="str">
        <f>IF(F2582="","",IF(COUNTIF($F$2:F2582,F2582)&gt;1,"",SUMIFS(tbl_input[필요수량],tbl_input[집계키_센터],F2582)))</f>
        <v/>
      </c>
      <c r="F2582" t="str">
        <f>IFERROR(INDEX(tbl_input[집계키_센터],ROW()-1),"")</f>
        <v/>
      </c>
      <c r="G2582" t="str">
        <f t="shared" si="284"/>
        <v/>
      </c>
      <c r="H2582" t="str">
        <f t="shared" si="285"/>
        <v/>
      </c>
      <c r="I2582" t="str">
        <f t="shared" si="286"/>
        <v/>
      </c>
    </row>
    <row r="2583" spans="1:9" x14ac:dyDescent="0.4">
      <c r="A2583" t="str">
        <f t="shared" si="280"/>
        <v/>
      </c>
      <c r="B2583" t="str">
        <f t="shared" si="281"/>
        <v/>
      </c>
      <c r="C2583" t="str">
        <f t="shared" si="282"/>
        <v/>
      </c>
      <c r="D2583" t="str">
        <f t="shared" si="283"/>
        <v/>
      </c>
      <c r="E2583" t="str">
        <f>IF(F2583="","",IF(COUNTIF($F$2:F2583,F2583)&gt;1,"",SUMIFS(tbl_input[필요수량],tbl_input[집계키_센터],F2583)))</f>
        <v/>
      </c>
      <c r="F2583" t="str">
        <f>IFERROR(INDEX(tbl_input[집계키_센터],ROW()-1),"")</f>
        <v/>
      </c>
      <c r="G2583" t="str">
        <f t="shared" si="284"/>
        <v/>
      </c>
      <c r="H2583" t="str">
        <f t="shared" si="285"/>
        <v/>
      </c>
      <c r="I2583" t="str">
        <f t="shared" si="286"/>
        <v/>
      </c>
    </row>
    <row r="2584" spans="1:9" x14ac:dyDescent="0.4">
      <c r="A2584" t="str">
        <f t="shared" si="280"/>
        <v/>
      </c>
      <c r="B2584" t="str">
        <f t="shared" si="281"/>
        <v/>
      </c>
      <c r="C2584" t="str">
        <f t="shared" si="282"/>
        <v/>
      </c>
      <c r="D2584" t="str">
        <f t="shared" si="283"/>
        <v/>
      </c>
      <c r="E2584" t="str">
        <f>IF(F2584="","",IF(COUNTIF($F$2:F2584,F2584)&gt;1,"",SUMIFS(tbl_input[필요수량],tbl_input[집계키_센터],F2584)))</f>
        <v/>
      </c>
      <c r="F2584" t="str">
        <f>IFERROR(INDEX(tbl_input[집계키_센터],ROW()-1),"")</f>
        <v/>
      </c>
      <c r="G2584" t="str">
        <f t="shared" si="284"/>
        <v/>
      </c>
      <c r="H2584" t="str">
        <f t="shared" si="285"/>
        <v/>
      </c>
      <c r="I2584" t="str">
        <f t="shared" si="286"/>
        <v/>
      </c>
    </row>
    <row r="2585" spans="1:9" x14ac:dyDescent="0.4">
      <c r="A2585" t="str">
        <f t="shared" si="280"/>
        <v/>
      </c>
      <c r="B2585" t="str">
        <f t="shared" si="281"/>
        <v/>
      </c>
      <c r="C2585" t="str">
        <f t="shared" si="282"/>
        <v/>
      </c>
      <c r="D2585" t="str">
        <f t="shared" si="283"/>
        <v/>
      </c>
      <c r="E2585" t="str">
        <f>IF(F2585="","",IF(COUNTIF($F$2:F2585,F2585)&gt;1,"",SUMIFS(tbl_input[필요수량],tbl_input[집계키_센터],F2585)))</f>
        <v/>
      </c>
      <c r="F2585" t="str">
        <f>IFERROR(INDEX(tbl_input[집계키_센터],ROW()-1),"")</f>
        <v/>
      </c>
      <c r="G2585" t="str">
        <f t="shared" si="284"/>
        <v/>
      </c>
      <c r="H2585" t="str">
        <f t="shared" si="285"/>
        <v/>
      </c>
      <c r="I2585" t="str">
        <f t="shared" si="286"/>
        <v/>
      </c>
    </row>
    <row r="2586" spans="1:9" x14ac:dyDescent="0.4">
      <c r="A2586" t="str">
        <f t="shared" si="280"/>
        <v/>
      </c>
      <c r="B2586" t="str">
        <f t="shared" si="281"/>
        <v/>
      </c>
      <c r="C2586" t="str">
        <f t="shared" si="282"/>
        <v/>
      </c>
      <c r="D2586" t="str">
        <f t="shared" si="283"/>
        <v/>
      </c>
      <c r="E2586" t="str">
        <f>IF(F2586="","",IF(COUNTIF($F$2:F2586,F2586)&gt;1,"",SUMIFS(tbl_input[필요수량],tbl_input[집계키_센터],F2586)))</f>
        <v/>
      </c>
      <c r="F2586" t="str">
        <f>IFERROR(INDEX(tbl_input[집계키_센터],ROW()-1),"")</f>
        <v/>
      </c>
      <c r="G2586" t="str">
        <f t="shared" si="284"/>
        <v/>
      </c>
      <c r="H2586" t="str">
        <f t="shared" si="285"/>
        <v/>
      </c>
      <c r="I2586" t="str">
        <f t="shared" si="286"/>
        <v/>
      </c>
    </row>
    <row r="2587" spans="1:9" x14ac:dyDescent="0.4">
      <c r="A2587" t="str">
        <f t="shared" si="280"/>
        <v/>
      </c>
      <c r="B2587" t="str">
        <f t="shared" si="281"/>
        <v/>
      </c>
      <c r="C2587" t="str">
        <f t="shared" si="282"/>
        <v/>
      </c>
      <c r="D2587" t="str">
        <f t="shared" si="283"/>
        <v/>
      </c>
      <c r="E2587" t="str">
        <f>IF(F2587="","",IF(COUNTIF($F$2:F2587,F2587)&gt;1,"",SUMIFS(tbl_input[필요수량],tbl_input[집계키_센터],F2587)))</f>
        <v/>
      </c>
      <c r="F2587" t="str">
        <f>IFERROR(INDEX(tbl_input[집계키_센터],ROW()-1),"")</f>
        <v/>
      </c>
      <c r="G2587" t="str">
        <f t="shared" si="284"/>
        <v/>
      </c>
      <c r="H2587" t="str">
        <f t="shared" si="285"/>
        <v/>
      </c>
      <c r="I2587" t="str">
        <f t="shared" si="286"/>
        <v/>
      </c>
    </row>
    <row r="2588" spans="1:9" x14ac:dyDescent="0.4">
      <c r="A2588" t="str">
        <f t="shared" si="280"/>
        <v/>
      </c>
      <c r="B2588" t="str">
        <f t="shared" si="281"/>
        <v/>
      </c>
      <c r="C2588" t="str">
        <f t="shared" si="282"/>
        <v/>
      </c>
      <c r="D2588" t="str">
        <f t="shared" si="283"/>
        <v/>
      </c>
      <c r="E2588" t="str">
        <f>IF(F2588="","",IF(COUNTIF($F$2:F2588,F2588)&gt;1,"",SUMIFS(tbl_input[필요수량],tbl_input[집계키_센터],F2588)))</f>
        <v/>
      </c>
      <c r="F2588" t="str">
        <f>IFERROR(INDEX(tbl_input[집계키_센터],ROW()-1),"")</f>
        <v/>
      </c>
      <c r="G2588" t="str">
        <f t="shared" si="284"/>
        <v/>
      </c>
      <c r="H2588" t="str">
        <f t="shared" si="285"/>
        <v/>
      </c>
      <c r="I2588" t="str">
        <f t="shared" si="286"/>
        <v/>
      </c>
    </row>
    <row r="2589" spans="1:9" x14ac:dyDescent="0.4">
      <c r="A2589" t="str">
        <f t="shared" si="280"/>
        <v/>
      </c>
      <c r="B2589" t="str">
        <f t="shared" si="281"/>
        <v/>
      </c>
      <c r="C2589" t="str">
        <f t="shared" si="282"/>
        <v/>
      </c>
      <c r="D2589" t="str">
        <f t="shared" si="283"/>
        <v/>
      </c>
      <c r="E2589" t="str">
        <f>IF(F2589="","",IF(COUNTIF($F$2:F2589,F2589)&gt;1,"",SUMIFS(tbl_input[필요수량],tbl_input[집계키_센터],F2589)))</f>
        <v/>
      </c>
      <c r="F2589" t="str">
        <f>IFERROR(INDEX(tbl_input[집계키_센터],ROW()-1),"")</f>
        <v/>
      </c>
      <c r="G2589" t="str">
        <f t="shared" si="284"/>
        <v/>
      </c>
      <c r="H2589" t="str">
        <f t="shared" si="285"/>
        <v/>
      </c>
      <c r="I2589" t="str">
        <f t="shared" si="286"/>
        <v/>
      </c>
    </row>
    <row r="2590" spans="1:9" x14ac:dyDescent="0.4">
      <c r="A2590" t="str">
        <f t="shared" si="280"/>
        <v/>
      </c>
      <c r="B2590" t="str">
        <f t="shared" si="281"/>
        <v/>
      </c>
      <c r="C2590" t="str">
        <f t="shared" si="282"/>
        <v/>
      </c>
      <c r="D2590" t="str">
        <f t="shared" si="283"/>
        <v/>
      </c>
      <c r="E2590" t="str">
        <f>IF(F2590="","",IF(COUNTIF($F$2:F2590,F2590)&gt;1,"",SUMIFS(tbl_input[필요수량],tbl_input[집계키_센터],F2590)))</f>
        <v/>
      </c>
      <c r="F2590" t="str">
        <f>IFERROR(INDEX(tbl_input[집계키_센터],ROW()-1),"")</f>
        <v/>
      </c>
      <c r="G2590" t="str">
        <f t="shared" si="284"/>
        <v/>
      </c>
      <c r="H2590" t="str">
        <f t="shared" si="285"/>
        <v/>
      </c>
      <c r="I2590" t="str">
        <f t="shared" si="286"/>
        <v/>
      </c>
    </row>
    <row r="2591" spans="1:9" x14ac:dyDescent="0.4">
      <c r="A2591" t="str">
        <f t="shared" si="280"/>
        <v/>
      </c>
      <c r="B2591" t="str">
        <f t="shared" si="281"/>
        <v/>
      </c>
      <c r="C2591" t="str">
        <f t="shared" si="282"/>
        <v/>
      </c>
      <c r="D2591" t="str">
        <f t="shared" si="283"/>
        <v/>
      </c>
      <c r="E2591" t="str">
        <f>IF(F2591="","",IF(COUNTIF($F$2:F2591,F2591)&gt;1,"",SUMIFS(tbl_input[필요수량],tbl_input[집계키_센터],F2591)))</f>
        <v/>
      </c>
      <c r="F2591" t="str">
        <f>IFERROR(INDEX(tbl_input[집계키_센터],ROW()-1),"")</f>
        <v/>
      </c>
      <c r="G2591" t="str">
        <f t="shared" si="284"/>
        <v/>
      </c>
      <c r="H2591" t="str">
        <f t="shared" si="285"/>
        <v/>
      </c>
      <c r="I2591" t="str">
        <f t="shared" si="286"/>
        <v/>
      </c>
    </row>
    <row r="2592" spans="1:9" x14ac:dyDescent="0.4">
      <c r="A2592" t="str">
        <f t="shared" si="280"/>
        <v/>
      </c>
      <c r="B2592" t="str">
        <f t="shared" si="281"/>
        <v/>
      </c>
      <c r="C2592" t="str">
        <f t="shared" si="282"/>
        <v/>
      </c>
      <c r="D2592" t="str">
        <f t="shared" si="283"/>
        <v/>
      </c>
      <c r="E2592" t="str">
        <f>IF(F2592="","",IF(COUNTIF($F$2:F2592,F2592)&gt;1,"",SUMIFS(tbl_input[필요수량],tbl_input[집계키_센터],F2592)))</f>
        <v/>
      </c>
      <c r="F2592" t="str">
        <f>IFERROR(INDEX(tbl_input[집계키_센터],ROW()-1),"")</f>
        <v/>
      </c>
      <c r="G2592" t="str">
        <f t="shared" si="284"/>
        <v/>
      </c>
      <c r="H2592" t="str">
        <f t="shared" si="285"/>
        <v/>
      </c>
      <c r="I2592" t="str">
        <f t="shared" si="286"/>
        <v/>
      </c>
    </row>
    <row r="2593" spans="1:9" x14ac:dyDescent="0.4">
      <c r="A2593" t="str">
        <f t="shared" si="280"/>
        <v/>
      </c>
      <c r="B2593" t="str">
        <f t="shared" si="281"/>
        <v/>
      </c>
      <c r="C2593" t="str">
        <f t="shared" si="282"/>
        <v/>
      </c>
      <c r="D2593" t="str">
        <f t="shared" si="283"/>
        <v/>
      </c>
      <c r="E2593" t="str">
        <f>IF(F2593="","",IF(COUNTIF($F$2:F2593,F2593)&gt;1,"",SUMIFS(tbl_input[필요수량],tbl_input[집계키_센터],F2593)))</f>
        <v/>
      </c>
      <c r="F2593" t="str">
        <f>IFERROR(INDEX(tbl_input[집계키_센터],ROW()-1),"")</f>
        <v/>
      </c>
      <c r="G2593" t="str">
        <f t="shared" si="284"/>
        <v/>
      </c>
      <c r="H2593" t="str">
        <f t="shared" si="285"/>
        <v/>
      </c>
      <c r="I2593" t="str">
        <f t="shared" si="286"/>
        <v/>
      </c>
    </row>
    <row r="2594" spans="1:9" x14ac:dyDescent="0.4">
      <c r="A2594" t="str">
        <f t="shared" si="280"/>
        <v/>
      </c>
      <c r="B2594" t="str">
        <f t="shared" si="281"/>
        <v/>
      </c>
      <c r="C2594" t="str">
        <f t="shared" si="282"/>
        <v/>
      </c>
      <c r="D2594" t="str">
        <f t="shared" si="283"/>
        <v/>
      </c>
      <c r="E2594" t="str">
        <f>IF(F2594="","",IF(COUNTIF($F$2:F2594,F2594)&gt;1,"",SUMIFS(tbl_input[필요수량],tbl_input[집계키_센터],F2594)))</f>
        <v/>
      </c>
      <c r="F2594" t="str">
        <f>IFERROR(INDEX(tbl_input[집계키_센터],ROW()-1),"")</f>
        <v/>
      </c>
      <c r="G2594" t="str">
        <f t="shared" si="284"/>
        <v/>
      </c>
      <c r="H2594" t="str">
        <f t="shared" si="285"/>
        <v/>
      </c>
      <c r="I2594" t="str">
        <f t="shared" si="286"/>
        <v/>
      </c>
    </row>
    <row r="2595" spans="1:9" x14ac:dyDescent="0.4">
      <c r="A2595" t="str">
        <f t="shared" si="280"/>
        <v/>
      </c>
      <c r="B2595" t="str">
        <f t="shared" si="281"/>
        <v/>
      </c>
      <c r="C2595" t="str">
        <f t="shared" si="282"/>
        <v/>
      </c>
      <c r="D2595" t="str">
        <f t="shared" si="283"/>
        <v/>
      </c>
      <c r="E2595" t="str">
        <f>IF(F2595="","",IF(COUNTIF($F$2:F2595,F2595)&gt;1,"",SUMIFS(tbl_input[필요수량],tbl_input[집계키_센터],F2595)))</f>
        <v/>
      </c>
      <c r="F2595" t="str">
        <f>IFERROR(INDEX(tbl_input[집계키_센터],ROW()-1),"")</f>
        <v/>
      </c>
      <c r="G2595" t="str">
        <f t="shared" si="284"/>
        <v/>
      </c>
      <c r="H2595" t="str">
        <f t="shared" si="285"/>
        <v/>
      </c>
      <c r="I2595" t="str">
        <f t="shared" si="286"/>
        <v/>
      </c>
    </row>
    <row r="2596" spans="1:9" x14ac:dyDescent="0.4">
      <c r="A2596" t="str">
        <f t="shared" si="280"/>
        <v/>
      </c>
      <c r="B2596" t="str">
        <f t="shared" si="281"/>
        <v/>
      </c>
      <c r="C2596" t="str">
        <f t="shared" si="282"/>
        <v/>
      </c>
      <c r="D2596" t="str">
        <f t="shared" si="283"/>
        <v/>
      </c>
      <c r="E2596" t="str">
        <f>IF(F2596="","",IF(COUNTIF($F$2:F2596,F2596)&gt;1,"",SUMIFS(tbl_input[필요수량],tbl_input[집계키_센터],F2596)))</f>
        <v/>
      </c>
      <c r="F2596" t="str">
        <f>IFERROR(INDEX(tbl_input[집계키_센터],ROW()-1),"")</f>
        <v/>
      </c>
      <c r="G2596" t="str">
        <f t="shared" si="284"/>
        <v/>
      </c>
      <c r="H2596" t="str">
        <f t="shared" si="285"/>
        <v/>
      </c>
      <c r="I2596" t="str">
        <f t="shared" si="286"/>
        <v/>
      </c>
    </row>
    <row r="2597" spans="1:9" x14ac:dyDescent="0.4">
      <c r="A2597" t="str">
        <f t="shared" si="280"/>
        <v/>
      </c>
      <c r="B2597" t="str">
        <f t="shared" si="281"/>
        <v/>
      </c>
      <c r="C2597" t="str">
        <f t="shared" si="282"/>
        <v/>
      </c>
      <c r="D2597" t="str">
        <f t="shared" si="283"/>
        <v/>
      </c>
      <c r="E2597" t="str">
        <f>IF(F2597="","",IF(COUNTIF($F$2:F2597,F2597)&gt;1,"",SUMIFS(tbl_input[필요수량],tbl_input[집계키_센터],F2597)))</f>
        <v/>
      </c>
      <c r="F2597" t="str">
        <f>IFERROR(INDEX(tbl_input[집계키_센터],ROW()-1),"")</f>
        <v/>
      </c>
      <c r="G2597" t="str">
        <f t="shared" si="284"/>
        <v/>
      </c>
      <c r="H2597" t="str">
        <f t="shared" si="285"/>
        <v/>
      </c>
      <c r="I2597" t="str">
        <f t="shared" si="286"/>
        <v/>
      </c>
    </row>
    <row r="2598" spans="1:9" x14ac:dyDescent="0.4">
      <c r="A2598" t="str">
        <f t="shared" si="280"/>
        <v/>
      </c>
      <c r="B2598" t="str">
        <f t="shared" si="281"/>
        <v/>
      </c>
      <c r="C2598" t="str">
        <f t="shared" si="282"/>
        <v/>
      </c>
      <c r="D2598" t="str">
        <f t="shared" si="283"/>
        <v/>
      </c>
      <c r="E2598" t="str">
        <f>IF(F2598="","",IF(COUNTIF($F$2:F2598,F2598)&gt;1,"",SUMIFS(tbl_input[필요수량],tbl_input[집계키_센터],F2598)))</f>
        <v/>
      </c>
      <c r="F2598" t="str">
        <f>IFERROR(INDEX(tbl_input[집계키_센터],ROW()-1),"")</f>
        <v/>
      </c>
      <c r="G2598" t="str">
        <f t="shared" si="284"/>
        <v/>
      </c>
      <c r="H2598" t="str">
        <f t="shared" si="285"/>
        <v/>
      </c>
      <c r="I2598" t="str">
        <f t="shared" si="286"/>
        <v/>
      </c>
    </row>
    <row r="2599" spans="1:9" x14ac:dyDescent="0.4">
      <c r="A2599" t="str">
        <f t="shared" si="280"/>
        <v/>
      </c>
      <c r="B2599" t="str">
        <f t="shared" si="281"/>
        <v/>
      </c>
      <c r="C2599" t="str">
        <f t="shared" si="282"/>
        <v/>
      </c>
      <c r="D2599" t="str">
        <f t="shared" si="283"/>
        <v/>
      </c>
      <c r="E2599" t="str">
        <f>IF(F2599="","",IF(COUNTIF($F$2:F2599,F2599)&gt;1,"",SUMIFS(tbl_input[필요수량],tbl_input[집계키_센터],F2599)))</f>
        <v/>
      </c>
      <c r="F2599" t="str">
        <f>IFERROR(INDEX(tbl_input[집계키_센터],ROW()-1),"")</f>
        <v/>
      </c>
      <c r="G2599" t="str">
        <f t="shared" si="284"/>
        <v/>
      </c>
      <c r="H2599" t="str">
        <f t="shared" si="285"/>
        <v/>
      </c>
      <c r="I2599" t="str">
        <f t="shared" si="286"/>
        <v/>
      </c>
    </row>
    <row r="2600" spans="1:9" x14ac:dyDescent="0.4">
      <c r="A2600" t="str">
        <f t="shared" si="280"/>
        <v/>
      </c>
      <c r="B2600" t="str">
        <f t="shared" si="281"/>
        <v/>
      </c>
      <c r="C2600" t="str">
        <f t="shared" si="282"/>
        <v/>
      </c>
      <c r="D2600" t="str">
        <f t="shared" si="283"/>
        <v/>
      </c>
      <c r="E2600" t="str">
        <f>IF(F2600="","",IF(COUNTIF($F$2:F2600,F2600)&gt;1,"",SUMIFS(tbl_input[필요수량],tbl_input[집계키_센터],F2600)))</f>
        <v/>
      </c>
      <c r="F2600" t="str">
        <f>IFERROR(INDEX(tbl_input[집계키_센터],ROW()-1),"")</f>
        <v/>
      </c>
      <c r="G2600" t="str">
        <f t="shared" si="284"/>
        <v/>
      </c>
      <c r="H2600" t="str">
        <f t="shared" si="285"/>
        <v/>
      </c>
      <c r="I2600" t="str">
        <f t="shared" si="286"/>
        <v/>
      </c>
    </row>
    <row r="2601" spans="1:9" x14ac:dyDescent="0.4">
      <c r="A2601" t="str">
        <f t="shared" si="280"/>
        <v/>
      </c>
      <c r="B2601" t="str">
        <f t="shared" si="281"/>
        <v/>
      </c>
      <c r="C2601" t="str">
        <f t="shared" si="282"/>
        <v/>
      </c>
      <c r="D2601" t="str">
        <f t="shared" si="283"/>
        <v/>
      </c>
      <c r="E2601" t="str">
        <f>IF(F2601="","",IF(COUNTIF($F$2:F2601,F2601)&gt;1,"",SUMIFS(tbl_input[필요수량],tbl_input[집계키_센터],F2601)))</f>
        <v/>
      </c>
      <c r="F2601" t="str">
        <f>IFERROR(INDEX(tbl_input[집계키_센터],ROW()-1),"")</f>
        <v/>
      </c>
      <c r="G2601" t="str">
        <f t="shared" si="284"/>
        <v/>
      </c>
      <c r="H2601" t="str">
        <f t="shared" si="285"/>
        <v/>
      </c>
      <c r="I2601" t="str">
        <f t="shared" si="286"/>
        <v/>
      </c>
    </row>
    <row r="2602" spans="1:9" x14ac:dyDescent="0.4">
      <c r="A2602" t="str">
        <f t="shared" si="280"/>
        <v/>
      </c>
      <c r="B2602" t="str">
        <f t="shared" si="281"/>
        <v/>
      </c>
      <c r="C2602" t="str">
        <f t="shared" si="282"/>
        <v/>
      </c>
      <c r="D2602" t="str">
        <f t="shared" si="283"/>
        <v/>
      </c>
      <c r="E2602" t="str">
        <f>IF(F2602="","",IF(COUNTIF($F$2:F2602,F2602)&gt;1,"",SUMIFS(tbl_input[필요수량],tbl_input[집계키_센터],F2602)))</f>
        <v/>
      </c>
      <c r="F2602" t="str">
        <f>IFERROR(INDEX(tbl_input[집계키_센터],ROW()-1),"")</f>
        <v/>
      </c>
      <c r="G2602" t="str">
        <f t="shared" si="284"/>
        <v/>
      </c>
      <c r="H2602" t="str">
        <f t="shared" si="285"/>
        <v/>
      </c>
      <c r="I2602" t="str">
        <f t="shared" si="286"/>
        <v/>
      </c>
    </row>
    <row r="2603" spans="1:9" x14ac:dyDescent="0.4">
      <c r="A2603" t="str">
        <f t="shared" si="280"/>
        <v/>
      </c>
      <c r="B2603" t="str">
        <f t="shared" si="281"/>
        <v/>
      </c>
      <c r="C2603" t="str">
        <f t="shared" si="282"/>
        <v/>
      </c>
      <c r="D2603" t="str">
        <f t="shared" si="283"/>
        <v/>
      </c>
      <c r="E2603" t="str">
        <f>IF(F2603="","",IF(COUNTIF($F$2:F2603,F2603)&gt;1,"",SUMIFS(tbl_input[필요수량],tbl_input[집계키_센터],F2603)))</f>
        <v/>
      </c>
      <c r="F2603" t="str">
        <f>IFERROR(INDEX(tbl_input[집계키_센터],ROW()-1),"")</f>
        <v/>
      </c>
      <c r="G2603" t="str">
        <f t="shared" si="284"/>
        <v/>
      </c>
      <c r="H2603" t="str">
        <f t="shared" si="285"/>
        <v/>
      </c>
      <c r="I2603" t="str">
        <f t="shared" si="286"/>
        <v/>
      </c>
    </row>
    <row r="2604" spans="1:9" x14ac:dyDescent="0.4">
      <c r="A2604" t="str">
        <f t="shared" si="280"/>
        <v/>
      </c>
      <c r="B2604" t="str">
        <f t="shared" si="281"/>
        <v/>
      </c>
      <c r="C2604" t="str">
        <f t="shared" si="282"/>
        <v/>
      </c>
      <c r="D2604" t="str">
        <f t="shared" si="283"/>
        <v/>
      </c>
      <c r="E2604" t="str">
        <f>IF(F2604="","",IF(COUNTIF($F$2:F2604,F2604)&gt;1,"",SUMIFS(tbl_input[필요수량],tbl_input[집계키_센터],F2604)))</f>
        <v/>
      </c>
      <c r="F2604" t="str">
        <f>IFERROR(INDEX(tbl_input[집계키_센터],ROW()-1),"")</f>
        <v/>
      </c>
      <c r="G2604" t="str">
        <f t="shared" si="284"/>
        <v/>
      </c>
      <c r="H2604" t="str">
        <f t="shared" si="285"/>
        <v/>
      </c>
      <c r="I2604" t="str">
        <f t="shared" si="286"/>
        <v/>
      </c>
    </row>
    <row r="2605" spans="1:9" x14ac:dyDescent="0.4">
      <c r="A2605" t="str">
        <f t="shared" si="280"/>
        <v/>
      </c>
      <c r="B2605" t="str">
        <f t="shared" si="281"/>
        <v/>
      </c>
      <c r="C2605" t="str">
        <f t="shared" si="282"/>
        <v/>
      </c>
      <c r="D2605" t="str">
        <f t="shared" si="283"/>
        <v/>
      </c>
      <c r="E2605" t="str">
        <f>IF(F2605="","",IF(COUNTIF($F$2:F2605,F2605)&gt;1,"",SUMIFS(tbl_input[필요수량],tbl_input[집계키_센터],F2605)))</f>
        <v/>
      </c>
      <c r="F2605" t="str">
        <f>IFERROR(INDEX(tbl_input[집계키_센터],ROW()-1),"")</f>
        <v/>
      </c>
      <c r="G2605" t="str">
        <f t="shared" si="284"/>
        <v/>
      </c>
      <c r="H2605" t="str">
        <f t="shared" si="285"/>
        <v/>
      </c>
      <c r="I2605" t="str">
        <f t="shared" si="286"/>
        <v/>
      </c>
    </row>
    <row r="2606" spans="1:9" x14ac:dyDescent="0.4">
      <c r="A2606" t="str">
        <f t="shared" si="280"/>
        <v/>
      </c>
      <c r="B2606" t="str">
        <f t="shared" si="281"/>
        <v/>
      </c>
      <c r="C2606" t="str">
        <f t="shared" si="282"/>
        <v/>
      </c>
      <c r="D2606" t="str">
        <f t="shared" si="283"/>
        <v/>
      </c>
      <c r="E2606" t="str">
        <f>IF(F2606="","",IF(COUNTIF($F$2:F2606,F2606)&gt;1,"",SUMIFS(tbl_input[필요수량],tbl_input[집계키_센터],F2606)))</f>
        <v/>
      </c>
      <c r="F2606" t="str">
        <f>IFERROR(INDEX(tbl_input[집계키_센터],ROW()-1),"")</f>
        <v/>
      </c>
      <c r="G2606" t="str">
        <f t="shared" si="284"/>
        <v/>
      </c>
      <c r="H2606" t="str">
        <f t="shared" si="285"/>
        <v/>
      </c>
      <c r="I2606" t="str">
        <f t="shared" si="286"/>
        <v/>
      </c>
    </row>
    <row r="2607" spans="1:9" x14ac:dyDescent="0.4">
      <c r="A2607" t="str">
        <f t="shared" si="280"/>
        <v/>
      </c>
      <c r="B2607" t="str">
        <f t="shared" si="281"/>
        <v/>
      </c>
      <c r="C2607" t="str">
        <f t="shared" si="282"/>
        <v/>
      </c>
      <c r="D2607" t="str">
        <f t="shared" si="283"/>
        <v/>
      </c>
      <c r="E2607" t="str">
        <f>IF(F2607="","",IF(COUNTIF($F$2:F2607,F2607)&gt;1,"",SUMIFS(tbl_input[필요수량],tbl_input[집계키_센터],F2607)))</f>
        <v/>
      </c>
      <c r="F2607" t="str">
        <f>IFERROR(INDEX(tbl_input[집계키_센터],ROW()-1),"")</f>
        <v/>
      </c>
      <c r="G2607" t="str">
        <f t="shared" si="284"/>
        <v/>
      </c>
      <c r="H2607" t="str">
        <f t="shared" si="285"/>
        <v/>
      </c>
      <c r="I2607" t="str">
        <f t="shared" si="286"/>
        <v/>
      </c>
    </row>
    <row r="2608" spans="1:9" x14ac:dyDescent="0.4">
      <c r="A2608" t="str">
        <f t="shared" si="280"/>
        <v/>
      </c>
      <c r="B2608" t="str">
        <f t="shared" si="281"/>
        <v/>
      </c>
      <c r="C2608" t="str">
        <f t="shared" si="282"/>
        <v/>
      </c>
      <c r="D2608" t="str">
        <f t="shared" si="283"/>
        <v/>
      </c>
      <c r="E2608" t="str">
        <f>IF(F2608="","",IF(COUNTIF($F$2:F2608,F2608)&gt;1,"",SUMIFS(tbl_input[필요수량],tbl_input[집계키_센터],F2608)))</f>
        <v/>
      </c>
      <c r="F2608" t="str">
        <f>IFERROR(INDEX(tbl_input[집계키_센터],ROW()-1),"")</f>
        <v/>
      </c>
      <c r="G2608" t="str">
        <f t="shared" si="284"/>
        <v/>
      </c>
      <c r="H2608" t="str">
        <f t="shared" si="285"/>
        <v/>
      </c>
      <c r="I2608" t="str">
        <f t="shared" si="286"/>
        <v/>
      </c>
    </row>
    <row r="2609" spans="1:9" x14ac:dyDescent="0.4">
      <c r="A2609" t="str">
        <f t="shared" si="280"/>
        <v/>
      </c>
      <c r="B2609" t="str">
        <f t="shared" si="281"/>
        <v/>
      </c>
      <c r="C2609" t="str">
        <f t="shared" si="282"/>
        <v/>
      </c>
      <c r="D2609" t="str">
        <f t="shared" si="283"/>
        <v/>
      </c>
      <c r="E2609" t="str">
        <f>IF(F2609="","",IF(COUNTIF($F$2:F2609,F2609)&gt;1,"",SUMIFS(tbl_input[필요수량],tbl_input[집계키_센터],F2609)))</f>
        <v/>
      </c>
      <c r="F2609" t="str">
        <f>IFERROR(INDEX(tbl_input[집계키_센터],ROW()-1),"")</f>
        <v/>
      </c>
      <c r="G2609" t="str">
        <f t="shared" si="284"/>
        <v/>
      </c>
      <c r="H2609" t="str">
        <f t="shared" si="285"/>
        <v/>
      </c>
      <c r="I2609" t="str">
        <f t="shared" si="286"/>
        <v/>
      </c>
    </row>
    <row r="2610" spans="1:9" x14ac:dyDescent="0.4">
      <c r="A2610" t="str">
        <f t="shared" si="280"/>
        <v/>
      </c>
      <c r="B2610" t="str">
        <f t="shared" si="281"/>
        <v/>
      </c>
      <c r="C2610" t="str">
        <f t="shared" si="282"/>
        <v/>
      </c>
      <c r="D2610" t="str">
        <f t="shared" si="283"/>
        <v/>
      </c>
      <c r="E2610" t="str">
        <f>IF(F2610="","",IF(COUNTIF($F$2:F2610,F2610)&gt;1,"",SUMIFS(tbl_input[필요수량],tbl_input[집계키_센터],F2610)))</f>
        <v/>
      </c>
      <c r="F2610" t="str">
        <f>IFERROR(INDEX(tbl_input[집계키_센터],ROW()-1),"")</f>
        <v/>
      </c>
      <c r="G2610" t="str">
        <f t="shared" si="284"/>
        <v/>
      </c>
      <c r="H2610" t="str">
        <f t="shared" si="285"/>
        <v/>
      </c>
      <c r="I2610" t="str">
        <f t="shared" si="286"/>
        <v/>
      </c>
    </row>
    <row r="2611" spans="1:9" x14ac:dyDescent="0.4">
      <c r="A2611" t="str">
        <f t="shared" si="280"/>
        <v/>
      </c>
      <c r="B2611" t="str">
        <f t="shared" si="281"/>
        <v/>
      </c>
      <c r="C2611" t="str">
        <f t="shared" si="282"/>
        <v/>
      </c>
      <c r="D2611" t="str">
        <f t="shared" si="283"/>
        <v/>
      </c>
      <c r="E2611" t="str">
        <f>IF(F2611="","",IF(COUNTIF($F$2:F2611,F2611)&gt;1,"",SUMIFS(tbl_input[필요수량],tbl_input[집계키_센터],F2611)))</f>
        <v/>
      </c>
      <c r="F2611" t="str">
        <f>IFERROR(INDEX(tbl_input[집계키_센터],ROW()-1),"")</f>
        <v/>
      </c>
      <c r="G2611" t="str">
        <f t="shared" si="284"/>
        <v/>
      </c>
      <c r="H2611" t="str">
        <f t="shared" si="285"/>
        <v/>
      </c>
      <c r="I2611" t="str">
        <f t="shared" si="286"/>
        <v/>
      </c>
    </row>
    <row r="2612" spans="1:9" x14ac:dyDescent="0.4">
      <c r="A2612" t="str">
        <f t="shared" si="280"/>
        <v/>
      </c>
      <c r="B2612" t="str">
        <f t="shared" si="281"/>
        <v/>
      </c>
      <c r="C2612" t="str">
        <f t="shared" si="282"/>
        <v/>
      </c>
      <c r="D2612" t="str">
        <f t="shared" si="283"/>
        <v/>
      </c>
      <c r="E2612" t="str">
        <f>IF(F2612="","",IF(COUNTIF($F$2:F2612,F2612)&gt;1,"",SUMIFS(tbl_input[필요수량],tbl_input[집계키_센터],F2612)))</f>
        <v/>
      </c>
      <c r="F2612" t="str">
        <f>IFERROR(INDEX(tbl_input[집계키_센터],ROW()-1),"")</f>
        <v/>
      </c>
      <c r="G2612" t="str">
        <f t="shared" si="284"/>
        <v/>
      </c>
      <c r="H2612" t="str">
        <f t="shared" si="285"/>
        <v/>
      </c>
      <c r="I2612" t="str">
        <f t="shared" si="286"/>
        <v/>
      </c>
    </row>
    <row r="2613" spans="1:9" x14ac:dyDescent="0.4">
      <c r="A2613" t="str">
        <f t="shared" si="280"/>
        <v/>
      </c>
      <c r="B2613" t="str">
        <f t="shared" si="281"/>
        <v/>
      </c>
      <c r="C2613" t="str">
        <f t="shared" si="282"/>
        <v/>
      </c>
      <c r="D2613" t="str">
        <f t="shared" si="283"/>
        <v/>
      </c>
      <c r="E2613" t="str">
        <f>IF(F2613="","",IF(COUNTIF($F$2:F2613,F2613)&gt;1,"",SUMIFS(tbl_input[필요수량],tbl_input[집계키_센터],F2613)))</f>
        <v/>
      </c>
      <c r="F2613" t="str">
        <f>IFERROR(INDEX(tbl_input[집계키_센터],ROW()-1),"")</f>
        <v/>
      </c>
      <c r="G2613" t="str">
        <f t="shared" si="284"/>
        <v/>
      </c>
      <c r="H2613" t="str">
        <f t="shared" si="285"/>
        <v/>
      </c>
      <c r="I2613" t="str">
        <f t="shared" si="286"/>
        <v/>
      </c>
    </row>
    <row r="2614" spans="1:9" x14ac:dyDescent="0.4">
      <c r="A2614" t="str">
        <f t="shared" si="280"/>
        <v/>
      </c>
      <c r="B2614" t="str">
        <f t="shared" si="281"/>
        <v/>
      </c>
      <c r="C2614" t="str">
        <f t="shared" si="282"/>
        <v/>
      </c>
      <c r="D2614" t="str">
        <f t="shared" si="283"/>
        <v/>
      </c>
      <c r="E2614" t="str">
        <f>IF(F2614="","",IF(COUNTIF($F$2:F2614,F2614)&gt;1,"",SUMIFS(tbl_input[필요수량],tbl_input[집계키_센터],F2614)))</f>
        <v/>
      </c>
      <c r="F2614" t="str">
        <f>IFERROR(INDEX(tbl_input[집계키_센터],ROW()-1),"")</f>
        <v/>
      </c>
      <c r="G2614" t="str">
        <f t="shared" si="284"/>
        <v/>
      </c>
      <c r="H2614" t="str">
        <f t="shared" si="285"/>
        <v/>
      </c>
      <c r="I2614" t="str">
        <f t="shared" si="286"/>
        <v/>
      </c>
    </row>
    <row r="2615" spans="1:9" x14ac:dyDescent="0.4">
      <c r="A2615" t="str">
        <f t="shared" si="280"/>
        <v/>
      </c>
      <c r="B2615" t="str">
        <f t="shared" si="281"/>
        <v/>
      </c>
      <c r="C2615" t="str">
        <f t="shared" si="282"/>
        <v/>
      </c>
      <c r="D2615" t="str">
        <f t="shared" si="283"/>
        <v/>
      </c>
      <c r="E2615" t="str">
        <f>IF(F2615="","",IF(COUNTIF($F$2:F2615,F2615)&gt;1,"",SUMIFS(tbl_input[필요수량],tbl_input[집계키_센터],F2615)))</f>
        <v/>
      </c>
      <c r="F2615" t="str">
        <f>IFERROR(INDEX(tbl_input[집계키_센터],ROW()-1),"")</f>
        <v/>
      </c>
      <c r="G2615" t="str">
        <f t="shared" si="284"/>
        <v/>
      </c>
      <c r="H2615" t="str">
        <f t="shared" si="285"/>
        <v/>
      </c>
      <c r="I2615" t="str">
        <f t="shared" si="286"/>
        <v/>
      </c>
    </row>
    <row r="2616" spans="1:9" x14ac:dyDescent="0.4">
      <c r="A2616" t="str">
        <f t="shared" si="280"/>
        <v/>
      </c>
      <c r="B2616" t="str">
        <f t="shared" si="281"/>
        <v/>
      </c>
      <c r="C2616" t="str">
        <f t="shared" si="282"/>
        <v/>
      </c>
      <c r="D2616" t="str">
        <f t="shared" si="283"/>
        <v/>
      </c>
      <c r="E2616" t="str">
        <f>IF(F2616="","",IF(COUNTIF($F$2:F2616,F2616)&gt;1,"",SUMIFS(tbl_input[필요수량],tbl_input[집계키_센터],F2616)))</f>
        <v/>
      </c>
      <c r="F2616" t="str">
        <f>IFERROR(INDEX(tbl_input[집계키_센터],ROW()-1),"")</f>
        <v/>
      </c>
      <c r="G2616" t="str">
        <f t="shared" si="284"/>
        <v/>
      </c>
      <c r="H2616" t="str">
        <f t="shared" si="285"/>
        <v/>
      </c>
      <c r="I2616" t="str">
        <f t="shared" si="286"/>
        <v/>
      </c>
    </row>
    <row r="2617" spans="1:9" x14ac:dyDescent="0.4">
      <c r="A2617" t="str">
        <f t="shared" si="280"/>
        <v/>
      </c>
      <c r="B2617" t="str">
        <f t="shared" si="281"/>
        <v/>
      </c>
      <c r="C2617" t="str">
        <f t="shared" si="282"/>
        <v/>
      </c>
      <c r="D2617" t="str">
        <f t="shared" si="283"/>
        <v/>
      </c>
      <c r="E2617" t="str">
        <f>IF(F2617="","",IF(COUNTIF($F$2:F2617,F2617)&gt;1,"",SUMIFS(tbl_input[필요수량],tbl_input[집계키_센터],F2617)))</f>
        <v/>
      </c>
      <c r="F2617" t="str">
        <f>IFERROR(INDEX(tbl_input[집계키_센터],ROW()-1),"")</f>
        <v/>
      </c>
      <c r="G2617" t="str">
        <f t="shared" si="284"/>
        <v/>
      </c>
      <c r="H2617" t="str">
        <f t="shared" si="285"/>
        <v/>
      </c>
      <c r="I2617" t="str">
        <f t="shared" si="286"/>
        <v/>
      </c>
    </row>
    <row r="2618" spans="1:9" x14ac:dyDescent="0.4">
      <c r="A2618" t="str">
        <f t="shared" si="280"/>
        <v/>
      </c>
      <c r="B2618" t="str">
        <f t="shared" si="281"/>
        <v/>
      </c>
      <c r="C2618" t="str">
        <f t="shared" si="282"/>
        <v/>
      </c>
      <c r="D2618" t="str">
        <f t="shared" si="283"/>
        <v/>
      </c>
      <c r="E2618" t="str">
        <f>IF(F2618="","",IF(COUNTIF($F$2:F2618,F2618)&gt;1,"",SUMIFS(tbl_input[필요수량],tbl_input[집계키_센터],F2618)))</f>
        <v/>
      </c>
      <c r="F2618" t="str">
        <f>IFERROR(INDEX(tbl_input[집계키_센터],ROW()-1),"")</f>
        <v/>
      </c>
      <c r="G2618" t="str">
        <f t="shared" si="284"/>
        <v/>
      </c>
      <c r="H2618" t="str">
        <f t="shared" si="285"/>
        <v/>
      </c>
      <c r="I2618" t="str">
        <f t="shared" si="286"/>
        <v/>
      </c>
    </row>
    <row r="2619" spans="1:9" x14ac:dyDescent="0.4">
      <c r="A2619" t="str">
        <f t="shared" si="280"/>
        <v/>
      </c>
      <c r="B2619" t="str">
        <f t="shared" si="281"/>
        <v/>
      </c>
      <c r="C2619" t="str">
        <f t="shared" si="282"/>
        <v/>
      </c>
      <c r="D2619" t="str">
        <f t="shared" si="283"/>
        <v/>
      </c>
      <c r="E2619" t="str">
        <f>IF(F2619="","",IF(COUNTIF($F$2:F2619,F2619)&gt;1,"",SUMIFS(tbl_input[필요수량],tbl_input[집계키_센터],F2619)))</f>
        <v/>
      </c>
      <c r="F2619" t="str">
        <f>IFERROR(INDEX(tbl_input[집계키_센터],ROW()-1),"")</f>
        <v/>
      </c>
      <c r="G2619" t="str">
        <f t="shared" si="284"/>
        <v/>
      </c>
      <c r="H2619" t="str">
        <f t="shared" si="285"/>
        <v/>
      </c>
      <c r="I2619" t="str">
        <f t="shared" si="286"/>
        <v/>
      </c>
    </row>
    <row r="2620" spans="1:9" x14ac:dyDescent="0.4">
      <c r="A2620" t="str">
        <f t="shared" si="280"/>
        <v/>
      </c>
      <c r="B2620" t="str">
        <f t="shared" si="281"/>
        <v/>
      </c>
      <c r="C2620" t="str">
        <f t="shared" si="282"/>
        <v/>
      </c>
      <c r="D2620" t="str">
        <f t="shared" si="283"/>
        <v/>
      </c>
      <c r="E2620" t="str">
        <f>IF(F2620="","",IF(COUNTIF($F$2:F2620,F2620)&gt;1,"",SUMIFS(tbl_input[필요수량],tbl_input[집계키_센터],F2620)))</f>
        <v/>
      </c>
      <c r="F2620" t="str">
        <f>IFERROR(INDEX(tbl_input[집계키_센터],ROW()-1),"")</f>
        <v/>
      </c>
      <c r="G2620" t="str">
        <f t="shared" si="284"/>
        <v/>
      </c>
      <c r="H2620" t="str">
        <f t="shared" si="285"/>
        <v/>
      </c>
      <c r="I2620" t="str">
        <f t="shared" si="286"/>
        <v/>
      </c>
    </row>
    <row r="2621" spans="1:9" x14ac:dyDescent="0.4">
      <c r="A2621" t="str">
        <f t="shared" si="280"/>
        <v/>
      </c>
      <c r="B2621" t="str">
        <f t="shared" si="281"/>
        <v/>
      </c>
      <c r="C2621" t="str">
        <f t="shared" si="282"/>
        <v/>
      </c>
      <c r="D2621" t="str">
        <f t="shared" si="283"/>
        <v/>
      </c>
      <c r="E2621" t="str">
        <f>IF(F2621="","",IF(COUNTIF($F$2:F2621,F2621)&gt;1,"",SUMIFS(tbl_input[필요수량],tbl_input[집계키_센터],F2621)))</f>
        <v/>
      </c>
      <c r="F2621" t="str">
        <f>IFERROR(INDEX(tbl_input[집계키_센터],ROW()-1),"")</f>
        <v/>
      </c>
      <c r="G2621" t="str">
        <f t="shared" si="284"/>
        <v/>
      </c>
      <c r="H2621" t="str">
        <f t="shared" si="285"/>
        <v/>
      </c>
      <c r="I2621" t="str">
        <f t="shared" si="286"/>
        <v/>
      </c>
    </row>
    <row r="2622" spans="1:9" x14ac:dyDescent="0.4">
      <c r="A2622" t="str">
        <f t="shared" si="280"/>
        <v/>
      </c>
      <c r="B2622" t="str">
        <f t="shared" si="281"/>
        <v/>
      </c>
      <c r="C2622" t="str">
        <f t="shared" si="282"/>
        <v/>
      </c>
      <c r="D2622" t="str">
        <f t="shared" si="283"/>
        <v/>
      </c>
      <c r="E2622" t="str">
        <f>IF(F2622="","",IF(COUNTIF($F$2:F2622,F2622)&gt;1,"",SUMIFS(tbl_input[필요수량],tbl_input[집계키_센터],F2622)))</f>
        <v/>
      </c>
      <c r="F2622" t="str">
        <f>IFERROR(INDEX(tbl_input[집계키_센터],ROW()-1),"")</f>
        <v/>
      </c>
      <c r="G2622" t="str">
        <f t="shared" si="284"/>
        <v/>
      </c>
      <c r="H2622" t="str">
        <f t="shared" si="285"/>
        <v/>
      </c>
      <c r="I2622" t="str">
        <f t="shared" si="286"/>
        <v/>
      </c>
    </row>
    <row r="2623" spans="1:9" x14ac:dyDescent="0.4">
      <c r="A2623" t="str">
        <f t="shared" si="280"/>
        <v/>
      </c>
      <c r="B2623" t="str">
        <f t="shared" si="281"/>
        <v/>
      </c>
      <c r="C2623" t="str">
        <f t="shared" si="282"/>
        <v/>
      </c>
      <c r="D2623" t="str">
        <f t="shared" si="283"/>
        <v/>
      </c>
      <c r="E2623" t="str">
        <f>IF(F2623="","",IF(COUNTIF($F$2:F2623,F2623)&gt;1,"",SUMIFS(tbl_input[필요수량],tbl_input[집계키_센터],F2623)))</f>
        <v/>
      </c>
      <c r="F2623" t="str">
        <f>IFERROR(INDEX(tbl_input[집계키_센터],ROW()-1),"")</f>
        <v/>
      </c>
      <c r="G2623" t="str">
        <f t="shared" si="284"/>
        <v/>
      </c>
      <c r="H2623" t="str">
        <f t="shared" si="285"/>
        <v/>
      </c>
      <c r="I2623" t="str">
        <f t="shared" si="286"/>
        <v/>
      </c>
    </row>
    <row r="2624" spans="1:9" x14ac:dyDescent="0.4">
      <c r="A2624" t="str">
        <f t="shared" si="280"/>
        <v/>
      </c>
      <c r="B2624" t="str">
        <f t="shared" si="281"/>
        <v/>
      </c>
      <c r="C2624" t="str">
        <f t="shared" si="282"/>
        <v/>
      </c>
      <c r="D2624" t="str">
        <f t="shared" si="283"/>
        <v/>
      </c>
      <c r="E2624" t="str">
        <f>IF(F2624="","",IF(COUNTIF($F$2:F2624,F2624)&gt;1,"",SUMIFS(tbl_input[필요수량],tbl_input[집계키_센터],F2624)))</f>
        <v/>
      </c>
      <c r="F2624" t="str">
        <f>IFERROR(INDEX(tbl_input[집계키_센터],ROW()-1),"")</f>
        <v/>
      </c>
      <c r="G2624" t="str">
        <f t="shared" si="284"/>
        <v/>
      </c>
      <c r="H2624" t="str">
        <f t="shared" si="285"/>
        <v/>
      </c>
      <c r="I2624" t="str">
        <f t="shared" si="286"/>
        <v/>
      </c>
    </row>
    <row r="2625" spans="1:9" x14ac:dyDescent="0.4">
      <c r="A2625" t="str">
        <f t="shared" si="280"/>
        <v/>
      </c>
      <c r="B2625" t="str">
        <f t="shared" si="281"/>
        <v/>
      </c>
      <c r="C2625" t="str">
        <f t="shared" si="282"/>
        <v/>
      </c>
      <c r="D2625" t="str">
        <f t="shared" si="283"/>
        <v/>
      </c>
      <c r="E2625" t="str">
        <f>IF(F2625="","",IF(COUNTIF($F$2:F2625,F2625)&gt;1,"",SUMIFS(tbl_input[필요수량],tbl_input[집계키_센터],F2625)))</f>
        <v/>
      </c>
      <c r="F2625" t="str">
        <f>IFERROR(INDEX(tbl_input[집계키_센터],ROW()-1),"")</f>
        <v/>
      </c>
      <c r="G2625" t="str">
        <f t="shared" si="284"/>
        <v/>
      </c>
      <c r="H2625" t="str">
        <f t="shared" si="285"/>
        <v/>
      </c>
      <c r="I2625" t="str">
        <f t="shared" si="286"/>
        <v/>
      </c>
    </row>
    <row r="2626" spans="1:9" x14ac:dyDescent="0.4">
      <c r="A2626" t="str">
        <f t="shared" ref="A2626:A2689" si="287">IF(F2626="","",LEFT(F2626,G2626-1))</f>
        <v/>
      </c>
      <c r="B2626" t="str">
        <f t="shared" ref="B2626:B2689" si="288">IF(F2626="","",MID(F2626,G2626+1,H2626-G2626-1))</f>
        <v/>
      </c>
      <c r="C2626" t="str">
        <f t="shared" ref="C2626:C2689" si="289">IF(F2626="","",MID(F2626,H2626+1,I2626-H2626-1))</f>
        <v/>
      </c>
      <c r="D2626" t="str">
        <f t="shared" ref="D2626:D2689" si="290">IF(F2626="","",MID(F2626,I2626+1,999))</f>
        <v/>
      </c>
      <c r="E2626" t="str">
        <f>IF(F2626="","",IF(COUNTIF($F$2:F2626,F2626)&gt;1,"",SUMIFS(tbl_input[필요수량],tbl_input[집계키_센터],F2626)))</f>
        <v/>
      </c>
      <c r="F2626" t="str">
        <f>IFERROR(INDEX(tbl_input[집계키_센터],ROW()-1),"")</f>
        <v/>
      </c>
      <c r="G2626" t="str">
        <f t="shared" ref="G2626:G2689" si="291">IF(F2626="","",FIND("♦",F2626))</f>
        <v/>
      </c>
      <c r="H2626" t="str">
        <f t="shared" ref="H2626:H2689" si="292">IF(F2626="","",FIND("♦",F2626,G2626+1))</f>
        <v/>
      </c>
      <c r="I2626" t="str">
        <f t="shared" ref="I2626:I2689" si="293">IF(F2626="","",FIND("♦",F2626,H2626+1))</f>
        <v/>
      </c>
    </row>
    <row r="2627" spans="1:9" x14ac:dyDescent="0.4">
      <c r="A2627" t="str">
        <f t="shared" si="287"/>
        <v/>
      </c>
      <c r="B2627" t="str">
        <f t="shared" si="288"/>
        <v/>
      </c>
      <c r="C2627" t="str">
        <f t="shared" si="289"/>
        <v/>
      </c>
      <c r="D2627" t="str">
        <f t="shared" si="290"/>
        <v/>
      </c>
      <c r="E2627" t="str">
        <f>IF(F2627="","",IF(COUNTIF($F$2:F2627,F2627)&gt;1,"",SUMIFS(tbl_input[필요수량],tbl_input[집계키_센터],F2627)))</f>
        <v/>
      </c>
      <c r="F2627" t="str">
        <f>IFERROR(INDEX(tbl_input[집계키_센터],ROW()-1),"")</f>
        <v/>
      </c>
      <c r="G2627" t="str">
        <f t="shared" si="291"/>
        <v/>
      </c>
      <c r="H2627" t="str">
        <f t="shared" si="292"/>
        <v/>
      </c>
      <c r="I2627" t="str">
        <f t="shared" si="293"/>
        <v/>
      </c>
    </row>
    <row r="2628" spans="1:9" x14ac:dyDescent="0.4">
      <c r="A2628" t="str">
        <f t="shared" si="287"/>
        <v/>
      </c>
      <c r="B2628" t="str">
        <f t="shared" si="288"/>
        <v/>
      </c>
      <c r="C2628" t="str">
        <f t="shared" si="289"/>
        <v/>
      </c>
      <c r="D2628" t="str">
        <f t="shared" si="290"/>
        <v/>
      </c>
      <c r="E2628" t="str">
        <f>IF(F2628="","",IF(COUNTIF($F$2:F2628,F2628)&gt;1,"",SUMIFS(tbl_input[필요수량],tbl_input[집계키_센터],F2628)))</f>
        <v/>
      </c>
      <c r="F2628" t="str">
        <f>IFERROR(INDEX(tbl_input[집계키_센터],ROW()-1),"")</f>
        <v/>
      </c>
      <c r="G2628" t="str">
        <f t="shared" si="291"/>
        <v/>
      </c>
      <c r="H2628" t="str">
        <f t="shared" si="292"/>
        <v/>
      </c>
      <c r="I2628" t="str">
        <f t="shared" si="293"/>
        <v/>
      </c>
    </row>
    <row r="2629" spans="1:9" x14ac:dyDescent="0.4">
      <c r="A2629" t="str">
        <f t="shared" si="287"/>
        <v/>
      </c>
      <c r="B2629" t="str">
        <f t="shared" si="288"/>
        <v/>
      </c>
      <c r="C2629" t="str">
        <f t="shared" si="289"/>
        <v/>
      </c>
      <c r="D2629" t="str">
        <f t="shared" si="290"/>
        <v/>
      </c>
      <c r="E2629" t="str">
        <f>IF(F2629="","",IF(COUNTIF($F$2:F2629,F2629)&gt;1,"",SUMIFS(tbl_input[필요수량],tbl_input[집계키_센터],F2629)))</f>
        <v/>
      </c>
      <c r="F2629" t="str">
        <f>IFERROR(INDEX(tbl_input[집계키_센터],ROW()-1),"")</f>
        <v/>
      </c>
      <c r="G2629" t="str">
        <f t="shared" si="291"/>
        <v/>
      </c>
      <c r="H2629" t="str">
        <f t="shared" si="292"/>
        <v/>
      </c>
      <c r="I2629" t="str">
        <f t="shared" si="293"/>
        <v/>
      </c>
    </row>
    <row r="2630" spans="1:9" x14ac:dyDescent="0.4">
      <c r="A2630" t="str">
        <f t="shared" si="287"/>
        <v/>
      </c>
      <c r="B2630" t="str">
        <f t="shared" si="288"/>
        <v/>
      </c>
      <c r="C2630" t="str">
        <f t="shared" si="289"/>
        <v/>
      </c>
      <c r="D2630" t="str">
        <f t="shared" si="290"/>
        <v/>
      </c>
      <c r="E2630" t="str">
        <f>IF(F2630="","",IF(COUNTIF($F$2:F2630,F2630)&gt;1,"",SUMIFS(tbl_input[필요수량],tbl_input[집계키_센터],F2630)))</f>
        <v/>
      </c>
      <c r="F2630" t="str">
        <f>IFERROR(INDEX(tbl_input[집계키_센터],ROW()-1),"")</f>
        <v/>
      </c>
      <c r="G2630" t="str">
        <f t="shared" si="291"/>
        <v/>
      </c>
      <c r="H2630" t="str">
        <f t="shared" si="292"/>
        <v/>
      </c>
      <c r="I2630" t="str">
        <f t="shared" si="293"/>
        <v/>
      </c>
    </row>
    <row r="2631" spans="1:9" x14ac:dyDescent="0.4">
      <c r="A2631" t="str">
        <f t="shared" si="287"/>
        <v/>
      </c>
      <c r="B2631" t="str">
        <f t="shared" si="288"/>
        <v/>
      </c>
      <c r="C2631" t="str">
        <f t="shared" si="289"/>
        <v/>
      </c>
      <c r="D2631" t="str">
        <f t="shared" si="290"/>
        <v/>
      </c>
      <c r="E2631" t="str">
        <f>IF(F2631="","",IF(COUNTIF($F$2:F2631,F2631)&gt;1,"",SUMIFS(tbl_input[필요수량],tbl_input[집계키_센터],F2631)))</f>
        <v/>
      </c>
      <c r="F2631" t="str">
        <f>IFERROR(INDEX(tbl_input[집계키_센터],ROW()-1),"")</f>
        <v/>
      </c>
      <c r="G2631" t="str">
        <f t="shared" si="291"/>
        <v/>
      </c>
      <c r="H2631" t="str">
        <f t="shared" si="292"/>
        <v/>
      </c>
      <c r="I2631" t="str">
        <f t="shared" si="293"/>
        <v/>
      </c>
    </row>
    <row r="2632" spans="1:9" x14ac:dyDescent="0.4">
      <c r="A2632" t="str">
        <f t="shared" si="287"/>
        <v/>
      </c>
      <c r="B2632" t="str">
        <f t="shared" si="288"/>
        <v/>
      </c>
      <c r="C2632" t="str">
        <f t="shared" si="289"/>
        <v/>
      </c>
      <c r="D2632" t="str">
        <f t="shared" si="290"/>
        <v/>
      </c>
      <c r="E2632" t="str">
        <f>IF(F2632="","",IF(COUNTIF($F$2:F2632,F2632)&gt;1,"",SUMIFS(tbl_input[필요수량],tbl_input[집계키_센터],F2632)))</f>
        <v/>
      </c>
      <c r="F2632" t="str">
        <f>IFERROR(INDEX(tbl_input[집계키_센터],ROW()-1),"")</f>
        <v/>
      </c>
      <c r="G2632" t="str">
        <f t="shared" si="291"/>
        <v/>
      </c>
      <c r="H2632" t="str">
        <f t="shared" si="292"/>
        <v/>
      </c>
      <c r="I2632" t="str">
        <f t="shared" si="293"/>
        <v/>
      </c>
    </row>
    <row r="2633" spans="1:9" x14ac:dyDescent="0.4">
      <c r="A2633" t="str">
        <f t="shared" si="287"/>
        <v/>
      </c>
      <c r="B2633" t="str">
        <f t="shared" si="288"/>
        <v/>
      </c>
      <c r="C2633" t="str">
        <f t="shared" si="289"/>
        <v/>
      </c>
      <c r="D2633" t="str">
        <f t="shared" si="290"/>
        <v/>
      </c>
      <c r="E2633" t="str">
        <f>IF(F2633="","",IF(COUNTIF($F$2:F2633,F2633)&gt;1,"",SUMIFS(tbl_input[필요수량],tbl_input[집계키_센터],F2633)))</f>
        <v/>
      </c>
      <c r="F2633" t="str">
        <f>IFERROR(INDEX(tbl_input[집계키_센터],ROW()-1),"")</f>
        <v/>
      </c>
      <c r="G2633" t="str">
        <f t="shared" si="291"/>
        <v/>
      </c>
      <c r="H2633" t="str">
        <f t="shared" si="292"/>
        <v/>
      </c>
      <c r="I2633" t="str">
        <f t="shared" si="293"/>
        <v/>
      </c>
    </row>
    <row r="2634" spans="1:9" x14ac:dyDescent="0.4">
      <c r="A2634" t="str">
        <f t="shared" si="287"/>
        <v/>
      </c>
      <c r="B2634" t="str">
        <f t="shared" si="288"/>
        <v/>
      </c>
      <c r="C2634" t="str">
        <f t="shared" si="289"/>
        <v/>
      </c>
      <c r="D2634" t="str">
        <f t="shared" si="290"/>
        <v/>
      </c>
      <c r="E2634" t="str">
        <f>IF(F2634="","",IF(COUNTIF($F$2:F2634,F2634)&gt;1,"",SUMIFS(tbl_input[필요수량],tbl_input[집계키_센터],F2634)))</f>
        <v/>
      </c>
      <c r="F2634" t="str">
        <f>IFERROR(INDEX(tbl_input[집계키_센터],ROW()-1),"")</f>
        <v/>
      </c>
      <c r="G2634" t="str">
        <f t="shared" si="291"/>
        <v/>
      </c>
      <c r="H2634" t="str">
        <f t="shared" si="292"/>
        <v/>
      </c>
      <c r="I2634" t="str">
        <f t="shared" si="293"/>
        <v/>
      </c>
    </row>
    <row r="2635" spans="1:9" x14ac:dyDescent="0.4">
      <c r="A2635" t="str">
        <f t="shared" si="287"/>
        <v/>
      </c>
      <c r="B2635" t="str">
        <f t="shared" si="288"/>
        <v/>
      </c>
      <c r="C2635" t="str">
        <f t="shared" si="289"/>
        <v/>
      </c>
      <c r="D2635" t="str">
        <f t="shared" si="290"/>
        <v/>
      </c>
      <c r="E2635" t="str">
        <f>IF(F2635="","",IF(COUNTIF($F$2:F2635,F2635)&gt;1,"",SUMIFS(tbl_input[필요수량],tbl_input[집계키_센터],F2635)))</f>
        <v/>
      </c>
      <c r="F2635" t="str">
        <f>IFERROR(INDEX(tbl_input[집계키_센터],ROW()-1),"")</f>
        <v/>
      </c>
      <c r="G2635" t="str">
        <f t="shared" si="291"/>
        <v/>
      </c>
      <c r="H2635" t="str">
        <f t="shared" si="292"/>
        <v/>
      </c>
      <c r="I2635" t="str">
        <f t="shared" si="293"/>
        <v/>
      </c>
    </row>
    <row r="2636" spans="1:9" x14ac:dyDescent="0.4">
      <c r="A2636" t="str">
        <f t="shared" si="287"/>
        <v/>
      </c>
      <c r="B2636" t="str">
        <f t="shared" si="288"/>
        <v/>
      </c>
      <c r="C2636" t="str">
        <f t="shared" si="289"/>
        <v/>
      </c>
      <c r="D2636" t="str">
        <f t="shared" si="290"/>
        <v/>
      </c>
      <c r="E2636" t="str">
        <f>IF(F2636="","",IF(COUNTIF($F$2:F2636,F2636)&gt;1,"",SUMIFS(tbl_input[필요수량],tbl_input[집계키_센터],F2636)))</f>
        <v/>
      </c>
      <c r="F2636" t="str">
        <f>IFERROR(INDEX(tbl_input[집계키_센터],ROW()-1),"")</f>
        <v/>
      </c>
      <c r="G2636" t="str">
        <f t="shared" si="291"/>
        <v/>
      </c>
      <c r="H2636" t="str">
        <f t="shared" si="292"/>
        <v/>
      </c>
      <c r="I2636" t="str">
        <f t="shared" si="293"/>
        <v/>
      </c>
    </row>
    <row r="2637" spans="1:9" x14ac:dyDescent="0.4">
      <c r="A2637" t="str">
        <f t="shared" si="287"/>
        <v/>
      </c>
      <c r="B2637" t="str">
        <f t="shared" si="288"/>
        <v/>
      </c>
      <c r="C2637" t="str">
        <f t="shared" si="289"/>
        <v/>
      </c>
      <c r="D2637" t="str">
        <f t="shared" si="290"/>
        <v/>
      </c>
      <c r="E2637" t="str">
        <f>IF(F2637="","",IF(COUNTIF($F$2:F2637,F2637)&gt;1,"",SUMIFS(tbl_input[필요수량],tbl_input[집계키_센터],F2637)))</f>
        <v/>
      </c>
      <c r="F2637" t="str">
        <f>IFERROR(INDEX(tbl_input[집계키_센터],ROW()-1),"")</f>
        <v/>
      </c>
      <c r="G2637" t="str">
        <f t="shared" si="291"/>
        <v/>
      </c>
      <c r="H2637" t="str">
        <f t="shared" si="292"/>
        <v/>
      </c>
      <c r="I2637" t="str">
        <f t="shared" si="293"/>
        <v/>
      </c>
    </row>
    <row r="2638" spans="1:9" x14ac:dyDescent="0.4">
      <c r="A2638" t="str">
        <f t="shared" si="287"/>
        <v/>
      </c>
      <c r="B2638" t="str">
        <f t="shared" si="288"/>
        <v/>
      </c>
      <c r="C2638" t="str">
        <f t="shared" si="289"/>
        <v/>
      </c>
      <c r="D2638" t="str">
        <f t="shared" si="290"/>
        <v/>
      </c>
      <c r="E2638" t="str">
        <f>IF(F2638="","",IF(COUNTIF($F$2:F2638,F2638)&gt;1,"",SUMIFS(tbl_input[필요수량],tbl_input[집계키_센터],F2638)))</f>
        <v/>
      </c>
      <c r="F2638" t="str">
        <f>IFERROR(INDEX(tbl_input[집계키_센터],ROW()-1),"")</f>
        <v/>
      </c>
      <c r="G2638" t="str">
        <f t="shared" si="291"/>
        <v/>
      </c>
      <c r="H2638" t="str">
        <f t="shared" si="292"/>
        <v/>
      </c>
      <c r="I2638" t="str">
        <f t="shared" si="293"/>
        <v/>
      </c>
    </row>
    <row r="2639" spans="1:9" x14ac:dyDescent="0.4">
      <c r="A2639" t="str">
        <f t="shared" si="287"/>
        <v/>
      </c>
      <c r="B2639" t="str">
        <f t="shared" si="288"/>
        <v/>
      </c>
      <c r="C2639" t="str">
        <f t="shared" si="289"/>
        <v/>
      </c>
      <c r="D2639" t="str">
        <f t="shared" si="290"/>
        <v/>
      </c>
      <c r="E2639" t="str">
        <f>IF(F2639="","",IF(COUNTIF($F$2:F2639,F2639)&gt;1,"",SUMIFS(tbl_input[필요수량],tbl_input[집계키_센터],F2639)))</f>
        <v/>
      </c>
      <c r="F2639" t="str">
        <f>IFERROR(INDEX(tbl_input[집계키_센터],ROW()-1),"")</f>
        <v/>
      </c>
      <c r="G2639" t="str">
        <f t="shared" si="291"/>
        <v/>
      </c>
      <c r="H2639" t="str">
        <f t="shared" si="292"/>
        <v/>
      </c>
      <c r="I2639" t="str">
        <f t="shared" si="293"/>
        <v/>
      </c>
    </row>
    <row r="2640" spans="1:9" x14ac:dyDescent="0.4">
      <c r="A2640" t="str">
        <f t="shared" si="287"/>
        <v/>
      </c>
      <c r="B2640" t="str">
        <f t="shared" si="288"/>
        <v/>
      </c>
      <c r="C2640" t="str">
        <f t="shared" si="289"/>
        <v/>
      </c>
      <c r="D2640" t="str">
        <f t="shared" si="290"/>
        <v/>
      </c>
      <c r="E2640" t="str">
        <f>IF(F2640="","",IF(COUNTIF($F$2:F2640,F2640)&gt;1,"",SUMIFS(tbl_input[필요수량],tbl_input[집계키_센터],F2640)))</f>
        <v/>
      </c>
      <c r="F2640" t="str">
        <f>IFERROR(INDEX(tbl_input[집계키_센터],ROW()-1),"")</f>
        <v/>
      </c>
      <c r="G2640" t="str">
        <f t="shared" si="291"/>
        <v/>
      </c>
      <c r="H2640" t="str">
        <f t="shared" si="292"/>
        <v/>
      </c>
      <c r="I2640" t="str">
        <f t="shared" si="293"/>
        <v/>
      </c>
    </row>
    <row r="2641" spans="1:9" x14ac:dyDescent="0.4">
      <c r="A2641" t="str">
        <f t="shared" si="287"/>
        <v/>
      </c>
      <c r="B2641" t="str">
        <f t="shared" si="288"/>
        <v/>
      </c>
      <c r="C2641" t="str">
        <f t="shared" si="289"/>
        <v/>
      </c>
      <c r="D2641" t="str">
        <f t="shared" si="290"/>
        <v/>
      </c>
      <c r="E2641" t="str">
        <f>IF(F2641="","",IF(COUNTIF($F$2:F2641,F2641)&gt;1,"",SUMIFS(tbl_input[필요수량],tbl_input[집계키_센터],F2641)))</f>
        <v/>
      </c>
      <c r="F2641" t="str">
        <f>IFERROR(INDEX(tbl_input[집계키_센터],ROW()-1),"")</f>
        <v/>
      </c>
      <c r="G2641" t="str">
        <f t="shared" si="291"/>
        <v/>
      </c>
      <c r="H2641" t="str">
        <f t="shared" si="292"/>
        <v/>
      </c>
      <c r="I2641" t="str">
        <f t="shared" si="293"/>
        <v/>
      </c>
    </row>
    <row r="2642" spans="1:9" x14ac:dyDescent="0.4">
      <c r="A2642" t="str">
        <f t="shared" si="287"/>
        <v/>
      </c>
      <c r="B2642" t="str">
        <f t="shared" si="288"/>
        <v/>
      </c>
      <c r="C2642" t="str">
        <f t="shared" si="289"/>
        <v/>
      </c>
      <c r="D2642" t="str">
        <f t="shared" si="290"/>
        <v/>
      </c>
      <c r="E2642" t="str">
        <f>IF(F2642="","",IF(COUNTIF($F$2:F2642,F2642)&gt;1,"",SUMIFS(tbl_input[필요수량],tbl_input[집계키_센터],F2642)))</f>
        <v/>
      </c>
      <c r="F2642" t="str">
        <f>IFERROR(INDEX(tbl_input[집계키_센터],ROW()-1),"")</f>
        <v/>
      </c>
      <c r="G2642" t="str">
        <f t="shared" si="291"/>
        <v/>
      </c>
      <c r="H2642" t="str">
        <f t="shared" si="292"/>
        <v/>
      </c>
      <c r="I2642" t="str">
        <f t="shared" si="293"/>
        <v/>
      </c>
    </row>
    <row r="2643" spans="1:9" x14ac:dyDescent="0.4">
      <c r="A2643" t="str">
        <f t="shared" si="287"/>
        <v/>
      </c>
      <c r="B2643" t="str">
        <f t="shared" si="288"/>
        <v/>
      </c>
      <c r="C2643" t="str">
        <f t="shared" si="289"/>
        <v/>
      </c>
      <c r="D2643" t="str">
        <f t="shared" si="290"/>
        <v/>
      </c>
      <c r="E2643" t="str">
        <f>IF(F2643="","",IF(COUNTIF($F$2:F2643,F2643)&gt;1,"",SUMIFS(tbl_input[필요수량],tbl_input[집계키_센터],F2643)))</f>
        <v/>
      </c>
      <c r="F2643" t="str">
        <f>IFERROR(INDEX(tbl_input[집계키_센터],ROW()-1),"")</f>
        <v/>
      </c>
      <c r="G2643" t="str">
        <f t="shared" si="291"/>
        <v/>
      </c>
      <c r="H2643" t="str">
        <f t="shared" si="292"/>
        <v/>
      </c>
      <c r="I2643" t="str">
        <f t="shared" si="293"/>
        <v/>
      </c>
    </row>
    <row r="2644" spans="1:9" x14ac:dyDescent="0.4">
      <c r="A2644" t="str">
        <f t="shared" si="287"/>
        <v/>
      </c>
      <c r="B2644" t="str">
        <f t="shared" si="288"/>
        <v/>
      </c>
      <c r="C2644" t="str">
        <f t="shared" si="289"/>
        <v/>
      </c>
      <c r="D2644" t="str">
        <f t="shared" si="290"/>
        <v/>
      </c>
      <c r="E2644" t="str">
        <f>IF(F2644="","",IF(COUNTIF($F$2:F2644,F2644)&gt;1,"",SUMIFS(tbl_input[필요수량],tbl_input[집계키_센터],F2644)))</f>
        <v/>
      </c>
      <c r="F2644" t="str">
        <f>IFERROR(INDEX(tbl_input[집계키_센터],ROW()-1),"")</f>
        <v/>
      </c>
      <c r="G2644" t="str">
        <f t="shared" si="291"/>
        <v/>
      </c>
      <c r="H2644" t="str">
        <f t="shared" si="292"/>
        <v/>
      </c>
      <c r="I2644" t="str">
        <f t="shared" si="293"/>
        <v/>
      </c>
    </row>
    <row r="2645" spans="1:9" x14ac:dyDescent="0.4">
      <c r="A2645" t="str">
        <f t="shared" si="287"/>
        <v/>
      </c>
      <c r="B2645" t="str">
        <f t="shared" si="288"/>
        <v/>
      </c>
      <c r="C2645" t="str">
        <f t="shared" si="289"/>
        <v/>
      </c>
      <c r="D2645" t="str">
        <f t="shared" si="290"/>
        <v/>
      </c>
      <c r="E2645" t="str">
        <f>IF(F2645="","",IF(COUNTIF($F$2:F2645,F2645)&gt;1,"",SUMIFS(tbl_input[필요수량],tbl_input[집계키_센터],F2645)))</f>
        <v/>
      </c>
      <c r="F2645" t="str">
        <f>IFERROR(INDEX(tbl_input[집계키_센터],ROW()-1),"")</f>
        <v/>
      </c>
      <c r="G2645" t="str">
        <f t="shared" si="291"/>
        <v/>
      </c>
      <c r="H2645" t="str">
        <f t="shared" si="292"/>
        <v/>
      </c>
      <c r="I2645" t="str">
        <f t="shared" si="293"/>
        <v/>
      </c>
    </row>
    <row r="2646" spans="1:9" x14ac:dyDescent="0.4">
      <c r="A2646" t="str">
        <f t="shared" si="287"/>
        <v/>
      </c>
      <c r="B2646" t="str">
        <f t="shared" si="288"/>
        <v/>
      </c>
      <c r="C2646" t="str">
        <f t="shared" si="289"/>
        <v/>
      </c>
      <c r="D2646" t="str">
        <f t="shared" si="290"/>
        <v/>
      </c>
      <c r="E2646" t="str">
        <f>IF(F2646="","",IF(COUNTIF($F$2:F2646,F2646)&gt;1,"",SUMIFS(tbl_input[필요수량],tbl_input[집계키_센터],F2646)))</f>
        <v/>
      </c>
      <c r="F2646" t="str">
        <f>IFERROR(INDEX(tbl_input[집계키_센터],ROW()-1),"")</f>
        <v/>
      </c>
      <c r="G2646" t="str">
        <f t="shared" si="291"/>
        <v/>
      </c>
      <c r="H2646" t="str">
        <f t="shared" si="292"/>
        <v/>
      </c>
      <c r="I2646" t="str">
        <f t="shared" si="293"/>
        <v/>
      </c>
    </row>
    <row r="2647" spans="1:9" x14ac:dyDescent="0.4">
      <c r="A2647" t="str">
        <f t="shared" si="287"/>
        <v/>
      </c>
      <c r="B2647" t="str">
        <f t="shared" si="288"/>
        <v/>
      </c>
      <c r="C2647" t="str">
        <f t="shared" si="289"/>
        <v/>
      </c>
      <c r="D2647" t="str">
        <f t="shared" si="290"/>
        <v/>
      </c>
      <c r="E2647" t="str">
        <f>IF(F2647="","",IF(COUNTIF($F$2:F2647,F2647)&gt;1,"",SUMIFS(tbl_input[필요수량],tbl_input[집계키_센터],F2647)))</f>
        <v/>
      </c>
      <c r="F2647" t="str">
        <f>IFERROR(INDEX(tbl_input[집계키_센터],ROW()-1),"")</f>
        <v/>
      </c>
      <c r="G2647" t="str">
        <f t="shared" si="291"/>
        <v/>
      </c>
      <c r="H2647" t="str">
        <f t="shared" si="292"/>
        <v/>
      </c>
      <c r="I2647" t="str">
        <f t="shared" si="293"/>
        <v/>
      </c>
    </row>
    <row r="2648" spans="1:9" x14ac:dyDescent="0.4">
      <c r="A2648" t="str">
        <f t="shared" si="287"/>
        <v/>
      </c>
      <c r="B2648" t="str">
        <f t="shared" si="288"/>
        <v/>
      </c>
      <c r="C2648" t="str">
        <f t="shared" si="289"/>
        <v/>
      </c>
      <c r="D2648" t="str">
        <f t="shared" si="290"/>
        <v/>
      </c>
      <c r="E2648" t="str">
        <f>IF(F2648="","",IF(COUNTIF($F$2:F2648,F2648)&gt;1,"",SUMIFS(tbl_input[필요수량],tbl_input[집계키_센터],F2648)))</f>
        <v/>
      </c>
      <c r="F2648" t="str">
        <f>IFERROR(INDEX(tbl_input[집계키_센터],ROW()-1),"")</f>
        <v/>
      </c>
      <c r="G2648" t="str">
        <f t="shared" si="291"/>
        <v/>
      </c>
      <c r="H2648" t="str">
        <f t="shared" si="292"/>
        <v/>
      </c>
      <c r="I2648" t="str">
        <f t="shared" si="293"/>
        <v/>
      </c>
    </row>
    <row r="2649" spans="1:9" x14ac:dyDescent="0.4">
      <c r="A2649" t="str">
        <f t="shared" si="287"/>
        <v/>
      </c>
      <c r="B2649" t="str">
        <f t="shared" si="288"/>
        <v/>
      </c>
      <c r="C2649" t="str">
        <f t="shared" si="289"/>
        <v/>
      </c>
      <c r="D2649" t="str">
        <f t="shared" si="290"/>
        <v/>
      </c>
      <c r="E2649" t="str">
        <f>IF(F2649="","",IF(COUNTIF($F$2:F2649,F2649)&gt;1,"",SUMIFS(tbl_input[필요수량],tbl_input[집계키_센터],F2649)))</f>
        <v/>
      </c>
      <c r="F2649" t="str">
        <f>IFERROR(INDEX(tbl_input[집계키_센터],ROW()-1),"")</f>
        <v/>
      </c>
      <c r="G2649" t="str">
        <f t="shared" si="291"/>
        <v/>
      </c>
      <c r="H2649" t="str">
        <f t="shared" si="292"/>
        <v/>
      </c>
      <c r="I2649" t="str">
        <f t="shared" si="293"/>
        <v/>
      </c>
    </row>
    <row r="2650" spans="1:9" x14ac:dyDescent="0.4">
      <c r="A2650" t="str">
        <f t="shared" si="287"/>
        <v/>
      </c>
      <c r="B2650" t="str">
        <f t="shared" si="288"/>
        <v/>
      </c>
      <c r="C2650" t="str">
        <f t="shared" si="289"/>
        <v/>
      </c>
      <c r="D2650" t="str">
        <f t="shared" si="290"/>
        <v/>
      </c>
      <c r="E2650" t="str">
        <f>IF(F2650="","",IF(COUNTIF($F$2:F2650,F2650)&gt;1,"",SUMIFS(tbl_input[필요수량],tbl_input[집계키_센터],F2650)))</f>
        <v/>
      </c>
      <c r="F2650" t="str">
        <f>IFERROR(INDEX(tbl_input[집계키_센터],ROW()-1),"")</f>
        <v/>
      </c>
      <c r="G2650" t="str">
        <f t="shared" si="291"/>
        <v/>
      </c>
      <c r="H2650" t="str">
        <f t="shared" si="292"/>
        <v/>
      </c>
      <c r="I2650" t="str">
        <f t="shared" si="293"/>
        <v/>
      </c>
    </row>
    <row r="2651" spans="1:9" x14ac:dyDescent="0.4">
      <c r="A2651" t="str">
        <f t="shared" si="287"/>
        <v/>
      </c>
      <c r="B2651" t="str">
        <f t="shared" si="288"/>
        <v/>
      </c>
      <c r="C2651" t="str">
        <f t="shared" si="289"/>
        <v/>
      </c>
      <c r="D2651" t="str">
        <f t="shared" si="290"/>
        <v/>
      </c>
      <c r="E2651" t="str">
        <f>IF(F2651="","",IF(COUNTIF($F$2:F2651,F2651)&gt;1,"",SUMIFS(tbl_input[필요수량],tbl_input[집계키_센터],F2651)))</f>
        <v/>
      </c>
      <c r="F2651" t="str">
        <f>IFERROR(INDEX(tbl_input[집계키_센터],ROW()-1),"")</f>
        <v/>
      </c>
      <c r="G2651" t="str">
        <f t="shared" si="291"/>
        <v/>
      </c>
      <c r="H2651" t="str">
        <f t="shared" si="292"/>
        <v/>
      </c>
      <c r="I2651" t="str">
        <f t="shared" si="293"/>
        <v/>
      </c>
    </row>
    <row r="2652" spans="1:9" x14ac:dyDescent="0.4">
      <c r="A2652" t="str">
        <f t="shared" si="287"/>
        <v/>
      </c>
      <c r="B2652" t="str">
        <f t="shared" si="288"/>
        <v/>
      </c>
      <c r="C2652" t="str">
        <f t="shared" si="289"/>
        <v/>
      </c>
      <c r="D2652" t="str">
        <f t="shared" si="290"/>
        <v/>
      </c>
      <c r="E2652" t="str">
        <f>IF(F2652="","",IF(COUNTIF($F$2:F2652,F2652)&gt;1,"",SUMIFS(tbl_input[필요수량],tbl_input[집계키_센터],F2652)))</f>
        <v/>
      </c>
      <c r="F2652" t="str">
        <f>IFERROR(INDEX(tbl_input[집계키_센터],ROW()-1),"")</f>
        <v/>
      </c>
      <c r="G2652" t="str">
        <f t="shared" si="291"/>
        <v/>
      </c>
      <c r="H2652" t="str">
        <f t="shared" si="292"/>
        <v/>
      </c>
      <c r="I2652" t="str">
        <f t="shared" si="293"/>
        <v/>
      </c>
    </row>
    <row r="2653" spans="1:9" x14ac:dyDescent="0.4">
      <c r="A2653" t="str">
        <f t="shared" si="287"/>
        <v/>
      </c>
      <c r="B2653" t="str">
        <f t="shared" si="288"/>
        <v/>
      </c>
      <c r="C2653" t="str">
        <f t="shared" si="289"/>
        <v/>
      </c>
      <c r="D2653" t="str">
        <f t="shared" si="290"/>
        <v/>
      </c>
      <c r="E2653" t="str">
        <f>IF(F2653="","",IF(COUNTIF($F$2:F2653,F2653)&gt;1,"",SUMIFS(tbl_input[필요수량],tbl_input[집계키_센터],F2653)))</f>
        <v/>
      </c>
      <c r="F2653" t="str">
        <f>IFERROR(INDEX(tbl_input[집계키_센터],ROW()-1),"")</f>
        <v/>
      </c>
      <c r="G2653" t="str">
        <f t="shared" si="291"/>
        <v/>
      </c>
      <c r="H2653" t="str">
        <f t="shared" si="292"/>
        <v/>
      </c>
      <c r="I2653" t="str">
        <f t="shared" si="293"/>
        <v/>
      </c>
    </row>
    <row r="2654" spans="1:9" x14ac:dyDescent="0.4">
      <c r="A2654" t="str">
        <f t="shared" si="287"/>
        <v/>
      </c>
      <c r="B2654" t="str">
        <f t="shared" si="288"/>
        <v/>
      </c>
      <c r="C2654" t="str">
        <f t="shared" si="289"/>
        <v/>
      </c>
      <c r="D2654" t="str">
        <f t="shared" si="290"/>
        <v/>
      </c>
      <c r="E2654" t="str">
        <f>IF(F2654="","",IF(COUNTIF($F$2:F2654,F2654)&gt;1,"",SUMIFS(tbl_input[필요수량],tbl_input[집계키_센터],F2654)))</f>
        <v/>
      </c>
      <c r="F2654" t="str">
        <f>IFERROR(INDEX(tbl_input[집계키_센터],ROW()-1),"")</f>
        <v/>
      </c>
      <c r="G2654" t="str">
        <f t="shared" si="291"/>
        <v/>
      </c>
      <c r="H2654" t="str">
        <f t="shared" si="292"/>
        <v/>
      </c>
      <c r="I2654" t="str">
        <f t="shared" si="293"/>
        <v/>
      </c>
    </row>
    <row r="2655" spans="1:9" x14ac:dyDescent="0.4">
      <c r="A2655" t="str">
        <f t="shared" si="287"/>
        <v/>
      </c>
      <c r="B2655" t="str">
        <f t="shared" si="288"/>
        <v/>
      </c>
      <c r="C2655" t="str">
        <f t="shared" si="289"/>
        <v/>
      </c>
      <c r="D2655" t="str">
        <f t="shared" si="290"/>
        <v/>
      </c>
      <c r="E2655" t="str">
        <f>IF(F2655="","",IF(COUNTIF($F$2:F2655,F2655)&gt;1,"",SUMIFS(tbl_input[필요수량],tbl_input[집계키_센터],F2655)))</f>
        <v/>
      </c>
      <c r="F2655" t="str">
        <f>IFERROR(INDEX(tbl_input[집계키_센터],ROW()-1),"")</f>
        <v/>
      </c>
      <c r="G2655" t="str">
        <f t="shared" si="291"/>
        <v/>
      </c>
      <c r="H2655" t="str">
        <f t="shared" si="292"/>
        <v/>
      </c>
      <c r="I2655" t="str">
        <f t="shared" si="293"/>
        <v/>
      </c>
    </row>
    <row r="2656" spans="1:9" x14ac:dyDescent="0.4">
      <c r="A2656" t="str">
        <f t="shared" si="287"/>
        <v/>
      </c>
      <c r="B2656" t="str">
        <f t="shared" si="288"/>
        <v/>
      </c>
      <c r="C2656" t="str">
        <f t="shared" si="289"/>
        <v/>
      </c>
      <c r="D2656" t="str">
        <f t="shared" si="290"/>
        <v/>
      </c>
      <c r="E2656" t="str">
        <f>IF(F2656="","",IF(COUNTIF($F$2:F2656,F2656)&gt;1,"",SUMIFS(tbl_input[필요수량],tbl_input[집계키_센터],F2656)))</f>
        <v/>
      </c>
      <c r="F2656" t="str">
        <f>IFERROR(INDEX(tbl_input[집계키_센터],ROW()-1),"")</f>
        <v/>
      </c>
      <c r="G2656" t="str">
        <f t="shared" si="291"/>
        <v/>
      </c>
      <c r="H2656" t="str">
        <f t="shared" si="292"/>
        <v/>
      </c>
      <c r="I2656" t="str">
        <f t="shared" si="293"/>
        <v/>
      </c>
    </row>
    <row r="2657" spans="1:9" x14ac:dyDescent="0.4">
      <c r="A2657" t="str">
        <f t="shared" si="287"/>
        <v/>
      </c>
      <c r="B2657" t="str">
        <f t="shared" si="288"/>
        <v/>
      </c>
      <c r="C2657" t="str">
        <f t="shared" si="289"/>
        <v/>
      </c>
      <c r="D2657" t="str">
        <f t="shared" si="290"/>
        <v/>
      </c>
      <c r="E2657" t="str">
        <f>IF(F2657="","",IF(COUNTIF($F$2:F2657,F2657)&gt;1,"",SUMIFS(tbl_input[필요수량],tbl_input[집계키_센터],F2657)))</f>
        <v/>
      </c>
      <c r="F2657" t="str">
        <f>IFERROR(INDEX(tbl_input[집계키_센터],ROW()-1),"")</f>
        <v/>
      </c>
      <c r="G2657" t="str">
        <f t="shared" si="291"/>
        <v/>
      </c>
      <c r="H2657" t="str">
        <f t="shared" si="292"/>
        <v/>
      </c>
      <c r="I2657" t="str">
        <f t="shared" si="293"/>
        <v/>
      </c>
    </row>
    <row r="2658" spans="1:9" x14ac:dyDescent="0.4">
      <c r="A2658" t="str">
        <f t="shared" si="287"/>
        <v/>
      </c>
      <c r="B2658" t="str">
        <f t="shared" si="288"/>
        <v/>
      </c>
      <c r="C2658" t="str">
        <f t="shared" si="289"/>
        <v/>
      </c>
      <c r="D2658" t="str">
        <f t="shared" si="290"/>
        <v/>
      </c>
      <c r="E2658" t="str">
        <f>IF(F2658="","",IF(COUNTIF($F$2:F2658,F2658)&gt;1,"",SUMIFS(tbl_input[필요수량],tbl_input[집계키_센터],F2658)))</f>
        <v/>
      </c>
      <c r="F2658" t="str">
        <f>IFERROR(INDEX(tbl_input[집계키_센터],ROW()-1),"")</f>
        <v/>
      </c>
      <c r="G2658" t="str">
        <f t="shared" si="291"/>
        <v/>
      </c>
      <c r="H2658" t="str">
        <f t="shared" si="292"/>
        <v/>
      </c>
      <c r="I2658" t="str">
        <f t="shared" si="293"/>
        <v/>
      </c>
    </row>
    <row r="2659" spans="1:9" x14ac:dyDescent="0.4">
      <c r="A2659" t="str">
        <f t="shared" si="287"/>
        <v/>
      </c>
      <c r="B2659" t="str">
        <f t="shared" si="288"/>
        <v/>
      </c>
      <c r="C2659" t="str">
        <f t="shared" si="289"/>
        <v/>
      </c>
      <c r="D2659" t="str">
        <f t="shared" si="290"/>
        <v/>
      </c>
      <c r="E2659" t="str">
        <f>IF(F2659="","",IF(COUNTIF($F$2:F2659,F2659)&gt;1,"",SUMIFS(tbl_input[필요수량],tbl_input[집계키_센터],F2659)))</f>
        <v/>
      </c>
      <c r="F2659" t="str">
        <f>IFERROR(INDEX(tbl_input[집계키_센터],ROW()-1),"")</f>
        <v/>
      </c>
      <c r="G2659" t="str">
        <f t="shared" si="291"/>
        <v/>
      </c>
      <c r="H2659" t="str">
        <f t="shared" si="292"/>
        <v/>
      </c>
      <c r="I2659" t="str">
        <f t="shared" si="293"/>
        <v/>
      </c>
    </row>
    <row r="2660" spans="1:9" x14ac:dyDescent="0.4">
      <c r="A2660" t="str">
        <f t="shared" si="287"/>
        <v/>
      </c>
      <c r="B2660" t="str">
        <f t="shared" si="288"/>
        <v/>
      </c>
      <c r="C2660" t="str">
        <f t="shared" si="289"/>
        <v/>
      </c>
      <c r="D2660" t="str">
        <f t="shared" si="290"/>
        <v/>
      </c>
      <c r="E2660" t="str">
        <f>IF(F2660="","",IF(COUNTIF($F$2:F2660,F2660)&gt;1,"",SUMIFS(tbl_input[필요수량],tbl_input[집계키_센터],F2660)))</f>
        <v/>
      </c>
      <c r="F2660" t="str">
        <f>IFERROR(INDEX(tbl_input[집계키_센터],ROW()-1),"")</f>
        <v/>
      </c>
      <c r="G2660" t="str">
        <f t="shared" si="291"/>
        <v/>
      </c>
      <c r="H2660" t="str">
        <f t="shared" si="292"/>
        <v/>
      </c>
      <c r="I2660" t="str">
        <f t="shared" si="293"/>
        <v/>
      </c>
    </row>
    <row r="2661" spans="1:9" x14ac:dyDescent="0.4">
      <c r="A2661" t="str">
        <f t="shared" si="287"/>
        <v/>
      </c>
      <c r="B2661" t="str">
        <f t="shared" si="288"/>
        <v/>
      </c>
      <c r="C2661" t="str">
        <f t="shared" si="289"/>
        <v/>
      </c>
      <c r="D2661" t="str">
        <f t="shared" si="290"/>
        <v/>
      </c>
      <c r="E2661" t="str">
        <f>IF(F2661="","",IF(COUNTIF($F$2:F2661,F2661)&gt;1,"",SUMIFS(tbl_input[필요수량],tbl_input[집계키_센터],F2661)))</f>
        <v/>
      </c>
      <c r="F2661" t="str">
        <f>IFERROR(INDEX(tbl_input[집계키_센터],ROW()-1),"")</f>
        <v/>
      </c>
      <c r="G2661" t="str">
        <f t="shared" si="291"/>
        <v/>
      </c>
      <c r="H2661" t="str">
        <f t="shared" si="292"/>
        <v/>
      </c>
      <c r="I2661" t="str">
        <f t="shared" si="293"/>
        <v/>
      </c>
    </row>
    <row r="2662" spans="1:9" x14ac:dyDescent="0.4">
      <c r="A2662" t="str">
        <f t="shared" si="287"/>
        <v/>
      </c>
      <c r="B2662" t="str">
        <f t="shared" si="288"/>
        <v/>
      </c>
      <c r="C2662" t="str">
        <f t="shared" si="289"/>
        <v/>
      </c>
      <c r="D2662" t="str">
        <f t="shared" si="290"/>
        <v/>
      </c>
      <c r="E2662" t="str">
        <f>IF(F2662="","",IF(COUNTIF($F$2:F2662,F2662)&gt;1,"",SUMIFS(tbl_input[필요수량],tbl_input[집계키_센터],F2662)))</f>
        <v/>
      </c>
      <c r="F2662" t="str">
        <f>IFERROR(INDEX(tbl_input[집계키_센터],ROW()-1),"")</f>
        <v/>
      </c>
      <c r="G2662" t="str">
        <f t="shared" si="291"/>
        <v/>
      </c>
      <c r="H2662" t="str">
        <f t="shared" si="292"/>
        <v/>
      </c>
      <c r="I2662" t="str">
        <f t="shared" si="293"/>
        <v/>
      </c>
    </row>
    <row r="2663" spans="1:9" x14ac:dyDescent="0.4">
      <c r="A2663" t="str">
        <f t="shared" si="287"/>
        <v/>
      </c>
      <c r="B2663" t="str">
        <f t="shared" si="288"/>
        <v/>
      </c>
      <c r="C2663" t="str">
        <f t="shared" si="289"/>
        <v/>
      </c>
      <c r="D2663" t="str">
        <f t="shared" si="290"/>
        <v/>
      </c>
      <c r="E2663" t="str">
        <f>IF(F2663="","",IF(COUNTIF($F$2:F2663,F2663)&gt;1,"",SUMIFS(tbl_input[필요수량],tbl_input[집계키_센터],F2663)))</f>
        <v/>
      </c>
      <c r="F2663" t="str">
        <f>IFERROR(INDEX(tbl_input[집계키_센터],ROW()-1),"")</f>
        <v/>
      </c>
      <c r="G2663" t="str">
        <f t="shared" si="291"/>
        <v/>
      </c>
      <c r="H2663" t="str">
        <f t="shared" si="292"/>
        <v/>
      </c>
      <c r="I2663" t="str">
        <f t="shared" si="293"/>
        <v/>
      </c>
    </row>
    <row r="2664" spans="1:9" x14ac:dyDescent="0.4">
      <c r="A2664" t="str">
        <f t="shared" si="287"/>
        <v/>
      </c>
      <c r="B2664" t="str">
        <f t="shared" si="288"/>
        <v/>
      </c>
      <c r="C2664" t="str">
        <f t="shared" si="289"/>
        <v/>
      </c>
      <c r="D2664" t="str">
        <f t="shared" si="290"/>
        <v/>
      </c>
      <c r="E2664" t="str">
        <f>IF(F2664="","",IF(COUNTIF($F$2:F2664,F2664)&gt;1,"",SUMIFS(tbl_input[필요수량],tbl_input[집계키_센터],F2664)))</f>
        <v/>
      </c>
      <c r="F2664" t="str">
        <f>IFERROR(INDEX(tbl_input[집계키_센터],ROW()-1),"")</f>
        <v/>
      </c>
      <c r="G2664" t="str">
        <f t="shared" si="291"/>
        <v/>
      </c>
      <c r="H2664" t="str">
        <f t="shared" si="292"/>
        <v/>
      </c>
      <c r="I2664" t="str">
        <f t="shared" si="293"/>
        <v/>
      </c>
    </row>
    <row r="2665" spans="1:9" x14ac:dyDescent="0.4">
      <c r="A2665" t="str">
        <f t="shared" si="287"/>
        <v/>
      </c>
      <c r="B2665" t="str">
        <f t="shared" si="288"/>
        <v/>
      </c>
      <c r="C2665" t="str">
        <f t="shared" si="289"/>
        <v/>
      </c>
      <c r="D2665" t="str">
        <f t="shared" si="290"/>
        <v/>
      </c>
      <c r="E2665" t="str">
        <f>IF(F2665="","",IF(COUNTIF($F$2:F2665,F2665)&gt;1,"",SUMIFS(tbl_input[필요수량],tbl_input[집계키_센터],F2665)))</f>
        <v/>
      </c>
      <c r="F2665" t="str">
        <f>IFERROR(INDEX(tbl_input[집계키_센터],ROW()-1),"")</f>
        <v/>
      </c>
      <c r="G2665" t="str">
        <f t="shared" si="291"/>
        <v/>
      </c>
      <c r="H2665" t="str">
        <f t="shared" si="292"/>
        <v/>
      </c>
      <c r="I2665" t="str">
        <f t="shared" si="293"/>
        <v/>
      </c>
    </row>
    <row r="2666" spans="1:9" x14ac:dyDescent="0.4">
      <c r="A2666" t="str">
        <f t="shared" si="287"/>
        <v/>
      </c>
      <c r="B2666" t="str">
        <f t="shared" si="288"/>
        <v/>
      </c>
      <c r="C2666" t="str">
        <f t="shared" si="289"/>
        <v/>
      </c>
      <c r="D2666" t="str">
        <f t="shared" si="290"/>
        <v/>
      </c>
      <c r="E2666" t="str">
        <f>IF(F2666="","",IF(COUNTIF($F$2:F2666,F2666)&gt;1,"",SUMIFS(tbl_input[필요수량],tbl_input[집계키_센터],F2666)))</f>
        <v/>
      </c>
      <c r="F2666" t="str">
        <f>IFERROR(INDEX(tbl_input[집계키_센터],ROW()-1),"")</f>
        <v/>
      </c>
      <c r="G2666" t="str">
        <f t="shared" si="291"/>
        <v/>
      </c>
      <c r="H2666" t="str">
        <f t="shared" si="292"/>
        <v/>
      </c>
      <c r="I2666" t="str">
        <f t="shared" si="293"/>
        <v/>
      </c>
    </row>
    <row r="2667" spans="1:9" x14ac:dyDescent="0.4">
      <c r="A2667" t="str">
        <f t="shared" si="287"/>
        <v/>
      </c>
      <c r="B2667" t="str">
        <f t="shared" si="288"/>
        <v/>
      </c>
      <c r="C2667" t="str">
        <f t="shared" si="289"/>
        <v/>
      </c>
      <c r="D2667" t="str">
        <f t="shared" si="290"/>
        <v/>
      </c>
      <c r="E2667" t="str">
        <f>IF(F2667="","",IF(COUNTIF($F$2:F2667,F2667)&gt;1,"",SUMIFS(tbl_input[필요수량],tbl_input[집계키_센터],F2667)))</f>
        <v/>
      </c>
      <c r="F2667" t="str">
        <f>IFERROR(INDEX(tbl_input[집계키_센터],ROW()-1),"")</f>
        <v/>
      </c>
      <c r="G2667" t="str">
        <f t="shared" si="291"/>
        <v/>
      </c>
      <c r="H2667" t="str">
        <f t="shared" si="292"/>
        <v/>
      </c>
      <c r="I2667" t="str">
        <f t="shared" si="293"/>
        <v/>
      </c>
    </row>
    <row r="2668" spans="1:9" x14ac:dyDescent="0.4">
      <c r="A2668" t="str">
        <f t="shared" si="287"/>
        <v/>
      </c>
      <c r="B2668" t="str">
        <f t="shared" si="288"/>
        <v/>
      </c>
      <c r="C2668" t="str">
        <f t="shared" si="289"/>
        <v/>
      </c>
      <c r="D2668" t="str">
        <f t="shared" si="290"/>
        <v/>
      </c>
      <c r="E2668" t="str">
        <f>IF(F2668="","",IF(COUNTIF($F$2:F2668,F2668)&gt;1,"",SUMIFS(tbl_input[필요수량],tbl_input[집계키_센터],F2668)))</f>
        <v/>
      </c>
      <c r="F2668" t="str">
        <f>IFERROR(INDEX(tbl_input[집계키_센터],ROW()-1),"")</f>
        <v/>
      </c>
      <c r="G2668" t="str">
        <f t="shared" si="291"/>
        <v/>
      </c>
      <c r="H2668" t="str">
        <f t="shared" si="292"/>
        <v/>
      </c>
      <c r="I2668" t="str">
        <f t="shared" si="293"/>
        <v/>
      </c>
    </row>
    <row r="2669" spans="1:9" x14ac:dyDescent="0.4">
      <c r="A2669" t="str">
        <f t="shared" si="287"/>
        <v/>
      </c>
      <c r="B2669" t="str">
        <f t="shared" si="288"/>
        <v/>
      </c>
      <c r="C2669" t="str">
        <f t="shared" si="289"/>
        <v/>
      </c>
      <c r="D2669" t="str">
        <f t="shared" si="290"/>
        <v/>
      </c>
      <c r="E2669" t="str">
        <f>IF(F2669="","",IF(COUNTIF($F$2:F2669,F2669)&gt;1,"",SUMIFS(tbl_input[필요수량],tbl_input[집계키_센터],F2669)))</f>
        <v/>
      </c>
      <c r="F2669" t="str">
        <f>IFERROR(INDEX(tbl_input[집계키_센터],ROW()-1),"")</f>
        <v/>
      </c>
      <c r="G2669" t="str">
        <f t="shared" si="291"/>
        <v/>
      </c>
      <c r="H2669" t="str">
        <f t="shared" si="292"/>
        <v/>
      </c>
      <c r="I2669" t="str">
        <f t="shared" si="293"/>
        <v/>
      </c>
    </row>
    <row r="2670" spans="1:9" x14ac:dyDescent="0.4">
      <c r="A2670" t="str">
        <f t="shared" si="287"/>
        <v/>
      </c>
      <c r="B2670" t="str">
        <f t="shared" si="288"/>
        <v/>
      </c>
      <c r="C2670" t="str">
        <f t="shared" si="289"/>
        <v/>
      </c>
      <c r="D2670" t="str">
        <f t="shared" si="290"/>
        <v/>
      </c>
      <c r="E2670" t="str">
        <f>IF(F2670="","",IF(COUNTIF($F$2:F2670,F2670)&gt;1,"",SUMIFS(tbl_input[필요수량],tbl_input[집계키_센터],F2670)))</f>
        <v/>
      </c>
      <c r="F2670" t="str">
        <f>IFERROR(INDEX(tbl_input[집계키_센터],ROW()-1),"")</f>
        <v/>
      </c>
      <c r="G2670" t="str">
        <f t="shared" si="291"/>
        <v/>
      </c>
      <c r="H2670" t="str">
        <f t="shared" si="292"/>
        <v/>
      </c>
      <c r="I2670" t="str">
        <f t="shared" si="293"/>
        <v/>
      </c>
    </row>
    <row r="2671" spans="1:9" x14ac:dyDescent="0.4">
      <c r="A2671" t="str">
        <f t="shared" si="287"/>
        <v/>
      </c>
      <c r="B2671" t="str">
        <f t="shared" si="288"/>
        <v/>
      </c>
      <c r="C2671" t="str">
        <f t="shared" si="289"/>
        <v/>
      </c>
      <c r="D2671" t="str">
        <f t="shared" si="290"/>
        <v/>
      </c>
      <c r="E2671" t="str">
        <f>IF(F2671="","",IF(COUNTIF($F$2:F2671,F2671)&gt;1,"",SUMIFS(tbl_input[필요수량],tbl_input[집계키_센터],F2671)))</f>
        <v/>
      </c>
      <c r="F2671" t="str">
        <f>IFERROR(INDEX(tbl_input[집계키_센터],ROW()-1),"")</f>
        <v/>
      </c>
      <c r="G2671" t="str">
        <f t="shared" si="291"/>
        <v/>
      </c>
      <c r="H2671" t="str">
        <f t="shared" si="292"/>
        <v/>
      </c>
      <c r="I2671" t="str">
        <f t="shared" si="293"/>
        <v/>
      </c>
    </row>
    <row r="2672" spans="1:9" x14ac:dyDescent="0.4">
      <c r="A2672" t="str">
        <f t="shared" si="287"/>
        <v/>
      </c>
      <c r="B2672" t="str">
        <f t="shared" si="288"/>
        <v/>
      </c>
      <c r="C2672" t="str">
        <f t="shared" si="289"/>
        <v/>
      </c>
      <c r="D2672" t="str">
        <f t="shared" si="290"/>
        <v/>
      </c>
      <c r="E2672" t="str">
        <f>IF(F2672="","",IF(COUNTIF($F$2:F2672,F2672)&gt;1,"",SUMIFS(tbl_input[필요수량],tbl_input[집계키_센터],F2672)))</f>
        <v/>
      </c>
      <c r="F2672" t="str">
        <f>IFERROR(INDEX(tbl_input[집계키_센터],ROW()-1),"")</f>
        <v/>
      </c>
      <c r="G2672" t="str">
        <f t="shared" si="291"/>
        <v/>
      </c>
      <c r="H2672" t="str">
        <f t="shared" si="292"/>
        <v/>
      </c>
      <c r="I2672" t="str">
        <f t="shared" si="293"/>
        <v/>
      </c>
    </row>
    <row r="2673" spans="1:9" x14ac:dyDescent="0.4">
      <c r="A2673" t="str">
        <f t="shared" si="287"/>
        <v/>
      </c>
      <c r="B2673" t="str">
        <f t="shared" si="288"/>
        <v/>
      </c>
      <c r="C2673" t="str">
        <f t="shared" si="289"/>
        <v/>
      </c>
      <c r="D2673" t="str">
        <f t="shared" si="290"/>
        <v/>
      </c>
      <c r="E2673" t="str">
        <f>IF(F2673="","",IF(COUNTIF($F$2:F2673,F2673)&gt;1,"",SUMIFS(tbl_input[필요수량],tbl_input[집계키_센터],F2673)))</f>
        <v/>
      </c>
      <c r="F2673" t="str">
        <f>IFERROR(INDEX(tbl_input[집계키_센터],ROW()-1),"")</f>
        <v/>
      </c>
      <c r="G2673" t="str">
        <f t="shared" si="291"/>
        <v/>
      </c>
      <c r="H2673" t="str">
        <f t="shared" si="292"/>
        <v/>
      </c>
      <c r="I2673" t="str">
        <f t="shared" si="293"/>
        <v/>
      </c>
    </row>
    <row r="2674" spans="1:9" x14ac:dyDescent="0.4">
      <c r="A2674" t="str">
        <f t="shared" si="287"/>
        <v/>
      </c>
      <c r="B2674" t="str">
        <f t="shared" si="288"/>
        <v/>
      </c>
      <c r="C2674" t="str">
        <f t="shared" si="289"/>
        <v/>
      </c>
      <c r="D2674" t="str">
        <f t="shared" si="290"/>
        <v/>
      </c>
      <c r="E2674" t="str">
        <f>IF(F2674="","",IF(COUNTIF($F$2:F2674,F2674)&gt;1,"",SUMIFS(tbl_input[필요수량],tbl_input[집계키_센터],F2674)))</f>
        <v/>
      </c>
      <c r="F2674" t="str">
        <f>IFERROR(INDEX(tbl_input[집계키_센터],ROW()-1),"")</f>
        <v/>
      </c>
      <c r="G2674" t="str">
        <f t="shared" si="291"/>
        <v/>
      </c>
      <c r="H2674" t="str">
        <f t="shared" si="292"/>
        <v/>
      </c>
      <c r="I2674" t="str">
        <f t="shared" si="293"/>
        <v/>
      </c>
    </row>
    <row r="2675" spans="1:9" x14ac:dyDescent="0.4">
      <c r="A2675" t="str">
        <f t="shared" si="287"/>
        <v/>
      </c>
      <c r="B2675" t="str">
        <f t="shared" si="288"/>
        <v/>
      </c>
      <c r="C2675" t="str">
        <f t="shared" si="289"/>
        <v/>
      </c>
      <c r="D2675" t="str">
        <f t="shared" si="290"/>
        <v/>
      </c>
      <c r="E2675" t="str">
        <f>IF(F2675="","",IF(COUNTIF($F$2:F2675,F2675)&gt;1,"",SUMIFS(tbl_input[필요수량],tbl_input[집계키_센터],F2675)))</f>
        <v/>
      </c>
      <c r="F2675" t="str">
        <f>IFERROR(INDEX(tbl_input[집계키_센터],ROW()-1),"")</f>
        <v/>
      </c>
      <c r="G2675" t="str">
        <f t="shared" si="291"/>
        <v/>
      </c>
      <c r="H2675" t="str">
        <f t="shared" si="292"/>
        <v/>
      </c>
      <c r="I2675" t="str">
        <f t="shared" si="293"/>
        <v/>
      </c>
    </row>
    <row r="2676" spans="1:9" x14ac:dyDescent="0.4">
      <c r="A2676" t="str">
        <f t="shared" si="287"/>
        <v/>
      </c>
      <c r="B2676" t="str">
        <f t="shared" si="288"/>
        <v/>
      </c>
      <c r="C2676" t="str">
        <f t="shared" si="289"/>
        <v/>
      </c>
      <c r="D2676" t="str">
        <f t="shared" si="290"/>
        <v/>
      </c>
      <c r="E2676" t="str">
        <f>IF(F2676="","",IF(COUNTIF($F$2:F2676,F2676)&gt;1,"",SUMIFS(tbl_input[필요수량],tbl_input[집계키_센터],F2676)))</f>
        <v/>
      </c>
      <c r="F2676" t="str">
        <f>IFERROR(INDEX(tbl_input[집계키_센터],ROW()-1),"")</f>
        <v/>
      </c>
      <c r="G2676" t="str">
        <f t="shared" si="291"/>
        <v/>
      </c>
      <c r="H2676" t="str">
        <f t="shared" si="292"/>
        <v/>
      </c>
      <c r="I2676" t="str">
        <f t="shared" si="293"/>
        <v/>
      </c>
    </row>
    <row r="2677" spans="1:9" x14ac:dyDescent="0.4">
      <c r="A2677" t="str">
        <f t="shared" si="287"/>
        <v/>
      </c>
      <c r="B2677" t="str">
        <f t="shared" si="288"/>
        <v/>
      </c>
      <c r="C2677" t="str">
        <f t="shared" si="289"/>
        <v/>
      </c>
      <c r="D2677" t="str">
        <f t="shared" si="290"/>
        <v/>
      </c>
      <c r="E2677" t="str">
        <f>IF(F2677="","",IF(COUNTIF($F$2:F2677,F2677)&gt;1,"",SUMIFS(tbl_input[필요수량],tbl_input[집계키_센터],F2677)))</f>
        <v/>
      </c>
      <c r="F2677" t="str">
        <f>IFERROR(INDEX(tbl_input[집계키_센터],ROW()-1),"")</f>
        <v/>
      </c>
      <c r="G2677" t="str">
        <f t="shared" si="291"/>
        <v/>
      </c>
      <c r="H2677" t="str">
        <f t="shared" si="292"/>
        <v/>
      </c>
      <c r="I2677" t="str">
        <f t="shared" si="293"/>
        <v/>
      </c>
    </row>
    <row r="2678" spans="1:9" x14ac:dyDescent="0.4">
      <c r="A2678" t="str">
        <f t="shared" si="287"/>
        <v/>
      </c>
      <c r="B2678" t="str">
        <f t="shared" si="288"/>
        <v/>
      </c>
      <c r="C2678" t="str">
        <f t="shared" si="289"/>
        <v/>
      </c>
      <c r="D2678" t="str">
        <f t="shared" si="290"/>
        <v/>
      </c>
      <c r="E2678" t="str">
        <f>IF(F2678="","",IF(COUNTIF($F$2:F2678,F2678)&gt;1,"",SUMIFS(tbl_input[필요수량],tbl_input[집계키_센터],F2678)))</f>
        <v/>
      </c>
      <c r="F2678" t="str">
        <f>IFERROR(INDEX(tbl_input[집계키_센터],ROW()-1),"")</f>
        <v/>
      </c>
      <c r="G2678" t="str">
        <f t="shared" si="291"/>
        <v/>
      </c>
      <c r="H2678" t="str">
        <f t="shared" si="292"/>
        <v/>
      </c>
      <c r="I2678" t="str">
        <f t="shared" si="293"/>
        <v/>
      </c>
    </row>
    <row r="2679" spans="1:9" x14ac:dyDescent="0.4">
      <c r="A2679" t="str">
        <f t="shared" si="287"/>
        <v/>
      </c>
      <c r="B2679" t="str">
        <f t="shared" si="288"/>
        <v/>
      </c>
      <c r="C2679" t="str">
        <f t="shared" si="289"/>
        <v/>
      </c>
      <c r="D2679" t="str">
        <f t="shared" si="290"/>
        <v/>
      </c>
      <c r="E2679" t="str">
        <f>IF(F2679="","",IF(COUNTIF($F$2:F2679,F2679)&gt;1,"",SUMIFS(tbl_input[필요수량],tbl_input[집계키_센터],F2679)))</f>
        <v/>
      </c>
      <c r="F2679" t="str">
        <f>IFERROR(INDEX(tbl_input[집계키_센터],ROW()-1),"")</f>
        <v/>
      </c>
      <c r="G2679" t="str">
        <f t="shared" si="291"/>
        <v/>
      </c>
      <c r="H2679" t="str">
        <f t="shared" si="292"/>
        <v/>
      </c>
      <c r="I2679" t="str">
        <f t="shared" si="293"/>
        <v/>
      </c>
    </row>
    <row r="2680" spans="1:9" x14ac:dyDescent="0.4">
      <c r="A2680" t="str">
        <f t="shared" si="287"/>
        <v/>
      </c>
      <c r="B2680" t="str">
        <f t="shared" si="288"/>
        <v/>
      </c>
      <c r="C2680" t="str">
        <f t="shared" si="289"/>
        <v/>
      </c>
      <c r="D2680" t="str">
        <f t="shared" si="290"/>
        <v/>
      </c>
      <c r="E2680" t="str">
        <f>IF(F2680="","",IF(COUNTIF($F$2:F2680,F2680)&gt;1,"",SUMIFS(tbl_input[필요수량],tbl_input[집계키_센터],F2680)))</f>
        <v/>
      </c>
      <c r="F2680" t="str">
        <f>IFERROR(INDEX(tbl_input[집계키_센터],ROW()-1),"")</f>
        <v/>
      </c>
      <c r="G2680" t="str">
        <f t="shared" si="291"/>
        <v/>
      </c>
      <c r="H2680" t="str">
        <f t="shared" si="292"/>
        <v/>
      </c>
      <c r="I2680" t="str">
        <f t="shared" si="293"/>
        <v/>
      </c>
    </row>
    <row r="2681" spans="1:9" x14ac:dyDescent="0.4">
      <c r="A2681" t="str">
        <f t="shared" si="287"/>
        <v/>
      </c>
      <c r="B2681" t="str">
        <f t="shared" si="288"/>
        <v/>
      </c>
      <c r="C2681" t="str">
        <f t="shared" si="289"/>
        <v/>
      </c>
      <c r="D2681" t="str">
        <f t="shared" si="290"/>
        <v/>
      </c>
      <c r="E2681" t="str">
        <f>IF(F2681="","",IF(COUNTIF($F$2:F2681,F2681)&gt;1,"",SUMIFS(tbl_input[필요수량],tbl_input[집계키_센터],F2681)))</f>
        <v/>
      </c>
      <c r="F2681" t="str">
        <f>IFERROR(INDEX(tbl_input[집계키_센터],ROW()-1),"")</f>
        <v/>
      </c>
      <c r="G2681" t="str">
        <f t="shared" si="291"/>
        <v/>
      </c>
      <c r="H2681" t="str">
        <f t="shared" si="292"/>
        <v/>
      </c>
      <c r="I2681" t="str">
        <f t="shared" si="293"/>
        <v/>
      </c>
    </row>
    <row r="2682" spans="1:9" x14ac:dyDescent="0.4">
      <c r="A2682" t="str">
        <f t="shared" si="287"/>
        <v/>
      </c>
      <c r="B2682" t="str">
        <f t="shared" si="288"/>
        <v/>
      </c>
      <c r="C2682" t="str">
        <f t="shared" si="289"/>
        <v/>
      </c>
      <c r="D2682" t="str">
        <f t="shared" si="290"/>
        <v/>
      </c>
      <c r="E2682" t="str">
        <f>IF(F2682="","",IF(COUNTIF($F$2:F2682,F2682)&gt;1,"",SUMIFS(tbl_input[필요수량],tbl_input[집계키_센터],F2682)))</f>
        <v/>
      </c>
      <c r="F2682" t="str">
        <f>IFERROR(INDEX(tbl_input[집계키_센터],ROW()-1),"")</f>
        <v/>
      </c>
      <c r="G2682" t="str">
        <f t="shared" si="291"/>
        <v/>
      </c>
      <c r="H2682" t="str">
        <f t="shared" si="292"/>
        <v/>
      </c>
      <c r="I2682" t="str">
        <f t="shared" si="293"/>
        <v/>
      </c>
    </row>
    <row r="2683" spans="1:9" x14ac:dyDescent="0.4">
      <c r="A2683" t="str">
        <f t="shared" si="287"/>
        <v/>
      </c>
      <c r="B2683" t="str">
        <f t="shared" si="288"/>
        <v/>
      </c>
      <c r="C2683" t="str">
        <f t="shared" si="289"/>
        <v/>
      </c>
      <c r="D2683" t="str">
        <f t="shared" si="290"/>
        <v/>
      </c>
      <c r="E2683" t="str">
        <f>IF(F2683="","",IF(COUNTIF($F$2:F2683,F2683)&gt;1,"",SUMIFS(tbl_input[필요수량],tbl_input[집계키_센터],F2683)))</f>
        <v/>
      </c>
      <c r="F2683" t="str">
        <f>IFERROR(INDEX(tbl_input[집계키_센터],ROW()-1),"")</f>
        <v/>
      </c>
      <c r="G2683" t="str">
        <f t="shared" si="291"/>
        <v/>
      </c>
      <c r="H2683" t="str">
        <f t="shared" si="292"/>
        <v/>
      </c>
      <c r="I2683" t="str">
        <f t="shared" si="293"/>
        <v/>
      </c>
    </row>
    <row r="2684" spans="1:9" x14ac:dyDescent="0.4">
      <c r="A2684" t="str">
        <f t="shared" si="287"/>
        <v/>
      </c>
      <c r="B2684" t="str">
        <f t="shared" si="288"/>
        <v/>
      </c>
      <c r="C2684" t="str">
        <f t="shared" si="289"/>
        <v/>
      </c>
      <c r="D2684" t="str">
        <f t="shared" si="290"/>
        <v/>
      </c>
      <c r="E2684" t="str">
        <f>IF(F2684="","",IF(COUNTIF($F$2:F2684,F2684)&gt;1,"",SUMIFS(tbl_input[필요수량],tbl_input[집계키_센터],F2684)))</f>
        <v/>
      </c>
      <c r="F2684" t="str">
        <f>IFERROR(INDEX(tbl_input[집계키_센터],ROW()-1),"")</f>
        <v/>
      </c>
      <c r="G2684" t="str">
        <f t="shared" si="291"/>
        <v/>
      </c>
      <c r="H2684" t="str">
        <f t="shared" si="292"/>
        <v/>
      </c>
      <c r="I2684" t="str">
        <f t="shared" si="293"/>
        <v/>
      </c>
    </row>
    <row r="2685" spans="1:9" x14ac:dyDescent="0.4">
      <c r="A2685" t="str">
        <f t="shared" si="287"/>
        <v/>
      </c>
      <c r="B2685" t="str">
        <f t="shared" si="288"/>
        <v/>
      </c>
      <c r="C2685" t="str">
        <f t="shared" si="289"/>
        <v/>
      </c>
      <c r="D2685" t="str">
        <f t="shared" si="290"/>
        <v/>
      </c>
      <c r="E2685" t="str">
        <f>IF(F2685="","",IF(COUNTIF($F$2:F2685,F2685)&gt;1,"",SUMIFS(tbl_input[필요수량],tbl_input[집계키_센터],F2685)))</f>
        <v/>
      </c>
      <c r="F2685" t="str">
        <f>IFERROR(INDEX(tbl_input[집계키_센터],ROW()-1),"")</f>
        <v/>
      </c>
      <c r="G2685" t="str">
        <f t="shared" si="291"/>
        <v/>
      </c>
      <c r="H2685" t="str">
        <f t="shared" si="292"/>
        <v/>
      </c>
      <c r="I2685" t="str">
        <f t="shared" si="293"/>
        <v/>
      </c>
    </row>
    <row r="2686" spans="1:9" x14ac:dyDescent="0.4">
      <c r="A2686" t="str">
        <f t="shared" si="287"/>
        <v/>
      </c>
      <c r="B2686" t="str">
        <f t="shared" si="288"/>
        <v/>
      </c>
      <c r="C2686" t="str">
        <f t="shared" si="289"/>
        <v/>
      </c>
      <c r="D2686" t="str">
        <f t="shared" si="290"/>
        <v/>
      </c>
      <c r="E2686" t="str">
        <f>IF(F2686="","",IF(COUNTIF($F$2:F2686,F2686)&gt;1,"",SUMIFS(tbl_input[필요수량],tbl_input[집계키_센터],F2686)))</f>
        <v/>
      </c>
      <c r="F2686" t="str">
        <f>IFERROR(INDEX(tbl_input[집계키_센터],ROW()-1),"")</f>
        <v/>
      </c>
      <c r="G2686" t="str">
        <f t="shared" si="291"/>
        <v/>
      </c>
      <c r="H2686" t="str">
        <f t="shared" si="292"/>
        <v/>
      </c>
      <c r="I2686" t="str">
        <f t="shared" si="293"/>
        <v/>
      </c>
    </row>
    <row r="2687" spans="1:9" x14ac:dyDescent="0.4">
      <c r="A2687" t="str">
        <f t="shared" si="287"/>
        <v/>
      </c>
      <c r="B2687" t="str">
        <f t="shared" si="288"/>
        <v/>
      </c>
      <c r="C2687" t="str">
        <f t="shared" si="289"/>
        <v/>
      </c>
      <c r="D2687" t="str">
        <f t="shared" si="290"/>
        <v/>
      </c>
      <c r="E2687" t="str">
        <f>IF(F2687="","",IF(COUNTIF($F$2:F2687,F2687)&gt;1,"",SUMIFS(tbl_input[필요수량],tbl_input[집계키_센터],F2687)))</f>
        <v/>
      </c>
      <c r="F2687" t="str">
        <f>IFERROR(INDEX(tbl_input[집계키_센터],ROW()-1),"")</f>
        <v/>
      </c>
      <c r="G2687" t="str">
        <f t="shared" si="291"/>
        <v/>
      </c>
      <c r="H2687" t="str">
        <f t="shared" si="292"/>
        <v/>
      </c>
      <c r="I2687" t="str">
        <f t="shared" si="293"/>
        <v/>
      </c>
    </row>
    <row r="2688" spans="1:9" x14ac:dyDescent="0.4">
      <c r="A2688" t="str">
        <f t="shared" si="287"/>
        <v/>
      </c>
      <c r="B2688" t="str">
        <f t="shared" si="288"/>
        <v/>
      </c>
      <c r="C2688" t="str">
        <f t="shared" si="289"/>
        <v/>
      </c>
      <c r="D2688" t="str">
        <f t="shared" si="290"/>
        <v/>
      </c>
      <c r="E2688" t="str">
        <f>IF(F2688="","",IF(COUNTIF($F$2:F2688,F2688)&gt;1,"",SUMIFS(tbl_input[필요수량],tbl_input[집계키_센터],F2688)))</f>
        <v/>
      </c>
      <c r="F2688" t="str">
        <f>IFERROR(INDEX(tbl_input[집계키_센터],ROW()-1),"")</f>
        <v/>
      </c>
      <c r="G2688" t="str">
        <f t="shared" si="291"/>
        <v/>
      </c>
      <c r="H2688" t="str">
        <f t="shared" si="292"/>
        <v/>
      </c>
      <c r="I2688" t="str">
        <f t="shared" si="293"/>
        <v/>
      </c>
    </row>
    <row r="2689" spans="1:9" x14ac:dyDescent="0.4">
      <c r="A2689" t="str">
        <f t="shared" si="287"/>
        <v/>
      </c>
      <c r="B2689" t="str">
        <f t="shared" si="288"/>
        <v/>
      </c>
      <c r="C2689" t="str">
        <f t="shared" si="289"/>
        <v/>
      </c>
      <c r="D2689" t="str">
        <f t="shared" si="290"/>
        <v/>
      </c>
      <c r="E2689" t="str">
        <f>IF(F2689="","",IF(COUNTIF($F$2:F2689,F2689)&gt;1,"",SUMIFS(tbl_input[필요수량],tbl_input[집계키_센터],F2689)))</f>
        <v/>
      </c>
      <c r="F2689" t="str">
        <f>IFERROR(INDEX(tbl_input[집계키_센터],ROW()-1),"")</f>
        <v/>
      </c>
      <c r="G2689" t="str">
        <f t="shared" si="291"/>
        <v/>
      </c>
      <c r="H2689" t="str">
        <f t="shared" si="292"/>
        <v/>
      </c>
      <c r="I2689" t="str">
        <f t="shared" si="293"/>
        <v/>
      </c>
    </row>
    <row r="2690" spans="1:9" x14ac:dyDescent="0.4">
      <c r="A2690" t="str">
        <f t="shared" ref="A2690:A2753" si="294">IF(F2690="","",LEFT(F2690,G2690-1))</f>
        <v/>
      </c>
      <c r="B2690" t="str">
        <f t="shared" ref="B2690:B2753" si="295">IF(F2690="","",MID(F2690,G2690+1,H2690-G2690-1))</f>
        <v/>
      </c>
      <c r="C2690" t="str">
        <f t="shared" ref="C2690:C2753" si="296">IF(F2690="","",MID(F2690,H2690+1,I2690-H2690-1))</f>
        <v/>
      </c>
      <c r="D2690" t="str">
        <f t="shared" ref="D2690:D2753" si="297">IF(F2690="","",MID(F2690,I2690+1,999))</f>
        <v/>
      </c>
      <c r="E2690" t="str">
        <f>IF(F2690="","",IF(COUNTIF($F$2:F2690,F2690)&gt;1,"",SUMIFS(tbl_input[필요수량],tbl_input[집계키_센터],F2690)))</f>
        <v/>
      </c>
      <c r="F2690" t="str">
        <f>IFERROR(INDEX(tbl_input[집계키_센터],ROW()-1),"")</f>
        <v/>
      </c>
      <c r="G2690" t="str">
        <f t="shared" ref="G2690:G2753" si="298">IF(F2690="","",FIND("♦",F2690))</f>
        <v/>
      </c>
      <c r="H2690" t="str">
        <f t="shared" ref="H2690:H2753" si="299">IF(F2690="","",FIND("♦",F2690,G2690+1))</f>
        <v/>
      </c>
      <c r="I2690" t="str">
        <f t="shared" ref="I2690:I2753" si="300">IF(F2690="","",FIND("♦",F2690,H2690+1))</f>
        <v/>
      </c>
    </row>
    <row r="2691" spans="1:9" x14ac:dyDescent="0.4">
      <c r="A2691" t="str">
        <f t="shared" si="294"/>
        <v/>
      </c>
      <c r="B2691" t="str">
        <f t="shared" si="295"/>
        <v/>
      </c>
      <c r="C2691" t="str">
        <f t="shared" si="296"/>
        <v/>
      </c>
      <c r="D2691" t="str">
        <f t="shared" si="297"/>
        <v/>
      </c>
      <c r="E2691" t="str">
        <f>IF(F2691="","",IF(COUNTIF($F$2:F2691,F2691)&gt;1,"",SUMIFS(tbl_input[필요수량],tbl_input[집계키_센터],F2691)))</f>
        <v/>
      </c>
      <c r="F2691" t="str">
        <f>IFERROR(INDEX(tbl_input[집계키_센터],ROW()-1),"")</f>
        <v/>
      </c>
      <c r="G2691" t="str">
        <f t="shared" si="298"/>
        <v/>
      </c>
      <c r="H2691" t="str">
        <f t="shared" si="299"/>
        <v/>
      </c>
      <c r="I2691" t="str">
        <f t="shared" si="300"/>
        <v/>
      </c>
    </row>
    <row r="2692" spans="1:9" x14ac:dyDescent="0.4">
      <c r="A2692" t="str">
        <f t="shared" si="294"/>
        <v/>
      </c>
      <c r="B2692" t="str">
        <f t="shared" si="295"/>
        <v/>
      </c>
      <c r="C2692" t="str">
        <f t="shared" si="296"/>
        <v/>
      </c>
      <c r="D2692" t="str">
        <f t="shared" si="297"/>
        <v/>
      </c>
      <c r="E2692" t="str">
        <f>IF(F2692="","",IF(COUNTIF($F$2:F2692,F2692)&gt;1,"",SUMIFS(tbl_input[필요수량],tbl_input[집계키_센터],F2692)))</f>
        <v/>
      </c>
      <c r="F2692" t="str">
        <f>IFERROR(INDEX(tbl_input[집계키_센터],ROW()-1),"")</f>
        <v/>
      </c>
      <c r="G2692" t="str">
        <f t="shared" si="298"/>
        <v/>
      </c>
      <c r="H2692" t="str">
        <f t="shared" si="299"/>
        <v/>
      </c>
      <c r="I2692" t="str">
        <f t="shared" si="300"/>
        <v/>
      </c>
    </row>
    <row r="2693" spans="1:9" x14ac:dyDescent="0.4">
      <c r="A2693" t="str">
        <f t="shared" si="294"/>
        <v/>
      </c>
      <c r="B2693" t="str">
        <f t="shared" si="295"/>
        <v/>
      </c>
      <c r="C2693" t="str">
        <f t="shared" si="296"/>
        <v/>
      </c>
      <c r="D2693" t="str">
        <f t="shared" si="297"/>
        <v/>
      </c>
      <c r="E2693" t="str">
        <f>IF(F2693="","",IF(COUNTIF($F$2:F2693,F2693)&gt;1,"",SUMIFS(tbl_input[필요수량],tbl_input[집계키_센터],F2693)))</f>
        <v/>
      </c>
      <c r="F2693" t="str">
        <f>IFERROR(INDEX(tbl_input[집계키_센터],ROW()-1),"")</f>
        <v/>
      </c>
      <c r="G2693" t="str">
        <f t="shared" si="298"/>
        <v/>
      </c>
      <c r="H2693" t="str">
        <f t="shared" si="299"/>
        <v/>
      </c>
      <c r="I2693" t="str">
        <f t="shared" si="300"/>
        <v/>
      </c>
    </row>
    <row r="2694" spans="1:9" x14ac:dyDescent="0.4">
      <c r="A2694" t="str">
        <f t="shared" si="294"/>
        <v/>
      </c>
      <c r="B2694" t="str">
        <f t="shared" si="295"/>
        <v/>
      </c>
      <c r="C2694" t="str">
        <f t="shared" si="296"/>
        <v/>
      </c>
      <c r="D2694" t="str">
        <f t="shared" si="297"/>
        <v/>
      </c>
      <c r="E2694" t="str">
        <f>IF(F2694="","",IF(COUNTIF($F$2:F2694,F2694)&gt;1,"",SUMIFS(tbl_input[필요수량],tbl_input[집계키_센터],F2694)))</f>
        <v/>
      </c>
      <c r="F2694" t="str">
        <f>IFERROR(INDEX(tbl_input[집계키_센터],ROW()-1),"")</f>
        <v/>
      </c>
      <c r="G2694" t="str">
        <f t="shared" si="298"/>
        <v/>
      </c>
      <c r="H2694" t="str">
        <f t="shared" si="299"/>
        <v/>
      </c>
      <c r="I2694" t="str">
        <f t="shared" si="300"/>
        <v/>
      </c>
    </row>
    <row r="2695" spans="1:9" x14ac:dyDescent="0.4">
      <c r="A2695" t="str">
        <f t="shared" si="294"/>
        <v/>
      </c>
      <c r="B2695" t="str">
        <f t="shared" si="295"/>
        <v/>
      </c>
      <c r="C2695" t="str">
        <f t="shared" si="296"/>
        <v/>
      </c>
      <c r="D2695" t="str">
        <f t="shared" si="297"/>
        <v/>
      </c>
      <c r="E2695" t="str">
        <f>IF(F2695="","",IF(COUNTIF($F$2:F2695,F2695)&gt;1,"",SUMIFS(tbl_input[필요수량],tbl_input[집계키_센터],F2695)))</f>
        <v/>
      </c>
      <c r="F2695" t="str">
        <f>IFERROR(INDEX(tbl_input[집계키_센터],ROW()-1),"")</f>
        <v/>
      </c>
      <c r="G2695" t="str">
        <f t="shared" si="298"/>
        <v/>
      </c>
      <c r="H2695" t="str">
        <f t="shared" si="299"/>
        <v/>
      </c>
      <c r="I2695" t="str">
        <f t="shared" si="300"/>
        <v/>
      </c>
    </row>
    <row r="2696" spans="1:9" x14ac:dyDescent="0.4">
      <c r="A2696" t="str">
        <f t="shared" si="294"/>
        <v/>
      </c>
      <c r="B2696" t="str">
        <f t="shared" si="295"/>
        <v/>
      </c>
      <c r="C2696" t="str">
        <f t="shared" si="296"/>
        <v/>
      </c>
      <c r="D2696" t="str">
        <f t="shared" si="297"/>
        <v/>
      </c>
      <c r="E2696" t="str">
        <f>IF(F2696="","",IF(COUNTIF($F$2:F2696,F2696)&gt;1,"",SUMIFS(tbl_input[필요수량],tbl_input[집계키_센터],F2696)))</f>
        <v/>
      </c>
      <c r="F2696" t="str">
        <f>IFERROR(INDEX(tbl_input[집계키_센터],ROW()-1),"")</f>
        <v/>
      </c>
      <c r="G2696" t="str">
        <f t="shared" si="298"/>
        <v/>
      </c>
      <c r="H2696" t="str">
        <f t="shared" si="299"/>
        <v/>
      </c>
      <c r="I2696" t="str">
        <f t="shared" si="300"/>
        <v/>
      </c>
    </row>
    <row r="2697" spans="1:9" x14ac:dyDescent="0.4">
      <c r="A2697" t="str">
        <f t="shared" si="294"/>
        <v/>
      </c>
      <c r="B2697" t="str">
        <f t="shared" si="295"/>
        <v/>
      </c>
      <c r="C2697" t="str">
        <f t="shared" si="296"/>
        <v/>
      </c>
      <c r="D2697" t="str">
        <f t="shared" si="297"/>
        <v/>
      </c>
      <c r="E2697" t="str">
        <f>IF(F2697="","",IF(COUNTIF($F$2:F2697,F2697)&gt;1,"",SUMIFS(tbl_input[필요수량],tbl_input[집계키_센터],F2697)))</f>
        <v/>
      </c>
      <c r="F2697" t="str">
        <f>IFERROR(INDEX(tbl_input[집계키_센터],ROW()-1),"")</f>
        <v/>
      </c>
      <c r="G2697" t="str">
        <f t="shared" si="298"/>
        <v/>
      </c>
      <c r="H2697" t="str">
        <f t="shared" si="299"/>
        <v/>
      </c>
      <c r="I2697" t="str">
        <f t="shared" si="300"/>
        <v/>
      </c>
    </row>
    <row r="2698" spans="1:9" x14ac:dyDescent="0.4">
      <c r="A2698" t="str">
        <f t="shared" si="294"/>
        <v/>
      </c>
      <c r="B2698" t="str">
        <f t="shared" si="295"/>
        <v/>
      </c>
      <c r="C2698" t="str">
        <f t="shared" si="296"/>
        <v/>
      </c>
      <c r="D2698" t="str">
        <f t="shared" si="297"/>
        <v/>
      </c>
      <c r="E2698" t="str">
        <f>IF(F2698="","",IF(COUNTIF($F$2:F2698,F2698)&gt;1,"",SUMIFS(tbl_input[필요수량],tbl_input[집계키_센터],F2698)))</f>
        <v/>
      </c>
      <c r="F2698" t="str">
        <f>IFERROR(INDEX(tbl_input[집계키_센터],ROW()-1),"")</f>
        <v/>
      </c>
      <c r="G2698" t="str">
        <f t="shared" si="298"/>
        <v/>
      </c>
      <c r="H2698" t="str">
        <f t="shared" si="299"/>
        <v/>
      </c>
      <c r="I2698" t="str">
        <f t="shared" si="300"/>
        <v/>
      </c>
    </row>
    <row r="2699" spans="1:9" x14ac:dyDescent="0.4">
      <c r="A2699" t="str">
        <f t="shared" si="294"/>
        <v/>
      </c>
      <c r="B2699" t="str">
        <f t="shared" si="295"/>
        <v/>
      </c>
      <c r="C2699" t="str">
        <f t="shared" si="296"/>
        <v/>
      </c>
      <c r="D2699" t="str">
        <f t="shared" si="297"/>
        <v/>
      </c>
      <c r="E2699" t="str">
        <f>IF(F2699="","",IF(COUNTIF($F$2:F2699,F2699)&gt;1,"",SUMIFS(tbl_input[필요수량],tbl_input[집계키_센터],F2699)))</f>
        <v/>
      </c>
      <c r="F2699" t="str">
        <f>IFERROR(INDEX(tbl_input[집계키_센터],ROW()-1),"")</f>
        <v/>
      </c>
      <c r="G2699" t="str">
        <f t="shared" si="298"/>
        <v/>
      </c>
      <c r="H2699" t="str">
        <f t="shared" si="299"/>
        <v/>
      </c>
      <c r="I2699" t="str">
        <f t="shared" si="300"/>
        <v/>
      </c>
    </row>
    <row r="2700" spans="1:9" x14ac:dyDescent="0.4">
      <c r="A2700" t="str">
        <f t="shared" si="294"/>
        <v/>
      </c>
      <c r="B2700" t="str">
        <f t="shared" si="295"/>
        <v/>
      </c>
      <c r="C2700" t="str">
        <f t="shared" si="296"/>
        <v/>
      </c>
      <c r="D2700" t="str">
        <f t="shared" si="297"/>
        <v/>
      </c>
      <c r="E2700" t="str">
        <f>IF(F2700="","",IF(COUNTIF($F$2:F2700,F2700)&gt;1,"",SUMIFS(tbl_input[필요수량],tbl_input[집계키_센터],F2700)))</f>
        <v/>
      </c>
      <c r="F2700" t="str">
        <f>IFERROR(INDEX(tbl_input[집계키_센터],ROW()-1),"")</f>
        <v/>
      </c>
      <c r="G2700" t="str">
        <f t="shared" si="298"/>
        <v/>
      </c>
      <c r="H2700" t="str">
        <f t="shared" si="299"/>
        <v/>
      </c>
      <c r="I2700" t="str">
        <f t="shared" si="300"/>
        <v/>
      </c>
    </row>
    <row r="2701" spans="1:9" x14ac:dyDescent="0.4">
      <c r="A2701" t="str">
        <f t="shared" si="294"/>
        <v/>
      </c>
      <c r="B2701" t="str">
        <f t="shared" si="295"/>
        <v/>
      </c>
      <c r="C2701" t="str">
        <f t="shared" si="296"/>
        <v/>
      </c>
      <c r="D2701" t="str">
        <f t="shared" si="297"/>
        <v/>
      </c>
      <c r="E2701" t="str">
        <f>IF(F2701="","",IF(COUNTIF($F$2:F2701,F2701)&gt;1,"",SUMIFS(tbl_input[필요수량],tbl_input[집계키_센터],F2701)))</f>
        <v/>
      </c>
      <c r="F2701" t="str">
        <f>IFERROR(INDEX(tbl_input[집계키_센터],ROW()-1),"")</f>
        <v/>
      </c>
      <c r="G2701" t="str">
        <f t="shared" si="298"/>
        <v/>
      </c>
      <c r="H2701" t="str">
        <f t="shared" si="299"/>
        <v/>
      </c>
      <c r="I2701" t="str">
        <f t="shared" si="300"/>
        <v/>
      </c>
    </row>
    <row r="2702" spans="1:9" x14ac:dyDescent="0.4">
      <c r="A2702" t="str">
        <f t="shared" si="294"/>
        <v/>
      </c>
      <c r="B2702" t="str">
        <f t="shared" si="295"/>
        <v/>
      </c>
      <c r="C2702" t="str">
        <f t="shared" si="296"/>
        <v/>
      </c>
      <c r="D2702" t="str">
        <f t="shared" si="297"/>
        <v/>
      </c>
      <c r="E2702" t="str">
        <f>IF(F2702="","",IF(COUNTIF($F$2:F2702,F2702)&gt;1,"",SUMIFS(tbl_input[필요수량],tbl_input[집계키_센터],F2702)))</f>
        <v/>
      </c>
      <c r="F2702" t="str">
        <f>IFERROR(INDEX(tbl_input[집계키_센터],ROW()-1),"")</f>
        <v/>
      </c>
      <c r="G2702" t="str">
        <f t="shared" si="298"/>
        <v/>
      </c>
      <c r="H2702" t="str">
        <f t="shared" si="299"/>
        <v/>
      </c>
      <c r="I2702" t="str">
        <f t="shared" si="300"/>
        <v/>
      </c>
    </row>
    <row r="2703" spans="1:9" x14ac:dyDescent="0.4">
      <c r="A2703" t="str">
        <f t="shared" si="294"/>
        <v/>
      </c>
      <c r="B2703" t="str">
        <f t="shared" si="295"/>
        <v/>
      </c>
      <c r="C2703" t="str">
        <f t="shared" si="296"/>
        <v/>
      </c>
      <c r="D2703" t="str">
        <f t="shared" si="297"/>
        <v/>
      </c>
      <c r="E2703" t="str">
        <f>IF(F2703="","",IF(COUNTIF($F$2:F2703,F2703)&gt;1,"",SUMIFS(tbl_input[필요수량],tbl_input[집계키_센터],F2703)))</f>
        <v/>
      </c>
      <c r="F2703" t="str">
        <f>IFERROR(INDEX(tbl_input[집계키_센터],ROW()-1),"")</f>
        <v/>
      </c>
      <c r="G2703" t="str">
        <f t="shared" si="298"/>
        <v/>
      </c>
      <c r="H2703" t="str">
        <f t="shared" si="299"/>
        <v/>
      </c>
      <c r="I2703" t="str">
        <f t="shared" si="300"/>
        <v/>
      </c>
    </row>
    <row r="2704" spans="1:9" x14ac:dyDescent="0.4">
      <c r="A2704" t="str">
        <f t="shared" si="294"/>
        <v/>
      </c>
      <c r="B2704" t="str">
        <f t="shared" si="295"/>
        <v/>
      </c>
      <c r="C2704" t="str">
        <f t="shared" si="296"/>
        <v/>
      </c>
      <c r="D2704" t="str">
        <f t="shared" si="297"/>
        <v/>
      </c>
      <c r="E2704" t="str">
        <f>IF(F2704="","",IF(COUNTIF($F$2:F2704,F2704)&gt;1,"",SUMIFS(tbl_input[필요수량],tbl_input[집계키_센터],F2704)))</f>
        <v/>
      </c>
      <c r="F2704" t="str">
        <f>IFERROR(INDEX(tbl_input[집계키_센터],ROW()-1),"")</f>
        <v/>
      </c>
      <c r="G2704" t="str">
        <f t="shared" si="298"/>
        <v/>
      </c>
      <c r="H2704" t="str">
        <f t="shared" si="299"/>
        <v/>
      </c>
      <c r="I2704" t="str">
        <f t="shared" si="300"/>
        <v/>
      </c>
    </row>
    <row r="2705" spans="1:9" x14ac:dyDescent="0.4">
      <c r="A2705" t="str">
        <f t="shared" si="294"/>
        <v/>
      </c>
      <c r="B2705" t="str">
        <f t="shared" si="295"/>
        <v/>
      </c>
      <c r="C2705" t="str">
        <f t="shared" si="296"/>
        <v/>
      </c>
      <c r="D2705" t="str">
        <f t="shared" si="297"/>
        <v/>
      </c>
      <c r="E2705" t="str">
        <f>IF(F2705="","",IF(COUNTIF($F$2:F2705,F2705)&gt;1,"",SUMIFS(tbl_input[필요수량],tbl_input[집계키_센터],F2705)))</f>
        <v/>
      </c>
      <c r="F2705" t="str">
        <f>IFERROR(INDEX(tbl_input[집계키_센터],ROW()-1),"")</f>
        <v/>
      </c>
      <c r="G2705" t="str">
        <f t="shared" si="298"/>
        <v/>
      </c>
      <c r="H2705" t="str">
        <f t="shared" si="299"/>
        <v/>
      </c>
      <c r="I2705" t="str">
        <f t="shared" si="300"/>
        <v/>
      </c>
    </row>
    <row r="2706" spans="1:9" x14ac:dyDescent="0.4">
      <c r="A2706" t="str">
        <f t="shared" si="294"/>
        <v/>
      </c>
      <c r="B2706" t="str">
        <f t="shared" si="295"/>
        <v/>
      </c>
      <c r="C2706" t="str">
        <f t="shared" si="296"/>
        <v/>
      </c>
      <c r="D2706" t="str">
        <f t="shared" si="297"/>
        <v/>
      </c>
      <c r="E2706" t="str">
        <f>IF(F2706="","",IF(COUNTIF($F$2:F2706,F2706)&gt;1,"",SUMIFS(tbl_input[필요수량],tbl_input[집계키_센터],F2706)))</f>
        <v/>
      </c>
      <c r="F2706" t="str">
        <f>IFERROR(INDEX(tbl_input[집계키_센터],ROW()-1),"")</f>
        <v/>
      </c>
      <c r="G2706" t="str">
        <f t="shared" si="298"/>
        <v/>
      </c>
      <c r="H2706" t="str">
        <f t="shared" si="299"/>
        <v/>
      </c>
      <c r="I2706" t="str">
        <f t="shared" si="300"/>
        <v/>
      </c>
    </row>
    <row r="2707" spans="1:9" x14ac:dyDescent="0.4">
      <c r="A2707" t="str">
        <f t="shared" si="294"/>
        <v/>
      </c>
      <c r="B2707" t="str">
        <f t="shared" si="295"/>
        <v/>
      </c>
      <c r="C2707" t="str">
        <f t="shared" si="296"/>
        <v/>
      </c>
      <c r="D2707" t="str">
        <f t="shared" si="297"/>
        <v/>
      </c>
      <c r="E2707" t="str">
        <f>IF(F2707="","",IF(COUNTIF($F$2:F2707,F2707)&gt;1,"",SUMIFS(tbl_input[필요수량],tbl_input[집계키_센터],F2707)))</f>
        <v/>
      </c>
      <c r="F2707" t="str">
        <f>IFERROR(INDEX(tbl_input[집계키_센터],ROW()-1),"")</f>
        <v/>
      </c>
      <c r="G2707" t="str">
        <f t="shared" si="298"/>
        <v/>
      </c>
      <c r="H2707" t="str">
        <f t="shared" si="299"/>
        <v/>
      </c>
      <c r="I2707" t="str">
        <f t="shared" si="300"/>
        <v/>
      </c>
    </row>
    <row r="2708" spans="1:9" x14ac:dyDescent="0.4">
      <c r="A2708" t="str">
        <f t="shared" si="294"/>
        <v/>
      </c>
      <c r="B2708" t="str">
        <f t="shared" si="295"/>
        <v/>
      </c>
      <c r="C2708" t="str">
        <f t="shared" si="296"/>
        <v/>
      </c>
      <c r="D2708" t="str">
        <f t="shared" si="297"/>
        <v/>
      </c>
      <c r="E2708" t="str">
        <f>IF(F2708="","",IF(COUNTIF($F$2:F2708,F2708)&gt;1,"",SUMIFS(tbl_input[필요수량],tbl_input[집계키_센터],F2708)))</f>
        <v/>
      </c>
      <c r="F2708" t="str">
        <f>IFERROR(INDEX(tbl_input[집계키_센터],ROW()-1),"")</f>
        <v/>
      </c>
      <c r="G2708" t="str">
        <f t="shared" si="298"/>
        <v/>
      </c>
      <c r="H2708" t="str">
        <f t="shared" si="299"/>
        <v/>
      </c>
      <c r="I2708" t="str">
        <f t="shared" si="300"/>
        <v/>
      </c>
    </row>
    <row r="2709" spans="1:9" x14ac:dyDescent="0.4">
      <c r="A2709" t="str">
        <f t="shared" si="294"/>
        <v/>
      </c>
      <c r="B2709" t="str">
        <f t="shared" si="295"/>
        <v/>
      </c>
      <c r="C2709" t="str">
        <f t="shared" si="296"/>
        <v/>
      </c>
      <c r="D2709" t="str">
        <f t="shared" si="297"/>
        <v/>
      </c>
      <c r="E2709" t="str">
        <f>IF(F2709="","",IF(COUNTIF($F$2:F2709,F2709)&gt;1,"",SUMIFS(tbl_input[필요수량],tbl_input[집계키_센터],F2709)))</f>
        <v/>
      </c>
      <c r="F2709" t="str">
        <f>IFERROR(INDEX(tbl_input[집계키_센터],ROW()-1),"")</f>
        <v/>
      </c>
      <c r="G2709" t="str">
        <f t="shared" si="298"/>
        <v/>
      </c>
      <c r="H2709" t="str">
        <f t="shared" si="299"/>
        <v/>
      </c>
      <c r="I2709" t="str">
        <f t="shared" si="300"/>
        <v/>
      </c>
    </row>
    <row r="2710" spans="1:9" x14ac:dyDescent="0.4">
      <c r="A2710" t="str">
        <f t="shared" si="294"/>
        <v/>
      </c>
      <c r="B2710" t="str">
        <f t="shared" si="295"/>
        <v/>
      </c>
      <c r="C2710" t="str">
        <f t="shared" si="296"/>
        <v/>
      </c>
      <c r="D2710" t="str">
        <f t="shared" si="297"/>
        <v/>
      </c>
      <c r="E2710" t="str">
        <f>IF(F2710="","",IF(COUNTIF($F$2:F2710,F2710)&gt;1,"",SUMIFS(tbl_input[필요수량],tbl_input[집계키_센터],F2710)))</f>
        <v/>
      </c>
      <c r="F2710" t="str">
        <f>IFERROR(INDEX(tbl_input[집계키_센터],ROW()-1),"")</f>
        <v/>
      </c>
      <c r="G2710" t="str">
        <f t="shared" si="298"/>
        <v/>
      </c>
      <c r="H2710" t="str">
        <f t="shared" si="299"/>
        <v/>
      </c>
      <c r="I2710" t="str">
        <f t="shared" si="300"/>
        <v/>
      </c>
    </row>
    <row r="2711" spans="1:9" x14ac:dyDescent="0.4">
      <c r="A2711" t="str">
        <f t="shared" si="294"/>
        <v/>
      </c>
      <c r="B2711" t="str">
        <f t="shared" si="295"/>
        <v/>
      </c>
      <c r="C2711" t="str">
        <f t="shared" si="296"/>
        <v/>
      </c>
      <c r="D2711" t="str">
        <f t="shared" si="297"/>
        <v/>
      </c>
      <c r="E2711" t="str">
        <f>IF(F2711="","",IF(COUNTIF($F$2:F2711,F2711)&gt;1,"",SUMIFS(tbl_input[필요수량],tbl_input[집계키_센터],F2711)))</f>
        <v/>
      </c>
      <c r="F2711" t="str">
        <f>IFERROR(INDEX(tbl_input[집계키_센터],ROW()-1),"")</f>
        <v/>
      </c>
      <c r="G2711" t="str">
        <f t="shared" si="298"/>
        <v/>
      </c>
      <c r="H2711" t="str">
        <f t="shared" si="299"/>
        <v/>
      </c>
      <c r="I2711" t="str">
        <f t="shared" si="300"/>
        <v/>
      </c>
    </row>
    <row r="2712" spans="1:9" x14ac:dyDescent="0.4">
      <c r="A2712" t="str">
        <f t="shared" si="294"/>
        <v/>
      </c>
      <c r="B2712" t="str">
        <f t="shared" si="295"/>
        <v/>
      </c>
      <c r="C2712" t="str">
        <f t="shared" si="296"/>
        <v/>
      </c>
      <c r="D2712" t="str">
        <f t="shared" si="297"/>
        <v/>
      </c>
      <c r="E2712" t="str">
        <f>IF(F2712="","",IF(COUNTIF($F$2:F2712,F2712)&gt;1,"",SUMIFS(tbl_input[필요수량],tbl_input[집계키_센터],F2712)))</f>
        <v/>
      </c>
      <c r="F2712" t="str">
        <f>IFERROR(INDEX(tbl_input[집계키_센터],ROW()-1),"")</f>
        <v/>
      </c>
      <c r="G2712" t="str">
        <f t="shared" si="298"/>
        <v/>
      </c>
      <c r="H2712" t="str">
        <f t="shared" si="299"/>
        <v/>
      </c>
      <c r="I2712" t="str">
        <f t="shared" si="300"/>
        <v/>
      </c>
    </row>
    <row r="2713" spans="1:9" x14ac:dyDescent="0.4">
      <c r="A2713" t="str">
        <f t="shared" si="294"/>
        <v/>
      </c>
      <c r="B2713" t="str">
        <f t="shared" si="295"/>
        <v/>
      </c>
      <c r="C2713" t="str">
        <f t="shared" si="296"/>
        <v/>
      </c>
      <c r="D2713" t="str">
        <f t="shared" si="297"/>
        <v/>
      </c>
      <c r="E2713" t="str">
        <f>IF(F2713="","",IF(COUNTIF($F$2:F2713,F2713)&gt;1,"",SUMIFS(tbl_input[필요수량],tbl_input[집계키_센터],F2713)))</f>
        <v/>
      </c>
      <c r="F2713" t="str">
        <f>IFERROR(INDEX(tbl_input[집계키_센터],ROW()-1),"")</f>
        <v/>
      </c>
      <c r="G2713" t="str">
        <f t="shared" si="298"/>
        <v/>
      </c>
      <c r="H2713" t="str">
        <f t="shared" si="299"/>
        <v/>
      </c>
      <c r="I2713" t="str">
        <f t="shared" si="300"/>
        <v/>
      </c>
    </row>
    <row r="2714" spans="1:9" x14ac:dyDescent="0.4">
      <c r="A2714" t="str">
        <f t="shared" si="294"/>
        <v/>
      </c>
      <c r="B2714" t="str">
        <f t="shared" si="295"/>
        <v/>
      </c>
      <c r="C2714" t="str">
        <f t="shared" si="296"/>
        <v/>
      </c>
      <c r="D2714" t="str">
        <f t="shared" si="297"/>
        <v/>
      </c>
      <c r="E2714" t="str">
        <f>IF(F2714="","",IF(COUNTIF($F$2:F2714,F2714)&gt;1,"",SUMIFS(tbl_input[필요수량],tbl_input[집계키_센터],F2714)))</f>
        <v/>
      </c>
      <c r="F2714" t="str">
        <f>IFERROR(INDEX(tbl_input[집계키_센터],ROW()-1),"")</f>
        <v/>
      </c>
      <c r="G2714" t="str">
        <f t="shared" si="298"/>
        <v/>
      </c>
      <c r="H2714" t="str">
        <f t="shared" si="299"/>
        <v/>
      </c>
      <c r="I2714" t="str">
        <f t="shared" si="300"/>
        <v/>
      </c>
    </row>
    <row r="2715" spans="1:9" x14ac:dyDescent="0.4">
      <c r="A2715" t="str">
        <f t="shared" si="294"/>
        <v/>
      </c>
      <c r="B2715" t="str">
        <f t="shared" si="295"/>
        <v/>
      </c>
      <c r="C2715" t="str">
        <f t="shared" si="296"/>
        <v/>
      </c>
      <c r="D2715" t="str">
        <f t="shared" si="297"/>
        <v/>
      </c>
      <c r="E2715" t="str">
        <f>IF(F2715="","",IF(COUNTIF($F$2:F2715,F2715)&gt;1,"",SUMIFS(tbl_input[필요수량],tbl_input[집계키_센터],F2715)))</f>
        <v/>
      </c>
      <c r="F2715" t="str">
        <f>IFERROR(INDEX(tbl_input[집계키_센터],ROW()-1),"")</f>
        <v/>
      </c>
      <c r="G2715" t="str">
        <f t="shared" si="298"/>
        <v/>
      </c>
      <c r="H2715" t="str">
        <f t="shared" si="299"/>
        <v/>
      </c>
      <c r="I2715" t="str">
        <f t="shared" si="300"/>
        <v/>
      </c>
    </row>
    <row r="2716" spans="1:9" x14ac:dyDescent="0.4">
      <c r="A2716" t="str">
        <f t="shared" si="294"/>
        <v/>
      </c>
      <c r="B2716" t="str">
        <f t="shared" si="295"/>
        <v/>
      </c>
      <c r="C2716" t="str">
        <f t="shared" si="296"/>
        <v/>
      </c>
      <c r="D2716" t="str">
        <f t="shared" si="297"/>
        <v/>
      </c>
      <c r="E2716" t="str">
        <f>IF(F2716="","",IF(COUNTIF($F$2:F2716,F2716)&gt;1,"",SUMIFS(tbl_input[필요수량],tbl_input[집계키_센터],F2716)))</f>
        <v/>
      </c>
      <c r="F2716" t="str">
        <f>IFERROR(INDEX(tbl_input[집계키_센터],ROW()-1),"")</f>
        <v/>
      </c>
      <c r="G2716" t="str">
        <f t="shared" si="298"/>
        <v/>
      </c>
      <c r="H2716" t="str">
        <f t="shared" si="299"/>
        <v/>
      </c>
      <c r="I2716" t="str">
        <f t="shared" si="300"/>
        <v/>
      </c>
    </row>
    <row r="2717" spans="1:9" x14ac:dyDescent="0.4">
      <c r="A2717" t="str">
        <f t="shared" si="294"/>
        <v/>
      </c>
      <c r="B2717" t="str">
        <f t="shared" si="295"/>
        <v/>
      </c>
      <c r="C2717" t="str">
        <f t="shared" si="296"/>
        <v/>
      </c>
      <c r="D2717" t="str">
        <f t="shared" si="297"/>
        <v/>
      </c>
      <c r="E2717" t="str">
        <f>IF(F2717="","",IF(COUNTIF($F$2:F2717,F2717)&gt;1,"",SUMIFS(tbl_input[필요수량],tbl_input[집계키_센터],F2717)))</f>
        <v/>
      </c>
      <c r="F2717" t="str">
        <f>IFERROR(INDEX(tbl_input[집계키_센터],ROW()-1),"")</f>
        <v/>
      </c>
      <c r="G2717" t="str">
        <f t="shared" si="298"/>
        <v/>
      </c>
      <c r="H2717" t="str">
        <f t="shared" si="299"/>
        <v/>
      </c>
      <c r="I2717" t="str">
        <f t="shared" si="300"/>
        <v/>
      </c>
    </row>
    <row r="2718" spans="1:9" x14ac:dyDescent="0.4">
      <c r="A2718" t="str">
        <f t="shared" si="294"/>
        <v/>
      </c>
      <c r="B2718" t="str">
        <f t="shared" si="295"/>
        <v/>
      </c>
      <c r="C2718" t="str">
        <f t="shared" si="296"/>
        <v/>
      </c>
      <c r="D2718" t="str">
        <f t="shared" si="297"/>
        <v/>
      </c>
      <c r="E2718" t="str">
        <f>IF(F2718="","",IF(COUNTIF($F$2:F2718,F2718)&gt;1,"",SUMIFS(tbl_input[필요수량],tbl_input[집계키_센터],F2718)))</f>
        <v/>
      </c>
      <c r="F2718" t="str">
        <f>IFERROR(INDEX(tbl_input[집계키_센터],ROW()-1),"")</f>
        <v/>
      </c>
      <c r="G2718" t="str">
        <f t="shared" si="298"/>
        <v/>
      </c>
      <c r="H2718" t="str">
        <f t="shared" si="299"/>
        <v/>
      </c>
      <c r="I2718" t="str">
        <f t="shared" si="300"/>
        <v/>
      </c>
    </row>
    <row r="2719" spans="1:9" x14ac:dyDescent="0.4">
      <c r="A2719" t="str">
        <f t="shared" si="294"/>
        <v/>
      </c>
      <c r="B2719" t="str">
        <f t="shared" si="295"/>
        <v/>
      </c>
      <c r="C2719" t="str">
        <f t="shared" si="296"/>
        <v/>
      </c>
      <c r="D2719" t="str">
        <f t="shared" si="297"/>
        <v/>
      </c>
      <c r="E2719" t="str">
        <f>IF(F2719="","",IF(COUNTIF($F$2:F2719,F2719)&gt;1,"",SUMIFS(tbl_input[필요수량],tbl_input[집계키_센터],F2719)))</f>
        <v/>
      </c>
      <c r="F2719" t="str">
        <f>IFERROR(INDEX(tbl_input[집계키_센터],ROW()-1),"")</f>
        <v/>
      </c>
      <c r="G2719" t="str">
        <f t="shared" si="298"/>
        <v/>
      </c>
      <c r="H2719" t="str">
        <f t="shared" si="299"/>
        <v/>
      </c>
      <c r="I2719" t="str">
        <f t="shared" si="300"/>
        <v/>
      </c>
    </row>
    <row r="2720" spans="1:9" x14ac:dyDescent="0.4">
      <c r="A2720" t="str">
        <f t="shared" si="294"/>
        <v/>
      </c>
      <c r="B2720" t="str">
        <f t="shared" si="295"/>
        <v/>
      </c>
      <c r="C2720" t="str">
        <f t="shared" si="296"/>
        <v/>
      </c>
      <c r="D2720" t="str">
        <f t="shared" si="297"/>
        <v/>
      </c>
      <c r="E2720" t="str">
        <f>IF(F2720="","",IF(COUNTIF($F$2:F2720,F2720)&gt;1,"",SUMIFS(tbl_input[필요수량],tbl_input[집계키_센터],F2720)))</f>
        <v/>
      </c>
      <c r="F2720" t="str">
        <f>IFERROR(INDEX(tbl_input[집계키_센터],ROW()-1),"")</f>
        <v/>
      </c>
      <c r="G2720" t="str">
        <f t="shared" si="298"/>
        <v/>
      </c>
      <c r="H2720" t="str">
        <f t="shared" si="299"/>
        <v/>
      </c>
      <c r="I2720" t="str">
        <f t="shared" si="300"/>
        <v/>
      </c>
    </row>
    <row r="2721" spans="1:9" x14ac:dyDescent="0.4">
      <c r="A2721" t="str">
        <f t="shared" si="294"/>
        <v/>
      </c>
      <c r="B2721" t="str">
        <f t="shared" si="295"/>
        <v/>
      </c>
      <c r="C2721" t="str">
        <f t="shared" si="296"/>
        <v/>
      </c>
      <c r="D2721" t="str">
        <f t="shared" si="297"/>
        <v/>
      </c>
      <c r="E2721" t="str">
        <f>IF(F2721="","",IF(COUNTIF($F$2:F2721,F2721)&gt;1,"",SUMIFS(tbl_input[필요수량],tbl_input[집계키_센터],F2721)))</f>
        <v/>
      </c>
      <c r="F2721" t="str">
        <f>IFERROR(INDEX(tbl_input[집계키_센터],ROW()-1),"")</f>
        <v/>
      </c>
      <c r="G2721" t="str">
        <f t="shared" si="298"/>
        <v/>
      </c>
      <c r="H2721" t="str">
        <f t="shared" si="299"/>
        <v/>
      </c>
      <c r="I2721" t="str">
        <f t="shared" si="300"/>
        <v/>
      </c>
    </row>
    <row r="2722" spans="1:9" x14ac:dyDescent="0.4">
      <c r="A2722" t="str">
        <f t="shared" si="294"/>
        <v/>
      </c>
      <c r="B2722" t="str">
        <f t="shared" si="295"/>
        <v/>
      </c>
      <c r="C2722" t="str">
        <f t="shared" si="296"/>
        <v/>
      </c>
      <c r="D2722" t="str">
        <f t="shared" si="297"/>
        <v/>
      </c>
      <c r="E2722" t="str">
        <f>IF(F2722="","",IF(COUNTIF($F$2:F2722,F2722)&gt;1,"",SUMIFS(tbl_input[필요수량],tbl_input[집계키_센터],F2722)))</f>
        <v/>
      </c>
      <c r="F2722" t="str">
        <f>IFERROR(INDEX(tbl_input[집계키_센터],ROW()-1),"")</f>
        <v/>
      </c>
      <c r="G2722" t="str">
        <f t="shared" si="298"/>
        <v/>
      </c>
      <c r="H2722" t="str">
        <f t="shared" si="299"/>
        <v/>
      </c>
      <c r="I2722" t="str">
        <f t="shared" si="300"/>
        <v/>
      </c>
    </row>
    <row r="2723" spans="1:9" x14ac:dyDescent="0.4">
      <c r="A2723" t="str">
        <f t="shared" si="294"/>
        <v/>
      </c>
      <c r="B2723" t="str">
        <f t="shared" si="295"/>
        <v/>
      </c>
      <c r="C2723" t="str">
        <f t="shared" si="296"/>
        <v/>
      </c>
      <c r="D2723" t="str">
        <f t="shared" si="297"/>
        <v/>
      </c>
      <c r="E2723" t="str">
        <f>IF(F2723="","",IF(COUNTIF($F$2:F2723,F2723)&gt;1,"",SUMIFS(tbl_input[필요수량],tbl_input[집계키_센터],F2723)))</f>
        <v/>
      </c>
      <c r="F2723" t="str">
        <f>IFERROR(INDEX(tbl_input[집계키_센터],ROW()-1),"")</f>
        <v/>
      </c>
      <c r="G2723" t="str">
        <f t="shared" si="298"/>
        <v/>
      </c>
      <c r="H2723" t="str">
        <f t="shared" si="299"/>
        <v/>
      </c>
      <c r="I2723" t="str">
        <f t="shared" si="300"/>
        <v/>
      </c>
    </row>
    <row r="2724" spans="1:9" x14ac:dyDescent="0.4">
      <c r="A2724" t="str">
        <f t="shared" si="294"/>
        <v/>
      </c>
      <c r="B2724" t="str">
        <f t="shared" si="295"/>
        <v/>
      </c>
      <c r="C2724" t="str">
        <f t="shared" si="296"/>
        <v/>
      </c>
      <c r="D2724" t="str">
        <f t="shared" si="297"/>
        <v/>
      </c>
      <c r="E2724" t="str">
        <f>IF(F2724="","",IF(COUNTIF($F$2:F2724,F2724)&gt;1,"",SUMIFS(tbl_input[필요수량],tbl_input[집계키_센터],F2724)))</f>
        <v/>
      </c>
      <c r="F2724" t="str">
        <f>IFERROR(INDEX(tbl_input[집계키_센터],ROW()-1),"")</f>
        <v/>
      </c>
      <c r="G2724" t="str">
        <f t="shared" si="298"/>
        <v/>
      </c>
      <c r="H2724" t="str">
        <f t="shared" si="299"/>
        <v/>
      </c>
      <c r="I2724" t="str">
        <f t="shared" si="300"/>
        <v/>
      </c>
    </row>
    <row r="2725" spans="1:9" x14ac:dyDescent="0.4">
      <c r="A2725" t="str">
        <f t="shared" si="294"/>
        <v/>
      </c>
      <c r="B2725" t="str">
        <f t="shared" si="295"/>
        <v/>
      </c>
      <c r="C2725" t="str">
        <f t="shared" si="296"/>
        <v/>
      </c>
      <c r="D2725" t="str">
        <f t="shared" si="297"/>
        <v/>
      </c>
      <c r="E2725" t="str">
        <f>IF(F2725="","",IF(COUNTIF($F$2:F2725,F2725)&gt;1,"",SUMIFS(tbl_input[필요수량],tbl_input[집계키_센터],F2725)))</f>
        <v/>
      </c>
      <c r="F2725" t="str">
        <f>IFERROR(INDEX(tbl_input[집계키_센터],ROW()-1),"")</f>
        <v/>
      </c>
      <c r="G2725" t="str">
        <f t="shared" si="298"/>
        <v/>
      </c>
      <c r="H2725" t="str">
        <f t="shared" si="299"/>
        <v/>
      </c>
      <c r="I2725" t="str">
        <f t="shared" si="300"/>
        <v/>
      </c>
    </row>
    <row r="2726" spans="1:9" x14ac:dyDescent="0.4">
      <c r="A2726" t="str">
        <f t="shared" si="294"/>
        <v/>
      </c>
      <c r="B2726" t="str">
        <f t="shared" si="295"/>
        <v/>
      </c>
      <c r="C2726" t="str">
        <f t="shared" si="296"/>
        <v/>
      </c>
      <c r="D2726" t="str">
        <f t="shared" si="297"/>
        <v/>
      </c>
      <c r="E2726" t="str">
        <f>IF(F2726="","",IF(COUNTIF($F$2:F2726,F2726)&gt;1,"",SUMIFS(tbl_input[필요수량],tbl_input[집계키_센터],F2726)))</f>
        <v/>
      </c>
      <c r="F2726" t="str">
        <f>IFERROR(INDEX(tbl_input[집계키_센터],ROW()-1),"")</f>
        <v/>
      </c>
      <c r="G2726" t="str">
        <f t="shared" si="298"/>
        <v/>
      </c>
      <c r="H2726" t="str">
        <f t="shared" si="299"/>
        <v/>
      </c>
      <c r="I2726" t="str">
        <f t="shared" si="300"/>
        <v/>
      </c>
    </row>
    <row r="2727" spans="1:9" x14ac:dyDescent="0.4">
      <c r="A2727" t="str">
        <f t="shared" si="294"/>
        <v/>
      </c>
      <c r="B2727" t="str">
        <f t="shared" si="295"/>
        <v/>
      </c>
      <c r="C2727" t="str">
        <f t="shared" si="296"/>
        <v/>
      </c>
      <c r="D2727" t="str">
        <f t="shared" si="297"/>
        <v/>
      </c>
      <c r="E2727" t="str">
        <f>IF(F2727="","",IF(COUNTIF($F$2:F2727,F2727)&gt;1,"",SUMIFS(tbl_input[필요수량],tbl_input[집계키_센터],F2727)))</f>
        <v/>
      </c>
      <c r="F2727" t="str">
        <f>IFERROR(INDEX(tbl_input[집계키_센터],ROW()-1),"")</f>
        <v/>
      </c>
      <c r="G2727" t="str">
        <f t="shared" si="298"/>
        <v/>
      </c>
      <c r="H2727" t="str">
        <f t="shared" si="299"/>
        <v/>
      </c>
      <c r="I2727" t="str">
        <f t="shared" si="300"/>
        <v/>
      </c>
    </row>
    <row r="2728" spans="1:9" x14ac:dyDescent="0.4">
      <c r="A2728" t="str">
        <f t="shared" si="294"/>
        <v/>
      </c>
      <c r="B2728" t="str">
        <f t="shared" si="295"/>
        <v/>
      </c>
      <c r="C2728" t="str">
        <f t="shared" si="296"/>
        <v/>
      </c>
      <c r="D2728" t="str">
        <f t="shared" si="297"/>
        <v/>
      </c>
      <c r="E2728" t="str">
        <f>IF(F2728="","",IF(COUNTIF($F$2:F2728,F2728)&gt;1,"",SUMIFS(tbl_input[필요수량],tbl_input[집계키_센터],F2728)))</f>
        <v/>
      </c>
      <c r="F2728" t="str">
        <f>IFERROR(INDEX(tbl_input[집계키_센터],ROW()-1),"")</f>
        <v/>
      </c>
      <c r="G2728" t="str">
        <f t="shared" si="298"/>
        <v/>
      </c>
      <c r="H2728" t="str">
        <f t="shared" si="299"/>
        <v/>
      </c>
      <c r="I2728" t="str">
        <f t="shared" si="300"/>
        <v/>
      </c>
    </row>
    <row r="2729" spans="1:9" x14ac:dyDescent="0.4">
      <c r="A2729" t="str">
        <f t="shared" si="294"/>
        <v/>
      </c>
      <c r="B2729" t="str">
        <f t="shared" si="295"/>
        <v/>
      </c>
      <c r="C2729" t="str">
        <f t="shared" si="296"/>
        <v/>
      </c>
      <c r="D2729" t="str">
        <f t="shared" si="297"/>
        <v/>
      </c>
      <c r="E2729" t="str">
        <f>IF(F2729="","",IF(COUNTIF($F$2:F2729,F2729)&gt;1,"",SUMIFS(tbl_input[필요수량],tbl_input[집계키_센터],F2729)))</f>
        <v/>
      </c>
      <c r="F2729" t="str">
        <f>IFERROR(INDEX(tbl_input[집계키_센터],ROW()-1),"")</f>
        <v/>
      </c>
      <c r="G2729" t="str">
        <f t="shared" si="298"/>
        <v/>
      </c>
      <c r="H2729" t="str">
        <f t="shared" si="299"/>
        <v/>
      </c>
      <c r="I2729" t="str">
        <f t="shared" si="300"/>
        <v/>
      </c>
    </row>
    <row r="2730" spans="1:9" x14ac:dyDescent="0.4">
      <c r="A2730" t="str">
        <f t="shared" si="294"/>
        <v/>
      </c>
      <c r="B2730" t="str">
        <f t="shared" si="295"/>
        <v/>
      </c>
      <c r="C2730" t="str">
        <f t="shared" si="296"/>
        <v/>
      </c>
      <c r="D2730" t="str">
        <f t="shared" si="297"/>
        <v/>
      </c>
      <c r="E2730" t="str">
        <f>IF(F2730="","",IF(COUNTIF($F$2:F2730,F2730)&gt;1,"",SUMIFS(tbl_input[필요수량],tbl_input[집계키_센터],F2730)))</f>
        <v/>
      </c>
      <c r="F2730" t="str">
        <f>IFERROR(INDEX(tbl_input[집계키_센터],ROW()-1),"")</f>
        <v/>
      </c>
      <c r="G2730" t="str">
        <f t="shared" si="298"/>
        <v/>
      </c>
      <c r="H2730" t="str">
        <f t="shared" si="299"/>
        <v/>
      </c>
      <c r="I2730" t="str">
        <f t="shared" si="300"/>
        <v/>
      </c>
    </row>
    <row r="2731" spans="1:9" x14ac:dyDescent="0.4">
      <c r="A2731" t="str">
        <f t="shared" si="294"/>
        <v/>
      </c>
      <c r="B2731" t="str">
        <f t="shared" si="295"/>
        <v/>
      </c>
      <c r="C2731" t="str">
        <f t="shared" si="296"/>
        <v/>
      </c>
      <c r="D2731" t="str">
        <f t="shared" si="297"/>
        <v/>
      </c>
      <c r="E2731" t="str">
        <f>IF(F2731="","",IF(COUNTIF($F$2:F2731,F2731)&gt;1,"",SUMIFS(tbl_input[필요수량],tbl_input[집계키_센터],F2731)))</f>
        <v/>
      </c>
      <c r="F2731" t="str">
        <f>IFERROR(INDEX(tbl_input[집계키_센터],ROW()-1),"")</f>
        <v/>
      </c>
      <c r="G2731" t="str">
        <f t="shared" si="298"/>
        <v/>
      </c>
      <c r="H2731" t="str">
        <f t="shared" si="299"/>
        <v/>
      </c>
      <c r="I2731" t="str">
        <f t="shared" si="300"/>
        <v/>
      </c>
    </row>
    <row r="2732" spans="1:9" x14ac:dyDescent="0.4">
      <c r="A2732" t="str">
        <f t="shared" si="294"/>
        <v/>
      </c>
      <c r="B2732" t="str">
        <f t="shared" si="295"/>
        <v/>
      </c>
      <c r="C2732" t="str">
        <f t="shared" si="296"/>
        <v/>
      </c>
      <c r="D2732" t="str">
        <f t="shared" si="297"/>
        <v/>
      </c>
      <c r="E2732" t="str">
        <f>IF(F2732="","",IF(COUNTIF($F$2:F2732,F2732)&gt;1,"",SUMIFS(tbl_input[필요수량],tbl_input[집계키_센터],F2732)))</f>
        <v/>
      </c>
      <c r="F2732" t="str">
        <f>IFERROR(INDEX(tbl_input[집계키_센터],ROW()-1),"")</f>
        <v/>
      </c>
      <c r="G2732" t="str">
        <f t="shared" si="298"/>
        <v/>
      </c>
      <c r="H2732" t="str">
        <f t="shared" si="299"/>
        <v/>
      </c>
      <c r="I2732" t="str">
        <f t="shared" si="300"/>
        <v/>
      </c>
    </row>
    <row r="2733" spans="1:9" x14ac:dyDescent="0.4">
      <c r="A2733" t="str">
        <f t="shared" si="294"/>
        <v/>
      </c>
      <c r="B2733" t="str">
        <f t="shared" si="295"/>
        <v/>
      </c>
      <c r="C2733" t="str">
        <f t="shared" si="296"/>
        <v/>
      </c>
      <c r="D2733" t="str">
        <f t="shared" si="297"/>
        <v/>
      </c>
      <c r="E2733" t="str">
        <f>IF(F2733="","",IF(COUNTIF($F$2:F2733,F2733)&gt;1,"",SUMIFS(tbl_input[필요수량],tbl_input[집계키_센터],F2733)))</f>
        <v/>
      </c>
      <c r="F2733" t="str">
        <f>IFERROR(INDEX(tbl_input[집계키_센터],ROW()-1),"")</f>
        <v/>
      </c>
      <c r="G2733" t="str">
        <f t="shared" si="298"/>
        <v/>
      </c>
      <c r="H2733" t="str">
        <f t="shared" si="299"/>
        <v/>
      </c>
      <c r="I2733" t="str">
        <f t="shared" si="300"/>
        <v/>
      </c>
    </row>
    <row r="2734" spans="1:9" x14ac:dyDescent="0.4">
      <c r="A2734" t="str">
        <f t="shared" si="294"/>
        <v/>
      </c>
      <c r="B2734" t="str">
        <f t="shared" si="295"/>
        <v/>
      </c>
      <c r="C2734" t="str">
        <f t="shared" si="296"/>
        <v/>
      </c>
      <c r="D2734" t="str">
        <f t="shared" si="297"/>
        <v/>
      </c>
      <c r="E2734" t="str">
        <f>IF(F2734="","",IF(COUNTIF($F$2:F2734,F2734)&gt;1,"",SUMIFS(tbl_input[필요수량],tbl_input[집계키_센터],F2734)))</f>
        <v/>
      </c>
      <c r="F2734" t="str">
        <f>IFERROR(INDEX(tbl_input[집계키_센터],ROW()-1),"")</f>
        <v/>
      </c>
      <c r="G2734" t="str">
        <f t="shared" si="298"/>
        <v/>
      </c>
      <c r="H2734" t="str">
        <f t="shared" si="299"/>
        <v/>
      </c>
      <c r="I2734" t="str">
        <f t="shared" si="300"/>
        <v/>
      </c>
    </row>
    <row r="2735" spans="1:9" x14ac:dyDescent="0.4">
      <c r="A2735" t="str">
        <f t="shared" si="294"/>
        <v/>
      </c>
      <c r="B2735" t="str">
        <f t="shared" si="295"/>
        <v/>
      </c>
      <c r="C2735" t="str">
        <f t="shared" si="296"/>
        <v/>
      </c>
      <c r="D2735" t="str">
        <f t="shared" si="297"/>
        <v/>
      </c>
      <c r="E2735" t="str">
        <f>IF(F2735="","",IF(COUNTIF($F$2:F2735,F2735)&gt;1,"",SUMIFS(tbl_input[필요수량],tbl_input[집계키_센터],F2735)))</f>
        <v/>
      </c>
      <c r="F2735" t="str">
        <f>IFERROR(INDEX(tbl_input[집계키_센터],ROW()-1),"")</f>
        <v/>
      </c>
      <c r="G2735" t="str">
        <f t="shared" si="298"/>
        <v/>
      </c>
      <c r="H2735" t="str">
        <f t="shared" si="299"/>
        <v/>
      </c>
      <c r="I2735" t="str">
        <f t="shared" si="300"/>
        <v/>
      </c>
    </row>
    <row r="2736" spans="1:9" x14ac:dyDescent="0.4">
      <c r="A2736" t="str">
        <f t="shared" si="294"/>
        <v/>
      </c>
      <c r="B2736" t="str">
        <f t="shared" si="295"/>
        <v/>
      </c>
      <c r="C2736" t="str">
        <f t="shared" si="296"/>
        <v/>
      </c>
      <c r="D2736" t="str">
        <f t="shared" si="297"/>
        <v/>
      </c>
      <c r="E2736" t="str">
        <f>IF(F2736="","",IF(COUNTIF($F$2:F2736,F2736)&gt;1,"",SUMIFS(tbl_input[필요수량],tbl_input[집계키_센터],F2736)))</f>
        <v/>
      </c>
      <c r="F2736" t="str">
        <f>IFERROR(INDEX(tbl_input[집계키_센터],ROW()-1),"")</f>
        <v/>
      </c>
      <c r="G2736" t="str">
        <f t="shared" si="298"/>
        <v/>
      </c>
      <c r="H2736" t="str">
        <f t="shared" si="299"/>
        <v/>
      </c>
      <c r="I2736" t="str">
        <f t="shared" si="300"/>
        <v/>
      </c>
    </row>
    <row r="2737" spans="1:9" x14ac:dyDescent="0.4">
      <c r="A2737" t="str">
        <f t="shared" si="294"/>
        <v/>
      </c>
      <c r="B2737" t="str">
        <f t="shared" si="295"/>
        <v/>
      </c>
      <c r="C2737" t="str">
        <f t="shared" si="296"/>
        <v/>
      </c>
      <c r="D2737" t="str">
        <f t="shared" si="297"/>
        <v/>
      </c>
      <c r="E2737" t="str">
        <f>IF(F2737="","",IF(COUNTIF($F$2:F2737,F2737)&gt;1,"",SUMIFS(tbl_input[필요수량],tbl_input[집계키_센터],F2737)))</f>
        <v/>
      </c>
      <c r="F2737" t="str">
        <f>IFERROR(INDEX(tbl_input[집계키_센터],ROW()-1),"")</f>
        <v/>
      </c>
      <c r="G2737" t="str">
        <f t="shared" si="298"/>
        <v/>
      </c>
      <c r="H2737" t="str">
        <f t="shared" si="299"/>
        <v/>
      </c>
      <c r="I2737" t="str">
        <f t="shared" si="300"/>
        <v/>
      </c>
    </row>
    <row r="2738" spans="1:9" x14ac:dyDescent="0.4">
      <c r="A2738" t="str">
        <f t="shared" si="294"/>
        <v/>
      </c>
      <c r="B2738" t="str">
        <f t="shared" si="295"/>
        <v/>
      </c>
      <c r="C2738" t="str">
        <f t="shared" si="296"/>
        <v/>
      </c>
      <c r="D2738" t="str">
        <f t="shared" si="297"/>
        <v/>
      </c>
      <c r="E2738" t="str">
        <f>IF(F2738="","",IF(COUNTIF($F$2:F2738,F2738)&gt;1,"",SUMIFS(tbl_input[필요수량],tbl_input[집계키_센터],F2738)))</f>
        <v/>
      </c>
      <c r="F2738" t="str">
        <f>IFERROR(INDEX(tbl_input[집계키_센터],ROW()-1),"")</f>
        <v/>
      </c>
      <c r="G2738" t="str">
        <f t="shared" si="298"/>
        <v/>
      </c>
      <c r="H2738" t="str">
        <f t="shared" si="299"/>
        <v/>
      </c>
      <c r="I2738" t="str">
        <f t="shared" si="300"/>
        <v/>
      </c>
    </row>
    <row r="2739" spans="1:9" x14ac:dyDescent="0.4">
      <c r="A2739" t="str">
        <f t="shared" si="294"/>
        <v/>
      </c>
      <c r="B2739" t="str">
        <f t="shared" si="295"/>
        <v/>
      </c>
      <c r="C2739" t="str">
        <f t="shared" si="296"/>
        <v/>
      </c>
      <c r="D2739" t="str">
        <f t="shared" si="297"/>
        <v/>
      </c>
      <c r="E2739" t="str">
        <f>IF(F2739="","",IF(COUNTIF($F$2:F2739,F2739)&gt;1,"",SUMIFS(tbl_input[필요수량],tbl_input[집계키_센터],F2739)))</f>
        <v/>
      </c>
      <c r="F2739" t="str">
        <f>IFERROR(INDEX(tbl_input[집계키_센터],ROW()-1),"")</f>
        <v/>
      </c>
      <c r="G2739" t="str">
        <f t="shared" si="298"/>
        <v/>
      </c>
      <c r="H2739" t="str">
        <f t="shared" si="299"/>
        <v/>
      </c>
      <c r="I2739" t="str">
        <f t="shared" si="300"/>
        <v/>
      </c>
    </row>
    <row r="2740" spans="1:9" x14ac:dyDescent="0.4">
      <c r="A2740" t="str">
        <f t="shared" si="294"/>
        <v/>
      </c>
      <c r="B2740" t="str">
        <f t="shared" si="295"/>
        <v/>
      </c>
      <c r="C2740" t="str">
        <f t="shared" si="296"/>
        <v/>
      </c>
      <c r="D2740" t="str">
        <f t="shared" si="297"/>
        <v/>
      </c>
      <c r="E2740" t="str">
        <f>IF(F2740="","",IF(COUNTIF($F$2:F2740,F2740)&gt;1,"",SUMIFS(tbl_input[필요수량],tbl_input[집계키_센터],F2740)))</f>
        <v/>
      </c>
      <c r="F2740" t="str">
        <f>IFERROR(INDEX(tbl_input[집계키_센터],ROW()-1),"")</f>
        <v/>
      </c>
      <c r="G2740" t="str">
        <f t="shared" si="298"/>
        <v/>
      </c>
      <c r="H2740" t="str">
        <f t="shared" si="299"/>
        <v/>
      </c>
      <c r="I2740" t="str">
        <f t="shared" si="300"/>
        <v/>
      </c>
    </row>
    <row r="2741" spans="1:9" x14ac:dyDescent="0.4">
      <c r="A2741" t="str">
        <f t="shared" si="294"/>
        <v/>
      </c>
      <c r="B2741" t="str">
        <f t="shared" si="295"/>
        <v/>
      </c>
      <c r="C2741" t="str">
        <f t="shared" si="296"/>
        <v/>
      </c>
      <c r="D2741" t="str">
        <f t="shared" si="297"/>
        <v/>
      </c>
      <c r="E2741" t="str">
        <f>IF(F2741="","",IF(COUNTIF($F$2:F2741,F2741)&gt;1,"",SUMIFS(tbl_input[필요수량],tbl_input[집계키_센터],F2741)))</f>
        <v/>
      </c>
      <c r="F2741" t="str">
        <f>IFERROR(INDEX(tbl_input[집계키_센터],ROW()-1),"")</f>
        <v/>
      </c>
      <c r="G2741" t="str">
        <f t="shared" si="298"/>
        <v/>
      </c>
      <c r="H2741" t="str">
        <f t="shared" si="299"/>
        <v/>
      </c>
      <c r="I2741" t="str">
        <f t="shared" si="300"/>
        <v/>
      </c>
    </row>
    <row r="2742" spans="1:9" x14ac:dyDescent="0.4">
      <c r="A2742" t="str">
        <f t="shared" si="294"/>
        <v/>
      </c>
      <c r="B2742" t="str">
        <f t="shared" si="295"/>
        <v/>
      </c>
      <c r="C2742" t="str">
        <f t="shared" si="296"/>
        <v/>
      </c>
      <c r="D2742" t="str">
        <f t="shared" si="297"/>
        <v/>
      </c>
      <c r="E2742" t="str">
        <f>IF(F2742="","",IF(COUNTIF($F$2:F2742,F2742)&gt;1,"",SUMIFS(tbl_input[필요수량],tbl_input[집계키_센터],F2742)))</f>
        <v/>
      </c>
      <c r="F2742" t="str">
        <f>IFERROR(INDEX(tbl_input[집계키_센터],ROW()-1),"")</f>
        <v/>
      </c>
      <c r="G2742" t="str">
        <f t="shared" si="298"/>
        <v/>
      </c>
      <c r="H2742" t="str">
        <f t="shared" si="299"/>
        <v/>
      </c>
      <c r="I2742" t="str">
        <f t="shared" si="300"/>
        <v/>
      </c>
    </row>
    <row r="2743" spans="1:9" x14ac:dyDescent="0.4">
      <c r="A2743" t="str">
        <f t="shared" si="294"/>
        <v/>
      </c>
      <c r="B2743" t="str">
        <f t="shared" si="295"/>
        <v/>
      </c>
      <c r="C2743" t="str">
        <f t="shared" si="296"/>
        <v/>
      </c>
      <c r="D2743" t="str">
        <f t="shared" si="297"/>
        <v/>
      </c>
      <c r="E2743" t="str">
        <f>IF(F2743="","",IF(COUNTIF($F$2:F2743,F2743)&gt;1,"",SUMIFS(tbl_input[필요수량],tbl_input[집계키_센터],F2743)))</f>
        <v/>
      </c>
      <c r="F2743" t="str">
        <f>IFERROR(INDEX(tbl_input[집계키_센터],ROW()-1),"")</f>
        <v/>
      </c>
      <c r="G2743" t="str">
        <f t="shared" si="298"/>
        <v/>
      </c>
      <c r="H2743" t="str">
        <f t="shared" si="299"/>
        <v/>
      </c>
      <c r="I2743" t="str">
        <f t="shared" si="300"/>
        <v/>
      </c>
    </row>
    <row r="2744" spans="1:9" x14ac:dyDescent="0.4">
      <c r="A2744" t="str">
        <f t="shared" si="294"/>
        <v/>
      </c>
      <c r="B2744" t="str">
        <f t="shared" si="295"/>
        <v/>
      </c>
      <c r="C2744" t="str">
        <f t="shared" si="296"/>
        <v/>
      </c>
      <c r="D2744" t="str">
        <f t="shared" si="297"/>
        <v/>
      </c>
      <c r="E2744" t="str">
        <f>IF(F2744="","",IF(COUNTIF($F$2:F2744,F2744)&gt;1,"",SUMIFS(tbl_input[필요수량],tbl_input[집계키_센터],F2744)))</f>
        <v/>
      </c>
      <c r="F2744" t="str">
        <f>IFERROR(INDEX(tbl_input[집계키_센터],ROW()-1),"")</f>
        <v/>
      </c>
      <c r="G2744" t="str">
        <f t="shared" si="298"/>
        <v/>
      </c>
      <c r="H2744" t="str">
        <f t="shared" si="299"/>
        <v/>
      </c>
      <c r="I2744" t="str">
        <f t="shared" si="300"/>
        <v/>
      </c>
    </row>
    <row r="2745" spans="1:9" x14ac:dyDescent="0.4">
      <c r="A2745" t="str">
        <f t="shared" si="294"/>
        <v/>
      </c>
      <c r="B2745" t="str">
        <f t="shared" si="295"/>
        <v/>
      </c>
      <c r="C2745" t="str">
        <f t="shared" si="296"/>
        <v/>
      </c>
      <c r="D2745" t="str">
        <f t="shared" si="297"/>
        <v/>
      </c>
      <c r="E2745" t="str">
        <f>IF(F2745="","",IF(COUNTIF($F$2:F2745,F2745)&gt;1,"",SUMIFS(tbl_input[필요수량],tbl_input[집계키_센터],F2745)))</f>
        <v/>
      </c>
      <c r="F2745" t="str">
        <f>IFERROR(INDEX(tbl_input[집계키_센터],ROW()-1),"")</f>
        <v/>
      </c>
      <c r="G2745" t="str">
        <f t="shared" si="298"/>
        <v/>
      </c>
      <c r="H2745" t="str">
        <f t="shared" si="299"/>
        <v/>
      </c>
      <c r="I2745" t="str">
        <f t="shared" si="300"/>
        <v/>
      </c>
    </row>
    <row r="2746" spans="1:9" x14ac:dyDescent="0.4">
      <c r="A2746" t="str">
        <f t="shared" si="294"/>
        <v/>
      </c>
      <c r="B2746" t="str">
        <f t="shared" si="295"/>
        <v/>
      </c>
      <c r="C2746" t="str">
        <f t="shared" si="296"/>
        <v/>
      </c>
      <c r="D2746" t="str">
        <f t="shared" si="297"/>
        <v/>
      </c>
      <c r="E2746" t="str">
        <f>IF(F2746="","",IF(COUNTIF($F$2:F2746,F2746)&gt;1,"",SUMIFS(tbl_input[필요수량],tbl_input[집계키_센터],F2746)))</f>
        <v/>
      </c>
      <c r="F2746" t="str">
        <f>IFERROR(INDEX(tbl_input[집계키_센터],ROW()-1),"")</f>
        <v/>
      </c>
      <c r="G2746" t="str">
        <f t="shared" si="298"/>
        <v/>
      </c>
      <c r="H2746" t="str">
        <f t="shared" si="299"/>
        <v/>
      </c>
      <c r="I2746" t="str">
        <f t="shared" si="300"/>
        <v/>
      </c>
    </row>
    <row r="2747" spans="1:9" x14ac:dyDescent="0.4">
      <c r="A2747" t="str">
        <f t="shared" si="294"/>
        <v/>
      </c>
      <c r="B2747" t="str">
        <f t="shared" si="295"/>
        <v/>
      </c>
      <c r="C2747" t="str">
        <f t="shared" si="296"/>
        <v/>
      </c>
      <c r="D2747" t="str">
        <f t="shared" si="297"/>
        <v/>
      </c>
      <c r="E2747" t="str">
        <f>IF(F2747="","",IF(COUNTIF($F$2:F2747,F2747)&gt;1,"",SUMIFS(tbl_input[필요수량],tbl_input[집계키_센터],F2747)))</f>
        <v/>
      </c>
      <c r="F2747" t="str">
        <f>IFERROR(INDEX(tbl_input[집계키_센터],ROW()-1),"")</f>
        <v/>
      </c>
      <c r="G2747" t="str">
        <f t="shared" si="298"/>
        <v/>
      </c>
      <c r="H2747" t="str">
        <f t="shared" si="299"/>
        <v/>
      </c>
      <c r="I2747" t="str">
        <f t="shared" si="300"/>
        <v/>
      </c>
    </row>
    <row r="2748" spans="1:9" x14ac:dyDescent="0.4">
      <c r="A2748" t="str">
        <f t="shared" si="294"/>
        <v/>
      </c>
      <c r="B2748" t="str">
        <f t="shared" si="295"/>
        <v/>
      </c>
      <c r="C2748" t="str">
        <f t="shared" si="296"/>
        <v/>
      </c>
      <c r="D2748" t="str">
        <f t="shared" si="297"/>
        <v/>
      </c>
      <c r="E2748" t="str">
        <f>IF(F2748="","",IF(COUNTIF($F$2:F2748,F2748)&gt;1,"",SUMIFS(tbl_input[필요수량],tbl_input[집계키_센터],F2748)))</f>
        <v/>
      </c>
      <c r="F2748" t="str">
        <f>IFERROR(INDEX(tbl_input[집계키_센터],ROW()-1),"")</f>
        <v/>
      </c>
      <c r="G2748" t="str">
        <f t="shared" si="298"/>
        <v/>
      </c>
      <c r="H2748" t="str">
        <f t="shared" si="299"/>
        <v/>
      </c>
      <c r="I2748" t="str">
        <f t="shared" si="300"/>
        <v/>
      </c>
    </row>
    <row r="2749" spans="1:9" x14ac:dyDescent="0.4">
      <c r="A2749" t="str">
        <f t="shared" si="294"/>
        <v/>
      </c>
      <c r="B2749" t="str">
        <f t="shared" si="295"/>
        <v/>
      </c>
      <c r="C2749" t="str">
        <f t="shared" si="296"/>
        <v/>
      </c>
      <c r="D2749" t="str">
        <f t="shared" si="297"/>
        <v/>
      </c>
      <c r="E2749" t="str">
        <f>IF(F2749="","",IF(COUNTIF($F$2:F2749,F2749)&gt;1,"",SUMIFS(tbl_input[필요수량],tbl_input[집계키_센터],F2749)))</f>
        <v/>
      </c>
      <c r="F2749" t="str">
        <f>IFERROR(INDEX(tbl_input[집계키_센터],ROW()-1),"")</f>
        <v/>
      </c>
      <c r="G2749" t="str">
        <f t="shared" si="298"/>
        <v/>
      </c>
      <c r="H2749" t="str">
        <f t="shared" si="299"/>
        <v/>
      </c>
      <c r="I2749" t="str">
        <f t="shared" si="300"/>
        <v/>
      </c>
    </row>
    <row r="2750" spans="1:9" x14ac:dyDescent="0.4">
      <c r="A2750" t="str">
        <f t="shared" si="294"/>
        <v/>
      </c>
      <c r="B2750" t="str">
        <f t="shared" si="295"/>
        <v/>
      </c>
      <c r="C2750" t="str">
        <f t="shared" si="296"/>
        <v/>
      </c>
      <c r="D2750" t="str">
        <f t="shared" si="297"/>
        <v/>
      </c>
      <c r="E2750" t="str">
        <f>IF(F2750="","",IF(COUNTIF($F$2:F2750,F2750)&gt;1,"",SUMIFS(tbl_input[필요수량],tbl_input[집계키_센터],F2750)))</f>
        <v/>
      </c>
      <c r="F2750" t="str">
        <f>IFERROR(INDEX(tbl_input[집계키_센터],ROW()-1),"")</f>
        <v/>
      </c>
      <c r="G2750" t="str">
        <f t="shared" si="298"/>
        <v/>
      </c>
      <c r="H2750" t="str">
        <f t="shared" si="299"/>
        <v/>
      </c>
      <c r="I2750" t="str">
        <f t="shared" si="300"/>
        <v/>
      </c>
    </row>
    <row r="2751" spans="1:9" x14ac:dyDescent="0.4">
      <c r="A2751" t="str">
        <f t="shared" si="294"/>
        <v/>
      </c>
      <c r="B2751" t="str">
        <f t="shared" si="295"/>
        <v/>
      </c>
      <c r="C2751" t="str">
        <f t="shared" si="296"/>
        <v/>
      </c>
      <c r="D2751" t="str">
        <f t="shared" si="297"/>
        <v/>
      </c>
      <c r="E2751" t="str">
        <f>IF(F2751="","",IF(COUNTIF($F$2:F2751,F2751)&gt;1,"",SUMIFS(tbl_input[필요수량],tbl_input[집계키_센터],F2751)))</f>
        <v/>
      </c>
      <c r="F2751" t="str">
        <f>IFERROR(INDEX(tbl_input[집계키_센터],ROW()-1),"")</f>
        <v/>
      </c>
      <c r="G2751" t="str">
        <f t="shared" si="298"/>
        <v/>
      </c>
      <c r="H2751" t="str">
        <f t="shared" si="299"/>
        <v/>
      </c>
      <c r="I2751" t="str">
        <f t="shared" si="300"/>
        <v/>
      </c>
    </row>
    <row r="2752" spans="1:9" x14ac:dyDescent="0.4">
      <c r="A2752" t="str">
        <f t="shared" si="294"/>
        <v/>
      </c>
      <c r="B2752" t="str">
        <f t="shared" si="295"/>
        <v/>
      </c>
      <c r="C2752" t="str">
        <f t="shared" si="296"/>
        <v/>
      </c>
      <c r="D2752" t="str">
        <f t="shared" si="297"/>
        <v/>
      </c>
      <c r="E2752" t="str">
        <f>IF(F2752="","",IF(COUNTIF($F$2:F2752,F2752)&gt;1,"",SUMIFS(tbl_input[필요수량],tbl_input[집계키_센터],F2752)))</f>
        <v/>
      </c>
      <c r="F2752" t="str">
        <f>IFERROR(INDEX(tbl_input[집계키_센터],ROW()-1),"")</f>
        <v/>
      </c>
      <c r="G2752" t="str">
        <f t="shared" si="298"/>
        <v/>
      </c>
      <c r="H2752" t="str">
        <f t="shared" si="299"/>
        <v/>
      </c>
      <c r="I2752" t="str">
        <f t="shared" si="300"/>
        <v/>
      </c>
    </row>
    <row r="2753" spans="1:9" x14ac:dyDescent="0.4">
      <c r="A2753" t="str">
        <f t="shared" si="294"/>
        <v/>
      </c>
      <c r="B2753" t="str">
        <f t="shared" si="295"/>
        <v/>
      </c>
      <c r="C2753" t="str">
        <f t="shared" si="296"/>
        <v/>
      </c>
      <c r="D2753" t="str">
        <f t="shared" si="297"/>
        <v/>
      </c>
      <c r="E2753" t="str">
        <f>IF(F2753="","",IF(COUNTIF($F$2:F2753,F2753)&gt;1,"",SUMIFS(tbl_input[필요수량],tbl_input[집계키_센터],F2753)))</f>
        <v/>
      </c>
      <c r="F2753" t="str">
        <f>IFERROR(INDEX(tbl_input[집계키_센터],ROW()-1),"")</f>
        <v/>
      </c>
      <c r="G2753" t="str">
        <f t="shared" si="298"/>
        <v/>
      </c>
      <c r="H2753" t="str">
        <f t="shared" si="299"/>
        <v/>
      </c>
      <c r="I2753" t="str">
        <f t="shared" si="300"/>
        <v/>
      </c>
    </row>
    <row r="2754" spans="1:9" x14ac:dyDescent="0.4">
      <c r="A2754" t="str">
        <f t="shared" ref="A2754:A2817" si="301">IF(F2754="","",LEFT(F2754,G2754-1))</f>
        <v/>
      </c>
      <c r="B2754" t="str">
        <f t="shared" ref="B2754:B2817" si="302">IF(F2754="","",MID(F2754,G2754+1,H2754-G2754-1))</f>
        <v/>
      </c>
      <c r="C2754" t="str">
        <f t="shared" ref="C2754:C2817" si="303">IF(F2754="","",MID(F2754,H2754+1,I2754-H2754-1))</f>
        <v/>
      </c>
      <c r="D2754" t="str">
        <f t="shared" ref="D2754:D2817" si="304">IF(F2754="","",MID(F2754,I2754+1,999))</f>
        <v/>
      </c>
      <c r="E2754" t="str">
        <f>IF(F2754="","",IF(COUNTIF($F$2:F2754,F2754)&gt;1,"",SUMIFS(tbl_input[필요수량],tbl_input[집계키_센터],F2754)))</f>
        <v/>
      </c>
      <c r="F2754" t="str">
        <f>IFERROR(INDEX(tbl_input[집계키_센터],ROW()-1),"")</f>
        <v/>
      </c>
      <c r="G2754" t="str">
        <f t="shared" ref="G2754:G2817" si="305">IF(F2754="","",FIND("♦",F2754))</f>
        <v/>
      </c>
      <c r="H2754" t="str">
        <f t="shared" ref="H2754:H2817" si="306">IF(F2754="","",FIND("♦",F2754,G2754+1))</f>
        <v/>
      </c>
      <c r="I2754" t="str">
        <f t="shared" ref="I2754:I2817" si="307">IF(F2754="","",FIND("♦",F2754,H2754+1))</f>
        <v/>
      </c>
    </row>
    <row r="2755" spans="1:9" x14ac:dyDescent="0.4">
      <c r="A2755" t="str">
        <f t="shared" si="301"/>
        <v/>
      </c>
      <c r="B2755" t="str">
        <f t="shared" si="302"/>
        <v/>
      </c>
      <c r="C2755" t="str">
        <f t="shared" si="303"/>
        <v/>
      </c>
      <c r="D2755" t="str">
        <f t="shared" si="304"/>
        <v/>
      </c>
      <c r="E2755" t="str">
        <f>IF(F2755="","",IF(COUNTIF($F$2:F2755,F2755)&gt;1,"",SUMIFS(tbl_input[필요수량],tbl_input[집계키_센터],F2755)))</f>
        <v/>
      </c>
      <c r="F2755" t="str">
        <f>IFERROR(INDEX(tbl_input[집계키_센터],ROW()-1),"")</f>
        <v/>
      </c>
      <c r="G2755" t="str">
        <f t="shared" si="305"/>
        <v/>
      </c>
      <c r="H2755" t="str">
        <f t="shared" si="306"/>
        <v/>
      </c>
      <c r="I2755" t="str">
        <f t="shared" si="307"/>
        <v/>
      </c>
    </row>
    <row r="2756" spans="1:9" x14ac:dyDescent="0.4">
      <c r="A2756" t="str">
        <f t="shared" si="301"/>
        <v/>
      </c>
      <c r="B2756" t="str">
        <f t="shared" si="302"/>
        <v/>
      </c>
      <c r="C2756" t="str">
        <f t="shared" si="303"/>
        <v/>
      </c>
      <c r="D2756" t="str">
        <f t="shared" si="304"/>
        <v/>
      </c>
      <c r="E2756" t="str">
        <f>IF(F2756="","",IF(COUNTIF($F$2:F2756,F2756)&gt;1,"",SUMIFS(tbl_input[필요수량],tbl_input[집계키_센터],F2756)))</f>
        <v/>
      </c>
      <c r="F2756" t="str">
        <f>IFERROR(INDEX(tbl_input[집계키_센터],ROW()-1),"")</f>
        <v/>
      </c>
      <c r="G2756" t="str">
        <f t="shared" si="305"/>
        <v/>
      </c>
      <c r="H2756" t="str">
        <f t="shared" si="306"/>
        <v/>
      </c>
      <c r="I2756" t="str">
        <f t="shared" si="307"/>
        <v/>
      </c>
    </row>
    <row r="2757" spans="1:9" x14ac:dyDescent="0.4">
      <c r="A2757" t="str">
        <f t="shared" si="301"/>
        <v/>
      </c>
      <c r="B2757" t="str">
        <f t="shared" si="302"/>
        <v/>
      </c>
      <c r="C2757" t="str">
        <f t="shared" si="303"/>
        <v/>
      </c>
      <c r="D2757" t="str">
        <f t="shared" si="304"/>
        <v/>
      </c>
      <c r="E2757" t="str">
        <f>IF(F2757="","",IF(COUNTIF($F$2:F2757,F2757)&gt;1,"",SUMIFS(tbl_input[필요수량],tbl_input[집계키_센터],F2757)))</f>
        <v/>
      </c>
      <c r="F2757" t="str">
        <f>IFERROR(INDEX(tbl_input[집계키_센터],ROW()-1),"")</f>
        <v/>
      </c>
      <c r="G2757" t="str">
        <f t="shared" si="305"/>
        <v/>
      </c>
      <c r="H2757" t="str">
        <f t="shared" si="306"/>
        <v/>
      </c>
      <c r="I2757" t="str">
        <f t="shared" si="307"/>
        <v/>
      </c>
    </row>
    <row r="2758" spans="1:9" x14ac:dyDescent="0.4">
      <c r="A2758" t="str">
        <f t="shared" si="301"/>
        <v/>
      </c>
      <c r="B2758" t="str">
        <f t="shared" si="302"/>
        <v/>
      </c>
      <c r="C2758" t="str">
        <f t="shared" si="303"/>
        <v/>
      </c>
      <c r="D2758" t="str">
        <f t="shared" si="304"/>
        <v/>
      </c>
      <c r="E2758" t="str">
        <f>IF(F2758="","",IF(COUNTIF($F$2:F2758,F2758)&gt;1,"",SUMIFS(tbl_input[필요수량],tbl_input[집계키_센터],F2758)))</f>
        <v/>
      </c>
      <c r="F2758" t="str">
        <f>IFERROR(INDEX(tbl_input[집계키_센터],ROW()-1),"")</f>
        <v/>
      </c>
      <c r="G2758" t="str">
        <f t="shared" si="305"/>
        <v/>
      </c>
      <c r="H2758" t="str">
        <f t="shared" si="306"/>
        <v/>
      </c>
      <c r="I2758" t="str">
        <f t="shared" si="307"/>
        <v/>
      </c>
    </row>
    <row r="2759" spans="1:9" x14ac:dyDescent="0.4">
      <c r="A2759" t="str">
        <f t="shared" si="301"/>
        <v/>
      </c>
      <c r="B2759" t="str">
        <f t="shared" si="302"/>
        <v/>
      </c>
      <c r="C2759" t="str">
        <f t="shared" si="303"/>
        <v/>
      </c>
      <c r="D2759" t="str">
        <f t="shared" si="304"/>
        <v/>
      </c>
      <c r="E2759" t="str">
        <f>IF(F2759="","",IF(COUNTIF($F$2:F2759,F2759)&gt;1,"",SUMIFS(tbl_input[필요수량],tbl_input[집계키_센터],F2759)))</f>
        <v/>
      </c>
      <c r="F2759" t="str">
        <f>IFERROR(INDEX(tbl_input[집계키_센터],ROW()-1),"")</f>
        <v/>
      </c>
      <c r="G2759" t="str">
        <f t="shared" si="305"/>
        <v/>
      </c>
      <c r="H2759" t="str">
        <f t="shared" si="306"/>
        <v/>
      </c>
      <c r="I2759" t="str">
        <f t="shared" si="307"/>
        <v/>
      </c>
    </row>
    <row r="2760" spans="1:9" x14ac:dyDescent="0.4">
      <c r="A2760" t="str">
        <f t="shared" si="301"/>
        <v/>
      </c>
      <c r="B2760" t="str">
        <f t="shared" si="302"/>
        <v/>
      </c>
      <c r="C2760" t="str">
        <f t="shared" si="303"/>
        <v/>
      </c>
      <c r="D2760" t="str">
        <f t="shared" si="304"/>
        <v/>
      </c>
      <c r="E2760" t="str">
        <f>IF(F2760="","",IF(COUNTIF($F$2:F2760,F2760)&gt;1,"",SUMIFS(tbl_input[필요수량],tbl_input[집계키_센터],F2760)))</f>
        <v/>
      </c>
      <c r="F2760" t="str">
        <f>IFERROR(INDEX(tbl_input[집계키_센터],ROW()-1),"")</f>
        <v/>
      </c>
      <c r="G2760" t="str">
        <f t="shared" si="305"/>
        <v/>
      </c>
      <c r="H2760" t="str">
        <f t="shared" si="306"/>
        <v/>
      </c>
      <c r="I2760" t="str">
        <f t="shared" si="307"/>
        <v/>
      </c>
    </row>
    <row r="2761" spans="1:9" x14ac:dyDescent="0.4">
      <c r="A2761" t="str">
        <f t="shared" si="301"/>
        <v/>
      </c>
      <c r="B2761" t="str">
        <f t="shared" si="302"/>
        <v/>
      </c>
      <c r="C2761" t="str">
        <f t="shared" si="303"/>
        <v/>
      </c>
      <c r="D2761" t="str">
        <f t="shared" si="304"/>
        <v/>
      </c>
      <c r="E2761" t="str">
        <f>IF(F2761="","",IF(COUNTIF($F$2:F2761,F2761)&gt;1,"",SUMIFS(tbl_input[필요수량],tbl_input[집계키_센터],F2761)))</f>
        <v/>
      </c>
      <c r="F2761" t="str">
        <f>IFERROR(INDEX(tbl_input[집계키_센터],ROW()-1),"")</f>
        <v/>
      </c>
      <c r="G2761" t="str">
        <f t="shared" si="305"/>
        <v/>
      </c>
      <c r="H2761" t="str">
        <f t="shared" si="306"/>
        <v/>
      </c>
      <c r="I2761" t="str">
        <f t="shared" si="307"/>
        <v/>
      </c>
    </row>
    <row r="2762" spans="1:9" x14ac:dyDescent="0.4">
      <c r="A2762" t="str">
        <f t="shared" si="301"/>
        <v/>
      </c>
      <c r="B2762" t="str">
        <f t="shared" si="302"/>
        <v/>
      </c>
      <c r="C2762" t="str">
        <f t="shared" si="303"/>
        <v/>
      </c>
      <c r="D2762" t="str">
        <f t="shared" si="304"/>
        <v/>
      </c>
      <c r="E2762" t="str">
        <f>IF(F2762="","",IF(COUNTIF($F$2:F2762,F2762)&gt;1,"",SUMIFS(tbl_input[필요수량],tbl_input[집계키_센터],F2762)))</f>
        <v/>
      </c>
      <c r="F2762" t="str">
        <f>IFERROR(INDEX(tbl_input[집계키_센터],ROW()-1),"")</f>
        <v/>
      </c>
      <c r="G2762" t="str">
        <f t="shared" si="305"/>
        <v/>
      </c>
      <c r="H2762" t="str">
        <f t="shared" si="306"/>
        <v/>
      </c>
      <c r="I2762" t="str">
        <f t="shared" si="307"/>
        <v/>
      </c>
    </row>
    <row r="2763" spans="1:9" x14ac:dyDescent="0.4">
      <c r="A2763" t="str">
        <f t="shared" si="301"/>
        <v/>
      </c>
      <c r="B2763" t="str">
        <f t="shared" si="302"/>
        <v/>
      </c>
      <c r="C2763" t="str">
        <f t="shared" si="303"/>
        <v/>
      </c>
      <c r="D2763" t="str">
        <f t="shared" si="304"/>
        <v/>
      </c>
      <c r="E2763" t="str">
        <f>IF(F2763="","",IF(COUNTIF($F$2:F2763,F2763)&gt;1,"",SUMIFS(tbl_input[필요수량],tbl_input[집계키_센터],F2763)))</f>
        <v/>
      </c>
      <c r="F2763" t="str">
        <f>IFERROR(INDEX(tbl_input[집계키_센터],ROW()-1),"")</f>
        <v/>
      </c>
      <c r="G2763" t="str">
        <f t="shared" si="305"/>
        <v/>
      </c>
      <c r="H2763" t="str">
        <f t="shared" si="306"/>
        <v/>
      </c>
      <c r="I2763" t="str">
        <f t="shared" si="307"/>
        <v/>
      </c>
    </row>
    <row r="2764" spans="1:9" x14ac:dyDescent="0.4">
      <c r="A2764" t="str">
        <f t="shared" si="301"/>
        <v/>
      </c>
      <c r="B2764" t="str">
        <f t="shared" si="302"/>
        <v/>
      </c>
      <c r="C2764" t="str">
        <f t="shared" si="303"/>
        <v/>
      </c>
      <c r="D2764" t="str">
        <f t="shared" si="304"/>
        <v/>
      </c>
      <c r="E2764" t="str">
        <f>IF(F2764="","",IF(COUNTIF($F$2:F2764,F2764)&gt;1,"",SUMIFS(tbl_input[필요수량],tbl_input[집계키_센터],F2764)))</f>
        <v/>
      </c>
      <c r="F2764" t="str">
        <f>IFERROR(INDEX(tbl_input[집계키_센터],ROW()-1),"")</f>
        <v/>
      </c>
      <c r="G2764" t="str">
        <f t="shared" si="305"/>
        <v/>
      </c>
      <c r="H2764" t="str">
        <f t="shared" si="306"/>
        <v/>
      </c>
      <c r="I2764" t="str">
        <f t="shared" si="307"/>
        <v/>
      </c>
    </row>
    <row r="2765" spans="1:9" x14ac:dyDescent="0.4">
      <c r="A2765" t="str">
        <f t="shared" si="301"/>
        <v/>
      </c>
      <c r="B2765" t="str">
        <f t="shared" si="302"/>
        <v/>
      </c>
      <c r="C2765" t="str">
        <f t="shared" si="303"/>
        <v/>
      </c>
      <c r="D2765" t="str">
        <f t="shared" si="304"/>
        <v/>
      </c>
      <c r="E2765" t="str">
        <f>IF(F2765="","",IF(COUNTIF($F$2:F2765,F2765)&gt;1,"",SUMIFS(tbl_input[필요수량],tbl_input[집계키_센터],F2765)))</f>
        <v/>
      </c>
      <c r="F2765" t="str">
        <f>IFERROR(INDEX(tbl_input[집계키_센터],ROW()-1),"")</f>
        <v/>
      </c>
      <c r="G2765" t="str">
        <f t="shared" si="305"/>
        <v/>
      </c>
      <c r="H2765" t="str">
        <f t="shared" si="306"/>
        <v/>
      </c>
      <c r="I2765" t="str">
        <f t="shared" si="307"/>
        <v/>
      </c>
    </row>
    <row r="2766" spans="1:9" x14ac:dyDescent="0.4">
      <c r="A2766" t="str">
        <f t="shared" si="301"/>
        <v/>
      </c>
      <c r="B2766" t="str">
        <f t="shared" si="302"/>
        <v/>
      </c>
      <c r="C2766" t="str">
        <f t="shared" si="303"/>
        <v/>
      </c>
      <c r="D2766" t="str">
        <f t="shared" si="304"/>
        <v/>
      </c>
      <c r="E2766" t="str">
        <f>IF(F2766="","",IF(COUNTIF($F$2:F2766,F2766)&gt;1,"",SUMIFS(tbl_input[필요수량],tbl_input[집계키_센터],F2766)))</f>
        <v/>
      </c>
      <c r="F2766" t="str">
        <f>IFERROR(INDEX(tbl_input[집계키_센터],ROW()-1),"")</f>
        <v/>
      </c>
      <c r="G2766" t="str">
        <f t="shared" si="305"/>
        <v/>
      </c>
      <c r="H2766" t="str">
        <f t="shared" si="306"/>
        <v/>
      </c>
      <c r="I2766" t="str">
        <f t="shared" si="307"/>
        <v/>
      </c>
    </row>
    <row r="2767" spans="1:9" x14ac:dyDescent="0.4">
      <c r="A2767" t="str">
        <f t="shared" si="301"/>
        <v/>
      </c>
      <c r="B2767" t="str">
        <f t="shared" si="302"/>
        <v/>
      </c>
      <c r="C2767" t="str">
        <f t="shared" si="303"/>
        <v/>
      </c>
      <c r="D2767" t="str">
        <f t="shared" si="304"/>
        <v/>
      </c>
      <c r="E2767" t="str">
        <f>IF(F2767="","",IF(COUNTIF($F$2:F2767,F2767)&gt;1,"",SUMIFS(tbl_input[필요수량],tbl_input[집계키_센터],F2767)))</f>
        <v/>
      </c>
      <c r="F2767" t="str">
        <f>IFERROR(INDEX(tbl_input[집계키_센터],ROW()-1),"")</f>
        <v/>
      </c>
      <c r="G2767" t="str">
        <f t="shared" si="305"/>
        <v/>
      </c>
      <c r="H2767" t="str">
        <f t="shared" si="306"/>
        <v/>
      </c>
      <c r="I2767" t="str">
        <f t="shared" si="307"/>
        <v/>
      </c>
    </row>
    <row r="2768" spans="1:9" x14ac:dyDescent="0.4">
      <c r="A2768" t="str">
        <f t="shared" si="301"/>
        <v/>
      </c>
      <c r="B2768" t="str">
        <f t="shared" si="302"/>
        <v/>
      </c>
      <c r="C2768" t="str">
        <f t="shared" si="303"/>
        <v/>
      </c>
      <c r="D2768" t="str">
        <f t="shared" si="304"/>
        <v/>
      </c>
      <c r="E2768" t="str">
        <f>IF(F2768="","",IF(COUNTIF($F$2:F2768,F2768)&gt;1,"",SUMIFS(tbl_input[필요수량],tbl_input[집계키_센터],F2768)))</f>
        <v/>
      </c>
      <c r="F2768" t="str">
        <f>IFERROR(INDEX(tbl_input[집계키_센터],ROW()-1),"")</f>
        <v/>
      </c>
      <c r="G2768" t="str">
        <f t="shared" si="305"/>
        <v/>
      </c>
      <c r="H2768" t="str">
        <f t="shared" si="306"/>
        <v/>
      </c>
      <c r="I2768" t="str">
        <f t="shared" si="307"/>
        <v/>
      </c>
    </row>
    <row r="2769" spans="1:9" x14ac:dyDescent="0.4">
      <c r="A2769" t="str">
        <f t="shared" si="301"/>
        <v/>
      </c>
      <c r="B2769" t="str">
        <f t="shared" si="302"/>
        <v/>
      </c>
      <c r="C2769" t="str">
        <f t="shared" si="303"/>
        <v/>
      </c>
      <c r="D2769" t="str">
        <f t="shared" si="304"/>
        <v/>
      </c>
      <c r="E2769" t="str">
        <f>IF(F2769="","",IF(COUNTIF($F$2:F2769,F2769)&gt;1,"",SUMIFS(tbl_input[필요수량],tbl_input[집계키_센터],F2769)))</f>
        <v/>
      </c>
      <c r="F2769" t="str">
        <f>IFERROR(INDEX(tbl_input[집계키_센터],ROW()-1),"")</f>
        <v/>
      </c>
      <c r="G2769" t="str">
        <f t="shared" si="305"/>
        <v/>
      </c>
      <c r="H2769" t="str">
        <f t="shared" si="306"/>
        <v/>
      </c>
      <c r="I2769" t="str">
        <f t="shared" si="307"/>
        <v/>
      </c>
    </row>
    <row r="2770" spans="1:9" x14ac:dyDescent="0.4">
      <c r="A2770" t="str">
        <f t="shared" si="301"/>
        <v/>
      </c>
      <c r="B2770" t="str">
        <f t="shared" si="302"/>
        <v/>
      </c>
      <c r="C2770" t="str">
        <f t="shared" si="303"/>
        <v/>
      </c>
      <c r="D2770" t="str">
        <f t="shared" si="304"/>
        <v/>
      </c>
      <c r="E2770" t="str">
        <f>IF(F2770="","",IF(COUNTIF($F$2:F2770,F2770)&gt;1,"",SUMIFS(tbl_input[필요수량],tbl_input[집계키_센터],F2770)))</f>
        <v/>
      </c>
      <c r="F2770" t="str">
        <f>IFERROR(INDEX(tbl_input[집계키_센터],ROW()-1),"")</f>
        <v/>
      </c>
      <c r="G2770" t="str">
        <f t="shared" si="305"/>
        <v/>
      </c>
      <c r="H2770" t="str">
        <f t="shared" si="306"/>
        <v/>
      </c>
      <c r="I2770" t="str">
        <f t="shared" si="307"/>
        <v/>
      </c>
    </row>
    <row r="2771" spans="1:9" x14ac:dyDescent="0.4">
      <c r="A2771" t="str">
        <f t="shared" si="301"/>
        <v/>
      </c>
      <c r="B2771" t="str">
        <f t="shared" si="302"/>
        <v/>
      </c>
      <c r="C2771" t="str">
        <f t="shared" si="303"/>
        <v/>
      </c>
      <c r="D2771" t="str">
        <f t="shared" si="304"/>
        <v/>
      </c>
      <c r="E2771" t="str">
        <f>IF(F2771="","",IF(COUNTIF($F$2:F2771,F2771)&gt;1,"",SUMIFS(tbl_input[필요수량],tbl_input[집계키_센터],F2771)))</f>
        <v/>
      </c>
      <c r="F2771" t="str">
        <f>IFERROR(INDEX(tbl_input[집계키_센터],ROW()-1),"")</f>
        <v/>
      </c>
      <c r="G2771" t="str">
        <f t="shared" si="305"/>
        <v/>
      </c>
      <c r="H2771" t="str">
        <f t="shared" si="306"/>
        <v/>
      </c>
      <c r="I2771" t="str">
        <f t="shared" si="307"/>
        <v/>
      </c>
    </row>
    <row r="2772" spans="1:9" x14ac:dyDescent="0.4">
      <c r="A2772" t="str">
        <f t="shared" si="301"/>
        <v/>
      </c>
      <c r="B2772" t="str">
        <f t="shared" si="302"/>
        <v/>
      </c>
      <c r="C2772" t="str">
        <f t="shared" si="303"/>
        <v/>
      </c>
      <c r="D2772" t="str">
        <f t="shared" si="304"/>
        <v/>
      </c>
      <c r="E2772" t="str">
        <f>IF(F2772="","",IF(COUNTIF($F$2:F2772,F2772)&gt;1,"",SUMIFS(tbl_input[필요수량],tbl_input[집계키_센터],F2772)))</f>
        <v/>
      </c>
      <c r="F2772" t="str">
        <f>IFERROR(INDEX(tbl_input[집계키_센터],ROW()-1),"")</f>
        <v/>
      </c>
      <c r="G2772" t="str">
        <f t="shared" si="305"/>
        <v/>
      </c>
      <c r="H2772" t="str">
        <f t="shared" si="306"/>
        <v/>
      </c>
      <c r="I2772" t="str">
        <f t="shared" si="307"/>
        <v/>
      </c>
    </row>
    <row r="2773" spans="1:9" x14ac:dyDescent="0.4">
      <c r="A2773" t="str">
        <f t="shared" si="301"/>
        <v/>
      </c>
      <c r="B2773" t="str">
        <f t="shared" si="302"/>
        <v/>
      </c>
      <c r="C2773" t="str">
        <f t="shared" si="303"/>
        <v/>
      </c>
      <c r="D2773" t="str">
        <f t="shared" si="304"/>
        <v/>
      </c>
      <c r="E2773" t="str">
        <f>IF(F2773="","",IF(COUNTIF($F$2:F2773,F2773)&gt;1,"",SUMIFS(tbl_input[필요수량],tbl_input[집계키_센터],F2773)))</f>
        <v/>
      </c>
      <c r="F2773" t="str">
        <f>IFERROR(INDEX(tbl_input[집계키_센터],ROW()-1),"")</f>
        <v/>
      </c>
      <c r="G2773" t="str">
        <f t="shared" si="305"/>
        <v/>
      </c>
      <c r="H2773" t="str">
        <f t="shared" si="306"/>
        <v/>
      </c>
      <c r="I2773" t="str">
        <f t="shared" si="307"/>
        <v/>
      </c>
    </row>
    <row r="2774" spans="1:9" x14ac:dyDescent="0.4">
      <c r="A2774" t="str">
        <f t="shared" si="301"/>
        <v/>
      </c>
      <c r="B2774" t="str">
        <f t="shared" si="302"/>
        <v/>
      </c>
      <c r="C2774" t="str">
        <f t="shared" si="303"/>
        <v/>
      </c>
      <c r="D2774" t="str">
        <f t="shared" si="304"/>
        <v/>
      </c>
      <c r="E2774" t="str">
        <f>IF(F2774="","",IF(COUNTIF($F$2:F2774,F2774)&gt;1,"",SUMIFS(tbl_input[필요수량],tbl_input[집계키_센터],F2774)))</f>
        <v/>
      </c>
      <c r="F2774" t="str">
        <f>IFERROR(INDEX(tbl_input[집계키_센터],ROW()-1),"")</f>
        <v/>
      </c>
      <c r="G2774" t="str">
        <f t="shared" si="305"/>
        <v/>
      </c>
      <c r="H2774" t="str">
        <f t="shared" si="306"/>
        <v/>
      </c>
      <c r="I2774" t="str">
        <f t="shared" si="307"/>
        <v/>
      </c>
    </row>
    <row r="2775" spans="1:9" x14ac:dyDescent="0.4">
      <c r="A2775" t="str">
        <f t="shared" si="301"/>
        <v/>
      </c>
      <c r="B2775" t="str">
        <f t="shared" si="302"/>
        <v/>
      </c>
      <c r="C2775" t="str">
        <f t="shared" si="303"/>
        <v/>
      </c>
      <c r="D2775" t="str">
        <f t="shared" si="304"/>
        <v/>
      </c>
      <c r="E2775" t="str">
        <f>IF(F2775="","",IF(COUNTIF($F$2:F2775,F2775)&gt;1,"",SUMIFS(tbl_input[필요수량],tbl_input[집계키_센터],F2775)))</f>
        <v/>
      </c>
      <c r="F2775" t="str">
        <f>IFERROR(INDEX(tbl_input[집계키_센터],ROW()-1),"")</f>
        <v/>
      </c>
      <c r="G2775" t="str">
        <f t="shared" si="305"/>
        <v/>
      </c>
      <c r="H2775" t="str">
        <f t="shared" si="306"/>
        <v/>
      </c>
      <c r="I2775" t="str">
        <f t="shared" si="307"/>
        <v/>
      </c>
    </row>
    <row r="2776" spans="1:9" x14ac:dyDescent="0.4">
      <c r="A2776" t="str">
        <f t="shared" si="301"/>
        <v/>
      </c>
      <c r="B2776" t="str">
        <f t="shared" si="302"/>
        <v/>
      </c>
      <c r="C2776" t="str">
        <f t="shared" si="303"/>
        <v/>
      </c>
      <c r="D2776" t="str">
        <f t="shared" si="304"/>
        <v/>
      </c>
      <c r="E2776" t="str">
        <f>IF(F2776="","",IF(COUNTIF($F$2:F2776,F2776)&gt;1,"",SUMIFS(tbl_input[필요수량],tbl_input[집계키_센터],F2776)))</f>
        <v/>
      </c>
      <c r="F2776" t="str">
        <f>IFERROR(INDEX(tbl_input[집계키_센터],ROW()-1),"")</f>
        <v/>
      </c>
      <c r="G2776" t="str">
        <f t="shared" si="305"/>
        <v/>
      </c>
      <c r="H2776" t="str">
        <f t="shared" si="306"/>
        <v/>
      </c>
      <c r="I2776" t="str">
        <f t="shared" si="307"/>
        <v/>
      </c>
    </row>
    <row r="2777" spans="1:9" x14ac:dyDescent="0.4">
      <c r="A2777" t="str">
        <f t="shared" si="301"/>
        <v/>
      </c>
      <c r="B2777" t="str">
        <f t="shared" si="302"/>
        <v/>
      </c>
      <c r="C2777" t="str">
        <f t="shared" si="303"/>
        <v/>
      </c>
      <c r="D2777" t="str">
        <f t="shared" si="304"/>
        <v/>
      </c>
      <c r="E2777" t="str">
        <f>IF(F2777="","",IF(COUNTIF($F$2:F2777,F2777)&gt;1,"",SUMIFS(tbl_input[필요수량],tbl_input[집계키_센터],F2777)))</f>
        <v/>
      </c>
      <c r="F2777" t="str">
        <f>IFERROR(INDEX(tbl_input[집계키_센터],ROW()-1),"")</f>
        <v/>
      </c>
      <c r="G2777" t="str">
        <f t="shared" si="305"/>
        <v/>
      </c>
      <c r="H2777" t="str">
        <f t="shared" si="306"/>
        <v/>
      </c>
      <c r="I2777" t="str">
        <f t="shared" si="307"/>
        <v/>
      </c>
    </row>
    <row r="2778" spans="1:9" x14ac:dyDescent="0.4">
      <c r="A2778" t="str">
        <f t="shared" si="301"/>
        <v/>
      </c>
      <c r="B2778" t="str">
        <f t="shared" si="302"/>
        <v/>
      </c>
      <c r="C2778" t="str">
        <f t="shared" si="303"/>
        <v/>
      </c>
      <c r="D2778" t="str">
        <f t="shared" si="304"/>
        <v/>
      </c>
      <c r="E2778" t="str">
        <f>IF(F2778="","",IF(COUNTIF($F$2:F2778,F2778)&gt;1,"",SUMIFS(tbl_input[필요수량],tbl_input[집계키_센터],F2778)))</f>
        <v/>
      </c>
      <c r="F2778" t="str">
        <f>IFERROR(INDEX(tbl_input[집계키_센터],ROW()-1),"")</f>
        <v/>
      </c>
      <c r="G2778" t="str">
        <f t="shared" si="305"/>
        <v/>
      </c>
      <c r="H2778" t="str">
        <f t="shared" si="306"/>
        <v/>
      </c>
      <c r="I2778" t="str">
        <f t="shared" si="307"/>
        <v/>
      </c>
    </row>
    <row r="2779" spans="1:9" x14ac:dyDescent="0.4">
      <c r="A2779" t="str">
        <f t="shared" si="301"/>
        <v/>
      </c>
      <c r="B2779" t="str">
        <f t="shared" si="302"/>
        <v/>
      </c>
      <c r="C2779" t="str">
        <f t="shared" si="303"/>
        <v/>
      </c>
      <c r="D2779" t="str">
        <f t="shared" si="304"/>
        <v/>
      </c>
      <c r="E2779" t="str">
        <f>IF(F2779="","",IF(COUNTIF($F$2:F2779,F2779)&gt;1,"",SUMIFS(tbl_input[필요수량],tbl_input[집계키_센터],F2779)))</f>
        <v/>
      </c>
      <c r="F2779" t="str">
        <f>IFERROR(INDEX(tbl_input[집계키_센터],ROW()-1),"")</f>
        <v/>
      </c>
      <c r="G2779" t="str">
        <f t="shared" si="305"/>
        <v/>
      </c>
      <c r="H2779" t="str">
        <f t="shared" si="306"/>
        <v/>
      </c>
      <c r="I2779" t="str">
        <f t="shared" si="307"/>
        <v/>
      </c>
    </row>
    <row r="2780" spans="1:9" x14ac:dyDescent="0.4">
      <c r="A2780" t="str">
        <f t="shared" si="301"/>
        <v/>
      </c>
      <c r="B2780" t="str">
        <f t="shared" si="302"/>
        <v/>
      </c>
      <c r="C2780" t="str">
        <f t="shared" si="303"/>
        <v/>
      </c>
      <c r="D2780" t="str">
        <f t="shared" si="304"/>
        <v/>
      </c>
      <c r="E2780" t="str">
        <f>IF(F2780="","",IF(COUNTIF($F$2:F2780,F2780)&gt;1,"",SUMIFS(tbl_input[필요수량],tbl_input[집계키_센터],F2780)))</f>
        <v/>
      </c>
      <c r="F2780" t="str">
        <f>IFERROR(INDEX(tbl_input[집계키_센터],ROW()-1),"")</f>
        <v/>
      </c>
      <c r="G2780" t="str">
        <f t="shared" si="305"/>
        <v/>
      </c>
      <c r="H2780" t="str">
        <f t="shared" si="306"/>
        <v/>
      </c>
      <c r="I2780" t="str">
        <f t="shared" si="307"/>
        <v/>
      </c>
    </row>
    <row r="2781" spans="1:9" x14ac:dyDescent="0.4">
      <c r="A2781" t="str">
        <f t="shared" si="301"/>
        <v/>
      </c>
      <c r="B2781" t="str">
        <f t="shared" si="302"/>
        <v/>
      </c>
      <c r="C2781" t="str">
        <f t="shared" si="303"/>
        <v/>
      </c>
      <c r="D2781" t="str">
        <f t="shared" si="304"/>
        <v/>
      </c>
      <c r="E2781" t="str">
        <f>IF(F2781="","",IF(COUNTIF($F$2:F2781,F2781)&gt;1,"",SUMIFS(tbl_input[필요수량],tbl_input[집계키_센터],F2781)))</f>
        <v/>
      </c>
      <c r="F2781" t="str">
        <f>IFERROR(INDEX(tbl_input[집계키_센터],ROW()-1),"")</f>
        <v/>
      </c>
      <c r="G2781" t="str">
        <f t="shared" si="305"/>
        <v/>
      </c>
      <c r="H2781" t="str">
        <f t="shared" si="306"/>
        <v/>
      </c>
      <c r="I2781" t="str">
        <f t="shared" si="307"/>
        <v/>
      </c>
    </row>
    <row r="2782" spans="1:9" x14ac:dyDescent="0.4">
      <c r="A2782" t="str">
        <f t="shared" si="301"/>
        <v/>
      </c>
      <c r="B2782" t="str">
        <f t="shared" si="302"/>
        <v/>
      </c>
      <c r="C2782" t="str">
        <f t="shared" si="303"/>
        <v/>
      </c>
      <c r="D2782" t="str">
        <f t="shared" si="304"/>
        <v/>
      </c>
      <c r="E2782" t="str">
        <f>IF(F2782="","",IF(COUNTIF($F$2:F2782,F2782)&gt;1,"",SUMIFS(tbl_input[필요수량],tbl_input[집계키_센터],F2782)))</f>
        <v/>
      </c>
      <c r="F2782" t="str">
        <f>IFERROR(INDEX(tbl_input[집계키_센터],ROW()-1),"")</f>
        <v/>
      </c>
      <c r="G2782" t="str">
        <f t="shared" si="305"/>
        <v/>
      </c>
      <c r="H2782" t="str">
        <f t="shared" si="306"/>
        <v/>
      </c>
      <c r="I2782" t="str">
        <f t="shared" si="307"/>
        <v/>
      </c>
    </row>
    <row r="2783" spans="1:9" x14ac:dyDescent="0.4">
      <c r="A2783" t="str">
        <f t="shared" si="301"/>
        <v/>
      </c>
      <c r="B2783" t="str">
        <f t="shared" si="302"/>
        <v/>
      </c>
      <c r="C2783" t="str">
        <f t="shared" si="303"/>
        <v/>
      </c>
      <c r="D2783" t="str">
        <f t="shared" si="304"/>
        <v/>
      </c>
      <c r="E2783" t="str">
        <f>IF(F2783="","",IF(COUNTIF($F$2:F2783,F2783)&gt;1,"",SUMIFS(tbl_input[필요수량],tbl_input[집계키_센터],F2783)))</f>
        <v/>
      </c>
      <c r="F2783" t="str">
        <f>IFERROR(INDEX(tbl_input[집계키_센터],ROW()-1),"")</f>
        <v/>
      </c>
      <c r="G2783" t="str">
        <f t="shared" si="305"/>
        <v/>
      </c>
      <c r="H2783" t="str">
        <f t="shared" si="306"/>
        <v/>
      </c>
      <c r="I2783" t="str">
        <f t="shared" si="307"/>
        <v/>
      </c>
    </row>
    <row r="2784" spans="1:9" x14ac:dyDescent="0.4">
      <c r="A2784" t="str">
        <f t="shared" si="301"/>
        <v/>
      </c>
      <c r="B2784" t="str">
        <f t="shared" si="302"/>
        <v/>
      </c>
      <c r="C2784" t="str">
        <f t="shared" si="303"/>
        <v/>
      </c>
      <c r="D2784" t="str">
        <f t="shared" si="304"/>
        <v/>
      </c>
      <c r="E2784" t="str">
        <f>IF(F2784="","",IF(COUNTIF($F$2:F2784,F2784)&gt;1,"",SUMIFS(tbl_input[필요수량],tbl_input[집계키_센터],F2784)))</f>
        <v/>
      </c>
      <c r="F2784" t="str">
        <f>IFERROR(INDEX(tbl_input[집계키_센터],ROW()-1),"")</f>
        <v/>
      </c>
      <c r="G2784" t="str">
        <f t="shared" si="305"/>
        <v/>
      </c>
      <c r="H2784" t="str">
        <f t="shared" si="306"/>
        <v/>
      </c>
      <c r="I2784" t="str">
        <f t="shared" si="307"/>
        <v/>
      </c>
    </row>
    <row r="2785" spans="1:9" x14ac:dyDescent="0.4">
      <c r="A2785" t="str">
        <f t="shared" si="301"/>
        <v/>
      </c>
      <c r="B2785" t="str">
        <f t="shared" si="302"/>
        <v/>
      </c>
      <c r="C2785" t="str">
        <f t="shared" si="303"/>
        <v/>
      </c>
      <c r="D2785" t="str">
        <f t="shared" si="304"/>
        <v/>
      </c>
      <c r="E2785" t="str">
        <f>IF(F2785="","",IF(COUNTIF($F$2:F2785,F2785)&gt;1,"",SUMIFS(tbl_input[필요수량],tbl_input[집계키_센터],F2785)))</f>
        <v/>
      </c>
      <c r="F2785" t="str">
        <f>IFERROR(INDEX(tbl_input[집계키_센터],ROW()-1),"")</f>
        <v/>
      </c>
      <c r="G2785" t="str">
        <f t="shared" si="305"/>
        <v/>
      </c>
      <c r="H2785" t="str">
        <f t="shared" si="306"/>
        <v/>
      </c>
      <c r="I2785" t="str">
        <f t="shared" si="307"/>
        <v/>
      </c>
    </row>
    <row r="2786" spans="1:9" x14ac:dyDescent="0.4">
      <c r="A2786" t="str">
        <f t="shared" si="301"/>
        <v/>
      </c>
      <c r="B2786" t="str">
        <f t="shared" si="302"/>
        <v/>
      </c>
      <c r="C2786" t="str">
        <f t="shared" si="303"/>
        <v/>
      </c>
      <c r="D2786" t="str">
        <f t="shared" si="304"/>
        <v/>
      </c>
      <c r="E2786" t="str">
        <f>IF(F2786="","",IF(COUNTIF($F$2:F2786,F2786)&gt;1,"",SUMIFS(tbl_input[필요수량],tbl_input[집계키_센터],F2786)))</f>
        <v/>
      </c>
      <c r="F2786" t="str">
        <f>IFERROR(INDEX(tbl_input[집계키_센터],ROW()-1),"")</f>
        <v/>
      </c>
      <c r="G2786" t="str">
        <f t="shared" si="305"/>
        <v/>
      </c>
      <c r="H2786" t="str">
        <f t="shared" si="306"/>
        <v/>
      </c>
      <c r="I2786" t="str">
        <f t="shared" si="307"/>
        <v/>
      </c>
    </row>
    <row r="2787" spans="1:9" x14ac:dyDescent="0.4">
      <c r="A2787" t="str">
        <f t="shared" si="301"/>
        <v/>
      </c>
      <c r="B2787" t="str">
        <f t="shared" si="302"/>
        <v/>
      </c>
      <c r="C2787" t="str">
        <f t="shared" si="303"/>
        <v/>
      </c>
      <c r="D2787" t="str">
        <f t="shared" si="304"/>
        <v/>
      </c>
      <c r="E2787" t="str">
        <f>IF(F2787="","",IF(COUNTIF($F$2:F2787,F2787)&gt;1,"",SUMIFS(tbl_input[필요수량],tbl_input[집계키_센터],F2787)))</f>
        <v/>
      </c>
      <c r="F2787" t="str">
        <f>IFERROR(INDEX(tbl_input[집계키_센터],ROW()-1),"")</f>
        <v/>
      </c>
      <c r="G2787" t="str">
        <f t="shared" si="305"/>
        <v/>
      </c>
      <c r="H2787" t="str">
        <f t="shared" si="306"/>
        <v/>
      </c>
      <c r="I2787" t="str">
        <f t="shared" si="307"/>
        <v/>
      </c>
    </row>
    <row r="2788" spans="1:9" x14ac:dyDescent="0.4">
      <c r="A2788" t="str">
        <f t="shared" si="301"/>
        <v/>
      </c>
      <c r="B2788" t="str">
        <f t="shared" si="302"/>
        <v/>
      </c>
      <c r="C2788" t="str">
        <f t="shared" si="303"/>
        <v/>
      </c>
      <c r="D2788" t="str">
        <f t="shared" si="304"/>
        <v/>
      </c>
      <c r="E2788" t="str">
        <f>IF(F2788="","",IF(COUNTIF($F$2:F2788,F2788)&gt;1,"",SUMIFS(tbl_input[필요수량],tbl_input[집계키_센터],F2788)))</f>
        <v/>
      </c>
      <c r="F2788" t="str">
        <f>IFERROR(INDEX(tbl_input[집계키_센터],ROW()-1),"")</f>
        <v/>
      </c>
      <c r="G2788" t="str">
        <f t="shared" si="305"/>
        <v/>
      </c>
      <c r="H2788" t="str">
        <f t="shared" si="306"/>
        <v/>
      </c>
      <c r="I2788" t="str">
        <f t="shared" si="307"/>
        <v/>
      </c>
    </row>
    <row r="2789" spans="1:9" x14ac:dyDescent="0.4">
      <c r="A2789" t="str">
        <f t="shared" si="301"/>
        <v/>
      </c>
      <c r="B2789" t="str">
        <f t="shared" si="302"/>
        <v/>
      </c>
      <c r="C2789" t="str">
        <f t="shared" si="303"/>
        <v/>
      </c>
      <c r="D2789" t="str">
        <f t="shared" si="304"/>
        <v/>
      </c>
      <c r="E2789" t="str">
        <f>IF(F2789="","",IF(COUNTIF($F$2:F2789,F2789)&gt;1,"",SUMIFS(tbl_input[필요수량],tbl_input[집계키_센터],F2789)))</f>
        <v/>
      </c>
      <c r="F2789" t="str">
        <f>IFERROR(INDEX(tbl_input[집계키_센터],ROW()-1),"")</f>
        <v/>
      </c>
      <c r="G2789" t="str">
        <f t="shared" si="305"/>
        <v/>
      </c>
      <c r="H2789" t="str">
        <f t="shared" si="306"/>
        <v/>
      </c>
      <c r="I2789" t="str">
        <f t="shared" si="307"/>
        <v/>
      </c>
    </row>
    <row r="2790" spans="1:9" x14ac:dyDescent="0.4">
      <c r="A2790" t="str">
        <f t="shared" si="301"/>
        <v/>
      </c>
      <c r="B2790" t="str">
        <f t="shared" si="302"/>
        <v/>
      </c>
      <c r="C2790" t="str">
        <f t="shared" si="303"/>
        <v/>
      </c>
      <c r="D2790" t="str">
        <f t="shared" si="304"/>
        <v/>
      </c>
      <c r="E2790" t="str">
        <f>IF(F2790="","",IF(COUNTIF($F$2:F2790,F2790)&gt;1,"",SUMIFS(tbl_input[필요수량],tbl_input[집계키_센터],F2790)))</f>
        <v/>
      </c>
      <c r="F2790" t="str">
        <f>IFERROR(INDEX(tbl_input[집계키_센터],ROW()-1),"")</f>
        <v/>
      </c>
      <c r="G2790" t="str">
        <f t="shared" si="305"/>
        <v/>
      </c>
      <c r="H2790" t="str">
        <f t="shared" si="306"/>
        <v/>
      </c>
      <c r="I2790" t="str">
        <f t="shared" si="307"/>
        <v/>
      </c>
    </row>
    <row r="2791" spans="1:9" x14ac:dyDescent="0.4">
      <c r="A2791" t="str">
        <f t="shared" si="301"/>
        <v/>
      </c>
      <c r="B2791" t="str">
        <f t="shared" si="302"/>
        <v/>
      </c>
      <c r="C2791" t="str">
        <f t="shared" si="303"/>
        <v/>
      </c>
      <c r="D2791" t="str">
        <f t="shared" si="304"/>
        <v/>
      </c>
      <c r="E2791" t="str">
        <f>IF(F2791="","",IF(COUNTIF($F$2:F2791,F2791)&gt;1,"",SUMIFS(tbl_input[필요수량],tbl_input[집계키_센터],F2791)))</f>
        <v/>
      </c>
      <c r="F2791" t="str">
        <f>IFERROR(INDEX(tbl_input[집계키_센터],ROW()-1),"")</f>
        <v/>
      </c>
      <c r="G2791" t="str">
        <f t="shared" si="305"/>
        <v/>
      </c>
      <c r="H2791" t="str">
        <f t="shared" si="306"/>
        <v/>
      </c>
      <c r="I2791" t="str">
        <f t="shared" si="307"/>
        <v/>
      </c>
    </row>
    <row r="2792" spans="1:9" x14ac:dyDescent="0.4">
      <c r="A2792" t="str">
        <f t="shared" si="301"/>
        <v/>
      </c>
      <c r="B2792" t="str">
        <f t="shared" si="302"/>
        <v/>
      </c>
      <c r="C2792" t="str">
        <f t="shared" si="303"/>
        <v/>
      </c>
      <c r="D2792" t="str">
        <f t="shared" si="304"/>
        <v/>
      </c>
      <c r="E2792" t="str">
        <f>IF(F2792="","",IF(COUNTIF($F$2:F2792,F2792)&gt;1,"",SUMIFS(tbl_input[필요수량],tbl_input[집계키_센터],F2792)))</f>
        <v/>
      </c>
      <c r="F2792" t="str">
        <f>IFERROR(INDEX(tbl_input[집계키_센터],ROW()-1),"")</f>
        <v/>
      </c>
      <c r="G2792" t="str">
        <f t="shared" si="305"/>
        <v/>
      </c>
      <c r="H2792" t="str">
        <f t="shared" si="306"/>
        <v/>
      </c>
      <c r="I2792" t="str">
        <f t="shared" si="307"/>
        <v/>
      </c>
    </row>
    <row r="2793" spans="1:9" x14ac:dyDescent="0.4">
      <c r="A2793" t="str">
        <f t="shared" si="301"/>
        <v/>
      </c>
      <c r="B2793" t="str">
        <f t="shared" si="302"/>
        <v/>
      </c>
      <c r="C2793" t="str">
        <f t="shared" si="303"/>
        <v/>
      </c>
      <c r="D2793" t="str">
        <f t="shared" si="304"/>
        <v/>
      </c>
      <c r="E2793" t="str">
        <f>IF(F2793="","",IF(COUNTIF($F$2:F2793,F2793)&gt;1,"",SUMIFS(tbl_input[필요수량],tbl_input[집계키_센터],F2793)))</f>
        <v/>
      </c>
      <c r="F2793" t="str">
        <f>IFERROR(INDEX(tbl_input[집계키_센터],ROW()-1),"")</f>
        <v/>
      </c>
      <c r="G2793" t="str">
        <f t="shared" si="305"/>
        <v/>
      </c>
      <c r="H2793" t="str">
        <f t="shared" si="306"/>
        <v/>
      </c>
      <c r="I2793" t="str">
        <f t="shared" si="307"/>
        <v/>
      </c>
    </row>
    <row r="2794" spans="1:9" x14ac:dyDescent="0.4">
      <c r="A2794" t="str">
        <f t="shared" si="301"/>
        <v/>
      </c>
      <c r="B2794" t="str">
        <f t="shared" si="302"/>
        <v/>
      </c>
      <c r="C2794" t="str">
        <f t="shared" si="303"/>
        <v/>
      </c>
      <c r="D2794" t="str">
        <f t="shared" si="304"/>
        <v/>
      </c>
      <c r="E2794" t="str">
        <f>IF(F2794="","",IF(COUNTIF($F$2:F2794,F2794)&gt;1,"",SUMIFS(tbl_input[필요수량],tbl_input[집계키_센터],F2794)))</f>
        <v/>
      </c>
      <c r="F2794" t="str">
        <f>IFERROR(INDEX(tbl_input[집계키_센터],ROW()-1),"")</f>
        <v/>
      </c>
      <c r="G2794" t="str">
        <f t="shared" si="305"/>
        <v/>
      </c>
      <c r="H2794" t="str">
        <f t="shared" si="306"/>
        <v/>
      </c>
      <c r="I2794" t="str">
        <f t="shared" si="307"/>
        <v/>
      </c>
    </row>
    <row r="2795" spans="1:9" x14ac:dyDescent="0.4">
      <c r="A2795" t="str">
        <f t="shared" si="301"/>
        <v/>
      </c>
      <c r="B2795" t="str">
        <f t="shared" si="302"/>
        <v/>
      </c>
      <c r="C2795" t="str">
        <f t="shared" si="303"/>
        <v/>
      </c>
      <c r="D2795" t="str">
        <f t="shared" si="304"/>
        <v/>
      </c>
      <c r="E2795" t="str">
        <f>IF(F2795="","",IF(COUNTIF($F$2:F2795,F2795)&gt;1,"",SUMIFS(tbl_input[필요수량],tbl_input[집계키_센터],F2795)))</f>
        <v/>
      </c>
      <c r="F2795" t="str">
        <f>IFERROR(INDEX(tbl_input[집계키_센터],ROW()-1),"")</f>
        <v/>
      </c>
      <c r="G2795" t="str">
        <f t="shared" si="305"/>
        <v/>
      </c>
      <c r="H2795" t="str">
        <f t="shared" si="306"/>
        <v/>
      </c>
      <c r="I2795" t="str">
        <f t="shared" si="307"/>
        <v/>
      </c>
    </row>
    <row r="2796" spans="1:9" x14ac:dyDescent="0.4">
      <c r="A2796" t="str">
        <f t="shared" si="301"/>
        <v/>
      </c>
      <c r="B2796" t="str">
        <f t="shared" si="302"/>
        <v/>
      </c>
      <c r="C2796" t="str">
        <f t="shared" si="303"/>
        <v/>
      </c>
      <c r="D2796" t="str">
        <f t="shared" si="304"/>
        <v/>
      </c>
      <c r="E2796" t="str">
        <f>IF(F2796="","",IF(COUNTIF($F$2:F2796,F2796)&gt;1,"",SUMIFS(tbl_input[필요수량],tbl_input[집계키_센터],F2796)))</f>
        <v/>
      </c>
      <c r="F2796" t="str">
        <f>IFERROR(INDEX(tbl_input[집계키_센터],ROW()-1),"")</f>
        <v/>
      </c>
      <c r="G2796" t="str">
        <f t="shared" si="305"/>
        <v/>
      </c>
      <c r="H2796" t="str">
        <f t="shared" si="306"/>
        <v/>
      </c>
      <c r="I2796" t="str">
        <f t="shared" si="307"/>
        <v/>
      </c>
    </row>
    <row r="2797" spans="1:9" x14ac:dyDescent="0.4">
      <c r="A2797" t="str">
        <f t="shared" si="301"/>
        <v/>
      </c>
      <c r="B2797" t="str">
        <f t="shared" si="302"/>
        <v/>
      </c>
      <c r="C2797" t="str">
        <f t="shared" si="303"/>
        <v/>
      </c>
      <c r="D2797" t="str">
        <f t="shared" si="304"/>
        <v/>
      </c>
      <c r="E2797" t="str">
        <f>IF(F2797="","",IF(COUNTIF($F$2:F2797,F2797)&gt;1,"",SUMIFS(tbl_input[필요수량],tbl_input[집계키_센터],F2797)))</f>
        <v/>
      </c>
      <c r="F2797" t="str">
        <f>IFERROR(INDEX(tbl_input[집계키_센터],ROW()-1),"")</f>
        <v/>
      </c>
      <c r="G2797" t="str">
        <f t="shared" si="305"/>
        <v/>
      </c>
      <c r="H2797" t="str">
        <f t="shared" si="306"/>
        <v/>
      </c>
      <c r="I2797" t="str">
        <f t="shared" si="307"/>
        <v/>
      </c>
    </row>
    <row r="2798" spans="1:9" x14ac:dyDescent="0.4">
      <c r="A2798" t="str">
        <f t="shared" si="301"/>
        <v/>
      </c>
      <c r="B2798" t="str">
        <f t="shared" si="302"/>
        <v/>
      </c>
      <c r="C2798" t="str">
        <f t="shared" si="303"/>
        <v/>
      </c>
      <c r="D2798" t="str">
        <f t="shared" si="304"/>
        <v/>
      </c>
      <c r="E2798" t="str">
        <f>IF(F2798="","",IF(COUNTIF($F$2:F2798,F2798)&gt;1,"",SUMIFS(tbl_input[필요수량],tbl_input[집계키_센터],F2798)))</f>
        <v/>
      </c>
      <c r="F2798" t="str">
        <f>IFERROR(INDEX(tbl_input[집계키_센터],ROW()-1),"")</f>
        <v/>
      </c>
      <c r="G2798" t="str">
        <f t="shared" si="305"/>
        <v/>
      </c>
      <c r="H2798" t="str">
        <f t="shared" si="306"/>
        <v/>
      </c>
      <c r="I2798" t="str">
        <f t="shared" si="307"/>
        <v/>
      </c>
    </row>
    <row r="2799" spans="1:9" x14ac:dyDescent="0.4">
      <c r="A2799" t="str">
        <f t="shared" si="301"/>
        <v/>
      </c>
      <c r="B2799" t="str">
        <f t="shared" si="302"/>
        <v/>
      </c>
      <c r="C2799" t="str">
        <f t="shared" si="303"/>
        <v/>
      </c>
      <c r="D2799" t="str">
        <f t="shared" si="304"/>
        <v/>
      </c>
      <c r="E2799" t="str">
        <f>IF(F2799="","",IF(COUNTIF($F$2:F2799,F2799)&gt;1,"",SUMIFS(tbl_input[필요수량],tbl_input[집계키_센터],F2799)))</f>
        <v/>
      </c>
      <c r="F2799" t="str">
        <f>IFERROR(INDEX(tbl_input[집계키_센터],ROW()-1),"")</f>
        <v/>
      </c>
      <c r="G2799" t="str">
        <f t="shared" si="305"/>
        <v/>
      </c>
      <c r="H2799" t="str">
        <f t="shared" si="306"/>
        <v/>
      </c>
      <c r="I2799" t="str">
        <f t="shared" si="307"/>
        <v/>
      </c>
    </row>
    <row r="2800" spans="1:9" x14ac:dyDescent="0.4">
      <c r="A2800" t="str">
        <f t="shared" si="301"/>
        <v/>
      </c>
      <c r="B2800" t="str">
        <f t="shared" si="302"/>
        <v/>
      </c>
      <c r="C2800" t="str">
        <f t="shared" si="303"/>
        <v/>
      </c>
      <c r="D2800" t="str">
        <f t="shared" si="304"/>
        <v/>
      </c>
      <c r="E2800" t="str">
        <f>IF(F2800="","",IF(COUNTIF($F$2:F2800,F2800)&gt;1,"",SUMIFS(tbl_input[필요수량],tbl_input[집계키_센터],F2800)))</f>
        <v/>
      </c>
      <c r="F2800" t="str">
        <f>IFERROR(INDEX(tbl_input[집계키_센터],ROW()-1),"")</f>
        <v/>
      </c>
      <c r="G2800" t="str">
        <f t="shared" si="305"/>
        <v/>
      </c>
      <c r="H2800" t="str">
        <f t="shared" si="306"/>
        <v/>
      </c>
      <c r="I2800" t="str">
        <f t="shared" si="307"/>
        <v/>
      </c>
    </row>
    <row r="2801" spans="1:9" x14ac:dyDescent="0.4">
      <c r="A2801" t="str">
        <f t="shared" si="301"/>
        <v/>
      </c>
      <c r="B2801" t="str">
        <f t="shared" si="302"/>
        <v/>
      </c>
      <c r="C2801" t="str">
        <f t="shared" si="303"/>
        <v/>
      </c>
      <c r="D2801" t="str">
        <f t="shared" si="304"/>
        <v/>
      </c>
      <c r="E2801" t="str">
        <f>IF(F2801="","",IF(COUNTIF($F$2:F2801,F2801)&gt;1,"",SUMIFS(tbl_input[필요수량],tbl_input[집계키_센터],F2801)))</f>
        <v/>
      </c>
      <c r="F2801" t="str">
        <f>IFERROR(INDEX(tbl_input[집계키_센터],ROW()-1),"")</f>
        <v/>
      </c>
      <c r="G2801" t="str">
        <f t="shared" si="305"/>
        <v/>
      </c>
      <c r="H2801" t="str">
        <f t="shared" si="306"/>
        <v/>
      </c>
      <c r="I2801" t="str">
        <f t="shared" si="307"/>
        <v/>
      </c>
    </row>
    <row r="2802" spans="1:9" x14ac:dyDescent="0.4">
      <c r="A2802" t="str">
        <f t="shared" si="301"/>
        <v/>
      </c>
      <c r="B2802" t="str">
        <f t="shared" si="302"/>
        <v/>
      </c>
      <c r="C2802" t="str">
        <f t="shared" si="303"/>
        <v/>
      </c>
      <c r="D2802" t="str">
        <f t="shared" si="304"/>
        <v/>
      </c>
      <c r="E2802" t="str">
        <f>IF(F2802="","",IF(COUNTIF($F$2:F2802,F2802)&gt;1,"",SUMIFS(tbl_input[필요수량],tbl_input[집계키_센터],F2802)))</f>
        <v/>
      </c>
      <c r="F2802" t="str">
        <f>IFERROR(INDEX(tbl_input[집계키_센터],ROW()-1),"")</f>
        <v/>
      </c>
      <c r="G2802" t="str">
        <f t="shared" si="305"/>
        <v/>
      </c>
      <c r="H2802" t="str">
        <f t="shared" si="306"/>
        <v/>
      </c>
      <c r="I2802" t="str">
        <f t="shared" si="307"/>
        <v/>
      </c>
    </row>
    <row r="2803" spans="1:9" x14ac:dyDescent="0.4">
      <c r="A2803" t="str">
        <f t="shared" si="301"/>
        <v/>
      </c>
      <c r="B2803" t="str">
        <f t="shared" si="302"/>
        <v/>
      </c>
      <c r="C2803" t="str">
        <f t="shared" si="303"/>
        <v/>
      </c>
      <c r="D2803" t="str">
        <f t="shared" si="304"/>
        <v/>
      </c>
      <c r="E2803" t="str">
        <f>IF(F2803="","",IF(COUNTIF($F$2:F2803,F2803)&gt;1,"",SUMIFS(tbl_input[필요수량],tbl_input[집계키_센터],F2803)))</f>
        <v/>
      </c>
      <c r="F2803" t="str">
        <f>IFERROR(INDEX(tbl_input[집계키_센터],ROW()-1),"")</f>
        <v/>
      </c>
      <c r="G2803" t="str">
        <f t="shared" si="305"/>
        <v/>
      </c>
      <c r="H2803" t="str">
        <f t="shared" si="306"/>
        <v/>
      </c>
      <c r="I2803" t="str">
        <f t="shared" si="307"/>
        <v/>
      </c>
    </row>
    <row r="2804" spans="1:9" x14ac:dyDescent="0.4">
      <c r="A2804" t="str">
        <f t="shared" si="301"/>
        <v/>
      </c>
      <c r="B2804" t="str">
        <f t="shared" si="302"/>
        <v/>
      </c>
      <c r="C2804" t="str">
        <f t="shared" si="303"/>
        <v/>
      </c>
      <c r="D2804" t="str">
        <f t="shared" si="304"/>
        <v/>
      </c>
      <c r="E2804" t="str">
        <f>IF(F2804="","",IF(COUNTIF($F$2:F2804,F2804)&gt;1,"",SUMIFS(tbl_input[필요수량],tbl_input[집계키_센터],F2804)))</f>
        <v/>
      </c>
      <c r="F2804" t="str">
        <f>IFERROR(INDEX(tbl_input[집계키_센터],ROW()-1),"")</f>
        <v/>
      </c>
      <c r="G2804" t="str">
        <f t="shared" si="305"/>
        <v/>
      </c>
      <c r="H2804" t="str">
        <f t="shared" si="306"/>
        <v/>
      </c>
      <c r="I2804" t="str">
        <f t="shared" si="307"/>
        <v/>
      </c>
    </row>
    <row r="2805" spans="1:9" x14ac:dyDescent="0.4">
      <c r="A2805" t="str">
        <f t="shared" si="301"/>
        <v/>
      </c>
      <c r="B2805" t="str">
        <f t="shared" si="302"/>
        <v/>
      </c>
      <c r="C2805" t="str">
        <f t="shared" si="303"/>
        <v/>
      </c>
      <c r="D2805" t="str">
        <f t="shared" si="304"/>
        <v/>
      </c>
      <c r="E2805" t="str">
        <f>IF(F2805="","",IF(COUNTIF($F$2:F2805,F2805)&gt;1,"",SUMIFS(tbl_input[필요수량],tbl_input[집계키_센터],F2805)))</f>
        <v/>
      </c>
      <c r="F2805" t="str">
        <f>IFERROR(INDEX(tbl_input[집계키_센터],ROW()-1),"")</f>
        <v/>
      </c>
      <c r="G2805" t="str">
        <f t="shared" si="305"/>
        <v/>
      </c>
      <c r="H2805" t="str">
        <f t="shared" si="306"/>
        <v/>
      </c>
      <c r="I2805" t="str">
        <f t="shared" si="307"/>
        <v/>
      </c>
    </row>
    <row r="2806" spans="1:9" x14ac:dyDescent="0.4">
      <c r="A2806" t="str">
        <f t="shared" si="301"/>
        <v/>
      </c>
      <c r="B2806" t="str">
        <f t="shared" si="302"/>
        <v/>
      </c>
      <c r="C2806" t="str">
        <f t="shared" si="303"/>
        <v/>
      </c>
      <c r="D2806" t="str">
        <f t="shared" si="304"/>
        <v/>
      </c>
      <c r="E2806" t="str">
        <f>IF(F2806="","",IF(COUNTIF($F$2:F2806,F2806)&gt;1,"",SUMIFS(tbl_input[필요수량],tbl_input[집계키_센터],F2806)))</f>
        <v/>
      </c>
      <c r="F2806" t="str">
        <f>IFERROR(INDEX(tbl_input[집계키_센터],ROW()-1),"")</f>
        <v/>
      </c>
      <c r="G2806" t="str">
        <f t="shared" si="305"/>
        <v/>
      </c>
      <c r="H2806" t="str">
        <f t="shared" si="306"/>
        <v/>
      </c>
      <c r="I2806" t="str">
        <f t="shared" si="307"/>
        <v/>
      </c>
    </row>
    <row r="2807" spans="1:9" x14ac:dyDescent="0.4">
      <c r="A2807" t="str">
        <f t="shared" si="301"/>
        <v/>
      </c>
      <c r="B2807" t="str">
        <f t="shared" si="302"/>
        <v/>
      </c>
      <c r="C2807" t="str">
        <f t="shared" si="303"/>
        <v/>
      </c>
      <c r="D2807" t="str">
        <f t="shared" si="304"/>
        <v/>
      </c>
      <c r="E2807" t="str">
        <f>IF(F2807="","",IF(COUNTIF($F$2:F2807,F2807)&gt;1,"",SUMIFS(tbl_input[필요수량],tbl_input[집계키_센터],F2807)))</f>
        <v/>
      </c>
      <c r="F2807" t="str">
        <f>IFERROR(INDEX(tbl_input[집계키_센터],ROW()-1),"")</f>
        <v/>
      </c>
      <c r="G2807" t="str">
        <f t="shared" si="305"/>
        <v/>
      </c>
      <c r="H2807" t="str">
        <f t="shared" si="306"/>
        <v/>
      </c>
      <c r="I2807" t="str">
        <f t="shared" si="307"/>
        <v/>
      </c>
    </row>
    <row r="2808" spans="1:9" x14ac:dyDescent="0.4">
      <c r="A2808" t="str">
        <f t="shared" si="301"/>
        <v/>
      </c>
      <c r="B2808" t="str">
        <f t="shared" si="302"/>
        <v/>
      </c>
      <c r="C2808" t="str">
        <f t="shared" si="303"/>
        <v/>
      </c>
      <c r="D2808" t="str">
        <f t="shared" si="304"/>
        <v/>
      </c>
      <c r="E2808" t="str">
        <f>IF(F2808="","",IF(COUNTIF($F$2:F2808,F2808)&gt;1,"",SUMIFS(tbl_input[필요수량],tbl_input[집계키_센터],F2808)))</f>
        <v/>
      </c>
      <c r="F2808" t="str">
        <f>IFERROR(INDEX(tbl_input[집계키_센터],ROW()-1),"")</f>
        <v/>
      </c>
      <c r="G2808" t="str">
        <f t="shared" si="305"/>
        <v/>
      </c>
      <c r="H2808" t="str">
        <f t="shared" si="306"/>
        <v/>
      </c>
      <c r="I2808" t="str">
        <f t="shared" si="307"/>
        <v/>
      </c>
    </row>
    <row r="2809" spans="1:9" x14ac:dyDescent="0.4">
      <c r="A2809" t="str">
        <f t="shared" si="301"/>
        <v/>
      </c>
      <c r="B2809" t="str">
        <f t="shared" si="302"/>
        <v/>
      </c>
      <c r="C2809" t="str">
        <f t="shared" si="303"/>
        <v/>
      </c>
      <c r="D2809" t="str">
        <f t="shared" si="304"/>
        <v/>
      </c>
      <c r="E2809" t="str">
        <f>IF(F2809="","",IF(COUNTIF($F$2:F2809,F2809)&gt;1,"",SUMIFS(tbl_input[필요수량],tbl_input[집계키_센터],F2809)))</f>
        <v/>
      </c>
      <c r="F2809" t="str">
        <f>IFERROR(INDEX(tbl_input[집계키_센터],ROW()-1),"")</f>
        <v/>
      </c>
      <c r="G2809" t="str">
        <f t="shared" si="305"/>
        <v/>
      </c>
      <c r="H2809" t="str">
        <f t="shared" si="306"/>
        <v/>
      </c>
      <c r="I2809" t="str">
        <f t="shared" si="307"/>
        <v/>
      </c>
    </row>
    <row r="2810" spans="1:9" x14ac:dyDescent="0.4">
      <c r="A2810" t="str">
        <f t="shared" si="301"/>
        <v/>
      </c>
      <c r="B2810" t="str">
        <f t="shared" si="302"/>
        <v/>
      </c>
      <c r="C2810" t="str">
        <f t="shared" si="303"/>
        <v/>
      </c>
      <c r="D2810" t="str">
        <f t="shared" si="304"/>
        <v/>
      </c>
      <c r="E2810" t="str">
        <f>IF(F2810="","",IF(COUNTIF($F$2:F2810,F2810)&gt;1,"",SUMIFS(tbl_input[필요수량],tbl_input[집계키_센터],F2810)))</f>
        <v/>
      </c>
      <c r="F2810" t="str">
        <f>IFERROR(INDEX(tbl_input[집계키_센터],ROW()-1),"")</f>
        <v/>
      </c>
      <c r="G2810" t="str">
        <f t="shared" si="305"/>
        <v/>
      </c>
      <c r="H2810" t="str">
        <f t="shared" si="306"/>
        <v/>
      </c>
      <c r="I2810" t="str">
        <f t="shared" si="307"/>
        <v/>
      </c>
    </row>
    <row r="2811" spans="1:9" x14ac:dyDescent="0.4">
      <c r="A2811" t="str">
        <f t="shared" si="301"/>
        <v/>
      </c>
      <c r="B2811" t="str">
        <f t="shared" si="302"/>
        <v/>
      </c>
      <c r="C2811" t="str">
        <f t="shared" si="303"/>
        <v/>
      </c>
      <c r="D2811" t="str">
        <f t="shared" si="304"/>
        <v/>
      </c>
      <c r="E2811" t="str">
        <f>IF(F2811="","",IF(COUNTIF($F$2:F2811,F2811)&gt;1,"",SUMIFS(tbl_input[필요수량],tbl_input[집계키_센터],F2811)))</f>
        <v/>
      </c>
      <c r="F2811" t="str">
        <f>IFERROR(INDEX(tbl_input[집계키_센터],ROW()-1),"")</f>
        <v/>
      </c>
      <c r="G2811" t="str">
        <f t="shared" si="305"/>
        <v/>
      </c>
      <c r="H2811" t="str">
        <f t="shared" si="306"/>
        <v/>
      </c>
      <c r="I2811" t="str">
        <f t="shared" si="307"/>
        <v/>
      </c>
    </row>
    <row r="2812" spans="1:9" x14ac:dyDescent="0.4">
      <c r="A2812" t="str">
        <f t="shared" si="301"/>
        <v/>
      </c>
      <c r="B2812" t="str">
        <f t="shared" si="302"/>
        <v/>
      </c>
      <c r="C2812" t="str">
        <f t="shared" si="303"/>
        <v/>
      </c>
      <c r="D2812" t="str">
        <f t="shared" si="304"/>
        <v/>
      </c>
      <c r="E2812" t="str">
        <f>IF(F2812="","",IF(COUNTIF($F$2:F2812,F2812)&gt;1,"",SUMIFS(tbl_input[필요수량],tbl_input[집계키_센터],F2812)))</f>
        <v/>
      </c>
      <c r="F2812" t="str">
        <f>IFERROR(INDEX(tbl_input[집계키_센터],ROW()-1),"")</f>
        <v/>
      </c>
      <c r="G2812" t="str">
        <f t="shared" si="305"/>
        <v/>
      </c>
      <c r="H2812" t="str">
        <f t="shared" si="306"/>
        <v/>
      </c>
      <c r="I2812" t="str">
        <f t="shared" si="307"/>
        <v/>
      </c>
    </row>
    <row r="2813" spans="1:9" x14ac:dyDescent="0.4">
      <c r="A2813" t="str">
        <f t="shared" si="301"/>
        <v/>
      </c>
      <c r="B2813" t="str">
        <f t="shared" si="302"/>
        <v/>
      </c>
      <c r="C2813" t="str">
        <f t="shared" si="303"/>
        <v/>
      </c>
      <c r="D2813" t="str">
        <f t="shared" si="304"/>
        <v/>
      </c>
      <c r="E2813" t="str">
        <f>IF(F2813="","",IF(COUNTIF($F$2:F2813,F2813)&gt;1,"",SUMIFS(tbl_input[필요수량],tbl_input[집계키_센터],F2813)))</f>
        <v/>
      </c>
      <c r="F2813" t="str">
        <f>IFERROR(INDEX(tbl_input[집계키_센터],ROW()-1),"")</f>
        <v/>
      </c>
      <c r="G2813" t="str">
        <f t="shared" si="305"/>
        <v/>
      </c>
      <c r="H2813" t="str">
        <f t="shared" si="306"/>
        <v/>
      </c>
      <c r="I2813" t="str">
        <f t="shared" si="307"/>
        <v/>
      </c>
    </row>
    <row r="2814" spans="1:9" x14ac:dyDescent="0.4">
      <c r="A2814" t="str">
        <f t="shared" si="301"/>
        <v/>
      </c>
      <c r="B2814" t="str">
        <f t="shared" si="302"/>
        <v/>
      </c>
      <c r="C2814" t="str">
        <f t="shared" si="303"/>
        <v/>
      </c>
      <c r="D2814" t="str">
        <f t="shared" si="304"/>
        <v/>
      </c>
      <c r="E2814" t="str">
        <f>IF(F2814="","",IF(COUNTIF($F$2:F2814,F2814)&gt;1,"",SUMIFS(tbl_input[필요수량],tbl_input[집계키_센터],F2814)))</f>
        <v/>
      </c>
      <c r="F2814" t="str">
        <f>IFERROR(INDEX(tbl_input[집계키_센터],ROW()-1),"")</f>
        <v/>
      </c>
      <c r="G2814" t="str">
        <f t="shared" si="305"/>
        <v/>
      </c>
      <c r="H2814" t="str">
        <f t="shared" si="306"/>
        <v/>
      </c>
      <c r="I2814" t="str">
        <f t="shared" si="307"/>
        <v/>
      </c>
    </row>
    <row r="2815" spans="1:9" x14ac:dyDescent="0.4">
      <c r="A2815" t="str">
        <f t="shared" si="301"/>
        <v/>
      </c>
      <c r="B2815" t="str">
        <f t="shared" si="302"/>
        <v/>
      </c>
      <c r="C2815" t="str">
        <f t="shared" si="303"/>
        <v/>
      </c>
      <c r="D2815" t="str">
        <f t="shared" si="304"/>
        <v/>
      </c>
      <c r="E2815" t="str">
        <f>IF(F2815="","",IF(COUNTIF($F$2:F2815,F2815)&gt;1,"",SUMIFS(tbl_input[필요수량],tbl_input[집계키_센터],F2815)))</f>
        <v/>
      </c>
      <c r="F2815" t="str">
        <f>IFERROR(INDEX(tbl_input[집계키_센터],ROW()-1),"")</f>
        <v/>
      </c>
      <c r="G2815" t="str">
        <f t="shared" si="305"/>
        <v/>
      </c>
      <c r="H2815" t="str">
        <f t="shared" si="306"/>
        <v/>
      </c>
      <c r="I2815" t="str">
        <f t="shared" si="307"/>
        <v/>
      </c>
    </row>
    <row r="2816" spans="1:9" x14ac:dyDescent="0.4">
      <c r="A2816" t="str">
        <f t="shared" si="301"/>
        <v/>
      </c>
      <c r="B2816" t="str">
        <f t="shared" si="302"/>
        <v/>
      </c>
      <c r="C2816" t="str">
        <f t="shared" si="303"/>
        <v/>
      </c>
      <c r="D2816" t="str">
        <f t="shared" si="304"/>
        <v/>
      </c>
      <c r="E2816" t="str">
        <f>IF(F2816="","",IF(COUNTIF($F$2:F2816,F2816)&gt;1,"",SUMIFS(tbl_input[필요수량],tbl_input[집계키_센터],F2816)))</f>
        <v/>
      </c>
      <c r="F2816" t="str">
        <f>IFERROR(INDEX(tbl_input[집계키_센터],ROW()-1),"")</f>
        <v/>
      </c>
      <c r="G2816" t="str">
        <f t="shared" si="305"/>
        <v/>
      </c>
      <c r="H2816" t="str">
        <f t="shared" si="306"/>
        <v/>
      </c>
      <c r="I2816" t="str">
        <f t="shared" si="307"/>
        <v/>
      </c>
    </row>
    <row r="2817" spans="1:9" x14ac:dyDescent="0.4">
      <c r="A2817" t="str">
        <f t="shared" si="301"/>
        <v/>
      </c>
      <c r="B2817" t="str">
        <f t="shared" si="302"/>
        <v/>
      </c>
      <c r="C2817" t="str">
        <f t="shared" si="303"/>
        <v/>
      </c>
      <c r="D2817" t="str">
        <f t="shared" si="304"/>
        <v/>
      </c>
      <c r="E2817" t="str">
        <f>IF(F2817="","",IF(COUNTIF($F$2:F2817,F2817)&gt;1,"",SUMIFS(tbl_input[필요수량],tbl_input[집계키_센터],F2817)))</f>
        <v/>
      </c>
      <c r="F2817" t="str">
        <f>IFERROR(INDEX(tbl_input[집계키_센터],ROW()-1),"")</f>
        <v/>
      </c>
      <c r="G2817" t="str">
        <f t="shared" si="305"/>
        <v/>
      </c>
      <c r="H2817" t="str">
        <f t="shared" si="306"/>
        <v/>
      </c>
      <c r="I2817" t="str">
        <f t="shared" si="307"/>
        <v/>
      </c>
    </row>
    <row r="2818" spans="1:9" x14ac:dyDescent="0.4">
      <c r="A2818" t="str">
        <f t="shared" ref="A2818:A2881" si="308">IF(F2818="","",LEFT(F2818,G2818-1))</f>
        <v/>
      </c>
      <c r="B2818" t="str">
        <f t="shared" ref="B2818:B2881" si="309">IF(F2818="","",MID(F2818,G2818+1,H2818-G2818-1))</f>
        <v/>
      </c>
      <c r="C2818" t="str">
        <f t="shared" ref="C2818:C2881" si="310">IF(F2818="","",MID(F2818,H2818+1,I2818-H2818-1))</f>
        <v/>
      </c>
      <c r="D2818" t="str">
        <f t="shared" ref="D2818:D2881" si="311">IF(F2818="","",MID(F2818,I2818+1,999))</f>
        <v/>
      </c>
      <c r="E2818" t="str">
        <f>IF(F2818="","",IF(COUNTIF($F$2:F2818,F2818)&gt;1,"",SUMIFS(tbl_input[필요수량],tbl_input[집계키_센터],F2818)))</f>
        <v/>
      </c>
      <c r="F2818" t="str">
        <f>IFERROR(INDEX(tbl_input[집계키_센터],ROW()-1),"")</f>
        <v/>
      </c>
      <c r="G2818" t="str">
        <f t="shared" ref="G2818:G2881" si="312">IF(F2818="","",FIND("♦",F2818))</f>
        <v/>
      </c>
      <c r="H2818" t="str">
        <f t="shared" ref="H2818:H2881" si="313">IF(F2818="","",FIND("♦",F2818,G2818+1))</f>
        <v/>
      </c>
      <c r="I2818" t="str">
        <f t="shared" ref="I2818:I2881" si="314">IF(F2818="","",FIND("♦",F2818,H2818+1))</f>
        <v/>
      </c>
    </row>
    <row r="2819" spans="1:9" x14ac:dyDescent="0.4">
      <c r="A2819" t="str">
        <f t="shared" si="308"/>
        <v/>
      </c>
      <c r="B2819" t="str">
        <f t="shared" si="309"/>
        <v/>
      </c>
      <c r="C2819" t="str">
        <f t="shared" si="310"/>
        <v/>
      </c>
      <c r="D2819" t="str">
        <f t="shared" si="311"/>
        <v/>
      </c>
      <c r="E2819" t="str">
        <f>IF(F2819="","",IF(COUNTIF($F$2:F2819,F2819)&gt;1,"",SUMIFS(tbl_input[필요수량],tbl_input[집계키_센터],F2819)))</f>
        <v/>
      </c>
      <c r="F2819" t="str">
        <f>IFERROR(INDEX(tbl_input[집계키_센터],ROW()-1),"")</f>
        <v/>
      </c>
      <c r="G2819" t="str">
        <f t="shared" si="312"/>
        <v/>
      </c>
      <c r="H2819" t="str">
        <f t="shared" si="313"/>
        <v/>
      </c>
      <c r="I2819" t="str">
        <f t="shared" si="314"/>
        <v/>
      </c>
    </row>
    <row r="2820" spans="1:9" x14ac:dyDescent="0.4">
      <c r="A2820" t="str">
        <f t="shared" si="308"/>
        <v/>
      </c>
      <c r="B2820" t="str">
        <f t="shared" si="309"/>
        <v/>
      </c>
      <c r="C2820" t="str">
        <f t="shared" si="310"/>
        <v/>
      </c>
      <c r="D2820" t="str">
        <f t="shared" si="311"/>
        <v/>
      </c>
      <c r="E2820" t="str">
        <f>IF(F2820="","",IF(COUNTIF($F$2:F2820,F2820)&gt;1,"",SUMIFS(tbl_input[필요수량],tbl_input[집계키_센터],F2820)))</f>
        <v/>
      </c>
      <c r="F2820" t="str">
        <f>IFERROR(INDEX(tbl_input[집계키_센터],ROW()-1),"")</f>
        <v/>
      </c>
      <c r="G2820" t="str">
        <f t="shared" si="312"/>
        <v/>
      </c>
      <c r="H2820" t="str">
        <f t="shared" si="313"/>
        <v/>
      </c>
      <c r="I2820" t="str">
        <f t="shared" si="314"/>
        <v/>
      </c>
    </row>
    <row r="2821" spans="1:9" x14ac:dyDescent="0.4">
      <c r="A2821" t="str">
        <f t="shared" si="308"/>
        <v/>
      </c>
      <c r="B2821" t="str">
        <f t="shared" si="309"/>
        <v/>
      </c>
      <c r="C2821" t="str">
        <f t="shared" si="310"/>
        <v/>
      </c>
      <c r="D2821" t="str">
        <f t="shared" si="311"/>
        <v/>
      </c>
      <c r="E2821" t="str">
        <f>IF(F2821="","",IF(COUNTIF($F$2:F2821,F2821)&gt;1,"",SUMIFS(tbl_input[필요수량],tbl_input[집계키_센터],F2821)))</f>
        <v/>
      </c>
      <c r="F2821" t="str">
        <f>IFERROR(INDEX(tbl_input[집계키_센터],ROW()-1),"")</f>
        <v/>
      </c>
      <c r="G2821" t="str">
        <f t="shared" si="312"/>
        <v/>
      </c>
      <c r="H2821" t="str">
        <f t="shared" si="313"/>
        <v/>
      </c>
      <c r="I2821" t="str">
        <f t="shared" si="314"/>
        <v/>
      </c>
    </row>
    <row r="2822" spans="1:9" x14ac:dyDescent="0.4">
      <c r="A2822" t="str">
        <f t="shared" si="308"/>
        <v/>
      </c>
      <c r="B2822" t="str">
        <f t="shared" si="309"/>
        <v/>
      </c>
      <c r="C2822" t="str">
        <f t="shared" si="310"/>
        <v/>
      </c>
      <c r="D2822" t="str">
        <f t="shared" si="311"/>
        <v/>
      </c>
      <c r="E2822" t="str">
        <f>IF(F2822="","",IF(COUNTIF($F$2:F2822,F2822)&gt;1,"",SUMIFS(tbl_input[필요수량],tbl_input[집계키_센터],F2822)))</f>
        <v/>
      </c>
      <c r="F2822" t="str">
        <f>IFERROR(INDEX(tbl_input[집계키_센터],ROW()-1),"")</f>
        <v/>
      </c>
      <c r="G2822" t="str">
        <f t="shared" si="312"/>
        <v/>
      </c>
      <c r="H2822" t="str">
        <f t="shared" si="313"/>
        <v/>
      </c>
      <c r="I2822" t="str">
        <f t="shared" si="314"/>
        <v/>
      </c>
    </row>
    <row r="2823" spans="1:9" x14ac:dyDescent="0.4">
      <c r="A2823" t="str">
        <f t="shared" si="308"/>
        <v/>
      </c>
      <c r="B2823" t="str">
        <f t="shared" si="309"/>
        <v/>
      </c>
      <c r="C2823" t="str">
        <f t="shared" si="310"/>
        <v/>
      </c>
      <c r="D2823" t="str">
        <f t="shared" si="311"/>
        <v/>
      </c>
      <c r="E2823" t="str">
        <f>IF(F2823="","",IF(COUNTIF($F$2:F2823,F2823)&gt;1,"",SUMIFS(tbl_input[필요수량],tbl_input[집계키_센터],F2823)))</f>
        <v/>
      </c>
      <c r="F2823" t="str">
        <f>IFERROR(INDEX(tbl_input[집계키_센터],ROW()-1),"")</f>
        <v/>
      </c>
      <c r="G2823" t="str">
        <f t="shared" si="312"/>
        <v/>
      </c>
      <c r="H2823" t="str">
        <f t="shared" si="313"/>
        <v/>
      </c>
      <c r="I2823" t="str">
        <f t="shared" si="314"/>
        <v/>
      </c>
    </row>
    <row r="2824" spans="1:9" x14ac:dyDescent="0.4">
      <c r="A2824" t="str">
        <f t="shared" si="308"/>
        <v/>
      </c>
      <c r="B2824" t="str">
        <f t="shared" si="309"/>
        <v/>
      </c>
      <c r="C2824" t="str">
        <f t="shared" si="310"/>
        <v/>
      </c>
      <c r="D2824" t="str">
        <f t="shared" si="311"/>
        <v/>
      </c>
      <c r="E2824" t="str">
        <f>IF(F2824="","",IF(COUNTIF($F$2:F2824,F2824)&gt;1,"",SUMIFS(tbl_input[필요수량],tbl_input[집계키_센터],F2824)))</f>
        <v/>
      </c>
      <c r="F2824" t="str">
        <f>IFERROR(INDEX(tbl_input[집계키_센터],ROW()-1),"")</f>
        <v/>
      </c>
      <c r="G2824" t="str">
        <f t="shared" si="312"/>
        <v/>
      </c>
      <c r="H2824" t="str">
        <f t="shared" si="313"/>
        <v/>
      </c>
      <c r="I2824" t="str">
        <f t="shared" si="314"/>
        <v/>
      </c>
    </row>
    <row r="2825" spans="1:9" x14ac:dyDescent="0.4">
      <c r="A2825" t="str">
        <f t="shared" si="308"/>
        <v/>
      </c>
      <c r="B2825" t="str">
        <f t="shared" si="309"/>
        <v/>
      </c>
      <c r="C2825" t="str">
        <f t="shared" si="310"/>
        <v/>
      </c>
      <c r="D2825" t="str">
        <f t="shared" si="311"/>
        <v/>
      </c>
      <c r="E2825" t="str">
        <f>IF(F2825="","",IF(COUNTIF($F$2:F2825,F2825)&gt;1,"",SUMIFS(tbl_input[필요수량],tbl_input[집계키_센터],F2825)))</f>
        <v/>
      </c>
      <c r="F2825" t="str">
        <f>IFERROR(INDEX(tbl_input[집계키_센터],ROW()-1),"")</f>
        <v/>
      </c>
      <c r="G2825" t="str">
        <f t="shared" si="312"/>
        <v/>
      </c>
      <c r="H2825" t="str">
        <f t="shared" si="313"/>
        <v/>
      </c>
      <c r="I2825" t="str">
        <f t="shared" si="314"/>
        <v/>
      </c>
    </row>
    <row r="2826" spans="1:9" x14ac:dyDescent="0.4">
      <c r="A2826" t="str">
        <f t="shared" si="308"/>
        <v/>
      </c>
      <c r="B2826" t="str">
        <f t="shared" si="309"/>
        <v/>
      </c>
      <c r="C2826" t="str">
        <f t="shared" si="310"/>
        <v/>
      </c>
      <c r="D2826" t="str">
        <f t="shared" si="311"/>
        <v/>
      </c>
      <c r="E2826" t="str">
        <f>IF(F2826="","",IF(COUNTIF($F$2:F2826,F2826)&gt;1,"",SUMIFS(tbl_input[필요수량],tbl_input[집계키_센터],F2826)))</f>
        <v/>
      </c>
      <c r="F2826" t="str">
        <f>IFERROR(INDEX(tbl_input[집계키_센터],ROW()-1),"")</f>
        <v/>
      </c>
      <c r="G2826" t="str">
        <f t="shared" si="312"/>
        <v/>
      </c>
      <c r="H2826" t="str">
        <f t="shared" si="313"/>
        <v/>
      </c>
      <c r="I2826" t="str">
        <f t="shared" si="314"/>
        <v/>
      </c>
    </row>
    <row r="2827" spans="1:9" x14ac:dyDescent="0.4">
      <c r="A2827" t="str">
        <f t="shared" si="308"/>
        <v/>
      </c>
      <c r="B2827" t="str">
        <f t="shared" si="309"/>
        <v/>
      </c>
      <c r="C2827" t="str">
        <f t="shared" si="310"/>
        <v/>
      </c>
      <c r="D2827" t="str">
        <f t="shared" si="311"/>
        <v/>
      </c>
      <c r="E2827" t="str">
        <f>IF(F2827="","",IF(COUNTIF($F$2:F2827,F2827)&gt;1,"",SUMIFS(tbl_input[필요수량],tbl_input[집계키_센터],F2827)))</f>
        <v/>
      </c>
      <c r="F2827" t="str">
        <f>IFERROR(INDEX(tbl_input[집계키_센터],ROW()-1),"")</f>
        <v/>
      </c>
      <c r="G2827" t="str">
        <f t="shared" si="312"/>
        <v/>
      </c>
      <c r="H2827" t="str">
        <f t="shared" si="313"/>
        <v/>
      </c>
      <c r="I2827" t="str">
        <f t="shared" si="314"/>
        <v/>
      </c>
    </row>
    <row r="2828" spans="1:9" x14ac:dyDescent="0.4">
      <c r="A2828" t="str">
        <f t="shared" si="308"/>
        <v/>
      </c>
      <c r="B2828" t="str">
        <f t="shared" si="309"/>
        <v/>
      </c>
      <c r="C2828" t="str">
        <f t="shared" si="310"/>
        <v/>
      </c>
      <c r="D2828" t="str">
        <f t="shared" si="311"/>
        <v/>
      </c>
      <c r="E2828" t="str">
        <f>IF(F2828="","",IF(COUNTIF($F$2:F2828,F2828)&gt;1,"",SUMIFS(tbl_input[필요수량],tbl_input[집계키_센터],F2828)))</f>
        <v/>
      </c>
      <c r="F2828" t="str">
        <f>IFERROR(INDEX(tbl_input[집계키_센터],ROW()-1),"")</f>
        <v/>
      </c>
      <c r="G2828" t="str">
        <f t="shared" si="312"/>
        <v/>
      </c>
      <c r="H2828" t="str">
        <f t="shared" si="313"/>
        <v/>
      </c>
      <c r="I2828" t="str">
        <f t="shared" si="314"/>
        <v/>
      </c>
    </row>
    <row r="2829" spans="1:9" x14ac:dyDescent="0.4">
      <c r="A2829" t="str">
        <f t="shared" si="308"/>
        <v/>
      </c>
      <c r="B2829" t="str">
        <f t="shared" si="309"/>
        <v/>
      </c>
      <c r="C2829" t="str">
        <f t="shared" si="310"/>
        <v/>
      </c>
      <c r="D2829" t="str">
        <f t="shared" si="311"/>
        <v/>
      </c>
      <c r="E2829" t="str">
        <f>IF(F2829="","",IF(COUNTIF($F$2:F2829,F2829)&gt;1,"",SUMIFS(tbl_input[필요수량],tbl_input[집계키_센터],F2829)))</f>
        <v/>
      </c>
      <c r="F2829" t="str">
        <f>IFERROR(INDEX(tbl_input[집계키_센터],ROW()-1),"")</f>
        <v/>
      </c>
      <c r="G2829" t="str">
        <f t="shared" si="312"/>
        <v/>
      </c>
      <c r="H2829" t="str">
        <f t="shared" si="313"/>
        <v/>
      </c>
      <c r="I2829" t="str">
        <f t="shared" si="314"/>
        <v/>
      </c>
    </row>
    <row r="2830" spans="1:9" x14ac:dyDescent="0.4">
      <c r="A2830" t="str">
        <f t="shared" si="308"/>
        <v/>
      </c>
      <c r="B2830" t="str">
        <f t="shared" si="309"/>
        <v/>
      </c>
      <c r="C2830" t="str">
        <f t="shared" si="310"/>
        <v/>
      </c>
      <c r="D2830" t="str">
        <f t="shared" si="311"/>
        <v/>
      </c>
      <c r="E2830" t="str">
        <f>IF(F2830="","",IF(COUNTIF($F$2:F2830,F2830)&gt;1,"",SUMIFS(tbl_input[필요수량],tbl_input[집계키_센터],F2830)))</f>
        <v/>
      </c>
      <c r="F2830" t="str">
        <f>IFERROR(INDEX(tbl_input[집계키_센터],ROW()-1),"")</f>
        <v/>
      </c>
      <c r="G2830" t="str">
        <f t="shared" si="312"/>
        <v/>
      </c>
      <c r="H2830" t="str">
        <f t="shared" si="313"/>
        <v/>
      </c>
      <c r="I2830" t="str">
        <f t="shared" si="314"/>
        <v/>
      </c>
    </row>
    <row r="2831" spans="1:9" x14ac:dyDescent="0.4">
      <c r="A2831" t="str">
        <f t="shared" si="308"/>
        <v/>
      </c>
      <c r="B2831" t="str">
        <f t="shared" si="309"/>
        <v/>
      </c>
      <c r="C2831" t="str">
        <f t="shared" si="310"/>
        <v/>
      </c>
      <c r="D2831" t="str">
        <f t="shared" si="311"/>
        <v/>
      </c>
      <c r="E2831" t="str">
        <f>IF(F2831="","",IF(COUNTIF($F$2:F2831,F2831)&gt;1,"",SUMIFS(tbl_input[필요수량],tbl_input[집계키_센터],F2831)))</f>
        <v/>
      </c>
      <c r="F2831" t="str">
        <f>IFERROR(INDEX(tbl_input[집계키_센터],ROW()-1),"")</f>
        <v/>
      </c>
      <c r="G2831" t="str">
        <f t="shared" si="312"/>
        <v/>
      </c>
      <c r="H2831" t="str">
        <f t="shared" si="313"/>
        <v/>
      </c>
      <c r="I2831" t="str">
        <f t="shared" si="314"/>
        <v/>
      </c>
    </row>
    <row r="2832" spans="1:9" x14ac:dyDescent="0.4">
      <c r="A2832" t="str">
        <f t="shared" si="308"/>
        <v/>
      </c>
      <c r="B2832" t="str">
        <f t="shared" si="309"/>
        <v/>
      </c>
      <c r="C2832" t="str">
        <f t="shared" si="310"/>
        <v/>
      </c>
      <c r="D2832" t="str">
        <f t="shared" si="311"/>
        <v/>
      </c>
      <c r="E2832" t="str">
        <f>IF(F2832="","",IF(COUNTIF($F$2:F2832,F2832)&gt;1,"",SUMIFS(tbl_input[필요수량],tbl_input[집계키_센터],F2832)))</f>
        <v/>
      </c>
      <c r="F2832" t="str">
        <f>IFERROR(INDEX(tbl_input[집계키_센터],ROW()-1),"")</f>
        <v/>
      </c>
      <c r="G2832" t="str">
        <f t="shared" si="312"/>
        <v/>
      </c>
      <c r="H2832" t="str">
        <f t="shared" si="313"/>
        <v/>
      </c>
      <c r="I2832" t="str">
        <f t="shared" si="314"/>
        <v/>
      </c>
    </row>
    <row r="2833" spans="1:9" x14ac:dyDescent="0.4">
      <c r="A2833" t="str">
        <f t="shared" si="308"/>
        <v/>
      </c>
      <c r="B2833" t="str">
        <f t="shared" si="309"/>
        <v/>
      </c>
      <c r="C2833" t="str">
        <f t="shared" si="310"/>
        <v/>
      </c>
      <c r="D2833" t="str">
        <f t="shared" si="311"/>
        <v/>
      </c>
      <c r="E2833" t="str">
        <f>IF(F2833="","",IF(COUNTIF($F$2:F2833,F2833)&gt;1,"",SUMIFS(tbl_input[필요수량],tbl_input[집계키_센터],F2833)))</f>
        <v/>
      </c>
      <c r="F2833" t="str">
        <f>IFERROR(INDEX(tbl_input[집계키_센터],ROW()-1),"")</f>
        <v/>
      </c>
      <c r="G2833" t="str">
        <f t="shared" si="312"/>
        <v/>
      </c>
      <c r="H2833" t="str">
        <f t="shared" si="313"/>
        <v/>
      </c>
      <c r="I2833" t="str">
        <f t="shared" si="314"/>
        <v/>
      </c>
    </row>
    <row r="2834" spans="1:9" x14ac:dyDescent="0.4">
      <c r="A2834" t="str">
        <f t="shared" si="308"/>
        <v/>
      </c>
      <c r="B2834" t="str">
        <f t="shared" si="309"/>
        <v/>
      </c>
      <c r="C2834" t="str">
        <f t="shared" si="310"/>
        <v/>
      </c>
      <c r="D2834" t="str">
        <f t="shared" si="311"/>
        <v/>
      </c>
      <c r="E2834" t="str">
        <f>IF(F2834="","",IF(COUNTIF($F$2:F2834,F2834)&gt;1,"",SUMIFS(tbl_input[필요수량],tbl_input[집계키_센터],F2834)))</f>
        <v/>
      </c>
      <c r="F2834" t="str">
        <f>IFERROR(INDEX(tbl_input[집계키_센터],ROW()-1),"")</f>
        <v/>
      </c>
      <c r="G2834" t="str">
        <f t="shared" si="312"/>
        <v/>
      </c>
      <c r="H2834" t="str">
        <f t="shared" si="313"/>
        <v/>
      </c>
      <c r="I2834" t="str">
        <f t="shared" si="314"/>
        <v/>
      </c>
    </row>
    <row r="2835" spans="1:9" x14ac:dyDescent="0.4">
      <c r="A2835" t="str">
        <f t="shared" si="308"/>
        <v/>
      </c>
      <c r="B2835" t="str">
        <f t="shared" si="309"/>
        <v/>
      </c>
      <c r="C2835" t="str">
        <f t="shared" si="310"/>
        <v/>
      </c>
      <c r="D2835" t="str">
        <f t="shared" si="311"/>
        <v/>
      </c>
      <c r="E2835" t="str">
        <f>IF(F2835="","",IF(COUNTIF($F$2:F2835,F2835)&gt;1,"",SUMIFS(tbl_input[필요수량],tbl_input[집계키_센터],F2835)))</f>
        <v/>
      </c>
      <c r="F2835" t="str">
        <f>IFERROR(INDEX(tbl_input[집계키_센터],ROW()-1),"")</f>
        <v/>
      </c>
      <c r="G2835" t="str">
        <f t="shared" si="312"/>
        <v/>
      </c>
      <c r="H2835" t="str">
        <f t="shared" si="313"/>
        <v/>
      </c>
      <c r="I2835" t="str">
        <f t="shared" si="314"/>
        <v/>
      </c>
    </row>
    <row r="2836" spans="1:9" x14ac:dyDescent="0.4">
      <c r="A2836" t="str">
        <f t="shared" si="308"/>
        <v/>
      </c>
      <c r="B2836" t="str">
        <f t="shared" si="309"/>
        <v/>
      </c>
      <c r="C2836" t="str">
        <f t="shared" si="310"/>
        <v/>
      </c>
      <c r="D2836" t="str">
        <f t="shared" si="311"/>
        <v/>
      </c>
      <c r="E2836" t="str">
        <f>IF(F2836="","",IF(COUNTIF($F$2:F2836,F2836)&gt;1,"",SUMIFS(tbl_input[필요수량],tbl_input[집계키_센터],F2836)))</f>
        <v/>
      </c>
      <c r="F2836" t="str">
        <f>IFERROR(INDEX(tbl_input[집계키_센터],ROW()-1),"")</f>
        <v/>
      </c>
      <c r="G2836" t="str">
        <f t="shared" si="312"/>
        <v/>
      </c>
      <c r="H2836" t="str">
        <f t="shared" si="313"/>
        <v/>
      </c>
      <c r="I2836" t="str">
        <f t="shared" si="314"/>
        <v/>
      </c>
    </row>
    <row r="2837" spans="1:9" x14ac:dyDescent="0.4">
      <c r="A2837" t="str">
        <f t="shared" si="308"/>
        <v/>
      </c>
      <c r="B2837" t="str">
        <f t="shared" si="309"/>
        <v/>
      </c>
      <c r="C2837" t="str">
        <f t="shared" si="310"/>
        <v/>
      </c>
      <c r="D2837" t="str">
        <f t="shared" si="311"/>
        <v/>
      </c>
      <c r="E2837" t="str">
        <f>IF(F2837="","",IF(COUNTIF($F$2:F2837,F2837)&gt;1,"",SUMIFS(tbl_input[필요수량],tbl_input[집계키_센터],F2837)))</f>
        <v/>
      </c>
      <c r="F2837" t="str">
        <f>IFERROR(INDEX(tbl_input[집계키_센터],ROW()-1),"")</f>
        <v/>
      </c>
      <c r="G2837" t="str">
        <f t="shared" si="312"/>
        <v/>
      </c>
      <c r="H2837" t="str">
        <f t="shared" si="313"/>
        <v/>
      </c>
      <c r="I2837" t="str">
        <f t="shared" si="314"/>
        <v/>
      </c>
    </row>
    <row r="2838" spans="1:9" x14ac:dyDescent="0.4">
      <c r="A2838" t="str">
        <f t="shared" si="308"/>
        <v/>
      </c>
      <c r="B2838" t="str">
        <f t="shared" si="309"/>
        <v/>
      </c>
      <c r="C2838" t="str">
        <f t="shared" si="310"/>
        <v/>
      </c>
      <c r="D2838" t="str">
        <f t="shared" si="311"/>
        <v/>
      </c>
      <c r="E2838" t="str">
        <f>IF(F2838="","",IF(COUNTIF($F$2:F2838,F2838)&gt;1,"",SUMIFS(tbl_input[필요수량],tbl_input[집계키_센터],F2838)))</f>
        <v/>
      </c>
      <c r="F2838" t="str">
        <f>IFERROR(INDEX(tbl_input[집계키_센터],ROW()-1),"")</f>
        <v/>
      </c>
      <c r="G2838" t="str">
        <f t="shared" si="312"/>
        <v/>
      </c>
      <c r="H2838" t="str">
        <f t="shared" si="313"/>
        <v/>
      </c>
      <c r="I2838" t="str">
        <f t="shared" si="314"/>
        <v/>
      </c>
    </row>
    <row r="2839" spans="1:9" x14ac:dyDescent="0.4">
      <c r="A2839" t="str">
        <f t="shared" si="308"/>
        <v/>
      </c>
      <c r="B2839" t="str">
        <f t="shared" si="309"/>
        <v/>
      </c>
      <c r="C2839" t="str">
        <f t="shared" si="310"/>
        <v/>
      </c>
      <c r="D2839" t="str">
        <f t="shared" si="311"/>
        <v/>
      </c>
      <c r="E2839" t="str">
        <f>IF(F2839="","",IF(COUNTIF($F$2:F2839,F2839)&gt;1,"",SUMIFS(tbl_input[필요수량],tbl_input[집계키_센터],F2839)))</f>
        <v/>
      </c>
      <c r="F2839" t="str">
        <f>IFERROR(INDEX(tbl_input[집계키_센터],ROW()-1),"")</f>
        <v/>
      </c>
      <c r="G2839" t="str">
        <f t="shared" si="312"/>
        <v/>
      </c>
      <c r="H2839" t="str">
        <f t="shared" si="313"/>
        <v/>
      </c>
      <c r="I2839" t="str">
        <f t="shared" si="314"/>
        <v/>
      </c>
    </row>
    <row r="2840" spans="1:9" x14ac:dyDescent="0.4">
      <c r="A2840" t="str">
        <f t="shared" si="308"/>
        <v/>
      </c>
      <c r="B2840" t="str">
        <f t="shared" si="309"/>
        <v/>
      </c>
      <c r="C2840" t="str">
        <f t="shared" si="310"/>
        <v/>
      </c>
      <c r="D2840" t="str">
        <f t="shared" si="311"/>
        <v/>
      </c>
      <c r="E2840" t="str">
        <f>IF(F2840="","",IF(COUNTIF($F$2:F2840,F2840)&gt;1,"",SUMIFS(tbl_input[필요수량],tbl_input[집계키_센터],F2840)))</f>
        <v/>
      </c>
      <c r="F2840" t="str">
        <f>IFERROR(INDEX(tbl_input[집계키_센터],ROW()-1),"")</f>
        <v/>
      </c>
      <c r="G2840" t="str">
        <f t="shared" si="312"/>
        <v/>
      </c>
      <c r="H2840" t="str">
        <f t="shared" si="313"/>
        <v/>
      </c>
      <c r="I2840" t="str">
        <f t="shared" si="314"/>
        <v/>
      </c>
    </row>
    <row r="2841" spans="1:9" x14ac:dyDescent="0.4">
      <c r="A2841" t="str">
        <f t="shared" si="308"/>
        <v/>
      </c>
      <c r="B2841" t="str">
        <f t="shared" si="309"/>
        <v/>
      </c>
      <c r="C2841" t="str">
        <f t="shared" si="310"/>
        <v/>
      </c>
      <c r="D2841" t="str">
        <f t="shared" si="311"/>
        <v/>
      </c>
      <c r="E2841" t="str">
        <f>IF(F2841="","",IF(COUNTIF($F$2:F2841,F2841)&gt;1,"",SUMIFS(tbl_input[필요수량],tbl_input[집계키_센터],F2841)))</f>
        <v/>
      </c>
      <c r="F2841" t="str">
        <f>IFERROR(INDEX(tbl_input[집계키_센터],ROW()-1),"")</f>
        <v/>
      </c>
      <c r="G2841" t="str">
        <f t="shared" si="312"/>
        <v/>
      </c>
      <c r="H2841" t="str">
        <f t="shared" si="313"/>
        <v/>
      </c>
      <c r="I2841" t="str">
        <f t="shared" si="314"/>
        <v/>
      </c>
    </row>
    <row r="2842" spans="1:9" x14ac:dyDescent="0.4">
      <c r="A2842" t="str">
        <f t="shared" si="308"/>
        <v/>
      </c>
      <c r="B2842" t="str">
        <f t="shared" si="309"/>
        <v/>
      </c>
      <c r="C2842" t="str">
        <f t="shared" si="310"/>
        <v/>
      </c>
      <c r="D2842" t="str">
        <f t="shared" si="311"/>
        <v/>
      </c>
      <c r="E2842" t="str">
        <f>IF(F2842="","",IF(COUNTIF($F$2:F2842,F2842)&gt;1,"",SUMIFS(tbl_input[필요수량],tbl_input[집계키_센터],F2842)))</f>
        <v/>
      </c>
      <c r="F2842" t="str">
        <f>IFERROR(INDEX(tbl_input[집계키_센터],ROW()-1),"")</f>
        <v/>
      </c>
      <c r="G2842" t="str">
        <f t="shared" si="312"/>
        <v/>
      </c>
      <c r="H2842" t="str">
        <f t="shared" si="313"/>
        <v/>
      </c>
      <c r="I2842" t="str">
        <f t="shared" si="314"/>
        <v/>
      </c>
    </row>
    <row r="2843" spans="1:9" x14ac:dyDescent="0.4">
      <c r="A2843" t="str">
        <f t="shared" si="308"/>
        <v/>
      </c>
      <c r="B2843" t="str">
        <f t="shared" si="309"/>
        <v/>
      </c>
      <c r="C2843" t="str">
        <f t="shared" si="310"/>
        <v/>
      </c>
      <c r="D2843" t="str">
        <f t="shared" si="311"/>
        <v/>
      </c>
      <c r="E2843" t="str">
        <f>IF(F2843="","",IF(COUNTIF($F$2:F2843,F2843)&gt;1,"",SUMIFS(tbl_input[필요수량],tbl_input[집계키_센터],F2843)))</f>
        <v/>
      </c>
      <c r="F2843" t="str">
        <f>IFERROR(INDEX(tbl_input[집계키_센터],ROW()-1),"")</f>
        <v/>
      </c>
      <c r="G2843" t="str">
        <f t="shared" si="312"/>
        <v/>
      </c>
      <c r="H2843" t="str">
        <f t="shared" si="313"/>
        <v/>
      </c>
      <c r="I2843" t="str">
        <f t="shared" si="314"/>
        <v/>
      </c>
    </row>
    <row r="2844" spans="1:9" x14ac:dyDescent="0.4">
      <c r="A2844" t="str">
        <f t="shared" si="308"/>
        <v/>
      </c>
      <c r="B2844" t="str">
        <f t="shared" si="309"/>
        <v/>
      </c>
      <c r="C2844" t="str">
        <f t="shared" si="310"/>
        <v/>
      </c>
      <c r="D2844" t="str">
        <f t="shared" si="311"/>
        <v/>
      </c>
      <c r="E2844" t="str">
        <f>IF(F2844="","",IF(COUNTIF($F$2:F2844,F2844)&gt;1,"",SUMIFS(tbl_input[필요수량],tbl_input[집계키_센터],F2844)))</f>
        <v/>
      </c>
      <c r="F2844" t="str">
        <f>IFERROR(INDEX(tbl_input[집계키_센터],ROW()-1),"")</f>
        <v/>
      </c>
      <c r="G2844" t="str">
        <f t="shared" si="312"/>
        <v/>
      </c>
      <c r="H2844" t="str">
        <f t="shared" si="313"/>
        <v/>
      </c>
      <c r="I2844" t="str">
        <f t="shared" si="314"/>
        <v/>
      </c>
    </row>
    <row r="2845" spans="1:9" x14ac:dyDescent="0.4">
      <c r="A2845" t="str">
        <f t="shared" si="308"/>
        <v/>
      </c>
      <c r="B2845" t="str">
        <f t="shared" si="309"/>
        <v/>
      </c>
      <c r="C2845" t="str">
        <f t="shared" si="310"/>
        <v/>
      </c>
      <c r="D2845" t="str">
        <f t="shared" si="311"/>
        <v/>
      </c>
      <c r="E2845" t="str">
        <f>IF(F2845="","",IF(COUNTIF($F$2:F2845,F2845)&gt;1,"",SUMIFS(tbl_input[필요수량],tbl_input[집계키_센터],F2845)))</f>
        <v/>
      </c>
      <c r="F2845" t="str">
        <f>IFERROR(INDEX(tbl_input[집계키_센터],ROW()-1),"")</f>
        <v/>
      </c>
      <c r="G2845" t="str">
        <f t="shared" si="312"/>
        <v/>
      </c>
      <c r="H2845" t="str">
        <f t="shared" si="313"/>
        <v/>
      </c>
      <c r="I2845" t="str">
        <f t="shared" si="314"/>
        <v/>
      </c>
    </row>
    <row r="2846" spans="1:9" x14ac:dyDescent="0.4">
      <c r="A2846" t="str">
        <f t="shared" si="308"/>
        <v/>
      </c>
      <c r="B2846" t="str">
        <f t="shared" si="309"/>
        <v/>
      </c>
      <c r="C2846" t="str">
        <f t="shared" si="310"/>
        <v/>
      </c>
      <c r="D2846" t="str">
        <f t="shared" si="311"/>
        <v/>
      </c>
      <c r="E2846" t="str">
        <f>IF(F2846="","",IF(COUNTIF($F$2:F2846,F2846)&gt;1,"",SUMIFS(tbl_input[필요수량],tbl_input[집계키_센터],F2846)))</f>
        <v/>
      </c>
      <c r="F2846" t="str">
        <f>IFERROR(INDEX(tbl_input[집계키_센터],ROW()-1),"")</f>
        <v/>
      </c>
      <c r="G2846" t="str">
        <f t="shared" si="312"/>
        <v/>
      </c>
      <c r="H2846" t="str">
        <f t="shared" si="313"/>
        <v/>
      </c>
      <c r="I2846" t="str">
        <f t="shared" si="314"/>
        <v/>
      </c>
    </row>
    <row r="2847" spans="1:9" x14ac:dyDescent="0.4">
      <c r="A2847" t="str">
        <f t="shared" si="308"/>
        <v/>
      </c>
      <c r="B2847" t="str">
        <f t="shared" si="309"/>
        <v/>
      </c>
      <c r="C2847" t="str">
        <f t="shared" si="310"/>
        <v/>
      </c>
      <c r="D2847" t="str">
        <f t="shared" si="311"/>
        <v/>
      </c>
      <c r="E2847" t="str">
        <f>IF(F2847="","",IF(COUNTIF($F$2:F2847,F2847)&gt;1,"",SUMIFS(tbl_input[필요수량],tbl_input[집계키_센터],F2847)))</f>
        <v/>
      </c>
      <c r="F2847" t="str">
        <f>IFERROR(INDEX(tbl_input[집계키_센터],ROW()-1),"")</f>
        <v/>
      </c>
      <c r="G2847" t="str">
        <f t="shared" si="312"/>
        <v/>
      </c>
      <c r="H2847" t="str">
        <f t="shared" si="313"/>
        <v/>
      </c>
      <c r="I2847" t="str">
        <f t="shared" si="314"/>
        <v/>
      </c>
    </row>
    <row r="2848" spans="1:9" x14ac:dyDescent="0.4">
      <c r="A2848" t="str">
        <f t="shared" si="308"/>
        <v/>
      </c>
      <c r="B2848" t="str">
        <f t="shared" si="309"/>
        <v/>
      </c>
      <c r="C2848" t="str">
        <f t="shared" si="310"/>
        <v/>
      </c>
      <c r="D2848" t="str">
        <f t="shared" si="311"/>
        <v/>
      </c>
      <c r="E2848" t="str">
        <f>IF(F2848="","",IF(COUNTIF($F$2:F2848,F2848)&gt;1,"",SUMIFS(tbl_input[필요수량],tbl_input[집계키_센터],F2848)))</f>
        <v/>
      </c>
      <c r="F2848" t="str">
        <f>IFERROR(INDEX(tbl_input[집계키_센터],ROW()-1),"")</f>
        <v/>
      </c>
      <c r="G2848" t="str">
        <f t="shared" si="312"/>
        <v/>
      </c>
      <c r="H2848" t="str">
        <f t="shared" si="313"/>
        <v/>
      </c>
      <c r="I2848" t="str">
        <f t="shared" si="314"/>
        <v/>
      </c>
    </row>
    <row r="2849" spans="1:9" x14ac:dyDescent="0.4">
      <c r="A2849" t="str">
        <f t="shared" si="308"/>
        <v/>
      </c>
      <c r="B2849" t="str">
        <f t="shared" si="309"/>
        <v/>
      </c>
      <c r="C2849" t="str">
        <f t="shared" si="310"/>
        <v/>
      </c>
      <c r="D2849" t="str">
        <f t="shared" si="311"/>
        <v/>
      </c>
      <c r="E2849" t="str">
        <f>IF(F2849="","",IF(COUNTIF($F$2:F2849,F2849)&gt;1,"",SUMIFS(tbl_input[필요수량],tbl_input[집계키_센터],F2849)))</f>
        <v/>
      </c>
      <c r="F2849" t="str">
        <f>IFERROR(INDEX(tbl_input[집계키_센터],ROW()-1),"")</f>
        <v/>
      </c>
      <c r="G2849" t="str">
        <f t="shared" si="312"/>
        <v/>
      </c>
      <c r="H2849" t="str">
        <f t="shared" si="313"/>
        <v/>
      </c>
      <c r="I2849" t="str">
        <f t="shared" si="314"/>
        <v/>
      </c>
    </row>
    <row r="2850" spans="1:9" x14ac:dyDescent="0.4">
      <c r="A2850" t="str">
        <f t="shared" si="308"/>
        <v/>
      </c>
      <c r="B2850" t="str">
        <f t="shared" si="309"/>
        <v/>
      </c>
      <c r="C2850" t="str">
        <f t="shared" si="310"/>
        <v/>
      </c>
      <c r="D2850" t="str">
        <f t="shared" si="311"/>
        <v/>
      </c>
      <c r="E2850" t="str">
        <f>IF(F2850="","",IF(COUNTIF($F$2:F2850,F2850)&gt;1,"",SUMIFS(tbl_input[필요수량],tbl_input[집계키_센터],F2850)))</f>
        <v/>
      </c>
      <c r="F2850" t="str">
        <f>IFERROR(INDEX(tbl_input[집계키_센터],ROW()-1),"")</f>
        <v/>
      </c>
      <c r="G2850" t="str">
        <f t="shared" si="312"/>
        <v/>
      </c>
      <c r="H2850" t="str">
        <f t="shared" si="313"/>
        <v/>
      </c>
      <c r="I2850" t="str">
        <f t="shared" si="314"/>
        <v/>
      </c>
    </row>
    <row r="2851" spans="1:9" x14ac:dyDescent="0.4">
      <c r="A2851" t="str">
        <f t="shared" si="308"/>
        <v/>
      </c>
      <c r="B2851" t="str">
        <f t="shared" si="309"/>
        <v/>
      </c>
      <c r="C2851" t="str">
        <f t="shared" si="310"/>
        <v/>
      </c>
      <c r="D2851" t="str">
        <f t="shared" si="311"/>
        <v/>
      </c>
      <c r="E2851" t="str">
        <f>IF(F2851="","",IF(COUNTIF($F$2:F2851,F2851)&gt;1,"",SUMIFS(tbl_input[필요수량],tbl_input[집계키_센터],F2851)))</f>
        <v/>
      </c>
      <c r="F2851" t="str">
        <f>IFERROR(INDEX(tbl_input[집계키_센터],ROW()-1),"")</f>
        <v/>
      </c>
      <c r="G2851" t="str">
        <f t="shared" si="312"/>
        <v/>
      </c>
      <c r="H2851" t="str">
        <f t="shared" si="313"/>
        <v/>
      </c>
      <c r="I2851" t="str">
        <f t="shared" si="314"/>
        <v/>
      </c>
    </row>
    <row r="2852" spans="1:9" x14ac:dyDescent="0.4">
      <c r="A2852" t="str">
        <f t="shared" si="308"/>
        <v/>
      </c>
      <c r="B2852" t="str">
        <f t="shared" si="309"/>
        <v/>
      </c>
      <c r="C2852" t="str">
        <f t="shared" si="310"/>
        <v/>
      </c>
      <c r="D2852" t="str">
        <f t="shared" si="311"/>
        <v/>
      </c>
      <c r="E2852" t="str">
        <f>IF(F2852="","",IF(COUNTIF($F$2:F2852,F2852)&gt;1,"",SUMIFS(tbl_input[필요수량],tbl_input[집계키_센터],F2852)))</f>
        <v/>
      </c>
      <c r="F2852" t="str">
        <f>IFERROR(INDEX(tbl_input[집계키_센터],ROW()-1),"")</f>
        <v/>
      </c>
      <c r="G2852" t="str">
        <f t="shared" si="312"/>
        <v/>
      </c>
      <c r="H2852" t="str">
        <f t="shared" si="313"/>
        <v/>
      </c>
      <c r="I2852" t="str">
        <f t="shared" si="314"/>
        <v/>
      </c>
    </row>
    <row r="2853" spans="1:9" x14ac:dyDescent="0.4">
      <c r="A2853" t="str">
        <f t="shared" si="308"/>
        <v/>
      </c>
      <c r="B2853" t="str">
        <f t="shared" si="309"/>
        <v/>
      </c>
      <c r="C2853" t="str">
        <f t="shared" si="310"/>
        <v/>
      </c>
      <c r="D2853" t="str">
        <f t="shared" si="311"/>
        <v/>
      </c>
      <c r="E2853" t="str">
        <f>IF(F2853="","",IF(COUNTIF($F$2:F2853,F2853)&gt;1,"",SUMIFS(tbl_input[필요수량],tbl_input[집계키_센터],F2853)))</f>
        <v/>
      </c>
      <c r="F2853" t="str">
        <f>IFERROR(INDEX(tbl_input[집계키_센터],ROW()-1),"")</f>
        <v/>
      </c>
      <c r="G2853" t="str">
        <f t="shared" si="312"/>
        <v/>
      </c>
      <c r="H2853" t="str">
        <f t="shared" si="313"/>
        <v/>
      </c>
      <c r="I2853" t="str">
        <f t="shared" si="314"/>
        <v/>
      </c>
    </row>
    <row r="2854" spans="1:9" x14ac:dyDescent="0.4">
      <c r="A2854" t="str">
        <f t="shared" si="308"/>
        <v/>
      </c>
      <c r="B2854" t="str">
        <f t="shared" si="309"/>
        <v/>
      </c>
      <c r="C2854" t="str">
        <f t="shared" si="310"/>
        <v/>
      </c>
      <c r="D2854" t="str">
        <f t="shared" si="311"/>
        <v/>
      </c>
      <c r="E2854" t="str">
        <f>IF(F2854="","",IF(COUNTIF($F$2:F2854,F2854)&gt;1,"",SUMIFS(tbl_input[필요수량],tbl_input[집계키_센터],F2854)))</f>
        <v/>
      </c>
      <c r="F2854" t="str">
        <f>IFERROR(INDEX(tbl_input[집계키_센터],ROW()-1),"")</f>
        <v/>
      </c>
      <c r="G2854" t="str">
        <f t="shared" si="312"/>
        <v/>
      </c>
      <c r="H2854" t="str">
        <f t="shared" si="313"/>
        <v/>
      </c>
      <c r="I2854" t="str">
        <f t="shared" si="314"/>
        <v/>
      </c>
    </row>
    <row r="2855" spans="1:9" x14ac:dyDescent="0.4">
      <c r="A2855" t="str">
        <f t="shared" si="308"/>
        <v/>
      </c>
      <c r="B2855" t="str">
        <f t="shared" si="309"/>
        <v/>
      </c>
      <c r="C2855" t="str">
        <f t="shared" si="310"/>
        <v/>
      </c>
      <c r="D2855" t="str">
        <f t="shared" si="311"/>
        <v/>
      </c>
      <c r="E2855" t="str">
        <f>IF(F2855="","",IF(COUNTIF($F$2:F2855,F2855)&gt;1,"",SUMIFS(tbl_input[필요수량],tbl_input[집계키_센터],F2855)))</f>
        <v/>
      </c>
      <c r="F2855" t="str">
        <f>IFERROR(INDEX(tbl_input[집계키_센터],ROW()-1),"")</f>
        <v/>
      </c>
      <c r="G2855" t="str">
        <f t="shared" si="312"/>
        <v/>
      </c>
      <c r="H2855" t="str">
        <f t="shared" si="313"/>
        <v/>
      </c>
      <c r="I2855" t="str">
        <f t="shared" si="314"/>
        <v/>
      </c>
    </row>
    <row r="2856" spans="1:9" x14ac:dyDescent="0.4">
      <c r="A2856" t="str">
        <f t="shared" si="308"/>
        <v/>
      </c>
      <c r="B2856" t="str">
        <f t="shared" si="309"/>
        <v/>
      </c>
      <c r="C2856" t="str">
        <f t="shared" si="310"/>
        <v/>
      </c>
      <c r="D2856" t="str">
        <f t="shared" si="311"/>
        <v/>
      </c>
      <c r="E2856" t="str">
        <f>IF(F2856="","",IF(COUNTIF($F$2:F2856,F2856)&gt;1,"",SUMIFS(tbl_input[필요수량],tbl_input[집계키_센터],F2856)))</f>
        <v/>
      </c>
      <c r="F2856" t="str">
        <f>IFERROR(INDEX(tbl_input[집계키_센터],ROW()-1),"")</f>
        <v/>
      </c>
      <c r="G2856" t="str">
        <f t="shared" si="312"/>
        <v/>
      </c>
      <c r="H2856" t="str">
        <f t="shared" si="313"/>
        <v/>
      </c>
      <c r="I2856" t="str">
        <f t="shared" si="314"/>
        <v/>
      </c>
    </row>
    <row r="2857" spans="1:9" x14ac:dyDescent="0.4">
      <c r="A2857" t="str">
        <f t="shared" si="308"/>
        <v/>
      </c>
      <c r="B2857" t="str">
        <f t="shared" si="309"/>
        <v/>
      </c>
      <c r="C2857" t="str">
        <f t="shared" si="310"/>
        <v/>
      </c>
      <c r="D2857" t="str">
        <f t="shared" si="311"/>
        <v/>
      </c>
      <c r="E2857" t="str">
        <f>IF(F2857="","",IF(COUNTIF($F$2:F2857,F2857)&gt;1,"",SUMIFS(tbl_input[필요수량],tbl_input[집계키_센터],F2857)))</f>
        <v/>
      </c>
      <c r="F2857" t="str">
        <f>IFERROR(INDEX(tbl_input[집계키_센터],ROW()-1),"")</f>
        <v/>
      </c>
      <c r="G2857" t="str">
        <f t="shared" si="312"/>
        <v/>
      </c>
      <c r="H2857" t="str">
        <f t="shared" si="313"/>
        <v/>
      </c>
      <c r="I2857" t="str">
        <f t="shared" si="314"/>
        <v/>
      </c>
    </row>
    <row r="2858" spans="1:9" x14ac:dyDescent="0.4">
      <c r="A2858" t="str">
        <f t="shared" si="308"/>
        <v/>
      </c>
      <c r="B2858" t="str">
        <f t="shared" si="309"/>
        <v/>
      </c>
      <c r="C2858" t="str">
        <f t="shared" si="310"/>
        <v/>
      </c>
      <c r="D2858" t="str">
        <f t="shared" si="311"/>
        <v/>
      </c>
      <c r="E2858" t="str">
        <f>IF(F2858="","",IF(COUNTIF($F$2:F2858,F2858)&gt;1,"",SUMIFS(tbl_input[필요수량],tbl_input[집계키_센터],F2858)))</f>
        <v/>
      </c>
      <c r="F2858" t="str">
        <f>IFERROR(INDEX(tbl_input[집계키_센터],ROW()-1),"")</f>
        <v/>
      </c>
      <c r="G2858" t="str">
        <f t="shared" si="312"/>
        <v/>
      </c>
      <c r="H2858" t="str">
        <f t="shared" si="313"/>
        <v/>
      </c>
      <c r="I2858" t="str">
        <f t="shared" si="314"/>
        <v/>
      </c>
    </row>
    <row r="2859" spans="1:9" x14ac:dyDescent="0.4">
      <c r="A2859" t="str">
        <f t="shared" si="308"/>
        <v/>
      </c>
      <c r="B2859" t="str">
        <f t="shared" si="309"/>
        <v/>
      </c>
      <c r="C2859" t="str">
        <f t="shared" si="310"/>
        <v/>
      </c>
      <c r="D2859" t="str">
        <f t="shared" si="311"/>
        <v/>
      </c>
      <c r="E2859" t="str">
        <f>IF(F2859="","",IF(COUNTIF($F$2:F2859,F2859)&gt;1,"",SUMIFS(tbl_input[필요수량],tbl_input[집계키_센터],F2859)))</f>
        <v/>
      </c>
      <c r="F2859" t="str">
        <f>IFERROR(INDEX(tbl_input[집계키_센터],ROW()-1),"")</f>
        <v/>
      </c>
      <c r="G2859" t="str">
        <f t="shared" si="312"/>
        <v/>
      </c>
      <c r="H2859" t="str">
        <f t="shared" si="313"/>
        <v/>
      </c>
      <c r="I2859" t="str">
        <f t="shared" si="314"/>
        <v/>
      </c>
    </row>
    <row r="2860" spans="1:9" x14ac:dyDescent="0.4">
      <c r="A2860" t="str">
        <f t="shared" si="308"/>
        <v/>
      </c>
      <c r="B2860" t="str">
        <f t="shared" si="309"/>
        <v/>
      </c>
      <c r="C2860" t="str">
        <f t="shared" si="310"/>
        <v/>
      </c>
      <c r="D2860" t="str">
        <f t="shared" si="311"/>
        <v/>
      </c>
      <c r="E2860" t="str">
        <f>IF(F2860="","",IF(COUNTIF($F$2:F2860,F2860)&gt;1,"",SUMIFS(tbl_input[필요수량],tbl_input[집계키_센터],F2860)))</f>
        <v/>
      </c>
      <c r="F2860" t="str">
        <f>IFERROR(INDEX(tbl_input[집계키_센터],ROW()-1),"")</f>
        <v/>
      </c>
      <c r="G2860" t="str">
        <f t="shared" si="312"/>
        <v/>
      </c>
      <c r="H2860" t="str">
        <f t="shared" si="313"/>
        <v/>
      </c>
      <c r="I2860" t="str">
        <f t="shared" si="314"/>
        <v/>
      </c>
    </row>
    <row r="2861" spans="1:9" x14ac:dyDescent="0.4">
      <c r="A2861" t="str">
        <f t="shared" si="308"/>
        <v/>
      </c>
      <c r="B2861" t="str">
        <f t="shared" si="309"/>
        <v/>
      </c>
      <c r="C2861" t="str">
        <f t="shared" si="310"/>
        <v/>
      </c>
      <c r="D2861" t="str">
        <f t="shared" si="311"/>
        <v/>
      </c>
      <c r="E2861" t="str">
        <f>IF(F2861="","",IF(COUNTIF($F$2:F2861,F2861)&gt;1,"",SUMIFS(tbl_input[필요수량],tbl_input[집계키_센터],F2861)))</f>
        <v/>
      </c>
      <c r="F2861" t="str">
        <f>IFERROR(INDEX(tbl_input[집계키_센터],ROW()-1),"")</f>
        <v/>
      </c>
      <c r="G2861" t="str">
        <f t="shared" si="312"/>
        <v/>
      </c>
      <c r="H2861" t="str">
        <f t="shared" si="313"/>
        <v/>
      </c>
      <c r="I2861" t="str">
        <f t="shared" si="314"/>
        <v/>
      </c>
    </row>
    <row r="2862" spans="1:9" x14ac:dyDescent="0.4">
      <c r="A2862" t="str">
        <f t="shared" si="308"/>
        <v/>
      </c>
      <c r="B2862" t="str">
        <f t="shared" si="309"/>
        <v/>
      </c>
      <c r="C2862" t="str">
        <f t="shared" si="310"/>
        <v/>
      </c>
      <c r="D2862" t="str">
        <f t="shared" si="311"/>
        <v/>
      </c>
      <c r="E2862" t="str">
        <f>IF(F2862="","",IF(COUNTIF($F$2:F2862,F2862)&gt;1,"",SUMIFS(tbl_input[필요수량],tbl_input[집계키_센터],F2862)))</f>
        <v/>
      </c>
      <c r="F2862" t="str">
        <f>IFERROR(INDEX(tbl_input[집계키_센터],ROW()-1),"")</f>
        <v/>
      </c>
      <c r="G2862" t="str">
        <f t="shared" si="312"/>
        <v/>
      </c>
      <c r="H2862" t="str">
        <f t="shared" si="313"/>
        <v/>
      </c>
      <c r="I2862" t="str">
        <f t="shared" si="314"/>
        <v/>
      </c>
    </row>
    <row r="2863" spans="1:9" x14ac:dyDescent="0.4">
      <c r="A2863" t="str">
        <f t="shared" si="308"/>
        <v/>
      </c>
      <c r="B2863" t="str">
        <f t="shared" si="309"/>
        <v/>
      </c>
      <c r="C2863" t="str">
        <f t="shared" si="310"/>
        <v/>
      </c>
      <c r="D2863" t="str">
        <f t="shared" si="311"/>
        <v/>
      </c>
      <c r="E2863" t="str">
        <f>IF(F2863="","",IF(COUNTIF($F$2:F2863,F2863)&gt;1,"",SUMIFS(tbl_input[필요수량],tbl_input[집계키_센터],F2863)))</f>
        <v/>
      </c>
      <c r="F2863" t="str">
        <f>IFERROR(INDEX(tbl_input[집계키_센터],ROW()-1),"")</f>
        <v/>
      </c>
      <c r="G2863" t="str">
        <f t="shared" si="312"/>
        <v/>
      </c>
      <c r="H2863" t="str">
        <f t="shared" si="313"/>
        <v/>
      </c>
      <c r="I2863" t="str">
        <f t="shared" si="314"/>
        <v/>
      </c>
    </row>
    <row r="2864" spans="1:9" x14ac:dyDescent="0.4">
      <c r="A2864" t="str">
        <f t="shared" si="308"/>
        <v/>
      </c>
      <c r="B2864" t="str">
        <f t="shared" si="309"/>
        <v/>
      </c>
      <c r="C2864" t="str">
        <f t="shared" si="310"/>
        <v/>
      </c>
      <c r="D2864" t="str">
        <f t="shared" si="311"/>
        <v/>
      </c>
      <c r="E2864" t="str">
        <f>IF(F2864="","",IF(COUNTIF($F$2:F2864,F2864)&gt;1,"",SUMIFS(tbl_input[필요수량],tbl_input[집계키_센터],F2864)))</f>
        <v/>
      </c>
      <c r="F2864" t="str">
        <f>IFERROR(INDEX(tbl_input[집계키_센터],ROW()-1),"")</f>
        <v/>
      </c>
      <c r="G2864" t="str">
        <f t="shared" si="312"/>
        <v/>
      </c>
      <c r="H2864" t="str">
        <f t="shared" si="313"/>
        <v/>
      </c>
      <c r="I2864" t="str">
        <f t="shared" si="314"/>
        <v/>
      </c>
    </row>
    <row r="2865" spans="1:9" x14ac:dyDescent="0.4">
      <c r="A2865" t="str">
        <f t="shared" si="308"/>
        <v/>
      </c>
      <c r="B2865" t="str">
        <f t="shared" si="309"/>
        <v/>
      </c>
      <c r="C2865" t="str">
        <f t="shared" si="310"/>
        <v/>
      </c>
      <c r="D2865" t="str">
        <f t="shared" si="311"/>
        <v/>
      </c>
      <c r="E2865" t="str">
        <f>IF(F2865="","",IF(COUNTIF($F$2:F2865,F2865)&gt;1,"",SUMIFS(tbl_input[필요수량],tbl_input[집계키_센터],F2865)))</f>
        <v/>
      </c>
      <c r="F2865" t="str">
        <f>IFERROR(INDEX(tbl_input[집계키_센터],ROW()-1),"")</f>
        <v/>
      </c>
      <c r="G2865" t="str">
        <f t="shared" si="312"/>
        <v/>
      </c>
      <c r="H2865" t="str">
        <f t="shared" si="313"/>
        <v/>
      </c>
      <c r="I2865" t="str">
        <f t="shared" si="314"/>
        <v/>
      </c>
    </row>
    <row r="2866" spans="1:9" x14ac:dyDescent="0.4">
      <c r="A2866" t="str">
        <f t="shared" si="308"/>
        <v/>
      </c>
      <c r="B2866" t="str">
        <f t="shared" si="309"/>
        <v/>
      </c>
      <c r="C2866" t="str">
        <f t="shared" si="310"/>
        <v/>
      </c>
      <c r="D2866" t="str">
        <f t="shared" si="311"/>
        <v/>
      </c>
      <c r="E2866" t="str">
        <f>IF(F2866="","",IF(COUNTIF($F$2:F2866,F2866)&gt;1,"",SUMIFS(tbl_input[필요수량],tbl_input[집계키_센터],F2866)))</f>
        <v/>
      </c>
      <c r="F2866" t="str">
        <f>IFERROR(INDEX(tbl_input[집계키_센터],ROW()-1),"")</f>
        <v/>
      </c>
      <c r="G2866" t="str">
        <f t="shared" si="312"/>
        <v/>
      </c>
      <c r="H2866" t="str">
        <f t="shared" si="313"/>
        <v/>
      </c>
      <c r="I2866" t="str">
        <f t="shared" si="314"/>
        <v/>
      </c>
    </row>
    <row r="2867" spans="1:9" x14ac:dyDescent="0.4">
      <c r="A2867" t="str">
        <f t="shared" si="308"/>
        <v/>
      </c>
      <c r="B2867" t="str">
        <f t="shared" si="309"/>
        <v/>
      </c>
      <c r="C2867" t="str">
        <f t="shared" si="310"/>
        <v/>
      </c>
      <c r="D2867" t="str">
        <f t="shared" si="311"/>
        <v/>
      </c>
      <c r="E2867" t="str">
        <f>IF(F2867="","",IF(COUNTIF($F$2:F2867,F2867)&gt;1,"",SUMIFS(tbl_input[필요수량],tbl_input[집계키_센터],F2867)))</f>
        <v/>
      </c>
      <c r="F2867" t="str">
        <f>IFERROR(INDEX(tbl_input[집계키_센터],ROW()-1),"")</f>
        <v/>
      </c>
      <c r="G2867" t="str">
        <f t="shared" si="312"/>
        <v/>
      </c>
      <c r="H2867" t="str">
        <f t="shared" si="313"/>
        <v/>
      </c>
      <c r="I2867" t="str">
        <f t="shared" si="314"/>
        <v/>
      </c>
    </row>
    <row r="2868" spans="1:9" x14ac:dyDescent="0.4">
      <c r="A2868" t="str">
        <f t="shared" si="308"/>
        <v/>
      </c>
      <c r="B2868" t="str">
        <f t="shared" si="309"/>
        <v/>
      </c>
      <c r="C2868" t="str">
        <f t="shared" si="310"/>
        <v/>
      </c>
      <c r="D2868" t="str">
        <f t="shared" si="311"/>
        <v/>
      </c>
      <c r="E2868" t="str">
        <f>IF(F2868="","",IF(COUNTIF($F$2:F2868,F2868)&gt;1,"",SUMIFS(tbl_input[필요수량],tbl_input[집계키_센터],F2868)))</f>
        <v/>
      </c>
      <c r="F2868" t="str">
        <f>IFERROR(INDEX(tbl_input[집계키_센터],ROW()-1),"")</f>
        <v/>
      </c>
      <c r="G2868" t="str">
        <f t="shared" si="312"/>
        <v/>
      </c>
      <c r="H2868" t="str">
        <f t="shared" si="313"/>
        <v/>
      </c>
      <c r="I2868" t="str">
        <f t="shared" si="314"/>
        <v/>
      </c>
    </row>
    <row r="2869" spans="1:9" x14ac:dyDescent="0.4">
      <c r="A2869" t="str">
        <f t="shared" si="308"/>
        <v/>
      </c>
      <c r="B2869" t="str">
        <f t="shared" si="309"/>
        <v/>
      </c>
      <c r="C2869" t="str">
        <f t="shared" si="310"/>
        <v/>
      </c>
      <c r="D2869" t="str">
        <f t="shared" si="311"/>
        <v/>
      </c>
      <c r="E2869" t="str">
        <f>IF(F2869="","",IF(COUNTIF($F$2:F2869,F2869)&gt;1,"",SUMIFS(tbl_input[필요수량],tbl_input[집계키_센터],F2869)))</f>
        <v/>
      </c>
      <c r="F2869" t="str">
        <f>IFERROR(INDEX(tbl_input[집계키_센터],ROW()-1),"")</f>
        <v/>
      </c>
      <c r="G2869" t="str">
        <f t="shared" si="312"/>
        <v/>
      </c>
      <c r="H2869" t="str">
        <f t="shared" si="313"/>
        <v/>
      </c>
      <c r="I2869" t="str">
        <f t="shared" si="314"/>
        <v/>
      </c>
    </row>
    <row r="2870" spans="1:9" x14ac:dyDescent="0.4">
      <c r="A2870" t="str">
        <f t="shared" si="308"/>
        <v/>
      </c>
      <c r="B2870" t="str">
        <f t="shared" si="309"/>
        <v/>
      </c>
      <c r="C2870" t="str">
        <f t="shared" si="310"/>
        <v/>
      </c>
      <c r="D2870" t="str">
        <f t="shared" si="311"/>
        <v/>
      </c>
      <c r="E2870" t="str">
        <f>IF(F2870="","",IF(COUNTIF($F$2:F2870,F2870)&gt;1,"",SUMIFS(tbl_input[필요수량],tbl_input[집계키_센터],F2870)))</f>
        <v/>
      </c>
      <c r="F2870" t="str">
        <f>IFERROR(INDEX(tbl_input[집계키_센터],ROW()-1),"")</f>
        <v/>
      </c>
      <c r="G2870" t="str">
        <f t="shared" si="312"/>
        <v/>
      </c>
      <c r="H2870" t="str">
        <f t="shared" si="313"/>
        <v/>
      </c>
      <c r="I2870" t="str">
        <f t="shared" si="314"/>
        <v/>
      </c>
    </row>
    <row r="2871" spans="1:9" x14ac:dyDescent="0.4">
      <c r="A2871" t="str">
        <f t="shared" si="308"/>
        <v/>
      </c>
      <c r="B2871" t="str">
        <f t="shared" si="309"/>
        <v/>
      </c>
      <c r="C2871" t="str">
        <f t="shared" si="310"/>
        <v/>
      </c>
      <c r="D2871" t="str">
        <f t="shared" si="311"/>
        <v/>
      </c>
      <c r="E2871" t="str">
        <f>IF(F2871="","",IF(COUNTIF($F$2:F2871,F2871)&gt;1,"",SUMIFS(tbl_input[필요수량],tbl_input[집계키_센터],F2871)))</f>
        <v/>
      </c>
      <c r="F2871" t="str">
        <f>IFERROR(INDEX(tbl_input[집계키_센터],ROW()-1),"")</f>
        <v/>
      </c>
      <c r="G2871" t="str">
        <f t="shared" si="312"/>
        <v/>
      </c>
      <c r="H2871" t="str">
        <f t="shared" si="313"/>
        <v/>
      </c>
      <c r="I2871" t="str">
        <f t="shared" si="314"/>
        <v/>
      </c>
    </row>
    <row r="2872" spans="1:9" x14ac:dyDescent="0.4">
      <c r="A2872" t="str">
        <f t="shared" si="308"/>
        <v/>
      </c>
      <c r="B2872" t="str">
        <f t="shared" si="309"/>
        <v/>
      </c>
      <c r="C2872" t="str">
        <f t="shared" si="310"/>
        <v/>
      </c>
      <c r="D2872" t="str">
        <f t="shared" si="311"/>
        <v/>
      </c>
      <c r="E2872" t="str">
        <f>IF(F2872="","",IF(COUNTIF($F$2:F2872,F2872)&gt;1,"",SUMIFS(tbl_input[필요수량],tbl_input[집계키_센터],F2872)))</f>
        <v/>
      </c>
      <c r="F2872" t="str">
        <f>IFERROR(INDEX(tbl_input[집계키_센터],ROW()-1),"")</f>
        <v/>
      </c>
      <c r="G2872" t="str">
        <f t="shared" si="312"/>
        <v/>
      </c>
      <c r="H2872" t="str">
        <f t="shared" si="313"/>
        <v/>
      </c>
      <c r="I2872" t="str">
        <f t="shared" si="314"/>
        <v/>
      </c>
    </row>
    <row r="2873" spans="1:9" x14ac:dyDescent="0.4">
      <c r="A2873" t="str">
        <f t="shared" si="308"/>
        <v/>
      </c>
      <c r="B2873" t="str">
        <f t="shared" si="309"/>
        <v/>
      </c>
      <c r="C2873" t="str">
        <f t="shared" si="310"/>
        <v/>
      </c>
      <c r="D2873" t="str">
        <f t="shared" si="311"/>
        <v/>
      </c>
      <c r="E2873" t="str">
        <f>IF(F2873="","",IF(COUNTIF($F$2:F2873,F2873)&gt;1,"",SUMIFS(tbl_input[필요수량],tbl_input[집계키_센터],F2873)))</f>
        <v/>
      </c>
      <c r="F2873" t="str">
        <f>IFERROR(INDEX(tbl_input[집계키_센터],ROW()-1),"")</f>
        <v/>
      </c>
      <c r="G2873" t="str">
        <f t="shared" si="312"/>
        <v/>
      </c>
      <c r="H2873" t="str">
        <f t="shared" si="313"/>
        <v/>
      </c>
      <c r="I2873" t="str">
        <f t="shared" si="314"/>
        <v/>
      </c>
    </row>
    <row r="2874" spans="1:9" x14ac:dyDescent="0.4">
      <c r="A2874" t="str">
        <f t="shared" si="308"/>
        <v/>
      </c>
      <c r="B2874" t="str">
        <f t="shared" si="309"/>
        <v/>
      </c>
      <c r="C2874" t="str">
        <f t="shared" si="310"/>
        <v/>
      </c>
      <c r="D2874" t="str">
        <f t="shared" si="311"/>
        <v/>
      </c>
      <c r="E2874" t="str">
        <f>IF(F2874="","",IF(COUNTIF($F$2:F2874,F2874)&gt;1,"",SUMIFS(tbl_input[필요수량],tbl_input[집계키_센터],F2874)))</f>
        <v/>
      </c>
      <c r="F2874" t="str">
        <f>IFERROR(INDEX(tbl_input[집계키_센터],ROW()-1),"")</f>
        <v/>
      </c>
      <c r="G2874" t="str">
        <f t="shared" si="312"/>
        <v/>
      </c>
      <c r="H2874" t="str">
        <f t="shared" si="313"/>
        <v/>
      </c>
      <c r="I2874" t="str">
        <f t="shared" si="314"/>
        <v/>
      </c>
    </row>
    <row r="2875" spans="1:9" x14ac:dyDescent="0.4">
      <c r="A2875" t="str">
        <f t="shared" si="308"/>
        <v/>
      </c>
      <c r="B2875" t="str">
        <f t="shared" si="309"/>
        <v/>
      </c>
      <c r="C2875" t="str">
        <f t="shared" si="310"/>
        <v/>
      </c>
      <c r="D2875" t="str">
        <f t="shared" si="311"/>
        <v/>
      </c>
      <c r="E2875" t="str">
        <f>IF(F2875="","",IF(COUNTIF($F$2:F2875,F2875)&gt;1,"",SUMIFS(tbl_input[필요수량],tbl_input[집계키_센터],F2875)))</f>
        <v/>
      </c>
      <c r="F2875" t="str">
        <f>IFERROR(INDEX(tbl_input[집계키_센터],ROW()-1),"")</f>
        <v/>
      </c>
      <c r="G2875" t="str">
        <f t="shared" si="312"/>
        <v/>
      </c>
      <c r="H2875" t="str">
        <f t="shared" si="313"/>
        <v/>
      </c>
      <c r="I2875" t="str">
        <f t="shared" si="314"/>
        <v/>
      </c>
    </row>
    <row r="2876" spans="1:9" x14ac:dyDescent="0.4">
      <c r="A2876" t="str">
        <f t="shared" si="308"/>
        <v/>
      </c>
      <c r="B2876" t="str">
        <f t="shared" si="309"/>
        <v/>
      </c>
      <c r="C2876" t="str">
        <f t="shared" si="310"/>
        <v/>
      </c>
      <c r="D2876" t="str">
        <f t="shared" si="311"/>
        <v/>
      </c>
      <c r="E2876" t="str">
        <f>IF(F2876="","",IF(COUNTIF($F$2:F2876,F2876)&gt;1,"",SUMIFS(tbl_input[필요수량],tbl_input[집계키_센터],F2876)))</f>
        <v/>
      </c>
      <c r="F2876" t="str">
        <f>IFERROR(INDEX(tbl_input[집계키_센터],ROW()-1),"")</f>
        <v/>
      </c>
      <c r="G2876" t="str">
        <f t="shared" si="312"/>
        <v/>
      </c>
      <c r="H2876" t="str">
        <f t="shared" si="313"/>
        <v/>
      </c>
      <c r="I2876" t="str">
        <f t="shared" si="314"/>
        <v/>
      </c>
    </row>
    <row r="2877" spans="1:9" x14ac:dyDescent="0.4">
      <c r="A2877" t="str">
        <f t="shared" si="308"/>
        <v/>
      </c>
      <c r="B2877" t="str">
        <f t="shared" si="309"/>
        <v/>
      </c>
      <c r="C2877" t="str">
        <f t="shared" si="310"/>
        <v/>
      </c>
      <c r="D2877" t="str">
        <f t="shared" si="311"/>
        <v/>
      </c>
      <c r="E2877" t="str">
        <f>IF(F2877="","",IF(COUNTIF($F$2:F2877,F2877)&gt;1,"",SUMIFS(tbl_input[필요수량],tbl_input[집계키_센터],F2877)))</f>
        <v/>
      </c>
      <c r="F2877" t="str">
        <f>IFERROR(INDEX(tbl_input[집계키_센터],ROW()-1),"")</f>
        <v/>
      </c>
      <c r="G2877" t="str">
        <f t="shared" si="312"/>
        <v/>
      </c>
      <c r="H2877" t="str">
        <f t="shared" si="313"/>
        <v/>
      </c>
      <c r="I2877" t="str">
        <f t="shared" si="314"/>
        <v/>
      </c>
    </row>
    <row r="2878" spans="1:9" x14ac:dyDescent="0.4">
      <c r="A2878" t="str">
        <f t="shared" si="308"/>
        <v/>
      </c>
      <c r="B2878" t="str">
        <f t="shared" si="309"/>
        <v/>
      </c>
      <c r="C2878" t="str">
        <f t="shared" si="310"/>
        <v/>
      </c>
      <c r="D2878" t="str">
        <f t="shared" si="311"/>
        <v/>
      </c>
      <c r="E2878" t="str">
        <f>IF(F2878="","",IF(COUNTIF($F$2:F2878,F2878)&gt;1,"",SUMIFS(tbl_input[필요수량],tbl_input[집계키_센터],F2878)))</f>
        <v/>
      </c>
      <c r="F2878" t="str">
        <f>IFERROR(INDEX(tbl_input[집계키_센터],ROW()-1),"")</f>
        <v/>
      </c>
      <c r="G2878" t="str">
        <f t="shared" si="312"/>
        <v/>
      </c>
      <c r="H2878" t="str">
        <f t="shared" si="313"/>
        <v/>
      </c>
      <c r="I2878" t="str">
        <f t="shared" si="314"/>
        <v/>
      </c>
    </row>
    <row r="2879" spans="1:9" x14ac:dyDescent="0.4">
      <c r="A2879" t="str">
        <f t="shared" si="308"/>
        <v/>
      </c>
      <c r="B2879" t="str">
        <f t="shared" si="309"/>
        <v/>
      </c>
      <c r="C2879" t="str">
        <f t="shared" si="310"/>
        <v/>
      </c>
      <c r="D2879" t="str">
        <f t="shared" si="311"/>
        <v/>
      </c>
      <c r="E2879" t="str">
        <f>IF(F2879="","",IF(COUNTIF($F$2:F2879,F2879)&gt;1,"",SUMIFS(tbl_input[필요수량],tbl_input[집계키_센터],F2879)))</f>
        <v/>
      </c>
      <c r="F2879" t="str">
        <f>IFERROR(INDEX(tbl_input[집계키_센터],ROW()-1),"")</f>
        <v/>
      </c>
      <c r="G2879" t="str">
        <f t="shared" si="312"/>
        <v/>
      </c>
      <c r="H2879" t="str">
        <f t="shared" si="313"/>
        <v/>
      </c>
      <c r="I2879" t="str">
        <f t="shared" si="314"/>
        <v/>
      </c>
    </row>
    <row r="2880" spans="1:9" x14ac:dyDescent="0.4">
      <c r="A2880" t="str">
        <f t="shared" si="308"/>
        <v/>
      </c>
      <c r="B2880" t="str">
        <f t="shared" si="309"/>
        <v/>
      </c>
      <c r="C2880" t="str">
        <f t="shared" si="310"/>
        <v/>
      </c>
      <c r="D2880" t="str">
        <f t="shared" si="311"/>
        <v/>
      </c>
      <c r="E2880" t="str">
        <f>IF(F2880="","",IF(COUNTIF($F$2:F2880,F2880)&gt;1,"",SUMIFS(tbl_input[필요수량],tbl_input[집계키_센터],F2880)))</f>
        <v/>
      </c>
      <c r="F2880" t="str">
        <f>IFERROR(INDEX(tbl_input[집계키_센터],ROW()-1),"")</f>
        <v/>
      </c>
      <c r="G2880" t="str">
        <f t="shared" si="312"/>
        <v/>
      </c>
      <c r="H2880" t="str">
        <f t="shared" si="313"/>
        <v/>
      </c>
      <c r="I2880" t="str">
        <f t="shared" si="314"/>
        <v/>
      </c>
    </row>
    <row r="2881" spans="1:9" x14ac:dyDescent="0.4">
      <c r="A2881" t="str">
        <f t="shared" si="308"/>
        <v/>
      </c>
      <c r="B2881" t="str">
        <f t="shared" si="309"/>
        <v/>
      </c>
      <c r="C2881" t="str">
        <f t="shared" si="310"/>
        <v/>
      </c>
      <c r="D2881" t="str">
        <f t="shared" si="311"/>
        <v/>
      </c>
      <c r="E2881" t="str">
        <f>IF(F2881="","",IF(COUNTIF($F$2:F2881,F2881)&gt;1,"",SUMIFS(tbl_input[필요수량],tbl_input[집계키_센터],F2881)))</f>
        <v/>
      </c>
      <c r="F2881" t="str">
        <f>IFERROR(INDEX(tbl_input[집계키_센터],ROW()-1),"")</f>
        <v/>
      </c>
      <c r="G2881" t="str">
        <f t="shared" si="312"/>
        <v/>
      </c>
      <c r="H2881" t="str">
        <f t="shared" si="313"/>
        <v/>
      </c>
      <c r="I2881" t="str">
        <f t="shared" si="314"/>
        <v/>
      </c>
    </row>
    <row r="2882" spans="1:9" x14ac:dyDescent="0.4">
      <c r="A2882" t="str">
        <f t="shared" ref="A2882:A2945" si="315">IF(F2882="","",LEFT(F2882,G2882-1))</f>
        <v/>
      </c>
      <c r="B2882" t="str">
        <f t="shared" ref="B2882:B2945" si="316">IF(F2882="","",MID(F2882,G2882+1,H2882-G2882-1))</f>
        <v/>
      </c>
      <c r="C2882" t="str">
        <f t="shared" ref="C2882:C2945" si="317">IF(F2882="","",MID(F2882,H2882+1,I2882-H2882-1))</f>
        <v/>
      </c>
      <c r="D2882" t="str">
        <f t="shared" ref="D2882:D2945" si="318">IF(F2882="","",MID(F2882,I2882+1,999))</f>
        <v/>
      </c>
      <c r="E2882" t="str">
        <f>IF(F2882="","",IF(COUNTIF($F$2:F2882,F2882)&gt;1,"",SUMIFS(tbl_input[필요수량],tbl_input[집계키_센터],F2882)))</f>
        <v/>
      </c>
      <c r="F2882" t="str">
        <f>IFERROR(INDEX(tbl_input[집계키_센터],ROW()-1),"")</f>
        <v/>
      </c>
      <c r="G2882" t="str">
        <f t="shared" ref="G2882:G2945" si="319">IF(F2882="","",FIND("♦",F2882))</f>
        <v/>
      </c>
      <c r="H2882" t="str">
        <f t="shared" ref="H2882:H2945" si="320">IF(F2882="","",FIND("♦",F2882,G2882+1))</f>
        <v/>
      </c>
      <c r="I2882" t="str">
        <f t="shared" ref="I2882:I2945" si="321">IF(F2882="","",FIND("♦",F2882,H2882+1))</f>
        <v/>
      </c>
    </row>
    <row r="2883" spans="1:9" x14ac:dyDescent="0.4">
      <c r="A2883" t="str">
        <f t="shared" si="315"/>
        <v/>
      </c>
      <c r="B2883" t="str">
        <f t="shared" si="316"/>
        <v/>
      </c>
      <c r="C2883" t="str">
        <f t="shared" si="317"/>
        <v/>
      </c>
      <c r="D2883" t="str">
        <f t="shared" si="318"/>
        <v/>
      </c>
      <c r="E2883" t="str">
        <f>IF(F2883="","",IF(COUNTIF($F$2:F2883,F2883)&gt;1,"",SUMIFS(tbl_input[필요수량],tbl_input[집계키_센터],F2883)))</f>
        <v/>
      </c>
      <c r="F2883" t="str">
        <f>IFERROR(INDEX(tbl_input[집계키_센터],ROW()-1),"")</f>
        <v/>
      </c>
      <c r="G2883" t="str">
        <f t="shared" si="319"/>
        <v/>
      </c>
      <c r="H2883" t="str">
        <f t="shared" si="320"/>
        <v/>
      </c>
      <c r="I2883" t="str">
        <f t="shared" si="321"/>
        <v/>
      </c>
    </row>
    <row r="2884" spans="1:9" x14ac:dyDescent="0.4">
      <c r="A2884" t="str">
        <f t="shared" si="315"/>
        <v/>
      </c>
      <c r="B2884" t="str">
        <f t="shared" si="316"/>
        <v/>
      </c>
      <c r="C2884" t="str">
        <f t="shared" si="317"/>
        <v/>
      </c>
      <c r="D2884" t="str">
        <f t="shared" si="318"/>
        <v/>
      </c>
      <c r="E2884" t="str">
        <f>IF(F2884="","",IF(COUNTIF($F$2:F2884,F2884)&gt;1,"",SUMIFS(tbl_input[필요수량],tbl_input[집계키_센터],F2884)))</f>
        <v/>
      </c>
      <c r="F2884" t="str">
        <f>IFERROR(INDEX(tbl_input[집계키_센터],ROW()-1),"")</f>
        <v/>
      </c>
      <c r="G2884" t="str">
        <f t="shared" si="319"/>
        <v/>
      </c>
      <c r="H2884" t="str">
        <f t="shared" si="320"/>
        <v/>
      </c>
      <c r="I2884" t="str">
        <f t="shared" si="321"/>
        <v/>
      </c>
    </row>
    <row r="2885" spans="1:9" x14ac:dyDescent="0.4">
      <c r="A2885" t="str">
        <f t="shared" si="315"/>
        <v/>
      </c>
      <c r="B2885" t="str">
        <f t="shared" si="316"/>
        <v/>
      </c>
      <c r="C2885" t="str">
        <f t="shared" si="317"/>
        <v/>
      </c>
      <c r="D2885" t="str">
        <f t="shared" si="318"/>
        <v/>
      </c>
      <c r="E2885" t="str">
        <f>IF(F2885="","",IF(COUNTIF($F$2:F2885,F2885)&gt;1,"",SUMIFS(tbl_input[필요수량],tbl_input[집계키_센터],F2885)))</f>
        <v/>
      </c>
      <c r="F2885" t="str">
        <f>IFERROR(INDEX(tbl_input[집계키_센터],ROW()-1),"")</f>
        <v/>
      </c>
      <c r="G2885" t="str">
        <f t="shared" si="319"/>
        <v/>
      </c>
      <c r="H2885" t="str">
        <f t="shared" si="320"/>
        <v/>
      </c>
      <c r="I2885" t="str">
        <f t="shared" si="321"/>
        <v/>
      </c>
    </row>
    <row r="2886" spans="1:9" x14ac:dyDescent="0.4">
      <c r="A2886" t="str">
        <f t="shared" si="315"/>
        <v/>
      </c>
      <c r="B2886" t="str">
        <f t="shared" si="316"/>
        <v/>
      </c>
      <c r="C2886" t="str">
        <f t="shared" si="317"/>
        <v/>
      </c>
      <c r="D2886" t="str">
        <f t="shared" si="318"/>
        <v/>
      </c>
      <c r="E2886" t="str">
        <f>IF(F2886="","",IF(COUNTIF($F$2:F2886,F2886)&gt;1,"",SUMIFS(tbl_input[필요수량],tbl_input[집계키_센터],F2886)))</f>
        <v/>
      </c>
      <c r="F2886" t="str">
        <f>IFERROR(INDEX(tbl_input[집계키_센터],ROW()-1),"")</f>
        <v/>
      </c>
      <c r="G2886" t="str">
        <f t="shared" si="319"/>
        <v/>
      </c>
      <c r="H2886" t="str">
        <f t="shared" si="320"/>
        <v/>
      </c>
      <c r="I2886" t="str">
        <f t="shared" si="321"/>
        <v/>
      </c>
    </row>
    <row r="2887" spans="1:9" x14ac:dyDescent="0.4">
      <c r="A2887" t="str">
        <f t="shared" si="315"/>
        <v/>
      </c>
      <c r="B2887" t="str">
        <f t="shared" si="316"/>
        <v/>
      </c>
      <c r="C2887" t="str">
        <f t="shared" si="317"/>
        <v/>
      </c>
      <c r="D2887" t="str">
        <f t="shared" si="318"/>
        <v/>
      </c>
      <c r="E2887" t="str">
        <f>IF(F2887="","",IF(COUNTIF($F$2:F2887,F2887)&gt;1,"",SUMIFS(tbl_input[필요수량],tbl_input[집계키_센터],F2887)))</f>
        <v/>
      </c>
      <c r="F2887" t="str">
        <f>IFERROR(INDEX(tbl_input[집계키_센터],ROW()-1),"")</f>
        <v/>
      </c>
      <c r="G2887" t="str">
        <f t="shared" si="319"/>
        <v/>
      </c>
      <c r="H2887" t="str">
        <f t="shared" si="320"/>
        <v/>
      </c>
      <c r="I2887" t="str">
        <f t="shared" si="321"/>
        <v/>
      </c>
    </row>
    <row r="2888" spans="1:9" x14ac:dyDescent="0.4">
      <c r="A2888" t="str">
        <f t="shared" si="315"/>
        <v/>
      </c>
      <c r="B2888" t="str">
        <f t="shared" si="316"/>
        <v/>
      </c>
      <c r="C2888" t="str">
        <f t="shared" si="317"/>
        <v/>
      </c>
      <c r="D2888" t="str">
        <f t="shared" si="318"/>
        <v/>
      </c>
      <c r="E2888" t="str">
        <f>IF(F2888="","",IF(COUNTIF($F$2:F2888,F2888)&gt;1,"",SUMIFS(tbl_input[필요수량],tbl_input[집계키_센터],F2888)))</f>
        <v/>
      </c>
      <c r="F2888" t="str">
        <f>IFERROR(INDEX(tbl_input[집계키_센터],ROW()-1),"")</f>
        <v/>
      </c>
      <c r="G2888" t="str">
        <f t="shared" si="319"/>
        <v/>
      </c>
      <c r="H2888" t="str">
        <f t="shared" si="320"/>
        <v/>
      </c>
      <c r="I2888" t="str">
        <f t="shared" si="321"/>
        <v/>
      </c>
    </row>
    <row r="2889" spans="1:9" x14ac:dyDescent="0.4">
      <c r="A2889" t="str">
        <f t="shared" si="315"/>
        <v/>
      </c>
      <c r="B2889" t="str">
        <f t="shared" si="316"/>
        <v/>
      </c>
      <c r="C2889" t="str">
        <f t="shared" si="317"/>
        <v/>
      </c>
      <c r="D2889" t="str">
        <f t="shared" si="318"/>
        <v/>
      </c>
      <c r="E2889" t="str">
        <f>IF(F2889="","",IF(COUNTIF($F$2:F2889,F2889)&gt;1,"",SUMIFS(tbl_input[필요수량],tbl_input[집계키_센터],F2889)))</f>
        <v/>
      </c>
      <c r="F2889" t="str">
        <f>IFERROR(INDEX(tbl_input[집계키_센터],ROW()-1),"")</f>
        <v/>
      </c>
      <c r="G2889" t="str">
        <f t="shared" si="319"/>
        <v/>
      </c>
      <c r="H2889" t="str">
        <f t="shared" si="320"/>
        <v/>
      </c>
      <c r="I2889" t="str">
        <f t="shared" si="321"/>
        <v/>
      </c>
    </row>
    <row r="2890" spans="1:9" x14ac:dyDescent="0.4">
      <c r="A2890" t="str">
        <f t="shared" si="315"/>
        <v/>
      </c>
      <c r="B2890" t="str">
        <f t="shared" si="316"/>
        <v/>
      </c>
      <c r="C2890" t="str">
        <f t="shared" si="317"/>
        <v/>
      </c>
      <c r="D2890" t="str">
        <f t="shared" si="318"/>
        <v/>
      </c>
      <c r="E2890" t="str">
        <f>IF(F2890="","",IF(COUNTIF($F$2:F2890,F2890)&gt;1,"",SUMIFS(tbl_input[필요수량],tbl_input[집계키_센터],F2890)))</f>
        <v/>
      </c>
      <c r="F2890" t="str">
        <f>IFERROR(INDEX(tbl_input[집계키_센터],ROW()-1),"")</f>
        <v/>
      </c>
      <c r="G2890" t="str">
        <f t="shared" si="319"/>
        <v/>
      </c>
      <c r="H2890" t="str">
        <f t="shared" si="320"/>
        <v/>
      </c>
      <c r="I2890" t="str">
        <f t="shared" si="321"/>
        <v/>
      </c>
    </row>
    <row r="2891" spans="1:9" x14ac:dyDescent="0.4">
      <c r="A2891" t="str">
        <f t="shared" si="315"/>
        <v/>
      </c>
      <c r="B2891" t="str">
        <f t="shared" si="316"/>
        <v/>
      </c>
      <c r="C2891" t="str">
        <f t="shared" si="317"/>
        <v/>
      </c>
      <c r="D2891" t="str">
        <f t="shared" si="318"/>
        <v/>
      </c>
      <c r="E2891" t="str">
        <f>IF(F2891="","",IF(COUNTIF($F$2:F2891,F2891)&gt;1,"",SUMIFS(tbl_input[필요수량],tbl_input[집계키_센터],F2891)))</f>
        <v/>
      </c>
      <c r="F2891" t="str">
        <f>IFERROR(INDEX(tbl_input[집계키_센터],ROW()-1),"")</f>
        <v/>
      </c>
      <c r="G2891" t="str">
        <f t="shared" si="319"/>
        <v/>
      </c>
      <c r="H2891" t="str">
        <f t="shared" si="320"/>
        <v/>
      </c>
      <c r="I2891" t="str">
        <f t="shared" si="321"/>
        <v/>
      </c>
    </row>
    <row r="2892" spans="1:9" x14ac:dyDescent="0.4">
      <c r="A2892" t="str">
        <f t="shared" si="315"/>
        <v/>
      </c>
      <c r="B2892" t="str">
        <f t="shared" si="316"/>
        <v/>
      </c>
      <c r="C2892" t="str">
        <f t="shared" si="317"/>
        <v/>
      </c>
      <c r="D2892" t="str">
        <f t="shared" si="318"/>
        <v/>
      </c>
      <c r="E2892" t="str">
        <f>IF(F2892="","",IF(COUNTIF($F$2:F2892,F2892)&gt;1,"",SUMIFS(tbl_input[필요수량],tbl_input[집계키_센터],F2892)))</f>
        <v/>
      </c>
      <c r="F2892" t="str">
        <f>IFERROR(INDEX(tbl_input[집계키_센터],ROW()-1),"")</f>
        <v/>
      </c>
      <c r="G2892" t="str">
        <f t="shared" si="319"/>
        <v/>
      </c>
      <c r="H2892" t="str">
        <f t="shared" si="320"/>
        <v/>
      </c>
      <c r="I2892" t="str">
        <f t="shared" si="321"/>
        <v/>
      </c>
    </row>
    <row r="2893" spans="1:9" x14ac:dyDescent="0.4">
      <c r="A2893" t="str">
        <f t="shared" si="315"/>
        <v/>
      </c>
      <c r="B2893" t="str">
        <f t="shared" si="316"/>
        <v/>
      </c>
      <c r="C2893" t="str">
        <f t="shared" si="317"/>
        <v/>
      </c>
      <c r="D2893" t="str">
        <f t="shared" si="318"/>
        <v/>
      </c>
      <c r="E2893" t="str">
        <f>IF(F2893="","",IF(COUNTIF($F$2:F2893,F2893)&gt;1,"",SUMIFS(tbl_input[필요수량],tbl_input[집계키_센터],F2893)))</f>
        <v/>
      </c>
      <c r="F2893" t="str">
        <f>IFERROR(INDEX(tbl_input[집계키_센터],ROW()-1),"")</f>
        <v/>
      </c>
      <c r="G2893" t="str">
        <f t="shared" si="319"/>
        <v/>
      </c>
      <c r="H2893" t="str">
        <f t="shared" si="320"/>
        <v/>
      </c>
      <c r="I2893" t="str">
        <f t="shared" si="321"/>
        <v/>
      </c>
    </row>
    <row r="2894" spans="1:9" x14ac:dyDescent="0.4">
      <c r="A2894" t="str">
        <f t="shared" si="315"/>
        <v/>
      </c>
      <c r="B2894" t="str">
        <f t="shared" si="316"/>
        <v/>
      </c>
      <c r="C2894" t="str">
        <f t="shared" si="317"/>
        <v/>
      </c>
      <c r="D2894" t="str">
        <f t="shared" si="318"/>
        <v/>
      </c>
      <c r="E2894" t="str">
        <f>IF(F2894="","",IF(COUNTIF($F$2:F2894,F2894)&gt;1,"",SUMIFS(tbl_input[필요수량],tbl_input[집계키_센터],F2894)))</f>
        <v/>
      </c>
      <c r="F2894" t="str">
        <f>IFERROR(INDEX(tbl_input[집계키_센터],ROW()-1),"")</f>
        <v/>
      </c>
      <c r="G2894" t="str">
        <f t="shared" si="319"/>
        <v/>
      </c>
      <c r="H2894" t="str">
        <f t="shared" si="320"/>
        <v/>
      </c>
      <c r="I2894" t="str">
        <f t="shared" si="321"/>
        <v/>
      </c>
    </row>
    <row r="2895" spans="1:9" x14ac:dyDescent="0.4">
      <c r="A2895" t="str">
        <f t="shared" si="315"/>
        <v/>
      </c>
      <c r="B2895" t="str">
        <f t="shared" si="316"/>
        <v/>
      </c>
      <c r="C2895" t="str">
        <f t="shared" si="317"/>
        <v/>
      </c>
      <c r="D2895" t="str">
        <f t="shared" si="318"/>
        <v/>
      </c>
      <c r="E2895" t="str">
        <f>IF(F2895="","",IF(COUNTIF($F$2:F2895,F2895)&gt;1,"",SUMIFS(tbl_input[필요수량],tbl_input[집계키_센터],F2895)))</f>
        <v/>
      </c>
      <c r="F2895" t="str">
        <f>IFERROR(INDEX(tbl_input[집계키_센터],ROW()-1),"")</f>
        <v/>
      </c>
      <c r="G2895" t="str">
        <f t="shared" si="319"/>
        <v/>
      </c>
      <c r="H2895" t="str">
        <f t="shared" si="320"/>
        <v/>
      </c>
      <c r="I2895" t="str">
        <f t="shared" si="321"/>
        <v/>
      </c>
    </row>
    <row r="2896" spans="1:9" x14ac:dyDescent="0.4">
      <c r="A2896" t="str">
        <f t="shared" si="315"/>
        <v/>
      </c>
      <c r="B2896" t="str">
        <f t="shared" si="316"/>
        <v/>
      </c>
      <c r="C2896" t="str">
        <f t="shared" si="317"/>
        <v/>
      </c>
      <c r="D2896" t="str">
        <f t="shared" si="318"/>
        <v/>
      </c>
      <c r="E2896" t="str">
        <f>IF(F2896="","",IF(COUNTIF($F$2:F2896,F2896)&gt;1,"",SUMIFS(tbl_input[필요수량],tbl_input[집계키_센터],F2896)))</f>
        <v/>
      </c>
      <c r="F2896" t="str">
        <f>IFERROR(INDEX(tbl_input[집계키_센터],ROW()-1),"")</f>
        <v/>
      </c>
      <c r="G2896" t="str">
        <f t="shared" si="319"/>
        <v/>
      </c>
      <c r="H2896" t="str">
        <f t="shared" si="320"/>
        <v/>
      </c>
      <c r="I2896" t="str">
        <f t="shared" si="321"/>
        <v/>
      </c>
    </row>
    <row r="2897" spans="1:9" x14ac:dyDescent="0.4">
      <c r="A2897" t="str">
        <f t="shared" si="315"/>
        <v/>
      </c>
      <c r="B2897" t="str">
        <f t="shared" si="316"/>
        <v/>
      </c>
      <c r="C2897" t="str">
        <f t="shared" si="317"/>
        <v/>
      </c>
      <c r="D2897" t="str">
        <f t="shared" si="318"/>
        <v/>
      </c>
      <c r="E2897" t="str">
        <f>IF(F2897="","",IF(COUNTIF($F$2:F2897,F2897)&gt;1,"",SUMIFS(tbl_input[필요수량],tbl_input[집계키_센터],F2897)))</f>
        <v/>
      </c>
      <c r="F2897" t="str">
        <f>IFERROR(INDEX(tbl_input[집계키_센터],ROW()-1),"")</f>
        <v/>
      </c>
      <c r="G2897" t="str">
        <f t="shared" si="319"/>
        <v/>
      </c>
      <c r="H2897" t="str">
        <f t="shared" si="320"/>
        <v/>
      </c>
      <c r="I2897" t="str">
        <f t="shared" si="321"/>
        <v/>
      </c>
    </row>
    <row r="2898" spans="1:9" x14ac:dyDescent="0.4">
      <c r="A2898" t="str">
        <f t="shared" si="315"/>
        <v/>
      </c>
      <c r="B2898" t="str">
        <f t="shared" si="316"/>
        <v/>
      </c>
      <c r="C2898" t="str">
        <f t="shared" si="317"/>
        <v/>
      </c>
      <c r="D2898" t="str">
        <f t="shared" si="318"/>
        <v/>
      </c>
      <c r="E2898" t="str">
        <f>IF(F2898="","",IF(COUNTIF($F$2:F2898,F2898)&gt;1,"",SUMIFS(tbl_input[필요수량],tbl_input[집계키_센터],F2898)))</f>
        <v/>
      </c>
      <c r="F2898" t="str">
        <f>IFERROR(INDEX(tbl_input[집계키_센터],ROW()-1),"")</f>
        <v/>
      </c>
      <c r="G2898" t="str">
        <f t="shared" si="319"/>
        <v/>
      </c>
      <c r="H2898" t="str">
        <f t="shared" si="320"/>
        <v/>
      </c>
      <c r="I2898" t="str">
        <f t="shared" si="321"/>
        <v/>
      </c>
    </row>
    <row r="2899" spans="1:9" x14ac:dyDescent="0.4">
      <c r="A2899" t="str">
        <f t="shared" si="315"/>
        <v/>
      </c>
      <c r="B2899" t="str">
        <f t="shared" si="316"/>
        <v/>
      </c>
      <c r="C2899" t="str">
        <f t="shared" si="317"/>
        <v/>
      </c>
      <c r="D2899" t="str">
        <f t="shared" si="318"/>
        <v/>
      </c>
      <c r="E2899" t="str">
        <f>IF(F2899="","",IF(COUNTIF($F$2:F2899,F2899)&gt;1,"",SUMIFS(tbl_input[필요수량],tbl_input[집계키_센터],F2899)))</f>
        <v/>
      </c>
      <c r="F2899" t="str">
        <f>IFERROR(INDEX(tbl_input[집계키_센터],ROW()-1),"")</f>
        <v/>
      </c>
      <c r="G2899" t="str">
        <f t="shared" si="319"/>
        <v/>
      </c>
      <c r="H2899" t="str">
        <f t="shared" si="320"/>
        <v/>
      </c>
      <c r="I2899" t="str">
        <f t="shared" si="321"/>
        <v/>
      </c>
    </row>
    <row r="2900" spans="1:9" x14ac:dyDescent="0.4">
      <c r="A2900" t="str">
        <f t="shared" si="315"/>
        <v/>
      </c>
      <c r="B2900" t="str">
        <f t="shared" si="316"/>
        <v/>
      </c>
      <c r="C2900" t="str">
        <f t="shared" si="317"/>
        <v/>
      </c>
      <c r="D2900" t="str">
        <f t="shared" si="318"/>
        <v/>
      </c>
      <c r="E2900" t="str">
        <f>IF(F2900="","",IF(COUNTIF($F$2:F2900,F2900)&gt;1,"",SUMIFS(tbl_input[필요수량],tbl_input[집계키_센터],F2900)))</f>
        <v/>
      </c>
      <c r="F2900" t="str">
        <f>IFERROR(INDEX(tbl_input[집계키_센터],ROW()-1),"")</f>
        <v/>
      </c>
      <c r="G2900" t="str">
        <f t="shared" si="319"/>
        <v/>
      </c>
      <c r="H2900" t="str">
        <f t="shared" si="320"/>
        <v/>
      </c>
      <c r="I2900" t="str">
        <f t="shared" si="321"/>
        <v/>
      </c>
    </row>
    <row r="2901" spans="1:9" x14ac:dyDescent="0.4">
      <c r="A2901" t="str">
        <f t="shared" si="315"/>
        <v/>
      </c>
      <c r="B2901" t="str">
        <f t="shared" si="316"/>
        <v/>
      </c>
      <c r="C2901" t="str">
        <f t="shared" si="317"/>
        <v/>
      </c>
      <c r="D2901" t="str">
        <f t="shared" si="318"/>
        <v/>
      </c>
      <c r="E2901" t="str">
        <f>IF(F2901="","",IF(COUNTIF($F$2:F2901,F2901)&gt;1,"",SUMIFS(tbl_input[필요수량],tbl_input[집계키_센터],F2901)))</f>
        <v/>
      </c>
      <c r="F2901" t="str">
        <f>IFERROR(INDEX(tbl_input[집계키_센터],ROW()-1),"")</f>
        <v/>
      </c>
      <c r="G2901" t="str">
        <f t="shared" si="319"/>
        <v/>
      </c>
      <c r="H2901" t="str">
        <f t="shared" si="320"/>
        <v/>
      </c>
      <c r="I2901" t="str">
        <f t="shared" si="321"/>
        <v/>
      </c>
    </row>
    <row r="2902" spans="1:9" x14ac:dyDescent="0.4">
      <c r="A2902" t="str">
        <f t="shared" si="315"/>
        <v/>
      </c>
      <c r="B2902" t="str">
        <f t="shared" si="316"/>
        <v/>
      </c>
      <c r="C2902" t="str">
        <f t="shared" si="317"/>
        <v/>
      </c>
      <c r="D2902" t="str">
        <f t="shared" si="318"/>
        <v/>
      </c>
      <c r="E2902" t="str">
        <f>IF(F2902="","",IF(COUNTIF($F$2:F2902,F2902)&gt;1,"",SUMIFS(tbl_input[필요수량],tbl_input[집계키_센터],F2902)))</f>
        <v/>
      </c>
      <c r="F2902" t="str">
        <f>IFERROR(INDEX(tbl_input[집계키_센터],ROW()-1),"")</f>
        <v/>
      </c>
      <c r="G2902" t="str">
        <f t="shared" si="319"/>
        <v/>
      </c>
      <c r="H2902" t="str">
        <f t="shared" si="320"/>
        <v/>
      </c>
      <c r="I2902" t="str">
        <f t="shared" si="321"/>
        <v/>
      </c>
    </row>
    <row r="2903" spans="1:9" x14ac:dyDescent="0.4">
      <c r="A2903" t="str">
        <f t="shared" si="315"/>
        <v/>
      </c>
      <c r="B2903" t="str">
        <f t="shared" si="316"/>
        <v/>
      </c>
      <c r="C2903" t="str">
        <f t="shared" si="317"/>
        <v/>
      </c>
      <c r="D2903" t="str">
        <f t="shared" si="318"/>
        <v/>
      </c>
      <c r="E2903" t="str">
        <f>IF(F2903="","",IF(COUNTIF($F$2:F2903,F2903)&gt;1,"",SUMIFS(tbl_input[필요수량],tbl_input[집계키_센터],F2903)))</f>
        <v/>
      </c>
      <c r="F2903" t="str">
        <f>IFERROR(INDEX(tbl_input[집계키_센터],ROW()-1),"")</f>
        <v/>
      </c>
      <c r="G2903" t="str">
        <f t="shared" si="319"/>
        <v/>
      </c>
      <c r="H2903" t="str">
        <f t="shared" si="320"/>
        <v/>
      </c>
      <c r="I2903" t="str">
        <f t="shared" si="321"/>
        <v/>
      </c>
    </row>
    <row r="2904" spans="1:9" x14ac:dyDescent="0.4">
      <c r="A2904" t="str">
        <f t="shared" si="315"/>
        <v/>
      </c>
      <c r="B2904" t="str">
        <f t="shared" si="316"/>
        <v/>
      </c>
      <c r="C2904" t="str">
        <f t="shared" si="317"/>
        <v/>
      </c>
      <c r="D2904" t="str">
        <f t="shared" si="318"/>
        <v/>
      </c>
      <c r="E2904" t="str">
        <f>IF(F2904="","",IF(COUNTIF($F$2:F2904,F2904)&gt;1,"",SUMIFS(tbl_input[필요수량],tbl_input[집계키_센터],F2904)))</f>
        <v/>
      </c>
      <c r="F2904" t="str">
        <f>IFERROR(INDEX(tbl_input[집계키_센터],ROW()-1),"")</f>
        <v/>
      </c>
      <c r="G2904" t="str">
        <f t="shared" si="319"/>
        <v/>
      </c>
      <c r="H2904" t="str">
        <f t="shared" si="320"/>
        <v/>
      </c>
      <c r="I2904" t="str">
        <f t="shared" si="321"/>
        <v/>
      </c>
    </row>
    <row r="2905" spans="1:9" x14ac:dyDescent="0.4">
      <c r="A2905" t="str">
        <f t="shared" si="315"/>
        <v/>
      </c>
      <c r="B2905" t="str">
        <f t="shared" si="316"/>
        <v/>
      </c>
      <c r="C2905" t="str">
        <f t="shared" si="317"/>
        <v/>
      </c>
      <c r="D2905" t="str">
        <f t="shared" si="318"/>
        <v/>
      </c>
      <c r="E2905" t="str">
        <f>IF(F2905="","",IF(COUNTIF($F$2:F2905,F2905)&gt;1,"",SUMIFS(tbl_input[필요수량],tbl_input[집계키_센터],F2905)))</f>
        <v/>
      </c>
      <c r="F2905" t="str">
        <f>IFERROR(INDEX(tbl_input[집계키_센터],ROW()-1),"")</f>
        <v/>
      </c>
      <c r="G2905" t="str">
        <f t="shared" si="319"/>
        <v/>
      </c>
      <c r="H2905" t="str">
        <f t="shared" si="320"/>
        <v/>
      </c>
      <c r="I2905" t="str">
        <f t="shared" si="321"/>
        <v/>
      </c>
    </row>
    <row r="2906" spans="1:9" x14ac:dyDescent="0.4">
      <c r="A2906" t="str">
        <f t="shared" si="315"/>
        <v/>
      </c>
      <c r="B2906" t="str">
        <f t="shared" si="316"/>
        <v/>
      </c>
      <c r="C2906" t="str">
        <f t="shared" si="317"/>
        <v/>
      </c>
      <c r="D2906" t="str">
        <f t="shared" si="318"/>
        <v/>
      </c>
      <c r="E2906" t="str">
        <f>IF(F2906="","",IF(COUNTIF($F$2:F2906,F2906)&gt;1,"",SUMIFS(tbl_input[필요수량],tbl_input[집계키_센터],F2906)))</f>
        <v/>
      </c>
      <c r="F2906" t="str">
        <f>IFERROR(INDEX(tbl_input[집계키_센터],ROW()-1),"")</f>
        <v/>
      </c>
      <c r="G2906" t="str">
        <f t="shared" si="319"/>
        <v/>
      </c>
      <c r="H2906" t="str">
        <f t="shared" si="320"/>
        <v/>
      </c>
      <c r="I2906" t="str">
        <f t="shared" si="321"/>
        <v/>
      </c>
    </row>
    <row r="2907" spans="1:9" x14ac:dyDescent="0.4">
      <c r="A2907" t="str">
        <f t="shared" si="315"/>
        <v/>
      </c>
      <c r="B2907" t="str">
        <f t="shared" si="316"/>
        <v/>
      </c>
      <c r="C2907" t="str">
        <f t="shared" si="317"/>
        <v/>
      </c>
      <c r="D2907" t="str">
        <f t="shared" si="318"/>
        <v/>
      </c>
      <c r="E2907" t="str">
        <f>IF(F2907="","",IF(COUNTIF($F$2:F2907,F2907)&gt;1,"",SUMIFS(tbl_input[필요수량],tbl_input[집계키_센터],F2907)))</f>
        <v/>
      </c>
      <c r="F2907" t="str">
        <f>IFERROR(INDEX(tbl_input[집계키_센터],ROW()-1),"")</f>
        <v/>
      </c>
      <c r="G2907" t="str">
        <f t="shared" si="319"/>
        <v/>
      </c>
      <c r="H2907" t="str">
        <f t="shared" si="320"/>
        <v/>
      </c>
      <c r="I2907" t="str">
        <f t="shared" si="321"/>
        <v/>
      </c>
    </row>
    <row r="2908" spans="1:9" x14ac:dyDescent="0.4">
      <c r="A2908" t="str">
        <f t="shared" si="315"/>
        <v/>
      </c>
      <c r="B2908" t="str">
        <f t="shared" si="316"/>
        <v/>
      </c>
      <c r="C2908" t="str">
        <f t="shared" si="317"/>
        <v/>
      </c>
      <c r="D2908" t="str">
        <f t="shared" si="318"/>
        <v/>
      </c>
      <c r="E2908" t="str">
        <f>IF(F2908="","",IF(COUNTIF($F$2:F2908,F2908)&gt;1,"",SUMIFS(tbl_input[필요수량],tbl_input[집계키_센터],F2908)))</f>
        <v/>
      </c>
      <c r="F2908" t="str">
        <f>IFERROR(INDEX(tbl_input[집계키_센터],ROW()-1),"")</f>
        <v/>
      </c>
      <c r="G2908" t="str">
        <f t="shared" si="319"/>
        <v/>
      </c>
      <c r="H2908" t="str">
        <f t="shared" si="320"/>
        <v/>
      </c>
      <c r="I2908" t="str">
        <f t="shared" si="321"/>
        <v/>
      </c>
    </row>
    <row r="2909" spans="1:9" x14ac:dyDescent="0.4">
      <c r="A2909" t="str">
        <f t="shared" si="315"/>
        <v/>
      </c>
      <c r="B2909" t="str">
        <f t="shared" si="316"/>
        <v/>
      </c>
      <c r="C2909" t="str">
        <f t="shared" si="317"/>
        <v/>
      </c>
      <c r="D2909" t="str">
        <f t="shared" si="318"/>
        <v/>
      </c>
      <c r="E2909" t="str">
        <f>IF(F2909="","",IF(COUNTIF($F$2:F2909,F2909)&gt;1,"",SUMIFS(tbl_input[필요수량],tbl_input[집계키_센터],F2909)))</f>
        <v/>
      </c>
      <c r="F2909" t="str">
        <f>IFERROR(INDEX(tbl_input[집계키_센터],ROW()-1),"")</f>
        <v/>
      </c>
      <c r="G2909" t="str">
        <f t="shared" si="319"/>
        <v/>
      </c>
      <c r="H2909" t="str">
        <f t="shared" si="320"/>
        <v/>
      </c>
      <c r="I2909" t="str">
        <f t="shared" si="321"/>
        <v/>
      </c>
    </row>
    <row r="2910" spans="1:9" x14ac:dyDescent="0.4">
      <c r="A2910" t="str">
        <f t="shared" si="315"/>
        <v/>
      </c>
      <c r="B2910" t="str">
        <f t="shared" si="316"/>
        <v/>
      </c>
      <c r="C2910" t="str">
        <f t="shared" si="317"/>
        <v/>
      </c>
      <c r="D2910" t="str">
        <f t="shared" si="318"/>
        <v/>
      </c>
      <c r="E2910" t="str">
        <f>IF(F2910="","",IF(COUNTIF($F$2:F2910,F2910)&gt;1,"",SUMIFS(tbl_input[필요수량],tbl_input[집계키_센터],F2910)))</f>
        <v/>
      </c>
      <c r="F2910" t="str">
        <f>IFERROR(INDEX(tbl_input[집계키_센터],ROW()-1),"")</f>
        <v/>
      </c>
      <c r="G2910" t="str">
        <f t="shared" si="319"/>
        <v/>
      </c>
      <c r="H2910" t="str">
        <f t="shared" si="320"/>
        <v/>
      </c>
      <c r="I2910" t="str">
        <f t="shared" si="321"/>
        <v/>
      </c>
    </row>
    <row r="2911" spans="1:9" x14ac:dyDescent="0.4">
      <c r="A2911" t="str">
        <f t="shared" si="315"/>
        <v/>
      </c>
      <c r="B2911" t="str">
        <f t="shared" si="316"/>
        <v/>
      </c>
      <c r="C2911" t="str">
        <f t="shared" si="317"/>
        <v/>
      </c>
      <c r="D2911" t="str">
        <f t="shared" si="318"/>
        <v/>
      </c>
      <c r="E2911" t="str">
        <f>IF(F2911="","",IF(COUNTIF($F$2:F2911,F2911)&gt;1,"",SUMIFS(tbl_input[필요수량],tbl_input[집계키_센터],F2911)))</f>
        <v/>
      </c>
      <c r="F2911" t="str">
        <f>IFERROR(INDEX(tbl_input[집계키_센터],ROW()-1),"")</f>
        <v/>
      </c>
      <c r="G2911" t="str">
        <f t="shared" si="319"/>
        <v/>
      </c>
      <c r="H2911" t="str">
        <f t="shared" si="320"/>
        <v/>
      </c>
      <c r="I2911" t="str">
        <f t="shared" si="321"/>
        <v/>
      </c>
    </row>
    <row r="2912" spans="1:9" x14ac:dyDescent="0.4">
      <c r="A2912" t="str">
        <f t="shared" si="315"/>
        <v/>
      </c>
      <c r="B2912" t="str">
        <f t="shared" si="316"/>
        <v/>
      </c>
      <c r="C2912" t="str">
        <f t="shared" si="317"/>
        <v/>
      </c>
      <c r="D2912" t="str">
        <f t="shared" si="318"/>
        <v/>
      </c>
      <c r="E2912" t="str">
        <f>IF(F2912="","",IF(COUNTIF($F$2:F2912,F2912)&gt;1,"",SUMIFS(tbl_input[필요수량],tbl_input[집계키_센터],F2912)))</f>
        <v/>
      </c>
      <c r="F2912" t="str">
        <f>IFERROR(INDEX(tbl_input[집계키_센터],ROW()-1),"")</f>
        <v/>
      </c>
      <c r="G2912" t="str">
        <f t="shared" si="319"/>
        <v/>
      </c>
      <c r="H2912" t="str">
        <f t="shared" si="320"/>
        <v/>
      </c>
      <c r="I2912" t="str">
        <f t="shared" si="321"/>
        <v/>
      </c>
    </row>
    <row r="2913" spans="1:9" x14ac:dyDescent="0.4">
      <c r="A2913" t="str">
        <f t="shared" si="315"/>
        <v/>
      </c>
      <c r="B2913" t="str">
        <f t="shared" si="316"/>
        <v/>
      </c>
      <c r="C2913" t="str">
        <f t="shared" si="317"/>
        <v/>
      </c>
      <c r="D2913" t="str">
        <f t="shared" si="318"/>
        <v/>
      </c>
      <c r="E2913" t="str">
        <f>IF(F2913="","",IF(COUNTIF($F$2:F2913,F2913)&gt;1,"",SUMIFS(tbl_input[필요수량],tbl_input[집계키_센터],F2913)))</f>
        <v/>
      </c>
      <c r="F2913" t="str">
        <f>IFERROR(INDEX(tbl_input[집계키_센터],ROW()-1),"")</f>
        <v/>
      </c>
      <c r="G2913" t="str">
        <f t="shared" si="319"/>
        <v/>
      </c>
      <c r="H2913" t="str">
        <f t="shared" si="320"/>
        <v/>
      </c>
      <c r="I2913" t="str">
        <f t="shared" si="321"/>
        <v/>
      </c>
    </row>
    <row r="2914" spans="1:9" x14ac:dyDescent="0.4">
      <c r="A2914" t="str">
        <f t="shared" si="315"/>
        <v/>
      </c>
      <c r="B2914" t="str">
        <f t="shared" si="316"/>
        <v/>
      </c>
      <c r="C2914" t="str">
        <f t="shared" si="317"/>
        <v/>
      </c>
      <c r="D2914" t="str">
        <f t="shared" si="318"/>
        <v/>
      </c>
      <c r="E2914" t="str">
        <f>IF(F2914="","",IF(COUNTIF($F$2:F2914,F2914)&gt;1,"",SUMIFS(tbl_input[필요수량],tbl_input[집계키_센터],F2914)))</f>
        <v/>
      </c>
      <c r="F2914" t="str">
        <f>IFERROR(INDEX(tbl_input[집계키_센터],ROW()-1),"")</f>
        <v/>
      </c>
      <c r="G2914" t="str">
        <f t="shared" si="319"/>
        <v/>
      </c>
      <c r="H2914" t="str">
        <f t="shared" si="320"/>
        <v/>
      </c>
      <c r="I2914" t="str">
        <f t="shared" si="321"/>
        <v/>
      </c>
    </row>
    <row r="2915" spans="1:9" x14ac:dyDescent="0.4">
      <c r="A2915" t="str">
        <f t="shared" si="315"/>
        <v/>
      </c>
      <c r="B2915" t="str">
        <f t="shared" si="316"/>
        <v/>
      </c>
      <c r="C2915" t="str">
        <f t="shared" si="317"/>
        <v/>
      </c>
      <c r="D2915" t="str">
        <f t="shared" si="318"/>
        <v/>
      </c>
      <c r="E2915" t="str">
        <f>IF(F2915="","",IF(COUNTIF($F$2:F2915,F2915)&gt;1,"",SUMIFS(tbl_input[필요수량],tbl_input[집계키_센터],F2915)))</f>
        <v/>
      </c>
      <c r="F2915" t="str">
        <f>IFERROR(INDEX(tbl_input[집계키_센터],ROW()-1),"")</f>
        <v/>
      </c>
      <c r="G2915" t="str">
        <f t="shared" si="319"/>
        <v/>
      </c>
      <c r="H2915" t="str">
        <f t="shared" si="320"/>
        <v/>
      </c>
      <c r="I2915" t="str">
        <f t="shared" si="321"/>
        <v/>
      </c>
    </row>
    <row r="2916" spans="1:9" x14ac:dyDescent="0.4">
      <c r="A2916" t="str">
        <f t="shared" si="315"/>
        <v/>
      </c>
      <c r="B2916" t="str">
        <f t="shared" si="316"/>
        <v/>
      </c>
      <c r="C2916" t="str">
        <f t="shared" si="317"/>
        <v/>
      </c>
      <c r="D2916" t="str">
        <f t="shared" si="318"/>
        <v/>
      </c>
      <c r="E2916" t="str">
        <f>IF(F2916="","",IF(COUNTIF($F$2:F2916,F2916)&gt;1,"",SUMIFS(tbl_input[필요수량],tbl_input[집계키_센터],F2916)))</f>
        <v/>
      </c>
      <c r="F2916" t="str">
        <f>IFERROR(INDEX(tbl_input[집계키_센터],ROW()-1),"")</f>
        <v/>
      </c>
      <c r="G2916" t="str">
        <f t="shared" si="319"/>
        <v/>
      </c>
      <c r="H2916" t="str">
        <f t="shared" si="320"/>
        <v/>
      </c>
      <c r="I2916" t="str">
        <f t="shared" si="321"/>
        <v/>
      </c>
    </row>
    <row r="2917" spans="1:9" x14ac:dyDescent="0.4">
      <c r="A2917" t="str">
        <f t="shared" si="315"/>
        <v/>
      </c>
      <c r="B2917" t="str">
        <f t="shared" si="316"/>
        <v/>
      </c>
      <c r="C2917" t="str">
        <f t="shared" si="317"/>
        <v/>
      </c>
      <c r="D2917" t="str">
        <f t="shared" si="318"/>
        <v/>
      </c>
      <c r="E2917" t="str">
        <f>IF(F2917="","",IF(COUNTIF($F$2:F2917,F2917)&gt;1,"",SUMIFS(tbl_input[필요수량],tbl_input[집계키_센터],F2917)))</f>
        <v/>
      </c>
      <c r="F2917" t="str">
        <f>IFERROR(INDEX(tbl_input[집계키_센터],ROW()-1),"")</f>
        <v/>
      </c>
      <c r="G2917" t="str">
        <f t="shared" si="319"/>
        <v/>
      </c>
      <c r="H2917" t="str">
        <f t="shared" si="320"/>
        <v/>
      </c>
      <c r="I2917" t="str">
        <f t="shared" si="321"/>
        <v/>
      </c>
    </row>
    <row r="2918" spans="1:9" x14ac:dyDescent="0.4">
      <c r="A2918" t="str">
        <f t="shared" si="315"/>
        <v/>
      </c>
      <c r="B2918" t="str">
        <f t="shared" si="316"/>
        <v/>
      </c>
      <c r="C2918" t="str">
        <f t="shared" si="317"/>
        <v/>
      </c>
      <c r="D2918" t="str">
        <f t="shared" si="318"/>
        <v/>
      </c>
      <c r="E2918" t="str">
        <f>IF(F2918="","",IF(COUNTIF($F$2:F2918,F2918)&gt;1,"",SUMIFS(tbl_input[필요수량],tbl_input[집계키_센터],F2918)))</f>
        <v/>
      </c>
      <c r="F2918" t="str">
        <f>IFERROR(INDEX(tbl_input[집계키_센터],ROW()-1),"")</f>
        <v/>
      </c>
      <c r="G2918" t="str">
        <f t="shared" si="319"/>
        <v/>
      </c>
      <c r="H2918" t="str">
        <f t="shared" si="320"/>
        <v/>
      </c>
      <c r="I2918" t="str">
        <f t="shared" si="321"/>
        <v/>
      </c>
    </row>
    <row r="2919" spans="1:9" x14ac:dyDescent="0.4">
      <c r="A2919" t="str">
        <f t="shared" si="315"/>
        <v/>
      </c>
      <c r="B2919" t="str">
        <f t="shared" si="316"/>
        <v/>
      </c>
      <c r="C2919" t="str">
        <f t="shared" si="317"/>
        <v/>
      </c>
      <c r="D2919" t="str">
        <f t="shared" si="318"/>
        <v/>
      </c>
      <c r="E2919" t="str">
        <f>IF(F2919="","",IF(COUNTIF($F$2:F2919,F2919)&gt;1,"",SUMIFS(tbl_input[필요수량],tbl_input[집계키_센터],F2919)))</f>
        <v/>
      </c>
      <c r="F2919" t="str">
        <f>IFERROR(INDEX(tbl_input[집계키_센터],ROW()-1),"")</f>
        <v/>
      </c>
      <c r="G2919" t="str">
        <f t="shared" si="319"/>
        <v/>
      </c>
      <c r="H2919" t="str">
        <f t="shared" si="320"/>
        <v/>
      </c>
      <c r="I2919" t="str">
        <f t="shared" si="321"/>
        <v/>
      </c>
    </row>
    <row r="2920" spans="1:9" x14ac:dyDescent="0.4">
      <c r="A2920" t="str">
        <f t="shared" si="315"/>
        <v/>
      </c>
      <c r="B2920" t="str">
        <f t="shared" si="316"/>
        <v/>
      </c>
      <c r="C2920" t="str">
        <f t="shared" si="317"/>
        <v/>
      </c>
      <c r="D2920" t="str">
        <f t="shared" si="318"/>
        <v/>
      </c>
      <c r="E2920" t="str">
        <f>IF(F2920="","",IF(COUNTIF($F$2:F2920,F2920)&gt;1,"",SUMIFS(tbl_input[필요수량],tbl_input[집계키_센터],F2920)))</f>
        <v/>
      </c>
      <c r="F2920" t="str">
        <f>IFERROR(INDEX(tbl_input[집계키_센터],ROW()-1),"")</f>
        <v/>
      </c>
      <c r="G2920" t="str">
        <f t="shared" si="319"/>
        <v/>
      </c>
      <c r="H2920" t="str">
        <f t="shared" si="320"/>
        <v/>
      </c>
      <c r="I2920" t="str">
        <f t="shared" si="321"/>
        <v/>
      </c>
    </row>
    <row r="2921" spans="1:9" x14ac:dyDescent="0.4">
      <c r="A2921" t="str">
        <f t="shared" si="315"/>
        <v/>
      </c>
      <c r="B2921" t="str">
        <f t="shared" si="316"/>
        <v/>
      </c>
      <c r="C2921" t="str">
        <f t="shared" si="317"/>
        <v/>
      </c>
      <c r="D2921" t="str">
        <f t="shared" si="318"/>
        <v/>
      </c>
      <c r="E2921" t="str">
        <f>IF(F2921="","",IF(COUNTIF($F$2:F2921,F2921)&gt;1,"",SUMIFS(tbl_input[필요수량],tbl_input[집계키_센터],F2921)))</f>
        <v/>
      </c>
      <c r="F2921" t="str">
        <f>IFERROR(INDEX(tbl_input[집계키_센터],ROW()-1),"")</f>
        <v/>
      </c>
      <c r="G2921" t="str">
        <f t="shared" si="319"/>
        <v/>
      </c>
      <c r="H2921" t="str">
        <f t="shared" si="320"/>
        <v/>
      </c>
      <c r="I2921" t="str">
        <f t="shared" si="321"/>
        <v/>
      </c>
    </row>
    <row r="2922" spans="1:9" x14ac:dyDescent="0.4">
      <c r="A2922" t="str">
        <f t="shared" si="315"/>
        <v/>
      </c>
      <c r="B2922" t="str">
        <f t="shared" si="316"/>
        <v/>
      </c>
      <c r="C2922" t="str">
        <f t="shared" si="317"/>
        <v/>
      </c>
      <c r="D2922" t="str">
        <f t="shared" si="318"/>
        <v/>
      </c>
      <c r="E2922" t="str">
        <f>IF(F2922="","",IF(COUNTIF($F$2:F2922,F2922)&gt;1,"",SUMIFS(tbl_input[필요수량],tbl_input[집계키_센터],F2922)))</f>
        <v/>
      </c>
      <c r="F2922" t="str">
        <f>IFERROR(INDEX(tbl_input[집계키_센터],ROW()-1),"")</f>
        <v/>
      </c>
      <c r="G2922" t="str">
        <f t="shared" si="319"/>
        <v/>
      </c>
      <c r="H2922" t="str">
        <f t="shared" si="320"/>
        <v/>
      </c>
      <c r="I2922" t="str">
        <f t="shared" si="321"/>
        <v/>
      </c>
    </row>
    <row r="2923" spans="1:9" x14ac:dyDescent="0.4">
      <c r="A2923" t="str">
        <f t="shared" si="315"/>
        <v/>
      </c>
      <c r="B2923" t="str">
        <f t="shared" si="316"/>
        <v/>
      </c>
      <c r="C2923" t="str">
        <f t="shared" si="317"/>
        <v/>
      </c>
      <c r="D2923" t="str">
        <f t="shared" si="318"/>
        <v/>
      </c>
      <c r="E2923" t="str">
        <f>IF(F2923="","",IF(COUNTIF($F$2:F2923,F2923)&gt;1,"",SUMIFS(tbl_input[필요수량],tbl_input[집계키_센터],F2923)))</f>
        <v/>
      </c>
      <c r="F2923" t="str">
        <f>IFERROR(INDEX(tbl_input[집계키_센터],ROW()-1),"")</f>
        <v/>
      </c>
      <c r="G2923" t="str">
        <f t="shared" si="319"/>
        <v/>
      </c>
      <c r="H2923" t="str">
        <f t="shared" si="320"/>
        <v/>
      </c>
      <c r="I2923" t="str">
        <f t="shared" si="321"/>
        <v/>
      </c>
    </row>
    <row r="2924" spans="1:9" x14ac:dyDescent="0.4">
      <c r="A2924" t="str">
        <f t="shared" si="315"/>
        <v/>
      </c>
      <c r="B2924" t="str">
        <f t="shared" si="316"/>
        <v/>
      </c>
      <c r="C2924" t="str">
        <f t="shared" si="317"/>
        <v/>
      </c>
      <c r="D2924" t="str">
        <f t="shared" si="318"/>
        <v/>
      </c>
      <c r="E2924" t="str">
        <f>IF(F2924="","",IF(COUNTIF($F$2:F2924,F2924)&gt;1,"",SUMIFS(tbl_input[필요수량],tbl_input[집계키_센터],F2924)))</f>
        <v/>
      </c>
      <c r="F2924" t="str">
        <f>IFERROR(INDEX(tbl_input[집계키_센터],ROW()-1),"")</f>
        <v/>
      </c>
      <c r="G2924" t="str">
        <f t="shared" si="319"/>
        <v/>
      </c>
      <c r="H2924" t="str">
        <f t="shared" si="320"/>
        <v/>
      </c>
      <c r="I2924" t="str">
        <f t="shared" si="321"/>
        <v/>
      </c>
    </row>
    <row r="2925" spans="1:9" x14ac:dyDescent="0.4">
      <c r="A2925" t="str">
        <f t="shared" si="315"/>
        <v/>
      </c>
      <c r="B2925" t="str">
        <f t="shared" si="316"/>
        <v/>
      </c>
      <c r="C2925" t="str">
        <f t="shared" si="317"/>
        <v/>
      </c>
      <c r="D2925" t="str">
        <f t="shared" si="318"/>
        <v/>
      </c>
      <c r="E2925" t="str">
        <f>IF(F2925="","",IF(COUNTIF($F$2:F2925,F2925)&gt;1,"",SUMIFS(tbl_input[필요수량],tbl_input[집계키_센터],F2925)))</f>
        <v/>
      </c>
      <c r="F2925" t="str">
        <f>IFERROR(INDEX(tbl_input[집계키_센터],ROW()-1),"")</f>
        <v/>
      </c>
      <c r="G2925" t="str">
        <f t="shared" si="319"/>
        <v/>
      </c>
      <c r="H2925" t="str">
        <f t="shared" si="320"/>
        <v/>
      </c>
      <c r="I2925" t="str">
        <f t="shared" si="321"/>
        <v/>
      </c>
    </row>
    <row r="2926" spans="1:9" x14ac:dyDescent="0.4">
      <c r="A2926" t="str">
        <f t="shared" si="315"/>
        <v/>
      </c>
      <c r="B2926" t="str">
        <f t="shared" si="316"/>
        <v/>
      </c>
      <c r="C2926" t="str">
        <f t="shared" si="317"/>
        <v/>
      </c>
      <c r="D2926" t="str">
        <f t="shared" si="318"/>
        <v/>
      </c>
      <c r="E2926" t="str">
        <f>IF(F2926="","",IF(COUNTIF($F$2:F2926,F2926)&gt;1,"",SUMIFS(tbl_input[필요수량],tbl_input[집계키_센터],F2926)))</f>
        <v/>
      </c>
      <c r="F2926" t="str">
        <f>IFERROR(INDEX(tbl_input[집계키_센터],ROW()-1),"")</f>
        <v/>
      </c>
      <c r="G2926" t="str">
        <f t="shared" si="319"/>
        <v/>
      </c>
      <c r="H2926" t="str">
        <f t="shared" si="320"/>
        <v/>
      </c>
      <c r="I2926" t="str">
        <f t="shared" si="321"/>
        <v/>
      </c>
    </row>
    <row r="2927" spans="1:9" x14ac:dyDescent="0.4">
      <c r="A2927" t="str">
        <f t="shared" si="315"/>
        <v/>
      </c>
      <c r="B2927" t="str">
        <f t="shared" si="316"/>
        <v/>
      </c>
      <c r="C2927" t="str">
        <f t="shared" si="317"/>
        <v/>
      </c>
      <c r="D2927" t="str">
        <f t="shared" si="318"/>
        <v/>
      </c>
      <c r="E2927" t="str">
        <f>IF(F2927="","",IF(COUNTIF($F$2:F2927,F2927)&gt;1,"",SUMIFS(tbl_input[필요수량],tbl_input[집계키_센터],F2927)))</f>
        <v/>
      </c>
      <c r="F2927" t="str">
        <f>IFERROR(INDEX(tbl_input[집계키_센터],ROW()-1),"")</f>
        <v/>
      </c>
      <c r="G2927" t="str">
        <f t="shared" si="319"/>
        <v/>
      </c>
      <c r="H2927" t="str">
        <f t="shared" si="320"/>
        <v/>
      </c>
      <c r="I2927" t="str">
        <f t="shared" si="321"/>
        <v/>
      </c>
    </row>
    <row r="2928" spans="1:9" x14ac:dyDescent="0.4">
      <c r="A2928" t="str">
        <f t="shared" si="315"/>
        <v/>
      </c>
      <c r="B2928" t="str">
        <f t="shared" si="316"/>
        <v/>
      </c>
      <c r="C2928" t="str">
        <f t="shared" si="317"/>
        <v/>
      </c>
      <c r="D2928" t="str">
        <f t="shared" si="318"/>
        <v/>
      </c>
      <c r="E2928" t="str">
        <f>IF(F2928="","",IF(COUNTIF($F$2:F2928,F2928)&gt;1,"",SUMIFS(tbl_input[필요수량],tbl_input[집계키_센터],F2928)))</f>
        <v/>
      </c>
      <c r="F2928" t="str">
        <f>IFERROR(INDEX(tbl_input[집계키_센터],ROW()-1),"")</f>
        <v/>
      </c>
      <c r="G2928" t="str">
        <f t="shared" si="319"/>
        <v/>
      </c>
      <c r="H2928" t="str">
        <f t="shared" si="320"/>
        <v/>
      </c>
      <c r="I2928" t="str">
        <f t="shared" si="321"/>
        <v/>
      </c>
    </row>
    <row r="2929" spans="1:9" x14ac:dyDescent="0.4">
      <c r="A2929" t="str">
        <f t="shared" si="315"/>
        <v/>
      </c>
      <c r="B2929" t="str">
        <f t="shared" si="316"/>
        <v/>
      </c>
      <c r="C2929" t="str">
        <f t="shared" si="317"/>
        <v/>
      </c>
      <c r="D2929" t="str">
        <f t="shared" si="318"/>
        <v/>
      </c>
      <c r="E2929" t="str">
        <f>IF(F2929="","",IF(COUNTIF($F$2:F2929,F2929)&gt;1,"",SUMIFS(tbl_input[필요수량],tbl_input[집계키_센터],F2929)))</f>
        <v/>
      </c>
      <c r="F2929" t="str">
        <f>IFERROR(INDEX(tbl_input[집계키_센터],ROW()-1),"")</f>
        <v/>
      </c>
      <c r="G2929" t="str">
        <f t="shared" si="319"/>
        <v/>
      </c>
      <c r="H2929" t="str">
        <f t="shared" si="320"/>
        <v/>
      </c>
      <c r="I2929" t="str">
        <f t="shared" si="321"/>
        <v/>
      </c>
    </row>
    <row r="2930" spans="1:9" x14ac:dyDescent="0.4">
      <c r="A2930" t="str">
        <f t="shared" si="315"/>
        <v/>
      </c>
      <c r="B2930" t="str">
        <f t="shared" si="316"/>
        <v/>
      </c>
      <c r="C2930" t="str">
        <f t="shared" si="317"/>
        <v/>
      </c>
      <c r="D2930" t="str">
        <f t="shared" si="318"/>
        <v/>
      </c>
      <c r="E2930" t="str">
        <f>IF(F2930="","",IF(COUNTIF($F$2:F2930,F2930)&gt;1,"",SUMIFS(tbl_input[필요수량],tbl_input[집계키_센터],F2930)))</f>
        <v/>
      </c>
      <c r="F2930" t="str">
        <f>IFERROR(INDEX(tbl_input[집계키_센터],ROW()-1),"")</f>
        <v/>
      </c>
      <c r="G2930" t="str">
        <f t="shared" si="319"/>
        <v/>
      </c>
      <c r="H2930" t="str">
        <f t="shared" si="320"/>
        <v/>
      </c>
      <c r="I2930" t="str">
        <f t="shared" si="321"/>
        <v/>
      </c>
    </row>
    <row r="2931" spans="1:9" x14ac:dyDescent="0.4">
      <c r="A2931" t="str">
        <f t="shared" si="315"/>
        <v/>
      </c>
      <c r="B2931" t="str">
        <f t="shared" si="316"/>
        <v/>
      </c>
      <c r="C2931" t="str">
        <f t="shared" si="317"/>
        <v/>
      </c>
      <c r="D2931" t="str">
        <f t="shared" si="318"/>
        <v/>
      </c>
      <c r="E2931" t="str">
        <f>IF(F2931="","",IF(COUNTIF($F$2:F2931,F2931)&gt;1,"",SUMIFS(tbl_input[필요수량],tbl_input[집계키_센터],F2931)))</f>
        <v/>
      </c>
      <c r="F2931" t="str">
        <f>IFERROR(INDEX(tbl_input[집계키_센터],ROW()-1),"")</f>
        <v/>
      </c>
      <c r="G2931" t="str">
        <f t="shared" si="319"/>
        <v/>
      </c>
      <c r="H2931" t="str">
        <f t="shared" si="320"/>
        <v/>
      </c>
      <c r="I2931" t="str">
        <f t="shared" si="321"/>
        <v/>
      </c>
    </row>
    <row r="2932" spans="1:9" x14ac:dyDescent="0.4">
      <c r="A2932" t="str">
        <f t="shared" si="315"/>
        <v/>
      </c>
      <c r="B2932" t="str">
        <f t="shared" si="316"/>
        <v/>
      </c>
      <c r="C2932" t="str">
        <f t="shared" si="317"/>
        <v/>
      </c>
      <c r="D2932" t="str">
        <f t="shared" si="318"/>
        <v/>
      </c>
      <c r="E2932" t="str">
        <f>IF(F2932="","",IF(COUNTIF($F$2:F2932,F2932)&gt;1,"",SUMIFS(tbl_input[필요수량],tbl_input[집계키_센터],F2932)))</f>
        <v/>
      </c>
      <c r="F2932" t="str">
        <f>IFERROR(INDEX(tbl_input[집계키_센터],ROW()-1),"")</f>
        <v/>
      </c>
      <c r="G2932" t="str">
        <f t="shared" si="319"/>
        <v/>
      </c>
      <c r="H2932" t="str">
        <f t="shared" si="320"/>
        <v/>
      </c>
      <c r="I2932" t="str">
        <f t="shared" si="321"/>
        <v/>
      </c>
    </row>
    <row r="2933" spans="1:9" x14ac:dyDescent="0.4">
      <c r="A2933" t="str">
        <f t="shared" si="315"/>
        <v/>
      </c>
      <c r="B2933" t="str">
        <f t="shared" si="316"/>
        <v/>
      </c>
      <c r="C2933" t="str">
        <f t="shared" si="317"/>
        <v/>
      </c>
      <c r="D2933" t="str">
        <f t="shared" si="318"/>
        <v/>
      </c>
      <c r="E2933" t="str">
        <f>IF(F2933="","",IF(COUNTIF($F$2:F2933,F2933)&gt;1,"",SUMIFS(tbl_input[필요수량],tbl_input[집계키_센터],F2933)))</f>
        <v/>
      </c>
      <c r="F2933" t="str">
        <f>IFERROR(INDEX(tbl_input[집계키_센터],ROW()-1),"")</f>
        <v/>
      </c>
      <c r="G2933" t="str">
        <f t="shared" si="319"/>
        <v/>
      </c>
      <c r="H2933" t="str">
        <f t="shared" si="320"/>
        <v/>
      </c>
      <c r="I2933" t="str">
        <f t="shared" si="321"/>
        <v/>
      </c>
    </row>
    <row r="2934" spans="1:9" x14ac:dyDescent="0.4">
      <c r="A2934" t="str">
        <f t="shared" si="315"/>
        <v/>
      </c>
      <c r="B2934" t="str">
        <f t="shared" si="316"/>
        <v/>
      </c>
      <c r="C2934" t="str">
        <f t="shared" si="317"/>
        <v/>
      </c>
      <c r="D2934" t="str">
        <f t="shared" si="318"/>
        <v/>
      </c>
      <c r="E2934" t="str">
        <f>IF(F2934="","",IF(COUNTIF($F$2:F2934,F2934)&gt;1,"",SUMIFS(tbl_input[필요수량],tbl_input[집계키_센터],F2934)))</f>
        <v/>
      </c>
      <c r="F2934" t="str">
        <f>IFERROR(INDEX(tbl_input[집계키_센터],ROW()-1),"")</f>
        <v/>
      </c>
      <c r="G2934" t="str">
        <f t="shared" si="319"/>
        <v/>
      </c>
      <c r="H2934" t="str">
        <f t="shared" si="320"/>
        <v/>
      </c>
      <c r="I2934" t="str">
        <f t="shared" si="321"/>
        <v/>
      </c>
    </row>
    <row r="2935" spans="1:9" x14ac:dyDescent="0.4">
      <c r="A2935" t="str">
        <f t="shared" si="315"/>
        <v/>
      </c>
      <c r="B2935" t="str">
        <f t="shared" si="316"/>
        <v/>
      </c>
      <c r="C2935" t="str">
        <f t="shared" si="317"/>
        <v/>
      </c>
      <c r="D2935" t="str">
        <f t="shared" si="318"/>
        <v/>
      </c>
      <c r="E2935" t="str">
        <f>IF(F2935="","",IF(COUNTIF($F$2:F2935,F2935)&gt;1,"",SUMIFS(tbl_input[필요수량],tbl_input[집계키_센터],F2935)))</f>
        <v/>
      </c>
      <c r="F2935" t="str">
        <f>IFERROR(INDEX(tbl_input[집계키_센터],ROW()-1),"")</f>
        <v/>
      </c>
      <c r="G2935" t="str">
        <f t="shared" si="319"/>
        <v/>
      </c>
      <c r="H2935" t="str">
        <f t="shared" si="320"/>
        <v/>
      </c>
      <c r="I2935" t="str">
        <f t="shared" si="321"/>
        <v/>
      </c>
    </row>
    <row r="2936" spans="1:9" x14ac:dyDescent="0.4">
      <c r="A2936" t="str">
        <f t="shared" si="315"/>
        <v/>
      </c>
      <c r="B2936" t="str">
        <f t="shared" si="316"/>
        <v/>
      </c>
      <c r="C2936" t="str">
        <f t="shared" si="317"/>
        <v/>
      </c>
      <c r="D2936" t="str">
        <f t="shared" si="318"/>
        <v/>
      </c>
      <c r="E2936" t="str">
        <f>IF(F2936="","",IF(COUNTIF($F$2:F2936,F2936)&gt;1,"",SUMIFS(tbl_input[필요수량],tbl_input[집계키_센터],F2936)))</f>
        <v/>
      </c>
      <c r="F2936" t="str">
        <f>IFERROR(INDEX(tbl_input[집계키_센터],ROW()-1),"")</f>
        <v/>
      </c>
      <c r="G2936" t="str">
        <f t="shared" si="319"/>
        <v/>
      </c>
      <c r="H2936" t="str">
        <f t="shared" si="320"/>
        <v/>
      </c>
      <c r="I2936" t="str">
        <f t="shared" si="321"/>
        <v/>
      </c>
    </row>
    <row r="2937" spans="1:9" x14ac:dyDescent="0.4">
      <c r="A2937" t="str">
        <f t="shared" si="315"/>
        <v/>
      </c>
      <c r="B2937" t="str">
        <f t="shared" si="316"/>
        <v/>
      </c>
      <c r="C2937" t="str">
        <f t="shared" si="317"/>
        <v/>
      </c>
      <c r="D2937" t="str">
        <f t="shared" si="318"/>
        <v/>
      </c>
      <c r="E2937" t="str">
        <f>IF(F2937="","",IF(COUNTIF($F$2:F2937,F2937)&gt;1,"",SUMIFS(tbl_input[필요수량],tbl_input[집계키_센터],F2937)))</f>
        <v/>
      </c>
      <c r="F2937" t="str">
        <f>IFERROR(INDEX(tbl_input[집계키_센터],ROW()-1),"")</f>
        <v/>
      </c>
      <c r="G2937" t="str">
        <f t="shared" si="319"/>
        <v/>
      </c>
      <c r="H2937" t="str">
        <f t="shared" si="320"/>
        <v/>
      </c>
      <c r="I2937" t="str">
        <f t="shared" si="321"/>
        <v/>
      </c>
    </row>
    <row r="2938" spans="1:9" x14ac:dyDescent="0.4">
      <c r="A2938" t="str">
        <f t="shared" si="315"/>
        <v/>
      </c>
      <c r="B2938" t="str">
        <f t="shared" si="316"/>
        <v/>
      </c>
      <c r="C2938" t="str">
        <f t="shared" si="317"/>
        <v/>
      </c>
      <c r="D2938" t="str">
        <f t="shared" si="318"/>
        <v/>
      </c>
      <c r="E2938" t="str">
        <f>IF(F2938="","",IF(COUNTIF($F$2:F2938,F2938)&gt;1,"",SUMIFS(tbl_input[필요수량],tbl_input[집계키_센터],F2938)))</f>
        <v/>
      </c>
      <c r="F2938" t="str">
        <f>IFERROR(INDEX(tbl_input[집계키_센터],ROW()-1),"")</f>
        <v/>
      </c>
      <c r="G2938" t="str">
        <f t="shared" si="319"/>
        <v/>
      </c>
      <c r="H2938" t="str">
        <f t="shared" si="320"/>
        <v/>
      </c>
      <c r="I2938" t="str">
        <f t="shared" si="321"/>
        <v/>
      </c>
    </row>
    <row r="2939" spans="1:9" x14ac:dyDescent="0.4">
      <c r="A2939" t="str">
        <f t="shared" si="315"/>
        <v/>
      </c>
      <c r="B2939" t="str">
        <f t="shared" si="316"/>
        <v/>
      </c>
      <c r="C2939" t="str">
        <f t="shared" si="317"/>
        <v/>
      </c>
      <c r="D2939" t="str">
        <f t="shared" si="318"/>
        <v/>
      </c>
      <c r="E2939" t="str">
        <f>IF(F2939="","",IF(COUNTIF($F$2:F2939,F2939)&gt;1,"",SUMIFS(tbl_input[필요수량],tbl_input[집계키_센터],F2939)))</f>
        <v/>
      </c>
      <c r="F2939" t="str">
        <f>IFERROR(INDEX(tbl_input[집계키_센터],ROW()-1),"")</f>
        <v/>
      </c>
      <c r="G2939" t="str">
        <f t="shared" si="319"/>
        <v/>
      </c>
      <c r="H2939" t="str">
        <f t="shared" si="320"/>
        <v/>
      </c>
      <c r="I2939" t="str">
        <f t="shared" si="321"/>
        <v/>
      </c>
    </row>
    <row r="2940" spans="1:9" x14ac:dyDescent="0.4">
      <c r="A2940" t="str">
        <f t="shared" si="315"/>
        <v/>
      </c>
      <c r="B2940" t="str">
        <f t="shared" si="316"/>
        <v/>
      </c>
      <c r="C2940" t="str">
        <f t="shared" si="317"/>
        <v/>
      </c>
      <c r="D2940" t="str">
        <f t="shared" si="318"/>
        <v/>
      </c>
      <c r="E2940" t="str">
        <f>IF(F2940="","",IF(COUNTIF($F$2:F2940,F2940)&gt;1,"",SUMIFS(tbl_input[필요수량],tbl_input[집계키_센터],F2940)))</f>
        <v/>
      </c>
      <c r="F2940" t="str">
        <f>IFERROR(INDEX(tbl_input[집계키_센터],ROW()-1),"")</f>
        <v/>
      </c>
      <c r="G2940" t="str">
        <f t="shared" si="319"/>
        <v/>
      </c>
      <c r="H2940" t="str">
        <f t="shared" si="320"/>
        <v/>
      </c>
      <c r="I2940" t="str">
        <f t="shared" si="321"/>
        <v/>
      </c>
    </row>
    <row r="2941" spans="1:9" x14ac:dyDescent="0.4">
      <c r="A2941" t="str">
        <f t="shared" si="315"/>
        <v/>
      </c>
      <c r="B2941" t="str">
        <f t="shared" si="316"/>
        <v/>
      </c>
      <c r="C2941" t="str">
        <f t="shared" si="317"/>
        <v/>
      </c>
      <c r="D2941" t="str">
        <f t="shared" si="318"/>
        <v/>
      </c>
      <c r="E2941" t="str">
        <f>IF(F2941="","",IF(COUNTIF($F$2:F2941,F2941)&gt;1,"",SUMIFS(tbl_input[필요수량],tbl_input[집계키_센터],F2941)))</f>
        <v/>
      </c>
      <c r="F2941" t="str">
        <f>IFERROR(INDEX(tbl_input[집계키_센터],ROW()-1),"")</f>
        <v/>
      </c>
      <c r="G2941" t="str">
        <f t="shared" si="319"/>
        <v/>
      </c>
      <c r="H2941" t="str">
        <f t="shared" si="320"/>
        <v/>
      </c>
      <c r="I2941" t="str">
        <f t="shared" si="321"/>
        <v/>
      </c>
    </row>
    <row r="2942" spans="1:9" x14ac:dyDescent="0.4">
      <c r="A2942" t="str">
        <f t="shared" si="315"/>
        <v/>
      </c>
      <c r="B2942" t="str">
        <f t="shared" si="316"/>
        <v/>
      </c>
      <c r="C2942" t="str">
        <f t="shared" si="317"/>
        <v/>
      </c>
      <c r="D2942" t="str">
        <f t="shared" si="318"/>
        <v/>
      </c>
      <c r="E2942" t="str">
        <f>IF(F2942="","",IF(COUNTIF($F$2:F2942,F2942)&gt;1,"",SUMIFS(tbl_input[필요수량],tbl_input[집계키_센터],F2942)))</f>
        <v/>
      </c>
      <c r="F2942" t="str">
        <f>IFERROR(INDEX(tbl_input[집계키_센터],ROW()-1),"")</f>
        <v/>
      </c>
      <c r="G2942" t="str">
        <f t="shared" si="319"/>
        <v/>
      </c>
      <c r="H2942" t="str">
        <f t="shared" si="320"/>
        <v/>
      </c>
      <c r="I2942" t="str">
        <f t="shared" si="321"/>
        <v/>
      </c>
    </row>
    <row r="2943" spans="1:9" x14ac:dyDescent="0.4">
      <c r="A2943" t="str">
        <f t="shared" si="315"/>
        <v/>
      </c>
      <c r="B2943" t="str">
        <f t="shared" si="316"/>
        <v/>
      </c>
      <c r="C2943" t="str">
        <f t="shared" si="317"/>
        <v/>
      </c>
      <c r="D2943" t="str">
        <f t="shared" si="318"/>
        <v/>
      </c>
      <c r="E2943" t="str">
        <f>IF(F2943="","",IF(COUNTIF($F$2:F2943,F2943)&gt;1,"",SUMIFS(tbl_input[필요수량],tbl_input[집계키_센터],F2943)))</f>
        <v/>
      </c>
      <c r="F2943" t="str">
        <f>IFERROR(INDEX(tbl_input[집계키_센터],ROW()-1),"")</f>
        <v/>
      </c>
      <c r="G2943" t="str">
        <f t="shared" si="319"/>
        <v/>
      </c>
      <c r="H2943" t="str">
        <f t="shared" si="320"/>
        <v/>
      </c>
      <c r="I2943" t="str">
        <f t="shared" si="321"/>
        <v/>
      </c>
    </row>
    <row r="2944" spans="1:9" x14ac:dyDescent="0.4">
      <c r="A2944" t="str">
        <f t="shared" si="315"/>
        <v/>
      </c>
      <c r="B2944" t="str">
        <f t="shared" si="316"/>
        <v/>
      </c>
      <c r="C2944" t="str">
        <f t="shared" si="317"/>
        <v/>
      </c>
      <c r="D2944" t="str">
        <f t="shared" si="318"/>
        <v/>
      </c>
      <c r="E2944" t="str">
        <f>IF(F2944="","",IF(COUNTIF($F$2:F2944,F2944)&gt;1,"",SUMIFS(tbl_input[필요수량],tbl_input[집계키_센터],F2944)))</f>
        <v/>
      </c>
      <c r="F2944" t="str">
        <f>IFERROR(INDEX(tbl_input[집계키_센터],ROW()-1),"")</f>
        <v/>
      </c>
      <c r="G2944" t="str">
        <f t="shared" si="319"/>
        <v/>
      </c>
      <c r="H2944" t="str">
        <f t="shared" si="320"/>
        <v/>
      </c>
      <c r="I2944" t="str">
        <f t="shared" si="321"/>
        <v/>
      </c>
    </row>
    <row r="2945" spans="1:9" x14ac:dyDescent="0.4">
      <c r="A2945" t="str">
        <f t="shared" si="315"/>
        <v/>
      </c>
      <c r="B2945" t="str">
        <f t="shared" si="316"/>
        <v/>
      </c>
      <c r="C2945" t="str">
        <f t="shared" si="317"/>
        <v/>
      </c>
      <c r="D2945" t="str">
        <f t="shared" si="318"/>
        <v/>
      </c>
      <c r="E2945" t="str">
        <f>IF(F2945="","",IF(COUNTIF($F$2:F2945,F2945)&gt;1,"",SUMIFS(tbl_input[필요수량],tbl_input[집계키_센터],F2945)))</f>
        <v/>
      </c>
      <c r="F2945" t="str">
        <f>IFERROR(INDEX(tbl_input[집계키_센터],ROW()-1),"")</f>
        <v/>
      </c>
      <c r="G2945" t="str">
        <f t="shared" si="319"/>
        <v/>
      </c>
      <c r="H2945" t="str">
        <f t="shared" si="320"/>
        <v/>
      </c>
      <c r="I2945" t="str">
        <f t="shared" si="321"/>
        <v/>
      </c>
    </row>
    <row r="2946" spans="1:9" x14ac:dyDescent="0.4">
      <c r="A2946" t="str">
        <f t="shared" ref="A2946:A3009" si="322">IF(F2946="","",LEFT(F2946,G2946-1))</f>
        <v/>
      </c>
      <c r="B2946" t="str">
        <f t="shared" ref="B2946:B3009" si="323">IF(F2946="","",MID(F2946,G2946+1,H2946-G2946-1))</f>
        <v/>
      </c>
      <c r="C2946" t="str">
        <f t="shared" ref="C2946:C3009" si="324">IF(F2946="","",MID(F2946,H2946+1,I2946-H2946-1))</f>
        <v/>
      </c>
      <c r="D2946" t="str">
        <f t="shared" ref="D2946:D3009" si="325">IF(F2946="","",MID(F2946,I2946+1,999))</f>
        <v/>
      </c>
      <c r="E2946" t="str">
        <f>IF(F2946="","",IF(COUNTIF($F$2:F2946,F2946)&gt;1,"",SUMIFS(tbl_input[필요수량],tbl_input[집계키_센터],F2946)))</f>
        <v/>
      </c>
      <c r="F2946" t="str">
        <f>IFERROR(INDEX(tbl_input[집계키_센터],ROW()-1),"")</f>
        <v/>
      </c>
      <c r="G2946" t="str">
        <f t="shared" ref="G2946:G3009" si="326">IF(F2946="","",FIND("♦",F2946))</f>
        <v/>
      </c>
      <c r="H2946" t="str">
        <f t="shared" ref="H2946:H3009" si="327">IF(F2946="","",FIND("♦",F2946,G2946+1))</f>
        <v/>
      </c>
      <c r="I2946" t="str">
        <f t="shared" ref="I2946:I3009" si="328">IF(F2946="","",FIND("♦",F2946,H2946+1))</f>
        <v/>
      </c>
    </row>
    <row r="2947" spans="1:9" x14ac:dyDescent="0.4">
      <c r="A2947" t="str">
        <f t="shared" si="322"/>
        <v/>
      </c>
      <c r="B2947" t="str">
        <f t="shared" si="323"/>
        <v/>
      </c>
      <c r="C2947" t="str">
        <f t="shared" si="324"/>
        <v/>
      </c>
      <c r="D2947" t="str">
        <f t="shared" si="325"/>
        <v/>
      </c>
      <c r="E2947" t="str">
        <f>IF(F2947="","",IF(COUNTIF($F$2:F2947,F2947)&gt;1,"",SUMIFS(tbl_input[필요수량],tbl_input[집계키_센터],F2947)))</f>
        <v/>
      </c>
      <c r="F2947" t="str">
        <f>IFERROR(INDEX(tbl_input[집계키_센터],ROW()-1),"")</f>
        <v/>
      </c>
      <c r="G2947" t="str">
        <f t="shared" si="326"/>
        <v/>
      </c>
      <c r="H2947" t="str">
        <f t="shared" si="327"/>
        <v/>
      </c>
      <c r="I2947" t="str">
        <f t="shared" si="328"/>
        <v/>
      </c>
    </row>
    <row r="2948" spans="1:9" x14ac:dyDescent="0.4">
      <c r="A2948" t="str">
        <f t="shared" si="322"/>
        <v/>
      </c>
      <c r="B2948" t="str">
        <f t="shared" si="323"/>
        <v/>
      </c>
      <c r="C2948" t="str">
        <f t="shared" si="324"/>
        <v/>
      </c>
      <c r="D2948" t="str">
        <f t="shared" si="325"/>
        <v/>
      </c>
      <c r="E2948" t="str">
        <f>IF(F2948="","",IF(COUNTIF($F$2:F2948,F2948)&gt;1,"",SUMIFS(tbl_input[필요수량],tbl_input[집계키_센터],F2948)))</f>
        <v/>
      </c>
      <c r="F2948" t="str">
        <f>IFERROR(INDEX(tbl_input[집계키_센터],ROW()-1),"")</f>
        <v/>
      </c>
      <c r="G2948" t="str">
        <f t="shared" si="326"/>
        <v/>
      </c>
      <c r="H2948" t="str">
        <f t="shared" si="327"/>
        <v/>
      </c>
      <c r="I2948" t="str">
        <f t="shared" si="328"/>
        <v/>
      </c>
    </row>
    <row r="2949" spans="1:9" x14ac:dyDescent="0.4">
      <c r="A2949" t="str">
        <f t="shared" si="322"/>
        <v/>
      </c>
      <c r="B2949" t="str">
        <f t="shared" si="323"/>
        <v/>
      </c>
      <c r="C2949" t="str">
        <f t="shared" si="324"/>
        <v/>
      </c>
      <c r="D2949" t="str">
        <f t="shared" si="325"/>
        <v/>
      </c>
      <c r="E2949" t="str">
        <f>IF(F2949="","",IF(COUNTIF($F$2:F2949,F2949)&gt;1,"",SUMIFS(tbl_input[필요수량],tbl_input[집계키_센터],F2949)))</f>
        <v/>
      </c>
      <c r="F2949" t="str">
        <f>IFERROR(INDEX(tbl_input[집계키_센터],ROW()-1),"")</f>
        <v/>
      </c>
      <c r="G2949" t="str">
        <f t="shared" si="326"/>
        <v/>
      </c>
      <c r="H2949" t="str">
        <f t="shared" si="327"/>
        <v/>
      </c>
      <c r="I2949" t="str">
        <f t="shared" si="328"/>
        <v/>
      </c>
    </row>
    <row r="2950" spans="1:9" x14ac:dyDescent="0.4">
      <c r="A2950" t="str">
        <f t="shared" si="322"/>
        <v/>
      </c>
      <c r="B2950" t="str">
        <f t="shared" si="323"/>
        <v/>
      </c>
      <c r="C2950" t="str">
        <f t="shared" si="324"/>
        <v/>
      </c>
      <c r="D2950" t="str">
        <f t="shared" si="325"/>
        <v/>
      </c>
      <c r="E2950" t="str">
        <f>IF(F2950="","",IF(COUNTIF($F$2:F2950,F2950)&gt;1,"",SUMIFS(tbl_input[필요수량],tbl_input[집계키_센터],F2950)))</f>
        <v/>
      </c>
      <c r="F2950" t="str">
        <f>IFERROR(INDEX(tbl_input[집계키_센터],ROW()-1),"")</f>
        <v/>
      </c>
      <c r="G2950" t="str">
        <f t="shared" si="326"/>
        <v/>
      </c>
      <c r="H2950" t="str">
        <f t="shared" si="327"/>
        <v/>
      </c>
      <c r="I2950" t="str">
        <f t="shared" si="328"/>
        <v/>
      </c>
    </row>
    <row r="2951" spans="1:9" x14ac:dyDescent="0.4">
      <c r="A2951" t="str">
        <f t="shared" si="322"/>
        <v/>
      </c>
      <c r="B2951" t="str">
        <f t="shared" si="323"/>
        <v/>
      </c>
      <c r="C2951" t="str">
        <f t="shared" si="324"/>
        <v/>
      </c>
      <c r="D2951" t="str">
        <f t="shared" si="325"/>
        <v/>
      </c>
      <c r="E2951" t="str">
        <f>IF(F2951="","",IF(COUNTIF($F$2:F2951,F2951)&gt;1,"",SUMIFS(tbl_input[필요수량],tbl_input[집계키_센터],F2951)))</f>
        <v/>
      </c>
      <c r="F2951" t="str">
        <f>IFERROR(INDEX(tbl_input[집계키_센터],ROW()-1),"")</f>
        <v/>
      </c>
      <c r="G2951" t="str">
        <f t="shared" si="326"/>
        <v/>
      </c>
      <c r="H2951" t="str">
        <f t="shared" si="327"/>
        <v/>
      </c>
      <c r="I2951" t="str">
        <f t="shared" si="328"/>
        <v/>
      </c>
    </row>
    <row r="2952" spans="1:9" x14ac:dyDescent="0.4">
      <c r="A2952" t="str">
        <f t="shared" si="322"/>
        <v/>
      </c>
      <c r="B2952" t="str">
        <f t="shared" si="323"/>
        <v/>
      </c>
      <c r="C2952" t="str">
        <f t="shared" si="324"/>
        <v/>
      </c>
      <c r="D2952" t="str">
        <f t="shared" si="325"/>
        <v/>
      </c>
      <c r="E2952" t="str">
        <f>IF(F2952="","",IF(COUNTIF($F$2:F2952,F2952)&gt;1,"",SUMIFS(tbl_input[필요수량],tbl_input[집계키_센터],F2952)))</f>
        <v/>
      </c>
      <c r="F2952" t="str">
        <f>IFERROR(INDEX(tbl_input[집계키_센터],ROW()-1),"")</f>
        <v/>
      </c>
      <c r="G2952" t="str">
        <f t="shared" si="326"/>
        <v/>
      </c>
      <c r="H2952" t="str">
        <f t="shared" si="327"/>
        <v/>
      </c>
      <c r="I2952" t="str">
        <f t="shared" si="328"/>
        <v/>
      </c>
    </row>
    <row r="2953" spans="1:9" x14ac:dyDescent="0.4">
      <c r="A2953" t="str">
        <f t="shared" si="322"/>
        <v/>
      </c>
      <c r="B2953" t="str">
        <f t="shared" si="323"/>
        <v/>
      </c>
      <c r="C2953" t="str">
        <f t="shared" si="324"/>
        <v/>
      </c>
      <c r="D2953" t="str">
        <f t="shared" si="325"/>
        <v/>
      </c>
      <c r="E2953" t="str">
        <f>IF(F2953="","",IF(COUNTIF($F$2:F2953,F2953)&gt;1,"",SUMIFS(tbl_input[필요수량],tbl_input[집계키_센터],F2953)))</f>
        <v/>
      </c>
      <c r="F2953" t="str">
        <f>IFERROR(INDEX(tbl_input[집계키_센터],ROW()-1),"")</f>
        <v/>
      </c>
      <c r="G2953" t="str">
        <f t="shared" si="326"/>
        <v/>
      </c>
      <c r="H2953" t="str">
        <f t="shared" si="327"/>
        <v/>
      </c>
      <c r="I2953" t="str">
        <f t="shared" si="328"/>
        <v/>
      </c>
    </row>
    <row r="2954" spans="1:9" x14ac:dyDescent="0.4">
      <c r="A2954" t="str">
        <f t="shared" si="322"/>
        <v/>
      </c>
      <c r="B2954" t="str">
        <f t="shared" si="323"/>
        <v/>
      </c>
      <c r="C2954" t="str">
        <f t="shared" si="324"/>
        <v/>
      </c>
      <c r="D2954" t="str">
        <f t="shared" si="325"/>
        <v/>
      </c>
      <c r="E2954" t="str">
        <f>IF(F2954="","",IF(COUNTIF($F$2:F2954,F2954)&gt;1,"",SUMIFS(tbl_input[필요수량],tbl_input[집계키_센터],F2954)))</f>
        <v/>
      </c>
      <c r="F2954" t="str">
        <f>IFERROR(INDEX(tbl_input[집계키_센터],ROW()-1),"")</f>
        <v/>
      </c>
      <c r="G2954" t="str">
        <f t="shared" si="326"/>
        <v/>
      </c>
      <c r="H2954" t="str">
        <f t="shared" si="327"/>
        <v/>
      </c>
      <c r="I2954" t="str">
        <f t="shared" si="328"/>
        <v/>
      </c>
    </row>
    <row r="2955" spans="1:9" x14ac:dyDescent="0.4">
      <c r="A2955" t="str">
        <f t="shared" si="322"/>
        <v/>
      </c>
      <c r="B2955" t="str">
        <f t="shared" si="323"/>
        <v/>
      </c>
      <c r="C2955" t="str">
        <f t="shared" si="324"/>
        <v/>
      </c>
      <c r="D2955" t="str">
        <f t="shared" si="325"/>
        <v/>
      </c>
      <c r="E2955" t="str">
        <f>IF(F2955="","",IF(COUNTIF($F$2:F2955,F2955)&gt;1,"",SUMIFS(tbl_input[필요수량],tbl_input[집계키_센터],F2955)))</f>
        <v/>
      </c>
      <c r="F2955" t="str">
        <f>IFERROR(INDEX(tbl_input[집계키_센터],ROW()-1),"")</f>
        <v/>
      </c>
      <c r="G2955" t="str">
        <f t="shared" si="326"/>
        <v/>
      </c>
      <c r="H2955" t="str">
        <f t="shared" si="327"/>
        <v/>
      </c>
      <c r="I2955" t="str">
        <f t="shared" si="328"/>
        <v/>
      </c>
    </row>
    <row r="2956" spans="1:9" x14ac:dyDescent="0.4">
      <c r="A2956" t="str">
        <f t="shared" si="322"/>
        <v/>
      </c>
      <c r="B2956" t="str">
        <f t="shared" si="323"/>
        <v/>
      </c>
      <c r="C2956" t="str">
        <f t="shared" si="324"/>
        <v/>
      </c>
      <c r="D2956" t="str">
        <f t="shared" si="325"/>
        <v/>
      </c>
      <c r="E2956" t="str">
        <f>IF(F2956="","",IF(COUNTIF($F$2:F2956,F2956)&gt;1,"",SUMIFS(tbl_input[필요수량],tbl_input[집계키_센터],F2956)))</f>
        <v/>
      </c>
      <c r="F2956" t="str">
        <f>IFERROR(INDEX(tbl_input[집계키_센터],ROW()-1),"")</f>
        <v/>
      </c>
      <c r="G2956" t="str">
        <f t="shared" si="326"/>
        <v/>
      </c>
      <c r="H2956" t="str">
        <f t="shared" si="327"/>
        <v/>
      </c>
      <c r="I2956" t="str">
        <f t="shared" si="328"/>
        <v/>
      </c>
    </row>
    <row r="2957" spans="1:9" x14ac:dyDescent="0.4">
      <c r="A2957" t="str">
        <f t="shared" si="322"/>
        <v/>
      </c>
      <c r="B2957" t="str">
        <f t="shared" si="323"/>
        <v/>
      </c>
      <c r="C2957" t="str">
        <f t="shared" si="324"/>
        <v/>
      </c>
      <c r="D2957" t="str">
        <f t="shared" si="325"/>
        <v/>
      </c>
      <c r="E2957" t="str">
        <f>IF(F2957="","",IF(COUNTIF($F$2:F2957,F2957)&gt;1,"",SUMIFS(tbl_input[필요수량],tbl_input[집계키_센터],F2957)))</f>
        <v/>
      </c>
      <c r="F2957" t="str">
        <f>IFERROR(INDEX(tbl_input[집계키_센터],ROW()-1),"")</f>
        <v/>
      </c>
      <c r="G2957" t="str">
        <f t="shared" si="326"/>
        <v/>
      </c>
      <c r="H2957" t="str">
        <f t="shared" si="327"/>
        <v/>
      </c>
      <c r="I2957" t="str">
        <f t="shared" si="328"/>
        <v/>
      </c>
    </row>
    <row r="2958" spans="1:9" x14ac:dyDescent="0.4">
      <c r="A2958" t="str">
        <f t="shared" si="322"/>
        <v/>
      </c>
      <c r="B2958" t="str">
        <f t="shared" si="323"/>
        <v/>
      </c>
      <c r="C2958" t="str">
        <f t="shared" si="324"/>
        <v/>
      </c>
      <c r="D2958" t="str">
        <f t="shared" si="325"/>
        <v/>
      </c>
      <c r="E2958" t="str">
        <f>IF(F2958="","",IF(COUNTIF($F$2:F2958,F2958)&gt;1,"",SUMIFS(tbl_input[필요수량],tbl_input[집계키_센터],F2958)))</f>
        <v/>
      </c>
      <c r="F2958" t="str">
        <f>IFERROR(INDEX(tbl_input[집계키_센터],ROW()-1),"")</f>
        <v/>
      </c>
      <c r="G2958" t="str">
        <f t="shared" si="326"/>
        <v/>
      </c>
      <c r="H2958" t="str">
        <f t="shared" si="327"/>
        <v/>
      </c>
      <c r="I2958" t="str">
        <f t="shared" si="328"/>
        <v/>
      </c>
    </row>
    <row r="2959" spans="1:9" x14ac:dyDescent="0.4">
      <c r="A2959" t="str">
        <f t="shared" si="322"/>
        <v/>
      </c>
      <c r="B2959" t="str">
        <f t="shared" si="323"/>
        <v/>
      </c>
      <c r="C2959" t="str">
        <f t="shared" si="324"/>
        <v/>
      </c>
      <c r="D2959" t="str">
        <f t="shared" si="325"/>
        <v/>
      </c>
      <c r="E2959" t="str">
        <f>IF(F2959="","",IF(COUNTIF($F$2:F2959,F2959)&gt;1,"",SUMIFS(tbl_input[필요수량],tbl_input[집계키_센터],F2959)))</f>
        <v/>
      </c>
      <c r="F2959" t="str">
        <f>IFERROR(INDEX(tbl_input[집계키_센터],ROW()-1),"")</f>
        <v/>
      </c>
      <c r="G2959" t="str">
        <f t="shared" si="326"/>
        <v/>
      </c>
      <c r="H2959" t="str">
        <f t="shared" si="327"/>
        <v/>
      </c>
      <c r="I2959" t="str">
        <f t="shared" si="328"/>
        <v/>
      </c>
    </row>
    <row r="2960" spans="1:9" x14ac:dyDescent="0.4">
      <c r="A2960" t="str">
        <f t="shared" si="322"/>
        <v/>
      </c>
      <c r="B2960" t="str">
        <f t="shared" si="323"/>
        <v/>
      </c>
      <c r="C2960" t="str">
        <f t="shared" si="324"/>
        <v/>
      </c>
      <c r="D2960" t="str">
        <f t="shared" si="325"/>
        <v/>
      </c>
      <c r="E2960" t="str">
        <f>IF(F2960="","",IF(COUNTIF($F$2:F2960,F2960)&gt;1,"",SUMIFS(tbl_input[필요수량],tbl_input[집계키_센터],F2960)))</f>
        <v/>
      </c>
      <c r="F2960" t="str">
        <f>IFERROR(INDEX(tbl_input[집계키_센터],ROW()-1),"")</f>
        <v/>
      </c>
      <c r="G2960" t="str">
        <f t="shared" si="326"/>
        <v/>
      </c>
      <c r="H2960" t="str">
        <f t="shared" si="327"/>
        <v/>
      </c>
      <c r="I2960" t="str">
        <f t="shared" si="328"/>
        <v/>
      </c>
    </row>
    <row r="2961" spans="1:9" x14ac:dyDescent="0.4">
      <c r="A2961" t="str">
        <f t="shared" si="322"/>
        <v/>
      </c>
      <c r="B2961" t="str">
        <f t="shared" si="323"/>
        <v/>
      </c>
      <c r="C2961" t="str">
        <f t="shared" si="324"/>
        <v/>
      </c>
      <c r="D2961" t="str">
        <f t="shared" si="325"/>
        <v/>
      </c>
      <c r="E2961" t="str">
        <f>IF(F2961="","",IF(COUNTIF($F$2:F2961,F2961)&gt;1,"",SUMIFS(tbl_input[필요수량],tbl_input[집계키_센터],F2961)))</f>
        <v/>
      </c>
      <c r="F2961" t="str">
        <f>IFERROR(INDEX(tbl_input[집계키_센터],ROW()-1),"")</f>
        <v/>
      </c>
      <c r="G2961" t="str">
        <f t="shared" si="326"/>
        <v/>
      </c>
      <c r="H2961" t="str">
        <f t="shared" si="327"/>
        <v/>
      </c>
      <c r="I2961" t="str">
        <f t="shared" si="328"/>
        <v/>
      </c>
    </row>
    <row r="2962" spans="1:9" x14ac:dyDescent="0.4">
      <c r="A2962" t="str">
        <f t="shared" si="322"/>
        <v/>
      </c>
      <c r="B2962" t="str">
        <f t="shared" si="323"/>
        <v/>
      </c>
      <c r="C2962" t="str">
        <f t="shared" si="324"/>
        <v/>
      </c>
      <c r="D2962" t="str">
        <f t="shared" si="325"/>
        <v/>
      </c>
      <c r="E2962" t="str">
        <f>IF(F2962="","",IF(COUNTIF($F$2:F2962,F2962)&gt;1,"",SUMIFS(tbl_input[필요수량],tbl_input[집계키_센터],F2962)))</f>
        <v/>
      </c>
      <c r="F2962" t="str">
        <f>IFERROR(INDEX(tbl_input[집계키_센터],ROW()-1),"")</f>
        <v/>
      </c>
      <c r="G2962" t="str">
        <f t="shared" si="326"/>
        <v/>
      </c>
      <c r="H2962" t="str">
        <f t="shared" si="327"/>
        <v/>
      </c>
      <c r="I2962" t="str">
        <f t="shared" si="328"/>
        <v/>
      </c>
    </row>
    <row r="2963" spans="1:9" x14ac:dyDescent="0.4">
      <c r="A2963" t="str">
        <f t="shared" si="322"/>
        <v/>
      </c>
      <c r="B2963" t="str">
        <f t="shared" si="323"/>
        <v/>
      </c>
      <c r="C2963" t="str">
        <f t="shared" si="324"/>
        <v/>
      </c>
      <c r="D2963" t="str">
        <f t="shared" si="325"/>
        <v/>
      </c>
      <c r="E2963" t="str">
        <f>IF(F2963="","",IF(COUNTIF($F$2:F2963,F2963)&gt;1,"",SUMIFS(tbl_input[필요수량],tbl_input[집계키_센터],F2963)))</f>
        <v/>
      </c>
      <c r="F2963" t="str">
        <f>IFERROR(INDEX(tbl_input[집계키_센터],ROW()-1),"")</f>
        <v/>
      </c>
      <c r="G2963" t="str">
        <f t="shared" si="326"/>
        <v/>
      </c>
      <c r="H2963" t="str">
        <f t="shared" si="327"/>
        <v/>
      </c>
      <c r="I2963" t="str">
        <f t="shared" si="328"/>
        <v/>
      </c>
    </row>
    <row r="2964" spans="1:9" x14ac:dyDescent="0.4">
      <c r="A2964" t="str">
        <f t="shared" si="322"/>
        <v/>
      </c>
      <c r="B2964" t="str">
        <f t="shared" si="323"/>
        <v/>
      </c>
      <c r="C2964" t="str">
        <f t="shared" si="324"/>
        <v/>
      </c>
      <c r="D2964" t="str">
        <f t="shared" si="325"/>
        <v/>
      </c>
      <c r="E2964" t="str">
        <f>IF(F2964="","",IF(COUNTIF($F$2:F2964,F2964)&gt;1,"",SUMIFS(tbl_input[필요수량],tbl_input[집계키_센터],F2964)))</f>
        <v/>
      </c>
      <c r="F2964" t="str">
        <f>IFERROR(INDEX(tbl_input[집계키_센터],ROW()-1),"")</f>
        <v/>
      </c>
      <c r="G2964" t="str">
        <f t="shared" si="326"/>
        <v/>
      </c>
      <c r="H2964" t="str">
        <f t="shared" si="327"/>
        <v/>
      </c>
      <c r="I2964" t="str">
        <f t="shared" si="328"/>
        <v/>
      </c>
    </row>
    <row r="2965" spans="1:9" x14ac:dyDescent="0.4">
      <c r="A2965" t="str">
        <f t="shared" si="322"/>
        <v/>
      </c>
      <c r="B2965" t="str">
        <f t="shared" si="323"/>
        <v/>
      </c>
      <c r="C2965" t="str">
        <f t="shared" si="324"/>
        <v/>
      </c>
      <c r="D2965" t="str">
        <f t="shared" si="325"/>
        <v/>
      </c>
      <c r="E2965" t="str">
        <f>IF(F2965="","",IF(COUNTIF($F$2:F2965,F2965)&gt;1,"",SUMIFS(tbl_input[필요수량],tbl_input[집계키_센터],F2965)))</f>
        <v/>
      </c>
      <c r="F2965" t="str">
        <f>IFERROR(INDEX(tbl_input[집계키_센터],ROW()-1),"")</f>
        <v/>
      </c>
      <c r="G2965" t="str">
        <f t="shared" si="326"/>
        <v/>
      </c>
      <c r="H2965" t="str">
        <f t="shared" si="327"/>
        <v/>
      </c>
      <c r="I2965" t="str">
        <f t="shared" si="328"/>
        <v/>
      </c>
    </row>
    <row r="2966" spans="1:9" x14ac:dyDescent="0.4">
      <c r="A2966" t="str">
        <f t="shared" si="322"/>
        <v/>
      </c>
      <c r="B2966" t="str">
        <f t="shared" si="323"/>
        <v/>
      </c>
      <c r="C2966" t="str">
        <f t="shared" si="324"/>
        <v/>
      </c>
      <c r="D2966" t="str">
        <f t="shared" si="325"/>
        <v/>
      </c>
      <c r="E2966" t="str">
        <f>IF(F2966="","",IF(COUNTIF($F$2:F2966,F2966)&gt;1,"",SUMIFS(tbl_input[필요수량],tbl_input[집계키_센터],F2966)))</f>
        <v/>
      </c>
      <c r="F2966" t="str">
        <f>IFERROR(INDEX(tbl_input[집계키_센터],ROW()-1),"")</f>
        <v/>
      </c>
      <c r="G2966" t="str">
        <f t="shared" si="326"/>
        <v/>
      </c>
      <c r="H2966" t="str">
        <f t="shared" si="327"/>
        <v/>
      </c>
      <c r="I2966" t="str">
        <f t="shared" si="328"/>
        <v/>
      </c>
    </row>
    <row r="2967" spans="1:9" x14ac:dyDescent="0.4">
      <c r="A2967" t="str">
        <f t="shared" si="322"/>
        <v/>
      </c>
      <c r="B2967" t="str">
        <f t="shared" si="323"/>
        <v/>
      </c>
      <c r="C2967" t="str">
        <f t="shared" si="324"/>
        <v/>
      </c>
      <c r="D2967" t="str">
        <f t="shared" si="325"/>
        <v/>
      </c>
      <c r="E2967" t="str">
        <f>IF(F2967="","",IF(COUNTIF($F$2:F2967,F2967)&gt;1,"",SUMIFS(tbl_input[필요수량],tbl_input[집계키_센터],F2967)))</f>
        <v/>
      </c>
      <c r="F2967" t="str">
        <f>IFERROR(INDEX(tbl_input[집계키_센터],ROW()-1),"")</f>
        <v/>
      </c>
      <c r="G2967" t="str">
        <f t="shared" si="326"/>
        <v/>
      </c>
      <c r="H2967" t="str">
        <f t="shared" si="327"/>
        <v/>
      </c>
      <c r="I2967" t="str">
        <f t="shared" si="328"/>
        <v/>
      </c>
    </row>
    <row r="2968" spans="1:9" x14ac:dyDescent="0.4">
      <c r="A2968" t="str">
        <f t="shared" si="322"/>
        <v/>
      </c>
      <c r="B2968" t="str">
        <f t="shared" si="323"/>
        <v/>
      </c>
      <c r="C2968" t="str">
        <f t="shared" si="324"/>
        <v/>
      </c>
      <c r="D2968" t="str">
        <f t="shared" si="325"/>
        <v/>
      </c>
      <c r="E2968" t="str">
        <f>IF(F2968="","",IF(COUNTIF($F$2:F2968,F2968)&gt;1,"",SUMIFS(tbl_input[필요수량],tbl_input[집계키_센터],F2968)))</f>
        <v/>
      </c>
      <c r="F2968" t="str">
        <f>IFERROR(INDEX(tbl_input[집계키_센터],ROW()-1),"")</f>
        <v/>
      </c>
      <c r="G2968" t="str">
        <f t="shared" si="326"/>
        <v/>
      </c>
      <c r="H2968" t="str">
        <f t="shared" si="327"/>
        <v/>
      </c>
      <c r="I2968" t="str">
        <f t="shared" si="328"/>
        <v/>
      </c>
    </row>
    <row r="2969" spans="1:9" x14ac:dyDescent="0.4">
      <c r="A2969" t="str">
        <f t="shared" si="322"/>
        <v/>
      </c>
      <c r="B2969" t="str">
        <f t="shared" si="323"/>
        <v/>
      </c>
      <c r="C2969" t="str">
        <f t="shared" si="324"/>
        <v/>
      </c>
      <c r="D2969" t="str">
        <f t="shared" si="325"/>
        <v/>
      </c>
      <c r="E2969" t="str">
        <f>IF(F2969="","",IF(COUNTIF($F$2:F2969,F2969)&gt;1,"",SUMIFS(tbl_input[필요수량],tbl_input[집계키_센터],F2969)))</f>
        <v/>
      </c>
      <c r="F2969" t="str">
        <f>IFERROR(INDEX(tbl_input[집계키_센터],ROW()-1),"")</f>
        <v/>
      </c>
      <c r="G2969" t="str">
        <f t="shared" si="326"/>
        <v/>
      </c>
      <c r="H2969" t="str">
        <f t="shared" si="327"/>
        <v/>
      </c>
      <c r="I2969" t="str">
        <f t="shared" si="328"/>
        <v/>
      </c>
    </row>
    <row r="2970" spans="1:9" x14ac:dyDescent="0.4">
      <c r="A2970" t="str">
        <f t="shared" si="322"/>
        <v/>
      </c>
      <c r="B2970" t="str">
        <f t="shared" si="323"/>
        <v/>
      </c>
      <c r="C2970" t="str">
        <f t="shared" si="324"/>
        <v/>
      </c>
      <c r="D2970" t="str">
        <f t="shared" si="325"/>
        <v/>
      </c>
      <c r="E2970" t="str">
        <f>IF(F2970="","",IF(COUNTIF($F$2:F2970,F2970)&gt;1,"",SUMIFS(tbl_input[필요수량],tbl_input[집계키_센터],F2970)))</f>
        <v/>
      </c>
      <c r="F2970" t="str">
        <f>IFERROR(INDEX(tbl_input[집계키_센터],ROW()-1),"")</f>
        <v/>
      </c>
      <c r="G2970" t="str">
        <f t="shared" si="326"/>
        <v/>
      </c>
      <c r="H2970" t="str">
        <f t="shared" si="327"/>
        <v/>
      </c>
      <c r="I2970" t="str">
        <f t="shared" si="328"/>
        <v/>
      </c>
    </row>
    <row r="2971" spans="1:9" x14ac:dyDescent="0.4">
      <c r="A2971" t="str">
        <f t="shared" si="322"/>
        <v/>
      </c>
      <c r="B2971" t="str">
        <f t="shared" si="323"/>
        <v/>
      </c>
      <c r="C2971" t="str">
        <f t="shared" si="324"/>
        <v/>
      </c>
      <c r="D2971" t="str">
        <f t="shared" si="325"/>
        <v/>
      </c>
      <c r="E2971" t="str">
        <f>IF(F2971="","",IF(COUNTIF($F$2:F2971,F2971)&gt;1,"",SUMIFS(tbl_input[필요수량],tbl_input[집계키_센터],F2971)))</f>
        <v/>
      </c>
      <c r="F2971" t="str">
        <f>IFERROR(INDEX(tbl_input[집계키_센터],ROW()-1),"")</f>
        <v/>
      </c>
      <c r="G2971" t="str">
        <f t="shared" si="326"/>
        <v/>
      </c>
      <c r="H2971" t="str">
        <f t="shared" si="327"/>
        <v/>
      </c>
      <c r="I2971" t="str">
        <f t="shared" si="328"/>
        <v/>
      </c>
    </row>
    <row r="2972" spans="1:9" x14ac:dyDescent="0.4">
      <c r="A2972" t="str">
        <f t="shared" si="322"/>
        <v/>
      </c>
      <c r="B2972" t="str">
        <f t="shared" si="323"/>
        <v/>
      </c>
      <c r="C2972" t="str">
        <f t="shared" si="324"/>
        <v/>
      </c>
      <c r="D2972" t="str">
        <f t="shared" si="325"/>
        <v/>
      </c>
      <c r="E2972" t="str">
        <f>IF(F2972="","",IF(COUNTIF($F$2:F2972,F2972)&gt;1,"",SUMIFS(tbl_input[필요수량],tbl_input[집계키_센터],F2972)))</f>
        <v/>
      </c>
      <c r="F2972" t="str">
        <f>IFERROR(INDEX(tbl_input[집계키_센터],ROW()-1),"")</f>
        <v/>
      </c>
      <c r="G2972" t="str">
        <f t="shared" si="326"/>
        <v/>
      </c>
      <c r="H2972" t="str">
        <f t="shared" si="327"/>
        <v/>
      </c>
      <c r="I2972" t="str">
        <f t="shared" si="328"/>
        <v/>
      </c>
    </row>
    <row r="2973" spans="1:9" x14ac:dyDescent="0.4">
      <c r="A2973" t="str">
        <f t="shared" si="322"/>
        <v/>
      </c>
      <c r="B2973" t="str">
        <f t="shared" si="323"/>
        <v/>
      </c>
      <c r="C2973" t="str">
        <f t="shared" si="324"/>
        <v/>
      </c>
      <c r="D2973" t="str">
        <f t="shared" si="325"/>
        <v/>
      </c>
      <c r="E2973" t="str">
        <f>IF(F2973="","",IF(COUNTIF($F$2:F2973,F2973)&gt;1,"",SUMIFS(tbl_input[필요수량],tbl_input[집계키_센터],F2973)))</f>
        <v/>
      </c>
      <c r="F2973" t="str">
        <f>IFERROR(INDEX(tbl_input[집계키_센터],ROW()-1),"")</f>
        <v/>
      </c>
      <c r="G2973" t="str">
        <f t="shared" si="326"/>
        <v/>
      </c>
      <c r="H2973" t="str">
        <f t="shared" si="327"/>
        <v/>
      </c>
      <c r="I2973" t="str">
        <f t="shared" si="328"/>
        <v/>
      </c>
    </row>
    <row r="2974" spans="1:9" x14ac:dyDescent="0.4">
      <c r="A2974" t="str">
        <f t="shared" si="322"/>
        <v/>
      </c>
      <c r="B2974" t="str">
        <f t="shared" si="323"/>
        <v/>
      </c>
      <c r="C2974" t="str">
        <f t="shared" si="324"/>
        <v/>
      </c>
      <c r="D2974" t="str">
        <f t="shared" si="325"/>
        <v/>
      </c>
      <c r="E2974" t="str">
        <f>IF(F2974="","",IF(COUNTIF($F$2:F2974,F2974)&gt;1,"",SUMIFS(tbl_input[필요수량],tbl_input[집계키_센터],F2974)))</f>
        <v/>
      </c>
      <c r="F2974" t="str">
        <f>IFERROR(INDEX(tbl_input[집계키_센터],ROW()-1),"")</f>
        <v/>
      </c>
      <c r="G2974" t="str">
        <f t="shared" si="326"/>
        <v/>
      </c>
      <c r="H2974" t="str">
        <f t="shared" si="327"/>
        <v/>
      </c>
      <c r="I2974" t="str">
        <f t="shared" si="328"/>
        <v/>
      </c>
    </row>
    <row r="2975" spans="1:9" x14ac:dyDescent="0.4">
      <c r="A2975" t="str">
        <f t="shared" si="322"/>
        <v/>
      </c>
      <c r="B2975" t="str">
        <f t="shared" si="323"/>
        <v/>
      </c>
      <c r="C2975" t="str">
        <f t="shared" si="324"/>
        <v/>
      </c>
      <c r="D2975" t="str">
        <f t="shared" si="325"/>
        <v/>
      </c>
      <c r="E2975" t="str">
        <f>IF(F2975="","",IF(COUNTIF($F$2:F2975,F2975)&gt;1,"",SUMIFS(tbl_input[필요수량],tbl_input[집계키_센터],F2975)))</f>
        <v/>
      </c>
      <c r="F2975" t="str">
        <f>IFERROR(INDEX(tbl_input[집계키_센터],ROW()-1),"")</f>
        <v/>
      </c>
      <c r="G2975" t="str">
        <f t="shared" si="326"/>
        <v/>
      </c>
      <c r="H2975" t="str">
        <f t="shared" si="327"/>
        <v/>
      </c>
      <c r="I2975" t="str">
        <f t="shared" si="328"/>
        <v/>
      </c>
    </row>
    <row r="2976" spans="1:9" x14ac:dyDescent="0.4">
      <c r="A2976" t="str">
        <f t="shared" si="322"/>
        <v/>
      </c>
      <c r="B2976" t="str">
        <f t="shared" si="323"/>
        <v/>
      </c>
      <c r="C2976" t="str">
        <f t="shared" si="324"/>
        <v/>
      </c>
      <c r="D2976" t="str">
        <f t="shared" si="325"/>
        <v/>
      </c>
      <c r="E2976" t="str">
        <f>IF(F2976="","",IF(COUNTIF($F$2:F2976,F2976)&gt;1,"",SUMIFS(tbl_input[필요수량],tbl_input[집계키_센터],F2976)))</f>
        <v/>
      </c>
      <c r="F2976" t="str">
        <f>IFERROR(INDEX(tbl_input[집계키_센터],ROW()-1),"")</f>
        <v/>
      </c>
      <c r="G2976" t="str">
        <f t="shared" si="326"/>
        <v/>
      </c>
      <c r="H2976" t="str">
        <f t="shared" si="327"/>
        <v/>
      </c>
      <c r="I2976" t="str">
        <f t="shared" si="328"/>
        <v/>
      </c>
    </row>
    <row r="2977" spans="1:9" x14ac:dyDescent="0.4">
      <c r="A2977" t="str">
        <f t="shared" si="322"/>
        <v/>
      </c>
      <c r="B2977" t="str">
        <f t="shared" si="323"/>
        <v/>
      </c>
      <c r="C2977" t="str">
        <f t="shared" si="324"/>
        <v/>
      </c>
      <c r="D2977" t="str">
        <f t="shared" si="325"/>
        <v/>
      </c>
      <c r="E2977" t="str">
        <f>IF(F2977="","",IF(COUNTIF($F$2:F2977,F2977)&gt;1,"",SUMIFS(tbl_input[필요수량],tbl_input[집계키_센터],F2977)))</f>
        <v/>
      </c>
      <c r="F2977" t="str">
        <f>IFERROR(INDEX(tbl_input[집계키_센터],ROW()-1),"")</f>
        <v/>
      </c>
      <c r="G2977" t="str">
        <f t="shared" si="326"/>
        <v/>
      </c>
      <c r="H2977" t="str">
        <f t="shared" si="327"/>
        <v/>
      </c>
      <c r="I2977" t="str">
        <f t="shared" si="328"/>
        <v/>
      </c>
    </row>
    <row r="2978" spans="1:9" x14ac:dyDescent="0.4">
      <c r="A2978" t="str">
        <f t="shared" si="322"/>
        <v/>
      </c>
      <c r="B2978" t="str">
        <f t="shared" si="323"/>
        <v/>
      </c>
      <c r="C2978" t="str">
        <f t="shared" si="324"/>
        <v/>
      </c>
      <c r="D2978" t="str">
        <f t="shared" si="325"/>
        <v/>
      </c>
      <c r="E2978" t="str">
        <f>IF(F2978="","",IF(COUNTIF($F$2:F2978,F2978)&gt;1,"",SUMIFS(tbl_input[필요수량],tbl_input[집계키_센터],F2978)))</f>
        <v/>
      </c>
      <c r="F2978" t="str">
        <f>IFERROR(INDEX(tbl_input[집계키_센터],ROW()-1),"")</f>
        <v/>
      </c>
      <c r="G2978" t="str">
        <f t="shared" si="326"/>
        <v/>
      </c>
      <c r="H2978" t="str">
        <f t="shared" si="327"/>
        <v/>
      </c>
      <c r="I2978" t="str">
        <f t="shared" si="328"/>
        <v/>
      </c>
    </row>
    <row r="2979" spans="1:9" x14ac:dyDescent="0.4">
      <c r="A2979" t="str">
        <f t="shared" si="322"/>
        <v/>
      </c>
      <c r="B2979" t="str">
        <f t="shared" si="323"/>
        <v/>
      </c>
      <c r="C2979" t="str">
        <f t="shared" si="324"/>
        <v/>
      </c>
      <c r="D2979" t="str">
        <f t="shared" si="325"/>
        <v/>
      </c>
      <c r="E2979" t="str">
        <f>IF(F2979="","",IF(COUNTIF($F$2:F2979,F2979)&gt;1,"",SUMIFS(tbl_input[필요수량],tbl_input[집계키_센터],F2979)))</f>
        <v/>
      </c>
      <c r="F2979" t="str">
        <f>IFERROR(INDEX(tbl_input[집계키_센터],ROW()-1),"")</f>
        <v/>
      </c>
      <c r="G2979" t="str">
        <f t="shared" si="326"/>
        <v/>
      </c>
      <c r="H2979" t="str">
        <f t="shared" si="327"/>
        <v/>
      </c>
      <c r="I2979" t="str">
        <f t="shared" si="328"/>
        <v/>
      </c>
    </row>
    <row r="2980" spans="1:9" x14ac:dyDescent="0.4">
      <c r="A2980" t="str">
        <f t="shared" si="322"/>
        <v/>
      </c>
      <c r="B2980" t="str">
        <f t="shared" si="323"/>
        <v/>
      </c>
      <c r="C2980" t="str">
        <f t="shared" si="324"/>
        <v/>
      </c>
      <c r="D2980" t="str">
        <f t="shared" si="325"/>
        <v/>
      </c>
      <c r="E2980" t="str">
        <f>IF(F2980="","",IF(COUNTIF($F$2:F2980,F2980)&gt;1,"",SUMIFS(tbl_input[필요수량],tbl_input[집계키_센터],F2980)))</f>
        <v/>
      </c>
      <c r="F2980" t="str">
        <f>IFERROR(INDEX(tbl_input[집계키_센터],ROW()-1),"")</f>
        <v/>
      </c>
      <c r="G2980" t="str">
        <f t="shared" si="326"/>
        <v/>
      </c>
      <c r="H2980" t="str">
        <f t="shared" si="327"/>
        <v/>
      </c>
      <c r="I2980" t="str">
        <f t="shared" si="328"/>
        <v/>
      </c>
    </row>
    <row r="2981" spans="1:9" x14ac:dyDescent="0.4">
      <c r="A2981" t="str">
        <f t="shared" si="322"/>
        <v/>
      </c>
      <c r="B2981" t="str">
        <f t="shared" si="323"/>
        <v/>
      </c>
      <c r="C2981" t="str">
        <f t="shared" si="324"/>
        <v/>
      </c>
      <c r="D2981" t="str">
        <f t="shared" si="325"/>
        <v/>
      </c>
      <c r="E2981" t="str">
        <f>IF(F2981="","",IF(COUNTIF($F$2:F2981,F2981)&gt;1,"",SUMIFS(tbl_input[필요수량],tbl_input[집계키_센터],F2981)))</f>
        <v/>
      </c>
      <c r="F2981" t="str">
        <f>IFERROR(INDEX(tbl_input[집계키_센터],ROW()-1),"")</f>
        <v/>
      </c>
      <c r="G2981" t="str">
        <f t="shared" si="326"/>
        <v/>
      </c>
      <c r="H2981" t="str">
        <f t="shared" si="327"/>
        <v/>
      </c>
      <c r="I2981" t="str">
        <f t="shared" si="328"/>
        <v/>
      </c>
    </row>
    <row r="2982" spans="1:9" x14ac:dyDescent="0.4">
      <c r="A2982" t="str">
        <f t="shared" si="322"/>
        <v/>
      </c>
      <c r="B2982" t="str">
        <f t="shared" si="323"/>
        <v/>
      </c>
      <c r="C2982" t="str">
        <f t="shared" si="324"/>
        <v/>
      </c>
      <c r="D2982" t="str">
        <f t="shared" si="325"/>
        <v/>
      </c>
      <c r="E2982" t="str">
        <f>IF(F2982="","",IF(COUNTIF($F$2:F2982,F2982)&gt;1,"",SUMIFS(tbl_input[필요수량],tbl_input[집계키_센터],F2982)))</f>
        <v/>
      </c>
      <c r="F2982" t="str">
        <f>IFERROR(INDEX(tbl_input[집계키_센터],ROW()-1),"")</f>
        <v/>
      </c>
      <c r="G2982" t="str">
        <f t="shared" si="326"/>
        <v/>
      </c>
      <c r="H2982" t="str">
        <f t="shared" si="327"/>
        <v/>
      </c>
      <c r="I2982" t="str">
        <f t="shared" si="328"/>
        <v/>
      </c>
    </row>
    <row r="2983" spans="1:9" x14ac:dyDescent="0.4">
      <c r="A2983" t="str">
        <f t="shared" si="322"/>
        <v/>
      </c>
      <c r="B2983" t="str">
        <f t="shared" si="323"/>
        <v/>
      </c>
      <c r="C2983" t="str">
        <f t="shared" si="324"/>
        <v/>
      </c>
      <c r="D2983" t="str">
        <f t="shared" si="325"/>
        <v/>
      </c>
      <c r="E2983" t="str">
        <f>IF(F2983="","",IF(COUNTIF($F$2:F2983,F2983)&gt;1,"",SUMIFS(tbl_input[필요수량],tbl_input[집계키_센터],F2983)))</f>
        <v/>
      </c>
      <c r="F2983" t="str">
        <f>IFERROR(INDEX(tbl_input[집계키_센터],ROW()-1),"")</f>
        <v/>
      </c>
      <c r="G2983" t="str">
        <f t="shared" si="326"/>
        <v/>
      </c>
      <c r="H2983" t="str">
        <f t="shared" si="327"/>
        <v/>
      </c>
      <c r="I2983" t="str">
        <f t="shared" si="328"/>
        <v/>
      </c>
    </row>
    <row r="2984" spans="1:9" x14ac:dyDescent="0.4">
      <c r="A2984" t="str">
        <f t="shared" si="322"/>
        <v/>
      </c>
      <c r="B2984" t="str">
        <f t="shared" si="323"/>
        <v/>
      </c>
      <c r="C2984" t="str">
        <f t="shared" si="324"/>
        <v/>
      </c>
      <c r="D2984" t="str">
        <f t="shared" si="325"/>
        <v/>
      </c>
      <c r="E2984" t="str">
        <f>IF(F2984="","",IF(COUNTIF($F$2:F2984,F2984)&gt;1,"",SUMIFS(tbl_input[필요수량],tbl_input[집계키_센터],F2984)))</f>
        <v/>
      </c>
      <c r="F2984" t="str">
        <f>IFERROR(INDEX(tbl_input[집계키_센터],ROW()-1),"")</f>
        <v/>
      </c>
      <c r="G2984" t="str">
        <f t="shared" si="326"/>
        <v/>
      </c>
      <c r="H2984" t="str">
        <f t="shared" si="327"/>
        <v/>
      </c>
      <c r="I2984" t="str">
        <f t="shared" si="328"/>
        <v/>
      </c>
    </row>
    <row r="2985" spans="1:9" x14ac:dyDescent="0.4">
      <c r="A2985" t="str">
        <f t="shared" si="322"/>
        <v/>
      </c>
      <c r="B2985" t="str">
        <f t="shared" si="323"/>
        <v/>
      </c>
      <c r="C2985" t="str">
        <f t="shared" si="324"/>
        <v/>
      </c>
      <c r="D2985" t="str">
        <f t="shared" si="325"/>
        <v/>
      </c>
      <c r="E2985" t="str">
        <f>IF(F2985="","",IF(COUNTIF($F$2:F2985,F2985)&gt;1,"",SUMIFS(tbl_input[필요수량],tbl_input[집계키_센터],F2985)))</f>
        <v/>
      </c>
      <c r="F2985" t="str">
        <f>IFERROR(INDEX(tbl_input[집계키_센터],ROW()-1),"")</f>
        <v/>
      </c>
      <c r="G2985" t="str">
        <f t="shared" si="326"/>
        <v/>
      </c>
      <c r="H2985" t="str">
        <f t="shared" si="327"/>
        <v/>
      </c>
      <c r="I2985" t="str">
        <f t="shared" si="328"/>
        <v/>
      </c>
    </row>
    <row r="2986" spans="1:9" x14ac:dyDescent="0.4">
      <c r="A2986" t="str">
        <f t="shared" si="322"/>
        <v/>
      </c>
      <c r="B2986" t="str">
        <f t="shared" si="323"/>
        <v/>
      </c>
      <c r="C2986" t="str">
        <f t="shared" si="324"/>
        <v/>
      </c>
      <c r="D2986" t="str">
        <f t="shared" si="325"/>
        <v/>
      </c>
      <c r="E2986" t="str">
        <f>IF(F2986="","",IF(COUNTIF($F$2:F2986,F2986)&gt;1,"",SUMIFS(tbl_input[필요수량],tbl_input[집계키_센터],F2986)))</f>
        <v/>
      </c>
      <c r="F2986" t="str">
        <f>IFERROR(INDEX(tbl_input[집계키_센터],ROW()-1),"")</f>
        <v/>
      </c>
      <c r="G2986" t="str">
        <f t="shared" si="326"/>
        <v/>
      </c>
      <c r="H2986" t="str">
        <f t="shared" si="327"/>
        <v/>
      </c>
      <c r="I2986" t="str">
        <f t="shared" si="328"/>
        <v/>
      </c>
    </row>
    <row r="2987" spans="1:9" x14ac:dyDescent="0.4">
      <c r="A2987" t="str">
        <f t="shared" si="322"/>
        <v/>
      </c>
      <c r="B2987" t="str">
        <f t="shared" si="323"/>
        <v/>
      </c>
      <c r="C2987" t="str">
        <f t="shared" si="324"/>
        <v/>
      </c>
      <c r="D2987" t="str">
        <f t="shared" si="325"/>
        <v/>
      </c>
      <c r="E2987" t="str">
        <f>IF(F2987="","",IF(COUNTIF($F$2:F2987,F2987)&gt;1,"",SUMIFS(tbl_input[필요수량],tbl_input[집계키_센터],F2987)))</f>
        <v/>
      </c>
      <c r="F2987" t="str">
        <f>IFERROR(INDEX(tbl_input[집계키_센터],ROW()-1),"")</f>
        <v/>
      </c>
      <c r="G2987" t="str">
        <f t="shared" si="326"/>
        <v/>
      </c>
      <c r="H2987" t="str">
        <f t="shared" si="327"/>
        <v/>
      </c>
      <c r="I2987" t="str">
        <f t="shared" si="328"/>
        <v/>
      </c>
    </row>
    <row r="2988" spans="1:9" x14ac:dyDescent="0.4">
      <c r="A2988" t="str">
        <f t="shared" si="322"/>
        <v/>
      </c>
      <c r="B2988" t="str">
        <f t="shared" si="323"/>
        <v/>
      </c>
      <c r="C2988" t="str">
        <f t="shared" si="324"/>
        <v/>
      </c>
      <c r="D2988" t="str">
        <f t="shared" si="325"/>
        <v/>
      </c>
      <c r="E2988" t="str">
        <f>IF(F2988="","",IF(COUNTIF($F$2:F2988,F2988)&gt;1,"",SUMIFS(tbl_input[필요수량],tbl_input[집계키_센터],F2988)))</f>
        <v/>
      </c>
      <c r="F2988" t="str">
        <f>IFERROR(INDEX(tbl_input[집계키_센터],ROW()-1),"")</f>
        <v/>
      </c>
      <c r="G2988" t="str">
        <f t="shared" si="326"/>
        <v/>
      </c>
      <c r="H2988" t="str">
        <f t="shared" si="327"/>
        <v/>
      </c>
      <c r="I2988" t="str">
        <f t="shared" si="328"/>
        <v/>
      </c>
    </row>
    <row r="2989" spans="1:9" x14ac:dyDescent="0.4">
      <c r="A2989" t="str">
        <f t="shared" si="322"/>
        <v/>
      </c>
      <c r="B2989" t="str">
        <f t="shared" si="323"/>
        <v/>
      </c>
      <c r="C2989" t="str">
        <f t="shared" si="324"/>
        <v/>
      </c>
      <c r="D2989" t="str">
        <f t="shared" si="325"/>
        <v/>
      </c>
      <c r="E2989" t="str">
        <f>IF(F2989="","",IF(COUNTIF($F$2:F2989,F2989)&gt;1,"",SUMIFS(tbl_input[필요수량],tbl_input[집계키_센터],F2989)))</f>
        <v/>
      </c>
      <c r="F2989" t="str">
        <f>IFERROR(INDEX(tbl_input[집계키_센터],ROW()-1),"")</f>
        <v/>
      </c>
      <c r="G2989" t="str">
        <f t="shared" si="326"/>
        <v/>
      </c>
      <c r="H2989" t="str">
        <f t="shared" si="327"/>
        <v/>
      </c>
      <c r="I2989" t="str">
        <f t="shared" si="328"/>
        <v/>
      </c>
    </row>
    <row r="2990" spans="1:9" x14ac:dyDescent="0.4">
      <c r="A2990" t="str">
        <f t="shared" si="322"/>
        <v/>
      </c>
      <c r="B2990" t="str">
        <f t="shared" si="323"/>
        <v/>
      </c>
      <c r="C2990" t="str">
        <f t="shared" si="324"/>
        <v/>
      </c>
      <c r="D2990" t="str">
        <f t="shared" si="325"/>
        <v/>
      </c>
      <c r="E2990" t="str">
        <f>IF(F2990="","",IF(COUNTIF($F$2:F2990,F2990)&gt;1,"",SUMIFS(tbl_input[필요수량],tbl_input[집계키_센터],F2990)))</f>
        <v/>
      </c>
      <c r="F2990" t="str">
        <f>IFERROR(INDEX(tbl_input[집계키_센터],ROW()-1),"")</f>
        <v/>
      </c>
      <c r="G2990" t="str">
        <f t="shared" si="326"/>
        <v/>
      </c>
      <c r="H2990" t="str">
        <f t="shared" si="327"/>
        <v/>
      </c>
      <c r="I2990" t="str">
        <f t="shared" si="328"/>
        <v/>
      </c>
    </row>
    <row r="2991" spans="1:9" x14ac:dyDescent="0.4">
      <c r="A2991" t="str">
        <f t="shared" si="322"/>
        <v/>
      </c>
      <c r="B2991" t="str">
        <f t="shared" si="323"/>
        <v/>
      </c>
      <c r="C2991" t="str">
        <f t="shared" si="324"/>
        <v/>
      </c>
      <c r="D2991" t="str">
        <f t="shared" si="325"/>
        <v/>
      </c>
      <c r="E2991" t="str">
        <f>IF(F2991="","",IF(COUNTIF($F$2:F2991,F2991)&gt;1,"",SUMIFS(tbl_input[필요수량],tbl_input[집계키_센터],F2991)))</f>
        <v/>
      </c>
      <c r="F2991" t="str">
        <f>IFERROR(INDEX(tbl_input[집계키_센터],ROW()-1),"")</f>
        <v/>
      </c>
      <c r="G2991" t="str">
        <f t="shared" si="326"/>
        <v/>
      </c>
      <c r="H2991" t="str">
        <f t="shared" si="327"/>
        <v/>
      </c>
      <c r="I2991" t="str">
        <f t="shared" si="328"/>
        <v/>
      </c>
    </row>
    <row r="2992" spans="1:9" x14ac:dyDescent="0.4">
      <c r="A2992" t="str">
        <f t="shared" si="322"/>
        <v/>
      </c>
      <c r="B2992" t="str">
        <f t="shared" si="323"/>
        <v/>
      </c>
      <c r="C2992" t="str">
        <f t="shared" si="324"/>
        <v/>
      </c>
      <c r="D2992" t="str">
        <f t="shared" si="325"/>
        <v/>
      </c>
      <c r="E2992" t="str">
        <f>IF(F2992="","",IF(COUNTIF($F$2:F2992,F2992)&gt;1,"",SUMIFS(tbl_input[필요수량],tbl_input[집계키_센터],F2992)))</f>
        <v/>
      </c>
      <c r="F2992" t="str">
        <f>IFERROR(INDEX(tbl_input[집계키_센터],ROW()-1),"")</f>
        <v/>
      </c>
      <c r="G2992" t="str">
        <f t="shared" si="326"/>
        <v/>
      </c>
      <c r="H2992" t="str">
        <f t="shared" si="327"/>
        <v/>
      </c>
      <c r="I2992" t="str">
        <f t="shared" si="328"/>
        <v/>
      </c>
    </row>
    <row r="2993" spans="1:9" x14ac:dyDescent="0.4">
      <c r="A2993" t="str">
        <f t="shared" si="322"/>
        <v/>
      </c>
      <c r="B2993" t="str">
        <f t="shared" si="323"/>
        <v/>
      </c>
      <c r="C2993" t="str">
        <f t="shared" si="324"/>
        <v/>
      </c>
      <c r="D2993" t="str">
        <f t="shared" si="325"/>
        <v/>
      </c>
      <c r="E2993" t="str">
        <f>IF(F2993="","",IF(COUNTIF($F$2:F2993,F2993)&gt;1,"",SUMIFS(tbl_input[필요수량],tbl_input[집계키_센터],F2993)))</f>
        <v/>
      </c>
      <c r="F2993" t="str">
        <f>IFERROR(INDEX(tbl_input[집계키_센터],ROW()-1),"")</f>
        <v/>
      </c>
      <c r="G2993" t="str">
        <f t="shared" si="326"/>
        <v/>
      </c>
      <c r="H2993" t="str">
        <f t="shared" si="327"/>
        <v/>
      </c>
      <c r="I2993" t="str">
        <f t="shared" si="328"/>
        <v/>
      </c>
    </row>
    <row r="2994" spans="1:9" x14ac:dyDescent="0.4">
      <c r="A2994" t="str">
        <f t="shared" si="322"/>
        <v/>
      </c>
      <c r="B2994" t="str">
        <f t="shared" si="323"/>
        <v/>
      </c>
      <c r="C2994" t="str">
        <f t="shared" si="324"/>
        <v/>
      </c>
      <c r="D2994" t="str">
        <f t="shared" si="325"/>
        <v/>
      </c>
      <c r="E2994" t="str">
        <f>IF(F2994="","",IF(COUNTIF($F$2:F2994,F2994)&gt;1,"",SUMIFS(tbl_input[필요수량],tbl_input[집계키_센터],F2994)))</f>
        <v/>
      </c>
      <c r="F2994" t="str">
        <f>IFERROR(INDEX(tbl_input[집계키_센터],ROW()-1),"")</f>
        <v/>
      </c>
      <c r="G2994" t="str">
        <f t="shared" si="326"/>
        <v/>
      </c>
      <c r="H2994" t="str">
        <f t="shared" si="327"/>
        <v/>
      </c>
      <c r="I2994" t="str">
        <f t="shared" si="328"/>
        <v/>
      </c>
    </row>
    <row r="2995" spans="1:9" x14ac:dyDescent="0.4">
      <c r="A2995" t="str">
        <f t="shared" si="322"/>
        <v/>
      </c>
      <c r="B2995" t="str">
        <f t="shared" si="323"/>
        <v/>
      </c>
      <c r="C2995" t="str">
        <f t="shared" si="324"/>
        <v/>
      </c>
      <c r="D2995" t="str">
        <f t="shared" si="325"/>
        <v/>
      </c>
      <c r="E2995" t="str">
        <f>IF(F2995="","",IF(COUNTIF($F$2:F2995,F2995)&gt;1,"",SUMIFS(tbl_input[필요수량],tbl_input[집계키_센터],F2995)))</f>
        <v/>
      </c>
      <c r="F2995" t="str">
        <f>IFERROR(INDEX(tbl_input[집계키_센터],ROW()-1),"")</f>
        <v/>
      </c>
      <c r="G2995" t="str">
        <f t="shared" si="326"/>
        <v/>
      </c>
      <c r="H2995" t="str">
        <f t="shared" si="327"/>
        <v/>
      </c>
      <c r="I2995" t="str">
        <f t="shared" si="328"/>
        <v/>
      </c>
    </row>
    <row r="2996" spans="1:9" x14ac:dyDescent="0.4">
      <c r="A2996" t="str">
        <f t="shared" si="322"/>
        <v/>
      </c>
      <c r="B2996" t="str">
        <f t="shared" si="323"/>
        <v/>
      </c>
      <c r="C2996" t="str">
        <f t="shared" si="324"/>
        <v/>
      </c>
      <c r="D2996" t="str">
        <f t="shared" si="325"/>
        <v/>
      </c>
      <c r="E2996" t="str">
        <f>IF(F2996="","",IF(COUNTIF($F$2:F2996,F2996)&gt;1,"",SUMIFS(tbl_input[필요수량],tbl_input[집계키_센터],F2996)))</f>
        <v/>
      </c>
      <c r="F2996" t="str">
        <f>IFERROR(INDEX(tbl_input[집계키_센터],ROW()-1),"")</f>
        <v/>
      </c>
      <c r="G2996" t="str">
        <f t="shared" si="326"/>
        <v/>
      </c>
      <c r="H2996" t="str">
        <f t="shared" si="327"/>
        <v/>
      </c>
      <c r="I2996" t="str">
        <f t="shared" si="328"/>
        <v/>
      </c>
    </row>
    <row r="2997" spans="1:9" x14ac:dyDescent="0.4">
      <c r="A2997" t="str">
        <f t="shared" si="322"/>
        <v/>
      </c>
      <c r="B2997" t="str">
        <f t="shared" si="323"/>
        <v/>
      </c>
      <c r="C2997" t="str">
        <f t="shared" si="324"/>
        <v/>
      </c>
      <c r="D2997" t="str">
        <f t="shared" si="325"/>
        <v/>
      </c>
      <c r="E2997" t="str">
        <f>IF(F2997="","",IF(COUNTIF($F$2:F2997,F2997)&gt;1,"",SUMIFS(tbl_input[필요수량],tbl_input[집계키_센터],F2997)))</f>
        <v/>
      </c>
      <c r="F2997" t="str">
        <f>IFERROR(INDEX(tbl_input[집계키_센터],ROW()-1),"")</f>
        <v/>
      </c>
      <c r="G2997" t="str">
        <f t="shared" si="326"/>
        <v/>
      </c>
      <c r="H2997" t="str">
        <f t="shared" si="327"/>
        <v/>
      </c>
      <c r="I2997" t="str">
        <f t="shared" si="328"/>
        <v/>
      </c>
    </row>
    <row r="2998" spans="1:9" x14ac:dyDescent="0.4">
      <c r="A2998" t="str">
        <f t="shared" si="322"/>
        <v/>
      </c>
      <c r="B2998" t="str">
        <f t="shared" si="323"/>
        <v/>
      </c>
      <c r="C2998" t="str">
        <f t="shared" si="324"/>
        <v/>
      </c>
      <c r="D2998" t="str">
        <f t="shared" si="325"/>
        <v/>
      </c>
      <c r="E2998" t="str">
        <f>IF(F2998="","",IF(COUNTIF($F$2:F2998,F2998)&gt;1,"",SUMIFS(tbl_input[필요수량],tbl_input[집계키_센터],F2998)))</f>
        <v/>
      </c>
      <c r="F2998" t="str">
        <f>IFERROR(INDEX(tbl_input[집계키_센터],ROW()-1),"")</f>
        <v/>
      </c>
      <c r="G2998" t="str">
        <f t="shared" si="326"/>
        <v/>
      </c>
      <c r="H2998" t="str">
        <f t="shared" si="327"/>
        <v/>
      </c>
      <c r="I2998" t="str">
        <f t="shared" si="328"/>
        <v/>
      </c>
    </row>
    <row r="2999" spans="1:9" x14ac:dyDescent="0.4">
      <c r="A2999" t="str">
        <f t="shared" si="322"/>
        <v/>
      </c>
      <c r="B2999" t="str">
        <f t="shared" si="323"/>
        <v/>
      </c>
      <c r="C2999" t="str">
        <f t="shared" si="324"/>
        <v/>
      </c>
      <c r="D2999" t="str">
        <f t="shared" si="325"/>
        <v/>
      </c>
      <c r="E2999" t="str">
        <f>IF(F2999="","",IF(COUNTIF($F$2:F2999,F2999)&gt;1,"",SUMIFS(tbl_input[필요수량],tbl_input[집계키_센터],F2999)))</f>
        <v/>
      </c>
      <c r="F2999" t="str">
        <f>IFERROR(INDEX(tbl_input[집계키_센터],ROW()-1),"")</f>
        <v/>
      </c>
      <c r="G2999" t="str">
        <f t="shared" si="326"/>
        <v/>
      </c>
      <c r="H2999" t="str">
        <f t="shared" si="327"/>
        <v/>
      </c>
      <c r="I2999" t="str">
        <f t="shared" si="328"/>
        <v/>
      </c>
    </row>
    <row r="3000" spans="1:9" x14ac:dyDescent="0.4">
      <c r="A3000" t="str">
        <f t="shared" si="322"/>
        <v/>
      </c>
      <c r="B3000" t="str">
        <f t="shared" si="323"/>
        <v/>
      </c>
      <c r="C3000" t="str">
        <f t="shared" si="324"/>
        <v/>
      </c>
      <c r="D3000" t="str">
        <f t="shared" si="325"/>
        <v/>
      </c>
      <c r="E3000" t="str">
        <f>IF(F3000="","",IF(COUNTIF($F$2:F3000,F3000)&gt;1,"",SUMIFS(tbl_input[필요수량],tbl_input[집계키_센터],F3000)))</f>
        <v/>
      </c>
      <c r="F3000" t="str">
        <f>IFERROR(INDEX(tbl_input[집계키_센터],ROW()-1),"")</f>
        <v/>
      </c>
      <c r="G3000" t="str">
        <f t="shared" si="326"/>
        <v/>
      </c>
      <c r="H3000" t="str">
        <f t="shared" si="327"/>
        <v/>
      </c>
      <c r="I3000" t="str">
        <f t="shared" si="328"/>
        <v/>
      </c>
    </row>
    <row r="3001" spans="1:9" x14ac:dyDescent="0.4">
      <c r="A3001" t="str">
        <f t="shared" si="322"/>
        <v/>
      </c>
      <c r="B3001" t="str">
        <f t="shared" si="323"/>
        <v/>
      </c>
      <c r="C3001" t="str">
        <f t="shared" si="324"/>
        <v/>
      </c>
      <c r="D3001" t="str">
        <f t="shared" si="325"/>
        <v/>
      </c>
      <c r="E3001" t="str">
        <f>IF(F3001="","",IF(COUNTIF($F$2:F3001,F3001)&gt;1,"",SUMIFS(tbl_input[필요수량],tbl_input[집계키_센터],F3001)))</f>
        <v/>
      </c>
      <c r="F3001" t="str">
        <f>IFERROR(INDEX(tbl_input[집계키_센터],ROW()-1),"")</f>
        <v/>
      </c>
      <c r="G3001" t="str">
        <f t="shared" si="326"/>
        <v/>
      </c>
      <c r="H3001" t="str">
        <f t="shared" si="327"/>
        <v/>
      </c>
      <c r="I3001" t="str">
        <f t="shared" si="328"/>
        <v/>
      </c>
    </row>
    <row r="3002" spans="1:9" x14ac:dyDescent="0.4">
      <c r="A3002" t="str">
        <f t="shared" si="322"/>
        <v/>
      </c>
      <c r="B3002" t="str">
        <f t="shared" si="323"/>
        <v/>
      </c>
      <c r="C3002" t="str">
        <f t="shared" si="324"/>
        <v/>
      </c>
      <c r="D3002" t="str">
        <f t="shared" si="325"/>
        <v/>
      </c>
      <c r="E3002" t="str">
        <f>IF(F3002="","",IF(COUNTIF($F$2:F3002,F3002)&gt;1,"",SUMIFS(tbl_input[필요수량],tbl_input[집계키_센터],F3002)))</f>
        <v/>
      </c>
      <c r="F3002" t="str">
        <f>IFERROR(INDEX(tbl_input[집계키_센터],ROW()-1),"")</f>
        <v/>
      </c>
      <c r="G3002" t="str">
        <f t="shared" si="326"/>
        <v/>
      </c>
      <c r="H3002" t="str">
        <f t="shared" si="327"/>
        <v/>
      </c>
      <c r="I3002" t="str">
        <f t="shared" si="328"/>
        <v/>
      </c>
    </row>
    <row r="3003" spans="1:9" x14ac:dyDescent="0.4">
      <c r="A3003" t="str">
        <f t="shared" si="322"/>
        <v/>
      </c>
      <c r="B3003" t="str">
        <f t="shared" si="323"/>
        <v/>
      </c>
      <c r="C3003" t="str">
        <f t="shared" si="324"/>
        <v/>
      </c>
      <c r="D3003" t="str">
        <f t="shared" si="325"/>
        <v/>
      </c>
      <c r="E3003" t="str">
        <f>IF(F3003="","",IF(COUNTIF($F$2:F3003,F3003)&gt;1,"",SUMIFS(tbl_input[필요수량],tbl_input[집계키_센터],F3003)))</f>
        <v/>
      </c>
      <c r="F3003" t="str">
        <f>IFERROR(INDEX(tbl_input[집계키_센터],ROW()-1),"")</f>
        <v/>
      </c>
      <c r="G3003" t="str">
        <f t="shared" si="326"/>
        <v/>
      </c>
      <c r="H3003" t="str">
        <f t="shared" si="327"/>
        <v/>
      </c>
      <c r="I3003" t="str">
        <f t="shared" si="328"/>
        <v/>
      </c>
    </row>
    <row r="3004" spans="1:9" x14ac:dyDescent="0.4">
      <c r="A3004" t="str">
        <f t="shared" si="322"/>
        <v/>
      </c>
      <c r="B3004" t="str">
        <f t="shared" si="323"/>
        <v/>
      </c>
      <c r="C3004" t="str">
        <f t="shared" si="324"/>
        <v/>
      </c>
      <c r="D3004" t="str">
        <f t="shared" si="325"/>
        <v/>
      </c>
      <c r="E3004" t="str">
        <f>IF(F3004="","",IF(COUNTIF($F$2:F3004,F3004)&gt;1,"",SUMIFS(tbl_input[필요수량],tbl_input[집계키_센터],F3004)))</f>
        <v/>
      </c>
      <c r="F3004" t="str">
        <f>IFERROR(INDEX(tbl_input[집계키_센터],ROW()-1),"")</f>
        <v/>
      </c>
      <c r="G3004" t="str">
        <f t="shared" si="326"/>
        <v/>
      </c>
      <c r="H3004" t="str">
        <f t="shared" si="327"/>
        <v/>
      </c>
      <c r="I3004" t="str">
        <f t="shared" si="328"/>
        <v/>
      </c>
    </row>
    <row r="3005" spans="1:9" x14ac:dyDescent="0.4">
      <c r="A3005" t="str">
        <f t="shared" si="322"/>
        <v/>
      </c>
      <c r="B3005" t="str">
        <f t="shared" si="323"/>
        <v/>
      </c>
      <c r="C3005" t="str">
        <f t="shared" si="324"/>
        <v/>
      </c>
      <c r="D3005" t="str">
        <f t="shared" si="325"/>
        <v/>
      </c>
      <c r="E3005" t="str">
        <f>IF(F3005="","",IF(COUNTIF($F$2:F3005,F3005)&gt;1,"",SUMIFS(tbl_input[필요수량],tbl_input[집계키_센터],F3005)))</f>
        <v/>
      </c>
      <c r="F3005" t="str">
        <f>IFERROR(INDEX(tbl_input[집계키_센터],ROW()-1),"")</f>
        <v/>
      </c>
      <c r="G3005" t="str">
        <f t="shared" si="326"/>
        <v/>
      </c>
      <c r="H3005" t="str">
        <f t="shared" si="327"/>
        <v/>
      </c>
      <c r="I3005" t="str">
        <f t="shared" si="328"/>
        <v/>
      </c>
    </row>
    <row r="3006" spans="1:9" x14ac:dyDescent="0.4">
      <c r="A3006" t="str">
        <f t="shared" si="322"/>
        <v/>
      </c>
      <c r="B3006" t="str">
        <f t="shared" si="323"/>
        <v/>
      </c>
      <c r="C3006" t="str">
        <f t="shared" si="324"/>
        <v/>
      </c>
      <c r="D3006" t="str">
        <f t="shared" si="325"/>
        <v/>
      </c>
      <c r="E3006" t="str">
        <f>IF(F3006="","",IF(COUNTIF($F$2:F3006,F3006)&gt;1,"",SUMIFS(tbl_input[필요수량],tbl_input[집계키_센터],F3006)))</f>
        <v/>
      </c>
      <c r="F3006" t="str">
        <f>IFERROR(INDEX(tbl_input[집계키_센터],ROW()-1),"")</f>
        <v/>
      </c>
      <c r="G3006" t="str">
        <f t="shared" si="326"/>
        <v/>
      </c>
      <c r="H3006" t="str">
        <f t="shared" si="327"/>
        <v/>
      </c>
      <c r="I3006" t="str">
        <f t="shared" si="328"/>
        <v/>
      </c>
    </row>
    <row r="3007" spans="1:9" x14ac:dyDescent="0.4">
      <c r="A3007" t="str">
        <f t="shared" si="322"/>
        <v/>
      </c>
      <c r="B3007" t="str">
        <f t="shared" si="323"/>
        <v/>
      </c>
      <c r="C3007" t="str">
        <f t="shared" si="324"/>
        <v/>
      </c>
      <c r="D3007" t="str">
        <f t="shared" si="325"/>
        <v/>
      </c>
      <c r="E3007" t="str">
        <f>IF(F3007="","",IF(COUNTIF($F$2:F3007,F3007)&gt;1,"",SUMIFS(tbl_input[필요수량],tbl_input[집계키_센터],F3007)))</f>
        <v/>
      </c>
      <c r="F3007" t="str">
        <f>IFERROR(INDEX(tbl_input[집계키_센터],ROW()-1),"")</f>
        <v/>
      </c>
      <c r="G3007" t="str">
        <f t="shared" si="326"/>
        <v/>
      </c>
      <c r="H3007" t="str">
        <f t="shared" si="327"/>
        <v/>
      </c>
      <c r="I3007" t="str">
        <f t="shared" si="328"/>
        <v/>
      </c>
    </row>
    <row r="3008" spans="1:9" x14ac:dyDescent="0.4">
      <c r="A3008" t="str">
        <f t="shared" si="322"/>
        <v/>
      </c>
      <c r="B3008" t="str">
        <f t="shared" si="323"/>
        <v/>
      </c>
      <c r="C3008" t="str">
        <f t="shared" si="324"/>
        <v/>
      </c>
      <c r="D3008" t="str">
        <f t="shared" si="325"/>
        <v/>
      </c>
      <c r="E3008" t="str">
        <f>IF(F3008="","",IF(COUNTIF($F$2:F3008,F3008)&gt;1,"",SUMIFS(tbl_input[필요수량],tbl_input[집계키_센터],F3008)))</f>
        <v/>
      </c>
      <c r="F3008" t="str">
        <f>IFERROR(INDEX(tbl_input[집계키_센터],ROW()-1),"")</f>
        <v/>
      </c>
      <c r="G3008" t="str">
        <f t="shared" si="326"/>
        <v/>
      </c>
      <c r="H3008" t="str">
        <f t="shared" si="327"/>
        <v/>
      </c>
      <c r="I3008" t="str">
        <f t="shared" si="328"/>
        <v/>
      </c>
    </row>
    <row r="3009" spans="1:9" x14ac:dyDescent="0.4">
      <c r="A3009" t="str">
        <f t="shared" si="322"/>
        <v/>
      </c>
      <c r="B3009" t="str">
        <f t="shared" si="323"/>
        <v/>
      </c>
      <c r="C3009" t="str">
        <f t="shared" si="324"/>
        <v/>
      </c>
      <c r="D3009" t="str">
        <f t="shared" si="325"/>
        <v/>
      </c>
      <c r="E3009" t="str">
        <f>IF(F3009="","",IF(COUNTIF($F$2:F3009,F3009)&gt;1,"",SUMIFS(tbl_input[필요수량],tbl_input[집계키_센터],F3009)))</f>
        <v/>
      </c>
      <c r="F3009" t="str">
        <f>IFERROR(INDEX(tbl_input[집계키_센터],ROW()-1),"")</f>
        <v/>
      </c>
      <c r="G3009" t="str">
        <f t="shared" si="326"/>
        <v/>
      </c>
      <c r="H3009" t="str">
        <f t="shared" si="327"/>
        <v/>
      </c>
      <c r="I3009" t="str">
        <f t="shared" si="328"/>
        <v/>
      </c>
    </row>
    <row r="3010" spans="1:9" x14ac:dyDescent="0.4">
      <c r="A3010" t="str">
        <f t="shared" ref="A3010:A3073" si="329">IF(F3010="","",LEFT(F3010,G3010-1))</f>
        <v/>
      </c>
      <c r="B3010" t="str">
        <f t="shared" ref="B3010:B3073" si="330">IF(F3010="","",MID(F3010,G3010+1,H3010-G3010-1))</f>
        <v/>
      </c>
      <c r="C3010" t="str">
        <f t="shared" ref="C3010:C3073" si="331">IF(F3010="","",MID(F3010,H3010+1,I3010-H3010-1))</f>
        <v/>
      </c>
      <c r="D3010" t="str">
        <f t="shared" ref="D3010:D3073" si="332">IF(F3010="","",MID(F3010,I3010+1,999))</f>
        <v/>
      </c>
      <c r="E3010" t="str">
        <f>IF(F3010="","",IF(COUNTIF($F$2:F3010,F3010)&gt;1,"",SUMIFS(tbl_input[필요수량],tbl_input[집계키_센터],F3010)))</f>
        <v/>
      </c>
      <c r="F3010" t="str">
        <f>IFERROR(INDEX(tbl_input[집계키_센터],ROW()-1),"")</f>
        <v/>
      </c>
      <c r="G3010" t="str">
        <f t="shared" ref="G3010:G3073" si="333">IF(F3010="","",FIND("♦",F3010))</f>
        <v/>
      </c>
      <c r="H3010" t="str">
        <f t="shared" ref="H3010:H3073" si="334">IF(F3010="","",FIND("♦",F3010,G3010+1))</f>
        <v/>
      </c>
      <c r="I3010" t="str">
        <f t="shared" ref="I3010:I3073" si="335">IF(F3010="","",FIND("♦",F3010,H3010+1))</f>
        <v/>
      </c>
    </row>
    <row r="3011" spans="1:9" x14ac:dyDescent="0.4">
      <c r="A3011" t="str">
        <f t="shared" si="329"/>
        <v/>
      </c>
      <c r="B3011" t="str">
        <f t="shared" si="330"/>
        <v/>
      </c>
      <c r="C3011" t="str">
        <f t="shared" si="331"/>
        <v/>
      </c>
      <c r="D3011" t="str">
        <f t="shared" si="332"/>
        <v/>
      </c>
      <c r="E3011" t="str">
        <f>IF(F3011="","",IF(COUNTIF($F$2:F3011,F3011)&gt;1,"",SUMIFS(tbl_input[필요수량],tbl_input[집계키_센터],F3011)))</f>
        <v/>
      </c>
      <c r="F3011" t="str">
        <f>IFERROR(INDEX(tbl_input[집계키_센터],ROW()-1),"")</f>
        <v/>
      </c>
      <c r="G3011" t="str">
        <f t="shared" si="333"/>
        <v/>
      </c>
      <c r="H3011" t="str">
        <f t="shared" si="334"/>
        <v/>
      </c>
      <c r="I3011" t="str">
        <f t="shared" si="335"/>
        <v/>
      </c>
    </row>
    <row r="3012" spans="1:9" x14ac:dyDescent="0.4">
      <c r="A3012" t="str">
        <f t="shared" si="329"/>
        <v/>
      </c>
      <c r="B3012" t="str">
        <f t="shared" si="330"/>
        <v/>
      </c>
      <c r="C3012" t="str">
        <f t="shared" si="331"/>
        <v/>
      </c>
      <c r="D3012" t="str">
        <f t="shared" si="332"/>
        <v/>
      </c>
      <c r="E3012" t="str">
        <f>IF(F3012="","",IF(COUNTIF($F$2:F3012,F3012)&gt;1,"",SUMIFS(tbl_input[필요수량],tbl_input[집계키_센터],F3012)))</f>
        <v/>
      </c>
      <c r="F3012" t="str">
        <f>IFERROR(INDEX(tbl_input[집계키_센터],ROW()-1),"")</f>
        <v/>
      </c>
      <c r="G3012" t="str">
        <f t="shared" si="333"/>
        <v/>
      </c>
      <c r="H3012" t="str">
        <f t="shared" si="334"/>
        <v/>
      </c>
      <c r="I3012" t="str">
        <f t="shared" si="335"/>
        <v/>
      </c>
    </row>
    <row r="3013" spans="1:9" x14ac:dyDescent="0.4">
      <c r="A3013" t="str">
        <f t="shared" si="329"/>
        <v/>
      </c>
      <c r="B3013" t="str">
        <f t="shared" si="330"/>
        <v/>
      </c>
      <c r="C3013" t="str">
        <f t="shared" si="331"/>
        <v/>
      </c>
      <c r="D3013" t="str">
        <f t="shared" si="332"/>
        <v/>
      </c>
      <c r="E3013" t="str">
        <f>IF(F3013="","",IF(COUNTIF($F$2:F3013,F3013)&gt;1,"",SUMIFS(tbl_input[필요수량],tbl_input[집계키_센터],F3013)))</f>
        <v/>
      </c>
      <c r="F3013" t="str">
        <f>IFERROR(INDEX(tbl_input[집계키_센터],ROW()-1),"")</f>
        <v/>
      </c>
      <c r="G3013" t="str">
        <f t="shared" si="333"/>
        <v/>
      </c>
      <c r="H3013" t="str">
        <f t="shared" si="334"/>
        <v/>
      </c>
      <c r="I3013" t="str">
        <f t="shared" si="335"/>
        <v/>
      </c>
    </row>
    <row r="3014" spans="1:9" x14ac:dyDescent="0.4">
      <c r="A3014" t="str">
        <f t="shared" si="329"/>
        <v/>
      </c>
      <c r="B3014" t="str">
        <f t="shared" si="330"/>
        <v/>
      </c>
      <c r="C3014" t="str">
        <f t="shared" si="331"/>
        <v/>
      </c>
      <c r="D3014" t="str">
        <f t="shared" si="332"/>
        <v/>
      </c>
      <c r="E3014" t="str">
        <f>IF(F3014="","",IF(COUNTIF($F$2:F3014,F3014)&gt;1,"",SUMIFS(tbl_input[필요수량],tbl_input[집계키_센터],F3014)))</f>
        <v/>
      </c>
      <c r="F3014" t="str">
        <f>IFERROR(INDEX(tbl_input[집계키_센터],ROW()-1),"")</f>
        <v/>
      </c>
      <c r="G3014" t="str">
        <f t="shared" si="333"/>
        <v/>
      </c>
      <c r="H3014" t="str">
        <f t="shared" si="334"/>
        <v/>
      </c>
      <c r="I3014" t="str">
        <f t="shared" si="335"/>
        <v/>
      </c>
    </row>
    <row r="3015" spans="1:9" x14ac:dyDescent="0.4">
      <c r="A3015" t="str">
        <f t="shared" si="329"/>
        <v/>
      </c>
      <c r="B3015" t="str">
        <f t="shared" si="330"/>
        <v/>
      </c>
      <c r="C3015" t="str">
        <f t="shared" si="331"/>
        <v/>
      </c>
      <c r="D3015" t="str">
        <f t="shared" si="332"/>
        <v/>
      </c>
      <c r="E3015" t="str">
        <f>IF(F3015="","",IF(COUNTIF($F$2:F3015,F3015)&gt;1,"",SUMIFS(tbl_input[필요수량],tbl_input[집계키_센터],F3015)))</f>
        <v/>
      </c>
      <c r="F3015" t="str">
        <f>IFERROR(INDEX(tbl_input[집계키_센터],ROW()-1),"")</f>
        <v/>
      </c>
      <c r="G3015" t="str">
        <f t="shared" si="333"/>
        <v/>
      </c>
      <c r="H3015" t="str">
        <f t="shared" si="334"/>
        <v/>
      </c>
      <c r="I3015" t="str">
        <f t="shared" si="335"/>
        <v/>
      </c>
    </row>
    <row r="3016" spans="1:9" x14ac:dyDescent="0.4">
      <c r="A3016" t="str">
        <f t="shared" si="329"/>
        <v/>
      </c>
      <c r="B3016" t="str">
        <f t="shared" si="330"/>
        <v/>
      </c>
      <c r="C3016" t="str">
        <f t="shared" si="331"/>
        <v/>
      </c>
      <c r="D3016" t="str">
        <f t="shared" si="332"/>
        <v/>
      </c>
      <c r="E3016" t="str">
        <f>IF(F3016="","",IF(COUNTIF($F$2:F3016,F3016)&gt;1,"",SUMIFS(tbl_input[필요수량],tbl_input[집계키_센터],F3016)))</f>
        <v/>
      </c>
      <c r="F3016" t="str">
        <f>IFERROR(INDEX(tbl_input[집계키_센터],ROW()-1),"")</f>
        <v/>
      </c>
      <c r="G3016" t="str">
        <f t="shared" si="333"/>
        <v/>
      </c>
      <c r="H3016" t="str">
        <f t="shared" si="334"/>
        <v/>
      </c>
      <c r="I3016" t="str">
        <f t="shared" si="335"/>
        <v/>
      </c>
    </row>
    <row r="3017" spans="1:9" x14ac:dyDescent="0.4">
      <c r="A3017" t="str">
        <f t="shared" si="329"/>
        <v/>
      </c>
      <c r="B3017" t="str">
        <f t="shared" si="330"/>
        <v/>
      </c>
      <c r="C3017" t="str">
        <f t="shared" si="331"/>
        <v/>
      </c>
      <c r="D3017" t="str">
        <f t="shared" si="332"/>
        <v/>
      </c>
      <c r="E3017" t="str">
        <f>IF(F3017="","",IF(COUNTIF($F$2:F3017,F3017)&gt;1,"",SUMIFS(tbl_input[필요수량],tbl_input[집계키_센터],F3017)))</f>
        <v/>
      </c>
      <c r="F3017" t="str">
        <f>IFERROR(INDEX(tbl_input[집계키_센터],ROW()-1),"")</f>
        <v/>
      </c>
      <c r="G3017" t="str">
        <f t="shared" si="333"/>
        <v/>
      </c>
      <c r="H3017" t="str">
        <f t="shared" si="334"/>
        <v/>
      </c>
      <c r="I3017" t="str">
        <f t="shared" si="335"/>
        <v/>
      </c>
    </row>
    <row r="3018" spans="1:9" x14ac:dyDescent="0.4">
      <c r="A3018" t="str">
        <f t="shared" si="329"/>
        <v/>
      </c>
      <c r="B3018" t="str">
        <f t="shared" si="330"/>
        <v/>
      </c>
      <c r="C3018" t="str">
        <f t="shared" si="331"/>
        <v/>
      </c>
      <c r="D3018" t="str">
        <f t="shared" si="332"/>
        <v/>
      </c>
      <c r="E3018" t="str">
        <f>IF(F3018="","",IF(COUNTIF($F$2:F3018,F3018)&gt;1,"",SUMIFS(tbl_input[필요수량],tbl_input[집계키_센터],F3018)))</f>
        <v/>
      </c>
      <c r="F3018" t="str">
        <f>IFERROR(INDEX(tbl_input[집계키_센터],ROW()-1),"")</f>
        <v/>
      </c>
      <c r="G3018" t="str">
        <f t="shared" si="333"/>
        <v/>
      </c>
      <c r="H3018" t="str">
        <f t="shared" si="334"/>
        <v/>
      </c>
      <c r="I3018" t="str">
        <f t="shared" si="335"/>
        <v/>
      </c>
    </row>
    <row r="3019" spans="1:9" x14ac:dyDescent="0.4">
      <c r="A3019" t="str">
        <f t="shared" si="329"/>
        <v/>
      </c>
      <c r="B3019" t="str">
        <f t="shared" si="330"/>
        <v/>
      </c>
      <c r="C3019" t="str">
        <f t="shared" si="331"/>
        <v/>
      </c>
      <c r="D3019" t="str">
        <f t="shared" si="332"/>
        <v/>
      </c>
      <c r="E3019" t="str">
        <f>IF(F3019="","",IF(COUNTIF($F$2:F3019,F3019)&gt;1,"",SUMIFS(tbl_input[필요수량],tbl_input[집계키_센터],F3019)))</f>
        <v/>
      </c>
      <c r="F3019" t="str">
        <f>IFERROR(INDEX(tbl_input[집계키_센터],ROW()-1),"")</f>
        <v/>
      </c>
      <c r="G3019" t="str">
        <f t="shared" si="333"/>
        <v/>
      </c>
      <c r="H3019" t="str">
        <f t="shared" si="334"/>
        <v/>
      </c>
      <c r="I3019" t="str">
        <f t="shared" si="335"/>
        <v/>
      </c>
    </row>
    <row r="3020" spans="1:9" x14ac:dyDescent="0.4">
      <c r="A3020" t="str">
        <f t="shared" si="329"/>
        <v/>
      </c>
      <c r="B3020" t="str">
        <f t="shared" si="330"/>
        <v/>
      </c>
      <c r="C3020" t="str">
        <f t="shared" si="331"/>
        <v/>
      </c>
      <c r="D3020" t="str">
        <f t="shared" si="332"/>
        <v/>
      </c>
      <c r="E3020" t="str">
        <f>IF(F3020="","",IF(COUNTIF($F$2:F3020,F3020)&gt;1,"",SUMIFS(tbl_input[필요수량],tbl_input[집계키_센터],F3020)))</f>
        <v/>
      </c>
      <c r="F3020" t="str">
        <f>IFERROR(INDEX(tbl_input[집계키_센터],ROW()-1),"")</f>
        <v/>
      </c>
      <c r="G3020" t="str">
        <f t="shared" si="333"/>
        <v/>
      </c>
      <c r="H3020" t="str">
        <f t="shared" si="334"/>
        <v/>
      </c>
      <c r="I3020" t="str">
        <f t="shared" si="335"/>
        <v/>
      </c>
    </row>
    <row r="3021" spans="1:9" x14ac:dyDescent="0.4">
      <c r="A3021" t="str">
        <f t="shared" si="329"/>
        <v/>
      </c>
      <c r="B3021" t="str">
        <f t="shared" si="330"/>
        <v/>
      </c>
      <c r="C3021" t="str">
        <f t="shared" si="331"/>
        <v/>
      </c>
      <c r="D3021" t="str">
        <f t="shared" si="332"/>
        <v/>
      </c>
      <c r="E3021" t="str">
        <f>IF(F3021="","",IF(COUNTIF($F$2:F3021,F3021)&gt;1,"",SUMIFS(tbl_input[필요수량],tbl_input[집계키_센터],F3021)))</f>
        <v/>
      </c>
      <c r="F3021" t="str">
        <f>IFERROR(INDEX(tbl_input[집계키_센터],ROW()-1),"")</f>
        <v/>
      </c>
      <c r="G3021" t="str">
        <f t="shared" si="333"/>
        <v/>
      </c>
      <c r="H3021" t="str">
        <f t="shared" si="334"/>
        <v/>
      </c>
      <c r="I3021" t="str">
        <f t="shared" si="335"/>
        <v/>
      </c>
    </row>
    <row r="3022" spans="1:9" x14ac:dyDescent="0.4">
      <c r="A3022" t="str">
        <f t="shared" si="329"/>
        <v/>
      </c>
      <c r="B3022" t="str">
        <f t="shared" si="330"/>
        <v/>
      </c>
      <c r="C3022" t="str">
        <f t="shared" si="331"/>
        <v/>
      </c>
      <c r="D3022" t="str">
        <f t="shared" si="332"/>
        <v/>
      </c>
      <c r="E3022" t="str">
        <f>IF(F3022="","",IF(COUNTIF($F$2:F3022,F3022)&gt;1,"",SUMIFS(tbl_input[필요수량],tbl_input[집계키_센터],F3022)))</f>
        <v/>
      </c>
      <c r="F3022" t="str">
        <f>IFERROR(INDEX(tbl_input[집계키_센터],ROW()-1),"")</f>
        <v/>
      </c>
      <c r="G3022" t="str">
        <f t="shared" si="333"/>
        <v/>
      </c>
      <c r="H3022" t="str">
        <f t="shared" si="334"/>
        <v/>
      </c>
      <c r="I3022" t="str">
        <f t="shared" si="335"/>
        <v/>
      </c>
    </row>
    <row r="3023" spans="1:9" x14ac:dyDescent="0.4">
      <c r="A3023" t="str">
        <f t="shared" si="329"/>
        <v/>
      </c>
      <c r="B3023" t="str">
        <f t="shared" si="330"/>
        <v/>
      </c>
      <c r="C3023" t="str">
        <f t="shared" si="331"/>
        <v/>
      </c>
      <c r="D3023" t="str">
        <f t="shared" si="332"/>
        <v/>
      </c>
      <c r="E3023" t="str">
        <f>IF(F3023="","",IF(COUNTIF($F$2:F3023,F3023)&gt;1,"",SUMIFS(tbl_input[필요수량],tbl_input[집계키_센터],F3023)))</f>
        <v/>
      </c>
      <c r="F3023" t="str">
        <f>IFERROR(INDEX(tbl_input[집계키_센터],ROW()-1),"")</f>
        <v/>
      </c>
      <c r="G3023" t="str">
        <f t="shared" si="333"/>
        <v/>
      </c>
      <c r="H3023" t="str">
        <f t="shared" si="334"/>
        <v/>
      </c>
      <c r="I3023" t="str">
        <f t="shared" si="335"/>
        <v/>
      </c>
    </row>
    <row r="3024" spans="1:9" x14ac:dyDescent="0.4">
      <c r="A3024" t="str">
        <f t="shared" si="329"/>
        <v/>
      </c>
      <c r="B3024" t="str">
        <f t="shared" si="330"/>
        <v/>
      </c>
      <c r="C3024" t="str">
        <f t="shared" si="331"/>
        <v/>
      </c>
      <c r="D3024" t="str">
        <f t="shared" si="332"/>
        <v/>
      </c>
      <c r="E3024" t="str">
        <f>IF(F3024="","",IF(COUNTIF($F$2:F3024,F3024)&gt;1,"",SUMIFS(tbl_input[필요수량],tbl_input[집계키_센터],F3024)))</f>
        <v/>
      </c>
      <c r="F3024" t="str">
        <f>IFERROR(INDEX(tbl_input[집계키_센터],ROW()-1),"")</f>
        <v/>
      </c>
      <c r="G3024" t="str">
        <f t="shared" si="333"/>
        <v/>
      </c>
      <c r="H3024" t="str">
        <f t="shared" si="334"/>
        <v/>
      </c>
      <c r="I3024" t="str">
        <f t="shared" si="335"/>
        <v/>
      </c>
    </row>
    <row r="3025" spans="1:9" x14ac:dyDescent="0.4">
      <c r="A3025" t="str">
        <f t="shared" si="329"/>
        <v/>
      </c>
      <c r="B3025" t="str">
        <f t="shared" si="330"/>
        <v/>
      </c>
      <c r="C3025" t="str">
        <f t="shared" si="331"/>
        <v/>
      </c>
      <c r="D3025" t="str">
        <f t="shared" si="332"/>
        <v/>
      </c>
      <c r="E3025" t="str">
        <f>IF(F3025="","",IF(COUNTIF($F$2:F3025,F3025)&gt;1,"",SUMIFS(tbl_input[필요수량],tbl_input[집계키_센터],F3025)))</f>
        <v/>
      </c>
      <c r="F3025" t="str">
        <f>IFERROR(INDEX(tbl_input[집계키_센터],ROW()-1),"")</f>
        <v/>
      </c>
      <c r="G3025" t="str">
        <f t="shared" si="333"/>
        <v/>
      </c>
      <c r="H3025" t="str">
        <f t="shared" si="334"/>
        <v/>
      </c>
      <c r="I3025" t="str">
        <f t="shared" si="335"/>
        <v/>
      </c>
    </row>
    <row r="3026" spans="1:9" x14ac:dyDescent="0.4">
      <c r="A3026" t="str">
        <f t="shared" si="329"/>
        <v/>
      </c>
      <c r="B3026" t="str">
        <f t="shared" si="330"/>
        <v/>
      </c>
      <c r="C3026" t="str">
        <f t="shared" si="331"/>
        <v/>
      </c>
      <c r="D3026" t="str">
        <f t="shared" si="332"/>
        <v/>
      </c>
      <c r="E3026" t="str">
        <f>IF(F3026="","",IF(COUNTIF($F$2:F3026,F3026)&gt;1,"",SUMIFS(tbl_input[필요수량],tbl_input[집계키_센터],F3026)))</f>
        <v/>
      </c>
      <c r="F3026" t="str">
        <f>IFERROR(INDEX(tbl_input[집계키_센터],ROW()-1),"")</f>
        <v/>
      </c>
      <c r="G3026" t="str">
        <f t="shared" si="333"/>
        <v/>
      </c>
      <c r="H3026" t="str">
        <f t="shared" si="334"/>
        <v/>
      </c>
      <c r="I3026" t="str">
        <f t="shared" si="335"/>
        <v/>
      </c>
    </row>
    <row r="3027" spans="1:9" x14ac:dyDescent="0.4">
      <c r="A3027" t="str">
        <f t="shared" si="329"/>
        <v/>
      </c>
      <c r="B3027" t="str">
        <f t="shared" si="330"/>
        <v/>
      </c>
      <c r="C3027" t="str">
        <f t="shared" si="331"/>
        <v/>
      </c>
      <c r="D3027" t="str">
        <f t="shared" si="332"/>
        <v/>
      </c>
      <c r="E3027" t="str">
        <f>IF(F3027="","",IF(COUNTIF($F$2:F3027,F3027)&gt;1,"",SUMIFS(tbl_input[필요수량],tbl_input[집계키_센터],F3027)))</f>
        <v/>
      </c>
      <c r="F3027" t="str">
        <f>IFERROR(INDEX(tbl_input[집계키_센터],ROW()-1),"")</f>
        <v/>
      </c>
      <c r="G3027" t="str">
        <f t="shared" si="333"/>
        <v/>
      </c>
      <c r="H3027" t="str">
        <f t="shared" si="334"/>
        <v/>
      </c>
      <c r="I3027" t="str">
        <f t="shared" si="335"/>
        <v/>
      </c>
    </row>
    <row r="3028" spans="1:9" x14ac:dyDescent="0.4">
      <c r="A3028" t="str">
        <f t="shared" si="329"/>
        <v/>
      </c>
      <c r="B3028" t="str">
        <f t="shared" si="330"/>
        <v/>
      </c>
      <c r="C3028" t="str">
        <f t="shared" si="331"/>
        <v/>
      </c>
      <c r="D3028" t="str">
        <f t="shared" si="332"/>
        <v/>
      </c>
      <c r="E3028" t="str">
        <f>IF(F3028="","",IF(COUNTIF($F$2:F3028,F3028)&gt;1,"",SUMIFS(tbl_input[필요수량],tbl_input[집계키_센터],F3028)))</f>
        <v/>
      </c>
      <c r="F3028" t="str">
        <f>IFERROR(INDEX(tbl_input[집계키_센터],ROW()-1),"")</f>
        <v/>
      </c>
      <c r="G3028" t="str">
        <f t="shared" si="333"/>
        <v/>
      </c>
      <c r="H3028" t="str">
        <f t="shared" si="334"/>
        <v/>
      </c>
      <c r="I3028" t="str">
        <f t="shared" si="335"/>
        <v/>
      </c>
    </row>
    <row r="3029" spans="1:9" x14ac:dyDescent="0.4">
      <c r="A3029" t="str">
        <f t="shared" si="329"/>
        <v/>
      </c>
      <c r="B3029" t="str">
        <f t="shared" si="330"/>
        <v/>
      </c>
      <c r="C3029" t="str">
        <f t="shared" si="331"/>
        <v/>
      </c>
      <c r="D3029" t="str">
        <f t="shared" si="332"/>
        <v/>
      </c>
      <c r="E3029" t="str">
        <f>IF(F3029="","",IF(COUNTIF($F$2:F3029,F3029)&gt;1,"",SUMIFS(tbl_input[필요수량],tbl_input[집계키_센터],F3029)))</f>
        <v/>
      </c>
      <c r="F3029" t="str">
        <f>IFERROR(INDEX(tbl_input[집계키_센터],ROW()-1),"")</f>
        <v/>
      </c>
      <c r="G3029" t="str">
        <f t="shared" si="333"/>
        <v/>
      </c>
      <c r="H3029" t="str">
        <f t="shared" si="334"/>
        <v/>
      </c>
      <c r="I3029" t="str">
        <f t="shared" si="335"/>
        <v/>
      </c>
    </row>
    <row r="3030" spans="1:9" x14ac:dyDescent="0.4">
      <c r="A3030" t="str">
        <f t="shared" si="329"/>
        <v/>
      </c>
      <c r="B3030" t="str">
        <f t="shared" si="330"/>
        <v/>
      </c>
      <c r="C3030" t="str">
        <f t="shared" si="331"/>
        <v/>
      </c>
      <c r="D3030" t="str">
        <f t="shared" si="332"/>
        <v/>
      </c>
      <c r="E3030" t="str">
        <f>IF(F3030="","",IF(COUNTIF($F$2:F3030,F3030)&gt;1,"",SUMIFS(tbl_input[필요수량],tbl_input[집계키_센터],F3030)))</f>
        <v/>
      </c>
      <c r="F3030" t="str">
        <f>IFERROR(INDEX(tbl_input[집계키_센터],ROW()-1),"")</f>
        <v/>
      </c>
      <c r="G3030" t="str">
        <f t="shared" si="333"/>
        <v/>
      </c>
      <c r="H3030" t="str">
        <f t="shared" si="334"/>
        <v/>
      </c>
      <c r="I3030" t="str">
        <f t="shared" si="335"/>
        <v/>
      </c>
    </row>
    <row r="3031" spans="1:9" x14ac:dyDescent="0.4">
      <c r="A3031" t="str">
        <f t="shared" si="329"/>
        <v/>
      </c>
      <c r="B3031" t="str">
        <f t="shared" si="330"/>
        <v/>
      </c>
      <c r="C3031" t="str">
        <f t="shared" si="331"/>
        <v/>
      </c>
      <c r="D3031" t="str">
        <f t="shared" si="332"/>
        <v/>
      </c>
      <c r="E3031" t="str">
        <f>IF(F3031="","",IF(COUNTIF($F$2:F3031,F3031)&gt;1,"",SUMIFS(tbl_input[필요수량],tbl_input[집계키_센터],F3031)))</f>
        <v/>
      </c>
      <c r="F3031" t="str">
        <f>IFERROR(INDEX(tbl_input[집계키_센터],ROW()-1),"")</f>
        <v/>
      </c>
      <c r="G3031" t="str">
        <f t="shared" si="333"/>
        <v/>
      </c>
      <c r="H3031" t="str">
        <f t="shared" si="334"/>
        <v/>
      </c>
      <c r="I3031" t="str">
        <f t="shared" si="335"/>
        <v/>
      </c>
    </row>
    <row r="3032" spans="1:9" x14ac:dyDescent="0.4">
      <c r="A3032" t="str">
        <f t="shared" si="329"/>
        <v/>
      </c>
      <c r="B3032" t="str">
        <f t="shared" si="330"/>
        <v/>
      </c>
      <c r="C3032" t="str">
        <f t="shared" si="331"/>
        <v/>
      </c>
      <c r="D3032" t="str">
        <f t="shared" si="332"/>
        <v/>
      </c>
      <c r="E3032" t="str">
        <f>IF(F3032="","",IF(COUNTIF($F$2:F3032,F3032)&gt;1,"",SUMIFS(tbl_input[필요수량],tbl_input[집계키_센터],F3032)))</f>
        <v/>
      </c>
      <c r="F3032" t="str">
        <f>IFERROR(INDEX(tbl_input[집계키_센터],ROW()-1),"")</f>
        <v/>
      </c>
      <c r="G3032" t="str">
        <f t="shared" si="333"/>
        <v/>
      </c>
      <c r="H3032" t="str">
        <f t="shared" si="334"/>
        <v/>
      </c>
      <c r="I3032" t="str">
        <f t="shared" si="335"/>
        <v/>
      </c>
    </row>
    <row r="3033" spans="1:9" x14ac:dyDescent="0.4">
      <c r="A3033" t="str">
        <f t="shared" si="329"/>
        <v/>
      </c>
      <c r="B3033" t="str">
        <f t="shared" si="330"/>
        <v/>
      </c>
      <c r="C3033" t="str">
        <f t="shared" si="331"/>
        <v/>
      </c>
      <c r="D3033" t="str">
        <f t="shared" si="332"/>
        <v/>
      </c>
      <c r="E3033" t="str">
        <f>IF(F3033="","",IF(COUNTIF($F$2:F3033,F3033)&gt;1,"",SUMIFS(tbl_input[필요수량],tbl_input[집계키_센터],F3033)))</f>
        <v/>
      </c>
      <c r="F3033" t="str">
        <f>IFERROR(INDEX(tbl_input[집계키_센터],ROW()-1),"")</f>
        <v/>
      </c>
      <c r="G3033" t="str">
        <f t="shared" si="333"/>
        <v/>
      </c>
      <c r="H3033" t="str">
        <f t="shared" si="334"/>
        <v/>
      </c>
      <c r="I3033" t="str">
        <f t="shared" si="335"/>
        <v/>
      </c>
    </row>
    <row r="3034" spans="1:9" x14ac:dyDescent="0.4">
      <c r="A3034" t="str">
        <f t="shared" si="329"/>
        <v/>
      </c>
      <c r="B3034" t="str">
        <f t="shared" si="330"/>
        <v/>
      </c>
      <c r="C3034" t="str">
        <f t="shared" si="331"/>
        <v/>
      </c>
      <c r="D3034" t="str">
        <f t="shared" si="332"/>
        <v/>
      </c>
      <c r="E3034" t="str">
        <f>IF(F3034="","",IF(COUNTIF($F$2:F3034,F3034)&gt;1,"",SUMIFS(tbl_input[필요수량],tbl_input[집계키_센터],F3034)))</f>
        <v/>
      </c>
      <c r="F3034" t="str">
        <f>IFERROR(INDEX(tbl_input[집계키_센터],ROW()-1),"")</f>
        <v/>
      </c>
      <c r="G3034" t="str">
        <f t="shared" si="333"/>
        <v/>
      </c>
      <c r="H3034" t="str">
        <f t="shared" si="334"/>
        <v/>
      </c>
      <c r="I3034" t="str">
        <f t="shared" si="335"/>
        <v/>
      </c>
    </row>
    <row r="3035" spans="1:9" x14ac:dyDescent="0.4">
      <c r="A3035" t="str">
        <f t="shared" si="329"/>
        <v/>
      </c>
      <c r="B3035" t="str">
        <f t="shared" si="330"/>
        <v/>
      </c>
      <c r="C3035" t="str">
        <f t="shared" si="331"/>
        <v/>
      </c>
      <c r="D3035" t="str">
        <f t="shared" si="332"/>
        <v/>
      </c>
      <c r="E3035" t="str">
        <f>IF(F3035="","",IF(COUNTIF($F$2:F3035,F3035)&gt;1,"",SUMIFS(tbl_input[필요수량],tbl_input[집계키_센터],F3035)))</f>
        <v/>
      </c>
      <c r="F3035" t="str">
        <f>IFERROR(INDEX(tbl_input[집계키_센터],ROW()-1),"")</f>
        <v/>
      </c>
      <c r="G3035" t="str">
        <f t="shared" si="333"/>
        <v/>
      </c>
      <c r="H3035" t="str">
        <f t="shared" si="334"/>
        <v/>
      </c>
      <c r="I3035" t="str">
        <f t="shared" si="335"/>
        <v/>
      </c>
    </row>
    <row r="3036" spans="1:9" x14ac:dyDescent="0.4">
      <c r="A3036" t="str">
        <f t="shared" si="329"/>
        <v/>
      </c>
      <c r="B3036" t="str">
        <f t="shared" si="330"/>
        <v/>
      </c>
      <c r="C3036" t="str">
        <f t="shared" si="331"/>
        <v/>
      </c>
      <c r="D3036" t="str">
        <f t="shared" si="332"/>
        <v/>
      </c>
      <c r="E3036" t="str">
        <f>IF(F3036="","",IF(COUNTIF($F$2:F3036,F3036)&gt;1,"",SUMIFS(tbl_input[필요수량],tbl_input[집계키_센터],F3036)))</f>
        <v/>
      </c>
      <c r="F3036" t="str">
        <f>IFERROR(INDEX(tbl_input[집계키_센터],ROW()-1),"")</f>
        <v/>
      </c>
      <c r="G3036" t="str">
        <f t="shared" si="333"/>
        <v/>
      </c>
      <c r="H3036" t="str">
        <f t="shared" si="334"/>
        <v/>
      </c>
      <c r="I3036" t="str">
        <f t="shared" si="335"/>
        <v/>
      </c>
    </row>
    <row r="3037" spans="1:9" x14ac:dyDescent="0.4">
      <c r="A3037" t="str">
        <f t="shared" si="329"/>
        <v/>
      </c>
      <c r="B3037" t="str">
        <f t="shared" si="330"/>
        <v/>
      </c>
      <c r="C3037" t="str">
        <f t="shared" si="331"/>
        <v/>
      </c>
      <c r="D3037" t="str">
        <f t="shared" si="332"/>
        <v/>
      </c>
      <c r="E3037" t="str">
        <f>IF(F3037="","",IF(COUNTIF($F$2:F3037,F3037)&gt;1,"",SUMIFS(tbl_input[필요수량],tbl_input[집계키_센터],F3037)))</f>
        <v/>
      </c>
      <c r="F3037" t="str">
        <f>IFERROR(INDEX(tbl_input[집계키_센터],ROW()-1),"")</f>
        <v/>
      </c>
      <c r="G3037" t="str">
        <f t="shared" si="333"/>
        <v/>
      </c>
      <c r="H3037" t="str">
        <f t="shared" si="334"/>
        <v/>
      </c>
      <c r="I3037" t="str">
        <f t="shared" si="335"/>
        <v/>
      </c>
    </row>
    <row r="3038" spans="1:9" x14ac:dyDescent="0.4">
      <c r="A3038" t="str">
        <f t="shared" si="329"/>
        <v/>
      </c>
      <c r="B3038" t="str">
        <f t="shared" si="330"/>
        <v/>
      </c>
      <c r="C3038" t="str">
        <f t="shared" si="331"/>
        <v/>
      </c>
      <c r="D3038" t="str">
        <f t="shared" si="332"/>
        <v/>
      </c>
      <c r="E3038" t="str">
        <f>IF(F3038="","",IF(COUNTIF($F$2:F3038,F3038)&gt;1,"",SUMIFS(tbl_input[필요수량],tbl_input[집계키_센터],F3038)))</f>
        <v/>
      </c>
      <c r="F3038" t="str">
        <f>IFERROR(INDEX(tbl_input[집계키_센터],ROW()-1),"")</f>
        <v/>
      </c>
      <c r="G3038" t="str">
        <f t="shared" si="333"/>
        <v/>
      </c>
      <c r="H3038" t="str">
        <f t="shared" si="334"/>
        <v/>
      </c>
      <c r="I3038" t="str">
        <f t="shared" si="335"/>
        <v/>
      </c>
    </row>
    <row r="3039" spans="1:9" x14ac:dyDescent="0.4">
      <c r="A3039" t="str">
        <f t="shared" si="329"/>
        <v/>
      </c>
      <c r="B3039" t="str">
        <f t="shared" si="330"/>
        <v/>
      </c>
      <c r="C3039" t="str">
        <f t="shared" si="331"/>
        <v/>
      </c>
      <c r="D3039" t="str">
        <f t="shared" si="332"/>
        <v/>
      </c>
      <c r="E3039" t="str">
        <f>IF(F3039="","",IF(COUNTIF($F$2:F3039,F3039)&gt;1,"",SUMIFS(tbl_input[필요수량],tbl_input[집계키_센터],F3039)))</f>
        <v/>
      </c>
      <c r="F3039" t="str">
        <f>IFERROR(INDEX(tbl_input[집계키_센터],ROW()-1),"")</f>
        <v/>
      </c>
      <c r="G3039" t="str">
        <f t="shared" si="333"/>
        <v/>
      </c>
      <c r="H3039" t="str">
        <f t="shared" si="334"/>
        <v/>
      </c>
      <c r="I3039" t="str">
        <f t="shared" si="335"/>
        <v/>
      </c>
    </row>
    <row r="3040" spans="1:9" x14ac:dyDescent="0.4">
      <c r="A3040" t="str">
        <f t="shared" si="329"/>
        <v/>
      </c>
      <c r="B3040" t="str">
        <f t="shared" si="330"/>
        <v/>
      </c>
      <c r="C3040" t="str">
        <f t="shared" si="331"/>
        <v/>
      </c>
      <c r="D3040" t="str">
        <f t="shared" si="332"/>
        <v/>
      </c>
      <c r="E3040" t="str">
        <f>IF(F3040="","",IF(COUNTIF($F$2:F3040,F3040)&gt;1,"",SUMIFS(tbl_input[필요수량],tbl_input[집계키_센터],F3040)))</f>
        <v/>
      </c>
      <c r="F3040" t="str">
        <f>IFERROR(INDEX(tbl_input[집계키_센터],ROW()-1),"")</f>
        <v/>
      </c>
      <c r="G3040" t="str">
        <f t="shared" si="333"/>
        <v/>
      </c>
      <c r="H3040" t="str">
        <f t="shared" si="334"/>
        <v/>
      </c>
      <c r="I3040" t="str">
        <f t="shared" si="335"/>
        <v/>
      </c>
    </row>
    <row r="3041" spans="1:9" x14ac:dyDescent="0.4">
      <c r="A3041" t="str">
        <f t="shared" si="329"/>
        <v/>
      </c>
      <c r="B3041" t="str">
        <f t="shared" si="330"/>
        <v/>
      </c>
      <c r="C3041" t="str">
        <f t="shared" si="331"/>
        <v/>
      </c>
      <c r="D3041" t="str">
        <f t="shared" si="332"/>
        <v/>
      </c>
      <c r="E3041" t="str">
        <f>IF(F3041="","",IF(COUNTIF($F$2:F3041,F3041)&gt;1,"",SUMIFS(tbl_input[필요수량],tbl_input[집계키_센터],F3041)))</f>
        <v/>
      </c>
      <c r="F3041" t="str">
        <f>IFERROR(INDEX(tbl_input[집계키_센터],ROW()-1),"")</f>
        <v/>
      </c>
      <c r="G3041" t="str">
        <f t="shared" si="333"/>
        <v/>
      </c>
      <c r="H3041" t="str">
        <f t="shared" si="334"/>
        <v/>
      </c>
      <c r="I3041" t="str">
        <f t="shared" si="335"/>
        <v/>
      </c>
    </row>
    <row r="3042" spans="1:9" x14ac:dyDescent="0.4">
      <c r="A3042" t="str">
        <f t="shared" si="329"/>
        <v/>
      </c>
      <c r="B3042" t="str">
        <f t="shared" si="330"/>
        <v/>
      </c>
      <c r="C3042" t="str">
        <f t="shared" si="331"/>
        <v/>
      </c>
      <c r="D3042" t="str">
        <f t="shared" si="332"/>
        <v/>
      </c>
      <c r="E3042" t="str">
        <f>IF(F3042="","",IF(COUNTIF($F$2:F3042,F3042)&gt;1,"",SUMIFS(tbl_input[필요수량],tbl_input[집계키_센터],F3042)))</f>
        <v/>
      </c>
      <c r="F3042" t="str">
        <f>IFERROR(INDEX(tbl_input[집계키_센터],ROW()-1),"")</f>
        <v/>
      </c>
      <c r="G3042" t="str">
        <f t="shared" si="333"/>
        <v/>
      </c>
      <c r="H3042" t="str">
        <f t="shared" si="334"/>
        <v/>
      </c>
      <c r="I3042" t="str">
        <f t="shared" si="335"/>
        <v/>
      </c>
    </row>
    <row r="3043" spans="1:9" x14ac:dyDescent="0.4">
      <c r="A3043" t="str">
        <f t="shared" si="329"/>
        <v/>
      </c>
      <c r="B3043" t="str">
        <f t="shared" si="330"/>
        <v/>
      </c>
      <c r="C3043" t="str">
        <f t="shared" si="331"/>
        <v/>
      </c>
      <c r="D3043" t="str">
        <f t="shared" si="332"/>
        <v/>
      </c>
      <c r="E3043" t="str">
        <f>IF(F3043="","",IF(COUNTIF($F$2:F3043,F3043)&gt;1,"",SUMIFS(tbl_input[필요수량],tbl_input[집계키_센터],F3043)))</f>
        <v/>
      </c>
      <c r="F3043" t="str">
        <f>IFERROR(INDEX(tbl_input[집계키_센터],ROW()-1),"")</f>
        <v/>
      </c>
      <c r="G3043" t="str">
        <f t="shared" si="333"/>
        <v/>
      </c>
      <c r="H3043" t="str">
        <f t="shared" si="334"/>
        <v/>
      </c>
      <c r="I3043" t="str">
        <f t="shared" si="335"/>
        <v/>
      </c>
    </row>
    <row r="3044" spans="1:9" x14ac:dyDescent="0.4">
      <c r="A3044" t="str">
        <f t="shared" si="329"/>
        <v/>
      </c>
      <c r="B3044" t="str">
        <f t="shared" si="330"/>
        <v/>
      </c>
      <c r="C3044" t="str">
        <f t="shared" si="331"/>
        <v/>
      </c>
      <c r="D3044" t="str">
        <f t="shared" si="332"/>
        <v/>
      </c>
      <c r="E3044" t="str">
        <f>IF(F3044="","",IF(COUNTIF($F$2:F3044,F3044)&gt;1,"",SUMIFS(tbl_input[필요수량],tbl_input[집계키_센터],F3044)))</f>
        <v/>
      </c>
      <c r="F3044" t="str">
        <f>IFERROR(INDEX(tbl_input[집계키_센터],ROW()-1),"")</f>
        <v/>
      </c>
      <c r="G3044" t="str">
        <f t="shared" si="333"/>
        <v/>
      </c>
      <c r="H3044" t="str">
        <f t="shared" si="334"/>
        <v/>
      </c>
      <c r="I3044" t="str">
        <f t="shared" si="335"/>
        <v/>
      </c>
    </row>
    <row r="3045" spans="1:9" x14ac:dyDescent="0.4">
      <c r="A3045" t="str">
        <f t="shared" si="329"/>
        <v/>
      </c>
      <c r="B3045" t="str">
        <f t="shared" si="330"/>
        <v/>
      </c>
      <c r="C3045" t="str">
        <f t="shared" si="331"/>
        <v/>
      </c>
      <c r="D3045" t="str">
        <f t="shared" si="332"/>
        <v/>
      </c>
      <c r="E3045" t="str">
        <f>IF(F3045="","",IF(COUNTIF($F$2:F3045,F3045)&gt;1,"",SUMIFS(tbl_input[필요수량],tbl_input[집계키_센터],F3045)))</f>
        <v/>
      </c>
      <c r="F3045" t="str">
        <f>IFERROR(INDEX(tbl_input[집계키_센터],ROW()-1),"")</f>
        <v/>
      </c>
      <c r="G3045" t="str">
        <f t="shared" si="333"/>
        <v/>
      </c>
      <c r="H3045" t="str">
        <f t="shared" si="334"/>
        <v/>
      </c>
      <c r="I3045" t="str">
        <f t="shared" si="335"/>
        <v/>
      </c>
    </row>
    <row r="3046" spans="1:9" x14ac:dyDescent="0.4">
      <c r="A3046" t="str">
        <f t="shared" si="329"/>
        <v/>
      </c>
      <c r="B3046" t="str">
        <f t="shared" si="330"/>
        <v/>
      </c>
      <c r="C3046" t="str">
        <f t="shared" si="331"/>
        <v/>
      </c>
      <c r="D3046" t="str">
        <f t="shared" si="332"/>
        <v/>
      </c>
      <c r="E3046" t="str">
        <f>IF(F3046="","",IF(COUNTIF($F$2:F3046,F3046)&gt;1,"",SUMIFS(tbl_input[필요수량],tbl_input[집계키_센터],F3046)))</f>
        <v/>
      </c>
      <c r="F3046" t="str">
        <f>IFERROR(INDEX(tbl_input[집계키_센터],ROW()-1),"")</f>
        <v/>
      </c>
      <c r="G3046" t="str">
        <f t="shared" si="333"/>
        <v/>
      </c>
      <c r="H3046" t="str">
        <f t="shared" si="334"/>
        <v/>
      </c>
      <c r="I3046" t="str">
        <f t="shared" si="335"/>
        <v/>
      </c>
    </row>
    <row r="3047" spans="1:9" x14ac:dyDescent="0.4">
      <c r="A3047" t="str">
        <f t="shared" si="329"/>
        <v/>
      </c>
      <c r="B3047" t="str">
        <f t="shared" si="330"/>
        <v/>
      </c>
      <c r="C3047" t="str">
        <f t="shared" si="331"/>
        <v/>
      </c>
      <c r="D3047" t="str">
        <f t="shared" si="332"/>
        <v/>
      </c>
      <c r="E3047" t="str">
        <f>IF(F3047="","",IF(COUNTIF($F$2:F3047,F3047)&gt;1,"",SUMIFS(tbl_input[필요수량],tbl_input[집계키_센터],F3047)))</f>
        <v/>
      </c>
      <c r="F3047" t="str">
        <f>IFERROR(INDEX(tbl_input[집계키_센터],ROW()-1),"")</f>
        <v/>
      </c>
      <c r="G3047" t="str">
        <f t="shared" si="333"/>
        <v/>
      </c>
      <c r="H3047" t="str">
        <f t="shared" si="334"/>
        <v/>
      </c>
      <c r="I3047" t="str">
        <f t="shared" si="335"/>
        <v/>
      </c>
    </row>
    <row r="3048" spans="1:9" x14ac:dyDescent="0.4">
      <c r="A3048" t="str">
        <f t="shared" si="329"/>
        <v/>
      </c>
      <c r="B3048" t="str">
        <f t="shared" si="330"/>
        <v/>
      </c>
      <c r="C3048" t="str">
        <f t="shared" si="331"/>
        <v/>
      </c>
      <c r="D3048" t="str">
        <f t="shared" si="332"/>
        <v/>
      </c>
      <c r="E3048" t="str">
        <f>IF(F3048="","",IF(COUNTIF($F$2:F3048,F3048)&gt;1,"",SUMIFS(tbl_input[필요수량],tbl_input[집계키_센터],F3048)))</f>
        <v/>
      </c>
      <c r="F3048" t="str">
        <f>IFERROR(INDEX(tbl_input[집계키_센터],ROW()-1),"")</f>
        <v/>
      </c>
      <c r="G3048" t="str">
        <f t="shared" si="333"/>
        <v/>
      </c>
      <c r="H3048" t="str">
        <f t="shared" si="334"/>
        <v/>
      </c>
      <c r="I3048" t="str">
        <f t="shared" si="335"/>
        <v/>
      </c>
    </row>
    <row r="3049" spans="1:9" x14ac:dyDescent="0.4">
      <c r="A3049" t="str">
        <f t="shared" si="329"/>
        <v/>
      </c>
      <c r="B3049" t="str">
        <f t="shared" si="330"/>
        <v/>
      </c>
      <c r="C3049" t="str">
        <f t="shared" si="331"/>
        <v/>
      </c>
      <c r="D3049" t="str">
        <f t="shared" si="332"/>
        <v/>
      </c>
      <c r="E3049" t="str">
        <f>IF(F3049="","",IF(COUNTIF($F$2:F3049,F3049)&gt;1,"",SUMIFS(tbl_input[필요수량],tbl_input[집계키_센터],F3049)))</f>
        <v/>
      </c>
      <c r="F3049" t="str">
        <f>IFERROR(INDEX(tbl_input[집계키_센터],ROW()-1),"")</f>
        <v/>
      </c>
      <c r="G3049" t="str">
        <f t="shared" si="333"/>
        <v/>
      </c>
      <c r="H3049" t="str">
        <f t="shared" si="334"/>
        <v/>
      </c>
      <c r="I3049" t="str">
        <f t="shared" si="335"/>
        <v/>
      </c>
    </row>
    <row r="3050" spans="1:9" x14ac:dyDescent="0.4">
      <c r="A3050" t="str">
        <f t="shared" si="329"/>
        <v/>
      </c>
      <c r="B3050" t="str">
        <f t="shared" si="330"/>
        <v/>
      </c>
      <c r="C3050" t="str">
        <f t="shared" si="331"/>
        <v/>
      </c>
      <c r="D3050" t="str">
        <f t="shared" si="332"/>
        <v/>
      </c>
      <c r="E3050" t="str">
        <f>IF(F3050="","",IF(COUNTIF($F$2:F3050,F3050)&gt;1,"",SUMIFS(tbl_input[필요수량],tbl_input[집계키_센터],F3050)))</f>
        <v/>
      </c>
      <c r="F3050" t="str">
        <f>IFERROR(INDEX(tbl_input[집계키_센터],ROW()-1),"")</f>
        <v/>
      </c>
      <c r="G3050" t="str">
        <f t="shared" si="333"/>
        <v/>
      </c>
      <c r="H3050" t="str">
        <f t="shared" si="334"/>
        <v/>
      </c>
      <c r="I3050" t="str">
        <f t="shared" si="335"/>
        <v/>
      </c>
    </row>
    <row r="3051" spans="1:9" x14ac:dyDescent="0.4">
      <c r="A3051" t="str">
        <f t="shared" si="329"/>
        <v/>
      </c>
      <c r="B3051" t="str">
        <f t="shared" si="330"/>
        <v/>
      </c>
      <c r="C3051" t="str">
        <f t="shared" si="331"/>
        <v/>
      </c>
      <c r="D3051" t="str">
        <f t="shared" si="332"/>
        <v/>
      </c>
      <c r="E3051" t="str">
        <f>IF(F3051="","",IF(COUNTIF($F$2:F3051,F3051)&gt;1,"",SUMIFS(tbl_input[필요수량],tbl_input[집계키_센터],F3051)))</f>
        <v/>
      </c>
      <c r="F3051" t="str">
        <f>IFERROR(INDEX(tbl_input[집계키_센터],ROW()-1),"")</f>
        <v/>
      </c>
      <c r="G3051" t="str">
        <f t="shared" si="333"/>
        <v/>
      </c>
      <c r="H3051" t="str">
        <f t="shared" si="334"/>
        <v/>
      </c>
      <c r="I3051" t="str">
        <f t="shared" si="335"/>
        <v/>
      </c>
    </row>
    <row r="3052" spans="1:9" x14ac:dyDescent="0.4">
      <c r="A3052" t="str">
        <f t="shared" si="329"/>
        <v/>
      </c>
      <c r="B3052" t="str">
        <f t="shared" si="330"/>
        <v/>
      </c>
      <c r="C3052" t="str">
        <f t="shared" si="331"/>
        <v/>
      </c>
      <c r="D3052" t="str">
        <f t="shared" si="332"/>
        <v/>
      </c>
      <c r="E3052" t="str">
        <f>IF(F3052="","",IF(COUNTIF($F$2:F3052,F3052)&gt;1,"",SUMIFS(tbl_input[필요수량],tbl_input[집계키_센터],F3052)))</f>
        <v/>
      </c>
      <c r="F3052" t="str">
        <f>IFERROR(INDEX(tbl_input[집계키_센터],ROW()-1),"")</f>
        <v/>
      </c>
      <c r="G3052" t="str">
        <f t="shared" si="333"/>
        <v/>
      </c>
      <c r="H3052" t="str">
        <f t="shared" si="334"/>
        <v/>
      </c>
      <c r="I3052" t="str">
        <f t="shared" si="335"/>
        <v/>
      </c>
    </row>
    <row r="3053" spans="1:9" x14ac:dyDescent="0.4">
      <c r="A3053" t="str">
        <f t="shared" si="329"/>
        <v/>
      </c>
      <c r="B3053" t="str">
        <f t="shared" si="330"/>
        <v/>
      </c>
      <c r="C3053" t="str">
        <f t="shared" si="331"/>
        <v/>
      </c>
      <c r="D3053" t="str">
        <f t="shared" si="332"/>
        <v/>
      </c>
      <c r="E3053" t="str">
        <f>IF(F3053="","",IF(COUNTIF($F$2:F3053,F3053)&gt;1,"",SUMIFS(tbl_input[필요수량],tbl_input[집계키_센터],F3053)))</f>
        <v/>
      </c>
      <c r="F3053" t="str">
        <f>IFERROR(INDEX(tbl_input[집계키_센터],ROW()-1),"")</f>
        <v/>
      </c>
      <c r="G3053" t="str">
        <f t="shared" si="333"/>
        <v/>
      </c>
      <c r="H3053" t="str">
        <f t="shared" si="334"/>
        <v/>
      </c>
      <c r="I3053" t="str">
        <f t="shared" si="335"/>
        <v/>
      </c>
    </row>
    <row r="3054" spans="1:9" x14ac:dyDescent="0.4">
      <c r="A3054" t="str">
        <f t="shared" si="329"/>
        <v/>
      </c>
      <c r="B3054" t="str">
        <f t="shared" si="330"/>
        <v/>
      </c>
      <c r="C3054" t="str">
        <f t="shared" si="331"/>
        <v/>
      </c>
      <c r="D3054" t="str">
        <f t="shared" si="332"/>
        <v/>
      </c>
      <c r="E3054" t="str">
        <f>IF(F3054="","",IF(COUNTIF($F$2:F3054,F3054)&gt;1,"",SUMIFS(tbl_input[필요수량],tbl_input[집계키_센터],F3054)))</f>
        <v/>
      </c>
      <c r="F3054" t="str">
        <f>IFERROR(INDEX(tbl_input[집계키_센터],ROW()-1),"")</f>
        <v/>
      </c>
      <c r="G3054" t="str">
        <f t="shared" si="333"/>
        <v/>
      </c>
      <c r="H3054" t="str">
        <f t="shared" si="334"/>
        <v/>
      </c>
      <c r="I3054" t="str">
        <f t="shared" si="335"/>
        <v/>
      </c>
    </row>
    <row r="3055" spans="1:9" x14ac:dyDescent="0.4">
      <c r="A3055" t="str">
        <f t="shared" si="329"/>
        <v/>
      </c>
      <c r="B3055" t="str">
        <f t="shared" si="330"/>
        <v/>
      </c>
      <c r="C3055" t="str">
        <f t="shared" si="331"/>
        <v/>
      </c>
      <c r="D3055" t="str">
        <f t="shared" si="332"/>
        <v/>
      </c>
      <c r="E3055" t="str">
        <f>IF(F3055="","",IF(COUNTIF($F$2:F3055,F3055)&gt;1,"",SUMIFS(tbl_input[필요수량],tbl_input[집계키_센터],F3055)))</f>
        <v/>
      </c>
      <c r="F3055" t="str">
        <f>IFERROR(INDEX(tbl_input[집계키_센터],ROW()-1),"")</f>
        <v/>
      </c>
      <c r="G3055" t="str">
        <f t="shared" si="333"/>
        <v/>
      </c>
      <c r="H3055" t="str">
        <f t="shared" si="334"/>
        <v/>
      </c>
      <c r="I3055" t="str">
        <f t="shared" si="335"/>
        <v/>
      </c>
    </row>
    <row r="3056" spans="1:9" x14ac:dyDescent="0.4">
      <c r="A3056" t="str">
        <f t="shared" si="329"/>
        <v/>
      </c>
      <c r="B3056" t="str">
        <f t="shared" si="330"/>
        <v/>
      </c>
      <c r="C3056" t="str">
        <f t="shared" si="331"/>
        <v/>
      </c>
      <c r="D3056" t="str">
        <f t="shared" si="332"/>
        <v/>
      </c>
      <c r="E3056" t="str">
        <f>IF(F3056="","",IF(COUNTIF($F$2:F3056,F3056)&gt;1,"",SUMIFS(tbl_input[필요수량],tbl_input[집계키_센터],F3056)))</f>
        <v/>
      </c>
      <c r="F3056" t="str">
        <f>IFERROR(INDEX(tbl_input[집계키_센터],ROW()-1),"")</f>
        <v/>
      </c>
      <c r="G3056" t="str">
        <f t="shared" si="333"/>
        <v/>
      </c>
      <c r="H3056" t="str">
        <f t="shared" si="334"/>
        <v/>
      </c>
      <c r="I3056" t="str">
        <f t="shared" si="335"/>
        <v/>
      </c>
    </row>
    <row r="3057" spans="1:9" x14ac:dyDescent="0.4">
      <c r="A3057" t="str">
        <f t="shared" si="329"/>
        <v/>
      </c>
      <c r="B3057" t="str">
        <f t="shared" si="330"/>
        <v/>
      </c>
      <c r="C3057" t="str">
        <f t="shared" si="331"/>
        <v/>
      </c>
      <c r="D3057" t="str">
        <f t="shared" si="332"/>
        <v/>
      </c>
      <c r="E3057" t="str">
        <f>IF(F3057="","",IF(COUNTIF($F$2:F3057,F3057)&gt;1,"",SUMIFS(tbl_input[필요수량],tbl_input[집계키_센터],F3057)))</f>
        <v/>
      </c>
      <c r="F3057" t="str">
        <f>IFERROR(INDEX(tbl_input[집계키_센터],ROW()-1),"")</f>
        <v/>
      </c>
      <c r="G3057" t="str">
        <f t="shared" si="333"/>
        <v/>
      </c>
      <c r="H3057" t="str">
        <f t="shared" si="334"/>
        <v/>
      </c>
      <c r="I3057" t="str">
        <f t="shared" si="335"/>
        <v/>
      </c>
    </row>
    <row r="3058" spans="1:9" x14ac:dyDescent="0.4">
      <c r="A3058" t="str">
        <f t="shared" si="329"/>
        <v/>
      </c>
      <c r="B3058" t="str">
        <f t="shared" si="330"/>
        <v/>
      </c>
      <c r="C3058" t="str">
        <f t="shared" si="331"/>
        <v/>
      </c>
      <c r="D3058" t="str">
        <f t="shared" si="332"/>
        <v/>
      </c>
      <c r="E3058" t="str">
        <f>IF(F3058="","",IF(COUNTIF($F$2:F3058,F3058)&gt;1,"",SUMIFS(tbl_input[필요수량],tbl_input[집계키_센터],F3058)))</f>
        <v/>
      </c>
      <c r="F3058" t="str">
        <f>IFERROR(INDEX(tbl_input[집계키_센터],ROW()-1),"")</f>
        <v/>
      </c>
      <c r="G3058" t="str">
        <f t="shared" si="333"/>
        <v/>
      </c>
      <c r="H3058" t="str">
        <f t="shared" si="334"/>
        <v/>
      </c>
      <c r="I3058" t="str">
        <f t="shared" si="335"/>
        <v/>
      </c>
    </row>
    <row r="3059" spans="1:9" x14ac:dyDescent="0.4">
      <c r="A3059" t="str">
        <f t="shared" si="329"/>
        <v/>
      </c>
      <c r="B3059" t="str">
        <f t="shared" si="330"/>
        <v/>
      </c>
      <c r="C3059" t="str">
        <f t="shared" si="331"/>
        <v/>
      </c>
      <c r="D3059" t="str">
        <f t="shared" si="332"/>
        <v/>
      </c>
      <c r="E3059" t="str">
        <f>IF(F3059="","",IF(COUNTIF($F$2:F3059,F3059)&gt;1,"",SUMIFS(tbl_input[필요수량],tbl_input[집계키_센터],F3059)))</f>
        <v/>
      </c>
      <c r="F3059" t="str">
        <f>IFERROR(INDEX(tbl_input[집계키_센터],ROW()-1),"")</f>
        <v/>
      </c>
      <c r="G3059" t="str">
        <f t="shared" si="333"/>
        <v/>
      </c>
      <c r="H3059" t="str">
        <f t="shared" si="334"/>
        <v/>
      </c>
      <c r="I3059" t="str">
        <f t="shared" si="335"/>
        <v/>
      </c>
    </row>
    <row r="3060" spans="1:9" x14ac:dyDescent="0.4">
      <c r="A3060" t="str">
        <f t="shared" si="329"/>
        <v/>
      </c>
      <c r="B3060" t="str">
        <f t="shared" si="330"/>
        <v/>
      </c>
      <c r="C3060" t="str">
        <f t="shared" si="331"/>
        <v/>
      </c>
      <c r="D3060" t="str">
        <f t="shared" si="332"/>
        <v/>
      </c>
      <c r="E3060" t="str">
        <f>IF(F3060="","",IF(COUNTIF($F$2:F3060,F3060)&gt;1,"",SUMIFS(tbl_input[필요수량],tbl_input[집계키_센터],F3060)))</f>
        <v/>
      </c>
      <c r="F3060" t="str">
        <f>IFERROR(INDEX(tbl_input[집계키_센터],ROW()-1),"")</f>
        <v/>
      </c>
      <c r="G3060" t="str">
        <f t="shared" si="333"/>
        <v/>
      </c>
      <c r="H3060" t="str">
        <f t="shared" si="334"/>
        <v/>
      </c>
      <c r="I3060" t="str">
        <f t="shared" si="335"/>
        <v/>
      </c>
    </row>
    <row r="3061" spans="1:9" x14ac:dyDescent="0.4">
      <c r="A3061" t="str">
        <f t="shared" si="329"/>
        <v/>
      </c>
      <c r="B3061" t="str">
        <f t="shared" si="330"/>
        <v/>
      </c>
      <c r="C3061" t="str">
        <f t="shared" si="331"/>
        <v/>
      </c>
      <c r="D3061" t="str">
        <f t="shared" si="332"/>
        <v/>
      </c>
      <c r="E3061" t="str">
        <f>IF(F3061="","",IF(COUNTIF($F$2:F3061,F3061)&gt;1,"",SUMIFS(tbl_input[필요수량],tbl_input[집계키_센터],F3061)))</f>
        <v/>
      </c>
      <c r="F3061" t="str">
        <f>IFERROR(INDEX(tbl_input[집계키_센터],ROW()-1),"")</f>
        <v/>
      </c>
      <c r="G3061" t="str">
        <f t="shared" si="333"/>
        <v/>
      </c>
      <c r="H3061" t="str">
        <f t="shared" si="334"/>
        <v/>
      </c>
      <c r="I3061" t="str">
        <f t="shared" si="335"/>
        <v/>
      </c>
    </row>
    <row r="3062" spans="1:9" x14ac:dyDescent="0.4">
      <c r="A3062" t="str">
        <f t="shared" si="329"/>
        <v/>
      </c>
      <c r="B3062" t="str">
        <f t="shared" si="330"/>
        <v/>
      </c>
      <c r="C3062" t="str">
        <f t="shared" si="331"/>
        <v/>
      </c>
      <c r="D3062" t="str">
        <f t="shared" si="332"/>
        <v/>
      </c>
      <c r="E3062" t="str">
        <f>IF(F3062="","",IF(COUNTIF($F$2:F3062,F3062)&gt;1,"",SUMIFS(tbl_input[필요수량],tbl_input[집계키_센터],F3062)))</f>
        <v/>
      </c>
      <c r="F3062" t="str">
        <f>IFERROR(INDEX(tbl_input[집계키_센터],ROW()-1),"")</f>
        <v/>
      </c>
      <c r="G3062" t="str">
        <f t="shared" si="333"/>
        <v/>
      </c>
      <c r="H3062" t="str">
        <f t="shared" si="334"/>
        <v/>
      </c>
      <c r="I3062" t="str">
        <f t="shared" si="335"/>
        <v/>
      </c>
    </row>
    <row r="3063" spans="1:9" x14ac:dyDescent="0.4">
      <c r="A3063" t="str">
        <f t="shared" si="329"/>
        <v/>
      </c>
      <c r="B3063" t="str">
        <f t="shared" si="330"/>
        <v/>
      </c>
      <c r="C3063" t="str">
        <f t="shared" si="331"/>
        <v/>
      </c>
      <c r="D3063" t="str">
        <f t="shared" si="332"/>
        <v/>
      </c>
      <c r="E3063" t="str">
        <f>IF(F3063="","",IF(COUNTIF($F$2:F3063,F3063)&gt;1,"",SUMIFS(tbl_input[필요수량],tbl_input[집계키_센터],F3063)))</f>
        <v/>
      </c>
      <c r="F3063" t="str">
        <f>IFERROR(INDEX(tbl_input[집계키_센터],ROW()-1),"")</f>
        <v/>
      </c>
      <c r="G3063" t="str">
        <f t="shared" si="333"/>
        <v/>
      </c>
      <c r="H3063" t="str">
        <f t="shared" si="334"/>
        <v/>
      </c>
      <c r="I3063" t="str">
        <f t="shared" si="335"/>
        <v/>
      </c>
    </row>
    <row r="3064" spans="1:9" x14ac:dyDescent="0.4">
      <c r="A3064" t="str">
        <f t="shared" si="329"/>
        <v/>
      </c>
      <c r="B3064" t="str">
        <f t="shared" si="330"/>
        <v/>
      </c>
      <c r="C3064" t="str">
        <f t="shared" si="331"/>
        <v/>
      </c>
      <c r="D3064" t="str">
        <f t="shared" si="332"/>
        <v/>
      </c>
      <c r="E3064" t="str">
        <f>IF(F3064="","",IF(COUNTIF($F$2:F3064,F3064)&gt;1,"",SUMIFS(tbl_input[필요수량],tbl_input[집계키_센터],F3064)))</f>
        <v/>
      </c>
      <c r="F3064" t="str">
        <f>IFERROR(INDEX(tbl_input[집계키_센터],ROW()-1),"")</f>
        <v/>
      </c>
      <c r="G3064" t="str">
        <f t="shared" si="333"/>
        <v/>
      </c>
      <c r="H3064" t="str">
        <f t="shared" si="334"/>
        <v/>
      </c>
      <c r="I3064" t="str">
        <f t="shared" si="335"/>
        <v/>
      </c>
    </row>
    <row r="3065" spans="1:9" x14ac:dyDescent="0.4">
      <c r="A3065" t="str">
        <f t="shared" si="329"/>
        <v/>
      </c>
      <c r="B3065" t="str">
        <f t="shared" si="330"/>
        <v/>
      </c>
      <c r="C3065" t="str">
        <f t="shared" si="331"/>
        <v/>
      </c>
      <c r="D3065" t="str">
        <f t="shared" si="332"/>
        <v/>
      </c>
      <c r="E3065" t="str">
        <f>IF(F3065="","",IF(COUNTIF($F$2:F3065,F3065)&gt;1,"",SUMIFS(tbl_input[필요수량],tbl_input[집계키_센터],F3065)))</f>
        <v/>
      </c>
      <c r="F3065" t="str">
        <f>IFERROR(INDEX(tbl_input[집계키_센터],ROW()-1),"")</f>
        <v/>
      </c>
      <c r="G3065" t="str">
        <f t="shared" si="333"/>
        <v/>
      </c>
      <c r="H3065" t="str">
        <f t="shared" si="334"/>
        <v/>
      </c>
      <c r="I3065" t="str">
        <f t="shared" si="335"/>
        <v/>
      </c>
    </row>
    <row r="3066" spans="1:9" x14ac:dyDescent="0.4">
      <c r="A3066" t="str">
        <f t="shared" si="329"/>
        <v/>
      </c>
      <c r="B3066" t="str">
        <f t="shared" si="330"/>
        <v/>
      </c>
      <c r="C3066" t="str">
        <f t="shared" si="331"/>
        <v/>
      </c>
      <c r="D3066" t="str">
        <f t="shared" si="332"/>
        <v/>
      </c>
      <c r="E3066" t="str">
        <f>IF(F3066="","",IF(COUNTIF($F$2:F3066,F3066)&gt;1,"",SUMIFS(tbl_input[필요수량],tbl_input[집계키_센터],F3066)))</f>
        <v/>
      </c>
      <c r="F3066" t="str">
        <f>IFERROR(INDEX(tbl_input[집계키_센터],ROW()-1),"")</f>
        <v/>
      </c>
      <c r="G3066" t="str">
        <f t="shared" si="333"/>
        <v/>
      </c>
      <c r="H3066" t="str">
        <f t="shared" si="334"/>
        <v/>
      </c>
      <c r="I3066" t="str">
        <f t="shared" si="335"/>
        <v/>
      </c>
    </row>
    <row r="3067" spans="1:9" x14ac:dyDescent="0.4">
      <c r="A3067" t="str">
        <f t="shared" si="329"/>
        <v/>
      </c>
      <c r="B3067" t="str">
        <f t="shared" si="330"/>
        <v/>
      </c>
      <c r="C3067" t="str">
        <f t="shared" si="331"/>
        <v/>
      </c>
      <c r="D3067" t="str">
        <f t="shared" si="332"/>
        <v/>
      </c>
      <c r="E3067" t="str">
        <f>IF(F3067="","",IF(COUNTIF($F$2:F3067,F3067)&gt;1,"",SUMIFS(tbl_input[필요수량],tbl_input[집계키_센터],F3067)))</f>
        <v/>
      </c>
      <c r="F3067" t="str">
        <f>IFERROR(INDEX(tbl_input[집계키_센터],ROW()-1),"")</f>
        <v/>
      </c>
      <c r="G3067" t="str">
        <f t="shared" si="333"/>
        <v/>
      </c>
      <c r="H3067" t="str">
        <f t="shared" si="334"/>
        <v/>
      </c>
      <c r="I3067" t="str">
        <f t="shared" si="335"/>
        <v/>
      </c>
    </row>
    <row r="3068" spans="1:9" x14ac:dyDescent="0.4">
      <c r="A3068" t="str">
        <f t="shared" si="329"/>
        <v/>
      </c>
      <c r="B3068" t="str">
        <f t="shared" si="330"/>
        <v/>
      </c>
      <c r="C3068" t="str">
        <f t="shared" si="331"/>
        <v/>
      </c>
      <c r="D3068" t="str">
        <f t="shared" si="332"/>
        <v/>
      </c>
      <c r="E3068" t="str">
        <f>IF(F3068="","",IF(COUNTIF($F$2:F3068,F3068)&gt;1,"",SUMIFS(tbl_input[필요수량],tbl_input[집계키_센터],F3068)))</f>
        <v/>
      </c>
      <c r="F3068" t="str">
        <f>IFERROR(INDEX(tbl_input[집계키_센터],ROW()-1),"")</f>
        <v/>
      </c>
      <c r="G3068" t="str">
        <f t="shared" si="333"/>
        <v/>
      </c>
      <c r="H3068" t="str">
        <f t="shared" si="334"/>
        <v/>
      </c>
      <c r="I3068" t="str">
        <f t="shared" si="335"/>
        <v/>
      </c>
    </row>
    <row r="3069" spans="1:9" x14ac:dyDescent="0.4">
      <c r="A3069" t="str">
        <f t="shared" si="329"/>
        <v/>
      </c>
      <c r="B3069" t="str">
        <f t="shared" si="330"/>
        <v/>
      </c>
      <c r="C3069" t="str">
        <f t="shared" si="331"/>
        <v/>
      </c>
      <c r="D3069" t="str">
        <f t="shared" si="332"/>
        <v/>
      </c>
      <c r="E3069" t="str">
        <f>IF(F3069="","",IF(COUNTIF($F$2:F3069,F3069)&gt;1,"",SUMIFS(tbl_input[필요수량],tbl_input[집계키_센터],F3069)))</f>
        <v/>
      </c>
      <c r="F3069" t="str">
        <f>IFERROR(INDEX(tbl_input[집계키_센터],ROW()-1),"")</f>
        <v/>
      </c>
      <c r="G3069" t="str">
        <f t="shared" si="333"/>
        <v/>
      </c>
      <c r="H3069" t="str">
        <f t="shared" si="334"/>
        <v/>
      </c>
      <c r="I3069" t="str">
        <f t="shared" si="335"/>
        <v/>
      </c>
    </row>
    <row r="3070" spans="1:9" x14ac:dyDescent="0.4">
      <c r="A3070" t="str">
        <f t="shared" si="329"/>
        <v/>
      </c>
      <c r="B3070" t="str">
        <f t="shared" si="330"/>
        <v/>
      </c>
      <c r="C3070" t="str">
        <f t="shared" si="331"/>
        <v/>
      </c>
      <c r="D3070" t="str">
        <f t="shared" si="332"/>
        <v/>
      </c>
      <c r="E3070" t="str">
        <f>IF(F3070="","",IF(COUNTIF($F$2:F3070,F3070)&gt;1,"",SUMIFS(tbl_input[필요수량],tbl_input[집계키_센터],F3070)))</f>
        <v/>
      </c>
      <c r="F3070" t="str">
        <f>IFERROR(INDEX(tbl_input[집계키_센터],ROW()-1),"")</f>
        <v/>
      </c>
      <c r="G3070" t="str">
        <f t="shared" si="333"/>
        <v/>
      </c>
      <c r="H3070" t="str">
        <f t="shared" si="334"/>
        <v/>
      </c>
      <c r="I3070" t="str">
        <f t="shared" si="335"/>
        <v/>
      </c>
    </row>
    <row r="3071" spans="1:9" x14ac:dyDescent="0.4">
      <c r="A3071" t="str">
        <f t="shared" si="329"/>
        <v/>
      </c>
      <c r="B3071" t="str">
        <f t="shared" si="330"/>
        <v/>
      </c>
      <c r="C3071" t="str">
        <f t="shared" si="331"/>
        <v/>
      </c>
      <c r="D3071" t="str">
        <f t="shared" si="332"/>
        <v/>
      </c>
      <c r="E3071" t="str">
        <f>IF(F3071="","",IF(COUNTIF($F$2:F3071,F3071)&gt;1,"",SUMIFS(tbl_input[필요수량],tbl_input[집계키_센터],F3071)))</f>
        <v/>
      </c>
      <c r="F3071" t="str">
        <f>IFERROR(INDEX(tbl_input[집계키_센터],ROW()-1),"")</f>
        <v/>
      </c>
      <c r="G3071" t="str">
        <f t="shared" si="333"/>
        <v/>
      </c>
      <c r="H3071" t="str">
        <f t="shared" si="334"/>
        <v/>
      </c>
      <c r="I3071" t="str">
        <f t="shared" si="335"/>
        <v/>
      </c>
    </row>
    <row r="3072" spans="1:9" x14ac:dyDescent="0.4">
      <c r="A3072" t="str">
        <f t="shared" si="329"/>
        <v/>
      </c>
      <c r="B3072" t="str">
        <f t="shared" si="330"/>
        <v/>
      </c>
      <c r="C3072" t="str">
        <f t="shared" si="331"/>
        <v/>
      </c>
      <c r="D3072" t="str">
        <f t="shared" si="332"/>
        <v/>
      </c>
      <c r="E3072" t="str">
        <f>IF(F3072="","",IF(COUNTIF($F$2:F3072,F3072)&gt;1,"",SUMIFS(tbl_input[필요수량],tbl_input[집계키_센터],F3072)))</f>
        <v/>
      </c>
      <c r="F3072" t="str">
        <f>IFERROR(INDEX(tbl_input[집계키_센터],ROW()-1),"")</f>
        <v/>
      </c>
      <c r="G3072" t="str">
        <f t="shared" si="333"/>
        <v/>
      </c>
      <c r="H3072" t="str">
        <f t="shared" si="334"/>
        <v/>
      </c>
      <c r="I3072" t="str">
        <f t="shared" si="335"/>
        <v/>
      </c>
    </row>
    <row r="3073" spans="1:9" x14ac:dyDescent="0.4">
      <c r="A3073" t="str">
        <f t="shared" si="329"/>
        <v/>
      </c>
      <c r="B3073" t="str">
        <f t="shared" si="330"/>
        <v/>
      </c>
      <c r="C3073" t="str">
        <f t="shared" si="331"/>
        <v/>
      </c>
      <c r="D3073" t="str">
        <f t="shared" si="332"/>
        <v/>
      </c>
      <c r="E3073" t="str">
        <f>IF(F3073="","",IF(COUNTIF($F$2:F3073,F3073)&gt;1,"",SUMIFS(tbl_input[필요수량],tbl_input[집계키_센터],F3073)))</f>
        <v/>
      </c>
      <c r="F3073" t="str">
        <f>IFERROR(INDEX(tbl_input[집계키_센터],ROW()-1),"")</f>
        <v/>
      </c>
      <c r="G3073" t="str">
        <f t="shared" si="333"/>
        <v/>
      </c>
      <c r="H3073" t="str">
        <f t="shared" si="334"/>
        <v/>
      </c>
      <c r="I3073" t="str">
        <f t="shared" si="335"/>
        <v/>
      </c>
    </row>
    <row r="3074" spans="1:9" x14ac:dyDescent="0.4">
      <c r="A3074" t="str">
        <f t="shared" ref="A3074:A3137" si="336">IF(F3074="","",LEFT(F3074,G3074-1))</f>
        <v/>
      </c>
      <c r="B3074" t="str">
        <f t="shared" ref="B3074:B3137" si="337">IF(F3074="","",MID(F3074,G3074+1,H3074-G3074-1))</f>
        <v/>
      </c>
      <c r="C3074" t="str">
        <f t="shared" ref="C3074:C3137" si="338">IF(F3074="","",MID(F3074,H3074+1,I3074-H3074-1))</f>
        <v/>
      </c>
      <c r="D3074" t="str">
        <f t="shared" ref="D3074:D3137" si="339">IF(F3074="","",MID(F3074,I3074+1,999))</f>
        <v/>
      </c>
      <c r="E3074" t="str">
        <f>IF(F3074="","",IF(COUNTIF($F$2:F3074,F3074)&gt;1,"",SUMIFS(tbl_input[필요수량],tbl_input[집계키_센터],F3074)))</f>
        <v/>
      </c>
      <c r="F3074" t="str">
        <f>IFERROR(INDEX(tbl_input[집계키_센터],ROW()-1),"")</f>
        <v/>
      </c>
      <c r="G3074" t="str">
        <f t="shared" ref="G3074:G3137" si="340">IF(F3074="","",FIND("♦",F3074))</f>
        <v/>
      </c>
      <c r="H3074" t="str">
        <f t="shared" ref="H3074:H3137" si="341">IF(F3074="","",FIND("♦",F3074,G3074+1))</f>
        <v/>
      </c>
      <c r="I3074" t="str">
        <f t="shared" ref="I3074:I3137" si="342">IF(F3074="","",FIND("♦",F3074,H3074+1))</f>
        <v/>
      </c>
    </row>
    <row r="3075" spans="1:9" x14ac:dyDescent="0.4">
      <c r="A3075" t="str">
        <f t="shared" si="336"/>
        <v/>
      </c>
      <c r="B3075" t="str">
        <f t="shared" si="337"/>
        <v/>
      </c>
      <c r="C3075" t="str">
        <f t="shared" si="338"/>
        <v/>
      </c>
      <c r="D3075" t="str">
        <f t="shared" si="339"/>
        <v/>
      </c>
      <c r="E3075" t="str">
        <f>IF(F3075="","",IF(COUNTIF($F$2:F3075,F3075)&gt;1,"",SUMIFS(tbl_input[필요수량],tbl_input[집계키_센터],F3075)))</f>
        <v/>
      </c>
      <c r="F3075" t="str">
        <f>IFERROR(INDEX(tbl_input[집계키_센터],ROW()-1),"")</f>
        <v/>
      </c>
      <c r="G3075" t="str">
        <f t="shared" si="340"/>
        <v/>
      </c>
      <c r="H3075" t="str">
        <f t="shared" si="341"/>
        <v/>
      </c>
      <c r="I3075" t="str">
        <f t="shared" si="342"/>
        <v/>
      </c>
    </row>
    <row r="3076" spans="1:9" x14ac:dyDescent="0.4">
      <c r="A3076" t="str">
        <f t="shared" si="336"/>
        <v/>
      </c>
      <c r="B3076" t="str">
        <f t="shared" si="337"/>
        <v/>
      </c>
      <c r="C3076" t="str">
        <f t="shared" si="338"/>
        <v/>
      </c>
      <c r="D3076" t="str">
        <f t="shared" si="339"/>
        <v/>
      </c>
      <c r="E3076" t="str">
        <f>IF(F3076="","",IF(COUNTIF($F$2:F3076,F3076)&gt;1,"",SUMIFS(tbl_input[필요수량],tbl_input[집계키_센터],F3076)))</f>
        <v/>
      </c>
      <c r="F3076" t="str">
        <f>IFERROR(INDEX(tbl_input[집계키_센터],ROW()-1),"")</f>
        <v/>
      </c>
      <c r="G3076" t="str">
        <f t="shared" si="340"/>
        <v/>
      </c>
      <c r="H3076" t="str">
        <f t="shared" si="341"/>
        <v/>
      </c>
      <c r="I3076" t="str">
        <f t="shared" si="342"/>
        <v/>
      </c>
    </row>
    <row r="3077" spans="1:9" x14ac:dyDescent="0.4">
      <c r="A3077" t="str">
        <f t="shared" si="336"/>
        <v/>
      </c>
      <c r="B3077" t="str">
        <f t="shared" si="337"/>
        <v/>
      </c>
      <c r="C3077" t="str">
        <f t="shared" si="338"/>
        <v/>
      </c>
      <c r="D3077" t="str">
        <f t="shared" si="339"/>
        <v/>
      </c>
      <c r="E3077" t="str">
        <f>IF(F3077="","",IF(COUNTIF($F$2:F3077,F3077)&gt;1,"",SUMIFS(tbl_input[필요수량],tbl_input[집계키_센터],F3077)))</f>
        <v/>
      </c>
      <c r="F3077" t="str">
        <f>IFERROR(INDEX(tbl_input[집계키_센터],ROW()-1),"")</f>
        <v/>
      </c>
      <c r="G3077" t="str">
        <f t="shared" si="340"/>
        <v/>
      </c>
      <c r="H3077" t="str">
        <f t="shared" si="341"/>
        <v/>
      </c>
      <c r="I3077" t="str">
        <f t="shared" si="342"/>
        <v/>
      </c>
    </row>
    <row r="3078" spans="1:9" x14ac:dyDescent="0.4">
      <c r="A3078" t="str">
        <f t="shared" si="336"/>
        <v/>
      </c>
      <c r="B3078" t="str">
        <f t="shared" si="337"/>
        <v/>
      </c>
      <c r="C3078" t="str">
        <f t="shared" si="338"/>
        <v/>
      </c>
      <c r="D3078" t="str">
        <f t="shared" si="339"/>
        <v/>
      </c>
      <c r="E3078" t="str">
        <f>IF(F3078="","",IF(COUNTIF($F$2:F3078,F3078)&gt;1,"",SUMIFS(tbl_input[필요수량],tbl_input[집계키_센터],F3078)))</f>
        <v/>
      </c>
      <c r="F3078" t="str">
        <f>IFERROR(INDEX(tbl_input[집계키_센터],ROW()-1),"")</f>
        <v/>
      </c>
      <c r="G3078" t="str">
        <f t="shared" si="340"/>
        <v/>
      </c>
      <c r="H3078" t="str">
        <f t="shared" si="341"/>
        <v/>
      </c>
      <c r="I3078" t="str">
        <f t="shared" si="342"/>
        <v/>
      </c>
    </row>
    <row r="3079" spans="1:9" x14ac:dyDescent="0.4">
      <c r="A3079" t="str">
        <f t="shared" si="336"/>
        <v/>
      </c>
      <c r="B3079" t="str">
        <f t="shared" si="337"/>
        <v/>
      </c>
      <c r="C3079" t="str">
        <f t="shared" si="338"/>
        <v/>
      </c>
      <c r="D3079" t="str">
        <f t="shared" si="339"/>
        <v/>
      </c>
      <c r="E3079" t="str">
        <f>IF(F3079="","",IF(COUNTIF($F$2:F3079,F3079)&gt;1,"",SUMIFS(tbl_input[필요수량],tbl_input[집계키_센터],F3079)))</f>
        <v/>
      </c>
      <c r="F3079" t="str">
        <f>IFERROR(INDEX(tbl_input[집계키_센터],ROW()-1),"")</f>
        <v/>
      </c>
      <c r="G3079" t="str">
        <f t="shared" si="340"/>
        <v/>
      </c>
      <c r="H3079" t="str">
        <f t="shared" si="341"/>
        <v/>
      </c>
      <c r="I3079" t="str">
        <f t="shared" si="342"/>
        <v/>
      </c>
    </row>
    <row r="3080" spans="1:9" x14ac:dyDescent="0.4">
      <c r="A3080" t="str">
        <f t="shared" si="336"/>
        <v/>
      </c>
      <c r="B3080" t="str">
        <f t="shared" si="337"/>
        <v/>
      </c>
      <c r="C3080" t="str">
        <f t="shared" si="338"/>
        <v/>
      </c>
      <c r="D3080" t="str">
        <f t="shared" si="339"/>
        <v/>
      </c>
      <c r="E3080" t="str">
        <f>IF(F3080="","",IF(COUNTIF($F$2:F3080,F3080)&gt;1,"",SUMIFS(tbl_input[필요수량],tbl_input[집계키_센터],F3080)))</f>
        <v/>
      </c>
      <c r="F3080" t="str">
        <f>IFERROR(INDEX(tbl_input[집계키_센터],ROW()-1),"")</f>
        <v/>
      </c>
      <c r="G3080" t="str">
        <f t="shared" si="340"/>
        <v/>
      </c>
      <c r="H3080" t="str">
        <f t="shared" si="341"/>
        <v/>
      </c>
      <c r="I3080" t="str">
        <f t="shared" si="342"/>
        <v/>
      </c>
    </row>
    <row r="3081" spans="1:9" x14ac:dyDescent="0.4">
      <c r="A3081" t="str">
        <f t="shared" si="336"/>
        <v/>
      </c>
      <c r="B3081" t="str">
        <f t="shared" si="337"/>
        <v/>
      </c>
      <c r="C3081" t="str">
        <f t="shared" si="338"/>
        <v/>
      </c>
      <c r="D3081" t="str">
        <f t="shared" si="339"/>
        <v/>
      </c>
      <c r="E3081" t="str">
        <f>IF(F3081="","",IF(COUNTIF($F$2:F3081,F3081)&gt;1,"",SUMIFS(tbl_input[필요수량],tbl_input[집계키_센터],F3081)))</f>
        <v/>
      </c>
      <c r="F3081" t="str">
        <f>IFERROR(INDEX(tbl_input[집계키_센터],ROW()-1),"")</f>
        <v/>
      </c>
      <c r="G3081" t="str">
        <f t="shared" si="340"/>
        <v/>
      </c>
      <c r="H3081" t="str">
        <f t="shared" si="341"/>
        <v/>
      </c>
      <c r="I3081" t="str">
        <f t="shared" si="342"/>
        <v/>
      </c>
    </row>
    <row r="3082" spans="1:9" x14ac:dyDescent="0.4">
      <c r="A3082" t="str">
        <f t="shared" si="336"/>
        <v/>
      </c>
      <c r="B3082" t="str">
        <f t="shared" si="337"/>
        <v/>
      </c>
      <c r="C3082" t="str">
        <f t="shared" si="338"/>
        <v/>
      </c>
      <c r="D3082" t="str">
        <f t="shared" si="339"/>
        <v/>
      </c>
      <c r="E3082" t="str">
        <f>IF(F3082="","",IF(COUNTIF($F$2:F3082,F3082)&gt;1,"",SUMIFS(tbl_input[필요수량],tbl_input[집계키_센터],F3082)))</f>
        <v/>
      </c>
      <c r="F3082" t="str">
        <f>IFERROR(INDEX(tbl_input[집계키_센터],ROW()-1),"")</f>
        <v/>
      </c>
      <c r="G3082" t="str">
        <f t="shared" si="340"/>
        <v/>
      </c>
      <c r="H3082" t="str">
        <f t="shared" si="341"/>
        <v/>
      </c>
      <c r="I3082" t="str">
        <f t="shared" si="342"/>
        <v/>
      </c>
    </row>
    <row r="3083" spans="1:9" x14ac:dyDescent="0.4">
      <c r="A3083" t="str">
        <f t="shared" si="336"/>
        <v/>
      </c>
      <c r="B3083" t="str">
        <f t="shared" si="337"/>
        <v/>
      </c>
      <c r="C3083" t="str">
        <f t="shared" si="338"/>
        <v/>
      </c>
      <c r="D3083" t="str">
        <f t="shared" si="339"/>
        <v/>
      </c>
      <c r="E3083" t="str">
        <f>IF(F3083="","",IF(COUNTIF($F$2:F3083,F3083)&gt;1,"",SUMIFS(tbl_input[필요수량],tbl_input[집계키_센터],F3083)))</f>
        <v/>
      </c>
      <c r="F3083" t="str">
        <f>IFERROR(INDEX(tbl_input[집계키_센터],ROW()-1),"")</f>
        <v/>
      </c>
      <c r="G3083" t="str">
        <f t="shared" si="340"/>
        <v/>
      </c>
      <c r="H3083" t="str">
        <f t="shared" si="341"/>
        <v/>
      </c>
      <c r="I3083" t="str">
        <f t="shared" si="342"/>
        <v/>
      </c>
    </row>
    <row r="3084" spans="1:9" x14ac:dyDescent="0.4">
      <c r="A3084" t="str">
        <f t="shared" si="336"/>
        <v/>
      </c>
      <c r="B3084" t="str">
        <f t="shared" si="337"/>
        <v/>
      </c>
      <c r="C3084" t="str">
        <f t="shared" si="338"/>
        <v/>
      </c>
      <c r="D3084" t="str">
        <f t="shared" si="339"/>
        <v/>
      </c>
      <c r="E3084" t="str">
        <f>IF(F3084="","",IF(COUNTIF($F$2:F3084,F3084)&gt;1,"",SUMIFS(tbl_input[필요수량],tbl_input[집계키_센터],F3084)))</f>
        <v/>
      </c>
      <c r="F3084" t="str">
        <f>IFERROR(INDEX(tbl_input[집계키_센터],ROW()-1),"")</f>
        <v/>
      </c>
      <c r="G3084" t="str">
        <f t="shared" si="340"/>
        <v/>
      </c>
      <c r="H3084" t="str">
        <f t="shared" si="341"/>
        <v/>
      </c>
      <c r="I3084" t="str">
        <f t="shared" si="342"/>
        <v/>
      </c>
    </row>
    <row r="3085" spans="1:9" x14ac:dyDescent="0.4">
      <c r="A3085" t="str">
        <f t="shared" si="336"/>
        <v/>
      </c>
      <c r="B3085" t="str">
        <f t="shared" si="337"/>
        <v/>
      </c>
      <c r="C3085" t="str">
        <f t="shared" si="338"/>
        <v/>
      </c>
      <c r="D3085" t="str">
        <f t="shared" si="339"/>
        <v/>
      </c>
      <c r="E3085" t="str">
        <f>IF(F3085="","",IF(COUNTIF($F$2:F3085,F3085)&gt;1,"",SUMIFS(tbl_input[필요수량],tbl_input[집계키_센터],F3085)))</f>
        <v/>
      </c>
      <c r="F3085" t="str">
        <f>IFERROR(INDEX(tbl_input[집계키_센터],ROW()-1),"")</f>
        <v/>
      </c>
      <c r="G3085" t="str">
        <f t="shared" si="340"/>
        <v/>
      </c>
      <c r="H3085" t="str">
        <f t="shared" si="341"/>
        <v/>
      </c>
      <c r="I3085" t="str">
        <f t="shared" si="342"/>
        <v/>
      </c>
    </row>
    <row r="3086" spans="1:9" x14ac:dyDescent="0.4">
      <c r="A3086" t="str">
        <f t="shared" si="336"/>
        <v/>
      </c>
      <c r="B3086" t="str">
        <f t="shared" si="337"/>
        <v/>
      </c>
      <c r="C3086" t="str">
        <f t="shared" si="338"/>
        <v/>
      </c>
      <c r="D3086" t="str">
        <f t="shared" si="339"/>
        <v/>
      </c>
      <c r="E3086" t="str">
        <f>IF(F3086="","",IF(COUNTIF($F$2:F3086,F3086)&gt;1,"",SUMIFS(tbl_input[필요수량],tbl_input[집계키_센터],F3086)))</f>
        <v/>
      </c>
      <c r="F3086" t="str">
        <f>IFERROR(INDEX(tbl_input[집계키_센터],ROW()-1),"")</f>
        <v/>
      </c>
      <c r="G3086" t="str">
        <f t="shared" si="340"/>
        <v/>
      </c>
      <c r="H3086" t="str">
        <f t="shared" si="341"/>
        <v/>
      </c>
      <c r="I3086" t="str">
        <f t="shared" si="342"/>
        <v/>
      </c>
    </row>
    <row r="3087" spans="1:9" x14ac:dyDescent="0.4">
      <c r="A3087" t="str">
        <f t="shared" si="336"/>
        <v/>
      </c>
      <c r="B3087" t="str">
        <f t="shared" si="337"/>
        <v/>
      </c>
      <c r="C3087" t="str">
        <f t="shared" si="338"/>
        <v/>
      </c>
      <c r="D3087" t="str">
        <f t="shared" si="339"/>
        <v/>
      </c>
      <c r="E3087" t="str">
        <f>IF(F3087="","",IF(COUNTIF($F$2:F3087,F3087)&gt;1,"",SUMIFS(tbl_input[필요수량],tbl_input[집계키_센터],F3087)))</f>
        <v/>
      </c>
      <c r="F3087" t="str">
        <f>IFERROR(INDEX(tbl_input[집계키_센터],ROW()-1),"")</f>
        <v/>
      </c>
      <c r="G3087" t="str">
        <f t="shared" si="340"/>
        <v/>
      </c>
      <c r="H3087" t="str">
        <f t="shared" si="341"/>
        <v/>
      </c>
      <c r="I3087" t="str">
        <f t="shared" si="342"/>
        <v/>
      </c>
    </row>
    <row r="3088" spans="1:9" x14ac:dyDescent="0.4">
      <c r="A3088" t="str">
        <f t="shared" si="336"/>
        <v/>
      </c>
      <c r="B3088" t="str">
        <f t="shared" si="337"/>
        <v/>
      </c>
      <c r="C3088" t="str">
        <f t="shared" si="338"/>
        <v/>
      </c>
      <c r="D3088" t="str">
        <f t="shared" si="339"/>
        <v/>
      </c>
      <c r="E3088" t="str">
        <f>IF(F3088="","",IF(COUNTIF($F$2:F3088,F3088)&gt;1,"",SUMIFS(tbl_input[필요수량],tbl_input[집계키_센터],F3088)))</f>
        <v/>
      </c>
      <c r="F3088" t="str">
        <f>IFERROR(INDEX(tbl_input[집계키_센터],ROW()-1),"")</f>
        <v/>
      </c>
      <c r="G3088" t="str">
        <f t="shared" si="340"/>
        <v/>
      </c>
      <c r="H3088" t="str">
        <f t="shared" si="341"/>
        <v/>
      </c>
      <c r="I3088" t="str">
        <f t="shared" si="342"/>
        <v/>
      </c>
    </row>
    <row r="3089" spans="1:9" x14ac:dyDescent="0.4">
      <c r="A3089" t="str">
        <f t="shared" si="336"/>
        <v/>
      </c>
      <c r="B3089" t="str">
        <f t="shared" si="337"/>
        <v/>
      </c>
      <c r="C3089" t="str">
        <f t="shared" si="338"/>
        <v/>
      </c>
      <c r="D3089" t="str">
        <f t="shared" si="339"/>
        <v/>
      </c>
      <c r="E3089" t="str">
        <f>IF(F3089="","",IF(COUNTIF($F$2:F3089,F3089)&gt;1,"",SUMIFS(tbl_input[필요수량],tbl_input[집계키_센터],F3089)))</f>
        <v/>
      </c>
      <c r="F3089" t="str">
        <f>IFERROR(INDEX(tbl_input[집계키_센터],ROW()-1),"")</f>
        <v/>
      </c>
      <c r="G3089" t="str">
        <f t="shared" si="340"/>
        <v/>
      </c>
      <c r="H3089" t="str">
        <f t="shared" si="341"/>
        <v/>
      </c>
      <c r="I3089" t="str">
        <f t="shared" si="342"/>
        <v/>
      </c>
    </row>
    <row r="3090" spans="1:9" x14ac:dyDescent="0.4">
      <c r="A3090" t="str">
        <f t="shared" si="336"/>
        <v/>
      </c>
      <c r="B3090" t="str">
        <f t="shared" si="337"/>
        <v/>
      </c>
      <c r="C3090" t="str">
        <f t="shared" si="338"/>
        <v/>
      </c>
      <c r="D3090" t="str">
        <f t="shared" si="339"/>
        <v/>
      </c>
      <c r="E3090" t="str">
        <f>IF(F3090="","",IF(COUNTIF($F$2:F3090,F3090)&gt;1,"",SUMIFS(tbl_input[필요수량],tbl_input[집계키_센터],F3090)))</f>
        <v/>
      </c>
      <c r="F3090" t="str">
        <f>IFERROR(INDEX(tbl_input[집계키_센터],ROW()-1),"")</f>
        <v/>
      </c>
      <c r="G3090" t="str">
        <f t="shared" si="340"/>
        <v/>
      </c>
      <c r="H3090" t="str">
        <f t="shared" si="341"/>
        <v/>
      </c>
      <c r="I3090" t="str">
        <f t="shared" si="342"/>
        <v/>
      </c>
    </row>
    <row r="3091" spans="1:9" x14ac:dyDescent="0.4">
      <c r="A3091" t="str">
        <f t="shared" si="336"/>
        <v/>
      </c>
      <c r="B3091" t="str">
        <f t="shared" si="337"/>
        <v/>
      </c>
      <c r="C3091" t="str">
        <f t="shared" si="338"/>
        <v/>
      </c>
      <c r="D3091" t="str">
        <f t="shared" si="339"/>
        <v/>
      </c>
      <c r="E3091" t="str">
        <f>IF(F3091="","",IF(COUNTIF($F$2:F3091,F3091)&gt;1,"",SUMIFS(tbl_input[필요수량],tbl_input[집계키_센터],F3091)))</f>
        <v/>
      </c>
      <c r="F3091" t="str">
        <f>IFERROR(INDEX(tbl_input[집계키_센터],ROW()-1),"")</f>
        <v/>
      </c>
      <c r="G3091" t="str">
        <f t="shared" si="340"/>
        <v/>
      </c>
      <c r="H3091" t="str">
        <f t="shared" si="341"/>
        <v/>
      </c>
      <c r="I3091" t="str">
        <f t="shared" si="342"/>
        <v/>
      </c>
    </row>
    <row r="3092" spans="1:9" x14ac:dyDescent="0.4">
      <c r="A3092" t="str">
        <f t="shared" si="336"/>
        <v/>
      </c>
      <c r="B3092" t="str">
        <f t="shared" si="337"/>
        <v/>
      </c>
      <c r="C3092" t="str">
        <f t="shared" si="338"/>
        <v/>
      </c>
      <c r="D3092" t="str">
        <f t="shared" si="339"/>
        <v/>
      </c>
      <c r="E3092" t="str">
        <f>IF(F3092="","",IF(COUNTIF($F$2:F3092,F3092)&gt;1,"",SUMIFS(tbl_input[필요수량],tbl_input[집계키_센터],F3092)))</f>
        <v/>
      </c>
      <c r="F3092" t="str">
        <f>IFERROR(INDEX(tbl_input[집계키_센터],ROW()-1),"")</f>
        <v/>
      </c>
      <c r="G3092" t="str">
        <f t="shared" si="340"/>
        <v/>
      </c>
      <c r="H3092" t="str">
        <f t="shared" si="341"/>
        <v/>
      </c>
      <c r="I3092" t="str">
        <f t="shared" si="342"/>
        <v/>
      </c>
    </row>
    <row r="3093" spans="1:9" x14ac:dyDescent="0.4">
      <c r="A3093" t="str">
        <f t="shared" si="336"/>
        <v/>
      </c>
      <c r="B3093" t="str">
        <f t="shared" si="337"/>
        <v/>
      </c>
      <c r="C3093" t="str">
        <f t="shared" si="338"/>
        <v/>
      </c>
      <c r="D3093" t="str">
        <f t="shared" si="339"/>
        <v/>
      </c>
      <c r="E3093" t="str">
        <f>IF(F3093="","",IF(COUNTIF($F$2:F3093,F3093)&gt;1,"",SUMIFS(tbl_input[필요수량],tbl_input[집계키_센터],F3093)))</f>
        <v/>
      </c>
      <c r="F3093" t="str">
        <f>IFERROR(INDEX(tbl_input[집계키_센터],ROW()-1),"")</f>
        <v/>
      </c>
      <c r="G3093" t="str">
        <f t="shared" si="340"/>
        <v/>
      </c>
      <c r="H3093" t="str">
        <f t="shared" si="341"/>
        <v/>
      </c>
      <c r="I3093" t="str">
        <f t="shared" si="342"/>
        <v/>
      </c>
    </row>
    <row r="3094" spans="1:9" x14ac:dyDescent="0.4">
      <c r="A3094" t="str">
        <f t="shared" si="336"/>
        <v/>
      </c>
      <c r="B3094" t="str">
        <f t="shared" si="337"/>
        <v/>
      </c>
      <c r="C3094" t="str">
        <f t="shared" si="338"/>
        <v/>
      </c>
      <c r="D3094" t="str">
        <f t="shared" si="339"/>
        <v/>
      </c>
      <c r="E3094" t="str">
        <f>IF(F3094="","",IF(COUNTIF($F$2:F3094,F3094)&gt;1,"",SUMIFS(tbl_input[필요수량],tbl_input[집계키_센터],F3094)))</f>
        <v/>
      </c>
      <c r="F3094" t="str">
        <f>IFERROR(INDEX(tbl_input[집계키_센터],ROW()-1),"")</f>
        <v/>
      </c>
      <c r="G3094" t="str">
        <f t="shared" si="340"/>
        <v/>
      </c>
      <c r="H3094" t="str">
        <f t="shared" si="341"/>
        <v/>
      </c>
      <c r="I3094" t="str">
        <f t="shared" si="342"/>
        <v/>
      </c>
    </row>
    <row r="3095" spans="1:9" x14ac:dyDescent="0.4">
      <c r="A3095" t="str">
        <f t="shared" si="336"/>
        <v/>
      </c>
      <c r="B3095" t="str">
        <f t="shared" si="337"/>
        <v/>
      </c>
      <c r="C3095" t="str">
        <f t="shared" si="338"/>
        <v/>
      </c>
      <c r="D3095" t="str">
        <f t="shared" si="339"/>
        <v/>
      </c>
      <c r="E3095" t="str">
        <f>IF(F3095="","",IF(COUNTIF($F$2:F3095,F3095)&gt;1,"",SUMIFS(tbl_input[필요수량],tbl_input[집계키_센터],F3095)))</f>
        <v/>
      </c>
      <c r="F3095" t="str">
        <f>IFERROR(INDEX(tbl_input[집계키_센터],ROW()-1),"")</f>
        <v/>
      </c>
      <c r="G3095" t="str">
        <f t="shared" si="340"/>
        <v/>
      </c>
      <c r="H3095" t="str">
        <f t="shared" si="341"/>
        <v/>
      </c>
      <c r="I3095" t="str">
        <f t="shared" si="342"/>
        <v/>
      </c>
    </row>
    <row r="3096" spans="1:9" x14ac:dyDescent="0.4">
      <c r="A3096" t="str">
        <f t="shared" si="336"/>
        <v/>
      </c>
      <c r="B3096" t="str">
        <f t="shared" si="337"/>
        <v/>
      </c>
      <c r="C3096" t="str">
        <f t="shared" si="338"/>
        <v/>
      </c>
      <c r="D3096" t="str">
        <f t="shared" si="339"/>
        <v/>
      </c>
      <c r="E3096" t="str">
        <f>IF(F3096="","",IF(COUNTIF($F$2:F3096,F3096)&gt;1,"",SUMIFS(tbl_input[필요수량],tbl_input[집계키_센터],F3096)))</f>
        <v/>
      </c>
      <c r="F3096" t="str">
        <f>IFERROR(INDEX(tbl_input[집계키_센터],ROW()-1),"")</f>
        <v/>
      </c>
      <c r="G3096" t="str">
        <f t="shared" si="340"/>
        <v/>
      </c>
      <c r="H3096" t="str">
        <f t="shared" si="341"/>
        <v/>
      </c>
      <c r="I3096" t="str">
        <f t="shared" si="342"/>
        <v/>
      </c>
    </row>
    <row r="3097" spans="1:9" x14ac:dyDescent="0.4">
      <c r="A3097" t="str">
        <f t="shared" si="336"/>
        <v/>
      </c>
      <c r="B3097" t="str">
        <f t="shared" si="337"/>
        <v/>
      </c>
      <c r="C3097" t="str">
        <f t="shared" si="338"/>
        <v/>
      </c>
      <c r="D3097" t="str">
        <f t="shared" si="339"/>
        <v/>
      </c>
      <c r="E3097" t="str">
        <f>IF(F3097="","",IF(COUNTIF($F$2:F3097,F3097)&gt;1,"",SUMIFS(tbl_input[필요수량],tbl_input[집계키_센터],F3097)))</f>
        <v/>
      </c>
      <c r="F3097" t="str">
        <f>IFERROR(INDEX(tbl_input[집계키_센터],ROW()-1),"")</f>
        <v/>
      </c>
      <c r="G3097" t="str">
        <f t="shared" si="340"/>
        <v/>
      </c>
      <c r="H3097" t="str">
        <f t="shared" si="341"/>
        <v/>
      </c>
      <c r="I3097" t="str">
        <f t="shared" si="342"/>
        <v/>
      </c>
    </row>
    <row r="3098" spans="1:9" x14ac:dyDescent="0.4">
      <c r="A3098" t="str">
        <f t="shared" si="336"/>
        <v/>
      </c>
      <c r="B3098" t="str">
        <f t="shared" si="337"/>
        <v/>
      </c>
      <c r="C3098" t="str">
        <f t="shared" si="338"/>
        <v/>
      </c>
      <c r="D3098" t="str">
        <f t="shared" si="339"/>
        <v/>
      </c>
      <c r="E3098" t="str">
        <f>IF(F3098="","",IF(COUNTIF($F$2:F3098,F3098)&gt;1,"",SUMIFS(tbl_input[필요수량],tbl_input[집계키_센터],F3098)))</f>
        <v/>
      </c>
      <c r="F3098" t="str">
        <f>IFERROR(INDEX(tbl_input[집계키_센터],ROW()-1),"")</f>
        <v/>
      </c>
      <c r="G3098" t="str">
        <f t="shared" si="340"/>
        <v/>
      </c>
      <c r="H3098" t="str">
        <f t="shared" si="341"/>
        <v/>
      </c>
      <c r="I3098" t="str">
        <f t="shared" si="342"/>
        <v/>
      </c>
    </row>
    <row r="3099" spans="1:9" x14ac:dyDescent="0.4">
      <c r="A3099" t="str">
        <f t="shared" si="336"/>
        <v/>
      </c>
      <c r="B3099" t="str">
        <f t="shared" si="337"/>
        <v/>
      </c>
      <c r="C3099" t="str">
        <f t="shared" si="338"/>
        <v/>
      </c>
      <c r="D3099" t="str">
        <f t="shared" si="339"/>
        <v/>
      </c>
      <c r="E3099" t="str">
        <f>IF(F3099="","",IF(COUNTIF($F$2:F3099,F3099)&gt;1,"",SUMIFS(tbl_input[필요수량],tbl_input[집계키_센터],F3099)))</f>
        <v/>
      </c>
      <c r="F3099" t="str">
        <f>IFERROR(INDEX(tbl_input[집계키_센터],ROW()-1),"")</f>
        <v/>
      </c>
      <c r="G3099" t="str">
        <f t="shared" si="340"/>
        <v/>
      </c>
      <c r="H3099" t="str">
        <f t="shared" si="341"/>
        <v/>
      </c>
      <c r="I3099" t="str">
        <f t="shared" si="342"/>
        <v/>
      </c>
    </row>
    <row r="3100" spans="1:9" x14ac:dyDescent="0.4">
      <c r="A3100" t="str">
        <f t="shared" si="336"/>
        <v/>
      </c>
      <c r="B3100" t="str">
        <f t="shared" si="337"/>
        <v/>
      </c>
      <c r="C3100" t="str">
        <f t="shared" si="338"/>
        <v/>
      </c>
      <c r="D3100" t="str">
        <f t="shared" si="339"/>
        <v/>
      </c>
      <c r="E3100" t="str">
        <f>IF(F3100="","",IF(COUNTIF($F$2:F3100,F3100)&gt;1,"",SUMIFS(tbl_input[필요수량],tbl_input[집계키_센터],F3100)))</f>
        <v/>
      </c>
      <c r="F3100" t="str">
        <f>IFERROR(INDEX(tbl_input[집계키_센터],ROW()-1),"")</f>
        <v/>
      </c>
      <c r="G3100" t="str">
        <f t="shared" si="340"/>
        <v/>
      </c>
      <c r="H3100" t="str">
        <f t="shared" si="341"/>
        <v/>
      </c>
      <c r="I3100" t="str">
        <f t="shared" si="342"/>
        <v/>
      </c>
    </row>
    <row r="3101" spans="1:9" x14ac:dyDescent="0.4">
      <c r="A3101" t="str">
        <f t="shared" si="336"/>
        <v/>
      </c>
      <c r="B3101" t="str">
        <f t="shared" si="337"/>
        <v/>
      </c>
      <c r="C3101" t="str">
        <f t="shared" si="338"/>
        <v/>
      </c>
      <c r="D3101" t="str">
        <f t="shared" si="339"/>
        <v/>
      </c>
      <c r="E3101" t="str">
        <f>IF(F3101="","",IF(COUNTIF($F$2:F3101,F3101)&gt;1,"",SUMIFS(tbl_input[필요수량],tbl_input[집계키_센터],F3101)))</f>
        <v/>
      </c>
      <c r="F3101" t="str">
        <f>IFERROR(INDEX(tbl_input[집계키_센터],ROW()-1),"")</f>
        <v/>
      </c>
      <c r="G3101" t="str">
        <f t="shared" si="340"/>
        <v/>
      </c>
      <c r="H3101" t="str">
        <f t="shared" si="341"/>
        <v/>
      </c>
      <c r="I3101" t="str">
        <f t="shared" si="342"/>
        <v/>
      </c>
    </row>
    <row r="3102" spans="1:9" x14ac:dyDescent="0.4">
      <c r="A3102" t="str">
        <f t="shared" si="336"/>
        <v/>
      </c>
      <c r="B3102" t="str">
        <f t="shared" si="337"/>
        <v/>
      </c>
      <c r="C3102" t="str">
        <f t="shared" si="338"/>
        <v/>
      </c>
      <c r="D3102" t="str">
        <f t="shared" si="339"/>
        <v/>
      </c>
      <c r="E3102" t="str">
        <f>IF(F3102="","",IF(COUNTIF($F$2:F3102,F3102)&gt;1,"",SUMIFS(tbl_input[필요수량],tbl_input[집계키_센터],F3102)))</f>
        <v/>
      </c>
      <c r="F3102" t="str">
        <f>IFERROR(INDEX(tbl_input[집계키_센터],ROW()-1),"")</f>
        <v/>
      </c>
      <c r="G3102" t="str">
        <f t="shared" si="340"/>
        <v/>
      </c>
      <c r="H3102" t="str">
        <f t="shared" si="341"/>
        <v/>
      </c>
      <c r="I3102" t="str">
        <f t="shared" si="342"/>
        <v/>
      </c>
    </row>
    <row r="3103" spans="1:9" x14ac:dyDescent="0.4">
      <c r="A3103" t="str">
        <f t="shared" si="336"/>
        <v/>
      </c>
      <c r="B3103" t="str">
        <f t="shared" si="337"/>
        <v/>
      </c>
      <c r="C3103" t="str">
        <f t="shared" si="338"/>
        <v/>
      </c>
      <c r="D3103" t="str">
        <f t="shared" si="339"/>
        <v/>
      </c>
      <c r="E3103" t="str">
        <f>IF(F3103="","",IF(COUNTIF($F$2:F3103,F3103)&gt;1,"",SUMIFS(tbl_input[필요수량],tbl_input[집계키_센터],F3103)))</f>
        <v/>
      </c>
      <c r="F3103" t="str">
        <f>IFERROR(INDEX(tbl_input[집계키_센터],ROW()-1),"")</f>
        <v/>
      </c>
      <c r="G3103" t="str">
        <f t="shared" si="340"/>
        <v/>
      </c>
      <c r="H3103" t="str">
        <f t="shared" si="341"/>
        <v/>
      </c>
      <c r="I3103" t="str">
        <f t="shared" si="342"/>
        <v/>
      </c>
    </row>
    <row r="3104" spans="1:9" x14ac:dyDescent="0.4">
      <c r="A3104" t="str">
        <f t="shared" si="336"/>
        <v/>
      </c>
      <c r="B3104" t="str">
        <f t="shared" si="337"/>
        <v/>
      </c>
      <c r="C3104" t="str">
        <f t="shared" si="338"/>
        <v/>
      </c>
      <c r="D3104" t="str">
        <f t="shared" si="339"/>
        <v/>
      </c>
      <c r="E3104" t="str">
        <f>IF(F3104="","",IF(COUNTIF($F$2:F3104,F3104)&gt;1,"",SUMIFS(tbl_input[필요수량],tbl_input[집계키_센터],F3104)))</f>
        <v/>
      </c>
      <c r="F3104" t="str">
        <f>IFERROR(INDEX(tbl_input[집계키_센터],ROW()-1),"")</f>
        <v/>
      </c>
      <c r="G3104" t="str">
        <f t="shared" si="340"/>
        <v/>
      </c>
      <c r="H3104" t="str">
        <f t="shared" si="341"/>
        <v/>
      </c>
      <c r="I3104" t="str">
        <f t="shared" si="342"/>
        <v/>
      </c>
    </row>
    <row r="3105" spans="1:9" x14ac:dyDescent="0.4">
      <c r="A3105" t="str">
        <f t="shared" si="336"/>
        <v/>
      </c>
      <c r="B3105" t="str">
        <f t="shared" si="337"/>
        <v/>
      </c>
      <c r="C3105" t="str">
        <f t="shared" si="338"/>
        <v/>
      </c>
      <c r="D3105" t="str">
        <f t="shared" si="339"/>
        <v/>
      </c>
      <c r="E3105" t="str">
        <f>IF(F3105="","",IF(COUNTIF($F$2:F3105,F3105)&gt;1,"",SUMIFS(tbl_input[필요수량],tbl_input[집계키_센터],F3105)))</f>
        <v/>
      </c>
      <c r="F3105" t="str">
        <f>IFERROR(INDEX(tbl_input[집계키_센터],ROW()-1),"")</f>
        <v/>
      </c>
      <c r="G3105" t="str">
        <f t="shared" si="340"/>
        <v/>
      </c>
      <c r="H3105" t="str">
        <f t="shared" si="341"/>
        <v/>
      </c>
      <c r="I3105" t="str">
        <f t="shared" si="342"/>
        <v/>
      </c>
    </row>
    <row r="3106" spans="1:9" x14ac:dyDescent="0.4">
      <c r="A3106" t="str">
        <f t="shared" si="336"/>
        <v/>
      </c>
      <c r="B3106" t="str">
        <f t="shared" si="337"/>
        <v/>
      </c>
      <c r="C3106" t="str">
        <f t="shared" si="338"/>
        <v/>
      </c>
      <c r="D3106" t="str">
        <f t="shared" si="339"/>
        <v/>
      </c>
      <c r="E3106" t="str">
        <f>IF(F3106="","",IF(COUNTIF($F$2:F3106,F3106)&gt;1,"",SUMIFS(tbl_input[필요수량],tbl_input[집계키_센터],F3106)))</f>
        <v/>
      </c>
      <c r="F3106" t="str">
        <f>IFERROR(INDEX(tbl_input[집계키_센터],ROW()-1),"")</f>
        <v/>
      </c>
      <c r="G3106" t="str">
        <f t="shared" si="340"/>
        <v/>
      </c>
      <c r="H3106" t="str">
        <f t="shared" si="341"/>
        <v/>
      </c>
      <c r="I3106" t="str">
        <f t="shared" si="342"/>
        <v/>
      </c>
    </row>
    <row r="3107" spans="1:9" x14ac:dyDescent="0.4">
      <c r="A3107" t="str">
        <f t="shared" si="336"/>
        <v/>
      </c>
      <c r="B3107" t="str">
        <f t="shared" si="337"/>
        <v/>
      </c>
      <c r="C3107" t="str">
        <f t="shared" si="338"/>
        <v/>
      </c>
      <c r="D3107" t="str">
        <f t="shared" si="339"/>
        <v/>
      </c>
      <c r="E3107" t="str">
        <f>IF(F3107="","",IF(COUNTIF($F$2:F3107,F3107)&gt;1,"",SUMIFS(tbl_input[필요수량],tbl_input[집계키_센터],F3107)))</f>
        <v/>
      </c>
      <c r="F3107" t="str">
        <f>IFERROR(INDEX(tbl_input[집계키_센터],ROW()-1),"")</f>
        <v/>
      </c>
      <c r="G3107" t="str">
        <f t="shared" si="340"/>
        <v/>
      </c>
      <c r="H3107" t="str">
        <f t="shared" si="341"/>
        <v/>
      </c>
      <c r="I3107" t="str">
        <f t="shared" si="342"/>
        <v/>
      </c>
    </row>
    <row r="3108" spans="1:9" x14ac:dyDescent="0.4">
      <c r="A3108" t="str">
        <f t="shared" si="336"/>
        <v/>
      </c>
      <c r="B3108" t="str">
        <f t="shared" si="337"/>
        <v/>
      </c>
      <c r="C3108" t="str">
        <f t="shared" si="338"/>
        <v/>
      </c>
      <c r="D3108" t="str">
        <f t="shared" si="339"/>
        <v/>
      </c>
      <c r="E3108" t="str">
        <f>IF(F3108="","",IF(COUNTIF($F$2:F3108,F3108)&gt;1,"",SUMIFS(tbl_input[필요수량],tbl_input[집계키_센터],F3108)))</f>
        <v/>
      </c>
      <c r="F3108" t="str">
        <f>IFERROR(INDEX(tbl_input[집계키_센터],ROW()-1),"")</f>
        <v/>
      </c>
      <c r="G3108" t="str">
        <f t="shared" si="340"/>
        <v/>
      </c>
      <c r="H3108" t="str">
        <f t="shared" si="341"/>
        <v/>
      </c>
      <c r="I3108" t="str">
        <f t="shared" si="342"/>
        <v/>
      </c>
    </row>
    <row r="3109" spans="1:9" x14ac:dyDescent="0.4">
      <c r="A3109" t="str">
        <f t="shared" si="336"/>
        <v/>
      </c>
      <c r="B3109" t="str">
        <f t="shared" si="337"/>
        <v/>
      </c>
      <c r="C3109" t="str">
        <f t="shared" si="338"/>
        <v/>
      </c>
      <c r="D3109" t="str">
        <f t="shared" si="339"/>
        <v/>
      </c>
      <c r="E3109" t="str">
        <f>IF(F3109="","",IF(COUNTIF($F$2:F3109,F3109)&gt;1,"",SUMIFS(tbl_input[필요수량],tbl_input[집계키_센터],F3109)))</f>
        <v/>
      </c>
      <c r="F3109" t="str">
        <f>IFERROR(INDEX(tbl_input[집계키_센터],ROW()-1),"")</f>
        <v/>
      </c>
      <c r="G3109" t="str">
        <f t="shared" si="340"/>
        <v/>
      </c>
      <c r="H3109" t="str">
        <f t="shared" si="341"/>
        <v/>
      </c>
      <c r="I3109" t="str">
        <f t="shared" si="342"/>
        <v/>
      </c>
    </row>
    <row r="3110" spans="1:9" x14ac:dyDescent="0.4">
      <c r="A3110" t="str">
        <f t="shared" si="336"/>
        <v/>
      </c>
      <c r="B3110" t="str">
        <f t="shared" si="337"/>
        <v/>
      </c>
      <c r="C3110" t="str">
        <f t="shared" si="338"/>
        <v/>
      </c>
      <c r="D3110" t="str">
        <f t="shared" si="339"/>
        <v/>
      </c>
      <c r="E3110" t="str">
        <f>IF(F3110="","",IF(COUNTIF($F$2:F3110,F3110)&gt;1,"",SUMIFS(tbl_input[필요수량],tbl_input[집계키_센터],F3110)))</f>
        <v/>
      </c>
      <c r="F3110" t="str">
        <f>IFERROR(INDEX(tbl_input[집계키_센터],ROW()-1),"")</f>
        <v/>
      </c>
      <c r="G3110" t="str">
        <f t="shared" si="340"/>
        <v/>
      </c>
      <c r="H3110" t="str">
        <f t="shared" si="341"/>
        <v/>
      </c>
      <c r="I3110" t="str">
        <f t="shared" si="342"/>
        <v/>
      </c>
    </row>
    <row r="3111" spans="1:9" x14ac:dyDescent="0.4">
      <c r="A3111" t="str">
        <f t="shared" si="336"/>
        <v/>
      </c>
      <c r="B3111" t="str">
        <f t="shared" si="337"/>
        <v/>
      </c>
      <c r="C3111" t="str">
        <f t="shared" si="338"/>
        <v/>
      </c>
      <c r="D3111" t="str">
        <f t="shared" si="339"/>
        <v/>
      </c>
      <c r="E3111" t="str">
        <f>IF(F3111="","",IF(COUNTIF($F$2:F3111,F3111)&gt;1,"",SUMIFS(tbl_input[필요수량],tbl_input[집계키_센터],F3111)))</f>
        <v/>
      </c>
      <c r="F3111" t="str">
        <f>IFERROR(INDEX(tbl_input[집계키_센터],ROW()-1),"")</f>
        <v/>
      </c>
      <c r="G3111" t="str">
        <f t="shared" si="340"/>
        <v/>
      </c>
      <c r="H3111" t="str">
        <f t="shared" si="341"/>
        <v/>
      </c>
      <c r="I3111" t="str">
        <f t="shared" si="342"/>
        <v/>
      </c>
    </row>
    <row r="3112" spans="1:9" x14ac:dyDescent="0.4">
      <c r="A3112" t="str">
        <f t="shared" si="336"/>
        <v/>
      </c>
      <c r="B3112" t="str">
        <f t="shared" si="337"/>
        <v/>
      </c>
      <c r="C3112" t="str">
        <f t="shared" si="338"/>
        <v/>
      </c>
      <c r="D3112" t="str">
        <f t="shared" si="339"/>
        <v/>
      </c>
      <c r="E3112" t="str">
        <f>IF(F3112="","",IF(COUNTIF($F$2:F3112,F3112)&gt;1,"",SUMIFS(tbl_input[필요수량],tbl_input[집계키_센터],F3112)))</f>
        <v/>
      </c>
      <c r="F3112" t="str">
        <f>IFERROR(INDEX(tbl_input[집계키_센터],ROW()-1),"")</f>
        <v/>
      </c>
      <c r="G3112" t="str">
        <f t="shared" si="340"/>
        <v/>
      </c>
      <c r="H3112" t="str">
        <f t="shared" si="341"/>
        <v/>
      </c>
      <c r="I3112" t="str">
        <f t="shared" si="342"/>
        <v/>
      </c>
    </row>
    <row r="3113" spans="1:9" x14ac:dyDescent="0.4">
      <c r="A3113" t="str">
        <f t="shared" si="336"/>
        <v/>
      </c>
      <c r="B3113" t="str">
        <f t="shared" si="337"/>
        <v/>
      </c>
      <c r="C3113" t="str">
        <f t="shared" si="338"/>
        <v/>
      </c>
      <c r="D3113" t="str">
        <f t="shared" si="339"/>
        <v/>
      </c>
      <c r="E3113" t="str">
        <f>IF(F3113="","",IF(COUNTIF($F$2:F3113,F3113)&gt;1,"",SUMIFS(tbl_input[필요수량],tbl_input[집계키_센터],F3113)))</f>
        <v/>
      </c>
      <c r="F3113" t="str">
        <f>IFERROR(INDEX(tbl_input[집계키_센터],ROW()-1),"")</f>
        <v/>
      </c>
      <c r="G3113" t="str">
        <f t="shared" si="340"/>
        <v/>
      </c>
      <c r="H3113" t="str">
        <f t="shared" si="341"/>
        <v/>
      </c>
      <c r="I3113" t="str">
        <f t="shared" si="342"/>
        <v/>
      </c>
    </row>
    <row r="3114" spans="1:9" x14ac:dyDescent="0.4">
      <c r="A3114" t="str">
        <f t="shared" si="336"/>
        <v/>
      </c>
      <c r="B3114" t="str">
        <f t="shared" si="337"/>
        <v/>
      </c>
      <c r="C3114" t="str">
        <f t="shared" si="338"/>
        <v/>
      </c>
      <c r="D3114" t="str">
        <f t="shared" si="339"/>
        <v/>
      </c>
      <c r="E3114" t="str">
        <f>IF(F3114="","",IF(COUNTIF($F$2:F3114,F3114)&gt;1,"",SUMIFS(tbl_input[필요수량],tbl_input[집계키_센터],F3114)))</f>
        <v/>
      </c>
      <c r="F3114" t="str">
        <f>IFERROR(INDEX(tbl_input[집계키_센터],ROW()-1),"")</f>
        <v/>
      </c>
      <c r="G3114" t="str">
        <f t="shared" si="340"/>
        <v/>
      </c>
      <c r="H3114" t="str">
        <f t="shared" si="341"/>
        <v/>
      </c>
      <c r="I3114" t="str">
        <f t="shared" si="342"/>
        <v/>
      </c>
    </row>
    <row r="3115" spans="1:9" x14ac:dyDescent="0.4">
      <c r="A3115" t="str">
        <f t="shared" si="336"/>
        <v/>
      </c>
      <c r="B3115" t="str">
        <f t="shared" si="337"/>
        <v/>
      </c>
      <c r="C3115" t="str">
        <f t="shared" si="338"/>
        <v/>
      </c>
      <c r="D3115" t="str">
        <f t="shared" si="339"/>
        <v/>
      </c>
      <c r="E3115" t="str">
        <f>IF(F3115="","",IF(COUNTIF($F$2:F3115,F3115)&gt;1,"",SUMIFS(tbl_input[필요수량],tbl_input[집계키_센터],F3115)))</f>
        <v/>
      </c>
      <c r="F3115" t="str">
        <f>IFERROR(INDEX(tbl_input[집계키_센터],ROW()-1),"")</f>
        <v/>
      </c>
      <c r="G3115" t="str">
        <f t="shared" si="340"/>
        <v/>
      </c>
      <c r="H3115" t="str">
        <f t="shared" si="341"/>
        <v/>
      </c>
      <c r="I3115" t="str">
        <f t="shared" si="342"/>
        <v/>
      </c>
    </row>
    <row r="3116" spans="1:9" x14ac:dyDescent="0.4">
      <c r="A3116" t="str">
        <f t="shared" si="336"/>
        <v/>
      </c>
      <c r="B3116" t="str">
        <f t="shared" si="337"/>
        <v/>
      </c>
      <c r="C3116" t="str">
        <f t="shared" si="338"/>
        <v/>
      </c>
      <c r="D3116" t="str">
        <f t="shared" si="339"/>
        <v/>
      </c>
      <c r="E3116" t="str">
        <f>IF(F3116="","",IF(COUNTIF($F$2:F3116,F3116)&gt;1,"",SUMIFS(tbl_input[필요수량],tbl_input[집계키_센터],F3116)))</f>
        <v/>
      </c>
      <c r="F3116" t="str">
        <f>IFERROR(INDEX(tbl_input[집계키_센터],ROW()-1),"")</f>
        <v/>
      </c>
      <c r="G3116" t="str">
        <f t="shared" si="340"/>
        <v/>
      </c>
      <c r="H3116" t="str">
        <f t="shared" si="341"/>
        <v/>
      </c>
      <c r="I3116" t="str">
        <f t="shared" si="342"/>
        <v/>
      </c>
    </row>
    <row r="3117" spans="1:9" x14ac:dyDescent="0.4">
      <c r="A3117" t="str">
        <f t="shared" si="336"/>
        <v/>
      </c>
      <c r="B3117" t="str">
        <f t="shared" si="337"/>
        <v/>
      </c>
      <c r="C3117" t="str">
        <f t="shared" si="338"/>
        <v/>
      </c>
      <c r="D3117" t="str">
        <f t="shared" si="339"/>
        <v/>
      </c>
      <c r="E3117" t="str">
        <f>IF(F3117="","",IF(COUNTIF($F$2:F3117,F3117)&gt;1,"",SUMIFS(tbl_input[필요수량],tbl_input[집계키_센터],F3117)))</f>
        <v/>
      </c>
      <c r="F3117" t="str">
        <f>IFERROR(INDEX(tbl_input[집계키_센터],ROW()-1),"")</f>
        <v/>
      </c>
      <c r="G3117" t="str">
        <f t="shared" si="340"/>
        <v/>
      </c>
      <c r="H3117" t="str">
        <f t="shared" si="341"/>
        <v/>
      </c>
      <c r="I3117" t="str">
        <f t="shared" si="342"/>
        <v/>
      </c>
    </row>
    <row r="3118" spans="1:9" x14ac:dyDescent="0.4">
      <c r="A3118" t="str">
        <f t="shared" si="336"/>
        <v/>
      </c>
      <c r="B3118" t="str">
        <f t="shared" si="337"/>
        <v/>
      </c>
      <c r="C3118" t="str">
        <f t="shared" si="338"/>
        <v/>
      </c>
      <c r="D3118" t="str">
        <f t="shared" si="339"/>
        <v/>
      </c>
      <c r="E3118" t="str">
        <f>IF(F3118="","",IF(COUNTIF($F$2:F3118,F3118)&gt;1,"",SUMIFS(tbl_input[필요수량],tbl_input[집계키_센터],F3118)))</f>
        <v/>
      </c>
      <c r="F3118" t="str">
        <f>IFERROR(INDEX(tbl_input[집계키_센터],ROW()-1),"")</f>
        <v/>
      </c>
      <c r="G3118" t="str">
        <f t="shared" si="340"/>
        <v/>
      </c>
      <c r="H3118" t="str">
        <f t="shared" si="341"/>
        <v/>
      </c>
      <c r="I3118" t="str">
        <f t="shared" si="342"/>
        <v/>
      </c>
    </row>
    <row r="3119" spans="1:9" x14ac:dyDescent="0.4">
      <c r="A3119" t="str">
        <f t="shared" si="336"/>
        <v/>
      </c>
      <c r="B3119" t="str">
        <f t="shared" si="337"/>
        <v/>
      </c>
      <c r="C3119" t="str">
        <f t="shared" si="338"/>
        <v/>
      </c>
      <c r="D3119" t="str">
        <f t="shared" si="339"/>
        <v/>
      </c>
      <c r="E3119" t="str">
        <f>IF(F3119="","",IF(COUNTIF($F$2:F3119,F3119)&gt;1,"",SUMIFS(tbl_input[필요수량],tbl_input[집계키_센터],F3119)))</f>
        <v/>
      </c>
      <c r="F3119" t="str">
        <f>IFERROR(INDEX(tbl_input[집계키_센터],ROW()-1),"")</f>
        <v/>
      </c>
      <c r="G3119" t="str">
        <f t="shared" si="340"/>
        <v/>
      </c>
      <c r="H3119" t="str">
        <f t="shared" si="341"/>
        <v/>
      </c>
      <c r="I3119" t="str">
        <f t="shared" si="342"/>
        <v/>
      </c>
    </row>
    <row r="3120" spans="1:9" x14ac:dyDescent="0.4">
      <c r="A3120" t="str">
        <f t="shared" si="336"/>
        <v/>
      </c>
      <c r="B3120" t="str">
        <f t="shared" si="337"/>
        <v/>
      </c>
      <c r="C3120" t="str">
        <f t="shared" si="338"/>
        <v/>
      </c>
      <c r="D3120" t="str">
        <f t="shared" si="339"/>
        <v/>
      </c>
      <c r="E3120" t="str">
        <f>IF(F3120="","",IF(COUNTIF($F$2:F3120,F3120)&gt;1,"",SUMIFS(tbl_input[필요수량],tbl_input[집계키_센터],F3120)))</f>
        <v/>
      </c>
      <c r="F3120" t="str">
        <f>IFERROR(INDEX(tbl_input[집계키_센터],ROW()-1),"")</f>
        <v/>
      </c>
      <c r="G3120" t="str">
        <f t="shared" si="340"/>
        <v/>
      </c>
      <c r="H3120" t="str">
        <f t="shared" si="341"/>
        <v/>
      </c>
      <c r="I3120" t="str">
        <f t="shared" si="342"/>
        <v/>
      </c>
    </row>
    <row r="3121" spans="1:9" x14ac:dyDescent="0.4">
      <c r="A3121" t="str">
        <f t="shared" si="336"/>
        <v/>
      </c>
      <c r="B3121" t="str">
        <f t="shared" si="337"/>
        <v/>
      </c>
      <c r="C3121" t="str">
        <f t="shared" si="338"/>
        <v/>
      </c>
      <c r="D3121" t="str">
        <f t="shared" si="339"/>
        <v/>
      </c>
      <c r="E3121" t="str">
        <f>IF(F3121="","",IF(COUNTIF($F$2:F3121,F3121)&gt;1,"",SUMIFS(tbl_input[필요수량],tbl_input[집계키_센터],F3121)))</f>
        <v/>
      </c>
      <c r="F3121" t="str">
        <f>IFERROR(INDEX(tbl_input[집계키_센터],ROW()-1),"")</f>
        <v/>
      </c>
      <c r="G3121" t="str">
        <f t="shared" si="340"/>
        <v/>
      </c>
      <c r="H3121" t="str">
        <f t="shared" si="341"/>
        <v/>
      </c>
      <c r="I3121" t="str">
        <f t="shared" si="342"/>
        <v/>
      </c>
    </row>
    <row r="3122" spans="1:9" x14ac:dyDescent="0.4">
      <c r="A3122" t="str">
        <f t="shared" si="336"/>
        <v/>
      </c>
      <c r="B3122" t="str">
        <f t="shared" si="337"/>
        <v/>
      </c>
      <c r="C3122" t="str">
        <f t="shared" si="338"/>
        <v/>
      </c>
      <c r="D3122" t="str">
        <f t="shared" si="339"/>
        <v/>
      </c>
      <c r="E3122" t="str">
        <f>IF(F3122="","",IF(COUNTIF($F$2:F3122,F3122)&gt;1,"",SUMIFS(tbl_input[필요수량],tbl_input[집계키_센터],F3122)))</f>
        <v/>
      </c>
      <c r="F3122" t="str">
        <f>IFERROR(INDEX(tbl_input[집계키_센터],ROW()-1),"")</f>
        <v/>
      </c>
      <c r="G3122" t="str">
        <f t="shared" si="340"/>
        <v/>
      </c>
      <c r="H3122" t="str">
        <f t="shared" si="341"/>
        <v/>
      </c>
      <c r="I3122" t="str">
        <f t="shared" si="342"/>
        <v/>
      </c>
    </row>
    <row r="3123" spans="1:9" x14ac:dyDescent="0.4">
      <c r="A3123" t="str">
        <f t="shared" si="336"/>
        <v/>
      </c>
      <c r="B3123" t="str">
        <f t="shared" si="337"/>
        <v/>
      </c>
      <c r="C3123" t="str">
        <f t="shared" si="338"/>
        <v/>
      </c>
      <c r="D3123" t="str">
        <f t="shared" si="339"/>
        <v/>
      </c>
      <c r="E3123" t="str">
        <f>IF(F3123="","",IF(COUNTIF($F$2:F3123,F3123)&gt;1,"",SUMIFS(tbl_input[필요수량],tbl_input[집계키_센터],F3123)))</f>
        <v/>
      </c>
      <c r="F3123" t="str">
        <f>IFERROR(INDEX(tbl_input[집계키_센터],ROW()-1),"")</f>
        <v/>
      </c>
      <c r="G3123" t="str">
        <f t="shared" si="340"/>
        <v/>
      </c>
      <c r="H3123" t="str">
        <f t="shared" si="341"/>
        <v/>
      </c>
      <c r="I3123" t="str">
        <f t="shared" si="342"/>
        <v/>
      </c>
    </row>
    <row r="3124" spans="1:9" x14ac:dyDescent="0.4">
      <c r="A3124" t="str">
        <f t="shared" si="336"/>
        <v/>
      </c>
      <c r="B3124" t="str">
        <f t="shared" si="337"/>
        <v/>
      </c>
      <c r="C3124" t="str">
        <f t="shared" si="338"/>
        <v/>
      </c>
      <c r="D3124" t="str">
        <f t="shared" si="339"/>
        <v/>
      </c>
      <c r="E3124" t="str">
        <f>IF(F3124="","",IF(COUNTIF($F$2:F3124,F3124)&gt;1,"",SUMIFS(tbl_input[필요수량],tbl_input[집계키_센터],F3124)))</f>
        <v/>
      </c>
      <c r="F3124" t="str">
        <f>IFERROR(INDEX(tbl_input[집계키_센터],ROW()-1),"")</f>
        <v/>
      </c>
      <c r="G3124" t="str">
        <f t="shared" si="340"/>
        <v/>
      </c>
      <c r="H3124" t="str">
        <f t="shared" si="341"/>
        <v/>
      </c>
      <c r="I3124" t="str">
        <f t="shared" si="342"/>
        <v/>
      </c>
    </row>
    <row r="3125" spans="1:9" x14ac:dyDescent="0.4">
      <c r="A3125" t="str">
        <f t="shared" si="336"/>
        <v/>
      </c>
      <c r="B3125" t="str">
        <f t="shared" si="337"/>
        <v/>
      </c>
      <c r="C3125" t="str">
        <f t="shared" si="338"/>
        <v/>
      </c>
      <c r="D3125" t="str">
        <f t="shared" si="339"/>
        <v/>
      </c>
      <c r="E3125" t="str">
        <f>IF(F3125="","",IF(COUNTIF($F$2:F3125,F3125)&gt;1,"",SUMIFS(tbl_input[필요수량],tbl_input[집계키_센터],F3125)))</f>
        <v/>
      </c>
      <c r="F3125" t="str">
        <f>IFERROR(INDEX(tbl_input[집계키_센터],ROW()-1),"")</f>
        <v/>
      </c>
      <c r="G3125" t="str">
        <f t="shared" si="340"/>
        <v/>
      </c>
      <c r="H3125" t="str">
        <f t="shared" si="341"/>
        <v/>
      </c>
      <c r="I3125" t="str">
        <f t="shared" si="342"/>
        <v/>
      </c>
    </row>
    <row r="3126" spans="1:9" x14ac:dyDescent="0.4">
      <c r="A3126" t="str">
        <f t="shared" si="336"/>
        <v/>
      </c>
      <c r="B3126" t="str">
        <f t="shared" si="337"/>
        <v/>
      </c>
      <c r="C3126" t="str">
        <f t="shared" si="338"/>
        <v/>
      </c>
      <c r="D3126" t="str">
        <f t="shared" si="339"/>
        <v/>
      </c>
      <c r="E3126" t="str">
        <f>IF(F3126="","",IF(COUNTIF($F$2:F3126,F3126)&gt;1,"",SUMIFS(tbl_input[필요수량],tbl_input[집계키_센터],F3126)))</f>
        <v/>
      </c>
      <c r="F3126" t="str">
        <f>IFERROR(INDEX(tbl_input[집계키_센터],ROW()-1),"")</f>
        <v/>
      </c>
      <c r="G3126" t="str">
        <f t="shared" si="340"/>
        <v/>
      </c>
      <c r="H3126" t="str">
        <f t="shared" si="341"/>
        <v/>
      </c>
      <c r="I3126" t="str">
        <f t="shared" si="342"/>
        <v/>
      </c>
    </row>
    <row r="3127" spans="1:9" x14ac:dyDescent="0.4">
      <c r="A3127" t="str">
        <f t="shared" si="336"/>
        <v/>
      </c>
      <c r="B3127" t="str">
        <f t="shared" si="337"/>
        <v/>
      </c>
      <c r="C3127" t="str">
        <f t="shared" si="338"/>
        <v/>
      </c>
      <c r="D3127" t="str">
        <f t="shared" si="339"/>
        <v/>
      </c>
      <c r="E3127" t="str">
        <f>IF(F3127="","",IF(COUNTIF($F$2:F3127,F3127)&gt;1,"",SUMIFS(tbl_input[필요수량],tbl_input[집계키_센터],F3127)))</f>
        <v/>
      </c>
      <c r="F3127" t="str">
        <f>IFERROR(INDEX(tbl_input[집계키_센터],ROW()-1),"")</f>
        <v/>
      </c>
      <c r="G3127" t="str">
        <f t="shared" si="340"/>
        <v/>
      </c>
      <c r="H3127" t="str">
        <f t="shared" si="341"/>
        <v/>
      </c>
      <c r="I3127" t="str">
        <f t="shared" si="342"/>
        <v/>
      </c>
    </row>
    <row r="3128" spans="1:9" x14ac:dyDescent="0.4">
      <c r="A3128" t="str">
        <f t="shared" si="336"/>
        <v/>
      </c>
      <c r="B3128" t="str">
        <f t="shared" si="337"/>
        <v/>
      </c>
      <c r="C3128" t="str">
        <f t="shared" si="338"/>
        <v/>
      </c>
      <c r="D3128" t="str">
        <f t="shared" si="339"/>
        <v/>
      </c>
      <c r="E3128" t="str">
        <f>IF(F3128="","",IF(COUNTIF($F$2:F3128,F3128)&gt;1,"",SUMIFS(tbl_input[필요수량],tbl_input[집계키_센터],F3128)))</f>
        <v/>
      </c>
      <c r="F3128" t="str">
        <f>IFERROR(INDEX(tbl_input[집계키_센터],ROW()-1),"")</f>
        <v/>
      </c>
      <c r="G3128" t="str">
        <f t="shared" si="340"/>
        <v/>
      </c>
      <c r="H3128" t="str">
        <f t="shared" si="341"/>
        <v/>
      </c>
      <c r="I3128" t="str">
        <f t="shared" si="342"/>
        <v/>
      </c>
    </row>
    <row r="3129" spans="1:9" x14ac:dyDescent="0.4">
      <c r="A3129" t="str">
        <f t="shared" si="336"/>
        <v/>
      </c>
      <c r="B3129" t="str">
        <f t="shared" si="337"/>
        <v/>
      </c>
      <c r="C3129" t="str">
        <f t="shared" si="338"/>
        <v/>
      </c>
      <c r="D3129" t="str">
        <f t="shared" si="339"/>
        <v/>
      </c>
      <c r="E3129" t="str">
        <f>IF(F3129="","",IF(COUNTIF($F$2:F3129,F3129)&gt;1,"",SUMIFS(tbl_input[필요수량],tbl_input[집계키_센터],F3129)))</f>
        <v/>
      </c>
      <c r="F3129" t="str">
        <f>IFERROR(INDEX(tbl_input[집계키_센터],ROW()-1),"")</f>
        <v/>
      </c>
      <c r="G3129" t="str">
        <f t="shared" si="340"/>
        <v/>
      </c>
      <c r="H3129" t="str">
        <f t="shared" si="341"/>
        <v/>
      </c>
      <c r="I3129" t="str">
        <f t="shared" si="342"/>
        <v/>
      </c>
    </row>
    <row r="3130" spans="1:9" x14ac:dyDescent="0.4">
      <c r="A3130" t="str">
        <f t="shared" si="336"/>
        <v/>
      </c>
      <c r="B3130" t="str">
        <f t="shared" si="337"/>
        <v/>
      </c>
      <c r="C3130" t="str">
        <f t="shared" si="338"/>
        <v/>
      </c>
      <c r="D3130" t="str">
        <f t="shared" si="339"/>
        <v/>
      </c>
      <c r="E3130" t="str">
        <f>IF(F3130="","",IF(COUNTIF($F$2:F3130,F3130)&gt;1,"",SUMIFS(tbl_input[필요수량],tbl_input[집계키_센터],F3130)))</f>
        <v/>
      </c>
      <c r="F3130" t="str">
        <f>IFERROR(INDEX(tbl_input[집계키_센터],ROW()-1),"")</f>
        <v/>
      </c>
      <c r="G3130" t="str">
        <f t="shared" si="340"/>
        <v/>
      </c>
      <c r="H3130" t="str">
        <f t="shared" si="341"/>
        <v/>
      </c>
      <c r="I3130" t="str">
        <f t="shared" si="342"/>
        <v/>
      </c>
    </row>
    <row r="3131" spans="1:9" x14ac:dyDescent="0.4">
      <c r="A3131" t="str">
        <f t="shared" si="336"/>
        <v/>
      </c>
      <c r="B3131" t="str">
        <f t="shared" si="337"/>
        <v/>
      </c>
      <c r="C3131" t="str">
        <f t="shared" si="338"/>
        <v/>
      </c>
      <c r="D3131" t="str">
        <f t="shared" si="339"/>
        <v/>
      </c>
      <c r="E3131" t="str">
        <f>IF(F3131="","",IF(COUNTIF($F$2:F3131,F3131)&gt;1,"",SUMIFS(tbl_input[필요수량],tbl_input[집계키_센터],F3131)))</f>
        <v/>
      </c>
      <c r="F3131" t="str">
        <f>IFERROR(INDEX(tbl_input[집계키_센터],ROW()-1),"")</f>
        <v/>
      </c>
      <c r="G3131" t="str">
        <f t="shared" si="340"/>
        <v/>
      </c>
      <c r="H3131" t="str">
        <f t="shared" si="341"/>
        <v/>
      </c>
      <c r="I3131" t="str">
        <f t="shared" si="342"/>
        <v/>
      </c>
    </row>
    <row r="3132" spans="1:9" x14ac:dyDescent="0.4">
      <c r="A3132" t="str">
        <f t="shared" si="336"/>
        <v/>
      </c>
      <c r="B3132" t="str">
        <f t="shared" si="337"/>
        <v/>
      </c>
      <c r="C3132" t="str">
        <f t="shared" si="338"/>
        <v/>
      </c>
      <c r="D3132" t="str">
        <f t="shared" si="339"/>
        <v/>
      </c>
      <c r="E3132" t="str">
        <f>IF(F3132="","",IF(COUNTIF($F$2:F3132,F3132)&gt;1,"",SUMIFS(tbl_input[필요수량],tbl_input[집계키_센터],F3132)))</f>
        <v/>
      </c>
      <c r="F3132" t="str">
        <f>IFERROR(INDEX(tbl_input[집계키_센터],ROW()-1),"")</f>
        <v/>
      </c>
      <c r="G3132" t="str">
        <f t="shared" si="340"/>
        <v/>
      </c>
      <c r="H3132" t="str">
        <f t="shared" si="341"/>
        <v/>
      </c>
      <c r="I3132" t="str">
        <f t="shared" si="342"/>
        <v/>
      </c>
    </row>
    <row r="3133" spans="1:9" x14ac:dyDescent="0.4">
      <c r="A3133" t="str">
        <f t="shared" si="336"/>
        <v/>
      </c>
      <c r="B3133" t="str">
        <f t="shared" si="337"/>
        <v/>
      </c>
      <c r="C3133" t="str">
        <f t="shared" si="338"/>
        <v/>
      </c>
      <c r="D3133" t="str">
        <f t="shared" si="339"/>
        <v/>
      </c>
      <c r="E3133" t="str">
        <f>IF(F3133="","",IF(COUNTIF($F$2:F3133,F3133)&gt;1,"",SUMIFS(tbl_input[필요수량],tbl_input[집계키_센터],F3133)))</f>
        <v/>
      </c>
      <c r="F3133" t="str">
        <f>IFERROR(INDEX(tbl_input[집계키_센터],ROW()-1),"")</f>
        <v/>
      </c>
      <c r="G3133" t="str">
        <f t="shared" si="340"/>
        <v/>
      </c>
      <c r="H3133" t="str">
        <f t="shared" si="341"/>
        <v/>
      </c>
      <c r="I3133" t="str">
        <f t="shared" si="342"/>
        <v/>
      </c>
    </row>
    <row r="3134" spans="1:9" x14ac:dyDescent="0.4">
      <c r="A3134" t="str">
        <f t="shared" si="336"/>
        <v/>
      </c>
      <c r="B3134" t="str">
        <f t="shared" si="337"/>
        <v/>
      </c>
      <c r="C3134" t="str">
        <f t="shared" si="338"/>
        <v/>
      </c>
      <c r="D3134" t="str">
        <f t="shared" si="339"/>
        <v/>
      </c>
      <c r="E3134" t="str">
        <f>IF(F3134="","",IF(COUNTIF($F$2:F3134,F3134)&gt;1,"",SUMIFS(tbl_input[필요수량],tbl_input[집계키_센터],F3134)))</f>
        <v/>
      </c>
      <c r="F3134" t="str">
        <f>IFERROR(INDEX(tbl_input[집계키_센터],ROW()-1),"")</f>
        <v/>
      </c>
      <c r="G3134" t="str">
        <f t="shared" si="340"/>
        <v/>
      </c>
      <c r="H3134" t="str">
        <f t="shared" si="341"/>
        <v/>
      </c>
      <c r="I3134" t="str">
        <f t="shared" si="342"/>
        <v/>
      </c>
    </row>
    <row r="3135" spans="1:9" x14ac:dyDescent="0.4">
      <c r="A3135" t="str">
        <f t="shared" si="336"/>
        <v/>
      </c>
      <c r="B3135" t="str">
        <f t="shared" si="337"/>
        <v/>
      </c>
      <c r="C3135" t="str">
        <f t="shared" si="338"/>
        <v/>
      </c>
      <c r="D3135" t="str">
        <f t="shared" si="339"/>
        <v/>
      </c>
      <c r="E3135" t="str">
        <f>IF(F3135="","",IF(COUNTIF($F$2:F3135,F3135)&gt;1,"",SUMIFS(tbl_input[필요수량],tbl_input[집계키_센터],F3135)))</f>
        <v/>
      </c>
      <c r="F3135" t="str">
        <f>IFERROR(INDEX(tbl_input[집계키_센터],ROW()-1),"")</f>
        <v/>
      </c>
      <c r="G3135" t="str">
        <f t="shared" si="340"/>
        <v/>
      </c>
      <c r="H3135" t="str">
        <f t="shared" si="341"/>
        <v/>
      </c>
      <c r="I3135" t="str">
        <f t="shared" si="342"/>
        <v/>
      </c>
    </row>
    <row r="3136" spans="1:9" x14ac:dyDescent="0.4">
      <c r="A3136" t="str">
        <f t="shared" si="336"/>
        <v/>
      </c>
      <c r="B3136" t="str">
        <f t="shared" si="337"/>
        <v/>
      </c>
      <c r="C3136" t="str">
        <f t="shared" si="338"/>
        <v/>
      </c>
      <c r="D3136" t="str">
        <f t="shared" si="339"/>
        <v/>
      </c>
      <c r="E3136" t="str">
        <f>IF(F3136="","",IF(COUNTIF($F$2:F3136,F3136)&gt;1,"",SUMIFS(tbl_input[필요수량],tbl_input[집계키_센터],F3136)))</f>
        <v/>
      </c>
      <c r="F3136" t="str">
        <f>IFERROR(INDEX(tbl_input[집계키_센터],ROW()-1),"")</f>
        <v/>
      </c>
      <c r="G3136" t="str">
        <f t="shared" si="340"/>
        <v/>
      </c>
      <c r="H3136" t="str">
        <f t="shared" si="341"/>
        <v/>
      </c>
      <c r="I3136" t="str">
        <f t="shared" si="342"/>
        <v/>
      </c>
    </row>
    <row r="3137" spans="1:9" x14ac:dyDescent="0.4">
      <c r="A3137" t="str">
        <f t="shared" si="336"/>
        <v/>
      </c>
      <c r="B3137" t="str">
        <f t="shared" si="337"/>
        <v/>
      </c>
      <c r="C3137" t="str">
        <f t="shared" si="338"/>
        <v/>
      </c>
      <c r="D3137" t="str">
        <f t="shared" si="339"/>
        <v/>
      </c>
      <c r="E3137" t="str">
        <f>IF(F3137="","",IF(COUNTIF($F$2:F3137,F3137)&gt;1,"",SUMIFS(tbl_input[필요수량],tbl_input[집계키_센터],F3137)))</f>
        <v/>
      </c>
      <c r="F3137" t="str">
        <f>IFERROR(INDEX(tbl_input[집계키_센터],ROW()-1),"")</f>
        <v/>
      </c>
      <c r="G3137" t="str">
        <f t="shared" si="340"/>
        <v/>
      </c>
      <c r="H3137" t="str">
        <f t="shared" si="341"/>
        <v/>
      </c>
      <c r="I3137" t="str">
        <f t="shared" si="342"/>
        <v/>
      </c>
    </row>
    <row r="3138" spans="1:9" x14ac:dyDescent="0.4">
      <c r="A3138" t="str">
        <f t="shared" ref="A3138:A3201" si="343">IF(F3138="","",LEFT(F3138,G3138-1))</f>
        <v/>
      </c>
      <c r="B3138" t="str">
        <f t="shared" ref="B3138:B3201" si="344">IF(F3138="","",MID(F3138,G3138+1,H3138-G3138-1))</f>
        <v/>
      </c>
      <c r="C3138" t="str">
        <f t="shared" ref="C3138:C3201" si="345">IF(F3138="","",MID(F3138,H3138+1,I3138-H3138-1))</f>
        <v/>
      </c>
      <c r="D3138" t="str">
        <f t="shared" ref="D3138:D3201" si="346">IF(F3138="","",MID(F3138,I3138+1,999))</f>
        <v/>
      </c>
      <c r="E3138" t="str">
        <f>IF(F3138="","",IF(COUNTIF($F$2:F3138,F3138)&gt;1,"",SUMIFS(tbl_input[필요수량],tbl_input[집계키_센터],F3138)))</f>
        <v/>
      </c>
      <c r="F3138" t="str">
        <f>IFERROR(INDEX(tbl_input[집계키_센터],ROW()-1),"")</f>
        <v/>
      </c>
      <c r="G3138" t="str">
        <f t="shared" ref="G3138:G3201" si="347">IF(F3138="","",FIND("♦",F3138))</f>
        <v/>
      </c>
      <c r="H3138" t="str">
        <f t="shared" ref="H3138:H3201" si="348">IF(F3138="","",FIND("♦",F3138,G3138+1))</f>
        <v/>
      </c>
      <c r="I3138" t="str">
        <f t="shared" ref="I3138:I3201" si="349">IF(F3138="","",FIND("♦",F3138,H3138+1))</f>
        <v/>
      </c>
    </row>
    <row r="3139" spans="1:9" x14ac:dyDescent="0.4">
      <c r="A3139" t="str">
        <f t="shared" si="343"/>
        <v/>
      </c>
      <c r="B3139" t="str">
        <f t="shared" si="344"/>
        <v/>
      </c>
      <c r="C3139" t="str">
        <f t="shared" si="345"/>
        <v/>
      </c>
      <c r="D3139" t="str">
        <f t="shared" si="346"/>
        <v/>
      </c>
      <c r="E3139" t="str">
        <f>IF(F3139="","",IF(COUNTIF($F$2:F3139,F3139)&gt;1,"",SUMIFS(tbl_input[필요수량],tbl_input[집계키_센터],F3139)))</f>
        <v/>
      </c>
      <c r="F3139" t="str">
        <f>IFERROR(INDEX(tbl_input[집계키_센터],ROW()-1),"")</f>
        <v/>
      </c>
      <c r="G3139" t="str">
        <f t="shared" si="347"/>
        <v/>
      </c>
      <c r="H3139" t="str">
        <f t="shared" si="348"/>
        <v/>
      </c>
      <c r="I3139" t="str">
        <f t="shared" si="349"/>
        <v/>
      </c>
    </row>
    <row r="3140" spans="1:9" x14ac:dyDescent="0.4">
      <c r="A3140" t="str">
        <f t="shared" si="343"/>
        <v/>
      </c>
      <c r="B3140" t="str">
        <f t="shared" si="344"/>
        <v/>
      </c>
      <c r="C3140" t="str">
        <f t="shared" si="345"/>
        <v/>
      </c>
      <c r="D3140" t="str">
        <f t="shared" si="346"/>
        <v/>
      </c>
      <c r="E3140" t="str">
        <f>IF(F3140="","",IF(COUNTIF($F$2:F3140,F3140)&gt;1,"",SUMIFS(tbl_input[필요수량],tbl_input[집계키_센터],F3140)))</f>
        <v/>
      </c>
      <c r="F3140" t="str">
        <f>IFERROR(INDEX(tbl_input[집계키_센터],ROW()-1),"")</f>
        <v/>
      </c>
      <c r="G3140" t="str">
        <f t="shared" si="347"/>
        <v/>
      </c>
      <c r="H3140" t="str">
        <f t="shared" si="348"/>
        <v/>
      </c>
      <c r="I3140" t="str">
        <f t="shared" si="349"/>
        <v/>
      </c>
    </row>
    <row r="3141" spans="1:9" x14ac:dyDescent="0.4">
      <c r="A3141" t="str">
        <f t="shared" si="343"/>
        <v/>
      </c>
      <c r="B3141" t="str">
        <f t="shared" si="344"/>
        <v/>
      </c>
      <c r="C3141" t="str">
        <f t="shared" si="345"/>
        <v/>
      </c>
      <c r="D3141" t="str">
        <f t="shared" si="346"/>
        <v/>
      </c>
      <c r="E3141" t="str">
        <f>IF(F3141="","",IF(COUNTIF($F$2:F3141,F3141)&gt;1,"",SUMIFS(tbl_input[필요수량],tbl_input[집계키_센터],F3141)))</f>
        <v/>
      </c>
      <c r="F3141" t="str">
        <f>IFERROR(INDEX(tbl_input[집계키_센터],ROW()-1),"")</f>
        <v/>
      </c>
      <c r="G3141" t="str">
        <f t="shared" si="347"/>
        <v/>
      </c>
      <c r="H3141" t="str">
        <f t="shared" si="348"/>
        <v/>
      </c>
      <c r="I3141" t="str">
        <f t="shared" si="349"/>
        <v/>
      </c>
    </row>
    <row r="3142" spans="1:9" x14ac:dyDescent="0.4">
      <c r="A3142" t="str">
        <f t="shared" si="343"/>
        <v/>
      </c>
      <c r="B3142" t="str">
        <f t="shared" si="344"/>
        <v/>
      </c>
      <c r="C3142" t="str">
        <f t="shared" si="345"/>
        <v/>
      </c>
      <c r="D3142" t="str">
        <f t="shared" si="346"/>
        <v/>
      </c>
      <c r="E3142" t="str">
        <f>IF(F3142="","",IF(COUNTIF($F$2:F3142,F3142)&gt;1,"",SUMIFS(tbl_input[필요수량],tbl_input[집계키_센터],F3142)))</f>
        <v/>
      </c>
      <c r="F3142" t="str">
        <f>IFERROR(INDEX(tbl_input[집계키_센터],ROW()-1),"")</f>
        <v/>
      </c>
      <c r="G3142" t="str">
        <f t="shared" si="347"/>
        <v/>
      </c>
      <c r="H3142" t="str">
        <f t="shared" si="348"/>
        <v/>
      </c>
      <c r="I3142" t="str">
        <f t="shared" si="349"/>
        <v/>
      </c>
    </row>
    <row r="3143" spans="1:9" x14ac:dyDescent="0.4">
      <c r="A3143" t="str">
        <f t="shared" si="343"/>
        <v/>
      </c>
      <c r="B3143" t="str">
        <f t="shared" si="344"/>
        <v/>
      </c>
      <c r="C3143" t="str">
        <f t="shared" si="345"/>
        <v/>
      </c>
      <c r="D3143" t="str">
        <f t="shared" si="346"/>
        <v/>
      </c>
      <c r="E3143" t="str">
        <f>IF(F3143="","",IF(COUNTIF($F$2:F3143,F3143)&gt;1,"",SUMIFS(tbl_input[필요수량],tbl_input[집계키_센터],F3143)))</f>
        <v/>
      </c>
      <c r="F3143" t="str">
        <f>IFERROR(INDEX(tbl_input[집계키_센터],ROW()-1),"")</f>
        <v/>
      </c>
      <c r="G3143" t="str">
        <f t="shared" si="347"/>
        <v/>
      </c>
      <c r="H3143" t="str">
        <f t="shared" si="348"/>
        <v/>
      </c>
      <c r="I3143" t="str">
        <f t="shared" si="349"/>
        <v/>
      </c>
    </row>
    <row r="3144" spans="1:9" x14ac:dyDescent="0.4">
      <c r="A3144" t="str">
        <f t="shared" si="343"/>
        <v/>
      </c>
      <c r="B3144" t="str">
        <f t="shared" si="344"/>
        <v/>
      </c>
      <c r="C3144" t="str">
        <f t="shared" si="345"/>
        <v/>
      </c>
      <c r="D3144" t="str">
        <f t="shared" si="346"/>
        <v/>
      </c>
      <c r="E3144" t="str">
        <f>IF(F3144="","",IF(COUNTIF($F$2:F3144,F3144)&gt;1,"",SUMIFS(tbl_input[필요수량],tbl_input[집계키_센터],F3144)))</f>
        <v/>
      </c>
      <c r="F3144" t="str">
        <f>IFERROR(INDEX(tbl_input[집계키_센터],ROW()-1),"")</f>
        <v/>
      </c>
      <c r="G3144" t="str">
        <f t="shared" si="347"/>
        <v/>
      </c>
      <c r="H3144" t="str">
        <f t="shared" si="348"/>
        <v/>
      </c>
      <c r="I3144" t="str">
        <f t="shared" si="349"/>
        <v/>
      </c>
    </row>
    <row r="3145" spans="1:9" x14ac:dyDescent="0.4">
      <c r="A3145" t="str">
        <f t="shared" si="343"/>
        <v/>
      </c>
      <c r="B3145" t="str">
        <f t="shared" si="344"/>
        <v/>
      </c>
      <c r="C3145" t="str">
        <f t="shared" si="345"/>
        <v/>
      </c>
      <c r="D3145" t="str">
        <f t="shared" si="346"/>
        <v/>
      </c>
      <c r="E3145" t="str">
        <f>IF(F3145="","",IF(COUNTIF($F$2:F3145,F3145)&gt;1,"",SUMIFS(tbl_input[필요수량],tbl_input[집계키_센터],F3145)))</f>
        <v/>
      </c>
      <c r="F3145" t="str">
        <f>IFERROR(INDEX(tbl_input[집계키_센터],ROW()-1),"")</f>
        <v/>
      </c>
      <c r="G3145" t="str">
        <f t="shared" si="347"/>
        <v/>
      </c>
      <c r="H3145" t="str">
        <f t="shared" si="348"/>
        <v/>
      </c>
      <c r="I3145" t="str">
        <f t="shared" si="349"/>
        <v/>
      </c>
    </row>
    <row r="3146" spans="1:9" x14ac:dyDescent="0.4">
      <c r="A3146" t="str">
        <f t="shared" si="343"/>
        <v/>
      </c>
      <c r="B3146" t="str">
        <f t="shared" si="344"/>
        <v/>
      </c>
      <c r="C3146" t="str">
        <f t="shared" si="345"/>
        <v/>
      </c>
      <c r="D3146" t="str">
        <f t="shared" si="346"/>
        <v/>
      </c>
      <c r="E3146" t="str">
        <f>IF(F3146="","",IF(COUNTIF($F$2:F3146,F3146)&gt;1,"",SUMIFS(tbl_input[필요수량],tbl_input[집계키_센터],F3146)))</f>
        <v/>
      </c>
      <c r="F3146" t="str">
        <f>IFERROR(INDEX(tbl_input[집계키_센터],ROW()-1),"")</f>
        <v/>
      </c>
      <c r="G3146" t="str">
        <f t="shared" si="347"/>
        <v/>
      </c>
      <c r="H3146" t="str">
        <f t="shared" si="348"/>
        <v/>
      </c>
      <c r="I3146" t="str">
        <f t="shared" si="349"/>
        <v/>
      </c>
    </row>
    <row r="3147" spans="1:9" x14ac:dyDescent="0.4">
      <c r="A3147" t="str">
        <f t="shared" si="343"/>
        <v/>
      </c>
      <c r="B3147" t="str">
        <f t="shared" si="344"/>
        <v/>
      </c>
      <c r="C3147" t="str">
        <f t="shared" si="345"/>
        <v/>
      </c>
      <c r="D3147" t="str">
        <f t="shared" si="346"/>
        <v/>
      </c>
      <c r="E3147" t="str">
        <f>IF(F3147="","",IF(COUNTIF($F$2:F3147,F3147)&gt;1,"",SUMIFS(tbl_input[필요수량],tbl_input[집계키_센터],F3147)))</f>
        <v/>
      </c>
      <c r="F3147" t="str">
        <f>IFERROR(INDEX(tbl_input[집계키_센터],ROW()-1),"")</f>
        <v/>
      </c>
      <c r="G3147" t="str">
        <f t="shared" si="347"/>
        <v/>
      </c>
      <c r="H3147" t="str">
        <f t="shared" si="348"/>
        <v/>
      </c>
      <c r="I3147" t="str">
        <f t="shared" si="349"/>
        <v/>
      </c>
    </row>
    <row r="3148" spans="1:9" x14ac:dyDescent="0.4">
      <c r="A3148" t="str">
        <f t="shared" si="343"/>
        <v/>
      </c>
      <c r="B3148" t="str">
        <f t="shared" si="344"/>
        <v/>
      </c>
      <c r="C3148" t="str">
        <f t="shared" si="345"/>
        <v/>
      </c>
      <c r="D3148" t="str">
        <f t="shared" si="346"/>
        <v/>
      </c>
      <c r="E3148" t="str">
        <f>IF(F3148="","",IF(COUNTIF($F$2:F3148,F3148)&gt;1,"",SUMIFS(tbl_input[필요수량],tbl_input[집계키_센터],F3148)))</f>
        <v/>
      </c>
      <c r="F3148" t="str">
        <f>IFERROR(INDEX(tbl_input[집계키_센터],ROW()-1),"")</f>
        <v/>
      </c>
      <c r="G3148" t="str">
        <f t="shared" si="347"/>
        <v/>
      </c>
      <c r="H3148" t="str">
        <f t="shared" si="348"/>
        <v/>
      </c>
      <c r="I3148" t="str">
        <f t="shared" si="349"/>
        <v/>
      </c>
    </row>
    <row r="3149" spans="1:9" x14ac:dyDescent="0.4">
      <c r="A3149" t="str">
        <f t="shared" si="343"/>
        <v/>
      </c>
      <c r="B3149" t="str">
        <f t="shared" si="344"/>
        <v/>
      </c>
      <c r="C3149" t="str">
        <f t="shared" si="345"/>
        <v/>
      </c>
      <c r="D3149" t="str">
        <f t="shared" si="346"/>
        <v/>
      </c>
      <c r="E3149" t="str">
        <f>IF(F3149="","",IF(COUNTIF($F$2:F3149,F3149)&gt;1,"",SUMIFS(tbl_input[필요수량],tbl_input[집계키_센터],F3149)))</f>
        <v/>
      </c>
      <c r="F3149" t="str">
        <f>IFERROR(INDEX(tbl_input[집계키_센터],ROW()-1),"")</f>
        <v/>
      </c>
      <c r="G3149" t="str">
        <f t="shared" si="347"/>
        <v/>
      </c>
      <c r="H3149" t="str">
        <f t="shared" si="348"/>
        <v/>
      </c>
      <c r="I3149" t="str">
        <f t="shared" si="349"/>
        <v/>
      </c>
    </row>
    <row r="3150" spans="1:9" x14ac:dyDescent="0.4">
      <c r="A3150" t="str">
        <f t="shared" si="343"/>
        <v/>
      </c>
      <c r="B3150" t="str">
        <f t="shared" si="344"/>
        <v/>
      </c>
      <c r="C3150" t="str">
        <f t="shared" si="345"/>
        <v/>
      </c>
      <c r="D3150" t="str">
        <f t="shared" si="346"/>
        <v/>
      </c>
      <c r="E3150" t="str">
        <f>IF(F3150="","",IF(COUNTIF($F$2:F3150,F3150)&gt;1,"",SUMIFS(tbl_input[필요수량],tbl_input[집계키_센터],F3150)))</f>
        <v/>
      </c>
      <c r="F3150" t="str">
        <f>IFERROR(INDEX(tbl_input[집계키_센터],ROW()-1),"")</f>
        <v/>
      </c>
      <c r="G3150" t="str">
        <f t="shared" si="347"/>
        <v/>
      </c>
      <c r="H3150" t="str">
        <f t="shared" si="348"/>
        <v/>
      </c>
      <c r="I3150" t="str">
        <f t="shared" si="349"/>
        <v/>
      </c>
    </row>
    <row r="3151" spans="1:9" x14ac:dyDescent="0.4">
      <c r="A3151" t="str">
        <f t="shared" si="343"/>
        <v/>
      </c>
      <c r="B3151" t="str">
        <f t="shared" si="344"/>
        <v/>
      </c>
      <c r="C3151" t="str">
        <f t="shared" si="345"/>
        <v/>
      </c>
      <c r="D3151" t="str">
        <f t="shared" si="346"/>
        <v/>
      </c>
      <c r="E3151" t="str">
        <f>IF(F3151="","",IF(COUNTIF($F$2:F3151,F3151)&gt;1,"",SUMIFS(tbl_input[필요수량],tbl_input[집계키_센터],F3151)))</f>
        <v/>
      </c>
      <c r="F3151" t="str">
        <f>IFERROR(INDEX(tbl_input[집계키_센터],ROW()-1),"")</f>
        <v/>
      </c>
      <c r="G3151" t="str">
        <f t="shared" si="347"/>
        <v/>
      </c>
      <c r="H3151" t="str">
        <f t="shared" si="348"/>
        <v/>
      </c>
      <c r="I3151" t="str">
        <f t="shared" si="349"/>
        <v/>
      </c>
    </row>
    <row r="3152" spans="1:9" x14ac:dyDescent="0.4">
      <c r="A3152" t="str">
        <f t="shared" si="343"/>
        <v/>
      </c>
      <c r="B3152" t="str">
        <f t="shared" si="344"/>
        <v/>
      </c>
      <c r="C3152" t="str">
        <f t="shared" si="345"/>
        <v/>
      </c>
      <c r="D3152" t="str">
        <f t="shared" si="346"/>
        <v/>
      </c>
      <c r="E3152" t="str">
        <f>IF(F3152="","",IF(COUNTIF($F$2:F3152,F3152)&gt;1,"",SUMIFS(tbl_input[필요수량],tbl_input[집계키_센터],F3152)))</f>
        <v/>
      </c>
      <c r="F3152" t="str">
        <f>IFERROR(INDEX(tbl_input[집계키_센터],ROW()-1),"")</f>
        <v/>
      </c>
      <c r="G3152" t="str">
        <f t="shared" si="347"/>
        <v/>
      </c>
      <c r="H3152" t="str">
        <f t="shared" si="348"/>
        <v/>
      </c>
      <c r="I3152" t="str">
        <f t="shared" si="349"/>
        <v/>
      </c>
    </row>
    <row r="3153" spans="1:9" x14ac:dyDescent="0.4">
      <c r="A3153" t="str">
        <f t="shared" si="343"/>
        <v/>
      </c>
      <c r="B3153" t="str">
        <f t="shared" si="344"/>
        <v/>
      </c>
      <c r="C3153" t="str">
        <f t="shared" si="345"/>
        <v/>
      </c>
      <c r="D3153" t="str">
        <f t="shared" si="346"/>
        <v/>
      </c>
      <c r="E3153" t="str">
        <f>IF(F3153="","",IF(COUNTIF($F$2:F3153,F3153)&gt;1,"",SUMIFS(tbl_input[필요수량],tbl_input[집계키_센터],F3153)))</f>
        <v/>
      </c>
      <c r="F3153" t="str">
        <f>IFERROR(INDEX(tbl_input[집계키_센터],ROW()-1),"")</f>
        <v/>
      </c>
      <c r="G3153" t="str">
        <f t="shared" si="347"/>
        <v/>
      </c>
      <c r="H3153" t="str">
        <f t="shared" si="348"/>
        <v/>
      </c>
      <c r="I3153" t="str">
        <f t="shared" si="349"/>
        <v/>
      </c>
    </row>
    <row r="3154" spans="1:9" x14ac:dyDescent="0.4">
      <c r="A3154" t="str">
        <f t="shared" si="343"/>
        <v/>
      </c>
      <c r="B3154" t="str">
        <f t="shared" si="344"/>
        <v/>
      </c>
      <c r="C3154" t="str">
        <f t="shared" si="345"/>
        <v/>
      </c>
      <c r="D3154" t="str">
        <f t="shared" si="346"/>
        <v/>
      </c>
      <c r="E3154" t="str">
        <f>IF(F3154="","",IF(COUNTIF($F$2:F3154,F3154)&gt;1,"",SUMIFS(tbl_input[필요수량],tbl_input[집계키_센터],F3154)))</f>
        <v/>
      </c>
      <c r="F3154" t="str">
        <f>IFERROR(INDEX(tbl_input[집계키_센터],ROW()-1),"")</f>
        <v/>
      </c>
      <c r="G3154" t="str">
        <f t="shared" si="347"/>
        <v/>
      </c>
      <c r="H3154" t="str">
        <f t="shared" si="348"/>
        <v/>
      </c>
      <c r="I3154" t="str">
        <f t="shared" si="349"/>
        <v/>
      </c>
    </row>
    <row r="3155" spans="1:9" x14ac:dyDescent="0.4">
      <c r="A3155" t="str">
        <f t="shared" si="343"/>
        <v/>
      </c>
      <c r="B3155" t="str">
        <f t="shared" si="344"/>
        <v/>
      </c>
      <c r="C3155" t="str">
        <f t="shared" si="345"/>
        <v/>
      </c>
      <c r="D3155" t="str">
        <f t="shared" si="346"/>
        <v/>
      </c>
      <c r="E3155" t="str">
        <f>IF(F3155="","",IF(COUNTIF($F$2:F3155,F3155)&gt;1,"",SUMIFS(tbl_input[필요수량],tbl_input[집계키_센터],F3155)))</f>
        <v/>
      </c>
      <c r="F3155" t="str">
        <f>IFERROR(INDEX(tbl_input[집계키_센터],ROW()-1),"")</f>
        <v/>
      </c>
      <c r="G3155" t="str">
        <f t="shared" si="347"/>
        <v/>
      </c>
      <c r="H3155" t="str">
        <f t="shared" si="348"/>
        <v/>
      </c>
      <c r="I3155" t="str">
        <f t="shared" si="349"/>
        <v/>
      </c>
    </row>
    <row r="3156" spans="1:9" x14ac:dyDescent="0.4">
      <c r="A3156" t="str">
        <f t="shared" si="343"/>
        <v/>
      </c>
      <c r="B3156" t="str">
        <f t="shared" si="344"/>
        <v/>
      </c>
      <c r="C3156" t="str">
        <f t="shared" si="345"/>
        <v/>
      </c>
      <c r="D3156" t="str">
        <f t="shared" si="346"/>
        <v/>
      </c>
      <c r="E3156" t="str">
        <f>IF(F3156="","",IF(COUNTIF($F$2:F3156,F3156)&gt;1,"",SUMIFS(tbl_input[필요수량],tbl_input[집계키_센터],F3156)))</f>
        <v/>
      </c>
      <c r="F3156" t="str">
        <f>IFERROR(INDEX(tbl_input[집계키_센터],ROW()-1),"")</f>
        <v/>
      </c>
      <c r="G3156" t="str">
        <f t="shared" si="347"/>
        <v/>
      </c>
      <c r="H3156" t="str">
        <f t="shared" si="348"/>
        <v/>
      </c>
      <c r="I3156" t="str">
        <f t="shared" si="349"/>
        <v/>
      </c>
    </row>
    <row r="3157" spans="1:9" x14ac:dyDescent="0.4">
      <c r="A3157" t="str">
        <f t="shared" si="343"/>
        <v/>
      </c>
      <c r="B3157" t="str">
        <f t="shared" si="344"/>
        <v/>
      </c>
      <c r="C3157" t="str">
        <f t="shared" si="345"/>
        <v/>
      </c>
      <c r="D3157" t="str">
        <f t="shared" si="346"/>
        <v/>
      </c>
      <c r="E3157" t="str">
        <f>IF(F3157="","",IF(COUNTIF($F$2:F3157,F3157)&gt;1,"",SUMIFS(tbl_input[필요수량],tbl_input[집계키_센터],F3157)))</f>
        <v/>
      </c>
      <c r="F3157" t="str">
        <f>IFERROR(INDEX(tbl_input[집계키_센터],ROW()-1),"")</f>
        <v/>
      </c>
      <c r="G3157" t="str">
        <f t="shared" si="347"/>
        <v/>
      </c>
      <c r="H3157" t="str">
        <f t="shared" si="348"/>
        <v/>
      </c>
      <c r="I3157" t="str">
        <f t="shared" si="349"/>
        <v/>
      </c>
    </row>
    <row r="3158" spans="1:9" x14ac:dyDescent="0.4">
      <c r="A3158" t="str">
        <f t="shared" si="343"/>
        <v/>
      </c>
      <c r="B3158" t="str">
        <f t="shared" si="344"/>
        <v/>
      </c>
      <c r="C3158" t="str">
        <f t="shared" si="345"/>
        <v/>
      </c>
      <c r="D3158" t="str">
        <f t="shared" si="346"/>
        <v/>
      </c>
      <c r="E3158" t="str">
        <f>IF(F3158="","",IF(COUNTIF($F$2:F3158,F3158)&gt;1,"",SUMIFS(tbl_input[필요수량],tbl_input[집계키_센터],F3158)))</f>
        <v/>
      </c>
      <c r="F3158" t="str">
        <f>IFERROR(INDEX(tbl_input[집계키_센터],ROW()-1),"")</f>
        <v/>
      </c>
      <c r="G3158" t="str">
        <f t="shared" si="347"/>
        <v/>
      </c>
      <c r="H3158" t="str">
        <f t="shared" si="348"/>
        <v/>
      </c>
      <c r="I3158" t="str">
        <f t="shared" si="349"/>
        <v/>
      </c>
    </row>
    <row r="3159" spans="1:9" x14ac:dyDescent="0.4">
      <c r="A3159" t="str">
        <f t="shared" si="343"/>
        <v/>
      </c>
      <c r="B3159" t="str">
        <f t="shared" si="344"/>
        <v/>
      </c>
      <c r="C3159" t="str">
        <f t="shared" si="345"/>
        <v/>
      </c>
      <c r="D3159" t="str">
        <f t="shared" si="346"/>
        <v/>
      </c>
      <c r="E3159" t="str">
        <f>IF(F3159="","",IF(COUNTIF($F$2:F3159,F3159)&gt;1,"",SUMIFS(tbl_input[필요수량],tbl_input[집계키_센터],F3159)))</f>
        <v/>
      </c>
      <c r="F3159" t="str">
        <f>IFERROR(INDEX(tbl_input[집계키_센터],ROW()-1),"")</f>
        <v/>
      </c>
      <c r="G3159" t="str">
        <f t="shared" si="347"/>
        <v/>
      </c>
      <c r="H3159" t="str">
        <f t="shared" si="348"/>
        <v/>
      </c>
      <c r="I3159" t="str">
        <f t="shared" si="349"/>
        <v/>
      </c>
    </row>
    <row r="3160" spans="1:9" x14ac:dyDescent="0.4">
      <c r="A3160" t="str">
        <f t="shared" si="343"/>
        <v/>
      </c>
      <c r="B3160" t="str">
        <f t="shared" si="344"/>
        <v/>
      </c>
      <c r="C3160" t="str">
        <f t="shared" si="345"/>
        <v/>
      </c>
      <c r="D3160" t="str">
        <f t="shared" si="346"/>
        <v/>
      </c>
      <c r="E3160" t="str">
        <f>IF(F3160="","",IF(COUNTIF($F$2:F3160,F3160)&gt;1,"",SUMIFS(tbl_input[필요수량],tbl_input[집계키_센터],F3160)))</f>
        <v/>
      </c>
      <c r="F3160" t="str">
        <f>IFERROR(INDEX(tbl_input[집계키_센터],ROW()-1),"")</f>
        <v/>
      </c>
      <c r="G3160" t="str">
        <f t="shared" si="347"/>
        <v/>
      </c>
      <c r="H3160" t="str">
        <f t="shared" si="348"/>
        <v/>
      </c>
      <c r="I3160" t="str">
        <f t="shared" si="349"/>
        <v/>
      </c>
    </row>
    <row r="3161" spans="1:9" x14ac:dyDescent="0.4">
      <c r="A3161" t="str">
        <f t="shared" si="343"/>
        <v/>
      </c>
      <c r="B3161" t="str">
        <f t="shared" si="344"/>
        <v/>
      </c>
      <c r="C3161" t="str">
        <f t="shared" si="345"/>
        <v/>
      </c>
      <c r="D3161" t="str">
        <f t="shared" si="346"/>
        <v/>
      </c>
      <c r="E3161" t="str">
        <f>IF(F3161="","",IF(COUNTIF($F$2:F3161,F3161)&gt;1,"",SUMIFS(tbl_input[필요수량],tbl_input[집계키_센터],F3161)))</f>
        <v/>
      </c>
      <c r="F3161" t="str">
        <f>IFERROR(INDEX(tbl_input[집계키_센터],ROW()-1),"")</f>
        <v/>
      </c>
      <c r="G3161" t="str">
        <f t="shared" si="347"/>
        <v/>
      </c>
      <c r="H3161" t="str">
        <f t="shared" si="348"/>
        <v/>
      </c>
      <c r="I3161" t="str">
        <f t="shared" si="349"/>
        <v/>
      </c>
    </row>
    <row r="3162" spans="1:9" x14ac:dyDescent="0.4">
      <c r="A3162" t="str">
        <f t="shared" si="343"/>
        <v/>
      </c>
      <c r="B3162" t="str">
        <f t="shared" si="344"/>
        <v/>
      </c>
      <c r="C3162" t="str">
        <f t="shared" si="345"/>
        <v/>
      </c>
      <c r="D3162" t="str">
        <f t="shared" si="346"/>
        <v/>
      </c>
      <c r="E3162" t="str">
        <f>IF(F3162="","",IF(COUNTIF($F$2:F3162,F3162)&gt;1,"",SUMIFS(tbl_input[필요수량],tbl_input[집계키_센터],F3162)))</f>
        <v/>
      </c>
      <c r="F3162" t="str">
        <f>IFERROR(INDEX(tbl_input[집계키_센터],ROW()-1),"")</f>
        <v/>
      </c>
      <c r="G3162" t="str">
        <f t="shared" si="347"/>
        <v/>
      </c>
      <c r="H3162" t="str">
        <f t="shared" si="348"/>
        <v/>
      </c>
      <c r="I3162" t="str">
        <f t="shared" si="349"/>
        <v/>
      </c>
    </row>
    <row r="3163" spans="1:9" x14ac:dyDescent="0.4">
      <c r="A3163" t="str">
        <f t="shared" si="343"/>
        <v/>
      </c>
      <c r="B3163" t="str">
        <f t="shared" si="344"/>
        <v/>
      </c>
      <c r="C3163" t="str">
        <f t="shared" si="345"/>
        <v/>
      </c>
      <c r="D3163" t="str">
        <f t="shared" si="346"/>
        <v/>
      </c>
      <c r="E3163" t="str">
        <f>IF(F3163="","",IF(COUNTIF($F$2:F3163,F3163)&gt;1,"",SUMIFS(tbl_input[필요수량],tbl_input[집계키_센터],F3163)))</f>
        <v/>
      </c>
      <c r="F3163" t="str">
        <f>IFERROR(INDEX(tbl_input[집계키_센터],ROW()-1),"")</f>
        <v/>
      </c>
      <c r="G3163" t="str">
        <f t="shared" si="347"/>
        <v/>
      </c>
      <c r="H3163" t="str">
        <f t="shared" si="348"/>
        <v/>
      </c>
      <c r="I3163" t="str">
        <f t="shared" si="349"/>
        <v/>
      </c>
    </row>
    <row r="3164" spans="1:9" x14ac:dyDescent="0.4">
      <c r="A3164" t="str">
        <f t="shared" si="343"/>
        <v/>
      </c>
      <c r="B3164" t="str">
        <f t="shared" si="344"/>
        <v/>
      </c>
      <c r="C3164" t="str">
        <f t="shared" si="345"/>
        <v/>
      </c>
      <c r="D3164" t="str">
        <f t="shared" si="346"/>
        <v/>
      </c>
      <c r="E3164" t="str">
        <f>IF(F3164="","",IF(COUNTIF($F$2:F3164,F3164)&gt;1,"",SUMIFS(tbl_input[필요수량],tbl_input[집계키_센터],F3164)))</f>
        <v/>
      </c>
      <c r="F3164" t="str">
        <f>IFERROR(INDEX(tbl_input[집계키_센터],ROW()-1),"")</f>
        <v/>
      </c>
      <c r="G3164" t="str">
        <f t="shared" si="347"/>
        <v/>
      </c>
      <c r="H3164" t="str">
        <f t="shared" si="348"/>
        <v/>
      </c>
      <c r="I3164" t="str">
        <f t="shared" si="349"/>
        <v/>
      </c>
    </row>
    <row r="3165" spans="1:9" x14ac:dyDescent="0.4">
      <c r="A3165" t="str">
        <f t="shared" si="343"/>
        <v/>
      </c>
      <c r="B3165" t="str">
        <f t="shared" si="344"/>
        <v/>
      </c>
      <c r="C3165" t="str">
        <f t="shared" si="345"/>
        <v/>
      </c>
      <c r="D3165" t="str">
        <f t="shared" si="346"/>
        <v/>
      </c>
      <c r="E3165" t="str">
        <f>IF(F3165="","",IF(COUNTIF($F$2:F3165,F3165)&gt;1,"",SUMIFS(tbl_input[필요수량],tbl_input[집계키_센터],F3165)))</f>
        <v/>
      </c>
      <c r="F3165" t="str">
        <f>IFERROR(INDEX(tbl_input[집계키_센터],ROW()-1),"")</f>
        <v/>
      </c>
      <c r="G3165" t="str">
        <f t="shared" si="347"/>
        <v/>
      </c>
      <c r="H3165" t="str">
        <f t="shared" si="348"/>
        <v/>
      </c>
      <c r="I3165" t="str">
        <f t="shared" si="349"/>
        <v/>
      </c>
    </row>
    <row r="3166" spans="1:9" x14ac:dyDescent="0.4">
      <c r="A3166" t="str">
        <f t="shared" si="343"/>
        <v/>
      </c>
      <c r="B3166" t="str">
        <f t="shared" si="344"/>
        <v/>
      </c>
      <c r="C3166" t="str">
        <f t="shared" si="345"/>
        <v/>
      </c>
      <c r="D3166" t="str">
        <f t="shared" si="346"/>
        <v/>
      </c>
      <c r="E3166" t="str">
        <f>IF(F3166="","",IF(COUNTIF($F$2:F3166,F3166)&gt;1,"",SUMIFS(tbl_input[필요수량],tbl_input[집계키_센터],F3166)))</f>
        <v/>
      </c>
      <c r="F3166" t="str">
        <f>IFERROR(INDEX(tbl_input[집계키_센터],ROW()-1),"")</f>
        <v/>
      </c>
      <c r="G3166" t="str">
        <f t="shared" si="347"/>
        <v/>
      </c>
      <c r="H3166" t="str">
        <f t="shared" si="348"/>
        <v/>
      </c>
      <c r="I3166" t="str">
        <f t="shared" si="349"/>
        <v/>
      </c>
    </row>
    <row r="3167" spans="1:9" x14ac:dyDescent="0.4">
      <c r="A3167" t="str">
        <f t="shared" si="343"/>
        <v/>
      </c>
      <c r="B3167" t="str">
        <f t="shared" si="344"/>
        <v/>
      </c>
      <c r="C3167" t="str">
        <f t="shared" si="345"/>
        <v/>
      </c>
      <c r="D3167" t="str">
        <f t="shared" si="346"/>
        <v/>
      </c>
      <c r="E3167" t="str">
        <f>IF(F3167="","",IF(COUNTIF($F$2:F3167,F3167)&gt;1,"",SUMIFS(tbl_input[필요수량],tbl_input[집계키_센터],F3167)))</f>
        <v/>
      </c>
      <c r="F3167" t="str">
        <f>IFERROR(INDEX(tbl_input[집계키_센터],ROW()-1),"")</f>
        <v/>
      </c>
      <c r="G3167" t="str">
        <f t="shared" si="347"/>
        <v/>
      </c>
      <c r="H3167" t="str">
        <f t="shared" si="348"/>
        <v/>
      </c>
      <c r="I3167" t="str">
        <f t="shared" si="349"/>
        <v/>
      </c>
    </row>
    <row r="3168" spans="1:9" x14ac:dyDescent="0.4">
      <c r="A3168" t="str">
        <f t="shared" si="343"/>
        <v/>
      </c>
      <c r="B3168" t="str">
        <f t="shared" si="344"/>
        <v/>
      </c>
      <c r="C3168" t="str">
        <f t="shared" si="345"/>
        <v/>
      </c>
      <c r="D3168" t="str">
        <f t="shared" si="346"/>
        <v/>
      </c>
      <c r="E3168" t="str">
        <f>IF(F3168="","",IF(COUNTIF($F$2:F3168,F3168)&gt;1,"",SUMIFS(tbl_input[필요수량],tbl_input[집계키_센터],F3168)))</f>
        <v/>
      </c>
      <c r="F3168" t="str">
        <f>IFERROR(INDEX(tbl_input[집계키_센터],ROW()-1),"")</f>
        <v/>
      </c>
      <c r="G3168" t="str">
        <f t="shared" si="347"/>
        <v/>
      </c>
      <c r="H3168" t="str">
        <f t="shared" si="348"/>
        <v/>
      </c>
      <c r="I3168" t="str">
        <f t="shared" si="349"/>
        <v/>
      </c>
    </row>
    <row r="3169" spans="1:9" x14ac:dyDescent="0.4">
      <c r="A3169" t="str">
        <f t="shared" si="343"/>
        <v/>
      </c>
      <c r="B3169" t="str">
        <f t="shared" si="344"/>
        <v/>
      </c>
      <c r="C3169" t="str">
        <f t="shared" si="345"/>
        <v/>
      </c>
      <c r="D3169" t="str">
        <f t="shared" si="346"/>
        <v/>
      </c>
      <c r="E3169" t="str">
        <f>IF(F3169="","",IF(COUNTIF($F$2:F3169,F3169)&gt;1,"",SUMIFS(tbl_input[필요수량],tbl_input[집계키_센터],F3169)))</f>
        <v/>
      </c>
      <c r="F3169" t="str">
        <f>IFERROR(INDEX(tbl_input[집계키_센터],ROW()-1),"")</f>
        <v/>
      </c>
      <c r="G3169" t="str">
        <f t="shared" si="347"/>
        <v/>
      </c>
      <c r="H3169" t="str">
        <f t="shared" si="348"/>
        <v/>
      </c>
      <c r="I3169" t="str">
        <f t="shared" si="349"/>
        <v/>
      </c>
    </row>
    <row r="3170" spans="1:9" x14ac:dyDescent="0.4">
      <c r="A3170" t="str">
        <f t="shared" si="343"/>
        <v/>
      </c>
      <c r="B3170" t="str">
        <f t="shared" si="344"/>
        <v/>
      </c>
      <c r="C3170" t="str">
        <f t="shared" si="345"/>
        <v/>
      </c>
      <c r="D3170" t="str">
        <f t="shared" si="346"/>
        <v/>
      </c>
      <c r="E3170" t="str">
        <f>IF(F3170="","",IF(COUNTIF($F$2:F3170,F3170)&gt;1,"",SUMIFS(tbl_input[필요수량],tbl_input[집계키_센터],F3170)))</f>
        <v/>
      </c>
      <c r="F3170" t="str">
        <f>IFERROR(INDEX(tbl_input[집계키_센터],ROW()-1),"")</f>
        <v/>
      </c>
      <c r="G3170" t="str">
        <f t="shared" si="347"/>
        <v/>
      </c>
      <c r="H3170" t="str">
        <f t="shared" si="348"/>
        <v/>
      </c>
      <c r="I3170" t="str">
        <f t="shared" si="349"/>
        <v/>
      </c>
    </row>
    <row r="3171" spans="1:9" x14ac:dyDescent="0.4">
      <c r="A3171" t="str">
        <f t="shared" si="343"/>
        <v/>
      </c>
      <c r="B3171" t="str">
        <f t="shared" si="344"/>
        <v/>
      </c>
      <c r="C3171" t="str">
        <f t="shared" si="345"/>
        <v/>
      </c>
      <c r="D3171" t="str">
        <f t="shared" si="346"/>
        <v/>
      </c>
      <c r="E3171" t="str">
        <f>IF(F3171="","",IF(COUNTIF($F$2:F3171,F3171)&gt;1,"",SUMIFS(tbl_input[필요수량],tbl_input[집계키_센터],F3171)))</f>
        <v/>
      </c>
      <c r="F3171" t="str">
        <f>IFERROR(INDEX(tbl_input[집계키_센터],ROW()-1),"")</f>
        <v/>
      </c>
      <c r="G3171" t="str">
        <f t="shared" si="347"/>
        <v/>
      </c>
      <c r="H3171" t="str">
        <f t="shared" si="348"/>
        <v/>
      </c>
      <c r="I3171" t="str">
        <f t="shared" si="349"/>
        <v/>
      </c>
    </row>
    <row r="3172" spans="1:9" x14ac:dyDescent="0.4">
      <c r="A3172" t="str">
        <f t="shared" si="343"/>
        <v/>
      </c>
      <c r="B3172" t="str">
        <f t="shared" si="344"/>
        <v/>
      </c>
      <c r="C3172" t="str">
        <f t="shared" si="345"/>
        <v/>
      </c>
      <c r="D3172" t="str">
        <f t="shared" si="346"/>
        <v/>
      </c>
      <c r="E3172" t="str">
        <f>IF(F3172="","",IF(COUNTIF($F$2:F3172,F3172)&gt;1,"",SUMIFS(tbl_input[필요수량],tbl_input[집계키_센터],F3172)))</f>
        <v/>
      </c>
      <c r="F3172" t="str">
        <f>IFERROR(INDEX(tbl_input[집계키_센터],ROW()-1),"")</f>
        <v/>
      </c>
      <c r="G3172" t="str">
        <f t="shared" si="347"/>
        <v/>
      </c>
      <c r="H3172" t="str">
        <f t="shared" si="348"/>
        <v/>
      </c>
      <c r="I3172" t="str">
        <f t="shared" si="349"/>
        <v/>
      </c>
    </row>
    <row r="3173" spans="1:9" x14ac:dyDescent="0.4">
      <c r="A3173" t="str">
        <f t="shared" si="343"/>
        <v/>
      </c>
      <c r="B3173" t="str">
        <f t="shared" si="344"/>
        <v/>
      </c>
      <c r="C3173" t="str">
        <f t="shared" si="345"/>
        <v/>
      </c>
      <c r="D3173" t="str">
        <f t="shared" si="346"/>
        <v/>
      </c>
      <c r="E3173" t="str">
        <f>IF(F3173="","",IF(COUNTIF($F$2:F3173,F3173)&gt;1,"",SUMIFS(tbl_input[필요수량],tbl_input[집계키_센터],F3173)))</f>
        <v/>
      </c>
      <c r="F3173" t="str">
        <f>IFERROR(INDEX(tbl_input[집계키_센터],ROW()-1),"")</f>
        <v/>
      </c>
      <c r="G3173" t="str">
        <f t="shared" si="347"/>
        <v/>
      </c>
      <c r="H3173" t="str">
        <f t="shared" si="348"/>
        <v/>
      </c>
      <c r="I3173" t="str">
        <f t="shared" si="349"/>
        <v/>
      </c>
    </row>
    <row r="3174" spans="1:9" x14ac:dyDescent="0.4">
      <c r="A3174" t="str">
        <f t="shared" si="343"/>
        <v/>
      </c>
      <c r="B3174" t="str">
        <f t="shared" si="344"/>
        <v/>
      </c>
      <c r="C3174" t="str">
        <f t="shared" si="345"/>
        <v/>
      </c>
      <c r="D3174" t="str">
        <f t="shared" si="346"/>
        <v/>
      </c>
      <c r="E3174" t="str">
        <f>IF(F3174="","",IF(COUNTIF($F$2:F3174,F3174)&gt;1,"",SUMIFS(tbl_input[필요수량],tbl_input[집계키_센터],F3174)))</f>
        <v/>
      </c>
      <c r="F3174" t="str">
        <f>IFERROR(INDEX(tbl_input[집계키_센터],ROW()-1),"")</f>
        <v/>
      </c>
      <c r="G3174" t="str">
        <f t="shared" si="347"/>
        <v/>
      </c>
      <c r="H3174" t="str">
        <f t="shared" si="348"/>
        <v/>
      </c>
      <c r="I3174" t="str">
        <f t="shared" si="349"/>
        <v/>
      </c>
    </row>
    <row r="3175" spans="1:9" x14ac:dyDescent="0.4">
      <c r="A3175" t="str">
        <f t="shared" si="343"/>
        <v/>
      </c>
      <c r="B3175" t="str">
        <f t="shared" si="344"/>
        <v/>
      </c>
      <c r="C3175" t="str">
        <f t="shared" si="345"/>
        <v/>
      </c>
      <c r="D3175" t="str">
        <f t="shared" si="346"/>
        <v/>
      </c>
      <c r="E3175" t="str">
        <f>IF(F3175="","",IF(COUNTIF($F$2:F3175,F3175)&gt;1,"",SUMIFS(tbl_input[필요수량],tbl_input[집계키_센터],F3175)))</f>
        <v/>
      </c>
      <c r="F3175" t="str">
        <f>IFERROR(INDEX(tbl_input[집계키_센터],ROW()-1),"")</f>
        <v/>
      </c>
      <c r="G3175" t="str">
        <f t="shared" si="347"/>
        <v/>
      </c>
      <c r="H3175" t="str">
        <f t="shared" si="348"/>
        <v/>
      </c>
      <c r="I3175" t="str">
        <f t="shared" si="349"/>
        <v/>
      </c>
    </row>
    <row r="3176" spans="1:9" x14ac:dyDescent="0.4">
      <c r="A3176" t="str">
        <f t="shared" si="343"/>
        <v/>
      </c>
      <c r="B3176" t="str">
        <f t="shared" si="344"/>
        <v/>
      </c>
      <c r="C3176" t="str">
        <f t="shared" si="345"/>
        <v/>
      </c>
      <c r="D3176" t="str">
        <f t="shared" si="346"/>
        <v/>
      </c>
      <c r="E3176" t="str">
        <f>IF(F3176="","",IF(COUNTIF($F$2:F3176,F3176)&gt;1,"",SUMIFS(tbl_input[필요수량],tbl_input[집계키_센터],F3176)))</f>
        <v/>
      </c>
      <c r="F3176" t="str">
        <f>IFERROR(INDEX(tbl_input[집계키_센터],ROW()-1),"")</f>
        <v/>
      </c>
      <c r="G3176" t="str">
        <f t="shared" si="347"/>
        <v/>
      </c>
      <c r="H3176" t="str">
        <f t="shared" si="348"/>
        <v/>
      </c>
      <c r="I3176" t="str">
        <f t="shared" si="349"/>
        <v/>
      </c>
    </row>
    <row r="3177" spans="1:9" x14ac:dyDescent="0.4">
      <c r="A3177" t="str">
        <f t="shared" si="343"/>
        <v/>
      </c>
      <c r="B3177" t="str">
        <f t="shared" si="344"/>
        <v/>
      </c>
      <c r="C3177" t="str">
        <f t="shared" si="345"/>
        <v/>
      </c>
      <c r="D3177" t="str">
        <f t="shared" si="346"/>
        <v/>
      </c>
      <c r="E3177" t="str">
        <f>IF(F3177="","",IF(COUNTIF($F$2:F3177,F3177)&gt;1,"",SUMIFS(tbl_input[필요수량],tbl_input[집계키_센터],F3177)))</f>
        <v/>
      </c>
      <c r="F3177" t="str">
        <f>IFERROR(INDEX(tbl_input[집계키_센터],ROW()-1),"")</f>
        <v/>
      </c>
      <c r="G3177" t="str">
        <f t="shared" si="347"/>
        <v/>
      </c>
      <c r="H3177" t="str">
        <f t="shared" si="348"/>
        <v/>
      </c>
      <c r="I3177" t="str">
        <f t="shared" si="349"/>
        <v/>
      </c>
    </row>
    <row r="3178" spans="1:9" x14ac:dyDescent="0.4">
      <c r="A3178" t="str">
        <f t="shared" si="343"/>
        <v/>
      </c>
      <c r="B3178" t="str">
        <f t="shared" si="344"/>
        <v/>
      </c>
      <c r="C3178" t="str">
        <f t="shared" si="345"/>
        <v/>
      </c>
      <c r="D3178" t="str">
        <f t="shared" si="346"/>
        <v/>
      </c>
      <c r="E3178" t="str">
        <f>IF(F3178="","",IF(COUNTIF($F$2:F3178,F3178)&gt;1,"",SUMIFS(tbl_input[필요수량],tbl_input[집계키_센터],F3178)))</f>
        <v/>
      </c>
      <c r="F3178" t="str">
        <f>IFERROR(INDEX(tbl_input[집계키_센터],ROW()-1),"")</f>
        <v/>
      </c>
      <c r="G3178" t="str">
        <f t="shared" si="347"/>
        <v/>
      </c>
      <c r="H3178" t="str">
        <f t="shared" si="348"/>
        <v/>
      </c>
      <c r="I3178" t="str">
        <f t="shared" si="349"/>
        <v/>
      </c>
    </row>
    <row r="3179" spans="1:9" x14ac:dyDescent="0.4">
      <c r="A3179" t="str">
        <f t="shared" si="343"/>
        <v/>
      </c>
      <c r="B3179" t="str">
        <f t="shared" si="344"/>
        <v/>
      </c>
      <c r="C3179" t="str">
        <f t="shared" si="345"/>
        <v/>
      </c>
      <c r="D3179" t="str">
        <f t="shared" si="346"/>
        <v/>
      </c>
      <c r="E3179" t="str">
        <f>IF(F3179="","",IF(COUNTIF($F$2:F3179,F3179)&gt;1,"",SUMIFS(tbl_input[필요수량],tbl_input[집계키_센터],F3179)))</f>
        <v/>
      </c>
      <c r="F3179" t="str">
        <f>IFERROR(INDEX(tbl_input[집계키_센터],ROW()-1),"")</f>
        <v/>
      </c>
      <c r="G3179" t="str">
        <f t="shared" si="347"/>
        <v/>
      </c>
      <c r="H3179" t="str">
        <f t="shared" si="348"/>
        <v/>
      </c>
      <c r="I3179" t="str">
        <f t="shared" si="349"/>
        <v/>
      </c>
    </row>
    <row r="3180" spans="1:9" x14ac:dyDescent="0.4">
      <c r="A3180" t="str">
        <f t="shared" si="343"/>
        <v/>
      </c>
      <c r="B3180" t="str">
        <f t="shared" si="344"/>
        <v/>
      </c>
      <c r="C3180" t="str">
        <f t="shared" si="345"/>
        <v/>
      </c>
      <c r="D3180" t="str">
        <f t="shared" si="346"/>
        <v/>
      </c>
      <c r="E3180" t="str">
        <f>IF(F3180="","",IF(COUNTIF($F$2:F3180,F3180)&gt;1,"",SUMIFS(tbl_input[필요수량],tbl_input[집계키_센터],F3180)))</f>
        <v/>
      </c>
      <c r="F3180" t="str">
        <f>IFERROR(INDEX(tbl_input[집계키_센터],ROW()-1),"")</f>
        <v/>
      </c>
      <c r="G3180" t="str">
        <f t="shared" si="347"/>
        <v/>
      </c>
      <c r="H3180" t="str">
        <f t="shared" si="348"/>
        <v/>
      </c>
      <c r="I3180" t="str">
        <f t="shared" si="349"/>
        <v/>
      </c>
    </row>
    <row r="3181" spans="1:9" x14ac:dyDescent="0.4">
      <c r="A3181" t="str">
        <f t="shared" si="343"/>
        <v/>
      </c>
      <c r="B3181" t="str">
        <f t="shared" si="344"/>
        <v/>
      </c>
      <c r="C3181" t="str">
        <f t="shared" si="345"/>
        <v/>
      </c>
      <c r="D3181" t="str">
        <f t="shared" si="346"/>
        <v/>
      </c>
      <c r="E3181" t="str">
        <f>IF(F3181="","",IF(COUNTIF($F$2:F3181,F3181)&gt;1,"",SUMIFS(tbl_input[필요수량],tbl_input[집계키_센터],F3181)))</f>
        <v/>
      </c>
      <c r="F3181" t="str">
        <f>IFERROR(INDEX(tbl_input[집계키_센터],ROW()-1),"")</f>
        <v/>
      </c>
      <c r="G3181" t="str">
        <f t="shared" si="347"/>
        <v/>
      </c>
      <c r="H3181" t="str">
        <f t="shared" si="348"/>
        <v/>
      </c>
      <c r="I3181" t="str">
        <f t="shared" si="349"/>
        <v/>
      </c>
    </row>
    <row r="3182" spans="1:9" x14ac:dyDescent="0.4">
      <c r="A3182" t="str">
        <f t="shared" si="343"/>
        <v/>
      </c>
      <c r="B3182" t="str">
        <f t="shared" si="344"/>
        <v/>
      </c>
      <c r="C3182" t="str">
        <f t="shared" si="345"/>
        <v/>
      </c>
      <c r="D3182" t="str">
        <f t="shared" si="346"/>
        <v/>
      </c>
      <c r="E3182" t="str">
        <f>IF(F3182="","",IF(COUNTIF($F$2:F3182,F3182)&gt;1,"",SUMIFS(tbl_input[필요수량],tbl_input[집계키_센터],F3182)))</f>
        <v/>
      </c>
      <c r="F3182" t="str">
        <f>IFERROR(INDEX(tbl_input[집계키_센터],ROW()-1),"")</f>
        <v/>
      </c>
      <c r="G3182" t="str">
        <f t="shared" si="347"/>
        <v/>
      </c>
      <c r="H3182" t="str">
        <f t="shared" si="348"/>
        <v/>
      </c>
      <c r="I3182" t="str">
        <f t="shared" si="349"/>
        <v/>
      </c>
    </row>
    <row r="3183" spans="1:9" x14ac:dyDescent="0.4">
      <c r="A3183" t="str">
        <f t="shared" si="343"/>
        <v/>
      </c>
      <c r="B3183" t="str">
        <f t="shared" si="344"/>
        <v/>
      </c>
      <c r="C3183" t="str">
        <f t="shared" si="345"/>
        <v/>
      </c>
      <c r="D3183" t="str">
        <f t="shared" si="346"/>
        <v/>
      </c>
      <c r="E3183" t="str">
        <f>IF(F3183="","",IF(COUNTIF($F$2:F3183,F3183)&gt;1,"",SUMIFS(tbl_input[필요수량],tbl_input[집계키_센터],F3183)))</f>
        <v/>
      </c>
      <c r="F3183" t="str">
        <f>IFERROR(INDEX(tbl_input[집계키_센터],ROW()-1),"")</f>
        <v/>
      </c>
      <c r="G3183" t="str">
        <f t="shared" si="347"/>
        <v/>
      </c>
      <c r="H3183" t="str">
        <f t="shared" si="348"/>
        <v/>
      </c>
      <c r="I3183" t="str">
        <f t="shared" si="349"/>
        <v/>
      </c>
    </row>
    <row r="3184" spans="1:9" x14ac:dyDescent="0.4">
      <c r="A3184" t="str">
        <f t="shared" si="343"/>
        <v/>
      </c>
      <c r="B3184" t="str">
        <f t="shared" si="344"/>
        <v/>
      </c>
      <c r="C3184" t="str">
        <f t="shared" si="345"/>
        <v/>
      </c>
      <c r="D3184" t="str">
        <f t="shared" si="346"/>
        <v/>
      </c>
      <c r="E3184" t="str">
        <f>IF(F3184="","",IF(COUNTIF($F$2:F3184,F3184)&gt;1,"",SUMIFS(tbl_input[필요수량],tbl_input[집계키_센터],F3184)))</f>
        <v/>
      </c>
      <c r="F3184" t="str">
        <f>IFERROR(INDEX(tbl_input[집계키_센터],ROW()-1),"")</f>
        <v/>
      </c>
      <c r="G3184" t="str">
        <f t="shared" si="347"/>
        <v/>
      </c>
      <c r="H3184" t="str">
        <f t="shared" si="348"/>
        <v/>
      </c>
      <c r="I3184" t="str">
        <f t="shared" si="349"/>
        <v/>
      </c>
    </row>
    <row r="3185" spans="1:9" x14ac:dyDescent="0.4">
      <c r="A3185" t="str">
        <f t="shared" si="343"/>
        <v/>
      </c>
      <c r="B3185" t="str">
        <f t="shared" si="344"/>
        <v/>
      </c>
      <c r="C3185" t="str">
        <f t="shared" si="345"/>
        <v/>
      </c>
      <c r="D3185" t="str">
        <f t="shared" si="346"/>
        <v/>
      </c>
      <c r="E3185" t="str">
        <f>IF(F3185="","",IF(COUNTIF($F$2:F3185,F3185)&gt;1,"",SUMIFS(tbl_input[필요수량],tbl_input[집계키_센터],F3185)))</f>
        <v/>
      </c>
      <c r="F3185" t="str">
        <f>IFERROR(INDEX(tbl_input[집계키_센터],ROW()-1),"")</f>
        <v/>
      </c>
      <c r="G3185" t="str">
        <f t="shared" si="347"/>
        <v/>
      </c>
      <c r="H3185" t="str">
        <f t="shared" si="348"/>
        <v/>
      </c>
      <c r="I3185" t="str">
        <f t="shared" si="349"/>
        <v/>
      </c>
    </row>
    <row r="3186" spans="1:9" x14ac:dyDescent="0.4">
      <c r="A3186" t="str">
        <f t="shared" si="343"/>
        <v/>
      </c>
      <c r="B3186" t="str">
        <f t="shared" si="344"/>
        <v/>
      </c>
      <c r="C3186" t="str">
        <f t="shared" si="345"/>
        <v/>
      </c>
      <c r="D3186" t="str">
        <f t="shared" si="346"/>
        <v/>
      </c>
      <c r="E3186" t="str">
        <f>IF(F3186="","",IF(COUNTIF($F$2:F3186,F3186)&gt;1,"",SUMIFS(tbl_input[필요수량],tbl_input[집계키_센터],F3186)))</f>
        <v/>
      </c>
      <c r="F3186" t="str">
        <f>IFERROR(INDEX(tbl_input[집계키_센터],ROW()-1),"")</f>
        <v/>
      </c>
      <c r="G3186" t="str">
        <f t="shared" si="347"/>
        <v/>
      </c>
      <c r="H3186" t="str">
        <f t="shared" si="348"/>
        <v/>
      </c>
      <c r="I3186" t="str">
        <f t="shared" si="349"/>
        <v/>
      </c>
    </row>
    <row r="3187" spans="1:9" x14ac:dyDescent="0.4">
      <c r="A3187" t="str">
        <f t="shared" si="343"/>
        <v/>
      </c>
      <c r="B3187" t="str">
        <f t="shared" si="344"/>
        <v/>
      </c>
      <c r="C3187" t="str">
        <f t="shared" si="345"/>
        <v/>
      </c>
      <c r="D3187" t="str">
        <f t="shared" si="346"/>
        <v/>
      </c>
      <c r="E3187" t="str">
        <f>IF(F3187="","",IF(COUNTIF($F$2:F3187,F3187)&gt;1,"",SUMIFS(tbl_input[필요수량],tbl_input[집계키_센터],F3187)))</f>
        <v/>
      </c>
      <c r="F3187" t="str">
        <f>IFERROR(INDEX(tbl_input[집계키_센터],ROW()-1),"")</f>
        <v/>
      </c>
      <c r="G3187" t="str">
        <f t="shared" si="347"/>
        <v/>
      </c>
      <c r="H3187" t="str">
        <f t="shared" si="348"/>
        <v/>
      </c>
      <c r="I3187" t="str">
        <f t="shared" si="349"/>
        <v/>
      </c>
    </row>
    <row r="3188" spans="1:9" x14ac:dyDescent="0.4">
      <c r="A3188" t="str">
        <f t="shared" si="343"/>
        <v/>
      </c>
      <c r="B3188" t="str">
        <f t="shared" si="344"/>
        <v/>
      </c>
      <c r="C3188" t="str">
        <f t="shared" si="345"/>
        <v/>
      </c>
      <c r="D3188" t="str">
        <f t="shared" si="346"/>
        <v/>
      </c>
      <c r="E3188" t="str">
        <f>IF(F3188="","",IF(COUNTIF($F$2:F3188,F3188)&gt;1,"",SUMIFS(tbl_input[필요수량],tbl_input[집계키_센터],F3188)))</f>
        <v/>
      </c>
      <c r="F3188" t="str">
        <f>IFERROR(INDEX(tbl_input[집계키_센터],ROW()-1),"")</f>
        <v/>
      </c>
      <c r="G3188" t="str">
        <f t="shared" si="347"/>
        <v/>
      </c>
      <c r="H3188" t="str">
        <f t="shared" si="348"/>
        <v/>
      </c>
      <c r="I3188" t="str">
        <f t="shared" si="349"/>
        <v/>
      </c>
    </row>
    <row r="3189" spans="1:9" x14ac:dyDescent="0.4">
      <c r="A3189" t="str">
        <f t="shared" si="343"/>
        <v/>
      </c>
      <c r="B3189" t="str">
        <f t="shared" si="344"/>
        <v/>
      </c>
      <c r="C3189" t="str">
        <f t="shared" si="345"/>
        <v/>
      </c>
      <c r="D3189" t="str">
        <f t="shared" si="346"/>
        <v/>
      </c>
      <c r="E3189" t="str">
        <f>IF(F3189="","",IF(COUNTIF($F$2:F3189,F3189)&gt;1,"",SUMIFS(tbl_input[필요수량],tbl_input[집계키_센터],F3189)))</f>
        <v/>
      </c>
      <c r="F3189" t="str">
        <f>IFERROR(INDEX(tbl_input[집계키_센터],ROW()-1),"")</f>
        <v/>
      </c>
      <c r="G3189" t="str">
        <f t="shared" si="347"/>
        <v/>
      </c>
      <c r="H3189" t="str">
        <f t="shared" si="348"/>
        <v/>
      </c>
      <c r="I3189" t="str">
        <f t="shared" si="349"/>
        <v/>
      </c>
    </row>
    <row r="3190" spans="1:9" x14ac:dyDescent="0.4">
      <c r="A3190" t="str">
        <f t="shared" si="343"/>
        <v/>
      </c>
      <c r="B3190" t="str">
        <f t="shared" si="344"/>
        <v/>
      </c>
      <c r="C3190" t="str">
        <f t="shared" si="345"/>
        <v/>
      </c>
      <c r="D3190" t="str">
        <f t="shared" si="346"/>
        <v/>
      </c>
      <c r="E3190" t="str">
        <f>IF(F3190="","",IF(COUNTIF($F$2:F3190,F3190)&gt;1,"",SUMIFS(tbl_input[필요수량],tbl_input[집계키_센터],F3190)))</f>
        <v/>
      </c>
      <c r="F3190" t="str">
        <f>IFERROR(INDEX(tbl_input[집계키_센터],ROW()-1),"")</f>
        <v/>
      </c>
      <c r="G3190" t="str">
        <f t="shared" si="347"/>
        <v/>
      </c>
      <c r="H3190" t="str">
        <f t="shared" si="348"/>
        <v/>
      </c>
      <c r="I3190" t="str">
        <f t="shared" si="349"/>
        <v/>
      </c>
    </row>
    <row r="3191" spans="1:9" x14ac:dyDescent="0.4">
      <c r="A3191" t="str">
        <f t="shared" si="343"/>
        <v/>
      </c>
      <c r="B3191" t="str">
        <f t="shared" si="344"/>
        <v/>
      </c>
      <c r="C3191" t="str">
        <f t="shared" si="345"/>
        <v/>
      </c>
      <c r="D3191" t="str">
        <f t="shared" si="346"/>
        <v/>
      </c>
      <c r="E3191" t="str">
        <f>IF(F3191="","",IF(COUNTIF($F$2:F3191,F3191)&gt;1,"",SUMIFS(tbl_input[필요수량],tbl_input[집계키_센터],F3191)))</f>
        <v/>
      </c>
      <c r="F3191" t="str">
        <f>IFERROR(INDEX(tbl_input[집계키_센터],ROW()-1),"")</f>
        <v/>
      </c>
      <c r="G3191" t="str">
        <f t="shared" si="347"/>
        <v/>
      </c>
      <c r="H3191" t="str">
        <f t="shared" si="348"/>
        <v/>
      </c>
      <c r="I3191" t="str">
        <f t="shared" si="349"/>
        <v/>
      </c>
    </row>
    <row r="3192" spans="1:9" x14ac:dyDescent="0.4">
      <c r="A3192" t="str">
        <f t="shared" si="343"/>
        <v/>
      </c>
      <c r="B3192" t="str">
        <f t="shared" si="344"/>
        <v/>
      </c>
      <c r="C3192" t="str">
        <f t="shared" si="345"/>
        <v/>
      </c>
      <c r="D3192" t="str">
        <f t="shared" si="346"/>
        <v/>
      </c>
      <c r="E3192" t="str">
        <f>IF(F3192="","",IF(COUNTIF($F$2:F3192,F3192)&gt;1,"",SUMIFS(tbl_input[필요수량],tbl_input[집계키_센터],F3192)))</f>
        <v/>
      </c>
      <c r="F3192" t="str">
        <f>IFERROR(INDEX(tbl_input[집계키_센터],ROW()-1),"")</f>
        <v/>
      </c>
      <c r="G3192" t="str">
        <f t="shared" si="347"/>
        <v/>
      </c>
      <c r="H3192" t="str">
        <f t="shared" si="348"/>
        <v/>
      </c>
      <c r="I3192" t="str">
        <f t="shared" si="349"/>
        <v/>
      </c>
    </row>
    <row r="3193" spans="1:9" x14ac:dyDescent="0.4">
      <c r="A3193" t="str">
        <f t="shared" si="343"/>
        <v/>
      </c>
      <c r="B3193" t="str">
        <f t="shared" si="344"/>
        <v/>
      </c>
      <c r="C3193" t="str">
        <f t="shared" si="345"/>
        <v/>
      </c>
      <c r="D3193" t="str">
        <f t="shared" si="346"/>
        <v/>
      </c>
      <c r="E3193" t="str">
        <f>IF(F3193="","",IF(COUNTIF($F$2:F3193,F3193)&gt;1,"",SUMIFS(tbl_input[필요수량],tbl_input[집계키_센터],F3193)))</f>
        <v/>
      </c>
      <c r="F3193" t="str">
        <f>IFERROR(INDEX(tbl_input[집계키_센터],ROW()-1),"")</f>
        <v/>
      </c>
      <c r="G3193" t="str">
        <f t="shared" si="347"/>
        <v/>
      </c>
      <c r="H3193" t="str">
        <f t="shared" si="348"/>
        <v/>
      </c>
      <c r="I3193" t="str">
        <f t="shared" si="349"/>
        <v/>
      </c>
    </row>
    <row r="3194" spans="1:9" x14ac:dyDescent="0.4">
      <c r="A3194" t="str">
        <f t="shared" si="343"/>
        <v/>
      </c>
      <c r="B3194" t="str">
        <f t="shared" si="344"/>
        <v/>
      </c>
      <c r="C3194" t="str">
        <f t="shared" si="345"/>
        <v/>
      </c>
      <c r="D3194" t="str">
        <f t="shared" si="346"/>
        <v/>
      </c>
      <c r="E3194" t="str">
        <f>IF(F3194="","",IF(COUNTIF($F$2:F3194,F3194)&gt;1,"",SUMIFS(tbl_input[필요수량],tbl_input[집계키_센터],F3194)))</f>
        <v/>
      </c>
      <c r="F3194" t="str">
        <f>IFERROR(INDEX(tbl_input[집계키_센터],ROW()-1),"")</f>
        <v/>
      </c>
      <c r="G3194" t="str">
        <f t="shared" si="347"/>
        <v/>
      </c>
      <c r="H3194" t="str">
        <f t="shared" si="348"/>
        <v/>
      </c>
      <c r="I3194" t="str">
        <f t="shared" si="349"/>
        <v/>
      </c>
    </row>
    <row r="3195" spans="1:9" x14ac:dyDescent="0.4">
      <c r="A3195" t="str">
        <f t="shared" si="343"/>
        <v/>
      </c>
      <c r="B3195" t="str">
        <f t="shared" si="344"/>
        <v/>
      </c>
      <c r="C3195" t="str">
        <f t="shared" si="345"/>
        <v/>
      </c>
      <c r="D3195" t="str">
        <f t="shared" si="346"/>
        <v/>
      </c>
      <c r="E3195" t="str">
        <f>IF(F3195="","",IF(COUNTIF($F$2:F3195,F3195)&gt;1,"",SUMIFS(tbl_input[필요수량],tbl_input[집계키_센터],F3195)))</f>
        <v/>
      </c>
      <c r="F3195" t="str">
        <f>IFERROR(INDEX(tbl_input[집계키_센터],ROW()-1),"")</f>
        <v/>
      </c>
      <c r="G3195" t="str">
        <f t="shared" si="347"/>
        <v/>
      </c>
      <c r="H3195" t="str">
        <f t="shared" si="348"/>
        <v/>
      </c>
      <c r="I3195" t="str">
        <f t="shared" si="349"/>
        <v/>
      </c>
    </row>
    <row r="3196" spans="1:9" x14ac:dyDescent="0.4">
      <c r="A3196" t="str">
        <f t="shared" si="343"/>
        <v/>
      </c>
      <c r="B3196" t="str">
        <f t="shared" si="344"/>
        <v/>
      </c>
      <c r="C3196" t="str">
        <f t="shared" si="345"/>
        <v/>
      </c>
      <c r="D3196" t="str">
        <f t="shared" si="346"/>
        <v/>
      </c>
      <c r="E3196" t="str">
        <f>IF(F3196="","",IF(COUNTIF($F$2:F3196,F3196)&gt;1,"",SUMIFS(tbl_input[필요수량],tbl_input[집계키_센터],F3196)))</f>
        <v/>
      </c>
      <c r="F3196" t="str">
        <f>IFERROR(INDEX(tbl_input[집계키_센터],ROW()-1),"")</f>
        <v/>
      </c>
      <c r="G3196" t="str">
        <f t="shared" si="347"/>
        <v/>
      </c>
      <c r="H3196" t="str">
        <f t="shared" si="348"/>
        <v/>
      </c>
      <c r="I3196" t="str">
        <f t="shared" si="349"/>
        <v/>
      </c>
    </row>
    <row r="3197" spans="1:9" x14ac:dyDescent="0.4">
      <c r="A3197" t="str">
        <f t="shared" si="343"/>
        <v/>
      </c>
      <c r="B3197" t="str">
        <f t="shared" si="344"/>
        <v/>
      </c>
      <c r="C3197" t="str">
        <f t="shared" si="345"/>
        <v/>
      </c>
      <c r="D3197" t="str">
        <f t="shared" si="346"/>
        <v/>
      </c>
      <c r="E3197" t="str">
        <f>IF(F3197="","",IF(COUNTIF($F$2:F3197,F3197)&gt;1,"",SUMIFS(tbl_input[필요수량],tbl_input[집계키_센터],F3197)))</f>
        <v/>
      </c>
      <c r="F3197" t="str">
        <f>IFERROR(INDEX(tbl_input[집계키_센터],ROW()-1),"")</f>
        <v/>
      </c>
      <c r="G3197" t="str">
        <f t="shared" si="347"/>
        <v/>
      </c>
      <c r="H3197" t="str">
        <f t="shared" si="348"/>
        <v/>
      </c>
      <c r="I3197" t="str">
        <f t="shared" si="349"/>
        <v/>
      </c>
    </row>
    <row r="3198" spans="1:9" x14ac:dyDescent="0.4">
      <c r="A3198" t="str">
        <f t="shared" si="343"/>
        <v/>
      </c>
      <c r="B3198" t="str">
        <f t="shared" si="344"/>
        <v/>
      </c>
      <c r="C3198" t="str">
        <f t="shared" si="345"/>
        <v/>
      </c>
      <c r="D3198" t="str">
        <f t="shared" si="346"/>
        <v/>
      </c>
      <c r="E3198" t="str">
        <f>IF(F3198="","",IF(COUNTIF($F$2:F3198,F3198)&gt;1,"",SUMIFS(tbl_input[필요수량],tbl_input[집계키_센터],F3198)))</f>
        <v/>
      </c>
      <c r="F3198" t="str">
        <f>IFERROR(INDEX(tbl_input[집계키_센터],ROW()-1),"")</f>
        <v/>
      </c>
      <c r="G3198" t="str">
        <f t="shared" si="347"/>
        <v/>
      </c>
      <c r="H3198" t="str">
        <f t="shared" si="348"/>
        <v/>
      </c>
      <c r="I3198" t="str">
        <f t="shared" si="349"/>
        <v/>
      </c>
    </row>
    <row r="3199" spans="1:9" x14ac:dyDescent="0.4">
      <c r="A3199" t="str">
        <f t="shared" si="343"/>
        <v/>
      </c>
      <c r="B3199" t="str">
        <f t="shared" si="344"/>
        <v/>
      </c>
      <c r="C3199" t="str">
        <f t="shared" si="345"/>
        <v/>
      </c>
      <c r="D3199" t="str">
        <f t="shared" si="346"/>
        <v/>
      </c>
      <c r="E3199" t="str">
        <f>IF(F3199="","",IF(COUNTIF($F$2:F3199,F3199)&gt;1,"",SUMIFS(tbl_input[필요수량],tbl_input[집계키_센터],F3199)))</f>
        <v/>
      </c>
      <c r="F3199" t="str">
        <f>IFERROR(INDEX(tbl_input[집계키_센터],ROW()-1),"")</f>
        <v/>
      </c>
      <c r="G3199" t="str">
        <f t="shared" si="347"/>
        <v/>
      </c>
      <c r="H3199" t="str">
        <f t="shared" si="348"/>
        <v/>
      </c>
      <c r="I3199" t="str">
        <f t="shared" si="349"/>
        <v/>
      </c>
    </row>
    <row r="3200" spans="1:9" x14ac:dyDescent="0.4">
      <c r="A3200" t="str">
        <f t="shared" si="343"/>
        <v/>
      </c>
      <c r="B3200" t="str">
        <f t="shared" si="344"/>
        <v/>
      </c>
      <c r="C3200" t="str">
        <f t="shared" si="345"/>
        <v/>
      </c>
      <c r="D3200" t="str">
        <f t="shared" si="346"/>
        <v/>
      </c>
      <c r="E3200" t="str">
        <f>IF(F3200="","",IF(COUNTIF($F$2:F3200,F3200)&gt;1,"",SUMIFS(tbl_input[필요수량],tbl_input[집계키_센터],F3200)))</f>
        <v/>
      </c>
      <c r="F3200" t="str">
        <f>IFERROR(INDEX(tbl_input[집계키_센터],ROW()-1),"")</f>
        <v/>
      </c>
      <c r="G3200" t="str">
        <f t="shared" si="347"/>
        <v/>
      </c>
      <c r="H3200" t="str">
        <f t="shared" si="348"/>
        <v/>
      </c>
      <c r="I3200" t="str">
        <f t="shared" si="349"/>
        <v/>
      </c>
    </row>
    <row r="3201" spans="1:9" x14ac:dyDescent="0.4">
      <c r="A3201" t="str">
        <f t="shared" si="343"/>
        <v/>
      </c>
      <c r="B3201" t="str">
        <f t="shared" si="344"/>
        <v/>
      </c>
      <c r="C3201" t="str">
        <f t="shared" si="345"/>
        <v/>
      </c>
      <c r="D3201" t="str">
        <f t="shared" si="346"/>
        <v/>
      </c>
      <c r="E3201" t="str">
        <f>IF(F3201="","",IF(COUNTIF($F$2:F3201,F3201)&gt;1,"",SUMIFS(tbl_input[필요수량],tbl_input[집계키_센터],F3201)))</f>
        <v/>
      </c>
      <c r="F3201" t="str">
        <f>IFERROR(INDEX(tbl_input[집계키_센터],ROW()-1),"")</f>
        <v/>
      </c>
      <c r="G3201" t="str">
        <f t="shared" si="347"/>
        <v/>
      </c>
      <c r="H3201" t="str">
        <f t="shared" si="348"/>
        <v/>
      </c>
      <c r="I3201" t="str">
        <f t="shared" si="349"/>
        <v/>
      </c>
    </row>
    <row r="3202" spans="1:9" x14ac:dyDescent="0.4">
      <c r="A3202" t="str">
        <f t="shared" ref="A3202:A3265" si="350">IF(F3202="","",LEFT(F3202,G3202-1))</f>
        <v/>
      </c>
      <c r="B3202" t="str">
        <f t="shared" ref="B3202:B3265" si="351">IF(F3202="","",MID(F3202,G3202+1,H3202-G3202-1))</f>
        <v/>
      </c>
      <c r="C3202" t="str">
        <f t="shared" ref="C3202:C3265" si="352">IF(F3202="","",MID(F3202,H3202+1,I3202-H3202-1))</f>
        <v/>
      </c>
      <c r="D3202" t="str">
        <f t="shared" ref="D3202:D3265" si="353">IF(F3202="","",MID(F3202,I3202+1,999))</f>
        <v/>
      </c>
      <c r="E3202" t="str">
        <f>IF(F3202="","",IF(COUNTIF($F$2:F3202,F3202)&gt;1,"",SUMIFS(tbl_input[필요수량],tbl_input[집계키_센터],F3202)))</f>
        <v/>
      </c>
      <c r="F3202" t="str">
        <f>IFERROR(INDEX(tbl_input[집계키_센터],ROW()-1),"")</f>
        <v/>
      </c>
      <c r="G3202" t="str">
        <f t="shared" ref="G3202:G3265" si="354">IF(F3202="","",FIND("♦",F3202))</f>
        <v/>
      </c>
      <c r="H3202" t="str">
        <f t="shared" ref="H3202:H3265" si="355">IF(F3202="","",FIND("♦",F3202,G3202+1))</f>
        <v/>
      </c>
      <c r="I3202" t="str">
        <f t="shared" ref="I3202:I3265" si="356">IF(F3202="","",FIND("♦",F3202,H3202+1))</f>
        <v/>
      </c>
    </row>
    <row r="3203" spans="1:9" x14ac:dyDescent="0.4">
      <c r="A3203" t="str">
        <f t="shared" si="350"/>
        <v/>
      </c>
      <c r="B3203" t="str">
        <f t="shared" si="351"/>
        <v/>
      </c>
      <c r="C3203" t="str">
        <f t="shared" si="352"/>
        <v/>
      </c>
      <c r="D3203" t="str">
        <f t="shared" si="353"/>
        <v/>
      </c>
      <c r="E3203" t="str">
        <f>IF(F3203="","",IF(COUNTIF($F$2:F3203,F3203)&gt;1,"",SUMIFS(tbl_input[필요수량],tbl_input[집계키_센터],F3203)))</f>
        <v/>
      </c>
      <c r="F3203" t="str">
        <f>IFERROR(INDEX(tbl_input[집계키_센터],ROW()-1),"")</f>
        <v/>
      </c>
      <c r="G3203" t="str">
        <f t="shared" si="354"/>
        <v/>
      </c>
      <c r="H3203" t="str">
        <f t="shared" si="355"/>
        <v/>
      </c>
      <c r="I3203" t="str">
        <f t="shared" si="356"/>
        <v/>
      </c>
    </row>
    <row r="3204" spans="1:9" x14ac:dyDescent="0.4">
      <c r="A3204" t="str">
        <f t="shared" si="350"/>
        <v/>
      </c>
      <c r="B3204" t="str">
        <f t="shared" si="351"/>
        <v/>
      </c>
      <c r="C3204" t="str">
        <f t="shared" si="352"/>
        <v/>
      </c>
      <c r="D3204" t="str">
        <f t="shared" si="353"/>
        <v/>
      </c>
      <c r="E3204" t="str">
        <f>IF(F3204="","",IF(COUNTIF($F$2:F3204,F3204)&gt;1,"",SUMIFS(tbl_input[필요수량],tbl_input[집계키_센터],F3204)))</f>
        <v/>
      </c>
      <c r="F3204" t="str">
        <f>IFERROR(INDEX(tbl_input[집계키_센터],ROW()-1),"")</f>
        <v/>
      </c>
      <c r="G3204" t="str">
        <f t="shared" si="354"/>
        <v/>
      </c>
      <c r="H3204" t="str">
        <f t="shared" si="355"/>
        <v/>
      </c>
      <c r="I3204" t="str">
        <f t="shared" si="356"/>
        <v/>
      </c>
    </row>
    <row r="3205" spans="1:9" x14ac:dyDescent="0.4">
      <c r="A3205" t="str">
        <f t="shared" si="350"/>
        <v/>
      </c>
      <c r="B3205" t="str">
        <f t="shared" si="351"/>
        <v/>
      </c>
      <c r="C3205" t="str">
        <f t="shared" si="352"/>
        <v/>
      </c>
      <c r="D3205" t="str">
        <f t="shared" si="353"/>
        <v/>
      </c>
      <c r="E3205" t="str">
        <f>IF(F3205="","",IF(COUNTIF($F$2:F3205,F3205)&gt;1,"",SUMIFS(tbl_input[필요수량],tbl_input[집계키_센터],F3205)))</f>
        <v/>
      </c>
      <c r="F3205" t="str">
        <f>IFERROR(INDEX(tbl_input[집계키_센터],ROW()-1),"")</f>
        <v/>
      </c>
      <c r="G3205" t="str">
        <f t="shared" si="354"/>
        <v/>
      </c>
      <c r="H3205" t="str">
        <f t="shared" si="355"/>
        <v/>
      </c>
      <c r="I3205" t="str">
        <f t="shared" si="356"/>
        <v/>
      </c>
    </row>
    <row r="3206" spans="1:9" x14ac:dyDescent="0.4">
      <c r="A3206" t="str">
        <f t="shared" si="350"/>
        <v/>
      </c>
      <c r="B3206" t="str">
        <f t="shared" si="351"/>
        <v/>
      </c>
      <c r="C3206" t="str">
        <f t="shared" si="352"/>
        <v/>
      </c>
      <c r="D3206" t="str">
        <f t="shared" si="353"/>
        <v/>
      </c>
      <c r="E3206" t="str">
        <f>IF(F3206="","",IF(COUNTIF($F$2:F3206,F3206)&gt;1,"",SUMIFS(tbl_input[필요수량],tbl_input[집계키_센터],F3206)))</f>
        <v/>
      </c>
      <c r="F3206" t="str">
        <f>IFERROR(INDEX(tbl_input[집계키_센터],ROW()-1),"")</f>
        <v/>
      </c>
      <c r="G3206" t="str">
        <f t="shared" si="354"/>
        <v/>
      </c>
      <c r="H3206" t="str">
        <f t="shared" si="355"/>
        <v/>
      </c>
      <c r="I3206" t="str">
        <f t="shared" si="356"/>
        <v/>
      </c>
    </row>
    <row r="3207" spans="1:9" x14ac:dyDescent="0.4">
      <c r="A3207" t="str">
        <f t="shared" si="350"/>
        <v/>
      </c>
      <c r="B3207" t="str">
        <f t="shared" si="351"/>
        <v/>
      </c>
      <c r="C3207" t="str">
        <f t="shared" si="352"/>
        <v/>
      </c>
      <c r="D3207" t="str">
        <f t="shared" si="353"/>
        <v/>
      </c>
      <c r="E3207" t="str">
        <f>IF(F3207="","",IF(COUNTIF($F$2:F3207,F3207)&gt;1,"",SUMIFS(tbl_input[필요수량],tbl_input[집계키_센터],F3207)))</f>
        <v/>
      </c>
      <c r="F3207" t="str">
        <f>IFERROR(INDEX(tbl_input[집계키_센터],ROW()-1),"")</f>
        <v/>
      </c>
      <c r="G3207" t="str">
        <f t="shared" si="354"/>
        <v/>
      </c>
      <c r="H3207" t="str">
        <f t="shared" si="355"/>
        <v/>
      </c>
      <c r="I3207" t="str">
        <f t="shared" si="356"/>
        <v/>
      </c>
    </row>
    <row r="3208" spans="1:9" x14ac:dyDescent="0.4">
      <c r="A3208" t="str">
        <f t="shared" si="350"/>
        <v/>
      </c>
      <c r="B3208" t="str">
        <f t="shared" si="351"/>
        <v/>
      </c>
      <c r="C3208" t="str">
        <f t="shared" si="352"/>
        <v/>
      </c>
      <c r="D3208" t="str">
        <f t="shared" si="353"/>
        <v/>
      </c>
      <c r="E3208" t="str">
        <f>IF(F3208="","",IF(COUNTIF($F$2:F3208,F3208)&gt;1,"",SUMIFS(tbl_input[필요수량],tbl_input[집계키_센터],F3208)))</f>
        <v/>
      </c>
      <c r="F3208" t="str">
        <f>IFERROR(INDEX(tbl_input[집계키_센터],ROW()-1),"")</f>
        <v/>
      </c>
      <c r="G3208" t="str">
        <f t="shared" si="354"/>
        <v/>
      </c>
      <c r="H3208" t="str">
        <f t="shared" si="355"/>
        <v/>
      </c>
      <c r="I3208" t="str">
        <f t="shared" si="356"/>
        <v/>
      </c>
    </row>
    <row r="3209" spans="1:9" x14ac:dyDescent="0.4">
      <c r="A3209" t="str">
        <f t="shared" si="350"/>
        <v/>
      </c>
      <c r="B3209" t="str">
        <f t="shared" si="351"/>
        <v/>
      </c>
      <c r="C3209" t="str">
        <f t="shared" si="352"/>
        <v/>
      </c>
      <c r="D3209" t="str">
        <f t="shared" si="353"/>
        <v/>
      </c>
      <c r="E3209" t="str">
        <f>IF(F3209="","",IF(COUNTIF($F$2:F3209,F3209)&gt;1,"",SUMIFS(tbl_input[필요수량],tbl_input[집계키_센터],F3209)))</f>
        <v/>
      </c>
      <c r="F3209" t="str">
        <f>IFERROR(INDEX(tbl_input[집계키_센터],ROW()-1),"")</f>
        <v/>
      </c>
      <c r="G3209" t="str">
        <f t="shared" si="354"/>
        <v/>
      </c>
      <c r="H3209" t="str">
        <f t="shared" si="355"/>
        <v/>
      </c>
      <c r="I3209" t="str">
        <f t="shared" si="356"/>
        <v/>
      </c>
    </row>
    <row r="3210" spans="1:9" x14ac:dyDescent="0.4">
      <c r="A3210" t="str">
        <f t="shared" si="350"/>
        <v/>
      </c>
      <c r="B3210" t="str">
        <f t="shared" si="351"/>
        <v/>
      </c>
      <c r="C3210" t="str">
        <f t="shared" si="352"/>
        <v/>
      </c>
      <c r="D3210" t="str">
        <f t="shared" si="353"/>
        <v/>
      </c>
      <c r="E3210" t="str">
        <f>IF(F3210="","",IF(COUNTIF($F$2:F3210,F3210)&gt;1,"",SUMIFS(tbl_input[필요수량],tbl_input[집계키_센터],F3210)))</f>
        <v/>
      </c>
      <c r="F3210" t="str">
        <f>IFERROR(INDEX(tbl_input[집계키_센터],ROW()-1),"")</f>
        <v/>
      </c>
      <c r="G3210" t="str">
        <f t="shared" si="354"/>
        <v/>
      </c>
      <c r="H3210" t="str">
        <f t="shared" si="355"/>
        <v/>
      </c>
      <c r="I3210" t="str">
        <f t="shared" si="356"/>
        <v/>
      </c>
    </row>
    <row r="3211" spans="1:9" x14ac:dyDescent="0.4">
      <c r="A3211" t="str">
        <f t="shared" si="350"/>
        <v/>
      </c>
      <c r="B3211" t="str">
        <f t="shared" si="351"/>
        <v/>
      </c>
      <c r="C3211" t="str">
        <f t="shared" si="352"/>
        <v/>
      </c>
      <c r="D3211" t="str">
        <f t="shared" si="353"/>
        <v/>
      </c>
      <c r="E3211" t="str">
        <f>IF(F3211="","",IF(COUNTIF($F$2:F3211,F3211)&gt;1,"",SUMIFS(tbl_input[필요수량],tbl_input[집계키_센터],F3211)))</f>
        <v/>
      </c>
      <c r="F3211" t="str">
        <f>IFERROR(INDEX(tbl_input[집계키_센터],ROW()-1),"")</f>
        <v/>
      </c>
      <c r="G3211" t="str">
        <f t="shared" si="354"/>
        <v/>
      </c>
      <c r="H3211" t="str">
        <f t="shared" si="355"/>
        <v/>
      </c>
      <c r="I3211" t="str">
        <f t="shared" si="356"/>
        <v/>
      </c>
    </row>
    <row r="3212" spans="1:9" x14ac:dyDescent="0.4">
      <c r="A3212" t="str">
        <f t="shared" si="350"/>
        <v/>
      </c>
      <c r="B3212" t="str">
        <f t="shared" si="351"/>
        <v/>
      </c>
      <c r="C3212" t="str">
        <f t="shared" si="352"/>
        <v/>
      </c>
      <c r="D3212" t="str">
        <f t="shared" si="353"/>
        <v/>
      </c>
      <c r="E3212" t="str">
        <f>IF(F3212="","",IF(COUNTIF($F$2:F3212,F3212)&gt;1,"",SUMIFS(tbl_input[필요수량],tbl_input[집계키_센터],F3212)))</f>
        <v/>
      </c>
      <c r="F3212" t="str">
        <f>IFERROR(INDEX(tbl_input[집계키_센터],ROW()-1),"")</f>
        <v/>
      </c>
      <c r="G3212" t="str">
        <f t="shared" si="354"/>
        <v/>
      </c>
      <c r="H3212" t="str">
        <f t="shared" si="355"/>
        <v/>
      </c>
      <c r="I3212" t="str">
        <f t="shared" si="356"/>
        <v/>
      </c>
    </row>
    <row r="3213" spans="1:9" x14ac:dyDescent="0.4">
      <c r="A3213" t="str">
        <f t="shared" si="350"/>
        <v/>
      </c>
      <c r="B3213" t="str">
        <f t="shared" si="351"/>
        <v/>
      </c>
      <c r="C3213" t="str">
        <f t="shared" si="352"/>
        <v/>
      </c>
      <c r="D3213" t="str">
        <f t="shared" si="353"/>
        <v/>
      </c>
      <c r="E3213" t="str">
        <f>IF(F3213="","",IF(COUNTIF($F$2:F3213,F3213)&gt;1,"",SUMIFS(tbl_input[필요수량],tbl_input[집계키_센터],F3213)))</f>
        <v/>
      </c>
      <c r="F3213" t="str">
        <f>IFERROR(INDEX(tbl_input[집계키_센터],ROW()-1),"")</f>
        <v/>
      </c>
      <c r="G3213" t="str">
        <f t="shared" si="354"/>
        <v/>
      </c>
      <c r="H3213" t="str">
        <f t="shared" si="355"/>
        <v/>
      </c>
      <c r="I3213" t="str">
        <f t="shared" si="356"/>
        <v/>
      </c>
    </row>
    <row r="3214" spans="1:9" x14ac:dyDescent="0.4">
      <c r="A3214" t="str">
        <f t="shared" si="350"/>
        <v/>
      </c>
      <c r="B3214" t="str">
        <f t="shared" si="351"/>
        <v/>
      </c>
      <c r="C3214" t="str">
        <f t="shared" si="352"/>
        <v/>
      </c>
      <c r="D3214" t="str">
        <f t="shared" si="353"/>
        <v/>
      </c>
      <c r="E3214" t="str">
        <f>IF(F3214="","",IF(COUNTIF($F$2:F3214,F3214)&gt;1,"",SUMIFS(tbl_input[필요수량],tbl_input[집계키_센터],F3214)))</f>
        <v/>
      </c>
      <c r="F3214" t="str">
        <f>IFERROR(INDEX(tbl_input[집계키_센터],ROW()-1),"")</f>
        <v/>
      </c>
      <c r="G3214" t="str">
        <f t="shared" si="354"/>
        <v/>
      </c>
      <c r="H3214" t="str">
        <f t="shared" si="355"/>
        <v/>
      </c>
      <c r="I3214" t="str">
        <f t="shared" si="356"/>
        <v/>
      </c>
    </row>
    <row r="3215" spans="1:9" x14ac:dyDescent="0.4">
      <c r="A3215" t="str">
        <f t="shared" si="350"/>
        <v/>
      </c>
      <c r="B3215" t="str">
        <f t="shared" si="351"/>
        <v/>
      </c>
      <c r="C3215" t="str">
        <f t="shared" si="352"/>
        <v/>
      </c>
      <c r="D3215" t="str">
        <f t="shared" si="353"/>
        <v/>
      </c>
      <c r="E3215" t="str">
        <f>IF(F3215="","",IF(COUNTIF($F$2:F3215,F3215)&gt;1,"",SUMIFS(tbl_input[필요수량],tbl_input[집계키_센터],F3215)))</f>
        <v/>
      </c>
      <c r="F3215" t="str">
        <f>IFERROR(INDEX(tbl_input[집계키_센터],ROW()-1),"")</f>
        <v/>
      </c>
      <c r="G3215" t="str">
        <f t="shared" si="354"/>
        <v/>
      </c>
      <c r="H3215" t="str">
        <f t="shared" si="355"/>
        <v/>
      </c>
      <c r="I3215" t="str">
        <f t="shared" si="356"/>
        <v/>
      </c>
    </row>
    <row r="3216" spans="1:9" x14ac:dyDescent="0.4">
      <c r="A3216" t="str">
        <f t="shared" si="350"/>
        <v/>
      </c>
      <c r="B3216" t="str">
        <f t="shared" si="351"/>
        <v/>
      </c>
      <c r="C3216" t="str">
        <f t="shared" si="352"/>
        <v/>
      </c>
      <c r="D3216" t="str">
        <f t="shared" si="353"/>
        <v/>
      </c>
      <c r="E3216" t="str">
        <f>IF(F3216="","",IF(COUNTIF($F$2:F3216,F3216)&gt;1,"",SUMIFS(tbl_input[필요수량],tbl_input[집계키_센터],F3216)))</f>
        <v/>
      </c>
      <c r="F3216" t="str">
        <f>IFERROR(INDEX(tbl_input[집계키_센터],ROW()-1),"")</f>
        <v/>
      </c>
      <c r="G3216" t="str">
        <f t="shared" si="354"/>
        <v/>
      </c>
      <c r="H3216" t="str">
        <f t="shared" si="355"/>
        <v/>
      </c>
      <c r="I3216" t="str">
        <f t="shared" si="356"/>
        <v/>
      </c>
    </row>
    <row r="3217" spans="1:9" x14ac:dyDescent="0.4">
      <c r="A3217" t="str">
        <f t="shared" si="350"/>
        <v/>
      </c>
      <c r="B3217" t="str">
        <f t="shared" si="351"/>
        <v/>
      </c>
      <c r="C3217" t="str">
        <f t="shared" si="352"/>
        <v/>
      </c>
      <c r="D3217" t="str">
        <f t="shared" si="353"/>
        <v/>
      </c>
      <c r="E3217" t="str">
        <f>IF(F3217="","",IF(COUNTIF($F$2:F3217,F3217)&gt;1,"",SUMIFS(tbl_input[필요수량],tbl_input[집계키_센터],F3217)))</f>
        <v/>
      </c>
      <c r="F3217" t="str">
        <f>IFERROR(INDEX(tbl_input[집계키_센터],ROW()-1),"")</f>
        <v/>
      </c>
      <c r="G3217" t="str">
        <f t="shared" si="354"/>
        <v/>
      </c>
      <c r="H3217" t="str">
        <f t="shared" si="355"/>
        <v/>
      </c>
      <c r="I3217" t="str">
        <f t="shared" si="356"/>
        <v/>
      </c>
    </row>
    <row r="3218" spans="1:9" x14ac:dyDescent="0.4">
      <c r="A3218" t="str">
        <f t="shared" si="350"/>
        <v/>
      </c>
      <c r="B3218" t="str">
        <f t="shared" si="351"/>
        <v/>
      </c>
      <c r="C3218" t="str">
        <f t="shared" si="352"/>
        <v/>
      </c>
      <c r="D3218" t="str">
        <f t="shared" si="353"/>
        <v/>
      </c>
      <c r="E3218" t="str">
        <f>IF(F3218="","",IF(COUNTIF($F$2:F3218,F3218)&gt;1,"",SUMIFS(tbl_input[필요수량],tbl_input[집계키_센터],F3218)))</f>
        <v/>
      </c>
      <c r="F3218" t="str">
        <f>IFERROR(INDEX(tbl_input[집계키_센터],ROW()-1),"")</f>
        <v/>
      </c>
      <c r="G3218" t="str">
        <f t="shared" si="354"/>
        <v/>
      </c>
      <c r="H3218" t="str">
        <f t="shared" si="355"/>
        <v/>
      </c>
      <c r="I3218" t="str">
        <f t="shared" si="356"/>
        <v/>
      </c>
    </row>
    <row r="3219" spans="1:9" x14ac:dyDescent="0.4">
      <c r="A3219" t="str">
        <f t="shared" si="350"/>
        <v/>
      </c>
      <c r="B3219" t="str">
        <f t="shared" si="351"/>
        <v/>
      </c>
      <c r="C3219" t="str">
        <f t="shared" si="352"/>
        <v/>
      </c>
      <c r="D3219" t="str">
        <f t="shared" si="353"/>
        <v/>
      </c>
      <c r="E3219" t="str">
        <f>IF(F3219="","",IF(COUNTIF($F$2:F3219,F3219)&gt;1,"",SUMIFS(tbl_input[필요수량],tbl_input[집계키_센터],F3219)))</f>
        <v/>
      </c>
      <c r="F3219" t="str">
        <f>IFERROR(INDEX(tbl_input[집계키_센터],ROW()-1),"")</f>
        <v/>
      </c>
      <c r="G3219" t="str">
        <f t="shared" si="354"/>
        <v/>
      </c>
      <c r="H3219" t="str">
        <f t="shared" si="355"/>
        <v/>
      </c>
      <c r="I3219" t="str">
        <f t="shared" si="356"/>
        <v/>
      </c>
    </row>
    <row r="3220" spans="1:9" x14ac:dyDescent="0.4">
      <c r="A3220" t="str">
        <f t="shared" si="350"/>
        <v/>
      </c>
      <c r="B3220" t="str">
        <f t="shared" si="351"/>
        <v/>
      </c>
      <c r="C3220" t="str">
        <f t="shared" si="352"/>
        <v/>
      </c>
      <c r="D3220" t="str">
        <f t="shared" si="353"/>
        <v/>
      </c>
      <c r="E3220" t="str">
        <f>IF(F3220="","",IF(COUNTIF($F$2:F3220,F3220)&gt;1,"",SUMIFS(tbl_input[필요수량],tbl_input[집계키_센터],F3220)))</f>
        <v/>
      </c>
      <c r="F3220" t="str">
        <f>IFERROR(INDEX(tbl_input[집계키_센터],ROW()-1),"")</f>
        <v/>
      </c>
      <c r="G3220" t="str">
        <f t="shared" si="354"/>
        <v/>
      </c>
      <c r="H3220" t="str">
        <f t="shared" si="355"/>
        <v/>
      </c>
      <c r="I3220" t="str">
        <f t="shared" si="356"/>
        <v/>
      </c>
    </row>
    <row r="3221" spans="1:9" x14ac:dyDescent="0.4">
      <c r="A3221" t="str">
        <f t="shared" si="350"/>
        <v/>
      </c>
      <c r="B3221" t="str">
        <f t="shared" si="351"/>
        <v/>
      </c>
      <c r="C3221" t="str">
        <f t="shared" si="352"/>
        <v/>
      </c>
      <c r="D3221" t="str">
        <f t="shared" si="353"/>
        <v/>
      </c>
      <c r="E3221" t="str">
        <f>IF(F3221="","",IF(COUNTIF($F$2:F3221,F3221)&gt;1,"",SUMIFS(tbl_input[필요수량],tbl_input[집계키_센터],F3221)))</f>
        <v/>
      </c>
      <c r="F3221" t="str">
        <f>IFERROR(INDEX(tbl_input[집계키_센터],ROW()-1),"")</f>
        <v/>
      </c>
      <c r="G3221" t="str">
        <f t="shared" si="354"/>
        <v/>
      </c>
      <c r="H3221" t="str">
        <f t="shared" si="355"/>
        <v/>
      </c>
      <c r="I3221" t="str">
        <f t="shared" si="356"/>
        <v/>
      </c>
    </row>
    <row r="3222" spans="1:9" x14ac:dyDescent="0.4">
      <c r="A3222" t="str">
        <f t="shared" si="350"/>
        <v/>
      </c>
      <c r="B3222" t="str">
        <f t="shared" si="351"/>
        <v/>
      </c>
      <c r="C3222" t="str">
        <f t="shared" si="352"/>
        <v/>
      </c>
      <c r="D3222" t="str">
        <f t="shared" si="353"/>
        <v/>
      </c>
      <c r="E3222" t="str">
        <f>IF(F3222="","",IF(COUNTIF($F$2:F3222,F3222)&gt;1,"",SUMIFS(tbl_input[필요수량],tbl_input[집계키_센터],F3222)))</f>
        <v/>
      </c>
      <c r="F3222" t="str">
        <f>IFERROR(INDEX(tbl_input[집계키_센터],ROW()-1),"")</f>
        <v/>
      </c>
      <c r="G3222" t="str">
        <f t="shared" si="354"/>
        <v/>
      </c>
      <c r="H3222" t="str">
        <f t="shared" si="355"/>
        <v/>
      </c>
      <c r="I3222" t="str">
        <f t="shared" si="356"/>
        <v/>
      </c>
    </row>
    <row r="3223" spans="1:9" x14ac:dyDescent="0.4">
      <c r="A3223" t="str">
        <f t="shared" si="350"/>
        <v/>
      </c>
      <c r="B3223" t="str">
        <f t="shared" si="351"/>
        <v/>
      </c>
      <c r="C3223" t="str">
        <f t="shared" si="352"/>
        <v/>
      </c>
      <c r="D3223" t="str">
        <f t="shared" si="353"/>
        <v/>
      </c>
      <c r="E3223" t="str">
        <f>IF(F3223="","",IF(COUNTIF($F$2:F3223,F3223)&gt;1,"",SUMIFS(tbl_input[필요수량],tbl_input[집계키_센터],F3223)))</f>
        <v/>
      </c>
      <c r="F3223" t="str">
        <f>IFERROR(INDEX(tbl_input[집계키_센터],ROW()-1),"")</f>
        <v/>
      </c>
      <c r="G3223" t="str">
        <f t="shared" si="354"/>
        <v/>
      </c>
      <c r="H3223" t="str">
        <f t="shared" si="355"/>
        <v/>
      </c>
      <c r="I3223" t="str">
        <f t="shared" si="356"/>
        <v/>
      </c>
    </row>
    <row r="3224" spans="1:9" x14ac:dyDescent="0.4">
      <c r="A3224" t="str">
        <f t="shared" si="350"/>
        <v/>
      </c>
      <c r="B3224" t="str">
        <f t="shared" si="351"/>
        <v/>
      </c>
      <c r="C3224" t="str">
        <f t="shared" si="352"/>
        <v/>
      </c>
      <c r="D3224" t="str">
        <f t="shared" si="353"/>
        <v/>
      </c>
      <c r="E3224" t="str">
        <f>IF(F3224="","",IF(COUNTIF($F$2:F3224,F3224)&gt;1,"",SUMIFS(tbl_input[필요수량],tbl_input[집계키_센터],F3224)))</f>
        <v/>
      </c>
      <c r="F3224" t="str">
        <f>IFERROR(INDEX(tbl_input[집계키_센터],ROW()-1),"")</f>
        <v/>
      </c>
      <c r="G3224" t="str">
        <f t="shared" si="354"/>
        <v/>
      </c>
      <c r="H3224" t="str">
        <f t="shared" si="355"/>
        <v/>
      </c>
      <c r="I3224" t="str">
        <f t="shared" si="356"/>
        <v/>
      </c>
    </row>
    <row r="3225" spans="1:9" x14ac:dyDescent="0.4">
      <c r="A3225" t="str">
        <f t="shared" si="350"/>
        <v/>
      </c>
      <c r="B3225" t="str">
        <f t="shared" si="351"/>
        <v/>
      </c>
      <c r="C3225" t="str">
        <f t="shared" si="352"/>
        <v/>
      </c>
      <c r="D3225" t="str">
        <f t="shared" si="353"/>
        <v/>
      </c>
      <c r="E3225" t="str">
        <f>IF(F3225="","",IF(COUNTIF($F$2:F3225,F3225)&gt;1,"",SUMIFS(tbl_input[필요수량],tbl_input[집계키_센터],F3225)))</f>
        <v/>
      </c>
      <c r="F3225" t="str">
        <f>IFERROR(INDEX(tbl_input[집계키_센터],ROW()-1),"")</f>
        <v/>
      </c>
      <c r="G3225" t="str">
        <f t="shared" si="354"/>
        <v/>
      </c>
      <c r="H3225" t="str">
        <f t="shared" si="355"/>
        <v/>
      </c>
      <c r="I3225" t="str">
        <f t="shared" si="356"/>
        <v/>
      </c>
    </row>
    <row r="3226" spans="1:9" x14ac:dyDescent="0.4">
      <c r="A3226" t="str">
        <f t="shared" si="350"/>
        <v/>
      </c>
      <c r="B3226" t="str">
        <f t="shared" si="351"/>
        <v/>
      </c>
      <c r="C3226" t="str">
        <f t="shared" si="352"/>
        <v/>
      </c>
      <c r="D3226" t="str">
        <f t="shared" si="353"/>
        <v/>
      </c>
      <c r="E3226" t="str">
        <f>IF(F3226="","",IF(COUNTIF($F$2:F3226,F3226)&gt;1,"",SUMIFS(tbl_input[필요수량],tbl_input[집계키_센터],F3226)))</f>
        <v/>
      </c>
      <c r="F3226" t="str">
        <f>IFERROR(INDEX(tbl_input[집계키_센터],ROW()-1),"")</f>
        <v/>
      </c>
      <c r="G3226" t="str">
        <f t="shared" si="354"/>
        <v/>
      </c>
      <c r="H3226" t="str">
        <f t="shared" si="355"/>
        <v/>
      </c>
      <c r="I3226" t="str">
        <f t="shared" si="356"/>
        <v/>
      </c>
    </row>
    <row r="3227" spans="1:9" x14ac:dyDescent="0.4">
      <c r="A3227" t="str">
        <f t="shared" si="350"/>
        <v/>
      </c>
      <c r="B3227" t="str">
        <f t="shared" si="351"/>
        <v/>
      </c>
      <c r="C3227" t="str">
        <f t="shared" si="352"/>
        <v/>
      </c>
      <c r="D3227" t="str">
        <f t="shared" si="353"/>
        <v/>
      </c>
      <c r="E3227" t="str">
        <f>IF(F3227="","",IF(COUNTIF($F$2:F3227,F3227)&gt;1,"",SUMIFS(tbl_input[필요수량],tbl_input[집계키_센터],F3227)))</f>
        <v/>
      </c>
      <c r="F3227" t="str">
        <f>IFERROR(INDEX(tbl_input[집계키_센터],ROW()-1),"")</f>
        <v/>
      </c>
      <c r="G3227" t="str">
        <f t="shared" si="354"/>
        <v/>
      </c>
      <c r="H3227" t="str">
        <f t="shared" si="355"/>
        <v/>
      </c>
      <c r="I3227" t="str">
        <f t="shared" si="356"/>
        <v/>
      </c>
    </row>
    <row r="3228" spans="1:9" x14ac:dyDescent="0.4">
      <c r="A3228" t="str">
        <f t="shared" si="350"/>
        <v/>
      </c>
      <c r="B3228" t="str">
        <f t="shared" si="351"/>
        <v/>
      </c>
      <c r="C3228" t="str">
        <f t="shared" si="352"/>
        <v/>
      </c>
      <c r="D3228" t="str">
        <f t="shared" si="353"/>
        <v/>
      </c>
      <c r="E3228" t="str">
        <f>IF(F3228="","",IF(COUNTIF($F$2:F3228,F3228)&gt;1,"",SUMIFS(tbl_input[필요수량],tbl_input[집계키_센터],F3228)))</f>
        <v/>
      </c>
      <c r="F3228" t="str">
        <f>IFERROR(INDEX(tbl_input[집계키_센터],ROW()-1),"")</f>
        <v/>
      </c>
      <c r="G3228" t="str">
        <f t="shared" si="354"/>
        <v/>
      </c>
      <c r="H3228" t="str">
        <f t="shared" si="355"/>
        <v/>
      </c>
      <c r="I3228" t="str">
        <f t="shared" si="356"/>
        <v/>
      </c>
    </row>
    <row r="3229" spans="1:9" x14ac:dyDescent="0.4">
      <c r="A3229" t="str">
        <f t="shared" si="350"/>
        <v/>
      </c>
      <c r="B3229" t="str">
        <f t="shared" si="351"/>
        <v/>
      </c>
      <c r="C3229" t="str">
        <f t="shared" si="352"/>
        <v/>
      </c>
      <c r="D3229" t="str">
        <f t="shared" si="353"/>
        <v/>
      </c>
      <c r="E3229" t="str">
        <f>IF(F3229="","",IF(COUNTIF($F$2:F3229,F3229)&gt;1,"",SUMIFS(tbl_input[필요수량],tbl_input[집계키_센터],F3229)))</f>
        <v/>
      </c>
      <c r="F3229" t="str">
        <f>IFERROR(INDEX(tbl_input[집계키_센터],ROW()-1),"")</f>
        <v/>
      </c>
      <c r="G3229" t="str">
        <f t="shared" si="354"/>
        <v/>
      </c>
      <c r="H3229" t="str">
        <f t="shared" si="355"/>
        <v/>
      </c>
      <c r="I3229" t="str">
        <f t="shared" si="356"/>
        <v/>
      </c>
    </row>
    <row r="3230" spans="1:9" x14ac:dyDescent="0.4">
      <c r="A3230" t="str">
        <f t="shared" si="350"/>
        <v/>
      </c>
      <c r="B3230" t="str">
        <f t="shared" si="351"/>
        <v/>
      </c>
      <c r="C3230" t="str">
        <f t="shared" si="352"/>
        <v/>
      </c>
      <c r="D3230" t="str">
        <f t="shared" si="353"/>
        <v/>
      </c>
      <c r="E3230" t="str">
        <f>IF(F3230="","",IF(COUNTIF($F$2:F3230,F3230)&gt;1,"",SUMIFS(tbl_input[필요수량],tbl_input[집계키_센터],F3230)))</f>
        <v/>
      </c>
      <c r="F3230" t="str">
        <f>IFERROR(INDEX(tbl_input[집계키_센터],ROW()-1),"")</f>
        <v/>
      </c>
      <c r="G3230" t="str">
        <f t="shared" si="354"/>
        <v/>
      </c>
      <c r="H3230" t="str">
        <f t="shared" si="355"/>
        <v/>
      </c>
      <c r="I3230" t="str">
        <f t="shared" si="356"/>
        <v/>
      </c>
    </row>
    <row r="3231" spans="1:9" x14ac:dyDescent="0.4">
      <c r="A3231" t="str">
        <f t="shared" si="350"/>
        <v/>
      </c>
      <c r="B3231" t="str">
        <f t="shared" si="351"/>
        <v/>
      </c>
      <c r="C3231" t="str">
        <f t="shared" si="352"/>
        <v/>
      </c>
      <c r="D3231" t="str">
        <f t="shared" si="353"/>
        <v/>
      </c>
      <c r="E3231" t="str">
        <f>IF(F3231="","",IF(COUNTIF($F$2:F3231,F3231)&gt;1,"",SUMIFS(tbl_input[필요수량],tbl_input[집계키_센터],F3231)))</f>
        <v/>
      </c>
      <c r="F3231" t="str">
        <f>IFERROR(INDEX(tbl_input[집계키_센터],ROW()-1),"")</f>
        <v/>
      </c>
      <c r="G3231" t="str">
        <f t="shared" si="354"/>
        <v/>
      </c>
      <c r="H3231" t="str">
        <f t="shared" si="355"/>
        <v/>
      </c>
      <c r="I3231" t="str">
        <f t="shared" si="356"/>
        <v/>
      </c>
    </row>
    <row r="3232" spans="1:9" x14ac:dyDescent="0.4">
      <c r="A3232" t="str">
        <f t="shared" si="350"/>
        <v/>
      </c>
      <c r="B3232" t="str">
        <f t="shared" si="351"/>
        <v/>
      </c>
      <c r="C3232" t="str">
        <f t="shared" si="352"/>
        <v/>
      </c>
      <c r="D3232" t="str">
        <f t="shared" si="353"/>
        <v/>
      </c>
      <c r="E3232" t="str">
        <f>IF(F3232="","",IF(COUNTIF($F$2:F3232,F3232)&gt;1,"",SUMIFS(tbl_input[필요수량],tbl_input[집계키_센터],F3232)))</f>
        <v/>
      </c>
      <c r="F3232" t="str">
        <f>IFERROR(INDEX(tbl_input[집계키_센터],ROW()-1),"")</f>
        <v/>
      </c>
      <c r="G3232" t="str">
        <f t="shared" si="354"/>
        <v/>
      </c>
      <c r="H3232" t="str">
        <f t="shared" si="355"/>
        <v/>
      </c>
      <c r="I3232" t="str">
        <f t="shared" si="356"/>
        <v/>
      </c>
    </row>
    <row r="3233" spans="1:9" x14ac:dyDescent="0.4">
      <c r="A3233" t="str">
        <f t="shared" si="350"/>
        <v/>
      </c>
      <c r="B3233" t="str">
        <f t="shared" si="351"/>
        <v/>
      </c>
      <c r="C3233" t="str">
        <f t="shared" si="352"/>
        <v/>
      </c>
      <c r="D3233" t="str">
        <f t="shared" si="353"/>
        <v/>
      </c>
      <c r="E3233" t="str">
        <f>IF(F3233="","",IF(COUNTIF($F$2:F3233,F3233)&gt;1,"",SUMIFS(tbl_input[필요수량],tbl_input[집계키_센터],F3233)))</f>
        <v/>
      </c>
      <c r="F3233" t="str">
        <f>IFERROR(INDEX(tbl_input[집계키_센터],ROW()-1),"")</f>
        <v/>
      </c>
      <c r="G3233" t="str">
        <f t="shared" si="354"/>
        <v/>
      </c>
      <c r="H3233" t="str">
        <f t="shared" si="355"/>
        <v/>
      </c>
      <c r="I3233" t="str">
        <f t="shared" si="356"/>
        <v/>
      </c>
    </row>
    <row r="3234" spans="1:9" x14ac:dyDescent="0.4">
      <c r="A3234" t="str">
        <f t="shared" si="350"/>
        <v/>
      </c>
      <c r="B3234" t="str">
        <f t="shared" si="351"/>
        <v/>
      </c>
      <c r="C3234" t="str">
        <f t="shared" si="352"/>
        <v/>
      </c>
      <c r="D3234" t="str">
        <f t="shared" si="353"/>
        <v/>
      </c>
      <c r="E3234" t="str">
        <f>IF(F3234="","",IF(COUNTIF($F$2:F3234,F3234)&gt;1,"",SUMIFS(tbl_input[필요수량],tbl_input[집계키_센터],F3234)))</f>
        <v/>
      </c>
      <c r="F3234" t="str">
        <f>IFERROR(INDEX(tbl_input[집계키_센터],ROW()-1),"")</f>
        <v/>
      </c>
      <c r="G3234" t="str">
        <f t="shared" si="354"/>
        <v/>
      </c>
      <c r="H3234" t="str">
        <f t="shared" si="355"/>
        <v/>
      </c>
      <c r="I3234" t="str">
        <f t="shared" si="356"/>
        <v/>
      </c>
    </row>
    <row r="3235" spans="1:9" x14ac:dyDescent="0.4">
      <c r="A3235" t="str">
        <f t="shared" si="350"/>
        <v/>
      </c>
      <c r="B3235" t="str">
        <f t="shared" si="351"/>
        <v/>
      </c>
      <c r="C3235" t="str">
        <f t="shared" si="352"/>
        <v/>
      </c>
      <c r="D3235" t="str">
        <f t="shared" si="353"/>
        <v/>
      </c>
      <c r="E3235" t="str">
        <f>IF(F3235="","",IF(COUNTIF($F$2:F3235,F3235)&gt;1,"",SUMIFS(tbl_input[필요수량],tbl_input[집계키_센터],F3235)))</f>
        <v/>
      </c>
      <c r="F3235" t="str">
        <f>IFERROR(INDEX(tbl_input[집계키_센터],ROW()-1),"")</f>
        <v/>
      </c>
      <c r="G3235" t="str">
        <f t="shared" si="354"/>
        <v/>
      </c>
      <c r="H3235" t="str">
        <f t="shared" si="355"/>
        <v/>
      </c>
      <c r="I3235" t="str">
        <f t="shared" si="356"/>
        <v/>
      </c>
    </row>
    <row r="3236" spans="1:9" x14ac:dyDescent="0.4">
      <c r="A3236" t="str">
        <f t="shared" si="350"/>
        <v/>
      </c>
      <c r="B3236" t="str">
        <f t="shared" si="351"/>
        <v/>
      </c>
      <c r="C3236" t="str">
        <f t="shared" si="352"/>
        <v/>
      </c>
      <c r="D3236" t="str">
        <f t="shared" si="353"/>
        <v/>
      </c>
      <c r="E3236" t="str">
        <f>IF(F3236="","",IF(COUNTIF($F$2:F3236,F3236)&gt;1,"",SUMIFS(tbl_input[필요수량],tbl_input[집계키_센터],F3236)))</f>
        <v/>
      </c>
      <c r="F3236" t="str">
        <f>IFERROR(INDEX(tbl_input[집계키_센터],ROW()-1),"")</f>
        <v/>
      </c>
      <c r="G3236" t="str">
        <f t="shared" si="354"/>
        <v/>
      </c>
      <c r="H3236" t="str">
        <f t="shared" si="355"/>
        <v/>
      </c>
      <c r="I3236" t="str">
        <f t="shared" si="356"/>
        <v/>
      </c>
    </row>
    <row r="3237" spans="1:9" x14ac:dyDescent="0.4">
      <c r="A3237" t="str">
        <f t="shared" si="350"/>
        <v/>
      </c>
      <c r="B3237" t="str">
        <f t="shared" si="351"/>
        <v/>
      </c>
      <c r="C3237" t="str">
        <f t="shared" si="352"/>
        <v/>
      </c>
      <c r="D3237" t="str">
        <f t="shared" si="353"/>
        <v/>
      </c>
      <c r="E3237" t="str">
        <f>IF(F3237="","",IF(COUNTIF($F$2:F3237,F3237)&gt;1,"",SUMIFS(tbl_input[필요수량],tbl_input[집계키_센터],F3237)))</f>
        <v/>
      </c>
      <c r="F3237" t="str">
        <f>IFERROR(INDEX(tbl_input[집계키_센터],ROW()-1),"")</f>
        <v/>
      </c>
      <c r="G3237" t="str">
        <f t="shared" si="354"/>
        <v/>
      </c>
      <c r="H3237" t="str">
        <f t="shared" si="355"/>
        <v/>
      </c>
      <c r="I3237" t="str">
        <f t="shared" si="356"/>
        <v/>
      </c>
    </row>
    <row r="3238" spans="1:9" x14ac:dyDescent="0.4">
      <c r="A3238" t="str">
        <f t="shared" si="350"/>
        <v/>
      </c>
      <c r="B3238" t="str">
        <f t="shared" si="351"/>
        <v/>
      </c>
      <c r="C3238" t="str">
        <f t="shared" si="352"/>
        <v/>
      </c>
      <c r="D3238" t="str">
        <f t="shared" si="353"/>
        <v/>
      </c>
      <c r="E3238" t="str">
        <f>IF(F3238="","",IF(COUNTIF($F$2:F3238,F3238)&gt;1,"",SUMIFS(tbl_input[필요수량],tbl_input[집계키_센터],F3238)))</f>
        <v/>
      </c>
      <c r="F3238" t="str">
        <f>IFERROR(INDEX(tbl_input[집계키_센터],ROW()-1),"")</f>
        <v/>
      </c>
      <c r="G3238" t="str">
        <f t="shared" si="354"/>
        <v/>
      </c>
      <c r="H3238" t="str">
        <f t="shared" si="355"/>
        <v/>
      </c>
      <c r="I3238" t="str">
        <f t="shared" si="356"/>
        <v/>
      </c>
    </row>
    <row r="3239" spans="1:9" x14ac:dyDescent="0.4">
      <c r="A3239" t="str">
        <f t="shared" si="350"/>
        <v/>
      </c>
      <c r="B3239" t="str">
        <f t="shared" si="351"/>
        <v/>
      </c>
      <c r="C3239" t="str">
        <f t="shared" si="352"/>
        <v/>
      </c>
      <c r="D3239" t="str">
        <f t="shared" si="353"/>
        <v/>
      </c>
      <c r="E3239" t="str">
        <f>IF(F3239="","",IF(COUNTIF($F$2:F3239,F3239)&gt;1,"",SUMIFS(tbl_input[필요수량],tbl_input[집계키_센터],F3239)))</f>
        <v/>
      </c>
      <c r="F3239" t="str">
        <f>IFERROR(INDEX(tbl_input[집계키_센터],ROW()-1),"")</f>
        <v/>
      </c>
      <c r="G3239" t="str">
        <f t="shared" si="354"/>
        <v/>
      </c>
      <c r="H3239" t="str">
        <f t="shared" si="355"/>
        <v/>
      </c>
      <c r="I3239" t="str">
        <f t="shared" si="356"/>
        <v/>
      </c>
    </row>
    <row r="3240" spans="1:9" x14ac:dyDescent="0.4">
      <c r="A3240" t="str">
        <f t="shared" si="350"/>
        <v/>
      </c>
      <c r="B3240" t="str">
        <f t="shared" si="351"/>
        <v/>
      </c>
      <c r="C3240" t="str">
        <f t="shared" si="352"/>
        <v/>
      </c>
      <c r="D3240" t="str">
        <f t="shared" si="353"/>
        <v/>
      </c>
      <c r="E3240" t="str">
        <f>IF(F3240="","",IF(COUNTIF($F$2:F3240,F3240)&gt;1,"",SUMIFS(tbl_input[필요수량],tbl_input[집계키_센터],F3240)))</f>
        <v/>
      </c>
      <c r="F3240" t="str">
        <f>IFERROR(INDEX(tbl_input[집계키_센터],ROW()-1),"")</f>
        <v/>
      </c>
      <c r="G3240" t="str">
        <f t="shared" si="354"/>
        <v/>
      </c>
      <c r="H3240" t="str">
        <f t="shared" si="355"/>
        <v/>
      </c>
      <c r="I3240" t="str">
        <f t="shared" si="356"/>
        <v/>
      </c>
    </row>
    <row r="3241" spans="1:9" x14ac:dyDescent="0.4">
      <c r="A3241" t="str">
        <f t="shared" si="350"/>
        <v/>
      </c>
      <c r="B3241" t="str">
        <f t="shared" si="351"/>
        <v/>
      </c>
      <c r="C3241" t="str">
        <f t="shared" si="352"/>
        <v/>
      </c>
      <c r="D3241" t="str">
        <f t="shared" si="353"/>
        <v/>
      </c>
      <c r="E3241" t="str">
        <f>IF(F3241="","",IF(COUNTIF($F$2:F3241,F3241)&gt;1,"",SUMIFS(tbl_input[필요수량],tbl_input[집계키_센터],F3241)))</f>
        <v/>
      </c>
      <c r="F3241" t="str">
        <f>IFERROR(INDEX(tbl_input[집계키_센터],ROW()-1),"")</f>
        <v/>
      </c>
      <c r="G3241" t="str">
        <f t="shared" si="354"/>
        <v/>
      </c>
      <c r="H3241" t="str">
        <f t="shared" si="355"/>
        <v/>
      </c>
      <c r="I3241" t="str">
        <f t="shared" si="356"/>
        <v/>
      </c>
    </row>
    <row r="3242" spans="1:9" x14ac:dyDescent="0.4">
      <c r="A3242" t="str">
        <f t="shared" si="350"/>
        <v/>
      </c>
      <c r="B3242" t="str">
        <f t="shared" si="351"/>
        <v/>
      </c>
      <c r="C3242" t="str">
        <f t="shared" si="352"/>
        <v/>
      </c>
      <c r="D3242" t="str">
        <f t="shared" si="353"/>
        <v/>
      </c>
      <c r="E3242" t="str">
        <f>IF(F3242="","",IF(COUNTIF($F$2:F3242,F3242)&gt;1,"",SUMIFS(tbl_input[필요수량],tbl_input[집계키_센터],F3242)))</f>
        <v/>
      </c>
      <c r="F3242" t="str">
        <f>IFERROR(INDEX(tbl_input[집계키_센터],ROW()-1),"")</f>
        <v/>
      </c>
      <c r="G3242" t="str">
        <f t="shared" si="354"/>
        <v/>
      </c>
      <c r="H3242" t="str">
        <f t="shared" si="355"/>
        <v/>
      </c>
      <c r="I3242" t="str">
        <f t="shared" si="356"/>
        <v/>
      </c>
    </row>
    <row r="3243" spans="1:9" x14ac:dyDescent="0.4">
      <c r="A3243" t="str">
        <f t="shared" si="350"/>
        <v/>
      </c>
      <c r="B3243" t="str">
        <f t="shared" si="351"/>
        <v/>
      </c>
      <c r="C3243" t="str">
        <f t="shared" si="352"/>
        <v/>
      </c>
      <c r="D3243" t="str">
        <f t="shared" si="353"/>
        <v/>
      </c>
      <c r="E3243" t="str">
        <f>IF(F3243="","",IF(COUNTIF($F$2:F3243,F3243)&gt;1,"",SUMIFS(tbl_input[필요수량],tbl_input[집계키_센터],F3243)))</f>
        <v/>
      </c>
      <c r="F3243" t="str">
        <f>IFERROR(INDEX(tbl_input[집계키_센터],ROW()-1),"")</f>
        <v/>
      </c>
      <c r="G3243" t="str">
        <f t="shared" si="354"/>
        <v/>
      </c>
      <c r="H3243" t="str">
        <f t="shared" si="355"/>
        <v/>
      </c>
      <c r="I3243" t="str">
        <f t="shared" si="356"/>
        <v/>
      </c>
    </row>
    <row r="3244" spans="1:9" x14ac:dyDescent="0.4">
      <c r="A3244" t="str">
        <f t="shared" si="350"/>
        <v/>
      </c>
      <c r="B3244" t="str">
        <f t="shared" si="351"/>
        <v/>
      </c>
      <c r="C3244" t="str">
        <f t="shared" si="352"/>
        <v/>
      </c>
      <c r="D3244" t="str">
        <f t="shared" si="353"/>
        <v/>
      </c>
      <c r="E3244" t="str">
        <f>IF(F3244="","",IF(COUNTIF($F$2:F3244,F3244)&gt;1,"",SUMIFS(tbl_input[필요수량],tbl_input[집계키_센터],F3244)))</f>
        <v/>
      </c>
      <c r="F3244" t="str">
        <f>IFERROR(INDEX(tbl_input[집계키_센터],ROW()-1),"")</f>
        <v/>
      </c>
      <c r="G3244" t="str">
        <f t="shared" si="354"/>
        <v/>
      </c>
      <c r="H3244" t="str">
        <f t="shared" si="355"/>
        <v/>
      </c>
      <c r="I3244" t="str">
        <f t="shared" si="356"/>
        <v/>
      </c>
    </row>
    <row r="3245" spans="1:9" x14ac:dyDescent="0.4">
      <c r="A3245" t="str">
        <f t="shared" si="350"/>
        <v/>
      </c>
      <c r="B3245" t="str">
        <f t="shared" si="351"/>
        <v/>
      </c>
      <c r="C3245" t="str">
        <f t="shared" si="352"/>
        <v/>
      </c>
      <c r="D3245" t="str">
        <f t="shared" si="353"/>
        <v/>
      </c>
      <c r="E3245" t="str">
        <f>IF(F3245="","",IF(COUNTIF($F$2:F3245,F3245)&gt;1,"",SUMIFS(tbl_input[필요수량],tbl_input[집계키_센터],F3245)))</f>
        <v/>
      </c>
      <c r="F3245" t="str">
        <f>IFERROR(INDEX(tbl_input[집계키_센터],ROW()-1),"")</f>
        <v/>
      </c>
      <c r="G3245" t="str">
        <f t="shared" si="354"/>
        <v/>
      </c>
      <c r="H3245" t="str">
        <f t="shared" si="355"/>
        <v/>
      </c>
      <c r="I3245" t="str">
        <f t="shared" si="356"/>
        <v/>
      </c>
    </row>
    <row r="3246" spans="1:9" x14ac:dyDescent="0.4">
      <c r="A3246" t="str">
        <f t="shared" si="350"/>
        <v/>
      </c>
      <c r="B3246" t="str">
        <f t="shared" si="351"/>
        <v/>
      </c>
      <c r="C3246" t="str">
        <f t="shared" si="352"/>
        <v/>
      </c>
      <c r="D3246" t="str">
        <f t="shared" si="353"/>
        <v/>
      </c>
      <c r="E3246" t="str">
        <f>IF(F3246="","",IF(COUNTIF($F$2:F3246,F3246)&gt;1,"",SUMIFS(tbl_input[필요수량],tbl_input[집계키_센터],F3246)))</f>
        <v/>
      </c>
      <c r="F3246" t="str">
        <f>IFERROR(INDEX(tbl_input[집계키_센터],ROW()-1),"")</f>
        <v/>
      </c>
      <c r="G3246" t="str">
        <f t="shared" si="354"/>
        <v/>
      </c>
      <c r="H3246" t="str">
        <f t="shared" si="355"/>
        <v/>
      </c>
      <c r="I3246" t="str">
        <f t="shared" si="356"/>
        <v/>
      </c>
    </row>
    <row r="3247" spans="1:9" x14ac:dyDescent="0.4">
      <c r="A3247" t="str">
        <f t="shared" si="350"/>
        <v/>
      </c>
      <c r="B3247" t="str">
        <f t="shared" si="351"/>
        <v/>
      </c>
      <c r="C3247" t="str">
        <f t="shared" si="352"/>
        <v/>
      </c>
      <c r="D3247" t="str">
        <f t="shared" si="353"/>
        <v/>
      </c>
      <c r="E3247" t="str">
        <f>IF(F3247="","",IF(COUNTIF($F$2:F3247,F3247)&gt;1,"",SUMIFS(tbl_input[필요수량],tbl_input[집계키_센터],F3247)))</f>
        <v/>
      </c>
      <c r="F3247" t="str">
        <f>IFERROR(INDEX(tbl_input[집계키_센터],ROW()-1),"")</f>
        <v/>
      </c>
      <c r="G3247" t="str">
        <f t="shared" si="354"/>
        <v/>
      </c>
      <c r="H3247" t="str">
        <f t="shared" si="355"/>
        <v/>
      </c>
      <c r="I3247" t="str">
        <f t="shared" si="356"/>
        <v/>
      </c>
    </row>
    <row r="3248" spans="1:9" x14ac:dyDescent="0.4">
      <c r="A3248" t="str">
        <f t="shared" si="350"/>
        <v/>
      </c>
      <c r="B3248" t="str">
        <f t="shared" si="351"/>
        <v/>
      </c>
      <c r="C3248" t="str">
        <f t="shared" si="352"/>
        <v/>
      </c>
      <c r="D3248" t="str">
        <f t="shared" si="353"/>
        <v/>
      </c>
      <c r="E3248" t="str">
        <f>IF(F3248="","",IF(COUNTIF($F$2:F3248,F3248)&gt;1,"",SUMIFS(tbl_input[필요수량],tbl_input[집계키_센터],F3248)))</f>
        <v/>
      </c>
      <c r="F3248" t="str">
        <f>IFERROR(INDEX(tbl_input[집계키_센터],ROW()-1),"")</f>
        <v/>
      </c>
      <c r="G3248" t="str">
        <f t="shared" si="354"/>
        <v/>
      </c>
      <c r="H3248" t="str">
        <f t="shared" si="355"/>
        <v/>
      </c>
      <c r="I3248" t="str">
        <f t="shared" si="356"/>
        <v/>
      </c>
    </row>
    <row r="3249" spans="1:9" x14ac:dyDescent="0.4">
      <c r="A3249" t="str">
        <f t="shared" si="350"/>
        <v/>
      </c>
      <c r="B3249" t="str">
        <f t="shared" si="351"/>
        <v/>
      </c>
      <c r="C3249" t="str">
        <f t="shared" si="352"/>
        <v/>
      </c>
      <c r="D3249" t="str">
        <f t="shared" si="353"/>
        <v/>
      </c>
      <c r="E3249" t="str">
        <f>IF(F3249="","",IF(COUNTIF($F$2:F3249,F3249)&gt;1,"",SUMIFS(tbl_input[필요수량],tbl_input[집계키_센터],F3249)))</f>
        <v/>
      </c>
      <c r="F3249" t="str">
        <f>IFERROR(INDEX(tbl_input[집계키_센터],ROW()-1),"")</f>
        <v/>
      </c>
      <c r="G3249" t="str">
        <f t="shared" si="354"/>
        <v/>
      </c>
      <c r="H3249" t="str">
        <f t="shared" si="355"/>
        <v/>
      </c>
      <c r="I3249" t="str">
        <f t="shared" si="356"/>
        <v/>
      </c>
    </row>
    <row r="3250" spans="1:9" x14ac:dyDescent="0.4">
      <c r="A3250" t="str">
        <f t="shared" si="350"/>
        <v/>
      </c>
      <c r="B3250" t="str">
        <f t="shared" si="351"/>
        <v/>
      </c>
      <c r="C3250" t="str">
        <f t="shared" si="352"/>
        <v/>
      </c>
      <c r="D3250" t="str">
        <f t="shared" si="353"/>
        <v/>
      </c>
      <c r="E3250" t="str">
        <f>IF(F3250="","",IF(COUNTIF($F$2:F3250,F3250)&gt;1,"",SUMIFS(tbl_input[필요수량],tbl_input[집계키_센터],F3250)))</f>
        <v/>
      </c>
      <c r="F3250" t="str">
        <f>IFERROR(INDEX(tbl_input[집계키_센터],ROW()-1),"")</f>
        <v/>
      </c>
      <c r="G3250" t="str">
        <f t="shared" si="354"/>
        <v/>
      </c>
      <c r="H3250" t="str">
        <f t="shared" si="355"/>
        <v/>
      </c>
      <c r="I3250" t="str">
        <f t="shared" si="356"/>
        <v/>
      </c>
    </row>
    <row r="3251" spans="1:9" x14ac:dyDescent="0.4">
      <c r="A3251" t="str">
        <f t="shared" si="350"/>
        <v/>
      </c>
      <c r="B3251" t="str">
        <f t="shared" si="351"/>
        <v/>
      </c>
      <c r="C3251" t="str">
        <f t="shared" si="352"/>
        <v/>
      </c>
      <c r="D3251" t="str">
        <f t="shared" si="353"/>
        <v/>
      </c>
      <c r="E3251" t="str">
        <f>IF(F3251="","",IF(COUNTIF($F$2:F3251,F3251)&gt;1,"",SUMIFS(tbl_input[필요수량],tbl_input[집계키_센터],F3251)))</f>
        <v/>
      </c>
      <c r="F3251" t="str">
        <f>IFERROR(INDEX(tbl_input[집계키_센터],ROW()-1),"")</f>
        <v/>
      </c>
      <c r="G3251" t="str">
        <f t="shared" si="354"/>
        <v/>
      </c>
      <c r="H3251" t="str">
        <f t="shared" si="355"/>
        <v/>
      </c>
      <c r="I3251" t="str">
        <f t="shared" si="356"/>
        <v/>
      </c>
    </row>
    <row r="3252" spans="1:9" x14ac:dyDescent="0.4">
      <c r="A3252" t="str">
        <f t="shared" si="350"/>
        <v/>
      </c>
      <c r="B3252" t="str">
        <f t="shared" si="351"/>
        <v/>
      </c>
      <c r="C3252" t="str">
        <f t="shared" si="352"/>
        <v/>
      </c>
      <c r="D3252" t="str">
        <f t="shared" si="353"/>
        <v/>
      </c>
      <c r="E3252" t="str">
        <f>IF(F3252="","",IF(COUNTIF($F$2:F3252,F3252)&gt;1,"",SUMIFS(tbl_input[필요수량],tbl_input[집계키_센터],F3252)))</f>
        <v/>
      </c>
      <c r="F3252" t="str">
        <f>IFERROR(INDEX(tbl_input[집계키_센터],ROW()-1),"")</f>
        <v/>
      </c>
      <c r="G3252" t="str">
        <f t="shared" si="354"/>
        <v/>
      </c>
      <c r="H3252" t="str">
        <f t="shared" si="355"/>
        <v/>
      </c>
      <c r="I3252" t="str">
        <f t="shared" si="356"/>
        <v/>
      </c>
    </row>
    <row r="3253" spans="1:9" x14ac:dyDescent="0.4">
      <c r="A3253" t="str">
        <f t="shared" si="350"/>
        <v/>
      </c>
      <c r="B3253" t="str">
        <f t="shared" si="351"/>
        <v/>
      </c>
      <c r="C3253" t="str">
        <f t="shared" si="352"/>
        <v/>
      </c>
      <c r="D3253" t="str">
        <f t="shared" si="353"/>
        <v/>
      </c>
      <c r="E3253" t="str">
        <f>IF(F3253="","",IF(COUNTIF($F$2:F3253,F3253)&gt;1,"",SUMIFS(tbl_input[필요수량],tbl_input[집계키_센터],F3253)))</f>
        <v/>
      </c>
      <c r="F3253" t="str">
        <f>IFERROR(INDEX(tbl_input[집계키_센터],ROW()-1),"")</f>
        <v/>
      </c>
      <c r="G3253" t="str">
        <f t="shared" si="354"/>
        <v/>
      </c>
      <c r="H3253" t="str">
        <f t="shared" si="355"/>
        <v/>
      </c>
      <c r="I3253" t="str">
        <f t="shared" si="356"/>
        <v/>
      </c>
    </row>
    <row r="3254" spans="1:9" x14ac:dyDescent="0.4">
      <c r="A3254" t="str">
        <f t="shared" si="350"/>
        <v/>
      </c>
      <c r="B3254" t="str">
        <f t="shared" si="351"/>
        <v/>
      </c>
      <c r="C3254" t="str">
        <f t="shared" si="352"/>
        <v/>
      </c>
      <c r="D3254" t="str">
        <f t="shared" si="353"/>
        <v/>
      </c>
      <c r="E3254" t="str">
        <f>IF(F3254="","",IF(COUNTIF($F$2:F3254,F3254)&gt;1,"",SUMIFS(tbl_input[필요수량],tbl_input[집계키_센터],F3254)))</f>
        <v/>
      </c>
      <c r="F3254" t="str">
        <f>IFERROR(INDEX(tbl_input[집계키_센터],ROW()-1),"")</f>
        <v/>
      </c>
      <c r="G3254" t="str">
        <f t="shared" si="354"/>
        <v/>
      </c>
      <c r="H3254" t="str">
        <f t="shared" si="355"/>
        <v/>
      </c>
      <c r="I3254" t="str">
        <f t="shared" si="356"/>
        <v/>
      </c>
    </row>
    <row r="3255" spans="1:9" x14ac:dyDescent="0.4">
      <c r="A3255" t="str">
        <f t="shared" si="350"/>
        <v/>
      </c>
      <c r="B3255" t="str">
        <f t="shared" si="351"/>
        <v/>
      </c>
      <c r="C3255" t="str">
        <f t="shared" si="352"/>
        <v/>
      </c>
      <c r="D3255" t="str">
        <f t="shared" si="353"/>
        <v/>
      </c>
      <c r="E3255" t="str">
        <f>IF(F3255="","",IF(COUNTIF($F$2:F3255,F3255)&gt;1,"",SUMIFS(tbl_input[필요수량],tbl_input[집계키_센터],F3255)))</f>
        <v/>
      </c>
      <c r="F3255" t="str">
        <f>IFERROR(INDEX(tbl_input[집계키_센터],ROW()-1),"")</f>
        <v/>
      </c>
      <c r="G3255" t="str">
        <f t="shared" si="354"/>
        <v/>
      </c>
      <c r="H3255" t="str">
        <f t="shared" si="355"/>
        <v/>
      </c>
      <c r="I3255" t="str">
        <f t="shared" si="356"/>
        <v/>
      </c>
    </row>
    <row r="3256" spans="1:9" x14ac:dyDescent="0.4">
      <c r="A3256" t="str">
        <f t="shared" si="350"/>
        <v/>
      </c>
      <c r="B3256" t="str">
        <f t="shared" si="351"/>
        <v/>
      </c>
      <c r="C3256" t="str">
        <f t="shared" si="352"/>
        <v/>
      </c>
      <c r="D3256" t="str">
        <f t="shared" si="353"/>
        <v/>
      </c>
      <c r="E3256" t="str">
        <f>IF(F3256="","",IF(COUNTIF($F$2:F3256,F3256)&gt;1,"",SUMIFS(tbl_input[필요수량],tbl_input[집계키_센터],F3256)))</f>
        <v/>
      </c>
      <c r="F3256" t="str">
        <f>IFERROR(INDEX(tbl_input[집계키_센터],ROW()-1),"")</f>
        <v/>
      </c>
      <c r="G3256" t="str">
        <f t="shared" si="354"/>
        <v/>
      </c>
      <c r="H3256" t="str">
        <f t="shared" si="355"/>
        <v/>
      </c>
      <c r="I3256" t="str">
        <f t="shared" si="356"/>
        <v/>
      </c>
    </row>
    <row r="3257" spans="1:9" x14ac:dyDescent="0.4">
      <c r="A3257" t="str">
        <f t="shared" si="350"/>
        <v/>
      </c>
      <c r="B3257" t="str">
        <f t="shared" si="351"/>
        <v/>
      </c>
      <c r="C3257" t="str">
        <f t="shared" si="352"/>
        <v/>
      </c>
      <c r="D3257" t="str">
        <f t="shared" si="353"/>
        <v/>
      </c>
      <c r="E3257" t="str">
        <f>IF(F3257="","",IF(COUNTIF($F$2:F3257,F3257)&gt;1,"",SUMIFS(tbl_input[필요수량],tbl_input[집계키_센터],F3257)))</f>
        <v/>
      </c>
      <c r="F3257" t="str">
        <f>IFERROR(INDEX(tbl_input[집계키_센터],ROW()-1),"")</f>
        <v/>
      </c>
      <c r="G3257" t="str">
        <f t="shared" si="354"/>
        <v/>
      </c>
      <c r="H3257" t="str">
        <f t="shared" si="355"/>
        <v/>
      </c>
      <c r="I3257" t="str">
        <f t="shared" si="356"/>
        <v/>
      </c>
    </row>
    <row r="3258" spans="1:9" x14ac:dyDescent="0.4">
      <c r="A3258" t="str">
        <f t="shared" si="350"/>
        <v/>
      </c>
      <c r="B3258" t="str">
        <f t="shared" si="351"/>
        <v/>
      </c>
      <c r="C3258" t="str">
        <f t="shared" si="352"/>
        <v/>
      </c>
      <c r="D3258" t="str">
        <f t="shared" si="353"/>
        <v/>
      </c>
      <c r="E3258" t="str">
        <f>IF(F3258="","",IF(COUNTIF($F$2:F3258,F3258)&gt;1,"",SUMIFS(tbl_input[필요수량],tbl_input[집계키_센터],F3258)))</f>
        <v/>
      </c>
      <c r="F3258" t="str">
        <f>IFERROR(INDEX(tbl_input[집계키_센터],ROW()-1),"")</f>
        <v/>
      </c>
      <c r="G3258" t="str">
        <f t="shared" si="354"/>
        <v/>
      </c>
      <c r="H3258" t="str">
        <f t="shared" si="355"/>
        <v/>
      </c>
      <c r="I3258" t="str">
        <f t="shared" si="356"/>
        <v/>
      </c>
    </row>
    <row r="3259" spans="1:9" x14ac:dyDescent="0.4">
      <c r="A3259" t="str">
        <f t="shared" si="350"/>
        <v/>
      </c>
      <c r="B3259" t="str">
        <f t="shared" si="351"/>
        <v/>
      </c>
      <c r="C3259" t="str">
        <f t="shared" si="352"/>
        <v/>
      </c>
      <c r="D3259" t="str">
        <f t="shared" si="353"/>
        <v/>
      </c>
      <c r="E3259" t="str">
        <f>IF(F3259="","",IF(COUNTIF($F$2:F3259,F3259)&gt;1,"",SUMIFS(tbl_input[필요수량],tbl_input[집계키_센터],F3259)))</f>
        <v/>
      </c>
      <c r="F3259" t="str">
        <f>IFERROR(INDEX(tbl_input[집계키_센터],ROW()-1),"")</f>
        <v/>
      </c>
      <c r="G3259" t="str">
        <f t="shared" si="354"/>
        <v/>
      </c>
      <c r="H3259" t="str">
        <f t="shared" si="355"/>
        <v/>
      </c>
      <c r="I3259" t="str">
        <f t="shared" si="356"/>
        <v/>
      </c>
    </row>
    <row r="3260" spans="1:9" x14ac:dyDescent="0.4">
      <c r="A3260" t="str">
        <f t="shared" si="350"/>
        <v/>
      </c>
      <c r="B3260" t="str">
        <f t="shared" si="351"/>
        <v/>
      </c>
      <c r="C3260" t="str">
        <f t="shared" si="352"/>
        <v/>
      </c>
      <c r="D3260" t="str">
        <f t="shared" si="353"/>
        <v/>
      </c>
      <c r="E3260" t="str">
        <f>IF(F3260="","",IF(COUNTIF($F$2:F3260,F3260)&gt;1,"",SUMIFS(tbl_input[필요수량],tbl_input[집계키_센터],F3260)))</f>
        <v/>
      </c>
      <c r="F3260" t="str">
        <f>IFERROR(INDEX(tbl_input[집계키_센터],ROW()-1),"")</f>
        <v/>
      </c>
      <c r="G3260" t="str">
        <f t="shared" si="354"/>
        <v/>
      </c>
      <c r="H3260" t="str">
        <f t="shared" si="355"/>
        <v/>
      </c>
      <c r="I3260" t="str">
        <f t="shared" si="356"/>
        <v/>
      </c>
    </row>
    <row r="3261" spans="1:9" x14ac:dyDescent="0.4">
      <c r="A3261" t="str">
        <f t="shared" si="350"/>
        <v/>
      </c>
      <c r="B3261" t="str">
        <f t="shared" si="351"/>
        <v/>
      </c>
      <c r="C3261" t="str">
        <f t="shared" si="352"/>
        <v/>
      </c>
      <c r="D3261" t="str">
        <f t="shared" si="353"/>
        <v/>
      </c>
      <c r="E3261" t="str">
        <f>IF(F3261="","",IF(COUNTIF($F$2:F3261,F3261)&gt;1,"",SUMIFS(tbl_input[필요수량],tbl_input[집계키_센터],F3261)))</f>
        <v/>
      </c>
      <c r="F3261" t="str">
        <f>IFERROR(INDEX(tbl_input[집계키_센터],ROW()-1),"")</f>
        <v/>
      </c>
      <c r="G3261" t="str">
        <f t="shared" si="354"/>
        <v/>
      </c>
      <c r="H3261" t="str">
        <f t="shared" si="355"/>
        <v/>
      </c>
      <c r="I3261" t="str">
        <f t="shared" si="356"/>
        <v/>
      </c>
    </row>
    <row r="3262" spans="1:9" x14ac:dyDescent="0.4">
      <c r="A3262" t="str">
        <f t="shared" si="350"/>
        <v/>
      </c>
      <c r="B3262" t="str">
        <f t="shared" si="351"/>
        <v/>
      </c>
      <c r="C3262" t="str">
        <f t="shared" si="352"/>
        <v/>
      </c>
      <c r="D3262" t="str">
        <f t="shared" si="353"/>
        <v/>
      </c>
      <c r="E3262" t="str">
        <f>IF(F3262="","",IF(COUNTIF($F$2:F3262,F3262)&gt;1,"",SUMIFS(tbl_input[필요수량],tbl_input[집계키_센터],F3262)))</f>
        <v/>
      </c>
      <c r="F3262" t="str">
        <f>IFERROR(INDEX(tbl_input[집계키_센터],ROW()-1),"")</f>
        <v/>
      </c>
      <c r="G3262" t="str">
        <f t="shared" si="354"/>
        <v/>
      </c>
      <c r="H3262" t="str">
        <f t="shared" si="355"/>
        <v/>
      </c>
      <c r="I3262" t="str">
        <f t="shared" si="356"/>
        <v/>
      </c>
    </row>
    <row r="3263" spans="1:9" x14ac:dyDescent="0.4">
      <c r="A3263" t="str">
        <f t="shared" si="350"/>
        <v/>
      </c>
      <c r="B3263" t="str">
        <f t="shared" si="351"/>
        <v/>
      </c>
      <c r="C3263" t="str">
        <f t="shared" si="352"/>
        <v/>
      </c>
      <c r="D3263" t="str">
        <f t="shared" si="353"/>
        <v/>
      </c>
      <c r="E3263" t="str">
        <f>IF(F3263="","",IF(COUNTIF($F$2:F3263,F3263)&gt;1,"",SUMIFS(tbl_input[필요수량],tbl_input[집계키_센터],F3263)))</f>
        <v/>
      </c>
      <c r="F3263" t="str">
        <f>IFERROR(INDEX(tbl_input[집계키_센터],ROW()-1),"")</f>
        <v/>
      </c>
      <c r="G3263" t="str">
        <f t="shared" si="354"/>
        <v/>
      </c>
      <c r="H3263" t="str">
        <f t="shared" si="355"/>
        <v/>
      </c>
      <c r="I3263" t="str">
        <f t="shared" si="356"/>
        <v/>
      </c>
    </row>
    <row r="3264" spans="1:9" x14ac:dyDescent="0.4">
      <c r="A3264" t="str">
        <f t="shared" si="350"/>
        <v/>
      </c>
      <c r="B3264" t="str">
        <f t="shared" si="351"/>
        <v/>
      </c>
      <c r="C3264" t="str">
        <f t="shared" si="352"/>
        <v/>
      </c>
      <c r="D3264" t="str">
        <f t="shared" si="353"/>
        <v/>
      </c>
      <c r="E3264" t="str">
        <f>IF(F3264="","",IF(COUNTIF($F$2:F3264,F3264)&gt;1,"",SUMIFS(tbl_input[필요수량],tbl_input[집계키_센터],F3264)))</f>
        <v/>
      </c>
      <c r="F3264" t="str">
        <f>IFERROR(INDEX(tbl_input[집계키_센터],ROW()-1),"")</f>
        <v/>
      </c>
      <c r="G3264" t="str">
        <f t="shared" si="354"/>
        <v/>
      </c>
      <c r="H3264" t="str">
        <f t="shared" si="355"/>
        <v/>
      </c>
      <c r="I3264" t="str">
        <f t="shared" si="356"/>
        <v/>
      </c>
    </row>
    <row r="3265" spans="1:9" x14ac:dyDescent="0.4">
      <c r="A3265" t="str">
        <f t="shared" si="350"/>
        <v/>
      </c>
      <c r="B3265" t="str">
        <f t="shared" si="351"/>
        <v/>
      </c>
      <c r="C3265" t="str">
        <f t="shared" si="352"/>
        <v/>
      </c>
      <c r="D3265" t="str">
        <f t="shared" si="353"/>
        <v/>
      </c>
      <c r="E3265" t="str">
        <f>IF(F3265="","",IF(COUNTIF($F$2:F3265,F3265)&gt;1,"",SUMIFS(tbl_input[필요수량],tbl_input[집계키_센터],F3265)))</f>
        <v/>
      </c>
      <c r="F3265" t="str">
        <f>IFERROR(INDEX(tbl_input[집계키_센터],ROW()-1),"")</f>
        <v/>
      </c>
      <c r="G3265" t="str">
        <f t="shared" si="354"/>
        <v/>
      </c>
      <c r="H3265" t="str">
        <f t="shared" si="355"/>
        <v/>
      </c>
      <c r="I3265" t="str">
        <f t="shared" si="356"/>
        <v/>
      </c>
    </row>
    <row r="3266" spans="1:9" x14ac:dyDescent="0.4">
      <c r="A3266" t="str">
        <f t="shared" ref="A3266:A3329" si="357">IF(F3266="","",LEFT(F3266,G3266-1))</f>
        <v/>
      </c>
      <c r="B3266" t="str">
        <f t="shared" ref="B3266:B3329" si="358">IF(F3266="","",MID(F3266,G3266+1,H3266-G3266-1))</f>
        <v/>
      </c>
      <c r="C3266" t="str">
        <f t="shared" ref="C3266:C3329" si="359">IF(F3266="","",MID(F3266,H3266+1,I3266-H3266-1))</f>
        <v/>
      </c>
      <c r="D3266" t="str">
        <f t="shared" ref="D3266:D3329" si="360">IF(F3266="","",MID(F3266,I3266+1,999))</f>
        <v/>
      </c>
      <c r="E3266" t="str">
        <f>IF(F3266="","",IF(COUNTIF($F$2:F3266,F3266)&gt;1,"",SUMIFS(tbl_input[필요수량],tbl_input[집계키_센터],F3266)))</f>
        <v/>
      </c>
      <c r="F3266" t="str">
        <f>IFERROR(INDEX(tbl_input[집계키_센터],ROW()-1),"")</f>
        <v/>
      </c>
      <c r="G3266" t="str">
        <f t="shared" ref="G3266:G3329" si="361">IF(F3266="","",FIND("♦",F3266))</f>
        <v/>
      </c>
      <c r="H3266" t="str">
        <f t="shared" ref="H3266:H3329" si="362">IF(F3266="","",FIND("♦",F3266,G3266+1))</f>
        <v/>
      </c>
      <c r="I3266" t="str">
        <f t="shared" ref="I3266:I3329" si="363">IF(F3266="","",FIND("♦",F3266,H3266+1))</f>
        <v/>
      </c>
    </row>
    <row r="3267" spans="1:9" x14ac:dyDescent="0.4">
      <c r="A3267" t="str">
        <f t="shared" si="357"/>
        <v/>
      </c>
      <c r="B3267" t="str">
        <f t="shared" si="358"/>
        <v/>
      </c>
      <c r="C3267" t="str">
        <f t="shared" si="359"/>
        <v/>
      </c>
      <c r="D3267" t="str">
        <f t="shared" si="360"/>
        <v/>
      </c>
      <c r="E3267" t="str">
        <f>IF(F3267="","",IF(COUNTIF($F$2:F3267,F3267)&gt;1,"",SUMIFS(tbl_input[필요수량],tbl_input[집계키_센터],F3267)))</f>
        <v/>
      </c>
      <c r="F3267" t="str">
        <f>IFERROR(INDEX(tbl_input[집계키_센터],ROW()-1),"")</f>
        <v/>
      </c>
      <c r="G3267" t="str">
        <f t="shared" si="361"/>
        <v/>
      </c>
      <c r="H3267" t="str">
        <f t="shared" si="362"/>
        <v/>
      </c>
      <c r="I3267" t="str">
        <f t="shared" si="363"/>
        <v/>
      </c>
    </row>
    <row r="3268" spans="1:9" x14ac:dyDescent="0.4">
      <c r="A3268" t="str">
        <f t="shared" si="357"/>
        <v/>
      </c>
      <c r="B3268" t="str">
        <f t="shared" si="358"/>
        <v/>
      </c>
      <c r="C3268" t="str">
        <f t="shared" si="359"/>
        <v/>
      </c>
      <c r="D3268" t="str">
        <f t="shared" si="360"/>
        <v/>
      </c>
      <c r="E3268" t="str">
        <f>IF(F3268="","",IF(COUNTIF($F$2:F3268,F3268)&gt;1,"",SUMIFS(tbl_input[필요수량],tbl_input[집계키_센터],F3268)))</f>
        <v/>
      </c>
      <c r="F3268" t="str">
        <f>IFERROR(INDEX(tbl_input[집계키_센터],ROW()-1),"")</f>
        <v/>
      </c>
      <c r="G3268" t="str">
        <f t="shared" si="361"/>
        <v/>
      </c>
      <c r="H3268" t="str">
        <f t="shared" si="362"/>
        <v/>
      </c>
      <c r="I3268" t="str">
        <f t="shared" si="363"/>
        <v/>
      </c>
    </row>
    <row r="3269" spans="1:9" x14ac:dyDescent="0.4">
      <c r="A3269" t="str">
        <f t="shared" si="357"/>
        <v/>
      </c>
      <c r="B3269" t="str">
        <f t="shared" si="358"/>
        <v/>
      </c>
      <c r="C3269" t="str">
        <f t="shared" si="359"/>
        <v/>
      </c>
      <c r="D3269" t="str">
        <f t="shared" si="360"/>
        <v/>
      </c>
      <c r="E3269" t="str">
        <f>IF(F3269="","",IF(COUNTIF($F$2:F3269,F3269)&gt;1,"",SUMIFS(tbl_input[필요수량],tbl_input[집계키_센터],F3269)))</f>
        <v/>
      </c>
      <c r="F3269" t="str">
        <f>IFERROR(INDEX(tbl_input[집계키_센터],ROW()-1),"")</f>
        <v/>
      </c>
      <c r="G3269" t="str">
        <f t="shared" si="361"/>
        <v/>
      </c>
      <c r="H3269" t="str">
        <f t="shared" si="362"/>
        <v/>
      </c>
      <c r="I3269" t="str">
        <f t="shared" si="363"/>
        <v/>
      </c>
    </row>
    <row r="3270" spans="1:9" x14ac:dyDescent="0.4">
      <c r="A3270" t="str">
        <f t="shared" si="357"/>
        <v/>
      </c>
      <c r="B3270" t="str">
        <f t="shared" si="358"/>
        <v/>
      </c>
      <c r="C3270" t="str">
        <f t="shared" si="359"/>
        <v/>
      </c>
      <c r="D3270" t="str">
        <f t="shared" si="360"/>
        <v/>
      </c>
      <c r="E3270" t="str">
        <f>IF(F3270="","",IF(COUNTIF($F$2:F3270,F3270)&gt;1,"",SUMIFS(tbl_input[필요수량],tbl_input[집계키_센터],F3270)))</f>
        <v/>
      </c>
      <c r="F3270" t="str">
        <f>IFERROR(INDEX(tbl_input[집계키_센터],ROW()-1),"")</f>
        <v/>
      </c>
      <c r="G3270" t="str">
        <f t="shared" si="361"/>
        <v/>
      </c>
      <c r="H3270" t="str">
        <f t="shared" si="362"/>
        <v/>
      </c>
      <c r="I3270" t="str">
        <f t="shared" si="363"/>
        <v/>
      </c>
    </row>
    <row r="3271" spans="1:9" x14ac:dyDescent="0.4">
      <c r="A3271" t="str">
        <f t="shared" si="357"/>
        <v/>
      </c>
      <c r="B3271" t="str">
        <f t="shared" si="358"/>
        <v/>
      </c>
      <c r="C3271" t="str">
        <f t="shared" si="359"/>
        <v/>
      </c>
      <c r="D3271" t="str">
        <f t="shared" si="360"/>
        <v/>
      </c>
      <c r="E3271" t="str">
        <f>IF(F3271="","",IF(COUNTIF($F$2:F3271,F3271)&gt;1,"",SUMIFS(tbl_input[필요수량],tbl_input[집계키_센터],F3271)))</f>
        <v/>
      </c>
      <c r="F3271" t="str">
        <f>IFERROR(INDEX(tbl_input[집계키_센터],ROW()-1),"")</f>
        <v/>
      </c>
      <c r="G3271" t="str">
        <f t="shared" si="361"/>
        <v/>
      </c>
      <c r="H3271" t="str">
        <f t="shared" si="362"/>
        <v/>
      </c>
      <c r="I3271" t="str">
        <f t="shared" si="363"/>
        <v/>
      </c>
    </row>
    <row r="3272" spans="1:9" x14ac:dyDescent="0.4">
      <c r="A3272" t="str">
        <f t="shared" si="357"/>
        <v/>
      </c>
      <c r="B3272" t="str">
        <f t="shared" si="358"/>
        <v/>
      </c>
      <c r="C3272" t="str">
        <f t="shared" si="359"/>
        <v/>
      </c>
      <c r="D3272" t="str">
        <f t="shared" si="360"/>
        <v/>
      </c>
      <c r="E3272" t="str">
        <f>IF(F3272="","",IF(COUNTIF($F$2:F3272,F3272)&gt;1,"",SUMIFS(tbl_input[필요수량],tbl_input[집계키_센터],F3272)))</f>
        <v/>
      </c>
      <c r="F3272" t="str">
        <f>IFERROR(INDEX(tbl_input[집계키_센터],ROW()-1),"")</f>
        <v/>
      </c>
      <c r="G3272" t="str">
        <f t="shared" si="361"/>
        <v/>
      </c>
      <c r="H3272" t="str">
        <f t="shared" si="362"/>
        <v/>
      </c>
      <c r="I3272" t="str">
        <f t="shared" si="363"/>
        <v/>
      </c>
    </row>
    <row r="3273" spans="1:9" x14ac:dyDescent="0.4">
      <c r="A3273" t="str">
        <f t="shared" si="357"/>
        <v/>
      </c>
      <c r="B3273" t="str">
        <f t="shared" si="358"/>
        <v/>
      </c>
      <c r="C3273" t="str">
        <f t="shared" si="359"/>
        <v/>
      </c>
      <c r="D3273" t="str">
        <f t="shared" si="360"/>
        <v/>
      </c>
      <c r="E3273" t="str">
        <f>IF(F3273="","",IF(COUNTIF($F$2:F3273,F3273)&gt;1,"",SUMIFS(tbl_input[필요수량],tbl_input[집계키_센터],F3273)))</f>
        <v/>
      </c>
      <c r="F3273" t="str">
        <f>IFERROR(INDEX(tbl_input[집계키_센터],ROW()-1),"")</f>
        <v/>
      </c>
      <c r="G3273" t="str">
        <f t="shared" si="361"/>
        <v/>
      </c>
      <c r="H3273" t="str">
        <f t="shared" si="362"/>
        <v/>
      </c>
      <c r="I3273" t="str">
        <f t="shared" si="363"/>
        <v/>
      </c>
    </row>
    <row r="3274" spans="1:9" x14ac:dyDescent="0.4">
      <c r="A3274" t="str">
        <f t="shared" si="357"/>
        <v/>
      </c>
      <c r="B3274" t="str">
        <f t="shared" si="358"/>
        <v/>
      </c>
      <c r="C3274" t="str">
        <f t="shared" si="359"/>
        <v/>
      </c>
      <c r="D3274" t="str">
        <f t="shared" si="360"/>
        <v/>
      </c>
      <c r="E3274" t="str">
        <f>IF(F3274="","",IF(COUNTIF($F$2:F3274,F3274)&gt;1,"",SUMIFS(tbl_input[필요수량],tbl_input[집계키_센터],F3274)))</f>
        <v/>
      </c>
      <c r="F3274" t="str">
        <f>IFERROR(INDEX(tbl_input[집계키_센터],ROW()-1),"")</f>
        <v/>
      </c>
      <c r="G3274" t="str">
        <f t="shared" si="361"/>
        <v/>
      </c>
      <c r="H3274" t="str">
        <f t="shared" si="362"/>
        <v/>
      </c>
      <c r="I3274" t="str">
        <f t="shared" si="363"/>
        <v/>
      </c>
    </row>
    <row r="3275" spans="1:9" x14ac:dyDescent="0.4">
      <c r="A3275" t="str">
        <f t="shared" si="357"/>
        <v/>
      </c>
      <c r="B3275" t="str">
        <f t="shared" si="358"/>
        <v/>
      </c>
      <c r="C3275" t="str">
        <f t="shared" si="359"/>
        <v/>
      </c>
      <c r="D3275" t="str">
        <f t="shared" si="360"/>
        <v/>
      </c>
      <c r="E3275" t="str">
        <f>IF(F3275="","",IF(COUNTIF($F$2:F3275,F3275)&gt;1,"",SUMIFS(tbl_input[필요수량],tbl_input[집계키_센터],F3275)))</f>
        <v/>
      </c>
      <c r="F3275" t="str">
        <f>IFERROR(INDEX(tbl_input[집계키_센터],ROW()-1),"")</f>
        <v/>
      </c>
      <c r="G3275" t="str">
        <f t="shared" si="361"/>
        <v/>
      </c>
      <c r="H3275" t="str">
        <f t="shared" si="362"/>
        <v/>
      </c>
      <c r="I3275" t="str">
        <f t="shared" si="363"/>
        <v/>
      </c>
    </row>
    <row r="3276" spans="1:9" x14ac:dyDescent="0.4">
      <c r="A3276" t="str">
        <f t="shared" si="357"/>
        <v/>
      </c>
      <c r="B3276" t="str">
        <f t="shared" si="358"/>
        <v/>
      </c>
      <c r="C3276" t="str">
        <f t="shared" si="359"/>
        <v/>
      </c>
      <c r="D3276" t="str">
        <f t="shared" si="360"/>
        <v/>
      </c>
      <c r="E3276" t="str">
        <f>IF(F3276="","",IF(COUNTIF($F$2:F3276,F3276)&gt;1,"",SUMIFS(tbl_input[필요수량],tbl_input[집계키_센터],F3276)))</f>
        <v/>
      </c>
      <c r="F3276" t="str">
        <f>IFERROR(INDEX(tbl_input[집계키_센터],ROW()-1),"")</f>
        <v/>
      </c>
      <c r="G3276" t="str">
        <f t="shared" si="361"/>
        <v/>
      </c>
      <c r="H3276" t="str">
        <f t="shared" si="362"/>
        <v/>
      </c>
      <c r="I3276" t="str">
        <f t="shared" si="363"/>
        <v/>
      </c>
    </row>
    <row r="3277" spans="1:9" x14ac:dyDescent="0.4">
      <c r="A3277" t="str">
        <f t="shared" si="357"/>
        <v/>
      </c>
      <c r="B3277" t="str">
        <f t="shared" si="358"/>
        <v/>
      </c>
      <c r="C3277" t="str">
        <f t="shared" si="359"/>
        <v/>
      </c>
      <c r="D3277" t="str">
        <f t="shared" si="360"/>
        <v/>
      </c>
      <c r="E3277" t="str">
        <f>IF(F3277="","",IF(COUNTIF($F$2:F3277,F3277)&gt;1,"",SUMIFS(tbl_input[필요수량],tbl_input[집계키_센터],F3277)))</f>
        <v/>
      </c>
      <c r="F3277" t="str">
        <f>IFERROR(INDEX(tbl_input[집계키_센터],ROW()-1),"")</f>
        <v/>
      </c>
      <c r="G3277" t="str">
        <f t="shared" si="361"/>
        <v/>
      </c>
      <c r="H3277" t="str">
        <f t="shared" si="362"/>
        <v/>
      </c>
      <c r="I3277" t="str">
        <f t="shared" si="363"/>
        <v/>
      </c>
    </row>
    <row r="3278" spans="1:9" x14ac:dyDescent="0.4">
      <c r="A3278" t="str">
        <f t="shared" si="357"/>
        <v/>
      </c>
      <c r="B3278" t="str">
        <f t="shared" si="358"/>
        <v/>
      </c>
      <c r="C3278" t="str">
        <f t="shared" si="359"/>
        <v/>
      </c>
      <c r="D3278" t="str">
        <f t="shared" si="360"/>
        <v/>
      </c>
      <c r="E3278" t="str">
        <f>IF(F3278="","",IF(COUNTIF($F$2:F3278,F3278)&gt;1,"",SUMIFS(tbl_input[필요수량],tbl_input[집계키_센터],F3278)))</f>
        <v/>
      </c>
      <c r="F3278" t="str">
        <f>IFERROR(INDEX(tbl_input[집계키_센터],ROW()-1),"")</f>
        <v/>
      </c>
      <c r="G3278" t="str">
        <f t="shared" si="361"/>
        <v/>
      </c>
      <c r="H3278" t="str">
        <f t="shared" si="362"/>
        <v/>
      </c>
      <c r="I3278" t="str">
        <f t="shared" si="363"/>
        <v/>
      </c>
    </row>
    <row r="3279" spans="1:9" x14ac:dyDescent="0.4">
      <c r="A3279" t="str">
        <f t="shared" si="357"/>
        <v/>
      </c>
      <c r="B3279" t="str">
        <f t="shared" si="358"/>
        <v/>
      </c>
      <c r="C3279" t="str">
        <f t="shared" si="359"/>
        <v/>
      </c>
      <c r="D3279" t="str">
        <f t="shared" si="360"/>
        <v/>
      </c>
      <c r="E3279" t="str">
        <f>IF(F3279="","",IF(COUNTIF($F$2:F3279,F3279)&gt;1,"",SUMIFS(tbl_input[필요수량],tbl_input[집계키_센터],F3279)))</f>
        <v/>
      </c>
      <c r="F3279" t="str">
        <f>IFERROR(INDEX(tbl_input[집계키_센터],ROW()-1),"")</f>
        <v/>
      </c>
      <c r="G3279" t="str">
        <f t="shared" si="361"/>
        <v/>
      </c>
      <c r="H3279" t="str">
        <f t="shared" si="362"/>
        <v/>
      </c>
      <c r="I3279" t="str">
        <f t="shared" si="363"/>
        <v/>
      </c>
    </row>
    <row r="3280" spans="1:9" x14ac:dyDescent="0.4">
      <c r="A3280" t="str">
        <f t="shared" si="357"/>
        <v/>
      </c>
      <c r="B3280" t="str">
        <f t="shared" si="358"/>
        <v/>
      </c>
      <c r="C3280" t="str">
        <f t="shared" si="359"/>
        <v/>
      </c>
      <c r="D3280" t="str">
        <f t="shared" si="360"/>
        <v/>
      </c>
      <c r="E3280" t="str">
        <f>IF(F3280="","",IF(COUNTIF($F$2:F3280,F3280)&gt;1,"",SUMIFS(tbl_input[필요수량],tbl_input[집계키_센터],F3280)))</f>
        <v/>
      </c>
      <c r="F3280" t="str">
        <f>IFERROR(INDEX(tbl_input[집계키_센터],ROW()-1),"")</f>
        <v/>
      </c>
      <c r="G3280" t="str">
        <f t="shared" si="361"/>
        <v/>
      </c>
      <c r="H3280" t="str">
        <f t="shared" si="362"/>
        <v/>
      </c>
      <c r="I3280" t="str">
        <f t="shared" si="363"/>
        <v/>
      </c>
    </row>
    <row r="3281" spans="1:9" x14ac:dyDescent="0.4">
      <c r="A3281" t="str">
        <f t="shared" si="357"/>
        <v/>
      </c>
      <c r="B3281" t="str">
        <f t="shared" si="358"/>
        <v/>
      </c>
      <c r="C3281" t="str">
        <f t="shared" si="359"/>
        <v/>
      </c>
      <c r="D3281" t="str">
        <f t="shared" si="360"/>
        <v/>
      </c>
      <c r="E3281" t="str">
        <f>IF(F3281="","",IF(COUNTIF($F$2:F3281,F3281)&gt;1,"",SUMIFS(tbl_input[필요수량],tbl_input[집계키_센터],F3281)))</f>
        <v/>
      </c>
      <c r="F3281" t="str">
        <f>IFERROR(INDEX(tbl_input[집계키_센터],ROW()-1),"")</f>
        <v/>
      </c>
      <c r="G3281" t="str">
        <f t="shared" si="361"/>
        <v/>
      </c>
      <c r="H3281" t="str">
        <f t="shared" si="362"/>
        <v/>
      </c>
      <c r="I3281" t="str">
        <f t="shared" si="363"/>
        <v/>
      </c>
    </row>
    <row r="3282" spans="1:9" x14ac:dyDescent="0.4">
      <c r="A3282" t="str">
        <f t="shared" si="357"/>
        <v/>
      </c>
      <c r="B3282" t="str">
        <f t="shared" si="358"/>
        <v/>
      </c>
      <c r="C3282" t="str">
        <f t="shared" si="359"/>
        <v/>
      </c>
      <c r="D3282" t="str">
        <f t="shared" si="360"/>
        <v/>
      </c>
      <c r="E3282" t="str">
        <f>IF(F3282="","",IF(COUNTIF($F$2:F3282,F3282)&gt;1,"",SUMIFS(tbl_input[필요수량],tbl_input[집계키_센터],F3282)))</f>
        <v/>
      </c>
      <c r="F3282" t="str">
        <f>IFERROR(INDEX(tbl_input[집계키_센터],ROW()-1),"")</f>
        <v/>
      </c>
      <c r="G3282" t="str">
        <f t="shared" si="361"/>
        <v/>
      </c>
      <c r="H3282" t="str">
        <f t="shared" si="362"/>
        <v/>
      </c>
      <c r="I3282" t="str">
        <f t="shared" si="363"/>
        <v/>
      </c>
    </row>
    <row r="3283" spans="1:9" x14ac:dyDescent="0.4">
      <c r="A3283" t="str">
        <f t="shared" si="357"/>
        <v/>
      </c>
      <c r="B3283" t="str">
        <f t="shared" si="358"/>
        <v/>
      </c>
      <c r="C3283" t="str">
        <f t="shared" si="359"/>
        <v/>
      </c>
      <c r="D3283" t="str">
        <f t="shared" si="360"/>
        <v/>
      </c>
      <c r="E3283" t="str">
        <f>IF(F3283="","",IF(COUNTIF($F$2:F3283,F3283)&gt;1,"",SUMIFS(tbl_input[필요수량],tbl_input[집계키_센터],F3283)))</f>
        <v/>
      </c>
      <c r="F3283" t="str">
        <f>IFERROR(INDEX(tbl_input[집계키_센터],ROW()-1),"")</f>
        <v/>
      </c>
      <c r="G3283" t="str">
        <f t="shared" si="361"/>
        <v/>
      </c>
      <c r="H3283" t="str">
        <f t="shared" si="362"/>
        <v/>
      </c>
      <c r="I3283" t="str">
        <f t="shared" si="363"/>
        <v/>
      </c>
    </row>
    <row r="3284" spans="1:9" x14ac:dyDescent="0.4">
      <c r="A3284" t="str">
        <f t="shared" si="357"/>
        <v/>
      </c>
      <c r="B3284" t="str">
        <f t="shared" si="358"/>
        <v/>
      </c>
      <c r="C3284" t="str">
        <f t="shared" si="359"/>
        <v/>
      </c>
      <c r="D3284" t="str">
        <f t="shared" si="360"/>
        <v/>
      </c>
      <c r="E3284" t="str">
        <f>IF(F3284="","",IF(COUNTIF($F$2:F3284,F3284)&gt;1,"",SUMIFS(tbl_input[필요수량],tbl_input[집계키_센터],F3284)))</f>
        <v/>
      </c>
      <c r="F3284" t="str">
        <f>IFERROR(INDEX(tbl_input[집계키_센터],ROW()-1),"")</f>
        <v/>
      </c>
      <c r="G3284" t="str">
        <f t="shared" si="361"/>
        <v/>
      </c>
      <c r="H3284" t="str">
        <f t="shared" si="362"/>
        <v/>
      </c>
      <c r="I3284" t="str">
        <f t="shared" si="363"/>
        <v/>
      </c>
    </row>
    <row r="3285" spans="1:9" x14ac:dyDescent="0.4">
      <c r="A3285" t="str">
        <f t="shared" si="357"/>
        <v/>
      </c>
      <c r="B3285" t="str">
        <f t="shared" si="358"/>
        <v/>
      </c>
      <c r="C3285" t="str">
        <f t="shared" si="359"/>
        <v/>
      </c>
      <c r="D3285" t="str">
        <f t="shared" si="360"/>
        <v/>
      </c>
      <c r="E3285" t="str">
        <f>IF(F3285="","",IF(COUNTIF($F$2:F3285,F3285)&gt;1,"",SUMIFS(tbl_input[필요수량],tbl_input[집계키_센터],F3285)))</f>
        <v/>
      </c>
      <c r="F3285" t="str">
        <f>IFERROR(INDEX(tbl_input[집계키_센터],ROW()-1),"")</f>
        <v/>
      </c>
      <c r="G3285" t="str">
        <f t="shared" si="361"/>
        <v/>
      </c>
      <c r="H3285" t="str">
        <f t="shared" si="362"/>
        <v/>
      </c>
      <c r="I3285" t="str">
        <f t="shared" si="363"/>
        <v/>
      </c>
    </row>
    <row r="3286" spans="1:9" x14ac:dyDescent="0.4">
      <c r="A3286" t="str">
        <f t="shared" si="357"/>
        <v/>
      </c>
      <c r="B3286" t="str">
        <f t="shared" si="358"/>
        <v/>
      </c>
      <c r="C3286" t="str">
        <f t="shared" si="359"/>
        <v/>
      </c>
      <c r="D3286" t="str">
        <f t="shared" si="360"/>
        <v/>
      </c>
      <c r="E3286" t="str">
        <f>IF(F3286="","",IF(COUNTIF($F$2:F3286,F3286)&gt;1,"",SUMIFS(tbl_input[필요수량],tbl_input[집계키_센터],F3286)))</f>
        <v/>
      </c>
      <c r="F3286" t="str">
        <f>IFERROR(INDEX(tbl_input[집계키_센터],ROW()-1),"")</f>
        <v/>
      </c>
      <c r="G3286" t="str">
        <f t="shared" si="361"/>
        <v/>
      </c>
      <c r="H3286" t="str">
        <f t="shared" si="362"/>
        <v/>
      </c>
      <c r="I3286" t="str">
        <f t="shared" si="363"/>
        <v/>
      </c>
    </row>
    <row r="3287" spans="1:9" x14ac:dyDescent="0.4">
      <c r="A3287" t="str">
        <f t="shared" si="357"/>
        <v/>
      </c>
      <c r="B3287" t="str">
        <f t="shared" si="358"/>
        <v/>
      </c>
      <c r="C3287" t="str">
        <f t="shared" si="359"/>
        <v/>
      </c>
      <c r="D3287" t="str">
        <f t="shared" si="360"/>
        <v/>
      </c>
      <c r="E3287" t="str">
        <f>IF(F3287="","",IF(COUNTIF($F$2:F3287,F3287)&gt;1,"",SUMIFS(tbl_input[필요수량],tbl_input[집계키_센터],F3287)))</f>
        <v/>
      </c>
      <c r="F3287" t="str">
        <f>IFERROR(INDEX(tbl_input[집계키_센터],ROW()-1),"")</f>
        <v/>
      </c>
      <c r="G3287" t="str">
        <f t="shared" si="361"/>
        <v/>
      </c>
      <c r="H3287" t="str">
        <f t="shared" si="362"/>
        <v/>
      </c>
      <c r="I3287" t="str">
        <f t="shared" si="363"/>
        <v/>
      </c>
    </row>
    <row r="3288" spans="1:9" x14ac:dyDescent="0.4">
      <c r="A3288" t="str">
        <f t="shared" si="357"/>
        <v/>
      </c>
      <c r="B3288" t="str">
        <f t="shared" si="358"/>
        <v/>
      </c>
      <c r="C3288" t="str">
        <f t="shared" si="359"/>
        <v/>
      </c>
      <c r="D3288" t="str">
        <f t="shared" si="360"/>
        <v/>
      </c>
      <c r="E3288" t="str">
        <f>IF(F3288="","",IF(COUNTIF($F$2:F3288,F3288)&gt;1,"",SUMIFS(tbl_input[필요수량],tbl_input[집계키_센터],F3288)))</f>
        <v/>
      </c>
      <c r="F3288" t="str">
        <f>IFERROR(INDEX(tbl_input[집계키_센터],ROW()-1),"")</f>
        <v/>
      </c>
      <c r="G3288" t="str">
        <f t="shared" si="361"/>
        <v/>
      </c>
      <c r="H3288" t="str">
        <f t="shared" si="362"/>
        <v/>
      </c>
      <c r="I3288" t="str">
        <f t="shared" si="363"/>
        <v/>
      </c>
    </row>
    <row r="3289" spans="1:9" x14ac:dyDescent="0.4">
      <c r="A3289" t="str">
        <f t="shared" si="357"/>
        <v/>
      </c>
      <c r="B3289" t="str">
        <f t="shared" si="358"/>
        <v/>
      </c>
      <c r="C3289" t="str">
        <f t="shared" si="359"/>
        <v/>
      </c>
      <c r="D3289" t="str">
        <f t="shared" si="360"/>
        <v/>
      </c>
      <c r="E3289" t="str">
        <f>IF(F3289="","",IF(COUNTIF($F$2:F3289,F3289)&gt;1,"",SUMIFS(tbl_input[필요수량],tbl_input[집계키_센터],F3289)))</f>
        <v/>
      </c>
      <c r="F3289" t="str">
        <f>IFERROR(INDEX(tbl_input[집계키_센터],ROW()-1),"")</f>
        <v/>
      </c>
      <c r="G3289" t="str">
        <f t="shared" si="361"/>
        <v/>
      </c>
      <c r="H3289" t="str">
        <f t="shared" si="362"/>
        <v/>
      </c>
      <c r="I3289" t="str">
        <f t="shared" si="363"/>
        <v/>
      </c>
    </row>
    <row r="3290" spans="1:9" x14ac:dyDescent="0.4">
      <c r="A3290" t="str">
        <f t="shared" si="357"/>
        <v/>
      </c>
      <c r="B3290" t="str">
        <f t="shared" si="358"/>
        <v/>
      </c>
      <c r="C3290" t="str">
        <f t="shared" si="359"/>
        <v/>
      </c>
      <c r="D3290" t="str">
        <f t="shared" si="360"/>
        <v/>
      </c>
      <c r="E3290" t="str">
        <f>IF(F3290="","",IF(COUNTIF($F$2:F3290,F3290)&gt;1,"",SUMIFS(tbl_input[필요수량],tbl_input[집계키_센터],F3290)))</f>
        <v/>
      </c>
      <c r="F3290" t="str">
        <f>IFERROR(INDEX(tbl_input[집계키_센터],ROW()-1),"")</f>
        <v/>
      </c>
      <c r="G3290" t="str">
        <f t="shared" si="361"/>
        <v/>
      </c>
      <c r="H3290" t="str">
        <f t="shared" si="362"/>
        <v/>
      </c>
      <c r="I3290" t="str">
        <f t="shared" si="363"/>
        <v/>
      </c>
    </row>
    <row r="3291" spans="1:9" x14ac:dyDescent="0.4">
      <c r="A3291" t="str">
        <f t="shared" si="357"/>
        <v/>
      </c>
      <c r="B3291" t="str">
        <f t="shared" si="358"/>
        <v/>
      </c>
      <c r="C3291" t="str">
        <f t="shared" si="359"/>
        <v/>
      </c>
      <c r="D3291" t="str">
        <f t="shared" si="360"/>
        <v/>
      </c>
      <c r="E3291" t="str">
        <f>IF(F3291="","",IF(COUNTIF($F$2:F3291,F3291)&gt;1,"",SUMIFS(tbl_input[필요수량],tbl_input[집계키_센터],F3291)))</f>
        <v/>
      </c>
      <c r="F3291" t="str">
        <f>IFERROR(INDEX(tbl_input[집계키_센터],ROW()-1),"")</f>
        <v/>
      </c>
      <c r="G3291" t="str">
        <f t="shared" si="361"/>
        <v/>
      </c>
      <c r="H3291" t="str">
        <f t="shared" si="362"/>
        <v/>
      </c>
      <c r="I3291" t="str">
        <f t="shared" si="363"/>
        <v/>
      </c>
    </row>
    <row r="3292" spans="1:9" x14ac:dyDescent="0.4">
      <c r="A3292" t="str">
        <f t="shared" si="357"/>
        <v/>
      </c>
      <c r="B3292" t="str">
        <f t="shared" si="358"/>
        <v/>
      </c>
      <c r="C3292" t="str">
        <f t="shared" si="359"/>
        <v/>
      </c>
      <c r="D3292" t="str">
        <f t="shared" si="360"/>
        <v/>
      </c>
      <c r="E3292" t="str">
        <f>IF(F3292="","",IF(COUNTIF($F$2:F3292,F3292)&gt;1,"",SUMIFS(tbl_input[필요수량],tbl_input[집계키_센터],F3292)))</f>
        <v/>
      </c>
      <c r="F3292" t="str">
        <f>IFERROR(INDEX(tbl_input[집계키_센터],ROW()-1),"")</f>
        <v/>
      </c>
      <c r="G3292" t="str">
        <f t="shared" si="361"/>
        <v/>
      </c>
      <c r="H3292" t="str">
        <f t="shared" si="362"/>
        <v/>
      </c>
      <c r="I3292" t="str">
        <f t="shared" si="363"/>
        <v/>
      </c>
    </row>
    <row r="3293" spans="1:9" x14ac:dyDescent="0.4">
      <c r="A3293" t="str">
        <f t="shared" si="357"/>
        <v/>
      </c>
      <c r="B3293" t="str">
        <f t="shared" si="358"/>
        <v/>
      </c>
      <c r="C3293" t="str">
        <f t="shared" si="359"/>
        <v/>
      </c>
      <c r="D3293" t="str">
        <f t="shared" si="360"/>
        <v/>
      </c>
      <c r="E3293" t="str">
        <f>IF(F3293="","",IF(COUNTIF($F$2:F3293,F3293)&gt;1,"",SUMIFS(tbl_input[필요수량],tbl_input[집계키_센터],F3293)))</f>
        <v/>
      </c>
      <c r="F3293" t="str">
        <f>IFERROR(INDEX(tbl_input[집계키_센터],ROW()-1),"")</f>
        <v/>
      </c>
      <c r="G3293" t="str">
        <f t="shared" si="361"/>
        <v/>
      </c>
      <c r="H3293" t="str">
        <f t="shared" si="362"/>
        <v/>
      </c>
      <c r="I3293" t="str">
        <f t="shared" si="363"/>
        <v/>
      </c>
    </row>
    <row r="3294" spans="1:9" x14ac:dyDescent="0.4">
      <c r="A3294" t="str">
        <f t="shared" si="357"/>
        <v/>
      </c>
      <c r="B3294" t="str">
        <f t="shared" si="358"/>
        <v/>
      </c>
      <c r="C3294" t="str">
        <f t="shared" si="359"/>
        <v/>
      </c>
      <c r="D3294" t="str">
        <f t="shared" si="360"/>
        <v/>
      </c>
      <c r="E3294" t="str">
        <f>IF(F3294="","",IF(COUNTIF($F$2:F3294,F3294)&gt;1,"",SUMIFS(tbl_input[필요수량],tbl_input[집계키_센터],F3294)))</f>
        <v/>
      </c>
      <c r="F3294" t="str">
        <f>IFERROR(INDEX(tbl_input[집계키_센터],ROW()-1),"")</f>
        <v/>
      </c>
      <c r="G3294" t="str">
        <f t="shared" si="361"/>
        <v/>
      </c>
      <c r="H3294" t="str">
        <f t="shared" si="362"/>
        <v/>
      </c>
      <c r="I3294" t="str">
        <f t="shared" si="363"/>
        <v/>
      </c>
    </row>
    <row r="3295" spans="1:9" x14ac:dyDescent="0.4">
      <c r="A3295" t="str">
        <f t="shared" si="357"/>
        <v/>
      </c>
      <c r="B3295" t="str">
        <f t="shared" si="358"/>
        <v/>
      </c>
      <c r="C3295" t="str">
        <f t="shared" si="359"/>
        <v/>
      </c>
      <c r="D3295" t="str">
        <f t="shared" si="360"/>
        <v/>
      </c>
      <c r="E3295" t="str">
        <f>IF(F3295="","",IF(COUNTIF($F$2:F3295,F3295)&gt;1,"",SUMIFS(tbl_input[필요수량],tbl_input[집계키_센터],F3295)))</f>
        <v/>
      </c>
      <c r="F3295" t="str">
        <f>IFERROR(INDEX(tbl_input[집계키_센터],ROW()-1),"")</f>
        <v/>
      </c>
      <c r="G3295" t="str">
        <f t="shared" si="361"/>
        <v/>
      </c>
      <c r="H3295" t="str">
        <f t="shared" si="362"/>
        <v/>
      </c>
      <c r="I3295" t="str">
        <f t="shared" si="363"/>
        <v/>
      </c>
    </row>
    <row r="3296" spans="1:9" x14ac:dyDescent="0.4">
      <c r="A3296" t="str">
        <f t="shared" si="357"/>
        <v/>
      </c>
      <c r="B3296" t="str">
        <f t="shared" si="358"/>
        <v/>
      </c>
      <c r="C3296" t="str">
        <f t="shared" si="359"/>
        <v/>
      </c>
      <c r="D3296" t="str">
        <f t="shared" si="360"/>
        <v/>
      </c>
      <c r="E3296" t="str">
        <f>IF(F3296="","",IF(COUNTIF($F$2:F3296,F3296)&gt;1,"",SUMIFS(tbl_input[필요수량],tbl_input[집계키_센터],F3296)))</f>
        <v/>
      </c>
      <c r="F3296" t="str">
        <f>IFERROR(INDEX(tbl_input[집계키_센터],ROW()-1),"")</f>
        <v/>
      </c>
      <c r="G3296" t="str">
        <f t="shared" si="361"/>
        <v/>
      </c>
      <c r="H3296" t="str">
        <f t="shared" si="362"/>
        <v/>
      </c>
      <c r="I3296" t="str">
        <f t="shared" si="363"/>
        <v/>
      </c>
    </row>
    <row r="3297" spans="1:9" x14ac:dyDescent="0.4">
      <c r="A3297" t="str">
        <f t="shared" si="357"/>
        <v/>
      </c>
      <c r="B3297" t="str">
        <f t="shared" si="358"/>
        <v/>
      </c>
      <c r="C3297" t="str">
        <f t="shared" si="359"/>
        <v/>
      </c>
      <c r="D3297" t="str">
        <f t="shared" si="360"/>
        <v/>
      </c>
      <c r="E3297" t="str">
        <f>IF(F3297="","",IF(COUNTIF($F$2:F3297,F3297)&gt;1,"",SUMIFS(tbl_input[필요수량],tbl_input[집계키_센터],F3297)))</f>
        <v/>
      </c>
      <c r="F3297" t="str">
        <f>IFERROR(INDEX(tbl_input[집계키_센터],ROW()-1),"")</f>
        <v/>
      </c>
      <c r="G3297" t="str">
        <f t="shared" si="361"/>
        <v/>
      </c>
      <c r="H3297" t="str">
        <f t="shared" si="362"/>
        <v/>
      </c>
      <c r="I3297" t="str">
        <f t="shared" si="363"/>
        <v/>
      </c>
    </row>
    <row r="3298" spans="1:9" x14ac:dyDescent="0.4">
      <c r="A3298" t="str">
        <f t="shared" si="357"/>
        <v/>
      </c>
      <c r="B3298" t="str">
        <f t="shared" si="358"/>
        <v/>
      </c>
      <c r="C3298" t="str">
        <f t="shared" si="359"/>
        <v/>
      </c>
      <c r="D3298" t="str">
        <f t="shared" si="360"/>
        <v/>
      </c>
      <c r="E3298" t="str">
        <f>IF(F3298="","",IF(COUNTIF($F$2:F3298,F3298)&gt;1,"",SUMIFS(tbl_input[필요수량],tbl_input[집계키_센터],F3298)))</f>
        <v/>
      </c>
      <c r="F3298" t="str">
        <f>IFERROR(INDEX(tbl_input[집계키_센터],ROW()-1),"")</f>
        <v/>
      </c>
      <c r="G3298" t="str">
        <f t="shared" si="361"/>
        <v/>
      </c>
      <c r="H3298" t="str">
        <f t="shared" si="362"/>
        <v/>
      </c>
      <c r="I3298" t="str">
        <f t="shared" si="363"/>
        <v/>
      </c>
    </row>
    <row r="3299" spans="1:9" x14ac:dyDescent="0.4">
      <c r="A3299" t="str">
        <f t="shared" si="357"/>
        <v/>
      </c>
      <c r="B3299" t="str">
        <f t="shared" si="358"/>
        <v/>
      </c>
      <c r="C3299" t="str">
        <f t="shared" si="359"/>
        <v/>
      </c>
      <c r="D3299" t="str">
        <f t="shared" si="360"/>
        <v/>
      </c>
      <c r="E3299" t="str">
        <f>IF(F3299="","",IF(COUNTIF($F$2:F3299,F3299)&gt;1,"",SUMIFS(tbl_input[필요수량],tbl_input[집계키_센터],F3299)))</f>
        <v/>
      </c>
      <c r="F3299" t="str">
        <f>IFERROR(INDEX(tbl_input[집계키_센터],ROW()-1),"")</f>
        <v/>
      </c>
      <c r="G3299" t="str">
        <f t="shared" si="361"/>
        <v/>
      </c>
      <c r="H3299" t="str">
        <f t="shared" si="362"/>
        <v/>
      </c>
      <c r="I3299" t="str">
        <f t="shared" si="363"/>
        <v/>
      </c>
    </row>
    <row r="3300" spans="1:9" x14ac:dyDescent="0.4">
      <c r="A3300" t="str">
        <f t="shared" si="357"/>
        <v/>
      </c>
      <c r="B3300" t="str">
        <f t="shared" si="358"/>
        <v/>
      </c>
      <c r="C3300" t="str">
        <f t="shared" si="359"/>
        <v/>
      </c>
      <c r="D3300" t="str">
        <f t="shared" si="360"/>
        <v/>
      </c>
      <c r="E3300" t="str">
        <f>IF(F3300="","",IF(COUNTIF($F$2:F3300,F3300)&gt;1,"",SUMIFS(tbl_input[필요수량],tbl_input[집계키_센터],F3300)))</f>
        <v/>
      </c>
      <c r="F3300" t="str">
        <f>IFERROR(INDEX(tbl_input[집계키_센터],ROW()-1),"")</f>
        <v/>
      </c>
      <c r="G3300" t="str">
        <f t="shared" si="361"/>
        <v/>
      </c>
      <c r="H3300" t="str">
        <f t="shared" si="362"/>
        <v/>
      </c>
      <c r="I3300" t="str">
        <f t="shared" si="363"/>
        <v/>
      </c>
    </row>
    <row r="3301" spans="1:9" x14ac:dyDescent="0.4">
      <c r="A3301" t="str">
        <f t="shared" si="357"/>
        <v/>
      </c>
      <c r="B3301" t="str">
        <f t="shared" si="358"/>
        <v/>
      </c>
      <c r="C3301" t="str">
        <f t="shared" si="359"/>
        <v/>
      </c>
      <c r="D3301" t="str">
        <f t="shared" si="360"/>
        <v/>
      </c>
      <c r="E3301" t="str">
        <f>IF(F3301="","",IF(COUNTIF($F$2:F3301,F3301)&gt;1,"",SUMIFS(tbl_input[필요수량],tbl_input[집계키_센터],F3301)))</f>
        <v/>
      </c>
      <c r="F3301" t="str">
        <f>IFERROR(INDEX(tbl_input[집계키_센터],ROW()-1),"")</f>
        <v/>
      </c>
      <c r="G3301" t="str">
        <f t="shared" si="361"/>
        <v/>
      </c>
      <c r="H3301" t="str">
        <f t="shared" si="362"/>
        <v/>
      </c>
      <c r="I3301" t="str">
        <f t="shared" si="363"/>
        <v/>
      </c>
    </row>
    <row r="3302" spans="1:9" x14ac:dyDescent="0.4">
      <c r="A3302" t="str">
        <f t="shared" si="357"/>
        <v/>
      </c>
      <c r="B3302" t="str">
        <f t="shared" si="358"/>
        <v/>
      </c>
      <c r="C3302" t="str">
        <f t="shared" si="359"/>
        <v/>
      </c>
      <c r="D3302" t="str">
        <f t="shared" si="360"/>
        <v/>
      </c>
      <c r="E3302" t="str">
        <f>IF(F3302="","",IF(COUNTIF($F$2:F3302,F3302)&gt;1,"",SUMIFS(tbl_input[필요수량],tbl_input[집계키_센터],F3302)))</f>
        <v/>
      </c>
      <c r="F3302" t="str">
        <f>IFERROR(INDEX(tbl_input[집계키_센터],ROW()-1),"")</f>
        <v/>
      </c>
      <c r="G3302" t="str">
        <f t="shared" si="361"/>
        <v/>
      </c>
      <c r="H3302" t="str">
        <f t="shared" si="362"/>
        <v/>
      </c>
      <c r="I3302" t="str">
        <f t="shared" si="363"/>
        <v/>
      </c>
    </row>
    <row r="3303" spans="1:9" x14ac:dyDescent="0.4">
      <c r="A3303" t="str">
        <f t="shared" si="357"/>
        <v/>
      </c>
      <c r="B3303" t="str">
        <f t="shared" si="358"/>
        <v/>
      </c>
      <c r="C3303" t="str">
        <f t="shared" si="359"/>
        <v/>
      </c>
      <c r="D3303" t="str">
        <f t="shared" si="360"/>
        <v/>
      </c>
      <c r="E3303" t="str">
        <f>IF(F3303="","",IF(COUNTIF($F$2:F3303,F3303)&gt;1,"",SUMIFS(tbl_input[필요수량],tbl_input[집계키_센터],F3303)))</f>
        <v/>
      </c>
      <c r="F3303" t="str">
        <f>IFERROR(INDEX(tbl_input[집계키_센터],ROW()-1),"")</f>
        <v/>
      </c>
      <c r="G3303" t="str">
        <f t="shared" si="361"/>
        <v/>
      </c>
      <c r="H3303" t="str">
        <f t="shared" si="362"/>
        <v/>
      </c>
      <c r="I3303" t="str">
        <f t="shared" si="363"/>
        <v/>
      </c>
    </row>
    <row r="3304" spans="1:9" x14ac:dyDescent="0.4">
      <c r="A3304" t="str">
        <f t="shared" si="357"/>
        <v/>
      </c>
      <c r="B3304" t="str">
        <f t="shared" si="358"/>
        <v/>
      </c>
      <c r="C3304" t="str">
        <f t="shared" si="359"/>
        <v/>
      </c>
      <c r="D3304" t="str">
        <f t="shared" si="360"/>
        <v/>
      </c>
      <c r="E3304" t="str">
        <f>IF(F3304="","",IF(COUNTIF($F$2:F3304,F3304)&gt;1,"",SUMIFS(tbl_input[필요수량],tbl_input[집계키_센터],F3304)))</f>
        <v/>
      </c>
      <c r="F3304" t="str">
        <f>IFERROR(INDEX(tbl_input[집계키_센터],ROW()-1),"")</f>
        <v/>
      </c>
      <c r="G3304" t="str">
        <f t="shared" si="361"/>
        <v/>
      </c>
      <c r="H3304" t="str">
        <f t="shared" si="362"/>
        <v/>
      </c>
      <c r="I3304" t="str">
        <f t="shared" si="363"/>
        <v/>
      </c>
    </row>
    <row r="3305" spans="1:9" x14ac:dyDescent="0.4">
      <c r="A3305" t="str">
        <f t="shared" si="357"/>
        <v/>
      </c>
      <c r="B3305" t="str">
        <f t="shared" si="358"/>
        <v/>
      </c>
      <c r="C3305" t="str">
        <f t="shared" si="359"/>
        <v/>
      </c>
      <c r="D3305" t="str">
        <f t="shared" si="360"/>
        <v/>
      </c>
      <c r="E3305" t="str">
        <f>IF(F3305="","",IF(COUNTIF($F$2:F3305,F3305)&gt;1,"",SUMIFS(tbl_input[필요수량],tbl_input[집계키_센터],F3305)))</f>
        <v/>
      </c>
      <c r="F3305" t="str">
        <f>IFERROR(INDEX(tbl_input[집계키_센터],ROW()-1),"")</f>
        <v/>
      </c>
      <c r="G3305" t="str">
        <f t="shared" si="361"/>
        <v/>
      </c>
      <c r="H3305" t="str">
        <f t="shared" si="362"/>
        <v/>
      </c>
      <c r="I3305" t="str">
        <f t="shared" si="363"/>
        <v/>
      </c>
    </row>
    <row r="3306" spans="1:9" x14ac:dyDescent="0.4">
      <c r="A3306" t="str">
        <f t="shared" si="357"/>
        <v/>
      </c>
      <c r="B3306" t="str">
        <f t="shared" si="358"/>
        <v/>
      </c>
      <c r="C3306" t="str">
        <f t="shared" si="359"/>
        <v/>
      </c>
      <c r="D3306" t="str">
        <f t="shared" si="360"/>
        <v/>
      </c>
      <c r="E3306" t="str">
        <f>IF(F3306="","",IF(COUNTIF($F$2:F3306,F3306)&gt;1,"",SUMIFS(tbl_input[필요수량],tbl_input[집계키_센터],F3306)))</f>
        <v/>
      </c>
      <c r="F3306" t="str">
        <f>IFERROR(INDEX(tbl_input[집계키_센터],ROW()-1),"")</f>
        <v/>
      </c>
      <c r="G3306" t="str">
        <f t="shared" si="361"/>
        <v/>
      </c>
      <c r="H3306" t="str">
        <f t="shared" si="362"/>
        <v/>
      </c>
      <c r="I3306" t="str">
        <f t="shared" si="363"/>
        <v/>
      </c>
    </row>
    <row r="3307" spans="1:9" x14ac:dyDescent="0.4">
      <c r="A3307" t="str">
        <f t="shared" si="357"/>
        <v/>
      </c>
      <c r="B3307" t="str">
        <f t="shared" si="358"/>
        <v/>
      </c>
      <c r="C3307" t="str">
        <f t="shared" si="359"/>
        <v/>
      </c>
      <c r="D3307" t="str">
        <f t="shared" si="360"/>
        <v/>
      </c>
      <c r="E3307" t="str">
        <f>IF(F3307="","",IF(COUNTIF($F$2:F3307,F3307)&gt;1,"",SUMIFS(tbl_input[필요수량],tbl_input[집계키_센터],F3307)))</f>
        <v/>
      </c>
      <c r="F3307" t="str">
        <f>IFERROR(INDEX(tbl_input[집계키_센터],ROW()-1),"")</f>
        <v/>
      </c>
      <c r="G3307" t="str">
        <f t="shared" si="361"/>
        <v/>
      </c>
      <c r="H3307" t="str">
        <f t="shared" si="362"/>
        <v/>
      </c>
      <c r="I3307" t="str">
        <f t="shared" si="363"/>
        <v/>
      </c>
    </row>
    <row r="3308" spans="1:9" x14ac:dyDescent="0.4">
      <c r="A3308" t="str">
        <f t="shared" si="357"/>
        <v/>
      </c>
      <c r="B3308" t="str">
        <f t="shared" si="358"/>
        <v/>
      </c>
      <c r="C3308" t="str">
        <f t="shared" si="359"/>
        <v/>
      </c>
      <c r="D3308" t="str">
        <f t="shared" si="360"/>
        <v/>
      </c>
      <c r="E3308" t="str">
        <f>IF(F3308="","",IF(COUNTIF($F$2:F3308,F3308)&gt;1,"",SUMIFS(tbl_input[필요수량],tbl_input[집계키_센터],F3308)))</f>
        <v/>
      </c>
      <c r="F3308" t="str">
        <f>IFERROR(INDEX(tbl_input[집계키_센터],ROW()-1),"")</f>
        <v/>
      </c>
      <c r="G3308" t="str">
        <f t="shared" si="361"/>
        <v/>
      </c>
      <c r="H3308" t="str">
        <f t="shared" si="362"/>
        <v/>
      </c>
      <c r="I3308" t="str">
        <f t="shared" si="363"/>
        <v/>
      </c>
    </row>
    <row r="3309" spans="1:9" x14ac:dyDescent="0.4">
      <c r="A3309" t="str">
        <f t="shared" si="357"/>
        <v/>
      </c>
      <c r="B3309" t="str">
        <f t="shared" si="358"/>
        <v/>
      </c>
      <c r="C3309" t="str">
        <f t="shared" si="359"/>
        <v/>
      </c>
      <c r="D3309" t="str">
        <f t="shared" si="360"/>
        <v/>
      </c>
      <c r="E3309" t="str">
        <f>IF(F3309="","",IF(COUNTIF($F$2:F3309,F3309)&gt;1,"",SUMIFS(tbl_input[필요수량],tbl_input[집계키_센터],F3309)))</f>
        <v/>
      </c>
      <c r="F3309" t="str">
        <f>IFERROR(INDEX(tbl_input[집계키_센터],ROW()-1),"")</f>
        <v/>
      </c>
      <c r="G3309" t="str">
        <f t="shared" si="361"/>
        <v/>
      </c>
      <c r="H3309" t="str">
        <f t="shared" si="362"/>
        <v/>
      </c>
      <c r="I3309" t="str">
        <f t="shared" si="363"/>
        <v/>
      </c>
    </row>
    <row r="3310" spans="1:9" x14ac:dyDescent="0.4">
      <c r="A3310" t="str">
        <f t="shared" si="357"/>
        <v/>
      </c>
      <c r="B3310" t="str">
        <f t="shared" si="358"/>
        <v/>
      </c>
      <c r="C3310" t="str">
        <f t="shared" si="359"/>
        <v/>
      </c>
      <c r="D3310" t="str">
        <f t="shared" si="360"/>
        <v/>
      </c>
      <c r="E3310" t="str">
        <f>IF(F3310="","",IF(COUNTIF($F$2:F3310,F3310)&gt;1,"",SUMIFS(tbl_input[필요수량],tbl_input[집계키_센터],F3310)))</f>
        <v/>
      </c>
      <c r="F3310" t="str">
        <f>IFERROR(INDEX(tbl_input[집계키_센터],ROW()-1),"")</f>
        <v/>
      </c>
      <c r="G3310" t="str">
        <f t="shared" si="361"/>
        <v/>
      </c>
      <c r="H3310" t="str">
        <f t="shared" si="362"/>
        <v/>
      </c>
      <c r="I3310" t="str">
        <f t="shared" si="363"/>
        <v/>
      </c>
    </row>
    <row r="3311" spans="1:9" x14ac:dyDescent="0.4">
      <c r="A3311" t="str">
        <f t="shared" si="357"/>
        <v/>
      </c>
      <c r="B3311" t="str">
        <f t="shared" si="358"/>
        <v/>
      </c>
      <c r="C3311" t="str">
        <f t="shared" si="359"/>
        <v/>
      </c>
      <c r="D3311" t="str">
        <f t="shared" si="360"/>
        <v/>
      </c>
      <c r="E3311" t="str">
        <f>IF(F3311="","",IF(COUNTIF($F$2:F3311,F3311)&gt;1,"",SUMIFS(tbl_input[필요수량],tbl_input[집계키_센터],F3311)))</f>
        <v/>
      </c>
      <c r="F3311" t="str">
        <f>IFERROR(INDEX(tbl_input[집계키_센터],ROW()-1),"")</f>
        <v/>
      </c>
      <c r="G3311" t="str">
        <f t="shared" si="361"/>
        <v/>
      </c>
      <c r="H3311" t="str">
        <f t="shared" si="362"/>
        <v/>
      </c>
      <c r="I3311" t="str">
        <f t="shared" si="363"/>
        <v/>
      </c>
    </row>
    <row r="3312" spans="1:9" x14ac:dyDescent="0.4">
      <c r="A3312" t="str">
        <f t="shared" si="357"/>
        <v/>
      </c>
      <c r="B3312" t="str">
        <f t="shared" si="358"/>
        <v/>
      </c>
      <c r="C3312" t="str">
        <f t="shared" si="359"/>
        <v/>
      </c>
      <c r="D3312" t="str">
        <f t="shared" si="360"/>
        <v/>
      </c>
      <c r="E3312" t="str">
        <f>IF(F3312="","",IF(COUNTIF($F$2:F3312,F3312)&gt;1,"",SUMIFS(tbl_input[필요수량],tbl_input[집계키_센터],F3312)))</f>
        <v/>
      </c>
      <c r="F3312" t="str">
        <f>IFERROR(INDEX(tbl_input[집계키_센터],ROW()-1),"")</f>
        <v/>
      </c>
      <c r="G3312" t="str">
        <f t="shared" si="361"/>
        <v/>
      </c>
      <c r="H3312" t="str">
        <f t="shared" si="362"/>
        <v/>
      </c>
      <c r="I3312" t="str">
        <f t="shared" si="363"/>
        <v/>
      </c>
    </row>
    <row r="3313" spans="1:9" x14ac:dyDescent="0.4">
      <c r="A3313" t="str">
        <f t="shared" si="357"/>
        <v/>
      </c>
      <c r="B3313" t="str">
        <f t="shared" si="358"/>
        <v/>
      </c>
      <c r="C3313" t="str">
        <f t="shared" si="359"/>
        <v/>
      </c>
      <c r="D3313" t="str">
        <f t="shared" si="360"/>
        <v/>
      </c>
      <c r="E3313" t="str">
        <f>IF(F3313="","",IF(COUNTIF($F$2:F3313,F3313)&gt;1,"",SUMIFS(tbl_input[필요수량],tbl_input[집계키_센터],F3313)))</f>
        <v/>
      </c>
      <c r="F3313" t="str">
        <f>IFERROR(INDEX(tbl_input[집계키_센터],ROW()-1),"")</f>
        <v/>
      </c>
      <c r="G3313" t="str">
        <f t="shared" si="361"/>
        <v/>
      </c>
      <c r="H3313" t="str">
        <f t="shared" si="362"/>
        <v/>
      </c>
      <c r="I3313" t="str">
        <f t="shared" si="363"/>
        <v/>
      </c>
    </row>
    <row r="3314" spans="1:9" x14ac:dyDescent="0.4">
      <c r="A3314" t="str">
        <f t="shared" si="357"/>
        <v/>
      </c>
      <c r="B3314" t="str">
        <f t="shared" si="358"/>
        <v/>
      </c>
      <c r="C3314" t="str">
        <f t="shared" si="359"/>
        <v/>
      </c>
      <c r="D3314" t="str">
        <f t="shared" si="360"/>
        <v/>
      </c>
      <c r="E3314" t="str">
        <f>IF(F3314="","",IF(COUNTIF($F$2:F3314,F3314)&gt;1,"",SUMIFS(tbl_input[필요수량],tbl_input[집계키_센터],F3314)))</f>
        <v/>
      </c>
      <c r="F3314" t="str">
        <f>IFERROR(INDEX(tbl_input[집계키_센터],ROW()-1),"")</f>
        <v/>
      </c>
      <c r="G3314" t="str">
        <f t="shared" si="361"/>
        <v/>
      </c>
      <c r="H3314" t="str">
        <f t="shared" si="362"/>
        <v/>
      </c>
      <c r="I3314" t="str">
        <f t="shared" si="363"/>
        <v/>
      </c>
    </row>
    <row r="3315" spans="1:9" x14ac:dyDescent="0.4">
      <c r="A3315" t="str">
        <f t="shared" si="357"/>
        <v/>
      </c>
      <c r="B3315" t="str">
        <f t="shared" si="358"/>
        <v/>
      </c>
      <c r="C3315" t="str">
        <f t="shared" si="359"/>
        <v/>
      </c>
      <c r="D3315" t="str">
        <f t="shared" si="360"/>
        <v/>
      </c>
      <c r="E3315" t="str">
        <f>IF(F3315="","",IF(COUNTIF($F$2:F3315,F3315)&gt;1,"",SUMIFS(tbl_input[필요수량],tbl_input[집계키_센터],F3315)))</f>
        <v/>
      </c>
      <c r="F3315" t="str">
        <f>IFERROR(INDEX(tbl_input[집계키_센터],ROW()-1),"")</f>
        <v/>
      </c>
      <c r="G3315" t="str">
        <f t="shared" si="361"/>
        <v/>
      </c>
      <c r="H3315" t="str">
        <f t="shared" si="362"/>
        <v/>
      </c>
      <c r="I3315" t="str">
        <f t="shared" si="363"/>
        <v/>
      </c>
    </row>
    <row r="3316" spans="1:9" x14ac:dyDescent="0.4">
      <c r="A3316" t="str">
        <f t="shared" si="357"/>
        <v/>
      </c>
      <c r="B3316" t="str">
        <f t="shared" si="358"/>
        <v/>
      </c>
      <c r="C3316" t="str">
        <f t="shared" si="359"/>
        <v/>
      </c>
      <c r="D3316" t="str">
        <f t="shared" si="360"/>
        <v/>
      </c>
      <c r="E3316" t="str">
        <f>IF(F3316="","",IF(COUNTIF($F$2:F3316,F3316)&gt;1,"",SUMIFS(tbl_input[필요수량],tbl_input[집계키_센터],F3316)))</f>
        <v/>
      </c>
      <c r="F3316" t="str">
        <f>IFERROR(INDEX(tbl_input[집계키_센터],ROW()-1),"")</f>
        <v/>
      </c>
      <c r="G3316" t="str">
        <f t="shared" si="361"/>
        <v/>
      </c>
      <c r="H3316" t="str">
        <f t="shared" si="362"/>
        <v/>
      </c>
      <c r="I3316" t="str">
        <f t="shared" si="363"/>
        <v/>
      </c>
    </row>
    <row r="3317" spans="1:9" x14ac:dyDescent="0.4">
      <c r="A3317" t="str">
        <f t="shared" si="357"/>
        <v/>
      </c>
      <c r="B3317" t="str">
        <f t="shared" si="358"/>
        <v/>
      </c>
      <c r="C3317" t="str">
        <f t="shared" si="359"/>
        <v/>
      </c>
      <c r="D3317" t="str">
        <f t="shared" si="360"/>
        <v/>
      </c>
      <c r="E3317" t="str">
        <f>IF(F3317="","",IF(COUNTIF($F$2:F3317,F3317)&gt;1,"",SUMIFS(tbl_input[필요수량],tbl_input[집계키_센터],F3317)))</f>
        <v/>
      </c>
      <c r="F3317" t="str">
        <f>IFERROR(INDEX(tbl_input[집계키_센터],ROW()-1),"")</f>
        <v/>
      </c>
      <c r="G3317" t="str">
        <f t="shared" si="361"/>
        <v/>
      </c>
      <c r="H3317" t="str">
        <f t="shared" si="362"/>
        <v/>
      </c>
      <c r="I3317" t="str">
        <f t="shared" si="363"/>
        <v/>
      </c>
    </row>
    <row r="3318" spans="1:9" x14ac:dyDescent="0.4">
      <c r="A3318" t="str">
        <f t="shared" si="357"/>
        <v/>
      </c>
      <c r="B3318" t="str">
        <f t="shared" si="358"/>
        <v/>
      </c>
      <c r="C3318" t="str">
        <f t="shared" si="359"/>
        <v/>
      </c>
      <c r="D3318" t="str">
        <f t="shared" si="360"/>
        <v/>
      </c>
      <c r="E3318" t="str">
        <f>IF(F3318="","",IF(COUNTIF($F$2:F3318,F3318)&gt;1,"",SUMIFS(tbl_input[필요수량],tbl_input[집계키_센터],F3318)))</f>
        <v/>
      </c>
      <c r="F3318" t="str">
        <f>IFERROR(INDEX(tbl_input[집계키_센터],ROW()-1),"")</f>
        <v/>
      </c>
      <c r="G3318" t="str">
        <f t="shared" si="361"/>
        <v/>
      </c>
      <c r="H3318" t="str">
        <f t="shared" si="362"/>
        <v/>
      </c>
      <c r="I3318" t="str">
        <f t="shared" si="363"/>
        <v/>
      </c>
    </row>
    <row r="3319" spans="1:9" x14ac:dyDescent="0.4">
      <c r="A3319" t="str">
        <f t="shared" si="357"/>
        <v/>
      </c>
      <c r="B3319" t="str">
        <f t="shared" si="358"/>
        <v/>
      </c>
      <c r="C3319" t="str">
        <f t="shared" si="359"/>
        <v/>
      </c>
      <c r="D3319" t="str">
        <f t="shared" si="360"/>
        <v/>
      </c>
      <c r="E3319" t="str">
        <f>IF(F3319="","",IF(COUNTIF($F$2:F3319,F3319)&gt;1,"",SUMIFS(tbl_input[필요수량],tbl_input[집계키_센터],F3319)))</f>
        <v/>
      </c>
      <c r="F3319" t="str">
        <f>IFERROR(INDEX(tbl_input[집계키_센터],ROW()-1),"")</f>
        <v/>
      </c>
      <c r="G3319" t="str">
        <f t="shared" si="361"/>
        <v/>
      </c>
      <c r="H3319" t="str">
        <f t="shared" si="362"/>
        <v/>
      </c>
      <c r="I3319" t="str">
        <f t="shared" si="363"/>
        <v/>
      </c>
    </row>
    <row r="3320" spans="1:9" x14ac:dyDescent="0.4">
      <c r="A3320" t="str">
        <f t="shared" si="357"/>
        <v/>
      </c>
      <c r="B3320" t="str">
        <f t="shared" si="358"/>
        <v/>
      </c>
      <c r="C3320" t="str">
        <f t="shared" si="359"/>
        <v/>
      </c>
      <c r="D3320" t="str">
        <f t="shared" si="360"/>
        <v/>
      </c>
      <c r="E3320" t="str">
        <f>IF(F3320="","",IF(COUNTIF($F$2:F3320,F3320)&gt;1,"",SUMIFS(tbl_input[필요수량],tbl_input[집계키_센터],F3320)))</f>
        <v/>
      </c>
      <c r="F3320" t="str">
        <f>IFERROR(INDEX(tbl_input[집계키_센터],ROW()-1),"")</f>
        <v/>
      </c>
      <c r="G3320" t="str">
        <f t="shared" si="361"/>
        <v/>
      </c>
      <c r="H3320" t="str">
        <f t="shared" si="362"/>
        <v/>
      </c>
      <c r="I3320" t="str">
        <f t="shared" si="363"/>
        <v/>
      </c>
    </row>
    <row r="3321" spans="1:9" x14ac:dyDescent="0.4">
      <c r="A3321" t="str">
        <f t="shared" si="357"/>
        <v/>
      </c>
      <c r="B3321" t="str">
        <f t="shared" si="358"/>
        <v/>
      </c>
      <c r="C3321" t="str">
        <f t="shared" si="359"/>
        <v/>
      </c>
      <c r="D3321" t="str">
        <f t="shared" si="360"/>
        <v/>
      </c>
      <c r="E3321" t="str">
        <f>IF(F3321="","",IF(COUNTIF($F$2:F3321,F3321)&gt;1,"",SUMIFS(tbl_input[필요수량],tbl_input[집계키_센터],F3321)))</f>
        <v/>
      </c>
      <c r="F3321" t="str">
        <f>IFERROR(INDEX(tbl_input[집계키_센터],ROW()-1),"")</f>
        <v/>
      </c>
      <c r="G3321" t="str">
        <f t="shared" si="361"/>
        <v/>
      </c>
      <c r="H3321" t="str">
        <f t="shared" si="362"/>
        <v/>
      </c>
      <c r="I3321" t="str">
        <f t="shared" si="363"/>
        <v/>
      </c>
    </row>
    <row r="3322" spans="1:9" x14ac:dyDescent="0.4">
      <c r="A3322" t="str">
        <f t="shared" si="357"/>
        <v/>
      </c>
      <c r="B3322" t="str">
        <f t="shared" si="358"/>
        <v/>
      </c>
      <c r="C3322" t="str">
        <f t="shared" si="359"/>
        <v/>
      </c>
      <c r="D3322" t="str">
        <f t="shared" si="360"/>
        <v/>
      </c>
      <c r="E3322" t="str">
        <f>IF(F3322="","",IF(COUNTIF($F$2:F3322,F3322)&gt;1,"",SUMIFS(tbl_input[필요수량],tbl_input[집계키_센터],F3322)))</f>
        <v/>
      </c>
      <c r="F3322" t="str">
        <f>IFERROR(INDEX(tbl_input[집계키_센터],ROW()-1),"")</f>
        <v/>
      </c>
      <c r="G3322" t="str">
        <f t="shared" si="361"/>
        <v/>
      </c>
      <c r="H3322" t="str">
        <f t="shared" si="362"/>
        <v/>
      </c>
      <c r="I3322" t="str">
        <f t="shared" si="363"/>
        <v/>
      </c>
    </row>
    <row r="3323" spans="1:9" x14ac:dyDescent="0.4">
      <c r="A3323" t="str">
        <f t="shared" si="357"/>
        <v/>
      </c>
      <c r="B3323" t="str">
        <f t="shared" si="358"/>
        <v/>
      </c>
      <c r="C3323" t="str">
        <f t="shared" si="359"/>
        <v/>
      </c>
      <c r="D3323" t="str">
        <f t="shared" si="360"/>
        <v/>
      </c>
      <c r="E3323" t="str">
        <f>IF(F3323="","",IF(COUNTIF($F$2:F3323,F3323)&gt;1,"",SUMIFS(tbl_input[필요수량],tbl_input[집계키_센터],F3323)))</f>
        <v/>
      </c>
      <c r="F3323" t="str">
        <f>IFERROR(INDEX(tbl_input[집계키_센터],ROW()-1),"")</f>
        <v/>
      </c>
      <c r="G3323" t="str">
        <f t="shared" si="361"/>
        <v/>
      </c>
      <c r="H3323" t="str">
        <f t="shared" si="362"/>
        <v/>
      </c>
      <c r="I3323" t="str">
        <f t="shared" si="363"/>
        <v/>
      </c>
    </row>
    <row r="3324" spans="1:9" x14ac:dyDescent="0.4">
      <c r="A3324" t="str">
        <f t="shared" si="357"/>
        <v/>
      </c>
      <c r="B3324" t="str">
        <f t="shared" si="358"/>
        <v/>
      </c>
      <c r="C3324" t="str">
        <f t="shared" si="359"/>
        <v/>
      </c>
      <c r="D3324" t="str">
        <f t="shared" si="360"/>
        <v/>
      </c>
      <c r="E3324" t="str">
        <f>IF(F3324="","",IF(COUNTIF($F$2:F3324,F3324)&gt;1,"",SUMIFS(tbl_input[필요수량],tbl_input[집계키_센터],F3324)))</f>
        <v/>
      </c>
      <c r="F3324" t="str">
        <f>IFERROR(INDEX(tbl_input[집계키_센터],ROW()-1),"")</f>
        <v/>
      </c>
      <c r="G3324" t="str">
        <f t="shared" si="361"/>
        <v/>
      </c>
      <c r="H3324" t="str">
        <f t="shared" si="362"/>
        <v/>
      </c>
      <c r="I3324" t="str">
        <f t="shared" si="363"/>
        <v/>
      </c>
    </row>
    <row r="3325" spans="1:9" x14ac:dyDescent="0.4">
      <c r="A3325" t="str">
        <f t="shared" si="357"/>
        <v/>
      </c>
      <c r="B3325" t="str">
        <f t="shared" si="358"/>
        <v/>
      </c>
      <c r="C3325" t="str">
        <f t="shared" si="359"/>
        <v/>
      </c>
      <c r="D3325" t="str">
        <f t="shared" si="360"/>
        <v/>
      </c>
      <c r="E3325" t="str">
        <f>IF(F3325="","",IF(COUNTIF($F$2:F3325,F3325)&gt;1,"",SUMIFS(tbl_input[필요수량],tbl_input[집계키_센터],F3325)))</f>
        <v/>
      </c>
      <c r="F3325" t="str">
        <f>IFERROR(INDEX(tbl_input[집계키_센터],ROW()-1),"")</f>
        <v/>
      </c>
      <c r="G3325" t="str">
        <f t="shared" si="361"/>
        <v/>
      </c>
      <c r="H3325" t="str">
        <f t="shared" si="362"/>
        <v/>
      </c>
      <c r="I3325" t="str">
        <f t="shared" si="363"/>
        <v/>
      </c>
    </row>
    <row r="3326" spans="1:9" x14ac:dyDescent="0.4">
      <c r="A3326" t="str">
        <f t="shared" si="357"/>
        <v/>
      </c>
      <c r="B3326" t="str">
        <f t="shared" si="358"/>
        <v/>
      </c>
      <c r="C3326" t="str">
        <f t="shared" si="359"/>
        <v/>
      </c>
      <c r="D3326" t="str">
        <f t="shared" si="360"/>
        <v/>
      </c>
      <c r="E3326" t="str">
        <f>IF(F3326="","",IF(COUNTIF($F$2:F3326,F3326)&gt;1,"",SUMIFS(tbl_input[필요수량],tbl_input[집계키_센터],F3326)))</f>
        <v/>
      </c>
      <c r="F3326" t="str">
        <f>IFERROR(INDEX(tbl_input[집계키_센터],ROW()-1),"")</f>
        <v/>
      </c>
      <c r="G3326" t="str">
        <f t="shared" si="361"/>
        <v/>
      </c>
      <c r="H3326" t="str">
        <f t="shared" si="362"/>
        <v/>
      </c>
      <c r="I3326" t="str">
        <f t="shared" si="363"/>
        <v/>
      </c>
    </row>
    <row r="3327" spans="1:9" x14ac:dyDescent="0.4">
      <c r="A3327" t="str">
        <f t="shared" si="357"/>
        <v/>
      </c>
      <c r="B3327" t="str">
        <f t="shared" si="358"/>
        <v/>
      </c>
      <c r="C3327" t="str">
        <f t="shared" si="359"/>
        <v/>
      </c>
      <c r="D3327" t="str">
        <f t="shared" si="360"/>
        <v/>
      </c>
      <c r="E3327" t="str">
        <f>IF(F3327="","",IF(COUNTIF($F$2:F3327,F3327)&gt;1,"",SUMIFS(tbl_input[필요수량],tbl_input[집계키_센터],F3327)))</f>
        <v/>
      </c>
      <c r="F3327" t="str">
        <f>IFERROR(INDEX(tbl_input[집계키_센터],ROW()-1),"")</f>
        <v/>
      </c>
      <c r="G3327" t="str">
        <f t="shared" si="361"/>
        <v/>
      </c>
      <c r="H3327" t="str">
        <f t="shared" si="362"/>
        <v/>
      </c>
      <c r="I3327" t="str">
        <f t="shared" si="363"/>
        <v/>
      </c>
    </row>
    <row r="3328" spans="1:9" x14ac:dyDescent="0.4">
      <c r="A3328" t="str">
        <f t="shared" si="357"/>
        <v/>
      </c>
      <c r="B3328" t="str">
        <f t="shared" si="358"/>
        <v/>
      </c>
      <c r="C3328" t="str">
        <f t="shared" si="359"/>
        <v/>
      </c>
      <c r="D3328" t="str">
        <f t="shared" si="360"/>
        <v/>
      </c>
      <c r="E3328" t="str">
        <f>IF(F3328="","",IF(COUNTIF($F$2:F3328,F3328)&gt;1,"",SUMIFS(tbl_input[필요수량],tbl_input[집계키_센터],F3328)))</f>
        <v/>
      </c>
      <c r="F3328" t="str">
        <f>IFERROR(INDEX(tbl_input[집계키_센터],ROW()-1),"")</f>
        <v/>
      </c>
      <c r="G3328" t="str">
        <f t="shared" si="361"/>
        <v/>
      </c>
      <c r="H3328" t="str">
        <f t="shared" si="362"/>
        <v/>
      </c>
      <c r="I3328" t="str">
        <f t="shared" si="363"/>
        <v/>
      </c>
    </row>
    <row r="3329" spans="1:9" x14ac:dyDescent="0.4">
      <c r="A3329" t="str">
        <f t="shared" si="357"/>
        <v/>
      </c>
      <c r="B3329" t="str">
        <f t="shared" si="358"/>
        <v/>
      </c>
      <c r="C3329" t="str">
        <f t="shared" si="359"/>
        <v/>
      </c>
      <c r="D3329" t="str">
        <f t="shared" si="360"/>
        <v/>
      </c>
      <c r="E3329" t="str">
        <f>IF(F3329="","",IF(COUNTIF($F$2:F3329,F3329)&gt;1,"",SUMIFS(tbl_input[필요수량],tbl_input[집계키_센터],F3329)))</f>
        <v/>
      </c>
      <c r="F3329" t="str">
        <f>IFERROR(INDEX(tbl_input[집계키_센터],ROW()-1),"")</f>
        <v/>
      </c>
      <c r="G3329" t="str">
        <f t="shared" si="361"/>
        <v/>
      </c>
      <c r="H3329" t="str">
        <f t="shared" si="362"/>
        <v/>
      </c>
      <c r="I3329" t="str">
        <f t="shared" si="363"/>
        <v/>
      </c>
    </row>
    <row r="3330" spans="1:9" x14ac:dyDescent="0.4">
      <c r="A3330" t="str">
        <f t="shared" ref="A3330:A3393" si="364">IF(F3330="","",LEFT(F3330,G3330-1))</f>
        <v/>
      </c>
      <c r="B3330" t="str">
        <f t="shared" ref="B3330:B3393" si="365">IF(F3330="","",MID(F3330,G3330+1,H3330-G3330-1))</f>
        <v/>
      </c>
      <c r="C3330" t="str">
        <f t="shared" ref="C3330:C3393" si="366">IF(F3330="","",MID(F3330,H3330+1,I3330-H3330-1))</f>
        <v/>
      </c>
      <c r="D3330" t="str">
        <f t="shared" ref="D3330:D3393" si="367">IF(F3330="","",MID(F3330,I3330+1,999))</f>
        <v/>
      </c>
      <c r="E3330" t="str">
        <f>IF(F3330="","",IF(COUNTIF($F$2:F3330,F3330)&gt;1,"",SUMIFS(tbl_input[필요수량],tbl_input[집계키_센터],F3330)))</f>
        <v/>
      </c>
      <c r="F3330" t="str">
        <f>IFERROR(INDEX(tbl_input[집계키_센터],ROW()-1),"")</f>
        <v/>
      </c>
      <c r="G3330" t="str">
        <f t="shared" ref="G3330:G3393" si="368">IF(F3330="","",FIND("♦",F3330))</f>
        <v/>
      </c>
      <c r="H3330" t="str">
        <f t="shared" ref="H3330:H3393" si="369">IF(F3330="","",FIND("♦",F3330,G3330+1))</f>
        <v/>
      </c>
      <c r="I3330" t="str">
        <f t="shared" ref="I3330:I3393" si="370">IF(F3330="","",FIND("♦",F3330,H3330+1))</f>
        <v/>
      </c>
    </row>
    <row r="3331" spans="1:9" x14ac:dyDescent="0.4">
      <c r="A3331" t="str">
        <f t="shared" si="364"/>
        <v/>
      </c>
      <c r="B3331" t="str">
        <f t="shared" si="365"/>
        <v/>
      </c>
      <c r="C3331" t="str">
        <f t="shared" si="366"/>
        <v/>
      </c>
      <c r="D3331" t="str">
        <f t="shared" si="367"/>
        <v/>
      </c>
      <c r="E3331" t="str">
        <f>IF(F3331="","",IF(COUNTIF($F$2:F3331,F3331)&gt;1,"",SUMIFS(tbl_input[필요수량],tbl_input[집계키_센터],F3331)))</f>
        <v/>
      </c>
      <c r="F3331" t="str">
        <f>IFERROR(INDEX(tbl_input[집계키_센터],ROW()-1),"")</f>
        <v/>
      </c>
      <c r="G3331" t="str">
        <f t="shared" si="368"/>
        <v/>
      </c>
      <c r="H3331" t="str">
        <f t="shared" si="369"/>
        <v/>
      </c>
      <c r="I3331" t="str">
        <f t="shared" si="370"/>
        <v/>
      </c>
    </row>
    <row r="3332" spans="1:9" x14ac:dyDescent="0.4">
      <c r="A3332" t="str">
        <f t="shared" si="364"/>
        <v/>
      </c>
      <c r="B3332" t="str">
        <f t="shared" si="365"/>
        <v/>
      </c>
      <c r="C3332" t="str">
        <f t="shared" si="366"/>
        <v/>
      </c>
      <c r="D3332" t="str">
        <f t="shared" si="367"/>
        <v/>
      </c>
      <c r="E3332" t="str">
        <f>IF(F3332="","",IF(COUNTIF($F$2:F3332,F3332)&gt;1,"",SUMIFS(tbl_input[필요수량],tbl_input[집계키_센터],F3332)))</f>
        <v/>
      </c>
      <c r="F3332" t="str">
        <f>IFERROR(INDEX(tbl_input[집계키_센터],ROW()-1),"")</f>
        <v/>
      </c>
      <c r="G3332" t="str">
        <f t="shared" si="368"/>
        <v/>
      </c>
      <c r="H3332" t="str">
        <f t="shared" si="369"/>
        <v/>
      </c>
      <c r="I3332" t="str">
        <f t="shared" si="370"/>
        <v/>
      </c>
    </row>
    <row r="3333" spans="1:9" x14ac:dyDescent="0.4">
      <c r="A3333" t="str">
        <f t="shared" si="364"/>
        <v/>
      </c>
      <c r="B3333" t="str">
        <f t="shared" si="365"/>
        <v/>
      </c>
      <c r="C3333" t="str">
        <f t="shared" si="366"/>
        <v/>
      </c>
      <c r="D3333" t="str">
        <f t="shared" si="367"/>
        <v/>
      </c>
      <c r="E3333" t="str">
        <f>IF(F3333="","",IF(COUNTIF($F$2:F3333,F3333)&gt;1,"",SUMIFS(tbl_input[필요수량],tbl_input[집계키_센터],F3333)))</f>
        <v/>
      </c>
      <c r="F3333" t="str">
        <f>IFERROR(INDEX(tbl_input[집계키_센터],ROW()-1),"")</f>
        <v/>
      </c>
      <c r="G3333" t="str">
        <f t="shared" si="368"/>
        <v/>
      </c>
      <c r="H3333" t="str">
        <f t="shared" si="369"/>
        <v/>
      </c>
      <c r="I3333" t="str">
        <f t="shared" si="370"/>
        <v/>
      </c>
    </row>
    <row r="3334" spans="1:9" x14ac:dyDescent="0.4">
      <c r="A3334" t="str">
        <f t="shared" si="364"/>
        <v/>
      </c>
      <c r="B3334" t="str">
        <f t="shared" si="365"/>
        <v/>
      </c>
      <c r="C3334" t="str">
        <f t="shared" si="366"/>
        <v/>
      </c>
      <c r="D3334" t="str">
        <f t="shared" si="367"/>
        <v/>
      </c>
      <c r="E3334" t="str">
        <f>IF(F3334="","",IF(COUNTIF($F$2:F3334,F3334)&gt;1,"",SUMIFS(tbl_input[필요수량],tbl_input[집계키_센터],F3334)))</f>
        <v/>
      </c>
      <c r="F3334" t="str">
        <f>IFERROR(INDEX(tbl_input[집계키_센터],ROW()-1),"")</f>
        <v/>
      </c>
      <c r="G3334" t="str">
        <f t="shared" si="368"/>
        <v/>
      </c>
      <c r="H3334" t="str">
        <f t="shared" si="369"/>
        <v/>
      </c>
      <c r="I3334" t="str">
        <f t="shared" si="370"/>
        <v/>
      </c>
    </row>
    <row r="3335" spans="1:9" x14ac:dyDescent="0.4">
      <c r="A3335" t="str">
        <f t="shared" si="364"/>
        <v/>
      </c>
      <c r="B3335" t="str">
        <f t="shared" si="365"/>
        <v/>
      </c>
      <c r="C3335" t="str">
        <f t="shared" si="366"/>
        <v/>
      </c>
      <c r="D3335" t="str">
        <f t="shared" si="367"/>
        <v/>
      </c>
      <c r="E3335" t="str">
        <f>IF(F3335="","",IF(COUNTIF($F$2:F3335,F3335)&gt;1,"",SUMIFS(tbl_input[필요수량],tbl_input[집계키_센터],F3335)))</f>
        <v/>
      </c>
      <c r="F3335" t="str">
        <f>IFERROR(INDEX(tbl_input[집계키_센터],ROW()-1),"")</f>
        <v/>
      </c>
      <c r="G3335" t="str">
        <f t="shared" si="368"/>
        <v/>
      </c>
      <c r="H3335" t="str">
        <f t="shared" si="369"/>
        <v/>
      </c>
      <c r="I3335" t="str">
        <f t="shared" si="370"/>
        <v/>
      </c>
    </row>
    <row r="3336" spans="1:9" x14ac:dyDescent="0.4">
      <c r="A3336" t="str">
        <f t="shared" si="364"/>
        <v/>
      </c>
      <c r="B3336" t="str">
        <f t="shared" si="365"/>
        <v/>
      </c>
      <c r="C3336" t="str">
        <f t="shared" si="366"/>
        <v/>
      </c>
      <c r="D3336" t="str">
        <f t="shared" si="367"/>
        <v/>
      </c>
      <c r="E3336" t="str">
        <f>IF(F3336="","",IF(COUNTIF($F$2:F3336,F3336)&gt;1,"",SUMIFS(tbl_input[필요수량],tbl_input[집계키_센터],F3336)))</f>
        <v/>
      </c>
      <c r="F3336" t="str">
        <f>IFERROR(INDEX(tbl_input[집계키_센터],ROW()-1),"")</f>
        <v/>
      </c>
      <c r="G3336" t="str">
        <f t="shared" si="368"/>
        <v/>
      </c>
      <c r="H3336" t="str">
        <f t="shared" si="369"/>
        <v/>
      </c>
      <c r="I3336" t="str">
        <f t="shared" si="370"/>
        <v/>
      </c>
    </row>
    <row r="3337" spans="1:9" x14ac:dyDescent="0.4">
      <c r="A3337" t="str">
        <f t="shared" si="364"/>
        <v/>
      </c>
      <c r="B3337" t="str">
        <f t="shared" si="365"/>
        <v/>
      </c>
      <c r="C3337" t="str">
        <f t="shared" si="366"/>
        <v/>
      </c>
      <c r="D3337" t="str">
        <f t="shared" si="367"/>
        <v/>
      </c>
      <c r="E3337" t="str">
        <f>IF(F3337="","",IF(COUNTIF($F$2:F3337,F3337)&gt;1,"",SUMIFS(tbl_input[필요수량],tbl_input[집계키_센터],F3337)))</f>
        <v/>
      </c>
      <c r="F3337" t="str">
        <f>IFERROR(INDEX(tbl_input[집계키_센터],ROW()-1),"")</f>
        <v/>
      </c>
      <c r="G3337" t="str">
        <f t="shared" si="368"/>
        <v/>
      </c>
      <c r="H3337" t="str">
        <f t="shared" si="369"/>
        <v/>
      </c>
      <c r="I3337" t="str">
        <f t="shared" si="370"/>
        <v/>
      </c>
    </row>
    <row r="3338" spans="1:9" x14ac:dyDescent="0.4">
      <c r="A3338" t="str">
        <f t="shared" si="364"/>
        <v/>
      </c>
      <c r="B3338" t="str">
        <f t="shared" si="365"/>
        <v/>
      </c>
      <c r="C3338" t="str">
        <f t="shared" si="366"/>
        <v/>
      </c>
      <c r="D3338" t="str">
        <f t="shared" si="367"/>
        <v/>
      </c>
      <c r="E3338" t="str">
        <f>IF(F3338="","",IF(COUNTIF($F$2:F3338,F3338)&gt;1,"",SUMIFS(tbl_input[필요수량],tbl_input[집계키_센터],F3338)))</f>
        <v/>
      </c>
      <c r="F3338" t="str">
        <f>IFERROR(INDEX(tbl_input[집계키_센터],ROW()-1),"")</f>
        <v/>
      </c>
      <c r="G3338" t="str">
        <f t="shared" si="368"/>
        <v/>
      </c>
      <c r="H3338" t="str">
        <f t="shared" si="369"/>
        <v/>
      </c>
      <c r="I3338" t="str">
        <f t="shared" si="370"/>
        <v/>
      </c>
    </row>
    <row r="3339" spans="1:9" x14ac:dyDescent="0.4">
      <c r="A3339" t="str">
        <f t="shared" si="364"/>
        <v/>
      </c>
      <c r="B3339" t="str">
        <f t="shared" si="365"/>
        <v/>
      </c>
      <c r="C3339" t="str">
        <f t="shared" si="366"/>
        <v/>
      </c>
      <c r="D3339" t="str">
        <f t="shared" si="367"/>
        <v/>
      </c>
      <c r="E3339" t="str">
        <f>IF(F3339="","",IF(COUNTIF($F$2:F3339,F3339)&gt;1,"",SUMIFS(tbl_input[필요수량],tbl_input[집계키_센터],F3339)))</f>
        <v/>
      </c>
      <c r="F3339" t="str">
        <f>IFERROR(INDEX(tbl_input[집계키_센터],ROW()-1),"")</f>
        <v/>
      </c>
      <c r="G3339" t="str">
        <f t="shared" si="368"/>
        <v/>
      </c>
      <c r="H3339" t="str">
        <f t="shared" si="369"/>
        <v/>
      </c>
      <c r="I3339" t="str">
        <f t="shared" si="370"/>
        <v/>
      </c>
    </row>
    <row r="3340" spans="1:9" x14ac:dyDescent="0.4">
      <c r="A3340" t="str">
        <f t="shared" si="364"/>
        <v/>
      </c>
      <c r="B3340" t="str">
        <f t="shared" si="365"/>
        <v/>
      </c>
      <c r="C3340" t="str">
        <f t="shared" si="366"/>
        <v/>
      </c>
      <c r="D3340" t="str">
        <f t="shared" si="367"/>
        <v/>
      </c>
      <c r="E3340" t="str">
        <f>IF(F3340="","",IF(COUNTIF($F$2:F3340,F3340)&gt;1,"",SUMIFS(tbl_input[필요수량],tbl_input[집계키_센터],F3340)))</f>
        <v/>
      </c>
      <c r="F3340" t="str">
        <f>IFERROR(INDEX(tbl_input[집계키_센터],ROW()-1),"")</f>
        <v/>
      </c>
      <c r="G3340" t="str">
        <f t="shared" si="368"/>
        <v/>
      </c>
      <c r="H3340" t="str">
        <f t="shared" si="369"/>
        <v/>
      </c>
      <c r="I3340" t="str">
        <f t="shared" si="370"/>
        <v/>
      </c>
    </row>
    <row r="3341" spans="1:9" x14ac:dyDescent="0.4">
      <c r="A3341" t="str">
        <f t="shared" si="364"/>
        <v/>
      </c>
      <c r="B3341" t="str">
        <f t="shared" si="365"/>
        <v/>
      </c>
      <c r="C3341" t="str">
        <f t="shared" si="366"/>
        <v/>
      </c>
      <c r="D3341" t="str">
        <f t="shared" si="367"/>
        <v/>
      </c>
      <c r="E3341" t="str">
        <f>IF(F3341="","",IF(COUNTIF($F$2:F3341,F3341)&gt;1,"",SUMIFS(tbl_input[필요수량],tbl_input[집계키_센터],F3341)))</f>
        <v/>
      </c>
      <c r="F3341" t="str">
        <f>IFERROR(INDEX(tbl_input[집계키_센터],ROW()-1),"")</f>
        <v/>
      </c>
      <c r="G3341" t="str">
        <f t="shared" si="368"/>
        <v/>
      </c>
      <c r="H3341" t="str">
        <f t="shared" si="369"/>
        <v/>
      </c>
      <c r="I3341" t="str">
        <f t="shared" si="370"/>
        <v/>
      </c>
    </row>
    <row r="3342" spans="1:9" x14ac:dyDescent="0.4">
      <c r="A3342" t="str">
        <f t="shared" si="364"/>
        <v/>
      </c>
      <c r="B3342" t="str">
        <f t="shared" si="365"/>
        <v/>
      </c>
      <c r="C3342" t="str">
        <f t="shared" si="366"/>
        <v/>
      </c>
      <c r="D3342" t="str">
        <f t="shared" si="367"/>
        <v/>
      </c>
      <c r="E3342" t="str">
        <f>IF(F3342="","",IF(COUNTIF($F$2:F3342,F3342)&gt;1,"",SUMIFS(tbl_input[필요수량],tbl_input[집계키_센터],F3342)))</f>
        <v/>
      </c>
      <c r="F3342" t="str">
        <f>IFERROR(INDEX(tbl_input[집계키_센터],ROW()-1),"")</f>
        <v/>
      </c>
      <c r="G3342" t="str">
        <f t="shared" si="368"/>
        <v/>
      </c>
      <c r="H3342" t="str">
        <f t="shared" si="369"/>
        <v/>
      </c>
      <c r="I3342" t="str">
        <f t="shared" si="370"/>
        <v/>
      </c>
    </row>
    <row r="3343" spans="1:9" x14ac:dyDescent="0.4">
      <c r="A3343" t="str">
        <f t="shared" si="364"/>
        <v/>
      </c>
      <c r="B3343" t="str">
        <f t="shared" si="365"/>
        <v/>
      </c>
      <c r="C3343" t="str">
        <f t="shared" si="366"/>
        <v/>
      </c>
      <c r="D3343" t="str">
        <f t="shared" si="367"/>
        <v/>
      </c>
      <c r="E3343" t="str">
        <f>IF(F3343="","",IF(COUNTIF($F$2:F3343,F3343)&gt;1,"",SUMIFS(tbl_input[필요수량],tbl_input[집계키_센터],F3343)))</f>
        <v/>
      </c>
      <c r="F3343" t="str">
        <f>IFERROR(INDEX(tbl_input[집계키_센터],ROW()-1),"")</f>
        <v/>
      </c>
      <c r="G3343" t="str">
        <f t="shared" si="368"/>
        <v/>
      </c>
      <c r="H3343" t="str">
        <f t="shared" si="369"/>
        <v/>
      </c>
      <c r="I3343" t="str">
        <f t="shared" si="370"/>
        <v/>
      </c>
    </row>
    <row r="3344" spans="1:9" x14ac:dyDescent="0.4">
      <c r="A3344" t="str">
        <f t="shared" si="364"/>
        <v/>
      </c>
      <c r="B3344" t="str">
        <f t="shared" si="365"/>
        <v/>
      </c>
      <c r="C3344" t="str">
        <f t="shared" si="366"/>
        <v/>
      </c>
      <c r="D3344" t="str">
        <f t="shared" si="367"/>
        <v/>
      </c>
      <c r="E3344" t="str">
        <f>IF(F3344="","",IF(COUNTIF($F$2:F3344,F3344)&gt;1,"",SUMIFS(tbl_input[필요수량],tbl_input[집계키_센터],F3344)))</f>
        <v/>
      </c>
      <c r="F3344" t="str">
        <f>IFERROR(INDEX(tbl_input[집계키_센터],ROW()-1),"")</f>
        <v/>
      </c>
      <c r="G3344" t="str">
        <f t="shared" si="368"/>
        <v/>
      </c>
      <c r="H3344" t="str">
        <f t="shared" si="369"/>
        <v/>
      </c>
      <c r="I3344" t="str">
        <f t="shared" si="370"/>
        <v/>
      </c>
    </row>
    <row r="3345" spans="1:9" x14ac:dyDescent="0.4">
      <c r="A3345" t="str">
        <f t="shared" si="364"/>
        <v/>
      </c>
      <c r="B3345" t="str">
        <f t="shared" si="365"/>
        <v/>
      </c>
      <c r="C3345" t="str">
        <f t="shared" si="366"/>
        <v/>
      </c>
      <c r="D3345" t="str">
        <f t="shared" si="367"/>
        <v/>
      </c>
      <c r="E3345" t="str">
        <f>IF(F3345="","",IF(COUNTIF($F$2:F3345,F3345)&gt;1,"",SUMIFS(tbl_input[필요수량],tbl_input[집계키_센터],F3345)))</f>
        <v/>
      </c>
      <c r="F3345" t="str">
        <f>IFERROR(INDEX(tbl_input[집계키_센터],ROW()-1),"")</f>
        <v/>
      </c>
      <c r="G3345" t="str">
        <f t="shared" si="368"/>
        <v/>
      </c>
      <c r="H3345" t="str">
        <f t="shared" si="369"/>
        <v/>
      </c>
      <c r="I3345" t="str">
        <f t="shared" si="370"/>
        <v/>
      </c>
    </row>
    <row r="3346" spans="1:9" x14ac:dyDescent="0.4">
      <c r="A3346" t="str">
        <f t="shared" si="364"/>
        <v/>
      </c>
      <c r="B3346" t="str">
        <f t="shared" si="365"/>
        <v/>
      </c>
      <c r="C3346" t="str">
        <f t="shared" si="366"/>
        <v/>
      </c>
      <c r="D3346" t="str">
        <f t="shared" si="367"/>
        <v/>
      </c>
      <c r="E3346" t="str">
        <f>IF(F3346="","",IF(COUNTIF($F$2:F3346,F3346)&gt;1,"",SUMIFS(tbl_input[필요수량],tbl_input[집계키_센터],F3346)))</f>
        <v/>
      </c>
      <c r="F3346" t="str">
        <f>IFERROR(INDEX(tbl_input[집계키_센터],ROW()-1),"")</f>
        <v/>
      </c>
      <c r="G3346" t="str">
        <f t="shared" si="368"/>
        <v/>
      </c>
      <c r="H3346" t="str">
        <f t="shared" si="369"/>
        <v/>
      </c>
      <c r="I3346" t="str">
        <f t="shared" si="370"/>
        <v/>
      </c>
    </row>
    <row r="3347" spans="1:9" x14ac:dyDescent="0.4">
      <c r="A3347" t="str">
        <f t="shared" si="364"/>
        <v/>
      </c>
      <c r="B3347" t="str">
        <f t="shared" si="365"/>
        <v/>
      </c>
      <c r="C3347" t="str">
        <f t="shared" si="366"/>
        <v/>
      </c>
      <c r="D3347" t="str">
        <f t="shared" si="367"/>
        <v/>
      </c>
      <c r="E3347" t="str">
        <f>IF(F3347="","",IF(COUNTIF($F$2:F3347,F3347)&gt;1,"",SUMIFS(tbl_input[필요수량],tbl_input[집계키_센터],F3347)))</f>
        <v/>
      </c>
      <c r="F3347" t="str">
        <f>IFERROR(INDEX(tbl_input[집계키_센터],ROW()-1),"")</f>
        <v/>
      </c>
      <c r="G3347" t="str">
        <f t="shared" si="368"/>
        <v/>
      </c>
      <c r="H3347" t="str">
        <f t="shared" si="369"/>
        <v/>
      </c>
      <c r="I3347" t="str">
        <f t="shared" si="370"/>
        <v/>
      </c>
    </row>
    <row r="3348" spans="1:9" x14ac:dyDescent="0.4">
      <c r="A3348" t="str">
        <f t="shared" si="364"/>
        <v/>
      </c>
      <c r="B3348" t="str">
        <f t="shared" si="365"/>
        <v/>
      </c>
      <c r="C3348" t="str">
        <f t="shared" si="366"/>
        <v/>
      </c>
      <c r="D3348" t="str">
        <f t="shared" si="367"/>
        <v/>
      </c>
      <c r="E3348" t="str">
        <f>IF(F3348="","",IF(COUNTIF($F$2:F3348,F3348)&gt;1,"",SUMIFS(tbl_input[필요수량],tbl_input[집계키_센터],F3348)))</f>
        <v/>
      </c>
      <c r="F3348" t="str">
        <f>IFERROR(INDEX(tbl_input[집계키_센터],ROW()-1),"")</f>
        <v/>
      </c>
      <c r="G3348" t="str">
        <f t="shared" si="368"/>
        <v/>
      </c>
      <c r="H3348" t="str">
        <f t="shared" si="369"/>
        <v/>
      </c>
      <c r="I3348" t="str">
        <f t="shared" si="370"/>
        <v/>
      </c>
    </row>
    <row r="3349" spans="1:9" x14ac:dyDescent="0.4">
      <c r="A3349" t="str">
        <f t="shared" si="364"/>
        <v/>
      </c>
      <c r="B3349" t="str">
        <f t="shared" si="365"/>
        <v/>
      </c>
      <c r="C3349" t="str">
        <f t="shared" si="366"/>
        <v/>
      </c>
      <c r="D3349" t="str">
        <f t="shared" si="367"/>
        <v/>
      </c>
      <c r="E3349" t="str">
        <f>IF(F3349="","",IF(COUNTIF($F$2:F3349,F3349)&gt;1,"",SUMIFS(tbl_input[필요수량],tbl_input[집계키_센터],F3349)))</f>
        <v/>
      </c>
      <c r="F3349" t="str">
        <f>IFERROR(INDEX(tbl_input[집계키_센터],ROW()-1),"")</f>
        <v/>
      </c>
      <c r="G3349" t="str">
        <f t="shared" si="368"/>
        <v/>
      </c>
      <c r="H3349" t="str">
        <f t="shared" si="369"/>
        <v/>
      </c>
      <c r="I3349" t="str">
        <f t="shared" si="370"/>
        <v/>
      </c>
    </row>
    <row r="3350" spans="1:9" x14ac:dyDescent="0.4">
      <c r="A3350" t="str">
        <f t="shared" si="364"/>
        <v/>
      </c>
      <c r="B3350" t="str">
        <f t="shared" si="365"/>
        <v/>
      </c>
      <c r="C3350" t="str">
        <f t="shared" si="366"/>
        <v/>
      </c>
      <c r="D3350" t="str">
        <f t="shared" si="367"/>
        <v/>
      </c>
      <c r="E3350" t="str">
        <f>IF(F3350="","",IF(COUNTIF($F$2:F3350,F3350)&gt;1,"",SUMIFS(tbl_input[필요수량],tbl_input[집계키_센터],F3350)))</f>
        <v/>
      </c>
      <c r="F3350" t="str">
        <f>IFERROR(INDEX(tbl_input[집계키_센터],ROW()-1),"")</f>
        <v/>
      </c>
      <c r="G3350" t="str">
        <f t="shared" si="368"/>
        <v/>
      </c>
      <c r="H3350" t="str">
        <f t="shared" si="369"/>
        <v/>
      </c>
      <c r="I3350" t="str">
        <f t="shared" si="370"/>
        <v/>
      </c>
    </row>
    <row r="3351" spans="1:9" x14ac:dyDescent="0.4">
      <c r="A3351" t="str">
        <f t="shared" si="364"/>
        <v/>
      </c>
      <c r="B3351" t="str">
        <f t="shared" si="365"/>
        <v/>
      </c>
      <c r="C3351" t="str">
        <f t="shared" si="366"/>
        <v/>
      </c>
      <c r="D3351" t="str">
        <f t="shared" si="367"/>
        <v/>
      </c>
      <c r="E3351" t="str">
        <f>IF(F3351="","",IF(COUNTIF($F$2:F3351,F3351)&gt;1,"",SUMIFS(tbl_input[필요수량],tbl_input[집계키_센터],F3351)))</f>
        <v/>
      </c>
      <c r="F3351" t="str">
        <f>IFERROR(INDEX(tbl_input[집계키_센터],ROW()-1),"")</f>
        <v/>
      </c>
      <c r="G3351" t="str">
        <f t="shared" si="368"/>
        <v/>
      </c>
      <c r="H3351" t="str">
        <f t="shared" si="369"/>
        <v/>
      </c>
      <c r="I3351" t="str">
        <f t="shared" si="370"/>
        <v/>
      </c>
    </row>
    <row r="3352" spans="1:9" x14ac:dyDescent="0.4">
      <c r="A3352" t="str">
        <f t="shared" si="364"/>
        <v/>
      </c>
      <c r="B3352" t="str">
        <f t="shared" si="365"/>
        <v/>
      </c>
      <c r="C3352" t="str">
        <f t="shared" si="366"/>
        <v/>
      </c>
      <c r="D3352" t="str">
        <f t="shared" si="367"/>
        <v/>
      </c>
      <c r="E3352" t="str">
        <f>IF(F3352="","",IF(COUNTIF($F$2:F3352,F3352)&gt;1,"",SUMIFS(tbl_input[필요수량],tbl_input[집계키_센터],F3352)))</f>
        <v/>
      </c>
      <c r="F3352" t="str">
        <f>IFERROR(INDEX(tbl_input[집계키_센터],ROW()-1),"")</f>
        <v/>
      </c>
      <c r="G3352" t="str">
        <f t="shared" si="368"/>
        <v/>
      </c>
      <c r="H3352" t="str">
        <f t="shared" si="369"/>
        <v/>
      </c>
      <c r="I3352" t="str">
        <f t="shared" si="370"/>
        <v/>
      </c>
    </row>
    <row r="3353" spans="1:9" x14ac:dyDescent="0.4">
      <c r="A3353" t="str">
        <f t="shared" si="364"/>
        <v/>
      </c>
      <c r="B3353" t="str">
        <f t="shared" si="365"/>
        <v/>
      </c>
      <c r="C3353" t="str">
        <f t="shared" si="366"/>
        <v/>
      </c>
      <c r="D3353" t="str">
        <f t="shared" si="367"/>
        <v/>
      </c>
      <c r="E3353" t="str">
        <f>IF(F3353="","",IF(COUNTIF($F$2:F3353,F3353)&gt;1,"",SUMIFS(tbl_input[필요수량],tbl_input[집계키_센터],F3353)))</f>
        <v/>
      </c>
      <c r="F3353" t="str">
        <f>IFERROR(INDEX(tbl_input[집계키_센터],ROW()-1),"")</f>
        <v/>
      </c>
      <c r="G3353" t="str">
        <f t="shared" si="368"/>
        <v/>
      </c>
      <c r="H3353" t="str">
        <f t="shared" si="369"/>
        <v/>
      </c>
      <c r="I3353" t="str">
        <f t="shared" si="370"/>
        <v/>
      </c>
    </row>
    <row r="3354" spans="1:9" x14ac:dyDescent="0.4">
      <c r="A3354" t="str">
        <f t="shared" si="364"/>
        <v/>
      </c>
      <c r="B3354" t="str">
        <f t="shared" si="365"/>
        <v/>
      </c>
      <c r="C3354" t="str">
        <f t="shared" si="366"/>
        <v/>
      </c>
      <c r="D3354" t="str">
        <f t="shared" si="367"/>
        <v/>
      </c>
      <c r="E3354" t="str">
        <f>IF(F3354="","",IF(COUNTIF($F$2:F3354,F3354)&gt;1,"",SUMIFS(tbl_input[필요수량],tbl_input[집계키_센터],F3354)))</f>
        <v/>
      </c>
      <c r="F3354" t="str">
        <f>IFERROR(INDEX(tbl_input[집계키_센터],ROW()-1),"")</f>
        <v/>
      </c>
      <c r="G3354" t="str">
        <f t="shared" si="368"/>
        <v/>
      </c>
      <c r="H3354" t="str">
        <f t="shared" si="369"/>
        <v/>
      </c>
      <c r="I3354" t="str">
        <f t="shared" si="370"/>
        <v/>
      </c>
    </row>
    <row r="3355" spans="1:9" x14ac:dyDescent="0.4">
      <c r="A3355" t="str">
        <f t="shared" si="364"/>
        <v/>
      </c>
      <c r="B3355" t="str">
        <f t="shared" si="365"/>
        <v/>
      </c>
      <c r="C3355" t="str">
        <f t="shared" si="366"/>
        <v/>
      </c>
      <c r="D3355" t="str">
        <f t="shared" si="367"/>
        <v/>
      </c>
      <c r="E3355" t="str">
        <f>IF(F3355="","",IF(COUNTIF($F$2:F3355,F3355)&gt;1,"",SUMIFS(tbl_input[필요수량],tbl_input[집계키_센터],F3355)))</f>
        <v/>
      </c>
      <c r="F3355" t="str">
        <f>IFERROR(INDEX(tbl_input[집계키_센터],ROW()-1),"")</f>
        <v/>
      </c>
      <c r="G3355" t="str">
        <f t="shared" si="368"/>
        <v/>
      </c>
      <c r="H3355" t="str">
        <f t="shared" si="369"/>
        <v/>
      </c>
      <c r="I3355" t="str">
        <f t="shared" si="370"/>
        <v/>
      </c>
    </row>
    <row r="3356" spans="1:9" x14ac:dyDescent="0.4">
      <c r="A3356" t="str">
        <f t="shared" si="364"/>
        <v/>
      </c>
      <c r="B3356" t="str">
        <f t="shared" si="365"/>
        <v/>
      </c>
      <c r="C3356" t="str">
        <f t="shared" si="366"/>
        <v/>
      </c>
      <c r="D3356" t="str">
        <f t="shared" si="367"/>
        <v/>
      </c>
      <c r="E3356" t="str">
        <f>IF(F3356="","",IF(COUNTIF($F$2:F3356,F3356)&gt;1,"",SUMIFS(tbl_input[필요수량],tbl_input[집계키_센터],F3356)))</f>
        <v/>
      </c>
      <c r="F3356" t="str">
        <f>IFERROR(INDEX(tbl_input[집계키_센터],ROW()-1),"")</f>
        <v/>
      </c>
      <c r="G3356" t="str">
        <f t="shared" si="368"/>
        <v/>
      </c>
      <c r="H3356" t="str">
        <f t="shared" si="369"/>
        <v/>
      </c>
      <c r="I3356" t="str">
        <f t="shared" si="370"/>
        <v/>
      </c>
    </row>
    <row r="3357" spans="1:9" x14ac:dyDescent="0.4">
      <c r="A3357" t="str">
        <f t="shared" si="364"/>
        <v/>
      </c>
      <c r="B3357" t="str">
        <f t="shared" si="365"/>
        <v/>
      </c>
      <c r="C3357" t="str">
        <f t="shared" si="366"/>
        <v/>
      </c>
      <c r="D3357" t="str">
        <f t="shared" si="367"/>
        <v/>
      </c>
      <c r="E3357" t="str">
        <f>IF(F3357="","",IF(COUNTIF($F$2:F3357,F3357)&gt;1,"",SUMIFS(tbl_input[필요수량],tbl_input[집계키_센터],F3357)))</f>
        <v/>
      </c>
      <c r="F3357" t="str">
        <f>IFERROR(INDEX(tbl_input[집계키_센터],ROW()-1),"")</f>
        <v/>
      </c>
      <c r="G3357" t="str">
        <f t="shared" si="368"/>
        <v/>
      </c>
      <c r="H3357" t="str">
        <f t="shared" si="369"/>
        <v/>
      </c>
      <c r="I3357" t="str">
        <f t="shared" si="370"/>
        <v/>
      </c>
    </row>
    <row r="3358" spans="1:9" x14ac:dyDescent="0.4">
      <c r="A3358" t="str">
        <f t="shared" si="364"/>
        <v/>
      </c>
      <c r="B3358" t="str">
        <f t="shared" si="365"/>
        <v/>
      </c>
      <c r="C3358" t="str">
        <f t="shared" si="366"/>
        <v/>
      </c>
      <c r="D3358" t="str">
        <f t="shared" si="367"/>
        <v/>
      </c>
      <c r="E3358" t="str">
        <f>IF(F3358="","",IF(COUNTIF($F$2:F3358,F3358)&gt;1,"",SUMIFS(tbl_input[필요수량],tbl_input[집계키_센터],F3358)))</f>
        <v/>
      </c>
      <c r="F3358" t="str">
        <f>IFERROR(INDEX(tbl_input[집계키_센터],ROW()-1),"")</f>
        <v/>
      </c>
      <c r="G3358" t="str">
        <f t="shared" si="368"/>
        <v/>
      </c>
      <c r="H3358" t="str">
        <f t="shared" si="369"/>
        <v/>
      </c>
      <c r="I3358" t="str">
        <f t="shared" si="370"/>
        <v/>
      </c>
    </row>
    <row r="3359" spans="1:9" x14ac:dyDescent="0.4">
      <c r="A3359" t="str">
        <f t="shared" si="364"/>
        <v/>
      </c>
      <c r="B3359" t="str">
        <f t="shared" si="365"/>
        <v/>
      </c>
      <c r="C3359" t="str">
        <f t="shared" si="366"/>
        <v/>
      </c>
      <c r="D3359" t="str">
        <f t="shared" si="367"/>
        <v/>
      </c>
      <c r="E3359" t="str">
        <f>IF(F3359="","",IF(COUNTIF($F$2:F3359,F3359)&gt;1,"",SUMIFS(tbl_input[필요수량],tbl_input[집계키_센터],F3359)))</f>
        <v/>
      </c>
      <c r="F3359" t="str">
        <f>IFERROR(INDEX(tbl_input[집계키_센터],ROW()-1),"")</f>
        <v/>
      </c>
      <c r="G3359" t="str">
        <f t="shared" si="368"/>
        <v/>
      </c>
      <c r="H3359" t="str">
        <f t="shared" si="369"/>
        <v/>
      </c>
      <c r="I3359" t="str">
        <f t="shared" si="370"/>
        <v/>
      </c>
    </row>
    <row r="3360" spans="1:9" x14ac:dyDescent="0.4">
      <c r="A3360" t="str">
        <f t="shared" si="364"/>
        <v/>
      </c>
      <c r="B3360" t="str">
        <f t="shared" si="365"/>
        <v/>
      </c>
      <c r="C3360" t="str">
        <f t="shared" si="366"/>
        <v/>
      </c>
      <c r="D3360" t="str">
        <f t="shared" si="367"/>
        <v/>
      </c>
      <c r="E3360" t="str">
        <f>IF(F3360="","",IF(COUNTIF($F$2:F3360,F3360)&gt;1,"",SUMIFS(tbl_input[필요수량],tbl_input[집계키_센터],F3360)))</f>
        <v/>
      </c>
      <c r="F3360" t="str">
        <f>IFERROR(INDEX(tbl_input[집계키_센터],ROW()-1),"")</f>
        <v/>
      </c>
      <c r="G3360" t="str">
        <f t="shared" si="368"/>
        <v/>
      </c>
      <c r="H3360" t="str">
        <f t="shared" si="369"/>
        <v/>
      </c>
      <c r="I3360" t="str">
        <f t="shared" si="370"/>
        <v/>
      </c>
    </row>
    <row r="3361" spans="1:9" x14ac:dyDescent="0.4">
      <c r="A3361" t="str">
        <f t="shared" si="364"/>
        <v/>
      </c>
      <c r="B3361" t="str">
        <f t="shared" si="365"/>
        <v/>
      </c>
      <c r="C3361" t="str">
        <f t="shared" si="366"/>
        <v/>
      </c>
      <c r="D3361" t="str">
        <f t="shared" si="367"/>
        <v/>
      </c>
      <c r="E3361" t="str">
        <f>IF(F3361="","",IF(COUNTIF($F$2:F3361,F3361)&gt;1,"",SUMIFS(tbl_input[필요수량],tbl_input[집계키_센터],F3361)))</f>
        <v/>
      </c>
      <c r="F3361" t="str">
        <f>IFERROR(INDEX(tbl_input[집계키_센터],ROW()-1),"")</f>
        <v/>
      </c>
      <c r="G3361" t="str">
        <f t="shared" si="368"/>
        <v/>
      </c>
      <c r="H3361" t="str">
        <f t="shared" si="369"/>
        <v/>
      </c>
      <c r="I3361" t="str">
        <f t="shared" si="370"/>
        <v/>
      </c>
    </row>
    <row r="3362" spans="1:9" x14ac:dyDescent="0.4">
      <c r="A3362" t="str">
        <f t="shared" si="364"/>
        <v/>
      </c>
      <c r="B3362" t="str">
        <f t="shared" si="365"/>
        <v/>
      </c>
      <c r="C3362" t="str">
        <f t="shared" si="366"/>
        <v/>
      </c>
      <c r="D3362" t="str">
        <f t="shared" si="367"/>
        <v/>
      </c>
      <c r="E3362" t="str">
        <f>IF(F3362="","",IF(COUNTIF($F$2:F3362,F3362)&gt;1,"",SUMIFS(tbl_input[필요수량],tbl_input[집계키_센터],F3362)))</f>
        <v/>
      </c>
      <c r="F3362" t="str">
        <f>IFERROR(INDEX(tbl_input[집계키_센터],ROW()-1),"")</f>
        <v/>
      </c>
      <c r="G3362" t="str">
        <f t="shared" si="368"/>
        <v/>
      </c>
      <c r="H3362" t="str">
        <f t="shared" si="369"/>
        <v/>
      </c>
      <c r="I3362" t="str">
        <f t="shared" si="370"/>
        <v/>
      </c>
    </row>
    <row r="3363" spans="1:9" x14ac:dyDescent="0.4">
      <c r="A3363" t="str">
        <f t="shared" si="364"/>
        <v/>
      </c>
      <c r="B3363" t="str">
        <f t="shared" si="365"/>
        <v/>
      </c>
      <c r="C3363" t="str">
        <f t="shared" si="366"/>
        <v/>
      </c>
      <c r="D3363" t="str">
        <f t="shared" si="367"/>
        <v/>
      </c>
      <c r="E3363" t="str">
        <f>IF(F3363="","",IF(COUNTIF($F$2:F3363,F3363)&gt;1,"",SUMIFS(tbl_input[필요수량],tbl_input[집계키_센터],F3363)))</f>
        <v/>
      </c>
      <c r="F3363" t="str">
        <f>IFERROR(INDEX(tbl_input[집계키_센터],ROW()-1),"")</f>
        <v/>
      </c>
      <c r="G3363" t="str">
        <f t="shared" si="368"/>
        <v/>
      </c>
      <c r="H3363" t="str">
        <f t="shared" si="369"/>
        <v/>
      </c>
      <c r="I3363" t="str">
        <f t="shared" si="370"/>
        <v/>
      </c>
    </row>
    <row r="3364" spans="1:9" x14ac:dyDescent="0.4">
      <c r="A3364" t="str">
        <f t="shared" si="364"/>
        <v/>
      </c>
      <c r="B3364" t="str">
        <f t="shared" si="365"/>
        <v/>
      </c>
      <c r="C3364" t="str">
        <f t="shared" si="366"/>
        <v/>
      </c>
      <c r="D3364" t="str">
        <f t="shared" si="367"/>
        <v/>
      </c>
      <c r="E3364" t="str">
        <f>IF(F3364="","",IF(COUNTIF($F$2:F3364,F3364)&gt;1,"",SUMIFS(tbl_input[필요수량],tbl_input[집계키_센터],F3364)))</f>
        <v/>
      </c>
      <c r="F3364" t="str">
        <f>IFERROR(INDEX(tbl_input[집계키_센터],ROW()-1),"")</f>
        <v/>
      </c>
      <c r="G3364" t="str">
        <f t="shared" si="368"/>
        <v/>
      </c>
      <c r="H3364" t="str">
        <f t="shared" si="369"/>
        <v/>
      </c>
      <c r="I3364" t="str">
        <f t="shared" si="370"/>
        <v/>
      </c>
    </row>
    <row r="3365" spans="1:9" x14ac:dyDescent="0.4">
      <c r="A3365" t="str">
        <f t="shared" si="364"/>
        <v/>
      </c>
      <c r="B3365" t="str">
        <f t="shared" si="365"/>
        <v/>
      </c>
      <c r="C3365" t="str">
        <f t="shared" si="366"/>
        <v/>
      </c>
      <c r="D3365" t="str">
        <f t="shared" si="367"/>
        <v/>
      </c>
      <c r="E3365" t="str">
        <f>IF(F3365="","",IF(COUNTIF($F$2:F3365,F3365)&gt;1,"",SUMIFS(tbl_input[필요수량],tbl_input[집계키_센터],F3365)))</f>
        <v/>
      </c>
      <c r="F3365" t="str">
        <f>IFERROR(INDEX(tbl_input[집계키_센터],ROW()-1),"")</f>
        <v/>
      </c>
      <c r="G3365" t="str">
        <f t="shared" si="368"/>
        <v/>
      </c>
      <c r="H3365" t="str">
        <f t="shared" si="369"/>
        <v/>
      </c>
      <c r="I3365" t="str">
        <f t="shared" si="370"/>
        <v/>
      </c>
    </row>
    <row r="3366" spans="1:9" x14ac:dyDescent="0.4">
      <c r="A3366" t="str">
        <f t="shared" si="364"/>
        <v/>
      </c>
      <c r="B3366" t="str">
        <f t="shared" si="365"/>
        <v/>
      </c>
      <c r="C3366" t="str">
        <f t="shared" si="366"/>
        <v/>
      </c>
      <c r="D3366" t="str">
        <f t="shared" si="367"/>
        <v/>
      </c>
      <c r="E3366" t="str">
        <f>IF(F3366="","",IF(COUNTIF($F$2:F3366,F3366)&gt;1,"",SUMIFS(tbl_input[필요수량],tbl_input[집계키_센터],F3366)))</f>
        <v/>
      </c>
      <c r="F3366" t="str">
        <f>IFERROR(INDEX(tbl_input[집계키_센터],ROW()-1),"")</f>
        <v/>
      </c>
      <c r="G3366" t="str">
        <f t="shared" si="368"/>
        <v/>
      </c>
      <c r="H3366" t="str">
        <f t="shared" si="369"/>
        <v/>
      </c>
      <c r="I3366" t="str">
        <f t="shared" si="370"/>
        <v/>
      </c>
    </row>
    <row r="3367" spans="1:9" x14ac:dyDescent="0.4">
      <c r="A3367" t="str">
        <f t="shared" si="364"/>
        <v/>
      </c>
      <c r="B3367" t="str">
        <f t="shared" si="365"/>
        <v/>
      </c>
      <c r="C3367" t="str">
        <f t="shared" si="366"/>
        <v/>
      </c>
      <c r="D3367" t="str">
        <f t="shared" si="367"/>
        <v/>
      </c>
      <c r="E3367" t="str">
        <f>IF(F3367="","",IF(COUNTIF($F$2:F3367,F3367)&gt;1,"",SUMIFS(tbl_input[필요수량],tbl_input[집계키_센터],F3367)))</f>
        <v/>
      </c>
      <c r="F3367" t="str">
        <f>IFERROR(INDEX(tbl_input[집계키_센터],ROW()-1),"")</f>
        <v/>
      </c>
      <c r="G3367" t="str">
        <f t="shared" si="368"/>
        <v/>
      </c>
      <c r="H3367" t="str">
        <f t="shared" si="369"/>
        <v/>
      </c>
      <c r="I3367" t="str">
        <f t="shared" si="370"/>
        <v/>
      </c>
    </row>
    <row r="3368" spans="1:9" x14ac:dyDescent="0.4">
      <c r="A3368" t="str">
        <f t="shared" si="364"/>
        <v/>
      </c>
      <c r="B3368" t="str">
        <f t="shared" si="365"/>
        <v/>
      </c>
      <c r="C3368" t="str">
        <f t="shared" si="366"/>
        <v/>
      </c>
      <c r="D3368" t="str">
        <f t="shared" si="367"/>
        <v/>
      </c>
      <c r="E3368" t="str">
        <f>IF(F3368="","",IF(COUNTIF($F$2:F3368,F3368)&gt;1,"",SUMIFS(tbl_input[필요수량],tbl_input[집계키_센터],F3368)))</f>
        <v/>
      </c>
      <c r="F3368" t="str">
        <f>IFERROR(INDEX(tbl_input[집계키_센터],ROW()-1),"")</f>
        <v/>
      </c>
      <c r="G3368" t="str">
        <f t="shared" si="368"/>
        <v/>
      </c>
      <c r="H3368" t="str">
        <f t="shared" si="369"/>
        <v/>
      </c>
      <c r="I3368" t="str">
        <f t="shared" si="370"/>
        <v/>
      </c>
    </row>
    <row r="3369" spans="1:9" x14ac:dyDescent="0.4">
      <c r="A3369" t="str">
        <f t="shared" si="364"/>
        <v/>
      </c>
      <c r="B3369" t="str">
        <f t="shared" si="365"/>
        <v/>
      </c>
      <c r="C3369" t="str">
        <f t="shared" si="366"/>
        <v/>
      </c>
      <c r="D3369" t="str">
        <f t="shared" si="367"/>
        <v/>
      </c>
      <c r="E3369" t="str">
        <f>IF(F3369="","",IF(COUNTIF($F$2:F3369,F3369)&gt;1,"",SUMIFS(tbl_input[필요수량],tbl_input[집계키_센터],F3369)))</f>
        <v/>
      </c>
      <c r="F3369" t="str">
        <f>IFERROR(INDEX(tbl_input[집계키_센터],ROW()-1),"")</f>
        <v/>
      </c>
      <c r="G3369" t="str">
        <f t="shared" si="368"/>
        <v/>
      </c>
      <c r="H3369" t="str">
        <f t="shared" si="369"/>
        <v/>
      </c>
      <c r="I3369" t="str">
        <f t="shared" si="370"/>
        <v/>
      </c>
    </row>
    <row r="3370" spans="1:9" x14ac:dyDescent="0.4">
      <c r="A3370" t="str">
        <f t="shared" si="364"/>
        <v/>
      </c>
      <c r="B3370" t="str">
        <f t="shared" si="365"/>
        <v/>
      </c>
      <c r="C3370" t="str">
        <f t="shared" si="366"/>
        <v/>
      </c>
      <c r="D3370" t="str">
        <f t="shared" si="367"/>
        <v/>
      </c>
      <c r="E3370" t="str">
        <f>IF(F3370="","",IF(COUNTIF($F$2:F3370,F3370)&gt;1,"",SUMIFS(tbl_input[필요수량],tbl_input[집계키_센터],F3370)))</f>
        <v/>
      </c>
      <c r="F3370" t="str">
        <f>IFERROR(INDEX(tbl_input[집계키_센터],ROW()-1),"")</f>
        <v/>
      </c>
      <c r="G3370" t="str">
        <f t="shared" si="368"/>
        <v/>
      </c>
      <c r="H3370" t="str">
        <f t="shared" si="369"/>
        <v/>
      </c>
      <c r="I3370" t="str">
        <f t="shared" si="370"/>
        <v/>
      </c>
    </row>
    <row r="3371" spans="1:9" x14ac:dyDescent="0.4">
      <c r="A3371" t="str">
        <f t="shared" si="364"/>
        <v/>
      </c>
      <c r="B3371" t="str">
        <f t="shared" si="365"/>
        <v/>
      </c>
      <c r="C3371" t="str">
        <f t="shared" si="366"/>
        <v/>
      </c>
      <c r="D3371" t="str">
        <f t="shared" si="367"/>
        <v/>
      </c>
      <c r="E3371" t="str">
        <f>IF(F3371="","",IF(COUNTIF($F$2:F3371,F3371)&gt;1,"",SUMIFS(tbl_input[필요수량],tbl_input[집계키_센터],F3371)))</f>
        <v/>
      </c>
      <c r="F3371" t="str">
        <f>IFERROR(INDEX(tbl_input[집계키_센터],ROW()-1),"")</f>
        <v/>
      </c>
      <c r="G3371" t="str">
        <f t="shared" si="368"/>
        <v/>
      </c>
      <c r="H3371" t="str">
        <f t="shared" si="369"/>
        <v/>
      </c>
      <c r="I3371" t="str">
        <f t="shared" si="370"/>
        <v/>
      </c>
    </row>
    <row r="3372" spans="1:9" x14ac:dyDescent="0.4">
      <c r="A3372" t="str">
        <f t="shared" si="364"/>
        <v/>
      </c>
      <c r="B3372" t="str">
        <f t="shared" si="365"/>
        <v/>
      </c>
      <c r="C3372" t="str">
        <f t="shared" si="366"/>
        <v/>
      </c>
      <c r="D3372" t="str">
        <f t="shared" si="367"/>
        <v/>
      </c>
      <c r="E3372" t="str">
        <f>IF(F3372="","",IF(COUNTIF($F$2:F3372,F3372)&gt;1,"",SUMIFS(tbl_input[필요수량],tbl_input[집계키_센터],F3372)))</f>
        <v/>
      </c>
      <c r="F3372" t="str">
        <f>IFERROR(INDEX(tbl_input[집계키_센터],ROW()-1),"")</f>
        <v/>
      </c>
      <c r="G3372" t="str">
        <f t="shared" si="368"/>
        <v/>
      </c>
      <c r="H3372" t="str">
        <f t="shared" si="369"/>
        <v/>
      </c>
      <c r="I3372" t="str">
        <f t="shared" si="370"/>
        <v/>
      </c>
    </row>
    <row r="3373" spans="1:9" x14ac:dyDescent="0.4">
      <c r="A3373" t="str">
        <f t="shared" si="364"/>
        <v/>
      </c>
      <c r="B3373" t="str">
        <f t="shared" si="365"/>
        <v/>
      </c>
      <c r="C3373" t="str">
        <f t="shared" si="366"/>
        <v/>
      </c>
      <c r="D3373" t="str">
        <f t="shared" si="367"/>
        <v/>
      </c>
      <c r="E3373" t="str">
        <f>IF(F3373="","",IF(COUNTIF($F$2:F3373,F3373)&gt;1,"",SUMIFS(tbl_input[필요수량],tbl_input[집계키_센터],F3373)))</f>
        <v/>
      </c>
      <c r="F3373" t="str">
        <f>IFERROR(INDEX(tbl_input[집계키_센터],ROW()-1),"")</f>
        <v/>
      </c>
      <c r="G3373" t="str">
        <f t="shared" si="368"/>
        <v/>
      </c>
      <c r="H3373" t="str">
        <f t="shared" si="369"/>
        <v/>
      </c>
      <c r="I3373" t="str">
        <f t="shared" si="370"/>
        <v/>
      </c>
    </row>
    <row r="3374" spans="1:9" x14ac:dyDescent="0.4">
      <c r="A3374" t="str">
        <f t="shared" si="364"/>
        <v/>
      </c>
      <c r="B3374" t="str">
        <f t="shared" si="365"/>
        <v/>
      </c>
      <c r="C3374" t="str">
        <f t="shared" si="366"/>
        <v/>
      </c>
      <c r="D3374" t="str">
        <f t="shared" si="367"/>
        <v/>
      </c>
      <c r="E3374" t="str">
        <f>IF(F3374="","",IF(COUNTIF($F$2:F3374,F3374)&gt;1,"",SUMIFS(tbl_input[필요수량],tbl_input[집계키_센터],F3374)))</f>
        <v/>
      </c>
      <c r="F3374" t="str">
        <f>IFERROR(INDEX(tbl_input[집계키_센터],ROW()-1),"")</f>
        <v/>
      </c>
      <c r="G3374" t="str">
        <f t="shared" si="368"/>
        <v/>
      </c>
      <c r="H3374" t="str">
        <f t="shared" si="369"/>
        <v/>
      </c>
      <c r="I3374" t="str">
        <f t="shared" si="370"/>
        <v/>
      </c>
    </row>
    <row r="3375" spans="1:9" x14ac:dyDescent="0.4">
      <c r="A3375" t="str">
        <f t="shared" si="364"/>
        <v/>
      </c>
      <c r="B3375" t="str">
        <f t="shared" si="365"/>
        <v/>
      </c>
      <c r="C3375" t="str">
        <f t="shared" si="366"/>
        <v/>
      </c>
      <c r="D3375" t="str">
        <f t="shared" si="367"/>
        <v/>
      </c>
      <c r="E3375" t="str">
        <f>IF(F3375="","",IF(COUNTIF($F$2:F3375,F3375)&gt;1,"",SUMIFS(tbl_input[필요수량],tbl_input[집계키_센터],F3375)))</f>
        <v/>
      </c>
      <c r="F3375" t="str">
        <f>IFERROR(INDEX(tbl_input[집계키_센터],ROW()-1),"")</f>
        <v/>
      </c>
      <c r="G3375" t="str">
        <f t="shared" si="368"/>
        <v/>
      </c>
      <c r="H3375" t="str">
        <f t="shared" si="369"/>
        <v/>
      </c>
      <c r="I3375" t="str">
        <f t="shared" si="370"/>
        <v/>
      </c>
    </row>
    <row r="3376" spans="1:9" x14ac:dyDescent="0.4">
      <c r="A3376" t="str">
        <f t="shared" si="364"/>
        <v/>
      </c>
      <c r="B3376" t="str">
        <f t="shared" si="365"/>
        <v/>
      </c>
      <c r="C3376" t="str">
        <f t="shared" si="366"/>
        <v/>
      </c>
      <c r="D3376" t="str">
        <f t="shared" si="367"/>
        <v/>
      </c>
      <c r="E3376" t="str">
        <f>IF(F3376="","",IF(COUNTIF($F$2:F3376,F3376)&gt;1,"",SUMIFS(tbl_input[필요수량],tbl_input[집계키_센터],F3376)))</f>
        <v/>
      </c>
      <c r="F3376" t="str">
        <f>IFERROR(INDEX(tbl_input[집계키_센터],ROW()-1),"")</f>
        <v/>
      </c>
      <c r="G3376" t="str">
        <f t="shared" si="368"/>
        <v/>
      </c>
      <c r="H3376" t="str">
        <f t="shared" si="369"/>
        <v/>
      </c>
      <c r="I3376" t="str">
        <f t="shared" si="370"/>
        <v/>
      </c>
    </row>
    <row r="3377" spans="1:9" x14ac:dyDescent="0.4">
      <c r="A3377" t="str">
        <f t="shared" si="364"/>
        <v/>
      </c>
      <c r="B3377" t="str">
        <f t="shared" si="365"/>
        <v/>
      </c>
      <c r="C3377" t="str">
        <f t="shared" si="366"/>
        <v/>
      </c>
      <c r="D3377" t="str">
        <f t="shared" si="367"/>
        <v/>
      </c>
      <c r="E3377" t="str">
        <f>IF(F3377="","",IF(COUNTIF($F$2:F3377,F3377)&gt;1,"",SUMIFS(tbl_input[필요수량],tbl_input[집계키_센터],F3377)))</f>
        <v/>
      </c>
      <c r="F3377" t="str">
        <f>IFERROR(INDEX(tbl_input[집계키_센터],ROW()-1),"")</f>
        <v/>
      </c>
      <c r="G3377" t="str">
        <f t="shared" si="368"/>
        <v/>
      </c>
      <c r="H3377" t="str">
        <f t="shared" si="369"/>
        <v/>
      </c>
      <c r="I3377" t="str">
        <f t="shared" si="370"/>
        <v/>
      </c>
    </row>
    <row r="3378" spans="1:9" x14ac:dyDescent="0.4">
      <c r="A3378" t="str">
        <f t="shared" si="364"/>
        <v/>
      </c>
      <c r="B3378" t="str">
        <f t="shared" si="365"/>
        <v/>
      </c>
      <c r="C3378" t="str">
        <f t="shared" si="366"/>
        <v/>
      </c>
      <c r="D3378" t="str">
        <f t="shared" si="367"/>
        <v/>
      </c>
      <c r="E3378" t="str">
        <f>IF(F3378="","",IF(COUNTIF($F$2:F3378,F3378)&gt;1,"",SUMIFS(tbl_input[필요수량],tbl_input[집계키_센터],F3378)))</f>
        <v/>
      </c>
      <c r="F3378" t="str">
        <f>IFERROR(INDEX(tbl_input[집계키_센터],ROW()-1),"")</f>
        <v/>
      </c>
      <c r="G3378" t="str">
        <f t="shared" si="368"/>
        <v/>
      </c>
      <c r="H3378" t="str">
        <f t="shared" si="369"/>
        <v/>
      </c>
      <c r="I3378" t="str">
        <f t="shared" si="370"/>
        <v/>
      </c>
    </row>
    <row r="3379" spans="1:9" x14ac:dyDescent="0.4">
      <c r="A3379" t="str">
        <f t="shared" si="364"/>
        <v/>
      </c>
      <c r="B3379" t="str">
        <f t="shared" si="365"/>
        <v/>
      </c>
      <c r="C3379" t="str">
        <f t="shared" si="366"/>
        <v/>
      </c>
      <c r="D3379" t="str">
        <f t="shared" si="367"/>
        <v/>
      </c>
      <c r="E3379" t="str">
        <f>IF(F3379="","",IF(COUNTIF($F$2:F3379,F3379)&gt;1,"",SUMIFS(tbl_input[필요수량],tbl_input[집계키_센터],F3379)))</f>
        <v/>
      </c>
      <c r="F3379" t="str">
        <f>IFERROR(INDEX(tbl_input[집계키_센터],ROW()-1),"")</f>
        <v/>
      </c>
      <c r="G3379" t="str">
        <f t="shared" si="368"/>
        <v/>
      </c>
      <c r="H3379" t="str">
        <f t="shared" si="369"/>
        <v/>
      </c>
      <c r="I3379" t="str">
        <f t="shared" si="370"/>
        <v/>
      </c>
    </row>
    <row r="3380" spans="1:9" x14ac:dyDescent="0.4">
      <c r="A3380" t="str">
        <f t="shared" si="364"/>
        <v/>
      </c>
      <c r="B3380" t="str">
        <f t="shared" si="365"/>
        <v/>
      </c>
      <c r="C3380" t="str">
        <f t="shared" si="366"/>
        <v/>
      </c>
      <c r="D3380" t="str">
        <f t="shared" si="367"/>
        <v/>
      </c>
      <c r="E3380" t="str">
        <f>IF(F3380="","",IF(COUNTIF($F$2:F3380,F3380)&gt;1,"",SUMIFS(tbl_input[필요수량],tbl_input[집계키_센터],F3380)))</f>
        <v/>
      </c>
      <c r="F3380" t="str">
        <f>IFERROR(INDEX(tbl_input[집계키_센터],ROW()-1),"")</f>
        <v/>
      </c>
      <c r="G3380" t="str">
        <f t="shared" si="368"/>
        <v/>
      </c>
      <c r="H3380" t="str">
        <f t="shared" si="369"/>
        <v/>
      </c>
      <c r="I3380" t="str">
        <f t="shared" si="370"/>
        <v/>
      </c>
    </row>
    <row r="3381" spans="1:9" x14ac:dyDescent="0.4">
      <c r="A3381" t="str">
        <f t="shared" si="364"/>
        <v/>
      </c>
      <c r="B3381" t="str">
        <f t="shared" si="365"/>
        <v/>
      </c>
      <c r="C3381" t="str">
        <f t="shared" si="366"/>
        <v/>
      </c>
      <c r="D3381" t="str">
        <f t="shared" si="367"/>
        <v/>
      </c>
      <c r="E3381" t="str">
        <f>IF(F3381="","",IF(COUNTIF($F$2:F3381,F3381)&gt;1,"",SUMIFS(tbl_input[필요수량],tbl_input[집계키_센터],F3381)))</f>
        <v/>
      </c>
      <c r="F3381" t="str">
        <f>IFERROR(INDEX(tbl_input[집계키_센터],ROW()-1),"")</f>
        <v/>
      </c>
      <c r="G3381" t="str">
        <f t="shared" si="368"/>
        <v/>
      </c>
      <c r="H3381" t="str">
        <f t="shared" si="369"/>
        <v/>
      </c>
      <c r="I3381" t="str">
        <f t="shared" si="370"/>
        <v/>
      </c>
    </row>
    <row r="3382" spans="1:9" x14ac:dyDescent="0.4">
      <c r="A3382" t="str">
        <f t="shared" si="364"/>
        <v/>
      </c>
      <c r="B3382" t="str">
        <f t="shared" si="365"/>
        <v/>
      </c>
      <c r="C3382" t="str">
        <f t="shared" si="366"/>
        <v/>
      </c>
      <c r="D3382" t="str">
        <f t="shared" si="367"/>
        <v/>
      </c>
      <c r="E3382" t="str">
        <f>IF(F3382="","",IF(COUNTIF($F$2:F3382,F3382)&gt;1,"",SUMIFS(tbl_input[필요수량],tbl_input[집계키_센터],F3382)))</f>
        <v/>
      </c>
      <c r="F3382" t="str">
        <f>IFERROR(INDEX(tbl_input[집계키_센터],ROW()-1),"")</f>
        <v/>
      </c>
      <c r="G3382" t="str">
        <f t="shared" si="368"/>
        <v/>
      </c>
      <c r="H3382" t="str">
        <f t="shared" si="369"/>
        <v/>
      </c>
      <c r="I3382" t="str">
        <f t="shared" si="370"/>
        <v/>
      </c>
    </row>
    <row r="3383" spans="1:9" x14ac:dyDescent="0.4">
      <c r="A3383" t="str">
        <f t="shared" si="364"/>
        <v/>
      </c>
      <c r="B3383" t="str">
        <f t="shared" si="365"/>
        <v/>
      </c>
      <c r="C3383" t="str">
        <f t="shared" si="366"/>
        <v/>
      </c>
      <c r="D3383" t="str">
        <f t="shared" si="367"/>
        <v/>
      </c>
      <c r="E3383" t="str">
        <f>IF(F3383="","",IF(COUNTIF($F$2:F3383,F3383)&gt;1,"",SUMIFS(tbl_input[필요수량],tbl_input[집계키_센터],F3383)))</f>
        <v/>
      </c>
      <c r="F3383" t="str">
        <f>IFERROR(INDEX(tbl_input[집계키_센터],ROW()-1),"")</f>
        <v/>
      </c>
      <c r="G3383" t="str">
        <f t="shared" si="368"/>
        <v/>
      </c>
      <c r="H3383" t="str">
        <f t="shared" si="369"/>
        <v/>
      </c>
      <c r="I3383" t="str">
        <f t="shared" si="370"/>
        <v/>
      </c>
    </row>
    <row r="3384" spans="1:9" x14ac:dyDescent="0.4">
      <c r="A3384" t="str">
        <f t="shared" si="364"/>
        <v/>
      </c>
      <c r="B3384" t="str">
        <f t="shared" si="365"/>
        <v/>
      </c>
      <c r="C3384" t="str">
        <f t="shared" si="366"/>
        <v/>
      </c>
      <c r="D3384" t="str">
        <f t="shared" si="367"/>
        <v/>
      </c>
      <c r="E3384" t="str">
        <f>IF(F3384="","",IF(COUNTIF($F$2:F3384,F3384)&gt;1,"",SUMIFS(tbl_input[필요수량],tbl_input[집계키_센터],F3384)))</f>
        <v/>
      </c>
      <c r="F3384" t="str">
        <f>IFERROR(INDEX(tbl_input[집계키_센터],ROW()-1),"")</f>
        <v/>
      </c>
      <c r="G3384" t="str">
        <f t="shared" si="368"/>
        <v/>
      </c>
      <c r="H3384" t="str">
        <f t="shared" si="369"/>
        <v/>
      </c>
      <c r="I3384" t="str">
        <f t="shared" si="370"/>
        <v/>
      </c>
    </row>
    <row r="3385" spans="1:9" x14ac:dyDescent="0.4">
      <c r="A3385" t="str">
        <f t="shared" si="364"/>
        <v/>
      </c>
      <c r="B3385" t="str">
        <f t="shared" si="365"/>
        <v/>
      </c>
      <c r="C3385" t="str">
        <f t="shared" si="366"/>
        <v/>
      </c>
      <c r="D3385" t="str">
        <f t="shared" si="367"/>
        <v/>
      </c>
      <c r="E3385" t="str">
        <f>IF(F3385="","",IF(COUNTIF($F$2:F3385,F3385)&gt;1,"",SUMIFS(tbl_input[필요수량],tbl_input[집계키_센터],F3385)))</f>
        <v/>
      </c>
      <c r="F3385" t="str">
        <f>IFERROR(INDEX(tbl_input[집계키_센터],ROW()-1),"")</f>
        <v/>
      </c>
      <c r="G3385" t="str">
        <f t="shared" si="368"/>
        <v/>
      </c>
      <c r="H3385" t="str">
        <f t="shared" si="369"/>
        <v/>
      </c>
      <c r="I3385" t="str">
        <f t="shared" si="370"/>
        <v/>
      </c>
    </row>
    <row r="3386" spans="1:9" x14ac:dyDescent="0.4">
      <c r="A3386" t="str">
        <f t="shared" si="364"/>
        <v/>
      </c>
      <c r="B3386" t="str">
        <f t="shared" si="365"/>
        <v/>
      </c>
      <c r="C3386" t="str">
        <f t="shared" si="366"/>
        <v/>
      </c>
      <c r="D3386" t="str">
        <f t="shared" si="367"/>
        <v/>
      </c>
      <c r="E3386" t="str">
        <f>IF(F3386="","",IF(COUNTIF($F$2:F3386,F3386)&gt;1,"",SUMIFS(tbl_input[필요수량],tbl_input[집계키_센터],F3386)))</f>
        <v/>
      </c>
      <c r="F3386" t="str">
        <f>IFERROR(INDEX(tbl_input[집계키_센터],ROW()-1),"")</f>
        <v/>
      </c>
      <c r="G3386" t="str">
        <f t="shared" si="368"/>
        <v/>
      </c>
      <c r="H3386" t="str">
        <f t="shared" si="369"/>
        <v/>
      </c>
      <c r="I3386" t="str">
        <f t="shared" si="370"/>
        <v/>
      </c>
    </row>
    <row r="3387" spans="1:9" x14ac:dyDescent="0.4">
      <c r="A3387" t="str">
        <f t="shared" si="364"/>
        <v/>
      </c>
      <c r="B3387" t="str">
        <f t="shared" si="365"/>
        <v/>
      </c>
      <c r="C3387" t="str">
        <f t="shared" si="366"/>
        <v/>
      </c>
      <c r="D3387" t="str">
        <f t="shared" si="367"/>
        <v/>
      </c>
      <c r="E3387" t="str">
        <f>IF(F3387="","",IF(COUNTIF($F$2:F3387,F3387)&gt;1,"",SUMIFS(tbl_input[필요수량],tbl_input[집계키_센터],F3387)))</f>
        <v/>
      </c>
      <c r="F3387" t="str">
        <f>IFERROR(INDEX(tbl_input[집계키_센터],ROW()-1),"")</f>
        <v/>
      </c>
      <c r="G3387" t="str">
        <f t="shared" si="368"/>
        <v/>
      </c>
      <c r="H3387" t="str">
        <f t="shared" si="369"/>
        <v/>
      </c>
      <c r="I3387" t="str">
        <f t="shared" si="370"/>
        <v/>
      </c>
    </row>
    <row r="3388" spans="1:9" x14ac:dyDescent="0.4">
      <c r="A3388" t="str">
        <f t="shared" si="364"/>
        <v/>
      </c>
      <c r="B3388" t="str">
        <f t="shared" si="365"/>
        <v/>
      </c>
      <c r="C3388" t="str">
        <f t="shared" si="366"/>
        <v/>
      </c>
      <c r="D3388" t="str">
        <f t="shared" si="367"/>
        <v/>
      </c>
      <c r="E3388" t="str">
        <f>IF(F3388="","",IF(COUNTIF($F$2:F3388,F3388)&gt;1,"",SUMIFS(tbl_input[필요수량],tbl_input[집계키_센터],F3388)))</f>
        <v/>
      </c>
      <c r="F3388" t="str">
        <f>IFERROR(INDEX(tbl_input[집계키_센터],ROW()-1),"")</f>
        <v/>
      </c>
      <c r="G3388" t="str">
        <f t="shared" si="368"/>
        <v/>
      </c>
      <c r="H3388" t="str">
        <f t="shared" si="369"/>
        <v/>
      </c>
      <c r="I3388" t="str">
        <f t="shared" si="370"/>
        <v/>
      </c>
    </row>
    <row r="3389" spans="1:9" x14ac:dyDescent="0.4">
      <c r="A3389" t="str">
        <f t="shared" si="364"/>
        <v/>
      </c>
      <c r="B3389" t="str">
        <f t="shared" si="365"/>
        <v/>
      </c>
      <c r="C3389" t="str">
        <f t="shared" si="366"/>
        <v/>
      </c>
      <c r="D3389" t="str">
        <f t="shared" si="367"/>
        <v/>
      </c>
      <c r="E3389" t="str">
        <f>IF(F3389="","",IF(COUNTIF($F$2:F3389,F3389)&gt;1,"",SUMIFS(tbl_input[필요수량],tbl_input[집계키_센터],F3389)))</f>
        <v/>
      </c>
      <c r="F3389" t="str">
        <f>IFERROR(INDEX(tbl_input[집계키_센터],ROW()-1),"")</f>
        <v/>
      </c>
      <c r="G3389" t="str">
        <f t="shared" si="368"/>
        <v/>
      </c>
      <c r="H3389" t="str">
        <f t="shared" si="369"/>
        <v/>
      </c>
      <c r="I3389" t="str">
        <f t="shared" si="370"/>
        <v/>
      </c>
    </row>
    <row r="3390" spans="1:9" x14ac:dyDescent="0.4">
      <c r="A3390" t="str">
        <f t="shared" si="364"/>
        <v/>
      </c>
      <c r="B3390" t="str">
        <f t="shared" si="365"/>
        <v/>
      </c>
      <c r="C3390" t="str">
        <f t="shared" si="366"/>
        <v/>
      </c>
      <c r="D3390" t="str">
        <f t="shared" si="367"/>
        <v/>
      </c>
      <c r="E3390" t="str">
        <f>IF(F3390="","",IF(COUNTIF($F$2:F3390,F3390)&gt;1,"",SUMIFS(tbl_input[필요수량],tbl_input[집계키_센터],F3390)))</f>
        <v/>
      </c>
      <c r="F3390" t="str">
        <f>IFERROR(INDEX(tbl_input[집계키_센터],ROW()-1),"")</f>
        <v/>
      </c>
      <c r="G3390" t="str">
        <f t="shared" si="368"/>
        <v/>
      </c>
      <c r="H3390" t="str">
        <f t="shared" si="369"/>
        <v/>
      </c>
      <c r="I3390" t="str">
        <f t="shared" si="370"/>
        <v/>
      </c>
    </row>
    <row r="3391" spans="1:9" x14ac:dyDescent="0.4">
      <c r="A3391" t="str">
        <f t="shared" si="364"/>
        <v/>
      </c>
      <c r="B3391" t="str">
        <f t="shared" si="365"/>
        <v/>
      </c>
      <c r="C3391" t="str">
        <f t="shared" si="366"/>
        <v/>
      </c>
      <c r="D3391" t="str">
        <f t="shared" si="367"/>
        <v/>
      </c>
      <c r="E3391" t="str">
        <f>IF(F3391="","",IF(COUNTIF($F$2:F3391,F3391)&gt;1,"",SUMIFS(tbl_input[필요수량],tbl_input[집계키_센터],F3391)))</f>
        <v/>
      </c>
      <c r="F3391" t="str">
        <f>IFERROR(INDEX(tbl_input[집계키_센터],ROW()-1),"")</f>
        <v/>
      </c>
      <c r="G3391" t="str">
        <f t="shared" si="368"/>
        <v/>
      </c>
      <c r="H3391" t="str">
        <f t="shared" si="369"/>
        <v/>
      </c>
      <c r="I3391" t="str">
        <f t="shared" si="370"/>
        <v/>
      </c>
    </row>
    <row r="3392" spans="1:9" x14ac:dyDescent="0.4">
      <c r="A3392" t="str">
        <f t="shared" si="364"/>
        <v/>
      </c>
      <c r="B3392" t="str">
        <f t="shared" si="365"/>
        <v/>
      </c>
      <c r="C3392" t="str">
        <f t="shared" si="366"/>
        <v/>
      </c>
      <c r="D3392" t="str">
        <f t="shared" si="367"/>
        <v/>
      </c>
      <c r="E3392" t="str">
        <f>IF(F3392="","",IF(COUNTIF($F$2:F3392,F3392)&gt;1,"",SUMIFS(tbl_input[필요수량],tbl_input[집계키_센터],F3392)))</f>
        <v/>
      </c>
      <c r="F3392" t="str">
        <f>IFERROR(INDEX(tbl_input[집계키_센터],ROW()-1),"")</f>
        <v/>
      </c>
      <c r="G3392" t="str">
        <f t="shared" si="368"/>
        <v/>
      </c>
      <c r="H3392" t="str">
        <f t="shared" si="369"/>
        <v/>
      </c>
      <c r="I3392" t="str">
        <f t="shared" si="370"/>
        <v/>
      </c>
    </row>
    <row r="3393" spans="1:9" x14ac:dyDescent="0.4">
      <c r="A3393" t="str">
        <f t="shared" si="364"/>
        <v/>
      </c>
      <c r="B3393" t="str">
        <f t="shared" si="365"/>
        <v/>
      </c>
      <c r="C3393" t="str">
        <f t="shared" si="366"/>
        <v/>
      </c>
      <c r="D3393" t="str">
        <f t="shared" si="367"/>
        <v/>
      </c>
      <c r="E3393" t="str">
        <f>IF(F3393="","",IF(COUNTIF($F$2:F3393,F3393)&gt;1,"",SUMIFS(tbl_input[필요수량],tbl_input[집계키_센터],F3393)))</f>
        <v/>
      </c>
      <c r="F3393" t="str">
        <f>IFERROR(INDEX(tbl_input[집계키_센터],ROW()-1),"")</f>
        <v/>
      </c>
      <c r="G3393" t="str">
        <f t="shared" si="368"/>
        <v/>
      </c>
      <c r="H3393" t="str">
        <f t="shared" si="369"/>
        <v/>
      </c>
      <c r="I3393" t="str">
        <f t="shared" si="370"/>
        <v/>
      </c>
    </row>
    <row r="3394" spans="1:9" x14ac:dyDescent="0.4">
      <c r="A3394" t="str">
        <f t="shared" ref="A3394:A3457" si="371">IF(F3394="","",LEFT(F3394,G3394-1))</f>
        <v/>
      </c>
      <c r="B3394" t="str">
        <f t="shared" ref="B3394:B3457" si="372">IF(F3394="","",MID(F3394,G3394+1,H3394-G3394-1))</f>
        <v/>
      </c>
      <c r="C3394" t="str">
        <f t="shared" ref="C3394:C3457" si="373">IF(F3394="","",MID(F3394,H3394+1,I3394-H3394-1))</f>
        <v/>
      </c>
      <c r="D3394" t="str">
        <f t="shared" ref="D3394:D3457" si="374">IF(F3394="","",MID(F3394,I3394+1,999))</f>
        <v/>
      </c>
      <c r="E3394" t="str">
        <f>IF(F3394="","",IF(COUNTIF($F$2:F3394,F3394)&gt;1,"",SUMIFS(tbl_input[필요수량],tbl_input[집계키_센터],F3394)))</f>
        <v/>
      </c>
      <c r="F3394" t="str">
        <f>IFERROR(INDEX(tbl_input[집계키_센터],ROW()-1),"")</f>
        <v/>
      </c>
      <c r="G3394" t="str">
        <f t="shared" ref="G3394:G3457" si="375">IF(F3394="","",FIND("♦",F3394))</f>
        <v/>
      </c>
      <c r="H3394" t="str">
        <f t="shared" ref="H3394:H3457" si="376">IF(F3394="","",FIND("♦",F3394,G3394+1))</f>
        <v/>
      </c>
      <c r="I3394" t="str">
        <f t="shared" ref="I3394:I3457" si="377">IF(F3394="","",FIND("♦",F3394,H3394+1))</f>
        <v/>
      </c>
    </row>
    <row r="3395" spans="1:9" x14ac:dyDescent="0.4">
      <c r="A3395" t="str">
        <f t="shared" si="371"/>
        <v/>
      </c>
      <c r="B3395" t="str">
        <f t="shared" si="372"/>
        <v/>
      </c>
      <c r="C3395" t="str">
        <f t="shared" si="373"/>
        <v/>
      </c>
      <c r="D3395" t="str">
        <f t="shared" si="374"/>
        <v/>
      </c>
      <c r="E3395" t="str">
        <f>IF(F3395="","",IF(COUNTIF($F$2:F3395,F3395)&gt;1,"",SUMIFS(tbl_input[필요수량],tbl_input[집계키_센터],F3395)))</f>
        <v/>
      </c>
      <c r="F3395" t="str">
        <f>IFERROR(INDEX(tbl_input[집계키_센터],ROW()-1),"")</f>
        <v/>
      </c>
      <c r="G3395" t="str">
        <f t="shared" si="375"/>
        <v/>
      </c>
      <c r="H3395" t="str">
        <f t="shared" si="376"/>
        <v/>
      </c>
      <c r="I3395" t="str">
        <f t="shared" si="377"/>
        <v/>
      </c>
    </row>
    <row r="3396" spans="1:9" x14ac:dyDescent="0.4">
      <c r="A3396" t="str">
        <f t="shared" si="371"/>
        <v/>
      </c>
      <c r="B3396" t="str">
        <f t="shared" si="372"/>
        <v/>
      </c>
      <c r="C3396" t="str">
        <f t="shared" si="373"/>
        <v/>
      </c>
      <c r="D3396" t="str">
        <f t="shared" si="374"/>
        <v/>
      </c>
      <c r="E3396" t="str">
        <f>IF(F3396="","",IF(COUNTIF($F$2:F3396,F3396)&gt;1,"",SUMIFS(tbl_input[필요수량],tbl_input[집계키_센터],F3396)))</f>
        <v/>
      </c>
      <c r="F3396" t="str">
        <f>IFERROR(INDEX(tbl_input[집계키_센터],ROW()-1),"")</f>
        <v/>
      </c>
      <c r="G3396" t="str">
        <f t="shared" si="375"/>
        <v/>
      </c>
      <c r="H3396" t="str">
        <f t="shared" si="376"/>
        <v/>
      </c>
      <c r="I3396" t="str">
        <f t="shared" si="377"/>
        <v/>
      </c>
    </row>
    <row r="3397" spans="1:9" x14ac:dyDescent="0.4">
      <c r="A3397" t="str">
        <f t="shared" si="371"/>
        <v/>
      </c>
      <c r="B3397" t="str">
        <f t="shared" si="372"/>
        <v/>
      </c>
      <c r="C3397" t="str">
        <f t="shared" si="373"/>
        <v/>
      </c>
      <c r="D3397" t="str">
        <f t="shared" si="374"/>
        <v/>
      </c>
      <c r="E3397" t="str">
        <f>IF(F3397="","",IF(COUNTIF($F$2:F3397,F3397)&gt;1,"",SUMIFS(tbl_input[필요수량],tbl_input[집계키_센터],F3397)))</f>
        <v/>
      </c>
      <c r="F3397" t="str">
        <f>IFERROR(INDEX(tbl_input[집계키_센터],ROW()-1),"")</f>
        <v/>
      </c>
      <c r="G3397" t="str">
        <f t="shared" si="375"/>
        <v/>
      </c>
      <c r="H3397" t="str">
        <f t="shared" si="376"/>
        <v/>
      </c>
      <c r="I3397" t="str">
        <f t="shared" si="377"/>
        <v/>
      </c>
    </row>
    <row r="3398" spans="1:9" x14ac:dyDescent="0.4">
      <c r="A3398" t="str">
        <f t="shared" si="371"/>
        <v/>
      </c>
      <c r="B3398" t="str">
        <f t="shared" si="372"/>
        <v/>
      </c>
      <c r="C3398" t="str">
        <f t="shared" si="373"/>
        <v/>
      </c>
      <c r="D3398" t="str">
        <f t="shared" si="374"/>
        <v/>
      </c>
      <c r="E3398" t="str">
        <f>IF(F3398="","",IF(COUNTIF($F$2:F3398,F3398)&gt;1,"",SUMIFS(tbl_input[필요수량],tbl_input[집계키_센터],F3398)))</f>
        <v/>
      </c>
      <c r="F3398" t="str">
        <f>IFERROR(INDEX(tbl_input[집계키_센터],ROW()-1),"")</f>
        <v/>
      </c>
      <c r="G3398" t="str">
        <f t="shared" si="375"/>
        <v/>
      </c>
      <c r="H3398" t="str">
        <f t="shared" si="376"/>
        <v/>
      </c>
      <c r="I3398" t="str">
        <f t="shared" si="377"/>
        <v/>
      </c>
    </row>
    <row r="3399" spans="1:9" x14ac:dyDescent="0.4">
      <c r="A3399" t="str">
        <f t="shared" si="371"/>
        <v/>
      </c>
      <c r="B3399" t="str">
        <f t="shared" si="372"/>
        <v/>
      </c>
      <c r="C3399" t="str">
        <f t="shared" si="373"/>
        <v/>
      </c>
      <c r="D3399" t="str">
        <f t="shared" si="374"/>
        <v/>
      </c>
      <c r="E3399" t="str">
        <f>IF(F3399="","",IF(COUNTIF($F$2:F3399,F3399)&gt;1,"",SUMIFS(tbl_input[필요수량],tbl_input[집계키_센터],F3399)))</f>
        <v/>
      </c>
      <c r="F3399" t="str">
        <f>IFERROR(INDEX(tbl_input[집계키_센터],ROW()-1),"")</f>
        <v/>
      </c>
      <c r="G3399" t="str">
        <f t="shared" si="375"/>
        <v/>
      </c>
      <c r="H3399" t="str">
        <f t="shared" si="376"/>
        <v/>
      </c>
      <c r="I3399" t="str">
        <f t="shared" si="377"/>
        <v/>
      </c>
    </row>
    <row r="3400" spans="1:9" x14ac:dyDescent="0.4">
      <c r="A3400" t="str">
        <f t="shared" si="371"/>
        <v/>
      </c>
      <c r="B3400" t="str">
        <f t="shared" si="372"/>
        <v/>
      </c>
      <c r="C3400" t="str">
        <f t="shared" si="373"/>
        <v/>
      </c>
      <c r="D3400" t="str">
        <f t="shared" si="374"/>
        <v/>
      </c>
      <c r="E3400" t="str">
        <f>IF(F3400="","",IF(COUNTIF($F$2:F3400,F3400)&gt;1,"",SUMIFS(tbl_input[필요수량],tbl_input[집계키_센터],F3400)))</f>
        <v/>
      </c>
      <c r="F3400" t="str">
        <f>IFERROR(INDEX(tbl_input[집계키_센터],ROW()-1),"")</f>
        <v/>
      </c>
      <c r="G3400" t="str">
        <f t="shared" si="375"/>
        <v/>
      </c>
      <c r="H3400" t="str">
        <f t="shared" si="376"/>
        <v/>
      </c>
      <c r="I3400" t="str">
        <f t="shared" si="377"/>
        <v/>
      </c>
    </row>
    <row r="3401" spans="1:9" x14ac:dyDescent="0.4">
      <c r="A3401" t="str">
        <f t="shared" si="371"/>
        <v/>
      </c>
      <c r="B3401" t="str">
        <f t="shared" si="372"/>
        <v/>
      </c>
      <c r="C3401" t="str">
        <f t="shared" si="373"/>
        <v/>
      </c>
      <c r="D3401" t="str">
        <f t="shared" si="374"/>
        <v/>
      </c>
      <c r="E3401" t="str">
        <f>IF(F3401="","",IF(COUNTIF($F$2:F3401,F3401)&gt;1,"",SUMIFS(tbl_input[필요수량],tbl_input[집계키_센터],F3401)))</f>
        <v/>
      </c>
      <c r="F3401" t="str">
        <f>IFERROR(INDEX(tbl_input[집계키_센터],ROW()-1),"")</f>
        <v/>
      </c>
      <c r="G3401" t="str">
        <f t="shared" si="375"/>
        <v/>
      </c>
      <c r="H3401" t="str">
        <f t="shared" si="376"/>
        <v/>
      </c>
      <c r="I3401" t="str">
        <f t="shared" si="377"/>
        <v/>
      </c>
    </row>
    <row r="3402" spans="1:9" x14ac:dyDescent="0.4">
      <c r="A3402" t="str">
        <f t="shared" si="371"/>
        <v/>
      </c>
      <c r="B3402" t="str">
        <f t="shared" si="372"/>
        <v/>
      </c>
      <c r="C3402" t="str">
        <f t="shared" si="373"/>
        <v/>
      </c>
      <c r="D3402" t="str">
        <f t="shared" si="374"/>
        <v/>
      </c>
      <c r="E3402" t="str">
        <f>IF(F3402="","",IF(COUNTIF($F$2:F3402,F3402)&gt;1,"",SUMIFS(tbl_input[필요수량],tbl_input[집계키_센터],F3402)))</f>
        <v/>
      </c>
      <c r="F3402" t="str">
        <f>IFERROR(INDEX(tbl_input[집계키_센터],ROW()-1),"")</f>
        <v/>
      </c>
      <c r="G3402" t="str">
        <f t="shared" si="375"/>
        <v/>
      </c>
      <c r="H3402" t="str">
        <f t="shared" si="376"/>
        <v/>
      </c>
      <c r="I3402" t="str">
        <f t="shared" si="377"/>
        <v/>
      </c>
    </row>
    <row r="3403" spans="1:9" x14ac:dyDescent="0.4">
      <c r="A3403" t="str">
        <f t="shared" si="371"/>
        <v/>
      </c>
      <c r="B3403" t="str">
        <f t="shared" si="372"/>
        <v/>
      </c>
      <c r="C3403" t="str">
        <f t="shared" si="373"/>
        <v/>
      </c>
      <c r="D3403" t="str">
        <f t="shared" si="374"/>
        <v/>
      </c>
      <c r="E3403" t="str">
        <f>IF(F3403="","",IF(COUNTIF($F$2:F3403,F3403)&gt;1,"",SUMIFS(tbl_input[필요수량],tbl_input[집계키_센터],F3403)))</f>
        <v/>
      </c>
      <c r="F3403" t="str">
        <f>IFERROR(INDEX(tbl_input[집계키_센터],ROW()-1),"")</f>
        <v/>
      </c>
      <c r="G3403" t="str">
        <f t="shared" si="375"/>
        <v/>
      </c>
      <c r="H3403" t="str">
        <f t="shared" si="376"/>
        <v/>
      </c>
      <c r="I3403" t="str">
        <f t="shared" si="377"/>
        <v/>
      </c>
    </row>
    <row r="3404" spans="1:9" x14ac:dyDescent="0.4">
      <c r="A3404" t="str">
        <f t="shared" si="371"/>
        <v/>
      </c>
      <c r="B3404" t="str">
        <f t="shared" si="372"/>
        <v/>
      </c>
      <c r="C3404" t="str">
        <f t="shared" si="373"/>
        <v/>
      </c>
      <c r="D3404" t="str">
        <f t="shared" si="374"/>
        <v/>
      </c>
      <c r="E3404" t="str">
        <f>IF(F3404="","",IF(COUNTIF($F$2:F3404,F3404)&gt;1,"",SUMIFS(tbl_input[필요수량],tbl_input[집계키_센터],F3404)))</f>
        <v/>
      </c>
      <c r="F3404" t="str">
        <f>IFERROR(INDEX(tbl_input[집계키_센터],ROW()-1),"")</f>
        <v/>
      </c>
      <c r="G3404" t="str">
        <f t="shared" si="375"/>
        <v/>
      </c>
      <c r="H3404" t="str">
        <f t="shared" si="376"/>
        <v/>
      </c>
      <c r="I3404" t="str">
        <f t="shared" si="377"/>
        <v/>
      </c>
    </row>
    <row r="3405" spans="1:9" x14ac:dyDescent="0.4">
      <c r="A3405" t="str">
        <f t="shared" si="371"/>
        <v/>
      </c>
      <c r="B3405" t="str">
        <f t="shared" si="372"/>
        <v/>
      </c>
      <c r="C3405" t="str">
        <f t="shared" si="373"/>
        <v/>
      </c>
      <c r="D3405" t="str">
        <f t="shared" si="374"/>
        <v/>
      </c>
      <c r="E3405" t="str">
        <f>IF(F3405="","",IF(COUNTIF($F$2:F3405,F3405)&gt;1,"",SUMIFS(tbl_input[필요수량],tbl_input[집계키_센터],F3405)))</f>
        <v/>
      </c>
      <c r="F3405" t="str">
        <f>IFERROR(INDEX(tbl_input[집계키_센터],ROW()-1),"")</f>
        <v/>
      </c>
      <c r="G3405" t="str">
        <f t="shared" si="375"/>
        <v/>
      </c>
      <c r="H3405" t="str">
        <f t="shared" si="376"/>
        <v/>
      </c>
      <c r="I3405" t="str">
        <f t="shared" si="377"/>
        <v/>
      </c>
    </row>
    <row r="3406" spans="1:9" x14ac:dyDescent="0.4">
      <c r="A3406" t="str">
        <f t="shared" si="371"/>
        <v/>
      </c>
      <c r="B3406" t="str">
        <f t="shared" si="372"/>
        <v/>
      </c>
      <c r="C3406" t="str">
        <f t="shared" si="373"/>
        <v/>
      </c>
      <c r="D3406" t="str">
        <f t="shared" si="374"/>
        <v/>
      </c>
      <c r="E3406" t="str">
        <f>IF(F3406="","",IF(COUNTIF($F$2:F3406,F3406)&gt;1,"",SUMIFS(tbl_input[필요수량],tbl_input[집계키_센터],F3406)))</f>
        <v/>
      </c>
      <c r="F3406" t="str">
        <f>IFERROR(INDEX(tbl_input[집계키_센터],ROW()-1),"")</f>
        <v/>
      </c>
      <c r="G3406" t="str">
        <f t="shared" si="375"/>
        <v/>
      </c>
      <c r="H3406" t="str">
        <f t="shared" si="376"/>
        <v/>
      </c>
      <c r="I3406" t="str">
        <f t="shared" si="377"/>
        <v/>
      </c>
    </row>
    <row r="3407" spans="1:9" x14ac:dyDescent="0.4">
      <c r="A3407" t="str">
        <f t="shared" si="371"/>
        <v/>
      </c>
      <c r="B3407" t="str">
        <f t="shared" si="372"/>
        <v/>
      </c>
      <c r="C3407" t="str">
        <f t="shared" si="373"/>
        <v/>
      </c>
      <c r="D3407" t="str">
        <f t="shared" si="374"/>
        <v/>
      </c>
      <c r="E3407" t="str">
        <f>IF(F3407="","",IF(COUNTIF($F$2:F3407,F3407)&gt;1,"",SUMIFS(tbl_input[필요수량],tbl_input[집계키_센터],F3407)))</f>
        <v/>
      </c>
      <c r="F3407" t="str">
        <f>IFERROR(INDEX(tbl_input[집계키_센터],ROW()-1),"")</f>
        <v/>
      </c>
      <c r="G3407" t="str">
        <f t="shared" si="375"/>
        <v/>
      </c>
      <c r="H3407" t="str">
        <f t="shared" si="376"/>
        <v/>
      </c>
      <c r="I3407" t="str">
        <f t="shared" si="377"/>
        <v/>
      </c>
    </row>
    <row r="3408" spans="1:9" x14ac:dyDescent="0.4">
      <c r="A3408" t="str">
        <f t="shared" si="371"/>
        <v/>
      </c>
      <c r="B3408" t="str">
        <f t="shared" si="372"/>
        <v/>
      </c>
      <c r="C3408" t="str">
        <f t="shared" si="373"/>
        <v/>
      </c>
      <c r="D3408" t="str">
        <f t="shared" si="374"/>
        <v/>
      </c>
      <c r="E3408" t="str">
        <f>IF(F3408="","",IF(COUNTIF($F$2:F3408,F3408)&gt;1,"",SUMIFS(tbl_input[필요수량],tbl_input[집계키_센터],F3408)))</f>
        <v/>
      </c>
      <c r="F3408" t="str">
        <f>IFERROR(INDEX(tbl_input[집계키_센터],ROW()-1),"")</f>
        <v/>
      </c>
      <c r="G3408" t="str">
        <f t="shared" si="375"/>
        <v/>
      </c>
      <c r="H3408" t="str">
        <f t="shared" si="376"/>
        <v/>
      </c>
      <c r="I3408" t="str">
        <f t="shared" si="377"/>
        <v/>
      </c>
    </row>
    <row r="3409" spans="1:9" x14ac:dyDescent="0.4">
      <c r="A3409" t="str">
        <f t="shared" si="371"/>
        <v/>
      </c>
      <c r="B3409" t="str">
        <f t="shared" si="372"/>
        <v/>
      </c>
      <c r="C3409" t="str">
        <f t="shared" si="373"/>
        <v/>
      </c>
      <c r="D3409" t="str">
        <f t="shared" si="374"/>
        <v/>
      </c>
      <c r="E3409" t="str">
        <f>IF(F3409="","",IF(COUNTIF($F$2:F3409,F3409)&gt;1,"",SUMIFS(tbl_input[필요수량],tbl_input[집계키_센터],F3409)))</f>
        <v/>
      </c>
      <c r="F3409" t="str">
        <f>IFERROR(INDEX(tbl_input[집계키_센터],ROW()-1),"")</f>
        <v/>
      </c>
      <c r="G3409" t="str">
        <f t="shared" si="375"/>
        <v/>
      </c>
      <c r="H3409" t="str">
        <f t="shared" si="376"/>
        <v/>
      </c>
      <c r="I3409" t="str">
        <f t="shared" si="377"/>
        <v/>
      </c>
    </row>
    <row r="3410" spans="1:9" x14ac:dyDescent="0.4">
      <c r="A3410" t="str">
        <f t="shared" si="371"/>
        <v/>
      </c>
      <c r="B3410" t="str">
        <f t="shared" si="372"/>
        <v/>
      </c>
      <c r="C3410" t="str">
        <f t="shared" si="373"/>
        <v/>
      </c>
      <c r="D3410" t="str">
        <f t="shared" si="374"/>
        <v/>
      </c>
      <c r="E3410" t="str">
        <f>IF(F3410="","",IF(COUNTIF($F$2:F3410,F3410)&gt;1,"",SUMIFS(tbl_input[필요수량],tbl_input[집계키_센터],F3410)))</f>
        <v/>
      </c>
      <c r="F3410" t="str">
        <f>IFERROR(INDEX(tbl_input[집계키_센터],ROW()-1),"")</f>
        <v/>
      </c>
      <c r="G3410" t="str">
        <f t="shared" si="375"/>
        <v/>
      </c>
      <c r="H3410" t="str">
        <f t="shared" si="376"/>
        <v/>
      </c>
      <c r="I3410" t="str">
        <f t="shared" si="377"/>
        <v/>
      </c>
    </row>
    <row r="3411" spans="1:9" x14ac:dyDescent="0.4">
      <c r="A3411" t="str">
        <f t="shared" si="371"/>
        <v/>
      </c>
      <c r="B3411" t="str">
        <f t="shared" si="372"/>
        <v/>
      </c>
      <c r="C3411" t="str">
        <f t="shared" si="373"/>
        <v/>
      </c>
      <c r="D3411" t="str">
        <f t="shared" si="374"/>
        <v/>
      </c>
      <c r="E3411" t="str">
        <f>IF(F3411="","",IF(COUNTIF($F$2:F3411,F3411)&gt;1,"",SUMIFS(tbl_input[필요수량],tbl_input[집계키_센터],F3411)))</f>
        <v/>
      </c>
      <c r="F3411" t="str">
        <f>IFERROR(INDEX(tbl_input[집계키_센터],ROW()-1),"")</f>
        <v/>
      </c>
      <c r="G3411" t="str">
        <f t="shared" si="375"/>
        <v/>
      </c>
      <c r="H3411" t="str">
        <f t="shared" si="376"/>
        <v/>
      </c>
      <c r="I3411" t="str">
        <f t="shared" si="377"/>
        <v/>
      </c>
    </row>
    <row r="3412" spans="1:9" x14ac:dyDescent="0.4">
      <c r="A3412" t="str">
        <f t="shared" si="371"/>
        <v/>
      </c>
      <c r="B3412" t="str">
        <f t="shared" si="372"/>
        <v/>
      </c>
      <c r="C3412" t="str">
        <f t="shared" si="373"/>
        <v/>
      </c>
      <c r="D3412" t="str">
        <f t="shared" si="374"/>
        <v/>
      </c>
      <c r="E3412" t="str">
        <f>IF(F3412="","",IF(COUNTIF($F$2:F3412,F3412)&gt;1,"",SUMIFS(tbl_input[필요수량],tbl_input[집계키_센터],F3412)))</f>
        <v/>
      </c>
      <c r="F3412" t="str">
        <f>IFERROR(INDEX(tbl_input[집계키_센터],ROW()-1),"")</f>
        <v/>
      </c>
      <c r="G3412" t="str">
        <f t="shared" si="375"/>
        <v/>
      </c>
      <c r="H3412" t="str">
        <f t="shared" si="376"/>
        <v/>
      </c>
      <c r="I3412" t="str">
        <f t="shared" si="377"/>
        <v/>
      </c>
    </row>
    <row r="3413" spans="1:9" x14ac:dyDescent="0.4">
      <c r="A3413" t="str">
        <f t="shared" si="371"/>
        <v/>
      </c>
      <c r="B3413" t="str">
        <f t="shared" si="372"/>
        <v/>
      </c>
      <c r="C3413" t="str">
        <f t="shared" si="373"/>
        <v/>
      </c>
      <c r="D3413" t="str">
        <f t="shared" si="374"/>
        <v/>
      </c>
      <c r="E3413" t="str">
        <f>IF(F3413="","",IF(COUNTIF($F$2:F3413,F3413)&gt;1,"",SUMIFS(tbl_input[필요수량],tbl_input[집계키_센터],F3413)))</f>
        <v/>
      </c>
      <c r="F3413" t="str">
        <f>IFERROR(INDEX(tbl_input[집계키_센터],ROW()-1),"")</f>
        <v/>
      </c>
      <c r="G3413" t="str">
        <f t="shared" si="375"/>
        <v/>
      </c>
      <c r="H3413" t="str">
        <f t="shared" si="376"/>
        <v/>
      </c>
      <c r="I3413" t="str">
        <f t="shared" si="377"/>
        <v/>
      </c>
    </row>
    <row r="3414" spans="1:9" x14ac:dyDescent="0.4">
      <c r="A3414" t="str">
        <f t="shared" si="371"/>
        <v/>
      </c>
      <c r="B3414" t="str">
        <f t="shared" si="372"/>
        <v/>
      </c>
      <c r="C3414" t="str">
        <f t="shared" si="373"/>
        <v/>
      </c>
      <c r="D3414" t="str">
        <f t="shared" si="374"/>
        <v/>
      </c>
      <c r="E3414" t="str">
        <f>IF(F3414="","",IF(COUNTIF($F$2:F3414,F3414)&gt;1,"",SUMIFS(tbl_input[필요수량],tbl_input[집계키_센터],F3414)))</f>
        <v/>
      </c>
      <c r="F3414" t="str">
        <f>IFERROR(INDEX(tbl_input[집계키_센터],ROW()-1),"")</f>
        <v/>
      </c>
      <c r="G3414" t="str">
        <f t="shared" si="375"/>
        <v/>
      </c>
      <c r="H3414" t="str">
        <f t="shared" si="376"/>
        <v/>
      </c>
      <c r="I3414" t="str">
        <f t="shared" si="377"/>
        <v/>
      </c>
    </row>
    <row r="3415" spans="1:9" x14ac:dyDescent="0.4">
      <c r="A3415" t="str">
        <f t="shared" si="371"/>
        <v/>
      </c>
      <c r="B3415" t="str">
        <f t="shared" si="372"/>
        <v/>
      </c>
      <c r="C3415" t="str">
        <f t="shared" si="373"/>
        <v/>
      </c>
      <c r="D3415" t="str">
        <f t="shared" si="374"/>
        <v/>
      </c>
      <c r="E3415" t="str">
        <f>IF(F3415="","",IF(COUNTIF($F$2:F3415,F3415)&gt;1,"",SUMIFS(tbl_input[필요수량],tbl_input[집계키_센터],F3415)))</f>
        <v/>
      </c>
      <c r="F3415" t="str">
        <f>IFERROR(INDEX(tbl_input[집계키_센터],ROW()-1),"")</f>
        <v/>
      </c>
      <c r="G3415" t="str">
        <f t="shared" si="375"/>
        <v/>
      </c>
      <c r="H3415" t="str">
        <f t="shared" si="376"/>
        <v/>
      </c>
      <c r="I3415" t="str">
        <f t="shared" si="377"/>
        <v/>
      </c>
    </row>
    <row r="3416" spans="1:9" x14ac:dyDescent="0.4">
      <c r="A3416" t="str">
        <f t="shared" si="371"/>
        <v/>
      </c>
      <c r="B3416" t="str">
        <f t="shared" si="372"/>
        <v/>
      </c>
      <c r="C3416" t="str">
        <f t="shared" si="373"/>
        <v/>
      </c>
      <c r="D3416" t="str">
        <f t="shared" si="374"/>
        <v/>
      </c>
      <c r="E3416" t="str">
        <f>IF(F3416="","",IF(COUNTIF($F$2:F3416,F3416)&gt;1,"",SUMIFS(tbl_input[필요수량],tbl_input[집계키_센터],F3416)))</f>
        <v/>
      </c>
      <c r="F3416" t="str">
        <f>IFERROR(INDEX(tbl_input[집계키_센터],ROW()-1),"")</f>
        <v/>
      </c>
      <c r="G3416" t="str">
        <f t="shared" si="375"/>
        <v/>
      </c>
      <c r="H3416" t="str">
        <f t="shared" si="376"/>
        <v/>
      </c>
      <c r="I3416" t="str">
        <f t="shared" si="377"/>
        <v/>
      </c>
    </row>
    <row r="3417" spans="1:9" x14ac:dyDescent="0.4">
      <c r="A3417" t="str">
        <f t="shared" si="371"/>
        <v/>
      </c>
      <c r="B3417" t="str">
        <f t="shared" si="372"/>
        <v/>
      </c>
      <c r="C3417" t="str">
        <f t="shared" si="373"/>
        <v/>
      </c>
      <c r="D3417" t="str">
        <f t="shared" si="374"/>
        <v/>
      </c>
      <c r="E3417" t="str">
        <f>IF(F3417="","",IF(COUNTIF($F$2:F3417,F3417)&gt;1,"",SUMIFS(tbl_input[필요수량],tbl_input[집계키_센터],F3417)))</f>
        <v/>
      </c>
      <c r="F3417" t="str">
        <f>IFERROR(INDEX(tbl_input[집계키_센터],ROW()-1),"")</f>
        <v/>
      </c>
      <c r="G3417" t="str">
        <f t="shared" si="375"/>
        <v/>
      </c>
      <c r="H3417" t="str">
        <f t="shared" si="376"/>
        <v/>
      </c>
      <c r="I3417" t="str">
        <f t="shared" si="377"/>
        <v/>
      </c>
    </row>
    <row r="3418" spans="1:9" x14ac:dyDescent="0.4">
      <c r="A3418" t="str">
        <f t="shared" si="371"/>
        <v/>
      </c>
      <c r="B3418" t="str">
        <f t="shared" si="372"/>
        <v/>
      </c>
      <c r="C3418" t="str">
        <f t="shared" si="373"/>
        <v/>
      </c>
      <c r="D3418" t="str">
        <f t="shared" si="374"/>
        <v/>
      </c>
      <c r="E3418" t="str">
        <f>IF(F3418="","",IF(COUNTIF($F$2:F3418,F3418)&gt;1,"",SUMIFS(tbl_input[필요수량],tbl_input[집계키_센터],F3418)))</f>
        <v/>
      </c>
      <c r="F3418" t="str">
        <f>IFERROR(INDEX(tbl_input[집계키_센터],ROW()-1),"")</f>
        <v/>
      </c>
      <c r="G3418" t="str">
        <f t="shared" si="375"/>
        <v/>
      </c>
      <c r="H3418" t="str">
        <f t="shared" si="376"/>
        <v/>
      </c>
      <c r="I3418" t="str">
        <f t="shared" si="377"/>
        <v/>
      </c>
    </row>
    <row r="3419" spans="1:9" x14ac:dyDescent="0.4">
      <c r="A3419" t="str">
        <f t="shared" si="371"/>
        <v/>
      </c>
      <c r="B3419" t="str">
        <f t="shared" si="372"/>
        <v/>
      </c>
      <c r="C3419" t="str">
        <f t="shared" si="373"/>
        <v/>
      </c>
      <c r="D3419" t="str">
        <f t="shared" si="374"/>
        <v/>
      </c>
      <c r="E3419" t="str">
        <f>IF(F3419="","",IF(COUNTIF($F$2:F3419,F3419)&gt;1,"",SUMIFS(tbl_input[필요수량],tbl_input[집계키_센터],F3419)))</f>
        <v/>
      </c>
      <c r="F3419" t="str">
        <f>IFERROR(INDEX(tbl_input[집계키_센터],ROW()-1),"")</f>
        <v/>
      </c>
      <c r="G3419" t="str">
        <f t="shared" si="375"/>
        <v/>
      </c>
      <c r="H3419" t="str">
        <f t="shared" si="376"/>
        <v/>
      </c>
      <c r="I3419" t="str">
        <f t="shared" si="377"/>
        <v/>
      </c>
    </row>
    <row r="3420" spans="1:9" x14ac:dyDescent="0.4">
      <c r="A3420" t="str">
        <f t="shared" si="371"/>
        <v/>
      </c>
      <c r="B3420" t="str">
        <f t="shared" si="372"/>
        <v/>
      </c>
      <c r="C3420" t="str">
        <f t="shared" si="373"/>
        <v/>
      </c>
      <c r="D3420" t="str">
        <f t="shared" si="374"/>
        <v/>
      </c>
      <c r="E3420" t="str">
        <f>IF(F3420="","",IF(COUNTIF($F$2:F3420,F3420)&gt;1,"",SUMIFS(tbl_input[필요수량],tbl_input[집계키_센터],F3420)))</f>
        <v/>
      </c>
      <c r="F3420" t="str">
        <f>IFERROR(INDEX(tbl_input[집계키_센터],ROW()-1),"")</f>
        <v/>
      </c>
      <c r="G3420" t="str">
        <f t="shared" si="375"/>
        <v/>
      </c>
      <c r="H3420" t="str">
        <f t="shared" si="376"/>
        <v/>
      </c>
      <c r="I3420" t="str">
        <f t="shared" si="377"/>
        <v/>
      </c>
    </row>
    <row r="3421" spans="1:9" x14ac:dyDescent="0.4">
      <c r="A3421" t="str">
        <f t="shared" si="371"/>
        <v/>
      </c>
      <c r="B3421" t="str">
        <f t="shared" si="372"/>
        <v/>
      </c>
      <c r="C3421" t="str">
        <f t="shared" si="373"/>
        <v/>
      </c>
      <c r="D3421" t="str">
        <f t="shared" si="374"/>
        <v/>
      </c>
      <c r="E3421" t="str">
        <f>IF(F3421="","",IF(COUNTIF($F$2:F3421,F3421)&gt;1,"",SUMIFS(tbl_input[필요수량],tbl_input[집계키_센터],F3421)))</f>
        <v/>
      </c>
      <c r="F3421" t="str">
        <f>IFERROR(INDEX(tbl_input[집계키_센터],ROW()-1),"")</f>
        <v/>
      </c>
      <c r="G3421" t="str">
        <f t="shared" si="375"/>
        <v/>
      </c>
      <c r="H3421" t="str">
        <f t="shared" si="376"/>
        <v/>
      </c>
      <c r="I3421" t="str">
        <f t="shared" si="377"/>
        <v/>
      </c>
    </row>
    <row r="3422" spans="1:9" x14ac:dyDescent="0.4">
      <c r="A3422" t="str">
        <f t="shared" si="371"/>
        <v/>
      </c>
      <c r="B3422" t="str">
        <f t="shared" si="372"/>
        <v/>
      </c>
      <c r="C3422" t="str">
        <f t="shared" si="373"/>
        <v/>
      </c>
      <c r="D3422" t="str">
        <f t="shared" si="374"/>
        <v/>
      </c>
      <c r="E3422" t="str">
        <f>IF(F3422="","",IF(COUNTIF($F$2:F3422,F3422)&gt;1,"",SUMIFS(tbl_input[필요수량],tbl_input[집계키_센터],F3422)))</f>
        <v/>
      </c>
      <c r="F3422" t="str">
        <f>IFERROR(INDEX(tbl_input[집계키_센터],ROW()-1),"")</f>
        <v/>
      </c>
      <c r="G3422" t="str">
        <f t="shared" si="375"/>
        <v/>
      </c>
      <c r="H3422" t="str">
        <f t="shared" si="376"/>
        <v/>
      </c>
      <c r="I3422" t="str">
        <f t="shared" si="377"/>
        <v/>
      </c>
    </row>
    <row r="3423" spans="1:9" x14ac:dyDescent="0.4">
      <c r="A3423" t="str">
        <f t="shared" si="371"/>
        <v/>
      </c>
      <c r="B3423" t="str">
        <f t="shared" si="372"/>
        <v/>
      </c>
      <c r="C3423" t="str">
        <f t="shared" si="373"/>
        <v/>
      </c>
      <c r="D3423" t="str">
        <f t="shared" si="374"/>
        <v/>
      </c>
      <c r="E3423" t="str">
        <f>IF(F3423="","",IF(COUNTIF($F$2:F3423,F3423)&gt;1,"",SUMIFS(tbl_input[필요수량],tbl_input[집계키_센터],F3423)))</f>
        <v/>
      </c>
      <c r="F3423" t="str">
        <f>IFERROR(INDEX(tbl_input[집계키_센터],ROW()-1),"")</f>
        <v/>
      </c>
      <c r="G3423" t="str">
        <f t="shared" si="375"/>
        <v/>
      </c>
      <c r="H3423" t="str">
        <f t="shared" si="376"/>
        <v/>
      </c>
      <c r="I3423" t="str">
        <f t="shared" si="377"/>
        <v/>
      </c>
    </row>
    <row r="3424" spans="1:9" x14ac:dyDescent="0.4">
      <c r="A3424" t="str">
        <f t="shared" si="371"/>
        <v/>
      </c>
      <c r="B3424" t="str">
        <f t="shared" si="372"/>
        <v/>
      </c>
      <c r="C3424" t="str">
        <f t="shared" si="373"/>
        <v/>
      </c>
      <c r="D3424" t="str">
        <f t="shared" si="374"/>
        <v/>
      </c>
      <c r="E3424" t="str">
        <f>IF(F3424="","",IF(COUNTIF($F$2:F3424,F3424)&gt;1,"",SUMIFS(tbl_input[필요수량],tbl_input[집계키_센터],F3424)))</f>
        <v/>
      </c>
      <c r="F3424" t="str">
        <f>IFERROR(INDEX(tbl_input[집계키_센터],ROW()-1),"")</f>
        <v/>
      </c>
      <c r="G3424" t="str">
        <f t="shared" si="375"/>
        <v/>
      </c>
      <c r="H3424" t="str">
        <f t="shared" si="376"/>
        <v/>
      </c>
      <c r="I3424" t="str">
        <f t="shared" si="377"/>
        <v/>
      </c>
    </row>
    <row r="3425" spans="1:9" x14ac:dyDescent="0.4">
      <c r="A3425" t="str">
        <f t="shared" si="371"/>
        <v/>
      </c>
      <c r="B3425" t="str">
        <f t="shared" si="372"/>
        <v/>
      </c>
      <c r="C3425" t="str">
        <f t="shared" si="373"/>
        <v/>
      </c>
      <c r="D3425" t="str">
        <f t="shared" si="374"/>
        <v/>
      </c>
      <c r="E3425" t="str">
        <f>IF(F3425="","",IF(COUNTIF($F$2:F3425,F3425)&gt;1,"",SUMIFS(tbl_input[필요수량],tbl_input[집계키_센터],F3425)))</f>
        <v/>
      </c>
      <c r="F3425" t="str">
        <f>IFERROR(INDEX(tbl_input[집계키_센터],ROW()-1),"")</f>
        <v/>
      </c>
      <c r="G3425" t="str">
        <f t="shared" si="375"/>
        <v/>
      </c>
      <c r="H3425" t="str">
        <f t="shared" si="376"/>
        <v/>
      </c>
      <c r="I3425" t="str">
        <f t="shared" si="377"/>
        <v/>
      </c>
    </row>
    <row r="3426" spans="1:9" x14ac:dyDescent="0.4">
      <c r="A3426" t="str">
        <f t="shared" si="371"/>
        <v/>
      </c>
      <c r="B3426" t="str">
        <f t="shared" si="372"/>
        <v/>
      </c>
      <c r="C3426" t="str">
        <f t="shared" si="373"/>
        <v/>
      </c>
      <c r="D3426" t="str">
        <f t="shared" si="374"/>
        <v/>
      </c>
      <c r="E3426" t="str">
        <f>IF(F3426="","",IF(COUNTIF($F$2:F3426,F3426)&gt;1,"",SUMIFS(tbl_input[필요수량],tbl_input[집계키_센터],F3426)))</f>
        <v/>
      </c>
      <c r="F3426" t="str">
        <f>IFERROR(INDEX(tbl_input[집계키_센터],ROW()-1),"")</f>
        <v/>
      </c>
      <c r="G3426" t="str">
        <f t="shared" si="375"/>
        <v/>
      </c>
      <c r="H3426" t="str">
        <f t="shared" si="376"/>
        <v/>
      </c>
      <c r="I3426" t="str">
        <f t="shared" si="377"/>
        <v/>
      </c>
    </row>
    <row r="3427" spans="1:9" x14ac:dyDescent="0.4">
      <c r="A3427" t="str">
        <f t="shared" si="371"/>
        <v/>
      </c>
      <c r="B3427" t="str">
        <f t="shared" si="372"/>
        <v/>
      </c>
      <c r="C3427" t="str">
        <f t="shared" si="373"/>
        <v/>
      </c>
      <c r="D3427" t="str">
        <f t="shared" si="374"/>
        <v/>
      </c>
      <c r="E3427" t="str">
        <f>IF(F3427="","",IF(COUNTIF($F$2:F3427,F3427)&gt;1,"",SUMIFS(tbl_input[필요수량],tbl_input[집계키_센터],F3427)))</f>
        <v/>
      </c>
      <c r="F3427" t="str">
        <f>IFERROR(INDEX(tbl_input[집계키_센터],ROW()-1),"")</f>
        <v/>
      </c>
      <c r="G3427" t="str">
        <f t="shared" si="375"/>
        <v/>
      </c>
      <c r="H3427" t="str">
        <f t="shared" si="376"/>
        <v/>
      </c>
      <c r="I3427" t="str">
        <f t="shared" si="377"/>
        <v/>
      </c>
    </row>
    <row r="3428" spans="1:9" x14ac:dyDescent="0.4">
      <c r="A3428" t="str">
        <f t="shared" si="371"/>
        <v/>
      </c>
      <c r="B3428" t="str">
        <f t="shared" si="372"/>
        <v/>
      </c>
      <c r="C3428" t="str">
        <f t="shared" si="373"/>
        <v/>
      </c>
      <c r="D3428" t="str">
        <f t="shared" si="374"/>
        <v/>
      </c>
      <c r="E3428" t="str">
        <f>IF(F3428="","",IF(COUNTIF($F$2:F3428,F3428)&gt;1,"",SUMIFS(tbl_input[필요수량],tbl_input[집계키_센터],F3428)))</f>
        <v/>
      </c>
      <c r="F3428" t="str">
        <f>IFERROR(INDEX(tbl_input[집계키_센터],ROW()-1),"")</f>
        <v/>
      </c>
      <c r="G3428" t="str">
        <f t="shared" si="375"/>
        <v/>
      </c>
      <c r="H3428" t="str">
        <f t="shared" si="376"/>
        <v/>
      </c>
      <c r="I3428" t="str">
        <f t="shared" si="377"/>
        <v/>
      </c>
    </row>
    <row r="3429" spans="1:9" x14ac:dyDescent="0.4">
      <c r="A3429" t="str">
        <f t="shared" si="371"/>
        <v/>
      </c>
      <c r="B3429" t="str">
        <f t="shared" si="372"/>
        <v/>
      </c>
      <c r="C3429" t="str">
        <f t="shared" si="373"/>
        <v/>
      </c>
      <c r="D3429" t="str">
        <f t="shared" si="374"/>
        <v/>
      </c>
      <c r="E3429" t="str">
        <f>IF(F3429="","",IF(COUNTIF($F$2:F3429,F3429)&gt;1,"",SUMIFS(tbl_input[필요수량],tbl_input[집계키_센터],F3429)))</f>
        <v/>
      </c>
      <c r="F3429" t="str">
        <f>IFERROR(INDEX(tbl_input[집계키_센터],ROW()-1),"")</f>
        <v/>
      </c>
      <c r="G3429" t="str">
        <f t="shared" si="375"/>
        <v/>
      </c>
      <c r="H3429" t="str">
        <f t="shared" si="376"/>
        <v/>
      </c>
      <c r="I3429" t="str">
        <f t="shared" si="377"/>
        <v/>
      </c>
    </row>
    <row r="3430" spans="1:9" x14ac:dyDescent="0.4">
      <c r="A3430" t="str">
        <f t="shared" si="371"/>
        <v/>
      </c>
      <c r="B3430" t="str">
        <f t="shared" si="372"/>
        <v/>
      </c>
      <c r="C3430" t="str">
        <f t="shared" si="373"/>
        <v/>
      </c>
      <c r="D3430" t="str">
        <f t="shared" si="374"/>
        <v/>
      </c>
      <c r="E3430" t="str">
        <f>IF(F3430="","",IF(COUNTIF($F$2:F3430,F3430)&gt;1,"",SUMIFS(tbl_input[필요수량],tbl_input[집계키_센터],F3430)))</f>
        <v/>
      </c>
      <c r="F3430" t="str">
        <f>IFERROR(INDEX(tbl_input[집계키_센터],ROW()-1),"")</f>
        <v/>
      </c>
      <c r="G3430" t="str">
        <f t="shared" si="375"/>
        <v/>
      </c>
      <c r="H3430" t="str">
        <f t="shared" si="376"/>
        <v/>
      </c>
      <c r="I3430" t="str">
        <f t="shared" si="377"/>
        <v/>
      </c>
    </row>
    <row r="3431" spans="1:9" x14ac:dyDescent="0.4">
      <c r="A3431" t="str">
        <f t="shared" si="371"/>
        <v/>
      </c>
      <c r="B3431" t="str">
        <f t="shared" si="372"/>
        <v/>
      </c>
      <c r="C3431" t="str">
        <f t="shared" si="373"/>
        <v/>
      </c>
      <c r="D3431" t="str">
        <f t="shared" si="374"/>
        <v/>
      </c>
      <c r="E3431" t="str">
        <f>IF(F3431="","",IF(COUNTIF($F$2:F3431,F3431)&gt;1,"",SUMIFS(tbl_input[필요수량],tbl_input[집계키_센터],F3431)))</f>
        <v/>
      </c>
      <c r="F3431" t="str">
        <f>IFERROR(INDEX(tbl_input[집계키_센터],ROW()-1),"")</f>
        <v/>
      </c>
      <c r="G3431" t="str">
        <f t="shared" si="375"/>
        <v/>
      </c>
      <c r="H3431" t="str">
        <f t="shared" si="376"/>
        <v/>
      </c>
      <c r="I3431" t="str">
        <f t="shared" si="377"/>
        <v/>
      </c>
    </row>
    <row r="3432" spans="1:9" x14ac:dyDescent="0.4">
      <c r="A3432" t="str">
        <f t="shared" si="371"/>
        <v/>
      </c>
      <c r="B3432" t="str">
        <f t="shared" si="372"/>
        <v/>
      </c>
      <c r="C3432" t="str">
        <f t="shared" si="373"/>
        <v/>
      </c>
      <c r="D3432" t="str">
        <f t="shared" si="374"/>
        <v/>
      </c>
      <c r="E3432" t="str">
        <f>IF(F3432="","",IF(COUNTIF($F$2:F3432,F3432)&gt;1,"",SUMIFS(tbl_input[필요수량],tbl_input[집계키_센터],F3432)))</f>
        <v/>
      </c>
      <c r="F3432" t="str">
        <f>IFERROR(INDEX(tbl_input[집계키_센터],ROW()-1),"")</f>
        <v/>
      </c>
      <c r="G3432" t="str">
        <f t="shared" si="375"/>
        <v/>
      </c>
      <c r="H3432" t="str">
        <f t="shared" si="376"/>
        <v/>
      </c>
      <c r="I3432" t="str">
        <f t="shared" si="377"/>
        <v/>
      </c>
    </row>
    <row r="3433" spans="1:9" x14ac:dyDescent="0.4">
      <c r="A3433" t="str">
        <f t="shared" si="371"/>
        <v/>
      </c>
      <c r="B3433" t="str">
        <f t="shared" si="372"/>
        <v/>
      </c>
      <c r="C3433" t="str">
        <f t="shared" si="373"/>
        <v/>
      </c>
      <c r="D3433" t="str">
        <f t="shared" si="374"/>
        <v/>
      </c>
      <c r="E3433" t="str">
        <f>IF(F3433="","",IF(COUNTIF($F$2:F3433,F3433)&gt;1,"",SUMIFS(tbl_input[필요수량],tbl_input[집계키_센터],F3433)))</f>
        <v/>
      </c>
      <c r="F3433" t="str">
        <f>IFERROR(INDEX(tbl_input[집계키_센터],ROW()-1),"")</f>
        <v/>
      </c>
      <c r="G3433" t="str">
        <f t="shared" si="375"/>
        <v/>
      </c>
      <c r="H3433" t="str">
        <f t="shared" si="376"/>
        <v/>
      </c>
      <c r="I3433" t="str">
        <f t="shared" si="377"/>
        <v/>
      </c>
    </row>
    <row r="3434" spans="1:9" x14ac:dyDescent="0.4">
      <c r="A3434" t="str">
        <f t="shared" si="371"/>
        <v/>
      </c>
      <c r="B3434" t="str">
        <f t="shared" si="372"/>
        <v/>
      </c>
      <c r="C3434" t="str">
        <f t="shared" si="373"/>
        <v/>
      </c>
      <c r="D3434" t="str">
        <f t="shared" si="374"/>
        <v/>
      </c>
      <c r="E3434" t="str">
        <f>IF(F3434="","",IF(COUNTIF($F$2:F3434,F3434)&gt;1,"",SUMIFS(tbl_input[필요수량],tbl_input[집계키_센터],F3434)))</f>
        <v/>
      </c>
      <c r="F3434" t="str">
        <f>IFERROR(INDEX(tbl_input[집계키_센터],ROW()-1),"")</f>
        <v/>
      </c>
      <c r="G3434" t="str">
        <f t="shared" si="375"/>
        <v/>
      </c>
      <c r="H3434" t="str">
        <f t="shared" si="376"/>
        <v/>
      </c>
      <c r="I3434" t="str">
        <f t="shared" si="377"/>
        <v/>
      </c>
    </row>
    <row r="3435" spans="1:9" x14ac:dyDescent="0.4">
      <c r="A3435" t="str">
        <f t="shared" si="371"/>
        <v/>
      </c>
      <c r="B3435" t="str">
        <f t="shared" si="372"/>
        <v/>
      </c>
      <c r="C3435" t="str">
        <f t="shared" si="373"/>
        <v/>
      </c>
      <c r="D3435" t="str">
        <f t="shared" si="374"/>
        <v/>
      </c>
      <c r="E3435" t="str">
        <f>IF(F3435="","",IF(COUNTIF($F$2:F3435,F3435)&gt;1,"",SUMIFS(tbl_input[필요수량],tbl_input[집계키_센터],F3435)))</f>
        <v/>
      </c>
      <c r="F3435" t="str">
        <f>IFERROR(INDEX(tbl_input[집계키_센터],ROW()-1),"")</f>
        <v/>
      </c>
      <c r="G3435" t="str">
        <f t="shared" si="375"/>
        <v/>
      </c>
      <c r="H3435" t="str">
        <f t="shared" si="376"/>
        <v/>
      </c>
      <c r="I3435" t="str">
        <f t="shared" si="377"/>
        <v/>
      </c>
    </row>
    <row r="3436" spans="1:9" x14ac:dyDescent="0.4">
      <c r="A3436" t="str">
        <f t="shared" si="371"/>
        <v/>
      </c>
      <c r="B3436" t="str">
        <f t="shared" si="372"/>
        <v/>
      </c>
      <c r="C3436" t="str">
        <f t="shared" si="373"/>
        <v/>
      </c>
      <c r="D3436" t="str">
        <f t="shared" si="374"/>
        <v/>
      </c>
      <c r="E3436" t="str">
        <f>IF(F3436="","",IF(COUNTIF($F$2:F3436,F3436)&gt;1,"",SUMIFS(tbl_input[필요수량],tbl_input[집계키_센터],F3436)))</f>
        <v/>
      </c>
      <c r="F3436" t="str">
        <f>IFERROR(INDEX(tbl_input[집계키_센터],ROW()-1),"")</f>
        <v/>
      </c>
      <c r="G3436" t="str">
        <f t="shared" si="375"/>
        <v/>
      </c>
      <c r="H3436" t="str">
        <f t="shared" si="376"/>
        <v/>
      </c>
      <c r="I3436" t="str">
        <f t="shared" si="377"/>
        <v/>
      </c>
    </row>
    <row r="3437" spans="1:9" x14ac:dyDescent="0.4">
      <c r="A3437" t="str">
        <f t="shared" si="371"/>
        <v/>
      </c>
      <c r="B3437" t="str">
        <f t="shared" si="372"/>
        <v/>
      </c>
      <c r="C3437" t="str">
        <f t="shared" si="373"/>
        <v/>
      </c>
      <c r="D3437" t="str">
        <f t="shared" si="374"/>
        <v/>
      </c>
      <c r="E3437" t="str">
        <f>IF(F3437="","",IF(COUNTIF($F$2:F3437,F3437)&gt;1,"",SUMIFS(tbl_input[필요수량],tbl_input[집계키_센터],F3437)))</f>
        <v/>
      </c>
      <c r="F3437" t="str">
        <f>IFERROR(INDEX(tbl_input[집계키_센터],ROW()-1),"")</f>
        <v/>
      </c>
      <c r="G3437" t="str">
        <f t="shared" si="375"/>
        <v/>
      </c>
      <c r="H3437" t="str">
        <f t="shared" si="376"/>
        <v/>
      </c>
      <c r="I3437" t="str">
        <f t="shared" si="377"/>
        <v/>
      </c>
    </row>
    <row r="3438" spans="1:9" x14ac:dyDescent="0.4">
      <c r="A3438" t="str">
        <f t="shared" si="371"/>
        <v/>
      </c>
      <c r="B3438" t="str">
        <f t="shared" si="372"/>
        <v/>
      </c>
      <c r="C3438" t="str">
        <f t="shared" si="373"/>
        <v/>
      </c>
      <c r="D3438" t="str">
        <f t="shared" si="374"/>
        <v/>
      </c>
      <c r="E3438" t="str">
        <f>IF(F3438="","",IF(COUNTIF($F$2:F3438,F3438)&gt;1,"",SUMIFS(tbl_input[필요수량],tbl_input[집계키_센터],F3438)))</f>
        <v/>
      </c>
      <c r="F3438" t="str">
        <f>IFERROR(INDEX(tbl_input[집계키_센터],ROW()-1),"")</f>
        <v/>
      </c>
      <c r="G3438" t="str">
        <f t="shared" si="375"/>
        <v/>
      </c>
      <c r="H3438" t="str">
        <f t="shared" si="376"/>
        <v/>
      </c>
      <c r="I3438" t="str">
        <f t="shared" si="377"/>
        <v/>
      </c>
    </row>
    <row r="3439" spans="1:9" x14ac:dyDescent="0.4">
      <c r="A3439" t="str">
        <f t="shared" si="371"/>
        <v/>
      </c>
      <c r="B3439" t="str">
        <f t="shared" si="372"/>
        <v/>
      </c>
      <c r="C3439" t="str">
        <f t="shared" si="373"/>
        <v/>
      </c>
      <c r="D3439" t="str">
        <f t="shared" si="374"/>
        <v/>
      </c>
      <c r="E3439" t="str">
        <f>IF(F3439="","",IF(COUNTIF($F$2:F3439,F3439)&gt;1,"",SUMIFS(tbl_input[필요수량],tbl_input[집계키_센터],F3439)))</f>
        <v/>
      </c>
      <c r="F3439" t="str">
        <f>IFERROR(INDEX(tbl_input[집계키_센터],ROW()-1),"")</f>
        <v/>
      </c>
      <c r="G3439" t="str">
        <f t="shared" si="375"/>
        <v/>
      </c>
      <c r="H3439" t="str">
        <f t="shared" si="376"/>
        <v/>
      </c>
      <c r="I3439" t="str">
        <f t="shared" si="377"/>
        <v/>
      </c>
    </row>
    <row r="3440" spans="1:9" x14ac:dyDescent="0.4">
      <c r="A3440" t="str">
        <f t="shared" si="371"/>
        <v/>
      </c>
      <c r="B3440" t="str">
        <f t="shared" si="372"/>
        <v/>
      </c>
      <c r="C3440" t="str">
        <f t="shared" si="373"/>
        <v/>
      </c>
      <c r="D3440" t="str">
        <f t="shared" si="374"/>
        <v/>
      </c>
      <c r="E3440" t="str">
        <f>IF(F3440="","",IF(COUNTIF($F$2:F3440,F3440)&gt;1,"",SUMIFS(tbl_input[필요수량],tbl_input[집계키_센터],F3440)))</f>
        <v/>
      </c>
      <c r="F3440" t="str">
        <f>IFERROR(INDEX(tbl_input[집계키_센터],ROW()-1),"")</f>
        <v/>
      </c>
      <c r="G3440" t="str">
        <f t="shared" si="375"/>
        <v/>
      </c>
      <c r="H3440" t="str">
        <f t="shared" si="376"/>
        <v/>
      </c>
      <c r="I3440" t="str">
        <f t="shared" si="377"/>
        <v/>
      </c>
    </row>
    <row r="3441" spans="1:9" x14ac:dyDescent="0.4">
      <c r="A3441" t="str">
        <f t="shared" si="371"/>
        <v/>
      </c>
      <c r="B3441" t="str">
        <f t="shared" si="372"/>
        <v/>
      </c>
      <c r="C3441" t="str">
        <f t="shared" si="373"/>
        <v/>
      </c>
      <c r="D3441" t="str">
        <f t="shared" si="374"/>
        <v/>
      </c>
      <c r="E3441" t="str">
        <f>IF(F3441="","",IF(COUNTIF($F$2:F3441,F3441)&gt;1,"",SUMIFS(tbl_input[필요수량],tbl_input[집계키_센터],F3441)))</f>
        <v/>
      </c>
      <c r="F3441" t="str">
        <f>IFERROR(INDEX(tbl_input[집계키_센터],ROW()-1),"")</f>
        <v/>
      </c>
      <c r="G3441" t="str">
        <f t="shared" si="375"/>
        <v/>
      </c>
      <c r="H3441" t="str">
        <f t="shared" si="376"/>
        <v/>
      </c>
      <c r="I3441" t="str">
        <f t="shared" si="377"/>
        <v/>
      </c>
    </row>
    <row r="3442" spans="1:9" x14ac:dyDescent="0.4">
      <c r="A3442" t="str">
        <f t="shared" si="371"/>
        <v/>
      </c>
      <c r="B3442" t="str">
        <f t="shared" si="372"/>
        <v/>
      </c>
      <c r="C3442" t="str">
        <f t="shared" si="373"/>
        <v/>
      </c>
      <c r="D3442" t="str">
        <f t="shared" si="374"/>
        <v/>
      </c>
      <c r="E3442" t="str">
        <f>IF(F3442="","",IF(COUNTIF($F$2:F3442,F3442)&gt;1,"",SUMIFS(tbl_input[필요수량],tbl_input[집계키_센터],F3442)))</f>
        <v/>
      </c>
      <c r="F3442" t="str">
        <f>IFERROR(INDEX(tbl_input[집계키_센터],ROW()-1),"")</f>
        <v/>
      </c>
      <c r="G3442" t="str">
        <f t="shared" si="375"/>
        <v/>
      </c>
      <c r="H3442" t="str">
        <f t="shared" si="376"/>
        <v/>
      </c>
      <c r="I3442" t="str">
        <f t="shared" si="377"/>
        <v/>
      </c>
    </row>
    <row r="3443" spans="1:9" x14ac:dyDescent="0.4">
      <c r="A3443" t="str">
        <f t="shared" si="371"/>
        <v/>
      </c>
      <c r="B3443" t="str">
        <f t="shared" si="372"/>
        <v/>
      </c>
      <c r="C3443" t="str">
        <f t="shared" si="373"/>
        <v/>
      </c>
      <c r="D3443" t="str">
        <f t="shared" si="374"/>
        <v/>
      </c>
      <c r="E3443" t="str">
        <f>IF(F3443="","",IF(COUNTIF($F$2:F3443,F3443)&gt;1,"",SUMIFS(tbl_input[필요수량],tbl_input[집계키_센터],F3443)))</f>
        <v/>
      </c>
      <c r="F3443" t="str">
        <f>IFERROR(INDEX(tbl_input[집계키_센터],ROW()-1),"")</f>
        <v/>
      </c>
      <c r="G3443" t="str">
        <f t="shared" si="375"/>
        <v/>
      </c>
      <c r="H3443" t="str">
        <f t="shared" si="376"/>
        <v/>
      </c>
      <c r="I3443" t="str">
        <f t="shared" si="377"/>
        <v/>
      </c>
    </row>
    <row r="3444" spans="1:9" x14ac:dyDescent="0.4">
      <c r="A3444" t="str">
        <f t="shared" si="371"/>
        <v/>
      </c>
      <c r="B3444" t="str">
        <f t="shared" si="372"/>
        <v/>
      </c>
      <c r="C3444" t="str">
        <f t="shared" si="373"/>
        <v/>
      </c>
      <c r="D3444" t="str">
        <f t="shared" si="374"/>
        <v/>
      </c>
      <c r="E3444" t="str">
        <f>IF(F3444="","",IF(COUNTIF($F$2:F3444,F3444)&gt;1,"",SUMIFS(tbl_input[필요수량],tbl_input[집계키_센터],F3444)))</f>
        <v/>
      </c>
      <c r="F3444" t="str">
        <f>IFERROR(INDEX(tbl_input[집계키_센터],ROW()-1),"")</f>
        <v/>
      </c>
      <c r="G3444" t="str">
        <f t="shared" si="375"/>
        <v/>
      </c>
      <c r="H3444" t="str">
        <f t="shared" si="376"/>
        <v/>
      </c>
      <c r="I3444" t="str">
        <f t="shared" si="377"/>
        <v/>
      </c>
    </row>
    <row r="3445" spans="1:9" x14ac:dyDescent="0.4">
      <c r="A3445" t="str">
        <f t="shared" si="371"/>
        <v/>
      </c>
      <c r="B3445" t="str">
        <f t="shared" si="372"/>
        <v/>
      </c>
      <c r="C3445" t="str">
        <f t="shared" si="373"/>
        <v/>
      </c>
      <c r="D3445" t="str">
        <f t="shared" si="374"/>
        <v/>
      </c>
      <c r="E3445" t="str">
        <f>IF(F3445="","",IF(COUNTIF($F$2:F3445,F3445)&gt;1,"",SUMIFS(tbl_input[필요수량],tbl_input[집계키_센터],F3445)))</f>
        <v/>
      </c>
      <c r="F3445" t="str">
        <f>IFERROR(INDEX(tbl_input[집계키_센터],ROW()-1),"")</f>
        <v/>
      </c>
      <c r="G3445" t="str">
        <f t="shared" si="375"/>
        <v/>
      </c>
      <c r="H3445" t="str">
        <f t="shared" si="376"/>
        <v/>
      </c>
      <c r="I3445" t="str">
        <f t="shared" si="377"/>
        <v/>
      </c>
    </row>
    <row r="3446" spans="1:9" x14ac:dyDescent="0.4">
      <c r="A3446" t="str">
        <f t="shared" si="371"/>
        <v/>
      </c>
      <c r="B3446" t="str">
        <f t="shared" si="372"/>
        <v/>
      </c>
      <c r="C3446" t="str">
        <f t="shared" si="373"/>
        <v/>
      </c>
      <c r="D3446" t="str">
        <f t="shared" si="374"/>
        <v/>
      </c>
      <c r="E3446" t="str">
        <f>IF(F3446="","",IF(COUNTIF($F$2:F3446,F3446)&gt;1,"",SUMIFS(tbl_input[필요수량],tbl_input[집계키_센터],F3446)))</f>
        <v/>
      </c>
      <c r="F3446" t="str">
        <f>IFERROR(INDEX(tbl_input[집계키_센터],ROW()-1),"")</f>
        <v/>
      </c>
      <c r="G3446" t="str">
        <f t="shared" si="375"/>
        <v/>
      </c>
      <c r="H3446" t="str">
        <f t="shared" si="376"/>
        <v/>
      </c>
      <c r="I3446" t="str">
        <f t="shared" si="377"/>
        <v/>
      </c>
    </row>
    <row r="3447" spans="1:9" x14ac:dyDescent="0.4">
      <c r="A3447" t="str">
        <f t="shared" si="371"/>
        <v/>
      </c>
      <c r="B3447" t="str">
        <f t="shared" si="372"/>
        <v/>
      </c>
      <c r="C3447" t="str">
        <f t="shared" si="373"/>
        <v/>
      </c>
      <c r="D3447" t="str">
        <f t="shared" si="374"/>
        <v/>
      </c>
      <c r="E3447" t="str">
        <f>IF(F3447="","",IF(COUNTIF($F$2:F3447,F3447)&gt;1,"",SUMIFS(tbl_input[필요수량],tbl_input[집계키_센터],F3447)))</f>
        <v/>
      </c>
      <c r="F3447" t="str">
        <f>IFERROR(INDEX(tbl_input[집계키_센터],ROW()-1),"")</f>
        <v/>
      </c>
      <c r="G3447" t="str">
        <f t="shared" si="375"/>
        <v/>
      </c>
      <c r="H3447" t="str">
        <f t="shared" si="376"/>
        <v/>
      </c>
      <c r="I3447" t="str">
        <f t="shared" si="377"/>
        <v/>
      </c>
    </row>
    <row r="3448" spans="1:9" x14ac:dyDescent="0.4">
      <c r="A3448" t="str">
        <f t="shared" si="371"/>
        <v/>
      </c>
      <c r="B3448" t="str">
        <f t="shared" si="372"/>
        <v/>
      </c>
      <c r="C3448" t="str">
        <f t="shared" si="373"/>
        <v/>
      </c>
      <c r="D3448" t="str">
        <f t="shared" si="374"/>
        <v/>
      </c>
      <c r="E3448" t="str">
        <f>IF(F3448="","",IF(COUNTIF($F$2:F3448,F3448)&gt;1,"",SUMIFS(tbl_input[필요수량],tbl_input[집계키_센터],F3448)))</f>
        <v/>
      </c>
      <c r="F3448" t="str">
        <f>IFERROR(INDEX(tbl_input[집계키_센터],ROW()-1),"")</f>
        <v/>
      </c>
      <c r="G3448" t="str">
        <f t="shared" si="375"/>
        <v/>
      </c>
      <c r="H3448" t="str">
        <f t="shared" si="376"/>
        <v/>
      </c>
      <c r="I3448" t="str">
        <f t="shared" si="377"/>
        <v/>
      </c>
    </row>
    <row r="3449" spans="1:9" x14ac:dyDescent="0.4">
      <c r="A3449" t="str">
        <f t="shared" si="371"/>
        <v/>
      </c>
      <c r="B3449" t="str">
        <f t="shared" si="372"/>
        <v/>
      </c>
      <c r="C3449" t="str">
        <f t="shared" si="373"/>
        <v/>
      </c>
      <c r="D3449" t="str">
        <f t="shared" si="374"/>
        <v/>
      </c>
      <c r="E3449" t="str">
        <f>IF(F3449="","",IF(COUNTIF($F$2:F3449,F3449)&gt;1,"",SUMIFS(tbl_input[필요수량],tbl_input[집계키_센터],F3449)))</f>
        <v/>
      </c>
      <c r="F3449" t="str">
        <f>IFERROR(INDEX(tbl_input[집계키_센터],ROW()-1),"")</f>
        <v/>
      </c>
      <c r="G3449" t="str">
        <f t="shared" si="375"/>
        <v/>
      </c>
      <c r="H3449" t="str">
        <f t="shared" si="376"/>
        <v/>
      </c>
      <c r="I3449" t="str">
        <f t="shared" si="377"/>
        <v/>
      </c>
    </row>
    <row r="3450" spans="1:9" x14ac:dyDescent="0.4">
      <c r="A3450" t="str">
        <f t="shared" si="371"/>
        <v/>
      </c>
      <c r="B3450" t="str">
        <f t="shared" si="372"/>
        <v/>
      </c>
      <c r="C3450" t="str">
        <f t="shared" si="373"/>
        <v/>
      </c>
      <c r="D3450" t="str">
        <f t="shared" si="374"/>
        <v/>
      </c>
      <c r="E3450" t="str">
        <f>IF(F3450="","",IF(COUNTIF($F$2:F3450,F3450)&gt;1,"",SUMIFS(tbl_input[필요수량],tbl_input[집계키_센터],F3450)))</f>
        <v/>
      </c>
      <c r="F3450" t="str">
        <f>IFERROR(INDEX(tbl_input[집계키_센터],ROW()-1),"")</f>
        <v/>
      </c>
      <c r="G3450" t="str">
        <f t="shared" si="375"/>
        <v/>
      </c>
      <c r="H3450" t="str">
        <f t="shared" si="376"/>
        <v/>
      </c>
      <c r="I3450" t="str">
        <f t="shared" si="377"/>
        <v/>
      </c>
    </row>
    <row r="3451" spans="1:9" x14ac:dyDescent="0.4">
      <c r="A3451" t="str">
        <f t="shared" si="371"/>
        <v/>
      </c>
      <c r="B3451" t="str">
        <f t="shared" si="372"/>
        <v/>
      </c>
      <c r="C3451" t="str">
        <f t="shared" si="373"/>
        <v/>
      </c>
      <c r="D3451" t="str">
        <f t="shared" si="374"/>
        <v/>
      </c>
      <c r="E3451" t="str">
        <f>IF(F3451="","",IF(COUNTIF($F$2:F3451,F3451)&gt;1,"",SUMIFS(tbl_input[필요수량],tbl_input[집계키_센터],F3451)))</f>
        <v/>
      </c>
      <c r="F3451" t="str">
        <f>IFERROR(INDEX(tbl_input[집계키_센터],ROW()-1),"")</f>
        <v/>
      </c>
      <c r="G3451" t="str">
        <f t="shared" si="375"/>
        <v/>
      </c>
      <c r="H3451" t="str">
        <f t="shared" si="376"/>
        <v/>
      </c>
      <c r="I3451" t="str">
        <f t="shared" si="377"/>
        <v/>
      </c>
    </row>
    <row r="3452" spans="1:9" x14ac:dyDescent="0.4">
      <c r="A3452" t="str">
        <f t="shared" si="371"/>
        <v/>
      </c>
      <c r="B3452" t="str">
        <f t="shared" si="372"/>
        <v/>
      </c>
      <c r="C3452" t="str">
        <f t="shared" si="373"/>
        <v/>
      </c>
      <c r="D3452" t="str">
        <f t="shared" si="374"/>
        <v/>
      </c>
      <c r="E3452" t="str">
        <f>IF(F3452="","",IF(COUNTIF($F$2:F3452,F3452)&gt;1,"",SUMIFS(tbl_input[필요수량],tbl_input[집계키_센터],F3452)))</f>
        <v/>
      </c>
      <c r="F3452" t="str">
        <f>IFERROR(INDEX(tbl_input[집계키_센터],ROW()-1),"")</f>
        <v/>
      </c>
      <c r="G3452" t="str">
        <f t="shared" si="375"/>
        <v/>
      </c>
      <c r="H3452" t="str">
        <f t="shared" si="376"/>
        <v/>
      </c>
      <c r="I3452" t="str">
        <f t="shared" si="377"/>
        <v/>
      </c>
    </row>
    <row r="3453" spans="1:9" x14ac:dyDescent="0.4">
      <c r="A3453" t="str">
        <f t="shared" si="371"/>
        <v/>
      </c>
      <c r="B3453" t="str">
        <f t="shared" si="372"/>
        <v/>
      </c>
      <c r="C3453" t="str">
        <f t="shared" si="373"/>
        <v/>
      </c>
      <c r="D3453" t="str">
        <f t="shared" si="374"/>
        <v/>
      </c>
      <c r="E3453" t="str">
        <f>IF(F3453="","",IF(COUNTIF($F$2:F3453,F3453)&gt;1,"",SUMIFS(tbl_input[필요수량],tbl_input[집계키_센터],F3453)))</f>
        <v/>
      </c>
      <c r="F3453" t="str">
        <f>IFERROR(INDEX(tbl_input[집계키_센터],ROW()-1),"")</f>
        <v/>
      </c>
      <c r="G3453" t="str">
        <f t="shared" si="375"/>
        <v/>
      </c>
      <c r="H3453" t="str">
        <f t="shared" si="376"/>
        <v/>
      </c>
      <c r="I3453" t="str">
        <f t="shared" si="377"/>
        <v/>
      </c>
    </row>
    <row r="3454" spans="1:9" x14ac:dyDescent="0.4">
      <c r="A3454" t="str">
        <f t="shared" si="371"/>
        <v/>
      </c>
      <c r="B3454" t="str">
        <f t="shared" si="372"/>
        <v/>
      </c>
      <c r="C3454" t="str">
        <f t="shared" si="373"/>
        <v/>
      </c>
      <c r="D3454" t="str">
        <f t="shared" si="374"/>
        <v/>
      </c>
      <c r="E3454" t="str">
        <f>IF(F3454="","",IF(COUNTIF($F$2:F3454,F3454)&gt;1,"",SUMIFS(tbl_input[필요수량],tbl_input[집계키_센터],F3454)))</f>
        <v/>
      </c>
      <c r="F3454" t="str">
        <f>IFERROR(INDEX(tbl_input[집계키_센터],ROW()-1),"")</f>
        <v/>
      </c>
      <c r="G3454" t="str">
        <f t="shared" si="375"/>
        <v/>
      </c>
      <c r="H3454" t="str">
        <f t="shared" si="376"/>
        <v/>
      </c>
      <c r="I3454" t="str">
        <f t="shared" si="377"/>
        <v/>
      </c>
    </row>
    <row r="3455" spans="1:9" x14ac:dyDescent="0.4">
      <c r="A3455" t="str">
        <f t="shared" si="371"/>
        <v/>
      </c>
      <c r="B3455" t="str">
        <f t="shared" si="372"/>
        <v/>
      </c>
      <c r="C3455" t="str">
        <f t="shared" si="373"/>
        <v/>
      </c>
      <c r="D3455" t="str">
        <f t="shared" si="374"/>
        <v/>
      </c>
      <c r="E3455" t="str">
        <f>IF(F3455="","",IF(COUNTIF($F$2:F3455,F3455)&gt;1,"",SUMIFS(tbl_input[필요수량],tbl_input[집계키_센터],F3455)))</f>
        <v/>
      </c>
      <c r="F3455" t="str">
        <f>IFERROR(INDEX(tbl_input[집계키_센터],ROW()-1),"")</f>
        <v/>
      </c>
      <c r="G3455" t="str">
        <f t="shared" si="375"/>
        <v/>
      </c>
      <c r="H3455" t="str">
        <f t="shared" si="376"/>
        <v/>
      </c>
      <c r="I3455" t="str">
        <f t="shared" si="377"/>
        <v/>
      </c>
    </row>
    <row r="3456" spans="1:9" x14ac:dyDescent="0.4">
      <c r="A3456" t="str">
        <f t="shared" si="371"/>
        <v/>
      </c>
      <c r="B3456" t="str">
        <f t="shared" si="372"/>
        <v/>
      </c>
      <c r="C3456" t="str">
        <f t="shared" si="373"/>
        <v/>
      </c>
      <c r="D3456" t="str">
        <f t="shared" si="374"/>
        <v/>
      </c>
      <c r="E3456" t="str">
        <f>IF(F3456="","",IF(COUNTIF($F$2:F3456,F3456)&gt;1,"",SUMIFS(tbl_input[필요수량],tbl_input[집계키_센터],F3456)))</f>
        <v/>
      </c>
      <c r="F3456" t="str">
        <f>IFERROR(INDEX(tbl_input[집계키_센터],ROW()-1),"")</f>
        <v/>
      </c>
      <c r="G3456" t="str">
        <f t="shared" si="375"/>
        <v/>
      </c>
      <c r="H3456" t="str">
        <f t="shared" si="376"/>
        <v/>
      </c>
      <c r="I3456" t="str">
        <f t="shared" si="377"/>
        <v/>
      </c>
    </row>
    <row r="3457" spans="1:9" x14ac:dyDescent="0.4">
      <c r="A3457" t="str">
        <f t="shared" si="371"/>
        <v/>
      </c>
      <c r="B3457" t="str">
        <f t="shared" si="372"/>
        <v/>
      </c>
      <c r="C3457" t="str">
        <f t="shared" si="373"/>
        <v/>
      </c>
      <c r="D3457" t="str">
        <f t="shared" si="374"/>
        <v/>
      </c>
      <c r="E3457" t="str">
        <f>IF(F3457="","",IF(COUNTIF($F$2:F3457,F3457)&gt;1,"",SUMIFS(tbl_input[필요수량],tbl_input[집계키_센터],F3457)))</f>
        <v/>
      </c>
      <c r="F3457" t="str">
        <f>IFERROR(INDEX(tbl_input[집계키_센터],ROW()-1),"")</f>
        <v/>
      </c>
      <c r="G3457" t="str">
        <f t="shared" si="375"/>
        <v/>
      </c>
      <c r="H3457" t="str">
        <f t="shared" si="376"/>
        <v/>
      </c>
      <c r="I3457" t="str">
        <f t="shared" si="377"/>
        <v/>
      </c>
    </row>
    <row r="3458" spans="1:9" x14ac:dyDescent="0.4">
      <c r="A3458" t="str">
        <f t="shared" ref="A3458:A3521" si="378">IF(F3458="","",LEFT(F3458,G3458-1))</f>
        <v/>
      </c>
      <c r="B3458" t="str">
        <f t="shared" ref="B3458:B3521" si="379">IF(F3458="","",MID(F3458,G3458+1,H3458-G3458-1))</f>
        <v/>
      </c>
      <c r="C3458" t="str">
        <f t="shared" ref="C3458:C3521" si="380">IF(F3458="","",MID(F3458,H3458+1,I3458-H3458-1))</f>
        <v/>
      </c>
      <c r="D3458" t="str">
        <f t="shared" ref="D3458:D3521" si="381">IF(F3458="","",MID(F3458,I3458+1,999))</f>
        <v/>
      </c>
      <c r="E3458" t="str">
        <f>IF(F3458="","",IF(COUNTIF($F$2:F3458,F3458)&gt;1,"",SUMIFS(tbl_input[필요수량],tbl_input[집계키_센터],F3458)))</f>
        <v/>
      </c>
      <c r="F3458" t="str">
        <f>IFERROR(INDEX(tbl_input[집계키_센터],ROW()-1),"")</f>
        <v/>
      </c>
      <c r="G3458" t="str">
        <f t="shared" ref="G3458:G3521" si="382">IF(F3458="","",FIND("♦",F3458))</f>
        <v/>
      </c>
      <c r="H3458" t="str">
        <f t="shared" ref="H3458:H3521" si="383">IF(F3458="","",FIND("♦",F3458,G3458+1))</f>
        <v/>
      </c>
      <c r="I3458" t="str">
        <f t="shared" ref="I3458:I3521" si="384">IF(F3458="","",FIND("♦",F3458,H3458+1))</f>
        <v/>
      </c>
    </row>
    <row r="3459" spans="1:9" x14ac:dyDescent="0.4">
      <c r="A3459" t="str">
        <f t="shared" si="378"/>
        <v/>
      </c>
      <c r="B3459" t="str">
        <f t="shared" si="379"/>
        <v/>
      </c>
      <c r="C3459" t="str">
        <f t="shared" si="380"/>
        <v/>
      </c>
      <c r="D3459" t="str">
        <f t="shared" si="381"/>
        <v/>
      </c>
      <c r="E3459" t="str">
        <f>IF(F3459="","",IF(COUNTIF($F$2:F3459,F3459)&gt;1,"",SUMIFS(tbl_input[필요수량],tbl_input[집계키_센터],F3459)))</f>
        <v/>
      </c>
      <c r="F3459" t="str">
        <f>IFERROR(INDEX(tbl_input[집계키_센터],ROW()-1),"")</f>
        <v/>
      </c>
      <c r="G3459" t="str">
        <f t="shared" si="382"/>
        <v/>
      </c>
      <c r="H3459" t="str">
        <f t="shared" si="383"/>
        <v/>
      </c>
      <c r="I3459" t="str">
        <f t="shared" si="384"/>
        <v/>
      </c>
    </row>
    <row r="3460" spans="1:9" x14ac:dyDescent="0.4">
      <c r="A3460" t="str">
        <f t="shared" si="378"/>
        <v/>
      </c>
      <c r="B3460" t="str">
        <f t="shared" si="379"/>
        <v/>
      </c>
      <c r="C3460" t="str">
        <f t="shared" si="380"/>
        <v/>
      </c>
      <c r="D3460" t="str">
        <f t="shared" si="381"/>
        <v/>
      </c>
      <c r="E3460" t="str">
        <f>IF(F3460="","",IF(COUNTIF($F$2:F3460,F3460)&gt;1,"",SUMIFS(tbl_input[필요수량],tbl_input[집계키_센터],F3460)))</f>
        <v/>
      </c>
      <c r="F3460" t="str">
        <f>IFERROR(INDEX(tbl_input[집계키_센터],ROW()-1),"")</f>
        <v/>
      </c>
      <c r="G3460" t="str">
        <f t="shared" si="382"/>
        <v/>
      </c>
      <c r="H3460" t="str">
        <f t="shared" si="383"/>
        <v/>
      </c>
      <c r="I3460" t="str">
        <f t="shared" si="384"/>
        <v/>
      </c>
    </row>
    <row r="3461" spans="1:9" x14ac:dyDescent="0.4">
      <c r="A3461" t="str">
        <f t="shared" si="378"/>
        <v/>
      </c>
      <c r="B3461" t="str">
        <f t="shared" si="379"/>
        <v/>
      </c>
      <c r="C3461" t="str">
        <f t="shared" si="380"/>
        <v/>
      </c>
      <c r="D3461" t="str">
        <f t="shared" si="381"/>
        <v/>
      </c>
      <c r="E3461" t="str">
        <f>IF(F3461="","",IF(COUNTIF($F$2:F3461,F3461)&gt;1,"",SUMIFS(tbl_input[필요수량],tbl_input[집계키_센터],F3461)))</f>
        <v/>
      </c>
      <c r="F3461" t="str">
        <f>IFERROR(INDEX(tbl_input[집계키_센터],ROW()-1),"")</f>
        <v/>
      </c>
      <c r="G3461" t="str">
        <f t="shared" si="382"/>
        <v/>
      </c>
      <c r="H3461" t="str">
        <f t="shared" si="383"/>
        <v/>
      </c>
      <c r="I3461" t="str">
        <f t="shared" si="384"/>
        <v/>
      </c>
    </row>
    <row r="3462" spans="1:9" x14ac:dyDescent="0.4">
      <c r="A3462" t="str">
        <f t="shared" si="378"/>
        <v/>
      </c>
      <c r="B3462" t="str">
        <f t="shared" si="379"/>
        <v/>
      </c>
      <c r="C3462" t="str">
        <f t="shared" si="380"/>
        <v/>
      </c>
      <c r="D3462" t="str">
        <f t="shared" si="381"/>
        <v/>
      </c>
      <c r="E3462" t="str">
        <f>IF(F3462="","",IF(COUNTIF($F$2:F3462,F3462)&gt;1,"",SUMIFS(tbl_input[필요수량],tbl_input[집계키_센터],F3462)))</f>
        <v/>
      </c>
      <c r="F3462" t="str">
        <f>IFERROR(INDEX(tbl_input[집계키_센터],ROW()-1),"")</f>
        <v/>
      </c>
      <c r="G3462" t="str">
        <f t="shared" si="382"/>
        <v/>
      </c>
      <c r="H3462" t="str">
        <f t="shared" si="383"/>
        <v/>
      </c>
      <c r="I3462" t="str">
        <f t="shared" si="384"/>
        <v/>
      </c>
    </row>
    <row r="3463" spans="1:9" x14ac:dyDescent="0.4">
      <c r="A3463" t="str">
        <f t="shared" si="378"/>
        <v/>
      </c>
      <c r="B3463" t="str">
        <f t="shared" si="379"/>
        <v/>
      </c>
      <c r="C3463" t="str">
        <f t="shared" si="380"/>
        <v/>
      </c>
      <c r="D3463" t="str">
        <f t="shared" si="381"/>
        <v/>
      </c>
      <c r="E3463" t="str">
        <f>IF(F3463="","",IF(COUNTIF($F$2:F3463,F3463)&gt;1,"",SUMIFS(tbl_input[필요수량],tbl_input[집계키_센터],F3463)))</f>
        <v/>
      </c>
      <c r="F3463" t="str">
        <f>IFERROR(INDEX(tbl_input[집계키_센터],ROW()-1),"")</f>
        <v/>
      </c>
      <c r="G3463" t="str">
        <f t="shared" si="382"/>
        <v/>
      </c>
      <c r="H3463" t="str">
        <f t="shared" si="383"/>
        <v/>
      </c>
      <c r="I3463" t="str">
        <f t="shared" si="384"/>
        <v/>
      </c>
    </row>
    <row r="3464" spans="1:9" x14ac:dyDescent="0.4">
      <c r="A3464" t="str">
        <f t="shared" si="378"/>
        <v/>
      </c>
      <c r="B3464" t="str">
        <f t="shared" si="379"/>
        <v/>
      </c>
      <c r="C3464" t="str">
        <f t="shared" si="380"/>
        <v/>
      </c>
      <c r="D3464" t="str">
        <f t="shared" si="381"/>
        <v/>
      </c>
      <c r="E3464" t="str">
        <f>IF(F3464="","",IF(COUNTIF($F$2:F3464,F3464)&gt;1,"",SUMIFS(tbl_input[필요수량],tbl_input[집계키_센터],F3464)))</f>
        <v/>
      </c>
      <c r="F3464" t="str">
        <f>IFERROR(INDEX(tbl_input[집계키_센터],ROW()-1),"")</f>
        <v/>
      </c>
      <c r="G3464" t="str">
        <f t="shared" si="382"/>
        <v/>
      </c>
      <c r="H3464" t="str">
        <f t="shared" si="383"/>
        <v/>
      </c>
      <c r="I3464" t="str">
        <f t="shared" si="384"/>
        <v/>
      </c>
    </row>
    <row r="3465" spans="1:9" x14ac:dyDescent="0.4">
      <c r="A3465" t="str">
        <f t="shared" si="378"/>
        <v/>
      </c>
      <c r="B3465" t="str">
        <f t="shared" si="379"/>
        <v/>
      </c>
      <c r="C3465" t="str">
        <f t="shared" si="380"/>
        <v/>
      </c>
      <c r="D3465" t="str">
        <f t="shared" si="381"/>
        <v/>
      </c>
      <c r="E3465" t="str">
        <f>IF(F3465="","",IF(COUNTIF($F$2:F3465,F3465)&gt;1,"",SUMIFS(tbl_input[필요수량],tbl_input[집계키_센터],F3465)))</f>
        <v/>
      </c>
      <c r="F3465" t="str">
        <f>IFERROR(INDEX(tbl_input[집계키_센터],ROW()-1),"")</f>
        <v/>
      </c>
      <c r="G3465" t="str">
        <f t="shared" si="382"/>
        <v/>
      </c>
      <c r="H3465" t="str">
        <f t="shared" si="383"/>
        <v/>
      </c>
      <c r="I3465" t="str">
        <f t="shared" si="384"/>
        <v/>
      </c>
    </row>
    <row r="3466" spans="1:9" x14ac:dyDescent="0.4">
      <c r="A3466" t="str">
        <f t="shared" si="378"/>
        <v/>
      </c>
      <c r="B3466" t="str">
        <f t="shared" si="379"/>
        <v/>
      </c>
      <c r="C3466" t="str">
        <f t="shared" si="380"/>
        <v/>
      </c>
      <c r="D3466" t="str">
        <f t="shared" si="381"/>
        <v/>
      </c>
      <c r="E3466" t="str">
        <f>IF(F3466="","",IF(COUNTIF($F$2:F3466,F3466)&gt;1,"",SUMIFS(tbl_input[필요수량],tbl_input[집계키_센터],F3466)))</f>
        <v/>
      </c>
      <c r="F3466" t="str">
        <f>IFERROR(INDEX(tbl_input[집계키_센터],ROW()-1),"")</f>
        <v/>
      </c>
      <c r="G3466" t="str">
        <f t="shared" si="382"/>
        <v/>
      </c>
      <c r="H3466" t="str">
        <f t="shared" si="383"/>
        <v/>
      </c>
      <c r="I3466" t="str">
        <f t="shared" si="384"/>
        <v/>
      </c>
    </row>
    <row r="3467" spans="1:9" x14ac:dyDescent="0.4">
      <c r="A3467" t="str">
        <f t="shared" si="378"/>
        <v/>
      </c>
      <c r="B3467" t="str">
        <f t="shared" si="379"/>
        <v/>
      </c>
      <c r="C3467" t="str">
        <f t="shared" si="380"/>
        <v/>
      </c>
      <c r="D3467" t="str">
        <f t="shared" si="381"/>
        <v/>
      </c>
      <c r="E3467" t="str">
        <f>IF(F3467="","",IF(COUNTIF($F$2:F3467,F3467)&gt;1,"",SUMIFS(tbl_input[필요수량],tbl_input[집계키_센터],F3467)))</f>
        <v/>
      </c>
      <c r="F3467" t="str">
        <f>IFERROR(INDEX(tbl_input[집계키_센터],ROW()-1),"")</f>
        <v/>
      </c>
      <c r="G3467" t="str">
        <f t="shared" si="382"/>
        <v/>
      </c>
      <c r="H3467" t="str">
        <f t="shared" si="383"/>
        <v/>
      </c>
      <c r="I3467" t="str">
        <f t="shared" si="384"/>
        <v/>
      </c>
    </row>
    <row r="3468" spans="1:9" x14ac:dyDescent="0.4">
      <c r="A3468" t="str">
        <f t="shared" si="378"/>
        <v/>
      </c>
      <c r="B3468" t="str">
        <f t="shared" si="379"/>
        <v/>
      </c>
      <c r="C3468" t="str">
        <f t="shared" si="380"/>
        <v/>
      </c>
      <c r="D3468" t="str">
        <f t="shared" si="381"/>
        <v/>
      </c>
      <c r="E3468" t="str">
        <f>IF(F3468="","",IF(COUNTIF($F$2:F3468,F3468)&gt;1,"",SUMIFS(tbl_input[필요수량],tbl_input[집계키_센터],F3468)))</f>
        <v/>
      </c>
      <c r="F3468" t="str">
        <f>IFERROR(INDEX(tbl_input[집계키_센터],ROW()-1),"")</f>
        <v/>
      </c>
      <c r="G3468" t="str">
        <f t="shared" si="382"/>
        <v/>
      </c>
      <c r="H3468" t="str">
        <f t="shared" si="383"/>
        <v/>
      </c>
      <c r="I3468" t="str">
        <f t="shared" si="384"/>
        <v/>
      </c>
    </row>
    <row r="3469" spans="1:9" x14ac:dyDescent="0.4">
      <c r="A3469" t="str">
        <f t="shared" si="378"/>
        <v/>
      </c>
      <c r="B3469" t="str">
        <f t="shared" si="379"/>
        <v/>
      </c>
      <c r="C3469" t="str">
        <f t="shared" si="380"/>
        <v/>
      </c>
      <c r="D3469" t="str">
        <f t="shared" si="381"/>
        <v/>
      </c>
      <c r="E3469" t="str">
        <f>IF(F3469="","",IF(COUNTIF($F$2:F3469,F3469)&gt;1,"",SUMIFS(tbl_input[필요수량],tbl_input[집계키_센터],F3469)))</f>
        <v/>
      </c>
      <c r="F3469" t="str">
        <f>IFERROR(INDEX(tbl_input[집계키_센터],ROW()-1),"")</f>
        <v/>
      </c>
      <c r="G3469" t="str">
        <f t="shared" si="382"/>
        <v/>
      </c>
      <c r="H3469" t="str">
        <f t="shared" si="383"/>
        <v/>
      </c>
      <c r="I3469" t="str">
        <f t="shared" si="384"/>
        <v/>
      </c>
    </row>
    <row r="3470" spans="1:9" x14ac:dyDescent="0.4">
      <c r="A3470" t="str">
        <f t="shared" si="378"/>
        <v/>
      </c>
      <c r="B3470" t="str">
        <f t="shared" si="379"/>
        <v/>
      </c>
      <c r="C3470" t="str">
        <f t="shared" si="380"/>
        <v/>
      </c>
      <c r="D3470" t="str">
        <f t="shared" si="381"/>
        <v/>
      </c>
      <c r="E3470" t="str">
        <f>IF(F3470="","",IF(COUNTIF($F$2:F3470,F3470)&gt;1,"",SUMIFS(tbl_input[필요수량],tbl_input[집계키_센터],F3470)))</f>
        <v/>
      </c>
      <c r="F3470" t="str">
        <f>IFERROR(INDEX(tbl_input[집계키_센터],ROW()-1),"")</f>
        <v/>
      </c>
      <c r="G3470" t="str">
        <f t="shared" si="382"/>
        <v/>
      </c>
      <c r="H3470" t="str">
        <f t="shared" si="383"/>
        <v/>
      </c>
      <c r="I3470" t="str">
        <f t="shared" si="384"/>
        <v/>
      </c>
    </row>
    <row r="3471" spans="1:9" x14ac:dyDescent="0.4">
      <c r="A3471" t="str">
        <f t="shared" si="378"/>
        <v/>
      </c>
      <c r="B3471" t="str">
        <f t="shared" si="379"/>
        <v/>
      </c>
      <c r="C3471" t="str">
        <f t="shared" si="380"/>
        <v/>
      </c>
      <c r="D3471" t="str">
        <f t="shared" si="381"/>
        <v/>
      </c>
      <c r="E3471" t="str">
        <f>IF(F3471="","",IF(COUNTIF($F$2:F3471,F3471)&gt;1,"",SUMIFS(tbl_input[필요수량],tbl_input[집계키_센터],F3471)))</f>
        <v/>
      </c>
      <c r="F3471" t="str">
        <f>IFERROR(INDEX(tbl_input[집계키_센터],ROW()-1),"")</f>
        <v/>
      </c>
      <c r="G3471" t="str">
        <f t="shared" si="382"/>
        <v/>
      </c>
      <c r="H3471" t="str">
        <f t="shared" si="383"/>
        <v/>
      </c>
      <c r="I3471" t="str">
        <f t="shared" si="384"/>
        <v/>
      </c>
    </row>
    <row r="3472" spans="1:9" x14ac:dyDescent="0.4">
      <c r="A3472" t="str">
        <f t="shared" si="378"/>
        <v/>
      </c>
      <c r="B3472" t="str">
        <f t="shared" si="379"/>
        <v/>
      </c>
      <c r="C3472" t="str">
        <f t="shared" si="380"/>
        <v/>
      </c>
      <c r="D3472" t="str">
        <f t="shared" si="381"/>
        <v/>
      </c>
      <c r="E3472" t="str">
        <f>IF(F3472="","",IF(COUNTIF($F$2:F3472,F3472)&gt;1,"",SUMIFS(tbl_input[필요수량],tbl_input[집계키_센터],F3472)))</f>
        <v/>
      </c>
      <c r="F3472" t="str">
        <f>IFERROR(INDEX(tbl_input[집계키_센터],ROW()-1),"")</f>
        <v/>
      </c>
      <c r="G3472" t="str">
        <f t="shared" si="382"/>
        <v/>
      </c>
      <c r="H3472" t="str">
        <f t="shared" si="383"/>
        <v/>
      </c>
      <c r="I3472" t="str">
        <f t="shared" si="384"/>
        <v/>
      </c>
    </row>
    <row r="3473" spans="1:9" x14ac:dyDescent="0.4">
      <c r="A3473" t="str">
        <f t="shared" si="378"/>
        <v/>
      </c>
      <c r="B3473" t="str">
        <f t="shared" si="379"/>
        <v/>
      </c>
      <c r="C3473" t="str">
        <f t="shared" si="380"/>
        <v/>
      </c>
      <c r="D3473" t="str">
        <f t="shared" si="381"/>
        <v/>
      </c>
      <c r="E3473" t="str">
        <f>IF(F3473="","",IF(COUNTIF($F$2:F3473,F3473)&gt;1,"",SUMIFS(tbl_input[필요수량],tbl_input[집계키_센터],F3473)))</f>
        <v/>
      </c>
      <c r="F3473" t="str">
        <f>IFERROR(INDEX(tbl_input[집계키_센터],ROW()-1),"")</f>
        <v/>
      </c>
      <c r="G3473" t="str">
        <f t="shared" si="382"/>
        <v/>
      </c>
      <c r="H3473" t="str">
        <f t="shared" si="383"/>
        <v/>
      </c>
      <c r="I3473" t="str">
        <f t="shared" si="384"/>
        <v/>
      </c>
    </row>
    <row r="3474" spans="1:9" x14ac:dyDescent="0.4">
      <c r="A3474" t="str">
        <f t="shared" si="378"/>
        <v/>
      </c>
      <c r="B3474" t="str">
        <f t="shared" si="379"/>
        <v/>
      </c>
      <c r="C3474" t="str">
        <f t="shared" si="380"/>
        <v/>
      </c>
      <c r="D3474" t="str">
        <f t="shared" si="381"/>
        <v/>
      </c>
      <c r="E3474" t="str">
        <f>IF(F3474="","",IF(COUNTIF($F$2:F3474,F3474)&gt;1,"",SUMIFS(tbl_input[필요수량],tbl_input[집계키_센터],F3474)))</f>
        <v/>
      </c>
      <c r="F3474" t="str">
        <f>IFERROR(INDEX(tbl_input[집계키_센터],ROW()-1),"")</f>
        <v/>
      </c>
      <c r="G3474" t="str">
        <f t="shared" si="382"/>
        <v/>
      </c>
      <c r="H3474" t="str">
        <f t="shared" si="383"/>
        <v/>
      </c>
      <c r="I3474" t="str">
        <f t="shared" si="384"/>
        <v/>
      </c>
    </row>
    <row r="3475" spans="1:9" x14ac:dyDescent="0.4">
      <c r="A3475" t="str">
        <f t="shared" si="378"/>
        <v/>
      </c>
      <c r="B3475" t="str">
        <f t="shared" si="379"/>
        <v/>
      </c>
      <c r="C3475" t="str">
        <f t="shared" si="380"/>
        <v/>
      </c>
      <c r="D3475" t="str">
        <f t="shared" si="381"/>
        <v/>
      </c>
      <c r="E3475" t="str">
        <f>IF(F3475="","",IF(COUNTIF($F$2:F3475,F3475)&gt;1,"",SUMIFS(tbl_input[필요수량],tbl_input[집계키_센터],F3475)))</f>
        <v/>
      </c>
      <c r="F3475" t="str">
        <f>IFERROR(INDEX(tbl_input[집계키_센터],ROW()-1),"")</f>
        <v/>
      </c>
      <c r="G3475" t="str">
        <f t="shared" si="382"/>
        <v/>
      </c>
      <c r="H3475" t="str">
        <f t="shared" si="383"/>
        <v/>
      </c>
      <c r="I3475" t="str">
        <f t="shared" si="384"/>
        <v/>
      </c>
    </row>
    <row r="3476" spans="1:9" x14ac:dyDescent="0.4">
      <c r="A3476" t="str">
        <f t="shared" si="378"/>
        <v/>
      </c>
      <c r="B3476" t="str">
        <f t="shared" si="379"/>
        <v/>
      </c>
      <c r="C3476" t="str">
        <f t="shared" si="380"/>
        <v/>
      </c>
      <c r="D3476" t="str">
        <f t="shared" si="381"/>
        <v/>
      </c>
      <c r="E3476" t="str">
        <f>IF(F3476="","",IF(COUNTIF($F$2:F3476,F3476)&gt;1,"",SUMIFS(tbl_input[필요수량],tbl_input[집계키_센터],F3476)))</f>
        <v/>
      </c>
      <c r="F3476" t="str">
        <f>IFERROR(INDEX(tbl_input[집계키_센터],ROW()-1),"")</f>
        <v/>
      </c>
      <c r="G3476" t="str">
        <f t="shared" si="382"/>
        <v/>
      </c>
      <c r="H3476" t="str">
        <f t="shared" si="383"/>
        <v/>
      </c>
      <c r="I3476" t="str">
        <f t="shared" si="384"/>
        <v/>
      </c>
    </row>
    <row r="3477" spans="1:9" x14ac:dyDescent="0.4">
      <c r="A3477" t="str">
        <f t="shared" si="378"/>
        <v/>
      </c>
      <c r="B3477" t="str">
        <f t="shared" si="379"/>
        <v/>
      </c>
      <c r="C3477" t="str">
        <f t="shared" si="380"/>
        <v/>
      </c>
      <c r="D3477" t="str">
        <f t="shared" si="381"/>
        <v/>
      </c>
      <c r="E3477" t="str">
        <f>IF(F3477="","",IF(COUNTIF($F$2:F3477,F3477)&gt;1,"",SUMIFS(tbl_input[필요수량],tbl_input[집계키_센터],F3477)))</f>
        <v/>
      </c>
      <c r="F3477" t="str">
        <f>IFERROR(INDEX(tbl_input[집계키_센터],ROW()-1),"")</f>
        <v/>
      </c>
      <c r="G3477" t="str">
        <f t="shared" si="382"/>
        <v/>
      </c>
      <c r="H3477" t="str">
        <f t="shared" si="383"/>
        <v/>
      </c>
      <c r="I3477" t="str">
        <f t="shared" si="384"/>
        <v/>
      </c>
    </row>
    <row r="3478" spans="1:9" x14ac:dyDescent="0.4">
      <c r="A3478" t="str">
        <f t="shared" si="378"/>
        <v/>
      </c>
      <c r="B3478" t="str">
        <f t="shared" si="379"/>
        <v/>
      </c>
      <c r="C3478" t="str">
        <f t="shared" si="380"/>
        <v/>
      </c>
      <c r="D3478" t="str">
        <f t="shared" si="381"/>
        <v/>
      </c>
      <c r="E3478" t="str">
        <f>IF(F3478="","",IF(COUNTIF($F$2:F3478,F3478)&gt;1,"",SUMIFS(tbl_input[필요수량],tbl_input[집계키_센터],F3478)))</f>
        <v/>
      </c>
      <c r="F3478" t="str">
        <f>IFERROR(INDEX(tbl_input[집계키_센터],ROW()-1),"")</f>
        <v/>
      </c>
      <c r="G3478" t="str">
        <f t="shared" si="382"/>
        <v/>
      </c>
      <c r="H3478" t="str">
        <f t="shared" si="383"/>
        <v/>
      </c>
      <c r="I3478" t="str">
        <f t="shared" si="384"/>
        <v/>
      </c>
    </row>
    <row r="3479" spans="1:9" x14ac:dyDescent="0.4">
      <c r="A3479" t="str">
        <f t="shared" si="378"/>
        <v/>
      </c>
      <c r="B3479" t="str">
        <f t="shared" si="379"/>
        <v/>
      </c>
      <c r="C3479" t="str">
        <f t="shared" si="380"/>
        <v/>
      </c>
      <c r="D3479" t="str">
        <f t="shared" si="381"/>
        <v/>
      </c>
      <c r="E3479" t="str">
        <f>IF(F3479="","",IF(COUNTIF($F$2:F3479,F3479)&gt;1,"",SUMIFS(tbl_input[필요수량],tbl_input[집계키_센터],F3479)))</f>
        <v/>
      </c>
      <c r="F3479" t="str">
        <f>IFERROR(INDEX(tbl_input[집계키_센터],ROW()-1),"")</f>
        <v/>
      </c>
      <c r="G3479" t="str">
        <f t="shared" si="382"/>
        <v/>
      </c>
      <c r="H3479" t="str">
        <f t="shared" si="383"/>
        <v/>
      </c>
      <c r="I3479" t="str">
        <f t="shared" si="384"/>
        <v/>
      </c>
    </row>
    <row r="3480" spans="1:9" x14ac:dyDescent="0.4">
      <c r="A3480" t="str">
        <f t="shared" si="378"/>
        <v/>
      </c>
      <c r="B3480" t="str">
        <f t="shared" si="379"/>
        <v/>
      </c>
      <c r="C3480" t="str">
        <f t="shared" si="380"/>
        <v/>
      </c>
      <c r="D3480" t="str">
        <f t="shared" si="381"/>
        <v/>
      </c>
      <c r="E3480" t="str">
        <f>IF(F3480="","",IF(COUNTIF($F$2:F3480,F3480)&gt;1,"",SUMIFS(tbl_input[필요수량],tbl_input[집계키_센터],F3480)))</f>
        <v/>
      </c>
      <c r="F3480" t="str">
        <f>IFERROR(INDEX(tbl_input[집계키_센터],ROW()-1),"")</f>
        <v/>
      </c>
      <c r="G3480" t="str">
        <f t="shared" si="382"/>
        <v/>
      </c>
      <c r="H3480" t="str">
        <f t="shared" si="383"/>
        <v/>
      </c>
      <c r="I3480" t="str">
        <f t="shared" si="384"/>
        <v/>
      </c>
    </row>
    <row r="3481" spans="1:9" x14ac:dyDescent="0.4">
      <c r="A3481" t="str">
        <f t="shared" si="378"/>
        <v/>
      </c>
      <c r="B3481" t="str">
        <f t="shared" si="379"/>
        <v/>
      </c>
      <c r="C3481" t="str">
        <f t="shared" si="380"/>
        <v/>
      </c>
      <c r="D3481" t="str">
        <f t="shared" si="381"/>
        <v/>
      </c>
      <c r="E3481" t="str">
        <f>IF(F3481="","",IF(COUNTIF($F$2:F3481,F3481)&gt;1,"",SUMIFS(tbl_input[필요수량],tbl_input[집계키_센터],F3481)))</f>
        <v/>
      </c>
      <c r="F3481" t="str">
        <f>IFERROR(INDEX(tbl_input[집계키_센터],ROW()-1),"")</f>
        <v/>
      </c>
      <c r="G3481" t="str">
        <f t="shared" si="382"/>
        <v/>
      </c>
      <c r="H3481" t="str">
        <f t="shared" si="383"/>
        <v/>
      </c>
      <c r="I3481" t="str">
        <f t="shared" si="384"/>
        <v/>
      </c>
    </row>
    <row r="3482" spans="1:9" x14ac:dyDescent="0.4">
      <c r="A3482" t="str">
        <f t="shared" si="378"/>
        <v/>
      </c>
      <c r="B3482" t="str">
        <f t="shared" si="379"/>
        <v/>
      </c>
      <c r="C3482" t="str">
        <f t="shared" si="380"/>
        <v/>
      </c>
      <c r="D3482" t="str">
        <f t="shared" si="381"/>
        <v/>
      </c>
      <c r="E3482" t="str">
        <f>IF(F3482="","",IF(COUNTIF($F$2:F3482,F3482)&gt;1,"",SUMIFS(tbl_input[필요수량],tbl_input[집계키_센터],F3482)))</f>
        <v/>
      </c>
      <c r="F3482" t="str">
        <f>IFERROR(INDEX(tbl_input[집계키_센터],ROW()-1),"")</f>
        <v/>
      </c>
      <c r="G3482" t="str">
        <f t="shared" si="382"/>
        <v/>
      </c>
      <c r="H3482" t="str">
        <f t="shared" si="383"/>
        <v/>
      </c>
      <c r="I3482" t="str">
        <f t="shared" si="384"/>
        <v/>
      </c>
    </row>
    <row r="3483" spans="1:9" x14ac:dyDescent="0.4">
      <c r="A3483" t="str">
        <f t="shared" si="378"/>
        <v/>
      </c>
      <c r="B3483" t="str">
        <f t="shared" si="379"/>
        <v/>
      </c>
      <c r="C3483" t="str">
        <f t="shared" si="380"/>
        <v/>
      </c>
      <c r="D3483" t="str">
        <f t="shared" si="381"/>
        <v/>
      </c>
      <c r="E3483" t="str">
        <f>IF(F3483="","",IF(COUNTIF($F$2:F3483,F3483)&gt;1,"",SUMIFS(tbl_input[필요수량],tbl_input[집계키_센터],F3483)))</f>
        <v/>
      </c>
      <c r="F3483" t="str">
        <f>IFERROR(INDEX(tbl_input[집계키_센터],ROW()-1),"")</f>
        <v/>
      </c>
      <c r="G3483" t="str">
        <f t="shared" si="382"/>
        <v/>
      </c>
      <c r="H3483" t="str">
        <f t="shared" si="383"/>
        <v/>
      </c>
      <c r="I3483" t="str">
        <f t="shared" si="384"/>
        <v/>
      </c>
    </row>
    <row r="3484" spans="1:9" x14ac:dyDescent="0.4">
      <c r="A3484" t="str">
        <f t="shared" si="378"/>
        <v/>
      </c>
      <c r="B3484" t="str">
        <f t="shared" si="379"/>
        <v/>
      </c>
      <c r="C3484" t="str">
        <f t="shared" si="380"/>
        <v/>
      </c>
      <c r="D3484" t="str">
        <f t="shared" si="381"/>
        <v/>
      </c>
      <c r="E3484" t="str">
        <f>IF(F3484="","",IF(COUNTIF($F$2:F3484,F3484)&gt;1,"",SUMIFS(tbl_input[필요수량],tbl_input[집계키_센터],F3484)))</f>
        <v/>
      </c>
      <c r="F3484" t="str">
        <f>IFERROR(INDEX(tbl_input[집계키_센터],ROW()-1),"")</f>
        <v/>
      </c>
      <c r="G3484" t="str">
        <f t="shared" si="382"/>
        <v/>
      </c>
      <c r="H3484" t="str">
        <f t="shared" si="383"/>
        <v/>
      </c>
      <c r="I3484" t="str">
        <f t="shared" si="384"/>
        <v/>
      </c>
    </row>
    <row r="3485" spans="1:9" x14ac:dyDescent="0.4">
      <c r="A3485" t="str">
        <f t="shared" si="378"/>
        <v/>
      </c>
      <c r="B3485" t="str">
        <f t="shared" si="379"/>
        <v/>
      </c>
      <c r="C3485" t="str">
        <f t="shared" si="380"/>
        <v/>
      </c>
      <c r="D3485" t="str">
        <f t="shared" si="381"/>
        <v/>
      </c>
      <c r="E3485" t="str">
        <f>IF(F3485="","",IF(COUNTIF($F$2:F3485,F3485)&gt;1,"",SUMIFS(tbl_input[필요수량],tbl_input[집계키_센터],F3485)))</f>
        <v/>
      </c>
      <c r="F3485" t="str">
        <f>IFERROR(INDEX(tbl_input[집계키_센터],ROW()-1),"")</f>
        <v/>
      </c>
      <c r="G3485" t="str">
        <f t="shared" si="382"/>
        <v/>
      </c>
      <c r="H3485" t="str">
        <f t="shared" si="383"/>
        <v/>
      </c>
      <c r="I3485" t="str">
        <f t="shared" si="384"/>
        <v/>
      </c>
    </row>
    <row r="3486" spans="1:9" x14ac:dyDescent="0.4">
      <c r="A3486" t="str">
        <f t="shared" si="378"/>
        <v/>
      </c>
      <c r="B3486" t="str">
        <f t="shared" si="379"/>
        <v/>
      </c>
      <c r="C3486" t="str">
        <f t="shared" si="380"/>
        <v/>
      </c>
      <c r="D3486" t="str">
        <f t="shared" si="381"/>
        <v/>
      </c>
      <c r="E3486" t="str">
        <f>IF(F3486="","",IF(COUNTIF($F$2:F3486,F3486)&gt;1,"",SUMIFS(tbl_input[필요수량],tbl_input[집계키_센터],F3486)))</f>
        <v/>
      </c>
      <c r="F3486" t="str">
        <f>IFERROR(INDEX(tbl_input[집계키_센터],ROW()-1),"")</f>
        <v/>
      </c>
      <c r="G3486" t="str">
        <f t="shared" si="382"/>
        <v/>
      </c>
      <c r="H3486" t="str">
        <f t="shared" si="383"/>
        <v/>
      </c>
      <c r="I3486" t="str">
        <f t="shared" si="384"/>
        <v/>
      </c>
    </row>
    <row r="3487" spans="1:9" x14ac:dyDescent="0.4">
      <c r="A3487" t="str">
        <f t="shared" si="378"/>
        <v/>
      </c>
      <c r="B3487" t="str">
        <f t="shared" si="379"/>
        <v/>
      </c>
      <c r="C3487" t="str">
        <f t="shared" si="380"/>
        <v/>
      </c>
      <c r="D3487" t="str">
        <f t="shared" si="381"/>
        <v/>
      </c>
      <c r="E3487" t="str">
        <f>IF(F3487="","",IF(COUNTIF($F$2:F3487,F3487)&gt;1,"",SUMIFS(tbl_input[필요수량],tbl_input[집계키_센터],F3487)))</f>
        <v/>
      </c>
      <c r="F3487" t="str">
        <f>IFERROR(INDEX(tbl_input[집계키_센터],ROW()-1),"")</f>
        <v/>
      </c>
      <c r="G3487" t="str">
        <f t="shared" si="382"/>
        <v/>
      </c>
      <c r="H3487" t="str">
        <f t="shared" si="383"/>
        <v/>
      </c>
      <c r="I3487" t="str">
        <f t="shared" si="384"/>
        <v/>
      </c>
    </row>
    <row r="3488" spans="1:9" x14ac:dyDescent="0.4">
      <c r="A3488" t="str">
        <f t="shared" si="378"/>
        <v/>
      </c>
      <c r="B3488" t="str">
        <f t="shared" si="379"/>
        <v/>
      </c>
      <c r="C3488" t="str">
        <f t="shared" si="380"/>
        <v/>
      </c>
      <c r="D3488" t="str">
        <f t="shared" si="381"/>
        <v/>
      </c>
      <c r="E3488" t="str">
        <f>IF(F3488="","",IF(COUNTIF($F$2:F3488,F3488)&gt;1,"",SUMIFS(tbl_input[필요수량],tbl_input[집계키_센터],F3488)))</f>
        <v/>
      </c>
      <c r="F3488" t="str">
        <f>IFERROR(INDEX(tbl_input[집계키_센터],ROW()-1),"")</f>
        <v/>
      </c>
      <c r="G3488" t="str">
        <f t="shared" si="382"/>
        <v/>
      </c>
      <c r="H3488" t="str">
        <f t="shared" si="383"/>
        <v/>
      </c>
      <c r="I3488" t="str">
        <f t="shared" si="384"/>
        <v/>
      </c>
    </row>
    <row r="3489" spans="1:9" x14ac:dyDescent="0.4">
      <c r="A3489" t="str">
        <f t="shared" si="378"/>
        <v/>
      </c>
      <c r="B3489" t="str">
        <f t="shared" si="379"/>
        <v/>
      </c>
      <c r="C3489" t="str">
        <f t="shared" si="380"/>
        <v/>
      </c>
      <c r="D3489" t="str">
        <f t="shared" si="381"/>
        <v/>
      </c>
      <c r="E3489" t="str">
        <f>IF(F3489="","",IF(COUNTIF($F$2:F3489,F3489)&gt;1,"",SUMIFS(tbl_input[필요수량],tbl_input[집계키_센터],F3489)))</f>
        <v/>
      </c>
      <c r="F3489" t="str">
        <f>IFERROR(INDEX(tbl_input[집계키_센터],ROW()-1),"")</f>
        <v/>
      </c>
      <c r="G3489" t="str">
        <f t="shared" si="382"/>
        <v/>
      </c>
      <c r="H3489" t="str">
        <f t="shared" si="383"/>
        <v/>
      </c>
      <c r="I3489" t="str">
        <f t="shared" si="384"/>
        <v/>
      </c>
    </row>
    <row r="3490" spans="1:9" x14ac:dyDescent="0.4">
      <c r="A3490" t="str">
        <f t="shared" si="378"/>
        <v/>
      </c>
      <c r="B3490" t="str">
        <f t="shared" si="379"/>
        <v/>
      </c>
      <c r="C3490" t="str">
        <f t="shared" si="380"/>
        <v/>
      </c>
      <c r="D3490" t="str">
        <f t="shared" si="381"/>
        <v/>
      </c>
      <c r="E3490" t="str">
        <f>IF(F3490="","",IF(COUNTIF($F$2:F3490,F3490)&gt;1,"",SUMIFS(tbl_input[필요수량],tbl_input[집계키_센터],F3490)))</f>
        <v/>
      </c>
      <c r="F3490" t="str">
        <f>IFERROR(INDEX(tbl_input[집계키_센터],ROW()-1),"")</f>
        <v/>
      </c>
      <c r="G3490" t="str">
        <f t="shared" si="382"/>
        <v/>
      </c>
      <c r="H3490" t="str">
        <f t="shared" si="383"/>
        <v/>
      </c>
      <c r="I3490" t="str">
        <f t="shared" si="384"/>
        <v/>
      </c>
    </row>
    <row r="3491" spans="1:9" x14ac:dyDescent="0.4">
      <c r="A3491" t="str">
        <f t="shared" si="378"/>
        <v/>
      </c>
      <c r="B3491" t="str">
        <f t="shared" si="379"/>
        <v/>
      </c>
      <c r="C3491" t="str">
        <f t="shared" si="380"/>
        <v/>
      </c>
      <c r="D3491" t="str">
        <f t="shared" si="381"/>
        <v/>
      </c>
      <c r="E3491" t="str">
        <f>IF(F3491="","",IF(COUNTIF($F$2:F3491,F3491)&gt;1,"",SUMIFS(tbl_input[필요수량],tbl_input[집계키_센터],F3491)))</f>
        <v/>
      </c>
      <c r="F3491" t="str">
        <f>IFERROR(INDEX(tbl_input[집계키_센터],ROW()-1),"")</f>
        <v/>
      </c>
      <c r="G3491" t="str">
        <f t="shared" si="382"/>
        <v/>
      </c>
      <c r="H3491" t="str">
        <f t="shared" si="383"/>
        <v/>
      </c>
      <c r="I3491" t="str">
        <f t="shared" si="384"/>
        <v/>
      </c>
    </row>
    <row r="3492" spans="1:9" x14ac:dyDescent="0.4">
      <c r="A3492" t="str">
        <f t="shared" si="378"/>
        <v/>
      </c>
      <c r="B3492" t="str">
        <f t="shared" si="379"/>
        <v/>
      </c>
      <c r="C3492" t="str">
        <f t="shared" si="380"/>
        <v/>
      </c>
      <c r="D3492" t="str">
        <f t="shared" si="381"/>
        <v/>
      </c>
      <c r="E3492" t="str">
        <f>IF(F3492="","",IF(COUNTIF($F$2:F3492,F3492)&gt;1,"",SUMIFS(tbl_input[필요수량],tbl_input[집계키_센터],F3492)))</f>
        <v/>
      </c>
      <c r="F3492" t="str">
        <f>IFERROR(INDEX(tbl_input[집계키_센터],ROW()-1),"")</f>
        <v/>
      </c>
      <c r="G3492" t="str">
        <f t="shared" si="382"/>
        <v/>
      </c>
      <c r="H3492" t="str">
        <f t="shared" si="383"/>
        <v/>
      </c>
      <c r="I3492" t="str">
        <f t="shared" si="384"/>
        <v/>
      </c>
    </row>
    <row r="3493" spans="1:9" x14ac:dyDescent="0.4">
      <c r="A3493" t="str">
        <f t="shared" si="378"/>
        <v/>
      </c>
      <c r="B3493" t="str">
        <f t="shared" si="379"/>
        <v/>
      </c>
      <c r="C3493" t="str">
        <f t="shared" si="380"/>
        <v/>
      </c>
      <c r="D3493" t="str">
        <f t="shared" si="381"/>
        <v/>
      </c>
      <c r="E3493" t="str">
        <f>IF(F3493="","",IF(COUNTIF($F$2:F3493,F3493)&gt;1,"",SUMIFS(tbl_input[필요수량],tbl_input[집계키_센터],F3493)))</f>
        <v/>
      </c>
      <c r="F3493" t="str">
        <f>IFERROR(INDEX(tbl_input[집계키_센터],ROW()-1),"")</f>
        <v/>
      </c>
      <c r="G3493" t="str">
        <f t="shared" si="382"/>
        <v/>
      </c>
      <c r="H3493" t="str">
        <f t="shared" si="383"/>
        <v/>
      </c>
      <c r="I3493" t="str">
        <f t="shared" si="384"/>
        <v/>
      </c>
    </row>
    <row r="3494" spans="1:9" x14ac:dyDescent="0.4">
      <c r="A3494" t="str">
        <f t="shared" si="378"/>
        <v/>
      </c>
      <c r="B3494" t="str">
        <f t="shared" si="379"/>
        <v/>
      </c>
      <c r="C3494" t="str">
        <f t="shared" si="380"/>
        <v/>
      </c>
      <c r="D3494" t="str">
        <f t="shared" si="381"/>
        <v/>
      </c>
      <c r="E3494" t="str">
        <f>IF(F3494="","",IF(COUNTIF($F$2:F3494,F3494)&gt;1,"",SUMIFS(tbl_input[필요수량],tbl_input[집계키_센터],F3494)))</f>
        <v/>
      </c>
      <c r="F3494" t="str">
        <f>IFERROR(INDEX(tbl_input[집계키_센터],ROW()-1),"")</f>
        <v/>
      </c>
      <c r="G3494" t="str">
        <f t="shared" si="382"/>
        <v/>
      </c>
      <c r="H3494" t="str">
        <f t="shared" si="383"/>
        <v/>
      </c>
      <c r="I3494" t="str">
        <f t="shared" si="384"/>
        <v/>
      </c>
    </row>
    <row r="3495" spans="1:9" x14ac:dyDescent="0.4">
      <c r="A3495" t="str">
        <f t="shared" si="378"/>
        <v/>
      </c>
      <c r="B3495" t="str">
        <f t="shared" si="379"/>
        <v/>
      </c>
      <c r="C3495" t="str">
        <f t="shared" si="380"/>
        <v/>
      </c>
      <c r="D3495" t="str">
        <f t="shared" si="381"/>
        <v/>
      </c>
      <c r="E3495" t="str">
        <f>IF(F3495="","",IF(COUNTIF($F$2:F3495,F3495)&gt;1,"",SUMIFS(tbl_input[필요수량],tbl_input[집계키_센터],F3495)))</f>
        <v/>
      </c>
      <c r="F3495" t="str">
        <f>IFERROR(INDEX(tbl_input[집계키_센터],ROW()-1),"")</f>
        <v/>
      </c>
      <c r="G3495" t="str">
        <f t="shared" si="382"/>
        <v/>
      </c>
      <c r="H3495" t="str">
        <f t="shared" si="383"/>
        <v/>
      </c>
      <c r="I3495" t="str">
        <f t="shared" si="384"/>
        <v/>
      </c>
    </row>
    <row r="3496" spans="1:9" x14ac:dyDescent="0.4">
      <c r="A3496" t="str">
        <f t="shared" si="378"/>
        <v/>
      </c>
      <c r="B3496" t="str">
        <f t="shared" si="379"/>
        <v/>
      </c>
      <c r="C3496" t="str">
        <f t="shared" si="380"/>
        <v/>
      </c>
      <c r="D3496" t="str">
        <f t="shared" si="381"/>
        <v/>
      </c>
      <c r="E3496" t="str">
        <f>IF(F3496="","",IF(COUNTIF($F$2:F3496,F3496)&gt;1,"",SUMIFS(tbl_input[필요수량],tbl_input[집계키_센터],F3496)))</f>
        <v/>
      </c>
      <c r="F3496" t="str">
        <f>IFERROR(INDEX(tbl_input[집계키_센터],ROW()-1),"")</f>
        <v/>
      </c>
      <c r="G3496" t="str">
        <f t="shared" si="382"/>
        <v/>
      </c>
      <c r="H3496" t="str">
        <f t="shared" si="383"/>
        <v/>
      </c>
      <c r="I3496" t="str">
        <f t="shared" si="384"/>
        <v/>
      </c>
    </row>
    <row r="3497" spans="1:9" x14ac:dyDescent="0.4">
      <c r="A3497" t="str">
        <f t="shared" si="378"/>
        <v/>
      </c>
      <c r="B3497" t="str">
        <f t="shared" si="379"/>
        <v/>
      </c>
      <c r="C3497" t="str">
        <f t="shared" si="380"/>
        <v/>
      </c>
      <c r="D3497" t="str">
        <f t="shared" si="381"/>
        <v/>
      </c>
      <c r="E3497" t="str">
        <f>IF(F3497="","",IF(COUNTIF($F$2:F3497,F3497)&gt;1,"",SUMIFS(tbl_input[필요수량],tbl_input[집계키_센터],F3497)))</f>
        <v/>
      </c>
      <c r="F3497" t="str">
        <f>IFERROR(INDEX(tbl_input[집계키_센터],ROW()-1),"")</f>
        <v/>
      </c>
      <c r="G3497" t="str">
        <f t="shared" si="382"/>
        <v/>
      </c>
      <c r="H3497" t="str">
        <f t="shared" si="383"/>
        <v/>
      </c>
      <c r="I3497" t="str">
        <f t="shared" si="384"/>
        <v/>
      </c>
    </row>
    <row r="3498" spans="1:9" x14ac:dyDescent="0.4">
      <c r="A3498" t="str">
        <f t="shared" si="378"/>
        <v/>
      </c>
      <c r="B3498" t="str">
        <f t="shared" si="379"/>
        <v/>
      </c>
      <c r="C3498" t="str">
        <f t="shared" si="380"/>
        <v/>
      </c>
      <c r="D3498" t="str">
        <f t="shared" si="381"/>
        <v/>
      </c>
      <c r="E3498" t="str">
        <f>IF(F3498="","",IF(COUNTIF($F$2:F3498,F3498)&gt;1,"",SUMIFS(tbl_input[필요수량],tbl_input[집계키_센터],F3498)))</f>
        <v/>
      </c>
      <c r="F3498" t="str">
        <f>IFERROR(INDEX(tbl_input[집계키_센터],ROW()-1),"")</f>
        <v/>
      </c>
      <c r="G3498" t="str">
        <f t="shared" si="382"/>
        <v/>
      </c>
      <c r="H3498" t="str">
        <f t="shared" si="383"/>
        <v/>
      </c>
      <c r="I3498" t="str">
        <f t="shared" si="384"/>
        <v/>
      </c>
    </row>
    <row r="3499" spans="1:9" x14ac:dyDescent="0.4">
      <c r="A3499" t="str">
        <f t="shared" si="378"/>
        <v/>
      </c>
      <c r="B3499" t="str">
        <f t="shared" si="379"/>
        <v/>
      </c>
      <c r="C3499" t="str">
        <f t="shared" si="380"/>
        <v/>
      </c>
      <c r="D3499" t="str">
        <f t="shared" si="381"/>
        <v/>
      </c>
      <c r="E3499" t="str">
        <f>IF(F3499="","",IF(COUNTIF($F$2:F3499,F3499)&gt;1,"",SUMIFS(tbl_input[필요수량],tbl_input[집계키_센터],F3499)))</f>
        <v/>
      </c>
      <c r="F3499" t="str">
        <f>IFERROR(INDEX(tbl_input[집계키_센터],ROW()-1),"")</f>
        <v/>
      </c>
      <c r="G3499" t="str">
        <f t="shared" si="382"/>
        <v/>
      </c>
      <c r="H3499" t="str">
        <f t="shared" si="383"/>
        <v/>
      </c>
      <c r="I3499" t="str">
        <f t="shared" si="384"/>
        <v/>
      </c>
    </row>
    <row r="3500" spans="1:9" x14ac:dyDescent="0.4">
      <c r="A3500" t="str">
        <f t="shared" si="378"/>
        <v/>
      </c>
      <c r="B3500" t="str">
        <f t="shared" si="379"/>
        <v/>
      </c>
      <c r="C3500" t="str">
        <f t="shared" si="380"/>
        <v/>
      </c>
      <c r="D3500" t="str">
        <f t="shared" si="381"/>
        <v/>
      </c>
      <c r="E3500" t="str">
        <f>IF(F3500="","",IF(COUNTIF($F$2:F3500,F3500)&gt;1,"",SUMIFS(tbl_input[필요수량],tbl_input[집계키_센터],F3500)))</f>
        <v/>
      </c>
      <c r="F3500" t="str">
        <f>IFERROR(INDEX(tbl_input[집계키_센터],ROW()-1),"")</f>
        <v/>
      </c>
      <c r="G3500" t="str">
        <f t="shared" si="382"/>
        <v/>
      </c>
      <c r="H3500" t="str">
        <f t="shared" si="383"/>
        <v/>
      </c>
      <c r="I3500" t="str">
        <f t="shared" si="384"/>
        <v/>
      </c>
    </row>
    <row r="3501" spans="1:9" x14ac:dyDescent="0.4">
      <c r="A3501" t="str">
        <f t="shared" si="378"/>
        <v/>
      </c>
      <c r="B3501" t="str">
        <f t="shared" si="379"/>
        <v/>
      </c>
      <c r="C3501" t="str">
        <f t="shared" si="380"/>
        <v/>
      </c>
      <c r="D3501" t="str">
        <f t="shared" si="381"/>
        <v/>
      </c>
      <c r="E3501" t="str">
        <f>IF(F3501="","",IF(COUNTIF($F$2:F3501,F3501)&gt;1,"",SUMIFS(tbl_input[필요수량],tbl_input[집계키_센터],F3501)))</f>
        <v/>
      </c>
      <c r="F3501" t="str">
        <f>IFERROR(INDEX(tbl_input[집계키_센터],ROW()-1),"")</f>
        <v/>
      </c>
      <c r="G3501" t="str">
        <f t="shared" si="382"/>
        <v/>
      </c>
      <c r="H3501" t="str">
        <f t="shared" si="383"/>
        <v/>
      </c>
      <c r="I3501" t="str">
        <f t="shared" si="384"/>
        <v/>
      </c>
    </row>
    <row r="3502" spans="1:9" x14ac:dyDescent="0.4">
      <c r="A3502" t="str">
        <f t="shared" si="378"/>
        <v/>
      </c>
      <c r="B3502" t="str">
        <f t="shared" si="379"/>
        <v/>
      </c>
      <c r="C3502" t="str">
        <f t="shared" si="380"/>
        <v/>
      </c>
      <c r="D3502" t="str">
        <f t="shared" si="381"/>
        <v/>
      </c>
      <c r="E3502" t="str">
        <f>IF(F3502="","",IF(COUNTIF($F$2:F3502,F3502)&gt;1,"",SUMIFS(tbl_input[필요수량],tbl_input[집계키_센터],F3502)))</f>
        <v/>
      </c>
      <c r="F3502" t="str">
        <f>IFERROR(INDEX(tbl_input[집계키_센터],ROW()-1),"")</f>
        <v/>
      </c>
      <c r="G3502" t="str">
        <f t="shared" si="382"/>
        <v/>
      </c>
      <c r="H3502" t="str">
        <f t="shared" si="383"/>
        <v/>
      </c>
      <c r="I3502" t="str">
        <f t="shared" si="384"/>
        <v/>
      </c>
    </row>
    <row r="3503" spans="1:9" x14ac:dyDescent="0.4">
      <c r="A3503" t="str">
        <f t="shared" si="378"/>
        <v/>
      </c>
      <c r="B3503" t="str">
        <f t="shared" si="379"/>
        <v/>
      </c>
      <c r="C3503" t="str">
        <f t="shared" si="380"/>
        <v/>
      </c>
      <c r="D3503" t="str">
        <f t="shared" si="381"/>
        <v/>
      </c>
      <c r="E3503" t="str">
        <f>IF(F3503="","",IF(COUNTIF($F$2:F3503,F3503)&gt;1,"",SUMIFS(tbl_input[필요수량],tbl_input[집계키_센터],F3503)))</f>
        <v/>
      </c>
      <c r="F3503" t="str">
        <f>IFERROR(INDEX(tbl_input[집계키_센터],ROW()-1),"")</f>
        <v/>
      </c>
      <c r="G3503" t="str">
        <f t="shared" si="382"/>
        <v/>
      </c>
      <c r="H3503" t="str">
        <f t="shared" si="383"/>
        <v/>
      </c>
      <c r="I3503" t="str">
        <f t="shared" si="384"/>
        <v/>
      </c>
    </row>
    <row r="3504" spans="1:9" x14ac:dyDescent="0.4">
      <c r="A3504" t="str">
        <f t="shared" si="378"/>
        <v/>
      </c>
      <c r="B3504" t="str">
        <f t="shared" si="379"/>
        <v/>
      </c>
      <c r="C3504" t="str">
        <f t="shared" si="380"/>
        <v/>
      </c>
      <c r="D3504" t="str">
        <f t="shared" si="381"/>
        <v/>
      </c>
      <c r="E3504" t="str">
        <f>IF(F3504="","",IF(COUNTIF($F$2:F3504,F3504)&gt;1,"",SUMIFS(tbl_input[필요수량],tbl_input[집계키_센터],F3504)))</f>
        <v/>
      </c>
      <c r="F3504" t="str">
        <f>IFERROR(INDEX(tbl_input[집계키_센터],ROW()-1),"")</f>
        <v/>
      </c>
      <c r="G3504" t="str">
        <f t="shared" si="382"/>
        <v/>
      </c>
      <c r="H3504" t="str">
        <f t="shared" si="383"/>
        <v/>
      </c>
      <c r="I3504" t="str">
        <f t="shared" si="384"/>
        <v/>
      </c>
    </row>
    <row r="3505" spans="1:9" x14ac:dyDescent="0.4">
      <c r="A3505" t="str">
        <f t="shared" si="378"/>
        <v/>
      </c>
      <c r="B3505" t="str">
        <f t="shared" si="379"/>
        <v/>
      </c>
      <c r="C3505" t="str">
        <f t="shared" si="380"/>
        <v/>
      </c>
      <c r="D3505" t="str">
        <f t="shared" si="381"/>
        <v/>
      </c>
      <c r="E3505" t="str">
        <f>IF(F3505="","",IF(COUNTIF($F$2:F3505,F3505)&gt;1,"",SUMIFS(tbl_input[필요수량],tbl_input[집계키_센터],F3505)))</f>
        <v/>
      </c>
      <c r="F3505" t="str">
        <f>IFERROR(INDEX(tbl_input[집계키_센터],ROW()-1),"")</f>
        <v/>
      </c>
      <c r="G3505" t="str">
        <f t="shared" si="382"/>
        <v/>
      </c>
      <c r="H3505" t="str">
        <f t="shared" si="383"/>
        <v/>
      </c>
      <c r="I3505" t="str">
        <f t="shared" si="384"/>
        <v/>
      </c>
    </row>
    <row r="3506" spans="1:9" x14ac:dyDescent="0.4">
      <c r="A3506" t="str">
        <f t="shared" si="378"/>
        <v/>
      </c>
      <c r="B3506" t="str">
        <f t="shared" si="379"/>
        <v/>
      </c>
      <c r="C3506" t="str">
        <f t="shared" si="380"/>
        <v/>
      </c>
      <c r="D3506" t="str">
        <f t="shared" si="381"/>
        <v/>
      </c>
      <c r="E3506" t="str">
        <f>IF(F3506="","",IF(COUNTIF($F$2:F3506,F3506)&gt;1,"",SUMIFS(tbl_input[필요수량],tbl_input[집계키_센터],F3506)))</f>
        <v/>
      </c>
      <c r="F3506" t="str">
        <f>IFERROR(INDEX(tbl_input[집계키_센터],ROW()-1),"")</f>
        <v/>
      </c>
      <c r="G3506" t="str">
        <f t="shared" si="382"/>
        <v/>
      </c>
      <c r="H3506" t="str">
        <f t="shared" si="383"/>
        <v/>
      </c>
      <c r="I3506" t="str">
        <f t="shared" si="384"/>
        <v/>
      </c>
    </row>
    <row r="3507" spans="1:9" x14ac:dyDescent="0.4">
      <c r="A3507" t="str">
        <f t="shared" si="378"/>
        <v/>
      </c>
      <c r="B3507" t="str">
        <f t="shared" si="379"/>
        <v/>
      </c>
      <c r="C3507" t="str">
        <f t="shared" si="380"/>
        <v/>
      </c>
      <c r="D3507" t="str">
        <f t="shared" si="381"/>
        <v/>
      </c>
      <c r="E3507" t="str">
        <f>IF(F3507="","",IF(COUNTIF($F$2:F3507,F3507)&gt;1,"",SUMIFS(tbl_input[필요수량],tbl_input[집계키_센터],F3507)))</f>
        <v/>
      </c>
      <c r="F3507" t="str">
        <f>IFERROR(INDEX(tbl_input[집계키_센터],ROW()-1),"")</f>
        <v/>
      </c>
      <c r="G3507" t="str">
        <f t="shared" si="382"/>
        <v/>
      </c>
      <c r="H3507" t="str">
        <f t="shared" si="383"/>
        <v/>
      </c>
      <c r="I3507" t="str">
        <f t="shared" si="384"/>
        <v/>
      </c>
    </row>
    <row r="3508" spans="1:9" x14ac:dyDescent="0.4">
      <c r="A3508" t="str">
        <f t="shared" si="378"/>
        <v/>
      </c>
      <c r="B3508" t="str">
        <f t="shared" si="379"/>
        <v/>
      </c>
      <c r="C3508" t="str">
        <f t="shared" si="380"/>
        <v/>
      </c>
      <c r="D3508" t="str">
        <f t="shared" si="381"/>
        <v/>
      </c>
      <c r="E3508" t="str">
        <f>IF(F3508="","",IF(COUNTIF($F$2:F3508,F3508)&gt;1,"",SUMIFS(tbl_input[필요수량],tbl_input[집계키_센터],F3508)))</f>
        <v/>
      </c>
      <c r="F3508" t="str">
        <f>IFERROR(INDEX(tbl_input[집계키_센터],ROW()-1),"")</f>
        <v/>
      </c>
      <c r="G3508" t="str">
        <f t="shared" si="382"/>
        <v/>
      </c>
      <c r="H3508" t="str">
        <f t="shared" si="383"/>
        <v/>
      </c>
      <c r="I3508" t="str">
        <f t="shared" si="384"/>
        <v/>
      </c>
    </row>
    <row r="3509" spans="1:9" x14ac:dyDescent="0.4">
      <c r="A3509" t="str">
        <f t="shared" si="378"/>
        <v/>
      </c>
      <c r="B3509" t="str">
        <f t="shared" si="379"/>
        <v/>
      </c>
      <c r="C3509" t="str">
        <f t="shared" si="380"/>
        <v/>
      </c>
      <c r="D3509" t="str">
        <f t="shared" si="381"/>
        <v/>
      </c>
      <c r="E3509" t="str">
        <f>IF(F3509="","",IF(COUNTIF($F$2:F3509,F3509)&gt;1,"",SUMIFS(tbl_input[필요수량],tbl_input[집계키_센터],F3509)))</f>
        <v/>
      </c>
      <c r="F3509" t="str">
        <f>IFERROR(INDEX(tbl_input[집계키_센터],ROW()-1),"")</f>
        <v/>
      </c>
      <c r="G3509" t="str">
        <f t="shared" si="382"/>
        <v/>
      </c>
      <c r="H3509" t="str">
        <f t="shared" si="383"/>
        <v/>
      </c>
      <c r="I3509" t="str">
        <f t="shared" si="384"/>
        <v/>
      </c>
    </row>
    <row r="3510" spans="1:9" x14ac:dyDescent="0.4">
      <c r="A3510" t="str">
        <f t="shared" si="378"/>
        <v/>
      </c>
      <c r="B3510" t="str">
        <f t="shared" si="379"/>
        <v/>
      </c>
      <c r="C3510" t="str">
        <f t="shared" si="380"/>
        <v/>
      </c>
      <c r="D3510" t="str">
        <f t="shared" si="381"/>
        <v/>
      </c>
      <c r="E3510" t="str">
        <f>IF(F3510="","",IF(COUNTIF($F$2:F3510,F3510)&gt;1,"",SUMIFS(tbl_input[필요수량],tbl_input[집계키_센터],F3510)))</f>
        <v/>
      </c>
      <c r="F3510" t="str">
        <f>IFERROR(INDEX(tbl_input[집계키_센터],ROW()-1),"")</f>
        <v/>
      </c>
      <c r="G3510" t="str">
        <f t="shared" si="382"/>
        <v/>
      </c>
      <c r="H3510" t="str">
        <f t="shared" si="383"/>
        <v/>
      </c>
      <c r="I3510" t="str">
        <f t="shared" si="384"/>
        <v/>
      </c>
    </row>
    <row r="3511" spans="1:9" x14ac:dyDescent="0.4">
      <c r="A3511" t="str">
        <f t="shared" si="378"/>
        <v/>
      </c>
      <c r="B3511" t="str">
        <f t="shared" si="379"/>
        <v/>
      </c>
      <c r="C3511" t="str">
        <f t="shared" si="380"/>
        <v/>
      </c>
      <c r="D3511" t="str">
        <f t="shared" si="381"/>
        <v/>
      </c>
      <c r="E3511" t="str">
        <f>IF(F3511="","",IF(COUNTIF($F$2:F3511,F3511)&gt;1,"",SUMIFS(tbl_input[필요수량],tbl_input[집계키_센터],F3511)))</f>
        <v/>
      </c>
      <c r="F3511" t="str">
        <f>IFERROR(INDEX(tbl_input[집계키_센터],ROW()-1),"")</f>
        <v/>
      </c>
      <c r="G3511" t="str">
        <f t="shared" si="382"/>
        <v/>
      </c>
      <c r="H3511" t="str">
        <f t="shared" si="383"/>
        <v/>
      </c>
      <c r="I3511" t="str">
        <f t="shared" si="384"/>
        <v/>
      </c>
    </row>
    <row r="3512" spans="1:9" x14ac:dyDescent="0.4">
      <c r="A3512" t="str">
        <f t="shared" si="378"/>
        <v/>
      </c>
      <c r="B3512" t="str">
        <f t="shared" si="379"/>
        <v/>
      </c>
      <c r="C3512" t="str">
        <f t="shared" si="380"/>
        <v/>
      </c>
      <c r="D3512" t="str">
        <f t="shared" si="381"/>
        <v/>
      </c>
      <c r="E3512" t="str">
        <f>IF(F3512="","",IF(COUNTIF($F$2:F3512,F3512)&gt;1,"",SUMIFS(tbl_input[필요수량],tbl_input[집계키_센터],F3512)))</f>
        <v/>
      </c>
      <c r="F3512" t="str">
        <f>IFERROR(INDEX(tbl_input[집계키_센터],ROW()-1),"")</f>
        <v/>
      </c>
      <c r="G3512" t="str">
        <f t="shared" si="382"/>
        <v/>
      </c>
      <c r="H3512" t="str">
        <f t="shared" si="383"/>
        <v/>
      </c>
      <c r="I3512" t="str">
        <f t="shared" si="384"/>
        <v/>
      </c>
    </row>
    <row r="3513" spans="1:9" x14ac:dyDescent="0.4">
      <c r="A3513" t="str">
        <f t="shared" si="378"/>
        <v/>
      </c>
      <c r="B3513" t="str">
        <f t="shared" si="379"/>
        <v/>
      </c>
      <c r="C3513" t="str">
        <f t="shared" si="380"/>
        <v/>
      </c>
      <c r="D3513" t="str">
        <f t="shared" si="381"/>
        <v/>
      </c>
      <c r="E3513" t="str">
        <f>IF(F3513="","",IF(COUNTIF($F$2:F3513,F3513)&gt;1,"",SUMIFS(tbl_input[필요수량],tbl_input[집계키_센터],F3513)))</f>
        <v/>
      </c>
      <c r="F3513" t="str">
        <f>IFERROR(INDEX(tbl_input[집계키_센터],ROW()-1),"")</f>
        <v/>
      </c>
      <c r="G3513" t="str">
        <f t="shared" si="382"/>
        <v/>
      </c>
      <c r="H3513" t="str">
        <f t="shared" si="383"/>
        <v/>
      </c>
      <c r="I3513" t="str">
        <f t="shared" si="384"/>
        <v/>
      </c>
    </row>
    <row r="3514" spans="1:9" x14ac:dyDescent="0.4">
      <c r="A3514" t="str">
        <f t="shared" si="378"/>
        <v/>
      </c>
      <c r="B3514" t="str">
        <f t="shared" si="379"/>
        <v/>
      </c>
      <c r="C3514" t="str">
        <f t="shared" si="380"/>
        <v/>
      </c>
      <c r="D3514" t="str">
        <f t="shared" si="381"/>
        <v/>
      </c>
      <c r="E3514" t="str">
        <f>IF(F3514="","",IF(COUNTIF($F$2:F3514,F3514)&gt;1,"",SUMIFS(tbl_input[필요수량],tbl_input[집계키_센터],F3514)))</f>
        <v/>
      </c>
      <c r="F3514" t="str">
        <f>IFERROR(INDEX(tbl_input[집계키_센터],ROW()-1),"")</f>
        <v/>
      </c>
      <c r="G3514" t="str">
        <f t="shared" si="382"/>
        <v/>
      </c>
      <c r="H3514" t="str">
        <f t="shared" si="383"/>
        <v/>
      </c>
      <c r="I3514" t="str">
        <f t="shared" si="384"/>
        <v/>
      </c>
    </row>
    <row r="3515" spans="1:9" x14ac:dyDescent="0.4">
      <c r="A3515" t="str">
        <f t="shared" si="378"/>
        <v/>
      </c>
      <c r="B3515" t="str">
        <f t="shared" si="379"/>
        <v/>
      </c>
      <c r="C3515" t="str">
        <f t="shared" si="380"/>
        <v/>
      </c>
      <c r="D3515" t="str">
        <f t="shared" si="381"/>
        <v/>
      </c>
      <c r="E3515" t="str">
        <f>IF(F3515="","",IF(COUNTIF($F$2:F3515,F3515)&gt;1,"",SUMIFS(tbl_input[필요수량],tbl_input[집계키_센터],F3515)))</f>
        <v/>
      </c>
      <c r="F3515" t="str">
        <f>IFERROR(INDEX(tbl_input[집계키_센터],ROW()-1),"")</f>
        <v/>
      </c>
      <c r="G3515" t="str">
        <f t="shared" si="382"/>
        <v/>
      </c>
      <c r="H3515" t="str">
        <f t="shared" si="383"/>
        <v/>
      </c>
      <c r="I3515" t="str">
        <f t="shared" si="384"/>
        <v/>
      </c>
    </row>
    <row r="3516" spans="1:9" x14ac:dyDescent="0.4">
      <c r="A3516" t="str">
        <f t="shared" si="378"/>
        <v/>
      </c>
      <c r="B3516" t="str">
        <f t="shared" si="379"/>
        <v/>
      </c>
      <c r="C3516" t="str">
        <f t="shared" si="380"/>
        <v/>
      </c>
      <c r="D3516" t="str">
        <f t="shared" si="381"/>
        <v/>
      </c>
      <c r="E3516" t="str">
        <f>IF(F3516="","",IF(COUNTIF($F$2:F3516,F3516)&gt;1,"",SUMIFS(tbl_input[필요수량],tbl_input[집계키_센터],F3516)))</f>
        <v/>
      </c>
      <c r="F3516" t="str">
        <f>IFERROR(INDEX(tbl_input[집계키_센터],ROW()-1),"")</f>
        <v/>
      </c>
      <c r="G3516" t="str">
        <f t="shared" si="382"/>
        <v/>
      </c>
      <c r="H3516" t="str">
        <f t="shared" si="383"/>
        <v/>
      </c>
      <c r="I3516" t="str">
        <f t="shared" si="384"/>
        <v/>
      </c>
    </row>
    <row r="3517" spans="1:9" x14ac:dyDescent="0.4">
      <c r="A3517" t="str">
        <f t="shared" si="378"/>
        <v/>
      </c>
      <c r="B3517" t="str">
        <f t="shared" si="379"/>
        <v/>
      </c>
      <c r="C3517" t="str">
        <f t="shared" si="380"/>
        <v/>
      </c>
      <c r="D3517" t="str">
        <f t="shared" si="381"/>
        <v/>
      </c>
      <c r="E3517" t="str">
        <f>IF(F3517="","",IF(COUNTIF($F$2:F3517,F3517)&gt;1,"",SUMIFS(tbl_input[필요수량],tbl_input[집계키_센터],F3517)))</f>
        <v/>
      </c>
      <c r="F3517" t="str">
        <f>IFERROR(INDEX(tbl_input[집계키_센터],ROW()-1),"")</f>
        <v/>
      </c>
      <c r="G3517" t="str">
        <f t="shared" si="382"/>
        <v/>
      </c>
      <c r="H3517" t="str">
        <f t="shared" si="383"/>
        <v/>
      </c>
      <c r="I3517" t="str">
        <f t="shared" si="384"/>
        <v/>
      </c>
    </row>
    <row r="3518" spans="1:9" x14ac:dyDescent="0.4">
      <c r="A3518" t="str">
        <f t="shared" si="378"/>
        <v/>
      </c>
      <c r="B3518" t="str">
        <f t="shared" si="379"/>
        <v/>
      </c>
      <c r="C3518" t="str">
        <f t="shared" si="380"/>
        <v/>
      </c>
      <c r="D3518" t="str">
        <f t="shared" si="381"/>
        <v/>
      </c>
      <c r="E3518" t="str">
        <f>IF(F3518="","",IF(COUNTIF($F$2:F3518,F3518)&gt;1,"",SUMIFS(tbl_input[필요수량],tbl_input[집계키_센터],F3518)))</f>
        <v/>
      </c>
      <c r="F3518" t="str">
        <f>IFERROR(INDEX(tbl_input[집계키_센터],ROW()-1),"")</f>
        <v/>
      </c>
      <c r="G3518" t="str">
        <f t="shared" si="382"/>
        <v/>
      </c>
      <c r="H3518" t="str">
        <f t="shared" si="383"/>
        <v/>
      </c>
      <c r="I3518" t="str">
        <f t="shared" si="384"/>
        <v/>
      </c>
    </row>
    <row r="3519" spans="1:9" x14ac:dyDescent="0.4">
      <c r="A3519" t="str">
        <f t="shared" si="378"/>
        <v/>
      </c>
      <c r="B3519" t="str">
        <f t="shared" si="379"/>
        <v/>
      </c>
      <c r="C3519" t="str">
        <f t="shared" si="380"/>
        <v/>
      </c>
      <c r="D3519" t="str">
        <f t="shared" si="381"/>
        <v/>
      </c>
      <c r="E3519" t="str">
        <f>IF(F3519="","",IF(COUNTIF($F$2:F3519,F3519)&gt;1,"",SUMIFS(tbl_input[필요수량],tbl_input[집계키_센터],F3519)))</f>
        <v/>
      </c>
      <c r="F3519" t="str">
        <f>IFERROR(INDEX(tbl_input[집계키_센터],ROW()-1),"")</f>
        <v/>
      </c>
      <c r="G3519" t="str">
        <f t="shared" si="382"/>
        <v/>
      </c>
      <c r="H3519" t="str">
        <f t="shared" si="383"/>
        <v/>
      </c>
      <c r="I3519" t="str">
        <f t="shared" si="384"/>
        <v/>
      </c>
    </row>
    <row r="3520" spans="1:9" x14ac:dyDescent="0.4">
      <c r="A3520" t="str">
        <f t="shared" si="378"/>
        <v/>
      </c>
      <c r="B3520" t="str">
        <f t="shared" si="379"/>
        <v/>
      </c>
      <c r="C3520" t="str">
        <f t="shared" si="380"/>
        <v/>
      </c>
      <c r="D3520" t="str">
        <f t="shared" si="381"/>
        <v/>
      </c>
      <c r="E3520" t="str">
        <f>IF(F3520="","",IF(COUNTIF($F$2:F3520,F3520)&gt;1,"",SUMIFS(tbl_input[필요수량],tbl_input[집계키_센터],F3520)))</f>
        <v/>
      </c>
      <c r="F3520" t="str">
        <f>IFERROR(INDEX(tbl_input[집계키_센터],ROW()-1),"")</f>
        <v/>
      </c>
      <c r="G3520" t="str">
        <f t="shared" si="382"/>
        <v/>
      </c>
      <c r="H3520" t="str">
        <f t="shared" si="383"/>
        <v/>
      </c>
      <c r="I3520" t="str">
        <f t="shared" si="384"/>
        <v/>
      </c>
    </row>
    <row r="3521" spans="1:9" x14ac:dyDescent="0.4">
      <c r="A3521" t="str">
        <f t="shared" si="378"/>
        <v/>
      </c>
      <c r="B3521" t="str">
        <f t="shared" si="379"/>
        <v/>
      </c>
      <c r="C3521" t="str">
        <f t="shared" si="380"/>
        <v/>
      </c>
      <c r="D3521" t="str">
        <f t="shared" si="381"/>
        <v/>
      </c>
      <c r="E3521" t="str">
        <f>IF(F3521="","",IF(COUNTIF($F$2:F3521,F3521)&gt;1,"",SUMIFS(tbl_input[필요수량],tbl_input[집계키_센터],F3521)))</f>
        <v/>
      </c>
      <c r="F3521" t="str">
        <f>IFERROR(INDEX(tbl_input[집계키_센터],ROW()-1),"")</f>
        <v/>
      </c>
      <c r="G3521" t="str">
        <f t="shared" si="382"/>
        <v/>
      </c>
      <c r="H3521" t="str">
        <f t="shared" si="383"/>
        <v/>
      </c>
      <c r="I3521" t="str">
        <f t="shared" si="384"/>
        <v/>
      </c>
    </row>
    <row r="3522" spans="1:9" x14ac:dyDescent="0.4">
      <c r="A3522" t="str">
        <f t="shared" ref="A3522:A3585" si="385">IF(F3522="","",LEFT(F3522,G3522-1))</f>
        <v/>
      </c>
      <c r="B3522" t="str">
        <f t="shared" ref="B3522:B3585" si="386">IF(F3522="","",MID(F3522,G3522+1,H3522-G3522-1))</f>
        <v/>
      </c>
      <c r="C3522" t="str">
        <f t="shared" ref="C3522:C3585" si="387">IF(F3522="","",MID(F3522,H3522+1,I3522-H3522-1))</f>
        <v/>
      </c>
      <c r="D3522" t="str">
        <f t="shared" ref="D3522:D3585" si="388">IF(F3522="","",MID(F3522,I3522+1,999))</f>
        <v/>
      </c>
      <c r="E3522" t="str">
        <f>IF(F3522="","",IF(COUNTIF($F$2:F3522,F3522)&gt;1,"",SUMIFS(tbl_input[필요수량],tbl_input[집계키_센터],F3522)))</f>
        <v/>
      </c>
      <c r="F3522" t="str">
        <f>IFERROR(INDEX(tbl_input[집계키_센터],ROW()-1),"")</f>
        <v/>
      </c>
      <c r="G3522" t="str">
        <f t="shared" ref="G3522:G3585" si="389">IF(F3522="","",FIND("♦",F3522))</f>
        <v/>
      </c>
      <c r="H3522" t="str">
        <f t="shared" ref="H3522:H3585" si="390">IF(F3522="","",FIND("♦",F3522,G3522+1))</f>
        <v/>
      </c>
      <c r="I3522" t="str">
        <f t="shared" ref="I3522:I3585" si="391">IF(F3522="","",FIND("♦",F3522,H3522+1))</f>
        <v/>
      </c>
    </row>
    <row r="3523" spans="1:9" x14ac:dyDescent="0.4">
      <c r="A3523" t="str">
        <f t="shared" si="385"/>
        <v/>
      </c>
      <c r="B3523" t="str">
        <f t="shared" si="386"/>
        <v/>
      </c>
      <c r="C3523" t="str">
        <f t="shared" si="387"/>
        <v/>
      </c>
      <c r="D3523" t="str">
        <f t="shared" si="388"/>
        <v/>
      </c>
      <c r="E3523" t="str">
        <f>IF(F3523="","",IF(COUNTIF($F$2:F3523,F3523)&gt;1,"",SUMIFS(tbl_input[필요수량],tbl_input[집계키_센터],F3523)))</f>
        <v/>
      </c>
      <c r="F3523" t="str">
        <f>IFERROR(INDEX(tbl_input[집계키_센터],ROW()-1),"")</f>
        <v/>
      </c>
      <c r="G3523" t="str">
        <f t="shared" si="389"/>
        <v/>
      </c>
      <c r="H3523" t="str">
        <f t="shared" si="390"/>
        <v/>
      </c>
      <c r="I3523" t="str">
        <f t="shared" si="391"/>
        <v/>
      </c>
    </row>
    <row r="3524" spans="1:9" x14ac:dyDescent="0.4">
      <c r="A3524" t="str">
        <f t="shared" si="385"/>
        <v/>
      </c>
      <c r="B3524" t="str">
        <f t="shared" si="386"/>
        <v/>
      </c>
      <c r="C3524" t="str">
        <f t="shared" si="387"/>
        <v/>
      </c>
      <c r="D3524" t="str">
        <f t="shared" si="388"/>
        <v/>
      </c>
      <c r="E3524" t="str">
        <f>IF(F3524="","",IF(COUNTIF($F$2:F3524,F3524)&gt;1,"",SUMIFS(tbl_input[필요수량],tbl_input[집계키_센터],F3524)))</f>
        <v/>
      </c>
      <c r="F3524" t="str">
        <f>IFERROR(INDEX(tbl_input[집계키_센터],ROW()-1),"")</f>
        <v/>
      </c>
      <c r="G3524" t="str">
        <f t="shared" si="389"/>
        <v/>
      </c>
      <c r="H3524" t="str">
        <f t="shared" si="390"/>
        <v/>
      </c>
      <c r="I3524" t="str">
        <f t="shared" si="391"/>
        <v/>
      </c>
    </row>
    <row r="3525" spans="1:9" x14ac:dyDescent="0.4">
      <c r="A3525" t="str">
        <f t="shared" si="385"/>
        <v/>
      </c>
      <c r="B3525" t="str">
        <f t="shared" si="386"/>
        <v/>
      </c>
      <c r="C3525" t="str">
        <f t="shared" si="387"/>
        <v/>
      </c>
      <c r="D3525" t="str">
        <f t="shared" si="388"/>
        <v/>
      </c>
      <c r="E3525" t="str">
        <f>IF(F3525="","",IF(COUNTIF($F$2:F3525,F3525)&gt;1,"",SUMIFS(tbl_input[필요수량],tbl_input[집계키_센터],F3525)))</f>
        <v/>
      </c>
      <c r="F3525" t="str">
        <f>IFERROR(INDEX(tbl_input[집계키_센터],ROW()-1),"")</f>
        <v/>
      </c>
      <c r="G3525" t="str">
        <f t="shared" si="389"/>
        <v/>
      </c>
      <c r="H3525" t="str">
        <f t="shared" si="390"/>
        <v/>
      </c>
      <c r="I3525" t="str">
        <f t="shared" si="391"/>
        <v/>
      </c>
    </row>
    <row r="3526" spans="1:9" x14ac:dyDescent="0.4">
      <c r="A3526" t="str">
        <f t="shared" si="385"/>
        <v/>
      </c>
      <c r="B3526" t="str">
        <f t="shared" si="386"/>
        <v/>
      </c>
      <c r="C3526" t="str">
        <f t="shared" si="387"/>
        <v/>
      </c>
      <c r="D3526" t="str">
        <f t="shared" si="388"/>
        <v/>
      </c>
      <c r="E3526" t="str">
        <f>IF(F3526="","",IF(COUNTIF($F$2:F3526,F3526)&gt;1,"",SUMIFS(tbl_input[필요수량],tbl_input[집계키_센터],F3526)))</f>
        <v/>
      </c>
      <c r="F3526" t="str">
        <f>IFERROR(INDEX(tbl_input[집계키_센터],ROW()-1),"")</f>
        <v/>
      </c>
      <c r="G3526" t="str">
        <f t="shared" si="389"/>
        <v/>
      </c>
      <c r="H3526" t="str">
        <f t="shared" si="390"/>
        <v/>
      </c>
      <c r="I3526" t="str">
        <f t="shared" si="391"/>
        <v/>
      </c>
    </row>
    <row r="3527" spans="1:9" x14ac:dyDescent="0.4">
      <c r="A3527" t="str">
        <f t="shared" si="385"/>
        <v/>
      </c>
      <c r="B3527" t="str">
        <f t="shared" si="386"/>
        <v/>
      </c>
      <c r="C3527" t="str">
        <f t="shared" si="387"/>
        <v/>
      </c>
      <c r="D3527" t="str">
        <f t="shared" si="388"/>
        <v/>
      </c>
      <c r="E3527" t="str">
        <f>IF(F3527="","",IF(COUNTIF($F$2:F3527,F3527)&gt;1,"",SUMIFS(tbl_input[필요수량],tbl_input[집계키_센터],F3527)))</f>
        <v/>
      </c>
      <c r="F3527" t="str">
        <f>IFERROR(INDEX(tbl_input[집계키_센터],ROW()-1),"")</f>
        <v/>
      </c>
      <c r="G3527" t="str">
        <f t="shared" si="389"/>
        <v/>
      </c>
      <c r="H3527" t="str">
        <f t="shared" si="390"/>
        <v/>
      </c>
      <c r="I3527" t="str">
        <f t="shared" si="391"/>
        <v/>
      </c>
    </row>
    <row r="3528" spans="1:9" x14ac:dyDescent="0.4">
      <c r="A3528" t="str">
        <f t="shared" si="385"/>
        <v/>
      </c>
      <c r="B3528" t="str">
        <f t="shared" si="386"/>
        <v/>
      </c>
      <c r="C3528" t="str">
        <f t="shared" si="387"/>
        <v/>
      </c>
      <c r="D3528" t="str">
        <f t="shared" si="388"/>
        <v/>
      </c>
      <c r="E3528" t="str">
        <f>IF(F3528="","",IF(COUNTIF($F$2:F3528,F3528)&gt;1,"",SUMIFS(tbl_input[필요수량],tbl_input[집계키_센터],F3528)))</f>
        <v/>
      </c>
      <c r="F3528" t="str">
        <f>IFERROR(INDEX(tbl_input[집계키_센터],ROW()-1),"")</f>
        <v/>
      </c>
      <c r="G3528" t="str">
        <f t="shared" si="389"/>
        <v/>
      </c>
      <c r="H3528" t="str">
        <f t="shared" si="390"/>
        <v/>
      </c>
      <c r="I3528" t="str">
        <f t="shared" si="391"/>
        <v/>
      </c>
    </row>
    <row r="3529" spans="1:9" x14ac:dyDescent="0.4">
      <c r="A3529" t="str">
        <f t="shared" si="385"/>
        <v/>
      </c>
      <c r="B3529" t="str">
        <f t="shared" si="386"/>
        <v/>
      </c>
      <c r="C3529" t="str">
        <f t="shared" si="387"/>
        <v/>
      </c>
      <c r="D3529" t="str">
        <f t="shared" si="388"/>
        <v/>
      </c>
      <c r="E3529" t="str">
        <f>IF(F3529="","",IF(COUNTIF($F$2:F3529,F3529)&gt;1,"",SUMIFS(tbl_input[필요수량],tbl_input[집계키_센터],F3529)))</f>
        <v/>
      </c>
      <c r="F3529" t="str">
        <f>IFERROR(INDEX(tbl_input[집계키_센터],ROW()-1),"")</f>
        <v/>
      </c>
      <c r="G3529" t="str">
        <f t="shared" si="389"/>
        <v/>
      </c>
      <c r="H3529" t="str">
        <f t="shared" si="390"/>
        <v/>
      </c>
      <c r="I3529" t="str">
        <f t="shared" si="391"/>
        <v/>
      </c>
    </row>
    <row r="3530" spans="1:9" x14ac:dyDescent="0.4">
      <c r="A3530" t="str">
        <f t="shared" si="385"/>
        <v/>
      </c>
      <c r="B3530" t="str">
        <f t="shared" si="386"/>
        <v/>
      </c>
      <c r="C3530" t="str">
        <f t="shared" si="387"/>
        <v/>
      </c>
      <c r="D3530" t="str">
        <f t="shared" si="388"/>
        <v/>
      </c>
      <c r="E3530" t="str">
        <f>IF(F3530="","",IF(COUNTIF($F$2:F3530,F3530)&gt;1,"",SUMIFS(tbl_input[필요수량],tbl_input[집계키_센터],F3530)))</f>
        <v/>
      </c>
      <c r="F3530" t="str">
        <f>IFERROR(INDEX(tbl_input[집계키_센터],ROW()-1),"")</f>
        <v/>
      </c>
      <c r="G3530" t="str">
        <f t="shared" si="389"/>
        <v/>
      </c>
      <c r="H3530" t="str">
        <f t="shared" si="390"/>
        <v/>
      </c>
      <c r="I3530" t="str">
        <f t="shared" si="391"/>
        <v/>
      </c>
    </row>
    <row r="3531" spans="1:9" x14ac:dyDescent="0.4">
      <c r="A3531" t="str">
        <f t="shared" si="385"/>
        <v/>
      </c>
      <c r="B3531" t="str">
        <f t="shared" si="386"/>
        <v/>
      </c>
      <c r="C3531" t="str">
        <f t="shared" si="387"/>
        <v/>
      </c>
      <c r="D3531" t="str">
        <f t="shared" si="388"/>
        <v/>
      </c>
      <c r="E3531" t="str">
        <f>IF(F3531="","",IF(COUNTIF($F$2:F3531,F3531)&gt;1,"",SUMIFS(tbl_input[필요수량],tbl_input[집계키_센터],F3531)))</f>
        <v/>
      </c>
      <c r="F3531" t="str">
        <f>IFERROR(INDEX(tbl_input[집계키_센터],ROW()-1),"")</f>
        <v/>
      </c>
      <c r="G3531" t="str">
        <f t="shared" si="389"/>
        <v/>
      </c>
      <c r="H3531" t="str">
        <f t="shared" si="390"/>
        <v/>
      </c>
      <c r="I3531" t="str">
        <f t="shared" si="391"/>
        <v/>
      </c>
    </row>
    <row r="3532" spans="1:9" x14ac:dyDescent="0.4">
      <c r="A3532" t="str">
        <f t="shared" si="385"/>
        <v/>
      </c>
      <c r="B3532" t="str">
        <f t="shared" si="386"/>
        <v/>
      </c>
      <c r="C3532" t="str">
        <f t="shared" si="387"/>
        <v/>
      </c>
      <c r="D3532" t="str">
        <f t="shared" si="388"/>
        <v/>
      </c>
      <c r="E3532" t="str">
        <f>IF(F3532="","",IF(COUNTIF($F$2:F3532,F3532)&gt;1,"",SUMIFS(tbl_input[필요수량],tbl_input[집계키_센터],F3532)))</f>
        <v/>
      </c>
      <c r="F3532" t="str">
        <f>IFERROR(INDEX(tbl_input[집계키_센터],ROW()-1),"")</f>
        <v/>
      </c>
      <c r="G3532" t="str">
        <f t="shared" si="389"/>
        <v/>
      </c>
      <c r="H3532" t="str">
        <f t="shared" si="390"/>
        <v/>
      </c>
      <c r="I3532" t="str">
        <f t="shared" si="391"/>
        <v/>
      </c>
    </row>
    <row r="3533" spans="1:9" x14ac:dyDescent="0.4">
      <c r="A3533" t="str">
        <f t="shared" si="385"/>
        <v/>
      </c>
      <c r="B3533" t="str">
        <f t="shared" si="386"/>
        <v/>
      </c>
      <c r="C3533" t="str">
        <f t="shared" si="387"/>
        <v/>
      </c>
      <c r="D3533" t="str">
        <f t="shared" si="388"/>
        <v/>
      </c>
      <c r="E3533" t="str">
        <f>IF(F3533="","",IF(COUNTIF($F$2:F3533,F3533)&gt;1,"",SUMIFS(tbl_input[필요수량],tbl_input[집계키_센터],F3533)))</f>
        <v/>
      </c>
      <c r="F3533" t="str">
        <f>IFERROR(INDEX(tbl_input[집계키_센터],ROW()-1),"")</f>
        <v/>
      </c>
      <c r="G3533" t="str">
        <f t="shared" si="389"/>
        <v/>
      </c>
      <c r="H3533" t="str">
        <f t="shared" si="390"/>
        <v/>
      </c>
      <c r="I3533" t="str">
        <f t="shared" si="391"/>
        <v/>
      </c>
    </row>
    <row r="3534" spans="1:9" x14ac:dyDescent="0.4">
      <c r="A3534" t="str">
        <f t="shared" si="385"/>
        <v/>
      </c>
      <c r="B3534" t="str">
        <f t="shared" si="386"/>
        <v/>
      </c>
      <c r="C3534" t="str">
        <f t="shared" si="387"/>
        <v/>
      </c>
      <c r="D3534" t="str">
        <f t="shared" si="388"/>
        <v/>
      </c>
      <c r="E3534" t="str">
        <f>IF(F3534="","",IF(COUNTIF($F$2:F3534,F3534)&gt;1,"",SUMIFS(tbl_input[필요수량],tbl_input[집계키_센터],F3534)))</f>
        <v/>
      </c>
      <c r="F3534" t="str">
        <f>IFERROR(INDEX(tbl_input[집계키_센터],ROW()-1),"")</f>
        <v/>
      </c>
      <c r="G3534" t="str">
        <f t="shared" si="389"/>
        <v/>
      </c>
      <c r="H3534" t="str">
        <f t="shared" si="390"/>
        <v/>
      </c>
      <c r="I3534" t="str">
        <f t="shared" si="391"/>
        <v/>
      </c>
    </row>
    <row r="3535" spans="1:9" x14ac:dyDescent="0.4">
      <c r="A3535" t="str">
        <f t="shared" si="385"/>
        <v/>
      </c>
      <c r="B3535" t="str">
        <f t="shared" si="386"/>
        <v/>
      </c>
      <c r="C3535" t="str">
        <f t="shared" si="387"/>
        <v/>
      </c>
      <c r="D3535" t="str">
        <f t="shared" si="388"/>
        <v/>
      </c>
      <c r="E3535" t="str">
        <f>IF(F3535="","",IF(COUNTIF($F$2:F3535,F3535)&gt;1,"",SUMIFS(tbl_input[필요수량],tbl_input[집계키_센터],F3535)))</f>
        <v/>
      </c>
      <c r="F3535" t="str">
        <f>IFERROR(INDEX(tbl_input[집계키_센터],ROW()-1),"")</f>
        <v/>
      </c>
      <c r="G3535" t="str">
        <f t="shared" si="389"/>
        <v/>
      </c>
      <c r="H3535" t="str">
        <f t="shared" si="390"/>
        <v/>
      </c>
      <c r="I3535" t="str">
        <f t="shared" si="391"/>
        <v/>
      </c>
    </row>
    <row r="3536" spans="1:9" x14ac:dyDescent="0.4">
      <c r="A3536" t="str">
        <f t="shared" si="385"/>
        <v/>
      </c>
      <c r="B3536" t="str">
        <f t="shared" si="386"/>
        <v/>
      </c>
      <c r="C3536" t="str">
        <f t="shared" si="387"/>
        <v/>
      </c>
      <c r="D3536" t="str">
        <f t="shared" si="388"/>
        <v/>
      </c>
      <c r="E3536" t="str">
        <f>IF(F3536="","",IF(COUNTIF($F$2:F3536,F3536)&gt;1,"",SUMIFS(tbl_input[필요수량],tbl_input[집계키_센터],F3536)))</f>
        <v/>
      </c>
      <c r="F3536" t="str">
        <f>IFERROR(INDEX(tbl_input[집계키_센터],ROW()-1),"")</f>
        <v/>
      </c>
      <c r="G3536" t="str">
        <f t="shared" si="389"/>
        <v/>
      </c>
      <c r="H3536" t="str">
        <f t="shared" si="390"/>
        <v/>
      </c>
      <c r="I3536" t="str">
        <f t="shared" si="391"/>
        <v/>
      </c>
    </row>
    <row r="3537" spans="1:9" x14ac:dyDescent="0.4">
      <c r="A3537" t="str">
        <f t="shared" si="385"/>
        <v/>
      </c>
      <c r="B3537" t="str">
        <f t="shared" si="386"/>
        <v/>
      </c>
      <c r="C3537" t="str">
        <f t="shared" si="387"/>
        <v/>
      </c>
      <c r="D3537" t="str">
        <f t="shared" si="388"/>
        <v/>
      </c>
      <c r="E3537" t="str">
        <f>IF(F3537="","",IF(COUNTIF($F$2:F3537,F3537)&gt;1,"",SUMIFS(tbl_input[필요수량],tbl_input[집계키_센터],F3537)))</f>
        <v/>
      </c>
      <c r="F3537" t="str">
        <f>IFERROR(INDEX(tbl_input[집계키_센터],ROW()-1),"")</f>
        <v/>
      </c>
      <c r="G3537" t="str">
        <f t="shared" si="389"/>
        <v/>
      </c>
      <c r="H3537" t="str">
        <f t="shared" si="390"/>
        <v/>
      </c>
      <c r="I3537" t="str">
        <f t="shared" si="391"/>
        <v/>
      </c>
    </row>
    <row r="3538" spans="1:9" x14ac:dyDescent="0.4">
      <c r="A3538" t="str">
        <f t="shared" si="385"/>
        <v/>
      </c>
      <c r="B3538" t="str">
        <f t="shared" si="386"/>
        <v/>
      </c>
      <c r="C3538" t="str">
        <f t="shared" si="387"/>
        <v/>
      </c>
      <c r="D3538" t="str">
        <f t="shared" si="388"/>
        <v/>
      </c>
      <c r="E3538" t="str">
        <f>IF(F3538="","",IF(COUNTIF($F$2:F3538,F3538)&gt;1,"",SUMIFS(tbl_input[필요수량],tbl_input[집계키_센터],F3538)))</f>
        <v/>
      </c>
      <c r="F3538" t="str">
        <f>IFERROR(INDEX(tbl_input[집계키_센터],ROW()-1),"")</f>
        <v/>
      </c>
      <c r="G3538" t="str">
        <f t="shared" si="389"/>
        <v/>
      </c>
      <c r="H3538" t="str">
        <f t="shared" si="390"/>
        <v/>
      </c>
      <c r="I3538" t="str">
        <f t="shared" si="391"/>
        <v/>
      </c>
    </row>
    <row r="3539" spans="1:9" x14ac:dyDescent="0.4">
      <c r="A3539" t="str">
        <f t="shared" si="385"/>
        <v/>
      </c>
      <c r="B3539" t="str">
        <f t="shared" si="386"/>
        <v/>
      </c>
      <c r="C3539" t="str">
        <f t="shared" si="387"/>
        <v/>
      </c>
      <c r="D3539" t="str">
        <f t="shared" si="388"/>
        <v/>
      </c>
      <c r="E3539" t="str">
        <f>IF(F3539="","",IF(COUNTIF($F$2:F3539,F3539)&gt;1,"",SUMIFS(tbl_input[필요수량],tbl_input[집계키_센터],F3539)))</f>
        <v/>
      </c>
      <c r="F3539" t="str">
        <f>IFERROR(INDEX(tbl_input[집계키_센터],ROW()-1),"")</f>
        <v/>
      </c>
      <c r="G3539" t="str">
        <f t="shared" si="389"/>
        <v/>
      </c>
      <c r="H3539" t="str">
        <f t="shared" si="390"/>
        <v/>
      </c>
      <c r="I3539" t="str">
        <f t="shared" si="391"/>
        <v/>
      </c>
    </row>
    <row r="3540" spans="1:9" x14ac:dyDescent="0.4">
      <c r="A3540" t="str">
        <f t="shared" si="385"/>
        <v/>
      </c>
      <c r="B3540" t="str">
        <f t="shared" si="386"/>
        <v/>
      </c>
      <c r="C3540" t="str">
        <f t="shared" si="387"/>
        <v/>
      </c>
      <c r="D3540" t="str">
        <f t="shared" si="388"/>
        <v/>
      </c>
      <c r="E3540" t="str">
        <f>IF(F3540="","",IF(COUNTIF($F$2:F3540,F3540)&gt;1,"",SUMIFS(tbl_input[필요수량],tbl_input[집계키_센터],F3540)))</f>
        <v/>
      </c>
      <c r="F3540" t="str">
        <f>IFERROR(INDEX(tbl_input[집계키_센터],ROW()-1),"")</f>
        <v/>
      </c>
      <c r="G3540" t="str">
        <f t="shared" si="389"/>
        <v/>
      </c>
      <c r="H3540" t="str">
        <f t="shared" si="390"/>
        <v/>
      </c>
      <c r="I3540" t="str">
        <f t="shared" si="391"/>
        <v/>
      </c>
    </row>
    <row r="3541" spans="1:9" x14ac:dyDescent="0.4">
      <c r="A3541" t="str">
        <f t="shared" si="385"/>
        <v/>
      </c>
      <c r="B3541" t="str">
        <f t="shared" si="386"/>
        <v/>
      </c>
      <c r="C3541" t="str">
        <f t="shared" si="387"/>
        <v/>
      </c>
      <c r="D3541" t="str">
        <f t="shared" si="388"/>
        <v/>
      </c>
      <c r="E3541" t="str">
        <f>IF(F3541="","",IF(COUNTIF($F$2:F3541,F3541)&gt;1,"",SUMIFS(tbl_input[필요수량],tbl_input[집계키_센터],F3541)))</f>
        <v/>
      </c>
      <c r="F3541" t="str">
        <f>IFERROR(INDEX(tbl_input[집계키_센터],ROW()-1),"")</f>
        <v/>
      </c>
      <c r="G3541" t="str">
        <f t="shared" si="389"/>
        <v/>
      </c>
      <c r="H3541" t="str">
        <f t="shared" si="390"/>
        <v/>
      </c>
      <c r="I3541" t="str">
        <f t="shared" si="391"/>
        <v/>
      </c>
    </row>
    <row r="3542" spans="1:9" x14ac:dyDescent="0.4">
      <c r="A3542" t="str">
        <f t="shared" si="385"/>
        <v/>
      </c>
      <c r="B3542" t="str">
        <f t="shared" si="386"/>
        <v/>
      </c>
      <c r="C3542" t="str">
        <f t="shared" si="387"/>
        <v/>
      </c>
      <c r="D3542" t="str">
        <f t="shared" si="388"/>
        <v/>
      </c>
      <c r="E3542" t="str">
        <f>IF(F3542="","",IF(COUNTIF($F$2:F3542,F3542)&gt;1,"",SUMIFS(tbl_input[필요수량],tbl_input[집계키_센터],F3542)))</f>
        <v/>
      </c>
      <c r="F3542" t="str">
        <f>IFERROR(INDEX(tbl_input[집계키_센터],ROW()-1),"")</f>
        <v/>
      </c>
      <c r="G3542" t="str">
        <f t="shared" si="389"/>
        <v/>
      </c>
      <c r="H3542" t="str">
        <f t="shared" si="390"/>
        <v/>
      </c>
      <c r="I3542" t="str">
        <f t="shared" si="391"/>
        <v/>
      </c>
    </row>
    <row r="3543" spans="1:9" x14ac:dyDescent="0.4">
      <c r="A3543" t="str">
        <f t="shared" si="385"/>
        <v/>
      </c>
      <c r="B3543" t="str">
        <f t="shared" si="386"/>
        <v/>
      </c>
      <c r="C3543" t="str">
        <f t="shared" si="387"/>
        <v/>
      </c>
      <c r="D3543" t="str">
        <f t="shared" si="388"/>
        <v/>
      </c>
      <c r="E3543" t="str">
        <f>IF(F3543="","",IF(COUNTIF($F$2:F3543,F3543)&gt;1,"",SUMIFS(tbl_input[필요수량],tbl_input[집계키_센터],F3543)))</f>
        <v/>
      </c>
      <c r="F3543" t="str">
        <f>IFERROR(INDEX(tbl_input[집계키_센터],ROW()-1),"")</f>
        <v/>
      </c>
      <c r="G3543" t="str">
        <f t="shared" si="389"/>
        <v/>
      </c>
      <c r="H3543" t="str">
        <f t="shared" si="390"/>
        <v/>
      </c>
      <c r="I3543" t="str">
        <f t="shared" si="391"/>
        <v/>
      </c>
    </row>
    <row r="3544" spans="1:9" x14ac:dyDescent="0.4">
      <c r="A3544" t="str">
        <f t="shared" si="385"/>
        <v/>
      </c>
      <c r="B3544" t="str">
        <f t="shared" si="386"/>
        <v/>
      </c>
      <c r="C3544" t="str">
        <f t="shared" si="387"/>
        <v/>
      </c>
      <c r="D3544" t="str">
        <f t="shared" si="388"/>
        <v/>
      </c>
      <c r="E3544" t="str">
        <f>IF(F3544="","",IF(COUNTIF($F$2:F3544,F3544)&gt;1,"",SUMIFS(tbl_input[필요수량],tbl_input[집계키_센터],F3544)))</f>
        <v/>
      </c>
      <c r="F3544" t="str">
        <f>IFERROR(INDEX(tbl_input[집계키_센터],ROW()-1),"")</f>
        <v/>
      </c>
      <c r="G3544" t="str">
        <f t="shared" si="389"/>
        <v/>
      </c>
      <c r="H3544" t="str">
        <f t="shared" si="390"/>
        <v/>
      </c>
      <c r="I3544" t="str">
        <f t="shared" si="391"/>
        <v/>
      </c>
    </row>
    <row r="3545" spans="1:9" x14ac:dyDescent="0.4">
      <c r="A3545" t="str">
        <f t="shared" si="385"/>
        <v/>
      </c>
      <c r="B3545" t="str">
        <f t="shared" si="386"/>
        <v/>
      </c>
      <c r="C3545" t="str">
        <f t="shared" si="387"/>
        <v/>
      </c>
      <c r="D3545" t="str">
        <f t="shared" si="388"/>
        <v/>
      </c>
      <c r="E3545" t="str">
        <f>IF(F3545="","",IF(COUNTIF($F$2:F3545,F3545)&gt;1,"",SUMIFS(tbl_input[필요수량],tbl_input[집계키_센터],F3545)))</f>
        <v/>
      </c>
      <c r="F3545" t="str">
        <f>IFERROR(INDEX(tbl_input[집계키_센터],ROW()-1),"")</f>
        <v/>
      </c>
      <c r="G3545" t="str">
        <f t="shared" si="389"/>
        <v/>
      </c>
      <c r="H3545" t="str">
        <f t="shared" si="390"/>
        <v/>
      </c>
      <c r="I3545" t="str">
        <f t="shared" si="391"/>
        <v/>
      </c>
    </row>
    <row r="3546" spans="1:9" x14ac:dyDescent="0.4">
      <c r="A3546" t="str">
        <f t="shared" si="385"/>
        <v/>
      </c>
      <c r="B3546" t="str">
        <f t="shared" si="386"/>
        <v/>
      </c>
      <c r="C3546" t="str">
        <f t="shared" si="387"/>
        <v/>
      </c>
      <c r="D3546" t="str">
        <f t="shared" si="388"/>
        <v/>
      </c>
      <c r="E3546" t="str">
        <f>IF(F3546="","",IF(COUNTIF($F$2:F3546,F3546)&gt;1,"",SUMIFS(tbl_input[필요수량],tbl_input[집계키_센터],F3546)))</f>
        <v/>
      </c>
      <c r="F3546" t="str">
        <f>IFERROR(INDEX(tbl_input[집계키_센터],ROW()-1),"")</f>
        <v/>
      </c>
      <c r="G3546" t="str">
        <f t="shared" si="389"/>
        <v/>
      </c>
      <c r="H3546" t="str">
        <f t="shared" si="390"/>
        <v/>
      </c>
      <c r="I3546" t="str">
        <f t="shared" si="391"/>
        <v/>
      </c>
    </row>
    <row r="3547" spans="1:9" x14ac:dyDescent="0.4">
      <c r="A3547" t="str">
        <f t="shared" si="385"/>
        <v/>
      </c>
      <c r="B3547" t="str">
        <f t="shared" si="386"/>
        <v/>
      </c>
      <c r="C3547" t="str">
        <f t="shared" si="387"/>
        <v/>
      </c>
      <c r="D3547" t="str">
        <f t="shared" si="388"/>
        <v/>
      </c>
      <c r="E3547" t="str">
        <f>IF(F3547="","",IF(COUNTIF($F$2:F3547,F3547)&gt;1,"",SUMIFS(tbl_input[필요수량],tbl_input[집계키_센터],F3547)))</f>
        <v/>
      </c>
      <c r="F3547" t="str">
        <f>IFERROR(INDEX(tbl_input[집계키_센터],ROW()-1),"")</f>
        <v/>
      </c>
      <c r="G3547" t="str">
        <f t="shared" si="389"/>
        <v/>
      </c>
      <c r="H3547" t="str">
        <f t="shared" si="390"/>
        <v/>
      </c>
      <c r="I3547" t="str">
        <f t="shared" si="391"/>
        <v/>
      </c>
    </row>
    <row r="3548" spans="1:9" x14ac:dyDescent="0.4">
      <c r="A3548" t="str">
        <f t="shared" si="385"/>
        <v/>
      </c>
      <c r="B3548" t="str">
        <f t="shared" si="386"/>
        <v/>
      </c>
      <c r="C3548" t="str">
        <f t="shared" si="387"/>
        <v/>
      </c>
      <c r="D3548" t="str">
        <f t="shared" si="388"/>
        <v/>
      </c>
      <c r="E3548" t="str">
        <f>IF(F3548="","",IF(COUNTIF($F$2:F3548,F3548)&gt;1,"",SUMIFS(tbl_input[필요수량],tbl_input[집계키_센터],F3548)))</f>
        <v/>
      </c>
      <c r="F3548" t="str">
        <f>IFERROR(INDEX(tbl_input[집계키_센터],ROW()-1),"")</f>
        <v/>
      </c>
      <c r="G3548" t="str">
        <f t="shared" si="389"/>
        <v/>
      </c>
      <c r="H3548" t="str">
        <f t="shared" si="390"/>
        <v/>
      </c>
      <c r="I3548" t="str">
        <f t="shared" si="391"/>
        <v/>
      </c>
    </row>
    <row r="3549" spans="1:9" x14ac:dyDescent="0.4">
      <c r="A3549" t="str">
        <f t="shared" si="385"/>
        <v/>
      </c>
      <c r="B3549" t="str">
        <f t="shared" si="386"/>
        <v/>
      </c>
      <c r="C3549" t="str">
        <f t="shared" si="387"/>
        <v/>
      </c>
      <c r="D3549" t="str">
        <f t="shared" si="388"/>
        <v/>
      </c>
      <c r="E3549" t="str">
        <f>IF(F3549="","",IF(COUNTIF($F$2:F3549,F3549)&gt;1,"",SUMIFS(tbl_input[필요수량],tbl_input[집계키_센터],F3549)))</f>
        <v/>
      </c>
      <c r="F3549" t="str">
        <f>IFERROR(INDEX(tbl_input[집계키_센터],ROW()-1),"")</f>
        <v/>
      </c>
      <c r="G3549" t="str">
        <f t="shared" si="389"/>
        <v/>
      </c>
      <c r="H3549" t="str">
        <f t="shared" si="390"/>
        <v/>
      </c>
      <c r="I3549" t="str">
        <f t="shared" si="391"/>
        <v/>
      </c>
    </row>
    <row r="3550" spans="1:9" x14ac:dyDescent="0.4">
      <c r="A3550" t="str">
        <f t="shared" si="385"/>
        <v/>
      </c>
      <c r="B3550" t="str">
        <f t="shared" si="386"/>
        <v/>
      </c>
      <c r="C3550" t="str">
        <f t="shared" si="387"/>
        <v/>
      </c>
      <c r="D3550" t="str">
        <f t="shared" si="388"/>
        <v/>
      </c>
      <c r="E3550" t="str">
        <f>IF(F3550="","",IF(COUNTIF($F$2:F3550,F3550)&gt;1,"",SUMIFS(tbl_input[필요수량],tbl_input[집계키_센터],F3550)))</f>
        <v/>
      </c>
      <c r="F3550" t="str">
        <f>IFERROR(INDEX(tbl_input[집계키_센터],ROW()-1),"")</f>
        <v/>
      </c>
      <c r="G3550" t="str">
        <f t="shared" si="389"/>
        <v/>
      </c>
      <c r="H3550" t="str">
        <f t="shared" si="390"/>
        <v/>
      </c>
      <c r="I3550" t="str">
        <f t="shared" si="391"/>
        <v/>
      </c>
    </row>
    <row r="3551" spans="1:9" x14ac:dyDescent="0.4">
      <c r="A3551" t="str">
        <f t="shared" si="385"/>
        <v/>
      </c>
      <c r="B3551" t="str">
        <f t="shared" si="386"/>
        <v/>
      </c>
      <c r="C3551" t="str">
        <f t="shared" si="387"/>
        <v/>
      </c>
      <c r="D3551" t="str">
        <f t="shared" si="388"/>
        <v/>
      </c>
      <c r="E3551" t="str">
        <f>IF(F3551="","",IF(COUNTIF($F$2:F3551,F3551)&gt;1,"",SUMIFS(tbl_input[필요수량],tbl_input[집계키_센터],F3551)))</f>
        <v/>
      </c>
      <c r="F3551" t="str">
        <f>IFERROR(INDEX(tbl_input[집계키_센터],ROW()-1),"")</f>
        <v/>
      </c>
      <c r="G3551" t="str">
        <f t="shared" si="389"/>
        <v/>
      </c>
      <c r="H3551" t="str">
        <f t="shared" si="390"/>
        <v/>
      </c>
      <c r="I3551" t="str">
        <f t="shared" si="391"/>
        <v/>
      </c>
    </row>
    <row r="3552" spans="1:9" x14ac:dyDescent="0.4">
      <c r="A3552" t="str">
        <f t="shared" si="385"/>
        <v/>
      </c>
      <c r="B3552" t="str">
        <f t="shared" si="386"/>
        <v/>
      </c>
      <c r="C3552" t="str">
        <f t="shared" si="387"/>
        <v/>
      </c>
      <c r="D3552" t="str">
        <f t="shared" si="388"/>
        <v/>
      </c>
      <c r="E3552" t="str">
        <f>IF(F3552="","",IF(COUNTIF($F$2:F3552,F3552)&gt;1,"",SUMIFS(tbl_input[필요수량],tbl_input[집계키_센터],F3552)))</f>
        <v/>
      </c>
      <c r="F3552" t="str">
        <f>IFERROR(INDEX(tbl_input[집계키_센터],ROW()-1),"")</f>
        <v/>
      </c>
      <c r="G3552" t="str">
        <f t="shared" si="389"/>
        <v/>
      </c>
      <c r="H3552" t="str">
        <f t="shared" si="390"/>
        <v/>
      </c>
      <c r="I3552" t="str">
        <f t="shared" si="391"/>
        <v/>
      </c>
    </row>
    <row r="3553" spans="1:9" x14ac:dyDescent="0.4">
      <c r="A3553" t="str">
        <f t="shared" si="385"/>
        <v/>
      </c>
      <c r="B3553" t="str">
        <f t="shared" si="386"/>
        <v/>
      </c>
      <c r="C3553" t="str">
        <f t="shared" si="387"/>
        <v/>
      </c>
      <c r="D3553" t="str">
        <f t="shared" si="388"/>
        <v/>
      </c>
      <c r="E3553" t="str">
        <f>IF(F3553="","",IF(COUNTIF($F$2:F3553,F3553)&gt;1,"",SUMIFS(tbl_input[필요수량],tbl_input[집계키_센터],F3553)))</f>
        <v/>
      </c>
      <c r="F3553" t="str">
        <f>IFERROR(INDEX(tbl_input[집계키_센터],ROW()-1),"")</f>
        <v/>
      </c>
      <c r="G3553" t="str">
        <f t="shared" si="389"/>
        <v/>
      </c>
      <c r="H3553" t="str">
        <f t="shared" si="390"/>
        <v/>
      </c>
      <c r="I3553" t="str">
        <f t="shared" si="391"/>
        <v/>
      </c>
    </row>
    <row r="3554" spans="1:9" x14ac:dyDescent="0.4">
      <c r="A3554" t="str">
        <f t="shared" si="385"/>
        <v/>
      </c>
      <c r="B3554" t="str">
        <f t="shared" si="386"/>
        <v/>
      </c>
      <c r="C3554" t="str">
        <f t="shared" si="387"/>
        <v/>
      </c>
      <c r="D3554" t="str">
        <f t="shared" si="388"/>
        <v/>
      </c>
      <c r="E3554" t="str">
        <f>IF(F3554="","",IF(COUNTIF($F$2:F3554,F3554)&gt;1,"",SUMIFS(tbl_input[필요수량],tbl_input[집계키_센터],F3554)))</f>
        <v/>
      </c>
      <c r="F3554" t="str">
        <f>IFERROR(INDEX(tbl_input[집계키_센터],ROW()-1),"")</f>
        <v/>
      </c>
      <c r="G3554" t="str">
        <f t="shared" si="389"/>
        <v/>
      </c>
      <c r="H3554" t="str">
        <f t="shared" si="390"/>
        <v/>
      </c>
      <c r="I3554" t="str">
        <f t="shared" si="391"/>
        <v/>
      </c>
    </row>
    <row r="3555" spans="1:9" x14ac:dyDescent="0.4">
      <c r="A3555" t="str">
        <f t="shared" si="385"/>
        <v/>
      </c>
      <c r="B3555" t="str">
        <f t="shared" si="386"/>
        <v/>
      </c>
      <c r="C3555" t="str">
        <f t="shared" si="387"/>
        <v/>
      </c>
      <c r="D3555" t="str">
        <f t="shared" si="388"/>
        <v/>
      </c>
      <c r="E3555" t="str">
        <f>IF(F3555="","",IF(COUNTIF($F$2:F3555,F3555)&gt;1,"",SUMIFS(tbl_input[필요수량],tbl_input[집계키_센터],F3555)))</f>
        <v/>
      </c>
      <c r="F3555" t="str">
        <f>IFERROR(INDEX(tbl_input[집계키_센터],ROW()-1),"")</f>
        <v/>
      </c>
      <c r="G3555" t="str">
        <f t="shared" si="389"/>
        <v/>
      </c>
      <c r="H3555" t="str">
        <f t="shared" si="390"/>
        <v/>
      </c>
      <c r="I3555" t="str">
        <f t="shared" si="391"/>
        <v/>
      </c>
    </row>
    <row r="3556" spans="1:9" x14ac:dyDescent="0.4">
      <c r="A3556" t="str">
        <f t="shared" si="385"/>
        <v/>
      </c>
      <c r="B3556" t="str">
        <f t="shared" si="386"/>
        <v/>
      </c>
      <c r="C3556" t="str">
        <f t="shared" si="387"/>
        <v/>
      </c>
      <c r="D3556" t="str">
        <f t="shared" si="388"/>
        <v/>
      </c>
      <c r="E3556" t="str">
        <f>IF(F3556="","",IF(COUNTIF($F$2:F3556,F3556)&gt;1,"",SUMIFS(tbl_input[필요수량],tbl_input[집계키_센터],F3556)))</f>
        <v/>
      </c>
      <c r="F3556" t="str">
        <f>IFERROR(INDEX(tbl_input[집계키_센터],ROW()-1),"")</f>
        <v/>
      </c>
      <c r="G3556" t="str">
        <f t="shared" si="389"/>
        <v/>
      </c>
      <c r="H3556" t="str">
        <f t="shared" si="390"/>
        <v/>
      </c>
      <c r="I3556" t="str">
        <f t="shared" si="391"/>
        <v/>
      </c>
    </row>
    <row r="3557" spans="1:9" x14ac:dyDescent="0.4">
      <c r="A3557" t="str">
        <f t="shared" si="385"/>
        <v/>
      </c>
      <c r="B3557" t="str">
        <f t="shared" si="386"/>
        <v/>
      </c>
      <c r="C3557" t="str">
        <f t="shared" si="387"/>
        <v/>
      </c>
      <c r="D3557" t="str">
        <f t="shared" si="388"/>
        <v/>
      </c>
      <c r="E3557" t="str">
        <f>IF(F3557="","",IF(COUNTIF($F$2:F3557,F3557)&gt;1,"",SUMIFS(tbl_input[필요수량],tbl_input[집계키_센터],F3557)))</f>
        <v/>
      </c>
      <c r="F3557" t="str">
        <f>IFERROR(INDEX(tbl_input[집계키_센터],ROW()-1),"")</f>
        <v/>
      </c>
      <c r="G3557" t="str">
        <f t="shared" si="389"/>
        <v/>
      </c>
      <c r="H3557" t="str">
        <f t="shared" si="390"/>
        <v/>
      </c>
      <c r="I3557" t="str">
        <f t="shared" si="391"/>
        <v/>
      </c>
    </row>
    <row r="3558" spans="1:9" x14ac:dyDescent="0.4">
      <c r="A3558" t="str">
        <f t="shared" si="385"/>
        <v/>
      </c>
      <c r="B3558" t="str">
        <f t="shared" si="386"/>
        <v/>
      </c>
      <c r="C3558" t="str">
        <f t="shared" si="387"/>
        <v/>
      </c>
      <c r="D3558" t="str">
        <f t="shared" si="388"/>
        <v/>
      </c>
      <c r="E3558" t="str">
        <f>IF(F3558="","",IF(COUNTIF($F$2:F3558,F3558)&gt;1,"",SUMIFS(tbl_input[필요수량],tbl_input[집계키_센터],F3558)))</f>
        <v/>
      </c>
      <c r="F3558" t="str">
        <f>IFERROR(INDEX(tbl_input[집계키_센터],ROW()-1),"")</f>
        <v/>
      </c>
      <c r="G3558" t="str">
        <f t="shared" si="389"/>
        <v/>
      </c>
      <c r="H3558" t="str">
        <f t="shared" si="390"/>
        <v/>
      </c>
      <c r="I3558" t="str">
        <f t="shared" si="391"/>
        <v/>
      </c>
    </row>
    <row r="3559" spans="1:9" x14ac:dyDescent="0.4">
      <c r="A3559" t="str">
        <f t="shared" si="385"/>
        <v/>
      </c>
      <c r="B3559" t="str">
        <f t="shared" si="386"/>
        <v/>
      </c>
      <c r="C3559" t="str">
        <f t="shared" si="387"/>
        <v/>
      </c>
      <c r="D3559" t="str">
        <f t="shared" si="388"/>
        <v/>
      </c>
      <c r="E3559" t="str">
        <f>IF(F3559="","",IF(COUNTIF($F$2:F3559,F3559)&gt;1,"",SUMIFS(tbl_input[필요수량],tbl_input[집계키_센터],F3559)))</f>
        <v/>
      </c>
      <c r="F3559" t="str">
        <f>IFERROR(INDEX(tbl_input[집계키_센터],ROW()-1),"")</f>
        <v/>
      </c>
      <c r="G3559" t="str">
        <f t="shared" si="389"/>
        <v/>
      </c>
      <c r="H3559" t="str">
        <f t="shared" si="390"/>
        <v/>
      </c>
      <c r="I3559" t="str">
        <f t="shared" si="391"/>
        <v/>
      </c>
    </row>
    <row r="3560" spans="1:9" x14ac:dyDescent="0.4">
      <c r="A3560" t="str">
        <f t="shared" si="385"/>
        <v/>
      </c>
      <c r="B3560" t="str">
        <f t="shared" si="386"/>
        <v/>
      </c>
      <c r="C3560" t="str">
        <f t="shared" si="387"/>
        <v/>
      </c>
      <c r="D3560" t="str">
        <f t="shared" si="388"/>
        <v/>
      </c>
      <c r="E3560" t="str">
        <f>IF(F3560="","",IF(COUNTIF($F$2:F3560,F3560)&gt;1,"",SUMIFS(tbl_input[필요수량],tbl_input[집계키_센터],F3560)))</f>
        <v/>
      </c>
      <c r="F3560" t="str">
        <f>IFERROR(INDEX(tbl_input[집계키_센터],ROW()-1),"")</f>
        <v/>
      </c>
      <c r="G3560" t="str">
        <f t="shared" si="389"/>
        <v/>
      </c>
      <c r="H3560" t="str">
        <f t="shared" si="390"/>
        <v/>
      </c>
      <c r="I3560" t="str">
        <f t="shared" si="391"/>
        <v/>
      </c>
    </row>
    <row r="3561" spans="1:9" x14ac:dyDescent="0.4">
      <c r="A3561" t="str">
        <f t="shared" si="385"/>
        <v/>
      </c>
      <c r="B3561" t="str">
        <f t="shared" si="386"/>
        <v/>
      </c>
      <c r="C3561" t="str">
        <f t="shared" si="387"/>
        <v/>
      </c>
      <c r="D3561" t="str">
        <f t="shared" si="388"/>
        <v/>
      </c>
      <c r="E3561" t="str">
        <f>IF(F3561="","",IF(COUNTIF($F$2:F3561,F3561)&gt;1,"",SUMIFS(tbl_input[필요수량],tbl_input[집계키_센터],F3561)))</f>
        <v/>
      </c>
      <c r="F3561" t="str">
        <f>IFERROR(INDEX(tbl_input[집계키_센터],ROW()-1),"")</f>
        <v/>
      </c>
      <c r="G3561" t="str">
        <f t="shared" si="389"/>
        <v/>
      </c>
      <c r="H3561" t="str">
        <f t="shared" si="390"/>
        <v/>
      </c>
      <c r="I3561" t="str">
        <f t="shared" si="391"/>
        <v/>
      </c>
    </row>
    <row r="3562" spans="1:9" x14ac:dyDescent="0.4">
      <c r="A3562" t="str">
        <f t="shared" si="385"/>
        <v/>
      </c>
      <c r="B3562" t="str">
        <f t="shared" si="386"/>
        <v/>
      </c>
      <c r="C3562" t="str">
        <f t="shared" si="387"/>
        <v/>
      </c>
      <c r="D3562" t="str">
        <f t="shared" si="388"/>
        <v/>
      </c>
      <c r="E3562" t="str">
        <f>IF(F3562="","",IF(COUNTIF($F$2:F3562,F3562)&gt;1,"",SUMIFS(tbl_input[필요수량],tbl_input[집계키_센터],F3562)))</f>
        <v/>
      </c>
      <c r="F3562" t="str">
        <f>IFERROR(INDEX(tbl_input[집계키_센터],ROW()-1),"")</f>
        <v/>
      </c>
      <c r="G3562" t="str">
        <f t="shared" si="389"/>
        <v/>
      </c>
      <c r="H3562" t="str">
        <f t="shared" si="390"/>
        <v/>
      </c>
      <c r="I3562" t="str">
        <f t="shared" si="391"/>
        <v/>
      </c>
    </row>
    <row r="3563" spans="1:9" x14ac:dyDescent="0.4">
      <c r="A3563" t="str">
        <f t="shared" si="385"/>
        <v/>
      </c>
      <c r="B3563" t="str">
        <f t="shared" si="386"/>
        <v/>
      </c>
      <c r="C3563" t="str">
        <f t="shared" si="387"/>
        <v/>
      </c>
      <c r="D3563" t="str">
        <f t="shared" si="388"/>
        <v/>
      </c>
      <c r="E3563" t="str">
        <f>IF(F3563="","",IF(COUNTIF($F$2:F3563,F3563)&gt;1,"",SUMIFS(tbl_input[필요수량],tbl_input[집계키_센터],F3563)))</f>
        <v/>
      </c>
      <c r="F3563" t="str">
        <f>IFERROR(INDEX(tbl_input[집계키_센터],ROW()-1),"")</f>
        <v/>
      </c>
      <c r="G3563" t="str">
        <f t="shared" si="389"/>
        <v/>
      </c>
      <c r="H3563" t="str">
        <f t="shared" si="390"/>
        <v/>
      </c>
      <c r="I3563" t="str">
        <f t="shared" si="391"/>
        <v/>
      </c>
    </row>
    <row r="3564" spans="1:9" x14ac:dyDescent="0.4">
      <c r="A3564" t="str">
        <f t="shared" si="385"/>
        <v/>
      </c>
      <c r="B3564" t="str">
        <f t="shared" si="386"/>
        <v/>
      </c>
      <c r="C3564" t="str">
        <f t="shared" si="387"/>
        <v/>
      </c>
      <c r="D3564" t="str">
        <f t="shared" si="388"/>
        <v/>
      </c>
      <c r="E3564" t="str">
        <f>IF(F3564="","",IF(COUNTIF($F$2:F3564,F3564)&gt;1,"",SUMIFS(tbl_input[필요수량],tbl_input[집계키_센터],F3564)))</f>
        <v/>
      </c>
      <c r="F3564" t="str">
        <f>IFERROR(INDEX(tbl_input[집계키_센터],ROW()-1),"")</f>
        <v/>
      </c>
      <c r="G3564" t="str">
        <f t="shared" si="389"/>
        <v/>
      </c>
      <c r="H3564" t="str">
        <f t="shared" si="390"/>
        <v/>
      </c>
      <c r="I3564" t="str">
        <f t="shared" si="391"/>
        <v/>
      </c>
    </row>
    <row r="3565" spans="1:9" x14ac:dyDescent="0.4">
      <c r="A3565" t="str">
        <f t="shared" si="385"/>
        <v/>
      </c>
      <c r="B3565" t="str">
        <f t="shared" si="386"/>
        <v/>
      </c>
      <c r="C3565" t="str">
        <f t="shared" si="387"/>
        <v/>
      </c>
      <c r="D3565" t="str">
        <f t="shared" si="388"/>
        <v/>
      </c>
      <c r="E3565" t="str">
        <f>IF(F3565="","",IF(COUNTIF($F$2:F3565,F3565)&gt;1,"",SUMIFS(tbl_input[필요수량],tbl_input[집계키_센터],F3565)))</f>
        <v/>
      </c>
      <c r="F3565" t="str">
        <f>IFERROR(INDEX(tbl_input[집계키_센터],ROW()-1),"")</f>
        <v/>
      </c>
      <c r="G3565" t="str">
        <f t="shared" si="389"/>
        <v/>
      </c>
      <c r="H3565" t="str">
        <f t="shared" si="390"/>
        <v/>
      </c>
      <c r="I3565" t="str">
        <f t="shared" si="391"/>
        <v/>
      </c>
    </row>
    <row r="3566" spans="1:9" x14ac:dyDescent="0.4">
      <c r="A3566" t="str">
        <f t="shared" si="385"/>
        <v/>
      </c>
      <c r="B3566" t="str">
        <f t="shared" si="386"/>
        <v/>
      </c>
      <c r="C3566" t="str">
        <f t="shared" si="387"/>
        <v/>
      </c>
      <c r="D3566" t="str">
        <f t="shared" si="388"/>
        <v/>
      </c>
      <c r="E3566" t="str">
        <f>IF(F3566="","",IF(COUNTIF($F$2:F3566,F3566)&gt;1,"",SUMIFS(tbl_input[필요수량],tbl_input[집계키_센터],F3566)))</f>
        <v/>
      </c>
      <c r="F3566" t="str">
        <f>IFERROR(INDEX(tbl_input[집계키_센터],ROW()-1),"")</f>
        <v/>
      </c>
      <c r="G3566" t="str">
        <f t="shared" si="389"/>
        <v/>
      </c>
      <c r="H3566" t="str">
        <f t="shared" si="390"/>
        <v/>
      </c>
      <c r="I3566" t="str">
        <f t="shared" si="391"/>
        <v/>
      </c>
    </row>
    <row r="3567" spans="1:9" x14ac:dyDescent="0.4">
      <c r="A3567" t="str">
        <f t="shared" si="385"/>
        <v/>
      </c>
      <c r="B3567" t="str">
        <f t="shared" si="386"/>
        <v/>
      </c>
      <c r="C3567" t="str">
        <f t="shared" si="387"/>
        <v/>
      </c>
      <c r="D3567" t="str">
        <f t="shared" si="388"/>
        <v/>
      </c>
      <c r="E3567" t="str">
        <f>IF(F3567="","",IF(COUNTIF($F$2:F3567,F3567)&gt;1,"",SUMIFS(tbl_input[필요수량],tbl_input[집계키_센터],F3567)))</f>
        <v/>
      </c>
      <c r="F3567" t="str">
        <f>IFERROR(INDEX(tbl_input[집계키_센터],ROW()-1),"")</f>
        <v/>
      </c>
      <c r="G3567" t="str">
        <f t="shared" si="389"/>
        <v/>
      </c>
      <c r="H3567" t="str">
        <f t="shared" si="390"/>
        <v/>
      </c>
      <c r="I3567" t="str">
        <f t="shared" si="391"/>
        <v/>
      </c>
    </row>
    <row r="3568" spans="1:9" x14ac:dyDescent="0.4">
      <c r="A3568" t="str">
        <f t="shared" si="385"/>
        <v/>
      </c>
      <c r="B3568" t="str">
        <f t="shared" si="386"/>
        <v/>
      </c>
      <c r="C3568" t="str">
        <f t="shared" si="387"/>
        <v/>
      </c>
      <c r="D3568" t="str">
        <f t="shared" si="388"/>
        <v/>
      </c>
      <c r="E3568" t="str">
        <f>IF(F3568="","",IF(COUNTIF($F$2:F3568,F3568)&gt;1,"",SUMIFS(tbl_input[필요수량],tbl_input[집계키_센터],F3568)))</f>
        <v/>
      </c>
      <c r="F3568" t="str">
        <f>IFERROR(INDEX(tbl_input[집계키_센터],ROW()-1),"")</f>
        <v/>
      </c>
      <c r="G3568" t="str">
        <f t="shared" si="389"/>
        <v/>
      </c>
      <c r="H3568" t="str">
        <f t="shared" si="390"/>
        <v/>
      </c>
      <c r="I3568" t="str">
        <f t="shared" si="391"/>
        <v/>
      </c>
    </row>
    <row r="3569" spans="1:9" x14ac:dyDescent="0.4">
      <c r="A3569" t="str">
        <f t="shared" si="385"/>
        <v/>
      </c>
      <c r="B3569" t="str">
        <f t="shared" si="386"/>
        <v/>
      </c>
      <c r="C3569" t="str">
        <f t="shared" si="387"/>
        <v/>
      </c>
      <c r="D3569" t="str">
        <f t="shared" si="388"/>
        <v/>
      </c>
      <c r="E3569" t="str">
        <f>IF(F3569="","",IF(COUNTIF($F$2:F3569,F3569)&gt;1,"",SUMIFS(tbl_input[필요수량],tbl_input[집계키_센터],F3569)))</f>
        <v/>
      </c>
      <c r="F3569" t="str">
        <f>IFERROR(INDEX(tbl_input[집계키_센터],ROW()-1),"")</f>
        <v/>
      </c>
      <c r="G3569" t="str">
        <f t="shared" si="389"/>
        <v/>
      </c>
      <c r="H3569" t="str">
        <f t="shared" si="390"/>
        <v/>
      </c>
      <c r="I3569" t="str">
        <f t="shared" si="391"/>
        <v/>
      </c>
    </row>
    <row r="3570" spans="1:9" x14ac:dyDescent="0.4">
      <c r="A3570" t="str">
        <f t="shared" si="385"/>
        <v/>
      </c>
      <c r="B3570" t="str">
        <f t="shared" si="386"/>
        <v/>
      </c>
      <c r="C3570" t="str">
        <f t="shared" si="387"/>
        <v/>
      </c>
      <c r="D3570" t="str">
        <f t="shared" si="388"/>
        <v/>
      </c>
      <c r="E3570" t="str">
        <f>IF(F3570="","",IF(COUNTIF($F$2:F3570,F3570)&gt;1,"",SUMIFS(tbl_input[필요수량],tbl_input[집계키_센터],F3570)))</f>
        <v/>
      </c>
      <c r="F3570" t="str">
        <f>IFERROR(INDEX(tbl_input[집계키_센터],ROW()-1),"")</f>
        <v/>
      </c>
      <c r="G3570" t="str">
        <f t="shared" si="389"/>
        <v/>
      </c>
      <c r="H3570" t="str">
        <f t="shared" si="390"/>
        <v/>
      </c>
      <c r="I3570" t="str">
        <f t="shared" si="391"/>
        <v/>
      </c>
    </row>
    <row r="3571" spans="1:9" x14ac:dyDescent="0.4">
      <c r="A3571" t="str">
        <f t="shared" si="385"/>
        <v/>
      </c>
      <c r="B3571" t="str">
        <f t="shared" si="386"/>
        <v/>
      </c>
      <c r="C3571" t="str">
        <f t="shared" si="387"/>
        <v/>
      </c>
      <c r="D3571" t="str">
        <f t="shared" si="388"/>
        <v/>
      </c>
      <c r="E3571" t="str">
        <f>IF(F3571="","",IF(COUNTIF($F$2:F3571,F3571)&gt;1,"",SUMIFS(tbl_input[필요수량],tbl_input[집계키_센터],F3571)))</f>
        <v/>
      </c>
      <c r="F3571" t="str">
        <f>IFERROR(INDEX(tbl_input[집계키_센터],ROW()-1),"")</f>
        <v/>
      </c>
      <c r="G3571" t="str">
        <f t="shared" si="389"/>
        <v/>
      </c>
      <c r="H3571" t="str">
        <f t="shared" si="390"/>
        <v/>
      </c>
      <c r="I3571" t="str">
        <f t="shared" si="391"/>
        <v/>
      </c>
    </row>
    <row r="3572" spans="1:9" x14ac:dyDescent="0.4">
      <c r="A3572" t="str">
        <f t="shared" si="385"/>
        <v/>
      </c>
      <c r="B3572" t="str">
        <f t="shared" si="386"/>
        <v/>
      </c>
      <c r="C3572" t="str">
        <f t="shared" si="387"/>
        <v/>
      </c>
      <c r="D3572" t="str">
        <f t="shared" si="388"/>
        <v/>
      </c>
      <c r="E3572" t="str">
        <f>IF(F3572="","",IF(COUNTIF($F$2:F3572,F3572)&gt;1,"",SUMIFS(tbl_input[필요수량],tbl_input[집계키_센터],F3572)))</f>
        <v/>
      </c>
      <c r="F3572" t="str">
        <f>IFERROR(INDEX(tbl_input[집계키_센터],ROW()-1),"")</f>
        <v/>
      </c>
      <c r="G3572" t="str">
        <f t="shared" si="389"/>
        <v/>
      </c>
      <c r="H3572" t="str">
        <f t="shared" si="390"/>
        <v/>
      </c>
      <c r="I3572" t="str">
        <f t="shared" si="391"/>
        <v/>
      </c>
    </row>
    <row r="3573" spans="1:9" x14ac:dyDescent="0.4">
      <c r="A3573" t="str">
        <f t="shared" si="385"/>
        <v/>
      </c>
      <c r="B3573" t="str">
        <f t="shared" si="386"/>
        <v/>
      </c>
      <c r="C3573" t="str">
        <f t="shared" si="387"/>
        <v/>
      </c>
      <c r="D3573" t="str">
        <f t="shared" si="388"/>
        <v/>
      </c>
      <c r="E3573" t="str">
        <f>IF(F3573="","",IF(COUNTIF($F$2:F3573,F3573)&gt;1,"",SUMIFS(tbl_input[필요수량],tbl_input[집계키_센터],F3573)))</f>
        <v/>
      </c>
      <c r="F3573" t="str">
        <f>IFERROR(INDEX(tbl_input[집계키_센터],ROW()-1),"")</f>
        <v/>
      </c>
      <c r="G3573" t="str">
        <f t="shared" si="389"/>
        <v/>
      </c>
      <c r="H3573" t="str">
        <f t="shared" si="390"/>
        <v/>
      </c>
      <c r="I3573" t="str">
        <f t="shared" si="391"/>
        <v/>
      </c>
    </row>
    <row r="3574" spans="1:9" x14ac:dyDescent="0.4">
      <c r="A3574" t="str">
        <f t="shared" si="385"/>
        <v/>
      </c>
      <c r="B3574" t="str">
        <f t="shared" si="386"/>
        <v/>
      </c>
      <c r="C3574" t="str">
        <f t="shared" si="387"/>
        <v/>
      </c>
      <c r="D3574" t="str">
        <f t="shared" si="388"/>
        <v/>
      </c>
      <c r="E3574" t="str">
        <f>IF(F3574="","",IF(COUNTIF($F$2:F3574,F3574)&gt;1,"",SUMIFS(tbl_input[필요수량],tbl_input[집계키_센터],F3574)))</f>
        <v/>
      </c>
      <c r="F3574" t="str">
        <f>IFERROR(INDEX(tbl_input[집계키_센터],ROW()-1),"")</f>
        <v/>
      </c>
      <c r="G3574" t="str">
        <f t="shared" si="389"/>
        <v/>
      </c>
      <c r="H3574" t="str">
        <f t="shared" si="390"/>
        <v/>
      </c>
      <c r="I3574" t="str">
        <f t="shared" si="391"/>
        <v/>
      </c>
    </row>
    <row r="3575" spans="1:9" x14ac:dyDescent="0.4">
      <c r="A3575" t="str">
        <f t="shared" si="385"/>
        <v/>
      </c>
      <c r="B3575" t="str">
        <f t="shared" si="386"/>
        <v/>
      </c>
      <c r="C3575" t="str">
        <f t="shared" si="387"/>
        <v/>
      </c>
      <c r="D3575" t="str">
        <f t="shared" si="388"/>
        <v/>
      </c>
      <c r="E3575" t="str">
        <f>IF(F3575="","",IF(COUNTIF($F$2:F3575,F3575)&gt;1,"",SUMIFS(tbl_input[필요수량],tbl_input[집계키_센터],F3575)))</f>
        <v/>
      </c>
      <c r="F3575" t="str">
        <f>IFERROR(INDEX(tbl_input[집계키_센터],ROW()-1),"")</f>
        <v/>
      </c>
      <c r="G3575" t="str">
        <f t="shared" si="389"/>
        <v/>
      </c>
      <c r="H3575" t="str">
        <f t="shared" si="390"/>
        <v/>
      </c>
      <c r="I3575" t="str">
        <f t="shared" si="391"/>
        <v/>
      </c>
    </row>
    <row r="3576" spans="1:9" x14ac:dyDescent="0.4">
      <c r="A3576" t="str">
        <f t="shared" si="385"/>
        <v/>
      </c>
      <c r="B3576" t="str">
        <f t="shared" si="386"/>
        <v/>
      </c>
      <c r="C3576" t="str">
        <f t="shared" si="387"/>
        <v/>
      </c>
      <c r="D3576" t="str">
        <f t="shared" si="388"/>
        <v/>
      </c>
      <c r="E3576" t="str">
        <f>IF(F3576="","",IF(COUNTIF($F$2:F3576,F3576)&gt;1,"",SUMIFS(tbl_input[필요수량],tbl_input[집계키_센터],F3576)))</f>
        <v/>
      </c>
      <c r="F3576" t="str">
        <f>IFERROR(INDEX(tbl_input[집계키_센터],ROW()-1),"")</f>
        <v/>
      </c>
      <c r="G3576" t="str">
        <f t="shared" si="389"/>
        <v/>
      </c>
      <c r="H3576" t="str">
        <f t="shared" si="390"/>
        <v/>
      </c>
      <c r="I3576" t="str">
        <f t="shared" si="391"/>
        <v/>
      </c>
    </row>
    <row r="3577" spans="1:9" x14ac:dyDescent="0.4">
      <c r="A3577" t="str">
        <f t="shared" si="385"/>
        <v/>
      </c>
      <c r="B3577" t="str">
        <f t="shared" si="386"/>
        <v/>
      </c>
      <c r="C3577" t="str">
        <f t="shared" si="387"/>
        <v/>
      </c>
      <c r="D3577" t="str">
        <f t="shared" si="388"/>
        <v/>
      </c>
      <c r="E3577" t="str">
        <f>IF(F3577="","",IF(COUNTIF($F$2:F3577,F3577)&gt;1,"",SUMIFS(tbl_input[필요수량],tbl_input[집계키_센터],F3577)))</f>
        <v/>
      </c>
      <c r="F3577" t="str">
        <f>IFERROR(INDEX(tbl_input[집계키_센터],ROW()-1),"")</f>
        <v/>
      </c>
      <c r="G3577" t="str">
        <f t="shared" si="389"/>
        <v/>
      </c>
      <c r="H3577" t="str">
        <f t="shared" si="390"/>
        <v/>
      </c>
      <c r="I3577" t="str">
        <f t="shared" si="391"/>
        <v/>
      </c>
    </row>
    <row r="3578" spans="1:9" x14ac:dyDescent="0.4">
      <c r="A3578" t="str">
        <f t="shared" si="385"/>
        <v/>
      </c>
      <c r="B3578" t="str">
        <f t="shared" si="386"/>
        <v/>
      </c>
      <c r="C3578" t="str">
        <f t="shared" si="387"/>
        <v/>
      </c>
      <c r="D3578" t="str">
        <f t="shared" si="388"/>
        <v/>
      </c>
      <c r="E3578" t="str">
        <f>IF(F3578="","",IF(COUNTIF($F$2:F3578,F3578)&gt;1,"",SUMIFS(tbl_input[필요수량],tbl_input[집계키_센터],F3578)))</f>
        <v/>
      </c>
      <c r="F3578" t="str">
        <f>IFERROR(INDEX(tbl_input[집계키_센터],ROW()-1),"")</f>
        <v/>
      </c>
      <c r="G3578" t="str">
        <f t="shared" si="389"/>
        <v/>
      </c>
      <c r="H3578" t="str">
        <f t="shared" si="390"/>
        <v/>
      </c>
      <c r="I3578" t="str">
        <f t="shared" si="391"/>
        <v/>
      </c>
    </row>
    <row r="3579" spans="1:9" x14ac:dyDescent="0.4">
      <c r="A3579" t="str">
        <f t="shared" si="385"/>
        <v/>
      </c>
      <c r="B3579" t="str">
        <f t="shared" si="386"/>
        <v/>
      </c>
      <c r="C3579" t="str">
        <f t="shared" si="387"/>
        <v/>
      </c>
      <c r="D3579" t="str">
        <f t="shared" si="388"/>
        <v/>
      </c>
      <c r="E3579" t="str">
        <f>IF(F3579="","",IF(COUNTIF($F$2:F3579,F3579)&gt;1,"",SUMIFS(tbl_input[필요수량],tbl_input[집계키_센터],F3579)))</f>
        <v/>
      </c>
      <c r="F3579" t="str">
        <f>IFERROR(INDEX(tbl_input[집계키_센터],ROW()-1),"")</f>
        <v/>
      </c>
      <c r="G3579" t="str">
        <f t="shared" si="389"/>
        <v/>
      </c>
      <c r="H3579" t="str">
        <f t="shared" si="390"/>
        <v/>
      </c>
      <c r="I3579" t="str">
        <f t="shared" si="391"/>
        <v/>
      </c>
    </row>
    <row r="3580" spans="1:9" x14ac:dyDescent="0.4">
      <c r="A3580" t="str">
        <f t="shared" si="385"/>
        <v/>
      </c>
      <c r="B3580" t="str">
        <f t="shared" si="386"/>
        <v/>
      </c>
      <c r="C3580" t="str">
        <f t="shared" si="387"/>
        <v/>
      </c>
      <c r="D3580" t="str">
        <f t="shared" si="388"/>
        <v/>
      </c>
      <c r="E3580" t="str">
        <f>IF(F3580="","",IF(COUNTIF($F$2:F3580,F3580)&gt;1,"",SUMIFS(tbl_input[필요수량],tbl_input[집계키_센터],F3580)))</f>
        <v/>
      </c>
      <c r="F3580" t="str">
        <f>IFERROR(INDEX(tbl_input[집계키_센터],ROW()-1),"")</f>
        <v/>
      </c>
      <c r="G3580" t="str">
        <f t="shared" si="389"/>
        <v/>
      </c>
      <c r="H3580" t="str">
        <f t="shared" si="390"/>
        <v/>
      </c>
      <c r="I3580" t="str">
        <f t="shared" si="391"/>
        <v/>
      </c>
    </row>
    <row r="3581" spans="1:9" x14ac:dyDescent="0.4">
      <c r="A3581" t="str">
        <f t="shared" si="385"/>
        <v/>
      </c>
      <c r="B3581" t="str">
        <f t="shared" si="386"/>
        <v/>
      </c>
      <c r="C3581" t="str">
        <f t="shared" si="387"/>
        <v/>
      </c>
      <c r="D3581" t="str">
        <f t="shared" si="388"/>
        <v/>
      </c>
      <c r="E3581" t="str">
        <f>IF(F3581="","",IF(COUNTIF($F$2:F3581,F3581)&gt;1,"",SUMIFS(tbl_input[필요수량],tbl_input[집계키_센터],F3581)))</f>
        <v/>
      </c>
      <c r="F3581" t="str">
        <f>IFERROR(INDEX(tbl_input[집계키_센터],ROW()-1),"")</f>
        <v/>
      </c>
      <c r="G3581" t="str">
        <f t="shared" si="389"/>
        <v/>
      </c>
      <c r="H3581" t="str">
        <f t="shared" si="390"/>
        <v/>
      </c>
      <c r="I3581" t="str">
        <f t="shared" si="391"/>
        <v/>
      </c>
    </row>
    <row r="3582" spans="1:9" x14ac:dyDescent="0.4">
      <c r="A3582" t="str">
        <f t="shared" si="385"/>
        <v/>
      </c>
      <c r="B3582" t="str">
        <f t="shared" si="386"/>
        <v/>
      </c>
      <c r="C3582" t="str">
        <f t="shared" si="387"/>
        <v/>
      </c>
      <c r="D3582" t="str">
        <f t="shared" si="388"/>
        <v/>
      </c>
      <c r="E3582" t="str">
        <f>IF(F3582="","",IF(COUNTIF($F$2:F3582,F3582)&gt;1,"",SUMIFS(tbl_input[필요수량],tbl_input[집계키_센터],F3582)))</f>
        <v/>
      </c>
      <c r="F3582" t="str">
        <f>IFERROR(INDEX(tbl_input[집계키_센터],ROW()-1),"")</f>
        <v/>
      </c>
      <c r="G3582" t="str">
        <f t="shared" si="389"/>
        <v/>
      </c>
      <c r="H3582" t="str">
        <f t="shared" si="390"/>
        <v/>
      </c>
      <c r="I3582" t="str">
        <f t="shared" si="391"/>
        <v/>
      </c>
    </row>
    <row r="3583" spans="1:9" x14ac:dyDescent="0.4">
      <c r="A3583" t="str">
        <f t="shared" si="385"/>
        <v/>
      </c>
      <c r="B3583" t="str">
        <f t="shared" si="386"/>
        <v/>
      </c>
      <c r="C3583" t="str">
        <f t="shared" si="387"/>
        <v/>
      </c>
      <c r="D3583" t="str">
        <f t="shared" si="388"/>
        <v/>
      </c>
      <c r="E3583" t="str">
        <f>IF(F3583="","",IF(COUNTIF($F$2:F3583,F3583)&gt;1,"",SUMIFS(tbl_input[필요수량],tbl_input[집계키_센터],F3583)))</f>
        <v/>
      </c>
      <c r="F3583" t="str">
        <f>IFERROR(INDEX(tbl_input[집계키_센터],ROW()-1),"")</f>
        <v/>
      </c>
      <c r="G3583" t="str">
        <f t="shared" si="389"/>
        <v/>
      </c>
      <c r="H3583" t="str">
        <f t="shared" si="390"/>
        <v/>
      </c>
      <c r="I3583" t="str">
        <f t="shared" si="391"/>
        <v/>
      </c>
    </row>
    <row r="3584" spans="1:9" x14ac:dyDescent="0.4">
      <c r="A3584" t="str">
        <f t="shared" si="385"/>
        <v/>
      </c>
      <c r="B3584" t="str">
        <f t="shared" si="386"/>
        <v/>
      </c>
      <c r="C3584" t="str">
        <f t="shared" si="387"/>
        <v/>
      </c>
      <c r="D3584" t="str">
        <f t="shared" si="388"/>
        <v/>
      </c>
      <c r="E3584" t="str">
        <f>IF(F3584="","",IF(COUNTIF($F$2:F3584,F3584)&gt;1,"",SUMIFS(tbl_input[필요수량],tbl_input[집계키_센터],F3584)))</f>
        <v/>
      </c>
      <c r="F3584" t="str">
        <f>IFERROR(INDEX(tbl_input[집계키_센터],ROW()-1),"")</f>
        <v/>
      </c>
      <c r="G3584" t="str">
        <f t="shared" si="389"/>
        <v/>
      </c>
      <c r="H3584" t="str">
        <f t="shared" si="390"/>
        <v/>
      </c>
      <c r="I3584" t="str">
        <f t="shared" si="391"/>
        <v/>
      </c>
    </row>
    <row r="3585" spans="1:9" x14ac:dyDescent="0.4">
      <c r="A3585" t="str">
        <f t="shared" si="385"/>
        <v/>
      </c>
      <c r="B3585" t="str">
        <f t="shared" si="386"/>
        <v/>
      </c>
      <c r="C3585" t="str">
        <f t="shared" si="387"/>
        <v/>
      </c>
      <c r="D3585" t="str">
        <f t="shared" si="388"/>
        <v/>
      </c>
      <c r="E3585" t="str">
        <f>IF(F3585="","",IF(COUNTIF($F$2:F3585,F3585)&gt;1,"",SUMIFS(tbl_input[필요수량],tbl_input[집계키_센터],F3585)))</f>
        <v/>
      </c>
      <c r="F3585" t="str">
        <f>IFERROR(INDEX(tbl_input[집계키_센터],ROW()-1),"")</f>
        <v/>
      </c>
      <c r="G3585" t="str">
        <f t="shared" si="389"/>
        <v/>
      </c>
      <c r="H3585" t="str">
        <f t="shared" si="390"/>
        <v/>
      </c>
      <c r="I3585" t="str">
        <f t="shared" si="391"/>
        <v/>
      </c>
    </row>
    <row r="3586" spans="1:9" x14ac:dyDescent="0.4">
      <c r="A3586" t="str">
        <f t="shared" ref="A3586:A3649" si="392">IF(F3586="","",LEFT(F3586,G3586-1))</f>
        <v/>
      </c>
      <c r="B3586" t="str">
        <f t="shared" ref="B3586:B3649" si="393">IF(F3586="","",MID(F3586,G3586+1,H3586-G3586-1))</f>
        <v/>
      </c>
      <c r="C3586" t="str">
        <f t="shared" ref="C3586:C3649" si="394">IF(F3586="","",MID(F3586,H3586+1,I3586-H3586-1))</f>
        <v/>
      </c>
      <c r="D3586" t="str">
        <f t="shared" ref="D3586:D3649" si="395">IF(F3586="","",MID(F3586,I3586+1,999))</f>
        <v/>
      </c>
      <c r="E3586" t="str">
        <f>IF(F3586="","",IF(COUNTIF($F$2:F3586,F3586)&gt;1,"",SUMIFS(tbl_input[필요수량],tbl_input[집계키_센터],F3586)))</f>
        <v/>
      </c>
      <c r="F3586" t="str">
        <f>IFERROR(INDEX(tbl_input[집계키_센터],ROW()-1),"")</f>
        <v/>
      </c>
      <c r="G3586" t="str">
        <f t="shared" ref="G3586:G3649" si="396">IF(F3586="","",FIND("♦",F3586))</f>
        <v/>
      </c>
      <c r="H3586" t="str">
        <f t="shared" ref="H3586:H3649" si="397">IF(F3586="","",FIND("♦",F3586,G3586+1))</f>
        <v/>
      </c>
      <c r="I3586" t="str">
        <f t="shared" ref="I3586:I3649" si="398">IF(F3586="","",FIND("♦",F3586,H3586+1))</f>
        <v/>
      </c>
    </row>
    <row r="3587" spans="1:9" x14ac:dyDescent="0.4">
      <c r="A3587" t="str">
        <f t="shared" si="392"/>
        <v/>
      </c>
      <c r="B3587" t="str">
        <f t="shared" si="393"/>
        <v/>
      </c>
      <c r="C3587" t="str">
        <f t="shared" si="394"/>
        <v/>
      </c>
      <c r="D3587" t="str">
        <f t="shared" si="395"/>
        <v/>
      </c>
      <c r="E3587" t="str">
        <f>IF(F3587="","",IF(COUNTIF($F$2:F3587,F3587)&gt;1,"",SUMIFS(tbl_input[필요수량],tbl_input[집계키_센터],F3587)))</f>
        <v/>
      </c>
      <c r="F3587" t="str">
        <f>IFERROR(INDEX(tbl_input[집계키_센터],ROW()-1),"")</f>
        <v/>
      </c>
      <c r="G3587" t="str">
        <f t="shared" si="396"/>
        <v/>
      </c>
      <c r="H3587" t="str">
        <f t="shared" si="397"/>
        <v/>
      </c>
      <c r="I3587" t="str">
        <f t="shared" si="398"/>
        <v/>
      </c>
    </row>
    <row r="3588" spans="1:9" x14ac:dyDescent="0.4">
      <c r="A3588" t="str">
        <f t="shared" si="392"/>
        <v/>
      </c>
      <c r="B3588" t="str">
        <f t="shared" si="393"/>
        <v/>
      </c>
      <c r="C3588" t="str">
        <f t="shared" si="394"/>
        <v/>
      </c>
      <c r="D3588" t="str">
        <f t="shared" si="395"/>
        <v/>
      </c>
      <c r="E3588" t="str">
        <f>IF(F3588="","",IF(COUNTIF($F$2:F3588,F3588)&gt;1,"",SUMIFS(tbl_input[필요수량],tbl_input[집계키_센터],F3588)))</f>
        <v/>
      </c>
      <c r="F3588" t="str">
        <f>IFERROR(INDEX(tbl_input[집계키_센터],ROW()-1),"")</f>
        <v/>
      </c>
      <c r="G3588" t="str">
        <f t="shared" si="396"/>
        <v/>
      </c>
      <c r="H3588" t="str">
        <f t="shared" si="397"/>
        <v/>
      </c>
      <c r="I3588" t="str">
        <f t="shared" si="398"/>
        <v/>
      </c>
    </row>
    <row r="3589" spans="1:9" x14ac:dyDescent="0.4">
      <c r="A3589" t="str">
        <f t="shared" si="392"/>
        <v/>
      </c>
      <c r="B3589" t="str">
        <f t="shared" si="393"/>
        <v/>
      </c>
      <c r="C3589" t="str">
        <f t="shared" si="394"/>
        <v/>
      </c>
      <c r="D3589" t="str">
        <f t="shared" si="395"/>
        <v/>
      </c>
      <c r="E3589" t="str">
        <f>IF(F3589="","",IF(COUNTIF($F$2:F3589,F3589)&gt;1,"",SUMIFS(tbl_input[필요수량],tbl_input[집계키_센터],F3589)))</f>
        <v/>
      </c>
      <c r="F3589" t="str">
        <f>IFERROR(INDEX(tbl_input[집계키_센터],ROW()-1),"")</f>
        <v/>
      </c>
      <c r="G3589" t="str">
        <f t="shared" si="396"/>
        <v/>
      </c>
      <c r="H3589" t="str">
        <f t="shared" si="397"/>
        <v/>
      </c>
      <c r="I3589" t="str">
        <f t="shared" si="398"/>
        <v/>
      </c>
    </row>
    <row r="3590" spans="1:9" x14ac:dyDescent="0.4">
      <c r="A3590" t="str">
        <f t="shared" si="392"/>
        <v/>
      </c>
      <c r="B3590" t="str">
        <f t="shared" si="393"/>
        <v/>
      </c>
      <c r="C3590" t="str">
        <f t="shared" si="394"/>
        <v/>
      </c>
      <c r="D3590" t="str">
        <f t="shared" si="395"/>
        <v/>
      </c>
      <c r="E3590" t="str">
        <f>IF(F3590="","",IF(COUNTIF($F$2:F3590,F3590)&gt;1,"",SUMIFS(tbl_input[필요수량],tbl_input[집계키_센터],F3590)))</f>
        <v/>
      </c>
      <c r="F3590" t="str">
        <f>IFERROR(INDEX(tbl_input[집계키_센터],ROW()-1),"")</f>
        <v/>
      </c>
      <c r="G3590" t="str">
        <f t="shared" si="396"/>
        <v/>
      </c>
      <c r="H3590" t="str">
        <f t="shared" si="397"/>
        <v/>
      </c>
      <c r="I3590" t="str">
        <f t="shared" si="398"/>
        <v/>
      </c>
    </row>
    <row r="3591" spans="1:9" x14ac:dyDescent="0.4">
      <c r="A3591" t="str">
        <f t="shared" si="392"/>
        <v/>
      </c>
      <c r="B3591" t="str">
        <f t="shared" si="393"/>
        <v/>
      </c>
      <c r="C3591" t="str">
        <f t="shared" si="394"/>
        <v/>
      </c>
      <c r="D3591" t="str">
        <f t="shared" si="395"/>
        <v/>
      </c>
      <c r="E3591" t="str">
        <f>IF(F3591="","",IF(COUNTIF($F$2:F3591,F3591)&gt;1,"",SUMIFS(tbl_input[필요수량],tbl_input[집계키_센터],F3591)))</f>
        <v/>
      </c>
      <c r="F3591" t="str">
        <f>IFERROR(INDEX(tbl_input[집계키_센터],ROW()-1),"")</f>
        <v/>
      </c>
      <c r="G3591" t="str">
        <f t="shared" si="396"/>
        <v/>
      </c>
      <c r="H3591" t="str">
        <f t="shared" si="397"/>
        <v/>
      </c>
      <c r="I3591" t="str">
        <f t="shared" si="398"/>
        <v/>
      </c>
    </row>
    <row r="3592" spans="1:9" x14ac:dyDescent="0.4">
      <c r="A3592" t="str">
        <f t="shared" si="392"/>
        <v/>
      </c>
      <c r="B3592" t="str">
        <f t="shared" si="393"/>
        <v/>
      </c>
      <c r="C3592" t="str">
        <f t="shared" si="394"/>
        <v/>
      </c>
      <c r="D3592" t="str">
        <f t="shared" si="395"/>
        <v/>
      </c>
      <c r="E3592" t="str">
        <f>IF(F3592="","",IF(COUNTIF($F$2:F3592,F3592)&gt;1,"",SUMIFS(tbl_input[필요수량],tbl_input[집계키_센터],F3592)))</f>
        <v/>
      </c>
      <c r="F3592" t="str">
        <f>IFERROR(INDEX(tbl_input[집계키_센터],ROW()-1),"")</f>
        <v/>
      </c>
      <c r="G3592" t="str">
        <f t="shared" si="396"/>
        <v/>
      </c>
      <c r="H3592" t="str">
        <f t="shared" si="397"/>
        <v/>
      </c>
      <c r="I3592" t="str">
        <f t="shared" si="398"/>
        <v/>
      </c>
    </row>
    <row r="3593" spans="1:9" x14ac:dyDescent="0.4">
      <c r="A3593" t="str">
        <f t="shared" si="392"/>
        <v/>
      </c>
      <c r="B3593" t="str">
        <f t="shared" si="393"/>
        <v/>
      </c>
      <c r="C3593" t="str">
        <f t="shared" si="394"/>
        <v/>
      </c>
      <c r="D3593" t="str">
        <f t="shared" si="395"/>
        <v/>
      </c>
      <c r="E3593" t="str">
        <f>IF(F3593="","",IF(COUNTIF($F$2:F3593,F3593)&gt;1,"",SUMIFS(tbl_input[필요수량],tbl_input[집계키_센터],F3593)))</f>
        <v/>
      </c>
      <c r="F3593" t="str">
        <f>IFERROR(INDEX(tbl_input[집계키_센터],ROW()-1),"")</f>
        <v/>
      </c>
      <c r="G3593" t="str">
        <f t="shared" si="396"/>
        <v/>
      </c>
      <c r="H3593" t="str">
        <f t="shared" si="397"/>
        <v/>
      </c>
      <c r="I3593" t="str">
        <f t="shared" si="398"/>
        <v/>
      </c>
    </row>
    <row r="3594" spans="1:9" x14ac:dyDescent="0.4">
      <c r="A3594" t="str">
        <f t="shared" si="392"/>
        <v/>
      </c>
      <c r="B3594" t="str">
        <f t="shared" si="393"/>
        <v/>
      </c>
      <c r="C3594" t="str">
        <f t="shared" si="394"/>
        <v/>
      </c>
      <c r="D3594" t="str">
        <f t="shared" si="395"/>
        <v/>
      </c>
      <c r="E3594" t="str">
        <f>IF(F3594="","",IF(COUNTIF($F$2:F3594,F3594)&gt;1,"",SUMIFS(tbl_input[필요수량],tbl_input[집계키_센터],F3594)))</f>
        <v/>
      </c>
      <c r="F3594" t="str">
        <f>IFERROR(INDEX(tbl_input[집계키_센터],ROW()-1),"")</f>
        <v/>
      </c>
      <c r="G3594" t="str">
        <f t="shared" si="396"/>
        <v/>
      </c>
      <c r="H3594" t="str">
        <f t="shared" si="397"/>
        <v/>
      </c>
      <c r="I3594" t="str">
        <f t="shared" si="398"/>
        <v/>
      </c>
    </row>
    <row r="3595" spans="1:9" x14ac:dyDescent="0.4">
      <c r="A3595" t="str">
        <f t="shared" si="392"/>
        <v/>
      </c>
      <c r="B3595" t="str">
        <f t="shared" si="393"/>
        <v/>
      </c>
      <c r="C3595" t="str">
        <f t="shared" si="394"/>
        <v/>
      </c>
      <c r="D3595" t="str">
        <f t="shared" si="395"/>
        <v/>
      </c>
      <c r="E3595" t="str">
        <f>IF(F3595="","",IF(COUNTIF($F$2:F3595,F3595)&gt;1,"",SUMIFS(tbl_input[필요수량],tbl_input[집계키_센터],F3595)))</f>
        <v/>
      </c>
      <c r="F3595" t="str">
        <f>IFERROR(INDEX(tbl_input[집계키_센터],ROW()-1),"")</f>
        <v/>
      </c>
      <c r="G3595" t="str">
        <f t="shared" si="396"/>
        <v/>
      </c>
      <c r="H3595" t="str">
        <f t="shared" si="397"/>
        <v/>
      </c>
      <c r="I3595" t="str">
        <f t="shared" si="398"/>
        <v/>
      </c>
    </row>
    <row r="3596" spans="1:9" x14ac:dyDescent="0.4">
      <c r="A3596" t="str">
        <f t="shared" si="392"/>
        <v/>
      </c>
      <c r="B3596" t="str">
        <f t="shared" si="393"/>
        <v/>
      </c>
      <c r="C3596" t="str">
        <f t="shared" si="394"/>
        <v/>
      </c>
      <c r="D3596" t="str">
        <f t="shared" si="395"/>
        <v/>
      </c>
      <c r="E3596" t="str">
        <f>IF(F3596="","",IF(COUNTIF($F$2:F3596,F3596)&gt;1,"",SUMIFS(tbl_input[필요수량],tbl_input[집계키_센터],F3596)))</f>
        <v/>
      </c>
      <c r="F3596" t="str">
        <f>IFERROR(INDEX(tbl_input[집계키_센터],ROW()-1),"")</f>
        <v/>
      </c>
      <c r="G3596" t="str">
        <f t="shared" si="396"/>
        <v/>
      </c>
      <c r="H3596" t="str">
        <f t="shared" si="397"/>
        <v/>
      </c>
      <c r="I3596" t="str">
        <f t="shared" si="398"/>
        <v/>
      </c>
    </row>
    <row r="3597" spans="1:9" x14ac:dyDescent="0.4">
      <c r="A3597" t="str">
        <f t="shared" si="392"/>
        <v/>
      </c>
      <c r="B3597" t="str">
        <f t="shared" si="393"/>
        <v/>
      </c>
      <c r="C3597" t="str">
        <f t="shared" si="394"/>
        <v/>
      </c>
      <c r="D3597" t="str">
        <f t="shared" si="395"/>
        <v/>
      </c>
      <c r="E3597" t="str">
        <f>IF(F3597="","",IF(COUNTIF($F$2:F3597,F3597)&gt;1,"",SUMIFS(tbl_input[필요수량],tbl_input[집계키_센터],F3597)))</f>
        <v/>
      </c>
      <c r="F3597" t="str">
        <f>IFERROR(INDEX(tbl_input[집계키_센터],ROW()-1),"")</f>
        <v/>
      </c>
      <c r="G3597" t="str">
        <f t="shared" si="396"/>
        <v/>
      </c>
      <c r="H3597" t="str">
        <f t="shared" si="397"/>
        <v/>
      </c>
      <c r="I3597" t="str">
        <f t="shared" si="398"/>
        <v/>
      </c>
    </row>
    <row r="3598" spans="1:9" x14ac:dyDescent="0.4">
      <c r="A3598" t="str">
        <f t="shared" si="392"/>
        <v/>
      </c>
      <c r="B3598" t="str">
        <f t="shared" si="393"/>
        <v/>
      </c>
      <c r="C3598" t="str">
        <f t="shared" si="394"/>
        <v/>
      </c>
      <c r="D3598" t="str">
        <f t="shared" si="395"/>
        <v/>
      </c>
      <c r="E3598" t="str">
        <f>IF(F3598="","",IF(COUNTIF($F$2:F3598,F3598)&gt;1,"",SUMIFS(tbl_input[필요수량],tbl_input[집계키_센터],F3598)))</f>
        <v/>
      </c>
      <c r="F3598" t="str">
        <f>IFERROR(INDEX(tbl_input[집계키_센터],ROW()-1),"")</f>
        <v/>
      </c>
      <c r="G3598" t="str">
        <f t="shared" si="396"/>
        <v/>
      </c>
      <c r="H3598" t="str">
        <f t="shared" si="397"/>
        <v/>
      </c>
      <c r="I3598" t="str">
        <f t="shared" si="398"/>
        <v/>
      </c>
    </row>
    <row r="3599" spans="1:9" x14ac:dyDescent="0.4">
      <c r="A3599" t="str">
        <f t="shared" si="392"/>
        <v/>
      </c>
      <c r="B3599" t="str">
        <f t="shared" si="393"/>
        <v/>
      </c>
      <c r="C3599" t="str">
        <f t="shared" si="394"/>
        <v/>
      </c>
      <c r="D3599" t="str">
        <f t="shared" si="395"/>
        <v/>
      </c>
      <c r="E3599" t="str">
        <f>IF(F3599="","",IF(COUNTIF($F$2:F3599,F3599)&gt;1,"",SUMIFS(tbl_input[필요수량],tbl_input[집계키_센터],F3599)))</f>
        <v/>
      </c>
      <c r="F3599" t="str">
        <f>IFERROR(INDEX(tbl_input[집계키_센터],ROW()-1),"")</f>
        <v/>
      </c>
      <c r="G3599" t="str">
        <f t="shared" si="396"/>
        <v/>
      </c>
      <c r="H3599" t="str">
        <f t="shared" si="397"/>
        <v/>
      </c>
      <c r="I3599" t="str">
        <f t="shared" si="398"/>
        <v/>
      </c>
    </row>
    <row r="3600" spans="1:9" x14ac:dyDescent="0.4">
      <c r="A3600" t="str">
        <f t="shared" si="392"/>
        <v/>
      </c>
      <c r="B3600" t="str">
        <f t="shared" si="393"/>
        <v/>
      </c>
      <c r="C3600" t="str">
        <f t="shared" si="394"/>
        <v/>
      </c>
      <c r="D3600" t="str">
        <f t="shared" si="395"/>
        <v/>
      </c>
      <c r="E3600" t="str">
        <f>IF(F3600="","",IF(COUNTIF($F$2:F3600,F3600)&gt;1,"",SUMIFS(tbl_input[필요수량],tbl_input[집계키_센터],F3600)))</f>
        <v/>
      </c>
      <c r="F3600" t="str">
        <f>IFERROR(INDEX(tbl_input[집계키_센터],ROW()-1),"")</f>
        <v/>
      </c>
      <c r="G3600" t="str">
        <f t="shared" si="396"/>
        <v/>
      </c>
      <c r="H3600" t="str">
        <f t="shared" si="397"/>
        <v/>
      </c>
      <c r="I3600" t="str">
        <f t="shared" si="398"/>
        <v/>
      </c>
    </row>
    <row r="3601" spans="1:9" x14ac:dyDescent="0.4">
      <c r="A3601" t="str">
        <f t="shared" si="392"/>
        <v/>
      </c>
      <c r="B3601" t="str">
        <f t="shared" si="393"/>
        <v/>
      </c>
      <c r="C3601" t="str">
        <f t="shared" si="394"/>
        <v/>
      </c>
      <c r="D3601" t="str">
        <f t="shared" si="395"/>
        <v/>
      </c>
      <c r="E3601" t="str">
        <f>IF(F3601="","",IF(COUNTIF($F$2:F3601,F3601)&gt;1,"",SUMIFS(tbl_input[필요수량],tbl_input[집계키_센터],F3601)))</f>
        <v/>
      </c>
      <c r="F3601" t="str">
        <f>IFERROR(INDEX(tbl_input[집계키_센터],ROW()-1),"")</f>
        <v/>
      </c>
      <c r="G3601" t="str">
        <f t="shared" si="396"/>
        <v/>
      </c>
      <c r="H3601" t="str">
        <f t="shared" si="397"/>
        <v/>
      </c>
      <c r="I3601" t="str">
        <f t="shared" si="398"/>
        <v/>
      </c>
    </row>
    <row r="3602" spans="1:9" x14ac:dyDescent="0.4">
      <c r="A3602" t="str">
        <f t="shared" si="392"/>
        <v/>
      </c>
      <c r="B3602" t="str">
        <f t="shared" si="393"/>
        <v/>
      </c>
      <c r="C3602" t="str">
        <f t="shared" si="394"/>
        <v/>
      </c>
      <c r="D3602" t="str">
        <f t="shared" si="395"/>
        <v/>
      </c>
      <c r="E3602" t="str">
        <f>IF(F3602="","",IF(COUNTIF($F$2:F3602,F3602)&gt;1,"",SUMIFS(tbl_input[필요수량],tbl_input[집계키_센터],F3602)))</f>
        <v/>
      </c>
      <c r="F3602" t="str">
        <f>IFERROR(INDEX(tbl_input[집계키_센터],ROW()-1),"")</f>
        <v/>
      </c>
      <c r="G3602" t="str">
        <f t="shared" si="396"/>
        <v/>
      </c>
      <c r="H3602" t="str">
        <f t="shared" si="397"/>
        <v/>
      </c>
      <c r="I3602" t="str">
        <f t="shared" si="398"/>
        <v/>
      </c>
    </row>
    <row r="3603" spans="1:9" x14ac:dyDescent="0.4">
      <c r="A3603" t="str">
        <f t="shared" si="392"/>
        <v/>
      </c>
      <c r="B3603" t="str">
        <f t="shared" si="393"/>
        <v/>
      </c>
      <c r="C3603" t="str">
        <f t="shared" si="394"/>
        <v/>
      </c>
      <c r="D3603" t="str">
        <f t="shared" si="395"/>
        <v/>
      </c>
      <c r="E3603" t="str">
        <f>IF(F3603="","",IF(COUNTIF($F$2:F3603,F3603)&gt;1,"",SUMIFS(tbl_input[필요수량],tbl_input[집계키_센터],F3603)))</f>
        <v/>
      </c>
      <c r="F3603" t="str">
        <f>IFERROR(INDEX(tbl_input[집계키_센터],ROW()-1),"")</f>
        <v/>
      </c>
      <c r="G3603" t="str">
        <f t="shared" si="396"/>
        <v/>
      </c>
      <c r="H3603" t="str">
        <f t="shared" si="397"/>
        <v/>
      </c>
      <c r="I3603" t="str">
        <f t="shared" si="398"/>
        <v/>
      </c>
    </row>
    <row r="3604" spans="1:9" x14ac:dyDescent="0.4">
      <c r="A3604" t="str">
        <f t="shared" si="392"/>
        <v/>
      </c>
      <c r="B3604" t="str">
        <f t="shared" si="393"/>
        <v/>
      </c>
      <c r="C3604" t="str">
        <f t="shared" si="394"/>
        <v/>
      </c>
      <c r="D3604" t="str">
        <f t="shared" si="395"/>
        <v/>
      </c>
      <c r="E3604" t="str">
        <f>IF(F3604="","",IF(COUNTIF($F$2:F3604,F3604)&gt;1,"",SUMIFS(tbl_input[필요수량],tbl_input[집계키_센터],F3604)))</f>
        <v/>
      </c>
      <c r="F3604" t="str">
        <f>IFERROR(INDEX(tbl_input[집계키_센터],ROW()-1),"")</f>
        <v/>
      </c>
      <c r="G3604" t="str">
        <f t="shared" si="396"/>
        <v/>
      </c>
      <c r="H3604" t="str">
        <f t="shared" si="397"/>
        <v/>
      </c>
      <c r="I3604" t="str">
        <f t="shared" si="398"/>
        <v/>
      </c>
    </row>
    <row r="3605" spans="1:9" x14ac:dyDescent="0.4">
      <c r="A3605" t="str">
        <f t="shared" si="392"/>
        <v/>
      </c>
      <c r="B3605" t="str">
        <f t="shared" si="393"/>
        <v/>
      </c>
      <c r="C3605" t="str">
        <f t="shared" si="394"/>
        <v/>
      </c>
      <c r="D3605" t="str">
        <f t="shared" si="395"/>
        <v/>
      </c>
      <c r="E3605" t="str">
        <f>IF(F3605="","",IF(COUNTIF($F$2:F3605,F3605)&gt;1,"",SUMIFS(tbl_input[필요수량],tbl_input[집계키_센터],F3605)))</f>
        <v/>
      </c>
      <c r="F3605" t="str">
        <f>IFERROR(INDEX(tbl_input[집계키_센터],ROW()-1),"")</f>
        <v/>
      </c>
      <c r="G3605" t="str">
        <f t="shared" si="396"/>
        <v/>
      </c>
      <c r="H3605" t="str">
        <f t="shared" si="397"/>
        <v/>
      </c>
      <c r="I3605" t="str">
        <f t="shared" si="398"/>
        <v/>
      </c>
    </row>
    <row r="3606" spans="1:9" x14ac:dyDescent="0.4">
      <c r="A3606" t="str">
        <f t="shared" si="392"/>
        <v/>
      </c>
      <c r="B3606" t="str">
        <f t="shared" si="393"/>
        <v/>
      </c>
      <c r="C3606" t="str">
        <f t="shared" si="394"/>
        <v/>
      </c>
      <c r="D3606" t="str">
        <f t="shared" si="395"/>
        <v/>
      </c>
      <c r="E3606" t="str">
        <f>IF(F3606="","",IF(COUNTIF($F$2:F3606,F3606)&gt;1,"",SUMIFS(tbl_input[필요수량],tbl_input[집계키_센터],F3606)))</f>
        <v/>
      </c>
      <c r="F3606" t="str">
        <f>IFERROR(INDEX(tbl_input[집계키_센터],ROW()-1),"")</f>
        <v/>
      </c>
      <c r="G3606" t="str">
        <f t="shared" si="396"/>
        <v/>
      </c>
      <c r="H3606" t="str">
        <f t="shared" si="397"/>
        <v/>
      </c>
      <c r="I3606" t="str">
        <f t="shared" si="398"/>
        <v/>
      </c>
    </row>
    <row r="3607" spans="1:9" x14ac:dyDescent="0.4">
      <c r="A3607" t="str">
        <f t="shared" si="392"/>
        <v/>
      </c>
      <c r="B3607" t="str">
        <f t="shared" si="393"/>
        <v/>
      </c>
      <c r="C3607" t="str">
        <f t="shared" si="394"/>
        <v/>
      </c>
      <c r="D3607" t="str">
        <f t="shared" si="395"/>
        <v/>
      </c>
      <c r="E3607" t="str">
        <f>IF(F3607="","",IF(COUNTIF($F$2:F3607,F3607)&gt;1,"",SUMIFS(tbl_input[필요수량],tbl_input[집계키_센터],F3607)))</f>
        <v/>
      </c>
      <c r="F3607" t="str">
        <f>IFERROR(INDEX(tbl_input[집계키_센터],ROW()-1),"")</f>
        <v/>
      </c>
      <c r="G3607" t="str">
        <f t="shared" si="396"/>
        <v/>
      </c>
      <c r="H3607" t="str">
        <f t="shared" si="397"/>
        <v/>
      </c>
      <c r="I3607" t="str">
        <f t="shared" si="398"/>
        <v/>
      </c>
    </row>
    <row r="3608" spans="1:9" x14ac:dyDescent="0.4">
      <c r="A3608" t="str">
        <f t="shared" si="392"/>
        <v/>
      </c>
      <c r="B3608" t="str">
        <f t="shared" si="393"/>
        <v/>
      </c>
      <c r="C3608" t="str">
        <f t="shared" si="394"/>
        <v/>
      </c>
      <c r="D3608" t="str">
        <f t="shared" si="395"/>
        <v/>
      </c>
      <c r="E3608" t="str">
        <f>IF(F3608="","",IF(COUNTIF($F$2:F3608,F3608)&gt;1,"",SUMIFS(tbl_input[필요수량],tbl_input[집계키_센터],F3608)))</f>
        <v/>
      </c>
      <c r="F3608" t="str">
        <f>IFERROR(INDEX(tbl_input[집계키_센터],ROW()-1),"")</f>
        <v/>
      </c>
      <c r="G3608" t="str">
        <f t="shared" si="396"/>
        <v/>
      </c>
      <c r="H3608" t="str">
        <f t="shared" si="397"/>
        <v/>
      </c>
      <c r="I3608" t="str">
        <f t="shared" si="398"/>
        <v/>
      </c>
    </row>
    <row r="3609" spans="1:9" x14ac:dyDescent="0.4">
      <c r="A3609" t="str">
        <f t="shared" si="392"/>
        <v/>
      </c>
      <c r="B3609" t="str">
        <f t="shared" si="393"/>
        <v/>
      </c>
      <c r="C3609" t="str">
        <f t="shared" si="394"/>
        <v/>
      </c>
      <c r="D3609" t="str">
        <f t="shared" si="395"/>
        <v/>
      </c>
      <c r="E3609" t="str">
        <f>IF(F3609="","",IF(COUNTIF($F$2:F3609,F3609)&gt;1,"",SUMIFS(tbl_input[필요수량],tbl_input[집계키_센터],F3609)))</f>
        <v/>
      </c>
      <c r="F3609" t="str">
        <f>IFERROR(INDEX(tbl_input[집계키_센터],ROW()-1),"")</f>
        <v/>
      </c>
      <c r="G3609" t="str">
        <f t="shared" si="396"/>
        <v/>
      </c>
      <c r="H3609" t="str">
        <f t="shared" si="397"/>
        <v/>
      </c>
      <c r="I3609" t="str">
        <f t="shared" si="398"/>
        <v/>
      </c>
    </row>
    <row r="3610" spans="1:9" x14ac:dyDescent="0.4">
      <c r="A3610" t="str">
        <f t="shared" si="392"/>
        <v/>
      </c>
      <c r="B3610" t="str">
        <f t="shared" si="393"/>
        <v/>
      </c>
      <c r="C3610" t="str">
        <f t="shared" si="394"/>
        <v/>
      </c>
      <c r="D3610" t="str">
        <f t="shared" si="395"/>
        <v/>
      </c>
      <c r="E3610" t="str">
        <f>IF(F3610="","",IF(COUNTIF($F$2:F3610,F3610)&gt;1,"",SUMIFS(tbl_input[필요수량],tbl_input[집계키_센터],F3610)))</f>
        <v/>
      </c>
      <c r="F3610" t="str">
        <f>IFERROR(INDEX(tbl_input[집계키_센터],ROW()-1),"")</f>
        <v/>
      </c>
      <c r="G3610" t="str">
        <f t="shared" si="396"/>
        <v/>
      </c>
      <c r="H3610" t="str">
        <f t="shared" si="397"/>
        <v/>
      </c>
      <c r="I3610" t="str">
        <f t="shared" si="398"/>
        <v/>
      </c>
    </row>
    <row r="3611" spans="1:9" x14ac:dyDescent="0.4">
      <c r="A3611" t="str">
        <f t="shared" si="392"/>
        <v/>
      </c>
      <c r="B3611" t="str">
        <f t="shared" si="393"/>
        <v/>
      </c>
      <c r="C3611" t="str">
        <f t="shared" si="394"/>
        <v/>
      </c>
      <c r="D3611" t="str">
        <f t="shared" si="395"/>
        <v/>
      </c>
      <c r="E3611" t="str">
        <f>IF(F3611="","",IF(COUNTIF($F$2:F3611,F3611)&gt;1,"",SUMIFS(tbl_input[필요수량],tbl_input[집계키_센터],F3611)))</f>
        <v/>
      </c>
      <c r="F3611" t="str">
        <f>IFERROR(INDEX(tbl_input[집계키_센터],ROW()-1),"")</f>
        <v/>
      </c>
      <c r="G3611" t="str">
        <f t="shared" si="396"/>
        <v/>
      </c>
      <c r="H3611" t="str">
        <f t="shared" si="397"/>
        <v/>
      </c>
      <c r="I3611" t="str">
        <f t="shared" si="398"/>
        <v/>
      </c>
    </row>
    <row r="3612" spans="1:9" x14ac:dyDescent="0.4">
      <c r="A3612" t="str">
        <f t="shared" si="392"/>
        <v/>
      </c>
      <c r="B3612" t="str">
        <f t="shared" si="393"/>
        <v/>
      </c>
      <c r="C3612" t="str">
        <f t="shared" si="394"/>
        <v/>
      </c>
      <c r="D3612" t="str">
        <f t="shared" si="395"/>
        <v/>
      </c>
      <c r="E3612" t="str">
        <f>IF(F3612="","",IF(COUNTIF($F$2:F3612,F3612)&gt;1,"",SUMIFS(tbl_input[필요수량],tbl_input[집계키_센터],F3612)))</f>
        <v/>
      </c>
      <c r="F3612" t="str">
        <f>IFERROR(INDEX(tbl_input[집계키_센터],ROW()-1),"")</f>
        <v/>
      </c>
      <c r="G3612" t="str">
        <f t="shared" si="396"/>
        <v/>
      </c>
      <c r="H3612" t="str">
        <f t="shared" si="397"/>
        <v/>
      </c>
      <c r="I3612" t="str">
        <f t="shared" si="398"/>
        <v/>
      </c>
    </row>
    <row r="3613" spans="1:9" x14ac:dyDescent="0.4">
      <c r="A3613" t="str">
        <f t="shared" si="392"/>
        <v/>
      </c>
      <c r="B3613" t="str">
        <f t="shared" si="393"/>
        <v/>
      </c>
      <c r="C3613" t="str">
        <f t="shared" si="394"/>
        <v/>
      </c>
      <c r="D3613" t="str">
        <f t="shared" si="395"/>
        <v/>
      </c>
      <c r="E3613" t="str">
        <f>IF(F3613="","",IF(COUNTIF($F$2:F3613,F3613)&gt;1,"",SUMIFS(tbl_input[필요수량],tbl_input[집계키_센터],F3613)))</f>
        <v/>
      </c>
      <c r="F3613" t="str">
        <f>IFERROR(INDEX(tbl_input[집계키_센터],ROW()-1),"")</f>
        <v/>
      </c>
      <c r="G3613" t="str">
        <f t="shared" si="396"/>
        <v/>
      </c>
      <c r="H3613" t="str">
        <f t="shared" si="397"/>
        <v/>
      </c>
      <c r="I3613" t="str">
        <f t="shared" si="398"/>
        <v/>
      </c>
    </row>
    <row r="3614" spans="1:9" x14ac:dyDescent="0.4">
      <c r="A3614" t="str">
        <f t="shared" si="392"/>
        <v/>
      </c>
      <c r="B3614" t="str">
        <f t="shared" si="393"/>
        <v/>
      </c>
      <c r="C3614" t="str">
        <f t="shared" si="394"/>
        <v/>
      </c>
      <c r="D3614" t="str">
        <f t="shared" si="395"/>
        <v/>
      </c>
      <c r="E3614" t="str">
        <f>IF(F3614="","",IF(COUNTIF($F$2:F3614,F3614)&gt;1,"",SUMIFS(tbl_input[필요수량],tbl_input[집계키_센터],F3614)))</f>
        <v/>
      </c>
      <c r="F3614" t="str">
        <f>IFERROR(INDEX(tbl_input[집계키_센터],ROW()-1),"")</f>
        <v/>
      </c>
      <c r="G3614" t="str">
        <f t="shared" si="396"/>
        <v/>
      </c>
      <c r="H3614" t="str">
        <f t="shared" si="397"/>
        <v/>
      </c>
      <c r="I3614" t="str">
        <f t="shared" si="398"/>
        <v/>
      </c>
    </row>
    <row r="3615" spans="1:9" x14ac:dyDescent="0.4">
      <c r="A3615" t="str">
        <f t="shared" si="392"/>
        <v/>
      </c>
      <c r="B3615" t="str">
        <f t="shared" si="393"/>
        <v/>
      </c>
      <c r="C3615" t="str">
        <f t="shared" si="394"/>
        <v/>
      </c>
      <c r="D3615" t="str">
        <f t="shared" si="395"/>
        <v/>
      </c>
      <c r="E3615" t="str">
        <f>IF(F3615="","",IF(COUNTIF($F$2:F3615,F3615)&gt;1,"",SUMIFS(tbl_input[필요수량],tbl_input[집계키_센터],F3615)))</f>
        <v/>
      </c>
      <c r="F3615" t="str">
        <f>IFERROR(INDEX(tbl_input[집계키_센터],ROW()-1),"")</f>
        <v/>
      </c>
      <c r="G3615" t="str">
        <f t="shared" si="396"/>
        <v/>
      </c>
      <c r="H3615" t="str">
        <f t="shared" si="397"/>
        <v/>
      </c>
      <c r="I3615" t="str">
        <f t="shared" si="398"/>
        <v/>
      </c>
    </row>
    <row r="3616" spans="1:9" x14ac:dyDescent="0.4">
      <c r="A3616" t="str">
        <f t="shared" si="392"/>
        <v/>
      </c>
      <c r="B3616" t="str">
        <f t="shared" si="393"/>
        <v/>
      </c>
      <c r="C3616" t="str">
        <f t="shared" si="394"/>
        <v/>
      </c>
      <c r="D3616" t="str">
        <f t="shared" si="395"/>
        <v/>
      </c>
      <c r="E3616" t="str">
        <f>IF(F3616="","",IF(COUNTIF($F$2:F3616,F3616)&gt;1,"",SUMIFS(tbl_input[필요수량],tbl_input[집계키_센터],F3616)))</f>
        <v/>
      </c>
      <c r="F3616" t="str">
        <f>IFERROR(INDEX(tbl_input[집계키_센터],ROW()-1),"")</f>
        <v/>
      </c>
      <c r="G3616" t="str">
        <f t="shared" si="396"/>
        <v/>
      </c>
      <c r="H3616" t="str">
        <f t="shared" si="397"/>
        <v/>
      </c>
      <c r="I3616" t="str">
        <f t="shared" si="398"/>
        <v/>
      </c>
    </row>
    <row r="3617" spans="1:9" x14ac:dyDescent="0.4">
      <c r="A3617" t="str">
        <f t="shared" si="392"/>
        <v/>
      </c>
      <c r="B3617" t="str">
        <f t="shared" si="393"/>
        <v/>
      </c>
      <c r="C3617" t="str">
        <f t="shared" si="394"/>
        <v/>
      </c>
      <c r="D3617" t="str">
        <f t="shared" si="395"/>
        <v/>
      </c>
      <c r="E3617" t="str">
        <f>IF(F3617="","",IF(COUNTIF($F$2:F3617,F3617)&gt;1,"",SUMIFS(tbl_input[필요수량],tbl_input[집계키_센터],F3617)))</f>
        <v/>
      </c>
      <c r="F3617" t="str">
        <f>IFERROR(INDEX(tbl_input[집계키_센터],ROW()-1),"")</f>
        <v/>
      </c>
      <c r="G3617" t="str">
        <f t="shared" si="396"/>
        <v/>
      </c>
      <c r="H3617" t="str">
        <f t="shared" si="397"/>
        <v/>
      </c>
      <c r="I3617" t="str">
        <f t="shared" si="398"/>
        <v/>
      </c>
    </row>
    <row r="3618" spans="1:9" x14ac:dyDescent="0.4">
      <c r="A3618" t="str">
        <f t="shared" si="392"/>
        <v/>
      </c>
      <c r="B3618" t="str">
        <f t="shared" si="393"/>
        <v/>
      </c>
      <c r="C3618" t="str">
        <f t="shared" si="394"/>
        <v/>
      </c>
      <c r="D3618" t="str">
        <f t="shared" si="395"/>
        <v/>
      </c>
      <c r="E3618" t="str">
        <f>IF(F3618="","",IF(COUNTIF($F$2:F3618,F3618)&gt;1,"",SUMIFS(tbl_input[필요수량],tbl_input[집계키_센터],F3618)))</f>
        <v/>
      </c>
      <c r="F3618" t="str">
        <f>IFERROR(INDEX(tbl_input[집계키_센터],ROW()-1),"")</f>
        <v/>
      </c>
      <c r="G3618" t="str">
        <f t="shared" si="396"/>
        <v/>
      </c>
      <c r="H3618" t="str">
        <f t="shared" si="397"/>
        <v/>
      </c>
      <c r="I3618" t="str">
        <f t="shared" si="398"/>
        <v/>
      </c>
    </row>
    <row r="3619" spans="1:9" x14ac:dyDescent="0.4">
      <c r="A3619" t="str">
        <f t="shared" si="392"/>
        <v/>
      </c>
      <c r="B3619" t="str">
        <f t="shared" si="393"/>
        <v/>
      </c>
      <c r="C3619" t="str">
        <f t="shared" si="394"/>
        <v/>
      </c>
      <c r="D3619" t="str">
        <f t="shared" si="395"/>
        <v/>
      </c>
      <c r="E3619" t="str">
        <f>IF(F3619="","",IF(COUNTIF($F$2:F3619,F3619)&gt;1,"",SUMIFS(tbl_input[필요수량],tbl_input[집계키_센터],F3619)))</f>
        <v/>
      </c>
      <c r="F3619" t="str">
        <f>IFERROR(INDEX(tbl_input[집계키_센터],ROW()-1),"")</f>
        <v/>
      </c>
      <c r="G3619" t="str">
        <f t="shared" si="396"/>
        <v/>
      </c>
      <c r="H3619" t="str">
        <f t="shared" si="397"/>
        <v/>
      </c>
      <c r="I3619" t="str">
        <f t="shared" si="398"/>
        <v/>
      </c>
    </row>
    <row r="3620" spans="1:9" x14ac:dyDescent="0.4">
      <c r="A3620" t="str">
        <f t="shared" si="392"/>
        <v/>
      </c>
      <c r="B3620" t="str">
        <f t="shared" si="393"/>
        <v/>
      </c>
      <c r="C3620" t="str">
        <f t="shared" si="394"/>
        <v/>
      </c>
      <c r="D3620" t="str">
        <f t="shared" si="395"/>
        <v/>
      </c>
      <c r="E3620" t="str">
        <f>IF(F3620="","",IF(COUNTIF($F$2:F3620,F3620)&gt;1,"",SUMIFS(tbl_input[필요수량],tbl_input[집계키_센터],F3620)))</f>
        <v/>
      </c>
      <c r="F3620" t="str">
        <f>IFERROR(INDEX(tbl_input[집계키_센터],ROW()-1),"")</f>
        <v/>
      </c>
      <c r="G3620" t="str">
        <f t="shared" si="396"/>
        <v/>
      </c>
      <c r="H3620" t="str">
        <f t="shared" si="397"/>
        <v/>
      </c>
      <c r="I3620" t="str">
        <f t="shared" si="398"/>
        <v/>
      </c>
    </row>
    <row r="3621" spans="1:9" x14ac:dyDescent="0.4">
      <c r="A3621" t="str">
        <f t="shared" si="392"/>
        <v/>
      </c>
      <c r="B3621" t="str">
        <f t="shared" si="393"/>
        <v/>
      </c>
      <c r="C3621" t="str">
        <f t="shared" si="394"/>
        <v/>
      </c>
      <c r="D3621" t="str">
        <f t="shared" si="395"/>
        <v/>
      </c>
      <c r="E3621" t="str">
        <f>IF(F3621="","",IF(COUNTIF($F$2:F3621,F3621)&gt;1,"",SUMIFS(tbl_input[필요수량],tbl_input[집계키_센터],F3621)))</f>
        <v/>
      </c>
      <c r="F3621" t="str">
        <f>IFERROR(INDEX(tbl_input[집계키_센터],ROW()-1),"")</f>
        <v/>
      </c>
      <c r="G3621" t="str">
        <f t="shared" si="396"/>
        <v/>
      </c>
      <c r="H3621" t="str">
        <f t="shared" si="397"/>
        <v/>
      </c>
      <c r="I3621" t="str">
        <f t="shared" si="398"/>
        <v/>
      </c>
    </row>
    <row r="3622" spans="1:9" x14ac:dyDescent="0.4">
      <c r="A3622" t="str">
        <f t="shared" si="392"/>
        <v/>
      </c>
      <c r="B3622" t="str">
        <f t="shared" si="393"/>
        <v/>
      </c>
      <c r="C3622" t="str">
        <f t="shared" si="394"/>
        <v/>
      </c>
      <c r="D3622" t="str">
        <f t="shared" si="395"/>
        <v/>
      </c>
      <c r="E3622" t="str">
        <f>IF(F3622="","",IF(COUNTIF($F$2:F3622,F3622)&gt;1,"",SUMIFS(tbl_input[필요수량],tbl_input[집계키_센터],F3622)))</f>
        <v/>
      </c>
      <c r="F3622" t="str">
        <f>IFERROR(INDEX(tbl_input[집계키_센터],ROW()-1),"")</f>
        <v/>
      </c>
      <c r="G3622" t="str">
        <f t="shared" si="396"/>
        <v/>
      </c>
      <c r="H3622" t="str">
        <f t="shared" si="397"/>
        <v/>
      </c>
      <c r="I3622" t="str">
        <f t="shared" si="398"/>
        <v/>
      </c>
    </row>
    <row r="3623" spans="1:9" x14ac:dyDescent="0.4">
      <c r="A3623" t="str">
        <f t="shared" si="392"/>
        <v/>
      </c>
      <c r="B3623" t="str">
        <f t="shared" si="393"/>
        <v/>
      </c>
      <c r="C3623" t="str">
        <f t="shared" si="394"/>
        <v/>
      </c>
      <c r="D3623" t="str">
        <f t="shared" si="395"/>
        <v/>
      </c>
      <c r="E3623" t="str">
        <f>IF(F3623="","",IF(COUNTIF($F$2:F3623,F3623)&gt;1,"",SUMIFS(tbl_input[필요수량],tbl_input[집계키_센터],F3623)))</f>
        <v/>
      </c>
      <c r="F3623" t="str">
        <f>IFERROR(INDEX(tbl_input[집계키_센터],ROW()-1),"")</f>
        <v/>
      </c>
      <c r="G3623" t="str">
        <f t="shared" si="396"/>
        <v/>
      </c>
      <c r="H3623" t="str">
        <f t="shared" si="397"/>
        <v/>
      </c>
      <c r="I3623" t="str">
        <f t="shared" si="398"/>
        <v/>
      </c>
    </row>
    <row r="3624" spans="1:9" x14ac:dyDescent="0.4">
      <c r="A3624" t="str">
        <f t="shared" si="392"/>
        <v/>
      </c>
      <c r="B3624" t="str">
        <f t="shared" si="393"/>
        <v/>
      </c>
      <c r="C3624" t="str">
        <f t="shared" si="394"/>
        <v/>
      </c>
      <c r="D3624" t="str">
        <f t="shared" si="395"/>
        <v/>
      </c>
      <c r="E3624" t="str">
        <f>IF(F3624="","",IF(COUNTIF($F$2:F3624,F3624)&gt;1,"",SUMIFS(tbl_input[필요수량],tbl_input[집계키_센터],F3624)))</f>
        <v/>
      </c>
      <c r="F3624" t="str">
        <f>IFERROR(INDEX(tbl_input[집계키_센터],ROW()-1),"")</f>
        <v/>
      </c>
      <c r="G3624" t="str">
        <f t="shared" si="396"/>
        <v/>
      </c>
      <c r="H3624" t="str">
        <f t="shared" si="397"/>
        <v/>
      </c>
      <c r="I3624" t="str">
        <f t="shared" si="398"/>
        <v/>
      </c>
    </row>
    <row r="3625" spans="1:9" x14ac:dyDescent="0.4">
      <c r="A3625" t="str">
        <f t="shared" si="392"/>
        <v/>
      </c>
      <c r="B3625" t="str">
        <f t="shared" si="393"/>
        <v/>
      </c>
      <c r="C3625" t="str">
        <f t="shared" si="394"/>
        <v/>
      </c>
      <c r="D3625" t="str">
        <f t="shared" si="395"/>
        <v/>
      </c>
      <c r="E3625" t="str">
        <f>IF(F3625="","",IF(COUNTIF($F$2:F3625,F3625)&gt;1,"",SUMIFS(tbl_input[필요수량],tbl_input[집계키_센터],F3625)))</f>
        <v/>
      </c>
      <c r="F3625" t="str">
        <f>IFERROR(INDEX(tbl_input[집계키_센터],ROW()-1),"")</f>
        <v/>
      </c>
      <c r="G3625" t="str">
        <f t="shared" si="396"/>
        <v/>
      </c>
      <c r="H3625" t="str">
        <f t="shared" si="397"/>
        <v/>
      </c>
      <c r="I3625" t="str">
        <f t="shared" si="398"/>
        <v/>
      </c>
    </row>
    <row r="3626" spans="1:9" x14ac:dyDescent="0.4">
      <c r="A3626" t="str">
        <f t="shared" si="392"/>
        <v/>
      </c>
      <c r="B3626" t="str">
        <f t="shared" si="393"/>
        <v/>
      </c>
      <c r="C3626" t="str">
        <f t="shared" si="394"/>
        <v/>
      </c>
      <c r="D3626" t="str">
        <f t="shared" si="395"/>
        <v/>
      </c>
      <c r="E3626" t="str">
        <f>IF(F3626="","",IF(COUNTIF($F$2:F3626,F3626)&gt;1,"",SUMIFS(tbl_input[필요수량],tbl_input[집계키_센터],F3626)))</f>
        <v/>
      </c>
      <c r="F3626" t="str">
        <f>IFERROR(INDEX(tbl_input[집계키_센터],ROW()-1),"")</f>
        <v/>
      </c>
      <c r="G3626" t="str">
        <f t="shared" si="396"/>
        <v/>
      </c>
      <c r="H3626" t="str">
        <f t="shared" si="397"/>
        <v/>
      </c>
      <c r="I3626" t="str">
        <f t="shared" si="398"/>
        <v/>
      </c>
    </row>
    <row r="3627" spans="1:9" x14ac:dyDescent="0.4">
      <c r="A3627" t="str">
        <f t="shared" si="392"/>
        <v/>
      </c>
      <c r="B3627" t="str">
        <f t="shared" si="393"/>
        <v/>
      </c>
      <c r="C3627" t="str">
        <f t="shared" si="394"/>
        <v/>
      </c>
      <c r="D3627" t="str">
        <f t="shared" si="395"/>
        <v/>
      </c>
      <c r="E3627" t="str">
        <f>IF(F3627="","",IF(COUNTIF($F$2:F3627,F3627)&gt;1,"",SUMIFS(tbl_input[필요수량],tbl_input[집계키_센터],F3627)))</f>
        <v/>
      </c>
      <c r="F3627" t="str">
        <f>IFERROR(INDEX(tbl_input[집계키_센터],ROW()-1),"")</f>
        <v/>
      </c>
      <c r="G3627" t="str">
        <f t="shared" si="396"/>
        <v/>
      </c>
      <c r="H3627" t="str">
        <f t="shared" si="397"/>
        <v/>
      </c>
      <c r="I3627" t="str">
        <f t="shared" si="398"/>
        <v/>
      </c>
    </row>
    <row r="3628" spans="1:9" x14ac:dyDescent="0.4">
      <c r="A3628" t="str">
        <f t="shared" si="392"/>
        <v/>
      </c>
      <c r="B3628" t="str">
        <f t="shared" si="393"/>
        <v/>
      </c>
      <c r="C3628" t="str">
        <f t="shared" si="394"/>
        <v/>
      </c>
      <c r="D3628" t="str">
        <f t="shared" si="395"/>
        <v/>
      </c>
      <c r="E3628" t="str">
        <f>IF(F3628="","",IF(COUNTIF($F$2:F3628,F3628)&gt;1,"",SUMIFS(tbl_input[필요수량],tbl_input[집계키_센터],F3628)))</f>
        <v/>
      </c>
      <c r="F3628" t="str">
        <f>IFERROR(INDEX(tbl_input[집계키_센터],ROW()-1),"")</f>
        <v/>
      </c>
      <c r="G3628" t="str">
        <f t="shared" si="396"/>
        <v/>
      </c>
      <c r="H3628" t="str">
        <f t="shared" si="397"/>
        <v/>
      </c>
      <c r="I3628" t="str">
        <f t="shared" si="398"/>
        <v/>
      </c>
    </row>
    <row r="3629" spans="1:9" x14ac:dyDescent="0.4">
      <c r="A3629" t="str">
        <f t="shared" si="392"/>
        <v/>
      </c>
      <c r="B3629" t="str">
        <f t="shared" si="393"/>
        <v/>
      </c>
      <c r="C3629" t="str">
        <f t="shared" si="394"/>
        <v/>
      </c>
      <c r="D3629" t="str">
        <f t="shared" si="395"/>
        <v/>
      </c>
      <c r="E3629" t="str">
        <f>IF(F3629="","",IF(COUNTIF($F$2:F3629,F3629)&gt;1,"",SUMIFS(tbl_input[필요수량],tbl_input[집계키_센터],F3629)))</f>
        <v/>
      </c>
      <c r="F3629" t="str">
        <f>IFERROR(INDEX(tbl_input[집계키_센터],ROW()-1),"")</f>
        <v/>
      </c>
      <c r="G3629" t="str">
        <f t="shared" si="396"/>
        <v/>
      </c>
      <c r="H3629" t="str">
        <f t="shared" si="397"/>
        <v/>
      </c>
      <c r="I3629" t="str">
        <f t="shared" si="398"/>
        <v/>
      </c>
    </row>
    <row r="3630" spans="1:9" x14ac:dyDescent="0.4">
      <c r="A3630" t="str">
        <f t="shared" si="392"/>
        <v/>
      </c>
      <c r="B3630" t="str">
        <f t="shared" si="393"/>
        <v/>
      </c>
      <c r="C3630" t="str">
        <f t="shared" si="394"/>
        <v/>
      </c>
      <c r="D3630" t="str">
        <f t="shared" si="395"/>
        <v/>
      </c>
      <c r="E3630" t="str">
        <f>IF(F3630="","",IF(COUNTIF($F$2:F3630,F3630)&gt;1,"",SUMIFS(tbl_input[필요수량],tbl_input[집계키_센터],F3630)))</f>
        <v/>
      </c>
      <c r="F3630" t="str">
        <f>IFERROR(INDEX(tbl_input[집계키_센터],ROW()-1),"")</f>
        <v/>
      </c>
      <c r="G3630" t="str">
        <f t="shared" si="396"/>
        <v/>
      </c>
      <c r="H3630" t="str">
        <f t="shared" si="397"/>
        <v/>
      </c>
      <c r="I3630" t="str">
        <f t="shared" si="398"/>
        <v/>
      </c>
    </row>
    <row r="3631" spans="1:9" x14ac:dyDescent="0.4">
      <c r="A3631" t="str">
        <f t="shared" si="392"/>
        <v/>
      </c>
      <c r="B3631" t="str">
        <f t="shared" si="393"/>
        <v/>
      </c>
      <c r="C3631" t="str">
        <f t="shared" si="394"/>
        <v/>
      </c>
      <c r="D3631" t="str">
        <f t="shared" si="395"/>
        <v/>
      </c>
      <c r="E3631" t="str">
        <f>IF(F3631="","",IF(COUNTIF($F$2:F3631,F3631)&gt;1,"",SUMIFS(tbl_input[필요수량],tbl_input[집계키_센터],F3631)))</f>
        <v/>
      </c>
      <c r="F3631" t="str">
        <f>IFERROR(INDEX(tbl_input[집계키_센터],ROW()-1),"")</f>
        <v/>
      </c>
      <c r="G3631" t="str">
        <f t="shared" si="396"/>
        <v/>
      </c>
      <c r="H3631" t="str">
        <f t="shared" si="397"/>
        <v/>
      </c>
      <c r="I3631" t="str">
        <f t="shared" si="398"/>
        <v/>
      </c>
    </row>
    <row r="3632" spans="1:9" x14ac:dyDescent="0.4">
      <c r="A3632" t="str">
        <f t="shared" si="392"/>
        <v/>
      </c>
      <c r="B3632" t="str">
        <f t="shared" si="393"/>
        <v/>
      </c>
      <c r="C3632" t="str">
        <f t="shared" si="394"/>
        <v/>
      </c>
      <c r="D3632" t="str">
        <f t="shared" si="395"/>
        <v/>
      </c>
      <c r="E3632" t="str">
        <f>IF(F3632="","",IF(COUNTIF($F$2:F3632,F3632)&gt;1,"",SUMIFS(tbl_input[필요수량],tbl_input[집계키_센터],F3632)))</f>
        <v/>
      </c>
      <c r="F3632" t="str">
        <f>IFERROR(INDEX(tbl_input[집계키_센터],ROW()-1),"")</f>
        <v/>
      </c>
      <c r="G3632" t="str">
        <f t="shared" si="396"/>
        <v/>
      </c>
      <c r="H3632" t="str">
        <f t="shared" si="397"/>
        <v/>
      </c>
      <c r="I3632" t="str">
        <f t="shared" si="398"/>
        <v/>
      </c>
    </row>
    <row r="3633" spans="1:9" x14ac:dyDescent="0.4">
      <c r="A3633" t="str">
        <f t="shared" si="392"/>
        <v/>
      </c>
      <c r="B3633" t="str">
        <f t="shared" si="393"/>
        <v/>
      </c>
      <c r="C3633" t="str">
        <f t="shared" si="394"/>
        <v/>
      </c>
      <c r="D3633" t="str">
        <f t="shared" si="395"/>
        <v/>
      </c>
      <c r="E3633" t="str">
        <f>IF(F3633="","",IF(COUNTIF($F$2:F3633,F3633)&gt;1,"",SUMIFS(tbl_input[필요수량],tbl_input[집계키_센터],F3633)))</f>
        <v/>
      </c>
      <c r="F3633" t="str">
        <f>IFERROR(INDEX(tbl_input[집계키_센터],ROW()-1),"")</f>
        <v/>
      </c>
      <c r="G3633" t="str">
        <f t="shared" si="396"/>
        <v/>
      </c>
      <c r="H3633" t="str">
        <f t="shared" si="397"/>
        <v/>
      </c>
      <c r="I3633" t="str">
        <f t="shared" si="398"/>
        <v/>
      </c>
    </row>
    <row r="3634" spans="1:9" x14ac:dyDescent="0.4">
      <c r="A3634" t="str">
        <f t="shared" si="392"/>
        <v/>
      </c>
      <c r="B3634" t="str">
        <f t="shared" si="393"/>
        <v/>
      </c>
      <c r="C3634" t="str">
        <f t="shared" si="394"/>
        <v/>
      </c>
      <c r="D3634" t="str">
        <f t="shared" si="395"/>
        <v/>
      </c>
      <c r="E3634" t="str">
        <f>IF(F3634="","",IF(COUNTIF($F$2:F3634,F3634)&gt;1,"",SUMIFS(tbl_input[필요수량],tbl_input[집계키_센터],F3634)))</f>
        <v/>
      </c>
      <c r="F3634" t="str">
        <f>IFERROR(INDEX(tbl_input[집계키_센터],ROW()-1),"")</f>
        <v/>
      </c>
      <c r="G3634" t="str">
        <f t="shared" si="396"/>
        <v/>
      </c>
      <c r="H3634" t="str">
        <f t="shared" si="397"/>
        <v/>
      </c>
      <c r="I3634" t="str">
        <f t="shared" si="398"/>
        <v/>
      </c>
    </row>
    <row r="3635" spans="1:9" x14ac:dyDescent="0.4">
      <c r="A3635" t="str">
        <f t="shared" si="392"/>
        <v/>
      </c>
      <c r="B3635" t="str">
        <f t="shared" si="393"/>
        <v/>
      </c>
      <c r="C3635" t="str">
        <f t="shared" si="394"/>
        <v/>
      </c>
      <c r="D3635" t="str">
        <f t="shared" si="395"/>
        <v/>
      </c>
      <c r="E3635" t="str">
        <f>IF(F3635="","",IF(COUNTIF($F$2:F3635,F3635)&gt;1,"",SUMIFS(tbl_input[필요수량],tbl_input[집계키_센터],F3635)))</f>
        <v/>
      </c>
      <c r="F3635" t="str">
        <f>IFERROR(INDEX(tbl_input[집계키_센터],ROW()-1),"")</f>
        <v/>
      </c>
      <c r="G3635" t="str">
        <f t="shared" si="396"/>
        <v/>
      </c>
      <c r="H3635" t="str">
        <f t="shared" si="397"/>
        <v/>
      </c>
      <c r="I3635" t="str">
        <f t="shared" si="398"/>
        <v/>
      </c>
    </row>
    <row r="3636" spans="1:9" x14ac:dyDescent="0.4">
      <c r="A3636" t="str">
        <f t="shared" si="392"/>
        <v/>
      </c>
      <c r="B3636" t="str">
        <f t="shared" si="393"/>
        <v/>
      </c>
      <c r="C3636" t="str">
        <f t="shared" si="394"/>
        <v/>
      </c>
      <c r="D3636" t="str">
        <f t="shared" si="395"/>
        <v/>
      </c>
      <c r="E3636" t="str">
        <f>IF(F3636="","",IF(COUNTIF($F$2:F3636,F3636)&gt;1,"",SUMIFS(tbl_input[필요수량],tbl_input[집계키_센터],F3636)))</f>
        <v/>
      </c>
      <c r="F3636" t="str">
        <f>IFERROR(INDEX(tbl_input[집계키_센터],ROW()-1),"")</f>
        <v/>
      </c>
      <c r="G3636" t="str">
        <f t="shared" si="396"/>
        <v/>
      </c>
      <c r="H3636" t="str">
        <f t="shared" si="397"/>
        <v/>
      </c>
      <c r="I3636" t="str">
        <f t="shared" si="398"/>
        <v/>
      </c>
    </row>
    <row r="3637" spans="1:9" x14ac:dyDescent="0.4">
      <c r="A3637" t="str">
        <f t="shared" si="392"/>
        <v/>
      </c>
      <c r="B3637" t="str">
        <f t="shared" si="393"/>
        <v/>
      </c>
      <c r="C3637" t="str">
        <f t="shared" si="394"/>
        <v/>
      </c>
      <c r="D3637" t="str">
        <f t="shared" si="395"/>
        <v/>
      </c>
      <c r="E3637" t="str">
        <f>IF(F3637="","",IF(COUNTIF($F$2:F3637,F3637)&gt;1,"",SUMIFS(tbl_input[필요수량],tbl_input[집계키_센터],F3637)))</f>
        <v/>
      </c>
      <c r="F3637" t="str">
        <f>IFERROR(INDEX(tbl_input[집계키_센터],ROW()-1),"")</f>
        <v/>
      </c>
      <c r="G3637" t="str">
        <f t="shared" si="396"/>
        <v/>
      </c>
      <c r="H3637" t="str">
        <f t="shared" si="397"/>
        <v/>
      </c>
      <c r="I3637" t="str">
        <f t="shared" si="398"/>
        <v/>
      </c>
    </row>
    <row r="3638" spans="1:9" x14ac:dyDescent="0.4">
      <c r="A3638" t="str">
        <f t="shared" si="392"/>
        <v/>
      </c>
      <c r="B3638" t="str">
        <f t="shared" si="393"/>
        <v/>
      </c>
      <c r="C3638" t="str">
        <f t="shared" si="394"/>
        <v/>
      </c>
      <c r="D3638" t="str">
        <f t="shared" si="395"/>
        <v/>
      </c>
      <c r="E3638" t="str">
        <f>IF(F3638="","",IF(COUNTIF($F$2:F3638,F3638)&gt;1,"",SUMIFS(tbl_input[필요수량],tbl_input[집계키_센터],F3638)))</f>
        <v/>
      </c>
      <c r="F3638" t="str">
        <f>IFERROR(INDEX(tbl_input[집계키_센터],ROW()-1),"")</f>
        <v/>
      </c>
      <c r="G3638" t="str">
        <f t="shared" si="396"/>
        <v/>
      </c>
      <c r="H3638" t="str">
        <f t="shared" si="397"/>
        <v/>
      </c>
      <c r="I3638" t="str">
        <f t="shared" si="398"/>
        <v/>
      </c>
    </row>
    <row r="3639" spans="1:9" x14ac:dyDescent="0.4">
      <c r="A3639" t="str">
        <f t="shared" si="392"/>
        <v/>
      </c>
      <c r="B3639" t="str">
        <f t="shared" si="393"/>
        <v/>
      </c>
      <c r="C3639" t="str">
        <f t="shared" si="394"/>
        <v/>
      </c>
      <c r="D3639" t="str">
        <f t="shared" si="395"/>
        <v/>
      </c>
      <c r="E3639" t="str">
        <f>IF(F3639="","",IF(COUNTIF($F$2:F3639,F3639)&gt;1,"",SUMIFS(tbl_input[필요수량],tbl_input[집계키_센터],F3639)))</f>
        <v/>
      </c>
      <c r="F3639" t="str">
        <f>IFERROR(INDEX(tbl_input[집계키_센터],ROW()-1),"")</f>
        <v/>
      </c>
      <c r="G3639" t="str">
        <f t="shared" si="396"/>
        <v/>
      </c>
      <c r="H3639" t="str">
        <f t="shared" si="397"/>
        <v/>
      </c>
      <c r="I3639" t="str">
        <f t="shared" si="398"/>
        <v/>
      </c>
    </row>
    <row r="3640" spans="1:9" x14ac:dyDescent="0.4">
      <c r="A3640" t="str">
        <f t="shared" si="392"/>
        <v/>
      </c>
      <c r="B3640" t="str">
        <f t="shared" si="393"/>
        <v/>
      </c>
      <c r="C3640" t="str">
        <f t="shared" si="394"/>
        <v/>
      </c>
      <c r="D3640" t="str">
        <f t="shared" si="395"/>
        <v/>
      </c>
      <c r="E3640" t="str">
        <f>IF(F3640="","",IF(COUNTIF($F$2:F3640,F3640)&gt;1,"",SUMIFS(tbl_input[필요수량],tbl_input[집계키_센터],F3640)))</f>
        <v/>
      </c>
      <c r="F3640" t="str">
        <f>IFERROR(INDEX(tbl_input[집계키_센터],ROW()-1),"")</f>
        <v/>
      </c>
      <c r="G3640" t="str">
        <f t="shared" si="396"/>
        <v/>
      </c>
      <c r="H3640" t="str">
        <f t="shared" si="397"/>
        <v/>
      </c>
      <c r="I3640" t="str">
        <f t="shared" si="398"/>
        <v/>
      </c>
    </row>
    <row r="3641" spans="1:9" x14ac:dyDescent="0.4">
      <c r="A3641" t="str">
        <f t="shared" si="392"/>
        <v/>
      </c>
      <c r="B3641" t="str">
        <f t="shared" si="393"/>
        <v/>
      </c>
      <c r="C3641" t="str">
        <f t="shared" si="394"/>
        <v/>
      </c>
      <c r="D3641" t="str">
        <f t="shared" si="395"/>
        <v/>
      </c>
      <c r="E3641" t="str">
        <f>IF(F3641="","",IF(COUNTIF($F$2:F3641,F3641)&gt;1,"",SUMIFS(tbl_input[필요수량],tbl_input[집계키_센터],F3641)))</f>
        <v/>
      </c>
      <c r="F3641" t="str">
        <f>IFERROR(INDEX(tbl_input[집계키_센터],ROW()-1),"")</f>
        <v/>
      </c>
      <c r="G3641" t="str">
        <f t="shared" si="396"/>
        <v/>
      </c>
      <c r="H3641" t="str">
        <f t="shared" si="397"/>
        <v/>
      </c>
      <c r="I3641" t="str">
        <f t="shared" si="398"/>
        <v/>
      </c>
    </row>
    <row r="3642" spans="1:9" x14ac:dyDescent="0.4">
      <c r="A3642" t="str">
        <f t="shared" si="392"/>
        <v/>
      </c>
      <c r="B3642" t="str">
        <f t="shared" si="393"/>
        <v/>
      </c>
      <c r="C3642" t="str">
        <f t="shared" si="394"/>
        <v/>
      </c>
      <c r="D3642" t="str">
        <f t="shared" si="395"/>
        <v/>
      </c>
      <c r="E3642" t="str">
        <f>IF(F3642="","",IF(COUNTIF($F$2:F3642,F3642)&gt;1,"",SUMIFS(tbl_input[필요수량],tbl_input[집계키_센터],F3642)))</f>
        <v/>
      </c>
      <c r="F3642" t="str">
        <f>IFERROR(INDEX(tbl_input[집계키_센터],ROW()-1),"")</f>
        <v/>
      </c>
      <c r="G3642" t="str">
        <f t="shared" si="396"/>
        <v/>
      </c>
      <c r="H3642" t="str">
        <f t="shared" si="397"/>
        <v/>
      </c>
      <c r="I3642" t="str">
        <f t="shared" si="398"/>
        <v/>
      </c>
    </row>
    <row r="3643" spans="1:9" x14ac:dyDescent="0.4">
      <c r="A3643" t="str">
        <f t="shared" si="392"/>
        <v/>
      </c>
      <c r="B3643" t="str">
        <f t="shared" si="393"/>
        <v/>
      </c>
      <c r="C3643" t="str">
        <f t="shared" si="394"/>
        <v/>
      </c>
      <c r="D3643" t="str">
        <f t="shared" si="395"/>
        <v/>
      </c>
      <c r="E3643" t="str">
        <f>IF(F3643="","",IF(COUNTIF($F$2:F3643,F3643)&gt;1,"",SUMIFS(tbl_input[필요수량],tbl_input[집계키_센터],F3643)))</f>
        <v/>
      </c>
      <c r="F3643" t="str">
        <f>IFERROR(INDEX(tbl_input[집계키_센터],ROW()-1),"")</f>
        <v/>
      </c>
      <c r="G3643" t="str">
        <f t="shared" si="396"/>
        <v/>
      </c>
      <c r="H3643" t="str">
        <f t="shared" si="397"/>
        <v/>
      </c>
      <c r="I3643" t="str">
        <f t="shared" si="398"/>
        <v/>
      </c>
    </row>
    <row r="3644" spans="1:9" x14ac:dyDescent="0.4">
      <c r="A3644" t="str">
        <f t="shared" si="392"/>
        <v/>
      </c>
      <c r="B3644" t="str">
        <f t="shared" si="393"/>
        <v/>
      </c>
      <c r="C3644" t="str">
        <f t="shared" si="394"/>
        <v/>
      </c>
      <c r="D3644" t="str">
        <f t="shared" si="395"/>
        <v/>
      </c>
      <c r="E3644" t="str">
        <f>IF(F3644="","",IF(COUNTIF($F$2:F3644,F3644)&gt;1,"",SUMIFS(tbl_input[필요수량],tbl_input[집계키_센터],F3644)))</f>
        <v/>
      </c>
      <c r="F3644" t="str">
        <f>IFERROR(INDEX(tbl_input[집계키_센터],ROW()-1),"")</f>
        <v/>
      </c>
      <c r="G3644" t="str">
        <f t="shared" si="396"/>
        <v/>
      </c>
      <c r="H3644" t="str">
        <f t="shared" si="397"/>
        <v/>
      </c>
      <c r="I3644" t="str">
        <f t="shared" si="398"/>
        <v/>
      </c>
    </row>
    <row r="3645" spans="1:9" x14ac:dyDescent="0.4">
      <c r="A3645" t="str">
        <f t="shared" si="392"/>
        <v/>
      </c>
      <c r="B3645" t="str">
        <f t="shared" si="393"/>
        <v/>
      </c>
      <c r="C3645" t="str">
        <f t="shared" si="394"/>
        <v/>
      </c>
      <c r="D3645" t="str">
        <f t="shared" si="395"/>
        <v/>
      </c>
      <c r="E3645" t="str">
        <f>IF(F3645="","",IF(COUNTIF($F$2:F3645,F3645)&gt;1,"",SUMIFS(tbl_input[필요수량],tbl_input[집계키_센터],F3645)))</f>
        <v/>
      </c>
      <c r="F3645" t="str">
        <f>IFERROR(INDEX(tbl_input[집계키_센터],ROW()-1),"")</f>
        <v/>
      </c>
      <c r="G3645" t="str">
        <f t="shared" si="396"/>
        <v/>
      </c>
      <c r="H3645" t="str">
        <f t="shared" si="397"/>
        <v/>
      </c>
      <c r="I3645" t="str">
        <f t="shared" si="398"/>
        <v/>
      </c>
    </row>
    <row r="3646" spans="1:9" x14ac:dyDescent="0.4">
      <c r="A3646" t="str">
        <f t="shared" si="392"/>
        <v/>
      </c>
      <c r="B3646" t="str">
        <f t="shared" si="393"/>
        <v/>
      </c>
      <c r="C3646" t="str">
        <f t="shared" si="394"/>
        <v/>
      </c>
      <c r="D3646" t="str">
        <f t="shared" si="395"/>
        <v/>
      </c>
      <c r="E3646" t="str">
        <f>IF(F3646="","",IF(COUNTIF($F$2:F3646,F3646)&gt;1,"",SUMIFS(tbl_input[필요수량],tbl_input[집계키_센터],F3646)))</f>
        <v/>
      </c>
      <c r="F3646" t="str">
        <f>IFERROR(INDEX(tbl_input[집계키_센터],ROW()-1),"")</f>
        <v/>
      </c>
      <c r="G3646" t="str">
        <f t="shared" si="396"/>
        <v/>
      </c>
      <c r="H3646" t="str">
        <f t="shared" si="397"/>
        <v/>
      </c>
      <c r="I3646" t="str">
        <f t="shared" si="398"/>
        <v/>
      </c>
    </row>
    <row r="3647" spans="1:9" x14ac:dyDescent="0.4">
      <c r="A3647" t="str">
        <f t="shared" si="392"/>
        <v/>
      </c>
      <c r="B3647" t="str">
        <f t="shared" si="393"/>
        <v/>
      </c>
      <c r="C3647" t="str">
        <f t="shared" si="394"/>
        <v/>
      </c>
      <c r="D3647" t="str">
        <f t="shared" si="395"/>
        <v/>
      </c>
      <c r="E3647" t="str">
        <f>IF(F3647="","",IF(COUNTIF($F$2:F3647,F3647)&gt;1,"",SUMIFS(tbl_input[필요수량],tbl_input[집계키_센터],F3647)))</f>
        <v/>
      </c>
      <c r="F3647" t="str">
        <f>IFERROR(INDEX(tbl_input[집계키_센터],ROW()-1),"")</f>
        <v/>
      </c>
      <c r="G3647" t="str">
        <f t="shared" si="396"/>
        <v/>
      </c>
      <c r="H3647" t="str">
        <f t="shared" si="397"/>
        <v/>
      </c>
      <c r="I3647" t="str">
        <f t="shared" si="398"/>
        <v/>
      </c>
    </row>
    <row r="3648" spans="1:9" x14ac:dyDescent="0.4">
      <c r="A3648" t="str">
        <f t="shared" si="392"/>
        <v/>
      </c>
      <c r="B3648" t="str">
        <f t="shared" si="393"/>
        <v/>
      </c>
      <c r="C3648" t="str">
        <f t="shared" si="394"/>
        <v/>
      </c>
      <c r="D3648" t="str">
        <f t="shared" si="395"/>
        <v/>
      </c>
      <c r="E3648" t="str">
        <f>IF(F3648="","",IF(COUNTIF($F$2:F3648,F3648)&gt;1,"",SUMIFS(tbl_input[필요수량],tbl_input[집계키_센터],F3648)))</f>
        <v/>
      </c>
      <c r="F3648" t="str">
        <f>IFERROR(INDEX(tbl_input[집계키_센터],ROW()-1),"")</f>
        <v/>
      </c>
      <c r="G3648" t="str">
        <f t="shared" si="396"/>
        <v/>
      </c>
      <c r="H3648" t="str">
        <f t="shared" si="397"/>
        <v/>
      </c>
      <c r="I3648" t="str">
        <f t="shared" si="398"/>
        <v/>
      </c>
    </row>
    <row r="3649" spans="1:9" x14ac:dyDescent="0.4">
      <c r="A3649" t="str">
        <f t="shared" si="392"/>
        <v/>
      </c>
      <c r="B3649" t="str">
        <f t="shared" si="393"/>
        <v/>
      </c>
      <c r="C3649" t="str">
        <f t="shared" si="394"/>
        <v/>
      </c>
      <c r="D3649" t="str">
        <f t="shared" si="395"/>
        <v/>
      </c>
      <c r="E3649" t="str">
        <f>IF(F3649="","",IF(COUNTIF($F$2:F3649,F3649)&gt;1,"",SUMIFS(tbl_input[필요수량],tbl_input[집계키_센터],F3649)))</f>
        <v/>
      </c>
      <c r="F3649" t="str">
        <f>IFERROR(INDEX(tbl_input[집계키_센터],ROW()-1),"")</f>
        <v/>
      </c>
      <c r="G3649" t="str">
        <f t="shared" si="396"/>
        <v/>
      </c>
      <c r="H3649" t="str">
        <f t="shared" si="397"/>
        <v/>
      </c>
      <c r="I3649" t="str">
        <f t="shared" si="398"/>
        <v/>
      </c>
    </row>
    <row r="3650" spans="1:9" x14ac:dyDescent="0.4">
      <c r="A3650" t="str">
        <f t="shared" ref="A3650:A3713" si="399">IF(F3650="","",LEFT(F3650,G3650-1))</f>
        <v/>
      </c>
      <c r="B3650" t="str">
        <f t="shared" ref="B3650:B3713" si="400">IF(F3650="","",MID(F3650,G3650+1,H3650-G3650-1))</f>
        <v/>
      </c>
      <c r="C3650" t="str">
        <f t="shared" ref="C3650:C3713" si="401">IF(F3650="","",MID(F3650,H3650+1,I3650-H3650-1))</f>
        <v/>
      </c>
      <c r="D3650" t="str">
        <f t="shared" ref="D3650:D3713" si="402">IF(F3650="","",MID(F3650,I3650+1,999))</f>
        <v/>
      </c>
      <c r="E3650" t="str">
        <f>IF(F3650="","",IF(COUNTIF($F$2:F3650,F3650)&gt;1,"",SUMIFS(tbl_input[필요수량],tbl_input[집계키_센터],F3650)))</f>
        <v/>
      </c>
      <c r="F3650" t="str">
        <f>IFERROR(INDEX(tbl_input[집계키_센터],ROW()-1),"")</f>
        <v/>
      </c>
      <c r="G3650" t="str">
        <f t="shared" ref="G3650:G3713" si="403">IF(F3650="","",FIND("♦",F3650))</f>
        <v/>
      </c>
      <c r="H3650" t="str">
        <f t="shared" ref="H3650:H3713" si="404">IF(F3650="","",FIND("♦",F3650,G3650+1))</f>
        <v/>
      </c>
      <c r="I3650" t="str">
        <f t="shared" ref="I3650:I3713" si="405">IF(F3650="","",FIND("♦",F3650,H3650+1))</f>
        <v/>
      </c>
    </row>
    <row r="3651" spans="1:9" x14ac:dyDescent="0.4">
      <c r="A3651" t="str">
        <f t="shared" si="399"/>
        <v/>
      </c>
      <c r="B3651" t="str">
        <f t="shared" si="400"/>
        <v/>
      </c>
      <c r="C3651" t="str">
        <f t="shared" si="401"/>
        <v/>
      </c>
      <c r="D3651" t="str">
        <f t="shared" si="402"/>
        <v/>
      </c>
      <c r="E3651" t="str">
        <f>IF(F3651="","",IF(COUNTIF($F$2:F3651,F3651)&gt;1,"",SUMIFS(tbl_input[필요수량],tbl_input[집계키_센터],F3651)))</f>
        <v/>
      </c>
      <c r="F3651" t="str">
        <f>IFERROR(INDEX(tbl_input[집계키_센터],ROW()-1),"")</f>
        <v/>
      </c>
      <c r="G3651" t="str">
        <f t="shared" si="403"/>
        <v/>
      </c>
      <c r="H3651" t="str">
        <f t="shared" si="404"/>
        <v/>
      </c>
      <c r="I3651" t="str">
        <f t="shared" si="405"/>
        <v/>
      </c>
    </row>
    <row r="3652" spans="1:9" x14ac:dyDescent="0.4">
      <c r="A3652" t="str">
        <f t="shared" si="399"/>
        <v/>
      </c>
      <c r="B3652" t="str">
        <f t="shared" si="400"/>
        <v/>
      </c>
      <c r="C3652" t="str">
        <f t="shared" si="401"/>
        <v/>
      </c>
      <c r="D3652" t="str">
        <f t="shared" si="402"/>
        <v/>
      </c>
      <c r="E3652" t="str">
        <f>IF(F3652="","",IF(COUNTIF($F$2:F3652,F3652)&gt;1,"",SUMIFS(tbl_input[필요수량],tbl_input[집계키_센터],F3652)))</f>
        <v/>
      </c>
      <c r="F3652" t="str">
        <f>IFERROR(INDEX(tbl_input[집계키_센터],ROW()-1),"")</f>
        <v/>
      </c>
      <c r="G3652" t="str">
        <f t="shared" si="403"/>
        <v/>
      </c>
      <c r="H3652" t="str">
        <f t="shared" si="404"/>
        <v/>
      </c>
      <c r="I3652" t="str">
        <f t="shared" si="405"/>
        <v/>
      </c>
    </row>
    <row r="3653" spans="1:9" x14ac:dyDescent="0.4">
      <c r="A3653" t="str">
        <f t="shared" si="399"/>
        <v/>
      </c>
      <c r="B3653" t="str">
        <f t="shared" si="400"/>
        <v/>
      </c>
      <c r="C3653" t="str">
        <f t="shared" si="401"/>
        <v/>
      </c>
      <c r="D3653" t="str">
        <f t="shared" si="402"/>
        <v/>
      </c>
      <c r="E3653" t="str">
        <f>IF(F3653="","",IF(COUNTIF($F$2:F3653,F3653)&gt;1,"",SUMIFS(tbl_input[필요수량],tbl_input[집계키_센터],F3653)))</f>
        <v/>
      </c>
      <c r="F3653" t="str">
        <f>IFERROR(INDEX(tbl_input[집계키_센터],ROW()-1),"")</f>
        <v/>
      </c>
      <c r="G3653" t="str">
        <f t="shared" si="403"/>
        <v/>
      </c>
      <c r="H3653" t="str">
        <f t="shared" si="404"/>
        <v/>
      </c>
      <c r="I3653" t="str">
        <f t="shared" si="405"/>
        <v/>
      </c>
    </row>
    <row r="3654" spans="1:9" x14ac:dyDescent="0.4">
      <c r="A3654" t="str">
        <f t="shared" si="399"/>
        <v/>
      </c>
      <c r="B3654" t="str">
        <f t="shared" si="400"/>
        <v/>
      </c>
      <c r="C3654" t="str">
        <f t="shared" si="401"/>
        <v/>
      </c>
      <c r="D3654" t="str">
        <f t="shared" si="402"/>
        <v/>
      </c>
      <c r="E3654" t="str">
        <f>IF(F3654="","",IF(COUNTIF($F$2:F3654,F3654)&gt;1,"",SUMIFS(tbl_input[필요수량],tbl_input[집계키_센터],F3654)))</f>
        <v/>
      </c>
      <c r="F3654" t="str">
        <f>IFERROR(INDEX(tbl_input[집계키_센터],ROW()-1),"")</f>
        <v/>
      </c>
      <c r="G3654" t="str">
        <f t="shared" si="403"/>
        <v/>
      </c>
      <c r="H3654" t="str">
        <f t="shared" si="404"/>
        <v/>
      </c>
      <c r="I3654" t="str">
        <f t="shared" si="405"/>
        <v/>
      </c>
    </row>
    <row r="3655" spans="1:9" x14ac:dyDescent="0.4">
      <c r="A3655" t="str">
        <f t="shared" si="399"/>
        <v/>
      </c>
      <c r="B3655" t="str">
        <f t="shared" si="400"/>
        <v/>
      </c>
      <c r="C3655" t="str">
        <f t="shared" si="401"/>
        <v/>
      </c>
      <c r="D3655" t="str">
        <f t="shared" si="402"/>
        <v/>
      </c>
      <c r="E3655" t="str">
        <f>IF(F3655="","",IF(COUNTIF($F$2:F3655,F3655)&gt;1,"",SUMIFS(tbl_input[필요수량],tbl_input[집계키_센터],F3655)))</f>
        <v/>
      </c>
      <c r="F3655" t="str">
        <f>IFERROR(INDEX(tbl_input[집계키_센터],ROW()-1),"")</f>
        <v/>
      </c>
      <c r="G3655" t="str">
        <f t="shared" si="403"/>
        <v/>
      </c>
      <c r="H3655" t="str">
        <f t="shared" si="404"/>
        <v/>
      </c>
      <c r="I3655" t="str">
        <f t="shared" si="405"/>
        <v/>
      </c>
    </row>
    <row r="3656" spans="1:9" x14ac:dyDescent="0.4">
      <c r="A3656" t="str">
        <f t="shared" si="399"/>
        <v/>
      </c>
      <c r="B3656" t="str">
        <f t="shared" si="400"/>
        <v/>
      </c>
      <c r="C3656" t="str">
        <f t="shared" si="401"/>
        <v/>
      </c>
      <c r="D3656" t="str">
        <f t="shared" si="402"/>
        <v/>
      </c>
      <c r="E3656" t="str">
        <f>IF(F3656="","",IF(COUNTIF($F$2:F3656,F3656)&gt;1,"",SUMIFS(tbl_input[필요수량],tbl_input[집계키_센터],F3656)))</f>
        <v/>
      </c>
      <c r="F3656" t="str">
        <f>IFERROR(INDEX(tbl_input[집계키_센터],ROW()-1),"")</f>
        <v/>
      </c>
      <c r="G3656" t="str">
        <f t="shared" si="403"/>
        <v/>
      </c>
      <c r="H3656" t="str">
        <f t="shared" si="404"/>
        <v/>
      </c>
      <c r="I3656" t="str">
        <f t="shared" si="405"/>
        <v/>
      </c>
    </row>
    <row r="3657" spans="1:9" x14ac:dyDescent="0.4">
      <c r="A3657" t="str">
        <f t="shared" si="399"/>
        <v/>
      </c>
      <c r="B3657" t="str">
        <f t="shared" si="400"/>
        <v/>
      </c>
      <c r="C3657" t="str">
        <f t="shared" si="401"/>
        <v/>
      </c>
      <c r="D3657" t="str">
        <f t="shared" si="402"/>
        <v/>
      </c>
      <c r="E3657" t="str">
        <f>IF(F3657="","",IF(COUNTIF($F$2:F3657,F3657)&gt;1,"",SUMIFS(tbl_input[필요수량],tbl_input[집계키_센터],F3657)))</f>
        <v/>
      </c>
      <c r="F3657" t="str">
        <f>IFERROR(INDEX(tbl_input[집계키_센터],ROW()-1),"")</f>
        <v/>
      </c>
      <c r="G3657" t="str">
        <f t="shared" si="403"/>
        <v/>
      </c>
      <c r="H3657" t="str">
        <f t="shared" si="404"/>
        <v/>
      </c>
      <c r="I3657" t="str">
        <f t="shared" si="405"/>
        <v/>
      </c>
    </row>
    <row r="3658" spans="1:9" x14ac:dyDescent="0.4">
      <c r="A3658" t="str">
        <f t="shared" si="399"/>
        <v/>
      </c>
      <c r="B3658" t="str">
        <f t="shared" si="400"/>
        <v/>
      </c>
      <c r="C3658" t="str">
        <f t="shared" si="401"/>
        <v/>
      </c>
      <c r="D3658" t="str">
        <f t="shared" si="402"/>
        <v/>
      </c>
      <c r="E3658" t="str">
        <f>IF(F3658="","",IF(COUNTIF($F$2:F3658,F3658)&gt;1,"",SUMIFS(tbl_input[필요수량],tbl_input[집계키_센터],F3658)))</f>
        <v/>
      </c>
      <c r="F3658" t="str">
        <f>IFERROR(INDEX(tbl_input[집계키_센터],ROW()-1),"")</f>
        <v/>
      </c>
      <c r="G3658" t="str">
        <f t="shared" si="403"/>
        <v/>
      </c>
      <c r="H3658" t="str">
        <f t="shared" si="404"/>
        <v/>
      </c>
      <c r="I3658" t="str">
        <f t="shared" si="405"/>
        <v/>
      </c>
    </row>
    <row r="3659" spans="1:9" x14ac:dyDescent="0.4">
      <c r="A3659" t="str">
        <f t="shared" si="399"/>
        <v/>
      </c>
      <c r="B3659" t="str">
        <f t="shared" si="400"/>
        <v/>
      </c>
      <c r="C3659" t="str">
        <f t="shared" si="401"/>
        <v/>
      </c>
      <c r="D3659" t="str">
        <f t="shared" si="402"/>
        <v/>
      </c>
      <c r="E3659" t="str">
        <f>IF(F3659="","",IF(COUNTIF($F$2:F3659,F3659)&gt;1,"",SUMIFS(tbl_input[필요수량],tbl_input[집계키_센터],F3659)))</f>
        <v/>
      </c>
      <c r="F3659" t="str">
        <f>IFERROR(INDEX(tbl_input[집계키_센터],ROW()-1),"")</f>
        <v/>
      </c>
      <c r="G3659" t="str">
        <f t="shared" si="403"/>
        <v/>
      </c>
      <c r="H3659" t="str">
        <f t="shared" si="404"/>
        <v/>
      </c>
      <c r="I3659" t="str">
        <f t="shared" si="405"/>
        <v/>
      </c>
    </row>
    <row r="3660" spans="1:9" x14ac:dyDescent="0.4">
      <c r="A3660" t="str">
        <f t="shared" si="399"/>
        <v/>
      </c>
      <c r="B3660" t="str">
        <f t="shared" si="400"/>
        <v/>
      </c>
      <c r="C3660" t="str">
        <f t="shared" si="401"/>
        <v/>
      </c>
      <c r="D3660" t="str">
        <f t="shared" si="402"/>
        <v/>
      </c>
      <c r="E3660" t="str">
        <f>IF(F3660="","",IF(COUNTIF($F$2:F3660,F3660)&gt;1,"",SUMIFS(tbl_input[필요수량],tbl_input[집계키_센터],F3660)))</f>
        <v/>
      </c>
      <c r="F3660" t="str">
        <f>IFERROR(INDEX(tbl_input[집계키_센터],ROW()-1),"")</f>
        <v/>
      </c>
      <c r="G3660" t="str">
        <f t="shared" si="403"/>
        <v/>
      </c>
      <c r="H3660" t="str">
        <f t="shared" si="404"/>
        <v/>
      </c>
      <c r="I3660" t="str">
        <f t="shared" si="405"/>
        <v/>
      </c>
    </row>
    <row r="3661" spans="1:9" x14ac:dyDescent="0.4">
      <c r="A3661" t="str">
        <f t="shared" si="399"/>
        <v/>
      </c>
      <c r="B3661" t="str">
        <f t="shared" si="400"/>
        <v/>
      </c>
      <c r="C3661" t="str">
        <f t="shared" si="401"/>
        <v/>
      </c>
      <c r="D3661" t="str">
        <f t="shared" si="402"/>
        <v/>
      </c>
      <c r="E3661" t="str">
        <f>IF(F3661="","",IF(COUNTIF($F$2:F3661,F3661)&gt;1,"",SUMIFS(tbl_input[필요수량],tbl_input[집계키_센터],F3661)))</f>
        <v/>
      </c>
      <c r="F3661" t="str">
        <f>IFERROR(INDEX(tbl_input[집계키_센터],ROW()-1),"")</f>
        <v/>
      </c>
      <c r="G3661" t="str">
        <f t="shared" si="403"/>
        <v/>
      </c>
      <c r="H3661" t="str">
        <f t="shared" si="404"/>
        <v/>
      </c>
      <c r="I3661" t="str">
        <f t="shared" si="405"/>
        <v/>
      </c>
    </row>
    <row r="3662" spans="1:9" x14ac:dyDescent="0.4">
      <c r="A3662" t="str">
        <f t="shared" si="399"/>
        <v/>
      </c>
      <c r="B3662" t="str">
        <f t="shared" si="400"/>
        <v/>
      </c>
      <c r="C3662" t="str">
        <f t="shared" si="401"/>
        <v/>
      </c>
      <c r="D3662" t="str">
        <f t="shared" si="402"/>
        <v/>
      </c>
      <c r="E3662" t="str">
        <f>IF(F3662="","",IF(COUNTIF($F$2:F3662,F3662)&gt;1,"",SUMIFS(tbl_input[필요수량],tbl_input[집계키_센터],F3662)))</f>
        <v/>
      </c>
      <c r="F3662" t="str">
        <f>IFERROR(INDEX(tbl_input[집계키_센터],ROW()-1),"")</f>
        <v/>
      </c>
      <c r="G3662" t="str">
        <f t="shared" si="403"/>
        <v/>
      </c>
      <c r="H3662" t="str">
        <f t="shared" si="404"/>
        <v/>
      </c>
      <c r="I3662" t="str">
        <f t="shared" si="405"/>
        <v/>
      </c>
    </row>
    <row r="3663" spans="1:9" x14ac:dyDescent="0.4">
      <c r="A3663" t="str">
        <f t="shared" si="399"/>
        <v/>
      </c>
      <c r="B3663" t="str">
        <f t="shared" si="400"/>
        <v/>
      </c>
      <c r="C3663" t="str">
        <f t="shared" si="401"/>
        <v/>
      </c>
      <c r="D3663" t="str">
        <f t="shared" si="402"/>
        <v/>
      </c>
      <c r="E3663" t="str">
        <f>IF(F3663="","",IF(COUNTIF($F$2:F3663,F3663)&gt;1,"",SUMIFS(tbl_input[필요수량],tbl_input[집계키_센터],F3663)))</f>
        <v/>
      </c>
      <c r="F3663" t="str">
        <f>IFERROR(INDEX(tbl_input[집계키_센터],ROW()-1),"")</f>
        <v/>
      </c>
      <c r="G3663" t="str">
        <f t="shared" si="403"/>
        <v/>
      </c>
      <c r="H3663" t="str">
        <f t="shared" si="404"/>
        <v/>
      </c>
      <c r="I3663" t="str">
        <f t="shared" si="405"/>
        <v/>
      </c>
    </row>
    <row r="3664" spans="1:9" x14ac:dyDescent="0.4">
      <c r="A3664" t="str">
        <f t="shared" si="399"/>
        <v/>
      </c>
      <c r="B3664" t="str">
        <f t="shared" si="400"/>
        <v/>
      </c>
      <c r="C3664" t="str">
        <f t="shared" si="401"/>
        <v/>
      </c>
      <c r="D3664" t="str">
        <f t="shared" si="402"/>
        <v/>
      </c>
      <c r="E3664" t="str">
        <f>IF(F3664="","",IF(COUNTIF($F$2:F3664,F3664)&gt;1,"",SUMIFS(tbl_input[필요수량],tbl_input[집계키_센터],F3664)))</f>
        <v/>
      </c>
      <c r="F3664" t="str">
        <f>IFERROR(INDEX(tbl_input[집계키_센터],ROW()-1),"")</f>
        <v/>
      </c>
      <c r="G3664" t="str">
        <f t="shared" si="403"/>
        <v/>
      </c>
      <c r="H3664" t="str">
        <f t="shared" si="404"/>
        <v/>
      </c>
      <c r="I3664" t="str">
        <f t="shared" si="405"/>
        <v/>
      </c>
    </row>
    <row r="3665" spans="1:9" x14ac:dyDescent="0.4">
      <c r="A3665" t="str">
        <f t="shared" si="399"/>
        <v/>
      </c>
      <c r="B3665" t="str">
        <f t="shared" si="400"/>
        <v/>
      </c>
      <c r="C3665" t="str">
        <f t="shared" si="401"/>
        <v/>
      </c>
      <c r="D3665" t="str">
        <f t="shared" si="402"/>
        <v/>
      </c>
      <c r="E3665" t="str">
        <f>IF(F3665="","",IF(COUNTIF($F$2:F3665,F3665)&gt;1,"",SUMIFS(tbl_input[필요수량],tbl_input[집계키_센터],F3665)))</f>
        <v/>
      </c>
      <c r="F3665" t="str">
        <f>IFERROR(INDEX(tbl_input[집계키_센터],ROW()-1),"")</f>
        <v/>
      </c>
      <c r="G3665" t="str">
        <f t="shared" si="403"/>
        <v/>
      </c>
      <c r="H3665" t="str">
        <f t="shared" si="404"/>
        <v/>
      </c>
      <c r="I3665" t="str">
        <f t="shared" si="405"/>
        <v/>
      </c>
    </row>
    <row r="3666" spans="1:9" x14ac:dyDescent="0.4">
      <c r="A3666" t="str">
        <f t="shared" si="399"/>
        <v/>
      </c>
      <c r="B3666" t="str">
        <f t="shared" si="400"/>
        <v/>
      </c>
      <c r="C3666" t="str">
        <f t="shared" si="401"/>
        <v/>
      </c>
      <c r="D3666" t="str">
        <f t="shared" si="402"/>
        <v/>
      </c>
      <c r="E3666" t="str">
        <f>IF(F3666="","",IF(COUNTIF($F$2:F3666,F3666)&gt;1,"",SUMIFS(tbl_input[필요수량],tbl_input[집계키_센터],F3666)))</f>
        <v/>
      </c>
      <c r="F3666" t="str">
        <f>IFERROR(INDEX(tbl_input[집계키_센터],ROW()-1),"")</f>
        <v/>
      </c>
      <c r="G3666" t="str">
        <f t="shared" si="403"/>
        <v/>
      </c>
      <c r="H3666" t="str">
        <f t="shared" si="404"/>
        <v/>
      </c>
      <c r="I3666" t="str">
        <f t="shared" si="405"/>
        <v/>
      </c>
    </row>
    <row r="3667" spans="1:9" x14ac:dyDescent="0.4">
      <c r="A3667" t="str">
        <f t="shared" si="399"/>
        <v/>
      </c>
      <c r="B3667" t="str">
        <f t="shared" si="400"/>
        <v/>
      </c>
      <c r="C3667" t="str">
        <f t="shared" si="401"/>
        <v/>
      </c>
      <c r="D3667" t="str">
        <f t="shared" si="402"/>
        <v/>
      </c>
      <c r="E3667" t="str">
        <f>IF(F3667="","",IF(COUNTIF($F$2:F3667,F3667)&gt;1,"",SUMIFS(tbl_input[필요수량],tbl_input[집계키_센터],F3667)))</f>
        <v/>
      </c>
      <c r="F3667" t="str">
        <f>IFERROR(INDEX(tbl_input[집계키_센터],ROW()-1),"")</f>
        <v/>
      </c>
      <c r="G3667" t="str">
        <f t="shared" si="403"/>
        <v/>
      </c>
      <c r="H3667" t="str">
        <f t="shared" si="404"/>
        <v/>
      </c>
      <c r="I3667" t="str">
        <f t="shared" si="405"/>
        <v/>
      </c>
    </row>
    <row r="3668" spans="1:9" x14ac:dyDescent="0.4">
      <c r="A3668" t="str">
        <f t="shared" si="399"/>
        <v/>
      </c>
      <c r="B3668" t="str">
        <f t="shared" si="400"/>
        <v/>
      </c>
      <c r="C3668" t="str">
        <f t="shared" si="401"/>
        <v/>
      </c>
      <c r="D3668" t="str">
        <f t="shared" si="402"/>
        <v/>
      </c>
      <c r="E3668" t="str">
        <f>IF(F3668="","",IF(COUNTIF($F$2:F3668,F3668)&gt;1,"",SUMIFS(tbl_input[필요수량],tbl_input[집계키_센터],F3668)))</f>
        <v/>
      </c>
      <c r="F3668" t="str">
        <f>IFERROR(INDEX(tbl_input[집계키_센터],ROW()-1),"")</f>
        <v/>
      </c>
      <c r="G3668" t="str">
        <f t="shared" si="403"/>
        <v/>
      </c>
      <c r="H3668" t="str">
        <f t="shared" si="404"/>
        <v/>
      </c>
      <c r="I3668" t="str">
        <f t="shared" si="405"/>
        <v/>
      </c>
    </row>
    <row r="3669" spans="1:9" x14ac:dyDescent="0.4">
      <c r="A3669" t="str">
        <f t="shared" si="399"/>
        <v/>
      </c>
      <c r="B3669" t="str">
        <f t="shared" si="400"/>
        <v/>
      </c>
      <c r="C3669" t="str">
        <f t="shared" si="401"/>
        <v/>
      </c>
      <c r="D3669" t="str">
        <f t="shared" si="402"/>
        <v/>
      </c>
      <c r="E3669" t="str">
        <f>IF(F3669="","",IF(COUNTIF($F$2:F3669,F3669)&gt;1,"",SUMIFS(tbl_input[필요수량],tbl_input[집계키_센터],F3669)))</f>
        <v/>
      </c>
      <c r="F3669" t="str">
        <f>IFERROR(INDEX(tbl_input[집계키_센터],ROW()-1),"")</f>
        <v/>
      </c>
      <c r="G3669" t="str">
        <f t="shared" si="403"/>
        <v/>
      </c>
      <c r="H3669" t="str">
        <f t="shared" si="404"/>
        <v/>
      </c>
      <c r="I3669" t="str">
        <f t="shared" si="405"/>
        <v/>
      </c>
    </row>
    <row r="3670" spans="1:9" x14ac:dyDescent="0.4">
      <c r="A3670" t="str">
        <f t="shared" si="399"/>
        <v/>
      </c>
      <c r="B3670" t="str">
        <f t="shared" si="400"/>
        <v/>
      </c>
      <c r="C3670" t="str">
        <f t="shared" si="401"/>
        <v/>
      </c>
      <c r="D3670" t="str">
        <f t="shared" si="402"/>
        <v/>
      </c>
      <c r="E3670" t="str">
        <f>IF(F3670="","",IF(COUNTIF($F$2:F3670,F3670)&gt;1,"",SUMIFS(tbl_input[필요수량],tbl_input[집계키_센터],F3670)))</f>
        <v/>
      </c>
      <c r="F3670" t="str">
        <f>IFERROR(INDEX(tbl_input[집계키_센터],ROW()-1),"")</f>
        <v/>
      </c>
      <c r="G3670" t="str">
        <f t="shared" si="403"/>
        <v/>
      </c>
      <c r="H3670" t="str">
        <f t="shared" si="404"/>
        <v/>
      </c>
      <c r="I3670" t="str">
        <f t="shared" si="405"/>
        <v/>
      </c>
    </row>
    <row r="3671" spans="1:9" x14ac:dyDescent="0.4">
      <c r="A3671" t="str">
        <f t="shared" si="399"/>
        <v/>
      </c>
      <c r="B3671" t="str">
        <f t="shared" si="400"/>
        <v/>
      </c>
      <c r="C3671" t="str">
        <f t="shared" si="401"/>
        <v/>
      </c>
      <c r="D3671" t="str">
        <f t="shared" si="402"/>
        <v/>
      </c>
      <c r="E3671" t="str">
        <f>IF(F3671="","",IF(COUNTIF($F$2:F3671,F3671)&gt;1,"",SUMIFS(tbl_input[필요수량],tbl_input[집계키_센터],F3671)))</f>
        <v/>
      </c>
      <c r="F3671" t="str">
        <f>IFERROR(INDEX(tbl_input[집계키_센터],ROW()-1),"")</f>
        <v/>
      </c>
      <c r="G3671" t="str">
        <f t="shared" si="403"/>
        <v/>
      </c>
      <c r="H3671" t="str">
        <f t="shared" si="404"/>
        <v/>
      </c>
      <c r="I3671" t="str">
        <f t="shared" si="405"/>
        <v/>
      </c>
    </row>
    <row r="3672" spans="1:9" x14ac:dyDescent="0.4">
      <c r="A3672" t="str">
        <f t="shared" si="399"/>
        <v/>
      </c>
      <c r="B3672" t="str">
        <f t="shared" si="400"/>
        <v/>
      </c>
      <c r="C3672" t="str">
        <f t="shared" si="401"/>
        <v/>
      </c>
      <c r="D3672" t="str">
        <f t="shared" si="402"/>
        <v/>
      </c>
      <c r="E3672" t="str">
        <f>IF(F3672="","",IF(COUNTIF($F$2:F3672,F3672)&gt;1,"",SUMIFS(tbl_input[필요수량],tbl_input[집계키_센터],F3672)))</f>
        <v/>
      </c>
      <c r="F3672" t="str">
        <f>IFERROR(INDEX(tbl_input[집계키_센터],ROW()-1),"")</f>
        <v/>
      </c>
      <c r="G3672" t="str">
        <f t="shared" si="403"/>
        <v/>
      </c>
      <c r="H3672" t="str">
        <f t="shared" si="404"/>
        <v/>
      </c>
      <c r="I3672" t="str">
        <f t="shared" si="405"/>
        <v/>
      </c>
    </row>
    <row r="3673" spans="1:9" x14ac:dyDescent="0.4">
      <c r="A3673" t="str">
        <f t="shared" si="399"/>
        <v/>
      </c>
      <c r="B3673" t="str">
        <f t="shared" si="400"/>
        <v/>
      </c>
      <c r="C3673" t="str">
        <f t="shared" si="401"/>
        <v/>
      </c>
      <c r="D3673" t="str">
        <f t="shared" si="402"/>
        <v/>
      </c>
      <c r="E3673" t="str">
        <f>IF(F3673="","",IF(COUNTIF($F$2:F3673,F3673)&gt;1,"",SUMIFS(tbl_input[필요수량],tbl_input[집계키_센터],F3673)))</f>
        <v/>
      </c>
      <c r="F3673" t="str">
        <f>IFERROR(INDEX(tbl_input[집계키_센터],ROW()-1),"")</f>
        <v/>
      </c>
      <c r="G3673" t="str">
        <f t="shared" si="403"/>
        <v/>
      </c>
      <c r="H3673" t="str">
        <f t="shared" si="404"/>
        <v/>
      </c>
      <c r="I3673" t="str">
        <f t="shared" si="405"/>
        <v/>
      </c>
    </row>
    <row r="3674" spans="1:9" x14ac:dyDescent="0.4">
      <c r="A3674" t="str">
        <f t="shared" si="399"/>
        <v/>
      </c>
      <c r="B3674" t="str">
        <f t="shared" si="400"/>
        <v/>
      </c>
      <c r="C3674" t="str">
        <f t="shared" si="401"/>
        <v/>
      </c>
      <c r="D3674" t="str">
        <f t="shared" si="402"/>
        <v/>
      </c>
      <c r="E3674" t="str">
        <f>IF(F3674="","",IF(COUNTIF($F$2:F3674,F3674)&gt;1,"",SUMIFS(tbl_input[필요수량],tbl_input[집계키_센터],F3674)))</f>
        <v/>
      </c>
      <c r="F3674" t="str">
        <f>IFERROR(INDEX(tbl_input[집계키_센터],ROW()-1),"")</f>
        <v/>
      </c>
      <c r="G3674" t="str">
        <f t="shared" si="403"/>
        <v/>
      </c>
      <c r="H3674" t="str">
        <f t="shared" si="404"/>
        <v/>
      </c>
      <c r="I3674" t="str">
        <f t="shared" si="405"/>
        <v/>
      </c>
    </row>
    <row r="3675" spans="1:9" x14ac:dyDescent="0.4">
      <c r="A3675" t="str">
        <f t="shared" si="399"/>
        <v/>
      </c>
      <c r="B3675" t="str">
        <f t="shared" si="400"/>
        <v/>
      </c>
      <c r="C3675" t="str">
        <f t="shared" si="401"/>
        <v/>
      </c>
      <c r="D3675" t="str">
        <f t="shared" si="402"/>
        <v/>
      </c>
      <c r="E3675" t="str">
        <f>IF(F3675="","",IF(COUNTIF($F$2:F3675,F3675)&gt;1,"",SUMIFS(tbl_input[필요수량],tbl_input[집계키_센터],F3675)))</f>
        <v/>
      </c>
      <c r="F3675" t="str">
        <f>IFERROR(INDEX(tbl_input[집계키_센터],ROW()-1),"")</f>
        <v/>
      </c>
      <c r="G3675" t="str">
        <f t="shared" si="403"/>
        <v/>
      </c>
      <c r="H3675" t="str">
        <f t="shared" si="404"/>
        <v/>
      </c>
      <c r="I3675" t="str">
        <f t="shared" si="405"/>
        <v/>
      </c>
    </row>
    <row r="3676" spans="1:9" x14ac:dyDescent="0.4">
      <c r="A3676" t="str">
        <f t="shared" si="399"/>
        <v/>
      </c>
      <c r="B3676" t="str">
        <f t="shared" si="400"/>
        <v/>
      </c>
      <c r="C3676" t="str">
        <f t="shared" si="401"/>
        <v/>
      </c>
      <c r="D3676" t="str">
        <f t="shared" si="402"/>
        <v/>
      </c>
      <c r="E3676" t="str">
        <f>IF(F3676="","",IF(COUNTIF($F$2:F3676,F3676)&gt;1,"",SUMIFS(tbl_input[필요수량],tbl_input[집계키_센터],F3676)))</f>
        <v/>
      </c>
      <c r="F3676" t="str">
        <f>IFERROR(INDEX(tbl_input[집계키_센터],ROW()-1),"")</f>
        <v/>
      </c>
      <c r="G3676" t="str">
        <f t="shared" si="403"/>
        <v/>
      </c>
      <c r="H3676" t="str">
        <f t="shared" si="404"/>
        <v/>
      </c>
      <c r="I3676" t="str">
        <f t="shared" si="405"/>
        <v/>
      </c>
    </row>
    <row r="3677" spans="1:9" x14ac:dyDescent="0.4">
      <c r="A3677" t="str">
        <f t="shared" si="399"/>
        <v/>
      </c>
      <c r="B3677" t="str">
        <f t="shared" si="400"/>
        <v/>
      </c>
      <c r="C3677" t="str">
        <f t="shared" si="401"/>
        <v/>
      </c>
      <c r="D3677" t="str">
        <f t="shared" si="402"/>
        <v/>
      </c>
      <c r="E3677" t="str">
        <f>IF(F3677="","",IF(COUNTIF($F$2:F3677,F3677)&gt;1,"",SUMIFS(tbl_input[필요수량],tbl_input[집계키_센터],F3677)))</f>
        <v/>
      </c>
      <c r="F3677" t="str">
        <f>IFERROR(INDEX(tbl_input[집계키_센터],ROW()-1),"")</f>
        <v/>
      </c>
      <c r="G3677" t="str">
        <f t="shared" si="403"/>
        <v/>
      </c>
      <c r="H3677" t="str">
        <f t="shared" si="404"/>
        <v/>
      </c>
      <c r="I3677" t="str">
        <f t="shared" si="405"/>
        <v/>
      </c>
    </row>
    <row r="3678" spans="1:9" x14ac:dyDescent="0.4">
      <c r="A3678" t="str">
        <f t="shared" si="399"/>
        <v/>
      </c>
      <c r="B3678" t="str">
        <f t="shared" si="400"/>
        <v/>
      </c>
      <c r="C3678" t="str">
        <f t="shared" si="401"/>
        <v/>
      </c>
      <c r="D3678" t="str">
        <f t="shared" si="402"/>
        <v/>
      </c>
      <c r="E3678" t="str">
        <f>IF(F3678="","",IF(COUNTIF($F$2:F3678,F3678)&gt;1,"",SUMIFS(tbl_input[필요수량],tbl_input[집계키_센터],F3678)))</f>
        <v/>
      </c>
      <c r="F3678" t="str">
        <f>IFERROR(INDEX(tbl_input[집계키_센터],ROW()-1),"")</f>
        <v/>
      </c>
      <c r="G3678" t="str">
        <f t="shared" si="403"/>
        <v/>
      </c>
      <c r="H3678" t="str">
        <f t="shared" si="404"/>
        <v/>
      </c>
      <c r="I3678" t="str">
        <f t="shared" si="405"/>
        <v/>
      </c>
    </row>
    <row r="3679" spans="1:9" x14ac:dyDescent="0.4">
      <c r="A3679" t="str">
        <f t="shared" si="399"/>
        <v/>
      </c>
      <c r="B3679" t="str">
        <f t="shared" si="400"/>
        <v/>
      </c>
      <c r="C3679" t="str">
        <f t="shared" si="401"/>
        <v/>
      </c>
      <c r="D3679" t="str">
        <f t="shared" si="402"/>
        <v/>
      </c>
      <c r="E3679" t="str">
        <f>IF(F3679="","",IF(COUNTIF($F$2:F3679,F3679)&gt;1,"",SUMIFS(tbl_input[필요수량],tbl_input[집계키_센터],F3679)))</f>
        <v/>
      </c>
      <c r="F3679" t="str">
        <f>IFERROR(INDEX(tbl_input[집계키_센터],ROW()-1),"")</f>
        <v/>
      </c>
      <c r="G3679" t="str">
        <f t="shared" si="403"/>
        <v/>
      </c>
      <c r="H3679" t="str">
        <f t="shared" si="404"/>
        <v/>
      </c>
      <c r="I3679" t="str">
        <f t="shared" si="405"/>
        <v/>
      </c>
    </row>
    <row r="3680" spans="1:9" x14ac:dyDescent="0.4">
      <c r="A3680" t="str">
        <f t="shared" si="399"/>
        <v/>
      </c>
      <c r="B3680" t="str">
        <f t="shared" si="400"/>
        <v/>
      </c>
      <c r="C3680" t="str">
        <f t="shared" si="401"/>
        <v/>
      </c>
      <c r="D3680" t="str">
        <f t="shared" si="402"/>
        <v/>
      </c>
      <c r="E3680" t="str">
        <f>IF(F3680="","",IF(COUNTIF($F$2:F3680,F3680)&gt;1,"",SUMIFS(tbl_input[필요수량],tbl_input[집계키_센터],F3680)))</f>
        <v/>
      </c>
      <c r="F3680" t="str">
        <f>IFERROR(INDEX(tbl_input[집계키_센터],ROW()-1),"")</f>
        <v/>
      </c>
      <c r="G3680" t="str">
        <f t="shared" si="403"/>
        <v/>
      </c>
      <c r="H3680" t="str">
        <f t="shared" si="404"/>
        <v/>
      </c>
      <c r="I3680" t="str">
        <f t="shared" si="405"/>
        <v/>
      </c>
    </row>
    <row r="3681" spans="1:9" x14ac:dyDescent="0.4">
      <c r="A3681" t="str">
        <f t="shared" si="399"/>
        <v/>
      </c>
      <c r="B3681" t="str">
        <f t="shared" si="400"/>
        <v/>
      </c>
      <c r="C3681" t="str">
        <f t="shared" si="401"/>
        <v/>
      </c>
      <c r="D3681" t="str">
        <f t="shared" si="402"/>
        <v/>
      </c>
      <c r="E3681" t="str">
        <f>IF(F3681="","",IF(COUNTIF($F$2:F3681,F3681)&gt;1,"",SUMIFS(tbl_input[필요수량],tbl_input[집계키_센터],F3681)))</f>
        <v/>
      </c>
      <c r="F3681" t="str">
        <f>IFERROR(INDEX(tbl_input[집계키_센터],ROW()-1),"")</f>
        <v/>
      </c>
      <c r="G3681" t="str">
        <f t="shared" si="403"/>
        <v/>
      </c>
      <c r="H3681" t="str">
        <f t="shared" si="404"/>
        <v/>
      </c>
      <c r="I3681" t="str">
        <f t="shared" si="405"/>
        <v/>
      </c>
    </row>
    <row r="3682" spans="1:9" x14ac:dyDescent="0.4">
      <c r="A3682" t="str">
        <f t="shared" si="399"/>
        <v/>
      </c>
      <c r="B3682" t="str">
        <f t="shared" si="400"/>
        <v/>
      </c>
      <c r="C3682" t="str">
        <f t="shared" si="401"/>
        <v/>
      </c>
      <c r="D3682" t="str">
        <f t="shared" si="402"/>
        <v/>
      </c>
      <c r="E3682" t="str">
        <f>IF(F3682="","",IF(COUNTIF($F$2:F3682,F3682)&gt;1,"",SUMIFS(tbl_input[필요수량],tbl_input[집계키_센터],F3682)))</f>
        <v/>
      </c>
      <c r="F3682" t="str">
        <f>IFERROR(INDEX(tbl_input[집계키_센터],ROW()-1),"")</f>
        <v/>
      </c>
      <c r="G3682" t="str">
        <f t="shared" si="403"/>
        <v/>
      </c>
      <c r="H3682" t="str">
        <f t="shared" si="404"/>
        <v/>
      </c>
      <c r="I3682" t="str">
        <f t="shared" si="405"/>
        <v/>
      </c>
    </row>
    <row r="3683" spans="1:9" x14ac:dyDescent="0.4">
      <c r="A3683" t="str">
        <f t="shared" si="399"/>
        <v/>
      </c>
      <c r="B3683" t="str">
        <f t="shared" si="400"/>
        <v/>
      </c>
      <c r="C3683" t="str">
        <f t="shared" si="401"/>
        <v/>
      </c>
      <c r="D3683" t="str">
        <f t="shared" si="402"/>
        <v/>
      </c>
      <c r="E3683" t="str">
        <f>IF(F3683="","",IF(COUNTIF($F$2:F3683,F3683)&gt;1,"",SUMIFS(tbl_input[필요수량],tbl_input[집계키_센터],F3683)))</f>
        <v/>
      </c>
      <c r="F3683" t="str">
        <f>IFERROR(INDEX(tbl_input[집계키_센터],ROW()-1),"")</f>
        <v/>
      </c>
      <c r="G3683" t="str">
        <f t="shared" si="403"/>
        <v/>
      </c>
      <c r="H3683" t="str">
        <f t="shared" si="404"/>
        <v/>
      </c>
      <c r="I3683" t="str">
        <f t="shared" si="405"/>
        <v/>
      </c>
    </row>
    <row r="3684" spans="1:9" x14ac:dyDescent="0.4">
      <c r="A3684" t="str">
        <f t="shared" si="399"/>
        <v/>
      </c>
      <c r="B3684" t="str">
        <f t="shared" si="400"/>
        <v/>
      </c>
      <c r="C3684" t="str">
        <f t="shared" si="401"/>
        <v/>
      </c>
      <c r="D3684" t="str">
        <f t="shared" si="402"/>
        <v/>
      </c>
      <c r="E3684" t="str">
        <f>IF(F3684="","",IF(COUNTIF($F$2:F3684,F3684)&gt;1,"",SUMIFS(tbl_input[필요수량],tbl_input[집계키_센터],F3684)))</f>
        <v/>
      </c>
      <c r="F3684" t="str">
        <f>IFERROR(INDEX(tbl_input[집계키_센터],ROW()-1),"")</f>
        <v/>
      </c>
      <c r="G3684" t="str">
        <f t="shared" si="403"/>
        <v/>
      </c>
      <c r="H3684" t="str">
        <f t="shared" si="404"/>
        <v/>
      </c>
      <c r="I3684" t="str">
        <f t="shared" si="405"/>
        <v/>
      </c>
    </row>
    <row r="3685" spans="1:9" x14ac:dyDescent="0.4">
      <c r="A3685" t="str">
        <f t="shared" si="399"/>
        <v/>
      </c>
      <c r="B3685" t="str">
        <f t="shared" si="400"/>
        <v/>
      </c>
      <c r="C3685" t="str">
        <f t="shared" si="401"/>
        <v/>
      </c>
      <c r="D3685" t="str">
        <f t="shared" si="402"/>
        <v/>
      </c>
      <c r="E3685" t="str">
        <f>IF(F3685="","",IF(COUNTIF($F$2:F3685,F3685)&gt;1,"",SUMIFS(tbl_input[필요수량],tbl_input[집계키_센터],F3685)))</f>
        <v/>
      </c>
      <c r="F3685" t="str">
        <f>IFERROR(INDEX(tbl_input[집계키_센터],ROW()-1),"")</f>
        <v/>
      </c>
      <c r="G3685" t="str">
        <f t="shared" si="403"/>
        <v/>
      </c>
      <c r="H3685" t="str">
        <f t="shared" si="404"/>
        <v/>
      </c>
      <c r="I3685" t="str">
        <f t="shared" si="405"/>
        <v/>
      </c>
    </row>
    <row r="3686" spans="1:9" x14ac:dyDescent="0.4">
      <c r="A3686" t="str">
        <f t="shared" si="399"/>
        <v/>
      </c>
      <c r="B3686" t="str">
        <f t="shared" si="400"/>
        <v/>
      </c>
      <c r="C3686" t="str">
        <f t="shared" si="401"/>
        <v/>
      </c>
      <c r="D3686" t="str">
        <f t="shared" si="402"/>
        <v/>
      </c>
      <c r="E3686" t="str">
        <f>IF(F3686="","",IF(COUNTIF($F$2:F3686,F3686)&gt;1,"",SUMIFS(tbl_input[필요수량],tbl_input[집계키_센터],F3686)))</f>
        <v/>
      </c>
      <c r="F3686" t="str">
        <f>IFERROR(INDEX(tbl_input[집계키_센터],ROW()-1),"")</f>
        <v/>
      </c>
      <c r="G3686" t="str">
        <f t="shared" si="403"/>
        <v/>
      </c>
      <c r="H3686" t="str">
        <f t="shared" si="404"/>
        <v/>
      </c>
      <c r="I3686" t="str">
        <f t="shared" si="405"/>
        <v/>
      </c>
    </row>
    <row r="3687" spans="1:9" x14ac:dyDescent="0.4">
      <c r="A3687" t="str">
        <f t="shared" si="399"/>
        <v/>
      </c>
      <c r="B3687" t="str">
        <f t="shared" si="400"/>
        <v/>
      </c>
      <c r="C3687" t="str">
        <f t="shared" si="401"/>
        <v/>
      </c>
      <c r="D3687" t="str">
        <f t="shared" si="402"/>
        <v/>
      </c>
      <c r="E3687" t="str">
        <f>IF(F3687="","",IF(COUNTIF($F$2:F3687,F3687)&gt;1,"",SUMIFS(tbl_input[필요수량],tbl_input[집계키_센터],F3687)))</f>
        <v/>
      </c>
      <c r="F3687" t="str">
        <f>IFERROR(INDEX(tbl_input[집계키_센터],ROW()-1),"")</f>
        <v/>
      </c>
      <c r="G3687" t="str">
        <f t="shared" si="403"/>
        <v/>
      </c>
      <c r="H3687" t="str">
        <f t="shared" si="404"/>
        <v/>
      </c>
      <c r="I3687" t="str">
        <f t="shared" si="405"/>
        <v/>
      </c>
    </row>
    <row r="3688" spans="1:9" x14ac:dyDescent="0.4">
      <c r="A3688" t="str">
        <f t="shared" si="399"/>
        <v/>
      </c>
      <c r="B3688" t="str">
        <f t="shared" si="400"/>
        <v/>
      </c>
      <c r="C3688" t="str">
        <f t="shared" si="401"/>
        <v/>
      </c>
      <c r="D3688" t="str">
        <f t="shared" si="402"/>
        <v/>
      </c>
      <c r="E3688" t="str">
        <f>IF(F3688="","",IF(COUNTIF($F$2:F3688,F3688)&gt;1,"",SUMIFS(tbl_input[필요수량],tbl_input[집계키_센터],F3688)))</f>
        <v/>
      </c>
      <c r="F3688" t="str">
        <f>IFERROR(INDEX(tbl_input[집계키_센터],ROW()-1),"")</f>
        <v/>
      </c>
      <c r="G3688" t="str">
        <f t="shared" si="403"/>
        <v/>
      </c>
      <c r="H3688" t="str">
        <f t="shared" si="404"/>
        <v/>
      </c>
      <c r="I3688" t="str">
        <f t="shared" si="405"/>
        <v/>
      </c>
    </row>
    <row r="3689" spans="1:9" x14ac:dyDescent="0.4">
      <c r="A3689" t="str">
        <f t="shared" si="399"/>
        <v/>
      </c>
      <c r="B3689" t="str">
        <f t="shared" si="400"/>
        <v/>
      </c>
      <c r="C3689" t="str">
        <f t="shared" si="401"/>
        <v/>
      </c>
      <c r="D3689" t="str">
        <f t="shared" si="402"/>
        <v/>
      </c>
      <c r="E3689" t="str">
        <f>IF(F3689="","",IF(COUNTIF($F$2:F3689,F3689)&gt;1,"",SUMIFS(tbl_input[필요수량],tbl_input[집계키_센터],F3689)))</f>
        <v/>
      </c>
      <c r="F3689" t="str">
        <f>IFERROR(INDEX(tbl_input[집계키_센터],ROW()-1),"")</f>
        <v/>
      </c>
      <c r="G3689" t="str">
        <f t="shared" si="403"/>
        <v/>
      </c>
      <c r="H3689" t="str">
        <f t="shared" si="404"/>
        <v/>
      </c>
      <c r="I3689" t="str">
        <f t="shared" si="405"/>
        <v/>
      </c>
    </row>
    <row r="3690" spans="1:9" x14ac:dyDescent="0.4">
      <c r="A3690" t="str">
        <f t="shared" si="399"/>
        <v/>
      </c>
      <c r="B3690" t="str">
        <f t="shared" si="400"/>
        <v/>
      </c>
      <c r="C3690" t="str">
        <f t="shared" si="401"/>
        <v/>
      </c>
      <c r="D3690" t="str">
        <f t="shared" si="402"/>
        <v/>
      </c>
      <c r="E3690" t="str">
        <f>IF(F3690="","",IF(COUNTIF($F$2:F3690,F3690)&gt;1,"",SUMIFS(tbl_input[필요수량],tbl_input[집계키_센터],F3690)))</f>
        <v/>
      </c>
      <c r="F3690" t="str">
        <f>IFERROR(INDEX(tbl_input[집계키_센터],ROW()-1),"")</f>
        <v/>
      </c>
      <c r="G3690" t="str">
        <f t="shared" si="403"/>
        <v/>
      </c>
      <c r="H3690" t="str">
        <f t="shared" si="404"/>
        <v/>
      </c>
      <c r="I3690" t="str">
        <f t="shared" si="405"/>
        <v/>
      </c>
    </row>
    <row r="3691" spans="1:9" x14ac:dyDescent="0.4">
      <c r="A3691" t="str">
        <f t="shared" si="399"/>
        <v/>
      </c>
      <c r="B3691" t="str">
        <f t="shared" si="400"/>
        <v/>
      </c>
      <c r="C3691" t="str">
        <f t="shared" si="401"/>
        <v/>
      </c>
      <c r="D3691" t="str">
        <f t="shared" si="402"/>
        <v/>
      </c>
      <c r="E3691" t="str">
        <f>IF(F3691="","",IF(COUNTIF($F$2:F3691,F3691)&gt;1,"",SUMIFS(tbl_input[필요수량],tbl_input[집계키_센터],F3691)))</f>
        <v/>
      </c>
      <c r="F3691" t="str">
        <f>IFERROR(INDEX(tbl_input[집계키_센터],ROW()-1),"")</f>
        <v/>
      </c>
      <c r="G3691" t="str">
        <f t="shared" si="403"/>
        <v/>
      </c>
      <c r="H3691" t="str">
        <f t="shared" si="404"/>
        <v/>
      </c>
      <c r="I3691" t="str">
        <f t="shared" si="405"/>
        <v/>
      </c>
    </row>
    <row r="3692" spans="1:9" x14ac:dyDescent="0.4">
      <c r="A3692" t="str">
        <f t="shared" si="399"/>
        <v/>
      </c>
      <c r="B3692" t="str">
        <f t="shared" si="400"/>
        <v/>
      </c>
      <c r="C3692" t="str">
        <f t="shared" si="401"/>
        <v/>
      </c>
      <c r="D3692" t="str">
        <f t="shared" si="402"/>
        <v/>
      </c>
      <c r="E3692" t="str">
        <f>IF(F3692="","",IF(COUNTIF($F$2:F3692,F3692)&gt;1,"",SUMIFS(tbl_input[필요수량],tbl_input[집계키_센터],F3692)))</f>
        <v/>
      </c>
      <c r="F3692" t="str">
        <f>IFERROR(INDEX(tbl_input[집계키_센터],ROW()-1),"")</f>
        <v/>
      </c>
      <c r="G3692" t="str">
        <f t="shared" si="403"/>
        <v/>
      </c>
      <c r="H3692" t="str">
        <f t="shared" si="404"/>
        <v/>
      </c>
      <c r="I3692" t="str">
        <f t="shared" si="405"/>
        <v/>
      </c>
    </row>
    <row r="3693" spans="1:9" x14ac:dyDescent="0.4">
      <c r="A3693" t="str">
        <f t="shared" si="399"/>
        <v/>
      </c>
      <c r="B3693" t="str">
        <f t="shared" si="400"/>
        <v/>
      </c>
      <c r="C3693" t="str">
        <f t="shared" si="401"/>
        <v/>
      </c>
      <c r="D3693" t="str">
        <f t="shared" si="402"/>
        <v/>
      </c>
      <c r="E3693" t="str">
        <f>IF(F3693="","",IF(COUNTIF($F$2:F3693,F3693)&gt;1,"",SUMIFS(tbl_input[필요수량],tbl_input[집계키_센터],F3693)))</f>
        <v/>
      </c>
      <c r="F3693" t="str">
        <f>IFERROR(INDEX(tbl_input[집계키_센터],ROW()-1),"")</f>
        <v/>
      </c>
      <c r="G3693" t="str">
        <f t="shared" si="403"/>
        <v/>
      </c>
      <c r="H3693" t="str">
        <f t="shared" si="404"/>
        <v/>
      </c>
      <c r="I3693" t="str">
        <f t="shared" si="405"/>
        <v/>
      </c>
    </row>
    <row r="3694" spans="1:9" x14ac:dyDescent="0.4">
      <c r="A3694" t="str">
        <f t="shared" si="399"/>
        <v/>
      </c>
      <c r="B3694" t="str">
        <f t="shared" si="400"/>
        <v/>
      </c>
      <c r="C3694" t="str">
        <f t="shared" si="401"/>
        <v/>
      </c>
      <c r="D3694" t="str">
        <f t="shared" si="402"/>
        <v/>
      </c>
      <c r="E3694" t="str">
        <f>IF(F3694="","",IF(COUNTIF($F$2:F3694,F3694)&gt;1,"",SUMIFS(tbl_input[필요수량],tbl_input[집계키_센터],F3694)))</f>
        <v/>
      </c>
      <c r="F3694" t="str">
        <f>IFERROR(INDEX(tbl_input[집계키_센터],ROW()-1),"")</f>
        <v/>
      </c>
      <c r="G3694" t="str">
        <f t="shared" si="403"/>
        <v/>
      </c>
      <c r="H3694" t="str">
        <f t="shared" si="404"/>
        <v/>
      </c>
      <c r="I3694" t="str">
        <f t="shared" si="405"/>
        <v/>
      </c>
    </row>
    <row r="3695" spans="1:9" x14ac:dyDescent="0.4">
      <c r="A3695" t="str">
        <f t="shared" si="399"/>
        <v/>
      </c>
      <c r="B3695" t="str">
        <f t="shared" si="400"/>
        <v/>
      </c>
      <c r="C3695" t="str">
        <f t="shared" si="401"/>
        <v/>
      </c>
      <c r="D3695" t="str">
        <f t="shared" si="402"/>
        <v/>
      </c>
      <c r="E3695" t="str">
        <f>IF(F3695="","",IF(COUNTIF($F$2:F3695,F3695)&gt;1,"",SUMIFS(tbl_input[필요수량],tbl_input[집계키_센터],F3695)))</f>
        <v/>
      </c>
      <c r="F3695" t="str">
        <f>IFERROR(INDEX(tbl_input[집계키_센터],ROW()-1),"")</f>
        <v/>
      </c>
      <c r="G3695" t="str">
        <f t="shared" si="403"/>
        <v/>
      </c>
      <c r="H3695" t="str">
        <f t="shared" si="404"/>
        <v/>
      </c>
      <c r="I3695" t="str">
        <f t="shared" si="405"/>
        <v/>
      </c>
    </row>
    <row r="3696" spans="1:9" x14ac:dyDescent="0.4">
      <c r="A3696" t="str">
        <f t="shared" si="399"/>
        <v/>
      </c>
      <c r="B3696" t="str">
        <f t="shared" si="400"/>
        <v/>
      </c>
      <c r="C3696" t="str">
        <f t="shared" si="401"/>
        <v/>
      </c>
      <c r="D3696" t="str">
        <f t="shared" si="402"/>
        <v/>
      </c>
      <c r="E3696" t="str">
        <f>IF(F3696="","",IF(COUNTIF($F$2:F3696,F3696)&gt;1,"",SUMIFS(tbl_input[필요수량],tbl_input[집계키_센터],F3696)))</f>
        <v/>
      </c>
      <c r="F3696" t="str">
        <f>IFERROR(INDEX(tbl_input[집계키_센터],ROW()-1),"")</f>
        <v/>
      </c>
      <c r="G3696" t="str">
        <f t="shared" si="403"/>
        <v/>
      </c>
      <c r="H3696" t="str">
        <f t="shared" si="404"/>
        <v/>
      </c>
      <c r="I3696" t="str">
        <f t="shared" si="405"/>
        <v/>
      </c>
    </row>
    <row r="3697" spans="1:9" x14ac:dyDescent="0.4">
      <c r="A3697" t="str">
        <f t="shared" si="399"/>
        <v/>
      </c>
      <c r="B3697" t="str">
        <f t="shared" si="400"/>
        <v/>
      </c>
      <c r="C3697" t="str">
        <f t="shared" si="401"/>
        <v/>
      </c>
      <c r="D3697" t="str">
        <f t="shared" si="402"/>
        <v/>
      </c>
      <c r="E3697" t="str">
        <f>IF(F3697="","",IF(COUNTIF($F$2:F3697,F3697)&gt;1,"",SUMIFS(tbl_input[필요수량],tbl_input[집계키_센터],F3697)))</f>
        <v/>
      </c>
      <c r="F3697" t="str">
        <f>IFERROR(INDEX(tbl_input[집계키_센터],ROW()-1),"")</f>
        <v/>
      </c>
      <c r="G3697" t="str">
        <f t="shared" si="403"/>
        <v/>
      </c>
      <c r="H3697" t="str">
        <f t="shared" si="404"/>
        <v/>
      </c>
      <c r="I3697" t="str">
        <f t="shared" si="405"/>
        <v/>
      </c>
    </row>
    <row r="3698" spans="1:9" x14ac:dyDescent="0.4">
      <c r="A3698" t="str">
        <f t="shared" si="399"/>
        <v/>
      </c>
      <c r="B3698" t="str">
        <f t="shared" si="400"/>
        <v/>
      </c>
      <c r="C3698" t="str">
        <f t="shared" si="401"/>
        <v/>
      </c>
      <c r="D3698" t="str">
        <f t="shared" si="402"/>
        <v/>
      </c>
      <c r="E3698" t="str">
        <f>IF(F3698="","",IF(COUNTIF($F$2:F3698,F3698)&gt;1,"",SUMIFS(tbl_input[필요수량],tbl_input[집계키_센터],F3698)))</f>
        <v/>
      </c>
      <c r="F3698" t="str">
        <f>IFERROR(INDEX(tbl_input[집계키_센터],ROW()-1),"")</f>
        <v/>
      </c>
      <c r="G3698" t="str">
        <f t="shared" si="403"/>
        <v/>
      </c>
      <c r="H3698" t="str">
        <f t="shared" si="404"/>
        <v/>
      </c>
      <c r="I3698" t="str">
        <f t="shared" si="405"/>
        <v/>
      </c>
    </row>
    <row r="3699" spans="1:9" x14ac:dyDescent="0.4">
      <c r="A3699" t="str">
        <f t="shared" si="399"/>
        <v/>
      </c>
      <c r="B3699" t="str">
        <f t="shared" si="400"/>
        <v/>
      </c>
      <c r="C3699" t="str">
        <f t="shared" si="401"/>
        <v/>
      </c>
      <c r="D3699" t="str">
        <f t="shared" si="402"/>
        <v/>
      </c>
      <c r="E3699" t="str">
        <f>IF(F3699="","",IF(COUNTIF($F$2:F3699,F3699)&gt;1,"",SUMIFS(tbl_input[필요수량],tbl_input[집계키_센터],F3699)))</f>
        <v/>
      </c>
      <c r="F3699" t="str">
        <f>IFERROR(INDEX(tbl_input[집계키_센터],ROW()-1),"")</f>
        <v/>
      </c>
      <c r="G3699" t="str">
        <f t="shared" si="403"/>
        <v/>
      </c>
      <c r="H3699" t="str">
        <f t="shared" si="404"/>
        <v/>
      </c>
      <c r="I3699" t="str">
        <f t="shared" si="405"/>
        <v/>
      </c>
    </row>
    <row r="3700" spans="1:9" x14ac:dyDescent="0.4">
      <c r="A3700" t="str">
        <f t="shared" si="399"/>
        <v/>
      </c>
      <c r="B3700" t="str">
        <f t="shared" si="400"/>
        <v/>
      </c>
      <c r="C3700" t="str">
        <f t="shared" si="401"/>
        <v/>
      </c>
      <c r="D3700" t="str">
        <f t="shared" si="402"/>
        <v/>
      </c>
      <c r="E3700" t="str">
        <f>IF(F3700="","",IF(COUNTIF($F$2:F3700,F3700)&gt;1,"",SUMIFS(tbl_input[필요수량],tbl_input[집계키_센터],F3700)))</f>
        <v/>
      </c>
      <c r="F3700" t="str">
        <f>IFERROR(INDEX(tbl_input[집계키_센터],ROW()-1),"")</f>
        <v/>
      </c>
      <c r="G3700" t="str">
        <f t="shared" si="403"/>
        <v/>
      </c>
      <c r="H3700" t="str">
        <f t="shared" si="404"/>
        <v/>
      </c>
      <c r="I3700" t="str">
        <f t="shared" si="405"/>
        <v/>
      </c>
    </row>
    <row r="3701" spans="1:9" x14ac:dyDescent="0.4">
      <c r="A3701" t="str">
        <f t="shared" si="399"/>
        <v/>
      </c>
      <c r="B3701" t="str">
        <f t="shared" si="400"/>
        <v/>
      </c>
      <c r="C3701" t="str">
        <f t="shared" si="401"/>
        <v/>
      </c>
      <c r="D3701" t="str">
        <f t="shared" si="402"/>
        <v/>
      </c>
      <c r="E3701" t="str">
        <f>IF(F3701="","",IF(COUNTIF($F$2:F3701,F3701)&gt;1,"",SUMIFS(tbl_input[필요수량],tbl_input[집계키_센터],F3701)))</f>
        <v/>
      </c>
      <c r="F3701" t="str">
        <f>IFERROR(INDEX(tbl_input[집계키_센터],ROW()-1),"")</f>
        <v/>
      </c>
      <c r="G3701" t="str">
        <f t="shared" si="403"/>
        <v/>
      </c>
      <c r="H3701" t="str">
        <f t="shared" si="404"/>
        <v/>
      </c>
      <c r="I3701" t="str">
        <f t="shared" si="405"/>
        <v/>
      </c>
    </row>
    <row r="3702" spans="1:9" x14ac:dyDescent="0.4">
      <c r="A3702" t="str">
        <f t="shared" si="399"/>
        <v/>
      </c>
      <c r="B3702" t="str">
        <f t="shared" si="400"/>
        <v/>
      </c>
      <c r="C3702" t="str">
        <f t="shared" si="401"/>
        <v/>
      </c>
      <c r="D3702" t="str">
        <f t="shared" si="402"/>
        <v/>
      </c>
      <c r="E3702" t="str">
        <f>IF(F3702="","",IF(COUNTIF($F$2:F3702,F3702)&gt;1,"",SUMIFS(tbl_input[필요수량],tbl_input[집계키_센터],F3702)))</f>
        <v/>
      </c>
      <c r="F3702" t="str">
        <f>IFERROR(INDEX(tbl_input[집계키_센터],ROW()-1),"")</f>
        <v/>
      </c>
      <c r="G3702" t="str">
        <f t="shared" si="403"/>
        <v/>
      </c>
      <c r="H3702" t="str">
        <f t="shared" si="404"/>
        <v/>
      </c>
      <c r="I3702" t="str">
        <f t="shared" si="405"/>
        <v/>
      </c>
    </row>
    <row r="3703" spans="1:9" x14ac:dyDescent="0.4">
      <c r="A3703" t="str">
        <f t="shared" si="399"/>
        <v/>
      </c>
      <c r="B3703" t="str">
        <f t="shared" si="400"/>
        <v/>
      </c>
      <c r="C3703" t="str">
        <f t="shared" si="401"/>
        <v/>
      </c>
      <c r="D3703" t="str">
        <f t="shared" si="402"/>
        <v/>
      </c>
      <c r="E3703" t="str">
        <f>IF(F3703="","",IF(COUNTIF($F$2:F3703,F3703)&gt;1,"",SUMIFS(tbl_input[필요수량],tbl_input[집계키_센터],F3703)))</f>
        <v/>
      </c>
      <c r="F3703" t="str">
        <f>IFERROR(INDEX(tbl_input[집계키_센터],ROW()-1),"")</f>
        <v/>
      </c>
      <c r="G3703" t="str">
        <f t="shared" si="403"/>
        <v/>
      </c>
      <c r="H3703" t="str">
        <f t="shared" si="404"/>
        <v/>
      </c>
      <c r="I3703" t="str">
        <f t="shared" si="405"/>
        <v/>
      </c>
    </row>
    <row r="3704" spans="1:9" x14ac:dyDescent="0.4">
      <c r="A3704" t="str">
        <f t="shared" si="399"/>
        <v/>
      </c>
      <c r="B3704" t="str">
        <f t="shared" si="400"/>
        <v/>
      </c>
      <c r="C3704" t="str">
        <f t="shared" si="401"/>
        <v/>
      </c>
      <c r="D3704" t="str">
        <f t="shared" si="402"/>
        <v/>
      </c>
      <c r="E3704" t="str">
        <f>IF(F3704="","",IF(COUNTIF($F$2:F3704,F3704)&gt;1,"",SUMIFS(tbl_input[필요수량],tbl_input[집계키_센터],F3704)))</f>
        <v/>
      </c>
      <c r="F3704" t="str">
        <f>IFERROR(INDEX(tbl_input[집계키_센터],ROW()-1),"")</f>
        <v/>
      </c>
      <c r="G3704" t="str">
        <f t="shared" si="403"/>
        <v/>
      </c>
      <c r="H3704" t="str">
        <f t="shared" si="404"/>
        <v/>
      </c>
      <c r="I3704" t="str">
        <f t="shared" si="405"/>
        <v/>
      </c>
    </row>
    <row r="3705" spans="1:9" x14ac:dyDescent="0.4">
      <c r="A3705" t="str">
        <f t="shared" si="399"/>
        <v/>
      </c>
      <c r="B3705" t="str">
        <f t="shared" si="400"/>
        <v/>
      </c>
      <c r="C3705" t="str">
        <f t="shared" si="401"/>
        <v/>
      </c>
      <c r="D3705" t="str">
        <f t="shared" si="402"/>
        <v/>
      </c>
      <c r="E3705" t="str">
        <f>IF(F3705="","",IF(COUNTIF($F$2:F3705,F3705)&gt;1,"",SUMIFS(tbl_input[필요수량],tbl_input[집계키_센터],F3705)))</f>
        <v/>
      </c>
      <c r="F3705" t="str">
        <f>IFERROR(INDEX(tbl_input[집계키_센터],ROW()-1),"")</f>
        <v/>
      </c>
      <c r="G3705" t="str">
        <f t="shared" si="403"/>
        <v/>
      </c>
      <c r="H3705" t="str">
        <f t="shared" si="404"/>
        <v/>
      </c>
      <c r="I3705" t="str">
        <f t="shared" si="405"/>
        <v/>
      </c>
    </row>
    <row r="3706" spans="1:9" x14ac:dyDescent="0.4">
      <c r="A3706" t="str">
        <f t="shared" si="399"/>
        <v/>
      </c>
      <c r="B3706" t="str">
        <f t="shared" si="400"/>
        <v/>
      </c>
      <c r="C3706" t="str">
        <f t="shared" si="401"/>
        <v/>
      </c>
      <c r="D3706" t="str">
        <f t="shared" si="402"/>
        <v/>
      </c>
      <c r="E3706" t="str">
        <f>IF(F3706="","",IF(COUNTIF($F$2:F3706,F3706)&gt;1,"",SUMIFS(tbl_input[필요수량],tbl_input[집계키_센터],F3706)))</f>
        <v/>
      </c>
      <c r="F3706" t="str">
        <f>IFERROR(INDEX(tbl_input[집계키_센터],ROW()-1),"")</f>
        <v/>
      </c>
      <c r="G3706" t="str">
        <f t="shared" si="403"/>
        <v/>
      </c>
      <c r="H3706" t="str">
        <f t="shared" si="404"/>
        <v/>
      </c>
      <c r="I3706" t="str">
        <f t="shared" si="405"/>
        <v/>
      </c>
    </row>
    <row r="3707" spans="1:9" x14ac:dyDescent="0.4">
      <c r="A3707" t="str">
        <f t="shared" si="399"/>
        <v/>
      </c>
      <c r="B3707" t="str">
        <f t="shared" si="400"/>
        <v/>
      </c>
      <c r="C3707" t="str">
        <f t="shared" si="401"/>
        <v/>
      </c>
      <c r="D3707" t="str">
        <f t="shared" si="402"/>
        <v/>
      </c>
      <c r="E3707" t="str">
        <f>IF(F3707="","",IF(COUNTIF($F$2:F3707,F3707)&gt;1,"",SUMIFS(tbl_input[필요수량],tbl_input[집계키_센터],F3707)))</f>
        <v/>
      </c>
      <c r="F3707" t="str">
        <f>IFERROR(INDEX(tbl_input[집계키_센터],ROW()-1),"")</f>
        <v/>
      </c>
      <c r="G3707" t="str">
        <f t="shared" si="403"/>
        <v/>
      </c>
      <c r="H3707" t="str">
        <f t="shared" si="404"/>
        <v/>
      </c>
      <c r="I3707" t="str">
        <f t="shared" si="405"/>
        <v/>
      </c>
    </row>
    <row r="3708" spans="1:9" x14ac:dyDescent="0.4">
      <c r="A3708" t="str">
        <f t="shared" si="399"/>
        <v/>
      </c>
      <c r="B3708" t="str">
        <f t="shared" si="400"/>
        <v/>
      </c>
      <c r="C3708" t="str">
        <f t="shared" si="401"/>
        <v/>
      </c>
      <c r="D3708" t="str">
        <f t="shared" si="402"/>
        <v/>
      </c>
      <c r="E3708" t="str">
        <f>IF(F3708="","",IF(COUNTIF($F$2:F3708,F3708)&gt;1,"",SUMIFS(tbl_input[필요수량],tbl_input[집계키_센터],F3708)))</f>
        <v/>
      </c>
      <c r="F3708" t="str">
        <f>IFERROR(INDEX(tbl_input[집계키_센터],ROW()-1),"")</f>
        <v/>
      </c>
      <c r="G3708" t="str">
        <f t="shared" si="403"/>
        <v/>
      </c>
      <c r="H3708" t="str">
        <f t="shared" si="404"/>
        <v/>
      </c>
      <c r="I3708" t="str">
        <f t="shared" si="405"/>
        <v/>
      </c>
    </row>
    <row r="3709" spans="1:9" x14ac:dyDescent="0.4">
      <c r="A3709" t="str">
        <f t="shared" si="399"/>
        <v/>
      </c>
      <c r="B3709" t="str">
        <f t="shared" si="400"/>
        <v/>
      </c>
      <c r="C3709" t="str">
        <f t="shared" si="401"/>
        <v/>
      </c>
      <c r="D3709" t="str">
        <f t="shared" si="402"/>
        <v/>
      </c>
      <c r="E3709" t="str">
        <f>IF(F3709="","",IF(COUNTIF($F$2:F3709,F3709)&gt;1,"",SUMIFS(tbl_input[필요수량],tbl_input[집계키_센터],F3709)))</f>
        <v/>
      </c>
      <c r="F3709" t="str">
        <f>IFERROR(INDEX(tbl_input[집계키_센터],ROW()-1),"")</f>
        <v/>
      </c>
      <c r="G3709" t="str">
        <f t="shared" si="403"/>
        <v/>
      </c>
      <c r="H3709" t="str">
        <f t="shared" si="404"/>
        <v/>
      </c>
      <c r="I3709" t="str">
        <f t="shared" si="405"/>
        <v/>
      </c>
    </row>
    <row r="3710" spans="1:9" x14ac:dyDescent="0.4">
      <c r="A3710" t="str">
        <f t="shared" si="399"/>
        <v/>
      </c>
      <c r="B3710" t="str">
        <f t="shared" si="400"/>
        <v/>
      </c>
      <c r="C3710" t="str">
        <f t="shared" si="401"/>
        <v/>
      </c>
      <c r="D3710" t="str">
        <f t="shared" si="402"/>
        <v/>
      </c>
      <c r="E3710" t="str">
        <f>IF(F3710="","",IF(COUNTIF($F$2:F3710,F3710)&gt;1,"",SUMIFS(tbl_input[필요수량],tbl_input[집계키_센터],F3710)))</f>
        <v/>
      </c>
      <c r="F3710" t="str">
        <f>IFERROR(INDEX(tbl_input[집계키_센터],ROW()-1),"")</f>
        <v/>
      </c>
      <c r="G3710" t="str">
        <f t="shared" si="403"/>
        <v/>
      </c>
      <c r="H3710" t="str">
        <f t="shared" si="404"/>
        <v/>
      </c>
      <c r="I3710" t="str">
        <f t="shared" si="405"/>
        <v/>
      </c>
    </row>
    <row r="3711" spans="1:9" x14ac:dyDescent="0.4">
      <c r="A3711" t="str">
        <f t="shared" si="399"/>
        <v/>
      </c>
      <c r="B3711" t="str">
        <f t="shared" si="400"/>
        <v/>
      </c>
      <c r="C3711" t="str">
        <f t="shared" si="401"/>
        <v/>
      </c>
      <c r="D3711" t="str">
        <f t="shared" si="402"/>
        <v/>
      </c>
      <c r="E3711" t="str">
        <f>IF(F3711="","",IF(COUNTIF($F$2:F3711,F3711)&gt;1,"",SUMIFS(tbl_input[필요수량],tbl_input[집계키_센터],F3711)))</f>
        <v/>
      </c>
      <c r="F3711" t="str">
        <f>IFERROR(INDEX(tbl_input[집계키_센터],ROW()-1),"")</f>
        <v/>
      </c>
      <c r="G3711" t="str">
        <f t="shared" si="403"/>
        <v/>
      </c>
      <c r="H3711" t="str">
        <f t="shared" si="404"/>
        <v/>
      </c>
      <c r="I3711" t="str">
        <f t="shared" si="405"/>
        <v/>
      </c>
    </row>
    <row r="3712" spans="1:9" x14ac:dyDescent="0.4">
      <c r="A3712" t="str">
        <f t="shared" si="399"/>
        <v/>
      </c>
      <c r="B3712" t="str">
        <f t="shared" si="400"/>
        <v/>
      </c>
      <c r="C3712" t="str">
        <f t="shared" si="401"/>
        <v/>
      </c>
      <c r="D3712" t="str">
        <f t="shared" si="402"/>
        <v/>
      </c>
      <c r="E3712" t="str">
        <f>IF(F3712="","",IF(COUNTIF($F$2:F3712,F3712)&gt;1,"",SUMIFS(tbl_input[필요수량],tbl_input[집계키_센터],F3712)))</f>
        <v/>
      </c>
      <c r="F3712" t="str">
        <f>IFERROR(INDEX(tbl_input[집계키_센터],ROW()-1),"")</f>
        <v/>
      </c>
      <c r="G3712" t="str">
        <f t="shared" si="403"/>
        <v/>
      </c>
      <c r="H3712" t="str">
        <f t="shared" si="404"/>
        <v/>
      </c>
      <c r="I3712" t="str">
        <f t="shared" si="405"/>
        <v/>
      </c>
    </row>
    <row r="3713" spans="1:9" x14ac:dyDescent="0.4">
      <c r="A3713" t="str">
        <f t="shared" si="399"/>
        <v/>
      </c>
      <c r="B3713" t="str">
        <f t="shared" si="400"/>
        <v/>
      </c>
      <c r="C3713" t="str">
        <f t="shared" si="401"/>
        <v/>
      </c>
      <c r="D3713" t="str">
        <f t="shared" si="402"/>
        <v/>
      </c>
      <c r="E3713" t="str">
        <f>IF(F3713="","",IF(COUNTIF($F$2:F3713,F3713)&gt;1,"",SUMIFS(tbl_input[필요수량],tbl_input[집계키_센터],F3713)))</f>
        <v/>
      </c>
      <c r="F3713" t="str">
        <f>IFERROR(INDEX(tbl_input[집계키_센터],ROW()-1),"")</f>
        <v/>
      </c>
      <c r="G3713" t="str">
        <f t="shared" si="403"/>
        <v/>
      </c>
      <c r="H3713" t="str">
        <f t="shared" si="404"/>
        <v/>
      </c>
      <c r="I3713" t="str">
        <f t="shared" si="405"/>
        <v/>
      </c>
    </row>
    <row r="3714" spans="1:9" x14ac:dyDescent="0.4">
      <c r="A3714" t="str">
        <f t="shared" ref="A3714:A3777" si="406">IF(F3714="","",LEFT(F3714,G3714-1))</f>
        <v/>
      </c>
      <c r="B3714" t="str">
        <f t="shared" ref="B3714:B3777" si="407">IF(F3714="","",MID(F3714,G3714+1,H3714-G3714-1))</f>
        <v/>
      </c>
      <c r="C3714" t="str">
        <f t="shared" ref="C3714:C3777" si="408">IF(F3714="","",MID(F3714,H3714+1,I3714-H3714-1))</f>
        <v/>
      </c>
      <c r="D3714" t="str">
        <f t="shared" ref="D3714:D3777" si="409">IF(F3714="","",MID(F3714,I3714+1,999))</f>
        <v/>
      </c>
      <c r="E3714" t="str">
        <f>IF(F3714="","",IF(COUNTIF($F$2:F3714,F3714)&gt;1,"",SUMIFS(tbl_input[필요수량],tbl_input[집계키_센터],F3714)))</f>
        <v/>
      </c>
      <c r="F3714" t="str">
        <f>IFERROR(INDEX(tbl_input[집계키_센터],ROW()-1),"")</f>
        <v/>
      </c>
      <c r="G3714" t="str">
        <f t="shared" ref="G3714:G3777" si="410">IF(F3714="","",FIND("♦",F3714))</f>
        <v/>
      </c>
      <c r="H3714" t="str">
        <f t="shared" ref="H3714:H3777" si="411">IF(F3714="","",FIND("♦",F3714,G3714+1))</f>
        <v/>
      </c>
      <c r="I3714" t="str">
        <f t="shared" ref="I3714:I3777" si="412">IF(F3714="","",FIND("♦",F3714,H3714+1))</f>
        <v/>
      </c>
    </row>
    <row r="3715" spans="1:9" x14ac:dyDescent="0.4">
      <c r="A3715" t="str">
        <f t="shared" si="406"/>
        <v/>
      </c>
      <c r="B3715" t="str">
        <f t="shared" si="407"/>
        <v/>
      </c>
      <c r="C3715" t="str">
        <f t="shared" si="408"/>
        <v/>
      </c>
      <c r="D3715" t="str">
        <f t="shared" si="409"/>
        <v/>
      </c>
      <c r="E3715" t="str">
        <f>IF(F3715="","",IF(COUNTIF($F$2:F3715,F3715)&gt;1,"",SUMIFS(tbl_input[필요수량],tbl_input[집계키_센터],F3715)))</f>
        <v/>
      </c>
      <c r="F3715" t="str">
        <f>IFERROR(INDEX(tbl_input[집계키_센터],ROW()-1),"")</f>
        <v/>
      </c>
      <c r="G3715" t="str">
        <f t="shared" si="410"/>
        <v/>
      </c>
      <c r="H3715" t="str">
        <f t="shared" si="411"/>
        <v/>
      </c>
      <c r="I3715" t="str">
        <f t="shared" si="412"/>
        <v/>
      </c>
    </row>
    <row r="3716" spans="1:9" x14ac:dyDescent="0.4">
      <c r="A3716" t="str">
        <f t="shared" si="406"/>
        <v/>
      </c>
      <c r="B3716" t="str">
        <f t="shared" si="407"/>
        <v/>
      </c>
      <c r="C3716" t="str">
        <f t="shared" si="408"/>
        <v/>
      </c>
      <c r="D3716" t="str">
        <f t="shared" si="409"/>
        <v/>
      </c>
      <c r="E3716" t="str">
        <f>IF(F3716="","",IF(COUNTIF($F$2:F3716,F3716)&gt;1,"",SUMIFS(tbl_input[필요수량],tbl_input[집계키_센터],F3716)))</f>
        <v/>
      </c>
      <c r="F3716" t="str">
        <f>IFERROR(INDEX(tbl_input[집계키_센터],ROW()-1),"")</f>
        <v/>
      </c>
      <c r="G3716" t="str">
        <f t="shared" si="410"/>
        <v/>
      </c>
      <c r="H3716" t="str">
        <f t="shared" si="411"/>
        <v/>
      </c>
      <c r="I3716" t="str">
        <f t="shared" si="412"/>
        <v/>
      </c>
    </row>
    <row r="3717" spans="1:9" x14ac:dyDescent="0.4">
      <c r="A3717" t="str">
        <f t="shared" si="406"/>
        <v/>
      </c>
      <c r="B3717" t="str">
        <f t="shared" si="407"/>
        <v/>
      </c>
      <c r="C3717" t="str">
        <f t="shared" si="408"/>
        <v/>
      </c>
      <c r="D3717" t="str">
        <f t="shared" si="409"/>
        <v/>
      </c>
      <c r="E3717" t="str">
        <f>IF(F3717="","",IF(COUNTIF($F$2:F3717,F3717)&gt;1,"",SUMIFS(tbl_input[필요수량],tbl_input[집계키_센터],F3717)))</f>
        <v/>
      </c>
      <c r="F3717" t="str">
        <f>IFERROR(INDEX(tbl_input[집계키_센터],ROW()-1),"")</f>
        <v/>
      </c>
      <c r="G3717" t="str">
        <f t="shared" si="410"/>
        <v/>
      </c>
      <c r="H3717" t="str">
        <f t="shared" si="411"/>
        <v/>
      </c>
      <c r="I3717" t="str">
        <f t="shared" si="412"/>
        <v/>
      </c>
    </row>
    <row r="3718" spans="1:9" x14ac:dyDescent="0.4">
      <c r="A3718" t="str">
        <f t="shared" si="406"/>
        <v/>
      </c>
      <c r="B3718" t="str">
        <f t="shared" si="407"/>
        <v/>
      </c>
      <c r="C3718" t="str">
        <f t="shared" si="408"/>
        <v/>
      </c>
      <c r="D3718" t="str">
        <f t="shared" si="409"/>
        <v/>
      </c>
      <c r="E3718" t="str">
        <f>IF(F3718="","",IF(COUNTIF($F$2:F3718,F3718)&gt;1,"",SUMIFS(tbl_input[필요수량],tbl_input[집계키_센터],F3718)))</f>
        <v/>
      </c>
      <c r="F3718" t="str">
        <f>IFERROR(INDEX(tbl_input[집계키_센터],ROW()-1),"")</f>
        <v/>
      </c>
      <c r="G3718" t="str">
        <f t="shared" si="410"/>
        <v/>
      </c>
      <c r="H3718" t="str">
        <f t="shared" si="411"/>
        <v/>
      </c>
      <c r="I3718" t="str">
        <f t="shared" si="412"/>
        <v/>
      </c>
    </row>
    <row r="3719" spans="1:9" x14ac:dyDescent="0.4">
      <c r="A3719" t="str">
        <f t="shared" si="406"/>
        <v/>
      </c>
      <c r="B3719" t="str">
        <f t="shared" si="407"/>
        <v/>
      </c>
      <c r="C3719" t="str">
        <f t="shared" si="408"/>
        <v/>
      </c>
      <c r="D3719" t="str">
        <f t="shared" si="409"/>
        <v/>
      </c>
      <c r="E3719" t="str">
        <f>IF(F3719="","",IF(COUNTIF($F$2:F3719,F3719)&gt;1,"",SUMIFS(tbl_input[필요수량],tbl_input[집계키_센터],F3719)))</f>
        <v/>
      </c>
      <c r="F3719" t="str">
        <f>IFERROR(INDEX(tbl_input[집계키_센터],ROW()-1),"")</f>
        <v/>
      </c>
      <c r="G3719" t="str">
        <f t="shared" si="410"/>
        <v/>
      </c>
      <c r="H3719" t="str">
        <f t="shared" si="411"/>
        <v/>
      </c>
      <c r="I3719" t="str">
        <f t="shared" si="412"/>
        <v/>
      </c>
    </row>
    <row r="3720" spans="1:9" x14ac:dyDescent="0.4">
      <c r="A3720" t="str">
        <f t="shared" si="406"/>
        <v/>
      </c>
      <c r="B3720" t="str">
        <f t="shared" si="407"/>
        <v/>
      </c>
      <c r="C3720" t="str">
        <f t="shared" si="408"/>
        <v/>
      </c>
      <c r="D3720" t="str">
        <f t="shared" si="409"/>
        <v/>
      </c>
      <c r="E3720" t="str">
        <f>IF(F3720="","",IF(COUNTIF($F$2:F3720,F3720)&gt;1,"",SUMIFS(tbl_input[필요수량],tbl_input[집계키_센터],F3720)))</f>
        <v/>
      </c>
      <c r="F3720" t="str">
        <f>IFERROR(INDEX(tbl_input[집계키_센터],ROW()-1),"")</f>
        <v/>
      </c>
      <c r="G3720" t="str">
        <f t="shared" si="410"/>
        <v/>
      </c>
      <c r="H3720" t="str">
        <f t="shared" si="411"/>
        <v/>
      </c>
      <c r="I3720" t="str">
        <f t="shared" si="412"/>
        <v/>
      </c>
    </row>
    <row r="3721" spans="1:9" x14ac:dyDescent="0.4">
      <c r="A3721" t="str">
        <f t="shared" si="406"/>
        <v/>
      </c>
      <c r="B3721" t="str">
        <f t="shared" si="407"/>
        <v/>
      </c>
      <c r="C3721" t="str">
        <f t="shared" si="408"/>
        <v/>
      </c>
      <c r="D3721" t="str">
        <f t="shared" si="409"/>
        <v/>
      </c>
      <c r="E3721" t="str">
        <f>IF(F3721="","",IF(COUNTIF($F$2:F3721,F3721)&gt;1,"",SUMIFS(tbl_input[필요수량],tbl_input[집계키_센터],F3721)))</f>
        <v/>
      </c>
      <c r="F3721" t="str">
        <f>IFERROR(INDEX(tbl_input[집계키_센터],ROW()-1),"")</f>
        <v/>
      </c>
      <c r="G3721" t="str">
        <f t="shared" si="410"/>
        <v/>
      </c>
      <c r="H3721" t="str">
        <f t="shared" si="411"/>
        <v/>
      </c>
      <c r="I3721" t="str">
        <f t="shared" si="412"/>
        <v/>
      </c>
    </row>
    <row r="3722" spans="1:9" x14ac:dyDescent="0.4">
      <c r="A3722" t="str">
        <f t="shared" si="406"/>
        <v/>
      </c>
      <c r="B3722" t="str">
        <f t="shared" si="407"/>
        <v/>
      </c>
      <c r="C3722" t="str">
        <f t="shared" si="408"/>
        <v/>
      </c>
      <c r="D3722" t="str">
        <f t="shared" si="409"/>
        <v/>
      </c>
      <c r="E3722" t="str">
        <f>IF(F3722="","",IF(COUNTIF($F$2:F3722,F3722)&gt;1,"",SUMIFS(tbl_input[필요수량],tbl_input[집계키_센터],F3722)))</f>
        <v/>
      </c>
      <c r="F3722" t="str">
        <f>IFERROR(INDEX(tbl_input[집계키_센터],ROW()-1),"")</f>
        <v/>
      </c>
      <c r="G3722" t="str">
        <f t="shared" si="410"/>
        <v/>
      </c>
      <c r="H3722" t="str">
        <f t="shared" si="411"/>
        <v/>
      </c>
      <c r="I3722" t="str">
        <f t="shared" si="412"/>
        <v/>
      </c>
    </row>
    <row r="3723" spans="1:9" x14ac:dyDescent="0.4">
      <c r="A3723" t="str">
        <f t="shared" si="406"/>
        <v/>
      </c>
      <c r="B3723" t="str">
        <f t="shared" si="407"/>
        <v/>
      </c>
      <c r="C3723" t="str">
        <f t="shared" si="408"/>
        <v/>
      </c>
      <c r="D3723" t="str">
        <f t="shared" si="409"/>
        <v/>
      </c>
      <c r="E3723" t="str">
        <f>IF(F3723="","",IF(COUNTIF($F$2:F3723,F3723)&gt;1,"",SUMIFS(tbl_input[필요수량],tbl_input[집계키_센터],F3723)))</f>
        <v/>
      </c>
      <c r="F3723" t="str">
        <f>IFERROR(INDEX(tbl_input[집계키_센터],ROW()-1),"")</f>
        <v/>
      </c>
      <c r="G3723" t="str">
        <f t="shared" si="410"/>
        <v/>
      </c>
      <c r="H3723" t="str">
        <f t="shared" si="411"/>
        <v/>
      </c>
      <c r="I3723" t="str">
        <f t="shared" si="412"/>
        <v/>
      </c>
    </row>
    <row r="3724" spans="1:9" x14ac:dyDescent="0.4">
      <c r="A3724" t="str">
        <f t="shared" si="406"/>
        <v/>
      </c>
      <c r="B3724" t="str">
        <f t="shared" si="407"/>
        <v/>
      </c>
      <c r="C3724" t="str">
        <f t="shared" si="408"/>
        <v/>
      </c>
      <c r="D3724" t="str">
        <f t="shared" si="409"/>
        <v/>
      </c>
      <c r="E3724" t="str">
        <f>IF(F3724="","",IF(COUNTIF($F$2:F3724,F3724)&gt;1,"",SUMIFS(tbl_input[필요수량],tbl_input[집계키_센터],F3724)))</f>
        <v/>
      </c>
      <c r="F3724" t="str">
        <f>IFERROR(INDEX(tbl_input[집계키_센터],ROW()-1),"")</f>
        <v/>
      </c>
      <c r="G3724" t="str">
        <f t="shared" si="410"/>
        <v/>
      </c>
      <c r="H3724" t="str">
        <f t="shared" si="411"/>
        <v/>
      </c>
      <c r="I3724" t="str">
        <f t="shared" si="412"/>
        <v/>
      </c>
    </row>
    <row r="3725" spans="1:9" x14ac:dyDescent="0.4">
      <c r="A3725" t="str">
        <f t="shared" si="406"/>
        <v/>
      </c>
      <c r="B3725" t="str">
        <f t="shared" si="407"/>
        <v/>
      </c>
      <c r="C3725" t="str">
        <f t="shared" si="408"/>
        <v/>
      </c>
      <c r="D3725" t="str">
        <f t="shared" si="409"/>
        <v/>
      </c>
      <c r="E3725" t="str">
        <f>IF(F3725="","",IF(COUNTIF($F$2:F3725,F3725)&gt;1,"",SUMIFS(tbl_input[필요수량],tbl_input[집계키_센터],F3725)))</f>
        <v/>
      </c>
      <c r="F3725" t="str">
        <f>IFERROR(INDEX(tbl_input[집계키_센터],ROW()-1),"")</f>
        <v/>
      </c>
      <c r="G3725" t="str">
        <f t="shared" si="410"/>
        <v/>
      </c>
      <c r="H3725" t="str">
        <f t="shared" si="411"/>
        <v/>
      </c>
      <c r="I3725" t="str">
        <f t="shared" si="412"/>
        <v/>
      </c>
    </row>
    <row r="3726" spans="1:9" x14ac:dyDescent="0.4">
      <c r="A3726" t="str">
        <f t="shared" si="406"/>
        <v/>
      </c>
      <c r="B3726" t="str">
        <f t="shared" si="407"/>
        <v/>
      </c>
      <c r="C3726" t="str">
        <f t="shared" si="408"/>
        <v/>
      </c>
      <c r="D3726" t="str">
        <f t="shared" si="409"/>
        <v/>
      </c>
      <c r="E3726" t="str">
        <f>IF(F3726="","",IF(COUNTIF($F$2:F3726,F3726)&gt;1,"",SUMIFS(tbl_input[필요수량],tbl_input[집계키_센터],F3726)))</f>
        <v/>
      </c>
      <c r="F3726" t="str">
        <f>IFERROR(INDEX(tbl_input[집계키_센터],ROW()-1),"")</f>
        <v/>
      </c>
      <c r="G3726" t="str">
        <f t="shared" si="410"/>
        <v/>
      </c>
      <c r="H3726" t="str">
        <f t="shared" si="411"/>
        <v/>
      </c>
      <c r="I3726" t="str">
        <f t="shared" si="412"/>
        <v/>
      </c>
    </row>
    <row r="3727" spans="1:9" x14ac:dyDescent="0.4">
      <c r="A3727" t="str">
        <f t="shared" si="406"/>
        <v/>
      </c>
      <c r="B3727" t="str">
        <f t="shared" si="407"/>
        <v/>
      </c>
      <c r="C3727" t="str">
        <f t="shared" si="408"/>
        <v/>
      </c>
      <c r="D3727" t="str">
        <f t="shared" si="409"/>
        <v/>
      </c>
      <c r="E3727" t="str">
        <f>IF(F3727="","",IF(COUNTIF($F$2:F3727,F3727)&gt;1,"",SUMIFS(tbl_input[필요수량],tbl_input[집계키_센터],F3727)))</f>
        <v/>
      </c>
      <c r="F3727" t="str">
        <f>IFERROR(INDEX(tbl_input[집계키_센터],ROW()-1),"")</f>
        <v/>
      </c>
      <c r="G3727" t="str">
        <f t="shared" si="410"/>
        <v/>
      </c>
      <c r="H3727" t="str">
        <f t="shared" si="411"/>
        <v/>
      </c>
      <c r="I3727" t="str">
        <f t="shared" si="412"/>
        <v/>
      </c>
    </row>
    <row r="3728" spans="1:9" x14ac:dyDescent="0.4">
      <c r="A3728" t="str">
        <f t="shared" si="406"/>
        <v/>
      </c>
      <c r="B3728" t="str">
        <f t="shared" si="407"/>
        <v/>
      </c>
      <c r="C3728" t="str">
        <f t="shared" si="408"/>
        <v/>
      </c>
      <c r="D3728" t="str">
        <f t="shared" si="409"/>
        <v/>
      </c>
      <c r="E3728" t="str">
        <f>IF(F3728="","",IF(COUNTIF($F$2:F3728,F3728)&gt;1,"",SUMIFS(tbl_input[필요수량],tbl_input[집계키_센터],F3728)))</f>
        <v/>
      </c>
      <c r="F3728" t="str">
        <f>IFERROR(INDEX(tbl_input[집계키_센터],ROW()-1),"")</f>
        <v/>
      </c>
      <c r="G3728" t="str">
        <f t="shared" si="410"/>
        <v/>
      </c>
      <c r="H3728" t="str">
        <f t="shared" si="411"/>
        <v/>
      </c>
      <c r="I3728" t="str">
        <f t="shared" si="412"/>
        <v/>
      </c>
    </row>
    <row r="3729" spans="1:9" x14ac:dyDescent="0.4">
      <c r="A3729" t="str">
        <f t="shared" si="406"/>
        <v/>
      </c>
      <c r="B3729" t="str">
        <f t="shared" si="407"/>
        <v/>
      </c>
      <c r="C3729" t="str">
        <f t="shared" si="408"/>
        <v/>
      </c>
      <c r="D3729" t="str">
        <f t="shared" si="409"/>
        <v/>
      </c>
      <c r="E3729" t="str">
        <f>IF(F3729="","",IF(COUNTIF($F$2:F3729,F3729)&gt;1,"",SUMIFS(tbl_input[필요수량],tbl_input[집계키_센터],F3729)))</f>
        <v/>
      </c>
      <c r="F3729" t="str">
        <f>IFERROR(INDEX(tbl_input[집계키_센터],ROW()-1),"")</f>
        <v/>
      </c>
      <c r="G3729" t="str">
        <f t="shared" si="410"/>
        <v/>
      </c>
      <c r="H3729" t="str">
        <f t="shared" si="411"/>
        <v/>
      </c>
      <c r="I3729" t="str">
        <f t="shared" si="412"/>
        <v/>
      </c>
    </row>
    <row r="3730" spans="1:9" x14ac:dyDescent="0.4">
      <c r="A3730" t="str">
        <f t="shared" si="406"/>
        <v/>
      </c>
      <c r="B3730" t="str">
        <f t="shared" si="407"/>
        <v/>
      </c>
      <c r="C3730" t="str">
        <f t="shared" si="408"/>
        <v/>
      </c>
      <c r="D3730" t="str">
        <f t="shared" si="409"/>
        <v/>
      </c>
      <c r="E3730" t="str">
        <f>IF(F3730="","",IF(COUNTIF($F$2:F3730,F3730)&gt;1,"",SUMIFS(tbl_input[필요수량],tbl_input[집계키_센터],F3730)))</f>
        <v/>
      </c>
      <c r="F3730" t="str">
        <f>IFERROR(INDEX(tbl_input[집계키_센터],ROW()-1),"")</f>
        <v/>
      </c>
      <c r="G3730" t="str">
        <f t="shared" si="410"/>
        <v/>
      </c>
      <c r="H3730" t="str">
        <f t="shared" si="411"/>
        <v/>
      </c>
      <c r="I3730" t="str">
        <f t="shared" si="412"/>
        <v/>
      </c>
    </row>
    <row r="3731" spans="1:9" x14ac:dyDescent="0.4">
      <c r="A3731" t="str">
        <f t="shared" si="406"/>
        <v/>
      </c>
      <c r="B3731" t="str">
        <f t="shared" si="407"/>
        <v/>
      </c>
      <c r="C3731" t="str">
        <f t="shared" si="408"/>
        <v/>
      </c>
      <c r="D3731" t="str">
        <f t="shared" si="409"/>
        <v/>
      </c>
      <c r="E3731" t="str">
        <f>IF(F3731="","",IF(COUNTIF($F$2:F3731,F3731)&gt;1,"",SUMIFS(tbl_input[필요수량],tbl_input[집계키_센터],F3731)))</f>
        <v/>
      </c>
      <c r="F3731" t="str">
        <f>IFERROR(INDEX(tbl_input[집계키_센터],ROW()-1),"")</f>
        <v/>
      </c>
      <c r="G3731" t="str">
        <f t="shared" si="410"/>
        <v/>
      </c>
      <c r="H3731" t="str">
        <f t="shared" si="411"/>
        <v/>
      </c>
      <c r="I3731" t="str">
        <f t="shared" si="412"/>
        <v/>
      </c>
    </row>
    <row r="3732" spans="1:9" x14ac:dyDescent="0.4">
      <c r="A3732" t="str">
        <f t="shared" si="406"/>
        <v/>
      </c>
      <c r="B3732" t="str">
        <f t="shared" si="407"/>
        <v/>
      </c>
      <c r="C3732" t="str">
        <f t="shared" si="408"/>
        <v/>
      </c>
      <c r="D3732" t="str">
        <f t="shared" si="409"/>
        <v/>
      </c>
      <c r="E3732" t="str">
        <f>IF(F3732="","",IF(COUNTIF($F$2:F3732,F3732)&gt;1,"",SUMIFS(tbl_input[필요수량],tbl_input[집계키_센터],F3732)))</f>
        <v/>
      </c>
      <c r="F3732" t="str">
        <f>IFERROR(INDEX(tbl_input[집계키_센터],ROW()-1),"")</f>
        <v/>
      </c>
      <c r="G3732" t="str">
        <f t="shared" si="410"/>
        <v/>
      </c>
      <c r="H3732" t="str">
        <f t="shared" si="411"/>
        <v/>
      </c>
      <c r="I3732" t="str">
        <f t="shared" si="412"/>
        <v/>
      </c>
    </row>
    <row r="3733" spans="1:9" x14ac:dyDescent="0.4">
      <c r="A3733" t="str">
        <f t="shared" si="406"/>
        <v/>
      </c>
      <c r="B3733" t="str">
        <f t="shared" si="407"/>
        <v/>
      </c>
      <c r="C3733" t="str">
        <f t="shared" si="408"/>
        <v/>
      </c>
      <c r="D3733" t="str">
        <f t="shared" si="409"/>
        <v/>
      </c>
      <c r="E3733" t="str">
        <f>IF(F3733="","",IF(COUNTIF($F$2:F3733,F3733)&gt;1,"",SUMIFS(tbl_input[필요수량],tbl_input[집계키_센터],F3733)))</f>
        <v/>
      </c>
      <c r="F3733" t="str">
        <f>IFERROR(INDEX(tbl_input[집계키_센터],ROW()-1),"")</f>
        <v/>
      </c>
      <c r="G3733" t="str">
        <f t="shared" si="410"/>
        <v/>
      </c>
      <c r="H3733" t="str">
        <f t="shared" si="411"/>
        <v/>
      </c>
      <c r="I3733" t="str">
        <f t="shared" si="412"/>
        <v/>
      </c>
    </row>
    <row r="3734" spans="1:9" x14ac:dyDescent="0.4">
      <c r="A3734" t="str">
        <f t="shared" si="406"/>
        <v/>
      </c>
      <c r="B3734" t="str">
        <f t="shared" si="407"/>
        <v/>
      </c>
      <c r="C3734" t="str">
        <f t="shared" si="408"/>
        <v/>
      </c>
      <c r="D3734" t="str">
        <f t="shared" si="409"/>
        <v/>
      </c>
      <c r="E3734" t="str">
        <f>IF(F3734="","",IF(COUNTIF($F$2:F3734,F3734)&gt;1,"",SUMIFS(tbl_input[필요수량],tbl_input[집계키_센터],F3734)))</f>
        <v/>
      </c>
      <c r="F3734" t="str">
        <f>IFERROR(INDEX(tbl_input[집계키_센터],ROW()-1),"")</f>
        <v/>
      </c>
      <c r="G3734" t="str">
        <f t="shared" si="410"/>
        <v/>
      </c>
      <c r="H3734" t="str">
        <f t="shared" si="411"/>
        <v/>
      </c>
      <c r="I3734" t="str">
        <f t="shared" si="412"/>
        <v/>
      </c>
    </row>
    <row r="3735" spans="1:9" x14ac:dyDescent="0.4">
      <c r="A3735" t="str">
        <f t="shared" si="406"/>
        <v/>
      </c>
      <c r="B3735" t="str">
        <f t="shared" si="407"/>
        <v/>
      </c>
      <c r="C3735" t="str">
        <f t="shared" si="408"/>
        <v/>
      </c>
      <c r="D3735" t="str">
        <f t="shared" si="409"/>
        <v/>
      </c>
      <c r="E3735" t="str">
        <f>IF(F3735="","",IF(COUNTIF($F$2:F3735,F3735)&gt;1,"",SUMIFS(tbl_input[필요수량],tbl_input[집계키_센터],F3735)))</f>
        <v/>
      </c>
      <c r="F3735" t="str">
        <f>IFERROR(INDEX(tbl_input[집계키_센터],ROW()-1),"")</f>
        <v/>
      </c>
      <c r="G3735" t="str">
        <f t="shared" si="410"/>
        <v/>
      </c>
      <c r="H3735" t="str">
        <f t="shared" si="411"/>
        <v/>
      </c>
      <c r="I3735" t="str">
        <f t="shared" si="412"/>
        <v/>
      </c>
    </row>
    <row r="3736" spans="1:9" x14ac:dyDescent="0.4">
      <c r="A3736" t="str">
        <f t="shared" si="406"/>
        <v/>
      </c>
      <c r="B3736" t="str">
        <f t="shared" si="407"/>
        <v/>
      </c>
      <c r="C3736" t="str">
        <f t="shared" si="408"/>
        <v/>
      </c>
      <c r="D3736" t="str">
        <f t="shared" si="409"/>
        <v/>
      </c>
      <c r="E3736" t="str">
        <f>IF(F3736="","",IF(COUNTIF($F$2:F3736,F3736)&gt;1,"",SUMIFS(tbl_input[필요수량],tbl_input[집계키_센터],F3736)))</f>
        <v/>
      </c>
      <c r="F3736" t="str">
        <f>IFERROR(INDEX(tbl_input[집계키_센터],ROW()-1),"")</f>
        <v/>
      </c>
      <c r="G3736" t="str">
        <f t="shared" si="410"/>
        <v/>
      </c>
      <c r="H3736" t="str">
        <f t="shared" si="411"/>
        <v/>
      </c>
      <c r="I3736" t="str">
        <f t="shared" si="412"/>
        <v/>
      </c>
    </row>
    <row r="3737" spans="1:9" x14ac:dyDescent="0.4">
      <c r="A3737" t="str">
        <f t="shared" si="406"/>
        <v/>
      </c>
      <c r="B3737" t="str">
        <f t="shared" si="407"/>
        <v/>
      </c>
      <c r="C3737" t="str">
        <f t="shared" si="408"/>
        <v/>
      </c>
      <c r="D3737" t="str">
        <f t="shared" si="409"/>
        <v/>
      </c>
      <c r="E3737" t="str">
        <f>IF(F3737="","",IF(COUNTIF($F$2:F3737,F3737)&gt;1,"",SUMIFS(tbl_input[필요수량],tbl_input[집계키_센터],F3737)))</f>
        <v/>
      </c>
      <c r="F3737" t="str">
        <f>IFERROR(INDEX(tbl_input[집계키_센터],ROW()-1),"")</f>
        <v/>
      </c>
      <c r="G3737" t="str">
        <f t="shared" si="410"/>
        <v/>
      </c>
      <c r="H3737" t="str">
        <f t="shared" si="411"/>
        <v/>
      </c>
      <c r="I3737" t="str">
        <f t="shared" si="412"/>
        <v/>
      </c>
    </row>
    <row r="3738" spans="1:9" x14ac:dyDescent="0.4">
      <c r="A3738" t="str">
        <f t="shared" si="406"/>
        <v/>
      </c>
      <c r="B3738" t="str">
        <f t="shared" si="407"/>
        <v/>
      </c>
      <c r="C3738" t="str">
        <f t="shared" si="408"/>
        <v/>
      </c>
      <c r="D3738" t="str">
        <f t="shared" si="409"/>
        <v/>
      </c>
      <c r="E3738" t="str">
        <f>IF(F3738="","",IF(COUNTIF($F$2:F3738,F3738)&gt;1,"",SUMIFS(tbl_input[필요수량],tbl_input[집계키_센터],F3738)))</f>
        <v/>
      </c>
      <c r="F3738" t="str">
        <f>IFERROR(INDEX(tbl_input[집계키_센터],ROW()-1),"")</f>
        <v/>
      </c>
      <c r="G3738" t="str">
        <f t="shared" si="410"/>
        <v/>
      </c>
      <c r="H3738" t="str">
        <f t="shared" si="411"/>
        <v/>
      </c>
      <c r="I3738" t="str">
        <f t="shared" si="412"/>
        <v/>
      </c>
    </row>
    <row r="3739" spans="1:9" x14ac:dyDescent="0.4">
      <c r="A3739" t="str">
        <f t="shared" si="406"/>
        <v/>
      </c>
      <c r="B3739" t="str">
        <f t="shared" si="407"/>
        <v/>
      </c>
      <c r="C3739" t="str">
        <f t="shared" si="408"/>
        <v/>
      </c>
      <c r="D3739" t="str">
        <f t="shared" si="409"/>
        <v/>
      </c>
      <c r="E3739" t="str">
        <f>IF(F3739="","",IF(COUNTIF($F$2:F3739,F3739)&gt;1,"",SUMIFS(tbl_input[필요수량],tbl_input[집계키_센터],F3739)))</f>
        <v/>
      </c>
      <c r="F3739" t="str">
        <f>IFERROR(INDEX(tbl_input[집계키_센터],ROW()-1),"")</f>
        <v/>
      </c>
      <c r="G3739" t="str">
        <f t="shared" si="410"/>
        <v/>
      </c>
      <c r="H3739" t="str">
        <f t="shared" si="411"/>
        <v/>
      </c>
      <c r="I3739" t="str">
        <f t="shared" si="412"/>
        <v/>
      </c>
    </row>
    <row r="3740" spans="1:9" x14ac:dyDescent="0.4">
      <c r="A3740" t="str">
        <f t="shared" si="406"/>
        <v/>
      </c>
      <c r="B3740" t="str">
        <f t="shared" si="407"/>
        <v/>
      </c>
      <c r="C3740" t="str">
        <f t="shared" si="408"/>
        <v/>
      </c>
      <c r="D3740" t="str">
        <f t="shared" si="409"/>
        <v/>
      </c>
      <c r="E3740" t="str">
        <f>IF(F3740="","",IF(COUNTIF($F$2:F3740,F3740)&gt;1,"",SUMIFS(tbl_input[필요수량],tbl_input[집계키_센터],F3740)))</f>
        <v/>
      </c>
      <c r="F3740" t="str">
        <f>IFERROR(INDEX(tbl_input[집계키_센터],ROW()-1),"")</f>
        <v/>
      </c>
      <c r="G3740" t="str">
        <f t="shared" si="410"/>
        <v/>
      </c>
      <c r="H3740" t="str">
        <f t="shared" si="411"/>
        <v/>
      </c>
      <c r="I3740" t="str">
        <f t="shared" si="412"/>
        <v/>
      </c>
    </row>
    <row r="3741" spans="1:9" x14ac:dyDescent="0.4">
      <c r="A3741" t="str">
        <f t="shared" si="406"/>
        <v/>
      </c>
      <c r="B3741" t="str">
        <f t="shared" si="407"/>
        <v/>
      </c>
      <c r="C3741" t="str">
        <f t="shared" si="408"/>
        <v/>
      </c>
      <c r="D3741" t="str">
        <f t="shared" si="409"/>
        <v/>
      </c>
      <c r="E3741" t="str">
        <f>IF(F3741="","",IF(COUNTIF($F$2:F3741,F3741)&gt;1,"",SUMIFS(tbl_input[필요수량],tbl_input[집계키_센터],F3741)))</f>
        <v/>
      </c>
      <c r="F3741" t="str">
        <f>IFERROR(INDEX(tbl_input[집계키_센터],ROW()-1),"")</f>
        <v/>
      </c>
      <c r="G3741" t="str">
        <f t="shared" si="410"/>
        <v/>
      </c>
      <c r="H3741" t="str">
        <f t="shared" si="411"/>
        <v/>
      </c>
      <c r="I3741" t="str">
        <f t="shared" si="412"/>
        <v/>
      </c>
    </row>
    <row r="3742" spans="1:9" x14ac:dyDescent="0.4">
      <c r="A3742" t="str">
        <f t="shared" si="406"/>
        <v/>
      </c>
      <c r="B3742" t="str">
        <f t="shared" si="407"/>
        <v/>
      </c>
      <c r="C3742" t="str">
        <f t="shared" si="408"/>
        <v/>
      </c>
      <c r="D3742" t="str">
        <f t="shared" si="409"/>
        <v/>
      </c>
      <c r="E3742" t="str">
        <f>IF(F3742="","",IF(COUNTIF($F$2:F3742,F3742)&gt;1,"",SUMIFS(tbl_input[필요수량],tbl_input[집계키_센터],F3742)))</f>
        <v/>
      </c>
      <c r="F3742" t="str">
        <f>IFERROR(INDEX(tbl_input[집계키_센터],ROW()-1),"")</f>
        <v/>
      </c>
      <c r="G3742" t="str">
        <f t="shared" si="410"/>
        <v/>
      </c>
      <c r="H3742" t="str">
        <f t="shared" si="411"/>
        <v/>
      </c>
      <c r="I3742" t="str">
        <f t="shared" si="412"/>
        <v/>
      </c>
    </row>
    <row r="3743" spans="1:9" x14ac:dyDescent="0.4">
      <c r="A3743" t="str">
        <f t="shared" si="406"/>
        <v/>
      </c>
      <c r="B3743" t="str">
        <f t="shared" si="407"/>
        <v/>
      </c>
      <c r="C3743" t="str">
        <f t="shared" si="408"/>
        <v/>
      </c>
      <c r="D3743" t="str">
        <f t="shared" si="409"/>
        <v/>
      </c>
      <c r="E3743" t="str">
        <f>IF(F3743="","",IF(COUNTIF($F$2:F3743,F3743)&gt;1,"",SUMIFS(tbl_input[필요수량],tbl_input[집계키_센터],F3743)))</f>
        <v/>
      </c>
      <c r="F3743" t="str">
        <f>IFERROR(INDEX(tbl_input[집계키_센터],ROW()-1),"")</f>
        <v/>
      </c>
      <c r="G3743" t="str">
        <f t="shared" si="410"/>
        <v/>
      </c>
      <c r="H3743" t="str">
        <f t="shared" si="411"/>
        <v/>
      </c>
      <c r="I3743" t="str">
        <f t="shared" si="412"/>
        <v/>
      </c>
    </row>
    <row r="3744" spans="1:9" x14ac:dyDescent="0.4">
      <c r="A3744" t="str">
        <f t="shared" si="406"/>
        <v/>
      </c>
      <c r="B3744" t="str">
        <f t="shared" si="407"/>
        <v/>
      </c>
      <c r="C3744" t="str">
        <f t="shared" si="408"/>
        <v/>
      </c>
      <c r="D3744" t="str">
        <f t="shared" si="409"/>
        <v/>
      </c>
      <c r="E3744" t="str">
        <f>IF(F3744="","",IF(COUNTIF($F$2:F3744,F3744)&gt;1,"",SUMIFS(tbl_input[필요수량],tbl_input[집계키_센터],F3744)))</f>
        <v/>
      </c>
      <c r="F3744" t="str">
        <f>IFERROR(INDEX(tbl_input[집계키_센터],ROW()-1),"")</f>
        <v/>
      </c>
      <c r="G3744" t="str">
        <f t="shared" si="410"/>
        <v/>
      </c>
      <c r="H3744" t="str">
        <f t="shared" si="411"/>
        <v/>
      </c>
      <c r="I3744" t="str">
        <f t="shared" si="412"/>
        <v/>
      </c>
    </row>
    <row r="3745" spans="1:9" x14ac:dyDescent="0.4">
      <c r="A3745" t="str">
        <f t="shared" si="406"/>
        <v/>
      </c>
      <c r="B3745" t="str">
        <f t="shared" si="407"/>
        <v/>
      </c>
      <c r="C3745" t="str">
        <f t="shared" si="408"/>
        <v/>
      </c>
      <c r="D3745" t="str">
        <f t="shared" si="409"/>
        <v/>
      </c>
      <c r="E3745" t="str">
        <f>IF(F3745="","",IF(COUNTIF($F$2:F3745,F3745)&gt;1,"",SUMIFS(tbl_input[필요수량],tbl_input[집계키_센터],F3745)))</f>
        <v/>
      </c>
      <c r="F3745" t="str">
        <f>IFERROR(INDEX(tbl_input[집계키_센터],ROW()-1),"")</f>
        <v/>
      </c>
      <c r="G3745" t="str">
        <f t="shared" si="410"/>
        <v/>
      </c>
      <c r="H3745" t="str">
        <f t="shared" si="411"/>
        <v/>
      </c>
      <c r="I3745" t="str">
        <f t="shared" si="412"/>
        <v/>
      </c>
    </row>
    <row r="3746" spans="1:9" x14ac:dyDescent="0.4">
      <c r="A3746" t="str">
        <f t="shared" si="406"/>
        <v/>
      </c>
      <c r="B3746" t="str">
        <f t="shared" si="407"/>
        <v/>
      </c>
      <c r="C3746" t="str">
        <f t="shared" si="408"/>
        <v/>
      </c>
      <c r="D3746" t="str">
        <f t="shared" si="409"/>
        <v/>
      </c>
      <c r="E3746" t="str">
        <f>IF(F3746="","",IF(COUNTIF($F$2:F3746,F3746)&gt;1,"",SUMIFS(tbl_input[필요수량],tbl_input[집계키_센터],F3746)))</f>
        <v/>
      </c>
      <c r="F3746" t="str">
        <f>IFERROR(INDEX(tbl_input[집계키_센터],ROW()-1),"")</f>
        <v/>
      </c>
      <c r="G3746" t="str">
        <f t="shared" si="410"/>
        <v/>
      </c>
      <c r="H3746" t="str">
        <f t="shared" si="411"/>
        <v/>
      </c>
      <c r="I3746" t="str">
        <f t="shared" si="412"/>
        <v/>
      </c>
    </row>
    <row r="3747" spans="1:9" x14ac:dyDescent="0.4">
      <c r="A3747" t="str">
        <f t="shared" si="406"/>
        <v/>
      </c>
      <c r="B3747" t="str">
        <f t="shared" si="407"/>
        <v/>
      </c>
      <c r="C3747" t="str">
        <f t="shared" si="408"/>
        <v/>
      </c>
      <c r="D3747" t="str">
        <f t="shared" si="409"/>
        <v/>
      </c>
      <c r="E3747" t="str">
        <f>IF(F3747="","",IF(COUNTIF($F$2:F3747,F3747)&gt;1,"",SUMIFS(tbl_input[필요수량],tbl_input[집계키_센터],F3747)))</f>
        <v/>
      </c>
      <c r="F3747" t="str">
        <f>IFERROR(INDEX(tbl_input[집계키_센터],ROW()-1),"")</f>
        <v/>
      </c>
      <c r="G3747" t="str">
        <f t="shared" si="410"/>
        <v/>
      </c>
      <c r="H3747" t="str">
        <f t="shared" si="411"/>
        <v/>
      </c>
      <c r="I3747" t="str">
        <f t="shared" si="412"/>
        <v/>
      </c>
    </row>
    <row r="3748" spans="1:9" x14ac:dyDescent="0.4">
      <c r="A3748" t="str">
        <f t="shared" si="406"/>
        <v/>
      </c>
      <c r="B3748" t="str">
        <f t="shared" si="407"/>
        <v/>
      </c>
      <c r="C3748" t="str">
        <f t="shared" si="408"/>
        <v/>
      </c>
      <c r="D3748" t="str">
        <f t="shared" si="409"/>
        <v/>
      </c>
      <c r="E3748" t="str">
        <f>IF(F3748="","",IF(COUNTIF($F$2:F3748,F3748)&gt;1,"",SUMIFS(tbl_input[필요수량],tbl_input[집계키_센터],F3748)))</f>
        <v/>
      </c>
      <c r="F3748" t="str">
        <f>IFERROR(INDEX(tbl_input[집계키_센터],ROW()-1),"")</f>
        <v/>
      </c>
      <c r="G3748" t="str">
        <f t="shared" si="410"/>
        <v/>
      </c>
      <c r="H3748" t="str">
        <f t="shared" si="411"/>
        <v/>
      </c>
      <c r="I3748" t="str">
        <f t="shared" si="412"/>
        <v/>
      </c>
    </row>
    <row r="3749" spans="1:9" x14ac:dyDescent="0.4">
      <c r="A3749" t="str">
        <f t="shared" si="406"/>
        <v/>
      </c>
      <c r="B3749" t="str">
        <f t="shared" si="407"/>
        <v/>
      </c>
      <c r="C3749" t="str">
        <f t="shared" si="408"/>
        <v/>
      </c>
      <c r="D3749" t="str">
        <f t="shared" si="409"/>
        <v/>
      </c>
      <c r="E3749" t="str">
        <f>IF(F3749="","",IF(COUNTIF($F$2:F3749,F3749)&gt;1,"",SUMIFS(tbl_input[필요수량],tbl_input[집계키_센터],F3749)))</f>
        <v/>
      </c>
      <c r="F3749" t="str">
        <f>IFERROR(INDEX(tbl_input[집계키_센터],ROW()-1),"")</f>
        <v/>
      </c>
      <c r="G3749" t="str">
        <f t="shared" si="410"/>
        <v/>
      </c>
      <c r="H3749" t="str">
        <f t="shared" si="411"/>
        <v/>
      </c>
      <c r="I3749" t="str">
        <f t="shared" si="412"/>
        <v/>
      </c>
    </row>
    <row r="3750" spans="1:9" x14ac:dyDescent="0.4">
      <c r="A3750" t="str">
        <f t="shared" si="406"/>
        <v/>
      </c>
      <c r="B3750" t="str">
        <f t="shared" si="407"/>
        <v/>
      </c>
      <c r="C3750" t="str">
        <f t="shared" si="408"/>
        <v/>
      </c>
      <c r="D3750" t="str">
        <f t="shared" si="409"/>
        <v/>
      </c>
      <c r="E3750" t="str">
        <f>IF(F3750="","",IF(COUNTIF($F$2:F3750,F3750)&gt;1,"",SUMIFS(tbl_input[필요수량],tbl_input[집계키_센터],F3750)))</f>
        <v/>
      </c>
      <c r="F3750" t="str">
        <f>IFERROR(INDEX(tbl_input[집계키_센터],ROW()-1),"")</f>
        <v/>
      </c>
      <c r="G3750" t="str">
        <f t="shared" si="410"/>
        <v/>
      </c>
      <c r="H3750" t="str">
        <f t="shared" si="411"/>
        <v/>
      </c>
      <c r="I3750" t="str">
        <f t="shared" si="412"/>
        <v/>
      </c>
    </row>
    <row r="3751" spans="1:9" x14ac:dyDescent="0.4">
      <c r="A3751" t="str">
        <f t="shared" si="406"/>
        <v/>
      </c>
      <c r="B3751" t="str">
        <f t="shared" si="407"/>
        <v/>
      </c>
      <c r="C3751" t="str">
        <f t="shared" si="408"/>
        <v/>
      </c>
      <c r="D3751" t="str">
        <f t="shared" si="409"/>
        <v/>
      </c>
      <c r="E3751" t="str">
        <f>IF(F3751="","",IF(COUNTIF($F$2:F3751,F3751)&gt;1,"",SUMIFS(tbl_input[필요수량],tbl_input[집계키_센터],F3751)))</f>
        <v/>
      </c>
      <c r="F3751" t="str">
        <f>IFERROR(INDEX(tbl_input[집계키_센터],ROW()-1),"")</f>
        <v/>
      </c>
      <c r="G3751" t="str">
        <f t="shared" si="410"/>
        <v/>
      </c>
      <c r="H3751" t="str">
        <f t="shared" si="411"/>
        <v/>
      </c>
      <c r="I3751" t="str">
        <f t="shared" si="412"/>
        <v/>
      </c>
    </row>
    <row r="3752" spans="1:9" x14ac:dyDescent="0.4">
      <c r="A3752" t="str">
        <f t="shared" si="406"/>
        <v/>
      </c>
      <c r="B3752" t="str">
        <f t="shared" si="407"/>
        <v/>
      </c>
      <c r="C3752" t="str">
        <f t="shared" si="408"/>
        <v/>
      </c>
      <c r="D3752" t="str">
        <f t="shared" si="409"/>
        <v/>
      </c>
      <c r="E3752" t="str">
        <f>IF(F3752="","",IF(COUNTIF($F$2:F3752,F3752)&gt;1,"",SUMIFS(tbl_input[필요수량],tbl_input[집계키_센터],F3752)))</f>
        <v/>
      </c>
      <c r="F3752" t="str">
        <f>IFERROR(INDEX(tbl_input[집계키_센터],ROW()-1),"")</f>
        <v/>
      </c>
      <c r="G3752" t="str">
        <f t="shared" si="410"/>
        <v/>
      </c>
      <c r="H3752" t="str">
        <f t="shared" si="411"/>
        <v/>
      </c>
      <c r="I3752" t="str">
        <f t="shared" si="412"/>
        <v/>
      </c>
    </row>
    <row r="3753" spans="1:9" x14ac:dyDescent="0.4">
      <c r="A3753" t="str">
        <f t="shared" si="406"/>
        <v/>
      </c>
      <c r="B3753" t="str">
        <f t="shared" si="407"/>
        <v/>
      </c>
      <c r="C3753" t="str">
        <f t="shared" si="408"/>
        <v/>
      </c>
      <c r="D3753" t="str">
        <f t="shared" si="409"/>
        <v/>
      </c>
      <c r="E3753" t="str">
        <f>IF(F3753="","",IF(COUNTIF($F$2:F3753,F3753)&gt;1,"",SUMIFS(tbl_input[필요수량],tbl_input[집계키_센터],F3753)))</f>
        <v/>
      </c>
      <c r="F3753" t="str">
        <f>IFERROR(INDEX(tbl_input[집계키_센터],ROW()-1),"")</f>
        <v/>
      </c>
      <c r="G3753" t="str">
        <f t="shared" si="410"/>
        <v/>
      </c>
      <c r="H3753" t="str">
        <f t="shared" si="411"/>
        <v/>
      </c>
      <c r="I3753" t="str">
        <f t="shared" si="412"/>
        <v/>
      </c>
    </row>
    <row r="3754" spans="1:9" x14ac:dyDescent="0.4">
      <c r="A3754" t="str">
        <f t="shared" si="406"/>
        <v/>
      </c>
      <c r="B3754" t="str">
        <f t="shared" si="407"/>
        <v/>
      </c>
      <c r="C3754" t="str">
        <f t="shared" si="408"/>
        <v/>
      </c>
      <c r="D3754" t="str">
        <f t="shared" si="409"/>
        <v/>
      </c>
      <c r="E3754" t="str">
        <f>IF(F3754="","",IF(COUNTIF($F$2:F3754,F3754)&gt;1,"",SUMIFS(tbl_input[필요수량],tbl_input[집계키_센터],F3754)))</f>
        <v/>
      </c>
      <c r="F3754" t="str">
        <f>IFERROR(INDEX(tbl_input[집계키_센터],ROW()-1),"")</f>
        <v/>
      </c>
      <c r="G3754" t="str">
        <f t="shared" si="410"/>
        <v/>
      </c>
      <c r="H3754" t="str">
        <f t="shared" si="411"/>
        <v/>
      </c>
      <c r="I3754" t="str">
        <f t="shared" si="412"/>
        <v/>
      </c>
    </row>
    <row r="3755" spans="1:9" x14ac:dyDescent="0.4">
      <c r="A3755" t="str">
        <f t="shared" si="406"/>
        <v/>
      </c>
      <c r="B3755" t="str">
        <f t="shared" si="407"/>
        <v/>
      </c>
      <c r="C3755" t="str">
        <f t="shared" si="408"/>
        <v/>
      </c>
      <c r="D3755" t="str">
        <f t="shared" si="409"/>
        <v/>
      </c>
      <c r="E3755" t="str">
        <f>IF(F3755="","",IF(COUNTIF($F$2:F3755,F3755)&gt;1,"",SUMIFS(tbl_input[필요수량],tbl_input[집계키_센터],F3755)))</f>
        <v/>
      </c>
      <c r="F3755" t="str">
        <f>IFERROR(INDEX(tbl_input[집계키_센터],ROW()-1),"")</f>
        <v/>
      </c>
      <c r="G3755" t="str">
        <f t="shared" si="410"/>
        <v/>
      </c>
      <c r="H3755" t="str">
        <f t="shared" si="411"/>
        <v/>
      </c>
      <c r="I3755" t="str">
        <f t="shared" si="412"/>
        <v/>
      </c>
    </row>
    <row r="3756" spans="1:9" x14ac:dyDescent="0.4">
      <c r="A3756" t="str">
        <f t="shared" si="406"/>
        <v/>
      </c>
      <c r="B3756" t="str">
        <f t="shared" si="407"/>
        <v/>
      </c>
      <c r="C3756" t="str">
        <f t="shared" si="408"/>
        <v/>
      </c>
      <c r="D3756" t="str">
        <f t="shared" si="409"/>
        <v/>
      </c>
      <c r="E3756" t="str">
        <f>IF(F3756="","",IF(COUNTIF($F$2:F3756,F3756)&gt;1,"",SUMIFS(tbl_input[필요수량],tbl_input[집계키_센터],F3756)))</f>
        <v/>
      </c>
      <c r="F3756" t="str">
        <f>IFERROR(INDEX(tbl_input[집계키_센터],ROW()-1),"")</f>
        <v/>
      </c>
      <c r="G3756" t="str">
        <f t="shared" si="410"/>
        <v/>
      </c>
      <c r="H3756" t="str">
        <f t="shared" si="411"/>
        <v/>
      </c>
      <c r="I3756" t="str">
        <f t="shared" si="412"/>
        <v/>
      </c>
    </row>
    <row r="3757" spans="1:9" x14ac:dyDescent="0.4">
      <c r="A3757" t="str">
        <f t="shared" si="406"/>
        <v/>
      </c>
      <c r="B3757" t="str">
        <f t="shared" si="407"/>
        <v/>
      </c>
      <c r="C3757" t="str">
        <f t="shared" si="408"/>
        <v/>
      </c>
      <c r="D3757" t="str">
        <f t="shared" si="409"/>
        <v/>
      </c>
      <c r="E3757" t="str">
        <f>IF(F3757="","",IF(COUNTIF($F$2:F3757,F3757)&gt;1,"",SUMIFS(tbl_input[필요수량],tbl_input[집계키_센터],F3757)))</f>
        <v/>
      </c>
      <c r="F3757" t="str">
        <f>IFERROR(INDEX(tbl_input[집계키_센터],ROW()-1),"")</f>
        <v/>
      </c>
      <c r="G3757" t="str">
        <f t="shared" si="410"/>
        <v/>
      </c>
      <c r="H3757" t="str">
        <f t="shared" si="411"/>
        <v/>
      </c>
      <c r="I3757" t="str">
        <f t="shared" si="412"/>
        <v/>
      </c>
    </row>
    <row r="3758" spans="1:9" x14ac:dyDescent="0.4">
      <c r="A3758" t="str">
        <f t="shared" si="406"/>
        <v/>
      </c>
      <c r="B3758" t="str">
        <f t="shared" si="407"/>
        <v/>
      </c>
      <c r="C3758" t="str">
        <f t="shared" si="408"/>
        <v/>
      </c>
      <c r="D3758" t="str">
        <f t="shared" si="409"/>
        <v/>
      </c>
      <c r="E3758" t="str">
        <f>IF(F3758="","",IF(COUNTIF($F$2:F3758,F3758)&gt;1,"",SUMIFS(tbl_input[필요수량],tbl_input[집계키_센터],F3758)))</f>
        <v/>
      </c>
      <c r="F3758" t="str">
        <f>IFERROR(INDEX(tbl_input[집계키_센터],ROW()-1),"")</f>
        <v/>
      </c>
      <c r="G3758" t="str">
        <f t="shared" si="410"/>
        <v/>
      </c>
      <c r="H3758" t="str">
        <f t="shared" si="411"/>
        <v/>
      </c>
      <c r="I3758" t="str">
        <f t="shared" si="412"/>
        <v/>
      </c>
    </row>
    <row r="3759" spans="1:9" x14ac:dyDescent="0.4">
      <c r="A3759" t="str">
        <f t="shared" si="406"/>
        <v/>
      </c>
      <c r="B3759" t="str">
        <f t="shared" si="407"/>
        <v/>
      </c>
      <c r="C3759" t="str">
        <f t="shared" si="408"/>
        <v/>
      </c>
      <c r="D3759" t="str">
        <f t="shared" si="409"/>
        <v/>
      </c>
      <c r="E3759" t="str">
        <f>IF(F3759="","",IF(COUNTIF($F$2:F3759,F3759)&gt;1,"",SUMIFS(tbl_input[필요수량],tbl_input[집계키_센터],F3759)))</f>
        <v/>
      </c>
      <c r="F3759" t="str">
        <f>IFERROR(INDEX(tbl_input[집계키_센터],ROW()-1),"")</f>
        <v/>
      </c>
      <c r="G3759" t="str">
        <f t="shared" si="410"/>
        <v/>
      </c>
      <c r="H3759" t="str">
        <f t="shared" si="411"/>
        <v/>
      </c>
      <c r="I3759" t="str">
        <f t="shared" si="412"/>
        <v/>
      </c>
    </row>
    <row r="3760" spans="1:9" x14ac:dyDescent="0.4">
      <c r="A3760" t="str">
        <f t="shared" si="406"/>
        <v/>
      </c>
      <c r="B3760" t="str">
        <f t="shared" si="407"/>
        <v/>
      </c>
      <c r="C3760" t="str">
        <f t="shared" si="408"/>
        <v/>
      </c>
      <c r="D3760" t="str">
        <f t="shared" si="409"/>
        <v/>
      </c>
      <c r="E3760" t="str">
        <f>IF(F3760="","",IF(COUNTIF($F$2:F3760,F3760)&gt;1,"",SUMIFS(tbl_input[필요수량],tbl_input[집계키_센터],F3760)))</f>
        <v/>
      </c>
      <c r="F3760" t="str">
        <f>IFERROR(INDEX(tbl_input[집계키_센터],ROW()-1),"")</f>
        <v/>
      </c>
      <c r="G3760" t="str">
        <f t="shared" si="410"/>
        <v/>
      </c>
      <c r="H3760" t="str">
        <f t="shared" si="411"/>
        <v/>
      </c>
      <c r="I3760" t="str">
        <f t="shared" si="412"/>
        <v/>
      </c>
    </row>
    <row r="3761" spans="1:9" x14ac:dyDescent="0.4">
      <c r="A3761" t="str">
        <f t="shared" si="406"/>
        <v/>
      </c>
      <c r="B3761" t="str">
        <f t="shared" si="407"/>
        <v/>
      </c>
      <c r="C3761" t="str">
        <f t="shared" si="408"/>
        <v/>
      </c>
      <c r="D3761" t="str">
        <f t="shared" si="409"/>
        <v/>
      </c>
      <c r="E3761" t="str">
        <f>IF(F3761="","",IF(COUNTIF($F$2:F3761,F3761)&gt;1,"",SUMIFS(tbl_input[필요수량],tbl_input[집계키_센터],F3761)))</f>
        <v/>
      </c>
      <c r="F3761" t="str">
        <f>IFERROR(INDEX(tbl_input[집계키_센터],ROW()-1),"")</f>
        <v/>
      </c>
      <c r="G3761" t="str">
        <f t="shared" si="410"/>
        <v/>
      </c>
      <c r="H3761" t="str">
        <f t="shared" si="411"/>
        <v/>
      </c>
      <c r="I3761" t="str">
        <f t="shared" si="412"/>
        <v/>
      </c>
    </row>
    <row r="3762" spans="1:9" x14ac:dyDescent="0.4">
      <c r="A3762" t="str">
        <f t="shared" si="406"/>
        <v/>
      </c>
      <c r="B3762" t="str">
        <f t="shared" si="407"/>
        <v/>
      </c>
      <c r="C3762" t="str">
        <f t="shared" si="408"/>
        <v/>
      </c>
      <c r="D3762" t="str">
        <f t="shared" si="409"/>
        <v/>
      </c>
      <c r="E3762" t="str">
        <f>IF(F3762="","",IF(COUNTIF($F$2:F3762,F3762)&gt;1,"",SUMIFS(tbl_input[필요수량],tbl_input[집계키_센터],F3762)))</f>
        <v/>
      </c>
      <c r="F3762" t="str">
        <f>IFERROR(INDEX(tbl_input[집계키_센터],ROW()-1),"")</f>
        <v/>
      </c>
      <c r="G3762" t="str">
        <f t="shared" si="410"/>
        <v/>
      </c>
      <c r="H3762" t="str">
        <f t="shared" si="411"/>
        <v/>
      </c>
      <c r="I3762" t="str">
        <f t="shared" si="412"/>
        <v/>
      </c>
    </row>
    <row r="3763" spans="1:9" x14ac:dyDescent="0.4">
      <c r="A3763" t="str">
        <f t="shared" si="406"/>
        <v/>
      </c>
      <c r="B3763" t="str">
        <f t="shared" si="407"/>
        <v/>
      </c>
      <c r="C3763" t="str">
        <f t="shared" si="408"/>
        <v/>
      </c>
      <c r="D3763" t="str">
        <f t="shared" si="409"/>
        <v/>
      </c>
      <c r="E3763" t="str">
        <f>IF(F3763="","",IF(COUNTIF($F$2:F3763,F3763)&gt;1,"",SUMIFS(tbl_input[필요수량],tbl_input[집계키_센터],F3763)))</f>
        <v/>
      </c>
      <c r="F3763" t="str">
        <f>IFERROR(INDEX(tbl_input[집계키_센터],ROW()-1),"")</f>
        <v/>
      </c>
      <c r="G3763" t="str">
        <f t="shared" si="410"/>
        <v/>
      </c>
      <c r="H3763" t="str">
        <f t="shared" si="411"/>
        <v/>
      </c>
      <c r="I3763" t="str">
        <f t="shared" si="412"/>
        <v/>
      </c>
    </row>
    <row r="3764" spans="1:9" x14ac:dyDescent="0.4">
      <c r="A3764" t="str">
        <f t="shared" si="406"/>
        <v/>
      </c>
      <c r="B3764" t="str">
        <f t="shared" si="407"/>
        <v/>
      </c>
      <c r="C3764" t="str">
        <f t="shared" si="408"/>
        <v/>
      </c>
      <c r="D3764" t="str">
        <f t="shared" si="409"/>
        <v/>
      </c>
      <c r="E3764" t="str">
        <f>IF(F3764="","",IF(COUNTIF($F$2:F3764,F3764)&gt;1,"",SUMIFS(tbl_input[필요수량],tbl_input[집계키_센터],F3764)))</f>
        <v/>
      </c>
      <c r="F3764" t="str">
        <f>IFERROR(INDEX(tbl_input[집계키_센터],ROW()-1),"")</f>
        <v/>
      </c>
      <c r="G3764" t="str">
        <f t="shared" si="410"/>
        <v/>
      </c>
      <c r="H3764" t="str">
        <f t="shared" si="411"/>
        <v/>
      </c>
      <c r="I3764" t="str">
        <f t="shared" si="412"/>
        <v/>
      </c>
    </row>
    <row r="3765" spans="1:9" x14ac:dyDescent="0.4">
      <c r="A3765" t="str">
        <f t="shared" si="406"/>
        <v/>
      </c>
      <c r="B3765" t="str">
        <f t="shared" si="407"/>
        <v/>
      </c>
      <c r="C3765" t="str">
        <f t="shared" si="408"/>
        <v/>
      </c>
      <c r="D3765" t="str">
        <f t="shared" si="409"/>
        <v/>
      </c>
      <c r="E3765" t="str">
        <f>IF(F3765="","",IF(COUNTIF($F$2:F3765,F3765)&gt;1,"",SUMIFS(tbl_input[필요수량],tbl_input[집계키_센터],F3765)))</f>
        <v/>
      </c>
      <c r="F3765" t="str">
        <f>IFERROR(INDEX(tbl_input[집계키_센터],ROW()-1),"")</f>
        <v/>
      </c>
      <c r="G3765" t="str">
        <f t="shared" si="410"/>
        <v/>
      </c>
      <c r="H3765" t="str">
        <f t="shared" si="411"/>
        <v/>
      </c>
      <c r="I3765" t="str">
        <f t="shared" si="412"/>
        <v/>
      </c>
    </row>
    <row r="3766" spans="1:9" x14ac:dyDescent="0.4">
      <c r="A3766" t="str">
        <f t="shared" si="406"/>
        <v/>
      </c>
      <c r="B3766" t="str">
        <f t="shared" si="407"/>
        <v/>
      </c>
      <c r="C3766" t="str">
        <f t="shared" si="408"/>
        <v/>
      </c>
      <c r="D3766" t="str">
        <f t="shared" si="409"/>
        <v/>
      </c>
      <c r="E3766" t="str">
        <f>IF(F3766="","",IF(COUNTIF($F$2:F3766,F3766)&gt;1,"",SUMIFS(tbl_input[필요수량],tbl_input[집계키_센터],F3766)))</f>
        <v/>
      </c>
      <c r="F3766" t="str">
        <f>IFERROR(INDEX(tbl_input[집계키_센터],ROW()-1),"")</f>
        <v/>
      </c>
      <c r="G3766" t="str">
        <f t="shared" si="410"/>
        <v/>
      </c>
      <c r="H3766" t="str">
        <f t="shared" si="411"/>
        <v/>
      </c>
      <c r="I3766" t="str">
        <f t="shared" si="412"/>
        <v/>
      </c>
    </row>
    <row r="3767" spans="1:9" x14ac:dyDescent="0.4">
      <c r="A3767" t="str">
        <f t="shared" si="406"/>
        <v/>
      </c>
      <c r="B3767" t="str">
        <f t="shared" si="407"/>
        <v/>
      </c>
      <c r="C3767" t="str">
        <f t="shared" si="408"/>
        <v/>
      </c>
      <c r="D3767" t="str">
        <f t="shared" si="409"/>
        <v/>
      </c>
      <c r="E3767" t="str">
        <f>IF(F3767="","",IF(COUNTIF($F$2:F3767,F3767)&gt;1,"",SUMIFS(tbl_input[필요수량],tbl_input[집계키_센터],F3767)))</f>
        <v/>
      </c>
      <c r="F3767" t="str">
        <f>IFERROR(INDEX(tbl_input[집계키_센터],ROW()-1),"")</f>
        <v/>
      </c>
      <c r="G3767" t="str">
        <f t="shared" si="410"/>
        <v/>
      </c>
      <c r="H3767" t="str">
        <f t="shared" si="411"/>
        <v/>
      </c>
      <c r="I3767" t="str">
        <f t="shared" si="412"/>
        <v/>
      </c>
    </row>
    <row r="3768" spans="1:9" x14ac:dyDescent="0.4">
      <c r="A3768" t="str">
        <f t="shared" si="406"/>
        <v/>
      </c>
      <c r="B3768" t="str">
        <f t="shared" si="407"/>
        <v/>
      </c>
      <c r="C3768" t="str">
        <f t="shared" si="408"/>
        <v/>
      </c>
      <c r="D3768" t="str">
        <f t="shared" si="409"/>
        <v/>
      </c>
      <c r="E3768" t="str">
        <f>IF(F3768="","",IF(COUNTIF($F$2:F3768,F3768)&gt;1,"",SUMIFS(tbl_input[필요수량],tbl_input[집계키_센터],F3768)))</f>
        <v/>
      </c>
      <c r="F3768" t="str">
        <f>IFERROR(INDEX(tbl_input[집계키_센터],ROW()-1),"")</f>
        <v/>
      </c>
      <c r="G3768" t="str">
        <f t="shared" si="410"/>
        <v/>
      </c>
      <c r="H3768" t="str">
        <f t="shared" si="411"/>
        <v/>
      </c>
      <c r="I3768" t="str">
        <f t="shared" si="412"/>
        <v/>
      </c>
    </row>
    <row r="3769" spans="1:9" x14ac:dyDescent="0.4">
      <c r="A3769" t="str">
        <f t="shared" si="406"/>
        <v/>
      </c>
      <c r="B3769" t="str">
        <f t="shared" si="407"/>
        <v/>
      </c>
      <c r="C3769" t="str">
        <f t="shared" si="408"/>
        <v/>
      </c>
      <c r="D3769" t="str">
        <f t="shared" si="409"/>
        <v/>
      </c>
      <c r="E3769" t="str">
        <f>IF(F3769="","",IF(COUNTIF($F$2:F3769,F3769)&gt;1,"",SUMIFS(tbl_input[필요수량],tbl_input[집계키_센터],F3769)))</f>
        <v/>
      </c>
      <c r="F3769" t="str">
        <f>IFERROR(INDEX(tbl_input[집계키_센터],ROW()-1),"")</f>
        <v/>
      </c>
      <c r="G3769" t="str">
        <f t="shared" si="410"/>
        <v/>
      </c>
      <c r="H3769" t="str">
        <f t="shared" si="411"/>
        <v/>
      </c>
      <c r="I3769" t="str">
        <f t="shared" si="412"/>
        <v/>
      </c>
    </row>
    <row r="3770" spans="1:9" x14ac:dyDescent="0.4">
      <c r="A3770" t="str">
        <f t="shared" si="406"/>
        <v/>
      </c>
      <c r="B3770" t="str">
        <f t="shared" si="407"/>
        <v/>
      </c>
      <c r="C3770" t="str">
        <f t="shared" si="408"/>
        <v/>
      </c>
      <c r="D3770" t="str">
        <f t="shared" si="409"/>
        <v/>
      </c>
      <c r="E3770" t="str">
        <f>IF(F3770="","",IF(COUNTIF($F$2:F3770,F3770)&gt;1,"",SUMIFS(tbl_input[필요수량],tbl_input[집계키_센터],F3770)))</f>
        <v/>
      </c>
      <c r="F3770" t="str">
        <f>IFERROR(INDEX(tbl_input[집계키_센터],ROW()-1),"")</f>
        <v/>
      </c>
      <c r="G3770" t="str">
        <f t="shared" si="410"/>
        <v/>
      </c>
      <c r="H3770" t="str">
        <f t="shared" si="411"/>
        <v/>
      </c>
      <c r="I3770" t="str">
        <f t="shared" si="412"/>
        <v/>
      </c>
    </row>
    <row r="3771" spans="1:9" x14ac:dyDescent="0.4">
      <c r="A3771" t="str">
        <f t="shared" si="406"/>
        <v/>
      </c>
      <c r="B3771" t="str">
        <f t="shared" si="407"/>
        <v/>
      </c>
      <c r="C3771" t="str">
        <f t="shared" si="408"/>
        <v/>
      </c>
      <c r="D3771" t="str">
        <f t="shared" si="409"/>
        <v/>
      </c>
      <c r="E3771" t="str">
        <f>IF(F3771="","",IF(COUNTIF($F$2:F3771,F3771)&gt;1,"",SUMIFS(tbl_input[필요수량],tbl_input[집계키_센터],F3771)))</f>
        <v/>
      </c>
      <c r="F3771" t="str">
        <f>IFERROR(INDEX(tbl_input[집계키_센터],ROW()-1),"")</f>
        <v/>
      </c>
      <c r="G3771" t="str">
        <f t="shared" si="410"/>
        <v/>
      </c>
      <c r="H3771" t="str">
        <f t="shared" si="411"/>
        <v/>
      </c>
      <c r="I3771" t="str">
        <f t="shared" si="412"/>
        <v/>
      </c>
    </row>
    <row r="3772" spans="1:9" x14ac:dyDescent="0.4">
      <c r="A3772" t="str">
        <f t="shared" si="406"/>
        <v/>
      </c>
      <c r="B3772" t="str">
        <f t="shared" si="407"/>
        <v/>
      </c>
      <c r="C3772" t="str">
        <f t="shared" si="408"/>
        <v/>
      </c>
      <c r="D3772" t="str">
        <f t="shared" si="409"/>
        <v/>
      </c>
      <c r="E3772" t="str">
        <f>IF(F3772="","",IF(COUNTIF($F$2:F3772,F3772)&gt;1,"",SUMIFS(tbl_input[필요수량],tbl_input[집계키_센터],F3772)))</f>
        <v/>
      </c>
      <c r="F3772" t="str">
        <f>IFERROR(INDEX(tbl_input[집계키_센터],ROW()-1),"")</f>
        <v/>
      </c>
      <c r="G3772" t="str">
        <f t="shared" si="410"/>
        <v/>
      </c>
      <c r="H3772" t="str">
        <f t="shared" si="411"/>
        <v/>
      </c>
      <c r="I3772" t="str">
        <f t="shared" si="412"/>
        <v/>
      </c>
    </row>
    <row r="3773" spans="1:9" x14ac:dyDescent="0.4">
      <c r="A3773" t="str">
        <f t="shared" si="406"/>
        <v/>
      </c>
      <c r="B3773" t="str">
        <f t="shared" si="407"/>
        <v/>
      </c>
      <c r="C3773" t="str">
        <f t="shared" si="408"/>
        <v/>
      </c>
      <c r="D3773" t="str">
        <f t="shared" si="409"/>
        <v/>
      </c>
      <c r="E3773" t="str">
        <f>IF(F3773="","",IF(COUNTIF($F$2:F3773,F3773)&gt;1,"",SUMIFS(tbl_input[필요수량],tbl_input[집계키_센터],F3773)))</f>
        <v/>
      </c>
      <c r="F3773" t="str">
        <f>IFERROR(INDEX(tbl_input[집계키_센터],ROW()-1),"")</f>
        <v/>
      </c>
      <c r="G3773" t="str">
        <f t="shared" si="410"/>
        <v/>
      </c>
      <c r="H3773" t="str">
        <f t="shared" si="411"/>
        <v/>
      </c>
      <c r="I3773" t="str">
        <f t="shared" si="412"/>
        <v/>
      </c>
    </row>
    <row r="3774" spans="1:9" x14ac:dyDescent="0.4">
      <c r="A3774" t="str">
        <f t="shared" si="406"/>
        <v/>
      </c>
      <c r="B3774" t="str">
        <f t="shared" si="407"/>
        <v/>
      </c>
      <c r="C3774" t="str">
        <f t="shared" si="408"/>
        <v/>
      </c>
      <c r="D3774" t="str">
        <f t="shared" si="409"/>
        <v/>
      </c>
      <c r="E3774" t="str">
        <f>IF(F3774="","",IF(COUNTIF($F$2:F3774,F3774)&gt;1,"",SUMIFS(tbl_input[필요수량],tbl_input[집계키_센터],F3774)))</f>
        <v/>
      </c>
      <c r="F3774" t="str">
        <f>IFERROR(INDEX(tbl_input[집계키_센터],ROW()-1),"")</f>
        <v/>
      </c>
      <c r="G3774" t="str">
        <f t="shared" si="410"/>
        <v/>
      </c>
      <c r="H3774" t="str">
        <f t="shared" si="411"/>
        <v/>
      </c>
      <c r="I3774" t="str">
        <f t="shared" si="412"/>
        <v/>
      </c>
    </row>
    <row r="3775" spans="1:9" x14ac:dyDescent="0.4">
      <c r="A3775" t="str">
        <f t="shared" si="406"/>
        <v/>
      </c>
      <c r="B3775" t="str">
        <f t="shared" si="407"/>
        <v/>
      </c>
      <c r="C3775" t="str">
        <f t="shared" si="408"/>
        <v/>
      </c>
      <c r="D3775" t="str">
        <f t="shared" si="409"/>
        <v/>
      </c>
      <c r="E3775" t="str">
        <f>IF(F3775="","",IF(COUNTIF($F$2:F3775,F3775)&gt;1,"",SUMIFS(tbl_input[필요수량],tbl_input[집계키_센터],F3775)))</f>
        <v/>
      </c>
      <c r="F3775" t="str">
        <f>IFERROR(INDEX(tbl_input[집계키_센터],ROW()-1),"")</f>
        <v/>
      </c>
      <c r="G3775" t="str">
        <f t="shared" si="410"/>
        <v/>
      </c>
      <c r="H3775" t="str">
        <f t="shared" si="411"/>
        <v/>
      </c>
      <c r="I3775" t="str">
        <f t="shared" si="412"/>
        <v/>
      </c>
    </row>
    <row r="3776" spans="1:9" x14ac:dyDescent="0.4">
      <c r="A3776" t="str">
        <f t="shared" si="406"/>
        <v/>
      </c>
      <c r="B3776" t="str">
        <f t="shared" si="407"/>
        <v/>
      </c>
      <c r="C3776" t="str">
        <f t="shared" si="408"/>
        <v/>
      </c>
      <c r="D3776" t="str">
        <f t="shared" si="409"/>
        <v/>
      </c>
      <c r="E3776" t="str">
        <f>IF(F3776="","",IF(COUNTIF($F$2:F3776,F3776)&gt;1,"",SUMIFS(tbl_input[필요수량],tbl_input[집계키_센터],F3776)))</f>
        <v/>
      </c>
      <c r="F3776" t="str">
        <f>IFERROR(INDEX(tbl_input[집계키_센터],ROW()-1),"")</f>
        <v/>
      </c>
      <c r="G3776" t="str">
        <f t="shared" si="410"/>
        <v/>
      </c>
      <c r="H3776" t="str">
        <f t="shared" si="411"/>
        <v/>
      </c>
      <c r="I3776" t="str">
        <f t="shared" si="412"/>
        <v/>
      </c>
    </row>
    <row r="3777" spans="1:9" x14ac:dyDescent="0.4">
      <c r="A3777" t="str">
        <f t="shared" si="406"/>
        <v/>
      </c>
      <c r="B3777" t="str">
        <f t="shared" si="407"/>
        <v/>
      </c>
      <c r="C3777" t="str">
        <f t="shared" si="408"/>
        <v/>
      </c>
      <c r="D3777" t="str">
        <f t="shared" si="409"/>
        <v/>
      </c>
      <c r="E3777" t="str">
        <f>IF(F3777="","",IF(COUNTIF($F$2:F3777,F3777)&gt;1,"",SUMIFS(tbl_input[필요수량],tbl_input[집계키_센터],F3777)))</f>
        <v/>
      </c>
      <c r="F3777" t="str">
        <f>IFERROR(INDEX(tbl_input[집계키_센터],ROW()-1),"")</f>
        <v/>
      </c>
      <c r="G3777" t="str">
        <f t="shared" si="410"/>
        <v/>
      </c>
      <c r="H3777" t="str">
        <f t="shared" si="411"/>
        <v/>
      </c>
      <c r="I3777" t="str">
        <f t="shared" si="412"/>
        <v/>
      </c>
    </row>
    <row r="3778" spans="1:9" x14ac:dyDescent="0.4">
      <c r="A3778" t="str">
        <f t="shared" ref="A3778:A3841" si="413">IF(F3778="","",LEFT(F3778,G3778-1))</f>
        <v/>
      </c>
      <c r="B3778" t="str">
        <f t="shared" ref="B3778:B3841" si="414">IF(F3778="","",MID(F3778,G3778+1,H3778-G3778-1))</f>
        <v/>
      </c>
      <c r="C3778" t="str">
        <f t="shared" ref="C3778:C3841" si="415">IF(F3778="","",MID(F3778,H3778+1,I3778-H3778-1))</f>
        <v/>
      </c>
      <c r="D3778" t="str">
        <f t="shared" ref="D3778:D3841" si="416">IF(F3778="","",MID(F3778,I3778+1,999))</f>
        <v/>
      </c>
      <c r="E3778" t="str">
        <f>IF(F3778="","",IF(COUNTIF($F$2:F3778,F3778)&gt;1,"",SUMIFS(tbl_input[필요수량],tbl_input[집계키_센터],F3778)))</f>
        <v/>
      </c>
      <c r="F3778" t="str">
        <f>IFERROR(INDEX(tbl_input[집계키_센터],ROW()-1),"")</f>
        <v/>
      </c>
      <c r="G3778" t="str">
        <f t="shared" ref="G3778:G3841" si="417">IF(F3778="","",FIND("♦",F3778))</f>
        <v/>
      </c>
      <c r="H3778" t="str">
        <f t="shared" ref="H3778:H3841" si="418">IF(F3778="","",FIND("♦",F3778,G3778+1))</f>
        <v/>
      </c>
      <c r="I3778" t="str">
        <f t="shared" ref="I3778:I3841" si="419">IF(F3778="","",FIND("♦",F3778,H3778+1))</f>
        <v/>
      </c>
    </row>
    <row r="3779" spans="1:9" x14ac:dyDescent="0.4">
      <c r="A3779" t="str">
        <f t="shared" si="413"/>
        <v/>
      </c>
      <c r="B3779" t="str">
        <f t="shared" si="414"/>
        <v/>
      </c>
      <c r="C3779" t="str">
        <f t="shared" si="415"/>
        <v/>
      </c>
      <c r="D3779" t="str">
        <f t="shared" si="416"/>
        <v/>
      </c>
      <c r="E3779" t="str">
        <f>IF(F3779="","",IF(COUNTIF($F$2:F3779,F3779)&gt;1,"",SUMIFS(tbl_input[필요수량],tbl_input[집계키_센터],F3779)))</f>
        <v/>
      </c>
      <c r="F3779" t="str">
        <f>IFERROR(INDEX(tbl_input[집계키_센터],ROW()-1),"")</f>
        <v/>
      </c>
      <c r="G3779" t="str">
        <f t="shared" si="417"/>
        <v/>
      </c>
      <c r="H3779" t="str">
        <f t="shared" si="418"/>
        <v/>
      </c>
      <c r="I3779" t="str">
        <f t="shared" si="419"/>
        <v/>
      </c>
    </row>
    <row r="3780" spans="1:9" x14ac:dyDescent="0.4">
      <c r="A3780" t="str">
        <f t="shared" si="413"/>
        <v/>
      </c>
      <c r="B3780" t="str">
        <f t="shared" si="414"/>
        <v/>
      </c>
      <c r="C3780" t="str">
        <f t="shared" si="415"/>
        <v/>
      </c>
      <c r="D3780" t="str">
        <f t="shared" si="416"/>
        <v/>
      </c>
      <c r="E3780" t="str">
        <f>IF(F3780="","",IF(COUNTIF($F$2:F3780,F3780)&gt;1,"",SUMIFS(tbl_input[필요수량],tbl_input[집계키_센터],F3780)))</f>
        <v/>
      </c>
      <c r="F3780" t="str">
        <f>IFERROR(INDEX(tbl_input[집계키_센터],ROW()-1),"")</f>
        <v/>
      </c>
      <c r="G3780" t="str">
        <f t="shared" si="417"/>
        <v/>
      </c>
      <c r="H3780" t="str">
        <f t="shared" si="418"/>
        <v/>
      </c>
      <c r="I3780" t="str">
        <f t="shared" si="419"/>
        <v/>
      </c>
    </row>
    <row r="3781" spans="1:9" x14ac:dyDescent="0.4">
      <c r="A3781" t="str">
        <f t="shared" si="413"/>
        <v/>
      </c>
      <c r="B3781" t="str">
        <f t="shared" si="414"/>
        <v/>
      </c>
      <c r="C3781" t="str">
        <f t="shared" si="415"/>
        <v/>
      </c>
      <c r="D3781" t="str">
        <f t="shared" si="416"/>
        <v/>
      </c>
      <c r="E3781" t="str">
        <f>IF(F3781="","",IF(COUNTIF($F$2:F3781,F3781)&gt;1,"",SUMIFS(tbl_input[필요수량],tbl_input[집계키_센터],F3781)))</f>
        <v/>
      </c>
      <c r="F3781" t="str">
        <f>IFERROR(INDEX(tbl_input[집계키_센터],ROW()-1),"")</f>
        <v/>
      </c>
      <c r="G3781" t="str">
        <f t="shared" si="417"/>
        <v/>
      </c>
      <c r="H3781" t="str">
        <f t="shared" si="418"/>
        <v/>
      </c>
      <c r="I3781" t="str">
        <f t="shared" si="419"/>
        <v/>
      </c>
    </row>
    <row r="3782" spans="1:9" x14ac:dyDescent="0.4">
      <c r="A3782" t="str">
        <f t="shared" si="413"/>
        <v/>
      </c>
      <c r="B3782" t="str">
        <f t="shared" si="414"/>
        <v/>
      </c>
      <c r="C3782" t="str">
        <f t="shared" si="415"/>
        <v/>
      </c>
      <c r="D3782" t="str">
        <f t="shared" si="416"/>
        <v/>
      </c>
      <c r="E3782" t="str">
        <f>IF(F3782="","",IF(COUNTIF($F$2:F3782,F3782)&gt;1,"",SUMIFS(tbl_input[필요수량],tbl_input[집계키_센터],F3782)))</f>
        <v/>
      </c>
      <c r="F3782" t="str">
        <f>IFERROR(INDEX(tbl_input[집계키_센터],ROW()-1),"")</f>
        <v/>
      </c>
      <c r="G3782" t="str">
        <f t="shared" si="417"/>
        <v/>
      </c>
      <c r="H3782" t="str">
        <f t="shared" si="418"/>
        <v/>
      </c>
      <c r="I3782" t="str">
        <f t="shared" si="419"/>
        <v/>
      </c>
    </row>
    <row r="3783" spans="1:9" x14ac:dyDescent="0.4">
      <c r="A3783" t="str">
        <f t="shared" si="413"/>
        <v/>
      </c>
      <c r="B3783" t="str">
        <f t="shared" si="414"/>
        <v/>
      </c>
      <c r="C3783" t="str">
        <f t="shared" si="415"/>
        <v/>
      </c>
      <c r="D3783" t="str">
        <f t="shared" si="416"/>
        <v/>
      </c>
      <c r="E3783" t="str">
        <f>IF(F3783="","",IF(COUNTIF($F$2:F3783,F3783)&gt;1,"",SUMIFS(tbl_input[필요수량],tbl_input[집계키_센터],F3783)))</f>
        <v/>
      </c>
      <c r="F3783" t="str">
        <f>IFERROR(INDEX(tbl_input[집계키_센터],ROW()-1),"")</f>
        <v/>
      </c>
      <c r="G3783" t="str">
        <f t="shared" si="417"/>
        <v/>
      </c>
      <c r="H3783" t="str">
        <f t="shared" si="418"/>
        <v/>
      </c>
      <c r="I3783" t="str">
        <f t="shared" si="419"/>
        <v/>
      </c>
    </row>
    <row r="3784" spans="1:9" x14ac:dyDescent="0.4">
      <c r="A3784" t="str">
        <f t="shared" si="413"/>
        <v/>
      </c>
      <c r="B3784" t="str">
        <f t="shared" si="414"/>
        <v/>
      </c>
      <c r="C3784" t="str">
        <f t="shared" si="415"/>
        <v/>
      </c>
      <c r="D3784" t="str">
        <f t="shared" si="416"/>
        <v/>
      </c>
      <c r="E3784" t="str">
        <f>IF(F3784="","",IF(COUNTIF($F$2:F3784,F3784)&gt;1,"",SUMIFS(tbl_input[필요수량],tbl_input[집계키_센터],F3784)))</f>
        <v/>
      </c>
      <c r="F3784" t="str">
        <f>IFERROR(INDEX(tbl_input[집계키_센터],ROW()-1),"")</f>
        <v/>
      </c>
      <c r="G3784" t="str">
        <f t="shared" si="417"/>
        <v/>
      </c>
      <c r="H3784" t="str">
        <f t="shared" si="418"/>
        <v/>
      </c>
      <c r="I3784" t="str">
        <f t="shared" si="419"/>
        <v/>
      </c>
    </row>
    <row r="3785" spans="1:9" x14ac:dyDescent="0.4">
      <c r="A3785" t="str">
        <f t="shared" si="413"/>
        <v/>
      </c>
      <c r="B3785" t="str">
        <f t="shared" si="414"/>
        <v/>
      </c>
      <c r="C3785" t="str">
        <f t="shared" si="415"/>
        <v/>
      </c>
      <c r="D3785" t="str">
        <f t="shared" si="416"/>
        <v/>
      </c>
      <c r="E3785" t="str">
        <f>IF(F3785="","",IF(COUNTIF($F$2:F3785,F3785)&gt;1,"",SUMIFS(tbl_input[필요수량],tbl_input[집계키_센터],F3785)))</f>
        <v/>
      </c>
      <c r="F3785" t="str">
        <f>IFERROR(INDEX(tbl_input[집계키_센터],ROW()-1),"")</f>
        <v/>
      </c>
      <c r="G3785" t="str">
        <f t="shared" si="417"/>
        <v/>
      </c>
      <c r="H3785" t="str">
        <f t="shared" si="418"/>
        <v/>
      </c>
      <c r="I3785" t="str">
        <f t="shared" si="419"/>
        <v/>
      </c>
    </row>
    <row r="3786" spans="1:9" x14ac:dyDescent="0.4">
      <c r="A3786" t="str">
        <f t="shared" si="413"/>
        <v/>
      </c>
      <c r="B3786" t="str">
        <f t="shared" si="414"/>
        <v/>
      </c>
      <c r="C3786" t="str">
        <f t="shared" si="415"/>
        <v/>
      </c>
      <c r="D3786" t="str">
        <f t="shared" si="416"/>
        <v/>
      </c>
      <c r="E3786" t="str">
        <f>IF(F3786="","",IF(COUNTIF($F$2:F3786,F3786)&gt;1,"",SUMIFS(tbl_input[필요수량],tbl_input[집계키_센터],F3786)))</f>
        <v/>
      </c>
      <c r="F3786" t="str">
        <f>IFERROR(INDEX(tbl_input[집계키_센터],ROW()-1),"")</f>
        <v/>
      </c>
      <c r="G3786" t="str">
        <f t="shared" si="417"/>
        <v/>
      </c>
      <c r="H3786" t="str">
        <f t="shared" si="418"/>
        <v/>
      </c>
      <c r="I3786" t="str">
        <f t="shared" si="419"/>
        <v/>
      </c>
    </row>
    <row r="3787" spans="1:9" x14ac:dyDescent="0.4">
      <c r="A3787" t="str">
        <f t="shared" si="413"/>
        <v/>
      </c>
      <c r="B3787" t="str">
        <f t="shared" si="414"/>
        <v/>
      </c>
      <c r="C3787" t="str">
        <f t="shared" si="415"/>
        <v/>
      </c>
      <c r="D3787" t="str">
        <f t="shared" si="416"/>
        <v/>
      </c>
      <c r="E3787" t="str">
        <f>IF(F3787="","",IF(COUNTIF($F$2:F3787,F3787)&gt;1,"",SUMIFS(tbl_input[필요수량],tbl_input[집계키_센터],F3787)))</f>
        <v/>
      </c>
      <c r="F3787" t="str">
        <f>IFERROR(INDEX(tbl_input[집계키_센터],ROW()-1),"")</f>
        <v/>
      </c>
      <c r="G3787" t="str">
        <f t="shared" si="417"/>
        <v/>
      </c>
      <c r="H3787" t="str">
        <f t="shared" si="418"/>
        <v/>
      </c>
      <c r="I3787" t="str">
        <f t="shared" si="419"/>
        <v/>
      </c>
    </row>
    <row r="3788" spans="1:9" x14ac:dyDescent="0.4">
      <c r="A3788" t="str">
        <f t="shared" si="413"/>
        <v/>
      </c>
      <c r="B3788" t="str">
        <f t="shared" si="414"/>
        <v/>
      </c>
      <c r="C3788" t="str">
        <f t="shared" si="415"/>
        <v/>
      </c>
      <c r="D3788" t="str">
        <f t="shared" si="416"/>
        <v/>
      </c>
      <c r="E3788" t="str">
        <f>IF(F3788="","",IF(COUNTIF($F$2:F3788,F3788)&gt;1,"",SUMIFS(tbl_input[필요수량],tbl_input[집계키_센터],F3788)))</f>
        <v/>
      </c>
      <c r="F3788" t="str">
        <f>IFERROR(INDEX(tbl_input[집계키_센터],ROW()-1),"")</f>
        <v/>
      </c>
      <c r="G3788" t="str">
        <f t="shared" si="417"/>
        <v/>
      </c>
      <c r="H3788" t="str">
        <f t="shared" si="418"/>
        <v/>
      </c>
      <c r="I3788" t="str">
        <f t="shared" si="419"/>
        <v/>
      </c>
    </row>
    <row r="3789" spans="1:9" x14ac:dyDescent="0.4">
      <c r="A3789" t="str">
        <f t="shared" si="413"/>
        <v/>
      </c>
      <c r="B3789" t="str">
        <f t="shared" si="414"/>
        <v/>
      </c>
      <c r="C3789" t="str">
        <f t="shared" si="415"/>
        <v/>
      </c>
      <c r="D3789" t="str">
        <f t="shared" si="416"/>
        <v/>
      </c>
      <c r="E3789" t="str">
        <f>IF(F3789="","",IF(COUNTIF($F$2:F3789,F3789)&gt;1,"",SUMIFS(tbl_input[필요수량],tbl_input[집계키_센터],F3789)))</f>
        <v/>
      </c>
      <c r="F3789" t="str">
        <f>IFERROR(INDEX(tbl_input[집계키_센터],ROW()-1),"")</f>
        <v/>
      </c>
      <c r="G3789" t="str">
        <f t="shared" si="417"/>
        <v/>
      </c>
      <c r="H3789" t="str">
        <f t="shared" si="418"/>
        <v/>
      </c>
      <c r="I3789" t="str">
        <f t="shared" si="419"/>
        <v/>
      </c>
    </row>
    <row r="3790" spans="1:9" x14ac:dyDescent="0.4">
      <c r="A3790" t="str">
        <f t="shared" si="413"/>
        <v/>
      </c>
      <c r="B3790" t="str">
        <f t="shared" si="414"/>
        <v/>
      </c>
      <c r="C3790" t="str">
        <f t="shared" si="415"/>
        <v/>
      </c>
      <c r="D3790" t="str">
        <f t="shared" si="416"/>
        <v/>
      </c>
      <c r="E3790" t="str">
        <f>IF(F3790="","",IF(COUNTIF($F$2:F3790,F3790)&gt;1,"",SUMIFS(tbl_input[필요수량],tbl_input[집계키_센터],F3790)))</f>
        <v/>
      </c>
      <c r="F3790" t="str">
        <f>IFERROR(INDEX(tbl_input[집계키_센터],ROW()-1),"")</f>
        <v/>
      </c>
      <c r="G3790" t="str">
        <f t="shared" si="417"/>
        <v/>
      </c>
      <c r="H3790" t="str">
        <f t="shared" si="418"/>
        <v/>
      </c>
      <c r="I3790" t="str">
        <f t="shared" si="419"/>
        <v/>
      </c>
    </row>
    <row r="3791" spans="1:9" x14ac:dyDescent="0.4">
      <c r="A3791" t="str">
        <f t="shared" si="413"/>
        <v/>
      </c>
      <c r="B3791" t="str">
        <f t="shared" si="414"/>
        <v/>
      </c>
      <c r="C3791" t="str">
        <f t="shared" si="415"/>
        <v/>
      </c>
      <c r="D3791" t="str">
        <f t="shared" si="416"/>
        <v/>
      </c>
      <c r="E3791" t="str">
        <f>IF(F3791="","",IF(COUNTIF($F$2:F3791,F3791)&gt;1,"",SUMIFS(tbl_input[필요수량],tbl_input[집계키_센터],F3791)))</f>
        <v/>
      </c>
      <c r="F3791" t="str">
        <f>IFERROR(INDEX(tbl_input[집계키_센터],ROW()-1),"")</f>
        <v/>
      </c>
      <c r="G3791" t="str">
        <f t="shared" si="417"/>
        <v/>
      </c>
      <c r="H3791" t="str">
        <f t="shared" si="418"/>
        <v/>
      </c>
      <c r="I3791" t="str">
        <f t="shared" si="419"/>
        <v/>
      </c>
    </row>
    <row r="3792" spans="1:9" x14ac:dyDescent="0.4">
      <c r="A3792" t="str">
        <f t="shared" si="413"/>
        <v/>
      </c>
      <c r="B3792" t="str">
        <f t="shared" si="414"/>
        <v/>
      </c>
      <c r="C3792" t="str">
        <f t="shared" si="415"/>
        <v/>
      </c>
      <c r="D3792" t="str">
        <f t="shared" si="416"/>
        <v/>
      </c>
      <c r="E3792" t="str">
        <f>IF(F3792="","",IF(COUNTIF($F$2:F3792,F3792)&gt;1,"",SUMIFS(tbl_input[필요수량],tbl_input[집계키_센터],F3792)))</f>
        <v/>
      </c>
      <c r="F3792" t="str">
        <f>IFERROR(INDEX(tbl_input[집계키_센터],ROW()-1),"")</f>
        <v/>
      </c>
      <c r="G3792" t="str">
        <f t="shared" si="417"/>
        <v/>
      </c>
      <c r="H3792" t="str">
        <f t="shared" si="418"/>
        <v/>
      </c>
      <c r="I3792" t="str">
        <f t="shared" si="419"/>
        <v/>
      </c>
    </row>
    <row r="3793" spans="1:9" x14ac:dyDescent="0.4">
      <c r="A3793" t="str">
        <f t="shared" si="413"/>
        <v/>
      </c>
      <c r="B3793" t="str">
        <f t="shared" si="414"/>
        <v/>
      </c>
      <c r="C3793" t="str">
        <f t="shared" si="415"/>
        <v/>
      </c>
      <c r="D3793" t="str">
        <f t="shared" si="416"/>
        <v/>
      </c>
      <c r="E3793" t="str">
        <f>IF(F3793="","",IF(COUNTIF($F$2:F3793,F3793)&gt;1,"",SUMIFS(tbl_input[필요수량],tbl_input[집계키_센터],F3793)))</f>
        <v/>
      </c>
      <c r="F3793" t="str">
        <f>IFERROR(INDEX(tbl_input[집계키_센터],ROW()-1),"")</f>
        <v/>
      </c>
      <c r="G3793" t="str">
        <f t="shared" si="417"/>
        <v/>
      </c>
      <c r="H3793" t="str">
        <f t="shared" si="418"/>
        <v/>
      </c>
      <c r="I3793" t="str">
        <f t="shared" si="419"/>
        <v/>
      </c>
    </row>
    <row r="3794" spans="1:9" x14ac:dyDescent="0.4">
      <c r="A3794" t="str">
        <f t="shared" si="413"/>
        <v/>
      </c>
      <c r="B3794" t="str">
        <f t="shared" si="414"/>
        <v/>
      </c>
      <c r="C3794" t="str">
        <f t="shared" si="415"/>
        <v/>
      </c>
      <c r="D3794" t="str">
        <f t="shared" si="416"/>
        <v/>
      </c>
      <c r="E3794" t="str">
        <f>IF(F3794="","",IF(COUNTIF($F$2:F3794,F3794)&gt;1,"",SUMIFS(tbl_input[필요수량],tbl_input[집계키_센터],F3794)))</f>
        <v/>
      </c>
      <c r="F3794" t="str">
        <f>IFERROR(INDEX(tbl_input[집계키_센터],ROW()-1),"")</f>
        <v/>
      </c>
      <c r="G3794" t="str">
        <f t="shared" si="417"/>
        <v/>
      </c>
      <c r="H3794" t="str">
        <f t="shared" si="418"/>
        <v/>
      </c>
      <c r="I3794" t="str">
        <f t="shared" si="419"/>
        <v/>
      </c>
    </row>
    <row r="3795" spans="1:9" x14ac:dyDescent="0.4">
      <c r="A3795" t="str">
        <f t="shared" si="413"/>
        <v/>
      </c>
      <c r="B3795" t="str">
        <f t="shared" si="414"/>
        <v/>
      </c>
      <c r="C3795" t="str">
        <f t="shared" si="415"/>
        <v/>
      </c>
      <c r="D3795" t="str">
        <f t="shared" si="416"/>
        <v/>
      </c>
      <c r="E3795" t="str">
        <f>IF(F3795="","",IF(COUNTIF($F$2:F3795,F3795)&gt;1,"",SUMIFS(tbl_input[필요수량],tbl_input[집계키_센터],F3795)))</f>
        <v/>
      </c>
      <c r="F3795" t="str">
        <f>IFERROR(INDEX(tbl_input[집계키_센터],ROW()-1),"")</f>
        <v/>
      </c>
      <c r="G3795" t="str">
        <f t="shared" si="417"/>
        <v/>
      </c>
      <c r="H3795" t="str">
        <f t="shared" si="418"/>
        <v/>
      </c>
      <c r="I3795" t="str">
        <f t="shared" si="419"/>
        <v/>
      </c>
    </row>
    <row r="3796" spans="1:9" x14ac:dyDescent="0.4">
      <c r="A3796" t="str">
        <f t="shared" si="413"/>
        <v/>
      </c>
      <c r="B3796" t="str">
        <f t="shared" si="414"/>
        <v/>
      </c>
      <c r="C3796" t="str">
        <f t="shared" si="415"/>
        <v/>
      </c>
      <c r="D3796" t="str">
        <f t="shared" si="416"/>
        <v/>
      </c>
      <c r="E3796" t="str">
        <f>IF(F3796="","",IF(COUNTIF($F$2:F3796,F3796)&gt;1,"",SUMIFS(tbl_input[필요수량],tbl_input[집계키_센터],F3796)))</f>
        <v/>
      </c>
      <c r="F3796" t="str">
        <f>IFERROR(INDEX(tbl_input[집계키_센터],ROW()-1),"")</f>
        <v/>
      </c>
      <c r="G3796" t="str">
        <f t="shared" si="417"/>
        <v/>
      </c>
      <c r="H3796" t="str">
        <f t="shared" si="418"/>
        <v/>
      </c>
      <c r="I3796" t="str">
        <f t="shared" si="419"/>
        <v/>
      </c>
    </row>
    <row r="3797" spans="1:9" x14ac:dyDescent="0.4">
      <c r="A3797" t="str">
        <f t="shared" si="413"/>
        <v/>
      </c>
      <c r="B3797" t="str">
        <f t="shared" si="414"/>
        <v/>
      </c>
      <c r="C3797" t="str">
        <f t="shared" si="415"/>
        <v/>
      </c>
      <c r="D3797" t="str">
        <f t="shared" si="416"/>
        <v/>
      </c>
      <c r="E3797" t="str">
        <f>IF(F3797="","",IF(COUNTIF($F$2:F3797,F3797)&gt;1,"",SUMIFS(tbl_input[필요수량],tbl_input[집계키_센터],F3797)))</f>
        <v/>
      </c>
      <c r="F3797" t="str">
        <f>IFERROR(INDEX(tbl_input[집계키_센터],ROW()-1),"")</f>
        <v/>
      </c>
      <c r="G3797" t="str">
        <f t="shared" si="417"/>
        <v/>
      </c>
      <c r="H3797" t="str">
        <f t="shared" si="418"/>
        <v/>
      </c>
      <c r="I3797" t="str">
        <f t="shared" si="419"/>
        <v/>
      </c>
    </row>
    <row r="3798" spans="1:9" x14ac:dyDescent="0.4">
      <c r="A3798" t="str">
        <f t="shared" si="413"/>
        <v/>
      </c>
      <c r="B3798" t="str">
        <f t="shared" si="414"/>
        <v/>
      </c>
      <c r="C3798" t="str">
        <f t="shared" si="415"/>
        <v/>
      </c>
      <c r="D3798" t="str">
        <f t="shared" si="416"/>
        <v/>
      </c>
      <c r="E3798" t="str">
        <f>IF(F3798="","",IF(COUNTIF($F$2:F3798,F3798)&gt;1,"",SUMIFS(tbl_input[필요수량],tbl_input[집계키_센터],F3798)))</f>
        <v/>
      </c>
      <c r="F3798" t="str">
        <f>IFERROR(INDEX(tbl_input[집계키_센터],ROW()-1),"")</f>
        <v/>
      </c>
      <c r="G3798" t="str">
        <f t="shared" si="417"/>
        <v/>
      </c>
      <c r="H3798" t="str">
        <f t="shared" si="418"/>
        <v/>
      </c>
      <c r="I3798" t="str">
        <f t="shared" si="419"/>
        <v/>
      </c>
    </row>
    <row r="3799" spans="1:9" x14ac:dyDescent="0.4">
      <c r="A3799" t="str">
        <f t="shared" si="413"/>
        <v/>
      </c>
      <c r="B3799" t="str">
        <f t="shared" si="414"/>
        <v/>
      </c>
      <c r="C3799" t="str">
        <f t="shared" si="415"/>
        <v/>
      </c>
      <c r="D3799" t="str">
        <f t="shared" si="416"/>
        <v/>
      </c>
      <c r="E3799" t="str">
        <f>IF(F3799="","",IF(COUNTIF($F$2:F3799,F3799)&gt;1,"",SUMIFS(tbl_input[필요수량],tbl_input[집계키_센터],F3799)))</f>
        <v/>
      </c>
      <c r="F3799" t="str">
        <f>IFERROR(INDEX(tbl_input[집계키_센터],ROW()-1),"")</f>
        <v/>
      </c>
      <c r="G3799" t="str">
        <f t="shared" si="417"/>
        <v/>
      </c>
      <c r="H3799" t="str">
        <f t="shared" si="418"/>
        <v/>
      </c>
      <c r="I3799" t="str">
        <f t="shared" si="419"/>
        <v/>
      </c>
    </row>
    <row r="3800" spans="1:9" x14ac:dyDescent="0.4">
      <c r="A3800" t="str">
        <f t="shared" si="413"/>
        <v/>
      </c>
      <c r="B3800" t="str">
        <f t="shared" si="414"/>
        <v/>
      </c>
      <c r="C3800" t="str">
        <f t="shared" si="415"/>
        <v/>
      </c>
      <c r="D3800" t="str">
        <f t="shared" si="416"/>
        <v/>
      </c>
      <c r="E3800" t="str">
        <f>IF(F3800="","",IF(COUNTIF($F$2:F3800,F3800)&gt;1,"",SUMIFS(tbl_input[필요수량],tbl_input[집계키_센터],F3800)))</f>
        <v/>
      </c>
      <c r="F3800" t="str">
        <f>IFERROR(INDEX(tbl_input[집계키_센터],ROW()-1),"")</f>
        <v/>
      </c>
      <c r="G3800" t="str">
        <f t="shared" si="417"/>
        <v/>
      </c>
      <c r="H3800" t="str">
        <f t="shared" si="418"/>
        <v/>
      </c>
      <c r="I3800" t="str">
        <f t="shared" si="419"/>
        <v/>
      </c>
    </row>
    <row r="3801" spans="1:9" x14ac:dyDescent="0.4">
      <c r="A3801" t="str">
        <f t="shared" si="413"/>
        <v/>
      </c>
      <c r="B3801" t="str">
        <f t="shared" si="414"/>
        <v/>
      </c>
      <c r="C3801" t="str">
        <f t="shared" si="415"/>
        <v/>
      </c>
      <c r="D3801" t="str">
        <f t="shared" si="416"/>
        <v/>
      </c>
      <c r="E3801" t="str">
        <f>IF(F3801="","",IF(COUNTIF($F$2:F3801,F3801)&gt;1,"",SUMIFS(tbl_input[필요수량],tbl_input[집계키_센터],F3801)))</f>
        <v/>
      </c>
      <c r="F3801" t="str">
        <f>IFERROR(INDEX(tbl_input[집계키_센터],ROW()-1),"")</f>
        <v/>
      </c>
      <c r="G3801" t="str">
        <f t="shared" si="417"/>
        <v/>
      </c>
      <c r="H3801" t="str">
        <f t="shared" si="418"/>
        <v/>
      </c>
      <c r="I3801" t="str">
        <f t="shared" si="419"/>
        <v/>
      </c>
    </row>
    <row r="3802" spans="1:9" x14ac:dyDescent="0.4">
      <c r="A3802" t="str">
        <f t="shared" si="413"/>
        <v/>
      </c>
      <c r="B3802" t="str">
        <f t="shared" si="414"/>
        <v/>
      </c>
      <c r="C3802" t="str">
        <f t="shared" si="415"/>
        <v/>
      </c>
      <c r="D3802" t="str">
        <f t="shared" si="416"/>
        <v/>
      </c>
      <c r="E3802" t="str">
        <f>IF(F3802="","",IF(COUNTIF($F$2:F3802,F3802)&gt;1,"",SUMIFS(tbl_input[필요수량],tbl_input[집계키_센터],F3802)))</f>
        <v/>
      </c>
      <c r="F3802" t="str">
        <f>IFERROR(INDEX(tbl_input[집계키_센터],ROW()-1),"")</f>
        <v/>
      </c>
      <c r="G3802" t="str">
        <f t="shared" si="417"/>
        <v/>
      </c>
      <c r="H3802" t="str">
        <f t="shared" si="418"/>
        <v/>
      </c>
      <c r="I3802" t="str">
        <f t="shared" si="419"/>
        <v/>
      </c>
    </row>
    <row r="3803" spans="1:9" x14ac:dyDescent="0.4">
      <c r="A3803" t="str">
        <f t="shared" si="413"/>
        <v/>
      </c>
      <c r="B3803" t="str">
        <f t="shared" si="414"/>
        <v/>
      </c>
      <c r="C3803" t="str">
        <f t="shared" si="415"/>
        <v/>
      </c>
      <c r="D3803" t="str">
        <f t="shared" si="416"/>
        <v/>
      </c>
      <c r="E3803" t="str">
        <f>IF(F3803="","",IF(COUNTIF($F$2:F3803,F3803)&gt;1,"",SUMIFS(tbl_input[필요수량],tbl_input[집계키_센터],F3803)))</f>
        <v/>
      </c>
      <c r="F3803" t="str">
        <f>IFERROR(INDEX(tbl_input[집계키_센터],ROW()-1),"")</f>
        <v/>
      </c>
      <c r="G3803" t="str">
        <f t="shared" si="417"/>
        <v/>
      </c>
      <c r="H3803" t="str">
        <f t="shared" si="418"/>
        <v/>
      </c>
      <c r="I3803" t="str">
        <f t="shared" si="419"/>
        <v/>
      </c>
    </row>
    <row r="3804" spans="1:9" x14ac:dyDescent="0.4">
      <c r="A3804" t="str">
        <f t="shared" si="413"/>
        <v/>
      </c>
      <c r="B3804" t="str">
        <f t="shared" si="414"/>
        <v/>
      </c>
      <c r="C3804" t="str">
        <f t="shared" si="415"/>
        <v/>
      </c>
      <c r="D3804" t="str">
        <f t="shared" si="416"/>
        <v/>
      </c>
      <c r="E3804" t="str">
        <f>IF(F3804="","",IF(COUNTIF($F$2:F3804,F3804)&gt;1,"",SUMIFS(tbl_input[필요수량],tbl_input[집계키_센터],F3804)))</f>
        <v/>
      </c>
      <c r="F3804" t="str">
        <f>IFERROR(INDEX(tbl_input[집계키_센터],ROW()-1),"")</f>
        <v/>
      </c>
      <c r="G3804" t="str">
        <f t="shared" si="417"/>
        <v/>
      </c>
      <c r="H3804" t="str">
        <f t="shared" si="418"/>
        <v/>
      </c>
      <c r="I3804" t="str">
        <f t="shared" si="419"/>
        <v/>
      </c>
    </row>
    <row r="3805" spans="1:9" x14ac:dyDescent="0.4">
      <c r="A3805" t="str">
        <f t="shared" si="413"/>
        <v/>
      </c>
      <c r="B3805" t="str">
        <f t="shared" si="414"/>
        <v/>
      </c>
      <c r="C3805" t="str">
        <f t="shared" si="415"/>
        <v/>
      </c>
      <c r="D3805" t="str">
        <f t="shared" si="416"/>
        <v/>
      </c>
      <c r="E3805" t="str">
        <f>IF(F3805="","",IF(COUNTIF($F$2:F3805,F3805)&gt;1,"",SUMIFS(tbl_input[필요수량],tbl_input[집계키_센터],F3805)))</f>
        <v/>
      </c>
      <c r="F3805" t="str">
        <f>IFERROR(INDEX(tbl_input[집계키_센터],ROW()-1),"")</f>
        <v/>
      </c>
      <c r="G3805" t="str">
        <f t="shared" si="417"/>
        <v/>
      </c>
      <c r="H3805" t="str">
        <f t="shared" si="418"/>
        <v/>
      </c>
      <c r="I3805" t="str">
        <f t="shared" si="419"/>
        <v/>
      </c>
    </row>
    <row r="3806" spans="1:9" x14ac:dyDescent="0.4">
      <c r="A3806" t="str">
        <f t="shared" si="413"/>
        <v/>
      </c>
      <c r="B3806" t="str">
        <f t="shared" si="414"/>
        <v/>
      </c>
      <c r="C3806" t="str">
        <f t="shared" si="415"/>
        <v/>
      </c>
      <c r="D3806" t="str">
        <f t="shared" si="416"/>
        <v/>
      </c>
      <c r="E3806" t="str">
        <f>IF(F3806="","",IF(COUNTIF($F$2:F3806,F3806)&gt;1,"",SUMIFS(tbl_input[필요수량],tbl_input[집계키_센터],F3806)))</f>
        <v/>
      </c>
      <c r="F3806" t="str">
        <f>IFERROR(INDEX(tbl_input[집계키_센터],ROW()-1),"")</f>
        <v/>
      </c>
      <c r="G3806" t="str">
        <f t="shared" si="417"/>
        <v/>
      </c>
      <c r="H3806" t="str">
        <f t="shared" si="418"/>
        <v/>
      </c>
      <c r="I3806" t="str">
        <f t="shared" si="419"/>
        <v/>
      </c>
    </row>
    <row r="3807" spans="1:9" x14ac:dyDescent="0.4">
      <c r="A3807" t="str">
        <f t="shared" si="413"/>
        <v/>
      </c>
      <c r="B3807" t="str">
        <f t="shared" si="414"/>
        <v/>
      </c>
      <c r="C3807" t="str">
        <f t="shared" si="415"/>
        <v/>
      </c>
      <c r="D3807" t="str">
        <f t="shared" si="416"/>
        <v/>
      </c>
      <c r="E3807" t="str">
        <f>IF(F3807="","",IF(COUNTIF($F$2:F3807,F3807)&gt;1,"",SUMIFS(tbl_input[필요수량],tbl_input[집계키_센터],F3807)))</f>
        <v/>
      </c>
      <c r="F3807" t="str">
        <f>IFERROR(INDEX(tbl_input[집계키_센터],ROW()-1),"")</f>
        <v/>
      </c>
      <c r="G3807" t="str">
        <f t="shared" si="417"/>
        <v/>
      </c>
      <c r="H3807" t="str">
        <f t="shared" si="418"/>
        <v/>
      </c>
      <c r="I3807" t="str">
        <f t="shared" si="419"/>
        <v/>
      </c>
    </row>
    <row r="3808" spans="1:9" x14ac:dyDescent="0.4">
      <c r="A3808" t="str">
        <f t="shared" si="413"/>
        <v/>
      </c>
      <c r="B3808" t="str">
        <f t="shared" si="414"/>
        <v/>
      </c>
      <c r="C3808" t="str">
        <f t="shared" si="415"/>
        <v/>
      </c>
      <c r="D3808" t="str">
        <f t="shared" si="416"/>
        <v/>
      </c>
      <c r="E3808" t="str">
        <f>IF(F3808="","",IF(COUNTIF($F$2:F3808,F3808)&gt;1,"",SUMIFS(tbl_input[필요수량],tbl_input[집계키_센터],F3808)))</f>
        <v/>
      </c>
      <c r="F3808" t="str">
        <f>IFERROR(INDEX(tbl_input[집계키_센터],ROW()-1),"")</f>
        <v/>
      </c>
      <c r="G3808" t="str">
        <f t="shared" si="417"/>
        <v/>
      </c>
      <c r="H3808" t="str">
        <f t="shared" si="418"/>
        <v/>
      </c>
      <c r="I3808" t="str">
        <f t="shared" si="419"/>
        <v/>
      </c>
    </row>
    <row r="3809" spans="1:9" x14ac:dyDescent="0.4">
      <c r="A3809" t="str">
        <f t="shared" si="413"/>
        <v/>
      </c>
      <c r="B3809" t="str">
        <f t="shared" si="414"/>
        <v/>
      </c>
      <c r="C3809" t="str">
        <f t="shared" si="415"/>
        <v/>
      </c>
      <c r="D3809" t="str">
        <f t="shared" si="416"/>
        <v/>
      </c>
      <c r="E3809" t="str">
        <f>IF(F3809="","",IF(COUNTIF($F$2:F3809,F3809)&gt;1,"",SUMIFS(tbl_input[필요수량],tbl_input[집계키_센터],F3809)))</f>
        <v/>
      </c>
      <c r="F3809" t="str">
        <f>IFERROR(INDEX(tbl_input[집계키_센터],ROW()-1),"")</f>
        <v/>
      </c>
      <c r="G3809" t="str">
        <f t="shared" si="417"/>
        <v/>
      </c>
      <c r="H3809" t="str">
        <f t="shared" si="418"/>
        <v/>
      </c>
      <c r="I3809" t="str">
        <f t="shared" si="419"/>
        <v/>
      </c>
    </row>
    <row r="3810" spans="1:9" x14ac:dyDescent="0.4">
      <c r="A3810" t="str">
        <f t="shared" si="413"/>
        <v/>
      </c>
      <c r="B3810" t="str">
        <f t="shared" si="414"/>
        <v/>
      </c>
      <c r="C3810" t="str">
        <f t="shared" si="415"/>
        <v/>
      </c>
      <c r="D3810" t="str">
        <f t="shared" si="416"/>
        <v/>
      </c>
      <c r="E3810" t="str">
        <f>IF(F3810="","",IF(COUNTIF($F$2:F3810,F3810)&gt;1,"",SUMIFS(tbl_input[필요수량],tbl_input[집계키_센터],F3810)))</f>
        <v/>
      </c>
      <c r="F3810" t="str">
        <f>IFERROR(INDEX(tbl_input[집계키_센터],ROW()-1),"")</f>
        <v/>
      </c>
      <c r="G3810" t="str">
        <f t="shared" si="417"/>
        <v/>
      </c>
      <c r="H3810" t="str">
        <f t="shared" si="418"/>
        <v/>
      </c>
      <c r="I3810" t="str">
        <f t="shared" si="419"/>
        <v/>
      </c>
    </row>
    <row r="3811" spans="1:9" x14ac:dyDescent="0.4">
      <c r="A3811" t="str">
        <f t="shared" si="413"/>
        <v/>
      </c>
      <c r="B3811" t="str">
        <f t="shared" si="414"/>
        <v/>
      </c>
      <c r="C3811" t="str">
        <f t="shared" si="415"/>
        <v/>
      </c>
      <c r="D3811" t="str">
        <f t="shared" si="416"/>
        <v/>
      </c>
      <c r="E3811" t="str">
        <f>IF(F3811="","",IF(COUNTIF($F$2:F3811,F3811)&gt;1,"",SUMIFS(tbl_input[필요수량],tbl_input[집계키_센터],F3811)))</f>
        <v/>
      </c>
      <c r="F3811" t="str">
        <f>IFERROR(INDEX(tbl_input[집계키_센터],ROW()-1),"")</f>
        <v/>
      </c>
      <c r="G3811" t="str">
        <f t="shared" si="417"/>
        <v/>
      </c>
      <c r="H3811" t="str">
        <f t="shared" si="418"/>
        <v/>
      </c>
      <c r="I3811" t="str">
        <f t="shared" si="419"/>
        <v/>
      </c>
    </row>
    <row r="3812" spans="1:9" x14ac:dyDescent="0.4">
      <c r="A3812" t="str">
        <f t="shared" si="413"/>
        <v/>
      </c>
      <c r="B3812" t="str">
        <f t="shared" si="414"/>
        <v/>
      </c>
      <c r="C3812" t="str">
        <f t="shared" si="415"/>
        <v/>
      </c>
      <c r="D3812" t="str">
        <f t="shared" si="416"/>
        <v/>
      </c>
      <c r="E3812" t="str">
        <f>IF(F3812="","",IF(COUNTIF($F$2:F3812,F3812)&gt;1,"",SUMIFS(tbl_input[필요수량],tbl_input[집계키_센터],F3812)))</f>
        <v/>
      </c>
      <c r="F3812" t="str">
        <f>IFERROR(INDEX(tbl_input[집계키_센터],ROW()-1),"")</f>
        <v/>
      </c>
      <c r="G3812" t="str">
        <f t="shared" si="417"/>
        <v/>
      </c>
      <c r="H3812" t="str">
        <f t="shared" si="418"/>
        <v/>
      </c>
      <c r="I3812" t="str">
        <f t="shared" si="419"/>
        <v/>
      </c>
    </row>
    <row r="3813" spans="1:9" x14ac:dyDescent="0.4">
      <c r="A3813" t="str">
        <f t="shared" si="413"/>
        <v/>
      </c>
      <c r="B3813" t="str">
        <f t="shared" si="414"/>
        <v/>
      </c>
      <c r="C3813" t="str">
        <f t="shared" si="415"/>
        <v/>
      </c>
      <c r="D3813" t="str">
        <f t="shared" si="416"/>
        <v/>
      </c>
      <c r="E3813" t="str">
        <f>IF(F3813="","",IF(COUNTIF($F$2:F3813,F3813)&gt;1,"",SUMIFS(tbl_input[필요수량],tbl_input[집계키_센터],F3813)))</f>
        <v/>
      </c>
      <c r="F3813" t="str">
        <f>IFERROR(INDEX(tbl_input[집계키_센터],ROW()-1),"")</f>
        <v/>
      </c>
      <c r="G3813" t="str">
        <f t="shared" si="417"/>
        <v/>
      </c>
      <c r="H3813" t="str">
        <f t="shared" si="418"/>
        <v/>
      </c>
      <c r="I3813" t="str">
        <f t="shared" si="419"/>
        <v/>
      </c>
    </row>
    <row r="3814" spans="1:9" x14ac:dyDescent="0.4">
      <c r="A3814" t="str">
        <f t="shared" si="413"/>
        <v/>
      </c>
      <c r="B3814" t="str">
        <f t="shared" si="414"/>
        <v/>
      </c>
      <c r="C3814" t="str">
        <f t="shared" si="415"/>
        <v/>
      </c>
      <c r="D3814" t="str">
        <f t="shared" si="416"/>
        <v/>
      </c>
      <c r="E3814" t="str">
        <f>IF(F3814="","",IF(COUNTIF($F$2:F3814,F3814)&gt;1,"",SUMIFS(tbl_input[필요수량],tbl_input[집계키_센터],F3814)))</f>
        <v/>
      </c>
      <c r="F3814" t="str">
        <f>IFERROR(INDEX(tbl_input[집계키_센터],ROW()-1),"")</f>
        <v/>
      </c>
      <c r="G3814" t="str">
        <f t="shared" si="417"/>
        <v/>
      </c>
      <c r="H3814" t="str">
        <f t="shared" si="418"/>
        <v/>
      </c>
      <c r="I3814" t="str">
        <f t="shared" si="419"/>
        <v/>
      </c>
    </row>
    <row r="3815" spans="1:9" x14ac:dyDescent="0.4">
      <c r="A3815" t="str">
        <f t="shared" si="413"/>
        <v/>
      </c>
      <c r="B3815" t="str">
        <f t="shared" si="414"/>
        <v/>
      </c>
      <c r="C3815" t="str">
        <f t="shared" si="415"/>
        <v/>
      </c>
      <c r="D3815" t="str">
        <f t="shared" si="416"/>
        <v/>
      </c>
      <c r="E3815" t="str">
        <f>IF(F3815="","",IF(COUNTIF($F$2:F3815,F3815)&gt;1,"",SUMIFS(tbl_input[필요수량],tbl_input[집계키_센터],F3815)))</f>
        <v/>
      </c>
      <c r="F3815" t="str">
        <f>IFERROR(INDEX(tbl_input[집계키_센터],ROW()-1),"")</f>
        <v/>
      </c>
      <c r="G3815" t="str">
        <f t="shared" si="417"/>
        <v/>
      </c>
      <c r="H3815" t="str">
        <f t="shared" si="418"/>
        <v/>
      </c>
      <c r="I3815" t="str">
        <f t="shared" si="419"/>
        <v/>
      </c>
    </row>
    <row r="3816" spans="1:9" x14ac:dyDescent="0.4">
      <c r="A3816" t="str">
        <f t="shared" si="413"/>
        <v/>
      </c>
      <c r="B3816" t="str">
        <f t="shared" si="414"/>
        <v/>
      </c>
      <c r="C3816" t="str">
        <f t="shared" si="415"/>
        <v/>
      </c>
      <c r="D3816" t="str">
        <f t="shared" si="416"/>
        <v/>
      </c>
      <c r="E3816" t="str">
        <f>IF(F3816="","",IF(COUNTIF($F$2:F3816,F3816)&gt;1,"",SUMIFS(tbl_input[필요수량],tbl_input[집계키_센터],F3816)))</f>
        <v/>
      </c>
      <c r="F3816" t="str">
        <f>IFERROR(INDEX(tbl_input[집계키_센터],ROW()-1),"")</f>
        <v/>
      </c>
      <c r="G3816" t="str">
        <f t="shared" si="417"/>
        <v/>
      </c>
      <c r="H3816" t="str">
        <f t="shared" si="418"/>
        <v/>
      </c>
      <c r="I3816" t="str">
        <f t="shared" si="419"/>
        <v/>
      </c>
    </row>
    <row r="3817" spans="1:9" x14ac:dyDescent="0.4">
      <c r="A3817" t="str">
        <f t="shared" si="413"/>
        <v/>
      </c>
      <c r="B3817" t="str">
        <f t="shared" si="414"/>
        <v/>
      </c>
      <c r="C3817" t="str">
        <f t="shared" si="415"/>
        <v/>
      </c>
      <c r="D3817" t="str">
        <f t="shared" si="416"/>
        <v/>
      </c>
      <c r="E3817" t="str">
        <f>IF(F3817="","",IF(COUNTIF($F$2:F3817,F3817)&gt;1,"",SUMIFS(tbl_input[필요수량],tbl_input[집계키_센터],F3817)))</f>
        <v/>
      </c>
      <c r="F3817" t="str">
        <f>IFERROR(INDEX(tbl_input[집계키_센터],ROW()-1),"")</f>
        <v/>
      </c>
      <c r="G3817" t="str">
        <f t="shared" si="417"/>
        <v/>
      </c>
      <c r="H3817" t="str">
        <f t="shared" si="418"/>
        <v/>
      </c>
      <c r="I3817" t="str">
        <f t="shared" si="419"/>
        <v/>
      </c>
    </row>
    <row r="3818" spans="1:9" x14ac:dyDescent="0.4">
      <c r="A3818" t="str">
        <f t="shared" si="413"/>
        <v/>
      </c>
      <c r="B3818" t="str">
        <f t="shared" si="414"/>
        <v/>
      </c>
      <c r="C3818" t="str">
        <f t="shared" si="415"/>
        <v/>
      </c>
      <c r="D3818" t="str">
        <f t="shared" si="416"/>
        <v/>
      </c>
      <c r="E3818" t="str">
        <f>IF(F3818="","",IF(COUNTIF($F$2:F3818,F3818)&gt;1,"",SUMIFS(tbl_input[필요수량],tbl_input[집계키_센터],F3818)))</f>
        <v/>
      </c>
      <c r="F3818" t="str">
        <f>IFERROR(INDEX(tbl_input[집계키_센터],ROW()-1),"")</f>
        <v/>
      </c>
      <c r="G3818" t="str">
        <f t="shared" si="417"/>
        <v/>
      </c>
      <c r="H3818" t="str">
        <f t="shared" si="418"/>
        <v/>
      </c>
      <c r="I3818" t="str">
        <f t="shared" si="419"/>
        <v/>
      </c>
    </row>
    <row r="3819" spans="1:9" x14ac:dyDescent="0.4">
      <c r="A3819" t="str">
        <f t="shared" si="413"/>
        <v/>
      </c>
      <c r="B3819" t="str">
        <f t="shared" si="414"/>
        <v/>
      </c>
      <c r="C3819" t="str">
        <f t="shared" si="415"/>
        <v/>
      </c>
      <c r="D3819" t="str">
        <f t="shared" si="416"/>
        <v/>
      </c>
      <c r="E3819" t="str">
        <f>IF(F3819="","",IF(COUNTIF($F$2:F3819,F3819)&gt;1,"",SUMIFS(tbl_input[필요수량],tbl_input[집계키_센터],F3819)))</f>
        <v/>
      </c>
      <c r="F3819" t="str">
        <f>IFERROR(INDEX(tbl_input[집계키_센터],ROW()-1),"")</f>
        <v/>
      </c>
      <c r="G3819" t="str">
        <f t="shared" si="417"/>
        <v/>
      </c>
      <c r="H3819" t="str">
        <f t="shared" si="418"/>
        <v/>
      </c>
      <c r="I3819" t="str">
        <f t="shared" si="419"/>
        <v/>
      </c>
    </row>
    <row r="3820" spans="1:9" x14ac:dyDescent="0.4">
      <c r="A3820" t="str">
        <f t="shared" si="413"/>
        <v/>
      </c>
      <c r="B3820" t="str">
        <f t="shared" si="414"/>
        <v/>
      </c>
      <c r="C3820" t="str">
        <f t="shared" si="415"/>
        <v/>
      </c>
      <c r="D3820" t="str">
        <f t="shared" si="416"/>
        <v/>
      </c>
      <c r="E3820" t="str">
        <f>IF(F3820="","",IF(COUNTIF($F$2:F3820,F3820)&gt;1,"",SUMIFS(tbl_input[필요수량],tbl_input[집계키_센터],F3820)))</f>
        <v/>
      </c>
      <c r="F3820" t="str">
        <f>IFERROR(INDEX(tbl_input[집계키_센터],ROW()-1),"")</f>
        <v/>
      </c>
      <c r="G3820" t="str">
        <f t="shared" si="417"/>
        <v/>
      </c>
      <c r="H3820" t="str">
        <f t="shared" si="418"/>
        <v/>
      </c>
      <c r="I3820" t="str">
        <f t="shared" si="419"/>
        <v/>
      </c>
    </row>
    <row r="3821" spans="1:9" x14ac:dyDescent="0.4">
      <c r="A3821" t="str">
        <f t="shared" si="413"/>
        <v/>
      </c>
      <c r="B3821" t="str">
        <f t="shared" si="414"/>
        <v/>
      </c>
      <c r="C3821" t="str">
        <f t="shared" si="415"/>
        <v/>
      </c>
      <c r="D3821" t="str">
        <f t="shared" si="416"/>
        <v/>
      </c>
      <c r="E3821" t="str">
        <f>IF(F3821="","",IF(COUNTIF($F$2:F3821,F3821)&gt;1,"",SUMIFS(tbl_input[필요수량],tbl_input[집계키_센터],F3821)))</f>
        <v/>
      </c>
      <c r="F3821" t="str">
        <f>IFERROR(INDEX(tbl_input[집계키_센터],ROW()-1),"")</f>
        <v/>
      </c>
      <c r="G3821" t="str">
        <f t="shared" si="417"/>
        <v/>
      </c>
      <c r="H3821" t="str">
        <f t="shared" si="418"/>
        <v/>
      </c>
      <c r="I3821" t="str">
        <f t="shared" si="419"/>
        <v/>
      </c>
    </row>
    <row r="3822" spans="1:9" x14ac:dyDescent="0.4">
      <c r="A3822" t="str">
        <f t="shared" si="413"/>
        <v/>
      </c>
      <c r="B3822" t="str">
        <f t="shared" si="414"/>
        <v/>
      </c>
      <c r="C3822" t="str">
        <f t="shared" si="415"/>
        <v/>
      </c>
      <c r="D3822" t="str">
        <f t="shared" si="416"/>
        <v/>
      </c>
      <c r="E3822" t="str">
        <f>IF(F3822="","",IF(COUNTIF($F$2:F3822,F3822)&gt;1,"",SUMIFS(tbl_input[필요수량],tbl_input[집계키_센터],F3822)))</f>
        <v/>
      </c>
      <c r="F3822" t="str">
        <f>IFERROR(INDEX(tbl_input[집계키_센터],ROW()-1),"")</f>
        <v/>
      </c>
      <c r="G3822" t="str">
        <f t="shared" si="417"/>
        <v/>
      </c>
      <c r="H3822" t="str">
        <f t="shared" si="418"/>
        <v/>
      </c>
      <c r="I3822" t="str">
        <f t="shared" si="419"/>
        <v/>
      </c>
    </row>
    <row r="3823" spans="1:9" x14ac:dyDescent="0.4">
      <c r="A3823" t="str">
        <f t="shared" si="413"/>
        <v/>
      </c>
      <c r="B3823" t="str">
        <f t="shared" si="414"/>
        <v/>
      </c>
      <c r="C3823" t="str">
        <f t="shared" si="415"/>
        <v/>
      </c>
      <c r="D3823" t="str">
        <f t="shared" si="416"/>
        <v/>
      </c>
      <c r="E3823" t="str">
        <f>IF(F3823="","",IF(COUNTIF($F$2:F3823,F3823)&gt;1,"",SUMIFS(tbl_input[필요수량],tbl_input[집계키_센터],F3823)))</f>
        <v/>
      </c>
      <c r="F3823" t="str">
        <f>IFERROR(INDEX(tbl_input[집계키_센터],ROW()-1),"")</f>
        <v/>
      </c>
      <c r="G3823" t="str">
        <f t="shared" si="417"/>
        <v/>
      </c>
      <c r="H3823" t="str">
        <f t="shared" si="418"/>
        <v/>
      </c>
      <c r="I3823" t="str">
        <f t="shared" si="419"/>
        <v/>
      </c>
    </row>
    <row r="3824" spans="1:9" x14ac:dyDescent="0.4">
      <c r="A3824" t="str">
        <f t="shared" si="413"/>
        <v/>
      </c>
      <c r="B3824" t="str">
        <f t="shared" si="414"/>
        <v/>
      </c>
      <c r="C3824" t="str">
        <f t="shared" si="415"/>
        <v/>
      </c>
      <c r="D3824" t="str">
        <f t="shared" si="416"/>
        <v/>
      </c>
      <c r="E3824" t="str">
        <f>IF(F3824="","",IF(COUNTIF($F$2:F3824,F3824)&gt;1,"",SUMIFS(tbl_input[필요수량],tbl_input[집계키_센터],F3824)))</f>
        <v/>
      </c>
      <c r="F3824" t="str">
        <f>IFERROR(INDEX(tbl_input[집계키_센터],ROW()-1),"")</f>
        <v/>
      </c>
      <c r="G3824" t="str">
        <f t="shared" si="417"/>
        <v/>
      </c>
      <c r="H3824" t="str">
        <f t="shared" si="418"/>
        <v/>
      </c>
      <c r="I3824" t="str">
        <f t="shared" si="419"/>
        <v/>
      </c>
    </row>
    <row r="3825" spans="1:9" x14ac:dyDescent="0.4">
      <c r="A3825" t="str">
        <f t="shared" si="413"/>
        <v/>
      </c>
      <c r="B3825" t="str">
        <f t="shared" si="414"/>
        <v/>
      </c>
      <c r="C3825" t="str">
        <f t="shared" si="415"/>
        <v/>
      </c>
      <c r="D3825" t="str">
        <f t="shared" si="416"/>
        <v/>
      </c>
      <c r="E3825" t="str">
        <f>IF(F3825="","",IF(COUNTIF($F$2:F3825,F3825)&gt;1,"",SUMIFS(tbl_input[필요수량],tbl_input[집계키_센터],F3825)))</f>
        <v/>
      </c>
      <c r="F3825" t="str">
        <f>IFERROR(INDEX(tbl_input[집계키_센터],ROW()-1),"")</f>
        <v/>
      </c>
      <c r="G3825" t="str">
        <f t="shared" si="417"/>
        <v/>
      </c>
      <c r="H3825" t="str">
        <f t="shared" si="418"/>
        <v/>
      </c>
      <c r="I3825" t="str">
        <f t="shared" si="419"/>
        <v/>
      </c>
    </row>
    <row r="3826" spans="1:9" x14ac:dyDescent="0.4">
      <c r="A3826" t="str">
        <f t="shared" si="413"/>
        <v/>
      </c>
      <c r="B3826" t="str">
        <f t="shared" si="414"/>
        <v/>
      </c>
      <c r="C3826" t="str">
        <f t="shared" si="415"/>
        <v/>
      </c>
      <c r="D3826" t="str">
        <f t="shared" si="416"/>
        <v/>
      </c>
      <c r="E3826" t="str">
        <f>IF(F3826="","",IF(COUNTIF($F$2:F3826,F3826)&gt;1,"",SUMIFS(tbl_input[필요수량],tbl_input[집계키_센터],F3826)))</f>
        <v/>
      </c>
      <c r="F3826" t="str">
        <f>IFERROR(INDEX(tbl_input[집계키_센터],ROW()-1),"")</f>
        <v/>
      </c>
      <c r="G3826" t="str">
        <f t="shared" si="417"/>
        <v/>
      </c>
      <c r="H3826" t="str">
        <f t="shared" si="418"/>
        <v/>
      </c>
      <c r="I3826" t="str">
        <f t="shared" si="419"/>
        <v/>
      </c>
    </row>
    <row r="3827" spans="1:9" x14ac:dyDescent="0.4">
      <c r="A3827" t="str">
        <f t="shared" si="413"/>
        <v/>
      </c>
      <c r="B3827" t="str">
        <f t="shared" si="414"/>
        <v/>
      </c>
      <c r="C3827" t="str">
        <f t="shared" si="415"/>
        <v/>
      </c>
      <c r="D3827" t="str">
        <f t="shared" si="416"/>
        <v/>
      </c>
      <c r="E3827" t="str">
        <f>IF(F3827="","",IF(COUNTIF($F$2:F3827,F3827)&gt;1,"",SUMIFS(tbl_input[필요수량],tbl_input[집계키_센터],F3827)))</f>
        <v/>
      </c>
      <c r="F3827" t="str">
        <f>IFERROR(INDEX(tbl_input[집계키_센터],ROW()-1),"")</f>
        <v/>
      </c>
      <c r="G3827" t="str">
        <f t="shared" si="417"/>
        <v/>
      </c>
      <c r="H3827" t="str">
        <f t="shared" si="418"/>
        <v/>
      </c>
      <c r="I3827" t="str">
        <f t="shared" si="419"/>
        <v/>
      </c>
    </row>
    <row r="3828" spans="1:9" x14ac:dyDescent="0.4">
      <c r="A3828" t="str">
        <f t="shared" si="413"/>
        <v/>
      </c>
      <c r="B3828" t="str">
        <f t="shared" si="414"/>
        <v/>
      </c>
      <c r="C3828" t="str">
        <f t="shared" si="415"/>
        <v/>
      </c>
      <c r="D3828" t="str">
        <f t="shared" si="416"/>
        <v/>
      </c>
      <c r="E3828" t="str">
        <f>IF(F3828="","",IF(COUNTIF($F$2:F3828,F3828)&gt;1,"",SUMIFS(tbl_input[필요수량],tbl_input[집계키_센터],F3828)))</f>
        <v/>
      </c>
      <c r="F3828" t="str">
        <f>IFERROR(INDEX(tbl_input[집계키_센터],ROW()-1),"")</f>
        <v/>
      </c>
      <c r="G3828" t="str">
        <f t="shared" si="417"/>
        <v/>
      </c>
      <c r="H3828" t="str">
        <f t="shared" si="418"/>
        <v/>
      </c>
      <c r="I3828" t="str">
        <f t="shared" si="419"/>
        <v/>
      </c>
    </row>
    <row r="3829" spans="1:9" x14ac:dyDescent="0.4">
      <c r="A3829" t="str">
        <f t="shared" si="413"/>
        <v/>
      </c>
      <c r="B3829" t="str">
        <f t="shared" si="414"/>
        <v/>
      </c>
      <c r="C3829" t="str">
        <f t="shared" si="415"/>
        <v/>
      </c>
      <c r="D3829" t="str">
        <f t="shared" si="416"/>
        <v/>
      </c>
      <c r="E3829" t="str">
        <f>IF(F3829="","",IF(COUNTIF($F$2:F3829,F3829)&gt;1,"",SUMIFS(tbl_input[필요수량],tbl_input[집계키_센터],F3829)))</f>
        <v/>
      </c>
      <c r="F3829" t="str">
        <f>IFERROR(INDEX(tbl_input[집계키_센터],ROW()-1),"")</f>
        <v/>
      </c>
      <c r="G3829" t="str">
        <f t="shared" si="417"/>
        <v/>
      </c>
      <c r="H3829" t="str">
        <f t="shared" si="418"/>
        <v/>
      </c>
      <c r="I3829" t="str">
        <f t="shared" si="419"/>
        <v/>
      </c>
    </row>
    <row r="3830" spans="1:9" x14ac:dyDescent="0.4">
      <c r="A3830" t="str">
        <f t="shared" si="413"/>
        <v/>
      </c>
      <c r="B3830" t="str">
        <f t="shared" si="414"/>
        <v/>
      </c>
      <c r="C3830" t="str">
        <f t="shared" si="415"/>
        <v/>
      </c>
      <c r="D3830" t="str">
        <f t="shared" si="416"/>
        <v/>
      </c>
      <c r="E3830" t="str">
        <f>IF(F3830="","",IF(COUNTIF($F$2:F3830,F3830)&gt;1,"",SUMIFS(tbl_input[필요수량],tbl_input[집계키_센터],F3830)))</f>
        <v/>
      </c>
      <c r="F3830" t="str">
        <f>IFERROR(INDEX(tbl_input[집계키_센터],ROW()-1),"")</f>
        <v/>
      </c>
      <c r="G3830" t="str">
        <f t="shared" si="417"/>
        <v/>
      </c>
      <c r="H3830" t="str">
        <f t="shared" si="418"/>
        <v/>
      </c>
      <c r="I3830" t="str">
        <f t="shared" si="419"/>
        <v/>
      </c>
    </row>
    <row r="3831" spans="1:9" x14ac:dyDescent="0.4">
      <c r="A3831" t="str">
        <f t="shared" si="413"/>
        <v/>
      </c>
      <c r="B3831" t="str">
        <f t="shared" si="414"/>
        <v/>
      </c>
      <c r="C3831" t="str">
        <f t="shared" si="415"/>
        <v/>
      </c>
      <c r="D3831" t="str">
        <f t="shared" si="416"/>
        <v/>
      </c>
      <c r="E3831" t="str">
        <f>IF(F3831="","",IF(COUNTIF($F$2:F3831,F3831)&gt;1,"",SUMIFS(tbl_input[필요수량],tbl_input[집계키_센터],F3831)))</f>
        <v/>
      </c>
      <c r="F3831" t="str">
        <f>IFERROR(INDEX(tbl_input[집계키_센터],ROW()-1),"")</f>
        <v/>
      </c>
      <c r="G3831" t="str">
        <f t="shared" si="417"/>
        <v/>
      </c>
      <c r="H3831" t="str">
        <f t="shared" si="418"/>
        <v/>
      </c>
      <c r="I3831" t="str">
        <f t="shared" si="419"/>
        <v/>
      </c>
    </row>
    <row r="3832" spans="1:9" x14ac:dyDescent="0.4">
      <c r="A3832" t="str">
        <f t="shared" si="413"/>
        <v/>
      </c>
      <c r="B3832" t="str">
        <f t="shared" si="414"/>
        <v/>
      </c>
      <c r="C3832" t="str">
        <f t="shared" si="415"/>
        <v/>
      </c>
      <c r="D3832" t="str">
        <f t="shared" si="416"/>
        <v/>
      </c>
      <c r="E3832" t="str">
        <f>IF(F3832="","",IF(COUNTIF($F$2:F3832,F3832)&gt;1,"",SUMIFS(tbl_input[필요수량],tbl_input[집계키_센터],F3832)))</f>
        <v/>
      </c>
      <c r="F3832" t="str">
        <f>IFERROR(INDEX(tbl_input[집계키_센터],ROW()-1),"")</f>
        <v/>
      </c>
      <c r="G3832" t="str">
        <f t="shared" si="417"/>
        <v/>
      </c>
      <c r="H3832" t="str">
        <f t="shared" si="418"/>
        <v/>
      </c>
      <c r="I3832" t="str">
        <f t="shared" si="419"/>
        <v/>
      </c>
    </row>
    <row r="3833" spans="1:9" x14ac:dyDescent="0.4">
      <c r="A3833" t="str">
        <f t="shared" si="413"/>
        <v/>
      </c>
      <c r="B3833" t="str">
        <f t="shared" si="414"/>
        <v/>
      </c>
      <c r="C3833" t="str">
        <f t="shared" si="415"/>
        <v/>
      </c>
      <c r="D3833" t="str">
        <f t="shared" si="416"/>
        <v/>
      </c>
      <c r="E3833" t="str">
        <f>IF(F3833="","",IF(COUNTIF($F$2:F3833,F3833)&gt;1,"",SUMIFS(tbl_input[필요수량],tbl_input[집계키_센터],F3833)))</f>
        <v/>
      </c>
      <c r="F3833" t="str">
        <f>IFERROR(INDEX(tbl_input[집계키_센터],ROW()-1),"")</f>
        <v/>
      </c>
      <c r="G3833" t="str">
        <f t="shared" si="417"/>
        <v/>
      </c>
      <c r="H3833" t="str">
        <f t="shared" si="418"/>
        <v/>
      </c>
      <c r="I3833" t="str">
        <f t="shared" si="419"/>
        <v/>
      </c>
    </row>
    <row r="3834" spans="1:9" x14ac:dyDescent="0.4">
      <c r="A3834" t="str">
        <f t="shared" si="413"/>
        <v/>
      </c>
      <c r="B3834" t="str">
        <f t="shared" si="414"/>
        <v/>
      </c>
      <c r="C3834" t="str">
        <f t="shared" si="415"/>
        <v/>
      </c>
      <c r="D3834" t="str">
        <f t="shared" si="416"/>
        <v/>
      </c>
      <c r="E3834" t="str">
        <f>IF(F3834="","",IF(COUNTIF($F$2:F3834,F3834)&gt;1,"",SUMIFS(tbl_input[필요수량],tbl_input[집계키_센터],F3834)))</f>
        <v/>
      </c>
      <c r="F3834" t="str">
        <f>IFERROR(INDEX(tbl_input[집계키_센터],ROW()-1),"")</f>
        <v/>
      </c>
      <c r="G3834" t="str">
        <f t="shared" si="417"/>
        <v/>
      </c>
      <c r="H3834" t="str">
        <f t="shared" si="418"/>
        <v/>
      </c>
      <c r="I3834" t="str">
        <f t="shared" si="419"/>
        <v/>
      </c>
    </row>
    <row r="3835" spans="1:9" x14ac:dyDescent="0.4">
      <c r="A3835" t="str">
        <f t="shared" si="413"/>
        <v/>
      </c>
      <c r="B3835" t="str">
        <f t="shared" si="414"/>
        <v/>
      </c>
      <c r="C3835" t="str">
        <f t="shared" si="415"/>
        <v/>
      </c>
      <c r="D3835" t="str">
        <f t="shared" si="416"/>
        <v/>
      </c>
      <c r="E3835" t="str">
        <f>IF(F3835="","",IF(COUNTIF($F$2:F3835,F3835)&gt;1,"",SUMIFS(tbl_input[필요수량],tbl_input[집계키_센터],F3835)))</f>
        <v/>
      </c>
      <c r="F3835" t="str">
        <f>IFERROR(INDEX(tbl_input[집계키_센터],ROW()-1),"")</f>
        <v/>
      </c>
      <c r="G3835" t="str">
        <f t="shared" si="417"/>
        <v/>
      </c>
      <c r="H3835" t="str">
        <f t="shared" si="418"/>
        <v/>
      </c>
      <c r="I3835" t="str">
        <f t="shared" si="419"/>
        <v/>
      </c>
    </row>
    <row r="3836" spans="1:9" x14ac:dyDescent="0.4">
      <c r="A3836" t="str">
        <f t="shared" si="413"/>
        <v/>
      </c>
      <c r="B3836" t="str">
        <f t="shared" si="414"/>
        <v/>
      </c>
      <c r="C3836" t="str">
        <f t="shared" si="415"/>
        <v/>
      </c>
      <c r="D3836" t="str">
        <f t="shared" si="416"/>
        <v/>
      </c>
      <c r="E3836" t="str">
        <f>IF(F3836="","",IF(COUNTIF($F$2:F3836,F3836)&gt;1,"",SUMIFS(tbl_input[필요수량],tbl_input[집계키_센터],F3836)))</f>
        <v/>
      </c>
      <c r="F3836" t="str">
        <f>IFERROR(INDEX(tbl_input[집계키_센터],ROW()-1),"")</f>
        <v/>
      </c>
      <c r="G3836" t="str">
        <f t="shared" si="417"/>
        <v/>
      </c>
      <c r="H3836" t="str">
        <f t="shared" si="418"/>
        <v/>
      </c>
      <c r="I3836" t="str">
        <f t="shared" si="419"/>
        <v/>
      </c>
    </row>
    <row r="3837" spans="1:9" x14ac:dyDescent="0.4">
      <c r="A3837" t="str">
        <f t="shared" si="413"/>
        <v/>
      </c>
      <c r="B3837" t="str">
        <f t="shared" si="414"/>
        <v/>
      </c>
      <c r="C3837" t="str">
        <f t="shared" si="415"/>
        <v/>
      </c>
      <c r="D3837" t="str">
        <f t="shared" si="416"/>
        <v/>
      </c>
      <c r="E3837" t="str">
        <f>IF(F3837="","",IF(COUNTIF($F$2:F3837,F3837)&gt;1,"",SUMIFS(tbl_input[필요수량],tbl_input[집계키_센터],F3837)))</f>
        <v/>
      </c>
      <c r="F3837" t="str">
        <f>IFERROR(INDEX(tbl_input[집계키_센터],ROW()-1),"")</f>
        <v/>
      </c>
      <c r="G3837" t="str">
        <f t="shared" si="417"/>
        <v/>
      </c>
      <c r="H3837" t="str">
        <f t="shared" si="418"/>
        <v/>
      </c>
      <c r="I3837" t="str">
        <f t="shared" si="419"/>
        <v/>
      </c>
    </row>
    <row r="3838" spans="1:9" x14ac:dyDescent="0.4">
      <c r="A3838" t="str">
        <f t="shared" si="413"/>
        <v/>
      </c>
      <c r="B3838" t="str">
        <f t="shared" si="414"/>
        <v/>
      </c>
      <c r="C3838" t="str">
        <f t="shared" si="415"/>
        <v/>
      </c>
      <c r="D3838" t="str">
        <f t="shared" si="416"/>
        <v/>
      </c>
      <c r="E3838" t="str">
        <f>IF(F3838="","",IF(COUNTIF($F$2:F3838,F3838)&gt;1,"",SUMIFS(tbl_input[필요수량],tbl_input[집계키_센터],F3838)))</f>
        <v/>
      </c>
      <c r="F3838" t="str">
        <f>IFERROR(INDEX(tbl_input[집계키_센터],ROW()-1),"")</f>
        <v/>
      </c>
      <c r="G3838" t="str">
        <f t="shared" si="417"/>
        <v/>
      </c>
      <c r="H3838" t="str">
        <f t="shared" si="418"/>
        <v/>
      </c>
      <c r="I3838" t="str">
        <f t="shared" si="419"/>
        <v/>
      </c>
    </row>
    <row r="3839" spans="1:9" x14ac:dyDescent="0.4">
      <c r="A3839" t="str">
        <f t="shared" si="413"/>
        <v/>
      </c>
      <c r="B3839" t="str">
        <f t="shared" si="414"/>
        <v/>
      </c>
      <c r="C3839" t="str">
        <f t="shared" si="415"/>
        <v/>
      </c>
      <c r="D3839" t="str">
        <f t="shared" si="416"/>
        <v/>
      </c>
      <c r="E3839" t="str">
        <f>IF(F3839="","",IF(COUNTIF($F$2:F3839,F3839)&gt;1,"",SUMIFS(tbl_input[필요수량],tbl_input[집계키_센터],F3839)))</f>
        <v/>
      </c>
      <c r="F3839" t="str">
        <f>IFERROR(INDEX(tbl_input[집계키_센터],ROW()-1),"")</f>
        <v/>
      </c>
      <c r="G3839" t="str">
        <f t="shared" si="417"/>
        <v/>
      </c>
      <c r="H3839" t="str">
        <f t="shared" si="418"/>
        <v/>
      </c>
      <c r="I3839" t="str">
        <f t="shared" si="419"/>
        <v/>
      </c>
    </row>
    <row r="3840" spans="1:9" x14ac:dyDescent="0.4">
      <c r="A3840" t="str">
        <f t="shared" si="413"/>
        <v/>
      </c>
      <c r="B3840" t="str">
        <f t="shared" si="414"/>
        <v/>
      </c>
      <c r="C3840" t="str">
        <f t="shared" si="415"/>
        <v/>
      </c>
      <c r="D3840" t="str">
        <f t="shared" si="416"/>
        <v/>
      </c>
      <c r="E3840" t="str">
        <f>IF(F3840="","",IF(COUNTIF($F$2:F3840,F3840)&gt;1,"",SUMIFS(tbl_input[필요수량],tbl_input[집계키_센터],F3840)))</f>
        <v/>
      </c>
      <c r="F3840" t="str">
        <f>IFERROR(INDEX(tbl_input[집계키_센터],ROW()-1),"")</f>
        <v/>
      </c>
      <c r="G3840" t="str">
        <f t="shared" si="417"/>
        <v/>
      </c>
      <c r="H3840" t="str">
        <f t="shared" si="418"/>
        <v/>
      </c>
      <c r="I3840" t="str">
        <f t="shared" si="419"/>
        <v/>
      </c>
    </row>
    <row r="3841" spans="1:9" x14ac:dyDescent="0.4">
      <c r="A3841" t="str">
        <f t="shared" si="413"/>
        <v/>
      </c>
      <c r="B3841" t="str">
        <f t="shared" si="414"/>
        <v/>
      </c>
      <c r="C3841" t="str">
        <f t="shared" si="415"/>
        <v/>
      </c>
      <c r="D3841" t="str">
        <f t="shared" si="416"/>
        <v/>
      </c>
      <c r="E3841" t="str">
        <f>IF(F3841="","",IF(COUNTIF($F$2:F3841,F3841)&gt;1,"",SUMIFS(tbl_input[필요수량],tbl_input[집계키_센터],F3841)))</f>
        <v/>
      </c>
      <c r="F3841" t="str">
        <f>IFERROR(INDEX(tbl_input[집계키_센터],ROW()-1),"")</f>
        <v/>
      </c>
      <c r="G3841" t="str">
        <f t="shared" si="417"/>
        <v/>
      </c>
      <c r="H3841" t="str">
        <f t="shared" si="418"/>
        <v/>
      </c>
      <c r="I3841" t="str">
        <f t="shared" si="419"/>
        <v/>
      </c>
    </row>
    <row r="3842" spans="1:9" x14ac:dyDescent="0.4">
      <c r="A3842" t="str">
        <f t="shared" ref="A3842:A3905" si="420">IF(F3842="","",LEFT(F3842,G3842-1))</f>
        <v/>
      </c>
      <c r="B3842" t="str">
        <f t="shared" ref="B3842:B3905" si="421">IF(F3842="","",MID(F3842,G3842+1,H3842-G3842-1))</f>
        <v/>
      </c>
      <c r="C3842" t="str">
        <f t="shared" ref="C3842:C3905" si="422">IF(F3842="","",MID(F3842,H3842+1,I3842-H3842-1))</f>
        <v/>
      </c>
      <c r="D3842" t="str">
        <f t="shared" ref="D3842:D3905" si="423">IF(F3842="","",MID(F3842,I3842+1,999))</f>
        <v/>
      </c>
      <c r="E3842" t="str">
        <f>IF(F3842="","",IF(COUNTIF($F$2:F3842,F3842)&gt;1,"",SUMIFS(tbl_input[필요수량],tbl_input[집계키_센터],F3842)))</f>
        <v/>
      </c>
      <c r="F3842" t="str">
        <f>IFERROR(INDEX(tbl_input[집계키_센터],ROW()-1),"")</f>
        <v/>
      </c>
      <c r="G3842" t="str">
        <f t="shared" ref="G3842:G3905" si="424">IF(F3842="","",FIND("♦",F3842))</f>
        <v/>
      </c>
      <c r="H3842" t="str">
        <f t="shared" ref="H3842:H3905" si="425">IF(F3842="","",FIND("♦",F3842,G3842+1))</f>
        <v/>
      </c>
      <c r="I3842" t="str">
        <f t="shared" ref="I3842:I3905" si="426">IF(F3842="","",FIND("♦",F3842,H3842+1))</f>
        <v/>
      </c>
    </row>
    <row r="3843" spans="1:9" x14ac:dyDescent="0.4">
      <c r="A3843" t="str">
        <f t="shared" si="420"/>
        <v/>
      </c>
      <c r="B3843" t="str">
        <f t="shared" si="421"/>
        <v/>
      </c>
      <c r="C3843" t="str">
        <f t="shared" si="422"/>
        <v/>
      </c>
      <c r="D3843" t="str">
        <f t="shared" si="423"/>
        <v/>
      </c>
      <c r="E3843" t="str">
        <f>IF(F3843="","",IF(COUNTIF($F$2:F3843,F3843)&gt;1,"",SUMIFS(tbl_input[필요수량],tbl_input[집계키_센터],F3843)))</f>
        <v/>
      </c>
      <c r="F3843" t="str">
        <f>IFERROR(INDEX(tbl_input[집계키_센터],ROW()-1),"")</f>
        <v/>
      </c>
      <c r="G3843" t="str">
        <f t="shared" si="424"/>
        <v/>
      </c>
      <c r="H3843" t="str">
        <f t="shared" si="425"/>
        <v/>
      </c>
      <c r="I3843" t="str">
        <f t="shared" si="426"/>
        <v/>
      </c>
    </row>
    <row r="3844" spans="1:9" x14ac:dyDescent="0.4">
      <c r="A3844" t="str">
        <f t="shared" si="420"/>
        <v/>
      </c>
      <c r="B3844" t="str">
        <f t="shared" si="421"/>
        <v/>
      </c>
      <c r="C3844" t="str">
        <f t="shared" si="422"/>
        <v/>
      </c>
      <c r="D3844" t="str">
        <f t="shared" si="423"/>
        <v/>
      </c>
      <c r="E3844" t="str">
        <f>IF(F3844="","",IF(COUNTIF($F$2:F3844,F3844)&gt;1,"",SUMIFS(tbl_input[필요수량],tbl_input[집계키_센터],F3844)))</f>
        <v/>
      </c>
      <c r="F3844" t="str">
        <f>IFERROR(INDEX(tbl_input[집계키_센터],ROW()-1),"")</f>
        <v/>
      </c>
      <c r="G3844" t="str">
        <f t="shared" si="424"/>
        <v/>
      </c>
      <c r="H3844" t="str">
        <f t="shared" si="425"/>
        <v/>
      </c>
      <c r="I3844" t="str">
        <f t="shared" si="426"/>
        <v/>
      </c>
    </row>
    <row r="3845" spans="1:9" x14ac:dyDescent="0.4">
      <c r="A3845" t="str">
        <f t="shared" si="420"/>
        <v/>
      </c>
      <c r="B3845" t="str">
        <f t="shared" si="421"/>
        <v/>
      </c>
      <c r="C3845" t="str">
        <f t="shared" si="422"/>
        <v/>
      </c>
      <c r="D3845" t="str">
        <f t="shared" si="423"/>
        <v/>
      </c>
      <c r="E3845" t="str">
        <f>IF(F3845="","",IF(COUNTIF($F$2:F3845,F3845)&gt;1,"",SUMIFS(tbl_input[필요수량],tbl_input[집계키_센터],F3845)))</f>
        <v/>
      </c>
      <c r="F3845" t="str">
        <f>IFERROR(INDEX(tbl_input[집계키_센터],ROW()-1),"")</f>
        <v/>
      </c>
      <c r="G3845" t="str">
        <f t="shared" si="424"/>
        <v/>
      </c>
      <c r="H3845" t="str">
        <f t="shared" si="425"/>
        <v/>
      </c>
      <c r="I3845" t="str">
        <f t="shared" si="426"/>
        <v/>
      </c>
    </row>
    <row r="3846" spans="1:9" x14ac:dyDescent="0.4">
      <c r="A3846" t="str">
        <f t="shared" si="420"/>
        <v/>
      </c>
      <c r="B3846" t="str">
        <f t="shared" si="421"/>
        <v/>
      </c>
      <c r="C3846" t="str">
        <f t="shared" si="422"/>
        <v/>
      </c>
      <c r="D3846" t="str">
        <f t="shared" si="423"/>
        <v/>
      </c>
      <c r="E3846" t="str">
        <f>IF(F3846="","",IF(COUNTIF($F$2:F3846,F3846)&gt;1,"",SUMIFS(tbl_input[필요수량],tbl_input[집계키_센터],F3846)))</f>
        <v/>
      </c>
      <c r="F3846" t="str">
        <f>IFERROR(INDEX(tbl_input[집계키_센터],ROW()-1),"")</f>
        <v/>
      </c>
      <c r="G3846" t="str">
        <f t="shared" si="424"/>
        <v/>
      </c>
      <c r="H3846" t="str">
        <f t="shared" si="425"/>
        <v/>
      </c>
      <c r="I3846" t="str">
        <f t="shared" si="426"/>
        <v/>
      </c>
    </row>
    <row r="3847" spans="1:9" x14ac:dyDescent="0.4">
      <c r="A3847" t="str">
        <f t="shared" si="420"/>
        <v/>
      </c>
      <c r="B3847" t="str">
        <f t="shared" si="421"/>
        <v/>
      </c>
      <c r="C3847" t="str">
        <f t="shared" si="422"/>
        <v/>
      </c>
      <c r="D3847" t="str">
        <f t="shared" si="423"/>
        <v/>
      </c>
      <c r="E3847" t="str">
        <f>IF(F3847="","",IF(COUNTIF($F$2:F3847,F3847)&gt;1,"",SUMIFS(tbl_input[필요수량],tbl_input[집계키_센터],F3847)))</f>
        <v/>
      </c>
      <c r="F3847" t="str">
        <f>IFERROR(INDEX(tbl_input[집계키_센터],ROW()-1),"")</f>
        <v/>
      </c>
      <c r="G3847" t="str">
        <f t="shared" si="424"/>
        <v/>
      </c>
      <c r="H3847" t="str">
        <f t="shared" si="425"/>
        <v/>
      </c>
      <c r="I3847" t="str">
        <f t="shared" si="426"/>
        <v/>
      </c>
    </row>
    <row r="3848" spans="1:9" x14ac:dyDescent="0.4">
      <c r="A3848" t="str">
        <f t="shared" si="420"/>
        <v/>
      </c>
      <c r="B3848" t="str">
        <f t="shared" si="421"/>
        <v/>
      </c>
      <c r="C3848" t="str">
        <f t="shared" si="422"/>
        <v/>
      </c>
      <c r="D3848" t="str">
        <f t="shared" si="423"/>
        <v/>
      </c>
      <c r="E3848" t="str">
        <f>IF(F3848="","",IF(COUNTIF($F$2:F3848,F3848)&gt;1,"",SUMIFS(tbl_input[필요수량],tbl_input[집계키_센터],F3848)))</f>
        <v/>
      </c>
      <c r="F3848" t="str">
        <f>IFERROR(INDEX(tbl_input[집계키_센터],ROW()-1),"")</f>
        <v/>
      </c>
      <c r="G3848" t="str">
        <f t="shared" si="424"/>
        <v/>
      </c>
      <c r="H3848" t="str">
        <f t="shared" si="425"/>
        <v/>
      </c>
      <c r="I3848" t="str">
        <f t="shared" si="426"/>
        <v/>
      </c>
    </row>
    <row r="3849" spans="1:9" x14ac:dyDescent="0.4">
      <c r="A3849" t="str">
        <f t="shared" si="420"/>
        <v/>
      </c>
      <c r="B3849" t="str">
        <f t="shared" si="421"/>
        <v/>
      </c>
      <c r="C3849" t="str">
        <f t="shared" si="422"/>
        <v/>
      </c>
      <c r="D3849" t="str">
        <f t="shared" si="423"/>
        <v/>
      </c>
      <c r="E3849" t="str">
        <f>IF(F3849="","",IF(COUNTIF($F$2:F3849,F3849)&gt;1,"",SUMIFS(tbl_input[필요수량],tbl_input[집계키_센터],F3849)))</f>
        <v/>
      </c>
      <c r="F3849" t="str">
        <f>IFERROR(INDEX(tbl_input[집계키_센터],ROW()-1),"")</f>
        <v/>
      </c>
      <c r="G3849" t="str">
        <f t="shared" si="424"/>
        <v/>
      </c>
      <c r="H3849" t="str">
        <f t="shared" si="425"/>
        <v/>
      </c>
      <c r="I3849" t="str">
        <f t="shared" si="426"/>
        <v/>
      </c>
    </row>
    <row r="3850" spans="1:9" x14ac:dyDescent="0.4">
      <c r="A3850" t="str">
        <f t="shared" si="420"/>
        <v/>
      </c>
      <c r="B3850" t="str">
        <f t="shared" si="421"/>
        <v/>
      </c>
      <c r="C3850" t="str">
        <f t="shared" si="422"/>
        <v/>
      </c>
      <c r="D3850" t="str">
        <f t="shared" si="423"/>
        <v/>
      </c>
      <c r="E3850" t="str">
        <f>IF(F3850="","",IF(COUNTIF($F$2:F3850,F3850)&gt;1,"",SUMIFS(tbl_input[필요수량],tbl_input[집계키_센터],F3850)))</f>
        <v/>
      </c>
      <c r="F3850" t="str">
        <f>IFERROR(INDEX(tbl_input[집계키_센터],ROW()-1),"")</f>
        <v/>
      </c>
      <c r="G3850" t="str">
        <f t="shared" si="424"/>
        <v/>
      </c>
      <c r="H3850" t="str">
        <f t="shared" si="425"/>
        <v/>
      </c>
      <c r="I3850" t="str">
        <f t="shared" si="426"/>
        <v/>
      </c>
    </row>
    <row r="3851" spans="1:9" x14ac:dyDescent="0.4">
      <c r="A3851" t="str">
        <f t="shared" si="420"/>
        <v/>
      </c>
      <c r="B3851" t="str">
        <f t="shared" si="421"/>
        <v/>
      </c>
      <c r="C3851" t="str">
        <f t="shared" si="422"/>
        <v/>
      </c>
      <c r="D3851" t="str">
        <f t="shared" si="423"/>
        <v/>
      </c>
      <c r="E3851" t="str">
        <f>IF(F3851="","",IF(COUNTIF($F$2:F3851,F3851)&gt;1,"",SUMIFS(tbl_input[필요수량],tbl_input[집계키_센터],F3851)))</f>
        <v/>
      </c>
      <c r="F3851" t="str">
        <f>IFERROR(INDEX(tbl_input[집계키_센터],ROW()-1),"")</f>
        <v/>
      </c>
      <c r="G3851" t="str">
        <f t="shared" si="424"/>
        <v/>
      </c>
      <c r="H3851" t="str">
        <f t="shared" si="425"/>
        <v/>
      </c>
      <c r="I3851" t="str">
        <f t="shared" si="426"/>
        <v/>
      </c>
    </row>
    <row r="3852" spans="1:9" x14ac:dyDescent="0.4">
      <c r="A3852" t="str">
        <f t="shared" si="420"/>
        <v/>
      </c>
      <c r="B3852" t="str">
        <f t="shared" si="421"/>
        <v/>
      </c>
      <c r="C3852" t="str">
        <f t="shared" si="422"/>
        <v/>
      </c>
      <c r="D3852" t="str">
        <f t="shared" si="423"/>
        <v/>
      </c>
      <c r="E3852" t="str">
        <f>IF(F3852="","",IF(COUNTIF($F$2:F3852,F3852)&gt;1,"",SUMIFS(tbl_input[필요수량],tbl_input[집계키_센터],F3852)))</f>
        <v/>
      </c>
      <c r="F3852" t="str">
        <f>IFERROR(INDEX(tbl_input[집계키_센터],ROW()-1),"")</f>
        <v/>
      </c>
      <c r="G3852" t="str">
        <f t="shared" si="424"/>
        <v/>
      </c>
      <c r="H3852" t="str">
        <f t="shared" si="425"/>
        <v/>
      </c>
      <c r="I3852" t="str">
        <f t="shared" si="426"/>
        <v/>
      </c>
    </row>
    <row r="3853" spans="1:9" x14ac:dyDescent="0.4">
      <c r="A3853" t="str">
        <f t="shared" si="420"/>
        <v/>
      </c>
      <c r="B3853" t="str">
        <f t="shared" si="421"/>
        <v/>
      </c>
      <c r="C3853" t="str">
        <f t="shared" si="422"/>
        <v/>
      </c>
      <c r="D3853" t="str">
        <f t="shared" si="423"/>
        <v/>
      </c>
      <c r="E3853" t="str">
        <f>IF(F3853="","",IF(COUNTIF($F$2:F3853,F3853)&gt;1,"",SUMIFS(tbl_input[필요수량],tbl_input[집계키_센터],F3853)))</f>
        <v/>
      </c>
      <c r="F3853" t="str">
        <f>IFERROR(INDEX(tbl_input[집계키_센터],ROW()-1),"")</f>
        <v/>
      </c>
      <c r="G3853" t="str">
        <f t="shared" si="424"/>
        <v/>
      </c>
      <c r="H3853" t="str">
        <f t="shared" si="425"/>
        <v/>
      </c>
      <c r="I3853" t="str">
        <f t="shared" si="426"/>
        <v/>
      </c>
    </row>
    <row r="3854" spans="1:9" x14ac:dyDescent="0.4">
      <c r="A3854" t="str">
        <f t="shared" si="420"/>
        <v/>
      </c>
      <c r="B3854" t="str">
        <f t="shared" si="421"/>
        <v/>
      </c>
      <c r="C3854" t="str">
        <f t="shared" si="422"/>
        <v/>
      </c>
      <c r="D3854" t="str">
        <f t="shared" si="423"/>
        <v/>
      </c>
      <c r="E3854" t="str">
        <f>IF(F3854="","",IF(COUNTIF($F$2:F3854,F3854)&gt;1,"",SUMIFS(tbl_input[필요수량],tbl_input[집계키_센터],F3854)))</f>
        <v/>
      </c>
      <c r="F3854" t="str">
        <f>IFERROR(INDEX(tbl_input[집계키_센터],ROW()-1),"")</f>
        <v/>
      </c>
      <c r="G3854" t="str">
        <f t="shared" si="424"/>
        <v/>
      </c>
      <c r="H3854" t="str">
        <f t="shared" si="425"/>
        <v/>
      </c>
      <c r="I3854" t="str">
        <f t="shared" si="426"/>
        <v/>
      </c>
    </row>
    <row r="3855" spans="1:9" x14ac:dyDescent="0.4">
      <c r="A3855" t="str">
        <f t="shared" si="420"/>
        <v/>
      </c>
      <c r="B3855" t="str">
        <f t="shared" si="421"/>
        <v/>
      </c>
      <c r="C3855" t="str">
        <f t="shared" si="422"/>
        <v/>
      </c>
      <c r="D3855" t="str">
        <f t="shared" si="423"/>
        <v/>
      </c>
      <c r="E3855" t="str">
        <f>IF(F3855="","",IF(COUNTIF($F$2:F3855,F3855)&gt;1,"",SUMIFS(tbl_input[필요수량],tbl_input[집계키_센터],F3855)))</f>
        <v/>
      </c>
      <c r="F3855" t="str">
        <f>IFERROR(INDEX(tbl_input[집계키_센터],ROW()-1),"")</f>
        <v/>
      </c>
      <c r="G3855" t="str">
        <f t="shared" si="424"/>
        <v/>
      </c>
      <c r="H3855" t="str">
        <f t="shared" si="425"/>
        <v/>
      </c>
      <c r="I3855" t="str">
        <f t="shared" si="426"/>
        <v/>
      </c>
    </row>
    <row r="3856" spans="1:9" x14ac:dyDescent="0.4">
      <c r="A3856" t="str">
        <f t="shared" si="420"/>
        <v/>
      </c>
      <c r="B3856" t="str">
        <f t="shared" si="421"/>
        <v/>
      </c>
      <c r="C3856" t="str">
        <f t="shared" si="422"/>
        <v/>
      </c>
      <c r="D3856" t="str">
        <f t="shared" si="423"/>
        <v/>
      </c>
      <c r="E3856" t="str">
        <f>IF(F3856="","",IF(COUNTIF($F$2:F3856,F3856)&gt;1,"",SUMIFS(tbl_input[필요수량],tbl_input[집계키_센터],F3856)))</f>
        <v/>
      </c>
      <c r="F3856" t="str">
        <f>IFERROR(INDEX(tbl_input[집계키_센터],ROW()-1),"")</f>
        <v/>
      </c>
      <c r="G3856" t="str">
        <f t="shared" si="424"/>
        <v/>
      </c>
      <c r="H3856" t="str">
        <f t="shared" si="425"/>
        <v/>
      </c>
      <c r="I3856" t="str">
        <f t="shared" si="426"/>
        <v/>
      </c>
    </row>
    <row r="3857" spans="1:9" x14ac:dyDescent="0.4">
      <c r="A3857" t="str">
        <f t="shared" si="420"/>
        <v/>
      </c>
      <c r="B3857" t="str">
        <f t="shared" si="421"/>
        <v/>
      </c>
      <c r="C3857" t="str">
        <f t="shared" si="422"/>
        <v/>
      </c>
      <c r="D3857" t="str">
        <f t="shared" si="423"/>
        <v/>
      </c>
      <c r="E3857" t="str">
        <f>IF(F3857="","",IF(COUNTIF($F$2:F3857,F3857)&gt;1,"",SUMIFS(tbl_input[필요수량],tbl_input[집계키_센터],F3857)))</f>
        <v/>
      </c>
      <c r="F3857" t="str">
        <f>IFERROR(INDEX(tbl_input[집계키_센터],ROW()-1),"")</f>
        <v/>
      </c>
      <c r="G3857" t="str">
        <f t="shared" si="424"/>
        <v/>
      </c>
      <c r="H3857" t="str">
        <f t="shared" si="425"/>
        <v/>
      </c>
      <c r="I3857" t="str">
        <f t="shared" si="426"/>
        <v/>
      </c>
    </row>
    <row r="3858" spans="1:9" x14ac:dyDescent="0.4">
      <c r="A3858" t="str">
        <f t="shared" si="420"/>
        <v/>
      </c>
      <c r="B3858" t="str">
        <f t="shared" si="421"/>
        <v/>
      </c>
      <c r="C3858" t="str">
        <f t="shared" si="422"/>
        <v/>
      </c>
      <c r="D3858" t="str">
        <f t="shared" si="423"/>
        <v/>
      </c>
      <c r="E3858" t="str">
        <f>IF(F3858="","",IF(COUNTIF($F$2:F3858,F3858)&gt;1,"",SUMIFS(tbl_input[필요수량],tbl_input[집계키_센터],F3858)))</f>
        <v/>
      </c>
      <c r="F3858" t="str">
        <f>IFERROR(INDEX(tbl_input[집계키_센터],ROW()-1),"")</f>
        <v/>
      </c>
      <c r="G3858" t="str">
        <f t="shared" si="424"/>
        <v/>
      </c>
      <c r="H3858" t="str">
        <f t="shared" si="425"/>
        <v/>
      </c>
      <c r="I3858" t="str">
        <f t="shared" si="426"/>
        <v/>
      </c>
    </row>
    <row r="3859" spans="1:9" x14ac:dyDescent="0.4">
      <c r="A3859" t="str">
        <f t="shared" si="420"/>
        <v/>
      </c>
      <c r="B3859" t="str">
        <f t="shared" si="421"/>
        <v/>
      </c>
      <c r="C3859" t="str">
        <f t="shared" si="422"/>
        <v/>
      </c>
      <c r="D3859" t="str">
        <f t="shared" si="423"/>
        <v/>
      </c>
      <c r="E3859" t="str">
        <f>IF(F3859="","",IF(COUNTIF($F$2:F3859,F3859)&gt;1,"",SUMIFS(tbl_input[필요수량],tbl_input[집계키_센터],F3859)))</f>
        <v/>
      </c>
      <c r="F3859" t="str">
        <f>IFERROR(INDEX(tbl_input[집계키_센터],ROW()-1),"")</f>
        <v/>
      </c>
      <c r="G3859" t="str">
        <f t="shared" si="424"/>
        <v/>
      </c>
      <c r="H3859" t="str">
        <f t="shared" si="425"/>
        <v/>
      </c>
      <c r="I3859" t="str">
        <f t="shared" si="426"/>
        <v/>
      </c>
    </row>
    <row r="3860" spans="1:9" x14ac:dyDescent="0.4">
      <c r="A3860" t="str">
        <f t="shared" si="420"/>
        <v/>
      </c>
      <c r="B3860" t="str">
        <f t="shared" si="421"/>
        <v/>
      </c>
      <c r="C3860" t="str">
        <f t="shared" si="422"/>
        <v/>
      </c>
      <c r="D3860" t="str">
        <f t="shared" si="423"/>
        <v/>
      </c>
      <c r="E3860" t="str">
        <f>IF(F3860="","",IF(COUNTIF($F$2:F3860,F3860)&gt;1,"",SUMIFS(tbl_input[필요수량],tbl_input[집계키_센터],F3860)))</f>
        <v/>
      </c>
      <c r="F3860" t="str">
        <f>IFERROR(INDEX(tbl_input[집계키_센터],ROW()-1),"")</f>
        <v/>
      </c>
      <c r="G3860" t="str">
        <f t="shared" si="424"/>
        <v/>
      </c>
      <c r="H3860" t="str">
        <f t="shared" si="425"/>
        <v/>
      </c>
      <c r="I3860" t="str">
        <f t="shared" si="426"/>
        <v/>
      </c>
    </row>
    <row r="3861" spans="1:9" x14ac:dyDescent="0.4">
      <c r="A3861" t="str">
        <f t="shared" si="420"/>
        <v/>
      </c>
      <c r="B3861" t="str">
        <f t="shared" si="421"/>
        <v/>
      </c>
      <c r="C3861" t="str">
        <f t="shared" si="422"/>
        <v/>
      </c>
      <c r="D3861" t="str">
        <f t="shared" si="423"/>
        <v/>
      </c>
      <c r="E3861" t="str">
        <f>IF(F3861="","",IF(COUNTIF($F$2:F3861,F3861)&gt;1,"",SUMIFS(tbl_input[필요수량],tbl_input[집계키_센터],F3861)))</f>
        <v/>
      </c>
      <c r="F3861" t="str">
        <f>IFERROR(INDEX(tbl_input[집계키_센터],ROW()-1),"")</f>
        <v/>
      </c>
      <c r="G3861" t="str">
        <f t="shared" si="424"/>
        <v/>
      </c>
      <c r="H3861" t="str">
        <f t="shared" si="425"/>
        <v/>
      </c>
      <c r="I3861" t="str">
        <f t="shared" si="426"/>
        <v/>
      </c>
    </row>
    <row r="3862" spans="1:9" x14ac:dyDescent="0.4">
      <c r="A3862" t="str">
        <f t="shared" si="420"/>
        <v/>
      </c>
      <c r="B3862" t="str">
        <f t="shared" si="421"/>
        <v/>
      </c>
      <c r="C3862" t="str">
        <f t="shared" si="422"/>
        <v/>
      </c>
      <c r="D3862" t="str">
        <f t="shared" si="423"/>
        <v/>
      </c>
      <c r="E3862" t="str">
        <f>IF(F3862="","",IF(COUNTIF($F$2:F3862,F3862)&gt;1,"",SUMIFS(tbl_input[필요수량],tbl_input[집계키_센터],F3862)))</f>
        <v/>
      </c>
      <c r="F3862" t="str">
        <f>IFERROR(INDEX(tbl_input[집계키_센터],ROW()-1),"")</f>
        <v/>
      </c>
      <c r="G3862" t="str">
        <f t="shared" si="424"/>
        <v/>
      </c>
      <c r="H3862" t="str">
        <f t="shared" si="425"/>
        <v/>
      </c>
      <c r="I3862" t="str">
        <f t="shared" si="426"/>
        <v/>
      </c>
    </row>
    <row r="3863" spans="1:9" x14ac:dyDescent="0.4">
      <c r="A3863" t="str">
        <f t="shared" si="420"/>
        <v/>
      </c>
      <c r="B3863" t="str">
        <f t="shared" si="421"/>
        <v/>
      </c>
      <c r="C3863" t="str">
        <f t="shared" si="422"/>
        <v/>
      </c>
      <c r="D3863" t="str">
        <f t="shared" si="423"/>
        <v/>
      </c>
      <c r="E3863" t="str">
        <f>IF(F3863="","",IF(COUNTIF($F$2:F3863,F3863)&gt;1,"",SUMIFS(tbl_input[필요수량],tbl_input[집계키_센터],F3863)))</f>
        <v/>
      </c>
      <c r="F3863" t="str">
        <f>IFERROR(INDEX(tbl_input[집계키_센터],ROW()-1),"")</f>
        <v/>
      </c>
      <c r="G3863" t="str">
        <f t="shared" si="424"/>
        <v/>
      </c>
      <c r="H3863" t="str">
        <f t="shared" si="425"/>
        <v/>
      </c>
      <c r="I3863" t="str">
        <f t="shared" si="426"/>
        <v/>
      </c>
    </row>
    <row r="3864" spans="1:9" x14ac:dyDescent="0.4">
      <c r="A3864" t="str">
        <f t="shared" si="420"/>
        <v/>
      </c>
      <c r="B3864" t="str">
        <f t="shared" si="421"/>
        <v/>
      </c>
      <c r="C3864" t="str">
        <f t="shared" si="422"/>
        <v/>
      </c>
      <c r="D3864" t="str">
        <f t="shared" si="423"/>
        <v/>
      </c>
      <c r="E3864" t="str">
        <f>IF(F3864="","",IF(COUNTIF($F$2:F3864,F3864)&gt;1,"",SUMIFS(tbl_input[필요수량],tbl_input[집계키_센터],F3864)))</f>
        <v/>
      </c>
      <c r="F3864" t="str">
        <f>IFERROR(INDEX(tbl_input[집계키_센터],ROW()-1),"")</f>
        <v/>
      </c>
      <c r="G3864" t="str">
        <f t="shared" si="424"/>
        <v/>
      </c>
      <c r="H3864" t="str">
        <f t="shared" si="425"/>
        <v/>
      </c>
      <c r="I3864" t="str">
        <f t="shared" si="426"/>
        <v/>
      </c>
    </row>
    <row r="3865" spans="1:9" x14ac:dyDescent="0.4">
      <c r="A3865" t="str">
        <f t="shared" si="420"/>
        <v/>
      </c>
      <c r="B3865" t="str">
        <f t="shared" si="421"/>
        <v/>
      </c>
      <c r="C3865" t="str">
        <f t="shared" si="422"/>
        <v/>
      </c>
      <c r="D3865" t="str">
        <f t="shared" si="423"/>
        <v/>
      </c>
      <c r="E3865" t="str">
        <f>IF(F3865="","",IF(COUNTIF($F$2:F3865,F3865)&gt;1,"",SUMIFS(tbl_input[필요수량],tbl_input[집계키_센터],F3865)))</f>
        <v/>
      </c>
      <c r="F3865" t="str">
        <f>IFERROR(INDEX(tbl_input[집계키_센터],ROW()-1),"")</f>
        <v/>
      </c>
      <c r="G3865" t="str">
        <f t="shared" si="424"/>
        <v/>
      </c>
      <c r="H3865" t="str">
        <f t="shared" si="425"/>
        <v/>
      </c>
      <c r="I3865" t="str">
        <f t="shared" si="426"/>
        <v/>
      </c>
    </row>
    <row r="3866" spans="1:9" x14ac:dyDescent="0.4">
      <c r="A3866" t="str">
        <f t="shared" si="420"/>
        <v/>
      </c>
      <c r="B3866" t="str">
        <f t="shared" si="421"/>
        <v/>
      </c>
      <c r="C3866" t="str">
        <f t="shared" si="422"/>
        <v/>
      </c>
      <c r="D3866" t="str">
        <f t="shared" si="423"/>
        <v/>
      </c>
      <c r="E3866" t="str">
        <f>IF(F3866="","",IF(COUNTIF($F$2:F3866,F3866)&gt;1,"",SUMIFS(tbl_input[필요수량],tbl_input[집계키_센터],F3866)))</f>
        <v/>
      </c>
      <c r="F3866" t="str">
        <f>IFERROR(INDEX(tbl_input[집계키_센터],ROW()-1),"")</f>
        <v/>
      </c>
      <c r="G3866" t="str">
        <f t="shared" si="424"/>
        <v/>
      </c>
      <c r="H3866" t="str">
        <f t="shared" si="425"/>
        <v/>
      </c>
      <c r="I3866" t="str">
        <f t="shared" si="426"/>
        <v/>
      </c>
    </row>
    <row r="3867" spans="1:9" x14ac:dyDescent="0.4">
      <c r="A3867" t="str">
        <f t="shared" si="420"/>
        <v/>
      </c>
      <c r="B3867" t="str">
        <f t="shared" si="421"/>
        <v/>
      </c>
      <c r="C3867" t="str">
        <f t="shared" si="422"/>
        <v/>
      </c>
      <c r="D3867" t="str">
        <f t="shared" si="423"/>
        <v/>
      </c>
      <c r="E3867" t="str">
        <f>IF(F3867="","",IF(COUNTIF($F$2:F3867,F3867)&gt;1,"",SUMIFS(tbl_input[필요수량],tbl_input[집계키_센터],F3867)))</f>
        <v/>
      </c>
      <c r="F3867" t="str">
        <f>IFERROR(INDEX(tbl_input[집계키_센터],ROW()-1),"")</f>
        <v/>
      </c>
      <c r="G3867" t="str">
        <f t="shared" si="424"/>
        <v/>
      </c>
      <c r="H3867" t="str">
        <f t="shared" si="425"/>
        <v/>
      </c>
      <c r="I3867" t="str">
        <f t="shared" si="426"/>
        <v/>
      </c>
    </row>
    <row r="3868" spans="1:9" x14ac:dyDescent="0.4">
      <c r="A3868" t="str">
        <f t="shared" si="420"/>
        <v/>
      </c>
      <c r="B3868" t="str">
        <f t="shared" si="421"/>
        <v/>
      </c>
      <c r="C3868" t="str">
        <f t="shared" si="422"/>
        <v/>
      </c>
      <c r="D3868" t="str">
        <f t="shared" si="423"/>
        <v/>
      </c>
      <c r="E3868" t="str">
        <f>IF(F3868="","",IF(COUNTIF($F$2:F3868,F3868)&gt;1,"",SUMIFS(tbl_input[필요수량],tbl_input[집계키_센터],F3868)))</f>
        <v/>
      </c>
      <c r="F3868" t="str">
        <f>IFERROR(INDEX(tbl_input[집계키_센터],ROW()-1),"")</f>
        <v/>
      </c>
      <c r="G3868" t="str">
        <f t="shared" si="424"/>
        <v/>
      </c>
      <c r="H3868" t="str">
        <f t="shared" si="425"/>
        <v/>
      </c>
      <c r="I3868" t="str">
        <f t="shared" si="426"/>
        <v/>
      </c>
    </row>
    <row r="3869" spans="1:9" x14ac:dyDescent="0.4">
      <c r="A3869" t="str">
        <f t="shared" si="420"/>
        <v/>
      </c>
      <c r="B3869" t="str">
        <f t="shared" si="421"/>
        <v/>
      </c>
      <c r="C3869" t="str">
        <f t="shared" si="422"/>
        <v/>
      </c>
      <c r="D3869" t="str">
        <f t="shared" si="423"/>
        <v/>
      </c>
      <c r="E3869" t="str">
        <f>IF(F3869="","",IF(COUNTIF($F$2:F3869,F3869)&gt;1,"",SUMIFS(tbl_input[필요수량],tbl_input[집계키_센터],F3869)))</f>
        <v/>
      </c>
      <c r="F3869" t="str">
        <f>IFERROR(INDEX(tbl_input[집계키_센터],ROW()-1),"")</f>
        <v/>
      </c>
      <c r="G3869" t="str">
        <f t="shared" si="424"/>
        <v/>
      </c>
      <c r="H3869" t="str">
        <f t="shared" si="425"/>
        <v/>
      </c>
      <c r="I3869" t="str">
        <f t="shared" si="426"/>
        <v/>
      </c>
    </row>
    <row r="3870" spans="1:9" x14ac:dyDescent="0.4">
      <c r="A3870" t="str">
        <f t="shared" si="420"/>
        <v/>
      </c>
      <c r="B3870" t="str">
        <f t="shared" si="421"/>
        <v/>
      </c>
      <c r="C3870" t="str">
        <f t="shared" si="422"/>
        <v/>
      </c>
      <c r="D3870" t="str">
        <f t="shared" si="423"/>
        <v/>
      </c>
      <c r="E3870" t="str">
        <f>IF(F3870="","",IF(COUNTIF($F$2:F3870,F3870)&gt;1,"",SUMIFS(tbl_input[필요수량],tbl_input[집계키_센터],F3870)))</f>
        <v/>
      </c>
      <c r="F3870" t="str">
        <f>IFERROR(INDEX(tbl_input[집계키_센터],ROW()-1),"")</f>
        <v/>
      </c>
      <c r="G3870" t="str">
        <f t="shared" si="424"/>
        <v/>
      </c>
      <c r="H3870" t="str">
        <f t="shared" si="425"/>
        <v/>
      </c>
      <c r="I3870" t="str">
        <f t="shared" si="426"/>
        <v/>
      </c>
    </row>
    <row r="3871" spans="1:9" x14ac:dyDescent="0.4">
      <c r="A3871" t="str">
        <f t="shared" si="420"/>
        <v/>
      </c>
      <c r="B3871" t="str">
        <f t="shared" si="421"/>
        <v/>
      </c>
      <c r="C3871" t="str">
        <f t="shared" si="422"/>
        <v/>
      </c>
      <c r="D3871" t="str">
        <f t="shared" si="423"/>
        <v/>
      </c>
      <c r="E3871" t="str">
        <f>IF(F3871="","",IF(COUNTIF($F$2:F3871,F3871)&gt;1,"",SUMIFS(tbl_input[필요수량],tbl_input[집계키_센터],F3871)))</f>
        <v/>
      </c>
      <c r="F3871" t="str">
        <f>IFERROR(INDEX(tbl_input[집계키_센터],ROW()-1),"")</f>
        <v/>
      </c>
      <c r="G3871" t="str">
        <f t="shared" si="424"/>
        <v/>
      </c>
      <c r="H3871" t="str">
        <f t="shared" si="425"/>
        <v/>
      </c>
      <c r="I3871" t="str">
        <f t="shared" si="426"/>
        <v/>
      </c>
    </row>
    <row r="3872" spans="1:9" x14ac:dyDescent="0.4">
      <c r="A3872" t="str">
        <f t="shared" si="420"/>
        <v/>
      </c>
      <c r="B3872" t="str">
        <f t="shared" si="421"/>
        <v/>
      </c>
      <c r="C3872" t="str">
        <f t="shared" si="422"/>
        <v/>
      </c>
      <c r="D3872" t="str">
        <f t="shared" si="423"/>
        <v/>
      </c>
      <c r="E3872" t="str">
        <f>IF(F3872="","",IF(COUNTIF($F$2:F3872,F3872)&gt;1,"",SUMIFS(tbl_input[필요수량],tbl_input[집계키_센터],F3872)))</f>
        <v/>
      </c>
      <c r="F3872" t="str">
        <f>IFERROR(INDEX(tbl_input[집계키_센터],ROW()-1),"")</f>
        <v/>
      </c>
      <c r="G3872" t="str">
        <f t="shared" si="424"/>
        <v/>
      </c>
      <c r="H3872" t="str">
        <f t="shared" si="425"/>
        <v/>
      </c>
      <c r="I3872" t="str">
        <f t="shared" si="426"/>
        <v/>
      </c>
    </row>
    <row r="3873" spans="1:9" x14ac:dyDescent="0.4">
      <c r="A3873" t="str">
        <f t="shared" si="420"/>
        <v/>
      </c>
      <c r="B3873" t="str">
        <f t="shared" si="421"/>
        <v/>
      </c>
      <c r="C3873" t="str">
        <f t="shared" si="422"/>
        <v/>
      </c>
      <c r="D3873" t="str">
        <f t="shared" si="423"/>
        <v/>
      </c>
      <c r="E3873" t="str">
        <f>IF(F3873="","",IF(COUNTIF($F$2:F3873,F3873)&gt;1,"",SUMIFS(tbl_input[필요수량],tbl_input[집계키_센터],F3873)))</f>
        <v/>
      </c>
      <c r="F3873" t="str">
        <f>IFERROR(INDEX(tbl_input[집계키_센터],ROW()-1),"")</f>
        <v/>
      </c>
      <c r="G3873" t="str">
        <f t="shared" si="424"/>
        <v/>
      </c>
      <c r="H3873" t="str">
        <f t="shared" si="425"/>
        <v/>
      </c>
      <c r="I3873" t="str">
        <f t="shared" si="426"/>
        <v/>
      </c>
    </row>
    <row r="3874" spans="1:9" x14ac:dyDescent="0.4">
      <c r="A3874" t="str">
        <f t="shared" si="420"/>
        <v/>
      </c>
      <c r="B3874" t="str">
        <f t="shared" si="421"/>
        <v/>
      </c>
      <c r="C3874" t="str">
        <f t="shared" si="422"/>
        <v/>
      </c>
      <c r="D3874" t="str">
        <f t="shared" si="423"/>
        <v/>
      </c>
      <c r="E3874" t="str">
        <f>IF(F3874="","",IF(COUNTIF($F$2:F3874,F3874)&gt;1,"",SUMIFS(tbl_input[필요수량],tbl_input[집계키_센터],F3874)))</f>
        <v/>
      </c>
      <c r="F3874" t="str">
        <f>IFERROR(INDEX(tbl_input[집계키_센터],ROW()-1),"")</f>
        <v/>
      </c>
      <c r="G3874" t="str">
        <f t="shared" si="424"/>
        <v/>
      </c>
      <c r="H3874" t="str">
        <f t="shared" si="425"/>
        <v/>
      </c>
      <c r="I3874" t="str">
        <f t="shared" si="426"/>
        <v/>
      </c>
    </row>
    <row r="3875" spans="1:9" x14ac:dyDescent="0.4">
      <c r="A3875" t="str">
        <f t="shared" si="420"/>
        <v/>
      </c>
      <c r="B3875" t="str">
        <f t="shared" si="421"/>
        <v/>
      </c>
      <c r="C3875" t="str">
        <f t="shared" si="422"/>
        <v/>
      </c>
      <c r="D3875" t="str">
        <f t="shared" si="423"/>
        <v/>
      </c>
      <c r="E3875" t="str">
        <f>IF(F3875="","",IF(COUNTIF($F$2:F3875,F3875)&gt;1,"",SUMIFS(tbl_input[필요수량],tbl_input[집계키_센터],F3875)))</f>
        <v/>
      </c>
      <c r="F3875" t="str">
        <f>IFERROR(INDEX(tbl_input[집계키_센터],ROW()-1),"")</f>
        <v/>
      </c>
      <c r="G3875" t="str">
        <f t="shared" si="424"/>
        <v/>
      </c>
      <c r="H3875" t="str">
        <f t="shared" si="425"/>
        <v/>
      </c>
      <c r="I3875" t="str">
        <f t="shared" si="426"/>
        <v/>
      </c>
    </row>
    <row r="3876" spans="1:9" x14ac:dyDescent="0.4">
      <c r="A3876" t="str">
        <f t="shared" si="420"/>
        <v/>
      </c>
      <c r="B3876" t="str">
        <f t="shared" si="421"/>
        <v/>
      </c>
      <c r="C3876" t="str">
        <f t="shared" si="422"/>
        <v/>
      </c>
      <c r="D3876" t="str">
        <f t="shared" si="423"/>
        <v/>
      </c>
      <c r="E3876" t="str">
        <f>IF(F3876="","",IF(COUNTIF($F$2:F3876,F3876)&gt;1,"",SUMIFS(tbl_input[필요수량],tbl_input[집계키_센터],F3876)))</f>
        <v/>
      </c>
      <c r="F3876" t="str">
        <f>IFERROR(INDEX(tbl_input[집계키_센터],ROW()-1),"")</f>
        <v/>
      </c>
      <c r="G3876" t="str">
        <f t="shared" si="424"/>
        <v/>
      </c>
      <c r="H3876" t="str">
        <f t="shared" si="425"/>
        <v/>
      </c>
      <c r="I3876" t="str">
        <f t="shared" si="426"/>
        <v/>
      </c>
    </row>
    <row r="3877" spans="1:9" x14ac:dyDescent="0.4">
      <c r="A3877" t="str">
        <f t="shared" si="420"/>
        <v/>
      </c>
      <c r="B3877" t="str">
        <f t="shared" si="421"/>
        <v/>
      </c>
      <c r="C3877" t="str">
        <f t="shared" si="422"/>
        <v/>
      </c>
      <c r="D3877" t="str">
        <f t="shared" si="423"/>
        <v/>
      </c>
      <c r="E3877" t="str">
        <f>IF(F3877="","",IF(COUNTIF($F$2:F3877,F3877)&gt;1,"",SUMIFS(tbl_input[필요수량],tbl_input[집계키_센터],F3877)))</f>
        <v/>
      </c>
      <c r="F3877" t="str">
        <f>IFERROR(INDEX(tbl_input[집계키_센터],ROW()-1),"")</f>
        <v/>
      </c>
      <c r="G3877" t="str">
        <f t="shared" si="424"/>
        <v/>
      </c>
      <c r="H3877" t="str">
        <f t="shared" si="425"/>
        <v/>
      </c>
      <c r="I3877" t="str">
        <f t="shared" si="426"/>
        <v/>
      </c>
    </row>
    <row r="3878" spans="1:9" x14ac:dyDescent="0.4">
      <c r="A3878" t="str">
        <f t="shared" si="420"/>
        <v/>
      </c>
      <c r="B3878" t="str">
        <f t="shared" si="421"/>
        <v/>
      </c>
      <c r="C3878" t="str">
        <f t="shared" si="422"/>
        <v/>
      </c>
      <c r="D3878" t="str">
        <f t="shared" si="423"/>
        <v/>
      </c>
      <c r="E3878" t="str">
        <f>IF(F3878="","",IF(COUNTIF($F$2:F3878,F3878)&gt;1,"",SUMIFS(tbl_input[필요수량],tbl_input[집계키_센터],F3878)))</f>
        <v/>
      </c>
      <c r="F3878" t="str">
        <f>IFERROR(INDEX(tbl_input[집계키_센터],ROW()-1),"")</f>
        <v/>
      </c>
      <c r="G3878" t="str">
        <f t="shared" si="424"/>
        <v/>
      </c>
      <c r="H3878" t="str">
        <f t="shared" si="425"/>
        <v/>
      </c>
      <c r="I3878" t="str">
        <f t="shared" si="426"/>
        <v/>
      </c>
    </row>
    <row r="3879" spans="1:9" x14ac:dyDescent="0.4">
      <c r="A3879" t="str">
        <f t="shared" si="420"/>
        <v/>
      </c>
      <c r="B3879" t="str">
        <f t="shared" si="421"/>
        <v/>
      </c>
      <c r="C3879" t="str">
        <f t="shared" si="422"/>
        <v/>
      </c>
      <c r="D3879" t="str">
        <f t="shared" si="423"/>
        <v/>
      </c>
      <c r="E3879" t="str">
        <f>IF(F3879="","",IF(COUNTIF($F$2:F3879,F3879)&gt;1,"",SUMIFS(tbl_input[필요수량],tbl_input[집계키_센터],F3879)))</f>
        <v/>
      </c>
      <c r="F3879" t="str">
        <f>IFERROR(INDEX(tbl_input[집계키_센터],ROW()-1),"")</f>
        <v/>
      </c>
      <c r="G3879" t="str">
        <f t="shared" si="424"/>
        <v/>
      </c>
      <c r="H3879" t="str">
        <f t="shared" si="425"/>
        <v/>
      </c>
      <c r="I3879" t="str">
        <f t="shared" si="426"/>
        <v/>
      </c>
    </row>
    <row r="3880" spans="1:9" x14ac:dyDescent="0.4">
      <c r="A3880" t="str">
        <f t="shared" si="420"/>
        <v/>
      </c>
      <c r="B3880" t="str">
        <f t="shared" si="421"/>
        <v/>
      </c>
      <c r="C3880" t="str">
        <f t="shared" si="422"/>
        <v/>
      </c>
      <c r="D3880" t="str">
        <f t="shared" si="423"/>
        <v/>
      </c>
      <c r="E3880" t="str">
        <f>IF(F3880="","",IF(COUNTIF($F$2:F3880,F3880)&gt;1,"",SUMIFS(tbl_input[필요수량],tbl_input[집계키_센터],F3880)))</f>
        <v/>
      </c>
      <c r="F3880" t="str">
        <f>IFERROR(INDEX(tbl_input[집계키_센터],ROW()-1),"")</f>
        <v/>
      </c>
      <c r="G3880" t="str">
        <f t="shared" si="424"/>
        <v/>
      </c>
      <c r="H3880" t="str">
        <f t="shared" si="425"/>
        <v/>
      </c>
      <c r="I3880" t="str">
        <f t="shared" si="426"/>
        <v/>
      </c>
    </row>
    <row r="3881" spans="1:9" x14ac:dyDescent="0.4">
      <c r="A3881" t="str">
        <f t="shared" si="420"/>
        <v/>
      </c>
      <c r="B3881" t="str">
        <f t="shared" si="421"/>
        <v/>
      </c>
      <c r="C3881" t="str">
        <f t="shared" si="422"/>
        <v/>
      </c>
      <c r="D3881" t="str">
        <f t="shared" si="423"/>
        <v/>
      </c>
      <c r="E3881" t="str">
        <f>IF(F3881="","",IF(COUNTIF($F$2:F3881,F3881)&gt;1,"",SUMIFS(tbl_input[필요수량],tbl_input[집계키_센터],F3881)))</f>
        <v/>
      </c>
      <c r="F3881" t="str">
        <f>IFERROR(INDEX(tbl_input[집계키_센터],ROW()-1),"")</f>
        <v/>
      </c>
      <c r="G3881" t="str">
        <f t="shared" si="424"/>
        <v/>
      </c>
      <c r="H3881" t="str">
        <f t="shared" si="425"/>
        <v/>
      </c>
      <c r="I3881" t="str">
        <f t="shared" si="426"/>
        <v/>
      </c>
    </row>
    <row r="3882" spans="1:9" x14ac:dyDescent="0.4">
      <c r="A3882" t="str">
        <f t="shared" si="420"/>
        <v/>
      </c>
      <c r="B3882" t="str">
        <f t="shared" si="421"/>
        <v/>
      </c>
      <c r="C3882" t="str">
        <f t="shared" si="422"/>
        <v/>
      </c>
      <c r="D3882" t="str">
        <f t="shared" si="423"/>
        <v/>
      </c>
      <c r="E3882" t="str">
        <f>IF(F3882="","",IF(COUNTIF($F$2:F3882,F3882)&gt;1,"",SUMIFS(tbl_input[필요수량],tbl_input[집계키_센터],F3882)))</f>
        <v/>
      </c>
      <c r="F3882" t="str">
        <f>IFERROR(INDEX(tbl_input[집계키_센터],ROW()-1),"")</f>
        <v/>
      </c>
      <c r="G3882" t="str">
        <f t="shared" si="424"/>
        <v/>
      </c>
      <c r="H3882" t="str">
        <f t="shared" si="425"/>
        <v/>
      </c>
      <c r="I3882" t="str">
        <f t="shared" si="426"/>
        <v/>
      </c>
    </row>
    <row r="3883" spans="1:9" x14ac:dyDescent="0.4">
      <c r="A3883" t="str">
        <f t="shared" si="420"/>
        <v/>
      </c>
      <c r="B3883" t="str">
        <f t="shared" si="421"/>
        <v/>
      </c>
      <c r="C3883" t="str">
        <f t="shared" si="422"/>
        <v/>
      </c>
      <c r="D3883" t="str">
        <f t="shared" si="423"/>
        <v/>
      </c>
      <c r="E3883" t="str">
        <f>IF(F3883="","",IF(COUNTIF($F$2:F3883,F3883)&gt;1,"",SUMIFS(tbl_input[필요수량],tbl_input[집계키_센터],F3883)))</f>
        <v/>
      </c>
      <c r="F3883" t="str">
        <f>IFERROR(INDEX(tbl_input[집계키_센터],ROW()-1),"")</f>
        <v/>
      </c>
      <c r="G3883" t="str">
        <f t="shared" si="424"/>
        <v/>
      </c>
      <c r="H3883" t="str">
        <f t="shared" si="425"/>
        <v/>
      </c>
      <c r="I3883" t="str">
        <f t="shared" si="426"/>
        <v/>
      </c>
    </row>
    <row r="3884" spans="1:9" x14ac:dyDescent="0.4">
      <c r="A3884" t="str">
        <f t="shared" si="420"/>
        <v/>
      </c>
      <c r="B3884" t="str">
        <f t="shared" si="421"/>
        <v/>
      </c>
      <c r="C3884" t="str">
        <f t="shared" si="422"/>
        <v/>
      </c>
      <c r="D3884" t="str">
        <f t="shared" si="423"/>
        <v/>
      </c>
      <c r="E3884" t="str">
        <f>IF(F3884="","",IF(COUNTIF($F$2:F3884,F3884)&gt;1,"",SUMIFS(tbl_input[필요수량],tbl_input[집계키_센터],F3884)))</f>
        <v/>
      </c>
      <c r="F3884" t="str">
        <f>IFERROR(INDEX(tbl_input[집계키_센터],ROW()-1),"")</f>
        <v/>
      </c>
      <c r="G3884" t="str">
        <f t="shared" si="424"/>
        <v/>
      </c>
      <c r="H3884" t="str">
        <f t="shared" si="425"/>
        <v/>
      </c>
      <c r="I3884" t="str">
        <f t="shared" si="426"/>
        <v/>
      </c>
    </row>
    <row r="3885" spans="1:9" x14ac:dyDescent="0.4">
      <c r="A3885" t="str">
        <f t="shared" si="420"/>
        <v/>
      </c>
      <c r="B3885" t="str">
        <f t="shared" si="421"/>
        <v/>
      </c>
      <c r="C3885" t="str">
        <f t="shared" si="422"/>
        <v/>
      </c>
      <c r="D3885" t="str">
        <f t="shared" si="423"/>
        <v/>
      </c>
      <c r="E3885" t="str">
        <f>IF(F3885="","",IF(COUNTIF($F$2:F3885,F3885)&gt;1,"",SUMIFS(tbl_input[필요수량],tbl_input[집계키_센터],F3885)))</f>
        <v/>
      </c>
      <c r="F3885" t="str">
        <f>IFERROR(INDEX(tbl_input[집계키_센터],ROW()-1),"")</f>
        <v/>
      </c>
      <c r="G3885" t="str">
        <f t="shared" si="424"/>
        <v/>
      </c>
      <c r="H3885" t="str">
        <f t="shared" si="425"/>
        <v/>
      </c>
      <c r="I3885" t="str">
        <f t="shared" si="426"/>
        <v/>
      </c>
    </row>
    <row r="3886" spans="1:9" x14ac:dyDescent="0.4">
      <c r="A3886" t="str">
        <f t="shared" si="420"/>
        <v/>
      </c>
      <c r="B3886" t="str">
        <f t="shared" si="421"/>
        <v/>
      </c>
      <c r="C3886" t="str">
        <f t="shared" si="422"/>
        <v/>
      </c>
      <c r="D3886" t="str">
        <f t="shared" si="423"/>
        <v/>
      </c>
      <c r="E3886" t="str">
        <f>IF(F3886="","",IF(COUNTIF($F$2:F3886,F3886)&gt;1,"",SUMIFS(tbl_input[필요수량],tbl_input[집계키_센터],F3886)))</f>
        <v/>
      </c>
      <c r="F3886" t="str">
        <f>IFERROR(INDEX(tbl_input[집계키_센터],ROW()-1),"")</f>
        <v/>
      </c>
      <c r="G3886" t="str">
        <f t="shared" si="424"/>
        <v/>
      </c>
      <c r="H3886" t="str">
        <f t="shared" si="425"/>
        <v/>
      </c>
      <c r="I3886" t="str">
        <f t="shared" si="426"/>
        <v/>
      </c>
    </row>
    <row r="3887" spans="1:9" x14ac:dyDescent="0.4">
      <c r="A3887" t="str">
        <f t="shared" si="420"/>
        <v/>
      </c>
      <c r="B3887" t="str">
        <f t="shared" si="421"/>
        <v/>
      </c>
      <c r="C3887" t="str">
        <f t="shared" si="422"/>
        <v/>
      </c>
      <c r="D3887" t="str">
        <f t="shared" si="423"/>
        <v/>
      </c>
      <c r="E3887" t="str">
        <f>IF(F3887="","",IF(COUNTIF($F$2:F3887,F3887)&gt;1,"",SUMIFS(tbl_input[필요수량],tbl_input[집계키_센터],F3887)))</f>
        <v/>
      </c>
      <c r="F3887" t="str">
        <f>IFERROR(INDEX(tbl_input[집계키_센터],ROW()-1),"")</f>
        <v/>
      </c>
      <c r="G3887" t="str">
        <f t="shared" si="424"/>
        <v/>
      </c>
      <c r="H3887" t="str">
        <f t="shared" si="425"/>
        <v/>
      </c>
      <c r="I3887" t="str">
        <f t="shared" si="426"/>
        <v/>
      </c>
    </row>
    <row r="3888" spans="1:9" x14ac:dyDescent="0.4">
      <c r="A3888" t="str">
        <f t="shared" si="420"/>
        <v/>
      </c>
      <c r="B3888" t="str">
        <f t="shared" si="421"/>
        <v/>
      </c>
      <c r="C3888" t="str">
        <f t="shared" si="422"/>
        <v/>
      </c>
      <c r="D3888" t="str">
        <f t="shared" si="423"/>
        <v/>
      </c>
      <c r="E3888" t="str">
        <f>IF(F3888="","",IF(COUNTIF($F$2:F3888,F3888)&gt;1,"",SUMIFS(tbl_input[필요수량],tbl_input[집계키_센터],F3888)))</f>
        <v/>
      </c>
      <c r="F3888" t="str">
        <f>IFERROR(INDEX(tbl_input[집계키_센터],ROW()-1),"")</f>
        <v/>
      </c>
      <c r="G3888" t="str">
        <f t="shared" si="424"/>
        <v/>
      </c>
      <c r="H3888" t="str">
        <f t="shared" si="425"/>
        <v/>
      </c>
      <c r="I3888" t="str">
        <f t="shared" si="426"/>
        <v/>
      </c>
    </row>
    <row r="3889" spans="1:9" x14ac:dyDescent="0.4">
      <c r="A3889" t="str">
        <f t="shared" si="420"/>
        <v/>
      </c>
      <c r="B3889" t="str">
        <f t="shared" si="421"/>
        <v/>
      </c>
      <c r="C3889" t="str">
        <f t="shared" si="422"/>
        <v/>
      </c>
      <c r="D3889" t="str">
        <f t="shared" si="423"/>
        <v/>
      </c>
      <c r="E3889" t="str">
        <f>IF(F3889="","",IF(COUNTIF($F$2:F3889,F3889)&gt;1,"",SUMIFS(tbl_input[필요수량],tbl_input[집계키_센터],F3889)))</f>
        <v/>
      </c>
      <c r="F3889" t="str">
        <f>IFERROR(INDEX(tbl_input[집계키_센터],ROW()-1),"")</f>
        <v/>
      </c>
      <c r="G3889" t="str">
        <f t="shared" si="424"/>
        <v/>
      </c>
      <c r="H3889" t="str">
        <f t="shared" si="425"/>
        <v/>
      </c>
      <c r="I3889" t="str">
        <f t="shared" si="426"/>
        <v/>
      </c>
    </row>
    <row r="3890" spans="1:9" x14ac:dyDescent="0.4">
      <c r="A3890" t="str">
        <f t="shared" si="420"/>
        <v/>
      </c>
      <c r="B3890" t="str">
        <f t="shared" si="421"/>
        <v/>
      </c>
      <c r="C3890" t="str">
        <f t="shared" si="422"/>
        <v/>
      </c>
      <c r="D3890" t="str">
        <f t="shared" si="423"/>
        <v/>
      </c>
      <c r="E3890" t="str">
        <f>IF(F3890="","",IF(COUNTIF($F$2:F3890,F3890)&gt;1,"",SUMIFS(tbl_input[필요수량],tbl_input[집계키_센터],F3890)))</f>
        <v/>
      </c>
      <c r="F3890" t="str">
        <f>IFERROR(INDEX(tbl_input[집계키_센터],ROW()-1),"")</f>
        <v/>
      </c>
      <c r="G3890" t="str">
        <f t="shared" si="424"/>
        <v/>
      </c>
      <c r="H3890" t="str">
        <f t="shared" si="425"/>
        <v/>
      </c>
      <c r="I3890" t="str">
        <f t="shared" si="426"/>
        <v/>
      </c>
    </row>
    <row r="3891" spans="1:9" x14ac:dyDescent="0.4">
      <c r="A3891" t="str">
        <f t="shared" si="420"/>
        <v/>
      </c>
      <c r="B3891" t="str">
        <f t="shared" si="421"/>
        <v/>
      </c>
      <c r="C3891" t="str">
        <f t="shared" si="422"/>
        <v/>
      </c>
      <c r="D3891" t="str">
        <f t="shared" si="423"/>
        <v/>
      </c>
      <c r="E3891" t="str">
        <f>IF(F3891="","",IF(COUNTIF($F$2:F3891,F3891)&gt;1,"",SUMIFS(tbl_input[필요수량],tbl_input[집계키_센터],F3891)))</f>
        <v/>
      </c>
      <c r="F3891" t="str">
        <f>IFERROR(INDEX(tbl_input[집계키_센터],ROW()-1),"")</f>
        <v/>
      </c>
      <c r="G3891" t="str">
        <f t="shared" si="424"/>
        <v/>
      </c>
      <c r="H3891" t="str">
        <f t="shared" si="425"/>
        <v/>
      </c>
      <c r="I3891" t="str">
        <f t="shared" si="426"/>
        <v/>
      </c>
    </row>
    <row r="3892" spans="1:9" x14ac:dyDescent="0.4">
      <c r="A3892" t="str">
        <f t="shared" si="420"/>
        <v/>
      </c>
      <c r="B3892" t="str">
        <f t="shared" si="421"/>
        <v/>
      </c>
      <c r="C3892" t="str">
        <f t="shared" si="422"/>
        <v/>
      </c>
      <c r="D3892" t="str">
        <f t="shared" si="423"/>
        <v/>
      </c>
      <c r="E3892" t="str">
        <f>IF(F3892="","",IF(COUNTIF($F$2:F3892,F3892)&gt;1,"",SUMIFS(tbl_input[필요수량],tbl_input[집계키_센터],F3892)))</f>
        <v/>
      </c>
      <c r="F3892" t="str">
        <f>IFERROR(INDEX(tbl_input[집계키_센터],ROW()-1),"")</f>
        <v/>
      </c>
      <c r="G3892" t="str">
        <f t="shared" si="424"/>
        <v/>
      </c>
      <c r="H3892" t="str">
        <f t="shared" si="425"/>
        <v/>
      </c>
      <c r="I3892" t="str">
        <f t="shared" si="426"/>
        <v/>
      </c>
    </row>
    <row r="3893" spans="1:9" x14ac:dyDescent="0.4">
      <c r="A3893" t="str">
        <f t="shared" si="420"/>
        <v/>
      </c>
      <c r="B3893" t="str">
        <f t="shared" si="421"/>
        <v/>
      </c>
      <c r="C3893" t="str">
        <f t="shared" si="422"/>
        <v/>
      </c>
      <c r="D3893" t="str">
        <f t="shared" si="423"/>
        <v/>
      </c>
      <c r="E3893" t="str">
        <f>IF(F3893="","",IF(COUNTIF($F$2:F3893,F3893)&gt;1,"",SUMIFS(tbl_input[필요수량],tbl_input[집계키_센터],F3893)))</f>
        <v/>
      </c>
      <c r="F3893" t="str">
        <f>IFERROR(INDEX(tbl_input[집계키_센터],ROW()-1),"")</f>
        <v/>
      </c>
      <c r="G3893" t="str">
        <f t="shared" si="424"/>
        <v/>
      </c>
      <c r="H3893" t="str">
        <f t="shared" si="425"/>
        <v/>
      </c>
      <c r="I3893" t="str">
        <f t="shared" si="426"/>
        <v/>
      </c>
    </row>
    <row r="3894" spans="1:9" x14ac:dyDescent="0.4">
      <c r="A3894" t="str">
        <f t="shared" si="420"/>
        <v/>
      </c>
      <c r="B3894" t="str">
        <f t="shared" si="421"/>
        <v/>
      </c>
      <c r="C3894" t="str">
        <f t="shared" si="422"/>
        <v/>
      </c>
      <c r="D3894" t="str">
        <f t="shared" si="423"/>
        <v/>
      </c>
      <c r="E3894" t="str">
        <f>IF(F3894="","",IF(COUNTIF($F$2:F3894,F3894)&gt;1,"",SUMIFS(tbl_input[필요수량],tbl_input[집계키_센터],F3894)))</f>
        <v/>
      </c>
      <c r="F3894" t="str">
        <f>IFERROR(INDEX(tbl_input[집계키_센터],ROW()-1),"")</f>
        <v/>
      </c>
      <c r="G3894" t="str">
        <f t="shared" si="424"/>
        <v/>
      </c>
      <c r="H3894" t="str">
        <f t="shared" si="425"/>
        <v/>
      </c>
      <c r="I3894" t="str">
        <f t="shared" si="426"/>
        <v/>
      </c>
    </row>
    <row r="3895" spans="1:9" x14ac:dyDescent="0.4">
      <c r="A3895" t="str">
        <f t="shared" si="420"/>
        <v/>
      </c>
      <c r="B3895" t="str">
        <f t="shared" si="421"/>
        <v/>
      </c>
      <c r="C3895" t="str">
        <f t="shared" si="422"/>
        <v/>
      </c>
      <c r="D3895" t="str">
        <f t="shared" si="423"/>
        <v/>
      </c>
      <c r="E3895" t="str">
        <f>IF(F3895="","",IF(COUNTIF($F$2:F3895,F3895)&gt;1,"",SUMIFS(tbl_input[필요수량],tbl_input[집계키_센터],F3895)))</f>
        <v/>
      </c>
      <c r="F3895" t="str">
        <f>IFERROR(INDEX(tbl_input[집계키_센터],ROW()-1),"")</f>
        <v/>
      </c>
      <c r="G3895" t="str">
        <f t="shared" si="424"/>
        <v/>
      </c>
      <c r="H3895" t="str">
        <f t="shared" si="425"/>
        <v/>
      </c>
      <c r="I3895" t="str">
        <f t="shared" si="426"/>
        <v/>
      </c>
    </row>
    <row r="3896" spans="1:9" x14ac:dyDescent="0.4">
      <c r="A3896" t="str">
        <f t="shared" si="420"/>
        <v/>
      </c>
      <c r="B3896" t="str">
        <f t="shared" si="421"/>
        <v/>
      </c>
      <c r="C3896" t="str">
        <f t="shared" si="422"/>
        <v/>
      </c>
      <c r="D3896" t="str">
        <f t="shared" si="423"/>
        <v/>
      </c>
      <c r="E3896" t="str">
        <f>IF(F3896="","",IF(COUNTIF($F$2:F3896,F3896)&gt;1,"",SUMIFS(tbl_input[필요수량],tbl_input[집계키_센터],F3896)))</f>
        <v/>
      </c>
      <c r="F3896" t="str">
        <f>IFERROR(INDEX(tbl_input[집계키_센터],ROW()-1),"")</f>
        <v/>
      </c>
      <c r="G3896" t="str">
        <f t="shared" si="424"/>
        <v/>
      </c>
      <c r="H3896" t="str">
        <f t="shared" si="425"/>
        <v/>
      </c>
      <c r="I3896" t="str">
        <f t="shared" si="426"/>
        <v/>
      </c>
    </row>
    <row r="3897" spans="1:9" x14ac:dyDescent="0.4">
      <c r="A3897" t="str">
        <f t="shared" si="420"/>
        <v/>
      </c>
      <c r="B3897" t="str">
        <f t="shared" si="421"/>
        <v/>
      </c>
      <c r="C3897" t="str">
        <f t="shared" si="422"/>
        <v/>
      </c>
      <c r="D3897" t="str">
        <f t="shared" si="423"/>
        <v/>
      </c>
      <c r="E3897" t="str">
        <f>IF(F3897="","",IF(COUNTIF($F$2:F3897,F3897)&gt;1,"",SUMIFS(tbl_input[필요수량],tbl_input[집계키_센터],F3897)))</f>
        <v/>
      </c>
      <c r="F3897" t="str">
        <f>IFERROR(INDEX(tbl_input[집계키_센터],ROW()-1),"")</f>
        <v/>
      </c>
      <c r="G3897" t="str">
        <f t="shared" si="424"/>
        <v/>
      </c>
      <c r="H3897" t="str">
        <f t="shared" si="425"/>
        <v/>
      </c>
      <c r="I3897" t="str">
        <f t="shared" si="426"/>
        <v/>
      </c>
    </row>
    <row r="3898" spans="1:9" x14ac:dyDescent="0.4">
      <c r="A3898" t="str">
        <f t="shared" si="420"/>
        <v/>
      </c>
      <c r="B3898" t="str">
        <f t="shared" si="421"/>
        <v/>
      </c>
      <c r="C3898" t="str">
        <f t="shared" si="422"/>
        <v/>
      </c>
      <c r="D3898" t="str">
        <f t="shared" si="423"/>
        <v/>
      </c>
      <c r="E3898" t="str">
        <f>IF(F3898="","",IF(COUNTIF($F$2:F3898,F3898)&gt;1,"",SUMIFS(tbl_input[필요수량],tbl_input[집계키_센터],F3898)))</f>
        <v/>
      </c>
      <c r="F3898" t="str">
        <f>IFERROR(INDEX(tbl_input[집계키_센터],ROW()-1),"")</f>
        <v/>
      </c>
      <c r="G3898" t="str">
        <f t="shared" si="424"/>
        <v/>
      </c>
      <c r="H3898" t="str">
        <f t="shared" si="425"/>
        <v/>
      </c>
      <c r="I3898" t="str">
        <f t="shared" si="426"/>
        <v/>
      </c>
    </row>
    <row r="3899" spans="1:9" x14ac:dyDescent="0.4">
      <c r="A3899" t="str">
        <f t="shared" si="420"/>
        <v/>
      </c>
      <c r="B3899" t="str">
        <f t="shared" si="421"/>
        <v/>
      </c>
      <c r="C3899" t="str">
        <f t="shared" si="422"/>
        <v/>
      </c>
      <c r="D3899" t="str">
        <f t="shared" si="423"/>
        <v/>
      </c>
      <c r="E3899" t="str">
        <f>IF(F3899="","",IF(COUNTIF($F$2:F3899,F3899)&gt;1,"",SUMIFS(tbl_input[필요수량],tbl_input[집계키_센터],F3899)))</f>
        <v/>
      </c>
      <c r="F3899" t="str">
        <f>IFERROR(INDEX(tbl_input[집계키_센터],ROW()-1),"")</f>
        <v/>
      </c>
      <c r="G3899" t="str">
        <f t="shared" si="424"/>
        <v/>
      </c>
      <c r="H3899" t="str">
        <f t="shared" si="425"/>
        <v/>
      </c>
      <c r="I3899" t="str">
        <f t="shared" si="426"/>
        <v/>
      </c>
    </row>
    <row r="3900" spans="1:9" x14ac:dyDescent="0.4">
      <c r="A3900" t="str">
        <f t="shared" si="420"/>
        <v/>
      </c>
      <c r="B3900" t="str">
        <f t="shared" si="421"/>
        <v/>
      </c>
      <c r="C3900" t="str">
        <f t="shared" si="422"/>
        <v/>
      </c>
      <c r="D3900" t="str">
        <f t="shared" si="423"/>
        <v/>
      </c>
      <c r="E3900" t="str">
        <f>IF(F3900="","",IF(COUNTIF($F$2:F3900,F3900)&gt;1,"",SUMIFS(tbl_input[필요수량],tbl_input[집계키_센터],F3900)))</f>
        <v/>
      </c>
      <c r="F3900" t="str">
        <f>IFERROR(INDEX(tbl_input[집계키_센터],ROW()-1),"")</f>
        <v/>
      </c>
      <c r="G3900" t="str">
        <f t="shared" si="424"/>
        <v/>
      </c>
      <c r="H3900" t="str">
        <f t="shared" si="425"/>
        <v/>
      </c>
      <c r="I3900" t="str">
        <f t="shared" si="426"/>
        <v/>
      </c>
    </row>
    <row r="3901" spans="1:9" x14ac:dyDescent="0.4">
      <c r="A3901" t="str">
        <f t="shared" si="420"/>
        <v/>
      </c>
      <c r="B3901" t="str">
        <f t="shared" si="421"/>
        <v/>
      </c>
      <c r="C3901" t="str">
        <f t="shared" si="422"/>
        <v/>
      </c>
      <c r="D3901" t="str">
        <f t="shared" si="423"/>
        <v/>
      </c>
      <c r="E3901" t="str">
        <f>IF(F3901="","",IF(COUNTIF($F$2:F3901,F3901)&gt;1,"",SUMIFS(tbl_input[필요수량],tbl_input[집계키_센터],F3901)))</f>
        <v/>
      </c>
      <c r="F3901" t="str">
        <f>IFERROR(INDEX(tbl_input[집계키_센터],ROW()-1),"")</f>
        <v/>
      </c>
      <c r="G3901" t="str">
        <f t="shared" si="424"/>
        <v/>
      </c>
      <c r="H3901" t="str">
        <f t="shared" si="425"/>
        <v/>
      </c>
      <c r="I3901" t="str">
        <f t="shared" si="426"/>
        <v/>
      </c>
    </row>
    <row r="3902" spans="1:9" x14ac:dyDescent="0.4">
      <c r="A3902" t="str">
        <f t="shared" si="420"/>
        <v/>
      </c>
      <c r="B3902" t="str">
        <f t="shared" si="421"/>
        <v/>
      </c>
      <c r="C3902" t="str">
        <f t="shared" si="422"/>
        <v/>
      </c>
      <c r="D3902" t="str">
        <f t="shared" si="423"/>
        <v/>
      </c>
      <c r="E3902" t="str">
        <f>IF(F3902="","",IF(COUNTIF($F$2:F3902,F3902)&gt;1,"",SUMIFS(tbl_input[필요수량],tbl_input[집계키_센터],F3902)))</f>
        <v/>
      </c>
      <c r="F3902" t="str">
        <f>IFERROR(INDEX(tbl_input[집계키_센터],ROW()-1),"")</f>
        <v/>
      </c>
      <c r="G3902" t="str">
        <f t="shared" si="424"/>
        <v/>
      </c>
      <c r="H3902" t="str">
        <f t="shared" si="425"/>
        <v/>
      </c>
      <c r="I3902" t="str">
        <f t="shared" si="426"/>
        <v/>
      </c>
    </row>
    <row r="3903" spans="1:9" x14ac:dyDescent="0.4">
      <c r="A3903" t="str">
        <f t="shared" si="420"/>
        <v/>
      </c>
      <c r="B3903" t="str">
        <f t="shared" si="421"/>
        <v/>
      </c>
      <c r="C3903" t="str">
        <f t="shared" si="422"/>
        <v/>
      </c>
      <c r="D3903" t="str">
        <f t="shared" si="423"/>
        <v/>
      </c>
      <c r="E3903" t="str">
        <f>IF(F3903="","",IF(COUNTIF($F$2:F3903,F3903)&gt;1,"",SUMIFS(tbl_input[필요수량],tbl_input[집계키_센터],F3903)))</f>
        <v/>
      </c>
      <c r="F3903" t="str">
        <f>IFERROR(INDEX(tbl_input[집계키_센터],ROW()-1),"")</f>
        <v/>
      </c>
      <c r="G3903" t="str">
        <f t="shared" si="424"/>
        <v/>
      </c>
      <c r="H3903" t="str">
        <f t="shared" si="425"/>
        <v/>
      </c>
      <c r="I3903" t="str">
        <f t="shared" si="426"/>
        <v/>
      </c>
    </row>
    <row r="3904" spans="1:9" x14ac:dyDescent="0.4">
      <c r="A3904" t="str">
        <f t="shared" si="420"/>
        <v/>
      </c>
      <c r="B3904" t="str">
        <f t="shared" si="421"/>
        <v/>
      </c>
      <c r="C3904" t="str">
        <f t="shared" si="422"/>
        <v/>
      </c>
      <c r="D3904" t="str">
        <f t="shared" si="423"/>
        <v/>
      </c>
      <c r="E3904" t="str">
        <f>IF(F3904="","",IF(COUNTIF($F$2:F3904,F3904)&gt;1,"",SUMIFS(tbl_input[필요수량],tbl_input[집계키_센터],F3904)))</f>
        <v/>
      </c>
      <c r="F3904" t="str">
        <f>IFERROR(INDEX(tbl_input[집계키_센터],ROW()-1),"")</f>
        <v/>
      </c>
      <c r="G3904" t="str">
        <f t="shared" si="424"/>
        <v/>
      </c>
      <c r="H3904" t="str">
        <f t="shared" si="425"/>
        <v/>
      </c>
      <c r="I3904" t="str">
        <f t="shared" si="426"/>
        <v/>
      </c>
    </row>
    <row r="3905" spans="1:9" x14ac:dyDescent="0.4">
      <c r="A3905" t="str">
        <f t="shared" si="420"/>
        <v/>
      </c>
      <c r="B3905" t="str">
        <f t="shared" si="421"/>
        <v/>
      </c>
      <c r="C3905" t="str">
        <f t="shared" si="422"/>
        <v/>
      </c>
      <c r="D3905" t="str">
        <f t="shared" si="423"/>
        <v/>
      </c>
      <c r="E3905" t="str">
        <f>IF(F3905="","",IF(COUNTIF($F$2:F3905,F3905)&gt;1,"",SUMIFS(tbl_input[필요수량],tbl_input[집계키_센터],F3905)))</f>
        <v/>
      </c>
      <c r="F3905" t="str">
        <f>IFERROR(INDEX(tbl_input[집계키_센터],ROW()-1),"")</f>
        <v/>
      </c>
      <c r="G3905" t="str">
        <f t="shared" si="424"/>
        <v/>
      </c>
      <c r="H3905" t="str">
        <f t="shared" si="425"/>
        <v/>
      </c>
      <c r="I3905" t="str">
        <f t="shared" si="426"/>
        <v/>
      </c>
    </row>
    <row r="3906" spans="1:9" x14ac:dyDescent="0.4">
      <c r="A3906" t="str">
        <f t="shared" ref="A3906:A3969" si="427">IF(F3906="","",LEFT(F3906,G3906-1))</f>
        <v/>
      </c>
      <c r="B3906" t="str">
        <f t="shared" ref="B3906:B3969" si="428">IF(F3906="","",MID(F3906,G3906+1,H3906-G3906-1))</f>
        <v/>
      </c>
      <c r="C3906" t="str">
        <f t="shared" ref="C3906:C3969" si="429">IF(F3906="","",MID(F3906,H3906+1,I3906-H3906-1))</f>
        <v/>
      </c>
      <c r="D3906" t="str">
        <f t="shared" ref="D3906:D3969" si="430">IF(F3906="","",MID(F3906,I3906+1,999))</f>
        <v/>
      </c>
      <c r="E3906" t="str">
        <f>IF(F3906="","",IF(COUNTIF($F$2:F3906,F3906)&gt;1,"",SUMIFS(tbl_input[필요수량],tbl_input[집계키_센터],F3906)))</f>
        <v/>
      </c>
      <c r="F3906" t="str">
        <f>IFERROR(INDEX(tbl_input[집계키_센터],ROW()-1),"")</f>
        <v/>
      </c>
      <c r="G3906" t="str">
        <f t="shared" ref="G3906:G3969" si="431">IF(F3906="","",FIND("♦",F3906))</f>
        <v/>
      </c>
      <c r="H3906" t="str">
        <f t="shared" ref="H3906:H3969" si="432">IF(F3906="","",FIND("♦",F3906,G3906+1))</f>
        <v/>
      </c>
      <c r="I3906" t="str">
        <f t="shared" ref="I3906:I3969" si="433">IF(F3906="","",FIND("♦",F3906,H3906+1))</f>
        <v/>
      </c>
    </row>
    <row r="3907" spans="1:9" x14ac:dyDescent="0.4">
      <c r="A3907" t="str">
        <f t="shared" si="427"/>
        <v/>
      </c>
      <c r="B3907" t="str">
        <f t="shared" si="428"/>
        <v/>
      </c>
      <c r="C3907" t="str">
        <f t="shared" si="429"/>
        <v/>
      </c>
      <c r="D3907" t="str">
        <f t="shared" si="430"/>
        <v/>
      </c>
      <c r="E3907" t="str">
        <f>IF(F3907="","",IF(COUNTIF($F$2:F3907,F3907)&gt;1,"",SUMIFS(tbl_input[필요수량],tbl_input[집계키_센터],F3907)))</f>
        <v/>
      </c>
      <c r="F3907" t="str">
        <f>IFERROR(INDEX(tbl_input[집계키_센터],ROW()-1),"")</f>
        <v/>
      </c>
      <c r="G3907" t="str">
        <f t="shared" si="431"/>
        <v/>
      </c>
      <c r="H3907" t="str">
        <f t="shared" si="432"/>
        <v/>
      </c>
      <c r="I3907" t="str">
        <f t="shared" si="433"/>
        <v/>
      </c>
    </row>
    <row r="3908" spans="1:9" x14ac:dyDescent="0.4">
      <c r="A3908" t="str">
        <f t="shared" si="427"/>
        <v/>
      </c>
      <c r="B3908" t="str">
        <f t="shared" si="428"/>
        <v/>
      </c>
      <c r="C3908" t="str">
        <f t="shared" si="429"/>
        <v/>
      </c>
      <c r="D3908" t="str">
        <f t="shared" si="430"/>
        <v/>
      </c>
      <c r="E3908" t="str">
        <f>IF(F3908="","",IF(COUNTIF($F$2:F3908,F3908)&gt;1,"",SUMIFS(tbl_input[필요수량],tbl_input[집계키_센터],F3908)))</f>
        <v/>
      </c>
      <c r="F3908" t="str">
        <f>IFERROR(INDEX(tbl_input[집계키_센터],ROW()-1),"")</f>
        <v/>
      </c>
      <c r="G3908" t="str">
        <f t="shared" si="431"/>
        <v/>
      </c>
      <c r="H3908" t="str">
        <f t="shared" si="432"/>
        <v/>
      </c>
      <c r="I3908" t="str">
        <f t="shared" si="433"/>
        <v/>
      </c>
    </row>
    <row r="3909" spans="1:9" x14ac:dyDescent="0.4">
      <c r="A3909" t="str">
        <f t="shared" si="427"/>
        <v/>
      </c>
      <c r="B3909" t="str">
        <f t="shared" si="428"/>
        <v/>
      </c>
      <c r="C3909" t="str">
        <f t="shared" si="429"/>
        <v/>
      </c>
      <c r="D3909" t="str">
        <f t="shared" si="430"/>
        <v/>
      </c>
      <c r="E3909" t="str">
        <f>IF(F3909="","",IF(COUNTIF($F$2:F3909,F3909)&gt;1,"",SUMIFS(tbl_input[필요수량],tbl_input[집계키_센터],F3909)))</f>
        <v/>
      </c>
      <c r="F3909" t="str">
        <f>IFERROR(INDEX(tbl_input[집계키_센터],ROW()-1),"")</f>
        <v/>
      </c>
      <c r="G3909" t="str">
        <f t="shared" si="431"/>
        <v/>
      </c>
      <c r="H3909" t="str">
        <f t="shared" si="432"/>
        <v/>
      </c>
      <c r="I3909" t="str">
        <f t="shared" si="433"/>
        <v/>
      </c>
    </row>
    <row r="3910" spans="1:9" x14ac:dyDescent="0.4">
      <c r="A3910" t="str">
        <f t="shared" si="427"/>
        <v/>
      </c>
      <c r="B3910" t="str">
        <f t="shared" si="428"/>
        <v/>
      </c>
      <c r="C3910" t="str">
        <f t="shared" si="429"/>
        <v/>
      </c>
      <c r="D3910" t="str">
        <f t="shared" si="430"/>
        <v/>
      </c>
      <c r="E3910" t="str">
        <f>IF(F3910="","",IF(COUNTIF($F$2:F3910,F3910)&gt;1,"",SUMIFS(tbl_input[필요수량],tbl_input[집계키_센터],F3910)))</f>
        <v/>
      </c>
      <c r="F3910" t="str">
        <f>IFERROR(INDEX(tbl_input[집계키_센터],ROW()-1),"")</f>
        <v/>
      </c>
      <c r="G3910" t="str">
        <f t="shared" si="431"/>
        <v/>
      </c>
      <c r="H3910" t="str">
        <f t="shared" si="432"/>
        <v/>
      </c>
      <c r="I3910" t="str">
        <f t="shared" si="433"/>
        <v/>
      </c>
    </row>
    <row r="3911" spans="1:9" x14ac:dyDescent="0.4">
      <c r="A3911" t="str">
        <f t="shared" si="427"/>
        <v/>
      </c>
      <c r="B3911" t="str">
        <f t="shared" si="428"/>
        <v/>
      </c>
      <c r="C3911" t="str">
        <f t="shared" si="429"/>
        <v/>
      </c>
      <c r="D3911" t="str">
        <f t="shared" si="430"/>
        <v/>
      </c>
      <c r="E3911" t="str">
        <f>IF(F3911="","",IF(COUNTIF($F$2:F3911,F3911)&gt;1,"",SUMIFS(tbl_input[필요수량],tbl_input[집계키_센터],F3911)))</f>
        <v/>
      </c>
      <c r="F3911" t="str">
        <f>IFERROR(INDEX(tbl_input[집계키_센터],ROW()-1),"")</f>
        <v/>
      </c>
      <c r="G3911" t="str">
        <f t="shared" si="431"/>
        <v/>
      </c>
      <c r="H3911" t="str">
        <f t="shared" si="432"/>
        <v/>
      </c>
      <c r="I3911" t="str">
        <f t="shared" si="433"/>
        <v/>
      </c>
    </row>
    <row r="3912" spans="1:9" x14ac:dyDescent="0.4">
      <c r="A3912" t="str">
        <f t="shared" si="427"/>
        <v/>
      </c>
      <c r="B3912" t="str">
        <f t="shared" si="428"/>
        <v/>
      </c>
      <c r="C3912" t="str">
        <f t="shared" si="429"/>
        <v/>
      </c>
      <c r="D3912" t="str">
        <f t="shared" si="430"/>
        <v/>
      </c>
      <c r="E3912" t="str">
        <f>IF(F3912="","",IF(COUNTIF($F$2:F3912,F3912)&gt;1,"",SUMIFS(tbl_input[필요수량],tbl_input[집계키_센터],F3912)))</f>
        <v/>
      </c>
      <c r="F3912" t="str">
        <f>IFERROR(INDEX(tbl_input[집계키_센터],ROW()-1),"")</f>
        <v/>
      </c>
      <c r="G3912" t="str">
        <f t="shared" si="431"/>
        <v/>
      </c>
      <c r="H3912" t="str">
        <f t="shared" si="432"/>
        <v/>
      </c>
      <c r="I3912" t="str">
        <f t="shared" si="433"/>
        <v/>
      </c>
    </row>
    <row r="3913" spans="1:9" x14ac:dyDescent="0.4">
      <c r="A3913" t="str">
        <f t="shared" si="427"/>
        <v/>
      </c>
      <c r="B3913" t="str">
        <f t="shared" si="428"/>
        <v/>
      </c>
      <c r="C3913" t="str">
        <f t="shared" si="429"/>
        <v/>
      </c>
      <c r="D3913" t="str">
        <f t="shared" si="430"/>
        <v/>
      </c>
      <c r="E3913" t="str">
        <f>IF(F3913="","",IF(COUNTIF($F$2:F3913,F3913)&gt;1,"",SUMIFS(tbl_input[필요수량],tbl_input[집계키_센터],F3913)))</f>
        <v/>
      </c>
      <c r="F3913" t="str">
        <f>IFERROR(INDEX(tbl_input[집계키_센터],ROW()-1),"")</f>
        <v/>
      </c>
      <c r="G3913" t="str">
        <f t="shared" si="431"/>
        <v/>
      </c>
      <c r="H3913" t="str">
        <f t="shared" si="432"/>
        <v/>
      </c>
      <c r="I3913" t="str">
        <f t="shared" si="433"/>
        <v/>
      </c>
    </row>
    <row r="3914" spans="1:9" x14ac:dyDescent="0.4">
      <c r="A3914" t="str">
        <f t="shared" si="427"/>
        <v/>
      </c>
      <c r="B3914" t="str">
        <f t="shared" si="428"/>
        <v/>
      </c>
      <c r="C3914" t="str">
        <f t="shared" si="429"/>
        <v/>
      </c>
      <c r="D3914" t="str">
        <f t="shared" si="430"/>
        <v/>
      </c>
      <c r="E3914" t="str">
        <f>IF(F3914="","",IF(COUNTIF($F$2:F3914,F3914)&gt;1,"",SUMIFS(tbl_input[필요수량],tbl_input[집계키_센터],F3914)))</f>
        <v/>
      </c>
      <c r="F3914" t="str">
        <f>IFERROR(INDEX(tbl_input[집계키_센터],ROW()-1),"")</f>
        <v/>
      </c>
      <c r="G3914" t="str">
        <f t="shared" si="431"/>
        <v/>
      </c>
      <c r="H3914" t="str">
        <f t="shared" si="432"/>
        <v/>
      </c>
      <c r="I3914" t="str">
        <f t="shared" si="433"/>
        <v/>
      </c>
    </row>
    <row r="3915" spans="1:9" x14ac:dyDescent="0.4">
      <c r="A3915" t="str">
        <f t="shared" si="427"/>
        <v/>
      </c>
      <c r="B3915" t="str">
        <f t="shared" si="428"/>
        <v/>
      </c>
      <c r="C3915" t="str">
        <f t="shared" si="429"/>
        <v/>
      </c>
      <c r="D3915" t="str">
        <f t="shared" si="430"/>
        <v/>
      </c>
      <c r="E3915" t="str">
        <f>IF(F3915="","",IF(COUNTIF($F$2:F3915,F3915)&gt;1,"",SUMIFS(tbl_input[필요수량],tbl_input[집계키_센터],F3915)))</f>
        <v/>
      </c>
      <c r="F3915" t="str">
        <f>IFERROR(INDEX(tbl_input[집계키_센터],ROW()-1),"")</f>
        <v/>
      </c>
      <c r="G3915" t="str">
        <f t="shared" si="431"/>
        <v/>
      </c>
      <c r="H3915" t="str">
        <f t="shared" si="432"/>
        <v/>
      </c>
      <c r="I3915" t="str">
        <f t="shared" si="433"/>
        <v/>
      </c>
    </row>
    <row r="3916" spans="1:9" x14ac:dyDescent="0.4">
      <c r="A3916" t="str">
        <f t="shared" si="427"/>
        <v/>
      </c>
      <c r="B3916" t="str">
        <f t="shared" si="428"/>
        <v/>
      </c>
      <c r="C3916" t="str">
        <f t="shared" si="429"/>
        <v/>
      </c>
      <c r="D3916" t="str">
        <f t="shared" si="430"/>
        <v/>
      </c>
      <c r="E3916" t="str">
        <f>IF(F3916="","",IF(COUNTIF($F$2:F3916,F3916)&gt;1,"",SUMIFS(tbl_input[필요수량],tbl_input[집계키_센터],F3916)))</f>
        <v/>
      </c>
      <c r="F3916" t="str">
        <f>IFERROR(INDEX(tbl_input[집계키_센터],ROW()-1),"")</f>
        <v/>
      </c>
      <c r="G3916" t="str">
        <f t="shared" si="431"/>
        <v/>
      </c>
      <c r="H3916" t="str">
        <f t="shared" si="432"/>
        <v/>
      </c>
      <c r="I3916" t="str">
        <f t="shared" si="433"/>
        <v/>
      </c>
    </row>
    <row r="3917" spans="1:9" x14ac:dyDescent="0.4">
      <c r="A3917" t="str">
        <f t="shared" si="427"/>
        <v/>
      </c>
      <c r="B3917" t="str">
        <f t="shared" si="428"/>
        <v/>
      </c>
      <c r="C3917" t="str">
        <f t="shared" si="429"/>
        <v/>
      </c>
      <c r="D3917" t="str">
        <f t="shared" si="430"/>
        <v/>
      </c>
      <c r="E3917" t="str">
        <f>IF(F3917="","",IF(COUNTIF($F$2:F3917,F3917)&gt;1,"",SUMIFS(tbl_input[필요수량],tbl_input[집계키_센터],F3917)))</f>
        <v/>
      </c>
      <c r="F3917" t="str">
        <f>IFERROR(INDEX(tbl_input[집계키_센터],ROW()-1),"")</f>
        <v/>
      </c>
      <c r="G3917" t="str">
        <f t="shared" si="431"/>
        <v/>
      </c>
      <c r="H3917" t="str">
        <f t="shared" si="432"/>
        <v/>
      </c>
      <c r="I3917" t="str">
        <f t="shared" si="433"/>
        <v/>
      </c>
    </row>
    <row r="3918" spans="1:9" x14ac:dyDescent="0.4">
      <c r="A3918" t="str">
        <f t="shared" si="427"/>
        <v/>
      </c>
      <c r="B3918" t="str">
        <f t="shared" si="428"/>
        <v/>
      </c>
      <c r="C3918" t="str">
        <f t="shared" si="429"/>
        <v/>
      </c>
      <c r="D3918" t="str">
        <f t="shared" si="430"/>
        <v/>
      </c>
      <c r="E3918" t="str">
        <f>IF(F3918="","",IF(COUNTIF($F$2:F3918,F3918)&gt;1,"",SUMIFS(tbl_input[필요수량],tbl_input[집계키_센터],F3918)))</f>
        <v/>
      </c>
      <c r="F3918" t="str">
        <f>IFERROR(INDEX(tbl_input[집계키_센터],ROW()-1),"")</f>
        <v/>
      </c>
      <c r="G3918" t="str">
        <f t="shared" si="431"/>
        <v/>
      </c>
      <c r="H3918" t="str">
        <f t="shared" si="432"/>
        <v/>
      </c>
      <c r="I3918" t="str">
        <f t="shared" si="433"/>
        <v/>
      </c>
    </row>
    <row r="3919" spans="1:9" x14ac:dyDescent="0.4">
      <c r="A3919" t="str">
        <f t="shared" si="427"/>
        <v/>
      </c>
      <c r="B3919" t="str">
        <f t="shared" si="428"/>
        <v/>
      </c>
      <c r="C3919" t="str">
        <f t="shared" si="429"/>
        <v/>
      </c>
      <c r="D3919" t="str">
        <f t="shared" si="430"/>
        <v/>
      </c>
      <c r="E3919" t="str">
        <f>IF(F3919="","",IF(COUNTIF($F$2:F3919,F3919)&gt;1,"",SUMIFS(tbl_input[필요수량],tbl_input[집계키_센터],F3919)))</f>
        <v/>
      </c>
      <c r="F3919" t="str">
        <f>IFERROR(INDEX(tbl_input[집계키_센터],ROW()-1),"")</f>
        <v/>
      </c>
      <c r="G3919" t="str">
        <f t="shared" si="431"/>
        <v/>
      </c>
      <c r="H3919" t="str">
        <f t="shared" si="432"/>
        <v/>
      </c>
      <c r="I3919" t="str">
        <f t="shared" si="433"/>
        <v/>
      </c>
    </row>
    <row r="3920" spans="1:9" x14ac:dyDescent="0.4">
      <c r="A3920" t="str">
        <f t="shared" si="427"/>
        <v/>
      </c>
      <c r="B3920" t="str">
        <f t="shared" si="428"/>
        <v/>
      </c>
      <c r="C3920" t="str">
        <f t="shared" si="429"/>
        <v/>
      </c>
      <c r="D3920" t="str">
        <f t="shared" si="430"/>
        <v/>
      </c>
      <c r="E3920" t="str">
        <f>IF(F3920="","",IF(COUNTIF($F$2:F3920,F3920)&gt;1,"",SUMIFS(tbl_input[필요수량],tbl_input[집계키_센터],F3920)))</f>
        <v/>
      </c>
      <c r="F3920" t="str">
        <f>IFERROR(INDEX(tbl_input[집계키_센터],ROW()-1),"")</f>
        <v/>
      </c>
      <c r="G3920" t="str">
        <f t="shared" si="431"/>
        <v/>
      </c>
      <c r="H3920" t="str">
        <f t="shared" si="432"/>
        <v/>
      </c>
      <c r="I3920" t="str">
        <f t="shared" si="433"/>
        <v/>
      </c>
    </row>
    <row r="3921" spans="1:9" x14ac:dyDescent="0.4">
      <c r="A3921" t="str">
        <f t="shared" si="427"/>
        <v/>
      </c>
      <c r="B3921" t="str">
        <f t="shared" si="428"/>
        <v/>
      </c>
      <c r="C3921" t="str">
        <f t="shared" si="429"/>
        <v/>
      </c>
      <c r="D3921" t="str">
        <f t="shared" si="430"/>
        <v/>
      </c>
      <c r="E3921" t="str">
        <f>IF(F3921="","",IF(COUNTIF($F$2:F3921,F3921)&gt;1,"",SUMIFS(tbl_input[필요수량],tbl_input[집계키_센터],F3921)))</f>
        <v/>
      </c>
      <c r="F3921" t="str">
        <f>IFERROR(INDEX(tbl_input[집계키_센터],ROW()-1),"")</f>
        <v/>
      </c>
      <c r="G3921" t="str">
        <f t="shared" si="431"/>
        <v/>
      </c>
      <c r="H3921" t="str">
        <f t="shared" si="432"/>
        <v/>
      </c>
      <c r="I3921" t="str">
        <f t="shared" si="433"/>
        <v/>
      </c>
    </row>
    <row r="3922" spans="1:9" x14ac:dyDescent="0.4">
      <c r="A3922" t="str">
        <f t="shared" si="427"/>
        <v/>
      </c>
      <c r="B3922" t="str">
        <f t="shared" si="428"/>
        <v/>
      </c>
      <c r="C3922" t="str">
        <f t="shared" si="429"/>
        <v/>
      </c>
      <c r="D3922" t="str">
        <f t="shared" si="430"/>
        <v/>
      </c>
      <c r="E3922" t="str">
        <f>IF(F3922="","",IF(COUNTIF($F$2:F3922,F3922)&gt;1,"",SUMIFS(tbl_input[필요수량],tbl_input[집계키_센터],F3922)))</f>
        <v/>
      </c>
      <c r="F3922" t="str">
        <f>IFERROR(INDEX(tbl_input[집계키_센터],ROW()-1),"")</f>
        <v/>
      </c>
      <c r="G3922" t="str">
        <f t="shared" si="431"/>
        <v/>
      </c>
      <c r="H3922" t="str">
        <f t="shared" si="432"/>
        <v/>
      </c>
      <c r="I3922" t="str">
        <f t="shared" si="433"/>
        <v/>
      </c>
    </row>
    <row r="3923" spans="1:9" x14ac:dyDescent="0.4">
      <c r="A3923" t="str">
        <f t="shared" si="427"/>
        <v/>
      </c>
      <c r="B3923" t="str">
        <f t="shared" si="428"/>
        <v/>
      </c>
      <c r="C3923" t="str">
        <f t="shared" si="429"/>
        <v/>
      </c>
      <c r="D3923" t="str">
        <f t="shared" si="430"/>
        <v/>
      </c>
      <c r="E3923" t="str">
        <f>IF(F3923="","",IF(COUNTIF($F$2:F3923,F3923)&gt;1,"",SUMIFS(tbl_input[필요수량],tbl_input[집계키_센터],F3923)))</f>
        <v/>
      </c>
      <c r="F3923" t="str">
        <f>IFERROR(INDEX(tbl_input[집계키_센터],ROW()-1),"")</f>
        <v/>
      </c>
      <c r="G3923" t="str">
        <f t="shared" si="431"/>
        <v/>
      </c>
      <c r="H3923" t="str">
        <f t="shared" si="432"/>
        <v/>
      </c>
      <c r="I3923" t="str">
        <f t="shared" si="433"/>
        <v/>
      </c>
    </row>
    <row r="3924" spans="1:9" x14ac:dyDescent="0.4">
      <c r="A3924" t="str">
        <f t="shared" si="427"/>
        <v/>
      </c>
      <c r="B3924" t="str">
        <f t="shared" si="428"/>
        <v/>
      </c>
      <c r="C3924" t="str">
        <f t="shared" si="429"/>
        <v/>
      </c>
      <c r="D3924" t="str">
        <f t="shared" si="430"/>
        <v/>
      </c>
      <c r="E3924" t="str">
        <f>IF(F3924="","",IF(COUNTIF($F$2:F3924,F3924)&gt;1,"",SUMIFS(tbl_input[필요수량],tbl_input[집계키_센터],F3924)))</f>
        <v/>
      </c>
      <c r="F3924" t="str">
        <f>IFERROR(INDEX(tbl_input[집계키_센터],ROW()-1),"")</f>
        <v/>
      </c>
      <c r="G3924" t="str">
        <f t="shared" si="431"/>
        <v/>
      </c>
      <c r="H3924" t="str">
        <f t="shared" si="432"/>
        <v/>
      </c>
      <c r="I3924" t="str">
        <f t="shared" si="433"/>
        <v/>
      </c>
    </row>
    <row r="3925" spans="1:9" x14ac:dyDescent="0.4">
      <c r="A3925" t="str">
        <f t="shared" si="427"/>
        <v/>
      </c>
      <c r="B3925" t="str">
        <f t="shared" si="428"/>
        <v/>
      </c>
      <c r="C3925" t="str">
        <f t="shared" si="429"/>
        <v/>
      </c>
      <c r="D3925" t="str">
        <f t="shared" si="430"/>
        <v/>
      </c>
      <c r="E3925" t="str">
        <f>IF(F3925="","",IF(COUNTIF($F$2:F3925,F3925)&gt;1,"",SUMIFS(tbl_input[필요수량],tbl_input[집계키_센터],F3925)))</f>
        <v/>
      </c>
      <c r="F3925" t="str">
        <f>IFERROR(INDEX(tbl_input[집계키_센터],ROW()-1),"")</f>
        <v/>
      </c>
      <c r="G3925" t="str">
        <f t="shared" si="431"/>
        <v/>
      </c>
      <c r="H3925" t="str">
        <f t="shared" si="432"/>
        <v/>
      </c>
      <c r="I3925" t="str">
        <f t="shared" si="433"/>
        <v/>
      </c>
    </row>
    <row r="3926" spans="1:9" x14ac:dyDescent="0.4">
      <c r="A3926" t="str">
        <f t="shared" si="427"/>
        <v/>
      </c>
      <c r="B3926" t="str">
        <f t="shared" si="428"/>
        <v/>
      </c>
      <c r="C3926" t="str">
        <f t="shared" si="429"/>
        <v/>
      </c>
      <c r="D3926" t="str">
        <f t="shared" si="430"/>
        <v/>
      </c>
      <c r="E3926" t="str">
        <f>IF(F3926="","",IF(COUNTIF($F$2:F3926,F3926)&gt;1,"",SUMIFS(tbl_input[필요수량],tbl_input[집계키_센터],F3926)))</f>
        <v/>
      </c>
      <c r="F3926" t="str">
        <f>IFERROR(INDEX(tbl_input[집계키_센터],ROW()-1),"")</f>
        <v/>
      </c>
      <c r="G3926" t="str">
        <f t="shared" si="431"/>
        <v/>
      </c>
      <c r="H3926" t="str">
        <f t="shared" si="432"/>
        <v/>
      </c>
      <c r="I3926" t="str">
        <f t="shared" si="433"/>
        <v/>
      </c>
    </row>
    <row r="3927" spans="1:9" x14ac:dyDescent="0.4">
      <c r="A3927" t="str">
        <f t="shared" si="427"/>
        <v/>
      </c>
      <c r="B3927" t="str">
        <f t="shared" si="428"/>
        <v/>
      </c>
      <c r="C3927" t="str">
        <f t="shared" si="429"/>
        <v/>
      </c>
      <c r="D3927" t="str">
        <f t="shared" si="430"/>
        <v/>
      </c>
      <c r="E3927" t="str">
        <f>IF(F3927="","",IF(COUNTIF($F$2:F3927,F3927)&gt;1,"",SUMIFS(tbl_input[필요수량],tbl_input[집계키_센터],F3927)))</f>
        <v/>
      </c>
      <c r="F3927" t="str">
        <f>IFERROR(INDEX(tbl_input[집계키_센터],ROW()-1),"")</f>
        <v/>
      </c>
      <c r="G3927" t="str">
        <f t="shared" si="431"/>
        <v/>
      </c>
      <c r="H3927" t="str">
        <f t="shared" si="432"/>
        <v/>
      </c>
      <c r="I3927" t="str">
        <f t="shared" si="433"/>
        <v/>
      </c>
    </row>
    <row r="3928" spans="1:9" x14ac:dyDescent="0.4">
      <c r="A3928" t="str">
        <f t="shared" si="427"/>
        <v/>
      </c>
      <c r="B3928" t="str">
        <f t="shared" si="428"/>
        <v/>
      </c>
      <c r="C3928" t="str">
        <f t="shared" si="429"/>
        <v/>
      </c>
      <c r="D3928" t="str">
        <f t="shared" si="430"/>
        <v/>
      </c>
      <c r="E3928" t="str">
        <f>IF(F3928="","",IF(COUNTIF($F$2:F3928,F3928)&gt;1,"",SUMIFS(tbl_input[필요수량],tbl_input[집계키_센터],F3928)))</f>
        <v/>
      </c>
      <c r="F3928" t="str">
        <f>IFERROR(INDEX(tbl_input[집계키_센터],ROW()-1),"")</f>
        <v/>
      </c>
      <c r="G3928" t="str">
        <f t="shared" si="431"/>
        <v/>
      </c>
      <c r="H3928" t="str">
        <f t="shared" si="432"/>
        <v/>
      </c>
      <c r="I3928" t="str">
        <f t="shared" si="433"/>
        <v/>
      </c>
    </row>
    <row r="3929" spans="1:9" x14ac:dyDescent="0.4">
      <c r="A3929" t="str">
        <f t="shared" si="427"/>
        <v/>
      </c>
      <c r="B3929" t="str">
        <f t="shared" si="428"/>
        <v/>
      </c>
      <c r="C3929" t="str">
        <f t="shared" si="429"/>
        <v/>
      </c>
      <c r="D3929" t="str">
        <f t="shared" si="430"/>
        <v/>
      </c>
      <c r="E3929" t="str">
        <f>IF(F3929="","",IF(COUNTIF($F$2:F3929,F3929)&gt;1,"",SUMIFS(tbl_input[필요수량],tbl_input[집계키_센터],F3929)))</f>
        <v/>
      </c>
      <c r="F3929" t="str">
        <f>IFERROR(INDEX(tbl_input[집계키_센터],ROW()-1),"")</f>
        <v/>
      </c>
      <c r="G3929" t="str">
        <f t="shared" si="431"/>
        <v/>
      </c>
      <c r="H3929" t="str">
        <f t="shared" si="432"/>
        <v/>
      </c>
      <c r="I3929" t="str">
        <f t="shared" si="433"/>
        <v/>
      </c>
    </row>
    <row r="3930" spans="1:9" x14ac:dyDescent="0.4">
      <c r="A3930" t="str">
        <f t="shared" si="427"/>
        <v/>
      </c>
      <c r="B3930" t="str">
        <f t="shared" si="428"/>
        <v/>
      </c>
      <c r="C3930" t="str">
        <f t="shared" si="429"/>
        <v/>
      </c>
      <c r="D3930" t="str">
        <f t="shared" si="430"/>
        <v/>
      </c>
      <c r="E3930" t="str">
        <f>IF(F3930="","",IF(COUNTIF($F$2:F3930,F3930)&gt;1,"",SUMIFS(tbl_input[필요수량],tbl_input[집계키_센터],F3930)))</f>
        <v/>
      </c>
      <c r="F3930" t="str">
        <f>IFERROR(INDEX(tbl_input[집계키_센터],ROW()-1),"")</f>
        <v/>
      </c>
      <c r="G3930" t="str">
        <f t="shared" si="431"/>
        <v/>
      </c>
      <c r="H3930" t="str">
        <f t="shared" si="432"/>
        <v/>
      </c>
      <c r="I3930" t="str">
        <f t="shared" si="433"/>
        <v/>
      </c>
    </row>
    <row r="3931" spans="1:9" x14ac:dyDescent="0.4">
      <c r="A3931" t="str">
        <f t="shared" si="427"/>
        <v/>
      </c>
      <c r="B3931" t="str">
        <f t="shared" si="428"/>
        <v/>
      </c>
      <c r="C3931" t="str">
        <f t="shared" si="429"/>
        <v/>
      </c>
      <c r="D3931" t="str">
        <f t="shared" si="430"/>
        <v/>
      </c>
      <c r="E3931" t="str">
        <f>IF(F3931="","",IF(COUNTIF($F$2:F3931,F3931)&gt;1,"",SUMIFS(tbl_input[필요수량],tbl_input[집계키_센터],F3931)))</f>
        <v/>
      </c>
      <c r="F3931" t="str">
        <f>IFERROR(INDEX(tbl_input[집계키_센터],ROW()-1),"")</f>
        <v/>
      </c>
      <c r="G3931" t="str">
        <f t="shared" si="431"/>
        <v/>
      </c>
      <c r="H3931" t="str">
        <f t="shared" si="432"/>
        <v/>
      </c>
      <c r="I3931" t="str">
        <f t="shared" si="433"/>
        <v/>
      </c>
    </row>
    <row r="3932" spans="1:9" x14ac:dyDescent="0.4">
      <c r="A3932" t="str">
        <f t="shared" si="427"/>
        <v/>
      </c>
      <c r="B3932" t="str">
        <f t="shared" si="428"/>
        <v/>
      </c>
      <c r="C3932" t="str">
        <f t="shared" si="429"/>
        <v/>
      </c>
      <c r="D3932" t="str">
        <f t="shared" si="430"/>
        <v/>
      </c>
      <c r="E3932" t="str">
        <f>IF(F3932="","",IF(COUNTIF($F$2:F3932,F3932)&gt;1,"",SUMIFS(tbl_input[필요수량],tbl_input[집계키_센터],F3932)))</f>
        <v/>
      </c>
      <c r="F3932" t="str">
        <f>IFERROR(INDEX(tbl_input[집계키_센터],ROW()-1),"")</f>
        <v/>
      </c>
      <c r="G3932" t="str">
        <f t="shared" si="431"/>
        <v/>
      </c>
      <c r="H3932" t="str">
        <f t="shared" si="432"/>
        <v/>
      </c>
      <c r="I3932" t="str">
        <f t="shared" si="433"/>
        <v/>
      </c>
    </row>
    <row r="3933" spans="1:9" x14ac:dyDescent="0.4">
      <c r="A3933" t="str">
        <f t="shared" si="427"/>
        <v/>
      </c>
      <c r="B3933" t="str">
        <f t="shared" si="428"/>
        <v/>
      </c>
      <c r="C3933" t="str">
        <f t="shared" si="429"/>
        <v/>
      </c>
      <c r="D3933" t="str">
        <f t="shared" si="430"/>
        <v/>
      </c>
      <c r="E3933" t="str">
        <f>IF(F3933="","",IF(COUNTIF($F$2:F3933,F3933)&gt;1,"",SUMIFS(tbl_input[필요수량],tbl_input[집계키_센터],F3933)))</f>
        <v/>
      </c>
      <c r="F3933" t="str">
        <f>IFERROR(INDEX(tbl_input[집계키_센터],ROW()-1),"")</f>
        <v/>
      </c>
      <c r="G3933" t="str">
        <f t="shared" si="431"/>
        <v/>
      </c>
      <c r="H3933" t="str">
        <f t="shared" si="432"/>
        <v/>
      </c>
      <c r="I3933" t="str">
        <f t="shared" si="433"/>
        <v/>
      </c>
    </row>
    <row r="3934" spans="1:9" x14ac:dyDescent="0.4">
      <c r="A3934" t="str">
        <f t="shared" si="427"/>
        <v/>
      </c>
      <c r="B3934" t="str">
        <f t="shared" si="428"/>
        <v/>
      </c>
      <c r="C3934" t="str">
        <f t="shared" si="429"/>
        <v/>
      </c>
      <c r="D3934" t="str">
        <f t="shared" si="430"/>
        <v/>
      </c>
      <c r="E3934" t="str">
        <f>IF(F3934="","",IF(COUNTIF($F$2:F3934,F3934)&gt;1,"",SUMIFS(tbl_input[필요수량],tbl_input[집계키_센터],F3934)))</f>
        <v/>
      </c>
      <c r="F3934" t="str">
        <f>IFERROR(INDEX(tbl_input[집계키_센터],ROW()-1),"")</f>
        <v/>
      </c>
      <c r="G3934" t="str">
        <f t="shared" si="431"/>
        <v/>
      </c>
      <c r="H3934" t="str">
        <f t="shared" si="432"/>
        <v/>
      </c>
      <c r="I3934" t="str">
        <f t="shared" si="433"/>
        <v/>
      </c>
    </row>
    <row r="3935" spans="1:9" x14ac:dyDescent="0.4">
      <c r="A3935" t="str">
        <f t="shared" si="427"/>
        <v/>
      </c>
      <c r="B3935" t="str">
        <f t="shared" si="428"/>
        <v/>
      </c>
      <c r="C3935" t="str">
        <f t="shared" si="429"/>
        <v/>
      </c>
      <c r="D3935" t="str">
        <f t="shared" si="430"/>
        <v/>
      </c>
      <c r="E3935" t="str">
        <f>IF(F3935="","",IF(COUNTIF($F$2:F3935,F3935)&gt;1,"",SUMIFS(tbl_input[필요수량],tbl_input[집계키_센터],F3935)))</f>
        <v/>
      </c>
      <c r="F3935" t="str">
        <f>IFERROR(INDEX(tbl_input[집계키_센터],ROW()-1),"")</f>
        <v/>
      </c>
      <c r="G3935" t="str">
        <f t="shared" si="431"/>
        <v/>
      </c>
      <c r="H3935" t="str">
        <f t="shared" si="432"/>
        <v/>
      </c>
      <c r="I3935" t="str">
        <f t="shared" si="433"/>
        <v/>
      </c>
    </row>
    <row r="3936" spans="1:9" x14ac:dyDescent="0.4">
      <c r="A3936" t="str">
        <f t="shared" si="427"/>
        <v/>
      </c>
      <c r="B3936" t="str">
        <f t="shared" si="428"/>
        <v/>
      </c>
      <c r="C3936" t="str">
        <f t="shared" si="429"/>
        <v/>
      </c>
      <c r="D3936" t="str">
        <f t="shared" si="430"/>
        <v/>
      </c>
      <c r="E3936" t="str">
        <f>IF(F3936="","",IF(COUNTIF($F$2:F3936,F3936)&gt;1,"",SUMIFS(tbl_input[필요수량],tbl_input[집계키_센터],F3936)))</f>
        <v/>
      </c>
      <c r="F3936" t="str">
        <f>IFERROR(INDEX(tbl_input[집계키_센터],ROW()-1),"")</f>
        <v/>
      </c>
      <c r="G3936" t="str">
        <f t="shared" si="431"/>
        <v/>
      </c>
      <c r="H3936" t="str">
        <f t="shared" si="432"/>
        <v/>
      </c>
      <c r="I3936" t="str">
        <f t="shared" si="433"/>
        <v/>
      </c>
    </row>
    <row r="3937" spans="1:9" x14ac:dyDescent="0.4">
      <c r="A3937" t="str">
        <f t="shared" si="427"/>
        <v/>
      </c>
      <c r="B3937" t="str">
        <f t="shared" si="428"/>
        <v/>
      </c>
      <c r="C3937" t="str">
        <f t="shared" si="429"/>
        <v/>
      </c>
      <c r="D3937" t="str">
        <f t="shared" si="430"/>
        <v/>
      </c>
      <c r="E3937" t="str">
        <f>IF(F3937="","",IF(COUNTIF($F$2:F3937,F3937)&gt;1,"",SUMIFS(tbl_input[필요수량],tbl_input[집계키_센터],F3937)))</f>
        <v/>
      </c>
      <c r="F3937" t="str">
        <f>IFERROR(INDEX(tbl_input[집계키_센터],ROW()-1),"")</f>
        <v/>
      </c>
      <c r="G3937" t="str">
        <f t="shared" si="431"/>
        <v/>
      </c>
      <c r="H3937" t="str">
        <f t="shared" si="432"/>
        <v/>
      </c>
      <c r="I3937" t="str">
        <f t="shared" si="433"/>
        <v/>
      </c>
    </row>
    <row r="3938" spans="1:9" x14ac:dyDescent="0.4">
      <c r="A3938" t="str">
        <f t="shared" si="427"/>
        <v/>
      </c>
      <c r="B3938" t="str">
        <f t="shared" si="428"/>
        <v/>
      </c>
      <c r="C3938" t="str">
        <f t="shared" si="429"/>
        <v/>
      </c>
      <c r="D3938" t="str">
        <f t="shared" si="430"/>
        <v/>
      </c>
      <c r="E3938" t="str">
        <f>IF(F3938="","",IF(COUNTIF($F$2:F3938,F3938)&gt;1,"",SUMIFS(tbl_input[필요수량],tbl_input[집계키_센터],F3938)))</f>
        <v/>
      </c>
      <c r="F3938" t="str">
        <f>IFERROR(INDEX(tbl_input[집계키_센터],ROW()-1),"")</f>
        <v/>
      </c>
      <c r="G3938" t="str">
        <f t="shared" si="431"/>
        <v/>
      </c>
      <c r="H3938" t="str">
        <f t="shared" si="432"/>
        <v/>
      </c>
      <c r="I3938" t="str">
        <f t="shared" si="433"/>
        <v/>
      </c>
    </row>
    <row r="3939" spans="1:9" x14ac:dyDescent="0.4">
      <c r="A3939" t="str">
        <f t="shared" si="427"/>
        <v/>
      </c>
      <c r="B3939" t="str">
        <f t="shared" si="428"/>
        <v/>
      </c>
      <c r="C3939" t="str">
        <f t="shared" si="429"/>
        <v/>
      </c>
      <c r="D3939" t="str">
        <f t="shared" si="430"/>
        <v/>
      </c>
      <c r="E3939" t="str">
        <f>IF(F3939="","",IF(COUNTIF($F$2:F3939,F3939)&gt;1,"",SUMIFS(tbl_input[필요수량],tbl_input[집계키_센터],F3939)))</f>
        <v/>
      </c>
      <c r="F3939" t="str">
        <f>IFERROR(INDEX(tbl_input[집계키_센터],ROW()-1),"")</f>
        <v/>
      </c>
      <c r="G3939" t="str">
        <f t="shared" si="431"/>
        <v/>
      </c>
      <c r="H3939" t="str">
        <f t="shared" si="432"/>
        <v/>
      </c>
      <c r="I3939" t="str">
        <f t="shared" si="433"/>
        <v/>
      </c>
    </row>
    <row r="3940" spans="1:9" x14ac:dyDescent="0.4">
      <c r="A3940" t="str">
        <f t="shared" si="427"/>
        <v/>
      </c>
      <c r="B3940" t="str">
        <f t="shared" si="428"/>
        <v/>
      </c>
      <c r="C3940" t="str">
        <f t="shared" si="429"/>
        <v/>
      </c>
      <c r="D3940" t="str">
        <f t="shared" si="430"/>
        <v/>
      </c>
      <c r="E3940" t="str">
        <f>IF(F3940="","",IF(COUNTIF($F$2:F3940,F3940)&gt;1,"",SUMIFS(tbl_input[필요수량],tbl_input[집계키_센터],F3940)))</f>
        <v/>
      </c>
      <c r="F3940" t="str">
        <f>IFERROR(INDEX(tbl_input[집계키_센터],ROW()-1),"")</f>
        <v/>
      </c>
      <c r="G3940" t="str">
        <f t="shared" si="431"/>
        <v/>
      </c>
      <c r="H3940" t="str">
        <f t="shared" si="432"/>
        <v/>
      </c>
      <c r="I3940" t="str">
        <f t="shared" si="433"/>
        <v/>
      </c>
    </row>
    <row r="3941" spans="1:9" x14ac:dyDescent="0.4">
      <c r="A3941" t="str">
        <f t="shared" si="427"/>
        <v/>
      </c>
      <c r="B3941" t="str">
        <f t="shared" si="428"/>
        <v/>
      </c>
      <c r="C3941" t="str">
        <f t="shared" si="429"/>
        <v/>
      </c>
      <c r="D3941" t="str">
        <f t="shared" si="430"/>
        <v/>
      </c>
      <c r="E3941" t="str">
        <f>IF(F3941="","",IF(COUNTIF($F$2:F3941,F3941)&gt;1,"",SUMIFS(tbl_input[필요수량],tbl_input[집계키_센터],F3941)))</f>
        <v/>
      </c>
      <c r="F3941" t="str">
        <f>IFERROR(INDEX(tbl_input[집계키_센터],ROW()-1),"")</f>
        <v/>
      </c>
      <c r="G3941" t="str">
        <f t="shared" si="431"/>
        <v/>
      </c>
      <c r="H3941" t="str">
        <f t="shared" si="432"/>
        <v/>
      </c>
      <c r="I3941" t="str">
        <f t="shared" si="433"/>
        <v/>
      </c>
    </row>
    <row r="3942" spans="1:9" x14ac:dyDescent="0.4">
      <c r="A3942" t="str">
        <f t="shared" si="427"/>
        <v/>
      </c>
      <c r="B3942" t="str">
        <f t="shared" si="428"/>
        <v/>
      </c>
      <c r="C3942" t="str">
        <f t="shared" si="429"/>
        <v/>
      </c>
      <c r="D3942" t="str">
        <f t="shared" si="430"/>
        <v/>
      </c>
      <c r="E3942" t="str">
        <f>IF(F3942="","",IF(COUNTIF($F$2:F3942,F3942)&gt;1,"",SUMIFS(tbl_input[필요수량],tbl_input[집계키_센터],F3942)))</f>
        <v/>
      </c>
      <c r="F3942" t="str">
        <f>IFERROR(INDEX(tbl_input[집계키_센터],ROW()-1),"")</f>
        <v/>
      </c>
      <c r="G3942" t="str">
        <f t="shared" si="431"/>
        <v/>
      </c>
      <c r="H3942" t="str">
        <f t="shared" si="432"/>
        <v/>
      </c>
      <c r="I3942" t="str">
        <f t="shared" si="433"/>
        <v/>
      </c>
    </row>
    <row r="3943" spans="1:9" x14ac:dyDescent="0.4">
      <c r="A3943" t="str">
        <f t="shared" si="427"/>
        <v/>
      </c>
      <c r="B3943" t="str">
        <f t="shared" si="428"/>
        <v/>
      </c>
      <c r="C3943" t="str">
        <f t="shared" si="429"/>
        <v/>
      </c>
      <c r="D3943" t="str">
        <f t="shared" si="430"/>
        <v/>
      </c>
      <c r="E3943" t="str">
        <f>IF(F3943="","",IF(COUNTIF($F$2:F3943,F3943)&gt;1,"",SUMIFS(tbl_input[필요수량],tbl_input[집계키_센터],F3943)))</f>
        <v/>
      </c>
      <c r="F3943" t="str">
        <f>IFERROR(INDEX(tbl_input[집계키_센터],ROW()-1),"")</f>
        <v/>
      </c>
      <c r="G3943" t="str">
        <f t="shared" si="431"/>
        <v/>
      </c>
      <c r="H3943" t="str">
        <f t="shared" si="432"/>
        <v/>
      </c>
      <c r="I3943" t="str">
        <f t="shared" si="433"/>
        <v/>
      </c>
    </row>
    <row r="3944" spans="1:9" x14ac:dyDescent="0.4">
      <c r="A3944" t="str">
        <f t="shared" si="427"/>
        <v/>
      </c>
      <c r="B3944" t="str">
        <f t="shared" si="428"/>
        <v/>
      </c>
      <c r="C3944" t="str">
        <f t="shared" si="429"/>
        <v/>
      </c>
      <c r="D3944" t="str">
        <f t="shared" si="430"/>
        <v/>
      </c>
      <c r="E3944" t="str">
        <f>IF(F3944="","",IF(COUNTIF($F$2:F3944,F3944)&gt;1,"",SUMIFS(tbl_input[필요수량],tbl_input[집계키_센터],F3944)))</f>
        <v/>
      </c>
      <c r="F3944" t="str">
        <f>IFERROR(INDEX(tbl_input[집계키_센터],ROW()-1),"")</f>
        <v/>
      </c>
      <c r="G3944" t="str">
        <f t="shared" si="431"/>
        <v/>
      </c>
      <c r="H3944" t="str">
        <f t="shared" si="432"/>
        <v/>
      </c>
      <c r="I3944" t="str">
        <f t="shared" si="433"/>
        <v/>
      </c>
    </row>
    <row r="3945" spans="1:9" x14ac:dyDescent="0.4">
      <c r="A3945" t="str">
        <f t="shared" si="427"/>
        <v/>
      </c>
      <c r="B3945" t="str">
        <f t="shared" si="428"/>
        <v/>
      </c>
      <c r="C3945" t="str">
        <f t="shared" si="429"/>
        <v/>
      </c>
      <c r="D3945" t="str">
        <f t="shared" si="430"/>
        <v/>
      </c>
      <c r="E3945" t="str">
        <f>IF(F3945="","",IF(COUNTIF($F$2:F3945,F3945)&gt;1,"",SUMIFS(tbl_input[필요수량],tbl_input[집계키_센터],F3945)))</f>
        <v/>
      </c>
      <c r="F3945" t="str">
        <f>IFERROR(INDEX(tbl_input[집계키_센터],ROW()-1),"")</f>
        <v/>
      </c>
      <c r="G3945" t="str">
        <f t="shared" si="431"/>
        <v/>
      </c>
      <c r="H3945" t="str">
        <f t="shared" si="432"/>
        <v/>
      </c>
      <c r="I3945" t="str">
        <f t="shared" si="433"/>
        <v/>
      </c>
    </row>
    <row r="3946" spans="1:9" x14ac:dyDescent="0.4">
      <c r="A3946" t="str">
        <f t="shared" si="427"/>
        <v/>
      </c>
      <c r="B3946" t="str">
        <f t="shared" si="428"/>
        <v/>
      </c>
      <c r="C3946" t="str">
        <f t="shared" si="429"/>
        <v/>
      </c>
      <c r="D3946" t="str">
        <f t="shared" si="430"/>
        <v/>
      </c>
      <c r="E3946" t="str">
        <f>IF(F3946="","",IF(COUNTIF($F$2:F3946,F3946)&gt;1,"",SUMIFS(tbl_input[필요수량],tbl_input[집계키_센터],F3946)))</f>
        <v/>
      </c>
      <c r="F3946" t="str">
        <f>IFERROR(INDEX(tbl_input[집계키_센터],ROW()-1),"")</f>
        <v/>
      </c>
      <c r="G3946" t="str">
        <f t="shared" si="431"/>
        <v/>
      </c>
      <c r="H3946" t="str">
        <f t="shared" si="432"/>
        <v/>
      </c>
      <c r="I3946" t="str">
        <f t="shared" si="433"/>
        <v/>
      </c>
    </row>
    <row r="3947" spans="1:9" x14ac:dyDescent="0.4">
      <c r="A3947" t="str">
        <f t="shared" si="427"/>
        <v/>
      </c>
      <c r="B3947" t="str">
        <f t="shared" si="428"/>
        <v/>
      </c>
      <c r="C3947" t="str">
        <f t="shared" si="429"/>
        <v/>
      </c>
      <c r="D3947" t="str">
        <f t="shared" si="430"/>
        <v/>
      </c>
      <c r="E3947" t="str">
        <f>IF(F3947="","",IF(COUNTIF($F$2:F3947,F3947)&gt;1,"",SUMIFS(tbl_input[필요수량],tbl_input[집계키_센터],F3947)))</f>
        <v/>
      </c>
      <c r="F3947" t="str">
        <f>IFERROR(INDEX(tbl_input[집계키_센터],ROW()-1),"")</f>
        <v/>
      </c>
      <c r="G3947" t="str">
        <f t="shared" si="431"/>
        <v/>
      </c>
      <c r="H3947" t="str">
        <f t="shared" si="432"/>
        <v/>
      </c>
      <c r="I3947" t="str">
        <f t="shared" si="433"/>
        <v/>
      </c>
    </row>
    <row r="3948" spans="1:9" x14ac:dyDescent="0.4">
      <c r="A3948" t="str">
        <f t="shared" si="427"/>
        <v/>
      </c>
      <c r="B3948" t="str">
        <f t="shared" si="428"/>
        <v/>
      </c>
      <c r="C3948" t="str">
        <f t="shared" si="429"/>
        <v/>
      </c>
      <c r="D3948" t="str">
        <f t="shared" si="430"/>
        <v/>
      </c>
      <c r="E3948" t="str">
        <f>IF(F3948="","",IF(COUNTIF($F$2:F3948,F3948)&gt;1,"",SUMIFS(tbl_input[필요수량],tbl_input[집계키_센터],F3948)))</f>
        <v/>
      </c>
      <c r="F3948" t="str">
        <f>IFERROR(INDEX(tbl_input[집계키_센터],ROW()-1),"")</f>
        <v/>
      </c>
      <c r="G3948" t="str">
        <f t="shared" si="431"/>
        <v/>
      </c>
      <c r="H3948" t="str">
        <f t="shared" si="432"/>
        <v/>
      </c>
      <c r="I3948" t="str">
        <f t="shared" si="433"/>
        <v/>
      </c>
    </row>
    <row r="3949" spans="1:9" x14ac:dyDescent="0.4">
      <c r="A3949" t="str">
        <f t="shared" si="427"/>
        <v/>
      </c>
      <c r="B3949" t="str">
        <f t="shared" si="428"/>
        <v/>
      </c>
      <c r="C3949" t="str">
        <f t="shared" si="429"/>
        <v/>
      </c>
      <c r="D3949" t="str">
        <f t="shared" si="430"/>
        <v/>
      </c>
      <c r="E3949" t="str">
        <f>IF(F3949="","",IF(COUNTIF($F$2:F3949,F3949)&gt;1,"",SUMIFS(tbl_input[필요수량],tbl_input[집계키_센터],F3949)))</f>
        <v/>
      </c>
      <c r="F3949" t="str">
        <f>IFERROR(INDEX(tbl_input[집계키_센터],ROW()-1),"")</f>
        <v/>
      </c>
      <c r="G3949" t="str">
        <f t="shared" si="431"/>
        <v/>
      </c>
      <c r="H3949" t="str">
        <f t="shared" si="432"/>
        <v/>
      </c>
      <c r="I3949" t="str">
        <f t="shared" si="433"/>
        <v/>
      </c>
    </row>
    <row r="3950" spans="1:9" x14ac:dyDescent="0.4">
      <c r="A3950" t="str">
        <f t="shared" si="427"/>
        <v/>
      </c>
      <c r="B3950" t="str">
        <f t="shared" si="428"/>
        <v/>
      </c>
      <c r="C3950" t="str">
        <f t="shared" si="429"/>
        <v/>
      </c>
      <c r="D3950" t="str">
        <f t="shared" si="430"/>
        <v/>
      </c>
      <c r="E3950" t="str">
        <f>IF(F3950="","",IF(COUNTIF($F$2:F3950,F3950)&gt;1,"",SUMIFS(tbl_input[필요수량],tbl_input[집계키_센터],F3950)))</f>
        <v/>
      </c>
      <c r="F3950" t="str">
        <f>IFERROR(INDEX(tbl_input[집계키_센터],ROW()-1),"")</f>
        <v/>
      </c>
      <c r="G3950" t="str">
        <f t="shared" si="431"/>
        <v/>
      </c>
      <c r="H3950" t="str">
        <f t="shared" si="432"/>
        <v/>
      </c>
      <c r="I3950" t="str">
        <f t="shared" si="433"/>
        <v/>
      </c>
    </row>
    <row r="3951" spans="1:9" x14ac:dyDescent="0.4">
      <c r="A3951" t="str">
        <f t="shared" si="427"/>
        <v/>
      </c>
      <c r="B3951" t="str">
        <f t="shared" si="428"/>
        <v/>
      </c>
      <c r="C3951" t="str">
        <f t="shared" si="429"/>
        <v/>
      </c>
      <c r="D3951" t="str">
        <f t="shared" si="430"/>
        <v/>
      </c>
      <c r="E3951" t="str">
        <f>IF(F3951="","",IF(COUNTIF($F$2:F3951,F3951)&gt;1,"",SUMIFS(tbl_input[필요수량],tbl_input[집계키_센터],F3951)))</f>
        <v/>
      </c>
      <c r="F3951" t="str">
        <f>IFERROR(INDEX(tbl_input[집계키_센터],ROW()-1),"")</f>
        <v/>
      </c>
      <c r="G3951" t="str">
        <f t="shared" si="431"/>
        <v/>
      </c>
      <c r="H3951" t="str">
        <f t="shared" si="432"/>
        <v/>
      </c>
      <c r="I3951" t="str">
        <f t="shared" si="433"/>
        <v/>
      </c>
    </row>
    <row r="3952" spans="1:9" x14ac:dyDescent="0.4">
      <c r="A3952" t="str">
        <f t="shared" si="427"/>
        <v/>
      </c>
      <c r="B3952" t="str">
        <f t="shared" si="428"/>
        <v/>
      </c>
      <c r="C3952" t="str">
        <f t="shared" si="429"/>
        <v/>
      </c>
      <c r="D3952" t="str">
        <f t="shared" si="430"/>
        <v/>
      </c>
      <c r="E3952" t="str">
        <f>IF(F3952="","",IF(COUNTIF($F$2:F3952,F3952)&gt;1,"",SUMIFS(tbl_input[필요수량],tbl_input[집계키_센터],F3952)))</f>
        <v/>
      </c>
      <c r="F3952" t="str">
        <f>IFERROR(INDEX(tbl_input[집계키_센터],ROW()-1),"")</f>
        <v/>
      </c>
      <c r="G3952" t="str">
        <f t="shared" si="431"/>
        <v/>
      </c>
      <c r="H3952" t="str">
        <f t="shared" si="432"/>
        <v/>
      </c>
      <c r="I3952" t="str">
        <f t="shared" si="433"/>
        <v/>
      </c>
    </row>
    <row r="3953" spans="1:9" x14ac:dyDescent="0.4">
      <c r="A3953" t="str">
        <f t="shared" si="427"/>
        <v/>
      </c>
      <c r="B3953" t="str">
        <f t="shared" si="428"/>
        <v/>
      </c>
      <c r="C3953" t="str">
        <f t="shared" si="429"/>
        <v/>
      </c>
      <c r="D3953" t="str">
        <f t="shared" si="430"/>
        <v/>
      </c>
      <c r="E3953" t="str">
        <f>IF(F3953="","",IF(COUNTIF($F$2:F3953,F3953)&gt;1,"",SUMIFS(tbl_input[필요수량],tbl_input[집계키_센터],F3953)))</f>
        <v/>
      </c>
      <c r="F3953" t="str">
        <f>IFERROR(INDEX(tbl_input[집계키_센터],ROW()-1),"")</f>
        <v/>
      </c>
      <c r="G3953" t="str">
        <f t="shared" si="431"/>
        <v/>
      </c>
      <c r="H3953" t="str">
        <f t="shared" si="432"/>
        <v/>
      </c>
      <c r="I3953" t="str">
        <f t="shared" si="433"/>
        <v/>
      </c>
    </row>
    <row r="3954" spans="1:9" x14ac:dyDescent="0.4">
      <c r="A3954" t="str">
        <f t="shared" si="427"/>
        <v/>
      </c>
      <c r="B3954" t="str">
        <f t="shared" si="428"/>
        <v/>
      </c>
      <c r="C3954" t="str">
        <f t="shared" si="429"/>
        <v/>
      </c>
      <c r="D3954" t="str">
        <f t="shared" si="430"/>
        <v/>
      </c>
      <c r="E3954" t="str">
        <f>IF(F3954="","",IF(COUNTIF($F$2:F3954,F3954)&gt;1,"",SUMIFS(tbl_input[필요수량],tbl_input[집계키_센터],F3954)))</f>
        <v/>
      </c>
      <c r="F3954" t="str">
        <f>IFERROR(INDEX(tbl_input[집계키_센터],ROW()-1),"")</f>
        <v/>
      </c>
      <c r="G3954" t="str">
        <f t="shared" si="431"/>
        <v/>
      </c>
      <c r="H3954" t="str">
        <f t="shared" si="432"/>
        <v/>
      </c>
      <c r="I3954" t="str">
        <f t="shared" si="433"/>
        <v/>
      </c>
    </row>
    <row r="3955" spans="1:9" x14ac:dyDescent="0.4">
      <c r="A3955" t="str">
        <f t="shared" si="427"/>
        <v/>
      </c>
      <c r="B3955" t="str">
        <f t="shared" si="428"/>
        <v/>
      </c>
      <c r="C3955" t="str">
        <f t="shared" si="429"/>
        <v/>
      </c>
      <c r="D3955" t="str">
        <f t="shared" si="430"/>
        <v/>
      </c>
      <c r="E3955" t="str">
        <f>IF(F3955="","",IF(COUNTIF($F$2:F3955,F3955)&gt;1,"",SUMIFS(tbl_input[필요수량],tbl_input[집계키_센터],F3955)))</f>
        <v/>
      </c>
      <c r="F3955" t="str">
        <f>IFERROR(INDEX(tbl_input[집계키_센터],ROW()-1),"")</f>
        <v/>
      </c>
      <c r="G3955" t="str">
        <f t="shared" si="431"/>
        <v/>
      </c>
      <c r="H3955" t="str">
        <f t="shared" si="432"/>
        <v/>
      </c>
      <c r="I3955" t="str">
        <f t="shared" si="433"/>
        <v/>
      </c>
    </row>
    <row r="3956" spans="1:9" x14ac:dyDescent="0.4">
      <c r="A3956" t="str">
        <f t="shared" si="427"/>
        <v/>
      </c>
      <c r="B3956" t="str">
        <f t="shared" si="428"/>
        <v/>
      </c>
      <c r="C3956" t="str">
        <f t="shared" si="429"/>
        <v/>
      </c>
      <c r="D3956" t="str">
        <f t="shared" si="430"/>
        <v/>
      </c>
      <c r="E3956" t="str">
        <f>IF(F3956="","",IF(COUNTIF($F$2:F3956,F3956)&gt;1,"",SUMIFS(tbl_input[필요수량],tbl_input[집계키_센터],F3956)))</f>
        <v/>
      </c>
      <c r="F3956" t="str">
        <f>IFERROR(INDEX(tbl_input[집계키_센터],ROW()-1),"")</f>
        <v/>
      </c>
      <c r="G3956" t="str">
        <f t="shared" si="431"/>
        <v/>
      </c>
      <c r="H3956" t="str">
        <f t="shared" si="432"/>
        <v/>
      </c>
      <c r="I3956" t="str">
        <f t="shared" si="433"/>
        <v/>
      </c>
    </row>
    <row r="3957" spans="1:9" x14ac:dyDescent="0.4">
      <c r="A3957" t="str">
        <f t="shared" si="427"/>
        <v/>
      </c>
      <c r="B3957" t="str">
        <f t="shared" si="428"/>
        <v/>
      </c>
      <c r="C3957" t="str">
        <f t="shared" si="429"/>
        <v/>
      </c>
      <c r="D3957" t="str">
        <f t="shared" si="430"/>
        <v/>
      </c>
      <c r="E3957" t="str">
        <f>IF(F3957="","",IF(COUNTIF($F$2:F3957,F3957)&gt;1,"",SUMIFS(tbl_input[필요수량],tbl_input[집계키_센터],F3957)))</f>
        <v/>
      </c>
      <c r="F3957" t="str">
        <f>IFERROR(INDEX(tbl_input[집계키_센터],ROW()-1),"")</f>
        <v/>
      </c>
      <c r="G3957" t="str">
        <f t="shared" si="431"/>
        <v/>
      </c>
      <c r="H3957" t="str">
        <f t="shared" si="432"/>
        <v/>
      </c>
      <c r="I3957" t="str">
        <f t="shared" si="433"/>
        <v/>
      </c>
    </row>
    <row r="3958" spans="1:9" x14ac:dyDescent="0.4">
      <c r="A3958" t="str">
        <f t="shared" si="427"/>
        <v/>
      </c>
      <c r="B3958" t="str">
        <f t="shared" si="428"/>
        <v/>
      </c>
      <c r="C3958" t="str">
        <f t="shared" si="429"/>
        <v/>
      </c>
      <c r="D3958" t="str">
        <f t="shared" si="430"/>
        <v/>
      </c>
      <c r="E3958" t="str">
        <f>IF(F3958="","",IF(COUNTIF($F$2:F3958,F3958)&gt;1,"",SUMIFS(tbl_input[필요수량],tbl_input[집계키_센터],F3958)))</f>
        <v/>
      </c>
      <c r="F3958" t="str">
        <f>IFERROR(INDEX(tbl_input[집계키_센터],ROW()-1),"")</f>
        <v/>
      </c>
      <c r="G3958" t="str">
        <f t="shared" si="431"/>
        <v/>
      </c>
      <c r="H3958" t="str">
        <f t="shared" si="432"/>
        <v/>
      </c>
      <c r="I3958" t="str">
        <f t="shared" si="433"/>
        <v/>
      </c>
    </row>
    <row r="3959" spans="1:9" x14ac:dyDescent="0.4">
      <c r="A3959" t="str">
        <f t="shared" si="427"/>
        <v/>
      </c>
      <c r="B3959" t="str">
        <f t="shared" si="428"/>
        <v/>
      </c>
      <c r="C3959" t="str">
        <f t="shared" si="429"/>
        <v/>
      </c>
      <c r="D3959" t="str">
        <f t="shared" si="430"/>
        <v/>
      </c>
      <c r="E3959" t="str">
        <f>IF(F3959="","",IF(COUNTIF($F$2:F3959,F3959)&gt;1,"",SUMIFS(tbl_input[필요수량],tbl_input[집계키_센터],F3959)))</f>
        <v/>
      </c>
      <c r="F3959" t="str">
        <f>IFERROR(INDEX(tbl_input[집계키_센터],ROW()-1),"")</f>
        <v/>
      </c>
      <c r="G3959" t="str">
        <f t="shared" si="431"/>
        <v/>
      </c>
      <c r="H3959" t="str">
        <f t="shared" si="432"/>
        <v/>
      </c>
      <c r="I3959" t="str">
        <f t="shared" si="433"/>
        <v/>
      </c>
    </row>
    <row r="3960" spans="1:9" x14ac:dyDescent="0.4">
      <c r="A3960" t="str">
        <f t="shared" si="427"/>
        <v/>
      </c>
      <c r="B3960" t="str">
        <f t="shared" si="428"/>
        <v/>
      </c>
      <c r="C3960" t="str">
        <f t="shared" si="429"/>
        <v/>
      </c>
      <c r="D3960" t="str">
        <f t="shared" si="430"/>
        <v/>
      </c>
      <c r="E3960" t="str">
        <f>IF(F3960="","",IF(COUNTIF($F$2:F3960,F3960)&gt;1,"",SUMIFS(tbl_input[필요수량],tbl_input[집계키_센터],F3960)))</f>
        <v/>
      </c>
      <c r="F3960" t="str">
        <f>IFERROR(INDEX(tbl_input[집계키_센터],ROW()-1),"")</f>
        <v/>
      </c>
      <c r="G3960" t="str">
        <f t="shared" si="431"/>
        <v/>
      </c>
      <c r="H3960" t="str">
        <f t="shared" si="432"/>
        <v/>
      </c>
      <c r="I3960" t="str">
        <f t="shared" si="433"/>
        <v/>
      </c>
    </row>
    <row r="3961" spans="1:9" x14ac:dyDescent="0.4">
      <c r="A3961" t="str">
        <f t="shared" si="427"/>
        <v/>
      </c>
      <c r="B3961" t="str">
        <f t="shared" si="428"/>
        <v/>
      </c>
      <c r="C3961" t="str">
        <f t="shared" si="429"/>
        <v/>
      </c>
      <c r="D3961" t="str">
        <f t="shared" si="430"/>
        <v/>
      </c>
      <c r="E3961" t="str">
        <f>IF(F3961="","",IF(COUNTIF($F$2:F3961,F3961)&gt;1,"",SUMIFS(tbl_input[필요수량],tbl_input[집계키_센터],F3961)))</f>
        <v/>
      </c>
      <c r="F3961" t="str">
        <f>IFERROR(INDEX(tbl_input[집계키_센터],ROW()-1),"")</f>
        <v/>
      </c>
      <c r="G3961" t="str">
        <f t="shared" si="431"/>
        <v/>
      </c>
      <c r="H3961" t="str">
        <f t="shared" si="432"/>
        <v/>
      </c>
      <c r="I3961" t="str">
        <f t="shared" si="433"/>
        <v/>
      </c>
    </row>
    <row r="3962" spans="1:9" x14ac:dyDescent="0.4">
      <c r="A3962" t="str">
        <f t="shared" si="427"/>
        <v/>
      </c>
      <c r="B3962" t="str">
        <f t="shared" si="428"/>
        <v/>
      </c>
      <c r="C3962" t="str">
        <f t="shared" si="429"/>
        <v/>
      </c>
      <c r="D3962" t="str">
        <f t="shared" si="430"/>
        <v/>
      </c>
      <c r="E3962" t="str">
        <f>IF(F3962="","",IF(COUNTIF($F$2:F3962,F3962)&gt;1,"",SUMIFS(tbl_input[필요수량],tbl_input[집계키_센터],F3962)))</f>
        <v/>
      </c>
      <c r="F3962" t="str">
        <f>IFERROR(INDEX(tbl_input[집계키_센터],ROW()-1),"")</f>
        <v/>
      </c>
      <c r="G3962" t="str">
        <f t="shared" si="431"/>
        <v/>
      </c>
      <c r="H3962" t="str">
        <f t="shared" si="432"/>
        <v/>
      </c>
      <c r="I3962" t="str">
        <f t="shared" si="433"/>
        <v/>
      </c>
    </row>
    <row r="3963" spans="1:9" x14ac:dyDescent="0.4">
      <c r="A3963" t="str">
        <f t="shared" si="427"/>
        <v/>
      </c>
      <c r="B3963" t="str">
        <f t="shared" si="428"/>
        <v/>
      </c>
      <c r="C3963" t="str">
        <f t="shared" si="429"/>
        <v/>
      </c>
      <c r="D3963" t="str">
        <f t="shared" si="430"/>
        <v/>
      </c>
      <c r="E3963" t="str">
        <f>IF(F3963="","",IF(COUNTIF($F$2:F3963,F3963)&gt;1,"",SUMIFS(tbl_input[필요수량],tbl_input[집계키_센터],F3963)))</f>
        <v/>
      </c>
      <c r="F3963" t="str">
        <f>IFERROR(INDEX(tbl_input[집계키_센터],ROW()-1),"")</f>
        <v/>
      </c>
      <c r="G3963" t="str">
        <f t="shared" si="431"/>
        <v/>
      </c>
      <c r="H3963" t="str">
        <f t="shared" si="432"/>
        <v/>
      </c>
      <c r="I3963" t="str">
        <f t="shared" si="433"/>
        <v/>
      </c>
    </row>
    <row r="3964" spans="1:9" x14ac:dyDescent="0.4">
      <c r="A3964" t="str">
        <f t="shared" si="427"/>
        <v/>
      </c>
      <c r="B3964" t="str">
        <f t="shared" si="428"/>
        <v/>
      </c>
      <c r="C3964" t="str">
        <f t="shared" si="429"/>
        <v/>
      </c>
      <c r="D3964" t="str">
        <f t="shared" si="430"/>
        <v/>
      </c>
      <c r="E3964" t="str">
        <f>IF(F3964="","",IF(COUNTIF($F$2:F3964,F3964)&gt;1,"",SUMIFS(tbl_input[필요수량],tbl_input[집계키_센터],F3964)))</f>
        <v/>
      </c>
      <c r="F3964" t="str">
        <f>IFERROR(INDEX(tbl_input[집계키_센터],ROW()-1),"")</f>
        <v/>
      </c>
      <c r="G3964" t="str">
        <f t="shared" si="431"/>
        <v/>
      </c>
      <c r="H3964" t="str">
        <f t="shared" si="432"/>
        <v/>
      </c>
      <c r="I3964" t="str">
        <f t="shared" si="433"/>
        <v/>
      </c>
    </row>
    <row r="3965" spans="1:9" x14ac:dyDescent="0.4">
      <c r="A3965" t="str">
        <f t="shared" si="427"/>
        <v/>
      </c>
      <c r="B3965" t="str">
        <f t="shared" si="428"/>
        <v/>
      </c>
      <c r="C3965" t="str">
        <f t="shared" si="429"/>
        <v/>
      </c>
      <c r="D3965" t="str">
        <f t="shared" si="430"/>
        <v/>
      </c>
      <c r="E3965" t="str">
        <f>IF(F3965="","",IF(COUNTIF($F$2:F3965,F3965)&gt;1,"",SUMIFS(tbl_input[필요수량],tbl_input[집계키_센터],F3965)))</f>
        <v/>
      </c>
      <c r="F3965" t="str">
        <f>IFERROR(INDEX(tbl_input[집계키_센터],ROW()-1),"")</f>
        <v/>
      </c>
      <c r="G3965" t="str">
        <f t="shared" si="431"/>
        <v/>
      </c>
      <c r="H3965" t="str">
        <f t="shared" si="432"/>
        <v/>
      </c>
      <c r="I3965" t="str">
        <f t="shared" si="433"/>
        <v/>
      </c>
    </row>
    <row r="3966" spans="1:9" x14ac:dyDescent="0.4">
      <c r="A3966" t="str">
        <f t="shared" si="427"/>
        <v/>
      </c>
      <c r="B3966" t="str">
        <f t="shared" si="428"/>
        <v/>
      </c>
      <c r="C3966" t="str">
        <f t="shared" si="429"/>
        <v/>
      </c>
      <c r="D3966" t="str">
        <f t="shared" si="430"/>
        <v/>
      </c>
      <c r="E3966" t="str">
        <f>IF(F3966="","",IF(COUNTIF($F$2:F3966,F3966)&gt;1,"",SUMIFS(tbl_input[필요수량],tbl_input[집계키_센터],F3966)))</f>
        <v/>
      </c>
      <c r="F3966" t="str">
        <f>IFERROR(INDEX(tbl_input[집계키_센터],ROW()-1),"")</f>
        <v/>
      </c>
      <c r="G3966" t="str">
        <f t="shared" si="431"/>
        <v/>
      </c>
      <c r="H3966" t="str">
        <f t="shared" si="432"/>
        <v/>
      </c>
      <c r="I3966" t="str">
        <f t="shared" si="433"/>
        <v/>
      </c>
    </row>
    <row r="3967" spans="1:9" x14ac:dyDescent="0.4">
      <c r="A3967" t="str">
        <f t="shared" si="427"/>
        <v/>
      </c>
      <c r="B3967" t="str">
        <f t="shared" si="428"/>
        <v/>
      </c>
      <c r="C3967" t="str">
        <f t="shared" si="429"/>
        <v/>
      </c>
      <c r="D3967" t="str">
        <f t="shared" si="430"/>
        <v/>
      </c>
      <c r="E3967" t="str">
        <f>IF(F3967="","",IF(COUNTIF($F$2:F3967,F3967)&gt;1,"",SUMIFS(tbl_input[필요수량],tbl_input[집계키_센터],F3967)))</f>
        <v/>
      </c>
      <c r="F3967" t="str">
        <f>IFERROR(INDEX(tbl_input[집계키_센터],ROW()-1),"")</f>
        <v/>
      </c>
      <c r="G3967" t="str">
        <f t="shared" si="431"/>
        <v/>
      </c>
      <c r="H3967" t="str">
        <f t="shared" si="432"/>
        <v/>
      </c>
      <c r="I3967" t="str">
        <f t="shared" si="433"/>
        <v/>
      </c>
    </row>
    <row r="3968" spans="1:9" x14ac:dyDescent="0.4">
      <c r="A3968" t="str">
        <f t="shared" si="427"/>
        <v/>
      </c>
      <c r="B3968" t="str">
        <f t="shared" si="428"/>
        <v/>
      </c>
      <c r="C3968" t="str">
        <f t="shared" si="429"/>
        <v/>
      </c>
      <c r="D3968" t="str">
        <f t="shared" si="430"/>
        <v/>
      </c>
      <c r="E3968" t="str">
        <f>IF(F3968="","",IF(COUNTIF($F$2:F3968,F3968)&gt;1,"",SUMIFS(tbl_input[필요수량],tbl_input[집계키_센터],F3968)))</f>
        <v/>
      </c>
      <c r="F3968" t="str">
        <f>IFERROR(INDEX(tbl_input[집계키_센터],ROW()-1),"")</f>
        <v/>
      </c>
      <c r="G3968" t="str">
        <f t="shared" si="431"/>
        <v/>
      </c>
      <c r="H3968" t="str">
        <f t="shared" si="432"/>
        <v/>
      </c>
      <c r="I3968" t="str">
        <f t="shared" si="433"/>
        <v/>
      </c>
    </row>
    <row r="3969" spans="1:9" x14ac:dyDescent="0.4">
      <c r="A3969" t="str">
        <f t="shared" si="427"/>
        <v/>
      </c>
      <c r="B3969" t="str">
        <f t="shared" si="428"/>
        <v/>
      </c>
      <c r="C3969" t="str">
        <f t="shared" si="429"/>
        <v/>
      </c>
      <c r="D3969" t="str">
        <f t="shared" si="430"/>
        <v/>
      </c>
      <c r="E3969" t="str">
        <f>IF(F3969="","",IF(COUNTIF($F$2:F3969,F3969)&gt;1,"",SUMIFS(tbl_input[필요수량],tbl_input[집계키_센터],F3969)))</f>
        <v/>
      </c>
      <c r="F3969" t="str">
        <f>IFERROR(INDEX(tbl_input[집계키_센터],ROW()-1),"")</f>
        <v/>
      </c>
      <c r="G3969" t="str">
        <f t="shared" si="431"/>
        <v/>
      </c>
      <c r="H3969" t="str">
        <f t="shared" si="432"/>
        <v/>
      </c>
      <c r="I3969" t="str">
        <f t="shared" si="433"/>
        <v/>
      </c>
    </row>
    <row r="3970" spans="1:9" x14ac:dyDescent="0.4">
      <c r="A3970" t="str">
        <f t="shared" ref="A3970:A4033" si="434">IF(F3970="","",LEFT(F3970,G3970-1))</f>
        <v/>
      </c>
      <c r="B3970" t="str">
        <f t="shared" ref="B3970:B4033" si="435">IF(F3970="","",MID(F3970,G3970+1,H3970-G3970-1))</f>
        <v/>
      </c>
      <c r="C3970" t="str">
        <f t="shared" ref="C3970:C4033" si="436">IF(F3970="","",MID(F3970,H3970+1,I3970-H3970-1))</f>
        <v/>
      </c>
      <c r="D3970" t="str">
        <f t="shared" ref="D3970:D4033" si="437">IF(F3970="","",MID(F3970,I3970+1,999))</f>
        <v/>
      </c>
      <c r="E3970" t="str">
        <f>IF(F3970="","",IF(COUNTIF($F$2:F3970,F3970)&gt;1,"",SUMIFS(tbl_input[필요수량],tbl_input[집계키_센터],F3970)))</f>
        <v/>
      </c>
      <c r="F3970" t="str">
        <f>IFERROR(INDEX(tbl_input[집계키_센터],ROW()-1),"")</f>
        <v/>
      </c>
      <c r="G3970" t="str">
        <f t="shared" ref="G3970:G4033" si="438">IF(F3970="","",FIND("♦",F3970))</f>
        <v/>
      </c>
      <c r="H3970" t="str">
        <f t="shared" ref="H3970:H4033" si="439">IF(F3970="","",FIND("♦",F3970,G3970+1))</f>
        <v/>
      </c>
      <c r="I3970" t="str">
        <f t="shared" ref="I3970:I4033" si="440">IF(F3970="","",FIND("♦",F3970,H3970+1))</f>
        <v/>
      </c>
    </row>
    <row r="3971" spans="1:9" x14ac:dyDescent="0.4">
      <c r="A3971" t="str">
        <f t="shared" si="434"/>
        <v/>
      </c>
      <c r="B3971" t="str">
        <f t="shared" si="435"/>
        <v/>
      </c>
      <c r="C3971" t="str">
        <f t="shared" si="436"/>
        <v/>
      </c>
      <c r="D3971" t="str">
        <f t="shared" si="437"/>
        <v/>
      </c>
      <c r="E3971" t="str">
        <f>IF(F3971="","",IF(COUNTIF($F$2:F3971,F3971)&gt;1,"",SUMIFS(tbl_input[필요수량],tbl_input[집계키_센터],F3971)))</f>
        <v/>
      </c>
      <c r="F3971" t="str">
        <f>IFERROR(INDEX(tbl_input[집계키_센터],ROW()-1),"")</f>
        <v/>
      </c>
      <c r="G3971" t="str">
        <f t="shared" si="438"/>
        <v/>
      </c>
      <c r="H3971" t="str">
        <f t="shared" si="439"/>
        <v/>
      </c>
      <c r="I3971" t="str">
        <f t="shared" si="440"/>
        <v/>
      </c>
    </row>
    <row r="3972" spans="1:9" x14ac:dyDescent="0.4">
      <c r="A3972" t="str">
        <f t="shared" si="434"/>
        <v/>
      </c>
      <c r="B3972" t="str">
        <f t="shared" si="435"/>
        <v/>
      </c>
      <c r="C3972" t="str">
        <f t="shared" si="436"/>
        <v/>
      </c>
      <c r="D3972" t="str">
        <f t="shared" si="437"/>
        <v/>
      </c>
      <c r="E3972" t="str">
        <f>IF(F3972="","",IF(COUNTIF($F$2:F3972,F3972)&gt;1,"",SUMIFS(tbl_input[필요수량],tbl_input[집계키_센터],F3972)))</f>
        <v/>
      </c>
      <c r="F3972" t="str">
        <f>IFERROR(INDEX(tbl_input[집계키_센터],ROW()-1),"")</f>
        <v/>
      </c>
      <c r="G3972" t="str">
        <f t="shared" si="438"/>
        <v/>
      </c>
      <c r="H3972" t="str">
        <f t="shared" si="439"/>
        <v/>
      </c>
      <c r="I3972" t="str">
        <f t="shared" si="440"/>
        <v/>
      </c>
    </row>
    <row r="3973" spans="1:9" x14ac:dyDescent="0.4">
      <c r="A3973" t="str">
        <f t="shared" si="434"/>
        <v/>
      </c>
      <c r="B3973" t="str">
        <f t="shared" si="435"/>
        <v/>
      </c>
      <c r="C3973" t="str">
        <f t="shared" si="436"/>
        <v/>
      </c>
      <c r="D3973" t="str">
        <f t="shared" si="437"/>
        <v/>
      </c>
      <c r="E3973" t="str">
        <f>IF(F3973="","",IF(COUNTIF($F$2:F3973,F3973)&gt;1,"",SUMIFS(tbl_input[필요수량],tbl_input[집계키_센터],F3973)))</f>
        <v/>
      </c>
      <c r="F3973" t="str">
        <f>IFERROR(INDEX(tbl_input[집계키_센터],ROW()-1),"")</f>
        <v/>
      </c>
      <c r="G3973" t="str">
        <f t="shared" si="438"/>
        <v/>
      </c>
      <c r="H3973" t="str">
        <f t="shared" si="439"/>
        <v/>
      </c>
      <c r="I3973" t="str">
        <f t="shared" si="440"/>
        <v/>
      </c>
    </row>
    <row r="3974" spans="1:9" x14ac:dyDescent="0.4">
      <c r="A3974" t="str">
        <f t="shared" si="434"/>
        <v/>
      </c>
      <c r="B3974" t="str">
        <f t="shared" si="435"/>
        <v/>
      </c>
      <c r="C3974" t="str">
        <f t="shared" si="436"/>
        <v/>
      </c>
      <c r="D3974" t="str">
        <f t="shared" si="437"/>
        <v/>
      </c>
      <c r="E3974" t="str">
        <f>IF(F3974="","",IF(COUNTIF($F$2:F3974,F3974)&gt;1,"",SUMIFS(tbl_input[필요수량],tbl_input[집계키_센터],F3974)))</f>
        <v/>
      </c>
      <c r="F3974" t="str">
        <f>IFERROR(INDEX(tbl_input[집계키_센터],ROW()-1),"")</f>
        <v/>
      </c>
      <c r="G3974" t="str">
        <f t="shared" si="438"/>
        <v/>
      </c>
      <c r="H3974" t="str">
        <f t="shared" si="439"/>
        <v/>
      </c>
      <c r="I3974" t="str">
        <f t="shared" si="440"/>
        <v/>
      </c>
    </row>
    <row r="3975" spans="1:9" x14ac:dyDescent="0.4">
      <c r="A3975" t="str">
        <f t="shared" si="434"/>
        <v/>
      </c>
      <c r="B3975" t="str">
        <f t="shared" si="435"/>
        <v/>
      </c>
      <c r="C3975" t="str">
        <f t="shared" si="436"/>
        <v/>
      </c>
      <c r="D3975" t="str">
        <f t="shared" si="437"/>
        <v/>
      </c>
      <c r="E3975" t="str">
        <f>IF(F3975="","",IF(COUNTIF($F$2:F3975,F3975)&gt;1,"",SUMIFS(tbl_input[필요수량],tbl_input[집계키_센터],F3975)))</f>
        <v/>
      </c>
      <c r="F3975" t="str">
        <f>IFERROR(INDEX(tbl_input[집계키_센터],ROW()-1),"")</f>
        <v/>
      </c>
      <c r="G3975" t="str">
        <f t="shared" si="438"/>
        <v/>
      </c>
      <c r="H3975" t="str">
        <f t="shared" si="439"/>
        <v/>
      </c>
      <c r="I3975" t="str">
        <f t="shared" si="440"/>
        <v/>
      </c>
    </row>
    <row r="3976" spans="1:9" x14ac:dyDescent="0.4">
      <c r="A3976" t="str">
        <f t="shared" si="434"/>
        <v/>
      </c>
      <c r="B3976" t="str">
        <f t="shared" si="435"/>
        <v/>
      </c>
      <c r="C3976" t="str">
        <f t="shared" si="436"/>
        <v/>
      </c>
      <c r="D3976" t="str">
        <f t="shared" si="437"/>
        <v/>
      </c>
      <c r="E3976" t="str">
        <f>IF(F3976="","",IF(COUNTIF($F$2:F3976,F3976)&gt;1,"",SUMIFS(tbl_input[필요수량],tbl_input[집계키_센터],F3976)))</f>
        <v/>
      </c>
      <c r="F3976" t="str">
        <f>IFERROR(INDEX(tbl_input[집계키_센터],ROW()-1),"")</f>
        <v/>
      </c>
      <c r="G3976" t="str">
        <f t="shared" si="438"/>
        <v/>
      </c>
      <c r="H3976" t="str">
        <f t="shared" si="439"/>
        <v/>
      </c>
      <c r="I3976" t="str">
        <f t="shared" si="440"/>
        <v/>
      </c>
    </row>
    <row r="3977" spans="1:9" x14ac:dyDescent="0.4">
      <c r="A3977" t="str">
        <f t="shared" si="434"/>
        <v/>
      </c>
      <c r="B3977" t="str">
        <f t="shared" si="435"/>
        <v/>
      </c>
      <c r="C3977" t="str">
        <f t="shared" si="436"/>
        <v/>
      </c>
      <c r="D3977" t="str">
        <f t="shared" si="437"/>
        <v/>
      </c>
      <c r="E3977" t="str">
        <f>IF(F3977="","",IF(COUNTIF($F$2:F3977,F3977)&gt;1,"",SUMIFS(tbl_input[필요수량],tbl_input[집계키_센터],F3977)))</f>
        <v/>
      </c>
      <c r="F3977" t="str">
        <f>IFERROR(INDEX(tbl_input[집계키_센터],ROW()-1),"")</f>
        <v/>
      </c>
      <c r="G3977" t="str">
        <f t="shared" si="438"/>
        <v/>
      </c>
      <c r="H3977" t="str">
        <f t="shared" si="439"/>
        <v/>
      </c>
      <c r="I3977" t="str">
        <f t="shared" si="440"/>
        <v/>
      </c>
    </row>
    <row r="3978" spans="1:9" x14ac:dyDescent="0.4">
      <c r="A3978" t="str">
        <f t="shared" si="434"/>
        <v/>
      </c>
      <c r="B3978" t="str">
        <f t="shared" si="435"/>
        <v/>
      </c>
      <c r="C3978" t="str">
        <f t="shared" si="436"/>
        <v/>
      </c>
      <c r="D3978" t="str">
        <f t="shared" si="437"/>
        <v/>
      </c>
      <c r="E3978" t="str">
        <f>IF(F3978="","",IF(COUNTIF($F$2:F3978,F3978)&gt;1,"",SUMIFS(tbl_input[필요수량],tbl_input[집계키_센터],F3978)))</f>
        <v/>
      </c>
      <c r="F3978" t="str">
        <f>IFERROR(INDEX(tbl_input[집계키_센터],ROW()-1),"")</f>
        <v/>
      </c>
      <c r="G3978" t="str">
        <f t="shared" si="438"/>
        <v/>
      </c>
      <c r="H3978" t="str">
        <f t="shared" si="439"/>
        <v/>
      </c>
      <c r="I3978" t="str">
        <f t="shared" si="440"/>
        <v/>
      </c>
    </row>
    <row r="3979" spans="1:9" x14ac:dyDescent="0.4">
      <c r="A3979" t="str">
        <f t="shared" si="434"/>
        <v/>
      </c>
      <c r="B3979" t="str">
        <f t="shared" si="435"/>
        <v/>
      </c>
      <c r="C3979" t="str">
        <f t="shared" si="436"/>
        <v/>
      </c>
      <c r="D3979" t="str">
        <f t="shared" si="437"/>
        <v/>
      </c>
      <c r="E3979" t="str">
        <f>IF(F3979="","",IF(COUNTIF($F$2:F3979,F3979)&gt;1,"",SUMIFS(tbl_input[필요수량],tbl_input[집계키_센터],F3979)))</f>
        <v/>
      </c>
      <c r="F3979" t="str">
        <f>IFERROR(INDEX(tbl_input[집계키_센터],ROW()-1),"")</f>
        <v/>
      </c>
      <c r="G3979" t="str">
        <f t="shared" si="438"/>
        <v/>
      </c>
      <c r="H3979" t="str">
        <f t="shared" si="439"/>
        <v/>
      </c>
      <c r="I3979" t="str">
        <f t="shared" si="440"/>
        <v/>
      </c>
    </row>
    <row r="3980" spans="1:9" x14ac:dyDescent="0.4">
      <c r="A3980" t="str">
        <f t="shared" si="434"/>
        <v/>
      </c>
      <c r="B3980" t="str">
        <f t="shared" si="435"/>
        <v/>
      </c>
      <c r="C3980" t="str">
        <f t="shared" si="436"/>
        <v/>
      </c>
      <c r="D3980" t="str">
        <f t="shared" si="437"/>
        <v/>
      </c>
      <c r="E3980" t="str">
        <f>IF(F3980="","",IF(COUNTIF($F$2:F3980,F3980)&gt;1,"",SUMIFS(tbl_input[필요수량],tbl_input[집계키_센터],F3980)))</f>
        <v/>
      </c>
      <c r="F3980" t="str">
        <f>IFERROR(INDEX(tbl_input[집계키_센터],ROW()-1),"")</f>
        <v/>
      </c>
      <c r="G3980" t="str">
        <f t="shared" si="438"/>
        <v/>
      </c>
      <c r="H3980" t="str">
        <f t="shared" si="439"/>
        <v/>
      </c>
      <c r="I3980" t="str">
        <f t="shared" si="440"/>
        <v/>
      </c>
    </row>
    <row r="3981" spans="1:9" x14ac:dyDescent="0.4">
      <c r="A3981" t="str">
        <f t="shared" si="434"/>
        <v/>
      </c>
      <c r="B3981" t="str">
        <f t="shared" si="435"/>
        <v/>
      </c>
      <c r="C3981" t="str">
        <f t="shared" si="436"/>
        <v/>
      </c>
      <c r="D3981" t="str">
        <f t="shared" si="437"/>
        <v/>
      </c>
      <c r="E3981" t="str">
        <f>IF(F3981="","",IF(COUNTIF($F$2:F3981,F3981)&gt;1,"",SUMIFS(tbl_input[필요수량],tbl_input[집계키_센터],F3981)))</f>
        <v/>
      </c>
      <c r="F3981" t="str">
        <f>IFERROR(INDEX(tbl_input[집계키_센터],ROW()-1),"")</f>
        <v/>
      </c>
      <c r="G3981" t="str">
        <f t="shared" si="438"/>
        <v/>
      </c>
      <c r="H3981" t="str">
        <f t="shared" si="439"/>
        <v/>
      </c>
      <c r="I3981" t="str">
        <f t="shared" si="440"/>
        <v/>
      </c>
    </row>
    <row r="3982" spans="1:9" x14ac:dyDescent="0.4">
      <c r="A3982" t="str">
        <f t="shared" si="434"/>
        <v/>
      </c>
      <c r="B3982" t="str">
        <f t="shared" si="435"/>
        <v/>
      </c>
      <c r="C3982" t="str">
        <f t="shared" si="436"/>
        <v/>
      </c>
      <c r="D3982" t="str">
        <f t="shared" si="437"/>
        <v/>
      </c>
      <c r="E3982" t="str">
        <f>IF(F3982="","",IF(COUNTIF($F$2:F3982,F3982)&gt;1,"",SUMIFS(tbl_input[필요수량],tbl_input[집계키_센터],F3982)))</f>
        <v/>
      </c>
      <c r="F3982" t="str">
        <f>IFERROR(INDEX(tbl_input[집계키_센터],ROW()-1),"")</f>
        <v/>
      </c>
      <c r="G3982" t="str">
        <f t="shared" si="438"/>
        <v/>
      </c>
      <c r="H3982" t="str">
        <f t="shared" si="439"/>
        <v/>
      </c>
      <c r="I3982" t="str">
        <f t="shared" si="440"/>
        <v/>
      </c>
    </row>
    <row r="3983" spans="1:9" x14ac:dyDescent="0.4">
      <c r="A3983" t="str">
        <f t="shared" si="434"/>
        <v/>
      </c>
      <c r="B3983" t="str">
        <f t="shared" si="435"/>
        <v/>
      </c>
      <c r="C3983" t="str">
        <f t="shared" si="436"/>
        <v/>
      </c>
      <c r="D3983" t="str">
        <f t="shared" si="437"/>
        <v/>
      </c>
      <c r="E3983" t="str">
        <f>IF(F3983="","",IF(COUNTIF($F$2:F3983,F3983)&gt;1,"",SUMIFS(tbl_input[필요수량],tbl_input[집계키_센터],F3983)))</f>
        <v/>
      </c>
      <c r="F3983" t="str">
        <f>IFERROR(INDEX(tbl_input[집계키_센터],ROW()-1),"")</f>
        <v/>
      </c>
      <c r="G3983" t="str">
        <f t="shared" si="438"/>
        <v/>
      </c>
      <c r="H3983" t="str">
        <f t="shared" si="439"/>
        <v/>
      </c>
      <c r="I3983" t="str">
        <f t="shared" si="440"/>
        <v/>
      </c>
    </row>
    <row r="3984" spans="1:9" x14ac:dyDescent="0.4">
      <c r="A3984" t="str">
        <f t="shared" si="434"/>
        <v/>
      </c>
      <c r="B3984" t="str">
        <f t="shared" si="435"/>
        <v/>
      </c>
      <c r="C3984" t="str">
        <f t="shared" si="436"/>
        <v/>
      </c>
      <c r="D3984" t="str">
        <f t="shared" si="437"/>
        <v/>
      </c>
      <c r="E3984" t="str">
        <f>IF(F3984="","",IF(COUNTIF($F$2:F3984,F3984)&gt;1,"",SUMIFS(tbl_input[필요수량],tbl_input[집계키_센터],F3984)))</f>
        <v/>
      </c>
      <c r="F3984" t="str">
        <f>IFERROR(INDEX(tbl_input[집계키_센터],ROW()-1),"")</f>
        <v/>
      </c>
      <c r="G3984" t="str">
        <f t="shared" si="438"/>
        <v/>
      </c>
      <c r="H3984" t="str">
        <f t="shared" si="439"/>
        <v/>
      </c>
      <c r="I3984" t="str">
        <f t="shared" si="440"/>
        <v/>
      </c>
    </row>
    <row r="3985" spans="1:9" x14ac:dyDescent="0.4">
      <c r="A3985" t="str">
        <f t="shared" si="434"/>
        <v/>
      </c>
      <c r="B3985" t="str">
        <f t="shared" si="435"/>
        <v/>
      </c>
      <c r="C3985" t="str">
        <f t="shared" si="436"/>
        <v/>
      </c>
      <c r="D3985" t="str">
        <f t="shared" si="437"/>
        <v/>
      </c>
      <c r="E3985" t="str">
        <f>IF(F3985="","",IF(COUNTIF($F$2:F3985,F3985)&gt;1,"",SUMIFS(tbl_input[필요수량],tbl_input[집계키_센터],F3985)))</f>
        <v/>
      </c>
      <c r="F3985" t="str">
        <f>IFERROR(INDEX(tbl_input[집계키_센터],ROW()-1),"")</f>
        <v/>
      </c>
      <c r="G3985" t="str">
        <f t="shared" si="438"/>
        <v/>
      </c>
      <c r="H3985" t="str">
        <f t="shared" si="439"/>
        <v/>
      </c>
      <c r="I3985" t="str">
        <f t="shared" si="440"/>
        <v/>
      </c>
    </row>
    <row r="3986" spans="1:9" x14ac:dyDescent="0.4">
      <c r="A3986" t="str">
        <f t="shared" si="434"/>
        <v/>
      </c>
      <c r="B3986" t="str">
        <f t="shared" si="435"/>
        <v/>
      </c>
      <c r="C3986" t="str">
        <f t="shared" si="436"/>
        <v/>
      </c>
      <c r="D3986" t="str">
        <f t="shared" si="437"/>
        <v/>
      </c>
      <c r="E3986" t="str">
        <f>IF(F3986="","",IF(COUNTIF($F$2:F3986,F3986)&gt;1,"",SUMIFS(tbl_input[필요수량],tbl_input[집계키_센터],F3986)))</f>
        <v/>
      </c>
      <c r="F3986" t="str">
        <f>IFERROR(INDEX(tbl_input[집계키_센터],ROW()-1),"")</f>
        <v/>
      </c>
      <c r="G3986" t="str">
        <f t="shared" si="438"/>
        <v/>
      </c>
      <c r="H3986" t="str">
        <f t="shared" si="439"/>
        <v/>
      </c>
      <c r="I3986" t="str">
        <f t="shared" si="440"/>
        <v/>
      </c>
    </row>
    <row r="3987" spans="1:9" x14ac:dyDescent="0.4">
      <c r="A3987" t="str">
        <f t="shared" si="434"/>
        <v/>
      </c>
      <c r="B3987" t="str">
        <f t="shared" si="435"/>
        <v/>
      </c>
      <c r="C3987" t="str">
        <f t="shared" si="436"/>
        <v/>
      </c>
      <c r="D3987" t="str">
        <f t="shared" si="437"/>
        <v/>
      </c>
      <c r="E3987" t="str">
        <f>IF(F3987="","",IF(COUNTIF($F$2:F3987,F3987)&gt;1,"",SUMIFS(tbl_input[필요수량],tbl_input[집계키_센터],F3987)))</f>
        <v/>
      </c>
      <c r="F3987" t="str">
        <f>IFERROR(INDEX(tbl_input[집계키_센터],ROW()-1),"")</f>
        <v/>
      </c>
      <c r="G3987" t="str">
        <f t="shared" si="438"/>
        <v/>
      </c>
      <c r="H3987" t="str">
        <f t="shared" si="439"/>
        <v/>
      </c>
      <c r="I3987" t="str">
        <f t="shared" si="440"/>
        <v/>
      </c>
    </row>
    <row r="3988" spans="1:9" x14ac:dyDescent="0.4">
      <c r="A3988" t="str">
        <f t="shared" si="434"/>
        <v/>
      </c>
      <c r="B3988" t="str">
        <f t="shared" si="435"/>
        <v/>
      </c>
      <c r="C3988" t="str">
        <f t="shared" si="436"/>
        <v/>
      </c>
      <c r="D3988" t="str">
        <f t="shared" si="437"/>
        <v/>
      </c>
      <c r="E3988" t="str">
        <f>IF(F3988="","",IF(COUNTIF($F$2:F3988,F3988)&gt;1,"",SUMIFS(tbl_input[필요수량],tbl_input[집계키_센터],F3988)))</f>
        <v/>
      </c>
      <c r="F3988" t="str">
        <f>IFERROR(INDEX(tbl_input[집계키_센터],ROW()-1),"")</f>
        <v/>
      </c>
      <c r="G3988" t="str">
        <f t="shared" si="438"/>
        <v/>
      </c>
      <c r="H3988" t="str">
        <f t="shared" si="439"/>
        <v/>
      </c>
      <c r="I3988" t="str">
        <f t="shared" si="440"/>
        <v/>
      </c>
    </row>
    <row r="3989" spans="1:9" x14ac:dyDescent="0.4">
      <c r="A3989" t="str">
        <f t="shared" si="434"/>
        <v/>
      </c>
      <c r="B3989" t="str">
        <f t="shared" si="435"/>
        <v/>
      </c>
      <c r="C3989" t="str">
        <f t="shared" si="436"/>
        <v/>
      </c>
      <c r="D3989" t="str">
        <f t="shared" si="437"/>
        <v/>
      </c>
      <c r="E3989" t="str">
        <f>IF(F3989="","",IF(COUNTIF($F$2:F3989,F3989)&gt;1,"",SUMIFS(tbl_input[필요수량],tbl_input[집계키_센터],F3989)))</f>
        <v/>
      </c>
      <c r="F3989" t="str">
        <f>IFERROR(INDEX(tbl_input[집계키_센터],ROW()-1),"")</f>
        <v/>
      </c>
      <c r="G3989" t="str">
        <f t="shared" si="438"/>
        <v/>
      </c>
      <c r="H3989" t="str">
        <f t="shared" si="439"/>
        <v/>
      </c>
      <c r="I3989" t="str">
        <f t="shared" si="440"/>
        <v/>
      </c>
    </row>
    <row r="3990" spans="1:9" x14ac:dyDescent="0.4">
      <c r="A3990" t="str">
        <f t="shared" si="434"/>
        <v/>
      </c>
      <c r="B3990" t="str">
        <f t="shared" si="435"/>
        <v/>
      </c>
      <c r="C3990" t="str">
        <f t="shared" si="436"/>
        <v/>
      </c>
      <c r="D3990" t="str">
        <f t="shared" si="437"/>
        <v/>
      </c>
      <c r="E3990" t="str">
        <f>IF(F3990="","",IF(COUNTIF($F$2:F3990,F3990)&gt;1,"",SUMIFS(tbl_input[필요수량],tbl_input[집계키_센터],F3990)))</f>
        <v/>
      </c>
      <c r="F3990" t="str">
        <f>IFERROR(INDEX(tbl_input[집계키_센터],ROW()-1),"")</f>
        <v/>
      </c>
      <c r="G3990" t="str">
        <f t="shared" si="438"/>
        <v/>
      </c>
      <c r="H3990" t="str">
        <f t="shared" si="439"/>
        <v/>
      </c>
      <c r="I3990" t="str">
        <f t="shared" si="440"/>
        <v/>
      </c>
    </row>
    <row r="3991" spans="1:9" x14ac:dyDescent="0.4">
      <c r="A3991" t="str">
        <f t="shared" si="434"/>
        <v/>
      </c>
      <c r="B3991" t="str">
        <f t="shared" si="435"/>
        <v/>
      </c>
      <c r="C3991" t="str">
        <f t="shared" si="436"/>
        <v/>
      </c>
      <c r="D3991" t="str">
        <f t="shared" si="437"/>
        <v/>
      </c>
      <c r="E3991" t="str">
        <f>IF(F3991="","",IF(COUNTIF($F$2:F3991,F3991)&gt;1,"",SUMIFS(tbl_input[필요수량],tbl_input[집계키_센터],F3991)))</f>
        <v/>
      </c>
      <c r="F3991" t="str">
        <f>IFERROR(INDEX(tbl_input[집계키_센터],ROW()-1),"")</f>
        <v/>
      </c>
      <c r="G3991" t="str">
        <f t="shared" si="438"/>
        <v/>
      </c>
      <c r="H3991" t="str">
        <f t="shared" si="439"/>
        <v/>
      </c>
      <c r="I3991" t="str">
        <f t="shared" si="440"/>
        <v/>
      </c>
    </row>
    <row r="3992" spans="1:9" x14ac:dyDescent="0.4">
      <c r="A3992" t="str">
        <f t="shared" si="434"/>
        <v/>
      </c>
      <c r="B3992" t="str">
        <f t="shared" si="435"/>
        <v/>
      </c>
      <c r="C3992" t="str">
        <f t="shared" si="436"/>
        <v/>
      </c>
      <c r="D3992" t="str">
        <f t="shared" si="437"/>
        <v/>
      </c>
      <c r="E3992" t="str">
        <f>IF(F3992="","",IF(COUNTIF($F$2:F3992,F3992)&gt;1,"",SUMIFS(tbl_input[필요수량],tbl_input[집계키_센터],F3992)))</f>
        <v/>
      </c>
      <c r="F3992" t="str">
        <f>IFERROR(INDEX(tbl_input[집계키_센터],ROW()-1),"")</f>
        <v/>
      </c>
      <c r="G3992" t="str">
        <f t="shared" si="438"/>
        <v/>
      </c>
      <c r="H3992" t="str">
        <f t="shared" si="439"/>
        <v/>
      </c>
      <c r="I3992" t="str">
        <f t="shared" si="440"/>
        <v/>
      </c>
    </row>
    <row r="3993" spans="1:9" x14ac:dyDescent="0.4">
      <c r="A3993" t="str">
        <f t="shared" si="434"/>
        <v/>
      </c>
      <c r="B3993" t="str">
        <f t="shared" si="435"/>
        <v/>
      </c>
      <c r="C3993" t="str">
        <f t="shared" si="436"/>
        <v/>
      </c>
      <c r="D3993" t="str">
        <f t="shared" si="437"/>
        <v/>
      </c>
      <c r="E3993" t="str">
        <f>IF(F3993="","",IF(COUNTIF($F$2:F3993,F3993)&gt;1,"",SUMIFS(tbl_input[필요수량],tbl_input[집계키_센터],F3993)))</f>
        <v/>
      </c>
      <c r="F3993" t="str">
        <f>IFERROR(INDEX(tbl_input[집계키_센터],ROW()-1),"")</f>
        <v/>
      </c>
      <c r="G3993" t="str">
        <f t="shared" si="438"/>
        <v/>
      </c>
      <c r="H3993" t="str">
        <f t="shared" si="439"/>
        <v/>
      </c>
      <c r="I3993" t="str">
        <f t="shared" si="440"/>
        <v/>
      </c>
    </row>
    <row r="3994" spans="1:9" x14ac:dyDescent="0.4">
      <c r="A3994" t="str">
        <f t="shared" si="434"/>
        <v/>
      </c>
      <c r="B3994" t="str">
        <f t="shared" si="435"/>
        <v/>
      </c>
      <c r="C3994" t="str">
        <f t="shared" si="436"/>
        <v/>
      </c>
      <c r="D3994" t="str">
        <f t="shared" si="437"/>
        <v/>
      </c>
      <c r="E3994" t="str">
        <f>IF(F3994="","",IF(COUNTIF($F$2:F3994,F3994)&gt;1,"",SUMIFS(tbl_input[필요수량],tbl_input[집계키_센터],F3994)))</f>
        <v/>
      </c>
      <c r="F3994" t="str">
        <f>IFERROR(INDEX(tbl_input[집계키_센터],ROW()-1),"")</f>
        <v/>
      </c>
      <c r="G3994" t="str">
        <f t="shared" si="438"/>
        <v/>
      </c>
      <c r="H3994" t="str">
        <f t="shared" si="439"/>
        <v/>
      </c>
      <c r="I3994" t="str">
        <f t="shared" si="440"/>
        <v/>
      </c>
    </row>
    <row r="3995" spans="1:9" x14ac:dyDescent="0.4">
      <c r="A3995" t="str">
        <f t="shared" si="434"/>
        <v/>
      </c>
      <c r="B3995" t="str">
        <f t="shared" si="435"/>
        <v/>
      </c>
      <c r="C3995" t="str">
        <f t="shared" si="436"/>
        <v/>
      </c>
      <c r="D3995" t="str">
        <f t="shared" si="437"/>
        <v/>
      </c>
      <c r="E3995" t="str">
        <f>IF(F3995="","",IF(COUNTIF($F$2:F3995,F3995)&gt;1,"",SUMIFS(tbl_input[필요수량],tbl_input[집계키_센터],F3995)))</f>
        <v/>
      </c>
      <c r="F3995" t="str">
        <f>IFERROR(INDEX(tbl_input[집계키_센터],ROW()-1),"")</f>
        <v/>
      </c>
      <c r="G3995" t="str">
        <f t="shared" si="438"/>
        <v/>
      </c>
      <c r="H3995" t="str">
        <f t="shared" si="439"/>
        <v/>
      </c>
      <c r="I3995" t="str">
        <f t="shared" si="440"/>
        <v/>
      </c>
    </row>
    <row r="3996" spans="1:9" x14ac:dyDescent="0.4">
      <c r="A3996" t="str">
        <f t="shared" si="434"/>
        <v/>
      </c>
      <c r="B3996" t="str">
        <f t="shared" si="435"/>
        <v/>
      </c>
      <c r="C3996" t="str">
        <f t="shared" si="436"/>
        <v/>
      </c>
      <c r="D3996" t="str">
        <f t="shared" si="437"/>
        <v/>
      </c>
      <c r="E3996" t="str">
        <f>IF(F3996="","",IF(COUNTIF($F$2:F3996,F3996)&gt;1,"",SUMIFS(tbl_input[필요수량],tbl_input[집계키_센터],F3996)))</f>
        <v/>
      </c>
      <c r="F3996" t="str">
        <f>IFERROR(INDEX(tbl_input[집계키_센터],ROW()-1),"")</f>
        <v/>
      </c>
      <c r="G3996" t="str">
        <f t="shared" si="438"/>
        <v/>
      </c>
      <c r="H3996" t="str">
        <f t="shared" si="439"/>
        <v/>
      </c>
      <c r="I3996" t="str">
        <f t="shared" si="440"/>
        <v/>
      </c>
    </row>
    <row r="3997" spans="1:9" x14ac:dyDescent="0.4">
      <c r="A3997" t="str">
        <f t="shared" si="434"/>
        <v/>
      </c>
      <c r="B3997" t="str">
        <f t="shared" si="435"/>
        <v/>
      </c>
      <c r="C3997" t="str">
        <f t="shared" si="436"/>
        <v/>
      </c>
      <c r="D3997" t="str">
        <f t="shared" si="437"/>
        <v/>
      </c>
      <c r="E3997" t="str">
        <f>IF(F3997="","",IF(COUNTIF($F$2:F3997,F3997)&gt;1,"",SUMIFS(tbl_input[필요수량],tbl_input[집계키_센터],F3997)))</f>
        <v/>
      </c>
      <c r="F3997" t="str">
        <f>IFERROR(INDEX(tbl_input[집계키_센터],ROW()-1),"")</f>
        <v/>
      </c>
      <c r="G3997" t="str">
        <f t="shared" si="438"/>
        <v/>
      </c>
      <c r="H3997" t="str">
        <f t="shared" si="439"/>
        <v/>
      </c>
      <c r="I3997" t="str">
        <f t="shared" si="440"/>
        <v/>
      </c>
    </row>
    <row r="3998" spans="1:9" x14ac:dyDescent="0.4">
      <c r="A3998" t="str">
        <f t="shared" si="434"/>
        <v/>
      </c>
      <c r="B3998" t="str">
        <f t="shared" si="435"/>
        <v/>
      </c>
      <c r="C3998" t="str">
        <f t="shared" si="436"/>
        <v/>
      </c>
      <c r="D3998" t="str">
        <f t="shared" si="437"/>
        <v/>
      </c>
      <c r="E3998" t="str">
        <f>IF(F3998="","",IF(COUNTIF($F$2:F3998,F3998)&gt;1,"",SUMIFS(tbl_input[필요수량],tbl_input[집계키_센터],F3998)))</f>
        <v/>
      </c>
      <c r="F3998" t="str">
        <f>IFERROR(INDEX(tbl_input[집계키_센터],ROW()-1),"")</f>
        <v/>
      </c>
      <c r="G3998" t="str">
        <f t="shared" si="438"/>
        <v/>
      </c>
      <c r="H3998" t="str">
        <f t="shared" si="439"/>
        <v/>
      </c>
      <c r="I3998" t="str">
        <f t="shared" si="440"/>
        <v/>
      </c>
    </row>
    <row r="3999" spans="1:9" x14ac:dyDescent="0.4">
      <c r="A3999" t="str">
        <f t="shared" si="434"/>
        <v/>
      </c>
      <c r="B3999" t="str">
        <f t="shared" si="435"/>
        <v/>
      </c>
      <c r="C3999" t="str">
        <f t="shared" si="436"/>
        <v/>
      </c>
      <c r="D3999" t="str">
        <f t="shared" si="437"/>
        <v/>
      </c>
      <c r="E3999" t="str">
        <f>IF(F3999="","",IF(COUNTIF($F$2:F3999,F3999)&gt;1,"",SUMIFS(tbl_input[필요수량],tbl_input[집계키_센터],F3999)))</f>
        <v/>
      </c>
      <c r="F3999" t="str">
        <f>IFERROR(INDEX(tbl_input[집계키_센터],ROW()-1),"")</f>
        <v/>
      </c>
      <c r="G3999" t="str">
        <f t="shared" si="438"/>
        <v/>
      </c>
      <c r="H3999" t="str">
        <f t="shared" si="439"/>
        <v/>
      </c>
      <c r="I3999" t="str">
        <f t="shared" si="440"/>
        <v/>
      </c>
    </row>
    <row r="4000" spans="1:9" x14ac:dyDescent="0.4">
      <c r="A4000" t="str">
        <f t="shared" si="434"/>
        <v/>
      </c>
      <c r="B4000" t="str">
        <f t="shared" si="435"/>
        <v/>
      </c>
      <c r="C4000" t="str">
        <f t="shared" si="436"/>
        <v/>
      </c>
      <c r="D4000" t="str">
        <f t="shared" si="437"/>
        <v/>
      </c>
      <c r="E4000" t="str">
        <f>IF(F4000="","",IF(COUNTIF($F$2:F4000,F4000)&gt;1,"",SUMIFS(tbl_input[필요수량],tbl_input[집계키_센터],F4000)))</f>
        <v/>
      </c>
      <c r="F4000" t="str">
        <f>IFERROR(INDEX(tbl_input[집계키_센터],ROW()-1),"")</f>
        <v/>
      </c>
      <c r="G4000" t="str">
        <f t="shared" si="438"/>
        <v/>
      </c>
      <c r="H4000" t="str">
        <f t="shared" si="439"/>
        <v/>
      </c>
      <c r="I4000" t="str">
        <f t="shared" si="440"/>
        <v/>
      </c>
    </row>
    <row r="4001" spans="1:9" x14ac:dyDescent="0.4">
      <c r="A4001" t="str">
        <f t="shared" si="434"/>
        <v/>
      </c>
      <c r="B4001" t="str">
        <f t="shared" si="435"/>
        <v/>
      </c>
      <c r="C4001" t="str">
        <f t="shared" si="436"/>
        <v/>
      </c>
      <c r="D4001" t="str">
        <f t="shared" si="437"/>
        <v/>
      </c>
      <c r="E4001" t="str">
        <f>IF(F4001="","",IF(COUNTIF($F$2:F4001,F4001)&gt;1,"",SUMIFS(tbl_input[필요수량],tbl_input[집계키_센터],F4001)))</f>
        <v/>
      </c>
      <c r="F4001" t="str">
        <f>IFERROR(INDEX(tbl_input[집계키_센터],ROW()-1),"")</f>
        <v/>
      </c>
      <c r="G4001" t="str">
        <f t="shared" si="438"/>
        <v/>
      </c>
      <c r="H4001" t="str">
        <f t="shared" si="439"/>
        <v/>
      </c>
      <c r="I4001" t="str">
        <f t="shared" si="440"/>
        <v/>
      </c>
    </row>
    <row r="4002" spans="1:9" x14ac:dyDescent="0.4">
      <c r="A4002" t="str">
        <f t="shared" si="434"/>
        <v/>
      </c>
      <c r="B4002" t="str">
        <f t="shared" si="435"/>
        <v/>
      </c>
      <c r="C4002" t="str">
        <f t="shared" si="436"/>
        <v/>
      </c>
      <c r="D4002" t="str">
        <f t="shared" si="437"/>
        <v/>
      </c>
      <c r="E4002" t="str">
        <f>IF(F4002="","",IF(COUNTIF($F$2:F4002,F4002)&gt;1,"",SUMIFS(tbl_input[필요수량],tbl_input[집계키_센터],F4002)))</f>
        <v/>
      </c>
      <c r="F4002" t="str">
        <f>IFERROR(INDEX(tbl_input[집계키_센터],ROW()-1),"")</f>
        <v/>
      </c>
      <c r="G4002" t="str">
        <f t="shared" si="438"/>
        <v/>
      </c>
      <c r="H4002" t="str">
        <f t="shared" si="439"/>
        <v/>
      </c>
      <c r="I4002" t="str">
        <f t="shared" si="440"/>
        <v/>
      </c>
    </row>
    <row r="4003" spans="1:9" x14ac:dyDescent="0.4">
      <c r="A4003" t="str">
        <f t="shared" si="434"/>
        <v/>
      </c>
      <c r="B4003" t="str">
        <f t="shared" si="435"/>
        <v/>
      </c>
      <c r="C4003" t="str">
        <f t="shared" si="436"/>
        <v/>
      </c>
      <c r="D4003" t="str">
        <f t="shared" si="437"/>
        <v/>
      </c>
      <c r="E4003" t="str">
        <f>IF(F4003="","",IF(COUNTIF($F$2:F4003,F4003)&gt;1,"",SUMIFS(tbl_input[필요수량],tbl_input[집계키_센터],F4003)))</f>
        <v/>
      </c>
      <c r="F4003" t="str">
        <f>IFERROR(INDEX(tbl_input[집계키_센터],ROW()-1),"")</f>
        <v/>
      </c>
      <c r="G4003" t="str">
        <f t="shared" si="438"/>
        <v/>
      </c>
      <c r="H4003" t="str">
        <f t="shared" si="439"/>
        <v/>
      </c>
      <c r="I4003" t="str">
        <f t="shared" si="440"/>
        <v/>
      </c>
    </row>
    <row r="4004" spans="1:9" x14ac:dyDescent="0.4">
      <c r="A4004" t="str">
        <f t="shared" si="434"/>
        <v/>
      </c>
      <c r="B4004" t="str">
        <f t="shared" si="435"/>
        <v/>
      </c>
      <c r="C4004" t="str">
        <f t="shared" si="436"/>
        <v/>
      </c>
      <c r="D4004" t="str">
        <f t="shared" si="437"/>
        <v/>
      </c>
      <c r="E4004" t="str">
        <f>IF(F4004="","",IF(COUNTIF($F$2:F4004,F4004)&gt;1,"",SUMIFS(tbl_input[필요수량],tbl_input[집계키_센터],F4004)))</f>
        <v/>
      </c>
      <c r="F4004" t="str">
        <f>IFERROR(INDEX(tbl_input[집계키_센터],ROW()-1),"")</f>
        <v/>
      </c>
      <c r="G4004" t="str">
        <f t="shared" si="438"/>
        <v/>
      </c>
      <c r="H4004" t="str">
        <f t="shared" si="439"/>
        <v/>
      </c>
      <c r="I4004" t="str">
        <f t="shared" si="440"/>
        <v/>
      </c>
    </row>
    <row r="4005" spans="1:9" x14ac:dyDescent="0.4">
      <c r="A4005" t="str">
        <f t="shared" si="434"/>
        <v/>
      </c>
      <c r="B4005" t="str">
        <f t="shared" si="435"/>
        <v/>
      </c>
      <c r="C4005" t="str">
        <f t="shared" si="436"/>
        <v/>
      </c>
      <c r="D4005" t="str">
        <f t="shared" si="437"/>
        <v/>
      </c>
      <c r="E4005" t="str">
        <f>IF(F4005="","",IF(COUNTIF($F$2:F4005,F4005)&gt;1,"",SUMIFS(tbl_input[필요수량],tbl_input[집계키_센터],F4005)))</f>
        <v/>
      </c>
      <c r="F4005" t="str">
        <f>IFERROR(INDEX(tbl_input[집계키_센터],ROW()-1),"")</f>
        <v/>
      </c>
      <c r="G4005" t="str">
        <f t="shared" si="438"/>
        <v/>
      </c>
      <c r="H4005" t="str">
        <f t="shared" si="439"/>
        <v/>
      </c>
      <c r="I4005" t="str">
        <f t="shared" si="440"/>
        <v/>
      </c>
    </row>
    <row r="4006" spans="1:9" x14ac:dyDescent="0.4">
      <c r="A4006" t="str">
        <f t="shared" si="434"/>
        <v/>
      </c>
      <c r="B4006" t="str">
        <f t="shared" si="435"/>
        <v/>
      </c>
      <c r="C4006" t="str">
        <f t="shared" si="436"/>
        <v/>
      </c>
      <c r="D4006" t="str">
        <f t="shared" si="437"/>
        <v/>
      </c>
      <c r="E4006" t="str">
        <f>IF(F4006="","",IF(COUNTIF($F$2:F4006,F4006)&gt;1,"",SUMIFS(tbl_input[필요수량],tbl_input[집계키_센터],F4006)))</f>
        <v/>
      </c>
      <c r="F4006" t="str">
        <f>IFERROR(INDEX(tbl_input[집계키_센터],ROW()-1),"")</f>
        <v/>
      </c>
      <c r="G4006" t="str">
        <f t="shared" si="438"/>
        <v/>
      </c>
      <c r="H4006" t="str">
        <f t="shared" si="439"/>
        <v/>
      </c>
      <c r="I4006" t="str">
        <f t="shared" si="440"/>
        <v/>
      </c>
    </row>
    <row r="4007" spans="1:9" x14ac:dyDescent="0.4">
      <c r="A4007" t="str">
        <f t="shared" si="434"/>
        <v/>
      </c>
      <c r="B4007" t="str">
        <f t="shared" si="435"/>
        <v/>
      </c>
      <c r="C4007" t="str">
        <f t="shared" si="436"/>
        <v/>
      </c>
      <c r="D4007" t="str">
        <f t="shared" si="437"/>
        <v/>
      </c>
      <c r="E4007" t="str">
        <f>IF(F4007="","",IF(COUNTIF($F$2:F4007,F4007)&gt;1,"",SUMIFS(tbl_input[필요수량],tbl_input[집계키_센터],F4007)))</f>
        <v/>
      </c>
      <c r="F4007" t="str">
        <f>IFERROR(INDEX(tbl_input[집계키_센터],ROW()-1),"")</f>
        <v/>
      </c>
      <c r="G4007" t="str">
        <f t="shared" si="438"/>
        <v/>
      </c>
      <c r="H4007" t="str">
        <f t="shared" si="439"/>
        <v/>
      </c>
      <c r="I4007" t="str">
        <f t="shared" si="440"/>
        <v/>
      </c>
    </row>
    <row r="4008" spans="1:9" x14ac:dyDescent="0.4">
      <c r="A4008" t="str">
        <f t="shared" si="434"/>
        <v/>
      </c>
      <c r="B4008" t="str">
        <f t="shared" si="435"/>
        <v/>
      </c>
      <c r="C4008" t="str">
        <f t="shared" si="436"/>
        <v/>
      </c>
      <c r="D4008" t="str">
        <f t="shared" si="437"/>
        <v/>
      </c>
      <c r="E4008" t="str">
        <f>IF(F4008="","",IF(COUNTIF($F$2:F4008,F4008)&gt;1,"",SUMIFS(tbl_input[필요수량],tbl_input[집계키_센터],F4008)))</f>
        <v/>
      </c>
      <c r="F4008" t="str">
        <f>IFERROR(INDEX(tbl_input[집계키_센터],ROW()-1),"")</f>
        <v/>
      </c>
      <c r="G4008" t="str">
        <f t="shared" si="438"/>
        <v/>
      </c>
      <c r="H4008" t="str">
        <f t="shared" si="439"/>
        <v/>
      </c>
      <c r="I4008" t="str">
        <f t="shared" si="440"/>
        <v/>
      </c>
    </row>
    <row r="4009" spans="1:9" x14ac:dyDescent="0.4">
      <c r="A4009" t="str">
        <f t="shared" si="434"/>
        <v/>
      </c>
      <c r="B4009" t="str">
        <f t="shared" si="435"/>
        <v/>
      </c>
      <c r="C4009" t="str">
        <f t="shared" si="436"/>
        <v/>
      </c>
      <c r="D4009" t="str">
        <f t="shared" si="437"/>
        <v/>
      </c>
      <c r="E4009" t="str">
        <f>IF(F4009="","",IF(COUNTIF($F$2:F4009,F4009)&gt;1,"",SUMIFS(tbl_input[필요수량],tbl_input[집계키_센터],F4009)))</f>
        <v/>
      </c>
      <c r="F4009" t="str">
        <f>IFERROR(INDEX(tbl_input[집계키_센터],ROW()-1),"")</f>
        <v/>
      </c>
      <c r="G4009" t="str">
        <f t="shared" si="438"/>
        <v/>
      </c>
      <c r="H4009" t="str">
        <f t="shared" si="439"/>
        <v/>
      </c>
      <c r="I4009" t="str">
        <f t="shared" si="440"/>
        <v/>
      </c>
    </row>
    <row r="4010" spans="1:9" x14ac:dyDescent="0.4">
      <c r="A4010" t="str">
        <f t="shared" si="434"/>
        <v/>
      </c>
      <c r="B4010" t="str">
        <f t="shared" si="435"/>
        <v/>
      </c>
      <c r="C4010" t="str">
        <f t="shared" si="436"/>
        <v/>
      </c>
      <c r="D4010" t="str">
        <f t="shared" si="437"/>
        <v/>
      </c>
      <c r="E4010" t="str">
        <f>IF(F4010="","",IF(COUNTIF($F$2:F4010,F4010)&gt;1,"",SUMIFS(tbl_input[필요수량],tbl_input[집계키_센터],F4010)))</f>
        <v/>
      </c>
      <c r="F4010" t="str">
        <f>IFERROR(INDEX(tbl_input[집계키_센터],ROW()-1),"")</f>
        <v/>
      </c>
      <c r="G4010" t="str">
        <f t="shared" si="438"/>
        <v/>
      </c>
      <c r="H4010" t="str">
        <f t="shared" si="439"/>
        <v/>
      </c>
      <c r="I4010" t="str">
        <f t="shared" si="440"/>
        <v/>
      </c>
    </row>
    <row r="4011" spans="1:9" x14ac:dyDescent="0.4">
      <c r="A4011" t="str">
        <f t="shared" si="434"/>
        <v/>
      </c>
      <c r="B4011" t="str">
        <f t="shared" si="435"/>
        <v/>
      </c>
      <c r="C4011" t="str">
        <f t="shared" si="436"/>
        <v/>
      </c>
      <c r="D4011" t="str">
        <f t="shared" si="437"/>
        <v/>
      </c>
      <c r="E4011" t="str">
        <f>IF(F4011="","",IF(COUNTIF($F$2:F4011,F4011)&gt;1,"",SUMIFS(tbl_input[필요수량],tbl_input[집계키_센터],F4011)))</f>
        <v/>
      </c>
      <c r="F4011" t="str">
        <f>IFERROR(INDEX(tbl_input[집계키_센터],ROW()-1),"")</f>
        <v/>
      </c>
      <c r="G4011" t="str">
        <f t="shared" si="438"/>
        <v/>
      </c>
      <c r="H4011" t="str">
        <f t="shared" si="439"/>
        <v/>
      </c>
      <c r="I4011" t="str">
        <f t="shared" si="440"/>
        <v/>
      </c>
    </row>
    <row r="4012" spans="1:9" x14ac:dyDescent="0.4">
      <c r="A4012" t="str">
        <f t="shared" si="434"/>
        <v/>
      </c>
      <c r="B4012" t="str">
        <f t="shared" si="435"/>
        <v/>
      </c>
      <c r="C4012" t="str">
        <f t="shared" si="436"/>
        <v/>
      </c>
      <c r="D4012" t="str">
        <f t="shared" si="437"/>
        <v/>
      </c>
      <c r="E4012" t="str">
        <f>IF(F4012="","",IF(COUNTIF($F$2:F4012,F4012)&gt;1,"",SUMIFS(tbl_input[필요수량],tbl_input[집계키_센터],F4012)))</f>
        <v/>
      </c>
      <c r="F4012" t="str">
        <f>IFERROR(INDEX(tbl_input[집계키_센터],ROW()-1),"")</f>
        <v/>
      </c>
      <c r="G4012" t="str">
        <f t="shared" si="438"/>
        <v/>
      </c>
      <c r="H4012" t="str">
        <f t="shared" si="439"/>
        <v/>
      </c>
      <c r="I4012" t="str">
        <f t="shared" si="440"/>
        <v/>
      </c>
    </row>
    <row r="4013" spans="1:9" x14ac:dyDescent="0.4">
      <c r="A4013" t="str">
        <f t="shared" si="434"/>
        <v/>
      </c>
      <c r="B4013" t="str">
        <f t="shared" si="435"/>
        <v/>
      </c>
      <c r="C4013" t="str">
        <f t="shared" si="436"/>
        <v/>
      </c>
      <c r="D4013" t="str">
        <f t="shared" si="437"/>
        <v/>
      </c>
      <c r="E4013" t="str">
        <f>IF(F4013="","",IF(COUNTIF($F$2:F4013,F4013)&gt;1,"",SUMIFS(tbl_input[필요수량],tbl_input[집계키_센터],F4013)))</f>
        <v/>
      </c>
      <c r="F4013" t="str">
        <f>IFERROR(INDEX(tbl_input[집계키_센터],ROW()-1),"")</f>
        <v/>
      </c>
      <c r="G4013" t="str">
        <f t="shared" si="438"/>
        <v/>
      </c>
      <c r="H4013" t="str">
        <f t="shared" si="439"/>
        <v/>
      </c>
      <c r="I4013" t="str">
        <f t="shared" si="440"/>
        <v/>
      </c>
    </row>
    <row r="4014" spans="1:9" x14ac:dyDescent="0.4">
      <c r="A4014" t="str">
        <f t="shared" si="434"/>
        <v/>
      </c>
      <c r="B4014" t="str">
        <f t="shared" si="435"/>
        <v/>
      </c>
      <c r="C4014" t="str">
        <f t="shared" si="436"/>
        <v/>
      </c>
      <c r="D4014" t="str">
        <f t="shared" si="437"/>
        <v/>
      </c>
      <c r="E4014" t="str">
        <f>IF(F4014="","",IF(COUNTIF($F$2:F4014,F4014)&gt;1,"",SUMIFS(tbl_input[필요수량],tbl_input[집계키_센터],F4014)))</f>
        <v/>
      </c>
      <c r="F4014" t="str">
        <f>IFERROR(INDEX(tbl_input[집계키_센터],ROW()-1),"")</f>
        <v/>
      </c>
      <c r="G4014" t="str">
        <f t="shared" si="438"/>
        <v/>
      </c>
      <c r="H4014" t="str">
        <f t="shared" si="439"/>
        <v/>
      </c>
      <c r="I4014" t="str">
        <f t="shared" si="440"/>
        <v/>
      </c>
    </row>
    <row r="4015" spans="1:9" x14ac:dyDescent="0.4">
      <c r="A4015" t="str">
        <f t="shared" si="434"/>
        <v/>
      </c>
      <c r="B4015" t="str">
        <f t="shared" si="435"/>
        <v/>
      </c>
      <c r="C4015" t="str">
        <f t="shared" si="436"/>
        <v/>
      </c>
      <c r="D4015" t="str">
        <f t="shared" si="437"/>
        <v/>
      </c>
      <c r="E4015" t="str">
        <f>IF(F4015="","",IF(COUNTIF($F$2:F4015,F4015)&gt;1,"",SUMIFS(tbl_input[필요수량],tbl_input[집계키_센터],F4015)))</f>
        <v/>
      </c>
      <c r="F4015" t="str">
        <f>IFERROR(INDEX(tbl_input[집계키_센터],ROW()-1),"")</f>
        <v/>
      </c>
      <c r="G4015" t="str">
        <f t="shared" si="438"/>
        <v/>
      </c>
      <c r="H4015" t="str">
        <f t="shared" si="439"/>
        <v/>
      </c>
      <c r="I4015" t="str">
        <f t="shared" si="440"/>
        <v/>
      </c>
    </row>
    <row r="4016" spans="1:9" x14ac:dyDescent="0.4">
      <c r="A4016" t="str">
        <f t="shared" si="434"/>
        <v/>
      </c>
      <c r="B4016" t="str">
        <f t="shared" si="435"/>
        <v/>
      </c>
      <c r="C4016" t="str">
        <f t="shared" si="436"/>
        <v/>
      </c>
      <c r="D4016" t="str">
        <f t="shared" si="437"/>
        <v/>
      </c>
      <c r="E4016" t="str">
        <f>IF(F4016="","",IF(COUNTIF($F$2:F4016,F4016)&gt;1,"",SUMIFS(tbl_input[필요수량],tbl_input[집계키_센터],F4016)))</f>
        <v/>
      </c>
      <c r="F4016" t="str">
        <f>IFERROR(INDEX(tbl_input[집계키_센터],ROW()-1),"")</f>
        <v/>
      </c>
      <c r="G4016" t="str">
        <f t="shared" si="438"/>
        <v/>
      </c>
      <c r="H4016" t="str">
        <f t="shared" si="439"/>
        <v/>
      </c>
      <c r="I4016" t="str">
        <f t="shared" si="440"/>
        <v/>
      </c>
    </row>
    <row r="4017" spans="1:9" x14ac:dyDescent="0.4">
      <c r="A4017" t="str">
        <f t="shared" si="434"/>
        <v/>
      </c>
      <c r="B4017" t="str">
        <f t="shared" si="435"/>
        <v/>
      </c>
      <c r="C4017" t="str">
        <f t="shared" si="436"/>
        <v/>
      </c>
      <c r="D4017" t="str">
        <f t="shared" si="437"/>
        <v/>
      </c>
      <c r="E4017" t="str">
        <f>IF(F4017="","",IF(COUNTIF($F$2:F4017,F4017)&gt;1,"",SUMIFS(tbl_input[필요수량],tbl_input[집계키_센터],F4017)))</f>
        <v/>
      </c>
      <c r="F4017" t="str">
        <f>IFERROR(INDEX(tbl_input[집계키_센터],ROW()-1),"")</f>
        <v/>
      </c>
      <c r="G4017" t="str">
        <f t="shared" si="438"/>
        <v/>
      </c>
      <c r="H4017" t="str">
        <f t="shared" si="439"/>
        <v/>
      </c>
      <c r="I4017" t="str">
        <f t="shared" si="440"/>
        <v/>
      </c>
    </row>
    <row r="4018" spans="1:9" x14ac:dyDescent="0.4">
      <c r="A4018" t="str">
        <f t="shared" si="434"/>
        <v/>
      </c>
      <c r="B4018" t="str">
        <f t="shared" si="435"/>
        <v/>
      </c>
      <c r="C4018" t="str">
        <f t="shared" si="436"/>
        <v/>
      </c>
      <c r="D4018" t="str">
        <f t="shared" si="437"/>
        <v/>
      </c>
      <c r="E4018" t="str">
        <f>IF(F4018="","",IF(COUNTIF($F$2:F4018,F4018)&gt;1,"",SUMIFS(tbl_input[필요수량],tbl_input[집계키_센터],F4018)))</f>
        <v/>
      </c>
      <c r="F4018" t="str">
        <f>IFERROR(INDEX(tbl_input[집계키_센터],ROW()-1),"")</f>
        <v/>
      </c>
      <c r="G4018" t="str">
        <f t="shared" si="438"/>
        <v/>
      </c>
      <c r="H4018" t="str">
        <f t="shared" si="439"/>
        <v/>
      </c>
      <c r="I4018" t="str">
        <f t="shared" si="440"/>
        <v/>
      </c>
    </row>
    <row r="4019" spans="1:9" x14ac:dyDescent="0.4">
      <c r="A4019" t="str">
        <f t="shared" si="434"/>
        <v/>
      </c>
      <c r="B4019" t="str">
        <f t="shared" si="435"/>
        <v/>
      </c>
      <c r="C4019" t="str">
        <f t="shared" si="436"/>
        <v/>
      </c>
      <c r="D4019" t="str">
        <f t="shared" si="437"/>
        <v/>
      </c>
      <c r="E4019" t="str">
        <f>IF(F4019="","",IF(COUNTIF($F$2:F4019,F4019)&gt;1,"",SUMIFS(tbl_input[필요수량],tbl_input[집계키_센터],F4019)))</f>
        <v/>
      </c>
      <c r="F4019" t="str">
        <f>IFERROR(INDEX(tbl_input[집계키_센터],ROW()-1),"")</f>
        <v/>
      </c>
      <c r="G4019" t="str">
        <f t="shared" si="438"/>
        <v/>
      </c>
      <c r="H4019" t="str">
        <f t="shared" si="439"/>
        <v/>
      </c>
      <c r="I4019" t="str">
        <f t="shared" si="440"/>
        <v/>
      </c>
    </row>
    <row r="4020" spans="1:9" x14ac:dyDescent="0.4">
      <c r="A4020" t="str">
        <f t="shared" si="434"/>
        <v/>
      </c>
      <c r="B4020" t="str">
        <f t="shared" si="435"/>
        <v/>
      </c>
      <c r="C4020" t="str">
        <f t="shared" si="436"/>
        <v/>
      </c>
      <c r="D4020" t="str">
        <f t="shared" si="437"/>
        <v/>
      </c>
      <c r="E4020" t="str">
        <f>IF(F4020="","",IF(COUNTIF($F$2:F4020,F4020)&gt;1,"",SUMIFS(tbl_input[필요수량],tbl_input[집계키_센터],F4020)))</f>
        <v/>
      </c>
      <c r="F4020" t="str">
        <f>IFERROR(INDEX(tbl_input[집계키_센터],ROW()-1),"")</f>
        <v/>
      </c>
      <c r="G4020" t="str">
        <f t="shared" si="438"/>
        <v/>
      </c>
      <c r="H4020" t="str">
        <f t="shared" si="439"/>
        <v/>
      </c>
      <c r="I4020" t="str">
        <f t="shared" si="440"/>
        <v/>
      </c>
    </row>
    <row r="4021" spans="1:9" x14ac:dyDescent="0.4">
      <c r="A4021" t="str">
        <f t="shared" si="434"/>
        <v/>
      </c>
      <c r="B4021" t="str">
        <f t="shared" si="435"/>
        <v/>
      </c>
      <c r="C4021" t="str">
        <f t="shared" si="436"/>
        <v/>
      </c>
      <c r="D4021" t="str">
        <f t="shared" si="437"/>
        <v/>
      </c>
      <c r="E4021" t="str">
        <f>IF(F4021="","",IF(COUNTIF($F$2:F4021,F4021)&gt;1,"",SUMIFS(tbl_input[필요수량],tbl_input[집계키_센터],F4021)))</f>
        <v/>
      </c>
      <c r="F4021" t="str">
        <f>IFERROR(INDEX(tbl_input[집계키_센터],ROW()-1),"")</f>
        <v/>
      </c>
      <c r="G4021" t="str">
        <f t="shared" si="438"/>
        <v/>
      </c>
      <c r="H4021" t="str">
        <f t="shared" si="439"/>
        <v/>
      </c>
      <c r="I4021" t="str">
        <f t="shared" si="440"/>
        <v/>
      </c>
    </row>
    <row r="4022" spans="1:9" x14ac:dyDescent="0.4">
      <c r="A4022" t="str">
        <f t="shared" si="434"/>
        <v/>
      </c>
      <c r="B4022" t="str">
        <f t="shared" si="435"/>
        <v/>
      </c>
      <c r="C4022" t="str">
        <f t="shared" si="436"/>
        <v/>
      </c>
      <c r="D4022" t="str">
        <f t="shared" si="437"/>
        <v/>
      </c>
      <c r="E4022" t="str">
        <f>IF(F4022="","",IF(COUNTIF($F$2:F4022,F4022)&gt;1,"",SUMIFS(tbl_input[필요수량],tbl_input[집계키_센터],F4022)))</f>
        <v/>
      </c>
      <c r="F4022" t="str">
        <f>IFERROR(INDEX(tbl_input[집계키_센터],ROW()-1),"")</f>
        <v/>
      </c>
      <c r="G4022" t="str">
        <f t="shared" si="438"/>
        <v/>
      </c>
      <c r="H4022" t="str">
        <f t="shared" si="439"/>
        <v/>
      </c>
      <c r="I4022" t="str">
        <f t="shared" si="440"/>
        <v/>
      </c>
    </row>
    <row r="4023" spans="1:9" x14ac:dyDescent="0.4">
      <c r="A4023" t="str">
        <f t="shared" si="434"/>
        <v/>
      </c>
      <c r="B4023" t="str">
        <f t="shared" si="435"/>
        <v/>
      </c>
      <c r="C4023" t="str">
        <f t="shared" si="436"/>
        <v/>
      </c>
      <c r="D4023" t="str">
        <f t="shared" si="437"/>
        <v/>
      </c>
      <c r="E4023" t="str">
        <f>IF(F4023="","",IF(COUNTIF($F$2:F4023,F4023)&gt;1,"",SUMIFS(tbl_input[필요수량],tbl_input[집계키_센터],F4023)))</f>
        <v/>
      </c>
      <c r="F4023" t="str">
        <f>IFERROR(INDEX(tbl_input[집계키_센터],ROW()-1),"")</f>
        <v/>
      </c>
      <c r="G4023" t="str">
        <f t="shared" si="438"/>
        <v/>
      </c>
      <c r="H4023" t="str">
        <f t="shared" si="439"/>
        <v/>
      </c>
      <c r="I4023" t="str">
        <f t="shared" si="440"/>
        <v/>
      </c>
    </row>
    <row r="4024" spans="1:9" x14ac:dyDescent="0.4">
      <c r="A4024" t="str">
        <f t="shared" si="434"/>
        <v/>
      </c>
      <c r="B4024" t="str">
        <f t="shared" si="435"/>
        <v/>
      </c>
      <c r="C4024" t="str">
        <f t="shared" si="436"/>
        <v/>
      </c>
      <c r="D4024" t="str">
        <f t="shared" si="437"/>
        <v/>
      </c>
      <c r="E4024" t="str">
        <f>IF(F4024="","",IF(COUNTIF($F$2:F4024,F4024)&gt;1,"",SUMIFS(tbl_input[필요수량],tbl_input[집계키_센터],F4024)))</f>
        <v/>
      </c>
      <c r="F4024" t="str">
        <f>IFERROR(INDEX(tbl_input[집계키_센터],ROW()-1),"")</f>
        <v/>
      </c>
      <c r="G4024" t="str">
        <f t="shared" si="438"/>
        <v/>
      </c>
      <c r="H4024" t="str">
        <f t="shared" si="439"/>
        <v/>
      </c>
      <c r="I4024" t="str">
        <f t="shared" si="440"/>
        <v/>
      </c>
    </row>
    <row r="4025" spans="1:9" x14ac:dyDescent="0.4">
      <c r="A4025" t="str">
        <f t="shared" si="434"/>
        <v/>
      </c>
      <c r="B4025" t="str">
        <f t="shared" si="435"/>
        <v/>
      </c>
      <c r="C4025" t="str">
        <f t="shared" si="436"/>
        <v/>
      </c>
      <c r="D4025" t="str">
        <f t="shared" si="437"/>
        <v/>
      </c>
      <c r="E4025" t="str">
        <f>IF(F4025="","",IF(COUNTIF($F$2:F4025,F4025)&gt;1,"",SUMIFS(tbl_input[필요수량],tbl_input[집계키_센터],F4025)))</f>
        <v/>
      </c>
      <c r="F4025" t="str">
        <f>IFERROR(INDEX(tbl_input[집계키_센터],ROW()-1),"")</f>
        <v/>
      </c>
      <c r="G4025" t="str">
        <f t="shared" si="438"/>
        <v/>
      </c>
      <c r="H4025" t="str">
        <f t="shared" si="439"/>
        <v/>
      </c>
      <c r="I4025" t="str">
        <f t="shared" si="440"/>
        <v/>
      </c>
    </row>
    <row r="4026" spans="1:9" x14ac:dyDescent="0.4">
      <c r="A4026" t="str">
        <f t="shared" si="434"/>
        <v/>
      </c>
      <c r="B4026" t="str">
        <f t="shared" si="435"/>
        <v/>
      </c>
      <c r="C4026" t="str">
        <f t="shared" si="436"/>
        <v/>
      </c>
      <c r="D4026" t="str">
        <f t="shared" si="437"/>
        <v/>
      </c>
      <c r="E4026" t="str">
        <f>IF(F4026="","",IF(COUNTIF($F$2:F4026,F4026)&gt;1,"",SUMIFS(tbl_input[필요수량],tbl_input[집계키_센터],F4026)))</f>
        <v/>
      </c>
      <c r="F4026" t="str">
        <f>IFERROR(INDEX(tbl_input[집계키_센터],ROW()-1),"")</f>
        <v/>
      </c>
      <c r="G4026" t="str">
        <f t="shared" si="438"/>
        <v/>
      </c>
      <c r="H4026" t="str">
        <f t="shared" si="439"/>
        <v/>
      </c>
      <c r="I4026" t="str">
        <f t="shared" si="440"/>
        <v/>
      </c>
    </row>
    <row r="4027" spans="1:9" x14ac:dyDescent="0.4">
      <c r="A4027" t="str">
        <f t="shared" si="434"/>
        <v/>
      </c>
      <c r="B4027" t="str">
        <f t="shared" si="435"/>
        <v/>
      </c>
      <c r="C4027" t="str">
        <f t="shared" si="436"/>
        <v/>
      </c>
      <c r="D4027" t="str">
        <f t="shared" si="437"/>
        <v/>
      </c>
      <c r="E4027" t="str">
        <f>IF(F4027="","",IF(COUNTIF($F$2:F4027,F4027)&gt;1,"",SUMIFS(tbl_input[필요수량],tbl_input[집계키_센터],F4027)))</f>
        <v/>
      </c>
      <c r="F4027" t="str">
        <f>IFERROR(INDEX(tbl_input[집계키_센터],ROW()-1),"")</f>
        <v/>
      </c>
      <c r="G4027" t="str">
        <f t="shared" si="438"/>
        <v/>
      </c>
      <c r="H4027" t="str">
        <f t="shared" si="439"/>
        <v/>
      </c>
      <c r="I4027" t="str">
        <f t="shared" si="440"/>
        <v/>
      </c>
    </row>
    <row r="4028" spans="1:9" x14ac:dyDescent="0.4">
      <c r="A4028" t="str">
        <f t="shared" si="434"/>
        <v/>
      </c>
      <c r="B4028" t="str">
        <f t="shared" si="435"/>
        <v/>
      </c>
      <c r="C4028" t="str">
        <f t="shared" si="436"/>
        <v/>
      </c>
      <c r="D4028" t="str">
        <f t="shared" si="437"/>
        <v/>
      </c>
      <c r="E4028" t="str">
        <f>IF(F4028="","",IF(COUNTIF($F$2:F4028,F4028)&gt;1,"",SUMIFS(tbl_input[필요수량],tbl_input[집계키_센터],F4028)))</f>
        <v/>
      </c>
      <c r="F4028" t="str">
        <f>IFERROR(INDEX(tbl_input[집계키_센터],ROW()-1),"")</f>
        <v/>
      </c>
      <c r="G4028" t="str">
        <f t="shared" si="438"/>
        <v/>
      </c>
      <c r="H4028" t="str">
        <f t="shared" si="439"/>
        <v/>
      </c>
      <c r="I4028" t="str">
        <f t="shared" si="440"/>
        <v/>
      </c>
    </row>
    <row r="4029" spans="1:9" x14ac:dyDescent="0.4">
      <c r="A4029" t="str">
        <f t="shared" si="434"/>
        <v/>
      </c>
      <c r="B4029" t="str">
        <f t="shared" si="435"/>
        <v/>
      </c>
      <c r="C4029" t="str">
        <f t="shared" si="436"/>
        <v/>
      </c>
      <c r="D4029" t="str">
        <f t="shared" si="437"/>
        <v/>
      </c>
      <c r="E4029" t="str">
        <f>IF(F4029="","",IF(COUNTIF($F$2:F4029,F4029)&gt;1,"",SUMIFS(tbl_input[필요수량],tbl_input[집계키_센터],F4029)))</f>
        <v/>
      </c>
      <c r="F4029" t="str">
        <f>IFERROR(INDEX(tbl_input[집계키_센터],ROW()-1),"")</f>
        <v/>
      </c>
      <c r="G4029" t="str">
        <f t="shared" si="438"/>
        <v/>
      </c>
      <c r="H4029" t="str">
        <f t="shared" si="439"/>
        <v/>
      </c>
      <c r="I4029" t="str">
        <f t="shared" si="440"/>
        <v/>
      </c>
    </row>
    <row r="4030" spans="1:9" x14ac:dyDescent="0.4">
      <c r="A4030" t="str">
        <f t="shared" si="434"/>
        <v/>
      </c>
      <c r="B4030" t="str">
        <f t="shared" si="435"/>
        <v/>
      </c>
      <c r="C4030" t="str">
        <f t="shared" si="436"/>
        <v/>
      </c>
      <c r="D4030" t="str">
        <f t="shared" si="437"/>
        <v/>
      </c>
      <c r="E4030" t="str">
        <f>IF(F4030="","",IF(COUNTIF($F$2:F4030,F4030)&gt;1,"",SUMIFS(tbl_input[필요수량],tbl_input[집계키_센터],F4030)))</f>
        <v/>
      </c>
      <c r="F4030" t="str">
        <f>IFERROR(INDEX(tbl_input[집계키_센터],ROW()-1),"")</f>
        <v/>
      </c>
      <c r="G4030" t="str">
        <f t="shared" si="438"/>
        <v/>
      </c>
      <c r="H4030" t="str">
        <f t="shared" si="439"/>
        <v/>
      </c>
      <c r="I4030" t="str">
        <f t="shared" si="440"/>
        <v/>
      </c>
    </row>
    <row r="4031" spans="1:9" x14ac:dyDescent="0.4">
      <c r="A4031" t="str">
        <f t="shared" si="434"/>
        <v/>
      </c>
      <c r="B4031" t="str">
        <f t="shared" si="435"/>
        <v/>
      </c>
      <c r="C4031" t="str">
        <f t="shared" si="436"/>
        <v/>
      </c>
      <c r="D4031" t="str">
        <f t="shared" si="437"/>
        <v/>
      </c>
      <c r="E4031" t="str">
        <f>IF(F4031="","",IF(COUNTIF($F$2:F4031,F4031)&gt;1,"",SUMIFS(tbl_input[필요수량],tbl_input[집계키_센터],F4031)))</f>
        <v/>
      </c>
      <c r="F4031" t="str">
        <f>IFERROR(INDEX(tbl_input[집계키_센터],ROW()-1),"")</f>
        <v/>
      </c>
      <c r="G4031" t="str">
        <f t="shared" si="438"/>
        <v/>
      </c>
      <c r="H4031" t="str">
        <f t="shared" si="439"/>
        <v/>
      </c>
      <c r="I4031" t="str">
        <f t="shared" si="440"/>
        <v/>
      </c>
    </row>
    <row r="4032" spans="1:9" x14ac:dyDescent="0.4">
      <c r="A4032" t="str">
        <f t="shared" si="434"/>
        <v/>
      </c>
      <c r="B4032" t="str">
        <f t="shared" si="435"/>
        <v/>
      </c>
      <c r="C4032" t="str">
        <f t="shared" si="436"/>
        <v/>
      </c>
      <c r="D4032" t="str">
        <f t="shared" si="437"/>
        <v/>
      </c>
      <c r="E4032" t="str">
        <f>IF(F4032="","",IF(COUNTIF($F$2:F4032,F4032)&gt;1,"",SUMIFS(tbl_input[필요수량],tbl_input[집계키_센터],F4032)))</f>
        <v/>
      </c>
      <c r="F4032" t="str">
        <f>IFERROR(INDEX(tbl_input[집계키_센터],ROW()-1),"")</f>
        <v/>
      </c>
      <c r="G4032" t="str">
        <f t="shared" si="438"/>
        <v/>
      </c>
      <c r="H4032" t="str">
        <f t="shared" si="439"/>
        <v/>
      </c>
      <c r="I4032" t="str">
        <f t="shared" si="440"/>
        <v/>
      </c>
    </row>
    <row r="4033" spans="1:9" x14ac:dyDescent="0.4">
      <c r="A4033" t="str">
        <f t="shared" si="434"/>
        <v/>
      </c>
      <c r="B4033" t="str">
        <f t="shared" si="435"/>
        <v/>
      </c>
      <c r="C4033" t="str">
        <f t="shared" si="436"/>
        <v/>
      </c>
      <c r="D4033" t="str">
        <f t="shared" si="437"/>
        <v/>
      </c>
      <c r="E4033" t="str">
        <f>IF(F4033="","",IF(COUNTIF($F$2:F4033,F4033)&gt;1,"",SUMIFS(tbl_input[필요수량],tbl_input[집계키_센터],F4033)))</f>
        <v/>
      </c>
      <c r="F4033" t="str">
        <f>IFERROR(INDEX(tbl_input[집계키_센터],ROW()-1),"")</f>
        <v/>
      </c>
      <c r="G4033" t="str">
        <f t="shared" si="438"/>
        <v/>
      </c>
      <c r="H4033" t="str">
        <f t="shared" si="439"/>
        <v/>
      </c>
      <c r="I4033" t="str">
        <f t="shared" si="440"/>
        <v/>
      </c>
    </row>
    <row r="4034" spans="1:9" x14ac:dyDescent="0.4">
      <c r="A4034" t="str">
        <f t="shared" ref="A4034:A4097" si="441">IF(F4034="","",LEFT(F4034,G4034-1))</f>
        <v/>
      </c>
      <c r="B4034" t="str">
        <f t="shared" ref="B4034:B4097" si="442">IF(F4034="","",MID(F4034,G4034+1,H4034-G4034-1))</f>
        <v/>
      </c>
      <c r="C4034" t="str">
        <f t="shared" ref="C4034:C4097" si="443">IF(F4034="","",MID(F4034,H4034+1,I4034-H4034-1))</f>
        <v/>
      </c>
      <c r="D4034" t="str">
        <f t="shared" ref="D4034:D4097" si="444">IF(F4034="","",MID(F4034,I4034+1,999))</f>
        <v/>
      </c>
      <c r="E4034" t="str">
        <f>IF(F4034="","",IF(COUNTIF($F$2:F4034,F4034)&gt;1,"",SUMIFS(tbl_input[필요수량],tbl_input[집계키_센터],F4034)))</f>
        <v/>
      </c>
      <c r="F4034" t="str">
        <f>IFERROR(INDEX(tbl_input[집계키_센터],ROW()-1),"")</f>
        <v/>
      </c>
      <c r="G4034" t="str">
        <f t="shared" ref="G4034:G4097" si="445">IF(F4034="","",FIND("♦",F4034))</f>
        <v/>
      </c>
      <c r="H4034" t="str">
        <f t="shared" ref="H4034:H4097" si="446">IF(F4034="","",FIND("♦",F4034,G4034+1))</f>
        <v/>
      </c>
      <c r="I4034" t="str">
        <f t="shared" ref="I4034:I4097" si="447">IF(F4034="","",FIND("♦",F4034,H4034+1))</f>
        <v/>
      </c>
    </row>
    <row r="4035" spans="1:9" x14ac:dyDescent="0.4">
      <c r="A4035" t="str">
        <f t="shared" si="441"/>
        <v/>
      </c>
      <c r="B4035" t="str">
        <f t="shared" si="442"/>
        <v/>
      </c>
      <c r="C4035" t="str">
        <f t="shared" si="443"/>
        <v/>
      </c>
      <c r="D4035" t="str">
        <f t="shared" si="444"/>
        <v/>
      </c>
      <c r="E4035" t="str">
        <f>IF(F4035="","",IF(COUNTIF($F$2:F4035,F4035)&gt;1,"",SUMIFS(tbl_input[필요수량],tbl_input[집계키_센터],F4035)))</f>
        <v/>
      </c>
      <c r="F4035" t="str">
        <f>IFERROR(INDEX(tbl_input[집계키_센터],ROW()-1),"")</f>
        <v/>
      </c>
      <c r="G4035" t="str">
        <f t="shared" si="445"/>
        <v/>
      </c>
      <c r="H4035" t="str">
        <f t="shared" si="446"/>
        <v/>
      </c>
      <c r="I4035" t="str">
        <f t="shared" si="447"/>
        <v/>
      </c>
    </row>
    <row r="4036" spans="1:9" x14ac:dyDescent="0.4">
      <c r="A4036" t="str">
        <f t="shared" si="441"/>
        <v/>
      </c>
      <c r="B4036" t="str">
        <f t="shared" si="442"/>
        <v/>
      </c>
      <c r="C4036" t="str">
        <f t="shared" si="443"/>
        <v/>
      </c>
      <c r="D4036" t="str">
        <f t="shared" si="444"/>
        <v/>
      </c>
      <c r="E4036" t="str">
        <f>IF(F4036="","",IF(COUNTIF($F$2:F4036,F4036)&gt;1,"",SUMIFS(tbl_input[필요수량],tbl_input[집계키_센터],F4036)))</f>
        <v/>
      </c>
      <c r="F4036" t="str">
        <f>IFERROR(INDEX(tbl_input[집계키_센터],ROW()-1),"")</f>
        <v/>
      </c>
      <c r="G4036" t="str">
        <f t="shared" si="445"/>
        <v/>
      </c>
      <c r="H4036" t="str">
        <f t="shared" si="446"/>
        <v/>
      </c>
      <c r="I4036" t="str">
        <f t="shared" si="447"/>
        <v/>
      </c>
    </row>
    <row r="4037" spans="1:9" x14ac:dyDescent="0.4">
      <c r="A4037" t="str">
        <f t="shared" si="441"/>
        <v/>
      </c>
      <c r="B4037" t="str">
        <f t="shared" si="442"/>
        <v/>
      </c>
      <c r="C4037" t="str">
        <f t="shared" si="443"/>
        <v/>
      </c>
      <c r="D4037" t="str">
        <f t="shared" si="444"/>
        <v/>
      </c>
      <c r="E4037" t="str">
        <f>IF(F4037="","",IF(COUNTIF($F$2:F4037,F4037)&gt;1,"",SUMIFS(tbl_input[필요수량],tbl_input[집계키_센터],F4037)))</f>
        <v/>
      </c>
      <c r="F4037" t="str">
        <f>IFERROR(INDEX(tbl_input[집계키_센터],ROW()-1),"")</f>
        <v/>
      </c>
      <c r="G4037" t="str">
        <f t="shared" si="445"/>
        <v/>
      </c>
      <c r="H4037" t="str">
        <f t="shared" si="446"/>
        <v/>
      </c>
      <c r="I4037" t="str">
        <f t="shared" si="447"/>
        <v/>
      </c>
    </row>
    <row r="4038" spans="1:9" x14ac:dyDescent="0.4">
      <c r="A4038" t="str">
        <f t="shared" si="441"/>
        <v/>
      </c>
      <c r="B4038" t="str">
        <f t="shared" si="442"/>
        <v/>
      </c>
      <c r="C4038" t="str">
        <f t="shared" si="443"/>
        <v/>
      </c>
      <c r="D4038" t="str">
        <f t="shared" si="444"/>
        <v/>
      </c>
      <c r="E4038" t="str">
        <f>IF(F4038="","",IF(COUNTIF($F$2:F4038,F4038)&gt;1,"",SUMIFS(tbl_input[필요수량],tbl_input[집계키_센터],F4038)))</f>
        <v/>
      </c>
      <c r="F4038" t="str">
        <f>IFERROR(INDEX(tbl_input[집계키_센터],ROW()-1),"")</f>
        <v/>
      </c>
      <c r="G4038" t="str">
        <f t="shared" si="445"/>
        <v/>
      </c>
      <c r="H4038" t="str">
        <f t="shared" si="446"/>
        <v/>
      </c>
      <c r="I4038" t="str">
        <f t="shared" si="447"/>
        <v/>
      </c>
    </row>
    <row r="4039" spans="1:9" x14ac:dyDescent="0.4">
      <c r="A4039" t="str">
        <f t="shared" si="441"/>
        <v/>
      </c>
      <c r="B4039" t="str">
        <f t="shared" si="442"/>
        <v/>
      </c>
      <c r="C4039" t="str">
        <f t="shared" si="443"/>
        <v/>
      </c>
      <c r="D4039" t="str">
        <f t="shared" si="444"/>
        <v/>
      </c>
      <c r="E4039" t="str">
        <f>IF(F4039="","",IF(COUNTIF($F$2:F4039,F4039)&gt;1,"",SUMIFS(tbl_input[필요수량],tbl_input[집계키_센터],F4039)))</f>
        <v/>
      </c>
      <c r="F4039" t="str">
        <f>IFERROR(INDEX(tbl_input[집계키_센터],ROW()-1),"")</f>
        <v/>
      </c>
      <c r="G4039" t="str">
        <f t="shared" si="445"/>
        <v/>
      </c>
      <c r="H4039" t="str">
        <f t="shared" si="446"/>
        <v/>
      </c>
      <c r="I4039" t="str">
        <f t="shared" si="447"/>
        <v/>
      </c>
    </row>
    <row r="4040" spans="1:9" x14ac:dyDescent="0.4">
      <c r="A4040" t="str">
        <f t="shared" si="441"/>
        <v/>
      </c>
      <c r="B4040" t="str">
        <f t="shared" si="442"/>
        <v/>
      </c>
      <c r="C4040" t="str">
        <f t="shared" si="443"/>
        <v/>
      </c>
      <c r="D4040" t="str">
        <f t="shared" si="444"/>
        <v/>
      </c>
      <c r="E4040" t="str">
        <f>IF(F4040="","",IF(COUNTIF($F$2:F4040,F4040)&gt;1,"",SUMIFS(tbl_input[필요수량],tbl_input[집계키_센터],F4040)))</f>
        <v/>
      </c>
      <c r="F4040" t="str">
        <f>IFERROR(INDEX(tbl_input[집계키_센터],ROW()-1),"")</f>
        <v/>
      </c>
      <c r="G4040" t="str">
        <f t="shared" si="445"/>
        <v/>
      </c>
      <c r="H4040" t="str">
        <f t="shared" si="446"/>
        <v/>
      </c>
      <c r="I4040" t="str">
        <f t="shared" si="447"/>
        <v/>
      </c>
    </row>
    <row r="4041" spans="1:9" x14ac:dyDescent="0.4">
      <c r="A4041" t="str">
        <f t="shared" si="441"/>
        <v/>
      </c>
      <c r="B4041" t="str">
        <f t="shared" si="442"/>
        <v/>
      </c>
      <c r="C4041" t="str">
        <f t="shared" si="443"/>
        <v/>
      </c>
      <c r="D4041" t="str">
        <f t="shared" si="444"/>
        <v/>
      </c>
      <c r="E4041" t="str">
        <f>IF(F4041="","",IF(COUNTIF($F$2:F4041,F4041)&gt;1,"",SUMIFS(tbl_input[필요수량],tbl_input[집계키_센터],F4041)))</f>
        <v/>
      </c>
      <c r="F4041" t="str">
        <f>IFERROR(INDEX(tbl_input[집계키_센터],ROW()-1),"")</f>
        <v/>
      </c>
      <c r="G4041" t="str">
        <f t="shared" si="445"/>
        <v/>
      </c>
      <c r="H4041" t="str">
        <f t="shared" si="446"/>
        <v/>
      </c>
      <c r="I4041" t="str">
        <f t="shared" si="447"/>
        <v/>
      </c>
    </row>
    <row r="4042" spans="1:9" x14ac:dyDescent="0.4">
      <c r="A4042" t="str">
        <f t="shared" si="441"/>
        <v/>
      </c>
      <c r="B4042" t="str">
        <f t="shared" si="442"/>
        <v/>
      </c>
      <c r="C4042" t="str">
        <f t="shared" si="443"/>
        <v/>
      </c>
      <c r="D4042" t="str">
        <f t="shared" si="444"/>
        <v/>
      </c>
      <c r="E4042" t="str">
        <f>IF(F4042="","",IF(COUNTIF($F$2:F4042,F4042)&gt;1,"",SUMIFS(tbl_input[필요수량],tbl_input[집계키_센터],F4042)))</f>
        <v/>
      </c>
      <c r="F4042" t="str">
        <f>IFERROR(INDEX(tbl_input[집계키_센터],ROW()-1),"")</f>
        <v/>
      </c>
      <c r="G4042" t="str">
        <f t="shared" si="445"/>
        <v/>
      </c>
      <c r="H4042" t="str">
        <f t="shared" si="446"/>
        <v/>
      </c>
      <c r="I4042" t="str">
        <f t="shared" si="447"/>
        <v/>
      </c>
    </row>
    <row r="4043" spans="1:9" x14ac:dyDescent="0.4">
      <c r="A4043" t="str">
        <f t="shared" si="441"/>
        <v/>
      </c>
      <c r="B4043" t="str">
        <f t="shared" si="442"/>
        <v/>
      </c>
      <c r="C4043" t="str">
        <f t="shared" si="443"/>
        <v/>
      </c>
      <c r="D4043" t="str">
        <f t="shared" si="444"/>
        <v/>
      </c>
      <c r="E4043" t="str">
        <f>IF(F4043="","",IF(COUNTIF($F$2:F4043,F4043)&gt;1,"",SUMIFS(tbl_input[필요수량],tbl_input[집계키_센터],F4043)))</f>
        <v/>
      </c>
      <c r="F4043" t="str">
        <f>IFERROR(INDEX(tbl_input[집계키_센터],ROW()-1),"")</f>
        <v/>
      </c>
      <c r="G4043" t="str">
        <f t="shared" si="445"/>
        <v/>
      </c>
      <c r="H4043" t="str">
        <f t="shared" si="446"/>
        <v/>
      </c>
      <c r="I4043" t="str">
        <f t="shared" si="447"/>
        <v/>
      </c>
    </row>
    <row r="4044" spans="1:9" x14ac:dyDescent="0.4">
      <c r="A4044" t="str">
        <f t="shared" si="441"/>
        <v/>
      </c>
      <c r="B4044" t="str">
        <f t="shared" si="442"/>
        <v/>
      </c>
      <c r="C4044" t="str">
        <f t="shared" si="443"/>
        <v/>
      </c>
      <c r="D4044" t="str">
        <f t="shared" si="444"/>
        <v/>
      </c>
      <c r="E4044" t="str">
        <f>IF(F4044="","",IF(COUNTIF($F$2:F4044,F4044)&gt;1,"",SUMIFS(tbl_input[필요수량],tbl_input[집계키_센터],F4044)))</f>
        <v/>
      </c>
      <c r="F4044" t="str">
        <f>IFERROR(INDEX(tbl_input[집계키_센터],ROW()-1),"")</f>
        <v/>
      </c>
      <c r="G4044" t="str">
        <f t="shared" si="445"/>
        <v/>
      </c>
      <c r="H4044" t="str">
        <f t="shared" si="446"/>
        <v/>
      </c>
      <c r="I4044" t="str">
        <f t="shared" si="447"/>
        <v/>
      </c>
    </row>
    <row r="4045" spans="1:9" x14ac:dyDescent="0.4">
      <c r="A4045" t="str">
        <f t="shared" si="441"/>
        <v/>
      </c>
      <c r="B4045" t="str">
        <f t="shared" si="442"/>
        <v/>
      </c>
      <c r="C4045" t="str">
        <f t="shared" si="443"/>
        <v/>
      </c>
      <c r="D4045" t="str">
        <f t="shared" si="444"/>
        <v/>
      </c>
      <c r="E4045" t="str">
        <f>IF(F4045="","",IF(COUNTIF($F$2:F4045,F4045)&gt;1,"",SUMIFS(tbl_input[필요수량],tbl_input[집계키_센터],F4045)))</f>
        <v/>
      </c>
      <c r="F4045" t="str">
        <f>IFERROR(INDEX(tbl_input[집계키_센터],ROW()-1),"")</f>
        <v/>
      </c>
      <c r="G4045" t="str">
        <f t="shared" si="445"/>
        <v/>
      </c>
      <c r="H4045" t="str">
        <f t="shared" si="446"/>
        <v/>
      </c>
      <c r="I4045" t="str">
        <f t="shared" si="447"/>
        <v/>
      </c>
    </row>
    <row r="4046" spans="1:9" x14ac:dyDescent="0.4">
      <c r="A4046" t="str">
        <f t="shared" si="441"/>
        <v/>
      </c>
      <c r="B4046" t="str">
        <f t="shared" si="442"/>
        <v/>
      </c>
      <c r="C4046" t="str">
        <f t="shared" si="443"/>
        <v/>
      </c>
      <c r="D4046" t="str">
        <f t="shared" si="444"/>
        <v/>
      </c>
      <c r="E4046" t="str">
        <f>IF(F4046="","",IF(COUNTIF($F$2:F4046,F4046)&gt;1,"",SUMIFS(tbl_input[필요수량],tbl_input[집계키_센터],F4046)))</f>
        <v/>
      </c>
      <c r="F4046" t="str">
        <f>IFERROR(INDEX(tbl_input[집계키_센터],ROW()-1),"")</f>
        <v/>
      </c>
      <c r="G4046" t="str">
        <f t="shared" si="445"/>
        <v/>
      </c>
      <c r="H4046" t="str">
        <f t="shared" si="446"/>
        <v/>
      </c>
      <c r="I4046" t="str">
        <f t="shared" si="447"/>
        <v/>
      </c>
    </row>
    <row r="4047" spans="1:9" x14ac:dyDescent="0.4">
      <c r="A4047" t="str">
        <f t="shared" si="441"/>
        <v/>
      </c>
      <c r="B4047" t="str">
        <f t="shared" si="442"/>
        <v/>
      </c>
      <c r="C4047" t="str">
        <f t="shared" si="443"/>
        <v/>
      </c>
      <c r="D4047" t="str">
        <f t="shared" si="444"/>
        <v/>
      </c>
      <c r="E4047" t="str">
        <f>IF(F4047="","",IF(COUNTIF($F$2:F4047,F4047)&gt;1,"",SUMIFS(tbl_input[필요수량],tbl_input[집계키_센터],F4047)))</f>
        <v/>
      </c>
      <c r="F4047" t="str">
        <f>IFERROR(INDEX(tbl_input[집계키_센터],ROW()-1),"")</f>
        <v/>
      </c>
      <c r="G4047" t="str">
        <f t="shared" si="445"/>
        <v/>
      </c>
      <c r="H4047" t="str">
        <f t="shared" si="446"/>
        <v/>
      </c>
      <c r="I4047" t="str">
        <f t="shared" si="447"/>
        <v/>
      </c>
    </row>
    <row r="4048" spans="1:9" x14ac:dyDescent="0.4">
      <c r="A4048" t="str">
        <f t="shared" si="441"/>
        <v/>
      </c>
      <c r="B4048" t="str">
        <f t="shared" si="442"/>
        <v/>
      </c>
      <c r="C4048" t="str">
        <f t="shared" si="443"/>
        <v/>
      </c>
      <c r="D4048" t="str">
        <f t="shared" si="444"/>
        <v/>
      </c>
      <c r="E4048" t="str">
        <f>IF(F4048="","",IF(COUNTIF($F$2:F4048,F4048)&gt;1,"",SUMIFS(tbl_input[필요수량],tbl_input[집계키_센터],F4048)))</f>
        <v/>
      </c>
      <c r="F4048" t="str">
        <f>IFERROR(INDEX(tbl_input[집계키_센터],ROW()-1),"")</f>
        <v/>
      </c>
      <c r="G4048" t="str">
        <f t="shared" si="445"/>
        <v/>
      </c>
      <c r="H4048" t="str">
        <f t="shared" si="446"/>
        <v/>
      </c>
      <c r="I4048" t="str">
        <f t="shared" si="447"/>
        <v/>
      </c>
    </row>
    <row r="4049" spans="1:9" x14ac:dyDescent="0.4">
      <c r="A4049" t="str">
        <f t="shared" si="441"/>
        <v/>
      </c>
      <c r="B4049" t="str">
        <f t="shared" si="442"/>
        <v/>
      </c>
      <c r="C4049" t="str">
        <f t="shared" si="443"/>
        <v/>
      </c>
      <c r="D4049" t="str">
        <f t="shared" si="444"/>
        <v/>
      </c>
      <c r="E4049" t="str">
        <f>IF(F4049="","",IF(COUNTIF($F$2:F4049,F4049)&gt;1,"",SUMIFS(tbl_input[필요수량],tbl_input[집계키_센터],F4049)))</f>
        <v/>
      </c>
      <c r="F4049" t="str">
        <f>IFERROR(INDEX(tbl_input[집계키_센터],ROW()-1),"")</f>
        <v/>
      </c>
      <c r="G4049" t="str">
        <f t="shared" si="445"/>
        <v/>
      </c>
      <c r="H4049" t="str">
        <f t="shared" si="446"/>
        <v/>
      </c>
      <c r="I4049" t="str">
        <f t="shared" si="447"/>
        <v/>
      </c>
    </row>
    <row r="4050" spans="1:9" x14ac:dyDescent="0.4">
      <c r="A4050" t="str">
        <f t="shared" si="441"/>
        <v/>
      </c>
      <c r="B4050" t="str">
        <f t="shared" si="442"/>
        <v/>
      </c>
      <c r="C4050" t="str">
        <f t="shared" si="443"/>
        <v/>
      </c>
      <c r="D4050" t="str">
        <f t="shared" si="444"/>
        <v/>
      </c>
      <c r="E4050" t="str">
        <f>IF(F4050="","",IF(COUNTIF($F$2:F4050,F4050)&gt;1,"",SUMIFS(tbl_input[필요수량],tbl_input[집계키_센터],F4050)))</f>
        <v/>
      </c>
      <c r="F4050" t="str">
        <f>IFERROR(INDEX(tbl_input[집계키_센터],ROW()-1),"")</f>
        <v/>
      </c>
      <c r="G4050" t="str">
        <f t="shared" si="445"/>
        <v/>
      </c>
      <c r="H4050" t="str">
        <f t="shared" si="446"/>
        <v/>
      </c>
      <c r="I4050" t="str">
        <f t="shared" si="447"/>
        <v/>
      </c>
    </row>
    <row r="4051" spans="1:9" x14ac:dyDescent="0.4">
      <c r="A4051" t="str">
        <f t="shared" si="441"/>
        <v/>
      </c>
      <c r="B4051" t="str">
        <f t="shared" si="442"/>
        <v/>
      </c>
      <c r="C4051" t="str">
        <f t="shared" si="443"/>
        <v/>
      </c>
      <c r="D4051" t="str">
        <f t="shared" si="444"/>
        <v/>
      </c>
      <c r="E4051" t="str">
        <f>IF(F4051="","",IF(COUNTIF($F$2:F4051,F4051)&gt;1,"",SUMIFS(tbl_input[필요수량],tbl_input[집계키_센터],F4051)))</f>
        <v/>
      </c>
      <c r="F4051" t="str">
        <f>IFERROR(INDEX(tbl_input[집계키_센터],ROW()-1),"")</f>
        <v/>
      </c>
      <c r="G4051" t="str">
        <f t="shared" si="445"/>
        <v/>
      </c>
      <c r="H4051" t="str">
        <f t="shared" si="446"/>
        <v/>
      </c>
      <c r="I4051" t="str">
        <f t="shared" si="447"/>
        <v/>
      </c>
    </row>
    <row r="4052" spans="1:9" x14ac:dyDescent="0.4">
      <c r="A4052" t="str">
        <f t="shared" si="441"/>
        <v/>
      </c>
      <c r="B4052" t="str">
        <f t="shared" si="442"/>
        <v/>
      </c>
      <c r="C4052" t="str">
        <f t="shared" si="443"/>
        <v/>
      </c>
      <c r="D4052" t="str">
        <f t="shared" si="444"/>
        <v/>
      </c>
      <c r="E4052" t="str">
        <f>IF(F4052="","",IF(COUNTIF($F$2:F4052,F4052)&gt;1,"",SUMIFS(tbl_input[필요수량],tbl_input[집계키_센터],F4052)))</f>
        <v/>
      </c>
      <c r="F4052" t="str">
        <f>IFERROR(INDEX(tbl_input[집계키_센터],ROW()-1),"")</f>
        <v/>
      </c>
      <c r="G4052" t="str">
        <f t="shared" si="445"/>
        <v/>
      </c>
      <c r="H4052" t="str">
        <f t="shared" si="446"/>
        <v/>
      </c>
      <c r="I4052" t="str">
        <f t="shared" si="447"/>
        <v/>
      </c>
    </row>
    <row r="4053" spans="1:9" x14ac:dyDescent="0.4">
      <c r="A4053" t="str">
        <f t="shared" si="441"/>
        <v/>
      </c>
      <c r="B4053" t="str">
        <f t="shared" si="442"/>
        <v/>
      </c>
      <c r="C4053" t="str">
        <f t="shared" si="443"/>
        <v/>
      </c>
      <c r="D4053" t="str">
        <f t="shared" si="444"/>
        <v/>
      </c>
      <c r="E4053" t="str">
        <f>IF(F4053="","",IF(COUNTIF($F$2:F4053,F4053)&gt;1,"",SUMIFS(tbl_input[필요수량],tbl_input[집계키_센터],F4053)))</f>
        <v/>
      </c>
      <c r="F4053" t="str">
        <f>IFERROR(INDEX(tbl_input[집계키_센터],ROW()-1),"")</f>
        <v/>
      </c>
      <c r="G4053" t="str">
        <f t="shared" si="445"/>
        <v/>
      </c>
      <c r="H4053" t="str">
        <f t="shared" si="446"/>
        <v/>
      </c>
      <c r="I4053" t="str">
        <f t="shared" si="447"/>
        <v/>
      </c>
    </row>
    <row r="4054" spans="1:9" x14ac:dyDescent="0.4">
      <c r="A4054" t="str">
        <f t="shared" si="441"/>
        <v/>
      </c>
      <c r="B4054" t="str">
        <f t="shared" si="442"/>
        <v/>
      </c>
      <c r="C4054" t="str">
        <f t="shared" si="443"/>
        <v/>
      </c>
      <c r="D4054" t="str">
        <f t="shared" si="444"/>
        <v/>
      </c>
      <c r="E4054" t="str">
        <f>IF(F4054="","",IF(COUNTIF($F$2:F4054,F4054)&gt;1,"",SUMIFS(tbl_input[필요수량],tbl_input[집계키_센터],F4054)))</f>
        <v/>
      </c>
      <c r="F4054" t="str">
        <f>IFERROR(INDEX(tbl_input[집계키_센터],ROW()-1),"")</f>
        <v/>
      </c>
      <c r="G4054" t="str">
        <f t="shared" si="445"/>
        <v/>
      </c>
      <c r="H4054" t="str">
        <f t="shared" si="446"/>
        <v/>
      </c>
      <c r="I4054" t="str">
        <f t="shared" si="447"/>
        <v/>
      </c>
    </row>
    <row r="4055" spans="1:9" x14ac:dyDescent="0.4">
      <c r="A4055" t="str">
        <f t="shared" si="441"/>
        <v/>
      </c>
      <c r="B4055" t="str">
        <f t="shared" si="442"/>
        <v/>
      </c>
      <c r="C4055" t="str">
        <f t="shared" si="443"/>
        <v/>
      </c>
      <c r="D4055" t="str">
        <f t="shared" si="444"/>
        <v/>
      </c>
      <c r="E4055" t="str">
        <f>IF(F4055="","",IF(COUNTIF($F$2:F4055,F4055)&gt;1,"",SUMIFS(tbl_input[필요수량],tbl_input[집계키_센터],F4055)))</f>
        <v/>
      </c>
      <c r="F4055" t="str">
        <f>IFERROR(INDEX(tbl_input[집계키_센터],ROW()-1),"")</f>
        <v/>
      </c>
      <c r="G4055" t="str">
        <f t="shared" si="445"/>
        <v/>
      </c>
      <c r="H4055" t="str">
        <f t="shared" si="446"/>
        <v/>
      </c>
      <c r="I4055" t="str">
        <f t="shared" si="447"/>
        <v/>
      </c>
    </row>
    <row r="4056" spans="1:9" x14ac:dyDescent="0.4">
      <c r="A4056" t="str">
        <f t="shared" si="441"/>
        <v/>
      </c>
      <c r="B4056" t="str">
        <f t="shared" si="442"/>
        <v/>
      </c>
      <c r="C4056" t="str">
        <f t="shared" si="443"/>
        <v/>
      </c>
      <c r="D4056" t="str">
        <f t="shared" si="444"/>
        <v/>
      </c>
      <c r="E4056" t="str">
        <f>IF(F4056="","",IF(COUNTIF($F$2:F4056,F4056)&gt;1,"",SUMIFS(tbl_input[필요수량],tbl_input[집계키_센터],F4056)))</f>
        <v/>
      </c>
      <c r="F4056" t="str">
        <f>IFERROR(INDEX(tbl_input[집계키_센터],ROW()-1),"")</f>
        <v/>
      </c>
      <c r="G4056" t="str">
        <f t="shared" si="445"/>
        <v/>
      </c>
      <c r="H4056" t="str">
        <f t="shared" si="446"/>
        <v/>
      </c>
      <c r="I4056" t="str">
        <f t="shared" si="447"/>
        <v/>
      </c>
    </row>
    <row r="4057" spans="1:9" x14ac:dyDescent="0.4">
      <c r="A4057" t="str">
        <f t="shared" si="441"/>
        <v/>
      </c>
      <c r="B4057" t="str">
        <f t="shared" si="442"/>
        <v/>
      </c>
      <c r="C4057" t="str">
        <f t="shared" si="443"/>
        <v/>
      </c>
      <c r="D4057" t="str">
        <f t="shared" si="444"/>
        <v/>
      </c>
      <c r="E4057" t="str">
        <f>IF(F4057="","",IF(COUNTIF($F$2:F4057,F4057)&gt;1,"",SUMIFS(tbl_input[필요수량],tbl_input[집계키_센터],F4057)))</f>
        <v/>
      </c>
      <c r="F4057" t="str">
        <f>IFERROR(INDEX(tbl_input[집계키_센터],ROW()-1),"")</f>
        <v/>
      </c>
      <c r="G4057" t="str">
        <f t="shared" si="445"/>
        <v/>
      </c>
      <c r="H4057" t="str">
        <f t="shared" si="446"/>
        <v/>
      </c>
      <c r="I4057" t="str">
        <f t="shared" si="447"/>
        <v/>
      </c>
    </row>
    <row r="4058" spans="1:9" x14ac:dyDescent="0.4">
      <c r="A4058" t="str">
        <f t="shared" si="441"/>
        <v/>
      </c>
      <c r="B4058" t="str">
        <f t="shared" si="442"/>
        <v/>
      </c>
      <c r="C4058" t="str">
        <f t="shared" si="443"/>
        <v/>
      </c>
      <c r="D4058" t="str">
        <f t="shared" si="444"/>
        <v/>
      </c>
      <c r="E4058" t="str">
        <f>IF(F4058="","",IF(COUNTIF($F$2:F4058,F4058)&gt;1,"",SUMIFS(tbl_input[필요수량],tbl_input[집계키_센터],F4058)))</f>
        <v/>
      </c>
      <c r="F4058" t="str">
        <f>IFERROR(INDEX(tbl_input[집계키_센터],ROW()-1),"")</f>
        <v/>
      </c>
      <c r="G4058" t="str">
        <f t="shared" si="445"/>
        <v/>
      </c>
      <c r="H4058" t="str">
        <f t="shared" si="446"/>
        <v/>
      </c>
      <c r="I4058" t="str">
        <f t="shared" si="447"/>
        <v/>
      </c>
    </row>
    <row r="4059" spans="1:9" x14ac:dyDescent="0.4">
      <c r="A4059" t="str">
        <f t="shared" si="441"/>
        <v/>
      </c>
      <c r="B4059" t="str">
        <f t="shared" si="442"/>
        <v/>
      </c>
      <c r="C4059" t="str">
        <f t="shared" si="443"/>
        <v/>
      </c>
      <c r="D4059" t="str">
        <f t="shared" si="444"/>
        <v/>
      </c>
      <c r="E4059" t="str">
        <f>IF(F4059="","",IF(COUNTIF($F$2:F4059,F4059)&gt;1,"",SUMIFS(tbl_input[필요수량],tbl_input[집계키_센터],F4059)))</f>
        <v/>
      </c>
      <c r="F4059" t="str">
        <f>IFERROR(INDEX(tbl_input[집계키_센터],ROW()-1),"")</f>
        <v/>
      </c>
      <c r="G4059" t="str">
        <f t="shared" si="445"/>
        <v/>
      </c>
      <c r="H4059" t="str">
        <f t="shared" si="446"/>
        <v/>
      </c>
      <c r="I4059" t="str">
        <f t="shared" si="447"/>
        <v/>
      </c>
    </row>
    <row r="4060" spans="1:9" x14ac:dyDescent="0.4">
      <c r="A4060" t="str">
        <f t="shared" si="441"/>
        <v/>
      </c>
      <c r="B4060" t="str">
        <f t="shared" si="442"/>
        <v/>
      </c>
      <c r="C4060" t="str">
        <f t="shared" si="443"/>
        <v/>
      </c>
      <c r="D4060" t="str">
        <f t="shared" si="444"/>
        <v/>
      </c>
      <c r="E4060" t="str">
        <f>IF(F4060="","",IF(COUNTIF($F$2:F4060,F4060)&gt;1,"",SUMIFS(tbl_input[필요수량],tbl_input[집계키_센터],F4060)))</f>
        <v/>
      </c>
      <c r="F4060" t="str">
        <f>IFERROR(INDEX(tbl_input[집계키_센터],ROW()-1),"")</f>
        <v/>
      </c>
      <c r="G4060" t="str">
        <f t="shared" si="445"/>
        <v/>
      </c>
      <c r="H4060" t="str">
        <f t="shared" si="446"/>
        <v/>
      </c>
      <c r="I4060" t="str">
        <f t="shared" si="447"/>
        <v/>
      </c>
    </row>
    <row r="4061" spans="1:9" x14ac:dyDescent="0.4">
      <c r="A4061" t="str">
        <f t="shared" si="441"/>
        <v/>
      </c>
      <c r="B4061" t="str">
        <f t="shared" si="442"/>
        <v/>
      </c>
      <c r="C4061" t="str">
        <f t="shared" si="443"/>
        <v/>
      </c>
      <c r="D4061" t="str">
        <f t="shared" si="444"/>
        <v/>
      </c>
      <c r="E4061" t="str">
        <f>IF(F4061="","",IF(COUNTIF($F$2:F4061,F4061)&gt;1,"",SUMIFS(tbl_input[필요수량],tbl_input[집계키_센터],F4061)))</f>
        <v/>
      </c>
      <c r="F4061" t="str">
        <f>IFERROR(INDEX(tbl_input[집계키_센터],ROW()-1),"")</f>
        <v/>
      </c>
      <c r="G4061" t="str">
        <f t="shared" si="445"/>
        <v/>
      </c>
      <c r="H4061" t="str">
        <f t="shared" si="446"/>
        <v/>
      </c>
      <c r="I4061" t="str">
        <f t="shared" si="447"/>
        <v/>
      </c>
    </row>
    <row r="4062" spans="1:9" x14ac:dyDescent="0.4">
      <c r="A4062" t="str">
        <f t="shared" si="441"/>
        <v/>
      </c>
      <c r="B4062" t="str">
        <f t="shared" si="442"/>
        <v/>
      </c>
      <c r="C4062" t="str">
        <f t="shared" si="443"/>
        <v/>
      </c>
      <c r="D4062" t="str">
        <f t="shared" si="444"/>
        <v/>
      </c>
      <c r="E4062" t="str">
        <f>IF(F4062="","",IF(COUNTIF($F$2:F4062,F4062)&gt;1,"",SUMIFS(tbl_input[필요수량],tbl_input[집계키_센터],F4062)))</f>
        <v/>
      </c>
      <c r="F4062" t="str">
        <f>IFERROR(INDEX(tbl_input[집계키_센터],ROW()-1),"")</f>
        <v/>
      </c>
      <c r="G4062" t="str">
        <f t="shared" si="445"/>
        <v/>
      </c>
      <c r="H4062" t="str">
        <f t="shared" si="446"/>
        <v/>
      </c>
      <c r="I4062" t="str">
        <f t="shared" si="447"/>
        <v/>
      </c>
    </row>
    <row r="4063" spans="1:9" x14ac:dyDescent="0.4">
      <c r="A4063" t="str">
        <f t="shared" si="441"/>
        <v/>
      </c>
      <c r="B4063" t="str">
        <f t="shared" si="442"/>
        <v/>
      </c>
      <c r="C4063" t="str">
        <f t="shared" si="443"/>
        <v/>
      </c>
      <c r="D4063" t="str">
        <f t="shared" si="444"/>
        <v/>
      </c>
      <c r="E4063" t="str">
        <f>IF(F4063="","",IF(COUNTIF($F$2:F4063,F4063)&gt;1,"",SUMIFS(tbl_input[필요수량],tbl_input[집계키_센터],F4063)))</f>
        <v/>
      </c>
      <c r="F4063" t="str">
        <f>IFERROR(INDEX(tbl_input[집계키_센터],ROW()-1),"")</f>
        <v/>
      </c>
      <c r="G4063" t="str">
        <f t="shared" si="445"/>
        <v/>
      </c>
      <c r="H4063" t="str">
        <f t="shared" si="446"/>
        <v/>
      </c>
      <c r="I4063" t="str">
        <f t="shared" si="447"/>
        <v/>
      </c>
    </row>
    <row r="4064" spans="1:9" x14ac:dyDescent="0.4">
      <c r="A4064" t="str">
        <f t="shared" si="441"/>
        <v/>
      </c>
      <c r="B4064" t="str">
        <f t="shared" si="442"/>
        <v/>
      </c>
      <c r="C4064" t="str">
        <f t="shared" si="443"/>
        <v/>
      </c>
      <c r="D4064" t="str">
        <f t="shared" si="444"/>
        <v/>
      </c>
      <c r="E4064" t="str">
        <f>IF(F4064="","",IF(COUNTIF($F$2:F4064,F4064)&gt;1,"",SUMIFS(tbl_input[필요수량],tbl_input[집계키_센터],F4064)))</f>
        <v/>
      </c>
      <c r="F4064" t="str">
        <f>IFERROR(INDEX(tbl_input[집계키_센터],ROW()-1),"")</f>
        <v/>
      </c>
      <c r="G4064" t="str">
        <f t="shared" si="445"/>
        <v/>
      </c>
      <c r="H4064" t="str">
        <f t="shared" si="446"/>
        <v/>
      </c>
      <c r="I4064" t="str">
        <f t="shared" si="447"/>
        <v/>
      </c>
    </row>
    <row r="4065" spans="1:9" x14ac:dyDescent="0.4">
      <c r="A4065" t="str">
        <f t="shared" si="441"/>
        <v/>
      </c>
      <c r="B4065" t="str">
        <f t="shared" si="442"/>
        <v/>
      </c>
      <c r="C4065" t="str">
        <f t="shared" si="443"/>
        <v/>
      </c>
      <c r="D4065" t="str">
        <f t="shared" si="444"/>
        <v/>
      </c>
      <c r="E4065" t="str">
        <f>IF(F4065="","",IF(COUNTIF($F$2:F4065,F4065)&gt;1,"",SUMIFS(tbl_input[필요수량],tbl_input[집계키_센터],F4065)))</f>
        <v/>
      </c>
      <c r="F4065" t="str">
        <f>IFERROR(INDEX(tbl_input[집계키_센터],ROW()-1),"")</f>
        <v/>
      </c>
      <c r="G4065" t="str">
        <f t="shared" si="445"/>
        <v/>
      </c>
      <c r="H4065" t="str">
        <f t="shared" si="446"/>
        <v/>
      </c>
      <c r="I4065" t="str">
        <f t="shared" si="447"/>
        <v/>
      </c>
    </row>
    <row r="4066" spans="1:9" x14ac:dyDescent="0.4">
      <c r="A4066" t="str">
        <f t="shared" si="441"/>
        <v/>
      </c>
      <c r="B4066" t="str">
        <f t="shared" si="442"/>
        <v/>
      </c>
      <c r="C4066" t="str">
        <f t="shared" si="443"/>
        <v/>
      </c>
      <c r="D4066" t="str">
        <f t="shared" si="444"/>
        <v/>
      </c>
      <c r="E4066" t="str">
        <f>IF(F4066="","",IF(COUNTIF($F$2:F4066,F4066)&gt;1,"",SUMIFS(tbl_input[필요수량],tbl_input[집계키_센터],F4066)))</f>
        <v/>
      </c>
      <c r="F4066" t="str">
        <f>IFERROR(INDEX(tbl_input[집계키_센터],ROW()-1),"")</f>
        <v/>
      </c>
      <c r="G4066" t="str">
        <f t="shared" si="445"/>
        <v/>
      </c>
      <c r="H4066" t="str">
        <f t="shared" si="446"/>
        <v/>
      </c>
      <c r="I4066" t="str">
        <f t="shared" si="447"/>
        <v/>
      </c>
    </row>
    <row r="4067" spans="1:9" x14ac:dyDescent="0.4">
      <c r="A4067" t="str">
        <f t="shared" si="441"/>
        <v/>
      </c>
      <c r="B4067" t="str">
        <f t="shared" si="442"/>
        <v/>
      </c>
      <c r="C4067" t="str">
        <f t="shared" si="443"/>
        <v/>
      </c>
      <c r="D4067" t="str">
        <f t="shared" si="444"/>
        <v/>
      </c>
      <c r="E4067" t="str">
        <f>IF(F4067="","",IF(COUNTIF($F$2:F4067,F4067)&gt;1,"",SUMIFS(tbl_input[필요수량],tbl_input[집계키_센터],F4067)))</f>
        <v/>
      </c>
      <c r="F4067" t="str">
        <f>IFERROR(INDEX(tbl_input[집계키_센터],ROW()-1),"")</f>
        <v/>
      </c>
      <c r="G4067" t="str">
        <f t="shared" si="445"/>
        <v/>
      </c>
      <c r="H4067" t="str">
        <f t="shared" si="446"/>
        <v/>
      </c>
      <c r="I4067" t="str">
        <f t="shared" si="447"/>
        <v/>
      </c>
    </row>
    <row r="4068" spans="1:9" x14ac:dyDescent="0.4">
      <c r="A4068" t="str">
        <f t="shared" si="441"/>
        <v/>
      </c>
      <c r="B4068" t="str">
        <f t="shared" si="442"/>
        <v/>
      </c>
      <c r="C4068" t="str">
        <f t="shared" si="443"/>
        <v/>
      </c>
      <c r="D4068" t="str">
        <f t="shared" si="444"/>
        <v/>
      </c>
      <c r="E4068" t="str">
        <f>IF(F4068="","",IF(COUNTIF($F$2:F4068,F4068)&gt;1,"",SUMIFS(tbl_input[필요수량],tbl_input[집계키_센터],F4068)))</f>
        <v/>
      </c>
      <c r="F4068" t="str">
        <f>IFERROR(INDEX(tbl_input[집계키_센터],ROW()-1),"")</f>
        <v/>
      </c>
      <c r="G4068" t="str">
        <f t="shared" si="445"/>
        <v/>
      </c>
      <c r="H4068" t="str">
        <f t="shared" si="446"/>
        <v/>
      </c>
      <c r="I4068" t="str">
        <f t="shared" si="447"/>
        <v/>
      </c>
    </row>
    <row r="4069" spans="1:9" x14ac:dyDescent="0.4">
      <c r="A4069" t="str">
        <f t="shared" si="441"/>
        <v/>
      </c>
      <c r="B4069" t="str">
        <f t="shared" si="442"/>
        <v/>
      </c>
      <c r="C4069" t="str">
        <f t="shared" si="443"/>
        <v/>
      </c>
      <c r="D4069" t="str">
        <f t="shared" si="444"/>
        <v/>
      </c>
      <c r="E4069" t="str">
        <f>IF(F4069="","",IF(COUNTIF($F$2:F4069,F4069)&gt;1,"",SUMIFS(tbl_input[필요수량],tbl_input[집계키_센터],F4069)))</f>
        <v/>
      </c>
      <c r="F4069" t="str">
        <f>IFERROR(INDEX(tbl_input[집계키_센터],ROW()-1),"")</f>
        <v/>
      </c>
      <c r="G4069" t="str">
        <f t="shared" si="445"/>
        <v/>
      </c>
      <c r="H4069" t="str">
        <f t="shared" si="446"/>
        <v/>
      </c>
      <c r="I4069" t="str">
        <f t="shared" si="447"/>
        <v/>
      </c>
    </row>
    <row r="4070" spans="1:9" x14ac:dyDescent="0.4">
      <c r="A4070" t="str">
        <f t="shared" si="441"/>
        <v/>
      </c>
      <c r="B4070" t="str">
        <f t="shared" si="442"/>
        <v/>
      </c>
      <c r="C4070" t="str">
        <f t="shared" si="443"/>
        <v/>
      </c>
      <c r="D4070" t="str">
        <f t="shared" si="444"/>
        <v/>
      </c>
      <c r="E4070" t="str">
        <f>IF(F4070="","",IF(COUNTIF($F$2:F4070,F4070)&gt;1,"",SUMIFS(tbl_input[필요수량],tbl_input[집계키_센터],F4070)))</f>
        <v/>
      </c>
      <c r="F4070" t="str">
        <f>IFERROR(INDEX(tbl_input[집계키_센터],ROW()-1),"")</f>
        <v/>
      </c>
      <c r="G4070" t="str">
        <f t="shared" si="445"/>
        <v/>
      </c>
      <c r="H4070" t="str">
        <f t="shared" si="446"/>
        <v/>
      </c>
      <c r="I4070" t="str">
        <f t="shared" si="447"/>
        <v/>
      </c>
    </row>
    <row r="4071" spans="1:9" x14ac:dyDescent="0.4">
      <c r="A4071" t="str">
        <f t="shared" si="441"/>
        <v/>
      </c>
      <c r="B4071" t="str">
        <f t="shared" si="442"/>
        <v/>
      </c>
      <c r="C4071" t="str">
        <f t="shared" si="443"/>
        <v/>
      </c>
      <c r="D4071" t="str">
        <f t="shared" si="444"/>
        <v/>
      </c>
      <c r="E4071" t="str">
        <f>IF(F4071="","",IF(COUNTIF($F$2:F4071,F4071)&gt;1,"",SUMIFS(tbl_input[필요수량],tbl_input[집계키_센터],F4071)))</f>
        <v/>
      </c>
      <c r="F4071" t="str">
        <f>IFERROR(INDEX(tbl_input[집계키_센터],ROW()-1),"")</f>
        <v/>
      </c>
      <c r="G4071" t="str">
        <f t="shared" si="445"/>
        <v/>
      </c>
      <c r="H4071" t="str">
        <f t="shared" si="446"/>
        <v/>
      </c>
      <c r="I4071" t="str">
        <f t="shared" si="447"/>
        <v/>
      </c>
    </row>
    <row r="4072" spans="1:9" x14ac:dyDescent="0.4">
      <c r="A4072" t="str">
        <f t="shared" si="441"/>
        <v/>
      </c>
      <c r="B4072" t="str">
        <f t="shared" si="442"/>
        <v/>
      </c>
      <c r="C4072" t="str">
        <f t="shared" si="443"/>
        <v/>
      </c>
      <c r="D4072" t="str">
        <f t="shared" si="444"/>
        <v/>
      </c>
      <c r="E4072" t="str">
        <f>IF(F4072="","",IF(COUNTIF($F$2:F4072,F4072)&gt;1,"",SUMIFS(tbl_input[필요수량],tbl_input[집계키_센터],F4072)))</f>
        <v/>
      </c>
      <c r="F4072" t="str">
        <f>IFERROR(INDEX(tbl_input[집계키_센터],ROW()-1),"")</f>
        <v/>
      </c>
      <c r="G4072" t="str">
        <f t="shared" si="445"/>
        <v/>
      </c>
      <c r="H4072" t="str">
        <f t="shared" si="446"/>
        <v/>
      </c>
      <c r="I4072" t="str">
        <f t="shared" si="447"/>
        <v/>
      </c>
    </row>
    <row r="4073" spans="1:9" x14ac:dyDescent="0.4">
      <c r="A4073" t="str">
        <f t="shared" si="441"/>
        <v/>
      </c>
      <c r="B4073" t="str">
        <f t="shared" si="442"/>
        <v/>
      </c>
      <c r="C4073" t="str">
        <f t="shared" si="443"/>
        <v/>
      </c>
      <c r="D4073" t="str">
        <f t="shared" si="444"/>
        <v/>
      </c>
      <c r="E4073" t="str">
        <f>IF(F4073="","",IF(COUNTIF($F$2:F4073,F4073)&gt;1,"",SUMIFS(tbl_input[필요수량],tbl_input[집계키_센터],F4073)))</f>
        <v/>
      </c>
      <c r="F4073" t="str">
        <f>IFERROR(INDEX(tbl_input[집계키_센터],ROW()-1),"")</f>
        <v/>
      </c>
      <c r="G4073" t="str">
        <f t="shared" si="445"/>
        <v/>
      </c>
      <c r="H4073" t="str">
        <f t="shared" si="446"/>
        <v/>
      </c>
      <c r="I4073" t="str">
        <f t="shared" si="447"/>
        <v/>
      </c>
    </row>
    <row r="4074" spans="1:9" x14ac:dyDescent="0.4">
      <c r="A4074" t="str">
        <f t="shared" si="441"/>
        <v/>
      </c>
      <c r="B4074" t="str">
        <f t="shared" si="442"/>
        <v/>
      </c>
      <c r="C4074" t="str">
        <f t="shared" si="443"/>
        <v/>
      </c>
      <c r="D4074" t="str">
        <f t="shared" si="444"/>
        <v/>
      </c>
      <c r="E4074" t="str">
        <f>IF(F4074="","",IF(COUNTIF($F$2:F4074,F4074)&gt;1,"",SUMIFS(tbl_input[필요수량],tbl_input[집계키_센터],F4074)))</f>
        <v/>
      </c>
      <c r="F4074" t="str">
        <f>IFERROR(INDEX(tbl_input[집계키_센터],ROW()-1),"")</f>
        <v/>
      </c>
      <c r="G4074" t="str">
        <f t="shared" si="445"/>
        <v/>
      </c>
      <c r="H4074" t="str">
        <f t="shared" si="446"/>
        <v/>
      </c>
      <c r="I4074" t="str">
        <f t="shared" si="447"/>
        <v/>
      </c>
    </row>
    <row r="4075" spans="1:9" x14ac:dyDescent="0.4">
      <c r="A4075" t="str">
        <f t="shared" si="441"/>
        <v/>
      </c>
      <c r="B4075" t="str">
        <f t="shared" si="442"/>
        <v/>
      </c>
      <c r="C4075" t="str">
        <f t="shared" si="443"/>
        <v/>
      </c>
      <c r="D4075" t="str">
        <f t="shared" si="444"/>
        <v/>
      </c>
      <c r="E4075" t="str">
        <f>IF(F4075="","",IF(COUNTIF($F$2:F4075,F4075)&gt;1,"",SUMIFS(tbl_input[필요수량],tbl_input[집계키_센터],F4075)))</f>
        <v/>
      </c>
      <c r="F4075" t="str">
        <f>IFERROR(INDEX(tbl_input[집계키_센터],ROW()-1),"")</f>
        <v/>
      </c>
      <c r="G4075" t="str">
        <f t="shared" si="445"/>
        <v/>
      </c>
      <c r="H4075" t="str">
        <f t="shared" si="446"/>
        <v/>
      </c>
      <c r="I4075" t="str">
        <f t="shared" si="447"/>
        <v/>
      </c>
    </row>
    <row r="4076" spans="1:9" x14ac:dyDescent="0.4">
      <c r="A4076" t="str">
        <f t="shared" si="441"/>
        <v/>
      </c>
      <c r="B4076" t="str">
        <f t="shared" si="442"/>
        <v/>
      </c>
      <c r="C4076" t="str">
        <f t="shared" si="443"/>
        <v/>
      </c>
      <c r="D4076" t="str">
        <f t="shared" si="444"/>
        <v/>
      </c>
      <c r="E4076" t="str">
        <f>IF(F4076="","",IF(COUNTIF($F$2:F4076,F4076)&gt;1,"",SUMIFS(tbl_input[필요수량],tbl_input[집계키_센터],F4076)))</f>
        <v/>
      </c>
      <c r="F4076" t="str">
        <f>IFERROR(INDEX(tbl_input[집계키_센터],ROW()-1),"")</f>
        <v/>
      </c>
      <c r="G4076" t="str">
        <f t="shared" si="445"/>
        <v/>
      </c>
      <c r="H4076" t="str">
        <f t="shared" si="446"/>
        <v/>
      </c>
      <c r="I4076" t="str">
        <f t="shared" si="447"/>
        <v/>
      </c>
    </row>
    <row r="4077" spans="1:9" x14ac:dyDescent="0.4">
      <c r="A4077" t="str">
        <f t="shared" si="441"/>
        <v/>
      </c>
      <c r="B4077" t="str">
        <f t="shared" si="442"/>
        <v/>
      </c>
      <c r="C4077" t="str">
        <f t="shared" si="443"/>
        <v/>
      </c>
      <c r="D4077" t="str">
        <f t="shared" si="444"/>
        <v/>
      </c>
      <c r="E4077" t="str">
        <f>IF(F4077="","",IF(COUNTIF($F$2:F4077,F4077)&gt;1,"",SUMIFS(tbl_input[필요수량],tbl_input[집계키_센터],F4077)))</f>
        <v/>
      </c>
      <c r="F4077" t="str">
        <f>IFERROR(INDEX(tbl_input[집계키_센터],ROW()-1),"")</f>
        <v/>
      </c>
      <c r="G4077" t="str">
        <f t="shared" si="445"/>
        <v/>
      </c>
      <c r="H4077" t="str">
        <f t="shared" si="446"/>
        <v/>
      </c>
      <c r="I4077" t="str">
        <f t="shared" si="447"/>
        <v/>
      </c>
    </row>
    <row r="4078" spans="1:9" x14ac:dyDescent="0.4">
      <c r="A4078" t="str">
        <f t="shared" si="441"/>
        <v/>
      </c>
      <c r="B4078" t="str">
        <f t="shared" si="442"/>
        <v/>
      </c>
      <c r="C4078" t="str">
        <f t="shared" si="443"/>
        <v/>
      </c>
      <c r="D4078" t="str">
        <f t="shared" si="444"/>
        <v/>
      </c>
      <c r="E4078" t="str">
        <f>IF(F4078="","",IF(COUNTIF($F$2:F4078,F4078)&gt;1,"",SUMIFS(tbl_input[필요수량],tbl_input[집계키_센터],F4078)))</f>
        <v/>
      </c>
      <c r="F4078" t="str">
        <f>IFERROR(INDEX(tbl_input[집계키_센터],ROW()-1),"")</f>
        <v/>
      </c>
      <c r="G4078" t="str">
        <f t="shared" si="445"/>
        <v/>
      </c>
      <c r="H4078" t="str">
        <f t="shared" si="446"/>
        <v/>
      </c>
      <c r="I4078" t="str">
        <f t="shared" si="447"/>
        <v/>
      </c>
    </row>
    <row r="4079" spans="1:9" x14ac:dyDescent="0.4">
      <c r="A4079" t="str">
        <f t="shared" si="441"/>
        <v/>
      </c>
      <c r="B4079" t="str">
        <f t="shared" si="442"/>
        <v/>
      </c>
      <c r="C4079" t="str">
        <f t="shared" si="443"/>
        <v/>
      </c>
      <c r="D4079" t="str">
        <f t="shared" si="444"/>
        <v/>
      </c>
      <c r="E4079" t="str">
        <f>IF(F4079="","",IF(COUNTIF($F$2:F4079,F4079)&gt;1,"",SUMIFS(tbl_input[필요수량],tbl_input[집계키_센터],F4079)))</f>
        <v/>
      </c>
      <c r="F4079" t="str">
        <f>IFERROR(INDEX(tbl_input[집계키_센터],ROW()-1),"")</f>
        <v/>
      </c>
      <c r="G4079" t="str">
        <f t="shared" si="445"/>
        <v/>
      </c>
      <c r="H4079" t="str">
        <f t="shared" si="446"/>
        <v/>
      </c>
      <c r="I4079" t="str">
        <f t="shared" si="447"/>
        <v/>
      </c>
    </row>
    <row r="4080" spans="1:9" x14ac:dyDescent="0.4">
      <c r="A4080" t="str">
        <f t="shared" si="441"/>
        <v/>
      </c>
      <c r="B4080" t="str">
        <f t="shared" si="442"/>
        <v/>
      </c>
      <c r="C4080" t="str">
        <f t="shared" si="443"/>
        <v/>
      </c>
      <c r="D4080" t="str">
        <f t="shared" si="444"/>
        <v/>
      </c>
      <c r="E4080" t="str">
        <f>IF(F4080="","",IF(COUNTIF($F$2:F4080,F4080)&gt;1,"",SUMIFS(tbl_input[필요수량],tbl_input[집계키_센터],F4080)))</f>
        <v/>
      </c>
      <c r="F4080" t="str">
        <f>IFERROR(INDEX(tbl_input[집계키_센터],ROW()-1),"")</f>
        <v/>
      </c>
      <c r="G4080" t="str">
        <f t="shared" si="445"/>
        <v/>
      </c>
      <c r="H4080" t="str">
        <f t="shared" si="446"/>
        <v/>
      </c>
      <c r="I4080" t="str">
        <f t="shared" si="447"/>
        <v/>
      </c>
    </row>
    <row r="4081" spans="1:9" x14ac:dyDescent="0.4">
      <c r="A4081" t="str">
        <f t="shared" si="441"/>
        <v/>
      </c>
      <c r="B4081" t="str">
        <f t="shared" si="442"/>
        <v/>
      </c>
      <c r="C4081" t="str">
        <f t="shared" si="443"/>
        <v/>
      </c>
      <c r="D4081" t="str">
        <f t="shared" si="444"/>
        <v/>
      </c>
      <c r="E4081" t="str">
        <f>IF(F4081="","",IF(COUNTIF($F$2:F4081,F4081)&gt;1,"",SUMIFS(tbl_input[필요수량],tbl_input[집계키_센터],F4081)))</f>
        <v/>
      </c>
      <c r="F4081" t="str">
        <f>IFERROR(INDEX(tbl_input[집계키_센터],ROW()-1),"")</f>
        <v/>
      </c>
      <c r="G4081" t="str">
        <f t="shared" si="445"/>
        <v/>
      </c>
      <c r="H4081" t="str">
        <f t="shared" si="446"/>
        <v/>
      </c>
      <c r="I4081" t="str">
        <f t="shared" si="447"/>
        <v/>
      </c>
    </row>
    <row r="4082" spans="1:9" x14ac:dyDescent="0.4">
      <c r="A4082" t="str">
        <f t="shared" si="441"/>
        <v/>
      </c>
      <c r="B4082" t="str">
        <f t="shared" si="442"/>
        <v/>
      </c>
      <c r="C4082" t="str">
        <f t="shared" si="443"/>
        <v/>
      </c>
      <c r="D4082" t="str">
        <f t="shared" si="444"/>
        <v/>
      </c>
      <c r="E4082" t="str">
        <f>IF(F4082="","",IF(COUNTIF($F$2:F4082,F4082)&gt;1,"",SUMIFS(tbl_input[필요수량],tbl_input[집계키_센터],F4082)))</f>
        <v/>
      </c>
      <c r="F4082" t="str">
        <f>IFERROR(INDEX(tbl_input[집계키_센터],ROW()-1),"")</f>
        <v/>
      </c>
      <c r="G4082" t="str">
        <f t="shared" si="445"/>
        <v/>
      </c>
      <c r="H4082" t="str">
        <f t="shared" si="446"/>
        <v/>
      </c>
      <c r="I4082" t="str">
        <f t="shared" si="447"/>
        <v/>
      </c>
    </row>
    <row r="4083" spans="1:9" x14ac:dyDescent="0.4">
      <c r="A4083" t="str">
        <f t="shared" si="441"/>
        <v/>
      </c>
      <c r="B4083" t="str">
        <f t="shared" si="442"/>
        <v/>
      </c>
      <c r="C4083" t="str">
        <f t="shared" si="443"/>
        <v/>
      </c>
      <c r="D4083" t="str">
        <f t="shared" si="444"/>
        <v/>
      </c>
      <c r="E4083" t="str">
        <f>IF(F4083="","",IF(COUNTIF($F$2:F4083,F4083)&gt;1,"",SUMIFS(tbl_input[필요수량],tbl_input[집계키_센터],F4083)))</f>
        <v/>
      </c>
      <c r="F4083" t="str">
        <f>IFERROR(INDEX(tbl_input[집계키_센터],ROW()-1),"")</f>
        <v/>
      </c>
      <c r="G4083" t="str">
        <f t="shared" si="445"/>
        <v/>
      </c>
      <c r="H4083" t="str">
        <f t="shared" si="446"/>
        <v/>
      </c>
      <c r="I4083" t="str">
        <f t="shared" si="447"/>
        <v/>
      </c>
    </row>
    <row r="4084" spans="1:9" x14ac:dyDescent="0.4">
      <c r="A4084" t="str">
        <f t="shared" si="441"/>
        <v/>
      </c>
      <c r="B4084" t="str">
        <f t="shared" si="442"/>
        <v/>
      </c>
      <c r="C4084" t="str">
        <f t="shared" si="443"/>
        <v/>
      </c>
      <c r="D4084" t="str">
        <f t="shared" si="444"/>
        <v/>
      </c>
      <c r="E4084" t="str">
        <f>IF(F4084="","",IF(COUNTIF($F$2:F4084,F4084)&gt;1,"",SUMIFS(tbl_input[필요수량],tbl_input[집계키_센터],F4084)))</f>
        <v/>
      </c>
      <c r="F4084" t="str">
        <f>IFERROR(INDEX(tbl_input[집계키_센터],ROW()-1),"")</f>
        <v/>
      </c>
      <c r="G4084" t="str">
        <f t="shared" si="445"/>
        <v/>
      </c>
      <c r="H4084" t="str">
        <f t="shared" si="446"/>
        <v/>
      </c>
      <c r="I4084" t="str">
        <f t="shared" si="447"/>
        <v/>
      </c>
    </row>
    <row r="4085" spans="1:9" x14ac:dyDescent="0.4">
      <c r="A4085" t="str">
        <f t="shared" si="441"/>
        <v/>
      </c>
      <c r="B4085" t="str">
        <f t="shared" si="442"/>
        <v/>
      </c>
      <c r="C4085" t="str">
        <f t="shared" si="443"/>
        <v/>
      </c>
      <c r="D4085" t="str">
        <f t="shared" si="444"/>
        <v/>
      </c>
      <c r="E4085" t="str">
        <f>IF(F4085="","",IF(COUNTIF($F$2:F4085,F4085)&gt;1,"",SUMIFS(tbl_input[필요수량],tbl_input[집계키_센터],F4085)))</f>
        <v/>
      </c>
      <c r="F4085" t="str">
        <f>IFERROR(INDEX(tbl_input[집계키_센터],ROW()-1),"")</f>
        <v/>
      </c>
      <c r="G4085" t="str">
        <f t="shared" si="445"/>
        <v/>
      </c>
      <c r="H4085" t="str">
        <f t="shared" si="446"/>
        <v/>
      </c>
      <c r="I4085" t="str">
        <f t="shared" si="447"/>
        <v/>
      </c>
    </row>
    <row r="4086" spans="1:9" x14ac:dyDescent="0.4">
      <c r="A4086" t="str">
        <f t="shared" si="441"/>
        <v/>
      </c>
      <c r="B4086" t="str">
        <f t="shared" si="442"/>
        <v/>
      </c>
      <c r="C4086" t="str">
        <f t="shared" si="443"/>
        <v/>
      </c>
      <c r="D4086" t="str">
        <f t="shared" si="444"/>
        <v/>
      </c>
      <c r="E4086" t="str">
        <f>IF(F4086="","",IF(COUNTIF($F$2:F4086,F4086)&gt;1,"",SUMIFS(tbl_input[필요수량],tbl_input[집계키_센터],F4086)))</f>
        <v/>
      </c>
      <c r="F4086" t="str">
        <f>IFERROR(INDEX(tbl_input[집계키_센터],ROW()-1),"")</f>
        <v/>
      </c>
      <c r="G4086" t="str">
        <f t="shared" si="445"/>
        <v/>
      </c>
      <c r="H4086" t="str">
        <f t="shared" si="446"/>
        <v/>
      </c>
      <c r="I4086" t="str">
        <f t="shared" si="447"/>
        <v/>
      </c>
    </row>
    <row r="4087" spans="1:9" x14ac:dyDescent="0.4">
      <c r="A4087" t="str">
        <f t="shared" si="441"/>
        <v/>
      </c>
      <c r="B4087" t="str">
        <f t="shared" si="442"/>
        <v/>
      </c>
      <c r="C4087" t="str">
        <f t="shared" si="443"/>
        <v/>
      </c>
      <c r="D4087" t="str">
        <f t="shared" si="444"/>
        <v/>
      </c>
      <c r="E4087" t="str">
        <f>IF(F4087="","",IF(COUNTIF($F$2:F4087,F4087)&gt;1,"",SUMIFS(tbl_input[필요수량],tbl_input[집계키_센터],F4087)))</f>
        <v/>
      </c>
      <c r="F4087" t="str">
        <f>IFERROR(INDEX(tbl_input[집계키_센터],ROW()-1),"")</f>
        <v/>
      </c>
      <c r="G4087" t="str">
        <f t="shared" si="445"/>
        <v/>
      </c>
      <c r="H4087" t="str">
        <f t="shared" si="446"/>
        <v/>
      </c>
      <c r="I4087" t="str">
        <f t="shared" si="447"/>
        <v/>
      </c>
    </row>
    <row r="4088" spans="1:9" x14ac:dyDescent="0.4">
      <c r="A4088" t="str">
        <f t="shared" si="441"/>
        <v/>
      </c>
      <c r="B4088" t="str">
        <f t="shared" si="442"/>
        <v/>
      </c>
      <c r="C4088" t="str">
        <f t="shared" si="443"/>
        <v/>
      </c>
      <c r="D4088" t="str">
        <f t="shared" si="444"/>
        <v/>
      </c>
      <c r="E4088" t="str">
        <f>IF(F4088="","",IF(COUNTIF($F$2:F4088,F4088)&gt;1,"",SUMIFS(tbl_input[필요수량],tbl_input[집계키_센터],F4088)))</f>
        <v/>
      </c>
      <c r="F4088" t="str">
        <f>IFERROR(INDEX(tbl_input[집계키_센터],ROW()-1),"")</f>
        <v/>
      </c>
      <c r="G4088" t="str">
        <f t="shared" si="445"/>
        <v/>
      </c>
      <c r="H4088" t="str">
        <f t="shared" si="446"/>
        <v/>
      </c>
      <c r="I4088" t="str">
        <f t="shared" si="447"/>
        <v/>
      </c>
    </row>
    <row r="4089" spans="1:9" x14ac:dyDescent="0.4">
      <c r="A4089" t="str">
        <f t="shared" si="441"/>
        <v/>
      </c>
      <c r="B4089" t="str">
        <f t="shared" si="442"/>
        <v/>
      </c>
      <c r="C4089" t="str">
        <f t="shared" si="443"/>
        <v/>
      </c>
      <c r="D4089" t="str">
        <f t="shared" si="444"/>
        <v/>
      </c>
      <c r="E4089" t="str">
        <f>IF(F4089="","",IF(COUNTIF($F$2:F4089,F4089)&gt;1,"",SUMIFS(tbl_input[필요수량],tbl_input[집계키_센터],F4089)))</f>
        <v/>
      </c>
      <c r="F4089" t="str">
        <f>IFERROR(INDEX(tbl_input[집계키_센터],ROW()-1),"")</f>
        <v/>
      </c>
      <c r="G4089" t="str">
        <f t="shared" si="445"/>
        <v/>
      </c>
      <c r="H4089" t="str">
        <f t="shared" si="446"/>
        <v/>
      </c>
      <c r="I4089" t="str">
        <f t="shared" si="447"/>
        <v/>
      </c>
    </row>
    <row r="4090" spans="1:9" x14ac:dyDescent="0.4">
      <c r="A4090" t="str">
        <f t="shared" si="441"/>
        <v/>
      </c>
      <c r="B4090" t="str">
        <f t="shared" si="442"/>
        <v/>
      </c>
      <c r="C4090" t="str">
        <f t="shared" si="443"/>
        <v/>
      </c>
      <c r="D4090" t="str">
        <f t="shared" si="444"/>
        <v/>
      </c>
      <c r="E4090" t="str">
        <f>IF(F4090="","",IF(COUNTIF($F$2:F4090,F4090)&gt;1,"",SUMIFS(tbl_input[필요수량],tbl_input[집계키_센터],F4090)))</f>
        <v/>
      </c>
      <c r="F4090" t="str">
        <f>IFERROR(INDEX(tbl_input[집계키_센터],ROW()-1),"")</f>
        <v/>
      </c>
      <c r="G4090" t="str">
        <f t="shared" si="445"/>
        <v/>
      </c>
      <c r="H4090" t="str">
        <f t="shared" si="446"/>
        <v/>
      </c>
      <c r="I4090" t="str">
        <f t="shared" si="447"/>
        <v/>
      </c>
    </row>
    <row r="4091" spans="1:9" x14ac:dyDescent="0.4">
      <c r="A4091" t="str">
        <f t="shared" si="441"/>
        <v/>
      </c>
      <c r="B4091" t="str">
        <f t="shared" si="442"/>
        <v/>
      </c>
      <c r="C4091" t="str">
        <f t="shared" si="443"/>
        <v/>
      </c>
      <c r="D4091" t="str">
        <f t="shared" si="444"/>
        <v/>
      </c>
      <c r="E4091" t="str">
        <f>IF(F4091="","",IF(COUNTIF($F$2:F4091,F4091)&gt;1,"",SUMIFS(tbl_input[필요수량],tbl_input[집계키_센터],F4091)))</f>
        <v/>
      </c>
      <c r="F4091" t="str">
        <f>IFERROR(INDEX(tbl_input[집계키_센터],ROW()-1),"")</f>
        <v/>
      </c>
      <c r="G4091" t="str">
        <f t="shared" si="445"/>
        <v/>
      </c>
      <c r="H4091" t="str">
        <f t="shared" si="446"/>
        <v/>
      </c>
      <c r="I4091" t="str">
        <f t="shared" si="447"/>
        <v/>
      </c>
    </row>
    <row r="4092" spans="1:9" x14ac:dyDescent="0.4">
      <c r="A4092" t="str">
        <f t="shared" si="441"/>
        <v/>
      </c>
      <c r="B4092" t="str">
        <f t="shared" si="442"/>
        <v/>
      </c>
      <c r="C4092" t="str">
        <f t="shared" si="443"/>
        <v/>
      </c>
      <c r="D4092" t="str">
        <f t="shared" si="444"/>
        <v/>
      </c>
      <c r="E4092" t="str">
        <f>IF(F4092="","",IF(COUNTIF($F$2:F4092,F4092)&gt;1,"",SUMIFS(tbl_input[필요수량],tbl_input[집계키_센터],F4092)))</f>
        <v/>
      </c>
      <c r="F4092" t="str">
        <f>IFERROR(INDEX(tbl_input[집계키_센터],ROW()-1),"")</f>
        <v/>
      </c>
      <c r="G4092" t="str">
        <f t="shared" si="445"/>
        <v/>
      </c>
      <c r="H4092" t="str">
        <f t="shared" si="446"/>
        <v/>
      </c>
      <c r="I4092" t="str">
        <f t="shared" si="447"/>
        <v/>
      </c>
    </row>
    <row r="4093" spans="1:9" x14ac:dyDescent="0.4">
      <c r="A4093" t="str">
        <f t="shared" si="441"/>
        <v/>
      </c>
      <c r="B4093" t="str">
        <f t="shared" si="442"/>
        <v/>
      </c>
      <c r="C4093" t="str">
        <f t="shared" si="443"/>
        <v/>
      </c>
      <c r="D4093" t="str">
        <f t="shared" si="444"/>
        <v/>
      </c>
      <c r="E4093" t="str">
        <f>IF(F4093="","",IF(COUNTIF($F$2:F4093,F4093)&gt;1,"",SUMIFS(tbl_input[필요수량],tbl_input[집계키_센터],F4093)))</f>
        <v/>
      </c>
      <c r="F4093" t="str">
        <f>IFERROR(INDEX(tbl_input[집계키_센터],ROW()-1),"")</f>
        <v/>
      </c>
      <c r="G4093" t="str">
        <f t="shared" si="445"/>
        <v/>
      </c>
      <c r="H4093" t="str">
        <f t="shared" si="446"/>
        <v/>
      </c>
      <c r="I4093" t="str">
        <f t="shared" si="447"/>
        <v/>
      </c>
    </row>
    <row r="4094" spans="1:9" x14ac:dyDescent="0.4">
      <c r="A4094" t="str">
        <f t="shared" si="441"/>
        <v/>
      </c>
      <c r="B4094" t="str">
        <f t="shared" si="442"/>
        <v/>
      </c>
      <c r="C4094" t="str">
        <f t="shared" si="443"/>
        <v/>
      </c>
      <c r="D4094" t="str">
        <f t="shared" si="444"/>
        <v/>
      </c>
      <c r="E4094" t="str">
        <f>IF(F4094="","",IF(COUNTIF($F$2:F4094,F4094)&gt;1,"",SUMIFS(tbl_input[필요수량],tbl_input[집계키_센터],F4094)))</f>
        <v/>
      </c>
      <c r="F4094" t="str">
        <f>IFERROR(INDEX(tbl_input[집계키_센터],ROW()-1),"")</f>
        <v/>
      </c>
      <c r="G4094" t="str">
        <f t="shared" si="445"/>
        <v/>
      </c>
      <c r="H4094" t="str">
        <f t="shared" si="446"/>
        <v/>
      </c>
      <c r="I4094" t="str">
        <f t="shared" si="447"/>
        <v/>
      </c>
    </row>
    <row r="4095" spans="1:9" x14ac:dyDescent="0.4">
      <c r="A4095" t="str">
        <f t="shared" si="441"/>
        <v/>
      </c>
      <c r="B4095" t="str">
        <f t="shared" si="442"/>
        <v/>
      </c>
      <c r="C4095" t="str">
        <f t="shared" si="443"/>
        <v/>
      </c>
      <c r="D4095" t="str">
        <f t="shared" si="444"/>
        <v/>
      </c>
      <c r="E4095" t="str">
        <f>IF(F4095="","",IF(COUNTIF($F$2:F4095,F4095)&gt;1,"",SUMIFS(tbl_input[필요수량],tbl_input[집계키_센터],F4095)))</f>
        <v/>
      </c>
      <c r="F4095" t="str">
        <f>IFERROR(INDEX(tbl_input[집계키_센터],ROW()-1),"")</f>
        <v/>
      </c>
      <c r="G4095" t="str">
        <f t="shared" si="445"/>
        <v/>
      </c>
      <c r="H4095" t="str">
        <f t="shared" si="446"/>
        <v/>
      </c>
      <c r="I4095" t="str">
        <f t="shared" si="447"/>
        <v/>
      </c>
    </row>
    <row r="4096" spans="1:9" x14ac:dyDescent="0.4">
      <c r="A4096" t="str">
        <f t="shared" si="441"/>
        <v/>
      </c>
      <c r="B4096" t="str">
        <f t="shared" si="442"/>
        <v/>
      </c>
      <c r="C4096" t="str">
        <f t="shared" si="443"/>
        <v/>
      </c>
      <c r="D4096" t="str">
        <f t="shared" si="444"/>
        <v/>
      </c>
      <c r="E4096" t="str">
        <f>IF(F4096="","",IF(COUNTIF($F$2:F4096,F4096)&gt;1,"",SUMIFS(tbl_input[필요수량],tbl_input[집계키_센터],F4096)))</f>
        <v/>
      </c>
      <c r="F4096" t="str">
        <f>IFERROR(INDEX(tbl_input[집계키_센터],ROW()-1),"")</f>
        <v/>
      </c>
      <c r="G4096" t="str">
        <f t="shared" si="445"/>
        <v/>
      </c>
      <c r="H4096" t="str">
        <f t="shared" si="446"/>
        <v/>
      </c>
      <c r="I4096" t="str">
        <f t="shared" si="447"/>
        <v/>
      </c>
    </row>
    <row r="4097" spans="1:9" x14ac:dyDescent="0.4">
      <c r="A4097" t="str">
        <f t="shared" si="441"/>
        <v/>
      </c>
      <c r="B4097" t="str">
        <f t="shared" si="442"/>
        <v/>
      </c>
      <c r="C4097" t="str">
        <f t="shared" si="443"/>
        <v/>
      </c>
      <c r="D4097" t="str">
        <f t="shared" si="444"/>
        <v/>
      </c>
      <c r="E4097" t="str">
        <f>IF(F4097="","",IF(COUNTIF($F$2:F4097,F4097)&gt;1,"",SUMIFS(tbl_input[필요수량],tbl_input[집계키_센터],F4097)))</f>
        <v/>
      </c>
      <c r="F4097" t="str">
        <f>IFERROR(INDEX(tbl_input[집계키_센터],ROW()-1),"")</f>
        <v/>
      </c>
      <c r="G4097" t="str">
        <f t="shared" si="445"/>
        <v/>
      </c>
      <c r="H4097" t="str">
        <f t="shared" si="446"/>
        <v/>
      </c>
      <c r="I4097" t="str">
        <f t="shared" si="447"/>
        <v/>
      </c>
    </row>
    <row r="4098" spans="1:9" x14ac:dyDescent="0.4">
      <c r="A4098" t="str">
        <f t="shared" ref="A4098:A4161" si="448">IF(F4098="","",LEFT(F4098,G4098-1))</f>
        <v/>
      </c>
      <c r="B4098" t="str">
        <f t="shared" ref="B4098:B4161" si="449">IF(F4098="","",MID(F4098,G4098+1,H4098-G4098-1))</f>
        <v/>
      </c>
      <c r="C4098" t="str">
        <f t="shared" ref="C4098:C4161" si="450">IF(F4098="","",MID(F4098,H4098+1,I4098-H4098-1))</f>
        <v/>
      </c>
      <c r="D4098" t="str">
        <f t="shared" ref="D4098:D4161" si="451">IF(F4098="","",MID(F4098,I4098+1,999))</f>
        <v/>
      </c>
      <c r="E4098" t="str">
        <f>IF(F4098="","",IF(COUNTIF($F$2:F4098,F4098)&gt;1,"",SUMIFS(tbl_input[필요수량],tbl_input[집계키_센터],F4098)))</f>
        <v/>
      </c>
      <c r="F4098" t="str">
        <f>IFERROR(INDEX(tbl_input[집계키_센터],ROW()-1),"")</f>
        <v/>
      </c>
      <c r="G4098" t="str">
        <f t="shared" ref="G4098:G4161" si="452">IF(F4098="","",FIND("♦",F4098))</f>
        <v/>
      </c>
      <c r="H4098" t="str">
        <f t="shared" ref="H4098:H4161" si="453">IF(F4098="","",FIND("♦",F4098,G4098+1))</f>
        <v/>
      </c>
      <c r="I4098" t="str">
        <f t="shared" ref="I4098:I4161" si="454">IF(F4098="","",FIND("♦",F4098,H4098+1))</f>
        <v/>
      </c>
    </row>
    <row r="4099" spans="1:9" x14ac:dyDescent="0.4">
      <c r="A4099" t="str">
        <f t="shared" si="448"/>
        <v/>
      </c>
      <c r="B4099" t="str">
        <f t="shared" si="449"/>
        <v/>
      </c>
      <c r="C4099" t="str">
        <f t="shared" si="450"/>
        <v/>
      </c>
      <c r="D4099" t="str">
        <f t="shared" si="451"/>
        <v/>
      </c>
      <c r="E4099" t="str">
        <f>IF(F4099="","",IF(COUNTIF($F$2:F4099,F4099)&gt;1,"",SUMIFS(tbl_input[필요수량],tbl_input[집계키_센터],F4099)))</f>
        <v/>
      </c>
      <c r="F4099" t="str">
        <f>IFERROR(INDEX(tbl_input[집계키_센터],ROW()-1),"")</f>
        <v/>
      </c>
      <c r="G4099" t="str">
        <f t="shared" si="452"/>
        <v/>
      </c>
      <c r="H4099" t="str">
        <f t="shared" si="453"/>
        <v/>
      </c>
      <c r="I4099" t="str">
        <f t="shared" si="454"/>
        <v/>
      </c>
    </row>
    <row r="4100" spans="1:9" x14ac:dyDescent="0.4">
      <c r="A4100" t="str">
        <f t="shared" si="448"/>
        <v/>
      </c>
      <c r="B4100" t="str">
        <f t="shared" si="449"/>
        <v/>
      </c>
      <c r="C4100" t="str">
        <f t="shared" si="450"/>
        <v/>
      </c>
      <c r="D4100" t="str">
        <f t="shared" si="451"/>
        <v/>
      </c>
      <c r="E4100" t="str">
        <f>IF(F4100="","",IF(COUNTIF($F$2:F4100,F4100)&gt;1,"",SUMIFS(tbl_input[필요수량],tbl_input[집계키_센터],F4100)))</f>
        <v/>
      </c>
      <c r="F4100" t="str">
        <f>IFERROR(INDEX(tbl_input[집계키_센터],ROW()-1),"")</f>
        <v/>
      </c>
      <c r="G4100" t="str">
        <f t="shared" si="452"/>
        <v/>
      </c>
      <c r="H4100" t="str">
        <f t="shared" si="453"/>
        <v/>
      </c>
      <c r="I4100" t="str">
        <f t="shared" si="454"/>
        <v/>
      </c>
    </row>
    <row r="4101" spans="1:9" x14ac:dyDescent="0.4">
      <c r="A4101" t="str">
        <f t="shared" si="448"/>
        <v/>
      </c>
      <c r="B4101" t="str">
        <f t="shared" si="449"/>
        <v/>
      </c>
      <c r="C4101" t="str">
        <f t="shared" si="450"/>
        <v/>
      </c>
      <c r="D4101" t="str">
        <f t="shared" si="451"/>
        <v/>
      </c>
      <c r="E4101" t="str">
        <f>IF(F4101="","",IF(COUNTIF($F$2:F4101,F4101)&gt;1,"",SUMIFS(tbl_input[필요수량],tbl_input[집계키_센터],F4101)))</f>
        <v/>
      </c>
      <c r="F4101" t="str">
        <f>IFERROR(INDEX(tbl_input[집계키_센터],ROW()-1),"")</f>
        <v/>
      </c>
      <c r="G4101" t="str">
        <f t="shared" si="452"/>
        <v/>
      </c>
      <c r="H4101" t="str">
        <f t="shared" si="453"/>
        <v/>
      </c>
      <c r="I4101" t="str">
        <f t="shared" si="454"/>
        <v/>
      </c>
    </row>
    <row r="4102" spans="1:9" x14ac:dyDescent="0.4">
      <c r="A4102" t="str">
        <f t="shared" si="448"/>
        <v/>
      </c>
      <c r="B4102" t="str">
        <f t="shared" si="449"/>
        <v/>
      </c>
      <c r="C4102" t="str">
        <f t="shared" si="450"/>
        <v/>
      </c>
      <c r="D4102" t="str">
        <f t="shared" si="451"/>
        <v/>
      </c>
      <c r="E4102" t="str">
        <f>IF(F4102="","",IF(COUNTIF($F$2:F4102,F4102)&gt;1,"",SUMIFS(tbl_input[필요수량],tbl_input[집계키_센터],F4102)))</f>
        <v/>
      </c>
      <c r="F4102" t="str">
        <f>IFERROR(INDEX(tbl_input[집계키_센터],ROW()-1),"")</f>
        <v/>
      </c>
      <c r="G4102" t="str">
        <f t="shared" si="452"/>
        <v/>
      </c>
      <c r="H4102" t="str">
        <f t="shared" si="453"/>
        <v/>
      </c>
      <c r="I4102" t="str">
        <f t="shared" si="454"/>
        <v/>
      </c>
    </row>
    <row r="4103" spans="1:9" x14ac:dyDescent="0.4">
      <c r="A4103" t="str">
        <f t="shared" si="448"/>
        <v/>
      </c>
      <c r="B4103" t="str">
        <f t="shared" si="449"/>
        <v/>
      </c>
      <c r="C4103" t="str">
        <f t="shared" si="450"/>
        <v/>
      </c>
      <c r="D4103" t="str">
        <f t="shared" si="451"/>
        <v/>
      </c>
      <c r="E4103" t="str">
        <f>IF(F4103="","",IF(COUNTIF($F$2:F4103,F4103)&gt;1,"",SUMIFS(tbl_input[필요수량],tbl_input[집계키_센터],F4103)))</f>
        <v/>
      </c>
      <c r="F4103" t="str">
        <f>IFERROR(INDEX(tbl_input[집계키_센터],ROW()-1),"")</f>
        <v/>
      </c>
      <c r="G4103" t="str">
        <f t="shared" si="452"/>
        <v/>
      </c>
      <c r="H4103" t="str">
        <f t="shared" si="453"/>
        <v/>
      </c>
      <c r="I4103" t="str">
        <f t="shared" si="454"/>
        <v/>
      </c>
    </row>
    <row r="4104" spans="1:9" x14ac:dyDescent="0.4">
      <c r="A4104" t="str">
        <f t="shared" si="448"/>
        <v/>
      </c>
      <c r="B4104" t="str">
        <f t="shared" si="449"/>
        <v/>
      </c>
      <c r="C4104" t="str">
        <f t="shared" si="450"/>
        <v/>
      </c>
      <c r="D4104" t="str">
        <f t="shared" si="451"/>
        <v/>
      </c>
      <c r="E4104" t="str">
        <f>IF(F4104="","",IF(COUNTIF($F$2:F4104,F4104)&gt;1,"",SUMIFS(tbl_input[필요수량],tbl_input[집계키_센터],F4104)))</f>
        <v/>
      </c>
      <c r="F4104" t="str">
        <f>IFERROR(INDEX(tbl_input[집계키_센터],ROW()-1),"")</f>
        <v/>
      </c>
      <c r="G4104" t="str">
        <f t="shared" si="452"/>
        <v/>
      </c>
      <c r="H4104" t="str">
        <f t="shared" si="453"/>
        <v/>
      </c>
      <c r="I4104" t="str">
        <f t="shared" si="454"/>
        <v/>
      </c>
    </row>
    <row r="4105" spans="1:9" x14ac:dyDescent="0.4">
      <c r="A4105" t="str">
        <f t="shared" si="448"/>
        <v/>
      </c>
      <c r="B4105" t="str">
        <f t="shared" si="449"/>
        <v/>
      </c>
      <c r="C4105" t="str">
        <f t="shared" si="450"/>
        <v/>
      </c>
      <c r="D4105" t="str">
        <f t="shared" si="451"/>
        <v/>
      </c>
      <c r="E4105" t="str">
        <f>IF(F4105="","",IF(COUNTIF($F$2:F4105,F4105)&gt;1,"",SUMIFS(tbl_input[필요수량],tbl_input[집계키_센터],F4105)))</f>
        <v/>
      </c>
      <c r="F4105" t="str">
        <f>IFERROR(INDEX(tbl_input[집계키_센터],ROW()-1),"")</f>
        <v/>
      </c>
      <c r="G4105" t="str">
        <f t="shared" si="452"/>
        <v/>
      </c>
      <c r="H4105" t="str">
        <f t="shared" si="453"/>
        <v/>
      </c>
      <c r="I4105" t="str">
        <f t="shared" si="454"/>
        <v/>
      </c>
    </row>
    <row r="4106" spans="1:9" x14ac:dyDescent="0.4">
      <c r="A4106" t="str">
        <f t="shared" si="448"/>
        <v/>
      </c>
      <c r="B4106" t="str">
        <f t="shared" si="449"/>
        <v/>
      </c>
      <c r="C4106" t="str">
        <f t="shared" si="450"/>
        <v/>
      </c>
      <c r="D4106" t="str">
        <f t="shared" si="451"/>
        <v/>
      </c>
      <c r="E4106" t="str">
        <f>IF(F4106="","",IF(COUNTIF($F$2:F4106,F4106)&gt;1,"",SUMIFS(tbl_input[필요수량],tbl_input[집계키_센터],F4106)))</f>
        <v/>
      </c>
      <c r="F4106" t="str">
        <f>IFERROR(INDEX(tbl_input[집계키_센터],ROW()-1),"")</f>
        <v/>
      </c>
      <c r="G4106" t="str">
        <f t="shared" si="452"/>
        <v/>
      </c>
      <c r="H4106" t="str">
        <f t="shared" si="453"/>
        <v/>
      </c>
      <c r="I4106" t="str">
        <f t="shared" si="454"/>
        <v/>
      </c>
    </row>
    <row r="4107" spans="1:9" x14ac:dyDescent="0.4">
      <c r="A4107" t="str">
        <f t="shared" si="448"/>
        <v/>
      </c>
      <c r="B4107" t="str">
        <f t="shared" si="449"/>
        <v/>
      </c>
      <c r="C4107" t="str">
        <f t="shared" si="450"/>
        <v/>
      </c>
      <c r="D4107" t="str">
        <f t="shared" si="451"/>
        <v/>
      </c>
      <c r="E4107" t="str">
        <f>IF(F4107="","",IF(COUNTIF($F$2:F4107,F4107)&gt;1,"",SUMIFS(tbl_input[필요수량],tbl_input[집계키_센터],F4107)))</f>
        <v/>
      </c>
      <c r="F4107" t="str">
        <f>IFERROR(INDEX(tbl_input[집계키_센터],ROW()-1),"")</f>
        <v/>
      </c>
      <c r="G4107" t="str">
        <f t="shared" si="452"/>
        <v/>
      </c>
      <c r="H4107" t="str">
        <f t="shared" si="453"/>
        <v/>
      </c>
      <c r="I4107" t="str">
        <f t="shared" si="454"/>
        <v/>
      </c>
    </row>
    <row r="4108" spans="1:9" x14ac:dyDescent="0.4">
      <c r="A4108" t="str">
        <f t="shared" si="448"/>
        <v/>
      </c>
      <c r="B4108" t="str">
        <f t="shared" si="449"/>
        <v/>
      </c>
      <c r="C4108" t="str">
        <f t="shared" si="450"/>
        <v/>
      </c>
      <c r="D4108" t="str">
        <f t="shared" si="451"/>
        <v/>
      </c>
      <c r="E4108" t="str">
        <f>IF(F4108="","",IF(COUNTIF($F$2:F4108,F4108)&gt;1,"",SUMIFS(tbl_input[필요수량],tbl_input[집계키_센터],F4108)))</f>
        <v/>
      </c>
      <c r="F4108" t="str">
        <f>IFERROR(INDEX(tbl_input[집계키_센터],ROW()-1),"")</f>
        <v/>
      </c>
      <c r="G4108" t="str">
        <f t="shared" si="452"/>
        <v/>
      </c>
      <c r="H4108" t="str">
        <f t="shared" si="453"/>
        <v/>
      </c>
      <c r="I4108" t="str">
        <f t="shared" si="454"/>
        <v/>
      </c>
    </row>
    <row r="4109" spans="1:9" x14ac:dyDescent="0.4">
      <c r="A4109" t="str">
        <f t="shared" si="448"/>
        <v/>
      </c>
      <c r="B4109" t="str">
        <f t="shared" si="449"/>
        <v/>
      </c>
      <c r="C4109" t="str">
        <f t="shared" si="450"/>
        <v/>
      </c>
      <c r="D4109" t="str">
        <f t="shared" si="451"/>
        <v/>
      </c>
      <c r="E4109" t="str">
        <f>IF(F4109="","",IF(COUNTIF($F$2:F4109,F4109)&gt;1,"",SUMIFS(tbl_input[필요수량],tbl_input[집계키_센터],F4109)))</f>
        <v/>
      </c>
      <c r="F4109" t="str">
        <f>IFERROR(INDEX(tbl_input[집계키_센터],ROW()-1),"")</f>
        <v/>
      </c>
      <c r="G4109" t="str">
        <f t="shared" si="452"/>
        <v/>
      </c>
      <c r="H4109" t="str">
        <f t="shared" si="453"/>
        <v/>
      </c>
      <c r="I4109" t="str">
        <f t="shared" si="454"/>
        <v/>
      </c>
    </row>
    <row r="4110" spans="1:9" x14ac:dyDescent="0.4">
      <c r="A4110" t="str">
        <f t="shared" si="448"/>
        <v/>
      </c>
      <c r="B4110" t="str">
        <f t="shared" si="449"/>
        <v/>
      </c>
      <c r="C4110" t="str">
        <f t="shared" si="450"/>
        <v/>
      </c>
      <c r="D4110" t="str">
        <f t="shared" si="451"/>
        <v/>
      </c>
      <c r="E4110" t="str">
        <f>IF(F4110="","",IF(COUNTIF($F$2:F4110,F4110)&gt;1,"",SUMIFS(tbl_input[필요수량],tbl_input[집계키_센터],F4110)))</f>
        <v/>
      </c>
      <c r="F4110" t="str">
        <f>IFERROR(INDEX(tbl_input[집계키_센터],ROW()-1),"")</f>
        <v/>
      </c>
      <c r="G4110" t="str">
        <f t="shared" si="452"/>
        <v/>
      </c>
      <c r="H4110" t="str">
        <f t="shared" si="453"/>
        <v/>
      </c>
      <c r="I4110" t="str">
        <f t="shared" si="454"/>
        <v/>
      </c>
    </row>
    <row r="4111" spans="1:9" x14ac:dyDescent="0.4">
      <c r="A4111" t="str">
        <f t="shared" si="448"/>
        <v/>
      </c>
      <c r="B4111" t="str">
        <f t="shared" si="449"/>
        <v/>
      </c>
      <c r="C4111" t="str">
        <f t="shared" si="450"/>
        <v/>
      </c>
      <c r="D4111" t="str">
        <f t="shared" si="451"/>
        <v/>
      </c>
      <c r="E4111" t="str">
        <f>IF(F4111="","",IF(COUNTIF($F$2:F4111,F4111)&gt;1,"",SUMIFS(tbl_input[필요수량],tbl_input[집계키_센터],F4111)))</f>
        <v/>
      </c>
      <c r="F4111" t="str">
        <f>IFERROR(INDEX(tbl_input[집계키_센터],ROW()-1),"")</f>
        <v/>
      </c>
      <c r="G4111" t="str">
        <f t="shared" si="452"/>
        <v/>
      </c>
      <c r="H4111" t="str">
        <f t="shared" si="453"/>
        <v/>
      </c>
      <c r="I4111" t="str">
        <f t="shared" si="454"/>
        <v/>
      </c>
    </row>
    <row r="4112" spans="1:9" x14ac:dyDescent="0.4">
      <c r="A4112" t="str">
        <f t="shared" si="448"/>
        <v/>
      </c>
      <c r="B4112" t="str">
        <f t="shared" si="449"/>
        <v/>
      </c>
      <c r="C4112" t="str">
        <f t="shared" si="450"/>
        <v/>
      </c>
      <c r="D4112" t="str">
        <f t="shared" si="451"/>
        <v/>
      </c>
      <c r="E4112" t="str">
        <f>IF(F4112="","",IF(COUNTIF($F$2:F4112,F4112)&gt;1,"",SUMIFS(tbl_input[필요수량],tbl_input[집계키_센터],F4112)))</f>
        <v/>
      </c>
      <c r="F4112" t="str">
        <f>IFERROR(INDEX(tbl_input[집계키_센터],ROW()-1),"")</f>
        <v/>
      </c>
      <c r="G4112" t="str">
        <f t="shared" si="452"/>
        <v/>
      </c>
      <c r="H4112" t="str">
        <f t="shared" si="453"/>
        <v/>
      </c>
      <c r="I4112" t="str">
        <f t="shared" si="454"/>
        <v/>
      </c>
    </row>
    <row r="4113" spans="1:9" x14ac:dyDescent="0.4">
      <c r="A4113" t="str">
        <f t="shared" si="448"/>
        <v/>
      </c>
      <c r="B4113" t="str">
        <f t="shared" si="449"/>
        <v/>
      </c>
      <c r="C4113" t="str">
        <f t="shared" si="450"/>
        <v/>
      </c>
      <c r="D4113" t="str">
        <f t="shared" si="451"/>
        <v/>
      </c>
      <c r="E4113" t="str">
        <f>IF(F4113="","",IF(COUNTIF($F$2:F4113,F4113)&gt;1,"",SUMIFS(tbl_input[필요수량],tbl_input[집계키_센터],F4113)))</f>
        <v/>
      </c>
      <c r="F4113" t="str">
        <f>IFERROR(INDEX(tbl_input[집계키_센터],ROW()-1),"")</f>
        <v/>
      </c>
      <c r="G4113" t="str">
        <f t="shared" si="452"/>
        <v/>
      </c>
      <c r="H4113" t="str">
        <f t="shared" si="453"/>
        <v/>
      </c>
      <c r="I4113" t="str">
        <f t="shared" si="454"/>
        <v/>
      </c>
    </row>
    <row r="4114" spans="1:9" x14ac:dyDescent="0.4">
      <c r="A4114" t="str">
        <f t="shared" si="448"/>
        <v/>
      </c>
      <c r="B4114" t="str">
        <f t="shared" si="449"/>
        <v/>
      </c>
      <c r="C4114" t="str">
        <f t="shared" si="450"/>
        <v/>
      </c>
      <c r="D4114" t="str">
        <f t="shared" si="451"/>
        <v/>
      </c>
      <c r="E4114" t="str">
        <f>IF(F4114="","",IF(COUNTIF($F$2:F4114,F4114)&gt;1,"",SUMIFS(tbl_input[필요수량],tbl_input[집계키_센터],F4114)))</f>
        <v/>
      </c>
      <c r="F4114" t="str">
        <f>IFERROR(INDEX(tbl_input[집계키_센터],ROW()-1),"")</f>
        <v/>
      </c>
      <c r="G4114" t="str">
        <f t="shared" si="452"/>
        <v/>
      </c>
      <c r="H4114" t="str">
        <f t="shared" si="453"/>
        <v/>
      </c>
      <c r="I4114" t="str">
        <f t="shared" si="454"/>
        <v/>
      </c>
    </row>
    <row r="4115" spans="1:9" x14ac:dyDescent="0.4">
      <c r="A4115" t="str">
        <f t="shared" si="448"/>
        <v/>
      </c>
      <c r="B4115" t="str">
        <f t="shared" si="449"/>
        <v/>
      </c>
      <c r="C4115" t="str">
        <f t="shared" si="450"/>
        <v/>
      </c>
      <c r="D4115" t="str">
        <f t="shared" si="451"/>
        <v/>
      </c>
      <c r="E4115" t="str">
        <f>IF(F4115="","",IF(COUNTIF($F$2:F4115,F4115)&gt;1,"",SUMIFS(tbl_input[필요수량],tbl_input[집계키_센터],F4115)))</f>
        <v/>
      </c>
      <c r="F4115" t="str">
        <f>IFERROR(INDEX(tbl_input[집계키_센터],ROW()-1),"")</f>
        <v/>
      </c>
      <c r="G4115" t="str">
        <f t="shared" si="452"/>
        <v/>
      </c>
      <c r="H4115" t="str">
        <f t="shared" si="453"/>
        <v/>
      </c>
      <c r="I4115" t="str">
        <f t="shared" si="454"/>
        <v/>
      </c>
    </row>
    <row r="4116" spans="1:9" x14ac:dyDescent="0.4">
      <c r="A4116" t="str">
        <f t="shared" si="448"/>
        <v/>
      </c>
      <c r="B4116" t="str">
        <f t="shared" si="449"/>
        <v/>
      </c>
      <c r="C4116" t="str">
        <f t="shared" si="450"/>
        <v/>
      </c>
      <c r="D4116" t="str">
        <f t="shared" si="451"/>
        <v/>
      </c>
      <c r="E4116" t="str">
        <f>IF(F4116="","",IF(COUNTIF($F$2:F4116,F4116)&gt;1,"",SUMIFS(tbl_input[필요수량],tbl_input[집계키_센터],F4116)))</f>
        <v/>
      </c>
      <c r="F4116" t="str">
        <f>IFERROR(INDEX(tbl_input[집계키_센터],ROW()-1),"")</f>
        <v/>
      </c>
      <c r="G4116" t="str">
        <f t="shared" si="452"/>
        <v/>
      </c>
      <c r="H4116" t="str">
        <f t="shared" si="453"/>
        <v/>
      </c>
      <c r="I4116" t="str">
        <f t="shared" si="454"/>
        <v/>
      </c>
    </row>
    <row r="4117" spans="1:9" x14ac:dyDescent="0.4">
      <c r="A4117" t="str">
        <f t="shared" si="448"/>
        <v/>
      </c>
      <c r="B4117" t="str">
        <f t="shared" si="449"/>
        <v/>
      </c>
      <c r="C4117" t="str">
        <f t="shared" si="450"/>
        <v/>
      </c>
      <c r="D4117" t="str">
        <f t="shared" si="451"/>
        <v/>
      </c>
      <c r="E4117" t="str">
        <f>IF(F4117="","",IF(COUNTIF($F$2:F4117,F4117)&gt;1,"",SUMIFS(tbl_input[필요수량],tbl_input[집계키_센터],F4117)))</f>
        <v/>
      </c>
      <c r="F4117" t="str">
        <f>IFERROR(INDEX(tbl_input[집계키_센터],ROW()-1),"")</f>
        <v/>
      </c>
      <c r="G4117" t="str">
        <f t="shared" si="452"/>
        <v/>
      </c>
      <c r="H4117" t="str">
        <f t="shared" si="453"/>
        <v/>
      </c>
      <c r="I4117" t="str">
        <f t="shared" si="454"/>
        <v/>
      </c>
    </row>
    <row r="4118" spans="1:9" x14ac:dyDescent="0.4">
      <c r="A4118" t="str">
        <f t="shared" si="448"/>
        <v/>
      </c>
      <c r="B4118" t="str">
        <f t="shared" si="449"/>
        <v/>
      </c>
      <c r="C4118" t="str">
        <f t="shared" si="450"/>
        <v/>
      </c>
      <c r="D4118" t="str">
        <f t="shared" si="451"/>
        <v/>
      </c>
      <c r="E4118" t="str">
        <f>IF(F4118="","",IF(COUNTIF($F$2:F4118,F4118)&gt;1,"",SUMIFS(tbl_input[필요수량],tbl_input[집계키_센터],F4118)))</f>
        <v/>
      </c>
      <c r="F4118" t="str">
        <f>IFERROR(INDEX(tbl_input[집계키_센터],ROW()-1),"")</f>
        <v/>
      </c>
      <c r="G4118" t="str">
        <f t="shared" si="452"/>
        <v/>
      </c>
      <c r="H4118" t="str">
        <f t="shared" si="453"/>
        <v/>
      </c>
      <c r="I4118" t="str">
        <f t="shared" si="454"/>
        <v/>
      </c>
    </row>
    <row r="4119" spans="1:9" x14ac:dyDescent="0.4">
      <c r="A4119" t="str">
        <f t="shared" si="448"/>
        <v/>
      </c>
      <c r="B4119" t="str">
        <f t="shared" si="449"/>
        <v/>
      </c>
      <c r="C4119" t="str">
        <f t="shared" si="450"/>
        <v/>
      </c>
      <c r="D4119" t="str">
        <f t="shared" si="451"/>
        <v/>
      </c>
      <c r="E4119" t="str">
        <f>IF(F4119="","",IF(COUNTIF($F$2:F4119,F4119)&gt;1,"",SUMIFS(tbl_input[필요수량],tbl_input[집계키_센터],F4119)))</f>
        <v/>
      </c>
      <c r="F4119" t="str">
        <f>IFERROR(INDEX(tbl_input[집계키_센터],ROW()-1),"")</f>
        <v/>
      </c>
      <c r="G4119" t="str">
        <f t="shared" si="452"/>
        <v/>
      </c>
      <c r="H4119" t="str">
        <f t="shared" si="453"/>
        <v/>
      </c>
      <c r="I4119" t="str">
        <f t="shared" si="454"/>
        <v/>
      </c>
    </row>
    <row r="4120" spans="1:9" x14ac:dyDescent="0.4">
      <c r="A4120" t="str">
        <f t="shared" si="448"/>
        <v/>
      </c>
      <c r="B4120" t="str">
        <f t="shared" si="449"/>
        <v/>
      </c>
      <c r="C4120" t="str">
        <f t="shared" si="450"/>
        <v/>
      </c>
      <c r="D4120" t="str">
        <f t="shared" si="451"/>
        <v/>
      </c>
      <c r="E4120" t="str">
        <f>IF(F4120="","",IF(COUNTIF($F$2:F4120,F4120)&gt;1,"",SUMIFS(tbl_input[필요수량],tbl_input[집계키_센터],F4120)))</f>
        <v/>
      </c>
      <c r="F4120" t="str">
        <f>IFERROR(INDEX(tbl_input[집계키_센터],ROW()-1),"")</f>
        <v/>
      </c>
      <c r="G4120" t="str">
        <f t="shared" si="452"/>
        <v/>
      </c>
      <c r="H4120" t="str">
        <f t="shared" si="453"/>
        <v/>
      </c>
      <c r="I4120" t="str">
        <f t="shared" si="454"/>
        <v/>
      </c>
    </row>
    <row r="4121" spans="1:9" x14ac:dyDescent="0.4">
      <c r="A4121" t="str">
        <f t="shared" si="448"/>
        <v/>
      </c>
      <c r="B4121" t="str">
        <f t="shared" si="449"/>
        <v/>
      </c>
      <c r="C4121" t="str">
        <f t="shared" si="450"/>
        <v/>
      </c>
      <c r="D4121" t="str">
        <f t="shared" si="451"/>
        <v/>
      </c>
      <c r="E4121" t="str">
        <f>IF(F4121="","",IF(COUNTIF($F$2:F4121,F4121)&gt;1,"",SUMIFS(tbl_input[필요수량],tbl_input[집계키_센터],F4121)))</f>
        <v/>
      </c>
      <c r="F4121" t="str">
        <f>IFERROR(INDEX(tbl_input[집계키_센터],ROW()-1),"")</f>
        <v/>
      </c>
      <c r="G4121" t="str">
        <f t="shared" si="452"/>
        <v/>
      </c>
      <c r="H4121" t="str">
        <f t="shared" si="453"/>
        <v/>
      </c>
      <c r="I4121" t="str">
        <f t="shared" si="454"/>
        <v/>
      </c>
    </row>
    <row r="4122" spans="1:9" x14ac:dyDescent="0.4">
      <c r="A4122" t="str">
        <f t="shared" si="448"/>
        <v/>
      </c>
      <c r="B4122" t="str">
        <f t="shared" si="449"/>
        <v/>
      </c>
      <c r="C4122" t="str">
        <f t="shared" si="450"/>
        <v/>
      </c>
      <c r="D4122" t="str">
        <f t="shared" si="451"/>
        <v/>
      </c>
      <c r="E4122" t="str">
        <f>IF(F4122="","",IF(COUNTIF($F$2:F4122,F4122)&gt;1,"",SUMIFS(tbl_input[필요수량],tbl_input[집계키_센터],F4122)))</f>
        <v/>
      </c>
      <c r="F4122" t="str">
        <f>IFERROR(INDEX(tbl_input[집계키_센터],ROW()-1),"")</f>
        <v/>
      </c>
      <c r="G4122" t="str">
        <f t="shared" si="452"/>
        <v/>
      </c>
      <c r="H4122" t="str">
        <f t="shared" si="453"/>
        <v/>
      </c>
      <c r="I4122" t="str">
        <f t="shared" si="454"/>
        <v/>
      </c>
    </row>
    <row r="4123" spans="1:9" x14ac:dyDescent="0.4">
      <c r="A4123" t="str">
        <f t="shared" si="448"/>
        <v/>
      </c>
      <c r="B4123" t="str">
        <f t="shared" si="449"/>
        <v/>
      </c>
      <c r="C4123" t="str">
        <f t="shared" si="450"/>
        <v/>
      </c>
      <c r="D4123" t="str">
        <f t="shared" si="451"/>
        <v/>
      </c>
      <c r="E4123" t="str">
        <f>IF(F4123="","",IF(COUNTIF($F$2:F4123,F4123)&gt;1,"",SUMIFS(tbl_input[필요수량],tbl_input[집계키_센터],F4123)))</f>
        <v/>
      </c>
      <c r="F4123" t="str">
        <f>IFERROR(INDEX(tbl_input[집계키_센터],ROW()-1),"")</f>
        <v/>
      </c>
      <c r="G4123" t="str">
        <f t="shared" si="452"/>
        <v/>
      </c>
      <c r="H4123" t="str">
        <f t="shared" si="453"/>
        <v/>
      </c>
      <c r="I4123" t="str">
        <f t="shared" si="454"/>
        <v/>
      </c>
    </row>
    <row r="4124" spans="1:9" x14ac:dyDescent="0.4">
      <c r="A4124" t="str">
        <f t="shared" si="448"/>
        <v/>
      </c>
      <c r="B4124" t="str">
        <f t="shared" si="449"/>
        <v/>
      </c>
      <c r="C4124" t="str">
        <f t="shared" si="450"/>
        <v/>
      </c>
      <c r="D4124" t="str">
        <f t="shared" si="451"/>
        <v/>
      </c>
      <c r="E4124" t="str">
        <f>IF(F4124="","",IF(COUNTIF($F$2:F4124,F4124)&gt;1,"",SUMIFS(tbl_input[필요수량],tbl_input[집계키_센터],F4124)))</f>
        <v/>
      </c>
      <c r="F4124" t="str">
        <f>IFERROR(INDEX(tbl_input[집계키_센터],ROW()-1),"")</f>
        <v/>
      </c>
      <c r="G4124" t="str">
        <f t="shared" si="452"/>
        <v/>
      </c>
      <c r="H4124" t="str">
        <f t="shared" si="453"/>
        <v/>
      </c>
      <c r="I4124" t="str">
        <f t="shared" si="454"/>
        <v/>
      </c>
    </row>
    <row r="4125" spans="1:9" x14ac:dyDescent="0.4">
      <c r="A4125" t="str">
        <f t="shared" si="448"/>
        <v/>
      </c>
      <c r="B4125" t="str">
        <f t="shared" si="449"/>
        <v/>
      </c>
      <c r="C4125" t="str">
        <f t="shared" si="450"/>
        <v/>
      </c>
      <c r="D4125" t="str">
        <f t="shared" si="451"/>
        <v/>
      </c>
      <c r="E4125" t="str">
        <f>IF(F4125="","",IF(COUNTIF($F$2:F4125,F4125)&gt;1,"",SUMIFS(tbl_input[필요수량],tbl_input[집계키_센터],F4125)))</f>
        <v/>
      </c>
      <c r="F4125" t="str">
        <f>IFERROR(INDEX(tbl_input[집계키_센터],ROW()-1),"")</f>
        <v/>
      </c>
      <c r="G4125" t="str">
        <f t="shared" si="452"/>
        <v/>
      </c>
      <c r="H4125" t="str">
        <f t="shared" si="453"/>
        <v/>
      </c>
      <c r="I4125" t="str">
        <f t="shared" si="454"/>
        <v/>
      </c>
    </row>
    <row r="4126" spans="1:9" x14ac:dyDescent="0.4">
      <c r="A4126" t="str">
        <f t="shared" si="448"/>
        <v/>
      </c>
      <c r="B4126" t="str">
        <f t="shared" si="449"/>
        <v/>
      </c>
      <c r="C4126" t="str">
        <f t="shared" si="450"/>
        <v/>
      </c>
      <c r="D4126" t="str">
        <f t="shared" si="451"/>
        <v/>
      </c>
      <c r="E4126" t="str">
        <f>IF(F4126="","",IF(COUNTIF($F$2:F4126,F4126)&gt;1,"",SUMIFS(tbl_input[필요수량],tbl_input[집계키_센터],F4126)))</f>
        <v/>
      </c>
      <c r="F4126" t="str">
        <f>IFERROR(INDEX(tbl_input[집계키_센터],ROW()-1),"")</f>
        <v/>
      </c>
      <c r="G4126" t="str">
        <f t="shared" si="452"/>
        <v/>
      </c>
      <c r="H4126" t="str">
        <f t="shared" si="453"/>
        <v/>
      </c>
      <c r="I4126" t="str">
        <f t="shared" si="454"/>
        <v/>
      </c>
    </row>
    <row r="4127" spans="1:9" x14ac:dyDescent="0.4">
      <c r="A4127" t="str">
        <f t="shared" si="448"/>
        <v/>
      </c>
      <c r="B4127" t="str">
        <f t="shared" si="449"/>
        <v/>
      </c>
      <c r="C4127" t="str">
        <f t="shared" si="450"/>
        <v/>
      </c>
      <c r="D4127" t="str">
        <f t="shared" si="451"/>
        <v/>
      </c>
      <c r="E4127" t="str">
        <f>IF(F4127="","",IF(COUNTIF($F$2:F4127,F4127)&gt;1,"",SUMIFS(tbl_input[필요수량],tbl_input[집계키_센터],F4127)))</f>
        <v/>
      </c>
      <c r="F4127" t="str">
        <f>IFERROR(INDEX(tbl_input[집계키_센터],ROW()-1),"")</f>
        <v/>
      </c>
      <c r="G4127" t="str">
        <f t="shared" si="452"/>
        <v/>
      </c>
      <c r="H4127" t="str">
        <f t="shared" si="453"/>
        <v/>
      </c>
      <c r="I4127" t="str">
        <f t="shared" si="454"/>
        <v/>
      </c>
    </row>
    <row r="4128" spans="1:9" x14ac:dyDescent="0.4">
      <c r="A4128" t="str">
        <f t="shared" si="448"/>
        <v/>
      </c>
      <c r="B4128" t="str">
        <f t="shared" si="449"/>
        <v/>
      </c>
      <c r="C4128" t="str">
        <f t="shared" si="450"/>
        <v/>
      </c>
      <c r="D4128" t="str">
        <f t="shared" si="451"/>
        <v/>
      </c>
      <c r="E4128" t="str">
        <f>IF(F4128="","",IF(COUNTIF($F$2:F4128,F4128)&gt;1,"",SUMIFS(tbl_input[필요수량],tbl_input[집계키_센터],F4128)))</f>
        <v/>
      </c>
      <c r="F4128" t="str">
        <f>IFERROR(INDEX(tbl_input[집계키_센터],ROW()-1),"")</f>
        <v/>
      </c>
      <c r="G4128" t="str">
        <f t="shared" si="452"/>
        <v/>
      </c>
      <c r="H4128" t="str">
        <f t="shared" si="453"/>
        <v/>
      </c>
      <c r="I4128" t="str">
        <f t="shared" si="454"/>
        <v/>
      </c>
    </row>
    <row r="4129" spans="1:9" x14ac:dyDescent="0.4">
      <c r="A4129" t="str">
        <f t="shared" si="448"/>
        <v/>
      </c>
      <c r="B4129" t="str">
        <f t="shared" si="449"/>
        <v/>
      </c>
      <c r="C4129" t="str">
        <f t="shared" si="450"/>
        <v/>
      </c>
      <c r="D4129" t="str">
        <f t="shared" si="451"/>
        <v/>
      </c>
      <c r="E4129" t="str">
        <f>IF(F4129="","",IF(COUNTIF($F$2:F4129,F4129)&gt;1,"",SUMIFS(tbl_input[필요수량],tbl_input[집계키_센터],F4129)))</f>
        <v/>
      </c>
      <c r="F4129" t="str">
        <f>IFERROR(INDEX(tbl_input[집계키_센터],ROW()-1),"")</f>
        <v/>
      </c>
      <c r="G4129" t="str">
        <f t="shared" si="452"/>
        <v/>
      </c>
      <c r="H4129" t="str">
        <f t="shared" si="453"/>
        <v/>
      </c>
      <c r="I4129" t="str">
        <f t="shared" si="454"/>
        <v/>
      </c>
    </row>
    <row r="4130" spans="1:9" x14ac:dyDescent="0.4">
      <c r="A4130" t="str">
        <f t="shared" si="448"/>
        <v/>
      </c>
      <c r="B4130" t="str">
        <f t="shared" si="449"/>
        <v/>
      </c>
      <c r="C4130" t="str">
        <f t="shared" si="450"/>
        <v/>
      </c>
      <c r="D4130" t="str">
        <f t="shared" si="451"/>
        <v/>
      </c>
      <c r="E4130" t="str">
        <f>IF(F4130="","",IF(COUNTIF($F$2:F4130,F4130)&gt;1,"",SUMIFS(tbl_input[필요수량],tbl_input[집계키_센터],F4130)))</f>
        <v/>
      </c>
      <c r="F4130" t="str">
        <f>IFERROR(INDEX(tbl_input[집계키_센터],ROW()-1),"")</f>
        <v/>
      </c>
      <c r="G4130" t="str">
        <f t="shared" si="452"/>
        <v/>
      </c>
      <c r="H4130" t="str">
        <f t="shared" si="453"/>
        <v/>
      </c>
      <c r="I4130" t="str">
        <f t="shared" si="454"/>
        <v/>
      </c>
    </row>
    <row r="4131" spans="1:9" x14ac:dyDescent="0.4">
      <c r="A4131" t="str">
        <f t="shared" si="448"/>
        <v/>
      </c>
      <c r="B4131" t="str">
        <f t="shared" si="449"/>
        <v/>
      </c>
      <c r="C4131" t="str">
        <f t="shared" si="450"/>
        <v/>
      </c>
      <c r="D4131" t="str">
        <f t="shared" si="451"/>
        <v/>
      </c>
      <c r="E4131" t="str">
        <f>IF(F4131="","",IF(COUNTIF($F$2:F4131,F4131)&gt;1,"",SUMIFS(tbl_input[필요수량],tbl_input[집계키_센터],F4131)))</f>
        <v/>
      </c>
      <c r="F4131" t="str">
        <f>IFERROR(INDEX(tbl_input[집계키_센터],ROW()-1),"")</f>
        <v/>
      </c>
      <c r="G4131" t="str">
        <f t="shared" si="452"/>
        <v/>
      </c>
      <c r="H4131" t="str">
        <f t="shared" si="453"/>
        <v/>
      </c>
      <c r="I4131" t="str">
        <f t="shared" si="454"/>
        <v/>
      </c>
    </row>
    <row r="4132" spans="1:9" x14ac:dyDescent="0.4">
      <c r="A4132" t="str">
        <f t="shared" si="448"/>
        <v/>
      </c>
      <c r="B4132" t="str">
        <f t="shared" si="449"/>
        <v/>
      </c>
      <c r="C4132" t="str">
        <f t="shared" si="450"/>
        <v/>
      </c>
      <c r="D4132" t="str">
        <f t="shared" si="451"/>
        <v/>
      </c>
      <c r="E4132" t="str">
        <f>IF(F4132="","",IF(COUNTIF($F$2:F4132,F4132)&gt;1,"",SUMIFS(tbl_input[필요수량],tbl_input[집계키_센터],F4132)))</f>
        <v/>
      </c>
      <c r="F4132" t="str">
        <f>IFERROR(INDEX(tbl_input[집계키_센터],ROW()-1),"")</f>
        <v/>
      </c>
      <c r="G4132" t="str">
        <f t="shared" si="452"/>
        <v/>
      </c>
      <c r="H4132" t="str">
        <f t="shared" si="453"/>
        <v/>
      </c>
      <c r="I4132" t="str">
        <f t="shared" si="454"/>
        <v/>
      </c>
    </row>
    <row r="4133" spans="1:9" x14ac:dyDescent="0.4">
      <c r="A4133" t="str">
        <f t="shared" si="448"/>
        <v/>
      </c>
      <c r="B4133" t="str">
        <f t="shared" si="449"/>
        <v/>
      </c>
      <c r="C4133" t="str">
        <f t="shared" si="450"/>
        <v/>
      </c>
      <c r="D4133" t="str">
        <f t="shared" si="451"/>
        <v/>
      </c>
      <c r="E4133" t="str">
        <f>IF(F4133="","",IF(COUNTIF($F$2:F4133,F4133)&gt;1,"",SUMIFS(tbl_input[필요수량],tbl_input[집계키_센터],F4133)))</f>
        <v/>
      </c>
      <c r="F4133" t="str">
        <f>IFERROR(INDEX(tbl_input[집계키_센터],ROW()-1),"")</f>
        <v/>
      </c>
      <c r="G4133" t="str">
        <f t="shared" si="452"/>
        <v/>
      </c>
      <c r="H4133" t="str">
        <f t="shared" si="453"/>
        <v/>
      </c>
      <c r="I4133" t="str">
        <f t="shared" si="454"/>
        <v/>
      </c>
    </row>
    <row r="4134" spans="1:9" x14ac:dyDescent="0.4">
      <c r="A4134" t="str">
        <f t="shared" si="448"/>
        <v/>
      </c>
      <c r="B4134" t="str">
        <f t="shared" si="449"/>
        <v/>
      </c>
      <c r="C4134" t="str">
        <f t="shared" si="450"/>
        <v/>
      </c>
      <c r="D4134" t="str">
        <f t="shared" si="451"/>
        <v/>
      </c>
      <c r="E4134" t="str">
        <f>IF(F4134="","",IF(COUNTIF($F$2:F4134,F4134)&gt;1,"",SUMIFS(tbl_input[필요수량],tbl_input[집계키_센터],F4134)))</f>
        <v/>
      </c>
      <c r="F4134" t="str">
        <f>IFERROR(INDEX(tbl_input[집계키_센터],ROW()-1),"")</f>
        <v/>
      </c>
      <c r="G4134" t="str">
        <f t="shared" si="452"/>
        <v/>
      </c>
      <c r="H4134" t="str">
        <f t="shared" si="453"/>
        <v/>
      </c>
      <c r="I4134" t="str">
        <f t="shared" si="454"/>
        <v/>
      </c>
    </row>
    <row r="4135" spans="1:9" x14ac:dyDescent="0.4">
      <c r="A4135" t="str">
        <f t="shared" si="448"/>
        <v/>
      </c>
      <c r="B4135" t="str">
        <f t="shared" si="449"/>
        <v/>
      </c>
      <c r="C4135" t="str">
        <f t="shared" si="450"/>
        <v/>
      </c>
      <c r="D4135" t="str">
        <f t="shared" si="451"/>
        <v/>
      </c>
      <c r="E4135" t="str">
        <f>IF(F4135="","",IF(COUNTIF($F$2:F4135,F4135)&gt;1,"",SUMIFS(tbl_input[필요수량],tbl_input[집계키_센터],F4135)))</f>
        <v/>
      </c>
      <c r="F4135" t="str">
        <f>IFERROR(INDEX(tbl_input[집계키_센터],ROW()-1),"")</f>
        <v/>
      </c>
      <c r="G4135" t="str">
        <f t="shared" si="452"/>
        <v/>
      </c>
      <c r="H4135" t="str">
        <f t="shared" si="453"/>
        <v/>
      </c>
      <c r="I4135" t="str">
        <f t="shared" si="454"/>
        <v/>
      </c>
    </row>
    <row r="4136" spans="1:9" x14ac:dyDescent="0.4">
      <c r="A4136" t="str">
        <f t="shared" si="448"/>
        <v/>
      </c>
      <c r="B4136" t="str">
        <f t="shared" si="449"/>
        <v/>
      </c>
      <c r="C4136" t="str">
        <f t="shared" si="450"/>
        <v/>
      </c>
      <c r="D4136" t="str">
        <f t="shared" si="451"/>
        <v/>
      </c>
      <c r="E4136" t="str">
        <f>IF(F4136="","",IF(COUNTIF($F$2:F4136,F4136)&gt;1,"",SUMIFS(tbl_input[필요수량],tbl_input[집계키_센터],F4136)))</f>
        <v/>
      </c>
      <c r="F4136" t="str">
        <f>IFERROR(INDEX(tbl_input[집계키_센터],ROW()-1),"")</f>
        <v/>
      </c>
      <c r="G4136" t="str">
        <f t="shared" si="452"/>
        <v/>
      </c>
      <c r="H4136" t="str">
        <f t="shared" si="453"/>
        <v/>
      </c>
      <c r="I4136" t="str">
        <f t="shared" si="454"/>
        <v/>
      </c>
    </row>
    <row r="4137" spans="1:9" x14ac:dyDescent="0.4">
      <c r="A4137" t="str">
        <f t="shared" si="448"/>
        <v/>
      </c>
      <c r="B4137" t="str">
        <f t="shared" si="449"/>
        <v/>
      </c>
      <c r="C4137" t="str">
        <f t="shared" si="450"/>
        <v/>
      </c>
      <c r="D4137" t="str">
        <f t="shared" si="451"/>
        <v/>
      </c>
      <c r="E4137" t="str">
        <f>IF(F4137="","",IF(COUNTIF($F$2:F4137,F4137)&gt;1,"",SUMIFS(tbl_input[필요수량],tbl_input[집계키_센터],F4137)))</f>
        <v/>
      </c>
      <c r="F4137" t="str">
        <f>IFERROR(INDEX(tbl_input[집계키_센터],ROW()-1),"")</f>
        <v/>
      </c>
      <c r="G4137" t="str">
        <f t="shared" si="452"/>
        <v/>
      </c>
      <c r="H4137" t="str">
        <f t="shared" si="453"/>
        <v/>
      </c>
      <c r="I4137" t="str">
        <f t="shared" si="454"/>
        <v/>
      </c>
    </row>
    <row r="4138" spans="1:9" x14ac:dyDescent="0.4">
      <c r="A4138" t="str">
        <f t="shared" si="448"/>
        <v/>
      </c>
      <c r="B4138" t="str">
        <f t="shared" si="449"/>
        <v/>
      </c>
      <c r="C4138" t="str">
        <f t="shared" si="450"/>
        <v/>
      </c>
      <c r="D4138" t="str">
        <f t="shared" si="451"/>
        <v/>
      </c>
      <c r="E4138" t="str">
        <f>IF(F4138="","",IF(COUNTIF($F$2:F4138,F4138)&gt;1,"",SUMIFS(tbl_input[필요수량],tbl_input[집계키_센터],F4138)))</f>
        <v/>
      </c>
      <c r="F4138" t="str">
        <f>IFERROR(INDEX(tbl_input[집계키_센터],ROW()-1),"")</f>
        <v/>
      </c>
      <c r="G4138" t="str">
        <f t="shared" si="452"/>
        <v/>
      </c>
      <c r="H4138" t="str">
        <f t="shared" si="453"/>
        <v/>
      </c>
      <c r="I4138" t="str">
        <f t="shared" si="454"/>
        <v/>
      </c>
    </row>
    <row r="4139" spans="1:9" x14ac:dyDescent="0.4">
      <c r="A4139" t="str">
        <f t="shared" si="448"/>
        <v/>
      </c>
      <c r="B4139" t="str">
        <f t="shared" si="449"/>
        <v/>
      </c>
      <c r="C4139" t="str">
        <f t="shared" si="450"/>
        <v/>
      </c>
      <c r="D4139" t="str">
        <f t="shared" si="451"/>
        <v/>
      </c>
      <c r="E4139" t="str">
        <f>IF(F4139="","",IF(COUNTIF($F$2:F4139,F4139)&gt;1,"",SUMIFS(tbl_input[필요수량],tbl_input[집계키_센터],F4139)))</f>
        <v/>
      </c>
      <c r="F4139" t="str">
        <f>IFERROR(INDEX(tbl_input[집계키_센터],ROW()-1),"")</f>
        <v/>
      </c>
      <c r="G4139" t="str">
        <f t="shared" si="452"/>
        <v/>
      </c>
      <c r="H4139" t="str">
        <f t="shared" si="453"/>
        <v/>
      </c>
      <c r="I4139" t="str">
        <f t="shared" si="454"/>
        <v/>
      </c>
    </row>
    <row r="4140" spans="1:9" x14ac:dyDescent="0.4">
      <c r="A4140" t="str">
        <f t="shared" si="448"/>
        <v/>
      </c>
      <c r="B4140" t="str">
        <f t="shared" si="449"/>
        <v/>
      </c>
      <c r="C4140" t="str">
        <f t="shared" si="450"/>
        <v/>
      </c>
      <c r="D4140" t="str">
        <f t="shared" si="451"/>
        <v/>
      </c>
      <c r="E4140" t="str">
        <f>IF(F4140="","",IF(COUNTIF($F$2:F4140,F4140)&gt;1,"",SUMIFS(tbl_input[필요수량],tbl_input[집계키_센터],F4140)))</f>
        <v/>
      </c>
      <c r="F4140" t="str">
        <f>IFERROR(INDEX(tbl_input[집계키_센터],ROW()-1),"")</f>
        <v/>
      </c>
      <c r="G4140" t="str">
        <f t="shared" si="452"/>
        <v/>
      </c>
      <c r="H4140" t="str">
        <f t="shared" si="453"/>
        <v/>
      </c>
      <c r="I4140" t="str">
        <f t="shared" si="454"/>
        <v/>
      </c>
    </row>
    <row r="4141" spans="1:9" x14ac:dyDescent="0.4">
      <c r="A4141" t="str">
        <f t="shared" si="448"/>
        <v/>
      </c>
      <c r="B4141" t="str">
        <f t="shared" si="449"/>
        <v/>
      </c>
      <c r="C4141" t="str">
        <f t="shared" si="450"/>
        <v/>
      </c>
      <c r="D4141" t="str">
        <f t="shared" si="451"/>
        <v/>
      </c>
      <c r="E4141" t="str">
        <f>IF(F4141="","",IF(COUNTIF($F$2:F4141,F4141)&gt;1,"",SUMIFS(tbl_input[필요수량],tbl_input[집계키_센터],F4141)))</f>
        <v/>
      </c>
      <c r="F4141" t="str">
        <f>IFERROR(INDEX(tbl_input[집계키_센터],ROW()-1),"")</f>
        <v/>
      </c>
      <c r="G4141" t="str">
        <f t="shared" si="452"/>
        <v/>
      </c>
      <c r="H4141" t="str">
        <f t="shared" si="453"/>
        <v/>
      </c>
      <c r="I4141" t="str">
        <f t="shared" si="454"/>
        <v/>
      </c>
    </row>
    <row r="4142" spans="1:9" x14ac:dyDescent="0.4">
      <c r="A4142" t="str">
        <f t="shared" si="448"/>
        <v/>
      </c>
      <c r="B4142" t="str">
        <f t="shared" si="449"/>
        <v/>
      </c>
      <c r="C4142" t="str">
        <f t="shared" si="450"/>
        <v/>
      </c>
      <c r="D4142" t="str">
        <f t="shared" si="451"/>
        <v/>
      </c>
      <c r="E4142" t="str">
        <f>IF(F4142="","",IF(COUNTIF($F$2:F4142,F4142)&gt;1,"",SUMIFS(tbl_input[필요수량],tbl_input[집계키_센터],F4142)))</f>
        <v/>
      </c>
      <c r="F4142" t="str">
        <f>IFERROR(INDEX(tbl_input[집계키_센터],ROW()-1),"")</f>
        <v/>
      </c>
      <c r="G4142" t="str">
        <f t="shared" si="452"/>
        <v/>
      </c>
      <c r="H4142" t="str">
        <f t="shared" si="453"/>
        <v/>
      </c>
      <c r="I4142" t="str">
        <f t="shared" si="454"/>
        <v/>
      </c>
    </row>
    <row r="4143" spans="1:9" x14ac:dyDescent="0.4">
      <c r="A4143" t="str">
        <f t="shared" si="448"/>
        <v/>
      </c>
      <c r="B4143" t="str">
        <f t="shared" si="449"/>
        <v/>
      </c>
      <c r="C4143" t="str">
        <f t="shared" si="450"/>
        <v/>
      </c>
      <c r="D4143" t="str">
        <f t="shared" si="451"/>
        <v/>
      </c>
      <c r="E4143" t="str">
        <f>IF(F4143="","",IF(COUNTIF($F$2:F4143,F4143)&gt;1,"",SUMIFS(tbl_input[필요수량],tbl_input[집계키_센터],F4143)))</f>
        <v/>
      </c>
      <c r="F4143" t="str">
        <f>IFERROR(INDEX(tbl_input[집계키_센터],ROW()-1),"")</f>
        <v/>
      </c>
      <c r="G4143" t="str">
        <f t="shared" si="452"/>
        <v/>
      </c>
      <c r="H4143" t="str">
        <f t="shared" si="453"/>
        <v/>
      </c>
      <c r="I4143" t="str">
        <f t="shared" si="454"/>
        <v/>
      </c>
    </row>
    <row r="4144" spans="1:9" x14ac:dyDescent="0.4">
      <c r="A4144" t="str">
        <f t="shared" si="448"/>
        <v/>
      </c>
      <c r="B4144" t="str">
        <f t="shared" si="449"/>
        <v/>
      </c>
      <c r="C4144" t="str">
        <f t="shared" si="450"/>
        <v/>
      </c>
      <c r="D4144" t="str">
        <f t="shared" si="451"/>
        <v/>
      </c>
      <c r="E4144" t="str">
        <f>IF(F4144="","",IF(COUNTIF($F$2:F4144,F4144)&gt;1,"",SUMIFS(tbl_input[필요수량],tbl_input[집계키_센터],F4144)))</f>
        <v/>
      </c>
      <c r="F4144" t="str">
        <f>IFERROR(INDEX(tbl_input[집계키_센터],ROW()-1),"")</f>
        <v/>
      </c>
      <c r="G4144" t="str">
        <f t="shared" si="452"/>
        <v/>
      </c>
      <c r="H4144" t="str">
        <f t="shared" si="453"/>
        <v/>
      </c>
      <c r="I4144" t="str">
        <f t="shared" si="454"/>
        <v/>
      </c>
    </row>
    <row r="4145" spans="1:9" x14ac:dyDescent="0.4">
      <c r="A4145" t="str">
        <f t="shared" si="448"/>
        <v/>
      </c>
      <c r="B4145" t="str">
        <f t="shared" si="449"/>
        <v/>
      </c>
      <c r="C4145" t="str">
        <f t="shared" si="450"/>
        <v/>
      </c>
      <c r="D4145" t="str">
        <f t="shared" si="451"/>
        <v/>
      </c>
      <c r="E4145" t="str">
        <f>IF(F4145="","",IF(COUNTIF($F$2:F4145,F4145)&gt;1,"",SUMIFS(tbl_input[필요수량],tbl_input[집계키_센터],F4145)))</f>
        <v/>
      </c>
      <c r="F4145" t="str">
        <f>IFERROR(INDEX(tbl_input[집계키_센터],ROW()-1),"")</f>
        <v/>
      </c>
      <c r="G4145" t="str">
        <f t="shared" si="452"/>
        <v/>
      </c>
      <c r="H4145" t="str">
        <f t="shared" si="453"/>
        <v/>
      </c>
      <c r="I4145" t="str">
        <f t="shared" si="454"/>
        <v/>
      </c>
    </row>
    <row r="4146" spans="1:9" x14ac:dyDescent="0.4">
      <c r="A4146" t="str">
        <f t="shared" si="448"/>
        <v/>
      </c>
      <c r="B4146" t="str">
        <f t="shared" si="449"/>
        <v/>
      </c>
      <c r="C4146" t="str">
        <f t="shared" si="450"/>
        <v/>
      </c>
      <c r="D4146" t="str">
        <f t="shared" si="451"/>
        <v/>
      </c>
      <c r="E4146" t="str">
        <f>IF(F4146="","",IF(COUNTIF($F$2:F4146,F4146)&gt;1,"",SUMIFS(tbl_input[필요수량],tbl_input[집계키_센터],F4146)))</f>
        <v/>
      </c>
      <c r="F4146" t="str">
        <f>IFERROR(INDEX(tbl_input[집계키_센터],ROW()-1),"")</f>
        <v/>
      </c>
      <c r="G4146" t="str">
        <f t="shared" si="452"/>
        <v/>
      </c>
      <c r="H4146" t="str">
        <f t="shared" si="453"/>
        <v/>
      </c>
      <c r="I4146" t="str">
        <f t="shared" si="454"/>
        <v/>
      </c>
    </row>
    <row r="4147" spans="1:9" x14ac:dyDescent="0.4">
      <c r="A4147" t="str">
        <f t="shared" si="448"/>
        <v/>
      </c>
      <c r="B4147" t="str">
        <f t="shared" si="449"/>
        <v/>
      </c>
      <c r="C4147" t="str">
        <f t="shared" si="450"/>
        <v/>
      </c>
      <c r="D4147" t="str">
        <f t="shared" si="451"/>
        <v/>
      </c>
      <c r="E4147" t="str">
        <f>IF(F4147="","",IF(COUNTIF($F$2:F4147,F4147)&gt;1,"",SUMIFS(tbl_input[필요수량],tbl_input[집계키_센터],F4147)))</f>
        <v/>
      </c>
      <c r="F4147" t="str">
        <f>IFERROR(INDEX(tbl_input[집계키_센터],ROW()-1),"")</f>
        <v/>
      </c>
      <c r="G4147" t="str">
        <f t="shared" si="452"/>
        <v/>
      </c>
      <c r="H4147" t="str">
        <f t="shared" si="453"/>
        <v/>
      </c>
      <c r="I4147" t="str">
        <f t="shared" si="454"/>
        <v/>
      </c>
    </row>
    <row r="4148" spans="1:9" x14ac:dyDescent="0.4">
      <c r="A4148" t="str">
        <f t="shared" si="448"/>
        <v/>
      </c>
      <c r="B4148" t="str">
        <f t="shared" si="449"/>
        <v/>
      </c>
      <c r="C4148" t="str">
        <f t="shared" si="450"/>
        <v/>
      </c>
      <c r="D4148" t="str">
        <f t="shared" si="451"/>
        <v/>
      </c>
      <c r="E4148" t="str">
        <f>IF(F4148="","",IF(COUNTIF($F$2:F4148,F4148)&gt;1,"",SUMIFS(tbl_input[필요수량],tbl_input[집계키_센터],F4148)))</f>
        <v/>
      </c>
      <c r="F4148" t="str">
        <f>IFERROR(INDEX(tbl_input[집계키_센터],ROW()-1),"")</f>
        <v/>
      </c>
      <c r="G4148" t="str">
        <f t="shared" si="452"/>
        <v/>
      </c>
      <c r="H4148" t="str">
        <f t="shared" si="453"/>
        <v/>
      </c>
      <c r="I4148" t="str">
        <f t="shared" si="454"/>
        <v/>
      </c>
    </row>
    <row r="4149" spans="1:9" x14ac:dyDescent="0.4">
      <c r="A4149" t="str">
        <f t="shared" si="448"/>
        <v/>
      </c>
      <c r="B4149" t="str">
        <f t="shared" si="449"/>
        <v/>
      </c>
      <c r="C4149" t="str">
        <f t="shared" si="450"/>
        <v/>
      </c>
      <c r="D4149" t="str">
        <f t="shared" si="451"/>
        <v/>
      </c>
      <c r="E4149" t="str">
        <f>IF(F4149="","",IF(COUNTIF($F$2:F4149,F4149)&gt;1,"",SUMIFS(tbl_input[필요수량],tbl_input[집계키_센터],F4149)))</f>
        <v/>
      </c>
      <c r="F4149" t="str">
        <f>IFERROR(INDEX(tbl_input[집계키_센터],ROW()-1),"")</f>
        <v/>
      </c>
      <c r="G4149" t="str">
        <f t="shared" si="452"/>
        <v/>
      </c>
      <c r="H4149" t="str">
        <f t="shared" si="453"/>
        <v/>
      </c>
      <c r="I4149" t="str">
        <f t="shared" si="454"/>
        <v/>
      </c>
    </row>
    <row r="4150" spans="1:9" x14ac:dyDescent="0.4">
      <c r="A4150" t="str">
        <f t="shared" si="448"/>
        <v/>
      </c>
      <c r="B4150" t="str">
        <f t="shared" si="449"/>
        <v/>
      </c>
      <c r="C4150" t="str">
        <f t="shared" si="450"/>
        <v/>
      </c>
      <c r="D4150" t="str">
        <f t="shared" si="451"/>
        <v/>
      </c>
      <c r="E4150" t="str">
        <f>IF(F4150="","",IF(COUNTIF($F$2:F4150,F4150)&gt;1,"",SUMIFS(tbl_input[필요수량],tbl_input[집계키_센터],F4150)))</f>
        <v/>
      </c>
      <c r="F4150" t="str">
        <f>IFERROR(INDEX(tbl_input[집계키_센터],ROW()-1),"")</f>
        <v/>
      </c>
      <c r="G4150" t="str">
        <f t="shared" si="452"/>
        <v/>
      </c>
      <c r="H4150" t="str">
        <f t="shared" si="453"/>
        <v/>
      </c>
      <c r="I4150" t="str">
        <f t="shared" si="454"/>
        <v/>
      </c>
    </row>
    <row r="4151" spans="1:9" x14ac:dyDescent="0.4">
      <c r="A4151" t="str">
        <f t="shared" si="448"/>
        <v/>
      </c>
      <c r="B4151" t="str">
        <f t="shared" si="449"/>
        <v/>
      </c>
      <c r="C4151" t="str">
        <f t="shared" si="450"/>
        <v/>
      </c>
      <c r="D4151" t="str">
        <f t="shared" si="451"/>
        <v/>
      </c>
      <c r="E4151" t="str">
        <f>IF(F4151="","",IF(COUNTIF($F$2:F4151,F4151)&gt;1,"",SUMIFS(tbl_input[필요수량],tbl_input[집계키_센터],F4151)))</f>
        <v/>
      </c>
      <c r="F4151" t="str">
        <f>IFERROR(INDEX(tbl_input[집계키_센터],ROW()-1),"")</f>
        <v/>
      </c>
      <c r="G4151" t="str">
        <f t="shared" si="452"/>
        <v/>
      </c>
      <c r="H4151" t="str">
        <f t="shared" si="453"/>
        <v/>
      </c>
      <c r="I4151" t="str">
        <f t="shared" si="454"/>
        <v/>
      </c>
    </row>
    <row r="4152" spans="1:9" x14ac:dyDescent="0.4">
      <c r="A4152" t="str">
        <f t="shared" si="448"/>
        <v/>
      </c>
      <c r="B4152" t="str">
        <f t="shared" si="449"/>
        <v/>
      </c>
      <c r="C4152" t="str">
        <f t="shared" si="450"/>
        <v/>
      </c>
      <c r="D4152" t="str">
        <f t="shared" si="451"/>
        <v/>
      </c>
      <c r="E4152" t="str">
        <f>IF(F4152="","",IF(COUNTIF($F$2:F4152,F4152)&gt;1,"",SUMIFS(tbl_input[필요수량],tbl_input[집계키_센터],F4152)))</f>
        <v/>
      </c>
      <c r="F4152" t="str">
        <f>IFERROR(INDEX(tbl_input[집계키_센터],ROW()-1),"")</f>
        <v/>
      </c>
      <c r="G4152" t="str">
        <f t="shared" si="452"/>
        <v/>
      </c>
      <c r="H4152" t="str">
        <f t="shared" si="453"/>
        <v/>
      </c>
      <c r="I4152" t="str">
        <f t="shared" si="454"/>
        <v/>
      </c>
    </row>
    <row r="4153" spans="1:9" x14ac:dyDescent="0.4">
      <c r="A4153" t="str">
        <f t="shared" si="448"/>
        <v/>
      </c>
      <c r="B4153" t="str">
        <f t="shared" si="449"/>
        <v/>
      </c>
      <c r="C4153" t="str">
        <f t="shared" si="450"/>
        <v/>
      </c>
      <c r="D4153" t="str">
        <f t="shared" si="451"/>
        <v/>
      </c>
      <c r="E4153" t="str">
        <f>IF(F4153="","",IF(COUNTIF($F$2:F4153,F4153)&gt;1,"",SUMIFS(tbl_input[필요수량],tbl_input[집계키_센터],F4153)))</f>
        <v/>
      </c>
      <c r="F4153" t="str">
        <f>IFERROR(INDEX(tbl_input[집계키_센터],ROW()-1),"")</f>
        <v/>
      </c>
      <c r="G4153" t="str">
        <f t="shared" si="452"/>
        <v/>
      </c>
      <c r="H4153" t="str">
        <f t="shared" si="453"/>
        <v/>
      </c>
      <c r="I4153" t="str">
        <f t="shared" si="454"/>
        <v/>
      </c>
    </row>
    <row r="4154" spans="1:9" x14ac:dyDescent="0.4">
      <c r="A4154" t="str">
        <f t="shared" si="448"/>
        <v/>
      </c>
      <c r="B4154" t="str">
        <f t="shared" si="449"/>
        <v/>
      </c>
      <c r="C4154" t="str">
        <f t="shared" si="450"/>
        <v/>
      </c>
      <c r="D4154" t="str">
        <f t="shared" si="451"/>
        <v/>
      </c>
      <c r="E4154" t="str">
        <f>IF(F4154="","",IF(COUNTIF($F$2:F4154,F4154)&gt;1,"",SUMIFS(tbl_input[필요수량],tbl_input[집계키_센터],F4154)))</f>
        <v/>
      </c>
      <c r="F4154" t="str">
        <f>IFERROR(INDEX(tbl_input[집계키_센터],ROW()-1),"")</f>
        <v/>
      </c>
      <c r="G4154" t="str">
        <f t="shared" si="452"/>
        <v/>
      </c>
      <c r="H4154" t="str">
        <f t="shared" si="453"/>
        <v/>
      </c>
      <c r="I4154" t="str">
        <f t="shared" si="454"/>
        <v/>
      </c>
    </row>
    <row r="4155" spans="1:9" x14ac:dyDescent="0.4">
      <c r="A4155" t="str">
        <f t="shared" si="448"/>
        <v/>
      </c>
      <c r="B4155" t="str">
        <f t="shared" si="449"/>
        <v/>
      </c>
      <c r="C4155" t="str">
        <f t="shared" si="450"/>
        <v/>
      </c>
      <c r="D4155" t="str">
        <f t="shared" si="451"/>
        <v/>
      </c>
      <c r="E4155" t="str">
        <f>IF(F4155="","",IF(COUNTIF($F$2:F4155,F4155)&gt;1,"",SUMIFS(tbl_input[필요수량],tbl_input[집계키_센터],F4155)))</f>
        <v/>
      </c>
      <c r="F4155" t="str">
        <f>IFERROR(INDEX(tbl_input[집계키_센터],ROW()-1),"")</f>
        <v/>
      </c>
      <c r="G4155" t="str">
        <f t="shared" si="452"/>
        <v/>
      </c>
      <c r="H4155" t="str">
        <f t="shared" si="453"/>
        <v/>
      </c>
      <c r="I4155" t="str">
        <f t="shared" si="454"/>
        <v/>
      </c>
    </row>
    <row r="4156" spans="1:9" x14ac:dyDescent="0.4">
      <c r="A4156" t="str">
        <f t="shared" si="448"/>
        <v/>
      </c>
      <c r="B4156" t="str">
        <f t="shared" si="449"/>
        <v/>
      </c>
      <c r="C4156" t="str">
        <f t="shared" si="450"/>
        <v/>
      </c>
      <c r="D4156" t="str">
        <f t="shared" si="451"/>
        <v/>
      </c>
      <c r="E4156" t="str">
        <f>IF(F4156="","",IF(COUNTIF($F$2:F4156,F4156)&gt;1,"",SUMIFS(tbl_input[필요수량],tbl_input[집계키_센터],F4156)))</f>
        <v/>
      </c>
      <c r="F4156" t="str">
        <f>IFERROR(INDEX(tbl_input[집계키_센터],ROW()-1),"")</f>
        <v/>
      </c>
      <c r="G4156" t="str">
        <f t="shared" si="452"/>
        <v/>
      </c>
      <c r="H4156" t="str">
        <f t="shared" si="453"/>
        <v/>
      </c>
      <c r="I4156" t="str">
        <f t="shared" si="454"/>
        <v/>
      </c>
    </row>
    <row r="4157" spans="1:9" x14ac:dyDescent="0.4">
      <c r="A4157" t="str">
        <f t="shared" si="448"/>
        <v/>
      </c>
      <c r="B4157" t="str">
        <f t="shared" si="449"/>
        <v/>
      </c>
      <c r="C4157" t="str">
        <f t="shared" si="450"/>
        <v/>
      </c>
      <c r="D4157" t="str">
        <f t="shared" si="451"/>
        <v/>
      </c>
      <c r="E4157" t="str">
        <f>IF(F4157="","",IF(COUNTIF($F$2:F4157,F4157)&gt;1,"",SUMIFS(tbl_input[필요수량],tbl_input[집계키_센터],F4157)))</f>
        <v/>
      </c>
      <c r="F4157" t="str">
        <f>IFERROR(INDEX(tbl_input[집계키_센터],ROW()-1),"")</f>
        <v/>
      </c>
      <c r="G4157" t="str">
        <f t="shared" si="452"/>
        <v/>
      </c>
      <c r="H4157" t="str">
        <f t="shared" si="453"/>
        <v/>
      </c>
      <c r="I4157" t="str">
        <f t="shared" si="454"/>
        <v/>
      </c>
    </row>
    <row r="4158" spans="1:9" x14ac:dyDescent="0.4">
      <c r="A4158" t="str">
        <f t="shared" si="448"/>
        <v/>
      </c>
      <c r="B4158" t="str">
        <f t="shared" si="449"/>
        <v/>
      </c>
      <c r="C4158" t="str">
        <f t="shared" si="450"/>
        <v/>
      </c>
      <c r="D4158" t="str">
        <f t="shared" si="451"/>
        <v/>
      </c>
      <c r="E4158" t="str">
        <f>IF(F4158="","",IF(COUNTIF($F$2:F4158,F4158)&gt;1,"",SUMIFS(tbl_input[필요수량],tbl_input[집계키_센터],F4158)))</f>
        <v/>
      </c>
      <c r="F4158" t="str">
        <f>IFERROR(INDEX(tbl_input[집계키_센터],ROW()-1),"")</f>
        <v/>
      </c>
      <c r="G4158" t="str">
        <f t="shared" si="452"/>
        <v/>
      </c>
      <c r="H4158" t="str">
        <f t="shared" si="453"/>
        <v/>
      </c>
      <c r="I4158" t="str">
        <f t="shared" si="454"/>
        <v/>
      </c>
    </row>
    <row r="4159" spans="1:9" x14ac:dyDescent="0.4">
      <c r="A4159" t="str">
        <f t="shared" si="448"/>
        <v/>
      </c>
      <c r="B4159" t="str">
        <f t="shared" si="449"/>
        <v/>
      </c>
      <c r="C4159" t="str">
        <f t="shared" si="450"/>
        <v/>
      </c>
      <c r="D4159" t="str">
        <f t="shared" si="451"/>
        <v/>
      </c>
      <c r="E4159" t="str">
        <f>IF(F4159="","",IF(COUNTIF($F$2:F4159,F4159)&gt;1,"",SUMIFS(tbl_input[필요수량],tbl_input[집계키_센터],F4159)))</f>
        <v/>
      </c>
      <c r="F4159" t="str">
        <f>IFERROR(INDEX(tbl_input[집계키_센터],ROW()-1),"")</f>
        <v/>
      </c>
      <c r="G4159" t="str">
        <f t="shared" si="452"/>
        <v/>
      </c>
      <c r="H4159" t="str">
        <f t="shared" si="453"/>
        <v/>
      </c>
      <c r="I4159" t="str">
        <f t="shared" si="454"/>
        <v/>
      </c>
    </row>
    <row r="4160" spans="1:9" x14ac:dyDescent="0.4">
      <c r="A4160" t="str">
        <f t="shared" si="448"/>
        <v/>
      </c>
      <c r="B4160" t="str">
        <f t="shared" si="449"/>
        <v/>
      </c>
      <c r="C4160" t="str">
        <f t="shared" si="450"/>
        <v/>
      </c>
      <c r="D4160" t="str">
        <f t="shared" si="451"/>
        <v/>
      </c>
      <c r="E4160" t="str">
        <f>IF(F4160="","",IF(COUNTIF($F$2:F4160,F4160)&gt;1,"",SUMIFS(tbl_input[필요수량],tbl_input[집계키_센터],F4160)))</f>
        <v/>
      </c>
      <c r="F4160" t="str">
        <f>IFERROR(INDEX(tbl_input[집계키_센터],ROW()-1),"")</f>
        <v/>
      </c>
      <c r="G4160" t="str">
        <f t="shared" si="452"/>
        <v/>
      </c>
      <c r="H4160" t="str">
        <f t="shared" si="453"/>
        <v/>
      </c>
      <c r="I4160" t="str">
        <f t="shared" si="454"/>
        <v/>
      </c>
    </row>
    <row r="4161" spans="1:9" x14ac:dyDescent="0.4">
      <c r="A4161" t="str">
        <f t="shared" si="448"/>
        <v/>
      </c>
      <c r="B4161" t="str">
        <f t="shared" si="449"/>
        <v/>
      </c>
      <c r="C4161" t="str">
        <f t="shared" si="450"/>
        <v/>
      </c>
      <c r="D4161" t="str">
        <f t="shared" si="451"/>
        <v/>
      </c>
      <c r="E4161" t="str">
        <f>IF(F4161="","",IF(COUNTIF($F$2:F4161,F4161)&gt;1,"",SUMIFS(tbl_input[필요수량],tbl_input[집계키_센터],F4161)))</f>
        <v/>
      </c>
      <c r="F4161" t="str">
        <f>IFERROR(INDEX(tbl_input[집계키_센터],ROW()-1),"")</f>
        <v/>
      </c>
      <c r="G4161" t="str">
        <f t="shared" si="452"/>
        <v/>
      </c>
      <c r="H4161" t="str">
        <f t="shared" si="453"/>
        <v/>
      </c>
      <c r="I4161" t="str">
        <f t="shared" si="454"/>
        <v/>
      </c>
    </row>
    <row r="4162" spans="1:9" x14ac:dyDescent="0.4">
      <c r="A4162" t="str">
        <f t="shared" ref="A4162:A4225" si="455">IF(F4162="","",LEFT(F4162,G4162-1))</f>
        <v/>
      </c>
      <c r="B4162" t="str">
        <f t="shared" ref="B4162:B4225" si="456">IF(F4162="","",MID(F4162,G4162+1,H4162-G4162-1))</f>
        <v/>
      </c>
      <c r="C4162" t="str">
        <f t="shared" ref="C4162:C4225" si="457">IF(F4162="","",MID(F4162,H4162+1,I4162-H4162-1))</f>
        <v/>
      </c>
      <c r="D4162" t="str">
        <f t="shared" ref="D4162:D4225" si="458">IF(F4162="","",MID(F4162,I4162+1,999))</f>
        <v/>
      </c>
      <c r="E4162" t="str">
        <f>IF(F4162="","",IF(COUNTIF($F$2:F4162,F4162)&gt;1,"",SUMIFS(tbl_input[필요수량],tbl_input[집계키_센터],F4162)))</f>
        <v/>
      </c>
      <c r="F4162" t="str">
        <f>IFERROR(INDEX(tbl_input[집계키_센터],ROW()-1),"")</f>
        <v/>
      </c>
      <c r="G4162" t="str">
        <f t="shared" ref="G4162:G4225" si="459">IF(F4162="","",FIND("♦",F4162))</f>
        <v/>
      </c>
      <c r="H4162" t="str">
        <f t="shared" ref="H4162:H4225" si="460">IF(F4162="","",FIND("♦",F4162,G4162+1))</f>
        <v/>
      </c>
      <c r="I4162" t="str">
        <f t="shared" ref="I4162:I4225" si="461">IF(F4162="","",FIND("♦",F4162,H4162+1))</f>
        <v/>
      </c>
    </row>
    <row r="4163" spans="1:9" x14ac:dyDescent="0.4">
      <c r="A4163" t="str">
        <f t="shared" si="455"/>
        <v/>
      </c>
      <c r="B4163" t="str">
        <f t="shared" si="456"/>
        <v/>
      </c>
      <c r="C4163" t="str">
        <f t="shared" si="457"/>
        <v/>
      </c>
      <c r="D4163" t="str">
        <f t="shared" si="458"/>
        <v/>
      </c>
      <c r="E4163" t="str">
        <f>IF(F4163="","",IF(COUNTIF($F$2:F4163,F4163)&gt;1,"",SUMIFS(tbl_input[필요수량],tbl_input[집계키_센터],F4163)))</f>
        <v/>
      </c>
      <c r="F4163" t="str">
        <f>IFERROR(INDEX(tbl_input[집계키_센터],ROW()-1),"")</f>
        <v/>
      </c>
      <c r="G4163" t="str">
        <f t="shared" si="459"/>
        <v/>
      </c>
      <c r="H4163" t="str">
        <f t="shared" si="460"/>
        <v/>
      </c>
      <c r="I4163" t="str">
        <f t="shared" si="461"/>
        <v/>
      </c>
    </row>
    <row r="4164" spans="1:9" x14ac:dyDescent="0.4">
      <c r="A4164" t="str">
        <f t="shared" si="455"/>
        <v/>
      </c>
      <c r="B4164" t="str">
        <f t="shared" si="456"/>
        <v/>
      </c>
      <c r="C4164" t="str">
        <f t="shared" si="457"/>
        <v/>
      </c>
      <c r="D4164" t="str">
        <f t="shared" si="458"/>
        <v/>
      </c>
      <c r="E4164" t="str">
        <f>IF(F4164="","",IF(COUNTIF($F$2:F4164,F4164)&gt;1,"",SUMIFS(tbl_input[필요수량],tbl_input[집계키_센터],F4164)))</f>
        <v/>
      </c>
      <c r="F4164" t="str">
        <f>IFERROR(INDEX(tbl_input[집계키_센터],ROW()-1),"")</f>
        <v/>
      </c>
      <c r="G4164" t="str">
        <f t="shared" si="459"/>
        <v/>
      </c>
      <c r="H4164" t="str">
        <f t="shared" si="460"/>
        <v/>
      </c>
      <c r="I4164" t="str">
        <f t="shared" si="461"/>
        <v/>
      </c>
    </row>
    <row r="4165" spans="1:9" x14ac:dyDescent="0.4">
      <c r="A4165" t="str">
        <f t="shared" si="455"/>
        <v/>
      </c>
      <c r="B4165" t="str">
        <f t="shared" si="456"/>
        <v/>
      </c>
      <c r="C4165" t="str">
        <f t="shared" si="457"/>
        <v/>
      </c>
      <c r="D4165" t="str">
        <f t="shared" si="458"/>
        <v/>
      </c>
      <c r="E4165" t="str">
        <f>IF(F4165="","",IF(COUNTIF($F$2:F4165,F4165)&gt;1,"",SUMIFS(tbl_input[필요수량],tbl_input[집계키_센터],F4165)))</f>
        <v/>
      </c>
      <c r="F4165" t="str">
        <f>IFERROR(INDEX(tbl_input[집계키_센터],ROW()-1),"")</f>
        <v/>
      </c>
      <c r="G4165" t="str">
        <f t="shared" si="459"/>
        <v/>
      </c>
      <c r="H4165" t="str">
        <f t="shared" si="460"/>
        <v/>
      </c>
      <c r="I4165" t="str">
        <f t="shared" si="461"/>
        <v/>
      </c>
    </row>
    <row r="4166" spans="1:9" x14ac:dyDescent="0.4">
      <c r="A4166" t="str">
        <f t="shared" si="455"/>
        <v/>
      </c>
      <c r="B4166" t="str">
        <f t="shared" si="456"/>
        <v/>
      </c>
      <c r="C4166" t="str">
        <f t="shared" si="457"/>
        <v/>
      </c>
      <c r="D4166" t="str">
        <f t="shared" si="458"/>
        <v/>
      </c>
      <c r="E4166" t="str">
        <f>IF(F4166="","",IF(COUNTIF($F$2:F4166,F4166)&gt;1,"",SUMIFS(tbl_input[필요수량],tbl_input[집계키_센터],F4166)))</f>
        <v/>
      </c>
      <c r="F4166" t="str">
        <f>IFERROR(INDEX(tbl_input[집계키_센터],ROW()-1),"")</f>
        <v/>
      </c>
      <c r="G4166" t="str">
        <f t="shared" si="459"/>
        <v/>
      </c>
      <c r="H4166" t="str">
        <f t="shared" si="460"/>
        <v/>
      </c>
      <c r="I4166" t="str">
        <f t="shared" si="461"/>
        <v/>
      </c>
    </row>
    <row r="4167" spans="1:9" x14ac:dyDescent="0.4">
      <c r="A4167" t="str">
        <f t="shared" si="455"/>
        <v/>
      </c>
      <c r="B4167" t="str">
        <f t="shared" si="456"/>
        <v/>
      </c>
      <c r="C4167" t="str">
        <f t="shared" si="457"/>
        <v/>
      </c>
      <c r="D4167" t="str">
        <f t="shared" si="458"/>
        <v/>
      </c>
      <c r="E4167" t="str">
        <f>IF(F4167="","",IF(COUNTIF($F$2:F4167,F4167)&gt;1,"",SUMIFS(tbl_input[필요수량],tbl_input[집계키_센터],F4167)))</f>
        <v/>
      </c>
      <c r="F4167" t="str">
        <f>IFERROR(INDEX(tbl_input[집계키_센터],ROW()-1),"")</f>
        <v/>
      </c>
      <c r="G4167" t="str">
        <f t="shared" si="459"/>
        <v/>
      </c>
      <c r="H4167" t="str">
        <f t="shared" si="460"/>
        <v/>
      </c>
      <c r="I4167" t="str">
        <f t="shared" si="461"/>
        <v/>
      </c>
    </row>
    <row r="4168" spans="1:9" x14ac:dyDescent="0.4">
      <c r="A4168" t="str">
        <f t="shared" si="455"/>
        <v/>
      </c>
      <c r="B4168" t="str">
        <f t="shared" si="456"/>
        <v/>
      </c>
      <c r="C4168" t="str">
        <f t="shared" si="457"/>
        <v/>
      </c>
      <c r="D4168" t="str">
        <f t="shared" si="458"/>
        <v/>
      </c>
      <c r="E4168" t="str">
        <f>IF(F4168="","",IF(COUNTIF($F$2:F4168,F4168)&gt;1,"",SUMIFS(tbl_input[필요수량],tbl_input[집계키_센터],F4168)))</f>
        <v/>
      </c>
      <c r="F4168" t="str">
        <f>IFERROR(INDEX(tbl_input[집계키_센터],ROW()-1),"")</f>
        <v/>
      </c>
      <c r="G4168" t="str">
        <f t="shared" si="459"/>
        <v/>
      </c>
      <c r="H4168" t="str">
        <f t="shared" si="460"/>
        <v/>
      </c>
      <c r="I4168" t="str">
        <f t="shared" si="461"/>
        <v/>
      </c>
    </row>
    <row r="4169" spans="1:9" x14ac:dyDescent="0.4">
      <c r="A4169" t="str">
        <f t="shared" si="455"/>
        <v/>
      </c>
      <c r="B4169" t="str">
        <f t="shared" si="456"/>
        <v/>
      </c>
      <c r="C4169" t="str">
        <f t="shared" si="457"/>
        <v/>
      </c>
      <c r="D4169" t="str">
        <f t="shared" si="458"/>
        <v/>
      </c>
      <c r="E4169" t="str">
        <f>IF(F4169="","",IF(COUNTIF($F$2:F4169,F4169)&gt;1,"",SUMIFS(tbl_input[필요수량],tbl_input[집계키_센터],F4169)))</f>
        <v/>
      </c>
      <c r="F4169" t="str">
        <f>IFERROR(INDEX(tbl_input[집계키_센터],ROW()-1),"")</f>
        <v/>
      </c>
      <c r="G4169" t="str">
        <f t="shared" si="459"/>
        <v/>
      </c>
      <c r="H4169" t="str">
        <f t="shared" si="460"/>
        <v/>
      </c>
      <c r="I4169" t="str">
        <f t="shared" si="461"/>
        <v/>
      </c>
    </row>
    <row r="4170" spans="1:9" x14ac:dyDescent="0.4">
      <c r="A4170" t="str">
        <f t="shared" si="455"/>
        <v/>
      </c>
      <c r="B4170" t="str">
        <f t="shared" si="456"/>
        <v/>
      </c>
      <c r="C4170" t="str">
        <f t="shared" si="457"/>
        <v/>
      </c>
      <c r="D4170" t="str">
        <f t="shared" si="458"/>
        <v/>
      </c>
      <c r="E4170" t="str">
        <f>IF(F4170="","",IF(COUNTIF($F$2:F4170,F4170)&gt;1,"",SUMIFS(tbl_input[필요수량],tbl_input[집계키_센터],F4170)))</f>
        <v/>
      </c>
      <c r="F4170" t="str">
        <f>IFERROR(INDEX(tbl_input[집계키_센터],ROW()-1),"")</f>
        <v/>
      </c>
      <c r="G4170" t="str">
        <f t="shared" si="459"/>
        <v/>
      </c>
      <c r="H4170" t="str">
        <f t="shared" si="460"/>
        <v/>
      </c>
      <c r="I4170" t="str">
        <f t="shared" si="461"/>
        <v/>
      </c>
    </row>
    <row r="4171" spans="1:9" x14ac:dyDescent="0.4">
      <c r="A4171" t="str">
        <f t="shared" si="455"/>
        <v/>
      </c>
      <c r="B4171" t="str">
        <f t="shared" si="456"/>
        <v/>
      </c>
      <c r="C4171" t="str">
        <f t="shared" si="457"/>
        <v/>
      </c>
      <c r="D4171" t="str">
        <f t="shared" si="458"/>
        <v/>
      </c>
      <c r="E4171" t="str">
        <f>IF(F4171="","",IF(COUNTIF($F$2:F4171,F4171)&gt;1,"",SUMIFS(tbl_input[필요수량],tbl_input[집계키_센터],F4171)))</f>
        <v/>
      </c>
      <c r="F4171" t="str">
        <f>IFERROR(INDEX(tbl_input[집계키_센터],ROW()-1),"")</f>
        <v/>
      </c>
      <c r="G4171" t="str">
        <f t="shared" si="459"/>
        <v/>
      </c>
      <c r="H4171" t="str">
        <f t="shared" si="460"/>
        <v/>
      </c>
      <c r="I4171" t="str">
        <f t="shared" si="461"/>
        <v/>
      </c>
    </row>
    <row r="4172" spans="1:9" x14ac:dyDescent="0.4">
      <c r="A4172" t="str">
        <f t="shared" si="455"/>
        <v/>
      </c>
      <c r="B4172" t="str">
        <f t="shared" si="456"/>
        <v/>
      </c>
      <c r="C4172" t="str">
        <f t="shared" si="457"/>
        <v/>
      </c>
      <c r="D4172" t="str">
        <f t="shared" si="458"/>
        <v/>
      </c>
      <c r="E4172" t="str">
        <f>IF(F4172="","",IF(COUNTIF($F$2:F4172,F4172)&gt;1,"",SUMIFS(tbl_input[필요수량],tbl_input[집계키_센터],F4172)))</f>
        <v/>
      </c>
      <c r="F4172" t="str">
        <f>IFERROR(INDEX(tbl_input[집계키_센터],ROW()-1),"")</f>
        <v/>
      </c>
      <c r="G4172" t="str">
        <f t="shared" si="459"/>
        <v/>
      </c>
      <c r="H4172" t="str">
        <f t="shared" si="460"/>
        <v/>
      </c>
      <c r="I4172" t="str">
        <f t="shared" si="461"/>
        <v/>
      </c>
    </row>
    <row r="4173" spans="1:9" x14ac:dyDescent="0.4">
      <c r="A4173" t="str">
        <f t="shared" si="455"/>
        <v/>
      </c>
      <c r="B4173" t="str">
        <f t="shared" si="456"/>
        <v/>
      </c>
      <c r="C4173" t="str">
        <f t="shared" si="457"/>
        <v/>
      </c>
      <c r="D4173" t="str">
        <f t="shared" si="458"/>
        <v/>
      </c>
      <c r="E4173" t="str">
        <f>IF(F4173="","",IF(COUNTIF($F$2:F4173,F4173)&gt;1,"",SUMIFS(tbl_input[필요수량],tbl_input[집계키_센터],F4173)))</f>
        <v/>
      </c>
      <c r="F4173" t="str">
        <f>IFERROR(INDEX(tbl_input[집계키_센터],ROW()-1),"")</f>
        <v/>
      </c>
      <c r="G4173" t="str">
        <f t="shared" si="459"/>
        <v/>
      </c>
      <c r="H4173" t="str">
        <f t="shared" si="460"/>
        <v/>
      </c>
      <c r="I4173" t="str">
        <f t="shared" si="461"/>
        <v/>
      </c>
    </row>
    <row r="4174" spans="1:9" x14ac:dyDescent="0.4">
      <c r="A4174" t="str">
        <f t="shared" si="455"/>
        <v/>
      </c>
      <c r="B4174" t="str">
        <f t="shared" si="456"/>
        <v/>
      </c>
      <c r="C4174" t="str">
        <f t="shared" si="457"/>
        <v/>
      </c>
      <c r="D4174" t="str">
        <f t="shared" si="458"/>
        <v/>
      </c>
      <c r="E4174" t="str">
        <f>IF(F4174="","",IF(COUNTIF($F$2:F4174,F4174)&gt;1,"",SUMIFS(tbl_input[필요수량],tbl_input[집계키_센터],F4174)))</f>
        <v/>
      </c>
      <c r="F4174" t="str">
        <f>IFERROR(INDEX(tbl_input[집계키_센터],ROW()-1),"")</f>
        <v/>
      </c>
      <c r="G4174" t="str">
        <f t="shared" si="459"/>
        <v/>
      </c>
      <c r="H4174" t="str">
        <f t="shared" si="460"/>
        <v/>
      </c>
      <c r="I4174" t="str">
        <f t="shared" si="461"/>
        <v/>
      </c>
    </row>
    <row r="4175" spans="1:9" x14ac:dyDescent="0.4">
      <c r="A4175" t="str">
        <f t="shared" si="455"/>
        <v/>
      </c>
      <c r="B4175" t="str">
        <f t="shared" si="456"/>
        <v/>
      </c>
      <c r="C4175" t="str">
        <f t="shared" si="457"/>
        <v/>
      </c>
      <c r="D4175" t="str">
        <f t="shared" si="458"/>
        <v/>
      </c>
      <c r="E4175" t="str">
        <f>IF(F4175="","",IF(COUNTIF($F$2:F4175,F4175)&gt;1,"",SUMIFS(tbl_input[필요수량],tbl_input[집계키_센터],F4175)))</f>
        <v/>
      </c>
      <c r="F4175" t="str">
        <f>IFERROR(INDEX(tbl_input[집계키_센터],ROW()-1),"")</f>
        <v/>
      </c>
      <c r="G4175" t="str">
        <f t="shared" si="459"/>
        <v/>
      </c>
      <c r="H4175" t="str">
        <f t="shared" si="460"/>
        <v/>
      </c>
      <c r="I4175" t="str">
        <f t="shared" si="461"/>
        <v/>
      </c>
    </row>
    <row r="4176" spans="1:9" x14ac:dyDescent="0.4">
      <c r="A4176" t="str">
        <f t="shared" si="455"/>
        <v/>
      </c>
      <c r="B4176" t="str">
        <f t="shared" si="456"/>
        <v/>
      </c>
      <c r="C4176" t="str">
        <f t="shared" si="457"/>
        <v/>
      </c>
      <c r="D4176" t="str">
        <f t="shared" si="458"/>
        <v/>
      </c>
      <c r="E4176" t="str">
        <f>IF(F4176="","",IF(COUNTIF($F$2:F4176,F4176)&gt;1,"",SUMIFS(tbl_input[필요수량],tbl_input[집계키_센터],F4176)))</f>
        <v/>
      </c>
      <c r="F4176" t="str">
        <f>IFERROR(INDEX(tbl_input[집계키_센터],ROW()-1),"")</f>
        <v/>
      </c>
      <c r="G4176" t="str">
        <f t="shared" si="459"/>
        <v/>
      </c>
      <c r="H4176" t="str">
        <f t="shared" si="460"/>
        <v/>
      </c>
      <c r="I4176" t="str">
        <f t="shared" si="461"/>
        <v/>
      </c>
    </row>
    <row r="4177" spans="1:9" x14ac:dyDescent="0.4">
      <c r="A4177" t="str">
        <f t="shared" si="455"/>
        <v/>
      </c>
      <c r="B4177" t="str">
        <f t="shared" si="456"/>
        <v/>
      </c>
      <c r="C4177" t="str">
        <f t="shared" si="457"/>
        <v/>
      </c>
      <c r="D4177" t="str">
        <f t="shared" si="458"/>
        <v/>
      </c>
      <c r="E4177" t="str">
        <f>IF(F4177="","",IF(COUNTIF($F$2:F4177,F4177)&gt;1,"",SUMIFS(tbl_input[필요수량],tbl_input[집계키_센터],F4177)))</f>
        <v/>
      </c>
      <c r="F4177" t="str">
        <f>IFERROR(INDEX(tbl_input[집계키_센터],ROW()-1),"")</f>
        <v/>
      </c>
      <c r="G4177" t="str">
        <f t="shared" si="459"/>
        <v/>
      </c>
      <c r="H4177" t="str">
        <f t="shared" si="460"/>
        <v/>
      </c>
      <c r="I4177" t="str">
        <f t="shared" si="461"/>
        <v/>
      </c>
    </row>
    <row r="4178" spans="1:9" x14ac:dyDescent="0.4">
      <c r="A4178" t="str">
        <f t="shared" si="455"/>
        <v/>
      </c>
      <c r="B4178" t="str">
        <f t="shared" si="456"/>
        <v/>
      </c>
      <c r="C4178" t="str">
        <f t="shared" si="457"/>
        <v/>
      </c>
      <c r="D4178" t="str">
        <f t="shared" si="458"/>
        <v/>
      </c>
      <c r="E4178" t="str">
        <f>IF(F4178="","",IF(COUNTIF($F$2:F4178,F4178)&gt;1,"",SUMIFS(tbl_input[필요수량],tbl_input[집계키_센터],F4178)))</f>
        <v/>
      </c>
      <c r="F4178" t="str">
        <f>IFERROR(INDEX(tbl_input[집계키_센터],ROW()-1),"")</f>
        <v/>
      </c>
      <c r="G4178" t="str">
        <f t="shared" si="459"/>
        <v/>
      </c>
      <c r="H4178" t="str">
        <f t="shared" si="460"/>
        <v/>
      </c>
      <c r="I4178" t="str">
        <f t="shared" si="461"/>
        <v/>
      </c>
    </row>
    <row r="4179" spans="1:9" x14ac:dyDescent="0.4">
      <c r="A4179" t="str">
        <f t="shared" si="455"/>
        <v/>
      </c>
      <c r="B4179" t="str">
        <f t="shared" si="456"/>
        <v/>
      </c>
      <c r="C4179" t="str">
        <f t="shared" si="457"/>
        <v/>
      </c>
      <c r="D4179" t="str">
        <f t="shared" si="458"/>
        <v/>
      </c>
      <c r="E4179" t="str">
        <f>IF(F4179="","",IF(COUNTIF($F$2:F4179,F4179)&gt;1,"",SUMIFS(tbl_input[필요수량],tbl_input[집계키_센터],F4179)))</f>
        <v/>
      </c>
      <c r="F4179" t="str">
        <f>IFERROR(INDEX(tbl_input[집계키_센터],ROW()-1),"")</f>
        <v/>
      </c>
      <c r="G4179" t="str">
        <f t="shared" si="459"/>
        <v/>
      </c>
      <c r="H4179" t="str">
        <f t="shared" si="460"/>
        <v/>
      </c>
      <c r="I4179" t="str">
        <f t="shared" si="461"/>
        <v/>
      </c>
    </row>
    <row r="4180" spans="1:9" x14ac:dyDescent="0.4">
      <c r="A4180" t="str">
        <f t="shared" si="455"/>
        <v/>
      </c>
      <c r="B4180" t="str">
        <f t="shared" si="456"/>
        <v/>
      </c>
      <c r="C4180" t="str">
        <f t="shared" si="457"/>
        <v/>
      </c>
      <c r="D4180" t="str">
        <f t="shared" si="458"/>
        <v/>
      </c>
      <c r="E4180" t="str">
        <f>IF(F4180="","",IF(COUNTIF($F$2:F4180,F4180)&gt;1,"",SUMIFS(tbl_input[필요수량],tbl_input[집계키_센터],F4180)))</f>
        <v/>
      </c>
      <c r="F4180" t="str">
        <f>IFERROR(INDEX(tbl_input[집계키_센터],ROW()-1),"")</f>
        <v/>
      </c>
      <c r="G4180" t="str">
        <f t="shared" si="459"/>
        <v/>
      </c>
      <c r="H4180" t="str">
        <f t="shared" si="460"/>
        <v/>
      </c>
      <c r="I4180" t="str">
        <f t="shared" si="461"/>
        <v/>
      </c>
    </row>
    <row r="4181" spans="1:9" x14ac:dyDescent="0.4">
      <c r="A4181" t="str">
        <f t="shared" si="455"/>
        <v/>
      </c>
      <c r="B4181" t="str">
        <f t="shared" si="456"/>
        <v/>
      </c>
      <c r="C4181" t="str">
        <f t="shared" si="457"/>
        <v/>
      </c>
      <c r="D4181" t="str">
        <f t="shared" si="458"/>
        <v/>
      </c>
      <c r="E4181" t="str">
        <f>IF(F4181="","",IF(COUNTIF($F$2:F4181,F4181)&gt;1,"",SUMIFS(tbl_input[필요수량],tbl_input[집계키_센터],F4181)))</f>
        <v/>
      </c>
      <c r="F4181" t="str">
        <f>IFERROR(INDEX(tbl_input[집계키_센터],ROW()-1),"")</f>
        <v/>
      </c>
      <c r="G4181" t="str">
        <f t="shared" si="459"/>
        <v/>
      </c>
      <c r="H4181" t="str">
        <f t="shared" si="460"/>
        <v/>
      </c>
      <c r="I4181" t="str">
        <f t="shared" si="461"/>
        <v/>
      </c>
    </row>
    <row r="4182" spans="1:9" x14ac:dyDescent="0.4">
      <c r="A4182" t="str">
        <f t="shared" si="455"/>
        <v/>
      </c>
      <c r="B4182" t="str">
        <f t="shared" si="456"/>
        <v/>
      </c>
      <c r="C4182" t="str">
        <f t="shared" si="457"/>
        <v/>
      </c>
      <c r="D4182" t="str">
        <f t="shared" si="458"/>
        <v/>
      </c>
      <c r="E4182" t="str">
        <f>IF(F4182="","",IF(COUNTIF($F$2:F4182,F4182)&gt;1,"",SUMIFS(tbl_input[필요수량],tbl_input[집계키_센터],F4182)))</f>
        <v/>
      </c>
      <c r="F4182" t="str">
        <f>IFERROR(INDEX(tbl_input[집계키_센터],ROW()-1),"")</f>
        <v/>
      </c>
      <c r="G4182" t="str">
        <f t="shared" si="459"/>
        <v/>
      </c>
      <c r="H4182" t="str">
        <f t="shared" si="460"/>
        <v/>
      </c>
      <c r="I4182" t="str">
        <f t="shared" si="461"/>
        <v/>
      </c>
    </row>
    <row r="4183" spans="1:9" x14ac:dyDescent="0.4">
      <c r="A4183" t="str">
        <f t="shared" si="455"/>
        <v/>
      </c>
      <c r="B4183" t="str">
        <f t="shared" si="456"/>
        <v/>
      </c>
      <c r="C4183" t="str">
        <f t="shared" si="457"/>
        <v/>
      </c>
      <c r="D4183" t="str">
        <f t="shared" si="458"/>
        <v/>
      </c>
      <c r="E4183" t="str">
        <f>IF(F4183="","",IF(COUNTIF($F$2:F4183,F4183)&gt;1,"",SUMIFS(tbl_input[필요수량],tbl_input[집계키_센터],F4183)))</f>
        <v/>
      </c>
      <c r="F4183" t="str">
        <f>IFERROR(INDEX(tbl_input[집계키_센터],ROW()-1),"")</f>
        <v/>
      </c>
      <c r="G4183" t="str">
        <f t="shared" si="459"/>
        <v/>
      </c>
      <c r="H4183" t="str">
        <f t="shared" si="460"/>
        <v/>
      </c>
      <c r="I4183" t="str">
        <f t="shared" si="461"/>
        <v/>
      </c>
    </row>
    <row r="4184" spans="1:9" x14ac:dyDescent="0.4">
      <c r="A4184" t="str">
        <f t="shared" si="455"/>
        <v/>
      </c>
      <c r="B4184" t="str">
        <f t="shared" si="456"/>
        <v/>
      </c>
      <c r="C4184" t="str">
        <f t="shared" si="457"/>
        <v/>
      </c>
      <c r="D4184" t="str">
        <f t="shared" si="458"/>
        <v/>
      </c>
      <c r="E4184" t="str">
        <f>IF(F4184="","",IF(COUNTIF($F$2:F4184,F4184)&gt;1,"",SUMIFS(tbl_input[필요수량],tbl_input[집계키_센터],F4184)))</f>
        <v/>
      </c>
      <c r="F4184" t="str">
        <f>IFERROR(INDEX(tbl_input[집계키_센터],ROW()-1),"")</f>
        <v/>
      </c>
      <c r="G4184" t="str">
        <f t="shared" si="459"/>
        <v/>
      </c>
      <c r="H4184" t="str">
        <f t="shared" si="460"/>
        <v/>
      </c>
      <c r="I4184" t="str">
        <f t="shared" si="461"/>
        <v/>
      </c>
    </row>
    <row r="4185" spans="1:9" x14ac:dyDescent="0.4">
      <c r="A4185" t="str">
        <f t="shared" si="455"/>
        <v/>
      </c>
      <c r="B4185" t="str">
        <f t="shared" si="456"/>
        <v/>
      </c>
      <c r="C4185" t="str">
        <f t="shared" si="457"/>
        <v/>
      </c>
      <c r="D4185" t="str">
        <f t="shared" si="458"/>
        <v/>
      </c>
      <c r="E4185" t="str">
        <f>IF(F4185="","",IF(COUNTIF($F$2:F4185,F4185)&gt;1,"",SUMIFS(tbl_input[필요수량],tbl_input[집계키_센터],F4185)))</f>
        <v/>
      </c>
      <c r="F4185" t="str">
        <f>IFERROR(INDEX(tbl_input[집계키_센터],ROW()-1),"")</f>
        <v/>
      </c>
      <c r="G4185" t="str">
        <f t="shared" si="459"/>
        <v/>
      </c>
      <c r="H4185" t="str">
        <f t="shared" si="460"/>
        <v/>
      </c>
      <c r="I4185" t="str">
        <f t="shared" si="461"/>
        <v/>
      </c>
    </row>
    <row r="4186" spans="1:9" x14ac:dyDescent="0.4">
      <c r="A4186" t="str">
        <f t="shared" si="455"/>
        <v/>
      </c>
      <c r="B4186" t="str">
        <f t="shared" si="456"/>
        <v/>
      </c>
      <c r="C4186" t="str">
        <f t="shared" si="457"/>
        <v/>
      </c>
      <c r="D4186" t="str">
        <f t="shared" si="458"/>
        <v/>
      </c>
      <c r="E4186" t="str">
        <f>IF(F4186="","",IF(COUNTIF($F$2:F4186,F4186)&gt;1,"",SUMIFS(tbl_input[필요수량],tbl_input[집계키_센터],F4186)))</f>
        <v/>
      </c>
      <c r="F4186" t="str">
        <f>IFERROR(INDEX(tbl_input[집계키_센터],ROW()-1),"")</f>
        <v/>
      </c>
      <c r="G4186" t="str">
        <f t="shared" si="459"/>
        <v/>
      </c>
      <c r="H4186" t="str">
        <f t="shared" si="460"/>
        <v/>
      </c>
      <c r="I4186" t="str">
        <f t="shared" si="461"/>
        <v/>
      </c>
    </row>
    <row r="4187" spans="1:9" x14ac:dyDescent="0.4">
      <c r="A4187" t="str">
        <f t="shared" si="455"/>
        <v/>
      </c>
      <c r="B4187" t="str">
        <f t="shared" si="456"/>
        <v/>
      </c>
      <c r="C4187" t="str">
        <f t="shared" si="457"/>
        <v/>
      </c>
      <c r="D4187" t="str">
        <f t="shared" si="458"/>
        <v/>
      </c>
      <c r="E4187" t="str">
        <f>IF(F4187="","",IF(COUNTIF($F$2:F4187,F4187)&gt;1,"",SUMIFS(tbl_input[필요수량],tbl_input[집계키_센터],F4187)))</f>
        <v/>
      </c>
      <c r="F4187" t="str">
        <f>IFERROR(INDEX(tbl_input[집계키_센터],ROW()-1),"")</f>
        <v/>
      </c>
      <c r="G4187" t="str">
        <f t="shared" si="459"/>
        <v/>
      </c>
      <c r="H4187" t="str">
        <f t="shared" si="460"/>
        <v/>
      </c>
      <c r="I4187" t="str">
        <f t="shared" si="461"/>
        <v/>
      </c>
    </row>
    <row r="4188" spans="1:9" x14ac:dyDescent="0.4">
      <c r="A4188" t="str">
        <f t="shared" si="455"/>
        <v/>
      </c>
      <c r="B4188" t="str">
        <f t="shared" si="456"/>
        <v/>
      </c>
      <c r="C4188" t="str">
        <f t="shared" si="457"/>
        <v/>
      </c>
      <c r="D4188" t="str">
        <f t="shared" si="458"/>
        <v/>
      </c>
      <c r="E4188" t="str">
        <f>IF(F4188="","",IF(COUNTIF($F$2:F4188,F4188)&gt;1,"",SUMIFS(tbl_input[필요수량],tbl_input[집계키_센터],F4188)))</f>
        <v/>
      </c>
      <c r="F4188" t="str">
        <f>IFERROR(INDEX(tbl_input[집계키_센터],ROW()-1),"")</f>
        <v/>
      </c>
      <c r="G4188" t="str">
        <f t="shared" si="459"/>
        <v/>
      </c>
      <c r="H4188" t="str">
        <f t="shared" si="460"/>
        <v/>
      </c>
      <c r="I4188" t="str">
        <f t="shared" si="461"/>
        <v/>
      </c>
    </row>
    <row r="4189" spans="1:9" x14ac:dyDescent="0.4">
      <c r="A4189" t="str">
        <f t="shared" si="455"/>
        <v/>
      </c>
      <c r="B4189" t="str">
        <f t="shared" si="456"/>
        <v/>
      </c>
      <c r="C4189" t="str">
        <f t="shared" si="457"/>
        <v/>
      </c>
      <c r="D4189" t="str">
        <f t="shared" si="458"/>
        <v/>
      </c>
      <c r="E4189" t="str">
        <f>IF(F4189="","",IF(COUNTIF($F$2:F4189,F4189)&gt;1,"",SUMIFS(tbl_input[필요수량],tbl_input[집계키_센터],F4189)))</f>
        <v/>
      </c>
      <c r="F4189" t="str">
        <f>IFERROR(INDEX(tbl_input[집계키_센터],ROW()-1),"")</f>
        <v/>
      </c>
      <c r="G4189" t="str">
        <f t="shared" si="459"/>
        <v/>
      </c>
      <c r="H4189" t="str">
        <f t="shared" si="460"/>
        <v/>
      </c>
      <c r="I4189" t="str">
        <f t="shared" si="461"/>
        <v/>
      </c>
    </row>
    <row r="4190" spans="1:9" x14ac:dyDescent="0.4">
      <c r="A4190" t="str">
        <f t="shared" si="455"/>
        <v/>
      </c>
      <c r="B4190" t="str">
        <f t="shared" si="456"/>
        <v/>
      </c>
      <c r="C4190" t="str">
        <f t="shared" si="457"/>
        <v/>
      </c>
      <c r="D4190" t="str">
        <f t="shared" si="458"/>
        <v/>
      </c>
      <c r="E4190" t="str">
        <f>IF(F4190="","",IF(COUNTIF($F$2:F4190,F4190)&gt;1,"",SUMIFS(tbl_input[필요수량],tbl_input[집계키_센터],F4190)))</f>
        <v/>
      </c>
      <c r="F4190" t="str">
        <f>IFERROR(INDEX(tbl_input[집계키_센터],ROW()-1),"")</f>
        <v/>
      </c>
      <c r="G4190" t="str">
        <f t="shared" si="459"/>
        <v/>
      </c>
      <c r="H4190" t="str">
        <f t="shared" si="460"/>
        <v/>
      </c>
      <c r="I4190" t="str">
        <f t="shared" si="461"/>
        <v/>
      </c>
    </row>
    <row r="4191" spans="1:9" x14ac:dyDescent="0.4">
      <c r="A4191" t="str">
        <f t="shared" si="455"/>
        <v/>
      </c>
      <c r="B4191" t="str">
        <f t="shared" si="456"/>
        <v/>
      </c>
      <c r="C4191" t="str">
        <f t="shared" si="457"/>
        <v/>
      </c>
      <c r="D4191" t="str">
        <f t="shared" si="458"/>
        <v/>
      </c>
      <c r="E4191" t="str">
        <f>IF(F4191="","",IF(COUNTIF($F$2:F4191,F4191)&gt;1,"",SUMIFS(tbl_input[필요수량],tbl_input[집계키_센터],F4191)))</f>
        <v/>
      </c>
      <c r="F4191" t="str">
        <f>IFERROR(INDEX(tbl_input[집계키_센터],ROW()-1),"")</f>
        <v/>
      </c>
      <c r="G4191" t="str">
        <f t="shared" si="459"/>
        <v/>
      </c>
      <c r="H4191" t="str">
        <f t="shared" si="460"/>
        <v/>
      </c>
      <c r="I4191" t="str">
        <f t="shared" si="461"/>
        <v/>
      </c>
    </row>
    <row r="4192" spans="1:9" x14ac:dyDescent="0.4">
      <c r="A4192" t="str">
        <f t="shared" si="455"/>
        <v/>
      </c>
      <c r="B4192" t="str">
        <f t="shared" si="456"/>
        <v/>
      </c>
      <c r="C4192" t="str">
        <f t="shared" si="457"/>
        <v/>
      </c>
      <c r="D4192" t="str">
        <f t="shared" si="458"/>
        <v/>
      </c>
      <c r="E4192" t="str">
        <f>IF(F4192="","",IF(COUNTIF($F$2:F4192,F4192)&gt;1,"",SUMIFS(tbl_input[필요수량],tbl_input[집계키_센터],F4192)))</f>
        <v/>
      </c>
      <c r="F4192" t="str">
        <f>IFERROR(INDEX(tbl_input[집계키_센터],ROW()-1),"")</f>
        <v/>
      </c>
      <c r="G4192" t="str">
        <f t="shared" si="459"/>
        <v/>
      </c>
      <c r="H4192" t="str">
        <f t="shared" si="460"/>
        <v/>
      </c>
      <c r="I4192" t="str">
        <f t="shared" si="461"/>
        <v/>
      </c>
    </row>
    <row r="4193" spans="1:9" x14ac:dyDescent="0.4">
      <c r="A4193" t="str">
        <f t="shared" si="455"/>
        <v/>
      </c>
      <c r="B4193" t="str">
        <f t="shared" si="456"/>
        <v/>
      </c>
      <c r="C4193" t="str">
        <f t="shared" si="457"/>
        <v/>
      </c>
      <c r="D4193" t="str">
        <f t="shared" si="458"/>
        <v/>
      </c>
      <c r="E4193" t="str">
        <f>IF(F4193="","",IF(COUNTIF($F$2:F4193,F4193)&gt;1,"",SUMIFS(tbl_input[필요수량],tbl_input[집계키_센터],F4193)))</f>
        <v/>
      </c>
      <c r="F4193" t="str">
        <f>IFERROR(INDEX(tbl_input[집계키_센터],ROW()-1),"")</f>
        <v/>
      </c>
      <c r="G4193" t="str">
        <f t="shared" si="459"/>
        <v/>
      </c>
      <c r="H4193" t="str">
        <f t="shared" si="460"/>
        <v/>
      </c>
      <c r="I4193" t="str">
        <f t="shared" si="461"/>
        <v/>
      </c>
    </row>
    <row r="4194" spans="1:9" x14ac:dyDescent="0.4">
      <c r="A4194" t="str">
        <f t="shared" si="455"/>
        <v/>
      </c>
      <c r="B4194" t="str">
        <f t="shared" si="456"/>
        <v/>
      </c>
      <c r="C4194" t="str">
        <f t="shared" si="457"/>
        <v/>
      </c>
      <c r="D4194" t="str">
        <f t="shared" si="458"/>
        <v/>
      </c>
      <c r="E4194" t="str">
        <f>IF(F4194="","",IF(COUNTIF($F$2:F4194,F4194)&gt;1,"",SUMIFS(tbl_input[필요수량],tbl_input[집계키_센터],F4194)))</f>
        <v/>
      </c>
      <c r="F4194" t="str">
        <f>IFERROR(INDEX(tbl_input[집계키_센터],ROW()-1),"")</f>
        <v/>
      </c>
      <c r="G4194" t="str">
        <f t="shared" si="459"/>
        <v/>
      </c>
      <c r="H4194" t="str">
        <f t="shared" si="460"/>
        <v/>
      </c>
      <c r="I4194" t="str">
        <f t="shared" si="461"/>
        <v/>
      </c>
    </row>
    <row r="4195" spans="1:9" x14ac:dyDescent="0.4">
      <c r="A4195" t="str">
        <f t="shared" si="455"/>
        <v/>
      </c>
      <c r="B4195" t="str">
        <f t="shared" si="456"/>
        <v/>
      </c>
      <c r="C4195" t="str">
        <f t="shared" si="457"/>
        <v/>
      </c>
      <c r="D4195" t="str">
        <f t="shared" si="458"/>
        <v/>
      </c>
      <c r="E4195" t="str">
        <f>IF(F4195="","",IF(COUNTIF($F$2:F4195,F4195)&gt;1,"",SUMIFS(tbl_input[필요수량],tbl_input[집계키_센터],F4195)))</f>
        <v/>
      </c>
      <c r="F4195" t="str">
        <f>IFERROR(INDEX(tbl_input[집계키_센터],ROW()-1),"")</f>
        <v/>
      </c>
      <c r="G4195" t="str">
        <f t="shared" si="459"/>
        <v/>
      </c>
      <c r="H4195" t="str">
        <f t="shared" si="460"/>
        <v/>
      </c>
      <c r="I4195" t="str">
        <f t="shared" si="461"/>
        <v/>
      </c>
    </row>
    <row r="4196" spans="1:9" x14ac:dyDescent="0.4">
      <c r="A4196" t="str">
        <f t="shared" si="455"/>
        <v/>
      </c>
      <c r="B4196" t="str">
        <f t="shared" si="456"/>
        <v/>
      </c>
      <c r="C4196" t="str">
        <f t="shared" si="457"/>
        <v/>
      </c>
      <c r="D4196" t="str">
        <f t="shared" si="458"/>
        <v/>
      </c>
      <c r="E4196" t="str">
        <f>IF(F4196="","",IF(COUNTIF($F$2:F4196,F4196)&gt;1,"",SUMIFS(tbl_input[필요수량],tbl_input[집계키_센터],F4196)))</f>
        <v/>
      </c>
      <c r="F4196" t="str">
        <f>IFERROR(INDEX(tbl_input[집계키_센터],ROW()-1),"")</f>
        <v/>
      </c>
      <c r="G4196" t="str">
        <f t="shared" si="459"/>
        <v/>
      </c>
      <c r="H4196" t="str">
        <f t="shared" si="460"/>
        <v/>
      </c>
      <c r="I4196" t="str">
        <f t="shared" si="461"/>
        <v/>
      </c>
    </row>
    <row r="4197" spans="1:9" x14ac:dyDescent="0.4">
      <c r="A4197" t="str">
        <f t="shared" si="455"/>
        <v/>
      </c>
      <c r="B4197" t="str">
        <f t="shared" si="456"/>
        <v/>
      </c>
      <c r="C4197" t="str">
        <f t="shared" si="457"/>
        <v/>
      </c>
      <c r="D4197" t="str">
        <f t="shared" si="458"/>
        <v/>
      </c>
      <c r="E4197" t="str">
        <f>IF(F4197="","",IF(COUNTIF($F$2:F4197,F4197)&gt;1,"",SUMIFS(tbl_input[필요수량],tbl_input[집계키_센터],F4197)))</f>
        <v/>
      </c>
      <c r="F4197" t="str">
        <f>IFERROR(INDEX(tbl_input[집계키_센터],ROW()-1),"")</f>
        <v/>
      </c>
      <c r="G4197" t="str">
        <f t="shared" si="459"/>
        <v/>
      </c>
      <c r="H4197" t="str">
        <f t="shared" si="460"/>
        <v/>
      </c>
      <c r="I4197" t="str">
        <f t="shared" si="461"/>
        <v/>
      </c>
    </row>
    <row r="4198" spans="1:9" x14ac:dyDescent="0.4">
      <c r="A4198" t="str">
        <f t="shared" si="455"/>
        <v/>
      </c>
      <c r="B4198" t="str">
        <f t="shared" si="456"/>
        <v/>
      </c>
      <c r="C4198" t="str">
        <f t="shared" si="457"/>
        <v/>
      </c>
      <c r="D4198" t="str">
        <f t="shared" si="458"/>
        <v/>
      </c>
      <c r="E4198" t="str">
        <f>IF(F4198="","",IF(COUNTIF($F$2:F4198,F4198)&gt;1,"",SUMIFS(tbl_input[필요수량],tbl_input[집계키_센터],F4198)))</f>
        <v/>
      </c>
      <c r="F4198" t="str">
        <f>IFERROR(INDEX(tbl_input[집계키_센터],ROW()-1),"")</f>
        <v/>
      </c>
      <c r="G4198" t="str">
        <f t="shared" si="459"/>
        <v/>
      </c>
      <c r="H4198" t="str">
        <f t="shared" si="460"/>
        <v/>
      </c>
      <c r="I4198" t="str">
        <f t="shared" si="461"/>
        <v/>
      </c>
    </row>
    <row r="4199" spans="1:9" x14ac:dyDescent="0.4">
      <c r="A4199" t="str">
        <f t="shared" si="455"/>
        <v/>
      </c>
      <c r="B4199" t="str">
        <f t="shared" si="456"/>
        <v/>
      </c>
      <c r="C4199" t="str">
        <f t="shared" si="457"/>
        <v/>
      </c>
      <c r="D4199" t="str">
        <f t="shared" si="458"/>
        <v/>
      </c>
      <c r="E4199" t="str">
        <f>IF(F4199="","",IF(COUNTIF($F$2:F4199,F4199)&gt;1,"",SUMIFS(tbl_input[필요수량],tbl_input[집계키_센터],F4199)))</f>
        <v/>
      </c>
      <c r="F4199" t="str">
        <f>IFERROR(INDEX(tbl_input[집계키_센터],ROW()-1),"")</f>
        <v/>
      </c>
      <c r="G4199" t="str">
        <f t="shared" si="459"/>
        <v/>
      </c>
      <c r="H4199" t="str">
        <f t="shared" si="460"/>
        <v/>
      </c>
      <c r="I4199" t="str">
        <f t="shared" si="461"/>
        <v/>
      </c>
    </row>
    <row r="4200" spans="1:9" x14ac:dyDescent="0.4">
      <c r="A4200" t="str">
        <f t="shared" si="455"/>
        <v/>
      </c>
      <c r="B4200" t="str">
        <f t="shared" si="456"/>
        <v/>
      </c>
      <c r="C4200" t="str">
        <f t="shared" si="457"/>
        <v/>
      </c>
      <c r="D4200" t="str">
        <f t="shared" si="458"/>
        <v/>
      </c>
      <c r="E4200" t="str">
        <f>IF(F4200="","",IF(COUNTIF($F$2:F4200,F4200)&gt;1,"",SUMIFS(tbl_input[필요수량],tbl_input[집계키_센터],F4200)))</f>
        <v/>
      </c>
      <c r="F4200" t="str">
        <f>IFERROR(INDEX(tbl_input[집계키_센터],ROW()-1),"")</f>
        <v/>
      </c>
      <c r="G4200" t="str">
        <f t="shared" si="459"/>
        <v/>
      </c>
      <c r="H4200" t="str">
        <f t="shared" si="460"/>
        <v/>
      </c>
      <c r="I4200" t="str">
        <f t="shared" si="461"/>
        <v/>
      </c>
    </row>
    <row r="4201" spans="1:9" x14ac:dyDescent="0.4">
      <c r="A4201" t="str">
        <f t="shared" si="455"/>
        <v/>
      </c>
      <c r="B4201" t="str">
        <f t="shared" si="456"/>
        <v/>
      </c>
      <c r="C4201" t="str">
        <f t="shared" si="457"/>
        <v/>
      </c>
      <c r="D4201" t="str">
        <f t="shared" si="458"/>
        <v/>
      </c>
      <c r="E4201" t="str">
        <f>IF(F4201="","",IF(COUNTIF($F$2:F4201,F4201)&gt;1,"",SUMIFS(tbl_input[필요수량],tbl_input[집계키_센터],F4201)))</f>
        <v/>
      </c>
      <c r="F4201" t="str">
        <f>IFERROR(INDEX(tbl_input[집계키_센터],ROW()-1),"")</f>
        <v/>
      </c>
      <c r="G4201" t="str">
        <f t="shared" si="459"/>
        <v/>
      </c>
      <c r="H4201" t="str">
        <f t="shared" si="460"/>
        <v/>
      </c>
      <c r="I4201" t="str">
        <f t="shared" si="461"/>
        <v/>
      </c>
    </row>
    <row r="4202" spans="1:9" x14ac:dyDescent="0.4">
      <c r="A4202" t="str">
        <f t="shared" si="455"/>
        <v/>
      </c>
      <c r="B4202" t="str">
        <f t="shared" si="456"/>
        <v/>
      </c>
      <c r="C4202" t="str">
        <f t="shared" si="457"/>
        <v/>
      </c>
      <c r="D4202" t="str">
        <f t="shared" si="458"/>
        <v/>
      </c>
      <c r="E4202" t="str">
        <f>IF(F4202="","",IF(COUNTIF($F$2:F4202,F4202)&gt;1,"",SUMIFS(tbl_input[필요수량],tbl_input[집계키_센터],F4202)))</f>
        <v/>
      </c>
      <c r="F4202" t="str">
        <f>IFERROR(INDEX(tbl_input[집계키_센터],ROW()-1),"")</f>
        <v/>
      </c>
      <c r="G4202" t="str">
        <f t="shared" si="459"/>
        <v/>
      </c>
      <c r="H4202" t="str">
        <f t="shared" si="460"/>
        <v/>
      </c>
      <c r="I4202" t="str">
        <f t="shared" si="461"/>
        <v/>
      </c>
    </row>
    <row r="4203" spans="1:9" x14ac:dyDescent="0.4">
      <c r="A4203" t="str">
        <f t="shared" si="455"/>
        <v/>
      </c>
      <c r="B4203" t="str">
        <f t="shared" si="456"/>
        <v/>
      </c>
      <c r="C4203" t="str">
        <f t="shared" si="457"/>
        <v/>
      </c>
      <c r="D4203" t="str">
        <f t="shared" si="458"/>
        <v/>
      </c>
      <c r="E4203" t="str">
        <f>IF(F4203="","",IF(COUNTIF($F$2:F4203,F4203)&gt;1,"",SUMIFS(tbl_input[필요수량],tbl_input[집계키_센터],F4203)))</f>
        <v/>
      </c>
      <c r="F4203" t="str">
        <f>IFERROR(INDEX(tbl_input[집계키_센터],ROW()-1),"")</f>
        <v/>
      </c>
      <c r="G4203" t="str">
        <f t="shared" si="459"/>
        <v/>
      </c>
      <c r="H4203" t="str">
        <f t="shared" si="460"/>
        <v/>
      </c>
      <c r="I4203" t="str">
        <f t="shared" si="461"/>
        <v/>
      </c>
    </row>
    <row r="4204" spans="1:9" x14ac:dyDescent="0.4">
      <c r="A4204" t="str">
        <f t="shared" si="455"/>
        <v/>
      </c>
      <c r="B4204" t="str">
        <f t="shared" si="456"/>
        <v/>
      </c>
      <c r="C4204" t="str">
        <f t="shared" si="457"/>
        <v/>
      </c>
      <c r="D4204" t="str">
        <f t="shared" si="458"/>
        <v/>
      </c>
      <c r="E4204" t="str">
        <f>IF(F4204="","",IF(COUNTIF($F$2:F4204,F4204)&gt;1,"",SUMIFS(tbl_input[필요수량],tbl_input[집계키_센터],F4204)))</f>
        <v/>
      </c>
      <c r="F4204" t="str">
        <f>IFERROR(INDEX(tbl_input[집계키_센터],ROW()-1),"")</f>
        <v/>
      </c>
      <c r="G4204" t="str">
        <f t="shared" si="459"/>
        <v/>
      </c>
      <c r="H4204" t="str">
        <f t="shared" si="460"/>
        <v/>
      </c>
      <c r="I4204" t="str">
        <f t="shared" si="461"/>
        <v/>
      </c>
    </row>
    <row r="4205" spans="1:9" x14ac:dyDescent="0.4">
      <c r="A4205" t="str">
        <f t="shared" si="455"/>
        <v/>
      </c>
      <c r="B4205" t="str">
        <f t="shared" si="456"/>
        <v/>
      </c>
      <c r="C4205" t="str">
        <f t="shared" si="457"/>
        <v/>
      </c>
      <c r="D4205" t="str">
        <f t="shared" si="458"/>
        <v/>
      </c>
      <c r="E4205" t="str">
        <f>IF(F4205="","",IF(COUNTIF($F$2:F4205,F4205)&gt;1,"",SUMIFS(tbl_input[필요수량],tbl_input[집계키_센터],F4205)))</f>
        <v/>
      </c>
      <c r="F4205" t="str">
        <f>IFERROR(INDEX(tbl_input[집계키_센터],ROW()-1),"")</f>
        <v/>
      </c>
      <c r="G4205" t="str">
        <f t="shared" si="459"/>
        <v/>
      </c>
      <c r="H4205" t="str">
        <f t="shared" si="460"/>
        <v/>
      </c>
      <c r="I4205" t="str">
        <f t="shared" si="461"/>
        <v/>
      </c>
    </row>
    <row r="4206" spans="1:9" x14ac:dyDescent="0.4">
      <c r="A4206" t="str">
        <f t="shared" si="455"/>
        <v/>
      </c>
      <c r="B4206" t="str">
        <f t="shared" si="456"/>
        <v/>
      </c>
      <c r="C4206" t="str">
        <f t="shared" si="457"/>
        <v/>
      </c>
      <c r="D4206" t="str">
        <f t="shared" si="458"/>
        <v/>
      </c>
      <c r="E4206" t="str">
        <f>IF(F4206="","",IF(COUNTIF($F$2:F4206,F4206)&gt;1,"",SUMIFS(tbl_input[필요수량],tbl_input[집계키_센터],F4206)))</f>
        <v/>
      </c>
      <c r="F4206" t="str">
        <f>IFERROR(INDEX(tbl_input[집계키_센터],ROW()-1),"")</f>
        <v/>
      </c>
      <c r="G4206" t="str">
        <f t="shared" si="459"/>
        <v/>
      </c>
      <c r="H4206" t="str">
        <f t="shared" si="460"/>
        <v/>
      </c>
      <c r="I4206" t="str">
        <f t="shared" si="461"/>
        <v/>
      </c>
    </row>
    <row r="4207" spans="1:9" x14ac:dyDescent="0.4">
      <c r="A4207" t="str">
        <f t="shared" si="455"/>
        <v/>
      </c>
      <c r="B4207" t="str">
        <f t="shared" si="456"/>
        <v/>
      </c>
      <c r="C4207" t="str">
        <f t="shared" si="457"/>
        <v/>
      </c>
      <c r="D4207" t="str">
        <f t="shared" si="458"/>
        <v/>
      </c>
      <c r="E4207" t="str">
        <f>IF(F4207="","",IF(COUNTIF($F$2:F4207,F4207)&gt;1,"",SUMIFS(tbl_input[필요수량],tbl_input[집계키_센터],F4207)))</f>
        <v/>
      </c>
      <c r="F4207" t="str">
        <f>IFERROR(INDEX(tbl_input[집계키_센터],ROW()-1),"")</f>
        <v/>
      </c>
      <c r="G4207" t="str">
        <f t="shared" si="459"/>
        <v/>
      </c>
      <c r="H4207" t="str">
        <f t="shared" si="460"/>
        <v/>
      </c>
      <c r="I4207" t="str">
        <f t="shared" si="461"/>
        <v/>
      </c>
    </row>
    <row r="4208" spans="1:9" x14ac:dyDescent="0.4">
      <c r="A4208" t="str">
        <f t="shared" si="455"/>
        <v/>
      </c>
      <c r="B4208" t="str">
        <f t="shared" si="456"/>
        <v/>
      </c>
      <c r="C4208" t="str">
        <f t="shared" si="457"/>
        <v/>
      </c>
      <c r="D4208" t="str">
        <f t="shared" si="458"/>
        <v/>
      </c>
      <c r="E4208" t="str">
        <f>IF(F4208="","",IF(COUNTIF($F$2:F4208,F4208)&gt;1,"",SUMIFS(tbl_input[필요수량],tbl_input[집계키_센터],F4208)))</f>
        <v/>
      </c>
      <c r="F4208" t="str">
        <f>IFERROR(INDEX(tbl_input[집계키_센터],ROW()-1),"")</f>
        <v/>
      </c>
      <c r="G4208" t="str">
        <f t="shared" si="459"/>
        <v/>
      </c>
      <c r="H4208" t="str">
        <f t="shared" si="460"/>
        <v/>
      </c>
      <c r="I4208" t="str">
        <f t="shared" si="461"/>
        <v/>
      </c>
    </row>
    <row r="4209" spans="1:9" x14ac:dyDescent="0.4">
      <c r="A4209" t="str">
        <f t="shared" si="455"/>
        <v/>
      </c>
      <c r="B4209" t="str">
        <f t="shared" si="456"/>
        <v/>
      </c>
      <c r="C4209" t="str">
        <f t="shared" si="457"/>
        <v/>
      </c>
      <c r="D4209" t="str">
        <f t="shared" si="458"/>
        <v/>
      </c>
      <c r="E4209" t="str">
        <f>IF(F4209="","",IF(COUNTIF($F$2:F4209,F4209)&gt;1,"",SUMIFS(tbl_input[필요수량],tbl_input[집계키_센터],F4209)))</f>
        <v/>
      </c>
      <c r="F4209" t="str">
        <f>IFERROR(INDEX(tbl_input[집계키_센터],ROW()-1),"")</f>
        <v/>
      </c>
      <c r="G4209" t="str">
        <f t="shared" si="459"/>
        <v/>
      </c>
      <c r="H4209" t="str">
        <f t="shared" si="460"/>
        <v/>
      </c>
      <c r="I4209" t="str">
        <f t="shared" si="461"/>
        <v/>
      </c>
    </row>
    <row r="4210" spans="1:9" x14ac:dyDescent="0.4">
      <c r="A4210" t="str">
        <f t="shared" si="455"/>
        <v/>
      </c>
      <c r="B4210" t="str">
        <f t="shared" si="456"/>
        <v/>
      </c>
      <c r="C4210" t="str">
        <f t="shared" si="457"/>
        <v/>
      </c>
      <c r="D4210" t="str">
        <f t="shared" si="458"/>
        <v/>
      </c>
      <c r="E4210" t="str">
        <f>IF(F4210="","",IF(COUNTIF($F$2:F4210,F4210)&gt;1,"",SUMIFS(tbl_input[필요수량],tbl_input[집계키_센터],F4210)))</f>
        <v/>
      </c>
      <c r="F4210" t="str">
        <f>IFERROR(INDEX(tbl_input[집계키_센터],ROW()-1),"")</f>
        <v/>
      </c>
      <c r="G4210" t="str">
        <f t="shared" si="459"/>
        <v/>
      </c>
      <c r="H4210" t="str">
        <f t="shared" si="460"/>
        <v/>
      </c>
      <c r="I4210" t="str">
        <f t="shared" si="461"/>
        <v/>
      </c>
    </row>
    <row r="4211" spans="1:9" x14ac:dyDescent="0.4">
      <c r="A4211" t="str">
        <f t="shared" si="455"/>
        <v/>
      </c>
      <c r="B4211" t="str">
        <f t="shared" si="456"/>
        <v/>
      </c>
      <c r="C4211" t="str">
        <f t="shared" si="457"/>
        <v/>
      </c>
      <c r="D4211" t="str">
        <f t="shared" si="458"/>
        <v/>
      </c>
      <c r="E4211" t="str">
        <f>IF(F4211="","",IF(COUNTIF($F$2:F4211,F4211)&gt;1,"",SUMIFS(tbl_input[필요수량],tbl_input[집계키_센터],F4211)))</f>
        <v/>
      </c>
      <c r="F4211" t="str">
        <f>IFERROR(INDEX(tbl_input[집계키_센터],ROW()-1),"")</f>
        <v/>
      </c>
      <c r="G4211" t="str">
        <f t="shared" si="459"/>
        <v/>
      </c>
      <c r="H4211" t="str">
        <f t="shared" si="460"/>
        <v/>
      </c>
      <c r="I4211" t="str">
        <f t="shared" si="461"/>
        <v/>
      </c>
    </row>
    <row r="4212" spans="1:9" x14ac:dyDescent="0.4">
      <c r="A4212" t="str">
        <f t="shared" si="455"/>
        <v/>
      </c>
      <c r="B4212" t="str">
        <f t="shared" si="456"/>
        <v/>
      </c>
      <c r="C4212" t="str">
        <f t="shared" si="457"/>
        <v/>
      </c>
      <c r="D4212" t="str">
        <f t="shared" si="458"/>
        <v/>
      </c>
      <c r="E4212" t="str">
        <f>IF(F4212="","",IF(COUNTIF($F$2:F4212,F4212)&gt;1,"",SUMIFS(tbl_input[필요수량],tbl_input[집계키_센터],F4212)))</f>
        <v/>
      </c>
      <c r="F4212" t="str">
        <f>IFERROR(INDEX(tbl_input[집계키_센터],ROW()-1),"")</f>
        <v/>
      </c>
      <c r="G4212" t="str">
        <f t="shared" si="459"/>
        <v/>
      </c>
      <c r="H4212" t="str">
        <f t="shared" si="460"/>
        <v/>
      </c>
      <c r="I4212" t="str">
        <f t="shared" si="461"/>
        <v/>
      </c>
    </row>
    <row r="4213" spans="1:9" x14ac:dyDescent="0.4">
      <c r="A4213" t="str">
        <f t="shared" si="455"/>
        <v/>
      </c>
      <c r="B4213" t="str">
        <f t="shared" si="456"/>
        <v/>
      </c>
      <c r="C4213" t="str">
        <f t="shared" si="457"/>
        <v/>
      </c>
      <c r="D4213" t="str">
        <f t="shared" si="458"/>
        <v/>
      </c>
      <c r="E4213" t="str">
        <f>IF(F4213="","",IF(COUNTIF($F$2:F4213,F4213)&gt;1,"",SUMIFS(tbl_input[필요수량],tbl_input[집계키_센터],F4213)))</f>
        <v/>
      </c>
      <c r="F4213" t="str">
        <f>IFERROR(INDEX(tbl_input[집계키_센터],ROW()-1),"")</f>
        <v/>
      </c>
      <c r="G4213" t="str">
        <f t="shared" si="459"/>
        <v/>
      </c>
      <c r="H4213" t="str">
        <f t="shared" si="460"/>
        <v/>
      </c>
      <c r="I4213" t="str">
        <f t="shared" si="461"/>
        <v/>
      </c>
    </row>
    <row r="4214" spans="1:9" x14ac:dyDescent="0.4">
      <c r="A4214" t="str">
        <f t="shared" si="455"/>
        <v/>
      </c>
      <c r="B4214" t="str">
        <f t="shared" si="456"/>
        <v/>
      </c>
      <c r="C4214" t="str">
        <f t="shared" si="457"/>
        <v/>
      </c>
      <c r="D4214" t="str">
        <f t="shared" si="458"/>
        <v/>
      </c>
      <c r="E4214" t="str">
        <f>IF(F4214="","",IF(COUNTIF($F$2:F4214,F4214)&gt;1,"",SUMIFS(tbl_input[필요수량],tbl_input[집계키_센터],F4214)))</f>
        <v/>
      </c>
      <c r="F4214" t="str">
        <f>IFERROR(INDEX(tbl_input[집계키_센터],ROW()-1),"")</f>
        <v/>
      </c>
      <c r="G4214" t="str">
        <f t="shared" si="459"/>
        <v/>
      </c>
      <c r="H4214" t="str">
        <f t="shared" si="460"/>
        <v/>
      </c>
      <c r="I4214" t="str">
        <f t="shared" si="461"/>
        <v/>
      </c>
    </row>
    <row r="4215" spans="1:9" x14ac:dyDescent="0.4">
      <c r="A4215" t="str">
        <f t="shared" si="455"/>
        <v/>
      </c>
      <c r="B4215" t="str">
        <f t="shared" si="456"/>
        <v/>
      </c>
      <c r="C4215" t="str">
        <f t="shared" si="457"/>
        <v/>
      </c>
      <c r="D4215" t="str">
        <f t="shared" si="458"/>
        <v/>
      </c>
      <c r="E4215" t="str">
        <f>IF(F4215="","",IF(COUNTIF($F$2:F4215,F4215)&gt;1,"",SUMIFS(tbl_input[필요수량],tbl_input[집계키_센터],F4215)))</f>
        <v/>
      </c>
      <c r="F4215" t="str">
        <f>IFERROR(INDEX(tbl_input[집계키_센터],ROW()-1),"")</f>
        <v/>
      </c>
      <c r="G4215" t="str">
        <f t="shared" si="459"/>
        <v/>
      </c>
      <c r="H4215" t="str">
        <f t="shared" si="460"/>
        <v/>
      </c>
      <c r="I4215" t="str">
        <f t="shared" si="461"/>
        <v/>
      </c>
    </row>
    <row r="4216" spans="1:9" x14ac:dyDescent="0.4">
      <c r="A4216" t="str">
        <f t="shared" si="455"/>
        <v/>
      </c>
      <c r="B4216" t="str">
        <f t="shared" si="456"/>
        <v/>
      </c>
      <c r="C4216" t="str">
        <f t="shared" si="457"/>
        <v/>
      </c>
      <c r="D4216" t="str">
        <f t="shared" si="458"/>
        <v/>
      </c>
      <c r="E4216" t="str">
        <f>IF(F4216="","",IF(COUNTIF($F$2:F4216,F4216)&gt;1,"",SUMIFS(tbl_input[필요수량],tbl_input[집계키_센터],F4216)))</f>
        <v/>
      </c>
      <c r="F4216" t="str">
        <f>IFERROR(INDEX(tbl_input[집계키_센터],ROW()-1),"")</f>
        <v/>
      </c>
      <c r="G4216" t="str">
        <f t="shared" si="459"/>
        <v/>
      </c>
      <c r="H4216" t="str">
        <f t="shared" si="460"/>
        <v/>
      </c>
      <c r="I4216" t="str">
        <f t="shared" si="461"/>
        <v/>
      </c>
    </row>
    <row r="4217" spans="1:9" x14ac:dyDescent="0.4">
      <c r="A4217" t="str">
        <f t="shared" si="455"/>
        <v/>
      </c>
      <c r="B4217" t="str">
        <f t="shared" si="456"/>
        <v/>
      </c>
      <c r="C4217" t="str">
        <f t="shared" si="457"/>
        <v/>
      </c>
      <c r="D4217" t="str">
        <f t="shared" si="458"/>
        <v/>
      </c>
      <c r="E4217" t="str">
        <f>IF(F4217="","",IF(COUNTIF($F$2:F4217,F4217)&gt;1,"",SUMIFS(tbl_input[필요수량],tbl_input[집계키_센터],F4217)))</f>
        <v/>
      </c>
      <c r="F4217" t="str">
        <f>IFERROR(INDEX(tbl_input[집계키_센터],ROW()-1),"")</f>
        <v/>
      </c>
      <c r="G4217" t="str">
        <f t="shared" si="459"/>
        <v/>
      </c>
      <c r="H4217" t="str">
        <f t="shared" si="460"/>
        <v/>
      </c>
      <c r="I4217" t="str">
        <f t="shared" si="461"/>
        <v/>
      </c>
    </row>
    <row r="4218" spans="1:9" x14ac:dyDescent="0.4">
      <c r="A4218" t="str">
        <f t="shared" si="455"/>
        <v/>
      </c>
      <c r="B4218" t="str">
        <f t="shared" si="456"/>
        <v/>
      </c>
      <c r="C4218" t="str">
        <f t="shared" si="457"/>
        <v/>
      </c>
      <c r="D4218" t="str">
        <f t="shared" si="458"/>
        <v/>
      </c>
      <c r="E4218" t="str">
        <f>IF(F4218="","",IF(COUNTIF($F$2:F4218,F4218)&gt;1,"",SUMIFS(tbl_input[필요수량],tbl_input[집계키_센터],F4218)))</f>
        <v/>
      </c>
      <c r="F4218" t="str">
        <f>IFERROR(INDEX(tbl_input[집계키_센터],ROW()-1),"")</f>
        <v/>
      </c>
      <c r="G4218" t="str">
        <f t="shared" si="459"/>
        <v/>
      </c>
      <c r="H4218" t="str">
        <f t="shared" si="460"/>
        <v/>
      </c>
      <c r="I4218" t="str">
        <f t="shared" si="461"/>
        <v/>
      </c>
    </row>
    <row r="4219" spans="1:9" x14ac:dyDescent="0.4">
      <c r="A4219" t="str">
        <f t="shared" si="455"/>
        <v/>
      </c>
      <c r="B4219" t="str">
        <f t="shared" si="456"/>
        <v/>
      </c>
      <c r="C4219" t="str">
        <f t="shared" si="457"/>
        <v/>
      </c>
      <c r="D4219" t="str">
        <f t="shared" si="458"/>
        <v/>
      </c>
      <c r="E4219" t="str">
        <f>IF(F4219="","",IF(COUNTIF($F$2:F4219,F4219)&gt;1,"",SUMIFS(tbl_input[필요수량],tbl_input[집계키_센터],F4219)))</f>
        <v/>
      </c>
      <c r="F4219" t="str">
        <f>IFERROR(INDEX(tbl_input[집계키_센터],ROW()-1),"")</f>
        <v/>
      </c>
      <c r="G4219" t="str">
        <f t="shared" si="459"/>
        <v/>
      </c>
      <c r="H4219" t="str">
        <f t="shared" si="460"/>
        <v/>
      </c>
      <c r="I4219" t="str">
        <f t="shared" si="461"/>
        <v/>
      </c>
    </row>
    <row r="4220" spans="1:9" x14ac:dyDescent="0.4">
      <c r="A4220" t="str">
        <f t="shared" si="455"/>
        <v/>
      </c>
      <c r="B4220" t="str">
        <f t="shared" si="456"/>
        <v/>
      </c>
      <c r="C4220" t="str">
        <f t="shared" si="457"/>
        <v/>
      </c>
      <c r="D4220" t="str">
        <f t="shared" si="458"/>
        <v/>
      </c>
      <c r="E4220" t="str">
        <f>IF(F4220="","",IF(COUNTIF($F$2:F4220,F4220)&gt;1,"",SUMIFS(tbl_input[필요수량],tbl_input[집계키_센터],F4220)))</f>
        <v/>
      </c>
      <c r="F4220" t="str">
        <f>IFERROR(INDEX(tbl_input[집계키_센터],ROW()-1),"")</f>
        <v/>
      </c>
      <c r="G4220" t="str">
        <f t="shared" si="459"/>
        <v/>
      </c>
      <c r="H4220" t="str">
        <f t="shared" si="460"/>
        <v/>
      </c>
      <c r="I4220" t="str">
        <f t="shared" si="461"/>
        <v/>
      </c>
    </row>
    <row r="4221" spans="1:9" x14ac:dyDescent="0.4">
      <c r="A4221" t="str">
        <f t="shared" si="455"/>
        <v/>
      </c>
      <c r="B4221" t="str">
        <f t="shared" si="456"/>
        <v/>
      </c>
      <c r="C4221" t="str">
        <f t="shared" si="457"/>
        <v/>
      </c>
      <c r="D4221" t="str">
        <f t="shared" si="458"/>
        <v/>
      </c>
      <c r="E4221" t="str">
        <f>IF(F4221="","",IF(COUNTIF($F$2:F4221,F4221)&gt;1,"",SUMIFS(tbl_input[필요수량],tbl_input[집계키_센터],F4221)))</f>
        <v/>
      </c>
      <c r="F4221" t="str">
        <f>IFERROR(INDEX(tbl_input[집계키_센터],ROW()-1),"")</f>
        <v/>
      </c>
      <c r="G4221" t="str">
        <f t="shared" si="459"/>
        <v/>
      </c>
      <c r="H4221" t="str">
        <f t="shared" si="460"/>
        <v/>
      </c>
      <c r="I4221" t="str">
        <f t="shared" si="461"/>
        <v/>
      </c>
    </row>
    <row r="4222" spans="1:9" x14ac:dyDescent="0.4">
      <c r="A4222" t="str">
        <f t="shared" si="455"/>
        <v/>
      </c>
      <c r="B4222" t="str">
        <f t="shared" si="456"/>
        <v/>
      </c>
      <c r="C4222" t="str">
        <f t="shared" si="457"/>
        <v/>
      </c>
      <c r="D4222" t="str">
        <f t="shared" si="458"/>
        <v/>
      </c>
      <c r="E4222" t="str">
        <f>IF(F4222="","",IF(COUNTIF($F$2:F4222,F4222)&gt;1,"",SUMIFS(tbl_input[필요수량],tbl_input[집계키_센터],F4222)))</f>
        <v/>
      </c>
      <c r="F4222" t="str">
        <f>IFERROR(INDEX(tbl_input[집계키_센터],ROW()-1),"")</f>
        <v/>
      </c>
      <c r="G4222" t="str">
        <f t="shared" si="459"/>
        <v/>
      </c>
      <c r="H4222" t="str">
        <f t="shared" si="460"/>
        <v/>
      </c>
      <c r="I4222" t="str">
        <f t="shared" si="461"/>
        <v/>
      </c>
    </row>
    <row r="4223" spans="1:9" x14ac:dyDescent="0.4">
      <c r="A4223" t="str">
        <f t="shared" si="455"/>
        <v/>
      </c>
      <c r="B4223" t="str">
        <f t="shared" si="456"/>
        <v/>
      </c>
      <c r="C4223" t="str">
        <f t="shared" si="457"/>
        <v/>
      </c>
      <c r="D4223" t="str">
        <f t="shared" si="458"/>
        <v/>
      </c>
      <c r="E4223" t="str">
        <f>IF(F4223="","",IF(COUNTIF($F$2:F4223,F4223)&gt;1,"",SUMIFS(tbl_input[필요수량],tbl_input[집계키_센터],F4223)))</f>
        <v/>
      </c>
      <c r="F4223" t="str">
        <f>IFERROR(INDEX(tbl_input[집계키_센터],ROW()-1),"")</f>
        <v/>
      </c>
      <c r="G4223" t="str">
        <f t="shared" si="459"/>
        <v/>
      </c>
      <c r="H4223" t="str">
        <f t="shared" si="460"/>
        <v/>
      </c>
      <c r="I4223" t="str">
        <f t="shared" si="461"/>
        <v/>
      </c>
    </row>
    <row r="4224" spans="1:9" x14ac:dyDescent="0.4">
      <c r="A4224" t="str">
        <f t="shared" si="455"/>
        <v/>
      </c>
      <c r="B4224" t="str">
        <f t="shared" si="456"/>
        <v/>
      </c>
      <c r="C4224" t="str">
        <f t="shared" si="457"/>
        <v/>
      </c>
      <c r="D4224" t="str">
        <f t="shared" si="458"/>
        <v/>
      </c>
      <c r="E4224" t="str">
        <f>IF(F4224="","",IF(COUNTIF($F$2:F4224,F4224)&gt;1,"",SUMIFS(tbl_input[필요수량],tbl_input[집계키_센터],F4224)))</f>
        <v/>
      </c>
      <c r="F4224" t="str">
        <f>IFERROR(INDEX(tbl_input[집계키_센터],ROW()-1),"")</f>
        <v/>
      </c>
      <c r="G4224" t="str">
        <f t="shared" si="459"/>
        <v/>
      </c>
      <c r="H4224" t="str">
        <f t="shared" si="460"/>
        <v/>
      </c>
      <c r="I4224" t="str">
        <f t="shared" si="461"/>
        <v/>
      </c>
    </row>
    <row r="4225" spans="1:9" x14ac:dyDescent="0.4">
      <c r="A4225" t="str">
        <f t="shared" si="455"/>
        <v/>
      </c>
      <c r="B4225" t="str">
        <f t="shared" si="456"/>
        <v/>
      </c>
      <c r="C4225" t="str">
        <f t="shared" si="457"/>
        <v/>
      </c>
      <c r="D4225" t="str">
        <f t="shared" si="458"/>
        <v/>
      </c>
      <c r="E4225" t="str">
        <f>IF(F4225="","",IF(COUNTIF($F$2:F4225,F4225)&gt;1,"",SUMIFS(tbl_input[필요수량],tbl_input[집계키_센터],F4225)))</f>
        <v/>
      </c>
      <c r="F4225" t="str">
        <f>IFERROR(INDEX(tbl_input[집계키_센터],ROW()-1),"")</f>
        <v/>
      </c>
      <c r="G4225" t="str">
        <f t="shared" si="459"/>
        <v/>
      </c>
      <c r="H4225" t="str">
        <f t="shared" si="460"/>
        <v/>
      </c>
      <c r="I4225" t="str">
        <f t="shared" si="461"/>
        <v/>
      </c>
    </row>
    <row r="4226" spans="1:9" x14ac:dyDescent="0.4">
      <c r="A4226" t="str">
        <f t="shared" ref="A4226:A4289" si="462">IF(F4226="","",LEFT(F4226,G4226-1))</f>
        <v/>
      </c>
      <c r="B4226" t="str">
        <f t="shared" ref="B4226:B4289" si="463">IF(F4226="","",MID(F4226,G4226+1,H4226-G4226-1))</f>
        <v/>
      </c>
      <c r="C4226" t="str">
        <f t="shared" ref="C4226:C4289" si="464">IF(F4226="","",MID(F4226,H4226+1,I4226-H4226-1))</f>
        <v/>
      </c>
      <c r="D4226" t="str">
        <f t="shared" ref="D4226:D4289" si="465">IF(F4226="","",MID(F4226,I4226+1,999))</f>
        <v/>
      </c>
      <c r="E4226" t="str">
        <f>IF(F4226="","",IF(COUNTIF($F$2:F4226,F4226)&gt;1,"",SUMIFS(tbl_input[필요수량],tbl_input[집계키_센터],F4226)))</f>
        <v/>
      </c>
      <c r="F4226" t="str">
        <f>IFERROR(INDEX(tbl_input[집계키_센터],ROW()-1),"")</f>
        <v/>
      </c>
      <c r="G4226" t="str">
        <f t="shared" ref="G4226:G4289" si="466">IF(F4226="","",FIND("♦",F4226))</f>
        <v/>
      </c>
      <c r="H4226" t="str">
        <f t="shared" ref="H4226:H4289" si="467">IF(F4226="","",FIND("♦",F4226,G4226+1))</f>
        <v/>
      </c>
      <c r="I4226" t="str">
        <f t="shared" ref="I4226:I4289" si="468">IF(F4226="","",FIND("♦",F4226,H4226+1))</f>
        <v/>
      </c>
    </row>
    <row r="4227" spans="1:9" x14ac:dyDescent="0.4">
      <c r="A4227" t="str">
        <f t="shared" si="462"/>
        <v/>
      </c>
      <c r="B4227" t="str">
        <f t="shared" si="463"/>
        <v/>
      </c>
      <c r="C4227" t="str">
        <f t="shared" si="464"/>
        <v/>
      </c>
      <c r="D4227" t="str">
        <f t="shared" si="465"/>
        <v/>
      </c>
      <c r="E4227" t="str">
        <f>IF(F4227="","",IF(COUNTIF($F$2:F4227,F4227)&gt;1,"",SUMIFS(tbl_input[필요수량],tbl_input[집계키_센터],F4227)))</f>
        <v/>
      </c>
      <c r="F4227" t="str">
        <f>IFERROR(INDEX(tbl_input[집계키_센터],ROW()-1),"")</f>
        <v/>
      </c>
      <c r="G4227" t="str">
        <f t="shared" si="466"/>
        <v/>
      </c>
      <c r="H4227" t="str">
        <f t="shared" si="467"/>
        <v/>
      </c>
      <c r="I4227" t="str">
        <f t="shared" si="468"/>
        <v/>
      </c>
    </row>
    <row r="4228" spans="1:9" x14ac:dyDescent="0.4">
      <c r="A4228" t="str">
        <f t="shared" si="462"/>
        <v/>
      </c>
      <c r="B4228" t="str">
        <f t="shared" si="463"/>
        <v/>
      </c>
      <c r="C4228" t="str">
        <f t="shared" si="464"/>
        <v/>
      </c>
      <c r="D4228" t="str">
        <f t="shared" si="465"/>
        <v/>
      </c>
      <c r="E4228" t="str">
        <f>IF(F4228="","",IF(COUNTIF($F$2:F4228,F4228)&gt;1,"",SUMIFS(tbl_input[필요수량],tbl_input[집계키_센터],F4228)))</f>
        <v/>
      </c>
      <c r="F4228" t="str">
        <f>IFERROR(INDEX(tbl_input[집계키_센터],ROW()-1),"")</f>
        <v/>
      </c>
      <c r="G4228" t="str">
        <f t="shared" si="466"/>
        <v/>
      </c>
      <c r="H4228" t="str">
        <f t="shared" si="467"/>
        <v/>
      </c>
      <c r="I4228" t="str">
        <f t="shared" si="468"/>
        <v/>
      </c>
    </row>
    <row r="4229" spans="1:9" x14ac:dyDescent="0.4">
      <c r="A4229" t="str">
        <f t="shared" si="462"/>
        <v/>
      </c>
      <c r="B4229" t="str">
        <f t="shared" si="463"/>
        <v/>
      </c>
      <c r="C4229" t="str">
        <f t="shared" si="464"/>
        <v/>
      </c>
      <c r="D4229" t="str">
        <f t="shared" si="465"/>
        <v/>
      </c>
      <c r="E4229" t="str">
        <f>IF(F4229="","",IF(COUNTIF($F$2:F4229,F4229)&gt;1,"",SUMIFS(tbl_input[필요수량],tbl_input[집계키_센터],F4229)))</f>
        <v/>
      </c>
      <c r="F4229" t="str">
        <f>IFERROR(INDEX(tbl_input[집계키_센터],ROW()-1),"")</f>
        <v/>
      </c>
      <c r="G4229" t="str">
        <f t="shared" si="466"/>
        <v/>
      </c>
      <c r="H4229" t="str">
        <f t="shared" si="467"/>
        <v/>
      </c>
      <c r="I4229" t="str">
        <f t="shared" si="468"/>
        <v/>
      </c>
    </row>
    <row r="4230" spans="1:9" x14ac:dyDescent="0.4">
      <c r="A4230" t="str">
        <f t="shared" si="462"/>
        <v/>
      </c>
      <c r="B4230" t="str">
        <f t="shared" si="463"/>
        <v/>
      </c>
      <c r="C4230" t="str">
        <f t="shared" si="464"/>
        <v/>
      </c>
      <c r="D4230" t="str">
        <f t="shared" si="465"/>
        <v/>
      </c>
      <c r="E4230" t="str">
        <f>IF(F4230="","",IF(COUNTIF($F$2:F4230,F4230)&gt;1,"",SUMIFS(tbl_input[필요수량],tbl_input[집계키_센터],F4230)))</f>
        <v/>
      </c>
      <c r="F4230" t="str">
        <f>IFERROR(INDEX(tbl_input[집계키_센터],ROW()-1),"")</f>
        <v/>
      </c>
      <c r="G4230" t="str">
        <f t="shared" si="466"/>
        <v/>
      </c>
      <c r="H4230" t="str">
        <f t="shared" si="467"/>
        <v/>
      </c>
      <c r="I4230" t="str">
        <f t="shared" si="468"/>
        <v/>
      </c>
    </row>
    <row r="4231" spans="1:9" x14ac:dyDescent="0.4">
      <c r="A4231" t="str">
        <f t="shared" si="462"/>
        <v/>
      </c>
      <c r="B4231" t="str">
        <f t="shared" si="463"/>
        <v/>
      </c>
      <c r="C4231" t="str">
        <f t="shared" si="464"/>
        <v/>
      </c>
      <c r="D4231" t="str">
        <f t="shared" si="465"/>
        <v/>
      </c>
      <c r="E4231" t="str">
        <f>IF(F4231="","",IF(COUNTIF($F$2:F4231,F4231)&gt;1,"",SUMIFS(tbl_input[필요수량],tbl_input[집계키_센터],F4231)))</f>
        <v/>
      </c>
      <c r="F4231" t="str">
        <f>IFERROR(INDEX(tbl_input[집계키_센터],ROW()-1),"")</f>
        <v/>
      </c>
      <c r="G4231" t="str">
        <f t="shared" si="466"/>
        <v/>
      </c>
      <c r="H4231" t="str">
        <f t="shared" si="467"/>
        <v/>
      </c>
      <c r="I4231" t="str">
        <f t="shared" si="468"/>
        <v/>
      </c>
    </row>
    <row r="4232" spans="1:9" x14ac:dyDescent="0.4">
      <c r="A4232" t="str">
        <f t="shared" si="462"/>
        <v/>
      </c>
      <c r="B4232" t="str">
        <f t="shared" si="463"/>
        <v/>
      </c>
      <c r="C4232" t="str">
        <f t="shared" si="464"/>
        <v/>
      </c>
      <c r="D4232" t="str">
        <f t="shared" si="465"/>
        <v/>
      </c>
      <c r="E4232" t="str">
        <f>IF(F4232="","",IF(COUNTIF($F$2:F4232,F4232)&gt;1,"",SUMIFS(tbl_input[필요수량],tbl_input[집계키_센터],F4232)))</f>
        <v/>
      </c>
      <c r="F4232" t="str">
        <f>IFERROR(INDEX(tbl_input[집계키_센터],ROW()-1),"")</f>
        <v/>
      </c>
      <c r="G4232" t="str">
        <f t="shared" si="466"/>
        <v/>
      </c>
      <c r="H4232" t="str">
        <f t="shared" si="467"/>
        <v/>
      </c>
      <c r="I4232" t="str">
        <f t="shared" si="468"/>
        <v/>
      </c>
    </row>
    <row r="4233" spans="1:9" x14ac:dyDescent="0.4">
      <c r="A4233" t="str">
        <f t="shared" si="462"/>
        <v/>
      </c>
      <c r="B4233" t="str">
        <f t="shared" si="463"/>
        <v/>
      </c>
      <c r="C4233" t="str">
        <f t="shared" si="464"/>
        <v/>
      </c>
      <c r="D4233" t="str">
        <f t="shared" si="465"/>
        <v/>
      </c>
      <c r="E4233" t="str">
        <f>IF(F4233="","",IF(COUNTIF($F$2:F4233,F4233)&gt;1,"",SUMIFS(tbl_input[필요수량],tbl_input[집계키_센터],F4233)))</f>
        <v/>
      </c>
      <c r="F4233" t="str">
        <f>IFERROR(INDEX(tbl_input[집계키_센터],ROW()-1),"")</f>
        <v/>
      </c>
      <c r="G4233" t="str">
        <f t="shared" si="466"/>
        <v/>
      </c>
      <c r="H4233" t="str">
        <f t="shared" si="467"/>
        <v/>
      </c>
      <c r="I4233" t="str">
        <f t="shared" si="468"/>
        <v/>
      </c>
    </row>
    <row r="4234" spans="1:9" x14ac:dyDescent="0.4">
      <c r="A4234" t="str">
        <f t="shared" si="462"/>
        <v/>
      </c>
      <c r="B4234" t="str">
        <f t="shared" si="463"/>
        <v/>
      </c>
      <c r="C4234" t="str">
        <f t="shared" si="464"/>
        <v/>
      </c>
      <c r="D4234" t="str">
        <f t="shared" si="465"/>
        <v/>
      </c>
      <c r="E4234" t="str">
        <f>IF(F4234="","",IF(COUNTIF($F$2:F4234,F4234)&gt;1,"",SUMIFS(tbl_input[필요수량],tbl_input[집계키_센터],F4234)))</f>
        <v/>
      </c>
      <c r="F4234" t="str">
        <f>IFERROR(INDEX(tbl_input[집계키_센터],ROW()-1),"")</f>
        <v/>
      </c>
      <c r="G4234" t="str">
        <f t="shared" si="466"/>
        <v/>
      </c>
      <c r="H4234" t="str">
        <f t="shared" si="467"/>
        <v/>
      </c>
      <c r="I4234" t="str">
        <f t="shared" si="468"/>
        <v/>
      </c>
    </row>
    <row r="4235" spans="1:9" x14ac:dyDescent="0.4">
      <c r="A4235" t="str">
        <f t="shared" si="462"/>
        <v/>
      </c>
      <c r="B4235" t="str">
        <f t="shared" si="463"/>
        <v/>
      </c>
      <c r="C4235" t="str">
        <f t="shared" si="464"/>
        <v/>
      </c>
      <c r="D4235" t="str">
        <f t="shared" si="465"/>
        <v/>
      </c>
      <c r="E4235" t="str">
        <f>IF(F4235="","",IF(COUNTIF($F$2:F4235,F4235)&gt;1,"",SUMIFS(tbl_input[필요수량],tbl_input[집계키_센터],F4235)))</f>
        <v/>
      </c>
      <c r="F4235" t="str">
        <f>IFERROR(INDEX(tbl_input[집계키_센터],ROW()-1),"")</f>
        <v/>
      </c>
      <c r="G4235" t="str">
        <f t="shared" si="466"/>
        <v/>
      </c>
      <c r="H4235" t="str">
        <f t="shared" si="467"/>
        <v/>
      </c>
      <c r="I4235" t="str">
        <f t="shared" si="468"/>
        <v/>
      </c>
    </row>
    <row r="4236" spans="1:9" x14ac:dyDescent="0.4">
      <c r="A4236" t="str">
        <f t="shared" si="462"/>
        <v/>
      </c>
      <c r="B4236" t="str">
        <f t="shared" si="463"/>
        <v/>
      </c>
      <c r="C4236" t="str">
        <f t="shared" si="464"/>
        <v/>
      </c>
      <c r="D4236" t="str">
        <f t="shared" si="465"/>
        <v/>
      </c>
      <c r="E4236" t="str">
        <f>IF(F4236="","",IF(COUNTIF($F$2:F4236,F4236)&gt;1,"",SUMIFS(tbl_input[필요수량],tbl_input[집계키_센터],F4236)))</f>
        <v/>
      </c>
      <c r="F4236" t="str">
        <f>IFERROR(INDEX(tbl_input[집계키_센터],ROW()-1),"")</f>
        <v/>
      </c>
      <c r="G4236" t="str">
        <f t="shared" si="466"/>
        <v/>
      </c>
      <c r="H4236" t="str">
        <f t="shared" si="467"/>
        <v/>
      </c>
      <c r="I4236" t="str">
        <f t="shared" si="468"/>
        <v/>
      </c>
    </row>
    <row r="4237" spans="1:9" x14ac:dyDescent="0.4">
      <c r="A4237" t="str">
        <f t="shared" si="462"/>
        <v/>
      </c>
      <c r="B4237" t="str">
        <f t="shared" si="463"/>
        <v/>
      </c>
      <c r="C4237" t="str">
        <f t="shared" si="464"/>
        <v/>
      </c>
      <c r="D4237" t="str">
        <f t="shared" si="465"/>
        <v/>
      </c>
      <c r="E4237" t="str">
        <f>IF(F4237="","",IF(COUNTIF($F$2:F4237,F4237)&gt;1,"",SUMIFS(tbl_input[필요수량],tbl_input[집계키_센터],F4237)))</f>
        <v/>
      </c>
      <c r="F4237" t="str">
        <f>IFERROR(INDEX(tbl_input[집계키_센터],ROW()-1),"")</f>
        <v/>
      </c>
      <c r="G4237" t="str">
        <f t="shared" si="466"/>
        <v/>
      </c>
      <c r="H4237" t="str">
        <f t="shared" si="467"/>
        <v/>
      </c>
      <c r="I4237" t="str">
        <f t="shared" si="468"/>
        <v/>
      </c>
    </row>
    <row r="4238" spans="1:9" x14ac:dyDescent="0.4">
      <c r="A4238" t="str">
        <f t="shared" si="462"/>
        <v/>
      </c>
      <c r="B4238" t="str">
        <f t="shared" si="463"/>
        <v/>
      </c>
      <c r="C4238" t="str">
        <f t="shared" si="464"/>
        <v/>
      </c>
      <c r="D4238" t="str">
        <f t="shared" si="465"/>
        <v/>
      </c>
      <c r="E4238" t="str">
        <f>IF(F4238="","",IF(COUNTIF($F$2:F4238,F4238)&gt;1,"",SUMIFS(tbl_input[필요수량],tbl_input[집계키_센터],F4238)))</f>
        <v/>
      </c>
      <c r="F4238" t="str">
        <f>IFERROR(INDEX(tbl_input[집계키_센터],ROW()-1),"")</f>
        <v/>
      </c>
      <c r="G4238" t="str">
        <f t="shared" si="466"/>
        <v/>
      </c>
      <c r="H4238" t="str">
        <f t="shared" si="467"/>
        <v/>
      </c>
      <c r="I4238" t="str">
        <f t="shared" si="468"/>
        <v/>
      </c>
    </row>
    <row r="4239" spans="1:9" x14ac:dyDescent="0.4">
      <c r="A4239" t="str">
        <f t="shared" si="462"/>
        <v/>
      </c>
      <c r="B4239" t="str">
        <f t="shared" si="463"/>
        <v/>
      </c>
      <c r="C4239" t="str">
        <f t="shared" si="464"/>
        <v/>
      </c>
      <c r="D4239" t="str">
        <f t="shared" si="465"/>
        <v/>
      </c>
      <c r="E4239" t="str">
        <f>IF(F4239="","",IF(COUNTIF($F$2:F4239,F4239)&gt;1,"",SUMIFS(tbl_input[필요수량],tbl_input[집계키_센터],F4239)))</f>
        <v/>
      </c>
      <c r="F4239" t="str">
        <f>IFERROR(INDEX(tbl_input[집계키_센터],ROW()-1),"")</f>
        <v/>
      </c>
      <c r="G4239" t="str">
        <f t="shared" si="466"/>
        <v/>
      </c>
      <c r="H4239" t="str">
        <f t="shared" si="467"/>
        <v/>
      </c>
      <c r="I4239" t="str">
        <f t="shared" si="468"/>
        <v/>
      </c>
    </row>
    <row r="4240" spans="1:9" x14ac:dyDescent="0.4">
      <c r="A4240" t="str">
        <f t="shared" si="462"/>
        <v/>
      </c>
      <c r="B4240" t="str">
        <f t="shared" si="463"/>
        <v/>
      </c>
      <c r="C4240" t="str">
        <f t="shared" si="464"/>
        <v/>
      </c>
      <c r="D4240" t="str">
        <f t="shared" si="465"/>
        <v/>
      </c>
      <c r="E4240" t="str">
        <f>IF(F4240="","",IF(COUNTIF($F$2:F4240,F4240)&gt;1,"",SUMIFS(tbl_input[필요수량],tbl_input[집계키_센터],F4240)))</f>
        <v/>
      </c>
      <c r="F4240" t="str">
        <f>IFERROR(INDEX(tbl_input[집계키_센터],ROW()-1),"")</f>
        <v/>
      </c>
      <c r="G4240" t="str">
        <f t="shared" si="466"/>
        <v/>
      </c>
      <c r="H4240" t="str">
        <f t="shared" si="467"/>
        <v/>
      </c>
      <c r="I4240" t="str">
        <f t="shared" si="468"/>
        <v/>
      </c>
    </row>
    <row r="4241" spans="1:9" x14ac:dyDescent="0.4">
      <c r="A4241" t="str">
        <f t="shared" si="462"/>
        <v/>
      </c>
      <c r="B4241" t="str">
        <f t="shared" si="463"/>
        <v/>
      </c>
      <c r="C4241" t="str">
        <f t="shared" si="464"/>
        <v/>
      </c>
      <c r="D4241" t="str">
        <f t="shared" si="465"/>
        <v/>
      </c>
      <c r="E4241" t="str">
        <f>IF(F4241="","",IF(COUNTIF($F$2:F4241,F4241)&gt;1,"",SUMIFS(tbl_input[필요수량],tbl_input[집계키_센터],F4241)))</f>
        <v/>
      </c>
      <c r="F4241" t="str">
        <f>IFERROR(INDEX(tbl_input[집계키_센터],ROW()-1),"")</f>
        <v/>
      </c>
      <c r="G4241" t="str">
        <f t="shared" si="466"/>
        <v/>
      </c>
      <c r="H4241" t="str">
        <f t="shared" si="467"/>
        <v/>
      </c>
      <c r="I4241" t="str">
        <f t="shared" si="468"/>
        <v/>
      </c>
    </row>
    <row r="4242" spans="1:9" x14ac:dyDescent="0.4">
      <c r="A4242" t="str">
        <f t="shared" si="462"/>
        <v/>
      </c>
      <c r="B4242" t="str">
        <f t="shared" si="463"/>
        <v/>
      </c>
      <c r="C4242" t="str">
        <f t="shared" si="464"/>
        <v/>
      </c>
      <c r="D4242" t="str">
        <f t="shared" si="465"/>
        <v/>
      </c>
      <c r="E4242" t="str">
        <f>IF(F4242="","",IF(COUNTIF($F$2:F4242,F4242)&gt;1,"",SUMIFS(tbl_input[필요수량],tbl_input[집계키_센터],F4242)))</f>
        <v/>
      </c>
      <c r="F4242" t="str">
        <f>IFERROR(INDEX(tbl_input[집계키_센터],ROW()-1),"")</f>
        <v/>
      </c>
      <c r="G4242" t="str">
        <f t="shared" si="466"/>
        <v/>
      </c>
      <c r="H4242" t="str">
        <f t="shared" si="467"/>
        <v/>
      </c>
      <c r="I4242" t="str">
        <f t="shared" si="468"/>
        <v/>
      </c>
    </row>
    <row r="4243" spans="1:9" x14ac:dyDescent="0.4">
      <c r="A4243" t="str">
        <f t="shared" si="462"/>
        <v/>
      </c>
      <c r="B4243" t="str">
        <f t="shared" si="463"/>
        <v/>
      </c>
      <c r="C4243" t="str">
        <f t="shared" si="464"/>
        <v/>
      </c>
      <c r="D4243" t="str">
        <f t="shared" si="465"/>
        <v/>
      </c>
      <c r="E4243" t="str">
        <f>IF(F4243="","",IF(COUNTIF($F$2:F4243,F4243)&gt;1,"",SUMIFS(tbl_input[필요수량],tbl_input[집계키_센터],F4243)))</f>
        <v/>
      </c>
      <c r="F4243" t="str">
        <f>IFERROR(INDEX(tbl_input[집계키_센터],ROW()-1),"")</f>
        <v/>
      </c>
      <c r="G4243" t="str">
        <f t="shared" si="466"/>
        <v/>
      </c>
      <c r="H4243" t="str">
        <f t="shared" si="467"/>
        <v/>
      </c>
      <c r="I4243" t="str">
        <f t="shared" si="468"/>
        <v/>
      </c>
    </row>
    <row r="4244" spans="1:9" x14ac:dyDescent="0.4">
      <c r="A4244" t="str">
        <f t="shared" si="462"/>
        <v/>
      </c>
      <c r="B4244" t="str">
        <f t="shared" si="463"/>
        <v/>
      </c>
      <c r="C4244" t="str">
        <f t="shared" si="464"/>
        <v/>
      </c>
      <c r="D4244" t="str">
        <f t="shared" si="465"/>
        <v/>
      </c>
      <c r="E4244" t="str">
        <f>IF(F4244="","",IF(COUNTIF($F$2:F4244,F4244)&gt;1,"",SUMIFS(tbl_input[필요수량],tbl_input[집계키_센터],F4244)))</f>
        <v/>
      </c>
      <c r="F4244" t="str">
        <f>IFERROR(INDEX(tbl_input[집계키_센터],ROW()-1),"")</f>
        <v/>
      </c>
      <c r="G4244" t="str">
        <f t="shared" si="466"/>
        <v/>
      </c>
      <c r="H4244" t="str">
        <f t="shared" si="467"/>
        <v/>
      </c>
      <c r="I4244" t="str">
        <f t="shared" si="468"/>
        <v/>
      </c>
    </row>
    <row r="4245" spans="1:9" x14ac:dyDescent="0.4">
      <c r="A4245" t="str">
        <f t="shared" si="462"/>
        <v/>
      </c>
      <c r="B4245" t="str">
        <f t="shared" si="463"/>
        <v/>
      </c>
      <c r="C4245" t="str">
        <f t="shared" si="464"/>
        <v/>
      </c>
      <c r="D4245" t="str">
        <f t="shared" si="465"/>
        <v/>
      </c>
      <c r="E4245" t="str">
        <f>IF(F4245="","",IF(COUNTIF($F$2:F4245,F4245)&gt;1,"",SUMIFS(tbl_input[필요수량],tbl_input[집계키_센터],F4245)))</f>
        <v/>
      </c>
      <c r="F4245" t="str">
        <f>IFERROR(INDEX(tbl_input[집계키_센터],ROW()-1),"")</f>
        <v/>
      </c>
      <c r="G4245" t="str">
        <f t="shared" si="466"/>
        <v/>
      </c>
      <c r="H4245" t="str">
        <f t="shared" si="467"/>
        <v/>
      </c>
      <c r="I4245" t="str">
        <f t="shared" si="468"/>
        <v/>
      </c>
    </row>
    <row r="4246" spans="1:9" x14ac:dyDescent="0.4">
      <c r="A4246" t="str">
        <f t="shared" si="462"/>
        <v/>
      </c>
      <c r="B4246" t="str">
        <f t="shared" si="463"/>
        <v/>
      </c>
      <c r="C4246" t="str">
        <f t="shared" si="464"/>
        <v/>
      </c>
      <c r="D4246" t="str">
        <f t="shared" si="465"/>
        <v/>
      </c>
      <c r="E4246" t="str">
        <f>IF(F4246="","",IF(COUNTIF($F$2:F4246,F4246)&gt;1,"",SUMIFS(tbl_input[필요수량],tbl_input[집계키_센터],F4246)))</f>
        <v/>
      </c>
      <c r="F4246" t="str">
        <f>IFERROR(INDEX(tbl_input[집계키_센터],ROW()-1),"")</f>
        <v/>
      </c>
      <c r="G4246" t="str">
        <f t="shared" si="466"/>
        <v/>
      </c>
      <c r="H4246" t="str">
        <f t="shared" si="467"/>
        <v/>
      </c>
      <c r="I4246" t="str">
        <f t="shared" si="468"/>
        <v/>
      </c>
    </row>
    <row r="4247" spans="1:9" x14ac:dyDescent="0.4">
      <c r="A4247" t="str">
        <f t="shared" si="462"/>
        <v/>
      </c>
      <c r="B4247" t="str">
        <f t="shared" si="463"/>
        <v/>
      </c>
      <c r="C4247" t="str">
        <f t="shared" si="464"/>
        <v/>
      </c>
      <c r="D4247" t="str">
        <f t="shared" si="465"/>
        <v/>
      </c>
      <c r="E4247" t="str">
        <f>IF(F4247="","",IF(COUNTIF($F$2:F4247,F4247)&gt;1,"",SUMIFS(tbl_input[필요수량],tbl_input[집계키_센터],F4247)))</f>
        <v/>
      </c>
      <c r="F4247" t="str">
        <f>IFERROR(INDEX(tbl_input[집계키_센터],ROW()-1),"")</f>
        <v/>
      </c>
      <c r="G4247" t="str">
        <f t="shared" si="466"/>
        <v/>
      </c>
      <c r="H4247" t="str">
        <f t="shared" si="467"/>
        <v/>
      </c>
      <c r="I4247" t="str">
        <f t="shared" si="468"/>
        <v/>
      </c>
    </row>
    <row r="4248" spans="1:9" x14ac:dyDescent="0.4">
      <c r="A4248" t="str">
        <f t="shared" si="462"/>
        <v/>
      </c>
      <c r="B4248" t="str">
        <f t="shared" si="463"/>
        <v/>
      </c>
      <c r="C4248" t="str">
        <f t="shared" si="464"/>
        <v/>
      </c>
      <c r="D4248" t="str">
        <f t="shared" si="465"/>
        <v/>
      </c>
      <c r="E4248" t="str">
        <f>IF(F4248="","",IF(COUNTIF($F$2:F4248,F4248)&gt;1,"",SUMIFS(tbl_input[필요수량],tbl_input[집계키_센터],F4248)))</f>
        <v/>
      </c>
      <c r="F4248" t="str">
        <f>IFERROR(INDEX(tbl_input[집계키_센터],ROW()-1),"")</f>
        <v/>
      </c>
      <c r="G4248" t="str">
        <f t="shared" si="466"/>
        <v/>
      </c>
      <c r="H4248" t="str">
        <f t="shared" si="467"/>
        <v/>
      </c>
      <c r="I4248" t="str">
        <f t="shared" si="468"/>
        <v/>
      </c>
    </row>
    <row r="4249" spans="1:9" x14ac:dyDescent="0.4">
      <c r="A4249" t="str">
        <f t="shared" si="462"/>
        <v/>
      </c>
      <c r="B4249" t="str">
        <f t="shared" si="463"/>
        <v/>
      </c>
      <c r="C4249" t="str">
        <f t="shared" si="464"/>
        <v/>
      </c>
      <c r="D4249" t="str">
        <f t="shared" si="465"/>
        <v/>
      </c>
      <c r="E4249" t="str">
        <f>IF(F4249="","",IF(COUNTIF($F$2:F4249,F4249)&gt;1,"",SUMIFS(tbl_input[필요수량],tbl_input[집계키_센터],F4249)))</f>
        <v/>
      </c>
      <c r="F4249" t="str">
        <f>IFERROR(INDEX(tbl_input[집계키_센터],ROW()-1),"")</f>
        <v/>
      </c>
      <c r="G4249" t="str">
        <f t="shared" si="466"/>
        <v/>
      </c>
      <c r="H4249" t="str">
        <f t="shared" si="467"/>
        <v/>
      </c>
      <c r="I4249" t="str">
        <f t="shared" si="468"/>
        <v/>
      </c>
    </row>
    <row r="4250" spans="1:9" x14ac:dyDescent="0.4">
      <c r="A4250" t="str">
        <f t="shared" si="462"/>
        <v/>
      </c>
      <c r="B4250" t="str">
        <f t="shared" si="463"/>
        <v/>
      </c>
      <c r="C4250" t="str">
        <f t="shared" si="464"/>
        <v/>
      </c>
      <c r="D4250" t="str">
        <f t="shared" si="465"/>
        <v/>
      </c>
      <c r="E4250" t="str">
        <f>IF(F4250="","",IF(COUNTIF($F$2:F4250,F4250)&gt;1,"",SUMIFS(tbl_input[필요수량],tbl_input[집계키_센터],F4250)))</f>
        <v/>
      </c>
      <c r="F4250" t="str">
        <f>IFERROR(INDEX(tbl_input[집계키_센터],ROW()-1),"")</f>
        <v/>
      </c>
      <c r="G4250" t="str">
        <f t="shared" si="466"/>
        <v/>
      </c>
      <c r="H4250" t="str">
        <f t="shared" si="467"/>
        <v/>
      </c>
      <c r="I4250" t="str">
        <f t="shared" si="468"/>
        <v/>
      </c>
    </row>
    <row r="4251" spans="1:9" x14ac:dyDescent="0.4">
      <c r="A4251" t="str">
        <f t="shared" si="462"/>
        <v/>
      </c>
      <c r="B4251" t="str">
        <f t="shared" si="463"/>
        <v/>
      </c>
      <c r="C4251" t="str">
        <f t="shared" si="464"/>
        <v/>
      </c>
      <c r="D4251" t="str">
        <f t="shared" si="465"/>
        <v/>
      </c>
      <c r="E4251" t="str">
        <f>IF(F4251="","",IF(COUNTIF($F$2:F4251,F4251)&gt;1,"",SUMIFS(tbl_input[필요수량],tbl_input[집계키_센터],F4251)))</f>
        <v/>
      </c>
      <c r="F4251" t="str">
        <f>IFERROR(INDEX(tbl_input[집계키_센터],ROW()-1),"")</f>
        <v/>
      </c>
      <c r="G4251" t="str">
        <f t="shared" si="466"/>
        <v/>
      </c>
      <c r="H4251" t="str">
        <f t="shared" si="467"/>
        <v/>
      </c>
      <c r="I4251" t="str">
        <f t="shared" si="468"/>
        <v/>
      </c>
    </row>
    <row r="4252" spans="1:9" x14ac:dyDescent="0.4">
      <c r="A4252" t="str">
        <f t="shared" si="462"/>
        <v/>
      </c>
      <c r="B4252" t="str">
        <f t="shared" si="463"/>
        <v/>
      </c>
      <c r="C4252" t="str">
        <f t="shared" si="464"/>
        <v/>
      </c>
      <c r="D4252" t="str">
        <f t="shared" si="465"/>
        <v/>
      </c>
      <c r="E4252" t="str">
        <f>IF(F4252="","",IF(COUNTIF($F$2:F4252,F4252)&gt;1,"",SUMIFS(tbl_input[필요수량],tbl_input[집계키_센터],F4252)))</f>
        <v/>
      </c>
      <c r="F4252" t="str">
        <f>IFERROR(INDEX(tbl_input[집계키_센터],ROW()-1),"")</f>
        <v/>
      </c>
      <c r="G4252" t="str">
        <f t="shared" si="466"/>
        <v/>
      </c>
      <c r="H4252" t="str">
        <f t="shared" si="467"/>
        <v/>
      </c>
      <c r="I4252" t="str">
        <f t="shared" si="468"/>
        <v/>
      </c>
    </row>
    <row r="4253" spans="1:9" x14ac:dyDescent="0.4">
      <c r="A4253" t="str">
        <f t="shared" si="462"/>
        <v/>
      </c>
      <c r="B4253" t="str">
        <f t="shared" si="463"/>
        <v/>
      </c>
      <c r="C4253" t="str">
        <f t="shared" si="464"/>
        <v/>
      </c>
      <c r="D4253" t="str">
        <f t="shared" si="465"/>
        <v/>
      </c>
      <c r="E4253" t="str">
        <f>IF(F4253="","",IF(COUNTIF($F$2:F4253,F4253)&gt;1,"",SUMIFS(tbl_input[필요수량],tbl_input[집계키_센터],F4253)))</f>
        <v/>
      </c>
      <c r="F4253" t="str">
        <f>IFERROR(INDEX(tbl_input[집계키_센터],ROW()-1),"")</f>
        <v/>
      </c>
      <c r="G4253" t="str">
        <f t="shared" si="466"/>
        <v/>
      </c>
      <c r="H4253" t="str">
        <f t="shared" si="467"/>
        <v/>
      </c>
      <c r="I4253" t="str">
        <f t="shared" si="468"/>
        <v/>
      </c>
    </row>
    <row r="4254" spans="1:9" x14ac:dyDescent="0.4">
      <c r="A4254" t="str">
        <f t="shared" si="462"/>
        <v/>
      </c>
      <c r="B4254" t="str">
        <f t="shared" si="463"/>
        <v/>
      </c>
      <c r="C4254" t="str">
        <f t="shared" si="464"/>
        <v/>
      </c>
      <c r="D4254" t="str">
        <f t="shared" si="465"/>
        <v/>
      </c>
      <c r="E4254" t="str">
        <f>IF(F4254="","",IF(COUNTIF($F$2:F4254,F4254)&gt;1,"",SUMIFS(tbl_input[필요수량],tbl_input[집계키_센터],F4254)))</f>
        <v/>
      </c>
      <c r="F4254" t="str">
        <f>IFERROR(INDEX(tbl_input[집계키_센터],ROW()-1),"")</f>
        <v/>
      </c>
      <c r="G4254" t="str">
        <f t="shared" si="466"/>
        <v/>
      </c>
      <c r="H4254" t="str">
        <f t="shared" si="467"/>
        <v/>
      </c>
      <c r="I4254" t="str">
        <f t="shared" si="468"/>
        <v/>
      </c>
    </row>
    <row r="4255" spans="1:9" x14ac:dyDescent="0.4">
      <c r="A4255" t="str">
        <f t="shared" si="462"/>
        <v/>
      </c>
      <c r="B4255" t="str">
        <f t="shared" si="463"/>
        <v/>
      </c>
      <c r="C4255" t="str">
        <f t="shared" si="464"/>
        <v/>
      </c>
      <c r="D4255" t="str">
        <f t="shared" si="465"/>
        <v/>
      </c>
      <c r="E4255" t="str">
        <f>IF(F4255="","",IF(COUNTIF($F$2:F4255,F4255)&gt;1,"",SUMIFS(tbl_input[필요수량],tbl_input[집계키_센터],F4255)))</f>
        <v/>
      </c>
      <c r="F4255" t="str">
        <f>IFERROR(INDEX(tbl_input[집계키_센터],ROW()-1),"")</f>
        <v/>
      </c>
      <c r="G4255" t="str">
        <f t="shared" si="466"/>
        <v/>
      </c>
      <c r="H4255" t="str">
        <f t="shared" si="467"/>
        <v/>
      </c>
      <c r="I4255" t="str">
        <f t="shared" si="468"/>
        <v/>
      </c>
    </row>
    <row r="4256" spans="1:9" x14ac:dyDescent="0.4">
      <c r="A4256" t="str">
        <f t="shared" si="462"/>
        <v/>
      </c>
      <c r="B4256" t="str">
        <f t="shared" si="463"/>
        <v/>
      </c>
      <c r="C4256" t="str">
        <f t="shared" si="464"/>
        <v/>
      </c>
      <c r="D4256" t="str">
        <f t="shared" si="465"/>
        <v/>
      </c>
      <c r="E4256" t="str">
        <f>IF(F4256="","",IF(COUNTIF($F$2:F4256,F4256)&gt;1,"",SUMIFS(tbl_input[필요수량],tbl_input[집계키_센터],F4256)))</f>
        <v/>
      </c>
      <c r="F4256" t="str">
        <f>IFERROR(INDEX(tbl_input[집계키_센터],ROW()-1),"")</f>
        <v/>
      </c>
      <c r="G4256" t="str">
        <f t="shared" si="466"/>
        <v/>
      </c>
      <c r="H4256" t="str">
        <f t="shared" si="467"/>
        <v/>
      </c>
      <c r="I4256" t="str">
        <f t="shared" si="468"/>
        <v/>
      </c>
    </row>
    <row r="4257" spans="1:9" x14ac:dyDescent="0.4">
      <c r="A4257" t="str">
        <f t="shared" si="462"/>
        <v/>
      </c>
      <c r="B4257" t="str">
        <f t="shared" si="463"/>
        <v/>
      </c>
      <c r="C4257" t="str">
        <f t="shared" si="464"/>
        <v/>
      </c>
      <c r="D4257" t="str">
        <f t="shared" si="465"/>
        <v/>
      </c>
      <c r="E4257" t="str">
        <f>IF(F4257="","",IF(COUNTIF($F$2:F4257,F4257)&gt;1,"",SUMIFS(tbl_input[필요수량],tbl_input[집계키_센터],F4257)))</f>
        <v/>
      </c>
      <c r="F4257" t="str">
        <f>IFERROR(INDEX(tbl_input[집계키_센터],ROW()-1),"")</f>
        <v/>
      </c>
      <c r="G4257" t="str">
        <f t="shared" si="466"/>
        <v/>
      </c>
      <c r="H4257" t="str">
        <f t="shared" si="467"/>
        <v/>
      </c>
      <c r="I4257" t="str">
        <f t="shared" si="468"/>
        <v/>
      </c>
    </row>
    <row r="4258" spans="1:9" x14ac:dyDescent="0.4">
      <c r="A4258" t="str">
        <f t="shared" si="462"/>
        <v/>
      </c>
      <c r="B4258" t="str">
        <f t="shared" si="463"/>
        <v/>
      </c>
      <c r="C4258" t="str">
        <f t="shared" si="464"/>
        <v/>
      </c>
      <c r="D4258" t="str">
        <f t="shared" si="465"/>
        <v/>
      </c>
      <c r="E4258" t="str">
        <f>IF(F4258="","",IF(COUNTIF($F$2:F4258,F4258)&gt;1,"",SUMIFS(tbl_input[필요수량],tbl_input[집계키_센터],F4258)))</f>
        <v/>
      </c>
      <c r="F4258" t="str">
        <f>IFERROR(INDEX(tbl_input[집계키_센터],ROW()-1),"")</f>
        <v/>
      </c>
      <c r="G4258" t="str">
        <f t="shared" si="466"/>
        <v/>
      </c>
      <c r="H4258" t="str">
        <f t="shared" si="467"/>
        <v/>
      </c>
      <c r="I4258" t="str">
        <f t="shared" si="468"/>
        <v/>
      </c>
    </row>
    <row r="4259" spans="1:9" x14ac:dyDescent="0.4">
      <c r="A4259" t="str">
        <f t="shared" si="462"/>
        <v/>
      </c>
      <c r="B4259" t="str">
        <f t="shared" si="463"/>
        <v/>
      </c>
      <c r="C4259" t="str">
        <f t="shared" si="464"/>
        <v/>
      </c>
      <c r="D4259" t="str">
        <f t="shared" si="465"/>
        <v/>
      </c>
      <c r="E4259" t="str">
        <f>IF(F4259="","",IF(COUNTIF($F$2:F4259,F4259)&gt;1,"",SUMIFS(tbl_input[필요수량],tbl_input[집계키_센터],F4259)))</f>
        <v/>
      </c>
      <c r="F4259" t="str">
        <f>IFERROR(INDEX(tbl_input[집계키_센터],ROW()-1),"")</f>
        <v/>
      </c>
      <c r="G4259" t="str">
        <f t="shared" si="466"/>
        <v/>
      </c>
      <c r="H4259" t="str">
        <f t="shared" si="467"/>
        <v/>
      </c>
      <c r="I4259" t="str">
        <f t="shared" si="468"/>
        <v/>
      </c>
    </row>
    <row r="4260" spans="1:9" x14ac:dyDescent="0.4">
      <c r="A4260" t="str">
        <f t="shared" si="462"/>
        <v/>
      </c>
      <c r="B4260" t="str">
        <f t="shared" si="463"/>
        <v/>
      </c>
      <c r="C4260" t="str">
        <f t="shared" si="464"/>
        <v/>
      </c>
      <c r="D4260" t="str">
        <f t="shared" si="465"/>
        <v/>
      </c>
      <c r="E4260" t="str">
        <f>IF(F4260="","",IF(COUNTIF($F$2:F4260,F4260)&gt;1,"",SUMIFS(tbl_input[필요수량],tbl_input[집계키_센터],F4260)))</f>
        <v/>
      </c>
      <c r="F4260" t="str">
        <f>IFERROR(INDEX(tbl_input[집계키_센터],ROW()-1),"")</f>
        <v/>
      </c>
      <c r="G4260" t="str">
        <f t="shared" si="466"/>
        <v/>
      </c>
      <c r="H4260" t="str">
        <f t="shared" si="467"/>
        <v/>
      </c>
      <c r="I4260" t="str">
        <f t="shared" si="468"/>
        <v/>
      </c>
    </row>
    <row r="4261" spans="1:9" x14ac:dyDescent="0.4">
      <c r="A4261" t="str">
        <f t="shared" si="462"/>
        <v/>
      </c>
      <c r="B4261" t="str">
        <f t="shared" si="463"/>
        <v/>
      </c>
      <c r="C4261" t="str">
        <f t="shared" si="464"/>
        <v/>
      </c>
      <c r="D4261" t="str">
        <f t="shared" si="465"/>
        <v/>
      </c>
      <c r="E4261" t="str">
        <f>IF(F4261="","",IF(COUNTIF($F$2:F4261,F4261)&gt;1,"",SUMIFS(tbl_input[필요수량],tbl_input[집계키_센터],F4261)))</f>
        <v/>
      </c>
      <c r="F4261" t="str">
        <f>IFERROR(INDEX(tbl_input[집계키_센터],ROW()-1),"")</f>
        <v/>
      </c>
      <c r="G4261" t="str">
        <f t="shared" si="466"/>
        <v/>
      </c>
      <c r="H4261" t="str">
        <f t="shared" si="467"/>
        <v/>
      </c>
      <c r="I4261" t="str">
        <f t="shared" si="468"/>
        <v/>
      </c>
    </row>
    <row r="4262" spans="1:9" x14ac:dyDescent="0.4">
      <c r="A4262" t="str">
        <f t="shared" si="462"/>
        <v/>
      </c>
      <c r="B4262" t="str">
        <f t="shared" si="463"/>
        <v/>
      </c>
      <c r="C4262" t="str">
        <f t="shared" si="464"/>
        <v/>
      </c>
      <c r="D4262" t="str">
        <f t="shared" si="465"/>
        <v/>
      </c>
      <c r="E4262" t="str">
        <f>IF(F4262="","",IF(COUNTIF($F$2:F4262,F4262)&gt;1,"",SUMIFS(tbl_input[필요수량],tbl_input[집계키_센터],F4262)))</f>
        <v/>
      </c>
      <c r="F4262" t="str">
        <f>IFERROR(INDEX(tbl_input[집계키_센터],ROW()-1),"")</f>
        <v/>
      </c>
      <c r="G4262" t="str">
        <f t="shared" si="466"/>
        <v/>
      </c>
      <c r="H4262" t="str">
        <f t="shared" si="467"/>
        <v/>
      </c>
      <c r="I4262" t="str">
        <f t="shared" si="468"/>
        <v/>
      </c>
    </row>
    <row r="4263" spans="1:9" x14ac:dyDescent="0.4">
      <c r="A4263" t="str">
        <f t="shared" si="462"/>
        <v/>
      </c>
      <c r="B4263" t="str">
        <f t="shared" si="463"/>
        <v/>
      </c>
      <c r="C4263" t="str">
        <f t="shared" si="464"/>
        <v/>
      </c>
      <c r="D4263" t="str">
        <f t="shared" si="465"/>
        <v/>
      </c>
      <c r="E4263" t="str">
        <f>IF(F4263="","",IF(COUNTIF($F$2:F4263,F4263)&gt;1,"",SUMIFS(tbl_input[필요수량],tbl_input[집계키_센터],F4263)))</f>
        <v/>
      </c>
      <c r="F4263" t="str">
        <f>IFERROR(INDEX(tbl_input[집계키_센터],ROW()-1),"")</f>
        <v/>
      </c>
      <c r="G4263" t="str">
        <f t="shared" si="466"/>
        <v/>
      </c>
      <c r="H4263" t="str">
        <f t="shared" si="467"/>
        <v/>
      </c>
      <c r="I4263" t="str">
        <f t="shared" si="468"/>
        <v/>
      </c>
    </row>
    <row r="4264" spans="1:9" x14ac:dyDescent="0.4">
      <c r="A4264" t="str">
        <f t="shared" si="462"/>
        <v/>
      </c>
      <c r="B4264" t="str">
        <f t="shared" si="463"/>
        <v/>
      </c>
      <c r="C4264" t="str">
        <f t="shared" si="464"/>
        <v/>
      </c>
      <c r="D4264" t="str">
        <f t="shared" si="465"/>
        <v/>
      </c>
      <c r="E4264" t="str">
        <f>IF(F4264="","",IF(COUNTIF($F$2:F4264,F4264)&gt;1,"",SUMIFS(tbl_input[필요수량],tbl_input[집계키_센터],F4264)))</f>
        <v/>
      </c>
      <c r="F4264" t="str">
        <f>IFERROR(INDEX(tbl_input[집계키_센터],ROW()-1),"")</f>
        <v/>
      </c>
      <c r="G4264" t="str">
        <f t="shared" si="466"/>
        <v/>
      </c>
      <c r="H4264" t="str">
        <f t="shared" si="467"/>
        <v/>
      </c>
      <c r="I4264" t="str">
        <f t="shared" si="468"/>
        <v/>
      </c>
    </row>
    <row r="4265" spans="1:9" x14ac:dyDescent="0.4">
      <c r="A4265" t="str">
        <f t="shared" si="462"/>
        <v/>
      </c>
      <c r="B4265" t="str">
        <f t="shared" si="463"/>
        <v/>
      </c>
      <c r="C4265" t="str">
        <f t="shared" si="464"/>
        <v/>
      </c>
      <c r="D4265" t="str">
        <f t="shared" si="465"/>
        <v/>
      </c>
      <c r="E4265" t="str">
        <f>IF(F4265="","",IF(COUNTIF($F$2:F4265,F4265)&gt;1,"",SUMIFS(tbl_input[필요수량],tbl_input[집계키_센터],F4265)))</f>
        <v/>
      </c>
      <c r="F4265" t="str">
        <f>IFERROR(INDEX(tbl_input[집계키_센터],ROW()-1),"")</f>
        <v/>
      </c>
      <c r="G4265" t="str">
        <f t="shared" si="466"/>
        <v/>
      </c>
      <c r="H4265" t="str">
        <f t="shared" si="467"/>
        <v/>
      </c>
      <c r="I4265" t="str">
        <f t="shared" si="468"/>
        <v/>
      </c>
    </row>
    <row r="4266" spans="1:9" x14ac:dyDescent="0.4">
      <c r="A4266" t="str">
        <f t="shared" si="462"/>
        <v/>
      </c>
      <c r="B4266" t="str">
        <f t="shared" si="463"/>
        <v/>
      </c>
      <c r="C4266" t="str">
        <f t="shared" si="464"/>
        <v/>
      </c>
      <c r="D4266" t="str">
        <f t="shared" si="465"/>
        <v/>
      </c>
      <c r="E4266" t="str">
        <f>IF(F4266="","",IF(COUNTIF($F$2:F4266,F4266)&gt;1,"",SUMIFS(tbl_input[필요수량],tbl_input[집계키_센터],F4266)))</f>
        <v/>
      </c>
      <c r="F4266" t="str">
        <f>IFERROR(INDEX(tbl_input[집계키_센터],ROW()-1),"")</f>
        <v/>
      </c>
      <c r="G4266" t="str">
        <f t="shared" si="466"/>
        <v/>
      </c>
      <c r="H4266" t="str">
        <f t="shared" si="467"/>
        <v/>
      </c>
      <c r="I4266" t="str">
        <f t="shared" si="468"/>
        <v/>
      </c>
    </row>
    <row r="4267" spans="1:9" x14ac:dyDescent="0.4">
      <c r="A4267" t="str">
        <f t="shared" si="462"/>
        <v/>
      </c>
      <c r="B4267" t="str">
        <f t="shared" si="463"/>
        <v/>
      </c>
      <c r="C4267" t="str">
        <f t="shared" si="464"/>
        <v/>
      </c>
      <c r="D4267" t="str">
        <f t="shared" si="465"/>
        <v/>
      </c>
      <c r="E4267" t="str">
        <f>IF(F4267="","",IF(COUNTIF($F$2:F4267,F4267)&gt;1,"",SUMIFS(tbl_input[필요수량],tbl_input[집계키_센터],F4267)))</f>
        <v/>
      </c>
      <c r="F4267" t="str">
        <f>IFERROR(INDEX(tbl_input[집계키_센터],ROW()-1),"")</f>
        <v/>
      </c>
      <c r="G4267" t="str">
        <f t="shared" si="466"/>
        <v/>
      </c>
      <c r="H4267" t="str">
        <f t="shared" si="467"/>
        <v/>
      </c>
      <c r="I4267" t="str">
        <f t="shared" si="468"/>
        <v/>
      </c>
    </row>
    <row r="4268" spans="1:9" x14ac:dyDescent="0.4">
      <c r="A4268" t="str">
        <f t="shared" si="462"/>
        <v/>
      </c>
      <c r="B4268" t="str">
        <f t="shared" si="463"/>
        <v/>
      </c>
      <c r="C4268" t="str">
        <f t="shared" si="464"/>
        <v/>
      </c>
      <c r="D4268" t="str">
        <f t="shared" si="465"/>
        <v/>
      </c>
      <c r="E4268" t="str">
        <f>IF(F4268="","",IF(COUNTIF($F$2:F4268,F4268)&gt;1,"",SUMIFS(tbl_input[필요수량],tbl_input[집계키_센터],F4268)))</f>
        <v/>
      </c>
      <c r="F4268" t="str">
        <f>IFERROR(INDEX(tbl_input[집계키_센터],ROW()-1),"")</f>
        <v/>
      </c>
      <c r="G4268" t="str">
        <f t="shared" si="466"/>
        <v/>
      </c>
      <c r="H4268" t="str">
        <f t="shared" si="467"/>
        <v/>
      </c>
      <c r="I4268" t="str">
        <f t="shared" si="468"/>
        <v/>
      </c>
    </row>
    <row r="4269" spans="1:9" x14ac:dyDescent="0.4">
      <c r="A4269" t="str">
        <f t="shared" si="462"/>
        <v/>
      </c>
      <c r="B4269" t="str">
        <f t="shared" si="463"/>
        <v/>
      </c>
      <c r="C4269" t="str">
        <f t="shared" si="464"/>
        <v/>
      </c>
      <c r="D4269" t="str">
        <f t="shared" si="465"/>
        <v/>
      </c>
      <c r="E4269" t="str">
        <f>IF(F4269="","",IF(COUNTIF($F$2:F4269,F4269)&gt;1,"",SUMIFS(tbl_input[필요수량],tbl_input[집계키_센터],F4269)))</f>
        <v/>
      </c>
      <c r="F4269" t="str">
        <f>IFERROR(INDEX(tbl_input[집계키_센터],ROW()-1),"")</f>
        <v/>
      </c>
      <c r="G4269" t="str">
        <f t="shared" si="466"/>
        <v/>
      </c>
      <c r="H4269" t="str">
        <f t="shared" si="467"/>
        <v/>
      </c>
      <c r="I4269" t="str">
        <f t="shared" si="468"/>
        <v/>
      </c>
    </row>
    <row r="4270" spans="1:9" x14ac:dyDescent="0.4">
      <c r="A4270" t="str">
        <f t="shared" si="462"/>
        <v/>
      </c>
      <c r="B4270" t="str">
        <f t="shared" si="463"/>
        <v/>
      </c>
      <c r="C4270" t="str">
        <f t="shared" si="464"/>
        <v/>
      </c>
      <c r="D4270" t="str">
        <f t="shared" si="465"/>
        <v/>
      </c>
      <c r="E4270" t="str">
        <f>IF(F4270="","",IF(COUNTIF($F$2:F4270,F4270)&gt;1,"",SUMIFS(tbl_input[필요수량],tbl_input[집계키_센터],F4270)))</f>
        <v/>
      </c>
      <c r="F4270" t="str">
        <f>IFERROR(INDEX(tbl_input[집계키_센터],ROW()-1),"")</f>
        <v/>
      </c>
      <c r="G4270" t="str">
        <f t="shared" si="466"/>
        <v/>
      </c>
      <c r="H4270" t="str">
        <f t="shared" si="467"/>
        <v/>
      </c>
      <c r="I4270" t="str">
        <f t="shared" si="468"/>
        <v/>
      </c>
    </row>
    <row r="4271" spans="1:9" x14ac:dyDescent="0.4">
      <c r="A4271" t="str">
        <f t="shared" si="462"/>
        <v/>
      </c>
      <c r="B4271" t="str">
        <f t="shared" si="463"/>
        <v/>
      </c>
      <c r="C4271" t="str">
        <f t="shared" si="464"/>
        <v/>
      </c>
      <c r="D4271" t="str">
        <f t="shared" si="465"/>
        <v/>
      </c>
      <c r="E4271" t="str">
        <f>IF(F4271="","",IF(COUNTIF($F$2:F4271,F4271)&gt;1,"",SUMIFS(tbl_input[필요수량],tbl_input[집계키_센터],F4271)))</f>
        <v/>
      </c>
      <c r="F4271" t="str">
        <f>IFERROR(INDEX(tbl_input[집계키_센터],ROW()-1),"")</f>
        <v/>
      </c>
      <c r="G4271" t="str">
        <f t="shared" si="466"/>
        <v/>
      </c>
      <c r="H4271" t="str">
        <f t="shared" si="467"/>
        <v/>
      </c>
      <c r="I4271" t="str">
        <f t="shared" si="468"/>
        <v/>
      </c>
    </row>
    <row r="4272" spans="1:9" x14ac:dyDescent="0.4">
      <c r="A4272" t="str">
        <f t="shared" si="462"/>
        <v/>
      </c>
      <c r="B4272" t="str">
        <f t="shared" si="463"/>
        <v/>
      </c>
      <c r="C4272" t="str">
        <f t="shared" si="464"/>
        <v/>
      </c>
      <c r="D4272" t="str">
        <f t="shared" si="465"/>
        <v/>
      </c>
      <c r="E4272" t="str">
        <f>IF(F4272="","",IF(COUNTIF($F$2:F4272,F4272)&gt;1,"",SUMIFS(tbl_input[필요수량],tbl_input[집계키_센터],F4272)))</f>
        <v/>
      </c>
      <c r="F4272" t="str">
        <f>IFERROR(INDEX(tbl_input[집계키_센터],ROW()-1),"")</f>
        <v/>
      </c>
      <c r="G4272" t="str">
        <f t="shared" si="466"/>
        <v/>
      </c>
      <c r="H4272" t="str">
        <f t="shared" si="467"/>
        <v/>
      </c>
      <c r="I4272" t="str">
        <f t="shared" si="468"/>
        <v/>
      </c>
    </row>
    <row r="4273" spans="1:9" x14ac:dyDescent="0.4">
      <c r="A4273" t="str">
        <f t="shared" si="462"/>
        <v/>
      </c>
      <c r="B4273" t="str">
        <f t="shared" si="463"/>
        <v/>
      </c>
      <c r="C4273" t="str">
        <f t="shared" si="464"/>
        <v/>
      </c>
      <c r="D4273" t="str">
        <f t="shared" si="465"/>
        <v/>
      </c>
      <c r="E4273" t="str">
        <f>IF(F4273="","",IF(COUNTIF($F$2:F4273,F4273)&gt;1,"",SUMIFS(tbl_input[필요수량],tbl_input[집계키_센터],F4273)))</f>
        <v/>
      </c>
      <c r="F4273" t="str">
        <f>IFERROR(INDEX(tbl_input[집계키_센터],ROW()-1),"")</f>
        <v/>
      </c>
      <c r="G4273" t="str">
        <f t="shared" si="466"/>
        <v/>
      </c>
      <c r="H4273" t="str">
        <f t="shared" si="467"/>
        <v/>
      </c>
      <c r="I4273" t="str">
        <f t="shared" si="468"/>
        <v/>
      </c>
    </row>
    <row r="4274" spans="1:9" x14ac:dyDescent="0.4">
      <c r="A4274" t="str">
        <f t="shared" si="462"/>
        <v/>
      </c>
      <c r="B4274" t="str">
        <f t="shared" si="463"/>
        <v/>
      </c>
      <c r="C4274" t="str">
        <f t="shared" si="464"/>
        <v/>
      </c>
      <c r="D4274" t="str">
        <f t="shared" si="465"/>
        <v/>
      </c>
      <c r="E4274" t="str">
        <f>IF(F4274="","",IF(COUNTIF($F$2:F4274,F4274)&gt;1,"",SUMIFS(tbl_input[필요수량],tbl_input[집계키_센터],F4274)))</f>
        <v/>
      </c>
      <c r="F4274" t="str">
        <f>IFERROR(INDEX(tbl_input[집계키_센터],ROW()-1),"")</f>
        <v/>
      </c>
      <c r="G4274" t="str">
        <f t="shared" si="466"/>
        <v/>
      </c>
      <c r="H4274" t="str">
        <f t="shared" si="467"/>
        <v/>
      </c>
      <c r="I4274" t="str">
        <f t="shared" si="468"/>
        <v/>
      </c>
    </row>
    <row r="4275" spans="1:9" x14ac:dyDescent="0.4">
      <c r="A4275" t="str">
        <f t="shared" si="462"/>
        <v/>
      </c>
      <c r="B4275" t="str">
        <f t="shared" si="463"/>
        <v/>
      </c>
      <c r="C4275" t="str">
        <f t="shared" si="464"/>
        <v/>
      </c>
      <c r="D4275" t="str">
        <f t="shared" si="465"/>
        <v/>
      </c>
      <c r="E4275" t="str">
        <f>IF(F4275="","",IF(COUNTIF($F$2:F4275,F4275)&gt;1,"",SUMIFS(tbl_input[필요수량],tbl_input[집계키_센터],F4275)))</f>
        <v/>
      </c>
      <c r="F4275" t="str">
        <f>IFERROR(INDEX(tbl_input[집계키_센터],ROW()-1),"")</f>
        <v/>
      </c>
      <c r="G4275" t="str">
        <f t="shared" si="466"/>
        <v/>
      </c>
      <c r="H4275" t="str">
        <f t="shared" si="467"/>
        <v/>
      </c>
      <c r="I4275" t="str">
        <f t="shared" si="468"/>
        <v/>
      </c>
    </row>
    <row r="4276" spans="1:9" x14ac:dyDescent="0.4">
      <c r="A4276" t="str">
        <f t="shared" si="462"/>
        <v/>
      </c>
      <c r="B4276" t="str">
        <f t="shared" si="463"/>
        <v/>
      </c>
      <c r="C4276" t="str">
        <f t="shared" si="464"/>
        <v/>
      </c>
      <c r="D4276" t="str">
        <f t="shared" si="465"/>
        <v/>
      </c>
      <c r="E4276" t="str">
        <f>IF(F4276="","",IF(COUNTIF($F$2:F4276,F4276)&gt;1,"",SUMIFS(tbl_input[필요수량],tbl_input[집계키_센터],F4276)))</f>
        <v/>
      </c>
      <c r="F4276" t="str">
        <f>IFERROR(INDEX(tbl_input[집계키_센터],ROW()-1),"")</f>
        <v/>
      </c>
      <c r="G4276" t="str">
        <f t="shared" si="466"/>
        <v/>
      </c>
      <c r="H4276" t="str">
        <f t="shared" si="467"/>
        <v/>
      </c>
      <c r="I4276" t="str">
        <f t="shared" si="468"/>
        <v/>
      </c>
    </row>
    <row r="4277" spans="1:9" x14ac:dyDescent="0.4">
      <c r="A4277" t="str">
        <f t="shared" si="462"/>
        <v/>
      </c>
      <c r="B4277" t="str">
        <f t="shared" si="463"/>
        <v/>
      </c>
      <c r="C4277" t="str">
        <f t="shared" si="464"/>
        <v/>
      </c>
      <c r="D4277" t="str">
        <f t="shared" si="465"/>
        <v/>
      </c>
      <c r="E4277" t="str">
        <f>IF(F4277="","",IF(COUNTIF($F$2:F4277,F4277)&gt;1,"",SUMIFS(tbl_input[필요수량],tbl_input[집계키_센터],F4277)))</f>
        <v/>
      </c>
      <c r="F4277" t="str">
        <f>IFERROR(INDEX(tbl_input[집계키_센터],ROW()-1),"")</f>
        <v/>
      </c>
      <c r="G4277" t="str">
        <f t="shared" si="466"/>
        <v/>
      </c>
      <c r="H4277" t="str">
        <f t="shared" si="467"/>
        <v/>
      </c>
      <c r="I4277" t="str">
        <f t="shared" si="468"/>
        <v/>
      </c>
    </row>
    <row r="4278" spans="1:9" x14ac:dyDescent="0.4">
      <c r="A4278" t="str">
        <f t="shared" si="462"/>
        <v/>
      </c>
      <c r="B4278" t="str">
        <f t="shared" si="463"/>
        <v/>
      </c>
      <c r="C4278" t="str">
        <f t="shared" si="464"/>
        <v/>
      </c>
      <c r="D4278" t="str">
        <f t="shared" si="465"/>
        <v/>
      </c>
      <c r="E4278" t="str">
        <f>IF(F4278="","",IF(COUNTIF($F$2:F4278,F4278)&gt;1,"",SUMIFS(tbl_input[필요수량],tbl_input[집계키_센터],F4278)))</f>
        <v/>
      </c>
      <c r="F4278" t="str">
        <f>IFERROR(INDEX(tbl_input[집계키_센터],ROW()-1),"")</f>
        <v/>
      </c>
      <c r="G4278" t="str">
        <f t="shared" si="466"/>
        <v/>
      </c>
      <c r="H4278" t="str">
        <f t="shared" si="467"/>
        <v/>
      </c>
      <c r="I4278" t="str">
        <f t="shared" si="468"/>
        <v/>
      </c>
    </row>
    <row r="4279" spans="1:9" x14ac:dyDescent="0.4">
      <c r="A4279" t="str">
        <f t="shared" si="462"/>
        <v/>
      </c>
      <c r="B4279" t="str">
        <f t="shared" si="463"/>
        <v/>
      </c>
      <c r="C4279" t="str">
        <f t="shared" si="464"/>
        <v/>
      </c>
      <c r="D4279" t="str">
        <f t="shared" si="465"/>
        <v/>
      </c>
      <c r="E4279" t="str">
        <f>IF(F4279="","",IF(COUNTIF($F$2:F4279,F4279)&gt;1,"",SUMIFS(tbl_input[필요수량],tbl_input[집계키_센터],F4279)))</f>
        <v/>
      </c>
      <c r="F4279" t="str">
        <f>IFERROR(INDEX(tbl_input[집계키_센터],ROW()-1),"")</f>
        <v/>
      </c>
      <c r="G4279" t="str">
        <f t="shared" si="466"/>
        <v/>
      </c>
      <c r="H4279" t="str">
        <f t="shared" si="467"/>
        <v/>
      </c>
      <c r="I4279" t="str">
        <f t="shared" si="468"/>
        <v/>
      </c>
    </row>
    <row r="4280" spans="1:9" x14ac:dyDescent="0.4">
      <c r="A4280" t="str">
        <f t="shared" si="462"/>
        <v/>
      </c>
      <c r="B4280" t="str">
        <f t="shared" si="463"/>
        <v/>
      </c>
      <c r="C4280" t="str">
        <f t="shared" si="464"/>
        <v/>
      </c>
      <c r="D4280" t="str">
        <f t="shared" si="465"/>
        <v/>
      </c>
      <c r="E4280" t="str">
        <f>IF(F4280="","",IF(COUNTIF($F$2:F4280,F4280)&gt;1,"",SUMIFS(tbl_input[필요수량],tbl_input[집계키_센터],F4280)))</f>
        <v/>
      </c>
      <c r="F4280" t="str">
        <f>IFERROR(INDEX(tbl_input[집계키_센터],ROW()-1),"")</f>
        <v/>
      </c>
      <c r="G4280" t="str">
        <f t="shared" si="466"/>
        <v/>
      </c>
      <c r="H4280" t="str">
        <f t="shared" si="467"/>
        <v/>
      </c>
      <c r="I4280" t="str">
        <f t="shared" si="468"/>
        <v/>
      </c>
    </row>
    <row r="4281" spans="1:9" x14ac:dyDescent="0.4">
      <c r="A4281" t="str">
        <f t="shared" si="462"/>
        <v/>
      </c>
      <c r="B4281" t="str">
        <f t="shared" si="463"/>
        <v/>
      </c>
      <c r="C4281" t="str">
        <f t="shared" si="464"/>
        <v/>
      </c>
      <c r="D4281" t="str">
        <f t="shared" si="465"/>
        <v/>
      </c>
      <c r="E4281" t="str">
        <f>IF(F4281="","",IF(COUNTIF($F$2:F4281,F4281)&gt;1,"",SUMIFS(tbl_input[필요수량],tbl_input[집계키_센터],F4281)))</f>
        <v/>
      </c>
      <c r="F4281" t="str">
        <f>IFERROR(INDEX(tbl_input[집계키_센터],ROW()-1),"")</f>
        <v/>
      </c>
      <c r="G4281" t="str">
        <f t="shared" si="466"/>
        <v/>
      </c>
      <c r="H4281" t="str">
        <f t="shared" si="467"/>
        <v/>
      </c>
      <c r="I4281" t="str">
        <f t="shared" si="468"/>
        <v/>
      </c>
    </row>
    <row r="4282" spans="1:9" x14ac:dyDescent="0.4">
      <c r="A4282" t="str">
        <f t="shared" si="462"/>
        <v/>
      </c>
      <c r="B4282" t="str">
        <f t="shared" si="463"/>
        <v/>
      </c>
      <c r="C4282" t="str">
        <f t="shared" si="464"/>
        <v/>
      </c>
      <c r="D4282" t="str">
        <f t="shared" si="465"/>
        <v/>
      </c>
      <c r="E4282" t="str">
        <f>IF(F4282="","",IF(COUNTIF($F$2:F4282,F4282)&gt;1,"",SUMIFS(tbl_input[필요수량],tbl_input[집계키_센터],F4282)))</f>
        <v/>
      </c>
      <c r="F4282" t="str">
        <f>IFERROR(INDEX(tbl_input[집계키_센터],ROW()-1),"")</f>
        <v/>
      </c>
      <c r="G4282" t="str">
        <f t="shared" si="466"/>
        <v/>
      </c>
      <c r="H4282" t="str">
        <f t="shared" si="467"/>
        <v/>
      </c>
      <c r="I4282" t="str">
        <f t="shared" si="468"/>
        <v/>
      </c>
    </row>
    <row r="4283" spans="1:9" x14ac:dyDescent="0.4">
      <c r="A4283" t="str">
        <f t="shared" si="462"/>
        <v/>
      </c>
      <c r="B4283" t="str">
        <f t="shared" si="463"/>
        <v/>
      </c>
      <c r="C4283" t="str">
        <f t="shared" si="464"/>
        <v/>
      </c>
      <c r="D4283" t="str">
        <f t="shared" si="465"/>
        <v/>
      </c>
      <c r="E4283" t="str">
        <f>IF(F4283="","",IF(COUNTIF($F$2:F4283,F4283)&gt;1,"",SUMIFS(tbl_input[필요수량],tbl_input[집계키_센터],F4283)))</f>
        <v/>
      </c>
      <c r="F4283" t="str">
        <f>IFERROR(INDEX(tbl_input[집계키_센터],ROW()-1),"")</f>
        <v/>
      </c>
      <c r="G4283" t="str">
        <f t="shared" si="466"/>
        <v/>
      </c>
      <c r="H4283" t="str">
        <f t="shared" si="467"/>
        <v/>
      </c>
      <c r="I4283" t="str">
        <f t="shared" si="468"/>
        <v/>
      </c>
    </row>
    <row r="4284" spans="1:9" x14ac:dyDescent="0.4">
      <c r="A4284" t="str">
        <f t="shared" si="462"/>
        <v/>
      </c>
      <c r="B4284" t="str">
        <f t="shared" si="463"/>
        <v/>
      </c>
      <c r="C4284" t="str">
        <f t="shared" si="464"/>
        <v/>
      </c>
      <c r="D4284" t="str">
        <f t="shared" si="465"/>
        <v/>
      </c>
      <c r="E4284" t="str">
        <f>IF(F4284="","",IF(COUNTIF($F$2:F4284,F4284)&gt;1,"",SUMIFS(tbl_input[필요수량],tbl_input[집계키_센터],F4284)))</f>
        <v/>
      </c>
      <c r="F4284" t="str">
        <f>IFERROR(INDEX(tbl_input[집계키_센터],ROW()-1),"")</f>
        <v/>
      </c>
      <c r="G4284" t="str">
        <f t="shared" si="466"/>
        <v/>
      </c>
      <c r="H4284" t="str">
        <f t="shared" si="467"/>
        <v/>
      </c>
      <c r="I4284" t="str">
        <f t="shared" si="468"/>
        <v/>
      </c>
    </row>
    <row r="4285" spans="1:9" x14ac:dyDescent="0.4">
      <c r="A4285" t="str">
        <f t="shared" si="462"/>
        <v/>
      </c>
      <c r="B4285" t="str">
        <f t="shared" si="463"/>
        <v/>
      </c>
      <c r="C4285" t="str">
        <f t="shared" si="464"/>
        <v/>
      </c>
      <c r="D4285" t="str">
        <f t="shared" si="465"/>
        <v/>
      </c>
      <c r="E4285" t="str">
        <f>IF(F4285="","",IF(COUNTIF($F$2:F4285,F4285)&gt;1,"",SUMIFS(tbl_input[필요수량],tbl_input[집계키_센터],F4285)))</f>
        <v/>
      </c>
      <c r="F4285" t="str">
        <f>IFERROR(INDEX(tbl_input[집계키_센터],ROW()-1),"")</f>
        <v/>
      </c>
      <c r="G4285" t="str">
        <f t="shared" si="466"/>
        <v/>
      </c>
      <c r="H4285" t="str">
        <f t="shared" si="467"/>
        <v/>
      </c>
      <c r="I4285" t="str">
        <f t="shared" si="468"/>
        <v/>
      </c>
    </row>
    <row r="4286" spans="1:9" x14ac:dyDescent="0.4">
      <c r="A4286" t="str">
        <f t="shared" si="462"/>
        <v/>
      </c>
      <c r="B4286" t="str">
        <f t="shared" si="463"/>
        <v/>
      </c>
      <c r="C4286" t="str">
        <f t="shared" si="464"/>
        <v/>
      </c>
      <c r="D4286" t="str">
        <f t="shared" si="465"/>
        <v/>
      </c>
      <c r="E4286" t="str">
        <f>IF(F4286="","",IF(COUNTIF($F$2:F4286,F4286)&gt;1,"",SUMIFS(tbl_input[필요수량],tbl_input[집계키_센터],F4286)))</f>
        <v/>
      </c>
      <c r="F4286" t="str">
        <f>IFERROR(INDEX(tbl_input[집계키_센터],ROW()-1),"")</f>
        <v/>
      </c>
      <c r="G4286" t="str">
        <f t="shared" si="466"/>
        <v/>
      </c>
      <c r="H4286" t="str">
        <f t="shared" si="467"/>
        <v/>
      </c>
      <c r="I4286" t="str">
        <f t="shared" si="468"/>
        <v/>
      </c>
    </row>
    <row r="4287" spans="1:9" x14ac:dyDescent="0.4">
      <c r="A4287" t="str">
        <f t="shared" si="462"/>
        <v/>
      </c>
      <c r="B4287" t="str">
        <f t="shared" si="463"/>
        <v/>
      </c>
      <c r="C4287" t="str">
        <f t="shared" si="464"/>
        <v/>
      </c>
      <c r="D4287" t="str">
        <f t="shared" si="465"/>
        <v/>
      </c>
      <c r="E4287" t="str">
        <f>IF(F4287="","",IF(COUNTIF($F$2:F4287,F4287)&gt;1,"",SUMIFS(tbl_input[필요수량],tbl_input[집계키_센터],F4287)))</f>
        <v/>
      </c>
      <c r="F4287" t="str">
        <f>IFERROR(INDEX(tbl_input[집계키_센터],ROW()-1),"")</f>
        <v/>
      </c>
      <c r="G4287" t="str">
        <f t="shared" si="466"/>
        <v/>
      </c>
      <c r="H4287" t="str">
        <f t="shared" si="467"/>
        <v/>
      </c>
      <c r="I4287" t="str">
        <f t="shared" si="468"/>
        <v/>
      </c>
    </row>
    <row r="4288" spans="1:9" x14ac:dyDescent="0.4">
      <c r="A4288" t="str">
        <f t="shared" si="462"/>
        <v/>
      </c>
      <c r="B4288" t="str">
        <f t="shared" si="463"/>
        <v/>
      </c>
      <c r="C4288" t="str">
        <f t="shared" si="464"/>
        <v/>
      </c>
      <c r="D4288" t="str">
        <f t="shared" si="465"/>
        <v/>
      </c>
      <c r="E4288" t="str">
        <f>IF(F4288="","",IF(COUNTIF($F$2:F4288,F4288)&gt;1,"",SUMIFS(tbl_input[필요수량],tbl_input[집계키_센터],F4288)))</f>
        <v/>
      </c>
      <c r="F4288" t="str">
        <f>IFERROR(INDEX(tbl_input[집계키_센터],ROW()-1),"")</f>
        <v/>
      </c>
      <c r="G4288" t="str">
        <f t="shared" si="466"/>
        <v/>
      </c>
      <c r="H4288" t="str">
        <f t="shared" si="467"/>
        <v/>
      </c>
      <c r="I4288" t="str">
        <f t="shared" si="468"/>
        <v/>
      </c>
    </row>
    <row r="4289" spans="1:9" x14ac:dyDescent="0.4">
      <c r="A4289" t="str">
        <f t="shared" si="462"/>
        <v/>
      </c>
      <c r="B4289" t="str">
        <f t="shared" si="463"/>
        <v/>
      </c>
      <c r="C4289" t="str">
        <f t="shared" si="464"/>
        <v/>
      </c>
      <c r="D4289" t="str">
        <f t="shared" si="465"/>
        <v/>
      </c>
      <c r="E4289" t="str">
        <f>IF(F4289="","",IF(COUNTIF($F$2:F4289,F4289)&gt;1,"",SUMIFS(tbl_input[필요수량],tbl_input[집계키_센터],F4289)))</f>
        <v/>
      </c>
      <c r="F4289" t="str">
        <f>IFERROR(INDEX(tbl_input[집계키_센터],ROW()-1),"")</f>
        <v/>
      </c>
      <c r="G4289" t="str">
        <f t="shared" si="466"/>
        <v/>
      </c>
      <c r="H4289" t="str">
        <f t="shared" si="467"/>
        <v/>
      </c>
      <c r="I4289" t="str">
        <f t="shared" si="468"/>
        <v/>
      </c>
    </row>
    <row r="4290" spans="1:9" x14ac:dyDescent="0.4">
      <c r="A4290" t="str">
        <f t="shared" ref="A4290:A4353" si="469">IF(F4290="","",LEFT(F4290,G4290-1))</f>
        <v/>
      </c>
      <c r="B4290" t="str">
        <f t="shared" ref="B4290:B4353" si="470">IF(F4290="","",MID(F4290,G4290+1,H4290-G4290-1))</f>
        <v/>
      </c>
      <c r="C4290" t="str">
        <f t="shared" ref="C4290:C4353" si="471">IF(F4290="","",MID(F4290,H4290+1,I4290-H4290-1))</f>
        <v/>
      </c>
      <c r="D4290" t="str">
        <f t="shared" ref="D4290:D4353" si="472">IF(F4290="","",MID(F4290,I4290+1,999))</f>
        <v/>
      </c>
      <c r="E4290" t="str">
        <f>IF(F4290="","",IF(COUNTIF($F$2:F4290,F4290)&gt;1,"",SUMIFS(tbl_input[필요수량],tbl_input[집계키_센터],F4290)))</f>
        <v/>
      </c>
      <c r="F4290" t="str">
        <f>IFERROR(INDEX(tbl_input[집계키_센터],ROW()-1),"")</f>
        <v/>
      </c>
      <c r="G4290" t="str">
        <f t="shared" ref="G4290:G4353" si="473">IF(F4290="","",FIND("♦",F4290))</f>
        <v/>
      </c>
      <c r="H4290" t="str">
        <f t="shared" ref="H4290:H4353" si="474">IF(F4290="","",FIND("♦",F4290,G4290+1))</f>
        <v/>
      </c>
      <c r="I4290" t="str">
        <f t="shared" ref="I4290:I4353" si="475">IF(F4290="","",FIND("♦",F4290,H4290+1))</f>
        <v/>
      </c>
    </row>
    <row r="4291" spans="1:9" x14ac:dyDescent="0.4">
      <c r="A4291" t="str">
        <f t="shared" si="469"/>
        <v/>
      </c>
      <c r="B4291" t="str">
        <f t="shared" si="470"/>
        <v/>
      </c>
      <c r="C4291" t="str">
        <f t="shared" si="471"/>
        <v/>
      </c>
      <c r="D4291" t="str">
        <f t="shared" si="472"/>
        <v/>
      </c>
      <c r="E4291" t="str">
        <f>IF(F4291="","",IF(COUNTIF($F$2:F4291,F4291)&gt;1,"",SUMIFS(tbl_input[필요수량],tbl_input[집계키_센터],F4291)))</f>
        <v/>
      </c>
      <c r="F4291" t="str">
        <f>IFERROR(INDEX(tbl_input[집계키_센터],ROW()-1),"")</f>
        <v/>
      </c>
      <c r="G4291" t="str">
        <f t="shared" si="473"/>
        <v/>
      </c>
      <c r="H4291" t="str">
        <f t="shared" si="474"/>
        <v/>
      </c>
      <c r="I4291" t="str">
        <f t="shared" si="475"/>
        <v/>
      </c>
    </row>
    <row r="4292" spans="1:9" x14ac:dyDescent="0.4">
      <c r="A4292" t="str">
        <f t="shared" si="469"/>
        <v/>
      </c>
      <c r="B4292" t="str">
        <f t="shared" si="470"/>
        <v/>
      </c>
      <c r="C4292" t="str">
        <f t="shared" si="471"/>
        <v/>
      </c>
      <c r="D4292" t="str">
        <f t="shared" si="472"/>
        <v/>
      </c>
      <c r="E4292" t="str">
        <f>IF(F4292="","",IF(COUNTIF($F$2:F4292,F4292)&gt;1,"",SUMIFS(tbl_input[필요수량],tbl_input[집계키_센터],F4292)))</f>
        <v/>
      </c>
      <c r="F4292" t="str">
        <f>IFERROR(INDEX(tbl_input[집계키_센터],ROW()-1),"")</f>
        <v/>
      </c>
      <c r="G4292" t="str">
        <f t="shared" si="473"/>
        <v/>
      </c>
      <c r="H4292" t="str">
        <f t="shared" si="474"/>
        <v/>
      </c>
      <c r="I4292" t="str">
        <f t="shared" si="475"/>
        <v/>
      </c>
    </row>
    <row r="4293" spans="1:9" x14ac:dyDescent="0.4">
      <c r="A4293" t="str">
        <f t="shared" si="469"/>
        <v/>
      </c>
      <c r="B4293" t="str">
        <f t="shared" si="470"/>
        <v/>
      </c>
      <c r="C4293" t="str">
        <f t="shared" si="471"/>
        <v/>
      </c>
      <c r="D4293" t="str">
        <f t="shared" si="472"/>
        <v/>
      </c>
      <c r="E4293" t="str">
        <f>IF(F4293="","",IF(COUNTIF($F$2:F4293,F4293)&gt;1,"",SUMIFS(tbl_input[필요수량],tbl_input[집계키_센터],F4293)))</f>
        <v/>
      </c>
      <c r="F4293" t="str">
        <f>IFERROR(INDEX(tbl_input[집계키_센터],ROW()-1),"")</f>
        <v/>
      </c>
      <c r="G4293" t="str">
        <f t="shared" si="473"/>
        <v/>
      </c>
      <c r="H4293" t="str">
        <f t="shared" si="474"/>
        <v/>
      </c>
      <c r="I4293" t="str">
        <f t="shared" si="475"/>
        <v/>
      </c>
    </row>
    <row r="4294" spans="1:9" x14ac:dyDescent="0.4">
      <c r="A4294" t="str">
        <f t="shared" si="469"/>
        <v/>
      </c>
      <c r="B4294" t="str">
        <f t="shared" si="470"/>
        <v/>
      </c>
      <c r="C4294" t="str">
        <f t="shared" si="471"/>
        <v/>
      </c>
      <c r="D4294" t="str">
        <f t="shared" si="472"/>
        <v/>
      </c>
      <c r="E4294" t="str">
        <f>IF(F4294="","",IF(COUNTIF($F$2:F4294,F4294)&gt;1,"",SUMIFS(tbl_input[필요수량],tbl_input[집계키_센터],F4294)))</f>
        <v/>
      </c>
      <c r="F4294" t="str">
        <f>IFERROR(INDEX(tbl_input[집계키_센터],ROW()-1),"")</f>
        <v/>
      </c>
      <c r="G4294" t="str">
        <f t="shared" si="473"/>
        <v/>
      </c>
      <c r="H4294" t="str">
        <f t="shared" si="474"/>
        <v/>
      </c>
      <c r="I4294" t="str">
        <f t="shared" si="475"/>
        <v/>
      </c>
    </row>
    <row r="4295" spans="1:9" x14ac:dyDescent="0.4">
      <c r="A4295" t="str">
        <f t="shared" si="469"/>
        <v/>
      </c>
      <c r="B4295" t="str">
        <f t="shared" si="470"/>
        <v/>
      </c>
      <c r="C4295" t="str">
        <f t="shared" si="471"/>
        <v/>
      </c>
      <c r="D4295" t="str">
        <f t="shared" si="472"/>
        <v/>
      </c>
      <c r="E4295" t="str">
        <f>IF(F4295="","",IF(COUNTIF($F$2:F4295,F4295)&gt;1,"",SUMIFS(tbl_input[필요수량],tbl_input[집계키_센터],F4295)))</f>
        <v/>
      </c>
      <c r="F4295" t="str">
        <f>IFERROR(INDEX(tbl_input[집계키_센터],ROW()-1),"")</f>
        <v/>
      </c>
      <c r="G4295" t="str">
        <f t="shared" si="473"/>
        <v/>
      </c>
      <c r="H4295" t="str">
        <f t="shared" si="474"/>
        <v/>
      </c>
      <c r="I4295" t="str">
        <f t="shared" si="475"/>
        <v/>
      </c>
    </row>
    <row r="4296" spans="1:9" x14ac:dyDescent="0.4">
      <c r="A4296" t="str">
        <f t="shared" si="469"/>
        <v/>
      </c>
      <c r="B4296" t="str">
        <f t="shared" si="470"/>
        <v/>
      </c>
      <c r="C4296" t="str">
        <f t="shared" si="471"/>
        <v/>
      </c>
      <c r="D4296" t="str">
        <f t="shared" si="472"/>
        <v/>
      </c>
      <c r="E4296" t="str">
        <f>IF(F4296="","",IF(COUNTIF($F$2:F4296,F4296)&gt;1,"",SUMIFS(tbl_input[필요수량],tbl_input[집계키_센터],F4296)))</f>
        <v/>
      </c>
      <c r="F4296" t="str">
        <f>IFERROR(INDEX(tbl_input[집계키_센터],ROW()-1),"")</f>
        <v/>
      </c>
      <c r="G4296" t="str">
        <f t="shared" si="473"/>
        <v/>
      </c>
      <c r="H4296" t="str">
        <f t="shared" si="474"/>
        <v/>
      </c>
      <c r="I4296" t="str">
        <f t="shared" si="475"/>
        <v/>
      </c>
    </row>
    <row r="4297" spans="1:9" x14ac:dyDescent="0.4">
      <c r="A4297" t="str">
        <f t="shared" si="469"/>
        <v/>
      </c>
      <c r="B4297" t="str">
        <f t="shared" si="470"/>
        <v/>
      </c>
      <c r="C4297" t="str">
        <f t="shared" si="471"/>
        <v/>
      </c>
      <c r="D4297" t="str">
        <f t="shared" si="472"/>
        <v/>
      </c>
      <c r="E4297" t="str">
        <f>IF(F4297="","",IF(COUNTIF($F$2:F4297,F4297)&gt;1,"",SUMIFS(tbl_input[필요수량],tbl_input[집계키_센터],F4297)))</f>
        <v/>
      </c>
      <c r="F4297" t="str">
        <f>IFERROR(INDEX(tbl_input[집계키_센터],ROW()-1),"")</f>
        <v/>
      </c>
      <c r="G4297" t="str">
        <f t="shared" si="473"/>
        <v/>
      </c>
      <c r="H4297" t="str">
        <f t="shared" si="474"/>
        <v/>
      </c>
      <c r="I4297" t="str">
        <f t="shared" si="475"/>
        <v/>
      </c>
    </row>
    <row r="4298" spans="1:9" x14ac:dyDescent="0.4">
      <c r="A4298" t="str">
        <f t="shared" si="469"/>
        <v/>
      </c>
      <c r="B4298" t="str">
        <f t="shared" si="470"/>
        <v/>
      </c>
      <c r="C4298" t="str">
        <f t="shared" si="471"/>
        <v/>
      </c>
      <c r="D4298" t="str">
        <f t="shared" si="472"/>
        <v/>
      </c>
      <c r="E4298" t="str">
        <f>IF(F4298="","",IF(COUNTIF($F$2:F4298,F4298)&gt;1,"",SUMIFS(tbl_input[필요수량],tbl_input[집계키_센터],F4298)))</f>
        <v/>
      </c>
      <c r="F4298" t="str">
        <f>IFERROR(INDEX(tbl_input[집계키_센터],ROW()-1),"")</f>
        <v/>
      </c>
      <c r="G4298" t="str">
        <f t="shared" si="473"/>
        <v/>
      </c>
      <c r="H4298" t="str">
        <f t="shared" si="474"/>
        <v/>
      </c>
      <c r="I4298" t="str">
        <f t="shared" si="475"/>
        <v/>
      </c>
    </row>
    <row r="4299" spans="1:9" x14ac:dyDescent="0.4">
      <c r="A4299" t="str">
        <f t="shared" si="469"/>
        <v/>
      </c>
      <c r="B4299" t="str">
        <f t="shared" si="470"/>
        <v/>
      </c>
      <c r="C4299" t="str">
        <f t="shared" si="471"/>
        <v/>
      </c>
      <c r="D4299" t="str">
        <f t="shared" si="472"/>
        <v/>
      </c>
      <c r="E4299" t="str">
        <f>IF(F4299="","",IF(COUNTIF($F$2:F4299,F4299)&gt;1,"",SUMIFS(tbl_input[필요수량],tbl_input[집계키_센터],F4299)))</f>
        <v/>
      </c>
      <c r="F4299" t="str">
        <f>IFERROR(INDEX(tbl_input[집계키_센터],ROW()-1),"")</f>
        <v/>
      </c>
      <c r="G4299" t="str">
        <f t="shared" si="473"/>
        <v/>
      </c>
      <c r="H4299" t="str">
        <f t="shared" si="474"/>
        <v/>
      </c>
      <c r="I4299" t="str">
        <f t="shared" si="475"/>
        <v/>
      </c>
    </row>
    <row r="4300" spans="1:9" x14ac:dyDescent="0.4">
      <c r="A4300" t="str">
        <f t="shared" si="469"/>
        <v/>
      </c>
      <c r="B4300" t="str">
        <f t="shared" si="470"/>
        <v/>
      </c>
      <c r="C4300" t="str">
        <f t="shared" si="471"/>
        <v/>
      </c>
      <c r="D4300" t="str">
        <f t="shared" si="472"/>
        <v/>
      </c>
      <c r="E4300" t="str">
        <f>IF(F4300="","",IF(COUNTIF($F$2:F4300,F4300)&gt;1,"",SUMIFS(tbl_input[필요수량],tbl_input[집계키_센터],F4300)))</f>
        <v/>
      </c>
      <c r="F4300" t="str">
        <f>IFERROR(INDEX(tbl_input[집계키_센터],ROW()-1),"")</f>
        <v/>
      </c>
      <c r="G4300" t="str">
        <f t="shared" si="473"/>
        <v/>
      </c>
      <c r="H4300" t="str">
        <f t="shared" si="474"/>
        <v/>
      </c>
      <c r="I4300" t="str">
        <f t="shared" si="475"/>
        <v/>
      </c>
    </row>
    <row r="4301" spans="1:9" x14ac:dyDescent="0.4">
      <c r="A4301" t="str">
        <f t="shared" si="469"/>
        <v/>
      </c>
      <c r="B4301" t="str">
        <f t="shared" si="470"/>
        <v/>
      </c>
      <c r="C4301" t="str">
        <f t="shared" si="471"/>
        <v/>
      </c>
      <c r="D4301" t="str">
        <f t="shared" si="472"/>
        <v/>
      </c>
      <c r="E4301" t="str">
        <f>IF(F4301="","",IF(COUNTIF($F$2:F4301,F4301)&gt;1,"",SUMIFS(tbl_input[필요수량],tbl_input[집계키_센터],F4301)))</f>
        <v/>
      </c>
      <c r="F4301" t="str">
        <f>IFERROR(INDEX(tbl_input[집계키_센터],ROW()-1),"")</f>
        <v/>
      </c>
      <c r="G4301" t="str">
        <f t="shared" si="473"/>
        <v/>
      </c>
      <c r="H4301" t="str">
        <f t="shared" si="474"/>
        <v/>
      </c>
      <c r="I4301" t="str">
        <f t="shared" si="475"/>
        <v/>
      </c>
    </row>
    <row r="4302" spans="1:9" x14ac:dyDescent="0.4">
      <c r="A4302" t="str">
        <f t="shared" si="469"/>
        <v/>
      </c>
      <c r="B4302" t="str">
        <f t="shared" si="470"/>
        <v/>
      </c>
      <c r="C4302" t="str">
        <f t="shared" si="471"/>
        <v/>
      </c>
      <c r="D4302" t="str">
        <f t="shared" si="472"/>
        <v/>
      </c>
      <c r="E4302" t="str">
        <f>IF(F4302="","",IF(COUNTIF($F$2:F4302,F4302)&gt;1,"",SUMIFS(tbl_input[필요수량],tbl_input[집계키_센터],F4302)))</f>
        <v/>
      </c>
      <c r="F4302" t="str">
        <f>IFERROR(INDEX(tbl_input[집계키_센터],ROW()-1),"")</f>
        <v/>
      </c>
      <c r="G4302" t="str">
        <f t="shared" si="473"/>
        <v/>
      </c>
      <c r="H4302" t="str">
        <f t="shared" si="474"/>
        <v/>
      </c>
      <c r="I4302" t="str">
        <f t="shared" si="475"/>
        <v/>
      </c>
    </row>
    <row r="4303" spans="1:9" x14ac:dyDescent="0.4">
      <c r="A4303" t="str">
        <f t="shared" si="469"/>
        <v/>
      </c>
      <c r="B4303" t="str">
        <f t="shared" si="470"/>
        <v/>
      </c>
      <c r="C4303" t="str">
        <f t="shared" si="471"/>
        <v/>
      </c>
      <c r="D4303" t="str">
        <f t="shared" si="472"/>
        <v/>
      </c>
      <c r="E4303" t="str">
        <f>IF(F4303="","",IF(COUNTIF($F$2:F4303,F4303)&gt;1,"",SUMIFS(tbl_input[필요수량],tbl_input[집계키_센터],F4303)))</f>
        <v/>
      </c>
      <c r="F4303" t="str">
        <f>IFERROR(INDEX(tbl_input[집계키_센터],ROW()-1),"")</f>
        <v/>
      </c>
      <c r="G4303" t="str">
        <f t="shared" si="473"/>
        <v/>
      </c>
      <c r="H4303" t="str">
        <f t="shared" si="474"/>
        <v/>
      </c>
      <c r="I4303" t="str">
        <f t="shared" si="475"/>
        <v/>
      </c>
    </row>
    <row r="4304" spans="1:9" x14ac:dyDescent="0.4">
      <c r="A4304" t="str">
        <f t="shared" si="469"/>
        <v/>
      </c>
      <c r="B4304" t="str">
        <f t="shared" si="470"/>
        <v/>
      </c>
      <c r="C4304" t="str">
        <f t="shared" si="471"/>
        <v/>
      </c>
      <c r="D4304" t="str">
        <f t="shared" si="472"/>
        <v/>
      </c>
      <c r="E4304" t="str">
        <f>IF(F4304="","",IF(COUNTIF($F$2:F4304,F4304)&gt;1,"",SUMIFS(tbl_input[필요수량],tbl_input[집계키_센터],F4304)))</f>
        <v/>
      </c>
      <c r="F4304" t="str">
        <f>IFERROR(INDEX(tbl_input[집계키_센터],ROW()-1),"")</f>
        <v/>
      </c>
      <c r="G4304" t="str">
        <f t="shared" si="473"/>
        <v/>
      </c>
      <c r="H4304" t="str">
        <f t="shared" si="474"/>
        <v/>
      </c>
      <c r="I4304" t="str">
        <f t="shared" si="475"/>
        <v/>
      </c>
    </row>
    <row r="4305" spans="1:9" x14ac:dyDescent="0.4">
      <c r="A4305" t="str">
        <f t="shared" si="469"/>
        <v/>
      </c>
      <c r="B4305" t="str">
        <f t="shared" si="470"/>
        <v/>
      </c>
      <c r="C4305" t="str">
        <f t="shared" si="471"/>
        <v/>
      </c>
      <c r="D4305" t="str">
        <f t="shared" si="472"/>
        <v/>
      </c>
      <c r="E4305" t="str">
        <f>IF(F4305="","",IF(COUNTIF($F$2:F4305,F4305)&gt;1,"",SUMIFS(tbl_input[필요수량],tbl_input[집계키_센터],F4305)))</f>
        <v/>
      </c>
      <c r="F4305" t="str">
        <f>IFERROR(INDEX(tbl_input[집계키_센터],ROW()-1),"")</f>
        <v/>
      </c>
      <c r="G4305" t="str">
        <f t="shared" si="473"/>
        <v/>
      </c>
      <c r="H4305" t="str">
        <f t="shared" si="474"/>
        <v/>
      </c>
      <c r="I4305" t="str">
        <f t="shared" si="475"/>
        <v/>
      </c>
    </row>
    <row r="4306" spans="1:9" x14ac:dyDescent="0.4">
      <c r="A4306" t="str">
        <f t="shared" si="469"/>
        <v/>
      </c>
      <c r="B4306" t="str">
        <f t="shared" si="470"/>
        <v/>
      </c>
      <c r="C4306" t="str">
        <f t="shared" si="471"/>
        <v/>
      </c>
      <c r="D4306" t="str">
        <f t="shared" si="472"/>
        <v/>
      </c>
      <c r="E4306" t="str">
        <f>IF(F4306="","",IF(COUNTIF($F$2:F4306,F4306)&gt;1,"",SUMIFS(tbl_input[필요수량],tbl_input[집계키_센터],F4306)))</f>
        <v/>
      </c>
      <c r="F4306" t="str">
        <f>IFERROR(INDEX(tbl_input[집계키_센터],ROW()-1),"")</f>
        <v/>
      </c>
      <c r="G4306" t="str">
        <f t="shared" si="473"/>
        <v/>
      </c>
      <c r="H4306" t="str">
        <f t="shared" si="474"/>
        <v/>
      </c>
      <c r="I4306" t="str">
        <f t="shared" si="475"/>
        <v/>
      </c>
    </row>
    <row r="4307" spans="1:9" x14ac:dyDescent="0.4">
      <c r="A4307" t="str">
        <f t="shared" si="469"/>
        <v/>
      </c>
      <c r="B4307" t="str">
        <f t="shared" si="470"/>
        <v/>
      </c>
      <c r="C4307" t="str">
        <f t="shared" si="471"/>
        <v/>
      </c>
      <c r="D4307" t="str">
        <f t="shared" si="472"/>
        <v/>
      </c>
      <c r="E4307" t="str">
        <f>IF(F4307="","",IF(COUNTIF($F$2:F4307,F4307)&gt;1,"",SUMIFS(tbl_input[필요수량],tbl_input[집계키_센터],F4307)))</f>
        <v/>
      </c>
      <c r="F4307" t="str">
        <f>IFERROR(INDEX(tbl_input[집계키_센터],ROW()-1),"")</f>
        <v/>
      </c>
      <c r="G4307" t="str">
        <f t="shared" si="473"/>
        <v/>
      </c>
      <c r="H4307" t="str">
        <f t="shared" si="474"/>
        <v/>
      </c>
      <c r="I4307" t="str">
        <f t="shared" si="475"/>
        <v/>
      </c>
    </row>
    <row r="4308" spans="1:9" x14ac:dyDescent="0.4">
      <c r="A4308" t="str">
        <f t="shared" si="469"/>
        <v/>
      </c>
      <c r="B4308" t="str">
        <f t="shared" si="470"/>
        <v/>
      </c>
      <c r="C4308" t="str">
        <f t="shared" si="471"/>
        <v/>
      </c>
      <c r="D4308" t="str">
        <f t="shared" si="472"/>
        <v/>
      </c>
      <c r="E4308" t="str">
        <f>IF(F4308="","",IF(COUNTIF($F$2:F4308,F4308)&gt;1,"",SUMIFS(tbl_input[필요수량],tbl_input[집계키_센터],F4308)))</f>
        <v/>
      </c>
      <c r="F4308" t="str">
        <f>IFERROR(INDEX(tbl_input[집계키_센터],ROW()-1),"")</f>
        <v/>
      </c>
      <c r="G4308" t="str">
        <f t="shared" si="473"/>
        <v/>
      </c>
      <c r="H4308" t="str">
        <f t="shared" si="474"/>
        <v/>
      </c>
      <c r="I4308" t="str">
        <f t="shared" si="475"/>
        <v/>
      </c>
    </row>
    <row r="4309" spans="1:9" x14ac:dyDescent="0.4">
      <c r="A4309" t="str">
        <f t="shared" si="469"/>
        <v/>
      </c>
      <c r="B4309" t="str">
        <f t="shared" si="470"/>
        <v/>
      </c>
      <c r="C4309" t="str">
        <f t="shared" si="471"/>
        <v/>
      </c>
      <c r="D4309" t="str">
        <f t="shared" si="472"/>
        <v/>
      </c>
      <c r="E4309" t="str">
        <f>IF(F4309="","",IF(COUNTIF($F$2:F4309,F4309)&gt;1,"",SUMIFS(tbl_input[필요수량],tbl_input[집계키_센터],F4309)))</f>
        <v/>
      </c>
      <c r="F4309" t="str">
        <f>IFERROR(INDEX(tbl_input[집계키_센터],ROW()-1),"")</f>
        <v/>
      </c>
      <c r="G4309" t="str">
        <f t="shared" si="473"/>
        <v/>
      </c>
      <c r="H4309" t="str">
        <f t="shared" si="474"/>
        <v/>
      </c>
      <c r="I4309" t="str">
        <f t="shared" si="475"/>
        <v/>
      </c>
    </row>
    <row r="4310" spans="1:9" x14ac:dyDescent="0.4">
      <c r="A4310" t="str">
        <f t="shared" si="469"/>
        <v/>
      </c>
      <c r="B4310" t="str">
        <f t="shared" si="470"/>
        <v/>
      </c>
      <c r="C4310" t="str">
        <f t="shared" si="471"/>
        <v/>
      </c>
      <c r="D4310" t="str">
        <f t="shared" si="472"/>
        <v/>
      </c>
      <c r="E4310" t="str">
        <f>IF(F4310="","",IF(COUNTIF($F$2:F4310,F4310)&gt;1,"",SUMIFS(tbl_input[필요수량],tbl_input[집계키_센터],F4310)))</f>
        <v/>
      </c>
      <c r="F4310" t="str">
        <f>IFERROR(INDEX(tbl_input[집계키_센터],ROW()-1),"")</f>
        <v/>
      </c>
      <c r="G4310" t="str">
        <f t="shared" si="473"/>
        <v/>
      </c>
      <c r="H4310" t="str">
        <f t="shared" si="474"/>
        <v/>
      </c>
      <c r="I4310" t="str">
        <f t="shared" si="475"/>
        <v/>
      </c>
    </row>
    <row r="4311" spans="1:9" x14ac:dyDescent="0.4">
      <c r="A4311" t="str">
        <f t="shared" si="469"/>
        <v/>
      </c>
      <c r="B4311" t="str">
        <f t="shared" si="470"/>
        <v/>
      </c>
      <c r="C4311" t="str">
        <f t="shared" si="471"/>
        <v/>
      </c>
      <c r="D4311" t="str">
        <f t="shared" si="472"/>
        <v/>
      </c>
      <c r="E4311" t="str">
        <f>IF(F4311="","",IF(COUNTIF($F$2:F4311,F4311)&gt;1,"",SUMIFS(tbl_input[필요수량],tbl_input[집계키_센터],F4311)))</f>
        <v/>
      </c>
      <c r="F4311" t="str">
        <f>IFERROR(INDEX(tbl_input[집계키_센터],ROW()-1),"")</f>
        <v/>
      </c>
      <c r="G4311" t="str">
        <f t="shared" si="473"/>
        <v/>
      </c>
      <c r="H4311" t="str">
        <f t="shared" si="474"/>
        <v/>
      </c>
      <c r="I4311" t="str">
        <f t="shared" si="475"/>
        <v/>
      </c>
    </row>
    <row r="4312" spans="1:9" x14ac:dyDescent="0.4">
      <c r="A4312" t="str">
        <f t="shared" si="469"/>
        <v/>
      </c>
      <c r="B4312" t="str">
        <f t="shared" si="470"/>
        <v/>
      </c>
      <c r="C4312" t="str">
        <f t="shared" si="471"/>
        <v/>
      </c>
      <c r="D4312" t="str">
        <f t="shared" si="472"/>
        <v/>
      </c>
      <c r="E4312" t="str">
        <f>IF(F4312="","",IF(COUNTIF($F$2:F4312,F4312)&gt;1,"",SUMIFS(tbl_input[필요수량],tbl_input[집계키_센터],F4312)))</f>
        <v/>
      </c>
      <c r="F4312" t="str">
        <f>IFERROR(INDEX(tbl_input[집계키_센터],ROW()-1),"")</f>
        <v/>
      </c>
      <c r="G4312" t="str">
        <f t="shared" si="473"/>
        <v/>
      </c>
      <c r="H4312" t="str">
        <f t="shared" si="474"/>
        <v/>
      </c>
      <c r="I4312" t="str">
        <f t="shared" si="475"/>
        <v/>
      </c>
    </row>
    <row r="4313" spans="1:9" x14ac:dyDescent="0.4">
      <c r="A4313" t="str">
        <f t="shared" si="469"/>
        <v/>
      </c>
      <c r="B4313" t="str">
        <f t="shared" si="470"/>
        <v/>
      </c>
      <c r="C4313" t="str">
        <f t="shared" si="471"/>
        <v/>
      </c>
      <c r="D4313" t="str">
        <f t="shared" si="472"/>
        <v/>
      </c>
      <c r="E4313" t="str">
        <f>IF(F4313="","",IF(COUNTIF($F$2:F4313,F4313)&gt;1,"",SUMIFS(tbl_input[필요수량],tbl_input[집계키_센터],F4313)))</f>
        <v/>
      </c>
      <c r="F4313" t="str">
        <f>IFERROR(INDEX(tbl_input[집계키_센터],ROW()-1),"")</f>
        <v/>
      </c>
      <c r="G4313" t="str">
        <f t="shared" si="473"/>
        <v/>
      </c>
      <c r="H4313" t="str">
        <f t="shared" si="474"/>
        <v/>
      </c>
      <c r="I4313" t="str">
        <f t="shared" si="475"/>
        <v/>
      </c>
    </row>
    <row r="4314" spans="1:9" x14ac:dyDescent="0.4">
      <c r="A4314" t="str">
        <f t="shared" si="469"/>
        <v/>
      </c>
      <c r="B4314" t="str">
        <f t="shared" si="470"/>
        <v/>
      </c>
      <c r="C4314" t="str">
        <f t="shared" si="471"/>
        <v/>
      </c>
      <c r="D4314" t="str">
        <f t="shared" si="472"/>
        <v/>
      </c>
      <c r="E4314" t="str">
        <f>IF(F4314="","",IF(COUNTIF($F$2:F4314,F4314)&gt;1,"",SUMIFS(tbl_input[필요수량],tbl_input[집계키_센터],F4314)))</f>
        <v/>
      </c>
      <c r="F4314" t="str">
        <f>IFERROR(INDEX(tbl_input[집계키_센터],ROW()-1),"")</f>
        <v/>
      </c>
      <c r="G4314" t="str">
        <f t="shared" si="473"/>
        <v/>
      </c>
      <c r="H4314" t="str">
        <f t="shared" si="474"/>
        <v/>
      </c>
      <c r="I4314" t="str">
        <f t="shared" si="475"/>
        <v/>
      </c>
    </row>
    <row r="4315" spans="1:9" x14ac:dyDescent="0.4">
      <c r="A4315" t="str">
        <f t="shared" si="469"/>
        <v/>
      </c>
      <c r="B4315" t="str">
        <f t="shared" si="470"/>
        <v/>
      </c>
      <c r="C4315" t="str">
        <f t="shared" si="471"/>
        <v/>
      </c>
      <c r="D4315" t="str">
        <f t="shared" si="472"/>
        <v/>
      </c>
      <c r="E4315" t="str">
        <f>IF(F4315="","",IF(COUNTIF($F$2:F4315,F4315)&gt;1,"",SUMIFS(tbl_input[필요수량],tbl_input[집계키_센터],F4315)))</f>
        <v/>
      </c>
      <c r="F4315" t="str">
        <f>IFERROR(INDEX(tbl_input[집계키_센터],ROW()-1),"")</f>
        <v/>
      </c>
      <c r="G4315" t="str">
        <f t="shared" si="473"/>
        <v/>
      </c>
      <c r="H4315" t="str">
        <f t="shared" si="474"/>
        <v/>
      </c>
      <c r="I4315" t="str">
        <f t="shared" si="475"/>
        <v/>
      </c>
    </row>
    <row r="4316" spans="1:9" x14ac:dyDescent="0.4">
      <c r="A4316" t="str">
        <f t="shared" si="469"/>
        <v/>
      </c>
      <c r="B4316" t="str">
        <f t="shared" si="470"/>
        <v/>
      </c>
      <c r="C4316" t="str">
        <f t="shared" si="471"/>
        <v/>
      </c>
      <c r="D4316" t="str">
        <f t="shared" si="472"/>
        <v/>
      </c>
      <c r="E4316" t="str">
        <f>IF(F4316="","",IF(COUNTIF($F$2:F4316,F4316)&gt;1,"",SUMIFS(tbl_input[필요수량],tbl_input[집계키_센터],F4316)))</f>
        <v/>
      </c>
      <c r="F4316" t="str">
        <f>IFERROR(INDEX(tbl_input[집계키_센터],ROW()-1),"")</f>
        <v/>
      </c>
      <c r="G4316" t="str">
        <f t="shared" si="473"/>
        <v/>
      </c>
      <c r="H4316" t="str">
        <f t="shared" si="474"/>
        <v/>
      </c>
      <c r="I4316" t="str">
        <f t="shared" si="475"/>
        <v/>
      </c>
    </row>
    <row r="4317" spans="1:9" x14ac:dyDescent="0.4">
      <c r="A4317" t="str">
        <f t="shared" si="469"/>
        <v/>
      </c>
      <c r="B4317" t="str">
        <f t="shared" si="470"/>
        <v/>
      </c>
      <c r="C4317" t="str">
        <f t="shared" si="471"/>
        <v/>
      </c>
      <c r="D4317" t="str">
        <f t="shared" si="472"/>
        <v/>
      </c>
      <c r="E4317" t="str">
        <f>IF(F4317="","",IF(COUNTIF($F$2:F4317,F4317)&gt;1,"",SUMIFS(tbl_input[필요수량],tbl_input[집계키_센터],F4317)))</f>
        <v/>
      </c>
      <c r="F4317" t="str">
        <f>IFERROR(INDEX(tbl_input[집계키_센터],ROW()-1),"")</f>
        <v/>
      </c>
      <c r="G4317" t="str">
        <f t="shared" si="473"/>
        <v/>
      </c>
      <c r="H4317" t="str">
        <f t="shared" si="474"/>
        <v/>
      </c>
      <c r="I4317" t="str">
        <f t="shared" si="475"/>
        <v/>
      </c>
    </row>
    <row r="4318" spans="1:9" x14ac:dyDescent="0.4">
      <c r="A4318" t="str">
        <f t="shared" si="469"/>
        <v/>
      </c>
      <c r="B4318" t="str">
        <f t="shared" si="470"/>
        <v/>
      </c>
      <c r="C4318" t="str">
        <f t="shared" si="471"/>
        <v/>
      </c>
      <c r="D4318" t="str">
        <f t="shared" si="472"/>
        <v/>
      </c>
      <c r="E4318" t="str">
        <f>IF(F4318="","",IF(COUNTIF($F$2:F4318,F4318)&gt;1,"",SUMIFS(tbl_input[필요수량],tbl_input[집계키_센터],F4318)))</f>
        <v/>
      </c>
      <c r="F4318" t="str">
        <f>IFERROR(INDEX(tbl_input[집계키_센터],ROW()-1),"")</f>
        <v/>
      </c>
      <c r="G4318" t="str">
        <f t="shared" si="473"/>
        <v/>
      </c>
      <c r="H4318" t="str">
        <f t="shared" si="474"/>
        <v/>
      </c>
      <c r="I4318" t="str">
        <f t="shared" si="475"/>
        <v/>
      </c>
    </row>
    <row r="4319" spans="1:9" x14ac:dyDescent="0.4">
      <c r="A4319" t="str">
        <f t="shared" si="469"/>
        <v/>
      </c>
      <c r="B4319" t="str">
        <f t="shared" si="470"/>
        <v/>
      </c>
      <c r="C4319" t="str">
        <f t="shared" si="471"/>
        <v/>
      </c>
      <c r="D4319" t="str">
        <f t="shared" si="472"/>
        <v/>
      </c>
      <c r="E4319" t="str">
        <f>IF(F4319="","",IF(COUNTIF($F$2:F4319,F4319)&gt;1,"",SUMIFS(tbl_input[필요수량],tbl_input[집계키_센터],F4319)))</f>
        <v/>
      </c>
      <c r="F4319" t="str">
        <f>IFERROR(INDEX(tbl_input[집계키_센터],ROW()-1),"")</f>
        <v/>
      </c>
      <c r="G4319" t="str">
        <f t="shared" si="473"/>
        <v/>
      </c>
      <c r="H4319" t="str">
        <f t="shared" si="474"/>
        <v/>
      </c>
      <c r="I4319" t="str">
        <f t="shared" si="475"/>
        <v/>
      </c>
    </row>
    <row r="4320" spans="1:9" x14ac:dyDescent="0.4">
      <c r="A4320" t="str">
        <f t="shared" si="469"/>
        <v/>
      </c>
      <c r="B4320" t="str">
        <f t="shared" si="470"/>
        <v/>
      </c>
      <c r="C4320" t="str">
        <f t="shared" si="471"/>
        <v/>
      </c>
      <c r="D4320" t="str">
        <f t="shared" si="472"/>
        <v/>
      </c>
      <c r="E4320" t="str">
        <f>IF(F4320="","",IF(COUNTIF($F$2:F4320,F4320)&gt;1,"",SUMIFS(tbl_input[필요수량],tbl_input[집계키_센터],F4320)))</f>
        <v/>
      </c>
      <c r="F4320" t="str">
        <f>IFERROR(INDEX(tbl_input[집계키_센터],ROW()-1),"")</f>
        <v/>
      </c>
      <c r="G4320" t="str">
        <f t="shared" si="473"/>
        <v/>
      </c>
      <c r="H4320" t="str">
        <f t="shared" si="474"/>
        <v/>
      </c>
      <c r="I4320" t="str">
        <f t="shared" si="475"/>
        <v/>
      </c>
    </row>
    <row r="4321" spans="1:9" x14ac:dyDescent="0.4">
      <c r="A4321" t="str">
        <f t="shared" si="469"/>
        <v/>
      </c>
      <c r="B4321" t="str">
        <f t="shared" si="470"/>
        <v/>
      </c>
      <c r="C4321" t="str">
        <f t="shared" si="471"/>
        <v/>
      </c>
      <c r="D4321" t="str">
        <f t="shared" si="472"/>
        <v/>
      </c>
      <c r="E4321" t="str">
        <f>IF(F4321="","",IF(COUNTIF($F$2:F4321,F4321)&gt;1,"",SUMIFS(tbl_input[필요수량],tbl_input[집계키_센터],F4321)))</f>
        <v/>
      </c>
      <c r="F4321" t="str">
        <f>IFERROR(INDEX(tbl_input[집계키_센터],ROW()-1),"")</f>
        <v/>
      </c>
      <c r="G4321" t="str">
        <f t="shared" si="473"/>
        <v/>
      </c>
      <c r="H4321" t="str">
        <f t="shared" si="474"/>
        <v/>
      </c>
      <c r="I4321" t="str">
        <f t="shared" si="475"/>
        <v/>
      </c>
    </row>
    <row r="4322" spans="1:9" x14ac:dyDescent="0.4">
      <c r="A4322" t="str">
        <f t="shared" si="469"/>
        <v/>
      </c>
      <c r="B4322" t="str">
        <f t="shared" si="470"/>
        <v/>
      </c>
      <c r="C4322" t="str">
        <f t="shared" si="471"/>
        <v/>
      </c>
      <c r="D4322" t="str">
        <f t="shared" si="472"/>
        <v/>
      </c>
      <c r="E4322" t="str">
        <f>IF(F4322="","",IF(COUNTIF($F$2:F4322,F4322)&gt;1,"",SUMIFS(tbl_input[필요수량],tbl_input[집계키_센터],F4322)))</f>
        <v/>
      </c>
      <c r="F4322" t="str">
        <f>IFERROR(INDEX(tbl_input[집계키_센터],ROW()-1),"")</f>
        <v/>
      </c>
      <c r="G4322" t="str">
        <f t="shared" si="473"/>
        <v/>
      </c>
      <c r="H4322" t="str">
        <f t="shared" si="474"/>
        <v/>
      </c>
      <c r="I4322" t="str">
        <f t="shared" si="475"/>
        <v/>
      </c>
    </row>
    <row r="4323" spans="1:9" x14ac:dyDescent="0.4">
      <c r="A4323" t="str">
        <f t="shared" si="469"/>
        <v/>
      </c>
      <c r="B4323" t="str">
        <f t="shared" si="470"/>
        <v/>
      </c>
      <c r="C4323" t="str">
        <f t="shared" si="471"/>
        <v/>
      </c>
      <c r="D4323" t="str">
        <f t="shared" si="472"/>
        <v/>
      </c>
      <c r="E4323" t="str">
        <f>IF(F4323="","",IF(COUNTIF($F$2:F4323,F4323)&gt;1,"",SUMIFS(tbl_input[필요수량],tbl_input[집계키_센터],F4323)))</f>
        <v/>
      </c>
      <c r="F4323" t="str">
        <f>IFERROR(INDEX(tbl_input[집계키_센터],ROW()-1),"")</f>
        <v/>
      </c>
      <c r="G4323" t="str">
        <f t="shared" si="473"/>
        <v/>
      </c>
      <c r="H4323" t="str">
        <f t="shared" si="474"/>
        <v/>
      </c>
      <c r="I4323" t="str">
        <f t="shared" si="475"/>
        <v/>
      </c>
    </row>
    <row r="4324" spans="1:9" x14ac:dyDescent="0.4">
      <c r="A4324" t="str">
        <f t="shared" si="469"/>
        <v/>
      </c>
      <c r="B4324" t="str">
        <f t="shared" si="470"/>
        <v/>
      </c>
      <c r="C4324" t="str">
        <f t="shared" si="471"/>
        <v/>
      </c>
      <c r="D4324" t="str">
        <f t="shared" si="472"/>
        <v/>
      </c>
      <c r="E4324" t="str">
        <f>IF(F4324="","",IF(COUNTIF($F$2:F4324,F4324)&gt;1,"",SUMIFS(tbl_input[필요수량],tbl_input[집계키_센터],F4324)))</f>
        <v/>
      </c>
      <c r="F4324" t="str">
        <f>IFERROR(INDEX(tbl_input[집계키_센터],ROW()-1),"")</f>
        <v/>
      </c>
      <c r="G4324" t="str">
        <f t="shared" si="473"/>
        <v/>
      </c>
      <c r="H4324" t="str">
        <f t="shared" si="474"/>
        <v/>
      </c>
      <c r="I4324" t="str">
        <f t="shared" si="475"/>
        <v/>
      </c>
    </row>
    <row r="4325" spans="1:9" x14ac:dyDescent="0.4">
      <c r="A4325" t="str">
        <f t="shared" si="469"/>
        <v/>
      </c>
      <c r="B4325" t="str">
        <f t="shared" si="470"/>
        <v/>
      </c>
      <c r="C4325" t="str">
        <f t="shared" si="471"/>
        <v/>
      </c>
      <c r="D4325" t="str">
        <f t="shared" si="472"/>
        <v/>
      </c>
      <c r="E4325" t="str">
        <f>IF(F4325="","",IF(COUNTIF($F$2:F4325,F4325)&gt;1,"",SUMIFS(tbl_input[필요수량],tbl_input[집계키_센터],F4325)))</f>
        <v/>
      </c>
      <c r="F4325" t="str">
        <f>IFERROR(INDEX(tbl_input[집계키_센터],ROW()-1),"")</f>
        <v/>
      </c>
      <c r="G4325" t="str">
        <f t="shared" si="473"/>
        <v/>
      </c>
      <c r="H4325" t="str">
        <f t="shared" si="474"/>
        <v/>
      </c>
      <c r="I4325" t="str">
        <f t="shared" si="475"/>
        <v/>
      </c>
    </row>
    <row r="4326" spans="1:9" x14ac:dyDescent="0.4">
      <c r="A4326" t="str">
        <f t="shared" si="469"/>
        <v/>
      </c>
      <c r="B4326" t="str">
        <f t="shared" si="470"/>
        <v/>
      </c>
      <c r="C4326" t="str">
        <f t="shared" si="471"/>
        <v/>
      </c>
      <c r="D4326" t="str">
        <f t="shared" si="472"/>
        <v/>
      </c>
      <c r="E4326" t="str">
        <f>IF(F4326="","",IF(COUNTIF($F$2:F4326,F4326)&gt;1,"",SUMIFS(tbl_input[필요수량],tbl_input[집계키_센터],F4326)))</f>
        <v/>
      </c>
      <c r="F4326" t="str">
        <f>IFERROR(INDEX(tbl_input[집계키_센터],ROW()-1),"")</f>
        <v/>
      </c>
      <c r="G4326" t="str">
        <f t="shared" si="473"/>
        <v/>
      </c>
      <c r="H4326" t="str">
        <f t="shared" si="474"/>
        <v/>
      </c>
      <c r="I4326" t="str">
        <f t="shared" si="475"/>
        <v/>
      </c>
    </row>
    <row r="4327" spans="1:9" x14ac:dyDescent="0.4">
      <c r="A4327" t="str">
        <f t="shared" si="469"/>
        <v/>
      </c>
      <c r="B4327" t="str">
        <f t="shared" si="470"/>
        <v/>
      </c>
      <c r="C4327" t="str">
        <f t="shared" si="471"/>
        <v/>
      </c>
      <c r="D4327" t="str">
        <f t="shared" si="472"/>
        <v/>
      </c>
      <c r="E4327" t="str">
        <f>IF(F4327="","",IF(COUNTIF($F$2:F4327,F4327)&gt;1,"",SUMIFS(tbl_input[필요수량],tbl_input[집계키_센터],F4327)))</f>
        <v/>
      </c>
      <c r="F4327" t="str">
        <f>IFERROR(INDEX(tbl_input[집계키_센터],ROW()-1),"")</f>
        <v/>
      </c>
      <c r="G4327" t="str">
        <f t="shared" si="473"/>
        <v/>
      </c>
      <c r="H4327" t="str">
        <f t="shared" si="474"/>
        <v/>
      </c>
      <c r="I4327" t="str">
        <f t="shared" si="475"/>
        <v/>
      </c>
    </row>
    <row r="4328" spans="1:9" x14ac:dyDescent="0.4">
      <c r="A4328" t="str">
        <f t="shared" si="469"/>
        <v/>
      </c>
      <c r="B4328" t="str">
        <f t="shared" si="470"/>
        <v/>
      </c>
      <c r="C4328" t="str">
        <f t="shared" si="471"/>
        <v/>
      </c>
      <c r="D4328" t="str">
        <f t="shared" si="472"/>
        <v/>
      </c>
      <c r="E4328" t="str">
        <f>IF(F4328="","",IF(COUNTIF($F$2:F4328,F4328)&gt;1,"",SUMIFS(tbl_input[필요수량],tbl_input[집계키_센터],F4328)))</f>
        <v/>
      </c>
      <c r="F4328" t="str">
        <f>IFERROR(INDEX(tbl_input[집계키_센터],ROW()-1),"")</f>
        <v/>
      </c>
      <c r="G4328" t="str">
        <f t="shared" si="473"/>
        <v/>
      </c>
      <c r="H4328" t="str">
        <f t="shared" si="474"/>
        <v/>
      </c>
      <c r="I4328" t="str">
        <f t="shared" si="475"/>
        <v/>
      </c>
    </row>
    <row r="4329" spans="1:9" x14ac:dyDescent="0.4">
      <c r="A4329" t="str">
        <f t="shared" si="469"/>
        <v/>
      </c>
      <c r="B4329" t="str">
        <f t="shared" si="470"/>
        <v/>
      </c>
      <c r="C4329" t="str">
        <f t="shared" si="471"/>
        <v/>
      </c>
      <c r="D4329" t="str">
        <f t="shared" si="472"/>
        <v/>
      </c>
      <c r="E4329" t="str">
        <f>IF(F4329="","",IF(COUNTIF($F$2:F4329,F4329)&gt;1,"",SUMIFS(tbl_input[필요수량],tbl_input[집계키_센터],F4329)))</f>
        <v/>
      </c>
      <c r="F4329" t="str">
        <f>IFERROR(INDEX(tbl_input[집계키_센터],ROW()-1),"")</f>
        <v/>
      </c>
      <c r="G4329" t="str">
        <f t="shared" si="473"/>
        <v/>
      </c>
      <c r="H4329" t="str">
        <f t="shared" si="474"/>
        <v/>
      </c>
      <c r="I4329" t="str">
        <f t="shared" si="475"/>
        <v/>
      </c>
    </row>
    <row r="4330" spans="1:9" x14ac:dyDescent="0.4">
      <c r="A4330" t="str">
        <f t="shared" si="469"/>
        <v/>
      </c>
      <c r="B4330" t="str">
        <f t="shared" si="470"/>
        <v/>
      </c>
      <c r="C4330" t="str">
        <f t="shared" si="471"/>
        <v/>
      </c>
      <c r="D4330" t="str">
        <f t="shared" si="472"/>
        <v/>
      </c>
      <c r="E4330" t="str">
        <f>IF(F4330="","",IF(COUNTIF($F$2:F4330,F4330)&gt;1,"",SUMIFS(tbl_input[필요수량],tbl_input[집계키_센터],F4330)))</f>
        <v/>
      </c>
      <c r="F4330" t="str">
        <f>IFERROR(INDEX(tbl_input[집계키_센터],ROW()-1),"")</f>
        <v/>
      </c>
      <c r="G4330" t="str">
        <f t="shared" si="473"/>
        <v/>
      </c>
      <c r="H4330" t="str">
        <f t="shared" si="474"/>
        <v/>
      </c>
      <c r="I4330" t="str">
        <f t="shared" si="475"/>
        <v/>
      </c>
    </row>
    <row r="4331" spans="1:9" x14ac:dyDescent="0.4">
      <c r="A4331" t="str">
        <f t="shared" si="469"/>
        <v/>
      </c>
      <c r="B4331" t="str">
        <f t="shared" si="470"/>
        <v/>
      </c>
      <c r="C4331" t="str">
        <f t="shared" si="471"/>
        <v/>
      </c>
      <c r="D4331" t="str">
        <f t="shared" si="472"/>
        <v/>
      </c>
      <c r="E4331" t="str">
        <f>IF(F4331="","",IF(COUNTIF($F$2:F4331,F4331)&gt;1,"",SUMIFS(tbl_input[필요수량],tbl_input[집계키_센터],F4331)))</f>
        <v/>
      </c>
      <c r="F4331" t="str">
        <f>IFERROR(INDEX(tbl_input[집계키_센터],ROW()-1),"")</f>
        <v/>
      </c>
      <c r="G4331" t="str">
        <f t="shared" si="473"/>
        <v/>
      </c>
      <c r="H4331" t="str">
        <f t="shared" si="474"/>
        <v/>
      </c>
      <c r="I4331" t="str">
        <f t="shared" si="475"/>
        <v/>
      </c>
    </row>
    <row r="4332" spans="1:9" x14ac:dyDescent="0.4">
      <c r="A4332" t="str">
        <f t="shared" si="469"/>
        <v/>
      </c>
      <c r="B4332" t="str">
        <f t="shared" si="470"/>
        <v/>
      </c>
      <c r="C4332" t="str">
        <f t="shared" si="471"/>
        <v/>
      </c>
      <c r="D4332" t="str">
        <f t="shared" si="472"/>
        <v/>
      </c>
      <c r="E4332" t="str">
        <f>IF(F4332="","",IF(COUNTIF($F$2:F4332,F4332)&gt;1,"",SUMIFS(tbl_input[필요수량],tbl_input[집계키_센터],F4332)))</f>
        <v/>
      </c>
      <c r="F4332" t="str">
        <f>IFERROR(INDEX(tbl_input[집계키_센터],ROW()-1),"")</f>
        <v/>
      </c>
      <c r="G4332" t="str">
        <f t="shared" si="473"/>
        <v/>
      </c>
      <c r="H4332" t="str">
        <f t="shared" si="474"/>
        <v/>
      </c>
      <c r="I4332" t="str">
        <f t="shared" si="475"/>
        <v/>
      </c>
    </row>
    <row r="4333" spans="1:9" x14ac:dyDescent="0.4">
      <c r="A4333" t="str">
        <f t="shared" si="469"/>
        <v/>
      </c>
      <c r="B4333" t="str">
        <f t="shared" si="470"/>
        <v/>
      </c>
      <c r="C4333" t="str">
        <f t="shared" si="471"/>
        <v/>
      </c>
      <c r="D4333" t="str">
        <f t="shared" si="472"/>
        <v/>
      </c>
      <c r="E4333" t="str">
        <f>IF(F4333="","",IF(COUNTIF($F$2:F4333,F4333)&gt;1,"",SUMIFS(tbl_input[필요수량],tbl_input[집계키_센터],F4333)))</f>
        <v/>
      </c>
      <c r="F4333" t="str">
        <f>IFERROR(INDEX(tbl_input[집계키_센터],ROW()-1),"")</f>
        <v/>
      </c>
      <c r="G4333" t="str">
        <f t="shared" si="473"/>
        <v/>
      </c>
      <c r="H4333" t="str">
        <f t="shared" si="474"/>
        <v/>
      </c>
      <c r="I4333" t="str">
        <f t="shared" si="475"/>
        <v/>
      </c>
    </row>
    <row r="4334" spans="1:9" x14ac:dyDescent="0.4">
      <c r="A4334" t="str">
        <f t="shared" si="469"/>
        <v/>
      </c>
      <c r="B4334" t="str">
        <f t="shared" si="470"/>
        <v/>
      </c>
      <c r="C4334" t="str">
        <f t="shared" si="471"/>
        <v/>
      </c>
      <c r="D4334" t="str">
        <f t="shared" si="472"/>
        <v/>
      </c>
      <c r="E4334" t="str">
        <f>IF(F4334="","",IF(COUNTIF($F$2:F4334,F4334)&gt;1,"",SUMIFS(tbl_input[필요수량],tbl_input[집계키_센터],F4334)))</f>
        <v/>
      </c>
      <c r="F4334" t="str">
        <f>IFERROR(INDEX(tbl_input[집계키_센터],ROW()-1),"")</f>
        <v/>
      </c>
      <c r="G4334" t="str">
        <f t="shared" si="473"/>
        <v/>
      </c>
      <c r="H4334" t="str">
        <f t="shared" si="474"/>
        <v/>
      </c>
      <c r="I4334" t="str">
        <f t="shared" si="475"/>
        <v/>
      </c>
    </row>
    <row r="4335" spans="1:9" x14ac:dyDescent="0.4">
      <c r="A4335" t="str">
        <f t="shared" si="469"/>
        <v/>
      </c>
      <c r="B4335" t="str">
        <f t="shared" si="470"/>
        <v/>
      </c>
      <c r="C4335" t="str">
        <f t="shared" si="471"/>
        <v/>
      </c>
      <c r="D4335" t="str">
        <f t="shared" si="472"/>
        <v/>
      </c>
      <c r="E4335" t="str">
        <f>IF(F4335="","",IF(COUNTIF($F$2:F4335,F4335)&gt;1,"",SUMIFS(tbl_input[필요수량],tbl_input[집계키_센터],F4335)))</f>
        <v/>
      </c>
      <c r="F4335" t="str">
        <f>IFERROR(INDEX(tbl_input[집계키_센터],ROW()-1),"")</f>
        <v/>
      </c>
      <c r="G4335" t="str">
        <f t="shared" si="473"/>
        <v/>
      </c>
      <c r="H4335" t="str">
        <f t="shared" si="474"/>
        <v/>
      </c>
      <c r="I4335" t="str">
        <f t="shared" si="475"/>
        <v/>
      </c>
    </row>
    <row r="4336" spans="1:9" x14ac:dyDescent="0.4">
      <c r="A4336" t="str">
        <f t="shared" si="469"/>
        <v/>
      </c>
      <c r="B4336" t="str">
        <f t="shared" si="470"/>
        <v/>
      </c>
      <c r="C4336" t="str">
        <f t="shared" si="471"/>
        <v/>
      </c>
      <c r="D4336" t="str">
        <f t="shared" si="472"/>
        <v/>
      </c>
      <c r="E4336" t="str">
        <f>IF(F4336="","",IF(COUNTIF($F$2:F4336,F4336)&gt;1,"",SUMIFS(tbl_input[필요수량],tbl_input[집계키_센터],F4336)))</f>
        <v/>
      </c>
      <c r="F4336" t="str">
        <f>IFERROR(INDEX(tbl_input[집계키_센터],ROW()-1),"")</f>
        <v/>
      </c>
      <c r="G4336" t="str">
        <f t="shared" si="473"/>
        <v/>
      </c>
      <c r="H4336" t="str">
        <f t="shared" si="474"/>
        <v/>
      </c>
      <c r="I4336" t="str">
        <f t="shared" si="475"/>
        <v/>
      </c>
    </row>
    <row r="4337" spans="1:9" x14ac:dyDescent="0.4">
      <c r="A4337" t="str">
        <f t="shared" si="469"/>
        <v/>
      </c>
      <c r="B4337" t="str">
        <f t="shared" si="470"/>
        <v/>
      </c>
      <c r="C4337" t="str">
        <f t="shared" si="471"/>
        <v/>
      </c>
      <c r="D4337" t="str">
        <f t="shared" si="472"/>
        <v/>
      </c>
      <c r="E4337" t="str">
        <f>IF(F4337="","",IF(COUNTIF($F$2:F4337,F4337)&gt;1,"",SUMIFS(tbl_input[필요수량],tbl_input[집계키_센터],F4337)))</f>
        <v/>
      </c>
      <c r="F4337" t="str">
        <f>IFERROR(INDEX(tbl_input[집계키_센터],ROW()-1),"")</f>
        <v/>
      </c>
      <c r="G4337" t="str">
        <f t="shared" si="473"/>
        <v/>
      </c>
      <c r="H4337" t="str">
        <f t="shared" si="474"/>
        <v/>
      </c>
      <c r="I4337" t="str">
        <f t="shared" si="475"/>
        <v/>
      </c>
    </row>
    <row r="4338" spans="1:9" x14ac:dyDescent="0.4">
      <c r="A4338" t="str">
        <f t="shared" si="469"/>
        <v/>
      </c>
      <c r="B4338" t="str">
        <f t="shared" si="470"/>
        <v/>
      </c>
      <c r="C4338" t="str">
        <f t="shared" si="471"/>
        <v/>
      </c>
      <c r="D4338" t="str">
        <f t="shared" si="472"/>
        <v/>
      </c>
      <c r="E4338" t="str">
        <f>IF(F4338="","",IF(COUNTIF($F$2:F4338,F4338)&gt;1,"",SUMIFS(tbl_input[필요수량],tbl_input[집계키_센터],F4338)))</f>
        <v/>
      </c>
      <c r="F4338" t="str">
        <f>IFERROR(INDEX(tbl_input[집계키_센터],ROW()-1),"")</f>
        <v/>
      </c>
      <c r="G4338" t="str">
        <f t="shared" si="473"/>
        <v/>
      </c>
      <c r="H4338" t="str">
        <f t="shared" si="474"/>
        <v/>
      </c>
      <c r="I4338" t="str">
        <f t="shared" si="475"/>
        <v/>
      </c>
    </row>
    <row r="4339" spans="1:9" x14ac:dyDescent="0.4">
      <c r="A4339" t="str">
        <f t="shared" si="469"/>
        <v/>
      </c>
      <c r="B4339" t="str">
        <f t="shared" si="470"/>
        <v/>
      </c>
      <c r="C4339" t="str">
        <f t="shared" si="471"/>
        <v/>
      </c>
      <c r="D4339" t="str">
        <f t="shared" si="472"/>
        <v/>
      </c>
      <c r="E4339" t="str">
        <f>IF(F4339="","",IF(COUNTIF($F$2:F4339,F4339)&gt;1,"",SUMIFS(tbl_input[필요수량],tbl_input[집계키_센터],F4339)))</f>
        <v/>
      </c>
      <c r="F4339" t="str">
        <f>IFERROR(INDEX(tbl_input[집계키_센터],ROW()-1),"")</f>
        <v/>
      </c>
      <c r="G4339" t="str">
        <f t="shared" si="473"/>
        <v/>
      </c>
      <c r="H4339" t="str">
        <f t="shared" si="474"/>
        <v/>
      </c>
      <c r="I4339" t="str">
        <f t="shared" si="475"/>
        <v/>
      </c>
    </row>
    <row r="4340" spans="1:9" x14ac:dyDescent="0.4">
      <c r="A4340" t="str">
        <f t="shared" si="469"/>
        <v/>
      </c>
      <c r="B4340" t="str">
        <f t="shared" si="470"/>
        <v/>
      </c>
      <c r="C4340" t="str">
        <f t="shared" si="471"/>
        <v/>
      </c>
      <c r="D4340" t="str">
        <f t="shared" si="472"/>
        <v/>
      </c>
      <c r="E4340" t="str">
        <f>IF(F4340="","",IF(COUNTIF($F$2:F4340,F4340)&gt;1,"",SUMIFS(tbl_input[필요수량],tbl_input[집계키_센터],F4340)))</f>
        <v/>
      </c>
      <c r="F4340" t="str">
        <f>IFERROR(INDEX(tbl_input[집계키_센터],ROW()-1),"")</f>
        <v/>
      </c>
      <c r="G4340" t="str">
        <f t="shared" si="473"/>
        <v/>
      </c>
      <c r="H4340" t="str">
        <f t="shared" si="474"/>
        <v/>
      </c>
      <c r="I4340" t="str">
        <f t="shared" si="475"/>
        <v/>
      </c>
    </row>
    <row r="4341" spans="1:9" x14ac:dyDescent="0.4">
      <c r="A4341" t="str">
        <f t="shared" si="469"/>
        <v/>
      </c>
      <c r="B4341" t="str">
        <f t="shared" si="470"/>
        <v/>
      </c>
      <c r="C4341" t="str">
        <f t="shared" si="471"/>
        <v/>
      </c>
      <c r="D4341" t="str">
        <f t="shared" si="472"/>
        <v/>
      </c>
      <c r="E4341" t="str">
        <f>IF(F4341="","",IF(COUNTIF($F$2:F4341,F4341)&gt;1,"",SUMIFS(tbl_input[필요수량],tbl_input[집계키_센터],F4341)))</f>
        <v/>
      </c>
      <c r="F4341" t="str">
        <f>IFERROR(INDEX(tbl_input[집계키_센터],ROW()-1),"")</f>
        <v/>
      </c>
      <c r="G4341" t="str">
        <f t="shared" si="473"/>
        <v/>
      </c>
      <c r="H4341" t="str">
        <f t="shared" si="474"/>
        <v/>
      </c>
      <c r="I4341" t="str">
        <f t="shared" si="475"/>
        <v/>
      </c>
    </row>
    <row r="4342" spans="1:9" x14ac:dyDescent="0.4">
      <c r="A4342" t="str">
        <f t="shared" si="469"/>
        <v/>
      </c>
      <c r="B4342" t="str">
        <f t="shared" si="470"/>
        <v/>
      </c>
      <c r="C4342" t="str">
        <f t="shared" si="471"/>
        <v/>
      </c>
      <c r="D4342" t="str">
        <f t="shared" si="472"/>
        <v/>
      </c>
      <c r="E4342" t="str">
        <f>IF(F4342="","",IF(COUNTIF($F$2:F4342,F4342)&gt;1,"",SUMIFS(tbl_input[필요수량],tbl_input[집계키_센터],F4342)))</f>
        <v/>
      </c>
      <c r="F4342" t="str">
        <f>IFERROR(INDEX(tbl_input[집계키_센터],ROW()-1),"")</f>
        <v/>
      </c>
      <c r="G4342" t="str">
        <f t="shared" si="473"/>
        <v/>
      </c>
      <c r="H4342" t="str">
        <f t="shared" si="474"/>
        <v/>
      </c>
      <c r="I4342" t="str">
        <f t="shared" si="475"/>
        <v/>
      </c>
    </row>
    <row r="4343" spans="1:9" x14ac:dyDescent="0.4">
      <c r="A4343" t="str">
        <f t="shared" si="469"/>
        <v/>
      </c>
      <c r="B4343" t="str">
        <f t="shared" si="470"/>
        <v/>
      </c>
      <c r="C4343" t="str">
        <f t="shared" si="471"/>
        <v/>
      </c>
      <c r="D4343" t="str">
        <f t="shared" si="472"/>
        <v/>
      </c>
      <c r="E4343" t="str">
        <f>IF(F4343="","",IF(COUNTIF($F$2:F4343,F4343)&gt;1,"",SUMIFS(tbl_input[필요수량],tbl_input[집계키_센터],F4343)))</f>
        <v/>
      </c>
      <c r="F4343" t="str">
        <f>IFERROR(INDEX(tbl_input[집계키_센터],ROW()-1),"")</f>
        <v/>
      </c>
      <c r="G4343" t="str">
        <f t="shared" si="473"/>
        <v/>
      </c>
      <c r="H4343" t="str">
        <f t="shared" si="474"/>
        <v/>
      </c>
      <c r="I4343" t="str">
        <f t="shared" si="475"/>
        <v/>
      </c>
    </row>
    <row r="4344" spans="1:9" x14ac:dyDescent="0.4">
      <c r="A4344" t="str">
        <f t="shared" si="469"/>
        <v/>
      </c>
      <c r="B4344" t="str">
        <f t="shared" si="470"/>
        <v/>
      </c>
      <c r="C4344" t="str">
        <f t="shared" si="471"/>
        <v/>
      </c>
      <c r="D4344" t="str">
        <f t="shared" si="472"/>
        <v/>
      </c>
      <c r="E4344" t="str">
        <f>IF(F4344="","",IF(COUNTIF($F$2:F4344,F4344)&gt;1,"",SUMIFS(tbl_input[필요수량],tbl_input[집계키_센터],F4344)))</f>
        <v/>
      </c>
      <c r="F4344" t="str">
        <f>IFERROR(INDEX(tbl_input[집계키_센터],ROW()-1),"")</f>
        <v/>
      </c>
      <c r="G4344" t="str">
        <f t="shared" si="473"/>
        <v/>
      </c>
      <c r="H4344" t="str">
        <f t="shared" si="474"/>
        <v/>
      </c>
      <c r="I4344" t="str">
        <f t="shared" si="475"/>
        <v/>
      </c>
    </row>
    <row r="4345" spans="1:9" x14ac:dyDescent="0.4">
      <c r="A4345" t="str">
        <f t="shared" si="469"/>
        <v/>
      </c>
      <c r="B4345" t="str">
        <f t="shared" si="470"/>
        <v/>
      </c>
      <c r="C4345" t="str">
        <f t="shared" si="471"/>
        <v/>
      </c>
      <c r="D4345" t="str">
        <f t="shared" si="472"/>
        <v/>
      </c>
      <c r="E4345" t="str">
        <f>IF(F4345="","",IF(COUNTIF($F$2:F4345,F4345)&gt;1,"",SUMIFS(tbl_input[필요수량],tbl_input[집계키_센터],F4345)))</f>
        <v/>
      </c>
      <c r="F4345" t="str">
        <f>IFERROR(INDEX(tbl_input[집계키_센터],ROW()-1),"")</f>
        <v/>
      </c>
      <c r="G4345" t="str">
        <f t="shared" si="473"/>
        <v/>
      </c>
      <c r="H4345" t="str">
        <f t="shared" si="474"/>
        <v/>
      </c>
      <c r="I4345" t="str">
        <f t="shared" si="475"/>
        <v/>
      </c>
    </row>
    <row r="4346" spans="1:9" x14ac:dyDescent="0.4">
      <c r="A4346" t="str">
        <f t="shared" si="469"/>
        <v/>
      </c>
      <c r="B4346" t="str">
        <f t="shared" si="470"/>
        <v/>
      </c>
      <c r="C4346" t="str">
        <f t="shared" si="471"/>
        <v/>
      </c>
      <c r="D4346" t="str">
        <f t="shared" si="472"/>
        <v/>
      </c>
      <c r="E4346" t="str">
        <f>IF(F4346="","",IF(COUNTIF($F$2:F4346,F4346)&gt;1,"",SUMIFS(tbl_input[필요수량],tbl_input[집계키_센터],F4346)))</f>
        <v/>
      </c>
      <c r="F4346" t="str">
        <f>IFERROR(INDEX(tbl_input[집계키_센터],ROW()-1),"")</f>
        <v/>
      </c>
      <c r="G4346" t="str">
        <f t="shared" si="473"/>
        <v/>
      </c>
      <c r="H4346" t="str">
        <f t="shared" si="474"/>
        <v/>
      </c>
      <c r="I4346" t="str">
        <f t="shared" si="475"/>
        <v/>
      </c>
    </row>
    <row r="4347" spans="1:9" x14ac:dyDescent="0.4">
      <c r="A4347" t="str">
        <f t="shared" si="469"/>
        <v/>
      </c>
      <c r="B4347" t="str">
        <f t="shared" si="470"/>
        <v/>
      </c>
      <c r="C4347" t="str">
        <f t="shared" si="471"/>
        <v/>
      </c>
      <c r="D4347" t="str">
        <f t="shared" si="472"/>
        <v/>
      </c>
      <c r="E4347" t="str">
        <f>IF(F4347="","",IF(COUNTIF($F$2:F4347,F4347)&gt;1,"",SUMIFS(tbl_input[필요수량],tbl_input[집계키_센터],F4347)))</f>
        <v/>
      </c>
      <c r="F4347" t="str">
        <f>IFERROR(INDEX(tbl_input[집계키_센터],ROW()-1),"")</f>
        <v/>
      </c>
      <c r="G4347" t="str">
        <f t="shared" si="473"/>
        <v/>
      </c>
      <c r="H4347" t="str">
        <f t="shared" si="474"/>
        <v/>
      </c>
      <c r="I4347" t="str">
        <f t="shared" si="475"/>
        <v/>
      </c>
    </row>
    <row r="4348" spans="1:9" x14ac:dyDescent="0.4">
      <c r="A4348" t="str">
        <f t="shared" si="469"/>
        <v/>
      </c>
      <c r="B4348" t="str">
        <f t="shared" si="470"/>
        <v/>
      </c>
      <c r="C4348" t="str">
        <f t="shared" si="471"/>
        <v/>
      </c>
      <c r="D4348" t="str">
        <f t="shared" si="472"/>
        <v/>
      </c>
      <c r="E4348" t="str">
        <f>IF(F4348="","",IF(COUNTIF($F$2:F4348,F4348)&gt;1,"",SUMIFS(tbl_input[필요수량],tbl_input[집계키_센터],F4348)))</f>
        <v/>
      </c>
      <c r="F4348" t="str">
        <f>IFERROR(INDEX(tbl_input[집계키_센터],ROW()-1),"")</f>
        <v/>
      </c>
      <c r="G4348" t="str">
        <f t="shared" si="473"/>
        <v/>
      </c>
      <c r="H4348" t="str">
        <f t="shared" si="474"/>
        <v/>
      </c>
      <c r="I4348" t="str">
        <f t="shared" si="475"/>
        <v/>
      </c>
    </row>
    <row r="4349" spans="1:9" x14ac:dyDescent="0.4">
      <c r="A4349" t="str">
        <f t="shared" si="469"/>
        <v/>
      </c>
      <c r="B4349" t="str">
        <f t="shared" si="470"/>
        <v/>
      </c>
      <c r="C4349" t="str">
        <f t="shared" si="471"/>
        <v/>
      </c>
      <c r="D4349" t="str">
        <f t="shared" si="472"/>
        <v/>
      </c>
      <c r="E4349" t="str">
        <f>IF(F4349="","",IF(COUNTIF($F$2:F4349,F4349)&gt;1,"",SUMIFS(tbl_input[필요수량],tbl_input[집계키_센터],F4349)))</f>
        <v/>
      </c>
      <c r="F4349" t="str">
        <f>IFERROR(INDEX(tbl_input[집계키_센터],ROW()-1),"")</f>
        <v/>
      </c>
      <c r="G4349" t="str">
        <f t="shared" si="473"/>
        <v/>
      </c>
      <c r="H4349" t="str">
        <f t="shared" si="474"/>
        <v/>
      </c>
      <c r="I4349" t="str">
        <f t="shared" si="475"/>
        <v/>
      </c>
    </row>
    <row r="4350" spans="1:9" x14ac:dyDescent="0.4">
      <c r="A4350" t="str">
        <f t="shared" si="469"/>
        <v/>
      </c>
      <c r="B4350" t="str">
        <f t="shared" si="470"/>
        <v/>
      </c>
      <c r="C4350" t="str">
        <f t="shared" si="471"/>
        <v/>
      </c>
      <c r="D4350" t="str">
        <f t="shared" si="472"/>
        <v/>
      </c>
      <c r="E4350" t="str">
        <f>IF(F4350="","",IF(COUNTIF($F$2:F4350,F4350)&gt;1,"",SUMIFS(tbl_input[필요수량],tbl_input[집계키_센터],F4350)))</f>
        <v/>
      </c>
      <c r="F4350" t="str">
        <f>IFERROR(INDEX(tbl_input[집계키_센터],ROW()-1),"")</f>
        <v/>
      </c>
      <c r="G4350" t="str">
        <f t="shared" si="473"/>
        <v/>
      </c>
      <c r="H4350" t="str">
        <f t="shared" si="474"/>
        <v/>
      </c>
      <c r="I4350" t="str">
        <f t="shared" si="475"/>
        <v/>
      </c>
    </row>
    <row r="4351" spans="1:9" x14ac:dyDescent="0.4">
      <c r="A4351" t="str">
        <f t="shared" si="469"/>
        <v/>
      </c>
      <c r="B4351" t="str">
        <f t="shared" si="470"/>
        <v/>
      </c>
      <c r="C4351" t="str">
        <f t="shared" si="471"/>
        <v/>
      </c>
      <c r="D4351" t="str">
        <f t="shared" si="472"/>
        <v/>
      </c>
      <c r="E4351" t="str">
        <f>IF(F4351="","",IF(COUNTIF($F$2:F4351,F4351)&gt;1,"",SUMIFS(tbl_input[필요수량],tbl_input[집계키_센터],F4351)))</f>
        <v/>
      </c>
      <c r="F4351" t="str">
        <f>IFERROR(INDEX(tbl_input[집계키_센터],ROW()-1),"")</f>
        <v/>
      </c>
      <c r="G4351" t="str">
        <f t="shared" si="473"/>
        <v/>
      </c>
      <c r="H4351" t="str">
        <f t="shared" si="474"/>
        <v/>
      </c>
      <c r="I4351" t="str">
        <f t="shared" si="475"/>
        <v/>
      </c>
    </row>
    <row r="4352" spans="1:9" x14ac:dyDescent="0.4">
      <c r="A4352" t="str">
        <f t="shared" si="469"/>
        <v/>
      </c>
      <c r="B4352" t="str">
        <f t="shared" si="470"/>
        <v/>
      </c>
      <c r="C4352" t="str">
        <f t="shared" si="471"/>
        <v/>
      </c>
      <c r="D4352" t="str">
        <f t="shared" si="472"/>
        <v/>
      </c>
      <c r="E4352" t="str">
        <f>IF(F4352="","",IF(COUNTIF($F$2:F4352,F4352)&gt;1,"",SUMIFS(tbl_input[필요수량],tbl_input[집계키_센터],F4352)))</f>
        <v/>
      </c>
      <c r="F4352" t="str">
        <f>IFERROR(INDEX(tbl_input[집계키_센터],ROW()-1),"")</f>
        <v/>
      </c>
      <c r="G4352" t="str">
        <f t="shared" si="473"/>
        <v/>
      </c>
      <c r="H4352" t="str">
        <f t="shared" si="474"/>
        <v/>
      </c>
      <c r="I4352" t="str">
        <f t="shared" si="475"/>
        <v/>
      </c>
    </row>
    <row r="4353" spans="1:9" x14ac:dyDescent="0.4">
      <c r="A4353" t="str">
        <f t="shared" si="469"/>
        <v/>
      </c>
      <c r="B4353" t="str">
        <f t="shared" si="470"/>
        <v/>
      </c>
      <c r="C4353" t="str">
        <f t="shared" si="471"/>
        <v/>
      </c>
      <c r="D4353" t="str">
        <f t="shared" si="472"/>
        <v/>
      </c>
      <c r="E4353" t="str">
        <f>IF(F4353="","",IF(COUNTIF($F$2:F4353,F4353)&gt;1,"",SUMIFS(tbl_input[필요수량],tbl_input[집계키_센터],F4353)))</f>
        <v/>
      </c>
      <c r="F4353" t="str">
        <f>IFERROR(INDEX(tbl_input[집계키_센터],ROW()-1),"")</f>
        <v/>
      </c>
      <c r="G4353" t="str">
        <f t="shared" si="473"/>
        <v/>
      </c>
      <c r="H4353" t="str">
        <f t="shared" si="474"/>
        <v/>
      </c>
      <c r="I4353" t="str">
        <f t="shared" si="475"/>
        <v/>
      </c>
    </row>
    <row r="4354" spans="1:9" x14ac:dyDescent="0.4">
      <c r="A4354" t="str">
        <f t="shared" ref="A4354:A4417" si="476">IF(F4354="","",LEFT(F4354,G4354-1))</f>
        <v/>
      </c>
      <c r="B4354" t="str">
        <f t="shared" ref="B4354:B4417" si="477">IF(F4354="","",MID(F4354,G4354+1,H4354-G4354-1))</f>
        <v/>
      </c>
      <c r="C4354" t="str">
        <f t="shared" ref="C4354:C4417" si="478">IF(F4354="","",MID(F4354,H4354+1,I4354-H4354-1))</f>
        <v/>
      </c>
      <c r="D4354" t="str">
        <f t="shared" ref="D4354:D4417" si="479">IF(F4354="","",MID(F4354,I4354+1,999))</f>
        <v/>
      </c>
      <c r="E4354" t="str">
        <f>IF(F4354="","",IF(COUNTIF($F$2:F4354,F4354)&gt;1,"",SUMIFS(tbl_input[필요수량],tbl_input[집계키_센터],F4354)))</f>
        <v/>
      </c>
      <c r="F4354" t="str">
        <f>IFERROR(INDEX(tbl_input[집계키_센터],ROW()-1),"")</f>
        <v/>
      </c>
      <c r="G4354" t="str">
        <f t="shared" ref="G4354:G4417" si="480">IF(F4354="","",FIND("♦",F4354))</f>
        <v/>
      </c>
      <c r="H4354" t="str">
        <f t="shared" ref="H4354:H4417" si="481">IF(F4354="","",FIND("♦",F4354,G4354+1))</f>
        <v/>
      </c>
      <c r="I4354" t="str">
        <f t="shared" ref="I4354:I4417" si="482">IF(F4354="","",FIND("♦",F4354,H4354+1))</f>
        <v/>
      </c>
    </row>
    <row r="4355" spans="1:9" x14ac:dyDescent="0.4">
      <c r="A4355" t="str">
        <f t="shared" si="476"/>
        <v/>
      </c>
      <c r="B4355" t="str">
        <f t="shared" si="477"/>
        <v/>
      </c>
      <c r="C4355" t="str">
        <f t="shared" si="478"/>
        <v/>
      </c>
      <c r="D4355" t="str">
        <f t="shared" si="479"/>
        <v/>
      </c>
      <c r="E4355" t="str">
        <f>IF(F4355="","",IF(COUNTIF($F$2:F4355,F4355)&gt;1,"",SUMIFS(tbl_input[필요수량],tbl_input[집계키_센터],F4355)))</f>
        <v/>
      </c>
      <c r="F4355" t="str">
        <f>IFERROR(INDEX(tbl_input[집계키_센터],ROW()-1),"")</f>
        <v/>
      </c>
      <c r="G4355" t="str">
        <f t="shared" si="480"/>
        <v/>
      </c>
      <c r="H4355" t="str">
        <f t="shared" si="481"/>
        <v/>
      </c>
      <c r="I4355" t="str">
        <f t="shared" si="482"/>
        <v/>
      </c>
    </row>
    <row r="4356" spans="1:9" x14ac:dyDescent="0.4">
      <c r="A4356" t="str">
        <f t="shared" si="476"/>
        <v/>
      </c>
      <c r="B4356" t="str">
        <f t="shared" si="477"/>
        <v/>
      </c>
      <c r="C4356" t="str">
        <f t="shared" si="478"/>
        <v/>
      </c>
      <c r="D4356" t="str">
        <f t="shared" si="479"/>
        <v/>
      </c>
      <c r="E4356" t="str">
        <f>IF(F4356="","",IF(COUNTIF($F$2:F4356,F4356)&gt;1,"",SUMIFS(tbl_input[필요수량],tbl_input[집계키_센터],F4356)))</f>
        <v/>
      </c>
      <c r="F4356" t="str">
        <f>IFERROR(INDEX(tbl_input[집계키_센터],ROW()-1),"")</f>
        <v/>
      </c>
      <c r="G4356" t="str">
        <f t="shared" si="480"/>
        <v/>
      </c>
      <c r="H4356" t="str">
        <f t="shared" si="481"/>
        <v/>
      </c>
      <c r="I4356" t="str">
        <f t="shared" si="482"/>
        <v/>
      </c>
    </row>
    <row r="4357" spans="1:9" x14ac:dyDescent="0.4">
      <c r="A4357" t="str">
        <f t="shared" si="476"/>
        <v/>
      </c>
      <c r="B4357" t="str">
        <f t="shared" si="477"/>
        <v/>
      </c>
      <c r="C4357" t="str">
        <f t="shared" si="478"/>
        <v/>
      </c>
      <c r="D4357" t="str">
        <f t="shared" si="479"/>
        <v/>
      </c>
      <c r="E4357" t="str">
        <f>IF(F4357="","",IF(COUNTIF($F$2:F4357,F4357)&gt;1,"",SUMIFS(tbl_input[필요수량],tbl_input[집계키_센터],F4357)))</f>
        <v/>
      </c>
      <c r="F4357" t="str">
        <f>IFERROR(INDEX(tbl_input[집계키_센터],ROW()-1),"")</f>
        <v/>
      </c>
      <c r="G4357" t="str">
        <f t="shared" si="480"/>
        <v/>
      </c>
      <c r="H4357" t="str">
        <f t="shared" si="481"/>
        <v/>
      </c>
      <c r="I4357" t="str">
        <f t="shared" si="482"/>
        <v/>
      </c>
    </row>
    <row r="4358" spans="1:9" x14ac:dyDescent="0.4">
      <c r="A4358" t="str">
        <f t="shared" si="476"/>
        <v/>
      </c>
      <c r="B4358" t="str">
        <f t="shared" si="477"/>
        <v/>
      </c>
      <c r="C4358" t="str">
        <f t="shared" si="478"/>
        <v/>
      </c>
      <c r="D4358" t="str">
        <f t="shared" si="479"/>
        <v/>
      </c>
      <c r="E4358" t="str">
        <f>IF(F4358="","",IF(COUNTIF($F$2:F4358,F4358)&gt;1,"",SUMIFS(tbl_input[필요수량],tbl_input[집계키_센터],F4358)))</f>
        <v/>
      </c>
      <c r="F4358" t="str">
        <f>IFERROR(INDEX(tbl_input[집계키_센터],ROW()-1),"")</f>
        <v/>
      </c>
      <c r="G4358" t="str">
        <f t="shared" si="480"/>
        <v/>
      </c>
      <c r="H4358" t="str">
        <f t="shared" si="481"/>
        <v/>
      </c>
      <c r="I4358" t="str">
        <f t="shared" si="482"/>
        <v/>
      </c>
    </row>
    <row r="4359" spans="1:9" x14ac:dyDescent="0.4">
      <c r="A4359" t="str">
        <f t="shared" si="476"/>
        <v/>
      </c>
      <c r="B4359" t="str">
        <f t="shared" si="477"/>
        <v/>
      </c>
      <c r="C4359" t="str">
        <f t="shared" si="478"/>
        <v/>
      </c>
      <c r="D4359" t="str">
        <f t="shared" si="479"/>
        <v/>
      </c>
      <c r="E4359" t="str">
        <f>IF(F4359="","",IF(COUNTIF($F$2:F4359,F4359)&gt;1,"",SUMIFS(tbl_input[필요수량],tbl_input[집계키_센터],F4359)))</f>
        <v/>
      </c>
      <c r="F4359" t="str">
        <f>IFERROR(INDEX(tbl_input[집계키_센터],ROW()-1),"")</f>
        <v/>
      </c>
      <c r="G4359" t="str">
        <f t="shared" si="480"/>
        <v/>
      </c>
      <c r="H4359" t="str">
        <f t="shared" si="481"/>
        <v/>
      </c>
      <c r="I4359" t="str">
        <f t="shared" si="482"/>
        <v/>
      </c>
    </row>
    <row r="4360" spans="1:9" x14ac:dyDescent="0.4">
      <c r="A4360" t="str">
        <f t="shared" si="476"/>
        <v/>
      </c>
      <c r="B4360" t="str">
        <f t="shared" si="477"/>
        <v/>
      </c>
      <c r="C4360" t="str">
        <f t="shared" si="478"/>
        <v/>
      </c>
      <c r="D4360" t="str">
        <f t="shared" si="479"/>
        <v/>
      </c>
      <c r="E4360" t="str">
        <f>IF(F4360="","",IF(COUNTIF($F$2:F4360,F4360)&gt;1,"",SUMIFS(tbl_input[필요수량],tbl_input[집계키_센터],F4360)))</f>
        <v/>
      </c>
      <c r="F4360" t="str">
        <f>IFERROR(INDEX(tbl_input[집계키_센터],ROW()-1),"")</f>
        <v/>
      </c>
      <c r="G4360" t="str">
        <f t="shared" si="480"/>
        <v/>
      </c>
      <c r="H4360" t="str">
        <f t="shared" si="481"/>
        <v/>
      </c>
      <c r="I4360" t="str">
        <f t="shared" si="482"/>
        <v/>
      </c>
    </row>
    <row r="4361" spans="1:9" x14ac:dyDescent="0.4">
      <c r="A4361" t="str">
        <f t="shared" si="476"/>
        <v/>
      </c>
      <c r="B4361" t="str">
        <f t="shared" si="477"/>
        <v/>
      </c>
      <c r="C4361" t="str">
        <f t="shared" si="478"/>
        <v/>
      </c>
      <c r="D4361" t="str">
        <f t="shared" si="479"/>
        <v/>
      </c>
      <c r="E4361" t="str">
        <f>IF(F4361="","",IF(COUNTIF($F$2:F4361,F4361)&gt;1,"",SUMIFS(tbl_input[필요수량],tbl_input[집계키_센터],F4361)))</f>
        <v/>
      </c>
      <c r="F4361" t="str">
        <f>IFERROR(INDEX(tbl_input[집계키_센터],ROW()-1),"")</f>
        <v/>
      </c>
      <c r="G4361" t="str">
        <f t="shared" si="480"/>
        <v/>
      </c>
      <c r="H4361" t="str">
        <f t="shared" si="481"/>
        <v/>
      </c>
      <c r="I4361" t="str">
        <f t="shared" si="482"/>
        <v/>
      </c>
    </row>
    <row r="4362" spans="1:9" x14ac:dyDescent="0.4">
      <c r="A4362" t="str">
        <f t="shared" si="476"/>
        <v/>
      </c>
      <c r="B4362" t="str">
        <f t="shared" si="477"/>
        <v/>
      </c>
      <c r="C4362" t="str">
        <f t="shared" si="478"/>
        <v/>
      </c>
      <c r="D4362" t="str">
        <f t="shared" si="479"/>
        <v/>
      </c>
      <c r="E4362" t="str">
        <f>IF(F4362="","",IF(COUNTIF($F$2:F4362,F4362)&gt;1,"",SUMIFS(tbl_input[필요수량],tbl_input[집계키_센터],F4362)))</f>
        <v/>
      </c>
      <c r="F4362" t="str">
        <f>IFERROR(INDEX(tbl_input[집계키_센터],ROW()-1),"")</f>
        <v/>
      </c>
      <c r="G4362" t="str">
        <f t="shared" si="480"/>
        <v/>
      </c>
      <c r="H4362" t="str">
        <f t="shared" si="481"/>
        <v/>
      </c>
      <c r="I4362" t="str">
        <f t="shared" si="482"/>
        <v/>
      </c>
    </row>
    <row r="4363" spans="1:9" x14ac:dyDescent="0.4">
      <c r="A4363" t="str">
        <f t="shared" si="476"/>
        <v/>
      </c>
      <c r="B4363" t="str">
        <f t="shared" si="477"/>
        <v/>
      </c>
      <c r="C4363" t="str">
        <f t="shared" si="478"/>
        <v/>
      </c>
      <c r="D4363" t="str">
        <f t="shared" si="479"/>
        <v/>
      </c>
      <c r="E4363" t="str">
        <f>IF(F4363="","",IF(COUNTIF($F$2:F4363,F4363)&gt;1,"",SUMIFS(tbl_input[필요수량],tbl_input[집계키_센터],F4363)))</f>
        <v/>
      </c>
      <c r="F4363" t="str">
        <f>IFERROR(INDEX(tbl_input[집계키_센터],ROW()-1),"")</f>
        <v/>
      </c>
      <c r="G4363" t="str">
        <f t="shared" si="480"/>
        <v/>
      </c>
      <c r="H4363" t="str">
        <f t="shared" si="481"/>
        <v/>
      </c>
      <c r="I4363" t="str">
        <f t="shared" si="482"/>
        <v/>
      </c>
    </row>
    <row r="4364" spans="1:9" x14ac:dyDescent="0.4">
      <c r="A4364" t="str">
        <f t="shared" si="476"/>
        <v/>
      </c>
      <c r="B4364" t="str">
        <f t="shared" si="477"/>
        <v/>
      </c>
      <c r="C4364" t="str">
        <f t="shared" si="478"/>
        <v/>
      </c>
      <c r="D4364" t="str">
        <f t="shared" si="479"/>
        <v/>
      </c>
      <c r="E4364" t="str">
        <f>IF(F4364="","",IF(COUNTIF($F$2:F4364,F4364)&gt;1,"",SUMIFS(tbl_input[필요수량],tbl_input[집계키_센터],F4364)))</f>
        <v/>
      </c>
      <c r="F4364" t="str">
        <f>IFERROR(INDEX(tbl_input[집계키_센터],ROW()-1),"")</f>
        <v/>
      </c>
      <c r="G4364" t="str">
        <f t="shared" si="480"/>
        <v/>
      </c>
      <c r="H4364" t="str">
        <f t="shared" si="481"/>
        <v/>
      </c>
      <c r="I4364" t="str">
        <f t="shared" si="482"/>
        <v/>
      </c>
    </row>
    <row r="4365" spans="1:9" x14ac:dyDescent="0.4">
      <c r="A4365" t="str">
        <f t="shared" si="476"/>
        <v/>
      </c>
      <c r="B4365" t="str">
        <f t="shared" si="477"/>
        <v/>
      </c>
      <c r="C4365" t="str">
        <f t="shared" si="478"/>
        <v/>
      </c>
      <c r="D4365" t="str">
        <f t="shared" si="479"/>
        <v/>
      </c>
      <c r="E4365" t="str">
        <f>IF(F4365="","",IF(COUNTIF($F$2:F4365,F4365)&gt;1,"",SUMIFS(tbl_input[필요수량],tbl_input[집계키_센터],F4365)))</f>
        <v/>
      </c>
      <c r="F4365" t="str">
        <f>IFERROR(INDEX(tbl_input[집계키_센터],ROW()-1),"")</f>
        <v/>
      </c>
      <c r="G4365" t="str">
        <f t="shared" si="480"/>
        <v/>
      </c>
      <c r="H4365" t="str">
        <f t="shared" si="481"/>
        <v/>
      </c>
      <c r="I4365" t="str">
        <f t="shared" si="482"/>
        <v/>
      </c>
    </row>
    <row r="4366" spans="1:9" x14ac:dyDescent="0.4">
      <c r="A4366" t="str">
        <f t="shared" si="476"/>
        <v/>
      </c>
      <c r="B4366" t="str">
        <f t="shared" si="477"/>
        <v/>
      </c>
      <c r="C4366" t="str">
        <f t="shared" si="478"/>
        <v/>
      </c>
      <c r="D4366" t="str">
        <f t="shared" si="479"/>
        <v/>
      </c>
      <c r="E4366" t="str">
        <f>IF(F4366="","",IF(COUNTIF($F$2:F4366,F4366)&gt;1,"",SUMIFS(tbl_input[필요수량],tbl_input[집계키_센터],F4366)))</f>
        <v/>
      </c>
      <c r="F4366" t="str">
        <f>IFERROR(INDEX(tbl_input[집계키_센터],ROW()-1),"")</f>
        <v/>
      </c>
      <c r="G4366" t="str">
        <f t="shared" si="480"/>
        <v/>
      </c>
      <c r="H4366" t="str">
        <f t="shared" si="481"/>
        <v/>
      </c>
      <c r="I4366" t="str">
        <f t="shared" si="482"/>
        <v/>
      </c>
    </row>
    <row r="4367" spans="1:9" x14ac:dyDescent="0.4">
      <c r="A4367" t="str">
        <f t="shared" si="476"/>
        <v/>
      </c>
      <c r="B4367" t="str">
        <f t="shared" si="477"/>
        <v/>
      </c>
      <c r="C4367" t="str">
        <f t="shared" si="478"/>
        <v/>
      </c>
      <c r="D4367" t="str">
        <f t="shared" si="479"/>
        <v/>
      </c>
      <c r="E4367" t="str">
        <f>IF(F4367="","",IF(COUNTIF($F$2:F4367,F4367)&gt;1,"",SUMIFS(tbl_input[필요수량],tbl_input[집계키_센터],F4367)))</f>
        <v/>
      </c>
      <c r="F4367" t="str">
        <f>IFERROR(INDEX(tbl_input[집계키_센터],ROW()-1),"")</f>
        <v/>
      </c>
      <c r="G4367" t="str">
        <f t="shared" si="480"/>
        <v/>
      </c>
      <c r="H4367" t="str">
        <f t="shared" si="481"/>
        <v/>
      </c>
      <c r="I4367" t="str">
        <f t="shared" si="482"/>
        <v/>
      </c>
    </row>
    <row r="4368" spans="1:9" x14ac:dyDescent="0.4">
      <c r="A4368" t="str">
        <f t="shared" si="476"/>
        <v/>
      </c>
      <c r="B4368" t="str">
        <f t="shared" si="477"/>
        <v/>
      </c>
      <c r="C4368" t="str">
        <f t="shared" si="478"/>
        <v/>
      </c>
      <c r="D4368" t="str">
        <f t="shared" si="479"/>
        <v/>
      </c>
      <c r="E4368" t="str">
        <f>IF(F4368="","",IF(COUNTIF($F$2:F4368,F4368)&gt;1,"",SUMIFS(tbl_input[필요수량],tbl_input[집계키_센터],F4368)))</f>
        <v/>
      </c>
      <c r="F4368" t="str">
        <f>IFERROR(INDEX(tbl_input[집계키_센터],ROW()-1),"")</f>
        <v/>
      </c>
      <c r="G4368" t="str">
        <f t="shared" si="480"/>
        <v/>
      </c>
      <c r="H4368" t="str">
        <f t="shared" si="481"/>
        <v/>
      </c>
      <c r="I4368" t="str">
        <f t="shared" si="482"/>
        <v/>
      </c>
    </row>
    <row r="4369" spans="1:9" x14ac:dyDescent="0.4">
      <c r="A4369" t="str">
        <f t="shared" si="476"/>
        <v/>
      </c>
      <c r="B4369" t="str">
        <f t="shared" si="477"/>
        <v/>
      </c>
      <c r="C4369" t="str">
        <f t="shared" si="478"/>
        <v/>
      </c>
      <c r="D4369" t="str">
        <f t="shared" si="479"/>
        <v/>
      </c>
      <c r="E4369" t="str">
        <f>IF(F4369="","",IF(COUNTIF($F$2:F4369,F4369)&gt;1,"",SUMIFS(tbl_input[필요수량],tbl_input[집계키_센터],F4369)))</f>
        <v/>
      </c>
      <c r="F4369" t="str">
        <f>IFERROR(INDEX(tbl_input[집계키_센터],ROW()-1),"")</f>
        <v/>
      </c>
      <c r="G4369" t="str">
        <f t="shared" si="480"/>
        <v/>
      </c>
      <c r="H4369" t="str">
        <f t="shared" si="481"/>
        <v/>
      </c>
      <c r="I4369" t="str">
        <f t="shared" si="482"/>
        <v/>
      </c>
    </row>
    <row r="4370" spans="1:9" x14ac:dyDescent="0.4">
      <c r="A4370" t="str">
        <f t="shared" si="476"/>
        <v/>
      </c>
      <c r="B4370" t="str">
        <f t="shared" si="477"/>
        <v/>
      </c>
      <c r="C4370" t="str">
        <f t="shared" si="478"/>
        <v/>
      </c>
      <c r="D4370" t="str">
        <f t="shared" si="479"/>
        <v/>
      </c>
      <c r="E4370" t="str">
        <f>IF(F4370="","",IF(COUNTIF($F$2:F4370,F4370)&gt;1,"",SUMIFS(tbl_input[필요수량],tbl_input[집계키_센터],F4370)))</f>
        <v/>
      </c>
      <c r="F4370" t="str">
        <f>IFERROR(INDEX(tbl_input[집계키_센터],ROW()-1),"")</f>
        <v/>
      </c>
      <c r="G4370" t="str">
        <f t="shared" si="480"/>
        <v/>
      </c>
      <c r="H4370" t="str">
        <f t="shared" si="481"/>
        <v/>
      </c>
      <c r="I4370" t="str">
        <f t="shared" si="482"/>
        <v/>
      </c>
    </row>
    <row r="4371" spans="1:9" x14ac:dyDescent="0.4">
      <c r="A4371" t="str">
        <f t="shared" si="476"/>
        <v/>
      </c>
      <c r="B4371" t="str">
        <f t="shared" si="477"/>
        <v/>
      </c>
      <c r="C4371" t="str">
        <f t="shared" si="478"/>
        <v/>
      </c>
      <c r="D4371" t="str">
        <f t="shared" si="479"/>
        <v/>
      </c>
      <c r="E4371" t="str">
        <f>IF(F4371="","",IF(COUNTIF($F$2:F4371,F4371)&gt;1,"",SUMIFS(tbl_input[필요수량],tbl_input[집계키_센터],F4371)))</f>
        <v/>
      </c>
      <c r="F4371" t="str">
        <f>IFERROR(INDEX(tbl_input[집계키_센터],ROW()-1),"")</f>
        <v/>
      </c>
      <c r="G4371" t="str">
        <f t="shared" si="480"/>
        <v/>
      </c>
      <c r="H4371" t="str">
        <f t="shared" si="481"/>
        <v/>
      </c>
      <c r="I4371" t="str">
        <f t="shared" si="482"/>
        <v/>
      </c>
    </row>
    <row r="4372" spans="1:9" x14ac:dyDescent="0.4">
      <c r="A4372" t="str">
        <f t="shared" si="476"/>
        <v/>
      </c>
      <c r="B4372" t="str">
        <f t="shared" si="477"/>
        <v/>
      </c>
      <c r="C4372" t="str">
        <f t="shared" si="478"/>
        <v/>
      </c>
      <c r="D4372" t="str">
        <f t="shared" si="479"/>
        <v/>
      </c>
      <c r="E4372" t="str">
        <f>IF(F4372="","",IF(COUNTIF($F$2:F4372,F4372)&gt;1,"",SUMIFS(tbl_input[필요수량],tbl_input[집계키_센터],F4372)))</f>
        <v/>
      </c>
      <c r="F4372" t="str">
        <f>IFERROR(INDEX(tbl_input[집계키_센터],ROW()-1),"")</f>
        <v/>
      </c>
      <c r="G4372" t="str">
        <f t="shared" si="480"/>
        <v/>
      </c>
      <c r="H4372" t="str">
        <f t="shared" si="481"/>
        <v/>
      </c>
      <c r="I4372" t="str">
        <f t="shared" si="482"/>
        <v/>
      </c>
    </row>
    <row r="4373" spans="1:9" x14ac:dyDescent="0.4">
      <c r="A4373" t="str">
        <f t="shared" si="476"/>
        <v/>
      </c>
      <c r="B4373" t="str">
        <f t="shared" si="477"/>
        <v/>
      </c>
      <c r="C4373" t="str">
        <f t="shared" si="478"/>
        <v/>
      </c>
      <c r="D4373" t="str">
        <f t="shared" si="479"/>
        <v/>
      </c>
      <c r="E4373" t="str">
        <f>IF(F4373="","",IF(COUNTIF($F$2:F4373,F4373)&gt;1,"",SUMIFS(tbl_input[필요수량],tbl_input[집계키_센터],F4373)))</f>
        <v/>
      </c>
      <c r="F4373" t="str">
        <f>IFERROR(INDEX(tbl_input[집계키_센터],ROW()-1),"")</f>
        <v/>
      </c>
      <c r="G4373" t="str">
        <f t="shared" si="480"/>
        <v/>
      </c>
      <c r="H4373" t="str">
        <f t="shared" si="481"/>
        <v/>
      </c>
      <c r="I4373" t="str">
        <f t="shared" si="482"/>
        <v/>
      </c>
    </row>
    <row r="4374" spans="1:9" x14ac:dyDescent="0.4">
      <c r="A4374" t="str">
        <f t="shared" si="476"/>
        <v/>
      </c>
      <c r="B4374" t="str">
        <f t="shared" si="477"/>
        <v/>
      </c>
      <c r="C4374" t="str">
        <f t="shared" si="478"/>
        <v/>
      </c>
      <c r="D4374" t="str">
        <f t="shared" si="479"/>
        <v/>
      </c>
      <c r="E4374" t="str">
        <f>IF(F4374="","",IF(COUNTIF($F$2:F4374,F4374)&gt;1,"",SUMIFS(tbl_input[필요수량],tbl_input[집계키_센터],F4374)))</f>
        <v/>
      </c>
      <c r="F4374" t="str">
        <f>IFERROR(INDEX(tbl_input[집계키_센터],ROW()-1),"")</f>
        <v/>
      </c>
      <c r="G4374" t="str">
        <f t="shared" si="480"/>
        <v/>
      </c>
      <c r="H4374" t="str">
        <f t="shared" si="481"/>
        <v/>
      </c>
      <c r="I4374" t="str">
        <f t="shared" si="482"/>
        <v/>
      </c>
    </row>
    <row r="4375" spans="1:9" x14ac:dyDescent="0.4">
      <c r="A4375" t="str">
        <f t="shared" si="476"/>
        <v/>
      </c>
      <c r="B4375" t="str">
        <f t="shared" si="477"/>
        <v/>
      </c>
      <c r="C4375" t="str">
        <f t="shared" si="478"/>
        <v/>
      </c>
      <c r="D4375" t="str">
        <f t="shared" si="479"/>
        <v/>
      </c>
      <c r="E4375" t="str">
        <f>IF(F4375="","",IF(COUNTIF($F$2:F4375,F4375)&gt;1,"",SUMIFS(tbl_input[필요수량],tbl_input[집계키_센터],F4375)))</f>
        <v/>
      </c>
      <c r="F4375" t="str">
        <f>IFERROR(INDEX(tbl_input[집계키_센터],ROW()-1),"")</f>
        <v/>
      </c>
      <c r="G4375" t="str">
        <f t="shared" si="480"/>
        <v/>
      </c>
      <c r="H4375" t="str">
        <f t="shared" si="481"/>
        <v/>
      </c>
      <c r="I4375" t="str">
        <f t="shared" si="482"/>
        <v/>
      </c>
    </row>
    <row r="4376" spans="1:9" x14ac:dyDescent="0.4">
      <c r="A4376" t="str">
        <f t="shared" si="476"/>
        <v/>
      </c>
      <c r="B4376" t="str">
        <f t="shared" si="477"/>
        <v/>
      </c>
      <c r="C4376" t="str">
        <f t="shared" si="478"/>
        <v/>
      </c>
      <c r="D4376" t="str">
        <f t="shared" si="479"/>
        <v/>
      </c>
      <c r="E4376" t="str">
        <f>IF(F4376="","",IF(COUNTIF($F$2:F4376,F4376)&gt;1,"",SUMIFS(tbl_input[필요수량],tbl_input[집계키_센터],F4376)))</f>
        <v/>
      </c>
      <c r="F4376" t="str">
        <f>IFERROR(INDEX(tbl_input[집계키_센터],ROW()-1),"")</f>
        <v/>
      </c>
      <c r="G4376" t="str">
        <f t="shared" si="480"/>
        <v/>
      </c>
      <c r="H4376" t="str">
        <f t="shared" si="481"/>
        <v/>
      </c>
      <c r="I4376" t="str">
        <f t="shared" si="482"/>
        <v/>
      </c>
    </row>
    <row r="4377" spans="1:9" x14ac:dyDescent="0.4">
      <c r="A4377" t="str">
        <f t="shared" si="476"/>
        <v/>
      </c>
      <c r="B4377" t="str">
        <f t="shared" si="477"/>
        <v/>
      </c>
      <c r="C4377" t="str">
        <f t="shared" si="478"/>
        <v/>
      </c>
      <c r="D4377" t="str">
        <f t="shared" si="479"/>
        <v/>
      </c>
      <c r="E4377" t="str">
        <f>IF(F4377="","",IF(COUNTIF($F$2:F4377,F4377)&gt;1,"",SUMIFS(tbl_input[필요수량],tbl_input[집계키_센터],F4377)))</f>
        <v/>
      </c>
      <c r="F4377" t="str">
        <f>IFERROR(INDEX(tbl_input[집계키_센터],ROW()-1),"")</f>
        <v/>
      </c>
      <c r="G4377" t="str">
        <f t="shared" si="480"/>
        <v/>
      </c>
      <c r="H4377" t="str">
        <f t="shared" si="481"/>
        <v/>
      </c>
      <c r="I4377" t="str">
        <f t="shared" si="482"/>
        <v/>
      </c>
    </row>
    <row r="4378" spans="1:9" x14ac:dyDescent="0.4">
      <c r="A4378" t="str">
        <f t="shared" si="476"/>
        <v/>
      </c>
      <c r="B4378" t="str">
        <f t="shared" si="477"/>
        <v/>
      </c>
      <c r="C4378" t="str">
        <f t="shared" si="478"/>
        <v/>
      </c>
      <c r="D4378" t="str">
        <f t="shared" si="479"/>
        <v/>
      </c>
      <c r="E4378" t="str">
        <f>IF(F4378="","",IF(COUNTIF($F$2:F4378,F4378)&gt;1,"",SUMIFS(tbl_input[필요수량],tbl_input[집계키_센터],F4378)))</f>
        <v/>
      </c>
      <c r="F4378" t="str">
        <f>IFERROR(INDEX(tbl_input[집계키_센터],ROW()-1),"")</f>
        <v/>
      </c>
      <c r="G4378" t="str">
        <f t="shared" si="480"/>
        <v/>
      </c>
      <c r="H4378" t="str">
        <f t="shared" si="481"/>
        <v/>
      </c>
      <c r="I4378" t="str">
        <f t="shared" si="482"/>
        <v/>
      </c>
    </row>
    <row r="4379" spans="1:9" x14ac:dyDescent="0.4">
      <c r="A4379" t="str">
        <f t="shared" si="476"/>
        <v/>
      </c>
      <c r="B4379" t="str">
        <f t="shared" si="477"/>
        <v/>
      </c>
      <c r="C4379" t="str">
        <f t="shared" si="478"/>
        <v/>
      </c>
      <c r="D4379" t="str">
        <f t="shared" si="479"/>
        <v/>
      </c>
      <c r="E4379" t="str">
        <f>IF(F4379="","",IF(COUNTIF($F$2:F4379,F4379)&gt;1,"",SUMIFS(tbl_input[필요수량],tbl_input[집계키_센터],F4379)))</f>
        <v/>
      </c>
      <c r="F4379" t="str">
        <f>IFERROR(INDEX(tbl_input[집계키_센터],ROW()-1),"")</f>
        <v/>
      </c>
      <c r="G4379" t="str">
        <f t="shared" si="480"/>
        <v/>
      </c>
      <c r="H4379" t="str">
        <f t="shared" si="481"/>
        <v/>
      </c>
      <c r="I4379" t="str">
        <f t="shared" si="482"/>
        <v/>
      </c>
    </row>
    <row r="4380" spans="1:9" x14ac:dyDescent="0.4">
      <c r="A4380" t="str">
        <f t="shared" si="476"/>
        <v/>
      </c>
      <c r="B4380" t="str">
        <f t="shared" si="477"/>
        <v/>
      </c>
      <c r="C4380" t="str">
        <f t="shared" si="478"/>
        <v/>
      </c>
      <c r="D4380" t="str">
        <f t="shared" si="479"/>
        <v/>
      </c>
      <c r="E4380" t="str">
        <f>IF(F4380="","",IF(COUNTIF($F$2:F4380,F4380)&gt;1,"",SUMIFS(tbl_input[필요수량],tbl_input[집계키_센터],F4380)))</f>
        <v/>
      </c>
      <c r="F4380" t="str">
        <f>IFERROR(INDEX(tbl_input[집계키_센터],ROW()-1),"")</f>
        <v/>
      </c>
      <c r="G4380" t="str">
        <f t="shared" si="480"/>
        <v/>
      </c>
      <c r="H4380" t="str">
        <f t="shared" si="481"/>
        <v/>
      </c>
      <c r="I4380" t="str">
        <f t="shared" si="482"/>
        <v/>
      </c>
    </row>
    <row r="4381" spans="1:9" x14ac:dyDescent="0.4">
      <c r="A4381" t="str">
        <f t="shared" si="476"/>
        <v/>
      </c>
      <c r="B4381" t="str">
        <f t="shared" si="477"/>
        <v/>
      </c>
      <c r="C4381" t="str">
        <f t="shared" si="478"/>
        <v/>
      </c>
      <c r="D4381" t="str">
        <f t="shared" si="479"/>
        <v/>
      </c>
      <c r="E4381" t="str">
        <f>IF(F4381="","",IF(COUNTIF($F$2:F4381,F4381)&gt;1,"",SUMIFS(tbl_input[필요수량],tbl_input[집계키_센터],F4381)))</f>
        <v/>
      </c>
      <c r="F4381" t="str">
        <f>IFERROR(INDEX(tbl_input[집계키_센터],ROW()-1),"")</f>
        <v/>
      </c>
      <c r="G4381" t="str">
        <f t="shared" si="480"/>
        <v/>
      </c>
      <c r="H4381" t="str">
        <f t="shared" si="481"/>
        <v/>
      </c>
      <c r="I4381" t="str">
        <f t="shared" si="482"/>
        <v/>
      </c>
    </row>
    <row r="4382" spans="1:9" x14ac:dyDescent="0.4">
      <c r="A4382" t="str">
        <f t="shared" si="476"/>
        <v/>
      </c>
      <c r="B4382" t="str">
        <f t="shared" si="477"/>
        <v/>
      </c>
      <c r="C4382" t="str">
        <f t="shared" si="478"/>
        <v/>
      </c>
      <c r="D4382" t="str">
        <f t="shared" si="479"/>
        <v/>
      </c>
      <c r="E4382" t="str">
        <f>IF(F4382="","",IF(COUNTIF($F$2:F4382,F4382)&gt;1,"",SUMIFS(tbl_input[필요수량],tbl_input[집계키_센터],F4382)))</f>
        <v/>
      </c>
      <c r="F4382" t="str">
        <f>IFERROR(INDEX(tbl_input[집계키_센터],ROW()-1),"")</f>
        <v/>
      </c>
      <c r="G4382" t="str">
        <f t="shared" si="480"/>
        <v/>
      </c>
      <c r="H4382" t="str">
        <f t="shared" si="481"/>
        <v/>
      </c>
      <c r="I4382" t="str">
        <f t="shared" si="482"/>
        <v/>
      </c>
    </row>
    <row r="4383" spans="1:9" x14ac:dyDescent="0.4">
      <c r="A4383" t="str">
        <f t="shared" si="476"/>
        <v/>
      </c>
      <c r="B4383" t="str">
        <f t="shared" si="477"/>
        <v/>
      </c>
      <c r="C4383" t="str">
        <f t="shared" si="478"/>
        <v/>
      </c>
      <c r="D4383" t="str">
        <f t="shared" si="479"/>
        <v/>
      </c>
      <c r="E4383" t="str">
        <f>IF(F4383="","",IF(COUNTIF($F$2:F4383,F4383)&gt;1,"",SUMIFS(tbl_input[필요수량],tbl_input[집계키_센터],F4383)))</f>
        <v/>
      </c>
      <c r="F4383" t="str">
        <f>IFERROR(INDEX(tbl_input[집계키_센터],ROW()-1),"")</f>
        <v/>
      </c>
      <c r="G4383" t="str">
        <f t="shared" si="480"/>
        <v/>
      </c>
      <c r="H4383" t="str">
        <f t="shared" si="481"/>
        <v/>
      </c>
      <c r="I4383" t="str">
        <f t="shared" si="482"/>
        <v/>
      </c>
    </row>
    <row r="4384" spans="1:9" x14ac:dyDescent="0.4">
      <c r="A4384" t="str">
        <f t="shared" si="476"/>
        <v/>
      </c>
      <c r="B4384" t="str">
        <f t="shared" si="477"/>
        <v/>
      </c>
      <c r="C4384" t="str">
        <f t="shared" si="478"/>
        <v/>
      </c>
      <c r="D4384" t="str">
        <f t="shared" si="479"/>
        <v/>
      </c>
      <c r="E4384" t="str">
        <f>IF(F4384="","",IF(COUNTIF($F$2:F4384,F4384)&gt;1,"",SUMIFS(tbl_input[필요수량],tbl_input[집계키_센터],F4384)))</f>
        <v/>
      </c>
      <c r="F4384" t="str">
        <f>IFERROR(INDEX(tbl_input[집계키_센터],ROW()-1),"")</f>
        <v/>
      </c>
      <c r="G4384" t="str">
        <f t="shared" si="480"/>
        <v/>
      </c>
      <c r="H4384" t="str">
        <f t="shared" si="481"/>
        <v/>
      </c>
      <c r="I4384" t="str">
        <f t="shared" si="482"/>
        <v/>
      </c>
    </row>
    <row r="4385" spans="1:9" x14ac:dyDescent="0.4">
      <c r="A4385" t="str">
        <f t="shared" si="476"/>
        <v/>
      </c>
      <c r="B4385" t="str">
        <f t="shared" si="477"/>
        <v/>
      </c>
      <c r="C4385" t="str">
        <f t="shared" si="478"/>
        <v/>
      </c>
      <c r="D4385" t="str">
        <f t="shared" si="479"/>
        <v/>
      </c>
      <c r="E4385" t="str">
        <f>IF(F4385="","",IF(COUNTIF($F$2:F4385,F4385)&gt;1,"",SUMIFS(tbl_input[필요수량],tbl_input[집계키_센터],F4385)))</f>
        <v/>
      </c>
      <c r="F4385" t="str">
        <f>IFERROR(INDEX(tbl_input[집계키_센터],ROW()-1),"")</f>
        <v/>
      </c>
      <c r="G4385" t="str">
        <f t="shared" si="480"/>
        <v/>
      </c>
      <c r="H4385" t="str">
        <f t="shared" si="481"/>
        <v/>
      </c>
      <c r="I4385" t="str">
        <f t="shared" si="482"/>
        <v/>
      </c>
    </row>
    <row r="4386" spans="1:9" x14ac:dyDescent="0.4">
      <c r="A4386" t="str">
        <f t="shared" si="476"/>
        <v/>
      </c>
      <c r="B4386" t="str">
        <f t="shared" si="477"/>
        <v/>
      </c>
      <c r="C4386" t="str">
        <f t="shared" si="478"/>
        <v/>
      </c>
      <c r="D4386" t="str">
        <f t="shared" si="479"/>
        <v/>
      </c>
      <c r="E4386" t="str">
        <f>IF(F4386="","",IF(COUNTIF($F$2:F4386,F4386)&gt;1,"",SUMIFS(tbl_input[필요수량],tbl_input[집계키_센터],F4386)))</f>
        <v/>
      </c>
      <c r="F4386" t="str">
        <f>IFERROR(INDEX(tbl_input[집계키_센터],ROW()-1),"")</f>
        <v/>
      </c>
      <c r="G4386" t="str">
        <f t="shared" si="480"/>
        <v/>
      </c>
      <c r="H4386" t="str">
        <f t="shared" si="481"/>
        <v/>
      </c>
      <c r="I4386" t="str">
        <f t="shared" si="482"/>
        <v/>
      </c>
    </row>
    <row r="4387" spans="1:9" x14ac:dyDescent="0.4">
      <c r="A4387" t="str">
        <f t="shared" si="476"/>
        <v/>
      </c>
      <c r="B4387" t="str">
        <f t="shared" si="477"/>
        <v/>
      </c>
      <c r="C4387" t="str">
        <f t="shared" si="478"/>
        <v/>
      </c>
      <c r="D4387" t="str">
        <f t="shared" si="479"/>
        <v/>
      </c>
      <c r="E4387" t="str">
        <f>IF(F4387="","",IF(COUNTIF($F$2:F4387,F4387)&gt;1,"",SUMIFS(tbl_input[필요수량],tbl_input[집계키_센터],F4387)))</f>
        <v/>
      </c>
      <c r="F4387" t="str">
        <f>IFERROR(INDEX(tbl_input[집계키_센터],ROW()-1),"")</f>
        <v/>
      </c>
      <c r="G4387" t="str">
        <f t="shared" si="480"/>
        <v/>
      </c>
      <c r="H4387" t="str">
        <f t="shared" si="481"/>
        <v/>
      </c>
      <c r="I4387" t="str">
        <f t="shared" si="482"/>
        <v/>
      </c>
    </row>
    <row r="4388" spans="1:9" x14ac:dyDescent="0.4">
      <c r="A4388" t="str">
        <f t="shared" si="476"/>
        <v/>
      </c>
      <c r="B4388" t="str">
        <f t="shared" si="477"/>
        <v/>
      </c>
      <c r="C4388" t="str">
        <f t="shared" si="478"/>
        <v/>
      </c>
      <c r="D4388" t="str">
        <f t="shared" si="479"/>
        <v/>
      </c>
      <c r="E4388" t="str">
        <f>IF(F4388="","",IF(COUNTIF($F$2:F4388,F4388)&gt;1,"",SUMIFS(tbl_input[필요수량],tbl_input[집계키_센터],F4388)))</f>
        <v/>
      </c>
      <c r="F4388" t="str">
        <f>IFERROR(INDEX(tbl_input[집계키_센터],ROW()-1),"")</f>
        <v/>
      </c>
      <c r="G4388" t="str">
        <f t="shared" si="480"/>
        <v/>
      </c>
      <c r="H4388" t="str">
        <f t="shared" si="481"/>
        <v/>
      </c>
      <c r="I4388" t="str">
        <f t="shared" si="482"/>
        <v/>
      </c>
    </row>
    <row r="4389" spans="1:9" x14ac:dyDescent="0.4">
      <c r="A4389" t="str">
        <f t="shared" si="476"/>
        <v/>
      </c>
      <c r="B4389" t="str">
        <f t="shared" si="477"/>
        <v/>
      </c>
      <c r="C4389" t="str">
        <f t="shared" si="478"/>
        <v/>
      </c>
      <c r="D4389" t="str">
        <f t="shared" si="479"/>
        <v/>
      </c>
      <c r="E4389" t="str">
        <f>IF(F4389="","",IF(COUNTIF($F$2:F4389,F4389)&gt;1,"",SUMIFS(tbl_input[필요수량],tbl_input[집계키_센터],F4389)))</f>
        <v/>
      </c>
      <c r="F4389" t="str">
        <f>IFERROR(INDEX(tbl_input[집계키_센터],ROW()-1),"")</f>
        <v/>
      </c>
      <c r="G4389" t="str">
        <f t="shared" si="480"/>
        <v/>
      </c>
      <c r="H4389" t="str">
        <f t="shared" si="481"/>
        <v/>
      </c>
      <c r="I4389" t="str">
        <f t="shared" si="482"/>
        <v/>
      </c>
    </row>
    <row r="4390" spans="1:9" x14ac:dyDescent="0.4">
      <c r="A4390" t="str">
        <f t="shared" si="476"/>
        <v/>
      </c>
      <c r="B4390" t="str">
        <f t="shared" si="477"/>
        <v/>
      </c>
      <c r="C4390" t="str">
        <f t="shared" si="478"/>
        <v/>
      </c>
      <c r="D4390" t="str">
        <f t="shared" si="479"/>
        <v/>
      </c>
      <c r="E4390" t="str">
        <f>IF(F4390="","",IF(COUNTIF($F$2:F4390,F4390)&gt;1,"",SUMIFS(tbl_input[필요수량],tbl_input[집계키_센터],F4390)))</f>
        <v/>
      </c>
      <c r="F4390" t="str">
        <f>IFERROR(INDEX(tbl_input[집계키_센터],ROW()-1),"")</f>
        <v/>
      </c>
      <c r="G4390" t="str">
        <f t="shared" si="480"/>
        <v/>
      </c>
      <c r="H4390" t="str">
        <f t="shared" si="481"/>
        <v/>
      </c>
      <c r="I4390" t="str">
        <f t="shared" si="482"/>
        <v/>
      </c>
    </row>
    <row r="4391" spans="1:9" x14ac:dyDescent="0.4">
      <c r="A4391" t="str">
        <f t="shared" si="476"/>
        <v/>
      </c>
      <c r="B4391" t="str">
        <f t="shared" si="477"/>
        <v/>
      </c>
      <c r="C4391" t="str">
        <f t="shared" si="478"/>
        <v/>
      </c>
      <c r="D4391" t="str">
        <f t="shared" si="479"/>
        <v/>
      </c>
      <c r="E4391" t="str">
        <f>IF(F4391="","",IF(COUNTIF($F$2:F4391,F4391)&gt;1,"",SUMIFS(tbl_input[필요수량],tbl_input[집계키_센터],F4391)))</f>
        <v/>
      </c>
      <c r="F4391" t="str">
        <f>IFERROR(INDEX(tbl_input[집계키_센터],ROW()-1),"")</f>
        <v/>
      </c>
      <c r="G4391" t="str">
        <f t="shared" si="480"/>
        <v/>
      </c>
      <c r="H4391" t="str">
        <f t="shared" si="481"/>
        <v/>
      </c>
      <c r="I4391" t="str">
        <f t="shared" si="482"/>
        <v/>
      </c>
    </row>
    <row r="4392" spans="1:9" x14ac:dyDescent="0.4">
      <c r="A4392" t="str">
        <f t="shared" si="476"/>
        <v/>
      </c>
      <c r="B4392" t="str">
        <f t="shared" si="477"/>
        <v/>
      </c>
      <c r="C4392" t="str">
        <f t="shared" si="478"/>
        <v/>
      </c>
      <c r="D4392" t="str">
        <f t="shared" si="479"/>
        <v/>
      </c>
      <c r="E4392" t="str">
        <f>IF(F4392="","",IF(COUNTIF($F$2:F4392,F4392)&gt;1,"",SUMIFS(tbl_input[필요수량],tbl_input[집계키_센터],F4392)))</f>
        <v/>
      </c>
      <c r="F4392" t="str">
        <f>IFERROR(INDEX(tbl_input[집계키_센터],ROW()-1),"")</f>
        <v/>
      </c>
      <c r="G4392" t="str">
        <f t="shared" si="480"/>
        <v/>
      </c>
      <c r="H4392" t="str">
        <f t="shared" si="481"/>
        <v/>
      </c>
      <c r="I4392" t="str">
        <f t="shared" si="482"/>
        <v/>
      </c>
    </row>
    <row r="4393" spans="1:9" x14ac:dyDescent="0.4">
      <c r="A4393" t="str">
        <f t="shared" si="476"/>
        <v/>
      </c>
      <c r="B4393" t="str">
        <f t="shared" si="477"/>
        <v/>
      </c>
      <c r="C4393" t="str">
        <f t="shared" si="478"/>
        <v/>
      </c>
      <c r="D4393" t="str">
        <f t="shared" si="479"/>
        <v/>
      </c>
      <c r="E4393" t="str">
        <f>IF(F4393="","",IF(COUNTIF($F$2:F4393,F4393)&gt;1,"",SUMIFS(tbl_input[필요수량],tbl_input[집계키_센터],F4393)))</f>
        <v/>
      </c>
      <c r="F4393" t="str">
        <f>IFERROR(INDEX(tbl_input[집계키_센터],ROW()-1),"")</f>
        <v/>
      </c>
      <c r="G4393" t="str">
        <f t="shared" si="480"/>
        <v/>
      </c>
      <c r="H4393" t="str">
        <f t="shared" si="481"/>
        <v/>
      </c>
      <c r="I4393" t="str">
        <f t="shared" si="482"/>
        <v/>
      </c>
    </row>
    <row r="4394" spans="1:9" x14ac:dyDescent="0.4">
      <c r="A4394" t="str">
        <f t="shared" si="476"/>
        <v/>
      </c>
      <c r="B4394" t="str">
        <f t="shared" si="477"/>
        <v/>
      </c>
      <c r="C4394" t="str">
        <f t="shared" si="478"/>
        <v/>
      </c>
      <c r="D4394" t="str">
        <f t="shared" si="479"/>
        <v/>
      </c>
      <c r="E4394" t="str">
        <f>IF(F4394="","",IF(COUNTIF($F$2:F4394,F4394)&gt;1,"",SUMIFS(tbl_input[필요수량],tbl_input[집계키_센터],F4394)))</f>
        <v/>
      </c>
      <c r="F4394" t="str">
        <f>IFERROR(INDEX(tbl_input[집계키_센터],ROW()-1),"")</f>
        <v/>
      </c>
      <c r="G4394" t="str">
        <f t="shared" si="480"/>
        <v/>
      </c>
      <c r="H4394" t="str">
        <f t="shared" si="481"/>
        <v/>
      </c>
      <c r="I4394" t="str">
        <f t="shared" si="482"/>
        <v/>
      </c>
    </row>
    <row r="4395" spans="1:9" x14ac:dyDescent="0.4">
      <c r="A4395" t="str">
        <f t="shared" si="476"/>
        <v/>
      </c>
      <c r="B4395" t="str">
        <f t="shared" si="477"/>
        <v/>
      </c>
      <c r="C4395" t="str">
        <f t="shared" si="478"/>
        <v/>
      </c>
      <c r="D4395" t="str">
        <f t="shared" si="479"/>
        <v/>
      </c>
      <c r="E4395" t="str">
        <f>IF(F4395="","",IF(COUNTIF($F$2:F4395,F4395)&gt;1,"",SUMIFS(tbl_input[필요수량],tbl_input[집계키_센터],F4395)))</f>
        <v/>
      </c>
      <c r="F4395" t="str">
        <f>IFERROR(INDEX(tbl_input[집계키_센터],ROW()-1),"")</f>
        <v/>
      </c>
      <c r="G4395" t="str">
        <f t="shared" si="480"/>
        <v/>
      </c>
      <c r="H4395" t="str">
        <f t="shared" si="481"/>
        <v/>
      </c>
      <c r="I4395" t="str">
        <f t="shared" si="482"/>
        <v/>
      </c>
    </row>
    <row r="4396" spans="1:9" x14ac:dyDescent="0.4">
      <c r="A4396" t="str">
        <f t="shared" si="476"/>
        <v/>
      </c>
      <c r="B4396" t="str">
        <f t="shared" si="477"/>
        <v/>
      </c>
      <c r="C4396" t="str">
        <f t="shared" si="478"/>
        <v/>
      </c>
      <c r="D4396" t="str">
        <f t="shared" si="479"/>
        <v/>
      </c>
      <c r="E4396" t="str">
        <f>IF(F4396="","",IF(COUNTIF($F$2:F4396,F4396)&gt;1,"",SUMIFS(tbl_input[필요수량],tbl_input[집계키_센터],F4396)))</f>
        <v/>
      </c>
      <c r="F4396" t="str">
        <f>IFERROR(INDEX(tbl_input[집계키_센터],ROW()-1),"")</f>
        <v/>
      </c>
      <c r="G4396" t="str">
        <f t="shared" si="480"/>
        <v/>
      </c>
      <c r="H4396" t="str">
        <f t="shared" si="481"/>
        <v/>
      </c>
      <c r="I4396" t="str">
        <f t="shared" si="482"/>
        <v/>
      </c>
    </row>
    <row r="4397" spans="1:9" x14ac:dyDescent="0.4">
      <c r="A4397" t="str">
        <f t="shared" si="476"/>
        <v/>
      </c>
      <c r="B4397" t="str">
        <f t="shared" si="477"/>
        <v/>
      </c>
      <c r="C4397" t="str">
        <f t="shared" si="478"/>
        <v/>
      </c>
      <c r="D4397" t="str">
        <f t="shared" si="479"/>
        <v/>
      </c>
      <c r="E4397" t="str">
        <f>IF(F4397="","",IF(COUNTIF($F$2:F4397,F4397)&gt;1,"",SUMIFS(tbl_input[필요수량],tbl_input[집계키_센터],F4397)))</f>
        <v/>
      </c>
      <c r="F4397" t="str">
        <f>IFERROR(INDEX(tbl_input[집계키_센터],ROW()-1),"")</f>
        <v/>
      </c>
      <c r="G4397" t="str">
        <f t="shared" si="480"/>
        <v/>
      </c>
      <c r="H4397" t="str">
        <f t="shared" si="481"/>
        <v/>
      </c>
      <c r="I4397" t="str">
        <f t="shared" si="482"/>
        <v/>
      </c>
    </row>
    <row r="4398" spans="1:9" x14ac:dyDescent="0.4">
      <c r="A4398" t="str">
        <f t="shared" si="476"/>
        <v/>
      </c>
      <c r="B4398" t="str">
        <f t="shared" si="477"/>
        <v/>
      </c>
      <c r="C4398" t="str">
        <f t="shared" si="478"/>
        <v/>
      </c>
      <c r="D4398" t="str">
        <f t="shared" si="479"/>
        <v/>
      </c>
      <c r="E4398" t="str">
        <f>IF(F4398="","",IF(COUNTIF($F$2:F4398,F4398)&gt;1,"",SUMIFS(tbl_input[필요수량],tbl_input[집계키_센터],F4398)))</f>
        <v/>
      </c>
      <c r="F4398" t="str">
        <f>IFERROR(INDEX(tbl_input[집계키_센터],ROW()-1),"")</f>
        <v/>
      </c>
      <c r="G4398" t="str">
        <f t="shared" si="480"/>
        <v/>
      </c>
      <c r="H4398" t="str">
        <f t="shared" si="481"/>
        <v/>
      </c>
      <c r="I4398" t="str">
        <f t="shared" si="482"/>
        <v/>
      </c>
    </row>
    <row r="4399" spans="1:9" x14ac:dyDescent="0.4">
      <c r="A4399" t="str">
        <f t="shared" si="476"/>
        <v/>
      </c>
      <c r="B4399" t="str">
        <f t="shared" si="477"/>
        <v/>
      </c>
      <c r="C4399" t="str">
        <f t="shared" si="478"/>
        <v/>
      </c>
      <c r="D4399" t="str">
        <f t="shared" si="479"/>
        <v/>
      </c>
      <c r="E4399" t="str">
        <f>IF(F4399="","",IF(COUNTIF($F$2:F4399,F4399)&gt;1,"",SUMIFS(tbl_input[필요수량],tbl_input[집계키_센터],F4399)))</f>
        <v/>
      </c>
      <c r="F4399" t="str">
        <f>IFERROR(INDEX(tbl_input[집계키_센터],ROW()-1),"")</f>
        <v/>
      </c>
      <c r="G4399" t="str">
        <f t="shared" si="480"/>
        <v/>
      </c>
      <c r="H4399" t="str">
        <f t="shared" si="481"/>
        <v/>
      </c>
      <c r="I4399" t="str">
        <f t="shared" si="482"/>
        <v/>
      </c>
    </row>
    <row r="4400" spans="1:9" x14ac:dyDescent="0.4">
      <c r="A4400" t="str">
        <f t="shared" si="476"/>
        <v/>
      </c>
      <c r="B4400" t="str">
        <f t="shared" si="477"/>
        <v/>
      </c>
      <c r="C4400" t="str">
        <f t="shared" si="478"/>
        <v/>
      </c>
      <c r="D4400" t="str">
        <f t="shared" si="479"/>
        <v/>
      </c>
      <c r="E4400" t="str">
        <f>IF(F4400="","",IF(COUNTIF($F$2:F4400,F4400)&gt;1,"",SUMIFS(tbl_input[필요수량],tbl_input[집계키_센터],F4400)))</f>
        <v/>
      </c>
      <c r="F4400" t="str">
        <f>IFERROR(INDEX(tbl_input[집계키_센터],ROW()-1),"")</f>
        <v/>
      </c>
      <c r="G4400" t="str">
        <f t="shared" si="480"/>
        <v/>
      </c>
      <c r="H4400" t="str">
        <f t="shared" si="481"/>
        <v/>
      </c>
      <c r="I4400" t="str">
        <f t="shared" si="482"/>
        <v/>
      </c>
    </row>
    <row r="4401" spans="1:9" x14ac:dyDescent="0.4">
      <c r="A4401" t="str">
        <f t="shared" si="476"/>
        <v/>
      </c>
      <c r="B4401" t="str">
        <f t="shared" si="477"/>
        <v/>
      </c>
      <c r="C4401" t="str">
        <f t="shared" si="478"/>
        <v/>
      </c>
      <c r="D4401" t="str">
        <f t="shared" si="479"/>
        <v/>
      </c>
      <c r="E4401" t="str">
        <f>IF(F4401="","",IF(COUNTIF($F$2:F4401,F4401)&gt;1,"",SUMIFS(tbl_input[필요수량],tbl_input[집계키_센터],F4401)))</f>
        <v/>
      </c>
      <c r="F4401" t="str">
        <f>IFERROR(INDEX(tbl_input[집계키_센터],ROW()-1),"")</f>
        <v/>
      </c>
      <c r="G4401" t="str">
        <f t="shared" si="480"/>
        <v/>
      </c>
      <c r="H4401" t="str">
        <f t="shared" si="481"/>
        <v/>
      </c>
      <c r="I4401" t="str">
        <f t="shared" si="482"/>
        <v/>
      </c>
    </row>
    <row r="4402" spans="1:9" x14ac:dyDescent="0.4">
      <c r="A4402" t="str">
        <f t="shared" si="476"/>
        <v/>
      </c>
      <c r="B4402" t="str">
        <f t="shared" si="477"/>
        <v/>
      </c>
      <c r="C4402" t="str">
        <f t="shared" si="478"/>
        <v/>
      </c>
      <c r="D4402" t="str">
        <f t="shared" si="479"/>
        <v/>
      </c>
      <c r="E4402" t="str">
        <f>IF(F4402="","",IF(COUNTIF($F$2:F4402,F4402)&gt;1,"",SUMIFS(tbl_input[필요수량],tbl_input[집계키_센터],F4402)))</f>
        <v/>
      </c>
      <c r="F4402" t="str">
        <f>IFERROR(INDEX(tbl_input[집계키_센터],ROW()-1),"")</f>
        <v/>
      </c>
      <c r="G4402" t="str">
        <f t="shared" si="480"/>
        <v/>
      </c>
      <c r="H4402" t="str">
        <f t="shared" si="481"/>
        <v/>
      </c>
      <c r="I4402" t="str">
        <f t="shared" si="482"/>
        <v/>
      </c>
    </row>
    <row r="4403" spans="1:9" x14ac:dyDescent="0.4">
      <c r="A4403" t="str">
        <f t="shared" si="476"/>
        <v/>
      </c>
      <c r="B4403" t="str">
        <f t="shared" si="477"/>
        <v/>
      </c>
      <c r="C4403" t="str">
        <f t="shared" si="478"/>
        <v/>
      </c>
      <c r="D4403" t="str">
        <f t="shared" si="479"/>
        <v/>
      </c>
      <c r="E4403" t="str">
        <f>IF(F4403="","",IF(COUNTIF($F$2:F4403,F4403)&gt;1,"",SUMIFS(tbl_input[필요수량],tbl_input[집계키_센터],F4403)))</f>
        <v/>
      </c>
      <c r="F4403" t="str">
        <f>IFERROR(INDEX(tbl_input[집계키_센터],ROW()-1),"")</f>
        <v/>
      </c>
      <c r="G4403" t="str">
        <f t="shared" si="480"/>
        <v/>
      </c>
      <c r="H4403" t="str">
        <f t="shared" si="481"/>
        <v/>
      </c>
      <c r="I4403" t="str">
        <f t="shared" si="482"/>
        <v/>
      </c>
    </row>
    <row r="4404" spans="1:9" x14ac:dyDescent="0.4">
      <c r="A4404" t="str">
        <f t="shared" si="476"/>
        <v/>
      </c>
      <c r="B4404" t="str">
        <f t="shared" si="477"/>
        <v/>
      </c>
      <c r="C4404" t="str">
        <f t="shared" si="478"/>
        <v/>
      </c>
      <c r="D4404" t="str">
        <f t="shared" si="479"/>
        <v/>
      </c>
      <c r="E4404" t="str">
        <f>IF(F4404="","",IF(COUNTIF($F$2:F4404,F4404)&gt;1,"",SUMIFS(tbl_input[필요수량],tbl_input[집계키_센터],F4404)))</f>
        <v/>
      </c>
      <c r="F4404" t="str">
        <f>IFERROR(INDEX(tbl_input[집계키_센터],ROW()-1),"")</f>
        <v/>
      </c>
      <c r="G4404" t="str">
        <f t="shared" si="480"/>
        <v/>
      </c>
      <c r="H4404" t="str">
        <f t="shared" si="481"/>
        <v/>
      </c>
      <c r="I4404" t="str">
        <f t="shared" si="482"/>
        <v/>
      </c>
    </row>
    <row r="4405" spans="1:9" x14ac:dyDescent="0.4">
      <c r="A4405" t="str">
        <f t="shared" si="476"/>
        <v/>
      </c>
      <c r="B4405" t="str">
        <f t="shared" si="477"/>
        <v/>
      </c>
      <c r="C4405" t="str">
        <f t="shared" si="478"/>
        <v/>
      </c>
      <c r="D4405" t="str">
        <f t="shared" si="479"/>
        <v/>
      </c>
      <c r="E4405" t="str">
        <f>IF(F4405="","",IF(COUNTIF($F$2:F4405,F4405)&gt;1,"",SUMIFS(tbl_input[필요수량],tbl_input[집계키_센터],F4405)))</f>
        <v/>
      </c>
      <c r="F4405" t="str">
        <f>IFERROR(INDEX(tbl_input[집계키_센터],ROW()-1),"")</f>
        <v/>
      </c>
      <c r="G4405" t="str">
        <f t="shared" si="480"/>
        <v/>
      </c>
      <c r="H4405" t="str">
        <f t="shared" si="481"/>
        <v/>
      </c>
      <c r="I4405" t="str">
        <f t="shared" si="482"/>
        <v/>
      </c>
    </row>
    <row r="4406" spans="1:9" x14ac:dyDescent="0.4">
      <c r="A4406" t="str">
        <f t="shared" si="476"/>
        <v/>
      </c>
      <c r="B4406" t="str">
        <f t="shared" si="477"/>
        <v/>
      </c>
      <c r="C4406" t="str">
        <f t="shared" si="478"/>
        <v/>
      </c>
      <c r="D4406" t="str">
        <f t="shared" si="479"/>
        <v/>
      </c>
      <c r="E4406" t="str">
        <f>IF(F4406="","",IF(COUNTIF($F$2:F4406,F4406)&gt;1,"",SUMIFS(tbl_input[필요수량],tbl_input[집계키_센터],F4406)))</f>
        <v/>
      </c>
      <c r="F4406" t="str">
        <f>IFERROR(INDEX(tbl_input[집계키_센터],ROW()-1),"")</f>
        <v/>
      </c>
      <c r="G4406" t="str">
        <f t="shared" si="480"/>
        <v/>
      </c>
      <c r="H4406" t="str">
        <f t="shared" si="481"/>
        <v/>
      </c>
      <c r="I4406" t="str">
        <f t="shared" si="482"/>
        <v/>
      </c>
    </row>
    <row r="4407" spans="1:9" x14ac:dyDescent="0.4">
      <c r="A4407" t="str">
        <f t="shared" si="476"/>
        <v/>
      </c>
      <c r="B4407" t="str">
        <f t="shared" si="477"/>
        <v/>
      </c>
      <c r="C4407" t="str">
        <f t="shared" si="478"/>
        <v/>
      </c>
      <c r="D4407" t="str">
        <f t="shared" si="479"/>
        <v/>
      </c>
      <c r="E4407" t="str">
        <f>IF(F4407="","",IF(COUNTIF($F$2:F4407,F4407)&gt;1,"",SUMIFS(tbl_input[필요수량],tbl_input[집계키_센터],F4407)))</f>
        <v/>
      </c>
      <c r="F4407" t="str">
        <f>IFERROR(INDEX(tbl_input[집계키_센터],ROW()-1),"")</f>
        <v/>
      </c>
      <c r="G4407" t="str">
        <f t="shared" si="480"/>
        <v/>
      </c>
      <c r="H4407" t="str">
        <f t="shared" si="481"/>
        <v/>
      </c>
      <c r="I4407" t="str">
        <f t="shared" si="482"/>
        <v/>
      </c>
    </row>
    <row r="4408" spans="1:9" x14ac:dyDescent="0.4">
      <c r="A4408" t="str">
        <f t="shared" si="476"/>
        <v/>
      </c>
      <c r="B4408" t="str">
        <f t="shared" si="477"/>
        <v/>
      </c>
      <c r="C4408" t="str">
        <f t="shared" si="478"/>
        <v/>
      </c>
      <c r="D4408" t="str">
        <f t="shared" si="479"/>
        <v/>
      </c>
      <c r="E4408" t="str">
        <f>IF(F4408="","",IF(COUNTIF($F$2:F4408,F4408)&gt;1,"",SUMIFS(tbl_input[필요수량],tbl_input[집계키_센터],F4408)))</f>
        <v/>
      </c>
      <c r="F4408" t="str">
        <f>IFERROR(INDEX(tbl_input[집계키_센터],ROW()-1),"")</f>
        <v/>
      </c>
      <c r="G4408" t="str">
        <f t="shared" si="480"/>
        <v/>
      </c>
      <c r="H4408" t="str">
        <f t="shared" si="481"/>
        <v/>
      </c>
      <c r="I4408" t="str">
        <f t="shared" si="482"/>
        <v/>
      </c>
    </row>
    <row r="4409" spans="1:9" x14ac:dyDescent="0.4">
      <c r="A4409" t="str">
        <f t="shared" si="476"/>
        <v/>
      </c>
      <c r="B4409" t="str">
        <f t="shared" si="477"/>
        <v/>
      </c>
      <c r="C4409" t="str">
        <f t="shared" si="478"/>
        <v/>
      </c>
      <c r="D4409" t="str">
        <f t="shared" si="479"/>
        <v/>
      </c>
      <c r="E4409" t="str">
        <f>IF(F4409="","",IF(COUNTIF($F$2:F4409,F4409)&gt;1,"",SUMIFS(tbl_input[필요수량],tbl_input[집계키_센터],F4409)))</f>
        <v/>
      </c>
      <c r="F4409" t="str">
        <f>IFERROR(INDEX(tbl_input[집계키_센터],ROW()-1),"")</f>
        <v/>
      </c>
      <c r="G4409" t="str">
        <f t="shared" si="480"/>
        <v/>
      </c>
      <c r="H4409" t="str">
        <f t="shared" si="481"/>
        <v/>
      </c>
      <c r="I4409" t="str">
        <f t="shared" si="482"/>
        <v/>
      </c>
    </row>
    <row r="4410" spans="1:9" x14ac:dyDescent="0.4">
      <c r="A4410" t="str">
        <f t="shared" si="476"/>
        <v/>
      </c>
      <c r="B4410" t="str">
        <f t="shared" si="477"/>
        <v/>
      </c>
      <c r="C4410" t="str">
        <f t="shared" si="478"/>
        <v/>
      </c>
      <c r="D4410" t="str">
        <f t="shared" si="479"/>
        <v/>
      </c>
      <c r="E4410" t="str">
        <f>IF(F4410="","",IF(COUNTIF($F$2:F4410,F4410)&gt;1,"",SUMIFS(tbl_input[필요수량],tbl_input[집계키_센터],F4410)))</f>
        <v/>
      </c>
      <c r="F4410" t="str">
        <f>IFERROR(INDEX(tbl_input[집계키_센터],ROW()-1),"")</f>
        <v/>
      </c>
      <c r="G4410" t="str">
        <f t="shared" si="480"/>
        <v/>
      </c>
      <c r="H4410" t="str">
        <f t="shared" si="481"/>
        <v/>
      </c>
      <c r="I4410" t="str">
        <f t="shared" si="482"/>
        <v/>
      </c>
    </row>
    <row r="4411" spans="1:9" x14ac:dyDescent="0.4">
      <c r="A4411" t="str">
        <f t="shared" si="476"/>
        <v/>
      </c>
      <c r="B4411" t="str">
        <f t="shared" si="477"/>
        <v/>
      </c>
      <c r="C4411" t="str">
        <f t="shared" si="478"/>
        <v/>
      </c>
      <c r="D4411" t="str">
        <f t="shared" si="479"/>
        <v/>
      </c>
      <c r="E4411" t="str">
        <f>IF(F4411="","",IF(COUNTIF($F$2:F4411,F4411)&gt;1,"",SUMIFS(tbl_input[필요수량],tbl_input[집계키_센터],F4411)))</f>
        <v/>
      </c>
      <c r="F4411" t="str">
        <f>IFERROR(INDEX(tbl_input[집계키_센터],ROW()-1),"")</f>
        <v/>
      </c>
      <c r="G4411" t="str">
        <f t="shared" si="480"/>
        <v/>
      </c>
      <c r="H4411" t="str">
        <f t="shared" si="481"/>
        <v/>
      </c>
      <c r="I4411" t="str">
        <f t="shared" si="482"/>
        <v/>
      </c>
    </row>
    <row r="4412" spans="1:9" x14ac:dyDescent="0.4">
      <c r="A4412" t="str">
        <f t="shared" si="476"/>
        <v/>
      </c>
      <c r="B4412" t="str">
        <f t="shared" si="477"/>
        <v/>
      </c>
      <c r="C4412" t="str">
        <f t="shared" si="478"/>
        <v/>
      </c>
      <c r="D4412" t="str">
        <f t="shared" si="479"/>
        <v/>
      </c>
      <c r="E4412" t="str">
        <f>IF(F4412="","",IF(COUNTIF($F$2:F4412,F4412)&gt;1,"",SUMIFS(tbl_input[필요수량],tbl_input[집계키_센터],F4412)))</f>
        <v/>
      </c>
      <c r="F4412" t="str">
        <f>IFERROR(INDEX(tbl_input[집계키_센터],ROW()-1),"")</f>
        <v/>
      </c>
      <c r="G4412" t="str">
        <f t="shared" si="480"/>
        <v/>
      </c>
      <c r="H4412" t="str">
        <f t="shared" si="481"/>
        <v/>
      </c>
      <c r="I4412" t="str">
        <f t="shared" si="482"/>
        <v/>
      </c>
    </row>
    <row r="4413" spans="1:9" x14ac:dyDescent="0.4">
      <c r="A4413" t="str">
        <f t="shared" si="476"/>
        <v/>
      </c>
      <c r="B4413" t="str">
        <f t="shared" si="477"/>
        <v/>
      </c>
      <c r="C4413" t="str">
        <f t="shared" si="478"/>
        <v/>
      </c>
      <c r="D4413" t="str">
        <f t="shared" si="479"/>
        <v/>
      </c>
      <c r="E4413" t="str">
        <f>IF(F4413="","",IF(COUNTIF($F$2:F4413,F4413)&gt;1,"",SUMIFS(tbl_input[필요수량],tbl_input[집계키_센터],F4413)))</f>
        <v/>
      </c>
      <c r="F4413" t="str">
        <f>IFERROR(INDEX(tbl_input[집계키_센터],ROW()-1),"")</f>
        <v/>
      </c>
      <c r="G4413" t="str">
        <f t="shared" si="480"/>
        <v/>
      </c>
      <c r="H4413" t="str">
        <f t="shared" si="481"/>
        <v/>
      </c>
      <c r="I4413" t="str">
        <f t="shared" si="482"/>
        <v/>
      </c>
    </row>
    <row r="4414" spans="1:9" x14ac:dyDescent="0.4">
      <c r="A4414" t="str">
        <f t="shared" si="476"/>
        <v/>
      </c>
      <c r="B4414" t="str">
        <f t="shared" si="477"/>
        <v/>
      </c>
      <c r="C4414" t="str">
        <f t="shared" si="478"/>
        <v/>
      </c>
      <c r="D4414" t="str">
        <f t="shared" si="479"/>
        <v/>
      </c>
      <c r="E4414" t="str">
        <f>IF(F4414="","",IF(COUNTIF($F$2:F4414,F4414)&gt;1,"",SUMIFS(tbl_input[필요수량],tbl_input[집계키_센터],F4414)))</f>
        <v/>
      </c>
      <c r="F4414" t="str">
        <f>IFERROR(INDEX(tbl_input[집계키_센터],ROW()-1),"")</f>
        <v/>
      </c>
      <c r="G4414" t="str">
        <f t="shared" si="480"/>
        <v/>
      </c>
      <c r="H4414" t="str">
        <f t="shared" si="481"/>
        <v/>
      </c>
      <c r="I4414" t="str">
        <f t="shared" si="482"/>
        <v/>
      </c>
    </row>
    <row r="4415" spans="1:9" x14ac:dyDescent="0.4">
      <c r="A4415" t="str">
        <f t="shared" si="476"/>
        <v/>
      </c>
      <c r="B4415" t="str">
        <f t="shared" si="477"/>
        <v/>
      </c>
      <c r="C4415" t="str">
        <f t="shared" si="478"/>
        <v/>
      </c>
      <c r="D4415" t="str">
        <f t="shared" si="479"/>
        <v/>
      </c>
      <c r="E4415" t="str">
        <f>IF(F4415="","",IF(COUNTIF($F$2:F4415,F4415)&gt;1,"",SUMIFS(tbl_input[필요수량],tbl_input[집계키_센터],F4415)))</f>
        <v/>
      </c>
      <c r="F4415" t="str">
        <f>IFERROR(INDEX(tbl_input[집계키_센터],ROW()-1),"")</f>
        <v/>
      </c>
      <c r="G4415" t="str">
        <f t="shared" si="480"/>
        <v/>
      </c>
      <c r="H4415" t="str">
        <f t="shared" si="481"/>
        <v/>
      </c>
      <c r="I4415" t="str">
        <f t="shared" si="482"/>
        <v/>
      </c>
    </row>
    <row r="4416" spans="1:9" x14ac:dyDescent="0.4">
      <c r="A4416" t="str">
        <f t="shared" si="476"/>
        <v/>
      </c>
      <c r="B4416" t="str">
        <f t="shared" si="477"/>
        <v/>
      </c>
      <c r="C4416" t="str">
        <f t="shared" si="478"/>
        <v/>
      </c>
      <c r="D4416" t="str">
        <f t="shared" si="479"/>
        <v/>
      </c>
      <c r="E4416" t="str">
        <f>IF(F4416="","",IF(COUNTIF($F$2:F4416,F4416)&gt;1,"",SUMIFS(tbl_input[필요수량],tbl_input[집계키_센터],F4416)))</f>
        <v/>
      </c>
      <c r="F4416" t="str">
        <f>IFERROR(INDEX(tbl_input[집계키_센터],ROW()-1),"")</f>
        <v/>
      </c>
      <c r="G4416" t="str">
        <f t="shared" si="480"/>
        <v/>
      </c>
      <c r="H4416" t="str">
        <f t="shared" si="481"/>
        <v/>
      </c>
      <c r="I4416" t="str">
        <f t="shared" si="482"/>
        <v/>
      </c>
    </row>
    <row r="4417" spans="1:9" x14ac:dyDescent="0.4">
      <c r="A4417" t="str">
        <f t="shared" si="476"/>
        <v/>
      </c>
      <c r="B4417" t="str">
        <f t="shared" si="477"/>
        <v/>
      </c>
      <c r="C4417" t="str">
        <f t="shared" si="478"/>
        <v/>
      </c>
      <c r="D4417" t="str">
        <f t="shared" si="479"/>
        <v/>
      </c>
      <c r="E4417" t="str">
        <f>IF(F4417="","",IF(COUNTIF($F$2:F4417,F4417)&gt;1,"",SUMIFS(tbl_input[필요수량],tbl_input[집계키_센터],F4417)))</f>
        <v/>
      </c>
      <c r="F4417" t="str">
        <f>IFERROR(INDEX(tbl_input[집계키_센터],ROW()-1),"")</f>
        <v/>
      </c>
      <c r="G4417" t="str">
        <f t="shared" si="480"/>
        <v/>
      </c>
      <c r="H4417" t="str">
        <f t="shared" si="481"/>
        <v/>
      </c>
      <c r="I4417" t="str">
        <f t="shared" si="482"/>
        <v/>
      </c>
    </row>
    <row r="4418" spans="1:9" x14ac:dyDescent="0.4">
      <c r="A4418" t="str">
        <f t="shared" ref="A4418:A4481" si="483">IF(F4418="","",LEFT(F4418,G4418-1))</f>
        <v/>
      </c>
      <c r="B4418" t="str">
        <f t="shared" ref="B4418:B4481" si="484">IF(F4418="","",MID(F4418,G4418+1,H4418-G4418-1))</f>
        <v/>
      </c>
      <c r="C4418" t="str">
        <f t="shared" ref="C4418:C4481" si="485">IF(F4418="","",MID(F4418,H4418+1,I4418-H4418-1))</f>
        <v/>
      </c>
      <c r="D4418" t="str">
        <f t="shared" ref="D4418:D4481" si="486">IF(F4418="","",MID(F4418,I4418+1,999))</f>
        <v/>
      </c>
      <c r="E4418" t="str">
        <f>IF(F4418="","",IF(COUNTIF($F$2:F4418,F4418)&gt;1,"",SUMIFS(tbl_input[필요수량],tbl_input[집계키_센터],F4418)))</f>
        <v/>
      </c>
      <c r="F4418" t="str">
        <f>IFERROR(INDEX(tbl_input[집계키_센터],ROW()-1),"")</f>
        <v/>
      </c>
      <c r="G4418" t="str">
        <f t="shared" ref="G4418:G4481" si="487">IF(F4418="","",FIND("♦",F4418))</f>
        <v/>
      </c>
      <c r="H4418" t="str">
        <f t="shared" ref="H4418:H4481" si="488">IF(F4418="","",FIND("♦",F4418,G4418+1))</f>
        <v/>
      </c>
      <c r="I4418" t="str">
        <f t="shared" ref="I4418:I4481" si="489">IF(F4418="","",FIND("♦",F4418,H4418+1))</f>
        <v/>
      </c>
    </row>
    <row r="4419" spans="1:9" x14ac:dyDescent="0.4">
      <c r="A4419" t="str">
        <f t="shared" si="483"/>
        <v/>
      </c>
      <c r="B4419" t="str">
        <f t="shared" si="484"/>
        <v/>
      </c>
      <c r="C4419" t="str">
        <f t="shared" si="485"/>
        <v/>
      </c>
      <c r="D4419" t="str">
        <f t="shared" si="486"/>
        <v/>
      </c>
      <c r="E4419" t="str">
        <f>IF(F4419="","",IF(COUNTIF($F$2:F4419,F4419)&gt;1,"",SUMIFS(tbl_input[필요수량],tbl_input[집계키_센터],F4419)))</f>
        <v/>
      </c>
      <c r="F4419" t="str">
        <f>IFERROR(INDEX(tbl_input[집계키_센터],ROW()-1),"")</f>
        <v/>
      </c>
      <c r="G4419" t="str">
        <f t="shared" si="487"/>
        <v/>
      </c>
      <c r="H4419" t="str">
        <f t="shared" si="488"/>
        <v/>
      </c>
      <c r="I4419" t="str">
        <f t="shared" si="489"/>
        <v/>
      </c>
    </row>
    <row r="4420" spans="1:9" x14ac:dyDescent="0.4">
      <c r="A4420" t="str">
        <f t="shared" si="483"/>
        <v/>
      </c>
      <c r="B4420" t="str">
        <f t="shared" si="484"/>
        <v/>
      </c>
      <c r="C4420" t="str">
        <f t="shared" si="485"/>
        <v/>
      </c>
      <c r="D4420" t="str">
        <f t="shared" si="486"/>
        <v/>
      </c>
      <c r="E4420" t="str">
        <f>IF(F4420="","",IF(COUNTIF($F$2:F4420,F4420)&gt;1,"",SUMIFS(tbl_input[필요수량],tbl_input[집계키_센터],F4420)))</f>
        <v/>
      </c>
      <c r="F4420" t="str">
        <f>IFERROR(INDEX(tbl_input[집계키_센터],ROW()-1),"")</f>
        <v/>
      </c>
      <c r="G4420" t="str">
        <f t="shared" si="487"/>
        <v/>
      </c>
      <c r="H4420" t="str">
        <f t="shared" si="488"/>
        <v/>
      </c>
      <c r="I4420" t="str">
        <f t="shared" si="489"/>
        <v/>
      </c>
    </row>
    <row r="4421" spans="1:9" x14ac:dyDescent="0.4">
      <c r="A4421" t="str">
        <f t="shared" si="483"/>
        <v/>
      </c>
      <c r="B4421" t="str">
        <f t="shared" si="484"/>
        <v/>
      </c>
      <c r="C4421" t="str">
        <f t="shared" si="485"/>
        <v/>
      </c>
      <c r="D4421" t="str">
        <f t="shared" si="486"/>
        <v/>
      </c>
      <c r="E4421" t="str">
        <f>IF(F4421="","",IF(COUNTIF($F$2:F4421,F4421)&gt;1,"",SUMIFS(tbl_input[필요수량],tbl_input[집계키_센터],F4421)))</f>
        <v/>
      </c>
      <c r="F4421" t="str">
        <f>IFERROR(INDEX(tbl_input[집계키_센터],ROW()-1),"")</f>
        <v/>
      </c>
      <c r="G4421" t="str">
        <f t="shared" si="487"/>
        <v/>
      </c>
      <c r="H4421" t="str">
        <f t="shared" si="488"/>
        <v/>
      </c>
      <c r="I4421" t="str">
        <f t="shared" si="489"/>
        <v/>
      </c>
    </row>
    <row r="4422" spans="1:9" x14ac:dyDescent="0.4">
      <c r="A4422" t="str">
        <f t="shared" si="483"/>
        <v/>
      </c>
      <c r="B4422" t="str">
        <f t="shared" si="484"/>
        <v/>
      </c>
      <c r="C4422" t="str">
        <f t="shared" si="485"/>
        <v/>
      </c>
      <c r="D4422" t="str">
        <f t="shared" si="486"/>
        <v/>
      </c>
      <c r="E4422" t="str">
        <f>IF(F4422="","",IF(COUNTIF($F$2:F4422,F4422)&gt;1,"",SUMIFS(tbl_input[필요수량],tbl_input[집계키_센터],F4422)))</f>
        <v/>
      </c>
      <c r="F4422" t="str">
        <f>IFERROR(INDEX(tbl_input[집계키_센터],ROW()-1),"")</f>
        <v/>
      </c>
      <c r="G4422" t="str">
        <f t="shared" si="487"/>
        <v/>
      </c>
      <c r="H4422" t="str">
        <f t="shared" si="488"/>
        <v/>
      </c>
      <c r="I4422" t="str">
        <f t="shared" si="489"/>
        <v/>
      </c>
    </row>
    <row r="4423" spans="1:9" x14ac:dyDescent="0.4">
      <c r="A4423" t="str">
        <f t="shared" si="483"/>
        <v/>
      </c>
      <c r="B4423" t="str">
        <f t="shared" si="484"/>
        <v/>
      </c>
      <c r="C4423" t="str">
        <f t="shared" si="485"/>
        <v/>
      </c>
      <c r="D4423" t="str">
        <f t="shared" si="486"/>
        <v/>
      </c>
      <c r="E4423" t="str">
        <f>IF(F4423="","",IF(COUNTIF($F$2:F4423,F4423)&gt;1,"",SUMIFS(tbl_input[필요수량],tbl_input[집계키_센터],F4423)))</f>
        <v/>
      </c>
      <c r="F4423" t="str">
        <f>IFERROR(INDEX(tbl_input[집계키_센터],ROW()-1),"")</f>
        <v/>
      </c>
      <c r="G4423" t="str">
        <f t="shared" si="487"/>
        <v/>
      </c>
      <c r="H4423" t="str">
        <f t="shared" si="488"/>
        <v/>
      </c>
      <c r="I4423" t="str">
        <f t="shared" si="489"/>
        <v/>
      </c>
    </row>
    <row r="4424" spans="1:9" x14ac:dyDescent="0.4">
      <c r="A4424" t="str">
        <f t="shared" si="483"/>
        <v/>
      </c>
      <c r="B4424" t="str">
        <f t="shared" si="484"/>
        <v/>
      </c>
      <c r="C4424" t="str">
        <f t="shared" si="485"/>
        <v/>
      </c>
      <c r="D4424" t="str">
        <f t="shared" si="486"/>
        <v/>
      </c>
      <c r="E4424" t="str">
        <f>IF(F4424="","",IF(COUNTIF($F$2:F4424,F4424)&gt;1,"",SUMIFS(tbl_input[필요수량],tbl_input[집계키_센터],F4424)))</f>
        <v/>
      </c>
      <c r="F4424" t="str">
        <f>IFERROR(INDEX(tbl_input[집계키_센터],ROW()-1),"")</f>
        <v/>
      </c>
      <c r="G4424" t="str">
        <f t="shared" si="487"/>
        <v/>
      </c>
      <c r="H4424" t="str">
        <f t="shared" si="488"/>
        <v/>
      </c>
      <c r="I4424" t="str">
        <f t="shared" si="489"/>
        <v/>
      </c>
    </row>
    <row r="4425" spans="1:9" x14ac:dyDescent="0.4">
      <c r="A4425" t="str">
        <f t="shared" si="483"/>
        <v/>
      </c>
      <c r="B4425" t="str">
        <f t="shared" si="484"/>
        <v/>
      </c>
      <c r="C4425" t="str">
        <f t="shared" si="485"/>
        <v/>
      </c>
      <c r="D4425" t="str">
        <f t="shared" si="486"/>
        <v/>
      </c>
      <c r="E4425" t="str">
        <f>IF(F4425="","",IF(COUNTIF($F$2:F4425,F4425)&gt;1,"",SUMIFS(tbl_input[필요수량],tbl_input[집계키_센터],F4425)))</f>
        <v/>
      </c>
      <c r="F4425" t="str">
        <f>IFERROR(INDEX(tbl_input[집계키_센터],ROW()-1),"")</f>
        <v/>
      </c>
      <c r="G4425" t="str">
        <f t="shared" si="487"/>
        <v/>
      </c>
      <c r="H4425" t="str">
        <f t="shared" si="488"/>
        <v/>
      </c>
      <c r="I4425" t="str">
        <f t="shared" si="489"/>
        <v/>
      </c>
    </row>
    <row r="4426" spans="1:9" x14ac:dyDescent="0.4">
      <c r="A4426" t="str">
        <f t="shared" si="483"/>
        <v/>
      </c>
      <c r="B4426" t="str">
        <f t="shared" si="484"/>
        <v/>
      </c>
      <c r="C4426" t="str">
        <f t="shared" si="485"/>
        <v/>
      </c>
      <c r="D4426" t="str">
        <f t="shared" si="486"/>
        <v/>
      </c>
      <c r="E4426" t="str">
        <f>IF(F4426="","",IF(COUNTIF($F$2:F4426,F4426)&gt;1,"",SUMIFS(tbl_input[필요수량],tbl_input[집계키_센터],F4426)))</f>
        <v/>
      </c>
      <c r="F4426" t="str">
        <f>IFERROR(INDEX(tbl_input[집계키_센터],ROW()-1),"")</f>
        <v/>
      </c>
      <c r="G4426" t="str">
        <f t="shared" si="487"/>
        <v/>
      </c>
      <c r="H4426" t="str">
        <f t="shared" si="488"/>
        <v/>
      </c>
      <c r="I4426" t="str">
        <f t="shared" si="489"/>
        <v/>
      </c>
    </row>
    <row r="4427" spans="1:9" x14ac:dyDescent="0.4">
      <c r="A4427" t="str">
        <f t="shared" si="483"/>
        <v/>
      </c>
      <c r="B4427" t="str">
        <f t="shared" si="484"/>
        <v/>
      </c>
      <c r="C4427" t="str">
        <f t="shared" si="485"/>
        <v/>
      </c>
      <c r="D4427" t="str">
        <f t="shared" si="486"/>
        <v/>
      </c>
      <c r="E4427" t="str">
        <f>IF(F4427="","",IF(COUNTIF($F$2:F4427,F4427)&gt;1,"",SUMIFS(tbl_input[필요수량],tbl_input[집계키_센터],F4427)))</f>
        <v/>
      </c>
      <c r="F4427" t="str">
        <f>IFERROR(INDEX(tbl_input[집계키_센터],ROW()-1),"")</f>
        <v/>
      </c>
      <c r="G4427" t="str">
        <f t="shared" si="487"/>
        <v/>
      </c>
      <c r="H4427" t="str">
        <f t="shared" si="488"/>
        <v/>
      </c>
      <c r="I4427" t="str">
        <f t="shared" si="489"/>
        <v/>
      </c>
    </row>
    <row r="4428" spans="1:9" x14ac:dyDescent="0.4">
      <c r="A4428" t="str">
        <f t="shared" si="483"/>
        <v/>
      </c>
      <c r="B4428" t="str">
        <f t="shared" si="484"/>
        <v/>
      </c>
      <c r="C4428" t="str">
        <f t="shared" si="485"/>
        <v/>
      </c>
      <c r="D4428" t="str">
        <f t="shared" si="486"/>
        <v/>
      </c>
      <c r="E4428" t="str">
        <f>IF(F4428="","",IF(COUNTIF($F$2:F4428,F4428)&gt;1,"",SUMIFS(tbl_input[필요수량],tbl_input[집계키_센터],F4428)))</f>
        <v/>
      </c>
      <c r="F4428" t="str">
        <f>IFERROR(INDEX(tbl_input[집계키_센터],ROW()-1),"")</f>
        <v/>
      </c>
      <c r="G4428" t="str">
        <f t="shared" si="487"/>
        <v/>
      </c>
      <c r="H4428" t="str">
        <f t="shared" si="488"/>
        <v/>
      </c>
      <c r="I4428" t="str">
        <f t="shared" si="489"/>
        <v/>
      </c>
    </row>
    <row r="4429" spans="1:9" x14ac:dyDescent="0.4">
      <c r="A4429" t="str">
        <f t="shared" si="483"/>
        <v/>
      </c>
      <c r="B4429" t="str">
        <f t="shared" si="484"/>
        <v/>
      </c>
      <c r="C4429" t="str">
        <f t="shared" si="485"/>
        <v/>
      </c>
      <c r="D4429" t="str">
        <f t="shared" si="486"/>
        <v/>
      </c>
      <c r="E4429" t="str">
        <f>IF(F4429="","",IF(COUNTIF($F$2:F4429,F4429)&gt;1,"",SUMIFS(tbl_input[필요수량],tbl_input[집계키_센터],F4429)))</f>
        <v/>
      </c>
      <c r="F4429" t="str">
        <f>IFERROR(INDEX(tbl_input[집계키_센터],ROW()-1),"")</f>
        <v/>
      </c>
      <c r="G4429" t="str">
        <f t="shared" si="487"/>
        <v/>
      </c>
      <c r="H4429" t="str">
        <f t="shared" si="488"/>
        <v/>
      </c>
      <c r="I4429" t="str">
        <f t="shared" si="489"/>
        <v/>
      </c>
    </row>
    <row r="4430" spans="1:9" x14ac:dyDescent="0.4">
      <c r="A4430" t="str">
        <f t="shared" si="483"/>
        <v/>
      </c>
      <c r="B4430" t="str">
        <f t="shared" si="484"/>
        <v/>
      </c>
      <c r="C4430" t="str">
        <f t="shared" si="485"/>
        <v/>
      </c>
      <c r="D4430" t="str">
        <f t="shared" si="486"/>
        <v/>
      </c>
      <c r="E4430" t="str">
        <f>IF(F4430="","",IF(COUNTIF($F$2:F4430,F4430)&gt;1,"",SUMIFS(tbl_input[필요수량],tbl_input[집계키_센터],F4430)))</f>
        <v/>
      </c>
      <c r="F4430" t="str">
        <f>IFERROR(INDEX(tbl_input[집계키_센터],ROW()-1),"")</f>
        <v/>
      </c>
      <c r="G4430" t="str">
        <f t="shared" si="487"/>
        <v/>
      </c>
      <c r="H4430" t="str">
        <f t="shared" si="488"/>
        <v/>
      </c>
      <c r="I4430" t="str">
        <f t="shared" si="489"/>
        <v/>
      </c>
    </row>
    <row r="4431" spans="1:9" x14ac:dyDescent="0.4">
      <c r="A4431" t="str">
        <f t="shared" si="483"/>
        <v/>
      </c>
      <c r="B4431" t="str">
        <f t="shared" si="484"/>
        <v/>
      </c>
      <c r="C4431" t="str">
        <f t="shared" si="485"/>
        <v/>
      </c>
      <c r="D4431" t="str">
        <f t="shared" si="486"/>
        <v/>
      </c>
      <c r="E4431" t="str">
        <f>IF(F4431="","",IF(COUNTIF($F$2:F4431,F4431)&gt;1,"",SUMIFS(tbl_input[필요수량],tbl_input[집계키_센터],F4431)))</f>
        <v/>
      </c>
      <c r="F4431" t="str">
        <f>IFERROR(INDEX(tbl_input[집계키_센터],ROW()-1),"")</f>
        <v/>
      </c>
      <c r="G4431" t="str">
        <f t="shared" si="487"/>
        <v/>
      </c>
      <c r="H4431" t="str">
        <f t="shared" si="488"/>
        <v/>
      </c>
      <c r="I4431" t="str">
        <f t="shared" si="489"/>
        <v/>
      </c>
    </row>
    <row r="4432" spans="1:9" x14ac:dyDescent="0.4">
      <c r="A4432" t="str">
        <f t="shared" si="483"/>
        <v/>
      </c>
      <c r="B4432" t="str">
        <f t="shared" si="484"/>
        <v/>
      </c>
      <c r="C4432" t="str">
        <f t="shared" si="485"/>
        <v/>
      </c>
      <c r="D4432" t="str">
        <f t="shared" si="486"/>
        <v/>
      </c>
      <c r="E4432" t="str">
        <f>IF(F4432="","",IF(COUNTIF($F$2:F4432,F4432)&gt;1,"",SUMIFS(tbl_input[필요수량],tbl_input[집계키_센터],F4432)))</f>
        <v/>
      </c>
      <c r="F4432" t="str">
        <f>IFERROR(INDEX(tbl_input[집계키_센터],ROW()-1),"")</f>
        <v/>
      </c>
      <c r="G4432" t="str">
        <f t="shared" si="487"/>
        <v/>
      </c>
      <c r="H4432" t="str">
        <f t="shared" si="488"/>
        <v/>
      </c>
      <c r="I4432" t="str">
        <f t="shared" si="489"/>
        <v/>
      </c>
    </row>
    <row r="4433" spans="1:9" x14ac:dyDescent="0.4">
      <c r="A4433" t="str">
        <f t="shared" si="483"/>
        <v/>
      </c>
      <c r="B4433" t="str">
        <f t="shared" si="484"/>
        <v/>
      </c>
      <c r="C4433" t="str">
        <f t="shared" si="485"/>
        <v/>
      </c>
      <c r="D4433" t="str">
        <f t="shared" si="486"/>
        <v/>
      </c>
      <c r="E4433" t="str">
        <f>IF(F4433="","",IF(COUNTIF($F$2:F4433,F4433)&gt;1,"",SUMIFS(tbl_input[필요수량],tbl_input[집계키_센터],F4433)))</f>
        <v/>
      </c>
      <c r="F4433" t="str">
        <f>IFERROR(INDEX(tbl_input[집계키_센터],ROW()-1),"")</f>
        <v/>
      </c>
      <c r="G4433" t="str">
        <f t="shared" si="487"/>
        <v/>
      </c>
      <c r="H4433" t="str">
        <f t="shared" si="488"/>
        <v/>
      </c>
      <c r="I4433" t="str">
        <f t="shared" si="489"/>
        <v/>
      </c>
    </row>
    <row r="4434" spans="1:9" x14ac:dyDescent="0.4">
      <c r="A4434" t="str">
        <f t="shared" si="483"/>
        <v/>
      </c>
      <c r="B4434" t="str">
        <f t="shared" si="484"/>
        <v/>
      </c>
      <c r="C4434" t="str">
        <f t="shared" si="485"/>
        <v/>
      </c>
      <c r="D4434" t="str">
        <f t="shared" si="486"/>
        <v/>
      </c>
      <c r="E4434" t="str">
        <f>IF(F4434="","",IF(COUNTIF($F$2:F4434,F4434)&gt;1,"",SUMIFS(tbl_input[필요수량],tbl_input[집계키_센터],F4434)))</f>
        <v/>
      </c>
      <c r="F4434" t="str">
        <f>IFERROR(INDEX(tbl_input[집계키_센터],ROW()-1),"")</f>
        <v/>
      </c>
      <c r="G4434" t="str">
        <f t="shared" si="487"/>
        <v/>
      </c>
      <c r="H4434" t="str">
        <f t="shared" si="488"/>
        <v/>
      </c>
      <c r="I4434" t="str">
        <f t="shared" si="489"/>
        <v/>
      </c>
    </row>
    <row r="4435" spans="1:9" x14ac:dyDescent="0.4">
      <c r="A4435" t="str">
        <f t="shared" si="483"/>
        <v/>
      </c>
      <c r="B4435" t="str">
        <f t="shared" si="484"/>
        <v/>
      </c>
      <c r="C4435" t="str">
        <f t="shared" si="485"/>
        <v/>
      </c>
      <c r="D4435" t="str">
        <f t="shared" si="486"/>
        <v/>
      </c>
      <c r="E4435" t="str">
        <f>IF(F4435="","",IF(COUNTIF($F$2:F4435,F4435)&gt;1,"",SUMIFS(tbl_input[필요수량],tbl_input[집계키_센터],F4435)))</f>
        <v/>
      </c>
      <c r="F4435" t="str">
        <f>IFERROR(INDEX(tbl_input[집계키_센터],ROW()-1),"")</f>
        <v/>
      </c>
      <c r="G4435" t="str">
        <f t="shared" si="487"/>
        <v/>
      </c>
      <c r="H4435" t="str">
        <f t="shared" si="488"/>
        <v/>
      </c>
      <c r="I4435" t="str">
        <f t="shared" si="489"/>
        <v/>
      </c>
    </row>
    <row r="4436" spans="1:9" x14ac:dyDescent="0.4">
      <c r="A4436" t="str">
        <f t="shared" si="483"/>
        <v/>
      </c>
      <c r="B4436" t="str">
        <f t="shared" si="484"/>
        <v/>
      </c>
      <c r="C4436" t="str">
        <f t="shared" si="485"/>
        <v/>
      </c>
      <c r="D4436" t="str">
        <f t="shared" si="486"/>
        <v/>
      </c>
      <c r="E4436" t="str">
        <f>IF(F4436="","",IF(COUNTIF($F$2:F4436,F4436)&gt;1,"",SUMIFS(tbl_input[필요수량],tbl_input[집계키_센터],F4436)))</f>
        <v/>
      </c>
      <c r="F4436" t="str">
        <f>IFERROR(INDEX(tbl_input[집계키_센터],ROW()-1),"")</f>
        <v/>
      </c>
      <c r="G4436" t="str">
        <f t="shared" si="487"/>
        <v/>
      </c>
      <c r="H4436" t="str">
        <f t="shared" si="488"/>
        <v/>
      </c>
      <c r="I4436" t="str">
        <f t="shared" si="489"/>
        <v/>
      </c>
    </row>
    <row r="4437" spans="1:9" x14ac:dyDescent="0.4">
      <c r="A4437" t="str">
        <f t="shared" si="483"/>
        <v/>
      </c>
      <c r="B4437" t="str">
        <f t="shared" si="484"/>
        <v/>
      </c>
      <c r="C4437" t="str">
        <f t="shared" si="485"/>
        <v/>
      </c>
      <c r="D4437" t="str">
        <f t="shared" si="486"/>
        <v/>
      </c>
      <c r="E4437" t="str">
        <f>IF(F4437="","",IF(COUNTIF($F$2:F4437,F4437)&gt;1,"",SUMIFS(tbl_input[필요수량],tbl_input[집계키_센터],F4437)))</f>
        <v/>
      </c>
      <c r="F4437" t="str">
        <f>IFERROR(INDEX(tbl_input[집계키_센터],ROW()-1),"")</f>
        <v/>
      </c>
      <c r="G4437" t="str">
        <f t="shared" si="487"/>
        <v/>
      </c>
      <c r="H4437" t="str">
        <f t="shared" si="488"/>
        <v/>
      </c>
      <c r="I4437" t="str">
        <f t="shared" si="489"/>
        <v/>
      </c>
    </row>
    <row r="4438" spans="1:9" x14ac:dyDescent="0.4">
      <c r="A4438" t="str">
        <f t="shared" si="483"/>
        <v/>
      </c>
      <c r="B4438" t="str">
        <f t="shared" si="484"/>
        <v/>
      </c>
      <c r="C4438" t="str">
        <f t="shared" si="485"/>
        <v/>
      </c>
      <c r="D4438" t="str">
        <f t="shared" si="486"/>
        <v/>
      </c>
      <c r="E4438" t="str">
        <f>IF(F4438="","",IF(COUNTIF($F$2:F4438,F4438)&gt;1,"",SUMIFS(tbl_input[필요수량],tbl_input[집계키_센터],F4438)))</f>
        <v/>
      </c>
      <c r="F4438" t="str">
        <f>IFERROR(INDEX(tbl_input[집계키_센터],ROW()-1),"")</f>
        <v/>
      </c>
      <c r="G4438" t="str">
        <f t="shared" si="487"/>
        <v/>
      </c>
      <c r="H4438" t="str">
        <f t="shared" si="488"/>
        <v/>
      </c>
      <c r="I4438" t="str">
        <f t="shared" si="489"/>
        <v/>
      </c>
    </row>
    <row r="4439" spans="1:9" x14ac:dyDescent="0.4">
      <c r="A4439" t="str">
        <f t="shared" si="483"/>
        <v/>
      </c>
      <c r="B4439" t="str">
        <f t="shared" si="484"/>
        <v/>
      </c>
      <c r="C4439" t="str">
        <f t="shared" si="485"/>
        <v/>
      </c>
      <c r="D4439" t="str">
        <f t="shared" si="486"/>
        <v/>
      </c>
      <c r="E4439" t="str">
        <f>IF(F4439="","",IF(COUNTIF($F$2:F4439,F4439)&gt;1,"",SUMIFS(tbl_input[필요수량],tbl_input[집계키_센터],F4439)))</f>
        <v/>
      </c>
      <c r="F4439" t="str">
        <f>IFERROR(INDEX(tbl_input[집계키_센터],ROW()-1),"")</f>
        <v/>
      </c>
      <c r="G4439" t="str">
        <f t="shared" si="487"/>
        <v/>
      </c>
      <c r="H4439" t="str">
        <f t="shared" si="488"/>
        <v/>
      </c>
      <c r="I4439" t="str">
        <f t="shared" si="489"/>
        <v/>
      </c>
    </row>
    <row r="4440" spans="1:9" x14ac:dyDescent="0.4">
      <c r="A4440" t="str">
        <f t="shared" si="483"/>
        <v/>
      </c>
      <c r="B4440" t="str">
        <f t="shared" si="484"/>
        <v/>
      </c>
      <c r="C4440" t="str">
        <f t="shared" si="485"/>
        <v/>
      </c>
      <c r="D4440" t="str">
        <f t="shared" si="486"/>
        <v/>
      </c>
      <c r="E4440" t="str">
        <f>IF(F4440="","",IF(COUNTIF($F$2:F4440,F4440)&gt;1,"",SUMIFS(tbl_input[필요수량],tbl_input[집계키_센터],F4440)))</f>
        <v/>
      </c>
      <c r="F4440" t="str">
        <f>IFERROR(INDEX(tbl_input[집계키_센터],ROW()-1),"")</f>
        <v/>
      </c>
      <c r="G4440" t="str">
        <f t="shared" si="487"/>
        <v/>
      </c>
      <c r="H4440" t="str">
        <f t="shared" si="488"/>
        <v/>
      </c>
      <c r="I4440" t="str">
        <f t="shared" si="489"/>
        <v/>
      </c>
    </row>
    <row r="4441" spans="1:9" x14ac:dyDescent="0.4">
      <c r="A4441" t="str">
        <f t="shared" si="483"/>
        <v/>
      </c>
      <c r="B4441" t="str">
        <f t="shared" si="484"/>
        <v/>
      </c>
      <c r="C4441" t="str">
        <f t="shared" si="485"/>
        <v/>
      </c>
      <c r="D4441" t="str">
        <f t="shared" si="486"/>
        <v/>
      </c>
      <c r="E4441" t="str">
        <f>IF(F4441="","",IF(COUNTIF($F$2:F4441,F4441)&gt;1,"",SUMIFS(tbl_input[필요수량],tbl_input[집계키_센터],F4441)))</f>
        <v/>
      </c>
      <c r="F4441" t="str">
        <f>IFERROR(INDEX(tbl_input[집계키_센터],ROW()-1),"")</f>
        <v/>
      </c>
      <c r="G4441" t="str">
        <f t="shared" si="487"/>
        <v/>
      </c>
      <c r="H4441" t="str">
        <f t="shared" si="488"/>
        <v/>
      </c>
      <c r="I4441" t="str">
        <f t="shared" si="489"/>
        <v/>
      </c>
    </row>
    <row r="4442" spans="1:9" x14ac:dyDescent="0.4">
      <c r="A4442" t="str">
        <f t="shared" si="483"/>
        <v/>
      </c>
      <c r="B4442" t="str">
        <f t="shared" si="484"/>
        <v/>
      </c>
      <c r="C4442" t="str">
        <f t="shared" si="485"/>
        <v/>
      </c>
      <c r="D4442" t="str">
        <f t="shared" si="486"/>
        <v/>
      </c>
      <c r="E4442" t="str">
        <f>IF(F4442="","",IF(COUNTIF($F$2:F4442,F4442)&gt;1,"",SUMIFS(tbl_input[필요수량],tbl_input[집계키_센터],F4442)))</f>
        <v/>
      </c>
      <c r="F4442" t="str">
        <f>IFERROR(INDEX(tbl_input[집계키_센터],ROW()-1),"")</f>
        <v/>
      </c>
      <c r="G4442" t="str">
        <f t="shared" si="487"/>
        <v/>
      </c>
      <c r="H4442" t="str">
        <f t="shared" si="488"/>
        <v/>
      </c>
      <c r="I4442" t="str">
        <f t="shared" si="489"/>
        <v/>
      </c>
    </row>
    <row r="4443" spans="1:9" x14ac:dyDescent="0.4">
      <c r="A4443" t="str">
        <f t="shared" si="483"/>
        <v/>
      </c>
      <c r="B4443" t="str">
        <f t="shared" si="484"/>
        <v/>
      </c>
      <c r="C4443" t="str">
        <f t="shared" si="485"/>
        <v/>
      </c>
      <c r="D4443" t="str">
        <f t="shared" si="486"/>
        <v/>
      </c>
      <c r="E4443" t="str">
        <f>IF(F4443="","",IF(COUNTIF($F$2:F4443,F4443)&gt;1,"",SUMIFS(tbl_input[필요수량],tbl_input[집계키_센터],F4443)))</f>
        <v/>
      </c>
      <c r="F4443" t="str">
        <f>IFERROR(INDEX(tbl_input[집계키_센터],ROW()-1),"")</f>
        <v/>
      </c>
      <c r="G4443" t="str">
        <f t="shared" si="487"/>
        <v/>
      </c>
      <c r="H4443" t="str">
        <f t="shared" si="488"/>
        <v/>
      </c>
      <c r="I4443" t="str">
        <f t="shared" si="489"/>
        <v/>
      </c>
    </row>
    <row r="4444" spans="1:9" x14ac:dyDescent="0.4">
      <c r="A4444" t="str">
        <f t="shared" si="483"/>
        <v/>
      </c>
      <c r="B4444" t="str">
        <f t="shared" si="484"/>
        <v/>
      </c>
      <c r="C4444" t="str">
        <f t="shared" si="485"/>
        <v/>
      </c>
      <c r="D4444" t="str">
        <f t="shared" si="486"/>
        <v/>
      </c>
      <c r="E4444" t="str">
        <f>IF(F4444="","",IF(COUNTIF($F$2:F4444,F4444)&gt;1,"",SUMIFS(tbl_input[필요수량],tbl_input[집계키_센터],F4444)))</f>
        <v/>
      </c>
      <c r="F4444" t="str">
        <f>IFERROR(INDEX(tbl_input[집계키_센터],ROW()-1),"")</f>
        <v/>
      </c>
      <c r="G4444" t="str">
        <f t="shared" si="487"/>
        <v/>
      </c>
      <c r="H4444" t="str">
        <f t="shared" si="488"/>
        <v/>
      </c>
      <c r="I4444" t="str">
        <f t="shared" si="489"/>
        <v/>
      </c>
    </row>
    <row r="4445" spans="1:9" x14ac:dyDescent="0.4">
      <c r="A4445" t="str">
        <f t="shared" si="483"/>
        <v/>
      </c>
      <c r="B4445" t="str">
        <f t="shared" si="484"/>
        <v/>
      </c>
      <c r="C4445" t="str">
        <f t="shared" si="485"/>
        <v/>
      </c>
      <c r="D4445" t="str">
        <f t="shared" si="486"/>
        <v/>
      </c>
      <c r="E4445" t="str">
        <f>IF(F4445="","",IF(COUNTIF($F$2:F4445,F4445)&gt;1,"",SUMIFS(tbl_input[필요수량],tbl_input[집계키_센터],F4445)))</f>
        <v/>
      </c>
      <c r="F4445" t="str">
        <f>IFERROR(INDEX(tbl_input[집계키_센터],ROW()-1),"")</f>
        <v/>
      </c>
      <c r="G4445" t="str">
        <f t="shared" si="487"/>
        <v/>
      </c>
      <c r="H4445" t="str">
        <f t="shared" si="488"/>
        <v/>
      </c>
      <c r="I4445" t="str">
        <f t="shared" si="489"/>
        <v/>
      </c>
    </row>
    <row r="4446" spans="1:9" x14ac:dyDescent="0.4">
      <c r="A4446" t="str">
        <f t="shared" si="483"/>
        <v/>
      </c>
      <c r="B4446" t="str">
        <f t="shared" si="484"/>
        <v/>
      </c>
      <c r="C4446" t="str">
        <f t="shared" si="485"/>
        <v/>
      </c>
      <c r="D4446" t="str">
        <f t="shared" si="486"/>
        <v/>
      </c>
      <c r="E4446" t="str">
        <f>IF(F4446="","",IF(COUNTIF($F$2:F4446,F4446)&gt;1,"",SUMIFS(tbl_input[필요수량],tbl_input[집계키_센터],F4446)))</f>
        <v/>
      </c>
      <c r="F4446" t="str">
        <f>IFERROR(INDEX(tbl_input[집계키_센터],ROW()-1),"")</f>
        <v/>
      </c>
      <c r="G4446" t="str">
        <f t="shared" si="487"/>
        <v/>
      </c>
      <c r="H4446" t="str">
        <f t="shared" si="488"/>
        <v/>
      </c>
      <c r="I4446" t="str">
        <f t="shared" si="489"/>
        <v/>
      </c>
    </row>
    <row r="4447" spans="1:9" x14ac:dyDescent="0.4">
      <c r="A4447" t="str">
        <f t="shared" si="483"/>
        <v/>
      </c>
      <c r="B4447" t="str">
        <f t="shared" si="484"/>
        <v/>
      </c>
      <c r="C4447" t="str">
        <f t="shared" si="485"/>
        <v/>
      </c>
      <c r="D4447" t="str">
        <f t="shared" si="486"/>
        <v/>
      </c>
      <c r="E4447" t="str">
        <f>IF(F4447="","",IF(COUNTIF($F$2:F4447,F4447)&gt;1,"",SUMIFS(tbl_input[필요수량],tbl_input[집계키_센터],F4447)))</f>
        <v/>
      </c>
      <c r="F4447" t="str">
        <f>IFERROR(INDEX(tbl_input[집계키_센터],ROW()-1),"")</f>
        <v/>
      </c>
      <c r="G4447" t="str">
        <f t="shared" si="487"/>
        <v/>
      </c>
      <c r="H4447" t="str">
        <f t="shared" si="488"/>
        <v/>
      </c>
      <c r="I4447" t="str">
        <f t="shared" si="489"/>
        <v/>
      </c>
    </row>
    <row r="4448" spans="1:9" x14ac:dyDescent="0.4">
      <c r="A4448" t="str">
        <f t="shared" si="483"/>
        <v/>
      </c>
      <c r="B4448" t="str">
        <f t="shared" si="484"/>
        <v/>
      </c>
      <c r="C4448" t="str">
        <f t="shared" si="485"/>
        <v/>
      </c>
      <c r="D4448" t="str">
        <f t="shared" si="486"/>
        <v/>
      </c>
      <c r="E4448" t="str">
        <f>IF(F4448="","",IF(COUNTIF($F$2:F4448,F4448)&gt;1,"",SUMIFS(tbl_input[필요수량],tbl_input[집계키_센터],F4448)))</f>
        <v/>
      </c>
      <c r="F4448" t="str">
        <f>IFERROR(INDEX(tbl_input[집계키_센터],ROW()-1),"")</f>
        <v/>
      </c>
      <c r="G4448" t="str">
        <f t="shared" si="487"/>
        <v/>
      </c>
      <c r="H4448" t="str">
        <f t="shared" si="488"/>
        <v/>
      </c>
      <c r="I4448" t="str">
        <f t="shared" si="489"/>
        <v/>
      </c>
    </row>
    <row r="4449" spans="1:9" x14ac:dyDescent="0.4">
      <c r="A4449" t="str">
        <f t="shared" si="483"/>
        <v/>
      </c>
      <c r="B4449" t="str">
        <f t="shared" si="484"/>
        <v/>
      </c>
      <c r="C4449" t="str">
        <f t="shared" si="485"/>
        <v/>
      </c>
      <c r="D4449" t="str">
        <f t="shared" si="486"/>
        <v/>
      </c>
      <c r="E4449" t="str">
        <f>IF(F4449="","",IF(COUNTIF($F$2:F4449,F4449)&gt;1,"",SUMIFS(tbl_input[필요수량],tbl_input[집계키_센터],F4449)))</f>
        <v/>
      </c>
      <c r="F4449" t="str">
        <f>IFERROR(INDEX(tbl_input[집계키_센터],ROW()-1),"")</f>
        <v/>
      </c>
      <c r="G4449" t="str">
        <f t="shared" si="487"/>
        <v/>
      </c>
      <c r="H4449" t="str">
        <f t="shared" si="488"/>
        <v/>
      </c>
      <c r="I4449" t="str">
        <f t="shared" si="489"/>
        <v/>
      </c>
    </row>
    <row r="4450" spans="1:9" x14ac:dyDescent="0.4">
      <c r="A4450" t="str">
        <f t="shared" si="483"/>
        <v/>
      </c>
      <c r="B4450" t="str">
        <f t="shared" si="484"/>
        <v/>
      </c>
      <c r="C4450" t="str">
        <f t="shared" si="485"/>
        <v/>
      </c>
      <c r="D4450" t="str">
        <f t="shared" si="486"/>
        <v/>
      </c>
      <c r="E4450" t="str">
        <f>IF(F4450="","",IF(COUNTIF($F$2:F4450,F4450)&gt;1,"",SUMIFS(tbl_input[필요수량],tbl_input[집계키_센터],F4450)))</f>
        <v/>
      </c>
      <c r="F4450" t="str">
        <f>IFERROR(INDEX(tbl_input[집계키_센터],ROW()-1),"")</f>
        <v/>
      </c>
      <c r="G4450" t="str">
        <f t="shared" si="487"/>
        <v/>
      </c>
      <c r="H4450" t="str">
        <f t="shared" si="488"/>
        <v/>
      </c>
      <c r="I4450" t="str">
        <f t="shared" si="489"/>
        <v/>
      </c>
    </row>
    <row r="4451" spans="1:9" x14ac:dyDescent="0.4">
      <c r="A4451" t="str">
        <f t="shared" si="483"/>
        <v/>
      </c>
      <c r="B4451" t="str">
        <f t="shared" si="484"/>
        <v/>
      </c>
      <c r="C4451" t="str">
        <f t="shared" si="485"/>
        <v/>
      </c>
      <c r="D4451" t="str">
        <f t="shared" si="486"/>
        <v/>
      </c>
      <c r="E4451" t="str">
        <f>IF(F4451="","",IF(COUNTIF($F$2:F4451,F4451)&gt;1,"",SUMIFS(tbl_input[필요수량],tbl_input[집계키_센터],F4451)))</f>
        <v/>
      </c>
      <c r="F4451" t="str">
        <f>IFERROR(INDEX(tbl_input[집계키_센터],ROW()-1),"")</f>
        <v/>
      </c>
      <c r="G4451" t="str">
        <f t="shared" si="487"/>
        <v/>
      </c>
      <c r="H4451" t="str">
        <f t="shared" si="488"/>
        <v/>
      </c>
      <c r="I4451" t="str">
        <f t="shared" si="489"/>
        <v/>
      </c>
    </row>
    <row r="4452" spans="1:9" x14ac:dyDescent="0.4">
      <c r="A4452" t="str">
        <f t="shared" si="483"/>
        <v/>
      </c>
      <c r="B4452" t="str">
        <f t="shared" si="484"/>
        <v/>
      </c>
      <c r="C4452" t="str">
        <f t="shared" si="485"/>
        <v/>
      </c>
      <c r="D4452" t="str">
        <f t="shared" si="486"/>
        <v/>
      </c>
      <c r="E4452" t="str">
        <f>IF(F4452="","",IF(COUNTIF($F$2:F4452,F4452)&gt;1,"",SUMIFS(tbl_input[필요수량],tbl_input[집계키_센터],F4452)))</f>
        <v/>
      </c>
      <c r="F4452" t="str">
        <f>IFERROR(INDEX(tbl_input[집계키_센터],ROW()-1),"")</f>
        <v/>
      </c>
      <c r="G4452" t="str">
        <f t="shared" si="487"/>
        <v/>
      </c>
      <c r="H4452" t="str">
        <f t="shared" si="488"/>
        <v/>
      </c>
      <c r="I4452" t="str">
        <f t="shared" si="489"/>
        <v/>
      </c>
    </row>
    <row r="4453" spans="1:9" x14ac:dyDescent="0.4">
      <c r="A4453" t="str">
        <f t="shared" si="483"/>
        <v/>
      </c>
      <c r="B4453" t="str">
        <f t="shared" si="484"/>
        <v/>
      </c>
      <c r="C4453" t="str">
        <f t="shared" si="485"/>
        <v/>
      </c>
      <c r="D4453" t="str">
        <f t="shared" si="486"/>
        <v/>
      </c>
      <c r="E4453" t="str">
        <f>IF(F4453="","",IF(COUNTIF($F$2:F4453,F4453)&gt;1,"",SUMIFS(tbl_input[필요수량],tbl_input[집계키_센터],F4453)))</f>
        <v/>
      </c>
      <c r="F4453" t="str">
        <f>IFERROR(INDEX(tbl_input[집계키_센터],ROW()-1),"")</f>
        <v/>
      </c>
      <c r="G4453" t="str">
        <f t="shared" si="487"/>
        <v/>
      </c>
      <c r="H4453" t="str">
        <f t="shared" si="488"/>
        <v/>
      </c>
      <c r="I4453" t="str">
        <f t="shared" si="489"/>
        <v/>
      </c>
    </row>
    <row r="4454" spans="1:9" x14ac:dyDescent="0.4">
      <c r="A4454" t="str">
        <f t="shared" si="483"/>
        <v/>
      </c>
      <c r="B4454" t="str">
        <f t="shared" si="484"/>
        <v/>
      </c>
      <c r="C4454" t="str">
        <f t="shared" si="485"/>
        <v/>
      </c>
      <c r="D4454" t="str">
        <f t="shared" si="486"/>
        <v/>
      </c>
      <c r="E4454" t="str">
        <f>IF(F4454="","",IF(COUNTIF($F$2:F4454,F4454)&gt;1,"",SUMIFS(tbl_input[필요수량],tbl_input[집계키_센터],F4454)))</f>
        <v/>
      </c>
      <c r="F4454" t="str">
        <f>IFERROR(INDEX(tbl_input[집계키_센터],ROW()-1),"")</f>
        <v/>
      </c>
      <c r="G4454" t="str">
        <f t="shared" si="487"/>
        <v/>
      </c>
      <c r="H4454" t="str">
        <f t="shared" si="488"/>
        <v/>
      </c>
      <c r="I4454" t="str">
        <f t="shared" si="489"/>
        <v/>
      </c>
    </row>
    <row r="4455" spans="1:9" x14ac:dyDescent="0.4">
      <c r="A4455" t="str">
        <f t="shared" si="483"/>
        <v/>
      </c>
      <c r="B4455" t="str">
        <f t="shared" si="484"/>
        <v/>
      </c>
      <c r="C4455" t="str">
        <f t="shared" si="485"/>
        <v/>
      </c>
      <c r="D4455" t="str">
        <f t="shared" si="486"/>
        <v/>
      </c>
      <c r="E4455" t="str">
        <f>IF(F4455="","",IF(COUNTIF($F$2:F4455,F4455)&gt;1,"",SUMIFS(tbl_input[필요수량],tbl_input[집계키_센터],F4455)))</f>
        <v/>
      </c>
      <c r="F4455" t="str">
        <f>IFERROR(INDEX(tbl_input[집계키_센터],ROW()-1),"")</f>
        <v/>
      </c>
      <c r="G4455" t="str">
        <f t="shared" si="487"/>
        <v/>
      </c>
      <c r="H4455" t="str">
        <f t="shared" si="488"/>
        <v/>
      </c>
      <c r="I4455" t="str">
        <f t="shared" si="489"/>
        <v/>
      </c>
    </row>
    <row r="4456" spans="1:9" x14ac:dyDescent="0.4">
      <c r="A4456" t="str">
        <f t="shared" si="483"/>
        <v/>
      </c>
      <c r="B4456" t="str">
        <f t="shared" si="484"/>
        <v/>
      </c>
      <c r="C4456" t="str">
        <f t="shared" si="485"/>
        <v/>
      </c>
      <c r="D4456" t="str">
        <f t="shared" si="486"/>
        <v/>
      </c>
      <c r="E4456" t="str">
        <f>IF(F4456="","",IF(COUNTIF($F$2:F4456,F4456)&gt;1,"",SUMIFS(tbl_input[필요수량],tbl_input[집계키_센터],F4456)))</f>
        <v/>
      </c>
      <c r="F4456" t="str">
        <f>IFERROR(INDEX(tbl_input[집계키_센터],ROW()-1),"")</f>
        <v/>
      </c>
      <c r="G4456" t="str">
        <f t="shared" si="487"/>
        <v/>
      </c>
      <c r="H4456" t="str">
        <f t="shared" si="488"/>
        <v/>
      </c>
      <c r="I4456" t="str">
        <f t="shared" si="489"/>
        <v/>
      </c>
    </row>
    <row r="4457" spans="1:9" x14ac:dyDescent="0.4">
      <c r="A4457" t="str">
        <f t="shared" si="483"/>
        <v/>
      </c>
      <c r="B4457" t="str">
        <f t="shared" si="484"/>
        <v/>
      </c>
      <c r="C4457" t="str">
        <f t="shared" si="485"/>
        <v/>
      </c>
      <c r="D4457" t="str">
        <f t="shared" si="486"/>
        <v/>
      </c>
      <c r="E4457" t="str">
        <f>IF(F4457="","",IF(COUNTIF($F$2:F4457,F4457)&gt;1,"",SUMIFS(tbl_input[필요수량],tbl_input[집계키_센터],F4457)))</f>
        <v/>
      </c>
      <c r="F4457" t="str">
        <f>IFERROR(INDEX(tbl_input[집계키_센터],ROW()-1),"")</f>
        <v/>
      </c>
      <c r="G4457" t="str">
        <f t="shared" si="487"/>
        <v/>
      </c>
      <c r="H4457" t="str">
        <f t="shared" si="488"/>
        <v/>
      </c>
      <c r="I4457" t="str">
        <f t="shared" si="489"/>
        <v/>
      </c>
    </row>
    <row r="4458" spans="1:9" x14ac:dyDescent="0.4">
      <c r="A4458" t="str">
        <f t="shared" si="483"/>
        <v/>
      </c>
      <c r="B4458" t="str">
        <f t="shared" si="484"/>
        <v/>
      </c>
      <c r="C4458" t="str">
        <f t="shared" si="485"/>
        <v/>
      </c>
      <c r="D4458" t="str">
        <f t="shared" si="486"/>
        <v/>
      </c>
      <c r="E4458" t="str">
        <f>IF(F4458="","",IF(COUNTIF($F$2:F4458,F4458)&gt;1,"",SUMIFS(tbl_input[필요수량],tbl_input[집계키_센터],F4458)))</f>
        <v/>
      </c>
      <c r="F4458" t="str">
        <f>IFERROR(INDEX(tbl_input[집계키_센터],ROW()-1),"")</f>
        <v/>
      </c>
      <c r="G4458" t="str">
        <f t="shared" si="487"/>
        <v/>
      </c>
      <c r="H4458" t="str">
        <f t="shared" si="488"/>
        <v/>
      </c>
      <c r="I4458" t="str">
        <f t="shared" si="489"/>
        <v/>
      </c>
    </row>
    <row r="4459" spans="1:9" x14ac:dyDescent="0.4">
      <c r="A4459" t="str">
        <f t="shared" si="483"/>
        <v/>
      </c>
      <c r="B4459" t="str">
        <f t="shared" si="484"/>
        <v/>
      </c>
      <c r="C4459" t="str">
        <f t="shared" si="485"/>
        <v/>
      </c>
      <c r="D4459" t="str">
        <f t="shared" si="486"/>
        <v/>
      </c>
      <c r="E4459" t="str">
        <f>IF(F4459="","",IF(COUNTIF($F$2:F4459,F4459)&gt;1,"",SUMIFS(tbl_input[필요수량],tbl_input[집계키_센터],F4459)))</f>
        <v/>
      </c>
      <c r="F4459" t="str">
        <f>IFERROR(INDEX(tbl_input[집계키_센터],ROW()-1),"")</f>
        <v/>
      </c>
      <c r="G4459" t="str">
        <f t="shared" si="487"/>
        <v/>
      </c>
      <c r="H4459" t="str">
        <f t="shared" si="488"/>
        <v/>
      </c>
      <c r="I4459" t="str">
        <f t="shared" si="489"/>
        <v/>
      </c>
    </row>
    <row r="4460" spans="1:9" x14ac:dyDescent="0.4">
      <c r="A4460" t="str">
        <f t="shared" si="483"/>
        <v/>
      </c>
      <c r="B4460" t="str">
        <f t="shared" si="484"/>
        <v/>
      </c>
      <c r="C4460" t="str">
        <f t="shared" si="485"/>
        <v/>
      </c>
      <c r="D4460" t="str">
        <f t="shared" si="486"/>
        <v/>
      </c>
      <c r="E4460" t="str">
        <f>IF(F4460="","",IF(COUNTIF($F$2:F4460,F4460)&gt;1,"",SUMIFS(tbl_input[필요수량],tbl_input[집계키_센터],F4460)))</f>
        <v/>
      </c>
      <c r="F4460" t="str">
        <f>IFERROR(INDEX(tbl_input[집계키_센터],ROW()-1),"")</f>
        <v/>
      </c>
      <c r="G4460" t="str">
        <f t="shared" si="487"/>
        <v/>
      </c>
      <c r="H4460" t="str">
        <f t="shared" si="488"/>
        <v/>
      </c>
      <c r="I4460" t="str">
        <f t="shared" si="489"/>
        <v/>
      </c>
    </row>
    <row r="4461" spans="1:9" x14ac:dyDescent="0.4">
      <c r="A4461" t="str">
        <f t="shared" si="483"/>
        <v/>
      </c>
      <c r="B4461" t="str">
        <f t="shared" si="484"/>
        <v/>
      </c>
      <c r="C4461" t="str">
        <f t="shared" si="485"/>
        <v/>
      </c>
      <c r="D4461" t="str">
        <f t="shared" si="486"/>
        <v/>
      </c>
      <c r="E4461" t="str">
        <f>IF(F4461="","",IF(COUNTIF($F$2:F4461,F4461)&gt;1,"",SUMIFS(tbl_input[필요수량],tbl_input[집계키_센터],F4461)))</f>
        <v/>
      </c>
      <c r="F4461" t="str">
        <f>IFERROR(INDEX(tbl_input[집계키_센터],ROW()-1),"")</f>
        <v/>
      </c>
      <c r="G4461" t="str">
        <f t="shared" si="487"/>
        <v/>
      </c>
      <c r="H4461" t="str">
        <f t="shared" si="488"/>
        <v/>
      </c>
      <c r="I4461" t="str">
        <f t="shared" si="489"/>
        <v/>
      </c>
    </row>
    <row r="4462" spans="1:9" x14ac:dyDescent="0.4">
      <c r="A4462" t="str">
        <f t="shared" si="483"/>
        <v/>
      </c>
      <c r="B4462" t="str">
        <f t="shared" si="484"/>
        <v/>
      </c>
      <c r="C4462" t="str">
        <f t="shared" si="485"/>
        <v/>
      </c>
      <c r="D4462" t="str">
        <f t="shared" si="486"/>
        <v/>
      </c>
      <c r="E4462" t="str">
        <f>IF(F4462="","",IF(COUNTIF($F$2:F4462,F4462)&gt;1,"",SUMIFS(tbl_input[필요수량],tbl_input[집계키_센터],F4462)))</f>
        <v/>
      </c>
      <c r="F4462" t="str">
        <f>IFERROR(INDEX(tbl_input[집계키_센터],ROW()-1),"")</f>
        <v/>
      </c>
      <c r="G4462" t="str">
        <f t="shared" si="487"/>
        <v/>
      </c>
      <c r="H4462" t="str">
        <f t="shared" si="488"/>
        <v/>
      </c>
      <c r="I4462" t="str">
        <f t="shared" si="489"/>
        <v/>
      </c>
    </row>
    <row r="4463" spans="1:9" x14ac:dyDescent="0.4">
      <c r="A4463" t="str">
        <f t="shared" si="483"/>
        <v/>
      </c>
      <c r="B4463" t="str">
        <f t="shared" si="484"/>
        <v/>
      </c>
      <c r="C4463" t="str">
        <f t="shared" si="485"/>
        <v/>
      </c>
      <c r="D4463" t="str">
        <f t="shared" si="486"/>
        <v/>
      </c>
      <c r="E4463" t="str">
        <f>IF(F4463="","",IF(COUNTIF($F$2:F4463,F4463)&gt;1,"",SUMIFS(tbl_input[필요수량],tbl_input[집계키_센터],F4463)))</f>
        <v/>
      </c>
      <c r="F4463" t="str">
        <f>IFERROR(INDEX(tbl_input[집계키_센터],ROW()-1),"")</f>
        <v/>
      </c>
      <c r="G4463" t="str">
        <f t="shared" si="487"/>
        <v/>
      </c>
      <c r="H4463" t="str">
        <f t="shared" si="488"/>
        <v/>
      </c>
      <c r="I4463" t="str">
        <f t="shared" si="489"/>
        <v/>
      </c>
    </row>
    <row r="4464" spans="1:9" x14ac:dyDescent="0.4">
      <c r="A4464" t="str">
        <f t="shared" si="483"/>
        <v/>
      </c>
      <c r="B4464" t="str">
        <f t="shared" si="484"/>
        <v/>
      </c>
      <c r="C4464" t="str">
        <f t="shared" si="485"/>
        <v/>
      </c>
      <c r="D4464" t="str">
        <f t="shared" si="486"/>
        <v/>
      </c>
      <c r="E4464" t="str">
        <f>IF(F4464="","",IF(COUNTIF($F$2:F4464,F4464)&gt;1,"",SUMIFS(tbl_input[필요수량],tbl_input[집계키_센터],F4464)))</f>
        <v/>
      </c>
      <c r="F4464" t="str">
        <f>IFERROR(INDEX(tbl_input[집계키_센터],ROW()-1),"")</f>
        <v/>
      </c>
      <c r="G4464" t="str">
        <f t="shared" si="487"/>
        <v/>
      </c>
      <c r="H4464" t="str">
        <f t="shared" si="488"/>
        <v/>
      </c>
      <c r="I4464" t="str">
        <f t="shared" si="489"/>
        <v/>
      </c>
    </row>
    <row r="4465" spans="1:9" x14ac:dyDescent="0.4">
      <c r="A4465" t="str">
        <f t="shared" si="483"/>
        <v/>
      </c>
      <c r="B4465" t="str">
        <f t="shared" si="484"/>
        <v/>
      </c>
      <c r="C4465" t="str">
        <f t="shared" si="485"/>
        <v/>
      </c>
      <c r="D4465" t="str">
        <f t="shared" si="486"/>
        <v/>
      </c>
      <c r="E4465" t="str">
        <f>IF(F4465="","",IF(COUNTIF($F$2:F4465,F4465)&gt;1,"",SUMIFS(tbl_input[필요수량],tbl_input[집계키_센터],F4465)))</f>
        <v/>
      </c>
      <c r="F4465" t="str">
        <f>IFERROR(INDEX(tbl_input[집계키_센터],ROW()-1),"")</f>
        <v/>
      </c>
      <c r="G4465" t="str">
        <f t="shared" si="487"/>
        <v/>
      </c>
      <c r="H4465" t="str">
        <f t="shared" si="488"/>
        <v/>
      </c>
      <c r="I4465" t="str">
        <f t="shared" si="489"/>
        <v/>
      </c>
    </row>
    <row r="4466" spans="1:9" x14ac:dyDescent="0.4">
      <c r="A4466" t="str">
        <f t="shared" si="483"/>
        <v/>
      </c>
      <c r="B4466" t="str">
        <f t="shared" si="484"/>
        <v/>
      </c>
      <c r="C4466" t="str">
        <f t="shared" si="485"/>
        <v/>
      </c>
      <c r="D4466" t="str">
        <f t="shared" si="486"/>
        <v/>
      </c>
      <c r="E4466" t="str">
        <f>IF(F4466="","",IF(COUNTIF($F$2:F4466,F4466)&gt;1,"",SUMIFS(tbl_input[필요수량],tbl_input[집계키_센터],F4466)))</f>
        <v/>
      </c>
      <c r="F4466" t="str">
        <f>IFERROR(INDEX(tbl_input[집계키_센터],ROW()-1),"")</f>
        <v/>
      </c>
      <c r="G4466" t="str">
        <f t="shared" si="487"/>
        <v/>
      </c>
      <c r="H4466" t="str">
        <f t="shared" si="488"/>
        <v/>
      </c>
      <c r="I4466" t="str">
        <f t="shared" si="489"/>
        <v/>
      </c>
    </row>
    <row r="4467" spans="1:9" x14ac:dyDescent="0.4">
      <c r="A4467" t="str">
        <f t="shared" si="483"/>
        <v/>
      </c>
      <c r="B4467" t="str">
        <f t="shared" si="484"/>
        <v/>
      </c>
      <c r="C4467" t="str">
        <f t="shared" si="485"/>
        <v/>
      </c>
      <c r="D4467" t="str">
        <f t="shared" si="486"/>
        <v/>
      </c>
      <c r="E4467" t="str">
        <f>IF(F4467="","",IF(COUNTIF($F$2:F4467,F4467)&gt;1,"",SUMIFS(tbl_input[필요수량],tbl_input[집계키_센터],F4467)))</f>
        <v/>
      </c>
      <c r="F4467" t="str">
        <f>IFERROR(INDEX(tbl_input[집계키_센터],ROW()-1),"")</f>
        <v/>
      </c>
      <c r="G4467" t="str">
        <f t="shared" si="487"/>
        <v/>
      </c>
      <c r="H4467" t="str">
        <f t="shared" si="488"/>
        <v/>
      </c>
      <c r="I4467" t="str">
        <f t="shared" si="489"/>
        <v/>
      </c>
    </row>
    <row r="4468" spans="1:9" x14ac:dyDescent="0.4">
      <c r="A4468" t="str">
        <f t="shared" si="483"/>
        <v/>
      </c>
      <c r="B4468" t="str">
        <f t="shared" si="484"/>
        <v/>
      </c>
      <c r="C4468" t="str">
        <f t="shared" si="485"/>
        <v/>
      </c>
      <c r="D4468" t="str">
        <f t="shared" si="486"/>
        <v/>
      </c>
      <c r="E4468" t="str">
        <f>IF(F4468="","",IF(COUNTIF($F$2:F4468,F4468)&gt;1,"",SUMIFS(tbl_input[필요수량],tbl_input[집계키_센터],F4468)))</f>
        <v/>
      </c>
      <c r="F4468" t="str">
        <f>IFERROR(INDEX(tbl_input[집계키_센터],ROW()-1),"")</f>
        <v/>
      </c>
      <c r="G4468" t="str">
        <f t="shared" si="487"/>
        <v/>
      </c>
      <c r="H4468" t="str">
        <f t="shared" si="488"/>
        <v/>
      </c>
      <c r="I4468" t="str">
        <f t="shared" si="489"/>
        <v/>
      </c>
    </row>
    <row r="4469" spans="1:9" x14ac:dyDescent="0.4">
      <c r="A4469" t="str">
        <f t="shared" si="483"/>
        <v/>
      </c>
      <c r="B4469" t="str">
        <f t="shared" si="484"/>
        <v/>
      </c>
      <c r="C4469" t="str">
        <f t="shared" si="485"/>
        <v/>
      </c>
      <c r="D4469" t="str">
        <f t="shared" si="486"/>
        <v/>
      </c>
      <c r="E4469" t="str">
        <f>IF(F4469="","",IF(COUNTIF($F$2:F4469,F4469)&gt;1,"",SUMIFS(tbl_input[필요수량],tbl_input[집계키_센터],F4469)))</f>
        <v/>
      </c>
      <c r="F4469" t="str">
        <f>IFERROR(INDEX(tbl_input[집계키_센터],ROW()-1),"")</f>
        <v/>
      </c>
      <c r="G4469" t="str">
        <f t="shared" si="487"/>
        <v/>
      </c>
      <c r="H4469" t="str">
        <f t="shared" si="488"/>
        <v/>
      </c>
      <c r="I4469" t="str">
        <f t="shared" si="489"/>
        <v/>
      </c>
    </row>
    <row r="4470" spans="1:9" x14ac:dyDescent="0.4">
      <c r="A4470" t="str">
        <f t="shared" si="483"/>
        <v/>
      </c>
      <c r="B4470" t="str">
        <f t="shared" si="484"/>
        <v/>
      </c>
      <c r="C4470" t="str">
        <f t="shared" si="485"/>
        <v/>
      </c>
      <c r="D4470" t="str">
        <f t="shared" si="486"/>
        <v/>
      </c>
      <c r="E4470" t="str">
        <f>IF(F4470="","",IF(COUNTIF($F$2:F4470,F4470)&gt;1,"",SUMIFS(tbl_input[필요수량],tbl_input[집계키_센터],F4470)))</f>
        <v/>
      </c>
      <c r="F4470" t="str">
        <f>IFERROR(INDEX(tbl_input[집계키_센터],ROW()-1),"")</f>
        <v/>
      </c>
      <c r="G4470" t="str">
        <f t="shared" si="487"/>
        <v/>
      </c>
      <c r="H4470" t="str">
        <f t="shared" si="488"/>
        <v/>
      </c>
      <c r="I4470" t="str">
        <f t="shared" si="489"/>
        <v/>
      </c>
    </row>
    <row r="4471" spans="1:9" x14ac:dyDescent="0.4">
      <c r="A4471" t="str">
        <f t="shared" si="483"/>
        <v/>
      </c>
      <c r="B4471" t="str">
        <f t="shared" si="484"/>
        <v/>
      </c>
      <c r="C4471" t="str">
        <f t="shared" si="485"/>
        <v/>
      </c>
      <c r="D4471" t="str">
        <f t="shared" si="486"/>
        <v/>
      </c>
      <c r="E4471" t="str">
        <f>IF(F4471="","",IF(COUNTIF($F$2:F4471,F4471)&gt;1,"",SUMIFS(tbl_input[필요수량],tbl_input[집계키_센터],F4471)))</f>
        <v/>
      </c>
      <c r="F4471" t="str">
        <f>IFERROR(INDEX(tbl_input[집계키_센터],ROW()-1),"")</f>
        <v/>
      </c>
      <c r="G4471" t="str">
        <f t="shared" si="487"/>
        <v/>
      </c>
      <c r="H4471" t="str">
        <f t="shared" si="488"/>
        <v/>
      </c>
      <c r="I4471" t="str">
        <f t="shared" si="489"/>
        <v/>
      </c>
    </row>
    <row r="4472" spans="1:9" x14ac:dyDescent="0.4">
      <c r="A4472" t="str">
        <f t="shared" si="483"/>
        <v/>
      </c>
      <c r="B4472" t="str">
        <f t="shared" si="484"/>
        <v/>
      </c>
      <c r="C4472" t="str">
        <f t="shared" si="485"/>
        <v/>
      </c>
      <c r="D4472" t="str">
        <f t="shared" si="486"/>
        <v/>
      </c>
      <c r="E4472" t="str">
        <f>IF(F4472="","",IF(COUNTIF($F$2:F4472,F4472)&gt;1,"",SUMIFS(tbl_input[필요수량],tbl_input[집계키_센터],F4472)))</f>
        <v/>
      </c>
      <c r="F4472" t="str">
        <f>IFERROR(INDEX(tbl_input[집계키_센터],ROW()-1),"")</f>
        <v/>
      </c>
      <c r="G4472" t="str">
        <f t="shared" si="487"/>
        <v/>
      </c>
      <c r="H4472" t="str">
        <f t="shared" si="488"/>
        <v/>
      </c>
      <c r="I4472" t="str">
        <f t="shared" si="489"/>
        <v/>
      </c>
    </row>
    <row r="4473" spans="1:9" x14ac:dyDescent="0.4">
      <c r="A4473" t="str">
        <f t="shared" si="483"/>
        <v/>
      </c>
      <c r="B4473" t="str">
        <f t="shared" si="484"/>
        <v/>
      </c>
      <c r="C4473" t="str">
        <f t="shared" si="485"/>
        <v/>
      </c>
      <c r="D4473" t="str">
        <f t="shared" si="486"/>
        <v/>
      </c>
      <c r="E4473" t="str">
        <f>IF(F4473="","",IF(COUNTIF($F$2:F4473,F4473)&gt;1,"",SUMIFS(tbl_input[필요수량],tbl_input[집계키_센터],F4473)))</f>
        <v/>
      </c>
      <c r="F4473" t="str">
        <f>IFERROR(INDEX(tbl_input[집계키_센터],ROW()-1),"")</f>
        <v/>
      </c>
      <c r="G4473" t="str">
        <f t="shared" si="487"/>
        <v/>
      </c>
      <c r="H4473" t="str">
        <f t="shared" si="488"/>
        <v/>
      </c>
      <c r="I4473" t="str">
        <f t="shared" si="489"/>
        <v/>
      </c>
    </row>
    <row r="4474" spans="1:9" x14ac:dyDescent="0.4">
      <c r="A4474" t="str">
        <f t="shared" si="483"/>
        <v/>
      </c>
      <c r="B4474" t="str">
        <f t="shared" si="484"/>
        <v/>
      </c>
      <c r="C4474" t="str">
        <f t="shared" si="485"/>
        <v/>
      </c>
      <c r="D4474" t="str">
        <f t="shared" si="486"/>
        <v/>
      </c>
      <c r="E4474" t="str">
        <f>IF(F4474="","",IF(COUNTIF($F$2:F4474,F4474)&gt;1,"",SUMIFS(tbl_input[필요수량],tbl_input[집계키_센터],F4474)))</f>
        <v/>
      </c>
      <c r="F4474" t="str">
        <f>IFERROR(INDEX(tbl_input[집계키_센터],ROW()-1),"")</f>
        <v/>
      </c>
      <c r="G4474" t="str">
        <f t="shared" si="487"/>
        <v/>
      </c>
      <c r="H4474" t="str">
        <f t="shared" si="488"/>
        <v/>
      </c>
      <c r="I4474" t="str">
        <f t="shared" si="489"/>
        <v/>
      </c>
    </row>
    <row r="4475" spans="1:9" x14ac:dyDescent="0.4">
      <c r="A4475" t="str">
        <f t="shared" si="483"/>
        <v/>
      </c>
      <c r="B4475" t="str">
        <f t="shared" si="484"/>
        <v/>
      </c>
      <c r="C4475" t="str">
        <f t="shared" si="485"/>
        <v/>
      </c>
      <c r="D4475" t="str">
        <f t="shared" si="486"/>
        <v/>
      </c>
      <c r="E4475" t="str">
        <f>IF(F4475="","",IF(COUNTIF($F$2:F4475,F4475)&gt;1,"",SUMIFS(tbl_input[필요수량],tbl_input[집계키_센터],F4475)))</f>
        <v/>
      </c>
      <c r="F4475" t="str">
        <f>IFERROR(INDEX(tbl_input[집계키_센터],ROW()-1),"")</f>
        <v/>
      </c>
      <c r="G4475" t="str">
        <f t="shared" si="487"/>
        <v/>
      </c>
      <c r="H4475" t="str">
        <f t="shared" si="488"/>
        <v/>
      </c>
      <c r="I4475" t="str">
        <f t="shared" si="489"/>
        <v/>
      </c>
    </row>
    <row r="4476" spans="1:9" x14ac:dyDescent="0.4">
      <c r="A4476" t="str">
        <f t="shared" si="483"/>
        <v/>
      </c>
      <c r="B4476" t="str">
        <f t="shared" si="484"/>
        <v/>
      </c>
      <c r="C4476" t="str">
        <f t="shared" si="485"/>
        <v/>
      </c>
      <c r="D4476" t="str">
        <f t="shared" si="486"/>
        <v/>
      </c>
      <c r="E4476" t="str">
        <f>IF(F4476="","",IF(COUNTIF($F$2:F4476,F4476)&gt;1,"",SUMIFS(tbl_input[필요수량],tbl_input[집계키_센터],F4476)))</f>
        <v/>
      </c>
      <c r="F4476" t="str">
        <f>IFERROR(INDEX(tbl_input[집계키_센터],ROW()-1),"")</f>
        <v/>
      </c>
      <c r="G4476" t="str">
        <f t="shared" si="487"/>
        <v/>
      </c>
      <c r="H4476" t="str">
        <f t="shared" si="488"/>
        <v/>
      </c>
      <c r="I4476" t="str">
        <f t="shared" si="489"/>
        <v/>
      </c>
    </row>
    <row r="4477" spans="1:9" x14ac:dyDescent="0.4">
      <c r="A4477" t="str">
        <f t="shared" si="483"/>
        <v/>
      </c>
      <c r="B4477" t="str">
        <f t="shared" si="484"/>
        <v/>
      </c>
      <c r="C4477" t="str">
        <f t="shared" si="485"/>
        <v/>
      </c>
      <c r="D4477" t="str">
        <f t="shared" si="486"/>
        <v/>
      </c>
      <c r="E4477" t="str">
        <f>IF(F4477="","",IF(COUNTIF($F$2:F4477,F4477)&gt;1,"",SUMIFS(tbl_input[필요수량],tbl_input[집계키_센터],F4477)))</f>
        <v/>
      </c>
      <c r="F4477" t="str">
        <f>IFERROR(INDEX(tbl_input[집계키_센터],ROW()-1),"")</f>
        <v/>
      </c>
      <c r="G4477" t="str">
        <f t="shared" si="487"/>
        <v/>
      </c>
      <c r="H4477" t="str">
        <f t="shared" si="488"/>
        <v/>
      </c>
      <c r="I4477" t="str">
        <f t="shared" si="489"/>
        <v/>
      </c>
    </row>
    <row r="4478" spans="1:9" x14ac:dyDescent="0.4">
      <c r="A4478" t="str">
        <f t="shared" si="483"/>
        <v/>
      </c>
      <c r="B4478" t="str">
        <f t="shared" si="484"/>
        <v/>
      </c>
      <c r="C4478" t="str">
        <f t="shared" si="485"/>
        <v/>
      </c>
      <c r="D4478" t="str">
        <f t="shared" si="486"/>
        <v/>
      </c>
      <c r="E4478" t="str">
        <f>IF(F4478="","",IF(COUNTIF($F$2:F4478,F4478)&gt;1,"",SUMIFS(tbl_input[필요수량],tbl_input[집계키_센터],F4478)))</f>
        <v/>
      </c>
      <c r="F4478" t="str">
        <f>IFERROR(INDEX(tbl_input[집계키_센터],ROW()-1),"")</f>
        <v/>
      </c>
      <c r="G4478" t="str">
        <f t="shared" si="487"/>
        <v/>
      </c>
      <c r="H4478" t="str">
        <f t="shared" si="488"/>
        <v/>
      </c>
      <c r="I4478" t="str">
        <f t="shared" si="489"/>
        <v/>
      </c>
    </row>
    <row r="4479" spans="1:9" x14ac:dyDescent="0.4">
      <c r="A4479" t="str">
        <f t="shared" si="483"/>
        <v/>
      </c>
      <c r="B4479" t="str">
        <f t="shared" si="484"/>
        <v/>
      </c>
      <c r="C4479" t="str">
        <f t="shared" si="485"/>
        <v/>
      </c>
      <c r="D4479" t="str">
        <f t="shared" si="486"/>
        <v/>
      </c>
      <c r="E4479" t="str">
        <f>IF(F4479="","",IF(COUNTIF($F$2:F4479,F4479)&gt;1,"",SUMIFS(tbl_input[필요수량],tbl_input[집계키_센터],F4479)))</f>
        <v/>
      </c>
      <c r="F4479" t="str">
        <f>IFERROR(INDEX(tbl_input[집계키_센터],ROW()-1),"")</f>
        <v/>
      </c>
      <c r="G4479" t="str">
        <f t="shared" si="487"/>
        <v/>
      </c>
      <c r="H4479" t="str">
        <f t="shared" si="488"/>
        <v/>
      </c>
      <c r="I4479" t="str">
        <f t="shared" si="489"/>
        <v/>
      </c>
    </row>
    <row r="4480" spans="1:9" x14ac:dyDescent="0.4">
      <c r="A4480" t="str">
        <f t="shared" si="483"/>
        <v/>
      </c>
      <c r="B4480" t="str">
        <f t="shared" si="484"/>
        <v/>
      </c>
      <c r="C4480" t="str">
        <f t="shared" si="485"/>
        <v/>
      </c>
      <c r="D4480" t="str">
        <f t="shared" si="486"/>
        <v/>
      </c>
      <c r="E4480" t="str">
        <f>IF(F4480="","",IF(COUNTIF($F$2:F4480,F4480)&gt;1,"",SUMIFS(tbl_input[필요수량],tbl_input[집계키_센터],F4480)))</f>
        <v/>
      </c>
      <c r="F4480" t="str">
        <f>IFERROR(INDEX(tbl_input[집계키_센터],ROW()-1),"")</f>
        <v/>
      </c>
      <c r="G4480" t="str">
        <f t="shared" si="487"/>
        <v/>
      </c>
      <c r="H4480" t="str">
        <f t="shared" si="488"/>
        <v/>
      </c>
      <c r="I4480" t="str">
        <f t="shared" si="489"/>
        <v/>
      </c>
    </row>
    <row r="4481" spans="1:9" x14ac:dyDescent="0.4">
      <c r="A4481" t="str">
        <f t="shared" si="483"/>
        <v/>
      </c>
      <c r="B4481" t="str">
        <f t="shared" si="484"/>
        <v/>
      </c>
      <c r="C4481" t="str">
        <f t="shared" si="485"/>
        <v/>
      </c>
      <c r="D4481" t="str">
        <f t="shared" si="486"/>
        <v/>
      </c>
      <c r="E4481" t="str">
        <f>IF(F4481="","",IF(COUNTIF($F$2:F4481,F4481)&gt;1,"",SUMIFS(tbl_input[필요수량],tbl_input[집계키_센터],F4481)))</f>
        <v/>
      </c>
      <c r="F4481" t="str">
        <f>IFERROR(INDEX(tbl_input[집계키_센터],ROW()-1),"")</f>
        <v/>
      </c>
      <c r="G4481" t="str">
        <f t="shared" si="487"/>
        <v/>
      </c>
      <c r="H4481" t="str">
        <f t="shared" si="488"/>
        <v/>
      </c>
      <c r="I4481" t="str">
        <f t="shared" si="489"/>
        <v/>
      </c>
    </row>
    <row r="4482" spans="1:9" x14ac:dyDescent="0.4">
      <c r="A4482" t="str">
        <f t="shared" ref="A4482:A4545" si="490">IF(F4482="","",LEFT(F4482,G4482-1))</f>
        <v/>
      </c>
      <c r="B4482" t="str">
        <f t="shared" ref="B4482:B4545" si="491">IF(F4482="","",MID(F4482,G4482+1,H4482-G4482-1))</f>
        <v/>
      </c>
      <c r="C4482" t="str">
        <f t="shared" ref="C4482:C4545" si="492">IF(F4482="","",MID(F4482,H4482+1,I4482-H4482-1))</f>
        <v/>
      </c>
      <c r="D4482" t="str">
        <f t="shared" ref="D4482:D4545" si="493">IF(F4482="","",MID(F4482,I4482+1,999))</f>
        <v/>
      </c>
      <c r="E4482" t="str">
        <f>IF(F4482="","",IF(COUNTIF($F$2:F4482,F4482)&gt;1,"",SUMIFS(tbl_input[필요수량],tbl_input[집계키_센터],F4482)))</f>
        <v/>
      </c>
      <c r="F4482" t="str">
        <f>IFERROR(INDEX(tbl_input[집계키_센터],ROW()-1),"")</f>
        <v/>
      </c>
      <c r="G4482" t="str">
        <f t="shared" ref="G4482:G4545" si="494">IF(F4482="","",FIND("♦",F4482))</f>
        <v/>
      </c>
      <c r="H4482" t="str">
        <f t="shared" ref="H4482:H4545" si="495">IF(F4482="","",FIND("♦",F4482,G4482+1))</f>
        <v/>
      </c>
      <c r="I4482" t="str">
        <f t="shared" ref="I4482:I4545" si="496">IF(F4482="","",FIND("♦",F4482,H4482+1))</f>
        <v/>
      </c>
    </row>
    <row r="4483" spans="1:9" x14ac:dyDescent="0.4">
      <c r="A4483" t="str">
        <f t="shared" si="490"/>
        <v/>
      </c>
      <c r="B4483" t="str">
        <f t="shared" si="491"/>
        <v/>
      </c>
      <c r="C4483" t="str">
        <f t="shared" si="492"/>
        <v/>
      </c>
      <c r="D4483" t="str">
        <f t="shared" si="493"/>
        <v/>
      </c>
      <c r="E4483" t="str">
        <f>IF(F4483="","",IF(COUNTIF($F$2:F4483,F4483)&gt;1,"",SUMIFS(tbl_input[필요수량],tbl_input[집계키_센터],F4483)))</f>
        <v/>
      </c>
      <c r="F4483" t="str">
        <f>IFERROR(INDEX(tbl_input[집계키_센터],ROW()-1),"")</f>
        <v/>
      </c>
      <c r="G4483" t="str">
        <f t="shared" si="494"/>
        <v/>
      </c>
      <c r="H4483" t="str">
        <f t="shared" si="495"/>
        <v/>
      </c>
      <c r="I4483" t="str">
        <f t="shared" si="496"/>
        <v/>
      </c>
    </row>
    <row r="4484" spans="1:9" x14ac:dyDescent="0.4">
      <c r="A4484" t="str">
        <f t="shared" si="490"/>
        <v/>
      </c>
      <c r="B4484" t="str">
        <f t="shared" si="491"/>
        <v/>
      </c>
      <c r="C4484" t="str">
        <f t="shared" si="492"/>
        <v/>
      </c>
      <c r="D4484" t="str">
        <f t="shared" si="493"/>
        <v/>
      </c>
      <c r="E4484" t="str">
        <f>IF(F4484="","",IF(COUNTIF($F$2:F4484,F4484)&gt;1,"",SUMIFS(tbl_input[필요수량],tbl_input[집계키_센터],F4484)))</f>
        <v/>
      </c>
      <c r="F4484" t="str">
        <f>IFERROR(INDEX(tbl_input[집계키_센터],ROW()-1),"")</f>
        <v/>
      </c>
      <c r="G4484" t="str">
        <f t="shared" si="494"/>
        <v/>
      </c>
      <c r="H4484" t="str">
        <f t="shared" si="495"/>
        <v/>
      </c>
      <c r="I4484" t="str">
        <f t="shared" si="496"/>
        <v/>
      </c>
    </row>
    <row r="4485" spans="1:9" x14ac:dyDescent="0.4">
      <c r="A4485" t="str">
        <f t="shared" si="490"/>
        <v/>
      </c>
      <c r="B4485" t="str">
        <f t="shared" si="491"/>
        <v/>
      </c>
      <c r="C4485" t="str">
        <f t="shared" si="492"/>
        <v/>
      </c>
      <c r="D4485" t="str">
        <f t="shared" si="493"/>
        <v/>
      </c>
      <c r="E4485" t="str">
        <f>IF(F4485="","",IF(COUNTIF($F$2:F4485,F4485)&gt;1,"",SUMIFS(tbl_input[필요수량],tbl_input[집계키_센터],F4485)))</f>
        <v/>
      </c>
      <c r="F4485" t="str">
        <f>IFERROR(INDEX(tbl_input[집계키_센터],ROW()-1),"")</f>
        <v/>
      </c>
      <c r="G4485" t="str">
        <f t="shared" si="494"/>
        <v/>
      </c>
      <c r="H4485" t="str">
        <f t="shared" si="495"/>
        <v/>
      </c>
      <c r="I4485" t="str">
        <f t="shared" si="496"/>
        <v/>
      </c>
    </row>
    <row r="4486" spans="1:9" x14ac:dyDescent="0.4">
      <c r="A4486" t="str">
        <f t="shared" si="490"/>
        <v/>
      </c>
      <c r="B4486" t="str">
        <f t="shared" si="491"/>
        <v/>
      </c>
      <c r="C4486" t="str">
        <f t="shared" si="492"/>
        <v/>
      </c>
      <c r="D4486" t="str">
        <f t="shared" si="493"/>
        <v/>
      </c>
      <c r="E4486" t="str">
        <f>IF(F4486="","",IF(COUNTIF($F$2:F4486,F4486)&gt;1,"",SUMIFS(tbl_input[필요수량],tbl_input[집계키_센터],F4486)))</f>
        <v/>
      </c>
      <c r="F4486" t="str">
        <f>IFERROR(INDEX(tbl_input[집계키_센터],ROW()-1),"")</f>
        <v/>
      </c>
      <c r="G4486" t="str">
        <f t="shared" si="494"/>
        <v/>
      </c>
      <c r="H4486" t="str">
        <f t="shared" si="495"/>
        <v/>
      </c>
      <c r="I4486" t="str">
        <f t="shared" si="496"/>
        <v/>
      </c>
    </row>
    <row r="4487" spans="1:9" x14ac:dyDescent="0.4">
      <c r="A4487" t="str">
        <f t="shared" si="490"/>
        <v/>
      </c>
      <c r="B4487" t="str">
        <f t="shared" si="491"/>
        <v/>
      </c>
      <c r="C4487" t="str">
        <f t="shared" si="492"/>
        <v/>
      </c>
      <c r="D4487" t="str">
        <f t="shared" si="493"/>
        <v/>
      </c>
      <c r="E4487" t="str">
        <f>IF(F4487="","",IF(COUNTIF($F$2:F4487,F4487)&gt;1,"",SUMIFS(tbl_input[필요수량],tbl_input[집계키_센터],F4487)))</f>
        <v/>
      </c>
      <c r="F4487" t="str">
        <f>IFERROR(INDEX(tbl_input[집계키_센터],ROW()-1),"")</f>
        <v/>
      </c>
      <c r="G4487" t="str">
        <f t="shared" si="494"/>
        <v/>
      </c>
      <c r="H4487" t="str">
        <f t="shared" si="495"/>
        <v/>
      </c>
      <c r="I4487" t="str">
        <f t="shared" si="496"/>
        <v/>
      </c>
    </row>
    <row r="4488" spans="1:9" x14ac:dyDescent="0.4">
      <c r="A4488" t="str">
        <f t="shared" si="490"/>
        <v/>
      </c>
      <c r="B4488" t="str">
        <f t="shared" si="491"/>
        <v/>
      </c>
      <c r="C4488" t="str">
        <f t="shared" si="492"/>
        <v/>
      </c>
      <c r="D4488" t="str">
        <f t="shared" si="493"/>
        <v/>
      </c>
      <c r="E4488" t="str">
        <f>IF(F4488="","",IF(COUNTIF($F$2:F4488,F4488)&gt;1,"",SUMIFS(tbl_input[필요수량],tbl_input[집계키_센터],F4488)))</f>
        <v/>
      </c>
      <c r="F4488" t="str">
        <f>IFERROR(INDEX(tbl_input[집계키_센터],ROW()-1),"")</f>
        <v/>
      </c>
      <c r="G4488" t="str">
        <f t="shared" si="494"/>
        <v/>
      </c>
      <c r="H4488" t="str">
        <f t="shared" si="495"/>
        <v/>
      </c>
      <c r="I4488" t="str">
        <f t="shared" si="496"/>
        <v/>
      </c>
    </row>
    <row r="4489" spans="1:9" x14ac:dyDescent="0.4">
      <c r="A4489" t="str">
        <f t="shared" si="490"/>
        <v/>
      </c>
      <c r="B4489" t="str">
        <f t="shared" si="491"/>
        <v/>
      </c>
      <c r="C4489" t="str">
        <f t="shared" si="492"/>
        <v/>
      </c>
      <c r="D4489" t="str">
        <f t="shared" si="493"/>
        <v/>
      </c>
      <c r="E4489" t="str">
        <f>IF(F4489="","",IF(COUNTIF($F$2:F4489,F4489)&gt;1,"",SUMIFS(tbl_input[필요수량],tbl_input[집계키_센터],F4489)))</f>
        <v/>
      </c>
      <c r="F4489" t="str">
        <f>IFERROR(INDEX(tbl_input[집계키_센터],ROW()-1),"")</f>
        <v/>
      </c>
      <c r="G4489" t="str">
        <f t="shared" si="494"/>
        <v/>
      </c>
      <c r="H4489" t="str">
        <f t="shared" si="495"/>
        <v/>
      </c>
      <c r="I4489" t="str">
        <f t="shared" si="496"/>
        <v/>
      </c>
    </row>
    <row r="4490" spans="1:9" x14ac:dyDescent="0.4">
      <c r="A4490" t="str">
        <f t="shared" si="490"/>
        <v/>
      </c>
      <c r="B4490" t="str">
        <f t="shared" si="491"/>
        <v/>
      </c>
      <c r="C4490" t="str">
        <f t="shared" si="492"/>
        <v/>
      </c>
      <c r="D4490" t="str">
        <f t="shared" si="493"/>
        <v/>
      </c>
      <c r="E4490" t="str">
        <f>IF(F4490="","",IF(COUNTIF($F$2:F4490,F4490)&gt;1,"",SUMIFS(tbl_input[필요수량],tbl_input[집계키_센터],F4490)))</f>
        <v/>
      </c>
      <c r="F4490" t="str">
        <f>IFERROR(INDEX(tbl_input[집계키_센터],ROW()-1),"")</f>
        <v/>
      </c>
      <c r="G4490" t="str">
        <f t="shared" si="494"/>
        <v/>
      </c>
      <c r="H4490" t="str">
        <f t="shared" si="495"/>
        <v/>
      </c>
      <c r="I4490" t="str">
        <f t="shared" si="496"/>
        <v/>
      </c>
    </row>
    <row r="4491" spans="1:9" x14ac:dyDescent="0.4">
      <c r="A4491" t="str">
        <f t="shared" si="490"/>
        <v/>
      </c>
      <c r="B4491" t="str">
        <f t="shared" si="491"/>
        <v/>
      </c>
      <c r="C4491" t="str">
        <f t="shared" si="492"/>
        <v/>
      </c>
      <c r="D4491" t="str">
        <f t="shared" si="493"/>
        <v/>
      </c>
      <c r="E4491" t="str">
        <f>IF(F4491="","",IF(COUNTIF($F$2:F4491,F4491)&gt;1,"",SUMIFS(tbl_input[필요수량],tbl_input[집계키_센터],F4491)))</f>
        <v/>
      </c>
      <c r="F4491" t="str">
        <f>IFERROR(INDEX(tbl_input[집계키_센터],ROW()-1),"")</f>
        <v/>
      </c>
      <c r="G4491" t="str">
        <f t="shared" si="494"/>
        <v/>
      </c>
      <c r="H4491" t="str">
        <f t="shared" si="495"/>
        <v/>
      </c>
      <c r="I4491" t="str">
        <f t="shared" si="496"/>
        <v/>
      </c>
    </row>
    <row r="4492" spans="1:9" x14ac:dyDescent="0.4">
      <c r="A4492" t="str">
        <f t="shared" si="490"/>
        <v/>
      </c>
      <c r="B4492" t="str">
        <f t="shared" si="491"/>
        <v/>
      </c>
      <c r="C4492" t="str">
        <f t="shared" si="492"/>
        <v/>
      </c>
      <c r="D4492" t="str">
        <f t="shared" si="493"/>
        <v/>
      </c>
      <c r="E4492" t="str">
        <f>IF(F4492="","",IF(COUNTIF($F$2:F4492,F4492)&gt;1,"",SUMIFS(tbl_input[필요수량],tbl_input[집계키_센터],F4492)))</f>
        <v/>
      </c>
      <c r="F4492" t="str">
        <f>IFERROR(INDEX(tbl_input[집계키_센터],ROW()-1),"")</f>
        <v/>
      </c>
      <c r="G4492" t="str">
        <f t="shared" si="494"/>
        <v/>
      </c>
      <c r="H4492" t="str">
        <f t="shared" si="495"/>
        <v/>
      </c>
      <c r="I4492" t="str">
        <f t="shared" si="496"/>
        <v/>
      </c>
    </row>
    <row r="4493" spans="1:9" x14ac:dyDescent="0.4">
      <c r="A4493" t="str">
        <f t="shared" si="490"/>
        <v/>
      </c>
      <c r="B4493" t="str">
        <f t="shared" si="491"/>
        <v/>
      </c>
      <c r="C4493" t="str">
        <f t="shared" si="492"/>
        <v/>
      </c>
      <c r="D4493" t="str">
        <f t="shared" si="493"/>
        <v/>
      </c>
      <c r="E4493" t="str">
        <f>IF(F4493="","",IF(COUNTIF($F$2:F4493,F4493)&gt;1,"",SUMIFS(tbl_input[필요수량],tbl_input[집계키_센터],F4493)))</f>
        <v/>
      </c>
      <c r="F4493" t="str">
        <f>IFERROR(INDEX(tbl_input[집계키_센터],ROW()-1),"")</f>
        <v/>
      </c>
      <c r="G4493" t="str">
        <f t="shared" si="494"/>
        <v/>
      </c>
      <c r="H4493" t="str">
        <f t="shared" si="495"/>
        <v/>
      </c>
      <c r="I4493" t="str">
        <f t="shared" si="496"/>
        <v/>
      </c>
    </row>
    <row r="4494" spans="1:9" x14ac:dyDescent="0.4">
      <c r="A4494" t="str">
        <f t="shared" si="490"/>
        <v/>
      </c>
      <c r="B4494" t="str">
        <f t="shared" si="491"/>
        <v/>
      </c>
      <c r="C4494" t="str">
        <f t="shared" si="492"/>
        <v/>
      </c>
      <c r="D4494" t="str">
        <f t="shared" si="493"/>
        <v/>
      </c>
      <c r="E4494" t="str">
        <f>IF(F4494="","",IF(COUNTIF($F$2:F4494,F4494)&gt;1,"",SUMIFS(tbl_input[필요수량],tbl_input[집계키_센터],F4494)))</f>
        <v/>
      </c>
      <c r="F4494" t="str">
        <f>IFERROR(INDEX(tbl_input[집계키_센터],ROW()-1),"")</f>
        <v/>
      </c>
      <c r="G4494" t="str">
        <f t="shared" si="494"/>
        <v/>
      </c>
      <c r="H4494" t="str">
        <f t="shared" si="495"/>
        <v/>
      </c>
      <c r="I4494" t="str">
        <f t="shared" si="496"/>
        <v/>
      </c>
    </row>
    <row r="4495" spans="1:9" x14ac:dyDescent="0.4">
      <c r="A4495" t="str">
        <f t="shared" si="490"/>
        <v/>
      </c>
      <c r="B4495" t="str">
        <f t="shared" si="491"/>
        <v/>
      </c>
      <c r="C4495" t="str">
        <f t="shared" si="492"/>
        <v/>
      </c>
      <c r="D4495" t="str">
        <f t="shared" si="493"/>
        <v/>
      </c>
      <c r="E4495" t="str">
        <f>IF(F4495="","",IF(COUNTIF($F$2:F4495,F4495)&gt;1,"",SUMIFS(tbl_input[필요수량],tbl_input[집계키_센터],F4495)))</f>
        <v/>
      </c>
      <c r="F4495" t="str">
        <f>IFERROR(INDEX(tbl_input[집계키_센터],ROW()-1),"")</f>
        <v/>
      </c>
      <c r="G4495" t="str">
        <f t="shared" si="494"/>
        <v/>
      </c>
      <c r="H4495" t="str">
        <f t="shared" si="495"/>
        <v/>
      </c>
      <c r="I4495" t="str">
        <f t="shared" si="496"/>
        <v/>
      </c>
    </row>
    <row r="4496" spans="1:9" x14ac:dyDescent="0.4">
      <c r="A4496" t="str">
        <f t="shared" si="490"/>
        <v/>
      </c>
      <c r="B4496" t="str">
        <f t="shared" si="491"/>
        <v/>
      </c>
      <c r="C4496" t="str">
        <f t="shared" si="492"/>
        <v/>
      </c>
      <c r="D4496" t="str">
        <f t="shared" si="493"/>
        <v/>
      </c>
      <c r="E4496" t="str">
        <f>IF(F4496="","",IF(COUNTIF($F$2:F4496,F4496)&gt;1,"",SUMIFS(tbl_input[필요수량],tbl_input[집계키_센터],F4496)))</f>
        <v/>
      </c>
      <c r="F4496" t="str">
        <f>IFERROR(INDEX(tbl_input[집계키_센터],ROW()-1),"")</f>
        <v/>
      </c>
      <c r="G4496" t="str">
        <f t="shared" si="494"/>
        <v/>
      </c>
      <c r="H4496" t="str">
        <f t="shared" si="495"/>
        <v/>
      </c>
      <c r="I4496" t="str">
        <f t="shared" si="496"/>
        <v/>
      </c>
    </row>
    <row r="4497" spans="1:9" x14ac:dyDescent="0.4">
      <c r="A4497" t="str">
        <f t="shared" si="490"/>
        <v/>
      </c>
      <c r="B4497" t="str">
        <f t="shared" si="491"/>
        <v/>
      </c>
      <c r="C4497" t="str">
        <f t="shared" si="492"/>
        <v/>
      </c>
      <c r="D4497" t="str">
        <f t="shared" si="493"/>
        <v/>
      </c>
      <c r="E4497" t="str">
        <f>IF(F4497="","",IF(COUNTIF($F$2:F4497,F4497)&gt;1,"",SUMIFS(tbl_input[필요수량],tbl_input[집계키_센터],F4497)))</f>
        <v/>
      </c>
      <c r="F4497" t="str">
        <f>IFERROR(INDEX(tbl_input[집계키_센터],ROW()-1),"")</f>
        <v/>
      </c>
      <c r="G4497" t="str">
        <f t="shared" si="494"/>
        <v/>
      </c>
      <c r="H4497" t="str">
        <f t="shared" si="495"/>
        <v/>
      </c>
      <c r="I4497" t="str">
        <f t="shared" si="496"/>
        <v/>
      </c>
    </row>
    <row r="4498" spans="1:9" x14ac:dyDescent="0.4">
      <c r="A4498" t="str">
        <f t="shared" si="490"/>
        <v/>
      </c>
      <c r="B4498" t="str">
        <f t="shared" si="491"/>
        <v/>
      </c>
      <c r="C4498" t="str">
        <f t="shared" si="492"/>
        <v/>
      </c>
      <c r="D4498" t="str">
        <f t="shared" si="493"/>
        <v/>
      </c>
      <c r="E4498" t="str">
        <f>IF(F4498="","",IF(COUNTIF($F$2:F4498,F4498)&gt;1,"",SUMIFS(tbl_input[필요수량],tbl_input[집계키_센터],F4498)))</f>
        <v/>
      </c>
      <c r="F4498" t="str">
        <f>IFERROR(INDEX(tbl_input[집계키_센터],ROW()-1),"")</f>
        <v/>
      </c>
      <c r="G4498" t="str">
        <f t="shared" si="494"/>
        <v/>
      </c>
      <c r="H4498" t="str">
        <f t="shared" si="495"/>
        <v/>
      </c>
      <c r="I4498" t="str">
        <f t="shared" si="496"/>
        <v/>
      </c>
    </row>
    <row r="4499" spans="1:9" x14ac:dyDescent="0.4">
      <c r="A4499" t="str">
        <f t="shared" si="490"/>
        <v/>
      </c>
      <c r="B4499" t="str">
        <f t="shared" si="491"/>
        <v/>
      </c>
      <c r="C4499" t="str">
        <f t="shared" si="492"/>
        <v/>
      </c>
      <c r="D4499" t="str">
        <f t="shared" si="493"/>
        <v/>
      </c>
      <c r="E4499" t="str">
        <f>IF(F4499="","",IF(COUNTIF($F$2:F4499,F4499)&gt;1,"",SUMIFS(tbl_input[필요수량],tbl_input[집계키_센터],F4499)))</f>
        <v/>
      </c>
      <c r="F4499" t="str">
        <f>IFERROR(INDEX(tbl_input[집계키_센터],ROW()-1),"")</f>
        <v/>
      </c>
      <c r="G4499" t="str">
        <f t="shared" si="494"/>
        <v/>
      </c>
      <c r="H4499" t="str">
        <f t="shared" si="495"/>
        <v/>
      </c>
      <c r="I4499" t="str">
        <f t="shared" si="496"/>
        <v/>
      </c>
    </row>
    <row r="4500" spans="1:9" x14ac:dyDescent="0.4">
      <c r="A4500" t="str">
        <f t="shared" si="490"/>
        <v/>
      </c>
      <c r="B4500" t="str">
        <f t="shared" si="491"/>
        <v/>
      </c>
      <c r="C4500" t="str">
        <f t="shared" si="492"/>
        <v/>
      </c>
      <c r="D4500" t="str">
        <f t="shared" si="493"/>
        <v/>
      </c>
      <c r="E4500" t="str">
        <f>IF(F4500="","",IF(COUNTIF($F$2:F4500,F4500)&gt;1,"",SUMIFS(tbl_input[필요수량],tbl_input[집계키_센터],F4500)))</f>
        <v/>
      </c>
      <c r="F4500" t="str">
        <f>IFERROR(INDEX(tbl_input[집계키_센터],ROW()-1),"")</f>
        <v/>
      </c>
      <c r="G4500" t="str">
        <f t="shared" si="494"/>
        <v/>
      </c>
      <c r="H4500" t="str">
        <f t="shared" si="495"/>
        <v/>
      </c>
      <c r="I4500" t="str">
        <f t="shared" si="496"/>
        <v/>
      </c>
    </row>
    <row r="4501" spans="1:9" x14ac:dyDescent="0.4">
      <c r="A4501" t="str">
        <f t="shared" si="490"/>
        <v/>
      </c>
      <c r="B4501" t="str">
        <f t="shared" si="491"/>
        <v/>
      </c>
      <c r="C4501" t="str">
        <f t="shared" si="492"/>
        <v/>
      </c>
      <c r="D4501" t="str">
        <f t="shared" si="493"/>
        <v/>
      </c>
      <c r="E4501" t="str">
        <f>IF(F4501="","",IF(COUNTIF($F$2:F4501,F4501)&gt;1,"",SUMIFS(tbl_input[필요수량],tbl_input[집계키_센터],F4501)))</f>
        <v/>
      </c>
      <c r="F4501" t="str">
        <f>IFERROR(INDEX(tbl_input[집계키_센터],ROW()-1),"")</f>
        <v/>
      </c>
      <c r="G4501" t="str">
        <f t="shared" si="494"/>
        <v/>
      </c>
      <c r="H4501" t="str">
        <f t="shared" si="495"/>
        <v/>
      </c>
      <c r="I4501" t="str">
        <f t="shared" si="496"/>
        <v/>
      </c>
    </row>
    <row r="4502" spans="1:9" x14ac:dyDescent="0.4">
      <c r="A4502" t="str">
        <f t="shared" si="490"/>
        <v/>
      </c>
      <c r="B4502" t="str">
        <f t="shared" si="491"/>
        <v/>
      </c>
      <c r="C4502" t="str">
        <f t="shared" si="492"/>
        <v/>
      </c>
      <c r="D4502" t="str">
        <f t="shared" si="493"/>
        <v/>
      </c>
      <c r="E4502" t="str">
        <f>IF(F4502="","",IF(COUNTIF($F$2:F4502,F4502)&gt;1,"",SUMIFS(tbl_input[필요수량],tbl_input[집계키_센터],F4502)))</f>
        <v/>
      </c>
      <c r="F4502" t="str">
        <f>IFERROR(INDEX(tbl_input[집계키_센터],ROW()-1),"")</f>
        <v/>
      </c>
      <c r="G4502" t="str">
        <f t="shared" si="494"/>
        <v/>
      </c>
      <c r="H4502" t="str">
        <f t="shared" si="495"/>
        <v/>
      </c>
      <c r="I4502" t="str">
        <f t="shared" si="496"/>
        <v/>
      </c>
    </row>
    <row r="4503" spans="1:9" x14ac:dyDescent="0.4">
      <c r="A4503" t="str">
        <f t="shared" si="490"/>
        <v/>
      </c>
      <c r="B4503" t="str">
        <f t="shared" si="491"/>
        <v/>
      </c>
      <c r="C4503" t="str">
        <f t="shared" si="492"/>
        <v/>
      </c>
      <c r="D4503" t="str">
        <f t="shared" si="493"/>
        <v/>
      </c>
      <c r="E4503" t="str">
        <f>IF(F4503="","",IF(COUNTIF($F$2:F4503,F4503)&gt;1,"",SUMIFS(tbl_input[필요수량],tbl_input[집계키_센터],F4503)))</f>
        <v/>
      </c>
      <c r="F4503" t="str">
        <f>IFERROR(INDEX(tbl_input[집계키_센터],ROW()-1),"")</f>
        <v/>
      </c>
      <c r="G4503" t="str">
        <f t="shared" si="494"/>
        <v/>
      </c>
      <c r="H4503" t="str">
        <f t="shared" si="495"/>
        <v/>
      </c>
      <c r="I4503" t="str">
        <f t="shared" si="496"/>
        <v/>
      </c>
    </row>
    <row r="4504" spans="1:9" x14ac:dyDescent="0.4">
      <c r="A4504" t="str">
        <f t="shared" si="490"/>
        <v/>
      </c>
      <c r="B4504" t="str">
        <f t="shared" si="491"/>
        <v/>
      </c>
      <c r="C4504" t="str">
        <f t="shared" si="492"/>
        <v/>
      </c>
      <c r="D4504" t="str">
        <f t="shared" si="493"/>
        <v/>
      </c>
      <c r="E4504" t="str">
        <f>IF(F4504="","",IF(COUNTIF($F$2:F4504,F4504)&gt;1,"",SUMIFS(tbl_input[필요수량],tbl_input[집계키_센터],F4504)))</f>
        <v/>
      </c>
      <c r="F4504" t="str">
        <f>IFERROR(INDEX(tbl_input[집계키_센터],ROW()-1),"")</f>
        <v/>
      </c>
      <c r="G4504" t="str">
        <f t="shared" si="494"/>
        <v/>
      </c>
      <c r="H4504" t="str">
        <f t="shared" si="495"/>
        <v/>
      </c>
      <c r="I4504" t="str">
        <f t="shared" si="496"/>
        <v/>
      </c>
    </row>
    <row r="4505" spans="1:9" x14ac:dyDescent="0.4">
      <c r="A4505" t="str">
        <f t="shared" si="490"/>
        <v/>
      </c>
      <c r="B4505" t="str">
        <f t="shared" si="491"/>
        <v/>
      </c>
      <c r="C4505" t="str">
        <f t="shared" si="492"/>
        <v/>
      </c>
      <c r="D4505" t="str">
        <f t="shared" si="493"/>
        <v/>
      </c>
      <c r="E4505" t="str">
        <f>IF(F4505="","",IF(COUNTIF($F$2:F4505,F4505)&gt;1,"",SUMIFS(tbl_input[필요수량],tbl_input[집계키_센터],F4505)))</f>
        <v/>
      </c>
      <c r="F4505" t="str">
        <f>IFERROR(INDEX(tbl_input[집계키_센터],ROW()-1),"")</f>
        <v/>
      </c>
      <c r="G4505" t="str">
        <f t="shared" si="494"/>
        <v/>
      </c>
      <c r="H4505" t="str">
        <f t="shared" si="495"/>
        <v/>
      </c>
      <c r="I4505" t="str">
        <f t="shared" si="496"/>
        <v/>
      </c>
    </row>
    <row r="4506" spans="1:9" x14ac:dyDescent="0.4">
      <c r="A4506" t="str">
        <f t="shared" si="490"/>
        <v/>
      </c>
      <c r="B4506" t="str">
        <f t="shared" si="491"/>
        <v/>
      </c>
      <c r="C4506" t="str">
        <f t="shared" si="492"/>
        <v/>
      </c>
      <c r="D4506" t="str">
        <f t="shared" si="493"/>
        <v/>
      </c>
      <c r="E4506" t="str">
        <f>IF(F4506="","",IF(COUNTIF($F$2:F4506,F4506)&gt;1,"",SUMIFS(tbl_input[필요수량],tbl_input[집계키_센터],F4506)))</f>
        <v/>
      </c>
      <c r="F4506" t="str">
        <f>IFERROR(INDEX(tbl_input[집계키_센터],ROW()-1),"")</f>
        <v/>
      </c>
      <c r="G4506" t="str">
        <f t="shared" si="494"/>
        <v/>
      </c>
      <c r="H4506" t="str">
        <f t="shared" si="495"/>
        <v/>
      </c>
      <c r="I4506" t="str">
        <f t="shared" si="496"/>
        <v/>
      </c>
    </row>
    <row r="4507" spans="1:9" x14ac:dyDescent="0.4">
      <c r="A4507" t="str">
        <f t="shared" si="490"/>
        <v/>
      </c>
      <c r="B4507" t="str">
        <f t="shared" si="491"/>
        <v/>
      </c>
      <c r="C4507" t="str">
        <f t="shared" si="492"/>
        <v/>
      </c>
      <c r="D4507" t="str">
        <f t="shared" si="493"/>
        <v/>
      </c>
      <c r="E4507" t="str">
        <f>IF(F4507="","",IF(COUNTIF($F$2:F4507,F4507)&gt;1,"",SUMIFS(tbl_input[필요수량],tbl_input[집계키_센터],F4507)))</f>
        <v/>
      </c>
      <c r="F4507" t="str">
        <f>IFERROR(INDEX(tbl_input[집계키_센터],ROW()-1),"")</f>
        <v/>
      </c>
      <c r="G4507" t="str">
        <f t="shared" si="494"/>
        <v/>
      </c>
      <c r="H4507" t="str">
        <f t="shared" si="495"/>
        <v/>
      </c>
      <c r="I4507" t="str">
        <f t="shared" si="496"/>
        <v/>
      </c>
    </row>
    <row r="4508" spans="1:9" x14ac:dyDescent="0.4">
      <c r="A4508" t="str">
        <f t="shared" si="490"/>
        <v/>
      </c>
      <c r="B4508" t="str">
        <f t="shared" si="491"/>
        <v/>
      </c>
      <c r="C4508" t="str">
        <f t="shared" si="492"/>
        <v/>
      </c>
      <c r="D4508" t="str">
        <f t="shared" si="493"/>
        <v/>
      </c>
      <c r="E4508" t="str">
        <f>IF(F4508="","",IF(COUNTIF($F$2:F4508,F4508)&gt;1,"",SUMIFS(tbl_input[필요수량],tbl_input[집계키_센터],F4508)))</f>
        <v/>
      </c>
      <c r="F4508" t="str">
        <f>IFERROR(INDEX(tbl_input[집계키_센터],ROW()-1),"")</f>
        <v/>
      </c>
      <c r="G4508" t="str">
        <f t="shared" si="494"/>
        <v/>
      </c>
      <c r="H4508" t="str">
        <f t="shared" si="495"/>
        <v/>
      </c>
      <c r="I4508" t="str">
        <f t="shared" si="496"/>
        <v/>
      </c>
    </row>
    <row r="4509" spans="1:9" x14ac:dyDescent="0.4">
      <c r="A4509" t="str">
        <f t="shared" si="490"/>
        <v/>
      </c>
      <c r="B4509" t="str">
        <f t="shared" si="491"/>
        <v/>
      </c>
      <c r="C4509" t="str">
        <f t="shared" si="492"/>
        <v/>
      </c>
      <c r="D4509" t="str">
        <f t="shared" si="493"/>
        <v/>
      </c>
      <c r="E4509" t="str">
        <f>IF(F4509="","",IF(COUNTIF($F$2:F4509,F4509)&gt;1,"",SUMIFS(tbl_input[필요수량],tbl_input[집계키_센터],F4509)))</f>
        <v/>
      </c>
      <c r="F4509" t="str">
        <f>IFERROR(INDEX(tbl_input[집계키_센터],ROW()-1),"")</f>
        <v/>
      </c>
      <c r="G4509" t="str">
        <f t="shared" si="494"/>
        <v/>
      </c>
      <c r="H4509" t="str">
        <f t="shared" si="495"/>
        <v/>
      </c>
      <c r="I4509" t="str">
        <f t="shared" si="496"/>
        <v/>
      </c>
    </row>
    <row r="4510" spans="1:9" x14ac:dyDescent="0.4">
      <c r="A4510" t="str">
        <f t="shared" si="490"/>
        <v/>
      </c>
      <c r="B4510" t="str">
        <f t="shared" si="491"/>
        <v/>
      </c>
      <c r="C4510" t="str">
        <f t="shared" si="492"/>
        <v/>
      </c>
      <c r="D4510" t="str">
        <f t="shared" si="493"/>
        <v/>
      </c>
      <c r="E4510" t="str">
        <f>IF(F4510="","",IF(COUNTIF($F$2:F4510,F4510)&gt;1,"",SUMIFS(tbl_input[필요수량],tbl_input[집계키_센터],F4510)))</f>
        <v/>
      </c>
      <c r="F4510" t="str">
        <f>IFERROR(INDEX(tbl_input[집계키_센터],ROW()-1),"")</f>
        <v/>
      </c>
      <c r="G4510" t="str">
        <f t="shared" si="494"/>
        <v/>
      </c>
      <c r="H4510" t="str">
        <f t="shared" si="495"/>
        <v/>
      </c>
      <c r="I4510" t="str">
        <f t="shared" si="496"/>
        <v/>
      </c>
    </row>
    <row r="4511" spans="1:9" x14ac:dyDescent="0.4">
      <c r="A4511" t="str">
        <f t="shared" si="490"/>
        <v/>
      </c>
      <c r="B4511" t="str">
        <f t="shared" si="491"/>
        <v/>
      </c>
      <c r="C4511" t="str">
        <f t="shared" si="492"/>
        <v/>
      </c>
      <c r="D4511" t="str">
        <f t="shared" si="493"/>
        <v/>
      </c>
      <c r="E4511" t="str">
        <f>IF(F4511="","",IF(COUNTIF($F$2:F4511,F4511)&gt;1,"",SUMIFS(tbl_input[필요수량],tbl_input[집계키_센터],F4511)))</f>
        <v/>
      </c>
      <c r="F4511" t="str">
        <f>IFERROR(INDEX(tbl_input[집계키_센터],ROW()-1),"")</f>
        <v/>
      </c>
      <c r="G4511" t="str">
        <f t="shared" si="494"/>
        <v/>
      </c>
      <c r="H4511" t="str">
        <f t="shared" si="495"/>
        <v/>
      </c>
      <c r="I4511" t="str">
        <f t="shared" si="496"/>
        <v/>
      </c>
    </row>
    <row r="4512" spans="1:9" x14ac:dyDescent="0.4">
      <c r="A4512" t="str">
        <f t="shared" si="490"/>
        <v/>
      </c>
      <c r="B4512" t="str">
        <f t="shared" si="491"/>
        <v/>
      </c>
      <c r="C4512" t="str">
        <f t="shared" si="492"/>
        <v/>
      </c>
      <c r="D4512" t="str">
        <f t="shared" si="493"/>
        <v/>
      </c>
      <c r="E4512" t="str">
        <f>IF(F4512="","",IF(COUNTIF($F$2:F4512,F4512)&gt;1,"",SUMIFS(tbl_input[필요수량],tbl_input[집계키_센터],F4512)))</f>
        <v/>
      </c>
      <c r="F4512" t="str">
        <f>IFERROR(INDEX(tbl_input[집계키_센터],ROW()-1),"")</f>
        <v/>
      </c>
      <c r="G4512" t="str">
        <f t="shared" si="494"/>
        <v/>
      </c>
      <c r="H4512" t="str">
        <f t="shared" si="495"/>
        <v/>
      </c>
      <c r="I4512" t="str">
        <f t="shared" si="496"/>
        <v/>
      </c>
    </row>
    <row r="4513" spans="1:9" x14ac:dyDescent="0.4">
      <c r="A4513" t="str">
        <f t="shared" si="490"/>
        <v/>
      </c>
      <c r="B4513" t="str">
        <f t="shared" si="491"/>
        <v/>
      </c>
      <c r="C4513" t="str">
        <f t="shared" si="492"/>
        <v/>
      </c>
      <c r="D4513" t="str">
        <f t="shared" si="493"/>
        <v/>
      </c>
      <c r="E4513" t="str">
        <f>IF(F4513="","",IF(COUNTIF($F$2:F4513,F4513)&gt;1,"",SUMIFS(tbl_input[필요수량],tbl_input[집계키_센터],F4513)))</f>
        <v/>
      </c>
      <c r="F4513" t="str">
        <f>IFERROR(INDEX(tbl_input[집계키_센터],ROW()-1),"")</f>
        <v/>
      </c>
      <c r="G4513" t="str">
        <f t="shared" si="494"/>
        <v/>
      </c>
      <c r="H4513" t="str">
        <f t="shared" si="495"/>
        <v/>
      </c>
      <c r="I4513" t="str">
        <f t="shared" si="496"/>
        <v/>
      </c>
    </row>
    <row r="4514" spans="1:9" x14ac:dyDescent="0.4">
      <c r="A4514" t="str">
        <f t="shared" si="490"/>
        <v/>
      </c>
      <c r="B4514" t="str">
        <f t="shared" si="491"/>
        <v/>
      </c>
      <c r="C4514" t="str">
        <f t="shared" si="492"/>
        <v/>
      </c>
      <c r="D4514" t="str">
        <f t="shared" si="493"/>
        <v/>
      </c>
      <c r="E4514" t="str">
        <f>IF(F4514="","",IF(COUNTIF($F$2:F4514,F4514)&gt;1,"",SUMIFS(tbl_input[필요수량],tbl_input[집계키_센터],F4514)))</f>
        <v/>
      </c>
      <c r="F4514" t="str">
        <f>IFERROR(INDEX(tbl_input[집계키_센터],ROW()-1),"")</f>
        <v/>
      </c>
      <c r="G4514" t="str">
        <f t="shared" si="494"/>
        <v/>
      </c>
      <c r="H4514" t="str">
        <f t="shared" si="495"/>
        <v/>
      </c>
      <c r="I4514" t="str">
        <f t="shared" si="496"/>
        <v/>
      </c>
    </row>
    <row r="4515" spans="1:9" x14ac:dyDescent="0.4">
      <c r="A4515" t="str">
        <f t="shared" si="490"/>
        <v/>
      </c>
      <c r="B4515" t="str">
        <f t="shared" si="491"/>
        <v/>
      </c>
      <c r="C4515" t="str">
        <f t="shared" si="492"/>
        <v/>
      </c>
      <c r="D4515" t="str">
        <f t="shared" si="493"/>
        <v/>
      </c>
      <c r="E4515" t="str">
        <f>IF(F4515="","",IF(COUNTIF($F$2:F4515,F4515)&gt;1,"",SUMIFS(tbl_input[필요수량],tbl_input[집계키_센터],F4515)))</f>
        <v/>
      </c>
      <c r="F4515" t="str">
        <f>IFERROR(INDEX(tbl_input[집계키_센터],ROW()-1),"")</f>
        <v/>
      </c>
      <c r="G4515" t="str">
        <f t="shared" si="494"/>
        <v/>
      </c>
      <c r="H4515" t="str">
        <f t="shared" si="495"/>
        <v/>
      </c>
      <c r="I4515" t="str">
        <f t="shared" si="496"/>
        <v/>
      </c>
    </row>
    <row r="4516" spans="1:9" x14ac:dyDescent="0.4">
      <c r="A4516" t="str">
        <f t="shared" si="490"/>
        <v/>
      </c>
      <c r="B4516" t="str">
        <f t="shared" si="491"/>
        <v/>
      </c>
      <c r="C4516" t="str">
        <f t="shared" si="492"/>
        <v/>
      </c>
      <c r="D4516" t="str">
        <f t="shared" si="493"/>
        <v/>
      </c>
      <c r="E4516" t="str">
        <f>IF(F4516="","",IF(COUNTIF($F$2:F4516,F4516)&gt;1,"",SUMIFS(tbl_input[필요수량],tbl_input[집계키_센터],F4516)))</f>
        <v/>
      </c>
      <c r="F4516" t="str">
        <f>IFERROR(INDEX(tbl_input[집계키_센터],ROW()-1),"")</f>
        <v/>
      </c>
      <c r="G4516" t="str">
        <f t="shared" si="494"/>
        <v/>
      </c>
      <c r="H4516" t="str">
        <f t="shared" si="495"/>
        <v/>
      </c>
      <c r="I4516" t="str">
        <f t="shared" si="496"/>
        <v/>
      </c>
    </row>
    <row r="4517" spans="1:9" x14ac:dyDescent="0.4">
      <c r="A4517" t="str">
        <f t="shared" si="490"/>
        <v/>
      </c>
      <c r="B4517" t="str">
        <f t="shared" si="491"/>
        <v/>
      </c>
      <c r="C4517" t="str">
        <f t="shared" si="492"/>
        <v/>
      </c>
      <c r="D4517" t="str">
        <f t="shared" si="493"/>
        <v/>
      </c>
      <c r="E4517" t="str">
        <f>IF(F4517="","",IF(COUNTIF($F$2:F4517,F4517)&gt;1,"",SUMIFS(tbl_input[필요수량],tbl_input[집계키_센터],F4517)))</f>
        <v/>
      </c>
      <c r="F4517" t="str">
        <f>IFERROR(INDEX(tbl_input[집계키_센터],ROW()-1),"")</f>
        <v/>
      </c>
      <c r="G4517" t="str">
        <f t="shared" si="494"/>
        <v/>
      </c>
      <c r="H4517" t="str">
        <f t="shared" si="495"/>
        <v/>
      </c>
      <c r="I4517" t="str">
        <f t="shared" si="496"/>
        <v/>
      </c>
    </row>
    <row r="4518" spans="1:9" x14ac:dyDescent="0.4">
      <c r="A4518" t="str">
        <f t="shared" si="490"/>
        <v/>
      </c>
      <c r="B4518" t="str">
        <f t="shared" si="491"/>
        <v/>
      </c>
      <c r="C4518" t="str">
        <f t="shared" si="492"/>
        <v/>
      </c>
      <c r="D4518" t="str">
        <f t="shared" si="493"/>
        <v/>
      </c>
      <c r="E4518" t="str">
        <f>IF(F4518="","",IF(COUNTIF($F$2:F4518,F4518)&gt;1,"",SUMIFS(tbl_input[필요수량],tbl_input[집계키_센터],F4518)))</f>
        <v/>
      </c>
      <c r="F4518" t="str">
        <f>IFERROR(INDEX(tbl_input[집계키_센터],ROW()-1),"")</f>
        <v/>
      </c>
      <c r="G4518" t="str">
        <f t="shared" si="494"/>
        <v/>
      </c>
      <c r="H4518" t="str">
        <f t="shared" si="495"/>
        <v/>
      </c>
      <c r="I4518" t="str">
        <f t="shared" si="496"/>
        <v/>
      </c>
    </row>
    <row r="4519" spans="1:9" x14ac:dyDescent="0.4">
      <c r="A4519" t="str">
        <f t="shared" si="490"/>
        <v/>
      </c>
      <c r="B4519" t="str">
        <f t="shared" si="491"/>
        <v/>
      </c>
      <c r="C4519" t="str">
        <f t="shared" si="492"/>
        <v/>
      </c>
      <c r="D4519" t="str">
        <f t="shared" si="493"/>
        <v/>
      </c>
      <c r="E4519" t="str">
        <f>IF(F4519="","",IF(COUNTIF($F$2:F4519,F4519)&gt;1,"",SUMIFS(tbl_input[필요수량],tbl_input[집계키_센터],F4519)))</f>
        <v/>
      </c>
      <c r="F4519" t="str">
        <f>IFERROR(INDEX(tbl_input[집계키_센터],ROW()-1),"")</f>
        <v/>
      </c>
      <c r="G4519" t="str">
        <f t="shared" si="494"/>
        <v/>
      </c>
      <c r="H4519" t="str">
        <f t="shared" si="495"/>
        <v/>
      </c>
      <c r="I4519" t="str">
        <f t="shared" si="496"/>
        <v/>
      </c>
    </row>
    <row r="4520" spans="1:9" x14ac:dyDescent="0.4">
      <c r="A4520" t="str">
        <f t="shared" si="490"/>
        <v/>
      </c>
      <c r="B4520" t="str">
        <f t="shared" si="491"/>
        <v/>
      </c>
      <c r="C4520" t="str">
        <f t="shared" si="492"/>
        <v/>
      </c>
      <c r="D4520" t="str">
        <f t="shared" si="493"/>
        <v/>
      </c>
      <c r="E4520" t="str">
        <f>IF(F4520="","",IF(COUNTIF($F$2:F4520,F4520)&gt;1,"",SUMIFS(tbl_input[필요수량],tbl_input[집계키_센터],F4520)))</f>
        <v/>
      </c>
      <c r="F4520" t="str">
        <f>IFERROR(INDEX(tbl_input[집계키_센터],ROW()-1),"")</f>
        <v/>
      </c>
      <c r="G4520" t="str">
        <f t="shared" si="494"/>
        <v/>
      </c>
      <c r="H4520" t="str">
        <f t="shared" si="495"/>
        <v/>
      </c>
      <c r="I4520" t="str">
        <f t="shared" si="496"/>
        <v/>
      </c>
    </row>
    <row r="4521" spans="1:9" x14ac:dyDescent="0.4">
      <c r="A4521" t="str">
        <f t="shared" si="490"/>
        <v/>
      </c>
      <c r="B4521" t="str">
        <f t="shared" si="491"/>
        <v/>
      </c>
      <c r="C4521" t="str">
        <f t="shared" si="492"/>
        <v/>
      </c>
      <c r="D4521" t="str">
        <f t="shared" si="493"/>
        <v/>
      </c>
      <c r="E4521" t="str">
        <f>IF(F4521="","",IF(COUNTIF($F$2:F4521,F4521)&gt;1,"",SUMIFS(tbl_input[필요수량],tbl_input[집계키_센터],F4521)))</f>
        <v/>
      </c>
      <c r="F4521" t="str">
        <f>IFERROR(INDEX(tbl_input[집계키_센터],ROW()-1),"")</f>
        <v/>
      </c>
      <c r="G4521" t="str">
        <f t="shared" si="494"/>
        <v/>
      </c>
      <c r="H4521" t="str">
        <f t="shared" si="495"/>
        <v/>
      </c>
      <c r="I4521" t="str">
        <f t="shared" si="496"/>
        <v/>
      </c>
    </row>
    <row r="4522" spans="1:9" x14ac:dyDescent="0.4">
      <c r="A4522" t="str">
        <f t="shared" si="490"/>
        <v/>
      </c>
      <c r="B4522" t="str">
        <f t="shared" si="491"/>
        <v/>
      </c>
      <c r="C4522" t="str">
        <f t="shared" si="492"/>
        <v/>
      </c>
      <c r="D4522" t="str">
        <f t="shared" si="493"/>
        <v/>
      </c>
      <c r="E4522" t="str">
        <f>IF(F4522="","",IF(COUNTIF($F$2:F4522,F4522)&gt;1,"",SUMIFS(tbl_input[필요수량],tbl_input[집계키_센터],F4522)))</f>
        <v/>
      </c>
      <c r="F4522" t="str">
        <f>IFERROR(INDEX(tbl_input[집계키_센터],ROW()-1),"")</f>
        <v/>
      </c>
      <c r="G4522" t="str">
        <f t="shared" si="494"/>
        <v/>
      </c>
      <c r="H4522" t="str">
        <f t="shared" si="495"/>
        <v/>
      </c>
      <c r="I4522" t="str">
        <f t="shared" si="496"/>
        <v/>
      </c>
    </row>
    <row r="4523" spans="1:9" x14ac:dyDescent="0.4">
      <c r="A4523" t="str">
        <f t="shared" si="490"/>
        <v/>
      </c>
      <c r="B4523" t="str">
        <f t="shared" si="491"/>
        <v/>
      </c>
      <c r="C4523" t="str">
        <f t="shared" si="492"/>
        <v/>
      </c>
      <c r="D4523" t="str">
        <f t="shared" si="493"/>
        <v/>
      </c>
      <c r="E4523" t="str">
        <f>IF(F4523="","",IF(COUNTIF($F$2:F4523,F4523)&gt;1,"",SUMIFS(tbl_input[필요수량],tbl_input[집계키_센터],F4523)))</f>
        <v/>
      </c>
      <c r="F4523" t="str">
        <f>IFERROR(INDEX(tbl_input[집계키_센터],ROW()-1),"")</f>
        <v/>
      </c>
      <c r="G4523" t="str">
        <f t="shared" si="494"/>
        <v/>
      </c>
      <c r="H4523" t="str">
        <f t="shared" si="495"/>
        <v/>
      </c>
      <c r="I4523" t="str">
        <f t="shared" si="496"/>
        <v/>
      </c>
    </row>
    <row r="4524" spans="1:9" x14ac:dyDescent="0.4">
      <c r="A4524" t="str">
        <f t="shared" si="490"/>
        <v/>
      </c>
      <c r="B4524" t="str">
        <f t="shared" si="491"/>
        <v/>
      </c>
      <c r="C4524" t="str">
        <f t="shared" si="492"/>
        <v/>
      </c>
      <c r="D4524" t="str">
        <f t="shared" si="493"/>
        <v/>
      </c>
      <c r="E4524" t="str">
        <f>IF(F4524="","",IF(COUNTIF($F$2:F4524,F4524)&gt;1,"",SUMIFS(tbl_input[필요수량],tbl_input[집계키_센터],F4524)))</f>
        <v/>
      </c>
      <c r="F4524" t="str">
        <f>IFERROR(INDEX(tbl_input[집계키_센터],ROW()-1),"")</f>
        <v/>
      </c>
      <c r="G4524" t="str">
        <f t="shared" si="494"/>
        <v/>
      </c>
      <c r="H4524" t="str">
        <f t="shared" si="495"/>
        <v/>
      </c>
      <c r="I4524" t="str">
        <f t="shared" si="496"/>
        <v/>
      </c>
    </row>
    <row r="4525" spans="1:9" x14ac:dyDescent="0.4">
      <c r="A4525" t="str">
        <f t="shared" si="490"/>
        <v/>
      </c>
      <c r="B4525" t="str">
        <f t="shared" si="491"/>
        <v/>
      </c>
      <c r="C4525" t="str">
        <f t="shared" si="492"/>
        <v/>
      </c>
      <c r="D4525" t="str">
        <f t="shared" si="493"/>
        <v/>
      </c>
      <c r="E4525" t="str">
        <f>IF(F4525="","",IF(COUNTIF($F$2:F4525,F4525)&gt;1,"",SUMIFS(tbl_input[필요수량],tbl_input[집계키_센터],F4525)))</f>
        <v/>
      </c>
      <c r="F4525" t="str">
        <f>IFERROR(INDEX(tbl_input[집계키_센터],ROW()-1),"")</f>
        <v/>
      </c>
      <c r="G4525" t="str">
        <f t="shared" si="494"/>
        <v/>
      </c>
      <c r="H4525" t="str">
        <f t="shared" si="495"/>
        <v/>
      </c>
      <c r="I4525" t="str">
        <f t="shared" si="496"/>
        <v/>
      </c>
    </row>
    <row r="4526" spans="1:9" x14ac:dyDescent="0.4">
      <c r="A4526" t="str">
        <f t="shared" si="490"/>
        <v/>
      </c>
      <c r="B4526" t="str">
        <f t="shared" si="491"/>
        <v/>
      </c>
      <c r="C4526" t="str">
        <f t="shared" si="492"/>
        <v/>
      </c>
      <c r="D4526" t="str">
        <f t="shared" si="493"/>
        <v/>
      </c>
      <c r="E4526" t="str">
        <f>IF(F4526="","",IF(COUNTIF($F$2:F4526,F4526)&gt;1,"",SUMIFS(tbl_input[필요수량],tbl_input[집계키_센터],F4526)))</f>
        <v/>
      </c>
      <c r="F4526" t="str">
        <f>IFERROR(INDEX(tbl_input[집계키_센터],ROW()-1),"")</f>
        <v/>
      </c>
      <c r="G4526" t="str">
        <f t="shared" si="494"/>
        <v/>
      </c>
      <c r="H4526" t="str">
        <f t="shared" si="495"/>
        <v/>
      </c>
      <c r="I4526" t="str">
        <f t="shared" si="496"/>
        <v/>
      </c>
    </row>
    <row r="4527" spans="1:9" x14ac:dyDescent="0.4">
      <c r="A4527" t="str">
        <f t="shared" si="490"/>
        <v/>
      </c>
      <c r="B4527" t="str">
        <f t="shared" si="491"/>
        <v/>
      </c>
      <c r="C4527" t="str">
        <f t="shared" si="492"/>
        <v/>
      </c>
      <c r="D4527" t="str">
        <f t="shared" si="493"/>
        <v/>
      </c>
      <c r="E4527" t="str">
        <f>IF(F4527="","",IF(COUNTIF($F$2:F4527,F4527)&gt;1,"",SUMIFS(tbl_input[필요수량],tbl_input[집계키_센터],F4527)))</f>
        <v/>
      </c>
      <c r="F4527" t="str">
        <f>IFERROR(INDEX(tbl_input[집계키_센터],ROW()-1),"")</f>
        <v/>
      </c>
      <c r="G4527" t="str">
        <f t="shared" si="494"/>
        <v/>
      </c>
      <c r="H4527" t="str">
        <f t="shared" si="495"/>
        <v/>
      </c>
      <c r="I4527" t="str">
        <f t="shared" si="496"/>
        <v/>
      </c>
    </row>
    <row r="4528" spans="1:9" x14ac:dyDescent="0.4">
      <c r="A4528" t="str">
        <f t="shared" si="490"/>
        <v/>
      </c>
      <c r="B4528" t="str">
        <f t="shared" si="491"/>
        <v/>
      </c>
      <c r="C4528" t="str">
        <f t="shared" si="492"/>
        <v/>
      </c>
      <c r="D4528" t="str">
        <f t="shared" si="493"/>
        <v/>
      </c>
      <c r="E4528" t="str">
        <f>IF(F4528="","",IF(COUNTIF($F$2:F4528,F4528)&gt;1,"",SUMIFS(tbl_input[필요수량],tbl_input[집계키_센터],F4528)))</f>
        <v/>
      </c>
      <c r="F4528" t="str">
        <f>IFERROR(INDEX(tbl_input[집계키_센터],ROW()-1),"")</f>
        <v/>
      </c>
      <c r="G4528" t="str">
        <f t="shared" si="494"/>
        <v/>
      </c>
      <c r="H4528" t="str">
        <f t="shared" si="495"/>
        <v/>
      </c>
      <c r="I4528" t="str">
        <f t="shared" si="496"/>
        <v/>
      </c>
    </row>
    <row r="4529" spans="1:9" x14ac:dyDescent="0.4">
      <c r="A4529" t="str">
        <f t="shared" si="490"/>
        <v/>
      </c>
      <c r="B4529" t="str">
        <f t="shared" si="491"/>
        <v/>
      </c>
      <c r="C4529" t="str">
        <f t="shared" si="492"/>
        <v/>
      </c>
      <c r="D4529" t="str">
        <f t="shared" si="493"/>
        <v/>
      </c>
      <c r="E4529" t="str">
        <f>IF(F4529="","",IF(COUNTIF($F$2:F4529,F4529)&gt;1,"",SUMIFS(tbl_input[필요수량],tbl_input[집계키_센터],F4529)))</f>
        <v/>
      </c>
      <c r="F4529" t="str">
        <f>IFERROR(INDEX(tbl_input[집계키_센터],ROW()-1),"")</f>
        <v/>
      </c>
      <c r="G4529" t="str">
        <f t="shared" si="494"/>
        <v/>
      </c>
      <c r="H4529" t="str">
        <f t="shared" si="495"/>
        <v/>
      </c>
      <c r="I4529" t="str">
        <f t="shared" si="496"/>
        <v/>
      </c>
    </row>
    <row r="4530" spans="1:9" x14ac:dyDescent="0.4">
      <c r="A4530" t="str">
        <f t="shared" si="490"/>
        <v/>
      </c>
      <c r="B4530" t="str">
        <f t="shared" si="491"/>
        <v/>
      </c>
      <c r="C4530" t="str">
        <f t="shared" si="492"/>
        <v/>
      </c>
      <c r="D4530" t="str">
        <f t="shared" si="493"/>
        <v/>
      </c>
      <c r="E4530" t="str">
        <f>IF(F4530="","",IF(COUNTIF($F$2:F4530,F4530)&gt;1,"",SUMIFS(tbl_input[필요수량],tbl_input[집계키_센터],F4530)))</f>
        <v/>
      </c>
      <c r="F4530" t="str">
        <f>IFERROR(INDEX(tbl_input[집계키_센터],ROW()-1),"")</f>
        <v/>
      </c>
      <c r="G4530" t="str">
        <f t="shared" si="494"/>
        <v/>
      </c>
      <c r="H4530" t="str">
        <f t="shared" si="495"/>
        <v/>
      </c>
      <c r="I4530" t="str">
        <f t="shared" si="496"/>
        <v/>
      </c>
    </row>
    <row r="4531" spans="1:9" x14ac:dyDescent="0.4">
      <c r="A4531" t="str">
        <f t="shared" si="490"/>
        <v/>
      </c>
      <c r="B4531" t="str">
        <f t="shared" si="491"/>
        <v/>
      </c>
      <c r="C4531" t="str">
        <f t="shared" si="492"/>
        <v/>
      </c>
      <c r="D4531" t="str">
        <f t="shared" si="493"/>
        <v/>
      </c>
      <c r="E4531" t="str">
        <f>IF(F4531="","",IF(COUNTIF($F$2:F4531,F4531)&gt;1,"",SUMIFS(tbl_input[필요수량],tbl_input[집계키_센터],F4531)))</f>
        <v/>
      </c>
      <c r="F4531" t="str">
        <f>IFERROR(INDEX(tbl_input[집계키_센터],ROW()-1),"")</f>
        <v/>
      </c>
      <c r="G4531" t="str">
        <f t="shared" si="494"/>
        <v/>
      </c>
      <c r="H4531" t="str">
        <f t="shared" si="495"/>
        <v/>
      </c>
      <c r="I4531" t="str">
        <f t="shared" si="496"/>
        <v/>
      </c>
    </row>
    <row r="4532" spans="1:9" x14ac:dyDescent="0.4">
      <c r="A4532" t="str">
        <f t="shared" si="490"/>
        <v/>
      </c>
      <c r="B4532" t="str">
        <f t="shared" si="491"/>
        <v/>
      </c>
      <c r="C4532" t="str">
        <f t="shared" si="492"/>
        <v/>
      </c>
      <c r="D4532" t="str">
        <f t="shared" si="493"/>
        <v/>
      </c>
      <c r="E4532" t="str">
        <f>IF(F4532="","",IF(COUNTIF($F$2:F4532,F4532)&gt;1,"",SUMIFS(tbl_input[필요수량],tbl_input[집계키_센터],F4532)))</f>
        <v/>
      </c>
      <c r="F4532" t="str">
        <f>IFERROR(INDEX(tbl_input[집계키_센터],ROW()-1),"")</f>
        <v/>
      </c>
      <c r="G4532" t="str">
        <f t="shared" si="494"/>
        <v/>
      </c>
      <c r="H4532" t="str">
        <f t="shared" si="495"/>
        <v/>
      </c>
      <c r="I4532" t="str">
        <f t="shared" si="496"/>
        <v/>
      </c>
    </row>
    <row r="4533" spans="1:9" x14ac:dyDescent="0.4">
      <c r="A4533" t="str">
        <f t="shared" si="490"/>
        <v/>
      </c>
      <c r="B4533" t="str">
        <f t="shared" si="491"/>
        <v/>
      </c>
      <c r="C4533" t="str">
        <f t="shared" si="492"/>
        <v/>
      </c>
      <c r="D4533" t="str">
        <f t="shared" si="493"/>
        <v/>
      </c>
      <c r="E4533" t="str">
        <f>IF(F4533="","",IF(COUNTIF($F$2:F4533,F4533)&gt;1,"",SUMIFS(tbl_input[필요수량],tbl_input[집계키_센터],F4533)))</f>
        <v/>
      </c>
      <c r="F4533" t="str">
        <f>IFERROR(INDEX(tbl_input[집계키_센터],ROW()-1),"")</f>
        <v/>
      </c>
      <c r="G4533" t="str">
        <f t="shared" si="494"/>
        <v/>
      </c>
      <c r="H4533" t="str">
        <f t="shared" si="495"/>
        <v/>
      </c>
      <c r="I4533" t="str">
        <f t="shared" si="496"/>
        <v/>
      </c>
    </row>
    <row r="4534" spans="1:9" x14ac:dyDescent="0.4">
      <c r="A4534" t="str">
        <f t="shared" si="490"/>
        <v/>
      </c>
      <c r="B4534" t="str">
        <f t="shared" si="491"/>
        <v/>
      </c>
      <c r="C4534" t="str">
        <f t="shared" si="492"/>
        <v/>
      </c>
      <c r="D4534" t="str">
        <f t="shared" si="493"/>
        <v/>
      </c>
      <c r="E4534" t="str">
        <f>IF(F4534="","",IF(COUNTIF($F$2:F4534,F4534)&gt;1,"",SUMIFS(tbl_input[필요수량],tbl_input[집계키_센터],F4534)))</f>
        <v/>
      </c>
      <c r="F4534" t="str">
        <f>IFERROR(INDEX(tbl_input[집계키_센터],ROW()-1),"")</f>
        <v/>
      </c>
      <c r="G4534" t="str">
        <f t="shared" si="494"/>
        <v/>
      </c>
      <c r="H4534" t="str">
        <f t="shared" si="495"/>
        <v/>
      </c>
      <c r="I4534" t="str">
        <f t="shared" si="496"/>
        <v/>
      </c>
    </row>
    <row r="4535" spans="1:9" x14ac:dyDescent="0.4">
      <c r="A4535" t="str">
        <f t="shared" si="490"/>
        <v/>
      </c>
      <c r="B4535" t="str">
        <f t="shared" si="491"/>
        <v/>
      </c>
      <c r="C4535" t="str">
        <f t="shared" si="492"/>
        <v/>
      </c>
      <c r="D4535" t="str">
        <f t="shared" si="493"/>
        <v/>
      </c>
      <c r="E4535" t="str">
        <f>IF(F4535="","",IF(COUNTIF($F$2:F4535,F4535)&gt;1,"",SUMIFS(tbl_input[필요수량],tbl_input[집계키_센터],F4535)))</f>
        <v/>
      </c>
      <c r="F4535" t="str">
        <f>IFERROR(INDEX(tbl_input[집계키_센터],ROW()-1),"")</f>
        <v/>
      </c>
      <c r="G4535" t="str">
        <f t="shared" si="494"/>
        <v/>
      </c>
      <c r="H4535" t="str">
        <f t="shared" si="495"/>
        <v/>
      </c>
      <c r="I4535" t="str">
        <f t="shared" si="496"/>
        <v/>
      </c>
    </row>
    <row r="4536" spans="1:9" x14ac:dyDescent="0.4">
      <c r="A4536" t="str">
        <f t="shared" si="490"/>
        <v/>
      </c>
      <c r="B4536" t="str">
        <f t="shared" si="491"/>
        <v/>
      </c>
      <c r="C4536" t="str">
        <f t="shared" si="492"/>
        <v/>
      </c>
      <c r="D4536" t="str">
        <f t="shared" si="493"/>
        <v/>
      </c>
      <c r="E4536" t="str">
        <f>IF(F4536="","",IF(COUNTIF($F$2:F4536,F4536)&gt;1,"",SUMIFS(tbl_input[필요수량],tbl_input[집계키_센터],F4536)))</f>
        <v/>
      </c>
      <c r="F4536" t="str">
        <f>IFERROR(INDEX(tbl_input[집계키_센터],ROW()-1),"")</f>
        <v/>
      </c>
      <c r="G4536" t="str">
        <f t="shared" si="494"/>
        <v/>
      </c>
      <c r="H4536" t="str">
        <f t="shared" si="495"/>
        <v/>
      </c>
      <c r="I4536" t="str">
        <f t="shared" si="496"/>
        <v/>
      </c>
    </row>
    <row r="4537" spans="1:9" x14ac:dyDescent="0.4">
      <c r="A4537" t="str">
        <f t="shared" si="490"/>
        <v/>
      </c>
      <c r="B4537" t="str">
        <f t="shared" si="491"/>
        <v/>
      </c>
      <c r="C4537" t="str">
        <f t="shared" si="492"/>
        <v/>
      </c>
      <c r="D4537" t="str">
        <f t="shared" si="493"/>
        <v/>
      </c>
      <c r="E4537" t="str">
        <f>IF(F4537="","",IF(COUNTIF($F$2:F4537,F4537)&gt;1,"",SUMIFS(tbl_input[필요수량],tbl_input[집계키_센터],F4537)))</f>
        <v/>
      </c>
      <c r="F4537" t="str">
        <f>IFERROR(INDEX(tbl_input[집계키_센터],ROW()-1),"")</f>
        <v/>
      </c>
      <c r="G4537" t="str">
        <f t="shared" si="494"/>
        <v/>
      </c>
      <c r="H4537" t="str">
        <f t="shared" si="495"/>
        <v/>
      </c>
      <c r="I4537" t="str">
        <f t="shared" si="496"/>
        <v/>
      </c>
    </row>
    <row r="4538" spans="1:9" x14ac:dyDescent="0.4">
      <c r="A4538" t="str">
        <f t="shared" si="490"/>
        <v/>
      </c>
      <c r="B4538" t="str">
        <f t="shared" si="491"/>
        <v/>
      </c>
      <c r="C4538" t="str">
        <f t="shared" si="492"/>
        <v/>
      </c>
      <c r="D4538" t="str">
        <f t="shared" si="493"/>
        <v/>
      </c>
      <c r="E4538" t="str">
        <f>IF(F4538="","",IF(COUNTIF($F$2:F4538,F4538)&gt;1,"",SUMIFS(tbl_input[필요수량],tbl_input[집계키_센터],F4538)))</f>
        <v/>
      </c>
      <c r="F4538" t="str">
        <f>IFERROR(INDEX(tbl_input[집계키_센터],ROW()-1),"")</f>
        <v/>
      </c>
      <c r="G4538" t="str">
        <f t="shared" si="494"/>
        <v/>
      </c>
      <c r="H4538" t="str">
        <f t="shared" si="495"/>
        <v/>
      </c>
      <c r="I4538" t="str">
        <f t="shared" si="496"/>
        <v/>
      </c>
    </row>
    <row r="4539" spans="1:9" x14ac:dyDescent="0.4">
      <c r="A4539" t="str">
        <f t="shared" si="490"/>
        <v/>
      </c>
      <c r="B4539" t="str">
        <f t="shared" si="491"/>
        <v/>
      </c>
      <c r="C4539" t="str">
        <f t="shared" si="492"/>
        <v/>
      </c>
      <c r="D4539" t="str">
        <f t="shared" si="493"/>
        <v/>
      </c>
      <c r="E4539" t="str">
        <f>IF(F4539="","",IF(COUNTIF($F$2:F4539,F4539)&gt;1,"",SUMIFS(tbl_input[필요수량],tbl_input[집계키_센터],F4539)))</f>
        <v/>
      </c>
      <c r="F4539" t="str">
        <f>IFERROR(INDEX(tbl_input[집계키_센터],ROW()-1),"")</f>
        <v/>
      </c>
      <c r="G4539" t="str">
        <f t="shared" si="494"/>
        <v/>
      </c>
      <c r="H4539" t="str">
        <f t="shared" si="495"/>
        <v/>
      </c>
      <c r="I4539" t="str">
        <f t="shared" si="496"/>
        <v/>
      </c>
    </row>
    <row r="4540" spans="1:9" x14ac:dyDescent="0.4">
      <c r="A4540" t="str">
        <f t="shared" si="490"/>
        <v/>
      </c>
      <c r="B4540" t="str">
        <f t="shared" si="491"/>
        <v/>
      </c>
      <c r="C4540" t="str">
        <f t="shared" si="492"/>
        <v/>
      </c>
      <c r="D4540" t="str">
        <f t="shared" si="493"/>
        <v/>
      </c>
      <c r="E4540" t="str">
        <f>IF(F4540="","",IF(COUNTIF($F$2:F4540,F4540)&gt;1,"",SUMIFS(tbl_input[필요수량],tbl_input[집계키_센터],F4540)))</f>
        <v/>
      </c>
      <c r="F4540" t="str">
        <f>IFERROR(INDEX(tbl_input[집계키_센터],ROW()-1),"")</f>
        <v/>
      </c>
      <c r="G4540" t="str">
        <f t="shared" si="494"/>
        <v/>
      </c>
      <c r="H4540" t="str">
        <f t="shared" si="495"/>
        <v/>
      </c>
      <c r="I4540" t="str">
        <f t="shared" si="496"/>
        <v/>
      </c>
    </row>
    <row r="4541" spans="1:9" x14ac:dyDescent="0.4">
      <c r="A4541" t="str">
        <f t="shared" si="490"/>
        <v/>
      </c>
      <c r="B4541" t="str">
        <f t="shared" si="491"/>
        <v/>
      </c>
      <c r="C4541" t="str">
        <f t="shared" si="492"/>
        <v/>
      </c>
      <c r="D4541" t="str">
        <f t="shared" si="493"/>
        <v/>
      </c>
      <c r="E4541" t="str">
        <f>IF(F4541="","",IF(COUNTIF($F$2:F4541,F4541)&gt;1,"",SUMIFS(tbl_input[필요수량],tbl_input[집계키_센터],F4541)))</f>
        <v/>
      </c>
      <c r="F4541" t="str">
        <f>IFERROR(INDEX(tbl_input[집계키_센터],ROW()-1),"")</f>
        <v/>
      </c>
      <c r="G4541" t="str">
        <f t="shared" si="494"/>
        <v/>
      </c>
      <c r="H4541" t="str">
        <f t="shared" si="495"/>
        <v/>
      </c>
      <c r="I4541" t="str">
        <f t="shared" si="496"/>
        <v/>
      </c>
    </row>
    <row r="4542" spans="1:9" x14ac:dyDescent="0.4">
      <c r="A4542" t="str">
        <f t="shared" si="490"/>
        <v/>
      </c>
      <c r="B4542" t="str">
        <f t="shared" si="491"/>
        <v/>
      </c>
      <c r="C4542" t="str">
        <f t="shared" si="492"/>
        <v/>
      </c>
      <c r="D4542" t="str">
        <f t="shared" si="493"/>
        <v/>
      </c>
      <c r="E4542" t="str">
        <f>IF(F4542="","",IF(COUNTIF($F$2:F4542,F4542)&gt;1,"",SUMIFS(tbl_input[필요수량],tbl_input[집계키_센터],F4542)))</f>
        <v/>
      </c>
      <c r="F4542" t="str">
        <f>IFERROR(INDEX(tbl_input[집계키_센터],ROW()-1),"")</f>
        <v/>
      </c>
      <c r="G4542" t="str">
        <f t="shared" si="494"/>
        <v/>
      </c>
      <c r="H4542" t="str">
        <f t="shared" si="495"/>
        <v/>
      </c>
      <c r="I4542" t="str">
        <f t="shared" si="496"/>
        <v/>
      </c>
    </row>
    <row r="4543" spans="1:9" x14ac:dyDescent="0.4">
      <c r="A4543" t="str">
        <f t="shared" si="490"/>
        <v/>
      </c>
      <c r="B4543" t="str">
        <f t="shared" si="491"/>
        <v/>
      </c>
      <c r="C4543" t="str">
        <f t="shared" si="492"/>
        <v/>
      </c>
      <c r="D4543" t="str">
        <f t="shared" si="493"/>
        <v/>
      </c>
      <c r="E4543" t="str">
        <f>IF(F4543="","",IF(COUNTIF($F$2:F4543,F4543)&gt;1,"",SUMIFS(tbl_input[필요수량],tbl_input[집계키_센터],F4543)))</f>
        <v/>
      </c>
      <c r="F4543" t="str">
        <f>IFERROR(INDEX(tbl_input[집계키_센터],ROW()-1),"")</f>
        <v/>
      </c>
      <c r="G4543" t="str">
        <f t="shared" si="494"/>
        <v/>
      </c>
      <c r="H4543" t="str">
        <f t="shared" si="495"/>
        <v/>
      </c>
      <c r="I4543" t="str">
        <f t="shared" si="496"/>
        <v/>
      </c>
    </row>
    <row r="4544" spans="1:9" x14ac:dyDescent="0.4">
      <c r="A4544" t="str">
        <f t="shared" si="490"/>
        <v/>
      </c>
      <c r="B4544" t="str">
        <f t="shared" si="491"/>
        <v/>
      </c>
      <c r="C4544" t="str">
        <f t="shared" si="492"/>
        <v/>
      </c>
      <c r="D4544" t="str">
        <f t="shared" si="493"/>
        <v/>
      </c>
      <c r="E4544" t="str">
        <f>IF(F4544="","",IF(COUNTIF($F$2:F4544,F4544)&gt;1,"",SUMIFS(tbl_input[필요수량],tbl_input[집계키_센터],F4544)))</f>
        <v/>
      </c>
      <c r="F4544" t="str">
        <f>IFERROR(INDEX(tbl_input[집계키_센터],ROW()-1),"")</f>
        <v/>
      </c>
      <c r="G4544" t="str">
        <f t="shared" si="494"/>
        <v/>
      </c>
      <c r="H4544" t="str">
        <f t="shared" si="495"/>
        <v/>
      </c>
      <c r="I4544" t="str">
        <f t="shared" si="496"/>
        <v/>
      </c>
    </row>
    <row r="4545" spans="1:9" x14ac:dyDescent="0.4">
      <c r="A4545" t="str">
        <f t="shared" si="490"/>
        <v/>
      </c>
      <c r="B4545" t="str">
        <f t="shared" si="491"/>
        <v/>
      </c>
      <c r="C4545" t="str">
        <f t="shared" si="492"/>
        <v/>
      </c>
      <c r="D4545" t="str">
        <f t="shared" si="493"/>
        <v/>
      </c>
      <c r="E4545" t="str">
        <f>IF(F4545="","",IF(COUNTIF($F$2:F4545,F4545)&gt;1,"",SUMIFS(tbl_input[필요수량],tbl_input[집계키_센터],F4545)))</f>
        <v/>
      </c>
      <c r="F4545" t="str">
        <f>IFERROR(INDEX(tbl_input[집계키_센터],ROW()-1),"")</f>
        <v/>
      </c>
      <c r="G4545" t="str">
        <f t="shared" si="494"/>
        <v/>
      </c>
      <c r="H4545" t="str">
        <f t="shared" si="495"/>
        <v/>
      </c>
      <c r="I4545" t="str">
        <f t="shared" si="496"/>
        <v/>
      </c>
    </row>
    <row r="4546" spans="1:9" x14ac:dyDescent="0.4">
      <c r="A4546" t="str">
        <f t="shared" ref="A4546:A4609" si="497">IF(F4546="","",LEFT(F4546,G4546-1))</f>
        <v/>
      </c>
      <c r="B4546" t="str">
        <f t="shared" ref="B4546:B4609" si="498">IF(F4546="","",MID(F4546,G4546+1,H4546-G4546-1))</f>
        <v/>
      </c>
      <c r="C4546" t="str">
        <f t="shared" ref="C4546:C4609" si="499">IF(F4546="","",MID(F4546,H4546+1,I4546-H4546-1))</f>
        <v/>
      </c>
      <c r="D4546" t="str">
        <f t="shared" ref="D4546:D4609" si="500">IF(F4546="","",MID(F4546,I4546+1,999))</f>
        <v/>
      </c>
      <c r="E4546" t="str">
        <f>IF(F4546="","",IF(COUNTIF($F$2:F4546,F4546)&gt;1,"",SUMIFS(tbl_input[필요수량],tbl_input[집계키_센터],F4546)))</f>
        <v/>
      </c>
      <c r="F4546" t="str">
        <f>IFERROR(INDEX(tbl_input[집계키_센터],ROW()-1),"")</f>
        <v/>
      </c>
      <c r="G4546" t="str">
        <f t="shared" ref="G4546:G4609" si="501">IF(F4546="","",FIND("♦",F4546))</f>
        <v/>
      </c>
      <c r="H4546" t="str">
        <f t="shared" ref="H4546:H4609" si="502">IF(F4546="","",FIND("♦",F4546,G4546+1))</f>
        <v/>
      </c>
      <c r="I4546" t="str">
        <f t="shared" ref="I4546:I4609" si="503">IF(F4546="","",FIND("♦",F4546,H4546+1))</f>
        <v/>
      </c>
    </row>
    <row r="4547" spans="1:9" x14ac:dyDescent="0.4">
      <c r="A4547" t="str">
        <f t="shared" si="497"/>
        <v/>
      </c>
      <c r="B4547" t="str">
        <f t="shared" si="498"/>
        <v/>
      </c>
      <c r="C4547" t="str">
        <f t="shared" si="499"/>
        <v/>
      </c>
      <c r="D4547" t="str">
        <f t="shared" si="500"/>
        <v/>
      </c>
      <c r="E4547" t="str">
        <f>IF(F4547="","",IF(COUNTIF($F$2:F4547,F4547)&gt;1,"",SUMIFS(tbl_input[필요수량],tbl_input[집계키_센터],F4547)))</f>
        <v/>
      </c>
      <c r="F4547" t="str">
        <f>IFERROR(INDEX(tbl_input[집계키_센터],ROW()-1),"")</f>
        <v/>
      </c>
      <c r="G4547" t="str">
        <f t="shared" si="501"/>
        <v/>
      </c>
      <c r="H4547" t="str">
        <f t="shared" si="502"/>
        <v/>
      </c>
      <c r="I4547" t="str">
        <f t="shared" si="503"/>
        <v/>
      </c>
    </row>
    <row r="4548" spans="1:9" x14ac:dyDescent="0.4">
      <c r="A4548" t="str">
        <f t="shared" si="497"/>
        <v/>
      </c>
      <c r="B4548" t="str">
        <f t="shared" si="498"/>
        <v/>
      </c>
      <c r="C4548" t="str">
        <f t="shared" si="499"/>
        <v/>
      </c>
      <c r="D4548" t="str">
        <f t="shared" si="500"/>
        <v/>
      </c>
      <c r="E4548" t="str">
        <f>IF(F4548="","",IF(COUNTIF($F$2:F4548,F4548)&gt;1,"",SUMIFS(tbl_input[필요수량],tbl_input[집계키_센터],F4548)))</f>
        <v/>
      </c>
      <c r="F4548" t="str">
        <f>IFERROR(INDEX(tbl_input[집계키_센터],ROW()-1),"")</f>
        <v/>
      </c>
      <c r="G4548" t="str">
        <f t="shared" si="501"/>
        <v/>
      </c>
      <c r="H4548" t="str">
        <f t="shared" si="502"/>
        <v/>
      </c>
      <c r="I4548" t="str">
        <f t="shared" si="503"/>
        <v/>
      </c>
    </row>
    <row r="4549" spans="1:9" x14ac:dyDescent="0.4">
      <c r="A4549" t="str">
        <f t="shared" si="497"/>
        <v/>
      </c>
      <c r="B4549" t="str">
        <f t="shared" si="498"/>
        <v/>
      </c>
      <c r="C4549" t="str">
        <f t="shared" si="499"/>
        <v/>
      </c>
      <c r="D4549" t="str">
        <f t="shared" si="500"/>
        <v/>
      </c>
      <c r="E4549" t="str">
        <f>IF(F4549="","",IF(COUNTIF($F$2:F4549,F4549)&gt;1,"",SUMIFS(tbl_input[필요수량],tbl_input[집계키_센터],F4549)))</f>
        <v/>
      </c>
      <c r="F4549" t="str">
        <f>IFERROR(INDEX(tbl_input[집계키_센터],ROW()-1),"")</f>
        <v/>
      </c>
      <c r="G4549" t="str">
        <f t="shared" si="501"/>
        <v/>
      </c>
      <c r="H4549" t="str">
        <f t="shared" si="502"/>
        <v/>
      </c>
      <c r="I4549" t="str">
        <f t="shared" si="503"/>
        <v/>
      </c>
    </row>
    <row r="4550" spans="1:9" x14ac:dyDescent="0.4">
      <c r="A4550" t="str">
        <f t="shared" si="497"/>
        <v/>
      </c>
      <c r="B4550" t="str">
        <f t="shared" si="498"/>
        <v/>
      </c>
      <c r="C4550" t="str">
        <f t="shared" si="499"/>
        <v/>
      </c>
      <c r="D4550" t="str">
        <f t="shared" si="500"/>
        <v/>
      </c>
      <c r="E4550" t="str">
        <f>IF(F4550="","",IF(COUNTIF($F$2:F4550,F4550)&gt;1,"",SUMIFS(tbl_input[필요수량],tbl_input[집계키_센터],F4550)))</f>
        <v/>
      </c>
      <c r="F4550" t="str">
        <f>IFERROR(INDEX(tbl_input[집계키_센터],ROW()-1),"")</f>
        <v/>
      </c>
      <c r="G4550" t="str">
        <f t="shared" si="501"/>
        <v/>
      </c>
      <c r="H4550" t="str">
        <f t="shared" si="502"/>
        <v/>
      </c>
      <c r="I4550" t="str">
        <f t="shared" si="503"/>
        <v/>
      </c>
    </row>
    <row r="4551" spans="1:9" x14ac:dyDescent="0.4">
      <c r="A4551" t="str">
        <f t="shared" si="497"/>
        <v/>
      </c>
      <c r="B4551" t="str">
        <f t="shared" si="498"/>
        <v/>
      </c>
      <c r="C4551" t="str">
        <f t="shared" si="499"/>
        <v/>
      </c>
      <c r="D4551" t="str">
        <f t="shared" si="500"/>
        <v/>
      </c>
      <c r="E4551" t="str">
        <f>IF(F4551="","",IF(COUNTIF($F$2:F4551,F4551)&gt;1,"",SUMIFS(tbl_input[필요수량],tbl_input[집계키_센터],F4551)))</f>
        <v/>
      </c>
      <c r="F4551" t="str">
        <f>IFERROR(INDEX(tbl_input[집계키_센터],ROW()-1),"")</f>
        <v/>
      </c>
      <c r="G4551" t="str">
        <f t="shared" si="501"/>
        <v/>
      </c>
      <c r="H4551" t="str">
        <f t="shared" si="502"/>
        <v/>
      </c>
      <c r="I4551" t="str">
        <f t="shared" si="503"/>
        <v/>
      </c>
    </row>
    <row r="4552" spans="1:9" x14ac:dyDescent="0.4">
      <c r="A4552" t="str">
        <f t="shared" si="497"/>
        <v/>
      </c>
      <c r="B4552" t="str">
        <f t="shared" si="498"/>
        <v/>
      </c>
      <c r="C4552" t="str">
        <f t="shared" si="499"/>
        <v/>
      </c>
      <c r="D4552" t="str">
        <f t="shared" si="500"/>
        <v/>
      </c>
      <c r="E4552" t="str">
        <f>IF(F4552="","",IF(COUNTIF($F$2:F4552,F4552)&gt;1,"",SUMIFS(tbl_input[필요수량],tbl_input[집계키_센터],F4552)))</f>
        <v/>
      </c>
      <c r="F4552" t="str">
        <f>IFERROR(INDEX(tbl_input[집계키_센터],ROW()-1),"")</f>
        <v/>
      </c>
      <c r="G4552" t="str">
        <f t="shared" si="501"/>
        <v/>
      </c>
      <c r="H4552" t="str">
        <f t="shared" si="502"/>
        <v/>
      </c>
      <c r="I4552" t="str">
        <f t="shared" si="503"/>
        <v/>
      </c>
    </row>
    <row r="4553" spans="1:9" x14ac:dyDescent="0.4">
      <c r="A4553" t="str">
        <f t="shared" si="497"/>
        <v/>
      </c>
      <c r="B4553" t="str">
        <f t="shared" si="498"/>
        <v/>
      </c>
      <c r="C4553" t="str">
        <f t="shared" si="499"/>
        <v/>
      </c>
      <c r="D4553" t="str">
        <f t="shared" si="500"/>
        <v/>
      </c>
      <c r="E4553" t="str">
        <f>IF(F4553="","",IF(COUNTIF($F$2:F4553,F4553)&gt;1,"",SUMIFS(tbl_input[필요수량],tbl_input[집계키_센터],F4553)))</f>
        <v/>
      </c>
      <c r="F4553" t="str">
        <f>IFERROR(INDEX(tbl_input[집계키_센터],ROW()-1),"")</f>
        <v/>
      </c>
      <c r="G4553" t="str">
        <f t="shared" si="501"/>
        <v/>
      </c>
      <c r="H4553" t="str">
        <f t="shared" si="502"/>
        <v/>
      </c>
      <c r="I4553" t="str">
        <f t="shared" si="503"/>
        <v/>
      </c>
    </row>
    <row r="4554" spans="1:9" x14ac:dyDescent="0.4">
      <c r="A4554" t="str">
        <f t="shared" si="497"/>
        <v/>
      </c>
      <c r="B4554" t="str">
        <f t="shared" si="498"/>
        <v/>
      </c>
      <c r="C4554" t="str">
        <f t="shared" si="499"/>
        <v/>
      </c>
      <c r="D4554" t="str">
        <f t="shared" si="500"/>
        <v/>
      </c>
      <c r="E4554" t="str">
        <f>IF(F4554="","",IF(COUNTIF($F$2:F4554,F4554)&gt;1,"",SUMIFS(tbl_input[필요수량],tbl_input[집계키_센터],F4554)))</f>
        <v/>
      </c>
      <c r="F4554" t="str">
        <f>IFERROR(INDEX(tbl_input[집계키_센터],ROW()-1),"")</f>
        <v/>
      </c>
      <c r="G4554" t="str">
        <f t="shared" si="501"/>
        <v/>
      </c>
      <c r="H4554" t="str">
        <f t="shared" si="502"/>
        <v/>
      </c>
      <c r="I4554" t="str">
        <f t="shared" si="503"/>
        <v/>
      </c>
    </row>
    <row r="4555" spans="1:9" x14ac:dyDescent="0.4">
      <c r="A4555" t="str">
        <f t="shared" si="497"/>
        <v/>
      </c>
      <c r="B4555" t="str">
        <f t="shared" si="498"/>
        <v/>
      </c>
      <c r="C4555" t="str">
        <f t="shared" si="499"/>
        <v/>
      </c>
      <c r="D4555" t="str">
        <f t="shared" si="500"/>
        <v/>
      </c>
      <c r="E4555" t="str">
        <f>IF(F4555="","",IF(COUNTIF($F$2:F4555,F4555)&gt;1,"",SUMIFS(tbl_input[필요수량],tbl_input[집계키_센터],F4555)))</f>
        <v/>
      </c>
      <c r="F4555" t="str">
        <f>IFERROR(INDEX(tbl_input[집계키_센터],ROW()-1),"")</f>
        <v/>
      </c>
      <c r="G4555" t="str">
        <f t="shared" si="501"/>
        <v/>
      </c>
      <c r="H4555" t="str">
        <f t="shared" si="502"/>
        <v/>
      </c>
      <c r="I4555" t="str">
        <f t="shared" si="503"/>
        <v/>
      </c>
    </row>
    <row r="4556" spans="1:9" x14ac:dyDescent="0.4">
      <c r="A4556" t="str">
        <f t="shared" si="497"/>
        <v/>
      </c>
      <c r="B4556" t="str">
        <f t="shared" si="498"/>
        <v/>
      </c>
      <c r="C4556" t="str">
        <f t="shared" si="499"/>
        <v/>
      </c>
      <c r="D4556" t="str">
        <f t="shared" si="500"/>
        <v/>
      </c>
      <c r="E4556" t="str">
        <f>IF(F4556="","",IF(COUNTIF($F$2:F4556,F4556)&gt;1,"",SUMIFS(tbl_input[필요수량],tbl_input[집계키_센터],F4556)))</f>
        <v/>
      </c>
      <c r="F4556" t="str">
        <f>IFERROR(INDEX(tbl_input[집계키_센터],ROW()-1),"")</f>
        <v/>
      </c>
      <c r="G4556" t="str">
        <f t="shared" si="501"/>
        <v/>
      </c>
      <c r="H4556" t="str">
        <f t="shared" si="502"/>
        <v/>
      </c>
      <c r="I4556" t="str">
        <f t="shared" si="503"/>
        <v/>
      </c>
    </row>
    <row r="4557" spans="1:9" x14ac:dyDescent="0.4">
      <c r="A4557" t="str">
        <f t="shared" si="497"/>
        <v/>
      </c>
      <c r="B4557" t="str">
        <f t="shared" si="498"/>
        <v/>
      </c>
      <c r="C4557" t="str">
        <f t="shared" si="499"/>
        <v/>
      </c>
      <c r="D4557" t="str">
        <f t="shared" si="500"/>
        <v/>
      </c>
      <c r="E4557" t="str">
        <f>IF(F4557="","",IF(COUNTIF($F$2:F4557,F4557)&gt;1,"",SUMIFS(tbl_input[필요수량],tbl_input[집계키_센터],F4557)))</f>
        <v/>
      </c>
      <c r="F4557" t="str">
        <f>IFERROR(INDEX(tbl_input[집계키_센터],ROW()-1),"")</f>
        <v/>
      </c>
      <c r="G4557" t="str">
        <f t="shared" si="501"/>
        <v/>
      </c>
      <c r="H4557" t="str">
        <f t="shared" si="502"/>
        <v/>
      </c>
      <c r="I4557" t="str">
        <f t="shared" si="503"/>
        <v/>
      </c>
    </row>
    <row r="4558" spans="1:9" x14ac:dyDescent="0.4">
      <c r="A4558" t="str">
        <f t="shared" si="497"/>
        <v/>
      </c>
      <c r="B4558" t="str">
        <f t="shared" si="498"/>
        <v/>
      </c>
      <c r="C4558" t="str">
        <f t="shared" si="499"/>
        <v/>
      </c>
      <c r="D4558" t="str">
        <f t="shared" si="500"/>
        <v/>
      </c>
      <c r="E4558" t="str">
        <f>IF(F4558="","",IF(COUNTIF($F$2:F4558,F4558)&gt;1,"",SUMIFS(tbl_input[필요수량],tbl_input[집계키_센터],F4558)))</f>
        <v/>
      </c>
      <c r="F4558" t="str">
        <f>IFERROR(INDEX(tbl_input[집계키_센터],ROW()-1),"")</f>
        <v/>
      </c>
      <c r="G4558" t="str">
        <f t="shared" si="501"/>
        <v/>
      </c>
      <c r="H4558" t="str">
        <f t="shared" si="502"/>
        <v/>
      </c>
      <c r="I4558" t="str">
        <f t="shared" si="503"/>
        <v/>
      </c>
    </row>
    <row r="4559" spans="1:9" x14ac:dyDescent="0.4">
      <c r="A4559" t="str">
        <f t="shared" si="497"/>
        <v/>
      </c>
      <c r="B4559" t="str">
        <f t="shared" si="498"/>
        <v/>
      </c>
      <c r="C4559" t="str">
        <f t="shared" si="499"/>
        <v/>
      </c>
      <c r="D4559" t="str">
        <f t="shared" si="500"/>
        <v/>
      </c>
      <c r="E4559" t="str">
        <f>IF(F4559="","",IF(COUNTIF($F$2:F4559,F4559)&gt;1,"",SUMIFS(tbl_input[필요수량],tbl_input[집계키_센터],F4559)))</f>
        <v/>
      </c>
      <c r="F4559" t="str">
        <f>IFERROR(INDEX(tbl_input[집계키_센터],ROW()-1),"")</f>
        <v/>
      </c>
      <c r="G4559" t="str">
        <f t="shared" si="501"/>
        <v/>
      </c>
      <c r="H4559" t="str">
        <f t="shared" si="502"/>
        <v/>
      </c>
      <c r="I4559" t="str">
        <f t="shared" si="503"/>
        <v/>
      </c>
    </row>
    <row r="4560" spans="1:9" x14ac:dyDescent="0.4">
      <c r="A4560" t="str">
        <f t="shared" si="497"/>
        <v/>
      </c>
      <c r="B4560" t="str">
        <f t="shared" si="498"/>
        <v/>
      </c>
      <c r="C4560" t="str">
        <f t="shared" si="499"/>
        <v/>
      </c>
      <c r="D4560" t="str">
        <f t="shared" si="500"/>
        <v/>
      </c>
      <c r="E4560" t="str">
        <f>IF(F4560="","",IF(COUNTIF($F$2:F4560,F4560)&gt;1,"",SUMIFS(tbl_input[필요수량],tbl_input[집계키_센터],F4560)))</f>
        <v/>
      </c>
      <c r="F4560" t="str">
        <f>IFERROR(INDEX(tbl_input[집계키_센터],ROW()-1),"")</f>
        <v/>
      </c>
      <c r="G4560" t="str">
        <f t="shared" si="501"/>
        <v/>
      </c>
      <c r="H4560" t="str">
        <f t="shared" si="502"/>
        <v/>
      </c>
      <c r="I4560" t="str">
        <f t="shared" si="503"/>
        <v/>
      </c>
    </row>
    <row r="4561" spans="1:9" x14ac:dyDescent="0.4">
      <c r="A4561" t="str">
        <f t="shared" si="497"/>
        <v/>
      </c>
      <c r="B4561" t="str">
        <f t="shared" si="498"/>
        <v/>
      </c>
      <c r="C4561" t="str">
        <f t="shared" si="499"/>
        <v/>
      </c>
      <c r="D4561" t="str">
        <f t="shared" si="500"/>
        <v/>
      </c>
      <c r="E4561" t="str">
        <f>IF(F4561="","",IF(COUNTIF($F$2:F4561,F4561)&gt;1,"",SUMIFS(tbl_input[필요수량],tbl_input[집계키_센터],F4561)))</f>
        <v/>
      </c>
      <c r="F4561" t="str">
        <f>IFERROR(INDEX(tbl_input[집계키_센터],ROW()-1),"")</f>
        <v/>
      </c>
      <c r="G4561" t="str">
        <f t="shared" si="501"/>
        <v/>
      </c>
      <c r="H4561" t="str">
        <f t="shared" si="502"/>
        <v/>
      </c>
      <c r="I4561" t="str">
        <f t="shared" si="503"/>
        <v/>
      </c>
    </row>
    <row r="4562" spans="1:9" x14ac:dyDescent="0.4">
      <c r="A4562" t="str">
        <f t="shared" si="497"/>
        <v/>
      </c>
      <c r="B4562" t="str">
        <f t="shared" si="498"/>
        <v/>
      </c>
      <c r="C4562" t="str">
        <f t="shared" si="499"/>
        <v/>
      </c>
      <c r="D4562" t="str">
        <f t="shared" si="500"/>
        <v/>
      </c>
      <c r="E4562" t="str">
        <f>IF(F4562="","",IF(COUNTIF($F$2:F4562,F4562)&gt;1,"",SUMIFS(tbl_input[필요수량],tbl_input[집계키_센터],F4562)))</f>
        <v/>
      </c>
      <c r="F4562" t="str">
        <f>IFERROR(INDEX(tbl_input[집계키_센터],ROW()-1),"")</f>
        <v/>
      </c>
      <c r="G4562" t="str">
        <f t="shared" si="501"/>
        <v/>
      </c>
      <c r="H4562" t="str">
        <f t="shared" si="502"/>
        <v/>
      </c>
      <c r="I4562" t="str">
        <f t="shared" si="503"/>
        <v/>
      </c>
    </row>
    <row r="4563" spans="1:9" x14ac:dyDescent="0.4">
      <c r="A4563" t="str">
        <f t="shared" si="497"/>
        <v/>
      </c>
      <c r="B4563" t="str">
        <f t="shared" si="498"/>
        <v/>
      </c>
      <c r="C4563" t="str">
        <f t="shared" si="499"/>
        <v/>
      </c>
      <c r="D4563" t="str">
        <f t="shared" si="500"/>
        <v/>
      </c>
      <c r="E4563" t="str">
        <f>IF(F4563="","",IF(COUNTIF($F$2:F4563,F4563)&gt;1,"",SUMIFS(tbl_input[필요수량],tbl_input[집계키_센터],F4563)))</f>
        <v/>
      </c>
      <c r="F4563" t="str">
        <f>IFERROR(INDEX(tbl_input[집계키_센터],ROW()-1),"")</f>
        <v/>
      </c>
      <c r="G4563" t="str">
        <f t="shared" si="501"/>
        <v/>
      </c>
      <c r="H4563" t="str">
        <f t="shared" si="502"/>
        <v/>
      </c>
      <c r="I4563" t="str">
        <f t="shared" si="503"/>
        <v/>
      </c>
    </row>
    <row r="4564" spans="1:9" x14ac:dyDescent="0.4">
      <c r="A4564" t="str">
        <f t="shared" si="497"/>
        <v/>
      </c>
      <c r="B4564" t="str">
        <f t="shared" si="498"/>
        <v/>
      </c>
      <c r="C4564" t="str">
        <f t="shared" si="499"/>
        <v/>
      </c>
      <c r="D4564" t="str">
        <f t="shared" si="500"/>
        <v/>
      </c>
      <c r="E4564" t="str">
        <f>IF(F4564="","",IF(COUNTIF($F$2:F4564,F4564)&gt;1,"",SUMIFS(tbl_input[필요수량],tbl_input[집계키_센터],F4564)))</f>
        <v/>
      </c>
      <c r="F4564" t="str">
        <f>IFERROR(INDEX(tbl_input[집계키_센터],ROW()-1),"")</f>
        <v/>
      </c>
      <c r="G4564" t="str">
        <f t="shared" si="501"/>
        <v/>
      </c>
      <c r="H4564" t="str">
        <f t="shared" si="502"/>
        <v/>
      </c>
      <c r="I4564" t="str">
        <f t="shared" si="503"/>
        <v/>
      </c>
    </row>
    <row r="4565" spans="1:9" x14ac:dyDescent="0.4">
      <c r="A4565" t="str">
        <f t="shared" si="497"/>
        <v/>
      </c>
      <c r="B4565" t="str">
        <f t="shared" si="498"/>
        <v/>
      </c>
      <c r="C4565" t="str">
        <f t="shared" si="499"/>
        <v/>
      </c>
      <c r="D4565" t="str">
        <f t="shared" si="500"/>
        <v/>
      </c>
      <c r="E4565" t="str">
        <f>IF(F4565="","",IF(COUNTIF($F$2:F4565,F4565)&gt;1,"",SUMIFS(tbl_input[필요수량],tbl_input[집계키_센터],F4565)))</f>
        <v/>
      </c>
      <c r="F4565" t="str">
        <f>IFERROR(INDEX(tbl_input[집계키_센터],ROW()-1),"")</f>
        <v/>
      </c>
      <c r="G4565" t="str">
        <f t="shared" si="501"/>
        <v/>
      </c>
      <c r="H4565" t="str">
        <f t="shared" si="502"/>
        <v/>
      </c>
      <c r="I4565" t="str">
        <f t="shared" si="503"/>
        <v/>
      </c>
    </row>
    <row r="4566" spans="1:9" x14ac:dyDescent="0.4">
      <c r="A4566" t="str">
        <f t="shared" si="497"/>
        <v/>
      </c>
      <c r="B4566" t="str">
        <f t="shared" si="498"/>
        <v/>
      </c>
      <c r="C4566" t="str">
        <f t="shared" si="499"/>
        <v/>
      </c>
      <c r="D4566" t="str">
        <f t="shared" si="500"/>
        <v/>
      </c>
      <c r="E4566" t="str">
        <f>IF(F4566="","",IF(COUNTIF($F$2:F4566,F4566)&gt;1,"",SUMIFS(tbl_input[필요수량],tbl_input[집계키_센터],F4566)))</f>
        <v/>
      </c>
      <c r="F4566" t="str">
        <f>IFERROR(INDEX(tbl_input[집계키_센터],ROW()-1),"")</f>
        <v/>
      </c>
      <c r="G4566" t="str">
        <f t="shared" si="501"/>
        <v/>
      </c>
      <c r="H4566" t="str">
        <f t="shared" si="502"/>
        <v/>
      </c>
      <c r="I4566" t="str">
        <f t="shared" si="503"/>
        <v/>
      </c>
    </row>
    <row r="4567" spans="1:9" x14ac:dyDescent="0.4">
      <c r="A4567" t="str">
        <f t="shared" si="497"/>
        <v/>
      </c>
      <c r="B4567" t="str">
        <f t="shared" si="498"/>
        <v/>
      </c>
      <c r="C4567" t="str">
        <f t="shared" si="499"/>
        <v/>
      </c>
      <c r="D4567" t="str">
        <f t="shared" si="500"/>
        <v/>
      </c>
      <c r="E4567" t="str">
        <f>IF(F4567="","",IF(COUNTIF($F$2:F4567,F4567)&gt;1,"",SUMIFS(tbl_input[필요수량],tbl_input[집계키_센터],F4567)))</f>
        <v/>
      </c>
      <c r="F4567" t="str">
        <f>IFERROR(INDEX(tbl_input[집계키_센터],ROW()-1),"")</f>
        <v/>
      </c>
      <c r="G4567" t="str">
        <f t="shared" si="501"/>
        <v/>
      </c>
      <c r="H4567" t="str">
        <f t="shared" si="502"/>
        <v/>
      </c>
      <c r="I4567" t="str">
        <f t="shared" si="503"/>
        <v/>
      </c>
    </row>
    <row r="4568" spans="1:9" x14ac:dyDescent="0.4">
      <c r="A4568" t="str">
        <f t="shared" si="497"/>
        <v/>
      </c>
      <c r="B4568" t="str">
        <f t="shared" si="498"/>
        <v/>
      </c>
      <c r="C4568" t="str">
        <f t="shared" si="499"/>
        <v/>
      </c>
      <c r="D4568" t="str">
        <f t="shared" si="500"/>
        <v/>
      </c>
      <c r="E4568" t="str">
        <f>IF(F4568="","",IF(COUNTIF($F$2:F4568,F4568)&gt;1,"",SUMIFS(tbl_input[필요수량],tbl_input[집계키_센터],F4568)))</f>
        <v/>
      </c>
      <c r="F4568" t="str">
        <f>IFERROR(INDEX(tbl_input[집계키_센터],ROW()-1),"")</f>
        <v/>
      </c>
      <c r="G4568" t="str">
        <f t="shared" si="501"/>
        <v/>
      </c>
      <c r="H4568" t="str">
        <f t="shared" si="502"/>
        <v/>
      </c>
      <c r="I4568" t="str">
        <f t="shared" si="503"/>
        <v/>
      </c>
    </row>
    <row r="4569" spans="1:9" x14ac:dyDescent="0.4">
      <c r="A4569" t="str">
        <f t="shared" si="497"/>
        <v/>
      </c>
      <c r="B4569" t="str">
        <f t="shared" si="498"/>
        <v/>
      </c>
      <c r="C4569" t="str">
        <f t="shared" si="499"/>
        <v/>
      </c>
      <c r="D4569" t="str">
        <f t="shared" si="500"/>
        <v/>
      </c>
      <c r="E4569" t="str">
        <f>IF(F4569="","",IF(COUNTIF($F$2:F4569,F4569)&gt;1,"",SUMIFS(tbl_input[필요수량],tbl_input[집계키_센터],F4569)))</f>
        <v/>
      </c>
      <c r="F4569" t="str">
        <f>IFERROR(INDEX(tbl_input[집계키_센터],ROW()-1),"")</f>
        <v/>
      </c>
      <c r="G4569" t="str">
        <f t="shared" si="501"/>
        <v/>
      </c>
      <c r="H4569" t="str">
        <f t="shared" si="502"/>
        <v/>
      </c>
      <c r="I4569" t="str">
        <f t="shared" si="503"/>
        <v/>
      </c>
    </row>
    <row r="4570" spans="1:9" x14ac:dyDescent="0.4">
      <c r="A4570" t="str">
        <f t="shared" si="497"/>
        <v/>
      </c>
      <c r="B4570" t="str">
        <f t="shared" si="498"/>
        <v/>
      </c>
      <c r="C4570" t="str">
        <f t="shared" si="499"/>
        <v/>
      </c>
      <c r="D4570" t="str">
        <f t="shared" si="500"/>
        <v/>
      </c>
      <c r="E4570" t="str">
        <f>IF(F4570="","",IF(COUNTIF($F$2:F4570,F4570)&gt;1,"",SUMIFS(tbl_input[필요수량],tbl_input[집계키_센터],F4570)))</f>
        <v/>
      </c>
      <c r="F4570" t="str">
        <f>IFERROR(INDEX(tbl_input[집계키_센터],ROW()-1),"")</f>
        <v/>
      </c>
      <c r="G4570" t="str">
        <f t="shared" si="501"/>
        <v/>
      </c>
      <c r="H4570" t="str">
        <f t="shared" si="502"/>
        <v/>
      </c>
      <c r="I4570" t="str">
        <f t="shared" si="503"/>
        <v/>
      </c>
    </row>
    <row r="4571" spans="1:9" x14ac:dyDescent="0.4">
      <c r="A4571" t="str">
        <f t="shared" si="497"/>
        <v/>
      </c>
      <c r="B4571" t="str">
        <f t="shared" si="498"/>
        <v/>
      </c>
      <c r="C4571" t="str">
        <f t="shared" si="499"/>
        <v/>
      </c>
      <c r="D4571" t="str">
        <f t="shared" si="500"/>
        <v/>
      </c>
      <c r="E4571" t="str">
        <f>IF(F4571="","",IF(COUNTIF($F$2:F4571,F4571)&gt;1,"",SUMIFS(tbl_input[필요수량],tbl_input[집계키_센터],F4571)))</f>
        <v/>
      </c>
      <c r="F4571" t="str">
        <f>IFERROR(INDEX(tbl_input[집계키_센터],ROW()-1),"")</f>
        <v/>
      </c>
      <c r="G4571" t="str">
        <f t="shared" si="501"/>
        <v/>
      </c>
      <c r="H4571" t="str">
        <f t="shared" si="502"/>
        <v/>
      </c>
      <c r="I4571" t="str">
        <f t="shared" si="503"/>
        <v/>
      </c>
    </row>
    <row r="4572" spans="1:9" x14ac:dyDescent="0.4">
      <c r="A4572" t="str">
        <f t="shared" si="497"/>
        <v/>
      </c>
      <c r="B4572" t="str">
        <f t="shared" si="498"/>
        <v/>
      </c>
      <c r="C4572" t="str">
        <f t="shared" si="499"/>
        <v/>
      </c>
      <c r="D4572" t="str">
        <f t="shared" si="500"/>
        <v/>
      </c>
      <c r="E4572" t="str">
        <f>IF(F4572="","",IF(COUNTIF($F$2:F4572,F4572)&gt;1,"",SUMIFS(tbl_input[필요수량],tbl_input[집계키_센터],F4572)))</f>
        <v/>
      </c>
      <c r="F4572" t="str">
        <f>IFERROR(INDEX(tbl_input[집계키_센터],ROW()-1),"")</f>
        <v/>
      </c>
      <c r="G4572" t="str">
        <f t="shared" si="501"/>
        <v/>
      </c>
      <c r="H4572" t="str">
        <f t="shared" si="502"/>
        <v/>
      </c>
      <c r="I4572" t="str">
        <f t="shared" si="503"/>
        <v/>
      </c>
    </row>
    <row r="4573" spans="1:9" x14ac:dyDescent="0.4">
      <c r="A4573" t="str">
        <f t="shared" si="497"/>
        <v/>
      </c>
      <c r="B4573" t="str">
        <f t="shared" si="498"/>
        <v/>
      </c>
      <c r="C4573" t="str">
        <f t="shared" si="499"/>
        <v/>
      </c>
      <c r="D4573" t="str">
        <f t="shared" si="500"/>
        <v/>
      </c>
      <c r="E4573" t="str">
        <f>IF(F4573="","",IF(COUNTIF($F$2:F4573,F4573)&gt;1,"",SUMIFS(tbl_input[필요수량],tbl_input[집계키_센터],F4573)))</f>
        <v/>
      </c>
      <c r="F4573" t="str">
        <f>IFERROR(INDEX(tbl_input[집계키_센터],ROW()-1),"")</f>
        <v/>
      </c>
      <c r="G4573" t="str">
        <f t="shared" si="501"/>
        <v/>
      </c>
      <c r="H4573" t="str">
        <f t="shared" si="502"/>
        <v/>
      </c>
      <c r="I4573" t="str">
        <f t="shared" si="503"/>
        <v/>
      </c>
    </row>
    <row r="4574" spans="1:9" x14ac:dyDescent="0.4">
      <c r="A4574" t="str">
        <f t="shared" si="497"/>
        <v/>
      </c>
      <c r="B4574" t="str">
        <f t="shared" si="498"/>
        <v/>
      </c>
      <c r="C4574" t="str">
        <f t="shared" si="499"/>
        <v/>
      </c>
      <c r="D4574" t="str">
        <f t="shared" si="500"/>
        <v/>
      </c>
      <c r="E4574" t="str">
        <f>IF(F4574="","",IF(COUNTIF($F$2:F4574,F4574)&gt;1,"",SUMIFS(tbl_input[필요수량],tbl_input[집계키_센터],F4574)))</f>
        <v/>
      </c>
      <c r="F4574" t="str">
        <f>IFERROR(INDEX(tbl_input[집계키_센터],ROW()-1),"")</f>
        <v/>
      </c>
      <c r="G4574" t="str">
        <f t="shared" si="501"/>
        <v/>
      </c>
      <c r="H4574" t="str">
        <f t="shared" si="502"/>
        <v/>
      </c>
      <c r="I4574" t="str">
        <f t="shared" si="503"/>
        <v/>
      </c>
    </row>
    <row r="4575" spans="1:9" x14ac:dyDescent="0.4">
      <c r="A4575" t="str">
        <f t="shared" si="497"/>
        <v/>
      </c>
      <c r="B4575" t="str">
        <f t="shared" si="498"/>
        <v/>
      </c>
      <c r="C4575" t="str">
        <f t="shared" si="499"/>
        <v/>
      </c>
      <c r="D4575" t="str">
        <f t="shared" si="500"/>
        <v/>
      </c>
      <c r="E4575" t="str">
        <f>IF(F4575="","",IF(COUNTIF($F$2:F4575,F4575)&gt;1,"",SUMIFS(tbl_input[필요수량],tbl_input[집계키_센터],F4575)))</f>
        <v/>
      </c>
      <c r="F4575" t="str">
        <f>IFERROR(INDEX(tbl_input[집계키_센터],ROW()-1),"")</f>
        <v/>
      </c>
      <c r="G4575" t="str">
        <f t="shared" si="501"/>
        <v/>
      </c>
      <c r="H4575" t="str">
        <f t="shared" si="502"/>
        <v/>
      </c>
      <c r="I4575" t="str">
        <f t="shared" si="503"/>
        <v/>
      </c>
    </row>
    <row r="4576" spans="1:9" x14ac:dyDescent="0.4">
      <c r="A4576" t="str">
        <f t="shared" si="497"/>
        <v/>
      </c>
      <c r="B4576" t="str">
        <f t="shared" si="498"/>
        <v/>
      </c>
      <c r="C4576" t="str">
        <f t="shared" si="499"/>
        <v/>
      </c>
      <c r="D4576" t="str">
        <f t="shared" si="500"/>
        <v/>
      </c>
      <c r="E4576" t="str">
        <f>IF(F4576="","",IF(COUNTIF($F$2:F4576,F4576)&gt;1,"",SUMIFS(tbl_input[필요수량],tbl_input[집계키_센터],F4576)))</f>
        <v/>
      </c>
      <c r="F4576" t="str">
        <f>IFERROR(INDEX(tbl_input[집계키_센터],ROW()-1),"")</f>
        <v/>
      </c>
      <c r="G4576" t="str">
        <f t="shared" si="501"/>
        <v/>
      </c>
      <c r="H4576" t="str">
        <f t="shared" si="502"/>
        <v/>
      </c>
      <c r="I4576" t="str">
        <f t="shared" si="503"/>
        <v/>
      </c>
    </row>
    <row r="4577" spans="1:9" x14ac:dyDescent="0.4">
      <c r="A4577" t="str">
        <f t="shared" si="497"/>
        <v/>
      </c>
      <c r="B4577" t="str">
        <f t="shared" si="498"/>
        <v/>
      </c>
      <c r="C4577" t="str">
        <f t="shared" si="499"/>
        <v/>
      </c>
      <c r="D4577" t="str">
        <f t="shared" si="500"/>
        <v/>
      </c>
      <c r="E4577" t="str">
        <f>IF(F4577="","",IF(COUNTIF($F$2:F4577,F4577)&gt;1,"",SUMIFS(tbl_input[필요수량],tbl_input[집계키_센터],F4577)))</f>
        <v/>
      </c>
      <c r="F4577" t="str">
        <f>IFERROR(INDEX(tbl_input[집계키_센터],ROW()-1),"")</f>
        <v/>
      </c>
      <c r="G4577" t="str">
        <f t="shared" si="501"/>
        <v/>
      </c>
      <c r="H4577" t="str">
        <f t="shared" si="502"/>
        <v/>
      </c>
      <c r="I4577" t="str">
        <f t="shared" si="503"/>
        <v/>
      </c>
    </row>
    <row r="4578" spans="1:9" x14ac:dyDescent="0.4">
      <c r="A4578" t="str">
        <f t="shared" si="497"/>
        <v/>
      </c>
      <c r="B4578" t="str">
        <f t="shared" si="498"/>
        <v/>
      </c>
      <c r="C4578" t="str">
        <f t="shared" si="499"/>
        <v/>
      </c>
      <c r="D4578" t="str">
        <f t="shared" si="500"/>
        <v/>
      </c>
      <c r="E4578" t="str">
        <f>IF(F4578="","",IF(COUNTIF($F$2:F4578,F4578)&gt;1,"",SUMIFS(tbl_input[필요수량],tbl_input[집계키_센터],F4578)))</f>
        <v/>
      </c>
      <c r="F4578" t="str">
        <f>IFERROR(INDEX(tbl_input[집계키_센터],ROW()-1),"")</f>
        <v/>
      </c>
      <c r="G4578" t="str">
        <f t="shared" si="501"/>
        <v/>
      </c>
      <c r="H4578" t="str">
        <f t="shared" si="502"/>
        <v/>
      </c>
      <c r="I4578" t="str">
        <f t="shared" si="503"/>
        <v/>
      </c>
    </row>
    <row r="4579" spans="1:9" x14ac:dyDescent="0.4">
      <c r="A4579" t="str">
        <f t="shared" si="497"/>
        <v/>
      </c>
      <c r="B4579" t="str">
        <f t="shared" si="498"/>
        <v/>
      </c>
      <c r="C4579" t="str">
        <f t="shared" si="499"/>
        <v/>
      </c>
      <c r="D4579" t="str">
        <f t="shared" si="500"/>
        <v/>
      </c>
      <c r="E4579" t="str">
        <f>IF(F4579="","",IF(COUNTIF($F$2:F4579,F4579)&gt;1,"",SUMIFS(tbl_input[필요수량],tbl_input[집계키_센터],F4579)))</f>
        <v/>
      </c>
      <c r="F4579" t="str">
        <f>IFERROR(INDEX(tbl_input[집계키_센터],ROW()-1),"")</f>
        <v/>
      </c>
      <c r="G4579" t="str">
        <f t="shared" si="501"/>
        <v/>
      </c>
      <c r="H4579" t="str">
        <f t="shared" si="502"/>
        <v/>
      </c>
      <c r="I4579" t="str">
        <f t="shared" si="503"/>
        <v/>
      </c>
    </row>
    <row r="4580" spans="1:9" x14ac:dyDescent="0.4">
      <c r="A4580" t="str">
        <f t="shared" si="497"/>
        <v/>
      </c>
      <c r="B4580" t="str">
        <f t="shared" si="498"/>
        <v/>
      </c>
      <c r="C4580" t="str">
        <f t="shared" si="499"/>
        <v/>
      </c>
      <c r="D4580" t="str">
        <f t="shared" si="500"/>
        <v/>
      </c>
      <c r="E4580" t="str">
        <f>IF(F4580="","",IF(COUNTIF($F$2:F4580,F4580)&gt;1,"",SUMIFS(tbl_input[필요수량],tbl_input[집계키_센터],F4580)))</f>
        <v/>
      </c>
      <c r="F4580" t="str">
        <f>IFERROR(INDEX(tbl_input[집계키_센터],ROW()-1),"")</f>
        <v/>
      </c>
      <c r="G4580" t="str">
        <f t="shared" si="501"/>
        <v/>
      </c>
      <c r="H4580" t="str">
        <f t="shared" si="502"/>
        <v/>
      </c>
      <c r="I4580" t="str">
        <f t="shared" si="503"/>
        <v/>
      </c>
    </row>
    <row r="4581" spans="1:9" x14ac:dyDescent="0.4">
      <c r="A4581" t="str">
        <f t="shared" si="497"/>
        <v/>
      </c>
      <c r="B4581" t="str">
        <f t="shared" si="498"/>
        <v/>
      </c>
      <c r="C4581" t="str">
        <f t="shared" si="499"/>
        <v/>
      </c>
      <c r="D4581" t="str">
        <f t="shared" si="500"/>
        <v/>
      </c>
      <c r="E4581" t="str">
        <f>IF(F4581="","",IF(COUNTIF($F$2:F4581,F4581)&gt;1,"",SUMIFS(tbl_input[필요수량],tbl_input[집계키_센터],F4581)))</f>
        <v/>
      </c>
      <c r="F4581" t="str">
        <f>IFERROR(INDEX(tbl_input[집계키_센터],ROW()-1),"")</f>
        <v/>
      </c>
      <c r="G4581" t="str">
        <f t="shared" si="501"/>
        <v/>
      </c>
      <c r="H4581" t="str">
        <f t="shared" si="502"/>
        <v/>
      </c>
      <c r="I4581" t="str">
        <f t="shared" si="503"/>
        <v/>
      </c>
    </row>
    <row r="4582" spans="1:9" x14ac:dyDescent="0.4">
      <c r="A4582" t="str">
        <f t="shared" si="497"/>
        <v/>
      </c>
      <c r="B4582" t="str">
        <f t="shared" si="498"/>
        <v/>
      </c>
      <c r="C4582" t="str">
        <f t="shared" si="499"/>
        <v/>
      </c>
      <c r="D4582" t="str">
        <f t="shared" si="500"/>
        <v/>
      </c>
      <c r="E4582" t="str">
        <f>IF(F4582="","",IF(COUNTIF($F$2:F4582,F4582)&gt;1,"",SUMIFS(tbl_input[필요수량],tbl_input[집계키_센터],F4582)))</f>
        <v/>
      </c>
      <c r="F4582" t="str">
        <f>IFERROR(INDEX(tbl_input[집계키_센터],ROW()-1),"")</f>
        <v/>
      </c>
      <c r="G4582" t="str">
        <f t="shared" si="501"/>
        <v/>
      </c>
      <c r="H4582" t="str">
        <f t="shared" si="502"/>
        <v/>
      </c>
      <c r="I4582" t="str">
        <f t="shared" si="503"/>
        <v/>
      </c>
    </row>
    <row r="4583" spans="1:9" x14ac:dyDescent="0.4">
      <c r="A4583" t="str">
        <f t="shared" si="497"/>
        <v/>
      </c>
      <c r="B4583" t="str">
        <f t="shared" si="498"/>
        <v/>
      </c>
      <c r="C4583" t="str">
        <f t="shared" si="499"/>
        <v/>
      </c>
      <c r="D4583" t="str">
        <f t="shared" si="500"/>
        <v/>
      </c>
      <c r="E4583" t="str">
        <f>IF(F4583="","",IF(COUNTIF($F$2:F4583,F4583)&gt;1,"",SUMIFS(tbl_input[필요수량],tbl_input[집계키_센터],F4583)))</f>
        <v/>
      </c>
      <c r="F4583" t="str">
        <f>IFERROR(INDEX(tbl_input[집계키_센터],ROW()-1),"")</f>
        <v/>
      </c>
      <c r="G4583" t="str">
        <f t="shared" si="501"/>
        <v/>
      </c>
      <c r="H4583" t="str">
        <f t="shared" si="502"/>
        <v/>
      </c>
      <c r="I4583" t="str">
        <f t="shared" si="503"/>
        <v/>
      </c>
    </row>
    <row r="4584" spans="1:9" x14ac:dyDescent="0.4">
      <c r="A4584" t="str">
        <f t="shared" si="497"/>
        <v/>
      </c>
      <c r="B4584" t="str">
        <f t="shared" si="498"/>
        <v/>
      </c>
      <c r="C4584" t="str">
        <f t="shared" si="499"/>
        <v/>
      </c>
      <c r="D4584" t="str">
        <f t="shared" si="500"/>
        <v/>
      </c>
      <c r="E4584" t="str">
        <f>IF(F4584="","",IF(COUNTIF($F$2:F4584,F4584)&gt;1,"",SUMIFS(tbl_input[필요수량],tbl_input[집계키_센터],F4584)))</f>
        <v/>
      </c>
      <c r="F4584" t="str">
        <f>IFERROR(INDEX(tbl_input[집계키_센터],ROW()-1),"")</f>
        <v/>
      </c>
      <c r="G4584" t="str">
        <f t="shared" si="501"/>
        <v/>
      </c>
      <c r="H4584" t="str">
        <f t="shared" si="502"/>
        <v/>
      </c>
      <c r="I4584" t="str">
        <f t="shared" si="503"/>
        <v/>
      </c>
    </row>
    <row r="4585" spans="1:9" x14ac:dyDescent="0.4">
      <c r="A4585" t="str">
        <f t="shared" si="497"/>
        <v/>
      </c>
      <c r="B4585" t="str">
        <f t="shared" si="498"/>
        <v/>
      </c>
      <c r="C4585" t="str">
        <f t="shared" si="499"/>
        <v/>
      </c>
      <c r="D4585" t="str">
        <f t="shared" si="500"/>
        <v/>
      </c>
      <c r="E4585" t="str">
        <f>IF(F4585="","",IF(COUNTIF($F$2:F4585,F4585)&gt;1,"",SUMIFS(tbl_input[필요수량],tbl_input[집계키_센터],F4585)))</f>
        <v/>
      </c>
      <c r="F4585" t="str">
        <f>IFERROR(INDEX(tbl_input[집계키_센터],ROW()-1),"")</f>
        <v/>
      </c>
      <c r="G4585" t="str">
        <f t="shared" si="501"/>
        <v/>
      </c>
      <c r="H4585" t="str">
        <f t="shared" si="502"/>
        <v/>
      </c>
      <c r="I4585" t="str">
        <f t="shared" si="503"/>
        <v/>
      </c>
    </row>
    <row r="4586" spans="1:9" x14ac:dyDescent="0.4">
      <c r="A4586" t="str">
        <f t="shared" si="497"/>
        <v/>
      </c>
      <c r="B4586" t="str">
        <f t="shared" si="498"/>
        <v/>
      </c>
      <c r="C4586" t="str">
        <f t="shared" si="499"/>
        <v/>
      </c>
      <c r="D4586" t="str">
        <f t="shared" si="500"/>
        <v/>
      </c>
      <c r="E4586" t="str">
        <f>IF(F4586="","",IF(COUNTIF($F$2:F4586,F4586)&gt;1,"",SUMIFS(tbl_input[필요수량],tbl_input[집계키_센터],F4586)))</f>
        <v/>
      </c>
      <c r="F4586" t="str">
        <f>IFERROR(INDEX(tbl_input[집계키_센터],ROW()-1),"")</f>
        <v/>
      </c>
      <c r="G4586" t="str">
        <f t="shared" si="501"/>
        <v/>
      </c>
      <c r="H4586" t="str">
        <f t="shared" si="502"/>
        <v/>
      </c>
      <c r="I4586" t="str">
        <f t="shared" si="503"/>
        <v/>
      </c>
    </row>
    <row r="4587" spans="1:9" x14ac:dyDescent="0.4">
      <c r="A4587" t="str">
        <f t="shared" si="497"/>
        <v/>
      </c>
      <c r="B4587" t="str">
        <f t="shared" si="498"/>
        <v/>
      </c>
      <c r="C4587" t="str">
        <f t="shared" si="499"/>
        <v/>
      </c>
      <c r="D4587" t="str">
        <f t="shared" si="500"/>
        <v/>
      </c>
      <c r="E4587" t="str">
        <f>IF(F4587="","",IF(COUNTIF($F$2:F4587,F4587)&gt;1,"",SUMIFS(tbl_input[필요수량],tbl_input[집계키_센터],F4587)))</f>
        <v/>
      </c>
      <c r="F4587" t="str">
        <f>IFERROR(INDEX(tbl_input[집계키_센터],ROW()-1),"")</f>
        <v/>
      </c>
      <c r="G4587" t="str">
        <f t="shared" si="501"/>
        <v/>
      </c>
      <c r="H4587" t="str">
        <f t="shared" si="502"/>
        <v/>
      </c>
      <c r="I4587" t="str">
        <f t="shared" si="503"/>
        <v/>
      </c>
    </row>
    <row r="4588" spans="1:9" x14ac:dyDescent="0.4">
      <c r="A4588" t="str">
        <f t="shared" si="497"/>
        <v/>
      </c>
      <c r="B4588" t="str">
        <f t="shared" si="498"/>
        <v/>
      </c>
      <c r="C4588" t="str">
        <f t="shared" si="499"/>
        <v/>
      </c>
      <c r="D4588" t="str">
        <f t="shared" si="500"/>
        <v/>
      </c>
      <c r="E4588" t="str">
        <f>IF(F4588="","",IF(COUNTIF($F$2:F4588,F4588)&gt;1,"",SUMIFS(tbl_input[필요수량],tbl_input[집계키_센터],F4588)))</f>
        <v/>
      </c>
      <c r="F4588" t="str">
        <f>IFERROR(INDEX(tbl_input[집계키_센터],ROW()-1),"")</f>
        <v/>
      </c>
      <c r="G4588" t="str">
        <f t="shared" si="501"/>
        <v/>
      </c>
      <c r="H4588" t="str">
        <f t="shared" si="502"/>
        <v/>
      </c>
      <c r="I4588" t="str">
        <f t="shared" si="503"/>
        <v/>
      </c>
    </row>
    <row r="4589" spans="1:9" x14ac:dyDescent="0.4">
      <c r="A4589" t="str">
        <f t="shared" si="497"/>
        <v/>
      </c>
      <c r="B4589" t="str">
        <f t="shared" si="498"/>
        <v/>
      </c>
      <c r="C4589" t="str">
        <f t="shared" si="499"/>
        <v/>
      </c>
      <c r="D4589" t="str">
        <f t="shared" si="500"/>
        <v/>
      </c>
      <c r="E4589" t="str">
        <f>IF(F4589="","",IF(COUNTIF($F$2:F4589,F4589)&gt;1,"",SUMIFS(tbl_input[필요수량],tbl_input[집계키_센터],F4589)))</f>
        <v/>
      </c>
      <c r="F4589" t="str">
        <f>IFERROR(INDEX(tbl_input[집계키_센터],ROW()-1),"")</f>
        <v/>
      </c>
      <c r="G4589" t="str">
        <f t="shared" si="501"/>
        <v/>
      </c>
      <c r="H4589" t="str">
        <f t="shared" si="502"/>
        <v/>
      </c>
      <c r="I4589" t="str">
        <f t="shared" si="503"/>
        <v/>
      </c>
    </row>
    <row r="4590" spans="1:9" x14ac:dyDescent="0.4">
      <c r="A4590" t="str">
        <f t="shared" si="497"/>
        <v/>
      </c>
      <c r="B4590" t="str">
        <f t="shared" si="498"/>
        <v/>
      </c>
      <c r="C4590" t="str">
        <f t="shared" si="499"/>
        <v/>
      </c>
      <c r="D4590" t="str">
        <f t="shared" si="500"/>
        <v/>
      </c>
      <c r="E4590" t="str">
        <f>IF(F4590="","",IF(COUNTIF($F$2:F4590,F4590)&gt;1,"",SUMIFS(tbl_input[필요수량],tbl_input[집계키_센터],F4590)))</f>
        <v/>
      </c>
      <c r="F4590" t="str">
        <f>IFERROR(INDEX(tbl_input[집계키_센터],ROW()-1),"")</f>
        <v/>
      </c>
      <c r="G4590" t="str">
        <f t="shared" si="501"/>
        <v/>
      </c>
      <c r="H4590" t="str">
        <f t="shared" si="502"/>
        <v/>
      </c>
      <c r="I4590" t="str">
        <f t="shared" si="503"/>
        <v/>
      </c>
    </row>
    <row r="4591" spans="1:9" x14ac:dyDescent="0.4">
      <c r="A4591" t="str">
        <f t="shared" si="497"/>
        <v/>
      </c>
      <c r="B4591" t="str">
        <f t="shared" si="498"/>
        <v/>
      </c>
      <c r="C4591" t="str">
        <f t="shared" si="499"/>
        <v/>
      </c>
      <c r="D4591" t="str">
        <f t="shared" si="500"/>
        <v/>
      </c>
      <c r="E4591" t="str">
        <f>IF(F4591="","",IF(COUNTIF($F$2:F4591,F4591)&gt;1,"",SUMIFS(tbl_input[필요수량],tbl_input[집계키_센터],F4591)))</f>
        <v/>
      </c>
      <c r="F4591" t="str">
        <f>IFERROR(INDEX(tbl_input[집계키_센터],ROW()-1),"")</f>
        <v/>
      </c>
      <c r="G4591" t="str">
        <f t="shared" si="501"/>
        <v/>
      </c>
      <c r="H4591" t="str">
        <f t="shared" si="502"/>
        <v/>
      </c>
      <c r="I4591" t="str">
        <f t="shared" si="503"/>
        <v/>
      </c>
    </row>
    <row r="4592" spans="1:9" x14ac:dyDescent="0.4">
      <c r="A4592" t="str">
        <f t="shared" si="497"/>
        <v/>
      </c>
      <c r="B4592" t="str">
        <f t="shared" si="498"/>
        <v/>
      </c>
      <c r="C4592" t="str">
        <f t="shared" si="499"/>
        <v/>
      </c>
      <c r="D4592" t="str">
        <f t="shared" si="500"/>
        <v/>
      </c>
      <c r="E4592" t="str">
        <f>IF(F4592="","",IF(COUNTIF($F$2:F4592,F4592)&gt;1,"",SUMIFS(tbl_input[필요수량],tbl_input[집계키_센터],F4592)))</f>
        <v/>
      </c>
      <c r="F4592" t="str">
        <f>IFERROR(INDEX(tbl_input[집계키_센터],ROW()-1),"")</f>
        <v/>
      </c>
      <c r="G4592" t="str">
        <f t="shared" si="501"/>
        <v/>
      </c>
      <c r="H4592" t="str">
        <f t="shared" si="502"/>
        <v/>
      </c>
      <c r="I4592" t="str">
        <f t="shared" si="503"/>
        <v/>
      </c>
    </row>
    <row r="4593" spans="1:9" x14ac:dyDescent="0.4">
      <c r="A4593" t="str">
        <f t="shared" si="497"/>
        <v/>
      </c>
      <c r="B4593" t="str">
        <f t="shared" si="498"/>
        <v/>
      </c>
      <c r="C4593" t="str">
        <f t="shared" si="499"/>
        <v/>
      </c>
      <c r="D4593" t="str">
        <f t="shared" si="500"/>
        <v/>
      </c>
      <c r="E4593" t="str">
        <f>IF(F4593="","",IF(COUNTIF($F$2:F4593,F4593)&gt;1,"",SUMIFS(tbl_input[필요수량],tbl_input[집계키_센터],F4593)))</f>
        <v/>
      </c>
      <c r="F4593" t="str">
        <f>IFERROR(INDEX(tbl_input[집계키_센터],ROW()-1),"")</f>
        <v/>
      </c>
      <c r="G4593" t="str">
        <f t="shared" si="501"/>
        <v/>
      </c>
      <c r="H4593" t="str">
        <f t="shared" si="502"/>
        <v/>
      </c>
      <c r="I4593" t="str">
        <f t="shared" si="503"/>
        <v/>
      </c>
    </row>
    <row r="4594" spans="1:9" x14ac:dyDescent="0.4">
      <c r="A4594" t="str">
        <f t="shared" si="497"/>
        <v/>
      </c>
      <c r="B4594" t="str">
        <f t="shared" si="498"/>
        <v/>
      </c>
      <c r="C4594" t="str">
        <f t="shared" si="499"/>
        <v/>
      </c>
      <c r="D4594" t="str">
        <f t="shared" si="500"/>
        <v/>
      </c>
      <c r="E4594" t="str">
        <f>IF(F4594="","",IF(COUNTIF($F$2:F4594,F4594)&gt;1,"",SUMIFS(tbl_input[필요수량],tbl_input[집계키_센터],F4594)))</f>
        <v/>
      </c>
      <c r="F4594" t="str">
        <f>IFERROR(INDEX(tbl_input[집계키_센터],ROW()-1),"")</f>
        <v/>
      </c>
      <c r="G4594" t="str">
        <f t="shared" si="501"/>
        <v/>
      </c>
      <c r="H4594" t="str">
        <f t="shared" si="502"/>
        <v/>
      </c>
      <c r="I4594" t="str">
        <f t="shared" si="503"/>
        <v/>
      </c>
    </row>
    <row r="4595" spans="1:9" x14ac:dyDescent="0.4">
      <c r="A4595" t="str">
        <f t="shared" si="497"/>
        <v/>
      </c>
      <c r="B4595" t="str">
        <f t="shared" si="498"/>
        <v/>
      </c>
      <c r="C4595" t="str">
        <f t="shared" si="499"/>
        <v/>
      </c>
      <c r="D4595" t="str">
        <f t="shared" si="500"/>
        <v/>
      </c>
      <c r="E4595" t="str">
        <f>IF(F4595="","",IF(COUNTIF($F$2:F4595,F4595)&gt;1,"",SUMIFS(tbl_input[필요수량],tbl_input[집계키_센터],F4595)))</f>
        <v/>
      </c>
      <c r="F4595" t="str">
        <f>IFERROR(INDEX(tbl_input[집계키_센터],ROW()-1),"")</f>
        <v/>
      </c>
      <c r="G4595" t="str">
        <f t="shared" si="501"/>
        <v/>
      </c>
      <c r="H4595" t="str">
        <f t="shared" si="502"/>
        <v/>
      </c>
      <c r="I4595" t="str">
        <f t="shared" si="503"/>
        <v/>
      </c>
    </row>
    <row r="4596" spans="1:9" x14ac:dyDescent="0.4">
      <c r="A4596" t="str">
        <f t="shared" si="497"/>
        <v/>
      </c>
      <c r="B4596" t="str">
        <f t="shared" si="498"/>
        <v/>
      </c>
      <c r="C4596" t="str">
        <f t="shared" si="499"/>
        <v/>
      </c>
      <c r="D4596" t="str">
        <f t="shared" si="500"/>
        <v/>
      </c>
      <c r="E4596" t="str">
        <f>IF(F4596="","",IF(COUNTIF($F$2:F4596,F4596)&gt;1,"",SUMIFS(tbl_input[필요수량],tbl_input[집계키_센터],F4596)))</f>
        <v/>
      </c>
      <c r="F4596" t="str">
        <f>IFERROR(INDEX(tbl_input[집계키_센터],ROW()-1),"")</f>
        <v/>
      </c>
      <c r="G4596" t="str">
        <f t="shared" si="501"/>
        <v/>
      </c>
      <c r="H4596" t="str">
        <f t="shared" si="502"/>
        <v/>
      </c>
      <c r="I4596" t="str">
        <f t="shared" si="503"/>
        <v/>
      </c>
    </row>
    <row r="4597" spans="1:9" x14ac:dyDescent="0.4">
      <c r="A4597" t="str">
        <f t="shared" si="497"/>
        <v/>
      </c>
      <c r="B4597" t="str">
        <f t="shared" si="498"/>
        <v/>
      </c>
      <c r="C4597" t="str">
        <f t="shared" si="499"/>
        <v/>
      </c>
      <c r="D4597" t="str">
        <f t="shared" si="500"/>
        <v/>
      </c>
      <c r="E4597" t="str">
        <f>IF(F4597="","",IF(COUNTIF($F$2:F4597,F4597)&gt;1,"",SUMIFS(tbl_input[필요수량],tbl_input[집계키_센터],F4597)))</f>
        <v/>
      </c>
      <c r="F4597" t="str">
        <f>IFERROR(INDEX(tbl_input[집계키_센터],ROW()-1),"")</f>
        <v/>
      </c>
      <c r="G4597" t="str">
        <f t="shared" si="501"/>
        <v/>
      </c>
      <c r="H4597" t="str">
        <f t="shared" si="502"/>
        <v/>
      </c>
      <c r="I4597" t="str">
        <f t="shared" si="503"/>
        <v/>
      </c>
    </row>
    <row r="4598" spans="1:9" x14ac:dyDescent="0.4">
      <c r="A4598" t="str">
        <f t="shared" si="497"/>
        <v/>
      </c>
      <c r="B4598" t="str">
        <f t="shared" si="498"/>
        <v/>
      </c>
      <c r="C4598" t="str">
        <f t="shared" si="499"/>
        <v/>
      </c>
      <c r="D4598" t="str">
        <f t="shared" si="500"/>
        <v/>
      </c>
      <c r="E4598" t="str">
        <f>IF(F4598="","",IF(COUNTIF($F$2:F4598,F4598)&gt;1,"",SUMIFS(tbl_input[필요수량],tbl_input[집계키_센터],F4598)))</f>
        <v/>
      </c>
      <c r="F4598" t="str">
        <f>IFERROR(INDEX(tbl_input[집계키_센터],ROW()-1),"")</f>
        <v/>
      </c>
      <c r="G4598" t="str">
        <f t="shared" si="501"/>
        <v/>
      </c>
      <c r="H4598" t="str">
        <f t="shared" si="502"/>
        <v/>
      </c>
      <c r="I4598" t="str">
        <f t="shared" si="503"/>
        <v/>
      </c>
    </row>
    <row r="4599" spans="1:9" x14ac:dyDescent="0.4">
      <c r="A4599" t="str">
        <f t="shared" si="497"/>
        <v/>
      </c>
      <c r="B4599" t="str">
        <f t="shared" si="498"/>
        <v/>
      </c>
      <c r="C4599" t="str">
        <f t="shared" si="499"/>
        <v/>
      </c>
      <c r="D4599" t="str">
        <f t="shared" si="500"/>
        <v/>
      </c>
      <c r="E4599" t="str">
        <f>IF(F4599="","",IF(COUNTIF($F$2:F4599,F4599)&gt;1,"",SUMIFS(tbl_input[필요수량],tbl_input[집계키_센터],F4599)))</f>
        <v/>
      </c>
      <c r="F4599" t="str">
        <f>IFERROR(INDEX(tbl_input[집계키_센터],ROW()-1),"")</f>
        <v/>
      </c>
      <c r="G4599" t="str">
        <f t="shared" si="501"/>
        <v/>
      </c>
      <c r="H4599" t="str">
        <f t="shared" si="502"/>
        <v/>
      </c>
      <c r="I4599" t="str">
        <f t="shared" si="503"/>
        <v/>
      </c>
    </row>
    <row r="4600" spans="1:9" x14ac:dyDescent="0.4">
      <c r="A4600" t="str">
        <f t="shared" si="497"/>
        <v/>
      </c>
      <c r="B4600" t="str">
        <f t="shared" si="498"/>
        <v/>
      </c>
      <c r="C4600" t="str">
        <f t="shared" si="499"/>
        <v/>
      </c>
      <c r="D4600" t="str">
        <f t="shared" si="500"/>
        <v/>
      </c>
      <c r="E4600" t="str">
        <f>IF(F4600="","",IF(COUNTIF($F$2:F4600,F4600)&gt;1,"",SUMIFS(tbl_input[필요수량],tbl_input[집계키_센터],F4600)))</f>
        <v/>
      </c>
      <c r="F4600" t="str">
        <f>IFERROR(INDEX(tbl_input[집계키_센터],ROW()-1),"")</f>
        <v/>
      </c>
      <c r="G4600" t="str">
        <f t="shared" si="501"/>
        <v/>
      </c>
      <c r="H4600" t="str">
        <f t="shared" si="502"/>
        <v/>
      </c>
      <c r="I4600" t="str">
        <f t="shared" si="503"/>
        <v/>
      </c>
    </row>
    <row r="4601" spans="1:9" x14ac:dyDescent="0.4">
      <c r="A4601" t="str">
        <f t="shared" si="497"/>
        <v/>
      </c>
      <c r="B4601" t="str">
        <f t="shared" si="498"/>
        <v/>
      </c>
      <c r="C4601" t="str">
        <f t="shared" si="499"/>
        <v/>
      </c>
      <c r="D4601" t="str">
        <f t="shared" si="500"/>
        <v/>
      </c>
      <c r="E4601" t="str">
        <f>IF(F4601="","",IF(COUNTIF($F$2:F4601,F4601)&gt;1,"",SUMIFS(tbl_input[필요수량],tbl_input[집계키_센터],F4601)))</f>
        <v/>
      </c>
      <c r="F4601" t="str">
        <f>IFERROR(INDEX(tbl_input[집계키_센터],ROW()-1),"")</f>
        <v/>
      </c>
      <c r="G4601" t="str">
        <f t="shared" si="501"/>
        <v/>
      </c>
      <c r="H4601" t="str">
        <f t="shared" si="502"/>
        <v/>
      </c>
      <c r="I4601" t="str">
        <f t="shared" si="503"/>
        <v/>
      </c>
    </row>
    <row r="4602" spans="1:9" x14ac:dyDescent="0.4">
      <c r="A4602" t="str">
        <f t="shared" si="497"/>
        <v/>
      </c>
      <c r="B4602" t="str">
        <f t="shared" si="498"/>
        <v/>
      </c>
      <c r="C4602" t="str">
        <f t="shared" si="499"/>
        <v/>
      </c>
      <c r="D4602" t="str">
        <f t="shared" si="500"/>
        <v/>
      </c>
      <c r="E4602" t="str">
        <f>IF(F4602="","",IF(COUNTIF($F$2:F4602,F4602)&gt;1,"",SUMIFS(tbl_input[필요수량],tbl_input[집계키_센터],F4602)))</f>
        <v/>
      </c>
      <c r="F4602" t="str">
        <f>IFERROR(INDEX(tbl_input[집계키_센터],ROW()-1),"")</f>
        <v/>
      </c>
      <c r="G4602" t="str">
        <f t="shared" si="501"/>
        <v/>
      </c>
      <c r="H4602" t="str">
        <f t="shared" si="502"/>
        <v/>
      </c>
      <c r="I4602" t="str">
        <f t="shared" si="503"/>
        <v/>
      </c>
    </row>
    <row r="4603" spans="1:9" x14ac:dyDescent="0.4">
      <c r="A4603" t="str">
        <f t="shared" si="497"/>
        <v/>
      </c>
      <c r="B4603" t="str">
        <f t="shared" si="498"/>
        <v/>
      </c>
      <c r="C4603" t="str">
        <f t="shared" si="499"/>
        <v/>
      </c>
      <c r="D4603" t="str">
        <f t="shared" si="500"/>
        <v/>
      </c>
      <c r="E4603" t="str">
        <f>IF(F4603="","",IF(COUNTIF($F$2:F4603,F4603)&gt;1,"",SUMIFS(tbl_input[필요수량],tbl_input[집계키_센터],F4603)))</f>
        <v/>
      </c>
      <c r="F4603" t="str">
        <f>IFERROR(INDEX(tbl_input[집계키_센터],ROW()-1),"")</f>
        <v/>
      </c>
      <c r="G4603" t="str">
        <f t="shared" si="501"/>
        <v/>
      </c>
      <c r="H4603" t="str">
        <f t="shared" si="502"/>
        <v/>
      </c>
      <c r="I4603" t="str">
        <f t="shared" si="503"/>
        <v/>
      </c>
    </row>
    <row r="4604" spans="1:9" x14ac:dyDescent="0.4">
      <c r="A4604" t="str">
        <f t="shared" si="497"/>
        <v/>
      </c>
      <c r="B4604" t="str">
        <f t="shared" si="498"/>
        <v/>
      </c>
      <c r="C4604" t="str">
        <f t="shared" si="499"/>
        <v/>
      </c>
      <c r="D4604" t="str">
        <f t="shared" si="500"/>
        <v/>
      </c>
      <c r="E4604" t="str">
        <f>IF(F4604="","",IF(COUNTIF($F$2:F4604,F4604)&gt;1,"",SUMIFS(tbl_input[필요수량],tbl_input[집계키_센터],F4604)))</f>
        <v/>
      </c>
      <c r="F4604" t="str">
        <f>IFERROR(INDEX(tbl_input[집계키_센터],ROW()-1),"")</f>
        <v/>
      </c>
      <c r="G4604" t="str">
        <f t="shared" si="501"/>
        <v/>
      </c>
      <c r="H4604" t="str">
        <f t="shared" si="502"/>
        <v/>
      </c>
      <c r="I4604" t="str">
        <f t="shared" si="503"/>
        <v/>
      </c>
    </row>
    <row r="4605" spans="1:9" x14ac:dyDescent="0.4">
      <c r="A4605" t="str">
        <f t="shared" si="497"/>
        <v/>
      </c>
      <c r="B4605" t="str">
        <f t="shared" si="498"/>
        <v/>
      </c>
      <c r="C4605" t="str">
        <f t="shared" si="499"/>
        <v/>
      </c>
      <c r="D4605" t="str">
        <f t="shared" si="500"/>
        <v/>
      </c>
      <c r="E4605" t="str">
        <f>IF(F4605="","",IF(COUNTIF($F$2:F4605,F4605)&gt;1,"",SUMIFS(tbl_input[필요수량],tbl_input[집계키_센터],F4605)))</f>
        <v/>
      </c>
      <c r="F4605" t="str">
        <f>IFERROR(INDEX(tbl_input[집계키_센터],ROW()-1),"")</f>
        <v/>
      </c>
      <c r="G4605" t="str">
        <f t="shared" si="501"/>
        <v/>
      </c>
      <c r="H4605" t="str">
        <f t="shared" si="502"/>
        <v/>
      </c>
      <c r="I4605" t="str">
        <f t="shared" si="503"/>
        <v/>
      </c>
    </row>
    <row r="4606" spans="1:9" x14ac:dyDescent="0.4">
      <c r="A4606" t="str">
        <f t="shared" si="497"/>
        <v/>
      </c>
      <c r="B4606" t="str">
        <f t="shared" si="498"/>
        <v/>
      </c>
      <c r="C4606" t="str">
        <f t="shared" si="499"/>
        <v/>
      </c>
      <c r="D4606" t="str">
        <f t="shared" si="500"/>
        <v/>
      </c>
      <c r="E4606" t="str">
        <f>IF(F4606="","",IF(COUNTIF($F$2:F4606,F4606)&gt;1,"",SUMIFS(tbl_input[필요수량],tbl_input[집계키_센터],F4606)))</f>
        <v/>
      </c>
      <c r="F4606" t="str">
        <f>IFERROR(INDEX(tbl_input[집계키_센터],ROW()-1),"")</f>
        <v/>
      </c>
      <c r="G4606" t="str">
        <f t="shared" si="501"/>
        <v/>
      </c>
      <c r="H4606" t="str">
        <f t="shared" si="502"/>
        <v/>
      </c>
      <c r="I4606" t="str">
        <f t="shared" si="503"/>
        <v/>
      </c>
    </row>
    <row r="4607" spans="1:9" x14ac:dyDescent="0.4">
      <c r="A4607" t="str">
        <f t="shared" si="497"/>
        <v/>
      </c>
      <c r="B4607" t="str">
        <f t="shared" si="498"/>
        <v/>
      </c>
      <c r="C4607" t="str">
        <f t="shared" si="499"/>
        <v/>
      </c>
      <c r="D4607" t="str">
        <f t="shared" si="500"/>
        <v/>
      </c>
      <c r="E4607" t="str">
        <f>IF(F4607="","",IF(COUNTIF($F$2:F4607,F4607)&gt;1,"",SUMIFS(tbl_input[필요수량],tbl_input[집계키_센터],F4607)))</f>
        <v/>
      </c>
      <c r="F4607" t="str">
        <f>IFERROR(INDEX(tbl_input[집계키_센터],ROW()-1),"")</f>
        <v/>
      </c>
      <c r="G4607" t="str">
        <f t="shared" si="501"/>
        <v/>
      </c>
      <c r="H4607" t="str">
        <f t="shared" si="502"/>
        <v/>
      </c>
      <c r="I4607" t="str">
        <f t="shared" si="503"/>
        <v/>
      </c>
    </row>
    <row r="4608" spans="1:9" x14ac:dyDescent="0.4">
      <c r="A4608" t="str">
        <f t="shared" si="497"/>
        <v/>
      </c>
      <c r="B4608" t="str">
        <f t="shared" si="498"/>
        <v/>
      </c>
      <c r="C4608" t="str">
        <f t="shared" si="499"/>
        <v/>
      </c>
      <c r="D4608" t="str">
        <f t="shared" si="500"/>
        <v/>
      </c>
      <c r="E4608" t="str">
        <f>IF(F4608="","",IF(COUNTIF($F$2:F4608,F4608)&gt;1,"",SUMIFS(tbl_input[필요수량],tbl_input[집계키_센터],F4608)))</f>
        <v/>
      </c>
      <c r="F4608" t="str">
        <f>IFERROR(INDEX(tbl_input[집계키_센터],ROW()-1),"")</f>
        <v/>
      </c>
      <c r="G4608" t="str">
        <f t="shared" si="501"/>
        <v/>
      </c>
      <c r="H4608" t="str">
        <f t="shared" si="502"/>
        <v/>
      </c>
      <c r="I4608" t="str">
        <f t="shared" si="503"/>
        <v/>
      </c>
    </row>
    <row r="4609" spans="1:9" x14ac:dyDescent="0.4">
      <c r="A4609" t="str">
        <f t="shared" si="497"/>
        <v/>
      </c>
      <c r="B4609" t="str">
        <f t="shared" si="498"/>
        <v/>
      </c>
      <c r="C4609" t="str">
        <f t="shared" si="499"/>
        <v/>
      </c>
      <c r="D4609" t="str">
        <f t="shared" si="500"/>
        <v/>
      </c>
      <c r="E4609" t="str">
        <f>IF(F4609="","",IF(COUNTIF($F$2:F4609,F4609)&gt;1,"",SUMIFS(tbl_input[필요수량],tbl_input[집계키_센터],F4609)))</f>
        <v/>
      </c>
      <c r="F4609" t="str">
        <f>IFERROR(INDEX(tbl_input[집계키_센터],ROW()-1),"")</f>
        <v/>
      </c>
      <c r="G4609" t="str">
        <f t="shared" si="501"/>
        <v/>
      </c>
      <c r="H4609" t="str">
        <f t="shared" si="502"/>
        <v/>
      </c>
      <c r="I4609" t="str">
        <f t="shared" si="503"/>
        <v/>
      </c>
    </row>
    <row r="4610" spans="1:9" x14ac:dyDescent="0.4">
      <c r="A4610" t="str">
        <f t="shared" ref="A4610:A4673" si="504">IF(F4610="","",LEFT(F4610,G4610-1))</f>
        <v/>
      </c>
      <c r="B4610" t="str">
        <f t="shared" ref="B4610:B4673" si="505">IF(F4610="","",MID(F4610,G4610+1,H4610-G4610-1))</f>
        <v/>
      </c>
      <c r="C4610" t="str">
        <f t="shared" ref="C4610:C4673" si="506">IF(F4610="","",MID(F4610,H4610+1,I4610-H4610-1))</f>
        <v/>
      </c>
      <c r="D4610" t="str">
        <f t="shared" ref="D4610:D4673" si="507">IF(F4610="","",MID(F4610,I4610+1,999))</f>
        <v/>
      </c>
      <c r="E4610" t="str">
        <f>IF(F4610="","",IF(COUNTIF($F$2:F4610,F4610)&gt;1,"",SUMIFS(tbl_input[필요수량],tbl_input[집계키_센터],F4610)))</f>
        <v/>
      </c>
      <c r="F4610" t="str">
        <f>IFERROR(INDEX(tbl_input[집계키_센터],ROW()-1),"")</f>
        <v/>
      </c>
      <c r="G4610" t="str">
        <f t="shared" ref="G4610:G4673" si="508">IF(F4610="","",FIND("♦",F4610))</f>
        <v/>
      </c>
      <c r="H4610" t="str">
        <f t="shared" ref="H4610:H4673" si="509">IF(F4610="","",FIND("♦",F4610,G4610+1))</f>
        <v/>
      </c>
      <c r="I4610" t="str">
        <f t="shared" ref="I4610:I4673" si="510">IF(F4610="","",FIND("♦",F4610,H4610+1))</f>
        <v/>
      </c>
    </row>
    <row r="4611" spans="1:9" x14ac:dyDescent="0.4">
      <c r="A4611" t="str">
        <f t="shared" si="504"/>
        <v/>
      </c>
      <c r="B4611" t="str">
        <f t="shared" si="505"/>
        <v/>
      </c>
      <c r="C4611" t="str">
        <f t="shared" si="506"/>
        <v/>
      </c>
      <c r="D4611" t="str">
        <f t="shared" si="507"/>
        <v/>
      </c>
      <c r="E4611" t="str">
        <f>IF(F4611="","",IF(COUNTIF($F$2:F4611,F4611)&gt;1,"",SUMIFS(tbl_input[필요수량],tbl_input[집계키_센터],F4611)))</f>
        <v/>
      </c>
      <c r="F4611" t="str">
        <f>IFERROR(INDEX(tbl_input[집계키_센터],ROW()-1),"")</f>
        <v/>
      </c>
      <c r="G4611" t="str">
        <f t="shared" si="508"/>
        <v/>
      </c>
      <c r="H4611" t="str">
        <f t="shared" si="509"/>
        <v/>
      </c>
      <c r="I4611" t="str">
        <f t="shared" si="510"/>
        <v/>
      </c>
    </row>
    <row r="4612" spans="1:9" x14ac:dyDescent="0.4">
      <c r="A4612" t="str">
        <f t="shared" si="504"/>
        <v/>
      </c>
      <c r="B4612" t="str">
        <f t="shared" si="505"/>
        <v/>
      </c>
      <c r="C4612" t="str">
        <f t="shared" si="506"/>
        <v/>
      </c>
      <c r="D4612" t="str">
        <f t="shared" si="507"/>
        <v/>
      </c>
      <c r="E4612" t="str">
        <f>IF(F4612="","",IF(COUNTIF($F$2:F4612,F4612)&gt;1,"",SUMIFS(tbl_input[필요수량],tbl_input[집계키_센터],F4612)))</f>
        <v/>
      </c>
      <c r="F4612" t="str">
        <f>IFERROR(INDEX(tbl_input[집계키_센터],ROW()-1),"")</f>
        <v/>
      </c>
      <c r="G4612" t="str">
        <f t="shared" si="508"/>
        <v/>
      </c>
      <c r="H4612" t="str">
        <f t="shared" si="509"/>
        <v/>
      </c>
      <c r="I4612" t="str">
        <f t="shared" si="510"/>
        <v/>
      </c>
    </row>
    <row r="4613" spans="1:9" x14ac:dyDescent="0.4">
      <c r="A4613" t="str">
        <f t="shared" si="504"/>
        <v/>
      </c>
      <c r="B4613" t="str">
        <f t="shared" si="505"/>
        <v/>
      </c>
      <c r="C4613" t="str">
        <f t="shared" si="506"/>
        <v/>
      </c>
      <c r="D4613" t="str">
        <f t="shared" si="507"/>
        <v/>
      </c>
      <c r="E4613" t="str">
        <f>IF(F4613="","",IF(COUNTIF($F$2:F4613,F4613)&gt;1,"",SUMIFS(tbl_input[필요수량],tbl_input[집계키_센터],F4613)))</f>
        <v/>
      </c>
      <c r="F4613" t="str">
        <f>IFERROR(INDEX(tbl_input[집계키_센터],ROW()-1),"")</f>
        <v/>
      </c>
      <c r="G4613" t="str">
        <f t="shared" si="508"/>
        <v/>
      </c>
      <c r="H4613" t="str">
        <f t="shared" si="509"/>
        <v/>
      </c>
      <c r="I4613" t="str">
        <f t="shared" si="510"/>
        <v/>
      </c>
    </row>
    <row r="4614" spans="1:9" x14ac:dyDescent="0.4">
      <c r="A4614" t="str">
        <f t="shared" si="504"/>
        <v/>
      </c>
      <c r="B4614" t="str">
        <f t="shared" si="505"/>
        <v/>
      </c>
      <c r="C4614" t="str">
        <f t="shared" si="506"/>
        <v/>
      </c>
      <c r="D4614" t="str">
        <f t="shared" si="507"/>
        <v/>
      </c>
      <c r="E4614" t="str">
        <f>IF(F4614="","",IF(COUNTIF($F$2:F4614,F4614)&gt;1,"",SUMIFS(tbl_input[필요수량],tbl_input[집계키_센터],F4614)))</f>
        <v/>
      </c>
      <c r="F4614" t="str">
        <f>IFERROR(INDEX(tbl_input[집계키_센터],ROW()-1),"")</f>
        <v/>
      </c>
      <c r="G4614" t="str">
        <f t="shared" si="508"/>
        <v/>
      </c>
      <c r="H4614" t="str">
        <f t="shared" si="509"/>
        <v/>
      </c>
      <c r="I4614" t="str">
        <f t="shared" si="510"/>
        <v/>
      </c>
    </row>
    <row r="4615" spans="1:9" x14ac:dyDescent="0.4">
      <c r="A4615" t="str">
        <f t="shared" si="504"/>
        <v/>
      </c>
      <c r="B4615" t="str">
        <f t="shared" si="505"/>
        <v/>
      </c>
      <c r="C4615" t="str">
        <f t="shared" si="506"/>
        <v/>
      </c>
      <c r="D4615" t="str">
        <f t="shared" si="507"/>
        <v/>
      </c>
      <c r="E4615" t="str">
        <f>IF(F4615="","",IF(COUNTIF($F$2:F4615,F4615)&gt;1,"",SUMIFS(tbl_input[필요수량],tbl_input[집계키_센터],F4615)))</f>
        <v/>
      </c>
      <c r="F4615" t="str">
        <f>IFERROR(INDEX(tbl_input[집계키_센터],ROW()-1),"")</f>
        <v/>
      </c>
      <c r="G4615" t="str">
        <f t="shared" si="508"/>
        <v/>
      </c>
      <c r="H4615" t="str">
        <f t="shared" si="509"/>
        <v/>
      </c>
      <c r="I4615" t="str">
        <f t="shared" si="510"/>
        <v/>
      </c>
    </row>
    <row r="4616" spans="1:9" x14ac:dyDescent="0.4">
      <c r="A4616" t="str">
        <f t="shared" si="504"/>
        <v/>
      </c>
      <c r="B4616" t="str">
        <f t="shared" si="505"/>
        <v/>
      </c>
      <c r="C4616" t="str">
        <f t="shared" si="506"/>
        <v/>
      </c>
      <c r="D4616" t="str">
        <f t="shared" si="507"/>
        <v/>
      </c>
      <c r="E4616" t="str">
        <f>IF(F4616="","",IF(COUNTIF($F$2:F4616,F4616)&gt;1,"",SUMIFS(tbl_input[필요수량],tbl_input[집계키_센터],F4616)))</f>
        <v/>
      </c>
      <c r="F4616" t="str">
        <f>IFERROR(INDEX(tbl_input[집계키_센터],ROW()-1),"")</f>
        <v/>
      </c>
      <c r="G4616" t="str">
        <f t="shared" si="508"/>
        <v/>
      </c>
      <c r="H4616" t="str">
        <f t="shared" si="509"/>
        <v/>
      </c>
      <c r="I4616" t="str">
        <f t="shared" si="510"/>
        <v/>
      </c>
    </row>
    <row r="4617" spans="1:9" x14ac:dyDescent="0.4">
      <c r="A4617" t="str">
        <f t="shared" si="504"/>
        <v/>
      </c>
      <c r="B4617" t="str">
        <f t="shared" si="505"/>
        <v/>
      </c>
      <c r="C4617" t="str">
        <f t="shared" si="506"/>
        <v/>
      </c>
      <c r="D4617" t="str">
        <f t="shared" si="507"/>
        <v/>
      </c>
      <c r="E4617" t="str">
        <f>IF(F4617="","",IF(COUNTIF($F$2:F4617,F4617)&gt;1,"",SUMIFS(tbl_input[필요수량],tbl_input[집계키_센터],F4617)))</f>
        <v/>
      </c>
      <c r="F4617" t="str">
        <f>IFERROR(INDEX(tbl_input[집계키_센터],ROW()-1),"")</f>
        <v/>
      </c>
      <c r="G4617" t="str">
        <f t="shared" si="508"/>
        <v/>
      </c>
      <c r="H4617" t="str">
        <f t="shared" si="509"/>
        <v/>
      </c>
      <c r="I4617" t="str">
        <f t="shared" si="510"/>
        <v/>
      </c>
    </row>
    <row r="4618" spans="1:9" x14ac:dyDescent="0.4">
      <c r="A4618" t="str">
        <f t="shared" si="504"/>
        <v/>
      </c>
      <c r="B4618" t="str">
        <f t="shared" si="505"/>
        <v/>
      </c>
      <c r="C4618" t="str">
        <f t="shared" si="506"/>
        <v/>
      </c>
      <c r="D4618" t="str">
        <f t="shared" si="507"/>
        <v/>
      </c>
      <c r="E4618" t="str">
        <f>IF(F4618="","",IF(COUNTIF($F$2:F4618,F4618)&gt;1,"",SUMIFS(tbl_input[필요수량],tbl_input[집계키_센터],F4618)))</f>
        <v/>
      </c>
      <c r="F4618" t="str">
        <f>IFERROR(INDEX(tbl_input[집계키_센터],ROW()-1),"")</f>
        <v/>
      </c>
      <c r="G4618" t="str">
        <f t="shared" si="508"/>
        <v/>
      </c>
      <c r="H4618" t="str">
        <f t="shared" si="509"/>
        <v/>
      </c>
      <c r="I4618" t="str">
        <f t="shared" si="510"/>
        <v/>
      </c>
    </row>
    <row r="4619" spans="1:9" x14ac:dyDescent="0.4">
      <c r="A4619" t="str">
        <f t="shared" si="504"/>
        <v/>
      </c>
      <c r="B4619" t="str">
        <f t="shared" si="505"/>
        <v/>
      </c>
      <c r="C4619" t="str">
        <f t="shared" si="506"/>
        <v/>
      </c>
      <c r="D4619" t="str">
        <f t="shared" si="507"/>
        <v/>
      </c>
      <c r="E4619" t="str">
        <f>IF(F4619="","",IF(COUNTIF($F$2:F4619,F4619)&gt;1,"",SUMIFS(tbl_input[필요수량],tbl_input[집계키_센터],F4619)))</f>
        <v/>
      </c>
      <c r="F4619" t="str">
        <f>IFERROR(INDEX(tbl_input[집계키_센터],ROW()-1),"")</f>
        <v/>
      </c>
      <c r="G4619" t="str">
        <f t="shared" si="508"/>
        <v/>
      </c>
      <c r="H4619" t="str">
        <f t="shared" si="509"/>
        <v/>
      </c>
      <c r="I4619" t="str">
        <f t="shared" si="510"/>
        <v/>
      </c>
    </row>
    <row r="4620" spans="1:9" x14ac:dyDescent="0.4">
      <c r="A4620" t="str">
        <f t="shared" si="504"/>
        <v/>
      </c>
      <c r="B4620" t="str">
        <f t="shared" si="505"/>
        <v/>
      </c>
      <c r="C4620" t="str">
        <f t="shared" si="506"/>
        <v/>
      </c>
      <c r="D4620" t="str">
        <f t="shared" si="507"/>
        <v/>
      </c>
      <c r="E4620" t="str">
        <f>IF(F4620="","",IF(COUNTIF($F$2:F4620,F4620)&gt;1,"",SUMIFS(tbl_input[필요수량],tbl_input[집계키_센터],F4620)))</f>
        <v/>
      </c>
      <c r="F4620" t="str">
        <f>IFERROR(INDEX(tbl_input[집계키_센터],ROW()-1),"")</f>
        <v/>
      </c>
      <c r="G4620" t="str">
        <f t="shared" si="508"/>
        <v/>
      </c>
      <c r="H4620" t="str">
        <f t="shared" si="509"/>
        <v/>
      </c>
      <c r="I4620" t="str">
        <f t="shared" si="510"/>
        <v/>
      </c>
    </row>
    <row r="4621" spans="1:9" x14ac:dyDescent="0.4">
      <c r="A4621" t="str">
        <f t="shared" si="504"/>
        <v/>
      </c>
      <c r="B4621" t="str">
        <f t="shared" si="505"/>
        <v/>
      </c>
      <c r="C4621" t="str">
        <f t="shared" si="506"/>
        <v/>
      </c>
      <c r="D4621" t="str">
        <f t="shared" si="507"/>
        <v/>
      </c>
      <c r="E4621" t="str">
        <f>IF(F4621="","",IF(COUNTIF($F$2:F4621,F4621)&gt;1,"",SUMIFS(tbl_input[필요수량],tbl_input[집계키_센터],F4621)))</f>
        <v/>
      </c>
      <c r="F4621" t="str">
        <f>IFERROR(INDEX(tbl_input[집계키_센터],ROW()-1),"")</f>
        <v/>
      </c>
      <c r="G4621" t="str">
        <f t="shared" si="508"/>
        <v/>
      </c>
      <c r="H4621" t="str">
        <f t="shared" si="509"/>
        <v/>
      </c>
      <c r="I4621" t="str">
        <f t="shared" si="510"/>
        <v/>
      </c>
    </row>
    <row r="4622" spans="1:9" x14ac:dyDescent="0.4">
      <c r="A4622" t="str">
        <f t="shared" si="504"/>
        <v/>
      </c>
      <c r="B4622" t="str">
        <f t="shared" si="505"/>
        <v/>
      </c>
      <c r="C4622" t="str">
        <f t="shared" si="506"/>
        <v/>
      </c>
      <c r="D4622" t="str">
        <f t="shared" si="507"/>
        <v/>
      </c>
      <c r="E4622" t="str">
        <f>IF(F4622="","",IF(COUNTIF($F$2:F4622,F4622)&gt;1,"",SUMIFS(tbl_input[필요수량],tbl_input[집계키_센터],F4622)))</f>
        <v/>
      </c>
      <c r="F4622" t="str">
        <f>IFERROR(INDEX(tbl_input[집계키_센터],ROW()-1),"")</f>
        <v/>
      </c>
      <c r="G4622" t="str">
        <f t="shared" si="508"/>
        <v/>
      </c>
      <c r="H4622" t="str">
        <f t="shared" si="509"/>
        <v/>
      </c>
      <c r="I4622" t="str">
        <f t="shared" si="510"/>
        <v/>
      </c>
    </row>
    <row r="4623" spans="1:9" x14ac:dyDescent="0.4">
      <c r="A4623" t="str">
        <f t="shared" si="504"/>
        <v/>
      </c>
      <c r="B4623" t="str">
        <f t="shared" si="505"/>
        <v/>
      </c>
      <c r="C4623" t="str">
        <f t="shared" si="506"/>
        <v/>
      </c>
      <c r="D4623" t="str">
        <f t="shared" si="507"/>
        <v/>
      </c>
      <c r="E4623" t="str">
        <f>IF(F4623="","",IF(COUNTIF($F$2:F4623,F4623)&gt;1,"",SUMIFS(tbl_input[필요수량],tbl_input[집계키_센터],F4623)))</f>
        <v/>
      </c>
      <c r="F4623" t="str">
        <f>IFERROR(INDEX(tbl_input[집계키_센터],ROW()-1),"")</f>
        <v/>
      </c>
      <c r="G4623" t="str">
        <f t="shared" si="508"/>
        <v/>
      </c>
      <c r="H4623" t="str">
        <f t="shared" si="509"/>
        <v/>
      </c>
      <c r="I4623" t="str">
        <f t="shared" si="510"/>
        <v/>
      </c>
    </row>
    <row r="4624" spans="1:9" x14ac:dyDescent="0.4">
      <c r="A4624" t="str">
        <f t="shared" si="504"/>
        <v/>
      </c>
      <c r="B4624" t="str">
        <f t="shared" si="505"/>
        <v/>
      </c>
      <c r="C4624" t="str">
        <f t="shared" si="506"/>
        <v/>
      </c>
      <c r="D4624" t="str">
        <f t="shared" si="507"/>
        <v/>
      </c>
      <c r="E4624" t="str">
        <f>IF(F4624="","",IF(COUNTIF($F$2:F4624,F4624)&gt;1,"",SUMIFS(tbl_input[필요수량],tbl_input[집계키_센터],F4624)))</f>
        <v/>
      </c>
      <c r="F4624" t="str">
        <f>IFERROR(INDEX(tbl_input[집계키_센터],ROW()-1),"")</f>
        <v/>
      </c>
      <c r="G4624" t="str">
        <f t="shared" si="508"/>
        <v/>
      </c>
      <c r="H4624" t="str">
        <f t="shared" si="509"/>
        <v/>
      </c>
      <c r="I4624" t="str">
        <f t="shared" si="510"/>
        <v/>
      </c>
    </row>
    <row r="4625" spans="1:9" x14ac:dyDescent="0.4">
      <c r="A4625" t="str">
        <f t="shared" si="504"/>
        <v/>
      </c>
      <c r="B4625" t="str">
        <f t="shared" si="505"/>
        <v/>
      </c>
      <c r="C4625" t="str">
        <f t="shared" si="506"/>
        <v/>
      </c>
      <c r="D4625" t="str">
        <f t="shared" si="507"/>
        <v/>
      </c>
      <c r="E4625" t="str">
        <f>IF(F4625="","",IF(COUNTIF($F$2:F4625,F4625)&gt;1,"",SUMIFS(tbl_input[필요수량],tbl_input[집계키_센터],F4625)))</f>
        <v/>
      </c>
      <c r="F4625" t="str">
        <f>IFERROR(INDEX(tbl_input[집계키_센터],ROW()-1),"")</f>
        <v/>
      </c>
      <c r="G4625" t="str">
        <f t="shared" si="508"/>
        <v/>
      </c>
      <c r="H4625" t="str">
        <f t="shared" si="509"/>
        <v/>
      </c>
      <c r="I4625" t="str">
        <f t="shared" si="510"/>
        <v/>
      </c>
    </row>
    <row r="4626" spans="1:9" x14ac:dyDescent="0.4">
      <c r="A4626" t="str">
        <f t="shared" si="504"/>
        <v/>
      </c>
      <c r="B4626" t="str">
        <f t="shared" si="505"/>
        <v/>
      </c>
      <c r="C4626" t="str">
        <f t="shared" si="506"/>
        <v/>
      </c>
      <c r="D4626" t="str">
        <f t="shared" si="507"/>
        <v/>
      </c>
      <c r="E4626" t="str">
        <f>IF(F4626="","",IF(COUNTIF($F$2:F4626,F4626)&gt;1,"",SUMIFS(tbl_input[필요수량],tbl_input[집계키_센터],F4626)))</f>
        <v/>
      </c>
      <c r="F4626" t="str">
        <f>IFERROR(INDEX(tbl_input[집계키_센터],ROW()-1),"")</f>
        <v/>
      </c>
      <c r="G4626" t="str">
        <f t="shared" si="508"/>
        <v/>
      </c>
      <c r="H4626" t="str">
        <f t="shared" si="509"/>
        <v/>
      </c>
      <c r="I4626" t="str">
        <f t="shared" si="510"/>
        <v/>
      </c>
    </row>
    <row r="4627" spans="1:9" x14ac:dyDescent="0.4">
      <c r="A4627" t="str">
        <f t="shared" si="504"/>
        <v/>
      </c>
      <c r="B4627" t="str">
        <f t="shared" si="505"/>
        <v/>
      </c>
      <c r="C4627" t="str">
        <f t="shared" si="506"/>
        <v/>
      </c>
      <c r="D4627" t="str">
        <f t="shared" si="507"/>
        <v/>
      </c>
      <c r="E4627" t="str">
        <f>IF(F4627="","",IF(COUNTIF($F$2:F4627,F4627)&gt;1,"",SUMIFS(tbl_input[필요수량],tbl_input[집계키_센터],F4627)))</f>
        <v/>
      </c>
      <c r="F4627" t="str">
        <f>IFERROR(INDEX(tbl_input[집계키_센터],ROW()-1),"")</f>
        <v/>
      </c>
      <c r="G4627" t="str">
        <f t="shared" si="508"/>
        <v/>
      </c>
      <c r="H4627" t="str">
        <f t="shared" si="509"/>
        <v/>
      </c>
      <c r="I4627" t="str">
        <f t="shared" si="510"/>
        <v/>
      </c>
    </row>
    <row r="4628" spans="1:9" x14ac:dyDescent="0.4">
      <c r="A4628" t="str">
        <f t="shared" si="504"/>
        <v/>
      </c>
      <c r="B4628" t="str">
        <f t="shared" si="505"/>
        <v/>
      </c>
      <c r="C4628" t="str">
        <f t="shared" si="506"/>
        <v/>
      </c>
      <c r="D4628" t="str">
        <f t="shared" si="507"/>
        <v/>
      </c>
      <c r="E4628" t="str">
        <f>IF(F4628="","",IF(COUNTIF($F$2:F4628,F4628)&gt;1,"",SUMIFS(tbl_input[필요수량],tbl_input[집계키_센터],F4628)))</f>
        <v/>
      </c>
      <c r="F4628" t="str">
        <f>IFERROR(INDEX(tbl_input[집계키_센터],ROW()-1),"")</f>
        <v/>
      </c>
      <c r="G4628" t="str">
        <f t="shared" si="508"/>
        <v/>
      </c>
      <c r="H4628" t="str">
        <f t="shared" si="509"/>
        <v/>
      </c>
      <c r="I4628" t="str">
        <f t="shared" si="510"/>
        <v/>
      </c>
    </row>
    <row r="4629" spans="1:9" x14ac:dyDescent="0.4">
      <c r="A4629" t="str">
        <f t="shared" si="504"/>
        <v/>
      </c>
      <c r="B4629" t="str">
        <f t="shared" si="505"/>
        <v/>
      </c>
      <c r="C4629" t="str">
        <f t="shared" si="506"/>
        <v/>
      </c>
      <c r="D4629" t="str">
        <f t="shared" si="507"/>
        <v/>
      </c>
      <c r="E4629" t="str">
        <f>IF(F4629="","",IF(COUNTIF($F$2:F4629,F4629)&gt;1,"",SUMIFS(tbl_input[필요수량],tbl_input[집계키_센터],F4629)))</f>
        <v/>
      </c>
      <c r="F4629" t="str">
        <f>IFERROR(INDEX(tbl_input[집계키_센터],ROW()-1),"")</f>
        <v/>
      </c>
      <c r="G4629" t="str">
        <f t="shared" si="508"/>
        <v/>
      </c>
      <c r="H4629" t="str">
        <f t="shared" si="509"/>
        <v/>
      </c>
      <c r="I4629" t="str">
        <f t="shared" si="510"/>
        <v/>
      </c>
    </row>
    <row r="4630" spans="1:9" x14ac:dyDescent="0.4">
      <c r="A4630" t="str">
        <f t="shared" si="504"/>
        <v/>
      </c>
      <c r="B4630" t="str">
        <f t="shared" si="505"/>
        <v/>
      </c>
      <c r="C4630" t="str">
        <f t="shared" si="506"/>
        <v/>
      </c>
      <c r="D4630" t="str">
        <f t="shared" si="507"/>
        <v/>
      </c>
      <c r="E4630" t="str">
        <f>IF(F4630="","",IF(COUNTIF($F$2:F4630,F4630)&gt;1,"",SUMIFS(tbl_input[필요수량],tbl_input[집계키_센터],F4630)))</f>
        <v/>
      </c>
      <c r="F4630" t="str">
        <f>IFERROR(INDEX(tbl_input[집계키_센터],ROW()-1),"")</f>
        <v/>
      </c>
      <c r="G4630" t="str">
        <f t="shared" si="508"/>
        <v/>
      </c>
      <c r="H4630" t="str">
        <f t="shared" si="509"/>
        <v/>
      </c>
      <c r="I4630" t="str">
        <f t="shared" si="510"/>
        <v/>
      </c>
    </row>
    <row r="4631" spans="1:9" x14ac:dyDescent="0.4">
      <c r="A4631" t="str">
        <f t="shared" si="504"/>
        <v/>
      </c>
      <c r="B4631" t="str">
        <f t="shared" si="505"/>
        <v/>
      </c>
      <c r="C4631" t="str">
        <f t="shared" si="506"/>
        <v/>
      </c>
      <c r="D4631" t="str">
        <f t="shared" si="507"/>
        <v/>
      </c>
      <c r="E4631" t="str">
        <f>IF(F4631="","",IF(COUNTIF($F$2:F4631,F4631)&gt;1,"",SUMIFS(tbl_input[필요수량],tbl_input[집계키_센터],F4631)))</f>
        <v/>
      </c>
      <c r="F4631" t="str">
        <f>IFERROR(INDEX(tbl_input[집계키_센터],ROW()-1),"")</f>
        <v/>
      </c>
      <c r="G4631" t="str">
        <f t="shared" si="508"/>
        <v/>
      </c>
      <c r="H4631" t="str">
        <f t="shared" si="509"/>
        <v/>
      </c>
      <c r="I4631" t="str">
        <f t="shared" si="510"/>
        <v/>
      </c>
    </row>
    <row r="4632" spans="1:9" x14ac:dyDescent="0.4">
      <c r="A4632" t="str">
        <f t="shared" si="504"/>
        <v/>
      </c>
      <c r="B4632" t="str">
        <f t="shared" si="505"/>
        <v/>
      </c>
      <c r="C4632" t="str">
        <f t="shared" si="506"/>
        <v/>
      </c>
      <c r="D4632" t="str">
        <f t="shared" si="507"/>
        <v/>
      </c>
      <c r="E4632" t="str">
        <f>IF(F4632="","",IF(COUNTIF($F$2:F4632,F4632)&gt;1,"",SUMIFS(tbl_input[필요수량],tbl_input[집계키_센터],F4632)))</f>
        <v/>
      </c>
      <c r="F4632" t="str">
        <f>IFERROR(INDEX(tbl_input[집계키_센터],ROW()-1),"")</f>
        <v/>
      </c>
      <c r="G4632" t="str">
        <f t="shared" si="508"/>
        <v/>
      </c>
      <c r="H4632" t="str">
        <f t="shared" si="509"/>
        <v/>
      </c>
      <c r="I4632" t="str">
        <f t="shared" si="510"/>
        <v/>
      </c>
    </row>
    <row r="4633" spans="1:9" x14ac:dyDescent="0.4">
      <c r="A4633" t="str">
        <f t="shared" si="504"/>
        <v/>
      </c>
      <c r="B4633" t="str">
        <f t="shared" si="505"/>
        <v/>
      </c>
      <c r="C4633" t="str">
        <f t="shared" si="506"/>
        <v/>
      </c>
      <c r="D4633" t="str">
        <f t="shared" si="507"/>
        <v/>
      </c>
      <c r="E4633" t="str">
        <f>IF(F4633="","",IF(COUNTIF($F$2:F4633,F4633)&gt;1,"",SUMIFS(tbl_input[필요수량],tbl_input[집계키_센터],F4633)))</f>
        <v/>
      </c>
      <c r="F4633" t="str">
        <f>IFERROR(INDEX(tbl_input[집계키_센터],ROW()-1),"")</f>
        <v/>
      </c>
      <c r="G4633" t="str">
        <f t="shared" si="508"/>
        <v/>
      </c>
      <c r="H4633" t="str">
        <f t="shared" si="509"/>
        <v/>
      </c>
      <c r="I4633" t="str">
        <f t="shared" si="510"/>
        <v/>
      </c>
    </row>
    <row r="4634" spans="1:9" x14ac:dyDescent="0.4">
      <c r="A4634" t="str">
        <f t="shared" si="504"/>
        <v/>
      </c>
      <c r="B4634" t="str">
        <f t="shared" si="505"/>
        <v/>
      </c>
      <c r="C4634" t="str">
        <f t="shared" si="506"/>
        <v/>
      </c>
      <c r="D4634" t="str">
        <f t="shared" si="507"/>
        <v/>
      </c>
      <c r="E4634" t="str">
        <f>IF(F4634="","",IF(COUNTIF($F$2:F4634,F4634)&gt;1,"",SUMIFS(tbl_input[필요수량],tbl_input[집계키_센터],F4634)))</f>
        <v/>
      </c>
      <c r="F4634" t="str">
        <f>IFERROR(INDEX(tbl_input[집계키_센터],ROW()-1),"")</f>
        <v/>
      </c>
      <c r="G4634" t="str">
        <f t="shared" si="508"/>
        <v/>
      </c>
      <c r="H4634" t="str">
        <f t="shared" si="509"/>
        <v/>
      </c>
      <c r="I4634" t="str">
        <f t="shared" si="510"/>
        <v/>
      </c>
    </row>
    <row r="4635" spans="1:9" x14ac:dyDescent="0.4">
      <c r="A4635" t="str">
        <f t="shared" si="504"/>
        <v/>
      </c>
      <c r="B4635" t="str">
        <f t="shared" si="505"/>
        <v/>
      </c>
      <c r="C4635" t="str">
        <f t="shared" si="506"/>
        <v/>
      </c>
      <c r="D4635" t="str">
        <f t="shared" si="507"/>
        <v/>
      </c>
      <c r="E4635" t="str">
        <f>IF(F4635="","",IF(COUNTIF($F$2:F4635,F4635)&gt;1,"",SUMIFS(tbl_input[필요수량],tbl_input[집계키_센터],F4635)))</f>
        <v/>
      </c>
      <c r="F4635" t="str">
        <f>IFERROR(INDEX(tbl_input[집계키_센터],ROW()-1),"")</f>
        <v/>
      </c>
      <c r="G4635" t="str">
        <f t="shared" si="508"/>
        <v/>
      </c>
      <c r="H4635" t="str">
        <f t="shared" si="509"/>
        <v/>
      </c>
      <c r="I4635" t="str">
        <f t="shared" si="510"/>
        <v/>
      </c>
    </row>
    <row r="4636" spans="1:9" x14ac:dyDescent="0.4">
      <c r="A4636" t="str">
        <f t="shared" si="504"/>
        <v/>
      </c>
      <c r="B4636" t="str">
        <f t="shared" si="505"/>
        <v/>
      </c>
      <c r="C4636" t="str">
        <f t="shared" si="506"/>
        <v/>
      </c>
      <c r="D4636" t="str">
        <f t="shared" si="507"/>
        <v/>
      </c>
      <c r="E4636" t="str">
        <f>IF(F4636="","",IF(COUNTIF($F$2:F4636,F4636)&gt;1,"",SUMIFS(tbl_input[필요수량],tbl_input[집계키_센터],F4636)))</f>
        <v/>
      </c>
      <c r="F4636" t="str">
        <f>IFERROR(INDEX(tbl_input[집계키_센터],ROW()-1),"")</f>
        <v/>
      </c>
      <c r="G4636" t="str">
        <f t="shared" si="508"/>
        <v/>
      </c>
      <c r="H4636" t="str">
        <f t="shared" si="509"/>
        <v/>
      </c>
      <c r="I4636" t="str">
        <f t="shared" si="510"/>
        <v/>
      </c>
    </row>
    <row r="4637" spans="1:9" x14ac:dyDescent="0.4">
      <c r="A4637" t="str">
        <f t="shared" si="504"/>
        <v/>
      </c>
      <c r="B4637" t="str">
        <f t="shared" si="505"/>
        <v/>
      </c>
      <c r="C4637" t="str">
        <f t="shared" si="506"/>
        <v/>
      </c>
      <c r="D4637" t="str">
        <f t="shared" si="507"/>
        <v/>
      </c>
      <c r="E4637" t="str">
        <f>IF(F4637="","",IF(COUNTIF($F$2:F4637,F4637)&gt;1,"",SUMIFS(tbl_input[필요수량],tbl_input[집계키_센터],F4637)))</f>
        <v/>
      </c>
      <c r="F4637" t="str">
        <f>IFERROR(INDEX(tbl_input[집계키_센터],ROW()-1),"")</f>
        <v/>
      </c>
      <c r="G4637" t="str">
        <f t="shared" si="508"/>
        <v/>
      </c>
      <c r="H4637" t="str">
        <f t="shared" si="509"/>
        <v/>
      </c>
      <c r="I4637" t="str">
        <f t="shared" si="510"/>
        <v/>
      </c>
    </row>
    <row r="4638" spans="1:9" x14ac:dyDescent="0.4">
      <c r="A4638" t="str">
        <f t="shared" si="504"/>
        <v/>
      </c>
      <c r="B4638" t="str">
        <f t="shared" si="505"/>
        <v/>
      </c>
      <c r="C4638" t="str">
        <f t="shared" si="506"/>
        <v/>
      </c>
      <c r="D4638" t="str">
        <f t="shared" si="507"/>
        <v/>
      </c>
      <c r="E4638" t="str">
        <f>IF(F4638="","",IF(COUNTIF($F$2:F4638,F4638)&gt;1,"",SUMIFS(tbl_input[필요수량],tbl_input[집계키_센터],F4638)))</f>
        <v/>
      </c>
      <c r="F4638" t="str">
        <f>IFERROR(INDEX(tbl_input[집계키_센터],ROW()-1),"")</f>
        <v/>
      </c>
      <c r="G4638" t="str">
        <f t="shared" si="508"/>
        <v/>
      </c>
      <c r="H4638" t="str">
        <f t="shared" si="509"/>
        <v/>
      </c>
      <c r="I4638" t="str">
        <f t="shared" si="510"/>
        <v/>
      </c>
    </row>
    <row r="4639" spans="1:9" x14ac:dyDescent="0.4">
      <c r="A4639" t="str">
        <f t="shared" si="504"/>
        <v/>
      </c>
      <c r="B4639" t="str">
        <f t="shared" si="505"/>
        <v/>
      </c>
      <c r="C4639" t="str">
        <f t="shared" si="506"/>
        <v/>
      </c>
      <c r="D4639" t="str">
        <f t="shared" si="507"/>
        <v/>
      </c>
      <c r="E4639" t="str">
        <f>IF(F4639="","",IF(COUNTIF($F$2:F4639,F4639)&gt;1,"",SUMIFS(tbl_input[필요수량],tbl_input[집계키_센터],F4639)))</f>
        <v/>
      </c>
      <c r="F4639" t="str">
        <f>IFERROR(INDEX(tbl_input[집계키_센터],ROW()-1),"")</f>
        <v/>
      </c>
      <c r="G4639" t="str">
        <f t="shared" si="508"/>
        <v/>
      </c>
      <c r="H4639" t="str">
        <f t="shared" si="509"/>
        <v/>
      </c>
      <c r="I4639" t="str">
        <f t="shared" si="510"/>
        <v/>
      </c>
    </row>
    <row r="4640" spans="1:9" x14ac:dyDescent="0.4">
      <c r="A4640" t="str">
        <f t="shared" si="504"/>
        <v/>
      </c>
      <c r="B4640" t="str">
        <f t="shared" si="505"/>
        <v/>
      </c>
      <c r="C4640" t="str">
        <f t="shared" si="506"/>
        <v/>
      </c>
      <c r="D4640" t="str">
        <f t="shared" si="507"/>
        <v/>
      </c>
      <c r="E4640" t="str">
        <f>IF(F4640="","",IF(COUNTIF($F$2:F4640,F4640)&gt;1,"",SUMIFS(tbl_input[필요수량],tbl_input[집계키_센터],F4640)))</f>
        <v/>
      </c>
      <c r="F4640" t="str">
        <f>IFERROR(INDEX(tbl_input[집계키_센터],ROW()-1),"")</f>
        <v/>
      </c>
      <c r="G4640" t="str">
        <f t="shared" si="508"/>
        <v/>
      </c>
      <c r="H4640" t="str">
        <f t="shared" si="509"/>
        <v/>
      </c>
      <c r="I4640" t="str">
        <f t="shared" si="510"/>
        <v/>
      </c>
    </row>
    <row r="4641" spans="1:9" x14ac:dyDescent="0.4">
      <c r="A4641" t="str">
        <f t="shared" si="504"/>
        <v/>
      </c>
      <c r="B4641" t="str">
        <f t="shared" si="505"/>
        <v/>
      </c>
      <c r="C4641" t="str">
        <f t="shared" si="506"/>
        <v/>
      </c>
      <c r="D4641" t="str">
        <f t="shared" si="507"/>
        <v/>
      </c>
      <c r="E4641" t="str">
        <f>IF(F4641="","",IF(COUNTIF($F$2:F4641,F4641)&gt;1,"",SUMIFS(tbl_input[필요수량],tbl_input[집계키_센터],F4641)))</f>
        <v/>
      </c>
      <c r="F4641" t="str">
        <f>IFERROR(INDEX(tbl_input[집계키_센터],ROW()-1),"")</f>
        <v/>
      </c>
      <c r="G4641" t="str">
        <f t="shared" si="508"/>
        <v/>
      </c>
      <c r="H4641" t="str">
        <f t="shared" si="509"/>
        <v/>
      </c>
      <c r="I4641" t="str">
        <f t="shared" si="510"/>
        <v/>
      </c>
    </row>
    <row r="4642" spans="1:9" x14ac:dyDescent="0.4">
      <c r="A4642" t="str">
        <f t="shared" si="504"/>
        <v/>
      </c>
      <c r="B4642" t="str">
        <f t="shared" si="505"/>
        <v/>
      </c>
      <c r="C4642" t="str">
        <f t="shared" si="506"/>
        <v/>
      </c>
      <c r="D4642" t="str">
        <f t="shared" si="507"/>
        <v/>
      </c>
      <c r="E4642" t="str">
        <f>IF(F4642="","",IF(COUNTIF($F$2:F4642,F4642)&gt;1,"",SUMIFS(tbl_input[필요수량],tbl_input[집계키_센터],F4642)))</f>
        <v/>
      </c>
      <c r="F4642" t="str">
        <f>IFERROR(INDEX(tbl_input[집계키_센터],ROW()-1),"")</f>
        <v/>
      </c>
      <c r="G4642" t="str">
        <f t="shared" si="508"/>
        <v/>
      </c>
      <c r="H4642" t="str">
        <f t="shared" si="509"/>
        <v/>
      </c>
      <c r="I4642" t="str">
        <f t="shared" si="510"/>
        <v/>
      </c>
    </row>
    <row r="4643" spans="1:9" x14ac:dyDescent="0.4">
      <c r="A4643" t="str">
        <f t="shared" si="504"/>
        <v/>
      </c>
      <c r="B4643" t="str">
        <f t="shared" si="505"/>
        <v/>
      </c>
      <c r="C4643" t="str">
        <f t="shared" si="506"/>
        <v/>
      </c>
      <c r="D4643" t="str">
        <f t="shared" si="507"/>
        <v/>
      </c>
      <c r="E4643" t="str">
        <f>IF(F4643="","",IF(COUNTIF($F$2:F4643,F4643)&gt;1,"",SUMIFS(tbl_input[필요수량],tbl_input[집계키_센터],F4643)))</f>
        <v/>
      </c>
      <c r="F4643" t="str">
        <f>IFERROR(INDEX(tbl_input[집계키_센터],ROW()-1),"")</f>
        <v/>
      </c>
      <c r="G4643" t="str">
        <f t="shared" si="508"/>
        <v/>
      </c>
      <c r="H4643" t="str">
        <f t="shared" si="509"/>
        <v/>
      </c>
      <c r="I4643" t="str">
        <f t="shared" si="510"/>
        <v/>
      </c>
    </row>
    <row r="4644" spans="1:9" x14ac:dyDescent="0.4">
      <c r="A4644" t="str">
        <f t="shared" si="504"/>
        <v/>
      </c>
      <c r="B4644" t="str">
        <f t="shared" si="505"/>
        <v/>
      </c>
      <c r="C4644" t="str">
        <f t="shared" si="506"/>
        <v/>
      </c>
      <c r="D4644" t="str">
        <f t="shared" si="507"/>
        <v/>
      </c>
      <c r="E4644" t="str">
        <f>IF(F4644="","",IF(COUNTIF($F$2:F4644,F4644)&gt;1,"",SUMIFS(tbl_input[필요수량],tbl_input[집계키_센터],F4644)))</f>
        <v/>
      </c>
      <c r="F4644" t="str">
        <f>IFERROR(INDEX(tbl_input[집계키_센터],ROW()-1),"")</f>
        <v/>
      </c>
      <c r="G4644" t="str">
        <f t="shared" si="508"/>
        <v/>
      </c>
      <c r="H4644" t="str">
        <f t="shared" si="509"/>
        <v/>
      </c>
      <c r="I4644" t="str">
        <f t="shared" si="510"/>
        <v/>
      </c>
    </row>
    <row r="4645" spans="1:9" x14ac:dyDescent="0.4">
      <c r="A4645" t="str">
        <f t="shared" si="504"/>
        <v/>
      </c>
      <c r="B4645" t="str">
        <f t="shared" si="505"/>
        <v/>
      </c>
      <c r="C4645" t="str">
        <f t="shared" si="506"/>
        <v/>
      </c>
      <c r="D4645" t="str">
        <f t="shared" si="507"/>
        <v/>
      </c>
      <c r="E4645" t="str">
        <f>IF(F4645="","",IF(COUNTIF($F$2:F4645,F4645)&gt;1,"",SUMIFS(tbl_input[필요수량],tbl_input[집계키_센터],F4645)))</f>
        <v/>
      </c>
      <c r="F4645" t="str">
        <f>IFERROR(INDEX(tbl_input[집계키_센터],ROW()-1),"")</f>
        <v/>
      </c>
      <c r="G4645" t="str">
        <f t="shared" si="508"/>
        <v/>
      </c>
      <c r="H4645" t="str">
        <f t="shared" si="509"/>
        <v/>
      </c>
      <c r="I4645" t="str">
        <f t="shared" si="510"/>
        <v/>
      </c>
    </row>
    <row r="4646" spans="1:9" x14ac:dyDescent="0.4">
      <c r="A4646" t="str">
        <f t="shared" si="504"/>
        <v/>
      </c>
      <c r="B4646" t="str">
        <f t="shared" si="505"/>
        <v/>
      </c>
      <c r="C4646" t="str">
        <f t="shared" si="506"/>
        <v/>
      </c>
      <c r="D4646" t="str">
        <f t="shared" si="507"/>
        <v/>
      </c>
      <c r="E4646" t="str">
        <f>IF(F4646="","",IF(COUNTIF($F$2:F4646,F4646)&gt;1,"",SUMIFS(tbl_input[필요수량],tbl_input[집계키_센터],F4646)))</f>
        <v/>
      </c>
      <c r="F4646" t="str">
        <f>IFERROR(INDEX(tbl_input[집계키_센터],ROW()-1),"")</f>
        <v/>
      </c>
      <c r="G4646" t="str">
        <f t="shared" si="508"/>
        <v/>
      </c>
      <c r="H4646" t="str">
        <f t="shared" si="509"/>
        <v/>
      </c>
      <c r="I4646" t="str">
        <f t="shared" si="510"/>
        <v/>
      </c>
    </row>
    <row r="4647" spans="1:9" x14ac:dyDescent="0.4">
      <c r="A4647" t="str">
        <f t="shared" si="504"/>
        <v/>
      </c>
      <c r="B4647" t="str">
        <f t="shared" si="505"/>
        <v/>
      </c>
      <c r="C4647" t="str">
        <f t="shared" si="506"/>
        <v/>
      </c>
      <c r="D4647" t="str">
        <f t="shared" si="507"/>
        <v/>
      </c>
      <c r="E4647" t="str">
        <f>IF(F4647="","",IF(COUNTIF($F$2:F4647,F4647)&gt;1,"",SUMIFS(tbl_input[필요수량],tbl_input[집계키_센터],F4647)))</f>
        <v/>
      </c>
      <c r="F4647" t="str">
        <f>IFERROR(INDEX(tbl_input[집계키_센터],ROW()-1),"")</f>
        <v/>
      </c>
      <c r="G4647" t="str">
        <f t="shared" si="508"/>
        <v/>
      </c>
      <c r="H4647" t="str">
        <f t="shared" si="509"/>
        <v/>
      </c>
      <c r="I4647" t="str">
        <f t="shared" si="510"/>
        <v/>
      </c>
    </row>
    <row r="4648" spans="1:9" x14ac:dyDescent="0.4">
      <c r="A4648" t="str">
        <f t="shared" si="504"/>
        <v/>
      </c>
      <c r="B4648" t="str">
        <f t="shared" si="505"/>
        <v/>
      </c>
      <c r="C4648" t="str">
        <f t="shared" si="506"/>
        <v/>
      </c>
      <c r="D4648" t="str">
        <f t="shared" si="507"/>
        <v/>
      </c>
      <c r="E4648" t="str">
        <f>IF(F4648="","",IF(COUNTIF($F$2:F4648,F4648)&gt;1,"",SUMIFS(tbl_input[필요수량],tbl_input[집계키_센터],F4648)))</f>
        <v/>
      </c>
      <c r="F4648" t="str">
        <f>IFERROR(INDEX(tbl_input[집계키_센터],ROW()-1),"")</f>
        <v/>
      </c>
      <c r="G4648" t="str">
        <f t="shared" si="508"/>
        <v/>
      </c>
      <c r="H4648" t="str">
        <f t="shared" si="509"/>
        <v/>
      </c>
      <c r="I4648" t="str">
        <f t="shared" si="510"/>
        <v/>
      </c>
    </row>
    <row r="4649" spans="1:9" x14ac:dyDescent="0.4">
      <c r="A4649" t="str">
        <f t="shared" si="504"/>
        <v/>
      </c>
      <c r="B4649" t="str">
        <f t="shared" si="505"/>
        <v/>
      </c>
      <c r="C4649" t="str">
        <f t="shared" si="506"/>
        <v/>
      </c>
      <c r="D4649" t="str">
        <f t="shared" si="507"/>
        <v/>
      </c>
      <c r="E4649" t="str">
        <f>IF(F4649="","",IF(COUNTIF($F$2:F4649,F4649)&gt;1,"",SUMIFS(tbl_input[필요수량],tbl_input[집계키_센터],F4649)))</f>
        <v/>
      </c>
      <c r="F4649" t="str">
        <f>IFERROR(INDEX(tbl_input[집계키_센터],ROW()-1),"")</f>
        <v/>
      </c>
      <c r="G4649" t="str">
        <f t="shared" si="508"/>
        <v/>
      </c>
      <c r="H4649" t="str">
        <f t="shared" si="509"/>
        <v/>
      </c>
      <c r="I4649" t="str">
        <f t="shared" si="510"/>
        <v/>
      </c>
    </row>
    <row r="4650" spans="1:9" x14ac:dyDescent="0.4">
      <c r="A4650" t="str">
        <f t="shared" si="504"/>
        <v/>
      </c>
      <c r="B4650" t="str">
        <f t="shared" si="505"/>
        <v/>
      </c>
      <c r="C4650" t="str">
        <f t="shared" si="506"/>
        <v/>
      </c>
      <c r="D4650" t="str">
        <f t="shared" si="507"/>
        <v/>
      </c>
      <c r="E4650" t="str">
        <f>IF(F4650="","",IF(COUNTIF($F$2:F4650,F4650)&gt;1,"",SUMIFS(tbl_input[필요수량],tbl_input[집계키_센터],F4650)))</f>
        <v/>
      </c>
      <c r="F4650" t="str">
        <f>IFERROR(INDEX(tbl_input[집계키_센터],ROW()-1),"")</f>
        <v/>
      </c>
      <c r="G4650" t="str">
        <f t="shared" si="508"/>
        <v/>
      </c>
      <c r="H4650" t="str">
        <f t="shared" si="509"/>
        <v/>
      </c>
      <c r="I4650" t="str">
        <f t="shared" si="510"/>
        <v/>
      </c>
    </row>
    <row r="4651" spans="1:9" x14ac:dyDescent="0.4">
      <c r="A4651" t="str">
        <f t="shared" si="504"/>
        <v/>
      </c>
      <c r="B4651" t="str">
        <f t="shared" si="505"/>
        <v/>
      </c>
      <c r="C4651" t="str">
        <f t="shared" si="506"/>
        <v/>
      </c>
      <c r="D4651" t="str">
        <f t="shared" si="507"/>
        <v/>
      </c>
      <c r="E4651" t="str">
        <f>IF(F4651="","",IF(COUNTIF($F$2:F4651,F4651)&gt;1,"",SUMIFS(tbl_input[필요수량],tbl_input[집계키_센터],F4651)))</f>
        <v/>
      </c>
      <c r="F4651" t="str">
        <f>IFERROR(INDEX(tbl_input[집계키_센터],ROW()-1),"")</f>
        <v/>
      </c>
      <c r="G4651" t="str">
        <f t="shared" si="508"/>
        <v/>
      </c>
      <c r="H4651" t="str">
        <f t="shared" si="509"/>
        <v/>
      </c>
      <c r="I4651" t="str">
        <f t="shared" si="510"/>
        <v/>
      </c>
    </row>
    <row r="4652" spans="1:9" x14ac:dyDescent="0.4">
      <c r="A4652" t="str">
        <f t="shared" si="504"/>
        <v/>
      </c>
      <c r="B4652" t="str">
        <f t="shared" si="505"/>
        <v/>
      </c>
      <c r="C4652" t="str">
        <f t="shared" si="506"/>
        <v/>
      </c>
      <c r="D4652" t="str">
        <f t="shared" si="507"/>
        <v/>
      </c>
      <c r="E4652" t="str">
        <f>IF(F4652="","",IF(COUNTIF($F$2:F4652,F4652)&gt;1,"",SUMIFS(tbl_input[필요수량],tbl_input[집계키_센터],F4652)))</f>
        <v/>
      </c>
      <c r="F4652" t="str">
        <f>IFERROR(INDEX(tbl_input[집계키_센터],ROW()-1),"")</f>
        <v/>
      </c>
      <c r="G4652" t="str">
        <f t="shared" si="508"/>
        <v/>
      </c>
      <c r="H4652" t="str">
        <f t="shared" si="509"/>
        <v/>
      </c>
      <c r="I4652" t="str">
        <f t="shared" si="510"/>
        <v/>
      </c>
    </row>
    <row r="4653" spans="1:9" x14ac:dyDescent="0.4">
      <c r="A4653" t="str">
        <f t="shared" si="504"/>
        <v/>
      </c>
      <c r="B4653" t="str">
        <f t="shared" si="505"/>
        <v/>
      </c>
      <c r="C4653" t="str">
        <f t="shared" si="506"/>
        <v/>
      </c>
      <c r="D4653" t="str">
        <f t="shared" si="507"/>
        <v/>
      </c>
      <c r="E4653" t="str">
        <f>IF(F4653="","",IF(COUNTIF($F$2:F4653,F4653)&gt;1,"",SUMIFS(tbl_input[필요수량],tbl_input[집계키_센터],F4653)))</f>
        <v/>
      </c>
      <c r="F4653" t="str">
        <f>IFERROR(INDEX(tbl_input[집계키_센터],ROW()-1),"")</f>
        <v/>
      </c>
      <c r="G4653" t="str">
        <f t="shared" si="508"/>
        <v/>
      </c>
      <c r="H4653" t="str">
        <f t="shared" si="509"/>
        <v/>
      </c>
      <c r="I4653" t="str">
        <f t="shared" si="510"/>
        <v/>
      </c>
    </row>
    <row r="4654" spans="1:9" x14ac:dyDescent="0.4">
      <c r="A4654" t="str">
        <f t="shared" si="504"/>
        <v/>
      </c>
      <c r="B4654" t="str">
        <f t="shared" si="505"/>
        <v/>
      </c>
      <c r="C4654" t="str">
        <f t="shared" si="506"/>
        <v/>
      </c>
      <c r="D4654" t="str">
        <f t="shared" si="507"/>
        <v/>
      </c>
      <c r="E4654" t="str">
        <f>IF(F4654="","",IF(COUNTIF($F$2:F4654,F4654)&gt;1,"",SUMIFS(tbl_input[필요수량],tbl_input[집계키_센터],F4654)))</f>
        <v/>
      </c>
      <c r="F4654" t="str">
        <f>IFERROR(INDEX(tbl_input[집계키_센터],ROW()-1),"")</f>
        <v/>
      </c>
      <c r="G4654" t="str">
        <f t="shared" si="508"/>
        <v/>
      </c>
      <c r="H4654" t="str">
        <f t="shared" si="509"/>
        <v/>
      </c>
      <c r="I4654" t="str">
        <f t="shared" si="510"/>
        <v/>
      </c>
    </row>
    <row r="4655" spans="1:9" x14ac:dyDescent="0.4">
      <c r="A4655" t="str">
        <f t="shared" si="504"/>
        <v/>
      </c>
      <c r="B4655" t="str">
        <f t="shared" si="505"/>
        <v/>
      </c>
      <c r="C4655" t="str">
        <f t="shared" si="506"/>
        <v/>
      </c>
      <c r="D4655" t="str">
        <f t="shared" si="507"/>
        <v/>
      </c>
      <c r="E4655" t="str">
        <f>IF(F4655="","",IF(COUNTIF($F$2:F4655,F4655)&gt;1,"",SUMIFS(tbl_input[필요수량],tbl_input[집계키_센터],F4655)))</f>
        <v/>
      </c>
      <c r="F4655" t="str">
        <f>IFERROR(INDEX(tbl_input[집계키_센터],ROW()-1),"")</f>
        <v/>
      </c>
      <c r="G4655" t="str">
        <f t="shared" si="508"/>
        <v/>
      </c>
      <c r="H4655" t="str">
        <f t="shared" si="509"/>
        <v/>
      </c>
      <c r="I4655" t="str">
        <f t="shared" si="510"/>
        <v/>
      </c>
    </row>
    <row r="4656" spans="1:9" x14ac:dyDescent="0.4">
      <c r="A4656" t="str">
        <f t="shared" si="504"/>
        <v/>
      </c>
      <c r="B4656" t="str">
        <f t="shared" si="505"/>
        <v/>
      </c>
      <c r="C4656" t="str">
        <f t="shared" si="506"/>
        <v/>
      </c>
      <c r="D4656" t="str">
        <f t="shared" si="507"/>
        <v/>
      </c>
      <c r="E4656" t="str">
        <f>IF(F4656="","",IF(COUNTIF($F$2:F4656,F4656)&gt;1,"",SUMIFS(tbl_input[필요수량],tbl_input[집계키_센터],F4656)))</f>
        <v/>
      </c>
      <c r="F4656" t="str">
        <f>IFERROR(INDEX(tbl_input[집계키_센터],ROW()-1),"")</f>
        <v/>
      </c>
      <c r="G4656" t="str">
        <f t="shared" si="508"/>
        <v/>
      </c>
      <c r="H4656" t="str">
        <f t="shared" si="509"/>
        <v/>
      </c>
      <c r="I4656" t="str">
        <f t="shared" si="510"/>
        <v/>
      </c>
    </row>
    <row r="4657" spans="1:9" x14ac:dyDescent="0.4">
      <c r="A4657" t="str">
        <f t="shared" si="504"/>
        <v/>
      </c>
      <c r="B4657" t="str">
        <f t="shared" si="505"/>
        <v/>
      </c>
      <c r="C4657" t="str">
        <f t="shared" si="506"/>
        <v/>
      </c>
      <c r="D4657" t="str">
        <f t="shared" si="507"/>
        <v/>
      </c>
      <c r="E4657" t="str">
        <f>IF(F4657="","",IF(COUNTIF($F$2:F4657,F4657)&gt;1,"",SUMIFS(tbl_input[필요수량],tbl_input[집계키_센터],F4657)))</f>
        <v/>
      </c>
      <c r="F4657" t="str">
        <f>IFERROR(INDEX(tbl_input[집계키_센터],ROW()-1),"")</f>
        <v/>
      </c>
      <c r="G4657" t="str">
        <f t="shared" si="508"/>
        <v/>
      </c>
      <c r="H4657" t="str">
        <f t="shared" si="509"/>
        <v/>
      </c>
      <c r="I4657" t="str">
        <f t="shared" si="510"/>
        <v/>
      </c>
    </row>
    <row r="4658" spans="1:9" x14ac:dyDescent="0.4">
      <c r="A4658" t="str">
        <f t="shared" si="504"/>
        <v/>
      </c>
      <c r="B4658" t="str">
        <f t="shared" si="505"/>
        <v/>
      </c>
      <c r="C4658" t="str">
        <f t="shared" si="506"/>
        <v/>
      </c>
      <c r="D4658" t="str">
        <f t="shared" si="507"/>
        <v/>
      </c>
      <c r="E4658" t="str">
        <f>IF(F4658="","",IF(COUNTIF($F$2:F4658,F4658)&gt;1,"",SUMIFS(tbl_input[필요수량],tbl_input[집계키_센터],F4658)))</f>
        <v/>
      </c>
      <c r="F4658" t="str">
        <f>IFERROR(INDEX(tbl_input[집계키_센터],ROW()-1),"")</f>
        <v/>
      </c>
      <c r="G4658" t="str">
        <f t="shared" si="508"/>
        <v/>
      </c>
      <c r="H4658" t="str">
        <f t="shared" si="509"/>
        <v/>
      </c>
      <c r="I4658" t="str">
        <f t="shared" si="510"/>
        <v/>
      </c>
    </row>
    <row r="4659" spans="1:9" x14ac:dyDescent="0.4">
      <c r="A4659" t="str">
        <f t="shared" si="504"/>
        <v/>
      </c>
      <c r="B4659" t="str">
        <f t="shared" si="505"/>
        <v/>
      </c>
      <c r="C4659" t="str">
        <f t="shared" si="506"/>
        <v/>
      </c>
      <c r="D4659" t="str">
        <f t="shared" si="507"/>
        <v/>
      </c>
      <c r="E4659" t="str">
        <f>IF(F4659="","",IF(COUNTIF($F$2:F4659,F4659)&gt;1,"",SUMIFS(tbl_input[필요수량],tbl_input[집계키_센터],F4659)))</f>
        <v/>
      </c>
      <c r="F4659" t="str">
        <f>IFERROR(INDEX(tbl_input[집계키_센터],ROW()-1),"")</f>
        <v/>
      </c>
      <c r="G4659" t="str">
        <f t="shared" si="508"/>
        <v/>
      </c>
      <c r="H4659" t="str">
        <f t="shared" si="509"/>
        <v/>
      </c>
      <c r="I4659" t="str">
        <f t="shared" si="510"/>
        <v/>
      </c>
    </row>
    <row r="4660" spans="1:9" x14ac:dyDescent="0.4">
      <c r="A4660" t="str">
        <f t="shared" si="504"/>
        <v/>
      </c>
      <c r="B4660" t="str">
        <f t="shared" si="505"/>
        <v/>
      </c>
      <c r="C4660" t="str">
        <f t="shared" si="506"/>
        <v/>
      </c>
      <c r="D4660" t="str">
        <f t="shared" si="507"/>
        <v/>
      </c>
      <c r="E4660" t="str">
        <f>IF(F4660="","",IF(COUNTIF($F$2:F4660,F4660)&gt;1,"",SUMIFS(tbl_input[필요수량],tbl_input[집계키_센터],F4660)))</f>
        <v/>
      </c>
      <c r="F4660" t="str">
        <f>IFERROR(INDEX(tbl_input[집계키_센터],ROW()-1),"")</f>
        <v/>
      </c>
      <c r="G4660" t="str">
        <f t="shared" si="508"/>
        <v/>
      </c>
      <c r="H4660" t="str">
        <f t="shared" si="509"/>
        <v/>
      </c>
      <c r="I4660" t="str">
        <f t="shared" si="510"/>
        <v/>
      </c>
    </row>
    <row r="4661" spans="1:9" x14ac:dyDescent="0.4">
      <c r="A4661" t="str">
        <f t="shared" si="504"/>
        <v/>
      </c>
      <c r="B4661" t="str">
        <f t="shared" si="505"/>
        <v/>
      </c>
      <c r="C4661" t="str">
        <f t="shared" si="506"/>
        <v/>
      </c>
      <c r="D4661" t="str">
        <f t="shared" si="507"/>
        <v/>
      </c>
      <c r="E4661" t="str">
        <f>IF(F4661="","",IF(COUNTIF($F$2:F4661,F4661)&gt;1,"",SUMIFS(tbl_input[필요수량],tbl_input[집계키_센터],F4661)))</f>
        <v/>
      </c>
      <c r="F4661" t="str">
        <f>IFERROR(INDEX(tbl_input[집계키_센터],ROW()-1),"")</f>
        <v/>
      </c>
      <c r="G4661" t="str">
        <f t="shared" si="508"/>
        <v/>
      </c>
      <c r="H4661" t="str">
        <f t="shared" si="509"/>
        <v/>
      </c>
      <c r="I4661" t="str">
        <f t="shared" si="510"/>
        <v/>
      </c>
    </row>
    <row r="4662" spans="1:9" x14ac:dyDescent="0.4">
      <c r="A4662" t="str">
        <f t="shared" si="504"/>
        <v/>
      </c>
      <c r="B4662" t="str">
        <f t="shared" si="505"/>
        <v/>
      </c>
      <c r="C4662" t="str">
        <f t="shared" si="506"/>
        <v/>
      </c>
      <c r="D4662" t="str">
        <f t="shared" si="507"/>
        <v/>
      </c>
      <c r="E4662" t="str">
        <f>IF(F4662="","",IF(COUNTIF($F$2:F4662,F4662)&gt;1,"",SUMIFS(tbl_input[필요수량],tbl_input[집계키_센터],F4662)))</f>
        <v/>
      </c>
      <c r="F4662" t="str">
        <f>IFERROR(INDEX(tbl_input[집계키_센터],ROW()-1),"")</f>
        <v/>
      </c>
      <c r="G4662" t="str">
        <f t="shared" si="508"/>
        <v/>
      </c>
      <c r="H4662" t="str">
        <f t="shared" si="509"/>
        <v/>
      </c>
      <c r="I4662" t="str">
        <f t="shared" si="510"/>
        <v/>
      </c>
    </row>
    <row r="4663" spans="1:9" x14ac:dyDescent="0.4">
      <c r="A4663" t="str">
        <f t="shared" si="504"/>
        <v/>
      </c>
      <c r="B4663" t="str">
        <f t="shared" si="505"/>
        <v/>
      </c>
      <c r="C4663" t="str">
        <f t="shared" si="506"/>
        <v/>
      </c>
      <c r="D4663" t="str">
        <f t="shared" si="507"/>
        <v/>
      </c>
      <c r="E4663" t="str">
        <f>IF(F4663="","",IF(COUNTIF($F$2:F4663,F4663)&gt;1,"",SUMIFS(tbl_input[필요수량],tbl_input[집계키_센터],F4663)))</f>
        <v/>
      </c>
      <c r="F4663" t="str">
        <f>IFERROR(INDEX(tbl_input[집계키_센터],ROW()-1),"")</f>
        <v/>
      </c>
      <c r="G4663" t="str">
        <f t="shared" si="508"/>
        <v/>
      </c>
      <c r="H4663" t="str">
        <f t="shared" si="509"/>
        <v/>
      </c>
      <c r="I4663" t="str">
        <f t="shared" si="510"/>
        <v/>
      </c>
    </row>
    <row r="4664" spans="1:9" x14ac:dyDescent="0.4">
      <c r="A4664" t="str">
        <f t="shared" si="504"/>
        <v/>
      </c>
      <c r="B4664" t="str">
        <f t="shared" si="505"/>
        <v/>
      </c>
      <c r="C4664" t="str">
        <f t="shared" si="506"/>
        <v/>
      </c>
      <c r="D4664" t="str">
        <f t="shared" si="507"/>
        <v/>
      </c>
      <c r="E4664" t="str">
        <f>IF(F4664="","",IF(COUNTIF($F$2:F4664,F4664)&gt;1,"",SUMIFS(tbl_input[필요수량],tbl_input[집계키_센터],F4664)))</f>
        <v/>
      </c>
      <c r="F4664" t="str">
        <f>IFERROR(INDEX(tbl_input[집계키_센터],ROW()-1),"")</f>
        <v/>
      </c>
      <c r="G4664" t="str">
        <f t="shared" si="508"/>
        <v/>
      </c>
      <c r="H4664" t="str">
        <f t="shared" si="509"/>
        <v/>
      </c>
      <c r="I4664" t="str">
        <f t="shared" si="510"/>
        <v/>
      </c>
    </row>
    <row r="4665" spans="1:9" x14ac:dyDescent="0.4">
      <c r="A4665" t="str">
        <f t="shared" si="504"/>
        <v/>
      </c>
      <c r="B4665" t="str">
        <f t="shared" si="505"/>
        <v/>
      </c>
      <c r="C4665" t="str">
        <f t="shared" si="506"/>
        <v/>
      </c>
      <c r="D4665" t="str">
        <f t="shared" si="507"/>
        <v/>
      </c>
      <c r="E4665" t="str">
        <f>IF(F4665="","",IF(COUNTIF($F$2:F4665,F4665)&gt;1,"",SUMIFS(tbl_input[필요수량],tbl_input[집계키_센터],F4665)))</f>
        <v/>
      </c>
      <c r="F4665" t="str">
        <f>IFERROR(INDEX(tbl_input[집계키_센터],ROW()-1),"")</f>
        <v/>
      </c>
      <c r="G4665" t="str">
        <f t="shared" si="508"/>
        <v/>
      </c>
      <c r="H4665" t="str">
        <f t="shared" si="509"/>
        <v/>
      </c>
      <c r="I4665" t="str">
        <f t="shared" si="510"/>
        <v/>
      </c>
    </row>
    <row r="4666" spans="1:9" x14ac:dyDescent="0.4">
      <c r="A4666" t="str">
        <f t="shared" si="504"/>
        <v/>
      </c>
      <c r="B4666" t="str">
        <f t="shared" si="505"/>
        <v/>
      </c>
      <c r="C4666" t="str">
        <f t="shared" si="506"/>
        <v/>
      </c>
      <c r="D4666" t="str">
        <f t="shared" si="507"/>
        <v/>
      </c>
      <c r="E4666" t="str">
        <f>IF(F4666="","",IF(COUNTIF($F$2:F4666,F4666)&gt;1,"",SUMIFS(tbl_input[필요수량],tbl_input[집계키_센터],F4666)))</f>
        <v/>
      </c>
      <c r="F4666" t="str">
        <f>IFERROR(INDEX(tbl_input[집계키_센터],ROW()-1),"")</f>
        <v/>
      </c>
      <c r="G4666" t="str">
        <f t="shared" si="508"/>
        <v/>
      </c>
      <c r="H4666" t="str">
        <f t="shared" si="509"/>
        <v/>
      </c>
      <c r="I4666" t="str">
        <f t="shared" si="510"/>
        <v/>
      </c>
    </row>
    <row r="4667" spans="1:9" x14ac:dyDescent="0.4">
      <c r="A4667" t="str">
        <f t="shared" si="504"/>
        <v/>
      </c>
      <c r="B4667" t="str">
        <f t="shared" si="505"/>
        <v/>
      </c>
      <c r="C4667" t="str">
        <f t="shared" si="506"/>
        <v/>
      </c>
      <c r="D4667" t="str">
        <f t="shared" si="507"/>
        <v/>
      </c>
      <c r="E4667" t="str">
        <f>IF(F4667="","",IF(COUNTIF($F$2:F4667,F4667)&gt;1,"",SUMIFS(tbl_input[필요수량],tbl_input[집계키_센터],F4667)))</f>
        <v/>
      </c>
      <c r="F4667" t="str">
        <f>IFERROR(INDEX(tbl_input[집계키_센터],ROW()-1),"")</f>
        <v/>
      </c>
      <c r="G4667" t="str">
        <f t="shared" si="508"/>
        <v/>
      </c>
      <c r="H4667" t="str">
        <f t="shared" si="509"/>
        <v/>
      </c>
      <c r="I4667" t="str">
        <f t="shared" si="510"/>
        <v/>
      </c>
    </row>
    <row r="4668" spans="1:9" x14ac:dyDescent="0.4">
      <c r="A4668" t="str">
        <f t="shared" si="504"/>
        <v/>
      </c>
      <c r="B4668" t="str">
        <f t="shared" si="505"/>
        <v/>
      </c>
      <c r="C4668" t="str">
        <f t="shared" si="506"/>
        <v/>
      </c>
      <c r="D4668" t="str">
        <f t="shared" si="507"/>
        <v/>
      </c>
      <c r="E4668" t="str">
        <f>IF(F4668="","",IF(COUNTIF($F$2:F4668,F4668)&gt;1,"",SUMIFS(tbl_input[필요수량],tbl_input[집계키_센터],F4668)))</f>
        <v/>
      </c>
      <c r="F4668" t="str">
        <f>IFERROR(INDEX(tbl_input[집계키_센터],ROW()-1),"")</f>
        <v/>
      </c>
      <c r="G4668" t="str">
        <f t="shared" si="508"/>
        <v/>
      </c>
      <c r="H4668" t="str">
        <f t="shared" si="509"/>
        <v/>
      </c>
      <c r="I4668" t="str">
        <f t="shared" si="510"/>
        <v/>
      </c>
    </row>
    <row r="4669" spans="1:9" x14ac:dyDescent="0.4">
      <c r="A4669" t="str">
        <f t="shared" si="504"/>
        <v/>
      </c>
      <c r="B4669" t="str">
        <f t="shared" si="505"/>
        <v/>
      </c>
      <c r="C4669" t="str">
        <f t="shared" si="506"/>
        <v/>
      </c>
      <c r="D4669" t="str">
        <f t="shared" si="507"/>
        <v/>
      </c>
      <c r="E4669" t="str">
        <f>IF(F4669="","",IF(COUNTIF($F$2:F4669,F4669)&gt;1,"",SUMIFS(tbl_input[필요수량],tbl_input[집계키_센터],F4669)))</f>
        <v/>
      </c>
      <c r="F4669" t="str">
        <f>IFERROR(INDEX(tbl_input[집계키_센터],ROW()-1),"")</f>
        <v/>
      </c>
      <c r="G4669" t="str">
        <f t="shared" si="508"/>
        <v/>
      </c>
      <c r="H4669" t="str">
        <f t="shared" si="509"/>
        <v/>
      </c>
      <c r="I4669" t="str">
        <f t="shared" si="510"/>
        <v/>
      </c>
    </row>
    <row r="4670" spans="1:9" x14ac:dyDescent="0.4">
      <c r="A4670" t="str">
        <f t="shared" si="504"/>
        <v/>
      </c>
      <c r="B4670" t="str">
        <f t="shared" si="505"/>
        <v/>
      </c>
      <c r="C4670" t="str">
        <f t="shared" si="506"/>
        <v/>
      </c>
      <c r="D4670" t="str">
        <f t="shared" si="507"/>
        <v/>
      </c>
      <c r="E4670" t="str">
        <f>IF(F4670="","",IF(COUNTIF($F$2:F4670,F4670)&gt;1,"",SUMIFS(tbl_input[필요수량],tbl_input[집계키_센터],F4670)))</f>
        <v/>
      </c>
      <c r="F4670" t="str">
        <f>IFERROR(INDEX(tbl_input[집계키_센터],ROW()-1),"")</f>
        <v/>
      </c>
      <c r="G4670" t="str">
        <f t="shared" si="508"/>
        <v/>
      </c>
      <c r="H4670" t="str">
        <f t="shared" si="509"/>
        <v/>
      </c>
      <c r="I4670" t="str">
        <f t="shared" si="510"/>
        <v/>
      </c>
    </row>
    <row r="4671" spans="1:9" x14ac:dyDescent="0.4">
      <c r="A4671" t="str">
        <f t="shared" si="504"/>
        <v/>
      </c>
      <c r="B4671" t="str">
        <f t="shared" si="505"/>
        <v/>
      </c>
      <c r="C4671" t="str">
        <f t="shared" si="506"/>
        <v/>
      </c>
      <c r="D4671" t="str">
        <f t="shared" si="507"/>
        <v/>
      </c>
      <c r="E4671" t="str">
        <f>IF(F4671="","",IF(COUNTIF($F$2:F4671,F4671)&gt;1,"",SUMIFS(tbl_input[필요수량],tbl_input[집계키_센터],F4671)))</f>
        <v/>
      </c>
      <c r="F4671" t="str">
        <f>IFERROR(INDEX(tbl_input[집계키_센터],ROW()-1),"")</f>
        <v/>
      </c>
      <c r="G4671" t="str">
        <f t="shared" si="508"/>
        <v/>
      </c>
      <c r="H4671" t="str">
        <f t="shared" si="509"/>
        <v/>
      </c>
      <c r="I4671" t="str">
        <f t="shared" si="510"/>
        <v/>
      </c>
    </row>
    <row r="4672" spans="1:9" x14ac:dyDescent="0.4">
      <c r="A4672" t="str">
        <f t="shared" si="504"/>
        <v/>
      </c>
      <c r="B4672" t="str">
        <f t="shared" si="505"/>
        <v/>
      </c>
      <c r="C4672" t="str">
        <f t="shared" si="506"/>
        <v/>
      </c>
      <c r="D4672" t="str">
        <f t="shared" si="507"/>
        <v/>
      </c>
      <c r="E4672" t="str">
        <f>IF(F4672="","",IF(COUNTIF($F$2:F4672,F4672)&gt;1,"",SUMIFS(tbl_input[필요수량],tbl_input[집계키_센터],F4672)))</f>
        <v/>
      </c>
      <c r="F4672" t="str">
        <f>IFERROR(INDEX(tbl_input[집계키_센터],ROW()-1),"")</f>
        <v/>
      </c>
      <c r="G4672" t="str">
        <f t="shared" si="508"/>
        <v/>
      </c>
      <c r="H4672" t="str">
        <f t="shared" si="509"/>
        <v/>
      </c>
      <c r="I4672" t="str">
        <f t="shared" si="510"/>
        <v/>
      </c>
    </row>
    <row r="4673" spans="1:9" x14ac:dyDescent="0.4">
      <c r="A4673" t="str">
        <f t="shared" si="504"/>
        <v/>
      </c>
      <c r="B4673" t="str">
        <f t="shared" si="505"/>
        <v/>
      </c>
      <c r="C4673" t="str">
        <f t="shared" si="506"/>
        <v/>
      </c>
      <c r="D4673" t="str">
        <f t="shared" si="507"/>
        <v/>
      </c>
      <c r="E4673" t="str">
        <f>IF(F4673="","",IF(COUNTIF($F$2:F4673,F4673)&gt;1,"",SUMIFS(tbl_input[필요수량],tbl_input[집계키_센터],F4673)))</f>
        <v/>
      </c>
      <c r="F4673" t="str">
        <f>IFERROR(INDEX(tbl_input[집계키_센터],ROW()-1),"")</f>
        <v/>
      </c>
      <c r="G4673" t="str">
        <f t="shared" si="508"/>
        <v/>
      </c>
      <c r="H4673" t="str">
        <f t="shared" si="509"/>
        <v/>
      </c>
      <c r="I4673" t="str">
        <f t="shared" si="510"/>
        <v/>
      </c>
    </row>
    <row r="4674" spans="1:9" x14ac:dyDescent="0.4">
      <c r="A4674" t="str">
        <f t="shared" ref="A4674:A4737" si="511">IF(F4674="","",LEFT(F4674,G4674-1))</f>
        <v/>
      </c>
      <c r="B4674" t="str">
        <f t="shared" ref="B4674:B4737" si="512">IF(F4674="","",MID(F4674,G4674+1,H4674-G4674-1))</f>
        <v/>
      </c>
      <c r="C4674" t="str">
        <f t="shared" ref="C4674:C4737" si="513">IF(F4674="","",MID(F4674,H4674+1,I4674-H4674-1))</f>
        <v/>
      </c>
      <c r="D4674" t="str">
        <f t="shared" ref="D4674:D4737" si="514">IF(F4674="","",MID(F4674,I4674+1,999))</f>
        <v/>
      </c>
      <c r="E4674" t="str">
        <f>IF(F4674="","",IF(COUNTIF($F$2:F4674,F4674)&gt;1,"",SUMIFS(tbl_input[필요수량],tbl_input[집계키_센터],F4674)))</f>
        <v/>
      </c>
      <c r="F4674" t="str">
        <f>IFERROR(INDEX(tbl_input[집계키_센터],ROW()-1),"")</f>
        <v/>
      </c>
      <c r="G4674" t="str">
        <f t="shared" ref="G4674:G4737" si="515">IF(F4674="","",FIND("♦",F4674))</f>
        <v/>
      </c>
      <c r="H4674" t="str">
        <f t="shared" ref="H4674:H4737" si="516">IF(F4674="","",FIND("♦",F4674,G4674+1))</f>
        <v/>
      </c>
      <c r="I4674" t="str">
        <f t="shared" ref="I4674:I4737" si="517">IF(F4674="","",FIND("♦",F4674,H4674+1))</f>
        <v/>
      </c>
    </row>
    <row r="4675" spans="1:9" x14ac:dyDescent="0.4">
      <c r="A4675" t="str">
        <f t="shared" si="511"/>
        <v/>
      </c>
      <c r="B4675" t="str">
        <f t="shared" si="512"/>
        <v/>
      </c>
      <c r="C4675" t="str">
        <f t="shared" si="513"/>
        <v/>
      </c>
      <c r="D4675" t="str">
        <f t="shared" si="514"/>
        <v/>
      </c>
      <c r="E4675" t="str">
        <f>IF(F4675="","",IF(COUNTIF($F$2:F4675,F4675)&gt;1,"",SUMIFS(tbl_input[필요수량],tbl_input[집계키_센터],F4675)))</f>
        <v/>
      </c>
      <c r="F4675" t="str">
        <f>IFERROR(INDEX(tbl_input[집계키_센터],ROW()-1),"")</f>
        <v/>
      </c>
      <c r="G4675" t="str">
        <f t="shared" si="515"/>
        <v/>
      </c>
      <c r="H4675" t="str">
        <f t="shared" si="516"/>
        <v/>
      </c>
      <c r="I4675" t="str">
        <f t="shared" si="517"/>
        <v/>
      </c>
    </row>
    <row r="4676" spans="1:9" x14ac:dyDescent="0.4">
      <c r="A4676" t="str">
        <f t="shared" si="511"/>
        <v/>
      </c>
      <c r="B4676" t="str">
        <f t="shared" si="512"/>
        <v/>
      </c>
      <c r="C4676" t="str">
        <f t="shared" si="513"/>
        <v/>
      </c>
      <c r="D4676" t="str">
        <f t="shared" si="514"/>
        <v/>
      </c>
      <c r="E4676" t="str">
        <f>IF(F4676="","",IF(COUNTIF($F$2:F4676,F4676)&gt;1,"",SUMIFS(tbl_input[필요수량],tbl_input[집계키_센터],F4676)))</f>
        <v/>
      </c>
      <c r="F4676" t="str">
        <f>IFERROR(INDEX(tbl_input[집계키_센터],ROW()-1),"")</f>
        <v/>
      </c>
      <c r="G4676" t="str">
        <f t="shared" si="515"/>
        <v/>
      </c>
      <c r="H4676" t="str">
        <f t="shared" si="516"/>
        <v/>
      </c>
      <c r="I4676" t="str">
        <f t="shared" si="517"/>
        <v/>
      </c>
    </row>
    <row r="4677" spans="1:9" x14ac:dyDescent="0.4">
      <c r="A4677" t="str">
        <f t="shared" si="511"/>
        <v/>
      </c>
      <c r="B4677" t="str">
        <f t="shared" si="512"/>
        <v/>
      </c>
      <c r="C4677" t="str">
        <f t="shared" si="513"/>
        <v/>
      </c>
      <c r="D4677" t="str">
        <f t="shared" si="514"/>
        <v/>
      </c>
      <c r="E4677" t="str">
        <f>IF(F4677="","",IF(COUNTIF($F$2:F4677,F4677)&gt;1,"",SUMIFS(tbl_input[필요수량],tbl_input[집계키_센터],F4677)))</f>
        <v/>
      </c>
      <c r="F4677" t="str">
        <f>IFERROR(INDEX(tbl_input[집계키_센터],ROW()-1),"")</f>
        <v/>
      </c>
      <c r="G4677" t="str">
        <f t="shared" si="515"/>
        <v/>
      </c>
      <c r="H4677" t="str">
        <f t="shared" si="516"/>
        <v/>
      </c>
      <c r="I4677" t="str">
        <f t="shared" si="517"/>
        <v/>
      </c>
    </row>
    <row r="4678" spans="1:9" x14ac:dyDescent="0.4">
      <c r="A4678" t="str">
        <f t="shared" si="511"/>
        <v/>
      </c>
      <c r="B4678" t="str">
        <f t="shared" si="512"/>
        <v/>
      </c>
      <c r="C4678" t="str">
        <f t="shared" si="513"/>
        <v/>
      </c>
      <c r="D4678" t="str">
        <f t="shared" si="514"/>
        <v/>
      </c>
      <c r="E4678" t="str">
        <f>IF(F4678="","",IF(COUNTIF($F$2:F4678,F4678)&gt;1,"",SUMIFS(tbl_input[필요수량],tbl_input[집계키_센터],F4678)))</f>
        <v/>
      </c>
      <c r="F4678" t="str">
        <f>IFERROR(INDEX(tbl_input[집계키_센터],ROW()-1),"")</f>
        <v/>
      </c>
      <c r="G4678" t="str">
        <f t="shared" si="515"/>
        <v/>
      </c>
      <c r="H4678" t="str">
        <f t="shared" si="516"/>
        <v/>
      </c>
      <c r="I4678" t="str">
        <f t="shared" si="517"/>
        <v/>
      </c>
    </row>
    <row r="4679" spans="1:9" x14ac:dyDescent="0.4">
      <c r="A4679" t="str">
        <f t="shared" si="511"/>
        <v/>
      </c>
      <c r="B4679" t="str">
        <f t="shared" si="512"/>
        <v/>
      </c>
      <c r="C4679" t="str">
        <f t="shared" si="513"/>
        <v/>
      </c>
      <c r="D4679" t="str">
        <f t="shared" si="514"/>
        <v/>
      </c>
      <c r="E4679" t="str">
        <f>IF(F4679="","",IF(COUNTIF($F$2:F4679,F4679)&gt;1,"",SUMIFS(tbl_input[필요수량],tbl_input[집계키_센터],F4679)))</f>
        <v/>
      </c>
      <c r="F4679" t="str">
        <f>IFERROR(INDEX(tbl_input[집계키_센터],ROW()-1),"")</f>
        <v/>
      </c>
      <c r="G4679" t="str">
        <f t="shared" si="515"/>
        <v/>
      </c>
      <c r="H4679" t="str">
        <f t="shared" si="516"/>
        <v/>
      </c>
      <c r="I4679" t="str">
        <f t="shared" si="517"/>
        <v/>
      </c>
    </row>
    <row r="4680" spans="1:9" x14ac:dyDescent="0.4">
      <c r="A4680" t="str">
        <f t="shared" si="511"/>
        <v/>
      </c>
      <c r="B4680" t="str">
        <f t="shared" si="512"/>
        <v/>
      </c>
      <c r="C4680" t="str">
        <f t="shared" si="513"/>
        <v/>
      </c>
      <c r="D4680" t="str">
        <f t="shared" si="514"/>
        <v/>
      </c>
      <c r="E4680" t="str">
        <f>IF(F4680="","",IF(COUNTIF($F$2:F4680,F4680)&gt;1,"",SUMIFS(tbl_input[필요수량],tbl_input[집계키_센터],F4680)))</f>
        <v/>
      </c>
      <c r="F4680" t="str">
        <f>IFERROR(INDEX(tbl_input[집계키_센터],ROW()-1),"")</f>
        <v/>
      </c>
      <c r="G4680" t="str">
        <f t="shared" si="515"/>
        <v/>
      </c>
      <c r="H4680" t="str">
        <f t="shared" si="516"/>
        <v/>
      </c>
      <c r="I4680" t="str">
        <f t="shared" si="517"/>
        <v/>
      </c>
    </row>
    <row r="4681" spans="1:9" x14ac:dyDescent="0.4">
      <c r="A4681" t="str">
        <f t="shared" si="511"/>
        <v/>
      </c>
      <c r="B4681" t="str">
        <f t="shared" si="512"/>
        <v/>
      </c>
      <c r="C4681" t="str">
        <f t="shared" si="513"/>
        <v/>
      </c>
      <c r="D4681" t="str">
        <f t="shared" si="514"/>
        <v/>
      </c>
      <c r="E4681" t="str">
        <f>IF(F4681="","",IF(COUNTIF($F$2:F4681,F4681)&gt;1,"",SUMIFS(tbl_input[필요수량],tbl_input[집계키_센터],F4681)))</f>
        <v/>
      </c>
      <c r="F4681" t="str">
        <f>IFERROR(INDEX(tbl_input[집계키_센터],ROW()-1),"")</f>
        <v/>
      </c>
      <c r="G4681" t="str">
        <f t="shared" si="515"/>
        <v/>
      </c>
      <c r="H4681" t="str">
        <f t="shared" si="516"/>
        <v/>
      </c>
      <c r="I4681" t="str">
        <f t="shared" si="517"/>
        <v/>
      </c>
    </row>
    <row r="4682" spans="1:9" x14ac:dyDescent="0.4">
      <c r="A4682" t="str">
        <f t="shared" si="511"/>
        <v/>
      </c>
      <c r="B4682" t="str">
        <f t="shared" si="512"/>
        <v/>
      </c>
      <c r="C4682" t="str">
        <f t="shared" si="513"/>
        <v/>
      </c>
      <c r="D4682" t="str">
        <f t="shared" si="514"/>
        <v/>
      </c>
      <c r="E4682" t="str">
        <f>IF(F4682="","",IF(COUNTIF($F$2:F4682,F4682)&gt;1,"",SUMIFS(tbl_input[필요수량],tbl_input[집계키_센터],F4682)))</f>
        <v/>
      </c>
      <c r="F4682" t="str">
        <f>IFERROR(INDEX(tbl_input[집계키_센터],ROW()-1),"")</f>
        <v/>
      </c>
      <c r="G4682" t="str">
        <f t="shared" si="515"/>
        <v/>
      </c>
      <c r="H4682" t="str">
        <f t="shared" si="516"/>
        <v/>
      </c>
      <c r="I4682" t="str">
        <f t="shared" si="517"/>
        <v/>
      </c>
    </row>
    <row r="4683" spans="1:9" x14ac:dyDescent="0.4">
      <c r="A4683" t="str">
        <f t="shared" si="511"/>
        <v/>
      </c>
      <c r="B4683" t="str">
        <f t="shared" si="512"/>
        <v/>
      </c>
      <c r="C4683" t="str">
        <f t="shared" si="513"/>
        <v/>
      </c>
      <c r="D4683" t="str">
        <f t="shared" si="514"/>
        <v/>
      </c>
      <c r="E4683" t="str">
        <f>IF(F4683="","",IF(COUNTIF($F$2:F4683,F4683)&gt;1,"",SUMIFS(tbl_input[필요수량],tbl_input[집계키_센터],F4683)))</f>
        <v/>
      </c>
      <c r="F4683" t="str">
        <f>IFERROR(INDEX(tbl_input[집계키_센터],ROW()-1),"")</f>
        <v/>
      </c>
      <c r="G4683" t="str">
        <f t="shared" si="515"/>
        <v/>
      </c>
      <c r="H4683" t="str">
        <f t="shared" si="516"/>
        <v/>
      </c>
      <c r="I4683" t="str">
        <f t="shared" si="517"/>
        <v/>
      </c>
    </row>
    <row r="4684" spans="1:9" x14ac:dyDescent="0.4">
      <c r="A4684" t="str">
        <f t="shared" si="511"/>
        <v/>
      </c>
      <c r="B4684" t="str">
        <f t="shared" si="512"/>
        <v/>
      </c>
      <c r="C4684" t="str">
        <f t="shared" si="513"/>
        <v/>
      </c>
      <c r="D4684" t="str">
        <f t="shared" si="514"/>
        <v/>
      </c>
      <c r="E4684" t="str">
        <f>IF(F4684="","",IF(COUNTIF($F$2:F4684,F4684)&gt;1,"",SUMIFS(tbl_input[필요수량],tbl_input[집계키_센터],F4684)))</f>
        <v/>
      </c>
      <c r="F4684" t="str">
        <f>IFERROR(INDEX(tbl_input[집계키_센터],ROW()-1),"")</f>
        <v/>
      </c>
      <c r="G4684" t="str">
        <f t="shared" si="515"/>
        <v/>
      </c>
      <c r="H4684" t="str">
        <f t="shared" si="516"/>
        <v/>
      </c>
      <c r="I4684" t="str">
        <f t="shared" si="517"/>
        <v/>
      </c>
    </row>
    <row r="4685" spans="1:9" x14ac:dyDescent="0.4">
      <c r="A4685" t="str">
        <f t="shared" si="511"/>
        <v/>
      </c>
      <c r="B4685" t="str">
        <f t="shared" si="512"/>
        <v/>
      </c>
      <c r="C4685" t="str">
        <f t="shared" si="513"/>
        <v/>
      </c>
      <c r="D4685" t="str">
        <f t="shared" si="514"/>
        <v/>
      </c>
      <c r="E4685" t="str">
        <f>IF(F4685="","",IF(COUNTIF($F$2:F4685,F4685)&gt;1,"",SUMIFS(tbl_input[필요수량],tbl_input[집계키_센터],F4685)))</f>
        <v/>
      </c>
      <c r="F4685" t="str">
        <f>IFERROR(INDEX(tbl_input[집계키_센터],ROW()-1),"")</f>
        <v/>
      </c>
      <c r="G4685" t="str">
        <f t="shared" si="515"/>
        <v/>
      </c>
      <c r="H4685" t="str">
        <f t="shared" si="516"/>
        <v/>
      </c>
      <c r="I4685" t="str">
        <f t="shared" si="517"/>
        <v/>
      </c>
    </row>
    <row r="4686" spans="1:9" x14ac:dyDescent="0.4">
      <c r="A4686" t="str">
        <f t="shared" si="511"/>
        <v/>
      </c>
      <c r="B4686" t="str">
        <f t="shared" si="512"/>
        <v/>
      </c>
      <c r="C4686" t="str">
        <f t="shared" si="513"/>
        <v/>
      </c>
      <c r="D4686" t="str">
        <f t="shared" si="514"/>
        <v/>
      </c>
      <c r="E4686" t="str">
        <f>IF(F4686="","",IF(COUNTIF($F$2:F4686,F4686)&gt;1,"",SUMIFS(tbl_input[필요수량],tbl_input[집계키_센터],F4686)))</f>
        <v/>
      </c>
      <c r="F4686" t="str">
        <f>IFERROR(INDEX(tbl_input[집계키_센터],ROW()-1),"")</f>
        <v/>
      </c>
      <c r="G4686" t="str">
        <f t="shared" si="515"/>
        <v/>
      </c>
      <c r="H4686" t="str">
        <f t="shared" si="516"/>
        <v/>
      </c>
      <c r="I4686" t="str">
        <f t="shared" si="517"/>
        <v/>
      </c>
    </row>
    <row r="4687" spans="1:9" x14ac:dyDescent="0.4">
      <c r="A4687" t="str">
        <f t="shared" si="511"/>
        <v/>
      </c>
      <c r="B4687" t="str">
        <f t="shared" si="512"/>
        <v/>
      </c>
      <c r="C4687" t="str">
        <f t="shared" si="513"/>
        <v/>
      </c>
      <c r="D4687" t="str">
        <f t="shared" si="514"/>
        <v/>
      </c>
      <c r="E4687" t="str">
        <f>IF(F4687="","",IF(COUNTIF($F$2:F4687,F4687)&gt;1,"",SUMIFS(tbl_input[필요수량],tbl_input[집계키_센터],F4687)))</f>
        <v/>
      </c>
      <c r="F4687" t="str">
        <f>IFERROR(INDEX(tbl_input[집계키_센터],ROW()-1),"")</f>
        <v/>
      </c>
      <c r="G4687" t="str">
        <f t="shared" si="515"/>
        <v/>
      </c>
      <c r="H4687" t="str">
        <f t="shared" si="516"/>
        <v/>
      </c>
      <c r="I4687" t="str">
        <f t="shared" si="517"/>
        <v/>
      </c>
    </row>
    <row r="4688" spans="1:9" x14ac:dyDescent="0.4">
      <c r="A4688" t="str">
        <f t="shared" si="511"/>
        <v/>
      </c>
      <c r="B4688" t="str">
        <f t="shared" si="512"/>
        <v/>
      </c>
      <c r="C4688" t="str">
        <f t="shared" si="513"/>
        <v/>
      </c>
      <c r="D4688" t="str">
        <f t="shared" si="514"/>
        <v/>
      </c>
      <c r="E4688" t="str">
        <f>IF(F4688="","",IF(COUNTIF($F$2:F4688,F4688)&gt;1,"",SUMIFS(tbl_input[필요수량],tbl_input[집계키_센터],F4688)))</f>
        <v/>
      </c>
      <c r="F4688" t="str">
        <f>IFERROR(INDEX(tbl_input[집계키_센터],ROW()-1),"")</f>
        <v/>
      </c>
      <c r="G4688" t="str">
        <f t="shared" si="515"/>
        <v/>
      </c>
      <c r="H4688" t="str">
        <f t="shared" si="516"/>
        <v/>
      </c>
      <c r="I4688" t="str">
        <f t="shared" si="517"/>
        <v/>
      </c>
    </row>
    <row r="4689" spans="1:9" x14ac:dyDescent="0.4">
      <c r="A4689" t="str">
        <f t="shared" si="511"/>
        <v/>
      </c>
      <c r="B4689" t="str">
        <f t="shared" si="512"/>
        <v/>
      </c>
      <c r="C4689" t="str">
        <f t="shared" si="513"/>
        <v/>
      </c>
      <c r="D4689" t="str">
        <f t="shared" si="514"/>
        <v/>
      </c>
      <c r="E4689" t="str">
        <f>IF(F4689="","",IF(COUNTIF($F$2:F4689,F4689)&gt;1,"",SUMIFS(tbl_input[필요수량],tbl_input[집계키_센터],F4689)))</f>
        <v/>
      </c>
      <c r="F4689" t="str">
        <f>IFERROR(INDEX(tbl_input[집계키_센터],ROW()-1),"")</f>
        <v/>
      </c>
      <c r="G4689" t="str">
        <f t="shared" si="515"/>
        <v/>
      </c>
      <c r="H4689" t="str">
        <f t="shared" si="516"/>
        <v/>
      </c>
      <c r="I4689" t="str">
        <f t="shared" si="517"/>
        <v/>
      </c>
    </row>
    <row r="4690" spans="1:9" x14ac:dyDescent="0.4">
      <c r="A4690" t="str">
        <f t="shared" si="511"/>
        <v/>
      </c>
      <c r="B4690" t="str">
        <f t="shared" si="512"/>
        <v/>
      </c>
      <c r="C4690" t="str">
        <f t="shared" si="513"/>
        <v/>
      </c>
      <c r="D4690" t="str">
        <f t="shared" si="514"/>
        <v/>
      </c>
      <c r="E4690" t="str">
        <f>IF(F4690="","",IF(COUNTIF($F$2:F4690,F4690)&gt;1,"",SUMIFS(tbl_input[필요수량],tbl_input[집계키_센터],F4690)))</f>
        <v/>
      </c>
      <c r="F4690" t="str">
        <f>IFERROR(INDEX(tbl_input[집계키_센터],ROW()-1),"")</f>
        <v/>
      </c>
      <c r="G4690" t="str">
        <f t="shared" si="515"/>
        <v/>
      </c>
      <c r="H4690" t="str">
        <f t="shared" si="516"/>
        <v/>
      </c>
      <c r="I4690" t="str">
        <f t="shared" si="517"/>
        <v/>
      </c>
    </row>
    <row r="4691" spans="1:9" x14ac:dyDescent="0.4">
      <c r="A4691" t="str">
        <f t="shared" si="511"/>
        <v/>
      </c>
      <c r="B4691" t="str">
        <f t="shared" si="512"/>
        <v/>
      </c>
      <c r="C4691" t="str">
        <f t="shared" si="513"/>
        <v/>
      </c>
      <c r="D4691" t="str">
        <f t="shared" si="514"/>
        <v/>
      </c>
      <c r="E4691" t="str">
        <f>IF(F4691="","",IF(COUNTIF($F$2:F4691,F4691)&gt;1,"",SUMIFS(tbl_input[필요수량],tbl_input[집계키_센터],F4691)))</f>
        <v/>
      </c>
      <c r="F4691" t="str">
        <f>IFERROR(INDEX(tbl_input[집계키_센터],ROW()-1),"")</f>
        <v/>
      </c>
      <c r="G4691" t="str">
        <f t="shared" si="515"/>
        <v/>
      </c>
      <c r="H4691" t="str">
        <f t="shared" si="516"/>
        <v/>
      </c>
      <c r="I4691" t="str">
        <f t="shared" si="517"/>
        <v/>
      </c>
    </row>
    <row r="4692" spans="1:9" x14ac:dyDescent="0.4">
      <c r="A4692" t="str">
        <f t="shared" si="511"/>
        <v/>
      </c>
      <c r="B4692" t="str">
        <f t="shared" si="512"/>
        <v/>
      </c>
      <c r="C4692" t="str">
        <f t="shared" si="513"/>
        <v/>
      </c>
      <c r="D4692" t="str">
        <f t="shared" si="514"/>
        <v/>
      </c>
      <c r="E4692" t="str">
        <f>IF(F4692="","",IF(COUNTIF($F$2:F4692,F4692)&gt;1,"",SUMIFS(tbl_input[필요수량],tbl_input[집계키_센터],F4692)))</f>
        <v/>
      </c>
      <c r="F4692" t="str">
        <f>IFERROR(INDEX(tbl_input[집계키_센터],ROW()-1),"")</f>
        <v/>
      </c>
      <c r="G4692" t="str">
        <f t="shared" si="515"/>
        <v/>
      </c>
      <c r="H4692" t="str">
        <f t="shared" si="516"/>
        <v/>
      </c>
      <c r="I4692" t="str">
        <f t="shared" si="517"/>
        <v/>
      </c>
    </row>
    <row r="4693" spans="1:9" x14ac:dyDescent="0.4">
      <c r="A4693" t="str">
        <f t="shared" si="511"/>
        <v/>
      </c>
      <c r="B4693" t="str">
        <f t="shared" si="512"/>
        <v/>
      </c>
      <c r="C4693" t="str">
        <f t="shared" si="513"/>
        <v/>
      </c>
      <c r="D4693" t="str">
        <f t="shared" si="514"/>
        <v/>
      </c>
      <c r="E4693" t="str">
        <f>IF(F4693="","",IF(COUNTIF($F$2:F4693,F4693)&gt;1,"",SUMIFS(tbl_input[필요수량],tbl_input[집계키_센터],F4693)))</f>
        <v/>
      </c>
      <c r="F4693" t="str">
        <f>IFERROR(INDEX(tbl_input[집계키_센터],ROW()-1),"")</f>
        <v/>
      </c>
      <c r="G4693" t="str">
        <f t="shared" si="515"/>
        <v/>
      </c>
      <c r="H4693" t="str">
        <f t="shared" si="516"/>
        <v/>
      </c>
      <c r="I4693" t="str">
        <f t="shared" si="517"/>
        <v/>
      </c>
    </row>
    <row r="4694" spans="1:9" x14ac:dyDescent="0.4">
      <c r="A4694" t="str">
        <f t="shared" si="511"/>
        <v/>
      </c>
      <c r="B4694" t="str">
        <f t="shared" si="512"/>
        <v/>
      </c>
      <c r="C4694" t="str">
        <f t="shared" si="513"/>
        <v/>
      </c>
      <c r="D4694" t="str">
        <f t="shared" si="514"/>
        <v/>
      </c>
      <c r="E4694" t="str">
        <f>IF(F4694="","",IF(COUNTIF($F$2:F4694,F4694)&gt;1,"",SUMIFS(tbl_input[필요수량],tbl_input[집계키_센터],F4694)))</f>
        <v/>
      </c>
      <c r="F4694" t="str">
        <f>IFERROR(INDEX(tbl_input[집계키_센터],ROW()-1),"")</f>
        <v/>
      </c>
      <c r="G4694" t="str">
        <f t="shared" si="515"/>
        <v/>
      </c>
      <c r="H4694" t="str">
        <f t="shared" si="516"/>
        <v/>
      </c>
      <c r="I4694" t="str">
        <f t="shared" si="517"/>
        <v/>
      </c>
    </row>
    <row r="4695" spans="1:9" x14ac:dyDescent="0.4">
      <c r="A4695" t="str">
        <f t="shared" si="511"/>
        <v/>
      </c>
      <c r="B4695" t="str">
        <f t="shared" si="512"/>
        <v/>
      </c>
      <c r="C4695" t="str">
        <f t="shared" si="513"/>
        <v/>
      </c>
      <c r="D4695" t="str">
        <f t="shared" si="514"/>
        <v/>
      </c>
      <c r="E4695" t="str">
        <f>IF(F4695="","",IF(COUNTIF($F$2:F4695,F4695)&gt;1,"",SUMIFS(tbl_input[필요수량],tbl_input[집계키_센터],F4695)))</f>
        <v/>
      </c>
      <c r="F4695" t="str">
        <f>IFERROR(INDEX(tbl_input[집계키_센터],ROW()-1),"")</f>
        <v/>
      </c>
      <c r="G4695" t="str">
        <f t="shared" si="515"/>
        <v/>
      </c>
      <c r="H4695" t="str">
        <f t="shared" si="516"/>
        <v/>
      </c>
      <c r="I4695" t="str">
        <f t="shared" si="517"/>
        <v/>
      </c>
    </row>
    <row r="4696" spans="1:9" x14ac:dyDescent="0.4">
      <c r="A4696" t="str">
        <f t="shared" si="511"/>
        <v/>
      </c>
      <c r="B4696" t="str">
        <f t="shared" si="512"/>
        <v/>
      </c>
      <c r="C4696" t="str">
        <f t="shared" si="513"/>
        <v/>
      </c>
      <c r="D4696" t="str">
        <f t="shared" si="514"/>
        <v/>
      </c>
      <c r="E4696" t="str">
        <f>IF(F4696="","",IF(COUNTIF($F$2:F4696,F4696)&gt;1,"",SUMIFS(tbl_input[필요수량],tbl_input[집계키_센터],F4696)))</f>
        <v/>
      </c>
      <c r="F4696" t="str">
        <f>IFERROR(INDEX(tbl_input[집계키_센터],ROW()-1),"")</f>
        <v/>
      </c>
      <c r="G4696" t="str">
        <f t="shared" si="515"/>
        <v/>
      </c>
      <c r="H4696" t="str">
        <f t="shared" si="516"/>
        <v/>
      </c>
      <c r="I4696" t="str">
        <f t="shared" si="517"/>
        <v/>
      </c>
    </row>
    <row r="4697" spans="1:9" x14ac:dyDescent="0.4">
      <c r="A4697" t="str">
        <f t="shared" si="511"/>
        <v/>
      </c>
      <c r="B4697" t="str">
        <f t="shared" si="512"/>
        <v/>
      </c>
      <c r="C4697" t="str">
        <f t="shared" si="513"/>
        <v/>
      </c>
      <c r="D4697" t="str">
        <f t="shared" si="514"/>
        <v/>
      </c>
      <c r="E4697" t="str">
        <f>IF(F4697="","",IF(COUNTIF($F$2:F4697,F4697)&gt;1,"",SUMIFS(tbl_input[필요수량],tbl_input[집계키_센터],F4697)))</f>
        <v/>
      </c>
      <c r="F4697" t="str">
        <f>IFERROR(INDEX(tbl_input[집계키_센터],ROW()-1),"")</f>
        <v/>
      </c>
      <c r="G4697" t="str">
        <f t="shared" si="515"/>
        <v/>
      </c>
      <c r="H4697" t="str">
        <f t="shared" si="516"/>
        <v/>
      </c>
      <c r="I4697" t="str">
        <f t="shared" si="517"/>
        <v/>
      </c>
    </row>
    <row r="4698" spans="1:9" x14ac:dyDescent="0.4">
      <c r="A4698" t="str">
        <f t="shared" si="511"/>
        <v/>
      </c>
      <c r="B4698" t="str">
        <f t="shared" si="512"/>
        <v/>
      </c>
      <c r="C4698" t="str">
        <f t="shared" si="513"/>
        <v/>
      </c>
      <c r="D4698" t="str">
        <f t="shared" si="514"/>
        <v/>
      </c>
      <c r="E4698" t="str">
        <f>IF(F4698="","",IF(COUNTIF($F$2:F4698,F4698)&gt;1,"",SUMIFS(tbl_input[필요수량],tbl_input[집계키_센터],F4698)))</f>
        <v/>
      </c>
      <c r="F4698" t="str">
        <f>IFERROR(INDEX(tbl_input[집계키_센터],ROW()-1),"")</f>
        <v/>
      </c>
      <c r="G4698" t="str">
        <f t="shared" si="515"/>
        <v/>
      </c>
      <c r="H4698" t="str">
        <f t="shared" si="516"/>
        <v/>
      </c>
      <c r="I4698" t="str">
        <f t="shared" si="517"/>
        <v/>
      </c>
    </row>
    <row r="4699" spans="1:9" x14ac:dyDescent="0.4">
      <c r="A4699" t="str">
        <f t="shared" si="511"/>
        <v/>
      </c>
      <c r="B4699" t="str">
        <f t="shared" si="512"/>
        <v/>
      </c>
      <c r="C4699" t="str">
        <f t="shared" si="513"/>
        <v/>
      </c>
      <c r="D4699" t="str">
        <f t="shared" si="514"/>
        <v/>
      </c>
      <c r="E4699" t="str">
        <f>IF(F4699="","",IF(COUNTIF($F$2:F4699,F4699)&gt;1,"",SUMIFS(tbl_input[필요수량],tbl_input[집계키_센터],F4699)))</f>
        <v/>
      </c>
      <c r="F4699" t="str">
        <f>IFERROR(INDEX(tbl_input[집계키_센터],ROW()-1),"")</f>
        <v/>
      </c>
      <c r="G4699" t="str">
        <f t="shared" si="515"/>
        <v/>
      </c>
      <c r="H4699" t="str">
        <f t="shared" si="516"/>
        <v/>
      </c>
      <c r="I4699" t="str">
        <f t="shared" si="517"/>
        <v/>
      </c>
    </row>
    <row r="4700" spans="1:9" x14ac:dyDescent="0.4">
      <c r="A4700" t="str">
        <f t="shared" si="511"/>
        <v/>
      </c>
      <c r="B4700" t="str">
        <f t="shared" si="512"/>
        <v/>
      </c>
      <c r="C4700" t="str">
        <f t="shared" si="513"/>
        <v/>
      </c>
      <c r="D4700" t="str">
        <f t="shared" si="514"/>
        <v/>
      </c>
      <c r="E4700" t="str">
        <f>IF(F4700="","",IF(COUNTIF($F$2:F4700,F4700)&gt;1,"",SUMIFS(tbl_input[필요수량],tbl_input[집계키_센터],F4700)))</f>
        <v/>
      </c>
      <c r="F4700" t="str">
        <f>IFERROR(INDEX(tbl_input[집계키_센터],ROW()-1),"")</f>
        <v/>
      </c>
      <c r="G4700" t="str">
        <f t="shared" si="515"/>
        <v/>
      </c>
      <c r="H4700" t="str">
        <f t="shared" si="516"/>
        <v/>
      </c>
      <c r="I4700" t="str">
        <f t="shared" si="517"/>
        <v/>
      </c>
    </row>
    <row r="4701" spans="1:9" x14ac:dyDescent="0.4">
      <c r="A4701" t="str">
        <f t="shared" si="511"/>
        <v/>
      </c>
      <c r="B4701" t="str">
        <f t="shared" si="512"/>
        <v/>
      </c>
      <c r="C4701" t="str">
        <f t="shared" si="513"/>
        <v/>
      </c>
      <c r="D4701" t="str">
        <f t="shared" si="514"/>
        <v/>
      </c>
      <c r="E4701" t="str">
        <f>IF(F4701="","",IF(COUNTIF($F$2:F4701,F4701)&gt;1,"",SUMIFS(tbl_input[필요수량],tbl_input[집계키_센터],F4701)))</f>
        <v/>
      </c>
      <c r="F4701" t="str">
        <f>IFERROR(INDEX(tbl_input[집계키_센터],ROW()-1),"")</f>
        <v/>
      </c>
      <c r="G4701" t="str">
        <f t="shared" si="515"/>
        <v/>
      </c>
      <c r="H4701" t="str">
        <f t="shared" si="516"/>
        <v/>
      </c>
      <c r="I4701" t="str">
        <f t="shared" si="517"/>
        <v/>
      </c>
    </row>
    <row r="4702" spans="1:9" x14ac:dyDescent="0.4">
      <c r="A4702" t="str">
        <f t="shared" si="511"/>
        <v/>
      </c>
      <c r="B4702" t="str">
        <f t="shared" si="512"/>
        <v/>
      </c>
      <c r="C4702" t="str">
        <f t="shared" si="513"/>
        <v/>
      </c>
      <c r="D4702" t="str">
        <f t="shared" si="514"/>
        <v/>
      </c>
      <c r="E4702" t="str">
        <f>IF(F4702="","",IF(COUNTIF($F$2:F4702,F4702)&gt;1,"",SUMIFS(tbl_input[필요수량],tbl_input[집계키_센터],F4702)))</f>
        <v/>
      </c>
      <c r="F4702" t="str">
        <f>IFERROR(INDEX(tbl_input[집계키_센터],ROW()-1),"")</f>
        <v/>
      </c>
      <c r="G4702" t="str">
        <f t="shared" si="515"/>
        <v/>
      </c>
      <c r="H4702" t="str">
        <f t="shared" si="516"/>
        <v/>
      </c>
      <c r="I4702" t="str">
        <f t="shared" si="517"/>
        <v/>
      </c>
    </row>
    <row r="4703" spans="1:9" x14ac:dyDescent="0.4">
      <c r="A4703" t="str">
        <f t="shared" si="511"/>
        <v/>
      </c>
      <c r="B4703" t="str">
        <f t="shared" si="512"/>
        <v/>
      </c>
      <c r="C4703" t="str">
        <f t="shared" si="513"/>
        <v/>
      </c>
      <c r="D4703" t="str">
        <f t="shared" si="514"/>
        <v/>
      </c>
      <c r="E4703" t="str">
        <f>IF(F4703="","",IF(COUNTIF($F$2:F4703,F4703)&gt;1,"",SUMIFS(tbl_input[필요수량],tbl_input[집계키_센터],F4703)))</f>
        <v/>
      </c>
      <c r="F4703" t="str">
        <f>IFERROR(INDEX(tbl_input[집계키_센터],ROW()-1),"")</f>
        <v/>
      </c>
      <c r="G4703" t="str">
        <f t="shared" si="515"/>
        <v/>
      </c>
      <c r="H4703" t="str">
        <f t="shared" si="516"/>
        <v/>
      </c>
      <c r="I4703" t="str">
        <f t="shared" si="517"/>
        <v/>
      </c>
    </row>
    <row r="4704" spans="1:9" x14ac:dyDescent="0.4">
      <c r="A4704" t="str">
        <f t="shared" si="511"/>
        <v/>
      </c>
      <c r="B4704" t="str">
        <f t="shared" si="512"/>
        <v/>
      </c>
      <c r="C4704" t="str">
        <f t="shared" si="513"/>
        <v/>
      </c>
      <c r="D4704" t="str">
        <f t="shared" si="514"/>
        <v/>
      </c>
      <c r="E4704" t="str">
        <f>IF(F4704="","",IF(COUNTIF($F$2:F4704,F4704)&gt;1,"",SUMIFS(tbl_input[필요수량],tbl_input[집계키_센터],F4704)))</f>
        <v/>
      </c>
      <c r="F4704" t="str">
        <f>IFERROR(INDEX(tbl_input[집계키_센터],ROW()-1),"")</f>
        <v/>
      </c>
      <c r="G4704" t="str">
        <f t="shared" si="515"/>
        <v/>
      </c>
      <c r="H4704" t="str">
        <f t="shared" si="516"/>
        <v/>
      </c>
      <c r="I4704" t="str">
        <f t="shared" si="517"/>
        <v/>
      </c>
    </row>
    <row r="4705" spans="1:9" x14ac:dyDescent="0.4">
      <c r="A4705" t="str">
        <f t="shared" si="511"/>
        <v/>
      </c>
      <c r="B4705" t="str">
        <f t="shared" si="512"/>
        <v/>
      </c>
      <c r="C4705" t="str">
        <f t="shared" si="513"/>
        <v/>
      </c>
      <c r="D4705" t="str">
        <f t="shared" si="514"/>
        <v/>
      </c>
      <c r="E4705" t="str">
        <f>IF(F4705="","",IF(COUNTIF($F$2:F4705,F4705)&gt;1,"",SUMIFS(tbl_input[필요수량],tbl_input[집계키_센터],F4705)))</f>
        <v/>
      </c>
      <c r="F4705" t="str">
        <f>IFERROR(INDEX(tbl_input[집계키_센터],ROW()-1),"")</f>
        <v/>
      </c>
      <c r="G4705" t="str">
        <f t="shared" si="515"/>
        <v/>
      </c>
      <c r="H4705" t="str">
        <f t="shared" si="516"/>
        <v/>
      </c>
      <c r="I4705" t="str">
        <f t="shared" si="517"/>
        <v/>
      </c>
    </row>
    <row r="4706" spans="1:9" x14ac:dyDescent="0.4">
      <c r="A4706" t="str">
        <f t="shared" si="511"/>
        <v/>
      </c>
      <c r="B4706" t="str">
        <f t="shared" si="512"/>
        <v/>
      </c>
      <c r="C4706" t="str">
        <f t="shared" si="513"/>
        <v/>
      </c>
      <c r="D4706" t="str">
        <f t="shared" si="514"/>
        <v/>
      </c>
      <c r="E4706" t="str">
        <f>IF(F4706="","",IF(COUNTIF($F$2:F4706,F4706)&gt;1,"",SUMIFS(tbl_input[필요수량],tbl_input[집계키_센터],F4706)))</f>
        <v/>
      </c>
      <c r="F4706" t="str">
        <f>IFERROR(INDEX(tbl_input[집계키_센터],ROW()-1),"")</f>
        <v/>
      </c>
      <c r="G4706" t="str">
        <f t="shared" si="515"/>
        <v/>
      </c>
      <c r="H4706" t="str">
        <f t="shared" si="516"/>
        <v/>
      </c>
      <c r="I4706" t="str">
        <f t="shared" si="517"/>
        <v/>
      </c>
    </row>
    <row r="4707" spans="1:9" x14ac:dyDescent="0.4">
      <c r="A4707" t="str">
        <f t="shared" si="511"/>
        <v/>
      </c>
      <c r="B4707" t="str">
        <f t="shared" si="512"/>
        <v/>
      </c>
      <c r="C4707" t="str">
        <f t="shared" si="513"/>
        <v/>
      </c>
      <c r="D4707" t="str">
        <f t="shared" si="514"/>
        <v/>
      </c>
      <c r="E4707" t="str">
        <f>IF(F4707="","",IF(COUNTIF($F$2:F4707,F4707)&gt;1,"",SUMIFS(tbl_input[필요수량],tbl_input[집계키_센터],F4707)))</f>
        <v/>
      </c>
      <c r="F4707" t="str">
        <f>IFERROR(INDEX(tbl_input[집계키_센터],ROW()-1),"")</f>
        <v/>
      </c>
      <c r="G4707" t="str">
        <f t="shared" si="515"/>
        <v/>
      </c>
      <c r="H4707" t="str">
        <f t="shared" si="516"/>
        <v/>
      </c>
      <c r="I4707" t="str">
        <f t="shared" si="517"/>
        <v/>
      </c>
    </row>
    <row r="4708" spans="1:9" x14ac:dyDescent="0.4">
      <c r="A4708" t="str">
        <f t="shared" si="511"/>
        <v/>
      </c>
      <c r="B4708" t="str">
        <f t="shared" si="512"/>
        <v/>
      </c>
      <c r="C4708" t="str">
        <f t="shared" si="513"/>
        <v/>
      </c>
      <c r="D4708" t="str">
        <f t="shared" si="514"/>
        <v/>
      </c>
      <c r="E4708" t="str">
        <f>IF(F4708="","",IF(COUNTIF($F$2:F4708,F4708)&gt;1,"",SUMIFS(tbl_input[필요수량],tbl_input[집계키_센터],F4708)))</f>
        <v/>
      </c>
      <c r="F4708" t="str">
        <f>IFERROR(INDEX(tbl_input[집계키_센터],ROW()-1),"")</f>
        <v/>
      </c>
      <c r="G4708" t="str">
        <f t="shared" si="515"/>
        <v/>
      </c>
      <c r="H4708" t="str">
        <f t="shared" si="516"/>
        <v/>
      </c>
      <c r="I4708" t="str">
        <f t="shared" si="517"/>
        <v/>
      </c>
    </row>
    <row r="4709" spans="1:9" x14ac:dyDescent="0.4">
      <c r="A4709" t="str">
        <f t="shared" si="511"/>
        <v/>
      </c>
      <c r="B4709" t="str">
        <f t="shared" si="512"/>
        <v/>
      </c>
      <c r="C4709" t="str">
        <f t="shared" si="513"/>
        <v/>
      </c>
      <c r="D4709" t="str">
        <f t="shared" si="514"/>
        <v/>
      </c>
      <c r="E4709" t="str">
        <f>IF(F4709="","",IF(COUNTIF($F$2:F4709,F4709)&gt;1,"",SUMIFS(tbl_input[필요수량],tbl_input[집계키_센터],F4709)))</f>
        <v/>
      </c>
      <c r="F4709" t="str">
        <f>IFERROR(INDEX(tbl_input[집계키_센터],ROW()-1),"")</f>
        <v/>
      </c>
      <c r="G4709" t="str">
        <f t="shared" si="515"/>
        <v/>
      </c>
      <c r="H4709" t="str">
        <f t="shared" si="516"/>
        <v/>
      </c>
      <c r="I4709" t="str">
        <f t="shared" si="517"/>
        <v/>
      </c>
    </row>
    <row r="4710" spans="1:9" x14ac:dyDescent="0.4">
      <c r="A4710" t="str">
        <f t="shared" si="511"/>
        <v/>
      </c>
      <c r="B4710" t="str">
        <f t="shared" si="512"/>
        <v/>
      </c>
      <c r="C4710" t="str">
        <f t="shared" si="513"/>
        <v/>
      </c>
      <c r="D4710" t="str">
        <f t="shared" si="514"/>
        <v/>
      </c>
      <c r="E4710" t="str">
        <f>IF(F4710="","",IF(COUNTIF($F$2:F4710,F4710)&gt;1,"",SUMIFS(tbl_input[필요수량],tbl_input[집계키_센터],F4710)))</f>
        <v/>
      </c>
      <c r="F4710" t="str">
        <f>IFERROR(INDEX(tbl_input[집계키_센터],ROW()-1),"")</f>
        <v/>
      </c>
      <c r="G4710" t="str">
        <f t="shared" si="515"/>
        <v/>
      </c>
      <c r="H4710" t="str">
        <f t="shared" si="516"/>
        <v/>
      </c>
      <c r="I4710" t="str">
        <f t="shared" si="517"/>
        <v/>
      </c>
    </row>
    <row r="4711" spans="1:9" x14ac:dyDescent="0.4">
      <c r="A4711" t="str">
        <f t="shared" si="511"/>
        <v/>
      </c>
      <c r="B4711" t="str">
        <f t="shared" si="512"/>
        <v/>
      </c>
      <c r="C4711" t="str">
        <f t="shared" si="513"/>
        <v/>
      </c>
      <c r="D4711" t="str">
        <f t="shared" si="514"/>
        <v/>
      </c>
      <c r="E4711" t="str">
        <f>IF(F4711="","",IF(COUNTIF($F$2:F4711,F4711)&gt;1,"",SUMIFS(tbl_input[필요수량],tbl_input[집계키_센터],F4711)))</f>
        <v/>
      </c>
      <c r="F4711" t="str">
        <f>IFERROR(INDEX(tbl_input[집계키_센터],ROW()-1),"")</f>
        <v/>
      </c>
      <c r="G4711" t="str">
        <f t="shared" si="515"/>
        <v/>
      </c>
      <c r="H4711" t="str">
        <f t="shared" si="516"/>
        <v/>
      </c>
      <c r="I4711" t="str">
        <f t="shared" si="517"/>
        <v/>
      </c>
    </row>
    <row r="4712" spans="1:9" x14ac:dyDescent="0.4">
      <c r="A4712" t="str">
        <f t="shared" si="511"/>
        <v/>
      </c>
      <c r="B4712" t="str">
        <f t="shared" si="512"/>
        <v/>
      </c>
      <c r="C4712" t="str">
        <f t="shared" si="513"/>
        <v/>
      </c>
      <c r="D4712" t="str">
        <f t="shared" si="514"/>
        <v/>
      </c>
      <c r="E4712" t="str">
        <f>IF(F4712="","",IF(COUNTIF($F$2:F4712,F4712)&gt;1,"",SUMIFS(tbl_input[필요수량],tbl_input[집계키_센터],F4712)))</f>
        <v/>
      </c>
      <c r="F4712" t="str">
        <f>IFERROR(INDEX(tbl_input[집계키_센터],ROW()-1),"")</f>
        <v/>
      </c>
      <c r="G4712" t="str">
        <f t="shared" si="515"/>
        <v/>
      </c>
      <c r="H4712" t="str">
        <f t="shared" si="516"/>
        <v/>
      </c>
      <c r="I4712" t="str">
        <f t="shared" si="517"/>
        <v/>
      </c>
    </row>
    <row r="4713" spans="1:9" x14ac:dyDescent="0.4">
      <c r="A4713" t="str">
        <f t="shared" si="511"/>
        <v/>
      </c>
      <c r="B4713" t="str">
        <f t="shared" si="512"/>
        <v/>
      </c>
      <c r="C4713" t="str">
        <f t="shared" si="513"/>
        <v/>
      </c>
      <c r="D4713" t="str">
        <f t="shared" si="514"/>
        <v/>
      </c>
      <c r="E4713" t="str">
        <f>IF(F4713="","",IF(COUNTIF($F$2:F4713,F4713)&gt;1,"",SUMIFS(tbl_input[필요수량],tbl_input[집계키_센터],F4713)))</f>
        <v/>
      </c>
      <c r="F4713" t="str">
        <f>IFERROR(INDEX(tbl_input[집계키_센터],ROW()-1),"")</f>
        <v/>
      </c>
      <c r="G4713" t="str">
        <f t="shared" si="515"/>
        <v/>
      </c>
      <c r="H4713" t="str">
        <f t="shared" si="516"/>
        <v/>
      </c>
      <c r="I4713" t="str">
        <f t="shared" si="517"/>
        <v/>
      </c>
    </row>
    <row r="4714" spans="1:9" x14ac:dyDescent="0.4">
      <c r="A4714" t="str">
        <f t="shared" si="511"/>
        <v/>
      </c>
      <c r="B4714" t="str">
        <f t="shared" si="512"/>
        <v/>
      </c>
      <c r="C4714" t="str">
        <f t="shared" si="513"/>
        <v/>
      </c>
      <c r="D4714" t="str">
        <f t="shared" si="514"/>
        <v/>
      </c>
      <c r="E4714" t="str">
        <f>IF(F4714="","",IF(COUNTIF($F$2:F4714,F4714)&gt;1,"",SUMIFS(tbl_input[필요수량],tbl_input[집계키_센터],F4714)))</f>
        <v/>
      </c>
      <c r="F4714" t="str">
        <f>IFERROR(INDEX(tbl_input[집계키_센터],ROW()-1),"")</f>
        <v/>
      </c>
      <c r="G4714" t="str">
        <f t="shared" si="515"/>
        <v/>
      </c>
      <c r="H4714" t="str">
        <f t="shared" si="516"/>
        <v/>
      </c>
      <c r="I4714" t="str">
        <f t="shared" si="517"/>
        <v/>
      </c>
    </row>
    <row r="4715" spans="1:9" x14ac:dyDescent="0.4">
      <c r="A4715" t="str">
        <f t="shared" si="511"/>
        <v/>
      </c>
      <c r="B4715" t="str">
        <f t="shared" si="512"/>
        <v/>
      </c>
      <c r="C4715" t="str">
        <f t="shared" si="513"/>
        <v/>
      </c>
      <c r="D4715" t="str">
        <f t="shared" si="514"/>
        <v/>
      </c>
      <c r="E4715" t="str">
        <f>IF(F4715="","",IF(COUNTIF($F$2:F4715,F4715)&gt;1,"",SUMIFS(tbl_input[필요수량],tbl_input[집계키_센터],F4715)))</f>
        <v/>
      </c>
      <c r="F4715" t="str">
        <f>IFERROR(INDEX(tbl_input[집계키_센터],ROW()-1),"")</f>
        <v/>
      </c>
      <c r="G4715" t="str">
        <f t="shared" si="515"/>
        <v/>
      </c>
      <c r="H4715" t="str">
        <f t="shared" si="516"/>
        <v/>
      </c>
      <c r="I4715" t="str">
        <f t="shared" si="517"/>
        <v/>
      </c>
    </row>
    <row r="4716" spans="1:9" x14ac:dyDescent="0.4">
      <c r="A4716" t="str">
        <f t="shared" si="511"/>
        <v/>
      </c>
      <c r="B4716" t="str">
        <f t="shared" si="512"/>
        <v/>
      </c>
      <c r="C4716" t="str">
        <f t="shared" si="513"/>
        <v/>
      </c>
      <c r="D4716" t="str">
        <f t="shared" si="514"/>
        <v/>
      </c>
      <c r="E4716" t="str">
        <f>IF(F4716="","",IF(COUNTIF($F$2:F4716,F4716)&gt;1,"",SUMIFS(tbl_input[필요수량],tbl_input[집계키_센터],F4716)))</f>
        <v/>
      </c>
      <c r="F4716" t="str">
        <f>IFERROR(INDEX(tbl_input[집계키_센터],ROW()-1),"")</f>
        <v/>
      </c>
      <c r="G4716" t="str">
        <f t="shared" si="515"/>
        <v/>
      </c>
      <c r="H4716" t="str">
        <f t="shared" si="516"/>
        <v/>
      </c>
      <c r="I4716" t="str">
        <f t="shared" si="517"/>
        <v/>
      </c>
    </row>
    <row r="4717" spans="1:9" x14ac:dyDescent="0.4">
      <c r="A4717" t="str">
        <f t="shared" si="511"/>
        <v/>
      </c>
      <c r="B4717" t="str">
        <f t="shared" si="512"/>
        <v/>
      </c>
      <c r="C4717" t="str">
        <f t="shared" si="513"/>
        <v/>
      </c>
      <c r="D4717" t="str">
        <f t="shared" si="514"/>
        <v/>
      </c>
      <c r="E4717" t="str">
        <f>IF(F4717="","",IF(COUNTIF($F$2:F4717,F4717)&gt;1,"",SUMIFS(tbl_input[필요수량],tbl_input[집계키_센터],F4717)))</f>
        <v/>
      </c>
      <c r="F4717" t="str">
        <f>IFERROR(INDEX(tbl_input[집계키_센터],ROW()-1),"")</f>
        <v/>
      </c>
      <c r="G4717" t="str">
        <f t="shared" si="515"/>
        <v/>
      </c>
      <c r="H4717" t="str">
        <f t="shared" si="516"/>
        <v/>
      </c>
      <c r="I4717" t="str">
        <f t="shared" si="517"/>
        <v/>
      </c>
    </row>
    <row r="4718" spans="1:9" x14ac:dyDescent="0.4">
      <c r="A4718" t="str">
        <f t="shared" si="511"/>
        <v/>
      </c>
      <c r="B4718" t="str">
        <f t="shared" si="512"/>
        <v/>
      </c>
      <c r="C4718" t="str">
        <f t="shared" si="513"/>
        <v/>
      </c>
      <c r="D4718" t="str">
        <f t="shared" si="514"/>
        <v/>
      </c>
      <c r="E4718" t="str">
        <f>IF(F4718="","",IF(COUNTIF($F$2:F4718,F4718)&gt;1,"",SUMIFS(tbl_input[필요수량],tbl_input[집계키_센터],F4718)))</f>
        <v/>
      </c>
      <c r="F4718" t="str">
        <f>IFERROR(INDEX(tbl_input[집계키_센터],ROW()-1),"")</f>
        <v/>
      </c>
      <c r="G4718" t="str">
        <f t="shared" si="515"/>
        <v/>
      </c>
      <c r="H4718" t="str">
        <f t="shared" si="516"/>
        <v/>
      </c>
      <c r="I4718" t="str">
        <f t="shared" si="517"/>
        <v/>
      </c>
    </row>
    <row r="4719" spans="1:9" x14ac:dyDescent="0.4">
      <c r="A4719" t="str">
        <f t="shared" si="511"/>
        <v/>
      </c>
      <c r="B4719" t="str">
        <f t="shared" si="512"/>
        <v/>
      </c>
      <c r="C4719" t="str">
        <f t="shared" si="513"/>
        <v/>
      </c>
      <c r="D4719" t="str">
        <f t="shared" si="514"/>
        <v/>
      </c>
      <c r="E4719" t="str">
        <f>IF(F4719="","",IF(COUNTIF($F$2:F4719,F4719)&gt;1,"",SUMIFS(tbl_input[필요수량],tbl_input[집계키_센터],F4719)))</f>
        <v/>
      </c>
      <c r="F4719" t="str">
        <f>IFERROR(INDEX(tbl_input[집계키_센터],ROW()-1),"")</f>
        <v/>
      </c>
      <c r="G4719" t="str">
        <f t="shared" si="515"/>
        <v/>
      </c>
      <c r="H4719" t="str">
        <f t="shared" si="516"/>
        <v/>
      </c>
      <c r="I4719" t="str">
        <f t="shared" si="517"/>
        <v/>
      </c>
    </row>
    <row r="4720" spans="1:9" x14ac:dyDescent="0.4">
      <c r="A4720" t="str">
        <f t="shared" si="511"/>
        <v/>
      </c>
      <c r="B4720" t="str">
        <f t="shared" si="512"/>
        <v/>
      </c>
      <c r="C4720" t="str">
        <f t="shared" si="513"/>
        <v/>
      </c>
      <c r="D4720" t="str">
        <f t="shared" si="514"/>
        <v/>
      </c>
      <c r="E4720" t="str">
        <f>IF(F4720="","",IF(COUNTIF($F$2:F4720,F4720)&gt;1,"",SUMIFS(tbl_input[필요수량],tbl_input[집계키_센터],F4720)))</f>
        <v/>
      </c>
      <c r="F4720" t="str">
        <f>IFERROR(INDEX(tbl_input[집계키_센터],ROW()-1),"")</f>
        <v/>
      </c>
      <c r="G4720" t="str">
        <f t="shared" si="515"/>
        <v/>
      </c>
      <c r="H4720" t="str">
        <f t="shared" si="516"/>
        <v/>
      </c>
      <c r="I4720" t="str">
        <f t="shared" si="517"/>
        <v/>
      </c>
    </row>
    <row r="4721" spans="1:9" x14ac:dyDescent="0.4">
      <c r="A4721" t="str">
        <f t="shared" si="511"/>
        <v/>
      </c>
      <c r="B4721" t="str">
        <f t="shared" si="512"/>
        <v/>
      </c>
      <c r="C4721" t="str">
        <f t="shared" si="513"/>
        <v/>
      </c>
      <c r="D4721" t="str">
        <f t="shared" si="514"/>
        <v/>
      </c>
      <c r="E4721" t="str">
        <f>IF(F4721="","",IF(COUNTIF($F$2:F4721,F4721)&gt;1,"",SUMIFS(tbl_input[필요수량],tbl_input[집계키_센터],F4721)))</f>
        <v/>
      </c>
      <c r="F4721" t="str">
        <f>IFERROR(INDEX(tbl_input[집계키_센터],ROW()-1),"")</f>
        <v/>
      </c>
      <c r="G4721" t="str">
        <f t="shared" si="515"/>
        <v/>
      </c>
      <c r="H4721" t="str">
        <f t="shared" si="516"/>
        <v/>
      </c>
      <c r="I4721" t="str">
        <f t="shared" si="517"/>
        <v/>
      </c>
    </row>
    <row r="4722" spans="1:9" x14ac:dyDescent="0.4">
      <c r="A4722" t="str">
        <f t="shared" si="511"/>
        <v/>
      </c>
      <c r="B4722" t="str">
        <f t="shared" si="512"/>
        <v/>
      </c>
      <c r="C4722" t="str">
        <f t="shared" si="513"/>
        <v/>
      </c>
      <c r="D4722" t="str">
        <f t="shared" si="514"/>
        <v/>
      </c>
      <c r="E4722" t="str">
        <f>IF(F4722="","",IF(COUNTIF($F$2:F4722,F4722)&gt;1,"",SUMIFS(tbl_input[필요수량],tbl_input[집계키_센터],F4722)))</f>
        <v/>
      </c>
      <c r="F4722" t="str">
        <f>IFERROR(INDEX(tbl_input[집계키_센터],ROW()-1),"")</f>
        <v/>
      </c>
      <c r="G4722" t="str">
        <f t="shared" si="515"/>
        <v/>
      </c>
      <c r="H4722" t="str">
        <f t="shared" si="516"/>
        <v/>
      </c>
      <c r="I4722" t="str">
        <f t="shared" si="517"/>
        <v/>
      </c>
    </row>
    <row r="4723" spans="1:9" x14ac:dyDescent="0.4">
      <c r="A4723" t="str">
        <f t="shared" si="511"/>
        <v/>
      </c>
      <c r="B4723" t="str">
        <f t="shared" si="512"/>
        <v/>
      </c>
      <c r="C4723" t="str">
        <f t="shared" si="513"/>
        <v/>
      </c>
      <c r="D4723" t="str">
        <f t="shared" si="514"/>
        <v/>
      </c>
      <c r="E4723" t="str">
        <f>IF(F4723="","",IF(COUNTIF($F$2:F4723,F4723)&gt;1,"",SUMIFS(tbl_input[필요수량],tbl_input[집계키_센터],F4723)))</f>
        <v/>
      </c>
      <c r="F4723" t="str">
        <f>IFERROR(INDEX(tbl_input[집계키_센터],ROW()-1),"")</f>
        <v/>
      </c>
      <c r="G4723" t="str">
        <f t="shared" si="515"/>
        <v/>
      </c>
      <c r="H4723" t="str">
        <f t="shared" si="516"/>
        <v/>
      </c>
      <c r="I4723" t="str">
        <f t="shared" si="517"/>
        <v/>
      </c>
    </row>
    <row r="4724" spans="1:9" x14ac:dyDescent="0.4">
      <c r="A4724" t="str">
        <f t="shared" si="511"/>
        <v/>
      </c>
      <c r="B4724" t="str">
        <f t="shared" si="512"/>
        <v/>
      </c>
      <c r="C4724" t="str">
        <f t="shared" si="513"/>
        <v/>
      </c>
      <c r="D4724" t="str">
        <f t="shared" si="514"/>
        <v/>
      </c>
      <c r="E4724" t="str">
        <f>IF(F4724="","",IF(COUNTIF($F$2:F4724,F4724)&gt;1,"",SUMIFS(tbl_input[필요수량],tbl_input[집계키_센터],F4724)))</f>
        <v/>
      </c>
      <c r="F4724" t="str">
        <f>IFERROR(INDEX(tbl_input[집계키_센터],ROW()-1),"")</f>
        <v/>
      </c>
      <c r="G4724" t="str">
        <f t="shared" si="515"/>
        <v/>
      </c>
      <c r="H4724" t="str">
        <f t="shared" si="516"/>
        <v/>
      </c>
      <c r="I4724" t="str">
        <f t="shared" si="517"/>
        <v/>
      </c>
    </row>
    <row r="4725" spans="1:9" x14ac:dyDescent="0.4">
      <c r="A4725" t="str">
        <f t="shared" si="511"/>
        <v/>
      </c>
      <c r="B4725" t="str">
        <f t="shared" si="512"/>
        <v/>
      </c>
      <c r="C4725" t="str">
        <f t="shared" si="513"/>
        <v/>
      </c>
      <c r="D4725" t="str">
        <f t="shared" si="514"/>
        <v/>
      </c>
      <c r="E4725" t="str">
        <f>IF(F4725="","",IF(COUNTIF($F$2:F4725,F4725)&gt;1,"",SUMIFS(tbl_input[필요수량],tbl_input[집계키_센터],F4725)))</f>
        <v/>
      </c>
      <c r="F4725" t="str">
        <f>IFERROR(INDEX(tbl_input[집계키_센터],ROW()-1),"")</f>
        <v/>
      </c>
      <c r="G4725" t="str">
        <f t="shared" si="515"/>
        <v/>
      </c>
      <c r="H4725" t="str">
        <f t="shared" si="516"/>
        <v/>
      </c>
      <c r="I4725" t="str">
        <f t="shared" si="517"/>
        <v/>
      </c>
    </row>
    <row r="4726" spans="1:9" x14ac:dyDescent="0.4">
      <c r="A4726" t="str">
        <f t="shared" si="511"/>
        <v/>
      </c>
      <c r="B4726" t="str">
        <f t="shared" si="512"/>
        <v/>
      </c>
      <c r="C4726" t="str">
        <f t="shared" si="513"/>
        <v/>
      </c>
      <c r="D4726" t="str">
        <f t="shared" si="514"/>
        <v/>
      </c>
      <c r="E4726" t="str">
        <f>IF(F4726="","",IF(COUNTIF($F$2:F4726,F4726)&gt;1,"",SUMIFS(tbl_input[필요수량],tbl_input[집계키_센터],F4726)))</f>
        <v/>
      </c>
      <c r="F4726" t="str">
        <f>IFERROR(INDEX(tbl_input[집계키_센터],ROW()-1),"")</f>
        <v/>
      </c>
      <c r="G4726" t="str">
        <f t="shared" si="515"/>
        <v/>
      </c>
      <c r="H4726" t="str">
        <f t="shared" si="516"/>
        <v/>
      </c>
      <c r="I4726" t="str">
        <f t="shared" si="517"/>
        <v/>
      </c>
    </row>
    <row r="4727" spans="1:9" x14ac:dyDescent="0.4">
      <c r="A4727" t="str">
        <f t="shared" si="511"/>
        <v/>
      </c>
      <c r="B4727" t="str">
        <f t="shared" si="512"/>
        <v/>
      </c>
      <c r="C4727" t="str">
        <f t="shared" si="513"/>
        <v/>
      </c>
      <c r="D4727" t="str">
        <f t="shared" si="514"/>
        <v/>
      </c>
      <c r="E4727" t="str">
        <f>IF(F4727="","",IF(COUNTIF($F$2:F4727,F4727)&gt;1,"",SUMIFS(tbl_input[필요수량],tbl_input[집계키_센터],F4727)))</f>
        <v/>
      </c>
      <c r="F4727" t="str">
        <f>IFERROR(INDEX(tbl_input[집계키_센터],ROW()-1),"")</f>
        <v/>
      </c>
      <c r="G4727" t="str">
        <f t="shared" si="515"/>
        <v/>
      </c>
      <c r="H4727" t="str">
        <f t="shared" si="516"/>
        <v/>
      </c>
      <c r="I4727" t="str">
        <f t="shared" si="517"/>
        <v/>
      </c>
    </row>
    <row r="4728" spans="1:9" x14ac:dyDescent="0.4">
      <c r="A4728" t="str">
        <f t="shared" si="511"/>
        <v/>
      </c>
      <c r="B4728" t="str">
        <f t="shared" si="512"/>
        <v/>
      </c>
      <c r="C4728" t="str">
        <f t="shared" si="513"/>
        <v/>
      </c>
      <c r="D4728" t="str">
        <f t="shared" si="514"/>
        <v/>
      </c>
      <c r="E4728" t="str">
        <f>IF(F4728="","",IF(COUNTIF($F$2:F4728,F4728)&gt;1,"",SUMIFS(tbl_input[필요수량],tbl_input[집계키_센터],F4728)))</f>
        <v/>
      </c>
      <c r="F4728" t="str">
        <f>IFERROR(INDEX(tbl_input[집계키_센터],ROW()-1),"")</f>
        <v/>
      </c>
      <c r="G4728" t="str">
        <f t="shared" si="515"/>
        <v/>
      </c>
      <c r="H4728" t="str">
        <f t="shared" si="516"/>
        <v/>
      </c>
      <c r="I4728" t="str">
        <f t="shared" si="517"/>
        <v/>
      </c>
    </row>
    <row r="4729" spans="1:9" x14ac:dyDescent="0.4">
      <c r="A4729" t="str">
        <f t="shared" si="511"/>
        <v/>
      </c>
      <c r="B4729" t="str">
        <f t="shared" si="512"/>
        <v/>
      </c>
      <c r="C4729" t="str">
        <f t="shared" si="513"/>
        <v/>
      </c>
      <c r="D4729" t="str">
        <f t="shared" si="514"/>
        <v/>
      </c>
      <c r="E4729" t="str">
        <f>IF(F4729="","",IF(COUNTIF($F$2:F4729,F4729)&gt;1,"",SUMIFS(tbl_input[필요수량],tbl_input[집계키_센터],F4729)))</f>
        <v/>
      </c>
      <c r="F4729" t="str">
        <f>IFERROR(INDEX(tbl_input[집계키_센터],ROW()-1),"")</f>
        <v/>
      </c>
      <c r="G4729" t="str">
        <f t="shared" si="515"/>
        <v/>
      </c>
      <c r="H4729" t="str">
        <f t="shared" si="516"/>
        <v/>
      </c>
      <c r="I4729" t="str">
        <f t="shared" si="517"/>
        <v/>
      </c>
    </row>
    <row r="4730" spans="1:9" x14ac:dyDescent="0.4">
      <c r="A4730" t="str">
        <f t="shared" si="511"/>
        <v/>
      </c>
      <c r="B4730" t="str">
        <f t="shared" si="512"/>
        <v/>
      </c>
      <c r="C4730" t="str">
        <f t="shared" si="513"/>
        <v/>
      </c>
      <c r="D4730" t="str">
        <f t="shared" si="514"/>
        <v/>
      </c>
      <c r="E4730" t="str">
        <f>IF(F4730="","",IF(COUNTIF($F$2:F4730,F4730)&gt;1,"",SUMIFS(tbl_input[필요수량],tbl_input[집계키_센터],F4730)))</f>
        <v/>
      </c>
      <c r="F4730" t="str">
        <f>IFERROR(INDEX(tbl_input[집계키_센터],ROW()-1),"")</f>
        <v/>
      </c>
      <c r="G4730" t="str">
        <f t="shared" si="515"/>
        <v/>
      </c>
      <c r="H4730" t="str">
        <f t="shared" si="516"/>
        <v/>
      </c>
      <c r="I4730" t="str">
        <f t="shared" si="517"/>
        <v/>
      </c>
    </row>
    <row r="4731" spans="1:9" x14ac:dyDescent="0.4">
      <c r="A4731" t="str">
        <f t="shared" si="511"/>
        <v/>
      </c>
      <c r="B4731" t="str">
        <f t="shared" si="512"/>
        <v/>
      </c>
      <c r="C4731" t="str">
        <f t="shared" si="513"/>
        <v/>
      </c>
      <c r="D4731" t="str">
        <f t="shared" si="514"/>
        <v/>
      </c>
      <c r="E4731" t="str">
        <f>IF(F4731="","",IF(COUNTIF($F$2:F4731,F4731)&gt;1,"",SUMIFS(tbl_input[필요수량],tbl_input[집계키_센터],F4731)))</f>
        <v/>
      </c>
      <c r="F4731" t="str">
        <f>IFERROR(INDEX(tbl_input[집계키_센터],ROW()-1),"")</f>
        <v/>
      </c>
      <c r="G4731" t="str">
        <f t="shared" si="515"/>
        <v/>
      </c>
      <c r="H4731" t="str">
        <f t="shared" si="516"/>
        <v/>
      </c>
      <c r="I4731" t="str">
        <f t="shared" si="517"/>
        <v/>
      </c>
    </row>
    <row r="4732" spans="1:9" x14ac:dyDescent="0.4">
      <c r="A4732" t="str">
        <f t="shared" si="511"/>
        <v/>
      </c>
      <c r="B4732" t="str">
        <f t="shared" si="512"/>
        <v/>
      </c>
      <c r="C4732" t="str">
        <f t="shared" si="513"/>
        <v/>
      </c>
      <c r="D4732" t="str">
        <f t="shared" si="514"/>
        <v/>
      </c>
      <c r="E4732" t="str">
        <f>IF(F4732="","",IF(COUNTIF($F$2:F4732,F4732)&gt;1,"",SUMIFS(tbl_input[필요수량],tbl_input[집계키_센터],F4732)))</f>
        <v/>
      </c>
      <c r="F4732" t="str">
        <f>IFERROR(INDEX(tbl_input[집계키_센터],ROW()-1),"")</f>
        <v/>
      </c>
      <c r="G4732" t="str">
        <f t="shared" si="515"/>
        <v/>
      </c>
      <c r="H4732" t="str">
        <f t="shared" si="516"/>
        <v/>
      </c>
      <c r="I4732" t="str">
        <f t="shared" si="517"/>
        <v/>
      </c>
    </row>
    <row r="4733" spans="1:9" x14ac:dyDescent="0.4">
      <c r="A4733" t="str">
        <f t="shared" si="511"/>
        <v/>
      </c>
      <c r="B4733" t="str">
        <f t="shared" si="512"/>
        <v/>
      </c>
      <c r="C4733" t="str">
        <f t="shared" si="513"/>
        <v/>
      </c>
      <c r="D4733" t="str">
        <f t="shared" si="514"/>
        <v/>
      </c>
      <c r="E4733" t="str">
        <f>IF(F4733="","",IF(COUNTIF($F$2:F4733,F4733)&gt;1,"",SUMIFS(tbl_input[필요수량],tbl_input[집계키_센터],F4733)))</f>
        <v/>
      </c>
      <c r="F4733" t="str">
        <f>IFERROR(INDEX(tbl_input[집계키_센터],ROW()-1),"")</f>
        <v/>
      </c>
      <c r="G4733" t="str">
        <f t="shared" si="515"/>
        <v/>
      </c>
      <c r="H4733" t="str">
        <f t="shared" si="516"/>
        <v/>
      </c>
      <c r="I4733" t="str">
        <f t="shared" si="517"/>
        <v/>
      </c>
    </row>
    <row r="4734" spans="1:9" x14ac:dyDescent="0.4">
      <c r="A4734" t="str">
        <f t="shared" si="511"/>
        <v/>
      </c>
      <c r="B4734" t="str">
        <f t="shared" si="512"/>
        <v/>
      </c>
      <c r="C4734" t="str">
        <f t="shared" si="513"/>
        <v/>
      </c>
      <c r="D4734" t="str">
        <f t="shared" si="514"/>
        <v/>
      </c>
      <c r="E4734" t="str">
        <f>IF(F4734="","",IF(COUNTIF($F$2:F4734,F4734)&gt;1,"",SUMIFS(tbl_input[필요수량],tbl_input[집계키_센터],F4734)))</f>
        <v/>
      </c>
      <c r="F4734" t="str">
        <f>IFERROR(INDEX(tbl_input[집계키_센터],ROW()-1),"")</f>
        <v/>
      </c>
      <c r="G4734" t="str">
        <f t="shared" si="515"/>
        <v/>
      </c>
      <c r="H4734" t="str">
        <f t="shared" si="516"/>
        <v/>
      </c>
      <c r="I4734" t="str">
        <f t="shared" si="517"/>
        <v/>
      </c>
    </row>
    <row r="4735" spans="1:9" x14ac:dyDescent="0.4">
      <c r="A4735" t="str">
        <f t="shared" si="511"/>
        <v/>
      </c>
      <c r="B4735" t="str">
        <f t="shared" si="512"/>
        <v/>
      </c>
      <c r="C4735" t="str">
        <f t="shared" si="513"/>
        <v/>
      </c>
      <c r="D4735" t="str">
        <f t="shared" si="514"/>
        <v/>
      </c>
      <c r="E4735" t="str">
        <f>IF(F4735="","",IF(COUNTIF($F$2:F4735,F4735)&gt;1,"",SUMIFS(tbl_input[필요수량],tbl_input[집계키_센터],F4735)))</f>
        <v/>
      </c>
      <c r="F4735" t="str">
        <f>IFERROR(INDEX(tbl_input[집계키_센터],ROW()-1),"")</f>
        <v/>
      </c>
      <c r="G4735" t="str">
        <f t="shared" si="515"/>
        <v/>
      </c>
      <c r="H4735" t="str">
        <f t="shared" si="516"/>
        <v/>
      </c>
      <c r="I4735" t="str">
        <f t="shared" si="517"/>
        <v/>
      </c>
    </row>
    <row r="4736" spans="1:9" x14ac:dyDescent="0.4">
      <c r="A4736" t="str">
        <f t="shared" si="511"/>
        <v/>
      </c>
      <c r="B4736" t="str">
        <f t="shared" si="512"/>
        <v/>
      </c>
      <c r="C4736" t="str">
        <f t="shared" si="513"/>
        <v/>
      </c>
      <c r="D4736" t="str">
        <f t="shared" si="514"/>
        <v/>
      </c>
      <c r="E4736" t="str">
        <f>IF(F4736="","",IF(COUNTIF($F$2:F4736,F4736)&gt;1,"",SUMIFS(tbl_input[필요수량],tbl_input[집계키_센터],F4736)))</f>
        <v/>
      </c>
      <c r="F4736" t="str">
        <f>IFERROR(INDEX(tbl_input[집계키_센터],ROW()-1),"")</f>
        <v/>
      </c>
      <c r="G4736" t="str">
        <f t="shared" si="515"/>
        <v/>
      </c>
      <c r="H4736" t="str">
        <f t="shared" si="516"/>
        <v/>
      </c>
      <c r="I4736" t="str">
        <f t="shared" si="517"/>
        <v/>
      </c>
    </row>
    <row r="4737" spans="1:9" x14ac:dyDescent="0.4">
      <c r="A4737" t="str">
        <f t="shared" si="511"/>
        <v/>
      </c>
      <c r="B4737" t="str">
        <f t="shared" si="512"/>
        <v/>
      </c>
      <c r="C4737" t="str">
        <f t="shared" si="513"/>
        <v/>
      </c>
      <c r="D4737" t="str">
        <f t="shared" si="514"/>
        <v/>
      </c>
      <c r="E4737" t="str">
        <f>IF(F4737="","",IF(COUNTIF($F$2:F4737,F4737)&gt;1,"",SUMIFS(tbl_input[필요수량],tbl_input[집계키_센터],F4737)))</f>
        <v/>
      </c>
      <c r="F4737" t="str">
        <f>IFERROR(INDEX(tbl_input[집계키_센터],ROW()-1),"")</f>
        <v/>
      </c>
      <c r="G4737" t="str">
        <f t="shared" si="515"/>
        <v/>
      </c>
      <c r="H4737" t="str">
        <f t="shared" si="516"/>
        <v/>
      </c>
      <c r="I4737" t="str">
        <f t="shared" si="517"/>
        <v/>
      </c>
    </row>
    <row r="4738" spans="1:9" x14ac:dyDescent="0.4">
      <c r="A4738" t="str">
        <f t="shared" ref="A4738:A4801" si="518">IF(F4738="","",LEFT(F4738,G4738-1))</f>
        <v/>
      </c>
      <c r="B4738" t="str">
        <f t="shared" ref="B4738:B4801" si="519">IF(F4738="","",MID(F4738,G4738+1,H4738-G4738-1))</f>
        <v/>
      </c>
      <c r="C4738" t="str">
        <f t="shared" ref="C4738:C4801" si="520">IF(F4738="","",MID(F4738,H4738+1,I4738-H4738-1))</f>
        <v/>
      </c>
      <c r="D4738" t="str">
        <f t="shared" ref="D4738:D4801" si="521">IF(F4738="","",MID(F4738,I4738+1,999))</f>
        <v/>
      </c>
      <c r="E4738" t="str">
        <f>IF(F4738="","",IF(COUNTIF($F$2:F4738,F4738)&gt;1,"",SUMIFS(tbl_input[필요수량],tbl_input[집계키_센터],F4738)))</f>
        <v/>
      </c>
      <c r="F4738" t="str">
        <f>IFERROR(INDEX(tbl_input[집계키_센터],ROW()-1),"")</f>
        <v/>
      </c>
      <c r="G4738" t="str">
        <f t="shared" ref="G4738:G4801" si="522">IF(F4738="","",FIND("♦",F4738))</f>
        <v/>
      </c>
      <c r="H4738" t="str">
        <f t="shared" ref="H4738:H4801" si="523">IF(F4738="","",FIND("♦",F4738,G4738+1))</f>
        <v/>
      </c>
      <c r="I4738" t="str">
        <f t="shared" ref="I4738:I4801" si="524">IF(F4738="","",FIND("♦",F4738,H4738+1))</f>
        <v/>
      </c>
    </row>
    <row r="4739" spans="1:9" x14ac:dyDescent="0.4">
      <c r="A4739" t="str">
        <f t="shared" si="518"/>
        <v/>
      </c>
      <c r="B4739" t="str">
        <f t="shared" si="519"/>
        <v/>
      </c>
      <c r="C4739" t="str">
        <f t="shared" si="520"/>
        <v/>
      </c>
      <c r="D4739" t="str">
        <f t="shared" si="521"/>
        <v/>
      </c>
      <c r="E4739" t="str">
        <f>IF(F4739="","",IF(COUNTIF($F$2:F4739,F4739)&gt;1,"",SUMIFS(tbl_input[필요수량],tbl_input[집계키_센터],F4739)))</f>
        <v/>
      </c>
      <c r="F4739" t="str">
        <f>IFERROR(INDEX(tbl_input[집계키_센터],ROW()-1),"")</f>
        <v/>
      </c>
      <c r="G4739" t="str">
        <f t="shared" si="522"/>
        <v/>
      </c>
      <c r="H4739" t="str">
        <f t="shared" si="523"/>
        <v/>
      </c>
      <c r="I4739" t="str">
        <f t="shared" si="524"/>
        <v/>
      </c>
    </row>
    <row r="4740" spans="1:9" x14ac:dyDescent="0.4">
      <c r="A4740" t="str">
        <f t="shared" si="518"/>
        <v/>
      </c>
      <c r="B4740" t="str">
        <f t="shared" si="519"/>
        <v/>
      </c>
      <c r="C4740" t="str">
        <f t="shared" si="520"/>
        <v/>
      </c>
      <c r="D4740" t="str">
        <f t="shared" si="521"/>
        <v/>
      </c>
      <c r="E4740" t="str">
        <f>IF(F4740="","",IF(COUNTIF($F$2:F4740,F4740)&gt;1,"",SUMIFS(tbl_input[필요수량],tbl_input[집계키_센터],F4740)))</f>
        <v/>
      </c>
      <c r="F4740" t="str">
        <f>IFERROR(INDEX(tbl_input[집계키_센터],ROW()-1),"")</f>
        <v/>
      </c>
      <c r="G4740" t="str">
        <f t="shared" si="522"/>
        <v/>
      </c>
      <c r="H4740" t="str">
        <f t="shared" si="523"/>
        <v/>
      </c>
      <c r="I4740" t="str">
        <f t="shared" si="524"/>
        <v/>
      </c>
    </row>
    <row r="4741" spans="1:9" x14ac:dyDescent="0.4">
      <c r="A4741" t="str">
        <f t="shared" si="518"/>
        <v/>
      </c>
      <c r="B4741" t="str">
        <f t="shared" si="519"/>
        <v/>
      </c>
      <c r="C4741" t="str">
        <f t="shared" si="520"/>
        <v/>
      </c>
      <c r="D4741" t="str">
        <f t="shared" si="521"/>
        <v/>
      </c>
      <c r="E4741" t="str">
        <f>IF(F4741="","",IF(COUNTIF($F$2:F4741,F4741)&gt;1,"",SUMIFS(tbl_input[필요수량],tbl_input[집계키_센터],F4741)))</f>
        <v/>
      </c>
      <c r="F4741" t="str">
        <f>IFERROR(INDEX(tbl_input[집계키_센터],ROW()-1),"")</f>
        <v/>
      </c>
      <c r="G4741" t="str">
        <f t="shared" si="522"/>
        <v/>
      </c>
      <c r="H4741" t="str">
        <f t="shared" si="523"/>
        <v/>
      </c>
      <c r="I4741" t="str">
        <f t="shared" si="524"/>
        <v/>
      </c>
    </row>
    <row r="4742" spans="1:9" x14ac:dyDescent="0.4">
      <c r="A4742" t="str">
        <f t="shared" si="518"/>
        <v/>
      </c>
      <c r="B4742" t="str">
        <f t="shared" si="519"/>
        <v/>
      </c>
      <c r="C4742" t="str">
        <f t="shared" si="520"/>
        <v/>
      </c>
      <c r="D4742" t="str">
        <f t="shared" si="521"/>
        <v/>
      </c>
      <c r="E4742" t="str">
        <f>IF(F4742="","",IF(COUNTIF($F$2:F4742,F4742)&gt;1,"",SUMIFS(tbl_input[필요수량],tbl_input[집계키_센터],F4742)))</f>
        <v/>
      </c>
      <c r="F4742" t="str">
        <f>IFERROR(INDEX(tbl_input[집계키_센터],ROW()-1),"")</f>
        <v/>
      </c>
      <c r="G4742" t="str">
        <f t="shared" si="522"/>
        <v/>
      </c>
      <c r="H4742" t="str">
        <f t="shared" si="523"/>
        <v/>
      </c>
      <c r="I4742" t="str">
        <f t="shared" si="524"/>
        <v/>
      </c>
    </row>
    <row r="4743" spans="1:9" x14ac:dyDescent="0.4">
      <c r="A4743" t="str">
        <f t="shared" si="518"/>
        <v/>
      </c>
      <c r="B4743" t="str">
        <f t="shared" si="519"/>
        <v/>
      </c>
      <c r="C4743" t="str">
        <f t="shared" si="520"/>
        <v/>
      </c>
      <c r="D4743" t="str">
        <f t="shared" si="521"/>
        <v/>
      </c>
      <c r="E4743" t="str">
        <f>IF(F4743="","",IF(COUNTIF($F$2:F4743,F4743)&gt;1,"",SUMIFS(tbl_input[필요수량],tbl_input[집계키_센터],F4743)))</f>
        <v/>
      </c>
      <c r="F4743" t="str">
        <f>IFERROR(INDEX(tbl_input[집계키_센터],ROW()-1),"")</f>
        <v/>
      </c>
      <c r="G4743" t="str">
        <f t="shared" si="522"/>
        <v/>
      </c>
      <c r="H4743" t="str">
        <f t="shared" si="523"/>
        <v/>
      </c>
      <c r="I4743" t="str">
        <f t="shared" si="524"/>
        <v/>
      </c>
    </row>
    <row r="4744" spans="1:9" x14ac:dyDescent="0.4">
      <c r="A4744" t="str">
        <f t="shared" si="518"/>
        <v/>
      </c>
      <c r="B4744" t="str">
        <f t="shared" si="519"/>
        <v/>
      </c>
      <c r="C4744" t="str">
        <f t="shared" si="520"/>
        <v/>
      </c>
      <c r="D4744" t="str">
        <f t="shared" si="521"/>
        <v/>
      </c>
      <c r="E4744" t="str">
        <f>IF(F4744="","",IF(COUNTIF($F$2:F4744,F4744)&gt;1,"",SUMIFS(tbl_input[필요수량],tbl_input[집계키_센터],F4744)))</f>
        <v/>
      </c>
      <c r="F4744" t="str">
        <f>IFERROR(INDEX(tbl_input[집계키_센터],ROW()-1),"")</f>
        <v/>
      </c>
      <c r="G4744" t="str">
        <f t="shared" si="522"/>
        <v/>
      </c>
      <c r="H4744" t="str">
        <f t="shared" si="523"/>
        <v/>
      </c>
      <c r="I4744" t="str">
        <f t="shared" si="524"/>
        <v/>
      </c>
    </row>
    <row r="4745" spans="1:9" x14ac:dyDescent="0.4">
      <c r="A4745" t="str">
        <f t="shared" si="518"/>
        <v/>
      </c>
      <c r="B4745" t="str">
        <f t="shared" si="519"/>
        <v/>
      </c>
      <c r="C4745" t="str">
        <f t="shared" si="520"/>
        <v/>
      </c>
      <c r="D4745" t="str">
        <f t="shared" si="521"/>
        <v/>
      </c>
      <c r="E4745" t="str">
        <f>IF(F4745="","",IF(COUNTIF($F$2:F4745,F4745)&gt;1,"",SUMIFS(tbl_input[필요수량],tbl_input[집계키_센터],F4745)))</f>
        <v/>
      </c>
      <c r="F4745" t="str">
        <f>IFERROR(INDEX(tbl_input[집계키_센터],ROW()-1),"")</f>
        <v/>
      </c>
      <c r="G4745" t="str">
        <f t="shared" si="522"/>
        <v/>
      </c>
      <c r="H4745" t="str">
        <f t="shared" si="523"/>
        <v/>
      </c>
      <c r="I4745" t="str">
        <f t="shared" si="524"/>
        <v/>
      </c>
    </row>
    <row r="4746" spans="1:9" x14ac:dyDescent="0.4">
      <c r="A4746" t="str">
        <f t="shared" si="518"/>
        <v/>
      </c>
      <c r="B4746" t="str">
        <f t="shared" si="519"/>
        <v/>
      </c>
      <c r="C4746" t="str">
        <f t="shared" si="520"/>
        <v/>
      </c>
      <c r="D4746" t="str">
        <f t="shared" si="521"/>
        <v/>
      </c>
      <c r="E4746" t="str">
        <f>IF(F4746="","",IF(COUNTIF($F$2:F4746,F4746)&gt;1,"",SUMIFS(tbl_input[필요수량],tbl_input[집계키_센터],F4746)))</f>
        <v/>
      </c>
      <c r="F4746" t="str">
        <f>IFERROR(INDEX(tbl_input[집계키_센터],ROW()-1),"")</f>
        <v/>
      </c>
      <c r="G4746" t="str">
        <f t="shared" si="522"/>
        <v/>
      </c>
      <c r="H4746" t="str">
        <f t="shared" si="523"/>
        <v/>
      </c>
      <c r="I4746" t="str">
        <f t="shared" si="524"/>
        <v/>
      </c>
    </row>
    <row r="4747" spans="1:9" x14ac:dyDescent="0.4">
      <c r="A4747" t="str">
        <f t="shared" si="518"/>
        <v/>
      </c>
      <c r="B4747" t="str">
        <f t="shared" si="519"/>
        <v/>
      </c>
      <c r="C4747" t="str">
        <f t="shared" si="520"/>
        <v/>
      </c>
      <c r="D4747" t="str">
        <f t="shared" si="521"/>
        <v/>
      </c>
      <c r="E4747" t="str">
        <f>IF(F4747="","",IF(COUNTIF($F$2:F4747,F4747)&gt;1,"",SUMIFS(tbl_input[필요수량],tbl_input[집계키_센터],F4747)))</f>
        <v/>
      </c>
      <c r="F4747" t="str">
        <f>IFERROR(INDEX(tbl_input[집계키_센터],ROW()-1),"")</f>
        <v/>
      </c>
      <c r="G4747" t="str">
        <f t="shared" si="522"/>
        <v/>
      </c>
      <c r="H4747" t="str">
        <f t="shared" si="523"/>
        <v/>
      </c>
      <c r="I4747" t="str">
        <f t="shared" si="524"/>
        <v/>
      </c>
    </row>
    <row r="4748" spans="1:9" x14ac:dyDescent="0.4">
      <c r="A4748" t="str">
        <f t="shared" si="518"/>
        <v/>
      </c>
      <c r="B4748" t="str">
        <f t="shared" si="519"/>
        <v/>
      </c>
      <c r="C4748" t="str">
        <f t="shared" si="520"/>
        <v/>
      </c>
      <c r="D4748" t="str">
        <f t="shared" si="521"/>
        <v/>
      </c>
      <c r="E4748" t="str">
        <f>IF(F4748="","",IF(COUNTIF($F$2:F4748,F4748)&gt;1,"",SUMIFS(tbl_input[필요수량],tbl_input[집계키_센터],F4748)))</f>
        <v/>
      </c>
      <c r="F4748" t="str">
        <f>IFERROR(INDEX(tbl_input[집계키_센터],ROW()-1),"")</f>
        <v/>
      </c>
      <c r="G4748" t="str">
        <f t="shared" si="522"/>
        <v/>
      </c>
      <c r="H4748" t="str">
        <f t="shared" si="523"/>
        <v/>
      </c>
      <c r="I4748" t="str">
        <f t="shared" si="524"/>
        <v/>
      </c>
    </row>
    <row r="4749" spans="1:9" x14ac:dyDescent="0.4">
      <c r="A4749" t="str">
        <f t="shared" si="518"/>
        <v/>
      </c>
      <c r="B4749" t="str">
        <f t="shared" si="519"/>
        <v/>
      </c>
      <c r="C4749" t="str">
        <f t="shared" si="520"/>
        <v/>
      </c>
      <c r="D4749" t="str">
        <f t="shared" si="521"/>
        <v/>
      </c>
      <c r="E4749" t="str">
        <f>IF(F4749="","",IF(COUNTIF($F$2:F4749,F4749)&gt;1,"",SUMIFS(tbl_input[필요수량],tbl_input[집계키_센터],F4749)))</f>
        <v/>
      </c>
      <c r="F4749" t="str">
        <f>IFERROR(INDEX(tbl_input[집계키_센터],ROW()-1),"")</f>
        <v/>
      </c>
      <c r="G4749" t="str">
        <f t="shared" si="522"/>
        <v/>
      </c>
      <c r="H4749" t="str">
        <f t="shared" si="523"/>
        <v/>
      </c>
      <c r="I4749" t="str">
        <f t="shared" si="524"/>
        <v/>
      </c>
    </row>
    <row r="4750" spans="1:9" x14ac:dyDescent="0.4">
      <c r="A4750" t="str">
        <f t="shared" si="518"/>
        <v/>
      </c>
      <c r="B4750" t="str">
        <f t="shared" si="519"/>
        <v/>
      </c>
      <c r="C4750" t="str">
        <f t="shared" si="520"/>
        <v/>
      </c>
      <c r="D4750" t="str">
        <f t="shared" si="521"/>
        <v/>
      </c>
      <c r="E4750" t="str">
        <f>IF(F4750="","",IF(COUNTIF($F$2:F4750,F4750)&gt;1,"",SUMIFS(tbl_input[필요수량],tbl_input[집계키_센터],F4750)))</f>
        <v/>
      </c>
      <c r="F4750" t="str">
        <f>IFERROR(INDEX(tbl_input[집계키_센터],ROW()-1),"")</f>
        <v/>
      </c>
      <c r="G4750" t="str">
        <f t="shared" si="522"/>
        <v/>
      </c>
      <c r="H4750" t="str">
        <f t="shared" si="523"/>
        <v/>
      </c>
      <c r="I4750" t="str">
        <f t="shared" si="524"/>
        <v/>
      </c>
    </row>
    <row r="4751" spans="1:9" x14ac:dyDescent="0.4">
      <c r="A4751" t="str">
        <f t="shared" si="518"/>
        <v/>
      </c>
      <c r="B4751" t="str">
        <f t="shared" si="519"/>
        <v/>
      </c>
      <c r="C4751" t="str">
        <f t="shared" si="520"/>
        <v/>
      </c>
      <c r="D4751" t="str">
        <f t="shared" si="521"/>
        <v/>
      </c>
      <c r="E4751" t="str">
        <f>IF(F4751="","",IF(COUNTIF($F$2:F4751,F4751)&gt;1,"",SUMIFS(tbl_input[필요수량],tbl_input[집계키_센터],F4751)))</f>
        <v/>
      </c>
      <c r="F4751" t="str">
        <f>IFERROR(INDEX(tbl_input[집계키_센터],ROW()-1),"")</f>
        <v/>
      </c>
      <c r="G4751" t="str">
        <f t="shared" si="522"/>
        <v/>
      </c>
      <c r="H4751" t="str">
        <f t="shared" si="523"/>
        <v/>
      </c>
      <c r="I4751" t="str">
        <f t="shared" si="524"/>
        <v/>
      </c>
    </row>
    <row r="4752" spans="1:9" x14ac:dyDescent="0.4">
      <c r="A4752" t="str">
        <f t="shared" si="518"/>
        <v/>
      </c>
      <c r="B4752" t="str">
        <f t="shared" si="519"/>
        <v/>
      </c>
      <c r="C4752" t="str">
        <f t="shared" si="520"/>
        <v/>
      </c>
      <c r="D4752" t="str">
        <f t="shared" si="521"/>
        <v/>
      </c>
      <c r="E4752" t="str">
        <f>IF(F4752="","",IF(COUNTIF($F$2:F4752,F4752)&gt;1,"",SUMIFS(tbl_input[필요수량],tbl_input[집계키_센터],F4752)))</f>
        <v/>
      </c>
      <c r="F4752" t="str">
        <f>IFERROR(INDEX(tbl_input[집계키_센터],ROW()-1),"")</f>
        <v/>
      </c>
      <c r="G4752" t="str">
        <f t="shared" si="522"/>
        <v/>
      </c>
      <c r="H4752" t="str">
        <f t="shared" si="523"/>
        <v/>
      </c>
      <c r="I4752" t="str">
        <f t="shared" si="524"/>
        <v/>
      </c>
    </row>
    <row r="4753" spans="1:9" x14ac:dyDescent="0.4">
      <c r="A4753" t="str">
        <f t="shared" si="518"/>
        <v/>
      </c>
      <c r="B4753" t="str">
        <f t="shared" si="519"/>
        <v/>
      </c>
      <c r="C4753" t="str">
        <f t="shared" si="520"/>
        <v/>
      </c>
      <c r="D4753" t="str">
        <f t="shared" si="521"/>
        <v/>
      </c>
      <c r="E4753" t="str">
        <f>IF(F4753="","",IF(COUNTIF($F$2:F4753,F4753)&gt;1,"",SUMIFS(tbl_input[필요수량],tbl_input[집계키_센터],F4753)))</f>
        <v/>
      </c>
      <c r="F4753" t="str">
        <f>IFERROR(INDEX(tbl_input[집계키_센터],ROW()-1),"")</f>
        <v/>
      </c>
      <c r="G4753" t="str">
        <f t="shared" si="522"/>
        <v/>
      </c>
      <c r="H4753" t="str">
        <f t="shared" si="523"/>
        <v/>
      </c>
      <c r="I4753" t="str">
        <f t="shared" si="524"/>
        <v/>
      </c>
    </row>
    <row r="4754" spans="1:9" x14ac:dyDescent="0.4">
      <c r="A4754" t="str">
        <f t="shared" si="518"/>
        <v/>
      </c>
      <c r="B4754" t="str">
        <f t="shared" si="519"/>
        <v/>
      </c>
      <c r="C4754" t="str">
        <f t="shared" si="520"/>
        <v/>
      </c>
      <c r="D4754" t="str">
        <f t="shared" si="521"/>
        <v/>
      </c>
      <c r="E4754" t="str">
        <f>IF(F4754="","",IF(COUNTIF($F$2:F4754,F4754)&gt;1,"",SUMIFS(tbl_input[필요수량],tbl_input[집계키_센터],F4754)))</f>
        <v/>
      </c>
      <c r="F4754" t="str">
        <f>IFERROR(INDEX(tbl_input[집계키_센터],ROW()-1),"")</f>
        <v/>
      </c>
      <c r="G4754" t="str">
        <f t="shared" si="522"/>
        <v/>
      </c>
      <c r="H4754" t="str">
        <f t="shared" si="523"/>
        <v/>
      </c>
      <c r="I4754" t="str">
        <f t="shared" si="524"/>
        <v/>
      </c>
    </row>
    <row r="4755" spans="1:9" x14ac:dyDescent="0.4">
      <c r="A4755" t="str">
        <f t="shared" si="518"/>
        <v/>
      </c>
      <c r="B4755" t="str">
        <f t="shared" si="519"/>
        <v/>
      </c>
      <c r="C4755" t="str">
        <f t="shared" si="520"/>
        <v/>
      </c>
      <c r="D4755" t="str">
        <f t="shared" si="521"/>
        <v/>
      </c>
      <c r="E4755" t="str">
        <f>IF(F4755="","",IF(COUNTIF($F$2:F4755,F4755)&gt;1,"",SUMIFS(tbl_input[필요수량],tbl_input[집계키_센터],F4755)))</f>
        <v/>
      </c>
      <c r="F4755" t="str">
        <f>IFERROR(INDEX(tbl_input[집계키_센터],ROW()-1),"")</f>
        <v/>
      </c>
      <c r="G4755" t="str">
        <f t="shared" si="522"/>
        <v/>
      </c>
      <c r="H4755" t="str">
        <f t="shared" si="523"/>
        <v/>
      </c>
      <c r="I4755" t="str">
        <f t="shared" si="524"/>
        <v/>
      </c>
    </row>
    <row r="4756" spans="1:9" x14ac:dyDescent="0.4">
      <c r="A4756" t="str">
        <f t="shared" si="518"/>
        <v/>
      </c>
      <c r="B4756" t="str">
        <f t="shared" si="519"/>
        <v/>
      </c>
      <c r="C4756" t="str">
        <f t="shared" si="520"/>
        <v/>
      </c>
      <c r="D4756" t="str">
        <f t="shared" si="521"/>
        <v/>
      </c>
      <c r="E4756" t="str">
        <f>IF(F4756="","",IF(COUNTIF($F$2:F4756,F4756)&gt;1,"",SUMIFS(tbl_input[필요수량],tbl_input[집계키_센터],F4756)))</f>
        <v/>
      </c>
      <c r="F4756" t="str">
        <f>IFERROR(INDEX(tbl_input[집계키_센터],ROW()-1),"")</f>
        <v/>
      </c>
      <c r="G4756" t="str">
        <f t="shared" si="522"/>
        <v/>
      </c>
      <c r="H4756" t="str">
        <f t="shared" si="523"/>
        <v/>
      </c>
      <c r="I4756" t="str">
        <f t="shared" si="524"/>
        <v/>
      </c>
    </row>
    <row r="4757" spans="1:9" x14ac:dyDescent="0.4">
      <c r="A4757" t="str">
        <f t="shared" si="518"/>
        <v/>
      </c>
      <c r="B4757" t="str">
        <f t="shared" si="519"/>
        <v/>
      </c>
      <c r="C4757" t="str">
        <f t="shared" si="520"/>
        <v/>
      </c>
      <c r="D4757" t="str">
        <f t="shared" si="521"/>
        <v/>
      </c>
      <c r="E4757" t="str">
        <f>IF(F4757="","",IF(COUNTIF($F$2:F4757,F4757)&gt;1,"",SUMIFS(tbl_input[필요수량],tbl_input[집계키_센터],F4757)))</f>
        <v/>
      </c>
      <c r="F4757" t="str">
        <f>IFERROR(INDEX(tbl_input[집계키_센터],ROW()-1),"")</f>
        <v/>
      </c>
      <c r="G4757" t="str">
        <f t="shared" si="522"/>
        <v/>
      </c>
      <c r="H4757" t="str">
        <f t="shared" si="523"/>
        <v/>
      </c>
      <c r="I4757" t="str">
        <f t="shared" si="524"/>
        <v/>
      </c>
    </row>
    <row r="4758" spans="1:9" x14ac:dyDescent="0.4">
      <c r="A4758" t="str">
        <f t="shared" si="518"/>
        <v/>
      </c>
      <c r="B4758" t="str">
        <f t="shared" si="519"/>
        <v/>
      </c>
      <c r="C4758" t="str">
        <f t="shared" si="520"/>
        <v/>
      </c>
      <c r="D4758" t="str">
        <f t="shared" si="521"/>
        <v/>
      </c>
      <c r="E4758" t="str">
        <f>IF(F4758="","",IF(COUNTIF($F$2:F4758,F4758)&gt;1,"",SUMIFS(tbl_input[필요수량],tbl_input[집계키_센터],F4758)))</f>
        <v/>
      </c>
      <c r="F4758" t="str">
        <f>IFERROR(INDEX(tbl_input[집계키_센터],ROW()-1),"")</f>
        <v/>
      </c>
      <c r="G4758" t="str">
        <f t="shared" si="522"/>
        <v/>
      </c>
      <c r="H4758" t="str">
        <f t="shared" si="523"/>
        <v/>
      </c>
      <c r="I4758" t="str">
        <f t="shared" si="524"/>
        <v/>
      </c>
    </row>
    <row r="4759" spans="1:9" x14ac:dyDescent="0.4">
      <c r="A4759" t="str">
        <f t="shared" si="518"/>
        <v/>
      </c>
      <c r="B4759" t="str">
        <f t="shared" si="519"/>
        <v/>
      </c>
      <c r="C4759" t="str">
        <f t="shared" si="520"/>
        <v/>
      </c>
      <c r="D4759" t="str">
        <f t="shared" si="521"/>
        <v/>
      </c>
      <c r="E4759" t="str">
        <f>IF(F4759="","",IF(COUNTIF($F$2:F4759,F4759)&gt;1,"",SUMIFS(tbl_input[필요수량],tbl_input[집계키_센터],F4759)))</f>
        <v/>
      </c>
      <c r="F4759" t="str">
        <f>IFERROR(INDEX(tbl_input[집계키_센터],ROW()-1),"")</f>
        <v/>
      </c>
      <c r="G4759" t="str">
        <f t="shared" si="522"/>
        <v/>
      </c>
      <c r="H4759" t="str">
        <f t="shared" si="523"/>
        <v/>
      </c>
      <c r="I4759" t="str">
        <f t="shared" si="524"/>
        <v/>
      </c>
    </row>
    <row r="4760" spans="1:9" x14ac:dyDescent="0.4">
      <c r="A4760" t="str">
        <f t="shared" si="518"/>
        <v/>
      </c>
      <c r="B4760" t="str">
        <f t="shared" si="519"/>
        <v/>
      </c>
      <c r="C4760" t="str">
        <f t="shared" si="520"/>
        <v/>
      </c>
      <c r="D4760" t="str">
        <f t="shared" si="521"/>
        <v/>
      </c>
      <c r="E4760" t="str">
        <f>IF(F4760="","",IF(COUNTIF($F$2:F4760,F4760)&gt;1,"",SUMIFS(tbl_input[필요수량],tbl_input[집계키_센터],F4760)))</f>
        <v/>
      </c>
      <c r="F4760" t="str">
        <f>IFERROR(INDEX(tbl_input[집계키_센터],ROW()-1),"")</f>
        <v/>
      </c>
      <c r="G4760" t="str">
        <f t="shared" si="522"/>
        <v/>
      </c>
      <c r="H4760" t="str">
        <f t="shared" si="523"/>
        <v/>
      </c>
      <c r="I4760" t="str">
        <f t="shared" si="524"/>
        <v/>
      </c>
    </row>
    <row r="4761" spans="1:9" x14ac:dyDescent="0.4">
      <c r="A4761" t="str">
        <f t="shared" si="518"/>
        <v/>
      </c>
      <c r="B4761" t="str">
        <f t="shared" si="519"/>
        <v/>
      </c>
      <c r="C4761" t="str">
        <f t="shared" si="520"/>
        <v/>
      </c>
      <c r="D4761" t="str">
        <f t="shared" si="521"/>
        <v/>
      </c>
      <c r="E4761" t="str">
        <f>IF(F4761="","",IF(COUNTIF($F$2:F4761,F4761)&gt;1,"",SUMIFS(tbl_input[필요수량],tbl_input[집계키_센터],F4761)))</f>
        <v/>
      </c>
      <c r="F4761" t="str">
        <f>IFERROR(INDEX(tbl_input[집계키_센터],ROW()-1),"")</f>
        <v/>
      </c>
      <c r="G4761" t="str">
        <f t="shared" si="522"/>
        <v/>
      </c>
      <c r="H4761" t="str">
        <f t="shared" si="523"/>
        <v/>
      </c>
      <c r="I4761" t="str">
        <f t="shared" si="524"/>
        <v/>
      </c>
    </row>
    <row r="4762" spans="1:9" x14ac:dyDescent="0.4">
      <c r="A4762" t="str">
        <f t="shared" si="518"/>
        <v/>
      </c>
      <c r="B4762" t="str">
        <f t="shared" si="519"/>
        <v/>
      </c>
      <c r="C4762" t="str">
        <f t="shared" si="520"/>
        <v/>
      </c>
      <c r="D4762" t="str">
        <f t="shared" si="521"/>
        <v/>
      </c>
      <c r="E4762" t="str">
        <f>IF(F4762="","",IF(COUNTIF($F$2:F4762,F4762)&gt;1,"",SUMIFS(tbl_input[필요수량],tbl_input[집계키_센터],F4762)))</f>
        <v/>
      </c>
      <c r="F4762" t="str">
        <f>IFERROR(INDEX(tbl_input[집계키_센터],ROW()-1),"")</f>
        <v/>
      </c>
      <c r="G4762" t="str">
        <f t="shared" si="522"/>
        <v/>
      </c>
      <c r="H4762" t="str">
        <f t="shared" si="523"/>
        <v/>
      </c>
      <c r="I4762" t="str">
        <f t="shared" si="524"/>
        <v/>
      </c>
    </row>
    <row r="4763" spans="1:9" x14ac:dyDescent="0.4">
      <c r="A4763" t="str">
        <f t="shared" si="518"/>
        <v/>
      </c>
      <c r="B4763" t="str">
        <f t="shared" si="519"/>
        <v/>
      </c>
      <c r="C4763" t="str">
        <f t="shared" si="520"/>
        <v/>
      </c>
      <c r="D4763" t="str">
        <f t="shared" si="521"/>
        <v/>
      </c>
      <c r="E4763" t="str">
        <f>IF(F4763="","",IF(COUNTIF($F$2:F4763,F4763)&gt;1,"",SUMIFS(tbl_input[필요수량],tbl_input[집계키_센터],F4763)))</f>
        <v/>
      </c>
      <c r="F4763" t="str">
        <f>IFERROR(INDEX(tbl_input[집계키_센터],ROW()-1),"")</f>
        <v/>
      </c>
      <c r="G4763" t="str">
        <f t="shared" si="522"/>
        <v/>
      </c>
      <c r="H4763" t="str">
        <f t="shared" si="523"/>
        <v/>
      </c>
      <c r="I4763" t="str">
        <f t="shared" si="524"/>
        <v/>
      </c>
    </row>
    <row r="4764" spans="1:9" x14ac:dyDescent="0.4">
      <c r="A4764" t="str">
        <f t="shared" si="518"/>
        <v/>
      </c>
      <c r="B4764" t="str">
        <f t="shared" si="519"/>
        <v/>
      </c>
      <c r="C4764" t="str">
        <f t="shared" si="520"/>
        <v/>
      </c>
      <c r="D4764" t="str">
        <f t="shared" si="521"/>
        <v/>
      </c>
      <c r="E4764" t="str">
        <f>IF(F4764="","",IF(COUNTIF($F$2:F4764,F4764)&gt;1,"",SUMIFS(tbl_input[필요수량],tbl_input[집계키_센터],F4764)))</f>
        <v/>
      </c>
      <c r="F4764" t="str">
        <f>IFERROR(INDEX(tbl_input[집계키_센터],ROW()-1),"")</f>
        <v/>
      </c>
      <c r="G4764" t="str">
        <f t="shared" si="522"/>
        <v/>
      </c>
      <c r="H4764" t="str">
        <f t="shared" si="523"/>
        <v/>
      </c>
      <c r="I4764" t="str">
        <f t="shared" si="524"/>
        <v/>
      </c>
    </row>
    <row r="4765" spans="1:9" x14ac:dyDescent="0.4">
      <c r="A4765" t="str">
        <f t="shared" si="518"/>
        <v/>
      </c>
      <c r="B4765" t="str">
        <f t="shared" si="519"/>
        <v/>
      </c>
      <c r="C4765" t="str">
        <f t="shared" si="520"/>
        <v/>
      </c>
      <c r="D4765" t="str">
        <f t="shared" si="521"/>
        <v/>
      </c>
      <c r="E4765" t="str">
        <f>IF(F4765="","",IF(COUNTIF($F$2:F4765,F4765)&gt;1,"",SUMIFS(tbl_input[필요수량],tbl_input[집계키_센터],F4765)))</f>
        <v/>
      </c>
      <c r="F4765" t="str">
        <f>IFERROR(INDEX(tbl_input[집계키_센터],ROW()-1),"")</f>
        <v/>
      </c>
      <c r="G4765" t="str">
        <f t="shared" si="522"/>
        <v/>
      </c>
      <c r="H4765" t="str">
        <f t="shared" si="523"/>
        <v/>
      </c>
      <c r="I4765" t="str">
        <f t="shared" si="524"/>
        <v/>
      </c>
    </row>
    <row r="4766" spans="1:9" x14ac:dyDescent="0.4">
      <c r="A4766" t="str">
        <f t="shared" si="518"/>
        <v/>
      </c>
      <c r="B4766" t="str">
        <f t="shared" si="519"/>
        <v/>
      </c>
      <c r="C4766" t="str">
        <f t="shared" si="520"/>
        <v/>
      </c>
      <c r="D4766" t="str">
        <f t="shared" si="521"/>
        <v/>
      </c>
      <c r="E4766" t="str">
        <f>IF(F4766="","",IF(COUNTIF($F$2:F4766,F4766)&gt;1,"",SUMIFS(tbl_input[필요수량],tbl_input[집계키_센터],F4766)))</f>
        <v/>
      </c>
      <c r="F4766" t="str">
        <f>IFERROR(INDEX(tbl_input[집계키_센터],ROW()-1),"")</f>
        <v/>
      </c>
      <c r="G4766" t="str">
        <f t="shared" si="522"/>
        <v/>
      </c>
      <c r="H4766" t="str">
        <f t="shared" si="523"/>
        <v/>
      </c>
      <c r="I4766" t="str">
        <f t="shared" si="524"/>
        <v/>
      </c>
    </row>
    <row r="4767" spans="1:9" x14ac:dyDescent="0.4">
      <c r="A4767" t="str">
        <f t="shared" si="518"/>
        <v/>
      </c>
      <c r="B4767" t="str">
        <f t="shared" si="519"/>
        <v/>
      </c>
      <c r="C4767" t="str">
        <f t="shared" si="520"/>
        <v/>
      </c>
      <c r="D4767" t="str">
        <f t="shared" si="521"/>
        <v/>
      </c>
      <c r="E4767" t="str">
        <f>IF(F4767="","",IF(COUNTIF($F$2:F4767,F4767)&gt;1,"",SUMIFS(tbl_input[필요수량],tbl_input[집계키_센터],F4767)))</f>
        <v/>
      </c>
      <c r="F4767" t="str">
        <f>IFERROR(INDEX(tbl_input[집계키_센터],ROW()-1),"")</f>
        <v/>
      </c>
      <c r="G4767" t="str">
        <f t="shared" si="522"/>
        <v/>
      </c>
      <c r="H4767" t="str">
        <f t="shared" si="523"/>
        <v/>
      </c>
      <c r="I4767" t="str">
        <f t="shared" si="524"/>
        <v/>
      </c>
    </row>
    <row r="4768" spans="1:9" x14ac:dyDescent="0.4">
      <c r="A4768" t="str">
        <f t="shared" si="518"/>
        <v/>
      </c>
      <c r="B4768" t="str">
        <f t="shared" si="519"/>
        <v/>
      </c>
      <c r="C4768" t="str">
        <f t="shared" si="520"/>
        <v/>
      </c>
      <c r="D4768" t="str">
        <f t="shared" si="521"/>
        <v/>
      </c>
      <c r="E4768" t="str">
        <f>IF(F4768="","",IF(COUNTIF($F$2:F4768,F4768)&gt;1,"",SUMIFS(tbl_input[필요수량],tbl_input[집계키_센터],F4768)))</f>
        <v/>
      </c>
      <c r="F4768" t="str">
        <f>IFERROR(INDEX(tbl_input[집계키_센터],ROW()-1),"")</f>
        <v/>
      </c>
      <c r="G4768" t="str">
        <f t="shared" si="522"/>
        <v/>
      </c>
      <c r="H4768" t="str">
        <f t="shared" si="523"/>
        <v/>
      </c>
      <c r="I4768" t="str">
        <f t="shared" si="524"/>
        <v/>
      </c>
    </row>
    <row r="4769" spans="1:9" x14ac:dyDescent="0.4">
      <c r="A4769" t="str">
        <f t="shared" si="518"/>
        <v/>
      </c>
      <c r="B4769" t="str">
        <f t="shared" si="519"/>
        <v/>
      </c>
      <c r="C4769" t="str">
        <f t="shared" si="520"/>
        <v/>
      </c>
      <c r="D4769" t="str">
        <f t="shared" si="521"/>
        <v/>
      </c>
      <c r="E4769" t="str">
        <f>IF(F4769="","",IF(COUNTIF($F$2:F4769,F4769)&gt;1,"",SUMIFS(tbl_input[필요수량],tbl_input[집계키_센터],F4769)))</f>
        <v/>
      </c>
      <c r="F4769" t="str">
        <f>IFERROR(INDEX(tbl_input[집계키_센터],ROW()-1),"")</f>
        <v/>
      </c>
      <c r="G4769" t="str">
        <f t="shared" si="522"/>
        <v/>
      </c>
      <c r="H4769" t="str">
        <f t="shared" si="523"/>
        <v/>
      </c>
      <c r="I4769" t="str">
        <f t="shared" si="524"/>
        <v/>
      </c>
    </row>
    <row r="4770" spans="1:9" x14ac:dyDescent="0.4">
      <c r="A4770" t="str">
        <f t="shared" si="518"/>
        <v/>
      </c>
      <c r="B4770" t="str">
        <f t="shared" si="519"/>
        <v/>
      </c>
      <c r="C4770" t="str">
        <f t="shared" si="520"/>
        <v/>
      </c>
      <c r="D4770" t="str">
        <f t="shared" si="521"/>
        <v/>
      </c>
      <c r="E4770" t="str">
        <f>IF(F4770="","",IF(COUNTIF($F$2:F4770,F4770)&gt;1,"",SUMIFS(tbl_input[필요수량],tbl_input[집계키_센터],F4770)))</f>
        <v/>
      </c>
      <c r="F4770" t="str">
        <f>IFERROR(INDEX(tbl_input[집계키_센터],ROW()-1),"")</f>
        <v/>
      </c>
      <c r="G4770" t="str">
        <f t="shared" si="522"/>
        <v/>
      </c>
      <c r="H4770" t="str">
        <f t="shared" si="523"/>
        <v/>
      </c>
      <c r="I4770" t="str">
        <f t="shared" si="524"/>
        <v/>
      </c>
    </row>
    <row r="4771" spans="1:9" x14ac:dyDescent="0.4">
      <c r="A4771" t="str">
        <f t="shared" si="518"/>
        <v/>
      </c>
      <c r="B4771" t="str">
        <f t="shared" si="519"/>
        <v/>
      </c>
      <c r="C4771" t="str">
        <f t="shared" si="520"/>
        <v/>
      </c>
      <c r="D4771" t="str">
        <f t="shared" si="521"/>
        <v/>
      </c>
      <c r="E4771" t="str">
        <f>IF(F4771="","",IF(COUNTIF($F$2:F4771,F4771)&gt;1,"",SUMIFS(tbl_input[필요수량],tbl_input[집계키_센터],F4771)))</f>
        <v/>
      </c>
      <c r="F4771" t="str">
        <f>IFERROR(INDEX(tbl_input[집계키_센터],ROW()-1),"")</f>
        <v/>
      </c>
      <c r="G4771" t="str">
        <f t="shared" si="522"/>
        <v/>
      </c>
      <c r="H4771" t="str">
        <f t="shared" si="523"/>
        <v/>
      </c>
      <c r="I4771" t="str">
        <f t="shared" si="524"/>
        <v/>
      </c>
    </row>
    <row r="4772" spans="1:9" x14ac:dyDescent="0.4">
      <c r="A4772" t="str">
        <f t="shared" si="518"/>
        <v/>
      </c>
      <c r="B4772" t="str">
        <f t="shared" si="519"/>
        <v/>
      </c>
      <c r="C4772" t="str">
        <f t="shared" si="520"/>
        <v/>
      </c>
      <c r="D4772" t="str">
        <f t="shared" si="521"/>
        <v/>
      </c>
      <c r="E4772" t="str">
        <f>IF(F4772="","",IF(COUNTIF($F$2:F4772,F4772)&gt;1,"",SUMIFS(tbl_input[필요수량],tbl_input[집계키_센터],F4772)))</f>
        <v/>
      </c>
      <c r="F4772" t="str">
        <f>IFERROR(INDEX(tbl_input[집계키_센터],ROW()-1),"")</f>
        <v/>
      </c>
      <c r="G4772" t="str">
        <f t="shared" si="522"/>
        <v/>
      </c>
      <c r="H4772" t="str">
        <f t="shared" si="523"/>
        <v/>
      </c>
      <c r="I4772" t="str">
        <f t="shared" si="524"/>
        <v/>
      </c>
    </row>
    <row r="4773" spans="1:9" x14ac:dyDescent="0.4">
      <c r="A4773" t="str">
        <f t="shared" si="518"/>
        <v/>
      </c>
      <c r="B4773" t="str">
        <f t="shared" si="519"/>
        <v/>
      </c>
      <c r="C4773" t="str">
        <f t="shared" si="520"/>
        <v/>
      </c>
      <c r="D4773" t="str">
        <f t="shared" si="521"/>
        <v/>
      </c>
      <c r="E4773" t="str">
        <f>IF(F4773="","",IF(COUNTIF($F$2:F4773,F4773)&gt;1,"",SUMIFS(tbl_input[필요수량],tbl_input[집계키_센터],F4773)))</f>
        <v/>
      </c>
      <c r="F4773" t="str">
        <f>IFERROR(INDEX(tbl_input[집계키_센터],ROW()-1),"")</f>
        <v/>
      </c>
      <c r="G4773" t="str">
        <f t="shared" si="522"/>
        <v/>
      </c>
      <c r="H4773" t="str">
        <f t="shared" si="523"/>
        <v/>
      </c>
      <c r="I4773" t="str">
        <f t="shared" si="524"/>
        <v/>
      </c>
    </row>
    <row r="4774" spans="1:9" x14ac:dyDescent="0.4">
      <c r="A4774" t="str">
        <f t="shared" si="518"/>
        <v/>
      </c>
      <c r="B4774" t="str">
        <f t="shared" si="519"/>
        <v/>
      </c>
      <c r="C4774" t="str">
        <f t="shared" si="520"/>
        <v/>
      </c>
      <c r="D4774" t="str">
        <f t="shared" si="521"/>
        <v/>
      </c>
      <c r="E4774" t="str">
        <f>IF(F4774="","",IF(COUNTIF($F$2:F4774,F4774)&gt;1,"",SUMIFS(tbl_input[필요수량],tbl_input[집계키_센터],F4774)))</f>
        <v/>
      </c>
      <c r="F4774" t="str">
        <f>IFERROR(INDEX(tbl_input[집계키_센터],ROW()-1),"")</f>
        <v/>
      </c>
      <c r="G4774" t="str">
        <f t="shared" si="522"/>
        <v/>
      </c>
      <c r="H4774" t="str">
        <f t="shared" si="523"/>
        <v/>
      </c>
      <c r="I4774" t="str">
        <f t="shared" si="524"/>
        <v/>
      </c>
    </row>
    <row r="4775" spans="1:9" x14ac:dyDescent="0.4">
      <c r="A4775" t="str">
        <f t="shared" si="518"/>
        <v/>
      </c>
      <c r="B4775" t="str">
        <f t="shared" si="519"/>
        <v/>
      </c>
      <c r="C4775" t="str">
        <f t="shared" si="520"/>
        <v/>
      </c>
      <c r="D4775" t="str">
        <f t="shared" si="521"/>
        <v/>
      </c>
      <c r="E4775" t="str">
        <f>IF(F4775="","",IF(COUNTIF($F$2:F4775,F4775)&gt;1,"",SUMIFS(tbl_input[필요수량],tbl_input[집계키_센터],F4775)))</f>
        <v/>
      </c>
      <c r="F4775" t="str">
        <f>IFERROR(INDEX(tbl_input[집계키_센터],ROW()-1),"")</f>
        <v/>
      </c>
      <c r="G4775" t="str">
        <f t="shared" si="522"/>
        <v/>
      </c>
      <c r="H4775" t="str">
        <f t="shared" si="523"/>
        <v/>
      </c>
      <c r="I4775" t="str">
        <f t="shared" si="524"/>
        <v/>
      </c>
    </row>
    <row r="4776" spans="1:9" x14ac:dyDescent="0.4">
      <c r="A4776" t="str">
        <f t="shared" si="518"/>
        <v/>
      </c>
      <c r="B4776" t="str">
        <f t="shared" si="519"/>
        <v/>
      </c>
      <c r="C4776" t="str">
        <f t="shared" si="520"/>
        <v/>
      </c>
      <c r="D4776" t="str">
        <f t="shared" si="521"/>
        <v/>
      </c>
      <c r="E4776" t="str">
        <f>IF(F4776="","",IF(COUNTIF($F$2:F4776,F4776)&gt;1,"",SUMIFS(tbl_input[필요수량],tbl_input[집계키_센터],F4776)))</f>
        <v/>
      </c>
      <c r="F4776" t="str">
        <f>IFERROR(INDEX(tbl_input[집계키_센터],ROW()-1),"")</f>
        <v/>
      </c>
      <c r="G4776" t="str">
        <f t="shared" si="522"/>
        <v/>
      </c>
      <c r="H4776" t="str">
        <f t="shared" si="523"/>
        <v/>
      </c>
      <c r="I4776" t="str">
        <f t="shared" si="524"/>
        <v/>
      </c>
    </row>
    <row r="4777" spans="1:9" x14ac:dyDescent="0.4">
      <c r="A4777" t="str">
        <f t="shared" si="518"/>
        <v/>
      </c>
      <c r="B4777" t="str">
        <f t="shared" si="519"/>
        <v/>
      </c>
      <c r="C4777" t="str">
        <f t="shared" si="520"/>
        <v/>
      </c>
      <c r="D4777" t="str">
        <f t="shared" si="521"/>
        <v/>
      </c>
      <c r="E4777" t="str">
        <f>IF(F4777="","",IF(COUNTIF($F$2:F4777,F4777)&gt;1,"",SUMIFS(tbl_input[필요수량],tbl_input[집계키_센터],F4777)))</f>
        <v/>
      </c>
      <c r="F4777" t="str">
        <f>IFERROR(INDEX(tbl_input[집계키_센터],ROW()-1),"")</f>
        <v/>
      </c>
      <c r="G4777" t="str">
        <f t="shared" si="522"/>
        <v/>
      </c>
      <c r="H4777" t="str">
        <f t="shared" si="523"/>
        <v/>
      </c>
      <c r="I4777" t="str">
        <f t="shared" si="524"/>
        <v/>
      </c>
    </row>
    <row r="4778" spans="1:9" x14ac:dyDescent="0.4">
      <c r="A4778" t="str">
        <f t="shared" si="518"/>
        <v/>
      </c>
      <c r="B4778" t="str">
        <f t="shared" si="519"/>
        <v/>
      </c>
      <c r="C4778" t="str">
        <f t="shared" si="520"/>
        <v/>
      </c>
      <c r="D4778" t="str">
        <f t="shared" si="521"/>
        <v/>
      </c>
      <c r="E4778" t="str">
        <f>IF(F4778="","",IF(COUNTIF($F$2:F4778,F4778)&gt;1,"",SUMIFS(tbl_input[필요수량],tbl_input[집계키_센터],F4778)))</f>
        <v/>
      </c>
      <c r="F4778" t="str">
        <f>IFERROR(INDEX(tbl_input[집계키_센터],ROW()-1),"")</f>
        <v/>
      </c>
      <c r="G4778" t="str">
        <f t="shared" si="522"/>
        <v/>
      </c>
      <c r="H4778" t="str">
        <f t="shared" si="523"/>
        <v/>
      </c>
      <c r="I4778" t="str">
        <f t="shared" si="524"/>
        <v/>
      </c>
    </row>
    <row r="4779" spans="1:9" x14ac:dyDescent="0.4">
      <c r="A4779" t="str">
        <f t="shared" si="518"/>
        <v/>
      </c>
      <c r="B4779" t="str">
        <f t="shared" si="519"/>
        <v/>
      </c>
      <c r="C4779" t="str">
        <f t="shared" si="520"/>
        <v/>
      </c>
      <c r="D4779" t="str">
        <f t="shared" si="521"/>
        <v/>
      </c>
      <c r="E4779" t="str">
        <f>IF(F4779="","",IF(COUNTIF($F$2:F4779,F4779)&gt;1,"",SUMIFS(tbl_input[필요수량],tbl_input[집계키_센터],F4779)))</f>
        <v/>
      </c>
      <c r="F4779" t="str">
        <f>IFERROR(INDEX(tbl_input[집계키_센터],ROW()-1),"")</f>
        <v/>
      </c>
      <c r="G4779" t="str">
        <f t="shared" si="522"/>
        <v/>
      </c>
      <c r="H4779" t="str">
        <f t="shared" si="523"/>
        <v/>
      </c>
      <c r="I4779" t="str">
        <f t="shared" si="524"/>
        <v/>
      </c>
    </row>
    <row r="4780" spans="1:9" x14ac:dyDescent="0.4">
      <c r="A4780" t="str">
        <f t="shared" si="518"/>
        <v/>
      </c>
      <c r="B4780" t="str">
        <f t="shared" si="519"/>
        <v/>
      </c>
      <c r="C4780" t="str">
        <f t="shared" si="520"/>
        <v/>
      </c>
      <c r="D4780" t="str">
        <f t="shared" si="521"/>
        <v/>
      </c>
      <c r="E4780" t="str">
        <f>IF(F4780="","",IF(COUNTIF($F$2:F4780,F4780)&gt;1,"",SUMIFS(tbl_input[필요수량],tbl_input[집계키_센터],F4780)))</f>
        <v/>
      </c>
      <c r="F4780" t="str">
        <f>IFERROR(INDEX(tbl_input[집계키_센터],ROW()-1),"")</f>
        <v/>
      </c>
      <c r="G4780" t="str">
        <f t="shared" si="522"/>
        <v/>
      </c>
      <c r="H4780" t="str">
        <f t="shared" si="523"/>
        <v/>
      </c>
      <c r="I4780" t="str">
        <f t="shared" si="524"/>
        <v/>
      </c>
    </row>
    <row r="4781" spans="1:9" x14ac:dyDescent="0.4">
      <c r="A4781" t="str">
        <f t="shared" si="518"/>
        <v/>
      </c>
      <c r="B4781" t="str">
        <f t="shared" si="519"/>
        <v/>
      </c>
      <c r="C4781" t="str">
        <f t="shared" si="520"/>
        <v/>
      </c>
      <c r="D4781" t="str">
        <f t="shared" si="521"/>
        <v/>
      </c>
      <c r="E4781" t="str">
        <f>IF(F4781="","",IF(COUNTIF($F$2:F4781,F4781)&gt;1,"",SUMIFS(tbl_input[필요수량],tbl_input[집계키_센터],F4781)))</f>
        <v/>
      </c>
      <c r="F4781" t="str">
        <f>IFERROR(INDEX(tbl_input[집계키_센터],ROW()-1),"")</f>
        <v/>
      </c>
      <c r="G4781" t="str">
        <f t="shared" si="522"/>
        <v/>
      </c>
      <c r="H4781" t="str">
        <f t="shared" si="523"/>
        <v/>
      </c>
      <c r="I4781" t="str">
        <f t="shared" si="524"/>
        <v/>
      </c>
    </row>
    <row r="4782" spans="1:9" x14ac:dyDescent="0.4">
      <c r="A4782" t="str">
        <f t="shared" si="518"/>
        <v/>
      </c>
      <c r="B4782" t="str">
        <f t="shared" si="519"/>
        <v/>
      </c>
      <c r="C4782" t="str">
        <f t="shared" si="520"/>
        <v/>
      </c>
      <c r="D4782" t="str">
        <f t="shared" si="521"/>
        <v/>
      </c>
      <c r="E4782" t="str">
        <f>IF(F4782="","",IF(COUNTIF($F$2:F4782,F4782)&gt;1,"",SUMIFS(tbl_input[필요수량],tbl_input[집계키_센터],F4782)))</f>
        <v/>
      </c>
      <c r="F4782" t="str">
        <f>IFERROR(INDEX(tbl_input[집계키_센터],ROW()-1),"")</f>
        <v/>
      </c>
      <c r="G4782" t="str">
        <f t="shared" si="522"/>
        <v/>
      </c>
      <c r="H4782" t="str">
        <f t="shared" si="523"/>
        <v/>
      </c>
      <c r="I4782" t="str">
        <f t="shared" si="524"/>
        <v/>
      </c>
    </row>
    <row r="4783" spans="1:9" x14ac:dyDescent="0.4">
      <c r="A4783" t="str">
        <f t="shared" si="518"/>
        <v/>
      </c>
      <c r="B4783" t="str">
        <f t="shared" si="519"/>
        <v/>
      </c>
      <c r="C4783" t="str">
        <f t="shared" si="520"/>
        <v/>
      </c>
      <c r="D4783" t="str">
        <f t="shared" si="521"/>
        <v/>
      </c>
      <c r="E4783" t="str">
        <f>IF(F4783="","",IF(COUNTIF($F$2:F4783,F4783)&gt;1,"",SUMIFS(tbl_input[필요수량],tbl_input[집계키_센터],F4783)))</f>
        <v/>
      </c>
      <c r="F4783" t="str">
        <f>IFERROR(INDEX(tbl_input[집계키_센터],ROW()-1),"")</f>
        <v/>
      </c>
      <c r="G4783" t="str">
        <f t="shared" si="522"/>
        <v/>
      </c>
      <c r="H4783" t="str">
        <f t="shared" si="523"/>
        <v/>
      </c>
      <c r="I4783" t="str">
        <f t="shared" si="524"/>
        <v/>
      </c>
    </row>
    <row r="4784" spans="1:9" x14ac:dyDescent="0.4">
      <c r="A4784" t="str">
        <f t="shared" si="518"/>
        <v/>
      </c>
      <c r="B4784" t="str">
        <f t="shared" si="519"/>
        <v/>
      </c>
      <c r="C4784" t="str">
        <f t="shared" si="520"/>
        <v/>
      </c>
      <c r="D4784" t="str">
        <f t="shared" si="521"/>
        <v/>
      </c>
      <c r="E4784" t="str">
        <f>IF(F4784="","",IF(COUNTIF($F$2:F4784,F4784)&gt;1,"",SUMIFS(tbl_input[필요수량],tbl_input[집계키_센터],F4784)))</f>
        <v/>
      </c>
      <c r="F4784" t="str">
        <f>IFERROR(INDEX(tbl_input[집계키_센터],ROW()-1),"")</f>
        <v/>
      </c>
      <c r="G4784" t="str">
        <f t="shared" si="522"/>
        <v/>
      </c>
      <c r="H4784" t="str">
        <f t="shared" si="523"/>
        <v/>
      </c>
      <c r="I4784" t="str">
        <f t="shared" si="524"/>
        <v/>
      </c>
    </row>
    <row r="4785" spans="1:9" x14ac:dyDescent="0.4">
      <c r="A4785" t="str">
        <f t="shared" si="518"/>
        <v/>
      </c>
      <c r="B4785" t="str">
        <f t="shared" si="519"/>
        <v/>
      </c>
      <c r="C4785" t="str">
        <f t="shared" si="520"/>
        <v/>
      </c>
      <c r="D4785" t="str">
        <f t="shared" si="521"/>
        <v/>
      </c>
      <c r="E4785" t="str">
        <f>IF(F4785="","",IF(COUNTIF($F$2:F4785,F4785)&gt;1,"",SUMIFS(tbl_input[필요수량],tbl_input[집계키_센터],F4785)))</f>
        <v/>
      </c>
      <c r="F4785" t="str">
        <f>IFERROR(INDEX(tbl_input[집계키_센터],ROW()-1),"")</f>
        <v/>
      </c>
      <c r="G4785" t="str">
        <f t="shared" si="522"/>
        <v/>
      </c>
      <c r="H4785" t="str">
        <f t="shared" si="523"/>
        <v/>
      </c>
      <c r="I4785" t="str">
        <f t="shared" si="524"/>
        <v/>
      </c>
    </row>
    <row r="4786" spans="1:9" x14ac:dyDescent="0.4">
      <c r="A4786" t="str">
        <f t="shared" si="518"/>
        <v/>
      </c>
      <c r="B4786" t="str">
        <f t="shared" si="519"/>
        <v/>
      </c>
      <c r="C4786" t="str">
        <f t="shared" si="520"/>
        <v/>
      </c>
      <c r="D4786" t="str">
        <f t="shared" si="521"/>
        <v/>
      </c>
      <c r="E4786" t="str">
        <f>IF(F4786="","",IF(COUNTIF($F$2:F4786,F4786)&gt;1,"",SUMIFS(tbl_input[필요수량],tbl_input[집계키_센터],F4786)))</f>
        <v/>
      </c>
      <c r="F4786" t="str">
        <f>IFERROR(INDEX(tbl_input[집계키_센터],ROW()-1),"")</f>
        <v/>
      </c>
      <c r="G4786" t="str">
        <f t="shared" si="522"/>
        <v/>
      </c>
      <c r="H4786" t="str">
        <f t="shared" si="523"/>
        <v/>
      </c>
      <c r="I4786" t="str">
        <f t="shared" si="524"/>
        <v/>
      </c>
    </row>
    <row r="4787" spans="1:9" x14ac:dyDescent="0.4">
      <c r="A4787" t="str">
        <f t="shared" si="518"/>
        <v/>
      </c>
      <c r="B4787" t="str">
        <f t="shared" si="519"/>
        <v/>
      </c>
      <c r="C4787" t="str">
        <f t="shared" si="520"/>
        <v/>
      </c>
      <c r="D4787" t="str">
        <f t="shared" si="521"/>
        <v/>
      </c>
      <c r="E4787" t="str">
        <f>IF(F4787="","",IF(COUNTIF($F$2:F4787,F4787)&gt;1,"",SUMIFS(tbl_input[필요수량],tbl_input[집계키_센터],F4787)))</f>
        <v/>
      </c>
      <c r="F4787" t="str">
        <f>IFERROR(INDEX(tbl_input[집계키_센터],ROW()-1),"")</f>
        <v/>
      </c>
      <c r="G4787" t="str">
        <f t="shared" si="522"/>
        <v/>
      </c>
      <c r="H4787" t="str">
        <f t="shared" si="523"/>
        <v/>
      </c>
      <c r="I4787" t="str">
        <f t="shared" si="524"/>
        <v/>
      </c>
    </row>
    <row r="4788" spans="1:9" x14ac:dyDescent="0.4">
      <c r="A4788" t="str">
        <f t="shared" si="518"/>
        <v/>
      </c>
      <c r="B4788" t="str">
        <f t="shared" si="519"/>
        <v/>
      </c>
      <c r="C4788" t="str">
        <f t="shared" si="520"/>
        <v/>
      </c>
      <c r="D4788" t="str">
        <f t="shared" si="521"/>
        <v/>
      </c>
      <c r="E4788" t="str">
        <f>IF(F4788="","",IF(COUNTIF($F$2:F4788,F4788)&gt;1,"",SUMIFS(tbl_input[필요수량],tbl_input[집계키_센터],F4788)))</f>
        <v/>
      </c>
      <c r="F4788" t="str">
        <f>IFERROR(INDEX(tbl_input[집계키_센터],ROW()-1),"")</f>
        <v/>
      </c>
      <c r="G4788" t="str">
        <f t="shared" si="522"/>
        <v/>
      </c>
      <c r="H4788" t="str">
        <f t="shared" si="523"/>
        <v/>
      </c>
      <c r="I4788" t="str">
        <f t="shared" si="524"/>
        <v/>
      </c>
    </row>
    <row r="4789" spans="1:9" x14ac:dyDescent="0.4">
      <c r="A4789" t="str">
        <f t="shared" si="518"/>
        <v/>
      </c>
      <c r="B4789" t="str">
        <f t="shared" si="519"/>
        <v/>
      </c>
      <c r="C4789" t="str">
        <f t="shared" si="520"/>
        <v/>
      </c>
      <c r="D4789" t="str">
        <f t="shared" si="521"/>
        <v/>
      </c>
      <c r="E4789" t="str">
        <f>IF(F4789="","",IF(COUNTIF($F$2:F4789,F4789)&gt;1,"",SUMIFS(tbl_input[필요수량],tbl_input[집계키_센터],F4789)))</f>
        <v/>
      </c>
      <c r="F4789" t="str">
        <f>IFERROR(INDEX(tbl_input[집계키_센터],ROW()-1),"")</f>
        <v/>
      </c>
      <c r="G4789" t="str">
        <f t="shared" si="522"/>
        <v/>
      </c>
      <c r="H4789" t="str">
        <f t="shared" si="523"/>
        <v/>
      </c>
      <c r="I4789" t="str">
        <f t="shared" si="524"/>
        <v/>
      </c>
    </row>
    <row r="4790" spans="1:9" x14ac:dyDescent="0.4">
      <c r="A4790" t="str">
        <f t="shared" si="518"/>
        <v/>
      </c>
      <c r="B4790" t="str">
        <f t="shared" si="519"/>
        <v/>
      </c>
      <c r="C4790" t="str">
        <f t="shared" si="520"/>
        <v/>
      </c>
      <c r="D4790" t="str">
        <f t="shared" si="521"/>
        <v/>
      </c>
      <c r="E4790" t="str">
        <f>IF(F4790="","",IF(COUNTIF($F$2:F4790,F4790)&gt;1,"",SUMIFS(tbl_input[필요수량],tbl_input[집계키_센터],F4790)))</f>
        <v/>
      </c>
      <c r="F4790" t="str">
        <f>IFERROR(INDEX(tbl_input[집계키_센터],ROW()-1),"")</f>
        <v/>
      </c>
      <c r="G4790" t="str">
        <f t="shared" si="522"/>
        <v/>
      </c>
      <c r="H4790" t="str">
        <f t="shared" si="523"/>
        <v/>
      </c>
      <c r="I4790" t="str">
        <f t="shared" si="524"/>
        <v/>
      </c>
    </row>
    <row r="4791" spans="1:9" x14ac:dyDescent="0.4">
      <c r="A4791" t="str">
        <f t="shared" si="518"/>
        <v/>
      </c>
      <c r="B4791" t="str">
        <f t="shared" si="519"/>
        <v/>
      </c>
      <c r="C4791" t="str">
        <f t="shared" si="520"/>
        <v/>
      </c>
      <c r="D4791" t="str">
        <f t="shared" si="521"/>
        <v/>
      </c>
      <c r="E4791" t="str">
        <f>IF(F4791="","",IF(COUNTIF($F$2:F4791,F4791)&gt;1,"",SUMIFS(tbl_input[필요수량],tbl_input[집계키_센터],F4791)))</f>
        <v/>
      </c>
      <c r="F4791" t="str">
        <f>IFERROR(INDEX(tbl_input[집계키_센터],ROW()-1),"")</f>
        <v/>
      </c>
      <c r="G4791" t="str">
        <f t="shared" si="522"/>
        <v/>
      </c>
      <c r="H4791" t="str">
        <f t="shared" si="523"/>
        <v/>
      </c>
      <c r="I4791" t="str">
        <f t="shared" si="524"/>
        <v/>
      </c>
    </row>
    <row r="4792" spans="1:9" x14ac:dyDescent="0.4">
      <c r="A4792" t="str">
        <f t="shared" si="518"/>
        <v/>
      </c>
      <c r="B4792" t="str">
        <f t="shared" si="519"/>
        <v/>
      </c>
      <c r="C4792" t="str">
        <f t="shared" si="520"/>
        <v/>
      </c>
      <c r="D4792" t="str">
        <f t="shared" si="521"/>
        <v/>
      </c>
      <c r="E4792" t="str">
        <f>IF(F4792="","",IF(COUNTIF($F$2:F4792,F4792)&gt;1,"",SUMIFS(tbl_input[필요수량],tbl_input[집계키_센터],F4792)))</f>
        <v/>
      </c>
      <c r="F4792" t="str">
        <f>IFERROR(INDEX(tbl_input[집계키_센터],ROW()-1),"")</f>
        <v/>
      </c>
      <c r="G4792" t="str">
        <f t="shared" si="522"/>
        <v/>
      </c>
      <c r="H4792" t="str">
        <f t="shared" si="523"/>
        <v/>
      </c>
      <c r="I4792" t="str">
        <f t="shared" si="524"/>
        <v/>
      </c>
    </row>
    <row r="4793" spans="1:9" x14ac:dyDescent="0.4">
      <c r="A4793" t="str">
        <f t="shared" si="518"/>
        <v/>
      </c>
      <c r="B4793" t="str">
        <f t="shared" si="519"/>
        <v/>
      </c>
      <c r="C4793" t="str">
        <f t="shared" si="520"/>
        <v/>
      </c>
      <c r="D4793" t="str">
        <f t="shared" si="521"/>
        <v/>
      </c>
      <c r="E4793" t="str">
        <f>IF(F4793="","",IF(COUNTIF($F$2:F4793,F4793)&gt;1,"",SUMIFS(tbl_input[필요수량],tbl_input[집계키_센터],F4793)))</f>
        <v/>
      </c>
      <c r="F4793" t="str">
        <f>IFERROR(INDEX(tbl_input[집계키_센터],ROW()-1),"")</f>
        <v/>
      </c>
      <c r="G4793" t="str">
        <f t="shared" si="522"/>
        <v/>
      </c>
      <c r="H4793" t="str">
        <f t="shared" si="523"/>
        <v/>
      </c>
      <c r="I4793" t="str">
        <f t="shared" si="524"/>
        <v/>
      </c>
    </row>
    <row r="4794" spans="1:9" x14ac:dyDescent="0.4">
      <c r="A4794" t="str">
        <f t="shared" si="518"/>
        <v/>
      </c>
      <c r="B4794" t="str">
        <f t="shared" si="519"/>
        <v/>
      </c>
      <c r="C4794" t="str">
        <f t="shared" si="520"/>
        <v/>
      </c>
      <c r="D4794" t="str">
        <f t="shared" si="521"/>
        <v/>
      </c>
      <c r="E4794" t="str">
        <f>IF(F4794="","",IF(COUNTIF($F$2:F4794,F4794)&gt;1,"",SUMIFS(tbl_input[필요수량],tbl_input[집계키_센터],F4794)))</f>
        <v/>
      </c>
      <c r="F4794" t="str">
        <f>IFERROR(INDEX(tbl_input[집계키_센터],ROW()-1),"")</f>
        <v/>
      </c>
      <c r="G4794" t="str">
        <f t="shared" si="522"/>
        <v/>
      </c>
      <c r="H4794" t="str">
        <f t="shared" si="523"/>
        <v/>
      </c>
      <c r="I4794" t="str">
        <f t="shared" si="524"/>
        <v/>
      </c>
    </row>
    <row r="4795" spans="1:9" x14ac:dyDescent="0.4">
      <c r="A4795" t="str">
        <f t="shared" si="518"/>
        <v/>
      </c>
      <c r="B4795" t="str">
        <f t="shared" si="519"/>
        <v/>
      </c>
      <c r="C4795" t="str">
        <f t="shared" si="520"/>
        <v/>
      </c>
      <c r="D4795" t="str">
        <f t="shared" si="521"/>
        <v/>
      </c>
      <c r="E4795" t="str">
        <f>IF(F4795="","",IF(COUNTIF($F$2:F4795,F4795)&gt;1,"",SUMIFS(tbl_input[필요수량],tbl_input[집계키_센터],F4795)))</f>
        <v/>
      </c>
      <c r="F4795" t="str">
        <f>IFERROR(INDEX(tbl_input[집계키_센터],ROW()-1),"")</f>
        <v/>
      </c>
      <c r="G4795" t="str">
        <f t="shared" si="522"/>
        <v/>
      </c>
      <c r="H4795" t="str">
        <f t="shared" si="523"/>
        <v/>
      </c>
      <c r="I4795" t="str">
        <f t="shared" si="524"/>
        <v/>
      </c>
    </row>
    <row r="4796" spans="1:9" x14ac:dyDescent="0.4">
      <c r="A4796" t="str">
        <f t="shared" si="518"/>
        <v/>
      </c>
      <c r="B4796" t="str">
        <f t="shared" si="519"/>
        <v/>
      </c>
      <c r="C4796" t="str">
        <f t="shared" si="520"/>
        <v/>
      </c>
      <c r="D4796" t="str">
        <f t="shared" si="521"/>
        <v/>
      </c>
      <c r="E4796" t="str">
        <f>IF(F4796="","",IF(COUNTIF($F$2:F4796,F4796)&gt;1,"",SUMIFS(tbl_input[필요수량],tbl_input[집계키_센터],F4796)))</f>
        <v/>
      </c>
      <c r="F4796" t="str">
        <f>IFERROR(INDEX(tbl_input[집계키_센터],ROW()-1),"")</f>
        <v/>
      </c>
      <c r="G4796" t="str">
        <f t="shared" si="522"/>
        <v/>
      </c>
      <c r="H4796" t="str">
        <f t="shared" si="523"/>
        <v/>
      </c>
      <c r="I4796" t="str">
        <f t="shared" si="524"/>
        <v/>
      </c>
    </row>
    <row r="4797" spans="1:9" x14ac:dyDescent="0.4">
      <c r="A4797" t="str">
        <f t="shared" si="518"/>
        <v/>
      </c>
      <c r="B4797" t="str">
        <f t="shared" si="519"/>
        <v/>
      </c>
      <c r="C4797" t="str">
        <f t="shared" si="520"/>
        <v/>
      </c>
      <c r="D4797" t="str">
        <f t="shared" si="521"/>
        <v/>
      </c>
      <c r="E4797" t="str">
        <f>IF(F4797="","",IF(COUNTIF($F$2:F4797,F4797)&gt;1,"",SUMIFS(tbl_input[필요수량],tbl_input[집계키_센터],F4797)))</f>
        <v/>
      </c>
      <c r="F4797" t="str">
        <f>IFERROR(INDEX(tbl_input[집계키_센터],ROW()-1),"")</f>
        <v/>
      </c>
      <c r="G4797" t="str">
        <f t="shared" si="522"/>
        <v/>
      </c>
      <c r="H4797" t="str">
        <f t="shared" si="523"/>
        <v/>
      </c>
      <c r="I4797" t="str">
        <f t="shared" si="524"/>
        <v/>
      </c>
    </row>
    <row r="4798" spans="1:9" x14ac:dyDescent="0.4">
      <c r="A4798" t="str">
        <f t="shared" si="518"/>
        <v/>
      </c>
      <c r="B4798" t="str">
        <f t="shared" si="519"/>
        <v/>
      </c>
      <c r="C4798" t="str">
        <f t="shared" si="520"/>
        <v/>
      </c>
      <c r="D4798" t="str">
        <f t="shared" si="521"/>
        <v/>
      </c>
      <c r="E4798" t="str">
        <f>IF(F4798="","",IF(COUNTIF($F$2:F4798,F4798)&gt;1,"",SUMIFS(tbl_input[필요수량],tbl_input[집계키_센터],F4798)))</f>
        <v/>
      </c>
      <c r="F4798" t="str">
        <f>IFERROR(INDEX(tbl_input[집계키_센터],ROW()-1),"")</f>
        <v/>
      </c>
      <c r="G4798" t="str">
        <f t="shared" si="522"/>
        <v/>
      </c>
      <c r="H4798" t="str">
        <f t="shared" si="523"/>
        <v/>
      </c>
      <c r="I4798" t="str">
        <f t="shared" si="524"/>
        <v/>
      </c>
    </row>
    <row r="4799" spans="1:9" x14ac:dyDescent="0.4">
      <c r="A4799" t="str">
        <f t="shared" si="518"/>
        <v/>
      </c>
      <c r="B4799" t="str">
        <f t="shared" si="519"/>
        <v/>
      </c>
      <c r="C4799" t="str">
        <f t="shared" si="520"/>
        <v/>
      </c>
      <c r="D4799" t="str">
        <f t="shared" si="521"/>
        <v/>
      </c>
      <c r="E4799" t="str">
        <f>IF(F4799="","",IF(COUNTIF($F$2:F4799,F4799)&gt;1,"",SUMIFS(tbl_input[필요수량],tbl_input[집계키_센터],F4799)))</f>
        <v/>
      </c>
      <c r="F4799" t="str">
        <f>IFERROR(INDEX(tbl_input[집계키_센터],ROW()-1),"")</f>
        <v/>
      </c>
      <c r="G4799" t="str">
        <f t="shared" si="522"/>
        <v/>
      </c>
      <c r="H4799" t="str">
        <f t="shared" si="523"/>
        <v/>
      </c>
      <c r="I4799" t="str">
        <f t="shared" si="524"/>
        <v/>
      </c>
    </row>
    <row r="4800" spans="1:9" x14ac:dyDescent="0.4">
      <c r="A4800" t="str">
        <f t="shared" si="518"/>
        <v/>
      </c>
      <c r="B4800" t="str">
        <f t="shared" si="519"/>
        <v/>
      </c>
      <c r="C4800" t="str">
        <f t="shared" si="520"/>
        <v/>
      </c>
      <c r="D4800" t="str">
        <f t="shared" si="521"/>
        <v/>
      </c>
      <c r="E4800" t="str">
        <f>IF(F4800="","",IF(COUNTIF($F$2:F4800,F4800)&gt;1,"",SUMIFS(tbl_input[필요수량],tbl_input[집계키_센터],F4800)))</f>
        <v/>
      </c>
      <c r="F4800" t="str">
        <f>IFERROR(INDEX(tbl_input[집계키_센터],ROW()-1),"")</f>
        <v/>
      </c>
      <c r="G4800" t="str">
        <f t="shared" si="522"/>
        <v/>
      </c>
      <c r="H4800" t="str">
        <f t="shared" si="523"/>
        <v/>
      </c>
      <c r="I4800" t="str">
        <f t="shared" si="524"/>
        <v/>
      </c>
    </row>
    <row r="4801" spans="1:9" x14ac:dyDescent="0.4">
      <c r="A4801" t="str">
        <f t="shared" si="518"/>
        <v/>
      </c>
      <c r="B4801" t="str">
        <f t="shared" si="519"/>
        <v/>
      </c>
      <c r="C4801" t="str">
        <f t="shared" si="520"/>
        <v/>
      </c>
      <c r="D4801" t="str">
        <f t="shared" si="521"/>
        <v/>
      </c>
      <c r="E4801" t="str">
        <f>IF(F4801="","",IF(COUNTIF($F$2:F4801,F4801)&gt;1,"",SUMIFS(tbl_input[필요수량],tbl_input[집계키_센터],F4801)))</f>
        <v/>
      </c>
      <c r="F4801" t="str">
        <f>IFERROR(INDEX(tbl_input[집계키_센터],ROW()-1),"")</f>
        <v/>
      </c>
      <c r="G4801" t="str">
        <f t="shared" si="522"/>
        <v/>
      </c>
      <c r="H4801" t="str">
        <f t="shared" si="523"/>
        <v/>
      </c>
      <c r="I4801" t="str">
        <f t="shared" si="524"/>
        <v/>
      </c>
    </row>
    <row r="4802" spans="1:9" x14ac:dyDescent="0.4">
      <c r="A4802" t="str">
        <f t="shared" ref="A4802:A4865" si="525">IF(F4802="","",LEFT(F4802,G4802-1))</f>
        <v/>
      </c>
      <c r="B4802" t="str">
        <f t="shared" ref="B4802:B4865" si="526">IF(F4802="","",MID(F4802,G4802+1,H4802-G4802-1))</f>
        <v/>
      </c>
      <c r="C4802" t="str">
        <f t="shared" ref="C4802:C4865" si="527">IF(F4802="","",MID(F4802,H4802+1,I4802-H4802-1))</f>
        <v/>
      </c>
      <c r="D4802" t="str">
        <f t="shared" ref="D4802:D4865" si="528">IF(F4802="","",MID(F4802,I4802+1,999))</f>
        <v/>
      </c>
      <c r="E4802" t="str">
        <f>IF(F4802="","",IF(COUNTIF($F$2:F4802,F4802)&gt;1,"",SUMIFS(tbl_input[필요수량],tbl_input[집계키_센터],F4802)))</f>
        <v/>
      </c>
      <c r="F4802" t="str">
        <f>IFERROR(INDEX(tbl_input[집계키_센터],ROW()-1),"")</f>
        <v/>
      </c>
      <c r="G4802" t="str">
        <f t="shared" ref="G4802:G4865" si="529">IF(F4802="","",FIND("♦",F4802))</f>
        <v/>
      </c>
      <c r="H4802" t="str">
        <f t="shared" ref="H4802:H4865" si="530">IF(F4802="","",FIND("♦",F4802,G4802+1))</f>
        <v/>
      </c>
      <c r="I4802" t="str">
        <f t="shared" ref="I4802:I4865" si="531">IF(F4802="","",FIND("♦",F4802,H4802+1))</f>
        <v/>
      </c>
    </row>
    <row r="4803" spans="1:9" x14ac:dyDescent="0.4">
      <c r="A4803" t="str">
        <f t="shared" si="525"/>
        <v/>
      </c>
      <c r="B4803" t="str">
        <f t="shared" si="526"/>
        <v/>
      </c>
      <c r="C4803" t="str">
        <f t="shared" si="527"/>
        <v/>
      </c>
      <c r="D4803" t="str">
        <f t="shared" si="528"/>
        <v/>
      </c>
      <c r="E4803" t="str">
        <f>IF(F4803="","",IF(COUNTIF($F$2:F4803,F4803)&gt;1,"",SUMIFS(tbl_input[필요수량],tbl_input[집계키_센터],F4803)))</f>
        <v/>
      </c>
      <c r="F4803" t="str">
        <f>IFERROR(INDEX(tbl_input[집계키_센터],ROW()-1),"")</f>
        <v/>
      </c>
      <c r="G4803" t="str">
        <f t="shared" si="529"/>
        <v/>
      </c>
      <c r="H4803" t="str">
        <f t="shared" si="530"/>
        <v/>
      </c>
      <c r="I4803" t="str">
        <f t="shared" si="531"/>
        <v/>
      </c>
    </row>
    <row r="4804" spans="1:9" x14ac:dyDescent="0.4">
      <c r="A4804" t="str">
        <f t="shared" si="525"/>
        <v/>
      </c>
      <c r="B4804" t="str">
        <f t="shared" si="526"/>
        <v/>
      </c>
      <c r="C4804" t="str">
        <f t="shared" si="527"/>
        <v/>
      </c>
      <c r="D4804" t="str">
        <f t="shared" si="528"/>
        <v/>
      </c>
      <c r="E4804" t="str">
        <f>IF(F4804="","",IF(COUNTIF($F$2:F4804,F4804)&gt;1,"",SUMIFS(tbl_input[필요수량],tbl_input[집계키_센터],F4804)))</f>
        <v/>
      </c>
      <c r="F4804" t="str">
        <f>IFERROR(INDEX(tbl_input[집계키_센터],ROW()-1),"")</f>
        <v/>
      </c>
      <c r="G4804" t="str">
        <f t="shared" si="529"/>
        <v/>
      </c>
      <c r="H4804" t="str">
        <f t="shared" si="530"/>
        <v/>
      </c>
      <c r="I4804" t="str">
        <f t="shared" si="531"/>
        <v/>
      </c>
    </row>
    <row r="4805" spans="1:9" x14ac:dyDescent="0.4">
      <c r="A4805" t="str">
        <f t="shared" si="525"/>
        <v/>
      </c>
      <c r="B4805" t="str">
        <f t="shared" si="526"/>
        <v/>
      </c>
      <c r="C4805" t="str">
        <f t="shared" si="527"/>
        <v/>
      </c>
      <c r="D4805" t="str">
        <f t="shared" si="528"/>
        <v/>
      </c>
      <c r="E4805" t="str">
        <f>IF(F4805="","",IF(COUNTIF($F$2:F4805,F4805)&gt;1,"",SUMIFS(tbl_input[필요수량],tbl_input[집계키_센터],F4805)))</f>
        <v/>
      </c>
      <c r="F4805" t="str">
        <f>IFERROR(INDEX(tbl_input[집계키_센터],ROW()-1),"")</f>
        <v/>
      </c>
      <c r="G4805" t="str">
        <f t="shared" si="529"/>
        <v/>
      </c>
      <c r="H4805" t="str">
        <f t="shared" si="530"/>
        <v/>
      </c>
      <c r="I4805" t="str">
        <f t="shared" si="531"/>
        <v/>
      </c>
    </row>
    <row r="4806" spans="1:9" x14ac:dyDescent="0.4">
      <c r="A4806" t="str">
        <f t="shared" si="525"/>
        <v/>
      </c>
      <c r="B4806" t="str">
        <f t="shared" si="526"/>
        <v/>
      </c>
      <c r="C4806" t="str">
        <f t="shared" si="527"/>
        <v/>
      </c>
      <c r="D4806" t="str">
        <f t="shared" si="528"/>
        <v/>
      </c>
      <c r="E4806" t="str">
        <f>IF(F4806="","",IF(COUNTIF($F$2:F4806,F4806)&gt;1,"",SUMIFS(tbl_input[필요수량],tbl_input[집계키_센터],F4806)))</f>
        <v/>
      </c>
      <c r="F4806" t="str">
        <f>IFERROR(INDEX(tbl_input[집계키_센터],ROW()-1),"")</f>
        <v/>
      </c>
      <c r="G4806" t="str">
        <f t="shared" si="529"/>
        <v/>
      </c>
      <c r="H4806" t="str">
        <f t="shared" si="530"/>
        <v/>
      </c>
      <c r="I4806" t="str">
        <f t="shared" si="531"/>
        <v/>
      </c>
    </row>
    <row r="4807" spans="1:9" x14ac:dyDescent="0.4">
      <c r="A4807" t="str">
        <f t="shared" si="525"/>
        <v/>
      </c>
      <c r="B4807" t="str">
        <f t="shared" si="526"/>
        <v/>
      </c>
      <c r="C4807" t="str">
        <f t="shared" si="527"/>
        <v/>
      </c>
      <c r="D4807" t="str">
        <f t="shared" si="528"/>
        <v/>
      </c>
      <c r="E4807" t="str">
        <f>IF(F4807="","",IF(COUNTIF($F$2:F4807,F4807)&gt;1,"",SUMIFS(tbl_input[필요수량],tbl_input[집계키_센터],F4807)))</f>
        <v/>
      </c>
      <c r="F4807" t="str">
        <f>IFERROR(INDEX(tbl_input[집계키_센터],ROW()-1),"")</f>
        <v/>
      </c>
      <c r="G4807" t="str">
        <f t="shared" si="529"/>
        <v/>
      </c>
      <c r="H4807" t="str">
        <f t="shared" si="530"/>
        <v/>
      </c>
      <c r="I4807" t="str">
        <f t="shared" si="531"/>
        <v/>
      </c>
    </row>
    <row r="4808" spans="1:9" x14ac:dyDescent="0.4">
      <c r="A4808" t="str">
        <f t="shared" si="525"/>
        <v/>
      </c>
      <c r="B4808" t="str">
        <f t="shared" si="526"/>
        <v/>
      </c>
      <c r="C4808" t="str">
        <f t="shared" si="527"/>
        <v/>
      </c>
      <c r="D4808" t="str">
        <f t="shared" si="528"/>
        <v/>
      </c>
      <c r="E4808" t="str">
        <f>IF(F4808="","",IF(COUNTIF($F$2:F4808,F4808)&gt;1,"",SUMIFS(tbl_input[필요수량],tbl_input[집계키_센터],F4808)))</f>
        <v/>
      </c>
      <c r="F4808" t="str">
        <f>IFERROR(INDEX(tbl_input[집계키_센터],ROW()-1),"")</f>
        <v/>
      </c>
      <c r="G4808" t="str">
        <f t="shared" si="529"/>
        <v/>
      </c>
      <c r="H4808" t="str">
        <f t="shared" si="530"/>
        <v/>
      </c>
      <c r="I4808" t="str">
        <f t="shared" si="531"/>
        <v/>
      </c>
    </row>
    <row r="4809" spans="1:9" x14ac:dyDescent="0.4">
      <c r="A4809" t="str">
        <f t="shared" si="525"/>
        <v/>
      </c>
      <c r="B4809" t="str">
        <f t="shared" si="526"/>
        <v/>
      </c>
      <c r="C4809" t="str">
        <f t="shared" si="527"/>
        <v/>
      </c>
      <c r="D4809" t="str">
        <f t="shared" si="528"/>
        <v/>
      </c>
      <c r="E4809" t="str">
        <f>IF(F4809="","",IF(COUNTIF($F$2:F4809,F4809)&gt;1,"",SUMIFS(tbl_input[필요수량],tbl_input[집계키_센터],F4809)))</f>
        <v/>
      </c>
      <c r="F4809" t="str">
        <f>IFERROR(INDEX(tbl_input[집계키_센터],ROW()-1),"")</f>
        <v/>
      </c>
      <c r="G4809" t="str">
        <f t="shared" si="529"/>
        <v/>
      </c>
      <c r="H4809" t="str">
        <f t="shared" si="530"/>
        <v/>
      </c>
      <c r="I4809" t="str">
        <f t="shared" si="531"/>
        <v/>
      </c>
    </row>
    <row r="4810" spans="1:9" x14ac:dyDescent="0.4">
      <c r="A4810" t="str">
        <f t="shared" si="525"/>
        <v/>
      </c>
      <c r="B4810" t="str">
        <f t="shared" si="526"/>
        <v/>
      </c>
      <c r="C4810" t="str">
        <f t="shared" si="527"/>
        <v/>
      </c>
      <c r="D4810" t="str">
        <f t="shared" si="528"/>
        <v/>
      </c>
      <c r="E4810" t="str">
        <f>IF(F4810="","",IF(COUNTIF($F$2:F4810,F4810)&gt;1,"",SUMIFS(tbl_input[필요수량],tbl_input[집계키_센터],F4810)))</f>
        <v/>
      </c>
      <c r="F4810" t="str">
        <f>IFERROR(INDEX(tbl_input[집계키_센터],ROW()-1),"")</f>
        <v/>
      </c>
      <c r="G4810" t="str">
        <f t="shared" si="529"/>
        <v/>
      </c>
      <c r="H4810" t="str">
        <f t="shared" si="530"/>
        <v/>
      </c>
      <c r="I4810" t="str">
        <f t="shared" si="531"/>
        <v/>
      </c>
    </row>
    <row r="4811" spans="1:9" x14ac:dyDescent="0.4">
      <c r="A4811" t="str">
        <f t="shared" si="525"/>
        <v/>
      </c>
      <c r="B4811" t="str">
        <f t="shared" si="526"/>
        <v/>
      </c>
      <c r="C4811" t="str">
        <f t="shared" si="527"/>
        <v/>
      </c>
      <c r="D4811" t="str">
        <f t="shared" si="528"/>
        <v/>
      </c>
      <c r="E4811" t="str">
        <f>IF(F4811="","",IF(COUNTIF($F$2:F4811,F4811)&gt;1,"",SUMIFS(tbl_input[필요수량],tbl_input[집계키_센터],F4811)))</f>
        <v/>
      </c>
      <c r="F4811" t="str">
        <f>IFERROR(INDEX(tbl_input[집계키_센터],ROW()-1),"")</f>
        <v/>
      </c>
      <c r="G4811" t="str">
        <f t="shared" si="529"/>
        <v/>
      </c>
      <c r="H4811" t="str">
        <f t="shared" si="530"/>
        <v/>
      </c>
      <c r="I4811" t="str">
        <f t="shared" si="531"/>
        <v/>
      </c>
    </row>
    <row r="4812" spans="1:9" x14ac:dyDescent="0.4">
      <c r="A4812" t="str">
        <f t="shared" si="525"/>
        <v/>
      </c>
      <c r="B4812" t="str">
        <f t="shared" si="526"/>
        <v/>
      </c>
      <c r="C4812" t="str">
        <f t="shared" si="527"/>
        <v/>
      </c>
      <c r="D4812" t="str">
        <f t="shared" si="528"/>
        <v/>
      </c>
      <c r="E4812" t="str">
        <f>IF(F4812="","",IF(COUNTIF($F$2:F4812,F4812)&gt;1,"",SUMIFS(tbl_input[필요수량],tbl_input[집계키_센터],F4812)))</f>
        <v/>
      </c>
      <c r="F4812" t="str">
        <f>IFERROR(INDEX(tbl_input[집계키_센터],ROW()-1),"")</f>
        <v/>
      </c>
      <c r="G4812" t="str">
        <f t="shared" si="529"/>
        <v/>
      </c>
      <c r="H4812" t="str">
        <f t="shared" si="530"/>
        <v/>
      </c>
      <c r="I4812" t="str">
        <f t="shared" si="531"/>
        <v/>
      </c>
    </row>
    <row r="4813" spans="1:9" x14ac:dyDescent="0.4">
      <c r="A4813" t="str">
        <f t="shared" si="525"/>
        <v/>
      </c>
      <c r="B4813" t="str">
        <f t="shared" si="526"/>
        <v/>
      </c>
      <c r="C4813" t="str">
        <f t="shared" si="527"/>
        <v/>
      </c>
      <c r="D4813" t="str">
        <f t="shared" si="528"/>
        <v/>
      </c>
      <c r="E4813" t="str">
        <f>IF(F4813="","",IF(COUNTIF($F$2:F4813,F4813)&gt;1,"",SUMIFS(tbl_input[필요수량],tbl_input[집계키_센터],F4813)))</f>
        <v/>
      </c>
      <c r="F4813" t="str">
        <f>IFERROR(INDEX(tbl_input[집계키_센터],ROW()-1),"")</f>
        <v/>
      </c>
      <c r="G4813" t="str">
        <f t="shared" si="529"/>
        <v/>
      </c>
      <c r="H4813" t="str">
        <f t="shared" si="530"/>
        <v/>
      </c>
      <c r="I4813" t="str">
        <f t="shared" si="531"/>
        <v/>
      </c>
    </row>
    <row r="4814" spans="1:9" x14ac:dyDescent="0.4">
      <c r="A4814" t="str">
        <f t="shared" si="525"/>
        <v/>
      </c>
      <c r="B4814" t="str">
        <f t="shared" si="526"/>
        <v/>
      </c>
      <c r="C4814" t="str">
        <f t="shared" si="527"/>
        <v/>
      </c>
      <c r="D4814" t="str">
        <f t="shared" si="528"/>
        <v/>
      </c>
      <c r="E4814" t="str">
        <f>IF(F4814="","",IF(COUNTIF($F$2:F4814,F4814)&gt;1,"",SUMIFS(tbl_input[필요수량],tbl_input[집계키_센터],F4814)))</f>
        <v/>
      </c>
      <c r="F4814" t="str">
        <f>IFERROR(INDEX(tbl_input[집계키_센터],ROW()-1),"")</f>
        <v/>
      </c>
      <c r="G4814" t="str">
        <f t="shared" si="529"/>
        <v/>
      </c>
      <c r="H4814" t="str">
        <f t="shared" si="530"/>
        <v/>
      </c>
      <c r="I4814" t="str">
        <f t="shared" si="531"/>
        <v/>
      </c>
    </row>
    <row r="4815" spans="1:9" x14ac:dyDescent="0.4">
      <c r="A4815" t="str">
        <f t="shared" si="525"/>
        <v/>
      </c>
      <c r="B4815" t="str">
        <f t="shared" si="526"/>
        <v/>
      </c>
      <c r="C4815" t="str">
        <f t="shared" si="527"/>
        <v/>
      </c>
      <c r="D4815" t="str">
        <f t="shared" si="528"/>
        <v/>
      </c>
      <c r="E4815" t="str">
        <f>IF(F4815="","",IF(COUNTIF($F$2:F4815,F4815)&gt;1,"",SUMIFS(tbl_input[필요수량],tbl_input[집계키_센터],F4815)))</f>
        <v/>
      </c>
      <c r="F4815" t="str">
        <f>IFERROR(INDEX(tbl_input[집계키_센터],ROW()-1),"")</f>
        <v/>
      </c>
      <c r="G4815" t="str">
        <f t="shared" si="529"/>
        <v/>
      </c>
      <c r="H4815" t="str">
        <f t="shared" si="530"/>
        <v/>
      </c>
      <c r="I4815" t="str">
        <f t="shared" si="531"/>
        <v/>
      </c>
    </row>
    <row r="4816" spans="1:9" x14ac:dyDescent="0.4">
      <c r="A4816" t="str">
        <f t="shared" si="525"/>
        <v/>
      </c>
      <c r="B4816" t="str">
        <f t="shared" si="526"/>
        <v/>
      </c>
      <c r="C4816" t="str">
        <f t="shared" si="527"/>
        <v/>
      </c>
      <c r="D4816" t="str">
        <f t="shared" si="528"/>
        <v/>
      </c>
      <c r="E4816" t="str">
        <f>IF(F4816="","",IF(COUNTIF($F$2:F4816,F4816)&gt;1,"",SUMIFS(tbl_input[필요수량],tbl_input[집계키_센터],F4816)))</f>
        <v/>
      </c>
      <c r="F4816" t="str">
        <f>IFERROR(INDEX(tbl_input[집계키_센터],ROW()-1),"")</f>
        <v/>
      </c>
      <c r="G4816" t="str">
        <f t="shared" si="529"/>
        <v/>
      </c>
      <c r="H4816" t="str">
        <f t="shared" si="530"/>
        <v/>
      </c>
      <c r="I4816" t="str">
        <f t="shared" si="531"/>
        <v/>
      </c>
    </row>
    <row r="4817" spans="1:9" x14ac:dyDescent="0.4">
      <c r="A4817" t="str">
        <f t="shared" si="525"/>
        <v/>
      </c>
      <c r="B4817" t="str">
        <f t="shared" si="526"/>
        <v/>
      </c>
      <c r="C4817" t="str">
        <f t="shared" si="527"/>
        <v/>
      </c>
      <c r="D4817" t="str">
        <f t="shared" si="528"/>
        <v/>
      </c>
      <c r="E4817" t="str">
        <f>IF(F4817="","",IF(COUNTIF($F$2:F4817,F4817)&gt;1,"",SUMIFS(tbl_input[필요수량],tbl_input[집계키_센터],F4817)))</f>
        <v/>
      </c>
      <c r="F4817" t="str">
        <f>IFERROR(INDEX(tbl_input[집계키_센터],ROW()-1),"")</f>
        <v/>
      </c>
      <c r="G4817" t="str">
        <f t="shared" si="529"/>
        <v/>
      </c>
      <c r="H4817" t="str">
        <f t="shared" si="530"/>
        <v/>
      </c>
      <c r="I4817" t="str">
        <f t="shared" si="531"/>
        <v/>
      </c>
    </row>
    <row r="4818" spans="1:9" x14ac:dyDescent="0.4">
      <c r="A4818" t="str">
        <f t="shared" si="525"/>
        <v/>
      </c>
      <c r="B4818" t="str">
        <f t="shared" si="526"/>
        <v/>
      </c>
      <c r="C4818" t="str">
        <f t="shared" si="527"/>
        <v/>
      </c>
      <c r="D4818" t="str">
        <f t="shared" si="528"/>
        <v/>
      </c>
      <c r="E4818" t="str">
        <f>IF(F4818="","",IF(COUNTIF($F$2:F4818,F4818)&gt;1,"",SUMIFS(tbl_input[필요수량],tbl_input[집계키_센터],F4818)))</f>
        <v/>
      </c>
      <c r="F4818" t="str">
        <f>IFERROR(INDEX(tbl_input[집계키_센터],ROW()-1),"")</f>
        <v/>
      </c>
      <c r="G4818" t="str">
        <f t="shared" si="529"/>
        <v/>
      </c>
      <c r="H4818" t="str">
        <f t="shared" si="530"/>
        <v/>
      </c>
      <c r="I4818" t="str">
        <f t="shared" si="531"/>
        <v/>
      </c>
    </row>
    <row r="4819" spans="1:9" x14ac:dyDescent="0.4">
      <c r="A4819" t="str">
        <f t="shared" si="525"/>
        <v/>
      </c>
      <c r="B4819" t="str">
        <f t="shared" si="526"/>
        <v/>
      </c>
      <c r="C4819" t="str">
        <f t="shared" si="527"/>
        <v/>
      </c>
      <c r="D4819" t="str">
        <f t="shared" si="528"/>
        <v/>
      </c>
      <c r="E4819" t="str">
        <f>IF(F4819="","",IF(COUNTIF($F$2:F4819,F4819)&gt;1,"",SUMIFS(tbl_input[필요수량],tbl_input[집계키_센터],F4819)))</f>
        <v/>
      </c>
      <c r="F4819" t="str">
        <f>IFERROR(INDEX(tbl_input[집계키_센터],ROW()-1),"")</f>
        <v/>
      </c>
      <c r="G4819" t="str">
        <f t="shared" si="529"/>
        <v/>
      </c>
      <c r="H4819" t="str">
        <f t="shared" si="530"/>
        <v/>
      </c>
      <c r="I4819" t="str">
        <f t="shared" si="531"/>
        <v/>
      </c>
    </row>
    <row r="4820" spans="1:9" x14ac:dyDescent="0.4">
      <c r="A4820" t="str">
        <f t="shared" si="525"/>
        <v/>
      </c>
      <c r="B4820" t="str">
        <f t="shared" si="526"/>
        <v/>
      </c>
      <c r="C4820" t="str">
        <f t="shared" si="527"/>
        <v/>
      </c>
      <c r="D4820" t="str">
        <f t="shared" si="528"/>
        <v/>
      </c>
      <c r="E4820" t="str">
        <f>IF(F4820="","",IF(COUNTIF($F$2:F4820,F4820)&gt;1,"",SUMIFS(tbl_input[필요수량],tbl_input[집계키_센터],F4820)))</f>
        <v/>
      </c>
      <c r="F4820" t="str">
        <f>IFERROR(INDEX(tbl_input[집계키_센터],ROW()-1),"")</f>
        <v/>
      </c>
      <c r="G4820" t="str">
        <f t="shared" si="529"/>
        <v/>
      </c>
      <c r="H4820" t="str">
        <f t="shared" si="530"/>
        <v/>
      </c>
      <c r="I4820" t="str">
        <f t="shared" si="531"/>
        <v/>
      </c>
    </row>
    <row r="4821" spans="1:9" x14ac:dyDescent="0.4">
      <c r="A4821" t="str">
        <f t="shared" si="525"/>
        <v/>
      </c>
      <c r="B4821" t="str">
        <f t="shared" si="526"/>
        <v/>
      </c>
      <c r="C4821" t="str">
        <f t="shared" si="527"/>
        <v/>
      </c>
      <c r="D4821" t="str">
        <f t="shared" si="528"/>
        <v/>
      </c>
      <c r="E4821" t="str">
        <f>IF(F4821="","",IF(COUNTIF($F$2:F4821,F4821)&gt;1,"",SUMIFS(tbl_input[필요수량],tbl_input[집계키_센터],F4821)))</f>
        <v/>
      </c>
      <c r="F4821" t="str">
        <f>IFERROR(INDEX(tbl_input[집계키_센터],ROW()-1),"")</f>
        <v/>
      </c>
      <c r="G4821" t="str">
        <f t="shared" si="529"/>
        <v/>
      </c>
      <c r="H4821" t="str">
        <f t="shared" si="530"/>
        <v/>
      </c>
      <c r="I4821" t="str">
        <f t="shared" si="531"/>
        <v/>
      </c>
    </row>
    <row r="4822" spans="1:9" x14ac:dyDescent="0.4">
      <c r="A4822" t="str">
        <f t="shared" si="525"/>
        <v/>
      </c>
      <c r="B4822" t="str">
        <f t="shared" si="526"/>
        <v/>
      </c>
      <c r="C4822" t="str">
        <f t="shared" si="527"/>
        <v/>
      </c>
      <c r="D4822" t="str">
        <f t="shared" si="528"/>
        <v/>
      </c>
      <c r="E4822" t="str">
        <f>IF(F4822="","",IF(COUNTIF($F$2:F4822,F4822)&gt;1,"",SUMIFS(tbl_input[필요수량],tbl_input[집계키_센터],F4822)))</f>
        <v/>
      </c>
      <c r="F4822" t="str">
        <f>IFERROR(INDEX(tbl_input[집계키_센터],ROW()-1),"")</f>
        <v/>
      </c>
      <c r="G4822" t="str">
        <f t="shared" si="529"/>
        <v/>
      </c>
      <c r="H4822" t="str">
        <f t="shared" si="530"/>
        <v/>
      </c>
      <c r="I4822" t="str">
        <f t="shared" si="531"/>
        <v/>
      </c>
    </row>
    <row r="4823" spans="1:9" x14ac:dyDescent="0.4">
      <c r="A4823" t="str">
        <f t="shared" si="525"/>
        <v/>
      </c>
      <c r="B4823" t="str">
        <f t="shared" si="526"/>
        <v/>
      </c>
      <c r="C4823" t="str">
        <f t="shared" si="527"/>
        <v/>
      </c>
      <c r="D4823" t="str">
        <f t="shared" si="528"/>
        <v/>
      </c>
      <c r="E4823" t="str">
        <f>IF(F4823="","",IF(COUNTIF($F$2:F4823,F4823)&gt;1,"",SUMIFS(tbl_input[필요수량],tbl_input[집계키_센터],F4823)))</f>
        <v/>
      </c>
      <c r="F4823" t="str">
        <f>IFERROR(INDEX(tbl_input[집계키_센터],ROW()-1),"")</f>
        <v/>
      </c>
      <c r="G4823" t="str">
        <f t="shared" si="529"/>
        <v/>
      </c>
      <c r="H4823" t="str">
        <f t="shared" si="530"/>
        <v/>
      </c>
      <c r="I4823" t="str">
        <f t="shared" si="531"/>
        <v/>
      </c>
    </row>
    <row r="4824" spans="1:9" x14ac:dyDescent="0.4">
      <c r="A4824" t="str">
        <f t="shared" si="525"/>
        <v/>
      </c>
      <c r="B4824" t="str">
        <f t="shared" si="526"/>
        <v/>
      </c>
      <c r="C4824" t="str">
        <f t="shared" si="527"/>
        <v/>
      </c>
      <c r="D4824" t="str">
        <f t="shared" si="528"/>
        <v/>
      </c>
      <c r="E4824" t="str">
        <f>IF(F4824="","",IF(COUNTIF($F$2:F4824,F4824)&gt;1,"",SUMIFS(tbl_input[필요수량],tbl_input[집계키_센터],F4824)))</f>
        <v/>
      </c>
      <c r="F4824" t="str">
        <f>IFERROR(INDEX(tbl_input[집계키_센터],ROW()-1),"")</f>
        <v/>
      </c>
      <c r="G4824" t="str">
        <f t="shared" si="529"/>
        <v/>
      </c>
      <c r="H4824" t="str">
        <f t="shared" si="530"/>
        <v/>
      </c>
      <c r="I4824" t="str">
        <f t="shared" si="531"/>
        <v/>
      </c>
    </row>
    <row r="4825" spans="1:9" x14ac:dyDescent="0.4">
      <c r="A4825" t="str">
        <f t="shared" si="525"/>
        <v/>
      </c>
      <c r="B4825" t="str">
        <f t="shared" si="526"/>
        <v/>
      </c>
      <c r="C4825" t="str">
        <f t="shared" si="527"/>
        <v/>
      </c>
      <c r="D4825" t="str">
        <f t="shared" si="528"/>
        <v/>
      </c>
      <c r="E4825" t="str">
        <f>IF(F4825="","",IF(COUNTIF($F$2:F4825,F4825)&gt;1,"",SUMIFS(tbl_input[필요수량],tbl_input[집계키_센터],F4825)))</f>
        <v/>
      </c>
      <c r="F4825" t="str">
        <f>IFERROR(INDEX(tbl_input[집계키_센터],ROW()-1),"")</f>
        <v/>
      </c>
      <c r="G4825" t="str">
        <f t="shared" si="529"/>
        <v/>
      </c>
      <c r="H4825" t="str">
        <f t="shared" si="530"/>
        <v/>
      </c>
      <c r="I4825" t="str">
        <f t="shared" si="531"/>
        <v/>
      </c>
    </row>
    <row r="4826" spans="1:9" x14ac:dyDescent="0.4">
      <c r="A4826" t="str">
        <f t="shared" si="525"/>
        <v/>
      </c>
      <c r="B4826" t="str">
        <f t="shared" si="526"/>
        <v/>
      </c>
      <c r="C4826" t="str">
        <f t="shared" si="527"/>
        <v/>
      </c>
      <c r="D4826" t="str">
        <f t="shared" si="528"/>
        <v/>
      </c>
      <c r="E4826" t="str">
        <f>IF(F4826="","",IF(COUNTIF($F$2:F4826,F4826)&gt;1,"",SUMIFS(tbl_input[필요수량],tbl_input[집계키_센터],F4826)))</f>
        <v/>
      </c>
      <c r="F4826" t="str">
        <f>IFERROR(INDEX(tbl_input[집계키_센터],ROW()-1),"")</f>
        <v/>
      </c>
      <c r="G4826" t="str">
        <f t="shared" si="529"/>
        <v/>
      </c>
      <c r="H4826" t="str">
        <f t="shared" si="530"/>
        <v/>
      </c>
      <c r="I4826" t="str">
        <f t="shared" si="531"/>
        <v/>
      </c>
    </row>
    <row r="4827" spans="1:9" x14ac:dyDescent="0.4">
      <c r="A4827" t="str">
        <f t="shared" si="525"/>
        <v/>
      </c>
      <c r="B4827" t="str">
        <f t="shared" si="526"/>
        <v/>
      </c>
      <c r="C4827" t="str">
        <f t="shared" si="527"/>
        <v/>
      </c>
      <c r="D4827" t="str">
        <f t="shared" si="528"/>
        <v/>
      </c>
      <c r="E4827" t="str">
        <f>IF(F4827="","",IF(COUNTIF($F$2:F4827,F4827)&gt;1,"",SUMIFS(tbl_input[필요수량],tbl_input[집계키_센터],F4827)))</f>
        <v/>
      </c>
      <c r="F4827" t="str">
        <f>IFERROR(INDEX(tbl_input[집계키_센터],ROW()-1),"")</f>
        <v/>
      </c>
      <c r="G4827" t="str">
        <f t="shared" si="529"/>
        <v/>
      </c>
      <c r="H4827" t="str">
        <f t="shared" si="530"/>
        <v/>
      </c>
      <c r="I4827" t="str">
        <f t="shared" si="531"/>
        <v/>
      </c>
    </row>
    <row r="4828" spans="1:9" x14ac:dyDescent="0.4">
      <c r="A4828" t="str">
        <f t="shared" si="525"/>
        <v/>
      </c>
      <c r="B4828" t="str">
        <f t="shared" si="526"/>
        <v/>
      </c>
      <c r="C4828" t="str">
        <f t="shared" si="527"/>
        <v/>
      </c>
      <c r="D4828" t="str">
        <f t="shared" si="528"/>
        <v/>
      </c>
      <c r="E4828" t="str">
        <f>IF(F4828="","",IF(COUNTIF($F$2:F4828,F4828)&gt;1,"",SUMIFS(tbl_input[필요수량],tbl_input[집계키_센터],F4828)))</f>
        <v/>
      </c>
      <c r="F4828" t="str">
        <f>IFERROR(INDEX(tbl_input[집계키_센터],ROW()-1),"")</f>
        <v/>
      </c>
      <c r="G4828" t="str">
        <f t="shared" si="529"/>
        <v/>
      </c>
      <c r="H4828" t="str">
        <f t="shared" si="530"/>
        <v/>
      </c>
      <c r="I4828" t="str">
        <f t="shared" si="531"/>
        <v/>
      </c>
    </row>
    <row r="4829" spans="1:9" x14ac:dyDescent="0.4">
      <c r="A4829" t="str">
        <f t="shared" si="525"/>
        <v/>
      </c>
      <c r="B4829" t="str">
        <f t="shared" si="526"/>
        <v/>
      </c>
      <c r="C4829" t="str">
        <f t="shared" si="527"/>
        <v/>
      </c>
      <c r="D4829" t="str">
        <f t="shared" si="528"/>
        <v/>
      </c>
      <c r="E4829" t="str">
        <f>IF(F4829="","",IF(COUNTIF($F$2:F4829,F4829)&gt;1,"",SUMIFS(tbl_input[필요수량],tbl_input[집계키_센터],F4829)))</f>
        <v/>
      </c>
      <c r="F4829" t="str">
        <f>IFERROR(INDEX(tbl_input[집계키_센터],ROW()-1),"")</f>
        <v/>
      </c>
      <c r="G4829" t="str">
        <f t="shared" si="529"/>
        <v/>
      </c>
      <c r="H4829" t="str">
        <f t="shared" si="530"/>
        <v/>
      </c>
      <c r="I4829" t="str">
        <f t="shared" si="531"/>
        <v/>
      </c>
    </row>
    <row r="4830" spans="1:9" x14ac:dyDescent="0.4">
      <c r="A4830" t="str">
        <f t="shared" si="525"/>
        <v/>
      </c>
      <c r="B4830" t="str">
        <f t="shared" si="526"/>
        <v/>
      </c>
      <c r="C4830" t="str">
        <f t="shared" si="527"/>
        <v/>
      </c>
      <c r="D4830" t="str">
        <f t="shared" si="528"/>
        <v/>
      </c>
      <c r="E4830" t="str">
        <f>IF(F4830="","",IF(COUNTIF($F$2:F4830,F4830)&gt;1,"",SUMIFS(tbl_input[필요수량],tbl_input[집계키_센터],F4830)))</f>
        <v/>
      </c>
      <c r="F4830" t="str">
        <f>IFERROR(INDEX(tbl_input[집계키_센터],ROW()-1),"")</f>
        <v/>
      </c>
      <c r="G4830" t="str">
        <f t="shared" si="529"/>
        <v/>
      </c>
      <c r="H4830" t="str">
        <f t="shared" si="530"/>
        <v/>
      </c>
      <c r="I4830" t="str">
        <f t="shared" si="531"/>
        <v/>
      </c>
    </row>
    <row r="4831" spans="1:9" x14ac:dyDescent="0.4">
      <c r="A4831" t="str">
        <f t="shared" si="525"/>
        <v/>
      </c>
      <c r="B4831" t="str">
        <f t="shared" si="526"/>
        <v/>
      </c>
      <c r="C4831" t="str">
        <f t="shared" si="527"/>
        <v/>
      </c>
      <c r="D4831" t="str">
        <f t="shared" si="528"/>
        <v/>
      </c>
      <c r="E4831" t="str">
        <f>IF(F4831="","",IF(COUNTIF($F$2:F4831,F4831)&gt;1,"",SUMIFS(tbl_input[필요수량],tbl_input[집계키_센터],F4831)))</f>
        <v/>
      </c>
      <c r="F4831" t="str">
        <f>IFERROR(INDEX(tbl_input[집계키_센터],ROW()-1),"")</f>
        <v/>
      </c>
      <c r="G4831" t="str">
        <f t="shared" si="529"/>
        <v/>
      </c>
      <c r="H4831" t="str">
        <f t="shared" si="530"/>
        <v/>
      </c>
      <c r="I4831" t="str">
        <f t="shared" si="531"/>
        <v/>
      </c>
    </row>
    <row r="4832" spans="1:9" x14ac:dyDescent="0.4">
      <c r="A4832" t="str">
        <f t="shared" si="525"/>
        <v/>
      </c>
      <c r="B4832" t="str">
        <f t="shared" si="526"/>
        <v/>
      </c>
      <c r="C4832" t="str">
        <f t="shared" si="527"/>
        <v/>
      </c>
      <c r="D4832" t="str">
        <f t="shared" si="528"/>
        <v/>
      </c>
      <c r="E4832" t="str">
        <f>IF(F4832="","",IF(COUNTIF($F$2:F4832,F4832)&gt;1,"",SUMIFS(tbl_input[필요수량],tbl_input[집계키_센터],F4832)))</f>
        <v/>
      </c>
      <c r="F4832" t="str">
        <f>IFERROR(INDEX(tbl_input[집계키_센터],ROW()-1),"")</f>
        <v/>
      </c>
      <c r="G4832" t="str">
        <f t="shared" si="529"/>
        <v/>
      </c>
      <c r="H4832" t="str">
        <f t="shared" si="530"/>
        <v/>
      </c>
      <c r="I4832" t="str">
        <f t="shared" si="531"/>
        <v/>
      </c>
    </row>
    <row r="4833" spans="1:9" x14ac:dyDescent="0.4">
      <c r="A4833" t="str">
        <f t="shared" si="525"/>
        <v/>
      </c>
      <c r="B4833" t="str">
        <f t="shared" si="526"/>
        <v/>
      </c>
      <c r="C4833" t="str">
        <f t="shared" si="527"/>
        <v/>
      </c>
      <c r="D4833" t="str">
        <f t="shared" si="528"/>
        <v/>
      </c>
      <c r="E4833" t="str">
        <f>IF(F4833="","",IF(COUNTIF($F$2:F4833,F4833)&gt;1,"",SUMIFS(tbl_input[필요수량],tbl_input[집계키_센터],F4833)))</f>
        <v/>
      </c>
      <c r="F4833" t="str">
        <f>IFERROR(INDEX(tbl_input[집계키_센터],ROW()-1),"")</f>
        <v/>
      </c>
      <c r="G4833" t="str">
        <f t="shared" si="529"/>
        <v/>
      </c>
      <c r="H4833" t="str">
        <f t="shared" si="530"/>
        <v/>
      </c>
      <c r="I4833" t="str">
        <f t="shared" si="531"/>
        <v/>
      </c>
    </row>
    <row r="4834" spans="1:9" x14ac:dyDescent="0.4">
      <c r="A4834" t="str">
        <f t="shared" si="525"/>
        <v/>
      </c>
      <c r="B4834" t="str">
        <f t="shared" si="526"/>
        <v/>
      </c>
      <c r="C4834" t="str">
        <f t="shared" si="527"/>
        <v/>
      </c>
      <c r="D4834" t="str">
        <f t="shared" si="528"/>
        <v/>
      </c>
      <c r="E4834" t="str">
        <f>IF(F4834="","",IF(COUNTIF($F$2:F4834,F4834)&gt;1,"",SUMIFS(tbl_input[필요수량],tbl_input[집계키_센터],F4834)))</f>
        <v/>
      </c>
      <c r="F4834" t="str">
        <f>IFERROR(INDEX(tbl_input[집계키_센터],ROW()-1),"")</f>
        <v/>
      </c>
      <c r="G4834" t="str">
        <f t="shared" si="529"/>
        <v/>
      </c>
      <c r="H4834" t="str">
        <f t="shared" si="530"/>
        <v/>
      </c>
      <c r="I4834" t="str">
        <f t="shared" si="531"/>
        <v/>
      </c>
    </row>
    <row r="4835" spans="1:9" x14ac:dyDescent="0.4">
      <c r="A4835" t="str">
        <f t="shared" si="525"/>
        <v/>
      </c>
      <c r="B4835" t="str">
        <f t="shared" si="526"/>
        <v/>
      </c>
      <c r="C4835" t="str">
        <f t="shared" si="527"/>
        <v/>
      </c>
      <c r="D4835" t="str">
        <f t="shared" si="528"/>
        <v/>
      </c>
      <c r="E4835" t="str">
        <f>IF(F4835="","",IF(COUNTIF($F$2:F4835,F4835)&gt;1,"",SUMIFS(tbl_input[필요수량],tbl_input[집계키_센터],F4835)))</f>
        <v/>
      </c>
      <c r="F4835" t="str">
        <f>IFERROR(INDEX(tbl_input[집계키_센터],ROW()-1),"")</f>
        <v/>
      </c>
      <c r="G4835" t="str">
        <f t="shared" si="529"/>
        <v/>
      </c>
      <c r="H4835" t="str">
        <f t="shared" si="530"/>
        <v/>
      </c>
      <c r="I4835" t="str">
        <f t="shared" si="531"/>
        <v/>
      </c>
    </row>
    <row r="4836" spans="1:9" x14ac:dyDescent="0.4">
      <c r="A4836" t="str">
        <f t="shared" si="525"/>
        <v/>
      </c>
      <c r="B4836" t="str">
        <f t="shared" si="526"/>
        <v/>
      </c>
      <c r="C4836" t="str">
        <f t="shared" si="527"/>
        <v/>
      </c>
      <c r="D4836" t="str">
        <f t="shared" si="528"/>
        <v/>
      </c>
      <c r="E4836" t="str">
        <f>IF(F4836="","",IF(COUNTIF($F$2:F4836,F4836)&gt;1,"",SUMIFS(tbl_input[필요수량],tbl_input[집계키_센터],F4836)))</f>
        <v/>
      </c>
      <c r="F4836" t="str">
        <f>IFERROR(INDEX(tbl_input[집계키_센터],ROW()-1),"")</f>
        <v/>
      </c>
      <c r="G4836" t="str">
        <f t="shared" si="529"/>
        <v/>
      </c>
      <c r="H4836" t="str">
        <f t="shared" si="530"/>
        <v/>
      </c>
      <c r="I4836" t="str">
        <f t="shared" si="531"/>
        <v/>
      </c>
    </row>
    <row r="4837" spans="1:9" x14ac:dyDescent="0.4">
      <c r="A4837" t="str">
        <f t="shared" si="525"/>
        <v/>
      </c>
      <c r="B4837" t="str">
        <f t="shared" si="526"/>
        <v/>
      </c>
      <c r="C4837" t="str">
        <f t="shared" si="527"/>
        <v/>
      </c>
      <c r="D4837" t="str">
        <f t="shared" si="528"/>
        <v/>
      </c>
      <c r="E4837" t="str">
        <f>IF(F4837="","",IF(COUNTIF($F$2:F4837,F4837)&gt;1,"",SUMIFS(tbl_input[필요수량],tbl_input[집계키_센터],F4837)))</f>
        <v/>
      </c>
      <c r="F4837" t="str">
        <f>IFERROR(INDEX(tbl_input[집계키_센터],ROW()-1),"")</f>
        <v/>
      </c>
      <c r="G4837" t="str">
        <f t="shared" si="529"/>
        <v/>
      </c>
      <c r="H4837" t="str">
        <f t="shared" si="530"/>
        <v/>
      </c>
      <c r="I4837" t="str">
        <f t="shared" si="531"/>
        <v/>
      </c>
    </row>
    <row r="4838" spans="1:9" x14ac:dyDescent="0.4">
      <c r="A4838" t="str">
        <f t="shared" si="525"/>
        <v/>
      </c>
      <c r="B4838" t="str">
        <f t="shared" si="526"/>
        <v/>
      </c>
      <c r="C4838" t="str">
        <f t="shared" si="527"/>
        <v/>
      </c>
      <c r="D4838" t="str">
        <f t="shared" si="528"/>
        <v/>
      </c>
      <c r="E4838" t="str">
        <f>IF(F4838="","",IF(COUNTIF($F$2:F4838,F4838)&gt;1,"",SUMIFS(tbl_input[필요수량],tbl_input[집계키_센터],F4838)))</f>
        <v/>
      </c>
      <c r="F4838" t="str">
        <f>IFERROR(INDEX(tbl_input[집계키_센터],ROW()-1),"")</f>
        <v/>
      </c>
      <c r="G4838" t="str">
        <f t="shared" si="529"/>
        <v/>
      </c>
      <c r="H4838" t="str">
        <f t="shared" si="530"/>
        <v/>
      </c>
      <c r="I4838" t="str">
        <f t="shared" si="531"/>
        <v/>
      </c>
    </row>
    <row r="4839" spans="1:9" x14ac:dyDescent="0.4">
      <c r="A4839" t="str">
        <f t="shared" si="525"/>
        <v/>
      </c>
      <c r="B4839" t="str">
        <f t="shared" si="526"/>
        <v/>
      </c>
      <c r="C4839" t="str">
        <f t="shared" si="527"/>
        <v/>
      </c>
      <c r="D4839" t="str">
        <f t="shared" si="528"/>
        <v/>
      </c>
      <c r="E4839" t="str">
        <f>IF(F4839="","",IF(COUNTIF($F$2:F4839,F4839)&gt;1,"",SUMIFS(tbl_input[필요수량],tbl_input[집계키_센터],F4839)))</f>
        <v/>
      </c>
      <c r="F4839" t="str">
        <f>IFERROR(INDEX(tbl_input[집계키_센터],ROW()-1),"")</f>
        <v/>
      </c>
      <c r="G4839" t="str">
        <f t="shared" si="529"/>
        <v/>
      </c>
      <c r="H4839" t="str">
        <f t="shared" si="530"/>
        <v/>
      </c>
      <c r="I4839" t="str">
        <f t="shared" si="531"/>
        <v/>
      </c>
    </row>
    <row r="4840" spans="1:9" x14ac:dyDescent="0.4">
      <c r="A4840" t="str">
        <f t="shared" si="525"/>
        <v/>
      </c>
      <c r="B4840" t="str">
        <f t="shared" si="526"/>
        <v/>
      </c>
      <c r="C4840" t="str">
        <f t="shared" si="527"/>
        <v/>
      </c>
      <c r="D4840" t="str">
        <f t="shared" si="528"/>
        <v/>
      </c>
      <c r="E4840" t="str">
        <f>IF(F4840="","",IF(COUNTIF($F$2:F4840,F4840)&gt;1,"",SUMIFS(tbl_input[필요수량],tbl_input[집계키_센터],F4840)))</f>
        <v/>
      </c>
      <c r="F4840" t="str">
        <f>IFERROR(INDEX(tbl_input[집계키_센터],ROW()-1),"")</f>
        <v/>
      </c>
      <c r="G4840" t="str">
        <f t="shared" si="529"/>
        <v/>
      </c>
      <c r="H4840" t="str">
        <f t="shared" si="530"/>
        <v/>
      </c>
      <c r="I4840" t="str">
        <f t="shared" si="531"/>
        <v/>
      </c>
    </row>
    <row r="4841" spans="1:9" x14ac:dyDescent="0.4">
      <c r="A4841" t="str">
        <f t="shared" si="525"/>
        <v/>
      </c>
      <c r="B4841" t="str">
        <f t="shared" si="526"/>
        <v/>
      </c>
      <c r="C4841" t="str">
        <f t="shared" si="527"/>
        <v/>
      </c>
      <c r="D4841" t="str">
        <f t="shared" si="528"/>
        <v/>
      </c>
      <c r="E4841" t="str">
        <f>IF(F4841="","",IF(COUNTIF($F$2:F4841,F4841)&gt;1,"",SUMIFS(tbl_input[필요수량],tbl_input[집계키_센터],F4841)))</f>
        <v/>
      </c>
      <c r="F4841" t="str">
        <f>IFERROR(INDEX(tbl_input[집계키_센터],ROW()-1),"")</f>
        <v/>
      </c>
      <c r="G4841" t="str">
        <f t="shared" si="529"/>
        <v/>
      </c>
      <c r="H4841" t="str">
        <f t="shared" si="530"/>
        <v/>
      </c>
      <c r="I4841" t="str">
        <f t="shared" si="531"/>
        <v/>
      </c>
    </row>
    <row r="4842" spans="1:9" x14ac:dyDescent="0.4">
      <c r="A4842" t="str">
        <f t="shared" si="525"/>
        <v/>
      </c>
      <c r="B4842" t="str">
        <f t="shared" si="526"/>
        <v/>
      </c>
      <c r="C4842" t="str">
        <f t="shared" si="527"/>
        <v/>
      </c>
      <c r="D4842" t="str">
        <f t="shared" si="528"/>
        <v/>
      </c>
      <c r="E4842" t="str">
        <f>IF(F4842="","",IF(COUNTIF($F$2:F4842,F4842)&gt;1,"",SUMIFS(tbl_input[필요수량],tbl_input[집계키_센터],F4842)))</f>
        <v/>
      </c>
      <c r="F4842" t="str">
        <f>IFERROR(INDEX(tbl_input[집계키_센터],ROW()-1),"")</f>
        <v/>
      </c>
      <c r="G4842" t="str">
        <f t="shared" si="529"/>
        <v/>
      </c>
      <c r="H4842" t="str">
        <f t="shared" si="530"/>
        <v/>
      </c>
      <c r="I4842" t="str">
        <f t="shared" si="531"/>
        <v/>
      </c>
    </row>
    <row r="4843" spans="1:9" x14ac:dyDescent="0.4">
      <c r="A4843" t="str">
        <f t="shared" si="525"/>
        <v/>
      </c>
      <c r="B4843" t="str">
        <f t="shared" si="526"/>
        <v/>
      </c>
      <c r="C4843" t="str">
        <f t="shared" si="527"/>
        <v/>
      </c>
      <c r="D4843" t="str">
        <f t="shared" si="528"/>
        <v/>
      </c>
      <c r="E4843" t="str">
        <f>IF(F4843="","",IF(COUNTIF($F$2:F4843,F4843)&gt;1,"",SUMIFS(tbl_input[필요수량],tbl_input[집계키_센터],F4843)))</f>
        <v/>
      </c>
      <c r="F4843" t="str">
        <f>IFERROR(INDEX(tbl_input[집계키_센터],ROW()-1),"")</f>
        <v/>
      </c>
      <c r="G4843" t="str">
        <f t="shared" si="529"/>
        <v/>
      </c>
      <c r="H4843" t="str">
        <f t="shared" si="530"/>
        <v/>
      </c>
      <c r="I4843" t="str">
        <f t="shared" si="531"/>
        <v/>
      </c>
    </row>
    <row r="4844" spans="1:9" x14ac:dyDescent="0.4">
      <c r="A4844" t="str">
        <f t="shared" si="525"/>
        <v/>
      </c>
      <c r="B4844" t="str">
        <f t="shared" si="526"/>
        <v/>
      </c>
      <c r="C4844" t="str">
        <f t="shared" si="527"/>
        <v/>
      </c>
      <c r="D4844" t="str">
        <f t="shared" si="528"/>
        <v/>
      </c>
      <c r="E4844" t="str">
        <f>IF(F4844="","",IF(COUNTIF($F$2:F4844,F4844)&gt;1,"",SUMIFS(tbl_input[필요수량],tbl_input[집계키_센터],F4844)))</f>
        <v/>
      </c>
      <c r="F4844" t="str">
        <f>IFERROR(INDEX(tbl_input[집계키_센터],ROW()-1),"")</f>
        <v/>
      </c>
      <c r="G4844" t="str">
        <f t="shared" si="529"/>
        <v/>
      </c>
      <c r="H4844" t="str">
        <f t="shared" si="530"/>
        <v/>
      </c>
      <c r="I4844" t="str">
        <f t="shared" si="531"/>
        <v/>
      </c>
    </row>
    <row r="4845" spans="1:9" x14ac:dyDescent="0.4">
      <c r="A4845" t="str">
        <f t="shared" si="525"/>
        <v/>
      </c>
      <c r="B4845" t="str">
        <f t="shared" si="526"/>
        <v/>
      </c>
      <c r="C4845" t="str">
        <f t="shared" si="527"/>
        <v/>
      </c>
      <c r="D4845" t="str">
        <f t="shared" si="528"/>
        <v/>
      </c>
      <c r="E4845" t="str">
        <f>IF(F4845="","",IF(COUNTIF($F$2:F4845,F4845)&gt;1,"",SUMIFS(tbl_input[필요수량],tbl_input[집계키_센터],F4845)))</f>
        <v/>
      </c>
      <c r="F4845" t="str">
        <f>IFERROR(INDEX(tbl_input[집계키_센터],ROW()-1),"")</f>
        <v/>
      </c>
      <c r="G4845" t="str">
        <f t="shared" si="529"/>
        <v/>
      </c>
      <c r="H4845" t="str">
        <f t="shared" si="530"/>
        <v/>
      </c>
      <c r="I4845" t="str">
        <f t="shared" si="531"/>
        <v/>
      </c>
    </row>
    <row r="4846" spans="1:9" x14ac:dyDescent="0.4">
      <c r="A4846" t="str">
        <f t="shared" si="525"/>
        <v/>
      </c>
      <c r="B4846" t="str">
        <f t="shared" si="526"/>
        <v/>
      </c>
      <c r="C4846" t="str">
        <f t="shared" si="527"/>
        <v/>
      </c>
      <c r="D4846" t="str">
        <f t="shared" si="528"/>
        <v/>
      </c>
      <c r="E4846" t="str">
        <f>IF(F4846="","",IF(COUNTIF($F$2:F4846,F4846)&gt;1,"",SUMIFS(tbl_input[필요수량],tbl_input[집계키_센터],F4846)))</f>
        <v/>
      </c>
      <c r="F4846" t="str">
        <f>IFERROR(INDEX(tbl_input[집계키_센터],ROW()-1),"")</f>
        <v/>
      </c>
      <c r="G4846" t="str">
        <f t="shared" si="529"/>
        <v/>
      </c>
      <c r="H4846" t="str">
        <f t="shared" si="530"/>
        <v/>
      </c>
      <c r="I4846" t="str">
        <f t="shared" si="531"/>
        <v/>
      </c>
    </row>
    <row r="4847" spans="1:9" x14ac:dyDescent="0.4">
      <c r="A4847" t="str">
        <f t="shared" si="525"/>
        <v/>
      </c>
      <c r="B4847" t="str">
        <f t="shared" si="526"/>
        <v/>
      </c>
      <c r="C4847" t="str">
        <f t="shared" si="527"/>
        <v/>
      </c>
      <c r="D4847" t="str">
        <f t="shared" si="528"/>
        <v/>
      </c>
      <c r="E4847" t="str">
        <f>IF(F4847="","",IF(COUNTIF($F$2:F4847,F4847)&gt;1,"",SUMIFS(tbl_input[필요수량],tbl_input[집계키_센터],F4847)))</f>
        <v/>
      </c>
      <c r="F4847" t="str">
        <f>IFERROR(INDEX(tbl_input[집계키_센터],ROW()-1),"")</f>
        <v/>
      </c>
      <c r="G4847" t="str">
        <f t="shared" si="529"/>
        <v/>
      </c>
      <c r="H4847" t="str">
        <f t="shared" si="530"/>
        <v/>
      </c>
      <c r="I4847" t="str">
        <f t="shared" si="531"/>
        <v/>
      </c>
    </row>
    <row r="4848" spans="1:9" x14ac:dyDescent="0.4">
      <c r="A4848" t="str">
        <f t="shared" si="525"/>
        <v/>
      </c>
      <c r="B4848" t="str">
        <f t="shared" si="526"/>
        <v/>
      </c>
      <c r="C4848" t="str">
        <f t="shared" si="527"/>
        <v/>
      </c>
      <c r="D4848" t="str">
        <f t="shared" si="528"/>
        <v/>
      </c>
      <c r="E4848" t="str">
        <f>IF(F4848="","",IF(COUNTIF($F$2:F4848,F4848)&gt;1,"",SUMIFS(tbl_input[필요수량],tbl_input[집계키_센터],F4848)))</f>
        <v/>
      </c>
      <c r="F4848" t="str">
        <f>IFERROR(INDEX(tbl_input[집계키_센터],ROW()-1),"")</f>
        <v/>
      </c>
      <c r="G4848" t="str">
        <f t="shared" si="529"/>
        <v/>
      </c>
      <c r="H4848" t="str">
        <f t="shared" si="530"/>
        <v/>
      </c>
      <c r="I4848" t="str">
        <f t="shared" si="531"/>
        <v/>
      </c>
    </row>
    <row r="4849" spans="1:9" x14ac:dyDescent="0.4">
      <c r="A4849" t="str">
        <f t="shared" si="525"/>
        <v/>
      </c>
      <c r="B4849" t="str">
        <f t="shared" si="526"/>
        <v/>
      </c>
      <c r="C4849" t="str">
        <f t="shared" si="527"/>
        <v/>
      </c>
      <c r="D4849" t="str">
        <f t="shared" si="528"/>
        <v/>
      </c>
      <c r="E4849" t="str">
        <f>IF(F4849="","",IF(COUNTIF($F$2:F4849,F4849)&gt;1,"",SUMIFS(tbl_input[필요수량],tbl_input[집계키_센터],F4849)))</f>
        <v/>
      </c>
      <c r="F4849" t="str">
        <f>IFERROR(INDEX(tbl_input[집계키_센터],ROW()-1),"")</f>
        <v/>
      </c>
      <c r="G4849" t="str">
        <f t="shared" si="529"/>
        <v/>
      </c>
      <c r="H4849" t="str">
        <f t="shared" si="530"/>
        <v/>
      </c>
      <c r="I4849" t="str">
        <f t="shared" si="531"/>
        <v/>
      </c>
    </row>
    <row r="4850" spans="1:9" x14ac:dyDescent="0.4">
      <c r="A4850" t="str">
        <f t="shared" si="525"/>
        <v/>
      </c>
      <c r="B4850" t="str">
        <f t="shared" si="526"/>
        <v/>
      </c>
      <c r="C4850" t="str">
        <f t="shared" si="527"/>
        <v/>
      </c>
      <c r="D4850" t="str">
        <f t="shared" si="528"/>
        <v/>
      </c>
      <c r="E4850" t="str">
        <f>IF(F4850="","",IF(COUNTIF($F$2:F4850,F4850)&gt;1,"",SUMIFS(tbl_input[필요수량],tbl_input[집계키_센터],F4850)))</f>
        <v/>
      </c>
      <c r="F4850" t="str">
        <f>IFERROR(INDEX(tbl_input[집계키_센터],ROW()-1),"")</f>
        <v/>
      </c>
      <c r="G4850" t="str">
        <f t="shared" si="529"/>
        <v/>
      </c>
      <c r="H4850" t="str">
        <f t="shared" si="530"/>
        <v/>
      </c>
      <c r="I4850" t="str">
        <f t="shared" si="531"/>
        <v/>
      </c>
    </row>
    <row r="4851" spans="1:9" x14ac:dyDescent="0.4">
      <c r="A4851" t="str">
        <f t="shared" si="525"/>
        <v/>
      </c>
      <c r="B4851" t="str">
        <f t="shared" si="526"/>
        <v/>
      </c>
      <c r="C4851" t="str">
        <f t="shared" si="527"/>
        <v/>
      </c>
      <c r="D4851" t="str">
        <f t="shared" si="528"/>
        <v/>
      </c>
      <c r="E4851" t="str">
        <f>IF(F4851="","",IF(COUNTIF($F$2:F4851,F4851)&gt;1,"",SUMIFS(tbl_input[필요수량],tbl_input[집계키_센터],F4851)))</f>
        <v/>
      </c>
      <c r="F4851" t="str">
        <f>IFERROR(INDEX(tbl_input[집계키_센터],ROW()-1),"")</f>
        <v/>
      </c>
      <c r="G4851" t="str">
        <f t="shared" si="529"/>
        <v/>
      </c>
      <c r="H4851" t="str">
        <f t="shared" si="530"/>
        <v/>
      </c>
      <c r="I4851" t="str">
        <f t="shared" si="531"/>
        <v/>
      </c>
    </row>
    <row r="4852" spans="1:9" x14ac:dyDescent="0.4">
      <c r="A4852" t="str">
        <f t="shared" si="525"/>
        <v/>
      </c>
      <c r="B4852" t="str">
        <f t="shared" si="526"/>
        <v/>
      </c>
      <c r="C4852" t="str">
        <f t="shared" si="527"/>
        <v/>
      </c>
      <c r="D4852" t="str">
        <f t="shared" si="528"/>
        <v/>
      </c>
      <c r="E4852" t="str">
        <f>IF(F4852="","",IF(COUNTIF($F$2:F4852,F4852)&gt;1,"",SUMIFS(tbl_input[필요수량],tbl_input[집계키_센터],F4852)))</f>
        <v/>
      </c>
      <c r="F4852" t="str">
        <f>IFERROR(INDEX(tbl_input[집계키_센터],ROW()-1),"")</f>
        <v/>
      </c>
      <c r="G4852" t="str">
        <f t="shared" si="529"/>
        <v/>
      </c>
      <c r="H4852" t="str">
        <f t="shared" si="530"/>
        <v/>
      </c>
      <c r="I4852" t="str">
        <f t="shared" si="531"/>
        <v/>
      </c>
    </row>
    <row r="4853" spans="1:9" x14ac:dyDescent="0.4">
      <c r="A4853" t="str">
        <f t="shared" si="525"/>
        <v/>
      </c>
      <c r="B4853" t="str">
        <f t="shared" si="526"/>
        <v/>
      </c>
      <c r="C4853" t="str">
        <f t="shared" si="527"/>
        <v/>
      </c>
      <c r="D4853" t="str">
        <f t="shared" si="528"/>
        <v/>
      </c>
      <c r="E4853" t="str">
        <f>IF(F4853="","",IF(COUNTIF($F$2:F4853,F4853)&gt;1,"",SUMIFS(tbl_input[필요수량],tbl_input[집계키_센터],F4853)))</f>
        <v/>
      </c>
      <c r="F4853" t="str">
        <f>IFERROR(INDEX(tbl_input[집계키_센터],ROW()-1),"")</f>
        <v/>
      </c>
      <c r="G4853" t="str">
        <f t="shared" si="529"/>
        <v/>
      </c>
      <c r="H4853" t="str">
        <f t="shared" si="530"/>
        <v/>
      </c>
      <c r="I4853" t="str">
        <f t="shared" si="531"/>
        <v/>
      </c>
    </row>
    <row r="4854" spans="1:9" x14ac:dyDescent="0.4">
      <c r="A4854" t="str">
        <f t="shared" si="525"/>
        <v/>
      </c>
      <c r="B4854" t="str">
        <f t="shared" si="526"/>
        <v/>
      </c>
      <c r="C4854" t="str">
        <f t="shared" si="527"/>
        <v/>
      </c>
      <c r="D4854" t="str">
        <f t="shared" si="528"/>
        <v/>
      </c>
      <c r="E4854" t="str">
        <f>IF(F4854="","",IF(COUNTIF($F$2:F4854,F4854)&gt;1,"",SUMIFS(tbl_input[필요수량],tbl_input[집계키_센터],F4854)))</f>
        <v/>
      </c>
      <c r="F4854" t="str">
        <f>IFERROR(INDEX(tbl_input[집계키_센터],ROW()-1),"")</f>
        <v/>
      </c>
      <c r="G4854" t="str">
        <f t="shared" si="529"/>
        <v/>
      </c>
      <c r="H4854" t="str">
        <f t="shared" si="530"/>
        <v/>
      </c>
      <c r="I4854" t="str">
        <f t="shared" si="531"/>
        <v/>
      </c>
    </row>
    <row r="4855" spans="1:9" x14ac:dyDescent="0.4">
      <c r="A4855" t="str">
        <f t="shared" si="525"/>
        <v/>
      </c>
      <c r="B4855" t="str">
        <f t="shared" si="526"/>
        <v/>
      </c>
      <c r="C4855" t="str">
        <f t="shared" si="527"/>
        <v/>
      </c>
      <c r="D4855" t="str">
        <f t="shared" si="528"/>
        <v/>
      </c>
      <c r="E4855" t="str">
        <f>IF(F4855="","",IF(COUNTIF($F$2:F4855,F4855)&gt;1,"",SUMIFS(tbl_input[필요수량],tbl_input[집계키_센터],F4855)))</f>
        <v/>
      </c>
      <c r="F4855" t="str">
        <f>IFERROR(INDEX(tbl_input[집계키_센터],ROW()-1),"")</f>
        <v/>
      </c>
      <c r="G4855" t="str">
        <f t="shared" si="529"/>
        <v/>
      </c>
      <c r="H4855" t="str">
        <f t="shared" si="530"/>
        <v/>
      </c>
      <c r="I4855" t="str">
        <f t="shared" si="531"/>
        <v/>
      </c>
    </row>
    <row r="4856" spans="1:9" x14ac:dyDescent="0.4">
      <c r="A4856" t="str">
        <f t="shared" si="525"/>
        <v/>
      </c>
      <c r="B4856" t="str">
        <f t="shared" si="526"/>
        <v/>
      </c>
      <c r="C4856" t="str">
        <f t="shared" si="527"/>
        <v/>
      </c>
      <c r="D4856" t="str">
        <f t="shared" si="528"/>
        <v/>
      </c>
      <c r="E4856" t="str">
        <f>IF(F4856="","",IF(COUNTIF($F$2:F4856,F4856)&gt;1,"",SUMIFS(tbl_input[필요수량],tbl_input[집계키_센터],F4856)))</f>
        <v/>
      </c>
      <c r="F4856" t="str">
        <f>IFERROR(INDEX(tbl_input[집계키_센터],ROW()-1),"")</f>
        <v/>
      </c>
      <c r="G4856" t="str">
        <f t="shared" si="529"/>
        <v/>
      </c>
      <c r="H4856" t="str">
        <f t="shared" si="530"/>
        <v/>
      </c>
      <c r="I4856" t="str">
        <f t="shared" si="531"/>
        <v/>
      </c>
    </row>
    <row r="4857" spans="1:9" x14ac:dyDescent="0.4">
      <c r="A4857" t="str">
        <f t="shared" si="525"/>
        <v/>
      </c>
      <c r="B4857" t="str">
        <f t="shared" si="526"/>
        <v/>
      </c>
      <c r="C4857" t="str">
        <f t="shared" si="527"/>
        <v/>
      </c>
      <c r="D4857" t="str">
        <f t="shared" si="528"/>
        <v/>
      </c>
      <c r="E4857" t="str">
        <f>IF(F4857="","",IF(COUNTIF($F$2:F4857,F4857)&gt;1,"",SUMIFS(tbl_input[필요수량],tbl_input[집계키_센터],F4857)))</f>
        <v/>
      </c>
      <c r="F4857" t="str">
        <f>IFERROR(INDEX(tbl_input[집계키_센터],ROW()-1),"")</f>
        <v/>
      </c>
      <c r="G4857" t="str">
        <f t="shared" si="529"/>
        <v/>
      </c>
      <c r="H4857" t="str">
        <f t="shared" si="530"/>
        <v/>
      </c>
      <c r="I4857" t="str">
        <f t="shared" si="531"/>
        <v/>
      </c>
    </row>
    <row r="4858" spans="1:9" x14ac:dyDescent="0.4">
      <c r="A4858" t="str">
        <f t="shared" si="525"/>
        <v/>
      </c>
      <c r="B4858" t="str">
        <f t="shared" si="526"/>
        <v/>
      </c>
      <c r="C4858" t="str">
        <f t="shared" si="527"/>
        <v/>
      </c>
      <c r="D4858" t="str">
        <f t="shared" si="528"/>
        <v/>
      </c>
      <c r="E4858" t="str">
        <f>IF(F4858="","",IF(COUNTIF($F$2:F4858,F4858)&gt;1,"",SUMIFS(tbl_input[필요수량],tbl_input[집계키_센터],F4858)))</f>
        <v/>
      </c>
      <c r="F4858" t="str">
        <f>IFERROR(INDEX(tbl_input[집계키_센터],ROW()-1),"")</f>
        <v/>
      </c>
      <c r="G4858" t="str">
        <f t="shared" si="529"/>
        <v/>
      </c>
      <c r="H4858" t="str">
        <f t="shared" si="530"/>
        <v/>
      </c>
      <c r="I4858" t="str">
        <f t="shared" si="531"/>
        <v/>
      </c>
    </row>
    <row r="4859" spans="1:9" x14ac:dyDescent="0.4">
      <c r="A4859" t="str">
        <f t="shared" si="525"/>
        <v/>
      </c>
      <c r="B4859" t="str">
        <f t="shared" si="526"/>
        <v/>
      </c>
      <c r="C4859" t="str">
        <f t="shared" si="527"/>
        <v/>
      </c>
      <c r="D4859" t="str">
        <f t="shared" si="528"/>
        <v/>
      </c>
      <c r="E4859" t="str">
        <f>IF(F4859="","",IF(COUNTIF($F$2:F4859,F4859)&gt;1,"",SUMIFS(tbl_input[필요수량],tbl_input[집계키_센터],F4859)))</f>
        <v/>
      </c>
      <c r="F4859" t="str">
        <f>IFERROR(INDEX(tbl_input[집계키_센터],ROW()-1),"")</f>
        <v/>
      </c>
      <c r="G4859" t="str">
        <f t="shared" si="529"/>
        <v/>
      </c>
      <c r="H4859" t="str">
        <f t="shared" si="530"/>
        <v/>
      </c>
      <c r="I4859" t="str">
        <f t="shared" si="531"/>
        <v/>
      </c>
    </row>
    <row r="4860" spans="1:9" x14ac:dyDescent="0.4">
      <c r="A4860" t="str">
        <f t="shared" si="525"/>
        <v/>
      </c>
      <c r="B4860" t="str">
        <f t="shared" si="526"/>
        <v/>
      </c>
      <c r="C4860" t="str">
        <f t="shared" si="527"/>
        <v/>
      </c>
      <c r="D4860" t="str">
        <f t="shared" si="528"/>
        <v/>
      </c>
      <c r="E4860" t="str">
        <f>IF(F4860="","",IF(COUNTIF($F$2:F4860,F4860)&gt;1,"",SUMIFS(tbl_input[필요수량],tbl_input[집계키_센터],F4860)))</f>
        <v/>
      </c>
      <c r="F4860" t="str">
        <f>IFERROR(INDEX(tbl_input[집계키_센터],ROW()-1),"")</f>
        <v/>
      </c>
      <c r="G4860" t="str">
        <f t="shared" si="529"/>
        <v/>
      </c>
      <c r="H4860" t="str">
        <f t="shared" si="530"/>
        <v/>
      </c>
      <c r="I4860" t="str">
        <f t="shared" si="531"/>
        <v/>
      </c>
    </row>
    <row r="4861" spans="1:9" x14ac:dyDescent="0.4">
      <c r="A4861" t="str">
        <f t="shared" si="525"/>
        <v/>
      </c>
      <c r="B4861" t="str">
        <f t="shared" si="526"/>
        <v/>
      </c>
      <c r="C4861" t="str">
        <f t="shared" si="527"/>
        <v/>
      </c>
      <c r="D4861" t="str">
        <f t="shared" si="528"/>
        <v/>
      </c>
      <c r="E4861" t="str">
        <f>IF(F4861="","",IF(COUNTIF($F$2:F4861,F4861)&gt;1,"",SUMIFS(tbl_input[필요수량],tbl_input[집계키_센터],F4861)))</f>
        <v/>
      </c>
      <c r="F4861" t="str">
        <f>IFERROR(INDEX(tbl_input[집계키_센터],ROW()-1),"")</f>
        <v/>
      </c>
      <c r="G4861" t="str">
        <f t="shared" si="529"/>
        <v/>
      </c>
      <c r="H4861" t="str">
        <f t="shared" si="530"/>
        <v/>
      </c>
      <c r="I4861" t="str">
        <f t="shared" si="531"/>
        <v/>
      </c>
    </row>
    <row r="4862" spans="1:9" x14ac:dyDescent="0.4">
      <c r="A4862" t="str">
        <f t="shared" si="525"/>
        <v/>
      </c>
      <c r="B4862" t="str">
        <f t="shared" si="526"/>
        <v/>
      </c>
      <c r="C4862" t="str">
        <f t="shared" si="527"/>
        <v/>
      </c>
      <c r="D4862" t="str">
        <f t="shared" si="528"/>
        <v/>
      </c>
      <c r="E4862" t="str">
        <f>IF(F4862="","",IF(COUNTIF($F$2:F4862,F4862)&gt;1,"",SUMIFS(tbl_input[필요수량],tbl_input[집계키_센터],F4862)))</f>
        <v/>
      </c>
      <c r="F4862" t="str">
        <f>IFERROR(INDEX(tbl_input[집계키_센터],ROW()-1),"")</f>
        <v/>
      </c>
      <c r="G4862" t="str">
        <f t="shared" si="529"/>
        <v/>
      </c>
      <c r="H4862" t="str">
        <f t="shared" si="530"/>
        <v/>
      </c>
      <c r="I4862" t="str">
        <f t="shared" si="531"/>
        <v/>
      </c>
    </row>
    <row r="4863" spans="1:9" x14ac:dyDescent="0.4">
      <c r="A4863" t="str">
        <f t="shared" si="525"/>
        <v/>
      </c>
      <c r="B4863" t="str">
        <f t="shared" si="526"/>
        <v/>
      </c>
      <c r="C4863" t="str">
        <f t="shared" si="527"/>
        <v/>
      </c>
      <c r="D4863" t="str">
        <f t="shared" si="528"/>
        <v/>
      </c>
      <c r="E4863" t="str">
        <f>IF(F4863="","",IF(COUNTIF($F$2:F4863,F4863)&gt;1,"",SUMIFS(tbl_input[필요수량],tbl_input[집계키_센터],F4863)))</f>
        <v/>
      </c>
      <c r="F4863" t="str">
        <f>IFERROR(INDEX(tbl_input[집계키_센터],ROW()-1),"")</f>
        <v/>
      </c>
      <c r="G4863" t="str">
        <f t="shared" si="529"/>
        <v/>
      </c>
      <c r="H4863" t="str">
        <f t="shared" si="530"/>
        <v/>
      </c>
      <c r="I4863" t="str">
        <f t="shared" si="531"/>
        <v/>
      </c>
    </row>
    <row r="4864" spans="1:9" x14ac:dyDescent="0.4">
      <c r="A4864" t="str">
        <f t="shared" si="525"/>
        <v/>
      </c>
      <c r="B4864" t="str">
        <f t="shared" si="526"/>
        <v/>
      </c>
      <c r="C4864" t="str">
        <f t="shared" si="527"/>
        <v/>
      </c>
      <c r="D4864" t="str">
        <f t="shared" si="528"/>
        <v/>
      </c>
      <c r="E4864" t="str">
        <f>IF(F4864="","",IF(COUNTIF($F$2:F4864,F4864)&gt;1,"",SUMIFS(tbl_input[필요수량],tbl_input[집계키_센터],F4864)))</f>
        <v/>
      </c>
      <c r="F4864" t="str">
        <f>IFERROR(INDEX(tbl_input[집계키_센터],ROW()-1),"")</f>
        <v/>
      </c>
      <c r="G4864" t="str">
        <f t="shared" si="529"/>
        <v/>
      </c>
      <c r="H4864" t="str">
        <f t="shared" si="530"/>
        <v/>
      </c>
      <c r="I4864" t="str">
        <f t="shared" si="531"/>
        <v/>
      </c>
    </row>
    <row r="4865" spans="1:9" x14ac:dyDescent="0.4">
      <c r="A4865" t="str">
        <f t="shared" si="525"/>
        <v/>
      </c>
      <c r="B4865" t="str">
        <f t="shared" si="526"/>
        <v/>
      </c>
      <c r="C4865" t="str">
        <f t="shared" si="527"/>
        <v/>
      </c>
      <c r="D4865" t="str">
        <f t="shared" si="528"/>
        <v/>
      </c>
      <c r="E4865" t="str">
        <f>IF(F4865="","",IF(COUNTIF($F$2:F4865,F4865)&gt;1,"",SUMIFS(tbl_input[필요수량],tbl_input[집계키_센터],F4865)))</f>
        <v/>
      </c>
      <c r="F4865" t="str">
        <f>IFERROR(INDEX(tbl_input[집계키_센터],ROW()-1),"")</f>
        <v/>
      </c>
      <c r="G4865" t="str">
        <f t="shared" si="529"/>
        <v/>
      </c>
      <c r="H4865" t="str">
        <f t="shared" si="530"/>
        <v/>
      </c>
      <c r="I4865" t="str">
        <f t="shared" si="531"/>
        <v/>
      </c>
    </row>
    <row r="4866" spans="1:9" x14ac:dyDescent="0.4">
      <c r="A4866" t="str">
        <f t="shared" ref="A4866:A4929" si="532">IF(F4866="","",LEFT(F4866,G4866-1))</f>
        <v/>
      </c>
      <c r="B4866" t="str">
        <f t="shared" ref="B4866:B4929" si="533">IF(F4866="","",MID(F4866,G4866+1,H4866-G4866-1))</f>
        <v/>
      </c>
      <c r="C4866" t="str">
        <f t="shared" ref="C4866:C4929" si="534">IF(F4866="","",MID(F4866,H4866+1,I4866-H4866-1))</f>
        <v/>
      </c>
      <c r="D4866" t="str">
        <f t="shared" ref="D4866:D4929" si="535">IF(F4866="","",MID(F4866,I4866+1,999))</f>
        <v/>
      </c>
      <c r="E4866" t="str">
        <f>IF(F4866="","",IF(COUNTIF($F$2:F4866,F4866)&gt;1,"",SUMIFS(tbl_input[필요수량],tbl_input[집계키_센터],F4866)))</f>
        <v/>
      </c>
      <c r="F4866" t="str">
        <f>IFERROR(INDEX(tbl_input[집계키_센터],ROW()-1),"")</f>
        <v/>
      </c>
      <c r="G4866" t="str">
        <f t="shared" ref="G4866:G4929" si="536">IF(F4866="","",FIND("♦",F4866))</f>
        <v/>
      </c>
      <c r="H4866" t="str">
        <f t="shared" ref="H4866:H4929" si="537">IF(F4866="","",FIND("♦",F4866,G4866+1))</f>
        <v/>
      </c>
      <c r="I4866" t="str">
        <f t="shared" ref="I4866:I4929" si="538">IF(F4866="","",FIND("♦",F4866,H4866+1))</f>
        <v/>
      </c>
    </row>
    <row r="4867" spans="1:9" x14ac:dyDescent="0.4">
      <c r="A4867" t="str">
        <f t="shared" si="532"/>
        <v/>
      </c>
      <c r="B4867" t="str">
        <f t="shared" si="533"/>
        <v/>
      </c>
      <c r="C4867" t="str">
        <f t="shared" si="534"/>
        <v/>
      </c>
      <c r="D4867" t="str">
        <f t="shared" si="535"/>
        <v/>
      </c>
      <c r="E4867" t="str">
        <f>IF(F4867="","",IF(COUNTIF($F$2:F4867,F4867)&gt;1,"",SUMIFS(tbl_input[필요수량],tbl_input[집계키_센터],F4867)))</f>
        <v/>
      </c>
      <c r="F4867" t="str">
        <f>IFERROR(INDEX(tbl_input[집계키_센터],ROW()-1),"")</f>
        <v/>
      </c>
      <c r="G4867" t="str">
        <f t="shared" si="536"/>
        <v/>
      </c>
      <c r="H4867" t="str">
        <f t="shared" si="537"/>
        <v/>
      </c>
      <c r="I4867" t="str">
        <f t="shared" si="538"/>
        <v/>
      </c>
    </row>
    <row r="4868" spans="1:9" x14ac:dyDescent="0.4">
      <c r="A4868" t="str">
        <f t="shared" si="532"/>
        <v/>
      </c>
      <c r="B4868" t="str">
        <f t="shared" si="533"/>
        <v/>
      </c>
      <c r="C4868" t="str">
        <f t="shared" si="534"/>
        <v/>
      </c>
      <c r="D4868" t="str">
        <f t="shared" si="535"/>
        <v/>
      </c>
      <c r="E4868" t="str">
        <f>IF(F4868="","",IF(COUNTIF($F$2:F4868,F4868)&gt;1,"",SUMIFS(tbl_input[필요수량],tbl_input[집계키_센터],F4868)))</f>
        <v/>
      </c>
      <c r="F4868" t="str">
        <f>IFERROR(INDEX(tbl_input[집계키_센터],ROW()-1),"")</f>
        <v/>
      </c>
      <c r="G4868" t="str">
        <f t="shared" si="536"/>
        <v/>
      </c>
      <c r="H4868" t="str">
        <f t="shared" si="537"/>
        <v/>
      </c>
      <c r="I4868" t="str">
        <f t="shared" si="538"/>
        <v/>
      </c>
    </row>
    <row r="4869" spans="1:9" x14ac:dyDescent="0.4">
      <c r="A4869" t="str">
        <f t="shared" si="532"/>
        <v/>
      </c>
      <c r="B4869" t="str">
        <f t="shared" si="533"/>
        <v/>
      </c>
      <c r="C4869" t="str">
        <f t="shared" si="534"/>
        <v/>
      </c>
      <c r="D4869" t="str">
        <f t="shared" si="535"/>
        <v/>
      </c>
      <c r="E4869" t="str">
        <f>IF(F4869="","",IF(COUNTIF($F$2:F4869,F4869)&gt;1,"",SUMIFS(tbl_input[필요수량],tbl_input[집계키_센터],F4869)))</f>
        <v/>
      </c>
      <c r="F4869" t="str">
        <f>IFERROR(INDEX(tbl_input[집계키_센터],ROW()-1),"")</f>
        <v/>
      </c>
      <c r="G4869" t="str">
        <f t="shared" si="536"/>
        <v/>
      </c>
      <c r="H4869" t="str">
        <f t="shared" si="537"/>
        <v/>
      </c>
      <c r="I4869" t="str">
        <f t="shared" si="538"/>
        <v/>
      </c>
    </row>
    <row r="4870" spans="1:9" x14ac:dyDescent="0.4">
      <c r="A4870" t="str">
        <f t="shared" si="532"/>
        <v/>
      </c>
      <c r="B4870" t="str">
        <f t="shared" si="533"/>
        <v/>
      </c>
      <c r="C4870" t="str">
        <f t="shared" si="534"/>
        <v/>
      </c>
      <c r="D4870" t="str">
        <f t="shared" si="535"/>
        <v/>
      </c>
      <c r="E4870" t="str">
        <f>IF(F4870="","",IF(COUNTIF($F$2:F4870,F4870)&gt;1,"",SUMIFS(tbl_input[필요수량],tbl_input[집계키_센터],F4870)))</f>
        <v/>
      </c>
      <c r="F4870" t="str">
        <f>IFERROR(INDEX(tbl_input[집계키_센터],ROW()-1),"")</f>
        <v/>
      </c>
      <c r="G4870" t="str">
        <f t="shared" si="536"/>
        <v/>
      </c>
      <c r="H4870" t="str">
        <f t="shared" si="537"/>
        <v/>
      </c>
      <c r="I4870" t="str">
        <f t="shared" si="538"/>
        <v/>
      </c>
    </row>
    <row r="4871" spans="1:9" x14ac:dyDescent="0.4">
      <c r="A4871" t="str">
        <f t="shared" si="532"/>
        <v/>
      </c>
      <c r="B4871" t="str">
        <f t="shared" si="533"/>
        <v/>
      </c>
      <c r="C4871" t="str">
        <f t="shared" si="534"/>
        <v/>
      </c>
      <c r="D4871" t="str">
        <f t="shared" si="535"/>
        <v/>
      </c>
      <c r="E4871" t="str">
        <f>IF(F4871="","",IF(COUNTIF($F$2:F4871,F4871)&gt;1,"",SUMIFS(tbl_input[필요수량],tbl_input[집계키_센터],F4871)))</f>
        <v/>
      </c>
      <c r="F4871" t="str">
        <f>IFERROR(INDEX(tbl_input[집계키_센터],ROW()-1),"")</f>
        <v/>
      </c>
      <c r="G4871" t="str">
        <f t="shared" si="536"/>
        <v/>
      </c>
      <c r="H4871" t="str">
        <f t="shared" si="537"/>
        <v/>
      </c>
      <c r="I4871" t="str">
        <f t="shared" si="538"/>
        <v/>
      </c>
    </row>
    <row r="4872" spans="1:9" x14ac:dyDescent="0.4">
      <c r="A4872" t="str">
        <f t="shared" si="532"/>
        <v/>
      </c>
      <c r="B4872" t="str">
        <f t="shared" si="533"/>
        <v/>
      </c>
      <c r="C4872" t="str">
        <f t="shared" si="534"/>
        <v/>
      </c>
      <c r="D4872" t="str">
        <f t="shared" si="535"/>
        <v/>
      </c>
      <c r="E4872" t="str">
        <f>IF(F4872="","",IF(COUNTIF($F$2:F4872,F4872)&gt;1,"",SUMIFS(tbl_input[필요수량],tbl_input[집계키_센터],F4872)))</f>
        <v/>
      </c>
      <c r="F4872" t="str">
        <f>IFERROR(INDEX(tbl_input[집계키_센터],ROW()-1),"")</f>
        <v/>
      </c>
      <c r="G4872" t="str">
        <f t="shared" si="536"/>
        <v/>
      </c>
      <c r="H4872" t="str">
        <f t="shared" si="537"/>
        <v/>
      </c>
      <c r="I4872" t="str">
        <f t="shared" si="538"/>
        <v/>
      </c>
    </row>
    <row r="4873" spans="1:9" x14ac:dyDescent="0.4">
      <c r="A4873" t="str">
        <f t="shared" si="532"/>
        <v/>
      </c>
      <c r="B4873" t="str">
        <f t="shared" si="533"/>
        <v/>
      </c>
      <c r="C4873" t="str">
        <f t="shared" si="534"/>
        <v/>
      </c>
      <c r="D4873" t="str">
        <f t="shared" si="535"/>
        <v/>
      </c>
      <c r="E4873" t="str">
        <f>IF(F4873="","",IF(COUNTIF($F$2:F4873,F4873)&gt;1,"",SUMIFS(tbl_input[필요수량],tbl_input[집계키_센터],F4873)))</f>
        <v/>
      </c>
      <c r="F4873" t="str">
        <f>IFERROR(INDEX(tbl_input[집계키_센터],ROW()-1),"")</f>
        <v/>
      </c>
      <c r="G4873" t="str">
        <f t="shared" si="536"/>
        <v/>
      </c>
      <c r="H4873" t="str">
        <f t="shared" si="537"/>
        <v/>
      </c>
      <c r="I4873" t="str">
        <f t="shared" si="538"/>
        <v/>
      </c>
    </row>
    <row r="4874" spans="1:9" x14ac:dyDescent="0.4">
      <c r="A4874" t="str">
        <f t="shared" si="532"/>
        <v/>
      </c>
      <c r="B4874" t="str">
        <f t="shared" si="533"/>
        <v/>
      </c>
      <c r="C4874" t="str">
        <f t="shared" si="534"/>
        <v/>
      </c>
      <c r="D4874" t="str">
        <f t="shared" si="535"/>
        <v/>
      </c>
      <c r="E4874" t="str">
        <f>IF(F4874="","",IF(COUNTIF($F$2:F4874,F4874)&gt;1,"",SUMIFS(tbl_input[필요수량],tbl_input[집계키_센터],F4874)))</f>
        <v/>
      </c>
      <c r="F4874" t="str">
        <f>IFERROR(INDEX(tbl_input[집계키_센터],ROW()-1),"")</f>
        <v/>
      </c>
      <c r="G4874" t="str">
        <f t="shared" si="536"/>
        <v/>
      </c>
      <c r="H4874" t="str">
        <f t="shared" si="537"/>
        <v/>
      </c>
      <c r="I4874" t="str">
        <f t="shared" si="538"/>
        <v/>
      </c>
    </row>
    <row r="4875" spans="1:9" x14ac:dyDescent="0.4">
      <c r="A4875" t="str">
        <f t="shared" si="532"/>
        <v/>
      </c>
      <c r="B4875" t="str">
        <f t="shared" si="533"/>
        <v/>
      </c>
      <c r="C4875" t="str">
        <f t="shared" si="534"/>
        <v/>
      </c>
      <c r="D4875" t="str">
        <f t="shared" si="535"/>
        <v/>
      </c>
      <c r="E4875" t="str">
        <f>IF(F4875="","",IF(COUNTIF($F$2:F4875,F4875)&gt;1,"",SUMIFS(tbl_input[필요수량],tbl_input[집계키_센터],F4875)))</f>
        <v/>
      </c>
      <c r="F4875" t="str">
        <f>IFERROR(INDEX(tbl_input[집계키_센터],ROW()-1),"")</f>
        <v/>
      </c>
      <c r="G4875" t="str">
        <f t="shared" si="536"/>
        <v/>
      </c>
      <c r="H4875" t="str">
        <f t="shared" si="537"/>
        <v/>
      </c>
      <c r="I4875" t="str">
        <f t="shared" si="538"/>
        <v/>
      </c>
    </row>
    <row r="4876" spans="1:9" x14ac:dyDescent="0.4">
      <c r="A4876" t="str">
        <f t="shared" si="532"/>
        <v/>
      </c>
      <c r="B4876" t="str">
        <f t="shared" si="533"/>
        <v/>
      </c>
      <c r="C4876" t="str">
        <f t="shared" si="534"/>
        <v/>
      </c>
      <c r="D4876" t="str">
        <f t="shared" si="535"/>
        <v/>
      </c>
      <c r="E4876" t="str">
        <f>IF(F4876="","",IF(COUNTIF($F$2:F4876,F4876)&gt;1,"",SUMIFS(tbl_input[필요수량],tbl_input[집계키_센터],F4876)))</f>
        <v/>
      </c>
      <c r="F4876" t="str">
        <f>IFERROR(INDEX(tbl_input[집계키_센터],ROW()-1),"")</f>
        <v/>
      </c>
      <c r="G4876" t="str">
        <f t="shared" si="536"/>
        <v/>
      </c>
      <c r="H4876" t="str">
        <f t="shared" si="537"/>
        <v/>
      </c>
      <c r="I4876" t="str">
        <f t="shared" si="538"/>
        <v/>
      </c>
    </row>
    <row r="4877" spans="1:9" x14ac:dyDescent="0.4">
      <c r="A4877" t="str">
        <f t="shared" si="532"/>
        <v/>
      </c>
      <c r="B4877" t="str">
        <f t="shared" si="533"/>
        <v/>
      </c>
      <c r="C4877" t="str">
        <f t="shared" si="534"/>
        <v/>
      </c>
      <c r="D4877" t="str">
        <f t="shared" si="535"/>
        <v/>
      </c>
      <c r="E4877" t="str">
        <f>IF(F4877="","",IF(COUNTIF($F$2:F4877,F4877)&gt;1,"",SUMIFS(tbl_input[필요수량],tbl_input[집계키_센터],F4877)))</f>
        <v/>
      </c>
      <c r="F4877" t="str">
        <f>IFERROR(INDEX(tbl_input[집계키_센터],ROW()-1),"")</f>
        <v/>
      </c>
      <c r="G4877" t="str">
        <f t="shared" si="536"/>
        <v/>
      </c>
      <c r="H4877" t="str">
        <f t="shared" si="537"/>
        <v/>
      </c>
      <c r="I4877" t="str">
        <f t="shared" si="538"/>
        <v/>
      </c>
    </row>
    <row r="4878" spans="1:9" x14ac:dyDescent="0.4">
      <c r="A4878" t="str">
        <f t="shared" si="532"/>
        <v/>
      </c>
      <c r="B4878" t="str">
        <f t="shared" si="533"/>
        <v/>
      </c>
      <c r="C4878" t="str">
        <f t="shared" si="534"/>
        <v/>
      </c>
      <c r="D4878" t="str">
        <f t="shared" si="535"/>
        <v/>
      </c>
      <c r="E4878" t="str">
        <f>IF(F4878="","",IF(COUNTIF($F$2:F4878,F4878)&gt;1,"",SUMIFS(tbl_input[필요수량],tbl_input[집계키_센터],F4878)))</f>
        <v/>
      </c>
      <c r="F4878" t="str">
        <f>IFERROR(INDEX(tbl_input[집계키_센터],ROW()-1),"")</f>
        <v/>
      </c>
      <c r="G4878" t="str">
        <f t="shared" si="536"/>
        <v/>
      </c>
      <c r="H4878" t="str">
        <f t="shared" si="537"/>
        <v/>
      </c>
      <c r="I4878" t="str">
        <f t="shared" si="538"/>
        <v/>
      </c>
    </row>
    <row r="4879" spans="1:9" x14ac:dyDescent="0.4">
      <c r="A4879" t="str">
        <f t="shared" si="532"/>
        <v/>
      </c>
      <c r="B4879" t="str">
        <f t="shared" si="533"/>
        <v/>
      </c>
      <c r="C4879" t="str">
        <f t="shared" si="534"/>
        <v/>
      </c>
      <c r="D4879" t="str">
        <f t="shared" si="535"/>
        <v/>
      </c>
      <c r="E4879" t="str">
        <f>IF(F4879="","",IF(COUNTIF($F$2:F4879,F4879)&gt;1,"",SUMIFS(tbl_input[필요수량],tbl_input[집계키_센터],F4879)))</f>
        <v/>
      </c>
      <c r="F4879" t="str">
        <f>IFERROR(INDEX(tbl_input[집계키_센터],ROW()-1),"")</f>
        <v/>
      </c>
      <c r="G4879" t="str">
        <f t="shared" si="536"/>
        <v/>
      </c>
      <c r="H4879" t="str">
        <f t="shared" si="537"/>
        <v/>
      </c>
      <c r="I4879" t="str">
        <f t="shared" si="538"/>
        <v/>
      </c>
    </row>
    <row r="4880" spans="1:9" x14ac:dyDescent="0.4">
      <c r="A4880" t="str">
        <f t="shared" si="532"/>
        <v/>
      </c>
      <c r="B4880" t="str">
        <f t="shared" si="533"/>
        <v/>
      </c>
      <c r="C4880" t="str">
        <f t="shared" si="534"/>
        <v/>
      </c>
      <c r="D4880" t="str">
        <f t="shared" si="535"/>
        <v/>
      </c>
      <c r="E4880" t="str">
        <f>IF(F4880="","",IF(COUNTIF($F$2:F4880,F4880)&gt;1,"",SUMIFS(tbl_input[필요수량],tbl_input[집계키_센터],F4880)))</f>
        <v/>
      </c>
      <c r="F4880" t="str">
        <f>IFERROR(INDEX(tbl_input[집계키_센터],ROW()-1),"")</f>
        <v/>
      </c>
      <c r="G4880" t="str">
        <f t="shared" si="536"/>
        <v/>
      </c>
      <c r="H4880" t="str">
        <f t="shared" si="537"/>
        <v/>
      </c>
      <c r="I4880" t="str">
        <f t="shared" si="538"/>
        <v/>
      </c>
    </row>
    <row r="4881" spans="1:9" x14ac:dyDescent="0.4">
      <c r="A4881" t="str">
        <f t="shared" si="532"/>
        <v/>
      </c>
      <c r="B4881" t="str">
        <f t="shared" si="533"/>
        <v/>
      </c>
      <c r="C4881" t="str">
        <f t="shared" si="534"/>
        <v/>
      </c>
      <c r="D4881" t="str">
        <f t="shared" si="535"/>
        <v/>
      </c>
      <c r="E4881" t="str">
        <f>IF(F4881="","",IF(COUNTIF($F$2:F4881,F4881)&gt;1,"",SUMIFS(tbl_input[필요수량],tbl_input[집계키_센터],F4881)))</f>
        <v/>
      </c>
      <c r="F4881" t="str">
        <f>IFERROR(INDEX(tbl_input[집계키_센터],ROW()-1),"")</f>
        <v/>
      </c>
      <c r="G4881" t="str">
        <f t="shared" si="536"/>
        <v/>
      </c>
      <c r="H4881" t="str">
        <f t="shared" si="537"/>
        <v/>
      </c>
      <c r="I4881" t="str">
        <f t="shared" si="538"/>
        <v/>
      </c>
    </row>
    <row r="4882" spans="1:9" x14ac:dyDescent="0.4">
      <c r="A4882" t="str">
        <f t="shared" si="532"/>
        <v/>
      </c>
      <c r="B4882" t="str">
        <f t="shared" si="533"/>
        <v/>
      </c>
      <c r="C4882" t="str">
        <f t="shared" si="534"/>
        <v/>
      </c>
      <c r="D4882" t="str">
        <f t="shared" si="535"/>
        <v/>
      </c>
      <c r="E4882" t="str">
        <f>IF(F4882="","",IF(COUNTIF($F$2:F4882,F4882)&gt;1,"",SUMIFS(tbl_input[필요수량],tbl_input[집계키_센터],F4882)))</f>
        <v/>
      </c>
      <c r="F4882" t="str">
        <f>IFERROR(INDEX(tbl_input[집계키_센터],ROW()-1),"")</f>
        <v/>
      </c>
      <c r="G4882" t="str">
        <f t="shared" si="536"/>
        <v/>
      </c>
      <c r="H4882" t="str">
        <f t="shared" si="537"/>
        <v/>
      </c>
      <c r="I4882" t="str">
        <f t="shared" si="538"/>
        <v/>
      </c>
    </row>
    <row r="4883" spans="1:9" x14ac:dyDescent="0.4">
      <c r="A4883" t="str">
        <f t="shared" si="532"/>
        <v/>
      </c>
      <c r="B4883" t="str">
        <f t="shared" si="533"/>
        <v/>
      </c>
      <c r="C4883" t="str">
        <f t="shared" si="534"/>
        <v/>
      </c>
      <c r="D4883" t="str">
        <f t="shared" si="535"/>
        <v/>
      </c>
      <c r="E4883" t="str">
        <f>IF(F4883="","",IF(COUNTIF($F$2:F4883,F4883)&gt;1,"",SUMIFS(tbl_input[필요수량],tbl_input[집계키_센터],F4883)))</f>
        <v/>
      </c>
      <c r="F4883" t="str">
        <f>IFERROR(INDEX(tbl_input[집계키_센터],ROW()-1),"")</f>
        <v/>
      </c>
      <c r="G4883" t="str">
        <f t="shared" si="536"/>
        <v/>
      </c>
      <c r="H4883" t="str">
        <f t="shared" si="537"/>
        <v/>
      </c>
      <c r="I4883" t="str">
        <f t="shared" si="538"/>
        <v/>
      </c>
    </row>
    <row r="4884" spans="1:9" x14ac:dyDescent="0.4">
      <c r="A4884" t="str">
        <f t="shared" si="532"/>
        <v/>
      </c>
      <c r="B4884" t="str">
        <f t="shared" si="533"/>
        <v/>
      </c>
      <c r="C4884" t="str">
        <f t="shared" si="534"/>
        <v/>
      </c>
      <c r="D4884" t="str">
        <f t="shared" si="535"/>
        <v/>
      </c>
      <c r="E4884" t="str">
        <f>IF(F4884="","",IF(COUNTIF($F$2:F4884,F4884)&gt;1,"",SUMIFS(tbl_input[필요수량],tbl_input[집계키_센터],F4884)))</f>
        <v/>
      </c>
      <c r="F4884" t="str">
        <f>IFERROR(INDEX(tbl_input[집계키_센터],ROW()-1),"")</f>
        <v/>
      </c>
      <c r="G4884" t="str">
        <f t="shared" si="536"/>
        <v/>
      </c>
      <c r="H4884" t="str">
        <f t="shared" si="537"/>
        <v/>
      </c>
      <c r="I4884" t="str">
        <f t="shared" si="538"/>
        <v/>
      </c>
    </row>
    <row r="4885" spans="1:9" x14ac:dyDescent="0.4">
      <c r="A4885" t="str">
        <f t="shared" si="532"/>
        <v/>
      </c>
      <c r="B4885" t="str">
        <f t="shared" si="533"/>
        <v/>
      </c>
      <c r="C4885" t="str">
        <f t="shared" si="534"/>
        <v/>
      </c>
      <c r="D4885" t="str">
        <f t="shared" si="535"/>
        <v/>
      </c>
      <c r="E4885" t="str">
        <f>IF(F4885="","",IF(COUNTIF($F$2:F4885,F4885)&gt;1,"",SUMIFS(tbl_input[필요수량],tbl_input[집계키_센터],F4885)))</f>
        <v/>
      </c>
      <c r="F4885" t="str">
        <f>IFERROR(INDEX(tbl_input[집계키_센터],ROW()-1),"")</f>
        <v/>
      </c>
      <c r="G4885" t="str">
        <f t="shared" si="536"/>
        <v/>
      </c>
      <c r="H4885" t="str">
        <f t="shared" si="537"/>
        <v/>
      </c>
      <c r="I4885" t="str">
        <f t="shared" si="538"/>
        <v/>
      </c>
    </row>
    <row r="4886" spans="1:9" x14ac:dyDescent="0.4">
      <c r="A4886" t="str">
        <f t="shared" si="532"/>
        <v/>
      </c>
      <c r="B4886" t="str">
        <f t="shared" si="533"/>
        <v/>
      </c>
      <c r="C4886" t="str">
        <f t="shared" si="534"/>
        <v/>
      </c>
      <c r="D4886" t="str">
        <f t="shared" si="535"/>
        <v/>
      </c>
      <c r="E4886" t="str">
        <f>IF(F4886="","",IF(COUNTIF($F$2:F4886,F4886)&gt;1,"",SUMIFS(tbl_input[필요수량],tbl_input[집계키_센터],F4886)))</f>
        <v/>
      </c>
      <c r="F4886" t="str">
        <f>IFERROR(INDEX(tbl_input[집계키_센터],ROW()-1),"")</f>
        <v/>
      </c>
      <c r="G4886" t="str">
        <f t="shared" si="536"/>
        <v/>
      </c>
      <c r="H4886" t="str">
        <f t="shared" si="537"/>
        <v/>
      </c>
      <c r="I4886" t="str">
        <f t="shared" si="538"/>
        <v/>
      </c>
    </row>
    <row r="4887" spans="1:9" x14ac:dyDescent="0.4">
      <c r="A4887" t="str">
        <f t="shared" si="532"/>
        <v/>
      </c>
      <c r="B4887" t="str">
        <f t="shared" si="533"/>
        <v/>
      </c>
      <c r="C4887" t="str">
        <f t="shared" si="534"/>
        <v/>
      </c>
      <c r="D4887" t="str">
        <f t="shared" si="535"/>
        <v/>
      </c>
      <c r="E4887" t="str">
        <f>IF(F4887="","",IF(COUNTIF($F$2:F4887,F4887)&gt;1,"",SUMIFS(tbl_input[필요수량],tbl_input[집계키_센터],F4887)))</f>
        <v/>
      </c>
      <c r="F4887" t="str">
        <f>IFERROR(INDEX(tbl_input[집계키_센터],ROW()-1),"")</f>
        <v/>
      </c>
      <c r="G4887" t="str">
        <f t="shared" si="536"/>
        <v/>
      </c>
      <c r="H4887" t="str">
        <f t="shared" si="537"/>
        <v/>
      </c>
      <c r="I4887" t="str">
        <f t="shared" si="538"/>
        <v/>
      </c>
    </row>
    <row r="4888" spans="1:9" x14ac:dyDescent="0.4">
      <c r="A4888" t="str">
        <f t="shared" si="532"/>
        <v/>
      </c>
      <c r="B4888" t="str">
        <f t="shared" si="533"/>
        <v/>
      </c>
      <c r="C4888" t="str">
        <f t="shared" si="534"/>
        <v/>
      </c>
      <c r="D4888" t="str">
        <f t="shared" si="535"/>
        <v/>
      </c>
      <c r="E4888" t="str">
        <f>IF(F4888="","",IF(COUNTIF($F$2:F4888,F4888)&gt;1,"",SUMIFS(tbl_input[필요수량],tbl_input[집계키_센터],F4888)))</f>
        <v/>
      </c>
      <c r="F4888" t="str">
        <f>IFERROR(INDEX(tbl_input[집계키_센터],ROW()-1),"")</f>
        <v/>
      </c>
      <c r="G4888" t="str">
        <f t="shared" si="536"/>
        <v/>
      </c>
      <c r="H4888" t="str">
        <f t="shared" si="537"/>
        <v/>
      </c>
      <c r="I4888" t="str">
        <f t="shared" si="538"/>
        <v/>
      </c>
    </row>
    <row r="4889" spans="1:9" x14ac:dyDescent="0.4">
      <c r="A4889" t="str">
        <f t="shared" si="532"/>
        <v/>
      </c>
      <c r="B4889" t="str">
        <f t="shared" si="533"/>
        <v/>
      </c>
      <c r="C4889" t="str">
        <f t="shared" si="534"/>
        <v/>
      </c>
      <c r="D4889" t="str">
        <f t="shared" si="535"/>
        <v/>
      </c>
      <c r="E4889" t="str">
        <f>IF(F4889="","",IF(COUNTIF($F$2:F4889,F4889)&gt;1,"",SUMIFS(tbl_input[필요수량],tbl_input[집계키_센터],F4889)))</f>
        <v/>
      </c>
      <c r="F4889" t="str">
        <f>IFERROR(INDEX(tbl_input[집계키_센터],ROW()-1),"")</f>
        <v/>
      </c>
      <c r="G4889" t="str">
        <f t="shared" si="536"/>
        <v/>
      </c>
      <c r="H4889" t="str">
        <f t="shared" si="537"/>
        <v/>
      </c>
      <c r="I4889" t="str">
        <f t="shared" si="538"/>
        <v/>
      </c>
    </row>
    <row r="4890" spans="1:9" x14ac:dyDescent="0.4">
      <c r="A4890" t="str">
        <f t="shared" si="532"/>
        <v/>
      </c>
      <c r="B4890" t="str">
        <f t="shared" si="533"/>
        <v/>
      </c>
      <c r="C4890" t="str">
        <f t="shared" si="534"/>
        <v/>
      </c>
      <c r="D4890" t="str">
        <f t="shared" si="535"/>
        <v/>
      </c>
      <c r="E4890" t="str">
        <f>IF(F4890="","",IF(COUNTIF($F$2:F4890,F4890)&gt;1,"",SUMIFS(tbl_input[필요수량],tbl_input[집계키_센터],F4890)))</f>
        <v/>
      </c>
      <c r="F4890" t="str">
        <f>IFERROR(INDEX(tbl_input[집계키_센터],ROW()-1),"")</f>
        <v/>
      </c>
      <c r="G4890" t="str">
        <f t="shared" si="536"/>
        <v/>
      </c>
      <c r="H4890" t="str">
        <f t="shared" si="537"/>
        <v/>
      </c>
      <c r="I4890" t="str">
        <f t="shared" si="538"/>
        <v/>
      </c>
    </row>
    <row r="4891" spans="1:9" x14ac:dyDescent="0.4">
      <c r="A4891" t="str">
        <f t="shared" si="532"/>
        <v/>
      </c>
      <c r="B4891" t="str">
        <f t="shared" si="533"/>
        <v/>
      </c>
      <c r="C4891" t="str">
        <f t="shared" si="534"/>
        <v/>
      </c>
      <c r="D4891" t="str">
        <f t="shared" si="535"/>
        <v/>
      </c>
      <c r="E4891" t="str">
        <f>IF(F4891="","",IF(COUNTIF($F$2:F4891,F4891)&gt;1,"",SUMIFS(tbl_input[필요수량],tbl_input[집계키_센터],F4891)))</f>
        <v/>
      </c>
      <c r="F4891" t="str">
        <f>IFERROR(INDEX(tbl_input[집계키_센터],ROW()-1),"")</f>
        <v/>
      </c>
      <c r="G4891" t="str">
        <f t="shared" si="536"/>
        <v/>
      </c>
      <c r="H4891" t="str">
        <f t="shared" si="537"/>
        <v/>
      </c>
      <c r="I4891" t="str">
        <f t="shared" si="538"/>
        <v/>
      </c>
    </row>
    <row r="4892" spans="1:9" x14ac:dyDescent="0.4">
      <c r="A4892" t="str">
        <f t="shared" si="532"/>
        <v/>
      </c>
      <c r="B4892" t="str">
        <f t="shared" si="533"/>
        <v/>
      </c>
      <c r="C4892" t="str">
        <f t="shared" si="534"/>
        <v/>
      </c>
      <c r="D4892" t="str">
        <f t="shared" si="535"/>
        <v/>
      </c>
      <c r="E4892" t="str">
        <f>IF(F4892="","",IF(COUNTIF($F$2:F4892,F4892)&gt;1,"",SUMIFS(tbl_input[필요수량],tbl_input[집계키_센터],F4892)))</f>
        <v/>
      </c>
      <c r="F4892" t="str">
        <f>IFERROR(INDEX(tbl_input[집계키_센터],ROW()-1),"")</f>
        <v/>
      </c>
      <c r="G4892" t="str">
        <f t="shared" si="536"/>
        <v/>
      </c>
      <c r="H4892" t="str">
        <f t="shared" si="537"/>
        <v/>
      </c>
      <c r="I4892" t="str">
        <f t="shared" si="538"/>
        <v/>
      </c>
    </row>
    <row r="4893" spans="1:9" x14ac:dyDescent="0.4">
      <c r="A4893" t="str">
        <f t="shared" si="532"/>
        <v/>
      </c>
      <c r="B4893" t="str">
        <f t="shared" si="533"/>
        <v/>
      </c>
      <c r="C4893" t="str">
        <f t="shared" si="534"/>
        <v/>
      </c>
      <c r="D4893" t="str">
        <f t="shared" si="535"/>
        <v/>
      </c>
      <c r="E4893" t="str">
        <f>IF(F4893="","",IF(COUNTIF($F$2:F4893,F4893)&gt;1,"",SUMIFS(tbl_input[필요수량],tbl_input[집계키_센터],F4893)))</f>
        <v/>
      </c>
      <c r="F4893" t="str">
        <f>IFERROR(INDEX(tbl_input[집계키_센터],ROW()-1),"")</f>
        <v/>
      </c>
      <c r="G4893" t="str">
        <f t="shared" si="536"/>
        <v/>
      </c>
      <c r="H4893" t="str">
        <f t="shared" si="537"/>
        <v/>
      </c>
      <c r="I4893" t="str">
        <f t="shared" si="538"/>
        <v/>
      </c>
    </row>
    <row r="4894" spans="1:9" x14ac:dyDescent="0.4">
      <c r="A4894" t="str">
        <f t="shared" si="532"/>
        <v/>
      </c>
      <c r="B4894" t="str">
        <f t="shared" si="533"/>
        <v/>
      </c>
      <c r="C4894" t="str">
        <f t="shared" si="534"/>
        <v/>
      </c>
      <c r="D4894" t="str">
        <f t="shared" si="535"/>
        <v/>
      </c>
      <c r="E4894" t="str">
        <f>IF(F4894="","",IF(COUNTIF($F$2:F4894,F4894)&gt;1,"",SUMIFS(tbl_input[필요수량],tbl_input[집계키_센터],F4894)))</f>
        <v/>
      </c>
      <c r="F4894" t="str">
        <f>IFERROR(INDEX(tbl_input[집계키_센터],ROW()-1),"")</f>
        <v/>
      </c>
      <c r="G4894" t="str">
        <f t="shared" si="536"/>
        <v/>
      </c>
      <c r="H4894" t="str">
        <f t="shared" si="537"/>
        <v/>
      </c>
      <c r="I4894" t="str">
        <f t="shared" si="538"/>
        <v/>
      </c>
    </row>
    <row r="4895" spans="1:9" x14ac:dyDescent="0.4">
      <c r="A4895" t="str">
        <f t="shared" si="532"/>
        <v/>
      </c>
      <c r="B4895" t="str">
        <f t="shared" si="533"/>
        <v/>
      </c>
      <c r="C4895" t="str">
        <f t="shared" si="534"/>
        <v/>
      </c>
      <c r="D4895" t="str">
        <f t="shared" si="535"/>
        <v/>
      </c>
      <c r="E4895" t="str">
        <f>IF(F4895="","",IF(COUNTIF($F$2:F4895,F4895)&gt;1,"",SUMIFS(tbl_input[필요수량],tbl_input[집계키_센터],F4895)))</f>
        <v/>
      </c>
      <c r="F4895" t="str">
        <f>IFERROR(INDEX(tbl_input[집계키_센터],ROW()-1),"")</f>
        <v/>
      </c>
      <c r="G4895" t="str">
        <f t="shared" si="536"/>
        <v/>
      </c>
      <c r="H4895" t="str">
        <f t="shared" si="537"/>
        <v/>
      </c>
      <c r="I4895" t="str">
        <f t="shared" si="538"/>
        <v/>
      </c>
    </row>
    <row r="4896" spans="1:9" x14ac:dyDescent="0.4">
      <c r="A4896" t="str">
        <f t="shared" si="532"/>
        <v/>
      </c>
      <c r="B4896" t="str">
        <f t="shared" si="533"/>
        <v/>
      </c>
      <c r="C4896" t="str">
        <f t="shared" si="534"/>
        <v/>
      </c>
      <c r="D4896" t="str">
        <f t="shared" si="535"/>
        <v/>
      </c>
      <c r="E4896" t="str">
        <f>IF(F4896="","",IF(COUNTIF($F$2:F4896,F4896)&gt;1,"",SUMIFS(tbl_input[필요수량],tbl_input[집계키_센터],F4896)))</f>
        <v/>
      </c>
      <c r="F4896" t="str">
        <f>IFERROR(INDEX(tbl_input[집계키_센터],ROW()-1),"")</f>
        <v/>
      </c>
      <c r="G4896" t="str">
        <f t="shared" si="536"/>
        <v/>
      </c>
      <c r="H4896" t="str">
        <f t="shared" si="537"/>
        <v/>
      </c>
      <c r="I4896" t="str">
        <f t="shared" si="538"/>
        <v/>
      </c>
    </row>
    <row r="4897" spans="1:9" x14ac:dyDescent="0.4">
      <c r="A4897" t="str">
        <f t="shared" si="532"/>
        <v/>
      </c>
      <c r="B4897" t="str">
        <f t="shared" si="533"/>
        <v/>
      </c>
      <c r="C4897" t="str">
        <f t="shared" si="534"/>
        <v/>
      </c>
      <c r="D4897" t="str">
        <f t="shared" si="535"/>
        <v/>
      </c>
      <c r="E4897" t="str">
        <f>IF(F4897="","",IF(COUNTIF($F$2:F4897,F4897)&gt;1,"",SUMIFS(tbl_input[필요수량],tbl_input[집계키_센터],F4897)))</f>
        <v/>
      </c>
      <c r="F4897" t="str">
        <f>IFERROR(INDEX(tbl_input[집계키_센터],ROW()-1),"")</f>
        <v/>
      </c>
      <c r="G4897" t="str">
        <f t="shared" si="536"/>
        <v/>
      </c>
      <c r="H4897" t="str">
        <f t="shared" si="537"/>
        <v/>
      </c>
      <c r="I4897" t="str">
        <f t="shared" si="538"/>
        <v/>
      </c>
    </row>
    <row r="4898" spans="1:9" x14ac:dyDescent="0.4">
      <c r="A4898" t="str">
        <f t="shared" si="532"/>
        <v/>
      </c>
      <c r="B4898" t="str">
        <f t="shared" si="533"/>
        <v/>
      </c>
      <c r="C4898" t="str">
        <f t="shared" si="534"/>
        <v/>
      </c>
      <c r="D4898" t="str">
        <f t="shared" si="535"/>
        <v/>
      </c>
      <c r="E4898" t="str">
        <f>IF(F4898="","",IF(COUNTIF($F$2:F4898,F4898)&gt;1,"",SUMIFS(tbl_input[필요수량],tbl_input[집계키_센터],F4898)))</f>
        <v/>
      </c>
      <c r="F4898" t="str">
        <f>IFERROR(INDEX(tbl_input[집계키_센터],ROW()-1),"")</f>
        <v/>
      </c>
      <c r="G4898" t="str">
        <f t="shared" si="536"/>
        <v/>
      </c>
      <c r="H4898" t="str">
        <f t="shared" si="537"/>
        <v/>
      </c>
      <c r="I4898" t="str">
        <f t="shared" si="538"/>
        <v/>
      </c>
    </row>
    <row r="4899" spans="1:9" x14ac:dyDescent="0.4">
      <c r="A4899" t="str">
        <f t="shared" si="532"/>
        <v/>
      </c>
      <c r="B4899" t="str">
        <f t="shared" si="533"/>
        <v/>
      </c>
      <c r="C4899" t="str">
        <f t="shared" si="534"/>
        <v/>
      </c>
      <c r="D4899" t="str">
        <f t="shared" si="535"/>
        <v/>
      </c>
      <c r="E4899" t="str">
        <f>IF(F4899="","",IF(COUNTIF($F$2:F4899,F4899)&gt;1,"",SUMIFS(tbl_input[필요수량],tbl_input[집계키_센터],F4899)))</f>
        <v/>
      </c>
      <c r="F4899" t="str">
        <f>IFERROR(INDEX(tbl_input[집계키_센터],ROW()-1),"")</f>
        <v/>
      </c>
      <c r="G4899" t="str">
        <f t="shared" si="536"/>
        <v/>
      </c>
      <c r="H4899" t="str">
        <f t="shared" si="537"/>
        <v/>
      </c>
      <c r="I4899" t="str">
        <f t="shared" si="538"/>
        <v/>
      </c>
    </row>
    <row r="4900" spans="1:9" x14ac:dyDescent="0.4">
      <c r="A4900" t="str">
        <f t="shared" si="532"/>
        <v/>
      </c>
      <c r="B4900" t="str">
        <f t="shared" si="533"/>
        <v/>
      </c>
      <c r="C4900" t="str">
        <f t="shared" si="534"/>
        <v/>
      </c>
      <c r="D4900" t="str">
        <f t="shared" si="535"/>
        <v/>
      </c>
      <c r="E4900" t="str">
        <f>IF(F4900="","",IF(COUNTIF($F$2:F4900,F4900)&gt;1,"",SUMIFS(tbl_input[필요수량],tbl_input[집계키_센터],F4900)))</f>
        <v/>
      </c>
      <c r="F4900" t="str">
        <f>IFERROR(INDEX(tbl_input[집계키_센터],ROW()-1),"")</f>
        <v/>
      </c>
      <c r="G4900" t="str">
        <f t="shared" si="536"/>
        <v/>
      </c>
      <c r="H4900" t="str">
        <f t="shared" si="537"/>
        <v/>
      </c>
      <c r="I4900" t="str">
        <f t="shared" si="538"/>
        <v/>
      </c>
    </row>
    <row r="4901" spans="1:9" x14ac:dyDescent="0.4">
      <c r="A4901" t="str">
        <f t="shared" si="532"/>
        <v/>
      </c>
      <c r="B4901" t="str">
        <f t="shared" si="533"/>
        <v/>
      </c>
      <c r="C4901" t="str">
        <f t="shared" si="534"/>
        <v/>
      </c>
      <c r="D4901" t="str">
        <f t="shared" si="535"/>
        <v/>
      </c>
      <c r="E4901" t="str">
        <f>IF(F4901="","",IF(COUNTIF($F$2:F4901,F4901)&gt;1,"",SUMIFS(tbl_input[필요수량],tbl_input[집계키_센터],F4901)))</f>
        <v/>
      </c>
      <c r="F4901" t="str">
        <f>IFERROR(INDEX(tbl_input[집계키_센터],ROW()-1),"")</f>
        <v/>
      </c>
      <c r="G4901" t="str">
        <f t="shared" si="536"/>
        <v/>
      </c>
      <c r="H4901" t="str">
        <f t="shared" si="537"/>
        <v/>
      </c>
      <c r="I4901" t="str">
        <f t="shared" si="538"/>
        <v/>
      </c>
    </row>
    <row r="4902" spans="1:9" x14ac:dyDescent="0.4">
      <c r="A4902" t="str">
        <f t="shared" si="532"/>
        <v/>
      </c>
      <c r="B4902" t="str">
        <f t="shared" si="533"/>
        <v/>
      </c>
      <c r="C4902" t="str">
        <f t="shared" si="534"/>
        <v/>
      </c>
      <c r="D4902" t="str">
        <f t="shared" si="535"/>
        <v/>
      </c>
      <c r="E4902" t="str">
        <f>IF(F4902="","",IF(COUNTIF($F$2:F4902,F4902)&gt;1,"",SUMIFS(tbl_input[필요수량],tbl_input[집계키_센터],F4902)))</f>
        <v/>
      </c>
      <c r="F4902" t="str">
        <f>IFERROR(INDEX(tbl_input[집계키_센터],ROW()-1),"")</f>
        <v/>
      </c>
      <c r="G4902" t="str">
        <f t="shared" si="536"/>
        <v/>
      </c>
      <c r="H4902" t="str">
        <f t="shared" si="537"/>
        <v/>
      </c>
      <c r="I4902" t="str">
        <f t="shared" si="538"/>
        <v/>
      </c>
    </row>
    <row r="4903" spans="1:9" x14ac:dyDescent="0.4">
      <c r="A4903" t="str">
        <f t="shared" si="532"/>
        <v/>
      </c>
      <c r="B4903" t="str">
        <f t="shared" si="533"/>
        <v/>
      </c>
      <c r="C4903" t="str">
        <f t="shared" si="534"/>
        <v/>
      </c>
      <c r="D4903" t="str">
        <f t="shared" si="535"/>
        <v/>
      </c>
      <c r="E4903" t="str">
        <f>IF(F4903="","",IF(COUNTIF($F$2:F4903,F4903)&gt;1,"",SUMIFS(tbl_input[필요수량],tbl_input[집계키_센터],F4903)))</f>
        <v/>
      </c>
      <c r="F4903" t="str">
        <f>IFERROR(INDEX(tbl_input[집계키_센터],ROW()-1),"")</f>
        <v/>
      </c>
      <c r="G4903" t="str">
        <f t="shared" si="536"/>
        <v/>
      </c>
      <c r="H4903" t="str">
        <f t="shared" si="537"/>
        <v/>
      </c>
      <c r="I4903" t="str">
        <f t="shared" si="538"/>
        <v/>
      </c>
    </row>
    <row r="4904" spans="1:9" x14ac:dyDescent="0.4">
      <c r="A4904" t="str">
        <f t="shared" si="532"/>
        <v/>
      </c>
      <c r="B4904" t="str">
        <f t="shared" si="533"/>
        <v/>
      </c>
      <c r="C4904" t="str">
        <f t="shared" si="534"/>
        <v/>
      </c>
      <c r="D4904" t="str">
        <f t="shared" si="535"/>
        <v/>
      </c>
      <c r="E4904" t="str">
        <f>IF(F4904="","",IF(COUNTIF($F$2:F4904,F4904)&gt;1,"",SUMIFS(tbl_input[필요수량],tbl_input[집계키_센터],F4904)))</f>
        <v/>
      </c>
      <c r="F4904" t="str">
        <f>IFERROR(INDEX(tbl_input[집계키_센터],ROW()-1),"")</f>
        <v/>
      </c>
      <c r="G4904" t="str">
        <f t="shared" si="536"/>
        <v/>
      </c>
      <c r="H4904" t="str">
        <f t="shared" si="537"/>
        <v/>
      </c>
      <c r="I4904" t="str">
        <f t="shared" si="538"/>
        <v/>
      </c>
    </row>
    <row r="4905" spans="1:9" x14ac:dyDescent="0.4">
      <c r="A4905" t="str">
        <f t="shared" si="532"/>
        <v/>
      </c>
      <c r="B4905" t="str">
        <f t="shared" si="533"/>
        <v/>
      </c>
      <c r="C4905" t="str">
        <f t="shared" si="534"/>
        <v/>
      </c>
      <c r="D4905" t="str">
        <f t="shared" si="535"/>
        <v/>
      </c>
      <c r="E4905" t="str">
        <f>IF(F4905="","",IF(COUNTIF($F$2:F4905,F4905)&gt;1,"",SUMIFS(tbl_input[필요수량],tbl_input[집계키_센터],F4905)))</f>
        <v/>
      </c>
      <c r="F4905" t="str">
        <f>IFERROR(INDEX(tbl_input[집계키_센터],ROW()-1),"")</f>
        <v/>
      </c>
      <c r="G4905" t="str">
        <f t="shared" si="536"/>
        <v/>
      </c>
      <c r="H4905" t="str">
        <f t="shared" si="537"/>
        <v/>
      </c>
      <c r="I4905" t="str">
        <f t="shared" si="538"/>
        <v/>
      </c>
    </row>
    <row r="4906" spans="1:9" x14ac:dyDescent="0.4">
      <c r="A4906" t="str">
        <f t="shared" si="532"/>
        <v/>
      </c>
      <c r="B4906" t="str">
        <f t="shared" si="533"/>
        <v/>
      </c>
      <c r="C4906" t="str">
        <f t="shared" si="534"/>
        <v/>
      </c>
      <c r="D4906" t="str">
        <f t="shared" si="535"/>
        <v/>
      </c>
      <c r="E4906" t="str">
        <f>IF(F4906="","",IF(COUNTIF($F$2:F4906,F4906)&gt;1,"",SUMIFS(tbl_input[필요수량],tbl_input[집계키_센터],F4906)))</f>
        <v/>
      </c>
      <c r="F4906" t="str">
        <f>IFERROR(INDEX(tbl_input[집계키_센터],ROW()-1),"")</f>
        <v/>
      </c>
      <c r="G4906" t="str">
        <f t="shared" si="536"/>
        <v/>
      </c>
      <c r="H4906" t="str">
        <f t="shared" si="537"/>
        <v/>
      </c>
      <c r="I4906" t="str">
        <f t="shared" si="538"/>
        <v/>
      </c>
    </row>
    <row r="4907" spans="1:9" x14ac:dyDescent="0.4">
      <c r="A4907" t="str">
        <f t="shared" si="532"/>
        <v/>
      </c>
      <c r="B4907" t="str">
        <f t="shared" si="533"/>
        <v/>
      </c>
      <c r="C4907" t="str">
        <f t="shared" si="534"/>
        <v/>
      </c>
      <c r="D4907" t="str">
        <f t="shared" si="535"/>
        <v/>
      </c>
      <c r="E4907" t="str">
        <f>IF(F4907="","",IF(COUNTIF($F$2:F4907,F4907)&gt;1,"",SUMIFS(tbl_input[필요수량],tbl_input[집계키_센터],F4907)))</f>
        <v/>
      </c>
      <c r="F4907" t="str">
        <f>IFERROR(INDEX(tbl_input[집계키_센터],ROW()-1),"")</f>
        <v/>
      </c>
      <c r="G4907" t="str">
        <f t="shared" si="536"/>
        <v/>
      </c>
      <c r="H4907" t="str">
        <f t="shared" si="537"/>
        <v/>
      </c>
      <c r="I4907" t="str">
        <f t="shared" si="538"/>
        <v/>
      </c>
    </row>
    <row r="4908" spans="1:9" x14ac:dyDescent="0.4">
      <c r="A4908" t="str">
        <f t="shared" si="532"/>
        <v/>
      </c>
      <c r="B4908" t="str">
        <f t="shared" si="533"/>
        <v/>
      </c>
      <c r="C4908" t="str">
        <f t="shared" si="534"/>
        <v/>
      </c>
      <c r="D4908" t="str">
        <f t="shared" si="535"/>
        <v/>
      </c>
      <c r="E4908" t="str">
        <f>IF(F4908="","",IF(COUNTIF($F$2:F4908,F4908)&gt;1,"",SUMIFS(tbl_input[필요수량],tbl_input[집계키_센터],F4908)))</f>
        <v/>
      </c>
      <c r="F4908" t="str">
        <f>IFERROR(INDEX(tbl_input[집계키_센터],ROW()-1),"")</f>
        <v/>
      </c>
      <c r="G4908" t="str">
        <f t="shared" si="536"/>
        <v/>
      </c>
      <c r="H4908" t="str">
        <f t="shared" si="537"/>
        <v/>
      </c>
      <c r="I4908" t="str">
        <f t="shared" si="538"/>
        <v/>
      </c>
    </row>
    <row r="4909" spans="1:9" x14ac:dyDescent="0.4">
      <c r="A4909" t="str">
        <f t="shared" si="532"/>
        <v/>
      </c>
      <c r="B4909" t="str">
        <f t="shared" si="533"/>
        <v/>
      </c>
      <c r="C4909" t="str">
        <f t="shared" si="534"/>
        <v/>
      </c>
      <c r="D4909" t="str">
        <f t="shared" si="535"/>
        <v/>
      </c>
      <c r="E4909" t="str">
        <f>IF(F4909="","",IF(COUNTIF($F$2:F4909,F4909)&gt;1,"",SUMIFS(tbl_input[필요수량],tbl_input[집계키_센터],F4909)))</f>
        <v/>
      </c>
      <c r="F4909" t="str">
        <f>IFERROR(INDEX(tbl_input[집계키_센터],ROW()-1),"")</f>
        <v/>
      </c>
      <c r="G4909" t="str">
        <f t="shared" si="536"/>
        <v/>
      </c>
      <c r="H4909" t="str">
        <f t="shared" si="537"/>
        <v/>
      </c>
      <c r="I4909" t="str">
        <f t="shared" si="538"/>
        <v/>
      </c>
    </row>
    <row r="4910" spans="1:9" x14ac:dyDescent="0.4">
      <c r="A4910" t="str">
        <f t="shared" si="532"/>
        <v/>
      </c>
      <c r="B4910" t="str">
        <f t="shared" si="533"/>
        <v/>
      </c>
      <c r="C4910" t="str">
        <f t="shared" si="534"/>
        <v/>
      </c>
      <c r="D4910" t="str">
        <f t="shared" si="535"/>
        <v/>
      </c>
      <c r="E4910" t="str">
        <f>IF(F4910="","",IF(COUNTIF($F$2:F4910,F4910)&gt;1,"",SUMIFS(tbl_input[필요수량],tbl_input[집계키_센터],F4910)))</f>
        <v/>
      </c>
      <c r="F4910" t="str">
        <f>IFERROR(INDEX(tbl_input[집계키_센터],ROW()-1),"")</f>
        <v/>
      </c>
      <c r="G4910" t="str">
        <f t="shared" si="536"/>
        <v/>
      </c>
      <c r="H4910" t="str">
        <f t="shared" si="537"/>
        <v/>
      </c>
      <c r="I4910" t="str">
        <f t="shared" si="538"/>
        <v/>
      </c>
    </row>
    <row r="4911" spans="1:9" x14ac:dyDescent="0.4">
      <c r="A4911" t="str">
        <f t="shared" si="532"/>
        <v/>
      </c>
      <c r="B4911" t="str">
        <f t="shared" si="533"/>
        <v/>
      </c>
      <c r="C4911" t="str">
        <f t="shared" si="534"/>
        <v/>
      </c>
      <c r="D4911" t="str">
        <f t="shared" si="535"/>
        <v/>
      </c>
      <c r="E4911" t="str">
        <f>IF(F4911="","",IF(COUNTIF($F$2:F4911,F4911)&gt;1,"",SUMIFS(tbl_input[필요수량],tbl_input[집계키_센터],F4911)))</f>
        <v/>
      </c>
      <c r="F4911" t="str">
        <f>IFERROR(INDEX(tbl_input[집계키_센터],ROW()-1),"")</f>
        <v/>
      </c>
      <c r="G4911" t="str">
        <f t="shared" si="536"/>
        <v/>
      </c>
      <c r="H4911" t="str">
        <f t="shared" si="537"/>
        <v/>
      </c>
      <c r="I4911" t="str">
        <f t="shared" si="538"/>
        <v/>
      </c>
    </row>
    <row r="4912" spans="1:9" x14ac:dyDescent="0.4">
      <c r="A4912" t="str">
        <f t="shared" si="532"/>
        <v/>
      </c>
      <c r="B4912" t="str">
        <f t="shared" si="533"/>
        <v/>
      </c>
      <c r="C4912" t="str">
        <f t="shared" si="534"/>
        <v/>
      </c>
      <c r="D4912" t="str">
        <f t="shared" si="535"/>
        <v/>
      </c>
      <c r="E4912" t="str">
        <f>IF(F4912="","",IF(COUNTIF($F$2:F4912,F4912)&gt;1,"",SUMIFS(tbl_input[필요수량],tbl_input[집계키_센터],F4912)))</f>
        <v/>
      </c>
      <c r="F4912" t="str">
        <f>IFERROR(INDEX(tbl_input[집계키_센터],ROW()-1),"")</f>
        <v/>
      </c>
      <c r="G4912" t="str">
        <f t="shared" si="536"/>
        <v/>
      </c>
      <c r="H4912" t="str">
        <f t="shared" si="537"/>
        <v/>
      </c>
      <c r="I4912" t="str">
        <f t="shared" si="538"/>
        <v/>
      </c>
    </row>
    <row r="4913" spans="1:9" x14ac:dyDescent="0.4">
      <c r="A4913" t="str">
        <f t="shared" si="532"/>
        <v/>
      </c>
      <c r="B4913" t="str">
        <f t="shared" si="533"/>
        <v/>
      </c>
      <c r="C4913" t="str">
        <f t="shared" si="534"/>
        <v/>
      </c>
      <c r="D4913" t="str">
        <f t="shared" si="535"/>
        <v/>
      </c>
      <c r="E4913" t="str">
        <f>IF(F4913="","",IF(COUNTIF($F$2:F4913,F4913)&gt;1,"",SUMIFS(tbl_input[필요수량],tbl_input[집계키_센터],F4913)))</f>
        <v/>
      </c>
      <c r="F4913" t="str">
        <f>IFERROR(INDEX(tbl_input[집계키_센터],ROW()-1),"")</f>
        <v/>
      </c>
      <c r="G4913" t="str">
        <f t="shared" si="536"/>
        <v/>
      </c>
      <c r="H4913" t="str">
        <f t="shared" si="537"/>
        <v/>
      </c>
      <c r="I4913" t="str">
        <f t="shared" si="538"/>
        <v/>
      </c>
    </row>
    <row r="4914" spans="1:9" x14ac:dyDescent="0.4">
      <c r="A4914" t="str">
        <f t="shared" si="532"/>
        <v/>
      </c>
      <c r="B4914" t="str">
        <f t="shared" si="533"/>
        <v/>
      </c>
      <c r="C4914" t="str">
        <f t="shared" si="534"/>
        <v/>
      </c>
      <c r="D4914" t="str">
        <f t="shared" si="535"/>
        <v/>
      </c>
      <c r="E4914" t="str">
        <f>IF(F4914="","",IF(COUNTIF($F$2:F4914,F4914)&gt;1,"",SUMIFS(tbl_input[필요수량],tbl_input[집계키_센터],F4914)))</f>
        <v/>
      </c>
      <c r="F4914" t="str">
        <f>IFERROR(INDEX(tbl_input[집계키_센터],ROW()-1),"")</f>
        <v/>
      </c>
      <c r="G4914" t="str">
        <f t="shared" si="536"/>
        <v/>
      </c>
      <c r="H4914" t="str">
        <f t="shared" si="537"/>
        <v/>
      </c>
      <c r="I4914" t="str">
        <f t="shared" si="538"/>
        <v/>
      </c>
    </row>
    <row r="4915" spans="1:9" x14ac:dyDescent="0.4">
      <c r="A4915" t="str">
        <f t="shared" si="532"/>
        <v/>
      </c>
      <c r="B4915" t="str">
        <f t="shared" si="533"/>
        <v/>
      </c>
      <c r="C4915" t="str">
        <f t="shared" si="534"/>
        <v/>
      </c>
      <c r="D4915" t="str">
        <f t="shared" si="535"/>
        <v/>
      </c>
      <c r="E4915" t="str">
        <f>IF(F4915="","",IF(COUNTIF($F$2:F4915,F4915)&gt;1,"",SUMIFS(tbl_input[필요수량],tbl_input[집계키_센터],F4915)))</f>
        <v/>
      </c>
      <c r="F4915" t="str">
        <f>IFERROR(INDEX(tbl_input[집계키_센터],ROW()-1),"")</f>
        <v/>
      </c>
      <c r="G4915" t="str">
        <f t="shared" si="536"/>
        <v/>
      </c>
      <c r="H4915" t="str">
        <f t="shared" si="537"/>
        <v/>
      </c>
      <c r="I4915" t="str">
        <f t="shared" si="538"/>
        <v/>
      </c>
    </row>
    <row r="4916" spans="1:9" x14ac:dyDescent="0.4">
      <c r="A4916" t="str">
        <f t="shared" si="532"/>
        <v/>
      </c>
      <c r="B4916" t="str">
        <f t="shared" si="533"/>
        <v/>
      </c>
      <c r="C4916" t="str">
        <f t="shared" si="534"/>
        <v/>
      </c>
      <c r="D4916" t="str">
        <f t="shared" si="535"/>
        <v/>
      </c>
      <c r="E4916" t="str">
        <f>IF(F4916="","",IF(COUNTIF($F$2:F4916,F4916)&gt;1,"",SUMIFS(tbl_input[필요수량],tbl_input[집계키_센터],F4916)))</f>
        <v/>
      </c>
      <c r="F4916" t="str">
        <f>IFERROR(INDEX(tbl_input[집계키_센터],ROW()-1),"")</f>
        <v/>
      </c>
      <c r="G4916" t="str">
        <f t="shared" si="536"/>
        <v/>
      </c>
      <c r="H4916" t="str">
        <f t="shared" si="537"/>
        <v/>
      </c>
      <c r="I4916" t="str">
        <f t="shared" si="538"/>
        <v/>
      </c>
    </row>
    <row r="4917" spans="1:9" x14ac:dyDescent="0.4">
      <c r="A4917" t="str">
        <f t="shared" si="532"/>
        <v/>
      </c>
      <c r="B4917" t="str">
        <f t="shared" si="533"/>
        <v/>
      </c>
      <c r="C4917" t="str">
        <f t="shared" si="534"/>
        <v/>
      </c>
      <c r="D4917" t="str">
        <f t="shared" si="535"/>
        <v/>
      </c>
      <c r="E4917" t="str">
        <f>IF(F4917="","",IF(COUNTIF($F$2:F4917,F4917)&gt;1,"",SUMIFS(tbl_input[필요수량],tbl_input[집계키_센터],F4917)))</f>
        <v/>
      </c>
      <c r="F4917" t="str">
        <f>IFERROR(INDEX(tbl_input[집계키_센터],ROW()-1),"")</f>
        <v/>
      </c>
      <c r="G4917" t="str">
        <f t="shared" si="536"/>
        <v/>
      </c>
      <c r="H4917" t="str">
        <f t="shared" si="537"/>
        <v/>
      </c>
      <c r="I4917" t="str">
        <f t="shared" si="538"/>
        <v/>
      </c>
    </row>
    <row r="4918" spans="1:9" x14ac:dyDescent="0.4">
      <c r="A4918" t="str">
        <f t="shared" si="532"/>
        <v/>
      </c>
      <c r="B4918" t="str">
        <f t="shared" si="533"/>
        <v/>
      </c>
      <c r="C4918" t="str">
        <f t="shared" si="534"/>
        <v/>
      </c>
      <c r="D4918" t="str">
        <f t="shared" si="535"/>
        <v/>
      </c>
      <c r="E4918" t="str">
        <f>IF(F4918="","",IF(COUNTIF($F$2:F4918,F4918)&gt;1,"",SUMIFS(tbl_input[필요수량],tbl_input[집계키_센터],F4918)))</f>
        <v/>
      </c>
      <c r="F4918" t="str">
        <f>IFERROR(INDEX(tbl_input[집계키_센터],ROW()-1),"")</f>
        <v/>
      </c>
      <c r="G4918" t="str">
        <f t="shared" si="536"/>
        <v/>
      </c>
      <c r="H4918" t="str">
        <f t="shared" si="537"/>
        <v/>
      </c>
      <c r="I4918" t="str">
        <f t="shared" si="538"/>
        <v/>
      </c>
    </row>
    <row r="4919" spans="1:9" x14ac:dyDescent="0.4">
      <c r="A4919" t="str">
        <f t="shared" si="532"/>
        <v/>
      </c>
      <c r="B4919" t="str">
        <f t="shared" si="533"/>
        <v/>
      </c>
      <c r="C4919" t="str">
        <f t="shared" si="534"/>
        <v/>
      </c>
      <c r="D4919" t="str">
        <f t="shared" si="535"/>
        <v/>
      </c>
      <c r="E4919" t="str">
        <f>IF(F4919="","",IF(COUNTIF($F$2:F4919,F4919)&gt;1,"",SUMIFS(tbl_input[필요수량],tbl_input[집계키_센터],F4919)))</f>
        <v/>
      </c>
      <c r="F4919" t="str">
        <f>IFERROR(INDEX(tbl_input[집계키_센터],ROW()-1),"")</f>
        <v/>
      </c>
      <c r="G4919" t="str">
        <f t="shared" si="536"/>
        <v/>
      </c>
      <c r="H4919" t="str">
        <f t="shared" si="537"/>
        <v/>
      </c>
      <c r="I4919" t="str">
        <f t="shared" si="538"/>
        <v/>
      </c>
    </row>
    <row r="4920" spans="1:9" x14ac:dyDescent="0.4">
      <c r="A4920" t="str">
        <f t="shared" si="532"/>
        <v/>
      </c>
      <c r="B4920" t="str">
        <f t="shared" si="533"/>
        <v/>
      </c>
      <c r="C4920" t="str">
        <f t="shared" si="534"/>
        <v/>
      </c>
      <c r="D4920" t="str">
        <f t="shared" si="535"/>
        <v/>
      </c>
      <c r="E4920" t="str">
        <f>IF(F4920="","",IF(COUNTIF($F$2:F4920,F4920)&gt;1,"",SUMIFS(tbl_input[필요수량],tbl_input[집계키_센터],F4920)))</f>
        <v/>
      </c>
      <c r="F4920" t="str">
        <f>IFERROR(INDEX(tbl_input[집계키_센터],ROW()-1),"")</f>
        <v/>
      </c>
      <c r="G4920" t="str">
        <f t="shared" si="536"/>
        <v/>
      </c>
      <c r="H4920" t="str">
        <f t="shared" si="537"/>
        <v/>
      </c>
      <c r="I4920" t="str">
        <f t="shared" si="538"/>
        <v/>
      </c>
    </row>
    <row r="4921" spans="1:9" x14ac:dyDescent="0.4">
      <c r="A4921" t="str">
        <f t="shared" si="532"/>
        <v/>
      </c>
      <c r="B4921" t="str">
        <f t="shared" si="533"/>
        <v/>
      </c>
      <c r="C4921" t="str">
        <f t="shared" si="534"/>
        <v/>
      </c>
      <c r="D4921" t="str">
        <f t="shared" si="535"/>
        <v/>
      </c>
      <c r="E4921" t="str">
        <f>IF(F4921="","",IF(COUNTIF($F$2:F4921,F4921)&gt;1,"",SUMIFS(tbl_input[필요수량],tbl_input[집계키_센터],F4921)))</f>
        <v/>
      </c>
      <c r="F4921" t="str">
        <f>IFERROR(INDEX(tbl_input[집계키_센터],ROW()-1),"")</f>
        <v/>
      </c>
      <c r="G4921" t="str">
        <f t="shared" si="536"/>
        <v/>
      </c>
      <c r="H4921" t="str">
        <f t="shared" si="537"/>
        <v/>
      </c>
      <c r="I4921" t="str">
        <f t="shared" si="538"/>
        <v/>
      </c>
    </row>
    <row r="4922" spans="1:9" x14ac:dyDescent="0.4">
      <c r="A4922" t="str">
        <f t="shared" si="532"/>
        <v/>
      </c>
      <c r="B4922" t="str">
        <f t="shared" si="533"/>
        <v/>
      </c>
      <c r="C4922" t="str">
        <f t="shared" si="534"/>
        <v/>
      </c>
      <c r="D4922" t="str">
        <f t="shared" si="535"/>
        <v/>
      </c>
      <c r="E4922" t="str">
        <f>IF(F4922="","",IF(COUNTIF($F$2:F4922,F4922)&gt;1,"",SUMIFS(tbl_input[필요수량],tbl_input[집계키_센터],F4922)))</f>
        <v/>
      </c>
      <c r="F4922" t="str">
        <f>IFERROR(INDEX(tbl_input[집계키_센터],ROW()-1),"")</f>
        <v/>
      </c>
      <c r="G4922" t="str">
        <f t="shared" si="536"/>
        <v/>
      </c>
      <c r="H4922" t="str">
        <f t="shared" si="537"/>
        <v/>
      </c>
      <c r="I4922" t="str">
        <f t="shared" si="538"/>
        <v/>
      </c>
    </row>
    <row r="4923" spans="1:9" x14ac:dyDescent="0.4">
      <c r="A4923" t="str">
        <f t="shared" si="532"/>
        <v/>
      </c>
      <c r="B4923" t="str">
        <f t="shared" si="533"/>
        <v/>
      </c>
      <c r="C4923" t="str">
        <f t="shared" si="534"/>
        <v/>
      </c>
      <c r="D4923" t="str">
        <f t="shared" si="535"/>
        <v/>
      </c>
      <c r="E4923" t="str">
        <f>IF(F4923="","",IF(COUNTIF($F$2:F4923,F4923)&gt;1,"",SUMIFS(tbl_input[필요수량],tbl_input[집계키_센터],F4923)))</f>
        <v/>
      </c>
      <c r="F4923" t="str">
        <f>IFERROR(INDEX(tbl_input[집계키_센터],ROW()-1),"")</f>
        <v/>
      </c>
      <c r="G4923" t="str">
        <f t="shared" si="536"/>
        <v/>
      </c>
      <c r="H4923" t="str">
        <f t="shared" si="537"/>
        <v/>
      </c>
      <c r="I4923" t="str">
        <f t="shared" si="538"/>
        <v/>
      </c>
    </row>
    <row r="4924" spans="1:9" x14ac:dyDescent="0.4">
      <c r="A4924" t="str">
        <f t="shared" si="532"/>
        <v/>
      </c>
      <c r="B4924" t="str">
        <f t="shared" si="533"/>
        <v/>
      </c>
      <c r="C4924" t="str">
        <f t="shared" si="534"/>
        <v/>
      </c>
      <c r="D4924" t="str">
        <f t="shared" si="535"/>
        <v/>
      </c>
      <c r="E4924" t="str">
        <f>IF(F4924="","",IF(COUNTIF($F$2:F4924,F4924)&gt;1,"",SUMIFS(tbl_input[필요수량],tbl_input[집계키_센터],F4924)))</f>
        <v/>
      </c>
      <c r="F4924" t="str">
        <f>IFERROR(INDEX(tbl_input[집계키_센터],ROW()-1),"")</f>
        <v/>
      </c>
      <c r="G4924" t="str">
        <f t="shared" si="536"/>
        <v/>
      </c>
      <c r="H4924" t="str">
        <f t="shared" si="537"/>
        <v/>
      </c>
      <c r="I4924" t="str">
        <f t="shared" si="538"/>
        <v/>
      </c>
    </row>
    <row r="4925" spans="1:9" x14ac:dyDescent="0.4">
      <c r="A4925" t="str">
        <f t="shared" si="532"/>
        <v/>
      </c>
      <c r="B4925" t="str">
        <f t="shared" si="533"/>
        <v/>
      </c>
      <c r="C4925" t="str">
        <f t="shared" si="534"/>
        <v/>
      </c>
      <c r="D4925" t="str">
        <f t="shared" si="535"/>
        <v/>
      </c>
      <c r="E4925" t="str">
        <f>IF(F4925="","",IF(COUNTIF($F$2:F4925,F4925)&gt;1,"",SUMIFS(tbl_input[필요수량],tbl_input[집계키_센터],F4925)))</f>
        <v/>
      </c>
      <c r="F4925" t="str">
        <f>IFERROR(INDEX(tbl_input[집계키_센터],ROW()-1),"")</f>
        <v/>
      </c>
      <c r="G4925" t="str">
        <f t="shared" si="536"/>
        <v/>
      </c>
      <c r="H4925" t="str">
        <f t="shared" si="537"/>
        <v/>
      </c>
      <c r="I4925" t="str">
        <f t="shared" si="538"/>
        <v/>
      </c>
    </row>
    <row r="4926" spans="1:9" x14ac:dyDescent="0.4">
      <c r="A4926" t="str">
        <f t="shared" si="532"/>
        <v/>
      </c>
      <c r="B4926" t="str">
        <f t="shared" si="533"/>
        <v/>
      </c>
      <c r="C4926" t="str">
        <f t="shared" si="534"/>
        <v/>
      </c>
      <c r="D4926" t="str">
        <f t="shared" si="535"/>
        <v/>
      </c>
      <c r="E4926" t="str">
        <f>IF(F4926="","",IF(COUNTIF($F$2:F4926,F4926)&gt;1,"",SUMIFS(tbl_input[필요수량],tbl_input[집계키_센터],F4926)))</f>
        <v/>
      </c>
      <c r="F4926" t="str">
        <f>IFERROR(INDEX(tbl_input[집계키_센터],ROW()-1),"")</f>
        <v/>
      </c>
      <c r="G4926" t="str">
        <f t="shared" si="536"/>
        <v/>
      </c>
      <c r="H4926" t="str">
        <f t="shared" si="537"/>
        <v/>
      </c>
      <c r="I4926" t="str">
        <f t="shared" si="538"/>
        <v/>
      </c>
    </row>
    <row r="4927" spans="1:9" x14ac:dyDescent="0.4">
      <c r="A4927" t="str">
        <f t="shared" si="532"/>
        <v/>
      </c>
      <c r="B4927" t="str">
        <f t="shared" si="533"/>
        <v/>
      </c>
      <c r="C4927" t="str">
        <f t="shared" si="534"/>
        <v/>
      </c>
      <c r="D4927" t="str">
        <f t="shared" si="535"/>
        <v/>
      </c>
      <c r="E4927" t="str">
        <f>IF(F4927="","",IF(COUNTIF($F$2:F4927,F4927)&gt;1,"",SUMIFS(tbl_input[필요수량],tbl_input[집계키_센터],F4927)))</f>
        <v/>
      </c>
      <c r="F4927" t="str">
        <f>IFERROR(INDEX(tbl_input[집계키_센터],ROW()-1),"")</f>
        <v/>
      </c>
      <c r="G4927" t="str">
        <f t="shared" si="536"/>
        <v/>
      </c>
      <c r="H4927" t="str">
        <f t="shared" si="537"/>
        <v/>
      </c>
      <c r="I4927" t="str">
        <f t="shared" si="538"/>
        <v/>
      </c>
    </row>
    <row r="4928" spans="1:9" x14ac:dyDescent="0.4">
      <c r="A4928" t="str">
        <f t="shared" si="532"/>
        <v/>
      </c>
      <c r="B4928" t="str">
        <f t="shared" si="533"/>
        <v/>
      </c>
      <c r="C4928" t="str">
        <f t="shared" si="534"/>
        <v/>
      </c>
      <c r="D4928" t="str">
        <f t="shared" si="535"/>
        <v/>
      </c>
      <c r="E4928" t="str">
        <f>IF(F4928="","",IF(COUNTIF($F$2:F4928,F4928)&gt;1,"",SUMIFS(tbl_input[필요수량],tbl_input[집계키_센터],F4928)))</f>
        <v/>
      </c>
      <c r="F4928" t="str">
        <f>IFERROR(INDEX(tbl_input[집계키_센터],ROW()-1),"")</f>
        <v/>
      </c>
      <c r="G4928" t="str">
        <f t="shared" si="536"/>
        <v/>
      </c>
      <c r="H4928" t="str">
        <f t="shared" si="537"/>
        <v/>
      </c>
      <c r="I4928" t="str">
        <f t="shared" si="538"/>
        <v/>
      </c>
    </row>
    <row r="4929" spans="1:9" x14ac:dyDescent="0.4">
      <c r="A4929" t="str">
        <f t="shared" si="532"/>
        <v/>
      </c>
      <c r="B4929" t="str">
        <f t="shared" si="533"/>
        <v/>
      </c>
      <c r="C4929" t="str">
        <f t="shared" si="534"/>
        <v/>
      </c>
      <c r="D4929" t="str">
        <f t="shared" si="535"/>
        <v/>
      </c>
      <c r="E4929" t="str">
        <f>IF(F4929="","",IF(COUNTIF($F$2:F4929,F4929)&gt;1,"",SUMIFS(tbl_input[필요수량],tbl_input[집계키_센터],F4929)))</f>
        <v/>
      </c>
      <c r="F4929" t="str">
        <f>IFERROR(INDEX(tbl_input[집계키_센터],ROW()-1),"")</f>
        <v/>
      </c>
      <c r="G4929" t="str">
        <f t="shared" si="536"/>
        <v/>
      </c>
      <c r="H4929" t="str">
        <f t="shared" si="537"/>
        <v/>
      </c>
      <c r="I4929" t="str">
        <f t="shared" si="538"/>
        <v/>
      </c>
    </row>
    <row r="4930" spans="1:9" x14ac:dyDescent="0.4">
      <c r="A4930" t="str">
        <f t="shared" ref="A4930:A4993" si="539">IF(F4930="","",LEFT(F4930,G4930-1))</f>
        <v/>
      </c>
      <c r="B4930" t="str">
        <f t="shared" ref="B4930:B4993" si="540">IF(F4930="","",MID(F4930,G4930+1,H4930-G4930-1))</f>
        <v/>
      </c>
      <c r="C4930" t="str">
        <f t="shared" ref="C4930:C4993" si="541">IF(F4930="","",MID(F4930,H4930+1,I4930-H4930-1))</f>
        <v/>
      </c>
      <c r="D4930" t="str">
        <f t="shared" ref="D4930:D4993" si="542">IF(F4930="","",MID(F4930,I4930+1,999))</f>
        <v/>
      </c>
      <c r="E4930" t="str">
        <f>IF(F4930="","",IF(COUNTIF($F$2:F4930,F4930)&gt;1,"",SUMIFS(tbl_input[필요수량],tbl_input[집계키_센터],F4930)))</f>
        <v/>
      </c>
      <c r="F4930" t="str">
        <f>IFERROR(INDEX(tbl_input[집계키_센터],ROW()-1),"")</f>
        <v/>
      </c>
      <c r="G4930" t="str">
        <f t="shared" ref="G4930:G4993" si="543">IF(F4930="","",FIND("♦",F4930))</f>
        <v/>
      </c>
      <c r="H4930" t="str">
        <f t="shared" ref="H4930:H4993" si="544">IF(F4930="","",FIND("♦",F4930,G4930+1))</f>
        <v/>
      </c>
      <c r="I4930" t="str">
        <f t="shared" ref="I4930:I4993" si="545">IF(F4930="","",FIND("♦",F4930,H4930+1))</f>
        <v/>
      </c>
    </row>
    <row r="4931" spans="1:9" x14ac:dyDescent="0.4">
      <c r="A4931" t="str">
        <f t="shared" si="539"/>
        <v/>
      </c>
      <c r="B4931" t="str">
        <f t="shared" si="540"/>
        <v/>
      </c>
      <c r="C4931" t="str">
        <f t="shared" si="541"/>
        <v/>
      </c>
      <c r="D4931" t="str">
        <f t="shared" si="542"/>
        <v/>
      </c>
      <c r="E4931" t="str">
        <f>IF(F4931="","",IF(COUNTIF($F$2:F4931,F4931)&gt;1,"",SUMIFS(tbl_input[필요수량],tbl_input[집계키_센터],F4931)))</f>
        <v/>
      </c>
      <c r="F4931" t="str">
        <f>IFERROR(INDEX(tbl_input[집계키_센터],ROW()-1),"")</f>
        <v/>
      </c>
      <c r="G4931" t="str">
        <f t="shared" si="543"/>
        <v/>
      </c>
      <c r="H4931" t="str">
        <f t="shared" si="544"/>
        <v/>
      </c>
      <c r="I4931" t="str">
        <f t="shared" si="545"/>
        <v/>
      </c>
    </row>
    <row r="4932" spans="1:9" x14ac:dyDescent="0.4">
      <c r="A4932" t="str">
        <f t="shared" si="539"/>
        <v/>
      </c>
      <c r="B4932" t="str">
        <f t="shared" si="540"/>
        <v/>
      </c>
      <c r="C4932" t="str">
        <f t="shared" si="541"/>
        <v/>
      </c>
      <c r="D4932" t="str">
        <f t="shared" si="542"/>
        <v/>
      </c>
      <c r="E4932" t="str">
        <f>IF(F4932="","",IF(COUNTIF($F$2:F4932,F4932)&gt;1,"",SUMIFS(tbl_input[필요수량],tbl_input[집계키_센터],F4932)))</f>
        <v/>
      </c>
      <c r="F4932" t="str">
        <f>IFERROR(INDEX(tbl_input[집계키_센터],ROW()-1),"")</f>
        <v/>
      </c>
      <c r="G4932" t="str">
        <f t="shared" si="543"/>
        <v/>
      </c>
      <c r="H4932" t="str">
        <f t="shared" si="544"/>
        <v/>
      </c>
      <c r="I4932" t="str">
        <f t="shared" si="545"/>
        <v/>
      </c>
    </row>
    <row r="4933" spans="1:9" x14ac:dyDescent="0.4">
      <c r="A4933" t="str">
        <f t="shared" si="539"/>
        <v/>
      </c>
      <c r="B4933" t="str">
        <f t="shared" si="540"/>
        <v/>
      </c>
      <c r="C4933" t="str">
        <f t="shared" si="541"/>
        <v/>
      </c>
      <c r="D4933" t="str">
        <f t="shared" si="542"/>
        <v/>
      </c>
      <c r="E4933" t="str">
        <f>IF(F4933="","",IF(COUNTIF($F$2:F4933,F4933)&gt;1,"",SUMIFS(tbl_input[필요수량],tbl_input[집계키_센터],F4933)))</f>
        <v/>
      </c>
      <c r="F4933" t="str">
        <f>IFERROR(INDEX(tbl_input[집계키_센터],ROW()-1),"")</f>
        <v/>
      </c>
      <c r="G4933" t="str">
        <f t="shared" si="543"/>
        <v/>
      </c>
      <c r="H4933" t="str">
        <f t="shared" si="544"/>
        <v/>
      </c>
      <c r="I4933" t="str">
        <f t="shared" si="545"/>
        <v/>
      </c>
    </row>
    <row r="4934" spans="1:9" x14ac:dyDescent="0.4">
      <c r="A4934" t="str">
        <f t="shared" si="539"/>
        <v/>
      </c>
      <c r="B4934" t="str">
        <f t="shared" si="540"/>
        <v/>
      </c>
      <c r="C4934" t="str">
        <f t="shared" si="541"/>
        <v/>
      </c>
      <c r="D4934" t="str">
        <f t="shared" si="542"/>
        <v/>
      </c>
      <c r="E4934" t="str">
        <f>IF(F4934="","",IF(COUNTIF($F$2:F4934,F4934)&gt;1,"",SUMIFS(tbl_input[필요수량],tbl_input[집계키_센터],F4934)))</f>
        <v/>
      </c>
      <c r="F4934" t="str">
        <f>IFERROR(INDEX(tbl_input[집계키_센터],ROW()-1),"")</f>
        <v/>
      </c>
      <c r="G4934" t="str">
        <f t="shared" si="543"/>
        <v/>
      </c>
      <c r="H4934" t="str">
        <f t="shared" si="544"/>
        <v/>
      </c>
      <c r="I4934" t="str">
        <f t="shared" si="545"/>
        <v/>
      </c>
    </row>
    <row r="4935" spans="1:9" x14ac:dyDescent="0.4">
      <c r="A4935" t="str">
        <f t="shared" si="539"/>
        <v/>
      </c>
      <c r="B4935" t="str">
        <f t="shared" si="540"/>
        <v/>
      </c>
      <c r="C4935" t="str">
        <f t="shared" si="541"/>
        <v/>
      </c>
      <c r="D4935" t="str">
        <f t="shared" si="542"/>
        <v/>
      </c>
      <c r="E4935" t="str">
        <f>IF(F4935="","",IF(COUNTIF($F$2:F4935,F4935)&gt;1,"",SUMIFS(tbl_input[필요수량],tbl_input[집계키_센터],F4935)))</f>
        <v/>
      </c>
      <c r="F4935" t="str">
        <f>IFERROR(INDEX(tbl_input[집계키_센터],ROW()-1),"")</f>
        <v/>
      </c>
      <c r="G4935" t="str">
        <f t="shared" si="543"/>
        <v/>
      </c>
      <c r="H4935" t="str">
        <f t="shared" si="544"/>
        <v/>
      </c>
      <c r="I4935" t="str">
        <f t="shared" si="545"/>
        <v/>
      </c>
    </row>
    <row r="4936" spans="1:9" x14ac:dyDescent="0.4">
      <c r="A4936" t="str">
        <f t="shared" si="539"/>
        <v/>
      </c>
      <c r="B4936" t="str">
        <f t="shared" si="540"/>
        <v/>
      </c>
      <c r="C4936" t="str">
        <f t="shared" si="541"/>
        <v/>
      </c>
      <c r="D4936" t="str">
        <f t="shared" si="542"/>
        <v/>
      </c>
      <c r="E4936" t="str">
        <f>IF(F4936="","",IF(COUNTIF($F$2:F4936,F4936)&gt;1,"",SUMIFS(tbl_input[필요수량],tbl_input[집계키_센터],F4936)))</f>
        <v/>
      </c>
      <c r="F4936" t="str">
        <f>IFERROR(INDEX(tbl_input[집계키_센터],ROW()-1),"")</f>
        <v/>
      </c>
      <c r="G4936" t="str">
        <f t="shared" si="543"/>
        <v/>
      </c>
      <c r="H4936" t="str">
        <f t="shared" si="544"/>
        <v/>
      </c>
      <c r="I4936" t="str">
        <f t="shared" si="545"/>
        <v/>
      </c>
    </row>
    <row r="4937" spans="1:9" x14ac:dyDescent="0.4">
      <c r="A4937" t="str">
        <f t="shared" si="539"/>
        <v/>
      </c>
      <c r="B4937" t="str">
        <f t="shared" si="540"/>
        <v/>
      </c>
      <c r="C4937" t="str">
        <f t="shared" si="541"/>
        <v/>
      </c>
      <c r="D4937" t="str">
        <f t="shared" si="542"/>
        <v/>
      </c>
      <c r="E4937" t="str">
        <f>IF(F4937="","",IF(COUNTIF($F$2:F4937,F4937)&gt;1,"",SUMIFS(tbl_input[필요수량],tbl_input[집계키_센터],F4937)))</f>
        <v/>
      </c>
      <c r="F4937" t="str">
        <f>IFERROR(INDEX(tbl_input[집계키_센터],ROW()-1),"")</f>
        <v/>
      </c>
      <c r="G4937" t="str">
        <f t="shared" si="543"/>
        <v/>
      </c>
      <c r="H4937" t="str">
        <f t="shared" si="544"/>
        <v/>
      </c>
      <c r="I4937" t="str">
        <f t="shared" si="545"/>
        <v/>
      </c>
    </row>
    <row r="4938" spans="1:9" x14ac:dyDescent="0.4">
      <c r="A4938" t="str">
        <f t="shared" si="539"/>
        <v/>
      </c>
      <c r="B4938" t="str">
        <f t="shared" si="540"/>
        <v/>
      </c>
      <c r="C4938" t="str">
        <f t="shared" si="541"/>
        <v/>
      </c>
      <c r="D4938" t="str">
        <f t="shared" si="542"/>
        <v/>
      </c>
      <c r="E4938" t="str">
        <f>IF(F4938="","",IF(COUNTIF($F$2:F4938,F4938)&gt;1,"",SUMIFS(tbl_input[필요수량],tbl_input[집계키_센터],F4938)))</f>
        <v/>
      </c>
      <c r="F4938" t="str">
        <f>IFERROR(INDEX(tbl_input[집계키_센터],ROW()-1),"")</f>
        <v/>
      </c>
      <c r="G4938" t="str">
        <f t="shared" si="543"/>
        <v/>
      </c>
      <c r="H4938" t="str">
        <f t="shared" si="544"/>
        <v/>
      </c>
      <c r="I4938" t="str">
        <f t="shared" si="545"/>
        <v/>
      </c>
    </row>
    <row r="4939" spans="1:9" x14ac:dyDescent="0.4">
      <c r="A4939" t="str">
        <f t="shared" si="539"/>
        <v/>
      </c>
      <c r="B4939" t="str">
        <f t="shared" si="540"/>
        <v/>
      </c>
      <c r="C4939" t="str">
        <f t="shared" si="541"/>
        <v/>
      </c>
      <c r="D4939" t="str">
        <f t="shared" si="542"/>
        <v/>
      </c>
      <c r="E4939" t="str">
        <f>IF(F4939="","",IF(COUNTIF($F$2:F4939,F4939)&gt;1,"",SUMIFS(tbl_input[필요수량],tbl_input[집계키_센터],F4939)))</f>
        <v/>
      </c>
      <c r="F4939" t="str">
        <f>IFERROR(INDEX(tbl_input[집계키_센터],ROW()-1),"")</f>
        <v/>
      </c>
      <c r="G4939" t="str">
        <f t="shared" si="543"/>
        <v/>
      </c>
      <c r="H4939" t="str">
        <f t="shared" si="544"/>
        <v/>
      </c>
      <c r="I4939" t="str">
        <f t="shared" si="545"/>
        <v/>
      </c>
    </row>
    <row r="4940" spans="1:9" x14ac:dyDescent="0.4">
      <c r="A4940" t="str">
        <f t="shared" si="539"/>
        <v/>
      </c>
      <c r="B4940" t="str">
        <f t="shared" si="540"/>
        <v/>
      </c>
      <c r="C4940" t="str">
        <f t="shared" si="541"/>
        <v/>
      </c>
      <c r="D4940" t="str">
        <f t="shared" si="542"/>
        <v/>
      </c>
      <c r="E4940" t="str">
        <f>IF(F4940="","",IF(COUNTIF($F$2:F4940,F4940)&gt;1,"",SUMIFS(tbl_input[필요수량],tbl_input[집계키_센터],F4940)))</f>
        <v/>
      </c>
      <c r="F4940" t="str">
        <f>IFERROR(INDEX(tbl_input[집계키_센터],ROW()-1),"")</f>
        <v/>
      </c>
      <c r="G4940" t="str">
        <f t="shared" si="543"/>
        <v/>
      </c>
      <c r="H4940" t="str">
        <f t="shared" si="544"/>
        <v/>
      </c>
      <c r="I4940" t="str">
        <f t="shared" si="545"/>
        <v/>
      </c>
    </row>
    <row r="4941" spans="1:9" x14ac:dyDescent="0.4">
      <c r="A4941" t="str">
        <f t="shared" si="539"/>
        <v/>
      </c>
      <c r="B4941" t="str">
        <f t="shared" si="540"/>
        <v/>
      </c>
      <c r="C4941" t="str">
        <f t="shared" si="541"/>
        <v/>
      </c>
      <c r="D4941" t="str">
        <f t="shared" si="542"/>
        <v/>
      </c>
      <c r="E4941" t="str">
        <f>IF(F4941="","",IF(COUNTIF($F$2:F4941,F4941)&gt;1,"",SUMIFS(tbl_input[필요수량],tbl_input[집계키_센터],F4941)))</f>
        <v/>
      </c>
      <c r="F4941" t="str">
        <f>IFERROR(INDEX(tbl_input[집계키_센터],ROW()-1),"")</f>
        <v/>
      </c>
      <c r="G4941" t="str">
        <f t="shared" si="543"/>
        <v/>
      </c>
      <c r="H4941" t="str">
        <f t="shared" si="544"/>
        <v/>
      </c>
      <c r="I4941" t="str">
        <f t="shared" si="545"/>
        <v/>
      </c>
    </row>
    <row r="4942" spans="1:9" x14ac:dyDescent="0.4">
      <c r="A4942" t="str">
        <f t="shared" si="539"/>
        <v/>
      </c>
      <c r="B4942" t="str">
        <f t="shared" si="540"/>
        <v/>
      </c>
      <c r="C4942" t="str">
        <f t="shared" si="541"/>
        <v/>
      </c>
      <c r="D4942" t="str">
        <f t="shared" si="542"/>
        <v/>
      </c>
      <c r="E4942" t="str">
        <f>IF(F4942="","",IF(COUNTIF($F$2:F4942,F4942)&gt;1,"",SUMIFS(tbl_input[필요수량],tbl_input[집계키_센터],F4942)))</f>
        <v/>
      </c>
      <c r="F4942" t="str">
        <f>IFERROR(INDEX(tbl_input[집계키_센터],ROW()-1),"")</f>
        <v/>
      </c>
      <c r="G4942" t="str">
        <f t="shared" si="543"/>
        <v/>
      </c>
      <c r="H4942" t="str">
        <f t="shared" si="544"/>
        <v/>
      </c>
      <c r="I4942" t="str">
        <f t="shared" si="545"/>
        <v/>
      </c>
    </row>
    <row r="4943" spans="1:9" x14ac:dyDescent="0.4">
      <c r="A4943" t="str">
        <f t="shared" si="539"/>
        <v/>
      </c>
      <c r="B4943" t="str">
        <f t="shared" si="540"/>
        <v/>
      </c>
      <c r="C4943" t="str">
        <f t="shared" si="541"/>
        <v/>
      </c>
      <c r="D4943" t="str">
        <f t="shared" si="542"/>
        <v/>
      </c>
      <c r="E4943" t="str">
        <f>IF(F4943="","",IF(COUNTIF($F$2:F4943,F4943)&gt;1,"",SUMIFS(tbl_input[필요수량],tbl_input[집계키_센터],F4943)))</f>
        <v/>
      </c>
      <c r="F4943" t="str">
        <f>IFERROR(INDEX(tbl_input[집계키_센터],ROW()-1),"")</f>
        <v/>
      </c>
      <c r="G4943" t="str">
        <f t="shared" si="543"/>
        <v/>
      </c>
      <c r="H4943" t="str">
        <f t="shared" si="544"/>
        <v/>
      </c>
      <c r="I4943" t="str">
        <f t="shared" si="545"/>
        <v/>
      </c>
    </row>
    <row r="4944" spans="1:9" x14ac:dyDescent="0.4">
      <c r="A4944" t="str">
        <f t="shared" si="539"/>
        <v/>
      </c>
      <c r="B4944" t="str">
        <f t="shared" si="540"/>
        <v/>
      </c>
      <c r="C4944" t="str">
        <f t="shared" si="541"/>
        <v/>
      </c>
      <c r="D4944" t="str">
        <f t="shared" si="542"/>
        <v/>
      </c>
      <c r="E4944" t="str">
        <f>IF(F4944="","",IF(COUNTIF($F$2:F4944,F4944)&gt;1,"",SUMIFS(tbl_input[필요수량],tbl_input[집계키_센터],F4944)))</f>
        <v/>
      </c>
      <c r="F4944" t="str">
        <f>IFERROR(INDEX(tbl_input[집계키_센터],ROW()-1),"")</f>
        <v/>
      </c>
      <c r="G4944" t="str">
        <f t="shared" si="543"/>
        <v/>
      </c>
      <c r="H4944" t="str">
        <f t="shared" si="544"/>
        <v/>
      </c>
      <c r="I4944" t="str">
        <f t="shared" si="545"/>
        <v/>
      </c>
    </row>
    <row r="4945" spans="1:9" x14ac:dyDescent="0.4">
      <c r="A4945" t="str">
        <f t="shared" si="539"/>
        <v/>
      </c>
      <c r="B4945" t="str">
        <f t="shared" si="540"/>
        <v/>
      </c>
      <c r="C4945" t="str">
        <f t="shared" si="541"/>
        <v/>
      </c>
      <c r="D4945" t="str">
        <f t="shared" si="542"/>
        <v/>
      </c>
      <c r="E4945" t="str">
        <f>IF(F4945="","",IF(COUNTIF($F$2:F4945,F4945)&gt;1,"",SUMIFS(tbl_input[필요수량],tbl_input[집계키_센터],F4945)))</f>
        <v/>
      </c>
      <c r="F4945" t="str">
        <f>IFERROR(INDEX(tbl_input[집계키_센터],ROW()-1),"")</f>
        <v/>
      </c>
      <c r="G4945" t="str">
        <f t="shared" si="543"/>
        <v/>
      </c>
      <c r="H4945" t="str">
        <f t="shared" si="544"/>
        <v/>
      </c>
      <c r="I4945" t="str">
        <f t="shared" si="545"/>
        <v/>
      </c>
    </row>
    <row r="4946" spans="1:9" x14ac:dyDescent="0.4">
      <c r="A4946" t="str">
        <f t="shared" si="539"/>
        <v/>
      </c>
      <c r="B4946" t="str">
        <f t="shared" si="540"/>
        <v/>
      </c>
      <c r="C4946" t="str">
        <f t="shared" si="541"/>
        <v/>
      </c>
      <c r="D4946" t="str">
        <f t="shared" si="542"/>
        <v/>
      </c>
      <c r="E4946" t="str">
        <f>IF(F4946="","",IF(COUNTIF($F$2:F4946,F4946)&gt;1,"",SUMIFS(tbl_input[필요수량],tbl_input[집계키_센터],F4946)))</f>
        <v/>
      </c>
      <c r="F4946" t="str">
        <f>IFERROR(INDEX(tbl_input[집계키_센터],ROW()-1),"")</f>
        <v/>
      </c>
      <c r="G4946" t="str">
        <f t="shared" si="543"/>
        <v/>
      </c>
      <c r="H4946" t="str">
        <f t="shared" si="544"/>
        <v/>
      </c>
      <c r="I4946" t="str">
        <f t="shared" si="545"/>
        <v/>
      </c>
    </row>
    <row r="4947" spans="1:9" x14ac:dyDescent="0.4">
      <c r="A4947" t="str">
        <f t="shared" si="539"/>
        <v/>
      </c>
      <c r="B4947" t="str">
        <f t="shared" si="540"/>
        <v/>
      </c>
      <c r="C4947" t="str">
        <f t="shared" si="541"/>
        <v/>
      </c>
      <c r="D4947" t="str">
        <f t="shared" si="542"/>
        <v/>
      </c>
      <c r="E4947" t="str">
        <f>IF(F4947="","",IF(COUNTIF($F$2:F4947,F4947)&gt;1,"",SUMIFS(tbl_input[필요수량],tbl_input[집계키_센터],F4947)))</f>
        <v/>
      </c>
      <c r="F4947" t="str">
        <f>IFERROR(INDEX(tbl_input[집계키_센터],ROW()-1),"")</f>
        <v/>
      </c>
      <c r="G4947" t="str">
        <f t="shared" si="543"/>
        <v/>
      </c>
      <c r="H4947" t="str">
        <f t="shared" si="544"/>
        <v/>
      </c>
      <c r="I4947" t="str">
        <f t="shared" si="545"/>
        <v/>
      </c>
    </row>
    <row r="4948" spans="1:9" x14ac:dyDescent="0.4">
      <c r="A4948" t="str">
        <f t="shared" si="539"/>
        <v/>
      </c>
      <c r="B4948" t="str">
        <f t="shared" si="540"/>
        <v/>
      </c>
      <c r="C4948" t="str">
        <f t="shared" si="541"/>
        <v/>
      </c>
      <c r="D4948" t="str">
        <f t="shared" si="542"/>
        <v/>
      </c>
      <c r="E4948" t="str">
        <f>IF(F4948="","",IF(COUNTIF($F$2:F4948,F4948)&gt;1,"",SUMIFS(tbl_input[필요수량],tbl_input[집계키_센터],F4948)))</f>
        <v/>
      </c>
      <c r="F4948" t="str">
        <f>IFERROR(INDEX(tbl_input[집계키_센터],ROW()-1),"")</f>
        <v/>
      </c>
      <c r="G4948" t="str">
        <f t="shared" si="543"/>
        <v/>
      </c>
      <c r="H4948" t="str">
        <f t="shared" si="544"/>
        <v/>
      </c>
      <c r="I4948" t="str">
        <f t="shared" si="545"/>
        <v/>
      </c>
    </row>
    <row r="4949" spans="1:9" x14ac:dyDescent="0.4">
      <c r="A4949" t="str">
        <f t="shared" si="539"/>
        <v/>
      </c>
      <c r="B4949" t="str">
        <f t="shared" si="540"/>
        <v/>
      </c>
      <c r="C4949" t="str">
        <f t="shared" si="541"/>
        <v/>
      </c>
      <c r="D4949" t="str">
        <f t="shared" si="542"/>
        <v/>
      </c>
      <c r="E4949" t="str">
        <f>IF(F4949="","",IF(COUNTIF($F$2:F4949,F4949)&gt;1,"",SUMIFS(tbl_input[필요수량],tbl_input[집계키_센터],F4949)))</f>
        <v/>
      </c>
      <c r="F4949" t="str">
        <f>IFERROR(INDEX(tbl_input[집계키_센터],ROW()-1),"")</f>
        <v/>
      </c>
      <c r="G4949" t="str">
        <f t="shared" si="543"/>
        <v/>
      </c>
      <c r="H4949" t="str">
        <f t="shared" si="544"/>
        <v/>
      </c>
      <c r="I4949" t="str">
        <f t="shared" si="545"/>
        <v/>
      </c>
    </row>
    <row r="4950" spans="1:9" x14ac:dyDescent="0.4">
      <c r="A4950" t="str">
        <f t="shared" si="539"/>
        <v/>
      </c>
      <c r="B4950" t="str">
        <f t="shared" si="540"/>
        <v/>
      </c>
      <c r="C4950" t="str">
        <f t="shared" si="541"/>
        <v/>
      </c>
      <c r="D4950" t="str">
        <f t="shared" si="542"/>
        <v/>
      </c>
      <c r="E4950" t="str">
        <f>IF(F4950="","",IF(COUNTIF($F$2:F4950,F4950)&gt;1,"",SUMIFS(tbl_input[필요수량],tbl_input[집계키_센터],F4950)))</f>
        <v/>
      </c>
      <c r="F4950" t="str">
        <f>IFERROR(INDEX(tbl_input[집계키_센터],ROW()-1),"")</f>
        <v/>
      </c>
      <c r="G4950" t="str">
        <f t="shared" si="543"/>
        <v/>
      </c>
      <c r="H4950" t="str">
        <f t="shared" si="544"/>
        <v/>
      </c>
      <c r="I4950" t="str">
        <f t="shared" si="545"/>
        <v/>
      </c>
    </row>
    <row r="4951" spans="1:9" x14ac:dyDescent="0.4">
      <c r="A4951" t="str">
        <f t="shared" si="539"/>
        <v/>
      </c>
      <c r="B4951" t="str">
        <f t="shared" si="540"/>
        <v/>
      </c>
      <c r="C4951" t="str">
        <f t="shared" si="541"/>
        <v/>
      </c>
      <c r="D4951" t="str">
        <f t="shared" si="542"/>
        <v/>
      </c>
      <c r="E4951" t="str">
        <f>IF(F4951="","",IF(COUNTIF($F$2:F4951,F4951)&gt;1,"",SUMIFS(tbl_input[필요수량],tbl_input[집계키_센터],F4951)))</f>
        <v/>
      </c>
      <c r="F4951" t="str">
        <f>IFERROR(INDEX(tbl_input[집계키_센터],ROW()-1),"")</f>
        <v/>
      </c>
      <c r="G4951" t="str">
        <f t="shared" si="543"/>
        <v/>
      </c>
      <c r="H4951" t="str">
        <f t="shared" si="544"/>
        <v/>
      </c>
      <c r="I4951" t="str">
        <f t="shared" si="545"/>
        <v/>
      </c>
    </row>
    <row r="4952" spans="1:9" x14ac:dyDescent="0.4">
      <c r="A4952" t="str">
        <f t="shared" si="539"/>
        <v/>
      </c>
      <c r="B4952" t="str">
        <f t="shared" si="540"/>
        <v/>
      </c>
      <c r="C4952" t="str">
        <f t="shared" si="541"/>
        <v/>
      </c>
      <c r="D4952" t="str">
        <f t="shared" si="542"/>
        <v/>
      </c>
      <c r="E4952" t="str">
        <f>IF(F4952="","",IF(COUNTIF($F$2:F4952,F4952)&gt;1,"",SUMIFS(tbl_input[필요수량],tbl_input[집계키_센터],F4952)))</f>
        <v/>
      </c>
      <c r="F4952" t="str">
        <f>IFERROR(INDEX(tbl_input[집계키_센터],ROW()-1),"")</f>
        <v/>
      </c>
      <c r="G4952" t="str">
        <f t="shared" si="543"/>
        <v/>
      </c>
      <c r="H4952" t="str">
        <f t="shared" si="544"/>
        <v/>
      </c>
      <c r="I4952" t="str">
        <f t="shared" si="545"/>
        <v/>
      </c>
    </row>
    <row r="4953" spans="1:9" x14ac:dyDescent="0.4">
      <c r="A4953" t="str">
        <f t="shared" si="539"/>
        <v/>
      </c>
      <c r="B4953" t="str">
        <f t="shared" si="540"/>
        <v/>
      </c>
      <c r="C4953" t="str">
        <f t="shared" si="541"/>
        <v/>
      </c>
      <c r="D4953" t="str">
        <f t="shared" si="542"/>
        <v/>
      </c>
      <c r="E4953" t="str">
        <f>IF(F4953="","",IF(COUNTIF($F$2:F4953,F4953)&gt;1,"",SUMIFS(tbl_input[필요수량],tbl_input[집계키_센터],F4953)))</f>
        <v/>
      </c>
      <c r="F4953" t="str">
        <f>IFERROR(INDEX(tbl_input[집계키_센터],ROW()-1),"")</f>
        <v/>
      </c>
      <c r="G4953" t="str">
        <f t="shared" si="543"/>
        <v/>
      </c>
      <c r="H4953" t="str">
        <f t="shared" si="544"/>
        <v/>
      </c>
      <c r="I4953" t="str">
        <f t="shared" si="545"/>
        <v/>
      </c>
    </row>
    <row r="4954" spans="1:9" x14ac:dyDescent="0.4">
      <c r="A4954" t="str">
        <f t="shared" si="539"/>
        <v/>
      </c>
      <c r="B4954" t="str">
        <f t="shared" si="540"/>
        <v/>
      </c>
      <c r="C4954" t="str">
        <f t="shared" si="541"/>
        <v/>
      </c>
      <c r="D4954" t="str">
        <f t="shared" si="542"/>
        <v/>
      </c>
      <c r="E4954" t="str">
        <f>IF(F4954="","",IF(COUNTIF($F$2:F4954,F4954)&gt;1,"",SUMIFS(tbl_input[필요수량],tbl_input[집계키_센터],F4954)))</f>
        <v/>
      </c>
      <c r="F4954" t="str">
        <f>IFERROR(INDEX(tbl_input[집계키_센터],ROW()-1),"")</f>
        <v/>
      </c>
      <c r="G4954" t="str">
        <f t="shared" si="543"/>
        <v/>
      </c>
      <c r="H4954" t="str">
        <f t="shared" si="544"/>
        <v/>
      </c>
      <c r="I4954" t="str">
        <f t="shared" si="545"/>
        <v/>
      </c>
    </row>
    <row r="4955" spans="1:9" x14ac:dyDescent="0.4">
      <c r="A4955" t="str">
        <f t="shared" si="539"/>
        <v/>
      </c>
      <c r="B4955" t="str">
        <f t="shared" si="540"/>
        <v/>
      </c>
      <c r="C4955" t="str">
        <f t="shared" si="541"/>
        <v/>
      </c>
      <c r="D4955" t="str">
        <f t="shared" si="542"/>
        <v/>
      </c>
      <c r="E4955" t="str">
        <f>IF(F4955="","",IF(COUNTIF($F$2:F4955,F4955)&gt;1,"",SUMIFS(tbl_input[필요수량],tbl_input[집계키_센터],F4955)))</f>
        <v/>
      </c>
      <c r="F4955" t="str">
        <f>IFERROR(INDEX(tbl_input[집계키_센터],ROW()-1),"")</f>
        <v/>
      </c>
      <c r="G4955" t="str">
        <f t="shared" si="543"/>
        <v/>
      </c>
      <c r="H4955" t="str">
        <f t="shared" si="544"/>
        <v/>
      </c>
      <c r="I4955" t="str">
        <f t="shared" si="545"/>
        <v/>
      </c>
    </row>
    <row r="4956" spans="1:9" x14ac:dyDescent="0.4">
      <c r="A4956" t="str">
        <f t="shared" si="539"/>
        <v/>
      </c>
      <c r="B4956" t="str">
        <f t="shared" si="540"/>
        <v/>
      </c>
      <c r="C4956" t="str">
        <f t="shared" si="541"/>
        <v/>
      </c>
      <c r="D4956" t="str">
        <f t="shared" si="542"/>
        <v/>
      </c>
      <c r="E4956" t="str">
        <f>IF(F4956="","",IF(COUNTIF($F$2:F4956,F4956)&gt;1,"",SUMIFS(tbl_input[필요수량],tbl_input[집계키_센터],F4956)))</f>
        <v/>
      </c>
      <c r="F4956" t="str">
        <f>IFERROR(INDEX(tbl_input[집계키_센터],ROW()-1),"")</f>
        <v/>
      </c>
      <c r="G4956" t="str">
        <f t="shared" si="543"/>
        <v/>
      </c>
      <c r="H4956" t="str">
        <f t="shared" si="544"/>
        <v/>
      </c>
      <c r="I4956" t="str">
        <f t="shared" si="545"/>
        <v/>
      </c>
    </row>
    <row r="4957" spans="1:9" x14ac:dyDescent="0.4">
      <c r="A4957" t="str">
        <f t="shared" si="539"/>
        <v/>
      </c>
      <c r="B4957" t="str">
        <f t="shared" si="540"/>
        <v/>
      </c>
      <c r="C4957" t="str">
        <f t="shared" si="541"/>
        <v/>
      </c>
      <c r="D4957" t="str">
        <f t="shared" si="542"/>
        <v/>
      </c>
      <c r="E4957" t="str">
        <f>IF(F4957="","",IF(COUNTIF($F$2:F4957,F4957)&gt;1,"",SUMIFS(tbl_input[필요수량],tbl_input[집계키_센터],F4957)))</f>
        <v/>
      </c>
      <c r="F4957" t="str">
        <f>IFERROR(INDEX(tbl_input[집계키_센터],ROW()-1),"")</f>
        <v/>
      </c>
      <c r="G4957" t="str">
        <f t="shared" si="543"/>
        <v/>
      </c>
      <c r="H4957" t="str">
        <f t="shared" si="544"/>
        <v/>
      </c>
      <c r="I4957" t="str">
        <f t="shared" si="545"/>
        <v/>
      </c>
    </row>
    <row r="4958" spans="1:9" x14ac:dyDescent="0.4">
      <c r="A4958" t="str">
        <f t="shared" si="539"/>
        <v/>
      </c>
      <c r="B4958" t="str">
        <f t="shared" si="540"/>
        <v/>
      </c>
      <c r="C4958" t="str">
        <f t="shared" si="541"/>
        <v/>
      </c>
      <c r="D4958" t="str">
        <f t="shared" si="542"/>
        <v/>
      </c>
      <c r="E4958" t="str">
        <f>IF(F4958="","",IF(COUNTIF($F$2:F4958,F4958)&gt;1,"",SUMIFS(tbl_input[필요수량],tbl_input[집계키_센터],F4958)))</f>
        <v/>
      </c>
      <c r="F4958" t="str">
        <f>IFERROR(INDEX(tbl_input[집계키_센터],ROW()-1),"")</f>
        <v/>
      </c>
      <c r="G4958" t="str">
        <f t="shared" si="543"/>
        <v/>
      </c>
      <c r="H4958" t="str">
        <f t="shared" si="544"/>
        <v/>
      </c>
      <c r="I4958" t="str">
        <f t="shared" si="545"/>
        <v/>
      </c>
    </row>
    <row r="4959" spans="1:9" x14ac:dyDescent="0.4">
      <c r="A4959" t="str">
        <f t="shared" si="539"/>
        <v/>
      </c>
      <c r="B4959" t="str">
        <f t="shared" si="540"/>
        <v/>
      </c>
      <c r="C4959" t="str">
        <f t="shared" si="541"/>
        <v/>
      </c>
      <c r="D4959" t="str">
        <f t="shared" si="542"/>
        <v/>
      </c>
      <c r="E4959" t="str">
        <f>IF(F4959="","",IF(COUNTIF($F$2:F4959,F4959)&gt;1,"",SUMIFS(tbl_input[필요수량],tbl_input[집계키_센터],F4959)))</f>
        <v/>
      </c>
      <c r="F4959" t="str">
        <f>IFERROR(INDEX(tbl_input[집계키_센터],ROW()-1),"")</f>
        <v/>
      </c>
      <c r="G4959" t="str">
        <f t="shared" si="543"/>
        <v/>
      </c>
      <c r="H4959" t="str">
        <f t="shared" si="544"/>
        <v/>
      </c>
      <c r="I4959" t="str">
        <f t="shared" si="545"/>
        <v/>
      </c>
    </row>
    <row r="4960" spans="1:9" x14ac:dyDescent="0.4">
      <c r="A4960" t="str">
        <f t="shared" si="539"/>
        <v/>
      </c>
      <c r="B4960" t="str">
        <f t="shared" si="540"/>
        <v/>
      </c>
      <c r="C4960" t="str">
        <f t="shared" si="541"/>
        <v/>
      </c>
      <c r="D4960" t="str">
        <f t="shared" si="542"/>
        <v/>
      </c>
      <c r="E4960" t="str">
        <f>IF(F4960="","",IF(COUNTIF($F$2:F4960,F4960)&gt;1,"",SUMIFS(tbl_input[필요수량],tbl_input[집계키_센터],F4960)))</f>
        <v/>
      </c>
      <c r="F4960" t="str">
        <f>IFERROR(INDEX(tbl_input[집계키_센터],ROW()-1),"")</f>
        <v/>
      </c>
      <c r="G4960" t="str">
        <f t="shared" si="543"/>
        <v/>
      </c>
      <c r="H4960" t="str">
        <f t="shared" si="544"/>
        <v/>
      </c>
      <c r="I4960" t="str">
        <f t="shared" si="545"/>
        <v/>
      </c>
    </row>
    <row r="4961" spans="1:9" x14ac:dyDescent="0.4">
      <c r="A4961" t="str">
        <f t="shared" si="539"/>
        <v/>
      </c>
      <c r="B4961" t="str">
        <f t="shared" si="540"/>
        <v/>
      </c>
      <c r="C4961" t="str">
        <f t="shared" si="541"/>
        <v/>
      </c>
      <c r="D4961" t="str">
        <f t="shared" si="542"/>
        <v/>
      </c>
      <c r="E4961" t="str">
        <f>IF(F4961="","",IF(COUNTIF($F$2:F4961,F4961)&gt;1,"",SUMIFS(tbl_input[필요수량],tbl_input[집계키_센터],F4961)))</f>
        <v/>
      </c>
      <c r="F4961" t="str">
        <f>IFERROR(INDEX(tbl_input[집계키_센터],ROW()-1),"")</f>
        <v/>
      </c>
      <c r="G4961" t="str">
        <f t="shared" si="543"/>
        <v/>
      </c>
      <c r="H4961" t="str">
        <f t="shared" si="544"/>
        <v/>
      </c>
      <c r="I4961" t="str">
        <f t="shared" si="545"/>
        <v/>
      </c>
    </row>
    <row r="4962" spans="1:9" x14ac:dyDescent="0.4">
      <c r="A4962" t="str">
        <f t="shared" si="539"/>
        <v/>
      </c>
      <c r="B4962" t="str">
        <f t="shared" si="540"/>
        <v/>
      </c>
      <c r="C4962" t="str">
        <f t="shared" si="541"/>
        <v/>
      </c>
      <c r="D4962" t="str">
        <f t="shared" si="542"/>
        <v/>
      </c>
      <c r="E4962" t="str">
        <f>IF(F4962="","",IF(COUNTIF($F$2:F4962,F4962)&gt;1,"",SUMIFS(tbl_input[필요수량],tbl_input[집계키_센터],F4962)))</f>
        <v/>
      </c>
      <c r="F4962" t="str">
        <f>IFERROR(INDEX(tbl_input[집계키_센터],ROW()-1),"")</f>
        <v/>
      </c>
      <c r="G4962" t="str">
        <f t="shared" si="543"/>
        <v/>
      </c>
      <c r="H4962" t="str">
        <f t="shared" si="544"/>
        <v/>
      </c>
      <c r="I4962" t="str">
        <f t="shared" si="545"/>
        <v/>
      </c>
    </row>
    <row r="4963" spans="1:9" x14ac:dyDescent="0.4">
      <c r="A4963" t="str">
        <f t="shared" si="539"/>
        <v/>
      </c>
      <c r="B4963" t="str">
        <f t="shared" si="540"/>
        <v/>
      </c>
      <c r="C4963" t="str">
        <f t="shared" si="541"/>
        <v/>
      </c>
      <c r="D4963" t="str">
        <f t="shared" si="542"/>
        <v/>
      </c>
      <c r="E4963" t="str">
        <f>IF(F4963="","",IF(COUNTIF($F$2:F4963,F4963)&gt;1,"",SUMIFS(tbl_input[필요수량],tbl_input[집계키_센터],F4963)))</f>
        <v/>
      </c>
      <c r="F4963" t="str">
        <f>IFERROR(INDEX(tbl_input[집계키_센터],ROW()-1),"")</f>
        <v/>
      </c>
      <c r="G4963" t="str">
        <f t="shared" si="543"/>
        <v/>
      </c>
      <c r="H4963" t="str">
        <f t="shared" si="544"/>
        <v/>
      </c>
      <c r="I4963" t="str">
        <f t="shared" si="545"/>
        <v/>
      </c>
    </row>
    <row r="4964" spans="1:9" x14ac:dyDescent="0.4">
      <c r="A4964" t="str">
        <f t="shared" si="539"/>
        <v/>
      </c>
      <c r="B4964" t="str">
        <f t="shared" si="540"/>
        <v/>
      </c>
      <c r="C4964" t="str">
        <f t="shared" si="541"/>
        <v/>
      </c>
      <c r="D4964" t="str">
        <f t="shared" si="542"/>
        <v/>
      </c>
      <c r="E4964" t="str">
        <f>IF(F4964="","",IF(COUNTIF($F$2:F4964,F4964)&gt;1,"",SUMIFS(tbl_input[필요수량],tbl_input[집계키_센터],F4964)))</f>
        <v/>
      </c>
      <c r="F4964" t="str">
        <f>IFERROR(INDEX(tbl_input[집계키_센터],ROW()-1),"")</f>
        <v/>
      </c>
      <c r="G4964" t="str">
        <f t="shared" si="543"/>
        <v/>
      </c>
      <c r="H4964" t="str">
        <f t="shared" si="544"/>
        <v/>
      </c>
      <c r="I4964" t="str">
        <f t="shared" si="545"/>
        <v/>
      </c>
    </row>
    <row r="4965" spans="1:9" x14ac:dyDescent="0.4">
      <c r="A4965" t="str">
        <f t="shared" si="539"/>
        <v/>
      </c>
      <c r="B4965" t="str">
        <f t="shared" si="540"/>
        <v/>
      </c>
      <c r="C4965" t="str">
        <f t="shared" si="541"/>
        <v/>
      </c>
      <c r="D4965" t="str">
        <f t="shared" si="542"/>
        <v/>
      </c>
      <c r="E4965" t="str">
        <f>IF(F4965="","",IF(COUNTIF($F$2:F4965,F4965)&gt;1,"",SUMIFS(tbl_input[필요수량],tbl_input[집계키_센터],F4965)))</f>
        <v/>
      </c>
      <c r="F4965" t="str">
        <f>IFERROR(INDEX(tbl_input[집계키_센터],ROW()-1),"")</f>
        <v/>
      </c>
      <c r="G4965" t="str">
        <f t="shared" si="543"/>
        <v/>
      </c>
      <c r="H4965" t="str">
        <f t="shared" si="544"/>
        <v/>
      </c>
      <c r="I4965" t="str">
        <f t="shared" si="545"/>
        <v/>
      </c>
    </row>
    <row r="4966" spans="1:9" x14ac:dyDescent="0.4">
      <c r="A4966" t="str">
        <f t="shared" si="539"/>
        <v/>
      </c>
      <c r="B4966" t="str">
        <f t="shared" si="540"/>
        <v/>
      </c>
      <c r="C4966" t="str">
        <f t="shared" si="541"/>
        <v/>
      </c>
      <c r="D4966" t="str">
        <f t="shared" si="542"/>
        <v/>
      </c>
      <c r="E4966" t="str">
        <f>IF(F4966="","",IF(COUNTIF($F$2:F4966,F4966)&gt;1,"",SUMIFS(tbl_input[필요수량],tbl_input[집계키_센터],F4966)))</f>
        <v/>
      </c>
      <c r="F4966" t="str">
        <f>IFERROR(INDEX(tbl_input[집계키_센터],ROW()-1),"")</f>
        <v/>
      </c>
      <c r="G4966" t="str">
        <f t="shared" si="543"/>
        <v/>
      </c>
      <c r="H4966" t="str">
        <f t="shared" si="544"/>
        <v/>
      </c>
      <c r="I4966" t="str">
        <f t="shared" si="545"/>
        <v/>
      </c>
    </row>
    <row r="4967" spans="1:9" x14ac:dyDescent="0.4">
      <c r="A4967" t="str">
        <f t="shared" si="539"/>
        <v/>
      </c>
      <c r="B4967" t="str">
        <f t="shared" si="540"/>
        <v/>
      </c>
      <c r="C4967" t="str">
        <f t="shared" si="541"/>
        <v/>
      </c>
      <c r="D4967" t="str">
        <f t="shared" si="542"/>
        <v/>
      </c>
      <c r="E4967" t="str">
        <f>IF(F4967="","",IF(COUNTIF($F$2:F4967,F4967)&gt;1,"",SUMIFS(tbl_input[필요수량],tbl_input[집계키_센터],F4967)))</f>
        <v/>
      </c>
      <c r="F4967" t="str">
        <f>IFERROR(INDEX(tbl_input[집계키_센터],ROW()-1),"")</f>
        <v/>
      </c>
      <c r="G4967" t="str">
        <f t="shared" si="543"/>
        <v/>
      </c>
      <c r="H4967" t="str">
        <f t="shared" si="544"/>
        <v/>
      </c>
      <c r="I4967" t="str">
        <f t="shared" si="545"/>
        <v/>
      </c>
    </row>
    <row r="4968" spans="1:9" x14ac:dyDescent="0.4">
      <c r="A4968" t="str">
        <f t="shared" si="539"/>
        <v/>
      </c>
      <c r="B4968" t="str">
        <f t="shared" si="540"/>
        <v/>
      </c>
      <c r="C4968" t="str">
        <f t="shared" si="541"/>
        <v/>
      </c>
      <c r="D4968" t="str">
        <f t="shared" si="542"/>
        <v/>
      </c>
      <c r="E4968" t="str">
        <f>IF(F4968="","",IF(COUNTIF($F$2:F4968,F4968)&gt;1,"",SUMIFS(tbl_input[필요수량],tbl_input[집계키_센터],F4968)))</f>
        <v/>
      </c>
      <c r="F4968" t="str">
        <f>IFERROR(INDEX(tbl_input[집계키_센터],ROW()-1),"")</f>
        <v/>
      </c>
      <c r="G4968" t="str">
        <f t="shared" si="543"/>
        <v/>
      </c>
      <c r="H4968" t="str">
        <f t="shared" si="544"/>
        <v/>
      </c>
      <c r="I4968" t="str">
        <f t="shared" si="545"/>
        <v/>
      </c>
    </row>
    <row r="4969" spans="1:9" x14ac:dyDescent="0.4">
      <c r="A4969" t="str">
        <f t="shared" si="539"/>
        <v/>
      </c>
      <c r="B4969" t="str">
        <f t="shared" si="540"/>
        <v/>
      </c>
      <c r="C4969" t="str">
        <f t="shared" si="541"/>
        <v/>
      </c>
      <c r="D4969" t="str">
        <f t="shared" si="542"/>
        <v/>
      </c>
      <c r="E4969" t="str">
        <f>IF(F4969="","",IF(COUNTIF($F$2:F4969,F4969)&gt;1,"",SUMIFS(tbl_input[필요수량],tbl_input[집계키_센터],F4969)))</f>
        <v/>
      </c>
      <c r="F4969" t="str">
        <f>IFERROR(INDEX(tbl_input[집계키_센터],ROW()-1),"")</f>
        <v/>
      </c>
      <c r="G4969" t="str">
        <f t="shared" si="543"/>
        <v/>
      </c>
      <c r="H4969" t="str">
        <f t="shared" si="544"/>
        <v/>
      </c>
      <c r="I4969" t="str">
        <f t="shared" si="545"/>
        <v/>
      </c>
    </row>
    <row r="4970" spans="1:9" x14ac:dyDescent="0.4">
      <c r="A4970" t="str">
        <f t="shared" si="539"/>
        <v/>
      </c>
      <c r="B4970" t="str">
        <f t="shared" si="540"/>
        <v/>
      </c>
      <c r="C4970" t="str">
        <f t="shared" si="541"/>
        <v/>
      </c>
      <c r="D4970" t="str">
        <f t="shared" si="542"/>
        <v/>
      </c>
      <c r="E4970" t="str">
        <f>IF(F4970="","",IF(COUNTIF($F$2:F4970,F4970)&gt;1,"",SUMIFS(tbl_input[필요수량],tbl_input[집계키_센터],F4970)))</f>
        <v/>
      </c>
      <c r="F4970" t="str">
        <f>IFERROR(INDEX(tbl_input[집계키_센터],ROW()-1),"")</f>
        <v/>
      </c>
      <c r="G4970" t="str">
        <f t="shared" si="543"/>
        <v/>
      </c>
      <c r="H4970" t="str">
        <f t="shared" si="544"/>
        <v/>
      </c>
      <c r="I4970" t="str">
        <f t="shared" si="545"/>
        <v/>
      </c>
    </row>
    <row r="4971" spans="1:9" x14ac:dyDescent="0.4">
      <c r="A4971" t="str">
        <f t="shared" si="539"/>
        <v/>
      </c>
      <c r="B4971" t="str">
        <f t="shared" si="540"/>
        <v/>
      </c>
      <c r="C4971" t="str">
        <f t="shared" si="541"/>
        <v/>
      </c>
      <c r="D4971" t="str">
        <f t="shared" si="542"/>
        <v/>
      </c>
      <c r="E4971" t="str">
        <f>IF(F4971="","",IF(COUNTIF($F$2:F4971,F4971)&gt;1,"",SUMIFS(tbl_input[필요수량],tbl_input[집계키_센터],F4971)))</f>
        <v/>
      </c>
      <c r="F4971" t="str">
        <f>IFERROR(INDEX(tbl_input[집계키_센터],ROW()-1),"")</f>
        <v/>
      </c>
      <c r="G4971" t="str">
        <f t="shared" si="543"/>
        <v/>
      </c>
      <c r="H4971" t="str">
        <f t="shared" si="544"/>
        <v/>
      </c>
      <c r="I4971" t="str">
        <f t="shared" si="545"/>
        <v/>
      </c>
    </row>
    <row r="4972" spans="1:9" x14ac:dyDescent="0.4">
      <c r="A4972" t="str">
        <f t="shared" si="539"/>
        <v/>
      </c>
      <c r="B4972" t="str">
        <f t="shared" si="540"/>
        <v/>
      </c>
      <c r="C4972" t="str">
        <f t="shared" si="541"/>
        <v/>
      </c>
      <c r="D4972" t="str">
        <f t="shared" si="542"/>
        <v/>
      </c>
      <c r="E4972" t="str">
        <f>IF(F4972="","",IF(COUNTIF($F$2:F4972,F4972)&gt;1,"",SUMIFS(tbl_input[필요수량],tbl_input[집계키_센터],F4972)))</f>
        <v/>
      </c>
      <c r="F4972" t="str">
        <f>IFERROR(INDEX(tbl_input[집계키_센터],ROW()-1),"")</f>
        <v/>
      </c>
      <c r="G4972" t="str">
        <f t="shared" si="543"/>
        <v/>
      </c>
      <c r="H4972" t="str">
        <f t="shared" si="544"/>
        <v/>
      </c>
      <c r="I4972" t="str">
        <f t="shared" si="545"/>
        <v/>
      </c>
    </row>
    <row r="4973" spans="1:9" x14ac:dyDescent="0.4">
      <c r="A4973" t="str">
        <f t="shared" si="539"/>
        <v/>
      </c>
      <c r="B4973" t="str">
        <f t="shared" si="540"/>
        <v/>
      </c>
      <c r="C4973" t="str">
        <f t="shared" si="541"/>
        <v/>
      </c>
      <c r="D4973" t="str">
        <f t="shared" si="542"/>
        <v/>
      </c>
      <c r="E4973" t="str">
        <f>IF(F4973="","",IF(COUNTIF($F$2:F4973,F4973)&gt;1,"",SUMIFS(tbl_input[필요수량],tbl_input[집계키_센터],F4973)))</f>
        <v/>
      </c>
      <c r="F4973" t="str">
        <f>IFERROR(INDEX(tbl_input[집계키_센터],ROW()-1),"")</f>
        <v/>
      </c>
      <c r="G4973" t="str">
        <f t="shared" si="543"/>
        <v/>
      </c>
      <c r="H4973" t="str">
        <f t="shared" si="544"/>
        <v/>
      </c>
      <c r="I4973" t="str">
        <f t="shared" si="545"/>
        <v/>
      </c>
    </row>
    <row r="4974" spans="1:9" x14ac:dyDescent="0.4">
      <c r="A4974" t="str">
        <f t="shared" si="539"/>
        <v/>
      </c>
      <c r="B4974" t="str">
        <f t="shared" si="540"/>
        <v/>
      </c>
      <c r="C4974" t="str">
        <f t="shared" si="541"/>
        <v/>
      </c>
      <c r="D4974" t="str">
        <f t="shared" si="542"/>
        <v/>
      </c>
      <c r="E4974" t="str">
        <f>IF(F4974="","",IF(COUNTIF($F$2:F4974,F4974)&gt;1,"",SUMIFS(tbl_input[필요수량],tbl_input[집계키_센터],F4974)))</f>
        <v/>
      </c>
      <c r="F4974" t="str">
        <f>IFERROR(INDEX(tbl_input[집계키_센터],ROW()-1),"")</f>
        <v/>
      </c>
      <c r="G4974" t="str">
        <f t="shared" si="543"/>
        <v/>
      </c>
      <c r="H4974" t="str">
        <f t="shared" si="544"/>
        <v/>
      </c>
      <c r="I4974" t="str">
        <f t="shared" si="545"/>
        <v/>
      </c>
    </row>
    <row r="4975" spans="1:9" x14ac:dyDescent="0.4">
      <c r="A4975" t="str">
        <f t="shared" si="539"/>
        <v/>
      </c>
      <c r="B4975" t="str">
        <f t="shared" si="540"/>
        <v/>
      </c>
      <c r="C4975" t="str">
        <f t="shared" si="541"/>
        <v/>
      </c>
      <c r="D4975" t="str">
        <f t="shared" si="542"/>
        <v/>
      </c>
      <c r="E4975" t="str">
        <f>IF(F4975="","",IF(COUNTIF($F$2:F4975,F4975)&gt;1,"",SUMIFS(tbl_input[필요수량],tbl_input[집계키_센터],F4975)))</f>
        <v/>
      </c>
      <c r="F4975" t="str">
        <f>IFERROR(INDEX(tbl_input[집계키_센터],ROW()-1),"")</f>
        <v/>
      </c>
      <c r="G4975" t="str">
        <f t="shared" si="543"/>
        <v/>
      </c>
      <c r="H4975" t="str">
        <f t="shared" si="544"/>
        <v/>
      </c>
      <c r="I4975" t="str">
        <f t="shared" si="545"/>
        <v/>
      </c>
    </row>
    <row r="4976" spans="1:9" x14ac:dyDescent="0.4">
      <c r="A4976" t="str">
        <f t="shared" si="539"/>
        <v/>
      </c>
      <c r="B4976" t="str">
        <f t="shared" si="540"/>
        <v/>
      </c>
      <c r="C4976" t="str">
        <f t="shared" si="541"/>
        <v/>
      </c>
      <c r="D4976" t="str">
        <f t="shared" si="542"/>
        <v/>
      </c>
      <c r="E4976" t="str">
        <f>IF(F4976="","",IF(COUNTIF($F$2:F4976,F4976)&gt;1,"",SUMIFS(tbl_input[필요수량],tbl_input[집계키_센터],F4976)))</f>
        <v/>
      </c>
      <c r="F4976" t="str">
        <f>IFERROR(INDEX(tbl_input[집계키_센터],ROW()-1),"")</f>
        <v/>
      </c>
      <c r="G4976" t="str">
        <f t="shared" si="543"/>
        <v/>
      </c>
      <c r="H4976" t="str">
        <f t="shared" si="544"/>
        <v/>
      </c>
      <c r="I4976" t="str">
        <f t="shared" si="545"/>
        <v/>
      </c>
    </row>
    <row r="4977" spans="1:9" x14ac:dyDescent="0.4">
      <c r="A4977" t="str">
        <f t="shared" si="539"/>
        <v/>
      </c>
      <c r="B4977" t="str">
        <f t="shared" si="540"/>
        <v/>
      </c>
      <c r="C4977" t="str">
        <f t="shared" si="541"/>
        <v/>
      </c>
      <c r="D4977" t="str">
        <f t="shared" si="542"/>
        <v/>
      </c>
      <c r="E4977" t="str">
        <f>IF(F4977="","",IF(COUNTIF($F$2:F4977,F4977)&gt;1,"",SUMIFS(tbl_input[필요수량],tbl_input[집계키_센터],F4977)))</f>
        <v/>
      </c>
      <c r="F4977" t="str">
        <f>IFERROR(INDEX(tbl_input[집계키_센터],ROW()-1),"")</f>
        <v/>
      </c>
      <c r="G4977" t="str">
        <f t="shared" si="543"/>
        <v/>
      </c>
      <c r="H4977" t="str">
        <f t="shared" si="544"/>
        <v/>
      </c>
      <c r="I4977" t="str">
        <f t="shared" si="545"/>
        <v/>
      </c>
    </row>
    <row r="4978" spans="1:9" x14ac:dyDescent="0.4">
      <c r="A4978" t="str">
        <f t="shared" si="539"/>
        <v/>
      </c>
      <c r="B4978" t="str">
        <f t="shared" si="540"/>
        <v/>
      </c>
      <c r="C4978" t="str">
        <f t="shared" si="541"/>
        <v/>
      </c>
      <c r="D4978" t="str">
        <f t="shared" si="542"/>
        <v/>
      </c>
      <c r="E4978" t="str">
        <f>IF(F4978="","",IF(COUNTIF($F$2:F4978,F4978)&gt;1,"",SUMIFS(tbl_input[필요수량],tbl_input[집계키_센터],F4978)))</f>
        <v/>
      </c>
      <c r="F4978" t="str">
        <f>IFERROR(INDEX(tbl_input[집계키_센터],ROW()-1),"")</f>
        <v/>
      </c>
      <c r="G4978" t="str">
        <f t="shared" si="543"/>
        <v/>
      </c>
      <c r="H4978" t="str">
        <f t="shared" si="544"/>
        <v/>
      </c>
      <c r="I4978" t="str">
        <f t="shared" si="545"/>
        <v/>
      </c>
    </row>
    <row r="4979" spans="1:9" x14ac:dyDescent="0.4">
      <c r="A4979" t="str">
        <f t="shared" si="539"/>
        <v/>
      </c>
      <c r="B4979" t="str">
        <f t="shared" si="540"/>
        <v/>
      </c>
      <c r="C4979" t="str">
        <f t="shared" si="541"/>
        <v/>
      </c>
      <c r="D4979" t="str">
        <f t="shared" si="542"/>
        <v/>
      </c>
      <c r="E4979" t="str">
        <f>IF(F4979="","",IF(COUNTIF($F$2:F4979,F4979)&gt;1,"",SUMIFS(tbl_input[필요수량],tbl_input[집계키_센터],F4979)))</f>
        <v/>
      </c>
      <c r="F4979" t="str">
        <f>IFERROR(INDEX(tbl_input[집계키_센터],ROW()-1),"")</f>
        <v/>
      </c>
      <c r="G4979" t="str">
        <f t="shared" si="543"/>
        <v/>
      </c>
      <c r="H4979" t="str">
        <f t="shared" si="544"/>
        <v/>
      </c>
      <c r="I4979" t="str">
        <f t="shared" si="545"/>
        <v/>
      </c>
    </row>
    <row r="4980" spans="1:9" x14ac:dyDescent="0.4">
      <c r="A4980" t="str">
        <f t="shared" si="539"/>
        <v/>
      </c>
      <c r="B4980" t="str">
        <f t="shared" si="540"/>
        <v/>
      </c>
      <c r="C4980" t="str">
        <f t="shared" si="541"/>
        <v/>
      </c>
      <c r="D4980" t="str">
        <f t="shared" si="542"/>
        <v/>
      </c>
      <c r="E4980" t="str">
        <f>IF(F4980="","",IF(COUNTIF($F$2:F4980,F4980)&gt;1,"",SUMIFS(tbl_input[필요수량],tbl_input[집계키_센터],F4980)))</f>
        <v/>
      </c>
      <c r="F4980" t="str">
        <f>IFERROR(INDEX(tbl_input[집계키_센터],ROW()-1),"")</f>
        <v/>
      </c>
      <c r="G4980" t="str">
        <f t="shared" si="543"/>
        <v/>
      </c>
      <c r="H4980" t="str">
        <f t="shared" si="544"/>
        <v/>
      </c>
      <c r="I4980" t="str">
        <f t="shared" si="545"/>
        <v/>
      </c>
    </row>
    <row r="4981" spans="1:9" x14ac:dyDescent="0.4">
      <c r="A4981" t="str">
        <f t="shared" si="539"/>
        <v/>
      </c>
      <c r="B4981" t="str">
        <f t="shared" si="540"/>
        <v/>
      </c>
      <c r="C4981" t="str">
        <f t="shared" si="541"/>
        <v/>
      </c>
      <c r="D4981" t="str">
        <f t="shared" si="542"/>
        <v/>
      </c>
      <c r="E4981" t="str">
        <f>IF(F4981="","",IF(COUNTIF($F$2:F4981,F4981)&gt;1,"",SUMIFS(tbl_input[필요수량],tbl_input[집계키_센터],F4981)))</f>
        <v/>
      </c>
      <c r="F4981" t="str">
        <f>IFERROR(INDEX(tbl_input[집계키_센터],ROW()-1),"")</f>
        <v/>
      </c>
      <c r="G4981" t="str">
        <f t="shared" si="543"/>
        <v/>
      </c>
      <c r="H4981" t="str">
        <f t="shared" si="544"/>
        <v/>
      </c>
      <c r="I4981" t="str">
        <f t="shared" si="545"/>
        <v/>
      </c>
    </row>
    <row r="4982" spans="1:9" x14ac:dyDescent="0.4">
      <c r="A4982" t="str">
        <f t="shared" si="539"/>
        <v/>
      </c>
      <c r="B4982" t="str">
        <f t="shared" si="540"/>
        <v/>
      </c>
      <c r="C4982" t="str">
        <f t="shared" si="541"/>
        <v/>
      </c>
      <c r="D4982" t="str">
        <f t="shared" si="542"/>
        <v/>
      </c>
      <c r="E4982" t="str">
        <f>IF(F4982="","",IF(COUNTIF($F$2:F4982,F4982)&gt;1,"",SUMIFS(tbl_input[필요수량],tbl_input[집계키_센터],F4982)))</f>
        <v/>
      </c>
      <c r="F4982" t="str">
        <f>IFERROR(INDEX(tbl_input[집계키_센터],ROW()-1),"")</f>
        <v/>
      </c>
      <c r="G4982" t="str">
        <f t="shared" si="543"/>
        <v/>
      </c>
      <c r="H4982" t="str">
        <f t="shared" si="544"/>
        <v/>
      </c>
      <c r="I4982" t="str">
        <f t="shared" si="545"/>
        <v/>
      </c>
    </row>
    <row r="4983" spans="1:9" x14ac:dyDescent="0.4">
      <c r="A4983" t="str">
        <f t="shared" si="539"/>
        <v/>
      </c>
      <c r="B4983" t="str">
        <f t="shared" si="540"/>
        <v/>
      </c>
      <c r="C4983" t="str">
        <f t="shared" si="541"/>
        <v/>
      </c>
      <c r="D4983" t="str">
        <f t="shared" si="542"/>
        <v/>
      </c>
      <c r="E4983" t="str">
        <f>IF(F4983="","",IF(COUNTIF($F$2:F4983,F4983)&gt;1,"",SUMIFS(tbl_input[필요수량],tbl_input[집계키_센터],F4983)))</f>
        <v/>
      </c>
      <c r="F4983" t="str">
        <f>IFERROR(INDEX(tbl_input[집계키_센터],ROW()-1),"")</f>
        <v/>
      </c>
      <c r="G4983" t="str">
        <f t="shared" si="543"/>
        <v/>
      </c>
      <c r="H4983" t="str">
        <f t="shared" si="544"/>
        <v/>
      </c>
      <c r="I4983" t="str">
        <f t="shared" si="545"/>
        <v/>
      </c>
    </row>
    <row r="4984" spans="1:9" x14ac:dyDescent="0.4">
      <c r="A4984" t="str">
        <f t="shared" si="539"/>
        <v/>
      </c>
      <c r="B4984" t="str">
        <f t="shared" si="540"/>
        <v/>
      </c>
      <c r="C4984" t="str">
        <f t="shared" si="541"/>
        <v/>
      </c>
      <c r="D4984" t="str">
        <f t="shared" si="542"/>
        <v/>
      </c>
      <c r="E4984" t="str">
        <f>IF(F4984="","",IF(COUNTIF($F$2:F4984,F4984)&gt;1,"",SUMIFS(tbl_input[필요수량],tbl_input[집계키_센터],F4984)))</f>
        <v/>
      </c>
      <c r="F4984" t="str">
        <f>IFERROR(INDEX(tbl_input[집계키_센터],ROW()-1),"")</f>
        <v/>
      </c>
      <c r="G4984" t="str">
        <f t="shared" si="543"/>
        <v/>
      </c>
      <c r="H4984" t="str">
        <f t="shared" si="544"/>
        <v/>
      </c>
      <c r="I4984" t="str">
        <f t="shared" si="545"/>
        <v/>
      </c>
    </row>
    <row r="4985" spans="1:9" x14ac:dyDescent="0.4">
      <c r="A4985" t="str">
        <f t="shared" si="539"/>
        <v/>
      </c>
      <c r="B4985" t="str">
        <f t="shared" si="540"/>
        <v/>
      </c>
      <c r="C4985" t="str">
        <f t="shared" si="541"/>
        <v/>
      </c>
      <c r="D4985" t="str">
        <f t="shared" si="542"/>
        <v/>
      </c>
      <c r="E4985" t="str">
        <f>IF(F4985="","",IF(COUNTIF($F$2:F4985,F4985)&gt;1,"",SUMIFS(tbl_input[필요수량],tbl_input[집계키_센터],F4985)))</f>
        <v/>
      </c>
      <c r="F4985" t="str">
        <f>IFERROR(INDEX(tbl_input[집계키_센터],ROW()-1),"")</f>
        <v/>
      </c>
      <c r="G4985" t="str">
        <f t="shared" si="543"/>
        <v/>
      </c>
      <c r="H4985" t="str">
        <f t="shared" si="544"/>
        <v/>
      </c>
      <c r="I4985" t="str">
        <f t="shared" si="545"/>
        <v/>
      </c>
    </row>
    <row r="4986" spans="1:9" x14ac:dyDescent="0.4">
      <c r="A4986" t="str">
        <f t="shared" si="539"/>
        <v/>
      </c>
      <c r="B4986" t="str">
        <f t="shared" si="540"/>
        <v/>
      </c>
      <c r="C4986" t="str">
        <f t="shared" si="541"/>
        <v/>
      </c>
      <c r="D4986" t="str">
        <f t="shared" si="542"/>
        <v/>
      </c>
      <c r="E4986" t="str">
        <f>IF(F4986="","",IF(COUNTIF($F$2:F4986,F4986)&gt;1,"",SUMIFS(tbl_input[필요수량],tbl_input[집계키_센터],F4986)))</f>
        <v/>
      </c>
      <c r="F4986" t="str">
        <f>IFERROR(INDEX(tbl_input[집계키_센터],ROW()-1),"")</f>
        <v/>
      </c>
      <c r="G4986" t="str">
        <f t="shared" si="543"/>
        <v/>
      </c>
      <c r="H4986" t="str">
        <f t="shared" si="544"/>
        <v/>
      </c>
      <c r="I4986" t="str">
        <f t="shared" si="545"/>
        <v/>
      </c>
    </row>
    <row r="4987" spans="1:9" x14ac:dyDescent="0.4">
      <c r="A4987" t="str">
        <f t="shared" si="539"/>
        <v/>
      </c>
      <c r="B4987" t="str">
        <f t="shared" si="540"/>
        <v/>
      </c>
      <c r="C4987" t="str">
        <f t="shared" si="541"/>
        <v/>
      </c>
      <c r="D4987" t="str">
        <f t="shared" si="542"/>
        <v/>
      </c>
      <c r="E4987" t="str">
        <f>IF(F4987="","",IF(COUNTIF($F$2:F4987,F4987)&gt;1,"",SUMIFS(tbl_input[필요수량],tbl_input[집계키_센터],F4987)))</f>
        <v/>
      </c>
      <c r="F4987" t="str">
        <f>IFERROR(INDEX(tbl_input[집계키_센터],ROW()-1),"")</f>
        <v/>
      </c>
      <c r="G4987" t="str">
        <f t="shared" si="543"/>
        <v/>
      </c>
      <c r="H4987" t="str">
        <f t="shared" si="544"/>
        <v/>
      </c>
      <c r="I4987" t="str">
        <f t="shared" si="545"/>
        <v/>
      </c>
    </row>
    <row r="4988" spans="1:9" x14ac:dyDescent="0.4">
      <c r="A4988" t="str">
        <f t="shared" si="539"/>
        <v/>
      </c>
      <c r="B4988" t="str">
        <f t="shared" si="540"/>
        <v/>
      </c>
      <c r="C4988" t="str">
        <f t="shared" si="541"/>
        <v/>
      </c>
      <c r="D4988" t="str">
        <f t="shared" si="542"/>
        <v/>
      </c>
      <c r="E4988" t="str">
        <f>IF(F4988="","",IF(COUNTIF($F$2:F4988,F4988)&gt;1,"",SUMIFS(tbl_input[필요수량],tbl_input[집계키_센터],F4988)))</f>
        <v/>
      </c>
      <c r="F4988" t="str">
        <f>IFERROR(INDEX(tbl_input[집계키_센터],ROW()-1),"")</f>
        <v/>
      </c>
      <c r="G4988" t="str">
        <f t="shared" si="543"/>
        <v/>
      </c>
      <c r="H4988" t="str">
        <f t="shared" si="544"/>
        <v/>
      </c>
      <c r="I4988" t="str">
        <f t="shared" si="545"/>
        <v/>
      </c>
    </row>
    <row r="4989" spans="1:9" x14ac:dyDescent="0.4">
      <c r="A4989" t="str">
        <f t="shared" si="539"/>
        <v/>
      </c>
      <c r="B4989" t="str">
        <f t="shared" si="540"/>
        <v/>
      </c>
      <c r="C4989" t="str">
        <f t="shared" si="541"/>
        <v/>
      </c>
      <c r="D4989" t="str">
        <f t="shared" si="542"/>
        <v/>
      </c>
      <c r="E4989" t="str">
        <f>IF(F4989="","",IF(COUNTIF($F$2:F4989,F4989)&gt;1,"",SUMIFS(tbl_input[필요수량],tbl_input[집계키_센터],F4989)))</f>
        <v/>
      </c>
      <c r="F4989" t="str">
        <f>IFERROR(INDEX(tbl_input[집계키_센터],ROW()-1),"")</f>
        <v/>
      </c>
      <c r="G4989" t="str">
        <f t="shared" si="543"/>
        <v/>
      </c>
      <c r="H4989" t="str">
        <f t="shared" si="544"/>
        <v/>
      </c>
      <c r="I4989" t="str">
        <f t="shared" si="545"/>
        <v/>
      </c>
    </row>
    <row r="4990" spans="1:9" x14ac:dyDescent="0.4">
      <c r="A4990" t="str">
        <f t="shared" si="539"/>
        <v/>
      </c>
      <c r="B4990" t="str">
        <f t="shared" si="540"/>
        <v/>
      </c>
      <c r="C4990" t="str">
        <f t="shared" si="541"/>
        <v/>
      </c>
      <c r="D4990" t="str">
        <f t="shared" si="542"/>
        <v/>
      </c>
      <c r="E4990" t="str">
        <f>IF(F4990="","",IF(COUNTIF($F$2:F4990,F4990)&gt;1,"",SUMIFS(tbl_input[필요수량],tbl_input[집계키_센터],F4990)))</f>
        <v/>
      </c>
      <c r="F4990" t="str">
        <f>IFERROR(INDEX(tbl_input[집계키_센터],ROW()-1),"")</f>
        <v/>
      </c>
      <c r="G4990" t="str">
        <f t="shared" si="543"/>
        <v/>
      </c>
      <c r="H4990" t="str">
        <f t="shared" si="544"/>
        <v/>
      </c>
      <c r="I4990" t="str">
        <f t="shared" si="545"/>
        <v/>
      </c>
    </row>
    <row r="4991" spans="1:9" x14ac:dyDescent="0.4">
      <c r="A4991" t="str">
        <f t="shared" si="539"/>
        <v/>
      </c>
      <c r="B4991" t="str">
        <f t="shared" si="540"/>
        <v/>
      </c>
      <c r="C4991" t="str">
        <f t="shared" si="541"/>
        <v/>
      </c>
      <c r="D4991" t="str">
        <f t="shared" si="542"/>
        <v/>
      </c>
      <c r="E4991" t="str">
        <f>IF(F4991="","",IF(COUNTIF($F$2:F4991,F4991)&gt;1,"",SUMIFS(tbl_input[필요수량],tbl_input[집계키_센터],F4991)))</f>
        <v/>
      </c>
      <c r="F4991" t="str">
        <f>IFERROR(INDEX(tbl_input[집계키_센터],ROW()-1),"")</f>
        <v/>
      </c>
      <c r="G4991" t="str">
        <f t="shared" si="543"/>
        <v/>
      </c>
      <c r="H4991" t="str">
        <f t="shared" si="544"/>
        <v/>
      </c>
      <c r="I4991" t="str">
        <f t="shared" si="545"/>
        <v/>
      </c>
    </row>
    <row r="4992" spans="1:9" x14ac:dyDescent="0.4">
      <c r="A4992" t="str">
        <f t="shared" si="539"/>
        <v/>
      </c>
      <c r="B4992" t="str">
        <f t="shared" si="540"/>
        <v/>
      </c>
      <c r="C4992" t="str">
        <f t="shared" si="541"/>
        <v/>
      </c>
      <c r="D4992" t="str">
        <f t="shared" si="542"/>
        <v/>
      </c>
      <c r="E4992" t="str">
        <f>IF(F4992="","",IF(COUNTIF($F$2:F4992,F4992)&gt;1,"",SUMIFS(tbl_input[필요수량],tbl_input[집계키_센터],F4992)))</f>
        <v/>
      </c>
      <c r="F4992" t="str">
        <f>IFERROR(INDEX(tbl_input[집계키_센터],ROW()-1),"")</f>
        <v/>
      </c>
      <c r="G4992" t="str">
        <f t="shared" si="543"/>
        <v/>
      </c>
      <c r="H4992" t="str">
        <f t="shared" si="544"/>
        <v/>
      </c>
      <c r="I4992" t="str">
        <f t="shared" si="545"/>
        <v/>
      </c>
    </row>
    <row r="4993" spans="1:9" x14ac:dyDescent="0.4">
      <c r="A4993" t="str">
        <f t="shared" si="539"/>
        <v/>
      </c>
      <c r="B4993" t="str">
        <f t="shared" si="540"/>
        <v/>
      </c>
      <c r="C4993" t="str">
        <f t="shared" si="541"/>
        <v/>
      </c>
      <c r="D4993" t="str">
        <f t="shared" si="542"/>
        <v/>
      </c>
      <c r="E4993" t="str">
        <f>IF(F4993="","",IF(COUNTIF($F$2:F4993,F4993)&gt;1,"",SUMIFS(tbl_input[필요수량],tbl_input[집계키_센터],F4993)))</f>
        <v/>
      </c>
      <c r="F4993" t="str">
        <f>IFERROR(INDEX(tbl_input[집계키_센터],ROW()-1),"")</f>
        <v/>
      </c>
      <c r="G4993" t="str">
        <f t="shared" si="543"/>
        <v/>
      </c>
      <c r="H4993" t="str">
        <f t="shared" si="544"/>
        <v/>
      </c>
      <c r="I4993" t="str">
        <f t="shared" si="545"/>
        <v/>
      </c>
    </row>
    <row r="4994" spans="1:9" x14ac:dyDescent="0.4">
      <c r="A4994" t="str">
        <f t="shared" ref="A4994:A5000" si="546">IF(F4994="","",LEFT(F4994,G4994-1))</f>
        <v/>
      </c>
      <c r="B4994" t="str">
        <f t="shared" ref="B4994:B5000" si="547">IF(F4994="","",MID(F4994,G4994+1,H4994-G4994-1))</f>
        <v/>
      </c>
      <c r="C4994" t="str">
        <f t="shared" ref="C4994:C5000" si="548">IF(F4994="","",MID(F4994,H4994+1,I4994-H4994-1))</f>
        <v/>
      </c>
      <c r="D4994" t="str">
        <f t="shared" ref="D4994:D5000" si="549">IF(F4994="","",MID(F4994,I4994+1,999))</f>
        <v/>
      </c>
      <c r="E4994" t="str">
        <f>IF(F4994="","",IF(COUNTIF($F$2:F4994,F4994)&gt;1,"",SUMIFS(tbl_input[필요수량],tbl_input[집계키_센터],F4994)))</f>
        <v/>
      </c>
      <c r="F4994" t="str">
        <f>IFERROR(INDEX(tbl_input[집계키_센터],ROW()-1),"")</f>
        <v/>
      </c>
      <c r="G4994" t="str">
        <f t="shared" ref="G4994:G5057" si="550">IF(F4994="","",FIND("♦",F4994))</f>
        <v/>
      </c>
      <c r="H4994" t="str">
        <f t="shared" ref="H4994:H5057" si="551">IF(F4994="","",FIND("♦",F4994,G4994+1))</f>
        <v/>
      </c>
      <c r="I4994" t="str">
        <f t="shared" ref="I4994:I5057" si="552">IF(F4994="","",FIND("♦",F4994,H4994+1))</f>
        <v/>
      </c>
    </row>
    <row r="4995" spans="1:9" x14ac:dyDescent="0.4">
      <c r="A4995" t="str">
        <f t="shared" si="546"/>
        <v/>
      </c>
      <c r="B4995" t="str">
        <f t="shared" si="547"/>
        <v/>
      </c>
      <c r="C4995" t="str">
        <f t="shared" si="548"/>
        <v/>
      </c>
      <c r="D4995" t="str">
        <f t="shared" si="549"/>
        <v/>
      </c>
      <c r="E4995" t="str">
        <f>IF(F4995="","",IF(COUNTIF($F$2:F4995,F4995)&gt;1,"",SUMIFS(tbl_input[필요수량],tbl_input[집계키_센터],F4995)))</f>
        <v/>
      </c>
      <c r="F4995" t="str">
        <f>IFERROR(INDEX(tbl_input[집계키_센터],ROW()-1),"")</f>
        <v/>
      </c>
      <c r="G4995" t="str">
        <f t="shared" si="550"/>
        <v/>
      </c>
      <c r="H4995" t="str">
        <f t="shared" si="551"/>
        <v/>
      </c>
      <c r="I4995" t="str">
        <f t="shared" si="552"/>
        <v/>
      </c>
    </row>
    <row r="4996" spans="1:9" x14ac:dyDescent="0.4">
      <c r="A4996" t="str">
        <f t="shared" si="546"/>
        <v/>
      </c>
      <c r="B4996" t="str">
        <f t="shared" si="547"/>
        <v/>
      </c>
      <c r="C4996" t="str">
        <f t="shared" si="548"/>
        <v/>
      </c>
      <c r="D4996" t="str">
        <f t="shared" si="549"/>
        <v/>
      </c>
      <c r="E4996" t="str">
        <f>IF(F4996="","",IF(COUNTIF($F$2:F4996,F4996)&gt;1,"",SUMIFS(tbl_input[필요수량],tbl_input[집계키_센터],F4996)))</f>
        <v/>
      </c>
      <c r="F4996" t="str">
        <f>IFERROR(INDEX(tbl_input[집계키_센터],ROW()-1),"")</f>
        <v/>
      </c>
      <c r="G4996" t="str">
        <f t="shared" si="550"/>
        <v/>
      </c>
      <c r="H4996" t="str">
        <f t="shared" si="551"/>
        <v/>
      </c>
      <c r="I4996" t="str">
        <f t="shared" si="552"/>
        <v/>
      </c>
    </row>
    <row r="4997" spans="1:9" x14ac:dyDescent="0.4">
      <c r="A4997" t="str">
        <f t="shared" si="546"/>
        <v/>
      </c>
      <c r="B4997" t="str">
        <f t="shared" si="547"/>
        <v/>
      </c>
      <c r="C4997" t="str">
        <f t="shared" si="548"/>
        <v/>
      </c>
      <c r="D4997" t="str">
        <f t="shared" si="549"/>
        <v/>
      </c>
      <c r="E4997" t="str">
        <f>IF(F4997="","",IF(COUNTIF($F$2:F4997,F4997)&gt;1,"",SUMIFS(tbl_input[필요수량],tbl_input[집계키_센터],F4997)))</f>
        <v/>
      </c>
      <c r="F4997" t="str">
        <f>IFERROR(INDEX(tbl_input[집계키_센터],ROW()-1),"")</f>
        <v/>
      </c>
      <c r="G4997" t="str">
        <f t="shared" si="550"/>
        <v/>
      </c>
      <c r="H4997" t="str">
        <f t="shared" si="551"/>
        <v/>
      </c>
      <c r="I4997" t="str">
        <f t="shared" si="552"/>
        <v/>
      </c>
    </row>
    <row r="4998" spans="1:9" x14ac:dyDescent="0.4">
      <c r="A4998" t="str">
        <f t="shared" si="546"/>
        <v/>
      </c>
      <c r="B4998" t="str">
        <f t="shared" si="547"/>
        <v/>
      </c>
      <c r="C4998" t="str">
        <f t="shared" si="548"/>
        <v/>
      </c>
      <c r="D4998" t="str">
        <f t="shared" si="549"/>
        <v/>
      </c>
      <c r="E4998" t="str">
        <f>IF(F4998="","",IF(COUNTIF($F$2:F4998,F4998)&gt;1,"",SUMIFS(tbl_input[필요수량],tbl_input[집계키_센터],F4998)))</f>
        <v/>
      </c>
      <c r="F4998" t="str">
        <f>IFERROR(INDEX(tbl_input[집계키_센터],ROW()-1),"")</f>
        <v/>
      </c>
      <c r="G4998" t="str">
        <f t="shared" si="550"/>
        <v/>
      </c>
      <c r="H4998" t="str">
        <f t="shared" si="551"/>
        <v/>
      </c>
      <c r="I4998" t="str">
        <f t="shared" si="552"/>
        <v/>
      </c>
    </row>
    <row r="4999" spans="1:9" x14ac:dyDescent="0.4">
      <c r="A4999" t="str">
        <f t="shared" si="546"/>
        <v/>
      </c>
      <c r="B4999" t="str">
        <f t="shared" si="547"/>
        <v/>
      </c>
      <c r="C4999" t="str">
        <f t="shared" si="548"/>
        <v/>
      </c>
      <c r="D4999" t="str">
        <f t="shared" si="549"/>
        <v/>
      </c>
      <c r="E4999" t="str">
        <f>IF(F4999="","",IF(COUNTIF($F$2:F4999,F4999)&gt;1,"",SUMIFS(tbl_input[필요수량],tbl_input[집계키_센터],F4999)))</f>
        <v/>
      </c>
      <c r="F4999" t="str">
        <f>IFERROR(INDEX(tbl_input[집계키_센터],ROW()-1),"")</f>
        <v/>
      </c>
      <c r="G4999" t="str">
        <f t="shared" si="550"/>
        <v/>
      </c>
      <c r="H4999" t="str">
        <f t="shared" si="551"/>
        <v/>
      </c>
      <c r="I4999" t="str">
        <f t="shared" si="552"/>
        <v/>
      </c>
    </row>
    <row r="5000" spans="1:9" x14ac:dyDescent="0.4">
      <c r="A5000" t="str">
        <f t="shared" si="546"/>
        <v/>
      </c>
      <c r="B5000" t="str">
        <f t="shared" si="547"/>
        <v/>
      </c>
      <c r="C5000" t="str">
        <f t="shared" si="548"/>
        <v/>
      </c>
      <c r="D5000" t="str">
        <f t="shared" si="549"/>
        <v/>
      </c>
      <c r="E5000" t="str">
        <f>IF(F5000="","",IF(COUNTIF($F$2:F5000,F5000)&gt;1,"",SUMIFS(tbl_input[필요수량],tbl_input[집계키_센터],F5000)))</f>
        <v/>
      </c>
      <c r="F5000" t="str">
        <f>IFERROR(INDEX(tbl_input[집계키_센터],ROW()-1),"")</f>
        <v/>
      </c>
      <c r="G5000" t="str">
        <f t="shared" si="550"/>
        <v/>
      </c>
      <c r="H5000" t="str">
        <f t="shared" si="551"/>
        <v/>
      </c>
      <c r="I5000" t="str">
        <f t="shared" si="552"/>
        <v/>
      </c>
    </row>
  </sheetData>
  <sheetProtection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DCC5E-542F-4F7F-AE44-28450B854905}">
  <dimension ref="A1:G5000"/>
  <sheetViews>
    <sheetView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5" bestFit="1" customWidth="1"/>
    <col min="2" max="2" width="8.59765625" bestFit="1" customWidth="1"/>
    <col min="3" max="3" width="6.796875" bestFit="1" customWidth="1"/>
    <col min="4" max="4" width="12.3984375" bestFit="1" customWidth="1"/>
    <col min="5" max="7" width="0" hidden="1" customWidth="1"/>
  </cols>
  <sheetData>
    <row r="1" spans="1:7" x14ac:dyDescent="0.4">
      <c r="A1" s="1" t="s">
        <v>1</v>
      </c>
      <c r="B1" s="1" t="s">
        <v>3</v>
      </c>
      <c r="C1" s="1" t="s">
        <v>4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4">
      <c r="A2" t="str">
        <f t="shared" ref="A2:A65" si="0">IF(E2="","",LEFT(E2,F2-1))</f>
        <v/>
      </c>
      <c r="B2" t="str">
        <f t="shared" ref="B2:B65" si="1">IF(E2="","",MID(E2,F2+1,G2-F2-1))</f>
        <v/>
      </c>
      <c r="C2" t="str">
        <f t="shared" ref="C2:C65" si="2">IF(E2="","",MID(E2,G2+1,999))</f>
        <v/>
      </c>
      <c r="D2">
        <f>IF(E2="","",IF(COUNTIF($E$2:E2,E2)&gt;1,"",SUMIFS(tbl_input[필요수량],tbl_input[집계키_지청],E2)))</f>
        <v>0</v>
      </c>
      <c r="E2" t="str">
        <f>IFERROR(INDEX(tbl_input[집계키_지청],ROW()-1),"")</f>
        <v>♦♦</v>
      </c>
      <c r="F2">
        <f t="shared" ref="F2:F65" si="3">IF(E2="","",FIND("♦",E2))</f>
        <v>1</v>
      </c>
      <c r="G2">
        <f t="shared" ref="G2:G65" si="4">IF(E2="","",FIND("♦",E2,F2+1))</f>
        <v>2</v>
      </c>
    </row>
    <row r="3" spans="1:7" x14ac:dyDescent="0.4">
      <c r="A3" t="str">
        <f t="shared" si="0"/>
        <v/>
      </c>
      <c r="B3" t="str">
        <f t="shared" si="1"/>
        <v/>
      </c>
      <c r="C3" t="str">
        <f t="shared" si="2"/>
        <v/>
      </c>
      <c r="D3" t="str">
        <f>IF(E3="","",IF(COUNTIF($E$2:E3,E3)&gt;1,"",SUMIFS(tbl_input[필요수량],tbl_input[집계키_지청],E3)))</f>
        <v/>
      </c>
      <c r="E3" t="str">
        <f>IFERROR(INDEX(tbl_input[집계키_지청],ROW()-1),"")</f>
        <v/>
      </c>
      <c r="F3" t="str">
        <f t="shared" si="3"/>
        <v/>
      </c>
      <c r="G3" t="str">
        <f t="shared" si="4"/>
        <v/>
      </c>
    </row>
    <row r="4" spans="1:7" x14ac:dyDescent="0.4">
      <c r="A4" t="str">
        <f t="shared" si="0"/>
        <v/>
      </c>
      <c r="B4" t="str">
        <f t="shared" si="1"/>
        <v/>
      </c>
      <c r="C4" t="str">
        <f t="shared" si="2"/>
        <v/>
      </c>
      <c r="D4" t="str">
        <f>IF(E4="","",IF(COUNTIF($E$2:E4,E4)&gt;1,"",SUMIFS(tbl_input[필요수량],tbl_input[집계키_지청],E4)))</f>
        <v/>
      </c>
      <c r="E4" t="str">
        <f>IFERROR(INDEX(tbl_input[집계키_지청],ROW()-1),"")</f>
        <v/>
      </c>
      <c r="F4" t="str">
        <f t="shared" si="3"/>
        <v/>
      </c>
      <c r="G4" t="str">
        <f t="shared" si="4"/>
        <v/>
      </c>
    </row>
    <row r="5" spans="1:7" x14ac:dyDescent="0.4">
      <c r="A5" t="str">
        <f t="shared" si="0"/>
        <v/>
      </c>
      <c r="B5" t="str">
        <f t="shared" si="1"/>
        <v/>
      </c>
      <c r="C5" t="str">
        <f t="shared" si="2"/>
        <v/>
      </c>
      <c r="D5" t="str">
        <f>IF(E5="","",IF(COUNTIF($E$2:E5,E5)&gt;1,"",SUMIFS(tbl_input[필요수량],tbl_input[집계키_지청],E5)))</f>
        <v/>
      </c>
      <c r="E5" t="str">
        <f>IFERROR(INDEX(tbl_input[집계키_지청],ROW()-1),"")</f>
        <v/>
      </c>
      <c r="F5" t="str">
        <f t="shared" si="3"/>
        <v/>
      </c>
      <c r="G5" t="str">
        <f t="shared" si="4"/>
        <v/>
      </c>
    </row>
    <row r="6" spans="1:7" x14ac:dyDescent="0.4">
      <c r="A6" t="str">
        <f t="shared" si="0"/>
        <v/>
      </c>
      <c r="B6" t="str">
        <f t="shared" si="1"/>
        <v/>
      </c>
      <c r="C6" t="str">
        <f t="shared" si="2"/>
        <v/>
      </c>
      <c r="D6" t="str">
        <f>IF(E6="","",IF(COUNTIF($E$2:E6,E6)&gt;1,"",SUMIFS(tbl_input[필요수량],tbl_input[집계키_지청],E6)))</f>
        <v/>
      </c>
      <c r="E6" t="str">
        <f>IFERROR(INDEX(tbl_input[집계키_지청],ROW()-1),"")</f>
        <v/>
      </c>
      <c r="F6" t="str">
        <f t="shared" si="3"/>
        <v/>
      </c>
      <c r="G6" t="str">
        <f t="shared" si="4"/>
        <v/>
      </c>
    </row>
    <row r="7" spans="1:7" x14ac:dyDescent="0.4">
      <c r="A7" t="str">
        <f t="shared" si="0"/>
        <v/>
      </c>
      <c r="B7" t="str">
        <f t="shared" si="1"/>
        <v/>
      </c>
      <c r="C7" t="str">
        <f t="shared" si="2"/>
        <v/>
      </c>
      <c r="D7" t="str">
        <f>IF(E7="","",IF(COUNTIF($E$2:E7,E7)&gt;1,"",SUMIFS(tbl_input[필요수량],tbl_input[집계키_지청],E7)))</f>
        <v/>
      </c>
      <c r="E7" t="str">
        <f>IFERROR(INDEX(tbl_input[집계키_지청],ROW()-1),"")</f>
        <v/>
      </c>
      <c r="F7" t="str">
        <f t="shared" si="3"/>
        <v/>
      </c>
      <c r="G7" t="str">
        <f t="shared" si="4"/>
        <v/>
      </c>
    </row>
    <row r="8" spans="1:7" x14ac:dyDescent="0.4">
      <c r="A8" t="str">
        <f t="shared" si="0"/>
        <v/>
      </c>
      <c r="B8" t="str">
        <f t="shared" si="1"/>
        <v/>
      </c>
      <c r="C8" t="str">
        <f t="shared" si="2"/>
        <v/>
      </c>
      <c r="D8" t="str">
        <f>IF(E8="","",IF(COUNTIF($E$2:E8,E8)&gt;1,"",SUMIFS(tbl_input[필요수량],tbl_input[집계키_지청],E8)))</f>
        <v/>
      </c>
      <c r="E8" t="str">
        <f>IFERROR(INDEX(tbl_input[집계키_지청],ROW()-1),"")</f>
        <v/>
      </c>
      <c r="F8" t="str">
        <f t="shared" si="3"/>
        <v/>
      </c>
      <c r="G8" t="str">
        <f t="shared" si="4"/>
        <v/>
      </c>
    </row>
    <row r="9" spans="1:7" x14ac:dyDescent="0.4">
      <c r="A9" t="str">
        <f t="shared" si="0"/>
        <v/>
      </c>
      <c r="B9" t="str">
        <f t="shared" si="1"/>
        <v/>
      </c>
      <c r="C9" t="str">
        <f t="shared" si="2"/>
        <v/>
      </c>
      <c r="D9" t="str">
        <f>IF(E9="","",IF(COUNTIF($E$2:E9,E9)&gt;1,"",SUMIFS(tbl_input[필요수량],tbl_input[집계키_지청],E9)))</f>
        <v/>
      </c>
      <c r="E9" t="str">
        <f>IFERROR(INDEX(tbl_input[집계키_지청],ROW()-1),"")</f>
        <v/>
      </c>
      <c r="F9" t="str">
        <f t="shared" si="3"/>
        <v/>
      </c>
      <c r="G9" t="str">
        <f t="shared" si="4"/>
        <v/>
      </c>
    </row>
    <row r="10" spans="1:7" x14ac:dyDescent="0.4">
      <c r="A10" t="str">
        <f t="shared" si="0"/>
        <v/>
      </c>
      <c r="B10" t="str">
        <f t="shared" si="1"/>
        <v/>
      </c>
      <c r="C10" t="str">
        <f t="shared" si="2"/>
        <v/>
      </c>
      <c r="D10" t="str">
        <f>IF(E10="","",IF(COUNTIF($E$2:E10,E10)&gt;1,"",SUMIFS(tbl_input[필요수량],tbl_input[집계키_지청],E10)))</f>
        <v/>
      </c>
      <c r="E10" t="str">
        <f>IFERROR(INDEX(tbl_input[집계키_지청],ROW()-1),"")</f>
        <v/>
      </c>
      <c r="F10" t="str">
        <f t="shared" si="3"/>
        <v/>
      </c>
      <c r="G10" t="str">
        <f t="shared" si="4"/>
        <v/>
      </c>
    </row>
    <row r="11" spans="1:7" x14ac:dyDescent="0.4">
      <c r="A11" t="str">
        <f t="shared" si="0"/>
        <v/>
      </c>
      <c r="B11" t="str">
        <f t="shared" si="1"/>
        <v/>
      </c>
      <c r="C11" t="str">
        <f t="shared" si="2"/>
        <v/>
      </c>
      <c r="D11" t="str">
        <f>IF(E11="","",IF(COUNTIF($E$2:E11,E11)&gt;1,"",SUMIFS(tbl_input[필요수량],tbl_input[집계키_지청],E11)))</f>
        <v/>
      </c>
      <c r="E11" t="str">
        <f>IFERROR(INDEX(tbl_input[집계키_지청],ROW()-1),"")</f>
        <v/>
      </c>
      <c r="F11" t="str">
        <f t="shared" si="3"/>
        <v/>
      </c>
      <c r="G11" t="str">
        <f t="shared" si="4"/>
        <v/>
      </c>
    </row>
    <row r="12" spans="1:7" x14ac:dyDescent="0.4">
      <c r="A12" t="str">
        <f t="shared" si="0"/>
        <v/>
      </c>
      <c r="B12" t="str">
        <f t="shared" si="1"/>
        <v/>
      </c>
      <c r="C12" t="str">
        <f t="shared" si="2"/>
        <v/>
      </c>
      <c r="D12" t="str">
        <f>IF(E12="","",IF(COUNTIF($E$2:E12,E12)&gt;1,"",SUMIFS(tbl_input[필요수량],tbl_input[집계키_지청],E12)))</f>
        <v/>
      </c>
      <c r="E12" t="str">
        <f>IFERROR(INDEX(tbl_input[집계키_지청],ROW()-1),"")</f>
        <v/>
      </c>
      <c r="F12" t="str">
        <f t="shared" si="3"/>
        <v/>
      </c>
      <c r="G12" t="str">
        <f t="shared" si="4"/>
        <v/>
      </c>
    </row>
    <row r="13" spans="1:7" x14ac:dyDescent="0.4">
      <c r="A13" t="str">
        <f t="shared" si="0"/>
        <v/>
      </c>
      <c r="B13" t="str">
        <f t="shared" si="1"/>
        <v/>
      </c>
      <c r="C13" t="str">
        <f t="shared" si="2"/>
        <v/>
      </c>
      <c r="D13" t="str">
        <f>IF(E13="","",IF(COUNTIF($E$2:E13,E13)&gt;1,"",SUMIFS(tbl_input[필요수량],tbl_input[집계키_지청],E13)))</f>
        <v/>
      </c>
      <c r="E13" t="str">
        <f>IFERROR(INDEX(tbl_input[집계키_지청],ROW()-1),"")</f>
        <v/>
      </c>
      <c r="F13" t="str">
        <f t="shared" si="3"/>
        <v/>
      </c>
      <c r="G13" t="str">
        <f t="shared" si="4"/>
        <v/>
      </c>
    </row>
    <row r="14" spans="1:7" x14ac:dyDescent="0.4">
      <c r="A14" t="str">
        <f t="shared" si="0"/>
        <v/>
      </c>
      <c r="B14" t="str">
        <f t="shared" si="1"/>
        <v/>
      </c>
      <c r="C14" t="str">
        <f t="shared" si="2"/>
        <v/>
      </c>
      <c r="D14" t="str">
        <f>IF(E14="","",IF(COUNTIF($E$2:E14,E14)&gt;1,"",SUMIFS(tbl_input[필요수량],tbl_input[집계키_지청],E14)))</f>
        <v/>
      </c>
      <c r="E14" t="str">
        <f>IFERROR(INDEX(tbl_input[집계키_지청],ROW()-1),"")</f>
        <v/>
      </c>
      <c r="F14" t="str">
        <f t="shared" si="3"/>
        <v/>
      </c>
      <c r="G14" t="str">
        <f t="shared" si="4"/>
        <v/>
      </c>
    </row>
    <row r="15" spans="1:7" x14ac:dyDescent="0.4">
      <c r="A15" t="str">
        <f t="shared" si="0"/>
        <v/>
      </c>
      <c r="B15" t="str">
        <f t="shared" si="1"/>
        <v/>
      </c>
      <c r="C15" t="str">
        <f t="shared" si="2"/>
        <v/>
      </c>
      <c r="D15" t="str">
        <f>IF(E15="","",IF(COUNTIF($E$2:E15,E15)&gt;1,"",SUMIFS(tbl_input[필요수량],tbl_input[집계키_지청],E15)))</f>
        <v/>
      </c>
      <c r="E15" t="str">
        <f>IFERROR(INDEX(tbl_input[집계키_지청],ROW()-1),"")</f>
        <v/>
      </c>
      <c r="F15" t="str">
        <f t="shared" si="3"/>
        <v/>
      </c>
      <c r="G15" t="str">
        <f t="shared" si="4"/>
        <v/>
      </c>
    </row>
    <row r="16" spans="1:7" x14ac:dyDescent="0.4">
      <c r="A16" t="str">
        <f t="shared" si="0"/>
        <v/>
      </c>
      <c r="B16" t="str">
        <f t="shared" si="1"/>
        <v/>
      </c>
      <c r="C16" t="str">
        <f t="shared" si="2"/>
        <v/>
      </c>
      <c r="D16" t="str">
        <f>IF(E16="","",IF(COUNTIF($E$2:E16,E16)&gt;1,"",SUMIFS(tbl_input[필요수량],tbl_input[집계키_지청],E16)))</f>
        <v/>
      </c>
      <c r="E16" t="str">
        <f>IFERROR(INDEX(tbl_input[집계키_지청],ROW()-1),"")</f>
        <v/>
      </c>
      <c r="F16" t="str">
        <f t="shared" si="3"/>
        <v/>
      </c>
      <c r="G16" t="str">
        <f t="shared" si="4"/>
        <v/>
      </c>
    </row>
    <row r="17" spans="1:7" x14ac:dyDescent="0.4">
      <c r="A17" t="str">
        <f t="shared" si="0"/>
        <v/>
      </c>
      <c r="B17" t="str">
        <f t="shared" si="1"/>
        <v/>
      </c>
      <c r="C17" t="str">
        <f t="shared" si="2"/>
        <v/>
      </c>
      <c r="D17" t="str">
        <f>IF(E17="","",IF(COUNTIF($E$2:E17,E17)&gt;1,"",SUMIFS(tbl_input[필요수량],tbl_input[집계키_지청],E17)))</f>
        <v/>
      </c>
      <c r="E17" t="str">
        <f>IFERROR(INDEX(tbl_input[집계키_지청],ROW()-1),"")</f>
        <v/>
      </c>
      <c r="F17" t="str">
        <f t="shared" si="3"/>
        <v/>
      </c>
      <c r="G17" t="str">
        <f t="shared" si="4"/>
        <v/>
      </c>
    </row>
    <row r="18" spans="1:7" x14ac:dyDescent="0.4">
      <c r="A18" t="str">
        <f t="shared" si="0"/>
        <v/>
      </c>
      <c r="B18" t="str">
        <f t="shared" si="1"/>
        <v/>
      </c>
      <c r="C18" t="str">
        <f t="shared" si="2"/>
        <v/>
      </c>
      <c r="D18" t="str">
        <f>IF(E18="","",IF(COUNTIF($E$2:E18,E18)&gt;1,"",SUMIFS(tbl_input[필요수량],tbl_input[집계키_지청],E18)))</f>
        <v/>
      </c>
      <c r="E18" t="str">
        <f>IFERROR(INDEX(tbl_input[집계키_지청],ROW()-1),"")</f>
        <v/>
      </c>
      <c r="F18" t="str">
        <f t="shared" si="3"/>
        <v/>
      </c>
      <c r="G18" t="str">
        <f t="shared" si="4"/>
        <v/>
      </c>
    </row>
    <row r="19" spans="1:7" x14ac:dyDescent="0.4">
      <c r="A19" t="str">
        <f t="shared" si="0"/>
        <v/>
      </c>
      <c r="B19" t="str">
        <f t="shared" si="1"/>
        <v/>
      </c>
      <c r="C19" t="str">
        <f t="shared" si="2"/>
        <v/>
      </c>
      <c r="D19" t="str">
        <f>IF(E19="","",IF(COUNTIF($E$2:E19,E19)&gt;1,"",SUMIFS(tbl_input[필요수량],tbl_input[집계키_지청],E19)))</f>
        <v/>
      </c>
      <c r="E19" t="str">
        <f>IFERROR(INDEX(tbl_input[집계키_지청],ROW()-1),"")</f>
        <v/>
      </c>
      <c r="F19" t="str">
        <f t="shared" si="3"/>
        <v/>
      </c>
      <c r="G19" t="str">
        <f t="shared" si="4"/>
        <v/>
      </c>
    </row>
    <row r="20" spans="1:7" x14ac:dyDescent="0.4">
      <c r="A20" t="str">
        <f t="shared" si="0"/>
        <v/>
      </c>
      <c r="B20" t="str">
        <f t="shared" si="1"/>
        <v/>
      </c>
      <c r="C20" t="str">
        <f t="shared" si="2"/>
        <v/>
      </c>
      <c r="D20" t="str">
        <f>IF(E20="","",IF(COUNTIF($E$2:E20,E20)&gt;1,"",SUMIFS(tbl_input[필요수량],tbl_input[집계키_지청],E20)))</f>
        <v/>
      </c>
      <c r="E20" t="str">
        <f>IFERROR(INDEX(tbl_input[집계키_지청],ROW()-1),"")</f>
        <v/>
      </c>
      <c r="F20" t="str">
        <f t="shared" si="3"/>
        <v/>
      </c>
      <c r="G20" t="str">
        <f t="shared" si="4"/>
        <v/>
      </c>
    </row>
    <row r="21" spans="1:7" x14ac:dyDescent="0.4">
      <c r="A21" t="str">
        <f t="shared" si="0"/>
        <v/>
      </c>
      <c r="B21" t="str">
        <f t="shared" si="1"/>
        <v/>
      </c>
      <c r="C21" t="str">
        <f t="shared" si="2"/>
        <v/>
      </c>
      <c r="D21" t="str">
        <f>IF(E21="","",IF(COUNTIF($E$2:E21,E21)&gt;1,"",SUMIFS(tbl_input[필요수량],tbl_input[집계키_지청],E21)))</f>
        <v/>
      </c>
      <c r="E21" t="str">
        <f>IFERROR(INDEX(tbl_input[집계키_지청],ROW()-1),"")</f>
        <v/>
      </c>
      <c r="F21" t="str">
        <f t="shared" si="3"/>
        <v/>
      </c>
      <c r="G21" t="str">
        <f t="shared" si="4"/>
        <v/>
      </c>
    </row>
    <row r="22" spans="1:7" x14ac:dyDescent="0.4">
      <c r="A22" t="str">
        <f t="shared" si="0"/>
        <v/>
      </c>
      <c r="B22" t="str">
        <f t="shared" si="1"/>
        <v/>
      </c>
      <c r="C22" t="str">
        <f t="shared" si="2"/>
        <v/>
      </c>
      <c r="D22" t="str">
        <f>IF(E22="","",IF(COUNTIF($E$2:E22,E22)&gt;1,"",SUMIFS(tbl_input[필요수량],tbl_input[집계키_지청],E22)))</f>
        <v/>
      </c>
      <c r="E22" t="str">
        <f>IFERROR(INDEX(tbl_input[집계키_지청],ROW()-1),"")</f>
        <v/>
      </c>
      <c r="F22" t="str">
        <f t="shared" si="3"/>
        <v/>
      </c>
      <c r="G22" t="str">
        <f t="shared" si="4"/>
        <v/>
      </c>
    </row>
    <row r="23" spans="1:7" x14ac:dyDescent="0.4">
      <c r="A23" t="str">
        <f t="shared" si="0"/>
        <v/>
      </c>
      <c r="B23" t="str">
        <f t="shared" si="1"/>
        <v/>
      </c>
      <c r="C23" t="str">
        <f t="shared" si="2"/>
        <v/>
      </c>
      <c r="D23" t="str">
        <f>IF(E23="","",IF(COUNTIF($E$2:E23,E23)&gt;1,"",SUMIFS(tbl_input[필요수량],tbl_input[집계키_지청],E23)))</f>
        <v/>
      </c>
      <c r="E23" t="str">
        <f>IFERROR(INDEX(tbl_input[집계키_지청],ROW()-1),"")</f>
        <v/>
      </c>
      <c r="F23" t="str">
        <f t="shared" si="3"/>
        <v/>
      </c>
      <c r="G23" t="str">
        <f t="shared" si="4"/>
        <v/>
      </c>
    </row>
    <row r="24" spans="1:7" x14ac:dyDescent="0.4">
      <c r="A24" t="str">
        <f t="shared" si="0"/>
        <v/>
      </c>
      <c r="B24" t="str">
        <f t="shared" si="1"/>
        <v/>
      </c>
      <c r="C24" t="str">
        <f t="shared" si="2"/>
        <v/>
      </c>
      <c r="D24" t="str">
        <f>IF(E24="","",IF(COUNTIF($E$2:E24,E24)&gt;1,"",SUMIFS(tbl_input[필요수량],tbl_input[집계키_지청],E24)))</f>
        <v/>
      </c>
      <c r="E24" t="str">
        <f>IFERROR(INDEX(tbl_input[집계키_지청],ROW()-1),"")</f>
        <v/>
      </c>
      <c r="F24" t="str">
        <f t="shared" si="3"/>
        <v/>
      </c>
      <c r="G24" t="str">
        <f t="shared" si="4"/>
        <v/>
      </c>
    </row>
    <row r="25" spans="1:7" x14ac:dyDescent="0.4">
      <c r="A25" t="str">
        <f t="shared" si="0"/>
        <v/>
      </c>
      <c r="B25" t="str">
        <f t="shared" si="1"/>
        <v/>
      </c>
      <c r="C25" t="str">
        <f t="shared" si="2"/>
        <v/>
      </c>
      <c r="D25" t="str">
        <f>IF(E25="","",IF(COUNTIF($E$2:E25,E25)&gt;1,"",SUMIFS(tbl_input[필요수량],tbl_input[집계키_지청],E25)))</f>
        <v/>
      </c>
      <c r="E25" t="str">
        <f>IFERROR(INDEX(tbl_input[집계키_지청],ROW()-1),"")</f>
        <v/>
      </c>
      <c r="F25" t="str">
        <f t="shared" si="3"/>
        <v/>
      </c>
      <c r="G25" t="str">
        <f t="shared" si="4"/>
        <v/>
      </c>
    </row>
    <row r="26" spans="1:7" x14ac:dyDescent="0.4">
      <c r="A26" t="str">
        <f t="shared" si="0"/>
        <v/>
      </c>
      <c r="B26" t="str">
        <f t="shared" si="1"/>
        <v/>
      </c>
      <c r="C26" t="str">
        <f t="shared" si="2"/>
        <v/>
      </c>
      <c r="D26" t="str">
        <f>IF(E26="","",IF(COUNTIF($E$2:E26,E26)&gt;1,"",SUMIFS(tbl_input[필요수량],tbl_input[집계키_지청],E26)))</f>
        <v/>
      </c>
      <c r="E26" t="str">
        <f>IFERROR(INDEX(tbl_input[집계키_지청],ROW()-1),"")</f>
        <v/>
      </c>
      <c r="F26" t="str">
        <f t="shared" si="3"/>
        <v/>
      </c>
      <c r="G26" t="str">
        <f t="shared" si="4"/>
        <v/>
      </c>
    </row>
    <row r="27" spans="1:7" x14ac:dyDescent="0.4">
      <c r="A27" t="str">
        <f t="shared" si="0"/>
        <v/>
      </c>
      <c r="B27" t="str">
        <f t="shared" si="1"/>
        <v/>
      </c>
      <c r="C27" t="str">
        <f t="shared" si="2"/>
        <v/>
      </c>
      <c r="D27" t="str">
        <f>IF(E27="","",IF(COUNTIF($E$2:E27,E27)&gt;1,"",SUMIFS(tbl_input[필요수량],tbl_input[집계키_지청],E27)))</f>
        <v/>
      </c>
      <c r="E27" t="str">
        <f>IFERROR(INDEX(tbl_input[집계키_지청],ROW()-1),"")</f>
        <v/>
      </c>
      <c r="F27" t="str">
        <f t="shared" si="3"/>
        <v/>
      </c>
      <c r="G27" t="str">
        <f t="shared" si="4"/>
        <v/>
      </c>
    </row>
    <row r="28" spans="1:7" x14ac:dyDescent="0.4">
      <c r="A28" t="str">
        <f t="shared" si="0"/>
        <v/>
      </c>
      <c r="B28" t="str">
        <f t="shared" si="1"/>
        <v/>
      </c>
      <c r="C28" t="str">
        <f t="shared" si="2"/>
        <v/>
      </c>
      <c r="D28" t="str">
        <f>IF(E28="","",IF(COUNTIF($E$2:E28,E28)&gt;1,"",SUMIFS(tbl_input[필요수량],tbl_input[집계키_지청],E28)))</f>
        <v/>
      </c>
      <c r="E28" t="str">
        <f>IFERROR(INDEX(tbl_input[집계키_지청],ROW()-1),"")</f>
        <v/>
      </c>
      <c r="F28" t="str">
        <f t="shared" si="3"/>
        <v/>
      </c>
      <c r="G28" t="str">
        <f t="shared" si="4"/>
        <v/>
      </c>
    </row>
    <row r="29" spans="1:7" x14ac:dyDescent="0.4">
      <c r="A29" t="str">
        <f t="shared" si="0"/>
        <v/>
      </c>
      <c r="B29" t="str">
        <f t="shared" si="1"/>
        <v/>
      </c>
      <c r="C29" t="str">
        <f t="shared" si="2"/>
        <v/>
      </c>
      <c r="D29" t="str">
        <f>IF(E29="","",IF(COUNTIF($E$2:E29,E29)&gt;1,"",SUMIFS(tbl_input[필요수량],tbl_input[집계키_지청],E29)))</f>
        <v/>
      </c>
      <c r="E29" t="str">
        <f>IFERROR(INDEX(tbl_input[집계키_지청],ROW()-1),"")</f>
        <v/>
      </c>
      <c r="F29" t="str">
        <f t="shared" si="3"/>
        <v/>
      </c>
      <c r="G29" t="str">
        <f t="shared" si="4"/>
        <v/>
      </c>
    </row>
    <row r="30" spans="1:7" x14ac:dyDescent="0.4">
      <c r="A30" t="str">
        <f t="shared" si="0"/>
        <v/>
      </c>
      <c r="B30" t="str">
        <f t="shared" si="1"/>
        <v/>
      </c>
      <c r="C30" t="str">
        <f t="shared" si="2"/>
        <v/>
      </c>
      <c r="D30" t="str">
        <f>IF(E30="","",IF(COUNTIF($E$2:E30,E30)&gt;1,"",SUMIFS(tbl_input[필요수량],tbl_input[집계키_지청],E30)))</f>
        <v/>
      </c>
      <c r="E30" t="str">
        <f>IFERROR(INDEX(tbl_input[집계키_지청],ROW()-1),"")</f>
        <v/>
      </c>
      <c r="F30" t="str">
        <f t="shared" si="3"/>
        <v/>
      </c>
      <c r="G30" t="str">
        <f t="shared" si="4"/>
        <v/>
      </c>
    </row>
    <row r="31" spans="1:7" x14ac:dyDescent="0.4">
      <c r="A31" t="str">
        <f t="shared" si="0"/>
        <v/>
      </c>
      <c r="B31" t="str">
        <f t="shared" si="1"/>
        <v/>
      </c>
      <c r="C31" t="str">
        <f t="shared" si="2"/>
        <v/>
      </c>
      <c r="D31" t="str">
        <f>IF(E31="","",IF(COUNTIF($E$2:E31,E31)&gt;1,"",SUMIFS(tbl_input[필요수량],tbl_input[집계키_지청],E31)))</f>
        <v/>
      </c>
      <c r="E31" t="str">
        <f>IFERROR(INDEX(tbl_input[집계키_지청],ROW()-1),"")</f>
        <v/>
      </c>
      <c r="F31" t="str">
        <f t="shared" si="3"/>
        <v/>
      </c>
      <c r="G31" t="str">
        <f t="shared" si="4"/>
        <v/>
      </c>
    </row>
    <row r="32" spans="1:7" x14ac:dyDescent="0.4">
      <c r="A32" t="str">
        <f t="shared" si="0"/>
        <v/>
      </c>
      <c r="B32" t="str">
        <f t="shared" si="1"/>
        <v/>
      </c>
      <c r="C32" t="str">
        <f t="shared" si="2"/>
        <v/>
      </c>
      <c r="D32" t="str">
        <f>IF(E32="","",IF(COUNTIF($E$2:E32,E32)&gt;1,"",SUMIFS(tbl_input[필요수량],tbl_input[집계키_지청],E32)))</f>
        <v/>
      </c>
      <c r="E32" t="str">
        <f>IFERROR(INDEX(tbl_input[집계키_지청],ROW()-1),"")</f>
        <v/>
      </c>
      <c r="F32" t="str">
        <f t="shared" si="3"/>
        <v/>
      </c>
      <c r="G32" t="str">
        <f t="shared" si="4"/>
        <v/>
      </c>
    </row>
    <row r="33" spans="1:7" x14ac:dyDescent="0.4">
      <c r="A33" t="str">
        <f t="shared" si="0"/>
        <v/>
      </c>
      <c r="B33" t="str">
        <f t="shared" si="1"/>
        <v/>
      </c>
      <c r="C33" t="str">
        <f t="shared" si="2"/>
        <v/>
      </c>
      <c r="D33" t="str">
        <f>IF(E33="","",IF(COUNTIF($E$2:E33,E33)&gt;1,"",SUMIFS(tbl_input[필요수량],tbl_input[집계키_지청],E33)))</f>
        <v/>
      </c>
      <c r="E33" t="str">
        <f>IFERROR(INDEX(tbl_input[집계키_지청],ROW()-1),"")</f>
        <v/>
      </c>
      <c r="F33" t="str">
        <f t="shared" si="3"/>
        <v/>
      </c>
      <c r="G33" t="str">
        <f t="shared" si="4"/>
        <v/>
      </c>
    </row>
    <row r="34" spans="1:7" x14ac:dyDescent="0.4">
      <c r="A34" t="str">
        <f t="shared" si="0"/>
        <v/>
      </c>
      <c r="B34" t="str">
        <f t="shared" si="1"/>
        <v/>
      </c>
      <c r="C34" t="str">
        <f t="shared" si="2"/>
        <v/>
      </c>
      <c r="D34" t="str">
        <f>IF(E34="","",IF(COUNTIF($E$2:E34,E34)&gt;1,"",SUMIFS(tbl_input[필요수량],tbl_input[집계키_지청],E34)))</f>
        <v/>
      </c>
      <c r="E34" t="str">
        <f>IFERROR(INDEX(tbl_input[집계키_지청],ROW()-1),"")</f>
        <v/>
      </c>
      <c r="F34" t="str">
        <f t="shared" si="3"/>
        <v/>
      </c>
      <c r="G34" t="str">
        <f t="shared" si="4"/>
        <v/>
      </c>
    </row>
    <row r="35" spans="1:7" x14ac:dyDescent="0.4">
      <c r="A35" t="str">
        <f t="shared" si="0"/>
        <v/>
      </c>
      <c r="B35" t="str">
        <f t="shared" si="1"/>
        <v/>
      </c>
      <c r="C35" t="str">
        <f t="shared" si="2"/>
        <v/>
      </c>
      <c r="D35" t="str">
        <f>IF(E35="","",IF(COUNTIF($E$2:E35,E35)&gt;1,"",SUMIFS(tbl_input[필요수량],tbl_input[집계키_지청],E35)))</f>
        <v/>
      </c>
      <c r="E35" t="str">
        <f>IFERROR(INDEX(tbl_input[집계키_지청],ROW()-1),"")</f>
        <v/>
      </c>
      <c r="F35" t="str">
        <f t="shared" si="3"/>
        <v/>
      </c>
      <c r="G35" t="str">
        <f t="shared" si="4"/>
        <v/>
      </c>
    </row>
    <row r="36" spans="1:7" x14ac:dyDescent="0.4">
      <c r="A36" t="str">
        <f t="shared" si="0"/>
        <v/>
      </c>
      <c r="B36" t="str">
        <f t="shared" si="1"/>
        <v/>
      </c>
      <c r="C36" t="str">
        <f t="shared" si="2"/>
        <v/>
      </c>
      <c r="D36" t="str">
        <f>IF(E36="","",IF(COUNTIF($E$2:E36,E36)&gt;1,"",SUMIFS(tbl_input[필요수량],tbl_input[집계키_지청],E36)))</f>
        <v/>
      </c>
      <c r="E36" t="str">
        <f>IFERROR(INDEX(tbl_input[집계키_지청],ROW()-1),"")</f>
        <v/>
      </c>
      <c r="F36" t="str">
        <f t="shared" si="3"/>
        <v/>
      </c>
      <c r="G36" t="str">
        <f t="shared" si="4"/>
        <v/>
      </c>
    </row>
    <row r="37" spans="1:7" x14ac:dyDescent="0.4">
      <c r="A37" t="str">
        <f t="shared" si="0"/>
        <v/>
      </c>
      <c r="B37" t="str">
        <f t="shared" si="1"/>
        <v/>
      </c>
      <c r="C37" t="str">
        <f t="shared" si="2"/>
        <v/>
      </c>
      <c r="D37" t="str">
        <f>IF(E37="","",IF(COUNTIF($E$2:E37,E37)&gt;1,"",SUMIFS(tbl_input[필요수량],tbl_input[집계키_지청],E37)))</f>
        <v/>
      </c>
      <c r="E37" t="str">
        <f>IFERROR(INDEX(tbl_input[집계키_지청],ROW()-1),"")</f>
        <v/>
      </c>
      <c r="F37" t="str">
        <f t="shared" si="3"/>
        <v/>
      </c>
      <c r="G37" t="str">
        <f t="shared" si="4"/>
        <v/>
      </c>
    </row>
    <row r="38" spans="1:7" x14ac:dyDescent="0.4">
      <c r="A38" t="str">
        <f t="shared" si="0"/>
        <v/>
      </c>
      <c r="B38" t="str">
        <f t="shared" si="1"/>
        <v/>
      </c>
      <c r="C38" t="str">
        <f t="shared" si="2"/>
        <v/>
      </c>
      <c r="D38" t="str">
        <f>IF(E38="","",IF(COUNTIF($E$2:E38,E38)&gt;1,"",SUMIFS(tbl_input[필요수량],tbl_input[집계키_지청],E38)))</f>
        <v/>
      </c>
      <c r="E38" t="str">
        <f>IFERROR(INDEX(tbl_input[집계키_지청],ROW()-1),"")</f>
        <v/>
      </c>
      <c r="F38" t="str">
        <f t="shared" si="3"/>
        <v/>
      </c>
      <c r="G38" t="str">
        <f t="shared" si="4"/>
        <v/>
      </c>
    </row>
    <row r="39" spans="1:7" x14ac:dyDescent="0.4">
      <c r="A39" t="str">
        <f t="shared" si="0"/>
        <v/>
      </c>
      <c r="B39" t="str">
        <f t="shared" si="1"/>
        <v/>
      </c>
      <c r="C39" t="str">
        <f t="shared" si="2"/>
        <v/>
      </c>
      <c r="D39" t="str">
        <f>IF(E39="","",IF(COUNTIF($E$2:E39,E39)&gt;1,"",SUMIFS(tbl_input[필요수량],tbl_input[집계키_지청],E39)))</f>
        <v/>
      </c>
      <c r="E39" t="str">
        <f>IFERROR(INDEX(tbl_input[집계키_지청],ROW()-1),"")</f>
        <v/>
      </c>
      <c r="F39" t="str">
        <f t="shared" si="3"/>
        <v/>
      </c>
      <c r="G39" t="str">
        <f t="shared" si="4"/>
        <v/>
      </c>
    </row>
    <row r="40" spans="1:7" x14ac:dyDescent="0.4">
      <c r="A40" t="str">
        <f t="shared" si="0"/>
        <v/>
      </c>
      <c r="B40" t="str">
        <f t="shared" si="1"/>
        <v/>
      </c>
      <c r="C40" t="str">
        <f t="shared" si="2"/>
        <v/>
      </c>
      <c r="D40" t="str">
        <f>IF(E40="","",IF(COUNTIF($E$2:E40,E40)&gt;1,"",SUMIFS(tbl_input[필요수량],tbl_input[집계키_지청],E40)))</f>
        <v/>
      </c>
      <c r="E40" t="str">
        <f>IFERROR(INDEX(tbl_input[집계키_지청],ROW()-1),"")</f>
        <v/>
      </c>
      <c r="F40" t="str">
        <f t="shared" si="3"/>
        <v/>
      </c>
      <c r="G40" t="str">
        <f t="shared" si="4"/>
        <v/>
      </c>
    </row>
    <row r="41" spans="1:7" x14ac:dyDescent="0.4">
      <c r="A41" t="str">
        <f t="shared" si="0"/>
        <v/>
      </c>
      <c r="B41" t="str">
        <f t="shared" si="1"/>
        <v/>
      </c>
      <c r="C41" t="str">
        <f t="shared" si="2"/>
        <v/>
      </c>
      <c r="D41" t="str">
        <f>IF(E41="","",IF(COUNTIF($E$2:E41,E41)&gt;1,"",SUMIFS(tbl_input[필요수량],tbl_input[집계키_지청],E41)))</f>
        <v/>
      </c>
      <c r="E41" t="str">
        <f>IFERROR(INDEX(tbl_input[집계키_지청],ROW()-1),"")</f>
        <v/>
      </c>
      <c r="F41" t="str">
        <f t="shared" si="3"/>
        <v/>
      </c>
      <c r="G41" t="str">
        <f t="shared" si="4"/>
        <v/>
      </c>
    </row>
    <row r="42" spans="1:7" x14ac:dyDescent="0.4">
      <c r="A42" t="str">
        <f t="shared" si="0"/>
        <v/>
      </c>
      <c r="B42" t="str">
        <f t="shared" si="1"/>
        <v/>
      </c>
      <c r="C42" t="str">
        <f t="shared" si="2"/>
        <v/>
      </c>
      <c r="D42" t="str">
        <f>IF(E42="","",IF(COUNTIF($E$2:E42,E42)&gt;1,"",SUMIFS(tbl_input[필요수량],tbl_input[집계키_지청],E42)))</f>
        <v/>
      </c>
      <c r="E42" t="str">
        <f>IFERROR(INDEX(tbl_input[집계키_지청],ROW()-1),"")</f>
        <v/>
      </c>
      <c r="F42" t="str">
        <f t="shared" si="3"/>
        <v/>
      </c>
      <c r="G42" t="str">
        <f t="shared" si="4"/>
        <v/>
      </c>
    </row>
    <row r="43" spans="1:7" x14ac:dyDescent="0.4">
      <c r="A43" t="str">
        <f t="shared" si="0"/>
        <v/>
      </c>
      <c r="B43" t="str">
        <f t="shared" si="1"/>
        <v/>
      </c>
      <c r="C43" t="str">
        <f t="shared" si="2"/>
        <v/>
      </c>
      <c r="D43" t="str">
        <f>IF(E43="","",IF(COUNTIF($E$2:E43,E43)&gt;1,"",SUMIFS(tbl_input[필요수량],tbl_input[집계키_지청],E43)))</f>
        <v/>
      </c>
      <c r="E43" t="str">
        <f>IFERROR(INDEX(tbl_input[집계키_지청],ROW()-1),"")</f>
        <v/>
      </c>
      <c r="F43" t="str">
        <f t="shared" si="3"/>
        <v/>
      </c>
      <c r="G43" t="str">
        <f t="shared" si="4"/>
        <v/>
      </c>
    </row>
    <row r="44" spans="1:7" x14ac:dyDescent="0.4">
      <c r="A44" t="str">
        <f t="shared" si="0"/>
        <v/>
      </c>
      <c r="B44" t="str">
        <f t="shared" si="1"/>
        <v/>
      </c>
      <c r="C44" t="str">
        <f t="shared" si="2"/>
        <v/>
      </c>
      <c r="D44" t="str">
        <f>IF(E44="","",IF(COUNTIF($E$2:E44,E44)&gt;1,"",SUMIFS(tbl_input[필요수량],tbl_input[집계키_지청],E44)))</f>
        <v/>
      </c>
      <c r="E44" t="str">
        <f>IFERROR(INDEX(tbl_input[집계키_지청],ROW()-1),"")</f>
        <v/>
      </c>
      <c r="F44" t="str">
        <f t="shared" si="3"/>
        <v/>
      </c>
      <c r="G44" t="str">
        <f t="shared" si="4"/>
        <v/>
      </c>
    </row>
    <row r="45" spans="1:7" x14ac:dyDescent="0.4">
      <c r="A45" t="str">
        <f t="shared" si="0"/>
        <v/>
      </c>
      <c r="B45" t="str">
        <f t="shared" si="1"/>
        <v/>
      </c>
      <c r="C45" t="str">
        <f t="shared" si="2"/>
        <v/>
      </c>
      <c r="D45" t="str">
        <f>IF(E45="","",IF(COUNTIF($E$2:E45,E45)&gt;1,"",SUMIFS(tbl_input[필요수량],tbl_input[집계키_지청],E45)))</f>
        <v/>
      </c>
      <c r="E45" t="str">
        <f>IFERROR(INDEX(tbl_input[집계키_지청],ROW()-1),"")</f>
        <v/>
      </c>
      <c r="F45" t="str">
        <f t="shared" si="3"/>
        <v/>
      </c>
      <c r="G45" t="str">
        <f t="shared" si="4"/>
        <v/>
      </c>
    </row>
    <row r="46" spans="1:7" x14ac:dyDescent="0.4">
      <c r="A46" t="str">
        <f t="shared" si="0"/>
        <v/>
      </c>
      <c r="B46" t="str">
        <f t="shared" si="1"/>
        <v/>
      </c>
      <c r="C46" t="str">
        <f t="shared" si="2"/>
        <v/>
      </c>
      <c r="D46" t="str">
        <f>IF(E46="","",IF(COUNTIF($E$2:E46,E46)&gt;1,"",SUMIFS(tbl_input[필요수량],tbl_input[집계키_지청],E46)))</f>
        <v/>
      </c>
      <c r="E46" t="str">
        <f>IFERROR(INDEX(tbl_input[집계키_지청],ROW()-1),"")</f>
        <v/>
      </c>
      <c r="F46" t="str">
        <f t="shared" si="3"/>
        <v/>
      </c>
      <c r="G46" t="str">
        <f t="shared" si="4"/>
        <v/>
      </c>
    </row>
    <row r="47" spans="1:7" x14ac:dyDescent="0.4">
      <c r="A47" t="str">
        <f t="shared" si="0"/>
        <v/>
      </c>
      <c r="B47" t="str">
        <f t="shared" si="1"/>
        <v/>
      </c>
      <c r="C47" t="str">
        <f t="shared" si="2"/>
        <v/>
      </c>
      <c r="D47" t="str">
        <f>IF(E47="","",IF(COUNTIF($E$2:E47,E47)&gt;1,"",SUMIFS(tbl_input[필요수량],tbl_input[집계키_지청],E47)))</f>
        <v/>
      </c>
      <c r="E47" t="str">
        <f>IFERROR(INDEX(tbl_input[집계키_지청],ROW()-1),"")</f>
        <v/>
      </c>
      <c r="F47" t="str">
        <f t="shared" si="3"/>
        <v/>
      </c>
      <c r="G47" t="str">
        <f t="shared" si="4"/>
        <v/>
      </c>
    </row>
    <row r="48" spans="1:7" x14ac:dyDescent="0.4">
      <c r="A48" t="str">
        <f t="shared" si="0"/>
        <v/>
      </c>
      <c r="B48" t="str">
        <f t="shared" si="1"/>
        <v/>
      </c>
      <c r="C48" t="str">
        <f t="shared" si="2"/>
        <v/>
      </c>
      <c r="D48" t="str">
        <f>IF(E48="","",IF(COUNTIF($E$2:E48,E48)&gt;1,"",SUMIFS(tbl_input[필요수량],tbl_input[집계키_지청],E48)))</f>
        <v/>
      </c>
      <c r="E48" t="str">
        <f>IFERROR(INDEX(tbl_input[집계키_지청],ROW()-1),"")</f>
        <v/>
      </c>
      <c r="F48" t="str">
        <f t="shared" si="3"/>
        <v/>
      </c>
      <c r="G48" t="str">
        <f t="shared" si="4"/>
        <v/>
      </c>
    </row>
    <row r="49" spans="1:7" x14ac:dyDescent="0.4">
      <c r="A49" t="str">
        <f t="shared" si="0"/>
        <v/>
      </c>
      <c r="B49" t="str">
        <f t="shared" si="1"/>
        <v/>
      </c>
      <c r="C49" t="str">
        <f t="shared" si="2"/>
        <v/>
      </c>
      <c r="D49" t="str">
        <f>IF(E49="","",IF(COUNTIF($E$2:E49,E49)&gt;1,"",SUMIFS(tbl_input[필요수량],tbl_input[집계키_지청],E49)))</f>
        <v/>
      </c>
      <c r="E49" t="str">
        <f>IFERROR(INDEX(tbl_input[집계키_지청],ROW()-1),"")</f>
        <v/>
      </c>
      <c r="F49" t="str">
        <f t="shared" si="3"/>
        <v/>
      </c>
      <c r="G49" t="str">
        <f t="shared" si="4"/>
        <v/>
      </c>
    </row>
    <row r="50" spans="1:7" x14ac:dyDescent="0.4">
      <c r="A50" t="str">
        <f t="shared" si="0"/>
        <v/>
      </c>
      <c r="B50" t="str">
        <f t="shared" si="1"/>
        <v/>
      </c>
      <c r="C50" t="str">
        <f t="shared" si="2"/>
        <v/>
      </c>
      <c r="D50" t="str">
        <f>IF(E50="","",IF(COUNTIF($E$2:E50,E50)&gt;1,"",SUMIFS(tbl_input[필요수량],tbl_input[집계키_지청],E50)))</f>
        <v/>
      </c>
      <c r="E50" t="str">
        <f>IFERROR(INDEX(tbl_input[집계키_지청],ROW()-1),"")</f>
        <v/>
      </c>
      <c r="F50" t="str">
        <f t="shared" si="3"/>
        <v/>
      </c>
      <c r="G50" t="str">
        <f t="shared" si="4"/>
        <v/>
      </c>
    </row>
    <row r="51" spans="1:7" x14ac:dyDescent="0.4">
      <c r="A51" t="str">
        <f t="shared" si="0"/>
        <v/>
      </c>
      <c r="B51" t="str">
        <f t="shared" si="1"/>
        <v/>
      </c>
      <c r="C51" t="str">
        <f t="shared" si="2"/>
        <v/>
      </c>
      <c r="D51" t="str">
        <f>IF(E51="","",IF(COUNTIF($E$2:E51,E51)&gt;1,"",SUMIFS(tbl_input[필요수량],tbl_input[집계키_지청],E51)))</f>
        <v/>
      </c>
      <c r="E51" t="str">
        <f>IFERROR(INDEX(tbl_input[집계키_지청],ROW()-1),"")</f>
        <v/>
      </c>
      <c r="F51" t="str">
        <f t="shared" si="3"/>
        <v/>
      </c>
      <c r="G51" t="str">
        <f t="shared" si="4"/>
        <v/>
      </c>
    </row>
    <row r="52" spans="1:7" x14ac:dyDescent="0.4">
      <c r="A52" t="str">
        <f t="shared" si="0"/>
        <v/>
      </c>
      <c r="B52" t="str">
        <f t="shared" si="1"/>
        <v/>
      </c>
      <c r="C52" t="str">
        <f t="shared" si="2"/>
        <v/>
      </c>
      <c r="D52" t="str">
        <f>IF(E52="","",IF(COUNTIF($E$2:E52,E52)&gt;1,"",SUMIFS(tbl_input[필요수량],tbl_input[집계키_지청],E52)))</f>
        <v/>
      </c>
      <c r="E52" t="str">
        <f>IFERROR(INDEX(tbl_input[집계키_지청],ROW()-1),"")</f>
        <v/>
      </c>
      <c r="F52" t="str">
        <f t="shared" si="3"/>
        <v/>
      </c>
      <c r="G52" t="str">
        <f t="shared" si="4"/>
        <v/>
      </c>
    </row>
    <row r="53" spans="1:7" x14ac:dyDescent="0.4">
      <c r="A53" t="str">
        <f t="shared" si="0"/>
        <v/>
      </c>
      <c r="B53" t="str">
        <f t="shared" si="1"/>
        <v/>
      </c>
      <c r="C53" t="str">
        <f t="shared" si="2"/>
        <v/>
      </c>
      <c r="D53" t="str">
        <f>IF(E53="","",IF(COUNTIF($E$2:E53,E53)&gt;1,"",SUMIFS(tbl_input[필요수량],tbl_input[집계키_지청],E53)))</f>
        <v/>
      </c>
      <c r="E53" t="str">
        <f>IFERROR(INDEX(tbl_input[집계키_지청],ROW()-1),"")</f>
        <v/>
      </c>
      <c r="F53" t="str">
        <f t="shared" si="3"/>
        <v/>
      </c>
      <c r="G53" t="str">
        <f t="shared" si="4"/>
        <v/>
      </c>
    </row>
    <row r="54" spans="1:7" x14ac:dyDescent="0.4">
      <c r="A54" t="str">
        <f t="shared" si="0"/>
        <v/>
      </c>
      <c r="B54" t="str">
        <f t="shared" si="1"/>
        <v/>
      </c>
      <c r="C54" t="str">
        <f t="shared" si="2"/>
        <v/>
      </c>
      <c r="D54" t="str">
        <f>IF(E54="","",IF(COUNTIF($E$2:E54,E54)&gt;1,"",SUMIFS(tbl_input[필요수량],tbl_input[집계키_지청],E54)))</f>
        <v/>
      </c>
      <c r="E54" t="str">
        <f>IFERROR(INDEX(tbl_input[집계키_지청],ROW()-1),"")</f>
        <v/>
      </c>
      <c r="F54" t="str">
        <f t="shared" si="3"/>
        <v/>
      </c>
      <c r="G54" t="str">
        <f t="shared" si="4"/>
        <v/>
      </c>
    </row>
    <row r="55" spans="1:7" x14ac:dyDescent="0.4">
      <c r="A55" t="str">
        <f t="shared" si="0"/>
        <v/>
      </c>
      <c r="B55" t="str">
        <f t="shared" si="1"/>
        <v/>
      </c>
      <c r="C55" t="str">
        <f t="shared" si="2"/>
        <v/>
      </c>
      <c r="D55" t="str">
        <f>IF(E55="","",IF(COUNTIF($E$2:E55,E55)&gt;1,"",SUMIFS(tbl_input[필요수량],tbl_input[집계키_지청],E55)))</f>
        <v/>
      </c>
      <c r="E55" t="str">
        <f>IFERROR(INDEX(tbl_input[집계키_지청],ROW()-1),"")</f>
        <v/>
      </c>
      <c r="F55" t="str">
        <f t="shared" si="3"/>
        <v/>
      </c>
      <c r="G55" t="str">
        <f t="shared" si="4"/>
        <v/>
      </c>
    </row>
    <row r="56" spans="1:7" x14ac:dyDescent="0.4">
      <c r="A56" t="str">
        <f t="shared" si="0"/>
        <v/>
      </c>
      <c r="B56" t="str">
        <f t="shared" si="1"/>
        <v/>
      </c>
      <c r="C56" t="str">
        <f t="shared" si="2"/>
        <v/>
      </c>
      <c r="D56" t="str">
        <f>IF(E56="","",IF(COUNTIF($E$2:E56,E56)&gt;1,"",SUMIFS(tbl_input[필요수량],tbl_input[집계키_지청],E56)))</f>
        <v/>
      </c>
      <c r="E56" t="str">
        <f>IFERROR(INDEX(tbl_input[집계키_지청],ROW()-1),"")</f>
        <v/>
      </c>
      <c r="F56" t="str">
        <f t="shared" si="3"/>
        <v/>
      </c>
      <c r="G56" t="str">
        <f t="shared" si="4"/>
        <v/>
      </c>
    </row>
    <row r="57" spans="1:7" x14ac:dyDescent="0.4">
      <c r="A57" t="str">
        <f t="shared" si="0"/>
        <v/>
      </c>
      <c r="B57" t="str">
        <f t="shared" si="1"/>
        <v/>
      </c>
      <c r="C57" t="str">
        <f t="shared" si="2"/>
        <v/>
      </c>
      <c r="D57" t="str">
        <f>IF(E57="","",IF(COUNTIF($E$2:E57,E57)&gt;1,"",SUMIFS(tbl_input[필요수량],tbl_input[집계키_지청],E57)))</f>
        <v/>
      </c>
      <c r="E57" t="str">
        <f>IFERROR(INDEX(tbl_input[집계키_지청],ROW()-1),"")</f>
        <v/>
      </c>
      <c r="F57" t="str">
        <f t="shared" si="3"/>
        <v/>
      </c>
      <c r="G57" t="str">
        <f t="shared" si="4"/>
        <v/>
      </c>
    </row>
    <row r="58" spans="1:7" x14ac:dyDescent="0.4">
      <c r="A58" t="str">
        <f t="shared" si="0"/>
        <v/>
      </c>
      <c r="B58" t="str">
        <f t="shared" si="1"/>
        <v/>
      </c>
      <c r="C58" t="str">
        <f t="shared" si="2"/>
        <v/>
      </c>
      <c r="D58" t="str">
        <f>IF(E58="","",IF(COUNTIF($E$2:E58,E58)&gt;1,"",SUMIFS(tbl_input[필요수량],tbl_input[집계키_지청],E58)))</f>
        <v/>
      </c>
      <c r="E58" t="str">
        <f>IFERROR(INDEX(tbl_input[집계키_지청],ROW()-1),"")</f>
        <v/>
      </c>
      <c r="F58" t="str">
        <f t="shared" si="3"/>
        <v/>
      </c>
      <c r="G58" t="str">
        <f t="shared" si="4"/>
        <v/>
      </c>
    </row>
    <row r="59" spans="1:7" x14ac:dyDescent="0.4">
      <c r="A59" t="str">
        <f t="shared" si="0"/>
        <v/>
      </c>
      <c r="B59" t="str">
        <f t="shared" si="1"/>
        <v/>
      </c>
      <c r="C59" t="str">
        <f t="shared" si="2"/>
        <v/>
      </c>
      <c r="D59" t="str">
        <f>IF(E59="","",IF(COUNTIF($E$2:E59,E59)&gt;1,"",SUMIFS(tbl_input[필요수량],tbl_input[집계키_지청],E59)))</f>
        <v/>
      </c>
      <c r="E59" t="str">
        <f>IFERROR(INDEX(tbl_input[집계키_지청],ROW()-1),"")</f>
        <v/>
      </c>
      <c r="F59" t="str">
        <f t="shared" si="3"/>
        <v/>
      </c>
      <c r="G59" t="str">
        <f t="shared" si="4"/>
        <v/>
      </c>
    </row>
    <row r="60" spans="1:7" x14ac:dyDescent="0.4">
      <c r="A60" t="str">
        <f t="shared" si="0"/>
        <v/>
      </c>
      <c r="B60" t="str">
        <f t="shared" si="1"/>
        <v/>
      </c>
      <c r="C60" t="str">
        <f t="shared" si="2"/>
        <v/>
      </c>
      <c r="D60" t="str">
        <f>IF(E60="","",IF(COUNTIF($E$2:E60,E60)&gt;1,"",SUMIFS(tbl_input[필요수량],tbl_input[집계키_지청],E60)))</f>
        <v/>
      </c>
      <c r="E60" t="str">
        <f>IFERROR(INDEX(tbl_input[집계키_지청],ROW()-1),"")</f>
        <v/>
      </c>
      <c r="F60" t="str">
        <f t="shared" si="3"/>
        <v/>
      </c>
      <c r="G60" t="str">
        <f t="shared" si="4"/>
        <v/>
      </c>
    </row>
    <row r="61" spans="1:7" x14ac:dyDescent="0.4">
      <c r="A61" t="str">
        <f t="shared" si="0"/>
        <v/>
      </c>
      <c r="B61" t="str">
        <f t="shared" si="1"/>
        <v/>
      </c>
      <c r="C61" t="str">
        <f t="shared" si="2"/>
        <v/>
      </c>
      <c r="D61" t="str">
        <f>IF(E61="","",IF(COUNTIF($E$2:E61,E61)&gt;1,"",SUMIFS(tbl_input[필요수량],tbl_input[집계키_지청],E61)))</f>
        <v/>
      </c>
      <c r="E61" t="str">
        <f>IFERROR(INDEX(tbl_input[집계키_지청],ROW()-1),"")</f>
        <v/>
      </c>
      <c r="F61" t="str">
        <f t="shared" si="3"/>
        <v/>
      </c>
      <c r="G61" t="str">
        <f t="shared" si="4"/>
        <v/>
      </c>
    </row>
    <row r="62" spans="1:7" x14ac:dyDescent="0.4">
      <c r="A62" t="str">
        <f t="shared" si="0"/>
        <v/>
      </c>
      <c r="B62" t="str">
        <f t="shared" si="1"/>
        <v/>
      </c>
      <c r="C62" t="str">
        <f t="shared" si="2"/>
        <v/>
      </c>
      <c r="D62" t="str">
        <f>IF(E62="","",IF(COUNTIF($E$2:E62,E62)&gt;1,"",SUMIFS(tbl_input[필요수량],tbl_input[집계키_지청],E62)))</f>
        <v/>
      </c>
      <c r="E62" t="str">
        <f>IFERROR(INDEX(tbl_input[집계키_지청],ROW()-1),"")</f>
        <v/>
      </c>
      <c r="F62" t="str">
        <f t="shared" si="3"/>
        <v/>
      </c>
      <c r="G62" t="str">
        <f t="shared" si="4"/>
        <v/>
      </c>
    </row>
    <row r="63" spans="1:7" x14ac:dyDescent="0.4">
      <c r="A63" t="str">
        <f t="shared" si="0"/>
        <v/>
      </c>
      <c r="B63" t="str">
        <f t="shared" si="1"/>
        <v/>
      </c>
      <c r="C63" t="str">
        <f t="shared" si="2"/>
        <v/>
      </c>
      <c r="D63" t="str">
        <f>IF(E63="","",IF(COUNTIF($E$2:E63,E63)&gt;1,"",SUMIFS(tbl_input[필요수량],tbl_input[집계키_지청],E63)))</f>
        <v/>
      </c>
      <c r="E63" t="str">
        <f>IFERROR(INDEX(tbl_input[집계키_지청],ROW()-1),"")</f>
        <v/>
      </c>
      <c r="F63" t="str">
        <f t="shared" si="3"/>
        <v/>
      </c>
      <c r="G63" t="str">
        <f t="shared" si="4"/>
        <v/>
      </c>
    </row>
    <row r="64" spans="1:7" x14ac:dyDescent="0.4">
      <c r="A64" t="str">
        <f t="shared" si="0"/>
        <v/>
      </c>
      <c r="B64" t="str">
        <f t="shared" si="1"/>
        <v/>
      </c>
      <c r="C64" t="str">
        <f t="shared" si="2"/>
        <v/>
      </c>
      <c r="D64" t="str">
        <f>IF(E64="","",IF(COUNTIF($E$2:E64,E64)&gt;1,"",SUMIFS(tbl_input[필요수량],tbl_input[집계키_지청],E64)))</f>
        <v/>
      </c>
      <c r="E64" t="str">
        <f>IFERROR(INDEX(tbl_input[집계키_지청],ROW()-1),"")</f>
        <v/>
      </c>
      <c r="F64" t="str">
        <f t="shared" si="3"/>
        <v/>
      </c>
      <c r="G64" t="str">
        <f t="shared" si="4"/>
        <v/>
      </c>
    </row>
    <row r="65" spans="1:7" x14ac:dyDescent="0.4">
      <c r="A65" t="str">
        <f t="shared" si="0"/>
        <v/>
      </c>
      <c r="B65" t="str">
        <f t="shared" si="1"/>
        <v/>
      </c>
      <c r="C65" t="str">
        <f t="shared" si="2"/>
        <v/>
      </c>
      <c r="D65" t="str">
        <f>IF(E65="","",IF(COUNTIF($E$2:E65,E65)&gt;1,"",SUMIFS(tbl_input[필요수량],tbl_input[집계키_지청],E65)))</f>
        <v/>
      </c>
      <c r="E65" t="str">
        <f>IFERROR(INDEX(tbl_input[집계키_지청],ROW()-1),"")</f>
        <v/>
      </c>
      <c r="F65" t="str">
        <f t="shared" si="3"/>
        <v/>
      </c>
      <c r="G65" t="str">
        <f t="shared" si="4"/>
        <v/>
      </c>
    </row>
    <row r="66" spans="1:7" x14ac:dyDescent="0.4">
      <c r="A66" t="str">
        <f t="shared" ref="A66:A129" si="5">IF(E66="","",LEFT(E66,F66-1))</f>
        <v/>
      </c>
      <c r="B66" t="str">
        <f t="shared" ref="B66:B129" si="6">IF(E66="","",MID(E66,F66+1,G66-F66-1))</f>
        <v/>
      </c>
      <c r="C66" t="str">
        <f t="shared" ref="C66:C129" si="7">IF(E66="","",MID(E66,G66+1,999))</f>
        <v/>
      </c>
      <c r="D66" t="str">
        <f>IF(E66="","",IF(COUNTIF($E$2:E66,E66)&gt;1,"",SUMIFS(tbl_input[필요수량],tbl_input[집계키_지청],E66)))</f>
        <v/>
      </c>
      <c r="E66" t="str">
        <f>IFERROR(INDEX(tbl_input[집계키_지청],ROW()-1),"")</f>
        <v/>
      </c>
      <c r="F66" t="str">
        <f t="shared" ref="F66:F129" si="8">IF(E66="","",FIND("♦",E66))</f>
        <v/>
      </c>
      <c r="G66" t="str">
        <f t="shared" ref="G66:G129" si="9">IF(E66="","",FIND("♦",E66,F66+1))</f>
        <v/>
      </c>
    </row>
    <row r="67" spans="1:7" x14ac:dyDescent="0.4">
      <c r="A67" t="str">
        <f t="shared" si="5"/>
        <v/>
      </c>
      <c r="B67" t="str">
        <f t="shared" si="6"/>
        <v/>
      </c>
      <c r="C67" t="str">
        <f t="shared" si="7"/>
        <v/>
      </c>
      <c r="D67" t="str">
        <f>IF(E67="","",IF(COUNTIF($E$2:E67,E67)&gt;1,"",SUMIFS(tbl_input[필요수량],tbl_input[집계키_지청],E67)))</f>
        <v/>
      </c>
      <c r="E67" t="str">
        <f>IFERROR(INDEX(tbl_input[집계키_지청],ROW()-1),"")</f>
        <v/>
      </c>
      <c r="F67" t="str">
        <f t="shared" si="8"/>
        <v/>
      </c>
      <c r="G67" t="str">
        <f t="shared" si="9"/>
        <v/>
      </c>
    </row>
    <row r="68" spans="1:7" x14ac:dyDescent="0.4">
      <c r="A68" t="str">
        <f t="shared" si="5"/>
        <v/>
      </c>
      <c r="B68" t="str">
        <f t="shared" si="6"/>
        <v/>
      </c>
      <c r="C68" t="str">
        <f t="shared" si="7"/>
        <v/>
      </c>
      <c r="D68" t="str">
        <f>IF(E68="","",IF(COUNTIF($E$2:E68,E68)&gt;1,"",SUMIFS(tbl_input[필요수량],tbl_input[집계키_지청],E68)))</f>
        <v/>
      </c>
      <c r="E68" t="str">
        <f>IFERROR(INDEX(tbl_input[집계키_지청],ROW()-1),"")</f>
        <v/>
      </c>
      <c r="F68" t="str">
        <f t="shared" si="8"/>
        <v/>
      </c>
      <c r="G68" t="str">
        <f t="shared" si="9"/>
        <v/>
      </c>
    </row>
    <row r="69" spans="1:7" x14ac:dyDescent="0.4">
      <c r="A69" t="str">
        <f t="shared" si="5"/>
        <v/>
      </c>
      <c r="B69" t="str">
        <f t="shared" si="6"/>
        <v/>
      </c>
      <c r="C69" t="str">
        <f t="shared" si="7"/>
        <v/>
      </c>
      <c r="D69" t="str">
        <f>IF(E69="","",IF(COUNTIF($E$2:E69,E69)&gt;1,"",SUMIFS(tbl_input[필요수량],tbl_input[집계키_지청],E69)))</f>
        <v/>
      </c>
      <c r="E69" t="str">
        <f>IFERROR(INDEX(tbl_input[집계키_지청],ROW()-1),"")</f>
        <v/>
      </c>
      <c r="F69" t="str">
        <f t="shared" si="8"/>
        <v/>
      </c>
      <c r="G69" t="str">
        <f t="shared" si="9"/>
        <v/>
      </c>
    </row>
    <row r="70" spans="1:7" x14ac:dyDescent="0.4">
      <c r="A70" t="str">
        <f t="shared" si="5"/>
        <v/>
      </c>
      <c r="B70" t="str">
        <f t="shared" si="6"/>
        <v/>
      </c>
      <c r="C70" t="str">
        <f t="shared" si="7"/>
        <v/>
      </c>
      <c r="D70" t="str">
        <f>IF(E70="","",IF(COUNTIF($E$2:E70,E70)&gt;1,"",SUMIFS(tbl_input[필요수량],tbl_input[집계키_지청],E70)))</f>
        <v/>
      </c>
      <c r="E70" t="str">
        <f>IFERROR(INDEX(tbl_input[집계키_지청],ROW()-1),"")</f>
        <v/>
      </c>
      <c r="F70" t="str">
        <f t="shared" si="8"/>
        <v/>
      </c>
      <c r="G70" t="str">
        <f t="shared" si="9"/>
        <v/>
      </c>
    </row>
    <row r="71" spans="1:7" x14ac:dyDescent="0.4">
      <c r="A71" t="str">
        <f t="shared" si="5"/>
        <v/>
      </c>
      <c r="B71" t="str">
        <f t="shared" si="6"/>
        <v/>
      </c>
      <c r="C71" t="str">
        <f t="shared" si="7"/>
        <v/>
      </c>
      <c r="D71" t="str">
        <f>IF(E71="","",IF(COUNTIF($E$2:E71,E71)&gt;1,"",SUMIFS(tbl_input[필요수량],tbl_input[집계키_지청],E71)))</f>
        <v/>
      </c>
      <c r="E71" t="str">
        <f>IFERROR(INDEX(tbl_input[집계키_지청],ROW()-1),"")</f>
        <v/>
      </c>
      <c r="F71" t="str">
        <f t="shared" si="8"/>
        <v/>
      </c>
      <c r="G71" t="str">
        <f t="shared" si="9"/>
        <v/>
      </c>
    </row>
    <row r="72" spans="1:7" x14ac:dyDescent="0.4">
      <c r="A72" t="str">
        <f t="shared" si="5"/>
        <v/>
      </c>
      <c r="B72" t="str">
        <f t="shared" si="6"/>
        <v/>
      </c>
      <c r="C72" t="str">
        <f t="shared" si="7"/>
        <v/>
      </c>
      <c r="D72" t="str">
        <f>IF(E72="","",IF(COUNTIF($E$2:E72,E72)&gt;1,"",SUMIFS(tbl_input[필요수량],tbl_input[집계키_지청],E72)))</f>
        <v/>
      </c>
      <c r="E72" t="str">
        <f>IFERROR(INDEX(tbl_input[집계키_지청],ROW()-1),"")</f>
        <v/>
      </c>
      <c r="F72" t="str">
        <f t="shared" si="8"/>
        <v/>
      </c>
      <c r="G72" t="str">
        <f t="shared" si="9"/>
        <v/>
      </c>
    </row>
    <row r="73" spans="1:7" x14ac:dyDescent="0.4">
      <c r="A73" t="str">
        <f t="shared" si="5"/>
        <v/>
      </c>
      <c r="B73" t="str">
        <f t="shared" si="6"/>
        <v/>
      </c>
      <c r="C73" t="str">
        <f t="shared" si="7"/>
        <v/>
      </c>
      <c r="D73" t="str">
        <f>IF(E73="","",IF(COUNTIF($E$2:E73,E73)&gt;1,"",SUMIFS(tbl_input[필요수량],tbl_input[집계키_지청],E73)))</f>
        <v/>
      </c>
      <c r="E73" t="str">
        <f>IFERROR(INDEX(tbl_input[집계키_지청],ROW()-1),"")</f>
        <v/>
      </c>
      <c r="F73" t="str">
        <f t="shared" si="8"/>
        <v/>
      </c>
      <c r="G73" t="str">
        <f t="shared" si="9"/>
        <v/>
      </c>
    </row>
    <row r="74" spans="1:7" x14ac:dyDescent="0.4">
      <c r="A74" t="str">
        <f t="shared" si="5"/>
        <v/>
      </c>
      <c r="B74" t="str">
        <f t="shared" si="6"/>
        <v/>
      </c>
      <c r="C74" t="str">
        <f t="shared" si="7"/>
        <v/>
      </c>
      <c r="D74" t="str">
        <f>IF(E74="","",IF(COUNTIF($E$2:E74,E74)&gt;1,"",SUMIFS(tbl_input[필요수량],tbl_input[집계키_지청],E74)))</f>
        <v/>
      </c>
      <c r="E74" t="str">
        <f>IFERROR(INDEX(tbl_input[집계키_지청],ROW()-1),"")</f>
        <v/>
      </c>
      <c r="F74" t="str">
        <f t="shared" si="8"/>
        <v/>
      </c>
      <c r="G74" t="str">
        <f t="shared" si="9"/>
        <v/>
      </c>
    </row>
    <row r="75" spans="1:7" x14ac:dyDescent="0.4">
      <c r="A75" t="str">
        <f t="shared" si="5"/>
        <v/>
      </c>
      <c r="B75" t="str">
        <f t="shared" si="6"/>
        <v/>
      </c>
      <c r="C75" t="str">
        <f t="shared" si="7"/>
        <v/>
      </c>
      <c r="D75" t="str">
        <f>IF(E75="","",IF(COUNTIF($E$2:E75,E75)&gt;1,"",SUMIFS(tbl_input[필요수량],tbl_input[집계키_지청],E75)))</f>
        <v/>
      </c>
      <c r="E75" t="str">
        <f>IFERROR(INDEX(tbl_input[집계키_지청],ROW()-1),"")</f>
        <v/>
      </c>
      <c r="F75" t="str">
        <f t="shared" si="8"/>
        <v/>
      </c>
      <c r="G75" t="str">
        <f t="shared" si="9"/>
        <v/>
      </c>
    </row>
    <row r="76" spans="1:7" x14ac:dyDescent="0.4">
      <c r="A76" t="str">
        <f t="shared" si="5"/>
        <v/>
      </c>
      <c r="B76" t="str">
        <f t="shared" si="6"/>
        <v/>
      </c>
      <c r="C76" t="str">
        <f t="shared" si="7"/>
        <v/>
      </c>
      <c r="D76" t="str">
        <f>IF(E76="","",IF(COUNTIF($E$2:E76,E76)&gt;1,"",SUMIFS(tbl_input[필요수량],tbl_input[집계키_지청],E76)))</f>
        <v/>
      </c>
      <c r="E76" t="str">
        <f>IFERROR(INDEX(tbl_input[집계키_지청],ROW()-1),"")</f>
        <v/>
      </c>
      <c r="F76" t="str">
        <f t="shared" si="8"/>
        <v/>
      </c>
      <c r="G76" t="str">
        <f t="shared" si="9"/>
        <v/>
      </c>
    </row>
    <row r="77" spans="1:7" x14ac:dyDescent="0.4">
      <c r="A77" t="str">
        <f t="shared" si="5"/>
        <v/>
      </c>
      <c r="B77" t="str">
        <f t="shared" si="6"/>
        <v/>
      </c>
      <c r="C77" t="str">
        <f t="shared" si="7"/>
        <v/>
      </c>
      <c r="D77" t="str">
        <f>IF(E77="","",IF(COUNTIF($E$2:E77,E77)&gt;1,"",SUMIFS(tbl_input[필요수량],tbl_input[집계키_지청],E77)))</f>
        <v/>
      </c>
      <c r="E77" t="str">
        <f>IFERROR(INDEX(tbl_input[집계키_지청],ROW()-1),"")</f>
        <v/>
      </c>
      <c r="F77" t="str">
        <f t="shared" si="8"/>
        <v/>
      </c>
      <c r="G77" t="str">
        <f t="shared" si="9"/>
        <v/>
      </c>
    </row>
    <row r="78" spans="1:7" x14ac:dyDescent="0.4">
      <c r="A78" t="str">
        <f t="shared" si="5"/>
        <v/>
      </c>
      <c r="B78" t="str">
        <f t="shared" si="6"/>
        <v/>
      </c>
      <c r="C78" t="str">
        <f t="shared" si="7"/>
        <v/>
      </c>
      <c r="D78" t="str">
        <f>IF(E78="","",IF(COUNTIF($E$2:E78,E78)&gt;1,"",SUMIFS(tbl_input[필요수량],tbl_input[집계키_지청],E78)))</f>
        <v/>
      </c>
      <c r="E78" t="str">
        <f>IFERROR(INDEX(tbl_input[집계키_지청],ROW()-1),"")</f>
        <v/>
      </c>
      <c r="F78" t="str">
        <f t="shared" si="8"/>
        <v/>
      </c>
      <c r="G78" t="str">
        <f t="shared" si="9"/>
        <v/>
      </c>
    </row>
    <row r="79" spans="1:7" x14ac:dyDescent="0.4">
      <c r="A79" t="str">
        <f t="shared" si="5"/>
        <v/>
      </c>
      <c r="B79" t="str">
        <f t="shared" si="6"/>
        <v/>
      </c>
      <c r="C79" t="str">
        <f t="shared" si="7"/>
        <v/>
      </c>
      <c r="D79" t="str">
        <f>IF(E79="","",IF(COUNTIF($E$2:E79,E79)&gt;1,"",SUMIFS(tbl_input[필요수량],tbl_input[집계키_지청],E79)))</f>
        <v/>
      </c>
      <c r="E79" t="str">
        <f>IFERROR(INDEX(tbl_input[집계키_지청],ROW()-1),"")</f>
        <v/>
      </c>
      <c r="F79" t="str">
        <f t="shared" si="8"/>
        <v/>
      </c>
      <c r="G79" t="str">
        <f t="shared" si="9"/>
        <v/>
      </c>
    </row>
    <row r="80" spans="1:7" x14ac:dyDescent="0.4">
      <c r="A80" t="str">
        <f t="shared" si="5"/>
        <v/>
      </c>
      <c r="B80" t="str">
        <f t="shared" si="6"/>
        <v/>
      </c>
      <c r="C80" t="str">
        <f t="shared" si="7"/>
        <v/>
      </c>
      <c r="D80" t="str">
        <f>IF(E80="","",IF(COUNTIF($E$2:E80,E80)&gt;1,"",SUMIFS(tbl_input[필요수량],tbl_input[집계키_지청],E80)))</f>
        <v/>
      </c>
      <c r="E80" t="str">
        <f>IFERROR(INDEX(tbl_input[집계키_지청],ROW()-1),"")</f>
        <v/>
      </c>
      <c r="F80" t="str">
        <f t="shared" si="8"/>
        <v/>
      </c>
      <c r="G80" t="str">
        <f t="shared" si="9"/>
        <v/>
      </c>
    </row>
    <row r="81" spans="1:7" x14ac:dyDescent="0.4">
      <c r="A81" t="str">
        <f t="shared" si="5"/>
        <v/>
      </c>
      <c r="B81" t="str">
        <f t="shared" si="6"/>
        <v/>
      </c>
      <c r="C81" t="str">
        <f t="shared" si="7"/>
        <v/>
      </c>
      <c r="D81" t="str">
        <f>IF(E81="","",IF(COUNTIF($E$2:E81,E81)&gt;1,"",SUMIFS(tbl_input[필요수량],tbl_input[집계키_지청],E81)))</f>
        <v/>
      </c>
      <c r="E81" t="str">
        <f>IFERROR(INDEX(tbl_input[집계키_지청],ROW()-1),"")</f>
        <v/>
      </c>
      <c r="F81" t="str">
        <f t="shared" si="8"/>
        <v/>
      </c>
      <c r="G81" t="str">
        <f t="shared" si="9"/>
        <v/>
      </c>
    </row>
    <row r="82" spans="1:7" x14ac:dyDescent="0.4">
      <c r="A82" t="str">
        <f t="shared" si="5"/>
        <v/>
      </c>
      <c r="B82" t="str">
        <f t="shared" si="6"/>
        <v/>
      </c>
      <c r="C82" t="str">
        <f t="shared" si="7"/>
        <v/>
      </c>
      <c r="D82" t="str">
        <f>IF(E82="","",IF(COUNTIF($E$2:E82,E82)&gt;1,"",SUMIFS(tbl_input[필요수량],tbl_input[집계키_지청],E82)))</f>
        <v/>
      </c>
      <c r="E82" t="str">
        <f>IFERROR(INDEX(tbl_input[집계키_지청],ROW()-1),"")</f>
        <v/>
      </c>
      <c r="F82" t="str">
        <f t="shared" si="8"/>
        <v/>
      </c>
      <c r="G82" t="str">
        <f t="shared" si="9"/>
        <v/>
      </c>
    </row>
    <row r="83" spans="1:7" x14ac:dyDescent="0.4">
      <c r="A83" t="str">
        <f t="shared" si="5"/>
        <v/>
      </c>
      <c r="B83" t="str">
        <f t="shared" si="6"/>
        <v/>
      </c>
      <c r="C83" t="str">
        <f t="shared" si="7"/>
        <v/>
      </c>
      <c r="D83" t="str">
        <f>IF(E83="","",IF(COUNTIF($E$2:E83,E83)&gt;1,"",SUMIFS(tbl_input[필요수량],tbl_input[집계키_지청],E83)))</f>
        <v/>
      </c>
      <c r="E83" t="str">
        <f>IFERROR(INDEX(tbl_input[집계키_지청],ROW()-1),"")</f>
        <v/>
      </c>
      <c r="F83" t="str">
        <f t="shared" si="8"/>
        <v/>
      </c>
      <c r="G83" t="str">
        <f t="shared" si="9"/>
        <v/>
      </c>
    </row>
    <row r="84" spans="1:7" x14ac:dyDescent="0.4">
      <c r="A84" t="str">
        <f t="shared" si="5"/>
        <v/>
      </c>
      <c r="B84" t="str">
        <f t="shared" si="6"/>
        <v/>
      </c>
      <c r="C84" t="str">
        <f t="shared" si="7"/>
        <v/>
      </c>
      <c r="D84" t="str">
        <f>IF(E84="","",IF(COUNTIF($E$2:E84,E84)&gt;1,"",SUMIFS(tbl_input[필요수량],tbl_input[집계키_지청],E84)))</f>
        <v/>
      </c>
      <c r="E84" t="str">
        <f>IFERROR(INDEX(tbl_input[집계키_지청],ROW()-1),"")</f>
        <v/>
      </c>
      <c r="F84" t="str">
        <f t="shared" si="8"/>
        <v/>
      </c>
      <c r="G84" t="str">
        <f t="shared" si="9"/>
        <v/>
      </c>
    </row>
    <row r="85" spans="1:7" x14ac:dyDescent="0.4">
      <c r="A85" t="str">
        <f t="shared" si="5"/>
        <v/>
      </c>
      <c r="B85" t="str">
        <f t="shared" si="6"/>
        <v/>
      </c>
      <c r="C85" t="str">
        <f t="shared" si="7"/>
        <v/>
      </c>
      <c r="D85" t="str">
        <f>IF(E85="","",IF(COUNTIF($E$2:E85,E85)&gt;1,"",SUMIFS(tbl_input[필요수량],tbl_input[집계키_지청],E85)))</f>
        <v/>
      </c>
      <c r="E85" t="str">
        <f>IFERROR(INDEX(tbl_input[집계키_지청],ROW()-1),"")</f>
        <v/>
      </c>
      <c r="F85" t="str">
        <f t="shared" si="8"/>
        <v/>
      </c>
      <c r="G85" t="str">
        <f t="shared" si="9"/>
        <v/>
      </c>
    </row>
    <row r="86" spans="1:7" x14ac:dyDescent="0.4">
      <c r="A86" t="str">
        <f t="shared" si="5"/>
        <v/>
      </c>
      <c r="B86" t="str">
        <f t="shared" si="6"/>
        <v/>
      </c>
      <c r="C86" t="str">
        <f t="shared" si="7"/>
        <v/>
      </c>
      <c r="D86" t="str">
        <f>IF(E86="","",IF(COUNTIF($E$2:E86,E86)&gt;1,"",SUMIFS(tbl_input[필요수량],tbl_input[집계키_지청],E86)))</f>
        <v/>
      </c>
      <c r="E86" t="str">
        <f>IFERROR(INDEX(tbl_input[집계키_지청],ROW()-1),"")</f>
        <v/>
      </c>
      <c r="F86" t="str">
        <f t="shared" si="8"/>
        <v/>
      </c>
      <c r="G86" t="str">
        <f t="shared" si="9"/>
        <v/>
      </c>
    </row>
    <row r="87" spans="1:7" x14ac:dyDescent="0.4">
      <c r="A87" t="str">
        <f t="shared" si="5"/>
        <v/>
      </c>
      <c r="B87" t="str">
        <f t="shared" si="6"/>
        <v/>
      </c>
      <c r="C87" t="str">
        <f t="shared" si="7"/>
        <v/>
      </c>
      <c r="D87" t="str">
        <f>IF(E87="","",IF(COUNTIF($E$2:E87,E87)&gt;1,"",SUMIFS(tbl_input[필요수량],tbl_input[집계키_지청],E87)))</f>
        <v/>
      </c>
      <c r="E87" t="str">
        <f>IFERROR(INDEX(tbl_input[집계키_지청],ROW()-1),"")</f>
        <v/>
      </c>
      <c r="F87" t="str">
        <f t="shared" si="8"/>
        <v/>
      </c>
      <c r="G87" t="str">
        <f t="shared" si="9"/>
        <v/>
      </c>
    </row>
    <row r="88" spans="1:7" x14ac:dyDescent="0.4">
      <c r="A88" t="str">
        <f t="shared" si="5"/>
        <v/>
      </c>
      <c r="B88" t="str">
        <f t="shared" si="6"/>
        <v/>
      </c>
      <c r="C88" t="str">
        <f t="shared" si="7"/>
        <v/>
      </c>
      <c r="D88" t="str">
        <f>IF(E88="","",IF(COUNTIF($E$2:E88,E88)&gt;1,"",SUMIFS(tbl_input[필요수량],tbl_input[집계키_지청],E88)))</f>
        <v/>
      </c>
      <c r="E88" t="str">
        <f>IFERROR(INDEX(tbl_input[집계키_지청],ROW()-1),"")</f>
        <v/>
      </c>
      <c r="F88" t="str">
        <f t="shared" si="8"/>
        <v/>
      </c>
      <c r="G88" t="str">
        <f t="shared" si="9"/>
        <v/>
      </c>
    </row>
    <row r="89" spans="1:7" x14ac:dyDescent="0.4">
      <c r="A89" t="str">
        <f t="shared" si="5"/>
        <v/>
      </c>
      <c r="B89" t="str">
        <f t="shared" si="6"/>
        <v/>
      </c>
      <c r="C89" t="str">
        <f t="shared" si="7"/>
        <v/>
      </c>
      <c r="D89" t="str">
        <f>IF(E89="","",IF(COUNTIF($E$2:E89,E89)&gt;1,"",SUMIFS(tbl_input[필요수량],tbl_input[집계키_지청],E89)))</f>
        <v/>
      </c>
      <c r="E89" t="str">
        <f>IFERROR(INDEX(tbl_input[집계키_지청],ROW()-1),"")</f>
        <v/>
      </c>
      <c r="F89" t="str">
        <f t="shared" si="8"/>
        <v/>
      </c>
      <c r="G89" t="str">
        <f t="shared" si="9"/>
        <v/>
      </c>
    </row>
    <row r="90" spans="1:7" x14ac:dyDescent="0.4">
      <c r="A90" t="str">
        <f t="shared" si="5"/>
        <v/>
      </c>
      <c r="B90" t="str">
        <f t="shared" si="6"/>
        <v/>
      </c>
      <c r="C90" t="str">
        <f t="shared" si="7"/>
        <v/>
      </c>
      <c r="D90" t="str">
        <f>IF(E90="","",IF(COUNTIF($E$2:E90,E90)&gt;1,"",SUMIFS(tbl_input[필요수량],tbl_input[집계키_지청],E90)))</f>
        <v/>
      </c>
      <c r="E90" t="str">
        <f>IFERROR(INDEX(tbl_input[집계키_지청],ROW()-1),"")</f>
        <v/>
      </c>
      <c r="F90" t="str">
        <f t="shared" si="8"/>
        <v/>
      </c>
      <c r="G90" t="str">
        <f t="shared" si="9"/>
        <v/>
      </c>
    </row>
    <row r="91" spans="1:7" x14ac:dyDescent="0.4">
      <c r="A91" t="str">
        <f t="shared" si="5"/>
        <v/>
      </c>
      <c r="B91" t="str">
        <f t="shared" si="6"/>
        <v/>
      </c>
      <c r="C91" t="str">
        <f t="shared" si="7"/>
        <v/>
      </c>
      <c r="D91" t="str">
        <f>IF(E91="","",IF(COUNTIF($E$2:E91,E91)&gt;1,"",SUMIFS(tbl_input[필요수량],tbl_input[집계키_지청],E91)))</f>
        <v/>
      </c>
      <c r="E91" t="str">
        <f>IFERROR(INDEX(tbl_input[집계키_지청],ROW()-1),"")</f>
        <v/>
      </c>
      <c r="F91" t="str">
        <f t="shared" si="8"/>
        <v/>
      </c>
      <c r="G91" t="str">
        <f t="shared" si="9"/>
        <v/>
      </c>
    </row>
    <row r="92" spans="1:7" x14ac:dyDescent="0.4">
      <c r="A92" t="str">
        <f t="shared" si="5"/>
        <v/>
      </c>
      <c r="B92" t="str">
        <f t="shared" si="6"/>
        <v/>
      </c>
      <c r="C92" t="str">
        <f t="shared" si="7"/>
        <v/>
      </c>
      <c r="D92" t="str">
        <f>IF(E92="","",IF(COUNTIF($E$2:E92,E92)&gt;1,"",SUMIFS(tbl_input[필요수량],tbl_input[집계키_지청],E92)))</f>
        <v/>
      </c>
      <c r="E92" t="str">
        <f>IFERROR(INDEX(tbl_input[집계키_지청],ROW()-1),"")</f>
        <v/>
      </c>
      <c r="F92" t="str">
        <f t="shared" si="8"/>
        <v/>
      </c>
      <c r="G92" t="str">
        <f t="shared" si="9"/>
        <v/>
      </c>
    </row>
    <row r="93" spans="1:7" x14ac:dyDescent="0.4">
      <c r="A93" t="str">
        <f t="shared" si="5"/>
        <v/>
      </c>
      <c r="B93" t="str">
        <f t="shared" si="6"/>
        <v/>
      </c>
      <c r="C93" t="str">
        <f t="shared" si="7"/>
        <v/>
      </c>
      <c r="D93" t="str">
        <f>IF(E93="","",IF(COUNTIF($E$2:E93,E93)&gt;1,"",SUMIFS(tbl_input[필요수량],tbl_input[집계키_지청],E93)))</f>
        <v/>
      </c>
      <c r="E93" t="str">
        <f>IFERROR(INDEX(tbl_input[집계키_지청],ROW()-1),"")</f>
        <v/>
      </c>
      <c r="F93" t="str">
        <f t="shared" si="8"/>
        <v/>
      </c>
      <c r="G93" t="str">
        <f t="shared" si="9"/>
        <v/>
      </c>
    </row>
    <row r="94" spans="1:7" x14ac:dyDescent="0.4">
      <c r="A94" t="str">
        <f t="shared" si="5"/>
        <v/>
      </c>
      <c r="B94" t="str">
        <f t="shared" si="6"/>
        <v/>
      </c>
      <c r="C94" t="str">
        <f t="shared" si="7"/>
        <v/>
      </c>
      <c r="D94" t="str">
        <f>IF(E94="","",IF(COUNTIF($E$2:E94,E94)&gt;1,"",SUMIFS(tbl_input[필요수량],tbl_input[집계키_지청],E94)))</f>
        <v/>
      </c>
      <c r="E94" t="str">
        <f>IFERROR(INDEX(tbl_input[집계키_지청],ROW()-1),"")</f>
        <v/>
      </c>
      <c r="F94" t="str">
        <f t="shared" si="8"/>
        <v/>
      </c>
      <c r="G94" t="str">
        <f t="shared" si="9"/>
        <v/>
      </c>
    </row>
    <row r="95" spans="1:7" x14ac:dyDescent="0.4">
      <c r="A95" t="str">
        <f t="shared" si="5"/>
        <v/>
      </c>
      <c r="B95" t="str">
        <f t="shared" si="6"/>
        <v/>
      </c>
      <c r="C95" t="str">
        <f t="shared" si="7"/>
        <v/>
      </c>
      <c r="D95" t="str">
        <f>IF(E95="","",IF(COUNTIF($E$2:E95,E95)&gt;1,"",SUMIFS(tbl_input[필요수량],tbl_input[집계키_지청],E95)))</f>
        <v/>
      </c>
      <c r="E95" t="str">
        <f>IFERROR(INDEX(tbl_input[집계키_지청],ROW()-1),"")</f>
        <v/>
      </c>
      <c r="F95" t="str">
        <f t="shared" si="8"/>
        <v/>
      </c>
      <c r="G95" t="str">
        <f t="shared" si="9"/>
        <v/>
      </c>
    </row>
    <row r="96" spans="1:7" x14ac:dyDescent="0.4">
      <c r="A96" t="str">
        <f t="shared" si="5"/>
        <v/>
      </c>
      <c r="B96" t="str">
        <f t="shared" si="6"/>
        <v/>
      </c>
      <c r="C96" t="str">
        <f t="shared" si="7"/>
        <v/>
      </c>
      <c r="D96" t="str">
        <f>IF(E96="","",IF(COUNTIF($E$2:E96,E96)&gt;1,"",SUMIFS(tbl_input[필요수량],tbl_input[집계키_지청],E96)))</f>
        <v/>
      </c>
      <c r="E96" t="str">
        <f>IFERROR(INDEX(tbl_input[집계키_지청],ROW()-1),"")</f>
        <v/>
      </c>
      <c r="F96" t="str">
        <f t="shared" si="8"/>
        <v/>
      </c>
      <c r="G96" t="str">
        <f t="shared" si="9"/>
        <v/>
      </c>
    </row>
    <row r="97" spans="1:7" x14ac:dyDescent="0.4">
      <c r="A97" t="str">
        <f t="shared" si="5"/>
        <v/>
      </c>
      <c r="B97" t="str">
        <f t="shared" si="6"/>
        <v/>
      </c>
      <c r="C97" t="str">
        <f t="shared" si="7"/>
        <v/>
      </c>
      <c r="D97" t="str">
        <f>IF(E97="","",IF(COUNTIF($E$2:E97,E97)&gt;1,"",SUMIFS(tbl_input[필요수량],tbl_input[집계키_지청],E97)))</f>
        <v/>
      </c>
      <c r="E97" t="str">
        <f>IFERROR(INDEX(tbl_input[집계키_지청],ROW()-1),"")</f>
        <v/>
      </c>
      <c r="F97" t="str">
        <f t="shared" si="8"/>
        <v/>
      </c>
      <c r="G97" t="str">
        <f t="shared" si="9"/>
        <v/>
      </c>
    </row>
    <row r="98" spans="1:7" x14ac:dyDescent="0.4">
      <c r="A98" t="str">
        <f t="shared" si="5"/>
        <v/>
      </c>
      <c r="B98" t="str">
        <f t="shared" si="6"/>
        <v/>
      </c>
      <c r="C98" t="str">
        <f t="shared" si="7"/>
        <v/>
      </c>
      <c r="D98" t="str">
        <f>IF(E98="","",IF(COUNTIF($E$2:E98,E98)&gt;1,"",SUMIFS(tbl_input[필요수량],tbl_input[집계키_지청],E98)))</f>
        <v/>
      </c>
      <c r="E98" t="str">
        <f>IFERROR(INDEX(tbl_input[집계키_지청],ROW()-1),"")</f>
        <v/>
      </c>
      <c r="F98" t="str">
        <f t="shared" si="8"/>
        <v/>
      </c>
      <c r="G98" t="str">
        <f t="shared" si="9"/>
        <v/>
      </c>
    </row>
    <row r="99" spans="1:7" x14ac:dyDescent="0.4">
      <c r="A99" t="str">
        <f t="shared" si="5"/>
        <v/>
      </c>
      <c r="B99" t="str">
        <f t="shared" si="6"/>
        <v/>
      </c>
      <c r="C99" t="str">
        <f t="shared" si="7"/>
        <v/>
      </c>
      <c r="D99" t="str">
        <f>IF(E99="","",IF(COUNTIF($E$2:E99,E99)&gt;1,"",SUMIFS(tbl_input[필요수량],tbl_input[집계키_지청],E99)))</f>
        <v/>
      </c>
      <c r="E99" t="str">
        <f>IFERROR(INDEX(tbl_input[집계키_지청],ROW()-1),"")</f>
        <v/>
      </c>
      <c r="F99" t="str">
        <f t="shared" si="8"/>
        <v/>
      </c>
      <c r="G99" t="str">
        <f t="shared" si="9"/>
        <v/>
      </c>
    </row>
    <row r="100" spans="1:7" x14ac:dyDescent="0.4">
      <c r="A100" t="str">
        <f t="shared" si="5"/>
        <v/>
      </c>
      <c r="B100" t="str">
        <f t="shared" si="6"/>
        <v/>
      </c>
      <c r="C100" t="str">
        <f t="shared" si="7"/>
        <v/>
      </c>
      <c r="D100" t="str">
        <f>IF(E100="","",IF(COUNTIF($E$2:E100,E100)&gt;1,"",SUMIFS(tbl_input[필요수량],tbl_input[집계키_지청],E100)))</f>
        <v/>
      </c>
      <c r="E100" t="str">
        <f>IFERROR(INDEX(tbl_input[집계키_지청],ROW()-1),"")</f>
        <v/>
      </c>
      <c r="F100" t="str">
        <f t="shared" si="8"/>
        <v/>
      </c>
      <c r="G100" t="str">
        <f t="shared" si="9"/>
        <v/>
      </c>
    </row>
    <row r="101" spans="1:7" x14ac:dyDescent="0.4">
      <c r="A101" t="str">
        <f t="shared" si="5"/>
        <v/>
      </c>
      <c r="B101" t="str">
        <f t="shared" si="6"/>
        <v/>
      </c>
      <c r="C101" t="str">
        <f t="shared" si="7"/>
        <v/>
      </c>
      <c r="D101" t="str">
        <f>IF(E101="","",IF(COUNTIF($E$2:E101,E101)&gt;1,"",SUMIFS(tbl_input[필요수량],tbl_input[집계키_지청],E101)))</f>
        <v/>
      </c>
      <c r="E101" t="str">
        <f>IFERROR(INDEX(tbl_input[집계키_지청],ROW()-1),"")</f>
        <v/>
      </c>
      <c r="F101" t="str">
        <f t="shared" si="8"/>
        <v/>
      </c>
      <c r="G101" t="str">
        <f t="shared" si="9"/>
        <v/>
      </c>
    </row>
    <row r="102" spans="1:7" x14ac:dyDescent="0.4">
      <c r="A102" t="str">
        <f t="shared" si="5"/>
        <v/>
      </c>
      <c r="B102" t="str">
        <f t="shared" si="6"/>
        <v/>
      </c>
      <c r="C102" t="str">
        <f t="shared" si="7"/>
        <v/>
      </c>
      <c r="D102" t="str">
        <f>IF(E102="","",IF(COUNTIF($E$2:E102,E102)&gt;1,"",SUMIFS(tbl_input[필요수량],tbl_input[집계키_지청],E102)))</f>
        <v/>
      </c>
      <c r="E102" t="str">
        <f>IFERROR(INDEX(tbl_input[집계키_지청],ROW()-1),"")</f>
        <v/>
      </c>
      <c r="F102" t="str">
        <f t="shared" si="8"/>
        <v/>
      </c>
      <c r="G102" t="str">
        <f t="shared" si="9"/>
        <v/>
      </c>
    </row>
    <row r="103" spans="1:7" x14ac:dyDescent="0.4">
      <c r="A103" t="str">
        <f t="shared" si="5"/>
        <v/>
      </c>
      <c r="B103" t="str">
        <f t="shared" si="6"/>
        <v/>
      </c>
      <c r="C103" t="str">
        <f t="shared" si="7"/>
        <v/>
      </c>
      <c r="D103" t="str">
        <f>IF(E103="","",IF(COUNTIF($E$2:E103,E103)&gt;1,"",SUMIFS(tbl_input[필요수량],tbl_input[집계키_지청],E103)))</f>
        <v/>
      </c>
      <c r="E103" t="str">
        <f>IFERROR(INDEX(tbl_input[집계키_지청],ROW()-1),"")</f>
        <v/>
      </c>
      <c r="F103" t="str">
        <f t="shared" si="8"/>
        <v/>
      </c>
      <c r="G103" t="str">
        <f t="shared" si="9"/>
        <v/>
      </c>
    </row>
    <row r="104" spans="1:7" x14ac:dyDescent="0.4">
      <c r="A104" t="str">
        <f t="shared" si="5"/>
        <v/>
      </c>
      <c r="B104" t="str">
        <f t="shared" si="6"/>
        <v/>
      </c>
      <c r="C104" t="str">
        <f t="shared" si="7"/>
        <v/>
      </c>
      <c r="D104" t="str">
        <f>IF(E104="","",IF(COUNTIF($E$2:E104,E104)&gt;1,"",SUMIFS(tbl_input[필요수량],tbl_input[집계키_지청],E104)))</f>
        <v/>
      </c>
      <c r="E104" t="str">
        <f>IFERROR(INDEX(tbl_input[집계키_지청],ROW()-1),"")</f>
        <v/>
      </c>
      <c r="F104" t="str">
        <f t="shared" si="8"/>
        <v/>
      </c>
      <c r="G104" t="str">
        <f t="shared" si="9"/>
        <v/>
      </c>
    </row>
    <row r="105" spans="1:7" x14ac:dyDescent="0.4">
      <c r="A105" t="str">
        <f t="shared" si="5"/>
        <v/>
      </c>
      <c r="B105" t="str">
        <f t="shared" si="6"/>
        <v/>
      </c>
      <c r="C105" t="str">
        <f t="shared" si="7"/>
        <v/>
      </c>
      <c r="D105" t="str">
        <f>IF(E105="","",IF(COUNTIF($E$2:E105,E105)&gt;1,"",SUMIFS(tbl_input[필요수량],tbl_input[집계키_지청],E105)))</f>
        <v/>
      </c>
      <c r="E105" t="str">
        <f>IFERROR(INDEX(tbl_input[집계키_지청],ROW()-1),"")</f>
        <v/>
      </c>
      <c r="F105" t="str">
        <f t="shared" si="8"/>
        <v/>
      </c>
      <c r="G105" t="str">
        <f t="shared" si="9"/>
        <v/>
      </c>
    </row>
    <row r="106" spans="1:7" x14ac:dyDescent="0.4">
      <c r="A106" t="str">
        <f t="shared" si="5"/>
        <v/>
      </c>
      <c r="B106" t="str">
        <f t="shared" si="6"/>
        <v/>
      </c>
      <c r="C106" t="str">
        <f t="shared" si="7"/>
        <v/>
      </c>
      <c r="D106" t="str">
        <f>IF(E106="","",IF(COUNTIF($E$2:E106,E106)&gt;1,"",SUMIFS(tbl_input[필요수량],tbl_input[집계키_지청],E106)))</f>
        <v/>
      </c>
      <c r="E106" t="str">
        <f>IFERROR(INDEX(tbl_input[집계키_지청],ROW()-1),"")</f>
        <v/>
      </c>
      <c r="F106" t="str">
        <f t="shared" si="8"/>
        <v/>
      </c>
      <c r="G106" t="str">
        <f t="shared" si="9"/>
        <v/>
      </c>
    </row>
    <row r="107" spans="1:7" x14ac:dyDescent="0.4">
      <c r="A107" t="str">
        <f t="shared" si="5"/>
        <v/>
      </c>
      <c r="B107" t="str">
        <f t="shared" si="6"/>
        <v/>
      </c>
      <c r="C107" t="str">
        <f t="shared" si="7"/>
        <v/>
      </c>
      <c r="D107" t="str">
        <f>IF(E107="","",IF(COUNTIF($E$2:E107,E107)&gt;1,"",SUMIFS(tbl_input[필요수량],tbl_input[집계키_지청],E107)))</f>
        <v/>
      </c>
      <c r="E107" t="str">
        <f>IFERROR(INDEX(tbl_input[집계키_지청],ROW()-1),"")</f>
        <v/>
      </c>
      <c r="F107" t="str">
        <f t="shared" si="8"/>
        <v/>
      </c>
      <c r="G107" t="str">
        <f t="shared" si="9"/>
        <v/>
      </c>
    </row>
    <row r="108" spans="1:7" x14ac:dyDescent="0.4">
      <c r="A108" t="str">
        <f t="shared" si="5"/>
        <v/>
      </c>
      <c r="B108" t="str">
        <f t="shared" si="6"/>
        <v/>
      </c>
      <c r="C108" t="str">
        <f t="shared" si="7"/>
        <v/>
      </c>
      <c r="D108" t="str">
        <f>IF(E108="","",IF(COUNTIF($E$2:E108,E108)&gt;1,"",SUMIFS(tbl_input[필요수량],tbl_input[집계키_지청],E108)))</f>
        <v/>
      </c>
      <c r="E108" t="str">
        <f>IFERROR(INDEX(tbl_input[집계키_지청],ROW()-1),"")</f>
        <v/>
      </c>
      <c r="F108" t="str">
        <f t="shared" si="8"/>
        <v/>
      </c>
      <c r="G108" t="str">
        <f t="shared" si="9"/>
        <v/>
      </c>
    </row>
    <row r="109" spans="1:7" x14ac:dyDescent="0.4">
      <c r="A109" t="str">
        <f t="shared" si="5"/>
        <v/>
      </c>
      <c r="B109" t="str">
        <f t="shared" si="6"/>
        <v/>
      </c>
      <c r="C109" t="str">
        <f t="shared" si="7"/>
        <v/>
      </c>
      <c r="D109" t="str">
        <f>IF(E109="","",IF(COUNTIF($E$2:E109,E109)&gt;1,"",SUMIFS(tbl_input[필요수량],tbl_input[집계키_지청],E109)))</f>
        <v/>
      </c>
      <c r="E109" t="str">
        <f>IFERROR(INDEX(tbl_input[집계키_지청],ROW()-1),"")</f>
        <v/>
      </c>
      <c r="F109" t="str">
        <f t="shared" si="8"/>
        <v/>
      </c>
      <c r="G109" t="str">
        <f t="shared" si="9"/>
        <v/>
      </c>
    </row>
    <row r="110" spans="1:7" x14ac:dyDescent="0.4">
      <c r="A110" t="str">
        <f t="shared" si="5"/>
        <v/>
      </c>
      <c r="B110" t="str">
        <f t="shared" si="6"/>
        <v/>
      </c>
      <c r="C110" t="str">
        <f t="shared" si="7"/>
        <v/>
      </c>
      <c r="D110" t="str">
        <f>IF(E110="","",IF(COUNTIF($E$2:E110,E110)&gt;1,"",SUMIFS(tbl_input[필요수량],tbl_input[집계키_지청],E110)))</f>
        <v/>
      </c>
      <c r="E110" t="str">
        <f>IFERROR(INDEX(tbl_input[집계키_지청],ROW()-1),"")</f>
        <v/>
      </c>
      <c r="F110" t="str">
        <f t="shared" si="8"/>
        <v/>
      </c>
      <c r="G110" t="str">
        <f t="shared" si="9"/>
        <v/>
      </c>
    </row>
    <row r="111" spans="1:7" x14ac:dyDescent="0.4">
      <c r="A111" t="str">
        <f t="shared" si="5"/>
        <v/>
      </c>
      <c r="B111" t="str">
        <f t="shared" si="6"/>
        <v/>
      </c>
      <c r="C111" t="str">
        <f t="shared" si="7"/>
        <v/>
      </c>
      <c r="D111" t="str">
        <f>IF(E111="","",IF(COUNTIF($E$2:E111,E111)&gt;1,"",SUMIFS(tbl_input[필요수량],tbl_input[집계키_지청],E111)))</f>
        <v/>
      </c>
      <c r="E111" t="str">
        <f>IFERROR(INDEX(tbl_input[집계키_지청],ROW()-1),"")</f>
        <v/>
      </c>
      <c r="F111" t="str">
        <f t="shared" si="8"/>
        <v/>
      </c>
      <c r="G111" t="str">
        <f t="shared" si="9"/>
        <v/>
      </c>
    </row>
    <row r="112" spans="1:7" x14ac:dyDescent="0.4">
      <c r="A112" t="str">
        <f t="shared" si="5"/>
        <v/>
      </c>
      <c r="B112" t="str">
        <f t="shared" si="6"/>
        <v/>
      </c>
      <c r="C112" t="str">
        <f t="shared" si="7"/>
        <v/>
      </c>
      <c r="D112" t="str">
        <f>IF(E112="","",IF(COUNTIF($E$2:E112,E112)&gt;1,"",SUMIFS(tbl_input[필요수량],tbl_input[집계키_지청],E112)))</f>
        <v/>
      </c>
      <c r="E112" t="str">
        <f>IFERROR(INDEX(tbl_input[집계키_지청],ROW()-1),"")</f>
        <v/>
      </c>
      <c r="F112" t="str">
        <f t="shared" si="8"/>
        <v/>
      </c>
      <c r="G112" t="str">
        <f t="shared" si="9"/>
        <v/>
      </c>
    </row>
    <row r="113" spans="1:7" x14ac:dyDescent="0.4">
      <c r="A113" t="str">
        <f t="shared" si="5"/>
        <v/>
      </c>
      <c r="B113" t="str">
        <f t="shared" si="6"/>
        <v/>
      </c>
      <c r="C113" t="str">
        <f t="shared" si="7"/>
        <v/>
      </c>
      <c r="D113" t="str">
        <f>IF(E113="","",IF(COUNTIF($E$2:E113,E113)&gt;1,"",SUMIFS(tbl_input[필요수량],tbl_input[집계키_지청],E113)))</f>
        <v/>
      </c>
      <c r="E113" t="str">
        <f>IFERROR(INDEX(tbl_input[집계키_지청],ROW()-1),"")</f>
        <v/>
      </c>
      <c r="F113" t="str">
        <f t="shared" si="8"/>
        <v/>
      </c>
      <c r="G113" t="str">
        <f t="shared" si="9"/>
        <v/>
      </c>
    </row>
    <row r="114" spans="1:7" x14ac:dyDescent="0.4">
      <c r="A114" t="str">
        <f t="shared" si="5"/>
        <v/>
      </c>
      <c r="B114" t="str">
        <f t="shared" si="6"/>
        <v/>
      </c>
      <c r="C114" t="str">
        <f t="shared" si="7"/>
        <v/>
      </c>
      <c r="D114" t="str">
        <f>IF(E114="","",IF(COUNTIF($E$2:E114,E114)&gt;1,"",SUMIFS(tbl_input[필요수량],tbl_input[집계키_지청],E114)))</f>
        <v/>
      </c>
      <c r="E114" t="str">
        <f>IFERROR(INDEX(tbl_input[집계키_지청],ROW()-1),"")</f>
        <v/>
      </c>
      <c r="F114" t="str">
        <f t="shared" si="8"/>
        <v/>
      </c>
      <c r="G114" t="str">
        <f t="shared" si="9"/>
        <v/>
      </c>
    </row>
    <row r="115" spans="1:7" x14ac:dyDescent="0.4">
      <c r="A115" t="str">
        <f t="shared" si="5"/>
        <v/>
      </c>
      <c r="B115" t="str">
        <f t="shared" si="6"/>
        <v/>
      </c>
      <c r="C115" t="str">
        <f t="shared" si="7"/>
        <v/>
      </c>
      <c r="D115" t="str">
        <f>IF(E115="","",IF(COUNTIF($E$2:E115,E115)&gt;1,"",SUMIFS(tbl_input[필요수량],tbl_input[집계키_지청],E115)))</f>
        <v/>
      </c>
      <c r="E115" t="str">
        <f>IFERROR(INDEX(tbl_input[집계키_지청],ROW()-1),"")</f>
        <v/>
      </c>
      <c r="F115" t="str">
        <f t="shared" si="8"/>
        <v/>
      </c>
      <c r="G115" t="str">
        <f t="shared" si="9"/>
        <v/>
      </c>
    </row>
    <row r="116" spans="1:7" x14ac:dyDescent="0.4">
      <c r="A116" t="str">
        <f t="shared" si="5"/>
        <v/>
      </c>
      <c r="B116" t="str">
        <f t="shared" si="6"/>
        <v/>
      </c>
      <c r="C116" t="str">
        <f t="shared" si="7"/>
        <v/>
      </c>
      <c r="D116" t="str">
        <f>IF(E116="","",IF(COUNTIF($E$2:E116,E116)&gt;1,"",SUMIFS(tbl_input[필요수량],tbl_input[집계키_지청],E116)))</f>
        <v/>
      </c>
      <c r="E116" t="str">
        <f>IFERROR(INDEX(tbl_input[집계키_지청],ROW()-1),"")</f>
        <v/>
      </c>
      <c r="F116" t="str">
        <f t="shared" si="8"/>
        <v/>
      </c>
      <c r="G116" t="str">
        <f t="shared" si="9"/>
        <v/>
      </c>
    </row>
    <row r="117" spans="1:7" x14ac:dyDescent="0.4">
      <c r="A117" t="str">
        <f t="shared" si="5"/>
        <v/>
      </c>
      <c r="B117" t="str">
        <f t="shared" si="6"/>
        <v/>
      </c>
      <c r="C117" t="str">
        <f t="shared" si="7"/>
        <v/>
      </c>
      <c r="D117" t="str">
        <f>IF(E117="","",IF(COUNTIF($E$2:E117,E117)&gt;1,"",SUMIFS(tbl_input[필요수량],tbl_input[집계키_지청],E117)))</f>
        <v/>
      </c>
      <c r="E117" t="str">
        <f>IFERROR(INDEX(tbl_input[집계키_지청],ROW()-1),"")</f>
        <v/>
      </c>
      <c r="F117" t="str">
        <f t="shared" si="8"/>
        <v/>
      </c>
      <c r="G117" t="str">
        <f t="shared" si="9"/>
        <v/>
      </c>
    </row>
    <row r="118" spans="1:7" x14ac:dyDescent="0.4">
      <c r="A118" t="str">
        <f t="shared" si="5"/>
        <v/>
      </c>
      <c r="B118" t="str">
        <f t="shared" si="6"/>
        <v/>
      </c>
      <c r="C118" t="str">
        <f t="shared" si="7"/>
        <v/>
      </c>
      <c r="D118" t="str">
        <f>IF(E118="","",IF(COUNTIF($E$2:E118,E118)&gt;1,"",SUMIFS(tbl_input[필요수량],tbl_input[집계키_지청],E118)))</f>
        <v/>
      </c>
      <c r="E118" t="str">
        <f>IFERROR(INDEX(tbl_input[집계키_지청],ROW()-1),"")</f>
        <v/>
      </c>
      <c r="F118" t="str">
        <f t="shared" si="8"/>
        <v/>
      </c>
      <c r="G118" t="str">
        <f t="shared" si="9"/>
        <v/>
      </c>
    </row>
    <row r="119" spans="1:7" x14ac:dyDescent="0.4">
      <c r="A119" t="str">
        <f t="shared" si="5"/>
        <v/>
      </c>
      <c r="B119" t="str">
        <f t="shared" si="6"/>
        <v/>
      </c>
      <c r="C119" t="str">
        <f t="shared" si="7"/>
        <v/>
      </c>
      <c r="D119" t="str">
        <f>IF(E119="","",IF(COUNTIF($E$2:E119,E119)&gt;1,"",SUMIFS(tbl_input[필요수량],tbl_input[집계키_지청],E119)))</f>
        <v/>
      </c>
      <c r="E119" t="str">
        <f>IFERROR(INDEX(tbl_input[집계키_지청],ROW()-1),"")</f>
        <v/>
      </c>
      <c r="F119" t="str">
        <f t="shared" si="8"/>
        <v/>
      </c>
      <c r="G119" t="str">
        <f t="shared" si="9"/>
        <v/>
      </c>
    </row>
    <row r="120" spans="1:7" x14ac:dyDescent="0.4">
      <c r="A120" t="str">
        <f t="shared" si="5"/>
        <v/>
      </c>
      <c r="B120" t="str">
        <f t="shared" si="6"/>
        <v/>
      </c>
      <c r="C120" t="str">
        <f t="shared" si="7"/>
        <v/>
      </c>
      <c r="D120" t="str">
        <f>IF(E120="","",IF(COUNTIF($E$2:E120,E120)&gt;1,"",SUMIFS(tbl_input[필요수량],tbl_input[집계키_지청],E120)))</f>
        <v/>
      </c>
      <c r="E120" t="str">
        <f>IFERROR(INDEX(tbl_input[집계키_지청],ROW()-1),"")</f>
        <v/>
      </c>
      <c r="F120" t="str">
        <f t="shared" si="8"/>
        <v/>
      </c>
      <c r="G120" t="str">
        <f t="shared" si="9"/>
        <v/>
      </c>
    </row>
    <row r="121" spans="1:7" x14ac:dyDescent="0.4">
      <c r="A121" t="str">
        <f t="shared" si="5"/>
        <v/>
      </c>
      <c r="B121" t="str">
        <f t="shared" si="6"/>
        <v/>
      </c>
      <c r="C121" t="str">
        <f t="shared" si="7"/>
        <v/>
      </c>
      <c r="D121" t="str">
        <f>IF(E121="","",IF(COUNTIF($E$2:E121,E121)&gt;1,"",SUMIFS(tbl_input[필요수량],tbl_input[집계키_지청],E121)))</f>
        <v/>
      </c>
      <c r="E121" t="str">
        <f>IFERROR(INDEX(tbl_input[집계키_지청],ROW()-1),"")</f>
        <v/>
      </c>
      <c r="F121" t="str">
        <f t="shared" si="8"/>
        <v/>
      </c>
      <c r="G121" t="str">
        <f t="shared" si="9"/>
        <v/>
      </c>
    </row>
    <row r="122" spans="1:7" x14ac:dyDescent="0.4">
      <c r="A122" t="str">
        <f t="shared" si="5"/>
        <v/>
      </c>
      <c r="B122" t="str">
        <f t="shared" si="6"/>
        <v/>
      </c>
      <c r="C122" t="str">
        <f t="shared" si="7"/>
        <v/>
      </c>
      <c r="D122" t="str">
        <f>IF(E122="","",IF(COUNTIF($E$2:E122,E122)&gt;1,"",SUMIFS(tbl_input[필요수량],tbl_input[집계키_지청],E122)))</f>
        <v/>
      </c>
      <c r="E122" t="str">
        <f>IFERROR(INDEX(tbl_input[집계키_지청],ROW()-1),"")</f>
        <v/>
      </c>
      <c r="F122" t="str">
        <f t="shared" si="8"/>
        <v/>
      </c>
      <c r="G122" t="str">
        <f t="shared" si="9"/>
        <v/>
      </c>
    </row>
    <row r="123" spans="1:7" x14ac:dyDescent="0.4">
      <c r="A123" t="str">
        <f t="shared" si="5"/>
        <v/>
      </c>
      <c r="B123" t="str">
        <f t="shared" si="6"/>
        <v/>
      </c>
      <c r="C123" t="str">
        <f t="shared" si="7"/>
        <v/>
      </c>
      <c r="D123" t="str">
        <f>IF(E123="","",IF(COUNTIF($E$2:E123,E123)&gt;1,"",SUMIFS(tbl_input[필요수량],tbl_input[집계키_지청],E123)))</f>
        <v/>
      </c>
      <c r="E123" t="str">
        <f>IFERROR(INDEX(tbl_input[집계키_지청],ROW()-1),"")</f>
        <v/>
      </c>
      <c r="F123" t="str">
        <f t="shared" si="8"/>
        <v/>
      </c>
      <c r="G123" t="str">
        <f t="shared" si="9"/>
        <v/>
      </c>
    </row>
    <row r="124" spans="1:7" x14ac:dyDescent="0.4">
      <c r="A124" t="str">
        <f t="shared" si="5"/>
        <v/>
      </c>
      <c r="B124" t="str">
        <f t="shared" si="6"/>
        <v/>
      </c>
      <c r="C124" t="str">
        <f t="shared" si="7"/>
        <v/>
      </c>
      <c r="D124" t="str">
        <f>IF(E124="","",IF(COUNTIF($E$2:E124,E124)&gt;1,"",SUMIFS(tbl_input[필요수량],tbl_input[집계키_지청],E124)))</f>
        <v/>
      </c>
      <c r="E124" t="str">
        <f>IFERROR(INDEX(tbl_input[집계키_지청],ROW()-1),"")</f>
        <v/>
      </c>
      <c r="F124" t="str">
        <f t="shared" si="8"/>
        <v/>
      </c>
      <c r="G124" t="str">
        <f t="shared" si="9"/>
        <v/>
      </c>
    </row>
    <row r="125" spans="1:7" x14ac:dyDescent="0.4">
      <c r="A125" t="str">
        <f t="shared" si="5"/>
        <v/>
      </c>
      <c r="B125" t="str">
        <f t="shared" si="6"/>
        <v/>
      </c>
      <c r="C125" t="str">
        <f t="shared" si="7"/>
        <v/>
      </c>
      <c r="D125" t="str">
        <f>IF(E125="","",IF(COUNTIF($E$2:E125,E125)&gt;1,"",SUMIFS(tbl_input[필요수량],tbl_input[집계키_지청],E125)))</f>
        <v/>
      </c>
      <c r="E125" t="str">
        <f>IFERROR(INDEX(tbl_input[집계키_지청],ROW()-1),"")</f>
        <v/>
      </c>
      <c r="F125" t="str">
        <f t="shared" si="8"/>
        <v/>
      </c>
      <c r="G125" t="str">
        <f t="shared" si="9"/>
        <v/>
      </c>
    </row>
    <row r="126" spans="1:7" x14ac:dyDescent="0.4">
      <c r="A126" t="str">
        <f t="shared" si="5"/>
        <v/>
      </c>
      <c r="B126" t="str">
        <f t="shared" si="6"/>
        <v/>
      </c>
      <c r="C126" t="str">
        <f t="shared" si="7"/>
        <v/>
      </c>
      <c r="D126" t="str">
        <f>IF(E126="","",IF(COUNTIF($E$2:E126,E126)&gt;1,"",SUMIFS(tbl_input[필요수량],tbl_input[집계키_지청],E126)))</f>
        <v/>
      </c>
      <c r="E126" t="str">
        <f>IFERROR(INDEX(tbl_input[집계키_지청],ROW()-1),"")</f>
        <v/>
      </c>
      <c r="F126" t="str">
        <f t="shared" si="8"/>
        <v/>
      </c>
      <c r="G126" t="str">
        <f t="shared" si="9"/>
        <v/>
      </c>
    </row>
    <row r="127" spans="1:7" x14ac:dyDescent="0.4">
      <c r="A127" t="str">
        <f t="shared" si="5"/>
        <v/>
      </c>
      <c r="B127" t="str">
        <f t="shared" si="6"/>
        <v/>
      </c>
      <c r="C127" t="str">
        <f t="shared" si="7"/>
        <v/>
      </c>
      <c r="D127" t="str">
        <f>IF(E127="","",IF(COUNTIF($E$2:E127,E127)&gt;1,"",SUMIFS(tbl_input[필요수량],tbl_input[집계키_지청],E127)))</f>
        <v/>
      </c>
      <c r="E127" t="str">
        <f>IFERROR(INDEX(tbl_input[집계키_지청],ROW()-1),"")</f>
        <v/>
      </c>
      <c r="F127" t="str">
        <f t="shared" si="8"/>
        <v/>
      </c>
      <c r="G127" t="str">
        <f t="shared" si="9"/>
        <v/>
      </c>
    </row>
    <row r="128" spans="1:7" x14ac:dyDescent="0.4">
      <c r="A128" t="str">
        <f t="shared" si="5"/>
        <v/>
      </c>
      <c r="B128" t="str">
        <f t="shared" si="6"/>
        <v/>
      </c>
      <c r="C128" t="str">
        <f t="shared" si="7"/>
        <v/>
      </c>
      <c r="D128" t="str">
        <f>IF(E128="","",IF(COUNTIF($E$2:E128,E128)&gt;1,"",SUMIFS(tbl_input[필요수량],tbl_input[집계키_지청],E128)))</f>
        <v/>
      </c>
      <c r="E128" t="str">
        <f>IFERROR(INDEX(tbl_input[집계키_지청],ROW()-1),"")</f>
        <v/>
      </c>
      <c r="F128" t="str">
        <f t="shared" si="8"/>
        <v/>
      </c>
      <c r="G128" t="str">
        <f t="shared" si="9"/>
        <v/>
      </c>
    </row>
    <row r="129" spans="1:7" x14ac:dyDescent="0.4">
      <c r="A129" t="str">
        <f t="shared" si="5"/>
        <v/>
      </c>
      <c r="B129" t="str">
        <f t="shared" si="6"/>
        <v/>
      </c>
      <c r="C129" t="str">
        <f t="shared" si="7"/>
        <v/>
      </c>
      <c r="D129" t="str">
        <f>IF(E129="","",IF(COUNTIF($E$2:E129,E129)&gt;1,"",SUMIFS(tbl_input[필요수량],tbl_input[집계키_지청],E129)))</f>
        <v/>
      </c>
      <c r="E129" t="str">
        <f>IFERROR(INDEX(tbl_input[집계키_지청],ROW()-1),"")</f>
        <v/>
      </c>
      <c r="F129" t="str">
        <f t="shared" si="8"/>
        <v/>
      </c>
      <c r="G129" t="str">
        <f t="shared" si="9"/>
        <v/>
      </c>
    </row>
    <row r="130" spans="1:7" x14ac:dyDescent="0.4">
      <c r="A130" t="str">
        <f t="shared" ref="A130:A193" si="10">IF(E130="","",LEFT(E130,F130-1))</f>
        <v/>
      </c>
      <c r="B130" t="str">
        <f t="shared" ref="B130:B193" si="11">IF(E130="","",MID(E130,F130+1,G130-F130-1))</f>
        <v/>
      </c>
      <c r="C130" t="str">
        <f t="shared" ref="C130:C193" si="12">IF(E130="","",MID(E130,G130+1,999))</f>
        <v/>
      </c>
      <c r="D130" t="str">
        <f>IF(E130="","",IF(COUNTIF($E$2:E130,E130)&gt;1,"",SUMIFS(tbl_input[필요수량],tbl_input[집계키_지청],E130)))</f>
        <v/>
      </c>
      <c r="E130" t="str">
        <f>IFERROR(INDEX(tbl_input[집계키_지청],ROW()-1),"")</f>
        <v/>
      </c>
      <c r="F130" t="str">
        <f t="shared" ref="F130:F193" si="13">IF(E130="","",FIND("♦",E130))</f>
        <v/>
      </c>
      <c r="G130" t="str">
        <f t="shared" ref="G130:G193" si="14">IF(E130="","",FIND("♦",E130,F130+1))</f>
        <v/>
      </c>
    </row>
    <row r="131" spans="1:7" x14ac:dyDescent="0.4">
      <c r="A131" t="str">
        <f t="shared" si="10"/>
        <v/>
      </c>
      <c r="B131" t="str">
        <f t="shared" si="11"/>
        <v/>
      </c>
      <c r="C131" t="str">
        <f t="shared" si="12"/>
        <v/>
      </c>
      <c r="D131" t="str">
        <f>IF(E131="","",IF(COUNTIF($E$2:E131,E131)&gt;1,"",SUMIFS(tbl_input[필요수량],tbl_input[집계키_지청],E131)))</f>
        <v/>
      </c>
      <c r="E131" t="str">
        <f>IFERROR(INDEX(tbl_input[집계키_지청],ROW()-1),"")</f>
        <v/>
      </c>
      <c r="F131" t="str">
        <f t="shared" si="13"/>
        <v/>
      </c>
      <c r="G131" t="str">
        <f t="shared" si="14"/>
        <v/>
      </c>
    </row>
    <row r="132" spans="1:7" x14ac:dyDescent="0.4">
      <c r="A132" t="str">
        <f t="shared" si="10"/>
        <v/>
      </c>
      <c r="B132" t="str">
        <f t="shared" si="11"/>
        <v/>
      </c>
      <c r="C132" t="str">
        <f t="shared" si="12"/>
        <v/>
      </c>
      <c r="D132" t="str">
        <f>IF(E132="","",IF(COUNTIF($E$2:E132,E132)&gt;1,"",SUMIFS(tbl_input[필요수량],tbl_input[집계키_지청],E132)))</f>
        <v/>
      </c>
      <c r="E132" t="str">
        <f>IFERROR(INDEX(tbl_input[집계키_지청],ROW()-1),"")</f>
        <v/>
      </c>
      <c r="F132" t="str">
        <f t="shared" si="13"/>
        <v/>
      </c>
      <c r="G132" t="str">
        <f t="shared" si="14"/>
        <v/>
      </c>
    </row>
    <row r="133" spans="1:7" x14ac:dyDescent="0.4">
      <c r="A133" t="str">
        <f t="shared" si="10"/>
        <v/>
      </c>
      <c r="B133" t="str">
        <f t="shared" si="11"/>
        <v/>
      </c>
      <c r="C133" t="str">
        <f t="shared" si="12"/>
        <v/>
      </c>
      <c r="D133" t="str">
        <f>IF(E133="","",IF(COUNTIF($E$2:E133,E133)&gt;1,"",SUMIFS(tbl_input[필요수량],tbl_input[집계키_지청],E133)))</f>
        <v/>
      </c>
      <c r="E133" t="str">
        <f>IFERROR(INDEX(tbl_input[집계키_지청],ROW()-1),"")</f>
        <v/>
      </c>
      <c r="F133" t="str">
        <f t="shared" si="13"/>
        <v/>
      </c>
      <c r="G133" t="str">
        <f t="shared" si="14"/>
        <v/>
      </c>
    </row>
    <row r="134" spans="1:7" x14ac:dyDescent="0.4">
      <c r="A134" t="str">
        <f t="shared" si="10"/>
        <v/>
      </c>
      <c r="B134" t="str">
        <f t="shared" si="11"/>
        <v/>
      </c>
      <c r="C134" t="str">
        <f t="shared" si="12"/>
        <v/>
      </c>
      <c r="D134" t="str">
        <f>IF(E134="","",IF(COUNTIF($E$2:E134,E134)&gt;1,"",SUMIFS(tbl_input[필요수량],tbl_input[집계키_지청],E134)))</f>
        <v/>
      </c>
      <c r="E134" t="str">
        <f>IFERROR(INDEX(tbl_input[집계키_지청],ROW()-1),"")</f>
        <v/>
      </c>
      <c r="F134" t="str">
        <f t="shared" si="13"/>
        <v/>
      </c>
      <c r="G134" t="str">
        <f t="shared" si="14"/>
        <v/>
      </c>
    </row>
    <row r="135" spans="1:7" x14ac:dyDescent="0.4">
      <c r="A135" t="str">
        <f t="shared" si="10"/>
        <v/>
      </c>
      <c r="B135" t="str">
        <f t="shared" si="11"/>
        <v/>
      </c>
      <c r="C135" t="str">
        <f t="shared" si="12"/>
        <v/>
      </c>
      <c r="D135" t="str">
        <f>IF(E135="","",IF(COUNTIF($E$2:E135,E135)&gt;1,"",SUMIFS(tbl_input[필요수량],tbl_input[집계키_지청],E135)))</f>
        <v/>
      </c>
      <c r="E135" t="str">
        <f>IFERROR(INDEX(tbl_input[집계키_지청],ROW()-1),"")</f>
        <v/>
      </c>
      <c r="F135" t="str">
        <f t="shared" si="13"/>
        <v/>
      </c>
      <c r="G135" t="str">
        <f t="shared" si="14"/>
        <v/>
      </c>
    </row>
    <row r="136" spans="1:7" x14ac:dyDescent="0.4">
      <c r="A136" t="str">
        <f t="shared" si="10"/>
        <v/>
      </c>
      <c r="B136" t="str">
        <f t="shared" si="11"/>
        <v/>
      </c>
      <c r="C136" t="str">
        <f t="shared" si="12"/>
        <v/>
      </c>
      <c r="D136" t="str">
        <f>IF(E136="","",IF(COUNTIF($E$2:E136,E136)&gt;1,"",SUMIFS(tbl_input[필요수량],tbl_input[집계키_지청],E136)))</f>
        <v/>
      </c>
      <c r="E136" t="str">
        <f>IFERROR(INDEX(tbl_input[집계키_지청],ROW()-1),"")</f>
        <v/>
      </c>
      <c r="F136" t="str">
        <f t="shared" si="13"/>
        <v/>
      </c>
      <c r="G136" t="str">
        <f t="shared" si="14"/>
        <v/>
      </c>
    </row>
    <row r="137" spans="1:7" x14ac:dyDescent="0.4">
      <c r="A137" t="str">
        <f t="shared" si="10"/>
        <v/>
      </c>
      <c r="B137" t="str">
        <f t="shared" si="11"/>
        <v/>
      </c>
      <c r="C137" t="str">
        <f t="shared" si="12"/>
        <v/>
      </c>
      <c r="D137" t="str">
        <f>IF(E137="","",IF(COUNTIF($E$2:E137,E137)&gt;1,"",SUMIFS(tbl_input[필요수량],tbl_input[집계키_지청],E137)))</f>
        <v/>
      </c>
      <c r="E137" t="str">
        <f>IFERROR(INDEX(tbl_input[집계키_지청],ROW()-1),"")</f>
        <v/>
      </c>
      <c r="F137" t="str">
        <f t="shared" si="13"/>
        <v/>
      </c>
      <c r="G137" t="str">
        <f t="shared" si="14"/>
        <v/>
      </c>
    </row>
    <row r="138" spans="1:7" x14ac:dyDescent="0.4">
      <c r="A138" t="str">
        <f t="shared" si="10"/>
        <v/>
      </c>
      <c r="B138" t="str">
        <f t="shared" si="11"/>
        <v/>
      </c>
      <c r="C138" t="str">
        <f t="shared" si="12"/>
        <v/>
      </c>
      <c r="D138" t="str">
        <f>IF(E138="","",IF(COUNTIF($E$2:E138,E138)&gt;1,"",SUMIFS(tbl_input[필요수량],tbl_input[집계키_지청],E138)))</f>
        <v/>
      </c>
      <c r="E138" t="str">
        <f>IFERROR(INDEX(tbl_input[집계키_지청],ROW()-1),"")</f>
        <v/>
      </c>
      <c r="F138" t="str">
        <f t="shared" si="13"/>
        <v/>
      </c>
      <c r="G138" t="str">
        <f t="shared" si="14"/>
        <v/>
      </c>
    </row>
    <row r="139" spans="1:7" x14ac:dyDescent="0.4">
      <c r="A139" t="str">
        <f t="shared" si="10"/>
        <v/>
      </c>
      <c r="B139" t="str">
        <f t="shared" si="11"/>
        <v/>
      </c>
      <c r="C139" t="str">
        <f t="shared" si="12"/>
        <v/>
      </c>
      <c r="D139" t="str">
        <f>IF(E139="","",IF(COUNTIF($E$2:E139,E139)&gt;1,"",SUMIFS(tbl_input[필요수량],tbl_input[집계키_지청],E139)))</f>
        <v/>
      </c>
      <c r="E139" t="str">
        <f>IFERROR(INDEX(tbl_input[집계키_지청],ROW()-1),"")</f>
        <v/>
      </c>
      <c r="F139" t="str">
        <f t="shared" si="13"/>
        <v/>
      </c>
      <c r="G139" t="str">
        <f t="shared" si="14"/>
        <v/>
      </c>
    </row>
    <row r="140" spans="1:7" x14ac:dyDescent="0.4">
      <c r="A140" t="str">
        <f t="shared" si="10"/>
        <v/>
      </c>
      <c r="B140" t="str">
        <f t="shared" si="11"/>
        <v/>
      </c>
      <c r="C140" t="str">
        <f t="shared" si="12"/>
        <v/>
      </c>
      <c r="D140" t="str">
        <f>IF(E140="","",IF(COUNTIF($E$2:E140,E140)&gt;1,"",SUMIFS(tbl_input[필요수량],tbl_input[집계키_지청],E140)))</f>
        <v/>
      </c>
      <c r="E140" t="str">
        <f>IFERROR(INDEX(tbl_input[집계키_지청],ROW()-1),"")</f>
        <v/>
      </c>
      <c r="F140" t="str">
        <f t="shared" si="13"/>
        <v/>
      </c>
      <c r="G140" t="str">
        <f t="shared" si="14"/>
        <v/>
      </c>
    </row>
    <row r="141" spans="1:7" x14ac:dyDescent="0.4">
      <c r="A141" t="str">
        <f t="shared" si="10"/>
        <v/>
      </c>
      <c r="B141" t="str">
        <f t="shared" si="11"/>
        <v/>
      </c>
      <c r="C141" t="str">
        <f t="shared" si="12"/>
        <v/>
      </c>
      <c r="D141" t="str">
        <f>IF(E141="","",IF(COUNTIF($E$2:E141,E141)&gt;1,"",SUMIFS(tbl_input[필요수량],tbl_input[집계키_지청],E141)))</f>
        <v/>
      </c>
      <c r="E141" t="str">
        <f>IFERROR(INDEX(tbl_input[집계키_지청],ROW()-1),"")</f>
        <v/>
      </c>
      <c r="F141" t="str">
        <f t="shared" si="13"/>
        <v/>
      </c>
      <c r="G141" t="str">
        <f t="shared" si="14"/>
        <v/>
      </c>
    </row>
    <row r="142" spans="1:7" x14ac:dyDescent="0.4">
      <c r="A142" t="str">
        <f t="shared" si="10"/>
        <v/>
      </c>
      <c r="B142" t="str">
        <f t="shared" si="11"/>
        <v/>
      </c>
      <c r="C142" t="str">
        <f t="shared" si="12"/>
        <v/>
      </c>
      <c r="D142" t="str">
        <f>IF(E142="","",IF(COUNTIF($E$2:E142,E142)&gt;1,"",SUMIFS(tbl_input[필요수량],tbl_input[집계키_지청],E142)))</f>
        <v/>
      </c>
      <c r="E142" t="str">
        <f>IFERROR(INDEX(tbl_input[집계키_지청],ROW()-1),"")</f>
        <v/>
      </c>
      <c r="F142" t="str">
        <f t="shared" si="13"/>
        <v/>
      </c>
      <c r="G142" t="str">
        <f t="shared" si="14"/>
        <v/>
      </c>
    </row>
    <row r="143" spans="1:7" x14ac:dyDescent="0.4">
      <c r="A143" t="str">
        <f t="shared" si="10"/>
        <v/>
      </c>
      <c r="B143" t="str">
        <f t="shared" si="11"/>
        <v/>
      </c>
      <c r="C143" t="str">
        <f t="shared" si="12"/>
        <v/>
      </c>
      <c r="D143" t="str">
        <f>IF(E143="","",IF(COUNTIF($E$2:E143,E143)&gt;1,"",SUMIFS(tbl_input[필요수량],tbl_input[집계키_지청],E143)))</f>
        <v/>
      </c>
      <c r="E143" t="str">
        <f>IFERROR(INDEX(tbl_input[집계키_지청],ROW()-1),"")</f>
        <v/>
      </c>
      <c r="F143" t="str">
        <f t="shared" si="13"/>
        <v/>
      </c>
      <c r="G143" t="str">
        <f t="shared" si="14"/>
        <v/>
      </c>
    </row>
    <row r="144" spans="1:7" x14ac:dyDescent="0.4">
      <c r="A144" t="str">
        <f t="shared" si="10"/>
        <v/>
      </c>
      <c r="B144" t="str">
        <f t="shared" si="11"/>
        <v/>
      </c>
      <c r="C144" t="str">
        <f t="shared" si="12"/>
        <v/>
      </c>
      <c r="D144" t="str">
        <f>IF(E144="","",IF(COUNTIF($E$2:E144,E144)&gt;1,"",SUMIFS(tbl_input[필요수량],tbl_input[집계키_지청],E144)))</f>
        <v/>
      </c>
      <c r="E144" t="str">
        <f>IFERROR(INDEX(tbl_input[집계키_지청],ROW()-1),"")</f>
        <v/>
      </c>
      <c r="F144" t="str">
        <f t="shared" si="13"/>
        <v/>
      </c>
      <c r="G144" t="str">
        <f t="shared" si="14"/>
        <v/>
      </c>
    </row>
    <row r="145" spans="1:7" x14ac:dyDescent="0.4">
      <c r="A145" t="str">
        <f t="shared" si="10"/>
        <v/>
      </c>
      <c r="B145" t="str">
        <f t="shared" si="11"/>
        <v/>
      </c>
      <c r="C145" t="str">
        <f t="shared" si="12"/>
        <v/>
      </c>
      <c r="D145" t="str">
        <f>IF(E145="","",IF(COUNTIF($E$2:E145,E145)&gt;1,"",SUMIFS(tbl_input[필요수량],tbl_input[집계키_지청],E145)))</f>
        <v/>
      </c>
      <c r="E145" t="str">
        <f>IFERROR(INDEX(tbl_input[집계키_지청],ROW()-1),"")</f>
        <v/>
      </c>
      <c r="F145" t="str">
        <f t="shared" si="13"/>
        <v/>
      </c>
      <c r="G145" t="str">
        <f t="shared" si="14"/>
        <v/>
      </c>
    </row>
    <row r="146" spans="1:7" x14ac:dyDescent="0.4">
      <c r="A146" t="str">
        <f t="shared" si="10"/>
        <v/>
      </c>
      <c r="B146" t="str">
        <f t="shared" si="11"/>
        <v/>
      </c>
      <c r="C146" t="str">
        <f t="shared" si="12"/>
        <v/>
      </c>
      <c r="D146" t="str">
        <f>IF(E146="","",IF(COUNTIF($E$2:E146,E146)&gt;1,"",SUMIFS(tbl_input[필요수량],tbl_input[집계키_지청],E146)))</f>
        <v/>
      </c>
      <c r="E146" t="str">
        <f>IFERROR(INDEX(tbl_input[집계키_지청],ROW()-1),"")</f>
        <v/>
      </c>
      <c r="F146" t="str">
        <f t="shared" si="13"/>
        <v/>
      </c>
      <c r="G146" t="str">
        <f t="shared" si="14"/>
        <v/>
      </c>
    </row>
    <row r="147" spans="1:7" x14ac:dyDescent="0.4">
      <c r="A147" t="str">
        <f t="shared" si="10"/>
        <v/>
      </c>
      <c r="B147" t="str">
        <f t="shared" si="11"/>
        <v/>
      </c>
      <c r="C147" t="str">
        <f t="shared" si="12"/>
        <v/>
      </c>
      <c r="D147" t="str">
        <f>IF(E147="","",IF(COUNTIF($E$2:E147,E147)&gt;1,"",SUMIFS(tbl_input[필요수량],tbl_input[집계키_지청],E147)))</f>
        <v/>
      </c>
      <c r="E147" t="str">
        <f>IFERROR(INDEX(tbl_input[집계키_지청],ROW()-1),"")</f>
        <v/>
      </c>
      <c r="F147" t="str">
        <f t="shared" si="13"/>
        <v/>
      </c>
      <c r="G147" t="str">
        <f t="shared" si="14"/>
        <v/>
      </c>
    </row>
    <row r="148" spans="1:7" x14ac:dyDescent="0.4">
      <c r="A148" t="str">
        <f t="shared" si="10"/>
        <v/>
      </c>
      <c r="B148" t="str">
        <f t="shared" si="11"/>
        <v/>
      </c>
      <c r="C148" t="str">
        <f t="shared" si="12"/>
        <v/>
      </c>
      <c r="D148" t="str">
        <f>IF(E148="","",IF(COUNTIF($E$2:E148,E148)&gt;1,"",SUMIFS(tbl_input[필요수량],tbl_input[집계키_지청],E148)))</f>
        <v/>
      </c>
      <c r="E148" t="str">
        <f>IFERROR(INDEX(tbl_input[집계키_지청],ROW()-1),"")</f>
        <v/>
      </c>
      <c r="F148" t="str">
        <f t="shared" si="13"/>
        <v/>
      </c>
      <c r="G148" t="str">
        <f t="shared" si="14"/>
        <v/>
      </c>
    </row>
    <row r="149" spans="1:7" x14ac:dyDescent="0.4">
      <c r="A149" t="str">
        <f t="shared" si="10"/>
        <v/>
      </c>
      <c r="B149" t="str">
        <f t="shared" si="11"/>
        <v/>
      </c>
      <c r="C149" t="str">
        <f t="shared" si="12"/>
        <v/>
      </c>
      <c r="D149" t="str">
        <f>IF(E149="","",IF(COUNTIF($E$2:E149,E149)&gt;1,"",SUMIFS(tbl_input[필요수량],tbl_input[집계키_지청],E149)))</f>
        <v/>
      </c>
      <c r="E149" t="str">
        <f>IFERROR(INDEX(tbl_input[집계키_지청],ROW()-1),"")</f>
        <v/>
      </c>
      <c r="F149" t="str">
        <f t="shared" si="13"/>
        <v/>
      </c>
      <c r="G149" t="str">
        <f t="shared" si="14"/>
        <v/>
      </c>
    </row>
    <row r="150" spans="1:7" x14ac:dyDescent="0.4">
      <c r="A150" t="str">
        <f t="shared" si="10"/>
        <v/>
      </c>
      <c r="B150" t="str">
        <f t="shared" si="11"/>
        <v/>
      </c>
      <c r="C150" t="str">
        <f t="shared" si="12"/>
        <v/>
      </c>
      <c r="D150" t="str">
        <f>IF(E150="","",IF(COUNTIF($E$2:E150,E150)&gt;1,"",SUMIFS(tbl_input[필요수량],tbl_input[집계키_지청],E150)))</f>
        <v/>
      </c>
      <c r="E150" t="str">
        <f>IFERROR(INDEX(tbl_input[집계키_지청],ROW()-1),"")</f>
        <v/>
      </c>
      <c r="F150" t="str">
        <f t="shared" si="13"/>
        <v/>
      </c>
      <c r="G150" t="str">
        <f t="shared" si="14"/>
        <v/>
      </c>
    </row>
    <row r="151" spans="1:7" x14ac:dyDescent="0.4">
      <c r="A151" t="str">
        <f t="shared" si="10"/>
        <v/>
      </c>
      <c r="B151" t="str">
        <f t="shared" si="11"/>
        <v/>
      </c>
      <c r="C151" t="str">
        <f t="shared" si="12"/>
        <v/>
      </c>
      <c r="D151" t="str">
        <f>IF(E151="","",IF(COUNTIF($E$2:E151,E151)&gt;1,"",SUMIFS(tbl_input[필요수량],tbl_input[집계키_지청],E151)))</f>
        <v/>
      </c>
      <c r="E151" t="str">
        <f>IFERROR(INDEX(tbl_input[집계키_지청],ROW()-1),"")</f>
        <v/>
      </c>
      <c r="F151" t="str">
        <f t="shared" si="13"/>
        <v/>
      </c>
      <c r="G151" t="str">
        <f t="shared" si="14"/>
        <v/>
      </c>
    </row>
    <row r="152" spans="1:7" x14ac:dyDescent="0.4">
      <c r="A152" t="str">
        <f t="shared" si="10"/>
        <v/>
      </c>
      <c r="B152" t="str">
        <f t="shared" si="11"/>
        <v/>
      </c>
      <c r="C152" t="str">
        <f t="shared" si="12"/>
        <v/>
      </c>
      <c r="D152" t="str">
        <f>IF(E152="","",IF(COUNTIF($E$2:E152,E152)&gt;1,"",SUMIFS(tbl_input[필요수량],tbl_input[집계키_지청],E152)))</f>
        <v/>
      </c>
      <c r="E152" t="str">
        <f>IFERROR(INDEX(tbl_input[집계키_지청],ROW()-1),"")</f>
        <v/>
      </c>
      <c r="F152" t="str">
        <f t="shared" si="13"/>
        <v/>
      </c>
      <c r="G152" t="str">
        <f t="shared" si="14"/>
        <v/>
      </c>
    </row>
    <row r="153" spans="1:7" x14ac:dyDescent="0.4">
      <c r="A153" t="str">
        <f t="shared" si="10"/>
        <v/>
      </c>
      <c r="B153" t="str">
        <f t="shared" si="11"/>
        <v/>
      </c>
      <c r="C153" t="str">
        <f t="shared" si="12"/>
        <v/>
      </c>
      <c r="D153" t="str">
        <f>IF(E153="","",IF(COUNTIF($E$2:E153,E153)&gt;1,"",SUMIFS(tbl_input[필요수량],tbl_input[집계키_지청],E153)))</f>
        <v/>
      </c>
      <c r="E153" t="str">
        <f>IFERROR(INDEX(tbl_input[집계키_지청],ROW()-1),"")</f>
        <v/>
      </c>
      <c r="F153" t="str">
        <f t="shared" si="13"/>
        <v/>
      </c>
      <c r="G153" t="str">
        <f t="shared" si="14"/>
        <v/>
      </c>
    </row>
    <row r="154" spans="1:7" x14ac:dyDescent="0.4">
      <c r="A154" t="str">
        <f t="shared" si="10"/>
        <v/>
      </c>
      <c r="B154" t="str">
        <f t="shared" si="11"/>
        <v/>
      </c>
      <c r="C154" t="str">
        <f t="shared" si="12"/>
        <v/>
      </c>
      <c r="D154" t="str">
        <f>IF(E154="","",IF(COUNTIF($E$2:E154,E154)&gt;1,"",SUMIFS(tbl_input[필요수량],tbl_input[집계키_지청],E154)))</f>
        <v/>
      </c>
      <c r="E154" t="str">
        <f>IFERROR(INDEX(tbl_input[집계키_지청],ROW()-1),"")</f>
        <v/>
      </c>
      <c r="F154" t="str">
        <f t="shared" si="13"/>
        <v/>
      </c>
      <c r="G154" t="str">
        <f t="shared" si="14"/>
        <v/>
      </c>
    </row>
    <row r="155" spans="1:7" x14ac:dyDescent="0.4">
      <c r="A155" t="str">
        <f t="shared" si="10"/>
        <v/>
      </c>
      <c r="B155" t="str">
        <f t="shared" si="11"/>
        <v/>
      </c>
      <c r="C155" t="str">
        <f t="shared" si="12"/>
        <v/>
      </c>
      <c r="D155" t="str">
        <f>IF(E155="","",IF(COUNTIF($E$2:E155,E155)&gt;1,"",SUMIFS(tbl_input[필요수량],tbl_input[집계키_지청],E155)))</f>
        <v/>
      </c>
      <c r="E155" t="str">
        <f>IFERROR(INDEX(tbl_input[집계키_지청],ROW()-1),"")</f>
        <v/>
      </c>
      <c r="F155" t="str">
        <f t="shared" si="13"/>
        <v/>
      </c>
      <c r="G155" t="str">
        <f t="shared" si="14"/>
        <v/>
      </c>
    </row>
    <row r="156" spans="1:7" x14ac:dyDescent="0.4">
      <c r="A156" t="str">
        <f t="shared" si="10"/>
        <v/>
      </c>
      <c r="B156" t="str">
        <f t="shared" si="11"/>
        <v/>
      </c>
      <c r="C156" t="str">
        <f t="shared" si="12"/>
        <v/>
      </c>
      <c r="D156" t="str">
        <f>IF(E156="","",IF(COUNTIF($E$2:E156,E156)&gt;1,"",SUMIFS(tbl_input[필요수량],tbl_input[집계키_지청],E156)))</f>
        <v/>
      </c>
      <c r="E156" t="str">
        <f>IFERROR(INDEX(tbl_input[집계키_지청],ROW()-1),"")</f>
        <v/>
      </c>
      <c r="F156" t="str">
        <f t="shared" si="13"/>
        <v/>
      </c>
      <c r="G156" t="str">
        <f t="shared" si="14"/>
        <v/>
      </c>
    </row>
    <row r="157" spans="1:7" x14ac:dyDescent="0.4">
      <c r="A157" t="str">
        <f t="shared" si="10"/>
        <v/>
      </c>
      <c r="B157" t="str">
        <f t="shared" si="11"/>
        <v/>
      </c>
      <c r="C157" t="str">
        <f t="shared" si="12"/>
        <v/>
      </c>
      <c r="D157" t="str">
        <f>IF(E157="","",IF(COUNTIF($E$2:E157,E157)&gt;1,"",SUMIFS(tbl_input[필요수량],tbl_input[집계키_지청],E157)))</f>
        <v/>
      </c>
      <c r="E157" t="str">
        <f>IFERROR(INDEX(tbl_input[집계키_지청],ROW()-1),"")</f>
        <v/>
      </c>
      <c r="F157" t="str">
        <f t="shared" si="13"/>
        <v/>
      </c>
      <c r="G157" t="str">
        <f t="shared" si="14"/>
        <v/>
      </c>
    </row>
    <row r="158" spans="1:7" x14ac:dyDescent="0.4">
      <c r="A158" t="str">
        <f t="shared" si="10"/>
        <v/>
      </c>
      <c r="B158" t="str">
        <f t="shared" si="11"/>
        <v/>
      </c>
      <c r="C158" t="str">
        <f t="shared" si="12"/>
        <v/>
      </c>
      <c r="D158" t="str">
        <f>IF(E158="","",IF(COUNTIF($E$2:E158,E158)&gt;1,"",SUMIFS(tbl_input[필요수량],tbl_input[집계키_지청],E158)))</f>
        <v/>
      </c>
      <c r="E158" t="str">
        <f>IFERROR(INDEX(tbl_input[집계키_지청],ROW()-1),"")</f>
        <v/>
      </c>
      <c r="F158" t="str">
        <f t="shared" si="13"/>
        <v/>
      </c>
      <c r="G158" t="str">
        <f t="shared" si="14"/>
        <v/>
      </c>
    </row>
    <row r="159" spans="1:7" x14ac:dyDescent="0.4">
      <c r="A159" t="str">
        <f t="shared" si="10"/>
        <v/>
      </c>
      <c r="B159" t="str">
        <f t="shared" si="11"/>
        <v/>
      </c>
      <c r="C159" t="str">
        <f t="shared" si="12"/>
        <v/>
      </c>
      <c r="D159" t="str">
        <f>IF(E159="","",IF(COUNTIF($E$2:E159,E159)&gt;1,"",SUMIFS(tbl_input[필요수량],tbl_input[집계키_지청],E159)))</f>
        <v/>
      </c>
      <c r="E159" t="str">
        <f>IFERROR(INDEX(tbl_input[집계키_지청],ROW()-1),"")</f>
        <v/>
      </c>
      <c r="F159" t="str">
        <f t="shared" si="13"/>
        <v/>
      </c>
      <c r="G159" t="str">
        <f t="shared" si="14"/>
        <v/>
      </c>
    </row>
    <row r="160" spans="1:7" x14ac:dyDescent="0.4">
      <c r="A160" t="str">
        <f t="shared" si="10"/>
        <v/>
      </c>
      <c r="B160" t="str">
        <f t="shared" si="11"/>
        <v/>
      </c>
      <c r="C160" t="str">
        <f t="shared" si="12"/>
        <v/>
      </c>
      <c r="D160" t="str">
        <f>IF(E160="","",IF(COUNTIF($E$2:E160,E160)&gt;1,"",SUMIFS(tbl_input[필요수량],tbl_input[집계키_지청],E160)))</f>
        <v/>
      </c>
      <c r="E160" t="str">
        <f>IFERROR(INDEX(tbl_input[집계키_지청],ROW()-1),"")</f>
        <v/>
      </c>
      <c r="F160" t="str">
        <f t="shared" si="13"/>
        <v/>
      </c>
      <c r="G160" t="str">
        <f t="shared" si="14"/>
        <v/>
      </c>
    </row>
    <row r="161" spans="1:7" x14ac:dyDescent="0.4">
      <c r="A161" t="str">
        <f t="shared" si="10"/>
        <v/>
      </c>
      <c r="B161" t="str">
        <f t="shared" si="11"/>
        <v/>
      </c>
      <c r="C161" t="str">
        <f t="shared" si="12"/>
        <v/>
      </c>
      <c r="D161" t="str">
        <f>IF(E161="","",IF(COUNTIF($E$2:E161,E161)&gt;1,"",SUMIFS(tbl_input[필요수량],tbl_input[집계키_지청],E161)))</f>
        <v/>
      </c>
      <c r="E161" t="str">
        <f>IFERROR(INDEX(tbl_input[집계키_지청],ROW()-1),"")</f>
        <v/>
      </c>
      <c r="F161" t="str">
        <f t="shared" si="13"/>
        <v/>
      </c>
      <c r="G161" t="str">
        <f t="shared" si="14"/>
        <v/>
      </c>
    </row>
    <row r="162" spans="1:7" x14ac:dyDescent="0.4">
      <c r="A162" t="str">
        <f t="shared" si="10"/>
        <v/>
      </c>
      <c r="B162" t="str">
        <f t="shared" si="11"/>
        <v/>
      </c>
      <c r="C162" t="str">
        <f t="shared" si="12"/>
        <v/>
      </c>
      <c r="D162" t="str">
        <f>IF(E162="","",IF(COUNTIF($E$2:E162,E162)&gt;1,"",SUMIFS(tbl_input[필요수량],tbl_input[집계키_지청],E162)))</f>
        <v/>
      </c>
      <c r="E162" t="str">
        <f>IFERROR(INDEX(tbl_input[집계키_지청],ROW()-1),"")</f>
        <v/>
      </c>
      <c r="F162" t="str">
        <f t="shared" si="13"/>
        <v/>
      </c>
      <c r="G162" t="str">
        <f t="shared" si="14"/>
        <v/>
      </c>
    </row>
    <row r="163" spans="1:7" x14ac:dyDescent="0.4">
      <c r="A163" t="str">
        <f t="shared" si="10"/>
        <v/>
      </c>
      <c r="B163" t="str">
        <f t="shared" si="11"/>
        <v/>
      </c>
      <c r="C163" t="str">
        <f t="shared" si="12"/>
        <v/>
      </c>
      <c r="D163" t="str">
        <f>IF(E163="","",IF(COUNTIF($E$2:E163,E163)&gt;1,"",SUMIFS(tbl_input[필요수량],tbl_input[집계키_지청],E163)))</f>
        <v/>
      </c>
      <c r="E163" t="str">
        <f>IFERROR(INDEX(tbl_input[집계키_지청],ROW()-1),"")</f>
        <v/>
      </c>
      <c r="F163" t="str">
        <f t="shared" si="13"/>
        <v/>
      </c>
      <c r="G163" t="str">
        <f t="shared" si="14"/>
        <v/>
      </c>
    </row>
    <row r="164" spans="1:7" x14ac:dyDescent="0.4">
      <c r="A164" t="str">
        <f t="shared" si="10"/>
        <v/>
      </c>
      <c r="B164" t="str">
        <f t="shared" si="11"/>
        <v/>
      </c>
      <c r="C164" t="str">
        <f t="shared" si="12"/>
        <v/>
      </c>
      <c r="D164" t="str">
        <f>IF(E164="","",IF(COUNTIF($E$2:E164,E164)&gt;1,"",SUMIFS(tbl_input[필요수량],tbl_input[집계키_지청],E164)))</f>
        <v/>
      </c>
      <c r="E164" t="str">
        <f>IFERROR(INDEX(tbl_input[집계키_지청],ROW()-1),"")</f>
        <v/>
      </c>
      <c r="F164" t="str">
        <f t="shared" si="13"/>
        <v/>
      </c>
      <c r="G164" t="str">
        <f t="shared" si="14"/>
        <v/>
      </c>
    </row>
    <row r="165" spans="1:7" x14ac:dyDescent="0.4">
      <c r="A165" t="str">
        <f t="shared" si="10"/>
        <v/>
      </c>
      <c r="B165" t="str">
        <f t="shared" si="11"/>
        <v/>
      </c>
      <c r="C165" t="str">
        <f t="shared" si="12"/>
        <v/>
      </c>
      <c r="D165" t="str">
        <f>IF(E165="","",IF(COUNTIF($E$2:E165,E165)&gt;1,"",SUMIFS(tbl_input[필요수량],tbl_input[집계키_지청],E165)))</f>
        <v/>
      </c>
      <c r="E165" t="str">
        <f>IFERROR(INDEX(tbl_input[집계키_지청],ROW()-1),"")</f>
        <v/>
      </c>
      <c r="F165" t="str">
        <f t="shared" si="13"/>
        <v/>
      </c>
      <c r="G165" t="str">
        <f t="shared" si="14"/>
        <v/>
      </c>
    </row>
    <row r="166" spans="1:7" x14ac:dyDescent="0.4">
      <c r="A166" t="str">
        <f t="shared" si="10"/>
        <v/>
      </c>
      <c r="B166" t="str">
        <f t="shared" si="11"/>
        <v/>
      </c>
      <c r="C166" t="str">
        <f t="shared" si="12"/>
        <v/>
      </c>
      <c r="D166" t="str">
        <f>IF(E166="","",IF(COUNTIF($E$2:E166,E166)&gt;1,"",SUMIFS(tbl_input[필요수량],tbl_input[집계키_지청],E166)))</f>
        <v/>
      </c>
      <c r="E166" t="str">
        <f>IFERROR(INDEX(tbl_input[집계키_지청],ROW()-1),"")</f>
        <v/>
      </c>
      <c r="F166" t="str">
        <f t="shared" si="13"/>
        <v/>
      </c>
      <c r="G166" t="str">
        <f t="shared" si="14"/>
        <v/>
      </c>
    </row>
    <row r="167" spans="1:7" x14ac:dyDescent="0.4">
      <c r="A167" t="str">
        <f t="shared" si="10"/>
        <v/>
      </c>
      <c r="B167" t="str">
        <f t="shared" si="11"/>
        <v/>
      </c>
      <c r="C167" t="str">
        <f t="shared" si="12"/>
        <v/>
      </c>
      <c r="D167" t="str">
        <f>IF(E167="","",IF(COUNTIF($E$2:E167,E167)&gt;1,"",SUMIFS(tbl_input[필요수량],tbl_input[집계키_지청],E167)))</f>
        <v/>
      </c>
      <c r="E167" t="str">
        <f>IFERROR(INDEX(tbl_input[집계키_지청],ROW()-1),"")</f>
        <v/>
      </c>
      <c r="F167" t="str">
        <f t="shared" si="13"/>
        <v/>
      </c>
      <c r="G167" t="str">
        <f t="shared" si="14"/>
        <v/>
      </c>
    </row>
    <row r="168" spans="1:7" x14ac:dyDescent="0.4">
      <c r="A168" t="str">
        <f t="shared" si="10"/>
        <v/>
      </c>
      <c r="B168" t="str">
        <f t="shared" si="11"/>
        <v/>
      </c>
      <c r="C168" t="str">
        <f t="shared" si="12"/>
        <v/>
      </c>
      <c r="D168" t="str">
        <f>IF(E168="","",IF(COUNTIF($E$2:E168,E168)&gt;1,"",SUMIFS(tbl_input[필요수량],tbl_input[집계키_지청],E168)))</f>
        <v/>
      </c>
      <c r="E168" t="str">
        <f>IFERROR(INDEX(tbl_input[집계키_지청],ROW()-1),"")</f>
        <v/>
      </c>
      <c r="F168" t="str">
        <f t="shared" si="13"/>
        <v/>
      </c>
      <c r="G168" t="str">
        <f t="shared" si="14"/>
        <v/>
      </c>
    </row>
    <row r="169" spans="1:7" x14ac:dyDescent="0.4">
      <c r="A169" t="str">
        <f t="shared" si="10"/>
        <v/>
      </c>
      <c r="B169" t="str">
        <f t="shared" si="11"/>
        <v/>
      </c>
      <c r="C169" t="str">
        <f t="shared" si="12"/>
        <v/>
      </c>
      <c r="D169" t="str">
        <f>IF(E169="","",IF(COUNTIF($E$2:E169,E169)&gt;1,"",SUMIFS(tbl_input[필요수량],tbl_input[집계키_지청],E169)))</f>
        <v/>
      </c>
      <c r="E169" t="str">
        <f>IFERROR(INDEX(tbl_input[집계키_지청],ROW()-1),"")</f>
        <v/>
      </c>
      <c r="F169" t="str">
        <f t="shared" si="13"/>
        <v/>
      </c>
      <c r="G169" t="str">
        <f t="shared" si="14"/>
        <v/>
      </c>
    </row>
    <row r="170" spans="1:7" x14ac:dyDescent="0.4">
      <c r="A170" t="str">
        <f t="shared" si="10"/>
        <v/>
      </c>
      <c r="B170" t="str">
        <f t="shared" si="11"/>
        <v/>
      </c>
      <c r="C170" t="str">
        <f t="shared" si="12"/>
        <v/>
      </c>
      <c r="D170" t="str">
        <f>IF(E170="","",IF(COUNTIF($E$2:E170,E170)&gt;1,"",SUMIFS(tbl_input[필요수량],tbl_input[집계키_지청],E170)))</f>
        <v/>
      </c>
      <c r="E170" t="str">
        <f>IFERROR(INDEX(tbl_input[집계키_지청],ROW()-1),"")</f>
        <v/>
      </c>
      <c r="F170" t="str">
        <f t="shared" si="13"/>
        <v/>
      </c>
      <c r="G170" t="str">
        <f t="shared" si="14"/>
        <v/>
      </c>
    </row>
    <row r="171" spans="1:7" x14ac:dyDescent="0.4">
      <c r="A171" t="str">
        <f t="shared" si="10"/>
        <v/>
      </c>
      <c r="B171" t="str">
        <f t="shared" si="11"/>
        <v/>
      </c>
      <c r="C171" t="str">
        <f t="shared" si="12"/>
        <v/>
      </c>
      <c r="D171" t="str">
        <f>IF(E171="","",IF(COUNTIF($E$2:E171,E171)&gt;1,"",SUMIFS(tbl_input[필요수량],tbl_input[집계키_지청],E171)))</f>
        <v/>
      </c>
      <c r="E171" t="str">
        <f>IFERROR(INDEX(tbl_input[집계키_지청],ROW()-1),"")</f>
        <v/>
      </c>
      <c r="F171" t="str">
        <f t="shared" si="13"/>
        <v/>
      </c>
      <c r="G171" t="str">
        <f t="shared" si="14"/>
        <v/>
      </c>
    </row>
    <row r="172" spans="1:7" x14ac:dyDescent="0.4">
      <c r="A172" t="str">
        <f t="shared" si="10"/>
        <v/>
      </c>
      <c r="B172" t="str">
        <f t="shared" si="11"/>
        <v/>
      </c>
      <c r="C172" t="str">
        <f t="shared" si="12"/>
        <v/>
      </c>
      <c r="D172" t="str">
        <f>IF(E172="","",IF(COUNTIF($E$2:E172,E172)&gt;1,"",SUMIFS(tbl_input[필요수량],tbl_input[집계키_지청],E172)))</f>
        <v/>
      </c>
      <c r="E172" t="str">
        <f>IFERROR(INDEX(tbl_input[집계키_지청],ROW()-1),"")</f>
        <v/>
      </c>
      <c r="F172" t="str">
        <f t="shared" si="13"/>
        <v/>
      </c>
      <c r="G172" t="str">
        <f t="shared" si="14"/>
        <v/>
      </c>
    </row>
    <row r="173" spans="1:7" x14ac:dyDescent="0.4">
      <c r="A173" t="str">
        <f t="shared" si="10"/>
        <v/>
      </c>
      <c r="B173" t="str">
        <f t="shared" si="11"/>
        <v/>
      </c>
      <c r="C173" t="str">
        <f t="shared" si="12"/>
        <v/>
      </c>
      <c r="D173" t="str">
        <f>IF(E173="","",IF(COUNTIF($E$2:E173,E173)&gt;1,"",SUMIFS(tbl_input[필요수량],tbl_input[집계키_지청],E173)))</f>
        <v/>
      </c>
      <c r="E173" t="str">
        <f>IFERROR(INDEX(tbl_input[집계키_지청],ROW()-1),"")</f>
        <v/>
      </c>
      <c r="F173" t="str">
        <f t="shared" si="13"/>
        <v/>
      </c>
      <c r="G173" t="str">
        <f t="shared" si="14"/>
        <v/>
      </c>
    </row>
    <row r="174" spans="1:7" x14ac:dyDescent="0.4">
      <c r="A174" t="str">
        <f t="shared" si="10"/>
        <v/>
      </c>
      <c r="B174" t="str">
        <f t="shared" si="11"/>
        <v/>
      </c>
      <c r="C174" t="str">
        <f t="shared" si="12"/>
        <v/>
      </c>
      <c r="D174" t="str">
        <f>IF(E174="","",IF(COUNTIF($E$2:E174,E174)&gt;1,"",SUMIFS(tbl_input[필요수량],tbl_input[집계키_지청],E174)))</f>
        <v/>
      </c>
      <c r="E174" t="str">
        <f>IFERROR(INDEX(tbl_input[집계키_지청],ROW()-1),"")</f>
        <v/>
      </c>
      <c r="F174" t="str">
        <f t="shared" si="13"/>
        <v/>
      </c>
      <c r="G174" t="str">
        <f t="shared" si="14"/>
        <v/>
      </c>
    </row>
    <row r="175" spans="1:7" x14ac:dyDescent="0.4">
      <c r="A175" t="str">
        <f t="shared" si="10"/>
        <v/>
      </c>
      <c r="B175" t="str">
        <f t="shared" si="11"/>
        <v/>
      </c>
      <c r="C175" t="str">
        <f t="shared" si="12"/>
        <v/>
      </c>
      <c r="D175" t="str">
        <f>IF(E175="","",IF(COUNTIF($E$2:E175,E175)&gt;1,"",SUMIFS(tbl_input[필요수량],tbl_input[집계키_지청],E175)))</f>
        <v/>
      </c>
      <c r="E175" t="str">
        <f>IFERROR(INDEX(tbl_input[집계키_지청],ROW()-1),"")</f>
        <v/>
      </c>
      <c r="F175" t="str">
        <f t="shared" si="13"/>
        <v/>
      </c>
      <c r="G175" t="str">
        <f t="shared" si="14"/>
        <v/>
      </c>
    </row>
    <row r="176" spans="1:7" x14ac:dyDescent="0.4">
      <c r="A176" t="str">
        <f t="shared" si="10"/>
        <v/>
      </c>
      <c r="B176" t="str">
        <f t="shared" si="11"/>
        <v/>
      </c>
      <c r="C176" t="str">
        <f t="shared" si="12"/>
        <v/>
      </c>
      <c r="D176" t="str">
        <f>IF(E176="","",IF(COUNTIF($E$2:E176,E176)&gt;1,"",SUMIFS(tbl_input[필요수량],tbl_input[집계키_지청],E176)))</f>
        <v/>
      </c>
      <c r="E176" t="str">
        <f>IFERROR(INDEX(tbl_input[집계키_지청],ROW()-1),"")</f>
        <v/>
      </c>
      <c r="F176" t="str">
        <f t="shared" si="13"/>
        <v/>
      </c>
      <c r="G176" t="str">
        <f t="shared" si="14"/>
        <v/>
      </c>
    </row>
    <row r="177" spans="1:7" x14ac:dyDescent="0.4">
      <c r="A177" t="str">
        <f t="shared" si="10"/>
        <v/>
      </c>
      <c r="B177" t="str">
        <f t="shared" si="11"/>
        <v/>
      </c>
      <c r="C177" t="str">
        <f t="shared" si="12"/>
        <v/>
      </c>
      <c r="D177" t="str">
        <f>IF(E177="","",IF(COUNTIF($E$2:E177,E177)&gt;1,"",SUMIFS(tbl_input[필요수량],tbl_input[집계키_지청],E177)))</f>
        <v/>
      </c>
      <c r="E177" t="str">
        <f>IFERROR(INDEX(tbl_input[집계키_지청],ROW()-1),"")</f>
        <v/>
      </c>
      <c r="F177" t="str">
        <f t="shared" si="13"/>
        <v/>
      </c>
      <c r="G177" t="str">
        <f t="shared" si="14"/>
        <v/>
      </c>
    </row>
    <row r="178" spans="1:7" x14ac:dyDescent="0.4">
      <c r="A178" t="str">
        <f t="shared" si="10"/>
        <v/>
      </c>
      <c r="B178" t="str">
        <f t="shared" si="11"/>
        <v/>
      </c>
      <c r="C178" t="str">
        <f t="shared" si="12"/>
        <v/>
      </c>
      <c r="D178" t="str">
        <f>IF(E178="","",IF(COUNTIF($E$2:E178,E178)&gt;1,"",SUMIFS(tbl_input[필요수량],tbl_input[집계키_지청],E178)))</f>
        <v/>
      </c>
      <c r="E178" t="str">
        <f>IFERROR(INDEX(tbl_input[집계키_지청],ROW()-1),"")</f>
        <v/>
      </c>
      <c r="F178" t="str">
        <f t="shared" si="13"/>
        <v/>
      </c>
      <c r="G178" t="str">
        <f t="shared" si="14"/>
        <v/>
      </c>
    </row>
    <row r="179" spans="1:7" x14ac:dyDescent="0.4">
      <c r="A179" t="str">
        <f t="shared" si="10"/>
        <v/>
      </c>
      <c r="B179" t="str">
        <f t="shared" si="11"/>
        <v/>
      </c>
      <c r="C179" t="str">
        <f t="shared" si="12"/>
        <v/>
      </c>
      <c r="D179" t="str">
        <f>IF(E179="","",IF(COUNTIF($E$2:E179,E179)&gt;1,"",SUMIFS(tbl_input[필요수량],tbl_input[집계키_지청],E179)))</f>
        <v/>
      </c>
      <c r="E179" t="str">
        <f>IFERROR(INDEX(tbl_input[집계키_지청],ROW()-1),"")</f>
        <v/>
      </c>
      <c r="F179" t="str">
        <f t="shared" si="13"/>
        <v/>
      </c>
      <c r="G179" t="str">
        <f t="shared" si="14"/>
        <v/>
      </c>
    </row>
    <row r="180" spans="1:7" x14ac:dyDescent="0.4">
      <c r="A180" t="str">
        <f t="shared" si="10"/>
        <v/>
      </c>
      <c r="B180" t="str">
        <f t="shared" si="11"/>
        <v/>
      </c>
      <c r="C180" t="str">
        <f t="shared" si="12"/>
        <v/>
      </c>
      <c r="D180" t="str">
        <f>IF(E180="","",IF(COUNTIF($E$2:E180,E180)&gt;1,"",SUMIFS(tbl_input[필요수량],tbl_input[집계키_지청],E180)))</f>
        <v/>
      </c>
      <c r="E180" t="str">
        <f>IFERROR(INDEX(tbl_input[집계키_지청],ROW()-1),"")</f>
        <v/>
      </c>
      <c r="F180" t="str">
        <f t="shared" si="13"/>
        <v/>
      </c>
      <c r="G180" t="str">
        <f t="shared" si="14"/>
        <v/>
      </c>
    </row>
    <row r="181" spans="1:7" x14ac:dyDescent="0.4">
      <c r="A181" t="str">
        <f t="shared" si="10"/>
        <v/>
      </c>
      <c r="B181" t="str">
        <f t="shared" si="11"/>
        <v/>
      </c>
      <c r="C181" t="str">
        <f t="shared" si="12"/>
        <v/>
      </c>
      <c r="D181" t="str">
        <f>IF(E181="","",IF(COUNTIF($E$2:E181,E181)&gt;1,"",SUMIFS(tbl_input[필요수량],tbl_input[집계키_지청],E181)))</f>
        <v/>
      </c>
      <c r="E181" t="str">
        <f>IFERROR(INDEX(tbl_input[집계키_지청],ROW()-1),"")</f>
        <v/>
      </c>
      <c r="F181" t="str">
        <f t="shared" si="13"/>
        <v/>
      </c>
      <c r="G181" t="str">
        <f t="shared" si="14"/>
        <v/>
      </c>
    </row>
    <row r="182" spans="1:7" x14ac:dyDescent="0.4">
      <c r="A182" t="str">
        <f t="shared" si="10"/>
        <v/>
      </c>
      <c r="B182" t="str">
        <f t="shared" si="11"/>
        <v/>
      </c>
      <c r="C182" t="str">
        <f t="shared" si="12"/>
        <v/>
      </c>
      <c r="D182" t="str">
        <f>IF(E182="","",IF(COUNTIF($E$2:E182,E182)&gt;1,"",SUMIFS(tbl_input[필요수량],tbl_input[집계키_지청],E182)))</f>
        <v/>
      </c>
      <c r="E182" t="str">
        <f>IFERROR(INDEX(tbl_input[집계키_지청],ROW()-1),"")</f>
        <v/>
      </c>
      <c r="F182" t="str">
        <f t="shared" si="13"/>
        <v/>
      </c>
      <c r="G182" t="str">
        <f t="shared" si="14"/>
        <v/>
      </c>
    </row>
    <row r="183" spans="1:7" x14ac:dyDescent="0.4">
      <c r="A183" t="str">
        <f t="shared" si="10"/>
        <v/>
      </c>
      <c r="B183" t="str">
        <f t="shared" si="11"/>
        <v/>
      </c>
      <c r="C183" t="str">
        <f t="shared" si="12"/>
        <v/>
      </c>
      <c r="D183" t="str">
        <f>IF(E183="","",IF(COUNTIF($E$2:E183,E183)&gt;1,"",SUMIFS(tbl_input[필요수량],tbl_input[집계키_지청],E183)))</f>
        <v/>
      </c>
      <c r="E183" t="str">
        <f>IFERROR(INDEX(tbl_input[집계키_지청],ROW()-1),"")</f>
        <v/>
      </c>
      <c r="F183" t="str">
        <f t="shared" si="13"/>
        <v/>
      </c>
      <c r="G183" t="str">
        <f t="shared" si="14"/>
        <v/>
      </c>
    </row>
    <row r="184" spans="1:7" x14ac:dyDescent="0.4">
      <c r="A184" t="str">
        <f t="shared" si="10"/>
        <v/>
      </c>
      <c r="B184" t="str">
        <f t="shared" si="11"/>
        <v/>
      </c>
      <c r="C184" t="str">
        <f t="shared" si="12"/>
        <v/>
      </c>
      <c r="D184" t="str">
        <f>IF(E184="","",IF(COUNTIF($E$2:E184,E184)&gt;1,"",SUMIFS(tbl_input[필요수량],tbl_input[집계키_지청],E184)))</f>
        <v/>
      </c>
      <c r="E184" t="str">
        <f>IFERROR(INDEX(tbl_input[집계키_지청],ROW()-1),"")</f>
        <v/>
      </c>
      <c r="F184" t="str">
        <f t="shared" si="13"/>
        <v/>
      </c>
      <c r="G184" t="str">
        <f t="shared" si="14"/>
        <v/>
      </c>
    </row>
    <row r="185" spans="1:7" x14ac:dyDescent="0.4">
      <c r="A185" t="str">
        <f t="shared" si="10"/>
        <v/>
      </c>
      <c r="B185" t="str">
        <f t="shared" si="11"/>
        <v/>
      </c>
      <c r="C185" t="str">
        <f t="shared" si="12"/>
        <v/>
      </c>
      <c r="D185" t="str">
        <f>IF(E185="","",IF(COUNTIF($E$2:E185,E185)&gt;1,"",SUMIFS(tbl_input[필요수량],tbl_input[집계키_지청],E185)))</f>
        <v/>
      </c>
      <c r="E185" t="str">
        <f>IFERROR(INDEX(tbl_input[집계키_지청],ROW()-1),"")</f>
        <v/>
      </c>
      <c r="F185" t="str">
        <f t="shared" si="13"/>
        <v/>
      </c>
      <c r="G185" t="str">
        <f t="shared" si="14"/>
        <v/>
      </c>
    </row>
    <row r="186" spans="1:7" x14ac:dyDescent="0.4">
      <c r="A186" t="str">
        <f t="shared" si="10"/>
        <v/>
      </c>
      <c r="B186" t="str">
        <f t="shared" si="11"/>
        <v/>
      </c>
      <c r="C186" t="str">
        <f t="shared" si="12"/>
        <v/>
      </c>
      <c r="D186" t="str">
        <f>IF(E186="","",IF(COUNTIF($E$2:E186,E186)&gt;1,"",SUMIFS(tbl_input[필요수량],tbl_input[집계키_지청],E186)))</f>
        <v/>
      </c>
      <c r="E186" t="str">
        <f>IFERROR(INDEX(tbl_input[집계키_지청],ROW()-1),"")</f>
        <v/>
      </c>
      <c r="F186" t="str">
        <f t="shared" si="13"/>
        <v/>
      </c>
      <c r="G186" t="str">
        <f t="shared" si="14"/>
        <v/>
      </c>
    </row>
    <row r="187" spans="1:7" x14ac:dyDescent="0.4">
      <c r="A187" t="str">
        <f t="shared" si="10"/>
        <v/>
      </c>
      <c r="B187" t="str">
        <f t="shared" si="11"/>
        <v/>
      </c>
      <c r="C187" t="str">
        <f t="shared" si="12"/>
        <v/>
      </c>
      <c r="D187" t="str">
        <f>IF(E187="","",IF(COUNTIF($E$2:E187,E187)&gt;1,"",SUMIFS(tbl_input[필요수량],tbl_input[집계키_지청],E187)))</f>
        <v/>
      </c>
      <c r="E187" t="str">
        <f>IFERROR(INDEX(tbl_input[집계키_지청],ROW()-1),"")</f>
        <v/>
      </c>
      <c r="F187" t="str">
        <f t="shared" si="13"/>
        <v/>
      </c>
      <c r="G187" t="str">
        <f t="shared" si="14"/>
        <v/>
      </c>
    </row>
    <row r="188" spans="1:7" x14ac:dyDescent="0.4">
      <c r="A188" t="str">
        <f t="shared" si="10"/>
        <v/>
      </c>
      <c r="B188" t="str">
        <f t="shared" si="11"/>
        <v/>
      </c>
      <c r="C188" t="str">
        <f t="shared" si="12"/>
        <v/>
      </c>
      <c r="D188" t="str">
        <f>IF(E188="","",IF(COUNTIF($E$2:E188,E188)&gt;1,"",SUMIFS(tbl_input[필요수량],tbl_input[집계키_지청],E188)))</f>
        <v/>
      </c>
      <c r="E188" t="str">
        <f>IFERROR(INDEX(tbl_input[집계키_지청],ROW()-1),"")</f>
        <v/>
      </c>
      <c r="F188" t="str">
        <f t="shared" si="13"/>
        <v/>
      </c>
      <c r="G188" t="str">
        <f t="shared" si="14"/>
        <v/>
      </c>
    </row>
    <row r="189" spans="1:7" x14ac:dyDescent="0.4">
      <c r="A189" t="str">
        <f t="shared" si="10"/>
        <v/>
      </c>
      <c r="B189" t="str">
        <f t="shared" si="11"/>
        <v/>
      </c>
      <c r="C189" t="str">
        <f t="shared" si="12"/>
        <v/>
      </c>
      <c r="D189" t="str">
        <f>IF(E189="","",IF(COUNTIF($E$2:E189,E189)&gt;1,"",SUMIFS(tbl_input[필요수량],tbl_input[집계키_지청],E189)))</f>
        <v/>
      </c>
      <c r="E189" t="str">
        <f>IFERROR(INDEX(tbl_input[집계키_지청],ROW()-1),"")</f>
        <v/>
      </c>
      <c r="F189" t="str">
        <f t="shared" si="13"/>
        <v/>
      </c>
      <c r="G189" t="str">
        <f t="shared" si="14"/>
        <v/>
      </c>
    </row>
    <row r="190" spans="1:7" x14ac:dyDescent="0.4">
      <c r="A190" t="str">
        <f t="shared" si="10"/>
        <v/>
      </c>
      <c r="B190" t="str">
        <f t="shared" si="11"/>
        <v/>
      </c>
      <c r="C190" t="str">
        <f t="shared" si="12"/>
        <v/>
      </c>
      <c r="D190" t="str">
        <f>IF(E190="","",IF(COUNTIF($E$2:E190,E190)&gt;1,"",SUMIFS(tbl_input[필요수량],tbl_input[집계키_지청],E190)))</f>
        <v/>
      </c>
      <c r="E190" t="str">
        <f>IFERROR(INDEX(tbl_input[집계키_지청],ROW()-1),"")</f>
        <v/>
      </c>
      <c r="F190" t="str">
        <f t="shared" si="13"/>
        <v/>
      </c>
      <c r="G190" t="str">
        <f t="shared" si="14"/>
        <v/>
      </c>
    </row>
    <row r="191" spans="1:7" x14ac:dyDescent="0.4">
      <c r="A191" t="str">
        <f t="shared" si="10"/>
        <v/>
      </c>
      <c r="B191" t="str">
        <f t="shared" si="11"/>
        <v/>
      </c>
      <c r="C191" t="str">
        <f t="shared" si="12"/>
        <v/>
      </c>
      <c r="D191" t="str">
        <f>IF(E191="","",IF(COUNTIF($E$2:E191,E191)&gt;1,"",SUMIFS(tbl_input[필요수량],tbl_input[집계키_지청],E191)))</f>
        <v/>
      </c>
      <c r="E191" t="str">
        <f>IFERROR(INDEX(tbl_input[집계키_지청],ROW()-1),"")</f>
        <v/>
      </c>
      <c r="F191" t="str">
        <f t="shared" si="13"/>
        <v/>
      </c>
      <c r="G191" t="str">
        <f t="shared" si="14"/>
        <v/>
      </c>
    </row>
    <row r="192" spans="1:7" x14ac:dyDescent="0.4">
      <c r="A192" t="str">
        <f t="shared" si="10"/>
        <v/>
      </c>
      <c r="B192" t="str">
        <f t="shared" si="11"/>
        <v/>
      </c>
      <c r="C192" t="str">
        <f t="shared" si="12"/>
        <v/>
      </c>
      <c r="D192" t="str">
        <f>IF(E192="","",IF(COUNTIF($E$2:E192,E192)&gt;1,"",SUMIFS(tbl_input[필요수량],tbl_input[집계키_지청],E192)))</f>
        <v/>
      </c>
      <c r="E192" t="str">
        <f>IFERROR(INDEX(tbl_input[집계키_지청],ROW()-1),"")</f>
        <v/>
      </c>
      <c r="F192" t="str">
        <f t="shared" si="13"/>
        <v/>
      </c>
      <c r="G192" t="str">
        <f t="shared" si="14"/>
        <v/>
      </c>
    </row>
    <row r="193" spans="1:7" x14ac:dyDescent="0.4">
      <c r="A193" t="str">
        <f t="shared" si="10"/>
        <v/>
      </c>
      <c r="B193" t="str">
        <f t="shared" si="11"/>
        <v/>
      </c>
      <c r="C193" t="str">
        <f t="shared" si="12"/>
        <v/>
      </c>
      <c r="D193" t="str">
        <f>IF(E193="","",IF(COUNTIF($E$2:E193,E193)&gt;1,"",SUMIFS(tbl_input[필요수량],tbl_input[집계키_지청],E193)))</f>
        <v/>
      </c>
      <c r="E193" t="str">
        <f>IFERROR(INDEX(tbl_input[집계키_지청],ROW()-1),"")</f>
        <v/>
      </c>
      <c r="F193" t="str">
        <f t="shared" si="13"/>
        <v/>
      </c>
      <c r="G193" t="str">
        <f t="shared" si="14"/>
        <v/>
      </c>
    </row>
    <row r="194" spans="1:7" x14ac:dyDescent="0.4">
      <c r="A194" t="str">
        <f t="shared" ref="A194:A257" si="15">IF(E194="","",LEFT(E194,F194-1))</f>
        <v/>
      </c>
      <c r="B194" t="str">
        <f t="shared" ref="B194:B257" si="16">IF(E194="","",MID(E194,F194+1,G194-F194-1))</f>
        <v/>
      </c>
      <c r="C194" t="str">
        <f t="shared" ref="C194:C257" si="17">IF(E194="","",MID(E194,G194+1,999))</f>
        <v/>
      </c>
      <c r="D194" t="str">
        <f>IF(E194="","",IF(COUNTIF($E$2:E194,E194)&gt;1,"",SUMIFS(tbl_input[필요수량],tbl_input[집계키_지청],E194)))</f>
        <v/>
      </c>
      <c r="E194" t="str">
        <f>IFERROR(INDEX(tbl_input[집계키_지청],ROW()-1),"")</f>
        <v/>
      </c>
      <c r="F194" t="str">
        <f t="shared" ref="F194:F257" si="18">IF(E194="","",FIND("♦",E194))</f>
        <v/>
      </c>
      <c r="G194" t="str">
        <f t="shared" ref="G194:G257" si="19">IF(E194="","",FIND("♦",E194,F194+1))</f>
        <v/>
      </c>
    </row>
    <row r="195" spans="1:7" x14ac:dyDescent="0.4">
      <c r="A195" t="str">
        <f t="shared" si="15"/>
        <v/>
      </c>
      <c r="B195" t="str">
        <f t="shared" si="16"/>
        <v/>
      </c>
      <c r="C195" t="str">
        <f t="shared" si="17"/>
        <v/>
      </c>
      <c r="D195" t="str">
        <f>IF(E195="","",IF(COUNTIF($E$2:E195,E195)&gt;1,"",SUMIFS(tbl_input[필요수량],tbl_input[집계키_지청],E195)))</f>
        <v/>
      </c>
      <c r="E195" t="str">
        <f>IFERROR(INDEX(tbl_input[집계키_지청],ROW()-1),"")</f>
        <v/>
      </c>
      <c r="F195" t="str">
        <f t="shared" si="18"/>
        <v/>
      </c>
      <c r="G195" t="str">
        <f t="shared" si="19"/>
        <v/>
      </c>
    </row>
    <row r="196" spans="1:7" x14ac:dyDescent="0.4">
      <c r="A196" t="str">
        <f t="shared" si="15"/>
        <v/>
      </c>
      <c r="B196" t="str">
        <f t="shared" si="16"/>
        <v/>
      </c>
      <c r="C196" t="str">
        <f t="shared" si="17"/>
        <v/>
      </c>
      <c r="D196" t="str">
        <f>IF(E196="","",IF(COUNTIF($E$2:E196,E196)&gt;1,"",SUMIFS(tbl_input[필요수량],tbl_input[집계키_지청],E196)))</f>
        <v/>
      </c>
      <c r="E196" t="str">
        <f>IFERROR(INDEX(tbl_input[집계키_지청],ROW()-1),"")</f>
        <v/>
      </c>
      <c r="F196" t="str">
        <f t="shared" si="18"/>
        <v/>
      </c>
      <c r="G196" t="str">
        <f t="shared" si="19"/>
        <v/>
      </c>
    </row>
    <row r="197" spans="1:7" x14ac:dyDescent="0.4">
      <c r="A197" t="str">
        <f t="shared" si="15"/>
        <v/>
      </c>
      <c r="B197" t="str">
        <f t="shared" si="16"/>
        <v/>
      </c>
      <c r="C197" t="str">
        <f t="shared" si="17"/>
        <v/>
      </c>
      <c r="D197" t="str">
        <f>IF(E197="","",IF(COUNTIF($E$2:E197,E197)&gt;1,"",SUMIFS(tbl_input[필요수량],tbl_input[집계키_지청],E197)))</f>
        <v/>
      </c>
      <c r="E197" t="str">
        <f>IFERROR(INDEX(tbl_input[집계키_지청],ROW()-1),"")</f>
        <v/>
      </c>
      <c r="F197" t="str">
        <f t="shared" si="18"/>
        <v/>
      </c>
      <c r="G197" t="str">
        <f t="shared" si="19"/>
        <v/>
      </c>
    </row>
    <row r="198" spans="1:7" x14ac:dyDescent="0.4">
      <c r="A198" t="str">
        <f t="shared" si="15"/>
        <v/>
      </c>
      <c r="B198" t="str">
        <f t="shared" si="16"/>
        <v/>
      </c>
      <c r="C198" t="str">
        <f t="shared" si="17"/>
        <v/>
      </c>
      <c r="D198" t="str">
        <f>IF(E198="","",IF(COUNTIF($E$2:E198,E198)&gt;1,"",SUMIFS(tbl_input[필요수량],tbl_input[집계키_지청],E198)))</f>
        <v/>
      </c>
      <c r="E198" t="str">
        <f>IFERROR(INDEX(tbl_input[집계키_지청],ROW()-1),"")</f>
        <v/>
      </c>
      <c r="F198" t="str">
        <f t="shared" si="18"/>
        <v/>
      </c>
      <c r="G198" t="str">
        <f t="shared" si="19"/>
        <v/>
      </c>
    </row>
    <row r="199" spans="1:7" x14ac:dyDescent="0.4">
      <c r="A199" t="str">
        <f t="shared" si="15"/>
        <v/>
      </c>
      <c r="B199" t="str">
        <f t="shared" si="16"/>
        <v/>
      </c>
      <c r="C199" t="str">
        <f t="shared" si="17"/>
        <v/>
      </c>
      <c r="D199" t="str">
        <f>IF(E199="","",IF(COUNTIF($E$2:E199,E199)&gt;1,"",SUMIFS(tbl_input[필요수량],tbl_input[집계키_지청],E199)))</f>
        <v/>
      </c>
      <c r="E199" t="str">
        <f>IFERROR(INDEX(tbl_input[집계키_지청],ROW()-1),"")</f>
        <v/>
      </c>
      <c r="F199" t="str">
        <f t="shared" si="18"/>
        <v/>
      </c>
      <c r="G199" t="str">
        <f t="shared" si="19"/>
        <v/>
      </c>
    </row>
    <row r="200" spans="1:7" x14ac:dyDescent="0.4">
      <c r="A200" t="str">
        <f t="shared" si="15"/>
        <v/>
      </c>
      <c r="B200" t="str">
        <f t="shared" si="16"/>
        <v/>
      </c>
      <c r="C200" t="str">
        <f t="shared" si="17"/>
        <v/>
      </c>
      <c r="D200" t="str">
        <f>IF(E200="","",IF(COUNTIF($E$2:E200,E200)&gt;1,"",SUMIFS(tbl_input[필요수량],tbl_input[집계키_지청],E200)))</f>
        <v/>
      </c>
      <c r="E200" t="str">
        <f>IFERROR(INDEX(tbl_input[집계키_지청],ROW()-1),"")</f>
        <v/>
      </c>
      <c r="F200" t="str">
        <f t="shared" si="18"/>
        <v/>
      </c>
      <c r="G200" t="str">
        <f t="shared" si="19"/>
        <v/>
      </c>
    </row>
    <row r="201" spans="1:7" x14ac:dyDescent="0.4">
      <c r="A201" t="str">
        <f t="shared" si="15"/>
        <v/>
      </c>
      <c r="B201" t="str">
        <f t="shared" si="16"/>
        <v/>
      </c>
      <c r="C201" t="str">
        <f t="shared" si="17"/>
        <v/>
      </c>
      <c r="D201" t="str">
        <f>IF(E201="","",IF(COUNTIF($E$2:E201,E201)&gt;1,"",SUMIFS(tbl_input[필요수량],tbl_input[집계키_지청],E201)))</f>
        <v/>
      </c>
      <c r="E201" t="str">
        <f>IFERROR(INDEX(tbl_input[집계키_지청],ROW()-1),"")</f>
        <v/>
      </c>
      <c r="F201" t="str">
        <f t="shared" si="18"/>
        <v/>
      </c>
      <c r="G201" t="str">
        <f t="shared" si="19"/>
        <v/>
      </c>
    </row>
    <row r="202" spans="1:7" x14ac:dyDescent="0.4">
      <c r="A202" t="str">
        <f t="shared" si="15"/>
        <v/>
      </c>
      <c r="B202" t="str">
        <f t="shared" si="16"/>
        <v/>
      </c>
      <c r="C202" t="str">
        <f t="shared" si="17"/>
        <v/>
      </c>
      <c r="D202" t="str">
        <f>IF(E202="","",IF(COUNTIF($E$2:E202,E202)&gt;1,"",SUMIFS(tbl_input[필요수량],tbl_input[집계키_지청],E202)))</f>
        <v/>
      </c>
      <c r="E202" t="str">
        <f>IFERROR(INDEX(tbl_input[집계키_지청],ROW()-1),"")</f>
        <v/>
      </c>
      <c r="F202" t="str">
        <f t="shared" si="18"/>
        <v/>
      </c>
      <c r="G202" t="str">
        <f t="shared" si="19"/>
        <v/>
      </c>
    </row>
    <row r="203" spans="1:7" x14ac:dyDescent="0.4">
      <c r="A203" t="str">
        <f t="shared" si="15"/>
        <v/>
      </c>
      <c r="B203" t="str">
        <f t="shared" si="16"/>
        <v/>
      </c>
      <c r="C203" t="str">
        <f t="shared" si="17"/>
        <v/>
      </c>
      <c r="D203" t="str">
        <f>IF(E203="","",IF(COUNTIF($E$2:E203,E203)&gt;1,"",SUMIFS(tbl_input[필요수량],tbl_input[집계키_지청],E203)))</f>
        <v/>
      </c>
      <c r="E203" t="str">
        <f>IFERROR(INDEX(tbl_input[집계키_지청],ROW()-1),"")</f>
        <v/>
      </c>
      <c r="F203" t="str">
        <f t="shared" si="18"/>
        <v/>
      </c>
      <c r="G203" t="str">
        <f t="shared" si="19"/>
        <v/>
      </c>
    </row>
    <row r="204" spans="1:7" x14ac:dyDescent="0.4">
      <c r="A204" t="str">
        <f t="shared" si="15"/>
        <v/>
      </c>
      <c r="B204" t="str">
        <f t="shared" si="16"/>
        <v/>
      </c>
      <c r="C204" t="str">
        <f t="shared" si="17"/>
        <v/>
      </c>
      <c r="D204" t="str">
        <f>IF(E204="","",IF(COUNTIF($E$2:E204,E204)&gt;1,"",SUMIFS(tbl_input[필요수량],tbl_input[집계키_지청],E204)))</f>
        <v/>
      </c>
      <c r="E204" t="str">
        <f>IFERROR(INDEX(tbl_input[집계키_지청],ROW()-1),"")</f>
        <v/>
      </c>
      <c r="F204" t="str">
        <f t="shared" si="18"/>
        <v/>
      </c>
      <c r="G204" t="str">
        <f t="shared" si="19"/>
        <v/>
      </c>
    </row>
    <row r="205" spans="1:7" x14ac:dyDescent="0.4">
      <c r="A205" t="str">
        <f t="shared" si="15"/>
        <v/>
      </c>
      <c r="B205" t="str">
        <f t="shared" si="16"/>
        <v/>
      </c>
      <c r="C205" t="str">
        <f t="shared" si="17"/>
        <v/>
      </c>
      <c r="D205" t="str">
        <f>IF(E205="","",IF(COUNTIF($E$2:E205,E205)&gt;1,"",SUMIFS(tbl_input[필요수량],tbl_input[집계키_지청],E205)))</f>
        <v/>
      </c>
      <c r="E205" t="str">
        <f>IFERROR(INDEX(tbl_input[집계키_지청],ROW()-1),"")</f>
        <v/>
      </c>
      <c r="F205" t="str">
        <f t="shared" si="18"/>
        <v/>
      </c>
      <c r="G205" t="str">
        <f t="shared" si="19"/>
        <v/>
      </c>
    </row>
    <row r="206" spans="1:7" x14ac:dyDescent="0.4">
      <c r="A206" t="str">
        <f t="shared" si="15"/>
        <v/>
      </c>
      <c r="B206" t="str">
        <f t="shared" si="16"/>
        <v/>
      </c>
      <c r="C206" t="str">
        <f t="shared" si="17"/>
        <v/>
      </c>
      <c r="D206" t="str">
        <f>IF(E206="","",IF(COUNTIF($E$2:E206,E206)&gt;1,"",SUMIFS(tbl_input[필요수량],tbl_input[집계키_지청],E206)))</f>
        <v/>
      </c>
      <c r="E206" t="str">
        <f>IFERROR(INDEX(tbl_input[집계키_지청],ROW()-1),"")</f>
        <v/>
      </c>
      <c r="F206" t="str">
        <f t="shared" si="18"/>
        <v/>
      </c>
      <c r="G206" t="str">
        <f t="shared" si="19"/>
        <v/>
      </c>
    </row>
    <row r="207" spans="1:7" x14ac:dyDescent="0.4">
      <c r="A207" t="str">
        <f t="shared" si="15"/>
        <v/>
      </c>
      <c r="B207" t="str">
        <f t="shared" si="16"/>
        <v/>
      </c>
      <c r="C207" t="str">
        <f t="shared" si="17"/>
        <v/>
      </c>
      <c r="D207" t="str">
        <f>IF(E207="","",IF(COUNTIF($E$2:E207,E207)&gt;1,"",SUMIFS(tbl_input[필요수량],tbl_input[집계키_지청],E207)))</f>
        <v/>
      </c>
      <c r="E207" t="str">
        <f>IFERROR(INDEX(tbl_input[집계키_지청],ROW()-1),"")</f>
        <v/>
      </c>
      <c r="F207" t="str">
        <f t="shared" si="18"/>
        <v/>
      </c>
      <c r="G207" t="str">
        <f t="shared" si="19"/>
        <v/>
      </c>
    </row>
    <row r="208" spans="1:7" x14ac:dyDescent="0.4">
      <c r="A208" t="str">
        <f t="shared" si="15"/>
        <v/>
      </c>
      <c r="B208" t="str">
        <f t="shared" si="16"/>
        <v/>
      </c>
      <c r="C208" t="str">
        <f t="shared" si="17"/>
        <v/>
      </c>
      <c r="D208" t="str">
        <f>IF(E208="","",IF(COUNTIF($E$2:E208,E208)&gt;1,"",SUMIFS(tbl_input[필요수량],tbl_input[집계키_지청],E208)))</f>
        <v/>
      </c>
      <c r="E208" t="str">
        <f>IFERROR(INDEX(tbl_input[집계키_지청],ROW()-1),"")</f>
        <v/>
      </c>
      <c r="F208" t="str">
        <f t="shared" si="18"/>
        <v/>
      </c>
      <c r="G208" t="str">
        <f t="shared" si="19"/>
        <v/>
      </c>
    </row>
    <row r="209" spans="1:7" x14ac:dyDescent="0.4">
      <c r="A209" t="str">
        <f t="shared" si="15"/>
        <v/>
      </c>
      <c r="B209" t="str">
        <f t="shared" si="16"/>
        <v/>
      </c>
      <c r="C209" t="str">
        <f t="shared" si="17"/>
        <v/>
      </c>
      <c r="D209" t="str">
        <f>IF(E209="","",IF(COUNTIF($E$2:E209,E209)&gt;1,"",SUMIFS(tbl_input[필요수량],tbl_input[집계키_지청],E209)))</f>
        <v/>
      </c>
      <c r="E209" t="str">
        <f>IFERROR(INDEX(tbl_input[집계키_지청],ROW()-1),"")</f>
        <v/>
      </c>
      <c r="F209" t="str">
        <f t="shared" si="18"/>
        <v/>
      </c>
      <c r="G209" t="str">
        <f t="shared" si="19"/>
        <v/>
      </c>
    </row>
    <row r="210" spans="1:7" x14ac:dyDescent="0.4">
      <c r="A210" t="str">
        <f t="shared" si="15"/>
        <v/>
      </c>
      <c r="B210" t="str">
        <f t="shared" si="16"/>
        <v/>
      </c>
      <c r="C210" t="str">
        <f t="shared" si="17"/>
        <v/>
      </c>
      <c r="D210" t="str">
        <f>IF(E210="","",IF(COUNTIF($E$2:E210,E210)&gt;1,"",SUMIFS(tbl_input[필요수량],tbl_input[집계키_지청],E210)))</f>
        <v/>
      </c>
      <c r="E210" t="str">
        <f>IFERROR(INDEX(tbl_input[집계키_지청],ROW()-1),"")</f>
        <v/>
      </c>
      <c r="F210" t="str">
        <f t="shared" si="18"/>
        <v/>
      </c>
      <c r="G210" t="str">
        <f t="shared" si="19"/>
        <v/>
      </c>
    </row>
    <row r="211" spans="1:7" x14ac:dyDescent="0.4">
      <c r="A211" t="str">
        <f t="shared" si="15"/>
        <v/>
      </c>
      <c r="B211" t="str">
        <f t="shared" si="16"/>
        <v/>
      </c>
      <c r="C211" t="str">
        <f t="shared" si="17"/>
        <v/>
      </c>
      <c r="D211" t="str">
        <f>IF(E211="","",IF(COUNTIF($E$2:E211,E211)&gt;1,"",SUMIFS(tbl_input[필요수량],tbl_input[집계키_지청],E211)))</f>
        <v/>
      </c>
      <c r="E211" t="str">
        <f>IFERROR(INDEX(tbl_input[집계키_지청],ROW()-1),"")</f>
        <v/>
      </c>
      <c r="F211" t="str">
        <f t="shared" si="18"/>
        <v/>
      </c>
      <c r="G211" t="str">
        <f t="shared" si="19"/>
        <v/>
      </c>
    </row>
    <row r="212" spans="1:7" x14ac:dyDescent="0.4">
      <c r="A212" t="str">
        <f t="shared" si="15"/>
        <v/>
      </c>
      <c r="B212" t="str">
        <f t="shared" si="16"/>
        <v/>
      </c>
      <c r="C212" t="str">
        <f t="shared" si="17"/>
        <v/>
      </c>
      <c r="D212" t="str">
        <f>IF(E212="","",IF(COUNTIF($E$2:E212,E212)&gt;1,"",SUMIFS(tbl_input[필요수량],tbl_input[집계키_지청],E212)))</f>
        <v/>
      </c>
      <c r="E212" t="str">
        <f>IFERROR(INDEX(tbl_input[집계키_지청],ROW()-1),"")</f>
        <v/>
      </c>
      <c r="F212" t="str">
        <f t="shared" si="18"/>
        <v/>
      </c>
      <c r="G212" t="str">
        <f t="shared" si="19"/>
        <v/>
      </c>
    </row>
    <row r="213" spans="1:7" x14ac:dyDescent="0.4">
      <c r="A213" t="str">
        <f t="shared" si="15"/>
        <v/>
      </c>
      <c r="B213" t="str">
        <f t="shared" si="16"/>
        <v/>
      </c>
      <c r="C213" t="str">
        <f t="shared" si="17"/>
        <v/>
      </c>
      <c r="D213" t="str">
        <f>IF(E213="","",IF(COUNTIF($E$2:E213,E213)&gt;1,"",SUMIFS(tbl_input[필요수량],tbl_input[집계키_지청],E213)))</f>
        <v/>
      </c>
      <c r="E213" t="str">
        <f>IFERROR(INDEX(tbl_input[집계키_지청],ROW()-1),"")</f>
        <v/>
      </c>
      <c r="F213" t="str">
        <f t="shared" si="18"/>
        <v/>
      </c>
      <c r="G213" t="str">
        <f t="shared" si="19"/>
        <v/>
      </c>
    </row>
    <row r="214" spans="1:7" x14ac:dyDescent="0.4">
      <c r="A214" t="str">
        <f t="shared" si="15"/>
        <v/>
      </c>
      <c r="B214" t="str">
        <f t="shared" si="16"/>
        <v/>
      </c>
      <c r="C214" t="str">
        <f t="shared" si="17"/>
        <v/>
      </c>
      <c r="D214" t="str">
        <f>IF(E214="","",IF(COUNTIF($E$2:E214,E214)&gt;1,"",SUMIFS(tbl_input[필요수량],tbl_input[집계키_지청],E214)))</f>
        <v/>
      </c>
      <c r="E214" t="str">
        <f>IFERROR(INDEX(tbl_input[집계키_지청],ROW()-1),"")</f>
        <v/>
      </c>
      <c r="F214" t="str">
        <f t="shared" si="18"/>
        <v/>
      </c>
      <c r="G214" t="str">
        <f t="shared" si="19"/>
        <v/>
      </c>
    </row>
    <row r="215" spans="1:7" x14ac:dyDescent="0.4">
      <c r="A215" t="str">
        <f t="shared" si="15"/>
        <v/>
      </c>
      <c r="B215" t="str">
        <f t="shared" si="16"/>
        <v/>
      </c>
      <c r="C215" t="str">
        <f t="shared" si="17"/>
        <v/>
      </c>
      <c r="D215" t="str">
        <f>IF(E215="","",IF(COUNTIF($E$2:E215,E215)&gt;1,"",SUMIFS(tbl_input[필요수량],tbl_input[집계키_지청],E215)))</f>
        <v/>
      </c>
      <c r="E215" t="str">
        <f>IFERROR(INDEX(tbl_input[집계키_지청],ROW()-1),"")</f>
        <v/>
      </c>
      <c r="F215" t="str">
        <f t="shared" si="18"/>
        <v/>
      </c>
      <c r="G215" t="str">
        <f t="shared" si="19"/>
        <v/>
      </c>
    </row>
    <row r="216" spans="1:7" x14ac:dyDescent="0.4">
      <c r="A216" t="str">
        <f t="shared" si="15"/>
        <v/>
      </c>
      <c r="B216" t="str">
        <f t="shared" si="16"/>
        <v/>
      </c>
      <c r="C216" t="str">
        <f t="shared" si="17"/>
        <v/>
      </c>
      <c r="D216" t="str">
        <f>IF(E216="","",IF(COUNTIF($E$2:E216,E216)&gt;1,"",SUMIFS(tbl_input[필요수량],tbl_input[집계키_지청],E216)))</f>
        <v/>
      </c>
      <c r="E216" t="str">
        <f>IFERROR(INDEX(tbl_input[집계키_지청],ROW()-1),"")</f>
        <v/>
      </c>
      <c r="F216" t="str">
        <f t="shared" si="18"/>
        <v/>
      </c>
      <c r="G216" t="str">
        <f t="shared" si="19"/>
        <v/>
      </c>
    </row>
    <row r="217" spans="1:7" x14ac:dyDescent="0.4">
      <c r="A217" t="str">
        <f t="shared" si="15"/>
        <v/>
      </c>
      <c r="B217" t="str">
        <f t="shared" si="16"/>
        <v/>
      </c>
      <c r="C217" t="str">
        <f t="shared" si="17"/>
        <v/>
      </c>
      <c r="D217" t="str">
        <f>IF(E217="","",IF(COUNTIF($E$2:E217,E217)&gt;1,"",SUMIFS(tbl_input[필요수량],tbl_input[집계키_지청],E217)))</f>
        <v/>
      </c>
      <c r="E217" t="str">
        <f>IFERROR(INDEX(tbl_input[집계키_지청],ROW()-1),"")</f>
        <v/>
      </c>
      <c r="F217" t="str">
        <f t="shared" si="18"/>
        <v/>
      </c>
      <c r="G217" t="str">
        <f t="shared" si="19"/>
        <v/>
      </c>
    </row>
    <row r="218" spans="1:7" x14ac:dyDescent="0.4">
      <c r="A218" t="str">
        <f t="shared" si="15"/>
        <v/>
      </c>
      <c r="B218" t="str">
        <f t="shared" si="16"/>
        <v/>
      </c>
      <c r="C218" t="str">
        <f t="shared" si="17"/>
        <v/>
      </c>
      <c r="D218" t="str">
        <f>IF(E218="","",IF(COUNTIF($E$2:E218,E218)&gt;1,"",SUMIFS(tbl_input[필요수량],tbl_input[집계키_지청],E218)))</f>
        <v/>
      </c>
      <c r="E218" t="str">
        <f>IFERROR(INDEX(tbl_input[집계키_지청],ROW()-1),"")</f>
        <v/>
      </c>
      <c r="F218" t="str">
        <f t="shared" si="18"/>
        <v/>
      </c>
      <c r="G218" t="str">
        <f t="shared" si="19"/>
        <v/>
      </c>
    </row>
    <row r="219" spans="1:7" x14ac:dyDescent="0.4">
      <c r="A219" t="str">
        <f t="shared" si="15"/>
        <v/>
      </c>
      <c r="B219" t="str">
        <f t="shared" si="16"/>
        <v/>
      </c>
      <c r="C219" t="str">
        <f t="shared" si="17"/>
        <v/>
      </c>
      <c r="D219" t="str">
        <f>IF(E219="","",IF(COUNTIF($E$2:E219,E219)&gt;1,"",SUMIFS(tbl_input[필요수량],tbl_input[집계키_지청],E219)))</f>
        <v/>
      </c>
      <c r="E219" t="str">
        <f>IFERROR(INDEX(tbl_input[집계키_지청],ROW()-1),"")</f>
        <v/>
      </c>
      <c r="F219" t="str">
        <f t="shared" si="18"/>
        <v/>
      </c>
      <c r="G219" t="str">
        <f t="shared" si="19"/>
        <v/>
      </c>
    </row>
    <row r="220" spans="1:7" x14ac:dyDescent="0.4">
      <c r="A220" t="str">
        <f t="shared" si="15"/>
        <v/>
      </c>
      <c r="B220" t="str">
        <f t="shared" si="16"/>
        <v/>
      </c>
      <c r="C220" t="str">
        <f t="shared" si="17"/>
        <v/>
      </c>
      <c r="D220" t="str">
        <f>IF(E220="","",IF(COUNTIF($E$2:E220,E220)&gt;1,"",SUMIFS(tbl_input[필요수량],tbl_input[집계키_지청],E220)))</f>
        <v/>
      </c>
      <c r="E220" t="str">
        <f>IFERROR(INDEX(tbl_input[집계키_지청],ROW()-1),"")</f>
        <v/>
      </c>
      <c r="F220" t="str">
        <f t="shared" si="18"/>
        <v/>
      </c>
      <c r="G220" t="str">
        <f t="shared" si="19"/>
        <v/>
      </c>
    </row>
    <row r="221" spans="1:7" x14ac:dyDescent="0.4">
      <c r="A221" t="str">
        <f t="shared" si="15"/>
        <v/>
      </c>
      <c r="B221" t="str">
        <f t="shared" si="16"/>
        <v/>
      </c>
      <c r="C221" t="str">
        <f t="shared" si="17"/>
        <v/>
      </c>
      <c r="D221" t="str">
        <f>IF(E221="","",IF(COUNTIF($E$2:E221,E221)&gt;1,"",SUMIFS(tbl_input[필요수량],tbl_input[집계키_지청],E221)))</f>
        <v/>
      </c>
      <c r="E221" t="str">
        <f>IFERROR(INDEX(tbl_input[집계키_지청],ROW()-1),"")</f>
        <v/>
      </c>
      <c r="F221" t="str">
        <f t="shared" si="18"/>
        <v/>
      </c>
      <c r="G221" t="str">
        <f t="shared" si="19"/>
        <v/>
      </c>
    </row>
    <row r="222" spans="1:7" x14ac:dyDescent="0.4">
      <c r="A222" t="str">
        <f t="shared" si="15"/>
        <v/>
      </c>
      <c r="B222" t="str">
        <f t="shared" si="16"/>
        <v/>
      </c>
      <c r="C222" t="str">
        <f t="shared" si="17"/>
        <v/>
      </c>
      <c r="D222" t="str">
        <f>IF(E222="","",IF(COUNTIF($E$2:E222,E222)&gt;1,"",SUMIFS(tbl_input[필요수량],tbl_input[집계키_지청],E222)))</f>
        <v/>
      </c>
      <c r="E222" t="str">
        <f>IFERROR(INDEX(tbl_input[집계키_지청],ROW()-1),"")</f>
        <v/>
      </c>
      <c r="F222" t="str">
        <f t="shared" si="18"/>
        <v/>
      </c>
      <c r="G222" t="str">
        <f t="shared" si="19"/>
        <v/>
      </c>
    </row>
    <row r="223" spans="1:7" x14ac:dyDescent="0.4">
      <c r="A223" t="str">
        <f t="shared" si="15"/>
        <v/>
      </c>
      <c r="B223" t="str">
        <f t="shared" si="16"/>
        <v/>
      </c>
      <c r="C223" t="str">
        <f t="shared" si="17"/>
        <v/>
      </c>
      <c r="D223" t="str">
        <f>IF(E223="","",IF(COUNTIF($E$2:E223,E223)&gt;1,"",SUMIFS(tbl_input[필요수량],tbl_input[집계키_지청],E223)))</f>
        <v/>
      </c>
      <c r="E223" t="str">
        <f>IFERROR(INDEX(tbl_input[집계키_지청],ROW()-1),"")</f>
        <v/>
      </c>
      <c r="F223" t="str">
        <f t="shared" si="18"/>
        <v/>
      </c>
      <c r="G223" t="str">
        <f t="shared" si="19"/>
        <v/>
      </c>
    </row>
    <row r="224" spans="1:7" x14ac:dyDescent="0.4">
      <c r="A224" t="str">
        <f t="shared" si="15"/>
        <v/>
      </c>
      <c r="B224" t="str">
        <f t="shared" si="16"/>
        <v/>
      </c>
      <c r="C224" t="str">
        <f t="shared" si="17"/>
        <v/>
      </c>
      <c r="D224" t="str">
        <f>IF(E224="","",IF(COUNTIF($E$2:E224,E224)&gt;1,"",SUMIFS(tbl_input[필요수량],tbl_input[집계키_지청],E224)))</f>
        <v/>
      </c>
      <c r="E224" t="str">
        <f>IFERROR(INDEX(tbl_input[집계키_지청],ROW()-1),"")</f>
        <v/>
      </c>
      <c r="F224" t="str">
        <f t="shared" si="18"/>
        <v/>
      </c>
      <c r="G224" t="str">
        <f t="shared" si="19"/>
        <v/>
      </c>
    </row>
    <row r="225" spans="1:7" x14ac:dyDescent="0.4">
      <c r="A225" t="str">
        <f t="shared" si="15"/>
        <v/>
      </c>
      <c r="B225" t="str">
        <f t="shared" si="16"/>
        <v/>
      </c>
      <c r="C225" t="str">
        <f t="shared" si="17"/>
        <v/>
      </c>
      <c r="D225" t="str">
        <f>IF(E225="","",IF(COUNTIF($E$2:E225,E225)&gt;1,"",SUMIFS(tbl_input[필요수량],tbl_input[집계키_지청],E225)))</f>
        <v/>
      </c>
      <c r="E225" t="str">
        <f>IFERROR(INDEX(tbl_input[집계키_지청],ROW()-1),"")</f>
        <v/>
      </c>
      <c r="F225" t="str">
        <f t="shared" si="18"/>
        <v/>
      </c>
      <c r="G225" t="str">
        <f t="shared" si="19"/>
        <v/>
      </c>
    </row>
    <row r="226" spans="1:7" x14ac:dyDescent="0.4">
      <c r="A226" t="str">
        <f t="shared" si="15"/>
        <v/>
      </c>
      <c r="B226" t="str">
        <f t="shared" si="16"/>
        <v/>
      </c>
      <c r="C226" t="str">
        <f t="shared" si="17"/>
        <v/>
      </c>
      <c r="D226" t="str">
        <f>IF(E226="","",IF(COUNTIF($E$2:E226,E226)&gt;1,"",SUMIFS(tbl_input[필요수량],tbl_input[집계키_지청],E226)))</f>
        <v/>
      </c>
      <c r="E226" t="str">
        <f>IFERROR(INDEX(tbl_input[집계키_지청],ROW()-1),"")</f>
        <v/>
      </c>
      <c r="F226" t="str">
        <f t="shared" si="18"/>
        <v/>
      </c>
      <c r="G226" t="str">
        <f t="shared" si="19"/>
        <v/>
      </c>
    </row>
    <row r="227" spans="1:7" x14ac:dyDescent="0.4">
      <c r="A227" t="str">
        <f t="shared" si="15"/>
        <v/>
      </c>
      <c r="B227" t="str">
        <f t="shared" si="16"/>
        <v/>
      </c>
      <c r="C227" t="str">
        <f t="shared" si="17"/>
        <v/>
      </c>
      <c r="D227" t="str">
        <f>IF(E227="","",IF(COUNTIF($E$2:E227,E227)&gt;1,"",SUMIFS(tbl_input[필요수량],tbl_input[집계키_지청],E227)))</f>
        <v/>
      </c>
      <c r="E227" t="str">
        <f>IFERROR(INDEX(tbl_input[집계키_지청],ROW()-1),"")</f>
        <v/>
      </c>
      <c r="F227" t="str">
        <f t="shared" si="18"/>
        <v/>
      </c>
      <c r="G227" t="str">
        <f t="shared" si="19"/>
        <v/>
      </c>
    </row>
    <row r="228" spans="1:7" x14ac:dyDescent="0.4">
      <c r="A228" t="str">
        <f t="shared" si="15"/>
        <v/>
      </c>
      <c r="B228" t="str">
        <f t="shared" si="16"/>
        <v/>
      </c>
      <c r="C228" t="str">
        <f t="shared" si="17"/>
        <v/>
      </c>
      <c r="D228" t="str">
        <f>IF(E228="","",IF(COUNTIF($E$2:E228,E228)&gt;1,"",SUMIFS(tbl_input[필요수량],tbl_input[집계키_지청],E228)))</f>
        <v/>
      </c>
      <c r="E228" t="str">
        <f>IFERROR(INDEX(tbl_input[집계키_지청],ROW()-1),"")</f>
        <v/>
      </c>
      <c r="F228" t="str">
        <f t="shared" si="18"/>
        <v/>
      </c>
      <c r="G228" t="str">
        <f t="shared" si="19"/>
        <v/>
      </c>
    </row>
    <row r="229" spans="1:7" x14ac:dyDescent="0.4">
      <c r="A229" t="str">
        <f t="shared" si="15"/>
        <v/>
      </c>
      <c r="B229" t="str">
        <f t="shared" si="16"/>
        <v/>
      </c>
      <c r="C229" t="str">
        <f t="shared" si="17"/>
        <v/>
      </c>
      <c r="D229" t="str">
        <f>IF(E229="","",IF(COUNTIF($E$2:E229,E229)&gt;1,"",SUMIFS(tbl_input[필요수량],tbl_input[집계키_지청],E229)))</f>
        <v/>
      </c>
      <c r="E229" t="str">
        <f>IFERROR(INDEX(tbl_input[집계키_지청],ROW()-1),"")</f>
        <v/>
      </c>
      <c r="F229" t="str">
        <f t="shared" si="18"/>
        <v/>
      </c>
      <c r="G229" t="str">
        <f t="shared" si="19"/>
        <v/>
      </c>
    </row>
    <row r="230" spans="1:7" x14ac:dyDescent="0.4">
      <c r="A230" t="str">
        <f t="shared" si="15"/>
        <v/>
      </c>
      <c r="B230" t="str">
        <f t="shared" si="16"/>
        <v/>
      </c>
      <c r="C230" t="str">
        <f t="shared" si="17"/>
        <v/>
      </c>
      <c r="D230" t="str">
        <f>IF(E230="","",IF(COUNTIF($E$2:E230,E230)&gt;1,"",SUMIFS(tbl_input[필요수량],tbl_input[집계키_지청],E230)))</f>
        <v/>
      </c>
      <c r="E230" t="str">
        <f>IFERROR(INDEX(tbl_input[집계키_지청],ROW()-1),"")</f>
        <v/>
      </c>
      <c r="F230" t="str">
        <f t="shared" si="18"/>
        <v/>
      </c>
      <c r="G230" t="str">
        <f t="shared" si="19"/>
        <v/>
      </c>
    </row>
    <row r="231" spans="1:7" x14ac:dyDescent="0.4">
      <c r="A231" t="str">
        <f t="shared" si="15"/>
        <v/>
      </c>
      <c r="B231" t="str">
        <f t="shared" si="16"/>
        <v/>
      </c>
      <c r="C231" t="str">
        <f t="shared" si="17"/>
        <v/>
      </c>
      <c r="D231" t="str">
        <f>IF(E231="","",IF(COUNTIF($E$2:E231,E231)&gt;1,"",SUMIFS(tbl_input[필요수량],tbl_input[집계키_지청],E231)))</f>
        <v/>
      </c>
      <c r="E231" t="str">
        <f>IFERROR(INDEX(tbl_input[집계키_지청],ROW()-1),"")</f>
        <v/>
      </c>
      <c r="F231" t="str">
        <f t="shared" si="18"/>
        <v/>
      </c>
      <c r="G231" t="str">
        <f t="shared" si="19"/>
        <v/>
      </c>
    </row>
    <row r="232" spans="1:7" x14ac:dyDescent="0.4">
      <c r="A232" t="str">
        <f t="shared" si="15"/>
        <v/>
      </c>
      <c r="B232" t="str">
        <f t="shared" si="16"/>
        <v/>
      </c>
      <c r="C232" t="str">
        <f t="shared" si="17"/>
        <v/>
      </c>
      <c r="D232" t="str">
        <f>IF(E232="","",IF(COUNTIF($E$2:E232,E232)&gt;1,"",SUMIFS(tbl_input[필요수량],tbl_input[집계키_지청],E232)))</f>
        <v/>
      </c>
      <c r="E232" t="str">
        <f>IFERROR(INDEX(tbl_input[집계키_지청],ROW()-1),"")</f>
        <v/>
      </c>
      <c r="F232" t="str">
        <f t="shared" si="18"/>
        <v/>
      </c>
      <c r="G232" t="str">
        <f t="shared" si="19"/>
        <v/>
      </c>
    </row>
    <row r="233" spans="1:7" x14ac:dyDescent="0.4">
      <c r="A233" t="str">
        <f t="shared" si="15"/>
        <v/>
      </c>
      <c r="B233" t="str">
        <f t="shared" si="16"/>
        <v/>
      </c>
      <c r="C233" t="str">
        <f t="shared" si="17"/>
        <v/>
      </c>
      <c r="D233" t="str">
        <f>IF(E233="","",IF(COUNTIF($E$2:E233,E233)&gt;1,"",SUMIFS(tbl_input[필요수량],tbl_input[집계키_지청],E233)))</f>
        <v/>
      </c>
      <c r="E233" t="str">
        <f>IFERROR(INDEX(tbl_input[집계키_지청],ROW()-1),"")</f>
        <v/>
      </c>
      <c r="F233" t="str">
        <f t="shared" si="18"/>
        <v/>
      </c>
      <c r="G233" t="str">
        <f t="shared" si="19"/>
        <v/>
      </c>
    </row>
    <row r="234" spans="1:7" x14ac:dyDescent="0.4">
      <c r="A234" t="str">
        <f t="shared" si="15"/>
        <v/>
      </c>
      <c r="B234" t="str">
        <f t="shared" si="16"/>
        <v/>
      </c>
      <c r="C234" t="str">
        <f t="shared" si="17"/>
        <v/>
      </c>
      <c r="D234" t="str">
        <f>IF(E234="","",IF(COUNTIF($E$2:E234,E234)&gt;1,"",SUMIFS(tbl_input[필요수량],tbl_input[집계키_지청],E234)))</f>
        <v/>
      </c>
      <c r="E234" t="str">
        <f>IFERROR(INDEX(tbl_input[집계키_지청],ROW()-1),"")</f>
        <v/>
      </c>
      <c r="F234" t="str">
        <f t="shared" si="18"/>
        <v/>
      </c>
      <c r="G234" t="str">
        <f t="shared" si="19"/>
        <v/>
      </c>
    </row>
    <row r="235" spans="1:7" x14ac:dyDescent="0.4">
      <c r="A235" t="str">
        <f t="shared" si="15"/>
        <v/>
      </c>
      <c r="B235" t="str">
        <f t="shared" si="16"/>
        <v/>
      </c>
      <c r="C235" t="str">
        <f t="shared" si="17"/>
        <v/>
      </c>
      <c r="D235" t="str">
        <f>IF(E235="","",IF(COUNTIF($E$2:E235,E235)&gt;1,"",SUMIFS(tbl_input[필요수량],tbl_input[집계키_지청],E235)))</f>
        <v/>
      </c>
      <c r="E235" t="str">
        <f>IFERROR(INDEX(tbl_input[집계키_지청],ROW()-1),"")</f>
        <v/>
      </c>
      <c r="F235" t="str">
        <f t="shared" si="18"/>
        <v/>
      </c>
      <c r="G235" t="str">
        <f t="shared" si="19"/>
        <v/>
      </c>
    </row>
    <row r="236" spans="1:7" x14ac:dyDescent="0.4">
      <c r="A236" t="str">
        <f t="shared" si="15"/>
        <v/>
      </c>
      <c r="B236" t="str">
        <f t="shared" si="16"/>
        <v/>
      </c>
      <c r="C236" t="str">
        <f t="shared" si="17"/>
        <v/>
      </c>
      <c r="D236" t="str">
        <f>IF(E236="","",IF(COUNTIF($E$2:E236,E236)&gt;1,"",SUMIFS(tbl_input[필요수량],tbl_input[집계키_지청],E236)))</f>
        <v/>
      </c>
      <c r="E236" t="str">
        <f>IFERROR(INDEX(tbl_input[집계키_지청],ROW()-1),"")</f>
        <v/>
      </c>
      <c r="F236" t="str">
        <f t="shared" si="18"/>
        <v/>
      </c>
      <c r="G236" t="str">
        <f t="shared" si="19"/>
        <v/>
      </c>
    </row>
    <row r="237" spans="1:7" x14ac:dyDescent="0.4">
      <c r="A237" t="str">
        <f t="shared" si="15"/>
        <v/>
      </c>
      <c r="B237" t="str">
        <f t="shared" si="16"/>
        <v/>
      </c>
      <c r="C237" t="str">
        <f t="shared" si="17"/>
        <v/>
      </c>
      <c r="D237" t="str">
        <f>IF(E237="","",IF(COUNTIF($E$2:E237,E237)&gt;1,"",SUMIFS(tbl_input[필요수량],tbl_input[집계키_지청],E237)))</f>
        <v/>
      </c>
      <c r="E237" t="str">
        <f>IFERROR(INDEX(tbl_input[집계키_지청],ROW()-1),"")</f>
        <v/>
      </c>
      <c r="F237" t="str">
        <f t="shared" si="18"/>
        <v/>
      </c>
      <c r="G237" t="str">
        <f t="shared" si="19"/>
        <v/>
      </c>
    </row>
    <row r="238" spans="1:7" x14ac:dyDescent="0.4">
      <c r="A238" t="str">
        <f t="shared" si="15"/>
        <v/>
      </c>
      <c r="B238" t="str">
        <f t="shared" si="16"/>
        <v/>
      </c>
      <c r="C238" t="str">
        <f t="shared" si="17"/>
        <v/>
      </c>
      <c r="D238" t="str">
        <f>IF(E238="","",IF(COUNTIF($E$2:E238,E238)&gt;1,"",SUMIFS(tbl_input[필요수량],tbl_input[집계키_지청],E238)))</f>
        <v/>
      </c>
      <c r="E238" t="str">
        <f>IFERROR(INDEX(tbl_input[집계키_지청],ROW()-1),"")</f>
        <v/>
      </c>
      <c r="F238" t="str">
        <f t="shared" si="18"/>
        <v/>
      </c>
      <c r="G238" t="str">
        <f t="shared" si="19"/>
        <v/>
      </c>
    </row>
    <row r="239" spans="1:7" x14ac:dyDescent="0.4">
      <c r="A239" t="str">
        <f t="shared" si="15"/>
        <v/>
      </c>
      <c r="B239" t="str">
        <f t="shared" si="16"/>
        <v/>
      </c>
      <c r="C239" t="str">
        <f t="shared" si="17"/>
        <v/>
      </c>
      <c r="D239" t="str">
        <f>IF(E239="","",IF(COUNTIF($E$2:E239,E239)&gt;1,"",SUMIFS(tbl_input[필요수량],tbl_input[집계키_지청],E239)))</f>
        <v/>
      </c>
      <c r="E239" t="str">
        <f>IFERROR(INDEX(tbl_input[집계키_지청],ROW()-1),"")</f>
        <v/>
      </c>
      <c r="F239" t="str">
        <f t="shared" si="18"/>
        <v/>
      </c>
      <c r="G239" t="str">
        <f t="shared" si="19"/>
        <v/>
      </c>
    </row>
    <row r="240" spans="1:7" x14ac:dyDescent="0.4">
      <c r="A240" t="str">
        <f t="shared" si="15"/>
        <v/>
      </c>
      <c r="B240" t="str">
        <f t="shared" si="16"/>
        <v/>
      </c>
      <c r="C240" t="str">
        <f t="shared" si="17"/>
        <v/>
      </c>
      <c r="D240" t="str">
        <f>IF(E240="","",IF(COUNTIF($E$2:E240,E240)&gt;1,"",SUMIFS(tbl_input[필요수량],tbl_input[집계키_지청],E240)))</f>
        <v/>
      </c>
      <c r="E240" t="str">
        <f>IFERROR(INDEX(tbl_input[집계키_지청],ROW()-1),"")</f>
        <v/>
      </c>
      <c r="F240" t="str">
        <f t="shared" si="18"/>
        <v/>
      </c>
      <c r="G240" t="str">
        <f t="shared" si="19"/>
        <v/>
      </c>
    </row>
    <row r="241" spans="1:7" x14ac:dyDescent="0.4">
      <c r="A241" t="str">
        <f t="shared" si="15"/>
        <v/>
      </c>
      <c r="B241" t="str">
        <f t="shared" si="16"/>
        <v/>
      </c>
      <c r="C241" t="str">
        <f t="shared" si="17"/>
        <v/>
      </c>
      <c r="D241" t="str">
        <f>IF(E241="","",IF(COUNTIF($E$2:E241,E241)&gt;1,"",SUMIFS(tbl_input[필요수량],tbl_input[집계키_지청],E241)))</f>
        <v/>
      </c>
      <c r="E241" t="str">
        <f>IFERROR(INDEX(tbl_input[집계키_지청],ROW()-1),"")</f>
        <v/>
      </c>
      <c r="F241" t="str">
        <f t="shared" si="18"/>
        <v/>
      </c>
      <c r="G241" t="str">
        <f t="shared" si="19"/>
        <v/>
      </c>
    </row>
    <row r="242" spans="1:7" x14ac:dyDescent="0.4">
      <c r="A242" t="str">
        <f t="shared" si="15"/>
        <v/>
      </c>
      <c r="B242" t="str">
        <f t="shared" si="16"/>
        <v/>
      </c>
      <c r="C242" t="str">
        <f t="shared" si="17"/>
        <v/>
      </c>
      <c r="D242" t="str">
        <f>IF(E242="","",IF(COUNTIF($E$2:E242,E242)&gt;1,"",SUMIFS(tbl_input[필요수량],tbl_input[집계키_지청],E242)))</f>
        <v/>
      </c>
      <c r="E242" t="str">
        <f>IFERROR(INDEX(tbl_input[집계키_지청],ROW()-1),"")</f>
        <v/>
      </c>
      <c r="F242" t="str">
        <f t="shared" si="18"/>
        <v/>
      </c>
      <c r="G242" t="str">
        <f t="shared" si="19"/>
        <v/>
      </c>
    </row>
    <row r="243" spans="1:7" x14ac:dyDescent="0.4">
      <c r="A243" t="str">
        <f t="shared" si="15"/>
        <v/>
      </c>
      <c r="B243" t="str">
        <f t="shared" si="16"/>
        <v/>
      </c>
      <c r="C243" t="str">
        <f t="shared" si="17"/>
        <v/>
      </c>
      <c r="D243" t="str">
        <f>IF(E243="","",IF(COUNTIF($E$2:E243,E243)&gt;1,"",SUMIFS(tbl_input[필요수량],tbl_input[집계키_지청],E243)))</f>
        <v/>
      </c>
      <c r="E243" t="str">
        <f>IFERROR(INDEX(tbl_input[집계키_지청],ROW()-1),"")</f>
        <v/>
      </c>
      <c r="F243" t="str">
        <f t="shared" si="18"/>
        <v/>
      </c>
      <c r="G243" t="str">
        <f t="shared" si="19"/>
        <v/>
      </c>
    </row>
    <row r="244" spans="1:7" x14ac:dyDescent="0.4">
      <c r="A244" t="str">
        <f t="shared" si="15"/>
        <v/>
      </c>
      <c r="B244" t="str">
        <f t="shared" si="16"/>
        <v/>
      </c>
      <c r="C244" t="str">
        <f t="shared" si="17"/>
        <v/>
      </c>
      <c r="D244" t="str">
        <f>IF(E244="","",IF(COUNTIF($E$2:E244,E244)&gt;1,"",SUMIFS(tbl_input[필요수량],tbl_input[집계키_지청],E244)))</f>
        <v/>
      </c>
      <c r="E244" t="str">
        <f>IFERROR(INDEX(tbl_input[집계키_지청],ROW()-1),"")</f>
        <v/>
      </c>
      <c r="F244" t="str">
        <f t="shared" si="18"/>
        <v/>
      </c>
      <c r="G244" t="str">
        <f t="shared" si="19"/>
        <v/>
      </c>
    </row>
    <row r="245" spans="1:7" x14ac:dyDescent="0.4">
      <c r="A245" t="str">
        <f t="shared" si="15"/>
        <v/>
      </c>
      <c r="B245" t="str">
        <f t="shared" si="16"/>
        <v/>
      </c>
      <c r="C245" t="str">
        <f t="shared" si="17"/>
        <v/>
      </c>
      <c r="D245" t="str">
        <f>IF(E245="","",IF(COUNTIF($E$2:E245,E245)&gt;1,"",SUMIFS(tbl_input[필요수량],tbl_input[집계키_지청],E245)))</f>
        <v/>
      </c>
      <c r="E245" t="str">
        <f>IFERROR(INDEX(tbl_input[집계키_지청],ROW()-1),"")</f>
        <v/>
      </c>
      <c r="F245" t="str">
        <f t="shared" si="18"/>
        <v/>
      </c>
      <c r="G245" t="str">
        <f t="shared" si="19"/>
        <v/>
      </c>
    </row>
    <row r="246" spans="1:7" x14ac:dyDescent="0.4">
      <c r="A246" t="str">
        <f t="shared" si="15"/>
        <v/>
      </c>
      <c r="B246" t="str">
        <f t="shared" si="16"/>
        <v/>
      </c>
      <c r="C246" t="str">
        <f t="shared" si="17"/>
        <v/>
      </c>
      <c r="D246" t="str">
        <f>IF(E246="","",IF(COUNTIF($E$2:E246,E246)&gt;1,"",SUMIFS(tbl_input[필요수량],tbl_input[집계키_지청],E246)))</f>
        <v/>
      </c>
      <c r="E246" t="str">
        <f>IFERROR(INDEX(tbl_input[집계키_지청],ROW()-1),"")</f>
        <v/>
      </c>
      <c r="F246" t="str">
        <f t="shared" si="18"/>
        <v/>
      </c>
      <c r="G246" t="str">
        <f t="shared" si="19"/>
        <v/>
      </c>
    </row>
    <row r="247" spans="1:7" x14ac:dyDescent="0.4">
      <c r="A247" t="str">
        <f t="shared" si="15"/>
        <v/>
      </c>
      <c r="B247" t="str">
        <f t="shared" si="16"/>
        <v/>
      </c>
      <c r="C247" t="str">
        <f t="shared" si="17"/>
        <v/>
      </c>
      <c r="D247" t="str">
        <f>IF(E247="","",IF(COUNTIF($E$2:E247,E247)&gt;1,"",SUMIFS(tbl_input[필요수량],tbl_input[집계키_지청],E247)))</f>
        <v/>
      </c>
      <c r="E247" t="str">
        <f>IFERROR(INDEX(tbl_input[집계키_지청],ROW()-1),"")</f>
        <v/>
      </c>
      <c r="F247" t="str">
        <f t="shared" si="18"/>
        <v/>
      </c>
      <c r="G247" t="str">
        <f t="shared" si="19"/>
        <v/>
      </c>
    </row>
    <row r="248" spans="1:7" x14ac:dyDescent="0.4">
      <c r="A248" t="str">
        <f t="shared" si="15"/>
        <v/>
      </c>
      <c r="B248" t="str">
        <f t="shared" si="16"/>
        <v/>
      </c>
      <c r="C248" t="str">
        <f t="shared" si="17"/>
        <v/>
      </c>
      <c r="D248" t="str">
        <f>IF(E248="","",IF(COUNTIF($E$2:E248,E248)&gt;1,"",SUMIFS(tbl_input[필요수량],tbl_input[집계키_지청],E248)))</f>
        <v/>
      </c>
      <c r="E248" t="str">
        <f>IFERROR(INDEX(tbl_input[집계키_지청],ROW()-1),"")</f>
        <v/>
      </c>
      <c r="F248" t="str">
        <f t="shared" si="18"/>
        <v/>
      </c>
      <c r="G248" t="str">
        <f t="shared" si="19"/>
        <v/>
      </c>
    </row>
    <row r="249" spans="1:7" x14ac:dyDescent="0.4">
      <c r="A249" t="str">
        <f t="shared" si="15"/>
        <v/>
      </c>
      <c r="B249" t="str">
        <f t="shared" si="16"/>
        <v/>
      </c>
      <c r="C249" t="str">
        <f t="shared" si="17"/>
        <v/>
      </c>
      <c r="D249" t="str">
        <f>IF(E249="","",IF(COUNTIF($E$2:E249,E249)&gt;1,"",SUMIFS(tbl_input[필요수량],tbl_input[집계키_지청],E249)))</f>
        <v/>
      </c>
      <c r="E249" t="str">
        <f>IFERROR(INDEX(tbl_input[집계키_지청],ROW()-1),"")</f>
        <v/>
      </c>
      <c r="F249" t="str">
        <f t="shared" si="18"/>
        <v/>
      </c>
      <c r="G249" t="str">
        <f t="shared" si="19"/>
        <v/>
      </c>
    </row>
    <row r="250" spans="1:7" x14ac:dyDescent="0.4">
      <c r="A250" t="str">
        <f t="shared" si="15"/>
        <v/>
      </c>
      <c r="B250" t="str">
        <f t="shared" si="16"/>
        <v/>
      </c>
      <c r="C250" t="str">
        <f t="shared" si="17"/>
        <v/>
      </c>
      <c r="D250" t="str">
        <f>IF(E250="","",IF(COUNTIF($E$2:E250,E250)&gt;1,"",SUMIFS(tbl_input[필요수량],tbl_input[집계키_지청],E250)))</f>
        <v/>
      </c>
      <c r="E250" t="str">
        <f>IFERROR(INDEX(tbl_input[집계키_지청],ROW()-1),"")</f>
        <v/>
      </c>
      <c r="F250" t="str">
        <f t="shared" si="18"/>
        <v/>
      </c>
      <c r="G250" t="str">
        <f t="shared" si="19"/>
        <v/>
      </c>
    </row>
    <row r="251" spans="1:7" x14ac:dyDescent="0.4">
      <c r="A251" t="str">
        <f t="shared" si="15"/>
        <v/>
      </c>
      <c r="B251" t="str">
        <f t="shared" si="16"/>
        <v/>
      </c>
      <c r="C251" t="str">
        <f t="shared" si="17"/>
        <v/>
      </c>
      <c r="D251" t="str">
        <f>IF(E251="","",IF(COUNTIF($E$2:E251,E251)&gt;1,"",SUMIFS(tbl_input[필요수량],tbl_input[집계키_지청],E251)))</f>
        <v/>
      </c>
      <c r="E251" t="str">
        <f>IFERROR(INDEX(tbl_input[집계키_지청],ROW()-1),"")</f>
        <v/>
      </c>
      <c r="F251" t="str">
        <f t="shared" si="18"/>
        <v/>
      </c>
      <c r="G251" t="str">
        <f t="shared" si="19"/>
        <v/>
      </c>
    </row>
    <row r="252" spans="1:7" x14ac:dyDescent="0.4">
      <c r="A252" t="str">
        <f t="shared" si="15"/>
        <v/>
      </c>
      <c r="B252" t="str">
        <f t="shared" si="16"/>
        <v/>
      </c>
      <c r="C252" t="str">
        <f t="shared" si="17"/>
        <v/>
      </c>
      <c r="D252" t="str">
        <f>IF(E252="","",IF(COUNTIF($E$2:E252,E252)&gt;1,"",SUMIFS(tbl_input[필요수량],tbl_input[집계키_지청],E252)))</f>
        <v/>
      </c>
      <c r="E252" t="str">
        <f>IFERROR(INDEX(tbl_input[집계키_지청],ROW()-1),"")</f>
        <v/>
      </c>
      <c r="F252" t="str">
        <f t="shared" si="18"/>
        <v/>
      </c>
      <c r="G252" t="str">
        <f t="shared" si="19"/>
        <v/>
      </c>
    </row>
    <row r="253" spans="1:7" x14ac:dyDescent="0.4">
      <c r="A253" t="str">
        <f t="shared" si="15"/>
        <v/>
      </c>
      <c r="B253" t="str">
        <f t="shared" si="16"/>
        <v/>
      </c>
      <c r="C253" t="str">
        <f t="shared" si="17"/>
        <v/>
      </c>
      <c r="D253" t="str">
        <f>IF(E253="","",IF(COUNTIF($E$2:E253,E253)&gt;1,"",SUMIFS(tbl_input[필요수량],tbl_input[집계키_지청],E253)))</f>
        <v/>
      </c>
      <c r="E253" t="str">
        <f>IFERROR(INDEX(tbl_input[집계키_지청],ROW()-1),"")</f>
        <v/>
      </c>
      <c r="F253" t="str">
        <f t="shared" si="18"/>
        <v/>
      </c>
      <c r="G253" t="str">
        <f t="shared" si="19"/>
        <v/>
      </c>
    </row>
    <row r="254" spans="1:7" x14ac:dyDescent="0.4">
      <c r="A254" t="str">
        <f t="shared" si="15"/>
        <v/>
      </c>
      <c r="B254" t="str">
        <f t="shared" si="16"/>
        <v/>
      </c>
      <c r="C254" t="str">
        <f t="shared" si="17"/>
        <v/>
      </c>
      <c r="D254" t="str">
        <f>IF(E254="","",IF(COUNTIF($E$2:E254,E254)&gt;1,"",SUMIFS(tbl_input[필요수량],tbl_input[집계키_지청],E254)))</f>
        <v/>
      </c>
      <c r="E254" t="str">
        <f>IFERROR(INDEX(tbl_input[집계키_지청],ROW()-1),"")</f>
        <v/>
      </c>
      <c r="F254" t="str">
        <f t="shared" si="18"/>
        <v/>
      </c>
      <c r="G254" t="str">
        <f t="shared" si="19"/>
        <v/>
      </c>
    </row>
    <row r="255" spans="1:7" x14ac:dyDescent="0.4">
      <c r="A255" t="str">
        <f t="shared" si="15"/>
        <v/>
      </c>
      <c r="B255" t="str">
        <f t="shared" si="16"/>
        <v/>
      </c>
      <c r="C255" t="str">
        <f t="shared" si="17"/>
        <v/>
      </c>
      <c r="D255" t="str">
        <f>IF(E255="","",IF(COUNTIF($E$2:E255,E255)&gt;1,"",SUMIFS(tbl_input[필요수량],tbl_input[집계키_지청],E255)))</f>
        <v/>
      </c>
      <c r="E255" t="str">
        <f>IFERROR(INDEX(tbl_input[집계키_지청],ROW()-1),"")</f>
        <v/>
      </c>
      <c r="F255" t="str">
        <f t="shared" si="18"/>
        <v/>
      </c>
      <c r="G255" t="str">
        <f t="shared" si="19"/>
        <v/>
      </c>
    </row>
    <row r="256" spans="1:7" x14ac:dyDescent="0.4">
      <c r="A256" t="str">
        <f t="shared" si="15"/>
        <v/>
      </c>
      <c r="B256" t="str">
        <f t="shared" si="16"/>
        <v/>
      </c>
      <c r="C256" t="str">
        <f t="shared" si="17"/>
        <v/>
      </c>
      <c r="D256" t="str">
        <f>IF(E256="","",IF(COUNTIF($E$2:E256,E256)&gt;1,"",SUMIFS(tbl_input[필요수량],tbl_input[집계키_지청],E256)))</f>
        <v/>
      </c>
      <c r="E256" t="str">
        <f>IFERROR(INDEX(tbl_input[집계키_지청],ROW()-1),"")</f>
        <v/>
      </c>
      <c r="F256" t="str">
        <f t="shared" si="18"/>
        <v/>
      </c>
      <c r="G256" t="str">
        <f t="shared" si="19"/>
        <v/>
      </c>
    </row>
    <row r="257" spans="1:7" x14ac:dyDescent="0.4">
      <c r="A257" t="str">
        <f t="shared" si="15"/>
        <v/>
      </c>
      <c r="B257" t="str">
        <f t="shared" si="16"/>
        <v/>
      </c>
      <c r="C257" t="str">
        <f t="shared" si="17"/>
        <v/>
      </c>
      <c r="D257" t="str">
        <f>IF(E257="","",IF(COUNTIF($E$2:E257,E257)&gt;1,"",SUMIFS(tbl_input[필요수량],tbl_input[집계키_지청],E257)))</f>
        <v/>
      </c>
      <c r="E257" t="str">
        <f>IFERROR(INDEX(tbl_input[집계키_지청],ROW()-1),"")</f>
        <v/>
      </c>
      <c r="F257" t="str">
        <f t="shared" si="18"/>
        <v/>
      </c>
      <c r="G257" t="str">
        <f t="shared" si="19"/>
        <v/>
      </c>
    </row>
    <row r="258" spans="1:7" x14ac:dyDescent="0.4">
      <c r="A258" t="str">
        <f t="shared" ref="A258:A321" si="20">IF(E258="","",LEFT(E258,F258-1))</f>
        <v/>
      </c>
      <c r="B258" t="str">
        <f t="shared" ref="B258:B321" si="21">IF(E258="","",MID(E258,F258+1,G258-F258-1))</f>
        <v/>
      </c>
      <c r="C258" t="str">
        <f t="shared" ref="C258:C321" si="22">IF(E258="","",MID(E258,G258+1,999))</f>
        <v/>
      </c>
      <c r="D258" t="str">
        <f>IF(E258="","",IF(COUNTIF($E$2:E258,E258)&gt;1,"",SUMIFS(tbl_input[필요수량],tbl_input[집계키_지청],E258)))</f>
        <v/>
      </c>
      <c r="E258" t="str">
        <f>IFERROR(INDEX(tbl_input[집계키_지청],ROW()-1),"")</f>
        <v/>
      </c>
      <c r="F258" t="str">
        <f t="shared" ref="F258:F321" si="23">IF(E258="","",FIND("♦",E258))</f>
        <v/>
      </c>
      <c r="G258" t="str">
        <f t="shared" ref="G258:G321" si="24">IF(E258="","",FIND("♦",E258,F258+1))</f>
        <v/>
      </c>
    </row>
    <row r="259" spans="1:7" x14ac:dyDescent="0.4">
      <c r="A259" t="str">
        <f t="shared" si="20"/>
        <v/>
      </c>
      <c r="B259" t="str">
        <f t="shared" si="21"/>
        <v/>
      </c>
      <c r="C259" t="str">
        <f t="shared" si="22"/>
        <v/>
      </c>
      <c r="D259" t="str">
        <f>IF(E259="","",IF(COUNTIF($E$2:E259,E259)&gt;1,"",SUMIFS(tbl_input[필요수량],tbl_input[집계키_지청],E259)))</f>
        <v/>
      </c>
      <c r="E259" t="str">
        <f>IFERROR(INDEX(tbl_input[집계키_지청],ROW()-1),"")</f>
        <v/>
      </c>
      <c r="F259" t="str">
        <f t="shared" si="23"/>
        <v/>
      </c>
      <c r="G259" t="str">
        <f t="shared" si="24"/>
        <v/>
      </c>
    </row>
    <row r="260" spans="1:7" x14ac:dyDescent="0.4">
      <c r="A260" t="str">
        <f t="shared" si="20"/>
        <v/>
      </c>
      <c r="B260" t="str">
        <f t="shared" si="21"/>
        <v/>
      </c>
      <c r="C260" t="str">
        <f t="shared" si="22"/>
        <v/>
      </c>
      <c r="D260" t="str">
        <f>IF(E260="","",IF(COUNTIF($E$2:E260,E260)&gt;1,"",SUMIFS(tbl_input[필요수량],tbl_input[집계키_지청],E260)))</f>
        <v/>
      </c>
      <c r="E260" t="str">
        <f>IFERROR(INDEX(tbl_input[집계키_지청],ROW()-1),"")</f>
        <v/>
      </c>
      <c r="F260" t="str">
        <f t="shared" si="23"/>
        <v/>
      </c>
      <c r="G260" t="str">
        <f t="shared" si="24"/>
        <v/>
      </c>
    </row>
    <row r="261" spans="1:7" x14ac:dyDescent="0.4">
      <c r="A261" t="str">
        <f t="shared" si="20"/>
        <v/>
      </c>
      <c r="B261" t="str">
        <f t="shared" si="21"/>
        <v/>
      </c>
      <c r="C261" t="str">
        <f t="shared" si="22"/>
        <v/>
      </c>
      <c r="D261" t="str">
        <f>IF(E261="","",IF(COUNTIF($E$2:E261,E261)&gt;1,"",SUMIFS(tbl_input[필요수량],tbl_input[집계키_지청],E261)))</f>
        <v/>
      </c>
      <c r="E261" t="str">
        <f>IFERROR(INDEX(tbl_input[집계키_지청],ROW()-1),"")</f>
        <v/>
      </c>
      <c r="F261" t="str">
        <f t="shared" si="23"/>
        <v/>
      </c>
      <c r="G261" t="str">
        <f t="shared" si="24"/>
        <v/>
      </c>
    </row>
    <row r="262" spans="1:7" x14ac:dyDescent="0.4">
      <c r="A262" t="str">
        <f t="shared" si="20"/>
        <v/>
      </c>
      <c r="B262" t="str">
        <f t="shared" si="21"/>
        <v/>
      </c>
      <c r="C262" t="str">
        <f t="shared" si="22"/>
        <v/>
      </c>
      <c r="D262" t="str">
        <f>IF(E262="","",IF(COUNTIF($E$2:E262,E262)&gt;1,"",SUMIFS(tbl_input[필요수량],tbl_input[집계키_지청],E262)))</f>
        <v/>
      </c>
      <c r="E262" t="str">
        <f>IFERROR(INDEX(tbl_input[집계키_지청],ROW()-1),"")</f>
        <v/>
      </c>
      <c r="F262" t="str">
        <f t="shared" si="23"/>
        <v/>
      </c>
      <c r="G262" t="str">
        <f t="shared" si="24"/>
        <v/>
      </c>
    </row>
    <row r="263" spans="1:7" x14ac:dyDescent="0.4">
      <c r="A263" t="str">
        <f t="shared" si="20"/>
        <v/>
      </c>
      <c r="B263" t="str">
        <f t="shared" si="21"/>
        <v/>
      </c>
      <c r="C263" t="str">
        <f t="shared" si="22"/>
        <v/>
      </c>
      <c r="D263" t="str">
        <f>IF(E263="","",IF(COUNTIF($E$2:E263,E263)&gt;1,"",SUMIFS(tbl_input[필요수량],tbl_input[집계키_지청],E263)))</f>
        <v/>
      </c>
      <c r="E263" t="str">
        <f>IFERROR(INDEX(tbl_input[집계키_지청],ROW()-1),"")</f>
        <v/>
      </c>
      <c r="F263" t="str">
        <f t="shared" si="23"/>
        <v/>
      </c>
      <c r="G263" t="str">
        <f t="shared" si="24"/>
        <v/>
      </c>
    </row>
    <row r="264" spans="1:7" x14ac:dyDescent="0.4">
      <c r="A264" t="str">
        <f t="shared" si="20"/>
        <v/>
      </c>
      <c r="B264" t="str">
        <f t="shared" si="21"/>
        <v/>
      </c>
      <c r="C264" t="str">
        <f t="shared" si="22"/>
        <v/>
      </c>
      <c r="D264" t="str">
        <f>IF(E264="","",IF(COUNTIF($E$2:E264,E264)&gt;1,"",SUMIFS(tbl_input[필요수량],tbl_input[집계키_지청],E264)))</f>
        <v/>
      </c>
      <c r="E264" t="str">
        <f>IFERROR(INDEX(tbl_input[집계키_지청],ROW()-1),"")</f>
        <v/>
      </c>
      <c r="F264" t="str">
        <f t="shared" si="23"/>
        <v/>
      </c>
      <c r="G264" t="str">
        <f t="shared" si="24"/>
        <v/>
      </c>
    </row>
    <row r="265" spans="1:7" x14ac:dyDescent="0.4">
      <c r="A265" t="str">
        <f t="shared" si="20"/>
        <v/>
      </c>
      <c r="B265" t="str">
        <f t="shared" si="21"/>
        <v/>
      </c>
      <c r="C265" t="str">
        <f t="shared" si="22"/>
        <v/>
      </c>
      <c r="D265" t="str">
        <f>IF(E265="","",IF(COUNTIF($E$2:E265,E265)&gt;1,"",SUMIFS(tbl_input[필요수량],tbl_input[집계키_지청],E265)))</f>
        <v/>
      </c>
      <c r="E265" t="str">
        <f>IFERROR(INDEX(tbl_input[집계키_지청],ROW()-1),"")</f>
        <v/>
      </c>
      <c r="F265" t="str">
        <f t="shared" si="23"/>
        <v/>
      </c>
      <c r="G265" t="str">
        <f t="shared" si="24"/>
        <v/>
      </c>
    </row>
    <row r="266" spans="1:7" x14ac:dyDescent="0.4">
      <c r="A266" t="str">
        <f t="shared" si="20"/>
        <v/>
      </c>
      <c r="B266" t="str">
        <f t="shared" si="21"/>
        <v/>
      </c>
      <c r="C266" t="str">
        <f t="shared" si="22"/>
        <v/>
      </c>
      <c r="D266" t="str">
        <f>IF(E266="","",IF(COUNTIF($E$2:E266,E266)&gt;1,"",SUMIFS(tbl_input[필요수량],tbl_input[집계키_지청],E266)))</f>
        <v/>
      </c>
      <c r="E266" t="str">
        <f>IFERROR(INDEX(tbl_input[집계키_지청],ROW()-1),"")</f>
        <v/>
      </c>
      <c r="F266" t="str">
        <f t="shared" si="23"/>
        <v/>
      </c>
      <c r="G266" t="str">
        <f t="shared" si="24"/>
        <v/>
      </c>
    </row>
    <row r="267" spans="1:7" x14ac:dyDescent="0.4">
      <c r="A267" t="str">
        <f t="shared" si="20"/>
        <v/>
      </c>
      <c r="B267" t="str">
        <f t="shared" si="21"/>
        <v/>
      </c>
      <c r="C267" t="str">
        <f t="shared" si="22"/>
        <v/>
      </c>
      <c r="D267" t="str">
        <f>IF(E267="","",IF(COUNTIF($E$2:E267,E267)&gt;1,"",SUMIFS(tbl_input[필요수량],tbl_input[집계키_지청],E267)))</f>
        <v/>
      </c>
      <c r="E267" t="str">
        <f>IFERROR(INDEX(tbl_input[집계키_지청],ROW()-1),"")</f>
        <v/>
      </c>
      <c r="F267" t="str">
        <f t="shared" si="23"/>
        <v/>
      </c>
      <c r="G267" t="str">
        <f t="shared" si="24"/>
        <v/>
      </c>
    </row>
    <row r="268" spans="1:7" x14ac:dyDescent="0.4">
      <c r="A268" t="str">
        <f t="shared" si="20"/>
        <v/>
      </c>
      <c r="B268" t="str">
        <f t="shared" si="21"/>
        <v/>
      </c>
      <c r="C268" t="str">
        <f t="shared" si="22"/>
        <v/>
      </c>
      <c r="D268" t="str">
        <f>IF(E268="","",IF(COUNTIF($E$2:E268,E268)&gt;1,"",SUMIFS(tbl_input[필요수량],tbl_input[집계키_지청],E268)))</f>
        <v/>
      </c>
      <c r="E268" t="str">
        <f>IFERROR(INDEX(tbl_input[집계키_지청],ROW()-1),"")</f>
        <v/>
      </c>
      <c r="F268" t="str">
        <f t="shared" si="23"/>
        <v/>
      </c>
      <c r="G268" t="str">
        <f t="shared" si="24"/>
        <v/>
      </c>
    </row>
    <row r="269" spans="1:7" x14ac:dyDescent="0.4">
      <c r="A269" t="str">
        <f t="shared" si="20"/>
        <v/>
      </c>
      <c r="B269" t="str">
        <f t="shared" si="21"/>
        <v/>
      </c>
      <c r="C269" t="str">
        <f t="shared" si="22"/>
        <v/>
      </c>
      <c r="D269" t="str">
        <f>IF(E269="","",IF(COUNTIF($E$2:E269,E269)&gt;1,"",SUMIFS(tbl_input[필요수량],tbl_input[집계키_지청],E269)))</f>
        <v/>
      </c>
      <c r="E269" t="str">
        <f>IFERROR(INDEX(tbl_input[집계키_지청],ROW()-1),"")</f>
        <v/>
      </c>
      <c r="F269" t="str">
        <f t="shared" si="23"/>
        <v/>
      </c>
      <c r="G269" t="str">
        <f t="shared" si="24"/>
        <v/>
      </c>
    </row>
    <row r="270" spans="1:7" x14ac:dyDescent="0.4">
      <c r="A270" t="str">
        <f t="shared" si="20"/>
        <v/>
      </c>
      <c r="B270" t="str">
        <f t="shared" si="21"/>
        <v/>
      </c>
      <c r="C270" t="str">
        <f t="shared" si="22"/>
        <v/>
      </c>
      <c r="D270" t="str">
        <f>IF(E270="","",IF(COUNTIF($E$2:E270,E270)&gt;1,"",SUMIFS(tbl_input[필요수량],tbl_input[집계키_지청],E270)))</f>
        <v/>
      </c>
      <c r="E270" t="str">
        <f>IFERROR(INDEX(tbl_input[집계키_지청],ROW()-1),"")</f>
        <v/>
      </c>
      <c r="F270" t="str">
        <f t="shared" si="23"/>
        <v/>
      </c>
      <c r="G270" t="str">
        <f t="shared" si="24"/>
        <v/>
      </c>
    </row>
    <row r="271" spans="1:7" x14ac:dyDescent="0.4">
      <c r="A271" t="str">
        <f t="shared" si="20"/>
        <v/>
      </c>
      <c r="B271" t="str">
        <f t="shared" si="21"/>
        <v/>
      </c>
      <c r="C271" t="str">
        <f t="shared" si="22"/>
        <v/>
      </c>
      <c r="D271" t="str">
        <f>IF(E271="","",IF(COUNTIF($E$2:E271,E271)&gt;1,"",SUMIFS(tbl_input[필요수량],tbl_input[집계키_지청],E271)))</f>
        <v/>
      </c>
      <c r="E271" t="str">
        <f>IFERROR(INDEX(tbl_input[집계키_지청],ROW()-1),"")</f>
        <v/>
      </c>
      <c r="F271" t="str">
        <f t="shared" si="23"/>
        <v/>
      </c>
      <c r="G271" t="str">
        <f t="shared" si="24"/>
        <v/>
      </c>
    </row>
    <row r="272" spans="1:7" x14ac:dyDescent="0.4">
      <c r="A272" t="str">
        <f t="shared" si="20"/>
        <v/>
      </c>
      <c r="B272" t="str">
        <f t="shared" si="21"/>
        <v/>
      </c>
      <c r="C272" t="str">
        <f t="shared" si="22"/>
        <v/>
      </c>
      <c r="D272" t="str">
        <f>IF(E272="","",IF(COUNTIF($E$2:E272,E272)&gt;1,"",SUMIFS(tbl_input[필요수량],tbl_input[집계키_지청],E272)))</f>
        <v/>
      </c>
      <c r="E272" t="str">
        <f>IFERROR(INDEX(tbl_input[집계키_지청],ROW()-1),"")</f>
        <v/>
      </c>
      <c r="F272" t="str">
        <f t="shared" si="23"/>
        <v/>
      </c>
      <c r="G272" t="str">
        <f t="shared" si="24"/>
        <v/>
      </c>
    </row>
    <row r="273" spans="1:7" x14ac:dyDescent="0.4">
      <c r="A273" t="str">
        <f t="shared" si="20"/>
        <v/>
      </c>
      <c r="B273" t="str">
        <f t="shared" si="21"/>
        <v/>
      </c>
      <c r="C273" t="str">
        <f t="shared" si="22"/>
        <v/>
      </c>
      <c r="D273" t="str">
        <f>IF(E273="","",IF(COUNTIF($E$2:E273,E273)&gt;1,"",SUMIFS(tbl_input[필요수량],tbl_input[집계키_지청],E273)))</f>
        <v/>
      </c>
      <c r="E273" t="str">
        <f>IFERROR(INDEX(tbl_input[집계키_지청],ROW()-1),"")</f>
        <v/>
      </c>
      <c r="F273" t="str">
        <f t="shared" si="23"/>
        <v/>
      </c>
      <c r="G273" t="str">
        <f t="shared" si="24"/>
        <v/>
      </c>
    </row>
    <row r="274" spans="1:7" x14ac:dyDescent="0.4">
      <c r="A274" t="str">
        <f t="shared" si="20"/>
        <v/>
      </c>
      <c r="B274" t="str">
        <f t="shared" si="21"/>
        <v/>
      </c>
      <c r="C274" t="str">
        <f t="shared" si="22"/>
        <v/>
      </c>
      <c r="D274" t="str">
        <f>IF(E274="","",IF(COUNTIF($E$2:E274,E274)&gt;1,"",SUMIFS(tbl_input[필요수량],tbl_input[집계키_지청],E274)))</f>
        <v/>
      </c>
      <c r="E274" t="str">
        <f>IFERROR(INDEX(tbl_input[집계키_지청],ROW()-1),"")</f>
        <v/>
      </c>
      <c r="F274" t="str">
        <f t="shared" si="23"/>
        <v/>
      </c>
      <c r="G274" t="str">
        <f t="shared" si="24"/>
        <v/>
      </c>
    </row>
    <row r="275" spans="1:7" x14ac:dyDescent="0.4">
      <c r="A275" t="str">
        <f t="shared" si="20"/>
        <v/>
      </c>
      <c r="B275" t="str">
        <f t="shared" si="21"/>
        <v/>
      </c>
      <c r="C275" t="str">
        <f t="shared" si="22"/>
        <v/>
      </c>
      <c r="D275" t="str">
        <f>IF(E275="","",IF(COUNTIF($E$2:E275,E275)&gt;1,"",SUMIFS(tbl_input[필요수량],tbl_input[집계키_지청],E275)))</f>
        <v/>
      </c>
      <c r="E275" t="str">
        <f>IFERROR(INDEX(tbl_input[집계키_지청],ROW()-1),"")</f>
        <v/>
      </c>
      <c r="F275" t="str">
        <f t="shared" si="23"/>
        <v/>
      </c>
      <c r="G275" t="str">
        <f t="shared" si="24"/>
        <v/>
      </c>
    </row>
    <row r="276" spans="1:7" x14ac:dyDescent="0.4">
      <c r="A276" t="str">
        <f t="shared" si="20"/>
        <v/>
      </c>
      <c r="B276" t="str">
        <f t="shared" si="21"/>
        <v/>
      </c>
      <c r="C276" t="str">
        <f t="shared" si="22"/>
        <v/>
      </c>
      <c r="D276" t="str">
        <f>IF(E276="","",IF(COUNTIF($E$2:E276,E276)&gt;1,"",SUMIFS(tbl_input[필요수량],tbl_input[집계키_지청],E276)))</f>
        <v/>
      </c>
      <c r="E276" t="str">
        <f>IFERROR(INDEX(tbl_input[집계키_지청],ROW()-1),"")</f>
        <v/>
      </c>
      <c r="F276" t="str">
        <f t="shared" si="23"/>
        <v/>
      </c>
      <c r="G276" t="str">
        <f t="shared" si="24"/>
        <v/>
      </c>
    </row>
    <row r="277" spans="1:7" x14ac:dyDescent="0.4">
      <c r="A277" t="str">
        <f t="shared" si="20"/>
        <v/>
      </c>
      <c r="B277" t="str">
        <f t="shared" si="21"/>
        <v/>
      </c>
      <c r="C277" t="str">
        <f t="shared" si="22"/>
        <v/>
      </c>
      <c r="D277" t="str">
        <f>IF(E277="","",IF(COUNTIF($E$2:E277,E277)&gt;1,"",SUMIFS(tbl_input[필요수량],tbl_input[집계키_지청],E277)))</f>
        <v/>
      </c>
      <c r="E277" t="str">
        <f>IFERROR(INDEX(tbl_input[집계키_지청],ROW()-1),"")</f>
        <v/>
      </c>
      <c r="F277" t="str">
        <f t="shared" si="23"/>
        <v/>
      </c>
      <c r="G277" t="str">
        <f t="shared" si="24"/>
        <v/>
      </c>
    </row>
    <row r="278" spans="1:7" x14ac:dyDescent="0.4">
      <c r="A278" t="str">
        <f t="shared" si="20"/>
        <v/>
      </c>
      <c r="B278" t="str">
        <f t="shared" si="21"/>
        <v/>
      </c>
      <c r="C278" t="str">
        <f t="shared" si="22"/>
        <v/>
      </c>
      <c r="D278" t="str">
        <f>IF(E278="","",IF(COUNTIF($E$2:E278,E278)&gt;1,"",SUMIFS(tbl_input[필요수량],tbl_input[집계키_지청],E278)))</f>
        <v/>
      </c>
      <c r="E278" t="str">
        <f>IFERROR(INDEX(tbl_input[집계키_지청],ROW()-1),"")</f>
        <v/>
      </c>
      <c r="F278" t="str">
        <f t="shared" si="23"/>
        <v/>
      </c>
      <c r="G278" t="str">
        <f t="shared" si="24"/>
        <v/>
      </c>
    </row>
    <row r="279" spans="1:7" x14ac:dyDescent="0.4">
      <c r="A279" t="str">
        <f t="shared" si="20"/>
        <v/>
      </c>
      <c r="B279" t="str">
        <f t="shared" si="21"/>
        <v/>
      </c>
      <c r="C279" t="str">
        <f t="shared" si="22"/>
        <v/>
      </c>
      <c r="D279" t="str">
        <f>IF(E279="","",IF(COUNTIF($E$2:E279,E279)&gt;1,"",SUMIFS(tbl_input[필요수량],tbl_input[집계키_지청],E279)))</f>
        <v/>
      </c>
      <c r="E279" t="str">
        <f>IFERROR(INDEX(tbl_input[집계키_지청],ROW()-1),"")</f>
        <v/>
      </c>
      <c r="F279" t="str">
        <f t="shared" si="23"/>
        <v/>
      </c>
      <c r="G279" t="str">
        <f t="shared" si="24"/>
        <v/>
      </c>
    </row>
    <row r="280" spans="1:7" x14ac:dyDescent="0.4">
      <c r="A280" t="str">
        <f t="shared" si="20"/>
        <v/>
      </c>
      <c r="B280" t="str">
        <f t="shared" si="21"/>
        <v/>
      </c>
      <c r="C280" t="str">
        <f t="shared" si="22"/>
        <v/>
      </c>
      <c r="D280" t="str">
        <f>IF(E280="","",IF(COUNTIF($E$2:E280,E280)&gt;1,"",SUMIFS(tbl_input[필요수량],tbl_input[집계키_지청],E280)))</f>
        <v/>
      </c>
      <c r="E280" t="str">
        <f>IFERROR(INDEX(tbl_input[집계키_지청],ROW()-1),"")</f>
        <v/>
      </c>
      <c r="F280" t="str">
        <f t="shared" si="23"/>
        <v/>
      </c>
      <c r="G280" t="str">
        <f t="shared" si="24"/>
        <v/>
      </c>
    </row>
    <row r="281" spans="1:7" x14ac:dyDescent="0.4">
      <c r="A281" t="str">
        <f t="shared" si="20"/>
        <v/>
      </c>
      <c r="B281" t="str">
        <f t="shared" si="21"/>
        <v/>
      </c>
      <c r="C281" t="str">
        <f t="shared" si="22"/>
        <v/>
      </c>
      <c r="D281" t="str">
        <f>IF(E281="","",IF(COUNTIF($E$2:E281,E281)&gt;1,"",SUMIFS(tbl_input[필요수량],tbl_input[집계키_지청],E281)))</f>
        <v/>
      </c>
      <c r="E281" t="str">
        <f>IFERROR(INDEX(tbl_input[집계키_지청],ROW()-1),"")</f>
        <v/>
      </c>
      <c r="F281" t="str">
        <f t="shared" si="23"/>
        <v/>
      </c>
      <c r="G281" t="str">
        <f t="shared" si="24"/>
        <v/>
      </c>
    </row>
    <row r="282" spans="1:7" x14ac:dyDescent="0.4">
      <c r="A282" t="str">
        <f t="shared" si="20"/>
        <v/>
      </c>
      <c r="B282" t="str">
        <f t="shared" si="21"/>
        <v/>
      </c>
      <c r="C282" t="str">
        <f t="shared" si="22"/>
        <v/>
      </c>
      <c r="D282" t="str">
        <f>IF(E282="","",IF(COUNTIF($E$2:E282,E282)&gt;1,"",SUMIFS(tbl_input[필요수량],tbl_input[집계키_지청],E282)))</f>
        <v/>
      </c>
      <c r="E282" t="str">
        <f>IFERROR(INDEX(tbl_input[집계키_지청],ROW()-1),"")</f>
        <v/>
      </c>
      <c r="F282" t="str">
        <f t="shared" si="23"/>
        <v/>
      </c>
      <c r="G282" t="str">
        <f t="shared" si="24"/>
        <v/>
      </c>
    </row>
    <row r="283" spans="1:7" x14ac:dyDescent="0.4">
      <c r="A283" t="str">
        <f t="shared" si="20"/>
        <v/>
      </c>
      <c r="B283" t="str">
        <f t="shared" si="21"/>
        <v/>
      </c>
      <c r="C283" t="str">
        <f t="shared" si="22"/>
        <v/>
      </c>
      <c r="D283" t="str">
        <f>IF(E283="","",IF(COUNTIF($E$2:E283,E283)&gt;1,"",SUMIFS(tbl_input[필요수량],tbl_input[집계키_지청],E283)))</f>
        <v/>
      </c>
      <c r="E283" t="str">
        <f>IFERROR(INDEX(tbl_input[집계키_지청],ROW()-1),"")</f>
        <v/>
      </c>
      <c r="F283" t="str">
        <f t="shared" si="23"/>
        <v/>
      </c>
      <c r="G283" t="str">
        <f t="shared" si="24"/>
        <v/>
      </c>
    </row>
    <row r="284" spans="1:7" x14ac:dyDescent="0.4">
      <c r="A284" t="str">
        <f t="shared" si="20"/>
        <v/>
      </c>
      <c r="B284" t="str">
        <f t="shared" si="21"/>
        <v/>
      </c>
      <c r="C284" t="str">
        <f t="shared" si="22"/>
        <v/>
      </c>
      <c r="D284" t="str">
        <f>IF(E284="","",IF(COUNTIF($E$2:E284,E284)&gt;1,"",SUMIFS(tbl_input[필요수량],tbl_input[집계키_지청],E284)))</f>
        <v/>
      </c>
      <c r="E284" t="str">
        <f>IFERROR(INDEX(tbl_input[집계키_지청],ROW()-1),"")</f>
        <v/>
      </c>
      <c r="F284" t="str">
        <f t="shared" si="23"/>
        <v/>
      </c>
      <c r="G284" t="str">
        <f t="shared" si="24"/>
        <v/>
      </c>
    </row>
    <row r="285" spans="1:7" x14ac:dyDescent="0.4">
      <c r="A285" t="str">
        <f t="shared" si="20"/>
        <v/>
      </c>
      <c r="B285" t="str">
        <f t="shared" si="21"/>
        <v/>
      </c>
      <c r="C285" t="str">
        <f t="shared" si="22"/>
        <v/>
      </c>
      <c r="D285" t="str">
        <f>IF(E285="","",IF(COUNTIF($E$2:E285,E285)&gt;1,"",SUMIFS(tbl_input[필요수량],tbl_input[집계키_지청],E285)))</f>
        <v/>
      </c>
      <c r="E285" t="str">
        <f>IFERROR(INDEX(tbl_input[집계키_지청],ROW()-1),"")</f>
        <v/>
      </c>
      <c r="F285" t="str">
        <f t="shared" si="23"/>
        <v/>
      </c>
      <c r="G285" t="str">
        <f t="shared" si="24"/>
        <v/>
      </c>
    </row>
    <row r="286" spans="1:7" x14ac:dyDescent="0.4">
      <c r="A286" t="str">
        <f t="shared" si="20"/>
        <v/>
      </c>
      <c r="B286" t="str">
        <f t="shared" si="21"/>
        <v/>
      </c>
      <c r="C286" t="str">
        <f t="shared" si="22"/>
        <v/>
      </c>
      <c r="D286" t="str">
        <f>IF(E286="","",IF(COUNTIF($E$2:E286,E286)&gt;1,"",SUMIFS(tbl_input[필요수량],tbl_input[집계키_지청],E286)))</f>
        <v/>
      </c>
      <c r="E286" t="str">
        <f>IFERROR(INDEX(tbl_input[집계키_지청],ROW()-1),"")</f>
        <v/>
      </c>
      <c r="F286" t="str">
        <f t="shared" si="23"/>
        <v/>
      </c>
      <c r="G286" t="str">
        <f t="shared" si="24"/>
        <v/>
      </c>
    </row>
    <row r="287" spans="1:7" x14ac:dyDescent="0.4">
      <c r="A287" t="str">
        <f t="shared" si="20"/>
        <v/>
      </c>
      <c r="B287" t="str">
        <f t="shared" si="21"/>
        <v/>
      </c>
      <c r="C287" t="str">
        <f t="shared" si="22"/>
        <v/>
      </c>
      <c r="D287" t="str">
        <f>IF(E287="","",IF(COUNTIF($E$2:E287,E287)&gt;1,"",SUMIFS(tbl_input[필요수량],tbl_input[집계키_지청],E287)))</f>
        <v/>
      </c>
      <c r="E287" t="str">
        <f>IFERROR(INDEX(tbl_input[집계키_지청],ROW()-1),"")</f>
        <v/>
      </c>
      <c r="F287" t="str">
        <f t="shared" si="23"/>
        <v/>
      </c>
      <c r="G287" t="str">
        <f t="shared" si="24"/>
        <v/>
      </c>
    </row>
    <row r="288" spans="1:7" x14ac:dyDescent="0.4">
      <c r="A288" t="str">
        <f t="shared" si="20"/>
        <v/>
      </c>
      <c r="B288" t="str">
        <f t="shared" si="21"/>
        <v/>
      </c>
      <c r="C288" t="str">
        <f t="shared" si="22"/>
        <v/>
      </c>
      <c r="D288" t="str">
        <f>IF(E288="","",IF(COUNTIF($E$2:E288,E288)&gt;1,"",SUMIFS(tbl_input[필요수량],tbl_input[집계키_지청],E288)))</f>
        <v/>
      </c>
      <c r="E288" t="str">
        <f>IFERROR(INDEX(tbl_input[집계키_지청],ROW()-1),"")</f>
        <v/>
      </c>
      <c r="F288" t="str">
        <f t="shared" si="23"/>
        <v/>
      </c>
      <c r="G288" t="str">
        <f t="shared" si="24"/>
        <v/>
      </c>
    </row>
    <row r="289" spans="1:7" x14ac:dyDescent="0.4">
      <c r="A289" t="str">
        <f t="shared" si="20"/>
        <v/>
      </c>
      <c r="B289" t="str">
        <f t="shared" si="21"/>
        <v/>
      </c>
      <c r="C289" t="str">
        <f t="shared" si="22"/>
        <v/>
      </c>
      <c r="D289" t="str">
        <f>IF(E289="","",IF(COUNTIF($E$2:E289,E289)&gt;1,"",SUMIFS(tbl_input[필요수량],tbl_input[집계키_지청],E289)))</f>
        <v/>
      </c>
      <c r="E289" t="str">
        <f>IFERROR(INDEX(tbl_input[집계키_지청],ROW()-1),"")</f>
        <v/>
      </c>
      <c r="F289" t="str">
        <f t="shared" si="23"/>
        <v/>
      </c>
      <c r="G289" t="str">
        <f t="shared" si="24"/>
        <v/>
      </c>
    </row>
    <row r="290" spans="1:7" x14ac:dyDescent="0.4">
      <c r="A290" t="str">
        <f t="shared" si="20"/>
        <v/>
      </c>
      <c r="B290" t="str">
        <f t="shared" si="21"/>
        <v/>
      </c>
      <c r="C290" t="str">
        <f t="shared" si="22"/>
        <v/>
      </c>
      <c r="D290" t="str">
        <f>IF(E290="","",IF(COUNTIF($E$2:E290,E290)&gt;1,"",SUMIFS(tbl_input[필요수량],tbl_input[집계키_지청],E290)))</f>
        <v/>
      </c>
      <c r="E290" t="str">
        <f>IFERROR(INDEX(tbl_input[집계키_지청],ROW()-1),"")</f>
        <v/>
      </c>
      <c r="F290" t="str">
        <f t="shared" si="23"/>
        <v/>
      </c>
      <c r="G290" t="str">
        <f t="shared" si="24"/>
        <v/>
      </c>
    </row>
    <row r="291" spans="1:7" x14ac:dyDescent="0.4">
      <c r="A291" t="str">
        <f t="shared" si="20"/>
        <v/>
      </c>
      <c r="B291" t="str">
        <f t="shared" si="21"/>
        <v/>
      </c>
      <c r="C291" t="str">
        <f t="shared" si="22"/>
        <v/>
      </c>
      <c r="D291" t="str">
        <f>IF(E291="","",IF(COUNTIF($E$2:E291,E291)&gt;1,"",SUMIFS(tbl_input[필요수량],tbl_input[집계키_지청],E291)))</f>
        <v/>
      </c>
      <c r="E291" t="str">
        <f>IFERROR(INDEX(tbl_input[집계키_지청],ROW()-1),"")</f>
        <v/>
      </c>
      <c r="F291" t="str">
        <f t="shared" si="23"/>
        <v/>
      </c>
      <c r="G291" t="str">
        <f t="shared" si="24"/>
        <v/>
      </c>
    </row>
    <row r="292" spans="1:7" x14ac:dyDescent="0.4">
      <c r="A292" t="str">
        <f t="shared" si="20"/>
        <v/>
      </c>
      <c r="B292" t="str">
        <f t="shared" si="21"/>
        <v/>
      </c>
      <c r="C292" t="str">
        <f t="shared" si="22"/>
        <v/>
      </c>
      <c r="D292" t="str">
        <f>IF(E292="","",IF(COUNTIF($E$2:E292,E292)&gt;1,"",SUMIFS(tbl_input[필요수량],tbl_input[집계키_지청],E292)))</f>
        <v/>
      </c>
      <c r="E292" t="str">
        <f>IFERROR(INDEX(tbl_input[집계키_지청],ROW()-1),"")</f>
        <v/>
      </c>
      <c r="F292" t="str">
        <f t="shared" si="23"/>
        <v/>
      </c>
      <c r="G292" t="str">
        <f t="shared" si="24"/>
        <v/>
      </c>
    </row>
    <row r="293" spans="1:7" x14ac:dyDescent="0.4">
      <c r="A293" t="str">
        <f t="shared" si="20"/>
        <v/>
      </c>
      <c r="B293" t="str">
        <f t="shared" si="21"/>
        <v/>
      </c>
      <c r="C293" t="str">
        <f t="shared" si="22"/>
        <v/>
      </c>
      <c r="D293" t="str">
        <f>IF(E293="","",IF(COUNTIF($E$2:E293,E293)&gt;1,"",SUMIFS(tbl_input[필요수량],tbl_input[집계키_지청],E293)))</f>
        <v/>
      </c>
      <c r="E293" t="str">
        <f>IFERROR(INDEX(tbl_input[집계키_지청],ROW()-1),"")</f>
        <v/>
      </c>
      <c r="F293" t="str">
        <f t="shared" si="23"/>
        <v/>
      </c>
      <c r="G293" t="str">
        <f t="shared" si="24"/>
        <v/>
      </c>
    </row>
    <row r="294" spans="1:7" x14ac:dyDescent="0.4">
      <c r="A294" t="str">
        <f t="shared" si="20"/>
        <v/>
      </c>
      <c r="B294" t="str">
        <f t="shared" si="21"/>
        <v/>
      </c>
      <c r="C294" t="str">
        <f t="shared" si="22"/>
        <v/>
      </c>
      <c r="D294" t="str">
        <f>IF(E294="","",IF(COUNTIF($E$2:E294,E294)&gt;1,"",SUMIFS(tbl_input[필요수량],tbl_input[집계키_지청],E294)))</f>
        <v/>
      </c>
      <c r="E294" t="str">
        <f>IFERROR(INDEX(tbl_input[집계키_지청],ROW()-1),"")</f>
        <v/>
      </c>
      <c r="F294" t="str">
        <f t="shared" si="23"/>
        <v/>
      </c>
      <c r="G294" t="str">
        <f t="shared" si="24"/>
        <v/>
      </c>
    </row>
    <row r="295" spans="1:7" x14ac:dyDescent="0.4">
      <c r="A295" t="str">
        <f t="shared" si="20"/>
        <v/>
      </c>
      <c r="B295" t="str">
        <f t="shared" si="21"/>
        <v/>
      </c>
      <c r="C295" t="str">
        <f t="shared" si="22"/>
        <v/>
      </c>
      <c r="D295" t="str">
        <f>IF(E295="","",IF(COUNTIF($E$2:E295,E295)&gt;1,"",SUMIFS(tbl_input[필요수량],tbl_input[집계키_지청],E295)))</f>
        <v/>
      </c>
      <c r="E295" t="str">
        <f>IFERROR(INDEX(tbl_input[집계키_지청],ROW()-1),"")</f>
        <v/>
      </c>
      <c r="F295" t="str">
        <f t="shared" si="23"/>
        <v/>
      </c>
      <c r="G295" t="str">
        <f t="shared" si="24"/>
        <v/>
      </c>
    </row>
    <row r="296" spans="1:7" x14ac:dyDescent="0.4">
      <c r="A296" t="str">
        <f t="shared" si="20"/>
        <v/>
      </c>
      <c r="B296" t="str">
        <f t="shared" si="21"/>
        <v/>
      </c>
      <c r="C296" t="str">
        <f t="shared" si="22"/>
        <v/>
      </c>
      <c r="D296" t="str">
        <f>IF(E296="","",IF(COUNTIF($E$2:E296,E296)&gt;1,"",SUMIFS(tbl_input[필요수량],tbl_input[집계키_지청],E296)))</f>
        <v/>
      </c>
      <c r="E296" t="str">
        <f>IFERROR(INDEX(tbl_input[집계키_지청],ROW()-1),"")</f>
        <v/>
      </c>
      <c r="F296" t="str">
        <f t="shared" si="23"/>
        <v/>
      </c>
      <c r="G296" t="str">
        <f t="shared" si="24"/>
        <v/>
      </c>
    </row>
    <row r="297" spans="1:7" x14ac:dyDescent="0.4">
      <c r="A297" t="str">
        <f t="shared" si="20"/>
        <v/>
      </c>
      <c r="B297" t="str">
        <f t="shared" si="21"/>
        <v/>
      </c>
      <c r="C297" t="str">
        <f t="shared" si="22"/>
        <v/>
      </c>
      <c r="D297" t="str">
        <f>IF(E297="","",IF(COUNTIF($E$2:E297,E297)&gt;1,"",SUMIFS(tbl_input[필요수량],tbl_input[집계키_지청],E297)))</f>
        <v/>
      </c>
      <c r="E297" t="str">
        <f>IFERROR(INDEX(tbl_input[집계키_지청],ROW()-1),"")</f>
        <v/>
      </c>
      <c r="F297" t="str">
        <f t="shared" si="23"/>
        <v/>
      </c>
      <c r="G297" t="str">
        <f t="shared" si="24"/>
        <v/>
      </c>
    </row>
    <row r="298" spans="1:7" x14ac:dyDescent="0.4">
      <c r="A298" t="str">
        <f t="shared" si="20"/>
        <v/>
      </c>
      <c r="B298" t="str">
        <f t="shared" si="21"/>
        <v/>
      </c>
      <c r="C298" t="str">
        <f t="shared" si="22"/>
        <v/>
      </c>
      <c r="D298" t="str">
        <f>IF(E298="","",IF(COUNTIF($E$2:E298,E298)&gt;1,"",SUMIFS(tbl_input[필요수량],tbl_input[집계키_지청],E298)))</f>
        <v/>
      </c>
      <c r="E298" t="str">
        <f>IFERROR(INDEX(tbl_input[집계키_지청],ROW()-1),"")</f>
        <v/>
      </c>
      <c r="F298" t="str">
        <f t="shared" si="23"/>
        <v/>
      </c>
      <c r="G298" t="str">
        <f t="shared" si="24"/>
        <v/>
      </c>
    </row>
    <row r="299" spans="1:7" x14ac:dyDescent="0.4">
      <c r="A299" t="str">
        <f t="shared" si="20"/>
        <v/>
      </c>
      <c r="B299" t="str">
        <f t="shared" si="21"/>
        <v/>
      </c>
      <c r="C299" t="str">
        <f t="shared" si="22"/>
        <v/>
      </c>
      <c r="D299" t="str">
        <f>IF(E299="","",IF(COUNTIF($E$2:E299,E299)&gt;1,"",SUMIFS(tbl_input[필요수량],tbl_input[집계키_지청],E299)))</f>
        <v/>
      </c>
      <c r="E299" t="str">
        <f>IFERROR(INDEX(tbl_input[집계키_지청],ROW()-1),"")</f>
        <v/>
      </c>
      <c r="F299" t="str">
        <f t="shared" si="23"/>
        <v/>
      </c>
      <c r="G299" t="str">
        <f t="shared" si="24"/>
        <v/>
      </c>
    </row>
    <row r="300" spans="1:7" x14ac:dyDescent="0.4">
      <c r="A300" t="str">
        <f t="shared" si="20"/>
        <v/>
      </c>
      <c r="B300" t="str">
        <f t="shared" si="21"/>
        <v/>
      </c>
      <c r="C300" t="str">
        <f t="shared" si="22"/>
        <v/>
      </c>
      <c r="D300" t="str">
        <f>IF(E300="","",IF(COUNTIF($E$2:E300,E300)&gt;1,"",SUMIFS(tbl_input[필요수량],tbl_input[집계키_지청],E300)))</f>
        <v/>
      </c>
      <c r="E300" t="str">
        <f>IFERROR(INDEX(tbl_input[집계키_지청],ROW()-1),"")</f>
        <v/>
      </c>
      <c r="F300" t="str">
        <f t="shared" si="23"/>
        <v/>
      </c>
      <c r="G300" t="str">
        <f t="shared" si="24"/>
        <v/>
      </c>
    </row>
    <row r="301" spans="1:7" x14ac:dyDescent="0.4">
      <c r="A301" t="str">
        <f t="shared" si="20"/>
        <v/>
      </c>
      <c r="B301" t="str">
        <f t="shared" si="21"/>
        <v/>
      </c>
      <c r="C301" t="str">
        <f t="shared" si="22"/>
        <v/>
      </c>
      <c r="D301" t="str">
        <f>IF(E301="","",IF(COUNTIF($E$2:E301,E301)&gt;1,"",SUMIFS(tbl_input[필요수량],tbl_input[집계키_지청],E301)))</f>
        <v/>
      </c>
      <c r="E301" t="str">
        <f>IFERROR(INDEX(tbl_input[집계키_지청],ROW()-1),"")</f>
        <v/>
      </c>
      <c r="F301" t="str">
        <f t="shared" si="23"/>
        <v/>
      </c>
      <c r="G301" t="str">
        <f t="shared" si="24"/>
        <v/>
      </c>
    </row>
    <row r="302" spans="1:7" x14ac:dyDescent="0.4">
      <c r="A302" t="str">
        <f t="shared" si="20"/>
        <v/>
      </c>
      <c r="B302" t="str">
        <f t="shared" si="21"/>
        <v/>
      </c>
      <c r="C302" t="str">
        <f t="shared" si="22"/>
        <v/>
      </c>
      <c r="D302" t="str">
        <f>IF(E302="","",IF(COUNTIF($E$2:E302,E302)&gt;1,"",SUMIFS(tbl_input[필요수량],tbl_input[집계키_지청],E302)))</f>
        <v/>
      </c>
      <c r="E302" t="str">
        <f>IFERROR(INDEX(tbl_input[집계키_지청],ROW()-1),"")</f>
        <v/>
      </c>
      <c r="F302" t="str">
        <f t="shared" si="23"/>
        <v/>
      </c>
      <c r="G302" t="str">
        <f t="shared" si="24"/>
        <v/>
      </c>
    </row>
    <row r="303" spans="1:7" x14ac:dyDescent="0.4">
      <c r="A303" t="str">
        <f t="shared" si="20"/>
        <v/>
      </c>
      <c r="B303" t="str">
        <f t="shared" si="21"/>
        <v/>
      </c>
      <c r="C303" t="str">
        <f t="shared" si="22"/>
        <v/>
      </c>
      <c r="D303" t="str">
        <f>IF(E303="","",IF(COUNTIF($E$2:E303,E303)&gt;1,"",SUMIFS(tbl_input[필요수량],tbl_input[집계키_지청],E303)))</f>
        <v/>
      </c>
      <c r="E303" t="str">
        <f>IFERROR(INDEX(tbl_input[집계키_지청],ROW()-1),"")</f>
        <v/>
      </c>
      <c r="F303" t="str">
        <f t="shared" si="23"/>
        <v/>
      </c>
      <c r="G303" t="str">
        <f t="shared" si="24"/>
        <v/>
      </c>
    </row>
    <row r="304" spans="1:7" x14ac:dyDescent="0.4">
      <c r="A304" t="str">
        <f t="shared" si="20"/>
        <v/>
      </c>
      <c r="B304" t="str">
        <f t="shared" si="21"/>
        <v/>
      </c>
      <c r="C304" t="str">
        <f t="shared" si="22"/>
        <v/>
      </c>
      <c r="D304" t="str">
        <f>IF(E304="","",IF(COUNTIF($E$2:E304,E304)&gt;1,"",SUMIFS(tbl_input[필요수량],tbl_input[집계키_지청],E304)))</f>
        <v/>
      </c>
      <c r="E304" t="str">
        <f>IFERROR(INDEX(tbl_input[집계키_지청],ROW()-1),"")</f>
        <v/>
      </c>
      <c r="F304" t="str">
        <f t="shared" si="23"/>
        <v/>
      </c>
      <c r="G304" t="str">
        <f t="shared" si="24"/>
        <v/>
      </c>
    </row>
    <row r="305" spans="1:7" x14ac:dyDescent="0.4">
      <c r="A305" t="str">
        <f t="shared" si="20"/>
        <v/>
      </c>
      <c r="B305" t="str">
        <f t="shared" si="21"/>
        <v/>
      </c>
      <c r="C305" t="str">
        <f t="shared" si="22"/>
        <v/>
      </c>
      <c r="D305" t="str">
        <f>IF(E305="","",IF(COUNTIF($E$2:E305,E305)&gt;1,"",SUMIFS(tbl_input[필요수량],tbl_input[집계키_지청],E305)))</f>
        <v/>
      </c>
      <c r="E305" t="str">
        <f>IFERROR(INDEX(tbl_input[집계키_지청],ROW()-1),"")</f>
        <v/>
      </c>
      <c r="F305" t="str">
        <f t="shared" si="23"/>
        <v/>
      </c>
      <c r="G305" t="str">
        <f t="shared" si="24"/>
        <v/>
      </c>
    </row>
    <row r="306" spans="1:7" x14ac:dyDescent="0.4">
      <c r="A306" t="str">
        <f t="shared" si="20"/>
        <v/>
      </c>
      <c r="B306" t="str">
        <f t="shared" si="21"/>
        <v/>
      </c>
      <c r="C306" t="str">
        <f t="shared" si="22"/>
        <v/>
      </c>
      <c r="D306" t="str">
        <f>IF(E306="","",IF(COUNTIF($E$2:E306,E306)&gt;1,"",SUMIFS(tbl_input[필요수량],tbl_input[집계키_지청],E306)))</f>
        <v/>
      </c>
      <c r="E306" t="str">
        <f>IFERROR(INDEX(tbl_input[집계키_지청],ROW()-1),"")</f>
        <v/>
      </c>
      <c r="F306" t="str">
        <f t="shared" si="23"/>
        <v/>
      </c>
      <c r="G306" t="str">
        <f t="shared" si="24"/>
        <v/>
      </c>
    </row>
    <row r="307" spans="1:7" x14ac:dyDescent="0.4">
      <c r="A307" t="str">
        <f t="shared" si="20"/>
        <v/>
      </c>
      <c r="B307" t="str">
        <f t="shared" si="21"/>
        <v/>
      </c>
      <c r="C307" t="str">
        <f t="shared" si="22"/>
        <v/>
      </c>
      <c r="D307" t="str">
        <f>IF(E307="","",IF(COUNTIF($E$2:E307,E307)&gt;1,"",SUMIFS(tbl_input[필요수량],tbl_input[집계키_지청],E307)))</f>
        <v/>
      </c>
      <c r="E307" t="str">
        <f>IFERROR(INDEX(tbl_input[집계키_지청],ROW()-1),"")</f>
        <v/>
      </c>
      <c r="F307" t="str">
        <f t="shared" si="23"/>
        <v/>
      </c>
      <c r="G307" t="str">
        <f t="shared" si="24"/>
        <v/>
      </c>
    </row>
    <row r="308" spans="1:7" x14ac:dyDescent="0.4">
      <c r="A308" t="str">
        <f t="shared" si="20"/>
        <v/>
      </c>
      <c r="B308" t="str">
        <f t="shared" si="21"/>
        <v/>
      </c>
      <c r="C308" t="str">
        <f t="shared" si="22"/>
        <v/>
      </c>
      <c r="D308" t="str">
        <f>IF(E308="","",IF(COUNTIF($E$2:E308,E308)&gt;1,"",SUMIFS(tbl_input[필요수량],tbl_input[집계키_지청],E308)))</f>
        <v/>
      </c>
      <c r="E308" t="str">
        <f>IFERROR(INDEX(tbl_input[집계키_지청],ROW()-1),"")</f>
        <v/>
      </c>
      <c r="F308" t="str">
        <f t="shared" si="23"/>
        <v/>
      </c>
      <c r="G308" t="str">
        <f t="shared" si="24"/>
        <v/>
      </c>
    </row>
    <row r="309" spans="1:7" x14ac:dyDescent="0.4">
      <c r="A309" t="str">
        <f t="shared" si="20"/>
        <v/>
      </c>
      <c r="B309" t="str">
        <f t="shared" si="21"/>
        <v/>
      </c>
      <c r="C309" t="str">
        <f t="shared" si="22"/>
        <v/>
      </c>
      <c r="D309" t="str">
        <f>IF(E309="","",IF(COUNTIF($E$2:E309,E309)&gt;1,"",SUMIFS(tbl_input[필요수량],tbl_input[집계키_지청],E309)))</f>
        <v/>
      </c>
      <c r="E309" t="str">
        <f>IFERROR(INDEX(tbl_input[집계키_지청],ROW()-1),"")</f>
        <v/>
      </c>
      <c r="F309" t="str">
        <f t="shared" si="23"/>
        <v/>
      </c>
      <c r="G309" t="str">
        <f t="shared" si="24"/>
        <v/>
      </c>
    </row>
    <row r="310" spans="1:7" x14ac:dyDescent="0.4">
      <c r="A310" t="str">
        <f t="shared" si="20"/>
        <v/>
      </c>
      <c r="B310" t="str">
        <f t="shared" si="21"/>
        <v/>
      </c>
      <c r="C310" t="str">
        <f t="shared" si="22"/>
        <v/>
      </c>
      <c r="D310" t="str">
        <f>IF(E310="","",IF(COUNTIF($E$2:E310,E310)&gt;1,"",SUMIFS(tbl_input[필요수량],tbl_input[집계키_지청],E310)))</f>
        <v/>
      </c>
      <c r="E310" t="str">
        <f>IFERROR(INDEX(tbl_input[집계키_지청],ROW()-1),"")</f>
        <v/>
      </c>
      <c r="F310" t="str">
        <f t="shared" si="23"/>
        <v/>
      </c>
      <c r="G310" t="str">
        <f t="shared" si="24"/>
        <v/>
      </c>
    </row>
    <row r="311" spans="1:7" x14ac:dyDescent="0.4">
      <c r="A311" t="str">
        <f t="shared" si="20"/>
        <v/>
      </c>
      <c r="B311" t="str">
        <f t="shared" si="21"/>
        <v/>
      </c>
      <c r="C311" t="str">
        <f t="shared" si="22"/>
        <v/>
      </c>
      <c r="D311" t="str">
        <f>IF(E311="","",IF(COUNTIF($E$2:E311,E311)&gt;1,"",SUMIFS(tbl_input[필요수량],tbl_input[집계키_지청],E311)))</f>
        <v/>
      </c>
      <c r="E311" t="str">
        <f>IFERROR(INDEX(tbl_input[집계키_지청],ROW()-1),"")</f>
        <v/>
      </c>
      <c r="F311" t="str">
        <f t="shared" si="23"/>
        <v/>
      </c>
      <c r="G311" t="str">
        <f t="shared" si="24"/>
        <v/>
      </c>
    </row>
    <row r="312" spans="1:7" x14ac:dyDescent="0.4">
      <c r="A312" t="str">
        <f t="shared" si="20"/>
        <v/>
      </c>
      <c r="B312" t="str">
        <f t="shared" si="21"/>
        <v/>
      </c>
      <c r="C312" t="str">
        <f t="shared" si="22"/>
        <v/>
      </c>
      <c r="D312" t="str">
        <f>IF(E312="","",IF(COUNTIF($E$2:E312,E312)&gt;1,"",SUMIFS(tbl_input[필요수량],tbl_input[집계키_지청],E312)))</f>
        <v/>
      </c>
      <c r="E312" t="str">
        <f>IFERROR(INDEX(tbl_input[집계키_지청],ROW()-1),"")</f>
        <v/>
      </c>
      <c r="F312" t="str">
        <f t="shared" si="23"/>
        <v/>
      </c>
      <c r="G312" t="str">
        <f t="shared" si="24"/>
        <v/>
      </c>
    </row>
    <row r="313" spans="1:7" x14ac:dyDescent="0.4">
      <c r="A313" t="str">
        <f t="shared" si="20"/>
        <v/>
      </c>
      <c r="B313" t="str">
        <f t="shared" si="21"/>
        <v/>
      </c>
      <c r="C313" t="str">
        <f t="shared" si="22"/>
        <v/>
      </c>
      <c r="D313" t="str">
        <f>IF(E313="","",IF(COUNTIF($E$2:E313,E313)&gt;1,"",SUMIFS(tbl_input[필요수량],tbl_input[집계키_지청],E313)))</f>
        <v/>
      </c>
      <c r="E313" t="str">
        <f>IFERROR(INDEX(tbl_input[집계키_지청],ROW()-1),"")</f>
        <v/>
      </c>
      <c r="F313" t="str">
        <f t="shared" si="23"/>
        <v/>
      </c>
      <c r="G313" t="str">
        <f t="shared" si="24"/>
        <v/>
      </c>
    </row>
    <row r="314" spans="1:7" x14ac:dyDescent="0.4">
      <c r="A314" t="str">
        <f t="shared" si="20"/>
        <v/>
      </c>
      <c r="B314" t="str">
        <f t="shared" si="21"/>
        <v/>
      </c>
      <c r="C314" t="str">
        <f t="shared" si="22"/>
        <v/>
      </c>
      <c r="D314" t="str">
        <f>IF(E314="","",IF(COUNTIF($E$2:E314,E314)&gt;1,"",SUMIFS(tbl_input[필요수량],tbl_input[집계키_지청],E314)))</f>
        <v/>
      </c>
      <c r="E314" t="str">
        <f>IFERROR(INDEX(tbl_input[집계키_지청],ROW()-1),"")</f>
        <v/>
      </c>
      <c r="F314" t="str">
        <f t="shared" si="23"/>
        <v/>
      </c>
      <c r="G314" t="str">
        <f t="shared" si="24"/>
        <v/>
      </c>
    </row>
    <row r="315" spans="1:7" x14ac:dyDescent="0.4">
      <c r="A315" t="str">
        <f t="shared" si="20"/>
        <v/>
      </c>
      <c r="B315" t="str">
        <f t="shared" si="21"/>
        <v/>
      </c>
      <c r="C315" t="str">
        <f t="shared" si="22"/>
        <v/>
      </c>
      <c r="D315" t="str">
        <f>IF(E315="","",IF(COUNTIF($E$2:E315,E315)&gt;1,"",SUMIFS(tbl_input[필요수량],tbl_input[집계키_지청],E315)))</f>
        <v/>
      </c>
      <c r="E315" t="str">
        <f>IFERROR(INDEX(tbl_input[집계키_지청],ROW()-1),"")</f>
        <v/>
      </c>
      <c r="F315" t="str">
        <f t="shared" si="23"/>
        <v/>
      </c>
      <c r="G315" t="str">
        <f t="shared" si="24"/>
        <v/>
      </c>
    </row>
    <row r="316" spans="1:7" x14ac:dyDescent="0.4">
      <c r="A316" t="str">
        <f t="shared" si="20"/>
        <v/>
      </c>
      <c r="B316" t="str">
        <f t="shared" si="21"/>
        <v/>
      </c>
      <c r="C316" t="str">
        <f t="shared" si="22"/>
        <v/>
      </c>
      <c r="D316" t="str">
        <f>IF(E316="","",IF(COUNTIF($E$2:E316,E316)&gt;1,"",SUMIFS(tbl_input[필요수량],tbl_input[집계키_지청],E316)))</f>
        <v/>
      </c>
      <c r="E316" t="str">
        <f>IFERROR(INDEX(tbl_input[집계키_지청],ROW()-1),"")</f>
        <v/>
      </c>
      <c r="F316" t="str">
        <f t="shared" si="23"/>
        <v/>
      </c>
      <c r="G316" t="str">
        <f t="shared" si="24"/>
        <v/>
      </c>
    </row>
    <row r="317" spans="1:7" x14ac:dyDescent="0.4">
      <c r="A317" t="str">
        <f t="shared" si="20"/>
        <v/>
      </c>
      <c r="B317" t="str">
        <f t="shared" si="21"/>
        <v/>
      </c>
      <c r="C317" t="str">
        <f t="shared" si="22"/>
        <v/>
      </c>
      <c r="D317" t="str">
        <f>IF(E317="","",IF(COUNTIF($E$2:E317,E317)&gt;1,"",SUMIFS(tbl_input[필요수량],tbl_input[집계키_지청],E317)))</f>
        <v/>
      </c>
      <c r="E317" t="str">
        <f>IFERROR(INDEX(tbl_input[집계키_지청],ROW()-1),"")</f>
        <v/>
      </c>
      <c r="F317" t="str">
        <f t="shared" si="23"/>
        <v/>
      </c>
      <c r="G317" t="str">
        <f t="shared" si="24"/>
        <v/>
      </c>
    </row>
    <row r="318" spans="1:7" x14ac:dyDescent="0.4">
      <c r="A318" t="str">
        <f t="shared" si="20"/>
        <v/>
      </c>
      <c r="B318" t="str">
        <f t="shared" si="21"/>
        <v/>
      </c>
      <c r="C318" t="str">
        <f t="shared" si="22"/>
        <v/>
      </c>
      <c r="D318" t="str">
        <f>IF(E318="","",IF(COUNTIF($E$2:E318,E318)&gt;1,"",SUMIFS(tbl_input[필요수량],tbl_input[집계키_지청],E318)))</f>
        <v/>
      </c>
      <c r="E318" t="str">
        <f>IFERROR(INDEX(tbl_input[집계키_지청],ROW()-1),"")</f>
        <v/>
      </c>
      <c r="F318" t="str">
        <f t="shared" si="23"/>
        <v/>
      </c>
      <c r="G318" t="str">
        <f t="shared" si="24"/>
        <v/>
      </c>
    </row>
    <row r="319" spans="1:7" x14ac:dyDescent="0.4">
      <c r="A319" t="str">
        <f t="shared" si="20"/>
        <v/>
      </c>
      <c r="B319" t="str">
        <f t="shared" si="21"/>
        <v/>
      </c>
      <c r="C319" t="str">
        <f t="shared" si="22"/>
        <v/>
      </c>
      <c r="D319" t="str">
        <f>IF(E319="","",IF(COUNTIF($E$2:E319,E319)&gt;1,"",SUMIFS(tbl_input[필요수량],tbl_input[집계키_지청],E319)))</f>
        <v/>
      </c>
      <c r="E319" t="str">
        <f>IFERROR(INDEX(tbl_input[집계키_지청],ROW()-1),"")</f>
        <v/>
      </c>
      <c r="F319" t="str">
        <f t="shared" si="23"/>
        <v/>
      </c>
      <c r="G319" t="str">
        <f t="shared" si="24"/>
        <v/>
      </c>
    </row>
    <row r="320" spans="1:7" x14ac:dyDescent="0.4">
      <c r="A320" t="str">
        <f t="shared" si="20"/>
        <v/>
      </c>
      <c r="B320" t="str">
        <f t="shared" si="21"/>
        <v/>
      </c>
      <c r="C320" t="str">
        <f t="shared" si="22"/>
        <v/>
      </c>
      <c r="D320" t="str">
        <f>IF(E320="","",IF(COUNTIF($E$2:E320,E320)&gt;1,"",SUMIFS(tbl_input[필요수량],tbl_input[집계키_지청],E320)))</f>
        <v/>
      </c>
      <c r="E320" t="str">
        <f>IFERROR(INDEX(tbl_input[집계키_지청],ROW()-1),"")</f>
        <v/>
      </c>
      <c r="F320" t="str">
        <f t="shared" si="23"/>
        <v/>
      </c>
      <c r="G320" t="str">
        <f t="shared" si="24"/>
        <v/>
      </c>
    </row>
    <row r="321" spans="1:7" x14ac:dyDescent="0.4">
      <c r="A321" t="str">
        <f t="shared" si="20"/>
        <v/>
      </c>
      <c r="B321" t="str">
        <f t="shared" si="21"/>
        <v/>
      </c>
      <c r="C321" t="str">
        <f t="shared" si="22"/>
        <v/>
      </c>
      <c r="D321" t="str">
        <f>IF(E321="","",IF(COUNTIF($E$2:E321,E321)&gt;1,"",SUMIFS(tbl_input[필요수량],tbl_input[집계키_지청],E321)))</f>
        <v/>
      </c>
      <c r="E321" t="str">
        <f>IFERROR(INDEX(tbl_input[집계키_지청],ROW()-1),"")</f>
        <v/>
      </c>
      <c r="F321" t="str">
        <f t="shared" si="23"/>
        <v/>
      </c>
      <c r="G321" t="str">
        <f t="shared" si="24"/>
        <v/>
      </c>
    </row>
    <row r="322" spans="1:7" x14ac:dyDescent="0.4">
      <c r="A322" t="str">
        <f t="shared" ref="A322:A385" si="25">IF(E322="","",LEFT(E322,F322-1))</f>
        <v/>
      </c>
      <c r="B322" t="str">
        <f t="shared" ref="B322:B385" si="26">IF(E322="","",MID(E322,F322+1,G322-F322-1))</f>
        <v/>
      </c>
      <c r="C322" t="str">
        <f t="shared" ref="C322:C385" si="27">IF(E322="","",MID(E322,G322+1,999))</f>
        <v/>
      </c>
      <c r="D322" t="str">
        <f>IF(E322="","",IF(COUNTIF($E$2:E322,E322)&gt;1,"",SUMIFS(tbl_input[필요수량],tbl_input[집계키_지청],E322)))</f>
        <v/>
      </c>
      <c r="E322" t="str">
        <f>IFERROR(INDEX(tbl_input[집계키_지청],ROW()-1),"")</f>
        <v/>
      </c>
      <c r="F322" t="str">
        <f t="shared" ref="F322:F385" si="28">IF(E322="","",FIND("♦",E322))</f>
        <v/>
      </c>
      <c r="G322" t="str">
        <f t="shared" ref="G322:G385" si="29">IF(E322="","",FIND("♦",E322,F322+1))</f>
        <v/>
      </c>
    </row>
    <row r="323" spans="1:7" x14ac:dyDescent="0.4">
      <c r="A323" t="str">
        <f t="shared" si="25"/>
        <v/>
      </c>
      <c r="B323" t="str">
        <f t="shared" si="26"/>
        <v/>
      </c>
      <c r="C323" t="str">
        <f t="shared" si="27"/>
        <v/>
      </c>
      <c r="D323" t="str">
        <f>IF(E323="","",IF(COUNTIF($E$2:E323,E323)&gt;1,"",SUMIFS(tbl_input[필요수량],tbl_input[집계키_지청],E323)))</f>
        <v/>
      </c>
      <c r="E323" t="str">
        <f>IFERROR(INDEX(tbl_input[집계키_지청],ROW()-1),"")</f>
        <v/>
      </c>
      <c r="F323" t="str">
        <f t="shared" si="28"/>
        <v/>
      </c>
      <c r="G323" t="str">
        <f t="shared" si="29"/>
        <v/>
      </c>
    </row>
    <row r="324" spans="1:7" x14ac:dyDescent="0.4">
      <c r="A324" t="str">
        <f t="shared" si="25"/>
        <v/>
      </c>
      <c r="B324" t="str">
        <f t="shared" si="26"/>
        <v/>
      </c>
      <c r="C324" t="str">
        <f t="shared" si="27"/>
        <v/>
      </c>
      <c r="D324" t="str">
        <f>IF(E324="","",IF(COUNTIF($E$2:E324,E324)&gt;1,"",SUMIFS(tbl_input[필요수량],tbl_input[집계키_지청],E324)))</f>
        <v/>
      </c>
      <c r="E324" t="str">
        <f>IFERROR(INDEX(tbl_input[집계키_지청],ROW()-1),"")</f>
        <v/>
      </c>
      <c r="F324" t="str">
        <f t="shared" si="28"/>
        <v/>
      </c>
      <c r="G324" t="str">
        <f t="shared" si="29"/>
        <v/>
      </c>
    </row>
    <row r="325" spans="1:7" x14ac:dyDescent="0.4">
      <c r="A325" t="str">
        <f t="shared" si="25"/>
        <v/>
      </c>
      <c r="B325" t="str">
        <f t="shared" si="26"/>
        <v/>
      </c>
      <c r="C325" t="str">
        <f t="shared" si="27"/>
        <v/>
      </c>
      <c r="D325" t="str">
        <f>IF(E325="","",IF(COUNTIF($E$2:E325,E325)&gt;1,"",SUMIFS(tbl_input[필요수량],tbl_input[집계키_지청],E325)))</f>
        <v/>
      </c>
      <c r="E325" t="str">
        <f>IFERROR(INDEX(tbl_input[집계키_지청],ROW()-1),"")</f>
        <v/>
      </c>
      <c r="F325" t="str">
        <f t="shared" si="28"/>
        <v/>
      </c>
      <c r="G325" t="str">
        <f t="shared" si="29"/>
        <v/>
      </c>
    </row>
    <row r="326" spans="1:7" x14ac:dyDescent="0.4">
      <c r="A326" t="str">
        <f t="shared" si="25"/>
        <v/>
      </c>
      <c r="B326" t="str">
        <f t="shared" si="26"/>
        <v/>
      </c>
      <c r="C326" t="str">
        <f t="shared" si="27"/>
        <v/>
      </c>
      <c r="D326" t="str">
        <f>IF(E326="","",IF(COUNTIF($E$2:E326,E326)&gt;1,"",SUMIFS(tbl_input[필요수량],tbl_input[집계키_지청],E326)))</f>
        <v/>
      </c>
      <c r="E326" t="str">
        <f>IFERROR(INDEX(tbl_input[집계키_지청],ROW()-1),"")</f>
        <v/>
      </c>
      <c r="F326" t="str">
        <f t="shared" si="28"/>
        <v/>
      </c>
      <c r="G326" t="str">
        <f t="shared" si="29"/>
        <v/>
      </c>
    </row>
    <row r="327" spans="1:7" x14ac:dyDescent="0.4">
      <c r="A327" t="str">
        <f t="shared" si="25"/>
        <v/>
      </c>
      <c r="B327" t="str">
        <f t="shared" si="26"/>
        <v/>
      </c>
      <c r="C327" t="str">
        <f t="shared" si="27"/>
        <v/>
      </c>
      <c r="D327" t="str">
        <f>IF(E327="","",IF(COUNTIF($E$2:E327,E327)&gt;1,"",SUMIFS(tbl_input[필요수량],tbl_input[집계키_지청],E327)))</f>
        <v/>
      </c>
      <c r="E327" t="str">
        <f>IFERROR(INDEX(tbl_input[집계키_지청],ROW()-1),"")</f>
        <v/>
      </c>
      <c r="F327" t="str">
        <f t="shared" si="28"/>
        <v/>
      </c>
      <c r="G327" t="str">
        <f t="shared" si="29"/>
        <v/>
      </c>
    </row>
    <row r="328" spans="1:7" x14ac:dyDescent="0.4">
      <c r="A328" t="str">
        <f t="shared" si="25"/>
        <v/>
      </c>
      <c r="B328" t="str">
        <f t="shared" si="26"/>
        <v/>
      </c>
      <c r="C328" t="str">
        <f t="shared" si="27"/>
        <v/>
      </c>
      <c r="D328" t="str">
        <f>IF(E328="","",IF(COUNTIF($E$2:E328,E328)&gt;1,"",SUMIFS(tbl_input[필요수량],tbl_input[집계키_지청],E328)))</f>
        <v/>
      </c>
      <c r="E328" t="str">
        <f>IFERROR(INDEX(tbl_input[집계키_지청],ROW()-1),"")</f>
        <v/>
      </c>
      <c r="F328" t="str">
        <f t="shared" si="28"/>
        <v/>
      </c>
      <c r="G328" t="str">
        <f t="shared" si="29"/>
        <v/>
      </c>
    </row>
    <row r="329" spans="1:7" x14ac:dyDescent="0.4">
      <c r="A329" t="str">
        <f t="shared" si="25"/>
        <v/>
      </c>
      <c r="B329" t="str">
        <f t="shared" si="26"/>
        <v/>
      </c>
      <c r="C329" t="str">
        <f t="shared" si="27"/>
        <v/>
      </c>
      <c r="D329" t="str">
        <f>IF(E329="","",IF(COUNTIF($E$2:E329,E329)&gt;1,"",SUMIFS(tbl_input[필요수량],tbl_input[집계키_지청],E329)))</f>
        <v/>
      </c>
      <c r="E329" t="str">
        <f>IFERROR(INDEX(tbl_input[집계키_지청],ROW()-1),"")</f>
        <v/>
      </c>
      <c r="F329" t="str">
        <f t="shared" si="28"/>
        <v/>
      </c>
      <c r="G329" t="str">
        <f t="shared" si="29"/>
        <v/>
      </c>
    </row>
    <row r="330" spans="1:7" x14ac:dyDescent="0.4">
      <c r="A330" t="str">
        <f t="shared" si="25"/>
        <v/>
      </c>
      <c r="B330" t="str">
        <f t="shared" si="26"/>
        <v/>
      </c>
      <c r="C330" t="str">
        <f t="shared" si="27"/>
        <v/>
      </c>
      <c r="D330" t="str">
        <f>IF(E330="","",IF(COUNTIF($E$2:E330,E330)&gt;1,"",SUMIFS(tbl_input[필요수량],tbl_input[집계키_지청],E330)))</f>
        <v/>
      </c>
      <c r="E330" t="str">
        <f>IFERROR(INDEX(tbl_input[집계키_지청],ROW()-1),"")</f>
        <v/>
      </c>
      <c r="F330" t="str">
        <f t="shared" si="28"/>
        <v/>
      </c>
      <c r="G330" t="str">
        <f t="shared" si="29"/>
        <v/>
      </c>
    </row>
    <row r="331" spans="1:7" x14ac:dyDescent="0.4">
      <c r="A331" t="str">
        <f t="shared" si="25"/>
        <v/>
      </c>
      <c r="B331" t="str">
        <f t="shared" si="26"/>
        <v/>
      </c>
      <c r="C331" t="str">
        <f t="shared" si="27"/>
        <v/>
      </c>
      <c r="D331" t="str">
        <f>IF(E331="","",IF(COUNTIF($E$2:E331,E331)&gt;1,"",SUMIFS(tbl_input[필요수량],tbl_input[집계키_지청],E331)))</f>
        <v/>
      </c>
      <c r="E331" t="str">
        <f>IFERROR(INDEX(tbl_input[집계키_지청],ROW()-1),"")</f>
        <v/>
      </c>
      <c r="F331" t="str">
        <f t="shared" si="28"/>
        <v/>
      </c>
      <c r="G331" t="str">
        <f t="shared" si="29"/>
        <v/>
      </c>
    </row>
    <row r="332" spans="1:7" x14ac:dyDescent="0.4">
      <c r="A332" t="str">
        <f t="shared" si="25"/>
        <v/>
      </c>
      <c r="B332" t="str">
        <f t="shared" si="26"/>
        <v/>
      </c>
      <c r="C332" t="str">
        <f t="shared" si="27"/>
        <v/>
      </c>
      <c r="D332" t="str">
        <f>IF(E332="","",IF(COUNTIF($E$2:E332,E332)&gt;1,"",SUMIFS(tbl_input[필요수량],tbl_input[집계키_지청],E332)))</f>
        <v/>
      </c>
      <c r="E332" t="str">
        <f>IFERROR(INDEX(tbl_input[집계키_지청],ROW()-1),"")</f>
        <v/>
      </c>
      <c r="F332" t="str">
        <f t="shared" si="28"/>
        <v/>
      </c>
      <c r="G332" t="str">
        <f t="shared" si="29"/>
        <v/>
      </c>
    </row>
    <row r="333" spans="1:7" x14ac:dyDescent="0.4">
      <c r="A333" t="str">
        <f t="shared" si="25"/>
        <v/>
      </c>
      <c r="B333" t="str">
        <f t="shared" si="26"/>
        <v/>
      </c>
      <c r="C333" t="str">
        <f t="shared" si="27"/>
        <v/>
      </c>
      <c r="D333" t="str">
        <f>IF(E333="","",IF(COUNTIF($E$2:E333,E333)&gt;1,"",SUMIFS(tbl_input[필요수량],tbl_input[집계키_지청],E333)))</f>
        <v/>
      </c>
      <c r="E333" t="str">
        <f>IFERROR(INDEX(tbl_input[집계키_지청],ROW()-1),"")</f>
        <v/>
      </c>
      <c r="F333" t="str">
        <f t="shared" si="28"/>
        <v/>
      </c>
      <c r="G333" t="str">
        <f t="shared" si="29"/>
        <v/>
      </c>
    </row>
    <row r="334" spans="1:7" x14ac:dyDescent="0.4">
      <c r="A334" t="str">
        <f t="shared" si="25"/>
        <v/>
      </c>
      <c r="B334" t="str">
        <f t="shared" si="26"/>
        <v/>
      </c>
      <c r="C334" t="str">
        <f t="shared" si="27"/>
        <v/>
      </c>
      <c r="D334" t="str">
        <f>IF(E334="","",IF(COUNTIF($E$2:E334,E334)&gt;1,"",SUMIFS(tbl_input[필요수량],tbl_input[집계키_지청],E334)))</f>
        <v/>
      </c>
      <c r="E334" t="str">
        <f>IFERROR(INDEX(tbl_input[집계키_지청],ROW()-1),"")</f>
        <v/>
      </c>
      <c r="F334" t="str">
        <f t="shared" si="28"/>
        <v/>
      </c>
      <c r="G334" t="str">
        <f t="shared" si="29"/>
        <v/>
      </c>
    </row>
    <row r="335" spans="1:7" x14ac:dyDescent="0.4">
      <c r="A335" t="str">
        <f t="shared" si="25"/>
        <v/>
      </c>
      <c r="B335" t="str">
        <f t="shared" si="26"/>
        <v/>
      </c>
      <c r="C335" t="str">
        <f t="shared" si="27"/>
        <v/>
      </c>
      <c r="D335" t="str">
        <f>IF(E335="","",IF(COUNTIF($E$2:E335,E335)&gt;1,"",SUMIFS(tbl_input[필요수량],tbl_input[집계키_지청],E335)))</f>
        <v/>
      </c>
      <c r="E335" t="str">
        <f>IFERROR(INDEX(tbl_input[집계키_지청],ROW()-1),"")</f>
        <v/>
      </c>
      <c r="F335" t="str">
        <f t="shared" si="28"/>
        <v/>
      </c>
      <c r="G335" t="str">
        <f t="shared" si="29"/>
        <v/>
      </c>
    </row>
    <row r="336" spans="1:7" x14ac:dyDescent="0.4">
      <c r="A336" t="str">
        <f t="shared" si="25"/>
        <v/>
      </c>
      <c r="B336" t="str">
        <f t="shared" si="26"/>
        <v/>
      </c>
      <c r="C336" t="str">
        <f t="shared" si="27"/>
        <v/>
      </c>
      <c r="D336" t="str">
        <f>IF(E336="","",IF(COUNTIF($E$2:E336,E336)&gt;1,"",SUMIFS(tbl_input[필요수량],tbl_input[집계키_지청],E336)))</f>
        <v/>
      </c>
      <c r="E336" t="str">
        <f>IFERROR(INDEX(tbl_input[집계키_지청],ROW()-1),"")</f>
        <v/>
      </c>
      <c r="F336" t="str">
        <f t="shared" si="28"/>
        <v/>
      </c>
      <c r="G336" t="str">
        <f t="shared" si="29"/>
        <v/>
      </c>
    </row>
    <row r="337" spans="1:7" x14ac:dyDescent="0.4">
      <c r="A337" t="str">
        <f t="shared" si="25"/>
        <v/>
      </c>
      <c r="B337" t="str">
        <f t="shared" si="26"/>
        <v/>
      </c>
      <c r="C337" t="str">
        <f t="shared" si="27"/>
        <v/>
      </c>
      <c r="D337" t="str">
        <f>IF(E337="","",IF(COUNTIF($E$2:E337,E337)&gt;1,"",SUMIFS(tbl_input[필요수량],tbl_input[집계키_지청],E337)))</f>
        <v/>
      </c>
      <c r="E337" t="str">
        <f>IFERROR(INDEX(tbl_input[집계키_지청],ROW()-1),"")</f>
        <v/>
      </c>
      <c r="F337" t="str">
        <f t="shared" si="28"/>
        <v/>
      </c>
      <c r="G337" t="str">
        <f t="shared" si="29"/>
        <v/>
      </c>
    </row>
    <row r="338" spans="1:7" x14ac:dyDescent="0.4">
      <c r="A338" t="str">
        <f t="shared" si="25"/>
        <v/>
      </c>
      <c r="B338" t="str">
        <f t="shared" si="26"/>
        <v/>
      </c>
      <c r="C338" t="str">
        <f t="shared" si="27"/>
        <v/>
      </c>
      <c r="D338" t="str">
        <f>IF(E338="","",IF(COUNTIF($E$2:E338,E338)&gt;1,"",SUMIFS(tbl_input[필요수량],tbl_input[집계키_지청],E338)))</f>
        <v/>
      </c>
      <c r="E338" t="str">
        <f>IFERROR(INDEX(tbl_input[집계키_지청],ROW()-1),"")</f>
        <v/>
      </c>
      <c r="F338" t="str">
        <f t="shared" si="28"/>
        <v/>
      </c>
      <c r="G338" t="str">
        <f t="shared" si="29"/>
        <v/>
      </c>
    </row>
    <row r="339" spans="1:7" x14ac:dyDescent="0.4">
      <c r="A339" t="str">
        <f t="shared" si="25"/>
        <v/>
      </c>
      <c r="B339" t="str">
        <f t="shared" si="26"/>
        <v/>
      </c>
      <c r="C339" t="str">
        <f t="shared" si="27"/>
        <v/>
      </c>
      <c r="D339" t="str">
        <f>IF(E339="","",IF(COUNTIF($E$2:E339,E339)&gt;1,"",SUMIFS(tbl_input[필요수량],tbl_input[집계키_지청],E339)))</f>
        <v/>
      </c>
      <c r="E339" t="str">
        <f>IFERROR(INDEX(tbl_input[집계키_지청],ROW()-1),"")</f>
        <v/>
      </c>
      <c r="F339" t="str">
        <f t="shared" si="28"/>
        <v/>
      </c>
      <c r="G339" t="str">
        <f t="shared" si="29"/>
        <v/>
      </c>
    </row>
    <row r="340" spans="1:7" x14ac:dyDescent="0.4">
      <c r="A340" t="str">
        <f t="shared" si="25"/>
        <v/>
      </c>
      <c r="B340" t="str">
        <f t="shared" si="26"/>
        <v/>
      </c>
      <c r="C340" t="str">
        <f t="shared" si="27"/>
        <v/>
      </c>
      <c r="D340" t="str">
        <f>IF(E340="","",IF(COUNTIF($E$2:E340,E340)&gt;1,"",SUMIFS(tbl_input[필요수량],tbl_input[집계키_지청],E340)))</f>
        <v/>
      </c>
      <c r="E340" t="str">
        <f>IFERROR(INDEX(tbl_input[집계키_지청],ROW()-1),"")</f>
        <v/>
      </c>
      <c r="F340" t="str">
        <f t="shared" si="28"/>
        <v/>
      </c>
      <c r="G340" t="str">
        <f t="shared" si="29"/>
        <v/>
      </c>
    </row>
    <row r="341" spans="1:7" x14ac:dyDescent="0.4">
      <c r="A341" t="str">
        <f t="shared" si="25"/>
        <v/>
      </c>
      <c r="B341" t="str">
        <f t="shared" si="26"/>
        <v/>
      </c>
      <c r="C341" t="str">
        <f t="shared" si="27"/>
        <v/>
      </c>
      <c r="D341" t="str">
        <f>IF(E341="","",IF(COUNTIF($E$2:E341,E341)&gt;1,"",SUMIFS(tbl_input[필요수량],tbl_input[집계키_지청],E341)))</f>
        <v/>
      </c>
      <c r="E341" t="str">
        <f>IFERROR(INDEX(tbl_input[집계키_지청],ROW()-1),"")</f>
        <v/>
      </c>
      <c r="F341" t="str">
        <f t="shared" si="28"/>
        <v/>
      </c>
      <c r="G341" t="str">
        <f t="shared" si="29"/>
        <v/>
      </c>
    </row>
    <row r="342" spans="1:7" x14ac:dyDescent="0.4">
      <c r="A342" t="str">
        <f t="shared" si="25"/>
        <v/>
      </c>
      <c r="B342" t="str">
        <f t="shared" si="26"/>
        <v/>
      </c>
      <c r="C342" t="str">
        <f t="shared" si="27"/>
        <v/>
      </c>
      <c r="D342" t="str">
        <f>IF(E342="","",IF(COUNTIF($E$2:E342,E342)&gt;1,"",SUMIFS(tbl_input[필요수량],tbl_input[집계키_지청],E342)))</f>
        <v/>
      </c>
      <c r="E342" t="str">
        <f>IFERROR(INDEX(tbl_input[집계키_지청],ROW()-1),"")</f>
        <v/>
      </c>
      <c r="F342" t="str">
        <f t="shared" si="28"/>
        <v/>
      </c>
      <c r="G342" t="str">
        <f t="shared" si="29"/>
        <v/>
      </c>
    </row>
    <row r="343" spans="1:7" x14ac:dyDescent="0.4">
      <c r="A343" t="str">
        <f t="shared" si="25"/>
        <v/>
      </c>
      <c r="B343" t="str">
        <f t="shared" si="26"/>
        <v/>
      </c>
      <c r="C343" t="str">
        <f t="shared" si="27"/>
        <v/>
      </c>
      <c r="D343" t="str">
        <f>IF(E343="","",IF(COUNTIF($E$2:E343,E343)&gt;1,"",SUMIFS(tbl_input[필요수량],tbl_input[집계키_지청],E343)))</f>
        <v/>
      </c>
      <c r="E343" t="str">
        <f>IFERROR(INDEX(tbl_input[집계키_지청],ROW()-1),"")</f>
        <v/>
      </c>
      <c r="F343" t="str">
        <f t="shared" si="28"/>
        <v/>
      </c>
      <c r="G343" t="str">
        <f t="shared" si="29"/>
        <v/>
      </c>
    </row>
    <row r="344" spans="1:7" x14ac:dyDescent="0.4">
      <c r="A344" t="str">
        <f t="shared" si="25"/>
        <v/>
      </c>
      <c r="B344" t="str">
        <f t="shared" si="26"/>
        <v/>
      </c>
      <c r="C344" t="str">
        <f t="shared" si="27"/>
        <v/>
      </c>
      <c r="D344" t="str">
        <f>IF(E344="","",IF(COUNTIF($E$2:E344,E344)&gt;1,"",SUMIFS(tbl_input[필요수량],tbl_input[집계키_지청],E344)))</f>
        <v/>
      </c>
      <c r="E344" t="str">
        <f>IFERROR(INDEX(tbl_input[집계키_지청],ROW()-1),"")</f>
        <v/>
      </c>
      <c r="F344" t="str">
        <f t="shared" si="28"/>
        <v/>
      </c>
      <c r="G344" t="str">
        <f t="shared" si="29"/>
        <v/>
      </c>
    </row>
    <row r="345" spans="1:7" x14ac:dyDescent="0.4">
      <c r="A345" t="str">
        <f t="shared" si="25"/>
        <v/>
      </c>
      <c r="B345" t="str">
        <f t="shared" si="26"/>
        <v/>
      </c>
      <c r="C345" t="str">
        <f t="shared" si="27"/>
        <v/>
      </c>
      <c r="D345" t="str">
        <f>IF(E345="","",IF(COUNTIF($E$2:E345,E345)&gt;1,"",SUMIFS(tbl_input[필요수량],tbl_input[집계키_지청],E345)))</f>
        <v/>
      </c>
      <c r="E345" t="str">
        <f>IFERROR(INDEX(tbl_input[집계키_지청],ROW()-1),"")</f>
        <v/>
      </c>
      <c r="F345" t="str">
        <f t="shared" si="28"/>
        <v/>
      </c>
      <c r="G345" t="str">
        <f t="shared" si="29"/>
        <v/>
      </c>
    </row>
    <row r="346" spans="1:7" x14ac:dyDescent="0.4">
      <c r="A346" t="str">
        <f t="shared" si="25"/>
        <v/>
      </c>
      <c r="B346" t="str">
        <f t="shared" si="26"/>
        <v/>
      </c>
      <c r="C346" t="str">
        <f t="shared" si="27"/>
        <v/>
      </c>
      <c r="D346" t="str">
        <f>IF(E346="","",IF(COUNTIF($E$2:E346,E346)&gt;1,"",SUMIFS(tbl_input[필요수량],tbl_input[집계키_지청],E346)))</f>
        <v/>
      </c>
      <c r="E346" t="str">
        <f>IFERROR(INDEX(tbl_input[집계키_지청],ROW()-1),"")</f>
        <v/>
      </c>
      <c r="F346" t="str">
        <f t="shared" si="28"/>
        <v/>
      </c>
      <c r="G346" t="str">
        <f t="shared" si="29"/>
        <v/>
      </c>
    </row>
    <row r="347" spans="1:7" x14ac:dyDescent="0.4">
      <c r="A347" t="str">
        <f t="shared" si="25"/>
        <v/>
      </c>
      <c r="B347" t="str">
        <f t="shared" si="26"/>
        <v/>
      </c>
      <c r="C347" t="str">
        <f t="shared" si="27"/>
        <v/>
      </c>
      <c r="D347" t="str">
        <f>IF(E347="","",IF(COUNTIF($E$2:E347,E347)&gt;1,"",SUMIFS(tbl_input[필요수량],tbl_input[집계키_지청],E347)))</f>
        <v/>
      </c>
      <c r="E347" t="str">
        <f>IFERROR(INDEX(tbl_input[집계키_지청],ROW()-1),"")</f>
        <v/>
      </c>
      <c r="F347" t="str">
        <f t="shared" si="28"/>
        <v/>
      </c>
      <c r="G347" t="str">
        <f t="shared" si="29"/>
        <v/>
      </c>
    </row>
    <row r="348" spans="1:7" x14ac:dyDescent="0.4">
      <c r="A348" t="str">
        <f t="shared" si="25"/>
        <v/>
      </c>
      <c r="B348" t="str">
        <f t="shared" si="26"/>
        <v/>
      </c>
      <c r="C348" t="str">
        <f t="shared" si="27"/>
        <v/>
      </c>
      <c r="D348" t="str">
        <f>IF(E348="","",IF(COUNTIF($E$2:E348,E348)&gt;1,"",SUMIFS(tbl_input[필요수량],tbl_input[집계키_지청],E348)))</f>
        <v/>
      </c>
      <c r="E348" t="str">
        <f>IFERROR(INDEX(tbl_input[집계키_지청],ROW()-1),"")</f>
        <v/>
      </c>
      <c r="F348" t="str">
        <f t="shared" si="28"/>
        <v/>
      </c>
      <c r="G348" t="str">
        <f t="shared" si="29"/>
        <v/>
      </c>
    </row>
    <row r="349" spans="1:7" x14ac:dyDescent="0.4">
      <c r="A349" t="str">
        <f t="shared" si="25"/>
        <v/>
      </c>
      <c r="B349" t="str">
        <f t="shared" si="26"/>
        <v/>
      </c>
      <c r="C349" t="str">
        <f t="shared" si="27"/>
        <v/>
      </c>
      <c r="D349" t="str">
        <f>IF(E349="","",IF(COUNTIF($E$2:E349,E349)&gt;1,"",SUMIFS(tbl_input[필요수량],tbl_input[집계키_지청],E349)))</f>
        <v/>
      </c>
      <c r="E349" t="str">
        <f>IFERROR(INDEX(tbl_input[집계키_지청],ROW()-1),"")</f>
        <v/>
      </c>
      <c r="F349" t="str">
        <f t="shared" si="28"/>
        <v/>
      </c>
      <c r="G349" t="str">
        <f t="shared" si="29"/>
        <v/>
      </c>
    </row>
    <row r="350" spans="1:7" x14ac:dyDescent="0.4">
      <c r="A350" t="str">
        <f t="shared" si="25"/>
        <v/>
      </c>
      <c r="B350" t="str">
        <f t="shared" si="26"/>
        <v/>
      </c>
      <c r="C350" t="str">
        <f t="shared" si="27"/>
        <v/>
      </c>
      <c r="D350" t="str">
        <f>IF(E350="","",IF(COUNTIF($E$2:E350,E350)&gt;1,"",SUMIFS(tbl_input[필요수량],tbl_input[집계키_지청],E350)))</f>
        <v/>
      </c>
      <c r="E350" t="str">
        <f>IFERROR(INDEX(tbl_input[집계키_지청],ROW()-1),"")</f>
        <v/>
      </c>
      <c r="F350" t="str">
        <f t="shared" si="28"/>
        <v/>
      </c>
      <c r="G350" t="str">
        <f t="shared" si="29"/>
        <v/>
      </c>
    </row>
    <row r="351" spans="1:7" x14ac:dyDescent="0.4">
      <c r="A351" t="str">
        <f t="shared" si="25"/>
        <v/>
      </c>
      <c r="B351" t="str">
        <f t="shared" si="26"/>
        <v/>
      </c>
      <c r="C351" t="str">
        <f t="shared" si="27"/>
        <v/>
      </c>
      <c r="D351" t="str">
        <f>IF(E351="","",IF(COUNTIF($E$2:E351,E351)&gt;1,"",SUMIFS(tbl_input[필요수량],tbl_input[집계키_지청],E351)))</f>
        <v/>
      </c>
      <c r="E351" t="str">
        <f>IFERROR(INDEX(tbl_input[집계키_지청],ROW()-1),"")</f>
        <v/>
      </c>
      <c r="F351" t="str">
        <f t="shared" si="28"/>
        <v/>
      </c>
      <c r="G351" t="str">
        <f t="shared" si="29"/>
        <v/>
      </c>
    </row>
    <row r="352" spans="1:7" x14ac:dyDescent="0.4">
      <c r="A352" t="str">
        <f t="shared" si="25"/>
        <v/>
      </c>
      <c r="B352" t="str">
        <f t="shared" si="26"/>
        <v/>
      </c>
      <c r="C352" t="str">
        <f t="shared" si="27"/>
        <v/>
      </c>
      <c r="D352" t="str">
        <f>IF(E352="","",IF(COUNTIF($E$2:E352,E352)&gt;1,"",SUMIFS(tbl_input[필요수량],tbl_input[집계키_지청],E352)))</f>
        <v/>
      </c>
      <c r="E352" t="str">
        <f>IFERROR(INDEX(tbl_input[집계키_지청],ROW()-1),"")</f>
        <v/>
      </c>
      <c r="F352" t="str">
        <f t="shared" si="28"/>
        <v/>
      </c>
      <c r="G352" t="str">
        <f t="shared" si="29"/>
        <v/>
      </c>
    </row>
    <row r="353" spans="1:7" x14ac:dyDescent="0.4">
      <c r="A353" t="str">
        <f t="shared" si="25"/>
        <v/>
      </c>
      <c r="B353" t="str">
        <f t="shared" si="26"/>
        <v/>
      </c>
      <c r="C353" t="str">
        <f t="shared" si="27"/>
        <v/>
      </c>
      <c r="D353" t="str">
        <f>IF(E353="","",IF(COUNTIF($E$2:E353,E353)&gt;1,"",SUMIFS(tbl_input[필요수량],tbl_input[집계키_지청],E353)))</f>
        <v/>
      </c>
      <c r="E353" t="str">
        <f>IFERROR(INDEX(tbl_input[집계키_지청],ROW()-1),"")</f>
        <v/>
      </c>
      <c r="F353" t="str">
        <f t="shared" si="28"/>
        <v/>
      </c>
      <c r="G353" t="str">
        <f t="shared" si="29"/>
        <v/>
      </c>
    </row>
    <row r="354" spans="1:7" x14ac:dyDescent="0.4">
      <c r="A354" t="str">
        <f t="shared" si="25"/>
        <v/>
      </c>
      <c r="B354" t="str">
        <f t="shared" si="26"/>
        <v/>
      </c>
      <c r="C354" t="str">
        <f t="shared" si="27"/>
        <v/>
      </c>
      <c r="D354" t="str">
        <f>IF(E354="","",IF(COUNTIF($E$2:E354,E354)&gt;1,"",SUMIFS(tbl_input[필요수량],tbl_input[집계키_지청],E354)))</f>
        <v/>
      </c>
      <c r="E354" t="str">
        <f>IFERROR(INDEX(tbl_input[집계키_지청],ROW()-1),"")</f>
        <v/>
      </c>
      <c r="F354" t="str">
        <f t="shared" si="28"/>
        <v/>
      </c>
      <c r="G354" t="str">
        <f t="shared" si="29"/>
        <v/>
      </c>
    </row>
    <row r="355" spans="1:7" x14ac:dyDescent="0.4">
      <c r="A355" t="str">
        <f t="shared" si="25"/>
        <v/>
      </c>
      <c r="B355" t="str">
        <f t="shared" si="26"/>
        <v/>
      </c>
      <c r="C355" t="str">
        <f t="shared" si="27"/>
        <v/>
      </c>
      <c r="D355" t="str">
        <f>IF(E355="","",IF(COUNTIF($E$2:E355,E355)&gt;1,"",SUMIFS(tbl_input[필요수량],tbl_input[집계키_지청],E355)))</f>
        <v/>
      </c>
      <c r="E355" t="str">
        <f>IFERROR(INDEX(tbl_input[집계키_지청],ROW()-1),"")</f>
        <v/>
      </c>
      <c r="F355" t="str">
        <f t="shared" si="28"/>
        <v/>
      </c>
      <c r="G355" t="str">
        <f t="shared" si="29"/>
        <v/>
      </c>
    </row>
    <row r="356" spans="1:7" x14ac:dyDescent="0.4">
      <c r="A356" t="str">
        <f t="shared" si="25"/>
        <v/>
      </c>
      <c r="B356" t="str">
        <f t="shared" si="26"/>
        <v/>
      </c>
      <c r="C356" t="str">
        <f t="shared" si="27"/>
        <v/>
      </c>
      <c r="D356" t="str">
        <f>IF(E356="","",IF(COUNTIF($E$2:E356,E356)&gt;1,"",SUMIFS(tbl_input[필요수량],tbl_input[집계키_지청],E356)))</f>
        <v/>
      </c>
      <c r="E356" t="str">
        <f>IFERROR(INDEX(tbl_input[집계키_지청],ROW()-1),"")</f>
        <v/>
      </c>
      <c r="F356" t="str">
        <f t="shared" si="28"/>
        <v/>
      </c>
      <c r="G356" t="str">
        <f t="shared" si="29"/>
        <v/>
      </c>
    </row>
    <row r="357" spans="1:7" x14ac:dyDescent="0.4">
      <c r="A357" t="str">
        <f t="shared" si="25"/>
        <v/>
      </c>
      <c r="B357" t="str">
        <f t="shared" si="26"/>
        <v/>
      </c>
      <c r="C357" t="str">
        <f t="shared" si="27"/>
        <v/>
      </c>
      <c r="D357" t="str">
        <f>IF(E357="","",IF(COUNTIF($E$2:E357,E357)&gt;1,"",SUMIFS(tbl_input[필요수량],tbl_input[집계키_지청],E357)))</f>
        <v/>
      </c>
      <c r="E357" t="str">
        <f>IFERROR(INDEX(tbl_input[집계키_지청],ROW()-1),"")</f>
        <v/>
      </c>
      <c r="F357" t="str">
        <f t="shared" si="28"/>
        <v/>
      </c>
      <c r="G357" t="str">
        <f t="shared" si="29"/>
        <v/>
      </c>
    </row>
    <row r="358" spans="1:7" x14ac:dyDescent="0.4">
      <c r="A358" t="str">
        <f t="shared" si="25"/>
        <v/>
      </c>
      <c r="B358" t="str">
        <f t="shared" si="26"/>
        <v/>
      </c>
      <c r="C358" t="str">
        <f t="shared" si="27"/>
        <v/>
      </c>
      <c r="D358" t="str">
        <f>IF(E358="","",IF(COUNTIF($E$2:E358,E358)&gt;1,"",SUMIFS(tbl_input[필요수량],tbl_input[집계키_지청],E358)))</f>
        <v/>
      </c>
      <c r="E358" t="str">
        <f>IFERROR(INDEX(tbl_input[집계키_지청],ROW()-1),"")</f>
        <v/>
      </c>
      <c r="F358" t="str">
        <f t="shared" si="28"/>
        <v/>
      </c>
      <c r="G358" t="str">
        <f t="shared" si="29"/>
        <v/>
      </c>
    </row>
    <row r="359" spans="1:7" x14ac:dyDescent="0.4">
      <c r="A359" t="str">
        <f t="shared" si="25"/>
        <v/>
      </c>
      <c r="B359" t="str">
        <f t="shared" si="26"/>
        <v/>
      </c>
      <c r="C359" t="str">
        <f t="shared" si="27"/>
        <v/>
      </c>
      <c r="D359" t="str">
        <f>IF(E359="","",IF(COUNTIF($E$2:E359,E359)&gt;1,"",SUMIFS(tbl_input[필요수량],tbl_input[집계키_지청],E359)))</f>
        <v/>
      </c>
      <c r="E359" t="str">
        <f>IFERROR(INDEX(tbl_input[집계키_지청],ROW()-1),"")</f>
        <v/>
      </c>
      <c r="F359" t="str">
        <f t="shared" si="28"/>
        <v/>
      </c>
      <c r="G359" t="str">
        <f t="shared" si="29"/>
        <v/>
      </c>
    </row>
    <row r="360" spans="1:7" x14ac:dyDescent="0.4">
      <c r="A360" t="str">
        <f t="shared" si="25"/>
        <v/>
      </c>
      <c r="B360" t="str">
        <f t="shared" si="26"/>
        <v/>
      </c>
      <c r="C360" t="str">
        <f t="shared" si="27"/>
        <v/>
      </c>
      <c r="D360" t="str">
        <f>IF(E360="","",IF(COUNTIF($E$2:E360,E360)&gt;1,"",SUMIFS(tbl_input[필요수량],tbl_input[집계키_지청],E360)))</f>
        <v/>
      </c>
      <c r="E360" t="str">
        <f>IFERROR(INDEX(tbl_input[집계키_지청],ROW()-1),"")</f>
        <v/>
      </c>
      <c r="F360" t="str">
        <f t="shared" si="28"/>
        <v/>
      </c>
      <c r="G360" t="str">
        <f t="shared" si="29"/>
        <v/>
      </c>
    </row>
    <row r="361" spans="1:7" x14ac:dyDescent="0.4">
      <c r="A361" t="str">
        <f t="shared" si="25"/>
        <v/>
      </c>
      <c r="B361" t="str">
        <f t="shared" si="26"/>
        <v/>
      </c>
      <c r="C361" t="str">
        <f t="shared" si="27"/>
        <v/>
      </c>
      <c r="D361" t="str">
        <f>IF(E361="","",IF(COUNTIF($E$2:E361,E361)&gt;1,"",SUMIFS(tbl_input[필요수량],tbl_input[집계키_지청],E361)))</f>
        <v/>
      </c>
      <c r="E361" t="str">
        <f>IFERROR(INDEX(tbl_input[집계키_지청],ROW()-1),"")</f>
        <v/>
      </c>
      <c r="F361" t="str">
        <f t="shared" si="28"/>
        <v/>
      </c>
      <c r="G361" t="str">
        <f t="shared" si="29"/>
        <v/>
      </c>
    </row>
    <row r="362" spans="1:7" x14ac:dyDescent="0.4">
      <c r="A362" t="str">
        <f t="shared" si="25"/>
        <v/>
      </c>
      <c r="B362" t="str">
        <f t="shared" si="26"/>
        <v/>
      </c>
      <c r="C362" t="str">
        <f t="shared" si="27"/>
        <v/>
      </c>
      <c r="D362" t="str">
        <f>IF(E362="","",IF(COUNTIF($E$2:E362,E362)&gt;1,"",SUMIFS(tbl_input[필요수량],tbl_input[집계키_지청],E362)))</f>
        <v/>
      </c>
      <c r="E362" t="str">
        <f>IFERROR(INDEX(tbl_input[집계키_지청],ROW()-1),"")</f>
        <v/>
      </c>
      <c r="F362" t="str">
        <f t="shared" si="28"/>
        <v/>
      </c>
      <c r="G362" t="str">
        <f t="shared" si="29"/>
        <v/>
      </c>
    </row>
    <row r="363" spans="1:7" x14ac:dyDescent="0.4">
      <c r="A363" t="str">
        <f t="shared" si="25"/>
        <v/>
      </c>
      <c r="B363" t="str">
        <f t="shared" si="26"/>
        <v/>
      </c>
      <c r="C363" t="str">
        <f t="shared" si="27"/>
        <v/>
      </c>
      <c r="D363" t="str">
        <f>IF(E363="","",IF(COUNTIF($E$2:E363,E363)&gt;1,"",SUMIFS(tbl_input[필요수량],tbl_input[집계키_지청],E363)))</f>
        <v/>
      </c>
      <c r="E363" t="str">
        <f>IFERROR(INDEX(tbl_input[집계키_지청],ROW()-1),"")</f>
        <v/>
      </c>
      <c r="F363" t="str">
        <f t="shared" si="28"/>
        <v/>
      </c>
      <c r="G363" t="str">
        <f t="shared" si="29"/>
        <v/>
      </c>
    </row>
    <row r="364" spans="1:7" x14ac:dyDescent="0.4">
      <c r="A364" t="str">
        <f t="shared" si="25"/>
        <v/>
      </c>
      <c r="B364" t="str">
        <f t="shared" si="26"/>
        <v/>
      </c>
      <c r="C364" t="str">
        <f t="shared" si="27"/>
        <v/>
      </c>
      <c r="D364" t="str">
        <f>IF(E364="","",IF(COUNTIF($E$2:E364,E364)&gt;1,"",SUMIFS(tbl_input[필요수량],tbl_input[집계키_지청],E364)))</f>
        <v/>
      </c>
      <c r="E364" t="str">
        <f>IFERROR(INDEX(tbl_input[집계키_지청],ROW()-1),"")</f>
        <v/>
      </c>
      <c r="F364" t="str">
        <f t="shared" si="28"/>
        <v/>
      </c>
      <c r="G364" t="str">
        <f t="shared" si="29"/>
        <v/>
      </c>
    </row>
    <row r="365" spans="1:7" x14ac:dyDescent="0.4">
      <c r="A365" t="str">
        <f t="shared" si="25"/>
        <v/>
      </c>
      <c r="B365" t="str">
        <f t="shared" si="26"/>
        <v/>
      </c>
      <c r="C365" t="str">
        <f t="shared" si="27"/>
        <v/>
      </c>
      <c r="D365" t="str">
        <f>IF(E365="","",IF(COUNTIF($E$2:E365,E365)&gt;1,"",SUMIFS(tbl_input[필요수량],tbl_input[집계키_지청],E365)))</f>
        <v/>
      </c>
      <c r="E365" t="str">
        <f>IFERROR(INDEX(tbl_input[집계키_지청],ROW()-1),"")</f>
        <v/>
      </c>
      <c r="F365" t="str">
        <f t="shared" si="28"/>
        <v/>
      </c>
      <c r="G365" t="str">
        <f t="shared" si="29"/>
        <v/>
      </c>
    </row>
    <row r="366" spans="1:7" x14ac:dyDescent="0.4">
      <c r="A366" t="str">
        <f t="shared" si="25"/>
        <v/>
      </c>
      <c r="B366" t="str">
        <f t="shared" si="26"/>
        <v/>
      </c>
      <c r="C366" t="str">
        <f t="shared" si="27"/>
        <v/>
      </c>
      <c r="D366" t="str">
        <f>IF(E366="","",IF(COUNTIF($E$2:E366,E366)&gt;1,"",SUMIFS(tbl_input[필요수량],tbl_input[집계키_지청],E366)))</f>
        <v/>
      </c>
      <c r="E366" t="str">
        <f>IFERROR(INDEX(tbl_input[집계키_지청],ROW()-1),"")</f>
        <v/>
      </c>
      <c r="F366" t="str">
        <f t="shared" si="28"/>
        <v/>
      </c>
      <c r="G366" t="str">
        <f t="shared" si="29"/>
        <v/>
      </c>
    </row>
    <row r="367" spans="1:7" x14ac:dyDescent="0.4">
      <c r="A367" t="str">
        <f t="shared" si="25"/>
        <v/>
      </c>
      <c r="B367" t="str">
        <f t="shared" si="26"/>
        <v/>
      </c>
      <c r="C367" t="str">
        <f t="shared" si="27"/>
        <v/>
      </c>
      <c r="D367" t="str">
        <f>IF(E367="","",IF(COUNTIF($E$2:E367,E367)&gt;1,"",SUMIFS(tbl_input[필요수량],tbl_input[집계키_지청],E367)))</f>
        <v/>
      </c>
      <c r="E367" t="str">
        <f>IFERROR(INDEX(tbl_input[집계키_지청],ROW()-1),"")</f>
        <v/>
      </c>
      <c r="F367" t="str">
        <f t="shared" si="28"/>
        <v/>
      </c>
      <c r="G367" t="str">
        <f t="shared" si="29"/>
        <v/>
      </c>
    </row>
    <row r="368" spans="1:7" x14ac:dyDescent="0.4">
      <c r="A368" t="str">
        <f t="shared" si="25"/>
        <v/>
      </c>
      <c r="B368" t="str">
        <f t="shared" si="26"/>
        <v/>
      </c>
      <c r="C368" t="str">
        <f t="shared" si="27"/>
        <v/>
      </c>
      <c r="D368" t="str">
        <f>IF(E368="","",IF(COUNTIF($E$2:E368,E368)&gt;1,"",SUMIFS(tbl_input[필요수량],tbl_input[집계키_지청],E368)))</f>
        <v/>
      </c>
      <c r="E368" t="str">
        <f>IFERROR(INDEX(tbl_input[집계키_지청],ROW()-1),"")</f>
        <v/>
      </c>
      <c r="F368" t="str">
        <f t="shared" si="28"/>
        <v/>
      </c>
      <c r="G368" t="str">
        <f t="shared" si="29"/>
        <v/>
      </c>
    </row>
    <row r="369" spans="1:7" x14ac:dyDescent="0.4">
      <c r="A369" t="str">
        <f t="shared" si="25"/>
        <v/>
      </c>
      <c r="B369" t="str">
        <f t="shared" si="26"/>
        <v/>
      </c>
      <c r="C369" t="str">
        <f t="shared" si="27"/>
        <v/>
      </c>
      <c r="D369" t="str">
        <f>IF(E369="","",IF(COUNTIF($E$2:E369,E369)&gt;1,"",SUMIFS(tbl_input[필요수량],tbl_input[집계키_지청],E369)))</f>
        <v/>
      </c>
      <c r="E369" t="str">
        <f>IFERROR(INDEX(tbl_input[집계키_지청],ROW()-1),"")</f>
        <v/>
      </c>
      <c r="F369" t="str">
        <f t="shared" si="28"/>
        <v/>
      </c>
      <c r="G369" t="str">
        <f t="shared" si="29"/>
        <v/>
      </c>
    </row>
    <row r="370" spans="1:7" x14ac:dyDescent="0.4">
      <c r="A370" t="str">
        <f t="shared" si="25"/>
        <v/>
      </c>
      <c r="B370" t="str">
        <f t="shared" si="26"/>
        <v/>
      </c>
      <c r="C370" t="str">
        <f t="shared" si="27"/>
        <v/>
      </c>
      <c r="D370" t="str">
        <f>IF(E370="","",IF(COUNTIF($E$2:E370,E370)&gt;1,"",SUMIFS(tbl_input[필요수량],tbl_input[집계키_지청],E370)))</f>
        <v/>
      </c>
      <c r="E370" t="str">
        <f>IFERROR(INDEX(tbl_input[집계키_지청],ROW()-1),"")</f>
        <v/>
      </c>
      <c r="F370" t="str">
        <f t="shared" si="28"/>
        <v/>
      </c>
      <c r="G370" t="str">
        <f t="shared" si="29"/>
        <v/>
      </c>
    </row>
    <row r="371" spans="1:7" x14ac:dyDescent="0.4">
      <c r="A371" t="str">
        <f t="shared" si="25"/>
        <v/>
      </c>
      <c r="B371" t="str">
        <f t="shared" si="26"/>
        <v/>
      </c>
      <c r="C371" t="str">
        <f t="shared" si="27"/>
        <v/>
      </c>
      <c r="D371" t="str">
        <f>IF(E371="","",IF(COUNTIF($E$2:E371,E371)&gt;1,"",SUMIFS(tbl_input[필요수량],tbl_input[집계키_지청],E371)))</f>
        <v/>
      </c>
      <c r="E371" t="str">
        <f>IFERROR(INDEX(tbl_input[집계키_지청],ROW()-1),"")</f>
        <v/>
      </c>
      <c r="F371" t="str">
        <f t="shared" si="28"/>
        <v/>
      </c>
      <c r="G371" t="str">
        <f t="shared" si="29"/>
        <v/>
      </c>
    </row>
    <row r="372" spans="1:7" x14ac:dyDescent="0.4">
      <c r="A372" t="str">
        <f t="shared" si="25"/>
        <v/>
      </c>
      <c r="B372" t="str">
        <f t="shared" si="26"/>
        <v/>
      </c>
      <c r="C372" t="str">
        <f t="shared" si="27"/>
        <v/>
      </c>
      <c r="D372" t="str">
        <f>IF(E372="","",IF(COUNTIF($E$2:E372,E372)&gt;1,"",SUMIFS(tbl_input[필요수량],tbl_input[집계키_지청],E372)))</f>
        <v/>
      </c>
      <c r="E372" t="str">
        <f>IFERROR(INDEX(tbl_input[집계키_지청],ROW()-1),"")</f>
        <v/>
      </c>
      <c r="F372" t="str">
        <f t="shared" si="28"/>
        <v/>
      </c>
      <c r="G372" t="str">
        <f t="shared" si="29"/>
        <v/>
      </c>
    </row>
    <row r="373" spans="1:7" x14ac:dyDescent="0.4">
      <c r="A373" t="str">
        <f t="shared" si="25"/>
        <v/>
      </c>
      <c r="B373" t="str">
        <f t="shared" si="26"/>
        <v/>
      </c>
      <c r="C373" t="str">
        <f t="shared" si="27"/>
        <v/>
      </c>
      <c r="D373" t="str">
        <f>IF(E373="","",IF(COUNTIF($E$2:E373,E373)&gt;1,"",SUMIFS(tbl_input[필요수량],tbl_input[집계키_지청],E373)))</f>
        <v/>
      </c>
      <c r="E373" t="str">
        <f>IFERROR(INDEX(tbl_input[집계키_지청],ROW()-1),"")</f>
        <v/>
      </c>
      <c r="F373" t="str">
        <f t="shared" si="28"/>
        <v/>
      </c>
      <c r="G373" t="str">
        <f t="shared" si="29"/>
        <v/>
      </c>
    </row>
    <row r="374" spans="1:7" x14ac:dyDescent="0.4">
      <c r="A374" t="str">
        <f t="shared" si="25"/>
        <v/>
      </c>
      <c r="B374" t="str">
        <f t="shared" si="26"/>
        <v/>
      </c>
      <c r="C374" t="str">
        <f t="shared" si="27"/>
        <v/>
      </c>
      <c r="D374" t="str">
        <f>IF(E374="","",IF(COUNTIF($E$2:E374,E374)&gt;1,"",SUMIFS(tbl_input[필요수량],tbl_input[집계키_지청],E374)))</f>
        <v/>
      </c>
      <c r="E374" t="str">
        <f>IFERROR(INDEX(tbl_input[집계키_지청],ROW()-1),"")</f>
        <v/>
      </c>
      <c r="F374" t="str">
        <f t="shared" si="28"/>
        <v/>
      </c>
      <c r="G374" t="str">
        <f t="shared" si="29"/>
        <v/>
      </c>
    </row>
    <row r="375" spans="1:7" x14ac:dyDescent="0.4">
      <c r="A375" t="str">
        <f t="shared" si="25"/>
        <v/>
      </c>
      <c r="B375" t="str">
        <f t="shared" si="26"/>
        <v/>
      </c>
      <c r="C375" t="str">
        <f t="shared" si="27"/>
        <v/>
      </c>
      <c r="D375" t="str">
        <f>IF(E375="","",IF(COUNTIF($E$2:E375,E375)&gt;1,"",SUMIFS(tbl_input[필요수량],tbl_input[집계키_지청],E375)))</f>
        <v/>
      </c>
      <c r="E375" t="str">
        <f>IFERROR(INDEX(tbl_input[집계키_지청],ROW()-1),"")</f>
        <v/>
      </c>
      <c r="F375" t="str">
        <f t="shared" si="28"/>
        <v/>
      </c>
      <c r="G375" t="str">
        <f t="shared" si="29"/>
        <v/>
      </c>
    </row>
    <row r="376" spans="1:7" x14ac:dyDescent="0.4">
      <c r="A376" t="str">
        <f t="shared" si="25"/>
        <v/>
      </c>
      <c r="B376" t="str">
        <f t="shared" si="26"/>
        <v/>
      </c>
      <c r="C376" t="str">
        <f t="shared" si="27"/>
        <v/>
      </c>
      <c r="D376" t="str">
        <f>IF(E376="","",IF(COUNTIF($E$2:E376,E376)&gt;1,"",SUMIFS(tbl_input[필요수량],tbl_input[집계키_지청],E376)))</f>
        <v/>
      </c>
      <c r="E376" t="str">
        <f>IFERROR(INDEX(tbl_input[집계키_지청],ROW()-1),"")</f>
        <v/>
      </c>
      <c r="F376" t="str">
        <f t="shared" si="28"/>
        <v/>
      </c>
      <c r="G376" t="str">
        <f t="shared" si="29"/>
        <v/>
      </c>
    </row>
    <row r="377" spans="1:7" x14ac:dyDescent="0.4">
      <c r="A377" t="str">
        <f t="shared" si="25"/>
        <v/>
      </c>
      <c r="B377" t="str">
        <f t="shared" si="26"/>
        <v/>
      </c>
      <c r="C377" t="str">
        <f t="shared" si="27"/>
        <v/>
      </c>
      <c r="D377" t="str">
        <f>IF(E377="","",IF(COUNTIF($E$2:E377,E377)&gt;1,"",SUMIFS(tbl_input[필요수량],tbl_input[집계키_지청],E377)))</f>
        <v/>
      </c>
      <c r="E377" t="str">
        <f>IFERROR(INDEX(tbl_input[집계키_지청],ROW()-1),"")</f>
        <v/>
      </c>
      <c r="F377" t="str">
        <f t="shared" si="28"/>
        <v/>
      </c>
      <c r="G377" t="str">
        <f t="shared" si="29"/>
        <v/>
      </c>
    </row>
    <row r="378" spans="1:7" x14ac:dyDescent="0.4">
      <c r="A378" t="str">
        <f t="shared" si="25"/>
        <v/>
      </c>
      <c r="B378" t="str">
        <f t="shared" si="26"/>
        <v/>
      </c>
      <c r="C378" t="str">
        <f t="shared" si="27"/>
        <v/>
      </c>
      <c r="D378" t="str">
        <f>IF(E378="","",IF(COUNTIF($E$2:E378,E378)&gt;1,"",SUMIFS(tbl_input[필요수량],tbl_input[집계키_지청],E378)))</f>
        <v/>
      </c>
      <c r="E378" t="str">
        <f>IFERROR(INDEX(tbl_input[집계키_지청],ROW()-1),"")</f>
        <v/>
      </c>
      <c r="F378" t="str">
        <f t="shared" si="28"/>
        <v/>
      </c>
      <c r="G378" t="str">
        <f t="shared" si="29"/>
        <v/>
      </c>
    </row>
    <row r="379" spans="1:7" x14ac:dyDescent="0.4">
      <c r="A379" t="str">
        <f t="shared" si="25"/>
        <v/>
      </c>
      <c r="B379" t="str">
        <f t="shared" si="26"/>
        <v/>
      </c>
      <c r="C379" t="str">
        <f t="shared" si="27"/>
        <v/>
      </c>
      <c r="D379" t="str">
        <f>IF(E379="","",IF(COUNTIF($E$2:E379,E379)&gt;1,"",SUMIFS(tbl_input[필요수량],tbl_input[집계키_지청],E379)))</f>
        <v/>
      </c>
      <c r="E379" t="str">
        <f>IFERROR(INDEX(tbl_input[집계키_지청],ROW()-1),"")</f>
        <v/>
      </c>
      <c r="F379" t="str">
        <f t="shared" si="28"/>
        <v/>
      </c>
      <c r="G379" t="str">
        <f t="shared" si="29"/>
        <v/>
      </c>
    </row>
    <row r="380" spans="1:7" x14ac:dyDescent="0.4">
      <c r="A380" t="str">
        <f t="shared" si="25"/>
        <v/>
      </c>
      <c r="B380" t="str">
        <f t="shared" si="26"/>
        <v/>
      </c>
      <c r="C380" t="str">
        <f t="shared" si="27"/>
        <v/>
      </c>
      <c r="D380" t="str">
        <f>IF(E380="","",IF(COUNTIF($E$2:E380,E380)&gt;1,"",SUMIFS(tbl_input[필요수량],tbl_input[집계키_지청],E380)))</f>
        <v/>
      </c>
      <c r="E380" t="str">
        <f>IFERROR(INDEX(tbl_input[집계키_지청],ROW()-1),"")</f>
        <v/>
      </c>
      <c r="F380" t="str">
        <f t="shared" si="28"/>
        <v/>
      </c>
      <c r="G380" t="str">
        <f t="shared" si="29"/>
        <v/>
      </c>
    </row>
    <row r="381" spans="1:7" x14ac:dyDescent="0.4">
      <c r="A381" t="str">
        <f t="shared" si="25"/>
        <v/>
      </c>
      <c r="B381" t="str">
        <f t="shared" si="26"/>
        <v/>
      </c>
      <c r="C381" t="str">
        <f t="shared" si="27"/>
        <v/>
      </c>
      <c r="D381" t="str">
        <f>IF(E381="","",IF(COUNTIF($E$2:E381,E381)&gt;1,"",SUMIFS(tbl_input[필요수량],tbl_input[집계키_지청],E381)))</f>
        <v/>
      </c>
      <c r="E381" t="str">
        <f>IFERROR(INDEX(tbl_input[집계키_지청],ROW()-1),"")</f>
        <v/>
      </c>
      <c r="F381" t="str">
        <f t="shared" si="28"/>
        <v/>
      </c>
      <c r="G381" t="str">
        <f t="shared" si="29"/>
        <v/>
      </c>
    </row>
    <row r="382" spans="1:7" x14ac:dyDescent="0.4">
      <c r="A382" t="str">
        <f t="shared" si="25"/>
        <v/>
      </c>
      <c r="B382" t="str">
        <f t="shared" si="26"/>
        <v/>
      </c>
      <c r="C382" t="str">
        <f t="shared" si="27"/>
        <v/>
      </c>
      <c r="D382" t="str">
        <f>IF(E382="","",IF(COUNTIF($E$2:E382,E382)&gt;1,"",SUMIFS(tbl_input[필요수량],tbl_input[집계키_지청],E382)))</f>
        <v/>
      </c>
      <c r="E382" t="str">
        <f>IFERROR(INDEX(tbl_input[집계키_지청],ROW()-1),"")</f>
        <v/>
      </c>
      <c r="F382" t="str">
        <f t="shared" si="28"/>
        <v/>
      </c>
      <c r="G382" t="str">
        <f t="shared" si="29"/>
        <v/>
      </c>
    </row>
    <row r="383" spans="1:7" x14ac:dyDescent="0.4">
      <c r="A383" t="str">
        <f t="shared" si="25"/>
        <v/>
      </c>
      <c r="B383" t="str">
        <f t="shared" si="26"/>
        <v/>
      </c>
      <c r="C383" t="str">
        <f t="shared" si="27"/>
        <v/>
      </c>
      <c r="D383" t="str">
        <f>IF(E383="","",IF(COUNTIF($E$2:E383,E383)&gt;1,"",SUMIFS(tbl_input[필요수량],tbl_input[집계키_지청],E383)))</f>
        <v/>
      </c>
      <c r="E383" t="str">
        <f>IFERROR(INDEX(tbl_input[집계키_지청],ROW()-1),"")</f>
        <v/>
      </c>
      <c r="F383" t="str">
        <f t="shared" si="28"/>
        <v/>
      </c>
      <c r="G383" t="str">
        <f t="shared" si="29"/>
        <v/>
      </c>
    </row>
    <row r="384" spans="1:7" x14ac:dyDescent="0.4">
      <c r="A384" t="str">
        <f t="shared" si="25"/>
        <v/>
      </c>
      <c r="B384" t="str">
        <f t="shared" si="26"/>
        <v/>
      </c>
      <c r="C384" t="str">
        <f t="shared" si="27"/>
        <v/>
      </c>
      <c r="D384" t="str">
        <f>IF(E384="","",IF(COUNTIF($E$2:E384,E384)&gt;1,"",SUMIFS(tbl_input[필요수량],tbl_input[집계키_지청],E384)))</f>
        <v/>
      </c>
      <c r="E384" t="str">
        <f>IFERROR(INDEX(tbl_input[집계키_지청],ROW()-1),"")</f>
        <v/>
      </c>
      <c r="F384" t="str">
        <f t="shared" si="28"/>
        <v/>
      </c>
      <c r="G384" t="str">
        <f t="shared" si="29"/>
        <v/>
      </c>
    </row>
    <row r="385" spans="1:7" x14ac:dyDescent="0.4">
      <c r="A385" t="str">
        <f t="shared" si="25"/>
        <v/>
      </c>
      <c r="B385" t="str">
        <f t="shared" si="26"/>
        <v/>
      </c>
      <c r="C385" t="str">
        <f t="shared" si="27"/>
        <v/>
      </c>
      <c r="D385" t="str">
        <f>IF(E385="","",IF(COUNTIF($E$2:E385,E385)&gt;1,"",SUMIFS(tbl_input[필요수량],tbl_input[집계키_지청],E385)))</f>
        <v/>
      </c>
      <c r="E385" t="str">
        <f>IFERROR(INDEX(tbl_input[집계키_지청],ROW()-1),"")</f>
        <v/>
      </c>
      <c r="F385" t="str">
        <f t="shared" si="28"/>
        <v/>
      </c>
      <c r="G385" t="str">
        <f t="shared" si="29"/>
        <v/>
      </c>
    </row>
    <row r="386" spans="1:7" x14ac:dyDescent="0.4">
      <c r="A386" t="str">
        <f t="shared" ref="A386:A449" si="30">IF(E386="","",LEFT(E386,F386-1))</f>
        <v/>
      </c>
      <c r="B386" t="str">
        <f t="shared" ref="B386:B449" si="31">IF(E386="","",MID(E386,F386+1,G386-F386-1))</f>
        <v/>
      </c>
      <c r="C386" t="str">
        <f t="shared" ref="C386:C449" si="32">IF(E386="","",MID(E386,G386+1,999))</f>
        <v/>
      </c>
      <c r="D386" t="str">
        <f>IF(E386="","",IF(COUNTIF($E$2:E386,E386)&gt;1,"",SUMIFS(tbl_input[필요수량],tbl_input[집계키_지청],E386)))</f>
        <v/>
      </c>
      <c r="E386" t="str">
        <f>IFERROR(INDEX(tbl_input[집계키_지청],ROW()-1),"")</f>
        <v/>
      </c>
      <c r="F386" t="str">
        <f t="shared" ref="F386:F449" si="33">IF(E386="","",FIND("♦",E386))</f>
        <v/>
      </c>
      <c r="G386" t="str">
        <f t="shared" ref="G386:G449" si="34">IF(E386="","",FIND("♦",E386,F386+1))</f>
        <v/>
      </c>
    </row>
    <row r="387" spans="1:7" x14ac:dyDescent="0.4">
      <c r="A387" t="str">
        <f t="shared" si="30"/>
        <v/>
      </c>
      <c r="B387" t="str">
        <f t="shared" si="31"/>
        <v/>
      </c>
      <c r="C387" t="str">
        <f t="shared" si="32"/>
        <v/>
      </c>
      <c r="D387" t="str">
        <f>IF(E387="","",IF(COUNTIF($E$2:E387,E387)&gt;1,"",SUMIFS(tbl_input[필요수량],tbl_input[집계키_지청],E387)))</f>
        <v/>
      </c>
      <c r="E387" t="str">
        <f>IFERROR(INDEX(tbl_input[집계키_지청],ROW()-1),"")</f>
        <v/>
      </c>
      <c r="F387" t="str">
        <f t="shared" si="33"/>
        <v/>
      </c>
      <c r="G387" t="str">
        <f t="shared" si="34"/>
        <v/>
      </c>
    </row>
    <row r="388" spans="1:7" x14ac:dyDescent="0.4">
      <c r="A388" t="str">
        <f t="shared" si="30"/>
        <v/>
      </c>
      <c r="B388" t="str">
        <f t="shared" si="31"/>
        <v/>
      </c>
      <c r="C388" t="str">
        <f t="shared" si="32"/>
        <v/>
      </c>
      <c r="D388" t="str">
        <f>IF(E388="","",IF(COUNTIF($E$2:E388,E388)&gt;1,"",SUMIFS(tbl_input[필요수량],tbl_input[집계키_지청],E388)))</f>
        <v/>
      </c>
      <c r="E388" t="str">
        <f>IFERROR(INDEX(tbl_input[집계키_지청],ROW()-1),"")</f>
        <v/>
      </c>
      <c r="F388" t="str">
        <f t="shared" si="33"/>
        <v/>
      </c>
      <c r="G388" t="str">
        <f t="shared" si="34"/>
        <v/>
      </c>
    </row>
    <row r="389" spans="1:7" x14ac:dyDescent="0.4">
      <c r="A389" t="str">
        <f t="shared" si="30"/>
        <v/>
      </c>
      <c r="B389" t="str">
        <f t="shared" si="31"/>
        <v/>
      </c>
      <c r="C389" t="str">
        <f t="shared" si="32"/>
        <v/>
      </c>
      <c r="D389" t="str">
        <f>IF(E389="","",IF(COUNTIF($E$2:E389,E389)&gt;1,"",SUMIFS(tbl_input[필요수량],tbl_input[집계키_지청],E389)))</f>
        <v/>
      </c>
      <c r="E389" t="str">
        <f>IFERROR(INDEX(tbl_input[집계키_지청],ROW()-1),"")</f>
        <v/>
      </c>
      <c r="F389" t="str">
        <f t="shared" si="33"/>
        <v/>
      </c>
      <c r="G389" t="str">
        <f t="shared" si="34"/>
        <v/>
      </c>
    </row>
    <row r="390" spans="1:7" x14ac:dyDescent="0.4">
      <c r="A390" t="str">
        <f t="shared" si="30"/>
        <v/>
      </c>
      <c r="B390" t="str">
        <f t="shared" si="31"/>
        <v/>
      </c>
      <c r="C390" t="str">
        <f t="shared" si="32"/>
        <v/>
      </c>
      <c r="D390" t="str">
        <f>IF(E390="","",IF(COUNTIF($E$2:E390,E390)&gt;1,"",SUMIFS(tbl_input[필요수량],tbl_input[집계키_지청],E390)))</f>
        <v/>
      </c>
      <c r="E390" t="str">
        <f>IFERROR(INDEX(tbl_input[집계키_지청],ROW()-1),"")</f>
        <v/>
      </c>
      <c r="F390" t="str">
        <f t="shared" si="33"/>
        <v/>
      </c>
      <c r="G390" t="str">
        <f t="shared" si="34"/>
        <v/>
      </c>
    </row>
    <row r="391" spans="1:7" x14ac:dyDescent="0.4">
      <c r="A391" t="str">
        <f t="shared" si="30"/>
        <v/>
      </c>
      <c r="B391" t="str">
        <f t="shared" si="31"/>
        <v/>
      </c>
      <c r="C391" t="str">
        <f t="shared" si="32"/>
        <v/>
      </c>
      <c r="D391" t="str">
        <f>IF(E391="","",IF(COUNTIF($E$2:E391,E391)&gt;1,"",SUMIFS(tbl_input[필요수량],tbl_input[집계키_지청],E391)))</f>
        <v/>
      </c>
      <c r="E391" t="str">
        <f>IFERROR(INDEX(tbl_input[집계키_지청],ROW()-1),"")</f>
        <v/>
      </c>
      <c r="F391" t="str">
        <f t="shared" si="33"/>
        <v/>
      </c>
      <c r="G391" t="str">
        <f t="shared" si="34"/>
        <v/>
      </c>
    </row>
    <row r="392" spans="1:7" x14ac:dyDescent="0.4">
      <c r="A392" t="str">
        <f t="shared" si="30"/>
        <v/>
      </c>
      <c r="B392" t="str">
        <f t="shared" si="31"/>
        <v/>
      </c>
      <c r="C392" t="str">
        <f t="shared" si="32"/>
        <v/>
      </c>
      <c r="D392" t="str">
        <f>IF(E392="","",IF(COUNTIF($E$2:E392,E392)&gt;1,"",SUMIFS(tbl_input[필요수량],tbl_input[집계키_지청],E392)))</f>
        <v/>
      </c>
      <c r="E392" t="str">
        <f>IFERROR(INDEX(tbl_input[집계키_지청],ROW()-1),"")</f>
        <v/>
      </c>
      <c r="F392" t="str">
        <f t="shared" si="33"/>
        <v/>
      </c>
      <c r="G392" t="str">
        <f t="shared" si="34"/>
        <v/>
      </c>
    </row>
    <row r="393" spans="1:7" x14ac:dyDescent="0.4">
      <c r="A393" t="str">
        <f t="shared" si="30"/>
        <v/>
      </c>
      <c r="B393" t="str">
        <f t="shared" si="31"/>
        <v/>
      </c>
      <c r="C393" t="str">
        <f t="shared" si="32"/>
        <v/>
      </c>
      <c r="D393" t="str">
        <f>IF(E393="","",IF(COUNTIF($E$2:E393,E393)&gt;1,"",SUMIFS(tbl_input[필요수량],tbl_input[집계키_지청],E393)))</f>
        <v/>
      </c>
      <c r="E393" t="str">
        <f>IFERROR(INDEX(tbl_input[집계키_지청],ROW()-1),"")</f>
        <v/>
      </c>
      <c r="F393" t="str">
        <f t="shared" si="33"/>
        <v/>
      </c>
      <c r="G393" t="str">
        <f t="shared" si="34"/>
        <v/>
      </c>
    </row>
    <row r="394" spans="1:7" x14ac:dyDescent="0.4">
      <c r="A394" t="str">
        <f t="shared" si="30"/>
        <v/>
      </c>
      <c r="B394" t="str">
        <f t="shared" si="31"/>
        <v/>
      </c>
      <c r="C394" t="str">
        <f t="shared" si="32"/>
        <v/>
      </c>
      <c r="D394" t="str">
        <f>IF(E394="","",IF(COUNTIF($E$2:E394,E394)&gt;1,"",SUMIFS(tbl_input[필요수량],tbl_input[집계키_지청],E394)))</f>
        <v/>
      </c>
      <c r="E394" t="str">
        <f>IFERROR(INDEX(tbl_input[집계키_지청],ROW()-1),"")</f>
        <v/>
      </c>
      <c r="F394" t="str">
        <f t="shared" si="33"/>
        <v/>
      </c>
      <c r="G394" t="str">
        <f t="shared" si="34"/>
        <v/>
      </c>
    </row>
    <row r="395" spans="1:7" x14ac:dyDescent="0.4">
      <c r="A395" t="str">
        <f t="shared" si="30"/>
        <v/>
      </c>
      <c r="B395" t="str">
        <f t="shared" si="31"/>
        <v/>
      </c>
      <c r="C395" t="str">
        <f t="shared" si="32"/>
        <v/>
      </c>
      <c r="D395" t="str">
        <f>IF(E395="","",IF(COUNTIF($E$2:E395,E395)&gt;1,"",SUMIFS(tbl_input[필요수량],tbl_input[집계키_지청],E395)))</f>
        <v/>
      </c>
      <c r="E395" t="str">
        <f>IFERROR(INDEX(tbl_input[집계키_지청],ROW()-1),"")</f>
        <v/>
      </c>
      <c r="F395" t="str">
        <f t="shared" si="33"/>
        <v/>
      </c>
      <c r="G395" t="str">
        <f t="shared" si="34"/>
        <v/>
      </c>
    </row>
    <row r="396" spans="1:7" x14ac:dyDescent="0.4">
      <c r="A396" t="str">
        <f t="shared" si="30"/>
        <v/>
      </c>
      <c r="B396" t="str">
        <f t="shared" si="31"/>
        <v/>
      </c>
      <c r="C396" t="str">
        <f t="shared" si="32"/>
        <v/>
      </c>
      <c r="D396" t="str">
        <f>IF(E396="","",IF(COUNTIF($E$2:E396,E396)&gt;1,"",SUMIFS(tbl_input[필요수량],tbl_input[집계키_지청],E396)))</f>
        <v/>
      </c>
      <c r="E396" t="str">
        <f>IFERROR(INDEX(tbl_input[집계키_지청],ROW()-1),"")</f>
        <v/>
      </c>
      <c r="F396" t="str">
        <f t="shared" si="33"/>
        <v/>
      </c>
      <c r="G396" t="str">
        <f t="shared" si="34"/>
        <v/>
      </c>
    </row>
    <row r="397" spans="1:7" x14ac:dyDescent="0.4">
      <c r="A397" t="str">
        <f t="shared" si="30"/>
        <v/>
      </c>
      <c r="B397" t="str">
        <f t="shared" si="31"/>
        <v/>
      </c>
      <c r="C397" t="str">
        <f t="shared" si="32"/>
        <v/>
      </c>
      <c r="D397" t="str">
        <f>IF(E397="","",IF(COUNTIF($E$2:E397,E397)&gt;1,"",SUMIFS(tbl_input[필요수량],tbl_input[집계키_지청],E397)))</f>
        <v/>
      </c>
      <c r="E397" t="str">
        <f>IFERROR(INDEX(tbl_input[집계키_지청],ROW()-1),"")</f>
        <v/>
      </c>
      <c r="F397" t="str">
        <f t="shared" si="33"/>
        <v/>
      </c>
      <c r="G397" t="str">
        <f t="shared" si="34"/>
        <v/>
      </c>
    </row>
    <row r="398" spans="1:7" x14ac:dyDescent="0.4">
      <c r="A398" t="str">
        <f t="shared" si="30"/>
        <v/>
      </c>
      <c r="B398" t="str">
        <f t="shared" si="31"/>
        <v/>
      </c>
      <c r="C398" t="str">
        <f t="shared" si="32"/>
        <v/>
      </c>
      <c r="D398" t="str">
        <f>IF(E398="","",IF(COUNTIF($E$2:E398,E398)&gt;1,"",SUMIFS(tbl_input[필요수량],tbl_input[집계키_지청],E398)))</f>
        <v/>
      </c>
      <c r="E398" t="str">
        <f>IFERROR(INDEX(tbl_input[집계키_지청],ROW()-1),"")</f>
        <v/>
      </c>
      <c r="F398" t="str">
        <f t="shared" si="33"/>
        <v/>
      </c>
      <c r="G398" t="str">
        <f t="shared" si="34"/>
        <v/>
      </c>
    </row>
    <row r="399" spans="1:7" x14ac:dyDescent="0.4">
      <c r="A399" t="str">
        <f t="shared" si="30"/>
        <v/>
      </c>
      <c r="B399" t="str">
        <f t="shared" si="31"/>
        <v/>
      </c>
      <c r="C399" t="str">
        <f t="shared" si="32"/>
        <v/>
      </c>
      <c r="D399" t="str">
        <f>IF(E399="","",IF(COUNTIF($E$2:E399,E399)&gt;1,"",SUMIFS(tbl_input[필요수량],tbl_input[집계키_지청],E399)))</f>
        <v/>
      </c>
      <c r="E399" t="str">
        <f>IFERROR(INDEX(tbl_input[집계키_지청],ROW()-1),"")</f>
        <v/>
      </c>
      <c r="F399" t="str">
        <f t="shared" si="33"/>
        <v/>
      </c>
      <c r="G399" t="str">
        <f t="shared" si="34"/>
        <v/>
      </c>
    </row>
    <row r="400" spans="1:7" x14ac:dyDescent="0.4">
      <c r="A400" t="str">
        <f t="shared" si="30"/>
        <v/>
      </c>
      <c r="B400" t="str">
        <f t="shared" si="31"/>
        <v/>
      </c>
      <c r="C400" t="str">
        <f t="shared" si="32"/>
        <v/>
      </c>
      <c r="D400" t="str">
        <f>IF(E400="","",IF(COUNTIF($E$2:E400,E400)&gt;1,"",SUMIFS(tbl_input[필요수량],tbl_input[집계키_지청],E400)))</f>
        <v/>
      </c>
      <c r="E400" t="str">
        <f>IFERROR(INDEX(tbl_input[집계키_지청],ROW()-1),"")</f>
        <v/>
      </c>
      <c r="F400" t="str">
        <f t="shared" si="33"/>
        <v/>
      </c>
      <c r="G400" t="str">
        <f t="shared" si="34"/>
        <v/>
      </c>
    </row>
    <row r="401" spans="1:7" x14ac:dyDescent="0.4">
      <c r="A401" t="str">
        <f t="shared" si="30"/>
        <v/>
      </c>
      <c r="B401" t="str">
        <f t="shared" si="31"/>
        <v/>
      </c>
      <c r="C401" t="str">
        <f t="shared" si="32"/>
        <v/>
      </c>
      <c r="D401" t="str">
        <f>IF(E401="","",IF(COUNTIF($E$2:E401,E401)&gt;1,"",SUMIFS(tbl_input[필요수량],tbl_input[집계키_지청],E401)))</f>
        <v/>
      </c>
      <c r="E401" t="str">
        <f>IFERROR(INDEX(tbl_input[집계키_지청],ROW()-1),"")</f>
        <v/>
      </c>
      <c r="F401" t="str">
        <f t="shared" si="33"/>
        <v/>
      </c>
      <c r="G401" t="str">
        <f t="shared" si="34"/>
        <v/>
      </c>
    </row>
    <row r="402" spans="1:7" x14ac:dyDescent="0.4">
      <c r="A402" t="str">
        <f t="shared" si="30"/>
        <v/>
      </c>
      <c r="B402" t="str">
        <f t="shared" si="31"/>
        <v/>
      </c>
      <c r="C402" t="str">
        <f t="shared" si="32"/>
        <v/>
      </c>
      <c r="D402" t="str">
        <f>IF(E402="","",IF(COUNTIF($E$2:E402,E402)&gt;1,"",SUMIFS(tbl_input[필요수량],tbl_input[집계키_지청],E402)))</f>
        <v/>
      </c>
      <c r="E402" t="str">
        <f>IFERROR(INDEX(tbl_input[집계키_지청],ROW()-1),"")</f>
        <v/>
      </c>
      <c r="F402" t="str">
        <f t="shared" si="33"/>
        <v/>
      </c>
      <c r="G402" t="str">
        <f t="shared" si="34"/>
        <v/>
      </c>
    </row>
    <row r="403" spans="1:7" x14ac:dyDescent="0.4">
      <c r="A403" t="str">
        <f t="shared" si="30"/>
        <v/>
      </c>
      <c r="B403" t="str">
        <f t="shared" si="31"/>
        <v/>
      </c>
      <c r="C403" t="str">
        <f t="shared" si="32"/>
        <v/>
      </c>
      <c r="D403" t="str">
        <f>IF(E403="","",IF(COUNTIF($E$2:E403,E403)&gt;1,"",SUMIFS(tbl_input[필요수량],tbl_input[집계키_지청],E403)))</f>
        <v/>
      </c>
      <c r="E403" t="str">
        <f>IFERROR(INDEX(tbl_input[집계키_지청],ROW()-1),"")</f>
        <v/>
      </c>
      <c r="F403" t="str">
        <f t="shared" si="33"/>
        <v/>
      </c>
      <c r="G403" t="str">
        <f t="shared" si="34"/>
        <v/>
      </c>
    </row>
    <row r="404" spans="1:7" x14ac:dyDescent="0.4">
      <c r="A404" t="str">
        <f t="shared" si="30"/>
        <v/>
      </c>
      <c r="B404" t="str">
        <f t="shared" si="31"/>
        <v/>
      </c>
      <c r="C404" t="str">
        <f t="shared" si="32"/>
        <v/>
      </c>
      <c r="D404" t="str">
        <f>IF(E404="","",IF(COUNTIF($E$2:E404,E404)&gt;1,"",SUMIFS(tbl_input[필요수량],tbl_input[집계키_지청],E404)))</f>
        <v/>
      </c>
      <c r="E404" t="str">
        <f>IFERROR(INDEX(tbl_input[집계키_지청],ROW()-1),"")</f>
        <v/>
      </c>
      <c r="F404" t="str">
        <f t="shared" si="33"/>
        <v/>
      </c>
      <c r="G404" t="str">
        <f t="shared" si="34"/>
        <v/>
      </c>
    </row>
    <row r="405" spans="1:7" x14ac:dyDescent="0.4">
      <c r="A405" t="str">
        <f t="shared" si="30"/>
        <v/>
      </c>
      <c r="B405" t="str">
        <f t="shared" si="31"/>
        <v/>
      </c>
      <c r="C405" t="str">
        <f t="shared" si="32"/>
        <v/>
      </c>
      <c r="D405" t="str">
        <f>IF(E405="","",IF(COUNTIF($E$2:E405,E405)&gt;1,"",SUMIFS(tbl_input[필요수량],tbl_input[집계키_지청],E405)))</f>
        <v/>
      </c>
      <c r="E405" t="str">
        <f>IFERROR(INDEX(tbl_input[집계키_지청],ROW()-1),"")</f>
        <v/>
      </c>
      <c r="F405" t="str">
        <f t="shared" si="33"/>
        <v/>
      </c>
      <c r="G405" t="str">
        <f t="shared" si="34"/>
        <v/>
      </c>
    </row>
    <row r="406" spans="1:7" x14ac:dyDescent="0.4">
      <c r="A406" t="str">
        <f t="shared" si="30"/>
        <v/>
      </c>
      <c r="B406" t="str">
        <f t="shared" si="31"/>
        <v/>
      </c>
      <c r="C406" t="str">
        <f t="shared" si="32"/>
        <v/>
      </c>
      <c r="D406" t="str">
        <f>IF(E406="","",IF(COUNTIF($E$2:E406,E406)&gt;1,"",SUMIFS(tbl_input[필요수량],tbl_input[집계키_지청],E406)))</f>
        <v/>
      </c>
      <c r="E406" t="str">
        <f>IFERROR(INDEX(tbl_input[집계키_지청],ROW()-1),"")</f>
        <v/>
      </c>
      <c r="F406" t="str">
        <f t="shared" si="33"/>
        <v/>
      </c>
      <c r="G406" t="str">
        <f t="shared" si="34"/>
        <v/>
      </c>
    </row>
    <row r="407" spans="1:7" x14ac:dyDescent="0.4">
      <c r="A407" t="str">
        <f t="shared" si="30"/>
        <v/>
      </c>
      <c r="B407" t="str">
        <f t="shared" si="31"/>
        <v/>
      </c>
      <c r="C407" t="str">
        <f t="shared" si="32"/>
        <v/>
      </c>
      <c r="D407" t="str">
        <f>IF(E407="","",IF(COUNTIF($E$2:E407,E407)&gt;1,"",SUMIFS(tbl_input[필요수량],tbl_input[집계키_지청],E407)))</f>
        <v/>
      </c>
      <c r="E407" t="str">
        <f>IFERROR(INDEX(tbl_input[집계키_지청],ROW()-1),"")</f>
        <v/>
      </c>
      <c r="F407" t="str">
        <f t="shared" si="33"/>
        <v/>
      </c>
      <c r="G407" t="str">
        <f t="shared" si="34"/>
        <v/>
      </c>
    </row>
    <row r="408" spans="1:7" x14ac:dyDescent="0.4">
      <c r="A408" t="str">
        <f t="shared" si="30"/>
        <v/>
      </c>
      <c r="B408" t="str">
        <f t="shared" si="31"/>
        <v/>
      </c>
      <c r="C408" t="str">
        <f t="shared" si="32"/>
        <v/>
      </c>
      <c r="D408" t="str">
        <f>IF(E408="","",IF(COUNTIF($E$2:E408,E408)&gt;1,"",SUMIFS(tbl_input[필요수량],tbl_input[집계키_지청],E408)))</f>
        <v/>
      </c>
      <c r="E408" t="str">
        <f>IFERROR(INDEX(tbl_input[집계키_지청],ROW()-1),"")</f>
        <v/>
      </c>
      <c r="F408" t="str">
        <f t="shared" si="33"/>
        <v/>
      </c>
      <c r="G408" t="str">
        <f t="shared" si="34"/>
        <v/>
      </c>
    </row>
    <row r="409" spans="1:7" x14ac:dyDescent="0.4">
      <c r="A409" t="str">
        <f t="shared" si="30"/>
        <v/>
      </c>
      <c r="B409" t="str">
        <f t="shared" si="31"/>
        <v/>
      </c>
      <c r="C409" t="str">
        <f t="shared" si="32"/>
        <v/>
      </c>
      <c r="D409" t="str">
        <f>IF(E409="","",IF(COUNTIF($E$2:E409,E409)&gt;1,"",SUMIFS(tbl_input[필요수량],tbl_input[집계키_지청],E409)))</f>
        <v/>
      </c>
      <c r="E409" t="str">
        <f>IFERROR(INDEX(tbl_input[집계키_지청],ROW()-1),"")</f>
        <v/>
      </c>
      <c r="F409" t="str">
        <f t="shared" si="33"/>
        <v/>
      </c>
      <c r="G409" t="str">
        <f t="shared" si="34"/>
        <v/>
      </c>
    </row>
    <row r="410" spans="1:7" x14ac:dyDescent="0.4">
      <c r="A410" t="str">
        <f t="shared" si="30"/>
        <v/>
      </c>
      <c r="B410" t="str">
        <f t="shared" si="31"/>
        <v/>
      </c>
      <c r="C410" t="str">
        <f t="shared" si="32"/>
        <v/>
      </c>
      <c r="D410" t="str">
        <f>IF(E410="","",IF(COUNTIF($E$2:E410,E410)&gt;1,"",SUMIFS(tbl_input[필요수량],tbl_input[집계키_지청],E410)))</f>
        <v/>
      </c>
      <c r="E410" t="str">
        <f>IFERROR(INDEX(tbl_input[집계키_지청],ROW()-1),"")</f>
        <v/>
      </c>
      <c r="F410" t="str">
        <f t="shared" si="33"/>
        <v/>
      </c>
      <c r="G410" t="str">
        <f t="shared" si="34"/>
        <v/>
      </c>
    </row>
    <row r="411" spans="1:7" x14ac:dyDescent="0.4">
      <c r="A411" t="str">
        <f t="shared" si="30"/>
        <v/>
      </c>
      <c r="B411" t="str">
        <f t="shared" si="31"/>
        <v/>
      </c>
      <c r="C411" t="str">
        <f t="shared" si="32"/>
        <v/>
      </c>
      <c r="D411" t="str">
        <f>IF(E411="","",IF(COUNTIF($E$2:E411,E411)&gt;1,"",SUMIFS(tbl_input[필요수량],tbl_input[집계키_지청],E411)))</f>
        <v/>
      </c>
      <c r="E411" t="str">
        <f>IFERROR(INDEX(tbl_input[집계키_지청],ROW()-1),"")</f>
        <v/>
      </c>
      <c r="F411" t="str">
        <f t="shared" si="33"/>
        <v/>
      </c>
      <c r="G411" t="str">
        <f t="shared" si="34"/>
        <v/>
      </c>
    </row>
    <row r="412" spans="1:7" x14ac:dyDescent="0.4">
      <c r="A412" t="str">
        <f t="shared" si="30"/>
        <v/>
      </c>
      <c r="B412" t="str">
        <f t="shared" si="31"/>
        <v/>
      </c>
      <c r="C412" t="str">
        <f t="shared" si="32"/>
        <v/>
      </c>
      <c r="D412" t="str">
        <f>IF(E412="","",IF(COUNTIF($E$2:E412,E412)&gt;1,"",SUMIFS(tbl_input[필요수량],tbl_input[집계키_지청],E412)))</f>
        <v/>
      </c>
      <c r="E412" t="str">
        <f>IFERROR(INDEX(tbl_input[집계키_지청],ROW()-1),"")</f>
        <v/>
      </c>
      <c r="F412" t="str">
        <f t="shared" si="33"/>
        <v/>
      </c>
      <c r="G412" t="str">
        <f t="shared" si="34"/>
        <v/>
      </c>
    </row>
    <row r="413" spans="1:7" x14ac:dyDescent="0.4">
      <c r="A413" t="str">
        <f t="shared" si="30"/>
        <v/>
      </c>
      <c r="B413" t="str">
        <f t="shared" si="31"/>
        <v/>
      </c>
      <c r="C413" t="str">
        <f t="shared" si="32"/>
        <v/>
      </c>
      <c r="D413" t="str">
        <f>IF(E413="","",IF(COUNTIF($E$2:E413,E413)&gt;1,"",SUMIFS(tbl_input[필요수량],tbl_input[집계키_지청],E413)))</f>
        <v/>
      </c>
      <c r="E413" t="str">
        <f>IFERROR(INDEX(tbl_input[집계키_지청],ROW()-1),"")</f>
        <v/>
      </c>
      <c r="F413" t="str">
        <f t="shared" si="33"/>
        <v/>
      </c>
      <c r="G413" t="str">
        <f t="shared" si="34"/>
        <v/>
      </c>
    </row>
    <row r="414" spans="1:7" x14ac:dyDescent="0.4">
      <c r="A414" t="str">
        <f t="shared" si="30"/>
        <v/>
      </c>
      <c r="B414" t="str">
        <f t="shared" si="31"/>
        <v/>
      </c>
      <c r="C414" t="str">
        <f t="shared" si="32"/>
        <v/>
      </c>
      <c r="D414" t="str">
        <f>IF(E414="","",IF(COUNTIF($E$2:E414,E414)&gt;1,"",SUMIFS(tbl_input[필요수량],tbl_input[집계키_지청],E414)))</f>
        <v/>
      </c>
      <c r="E414" t="str">
        <f>IFERROR(INDEX(tbl_input[집계키_지청],ROW()-1),"")</f>
        <v/>
      </c>
      <c r="F414" t="str">
        <f t="shared" si="33"/>
        <v/>
      </c>
      <c r="G414" t="str">
        <f t="shared" si="34"/>
        <v/>
      </c>
    </row>
    <row r="415" spans="1:7" x14ac:dyDescent="0.4">
      <c r="A415" t="str">
        <f t="shared" si="30"/>
        <v/>
      </c>
      <c r="B415" t="str">
        <f t="shared" si="31"/>
        <v/>
      </c>
      <c r="C415" t="str">
        <f t="shared" si="32"/>
        <v/>
      </c>
      <c r="D415" t="str">
        <f>IF(E415="","",IF(COUNTIF($E$2:E415,E415)&gt;1,"",SUMIFS(tbl_input[필요수량],tbl_input[집계키_지청],E415)))</f>
        <v/>
      </c>
      <c r="E415" t="str">
        <f>IFERROR(INDEX(tbl_input[집계키_지청],ROW()-1),"")</f>
        <v/>
      </c>
      <c r="F415" t="str">
        <f t="shared" si="33"/>
        <v/>
      </c>
      <c r="G415" t="str">
        <f t="shared" si="34"/>
        <v/>
      </c>
    </row>
    <row r="416" spans="1:7" x14ac:dyDescent="0.4">
      <c r="A416" t="str">
        <f t="shared" si="30"/>
        <v/>
      </c>
      <c r="B416" t="str">
        <f t="shared" si="31"/>
        <v/>
      </c>
      <c r="C416" t="str">
        <f t="shared" si="32"/>
        <v/>
      </c>
      <c r="D416" t="str">
        <f>IF(E416="","",IF(COUNTIF($E$2:E416,E416)&gt;1,"",SUMIFS(tbl_input[필요수량],tbl_input[집계키_지청],E416)))</f>
        <v/>
      </c>
      <c r="E416" t="str">
        <f>IFERROR(INDEX(tbl_input[집계키_지청],ROW()-1),"")</f>
        <v/>
      </c>
      <c r="F416" t="str">
        <f t="shared" si="33"/>
        <v/>
      </c>
      <c r="G416" t="str">
        <f t="shared" si="34"/>
        <v/>
      </c>
    </row>
    <row r="417" spans="1:7" x14ac:dyDescent="0.4">
      <c r="A417" t="str">
        <f t="shared" si="30"/>
        <v/>
      </c>
      <c r="B417" t="str">
        <f t="shared" si="31"/>
        <v/>
      </c>
      <c r="C417" t="str">
        <f t="shared" si="32"/>
        <v/>
      </c>
      <c r="D417" t="str">
        <f>IF(E417="","",IF(COUNTIF($E$2:E417,E417)&gt;1,"",SUMIFS(tbl_input[필요수량],tbl_input[집계키_지청],E417)))</f>
        <v/>
      </c>
      <c r="E417" t="str">
        <f>IFERROR(INDEX(tbl_input[집계키_지청],ROW()-1),"")</f>
        <v/>
      </c>
      <c r="F417" t="str">
        <f t="shared" si="33"/>
        <v/>
      </c>
      <c r="G417" t="str">
        <f t="shared" si="34"/>
        <v/>
      </c>
    </row>
    <row r="418" spans="1:7" x14ac:dyDescent="0.4">
      <c r="A418" t="str">
        <f t="shared" si="30"/>
        <v/>
      </c>
      <c r="B418" t="str">
        <f t="shared" si="31"/>
        <v/>
      </c>
      <c r="C418" t="str">
        <f t="shared" si="32"/>
        <v/>
      </c>
      <c r="D418" t="str">
        <f>IF(E418="","",IF(COUNTIF($E$2:E418,E418)&gt;1,"",SUMIFS(tbl_input[필요수량],tbl_input[집계키_지청],E418)))</f>
        <v/>
      </c>
      <c r="E418" t="str">
        <f>IFERROR(INDEX(tbl_input[집계키_지청],ROW()-1),"")</f>
        <v/>
      </c>
      <c r="F418" t="str">
        <f t="shared" si="33"/>
        <v/>
      </c>
      <c r="G418" t="str">
        <f t="shared" si="34"/>
        <v/>
      </c>
    </row>
    <row r="419" spans="1:7" x14ac:dyDescent="0.4">
      <c r="A419" t="str">
        <f t="shared" si="30"/>
        <v/>
      </c>
      <c r="B419" t="str">
        <f t="shared" si="31"/>
        <v/>
      </c>
      <c r="C419" t="str">
        <f t="shared" si="32"/>
        <v/>
      </c>
      <c r="D419" t="str">
        <f>IF(E419="","",IF(COUNTIF($E$2:E419,E419)&gt;1,"",SUMIFS(tbl_input[필요수량],tbl_input[집계키_지청],E419)))</f>
        <v/>
      </c>
      <c r="E419" t="str">
        <f>IFERROR(INDEX(tbl_input[집계키_지청],ROW()-1),"")</f>
        <v/>
      </c>
      <c r="F419" t="str">
        <f t="shared" si="33"/>
        <v/>
      </c>
      <c r="G419" t="str">
        <f t="shared" si="34"/>
        <v/>
      </c>
    </row>
    <row r="420" spans="1:7" x14ac:dyDescent="0.4">
      <c r="A420" t="str">
        <f t="shared" si="30"/>
        <v/>
      </c>
      <c r="B420" t="str">
        <f t="shared" si="31"/>
        <v/>
      </c>
      <c r="C420" t="str">
        <f t="shared" si="32"/>
        <v/>
      </c>
      <c r="D420" t="str">
        <f>IF(E420="","",IF(COUNTIF($E$2:E420,E420)&gt;1,"",SUMIFS(tbl_input[필요수량],tbl_input[집계키_지청],E420)))</f>
        <v/>
      </c>
      <c r="E420" t="str">
        <f>IFERROR(INDEX(tbl_input[집계키_지청],ROW()-1),"")</f>
        <v/>
      </c>
      <c r="F420" t="str">
        <f t="shared" si="33"/>
        <v/>
      </c>
      <c r="G420" t="str">
        <f t="shared" si="34"/>
        <v/>
      </c>
    </row>
    <row r="421" spans="1:7" x14ac:dyDescent="0.4">
      <c r="A421" t="str">
        <f t="shared" si="30"/>
        <v/>
      </c>
      <c r="B421" t="str">
        <f t="shared" si="31"/>
        <v/>
      </c>
      <c r="C421" t="str">
        <f t="shared" si="32"/>
        <v/>
      </c>
      <c r="D421" t="str">
        <f>IF(E421="","",IF(COUNTIF($E$2:E421,E421)&gt;1,"",SUMIFS(tbl_input[필요수량],tbl_input[집계키_지청],E421)))</f>
        <v/>
      </c>
      <c r="E421" t="str">
        <f>IFERROR(INDEX(tbl_input[집계키_지청],ROW()-1),"")</f>
        <v/>
      </c>
      <c r="F421" t="str">
        <f t="shared" si="33"/>
        <v/>
      </c>
      <c r="G421" t="str">
        <f t="shared" si="34"/>
        <v/>
      </c>
    </row>
    <row r="422" spans="1:7" x14ac:dyDescent="0.4">
      <c r="A422" t="str">
        <f t="shared" si="30"/>
        <v/>
      </c>
      <c r="B422" t="str">
        <f t="shared" si="31"/>
        <v/>
      </c>
      <c r="C422" t="str">
        <f t="shared" si="32"/>
        <v/>
      </c>
      <c r="D422" t="str">
        <f>IF(E422="","",IF(COUNTIF($E$2:E422,E422)&gt;1,"",SUMIFS(tbl_input[필요수량],tbl_input[집계키_지청],E422)))</f>
        <v/>
      </c>
      <c r="E422" t="str">
        <f>IFERROR(INDEX(tbl_input[집계키_지청],ROW()-1),"")</f>
        <v/>
      </c>
      <c r="F422" t="str">
        <f t="shared" si="33"/>
        <v/>
      </c>
      <c r="G422" t="str">
        <f t="shared" si="34"/>
        <v/>
      </c>
    </row>
    <row r="423" spans="1:7" x14ac:dyDescent="0.4">
      <c r="A423" t="str">
        <f t="shared" si="30"/>
        <v/>
      </c>
      <c r="B423" t="str">
        <f t="shared" si="31"/>
        <v/>
      </c>
      <c r="C423" t="str">
        <f t="shared" si="32"/>
        <v/>
      </c>
      <c r="D423" t="str">
        <f>IF(E423="","",IF(COUNTIF($E$2:E423,E423)&gt;1,"",SUMIFS(tbl_input[필요수량],tbl_input[집계키_지청],E423)))</f>
        <v/>
      </c>
      <c r="E423" t="str">
        <f>IFERROR(INDEX(tbl_input[집계키_지청],ROW()-1),"")</f>
        <v/>
      </c>
      <c r="F423" t="str">
        <f t="shared" si="33"/>
        <v/>
      </c>
      <c r="G423" t="str">
        <f t="shared" si="34"/>
        <v/>
      </c>
    </row>
    <row r="424" spans="1:7" x14ac:dyDescent="0.4">
      <c r="A424" t="str">
        <f t="shared" si="30"/>
        <v/>
      </c>
      <c r="B424" t="str">
        <f t="shared" si="31"/>
        <v/>
      </c>
      <c r="C424" t="str">
        <f t="shared" si="32"/>
        <v/>
      </c>
      <c r="D424" t="str">
        <f>IF(E424="","",IF(COUNTIF($E$2:E424,E424)&gt;1,"",SUMIFS(tbl_input[필요수량],tbl_input[집계키_지청],E424)))</f>
        <v/>
      </c>
      <c r="E424" t="str">
        <f>IFERROR(INDEX(tbl_input[집계키_지청],ROW()-1),"")</f>
        <v/>
      </c>
      <c r="F424" t="str">
        <f t="shared" si="33"/>
        <v/>
      </c>
      <c r="G424" t="str">
        <f t="shared" si="34"/>
        <v/>
      </c>
    </row>
    <row r="425" spans="1:7" x14ac:dyDescent="0.4">
      <c r="A425" t="str">
        <f t="shared" si="30"/>
        <v/>
      </c>
      <c r="B425" t="str">
        <f t="shared" si="31"/>
        <v/>
      </c>
      <c r="C425" t="str">
        <f t="shared" si="32"/>
        <v/>
      </c>
      <c r="D425" t="str">
        <f>IF(E425="","",IF(COUNTIF($E$2:E425,E425)&gt;1,"",SUMIFS(tbl_input[필요수량],tbl_input[집계키_지청],E425)))</f>
        <v/>
      </c>
      <c r="E425" t="str">
        <f>IFERROR(INDEX(tbl_input[집계키_지청],ROW()-1),"")</f>
        <v/>
      </c>
      <c r="F425" t="str">
        <f t="shared" si="33"/>
        <v/>
      </c>
      <c r="G425" t="str">
        <f t="shared" si="34"/>
        <v/>
      </c>
    </row>
    <row r="426" spans="1:7" x14ac:dyDescent="0.4">
      <c r="A426" t="str">
        <f t="shared" si="30"/>
        <v/>
      </c>
      <c r="B426" t="str">
        <f t="shared" si="31"/>
        <v/>
      </c>
      <c r="C426" t="str">
        <f t="shared" si="32"/>
        <v/>
      </c>
      <c r="D426" t="str">
        <f>IF(E426="","",IF(COUNTIF($E$2:E426,E426)&gt;1,"",SUMIFS(tbl_input[필요수량],tbl_input[집계키_지청],E426)))</f>
        <v/>
      </c>
      <c r="E426" t="str">
        <f>IFERROR(INDEX(tbl_input[집계키_지청],ROW()-1),"")</f>
        <v/>
      </c>
      <c r="F426" t="str">
        <f t="shared" si="33"/>
        <v/>
      </c>
      <c r="G426" t="str">
        <f t="shared" si="34"/>
        <v/>
      </c>
    </row>
    <row r="427" spans="1:7" x14ac:dyDescent="0.4">
      <c r="A427" t="str">
        <f t="shared" si="30"/>
        <v/>
      </c>
      <c r="B427" t="str">
        <f t="shared" si="31"/>
        <v/>
      </c>
      <c r="C427" t="str">
        <f t="shared" si="32"/>
        <v/>
      </c>
      <c r="D427" t="str">
        <f>IF(E427="","",IF(COUNTIF($E$2:E427,E427)&gt;1,"",SUMIFS(tbl_input[필요수량],tbl_input[집계키_지청],E427)))</f>
        <v/>
      </c>
      <c r="E427" t="str">
        <f>IFERROR(INDEX(tbl_input[집계키_지청],ROW()-1),"")</f>
        <v/>
      </c>
      <c r="F427" t="str">
        <f t="shared" si="33"/>
        <v/>
      </c>
      <c r="G427" t="str">
        <f t="shared" si="34"/>
        <v/>
      </c>
    </row>
    <row r="428" spans="1:7" x14ac:dyDescent="0.4">
      <c r="A428" t="str">
        <f t="shared" si="30"/>
        <v/>
      </c>
      <c r="B428" t="str">
        <f t="shared" si="31"/>
        <v/>
      </c>
      <c r="C428" t="str">
        <f t="shared" si="32"/>
        <v/>
      </c>
      <c r="D428" t="str">
        <f>IF(E428="","",IF(COUNTIF($E$2:E428,E428)&gt;1,"",SUMIFS(tbl_input[필요수량],tbl_input[집계키_지청],E428)))</f>
        <v/>
      </c>
      <c r="E428" t="str">
        <f>IFERROR(INDEX(tbl_input[집계키_지청],ROW()-1),"")</f>
        <v/>
      </c>
      <c r="F428" t="str">
        <f t="shared" si="33"/>
        <v/>
      </c>
      <c r="G428" t="str">
        <f t="shared" si="34"/>
        <v/>
      </c>
    </row>
    <row r="429" spans="1:7" x14ac:dyDescent="0.4">
      <c r="A429" t="str">
        <f t="shared" si="30"/>
        <v/>
      </c>
      <c r="B429" t="str">
        <f t="shared" si="31"/>
        <v/>
      </c>
      <c r="C429" t="str">
        <f t="shared" si="32"/>
        <v/>
      </c>
      <c r="D429" t="str">
        <f>IF(E429="","",IF(COUNTIF($E$2:E429,E429)&gt;1,"",SUMIFS(tbl_input[필요수량],tbl_input[집계키_지청],E429)))</f>
        <v/>
      </c>
      <c r="E429" t="str">
        <f>IFERROR(INDEX(tbl_input[집계키_지청],ROW()-1),"")</f>
        <v/>
      </c>
      <c r="F429" t="str">
        <f t="shared" si="33"/>
        <v/>
      </c>
      <c r="G429" t="str">
        <f t="shared" si="34"/>
        <v/>
      </c>
    </row>
    <row r="430" spans="1:7" x14ac:dyDescent="0.4">
      <c r="A430" t="str">
        <f t="shared" si="30"/>
        <v/>
      </c>
      <c r="B430" t="str">
        <f t="shared" si="31"/>
        <v/>
      </c>
      <c r="C430" t="str">
        <f t="shared" si="32"/>
        <v/>
      </c>
      <c r="D430" t="str">
        <f>IF(E430="","",IF(COUNTIF($E$2:E430,E430)&gt;1,"",SUMIFS(tbl_input[필요수량],tbl_input[집계키_지청],E430)))</f>
        <v/>
      </c>
      <c r="E430" t="str">
        <f>IFERROR(INDEX(tbl_input[집계키_지청],ROW()-1),"")</f>
        <v/>
      </c>
      <c r="F430" t="str">
        <f t="shared" si="33"/>
        <v/>
      </c>
      <c r="G430" t="str">
        <f t="shared" si="34"/>
        <v/>
      </c>
    </row>
    <row r="431" spans="1:7" x14ac:dyDescent="0.4">
      <c r="A431" t="str">
        <f t="shared" si="30"/>
        <v/>
      </c>
      <c r="B431" t="str">
        <f t="shared" si="31"/>
        <v/>
      </c>
      <c r="C431" t="str">
        <f t="shared" si="32"/>
        <v/>
      </c>
      <c r="D431" t="str">
        <f>IF(E431="","",IF(COUNTIF($E$2:E431,E431)&gt;1,"",SUMIFS(tbl_input[필요수량],tbl_input[집계키_지청],E431)))</f>
        <v/>
      </c>
      <c r="E431" t="str">
        <f>IFERROR(INDEX(tbl_input[집계키_지청],ROW()-1),"")</f>
        <v/>
      </c>
      <c r="F431" t="str">
        <f t="shared" si="33"/>
        <v/>
      </c>
      <c r="G431" t="str">
        <f t="shared" si="34"/>
        <v/>
      </c>
    </row>
    <row r="432" spans="1:7" x14ac:dyDescent="0.4">
      <c r="A432" t="str">
        <f t="shared" si="30"/>
        <v/>
      </c>
      <c r="B432" t="str">
        <f t="shared" si="31"/>
        <v/>
      </c>
      <c r="C432" t="str">
        <f t="shared" si="32"/>
        <v/>
      </c>
      <c r="D432" t="str">
        <f>IF(E432="","",IF(COUNTIF($E$2:E432,E432)&gt;1,"",SUMIFS(tbl_input[필요수량],tbl_input[집계키_지청],E432)))</f>
        <v/>
      </c>
      <c r="E432" t="str">
        <f>IFERROR(INDEX(tbl_input[집계키_지청],ROW()-1),"")</f>
        <v/>
      </c>
      <c r="F432" t="str">
        <f t="shared" si="33"/>
        <v/>
      </c>
      <c r="G432" t="str">
        <f t="shared" si="34"/>
        <v/>
      </c>
    </row>
    <row r="433" spans="1:7" x14ac:dyDescent="0.4">
      <c r="A433" t="str">
        <f t="shared" si="30"/>
        <v/>
      </c>
      <c r="B433" t="str">
        <f t="shared" si="31"/>
        <v/>
      </c>
      <c r="C433" t="str">
        <f t="shared" si="32"/>
        <v/>
      </c>
      <c r="D433" t="str">
        <f>IF(E433="","",IF(COUNTIF($E$2:E433,E433)&gt;1,"",SUMIFS(tbl_input[필요수량],tbl_input[집계키_지청],E433)))</f>
        <v/>
      </c>
      <c r="E433" t="str">
        <f>IFERROR(INDEX(tbl_input[집계키_지청],ROW()-1),"")</f>
        <v/>
      </c>
      <c r="F433" t="str">
        <f t="shared" si="33"/>
        <v/>
      </c>
      <c r="G433" t="str">
        <f t="shared" si="34"/>
        <v/>
      </c>
    </row>
    <row r="434" spans="1:7" x14ac:dyDescent="0.4">
      <c r="A434" t="str">
        <f t="shared" si="30"/>
        <v/>
      </c>
      <c r="B434" t="str">
        <f t="shared" si="31"/>
        <v/>
      </c>
      <c r="C434" t="str">
        <f t="shared" si="32"/>
        <v/>
      </c>
      <c r="D434" t="str">
        <f>IF(E434="","",IF(COUNTIF($E$2:E434,E434)&gt;1,"",SUMIFS(tbl_input[필요수량],tbl_input[집계키_지청],E434)))</f>
        <v/>
      </c>
      <c r="E434" t="str">
        <f>IFERROR(INDEX(tbl_input[집계키_지청],ROW()-1),"")</f>
        <v/>
      </c>
      <c r="F434" t="str">
        <f t="shared" si="33"/>
        <v/>
      </c>
      <c r="G434" t="str">
        <f t="shared" si="34"/>
        <v/>
      </c>
    </row>
    <row r="435" spans="1:7" x14ac:dyDescent="0.4">
      <c r="A435" t="str">
        <f t="shared" si="30"/>
        <v/>
      </c>
      <c r="B435" t="str">
        <f t="shared" si="31"/>
        <v/>
      </c>
      <c r="C435" t="str">
        <f t="shared" si="32"/>
        <v/>
      </c>
      <c r="D435" t="str">
        <f>IF(E435="","",IF(COUNTIF($E$2:E435,E435)&gt;1,"",SUMIFS(tbl_input[필요수량],tbl_input[집계키_지청],E435)))</f>
        <v/>
      </c>
      <c r="E435" t="str">
        <f>IFERROR(INDEX(tbl_input[집계키_지청],ROW()-1),"")</f>
        <v/>
      </c>
      <c r="F435" t="str">
        <f t="shared" si="33"/>
        <v/>
      </c>
      <c r="G435" t="str">
        <f t="shared" si="34"/>
        <v/>
      </c>
    </row>
    <row r="436" spans="1:7" x14ac:dyDescent="0.4">
      <c r="A436" t="str">
        <f t="shared" si="30"/>
        <v/>
      </c>
      <c r="B436" t="str">
        <f t="shared" si="31"/>
        <v/>
      </c>
      <c r="C436" t="str">
        <f t="shared" si="32"/>
        <v/>
      </c>
      <c r="D436" t="str">
        <f>IF(E436="","",IF(COUNTIF($E$2:E436,E436)&gt;1,"",SUMIFS(tbl_input[필요수량],tbl_input[집계키_지청],E436)))</f>
        <v/>
      </c>
      <c r="E436" t="str">
        <f>IFERROR(INDEX(tbl_input[집계키_지청],ROW()-1),"")</f>
        <v/>
      </c>
      <c r="F436" t="str">
        <f t="shared" si="33"/>
        <v/>
      </c>
      <c r="G436" t="str">
        <f t="shared" si="34"/>
        <v/>
      </c>
    </row>
    <row r="437" spans="1:7" x14ac:dyDescent="0.4">
      <c r="A437" t="str">
        <f t="shared" si="30"/>
        <v/>
      </c>
      <c r="B437" t="str">
        <f t="shared" si="31"/>
        <v/>
      </c>
      <c r="C437" t="str">
        <f t="shared" si="32"/>
        <v/>
      </c>
      <c r="D437" t="str">
        <f>IF(E437="","",IF(COUNTIF($E$2:E437,E437)&gt;1,"",SUMIFS(tbl_input[필요수량],tbl_input[집계키_지청],E437)))</f>
        <v/>
      </c>
      <c r="E437" t="str">
        <f>IFERROR(INDEX(tbl_input[집계키_지청],ROW()-1),"")</f>
        <v/>
      </c>
      <c r="F437" t="str">
        <f t="shared" si="33"/>
        <v/>
      </c>
      <c r="G437" t="str">
        <f t="shared" si="34"/>
        <v/>
      </c>
    </row>
    <row r="438" spans="1:7" x14ac:dyDescent="0.4">
      <c r="A438" t="str">
        <f t="shared" si="30"/>
        <v/>
      </c>
      <c r="B438" t="str">
        <f t="shared" si="31"/>
        <v/>
      </c>
      <c r="C438" t="str">
        <f t="shared" si="32"/>
        <v/>
      </c>
      <c r="D438" t="str">
        <f>IF(E438="","",IF(COUNTIF($E$2:E438,E438)&gt;1,"",SUMIFS(tbl_input[필요수량],tbl_input[집계키_지청],E438)))</f>
        <v/>
      </c>
      <c r="E438" t="str">
        <f>IFERROR(INDEX(tbl_input[집계키_지청],ROW()-1),"")</f>
        <v/>
      </c>
      <c r="F438" t="str">
        <f t="shared" si="33"/>
        <v/>
      </c>
      <c r="G438" t="str">
        <f t="shared" si="34"/>
        <v/>
      </c>
    </row>
    <row r="439" spans="1:7" x14ac:dyDescent="0.4">
      <c r="A439" t="str">
        <f t="shared" si="30"/>
        <v/>
      </c>
      <c r="B439" t="str">
        <f t="shared" si="31"/>
        <v/>
      </c>
      <c r="C439" t="str">
        <f t="shared" si="32"/>
        <v/>
      </c>
      <c r="D439" t="str">
        <f>IF(E439="","",IF(COUNTIF($E$2:E439,E439)&gt;1,"",SUMIFS(tbl_input[필요수량],tbl_input[집계키_지청],E439)))</f>
        <v/>
      </c>
      <c r="E439" t="str">
        <f>IFERROR(INDEX(tbl_input[집계키_지청],ROW()-1),"")</f>
        <v/>
      </c>
      <c r="F439" t="str">
        <f t="shared" si="33"/>
        <v/>
      </c>
      <c r="G439" t="str">
        <f t="shared" si="34"/>
        <v/>
      </c>
    </row>
    <row r="440" spans="1:7" x14ac:dyDescent="0.4">
      <c r="A440" t="str">
        <f t="shared" si="30"/>
        <v/>
      </c>
      <c r="B440" t="str">
        <f t="shared" si="31"/>
        <v/>
      </c>
      <c r="C440" t="str">
        <f t="shared" si="32"/>
        <v/>
      </c>
      <c r="D440" t="str">
        <f>IF(E440="","",IF(COUNTIF($E$2:E440,E440)&gt;1,"",SUMIFS(tbl_input[필요수량],tbl_input[집계키_지청],E440)))</f>
        <v/>
      </c>
      <c r="E440" t="str">
        <f>IFERROR(INDEX(tbl_input[집계키_지청],ROW()-1),"")</f>
        <v/>
      </c>
      <c r="F440" t="str">
        <f t="shared" si="33"/>
        <v/>
      </c>
      <c r="G440" t="str">
        <f t="shared" si="34"/>
        <v/>
      </c>
    </row>
    <row r="441" spans="1:7" x14ac:dyDescent="0.4">
      <c r="A441" t="str">
        <f t="shared" si="30"/>
        <v/>
      </c>
      <c r="B441" t="str">
        <f t="shared" si="31"/>
        <v/>
      </c>
      <c r="C441" t="str">
        <f t="shared" si="32"/>
        <v/>
      </c>
      <c r="D441" t="str">
        <f>IF(E441="","",IF(COUNTIF($E$2:E441,E441)&gt;1,"",SUMIFS(tbl_input[필요수량],tbl_input[집계키_지청],E441)))</f>
        <v/>
      </c>
      <c r="E441" t="str">
        <f>IFERROR(INDEX(tbl_input[집계키_지청],ROW()-1),"")</f>
        <v/>
      </c>
      <c r="F441" t="str">
        <f t="shared" si="33"/>
        <v/>
      </c>
      <c r="G441" t="str">
        <f t="shared" si="34"/>
        <v/>
      </c>
    </row>
    <row r="442" spans="1:7" x14ac:dyDescent="0.4">
      <c r="A442" t="str">
        <f t="shared" si="30"/>
        <v/>
      </c>
      <c r="B442" t="str">
        <f t="shared" si="31"/>
        <v/>
      </c>
      <c r="C442" t="str">
        <f t="shared" si="32"/>
        <v/>
      </c>
      <c r="D442" t="str">
        <f>IF(E442="","",IF(COUNTIF($E$2:E442,E442)&gt;1,"",SUMIFS(tbl_input[필요수량],tbl_input[집계키_지청],E442)))</f>
        <v/>
      </c>
      <c r="E442" t="str">
        <f>IFERROR(INDEX(tbl_input[집계키_지청],ROW()-1),"")</f>
        <v/>
      </c>
      <c r="F442" t="str">
        <f t="shared" si="33"/>
        <v/>
      </c>
      <c r="G442" t="str">
        <f t="shared" si="34"/>
        <v/>
      </c>
    </row>
    <row r="443" spans="1:7" x14ac:dyDescent="0.4">
      <c r="A443" t="str">
        <f t="shared" si="30"/>
        <v/>
      </c>
      <c r="B443" t="str">
        <f t="shared" si="31"/>
        <v/>
      </c>
      <c r="C443" t="str">
        <f t="shared" si="32"/>
        <v/>
      </c>
      <c r="D443" t="str">
        <f>IF(E443="","",IF(COUNTIF($E$2:E443,E443)&gt;1,"",SUMIFS(tbl_input[필요수량],tbl_input[집계키_지청],E443)))</f>
        <v/>
      </c>
      <c r="E443" t="str">
        <f>IFERROR(INDEX(tbl_input[집계키_지청],ROW()-1),"")</f>
        <v/>
      </c>
      <c r="F443" t="str">
        <f t="shared" si="33"/>
        <v/>
      </c>
      <c r="G443" t="str">
        <f t="shared" si="34"/>
        <v/>
      </c>
    </row>
    <row r="444" spans="1:7" x14ac:dyDescent="0.4">
      <c r="A444" t="str">
        <f t="shared" si="30"/>
        <v/>
      </c>
      <c r="B444" t="str">
        <f t="shared" si="31"/>
        <v/>
      </c>
      <c r="C444" t="str">
        <f t="shared" si="32"/>
        <v/>
      </c>
      <c r="D444" t="str">
        <f>IF(E444="","",IF(COUNTIF($E$2:E444,E444)&gt;1,"",SUMIFS(tbl_input[필요수량],tbl_input[집계키_지청],E444)))</f>
        <v/>
      </c>
      <c r="E444" t="str">
        <f>IFERROR(INDEX(tbl_input[집계키_지청],ROW()-1),"")</f>
        <v/>
      </c>
      <c r="F444" t="str">
        <f t="shared" si="33"/>
        <v/>
      </c>
      <c r="G444" t="str">
        <f t="shared" si="34"/>
        <v/>
      </c>
    </row>
    <row r="445" spans="1:7" x14ac:dyDescent="0.4">
      <c r="A445" t="str">
        <f t="shared" si="30"/>
        <v/>
      </c>
      <c r="B445" t="str">
        <f t="shared" si="31"/>
        <v/>
      </c>
      <c r="C445" t="str">
        <f t="shared" si="32"/>
        <v/>
      </c>
      <c r="D445" t="str">
        <f>IF(E445="","",IF(COUNTIF($E$2:E445,E445)&gt;1,"",SUMIFS(tbl_input[필요수량],tbl_input[집계키_지청],E445)))</f>
        <v/>
      </c>
      <c r="E445" t="str">
        <f>IFERROR(INDEX(tbl_input[집계키_지청],ROW()-1),"")</f>
        <v/>
      </c>
      <c r="F445" t="str">
        <f t="shared" si="33"/>
        <v/>
      </c>
      <c r="G445" t="str">
        <f t="shared" si="34"/>
        <v/>
      </c>
    </row>
    <row r="446" spans="1:7" x14ac:dyDescent="0.4">
      <c r="A446" t="str">
        <f t="shared" si="30"/>
        <v/>
      </c>
      <c r="B446" t="str">
        <f t="shared" si="31"/>
        <v/>
      </c>
      <c r="C446" t="str">
        <f t="shared" si="32"/>
        <v/>
      </c>
      <c r="D446" t="str">
        <f>IF(E446="","",IF(COUNTIF($E$2:E446,E446)&gt;1,"",SUMIFS(tbl_input[필요수량],tbl_input[집계키_지청],E446)))</f>
        <v/>
      </c>
      <c r="E446" t="str">
        <f>IFERROR(INDEX(tbl_input[집계키_지청],ROW()-1),"")</f>
        <v/>
      </c>
      <c r="F446" t="str">
        <f t="shared" si="33"/>
        <v/>
      </c>
      <c r="G446" t="str">
        <f t="shared" si="34"/>
        <v/>
      </c>
    </row>
    <row r="447" spans="1:7" x14ac:dyDescent="0.4">
      <c r="A447" t="str">
        <f t="shared" si="30"/>
        <v/>
      </c>
      <c r="B447" t="str">
        <f t="shared" si="31"/>
        <v/>
      </c>
      <c r="C447" t="str">
        <f t="shared" si="32"/>
        <v/>
      </c>
      <c r="D447" t="str">
        <f>IF(E447="","",IF(COUNTIF($E$2:E447,E447)&gt;1,"",SUMIFS(tbl_input[필요수량],tbl_input[집계키_지청],E447)))</f>
        <v/>
      </c>
      <c r="E447" t="str">
        <f>IFERROR(INDEX(tbl_input[집계키_지청],ROW()-1),"")</f>
        <v/>
      </c>
      <c r="F447" t="str">
        <f t="shared" si="33"/>
        <v/>
      </c>
      <c r="G447" t="str">
        <f t="shared" si="34"/>
        <v/>
      </c>
    </row>
    <row r="448" spans="1:7" x14ac:dyDescent="0.4">
      <c r="A448" t="str">
        <f t="shared" si="30"/>
        <v/>
      </c>
      <c r="B448" t="str">
        <f t="shared" si="31"/>
        <v/>
      </c>
      <c r="C448" t="str">
        <f t="shared" si="32"/>
        <v/>
      </c>
      <c r="D448" t="str">
        <f>IF(E448="","",IF(COUNTIF($E$2:E448,E448)&gt;1,"",SUMIFS(tbl_input[필요수량],tbl_input[집계키_지청],E448)))</f>
        <v/>
      </c>
      <c r="E448" t="str">
        <f>IFERROR(INDEX(tbl_input[집계키_지청],ROW()-1),"")</f>
        <v/>
      </c>
      <c r="F448" t="str">
        <f t="shared" si="33"/>
        <v/>
      </c>
      <c r="G448" t="str">
        <f t="shared" si="34"/>
        <v/>
      </c>
    </row>
    <row r="449" spans="1:7" x14ac:dyDescent="0.4">
      <c r="A449" t="str">
        <f t="shared" si="30"/>
        <v/>
      </c>
      <c r="B449" t="str">
        <f t="shared" si="31"/>
        <v/>
      </c>
      <c r="C449" t="str">
        <f t="shared" si="32"/>
        <v/>
      </c>
      <c r="D449" t="str">
        <f>IF(E449="","",IF(COUNTIF($E$2:E449,E449)&gt;1,"",SUMIFS(tbl_input[필요수량],tbl_input[집계키_지청],E449)))</f>
        <v/>
      </c>
      <c r="E449" t="str">
        <f>IFERROR(INDEX(tbl_input[집계키_지청],ROW()-1),"")</f>
        <v/>
      </c>
      <c r="F449" t="str">
        <f t="shared" si="33"/>
        <v/>
      </c>
      <c r="G449" t="str">
        <f t="shared" si="34"/>
        <v/>
      </c>
    </row>
    <row r="450" spans="1:7" x14ac:dyDescent="0.4">
      <c r="A450" t="str">
        <f t="shared" ref="A450:A513" si="35">IF(E450="","",LEFT(E450,F450-1))</f>
        <v/>
      </c>
      <c r="B450" t="str">
        <f t="shared" ref="B450:B513" si="36">IF(E450="","",MID(E450,F450+1,G450-F450-1))</f>
        <v/>
      </c>
      <c r="C450" t="str">
        <f t="shared" ref="C450:C513" si="37">IF(E450="","",MID(E450,G450+1,999))</f>
        <v/>
      </c>
      <c r="D450" t="str">
        <f>IF(E450="","",IF(COUNTIF($E$2:E450,E450)&gt;1,"",SUMIFS(tbl_input[필요수량],tbl_input[집계키_지청],E450)))</f>
        <v/>
      </c>
      <c r="E450" t="str">
        <f>IFERROR(INDEX(tbl_input[집계키_지청],ROW()-1),"")</f>
        <v/>
      </c>
      <c r="F450" t="str">
        <f t="shared" ref="F450:F513" si="38">IF(E450="","",FIND("♦",E450))</f>
        <v/>
      </c>
      <c r="G450" t="str">
        <f t="shared" ref="G450:G513" si="39">IF(E450="","",FIND("♦",E450,F450+1))</f>
        <v/>
      </c>
    </row>
    <row r="451" spans="1:7" x14ac:dyDescent="0.4">
      <c r="A451" t="str">
        <f t="shared" si="35"/>
        <v/>
      </c>
      <c r="B451" t="str">
        <f t="shared" si="36"/>
        <v/>
      </c>
      <c r="C451" t="str">
        <f t="shared" si="37"/>
        <v/>
      </c>
      <c r="D451" t="str">
        <f>IF(E451="","",IF(COUNTIF($E$2:E451,E451)&gt;1,"",SUMIFS(tbl_input[필요수량],tbl_input[집계키_지청],E451)))</f>
        <v/>
      </c>
      <c r="E451" t="str">
        <f>IFERROR(INDEX(tbl_input[집계키_지청],ROW()-1),"")</f>
        <v/>
      </c>
      <c r="F451" t="str">
        <f t="shared" si="38"/>
        <v/>
      </c>
      <c r="G451" t="str">
        <f t="shared" si="39"/>
        <v/>
      </c>
    </row>
    <row r="452" spans="1:7" x14ac:dyDescent="0.4">
      <c r="A452" t="str">
        <f t="shared" si="35"/>
        <v/>
      </c>
      <c r="B452" t="str">
        <f t="shared" si="36"/>
        <v/>
      </c>
      <c r="C452" t="str">
        <f t="shared" si="37"/>
        <v/>
      </c>
      <c r="D452" t="str">
        <f>IF(E452="","",IF(COUNTIF($E$2:E452,E452)&gt;1,"",SUMIFS(tbl_input[필요수량],tbl_input[집계키_지청],E452)))</f>
        <v/>
      </c>
      <c r="E452" t="str">
        <f>IFERROR(INDEX(tbl_input[집계키_지청],ROW()-1),"")</f>
        <v/>
      </c>
      <c r="F452" t="str">
        <f t="shared" si="38"/>
        <v/>
      </c>
      <c r="G452" t="str">
        <f t="shared" si="39"/>
        <v/>
      </c>
    </row>
    <row r="453" spans="1:7" x14ac:dyDescent="0.4">
      <c r="A453" t="str">
        <f t="shared" si="35"/>
        <v/>
      </c>
      <c r="B453" t="str">
        <f t="shared" si="36"/>
        <v/>
      </c>
      <c r="C453" t="str">
        <f t="shared" si="37"/>
        <v/>
      </c>
      <c r="D453" t="str">
        <f>IF(E453="","",IF(COUNTIF($E$2:E453,E453)&gt;1,"",SUMIFS(tbl_input[필요수량],tbl_input[집계키_지청],E453)))</f>
        <v/>
      </c>
      <c r="E453" t="str">
        <f>IFERROR(INDEX(tbl_input[집계키_지청],ROW()-1),"")</f>
        <v/>
      </c>
      <c r="F453" t="str">
        <f t="shared" si="38"/>
        <v/>
      </c>
      <c r="G453" t="str">
        <f t="shared" si="39"/>
        <v/>
      </c>
    </row>
    <row r="454" spans="1:7" x14ac:dyDescent="0.4">
      <c r="A454" t="str">
        <f t="shared" si="35"/>
        <v/>
      </c>
      <c r="B454" t="str">
        <f t="shared" si="36"/>
        <v/>
      </c>
      <c r="C454" t="str">
        <f t="shared" si="37"/>
        <v/>
      </c>
      <c r="D454" t="str">
        <f>IF(E454="","",IF(COUNTIF($E$2:E454,E454)&gt;1,"",SUMIFS(tbl_input[필요수량],tbl_input[집계키_지청],E454)))</f>
        <v/>
      </c>
      <c r="E454" t="str">
        <f>IFERROR(INDEX(tbl_input[집계키_지청],ROW()-1),"")</f>
        <v/>
      </c>
      <c r="F454" t="str">
        <f t="shared" si="38"/>
        <v/>
      </c>
      <c r="G454" t="str">
        <f t="shared" si="39"/>
        <v/>
      </c>
    </row>
    <row r="455" spans="1:7" x14ac:dyDescent="0.4">
      <c r="A455" t="str">
        <f t="shared" si="35"/>
        <v/>
      </c>
      <c r="B455" t="str">
        <f t="shared" si="36"/>
        <v/>
      </c>
      <c r="C455" t="str">
        <f t="shared" si="37"/>
        <v/>
      </c>
      <c r="D455" t="str">
        <f>IF(E455="","",IF(COUNTIF($E$2:E455,E455)&gt;1,"",SUMIFS(tbl_input[필요수량],tbl_input[집계키_지청],E455)))</f>
        <v/>
      </c>
      <c r="E455" t="str">
        <f>IFERROR(INDEX(tbl_input[집계키_지청],ROW()-1),"")</f>
        <v/>
      </c>
      <c r="F455" t="str">
        <f t="shared" si="38"/>
        <v/>
      </c>
      <c r="G455" t="str">
        <f t="shared" si="39"/>
        <v/>
      </c>
    </row>
    <row r="456" spans="1:7" x14ac:dyDescent="0.4">
      <c r="A456" t="str">
        <f t="shared" si="35"/>
        <v/>
      </c>
      <c r="B456" t="str">
        <f t="shared" si="36"/>
        <v/>
      </c>
      <c r="C456" t="str">
        <f t="shared" si="37"/>
        <v/>
      </c>
      <c r="D456" t="str">
        <f>IF(E456="","",IF(COUNTIF($E$2:E456,E456)&gt;1,"",SUMIFS(tbl_input[필요수량],tbl_input[집계키_지청],E456)))</f>
        <v/>
      </c>
      <c r="E456" t="str">
        <f>IFERROR(INDEX(tbl_input[집계키_지청],ROW()-1),"")</f>
        <v/>
      </c>
      <c r="F456" t="str">
        <f t="shared" si="38"/>
        <v/>
      </c>
      <c r="G456" t="str">
        <f t="shared" si="39"/>
        <v/>
      </c>
    </row>
    <row r="457" spans="1:7" x14ac:dyDescent="0.4">
      <c r="A457" t="str">
        <f t="shared" si="35"/>
        <v/>
      </c>
      <c r="B457" t="str">
        <f t="shared" si="36"/>
        <v/>
      </c>
      <c r="C457" t="str">
        <f t="shared" si="37"/>
        <v/>
      </c>
      <c r="D457" t="str">
        <f>IF(E457="","",IF(COUNTIF($E$2:E457,E457)&gt;1,"",SUMIFS(tbl_input[필요수량],tbl_input[집계키_지청],E457)))</f>
        <v/>
      </c>
      <c r="E457" t="str">
        <f>IFERROR(INDEX(tbl_input[집계키_지청],ROW()-1),"")</f>
        <v/>
      </c>
      <c r="F457" t="str">
        <f t="shared" si="38"/>
        <v/>
      </c>
      <c r="G457" t="str">
        <f t="shared" si="39"/>
        <v/>
      </c>
    </row>
    <row r="458" spans="1:7" x14ac:dyDescent="0.4">
      <c r="A458" t="str">
        <f t="shared" si="35"/>
        <v/>
      </c>
      <c r="B458" t="str">
        <f t="shared" si="36"/>
        <v/>
      </c>
      <c r="C458" t="str">
        <f t="shared" si="37"/>
        <v/>
      </c>
      <c r="D458" t="str">
        <f>IF(E458="","",IF(COUNTIF($E$2:E458,E458)&gt;1,"",SUMIFS(tbl_input[필요수량],tbl_input[집계키_지청],E458)))</f>
        <v/>
      </c>
      <c r="E458" t="str">
        <f>IFERROR(INDEX(tbl_input[집계키_지청],ROW()-1),"")</f>
        <v/>
      </c>
      <c r="F458" t="str">
        <f t="shared" si="38"/>
        <v/>
      </c>
      <c r="G458" t="str">
        <f t="shared" si="39"/>
        <v/>
      </c>
    </row>
    <row r="459" spans="1:7" x14ac:dyDescent="0.4">
      <c r="A459" t="str">
        <f t="shared" si="35"/>
        <v/>
      </c>
      <c r="B459" t="str">
        <f t="shared" si="36"/>
        <v/>
      </c>
      <c r="C459" t="str">
        <f t="shared" si="37"/>
        <v/>
      </c>
      <c r="D459" t="str">
        <f>IF(E459="","",IF(COUNTIF($E$2:E459,E459)&gt;1,"",SUMIFS(tbl_input[필요수량],tbl_input[집계키_지청],E459)))</f>
        <v/>
      </c>
      <c r="E459" t="str">
        <f>IFERROR(INDEX(tbl_input[집계키_지청],ROW()-1),"")</f>
        <v/>
      </c>
      <c r="F459" t="str">
        <f t="shared" si="38"/>
        <v/>
      </c>
      <c r="G459" t="str">
        <f t="shared" si="39"/>
        <v/>
      </c>
    </row>
    <row r="460" spans="1:7" x14ac:dyDescent="0.4">
      <c r="A460" t="str">
        <f t="shared" si="35"/>
        <v/>
      </c>
      <c r="B460" t="str">
        <f t="shared" si="36"/>
        <v/>
      </c>
      <c r="C460" t="str">
        <f t="shared" si="37"/>
        <v/>
      </c>
      <c r="D460" t="str">
        <f>IF(E460="","",IF(COUNTIF($E$2:E460,E460)&gt;1,"",SUMIFS(tbl_input[필요수량],tbl_input[집계키_지청],E460)))</f>
        <v/>
      </c>
      <c r="E460" t="str">
        <f>IFERROR(INDEX(tbl_input[집계키_지청],ROW()-1),"")</f>
        <v/>
      </c>
      <c r="F460" t="str">
        <f t="shared" si="38"/>
        <v/>
      </c>
      <c r="G460" t="str">
        <f t="shared" si="39"/>
        <v/>
      </c>
    </row>
    <row r="461" spans="1:7" x14ac:dyDescent="0.4">
      <c r="A461" t="str">
        <f t="shared" si="35"/>
        <v/>
      </c>
      <c r="B461" t="str">
        <f t="shared" si="36"/>
        <v/>
      </c>
      <c r="C461" t="str">
        <f t="shared" si="37"/>
        <v/>
      </c>
      <c r="D461" t="str">
        <f>IF(E461="","",IF(COUNTIF($E$2:E461,E461)&gt;1,"",SUMIFS(tbl_input[필요수량],tbl_input[집계키_지청],E461)))</f>
        <v/>
      </c>
      <c r="E461" t="str">
        <f>IFERROR(INDEX(tbl_input[집계키_지청],ROW()-1),"")</f>
        <v/>
      </c>
      <c r="F461" t="str">
        <f t="shared" si="38"/>
        <v/>
      </c>
      <c r="G461" t="str">
        <f t="shared" si="39"/>
        <v/>
      </c>
    </row>
    <row r="462" spans="1:7" x14ac:dyDescent="0.4">
      <c r="A462" t="str">
        <f t="shared" si="35"/>
        <v/>
      </c>
      <c r="B462" t="str">
        <f t="shared" si="36"/>
        <v/>
      </c>
      <c r="C462" t="str">
        <f t="shared" si="37"/>
        <v/>
      </c>
      <c r="D462" t="str">
        <f>IF(E462="","",IF(COUNTIF($E$2:E462,E462)&gt;1,"",SUMIFS(tbl_input[필요수량],tbl_input[집계키_지청],E462)))</f>
        <v/>
      </c>
      <c r="E462" t="str">
        <f>IFERROR(INDEX(tbl_input[집계키_지청],ROW()-1),"")</f>
        <v/>
      </c>
      <c r="F462" t="str">
        <f t="shared" si="38"/>
        <v/>
      </c>
      <c r="G462" t="str">
        <f t="shared" si="39"/>
        <v/>
      </c>
    </row>
    <row r="463" spans="1:7" x14ac:dyDescent="0.4">
      <c r="A463" t="str">
        <f t="shared" si="35"/>
        <v/>
      </c>
      <c r="B463" t="str">
        <f t="shared" si="36"/>
        <v/>
      </c>
      <c r="C463" t="str">
        <f t="shared" si="37"/>
        <v/>
      </c>
      <c r="D463" t="str">
        <f>IF(E463="","",IF(COUNTIF($E$2:E463,E463)&gt;1,"",SUMIFS(tbl_input[필요수량],tbl_input[집계키_지청],E463)))</f>
        <v/>
      </c>
      <c r="E463" t="str">
        <f>IFERROR(INDEX(tbl_input[집계키_지청],ROW()-1),"")</f>
        <v/>
      </c>
      <c r="F463" t="str">
        <f t="shared" si="38"/>
        <v/>
      </c>
      <c r="G463" t="str">
        <f t="shared" si="39"/>
        <v/>
      </c>
    </row>
    <row r="464" spans="1:7" x14ac:dyDescent="0.4">
      <c r="A464" t="str">
        <f t="shared" si="35"/>
        <v/>
      </c>
      <c r="B464" t="str">
        <f t="shared" si="36"/>
        <v/>
      </c>
      <c r="C464" t="str">
        <f t="shared" si="37"/>
        <v/>
      </c>
      <c r="D464" t="str">
        <f>IF(E464="","",IF(COUNTIF($E$2:E464,E464)&gt;1,"",SUMIFS(tbl_input[필요수량],tbl_input[집계키_지청],E464)))</f>
        <v/>
      </c>
      <c r="E464" t="str">
        <f>IFERROR(INDEX(tbl_input[집계키_지청],ROW()-1),"")</f>
        <v/>
      </c>
      <c r="F464" t="str">
        <f t="shared" si="38"/>
        <v/>
      </c>
      <c r="G464" t="str">
        <f t="shared" si="39"/>
        <v/>
      </c>
    </row>
    <row r="465" spans="1:7" x14ac:dyDescent="0.4">
      <c r="A465" t="str">
        <f t="shared" si="35"/>
        <v/>
      </c>
      <c r="B465" t="str">
        <f t="shared" si="36"/>
        <v/>
      </c>
      <c r="C465" t="str">
        <f t="shared" si="37"/>
        <v/>
      </c>
      <c r="D465" t="str">
        <f>IF(E465="","",IF(COUNTIF($E$2:E465,E465)&gt;1,"",SUMIFS(tbl_input[필요수량],tbl_input[집계키_지청],E465)))</f>
        <v/>
      </c>
      <c r="E465" t="str">
        <f>IFERROR(INDEX(tbl_input[집계키_지청],ROW()-1),"")</f>
        <v/>
      </c>
      <c r="F465" t="str">
        <f t="shared" si="38"/>
        <v/>
      </c>
      <c r="G465" t="str">
        <f t="shared" si="39"/>
        <v/>
      </c>
    </row>
    <row r="466" spans="1:7" x14ac:dyDescent="0.4">
      <c r="A466" t="str">
        <f t="shared" si="35"/>
        <v/>
      </c>
      <c r="B466" t="str">
        <f t="shared" si="36"/>
        <v/>
      </c>
      <c r="C466" t="str">
        <f t="shared" si="37"/>
        <v/>
      </c>
      <c r="D466" t="str">
        <f>IF(E466="","",IF(COUNTIF($E$2:E466,E466)&gt;1,"",SUMIFS(tbl_input[필요수량],tbl_input[집계키_지청],E466)))</f>
        <v/>
      </c>
      <c r="E466" t="str">
        <f>IFERROR(INDEX(tbl_input[집계키_지청],ROW()-1),"")</f>
        <v/>
      </c>
      <c r="F466" t="str">
        <f t="shared" si="38"/>
        <v/>
      </c>
      <c r="G466" t="str">
        <f t="shared" si="39"/>
        <v/>
      </c>
    </row>
    <row r="467" spans="1:7" x14ac:dyDescent="0.4">
      <c r="A467" t="str">
        <f t="shared" si="35"/>
        <v/>
      </c>
      <c r="B467" t="str">
        <f t="shared" si="36"/>
        <v/>
      </c>
      <c r="C467" t="str">
        <f t="shared" si="37"/>
        <v/>
      </c>
      <c r="D467" t="str">
        <f>IF(E467="","",IF(COUNTIF($E$2:E467,E467)&gt;1,"",SUMIFS(tbl_input[필요수량],tbl_input[집계키_지청],E467)))</f>
        <v/>
      </c>
      <c r="E467" t="str">
        <f>IFERROR(INDEX(tbl_input[집계키_지청],ROW()-1),"")</f>
        <v/>
      </c>
      <c r="F467" t="str">
        <f t="shared" si="38"/>
        <v/>
      </c>
      <c r="G467" t="str">
        <f t="shared" si="39"/>
        <v/>
      </c>
    </row>
    <row r="468" spans="1:7" x14ac:dyDescent="0.4">
      <c r="A468" t="str">
        <f t="shared" si="35"/>
        <v/>
      </c>
      <c r="B468" t="str">
        <f t="shared" si="36"/>
        <v/>
      </c>
      <c r="C468" t="str">
        <f t="shared" si="37"/>
        <v/>
      </c>
      <c r="D468" t="str">
        <f>IF(E468="","",IF(COUNTIF($E$2:E468,E468)&gt;1,"",SUMIFS(tbl_input[필요수량],tbl_input[집계키_지청],E468)))</f>
        <v/>
      </c>
      <c r="E468" t="str">
        <f>IFERROR(INDEX(tbl_input[집계키_지청],ROW()-1),"")</f>
        <v/>
      </c>
      <c r="F468" t="str">
        <f t="shared" si="38"/>
        <v/>
      </c>
      <c r="G468" t="str">
        <f t="shared" si="39"/>
        <v/>
      </c>
    </row>
    <row r="469" spans="1:7" x14ac:dyDescent="0.4">
      <c r="A469" t="str">
        <f t="shared" si="35"/>
        <v/>
      </c>
      <c r="B469" t="str">
        <f t="shared" si="36"/>
        <v/>
      </c>
      <c r="C469" t="str">
        <f t="shared" si="37"/>
        <v/>
      </c>
      <c r="D469" t="str">
        <f>IF(E469="","",IF(COUNTIF($E$2:E469,E469)&gt;1,"",SUMIFS(tbl_input[필요수량],tbl_input[집계키_지청],E469)))</f>
        <v/>
      </c>
      <c r="E469" t="str">
        <f>IFERROR(INDEX(tbl_input[집계키_지청],ROW()-1),"")</f>
        <v/>
      </c>
      <c r="F469" t="str">
        <f t="shared" si="38"/>
        <v/>
      </c>
      <c r="G469" t="str">
        <f t="shared" si="39"/>
        <v/>
      </c>
    </row>
    <row r="470" spans="1:7" x14ac:dyDescent="0.4">
      <c r="A470" t="str">
        <f t="shared" si="35"/>
        <v/>
      </c>
      <c r="B470" t="str">
        <f t="shared" si="36"/>
        <v/>
      </c>
      <c r="C470" t="str">
        <f t="shared" si="37"/>
        <v/>
      </c>
      <c r="D470" t="str">
        <f>IF(E470="","",IF(COUNTIF($E$2:E470,E470)&gt;1,"",SUMIFS(tbl_input[필요수량],tbl_input[집계키_지청],E470)))</f>
        <v/>
      </c>
      <c r="E470" t="str">
        <f>IFERROR(INDEX(tbl_input[집계키_지청],ROW()-1),"")</f>
        <v/>
      </c>
      <c r="F470" t="str">
        <f t="shared" si="38"/>
        <v/>
      </c>
      <c r="G470" t="str">
        <f t="shared" si="39"/>
        <v/>
      </c>
    </row>
    <row r="471" spans="1:7" x14ac:dyDescent="0.4">
      <c r="A471" t="str">
        <f t="shared" si="35"/>
        <v/>
      </c>
      <c r="B471" t="str">
        <f t="shared" si="36"/>
        <v/>
      </c>
      <c r="C471" t="str">
        <f t="shared" si="37"/>
        <v/>
      </c>
      <c r="D471" t="str">
        <f>IF(E471="","",IF(COUNTIF($E$2:E471,E471)&gt;1,"",SUMIFS(tbl_input[필요수량],tbl_input[집계키_지청],E471)))</f>
        <v/>
      </c>
      <c r="E471" t="str">
        <f>IFERROR(INDEX(tbl_input[집계키_지청],ROW()-1),"")</f>
        <v/>
      </c>
      <c r="F471" t="str">
        <f t="shared" si="38"/>
        <v/>
      </c>
      <c r="G471" t="str">
        <f t="shared" si="39"/>
        <v/>
      </c>
    </row>
    <row r="472" spans="1:7" x14ac:dyDescent="0.4">
      <c r="A472" t="str">
        <f t="shared" si="35"/>
        <v/>
      </c>
      <c r="B472" t="str">
        <f t="shared" si="36"/>
        <v/>
      </c>
      <c r="C472" t="str">
        <f t="shared" si="37"/>
        <v/>
      </c>
      <c r="D472" t="str">
        <f>IF(E472="","",IF(COUNTIF($E$2:E472,E472)&gt;1,"",SUMIFS(tbl_input[필요수량],tbl_input[집계키_지청],E472)))</f>
        <v/>
      </c>
      <c r="E472" t="str">
        <f>IFERROR(INDEX(tbl_input[집계키_지청],ROW()-1),"")</f>
        <v/>
      </c>
      <c r="F472" t="str">
        <f t="shared" si="38"/>
        <v/>
      </c>
      <c r="G472" t="str">
        <f t="shared" si="39"/>
        <v/>
      </c>
    </row>
    <row r="473" spans="1:7" x14ac:dyDescent="0.4">
      <c r="A473" t="str">
        <f t="shared" si="35"/>
        <v/>
      </c>
      <c r="B473" t="str">
        <f t="shared" si="36"/>
        <v/>
      </c>
      <c r="C473" t="str">
        <f t="shared" si="37"/>
        <v/>
      </c>
      <c r="D473" t="str">
        <f>IF(E473="","",IF(COUNTIF($E$2:E473,E473)&gt;1,"",SUMIFS(tbl_input[필요수량],tbl_input[집계키_지청],E473)))</f>
        <v/>
      </c>
      <c r="E473" t="str">
        <f>IFERROR(INDEX(tbl_input[집계키_지청],ROW()-1),"")</f>
        <v/>
      </c>
      <c r="F473" t="str">
        <f t="shared" si="38"/>
        <v/>
      </c>
      <c r="G473" t="str">
        <f t="shared" si="39"/>
        <v/>
      </c>
    </row>
    <row r="474" spans="1:7" x14ac:dyDescent="0.4">
      <c r="A474" t="str">
        <f t="shared" si="35"/>
        <v/>
      </c>
      <c r="B474" t="str">
        <f t="shared" si="36"/>
        <v/>
      </c>
      <c r="C474" t="str">
        <f t="shared" si="37"/>
        <v/>
      </c>
      <c r="D474" t="str">
        <f>IF(E474="","",IF(COUNTIF($E$2:E474,E474)&gt;1,"",SUMIFS(tbl_input[필요수량],tbl_input[집계키_지청],E474)))</f>
        <v/>
      </c>
      <c r="E474" t="str">
        <f>IFERROR(INDEX(tbl_input[집계키_지청],ROW()-1),"")</f>
        <v/>
      </c>
      <c r="F474" t="str">
        <f t="shared" si="38"/>
        <v/>
      </c>
      <c r="G474" t="str">
        <f t="shared" si="39"/>
        <v/>
      </c>
    </row>
    <row r="475" spans="1:7" x14ac:dyDescent="0.4">
      <c r="A475" t="str">
        <f t="shared" si="35"/>
        <v/>
      </c>
      <c r="B475" t="str">
        <f t="shared" si="36"/>
        <v/>
      </c>
      <c r="C475" t="str">
        <f t="shared" si="37"/>
        <v/>
      </c>
      <c r="D475" t="str">
        <f>IF(E475="","",IF(COUNTIF($E$2:E475,E475)&gt;1,"",SUMIFS(tbl_input[필요수량],tbl_input[집계키_지청],E475)))</f>
        <v/>
      </c>
      <c r="E475" t="str">
        <f>IFERROR(INDEX(tbl_input[집계키_지청],ROW()-1),"")</f>
        <v/>
      </c>
      <c r="F475" t="str">
        <f t="shared" si="38"/>
        <v/>
      </c>
      <c r="G475" t="str">
        <f t="shared" si="39"/>
        <v/>
      </c>
    </row>
    <row r="476" spans="1:7" x14ac:dyDescent="0.4">
      <c r="A476" t="str">
        <f t="shared" si="35"/>
        <v/>
      </c>
      <c r="B476" t="str">
        <f t="shared" si="36"/>
        <v/>
      </c>
      <c r="C476" t="str">
        <f t="shared" si="37"/>
        <v/>
      </c>
      <c r="D476" t="str">
        <f>IF(E476="","",IF(COUNTIF($E$2:E476,E476)&gt;1,"",SUMIFS(tbl_input[필요수량],tbl_input[집계키_지청],E476)))</f>
        <v/>
      </c>
      <c r="E476" t="str">
        <f>IFERROR(INDEX(tbl_input[집계키_지청],ROW()-1),"")</f>
        <v/>
      </c>
      <c r="F476" t="str">
        <f t="shared" si="38"/>
        <v/>
      </c>
      <c r="G476" t="str">
        <f t="shared" si="39"/>
        <v/>
      </c>
    </row>
    <row r="477" spans="1:7" x14ac:dyDescent="0.4">
      <c r="A477" t="str">
        <f t="shared" si="35"/>
        <v/>
      </c>
      <c r="B477" t="str">
        <f t="shared" si="36"/>
        <v/>
      </c>
      <c r="C477" t="str">
        <f t="shared" si="37"/>
        <v/>
      </c>
      <c r="D477" t="str">
        <f>IF(E477="","",IF(COUNTIF($E$2:E477,E477)&gt;1,"",SUMIFS(tbl_input[필요수량],tbl_input[집계키_지청],E477)))</f>
        <v/>
      </c>
      <c r="E477" t="str">
        <f>IFERROR(INDEX(tbl_input[집계키_지청],ROW()-1),"")</f>
        <v/>
      </c>
      <c r="F477" t="str">
        <f t="shared" si="38"/>
        <v/>
      </c>
      <c r="G477" t="str">
        <f t="shared" si="39"/>
        <v/>
      </c>
    </row>
    <row r="478" spans="1:7" x14ac:dyDescent="0.4">
      <c r="A478" t="str">
        <f t="shared" si="35"/>
        <v/>
      </c>
      <c r="B478" t="str">
        <f t="shared" si="36"/>
        <v/>
      </c>
      <c r="C478" t="str">
        <f t="shared" si="37"/>
        <v/>
      </c>
      <c r="D478" t="str">
        <f>IF(E478="","",IF(COUNTIF($E$2:E478,E478)&gt;1,"",SUMIFS(tbl_input[필요수량],tbl_input[집계키_지청],E478)))</f>
        <v/>
      </c>
      <c r="E478" t="str">
        <f>IFERROR(INDEX(tbl_input[집계키_지청],ROW()-1),"")</f>
        <v/>
      </c>
      <c r="F478" t="str">
        <f t="shared" si="38"/>
        <v/>
      </c>
      <c r="G478" t="str">
        <f t="shared" si="39"/>
        <v/>
      </c>
    </row>
    <row r="479" spans="1:7" x14ac:dyDescent="0.4">
      <c r="A479" t="str">
        <f t="shared" si="35"/>
        <v/>
      </c>
      <c r="B479" t="str">
        <f t="shared" si="36"/>
        <v/>
      </c>
      <c r="C479" t="str">
        <f t="shared" si="37"/>
        <v/>
      </c>
      <c r="D479" t="str">
        <f>IF(E479="","",IF(COUNTIF($E$2:E479,E479)&gt;1,"",SUMIFS(tbl_input[필요수량],tbl_input[집계키_지청],E479)))</f>
        <v/>
      </c>
      <c r="E479" t="str">
        <f>IFERROR(INDEX(tbl_input[집계키_지청],ROW()-1),"")</f>
        <v/>
      </c>
      <c r="F479" t="str">
        <f t="shared" si="38"/>
        <v/>
      </c>
      <c r="G479" t="str">
        <f t="shared" si="39"/>
        <v/>
      </c>
    </row>
    <row r="480" spans="1:7" x14ac:dyDescent="0.4">
      <c r="A480" t="str">
        <f t="shared" si="35"/>
        <v/>
      </c>
      <c r="B480" t="str">
        <f t="shared" si="36"/>
        <v/>
      </c>
      <c r="C480" t="str">
        <f t="shared" si="37"/>
        <v/>
      </c>
      <c r="D480" t="str">
        <f>IF(E480="","",IF(COUNTIF($E$2:E480,E480)&gt;1,"",SUMIFS(tbl_input[필요수량],tbl_input[집계키_지청],E480)))</f>
        <v/>
      </c>
      <c r="E480" t="str">
        <f>IFERROR(INDEX(tbl_input[집계키_지청],ROW()-1),"")</f>
        <v/>
      </c>
      <c r="F480" t="str">
        <f t="shared" si="38"/>
        <v/>
      </c>
      <c r="G480" t="str">
        <f t="shared" si="39"/>
        <v/>
      </c>
    </row>
    <row r="481" spans="1:7" x14ac:dyDescent="0.4">
      <c r="A481" t="str">
        <f t="shared" si="35"/>
        <v/>
      </c>
      <c r="B481" t="str">
        <f t="shared" si="36"/>
        <v/>
      </c>
      <c r="C481" t="str">
        <f t="shared" si="37"/>
        <v/>
      </c>
      <c r="D481" t="str">
        <f>IF(E481="","",IF(COUNTIF($E$2:E481,E481)&gt;1,"",SUMIFS(tbl_input[필요수량],tbl_input[집계키_지청],E481)))</f>
        <v/>
      </c>
      <c r="E481" t="str">
        <f>IFERROR(INDEX(tbl_input[집계키_지청],ROW()-1),"")</f>
        <v/>
      </c>
      <c r="F481" t="str">
        <f t="shared" si="38"/>
        <v/>
      </c>
      <c r="G481" t="str">
        <f t="shared" si="39"/>
        <v/>
      </c>
    </row>
    <row r="482" spans="1:7" x14ac:dyDescent="0.4">
      <c r="A482" t="str">
        <f t="shared" si="35"/>
        <v/>
      </c>
      <c r="B482" t="str">
        <f t="shared" si="36"/>
        <v/>
      </c>
      <c r="C482" t="str">
        <f t="shared" si="37"/>
        <v/>
      </c>
      <c r="D482" t="str">
        <f>IF(E482="","",IF(COUNTIF($E$2:E482,E482)&gt;1,"",SUMIFS(tbl_input[필요수량],tbl_input[집계키_지청],E482)))</f>
        <v/>
      </c>
      <c r="E482" t="str">
        <f>IFERROR(INDEX(tbl_input[집계키_지청],ROW()-1),"")</f>
        <v/>
      </c>
      <c r="F482" t="str">
        <f t="shared" si="38"/>
        <v/>
      </c>
      <c r="G482" t="str">
        <f t="shared" si="39"/>
        <v/>
      </c>
    </row>
    <row r="483" spans="1:7" x14ac:dyDescent="0.4">
      <c r="A483" t="str">
        <f t="shared" si="35"/>
        <v/>
      </c>
      <c r="B483" t="str">
        <f t="shared" si="36"/>
        <v/>
      </c>
      <c r="C483" t="str">
        <f t="shared" si="37"/>
        <v/>
      </c>
      <c r="D483" t="str">
        <f>IF(E483="","",IF(COUNTIF($E$2:E483,E483)&gt;1,"",SUMIFS(tbl_input[필요수량],tbl_input[집계키_지청],E483)))</f>
        <v/>
      </c>
      <c r="E483" t="str">
        <f>IFERROR(INDEX(tbl_input[집계키_지청],ROW()-1),"")</f>
        <v/>
      </c>
      <c r="F483" t="str">
        <f t="shared" si="38"/>
        <v/>
      </c>
      <c r="G483" t="str">
        <f t="shared" si="39"/>
        <v/>
      </c>
    </row>
    <row r="484" spans="1:7" x14ac:dyDescent="0.4">
      <c r="A484" t="str">
        <f t="shared" si="35"/>
        <v/>
      </c>
      <c r="B484" t="str">
        <f t="shared" si="36"/>
        <v/>
      </c>
      <c r="C484" t="str">
        <f t="shared" si="37"/>
        <v/>
      </c>
      <c r="D484" t="str">
        <f>IF(E484="","",IF(COUNTIF($E$2:E484,E484)&gt;1,"",SUMIFS(tbl_input[필요수량],tbl_input[집계키_지청],E484)))</f>
        <v/>
      </c>
      <c r="E484" t="str">
        <f>IFERROR(INDEX(tbl_input[집계키_지청],ROW()-1),"")</f>
        <v/>
      </c>
      <c r="F484" t="str">
        <f t="shared" si="38"/>
        <v/>
      </c>
      <c r="G484" t="str">
        <f t="shared" si="39"/>
        <v/>
      </c>
    </row>
    <row r="485" spans="1:7" x14ac:dyDescent="0.4">
      <c r="A485" t="str">
        <f t="shared" si="35"/>
        <v/>
      </c>
      <c r="B485" t="str">
        <f t="shared" si="36"/>
        <v/>
      </c>
      <c r="C485" t="str">
        <f t="shared" si="37"/>
        <v/>
      </c>
      <c r="D485" t="str">
        <f>IF(E485="","",IF(COUNTIF($E$2:E485,E485)&gt;1,"",SUMIFS(tbl_input[필요수량],tbl_input[집계키_지청],E485)))</f>
        <v/>
      </c>
      <c r="E485" t="str">
        <f>IFERROR(INDEX(tbl_input[집계키_지청],ROW()-1),"")</f>
        <v/>
      </c>
      <c r="F485" t="str">
        <f t="shared" si="38"/>
        <v/>
      </c>
      <c r="G485" t="str">
        <f t="shared" si="39"/>
        <v/>
      </c>
    </row>
    <row r="486" spans="1:7" x14ac:dyDescent="0.4">
      <c r="A486" t="str">
        <f t="shared" si="35"/>
        <v/>
      </c>
      <c r="B486" t="str">
        <f t="shared" si="36"/>
        <v/>
      </c>
      <c r="C486" t="str">
        <f t="shared" si="37"/>
        <v/>
      </c>
      <c r="D486" t="str">
        <f>IF(E486="","",IF(COUNTIF($E$2:E486,E486)&gt;1,"",SUMIFS(tbl_input[필요수량],tbl_input[집계키_지청],E486)))</f>
        <v/>
      </c>
      <c r="E486" t="str">
        <f>IFERROR(INDEX(tbl_input[집계키_지청],ROW()-1),"")</f>
        <v/>
      </c>
      <c r="F486" t="str">
        <f t="shared" si="38"/>
        <v/>
      </c>
      <c r="G486" t="str">
        <f t="shared" si="39"/>
        <v/>
      </c>
    </row>
    <row r="487" spans="1:7" x14ac:dyDescent="0.4">
      <c r="A487" t="str">
        <f t="shared" si="35"/>
        <v/>
      </c>
      <c r="B487" t="str">
        <f t="shared" si="36"/>
        <v/>
      </c>
      <c r="C487" t="str">
        <f t="shared" si="37"/>
        <v/>
      </c>
      <c r="D487" t="str">
        <f>IF(E487="","",IF(COUNTIF($E$2:E487,E487)&gt;1,"",SUMIFS(tbl_input[필요수량],tbl_input[집계키_지청],E487)))</f>
        <v/>
      </c>
      <c r="E487" t="str">
        <f>IFERROR(INDEX(tbl_input[집계키_지청],ROW()-1),"")</f>
        <v/>
      </c>
      <c r="F487" t="str">
        <f t="shared" si="38"/>
        <v/>
      </c>
      <c r="G487" t="str">
        <f t="shared" si="39"/>
        <v/>
      </c>
    </row>
    <row r="488" spans="1:7" x14ac:dyDescent="0.4">
      <c r="A488" t="str">
        <f t="shared" si="35"/>
        <v/>
      </c>
      <c r="B488" t="str">
        <f t="shared" si="36"/>
        <v/>
      </c>
      <c r="C488" t="str">
        <f t="shared" si="37"/>
        <v/>
      </c>
      <c r="D488" t="str">
        <f>IF(E488="","",IF(COUNTIF($E$2:E488,E488)&gt;1,"",SUMIFS(tbl_input[필요수량],tbl_input[집계키_지청],E488)))</f>
        <v/>
      </c>
      <c r="E488" t="str">
        <f>IFERROR(INDEX(tbl_input[집계키_지청],ROW()-1),"")</f>
        <v/>
      </c>
      <c r="F488" t="str">
        <f t="shared" si="38"/>
        <v/>
      </c>
      <c r="G488" t="str">
        <f t="shared" si="39"/>
        <v/>
      </c>
    </row>
    <row r="489" spans="1:7" x14ac:dyDescent="0.4">
      <c r="A489" t="str">
        <f t="shared" si="35"/>
        <v/>
      </c>
      <c r="B489" t="str">
        <f t="shared" si="36"/>
        <v/>
      </c>
      <c r="C489" t="str">
        <f t="shared" si="37"/>
        <v/>
      </c>
      <c r="D489" t="str">
        <f>IF(E489="","",IF(COUNTIF($E$2:E489,E489)&gt;1,"",SUMIFS(tbl_input[필요수량],tbl_input[집계키_지청],E489)))</f>
        <v/>
      </c>
      <c r="E489" t="str">
        <f>IFERROR(INDEX(tbl_input[집계키_지청],ROW()-1),"")</f>
        <v/>
      </c>
      <c r="F489" t="str">
        <f t="shared" si="38"/>
        <v/>
      </c>
      <c r="G489" t="str">
        <f t="shared" si="39"/>
        <v/>
      </c>
    </row>
    <row r="490" spans="1:7" x14ac:dyDescent="0.4">
      <c r="A490" t="str">
        <f t="shared" si="35"/>
        <v/>
      </c>
      <c r="B490" t="str">
        <f t="shared" si="36"/>
        <v/>
      </c>
      <c r="C490" t="str">
        <f t="shared" si="37"/>
        <v/>
      </c>
      <c r="D490" t="str">
        <f>IF(E490="","",IF(COUNTIF($E$2:E490,E490)&gt;1,"",SUMIFS(tbl_input[필요수량],tbl_input[집계키_지청],E490)))</f>
        <v/>
      </c>
      <c r="E490" t="str">
        <f>IFERROR(INDEX(tbl_input[집계키_지청],ROW()-1),"")</f>
        <v/>
      </c>
      <c r="F490" t="str">
        <f t="shared" si="38"/>
        <v/>
      </c>
      <c r="G490" t="str">
        <f t="shared" si="39"/>
        <v/>
      </c>
    </row>
    <row r="491" spans="1:7" x14ac:dyDescent="0.4">
      <c r="A491" t="str">
        <f t="shared" si="35"/>
        <v/>
      </c>
      <c r="B491" t="str">
        <f t="shared" si="36"/>
        <v/>
      </c>
      <c r="C491" t="str">
        <f t="shared" si="37"/>
        <v/>
      </c>
      <c r="D491" t="str">
        <f>IF(E491="","",IF(COUNTIF($E$2:E491,E491)&gt;1,"",SUMIFS(tbl_input[필요수량],tbl_input[집계키_지청],E491)))</f>
        <v/>
      </c>
      <c r="E491" t="str">
        <f>IFERROR(INDEX(tbl_input[집계키_지청],ROW()-1),"")</f>
        <v/>
      </c>
      <c r="F491" t="str">
        <f t="shared" si="38"/>
        <v/>
      </c>
      <c r="G491" t="str">
        <f t="shared" si="39"/>
        <v/>
      </c>
    </row>
    <row r="492" spans="1:7" x14ac:dyDescent="0.4">
      <c r="A492" t="str">
        <f t="shared" si="35"/>
        <v/>
      </c>
      <c r="B492" t="str">
        <f t="shared" si="36"/>
        <v/>
      </c>
      <c r="C492" t="str">
        <f t="shared" si="37"/>
        <v/>
      </c>
      <c r="D492" t="str">
        <f>IF(E492="","",IF(COUNTIF($E$2:E492,E492)&gt;1,"",SUMIFS(tbl_input[필요수량],tbl_input[집계키_지청],E492)))</f>
        <v/>
      </c>
      <c r="E492" t="str">
        <f>IFERROR(INDEX(tbl_input[집계키_지청],ROW()-1),"")</f>
        <v/>
      </c>
      <c r="F492" t="str">
        <f t="shared" si="38"/>
        <v/>
      </c>
      <c r="G492" t="str">
        <f t="shared" si="39"/>
        <v/>
      </c>
    </row>
    <row r="493" spans="1:7" x14ac:dyDescent="0.4">
      <c r="A493" t="str">
        <f t="shared" si="35"/>
        <v/>
      </c>
      <c r="B493" t="str">
        <f t="shared" si="36"/>
        <v/>
      </c>
      <c r="C493" t="str">
        <f t="shared" si="37"/>
        <v/>
      </c>
      <c r="D493" t="str">
        <f>IF(E493="","",IF(COUNTIF($E$2:E493,E493)&gt;1,"",SUMIFS(tbl_input[필요수량],tbl_input[집계키_지청],E493)))</f>
        <v/>
      </c>
      <c r="E493" t="str">
        <f>IFERROR(INDEX(tbl_input[집계키_지청],ROW()-1),"")</f>
        <v/>
      </c>
      <c r="F493" t="str">
        <f t="shared" si="38"/>
        <v/>
      </c>
      <c r="G493" t="str">
        <f t="shared" si="39"/>
        <v/>
      </c>
    </row>
    <row r="494" spans="1:7" x14ac:dyDescent="0.4">
      <c r="A494" t="str">
        <f t="shared" si="35"/>
        <v/>
      </c>
      <c r="B494" t="str">
        <f t="shared" si="36"/>
        <v/>
      </c>
      <c r="C494" t="str">
        <f t="shared" si="37"/>
        <v/>
      </c>
      <c r="D494" t="str">
        <f>IF(E494="","",IF(COUNTIF($E$2:E494,E494)&gt;1,"",SUMIFS(tbl_input[필요수량],tbl_input[집계키_지청],E494)))</f>
        <v/>
      </c>
      <c r="E494" t="str">
        <f>IFERROR(INDEX(tbl_input[집계키_지청],ROW()-1),"")</f>
        <v/>
      </c>
      <c r="F494" t="str">
        <f t="shared" si="38"/>
        <v/>
      </c>
      <c r="G494" t="str">
        <f t="shared" si="39"/>
        <v/>
      </c>
    </row>
    <row r="495" spans="1:7" x14ac:dyDescent="0.4">
      <c r="A495" t="str">
        <f t="shared" si="35"/>
        <v/>
      </c>
      <c r="B495" t="str">
        <f t="shared" si="36"/>
        <v/>
      </c>
      <c r="C495" t="str">
        <f t="shared" si="37"/>
        <v/>
      </c>
      <c r="D495" t="str">
        <f>IF(E495="","",IF(COUNTIF($E$2:E495,E495)&gt;1,"",SUMIFS(tbl_input[필요수량],tbl_input[집계키_지청],E495)))</f>
        <v/>
      </c>
      <c r="E495" t="str">
        <f>IFERROR(INDEX(tbl_input[집계키_지청],ROW()-1),"")</f>
        <v/>
      </c>
      <c r="F495" t="str">
        <f t="shared" si="38"/>
        <v/>
      </c>
      <c r="G495" t="str">
        <f t="shared" si="39"/>
        <v/>
      </c>
    </row>
    <row r="496" spans="1:7" x14ac:dyDescent="0.4">
      <c r="A496" t="str">
        <f t="shared" si="35"/>
        <v/>
      </c>
      <c r="B496" t="str">
        <f t="shared" si="36"/>
        <v/>
      </c>
      <c r="C496" t="str">
        <f t="shared" si="37"/>
        <v/>
      </c>
      <c r="D496" t="str">
        <f>IF(E496="","",IF(COUNTIF($E$2:E496,E496)&gt;1,"",SUMIFS(tbl_input[필요수량],tbl_input[집계키_지청],E496)))</f>
        <v/>
      </c>
      <c r="E496" t="str">
        <f>IFERROR(INDEX(tbl_input[집계키_지청],ROW()-1),"")</f>
        <v/>
      </c>
      <c r="F496" t="str">
        <f t="shared" si="38"/>
        <v/>
      </c>
      <c r="G496" t="str">
        <f t="shared" si="39"/>
        <v/>
      </c>
    </row>
    <row r="497" spans="1:7" x14ac:dyDescent="0.4">
      <c r="A497" t="str">
        <f t="shared" si="35"/>
        <v/>
      </c>
      <c r="B497" t="str">
        <f t="shared" si="36"/>
        <v/>
      </c>
      <c r="C497" t="str">
        <f t="shared" si="37"/>
        <v/>
      </c>
      <c r="D497" t="str">
        <f>IF(E497="","",IF(COUNTIF($E$2:E497,E497)&gt;1,"",SUMIFS(tbl_input[필요수량],tbl_input[집계키_지청],E497)))</f>
        <v/>
      </c>
      <c r="E497" t="str">
        <f>IFERROR(INDEX(tbl_input[집계키_지청],ROW()-1),"")</f>
        <v/>
      </c>
      <c r="F497" t="str">
        <f t="shared" si="38"/>
        <v/>
      </c>
      <c r="G497" t="str">
        <f t="shared" si="39"/>
        <v/>
      </c>
    </row>
    <row r="498" spans="1:7" x14ac:dyDescent="0.4">
      <c r="A498" t="str">
        <f t="shared" si="35"/>
        <v/>
      </c>
      <c r="B498" t="str">
        <f t="shared" si="36"/>
        <v/>
      </c>
      <c r="C498" t="str">
        <f t="shared" si="37"/>
        <v/>
      </c>
      <c r="D498" t="str">
        <f>IF(E498="","",IF(COUNTIF($E$2:E498,E498)&gt;1,"",SUMIFS(tbl_input[필요수량],tbl_input[집계키_지청],E498)))</f>
        <v/>
      </c>
      <c r="E498" t="str">
        <f>IFERROR(INDEX(tbl_input[집계키_지청],ROW()-1),"")</f>
        <v/>
      </c>
      <c r="F498" t="str">
        <f t="shared" si="38"/>
        <v/>
      </c>
      <c r="G498" t="str">
        <f t="shared" si="39"/>
        <v/>
      </c>
    </row>
    <row r="499" spans="1:7" x14ac:dyDescent="0.4">
      <c r="A499" t="str">
        <f t="shared" si="35"/>
        <v/>
      </c>
      <c r="B499" t="str">
        <f t="shared" si="36"/>
        <v/>
      </c>
      <c r="C499" t="str">
        <f t="shared" si="37"/>
        <v/>
      </c>
      <c r="D499" t="str">
        <f>IF(E499="","",IF(COUNTIF($E$2:E499,E499)&gt;1,"",SUMIFS(tbl_input[필요수량],tbl_input[집계키_지청],E499)))</f>
        <v/>
      </c>
      <c r="E499" t="str">
        <f>IFERROR(INDEX(tbl_input[집계키_지청],ROW()-1),"")</f>
        <v/>
      </c>
      <c r="F499" t="str">
        <f t="shared" si="38"/>
        <v/>
      </c>
      <c r="G499" t="str">
        <f t="shared" si="39"/>
        <v/>
      </c>
    </row>
    <row r="500" spans="1:7" x14ac:dyDescent="0.4">
      <c r="A500" t="str">
        <f t="shared" si="35"/>
        <v/>
      </c>
      <c r="B500" t="str">
        <f t="shared" si="36"/>
        <v/>
      </c>
      <c r="C500" t="str">
        <f t="shared" si="37"/>
        <v/>
      </c>
      <c r="D500" t="str">
        <f>IF(E500="","",IF(COUNTIF($E$2:E500,E500)&gt;1,"",SUMIFS(tbl_input[필요수량],tbl_input[집계키_지청],E500)))</f>
        <v/>
      </c>
      <c r="E500" t="str">
        <f>IFERROR(INDEX(tbl_input[집계키_지청],ROW()-1),"")</f>
        <v/>
      </c>
      <c r="F500" t="str">
        <f t="shared" si="38"/>
        <v/>
      </c>
      <c r="G500" t="str">
        <f t="shared" si="39"/>
        <v/>
      </c>
    </row>
    <row r="501" spans="1:7" x14ac:dyDescent="0.4">
      <c r="A501" t="str">
        <f t="shared" si="35"/>
        <v/>
      </c>
      <c r="B501" t="str">
        <f t="shared" si="36"/>
        <v/>
      </c>
      <c r="C501" t="str">
        <f t="shared" si="37"/>
        <v/>
      </c>
      <c r="D501" t="str">
        <f>IF(E501="","",IF(COUNTIF($E$2:E501,E501)&gt;1,"",SUMIFS(tbl_input[필요수량],tbl_input[집계키_지청],E501)))</f>
        <v/>
      </c>
      <c r="E501" t="str">
        <f>IFERROR(INDEX(tbl_input[집계키_지청],ROW()-1),"")</f>
        <v/>
      </c>
      <c r="F501" t="str">
        <f t="shared" si="38"/>
        <v/>
      </c>
      <c r="G501" t="str">
        <f t="shared" si="39"/>
        <v/>
      </c>
    </row>
    <row r="502" spans="1:7" x14ac:dyDescent="0.4">
      <c r="A502" t="str">
        <f t="shared" si="35"/>
        <v/>
      </c>
      <c r="B502" t="str">
        <f t="shared" si="36"/>
        <v/>
      </c>
      <c r="C502" t="str">
        <f t="shared" si="37"/>
        <v/>
      </c>
      <c r="D502" t="str">
        <f>IF(E502="","",IF(COUNTIF($E$2:E502,E502)&gt;1,"",SUMIFS(tbl_input[필요수량],tbl_input[집계키_지청],E502)))</f>
        <v/>
      </c>
      <c r="E502" t="str">
        <f>IFERROR(INDEX(tbl_input[집계키_지청],ROW()-1),"")</f>
        <v/>
      </c>
      <c r="F502" t="str">
        <f t="shared" si="38"/>
        <v/>
      </c>
      <c r="G502" t="str">
        <f t="shared" si="39"/>
        <v/>
      </c>
    </row>
    <row r="503" spans="1:7" x14ac:dyDescent="0.4">
      <c r="A503" t="str">
        <f t="shared" si="35"/>
        <v/>
      </c>
      <c r="B503" t="str">
        <f t="shared" si="36"/>
        <v/>
      </c>
      <c r="C503" t="str">
        <f t="shared" si="37"/>
        <v/>
      </c>
      <c r="D503" t="str">
        <f>IF(E503="","",IF(COUNTIF($E$2:E503,E503)&gt;1,"",SUMIFS(tbl_input[필요수량],tbl_input[집계키_지청],E503)))</f>
        <v/>
      </c>
      <c r="E503" t="str">
        <f>IFERROR(INDEX(tbl_input[집계키_지청],ROW()-1),"")</f>
        <v/>
      </c>
      <c r="F503" t="str">
        <f t="shared" si="38"/>
        <v/>
      </c>
      <c r="G503" t="str">
        <f t="shared" si="39"/>
        <v/>
      </c>
    </row>
    <row r="504" spans="1:7" x14ac:dyDescent="0.4">
      <c r="A504" t="str">
        <f t="shared" si="35"/>
        <v/>
      </c>
      <c r="B504" t="str">
        <f t="shared" si="36"/>
        <v/>
      </c>
      <c r="C504" t="str">
        <f t="shared" si="37"/>
        <v/>
      </c>
      <c r="D504" t="str">
        <f>IF(E504="","",IF(COUNTIF($E$2:E504,E504)&gt;1,"",SUMIFS(tbl_input[필요수량],tbl_input[집계키_지청],E504)))</f>
        <v/>
      </c>
      <c r="E504" t="str">
        <f>IFERROR(INDEX(tbl_input[집계키_지청],ROW()-1),"")</f>
        <v/>
      </c>
      <c r="F504" t="str">
        <f t="shared" si="38"/>
        <v/>
      </c>
      <c r="G504" t="str">
        <f t="shared" si="39"/>
        <v/>
      </c>
    </row>
    <row r="505" spans="1:7" x14ac:dyDescent="0.4">
      <c r="A505" t="str">
        <f t="shared" si="35"/>
        <v/>
      </c>
      <c r="B505" t="str">
        <f t="shared" si="36"/>
        <v/>
      </c>
      <c r="C505" t="str">
        <f t="shared" si="37"/>
        <v/>
      </c>
      <c r="D505" t="str">
        <f>IF(E505="","",IF(COUNTIF($E$2:E505,E505)&gt;1,"",SUMIFS(tbl_input[필요수량],tbl_input[집계키_지청],E505)))</f>
        <v/>
      </c>
      <c r="E505" t="str">
        <f>IFERROR(INDEX(tbl_input[집계키_지청],ROW()-1),"")</f>
        <v/>
      </c>
      <c r="F505" t="str">
        <f t="shared" si="38"/>
        <v/>
      </c>
      <c r="G505" t="str">
        <f t="shared" si="39"/>
        <v/>
      </c>
    </row>
    <row r="506" spans="1:7" x14ac:dyDescent="0.4">
      <c r="A506" t="str">
        <f t="shared" si="35"/>
        <v/>
      </c>
      <c r="B506" t="str">
        <f t="shared" si="36"/>
        <v/>
      </c>
      <c r="C506" t="str">
        <f t="shared" si="37"/>
        <v/>
      </c>
      <c r="D506" t="str">
        <f>IF(E506="","",IF(COUNTIF($E$2:E506,E506)&gt;1,"",SUMIFS(tbl_input[필요수량],tbl_input[집계키_지청],E506)))</f>
        <v/>
      </c>
      <c r="E506" t="str">
        <f>IFERROR(INDEX(tbl_input[집계키_지청],ROW()-1),"")</f>
        <v/>
      </c>
      <c r="F506" t="str">
        <f t="shared" si="38"/>
        <v/>
      </c>
      <c r="G506" t="str">
        <f t="shared" si="39"/>
        <v/>
      </c>
    </row>
    <row r="507" spans="1:7" x14ac:dyDescent="0.4">
      <c r="A507" t="str">
        <f t="shared" si="35"/>
        <v/>
      </c>
      <c r="B507" t="str">
        <f t="shared" si="36"/>
        <v/>
      </c>
      <c r="C507" t="str">
        <f t="shared" si="37"/>
        <v/>
      </c>
      <c r="D507" t="str">
        <f>IF(E507="","",IF(COUNTIF($E$2:E507,E507)&gt;1,"",SUMIFS(tbl_input[필요수량],tbl_input[집계키_지청],E507)))</f>
        <v/>
      </c>
      <c r="E507" t="str">
        <f>IFERROR(INDEX(tbl_input[집계키_지청],ROW()-1),"")</f>
        <v/>
      </c>
      <c r="F507" t="str">
        <f t="shared" si="38"/>
        <v/>
      </c>
      <c r="G507" t="str">
        <f t="shared" si="39"/>
        <v/>
      </c>
    </row>
    <row r="508" spans="1:7" x14ac:dyDescent="0.4">
      <c r="A508" t="str">
        <f t="shared" si="35"/>
        <v/>
      </c>
      <c r="B508" t="str">
        <f t="shared" si="36"/>
        <v/>
      </c>
      <c r="C508" t="str">
        <f t="shared" si="37"/>
        <v/>
      </c>
      <c r="D508" t="str">
        <f>IF(E508="","",IF(COUNTIF($E$2:E508,E508)&gt;1,"",SUMIFS(tbl_input[필요수량],tbl_input[집계키_지청],E508)))</f>
        <v/>
      </c>
      <c r="E508" t="str">
        <f>IFERROR(INDEX(tbl_input[집계키_지청],ROW()-1),"")</f>
        <v/>
      </c>
      <c r="F508" t="str">
        <f t="shared" si="38"/>
        <v/>
      </c>
      <c r="G508" t="str">
        <f t="shared" si="39"/>
        <v/>
      </c>
    </row>
    <row r="509" spans="1:7" x14ac:dyDescent="0.4">
      <c r="A509" t="str">
        <f t="shared" si="35"/>
        <v/>
      </c>
      <c r="B509" t="str">
        <f t="shared" si="36"/>
        <v/>
      </c>
      <c r="C509" t="str">
        <f t="shared" si="37"/>
        <v/>
      </c>
      <c r="D509" t="str">
        <f>IF(E509="","",IF(COUNTIF($E$2:E509,E509)&gt;1,"",SUMIFS(tbl_input[필요수량],tbl_input[집계키_지청],E509)))</f>
        <v/>
      </c>
      <c r="E509" t="str">
        <f>IFERROR(INDEX(tbl_input[집계키_지청],ROW()-1),"")</f>
        <v/>
      </c>
      <c r="F509" t="str">
        <f t="shared" si="38"/>
        <v/>
      </c>
      <c r="G509" t="str">
        <f t="shared" si="39"/>
        <v/>
      </c>
    </row>
    <row r="510" spans="1:7" x14ac:dyDescent="0.4">
      <c r="A510" t="str">
        <f t="shared" si="35"/>
        <v/>
      </c>
      <c r="B510" t="str">
        <f t="shared" si="36"/>
        <v/>
      </c>
      <c r="C510" t="str">
        <f t="shared" si="37"/>
        <v/>
      </c>
      <c r="D510" t="str">
        <f>IF(E510="","",IF(COUNTIF($E$2:E510,E510)&gt;1,"",SUMIFS(tbl_input[필요수량],tbl_input[집계키_지청],E510)))</f>
        <v/>
      </c>
      <c r="E510" t="str">
        <f>IFERROR(INDEX(tbl_input[집계키_지청],ROW()-1),"")</f>
        <v/>
      </c>
      <c r="F510" t="str">
        <f t="shared" si="38"/>
        <v/>
      </c>
      <c r="G510" t="str">
        <f t="shared" si="39"/>
        <v/>
      </c>
    </row>
    <row r="511" spans="1:7" x14ac:dyDescent="0.4">
      <c r="A511" t="str">
        <f t="shared" si="35"/>
        <v/>
      </c>
      <c r="B511" t="str">
        <f t="shared" si="36"/>
        <v/>
      </c>
      <c r="C511" t="str">
        <f t="shared" si="37"/>
        <v/>
      </c>
      <c r="D511" t="str">
        <f>IF(E511="","",IF(COUNTIF($E$2:E511,E511)&gt;1,"",SUMIFS(tbl_input[필요수량],tbl_input[집계키_지청],E511)))</f>
        <v/>
      </c>
      <c r="E511" t="str">
        <f>IFERROR(INDEX(tbl_input[집계키_지청],ROW()-1),"")</f>
        <v/>
      </c>
      <c r="F511" t="str">
        <f t="shared" si="38"/>
        <v/>
      </c>
      <c r="G511" t="str">
        <f t="shared" si="39"/>
        <v/>
      </c>
    </row>
    <row r="512" spans="1:7" x14ac:dyDescent="0.4">
      <c r="A512" t="str">
        <f t="shared" si="35"/>
        <v/>
      </c>
      <c r="B512" t="str">
        <f t="shared" si="36"/>
        <v/>
      </c>
      <c r="C512" t="str">
        <f t="shared" si="37"/>
        <v/>
      </c>
      <c r="D512" t="str">
        <f>IF(E512="","",IF(COUNTIF($E$2:E512,E512)&gt;1,"",SUMIFS(tbl_input[필요수량],tbl_input[집계키_지청],E512)))</f>
        <v/>
      </c>
      <c r="E512" t="str">
        <f>IFERROR(INDEX(tbl_input[집계키_지청],ROW()-1),"")</f>
        <v/>
      </c>
      <c r="F512" t="str">
        <f t="shared" si="38"/>
        <v/>
      </c>
      <c r="G512" t="str">
        <f t="shared" si="39"/>
        <v/>
      </c>
    </row>
    <row r="513" spans="1:7" x14ac:dyDescent="0.4">
      <c r="A513" t="str">
        <f t="shared" si="35"/>
        <v/>
      </c>
      <c r="B513" t="str">
        <f t="shared" si="36"/>
        <v/>
      </c>
      <c r="C513" t="str">
        <f t="shared" si="37"/>
        <v/>
      </c>
      <c r="D513" t="str">
        <f>IF(E513="","",IF(COUNTIF($E$2:E513,E513)&gt;1,"",SUMIFS(tbl_input[필요수량],tbl_input[집계키_지청],E513)))</f>
        <v/>
      </c>
      <c r="E513" t="str">
        <f>IFERROR(INDEX(tbl_input[집계키_지청],ROW()-1),"")</f>
        <v/>
      </c>
      <c r="F513" t="str">
        <f t="shared" si="38"/>
        <v/>
      </c>
      <c r="G513" t="str">
        <f t="shared" si="39"/>
        <v/>
      </c>
    </row>
    <row r="514" spans="1:7" x14ac:dyDescent="0.4">
      <c r="A514" t="str">
        <f t="shared" ref="A514:A577" si="40">IF(E514="","",LEFT(E514,F514-1))</f>
        <v/>
      </c>
      <c r="B514" t="str">
        <f t="shared" ref="B514:B577" si="41">IF(E514="","",MID(E514,F514+1,G514-F514-1))</f>
        <v/>
      </c>
      <c r="C514" t="str">
        <f t="shared" ref="C514:C577" si="42">IF(E514="","",MID(E514,G514+1,999))</f>
        <v/>
      </c>
      <c r="D514" t="str">
        <f>IF(E514="","",IF(COUNTIF($E$2:E514,E514)&gt;1,"",SUMIFS(tbl_input[필요수량],tbl_input[집계키_지청],E514)))</f>
        <v/>
      </c>
      <c r="E514" t="str">
        <f>IFERROR(INDEX(tbl_input[집계키_지청],ROW()-1),"")</f>
        <v/>
      </c>
      <c r="F514" t="str">
        <f t="shared" ref="F514:F577" si="43">IF(E514="","",FIND("♦",E514))</f>
        <v/>
      </c>
      <c r="G514" t="str">
        <f t="shared" ref="G514:G577" si="44">IF(E514="","",FIND("♦",E514,F514+1))</f>
        <v/>
      </c>
    </row>
    <row r="515" spans="1:7" x14ac:dyDescent="0.4">
      <c r="A515" t="str">
        <f t="shared" si="40"/>
        <v/>
      </c>
      <c r="B515" t="str">
        <f t="shared" si="41"/>
        <v/>
      </c>
      <c r="C515" t="str">
        <f t="shared" si="42"/>
        <v/>
      </c>
      <c r="D515" t="str">
        <f>IF(E515="","",IF(COUNTIF($E$2:E515,E515)&gt;1,"",SUMIFS(tbl_input[필요수량],tbl_input[집계키_지청],E515)))</f>
        <v/>
      </c>
      <c r="E515" t="str">
        <f>IFERROR(INDEX(tbl_input[집계키_지청],ROW()-1),"")</f>
        <v/>
      </c>
      <c r="F515" t="str">
        <f t="shared" si="43"/>
        <v/>
      </c>
      <c r="G515" t="str">
        <f t="shared" si="44"/>
        <v/>
      </c>
    </row>
    <row r="516" spans="1:7" x14ac:dyDescent="0.4">
      <c r="A516" t="str">
        <f t="shared" si="40"/>
        <v/>
      </c>
      <c r="B516" t="str">
        <f t="shared" si="41"/>
        <v/>
      </c>
      <c r="C516" t="str">
        <f t="shared" si="42"/>
        <v/>
      </c>
      <c r="D516" t="str">
        <f>IF(E516="","",IF(COUNTIF($E$2:E516,E516)&gt;1,"",SUMIFS(tbl_input[필요수량],tbl_input[집계키_지청],E516)))</f>
        <v/>
      </c>
      <c r="E516" t="str">
        <f>IFERROR(INDEX(tbl_input[집계키_지청],ROW()-1),"")</f>
        <v/>
      </c>
      <c r="F516" t="str">
        <f t="shared" si="43"/>
        <v/>
      </c>
      <c r="G516" t="str">
        <f t="shared" si="44"/>
        <v/>
      </c>
    </row>
    <row r="517" spans="1:7" x14ac:dyDescent="0.4">
      <c r="A517" t="str">
        <f t="shared" si="40"/>
        <v/>
      </c>
      <c r="B517" t="str">
        <f t="shared" si="41"/>
        <v/>
      </c>
      <c r="C517" t="str">
        <f t="shared" si="42"/>
        <v/>
      </c>
      <c r="D517" t="str">
        <f>IF(E517="","",IF(COUNTIF($E$2:E517,E517)&gt;1,"",SUMIFS(tbl_input[필요수량],tbl_input[집계키_지청],E517)))</f>
        <v/>
      </c>
      <c r="E517" t="str">
        <f>IFERROR(INDEX(tbl_input[집계키_지청],ROW()-1),"")</f>
        <v/>
      </c>
      <c r="F517" t="str">
        <f t="shared" si="43"/>
        <v/>
      </c>
      <c r="G517" t="str">
        <f t="shared" si="44"/>
        <v/>
      </c>
    </row>
    <row r="518" spans="1:7" x14ac:dyDescent="0.4">
      <c r="A518" t="str">
        <f t="shared" si="40"/>
        <v/>
      </c>
      <c r="B518" t="str">
        <f t="shared" si="41"/>
        <v/>
      </c>
      <c r="C518" t="str">
        <f t="shared" si="42"/>
        <v/>
      </c>
      <c r="D518" t="str">
        <f>IF(E518="","",IF(COUNTIF($E$2:E518,E518)&gt;1,"",SUMIFS(tbl_input[필요수량],tbl_input[집계키_지청],E518)))</f>
        <v/>
      </c>
      <c r="E518" t="str">
        <f>IFERROR(INDEX(tbl_input[집계키_지청],ROW()-1),"")</f>
        <v/>
      </c>
      <c r="F518" t="str">
        <f t="shared" si="43"/>
        <v/>
      </c>
      <c r="G518" t="str">
        <f t="shared" si="44"/>
        <v/>
      </c>
    </row>
    <row r="519" spans="1:7" x14ac:dyDescent="0.4">
      <c r="A519" t="str">
        <f t="shared" si="40"/>
        <v/>
      </c>
      <c r="B519" t="str">
        <f t="shared" si="41"/>
        <v/>
      </c>
      <c r="C519" t="str">
        <f t="shared" si="42"/>
        <v/>
      </c>
      <c r="D519" t="str">
        <f>IF(E519="","",IF(COUNTIF($E$2:E519,E519)&gt;1,"",SUMIFS(tbl_input[필요수량],tbl_input[집계키_지청],E519)))</f>
        <v/>
      </c>
      <c r="E519" t="str">
        <f>IFERROR(INDEX(tbl_input[집계키_지청],ROW()-1),"")</f>
        <v/>
      </c>
      <c r="F519" t="str">
        <f t="shared" si="43"/>
        <v/>
      </c>
      <c r="G519" t="str">
        <f t="shared" si="44"/>
        <v/>
      </c>
    </row>
    <row r="520" spans="1:7" x14ac:dyDescent="0.4">
      <c r="A520" t="str">
        <f t="shared" si="40"/>
        <v/>
      </c>
      <c r="B520" t="str">
        <f t="shared" si="41"/>
        <v/>
      </c>
      <c r="C520" t="str">
        <f t="shared" si="42"/>
        <v/>
      </c>
      <c r="D520" t="str">
        <f>IF(E520="","",IF(COUNTIF($E$2:E520,E520)&gt;1,"",SUMIFS(tbl_input[필요수량],tbl_input[집계키_지청],E520)))</f>
        <v/>
      </c>
      <c r="E520" t="str">
        <f>IFERROR(INDEX(tbl_input[집계키_지청],ROW()-1),"")</f>
        <v/>
      </c>
      <c r="F520" t="str">
        <f t="shared" si="43"/>
        <v/>
      </c>
      <c r="G520" t="str">
        <f t="shared" si="44"/>
        <v/>
      </c>
    </row>
    <row r="521" spans="1:7" x14ac:dyDescent="0.4">
      <c r="A521" t="str">
        <f t="shared" si="40"/>
        <v/>
      </c>
      <c r="B521" t="str">
        <f t="shared" si="41"/>
        <v/>
      </c>
      <c r="C521" t="str">
        <f t="shared" si="42"/>
        <v/>
      </c>
      <c r="D521" t="str">
        <f>IF(E521="","",IF(COUNTIF($E$2:E521,E521)&gt;1,"",SUMIFS(tbl_input[필요수량],tbl_input[집계키_지청],E521)))</f>
        <v/>
      </c>
      <c r="E521" t="str">
        <f>IFERROR(INDEX(tbl_input[집계키_지청],ROW()-1),"")</f>
        <v/>
      </c>
      <c r="F521" t="str">
        <f t="shared" si="43"/>
        <v/>
      </c>
      <c r="G521" t="str">
        <f t="shared" si="44"/>
        <v/>
      </c>
    </row>
    <row r="522" spans="1:7" x14ac:dyDescent="0.4">
      <c r="A522" t="str">
        <f t="shared" si="40"/>
        <v/>
      </c>
      <c r="B522" t="str">
        <f t="shared" si="41"/>
        <v/>
      </c>
      <c r="C522" t="str">
        <f t="shared" si="42"/>
        <v/>
      </c>
      <c r="D522" t="str">
        <f>IF(E522="","",IF(COUNTIF($E$2:E522,E522)&gt;1,"",SUMIFS(tbl_input[필요수량],tbl_input[집계키_지청],E522)))</f>
        <v/>
      </c>
      <c r="E522" t="str">
        <f>IFERROR(INDEX(tbl_input[집계키_지청],ROW()-1),"")</f>
        <v/>
      </c>
      <c r="F522" t="str">
        <f t="shared" si="43"/>
        <v/>
      </c>
      <c r="G522" t="str">
        <f t="shared" si="44"/>
        <v/>
      </c>
    </row>
    <row r="523" spans="1:7" x14ac:dyDescent="0.4">
      <c r="A523" t="str">
        <f t="shared" si="40"/>
        <v/>
      </c>
      <c r="B523" t="str">
        <f t="shared" si="41"/>
        <v/>
      </c>
      <c r="C523" t="str">
        <f t="shared" si="42"/>
        <v/>
      </c>
      <c r="D523" t="str">
        <f>IF(E523="","",IF(COUNTIF($E$2:E523,E523)&gt;1,"",SUMIFS(tbl_input[필요수량],tbl_input[집계키_지청],E523)))</f>
        <v/>
      </c>
      <c r="E523" t="str">
        <f>IFERROR(INDEX(tbl_input[집계키_지청],ROW()-1),"")</f>
        <v/>
      </c>
      <c r="F523" t="str">
        <f t="shared" si="43"/>
        <v/>
      </c>
      <c r="G523" t="str">
        <f t="shared" si="44"/>
        <v/>
      </c>
    </row>
    <row r="524" spans="1:7" x14ac:dyDescent="0.4">
      <c r="A524" t="str">
        <f t="shared" si="40"/>
        <v/>
      </c>
      <c r="B524" t="str">
        <f t="shared" si="41"/>
        <v/>
      </c>
      <c r="C524" t="str">
        <f t="shared" si="42"/>
        <v/>
      </c>
      <c r="D524" t="str">
        <f>IF(E524="","",IF(COUNTIF($E$2:E524,E524)&gt;1,"",SUMIFS(tbl_input[필요수량],tbl_input[집계키_지청],E524)))</f>
        <v/>
      </c>
      <c r="E524" t="str">
        <f>IFERROR(INDEX(tbl_input[집계키_지청],ROW()-1),"")</f>
        <v/>
      </c>
      <c r="F524" t="str">
        <f t="shared" si="43"/>
        <v/>
      </c>
      <c r="G524" t="str">
        <f t="shared" si="44"/>
        <v/>
      </c>
    </row>
    <row r="525" spans="1:7" x14ac:dyDescent="0.4">
      <c r="A525" t="str">
        <f t="shared" si="40"/>
        <v/>
      </c>
      <c r="B525" t="str">
        <f t="shared" si="41"/>
        <v/>
      </c>
      <c r="C525" t="str">
        <f t="shared" si="42"/>
        <v/>
      </c>
      <c r="D525" t="str">
        <f>IF(E525="","",IF(COUNTIF($E$2:E525,E525)&gt;1,"",SUMIFS(tbl_input[필요수량],tbl_input[집계키_지청],E525)))</f>
        <v/>
      </c>
      <c r="E525" t="str">
        <f>IFERROR(INDEX(tbl_input[집계키_지청],ROW()-1),"")</f>
        <v/>
      </c>
      <c r="F525" t="str">
        <f t="shared" si="43"/>
        <v/>
      </c>
      <c r="G525" t="str">
        <f t="shared" si="44"/>
        <v/>
      </c>
    </row>
    <row r="526" spans="1:7" x14ac:dyDescent="0.4">
      <c r="A526" t="str">
        <f t="shared" si="40"/>
        <v/>
      </c>
      <c r="B526" t="str">
        <f t="shared" si="41"/>
        <v/>
      </c>
      <c r="C526" t="str">
        <f t="shared" si="42"/>
        <v/>
      </c>
      <c r="D526" t="str">
        <f>IF(E526="","",IF(COUNTIF($E$2:E526,E526)&gt;1,"",SUMIFS(tbl_input[필요수량],tbl_input[집계키_지청],E526)))</f>
        <v/>
      </c>
      <c r="E526" t="str">
        <f>IFERROR(INDEX(tbl_input[집계키_지청],ROW()-1),"")</f>
        <v/>
      </c>
      <c r="F526" t="str">
        <f t="shared" si="43"/>
        <v/>
      </c>
      <c r="G526" t="str">
        <f t="shared" si="44"/>
        <v/>
      </c>
    </row>
    <row r="527" spans="1:7" x14ac:dyDescent="0.4">
      <c r="A527" t="str">
        <f t="shared" si="40"/>
        <v/>
      </c>
      <c r="B527" t="str">
        <f t="shared" si="41"/>
        <v/>
      </c>
      <c r="C527" t="str">
        <f t="shared" si="42"/>
        <v/>
      </c>
      <c r="D527" t="str">
        <f>IF(E527="","",IF(COUNTIF($E$2:E527,E527)&gt;1,"",SUMIFS(tbl_input[필요수량],tbl_input[집계키_지청],E527)))</f>
        <v/>
      </c>
      <c r="E527" t="str">
        <f>IFERROR(INDEX(tbl_input[집계키_지청],ROW()-1),"")</f>
        <v/>
      </c>
      <c r="F527" t="str">
        <f t="shared" si="43"/>
        <v/>
      </c>
      <c r="G527" t="str">
        <f t="shared" si="44"/>
        <v/>
      </c>
    </row>
    <row r="528" spans="1:7" x14ac:dyDescent="0.4">
      <c r="A528" t="str">
        <f t="shared" si="40"/>
        <v/>
      </c>
      <c r="B528" t="str">
        <f t="shared" si="41"/>
        <v/>
      </c>
      <c r="C528" t="str">
        <f t="shared" si="42"/>
        <v/>
      </c>
      <c r="D528" t="str">
        <f>IF(E528="","",IF(COUNTIF($E$2:E528,E528)&gt;1,"",SUMIFS(tbl_input[필요수량],tbl_input[집계키_지청],E528)))</f>
        <v/>
      </c>
      <c r="E528" t="str">
        <f>IFERROR(INDEX(tbl_input[집계키_지청],ROW()-1),"")</f>
        <v/>
      </c>
      <c r="F528" t="str">
        <f t="shared" si="43"/>
        <v/>
      </c>
      <c r="G528" t="str">
        <f t="shared" si="44"/>
        <v/>
      </c>
    </row>
    <row r="529" spans="1:7" x14ac:dyDescent="0.4">
      <c r="A529" t="str">
        <f t="shared" si="40"/>
        <v/>
      </c>
      <c r="B529" t="str">
        <f t="shared" si="41"/>
        <v/>
      </c>
      <c r="C529" t="str">
        <f t="shared" si="42"/>
        <v/>
      </c>
      <c r="D529" t="str">
        <f>IF(E529="","",IF(COUNTIF($E$2:E529,E529)&gt;1,"",SUMIFS(tbl_input[필요수량],tbl_input[집계키_지청],E529)))</f>
        <v/>
      </c>
      <c r="E529" t="str">
        <f>IFERROR(INDEX(tbl_input[집계키_지청],ROW()-1),"")</f>
        <v/>
      </c>
      <c r="F529" t="str">
        <f t="shared" si="43"/>
        <v/>
      </c>
      <c r="G529" t="str">
        <f t="shared" si="44"/>
        <v/>
      </c>
    </row>
    <row r="530" spans="1:7" x14ac:dyDescent="0.4">
      <c r="A530" t="str">
        <f t="shared" si="40"/>
        <v/>
      </c>
      <c r="B530" t="str">
        <f t="shared" si="41"/>
        <v/>
      </c>
      <c r="C530" t="str">
        <f t="shared" si="42"/>
        <v/>
      </c>
      <c r="D530" t="str">
        <f>IF(E530="","",IF(COUNTIF($E$2:E530,E530)&gt;1,"",SUMIFS(tbl_input[필요수량],tbl_input[집계키_지청],E530)))</f>
        <v/>
      </c>
      <c r="E530" t="str">
        <f>IFERROR(INDEX(tbl_input[집계키_지청],ROW()-1),"")</f>
        <v/>
      </c>
      <c r="F530" t="str">
        <f t="shared" si="43"/>
        <v/>
      </c>
      <c r="G530" t="str">
        <f t="shared" si="44"/>
        <v/>
      </c>
    </row>
    <row r="531" spans="1:7" x14ac:dyDescent="0.4">
      <c r="A531" t="str">
        <f t="shared" si="40"/>
        <v/>
      </c>
      <c r="B531" t="str">
        <f t="shared" si="41"/>
        <v/>
      </c>
      <c r="C531" t="str">
        <f t="shared" si="42"/>
        <v/>
      </c>
      <c r="D531" t="str">
        <f>IF(E531="","",IF(COUNTIF($E$2:E531,E531)&gt;1,"",SUMIFS(tbl_input[필요수량],tbl_input[집계키_지청],E531)))</f>
        <v/>
      </c>
      <c r="E531" t="str">
        <f>IFERROR(INDEX(tbl_input[집계키_지청],ROW()-1),"")</f>
        <v/>
      </c>
      <c r="F531" t="str">
        <f t="shared" si="43"/>
        <v/>
      </c>
      <c r="G531" t="str">
        <f t="shared" si="44"/>
        <v/>
      </c>
    </row>
    <row r="532" spans="1:7" x14ac:dyDescent="0.4">
      <c r="A532" t="str">
        <f t="shared" si="40"/>
        <v/>
      </c>
      <c r="B532" t="str">
        <f t="shared" si="41"/>
        <v/>
      </c>
      <c r="C532" t="str">
        <f t="shared" si="42"/>
        <v/>
      </c>
      <c r="D532" t="str">
        <f>IF(E532="","",IF(COUNTIF($E$2:E532,E532)&gt;1,"",SUMIFS(tbl_input[필요수량],tbl_input[집계키_지청],E532)))</f>
        <v/>
      </c>
      <c r="E532" t="str">
        <f>IFERROR(INDEX(tbl_input[집계키_지청],ROW()-1),"")</f>
        <v/>
      </c>
      <c r="F532" t="str">
        <f t="shared" si="43"/>
        <v/>
      </c>
      <c r="G532" t="str">
        <f t="shared" si="44"/>
        <v/>
      </c>
    </row>
    <row r="533" spans="1:7" x14ac:dyDescent="0.4">
      <c r="A533" t="str">
        <f t="shared" si="40"/>
        <v/>
      </c>
      <c r="B533" t="str">
        <f t="shared" si="41"/>
        <v/>
      </c>
      <c r="C533" t="str">
        <f t="shared" si="42"/>
        <v/>
      </c>
      <c r="D533" t="str">
        <f>IF(E533="","",IF(COUNTIF($E$2:E533,E533)&gt;1,"",SUMIFS(tbl_input[필요수량],tbl_input[집계키_지청],E533)))</f>
        <v/>
      </c>
      <c r="E533" t="str">
        <f>IFERROR(INDEX(tbl_input[집계키_지청],ROW()-1),"")</f>
        <v/>
      </c>
      <c r="F533" t="str">
        <f t="shared" si="43"/>
        <v/>
      </c>
      <c r="G533" t="str">
        <f t="shared" si="44"/>
        <v/>
      </c>
    </row>
    <row r="534" spans="1:7" x14ac:dyDescent="0.4">
      <c r="A534" t="str">
        <f t="shared" si="40"/>
        <v/>
      </c>
      <c r="B534" t="str">
        <f t="shared" si="41"/>
        <v/>
      </c>
      <c r="C534" t="str">
        <f t="shared" si="42"/>
        <v/>
      </c>
      <c r="D534" t="str">
        <f>IF(E534="","",IF(COUNTIF($E$2:E534,E534)&gt;1,"",SUMIFS(tbl_input[필요수량],tbl_input[집계키_지청],E534)))</f>
        <v/>
      </c>
      <c r="E534" t="str">
        <f>IFERROR(INDEX(tbl_input[집계키_지청],ROW()-1),"")</f>
        <v/>
      </c>
      <c r="F534" t="str">
        <f t="shared" si="43"/>
        <v/>
      </c>
      <c r="G534" t="str">
        <f t="shared" si="44"/>
        <v/>
      </c>
    </row>
    <row r="535" spans="1:7" x14ac:dyDescent="0.4">
      <c r="A535" t="str">
        <f t="shared" si="40"/>
        <v/>
      </c>
      <c r="B535" t="str">
        <f t="shared" si="41"/>
        <v/>
      </c>
      <c r="C535" t="str">
        <f t="shared" si="42"/>
        <v/>
      </c>
      <c r="D535" t="str">
        <f>IF(E535="","",IF(COUNTIF($E$2:E535,E535)&gt;1,"",SUMIFS(tbl_input[필요수량],tbl_input[집계키_지청],E535)))</f>
        <v/>
      </c>
      <c r="E535" t="str">
        <f>IFERROR(INDEX(tbl_input[집계키_지청],ROW()-1),"")</f>
        <v/>
      </c>
      <c r="F535" t="str">
        <f t="shared" si="43"/>
        <v/>
      </c>
      <c r="G535" t="str">
        <f t="shared" si="44"/>
        <v/>
      </c>
    </row>
    <row r="536" spans="1:7" x14ac:dyDescent="0.4">
      <c r="A536" t="str">
        <f t="shared" si="40"/>
        <v/>
      </c>
      <c r="B536" t="str">
        <f t="shared" si="41"/>
        <v/>
      </c>
      <c r="C536" t="str">
        <f t="shared" si="42"/>
        <v/>
      </c>
      <c r="D536" t="str">
        <f>IF(E536="","",IF(COUNTIF($E$2:E536,E536)&gt;1,"",SUMIFS(tbl_input[필요수량],tbl_input[집계키_지청],E536)))</f>
        <v/>
      </c>
      <c r="E536" t="str">
        <f>IFERROR(INDEX(tbl_input[집계키_지청],ROW()-1),"")</f>
        <v/>
      </c>
      <c r="F536" t="str">
        <f t="shared" si="43"/>
        <v/>
      </c>
      <c r="G536" t="str">
        <f t="shared" si="44"/>
        <v/>
      </c>
    </row>
    <row r="537" spans="1:7" x14ac:dyDescent="0.4">
      <c r="A537" t="str">
        <f t="shared" si="40"/>
        <v/>
      </c>
      <c r="B537" t="str">
        <f t="shared" si="41"/>
        <v/>
      </c>
      <c r="C537" t="str">
        <f t="shared" si="42"/>
        <v/>
      </c>
      <c r="D537" t="str">
        <f>IF(E537="","",IF(COUNTIF($E$2:E537,E537)&gt;1,"",SUMIFS(tbl_input[필요수량],tbl_input[집계키_지청],E537)))</f>
        <v/>
      </c>
      <c r="E537" t="str">
        <f>IFERROR(INDEX(tbl_input[집계키_지청],ROW()-1),"")</f>
        <v/>
      </c>
      <c r="F537" t="str">
        <f t="shared" si="43"/>
        <v/>
      </c>
      <c r="G537" t="str">
        <f t="shared" si="44"/>
        <v/>
      </c>
    </row>
    <row r="538" spans="1:7" x14ac:dyDescent="0.4">
      <c r="A538" t="str">
        <f t="shared" si="40"/>
        <v/>
      </c>
      <c r="B538" t="str">
        <f t="shared" si="41"/>
        <v/>
      </c>
      <c r="C538" t="str">
        <f t="shared" si="42"/>
        <v/>
      </c>
      <c r="D538" t="str">
        <f>IF(E538="","",IF(COUNTIF($E$2:E538,E538)&gt;1,"",SUMIFS(tbl_input[필요수량],tbl_input[집계키_지청],E538)))</f>
        <v/>
      </c>
      <c r="E538" t="str">
        <f>IFERROR(INDEX(tbl_input[집계키_지청],ROW()-1),"")</f>
        <v/>
      </c>
      <c r="F538" t="str">
        <f t="shared" si="43"/>
        <v/>
      </c>
      <c r="G538" t="str">
        <f t="shared" si="44"/>
        <v/>
      </c>
    </row>
    <row r="539" spans="1:7" x14ac:dyDescent="0.4">
      <c r="A539" t="str">
        <f t="shared" si="40"/>
        <v/>
      </c>
      <c r="B539" t="str">
        <f t="shared" si="41"/>
        <v/>
      </c>
      <c r="C539" t="str">
        <f t="shared" si="42"/>
        <v/>
      </c>
      <c r="D539" t="str">
        <f>IF(E539="","",IF(COUNTIF($E$2:E539,E539)&gt;1,"",SUMIFS(tbl_input[필요수량],tbl_input[집계키_지청],E539)))</f>
        <v/>
      </c>
      <c r="E539" t="str">
        <f>IFERROR(INDEX(tbl_input[집계키_지청],ROW()-1),"")</f>
        <v/>
      </c>
      <c r="F539" t="str">
        <f t="shared" si="43"/>
        <v/>
      </c>
      <c r="G539" t="str">
        <f t="shared" si="44"/>
        <v/>
      </c>
    </row>
    <row r="540" spans="1:7" x14ac:dyDescent="0.4">
      <c r="A540" t="str">
        <f t="shared" si="40"/>
        <v/>
      </c>
      <c r="B540" t="str">
        <f t="shared" si="41"/>
        <v/>
      </c>
      <c r="C540" t="str">
        <f t="shared" si="42"/>
        <v/>
      </c>
      <c r="D540" t="str">
        <f>IF(E540="","",IF(COUNTIF($E$2:E540,E540)&gt;1,"",SUMIFS(tbl_input[필요수량],tbl_input[집계키_지청],E540)))</f>
        <v/>
      </c>
      <c r="E540" t="str">
        <f>IFERROR(INDEX(tbl_input[집계키_지청],ROW()-1),"")</f>
        <v/>
      </c>
      <c r="F540" t="str">
        <f t="shared" si="43"/>
        <v/>
      </c>
      <c r="G540" t="str">
        <f t="shared" si="44"/>
        <v/>
      </c>
    </row>
    <row r="541" spans="1:7" x14ac:dyDescent="0.4">
      <c r="A541" t="str">
        <f t="shared" si="40"/>
        <v/>
      </c>
      <c r="B541" t="str">
        <f t="shared" si="41"/>
        <v/>
      </c>
      <c r="C541" t="str">
        <f t="shared" si="42"/>
        <v/>
      </c>
      <c r="D541" t="str">
        <f>IF(E541="","",IF(COUNTIF($E$2:E541,E541)&gt;1,"",SUMIFS(tbl_input[필요수량],tbl_input[집계키_지청],E541)))</f>
        <v/>
      </c>
      <c r="E541" t="str">
        <f>IFERROR(INDEX(tbl_input[집계키_지청],ROW()-1),"")</f>
        <v/>
      </c>
      <c r="F541" t="str">
        <f t="shared" si="43"/>
        <v/>
      </c>
      <c r="G541" t="str">
        <f t="shared" si="44"/>
        <v/>
      </c>
    </row>
    <row r="542" spans="1:7" x14ac:dyDescent="0.4">
      <c r="A542" t="str">
        <f t="shared" si="40"/>
        <v/>
      </c>
      <c r="B542" t="str">
        <f t="shared" si="41"/>
        <v/>
      </c>
      <c r="C542" t="str">
        <f t="shared" si="42"/>
        <v/>
      </c>
      <c r="D542" t="str">
        <f>IF(E542="","",IF(COUNTIF($E$2:E542,E542)&gt;1,"",SUMIFS(tbl_input[필요수량],tbl_input[집계키_지청],E542)))</f>
        <v/>
      </c>
      <c r="E542" t="str">
        <f>IFERROR(INDEX(tbl_input[집계키_지청],ROW()-1),"")</f>
        <v/>
      </c>
      <c r="F542" t="str">
        <f t="shared" si="43"/>
        <v/>
      </c>
      <c r="G542" t="str">
        <f t="shared" si="44"/>
        <v/>
      </c>
    </row>
    <row r="543" spans="1:7" x14ac:dyDescent="0.4">
      <c r="A543" t="str">
        <f t="shared" si="40"/>
        <v/>
      </c>
      <c r="B543" t="str">
        <f t="shared" si="41"/>
        <v/>
      </c>
      <c r="C543" t="str">
        <f t="shared" si="42"/>
        <v/>
      </c>
      <c r="D543" t="str">
        <f>IF(E543="","",IF(COUNTIF($E$2:E543,E543)&gt;1,"",SUMIFS(tbl_input[필요수량],tbl_input[집계키_지청],E543)))</f>
        <v/>
      </c>
      <c r="E543" t="str">
        <f>IFERROR(INDEX(tbl_input[집계키_지청],ROW()-1),"")</f>
        <v/>
      </c>
      <c r="F543" t="str">
        <f t="shared" si="43"/>
        <v/>
      </c>
      <c r="G543" t="str">
        <f t="shared" si="44"/>
        <v/>
      </c>
    </row>
    <row r="544" spans="1:7" x14ac:dyDescent="0.4">
      <c r="A544" t="str">
        <f t="shared" si="40"/>
        <v/>
      </c>
      <c r="B544" t="str">
        <f t="shared" si="41"/>
        <v/>
      </c>
      <c r="C544" t="str">
        <f t="shared" si="42"/>
        <v/>
      </c>
      <c r="D544" t="str">
        <f>IF(E544="","",IF(COUNTIF($E$2:E544,E544)&gt;1,"",SUMIFS(tbl_input[필요수량],tbl_input[집계키_지청],E544)))</f>
        <v/>
      </c>
      <c r="E544" t="str">
        <f>IFERROR(INDEX(tbl_input[집계키_지청],ROW()-1),"")</f>
        <v/>
      </c>
      <c r="F544" t="str">
        <f t="shared" si="43"/>
        <v/>
      </c>
      <c r="G544" t="str">
        <f t="shared" si="44"/>
        <v/>
      </c>
    </row>
    <row r="545" spans="1:7" x14ac:dyDescent="0.4">
      <c r="A545" t="str">
        <f t="shared" si="40"/>
        <v/>
      </c>
      <c r="B545" t="str">
        <f t="shared" si="41"/>
        <v/>
      </c>
      <c r="C545" t="str">
        <f t="shared" si="42"/>
        <v/>
      </c>
      <c r="D545" t="str">
        <f>IF(E545="","",IF(COUNTIF($E$2:E545,E545)&gt;1,"",SUMIFS(tbl_input[필요수량],tbl_input[집계키_지청],E545)))</f>
        <v/>
      </c>
      <c r="E545" t="str">
        <f>IFERROR(INDEX(tbl_input[집계키_지청],ROW()-1),"")</f>
        <v/>
      </c>
      <c r="F545" t="str">
        <f t="shared" si="43"/>
        <v/>
      </c>
      <c r="G545" t="str">
        <f t="shared" si="44"/>
        <v/>
      </c>
    </row>
    <row r="546" spans="1:7" x14ac:dyDescent="0.4">
      <c r="A546" t="str">
        <f t="shared" si="40"/>
        <v/>
      </c>
      <c r="B546" t="str">
        <f t="shared" si="41"/>
        <v/>
      </c>
      <c r="C546" t="str">
        <f t="shared" si="42"/>
        <v/>
      </c>
      <c r="D546" t="str">
        <f>IF(E546="","",IF(COUNTIF($E$2:E546,E546)&gt;1,"",SUMIFS(tbl_input[필요수량],tbl_input[집계키_지청],E546)))</f>
        <v/>
      </c>
      <c r="E546" t="str">
        <f>IFERROR(INDEX(tbl_input[집계키_지청],ROW()-1),"")</f>
        <v/>
      </c>
      <c r="F546" t="str">
        <f t="shared" si="43"/>
        <v/>
      </c>
      <c r="G546" t="str">
        <f t="shared" si="44"/>
        <v/>
      </c>
    </row>
    <row r="547" spans="1:7" x14ac:dyDescent="0.4">
      <c r="A547" t="str">
        <f t="shared" si="40"/>
        <v/>
      </c>
      <c r="B547" t="str">
        <f t="shared" si="41"/>
        <v/>
      </c>
      <c r="C547" t="str">
        <f t="shared" si="42"/>
        <v/>
      </c>
      <c r="D547" t="str">
        <f>IF(E547="","",IF(COUNTIF($E$2:E547,E547)&gt;1,"",SUMIFS(tbl_input[필요수량],tbl_input[집계키_지청],E547)))</f>
        <v/>
      </c>
      <c r="E547" t="str">
        <f>IFERROR(INDEX(tbl_input[집계키_지청],ROW()-1),"")</f>
        <v/>
      </c>
      <c r="F547" t="str">
        <f t="shared" si="43"/>
        <v/>
      </c>
      <c r="G547" t="str">
        <f t="shared" si="44"/>
        <v/>
      </c>
    </row>
    <row r="548" spans="1:7" x14ac:dyDescent="0.4">
      <c r="A548" t="str">
        <f t="shared" si="40"/>
        <v/>
      </c>
      <c r="B548" t="str">
        <f t="shared" si="41"/>
        <v/>
      </c>
      <c r="C548" t="str">
        <f t="shared" si="42"/>
        <v/>
      </c>
      <c r="D548" t="str">
        <f>IF(E548="","",IF(COUNTIF($E$2:E548,E548)&gt;1,"",SUMIFS(tbl_input[필요수량],tbl_input[집계키_지청],E548)))</f>
        <v/>
      </c>
      <c r="E548" t="str">
        <f>IFERROR(INDEX(tbl_input[집계키_지청],ROW()-1),"")</f>
        <v/>
      </c>
      <c r="F548" t="str">
        <f t="shared" si="43"/>
        <v/>
      </c>
      <c r="G548" t="str">
        <f t="shared" si="44"/>
        <v/>
      </c>
    </row>
    <row r="549" spans="1:7" x14ac:dyDescent="0.4">
      <c r="A549" t="str">
        <f t="shared" si="40"/>
        <v/>
      </c>
      <c r="B549" t="str">
        <f t="shared" si="41"/>
        <v/>
      </c>
      <c r="C549" t="str">
        <f t="shared" si="42"/>
        <v/>
      </c>
      <c r="D549" t="str">
        <f>IF(E549="","",IF(COUNTIF($E$2:E549,E549)&gt;1,"",SUMIFS(tbl_input[필요수량],tbl_input[집계키_지청],E549)))</f>
        <v/>
      </c>
      <c r="E549" t="str">
        <f>IFERROR(INDEX(tbl_input[집계키_지청],ROW()-1),"")</f>
        <v/>
      </c>
      <c r="F549" t="str">
        <f t="shared" si="43"/>
        <v/>
      </c>
      <c r="G549" t="str">
        <f t="shared" si="44"/>
        <v/>
      </c>
    </row>
    <row r="550" spans="1:7" x14ac:dyDescent="0.4">
      <c r="A550" t="str">
        <f t="shared" si="40"/>
        <v/>
      </c>
      <c r="B550" t="str">
        <f t="shared" si="41"/>
        <v/>
      </c>
      <c r="C550" t="str">
        <f t="shared" si="42"/>
        <v/>
      </c>
      <c r="D550" t="str">
        <f>IF(E550="","",IF(COUNTIF($E$2:E550,E550)&gt;1,"",SUMIFS(tbl_input[필요수량],tbl_input[집계키_지청],E550)))</f>
        <v/>
      </c>
      <c r="E550" t="str">
        <f>IFERROR(INDEX(tbl_input[집계키_지청],ROW()-1),"")</f>
        <v/>
      </c>
      <c r="F550" t="str">
        <f t="shared" si="43"/>
        <v/>
      </c>
      <c r="G550" t="str">
        <f t="shared" si="44"/>
        <v/>
      </c>
    </row>
    <row r="551" spans="1:7" x14ac:dyDescent="0.4">
      <c r="A551" t="str">
        <f t="shared" si="40"/>
        <v/>
      </c>
      <c r="B551" t="str">
        <f t="shared" si="41"/>
        <v/>
      </c>
      <c r="C551" t="str">
        <f t="shared" si="42"/>
        <v/>
      </c>
      <c r="D551" t="str">
        <f>IF(E551="","",IF(COUNTIF($E$2:E551,E551)&gt;1,"",SUMIFS(tbl_input[필요수량],tbl_input[집계키_지청],E551)))</f>
        <v/>
      </c>
      <c r="E551" t="str">
        <f>IFERROR(INDEX(tbl_input[집계키_지청],ROW()-1),"")</f>
        <v/>
      </c>
      <c r="F551" t="str">
        <f t="shared" si="43"/>
        <v/>
      </c>
      <c r="G551" t="str">
        <f t="shared" si="44"/>
        <v/>
      </c>
    </row>
    <row r="552" spans="1:7" x14ac:dyDescent="0.4">
      <c r="A552" t="str">
        <f t="shared" si="40"/>
        <v/>
      </c>
      <c r="B552" t="str">
        <f t="shared" si="41"/>
        <v/>
      </c>
      <c r="C552" t="str">
        <f t="shared" si="42"/>
        <v/>
      </c>
      <c r="D552" t="str">
        <f>IF(E552="","",IF(COUNTIF($E$2:E552,E552)&gt;1,"",SUMIFS(tbl_input[필요수량],tbl_input[집계키_지청],E552)))</f>
        <v/>
      </c>
      <c r="E552" t="str">
        <f>IFERROR(INDEX(tbl_input[집계키_지청],ROW()-1),"")</f>
        <v/>
      </c>
      <c r="F552" t="str">
        <f t="shared" si="43"/>
        <v/>
      </c>
      <c r="G552" t="str">
        <f t="shared" si="44"/>
        <v/>
      </c>
    </row>
    <row r="553" spans="1:7" x14ac:dyDescent="0.4">
      <c r="A553" t="str">
        <f t="shared" si="40"/>
        <v/>
      </c>
      <c r="B553" t="str">
        <f t="shared" si="41"/>
        <v/>
      </c>
      <c r="C553" t="str">
        <f t="shared" si="42"/>
        <v/>
      </c>
      <c r="D553" t="str">
        <f>IF(E553="","",IF(COUNTIF($E$2:E553,E553)&gt;1,"",SUMIFS(tbl_input[필요수량],tbl_input[집계키_지청],E553)))</f>
        <v/>
      </c>
      <c r="E553" t="str">
        <f>IFERROR(INDEX(tbl_input[집계키_지청],ROW()-1),"")</f>
        <v/>
      </c>
      <c r="F553" t="str">
        <f t="shared" si="43"/>
        <v/>
      </c>
      <c r="G553" t="str">
        <f t="shared" si="44"/>
        <v/>
      </c>
    </row>
    <row r="554" spans="1:7" x14ac:dyDescent="0.4">
      <c r="A554" t="str">
        <f t="shared" si="40"/>
        <v/>
      </c>
      <c r="B554" t="str">
        <f t="shared" si="41"/>
        <v/>
      </c>
      <c r="C554" t="str">
        <f t="shared" si="42"/>
        <v/>
      </c>
      <c r="D554" t="str">
        <f>IF(E554="","",IF(COUNTIF($E$2:E554,E554)&gt;1,"",SUMIFS(tbl_input[필요수량],tbl_input[집계키_지청],E554)))</f>
        <v/>
      </c>
      <c r="E554" t="str">
        <f>IFERROR(INDEX(tbl_input[집계키_지청],ROW()-1),"")</f>
        <v/>
      </c>
      <c r="F554" t="str">
        <f t="shared" si="43"/>
        <v/>
      </c>
      <c r="G554" t="str">
        <f t="shared" si="44"/>
        <v/>
      </c>
    </row>
    <row r="555" spans="1:7" x14ac:dyDescent="0.4">
      <c r="A555" t="str">
        <f t="shared" si="40"/>
        <v/>
      </c>
      <c r="B555" t="str">
        <f t="shared" si="41"/>
        <v/>
      </c>
      <c r="C555" t="str">
        <f t="shared" si="42"/>
        <v/>
      </c>
      <c r="D555" t="str">
        <f>IF(E555="","",IF(COUNTIF($E$2:E555,E555)&gt;1,"",SUMIFS(tbl_input[필요수량],tbl_input[집계키_지청],E555)))</f>
        <v/>
      </c>
      <c r="E555" t="str">
        <f>IFERROR(INDEX(tbl_input[집계키_지청],ROW()-1),"")</f>
        <v/>
      </c>
      <c r="F555" t="str">
        <f t="shared" si="43"/>
        <v/>
      </c>
      <c r="G555" t="str">
        <f t="shared" si="44"/>
        <v/>
      </c>
    </row>
    <row r="556" spans="1:7" x14ac:dyDescent="0.4">
      <c r="A556" t="str">
        <f t="shared" si="40"/>
        <v/>
      </c>
      <c r="B556" t="str">
        <f t="shared" si="41"/>
        <v/>
      </c>
      <c r="C556" t="str">
        <f t="shared" si="42"/>
        <v/>
      </c>
      <c r="D556" t="str">
        <f>IF(E556="","",IF(COUNTIF($E$2:E556,E556)&gt;1,"",SUMIFS(tbl_input[필요수량],tbl_input[집계키_지청],E556)))</f>
        <v/>
      </c>
      <c r="E556" t="str">
        <f>IFERROR(INDEX(tbl_input[집계키_지청],ROW()-1),"")</f>
        <v/>
      </c>
      <c r="F556" t="str">
        <f t="shared" si="43"/>
        <v/>
      </c>
      <c r="G556" t="str">
        <f t="shared" si="44"/>
        <v/>
      </c>
    </row>
    <row r="557" spans="1:7" x14ac:dyDescent="0.4">
      <c r="A557" t="str">
        <f t="shared" si="40"/>
        <v/>
      </c>
      <c r="B557" t="str">
        <f t="shared" si="41"/>
        <v/>
      </c>
      <c r="C557" t="str">
        <f t="shared" si="42"/>
        <v/>
      </c>
      <c r="D557" t="str">
        <f>IF(E557="","",IF(COUNTIF($E$2:E557,E557)&gt;1,"",SUMIFS(tbl_input[필요수량],tbl_input[집계키_지청],E557)))</f>
        <v/>
      </c>
      <c r="E557" t="str">
        <f>IFERROR(INDEX(tbl_input[집계키_지청],ROW()-1),"")</f>
        <v/>
      </c>
      <c r="F557" t="str">
        <f t="shared" si="43"/>
        <v/>
      </c>
      <c r="G557" t="str">
        <f t="shared" si="44"/>
        <v/>
      </c>
    </row>
    <row r="558" spans="1:7" x14ac:dyDescent="0.4">
      <c r="A558" t="str">
        <f t="shared" si="40"/>
        <v/>
      </c>
      <c r="B558" t="str">
        <f t="shared" si="41"/>
        <v/>
      </c>
      <c r="C558" t="str">
        <f t="shared" si="42"/>
        <v/>
      </c>
      <c r="D558" t="str">
        <f>IF(E558="","",IF(COUNTIF($E$2:E558,E558)&gt;1,"",SUMIFS(tbl_input[필요수량],tbl_input[집계키_지청],E558)))</f>
        <v/>
      </c>
      <c r="E558" t="str">
        <f>IFERROR(INDEX(tbl_input[집계키_지청],ROW()-1),"")</f>
        <v/>
      </c>
      <c r="F558" t="str">
        <f t="shared" si="43"/>
        <v/>
      </c>
      <c r="G558" t="str">
        <f t="shared" si="44"/>
        <v/>
      </c>
    </row>
    <row r="559" spans="1:7" x14ac:dyDescent="0.4">
      <c r="A559" t="str">
        <f t="shared" si="40"/>
        <v/>
      </c>
      <c r="B559" t="str">
        <f t="shared" si="41"/>
        <v/>
      </c>
      <c r="C559" t="str">
        <f t="shared" si="42"/>
        <v/>
      </c>
      <c r="D559" t="str">
        <f>IF(E559="","",IF(COUNTIF($E$2:E559,E559)&gt;1,"",SUMIFS(tbl_input[필요수량],tbl_input[집계키_지청],E559)))</f>
        <v/>
      </c>
      <c r="E559" t="str">
        <f>IFERROR(INDEX(tbl_input[집계키_지청],ROW()-1),"")</f>
        <v/>
      </c>
      <c r="F559" t="str">
        <f t="shared" si="43"/>
        <v/>
      </c>
      <c r="G559" t="str">
        <f t="shared" si="44"/>
        <v/>
      </c>
    </row>
    <row r="560" spans="1:7" x14ac:dyDescent="0.4">
      <c r="A560" t="str">
        <f t="shared" si="40"/>
        <v/>
      </c>
      <c r="B560" t="str">
        <f t="shared" si="41"/>
        <v/>
      </c>
      <c r="C560" t="str">
        <f t="shared" si="42"/>
        <v/>
      </c>
      <c r="D560" t="str">
        <f>IF(E560="","",IF(COUNTIF($E$2:E560,E560)&gt;1,"",SUMIFS(tbl_input[필요수량],tbl_input[집계키_지청],E560)))</f>
        <v/>
      </c>
      <c r="E560" t="str">
        <f>IFERROR(INDEX(tbl_input[집계키_지청],ROW()-1),"")</f>
        <v/>
      </c>
      <c r="F560" t="str">
        <f t="shared" si="43"/>
        <v/>
      </c>
      <c r="G560" t="str">
        <f t="shared" si="44"/>
        <v/>
      </c>
    </row>
    <row r="561" spans="1:7" x14ac:dyDescent="0.4">
      <c r="A561" t="str">
        <f t="shared" si="40"/>
        <v/>
      </c>
      <c r="B561" t="str">
        <f t="shared" si="41"/>
        <v/>
      </c>
      <c r="C561" t="str">
        <f t="shared" si="42"/>
        <v/>
      </c>
      <c r="D561" t="str">
        <f>IF(E561="","",IF(COUNTIF($E$2:E561,E561)&gt;1,"",SUMIFS(tbl_input[필요수량],tbl_input[집계키_지청],E561)))</f>
        <v/>
      </c>
      <c r="E561" t="str">
        <f>IFERROR(INDEX(tbl_input[집계키_지청],ROW()-1),"")</f>
        <v/>
      </c>
      <c r="F561" t="str">
        <f t="shared" si="43"/>
        <v/>
      </c>
      <c r="G561" t="str">
        <f t="shared" si="44"/>
        <v/>
      </c>
    </row>
    <row r="562" spans="1:7" x14ac:dyDescent="0.4">
      <c r="A562" t="str">
        <f t="shared" si="40"/>
        <v/>
      </c>
      <c r="B562" t="str">
        <f t="shared" si="41"/>
        <v/>
      </c>
      <c r="C562" t="str">
        <f t="shared" si="42"/>
        <v/>
      </c>
      <c r="D562" t="str">
        <f>IF(E562="","",IF(COUNTIF($E$2:E562,E562)&gt;1,"",SUMIFS(tbl_input[필요수량],tbl_input[집계키_지청],E562)))</f>
        <v/>
      </c>
      <c r="E562" t="str">
        <f>IFERROR(INDEX(tbl_input[집계키_지청],ROW()-1),"")</f>
        <v/>
      </c>
      <c r="F562" t="str">
        <f t="shared" si="43"/>
        <v/>
      </c>
      <c r="G562" t="str">
        <f t="shared" si="44"/>
        <v/>
      </c>
    </row>
    <row r="563" spans="1:7" x14ac:dyDescent="0.4">
      <c r="A563" t="str">
        <f t="shared" si="40"/>
        <v/>
      </c>
      <c r="B563" t="str">
        <f t="shared" si="41"/>
        <v/>
      </c>
      <c r="C563" t="str">
        <f t="shared" si="42"/>
        <v/>
      </c>
      <c r="D563" t="str">
        <f>IF(E563="","",IF(COUNTIF($E$2:E563,E563)&gt;1,"",SUMIFS(tbl_input[필요수량],tbl_input[집계키_지청],E563)))</f>
        <v/>
      </c>
      <c r="E563" t="str">
        <f>IFERROR(INDEX(tbl_input[집계키_지청],ROW()-1),"")</f>
        <v/>
      </c>
      <c r="F563" t="str">
        <f t="shared" si="43"/>
        <v/>
      </c>
      <c r="G563" t="str">
        <f t="shared" si="44"/>
        <v/>
      </c>
    </row>
    <row r="564" spans="1:7" x14ac:dyDescent="0.4">
      <c r="A564" t="str">
        <f t="shared" si="40"/>
        <v/>
      </c>
      <c r="B564" t="str">
        <f t="shared" si="41"/>
        <v/>
      </c>
      <c r="C564" t="str">
        <f t="shared" si="42"/>
        <v/>
      </c>
      <c r="D564" t="str">
        <f>IF(E564="","",IF(COUNTIF($E$2:E564,E564)&gt;1,"",SUMIFS(tbl_input[필요수량],tbl_input[집계키_지청],E564)))</f>
        <v/>
      </c>
      <c r="E564" t="str">
        <f>IFERROR(INDEX(tbl_input[집계키_지청],ROW()-1),"")</f>
        <v/>
      </c>
      <c r="F564" t="str">
        <f t="shared" si="43"/>
        <v/>
      </c>
      <c r="G564" t="str">
        <f t="shared" si="44"/>
        <v/>
      </c>
    </row>
    <row r="565" spans="1:7" x14ac:dyDescent="0.4">
      <c r="A565" t="str">
        <f t="shared" si="40"/>
        <v/>
      </c>
      <c r="B565" t="str">
        <f t="shared" si="41"/>
        <v/>
      </c>
      <c r="C565" t="str">
        <f t="shared" si="42"/>
        <v/>
      </c>
      <c r="D565" t="str">
        <f>IF(E565="","",IF(COUNTIF($E$2:E565,E565)&gt;1,"",SUMIFS(tbl_input[필요수량],tbl_input[집계키_지청],E565)))</f>
        <v/>
      </c>
      <c r="E565" t="str">
        <f>IFERROR(INDEX(tbl_input[집계키_지청],ROW()-1),"")</f>
        <v/>
      </c>
      <c r="F565" t="str">
        <f t="shared" si="43"/>
        <v/>
      </c>
      <c r="G565" t="str">
        <f t="shared" si="44"/>
        <v/>
      </c>
    </row>
    <row r="566" spans="1:7" x14ac:dyDescent="0.4">
      <c r="A566" t="str">
        <f t="shared" si="40"/>
        <v/>
      </c>
      <c r="B566" t="str">
        <f t="shared" si="41"/>
        <v/>
      </c>
      <c r="C566" t="str">
        <f t="shared" si="42"/>
        <v/>
      </c>
      <c r="D566" t="str">
        <f>IF(E566="","",IF(COUNTIF($E$2:E566,E566)&gt;1,"",SUMIFS(tbl_input[필요수량],tbl_input[집계키_지청],E566)))</f>
        <v/>
      </c>
      <c r="E566" t="str">
        <f>IFERROR(INDEX(tbl_input[집계키_지청],ROW()-1),"")</f>
        <v/>
      </c>
      <c r="F566" t="str">
        <f t="shared" si="43"/>
        <v/>
      </c>
      <c r="G566" t="str">
        <f t="shared" si="44"/>
        <v/>
      </c>
    </row>
    <row r="567" spans="1:7" x14ac:dyDescent="0.4">
      <c r="A567" t="str">
        <f t="shared" si="40"/>
        <v/>
      </c>
      <c r="B567" t="str">
        <f t="shared" si="41"/>
        <v/>
      </c>
      <c r="C567" t="str">
        <f t="shared" si="42"/>
        <v/>
      </c>
      <c r="D567" t="str">
        <f>IF(E567="","",IF(COUNTIF($E$2:E567,E567)&gt;1,"",SUMIFS(tbl_input[필요수량],tbl_input[집계키_지청],E567)))</f>
        <v/>
      </c>
      <c r="E567" t="str">
        <f>IFERROR(INDEX(tbl_input[집계키_지청],ROW()-1),"")</f>
        <v/>
      </c>
      <c r="F567" t="str">
        <f t="shared" si="43"/>
        <v/>
      </c>
      <c r="G567" t="str">
        <f t="shared" si="44"/>
        <v/>
      </c>
    </row>
    <row r="568" spans="1:7" x14ac:dyDescent="0.4">
      <c r="A568" t="str">
        <f t="shared" si="40"/>
        <v/>
      </c>
      <c r="B568" t="str">
        <f t="shared" si="41"/>
        <v/>
      </c>
      <c r="C568" t="str">
        <f t="shared" si="42"/>
        <v/>
      </c>
      <c r="D568" t="str">
        <f>IF(E568="","",IF(COUNTIF($E$2:E568,E568)&gt;1,"",SUMIFS(tbl_input[필요수량],tbl_input[집계키_지청],E568)))</f>
        <v/>
      </c>
      <c r="E568" t="str">
        <f>IFERROR(INDEX(tbl_input[집계키_지청],ROW()-1),"")</f>
        <v/>
      </c>
      <c r="F568" t="str">
        <f t="shared" si="43"/>
        <v/>
      </c>
      <c r="G568" t="str">
        <f t="shared" si="44"/>
        <v/>
      </c>
    </row>
    <row r="569" spans="1:7" x14ac:dyDescent="0.4">
      <c r="A569" t="str">
        <f t="shared" si="40"/>
        <v/>
      </c>
      <c r="B569" t="str">
        <f t="shared" si="41"/>
        <v/>
      </c>
      <c r="C569" t="str">
        <f t="shared" si="42"/>
        <v/>
      </c>
      <c r="D569" t="str">
        <f>IF(E569="","",IF(COUNTIF($E$2:E569,E569)&gt;1,"",SUMIFS(tbl_input[필요수량],tbl_input[집계키_지청],E569)))</f>
        <v/>
      </c>
      <c r="E569" t="str">
        <f>IFERROR(INDEX(tbl_input[집계키_지청],ROW()-1),"")</f>
        <v/>
      </c>
      <c r="F569" t="str">
        <f t="shared" si="43"/>
        <v/>
      </c>
      <c r="G569" t="str">
        <f t="shared" si="44"/>
        <v/>
      </c>
    </row>
    <row r="570" spans="1:7" x14ac:dyDescent="0.4">
      <c r="A570" t="str">
        <f t="shared" si="40"/>
        <v/>
      </c>
      <c r="B570" t="str">
        <f t="shared" si="41"/>
        <v/>
      </c>
      <c r="C570" t="str">
        <f t="shared" si="42"/>
        <v/>
      </c>
      <c r="D570" t="str">
        <f>IF(E570="","",IF(COUNTIF($E$2:E570,E570)&gt;1,"",SUMIFS(tbl_input[필요수량],tbl_input[집계키_지청],E570)))</f>
        <v/>
      </c>
      <c r="E570" t="str">
        <f>IFERROR(INDEX(tbl_input[집계키_지청],ROW()-1),"")</f>
        <v/>
      </c>
      <c r="F570" t="str">
        <f t="shared" si="43"/>
        <v/>
      </c>
      <c r="G570" t="str">
        <f t="shared" si="44"/>
        <v/>
      </c>
    </row>
    <row r="571" spans="1:7" x14ac:dyDescent="0.4">
      <c r="A571" t="str">
        <f t="shared" si="40"/>
        <v/>
      </c>
      <c r="B571" t="str">
        <f t="shared" si="41"/>
        <v/>
      </c>
      <c r="C571" t="str">
        <f t="shared" si="42"/>
        <v/>
      </c>
      <c r="D571" t="str">
        <f>IF(E571="","",IF(COUNTIF($E$2:E571,E571)&gt;1,"",SUMIFS(tbl_input[필요수량],tbl_input[집계키_지청],E571)))</f>
        <v/>
      </c>
      <c r="E571" t="str">
        <f>IFERROR(INDEX(tbl_input[집계키_지청],ROW()-1),"")</f>
        <v/>
      </c>
      <c r="F571" t="str">
        <f t="shared" si="43"/>
        <v/>
      </c>
      <c r="G571" t="str">
        <f t="shared" si="44"/>
        <v/>
      </c>
    </row>
    <row r="572" spans="1:7" x14ac:dyDescent="0.4">
      <c r="A572" t="str">
        <f t="shared" si="40"/>
        <v/>
      </c>
      <c r="B572" t="str">
        <f t="shared" si="41"/>
        <v/>
      </c>
      <c r="C572" t="str">
        <f t="shared" si="42"/>
        <v/>
      </c>
      <c r="D572" t="str">
        <f>IF(E572="","",IF(COUNTIF($E$2:E572,E572)&gt;1,"",SUMIFS(tbl_input[필요수량],tbl_input[집계키_지청],E572)))</f>
        <v/>
      </c>
      <c r="E572" t="str">
        <f>IFERROR(INDEX(tbl_input[집계키_지청],ROW()-1),"")</f>
        <v/>
      </c>
      <c r="F572" t="str">
        <f t="shared" si="43"/>
        <v/>
      </c>
      <c r="G572" t="str">
        <f t="shared" si="44"/>
        <v/>
      </c>
    </row>
    <row r="573" spans="1:7" x14ac:dyDescent="0.4">
      <c r="A573" t="str">
        <f t="shared" si="40"/>
        <v/>
      </c>
      <c r="B573" t="str">
        <f t="shared" si="41"/>
        <v/>
      </c>
      <c r="C573" t="str">
        <f t="shared" si="42"/>
        <v/>
      </c>
      <c r="D573" t="str">
        <f>IF(E573="","",IF(COUNTIF($E$2:E573,E573)&gt;1,"",SUMIFS(tbl_input[필요수량],tbl_input[집계키_지청],E573)))</f>
        <v/>
      </c>
      <c r="E573" t="str">
        <f>IFERROR(INDEX(tbl_input[집계키_지청],ROW()-1),"")</f>
        <v/>
      </c>
      <c r="F573" t="str">
        <f t="shared" si="43"/>
        <v/>
      </c>
      <c r="G573" t="str">
        <f t="shared" si="44"/>
        <v/>
      </c>
    </row>
    <row r="574" spans="1:7" x14ac:dyDescent="0.4">
      <c r="A574" t="str">
        <f t="shared" si="40"/>
        <v/>
      </c>
      <c r="B574" t="str">
        <f t="shared" si="41"/>
        <v/>
      </c>
      <c r="C574" t="str">
        <f t="shared" si="42"/>
        <v/>
      </c>
      <c r="D574" t="str">
        <f>IF(E574="","",IF(COUNTIF($E$2:E574,E574)&gt;1,"",SUMIFS(tbl_input[필요수량],tbl_input[집계키_지청],E574)))</f>
        <v/>
      </c>
      <c r="E574" t="str">
        <f>IFERROR(INDEX(tbl_input[집계키_지청],ROW()-1),"")</f>
        <v/>
      </c>
      <c r="F574" t="str">
        <f t="shared" si="43"/>
        <v/>
      </c>
      <c r="G574" t="str">
        <f t="shared" si="44"/>
        <v/>
      </c>
    </row>
    <row r="575" spans="1:7" x14ac:dyDescent="0.4">
      <c r="A575" t="str">
        <f t="shared" si="40"/>
        <v/>
      </c>
      <c r="B575" t="str">
        <f t="shared" si="41"/>
        <v/>
      </c>
      <c r="C575" t="str">
        <f t="shared" si="42"/>
        <v/>
      </c>
      <c r="D575" t="str">
        <f>IF(E575="","",IF(COUNTIF($E$2:E575,E575)&gt;1,"",SUMIFS(tbl_input[필요수량],tbl_input[집계키_지청],E575)))</f>
        <v/>
      </c>
      <c r="E575" t="str">
        <f>IFERROR(INDEX(tbl_input[집계키_지청],ROW()-1),"")</f>
        <v/>
      </c>
      <c r="F575" t="str">
        <f t="shared" si="43"/>
        <v/>
      </c>
      <c r="G575" t="str">
        <f t="shared" si="44"/>
        <v/>
      </c>
    </row>
    <row r="576" spans="1:7" x14ac:dyDescent="0.4">
      <c r="A576" t="str">
        <f t="shared" si="40"/>
        <v/>
      </c>
      <c r="B576" t="str">
        <f t="shared" si="41"/>
        <v/>
      </c>
      <c r="C576" t="str">
        <f t="shared" si="42"/>
        <v/>
      </c>
      <c r="D576" t="str">
        <f>IF(E576="","",IF(COUNTIF($E$2:E576,E576)&gt;1,"",SUMIFS(tbl_input[필요수량],tbl_input[집계키_지청],E576)))</f>
        <v/>
      </c>
      <c r="E576" t="str">
        <f>IFERROR(INDEX(tbl_input[집계키_지청],ROW()-1),"")</f>
        <v/>
      </c>
      <c r="F576" t="str">
        <f t="shared" si="43"/>
        <v/>
      </c>
      <c r="G576" t="str">
        <f t="shared" si="44"/>
        <v/>
      </c>
    </row>
    <row r="577" spans="1:7" x14ac:dyDescent="0.4">
      <c r="A577" t="str">
        <f t="shared" si="40"/>
        <v/>
      </c>
      <c r="B577" t="str">
        <f t="shared" si="41"/>
        <v/>
      </c>
      <c r="C577" t="str">
        <f t="shared" si="42"/>
        <v/>
      </c>
      <c r="D577" t="str">
        <f>IF(E577="","",IF(COUNTIF($E$2:E577,E577)&gt;1,"",SUMIFS(tbl_input[필요수량],tbl_input[집계키_지청],E577)))</f>
        <v/>
      </c>
      <c r="E577" t="str">
        <f>IFERROR(INDEX(tbl_input[집계키_지청],ROW()-1),"")</f>
        <v/>
      </c>
      <c r="F577" t="str">
        <f t="shared" si="43"/>
        <v/>
      </c>
      <c r="G577" t="str">
        <f t="shared" si="44"/>
        <v/>
      </c>
    </row>
    <row r="578" spans="1:7" x14ac:dyDescent="0.4">
      <c r="A578" t="str">
        <f t="shared" ref="A578:A641" si="45">IF(E578="","",LEFT(E578,F578-1))</f>
        <v/>
      </c>
      <c r="B578" t="str">
        <f t="shared" ref="B578:B641" si="46">IF(E578="","",MID(E578,F578+1,G578-F578-1))</f>
        <v/>
      </c>
      <c r="C578" t="str">
        <f t="shared" ref="C578:C641" si="47">IF(E578="","",MID(E578,G578+1,999))</f>
        <v/>
      </c>
      <c r="D578" t="str">
        <f>IF(E578="","",IF(COUNTIF($E$2:E578,E578)&gt;1,"",SUMIFS(tbl_input[필요수량],tbl_input[집계키_지청],E578)))</f>
        <v/>
      </c>
      <c r="E578" t="str">
        <f>IFERROR(INDEX(tbl_input[집계키_지청],ROW()-1),"")</f>
        <v/>
      </c>
      <c r="F578" t="str">
        <f t="shared" ref="F578:F641" si="48">IF(E578="","",FIND("♦",E578))</f>
        <v/>
      </c>
      <c r="G578" t="str">
        <f t="shared" ref="G578:G641" si="49">IF(E578="","",FIND("♦",E578,F578+1))</f>
        <v/>
      </c>
    </row>
    <row r="579" spans="1:7" x14ac:dyDescent="0.4">
      <c r="A579" t="str">
        <f t="shared" si="45"/>
        <v/>
      </c>
      <c r="B579" t="str">
        <f t="shared" si="46"/>
        <v/>
      </c>
      <c r="C579" t="str">
        <f t="shared" si="47"/>
        <v/>
      </c>
      <c r="D579" t="str">
        <f>IF(E579="","",IF(COUNTIF($E$2:E579,E579)&gt;1,"",SUMIFS(tbl_input[필요수량],tbl_input[집계키_지청],E579)))</f>
        <v/>
      </c>
      <c r="E579" t="str">
        <f>IFERROR(INDEX(tbl_input[집계키_지청],ROW()-1),"")</f>
        <v/>
      </c>
      <c r="F579" t="str">
        <f t="shared" si="48"/>
        <v/>
      </c>
      <c r="G579" t="str">
        <f t="shared" si="49"/>
        <v/>
      </c>
    </row>
    <row r="580" spans="1:7" x14ac:dyDescent="0.4">
      <c r="A580" t="str">
        <f t="shared" si="45"/>
        <v/>
      </c>
      <c r="B580" t="str">
        <f t="shared" si="46"/>
        <v/>
      </c>
      <c r="C580" t="str">
        <f t="shared" si="47"/>
        <v/>
      </c>
      <c r="D580" t="str">
        <f>IF(E580="","",IF(COUNTIF($E$2:E580,E580)&gt;1,"",SUMIFS(tbl_input[필요수량],tbl_input[집계키_지청],E580)))</f>
        <v/>
      </c>
      <c r="E580" t="str">
        <f>IFERROR(INDEX(tbl_input[집계키_지청],ROW()-1),"")</f>
        <v/>
      </c>
      <c r="F580" t="str">
        <f t="shared" si="48"/>
        <v/>
      </c>
      <c r="G580" t="str">
        <f t="shared" si="49"/>
        <v/>
      </c>
    </row>
    <row r="581" spans="1:7" x14ac:dyDescent="0.4">
      <c r="A581" t="str">
        <f t="shared" si="45"/>
        <v/>
      </c>
      <c r="B581" t="str">
        <f t="shared" si="46"/>
        <v/>
      </c>
      <c r="C581" t="str">
        <f t="shared" si="47"/>
        <v/>
      </c>
      <c r="D581" t="str">
        <f>IF(E581="","",IF(COUNTIF($E$2:E581,E581)&gt;1,"",SUMIFS(tbl_input[필요수량],tbl_input[집계키_지청],E581)))</f>
        <v/>
      </c>
      <c r="E581" t="str">
        <f>IFERROR(INDEX(tbl_input[집계키_지청],ROW()-1),"")</f>
        <v/>
      </c>
      <c r="F581" t="str">
        <f t="shared" si="48"/>
        <v/>
      </c>
      <c r="G581" t="str">
        <f t="shared" si="49"/>
        <v/>
      </c>
    </row>
    <row r="582" spans="1:7" x14ac:dyDescent="0.4">
      <c r="A582" t="str">
        <f t="shared" si="45"/>
        <v/>
      </c>
      <c r="B582" t="str">
        <f t="shared" si="46"/>
        <v/>
      </c>
      <c r="C582" t="str">
        <f t="shared" si="47"/>
        <v/>
      </c>
      <c r="D582" t="str">
        <f>IF(E582="","",IF(COUNTIF($E$2:E582,E582)&gt;1,"",SUMIFS(tbl_input[필요수량],tbl_input[집계키_지청],E582)))</f>
        <v/>
      </c>
      <c r="E582" t="str">
        <f>IFERROR(INDEX(tbl_input[집계키_지청],ROW()-1),"")</f>
        <v/>
      </c>
      <c r="F582" t="str">
        <f t="shared" si="48"/>
        <v/>
      </c>
      <c r="G582" t="str">
        <f t="shared" si="49"/>
        <v/>
      </c>
    </row>
    <row r="583" spans="1:7" x14ac:dyDescent="0.4">
      <c r="A583" t="str">
        <f t="shared" si="45"/>
        <v/>
      </c>
      <c r="B583" t="str">
        <f t="shared" si="46"/>
        <v/>
      </c>
      <c r="C583" t="str">
        <f t="shared" si="47"/>
        <v/>
      </c>
      <c r="D583" t="str">
        <f>IF(E583="","",IF(COUNTIF($E$2:E583,E583)&gt;1,"",SUMIFS(tbl_input[필요수량],tbl_input[집계키_지청],E583)))</f>
        <v/>
      </c>
      <c r="E583" t="str">
        <f>IFERROR(INDEX(tbl_input[집계키_지청],ROW()-1),"")</f>
        <v/>
      </c>
      <c r="F583" t="str">
        <f t="shared" si="48"/>
        <v/>
      </c>
      <c r="G583" t="str">
        <f t="shared" si="49"/>
        <v/>
      </c>
    </row>
    <row r="584" spans="1:7" x14ac:dyDescent="0.4">
      <c r="A584" t="str">
        <f t="shared" si="45"/>
        <v/>
      </c>
      <c r="B584" t="str">
        <f t="shared" si="46"/>
        <v/>
      </c>
      <c r="C584" t="str">
        <f t="shared" si="47"/>
        <v/>
      </c>
      <c r="D584" t="str">
        <f>IF(E584="","",IF(COUNTIF($E$2:E584,E584)&gt;1,"",SUMIFS(tbl_input[필요수량],tbl_input[집계키_지청],E584)))</f>
        <v/>
      </c>
      <c r="E584" t="str">
        <f>IFERROR(INDEX(tbl_input[집계키_지청],ROW()-1),"")</f>
        <v/>
      </c>
      <c r="F584" t="str">
        <f t="shared" si="48"/>
        <v/>
      </c>
      <c r="G584" t="str">
        <f t="shared" si="49"/>
        <v/>
      </c>
    </row>
    <row r="585" spans="1:7" x14ac:dyDescent="0.4">
      <c r="A585" t="str">
        <f t="shared" si="45"/>
        <v/>
      </c>
      <c r="B585" t="str">
        <f t="shared" si="46"/>
        <v/>
      </c>
      <c r="C585" t="str">
        <f t="shared" si="47"/>
        <v/>
      </c>
      <c r="D585" t="str">
        <f>IF(E585="","",IF(COUNTIF($E$2:E585,E585)&gt;1,"",SUMIFS(tbl_input[필요수량],tbl_input[집계키_지청],E585)))</f>
        <v/>
      </c>
      <c r="E585" t="str">
        <f>IFERROR(INDEX(tbl_input[집계키_지청],ROW()-1),"")</f>
        <v/>
      </c>
      <c r="F585" t="str">
        <f t="shared" si="48"/>
        <v/>
      </c>
      <c r="G585" t="str">
        <f t="shared" si="49"/>
        <v/>
      </c>
    </row>
    <row r="586" spans="1:7" x14ac:dyDescent="0.4">
      <c r="A586" t="str">
        <f t="shared" si="45"/>
        <v/>
      </c>
      <c r="B586" t="str">
        <f t="shared" si="46"/>
        <v/>
      </c>
      <c r="C586" t="str">
        <f t="shared" si="47"/>
        <v/>
      </c>
      <c r="D586" t="str">
        <f>IF(E586="","",IF(COUNTIF($E$2:E586,E586)&gt;1,"",SUMIFS(tbl_input[필요수량],tbl_input[집계키_지청],E586)))</f>
        <v/>
      </c>
      <c r="E586" t="str">
        <f>IFERROR(INDEX(tbl_input[집계키_지청],ROW()-1),"")</f>
        <v/>
      </c>
      <c r="F586" t="str">
        <f t="shared" si="48"/>
        <v/>
      </c>
      <c r="G586" t="str">
        <f t="shared" si="49"/>
        <v/>
      </c>
    </row>
    <row r="587" spans="1:7" x14ac:dyDescent="0.4">
      <c r="A587" t="str">
        <f t="shared" si="45"/>
        <v/>
      </c>
      <c r="B587" t="str">
        <f t="shared" si="46"/>
        <v/>
      </c>
      <c r="C587" t="str">
        <f t="shared" si="47"/>
        <v/>
      </c>
      <c r="D587" t="str">
        <f>IF(E587="","",IF(COUNTIF($E$2:E587,E587)&gt;1,"",SUMIFS(tbl_input[필요수량],tbl_input[집계키_지청],E587)))</f>
        <v/>
      </c>
      <c r="E587" t="str">
        <f>IFERROR(INDEX(tbl_input[집계키_지청],ROW()-1),"")</f>
        <v/>
      </c>
      <c r="F587" t="str">
        <f t="shared" si="48"/>
        <v/>
      </c>
      <c r="G587" t="str">
        <f t="shared" si="49"/>
        <v/>
      </c>
    </row>
    <row r="588" spans="1:7" x14ac:dyDescent="0.4">
      <c r="A588" t="str">
        <f t="shared" si="45"/>
        <v/>
      </c>
      <c r="B588" t="str">
        <f t="shared" si="46"/>
        <v/>
      </c>
      <c r="C588" t="str">
        <f t="shared" si="47"/>
        <v/>
      </c>
      <c r="D588" t="str">
        <f>IF(E588="","",IF(COUNTIF($E$2:E588,E588)&gt;1,"",SUMIFS(tbl_input[필요수량],tbl_input[집계키_지청],E588)))</f>
        <v/>
      </c>
      <c r="E588" t="str">
        <f>IFERROR(INDEX(tbl_input[집계키_지청],ROW()-1),"")</f>
        <v/>
      </c>
      <c r="F588" t="str">
        <f t="shared" si="48"/>
        <v/>
      </c>
      <c r="G588" t="str">
        <f t="shared" si="49"/>
        <v/>
      </c>
    </row>
    <row r="589" spans="1:7" x14ac:dyDescent="0.4">
      <c r="A589" t="str">
        <f t="shared" si="45"/>
        <v/>
      </c>
      <c r="B589" t="str">
        <f t="shared" si="46"/>
        <v/>
      </c>
      <c r="C589" t="str">
        <f t="shared" si="47"/>
        <v/>
      </c>
      <c r="D589" t="str">
        <f>IF(E589="","",IF(COUNTIF($E$2:E589,E589)&gt;1,"",SUMIFS(tbl_input[필요수량],tbl_input[집계키_지청],E589)))</f>
        <v/>
      </c>
      <c r="E589" t="str">
        <f>IFERROR(INDEX(tbl_input[집계키_지청],ROW()-1),"")</f>
        <v/>
      </c>
      <c r="F589" t="str">
        <f t="shared" si="48"/>
        <v/>
      </c>
      <c r="G589" t="str">
        <f t="shared" si="49"/>
        <v/>
      </c>
    </row>
    <row r="590" spans="1:7" x14ac:dyDescent="0.4">
      <c r="A590" t="str">
        <f t="shared" si="45"/>
        <v/>
      </c>
      <c r="B590" t="str">
        <f t="shared" si="46"/>
        <v/>
      </c>
      <c r="C590" t="str">
        <f t="shared" si="47"/>
        <v/>
      </c>
      <c r="D590" t="str">
        <f>IF(E590="","",IF(COUNTIF($E$2:E590,E590)&gt;1,"",SUMIFS(tbl_input[필요수량],tbl_input[집계키_지청],E590)))</f>
        <v/>
      </c>
      <c r="E590" t="str">
        <f>IFERROR(INDEX(tbl_input[집계키_지청],ROW()-1),"")</f>
        <v/>
      </c>
      <c r="F590" t="str">
        <f t="shared" si="48"/>
        <v/>
      </c>
      <c r="G590" t="str">
        <f t="shared" si="49"/>
        <v/>
      </c>
    </row>
    <row r="591" spans="1:7" x14ac:dyDescent="0.4">
      <c r="A591" t="str">
        <f t="shared" si="45"/>
        <v/>
      </c>
      <c r="B591" t="str">
        <f t="shared" si="46"/>
        <v/>
      </c>
      <c r="C591" t="str">
        <f t="shared" si="47"/>
        <v/>
      </c>
      <c r="D591" t="str">
        <f>IF(E591="","",IF(COUNTIF($E$2:E591,E591)&gt;1,"",SUMIFS(tbl_input[필요수량],tbl_input[집계키_지청],E591)))</f>
        <v/>
      </c>
      <c r="E591" t="str">
        <f>IFERROR(INDEX(tbl_input[집계키_지청],ROW()-1),"")</f>
        <v/>
      </c>
      <c r="F591" t="str">
        <f t="shared" si="48"/>
        <v/>
      </c>
      <c r="G591" t="str">
        <f t="shared" si="49"/>
        <v/>
      </c>
    </row>
    <row r="592" spans="1:7" x14ac:dyDescent="0.4">
      <c r="A592" t="str">
        <f t="shared" si="45"/>
        <v/>
      </c>
      <c r="B592" t="str">
        <f t="shared" si="46"/>
        <v/>
      </c>
      <c r="C592" t="str">
        <f t="shared" si="47"/>
        <v/>
      </c>
      <c r="D592" t="str">
        <f>IF(E592="","",IF(COUNTIF($E$2:E592,E592)&gt;1,"",SUMIFS(tbl_input[필요수량],tbl_input[집계키_지청],E592)))</f>
        <v/>
      </c>
      <c r="E592" t="str">
        <f>IFERROR(INDEX(tbl_input[집계키_지청],ROW()-1),"")</f>
        <v/>
      </c>
      <c r="F592" t="str">
        <f t="shared" si="48"/>
        <v/>
      </c>
      <c r="G592" t="str">
        <f t="shared" si="49"/>
        <v/>
      </c>
    </row>
    <row r="593" spans="1:7" x14ac:dyDescent="0.4">
      <c r="A593" t="str">
        <f t="shared" si="45"/>
        <v/>
      </c>
      <c r="B593" t="str">
        <f t="shared" si="46"/>
        <v/>
      </c>
      <c r="C593" t="str">
        <f t="shared" si="47"/>
        <v/>
      </c>
      <c r="D593" t="str">
        <f>IF(E593="","",IF(COUNTIF($E$2:E593,E593)&gt;1,"",SUMIFS(tbl_input[필요수량],tbl_input[집계키_지청],E593)))</f>
        <v/>
      </c>
      <c r="E593" t="str">
        <f>IFERROR(INDEX(tbl_input[집계키_지청],ROW()-1),"")</f>
        <v/>
      </c>
      <c r="F593" t="str">
        <f t="shared" si="48"/>
        <v/>
      </c>
      <c r="G593" t="str">
        <f t="shared" si="49"/>
        <v/>
      </c>
    </row>
    <row r="594" spans="1:7" x14ac:dyDescent="0.4">
      <c r="A594" t="str">
        <f t="shared" si="45"/>
        <v/>
      </c>
      <c r="B594" t="str">
        <f t="shared" si="46"/>
        <v/>
      </c>
      <c r="C594" t="str">
        <f t="shared" si="47"/>
        <v/>
      </c>
      <c r="D594" t="str">
        <f>IF(E594="","",IF(COUNTIF($E$2:E594,E594)&gt;1,"",SUMIFS(tbl_input[필요수량],tbl_input[집계키_지청],E594)))</f>
        <v/>
      </c>
      <c r="E594" t="str">
        <f>IFERROR(INDEX(tbl_input[집계키_지청],ROW()-1),"")</f>
        <v/>
      </c>
      <c r="F594" t="str">
        <f t="shared" si="48"/>
        <v/>
      </c>
      <c r="G594" t="str">
        <f t="shared" si="49"/>
        <v/>
      </c>
    </row>
    <row r="595" spans="1:7" x14ac:dyDescent="0.4">
      <c r="A595" t="str">
        <f t="shared" si="45"/>
        <v/>
      </c>
      <c r="B595" t="str">
        <f t="shared" si="46"/>
        <v/>
      </c>
      <c r="C595" t="str">
        <f t="shared" si="47"/>
        <v/>
      </c>
      <c r="D595" t="str">
        <f>IF(E595="","",IF(COUNTIF($E$2:E595,E595)&gt;1,"",SUMIFS(tbl_input[필요수량],tbl_input[집계키_지청],E595)))</f>
        <v/>
      </c>
      <c r="E595" t="str">
        <f>IFERROR(INDEX(tbl_input[집계키_지청],ROW()-1),"")</f>
        <v/>
      </c>
      <c r="F595" t="str">
        <f t="shared" si="48"/>
        <v/>
      </c>
      <c r="G595" t="str">
        <f t="shared" si="49"/>
        <v/>
      </c>
    </row>
    <row r="596" spans="1:7" x14ac:dyDescent="0.4">
      <c r="A596" t="str">
        <f t="shared" si="45"/>
        <v/>
      </c>
      <c r="B596" t="str">
        <f t="shared" si="46"/>
        <v/>
      </c>
      <c r="C596" t="str">
        <f t="shared" si="47"/>
        <v/>
      </c>
      <c r="D596" t="str">
        <f>IF(E596="","",IF(COUNTIF($E$2:E596,E596)&gt;1,"",SUMIFS(tbl_input[필요수량],tbl_input[집계키_지청],E596)))</f>
        <v/>
      </c>
      <c r="E596" t="str">
        <f>IFERROR(INDEX(tbl_input[집계키_지청],ROW()-1),"")</f>
        <v/>
      </c>
      <c r="F596" t="str">
        <f t="shared" si="48"/>
        <v/>
      </c>
      <c r="G596" t="str">
        <f t="shared" si="49"/>
        <v/>
      </c>
    </row>
    <row r="597" spans="1:7" x14ac:dyDescent="0.4">
      <c r="A597" t="str">
        <f t="shared" si="45"/>
        <v/>
      </c>
      <c r="B597" t="str">
        <f t="shared" si="46"/>
        <v/>
      </c>
      <c r="C597" t="str">
        <f t="shared" si="47"/>
        <v/>
      </c>
      <c r="D597" t="str">
        <f>IF(E597="","",IF(COUNTIF($E$2:E597,E597)&gt;1,"",SUMIFS(tbl_input[필요수량],tbl_input[집계키_지청],E597)))</f>
        <v/>
      </c>
      <c r="E597" t="str">
        <f>IFERROR(INDEX(tbl_input[집계키_지청],ROW()-1),"")</f>
        <v/>
      </c>
      <c r="F597" t="str">
        <f t="shared" si="48"/>
        <v/>
      </c>
      <c r="G597" t="str">
        <f t="shared" si="49"/>
        <v/>
      </c>
    </row>
    <row r="598" spans="1:7" x14ac:dyDescent="0.4">
      <c r="A598" t="str">
        <f t="shared" si="45"/>
        <v/>
      </c>
      <c r="B598" t="str">
        <f t="shared" si="46"/>
        <v/>
      </c>
      <c r="C598" t="str">
        <f t="shared" si="47"/>
        <v/>
      </c>
      <c r="D598" t="str">
        <f>IF(E598="","",IF(COUNTIF($E$2:E598,E598)&gt;1,"",SUMIFS(tbl_input[필요수량],tbl_input[집계키_지청],E598)))</f>
        <v/>
      </c>
      <c r="E598" t="str">
        <f>IFERROR(INDEX(tbl_input[집계키_지청],ROW()-1),"")</f>
        <v/>
      </c>
      <c r="F598" t="str">
        <f t="shared" si="48"/>
        <v/>
      </c>
      <c r="G598" t="str">
        <f t="shared" si="49"/>
        <v/>
      </c>
    </row>
    <row r="599" spans="1:7" x14ac:dyDescent="0.4">
      <c r="A599" t="str">
        <f t="shared" si="45"/>
        <v/>
      </c>
      <c r="B599" t="str">
        <f t="shared" si="46"/>
        <v/>
      </c>
      <c r="C599" t="str">
        <f t="shared" si="47"/>
        <v/>
      </c>
      <c r="D599" t="str">
        <f>IF(E599="","",IF(COUNTIF($E$2:E599,E599)&gt;1,"",SUMIFS(tbl_input[필요수량],tbl_input[집계키_지청],E599)))</f>
        <v/>
      </c>
      <c r="E599" t="str">
        <f>IFERROR(INDEX(tbl_input[집계키_지청],ROW()-1),"")</f>
        <v/>
      </c>
      <c r="F599" t="str">
        <f t="shared" si="48"/>
        <v/>
      </c>
      <c r="G599" t="str">
        <f t="shared" si="49"/>
        <v/>
      </c>
    </row>
    <row r="600" spans="1:7" x14ac:dyDescent="0.4">
      <c r="A600" t="str">
        <f t="shared" si="45"/>
        <v/>
      </c>
      <c r="B600" t="str">
        <f t="shared" si="46"/>
        <v/>
      </c>
      <c r="C600" t="str">
        <f t="shared" si="47"/>
        <v/>
      </c>
      <c r="D600" t="str">
        <f>IF(E600="","",IF(COUNTIF($E$2:E600,E600)&gt;1,"",SUMIFS(tbl_input[필요수량],tbl_input[집계키_지청],E600)))</f>
        <v/>
      </c>
      <c r="E600" t="str">
        <f>IFERROR(INDEX(tbl_input[집계키_지청],ROW()-1),"")</f>
        <v/>
      </c>
      <c r="F600" t="str">
        <f t="shared" si="48"/>
        <v/>
      </c>
      <c r="G600" t="str">
        <f t="shared" si="49"/>
        <v/>
      </c>
    </row>
    <row r="601" spans="1:7" x14ac:dyDescent="0.4">
      <c r="A601" t="str">
        <f t="shared" si="45"/>
        <v/>
      </c>
      <c r="B601" t="str">
        <f t="shared" si="46"/>
        <v/>
      </c>
      <c r="C601" t="str">
        <f t="shared" si="47"/>
        <v/>
      </c>
      <c r="D601" t="str">
        <f>IF(E601="","",IF(COUNTIF($E$2:E601,E601)&gt;1,"",SUMIFS(tbl_input[필요수량],tbl_input[집계키_지청],E601)))</f>
        <v/>
      </c>
      <c r="E601" t="str">
        <f>IFERROR(INDEX(tbl_input[집계키_지청],ROW()-1),"")</f>
        <v/>
      </c>
      <c r="F601" t="str">
        <f t="shared" si="48"/>
        <v/>
      </c>
      <c r="G601" t="str">
        <f t="shared" si="49"/>
        <v/>
      </c>
    </row>
    <row r="602" spans="1:7" x14ac:dyDescent="0.4">
      <c r="A602" t="str">
        <f t="shared" si="45"/>
        <v/>
      </c>
      <c r="B602" t="str">
        <f t="shared" si="46"/>
        <v/>
      </c>
      <c r="C602" t="str">
        <f t="shared" si="47"/>
        <v/>
      </c>
      <c r="D602" t="str">
        <f>IF(E602="","",IF(COUNTIF($E$2:E602,E602)&gt;1,"",SUMIFS(tbl_input[필요수량],tbl_input[집계키_지청],E602)))</f>
        <v/>
      </c>
      <c r="E602" t="str">
        <f>IFERROR(INDEX(tbl_input[집계키_지청],ROW()-1),"")</f>
        <v/>
      </c>
      <c r="F602" t="str">
        <f t="shared" si="48"/>
        <v/>
      </c>
      <c r="G602" t="str">
        <f t="shared" si="49"/>
        <v/>
      </c>
    </row>
    <row r="603" spans="1:7" x14ac:dyDescent="0.4">
      <c r="A603" t="str">
        <f t="shared" si="45"/>
        <v/>
      </c>
      <c r="B603" t="str">
        <f t="shared" si="46"/>
        <v/>
      </c>
      <c r="C603" t="str">
        <f t="shared" si="47"/>
        <v/>
      </c>
      <c r="D603" t="str">
        <f>IF(E603="","",IF(COUNTIF($E$2:E603,E603)&gt;1,"",SUMIFS(tbl_input[필요수량],tbl_input[집계키_지청],E603)))</f>
        <v/>
      </c>
      <c r="E603" t="str">
        <f>IFERROR(INDEX(tbl_input[집계키_지청],ROW()-1),"")</f>
        <v/>
      </c>
      <c r="F603" t="str">
        <f t="shared" si="48"/>
        <v/>
      </c>
      <c r="G603" t="str">
        <f t="shared" si="49"/>
        <v/>
      </c>
    </row>
    <row r="604" spans="1:7" x14ac:dyDescent="0.4">
      <c r="A604" t="str">
        <f t="shared" si="45"/>
        <v/>
      </c>
      <c r="B604" t="str">
        <f t="shared" si="46"/>
        <v/>
      </c>
      <c r="C604" t="str">
        <f t="shared" si="47"/>
        <v/>
      </c>
      <c r="D604" t="str">
        <f>IF(E604="","",IF(COUNTIF($E$2:E604,E604)&gt;1,"",SUMIFS(tbl_input[필요수량],tbl_input[집계키_지청],E604)))</f>
        <v/>
      </c>
      <c r="E604" t="str">
        <f>IFERROR(INDEX(tbl_input[집계키_지청],ROW()-1),"")</f>
        <v/>
      </c>
      <c r="F604" t="str">
        <f t="shared" si="48"/>
        <v/>
      </c>
      <c r="G604" t="str">
        <f t="shared" si="49"/>
        <v/>
      </c>
    </row>
    <row r="605" spans="1:7" x14ac:dyDescent="0.4">
      <c r="A605" t="str">
        <f t="shared" si="45"/>
        <v/>
      </c>
      <c r="B605" t="str">
        <f t="shared" si="46"/>
        <v/>
      </c>
      <c r="C605" t="str">
        <f t="shared" si="47"/>
        <v/>
      </c>
      <c r="D605" t="str">
        <f>IF(E605="","",IF(COUNTIF($E$2:E605,E605)&gt;1,"",SUMIFS(tbl_input[필요수량],tbl_input[집계키_지청],E605)))</f>
        <v/>
      </c>
      <c r="E605" t="str">
        <f>IFERROR(INDEX(tbl_input[집계키_지청],ROW()-1),"")</f>
        <v/>
      </c>
      <c r="F605" t="str">
        <f t="shared" si="48"/>
        <v/>
      </c>
      <c r="G605" t="str">
        <f t="shared" si="49"/>
        <v/>
      </c>
    </row>
    <row r="606" spans="1:7" x14ac:dyDescent="0.4">
      <c r="A606" t="str">
        <f t="shared" si="45"/>
        <v/>
      </c>
      <c r="B606" t="str">
        <f t="shared" si="46"/>
        <v/>
      </c>
      <c r="C606" t="str">
        <f t="shared" si="47"/>
        <v/>
      </c>
      <c r="D606" t="str">
        <f>IF(E606="","",IF(COUNTIF($E$2:E606,E606)&gt;1,"",SUMIFS(tbl_input[필요수량],tbl_input[집계키_지청],E606)))</f>
        <v/>
      </c>
      <c r="E606" t="str">
        <f>IFERROR(INDEX(tbl_input[집계키_지청],ROW()-1),"")</f>
        <v/>
      </c>
      <c r="F606" t="str">
        <f t="shared" si="48"/>
        <v/>
      </c>
      <c r="G606" t="str">
        <f t="shared" si="49"/>
        <v/>
      </c>
    </row>
    <row r="607" spans="1:7" x14ac:dyDescent="0.4">
      <c r="A607" t="str">
        <f t="shared" si="45"/>
        <v/>
      </c>
      <c r="B607" t="str">
        <f t="shared" si="46"/>
        <v/>
      </c>
      <c r="C607" t="str">
        <f t="shared" si="47"/>
        <v/>
      </c>
      <c r="D607" t="str">
        <f>IF(E607="","",IF(COUNTIF($E$2:E607,E607)&gt;1,"",SUMIFS(tbl_input[필요수량],tbl_input[집계키_지청],E607)))</f>
        <v/>
      </c>
      <c r="E607" t="str">
        <f>IFERROR(INDEX(tbl_input[집계키_지청],ROW()-1),"")</f>
        <v/>
      </c>
      <c r="F607" t="str">
        <f t="shared" si="48"/>
        <v/>
      </c>
      <c r="G607" t="str">
        <f t="shared" si="49"/>
        <v/>
      </c>
    </row>
    <row r="608" spans="1:7" x14ac:dyDescent="0.4">
      <c r="A608" t="str">
        <f t="shared" si="45"/>
        <v/>
      </c>
      <c r="B608" t="str">
        <f t="shared" si="46"/>
        <v/>
      </c>
      <c r="C608" t="str">
        <f t="shared" si="47"/>
        <v/>
      </c>
      <c r="D608" t="str">
        <f>IF(E608="","",IF(COUNTIF($E$2:E608,E608)&gt;1,"",SUMIFS(tbl_input[필요수량],tbl_input[집계키_지청],E608)))</f>
        <v/>
      </c>
      <c r="E608" t="str">
        <f>IFERROR(INDEX(tbl_input[집계키_지청],ROW()-1),"")</f>
        <v/>
      </c>
      <c r="F608" t="str">
        <f t="shared" si="48"/>
        <v/>
      </c>
      <c r="G608" t="str">
        <f t="shared" si="49"/>
        <v/>
      </c>
    </row>
    <row r="609" spans="1:7" x14ac:dyDescent="0.4">
      <c r="A609" t="str">
        <f t="shared" si="45"/>
        <v/>
      </c>
      <c r="B609" t="str">
        <f t="shared" si="46"/>
        <v/>
      </c>
      <c r="C609" t="str">
        <f t="shared" si="47"/>
        <v/>
      </c>
      <c r="D609" t="str">
        <f>IF(E609="","",IF(COUNTIF($E$2:E609,E609)&gt;1,"",SUMIFS(tbl_input[필요수량],tbl_input[집계키_지청],E609)))</f>
        <v/>
      </c>
      <c r="E609" t="str">
        <f>IFERROR(INDEX(tbl_input[집계키_지청],ROW()-1),"")</f>
        <v/>
      </c>
      <c r="F609" t="str">
        <f t="shared" si="48"/>
        <v/>
      </c>
      <c r="G609" t="str">
        <f t="shared" si="49"/>
        <v/>
      </c>
    </row>
    <row r="610" spans="1:7" x14ac:dyDescent="0.4">
      <c r="A610" t="str">
        <f t="shared" si="45"/>
        <v/>
      </c>
      <c r="B610" t="str">
        <f t="shared" si="46"/>
        <v/>
      </c>
      <c r="C610" t="str">
        <f t="shared" si="47"/>
        <v/>
      </c>
      <c r="D610" t="str">
        <f>IF(E610="","",IF(COUNTIF($E$2:E610,E610)&gt;1,"",SUMIFS(tbl_input[필요수량],tbl_input[집계키_지청],E610)))</f>
        <v/>
      </c>
      <c r="E610" t="str">
        <f>IFERROR(INDEX(tbl_input[집계키_지청],ROW()-1),"")</f>
        <v/>
      </c>
      <c r="F610" t="str">
        <f t="shared" si="48"/>
        <v/>
      </c>
      <c r="G610" t="str">
        <f t="shared" si="49"/>
        <v/>
      </c>
    </row>
    <row r="611" spans="1:7" x14ac:dyDescent="0.4">
      <c r="A611" t="str">
        <f t="shared" si="45"/>
        <v/>
      </c>
      <c r="B611" t="str">
        <f t="shared" si="46"/>
        <v/>
      </c>
      <c r="C611" t="str">
        <f t="shared" si="47"/>
        <v/>
      </c>
      <c r="D611" t="str">
        <f>IF(E611="","",IF(COUNTIF($E$2:E611,E611)&gt;1,"",SUMIFS(tbl_input[필요수량],tbl_input[집계키_지청],E611)))</f>
        <v/>
      </c>
      <c r="E611" t="str">
        <f>IFERROR(INDEX(tbl_input[집계키_지청],ROW()-1),"")</f>
        <v/>
      </c>
      <c r="F611" t="str">
        <f t="shared" si="48"/>
        <v/>
      </c>
      <c r="G611" t="str">
        <f t="shared" si="49"/>
        <v/>
      </c>
    </row>
    <row r="612" spans="1:7" x14ac:dyDescent="0.4">
      <c r="A612" t="str">
        <f t="shared" si="45"/>
        <v/>
      </c>
      <c r="B612" t="str">
        <f t="shared" si="46"/>
        <v/>
      </c>
      <c r="C612" t="str">
        <f t="shared" si="47"/>
        <v/>
      </c>
      <c r="D612" t="str">
        <f>IF(E612="","",IF(COUNTIF($E$2:E612,E612)&gt;1,"",SUMIFS(tbl_input[필요수량],tbl_input[집계키_지청],E612)))</f>
        <v/>
      </c>
      <c r="E612" t="str">
        <f>IFERROR(INDEX(tbl_input[집계키_지청],ROW()-1),"")</f>
        <v/>
      </c>
      <c r="F612" t="str">
        <f t="shared" si="48"/>
        <v/>
      </c>
      <c r="G612" t="str">
        <f t="shared" si="49"/>
        <v/>
      </c>
    </row>
    <row r="613" spans="1:7" x14ac:dyDescent="0.4">
      <c r="A613" t="str">
        <f t="shared" si="45"/>
        <v/>
      </c>
      <c r="B613" t="str">
        <f t="shared" si="46"/>
        <v/>
      </c>
      <c r="C613" t="str">
        <f t="shared" si="47"/>
        <v/>
      </c>
      <c r="D613" t="str">
        <f>IF(E613="","",IF(COUNTIF($E$2:E613,E613)&gt;1,"",SUMIFS(tbl_input[필요수량],tbl_input[집계키_지청],E613)))</f>
        <v/>
      </c>
      <c r="E613" t="str">
        <f>IFERROR(INDEX(tbl_input[집계키_지청],ROW()-1),"")</f>
        <v/>
      </c>
      <c r="F613" t="str">
        <f t="shared" si="48"/>
        <v/>
      </c>
      <c r="G613" t="str">
        <f t="shared" si="49"/>
        <v/>
      </c>
    </row>
    <row r="614" spans="1:7" x14ac:dyDescent="0.4">
      <c r="A614" t="str">
        <f t="shared" si="45"/>
        <v/>
      </c>
      <c r="B614" t="str">
        <f t="shared" si="46"/>
        <v/>
      </c>
      <c r="C614" t="str">
        <f t="shared" si="47"/>
        <v/>
      </c>
      <c r="D614" t="str">
        <f>IF(E614="","",IF(COUNTIF($E$2:E614,E614)&gt;1,"",SUMIFS(tbl_input[필요수량],tbl_input[집계키_지청],E614)))</f>
        <v/>
      </c>
      <c r="E614" t="str">
        <f>IFERROR(INDEX(tbl_input[집계키_지청],ROW()-1),"")</f>
        <v/>
      </c>
      <c r="F614" t="str">
        <f t="shared" si="48"/>
        <v/>
      </c>
      <c r="G614" t="str">
        <f t="shared" si="49"/>
        <v/>
      </c>
    </row>
    <row r="615" spans="1:7" x14ac:dyDescent="0.4">
      <c r="A615" t="str">
        <f t="shared" si="45"/>
        <v/>
      </c>
      <c r="B615" t="str">
        <f t="shared" si="46"/>
        <v/>
      </c>
      <c r="C615" t="str">
        <f t="shared" si="47"/>
        <v/>
      </c>
      <c r="D615" t="str">
        <f>IF(E615="","",IF(COUNTIF($E$2:E615,E615)&gt;1,"",SUMIFS(tbl_input[필요수량],tbl_input[집계키_지청],E615)))</f>
        <v/>
      </c>
      <c r="E615" t="str">
        <f>IFERROR(INDEX(tbl_input[집계키_지청],ROW()-1),"")</f>
        <v/>
      </c>
      <c r="F615" t="str">
        <f t="shared" si="48"/>
        <v/>
      </c>
      <c r="G615" t="str">
        <f t="shared" si="49"/>
        <v/>
      </c>
    </row>
    <row r="616" spans="1:7" x14ac:dyDescent="0.4">
      <c r="A616" t="str">
        <f t="shared" si="45"/>
        <v/>
      </c>
      <c r="B616" t="str">
        <f t="shared" si="46"/>
        <v/>
      </c>
      <c r="C616" t="str">
        <f t="shared" si="47"/>
        <v/>
      </c>
      <c r="D616" t="str">
        <f>IF(E616="","",IF(COUNTIF($E$2:E616,E616)&gt;1,"",SUMIFS(tbl_input[필요수량],tbl_input[집계키_지청],E616)))</f>
        <v/>
      </c>
      <c r="E616" t="str">
        <f>IFERROR(INDEX(tbl_input[집계키_지청],ROW()-1),"")</f>
        <v/>
      </c>
      <c r="F616" t="str">
        <f t="shared" si="48"/>
        <v/>
      </c>
      <c r="G616" t="str">
        <f t="shared" si="49"/>
        <v/>
      </c>
    </row>
    <row r="617" spans="1:7" x14ac:dyDescent="0.4">
      <c r="A617" t="str">
        <f t="shared" si="45"/>
        <v/>
      </c>
      <c r="B617" t="str">
        <f t="shared" si="46"/>
        <v/>
      </c>
      <c r="C617" t="str">
        <f t="shared" si="47"/>
        <v/>
      </c>
      <c r="D617" t="str">
        <f>IF(E617="","",IF(COUNTIF($E$2:E617,E617)&gt;1,"",SUMIFS(tbl_input[필요수량],tbl_input[집계키_지청],E617)))</f>
        <v/>
      </c>
      <c r="E617" t="str">
        <f>IFERROR(INDEX(tbl_input[집계키_지청],ROW()-1),"")</f>
        <v/>
      </c>
      <c r="F617" t="str">
        <f t="shared" si="48"/>
        <v/>
      </c>
      <c r="G617" t="str">
        <f t="shared" si="49"/>
        <v/>
      </c>
    </row>
    <row r="618" spans="1:7" x14ac:dyDescent="0.4">
      <c r="A618" t="str">
        <f t="shared" si="45"/>
        <v/>
      </c>
      <c r="B618" t="str">
        <f t="shared" si="46"/>
        <v/>
      </c>
      <c r="C618" t="str">
        <f t="shared" si="47"/>
        <v/>
      </c>
      <c r="D618" t="str">
        <f>IF(E618="","",IF(COUNTIF($E$2:E618,E618)&gt;1,"",SUMIFS(tbl_input[필요수량],tbl_input[집계키_지청],E618)))</f>
        <v/>
      </c>
      <c r="E618" t="str">
        <f>IFERROR(INDEX(tbl_input[집계키_지청],ROW()-1),"")</f>
        <v/>
      </c>
      <c r="F618" t="str">
        <f t="shared" si="48"/>
        <v/>
      </c>
      <c r="G618" t="str">
        <f t="shared" si="49"/>
        <v/>
      </c>
    </row>
    <row r="619" spans="1:7" x14ac:dyDescent="0.4">
      <c r="A619" t="str">
        <f t="shared" si="45"/>
        <v/>
      </c>
      <c r="B619" t="str">
        <f t="shared" si="46"/>
        <v/>
      </c>
      <c r="C619" t="str">
        <f t="shared" si="47"/>
        <v/>
      </c>
      <c r="D619" t="str">
        <f>IF(E619="","",IF(COUNTIF($E$2:E619,E619)&gt;1,"",SUMIFS(tbl_input[필요수량],tbl_input[집계키_지청],E619)))</f>
        <v/>
      </c>
      <c r="E619" t="str">
        <f>IFERROR(INDEX(tbl_input[집계키_지청],ROW()-1),"")</f>
        <v/>
      </c>
      <c r="F619" t="str">
        <f t="shared" si="48"/>
        <v/>
      </c>
      <c r="G619" t="str">
        <f t="shared" si="49"/>
        <v/>
      </c>
    </row>
    <row r="620" spans="1:7" x14ac:dyDescent="0.4">
      <c r="A620" t="str">
        <f t="shared" si="45"/>
        <v/>
      </c>
      <c r="B620" t="str">
        <f t="shared" si="46"/>
        <v/>
      </c>
      <c r="C620" t="str">
        <f t="shared" si="47"/>
        <v/>
      </c>
      <c r="D620" t="str">
        <f>IF(E620="","",IF(COUNTIF($E$2:E620,E620)&gt;1,"",SUMIFS(tbl_input[필요수량],tbl_input[집계키_지청],E620)))</f>
        <v/>
      </c>
      <c r="E620" t="str">
        <f>IFERROR(INDEX(tbl_input[집계키_지청],ROW()-1),"")</f>
        <v/>
      </c>
      <c r="F620" t="str">
        <f t="shared" si="48"/>
        <v/>
      </c>
      <c r="G620" t="str">
        <f t="shared" si="49"/>
        <v/>
      </c>
    </row>
    <row r="621" spans="1:7" x14ac:dyDescent="0.4">
      <c r="A621" t="str">
        <f t="shared" si="45"/>
        <v/>
      </c>
      <c r="B621" t="str">
        <f t="shared" si="46"/>
        <v/>
      </c>
      <c r="C621" t="str">
        <f t="shared" si="47"/>
        <v/>
      </c>
      <c r="D621" t="str">
        <f>IF(E621="","",IF(COUNTIF($E$2:E621,E621)&gt;1,"",SUMIFS(tbl_input[필요수량],tbl_input[집계키_지청],E621)))</f>
        <v/>
      </c>
      <c r="E621" t="str">
        <f>IFERROR(INDEX(tbl_input[집계키_지청],ROW()-1),"")</f>
        <v/>
      </c>
      <c r="F621" t="str">
        <f t="shared" si="48"/>
        <v/>
      </c>
      <c r="G621" t="str">
        <f t="shared" si="49"/>
        <v/>
      </c>
    </row>
    <row r="622" spans="1:7" x14ac:dyDescent="0.4">
      <c r="A622" t="str">
        <f t="shared" si="45"/>
        <v/>
      </c>
      <c r="B622" t="str">
        <f t="shared" si="46"/>
        <v/>
      </c>
      <c r="C622" t="str">
        <f t="shared" si="47"/>
        <v/>
      </c>
      <c r="D622" t="str">
        <f>IF(E622="","",IF(COUNTIF($E$2:E622,E622)&gt;1,"",SUMIFS(tbl_input[필요수량],tbl_input[집계키_지청],E622)))</f>
        <v/>
      </c>
      <c r="E622" t="str">
        <f>IFERROR(INDEX(tbl_input[집계키_지청],ROW()-1),"")</f>
        <v/>
      </c>
      <c r="F622" t="str">
        <f t="shared" si="48"/>
        <v/>
      </c>
      <c r="G622" t="str">
        <f t="shared" si="49"/>
        <v/>
      </c>
    </row>
    <row r="623" spans="1:7" x14ac:dyDescent="0.4">
      <c r="A623" t="str">
        <f t="shared" si="45"/>
        <v/>
      </c>
      <c r="B623" t="str">
        <f t="shared" si="46"/>
        <v/>
      </c>
      <c r="C623" t="str">
        <f t="shared" si="47"/>
        <v/>
      </c>
      <c r="D623" t="str">
        <f>IF(E623="","",IF(COUNTIF($E$2:E623,E623)&gt;1,"",SUMIFS(tbl_input[필요수량],tbl_input[집계키_지청],E623)))</f>
        <v/>
      </c>
      <c r="E623" t="str">
        <f>IFERROR(INDEX(tbl_input[집계키_지청],ROW()-1),"")</f>
        <v/>
      </c>
      <c r="F623" t="str">
        <f t="shared" si="48"/>
        <v/>
      </c>
      <c r="G623" t="str">
        <f t="shared" si="49"/>
        <v/>
      </c>
    </row>
    <row r="624" spans="1:7" x14ac:dyDescent="0.4">
      <c r="A624" t="str">
        <f t="shared" si="45"/>
        <v/>
      </c>
      <c r="B624" t="str">
        <f t="shared" si="46"/>
        <v/>
      </c>
      <c r="C624" t="str">
        <f t="shared" si="47"/>
        <v/>
      </c>
      <c r="D624" t="str">
        <f>IF(E624="","",IF(COUNTIF($E$2:E624,E624)&gt;1,"",SUMIFS(tbl_input[필요수량],tbl_input[집계키_지청],E624)))</f>
        <v/>
      </c>
      <c r="E624" t="str">
        <f>IFERROR(INDEX(tbl_input[집계키_지청],ROW()-1),"")</f>
        <v/>
      </c>
      <c r="F624" t="str">
        <f t="shared" si="48"/>
        <v/>
      </c>
      <c r="G624" t="str">
        <f t="shared" si="49"/>
        <v/>
      </c>
    </row>
    <row r="625" spans="1:7" x14ac:dyDescent="0.4">
      <c r="A625" t="str">
        <f t="shared" si="45"/>
        <v/>
      </c>
      <c r="B625" t="str">
        <f t="shared" si="46"/>
        <v/>
      </c>
      <c r="C625" t="str">
        <f t="shared" si="47"/>
        <v/>
      </c>
      <c r="D625" t="str">
        <f>IF(E625="","",IF(COUNTIF($E$2:E625,E625)&gt;1,"",SUMIFS(tbl_input[필요수량],tbl_input[집계키_지청],E625)))</f>
        <v/>
      </c>
      <c r="E625" t="str">
        <f>IFERROR(INDEX(tbl_input[집계키_지청],ROW()-1),"")</f>
        <v/>
      </c>
      <c r="F625" t="str">
        <f t="shared" si="48"/>
        <v/>
      </c>
      <c r="G625" t="str">
        <f t="shared" si="49"/>
        <v/>
      </c>
    </row>
    <row r="626" spans="1:7" x14ac:dyDescent="0.4">
      <c r="A626" t="str">
        <f t="shared" si="45"/>
        <v/>
      </c>
      <c r="B626" t="str">
        <f t="shared" si="46"/>
        <v/>
      </c>
      <c r="C626" t="str">
        <f t="shared" si="47"/>
        <v/>
      </c>
      <c r="D626" t="str">
        <f>IF(E626="","",IF(COUNTIF($E$2:E626,E626)&gt;1,"",SUMIFS(tbl_input[필요수량],tbl_input[집계키_지청],E626)))</f>
        <v/>
      </c>
      <c r="E626" t="str">
        <f>IFERROR(INDEX(tbl_input[집계키_지청],ROW()-1),"")</f>
        <v/>
      </c>
      <c r="F626" t="str">
        <f t="shared" si="48"/>
        <v/>
      </c>
      <c r="G626" t="str">
        <f t="shared" si="49"/>
        <v/>
      </c>
    </row>
    <row r="627" spans="1:7" x14ac:dyDescent="0.4">
      <c r="A627" t="str">
        <f t="shared" si="45"/>
        <v/>
      </c>
      <c r="B627" t="str">
        <f t="shared" si="46"/>
        <v/>
      </c>
      <c r="C627" t="str">
        <f t="shared" si="47"/>
        <v/>
      </c>
      <c r="D627" t="str">
        <f>IF(E627="","",IF(COUNTIF($E$2:E627,E627)&gt;1,"",SUMIFS(tbl_input[필요수량],tbl_input[집계키_지청],E627)))</f>
        <v/>
      </c>
      <c r="E627" t="str">
        <f>IFERROR(INDEX(tbl_input[집계키_지청],ROW()-1),"")</f>
        <v/>
      </c>
      <c r="F627" t="str">
        <f t="shared" si="48"/>
        <v/>
      </c>
      <c r="G627" t="str">
        <f t="shared" si="49"/>
        <v/>
      </c>
    </row>
    <row r="628" spans="1:7" x14ac:dyDescent="0.4">
      <c r="A628" t="str">
        <f t="shared" si="45"/>
        <v/>
      </c>
      <c r="B628" t="str">
        <f t="shared" si="46"/>
        <v/>
      </c>
      <c r="C628" t="str">
        <f t="shared" si="47"/>
        <v/>
      </c>
      <c r="D628" t="str">
        <f>IF(E628="","",IF(COUNTIF($E$2:E628,E628)&gt;1,"",SUMIFS(tbl_input[필요수량],tbl_input[집계키_지청],E628)))</f>
        <v/>
      </c>
      <c r="E628" t="str">
        <f>IFERROR(INDEX(tbl_input[집계키_지청],ROW()-1),"")</f>
        <v/>
      </c>
      <c r="F628" t="str">
        <f t="shared" si="48"/>
        <v/>
      </c>
      <c r="G628" t="str">
        <f t="shared" si="49"/>
        <v/>
      </c>
    </row>
    <row r="629" spans="1:7" x14ac:dyDescent="0.4">
      <c r="A629" t="str">
        <f t="shared" si="45"/>
        <v/>
      </c>
      <c r="B629" t="str">
        <f t="shared" si="46"/>
        <v/>
      </c>
      <c r="C629" t="str">
        <f t="shared" si="47"/>
        <v/>
      </c>
      <c r="D629" t="str">
        <f>IF(E629="","",IF(COUNTIF($E$2:E629,E629)&gt;1,"",SUMIFS(tbl_input[필요수량],tbl_input[집계키_지청],E629)))</f>
        <v/>
      </c>
      <c r="E629" t="str">
        <f>IFERROR(INDEX(tbl_input[집계키_지청],ROW()-1),"")</f>
        <v/>
      </c>
      <c r="F629" t="str">
        <f t="shared" si="48"/>
        <v/>
      </c>
      <c r="G629" t="str">
        <f t="shared" si="49"/>
        <v/>
      </c>
    </row>
    <row r="630" spans="1:7" x14ac:dyDescent="0.4">
      <c r="A630" t="str">
        <f t="shared" si="45"/>
        <v/>
      </c>
      <c r="B630" t="str">
        <f t="shared" si="46"/>
        <v/>
      </c>
      <c r="C630" t="str">
        <f t="shared" si="47"/>
        <v/>
      </c>
      <c r="D630" t="str">
        <f>IF(E630="","",IF(COUNTIF($E$2:E630,E630)&gt;1,"",SUMIFS(tbl_input[필요수량],tbl_input[집계키_지청],E630)))</f>
        <v/>
      </c>
      <c r="E630" t="str">
        <f>IFERROR(INDEX(tbl_input[집계키_지청],ROW()-1),"")</f>
        <v/>
      </c>
      <c r="F630" t="str">
        <f t="shared" si="48"/>
        <v/>
      </c>
      <c r="G630" t="str">
        <f t="shared" si="49"/>
        <v/>
      </c>
    </row>
    <row r="631" spans="1:7" x14ac:dyDescent="0.4">
      <c r="A631" t="str">
        <f t="shared" si="45"/>
        <v/>
      </c>
      <c r="B631" t="str">
        <f t="shared" si="46"/>
        <v/>
      </c>
      <c r="C631" t="str">
        <f t="shared" si="47"/>
        <v/>
      </c>
      <c r="D631" t="str">
        <f>IF(E631="","",IF(COUNTIF($E$2:E631,E631)&gt;1,"",SUMIFS(tbl_input[필요수량],tbl_input[집계키_지청],E631)))</f>
        <v/>
      </c>
      <c r="E631" t="str">
        <f>IFERROR(INDEX(tbl_input[집계키_지청],ROW()-1),"")</f>
        <v/>
      </c>
      <c r="F631" t="str">
        <f t="shared" si="48"/>
        <v/>
      </c>
      <c r="G631" t="str">
        <f t="shared" si="49"/>
        <v/>
      </c>
    </row>
    <row r="632" spans="1:7" x14ac:dyDescent="0.4">
      <c r="A632" t="str">
        <f t="shared" si="45"/>
        <v/>
      </c>
      <c r="B632" t="str">
        <f t="shared" si="46"/>
        <v/>
      </c>
      <c r="C632" t="str">
        <f t="shared" si="47"/>
        <v/>
      </c>
      <c r="D632" t="str">
        <f>IF(E632="","",IF(COUNTIF($E$2:E632,E632)&gt;1,"",SUMIFS(tbl_input[필요수량],tbl_input[집계키_지청],E632)))</f>
        <v/>
      </c>
      <c r="E632" t="str">
        <f>IFERROR(INDEX(tbl_input[집계키_지청],ROW()-1),"")</f>
        <v/>
      </c>
      <c r="F632" t="str">
        <f t="shared" si="48"/>
        <v/>
      </c>
      <c r="G632" t="str">
        <f t="shared" si="49"/>
        <v/>
      </c>
    </row>
    <row r="633" spans="1:7" x14ac:dyDescent="0.4">
      <c r="A633" t="str">
        <f t="shared" si="45"/>
        <v/>
      </c>
      <c r="B633" t="str">
        <f t="shared" si="46"/>
        <v/>
      </c>
      <c r="C633" t="str">
        <f t="shared" si="47"/>
        <v/>
      </c>
      <c r="D633" t="str">
        <f>IF(E633="","",IF(COUNTIF($E$2:E633,E633)&gt;1,"",SUMIFS(tbl_input[필요수량],tbl_input[집계키_지청],E633)))</f>
        <v/>
      </c>
      <c r="E633" t="str">
        <f>IFERROR(INDEX(tbl_input[집계키_지청],ROW()-1),"")</f>
        <v/>
      </c>
      <c r="F633" t="str">
        <f t="shared" si="48"/>
        <v/>
      </c>
      <c r="G633" t="str">
        <f t="shared" si="49"/>
        <v/>
      </c>
    </row>
    <row r="634" spans="1:7" x14ac:dyDescent="0.4">
      <c r="A634" t="str">
        <f t="shared" si="45"/>
        <v/>
      </c>
      <c r="B634" t="str">
        <f t="shared" si="46"/>
        <v/>
      </c>
      <c r="C634" t="str">
        <f t="shared" si="47"/>
        <v/>
      </c>
      <c r="D634" t="str">
        <f>IF(E634="","",IF(COUNTIF($E$2:E634,E634)&gt;1,"",SUMIFS(tbl_input[필요수량],tbl_input[집계키_지청],E634)))</f>
        <v/>
      </c>
      <c r="E634" t="str">
        <f>IFERROR(INDEX(tbl_input[집계키_지청],ROW()-1),"")</f>
        <v/>
      </c>
      <c r="F634" t="str">
        <f t="shared" si="48"/>
        <v/>
      </c>
      <c r="G634" t="str">
        <f t="shared" si="49"/>
        <v/>
      </c>
    </row>
    <row r="635" spans="1:7" x14ac:dyDescent="0.4">
      <c r="A635" t="str">
        <f t="shared" si="45"/>
        <v/>
      </c>
      <c r="B635" t="str">
        <f t="shared" si="46"/>
        <v/>
      </c>
      <c r="C635" t="str">
        <f t="shared" si="47"/>
        <v/>
      </c>
      <c r="D635" t="str">
        <f>IF(E635="","",IF(COUNTIF($E$2:E635,E635)&gt;1,"",SUMIFS(tbl_input[필요수량],tbl_input[집계키_지청],E635)))</f>
        <v/>
      </c>
      <c r="E635" t="str">
        <f>IFERROR(INDEX(tbl_input[집계키_지청],ROW()-1),"")</f>
        <v/>
      </c>
      <c r="F635" t="str">
        <f t="shared" si="48"/>
        <v/>
      </c>
      <c r="G635" t="str">
        <f t="shared" si="49"/>
        <v/>
      </c>
    </row>
    <row r="636" spans="1:7" x14ac:dyDescent="0.4">
      <c r="A636" t="str">
        <f t="shared" si="45"/>
        <v/>
      </c>
      <c r="B636" t="str">
        <f t="shared" si="46"/>
        <v/>
      </c>
      <c r="C636" t="str">
        <f t="shared" si="47"/>
        <v/>
      </c>
      <c r="D636" t="str">
        <f>IF(E636="","",IF(COUNTIF($E$2:E636,E636)&gt;1,"",SUMIFS(tbl_input[필요수량],tbl_input[집계키_지청],E636)))</f>
        <v/>
      </c>
      <c r="E636" t="str">
        <f>IFERROR(INDEX(tbl_input[집계키_지청],ROW()-1),"")</f>
        <v/>
      </c>
      <c r="F636" t="str">
        <f t="shared" si="48"/>
        <v/>
      </c>
      <c r="G636" t="str">
        <f t="shared" si="49"/>
        <v/>
      </c>
    </row>
    <row r="637" spans="1:7" x14ac:dyDescent="0.4">
      <c r="A637" t="str">
        <f t="shared" si="45"/>
        <v/>
      </c>
      <c r="B637" t="str">
        <f t="shared" si="46"/>
        <v/>
      </c>
      <c r="C637" t="str">
        <f t="shared" si="47"/>
        <v/>
      </c>
      <c r="D637" t="str">
        <f>IF(E637="","",IF(COUNTIF($E$2:E637,E637)&gt;1,"",SUMIFS(tbl_input[필요수량],tbl_input[집계키_지청],E637)))</f>
        <v/>
      </c>
      <c r="E637" t="str">
        <f>IFERROR(INDEX(tbl_input[집계키_지청],ROW()-1),"")</f>
        <v/>
      </c>
      <c r="F637" t="str">
        <f t="shared" si="48"/>
        <v/>
      </c>
      <c r="G637" t="str">
        <f t="shared" si="49"/>
        <v/>
      </c>
    </row>
    <row r="638" spans="1:7" x14ac:dyDescent="0.4">
      <c r="A638" t="str">
        <f t="shared" si="45"/>
        <v/>
      </c>
      <c r="B638" t="str">
        <f t="shared" si="46"/>
        <v/>
      </c>
      <c r="C638" t="str">
        <f t="shared" si="47"/>
        <v/>
      </c>
      <c r="D638" t="str">
        <f>IF(E638="","",IF(COUNTIF($E$2:E638,E638)&gt;1,"",SUMIFS(tbl_input[필요수량],tbl_input[집계키_지청],E638)))</f>
        <v/>
      </c>
      <c r="E638" t="str">
        <f>IFERROR(INDEX(tbl_input[집계키_지청],ROW()-1),"")</f>
        <v/>
      </c>
      <c r="F638" t="str">
        <f t="shared" si="48"/>
        <v/>
      </c>
      <c r="G638" t="str">
        <f t="shared" si="49"/>
        <v/>
      </c>
    </row>
    <row r="639" spans="1:7" x14ac:dyDescent="0.4">
      <c r="A639" t="str">
        <f t="shared" si="45"/>
        <v/>
      </c>
      <c r="B639" t="str">
        <f t="shared" si="46"/>
        <v/>
      </c>
      <c r="C639" t="str">
        <f t="shared" si="47"/>
        <v/>
      </c>
      <c r="D639" t="str">
        <f>IF(E639="","",IF(COUNTIF($E$2:E639,E639)&gt;1,"",SUMIFS(tbl_input[필요수량],tbl_input[집계키_지청],E639)))</f>
        <v/>
      </c>
      <c r="E639" t="str">
        <f>IFERROR(INDEX(tbl_input[집계키_지청],ROW()-1),"")</f>
        <v/>
      </c>
      <c r="F639" t="str">
        <f t="shared" si="48"/>
        <v/>
      </c>
      <c r="G639" t="str">
        <f t="shared" si="49"/>
        <v/>
      </c>
    </row>
    <row r="640" spans="1:7" x14ac:dyDescent="0.4">
      <c r="A640" t="str">
        <f t="shared" si="45"/>
        <v/>
      </c>
      <c r="B640" t="str">
        <f t="shared" si="46"/>
        <v/>
      </c>
      <c r="C640" t="str">
        <f t="shared" si="47"/>
        <v/>
      </c>
      <c r="D640" t="str">
        <f>IF(E640="","",IF(COUNTIF($E$2:E640,E640)&gt;1,"",SUMIFS(tbl_input[필요수량],tbl_input[집계키_지청],E640)))</f>
        <v/>
      </c>
      <c r="E640" t="str">
        <f>IFERROR(INDEX(tbl_input[집계키_지청],ROW()-1),"")</f>
        <v/>
      </c>
      <c r="F640" t="str">
        <f t="shared" si="48"/>
        <v/>
      </c>
      <c r="G640" t="str">
        <f t="shared" si="49"/>
        <v/>
      </c>
    </row>
    <row r="641" spans="1:7" x14ac:dyDescent="0.4">
      <c r="A641" t="str">
        <f t="shared" si="45"/>
        <v/>
      </c>
      <c r="B641" t="str">
        <f t="shared" si="46"/>
        <v/>
      </c>
      <c r="C641" t="str">
        <f t="shared" si="47"/>
        <v/>
      </c>
      <c r="D641" t="str">
        <f>IF(E641="","",IF(COUNTIF($E$2:E641,E641)&gt;1,"",SUMIFS(tbl_input[필요수량],tbl_input[집계키_지청],E641)))</f>
        <v/>
      </c>
      <c r="E641" t="str">
        <f>IFERROR(INDEX(tbl_input[집계키_지청],ROW()-1),"")</f>
        <v/>
      </c>
      <c r="F641" t="str">
        <f t="shared" si="48"/>
        <v/>
      </c>
      <c r="G641" t="str">
        <f t="shared" si="49"/>
        <v/>
      </c>
    </row>
    <row r="642" spans="1:7" x14ac:dyDescent="0.4">
      <c r="A642" t="str">
        <f t="shared" ref="A642:A705" si="50">IF(E642="","",LEFT(E642,F642-1))</f>
        <v/>
      </c>
      <c r="B642" t="str">
        <f t="shared" ref="B642:B705" si="51">IF(E642="","",MID(E642,F642+1,G642-F642-1))</f>
        <v/>
      </c>
      <c r="C642" t="str">
        <f t="shared" ref="C642:C705" si="52">IF(E642="","",MID(E642,G642+1,999))</f>
        <v/>
      </c>
      <c r="D642" t="str">
        <f>IF(E642="","",IF(COUNTIF($E$2:E642,E642)&gt;1,"",SUMIFS(tbl_input[필요수량],tbl_input[집계키_지청],E642)))</f>
        <v/>
      </c>
      <c r="E642" t="str">
        <f>IFERROR(INDEX(tbl_input[집계키_지청],ROW()-1),"")</f>
        <v/>
      </c>
      <c r="F642" t="str">
        <f t="shared" ref="F642:F705" si="53">IF(E642="","",FIND("♦",E642))</f>
        <v/>
      </c>
      <c r="G642" t="str">
        <f t="shared" ref="G642:G705" si="54">IF(E642="","",FIND("♦",E642,F642+1))</f>
        <v/>
      </c>
    </row>
    <row r="643" spans="1:7" x14ac:dyDescent="0.4">
      <c r="A643" t="str">
        <f t="shared" si="50"/>
        <v/>
      </c>
      <c r="B643" t="str">
        <f t="shared" si="51"/>
        <v/>
      </c>
      <c r="C643" t="str">
        <f t="shared" si="52"/>
        <v/>
      </c>
      <c r="D643" t="str">
        <f>IF(E643="","",IF(COUNTIF($E$2:E643,E643)&gt;1,"",SUMIFS(tbl_input[필요수량],tbl_input[집계키_지청],E643)))</f>
        <v/>
      </c>
      <c r="E643" t="str">
        <f>IFERROR(INDEX(tbl_input[집계키_지청],ROW()-1),"")</f>
        <v/>
      </c>
      <c r="F643" t="str">
        <f t="shared" si="53"/>
        <v/>
      </c>
      <c r="G643" t="str">
        <f t="shared" si="54"/>
        <v/>
      </c>
    </row>
    <row r="644" spans="1:7" x14ac:dyDescent="0.4">
      <c r="A644" t="str">
        <f t="shared" si="50"/>
        <v/>
      </c>
      <c r="B644" t="str">
        <f t="shared" si="51"/>
        <v/>
      </c>
      <c r="C644" t="str">
        <f t="shared" si="52"/>
        <v/>
      </c>
      <c r="D644" t="str">
        <f>IF(E644="","",IF(COUNTIF($E$2:E644,E644)&gt;1,"",SUMIFS(tbl_input[필요수량],tbl_input[집계키_지청],E644)))</f>
        <v/>
      </c>
      <c r="E644" t="str">
        <f>IFERROR(INDEX(tbl_input[집계키_지청],ROW()-1),"")</f>
        <v/>
      </c>
      <c r="F644" t="str">
        <f t="shared" si="53"/>
        <v/>
      </c>
      <c r="G644" t="str">
        <f t="shared" si="54"/>
        <v/>
      </c>
    </row>
    <row r="645" spans="1:7" x14ac:dyDescent="0.4">
      <c r="A645" t="str">
        <f t="shared" si="50"/>
        <v/>
      </c>
      <c r="B645" t="str">
        <f t="shared" si="51"/>
        <v/>
      </c>
      <c r="C645" t="str">
        <f t="shared" si="52"/>
        <v/>
      </c>
      <c r="D645" t="str">
        <f>IF(E645="","",IF(COUNTIF($E$2:E645,E645)&gt;1,"",SUMIFS(tbl_input[필요수량],tbl_input[집계키_지청],E645)))</f>
        <v/>
      </c>
      <c r="E645" t="str">
        <f>IFERROR(INDEX(tbl_input[집계키_지청],ROW()-1),"")</f>
        <v/>
      </c>
      <c r="F645" t="str">
        <f t="shared" si="53"/>
        <v/>
      </c>
      <c r="G645" t="str">
        <f t="shared" si="54"/>
        <v/>
      </c>
    </row>
    <row r="646" spans="1:7" x14ac:dyDescent="0.4">
      <c r="A646" t="str">
        <f t="shared" si="50"/>
        <v/>
      </c>
      <c r="B646" t="str">
        <f t="shared" si="51"/>
        <v/>
      </c>
      <c r="C646" t="str">
        <f t="shared" si="52"/>
        <v/>
      </c>
      <c r="D646" t="str">
        <f>IF(E646="","",IF(COUNTIF($E$2:E646,E646)&gt;1,"",SUMIFS(tbl_input[필요수량],tbl_input[집계키_지청],E646)))</f>
        <v/>
      </c>
      <c r="E646" t="str">
        <f>IFERROR(INDEX(tbl_input[집계키_지청],ROW()-1),"")</f>
        <v/>
      </c>
      <c r="F646" t="str">
        <f t="shared" si="53"/>
        <v/>
      </c>
      <c r="G646" t="str">
        <f t="shared" si="54"/>
        <v/>
      </c>
    </row>
    <row r="647" spans="1:7" x14ac:dyDescent="0.4">
      <c r="A647" t="str">
        <f t="shared" si="50"/>
        <v/>
      </c>
      <c r="B647" t="str">
        <f t="shared" si="51"/>
        <v/>
      </c>
      <c r="C647" t="str">
        <f t="shared" si="52"/>
        <v/>
      </c>
      <c r="D647" t="str">
        <f>IF(E647="","",IF(COUNTIF($E$2:E647,E647)&gt;1,"",SUMIFS(tbl_input[필요수량],tbl_input[집계키_지청],E647)))</f>
        <v/>
      </c>
      <c r="E647" t="str">
        <f>IFERROR(INDEX(tbl_input[집계키_지청],ROW()-1),"")</f>
        <v/>
      </c>
      <c r="F647" t="str">
        <f t="shared" si="53"/>
        <v/>
      </c>
      <c r="G647" t="str">
        <f t="shared" si="54"/>
        <v/>
      </c>
    </row>
    <row r="648" spans="1:7" x14ac:dyDescent="0.4">
      <c r="A648" t="str">
        <f t="shared" si="50"/>
        <v/>
      </c>
      <c r="B648" t="str">
        <f t="shared" si="51"/>
        <v/>
      </c>
      <c r="C648" t="str">
        <f t="shared" si="52"/>
        <v/>
      </c>
      <c r="D648" t="str">
        <f>IF(E648="","",IF(COUNTIF($E$2:E648,E648)&gt;1,"",SUMIFS(tbl_input[필요수량],tbl_input[집계키_지청],E648)))</f>
        <v/>
      </c>
      <c r="E648" t="str">
        <f>IFERROR(INDEX(tbl_input[집계키_지청],ROW()-1),"")</f>
        <v/>
      </c>
      <c r="F648" t="str">
        <f t="shared" si="53"/>
        <v/>
      </c>
      <c r="G648" t="str">
        <f t="shared" si="54"/>
        <v/>
      </c>
    </row>
    <row r="649" spans="1:7" x14ac:dyDescent="0.4">
      <c r="A649" t="str">
        <f t="shared" si="50"/>
        <v/>
      </c>
      <c r="B649" t="str">
        <f t="shared" si="51"/>
        <v/>
      </c>
      <c r="C649" t="str">
        <f t="shared" si="52"/>
        <v/>
      </c>
      <c r="D649" t="str">
        <f>IF(E649="","",IF(COUNTIF($E$2:E649,E649)&gt;1,"",SUMIFS(tbl_input[필요수량],tbl_input[집계키_지청],E649)))</f>
        <v/>
      </c>
      <c r="E649" t="str">
        <f>IFERROR(INDEX(tbl_input[집계키_지청],ROW()-1),"")</f>
        <v/>
      </c>
      <c r="F649" t="str">
        <f t="shared" si="53"/>
        <v/>
      </c>
      <c r="G649" t="str">
        <f t="shared" si="54"/>
        <v/>
      </c>
    </row>
    <row r="650" spans="1:7" x14ac:dyDescent="0.4">
      <c r="A650" t="str">
        <f t="shared" si="50"/>
        <v/>
      </c>
      <c r="B650" t="str">
        <f t="shared" si="51"/>
        <v/>
      </c>
      <c r="C650" t="str">
        <f t="shared" si="52"/>
        <v/>
      </c>
      <c r="D650" t="str">
        <f>IF(E650="","",IF(COUNTIF($E$2:E650,E650)&gt;1,"",SUMIFS(tbl_input[필요수량],tbl_input[집계키_지청],E650)))</f>
        <v/>
      </c>
      <c r="E650" t="str">
        <f>IFERROR(INDEX(tbl_input[집계키_지청],ROW()-1),"")</f>
        <v/>
      </c>
      <c r="F650" t="str">
        <f t="shared" si="53"/>
        <v/>
      </c>
      <c r="G650" t="str">
        <f t="shared" si="54"/>
        <v/>
      </c>
    </row>
    <row r="651" spans="1:7" x14ac:dyDescent="0.4">
      <c r="A651" t="str">
        <f t="shared" si="50"/>
        <v/>
      </c>
      <c r="B651" t="str">
        <f t="shared" si="51"/>
        <v/>
      </c>
      <c r="C651" t="str">
        <f t="shared" si="52"/>
        <v/>
      </c>
      <c r="D651" t="str">
        <f>IF(E651="","",IF(COUNTIF($E$2:E651,E651)&gt;1,"",SUMIFS(tbl_input[필요수량],tbl_input[집계키_지청],E651)))</f>
        <v/>
      </c>
      <c r="E651" t="str">
        <f>IFERROR(INDEX(tbl_input[집계키_지청],ROW()-1),"")</f>
        <v/>
      </c>
      <c r="F651" t="str">
        <f t="shared" si="53"/>
        <v/>
      </c>
      <c r="G651" t="str">
        <f t="shared" si="54"/>
        <v/>
      </c>
    </row>
    <row r="652" spans="1:7" x14ac:dyDescent="0.4">
      <c r="A652" t="str">
        <f t="shared" si="50"/>
        <v/>
      </c>
      <c r="B652" t="str">
        <f t="shared" si="51"/>
        <v/>
      </c>
      <c r="C652" t="str">
        <f t="shared" si="52"/>
        <v/>
      </c>
      <c r="D652" t="str">
        <f>IF(E652="","",IF(COUNTIF($E$2:E652,E652)&gt;1,"",SUMIFS(tbl_input[필요수량],tbl_input[집계키_지청],E652)))</f>
        <v/>
      </c>
      <c r="E652" t="str">
        <f>IFERROR(INDEX(tbl_input[집계키_지청],ROW()-1),"")</f>
        <v/>
      </c>
      <c r="F652" t="str">
        <f t="shared" si="53"/>
        <v/>
      </c>
      <c r="G652" t="str">
        <f t="shared" si="54"/>
        <v/>
      </c>
    </row>
    <row r="653" spans="1:7" x14ac:dyDescent="0.4">
      <c r="A653" t="str">
        <f t="shared" si="50"/>
        <v/>
      </c>
      <c r="B653" t="str">
        <f t="shared" si="51"/>
        <v/>
      </c>
      <c r="C653" t="str">
        <f t="shared" si="52"/>
        <v/>
      </c>
      <c r="D653" t="str">
        <f>IF(E653="","",IF(COUNTIF($E$2:E653,E653)&gt;1,"",SUMIFS(tbl_input[필요수량],tbl_input[집계키_지청],E653)))</f>
        <v/>
      </c>
      <c r="E653" t="str">
        <f>IFERROR(INDEX(tbl_input[집계키_지청],ROW()-1),"")</f>
        <v/>
      </c>
      <c r="F653" t="str">
        <f t="shared" si="53"/>
        <v/>
      </c>
      <c r="G653" t="str">
        <f t="shared" si="54"/>
        <v/>
      </c>
    </row>
    <row r="654" spans="1:7" x14ac:dyDescent="0.4">
      <c r="A654" t="str">
        <f t="shared" si="50"/>
        <v/>
      </c>
      <c r="B654" t="str">
        <f t="shared" si="51"/>
        <v/>
      </c>
      <c r="C654" t="str">
        <f t="shared" si="52"/>
        <v/>
      </c>
      <c r="D654" t="str">
        <f>IF(E654="","",IF(COUNTIF($E$2:E654,E654)&gt;1,"",SUMIFS(tbl_input[필요수량],tbl_input[집계키_지청],E654)))</f>
        <v/>
      </c>
      <c r="E654" t="str">
        <f>IFERROR(INDEX(tbl_input[집계키_지청],ROW()-1),"")</f>
        <v/>
      </c>
      <c r="F654" t="str">
        <f t="shared" si="53"/>
        <v/>
      </c>
      <c r="G654" t="str">
        <f t="shared" si="54"/>
        <v/>
      </c>
    </row>
    <row r="655" spans="1:7" x14ac:dyDescent="0.4">
      <c r="A655" t="str">
        <f t="shared" si="50"/>
        <v/>
      </c>
      <c r="B655" t="str">
        <f t="shared" si="51"/>
        <v/>
      </c>
      <c r="C655" t="str">
        <f t="shared" si="52"/>
        <v/>
      </c>
      <c r="D655" t="str">
        <f>IF(E655="","",IF(COUNTIF($E$2:E655,E655)&gt;1,"",SUMIFS(tbl_input[필요수량],tbl_input[집계키_지청],E655)))</f>
        <v/>
      </c>
      <c r="E655" t="str">
        <f>IFERROR(INDEX(tbl_input[집계키_지청],ROW()-1),"")</f>
        <v/>
      </c>
      <c r="F655" t="str">
        <f t="shared" si="53"/>
        <v/>
      </c>
      <c r="G655" t="str">
        <f t="shared" si="54"/>
        <v/>
      </c>
    </row>
    <row r="656" spans="1:7" x14ac:dyDescent="0.4">
      <c r="A656" t="str">
        <f t="shared" si="50"/>
        <v/>
      </c>
      <c r="B656" t="str">
        <f t="shared" si="51"/>
        <v/>
      </c>
      <c r="C656" t="str">
        <f t="shared" si="52"/>
        <v/>
      </c>
      <c r="D656" t="str">
        <f>IF(E656="","",IF(COUNTIF($E$2:E656,E656)&gt;1,"",SUMIFS(tbl_input[필요수량],tbl_input[집계키_지청],E656)))</f>
        <v/>
      </c>
      <c r="E656" t="str">
        <f>IFERROR(INDEX(tbl_input[집계키_지청],ROW()-1),"")</f>
        <v/>
      </c>
      <c r="F656" t="str">
        <f t="shared" si="53"/>
        <v/>
      </c>
      <c r="G656" t="str">
        <f t="shared" si="54"/>
        <v/>
      </c>
    </row>
    <row r="657" spans="1:7" x14ac:dyDescent="0.4">
      <c r="A657" t="str">
        <f t="shared" si="50"/>
        <v/>
      </c>
      <c r="B657" t="str">
        <f t="shared" si="51"/>
        <v/>
      </c>
      <c r="C657" t="str">
        <f t="shared" si="52"/>
        <v/>
      </c>
      <c r="D657" t="str">
        <f>IF(E657="","",IF(COUNTIF($E$2:E657,E657)&gt;1,"",SUMIFS(tbl_input[필요수량],tbl_input[집계키_지청],E657)))</f>
        <v/>
      </c>
      <c r="E657" t="str">
        <f>IFERROR(INDEX(tbl_input[집계키_지청],ROW()-1),"")</f>
        <v/>
      </c>
      <c r="F657" t="str">
        <f t="shared" si="53"/>
        <v/>
      </c>
      <c r="G657" t="str">
        <f t="shared" si="54"/>
        <v/>
      </c>
    </row>
    <row r="658" spans="1:7" x14ac:dyDescent="0.4">
      <c r="A658" t="str">
        <f t="shared" si="50"/>
        <v/>
      </c>
      <c r="B658" t="str">
        <f t="shared" si="51"/>
        <v/>
      </c>
      <c r="C658" t="str">
        <f t="shared" si="52"/>
        <v/>
      </c>
      <c r="D658" t="str">
        <f>IF(E658="","",IF(COUNTIF($E$2:E658,E658)&gt;1,"",SUMIFS(tbl_input[필요수량],tbl_input[집계키_지청],E658)))</f>
        <v/>
      </c>
      <c r="E658" t="str">
        <f>IFERROR(INDEX(tbl_input[집계키_지청],ROW()-1),"")</f>
        <v/>
      </c>
      <c r="F658" t="str">
        <f t="shared" si="53"/>
        <v/>
      </c>
      <c r="G658" t="str">
        <f t="shared" si="54"/>
        <v/>
      </c>
    </row>
    <row r="659" spans="1:7" x14ac:dyDescent="0.4">
      <c r="A659" t="str">
        <f t="shared" si="50"/>
        <v/>
      </c>
      <c r="B659" t="str">
        <f t="shared" si="51"/>
        <v/>
      </c>
      <c r="C659" t="str">
        <f t="shared" si="52"/>
        <v/>
      </c>
      <c r="D659" t="str">
        <f>IF(E659="","",IF(COUNTIF($E$2:E659,E659)&gt;1,"",SUMIFS(tbl_input[필요수량],tbl_input[집계키_지청],E659)))</f>
        <v/>
      </c>
      <c r="E659" t="str">
        <f>IFERROR(INDEX(tbl_input[집계키_지청],ROW()-1),"")</f>
        <v/>
      </c>
      <c r="F659" t="str">
        <f t="shared" si="53"/>
        <v/>
      </c>
      <c r="G659" t="str">
        <f t="shared" si="54"/>
        <v/>
      </c>
    </row>
    <row r="660" spans="1:7" x14ac:dyDescent="0.4">
      <c r="A660" t="str">
        <f t="shared" si="50"/>
        <v/>
      </c>
      <c r="B660" t="str">
        <f t="shared" si="51"/>
        <v/>
      </c>
      <c r="C660" t="str">
        <f t="shared" si="52"/>
        <v/>
      </c>
      <c r="D660" t="str">
        <f>IF(E660="","",IF(COUNTIF($E$2:E660,E660)&gt;1,"",SUMIFS(tbl_input[필요수량],tbl_input[집계키_지청],E660)))</f>
        <v/>
      </c>
      <c r="E660" t="str">
        <f>IFERROR(INDEX(tbl_input[집계키_지청],ROW()-1),"")</f>
        <v/>
      </c>
      <c r="F660" t="str">
        <f t="shared" si="53"/>
        <v/>
      </c>
      <c r="G660" t="str">
        <f t="shared" si="54"/>
        <v/>
      </c>
    </row>
    <row r="661" spans="1:7" x14ac:dyDescent="0.4">
      <c r="A661" t="str">
        <f t="shared" si="50"/>
        <v/>
      </c>
      <c r="B661" t="str">
        <f t="shared" si="51"/>
        <v/>
      </c>
      <c r="C661" t="str">
        <f t="shared" si="52"/>
        <v/>
      </c>
      <c r="D661" t="str">
        <f>IF(E661="","",IF(COUNTIF($E$2:E661,E661)&gt;1,"",SUMIFS(tbl_input[필요수량],tbl_input[집계키_지청],E661)))</f>
        <v/>
      </c>
      <c r="E661" t="str">
        <f>IFERROR(INDEX(tbl_input[집계키_지청],ROW()-1),"")</f>
        <v/>
      </c>
      <c r="F661" t="str">
        <f t="shared" si="53"/>
        <v/>
      </c>
      <c r="G661" t="str">
        <f t="shared" si="54"/>
        <v/>
      </c>
    </row>
    <row r="662" spans="1:7" x14ac:dyDescent="0.4">
      <c r="A662" t="str">
        <f t="shared" si="50"/>
        <v/>
      </c>
      <c r="B662" t="str">
        <f t="shared" si="51"/>
        <v/>
      </c>
      <c r="C662" t="str">
        <f t="shared" si="52"/>
        <v/>
      </c>
      <c r="D662" t="str">
        <f>IF(E662="","",IF(COUNTIF($E$2:E662,E662)&gt;1,"",SUMIFS(tbl_input[필요수량],tbl_input[집계키_지청],E662)))</f>
        <v/>
      </c>
      <c r="E662" t="str">
        <f>IFERROR(INDEX(tbl_input[집계키_지청],ROW()-1),"")</f>
        <v/>
      </c>
      <c r="F662" t="str">
        <f t="shared" si="53"/>
        <v/>
      </c>
      <c r="G662" t="str">
        <f t="shared" si="54"/>
        <v/>
      </c>
    </row>
    <row r="663" spans="1:7" x14ac:dyDescent="0.4">
      <c r="A663" t="str">
        <f t="shared" si="50"/>
        <v/>
      </c>
      <c r="B663" t="str">
        <f t="shared" si="51"/>
        <v/>
      </c>
      <c r="C663" t="str">
        <f t="shared" si="52"/>
        <v/>
      </c>
      <c r="D663" t="str">
        <f>IF(E663="","",IF(COUNTIF($E$2:E663,E663)&gt;1,"",SUMIFS(tbl_input[필요수량],tbl_input[집계키_지청],E663)))</f>
        <v/>
      </c>
      <c r="E663" t="str">
        <f>IFERROR(INDEX(tbl_input[집계키_지청],ROW()-1),"")</f>
        <v/>
      </c>
      <c r="F663" t="str">
        <f t="shared" si="53"/>
        <v/>
      </c>
      <c r="G663" t="str">
        <f t="shared" si="54"/>
        <v/>
      </c>
    </row>
    <row r="664" spans="1:7" x14ac:dyDescent="0.4">
      <c r="A664" t="str">
        <f t="shared" si="50"/>
        <v/>
      </c>
      <c r="B664" t="str">
        <f t="shared" si="51"/>
        <v/>
      </c>
      <c r="C664" t="str">
        <f t="shared" si="52"/>
        <v/>
      </c>
      <c r="D664" t="str">
        <f>IF(E664="","",IF(COUNTIF($E$2:E664,E664)&gt;1,"",SUMIFS(tbl_input[필요수량],tbl_input[집계키_지청],E664)))</f>
        <v/>
      </c>
      <c r="E664" t="str">
        <f>IFERROR(INDEX(tbl_input[집계키_지청],ROW()-1),"")</f>
        <v/>
      </c>
      <c r="F664" t="str">
        <f t="shared" si="53"/>
        <v/>
      </c>
      <c r="G664" t="str">
        <f t="shared" si="54"/>
        <v/>
      </c>
    </row>
    <row r="665" spans="1:7" x14ac:dyDescent="0.4">
      <c r="A665" t="str">
        <f t="shared" si="50"/>
        <v/>
      </c>
      <c r="B665" t="str">
        <f t="shared" si="51"/>
        <v/>
      </c>
      <c r="C665" t="str">
        <f t="shared" si="52"/>
        <v/>
      </c>
      <c r="D665" t="str">
        <f>IF(E665="","",IF(COUNTIF($E$2:E665,E665)&gt;1,"",SUMIFS(tbl_input[필요수량],tbl_input[집계키_지청],E665)))</f>
        <v/>
      </c>
      <c r="E665" t="str">
        <f>IFERROR(INDEX(tbl_input[집계키_지청],ROW()-1),"")</f>
        <v/>
      </c>
      <c r="F665" t="str">
        <f t="shared" si="53"/>
        <v/>
      </c>
      <c r="G665" t="str">
        <f t="shared" si="54"/>
        <v/>
      </c>
    </row>
    <row r="666" spans="1:7" x14ac:dyDescent="0.4">
      <c r="A666" t="str">
        <f t="shared" si="50"/>
        <v/>
      </c>
      <c r="B666" t="str">
        <f t="shared" si="51"/>
        <v/>
      </c>
      <c r="C666" t="str">
        <f t="shared" si="52"/>
        <v/>
      </c>
      <c r="D666" t="str">
        <f>IF(E666="","",IF(COUNTIF($E$2:E666,E666)&gt;1,"",SUMIFS(tbl_input[필요수량],tbl_input[집계키_지청],E666)))</f>
        <v/>
      </c>
      <c r="E666" t="str">
        <f>IFERROR(INDEX(tbl_input[집계키_지청],ROW()-1),"")</f>
        <v/>
      </c>
      <c r="F666" t="str">
        <f t="shared" si="53"/>
        <v/>
      </c>
      <c r="G666" t="str">
        <f t="shared" si="54"/>
        <v/>
      </c>
    </row>
    <row r="667" spans="1:7" x14ac:dyDescent="0.4">
      <c r="A667" t="str">
        <f t="shared" si="50"/>
        <v/>
      </c>
      <c r="B667" t="str">
        <f t="shared" si="51"/>
        <v/>
      </c>
      <c r="C667" t="str">
        <f t="shared" si="52"/>
        <v/>
      </c>
      <c r="D667" t="str">
        <f>IF(E667="","",IF(COUNTIF($E$2:E667,E667)&gt;1,"",SUMIFS(tbl_input[필요수량],tbl_input[집계키_지청],E667)))</f>
        <v/>
      </c>
      <c r="E667" t="str">
        <f>IFERROR(INDEX(tbl_input[집계키_지청],ROW()-1),"")</f>
        <v/>
      </c>
      <c r="F667" t="str">
        <f t="shared" si="53"/>
        <v/>
      </c>
      <c r="G667" t="str">
        <f t="shared" si="54"/>
        <v/>
      </c>
    </row>
    <row r="668" spans="1:7" x14ac:dyDescent="0.4">
      <c r="A668" t="str">
        <f t="shared" si="50"/>
        <v/>
      </c>
      <c r="B668" t="str">
        <f t="shared" si="51"/>
        <v/>
      </c>
      <c r="C668" t="str">
        <f t="shared" si="52"/>
        <v/>
      </c>
      <c r="D668" t="str">
        <f>IF(E668="","",IF(COUNTIF($E$2:E668,E668)&gt;1,"",SUMIFS(tbl_input[필요수량],tbl_input[집계키_지청],E668)))</f>
        <v/>
      </c>
      <c r="E668" t="str">
        <f>IFERROR(INDEX(tbl_input[집계키_지청],ROW()-1),"")</f>
        <v/>
      </c>
      <c r="F668" t="str">
        <f t="shared" si="53"/>
        <v/>
      </c>
      <c r="G668" t="str">
        <f t="shared" si="54"/>
        <v/>
      </c>
    </row>
    <row r="669" spans="1:7" x14ac:dyDescent="0.4">
      <c r="A669" t="str">
        <f t="shared" si="50"/>
        <v/>
      </c>
      <c r="B669" t="str">
        <f t="shared" si="51"/>
        <v/>
      </c>
      <c r="C669" t="str">
        <f t="shared" si="52"/>
        <v/>
      </c>
      <c r="D669" t="str">
        <f>IF(E669="","",IF(COUNTIF($E$2:E669,E669)&gt;1,"",SUMIFS(tbl_input[필요수량],tbl_input[집계키_지청],E669)))</f>
        <v/>
      </c>
      <c r="E669" t="str">
        <f>IFERROR(INDEX(tbl_input[집계키_지청],ROW()-1),"")</f>
        <v/>
      </c>
      <c r="F669" t="str">
        <f t="shared" si="53"/>
        <v/>
      </c>
      <c r="G669" t="str">
        <f t="shared" si="54"/>
        <v/>
      </c>
    </row>
    <row r="670" spans="1:7" x14ac:dyDescent="0.4">
      <c r="A670" t="str">
        <f t="shared" si="50"/>
        <v/>
      </c>
      <c r="B670" t="str">
        <f t="shared" si="51"/>
        <v/>
      </c>
      <c r="C670" t="str">
        <f t="shared" si="52"/>
        <v/>
      </c>
      <c r="D670" t="str">
        <f>IF(E670="","",IF(COUNTIF($E$2:E670,E670)&gt;1,"",SUMIFS(tbl_input[필요수량],tbl_input[집계키_지청],E670)))</f>
        <v/>
      </c>
      <c r="E670" t="str">
        <f>IFERROR(INDEX(tbl_input[집계키_지청],ROW()-1),"")</f>
        <v/>
      </c>
      <c r="F670" t="str">
        <f t="shared" si="53"/>
        <v/>
      </c>
      <c r="G670" t="str">
        <f t="shared" si="54"/>
        <v/>
      </c>
    </row>
    <row r="671" spans="1:7" x14ac:dyDescent="0.4">
      <c r="A671" t="str">
        <f t="shared" si="50"/>
        <v/>
      </c>
      <c r="B671" t="str">
        <f t="shared" si="51"/>
        <v/>
      </c>
      <c r="C671" t="str">
        <f t="shared" si="52"/>
        <v/>
      </c>
      <c r="D671" t="str">
        <f>IF(E671="","",IF(COUNTIF($E$2:E671,E671)&gt;1,"",SUMIFS(tbl_input[필요수량],tbl_input[집계키_지청],E671)))</f>
        <v/>
      </c>
      <c r="E671" t="str">
        <f>IFERROR(INDEX(tbl_input[집계키_지청],ROW()-1),"")</f>
        <v/>
      </c>
      <c r="F671" t="str">
        <f t="shared" si="53"/>
        <v/>
      </c>
      <c r="G671" t="str">
        <f t="shared" si="54"/>
        <v/>
      </c>
    </row>
    <row r="672" spans="1:7" x14ac:dyDescent="0.4">
      <c r="A672" t="str">
        <f t="shared" si="50"/>
        <v/>
      </c>
      <c r="B672" t="str">
        <f t="shared" si="51"/>
        <v/>
      </c>
      <c r="C672" t="str">
        <f t="shared" si="52"/>
        <v/>
      </c>
      <c r="D672" t="str">
        <f>IF(E672="","",IF(COUNTIF($E$2:E672,E672)&gt;1,"",SUMIFS(tbl_input[필요수량],tbl_input[집계키_지청],E672)))</f>
        <v/>
      </c>
      <c r="E672" t="str">
        <f>IFERROR(INDEX(tbl_input[집계키_지청],ROW()-1),"")</f>
        <v/>
      </c>
      <c r="F672" t="str">
        <f t="shared" si="53"/>
        <v/>
      </c>
      <c r="G672" t="str">
        <f t="shared" si="54"/>
        <v/>
      </c>
    </row>
    <row r="673" spans="1:7" x14ac:dyDescent="0.4">
      <c r="A673" t="str">
        <f t="shared" si="50"/>
        <v/>
      </c>
      <c r="B673" t="str">
        <f t="shared" si="51"/>
        <v/>
      </c>
      <c r="C673" t="str">
        <f t="shared" si="52"/>
        <v/>
      </c>
      <c r="D673" t="str">
        <f>IF(E673="","",IF(COUNTIF($E$2:E673,E673)&gt;1,"",SUMIFS(tbl_input[필요수량],tbl_input[집계키_지청],E673)))</f>
        <v/>
      </c>
      <c r="E673" t="str">
        <f>IFERROR(INDEX(tbl_input[집계키_지청],ROW()-1),"")</f>
        <v/>
      </c>
      <c r="F673" t="str">
        <f t="shared" si="53"/>
        <v/>
      </c>
      <c r="G673" t="str">
        <f t="shared" si="54"/>
        <v/>
      </c>
    </row>
    <row r="674" spans="1:7" x14ac:dyDescent="0.4">
      <c r="A674" t="str">
        <f t="shared" si="50"/>
        <v/>
      </c>
      <c r="B674" t="str">
        <f t="shared" si="51"/>
        <v/>
      </c>
      <c r="C674" t="str">
        <f t="shared" si="52"/>
        <v/>
      </c>
      <c r="D674" t="str">
        <f>IF(E674="","",IF(COUNTIF($E$2:E674,E674)&gt;1,"",SUMIFS(tbl_input[필요수량],tbl_input[집계키_지청],E674)))</f>
        <v/>
      </c>
      <c r="E674" t="str">
        <f>IFERROR(INDEX(tbl_input[집계키_지청],ROW()-1),"")</f>
        <v/>
      </c>
      <c r="F674" t="str">
        <f t="shared" si="53"/>
        <v/>
      </c>
      <c r="G674" t="str">
        <f t="shared" si="54"/>
        <v/>
      </c>
    </row>
    <row r="675" spans="1:7" x14ac:dyDescent="0.4">
      <c r="A675" t="str">
        <f t="shared" si="50"/>
        <v/>
      </c>
      <c r="B675" t="str">
        <f t="shared" si="51"/>
        <v/>
      </c>
      <c r="C675" t="str">
        <f t="shared" si="52"/>
        <v/>
      </c>
      <c r="D675" t="str">
        <f>IF(E675="","",IF(COUNTIF($E$2:E675,E675)&gt;1,"",SUMIFS(tbl_input[필요수량],tbl_input[집계키_지청],E675)))</f>
        <v/>
      </c>
      <c r="E675" t="str">
        <f>IFERROR(INDEX(tbl_input[집계키_지청],ROW()-1),"")</f>
        <v/>
      </c>
      <c r="F675" t="str">
        <f t="shared" si="53"/>
        <v/>
      </c>
      <c r="G675" t="str">
        <f t="shared" si="54"/>
        <v/>
      </c>
    </row>
    <row r="676" spans="1:7" x14ac:dyDescent="0.4">
      <c r="A676" t="str">
        <f t="shared" si="50"/>
        <v/>
      </c>
      <c r="B676" t="str">
        <f t="shared" si="51"/>
        <v/>
      </c>
      <c r="C676" t="str">
        <f t="shared" si="52"/>
        <v/>
      </c>
      <c r="D676" t="str">
        <f>IF(E676="","",IF(COUNTIF($E$2:E676,E676)&gt;1,"",SUMIFS(tbl_input[필요수량],tbl_input[집계키_지청],E676)))</f>
        <v/>
      </c>
      <c r="E676" t="str">
        <f>IFERROR(INDEX(tbl_input[집계키_지청],ROW()-1),"")</f>
        <v/>
      </c>
      <c r="F676" t="str">
        <f t="shared" si="53"/>
        <v/>
      </c>
      <c r="G676" t="str">
        <f t="shared" si="54"/>
        <v/>
      </c>
    </row>
    <row r="677" spans="1:7" x14ac:dyDescent="0.4">
      <c r="A677" t="str">
        <f t="shared" si="50"/>
        <v/>
      </c>
      <c r="B677" t="str">
        <f t="shared" si="51"/>
        <v/>
      </c>
      <c r="C677" t="str">
        <f t="shared" si="52"/>
        <v/>
      </c>
      <c r="D677" t="str">
        <f>IF(E677="","",IF(COUNTIF($E$2:E677,E677)&gt;1,"",SUMIFS(tbl_input[필요수량],tbl_input[집계키_지청],E677)))</f>
        <v/>
      </c>
      <c r="E677" t="str">
        <f>IFERROR(INDEX(tbl_input[집계키_지청],ROW()-1),"")</f>
        <v/>
      </c>
      <c r="F677" t="str">
        <f t="shared" si="53"/>
        <v/>
      </c>
      <c r="G677" t="str">
        <f t="shared" si="54"/>
        <v/>
      </c>
    </row>
    <row r="678" spans="1:7" x14ac:dyDescent="0.4">
      <c r="A678" t="str">
        <f t="shared" si="50"/>
        <v/>
      </c>
      <c r="B678" t="str">
        <f t="shared" si="51"/>
        <v/>
      </c>
      <c r="C678" t="str">
        <f t="shared" si="52"/>
        <v/>
      </c>
      <c r="D678" t="str">
        <f>IF(E678="","",IF(COUNTIF($E$2:E678,E678)&gt;1,"",SUMIFS(tbl_input[필요수량],tbl_input[집계키_지청],E678)))</f>
        <v/>
      </c>
      <c r="E678" t="str">
        <f>IFERROR(INDEX(tbl_input[집계키_지청],ROW()-1),"")</f>
        <v/>
      </c>
      <c r="F678" t="str">
        <f t="shared" si="53"/>
        <v/>
      </c>
      <c r="G678" t="str">
        <f t="shared" si="54"/>
        <v/>
      </c>
    </row>
    <row r="679" spans="1:7" x14ac:dyDescent="0.4">
      <c r="A679" t="str">
        <f t="shared" si="50"/>
        <v/>
      </c>
      <c r="B679" t="str">
        <f t="shared" si="51"/>
        <v/>
      </c>
      <c r="C679" t="str">
        <f t="shared" si="52"/>
        <v/>
      </c>
      <c r="D679" t="str">
        <f>IF(E679="","",IF(COUNTIF($E$2:E679,E679)&gt;1,"",SUMIFS(tbl_input[필요수량],tbl_input[집계키_지청],E679)))</f>
        <v/>
      </c>
      <c r="E679" t="str">
        <f>IFERROR(INDEX(tbl_input[집계키_지청],ROW()-1),"")</f>
        <v/>
      </c>
      <c r="F679" t="str">
        <f t="shared" si="53"/>
        <v/>
      </c>
      <c r="G679" t="str">
        <f t="shared" si="54"/>
        <v/>
      </c>
    </row>
    <row r="680" spans="1:7" x14ac:dyDescent="0.4">
      <c r="A680" t="str">
        <f t="shared" si="50"/>
        <v/>
      </c>
      <c r="B680" t="str">
        <f t="shared" si="51"/>
        <v/>
      </c>
      <c r="C680" t="str">
        <f t="shared" si="52"/>
        <v/>
      </c>
      <c r="D680" t="str">
        <f>IF(E680="","",IF(COUNTIF($E$2:E680,E680)&gt;1,"",SUMIFS(tbl_input[필요수량],tbl_input[집계키_지청],E680)))</f>
        <v/>
      </c>
      <c r="E680" t="str">
        <f>IFERROR(INDEX(tbl_input[집계키_지청],ROW()-1),"")</f>
        <v/>
      </c>
      <c r="F680" t="str">
        <f t="shared" si="53"/>
        <v/>
      </c>
      <c r="G680" t="str">
        <f t="shared" si="54"/>
        <v/>
      </c>
    </row>
    <row r="681" spans="1:7" x14ac:dyDescent="0.4">
      <c r="A681" t="str">
        <f t="shared" si="50"/>
        <v/>
      </c>
      <c r="B681" t="str">
        <f t="shared" si="51"/>
        <v/>
      </c>
      <c r="C681" t="str">
        <f t="shared" si="52"/>
        <v/>
      </c>
      <c r="D681" t="str">
        <f>IF(E681="","",IF(COUNTIF($E$2:E681,E681)&gt;1,"",SUMIFS(tbl_input[필요수량],tbl_input[집계키_지청],E681)))</f>
        <v/>
      </c>
      <c r="E681" t="str">
        <f>IFERROR(INDEX(tbl_input[집계키_지청],ROW()-1),"")</f>
        <v/>
      </c>
      <c r="F681" t="str">
        <f t="shared" si="53"/>
        <v/>
      </c>
      <c r="G681" t="str">
        <f t="shared" si="54"/>
        <v/>
      </c>
    </row>
    <row r="682" spans="1:7" x14ac:dyDescent="0.4">
      <c r="A682" t="str">
        <f t="shared" si="50"/>
        <v/>
      </c>
      <c r="B682" t="str">
        <f t="shared" si="51"/>
        <v/>
      </c>
      <c r="C682" t="str">
        <f t="shared" si="52"/>
        <v/>
      </c>
      <c r="D682" t="str">
        <f>IF(E682="","",IF(COUNTIF($E$2:E682,E682)&gt;1,"",SUMIFS(tbl_input[필요수량],tbl_input[집계키_지청],E682)))</f>
        <v/>
      </c>
      <c r="E682" t="str">
        <f>IFERROR(INDEX(tbl_input[집계키_지청],ROW()-1),"")</f>
        <v/>
      </c>
      <c r="F682" t="str">
        <f t="shared" si="53"/>
        <v/>
      </c>
      <c r="G682" t="str">
        <f t="shared" si="54"/>
        <v/>
      </c>
    </row>
    <row r="683" spans="1:7" x14ac:dyDescent="0.4">
      <c r="A683" t="str">
        <f t="shared" si="50"/>
        <v/>
      </c>
      <c r="B683" t="str">
        <f t="shared" si="51"/>
        <v/>
      </c>
      <c r="C683" t="str">
        <f t="shared" si="52"/>
        <v/>
      </c>
      <c r="D683" t="str">
        <f>IF(E683="","",IF(COUNTIF($E$2:E683,E683)&gt;1,"",SUMIFS(tbl_input[필요수량],tbl_input[집계키_지청],E683)))</f>
        <v/>
      </c>
      <c r="E683" t="str">
        <f>IFERROR(INDEX(tbl_input[집계키_지청],ROW()-1),"")</f>
        <v/>
      </c>
      <c r="F683" t="str">
        <f t="shared" si="53"/>
        <v/>
      </c>
      <c r="G683" t="str">
        <f t="shared" si="54"/>
        <v/>
      </c>
    </row>
    <row r="684" spans="1:7" x14ac:dyDescent="0.4">
      <c r="A684" t="str">
        <f t="shared" si="50"/>
        <v/>
      </c>
      <c r="B684" t="str">
        <f t="shared" si="51"/>
        <v/>
      </c>
      <c r="C684" t="str">
        <f t="shared" si="52"/>
        <v/>
      </c>
      <c r="D684" t="str">
        <f>IF(E684="","",IF(COUNTIF($E$2:E684,E684)&gt;1,"",SUMIFS(tbl_input[필요수량],tbl_input[집계키_지청],E684)))</f>
        <v/>
      </c>
      <c r="E684" t="str">
        <f>IFERROR(INDEX(tbl_input[집계키_지청],ROW()-1),"")</f>
        <v/>
      </c>
      <c r="F684" t="str">
        <f t="shared" si="53"/>
        <v/>
      </c>
      <c r="G684" t="str">
        <f t="shared" si="54"/>
        <v/>
      </c>
    </row>
    <row r="685" spans="1:7" x14ac:dyDescent="0.4">
      <c r="A685" t="str">
        <f t="shared" si="50"/>
        <v/>
      </c>
      <c r="B685" t="str">
        <f t="shared" si="51"/>
        <v/>
      </c>
      <c r="C685" t="str">
        <f t="shared" si="52"/>
        <v/>
      </c>
      <c r="D685" t="str">
        <f>IF(E685="","",IF(COUNTIF($E$2:E685,E685)&gt;1,"",SUMIFS(tbl_input[필요수량],tbl_input[집계키_지청],E685)))</f>
        <v/>
      </c>
      <c r="E685" t="str">
        <f>IFERROR(INDEX(tbl_input[집계키_지청],ROW()-1),"")</f>
        <v/>
      </c>
      <c r="F685" t="str">
        <f t="shared" si="53"/>
        <v/>
      </c>
      <c r="G685" t="str">
        <f t="shared" si="54"/>
        <v/>
      </c>
    </row>
    <row r="686" spans="1:7" x14ac:dyDescent="0.4">
      <c r="A686" t="str">
        <f t="shared" si="50"/>
        <v/>
      </c>
      <c r="B686" t="str">
        <f t="shared" si="51"/>
        <v/>
      </c>
      <c r="C686" t="str">
        <f t="shared" si="52"/>
        <v/>
      </c>
      <c r="D686" t="str">
        <f>IF(E686="","",IF(COUNTIF($E$2:E686,E686)&gt;1,"",SUMIFS(tbl_input[필요수량],tbl_input[집계키_지청],E686)))</f>
        <v/>
      </c>
      <c r="E686" t="str">
        <f>IFERROR(INDEX(tbl_input[집계키_지청],ROW()-1),"")</f>
        <v/>
      </c>
      <c r="F686" t="str">
        <f t="shared" si="53"/>
        <v/>
      </c>
      <c r="G686" t="str">
        <f t="shared" si="54"/>
        <v/>
      </c>
    </row>
    <row r="687" spans="1:7" x14ac:dyDescent="0.4">
      <c r="A687" t="str">
        <f t="shared" si="50"/>
        <v/>
      </c>
      <c r="B687" t="str">
        <f t="shared" si="51"/>
        <v/>
      </c>
      <c r="C687" t="str">
        <f t="shared" si="52"/>
        <v/>
      </c>
      <c r="D687" t="str">
        <f>IF(E687="","",IF(COUNTIF($E$2:E687,E687)&gt;1,"",SUMIFS(tbl_input[필요수량],tbl_input[집계키_지청],E687)))</f>
        <v/>
      </c>
      <c r="E687" t="str">
        <f>IFERROR(INDEX(tbl_input[집계키_지청],ROW()-1),"")</f>
        <v/>
      </c>
      <c r="F687" t="str">
        <f t="shared" si="53"/>
        <v/>
      </c>
      <c r="G687" t="str">
        <f t="shared" si="54"/>
        <v/>
      </c>
    </row>
    <row r="688" spans="1:7" x14ac:dyDescent="0.4">
      <c r="A688" t="str">
        <f t="shared" si="50"/>
        <v/>
      </c>
      <c r="B688" t="str">
        <f t="shared" si="51"/>
        <v/>
      </c>
      <c r="C688" t="str">
        <f t="shared" si="52"/>
        <v/>
      </c>
      <c r="D688" t="str">
        <f>IF(E688="","",IF(COUNTIF($E$2:E688,E688)&gt;1,"",SUMIFS(tbl_input[필요수량],tbl_input[집계키_지청],E688)))</f>
        <v/>
      </c>
      <c r="E688" t="str">
        <f>IFERROR(INDEX(tbl_input[집계키_지청],ROW()-1),"")</f>
        <v/>
      </c>
      <c r="F688" t="str">
        <f t="shared" si="53"/>
        <v/>
      </c>
      <c r="G688" t="str">
        <f t="shared" si="54"/>
        <v/>
      </c>
    </row>
    <row r="689" spans="1:7" x14ac:dyDescent="0.4">
      <c r="A689" t="str">
        <f t="shared" si="50"/>
        <v/>
      </c>
      <c r="B689" t="str">
        <f t="shared" si="51"/>
        <v/>
      </c>
      <c r="C689" t="str">
        <f t="shared" si="52"/>
        <v/>
      </c>
      <c r="D689" t="str">
        <f>IF(E689="","",IF(COUNTIF($E$2:E689,E689)&gt;1,"",SUMIFS(tbl_input[필요수량],tbl_input[집계키_지청],E689)))</f>
        <v/>
      </c>
      <c r="E689" t="str">
        <f>IFERROR(INDEX(tbl_input[집계키_지청],ROW()-1),"")</f>
        <v/>
      </c>
      <c r="F689" t="str">
        <f t="shared" si="53"/>
        <v/>
      </c>
      <c r="G689" t="str">
        <f t="shared" si="54"/>
        <v/>
      </c>
    </row>
    <row r="690" spans="1:7" x14ac:dyDescent="0.4">
      <c r="A690" t="str">
        <f t="shared" si="50"/>
        <v/>
      </c>
      <c r="B690" t="str">
        <f t="shared" si="51"/>
        <v/>
      </c>
      <c r="C690" t="str">
        <f t="shared" si="52"/>
        <v/>
      </c>
      <c r="D690" t="str">
        <f>IF(E690="","",IF(COUNTIF($E$2:E690,E690)&gt;1,"",SUMIFS(tbl_input[필요수량],tbl_input[집계키_지청],E690)))</f>
        <v/>
      </c>
      <c r="E690" t="str">
        <f>IFERROR(INDEX(tbl_input[집계키_지청],ROW()-1),"")</f>
        <v/>
      </c>
      <c r="F690" t="str">
        <f t="shared" si="53"/>
        <v/>
      </c>
      <c r="G690" t="str">
        <f t="shared" si="54"/>
        <v/>
      </c>
    </row>
    <row r="691" spans="1:7" x14ac:dyDescent="0.4">
      <c r="A691" t="str">
        <f t="shared" si="50"/>
        <v/>
      </c>
      <c r="B691" t="str">
        <f t="shared" si="51"/>
        <v/>
      </c>
      <c r="C691" t="str">
        <f t="shared" si="52"/>
        <v/>
      </c>
      <c r="D691" t="str">
        <f>IF(E691="","",IF(COUNTIF($E$2:E691,E691)&gt;1,"",SUMIFS(tbl_input[필요수량],tbl_input[집계키_지청],E691)))</f>
        <v/>
      </c>
      <c r="E691" t="str">
        <f>IFERROR(INDEX(tbl_input[집계키_지청],ROW()-1),"")</f>
        <v/>
      </c>
      <c r="F691" t="str">
        <f t="shared" si="53"/>
        <v/>
      </c>
      <c r="G691" t="str">
        <f t="shared" si="54"/>
        <v/>
      </c>
    </row>
    <row r="692" spans="1:7" x14ac:dyDescent="0.4">
      <c r="A692" t="str">
        <f t="shared" si="50"/>
        <v/>
      </c>
      <c r="B692" t="str">
        <f t="shared" si="51"/>
        <v/>
      </c>
      <c r="C692" t="str">
        <f t="shared" si="52"/>
        <v/>
      </c>
      <c r="D692" t="str">
        <f>IF(E692="","",IF(COUNTIF($E$2:E692,E692)&gt;1,"",SUMIFS(tbl_input[필요수량],tbl_input[집계키_지청],E692)))</f>
        <v/>
      </c>
      <c r="E692" t="str">
        <f>IFERROR(INDEX(tbl_input[집계키_지청],ROW()-1),"")</f>
        <v/>
      </c>
      <c r="F692" t="str">
        <f t="shared" si="53"/>
        <v/>
      </c>
      <c r="G692" t="str">
        <f t="shared" si="54"/>
        <v/>
      </c>
    </row>
    <row r="693" spans="1:7" x14ac:dyDescent="0.4">
      <c r="A693" t="str">
        <f t="shared" si="50"/>
        <v/>
      </c>
      <c r="B693" t="str">
        <f t="shared" si="51"/>
        <v/>
      </c>
      <c r="C693" t="str">
        <f t="shared" si="52"/>
        <v/>
      </c>
      <c r="D693" t="str">
        <f>IF(E693="","",IF(COUNTIF($E$2:E693,E693)&gt;1,"",SUMIFS(tbl_input[필요수량],tbl_input[집계키_지청],E693)))</f>
        <v/>
      </c>
      <c r="E693" t="str">
        <f>IFERROR(INDEX(tbl_input[집계키_지청],ROW()-1),"")</f>
        <v/>
      </c>
      <c r="F693" t="str">
        <f t="shared" si="53"/>
        <v/>
      </c>
      <c r="G693" t="str">
        <f t="shared" si="54"/>
        <v/>
      </c>
    </row>
    <row r="694" spans="1:7" x14ac:dyDescent="0.4">
      <c r="A694" t="str">
        <f t="shared" si="50"/>
        <v/>
      </c>
      <c r="B694" t="str">
        <f t="shared" si="51"/>
        <v/>
      </c>
      <c r="C694" t="str">
        <f t="shared" si="52"/>
        <v/>
      </c>
      <c r="D694" t="str">
        <f>IF(E694="","",IF(COUNTIF($E$2:E694,E694)&gt;1,"",SUMIFS(tbl_input[필요수량],tbl_input[집계키_지청],E694)))</f>
        <v/>
      </c>
      <c r="E694" t="str">
        <f>IFERROR(INDEX(tbl_input[집계키_지청],ROW()-1),"")</f>
        <v/>
      </c>
      <c r="F694" t="str">
        <f t="shared" si="53"/>
        <v/>
      </c>
      <c r="G694" t="str">
        <f t="shared" si="54"/>
        <v/>
      </c>
    </row>
    <row r="695" spans="1:7" x14ac:dyDescent="0.4">
      <c r="A695" t="str">
        <f t="shared" si="50"/>
        <v/>
      </c>
      <c r="B695" t="str">
        <f t="shared" si="51"/>
        <v/>
      </c>
      <c r="C695" t="str">
        <f t="shared" si="52"/>
        <v/>
      </c>
      <c r="D695" t="str">
        <f>IF(E695="","",IF(COUNTIF($E$2:E695,E695)&gt;1,"",SUMIFS(tbl_input[필요수량],tbl_input[집계키_지청],E695)))</f>
        <v/>
      </c>
      <c r="E695" t="str">
        <f>IFERROR(INDEX(tbl_input[집계키_지청],ROW()-1),"")</f>
        <v/>
      </c>
      <c r="F695" t="str">
        <f t="shared" si="53"/>
        <v/>
      </c>
      <c r="G695" t="str">
        <f t="shared" si="54"/>
        <v/>
      </c>
    </row>
    <row r="696" spans="1:7" x14ac:dyDescent="0.4">
      <c r="A696" t="str">
        <f t="shared" si="50"/>
        <v/>
      </c>
      <c r="B696" t="str">
        <f t="shared" si="51"/>
        <v/>
      </c>
      <c r="C696" t="str">
        <f t="shared" si="52"/>
        <v/>
      </c>
      <c r="D696" t="str">
        <f>IF(E696="","",IF(COUNTIF($E$2:E696,E696)&gt;1,"",SUMIFS(tbl_input[필요수량],tbl_input[집계키_지청],E696)))</f>
        <v/>
      </c>
      <c r="E696" t="str">
        <f>IFERROR(INDEX(tbl_input[집계키_지청],ROW()-1),"")</f>
        <v/>
      </c>
      <c r="F696" t="str">
        <f t="shared" si="53"/>
        <v/>
      </c>
      <c r="G696" t="str">
        <f t="shared" si="54"/>
        <v/>
      </c>
    </row>
    <row r="697" spans="1:7" x14ac:dyDescent="0.4">
      <c r="A697" t="str">
        <f t="shared" si="50"/>
        <v/>
      </c>
      <c r="B697" t="str">
        <f t="shared" si="51"/>
        <v/>
      </c>
      <c r="C697" t="str">
        <f t="shared" si="52"/>
        <v/>
      </c>
      <c r="D697" t="str">
        <f>IF(E697="","",IF(COUNTIF($E$2:E697,E697)&gt;1,"",SUMIFS(tbl_input[필요수량],tbl_input[집계키_지청],E697)))</f>
        <v/>
      </c>
      <c r="E697" t="str">
        <f>IFERROR(INDEX(tbl_input[집계키_지청],ROW()-1),"")</f>
        <v/>
      </c>
      <c r="F697" t="str">
        <f t="shared" si="53"/>
        <v/>
      </c>
      <c r="G697" t="str">
        <f t="shared" si="54"/>
        <v/>
      </c>
    </row>
    <row r="698" spans="1:7" x14ac:dyDescent="0.4">
      <c r="A698" t="str">
        <f t="shared" si="50"/>
        <v/>
      </c>
      <c r="B698" t="str">
        <f t="shared" si="51"/>
        <v/>
      </c>
      <c r="C698" t="str">
        <f t="shared" si="52"/>
        <v/>
      </c>
      <c r="D698" t="str">
        <f>IF(E698="","",IF(COUNTIF($E$2:E698,E698)&gt;1,"",SUMIFS(tbl_input[필요수량],tbl_input[집계키_지청],E698)))</f>
        <v/>
      </c>
      <c r="E698" t="str">
        <f>IFERROR(INDEX(tbl_input[집계키_지청],ROW()-1),"")</f>
        <v/>
      </c>
      <c r="F698" t="str">
        <f t="shared" si="53"/>
        <v/>
      </c>
      <c r="G698" t="str">
        <f t="shared" si="54"/>
        <v/>
      </c>
    </row>
    <row r="699" spans="1:7" x14ac:dyDescent="0.4">
      <c r="A699" t="str">
        <f t="shared" si="50"/>
        <v/>
      </c>
      <c r="B699" t="str">
        <f t="shared" si="51"/>
        <v/>
      </c>
      <c r="C699" t="str">
        <f t="shared" si="52"/>
        <v/>
      </c>
      <c r="D699" t="str">
        <f>IF(E699="","",IF(COUNTIF($E$2:E699,E699)&gt;1,"",SUMIFS(tbl_input[필요수량],tbl_input[집계키_지청],E699)))</f>
        <v/>
      </c>
      <c r="E699" t="str">
        <f>IFERROR(INDEX(tbl_input[집계키_지청],ROW()-1),"")</f>
        <v/>
      </c>
      <c r="F699" t="str">
        <f t="shared" si="53"/>
        <v/>
      </c>
      <c r="G699" t="str">
        <f t="shared" si="54"/>
        <v/>
      </c>
    </row>
    <row r="700" spans="1:7" x14ac:dyDescent="0.4">
      <c r="A700" t="str">
        <f t="shared" si="50"/>
        <v/>
      </c>
      <c r="B700" t="str">
        <f t="shared" si="51"/>
        <v/>
      </c>
      <c r="C700" t="str">
        <f t="shared" si="52"/>
        <v/>
      </c>
      <c r="D700" t="str">
        <f>IF(E700="","",IF(COUNTIF($E$2:E700,E700)&gt;1,"",SUMIFS(tbl_input[필요수량],tbl_input[집계키_지청],E700)))</f>
        <v/>
      </c>
      <c r="E700" t="str">
        <f>IFERROR(INDEX(tbl_input[집계키_지청],ROW()-1),"")</f>
        <v/>
      </c>
      <c r="F700" t="str">
        <f t="shared" si="53"/>
        <v/>
      </c>
      <c r="G700" t="str">
        <f t="shared" si="54"/>
        <v/>
      </c>
    </row>
    <row r="701" spans="1:7" x14ac:dyDescent="0.4">
      <c r="A701" t="str">
        <f t="shared" si="50"/>
        <v/>
      </c>
      <c r="B701" t="str">
        <f t="shared" si="51"/>
        <v/>
      </c>
      <c r="C701" t="str">
        <f t="shared" si="52"/>
        <v/>
      </c>
      <c r="D701" t="str">
        <f>IF(E701="","",IF(COUNTIF($E$2:E701,E701)&gt;1,"",SUMIFS(tbl_input[필요수량],tbl_input[집계키_지청],E701)))</f>
        <v/>
      </c>
      <c r="E701" t="str">
        <f>IFERROR(INDEX(tbl_input[집계키_지청],ROW()-1),"")</f>
        <v/>
      </c>
      <c r="F701" t="str">
        <f t="shared" si="53"/>
        <v/>
      </c>
      <c r="G701" t="str">
        <f t="shared" si="54"/>
        <v/>
      </c>
    </row>
    <row r="702" spans="1:7" x14ac:dyDescent="0.4">
      <c r="A702" t="str">
        <f t="shared" si="50"/>
        <v/>
      </c>
      <c r="B702" t="str">
        <f t="shared" si="51"/>
        <v/>
      </c>
      <c r="C702" t="str">
        <f t="shared" si="52"/>
        <v/>
      </c>
      <c r="D702" t="str">
        <f>IF(E702="","",IF(COUNTIF($E$2:E702,E702)&gt;1,"",SUMIFS(tbl_input[필요수량],tbl_input[집계키_지청],E702)))</f>
        <v/>
      </c>
      <c r="E702" t="str">
        <f>IFERROR(INDEX(tbl_input[집계키_지청],ROW()-1),"")</f>
        <v/>
      </c>
      <c r="F702" t="str">
        <f t="shared" si="53"/>
        <v/>
      </c>
      <c r="G702" t="str">
        <f t="shared" si="54"/>
        <v/>
      </c>
    </row>
    <row r="703" spans="1:7" x14ac:dyDescent="0.4">
      <c r="A703" t="str">
        <f t="shared" si="50"/>
        <v/>
      </c>
      <c r="B703" t="str">
        <f t="shared" si="51"/>
        <v/>
      </c>
      <c r="C703" t="str">
        <f t="shared" si="52"/>
        <v/>
      </c>
      <c r="D703" t="str">
        <f>IF(E703="","",IF(COUNTIF($E$2:E703,E703)&gt;1,"",SUMIFS(tbl_input[필요수량],tbl_input[집계키_지청],E703)))</f>
        <v/>
      </c>
      <c r="E703" t="str">
        <f>IFERROR(INDEX(tbl_input[집계키_지청],ROW()-1),"")</f>
        <v/>
      </c>
      <c r="F703" t="str">
        <f t="shared" si="53"/>
        <v/>
      </c>
      <c r="G703" t="str">
        <f t="shared" si="54"/>
        <v/>
      </c>
    </row>
    <row r="704" spans="1:7" x14ac:dyDescent="0.4">
      <c r="A704" t="str">
        <f t="shared" si="50"/>
        <v/>
      </c>
      <c r="B704" t="str">
        <f t="shared" si="51"/>
        <v/>
      </c>
      <c r="C704" t="str">
        <f t="shared" si="52"/>
        <v/>
      </c>
      <c r="D704" t="str">
        <f>IF(E704="","",IF(COUNTIF($E$2:E704,E704)&gt;1,"",SUMIFS(tbl_input[필요수량],tbl_input[집계키_지청],E704)))</f>
        <v/>
      </c>
      <c r="E704" t="str">
        <f>IFERROR(INDEX(tbl_input[집계키_지청],ROW()-1),"")</f>
        <v/>
      </c>
      <c r="F704" t="str">
        <f t="shared" si="53"/>
        <v/>
      </c>
      <c r="G704" t="str">
        <f t="shared" si="54"/>
        <v/>
      </c>
    </row>
    <row r="705" spans="1:7" x14ac:dyDescent="0.4">
      <c r="A705" t="str">
        <f t="shared" si="50"/>
        <v/>
      </c>
      <c r="B705" t="str">
        <f t="shared" si="51"/>
        <v/>
      </c>
      <c r="C705" t="str">
        <f t="shared" si="52"/>
        <v/>
      </c>
      <c r="D705" t="str">
        <f>IF(E705="","",IF(COUNTIF($E$2:E705,E705)&gt;1,"",SUMIFS(tbl_input[필요수량],tbl_input[집계키_지청],E705)))</f>
        <v/>
      </c>
      <c r="E705" t="str">
        <f>IFERROR(INDEX(tbl_input[집계키_지청],ROW()-1),"")</f>
        <v/>
      </c>
      <c r="F705" t="str">
        <f t="shared" si="53"/>
        <v/>
      </c>
      <c r="G705" t="str">
        <f t="shared" si="54"/>
        <v/>
      </c>
    </row>
    <row r="706" spans="1:7" x14ac:dyDescent="0.4">
      <c r="A706" t="str">
        <f t="shared" ref="A706:A769" si="55">IF(E706="","",LEFT(E706,F706-1))</f>
        <v/>
      </c>
      <c r="B706" t="str">
        <f t="shared" ref="B706:B769" si="56">IF(E706="","",MID(E706,F706+1,G706-F706-1))</f>
        <v/>
      </c>
      <c r="C706" t="str">
        <f t="shared" ref="C706:C769" si="57">IF(E706="","",MID(E706,G706+1,999))</f>
        <v/>
      </c>
      <c r="D706" t="str">
        <f>IF(E706="","",IF(COUNTIF($E$2:E706,E706)&gt;1,"",SUMIFS(tbl_input[필요수량],tbl_input[집계키_지청],E706)))</f>
        <v/>
      </c>
      <c r="E706" t="str">
        <f>IFERROR(INDEX(tbl_input[집계키_지청],ROW()-1),"")</f>
        <v/>
      </c>
      <c r="F706" t="str">
        <f t="shared" ref="F706:F769" si="58">IF(E706="","",FIND("♦",E706))</f>
        <v/>
      </c>
      <c r="G706" t="str">
        <f t="shared" ref="G706:G769" si="59">IF(E706="","",FIND("♦",E706,F706+1))</f>
        <v/>
      </c>
    </row>
    <row r="707" spans="1:7" x14ac:dyDescent="0.4">
      <c r="A707" t="str">
        <f t="shared" si="55"/>
        <v/>
      </c>
      <c r="B707" t="str">
        <f t="shared" si="56"/>
        <v/>
      </c>
      <c r="C707" t="str">
        <f t="shared" si="57"/>
        <v/>
      </c>
      <c r="D707" t="str">
        <f>IF(E707="","",IF(COUNTIF($E$2:E707,E707)&gt;1,"",SUMIFS(tbl_input[필요수량],tbl_input[집계키_지청],E707)))</f>
        <v/>
      </c>
      <c r="E707" t="str">
        <f>IFERROR(INDEX(tbl_input[집계키_지청],ROW()-1),"")</f>
        <v/>
      </c>
      <c r="F707" t="str">
        <f t="shared" si="58"/>
        <v/>
      </c>
      <c r="G707" t="str">
        <f t="shared" si="59"/>
        <v/>
      </c>
    </row>
    <row r="708" spans="1:7" x14ac:dyDescent="0.4">
      <c r="A708" t="str">
        <f t="shared" si="55"/>
        <v/>
      </c>
      <c r="B708" t="str">
        <f t="shared" si="56"/>
        <v/>
      </c>
      <c r="C708" t="str">
        <f t="shared" si="57"/>
        <v/>
      </c>
      <c r="D708" t="str">
        <f>IF(E708="","",IF(COUNTIF($E$2:E708,E708)&gt;1,"",SUMIFS(tbl_input[필요수량],tbl_input[집계키_지청],E708)))</f>
        <v/>
      </c>
      <c r="E708" t="str">
        <f>IFERROR(INDEX(tbl_input[집계키_지청],ROW()-1),"")</f>
        <v/>
      </c>
      <c r="F708" t="str">
        <f t="shared" si="58"/>
        <v/>
      </c>
      <c r="G708" t="str">
        <f t="shared" si="59"/>
        <v/>
      </c>
    </row>
    <row r="709" spans="1:7" x14ac:dyDescent="0.4">
      <c r="A709" t="str">
        <f t="shared" si="55"/>
        <v/>
      </c>
      <c r="B709" t="str">
        <f t="shared" si="56"/>
        <v/>
      </c>
      <c r="C709" t="str">
        <f t="shared" si="57"/>
        <v/>
      </c>
      <c r="D709" t="str">
        <f>IF(E709="","",IF(COUNTIF($E$2:E709,E709)&gt;1,"",SUMIFS(tbl_input[필요수량],tbl_input[집계키_지청],E709)))</f>
        <v/>
      </c>
      <c r="E709" t="str">
        <f>IFERROR(INDEX(tbl_input[집계키_지청],ROW()-1),"")</f>
        <v/>
      </c>
      <c r="F709" t="str">
        <f t="shared" si="58"/>
        <v/>
      </c>
      <c r="G709" t="str">
        <f t="shared" si="59"/>
        <v/>
      </c>
    </row>
    <row r="710" spans="1:7" x14ac:dyDescent="0.4">
      <c r="A710" t="str">
        <f t="shared" si="55"/>
        <v/>
      </c>
      <c r="B710" t="str">
        <f t="shared" si="56"/>
        <v/>
      </c>
      <c r="C710" t="str">
        <f t="shared" si="57"/>
        <v/>
      </c>
      <c r="D710" t="str">
        <f>IF(E710="","",IF(COUNTIF($E$2:E710,E710)&gt;1,"",SUMIFS(tbl_input[필요수량],tbl_input[집계키_지청],E710)))</f>
        <v/>
      </c>
      <c r="E710" t="str">
        <f>IFERROR(INDEX(tbl_input[집계키_지청],ROW()-1),"")</f>
        <v/>
      </c>
      <c r="F710" t="str">
        <f t="shared" si="58"/>
        <v/>
      </c>
      <c r="G710" t="str">
        <f t="shared" si="59"/>
        <v/>
      </c>
    </row>
    <row r="711" spans="1:7" x14ac:dyDescent="0.4">
      <c r="A711" t="str">
        <f t="shared" si="55"/>
        <v/>
      </c>
      <c r="B711" t="str">
        <f t="shared" si="56"/>
        <v/>
      </c>
      <c r="C711" t="str">
        <f t="shared" si="57"/>
        <v/>
      </c>
      <c r="D711" t="str">
        <f>IF(E711="","",IF(COUNTIF($E$2:E711,E711)&gt;1,"",SUMIFS(tbl_input[필요수량],tbl_input[집계키_지청],E711)))</f>
        <v/>
      </c>
      <c r="E711" t="str">
        <f>IFERROR(INDEX(tbl_input[집계키_지청],ROW()-1),"")</f>
        <v/>
      </c>
      <c r="F711" t="str">
        <f t="shared" si="58"/>
        <v/>
      </c>
      <c r="G711" t="str">
        <f t="shared" si="59"/>
        <v/>
      </c>
    </row>
    <row r="712" spans="1:7" x14ac:dyDescent="0.4">
      <c r="A712" t="str">
        <f t="shared" si="55"/>
        <v/>
      </c>
      <c r="B712" t="str">
        <f t="shared" si="56"/>
        <v/>
      </c>
      <c r="C712" t="str">
        <f t="shared" si="57"/>
        <v/>
      </c>
      <c r="D712" t="str">
        <f>IF(E712="","",IF(COUNTIF($E$2:E712,E712)&gt;1,"",SUMIFS(tbl_input[필요수량],tbl_input[집계키_지청],E712)))</f>
        <v/>
      </c>
      <c r="E712" t="str">
        <f>IFERROR(INDEX(tbl_input[집계키_지청],ROW()-1),"")</f>
        <v/>
      </c>
      <c r="F712" t="str">
        <f t="shared" si="58"/>
        <v/>
      </c>
      <c r="G712" t="str">
        <f t="shared" si="59"/>
        <v/>
      </c>
    </row>
    <row r="713" spans="1:7" x14ac:dyDescent="0.4">
      <c r="A713" t="str">
        <f t="shared" si="55"/>
        <v/>
      </c>
      <c r="B713" t="str">
        <f t="shared" si="56"/>
        <v/>
      </c>
      <c r="C713" t="str">
        <f t="shared" si="57"/>
        <v/>
      </c>
      <c r="D713" t="str">
        <f>IF(E713="","",IF(COUNTIF($E$2:E713,E713)&gt;1,"",SUMIFS(tbl_input[필요수량],tbl_input[집계키_지청],E713)))</f>
        <v/>
      </c>
      <c r="E713" t="str">
        <f>IFERROR(INDEX(tbl_input[집계키_지청],ROW()-1),"")</f>
        <v/>
      </c>
      <c r="F713" t="str">
        <f t="shared" si="58"/>
        <v/>
      </c>
      <c r="G713" t="str">
        <f t="shared" si="59"/>
        <v/>
      </c>
    </row>
    <row r="714" spans="1:7" x14ac:dyDescent="0.4">
      <c r="A714" t="str">
        <f t="shared" si="55"/>
        <v/>
      </c>
      <c r="B714" t="str">
        <f t="shared" si="56"/>
        <v/>
      </c>
      <c r="C714" t="str">
        <f t="shared" si="57"/>
        <v/>
      </c>
      <c r="D714" t="str">
        <f>IF(E714="","",IF(COUNTIF($E$2:E714,E714)&gt;1,"",SUMIFS(tbl_input[필요수량],tbl_input[집계키_지청],E714)))</f>
        <v/>
      </c>
      <c r="E714" t="str">
        <f>IFERROR(INDEX(tbl_input[집계키_지청],ROW()-1),"")</f>
        <v/>
      </c>
      <c r="F714" t="str">
        <f t="shared" si="58"/>
        <v/>
      </c>
      <c r="G714" t="str">
        <f t="shared" si="59"/>
        <v/>
      </c>
    </row>
    <row r="715" spans="1:7" x14ac:dyDescent="0.4">
      <c r="A715" t="str">
        <f t="shared" si="55"/>
        <v/>
      </c>
      <c r="B715" t="str">
        <f t="shared" si="56"/>
        <v/>
      </c>
      <c r="C715" t="str">
        <f t="shared" si="57"/>
        <v/>
      </c>
      <c r="D715" t="str">
        <f>IF(E715="","",IF(COUNTIF($E$2:E715,E715)&gt;1,"",SUMIFS(tbl_input[필요수량],tbl_input[집계키_지청],E715)))</f>
        <v/>
      </c>
      <c r="E715" t="str">
        <f>IFERROR(INDEX(tbl_input[집계키_지청],ROW()-1),"")</f>
        <v/>
      </c>
      <c r="F715" t="str">
        <f t="shared" si="58"/>
        <v/>
      </c>
      <c r="G715" t="str">
        <f t="shared" si="59"/>
        <v/>
      </c>
    </row>
    <row r="716" spans="1:7" x14ac:dyDescent="0.4">
      <c r="A716" t="str">
        <f t="shared" si="55"/>
        <v/>
      </c>
      <c r="B716" t="str">
        <f t="shared" si="56"/>
        <v/>
      </c>
      <c r="C716" t="str">
        <f t="shared" si="57"/>
        <v/>
      </c>
      <c r="D716" t="str">
        <f>IF(E716="","",IF(COUNTIF($E$2:E716,E716)&gt;1,"",SUMIFS(tbl_input[필요수량],tbl_input[집계키_지청],E716)))</f>
        <v/>
      </c>
      <c r="E716" t="str">
        <f>IFERROR(INDEX(tbl_input[집계키_지청],ROW()-1),"")</f>
        <v/>
      </c>
      <c r="F716" t="str">
        <f t="shared" si="58"/>
        <v/>
      </c>
      <c r="G716" t="str">
        <f t="shared" si="59"/>
        <v/>
      </c>
    </row>
    <row r="717" spans="1:7" x14ac:dyDescent="0.4">
      <c r="A717" t="str">
        <f t="shared" si="55"/>
        <v/>
      </c>
      <c r="B717" t="str">
        <f t="shared" si="56"/>
        <v/>
      </c>
      <c r="C717" t="str">
        <f t="shared" si="57"/>
        <v/>
      </c>
      <c r="D717" t="str">
        <f>IF(E717="","",IF(COUNTIF($E$2:E717,E717)&gt;1,"",SUMIFS(tbl_input[필요수량],tbl_input[집계키_지청],E717)))</f>
        <v/>
      </c>
      <c r="E717" t="str">
        <f>IFERROR(INDEX(tbl_input[집계키_지청],ROW()-1),"")</f>
        <v/>
      </c>
      <c r="F717" t="str">
        <f t="shared" si="58"/>
        <v/>
      </c>
      <c r="G717" t="str">
        <f t="shared" si="59"/>
        <v/>
      </c>
    </row>
    <row r="718" spans="1:7" x14ac:dyDescent="0.4">
      <c r="A718" t="str">
        <f t="shared" si="55"/>
        <v/>
      </c>
      <c r="B718" t="str">
        <f t="shared" si="56"/>
        <v/>
      </c>
      <c r="C718" t="str">
        <f t="shared" si="57"/>
        <v/>
      </c>
      <c r="D718" t="str">
        <f>IF(E718="","",IF(COUNTIF($E$2:E718,E718)&gt;1,"",SUMIFS(tbl_input[필요수량],tbl_input[집계키_지청],E718)))</f>
        <v/>
      </c>
      <c r="E718" t="str">
        <f>IFERROR(INDEX(tbl_input[집계키_지청],ROW()-1),"")</f>
        <v/>
      </c>
      <c r="F718" t="str">
        <f t="shared" si="58"/>
        <v/>
      </c>
      <c r="G718" t="str">
        <f t="shared" si="59"/>
        <v/>
      </c>
    </row>
    <row r="719" spans="1:7" x14ac:dyDescent="0.4">
      <c r="A719" t="str">
        <f t="shared" si="55"/>
        <v/>
      </c>
      <c r="B719" t="str">
        <f t="shared" si="56"/>
        <v/>
      </c>
      <c r="C719" t="str">
        <f t="shared" si="57"/>
        <v/>
      </c>
      <c r="D719" t="str">
        <f>IF(E719="","",IF(COUNTIF($E$2:E719,E719)&gt;1,"",SUMIFS(tbl_input[필요수량],tbl_input[집계키_지청],E719)))</f>
        <v/>
      </c>
      <c r="E719" t="str">
        <f>IFERROR(INDEX(tbl_input[집계키_지청],ROW()-1),"")</f>
        <v/>
      </c>
      <c r="F719" t="str">
        <f t="shared" si="58"/>
        <v/>
      </c>
      <c r="G719" t="str">
        <f t="shared" si="59"/>
        <v/>
      </c>
    </row>
    <row r="720" spans="1:7" x14ac:dyDescent="0.4">
      <c r="A720" t="str">
        <f t="shared" si="55"/>
        <v/>
      </c>
      <c r="B720" t="str">
        <f t="shared" si="56"/>
        <v/>
      </c>
      <c r="C720" t="str">
        <f t="shared" si="57"/>
        <v/>
      </c>
      <c r="D720" t="str">
        <f>IF(E720="","",IF(COUNTIF($E$2:E720,E720)&gt;1,"",SUMIFS(tbl_input[필요수량],tbl_input[집계키_지청],E720)))</f>
        <v/>
      </c>
      <c r="E720" t="str">
        <f>IFERROR(INDEX(tbl_input[집계키_지청],ROW()-1),"")</f>
        <v/>
      </c>
      <c r="F720" t="str">
        <f t="shared" si="58"/>
        <v/>
      </c>
      <c r="G720" t="str">
        <f t="shared" si="59"/>
        <v/>
      </c>
    </row>
    <row r="721" spans="1:7" x14ac:dyDescent="0.4">
      <c r="A721" t="str">
        <f t="shared" si="55"/>
        <v/>
      </c>
      <c r="B721" t="str">
        <f t="shared" si="56"/>
        <v/>
      </c>
      <c r="C721" t="str">
        <f t="shared" si="57"/>
        <v/>
      </c>
      <c r="D721" t="str">
        <f>IF(E721="","",IF(COUNTIF($E$2:E721,E721)&gt;1,"",SUMIFS(tbl_input[필요수량],tbl_input[집계키_지청],E721)))</f>
        <v/>
      </c>
      <c r="E721" t="str">
        <f>IFERROR(INDEX(tbl_input[집계키_지청],ROW()-1),"")</f>
        <v/>
      </c>
      <c r="F721" t="str">
        <f t="shared" si="58"/>
        <v/>
      </c>
      <c r="G721" t="str">
        <f t="shared" si="59"/>
        <v/>
      </c>
    </row>
    <row r="722" spans="1:7" x14ac:dyDescent="0.4">
      <c r="A722" t="str">
        <f t="shared" si="55"/>
        <v/>
      </c>
      <c r="B722" t="str">
        <f t="shared" si="56"/>
        <v/>
      </c>
      <c r="C722" t="str">
        <f t="shared" si="57"/>
        <v/>
      </c>
      <c r="D722" t="str">
        <f>IF(E722="","",IF(COUNTIF($E$2:E722,E722)&gt;1,"",SUMIFS(tbl_input[필요수량],tbl_input[집계키_지청],E722)))</f>
        <v/>
      </c>
      <c r="E722" t="str">
        <f>IFERROR(INDEX(tbl_input[집계키_지청],ROW()-1),"")</f>
        <v/>
      </c>
      <c r="F722" t="str">
        <f t="shared" si="58"/>
        <v/>
      </c>
      <c r="G722" t="str">
        <f t="shared" si="59"/>
        <v/>
      </c>
    </row>
    <row r="723" spans="1:7" x14ac:dyDescent="0.4">
      <c r="A723" t="str">
        <f t="shared" si="55"/>
        <v/>
      </c>
      <c r="B723" t="str">
        <f t="shared" si="56"/>
        <v/>
      </c>
      <c r="C723" t="str">
        <f t="shared" si="57"/>
        <v/>
      </c>
      <c r="D723" t="str">
        <f>IF(E723="","",IF(COUNTIF($E$2:E723,E723)&gt;1,"",SUMIFS(tbl_input[필요수량],tbl_input[집계키_지청],E723)))</f>
        <v/>
      </c>
      <c r="E723" t="str">
        <f>IFERROR(INDEX(tbl_input[집계키_지청],ROW()-1),"")</f>
        <v/>
      </c>
      <c r="F723" t="str">
        <f t="shared" si="58"/>
        <v/>
      </c>
      <c r="G723" t="str">
        <f t="shared" si="59"/>
        <v/>
      </c>
    </row>
    <row r="724" spans="1:7" x14ac:dyDescent="0.4">
      <c r="A724" t="str">
        <f t="shared" si="55"/>
        <v/>
      </c>
      <c r="B724" t="str">
        <f t="shared" si="56"/>
        <v/>
      </c>
      <c r="C724" t="str">
        <f t="shared" si="57"/>
        <v/>
      </c>
      <c r="D724" t="str">
        <f>IF(E724="","",IF(COUNTIF($E$2:E724,E724)&gt;1,"",SUMIFS(tbl_input[필요수량],tbl_input[집계키_지청],E724)))</f>
        <v/>
      </c>
      <c r="E724" t="str">
        <f>IFERROR(INDEX(tbl_input[집계키_지청],ROW()-1),"")</f>
        <v/>
      </c>
      <c r="F724" t="str">
        <f t="shared" si="58"/>
        <v/>
      </c>
      <c r="G724" t="str">
        <f t="shared" si="59"/>
        <v/>
      </c>
    </row>
    <row r="725" spans="1:7" x14ac:dyDescent="0.4">
      <c r="A725" t="str">
        <f t="shared" si="55"/>
        <v/>
      </c>
      <c r="B725" t="str">
        <f t="shared" si="56"/>
        <v/>
      </c>
      <c r="C725" t="str">
        <f t="shared" si="57"/>
        <v/>
      </c>
      <c r="D725" t="str">
        <f>IF(E725="","",IF(COUNTIF($E$2:E725,E725)&gt;1,"",SUMIFS(tbl_input[필요수량],tbl_input[집계키_지청],E725)))</f>
        <v/>
      </c>
      <c r="E725" t="str">
        <f>IFERROR(INDEX(tbl_input[집계키_지청],ROW()-1),"")</f>
        <v/>
      </c>
      <c r="F725" t="str">
        <f t="shared" si="58"/>
        <v/>
      </c>
      <c r="G725" t="str">
        <f t="shared" si="59"/>
        <v/>
      </c>
    </row>
    <row r="726" spans="1:7" x14ac:dyDescent="0.4">
      <c r="A726" t="str">
        <f t="shared" si="55"/>
        <v/>
      </c>
      <c r="B726" t="str">
        <f t="shared" si="56"/>
        <v/>
      </c>
      <c r="C726" t="str">
        <f t="shared" si="57"/>
        <v/>
      </c>
      <c r="D726" t="str">
        <f>IF(E726="","",IF(COUNTIF($E$2:E726,E726)&gt;1,"",SUMIFS(tbl_input[필요수량],tbl_input[집계키_지청],E726)))</f>
        <v/>
      </c>
      <c r="E726" t="str">
        <f>IFERROR(INDEX(tbl_input[집계키_지청],ROW()-1),"")</f>
        <v/>
      </c>
      <c r="F726" t="str">
        <f t="shared" si="58"/>
        <v/>
      </c>
      <c r="G726" t="str">
        <f t="shared" si="59"/>
        <v/>
      </c>
    </row>
    <row r="727" spans="1:7" x14ac:dyDescent="0.4">
      <c r="A727" t="str">
        <f t="shared" si="55"/>
        <v/>
      </c>
      <c r="B727" t="str">
        <f t="shared" si="56"/>
        <v/>
      </c>
      <c r="C727" t="str">
        <f t="shared" si="57"/>
        <v/>
      </c>
      <c r="D727" t="str">
        <f>IF(E727="","",IF(COUNTIF($E$2:E727,E727)&gt;1,"",SUMIFS(tbl_input[필요수량],tbl_input[집계키_지청],E727)))</f>
        <v/>
      </c>
      <c r="E727" t="str">
        <f>IFERROR(INDEX(tbl_input[집계키_지청],ROW()-1),"")</f>
        <v/>
      </c>
      <c r="F727" t="str">
        <f t="shared" si="58"/>
        <v/>
      </c>
      <c r="G727" t="str">
        <f t="shared" si="59"/>
        <v/>
      </c>
    </row>
    <row r="728" spans="1:7" x14ac:dyDescent="0.4">
      <c r="A728" t="str">
        <f t="shared" si="55"/>
        <v/>
      </c>
      <c r="B728" t="str">
        <f t="shared" si="56"/>
        <v/>
      </c>
      <c r="C728" t="str">
        <f t="shared" si="57"/>
        <v/>
      </c>
      <c r="D728" t="str">
        <f>IF(E728="","",IF(COUNTIF($E$2:E728,E728)&gt;1,"",SUMIFS(tbl_input[필요수량],tbl_input[집계키_지청],E728)))</f>
        <v/>
      </c>
      <c r="E728" t="str">
        <f>IFERROR(INDEX(tbl_input[집계키_지청],ROW()-1),"")</f>
        <v/>
      </c>
      <c r="F728" t="str">
        <f t="shared" si="58"/>
        <v/>
      </c>
      <c r="G728" t="str">
        <f t="shared" si="59"/>
        <v/>
      </c>
    </row>
    <row r="729" spans="1:7" x14ac:dyDescent="0.4">
      <c r="A729" t="str">
        <f t="shared" si="55"/>
        <v/>
      </c>
      <c r="B729" t="str">
        <f t="shared" si="56"/>
        <v/>
      </c>
      <c r="C729" t="str">
        <f t="shared" si="57"/>
        <v/>
      </c>
      <c r="D729" t="str">
        <f>IF(E729="","",IF(COUNTIF($E$2:E729,E729)&gt;1,"",SUMIFS(tbl_input[필요수량],tbl_input[집계키_지청],E729)))</f>
        <v/>
      </c>
      <c r="E729" t="str">
        <f>IFERROR(INDEX(tbl_input[집계키_지청],ROW()-1),"")</f>
        <v/>
      </c>
      <c r="F729" t="str">
        <f t="shared" si="58"/>
        <v/>
      </c>
      <c r="G729" t="str">
        <f t="shared" si="59"/>
        <v/>
      </c>
    </row>
    <row r="730" spans="1:7" x14ac:dyDescent="0.4">
      <c r="A730" t="str">
        <f t="shared" si="55"/>
        <v/>
      </c>
      <c r="B730" t="str">
        <f t="shared" si="56"/>
        <v/>
      </c>
      <c r="C730" t="str">
        <f t="shared" si="57"/>
        <v/>
      </c>
      <c r="D730" t="str">
        <f>IF(E730="","",IF(COUNTIF($E$2:E730,E730)&gt;1,"",SUMIFS(tbl_input[필요수량],tbl_input[집계키_지청],E730)))</f>
        <v/>
      </c>
      <c r="E730" t="str">
        <f>IFERROR(INDEX(tbl_input[집계키_지청],ROW()-1),"")</f>
        <v/>
      </c>
      <c r="F730" t="str">
        <f t="shared" si="58"/>
        <v/>
      </c>
      <c r="G730" t="str">
        <f t="shared" si="59"/>
        <v/>
      </c>
    </row>
    <row r="731" spans="1:7" x14ac:dyDescent="0.4">
      <c r="A731" t="str">
        <f t="shared" si="55"/>
        <v/>
      </c>
      <c r="B731" t="str">
        <f t="shared" si="56"/>
        <v/>
      </c>
      <c r="C731" t="str">
        <f t="shared" si="57"/>
        <v/>
      </c>
      <c r="D731" t="str">
        <f>IF(E731="","",IF(COUNTIF($E$2:E731,E731)&gt;1,"",SUMIFS(tbl_input[필요수량],tbl_input[집계키_지청],E731)))</f>
        <v/>
      </c>
      <c r="E731" t="str">
        <f>IFERROR(INDEX(tbl_input[집계키_지청],ROW()-1),"")</f>
        <v/>
      </c>
      <c r="F731" t="str">
        <f t="shared" si="58"/>
        <v/>
      </c>
      <c r="G731" t="str">
        <f t="shared" si="59"/>
        <v/>
      </c>
    </row>
    <row r="732" spans="1:7" x14ac:dyDescent="0.4">
      <c r="A732" t="str">
        <f t="shared" si="55"/>
        <v/>
      </c>
      <c r="B732" t="str">
        <f t="shared" si="56"/>
        <v/>
      </c>
      <c r="C732" t="str">
        <f t="shared" si="57"/>
        <v/>
      </c>
      <c r="D732" t="str">
        <f>IF(E732="","",IF(COUNTIF($E$2:E732,E732)&gt;1,"",SUMIFS(tbl_input[필요수량],tbl_input[집계키_지청],E732)))</f>
        <v/>
      </c>
      <c r="E732" t="str">
        <f>IFERROR(INDEX(tbl_input[집계키_지청],ROW()-1),"")</f>
        <v/>
      </c>
      <c r="F732" t="str">
        <f t="shared" si="58"/>
        <v/>
      </c>
      <c r="G732" t="str">
        <f t="shared" si="59"/>
        <v/>
      </c>
    </row>
    <row r="733" spans="1:7" x14ac:dyDescent="0.4">
      <c r="A733" t="str">
        <f t="shared" si="55"/>
        <v/>
      </c>
      <c r="B733" t="str">
        <f t="shared" si="56"/>
        <v/>
      </c>
      <c r="C733" t="str">
        <f t="shared" si="57"/>
        <v/>
      </c>
      <c r="D733" t="str">
        <f>IF(E733="","",IF(COUNTIF($E$2:E733,E733)&gt;1,"",SUMIFS(tbl_input[필요수량],tbl_input[집계키_지청],E733)))</f>
        <v/>
      </c>
      <c r="E733" t="str">
        <f>IFERROR(INDEX(tbl_input[집계키_지청],ROW()-1),"")</f>
        <v/>
      </c>
      <c r="F733" t="str">
        <f t="shared" si="58"/>
        <v/>
      </c>
      <c r="G733" t="str">
        <f t="shared" si="59"/>
        <v/>
      </c>
    </row>
    <row r="734" spans="1:7" x14ac:dyDescent="0.4">
      <c r="A734" t="str">
        <f t="shared" si="55"/>
        <v/>
      </c>
      <c r="B734" t="str">
        <f t="shared" si="56"/>
        <v/>
      </c>
      <c r="C734" t="str">
        <f t="shared" si="57"/>
        <v/>
      </c>
      <c r="D734" t="str">
        <f>IF(E734="","",IF(COUNTIF($E$2:E734,E734)&gt;1,"",SUMIFS(tbl_input[필요수량],tbl_input[집계키_지청],E734)))</f>
        <v/>
      </c>
      <c r="E734" t="str">
        <f>IFERROR(INDEX(tbl_input[집계키_지청],ROW()-1),"")</f>
        <v/>
      </c>
      <c r="F734" t="str">
        <f t="shared" si="58"/>
        <v/>
      </c>
      <c r="G734" t="str">
        <f t="shared" si="59"/>
        <v/>
      </c>
    </row>
    <row r="735" spans="1:7" x14ac:dyDescent="0.4">
      <c r="A735" t="str">
        <f t="shared" si="55"/>
        <v/>
      </c>
      <c r="B735" t="str">
        <f t="shared" si="56"/>
        <v/>
      </c>
      <c r="C735" t="str">
        <f t="shared" si="57"/>
        <v/>
      </c>
      <c r="D735" t="str">
        <f>IF(E735="","",IF(COUNTIF($E$2:E735,E735)&gt;1,"",SUMIFS(tbl_input[필요수량],tbl_input[집계키_지청],E735)))</f>
        <v/>
      </c>
      <c r="E735" t="str">
        <f>IFERROR(INDEX(tbl_input[집계키_지청],ROW()-1),"")</f>
        <v/>
      </c>
      <c r="F735" t="str">
        <f t="shared" si="58"/>
        <v/>
      </c>
      <c r="G735" t="str">
        <f t="shared" si="59"/>
        <v/>
      </c>
    </row>
    <row r="736" spans="1:7" x14ac:dyDescent="0.4">
      <c r="A736" t="str">
        <f t="shared" si="55"/>
        <v/>
      </c>
      <c r="B736" t="str">
        <f t="shared" si="56"/>
        <v/>
      </c>
      <c r="C736" t="str">
        <f t="shared" si="57"/>
        <v/>
      </c>
      <c r="D736" t="str">
        <f>IF(E736="","",IF(COUNTIF($E$2:E736,E736)&gt;1,"",SUMIFS(tbl_input[필요수량],tbl_input[집계키_지청],E736)))</f>
        <v/>
      </c>
      <c r="E736" t="str">
        <f>IFERROR(INDEX(tbl_input[집계키_지청],ROW()-1),"")</f>
        <v/>
      </c>
      <c r="F736" t="str">
        <f t="shared" si="58"/>
        <v/>
      </c>
      <c r="G736" t="str">
        <f t="shared" si="59"/>
        <v/>
      </c>
    </row>
    <row r="737" spans="1:7" x14ac:dyDescent="0.4">
      <c r="A737" t="str">
        <f t="shared" si="55"/>
        <v/>
      </c>
      <c r="B737" t="str">
        <f t="shared" si="56"/>
        <v/>
      </c>
      <c r="C737" t="str">
        <f t="shared" si="57"/>
        <v/>
      </c>
      <c r="D737" t="str">
        <f>IF(E737="","",IF(COUNTIF($E$2:E737,E737)&gt;1,"",SUMIFS(tbl_input[필요수량],tbl_input[집계키_지청],E737)))</f>
        <v/>
      </c>
      <c r="E737" t="str">
        <f>IFERROR(INDEX(tbl_input[집계키_지청],ROW()-1),"")</f>
        <v/>
      </c>
      <c r="F737" t="str">
        <f t="shared" si="58"/>
        <v/>
      </c>
      <c r="G737" t="str">
        <f t="shared" si="59"/>
        <v/>
      </c>
    </row>
    <row r="738" spans="1:7" x14ac:dyDescent="0.4">
      <c r="A738" t="str">
        <f t="shared" si="55"/>
        <v/>
      </c>
      <c r="B738" t="str">
        <f t="shared" si="56"/>
        <v/>
      </c>
      <c r="C738" t="str">
        <f t="shared" si="57"/>
        <v/>
      </c>
      <c r="D738" t="str">
        <f>IF(E738="","",IF(COUNTIF($E$2:E738,E738)&gt;1,"",SUMIFS(tbl_input[필요수량],tbl_input[집계키_지청],E738)))</f>
        <v/>
      </c>
      <c r="E738" t="str">
        <f>IFERROR(INDEX(tbl_input[집계키_지청],ROW()-1),"")</f>
        <v/>
      </c>
      <c r="F738" t="str">
        <f t="shared" si="58"/>
        <v/>
      </c>
      <c r="G738" t="str">
        <f t="shared" si="59"/>
        <v/>
      </c>
    </row>
    <row r="739" spans="1:7" x14ac:dyDescent="0.4">
      <c r="A739" t="str">
        <f t="shared" si="55"/>
        <v/>
      </c>
      <c r="B739" t="str">
        <f t="shared" si="56"/>
        <v/>
      </c>
      <c r="C739" t="str">
        <f t="shared" si="57"/>
        <v/>
      </c>
      <c r="D739" t="str">
        <f>IF(E739="","",IF(COUNTIF($E$2:E739,E739)&gt;1,"",SUMIFS(tbl_input[필요수량],tbl_input[집계키_지청],E739)))</f>
        <v/>
      </c>
      <c r="E739" t="str">
        <f>IFERROR(INDEX(tbl_input[집계키_지청],ROW()-1),"")</f>
        <v/>
      </c>
      <c r="F739" t="str">
        <f t="shared" si="58"/>
        <v/>
      </c>
      <c r="G739" t="str">
        <f t="shared" si="59"/>
        <v/>
      </c>
    </row>
    <row r="740" spans="1:7" x14ac:dyDescent="0.4">
      <c r="A740" t="str">
        <f t="shared" si="55"/>
        <v/>
      </c>
      <c r="B740" t="str">
        <f t="shared" si="56"/>
        <v/>
      </c>
      <c r="C740" t="str">
        <f t="shared" si="57"/>
        <v/>
      </c>
      <c r="D740" t="str">
        <f>IF(E740="","",IF(COUNTIF($E$2:E740,E740)&gt;1,"",SUMIFS(tbl_input[필요수량],tbl_input[집계키_지청],E740)))</f>
        <v/>
      </c>
      <c r="E740" t="str">
        <f>IFERROR(INDEX(tbl_input[집계키_지청],ROW()-1),"")</f>
        <v/>
      </c>
      <c r="F740" t="str">
        <f t="shared" si="58"/>
        <v/>
      </c>
      <c r="G740" t="str">
        <f t="shared" si="59"/>
        <v/>
      </c>
    </row>
    <row r="741" spans="1:7" x14ac:dyDescent="0.4">
      <c r="A741" t="str">
        <f t="shared" si="55"/>
        <v/>
      </c>
      <c r="B741" t="str">
        <f t="shared" si="56"/>
        <v/>
      </c>
      <c r="C741" t="str">
        <f t="shared" si="57"/>
        <v/>
      </c>
      <c r="D741" t="str">
        <f>IF(E741="","",IF(COUNTIF($E$2:E741,E741)&gt;1,"",SUMIFS(tbl_input[필요수량],tbl_input[집계키_지청],E741)))</f>
        <v/>
      </c>
      <c r="E741" t="str">
        <f>IFERROR(INDEX(tbl_input[집계키_지청],ROW()-1),"")</f>
        <v/>
      </c>
      <c r="F741" t="str">
        <f t="shared" si="58"/>
        <v/>
      </c>
      <c r="G741" t="str">
        <f t="shared" si="59"/>
        <v/>
      </c>
    </row>
    <row r="742" spans="1:7" x14ac:dyDescent="0.4">
      <c r="A742" t="str">
        <f t="shared" si="55"/>
        <v/>
      </c>
      <c r="B742" t="str">
        <f t="shared" si="56"/>
        <v/>
      </c>
      <c r="C742" t="str">
        <f t="shared" si="57"/>
        <v/>
      </c>
      <c r="D742" t="str">
        <f>IF(E742="","",IF(COUNTIF($E$2:E742,E742)&gt;1,"",SUMIFS(tbl_input[필요수량],tbl_input[집계키_지청],E742)))</f>
        <v/>
      </c>
      <c r="E742" t="str">
        <f>IFERROR(INDEX(tbl_input[집계키_지청],ROW()-1),"")</f>
        <v/>
      </c>
      <c r="F742" t="str">
        <f t="shared" si="58"/>
        <v/>
      </c>
      <c r="G742" t="str">
        <f t="shared" si="59"/>
        <v/>
      </c>
    </row>
    <row r="743" spans="1:7" x14ac:dyDescent="0.4">
      <c r="A743" t="str">
        <f t="shared" si="55"/>
        <v/>
      </c>
      <c r="B743" t="str">
        <f t="shared" si="56"/>
        <v/>
      </c>
      <c r="C743" t="str">
        <f t="shared" si="57"/>
        <v/>
      </c>
      <c r="D743" t="str">
        <f>IF(E743="","",IF(COUNTIF($E$2:E743,E743)&gt;1,"",SUMIFS(tbl_input[필요수량],tbl_input[집계키_지청],E743)))</f>
        <v/>
      </c>
      <c r="E743" t="str">
        <f>IFERROR(INDEX(tbl_input[집계키_지청],ROW()-1),"")</f>
        <v/>
      </c>
      <c r="F743" t="str">
        <f t="shared" si="58"/>
        <v/>
      </c>
      <c r="G743" t="str">
        <f t="shared" si="59"/>
        <v/>
      </c>
    </row>
    <row r="744" spans="1:7" x14ac:dyDescent="0.4">
      <c r="A744" t="str">
        <f t="shared" si="55"/>
        <v/>
      </c>
      <c r="B744" t="str">
        <f t="shared" si="56"/>
        <v/>
      </c>
      <c r="C744" t="str">
        <f t="shared" si="57"/>
        <v/>
      </c>
      <c r="D744" t="str">
        <f>IF(E744="","",IF(COUNTIF($E$2:E744,E744)&gt;1,"",SUMIFS(tbl_input[필요수량],tbl_input[집계키_지청],E744)))</f>
        <v/>
      </c>
      <c r="E744" t="str">
        <f>IFERROR(INDEX(tbl_input[집계키_지청],ROW()-1),"")</f>
        <v/>
      </c>
      <c r="F744" t="str">
        <f t="shared" si="58"/>
        <v/>
      </c>
      <c r="G744" t="str">
        <f t="shared" si="59"/>
        <v/>
      </c>
    </row>
    <row r="745" spans="1:7" x14ac:dyDescent="0.4">
      <c r="A745" t="str">
        <f t="shared" si="55"/>
        <v/>
      </c>
      <c r="B745" t="str">
        <f t="shared" si="56"/>
        <v/>
      </c>
      <c r="C745" t="str">
        <f t="shared" si="57"/>
        <v/>
      </c>
      <c r="D745" t="str">
        <f>IF(E745="","",IF(COUNTIF($E$2:E745,E745)&gt;1,"",SUMIFS(tbl_input[필요수량],tbl_input[집계키_지청],E745)))</f>
        <v/>
      </c>
      <c r="E745" t="str">
        <f>IFERROR(INDEX(tbl_input[집계키_지청],ROW()-1),"")</f>
        <v/>
      </c>
      <c r="F745" t="str">
        <f t="shared" si="58"/>
        <v/>
      </c>
      <c r="G745" t="str">
        <f t="shared" si="59"/>
        <v/>
      </c>
    </row>
    <row r="746" spans="1:7" x14ac:dyDescent="0.4">
      <c r="A746" t="str">
        <f t="shared" si="55"/>
        <v/>
      </c>
      <c r="B746" t="str">
        <f t="shared" si="56"/>
        <v/>
      </c>
      <c r="C746" t="str">
        <f t="shared" si="57"/>
        <v/>
      </c>
      <c r="D746" t="str">
        <f>IF(E746="","",IF(COUNTIF($E$2:E746,E746)&gt;1,"",SUMIFS(tbl_input[필요수량],tbl_input[집계키_지청],E746)))</f>
        <v/>
      </c>
      <c r="E746" t="str">
        <f>IFERROR(INDEX(tbl_input[집계키_지청],ROW()-1),"")</f>
        <v/>
      </c>
      <c r="F746" t="str">
        <f t="shared" si="58"/>
        <v/>
      </c>
      <c r="G746" t="str">
        <f t="shared" si="59"/>
        <v/>
      </c>
    </row>
    <row r="747" spans="1:7" x14ac:dyDescent="0.4">
      <c r="A747" t="str">
        <f t="shared" si="55"/>
        <v/>
      </c>
      <c r="B747" t="str">
        <f t="shared" si="56"/>
        <v/>
      </c>
      <c r="C747" t="str">
        <f t="shared" si="57"/>
        <v/>
      </c>
      <c r="D747" t="str">
        <f>IF(E747="","",IF(COUNTIF($E$2:E747,E747)&gt;1,"",SUMIFS(tbl_input[필요수량],tbl_input[집계키_지청],E747)))</f>
        <v/>
      </c>
      <c r="E747" t="str">
        <f>IFERROR(INDEX(tbl_input[집계키_지청],ROW()-1),"")</f>
        <v/>
      </c>
      <c r="F747" t="str">
        <f t="shared" si="58"/>
        <v/>
      </c>
      <c r="G747" t="str">
        <f t="shared" si="59"/>
        <v/>
      </c>
    </row>
    <row r="748" spans="1:7" x14ac:dyDescent="0.4">
      <c r="A748" t="str">
        <f t="shared" si="55"/>
        <v/>
      </c>
      <c r="B748" t="str">
        <f t="shared" si="56"/>
        <v/>
      </c>
      <c r="C748" t="str">
        <f t="shared" si="57"/>
        <v/>
      </c>
      <c r="D748" t="str">
        <f>IF(E748="","",IF(COUNTIF($E$2:E748,E748)&gt;1,"",SUMIFS(tbl_input[필요수량],tbl_input[집계키_지청],E748)))</f>
        <v/>
      </c>
      <c r="E748" t="str">
        <f>IFERROR(INDEX(tbl_input[집계키_지청],ROW()-1),"")</f>
        <v/>
      </c>
      <c r="F748" t="str">
        <f t="shared" si="58"/>
        <v/>
      </c>
      <c r="G748" t="str">
        <f t="shared" si="59"/>
        <v/>
      </c>
    </row>
    <row r="749" spans="1:7" x14ac:dyDescent="0.4">
      <c r="A749" t="str">
        <f t="shared" si="55"/>
        <v/>
      </c>
      <c r="B749" t="str">
        <f t="shared" si="56"/>
        <v/>
      </c>
      <c r="C749" t="str">
        <f t="shared" si="57"/>
        <v/>
      </c>
      <c r="D749" t="str">
        <f>IF(E749="","",IF(COUNTIF($E$2:E749,E749)&gt;1,"",SUMIFS(tbl_input[필요수량],tbl_input[집계키_지청],E749)))</f>
        <v/>
      </c>
      <c r="E749" t="str">
        <f>IFERROR(INDEX(tbl_input[집계키_지청],ROW()-1),"")</f>
        <v/>
      </c>
      <c r="F749" t="str">
        <f t="shared" si="58"/>
        <v/>
      </c>
      <c r="G749" t="str">
        <f t="shared" si="59"/>
        <v/>
      </c>
    </row>
    <row r="750" spans="1:7" x14ac:dyDescent="0.4">
      <c r="A750" t="str">
        <f t="shared" si="55"/>
        <v/>
      </c>
      <c r="B750" t="str">
        <f t="shared" si="56"/>
        <v/>
      </c>
      <c r="C750" t="str">
        <f t="shared" si="57"/>
        <v/>
      </c>
      <c r="D750" t="str">
        <f>IF(E750="","",IF(COUNTIF($E$2:E750,E750)&gt;1,"",SUMIFS(tbl_input[필요수량],tbl_input[집계키_지청],E750)))</f>
        <v/>
      </c>
      <c r="E750" t="str">
        <f>IFERROR(INDEX(tbl_input[집계키_지청],ROW()-1),"")</f>
        <v/>
      </c>
      <c r="F750" t="str">
        <f t="shared" si="58"/>
        <v/>
      </c>
      <c r="G750" t="str">
        <f t="shared" si="59"/>
        <v/>
      </c>
    </row>
    <row r="751" spans="1:7" x14ac:dyDescent="0.4">
      <c r="A751" t="str">
        <f t="shared" si="55"/>
        <v/>
      </c>
      <c r="B751" t="str">
        <f t="shared" si="56"/>
        <v/>
      </c>
      <c r="C751" t="str">
        <f t="shared" si="57"/>
        <v/>
      </c>
      <c r="D751" t="str">
        <f>IF(E751="","",IF(COUNTIF($E$2:E751,E751)&gt;1,"",SUMIFS(tbl_input[필요수량],tbl_input[집계키_지청],E751)))</f>
        <v/>
      </c>
      <c r="E751" t="str">
        <f>IFERROR(INDEX(tbl_input[집계키_지청],ROW()-1),"")</f>
        <v/>
      </c>
      <c r="F751" t="str">
        <f t="shared" si="58"/>
        <v/>
      </c>
      <c r="G751" t="str">
        <f t="shared" si="59"/>
        <v/>
      </c>
    </row>
    <row r="752" spans="1:7" x14ac:dyDescent="0.4">
      <c r="A752" t="str">
        <f t="shared" si="55"/>
        <v/>
      </c>
      <c r="B752" t="str">
        <f t="shared" si="56"/>
        <v/>
      </c>
      <c r="C752" t="str">
        <f t="shared" si="57"/>
        <v/>
      </c>
      <c r="D752" t="str">
        <f>IF(E752="","",IF(COUNTIF($E$2:E752,E752)&gt;1,"",SUMIFS(tbl_input[필요수량],tbl_input[집계키_지청],E752)))</f>
        <v/>
      </c>
      <c r="E752" t="str">
        <f>IFERROR(INDEX(tbl_input[집계키_지청],ROW()-1),"")</f>
        <v/>
      </c>
      <c r="F752" t="str">
        <f t="shared" si="58"/>
        <v/>
      </c>
      <c r="G752" t="str">
        <f t="shared" si="59"/>
        <v/>
      </c>
    </row>
    <row r="753" spans="1:7" x14ac:dyDescent="0.4">
      <c r="A753" t="str">
        <f t="shared" si="55"/>
        <v/>
      </c>
      <c r="B753" t="str">
        <f t="shared" si="56"/>
        <v/>
      </c>
      <c r="C753" t="str">
        <f t="shared" si="57"/>
        <v/>
      </c>
      <c r="D753" t="str">
        <f>IF(E753="","",IF(COUNTIF($E$2:E753,E753)&gt;1,"",SUMIFS(tbl_input[필요수량],tbl_input[집계키_지청],E753)))</f>
        <v/>
      </c>
      <c r="E753" t="str">
        <f>IFERROR(INDEX(tbl_input[집계키_지청],ROW()-1),"")</f>
        <v/>
      </c>
      <c r="F753" t="str">
        <f t="shared" si="58"/>
        <v/>
      </c>
      <c r="G753" t="str">
        <f t="shared" si="59"/>
        <v/>
      </c>
    </row>
    <row r="754" spans="1:7" x14ac:dyDescent="0.4">
      <c r="A754" t="str">
        <f t="shared" si="55"/>
        <v/>
      </c>
      <c r="B754" t="str">
        <f t="shared" si="56"/>
        <v/>
      </c>
      <c r="C754" t="str">
        <f t="shared" si="57"/>
        <v/>
      </c>
      <c r="D754" t="str">
        <f>IF(E754="","",IF(COUNTIF($E$2:E754,E754)&gt;1,"",SUMIFS(tbl_input[필요수량],tbl_input[집계키_지청],E754)))</f>
        <v/>
      </c>
      <c r="E754" t="str">
        <f>IFERROR(INDEX(tbl_input[집계키_지청],ROW()-1),"")</f>
        <v/>
      </c>
      <c r="F754" t="str">
        <f t="shared" si="58"/>
        <v/>
      </c>
      <c r="G754" t="str">
        <f t="shared" si="59"/>
        <v/>
      </c>
    </row>
    <row r="755" spans="1:7" x14ac:dyDescent="0.4">
      <c r="A755" t="str">
        <f t="shared" si="55"/>
        <v/>
      </c>
      <c r="B755" t="str">
        <f t="shared" si="56"/>
        <v/>
      </c>
      <c r="C755" t="str">
        <f t="shared" si="57"/>
        <v/>
      </c>
      <c r="D755" t="str">
        <f>IF(E755="","",IF(COUNTIF($E$2:E755,E755)&gt;1,"",SUMIFS(tbl_input[필요수량],tbl_input[집계키_지청],E755)))</f>
        <v/>
      </c>
      <c r="E755" t="str">
        <f>IFERROR(INDEX(tbl_input[집계키_지청],ROW()-1),"")</f>
        <v/>
      </c>
      <c r="F755" t="str">
        <f t="shared" si="58"/>
        <v/>
      </c>
      <c r="G755" t="str">
        <f t="shared" si="59"/>
        <v/>
      </c>
    </row>
    <row r="756" spans="1:7" x14ac:dyDescent="0.4">
      <c r="A756" t="str">
        <f t="shared" si="55"/>
        <v/>
      </c>
      <c r="B756" t="str">
        <f t="shared" si="56"/>
        <v/>
      </c>
      <c r="C756" t="str">
        <f t="shared" si="57"/>
        <v/>
      </c>
      <c r="D756" t="str">
        <f>IF(E756="","",IF(COUNTIF($E$2:E756,E756)&gt;1,"",SUMIFS(tbl_input[필요수량],tbl_input[집계키_지청],E756)))</f>
        <v/>
      </c>
      <c r="E756" t="str">
        <f>IFERROR(INDEX(tbl_input[집계키_지청],ROW()-1),"")</f>
        <v/>
      </c>
      <c r="F756" t="str">
        <f t="shared" si="58"/>
        <v/>
      </c>
      <c r="G756" t="str">
        <f t="shared" si="59"/>
        <v/>
      </c>
    </row>
    <row r="757" spans="1:7" x14ac:dyDescent="0.4">
      <c r="A757" t="str">
        <f t="shared" si="55"/>
        <v/>
      </c>
      <c r="B757" t="str">
        <f t="shared" si="56"/>
        <v/>
      </c>
      <c r="C757" t="str">
        <f t="shared" si="57"/>
        <v/>
      </c>
      <c r="D757" t="str">
        <f>IF(E757="","",IF(COUNTIF($E$2:E757,E757)&gt;1,"",SUMIFS(tbl_input[필요수량],tbl_input[집계키_지청],E757)))</f>
        <v/>
      </c>
      <c r="E757" t="str">
        <f>IFERROR(INDEX(tbl_input[집계키_지청],ROW()-1),"")</f>
        <v/>
      </c>
      <c r="F757" t="str">
        <f t="shared" si="58"/>
        <v/>
      </c>
      <c r="G757" t="str">
        <f t="shared" si="59"/>
        <v/>
      </c>
    </row>
    <row r="758" spans="1:7" x14ac:dyDescent="0.4">
      <c r="A758" t="str">
        <f t="shared" si="55"/>
        <v/>
      </c>
      <c r="B758" t="str">
        <f t="shared" si="56"/>
        <v/>
      </c>
      <c r="C758" t="str">
        <f t="shared" si="57"/>
        <v/>
      </c>
      <c r="D758" t="str">
        <f>IF(E758="","",IF(COUNTIF($E$2:E758,E758)&gt;1,"",SUMIFS(tbl_input[필요수량],tbl_input[집계키_지청],E758)))</f>
        <v/>
      </c>
      <c r="E758" t="str">
        <f>IFERROR(INDEX(tbl_input[집계키_지청],ROW()-1),"")</f>
        <v/>
      </c>
      <c r="F758" t="str">
        <f t="shared" si="58"/>
        <v/>
      </c>
      <c r="G758" t="str">
        <f t="shared" si="59"/>
        <v/>
      </c>
    </row>
    <row r="759" spans="1:7" x14ac:dyDescent="0.4">
      <c r="A759" t="str">
        <f t="shared" si="55"/>
        <v/>
      </c>
      <c r="B759" t="str">
        <f t="shared" si="56"/>
        <v/>
      </c>
      <c r="C759" t="str">
        <f t="shared" si="57"/>
        <v/>
      </c>
      <c r="D759" t="str">
        <f>IF(E759="","",IF(COUNTIF($E$2:E759,E759)&gt;1,"",SUMIFS(tbl_input[필요수량],tbl_input[집계키_지청],E759)))</f>
        <v/>
      </c>
      <c r="E759" t="str">
        <f>IFERROR(INDEX(tbl_input[집계키_지청],ROW()-1),"")</f>
        <v/>
      </c>
      <c r="F759" t="str">
        <f t="shared" si="58"/>
        <v/>
      </c>
      <c r="G759" t="str">
        <f t="shared" si="59"/>
        <v/>
      </c>
    </row>
    <row r="760" spans="1:7" x14ac:dyDescent="0.4">
      <c r="A760" t="str">
        <f t="shared" si="55"/>
        <v/>
      </c>
      <c r="B760" t="str">
        <f t="shared" si="56"/>
        <v/>
      </c>
      <c r="C760" t="str">
        <f t="shared" si="57"/>
        <v/>
      </c>
      <c r="D760" t="str">
        <f>IF(E760="","",IF(COUNTIF($E$2:E760,E760)&gt;1,"",SUMIFS(tbl_input[필요수량],tbl_input[집계키_지청],E760)))</f>
        <v/>
      </c>
      <c r="E760" t="str">
        <f>IFERROR(INDEX(tbl_input[집계키_지청],ROW()-1),"")</f>
        <v/>
      </c>
      <c r="F760" t="str">
        <f t="shared" si="58"/>
        <v/>
      </c>
      <c r="G760" t="str">
        <f t="shared" si="59"/>
        <v/>
      </c>
    </row>
    <row r="761" spans="1:7" x14ac:dyDescent="0.4">
      <c r="A761" t="str">
        <f t="shared" si="55"/>
        <v/>
      </c>
      <c r="B761" t="str">
        <f t="shared" si="56"/>
        <v/>
      </c>
      <c r="C761" t="str">
        <f t="shared" si="57"/>
        <v/>
      </c>
      <c r="D761" t="str">
        <f>IF(E761="","",IF(COUNTIF($E$2:E761,E761)&gt;1,"",SUMIFS(tbl_input[필요수량],tbl_input[집계키_지청],E761)))</f>
        <v/>
      </c>
      <c r="E761" t="str">
        <f>IFERROR(INDEX(tbl_input[집계키_지청],ROW()-1),"")</f>
        <v/>
      </c>
      <c r="F761" t="str">
        <f t="shared" si="58"/>
        <v/>
      </c>
      <c r="G761" t="str">
        <f t="shared" si="59"/>
        <v/>
      </c>
    </row>
    <row r="762" spans="1:7" x14ac:dyDescent="0.4">
      <c r="A762" t="str">
        <f t="shared" si="55"/>
        <v/>
      </c>
      <c r="B762" t="str">
        <f t="shared" si="56"/>
        <v/>
      </c>
      <c r="C762" t="str">
        <f t="shared" si="57"/>
        <v/>
      </c>
      <c r="D762" t="str">
        <f>IF(E762="","",IF(COUNTIF($E$2:E762,E762)&gt;1,"",SUMIFS(tbl_input[필요수량],tbl_input[집계키_지청],E762)))</f>
        <v/>
      </c>
      <c r="E762" t="str">
        <f>IFERROR(INDEX(tbl_input[집계키_지청],ROW()-1),"")</f>
        <v/>
      </c>
      <c r="F762" t="str">
        <f t="shared" si="58"/>
        <v/>
      </c>
      <c r="G762" t="str">
        <f t="shared" si="59"/>
        <v/>
      </c>
    </row>
    <row r="763" spans="1:7" x14ac:dyDescent="0.4">
      <c r="A763" t="str">
        <f t="shared" si="55"/>
        <v/>
      </c>
      <c r="B763" t="str">
        <f t="shared" si="56"/>
        <v/>
      </c>
      <c r="C763" t="str">
        <f t="shared" si="57"/>
        <v/>
      </c>
      <c r="D763" t="str">
        <f>IF(E763="","",IF(COUNTIF($E$2:E763,E763)&gt;1,"",SUMIFS(tbl_input[필요수량],tbl_input[집계키_지청],E763)))</f>
        <v/>
      </c>
      <c r="E763" t="str">
        <f>IFERROR(INDEX(tbl_input[집계키_지청],ROW()-1),"")</f>
        <v/>
      </c>
      <c r="F763" t="str">
        <f t="shared" si="58"/>
        <v/>
      </c>
      <c r="G763" t="str">
        <f t="shared" si="59"/>
        <v/>
      </c>
    </row>
    <row r="764" spans="1:7" x14ac:dyDescent="0.4">
      <c r="A764" t="str">
        <f t="shared" si="55"/>
        <v/>
      </c>
      <c r="B764" t="str">
        <f t="shared" si="56"/>
        <v/>
      </c>
      <c r="C764" t="str">
        <f t="shared" si="57"/>
        <v/>
      </c>
      <c r="D764" t="str">
        <f>IF(E764="","",IF(COUNTIF($E$2:E764,E764)&gt;1,"",SUMIFS(tbl_input[필요수량],tbl_input[집계키_지청],E764)))</f>
        <v/>
      </c>
      <c r="E764" t="str">
        <f>IFERROR(INDEX(tbl_input[집계키_지청],ROW()-1),"")</f>
        <v/>
      </c>
      <c r="F764" t="str">
        <f t="shared" si="58"/>
        <v/>
      </c>
      <c r="G764" t="str">
        <f t="shared" si="59"/>
        <v/>
      </c>
    </row>
    <row r="765" spans="1:7" x14ac:dyDescent="0.4">
      <c r="A765" t="str">
        <f t="shared" si="55"/>
        <v/>
      </c>
      <c r="B765" t="str">
        <f t="shared" si="56"/>
        <v/>
      </c>
      <c r="C765" t="str">
        <f t="shared" si="57"/>
        <v/>
      </c>
      <c r="D765" t="str">
        <f>IF(E765="","",IF(COUNTIF($E$2:E765,E765)&gt;1,"",SUMIFS(tbl_input[필요수량],tbl_input[집계키_지청],E765)))</f>
        <v/>
      </c>
      <c r="E765" t="str">
        <f>IFERROR(INDEX(tbl_input[집계키_지청],ROW()-1),"")</f>
        <v/>
      </c>
      <c r="F765" t="str">
        <f t="shared" si="58"/>
        <v/>
      </c>
      <c r="G765" t="str">
        <f t="shared" si="59"/>
        <v/>
      </c>
    </row>
    <row r="766" spans="1:7" x14ac:dyDescent="0.4">
      <c r="A766" t="str">
        <f t="shared" si="55"/>
        <v/>
      </c>
      <c r="B766" t="str">
        <f t="shared" si="56"/>
        <v/>
      </c>
      <c r="C766" t="str">
        <f t="shared" si="57"/>
        <v/>
      </c>
      <c r="D766" t="str">
        <f>IF(E766="","",IF(COUNTIF($E$2:E766,E766)&gt;1,"",SUMIFS(tbl_input[필요수량],tbl_input[집계키_지청],E766)))</f>
        <v/>
      </c>
      <c r="E766" t="str">
        <f>IFERROR(INDEX(tbl_input[집계키_지청],ROW()-1),"")</f>
        <v/>
      </c>
      <c r="F766" t="str">
        <f t="shared" si="58"/>
        <v/>
      </c>
      <c r="G766" t="str">
        <f t="shared" si="59"/>
        <v/>
      </c>
    </row>
    <row r="767" spans="1:7" x14ac:dyDescent="0.4">
      <c r="A767" t="str">
        <f t="shared" si="55"/>
        <v/>
      </c>
      <c r="B767" t="str">
        <f t="shared" si="56"/>
        <v/>
      </c>
      <c r="C767" t="str">
        <f t="shared" si="57"/>
        <v/>
      </c>
      <c r="D767" t="str">
        <f>IF(E767="","",IF(COUNTIF($E$2:E767,E767)&gt;1,"",SUMIFS(tbl_input[필요수량],tbl_input[집계키_지청],E767)))</f>
        <v/>
      </c>
      <c r="E767" t="str">
        <f>IFERROR(INDEX(tbl_input[집계키_지청],ROW()-1),"")</f>
        <v/>
      </c>
      <c r="F767" t="str">
        <f t="shared" si="58"/>
        <v/>
      </c>
      <c r="G767" t="str">
        <f t="shared" si="59"/>
        <v/>
      </c>
    </row>
    <row r="768" spans="1:7" x14ac:dyDescent="0.4">
      <c r="A768" t="str">
        <f t="shared" si="55"/>
        <v/>
      </c>
      <c r="B768" t="str">
        <f t="shared" si="56"/>
        <v/>
      </c>
      <c r="C768" t="str">
        <f t="shared" si="57"/>
        <v/>
      </c>
      <c r="D768" t="str">
        <f>IF(E768="","",IF(COUNTIF($E$2:E768,E768)&gt;1,"",SUMIFS(tbl_input[필요수량],tbl_input[집계키_지청],E768)))</f>
        <v/>
      </c>
      <c r="E768" t="str">
        <f>IFERROR(INDEX(tbl_input[집계키_지청],ROW()-1),"")</f>
        <v/>
      </c>
      <c r="F768" t="str">
        <f t="shared" si="58"/>
        <v/>
      </c>
      <c r="G768" t="str">
        <f t="shared" si="59"/>
        <v/>
      </c>
    </row>
    <row r="769" spans="1:7" x14ac:dyDescent="0.4">
      <c r="A769" t="str">
        <f t="shared" si="55"/>
        <v/>
      </c>
      <c r="B769" t="str">
        <f t="shared" si="56"/>
        <v/>
      </c>
      <c r="C769" t="str">
        <f t="shared" si="57"/>
        <v/>
      </c>
      <c r="D769" t="str">
        <f>IF(E769="","",IF(COUNTIF($E$2:E769,E769)&gt;1,"",SUMIFS(tbl_input[필요수량],tbl_input[집계키_지청],E769)))</f>
        <v/>
      </c>
      <c r="E769" t="str">
        <f>IFERROR(INDEX(tbl_input[집계키_지청],ROW()-1),"")</f>
        <v/>
      </c>
      <c r="F769" t="str">
        <f t="shared" si="58"/>
        <v/>
      </c>
      <c r="G769" t="str">
        <f t="shared" si="59"/>
        <v/>
      </c>
    </row>
    <row r="770" spans="1:7" x14ac:dyDescent="0.4">
      <c r="A770" t="str">
        <f t="shared" ref="A770:A833" si="60">IF(E770="","",LEFT(E770,F770-1))</f>
        <v/>
      </c>
      <c r="B770" t="str">
        <f t="shared" ref="B770:B833" si="61">IF(E770="","",MID(E770,F770+1,G770-F770-1))</f>
        <v/>
      </c>
      <c r="C770" t="str">
        <f t="shared" ref="C770:C833" si="62">IF(E770="","",MID(E770,G770+1,999))</f>
        <v/>
      </c>
      <c r="D770" t="str">
        <f>IF(E770="","",IF(COUNTIF($E$2:E770,E770)&gt;1,"",SUMIFS(tbl_input[필요수량],tbl_input[집계키_지청],E770)))</f>
        <v/>
      </c>
      <c r="E770" t="str">
        <f>IFERROR(INDEX(tbl_input[집계키_지청],ROW()-1),"")</f>
        <v/>
      </c>
      <c r="F770" t="str">
        <f t="shared" ref="F770:F833" si="63">IF(E770="","",FIND("♦",E770))</f>
        <v/>
      </c>
      <c r="G770" t="str">
        <f t="shared" ref="G770:G833" si="64">IF(E770="","",FIND("♦",E770,F770+1))</f>
        <v/>
      </c>
    </row>
    <row r="771" spans="1:7" x14ac:dyDescent="0.4">
      <c r="A771" t="str">
        <f t="shared" si="60"/>
        <v/>
      </c>
      <c r="B771" t="str">
        <f t="shared" si="61"/>
        <v/>
      </c>
      <c r="C771" t="str">
        <f t="shared" si="62"/>
        <v/>
      </c>
      <c r="D771" t="str">
        <f>IF(E771="","",IF(COUNTIF($E$2:E771,E771)&gt;1,"",SUMIFS(tbl_input[필요수량],tbl_input[집계키_지청],E771)))</f>
        <v/>
      </c>
      <c r="E771" t="str">
        <f>IFERROR(INDEX(tbl_input[집계키_지청],ROW()-1),"")</f>
        <v/>
      </c>
      <c r="F771" t="str">
        <f t="shared" si="63"/>
        <v/>
      </c>
      <c r="G771" t="str">
        <f t="shared" si="64"/>
        <v/>
      </c>
    </row>
    <row r="772" spans="1:7" x14ac:dyDescent="0.4">
      <c r="A772" t="str">
        <f t="shared" si="60"/>
        <v/>
      </c>
      <c r="B772" t="str">
        <f t="shared" si="61"/>
        <v/>
      </c>
      <c r="C772" t="str">
        <f t="shared" si="62"/>
        <v/>
      </c>
      <c r="D772" t="str">
        <f>IF(E772="","",IF(COUNTIF($E$2:E772,E772)&gt;1,"",SUMIFS(tbl_input[필요수량],tbl_input[집계키_지청],E772)))</f>
        <v/>
      </c>
      <c r="E772" t="str">
        <f>IFERROR(INDEX(tbl_input[집계키_지청],ROW()-1),"")</f>
        <v/>
      </c>
      <c r="F772" t="str">
        <f t="shared" si="63"/>
        <v/>
      </c>
      <c r="G772" t="str">
        <f t="shared" si="64"/>
        <v/>
      </c>
    </row>
    <row r="773" spans="1:7" x14ac:dyDescent="0.4">
      <c r="A773" t="str">
        <f t="shared" si="60"/>
        <v/>
      </c>
      <c r="B773" t="str">
        <f t="shared" si="61"/>
        <v/>
      </c>
      <c r="C773" t="str">
        <f t="shared" si="62"/>
        <v/>
      </c>
      <c r="D773" t="str">
        <f>IF(E773="","",IF(COUNTIF($E$2:E773,E773)&gt;1,"",SUMIFS(tbl_input[필요수량],tbl_input[집계키_지청],E773)))</f>
        <v/>
      </c>
      <c r="E773" t="str">
        <f>IFERROR(INDEX(tbl_input[집계키_지청],ROW()-1),"")</f>
        <v/>
      </c>
      <c r="F773" t="str">
        <f t="shared" si="63"/>
        <v/>
      </c>
      <c r="G773" t="str">
        <f t="shared" si="64"/>
        <v/>
      </c>
    </row>
    <row r="774" spans="1:7" x14ac:dyDescent="0.4">
      <c r="A774" t="str">
        <f t="shared" si="60"/>
        <v/>
      </c>
      <c r="B774" t="str">
        <f t="shared" si="61"/>
        <v/>
      </c>
      <c r="C774" t="str">
        <f t="shared" si="62"/>
        <v/>
      </c>
      <c r="D774" t="str">
        <f>IF(E774="","",IF(COUNTIF($E$2:E774,E774)&gt;1,"",SUMIFS(tbl_input[필요수량],tbl_input[집계키_지청],E774)))</f>
        <v/>
      </c>
      <c r="E774" t="str">
        <f>IFERROR(INDEX(tbl_input[집계키_지청],ROW()-1),"")</f>
        <v/>
      </c>
      <c r="F774" t="str">
        <f t="shared" si="63"/>
        <v/>
      </c>
      <c r="G774" t="str">
        <f t="shared" si="64"/>
        <v/>
      </c>
    </row>
    <row r="775" spans="1:7" x14ac:dyDescent="0.4">
      <c r="A775" t="str">
        <f t="shared" si="60"/>
        <v/>
      </c>
      <c r="B775" t="str">
        <f t="shared" si="61"/>
        <v/>
      </c>
      <c r="C775" t="str">
        <f t="shared" si="62"/>
        <v/>
      </c>
      <c r="D775" t="str">
        <f>IF(E775="","",IF(COUNTIF($E$2:E775,E775)&gt;1,"",SUMIFS(tbl_input[필요수량],tbl_input[집계키_지청],E775)))</f>
        <v/>
      </c>
      <c r="E775" t="str">
        <f>IFERROR(INDEX(tbl_input[집계키_지청],ROW()-1),"")</f>
        <v/>
      </c>
      <c r="F775" t="str">
        <f t="shared" si="63"/>
        <v/>
      </c>
      <c r="G775" t="str">
        <f t="shared" si="64"/>
        <v/>
      </c>
    </row>
    <row r="776" spans="1:7" x14ac:dyDescent="0.4">
      <c r="A776" t="str">
        <f t="shared" si="60"/>
        <v/>
      </c>
      <c r="B776" t="str">
        <f t="shared" si="61"/>
        <v/>
      </c>
      <c r="C776" t="str">
        <f t="shared" si="62"/>
        <v/>
      </c>
      <c r="D776" t="str">
        <f>IF(E776="","",IF(COUNTIF($E$2:E776,E776)&gt;1,"",SUMIFS(tbl_input[필요수량],tbl_input[집계키_지청],E776)))</f>
        <v/>
      </c>
      <c r="E776" t="str">
        <f>IFERROR(INDEX(tbl_input[집계키_지청],ROW()-1),"")</f>
        <v/>
      </c>
      <c r="F776" t="str">
        <f t="shared" si="63"/>
        <v/>
      </c>
      <c r="G776" t="str">
        <f t="shared" si="64"/>
        <v/>
      </c>
    </row>
    <row r="777" spans="1:7" x14ac:dyDescent="0.4">
      <c r="A777" t="str">
        <f t="shared" si="60"/>
        <v/>
      </c>
      <c r="B777" t="str">
        <f t="shared" si="61"/>
        <v/>
      </c>
      <c r="C777" t="str">
        <f t="shared" si="62"/>
        <v/>
      </c>
      <c r="D777" t="str">
        <f>IF(E777="","",IF(COUNTIF($E$2:E777,E777)&gt;1,"",SUMIFS(tbl_input[필요수량],tbl_input[집계키_지청],E777)))</f>
        <v/>
      </c>
      <c r="E777" t="str">
        <f>IFERROR(INDEX(tbl_input[집계키_지청],ROW()-1),"")</f>
        <v/>
      </c>
      <c r="F777" t="str">
        <f t="shared" si="63"/>
        <v/>
      </c>
      <c r="G777" t="str">
        <f t="shared" si="64"/>
        <v/>
      </c>
    </row>
    <row r="778" spans="1:7" x14ac:dyDescent="0.4">
      <c r="A778" t="str">
        <f t="shared" si="60"/>
        <v/>
      </c>
      <c r="B778" t="str">
        <f t="shared" si="61"/>
        <v/>
      </c>
      <c r="C778" t="str">
        <f t="shared" si="62"/>
        <v/>
      </c>
      <c r="D778" t="str">
        <f>IF(E778="","",IF(COUNTIF($E$2:E778,E778)&gt;1,"",SUMIFS(tbl_input[필요수량],tbl_input[집계키_지청],E778)))</f>
        <v/>
      </c>
      <c r="E778" t="str">
        <f>IFERROR(INDEX(tbl_input[집계키_지청],ROW()-1),"")</f>
        <v/>
      </c>
      <c r="F778" t="str">
        <f t="shared" si="63"/>
        <v/>
      </c>
      <c r="G778" t="str">
        <f t="shared" si="64"/>
        <v/>
      </c>
    </row>
    <row r="779" spans="1:7" x14ac:dyDescent="0.4">
      <c r="A779" t="str">
        <f t="shared" si="60"/>
        <v/>
      </c>
      <c r="B779" t="str">
        <f t="shared" si="61"/>
        <v/>
      </c>
      <c r="C779" t="str">
        <f t="shared" si="62"/>
        <v/>
      </c>
      <c r="D779" t="str">
        <f>IF(E779="","",IF(COUNTIF($E$2:E779,E779)&gt;1,"",SUMIFS(tbl_input[필요수량],tbl_input[집계키_지청],E779)))</f>
        <v/>
      </c>
      <c r="E779" t="str">
        <f>IFERROR(INDEX(tbl_input[집계키_지청],ROW()-1),"")</f>
        <v/>
      </c>
      <c r="F779" t="str">
        <f t="shared" si="63"/>
        <v/>
      </c>
      <c r="G779" t="str">
        <f t="shared" si="64"/>
        <v/>
      </c>
    </row>
    <row r="780" spans="1:7" x14ac:dyDescent="0.4">
      <c r="A780" t="str">
        <f t="shared" si="60"/>
        <v/>
      </c>
      <c r="B780" t="str">
        <f t="shared" si="61"/>
        <v/>
      </c>
      <c r="C780" t="str">
        <f t="shared" si="62"/>
        <v/>
      </c>
      <c r="D780" t="str">
        <f>IF(E780="","",IF(COUNTIF($E$2:E780,E780)&gt;1,"",SUMIFS(tbl_input[필요수량],tbl_input[집계키_지청],E780)))</f>
        <v/>
      </c>
      <c r="E780" t="str">
        <f>IFERROR(INDEX(tbl_input[집계키_지청],ROW()-1),"")</f>
        <v/>
      </c>
      <c r="F780" t="str">
        <f t="shared" si="63"/>
        <v/>
      </c>
      <c r="G780" t="str">
        <f t="shared" si="64"/>
        <v/>
      </c>
    </row>
    <row r="781" spans="1:7" x14ac:dyDescent="0.4">
      <c r="A781" t="str">
        <f t="shared" si="60"/>
        <v/>
      </c>
      <c r="B781" t="str">
        <f t="shared" si="61"/>
        <v/>
      </c>
      <c r="C781" t="str">
        <f t="shared" si="62"/>
        <v/>
      </c>
      <c r="D781" t="str">
        <f>IF(E781="","",IF(COUNTIF($E$2:E781,E781)&gt;1,"",SUMIFS(tbl_input[필요수량],tbl_input[집계키_지청],E781)))</f>
        <v/>
      </c>
      <c r="E781" t="str">
        <f>IFERROR(INDEX(tbl_input[집계키_지청],ROW()-1),"")</f>
        <v/>
      </c>
      <c r="F781" t="str">
        <f t="shared" si="63"/>
        <v/>
      </c>
      <c r="G781" t="str">
        <f t="shared" si="64"/>
        <v/>
      </c>
    </row>
    <row r="782" spans="1:7" x14ac:dyDescent="0.4">
      <c r="A782" t="str">
        <f t="shared" si="60"/>
        <v/>
      </c>
      <c r="B782" t="str">
        <f t="shared" si="61"/>
        <v/>
      </c>
      <c r="C782" t="str">
        <f t="shared" si="62"/>
        <v/>
      </c>
      <c r="D782" t="str">
        <f>IF(E782="","",IF(COUNTIF($E$2:E782,E782)&gt;1,"",SUMIFS(tbl_input[필요수량],tbl_input[집계키_지청],E782)))</f>
        <v/>
      </c>
      <c r="E782" t="str">
        <f>IFERROR(INDEX(tbl_input[집계키_지청],ROW()-1),"")</f>
        <v/>
      </c>
      <c r="F782" t="str">
        <f t="shared" si="63"/>
        <v/>
      </c>
      <c r="G782" t="str">
        <f t="shared" si="64"/>
        <v/>
      </c>
    </row>
    <row r="783" spans="1:7" x14ac:dyDescent="0.4">
      <c r="A783" t="str">
        <f t="shared" si="60"/>
        <v/>
      </c>
      <c r="B783" t="str">
        <f t="shared" si="61"/>
        <v/>
      </c>
      <c r="C783" t="str">
        <f t="shared" si="62"/>
        <v/>
      </c>
      <c r="D783" t="str">
        <f>IF(E783="","",IF(COUNTIF($E$2:E783,E783)&gt;1,"",SUMIFS(tbl_input[필요수량],tbl_input[집계키_지청],E783)))</f>
        <v/>
      </c>
      <c r="E783" t="str">
        <f>IFERROR(INDEX(tbl_input[집계키_지청],ROW()-1),"")</f>
        <v/>
      </c>
      <c r="F783" t="str">
        <f t="shared" si="63"/>
        <v/>
      </c>
      <c r="G783" t="str">
        <f t="shared" si="64"/>
        <v/>
      </c>
    </row>
    <row r="784" spans="1:7" x14ac:dyDescent="0.4">
      <c r="A784" t="str">
        <f t="shared" si="60"/>
        <v/>
      </c>
      <c r="B784" t="str">
        <f t="shared" si="61"/>
        <v/>
      </c>
      <c r="C784" t="str">
        <f t="shared" si="62"/>
        <v/>
      </c>
      <c r="D784" t="str">
        <f>IF(E784="","",IF(COUNTIF($E$2:E784,E784)&gt;1,"",SUMIFS(tbl_input[필요수량],tbl_input[집계키_지청],E784)))</f>
        <v/>
      </c>
      <c r="E784" t="str">
        <f>IFERROR(INDEX(tbl_input[집계키_지청],ROW()-1),"")</f>
        <v/>
      </c>
      <c r="F784" t="str">
        <f t="shared" si="63"/>
        <v/>
      </c>
      <c r="G784" t="str">
        <f t="shared" si="64"/>
        <v/>
      </c>
    </row>
    <row r="785" spans="1:7" x14ac:dyDescent="0.4">
      <c r="A785" t="str">
        <f t="shared" si="60"/>
        <v/>
      </c>
      <c r="B785" t="str">
        <f t="shared" si="61"/>
        <v/>
      </c>
      <c r="C785" t="str">
        <f t="shared" si="62"/>
        <v/>
      </c>
      <c r="D785" t="str">
        <f>IF(E785="","",IF(COUNTIF($E$2:E785,E785)&gt;1,"",SUMIFS(tbl_input[필요수량],tbl_input[집계키_지청],E785)))</f>
        <v/>
      </c>
      <c r="E785" t="str">
        <f>IFERROR(INDEX(tbl_input[집계키_지청],ROW()-1),"")</f>
        <v/>
      </c>
      <c r="F785" t="str">
        <f t="shared" si="63"/>
        <v/>
      </c>
      <c r="G785" t="str">
        <f t="shared" si="64"/>
        <v/>
      </c>
    </row>
    <row r="786" spans="1:7" x14ac:dyDescent="0.4">
      <c r="A786" t="str">
        <f t="shared" si="60"/>
        <v/>
      </c>
      <c r="B786" t="str">
        <f t="shared" si="61"/>
        <v/>
      </c>
      <c r="C786" t="str">
        <f t="shared" si="62"/>
        <v/>
      </c>
      <c r="D786" t="str">
        <f>IF(E786="","",IF(COUNTIF($E$2:E786,E786)&gt;1,"",SUMIFS(tbl_input[필요수량],tbl_input[집계키_지청],E786)))</f>
        <v/>
      </c>
      <c r="E786" t="str">
        <f>IFERROR(INDEX(tbl_input[집계키_지청],ROW()-1),"")</f>
        <v/>
      </c>
      <c r="F786" t="str">
        <f t="shared" si="63"/>
        <v/>
      </c>
      <c r="G786" t="str">
        <f t="shared" si="64"/>
        <v/>
      </c>
    </row>
    <row r="787" spans="1:7" x14ac:dyDescent="0.4">
      <c r="A787" t="str">
        <f t="shared" si="60"/>
        <v/>
      </c>
      <c r="B787" t="str">
        <f t="shared" si="61"/>
        <v/>
      </c>
      <c r="C787" t="str">
        <f t="shared" si="62"/>
        <v/>
      </c>
      <c r="D787" t="str">
        <f>IF(E787="","",IF(COUNTIF($E$2:E787,E787)&gt;1,"",SUMIFS(tbl_input[필요수량],tbl_input[집계키_지청],E787)))</f>
        <v/>
      </c>
      <c r="E787" t="str">
        <f>IFERROR(INDEX(tbl_input[집계키_지청],ROW()-1),"")</f>
        <v/>
      </c>
      <c r="F787" t="str">
        <f t="shared" si="63"/>
        <v/>
      </c>
      <c r="G787" t="str">
        <f t="shared" si="64"/>
        <v/>
      </c>
    </row>
    <row r="788" spans="1:7" x14ac:dyDescent="0.4">
      <c r="A788" t="str">
        <f t="shared" si="60"/>
        <v/>
      </c>
      <c r="B788" t="str">
        <f t="shared" si="61"/>
        <v/>
      </c>
      <c r="C788" t="str">
        <f t="shared" si="62"/>
        <v/>
      </c>
      <c r="D788" t="str">
        <f>IF(E788="","",IF(COUNTIF($E$2:E788,E788)&gt;1,"",SUMIFS(tbl_input[필요수량],tbl_input[집계키_지청],E788)))</f>
        <v/>
      </c>
      <c r="E788" t="str">
        <f>IFERROR(INDEX(tbl_input[집계키_지청],ROW()-1),"")</f>
        <v/>
      </c>
      <c r="F788" t="str">
        <f t="shared" si="63"/>
        <v/>
      </c>
      <c r="G788" t="str">
        <f t="shared" si="64"/>
        <v/>
      </c>
    </row>
    <row r="789" spans="1:7" x14ac:dyDescent="0.4">
      <c r="A789" t="str">
        <f t="shared" si="60"/>
        <v/>
      </c>
      <c r="B789" t="str">
        <f t="shared" si="61"/>
        <v/>
      </c>
      <c r="C789" t="str">
        <f t="shared" si="62"/>
        <v/>
      </c>
      <c r="D789" t="str">
        <f>IF(E789="","",IF(COUNTIF($E$2:E789,E789)&gt;1,"",SUMIFS(tbl_input[필요수량],tbl_input[집계키_지청],E789)))</f>
        <v/>
      </c>
      <c r="E789" t="str">
        <f>IFERROR(INDEX(tbl_input[집계키_지청],ROW()-1),"")</f>
        <v/>
      </c>
      <c r="F789" t="str">
        <f t="shared" si="63"/>
        <v/>
      </c>
      <c r="G789" t="str">
        <f t="shared" si="64"/>
        <v/>
      </c>
    </row>
    <row r="790" spans="1:7" x14ac:dyDescent="0.4">
      <c r="A790" t="str">
        <f t="shared" si="60"/>
        <v/>
      </c>
      <c r="B790" t="str">
        <f t="shared" si="61"/>
        <v/>
      </c>
      <c r="C790" t="str">
        <f t="shared" si="62"/>
        <v/>
      </c>
      <c r="D790" t="str">
        <f>IF(E790="","",IF(COUNTIF($E$2:E790,E790)&gt;1,"",SUMIFS(tbl_input[필요수량],tbl_input[집계키_지청],E790)))</f>
        <v/>
      </c>
      <c r="E790" t="str">
        <f>IFERROR(INDEX(tbl_input[집계키_지청],ROW()-1),"")</f>
        <v/>
      </c>
      <c r="F790" t="str">
        <f t="shared" si="63"/>
        <v/>
      </c>
      <c r="G790" t="str">
        <f t="shared" si="64"/>
        <v/>
      </c>
    </row>
    <row r="791" spans="1:7" x14ac:dyDescent="0.4">
      <c r="A791" t="str">
        <f t="shared" si="60"/>
        <v/>
      </c>
      <c r="B791" t="str">
        <f t="shared" si="61"/>
        <v/>
      </c>
      <c r="C791" t="str">
        <f t="shared" si="62"/>
        <v/>
      </c>
      <c r="D791" t="str">
        <f>IF(E791="","",IF(COUNTIF($E$2:E791,E791)&gt;1,"",SUMIFS(tbl_input[필요수량],tbl_input[집계키_지청],E791)))</f>
        <v/>
      </c>
      <c r="E791" t="str">
        <f>IFERROR(INDEX(tbl_input[집계키_지청],ROW()-1),"")</f>
        <v/>
      </c>
      <c r="F791" t="str">
        <f t="shared" si="63"/>
        <v/>
      </c>
      <c r="G791" t="str">
        <f t="shared" si="64"/>
        <v/>
      </c>
    </row>
    <row r="792" spans="1:7" x14ac:dyDescent="0.4">
      <c r="A792" t="str">
        <f t="shared" si="60"/>
        <v/>
      </c>
      <c r="B792" t="str">
        <f t="shared" si="61"/>
        <v/>
      </c>
      <c r="C792" t="str">
        <f t="shared" si="62"/>
        <v/>
      </c>
      <c r="D792" t="str">
        <f>IF(E792="","",IF(COUNTIF($E$2:E792,E792)&gt;1,"",SUMIFS(tbl_input[필요수량],tbl_input[집계키_지청],E792)))</f>
        <v/>
      </c>
      <c r="E792" t="str">
        <f>IFERROR(INDEX(tbl_input[집계키_지청],ROW()-1),"")</f>
        <v/>
      </c>
      <c r="F792" t="str">
        <f t="shared" si="63"/>
        <v/>
      </c>
      <c r="G792" t="str">
        <f t="shared" si="64"/>
        <v/>
      </c>
    </row>
    <row r="793" spans="1:7" x14ac:dyDescent="0.4">
      <c r="A793" t="str">
        <f t="shared" si="60"/>
        <v/>
      </c>
      <c r="B793" t="str">
        <f t="shared" si="61"/>
        <v/>
      </c>
      <c r="C793" t="str">
        <f t="shared" si="62"/>
        <v/>
      </c>
      <c r="D793" t="str">
        <f>IF(E793="","",IF(COUNTIF($E$2:E793,E793)&gt;1,"",SUMIFS(tbl_input[필요수량],tbl_input[집계키_지청],E793)))</f>
        <v/>
      </c>
      <c r="E793" t="str">
        <f>IFERROR(INDEX(tbl_input[집계키_지청],ROW()-1),"")</f>
        <v/>
      </c>
      <c r="F793" t="str">
        <f t="shared" si="63"/>
        <v/>
      </c>
      <c r="G793" t="str">
        <f t="shared" si="64"/>
        <v/>
      </c>
    </row>
    <row r="794" spans="1:7" x14ac:dyDescent="0.4">
      <c r="A794" t="str">
        <f t="shared" si="60"/>
        <v/>
      </c>
      <c r="B794" t="str">
        <f t="shared" si="61"/>
        <v/>
      </c>
      <c r="C794" t="str">
        <f t="shared" si="62"/>
        <v/>
      </c>
      <c r="D794" t="str">
        <f>IF(E794="","",IF(COUNTIF($E$2:E794,E794)&gt;1,"",SUMIFS(tbl_input[필요수량],tbl_input[집계키_지청],E794)))</f>
        <v/>
      </c>
      <c r="E794" t="str">
        <f>IFERROR(INDEX(tbl_input[집계키_지청],ROW()-1),"")</f>
        <v/>
      </c>
      <c r="F794" t="str">
        <f t="shared" si="63"/>
        <v/>
      </c>
      <c r="G794" t="str">
        <f t="shared" si="64"/>
        <v/>
      </c>
    </row>
    <row r="795" spans="1:7" x14ac:dyDescent="0.4">
      <c r="A795" t="str">
        <f t="shared" si="60"/>
        <v/>
      </c>
      <c r="B795" t="str">
        <f t="shared" si="61"/>
        <v/>
      </c>
      <c r="C795" t="str">
        <f t="shared" si="62"/>
        <v/>
      </c>
      <c r="D795" t="str">
        <f>IF(E795="","",IF(COUNTIF($E$2:E795,E795)&gt;1,"",SUMIFS(tbl_input[필요수량],tbl_input[집계키_지청],E795)))</f>
        <v/>
      </c>
      <c r="E795" t="str">
        <f>IFERROR(INDEX(tbl_input[집계키_지청],ROW()-1),"")</f>
        <v/>
      </c>
      <c r="F795" t="str">
        <f t="shared" si="63"/>
        <v/>
      </c>
      <c r="G795" t="str">
        <f t="shared" si="64"/>
        <v/>
      </c>
    </row>
    <row r="796" spans="1:7" x14ac:dyDescent="0.4">
      <c r="A796" t="str">
        <f t="shared" si="60"/>
        <v/>
      </c>
      <c r="B796" t="str">
        <f t="shared" si="61"/>
        <v/>
      </c>
      <c r="C796" t="str">
        <f t="shared" si="62"/>
        <v/>
      </c>
      <c r="D796" t="str">
        <f>IF(E796="","",IF(COUNTIF($E$2:E796,E796)&gt;1,"",SUMIFS(tbl_input[필요수량],tbl_input[집계키_지청],E796)))</f>
        <v/>
      </c>
      <c r="E796" t="str">
        <f>IFERROR(INDEX(tbl_input[집계키_지청],ROW()-1),"")</f>
        <v/>
      </c>
      <c r="F796" t="str">
        <f t="shared" si="63"/>
        <v/>
      </c>
      <c r="G796" t="str">
        <f t="shared" si="64"/>
        <v/>
      </c>
    </row>
    <row r="797" spans="1:7" x14ac:dyDescent="0.4">
      <c r="A797" t="str">
        <f t="shared" si="60"/>
        <v/>
      </c>
      <c r="B797" t="str">
        <f t="shared" si="61"/>
        <v/>
      </c>
      <c r="C797" t="str">
        <f t="shared" si="62"/>
        <v/>
      </c>
      <c r="D797" t="str">
        <f>IF(E797="","",IF(COUNTIF($E$2:E797,E797)&gt;1,"",SUMIFS(tbl_input[필요수량],tbl_input[집계키_지청],E797)))</f>
        <v/>
      </c>
      <c r="E797" t="str">
        <f>IFERROR(INDEX(tbl_input[집계키_지청],ROW()-1),"")</f>
        <v/>
      </c>
      <c r="F797" t="str">
        <f t="shared" si="63"/>
        <v/>
      </c>
      <c r="G797" t="str">
        <f t="shared" si="64"/>
        <v/>
      </c>
    </row>
    <row r="798" spans="1:7" x14ac:dyDescent="0.4">
      <c r="A798" t="str">
        <f t="shared" si="60"/>
        <v/>
      </c>
      <c r="B798" t="str">
        <f t="shared" si="61"/>
        <v/>
      </c>
      <c r="C798" t="str">
        <f t="shared" si="62"/>
        <v/>
      </c>
      <c r="D798" t="str">
        <f>IF(E798="","",IF(COUNTIF($E$2:E798,E798)&gt;1,"",SUMIFS(tbl_input[필요수량],tbl_input[집계키_지청],E798)))</f>
        <v/>
      </c>
      <c r="E798" t="str">
        <f>IFERROR(INDEX(tbl_input[집계키_지청],ROW()-1),"")</f>
        <v/>
      </c>
      <c r="F798" t="str">
        <f t="shared" si="63"/>
        <v/>
      </c>
      <c r="G798" t="str">
        <f t="shared" si="64"/>
        <v/>
      </c>
    </row>
    <row r="799" spans="1:7" x14ac:dyDescent="0.4">
      <c r="A799" t="str">
        <f t="shared" si="60"/>
        <v/>
      </c>
      <c r="B799" t="str">
        <f t="shared" si="61"/>
        <v/>
      </c>
      <c r="C799" t="str">
        <f t="shared" si="62"/>
        <v/>
      </c>
      <c r="D799" t="str">
        <f>IF(E799="","",IF(COUNTIF($E$2:E799,E799)&gt;1,"",SUMIFS(tbl_input[필요수량],tbl_input[집계키_지청],E799)))</f>
        <v/>
      </c>
      <c r="E799" t="str">
        <f>IFERROR(INDEX(tbl_input[집계키_지청],ROW()-1),"")</f>
        <v/>
      </c>
      <c r="F799" t="str">
        <f t="shared" si="63"/>
        <v/>
      </c>
      <c r="G799" t="str">
        <f t="shared" si="64"/>
        <v/>
      </c>
    </row>
    <row r="800" spans="1:7" x14ac:dyDescent="0.4">
      <c r="A800" t="str">
        <f t="shared" si="60"/>
        <v/>
      </c>
      <c r="B800" t="str">
        <f t="shared" si="61"/>
        <v/>
      </c>
      <c r="C800" t="str">
        <f t="shared" si="62"/>
        <v/>
      </c>
      <c r="D800" t="str">
        <f>IF(E800="","",IF(COUNTIF($E$2:E800,E800)&gt;1,"",SUMIFS(tbl_input[필요수량],tbl_input[집계키_지청],E800)))</f>
        <v/>
      </c>
      <c r="E800" t="str">
        <f>IFERROR(INDEX(tbl_input[집계키_지청],ROW()-1),"")</f>
        <v/>
      </c>
      <c r="F800" t="str">
        <f t="shared" si="63"/>
        <v/>
      </c>
      <c r="G800" t="str">
        <f t="shared" si="64"/>
        <v/>
      </c>
    </row>
    <row r="801" spans="1:7" x14ac:dyDescent="0.4">
      <c r="A801" t="str">
        <f t="shared" si="60"/>
        <v/>
      </c>
      <c r="B801" t="str">
        <f t="shared" si="61"/>
        <v/>
      </c>
      <c r="C801" t="str">
        <f t="shared" si="62"/>
        <v/>
      </c>
      <c r="D801" t="str">
        <f>IF(E801="","",IF(COUNTIF($E$2:E801,E801)&gt;1,"",SUMIFS(tbl_input[필요수량],tbl_input[집계키_지청],E801)))</f>
        <v/>
      </c>
      <c r="E801" t="str">
        <f>IFERROR(INDEX(tbl_input[집계키_지청],ROW()-1),"")</f>
        <v/>
      </c>
      <c r="F801" t="str">
        <f t="shared" si="63"/>
        <v/>
      </c>
      <c r="G801" t="str">
        <f t="shared" si="64"/>
        <v/>
      </c>
    </row>
    <row r="802" spans="1:7" x14ac:dyDescent="0.4">
      <c r="A802" t="str">
        <f t="shared" si="60"/>
        <v/>
      </c>
      <c r="B802" t="str">
        <f t="shared" si="61"/>
        <v/>
      </c>
      <c r="C802" t="str">
        <f t="shared" si="62"/>
        <v/>
      </c>
      <c r="D802" t="str">
        <f>IF(E802="","",IF(COUNTIF($E$2:E802,E802)&gt;1,"",SUMIFS(tbl_input[필요수량],tbl_input[집계키_지청],E802)))</f>
        <v/>
      </c>
      <c r="E802" t="str">
        <f>IFERROR(INDEX(tbl_input[집계키_지청],ROW()-1),"")</f>
        <v/>
      </c>
      <c r="F802" t="str">
        <f t="shared" si="63"/>
        <v/>
      </c>
      <c r="G802" t="str">
        <f t="shared" si="64"/>
        <v/>
      </c>
    </row>
    <row r="803" spans="1:7" x14ac:dyDescent="0.4">
      <c r="A803" t="str">
        <f t="shared" si="60"/>
        <v/>
      </c>
      <c r="B803" t="str">
        <f t="shared" si="61"/>
        <v/>
      </c>
      <c r="C803" t="str">
        <f t="shared" si="62"/>
        <v/>
      </c>
      <c r="D803" t="str">
        <f>IF(E803="","",IF(COUNTIF($E$2:E803,E803)&gt;1,"",SUMIFS(tbl_input[필요수량],tbl_input[집계키_지청],E803)))</f>
        <v/>
      </c>
      <c r="E803" t="str">
        <f>IFERROR(INDEX(tbl_input[집계키_지청],ROW()-1),"")</f>
        <v/>
      </c>
      <c r="F803" t="str">
        <f t="shared" si="63"/>
        <v/>
      </c>
      <c r="G803" t="str">
        <f t="shared" si="64"/>
        <v/>
      </c>
    </row>
    <row r="804" spans="1:7" x14ac:dyDescent="0.4">
      <c r="A804" t="str">
        <f t="shared" si="60"/>
        <v/>
      </c>
      <c r="B804" t="str">
        <f t="shared" si="61"/>
        <v/>
      </c>
      <c r="C804" t="str">
        <f t="shared" si="62"/>
        <v/>
      </c>
      <c r="D804" t="str">
        <f>IF(E804="","",IF(COUNTIF($E$2:E804,E804)&gt;1,"",SUMIFS(tbl_input[필요수량],tbl_input[집계키_지청],E804)))</f>
        <v/>
      </c>
      <c r="E804" t="str">
        <f>IFERROR(INDEX(tbl_input[집계키_지청],ROW()-1),"")</f>
        <v/>
      </c>
      <c r="F804" t="str">
        <f t="shared" si="63"/>
        <v/>
      </c>
      <c r="G804" t="str">
        <f t="shared" si="64"/>
        <v/>
      </c>
    </row>
    <row r="805" spans="1:7" x14ac:dyDescent="0.4">
      <c r="A805" t="str">
        <f t="shared" si="60"/>
        <v/>
      </c>
      <c r="B805" t="str">
        <f t="shared" si="61"/>
        <v/>
      </c>
      <c r="C805" t="str">
        <f t="shared" si="62"/>
        <v/>
      </c>
      <c r="D805" t="str">
        <f>IF(E805="","",IF(COUNTIF($E$2:E805,E805)&gt;1,"",SUMIFS(tbl_input[필요수량],tbl_input[집계키_지청],E805)))</f>
        <v/>
      </c>
      <c r="E805" t="str">
        <f>IFERROR(INDEX(tbl_input[집계키_지청],ROW()-1),"")</f>
        <v/>
      </c>
      <c r="F805" t="str">
        <f t="shared" si="63"/>
        <v/>
      </c>
      <c r="G805" t="str">
        <f t="shared" si="64"/>
        <v/>
      </c>
    </row>
    <row r="806" spans="1:7" x14ac:dyDescent="0.4">
      <c r="A806" t="str">
        <f t="shared" si="60"/>
        <v/>
      </c>
      <c r="B806" t="str">
        <f t="shared" si="61"/>
        <v/>
      </c>
      <c r="C806" t="str">
        <f t="shared" si="62"/>
        <v/>
      </c>
      <c r="D806" t="str">
        <f>IF(E806="","",IF(COUNTIF($E$2:E806,E806)&gt;1,"",SUMIFS(tbl_input[필요수량],tbl_input[집계키_지청],E806)))</f>
        <v/>
      </c>
      <c r="E806" t="str">
        <f>IFERROR(INDEX(tbl_input[집계키_지청],ROW()-1),"")</f>
        <v/>
      </c>
      <c r="F806" t="str">
        <f t="shared" si="63"/>
        <v/>
      </c>
      <c r="G806" t="str">
        <f t="shared" si="64"/>
        <v/>
      </c>
    </row>
    <row r="807" spans="1:7" x14ac:dyDescent="0.4">
      <c r="A807" t="str">
        <f t="shared" si="60"/>
        <v/>
      </c>
      <c r="B807" t="str">
        <f t="shared" si="61"/>
        <v/>
      </c>
      <c r="C807" t="str">
        <f t="shared" si="62"/>
        <v/>
      </c>
      <c r="D807" t="str">
        <f>IF(E807="","",IF(COUNTIF($E$2:E807,E807)&gt;1,"",SUMIFS(tbl_input[필요수량],tbl_input[집계키_지청],E807)))</f>
        <v/>
      </c>
      <c r="E807" t="str">
        <f>IFERROR(INDEX(tbl_input[집계키_지청],ROW()-1),"")</f>
        <v/>
      </c>
      <c r="F807" t="str">
        <f t="shared" si="63"/>
        <v/>
      </c>
      <c r="G807" t="str">
        <f t="shared" si="64"/>
        <v/>
      </c>
    </row>
    <row r="808" spans="1:7" x14ac:dyDescent="0.4">
      <c r="A808" t="str">
        <f t="shared" si="60"/>
        <v/>
      </c>
      <c r="B808" t="str">
        <f t="shared" si="61"/>
        <v/>
      </c>
      <c r="C808" t="str">
        <f t="shared" si="62"/>
        <v/>
      </c>
      <c r="D808" t="str">
        <f>IF(E808="","",IF(COUNTIF($E$2:E808,E808)&gt;1,"",SUMIFS(tbl_input[필요수량],tbl_input[집계키_지청],E808)))</f>
        <v/>
      </c>
      <c r="E808" t="str">
        <f>IFERROR(INDEX(tbl_input[집계키_지청],ROW()-1),"")</f>
        <v/>
      </c>
      <c r="F808" t="str">
        <f t="shared" si="63"/>
        <v/>
      </c>
      <c r="G808" t="str">
        <f t="shared" si="64"/>
        <v/>
      </c>
    </row>
    <row r="809" spans="1:7" x14ac:dyDescent="0.4">
      <c r="A809" t="str">
        <f t="shared" si="60"/>
        <v/>
      </c>
      <c r="B809" t="str">
        <f t="shared" si="61"/>
        <v/>
      </c>
      <c r="C809" t="str">
        <f t="shared" si="62"/>
        <v/>
      </c>
      <c r="D809" t="str">
        <f>IF(E809="","",IF(COUNTIF($E$2:E809,E809)&gt;1,"",SUMIFS(tbl_input[필요수량],tbl_input[집계키_지청],E809)))</f>
        <v/>
      </c>
      <c r="E809" t="str">
        <f>IFERROR(INDEX(tbl_input[집계키_지청],ROW()-1),"")</f>
        <v/>
      </c>
      <c r="F809" t="str">
        <f t="shared" si="63"/>
        <v/>
      </c>
      <c r="G809" t="str">
        <f t="shared" si="64"/>
        <v/>
      </c>
    </row>
    <row r="810" spans="1:7" x14ac:dyDescent="0.4">
      <c r="A810" t="str">
        <f t="shared" si="60"/>
        <v/>
      </c>
      <c r="B810" t="str">
        <f t="shared" si="61"/>
        <v/>
      </c>
      <c r="C810" t="str">
        <f t="shared" si="62"/>
        <v/>
      </c>
      <c r="D810" t="str">
        <f>IF(E810="","",IF(COUNTIF($E$2:E810,E810)&gt;1,"",SUMIFS(tbl_input[필요수량],tbl_input[집계키_지청],E810)))</f>
        <v/>
      </c>
      <c r="E810" t="str">
        <f>IFERROR(INDEX(tbl_input[집계키_지청],ROW()-1),"")</f>
        <v/>
      </c>
      <c r="F810" t="str">
        <f t="shared" si="63"/>
        <v/>
      </c>
      <c r="G810" t="str">
        <f t="shared" si="64"/>
        <v/>
      </c>
    </row>
    <row r="811" spans="1:7" x14ac:dyDescent="0.4">
      <c r="A811" t="str">
        <f t="shared" si="60"/>
        <v/>
      </c>
      <c r="B811" t="str">
        <f t="shared" si="61"/>
        <v/>
      </c>
      <c r="C811" t="str">
        <f t="shared" si="62"/>
        <v/>
      </c>
      <c r="D811" t="str">
        <f>IF(E811="","",IF(COUNTIF($E$2:E811,E811)&gt;1,"",SUMIFS(tbl_input[필요수량],tbl_input[집계키_지청],E811)))</f>
        <v/>
      </c>
      <c r="E811" t="str">
        <f>IFERROR(INDEX(tbl_input[집계키_지청],ROW()-1),"")</f>
        <v/>
      </c>
      <c r="F811" t="str">
        <f t="shared" si="63"/>
        <v/>
      </c>
      <c r="G811" t="str">
        <f t="shared" si="64"/>
        <v/>
      </c>
    </row>
    <row r="812" spans="1:7" x14ac:dyDescent="0.4">
      <c r="A812" t="str">
        <f t="shared" si="60"/>
        <v/>
      </c>
      <c r="B812" t="str">
        <f t="shared" si="61"/>
        <v/>
      </c>
      <c r="C812" t="str">
        <f t="shared" si="62"/>
        <v/>
      </c>
      <c r="D812" t="str">
        <f>IF(E812="","",IF(COUNTIF($E$2:E812,E812)&gt;1,"",SUMIFS(tbl_input[필요수량],tbl_input[집계키_지청],E812)))</f>
        <v/>
      </c>
      <c r="E812" t="str">
        <f>IFERROR(INDEX(tbl_input[집계키_지청],ROW()-1),"")</f>
        <v/>
      </c>
      <c r="F812" t="str">
        <f t="shared" si="63"/>
        <v/>
      </c>
      <c r="G812" t="str">
        <f t="shared" si="64"/>
        <v/>
      </c>
    </row>
    <row r="813" spans="1:7" x14ac:dyDescent="0.4">
      <c r="A813" t="str">
        <f t="shared" si="60"/>
        <v/>
      </c>
      <c r="B813" t="str">
        <f t="shared" si="61"/>
        <v/>
      </c>
      <c r="C813" t="str">
        <f t="shared" si="62"/>
        <v/>
      </c>
      <c r="D813" t="str">
        <f>IF(E813="","",IF(COUNTIF($E$2:E813,E813)&gt;1,"",SUMIFS(tbl_input[필요수량],tbl_input[집계키_지청],E813)))</f>
        <v/>
      </c>
      <c r="E813" t="str">
        <f>IFERROR(INDEX(tbl_input[집계키_지청],ROW()-1),"")</f>
        <v/>
      </c>
      <c r="F813" t="str">
        <f t="shared" si="63"/>
        <v/>
      </c>
      <c r="G813" t="str">
        <f t="shared" si="64"/>
        <v/>
      </c>
    </row>
    <row r="814" spans="1:7" x14ac:dyDescent="0.4">
      <c r="A814" t="str">
        <f t="shared" si="60"/>
        <v/>
      </c>
      <c r="B814" t="str">
        <f t="shared" si="61"/>
        <v/>
      </c>
      <c r="C814" t="str">
        <f t="shared" si="62"/>
        <v/>
      </c>
      <c r="D814" t="str">
        <f>IF(E814="","",IF(COUNTIF($E$2:E814,E814)&gt;1,"",SUMIFS(tbl_input[필요수량],tbl_input[집계키_지청],E814)))</f>
        <v/>
      </c>
      <c r="E814" t="str">
        <f>IFERROR(INDEX(tbl_input[집계키_지청],ROW()-1),"")</f>
        <v/>
      </c>
      <c r="F814" t="str">
        <f t="shared" si="63"/>
        <v/>
      </c>
      <c r="G814" t="str">
        <f t="shared" si="64"/>
        <v/>
      </c>
    </row>
    <row r="815" spans="1:7" x14ac:dyDescent="0.4">
      <c r="A815" t="str">
        <f t="shared" si="60"/>
        <v/>
      </c>
      <c r="B815" t="str">
        <f t="shared" si="61"/>
        <v/>
      </c>
      <c r="C815" t="str">
        <f t="shared" si="62"/>
        <v/>
      </c>
      <c r="D815" t="str">
        <f>IF(E815="","",IF(COUNTIF($E$2:E815,E815)&gt;1,"",SUMIFS(tbl_input[필요수량],tbl_input[집계키_지청],E815)))</f>
        <v/>
      </c>
      <c r="E815" t="str">
        <f>IFERROR(INDEX(tbl_input[집계키_지청],ROW()-1),"")</f>
        <v/>
      </c>
      <c r="F815" t="str">
        <f t="shared" si="63"/>
        <v/>
      </c>
      <c r="G815" t="str">
        <f t="shared" si="64"/>
        <v/>
      </c>
    </row>
    <row r="816" spans="1:7" x14ac:dyDescent="0.4">
      <c r="A816" t="str">
        <f t="shared" si="60"/>
        <v/>
      </c>
      <c r="B816" t="str">
        <f t="shared" si="61"/>
        <v/>
      </c>
      <c r="C816" t="str">
        <f t="shared" si="62"/>
        <v/>
      </c>
      <c r="D816" t="str">
        <f>IF(E816="","",IF(COUNTIF($E$2:E816,E816)&gt;1,"",SUMIFS(tbl_input[필요수량],tbl_input[집계키_지청],E816)))</f>
        <v/>
      </c>
      <c r="E816" t="str">
        <f>IFERROR(INDEX(tbl_input[집계키_지청],ROW()-1),"")</f>
        <v/>
      </c>
      <c r="F816" t="str">
        <f t="shared" si="63"/>
        <v/>
      </c>
      <c r="G816" t="str">
        <f t="shared" si="64"/>
        <v/>
      </c>
    </row>
    <row r="817" spans="1:7" x14ac:dyDescent="0.4">
      <c r="A817" t="str">
        <f t="shared" si="60"/>
        <v/>
      </c>
      <c r="B817" t="str">
        <f t="shared" si="61"/>
        <v/>
      </c>
      <c r="C817" t="str">
        <f t="shared" si="62"/>
        <v/>
      </c>
      <c r="D817" t="str">
        <f>IF(E817="","",IF(COUNTIF($E$2:E817,E817)&gt;1,"",SUMIFS(tbl_input[필요수량],tbl_input[집계키_지청],E817)))</f>
        <v/>
      </c>
      <c r="E817" t="str">
        <f>IFERROR(INDEX(tbl_input[집계키_지청],ROW()-1),"")</f>
        <v/>
      </c>
      <c r="F817" t="str">
        <f t="shared" si="63"/>
        <v/>
      </c>
      <c r="G817" t="str">
        <f t="shared" si="64"/>
        <v/>
      </c>
    </row>
    <row r="818" spans="1:7" x14ac:dyDescent="0.4">
      <c r="A818" t="str">
        <f t="shared" si="60"/>
        <v/>
      </c>
      <c r="B818" t="str">
        <f t="shared" si="61"/>
        <v/>
      </c>
      <c r="C818" t="str">
        <f t="shared" si="62"/>
        <v/>
      </c>
      <c r="D818" t="str">
        <f>IF(E818="","",IF(COUNTIF($E$2:E818,E818)&gt;1,"",SUMIFS(tbl_input[필요수량],tbl_input[집계키_지청],E818)))</f>
        <v/>
      </c>
      <c r="E818" t="str">
        <f>IFERROR(INDEX(tbl_input[집계키_지청],ROW()-1),"")</f>
        <v/>
      </c>
      <c r="F818" t="str">
        <f t="shared" si="63"/>
        <v/>
      </c>
      <c r="G818" t="str">
        <f t="shared" si="64"/>
        <v/>
      </c>
    </row>
    <row r="819" spans="1:7" x14ac:dyDescent="0.4">
      <c r="A819" t="str">
        <f t="shared" si="60"/>
        <v/>
      </c>
      <c r="B819" t="str">
        <f t="shared" si="61"/>
        <v/>
      </c>
      <c r="C819" t="str">
        <f t="shared" si="62"/>
        <v/>
      </c>
      <c r="D819" t="str">
        <f>IF(E819="","",IF(COUNTIF($E$2:E819,E819)&gt;1,"",SUMIFS(tbl_input[필요수량],tbl_input[집계키_지청],E819)))</f>
        <v/>
      </c>
      <c r="E819" t="str">
        <f>IFERROR(INDEX(tbl_input[집계키_지청],ROW()-1),"")</f>
        <v/>
      </c>
      <c r="F819" t="str">
        <f t="shared" si="63"/>
        <v/>
      </c>
      <c r="G819" t="str">
        <f t="shared" si="64"/>
        <v/>
      </c>
    </row>
    <row r="820" spans="1:7" x14ac:dyDescent="0.4">
      <c r="A820" t="str">
        <f t="shared" si="60"/>
        <v/>
      </c>
      <c r="B820" t="str">
        <f t="shared" si="61"/>
        <v/>
      </c>
      <c r="C820" t="str">
        <f t="shared" si="62"/>
        <v/>
      </c>
      <c r="D820" t="str">
        <f>IF(E820="","",IF(COUNTIF($E$2:E820,E820)&gt;1,"",SUMIFS(tbl_input[필요수량],tbl_input[집계키_지청],E820)))</f>
        <v/>
      </c>
      <c r="E820" t="str">
        <f>IFERROR(INDEX(tbl_input[집계키_지청],ROW()-1),"")</f>
        <v/>
      </c>
      <c r="F820" t="str">
        <f t="shared" si="63"/>
        <v/>
      </c>
      <c r="G820" t="str">
        <f t="shared" si="64"/>
        <v/>
      </c>
    </row>
    <row r="821" spans="1:7" x14ac:dyDescent="0.4">
      <c r="A821" t="str">
        <f t="shared" si="60"/>
        <v/>
      </c>
      <c r="B821" t="str">
        <f t="shared" si="61"/>
        <v/>
      </c>
      <c r="C821" t="str">
        <f t="shared" si="62"/>
        <v/>
      </c>
      <c r="D821" t="str">
        <f>IF(E821="","",IF(COUNTIF($E$2:E821,E821)&gt;1,"",SUMIFS(tbl_input[필요수량],tbl_input[집계키_지청],E821)))</f>
        <v/>
      </c>
      <c r="E821" t="str">
        <f>IFERROR(INDEX(tbl_input[집계키_지청],ROW()-1),"")</f>
        <v/>
      </c>
      <c r="F821" t="str">
        <f t="shared" si="63"/>
        <v/>
      </c>
      <c r="G821" t="str">
        <f t="shared" si="64"/>
        <v/>
      </c>
    </row>
    <row r="822" spans="1:7" x14ac:dyDescent="0.4">
      <c r="A822" t="str">
        <f t="shared" si="60"/>
        <v/>
      </c>
      <c r="B822" t="str">
        <f t="shared" si="61"/>
        <v/>
      </c>
      <c r="C822" t="str">
        <f t="shared" si="62"/>
        <v/>
      </c>
      <c r="D822" t="str">
        <f>IF(E822="","",IF(COUNTIF($E$2:E822,E822)&gt;1,"",SUMIFS(tbl_input[필요수량],tbl_input[집계키_지청],E822)))</f>
        <v/>
      </c>
      <c r="E822" t="str">
        <f>IFERROR(INDEX(tbl_input[집계키_지청],ROW()-1),"")</f>
        <v/>
      </c>
      <c r="F822" t="str">
        <f t="shared" si="63"/>
        <v/>
      </c>
      <c r="G822" t="str">
        <f t="shared" si="64"/>
        <v/>
      </c>
    </row>
    <row r="823" spans="1:7" x14ac:dyDescent="0.4">
      <c r="A823" t="str">
        <f t="shared" si="60"/>
        <v/>
      </c>
      <c r="B823" t="str">
        <f t="shared" si="61"/>
        <v/>
      </c>
      <c r="C823" t="str">
        <f t="shared" si="62"/>
        <v/>
      </c>
      <c r="D823" t="str">
        <f>IF(E823="","",IF(COUNTIF($E$2:E823,E823)&gt;1,"",SUMIFS(tbl_input[필요수량],tbl_input[집계키_지청],E823)))</f>
        <v/>
      </c>
      <c r="E823" t="str">
        <f>IFERROR(INDEX(tbl_input[집계키_지청],ROW()-1),"")</f>
        <v/>
      </c>
      <c r="F823" t="str">
        <f t="shared" si="63"/>
        <v/>
      </c>
      <c r="G823" t="str">
        <f t="shared" si="64"/>
        <v/>
      </c>
    </row>
    <row r="824" spans="1:7" x14ac:dyDescent="0.4">
      <c r="A824" t="str">
        <f t="shared" si="60"/>
        <v/>
      </c>
      <c r="B824" t="str">
        <f t="shared" si="61"/>
        <v/>
      </c>
      <c r="C824" t="str">
        <f t="shared" si="62"/>
        <v/>
      </c>
      <c r="D824" t="str">
        <f>IF(E824="","",IF(COUNTIF($E$2:E824,E824)&gt;1,"",SUMIFS(tbl_input[필요수량],tbl_input[집계키_지청],E824)))</f>
        <v/>
      </c>
      <c r="E824" t="str">
        <f>IFERROR(INDEX(tbl_input[집계키_지청],ROW()-1),"")</f>
        <v/>
      </c>
      <c r="F824" t="str">
        <f t="shared" si="63"/>
        <v/>
      </c>
      <c r="G824" t="str">
        <f t="shared" si="64"/>
        <v/>
      </c>
    </row>
    <row r="825" spans="1:7" x14ac:dyDescent="0.4">
      <c r="A825" t="str">
        <f t="shared" si="60"/>
        <v/>
      </c>
      <c r="B825" t="str">
        <f t="shared" si="61"/>
        <v/>
      </c>
      <c r="C825" t="str">
        <f t="shared" si="62"/>
        <v/>
      </c>
      <c r="D825" t="str">
        <f>IF(E825="","",IF(COUNTIF($E$2:E825,E825)&gt;1,"",SUMIFS(tbl_input[필요수량],tbl_input[집계키_지청],E825)))</f>
        <v/>
      </c>
      <c r="E825" t="str">
        <f>IFERROR(INDEX(tbl_input[집계키_지청],ROW()-1),"")</f>
        <v/>
      </c>
      <c r="F825" t="str">
        <f t="shared" si="63"/>
        <v/>
      </c>
      <c r="G825" t="str">
        <f t="shared" si="64"/>
        <v/>
      </c>
    </row>
    <row r="826" spans="1:7" x14ac:dyDescent="0.4">
      <c r="A826" t="str">
        <f t="shared" si="60"/>
        <v/>
      </c>
      <c r="B826" t="str">
        <f t="shared" si="61"/>
        <v/>
      </c>
      <c r="C826" t="str">
        <f t="shared" si="62"/>
        <v/>
      </c>
      <c r="D826" t="str">
        <f>IF(E826="","",IF(COUNTIF($E$2:E826,E826)&gt;1,"",SUMIFS(tbl_input[필요수량],tbl_input[집계키_지청],E826)))</f>
        <v/>
      </c>
      <c r="E826" t="str">
        <f>IFERROR(INDEX(tbl_input[집계키_지청],ROW()-1),"")</f>
        <v/>
      </c>
      <c r="F826" t="str">
        <f t="shared" si="63"/>
        <v/>
      </c>
      <c r="G826" t="str">
        <f t="shared" si="64"/>
        <v/>
      </c>
    </row>
    <row r="827" spans="1:7" x14ac:dyDescent="0.4">
      <c r="A827" t="str">
        <f t="shared" si="60"/>
        <v/>
      </c>
      <c r="B827" t="str">
        <f t="shared" si="61"/>
        <v/>
      </c>
      <c r="C827" t="str">
        <f t="shared" si="62"/>
        <v/>
      </c>
      <c r="D827" t="str">
        <f>IF(E827="","",IF(COUNTIF($E$2:E827,E827)&gt;1,"",SUMIFS(tbl_input[필요수량],tbl_input[집계키_지청],E827)))</f>
        <v/>
      </c>
      <c r="E827" t="str">
        <f>IFERROR(INDEX(tbl_input[집계키_지청],ROW()-1),"")</f>
        <v/>
      </c>
      <c r="F827" t="str">
        <f t="shared" si="63"/>
        <v/>
      </c>
      <c r="G827" t="str">
        <f t="shared" si="64"/>
        <v/>
      </c>
    </row>
    <row r="828" spans="1:7" x14ac:dyDescent="0.4">
      <c r="A828" t="str">
        <f t="shared" si="60"/>
        <v/>
      </c>
      <c r="B828" t="str">
        <f t="shared" si="61"/>
        <v/>
      </c>
      <c r="C828" t="str">
        <f t="shared" si="62"/>
        <v/>
      </c>
      <c r="D828" t="str">
        <f>IF(E828="","",IF(COUNTIF($E$2:E828,E828)&gt;1,"",SUMIFS(tbl_input[필요수량],tbl_input[집계키_지청],E828)))</f>
        <v/>
      </c>
      <c r="E828" t="str">
        <f>IFERROR(INDEX(tbl_input[집계키_지청],ROW()-1),"")</f>
        <v/>
      </c>
      <c r="F828" t="str">
        <f t="shared" si="63"/>
        <v/>
      </c>
      <c r="G828" t="str">
        <f t="shared" si="64"/>
        <v/>
      </c>
    </row>
    <row r="829" spans="1:7" x14ac:dyDescent="0.4">
      <c r="A829" t="str">
        <f t="shared" si="60"/>
        <v/>
      </c>
      <c r="B829" t="str">
        <f t="shared" si="61"/>
        <v/>
      </c>
      <c r="C829" t="str">
        <f t="shared" si="62"/>
        <v/>
      </c>
      <c r="D829" t="str">
        <f>IF(E829="","",IF(COUNTIF($E$2:E829,E829)&gt;1,"",SUMIFS(tbl_input[필요수량],tbl_input[집계키_지청],E829)))</f>
        <v/>
      </c>
      <c r="E829" t="str">
        <f>IFERROR(INDEX(tbl_input[집계키_지청],ROW()-1),"")</f>
        <v/>
      </c>
      <c r="F829" t="str">
        <f t="shared" si="63"/>
        <v/>
      </c>
      <c r="G829" t="str">
        <f t="shared" si="64"/>
        <v/>
      </c>
    </row>
    <row r="830" spans="1:7" x14ac:dyDescent="0.4">
      <c r="A830" t="str">
        <f t="shared" si="60"/>
        <v/>
      </c>
      <c r="B830" t="str">
        <f t="shared" si="61"/>
        <v/>
      </c>
      <c r="C830" t="str">
        <f t="shared" si="62"/>
        <v/>
      </c>
      <c r="D830" t="str">
        <f>IF(E830="","",IF(COUNTIF($E$2:E830,E830)&gt;1,"",SUMIFS(tbl_input[필요수량],tbl_input[집계키_지청],E830)))</f>
        <v/>
      </c>
      <c r="E830" t="str">
        <f>IFERROR(INDEX(tbl_input[집계키_지청],ROW()-1),"")</f>
        <v/>
      </c>
      <c r="F830" t="str">
        <f t="shared" si="63"/>
        <v/>
      </c>
      <c r="G830" t="str">
        <f t="shared" si="64"/>
        <v/>
      </c>
    </row>
    <row r="831" spans="1:7" x14ac:dyDescent="0.4">
      <c r="A831" t="str">
        <f t="shared" si="60"/>
        <v/>
      </c>
      <c r="B831" t="str">
        <f t="shared" si="61"/>
        <v/>
      </c>
      <c r="C831" t="str">
        <f t="shared" si="62"/>
        <v/>
      </c>
      <c r="D831" t="str">
        <f>IF(E831="","",IF(COUNTIF($E$2:E831,E831)&gt;1,"",SUMIFS(tbl_input[필요수량],tbl_input[집계키_지청],E831)))</f>
        <v/>
      </c>
      <c r="E831" t="str">
        <f>IFERROR(INDEX(tbl_input[집계키_지청],ROW()-1),"")</f>
        <v/>
      </c>
      <c r="F831" t="str">
        <f t="shared" si="63"/>
        <v/>
      </c>
      <c r="G831" t="str">
        <f t="shared" si="64"/>
        <v/>
      </c>
    </row>
    <row r="832" spans="1:7" x14ac:dyDescent="0.4">
      <c r="A832" t="str">
        <f t="shared" si="60"/>
        <v/>
      </c>
      <c r="B832" t="str">
        <f t="shared" si="61"/>
        <v/>
      </c>
      <c r="C832" t="str">
        <f t="shared" si="62"/>
        <v/>
      </c>
      <c r="D832" t="str">
        <f>IF(E832="","",IF(COUNTIF($E$2:E832,E832)&gt;1,"",SUMIFS(tbl_input[필요수량],tbl_input[집계키_지청],E832)))</f>
        <v/>
      </c>
      <c r="E832" t="str">
        <f>IFERROR(INDEX(tbl_input[집계키_지청],ROW()-1),"")</f>
        <v/>
      </c>
      <c r="F832" t="str">
        <f t="shared" si="63"/>
        <v/>
      </c>
      <c r="G832" t="str">
        <f t="shared" si="64"/>
        <v/>
      </c>
    </row>
    <row r="833" spans="1:7" x14ac:dyDescent="0.4">
      <c r="A833" t="str">
        <f t="shared" si="60"/>
        <v/>
      </c>
      <c r="B833" t="str">
        <f t="shared" si="61"/>
        <v/>
      </c>
      <c r="C833" t="str">
        <f t="shared" si="62"/>
        <v/>
      </c>
      <c r="D833" t="str">
        <f>IF(E833="","",IF(COUNTIF($E$2:E833,E833)&gt;1,"",SUMIFS(tbl_input[필요수량],tbl_input[집계키_지청],E833)))</f>
        <v/>
      </c>
      <c r="E833" t="str">
        <f>IFERROR(INDEX(tbl_input[집계키_지청],ROW()-1),"")</f>
        <v/>
      </c>
      <c r="F833" t="str">
        <f t="shared" si="63"/>
        <v/>
      </c>
      <c r="G833" t="str">
        <f t="shared" si="64"/>
        <v/>
      </c>
    </row>
    <row r="834" spans="1:7" x14ac:dyDescent="0.4">
      <c r="A834" t="str">
        <f t="shared" ref="A834:A897" si="65">IF(E834="","",LEFT(E834,F834-1))</f>
        <v/>
      </c>
      <c r="B834" t="str">
        <f t="shared" ref="B834:B897" si="66">IF(E834="","",MID(E834,F834+1,G834-F834-1))</f>
        <v/>
      </c>
      <c r="C834" t="str">
        <f t="shared" ref="C834:C897" si="67">IF(E834="","",MID(E834,G834+1,999))</f>
        <v/>
      </c>
      <c r="D834" t="str">
        <f>IF(E834="","",IF(COUNTIF($E$2:E834,E834)&gt;1,"",SUMIFS(tbl_input[필요수량],tbl_input[집계키_지청],E834)))</f>
        <v/>
      </c>
      <c r="E834" t="str">
        <f>IFERROR(INDEX(tbl_input[집계키_지청],ROW()-1),"")</f>
        <v/>
      </c>
      <c r="F834" t="str">
        <f t="shared" ref="F834:F897" si="68">IF(E834="","",FIND("♦",E834))</f>
        <v/>
      </c>
      <c r="G834" t="str">
        <f t="shared" ref="G834:G897" si="69">IF(E834="","",FIND("♦",E834,F834+1))</f>
        <v/>
      </c>
    </row>
    <row r="835" spans="1:7" x14ac:dyDescent="0.4">
      <c r="A835" t="str">
        <f t="shared" si="65"/>
        <v/>
      </c>
      <c r="B835" t="str">
        <f t="shared" si="66"/>
        <v/>
      </c>
      <c r="C835" t="str">
        <f t="shared" si="67"/>
        <v/>
      </c>
      <c r="D835" t="str">
        <f>IF(E835="","",IF(COUNTIF($E$2:E835,E835)&gt;1,"",SUMIFS(tbl_input[필요수량],tbl_input[집계키_지청],E835)))</f>
        <v/>
      </c>
      <c r="E835" t="str">
        <f>IFERROR(INDEX(tbl_input[집계키_지청],ROW()-1),"")</f>
        <v/>
      </c>
      <c r="F835" t="str">
        <f t="shared" si="68"/>
        <v/>
      </c>
      <c r="G835" t="str">
        <f t="shared" si="69"/>
        <v/>
      </c>
    </row>
    <row r="836" spans="1:7" x14ac:dyDescent="0.4">
      <c r="A836" t="str">
        <f t="shared" si="65"/>
        <v/>
      </c>
      <c r="B836" t="str">
        <f t="shared" si="66"/>
        <v/>
      </c>
      <c r="C836" t="str">
        <f t="shared" si="67"/>
        <v/>
      </c>
      <c r="D836" t="str">
        <f>IF(E836="","",IF(COUNTIF($E$2:E836,E836)&gt;1,"",SUMIFS(tbl_input[필요수량],tbl_input[집계키_지청],E836)))</f>
        <v/>
      </c>
      <c r="E836" t="str">
        <f>IFERROR(INDEX(tbl_input[집계키_지청],ROW()-1),"")</f>
        <v/>
      </c>
      <c r="F836" t="str">
        <f t="shared" si="68"/>
        <v/>
      </c>
      <c r="G836" t="str">
        <f t="shared" si="69"/>
        <v/>
      </c>
    </row>
    <row r="837" spans="1:7" x14ac:dyDescent="0.4">
      <c r="A837" t="str">
        <f t="shared" si="65"/>
        <v/>
      </c>
      <c r="B837" t="str">
        <f t="shared" si="66"/>
        <v/>
      </c>
      <c r="C837" t="str">
        <f t="shared" si="67"/>
        <v/>
      </c>
      <c r="D837" t="str">
        <f>IF(E837="","",IF(COUNTIF($E$2:E837,E837)&gt;1,"",SUMIFS(tbl_input[필요수량],tbl_input[집계키_지청],E837)))</f>
        <v/>
      </c>
      <c r="E837" t="str">
        <f>IFERROR(INDEX(tbl_input[집계키_지청],ROW()-1),"")</f>
        <v/>
      </c>
      <c r="F837" t="str">
        <f t="shared" si="68"/>
        <v/>
      </c>
      <c r="G837" t="str">
        <f t="shared" si="69"/>
        <v/>
      </c>
    </row>
    <row r="838" spans="1:7" x14ac:dyDescent="0.4">
      <c r="A838" t="str">
        <f t="shared" si="65"/>
        <v/>
      </c>
      <c r="B838" t="str">
        <f t="shared" si="66"/>
        <v/>
      </c>
      <c r="C838" t="str">
        <f t="shared" si="67"/>
        <v/>
      </c>
      <c r="D838" t="str">
        <f>IF(E838="","",IF(COUNTIF($E$2:E838,E838)&gt;1,"",SUMIFS(tbl_input[필요수량],tbl_input[집계키_지청],E838)))</f>
        <v/>
      </c>
      <c r="E838" t="str">
        <f>IFERROR(INDEX(tbl_input[집계키_지청],ROW()-1),"")</f>
        <v/>
      </c>
      <c r="F838" t="str">
        <f t="shared" si="68"/>
        <v/>
      </c>
      <c r="G838" t="str">
        <f t="shared" si="69"/>
        <v/>
      </c>
    </row>
    <row r="839" spans="1:7" x14ac:dyDescent="0.4">
      <c r="A839" t="str">
        <f t="shared" si="65"/>
        <v/>
      </c>
      <c r="B839" t="str">
        <f t="shared" si="66"/>
        <v/>
      </c>
      <c r="C839" t="str">
        <f t="shared" si="67"/>
        <v/>
      </c>
      <c r="D839" t="str">
        <f>IF(E839="","",IF(COUNTIF($E$2:E839,E839)&gt;1,"",SUMIFS(tbl_input[필요수량],tbl_input[집계키_지청],E839)))</f>
        <v/>
      </c>
      <c r="E839" t="str">
        <f>IFERROR(INDEX(tbl_input[집계키_지청],ROW()-1),"")</f>
        <v/>
      </c>
      <c r="F839" t="str">
        <f t="shared" si="68"/>
        <v/>
      </c>
      <c r="G839" t="str">
        <f t="shared" si="69"/>
        <v/>
      </c>
    </row>
    <row r="840" spans="1:7" x14ac:dyDescent="0.4">
      <c r="A840" t="str">
        <f t="shared" si="65"/>
        <v/>
      </c>
      <c r="B840" t="str">
        <f t="shared" si="66"/>
        <v/>
      </c>
      <c r="C840" t="str">
        <f t="shared" si="67"/>
        <v/>
      </c>
      <c r="D840" t="str">
        <f>IF(E840="","",IF(COUNTIF($E$2:E840,E840)&gt;1,"",SUMIFS(tbl_input[필요수량],tbl_input[집계키_지청],E840)))</f>
        <v/>
      </c>
      <c r="E840" t="str">
        <f>IFERROR(INDEX(tbl_input[집계키_지청],ROW()-1),"")</f>
        <v/>
      </c>
      <c r="F840" t="str">
        <f t="shared" si="68"/>
        <v/>
      </c>
      <c r="G840" t="str">
        <f t="shared" si="69"/>
        <v/>
      </c>
    </row>
    <row r="841" spans="1:7" x14ac:dyDescent="0.4">
      <c r="A841" t="str">
        <f t="shared" si="65"/>
        <v/>
      </c>
      <c r="B841" t="str">
        <f t="shared" si="66"/>
        <v/>
      </c>
      <c r="C841" t="str">
        <f t="shared" si="67"/>
        <v/>
      </c>
      <c r="D841" t="str">
        <f>IF(E841="","",IF(COUNTIF($E$2:E841,E841)&gt;1,"",SUMIFS(tbl_input[필요수량],tbl_input[집계키_지청],E841)))</f>
        <v/>
      </c>
      <c r="E841" t="str">
        <f>IFERROR(INDEX(tbl_input[집계키_지청],ROW()-1),"")</f>
        <v/>
      </c>
      <c r="F841" t="str">
        <f t="shared" si="68"/>
        <v/>
      </c>
      <c r="G841" t="str">
        <f t="shared" si="69"/>
        <v/>
      </c>
    </row>
    <row r="842" spans="1:7" x14ac:dyDescent="0.4">
      <c r="A842" t="str">
        <f t="shared" si="65"/>
        <v/>
      </c>
      <c r="B842" t="str">
        <f t="shared" si="66"/>
        <v/>
      </c>
      <c r="C842" t="str">
        <f t="shared" si="67"/>
        <v/>
      </c>
      <c r="D842" t="str">
        <f>IF(E842="","",IF(COUNTIF($E$2:E842,E842)&gt;1,"",SUMIFS(tbl_input[필요수량],tbl_input[집계키_지청],E842)))</f>
        <v/>
      </c>
      <c r="E842" t="str">
        <f>IFERROR(INDEX(tbl_input[집계키_지청],ROW()-1),"")</f>
        <v/>
      </c>
      <c r="F842" t="str">
        <f t="shared" si="68"/>
        <v/>
      </c>
      <c r="G842" t="str">
        <f t="shared" si="69"/>
        <v/>
      </c>
    </row>
    <row r="843" spans="1:7" x14ac:dyDescent="0.4">
      <c r="A843" t="str">
        <f t="shared" si="65"/>
        <v/>
      </c>
      <c r="B843" t="str">
        <f t="shared" si="66"/>
        <v/>
      </c>
      <c r="C843" t="str">
        <f t="shared" si="67"/>
        <v/>
      </c>
      <c r="D843" t="str">
        <f>IF(E843="","",IF(COUNTIF($E$2:E843,E843)&gt;1,"",SUMIFS(tbl_input[필요수량],tbl_input[집계키_지청],E843)))</f>
        <v/>
      </c>
      <c r="E843" t="str">
        <f>IFERROR(INDEX(tbl_input[집계키_지청],ROW()-1),"")</f>
        <v/>
      </c>
      <c r="F843" t="str">
        <f t="shared" si="68"/>
        <v/>
      </c>
      <c r="G843" t="str">
        <f t="shared" si="69"/>
        <v/>
      </c>
    </row>
    <row r="844" spans="1:7" x14ac:dyDescent="0.4">
      <c r="A844" t="str">
        <f t="shared" si="65"/>
        <v/>
      </c>
      <c r="B844" t="str">
        <f t="shared" si="66"/>
        <v/>
      </c>
      <c r="C844" t="str">
        <f t="shared" si="67"/>
        <v/>
      </c>
      <c r="D844" t="str">
        <f>IF(E844="","",IF(COUNTIF($E$2:E844,E844)&gt;1,"",SUMIFS(tbl_input[필요수량],tbl_input[집계키_지청],E844)))</f>
        <v/>
      </c>
      <c r="E844" t="str">
        <f>IFERROR(INDEX(tbl_input[집계키_지청],ROW()-1),"")</f>
        <v/>
      </c>
      <c r="F844" t="str">
        <f t="shared" si="68"/>
        <v/>
      </c>
      <c r="G844" t="str">
        <f t="shared" si="69"/>
        <v/>
      </c>
    </row>
    <row r="845" spans="1:7" x14ac:dyDescent="0.4">
      <c r="A845" t="str">
        <f t="shared" si="65"/>
        <v/>
      </c>
      <c r="B845" t="str">
        <f t="shared" si="66"/>
        <v/>
      </c>
      <c r="C845" t="str">
        <f t="shared" si="67"/>
        <v/>
      </c>
      <c r="D845" t="str">
        <f>IF(E845="","",IF(COUNTIF($E$2:E845,E845)&gt;1,"",SUMIFS(tbl_input[필요수량],tbl_input[집계키_지청],E845)))</f>
        <v/>
      </c>
      <c r="E845" t="str">
        <f>IFERROR(INDEX(tbl_input[집계키_지청],ROW()-1),"")</f>
        <v/>
      </c>
      <c r="F845" t="str">
        <f t="shared" si="68"/>
        <v/>
      </c>
      <c r="G845" t="str">
        <f t="shared" si="69"/>
        <v/>
      </c>
    </row>
    <row r="846" spans="1:7" x14ac:dyDescent="0.4">
      <c r="A846" t="str">
        <f t="shared" si="65"/>
        <v/>
      </c>
      <c r="B846" t="str">
        <f t="shared" si="66"/>
        <v/>
      </c>
      <c r="C846" t="str">
        <f t="shared" si="67"/>
        <v/>
      </c>
      <c r="D846" t="str">
        <f>IF(E846="","",IF(COUNTIF($E$2:E846,E846)&gt;1,"",SUMIFS(tbl_input[필요수량],tbl_input[집계키_지청],E846)))</f>
        <v/>
      </c>
      <c r="E846" t="str">
        <f>IFERROR(INDEX(tbl_input[집계키_지청],ROW()-1),"")</f>
        <v/>
      </c>
      <c r="F846" t="str">
        <f t="shared" si="68"/>
        <v/>
      </c>
      <c r="G846" t="str">
        <f t="shared" si="69"/>
        <v/>
      </c>
    </row>
    <row r="847" spans="1:7" x14ac:dyDescent="0.4">
      <c r="A847" t="str">
        <f t="shared" si="65"/>
        <v/>
      </c>
      <c r="B847" t="str">
        <f t="shared" si="66"/>
        <v/>
      </c>
      <c r="C847" t="str">
        <f t="shared" si="67"/>
        <v/>
      </c>
      <c r="D847" t="str">
        <f>IF(E847="","",IF(COUNTIF($E$2:E847,E847)&gt;1,"",SUMIFS(tbl_input[필요수량],tbl_input[집계키_지청],E847)))</f>
        <v/>
      </c>
      <c r="E847" t="str">
        <f>IFERROR(INDEX(tbl_input[집계키_지청],ROW()-1),"")</f>
        <v/>
      </c>
      <c r="F847" t="str">
        <f t="shared" si="68"/>
        <v/>
      </c>
      <c r="G847" t="str">
        <f t="shared" si="69"/>
        <v/>
      </c>
    </row>
    <row r="848" spans="1:7" x14ac:dyDescent="0.4">
      <c r="A848" t="str">
        <f t="shared" si="65"/>
        <v/>
      </c>
      <c r="B848" t="str">
        <f t="shared" si="66"/>
        <v/>
      </c>
      <c r="C848" t="str">
        <f t="shared" si="67"/>
        <v/>
      </c>
      <c r="D848" t="str">
        <f>IF(E848="","",IF(COUNTIF($E$2:E848,E848)&gt;1,"",SUMIFS(tbl_input[필요수량],tbl_input[집계키_지청],E848)))</f>
        <v/>
      </c>
      <c r="E848" t="str">
        <f>IFERROR(INDEX(tbl_input[집계키_지청],ROW()-1),"")</f>
        <v/>
      </c>
      <c r="F848" t="str">
        <f t="shared" si="68"/>
        <v/>
      </c>
      <c r="G848" t="str">
        <f t="shared" si="69"/>
        <v/>
      </c>
    </row>
    <row r="849" spans="1:7" x14ac:dyDescent="0.4">
      <c r="A849" t="str">
        <f t="shared" si="65"/>
        <v/>
      </c>
      <c r="B849" t="str">
        <f t="shared" si="66"/>
        <v/>
      </c>
      <c r="C849" t="str">
        <f t="shared" si="67"/>
        <v/>
      </c>
      <c r="D849" t="str">
        <f>IF(E849="","",IF(COUNTIF($E$2:E849,E849)&gt;1,"",SUMIFS(tbl_input[필요수량],tbl_input[집계키_지청],E849)))</f>
        <v/>
      </c>
      <c r="E849" t="str">
        <f>IFERROR(INDEX(tbl_input[집계키_지청],ROW()-1),"")</f>
        <v/>
      </c>
      <c r="F849" t="str">
        <f t="shared" si="68"/>
        <v/>
      </c>
      <c r="G849" t="str">
        <f t="shared" si="69"/>
        <v/>
      </c>
    </row>
    <row r="850" spans="1:7" x14ac:dyDescent="0.4">
      <c r="A850" t="str">
        <f t="shared" si="65"/>
        <v/>
      </c>
      <c r="B850" t="str">
        <f t="shared" si="66"/>
        <v/>
      </c>
      <c r="C850" t="str">
        <f t="shared" si="67"/>
        <v/>
      </c>
      <c r="D850" t="str">
        <f>IF(E850="","",IF(COUNTIF($E$2:E850,E850)&gt;1,"",SUMIFS(tbl_input[필요수량],tbl_input[집계키_지청],E850)))</f>
        <v/>
      </c>
      <c r="E850" t="str">
        <f>IFERROR(INDEX(tbl_input[집계키_지청],ROW()-1),"")</f>
        <v/>
      </c>
      <c r="F850" t="str">
        <f t="shared" si="68"/>
        <v/>
      </c>
      <c r="G850" t="str">
        <f t="shared" si="69"/>
        <v/>
      </c>
    </row>
    <row r="851" spans="1:7" x14ac:dyDescent="0.4">
      <c r="A851" t="str">
        <f t="shared" si="65"/>
        <v/>
      </c>
      <c r="B851" t="str">
        <f t="shared" si="66"/>
        <v/>
      </c>
      <c r="C851" t="str">
        <f t="shared" si="67"/>
        <v/>
      </c>
      <c r="D851" t="str">
        <f>IF(E851="","",IF(COUNTIF($E$2:E851,E851)&gt;1,"",SUMIFS(tbl_input[필요수량],tbl_input[집계키_지청],E851)))</f>
        <v/>
      </c>
      <c r="E851" t="str">
        <f>IFERROR(INDEX(tbl_input[집계키_지청],ROW()-1),"")</f>
        <v/>
      </c>
      <c r="F851" t="str">
        <f t="shared" si="68"/>
        <v/>
      </c>
      <c r="G851" t="str">
        <f t="shared" si="69"/>
        <v/>
      </c>
    </row>
    <row r="852" spans="1:7" x14ac:dyDescent="0.4">
      <c r="A852" t="str">
        <f t="shared" si="65"/>
        <v/>
      </c>
      <c r="B852" t="str">
        <f t="shared" si="66"/>
        <v/>
      </c>
      <c r="C852" t="str">
        <f t="shared" si="67"/>
        <v/>
      </c>
      <c r="D852" t="str">
        <f>IF(E852="","",IF(COUNTIF($E$2:E852,E852)&gt;1,"",SUMIFS(tbl_input[필요수량],tbl_input[집계키_지청],E852)))</f>
        <v/>
      </c>
      <c r="E852" t="str">
        <f>IFERROR(INDEX(tbl_input[집계키_지청],ROW()-1),"")</f>
        <v/>
      </c>
      <c r="F852" t="str">
        <f t="shared" si="68"/>
        <v/>
      </c>
      <c r="G852" t="str">
        <f t="shared" si="69"/>
        <v/>
      </c>
    </row>
    <row r="853" spans="1:7" x14ac:dyDescent="0.4">
      <c r="A853" t="str">
        <f t="shared" si="65"/>
        <v/>
      </c>
      <c r="B853" t="str">
        <f t="shared" si="66"/>
        <v/>
      </c>
      <c r="C853" t="str">
        <f t="shared" si="67"/>
        <v/>
      </c>
      <c r="D853" t="str">
        <f>IF(E853="","",IF(COUNTIF($E$2:E853,E853)&gt;1,"",SUMIFS(tbl_input[필요수량],tbl_input[집계키_지청],E853)))</f>
        <v/>
      </c>
      <c r="E853" t="str">
        <f>IFERROR(INDEX(tbl_input[집계키_지청],ROW()-1),"")</f>
        <v/>
      </c>
      <c r="F853" t="str">
        <f t="shared" si="68"/>
        <v/>
      </c>
      <c r="G853" t="str">
        <f t="shared" si="69"/>
        <v/>
      </c>
    </row>
    <row r="854" spans="1:7" x14ac:dyDescent="0.4">
      <c r="A854" t="str">
        <f t="shared" si="65"/>
        <v/>
      </c>
      <c r="B854" t="str">
        <f t="shared" si="66"/>
        <v/>
      </c>
      <c r="C854" t="str">
        <f t="shared" si="67"/>
        <v/>
      </c>
      <c r="D854" t="str">
        <f>IF(E854="","",IF(COUNTIF($E$2:E854,E854)&gt;1,"",SUMIFS(tbl_input[필요수량],tbl_input[집계키_지청],E854)))</f>
        <v/>
      </c>
      <c r="E854" t="str">
        <f>IFERROR(INDEX(tbl_input[집계키_지청],ROW()-1),"")</f>
        <v/>
      </c>
      <c r="F854" t="str">
        <f t="shared" si="68"/>
        <v/>
      </c>
      <c r="G854" t="str">
        <f t="shared" si="69"/>
        <v/>
      </c>
    </row>
    <row r="855" spans="1:7" x14ac:dyDescent="0.4">
      <c r="A855" t="str">
        <f t="shared" si="65"/>
        <v/>
      </c>
      <c r="B855" t="str">
        <f t="shared" si="66"/>
        <v/>
      </c>
      <c r="C855" t="str">
        <f t="shared" si="67"/>
        <v/>
      </c>
      <c r="D855" t="str">
        <f>IF(E855="","",IF(COUNTIF($E$2:E855,E855)&gt;1,"",SUMIFS(tbl_input[필요수량],tbl_input[집계키_지청],E855)))</f>
        <v/>
      </c>
      <c r="E855" t="str">
        <f>IFERROR(INDEX(tbl_input[집계키_지청],ROW()-1),"")</f>
        <v/>
      </c>
      <c r="F855" t="str">
        <f t="shared" si="68"/>
        <v/>
      </c>
      <c r="G855" t="str">
        <f t="shared" si="69"/>
        <v/>
      </c>
    </row>
    <row r="856" spans="1:7" x14ac:dyDescent="0.4">
      <c r="A856" t="str">
        <f t="shared" si="65"/>
        <v/>
      </c>
      <c r="B856" t="str">
        <f t="shared" si="66"/>
        <v/>
      </c>
      <c r="C856" t="str">
        <f t="shared" si="67"/>
        <v/>
      </c>
      <c r="D856" t="str">
        <f>IF(E856="","",IF(COUNTIF($E$2:E856,E856)&gt;1,"",SUMIFS(tbl_input[필요수량],tbl_input[집계키_지청],E856)))</f>
        <v/>
      </c>
      <c r="E856" t="str">
        <f>IFERROR(INDEX(tbl_input[집계키_지청],ROW()-1),"")</f>
        <v/>
      </c>
      <c r="F856" t="str">
        <f t="shared" si="68"/>
        <v/>
      </c>
      <c r="G856" t="str">
        <f t="shared" si="69"/>
        <v/>
      </c>
    </row>
    <row r="857" spans="1:7" x14ac:dyDescent="0.4">
      <c r="A857" t="str">
        <f t="shared" si="65"/>
        <v/>
      </c>
      <c r="B857" t="str">
        <f t="shared" si="66"/>
        <v/>
      </c>
      <c r="C857" t="str">
        <f t="shared" si="67"/>
        <v/>
      </c>
      <c r="D857" t="str">
        <f>IF(E857="","",IF(COUNTIF($E$2:E857,E857)&gt;1,"",SUMIFS(tbl_input[필요수량],tbl_input[집계키_지청],E857)))</f>
        <v/>
      </c>
      <c r="E857" t="str">
        <f>IFERROR(INDEX(tbl_input[집계키_지청],ROW()-1),"")</f>
        <v/>
      </c>
      <c r="F857" t="str">
        <f t="shared" si="68"/>
        <v/>
      </c>
      <c r="G857" t="str">
        <f t="shared" si="69"/>
        <v/>
      </c>
    </row>
    <row r="858" spans="1:7" x14ac:dyDescent="0.4">
      <c r="A858" t="str">
        <f t="shared" si="65"/>
        <v/>
      </c>
      <c r="B858" t="str">
        <f t="shared" si="66"/>
        <v/>
      </c>
      <c r="C858" t="str">
        <f t="shared" si="67"/>
        <v/>
      </c>
      <c r="D858" t="str">
        <f>IF(E858="","",IF(COUNTIF($E$2:E858,E858)&gt;1,"",SUMIFS(tbl_input[필요수량],tbl_input[집계키_지청],E858)))</f>
        <v/>
      </c>
      <c r="E858" t="str">
        <f>IFERROR(INDEX(tbl_input[집계키_지청],ROW()-1),"")</f>
        <v/>
      </c>
      <c r="F858" t="str">
        <f t="shared" si="68"/>
        <v/>
      </c>
      <c r="G858" t="str">
        <f t="shared" si="69"/>
        <v/>
      </c>
    </row>
    <row r="859" spans="1:7" x14ac:dyDescent="0.4">
      <c r="A859" t="str">
        <f t="shared" si="65"/>
        <v/>
      </c>
      <c r="B859" t="str">
        <f t="shared" si="66"/>
        <v/>
      </c>
      <c r="C859" t="str">
        <f t="shared" si="67"/>
        <v/>
      </c>
      <c r="D859" t="str">
        <f>IF(E859="","",IF(COUNTIF($E$2:E859,E859)&gt;1,"",SUMIFS(tbl_input[필요수량],tbl_input[집계키_지청],E859)))</f>
        <v/>
      </c>
      <c r="E859" t="str">
        <f>IFERROR(INDEX(tbl_input[집계키_지청],ROW()-1),"")</f>
        <v/>
      </c>
      <c r="F859" t="str">
        <f t="shared" si="68"/>
        <v/>
      </c>
      <c r="G859" t="str">
        <f t="shared" si="69"/>
        <v/>
      </c>
    </row>
    <row r="860" spans="1:7" x14ac:dyDescent="0.4">
      <c r="A860" t="str">
        <f t="shared" si="65"/>
        <v/>
      </c>
      <c r="B860" t="str">
        <f t="shared" si="66"/>
        <v/>
      </c>
      <c r="C860" t="str">
        <f t="shared" si="67"/>
        <v/>
      </c>
      <c r="D860" t="str">
        <f>IF(E860="","",IF(COUNTIF($E$2:E860,E860)&gt;1,"",SUMIFS(tbl_input[필요수량],tbl_input[집계키_지청],E860)))</f>
        <v/>
      </c>
      <c r="E860" t="str">
        <f>IFERROR(INDEX(tbl_input[집계키_지청],ROW()-1),"")</f>
        <v/>
      </c>
      <c r="F860" t="str">
        <f t="shared" si="68"/>
        <v/>
      </c>
      <c r="G860" t="str">
        <f t="shared" si="69"/>
        <v/>
      </c>
    </row>
    <row r="861" spans="1:7" x14ac:dyDescent="0.4">
      <c r="A861" t="str">
        <f t="shared" si="65"/>
        <v/>
      </c>
      <c r="B861" t="str">
        <f t="shared" si="66"/>
        <v/>
      </c>
      <c r="C861" t="str">
        <f t="shared" si="67"/>
        <v/>
      </c>
      <c r="D861" t="str">
        <f>IF(E861="","",IF(COUNTIF($E$2:E861,E861)&gt;1,"",SUMIFS(tbl_input[필요수량],tbl_input[집계키_지청],E861)))</f>
        <v/>
      </c>
      <c r="E861" t="str">
        <f>IFERROR(INDEX(tbl_input[집계키_지청],ROW()-1),"")</f>
        <v/>
      </c>
      <c r="F861" t="str">
        <f t="shared" si="68"/>
        <v/>
      </c>
      <c r="G861" t="str">
        <f t="shared" si="69"/>
        <v/>
      </c>
    </row>
    <row r="862" spans="1:7" x14ac:dyDescent="0.4">
      <c r="A862" t="str">
        <f t="shared" si="65"/>
        <v/>
      </c>
      <c r="B862" t="str">
        <f t="shared" si="66"/>
        <v/>
      </c>
      <c r="C862" t="str">
        <f t="shared" si="67"/>
        <v/>
      </c>
      <c r="D862" t="str">
        <f>IF(E862="","",IF(COUNTIF($E$2:E862,E862)&gt;1,"",SUMIFS(tbl_input[필요수량],tbl_input[집계키_지청],E862)))</f>
        <v/>
      </c>
      <c r="E862" t="str">
        <f>IFERROR(INDEX(tbl_input[집계키_지청],ROW()-1),"")</f>
        <v/>
      </c>
      <c r="F862" t="str">
        <f t="shared" si="68"/>
        <v/>
      </c>
      <c r="G862" t="str">
        <f t="shared" si="69"/>
        <v/>
      </c>
    </row>
    <row r="863" spans="1:7" x14ac:dyDescent="0.4">
      <c r="A863" t="str">
        <f t="shared" si="65"/>
        <v/>
      </c>
      <c r="B863" t="str">
        <f t="shared" si="66"/>
        <v/>
      </c>
      <c r="C863" t="str">
        <f t="shared" si="67"/>
        <v/>
      </c>
      <c r="D863" t="str">
        <f>IF(E863="","",IF(COUNTIF($E$2:E863,E863)&gt;1,"",SUMIFS(tbl_input[필요수량],tbl_input[집계키_지청],E863)))</f>
        <v/>
      </c>
      <c r="E863" t="str">
        <f>IFERROR(INDEX(tbl_input[집계키_지청],ROW()-1),"")</f>
        <v/>
      </c>
      <c r="F863" t="str">
        <f t="shared" si="68"/>
        <v/>
      </c>
      <c r="G863" t="str">
        <f t="shared" si="69"/>
        <v/>
      </c>
    </row>
    <row r="864" spans="1:7" x14ac:dyDescent="0.4">
      <c r="A864" t="str">
        <f t="shared" si="65"/>
        <v/>
      </c>
      <c r="B864" t="str">
        <f t="shared" si="66"/>
        <v/>
      </c>
      <c r="C864" t="str">
        <f t="shared" si="67"/>
        <v/>
      </c>
      <c r="D864" t="str">
        <f>IF(E864="","",IF(COUNTIF($E$2:E864,E864)&gt;1,"",SUMIFS(tbl_input[필요수량],tbl_input[집계키_지청],E864)))</f>
        <v/>
      </c>
      <c r="E864" t="str">
        <f>IFERROR(INDEX(tbl_input[집계키_지청],ROW()-1),"")</f>
        <v/>
      </c>
      <c r="F864" t="str">
        <f t="shared" si="68"/>
        <v/>
      </c>
      <c r="G864" t="str">
        <f t="shared" si="69"/>
        <v/>
      </c>
    </row>
    <row r="865" spans="1:7" x14ac:dyDescent="0.4">
      <c r="A865" t="str">
        <f t="shared" si="65"/>
        <v/>
      </c>
      <c r="B865" t="str">
        <f t="shared" si="66"/>
        <v/>
      </c>
      <c r="C865" t="str">
        <f t="shared" si="67"/>
        <v/>
      </c>
      <c r="D865" t="str">
        <f>IF(E865="","",IF(COUNTIF($E$2:E865,E865)&gt;1,"",SUMIFS(tbl_input[필요수량],tbl_input[집계키_지청],E865)))</f>
        <v/>
      </c>
      <c r="E865" t="str">
        <f>IFERROR(INDEX(tbl_input[집계키_지청],ROW()-1),"")</f>
        <v/>
      </c>
      <c r="F865" t="str">
        <f t="shared" si="68"/>
        <v/>
      </c>
      <c r="G865" t="str">
        <f t="shared" si="69"/>
        <v/>
      </c>
    </row>
    <row r="866" spans="1:7" x14ac:dyDescent="0.4">
      <c r="A866" t="str">
        <f t="shared" si="65"/>
        <v/>
      </c>
      <c r="B866" t="str">
        <f t="shared" si="66"/>
        <v/>
      </c>
      <c r="C866" t="str">
        <f t="shared" si="67"/>
        <v/>
      </c>
      <c r="D866" t="str">
        <f>IF(E866="","",IF(COUNTIF($E$2:E866,E866)&gt;1,"",SUMIFS(tbl_input[필요수량],tbl_input[집계키_지청],E866)))</f>
        <v/>
      </c>
      <c r="E866" t="str">
        <f>IFERROR(INDEX(tbl_input[집계키_지청],ROW()-1),"")</f>
        <v/>
      </c>
      <c r="F866" t="str">
        <f t="shared" si="68"/>
        <v/>
      </c>
      <c r="G866" t="str">
        <f t="shared" si="69"/>
        <v/>
      </c>
    </row>
    <row r="867" spans="1:7" x14ac:dyDescent="0.4">
      <c r="A867" t="str">
        <f t="shared" si="65"/>
        <v/>
      </c>
      <c r="B867" t="str">
        <f t="shared" si="66"/>
        <v/>
      </c>
      <c r="C867" t="str">
        <f t="shared" si="67"/>
        <v/>
      </c>
      <c r="D867" t="str">
        <f>IF(E867="","",IF(COUNTIF($E$2:E867,E867)&gt;1,"",SUMIFS(tbl_input[필요수량],tbl_input[집계키_지청],E867)))</f>
        <v/>
      </c>
      <c r="E867" t="str">
        <f>IFERROR(INDEX(tbl_input[집계키_지청],ROW()-1),"")</f>
        <v/>
      </c>
      <c r="F867" t="str">
        <f t="shared" si="68"/>
        <v/>
      </c>
      <c r="G867" t="str">
        <f t="shared" si="69"/>
        <v/>
      </c>
    </row>
    <row r="868" spans="1:7" x14ac:dyDescent="0.4">
      <c r="A868" t="str">
        <f t="shared" si="65"/>
        <v/>
      </c>
      <c r="B868" t="str">
        <f t="shared" si="66"/>
        <v/>
      </c>
      <c r="C868" t="str">
        <f t="shared" si="67"/>
        <v/>
      </c>
      <c r="D868" t="str">
        <f>IF(E868="","",IF(COUNTIF($E$2:E868,E868)&gt;1,"",SUMIFS(tbl_input[필요수량],tbl_input[집계키_지청],E868)))</f>
        <v/>
      </c>
      <c r="E868" t="str">
        <f>IFERROR(INDEX(tbl_input[집계키_지청],ROW()-1),"")</f>
        <v/>
      </c>
      <c r="F868" t="str">
        <f t="shared" si="68"/>
        <v/>
      </c>
      <c r="G868" t="str">
        <f t="shared" si="69"/>
        <v/>
      </c>
    </row>
    <row r="869" spans="1:7" x14ac:dyDescent="0.4">
      <c r="A869" t="str">
        <f t="shared" si="65"/>
        <v/>
      </c>
      <c r="B869" t="str">
        <f t="shared" si="66"/>
        <v/>
      </c>
      <c r="C869" t="str">
        <f t="shared" si="67"/>
        <v/>
      </c>
      <c r="D869" t="str">
        <f>IF(E869="","",IF(COUNTIF($E$2:E869,E869)&gt;1,"",SUMIFS(tbl_input[필요수량],tbl_input[집계키_지청],E869)))</f>
        <v/>
      </c>
      <c r="E869" t="str">
        <f>IFERROR(INDEX(tbl_input[집계키_지청],ROW()-1),"")</f>
        <v/>
      </c>
      <c r="F869" t="str">
        <f t="shared" si="68"/>
        <v/>
      </c>
      <c r="G869" t="str">
        <f t="shared" si="69"/>
        <v/>
      </c>
    </row>
    <row r="870" spans="1:7" x14ac:dyDescent="0.4">
      <c r="A870" t="str">
        <f t="shared" si="65"/>
        <v/>
      </c>
      <c r="B870" t="str">
        <f t="shared" si="66"/>
        <v/>
      </c>
      <c r="C870" t="str">
        <f t="shared" si="67"/>
        <v/>
      </c>
      <c r="D870" t="str">
        <f>IF(E870="","",IF(COUNTIF($E$2:E870,E870)&gt;1,"",SUMIFS(tbl_input[필요수량],tbl_input[집계키_지청],E870)))</f>
        <v/>
      </c>
      <c r="E870" t="str">
        <f>IFERROR(INDEX(tbl_input[집계키_지청],ROW()-1),"")</f>
        <v/>
      </c>
      <c r="F870" t="str">
        <f t="shared" si="68"/>
        <v/>
      </c>
      <c r="G870" t="str">
        <f t="shared" si="69"/>
        <v/>
      </c>
    </row>
    <row r="871" spans="1:7" x14ac:dyDescent="0.4">
      <c r="A871" t="str">
        <f t="shared" si="65"/>
        <v/>
      </c>
      <c r="B871" t="str">
        <f t="shared" si="66"/>
        <v/>
      </c>
      <c r="C871" t="str">
        <f t="shared" si="67"/>
        <v/>
      </c>
      <c r="D871" t="str">
        <f>IF(E871="","",IF(COUNTIF($E$2:E871,E871)&gt;1,"",SUMIFS(tbl_input[필요수량],tbl_input[집계키_지청],E871)))</f>
        <v/>
      </c>
      <c r="E871" t="str">
        <f>IFERROR(INDEX(tbl_input[집계키_지청],ROW()-1),"")</f>
        <v/>
      </c>
      <c r="F871" t="str">
        <f t="shared" si="68"/>
        <v/>
      </c>
      <c r="G871" t="str">
        <f t="shared" si="69"/>
        <v/>
      </c>
    </row>
    <row r="872" spans="1:7" x14ac:dyDescent="0.4">
      <c r="A872" t="str">
        <f t="shared" si="65"/>
        <v/>
      </c>
      <c r="B872" t="str">
        <f t="shared" si="66"/>
        <v/>
      </c>
      <c r="C872" t="str">
        <f t="shared" si="67"/>
        <v/>
      </c>
      <c r="D872" t="str">
        <f>IF(E872="","",IF(COUNTIF($E$2:E872,E872)&gt;1,"",SUMIFS(tbl_input[필요수량],tbl_input[집계키_지청],E872)))</f>
        <v/>
      </c>
      <c r="E872" t="str">
        <f>IFERROR(INDEX(tbl_input[집계키_지청],ROW()-1),"")</f>
        <v/>
      </c>
      <c r="F872" t="str">
        <f t="shared" si="68"/>
        <v/>
      </c>
      <c r="G872" t="str">
        <f t="shared" si="69"/>
        <v/>
      </c>
    </row>
    <row r="873" spans="1:7" x14ac:dyDescent="0.4">
      <c r="A873" t="str">
        <f t="shared" si="65"/>
        <v/>
      </c>
      <c r="B873" t="str">
        <f t="shared" si="66"/>
        <v/>
      </c>
      <c r="C873" t="str">
        <f t="shared" si="67"/>
        <v/>
      </c>
      <c r="D873" t="str">
        <f>IF(E873="","",IF(COUNTIF($E$2:E873,E873)&gt;1,"",SUMIFS(tbl_input[필요수량],tbl_input[집계키_지청],E873)))</f>
        <v/>
      </c>
      <c r="E873" t="str">
        <f>IFERROR(INDEX(tbl_input[집계키_지청],ROW()-1),"")</f>
        <v/>
      </c>
      <c r="F873" t="str">
        <f t="shared" si="68"/>
        <v/>
      </c>
      <c r="G873" t="str">
        <f t="shared" si="69"/>
        <v/>
      </c>
    </row>
    <row r="874" spans="1:7" x14ac:dyDescent="0.4">
      <c r="A874" t="str">
        <f t="shared" si="65"/>
        <v/>
      </c>
      <c r="B874" t="str">
        <f t="shared" si="66"/>
        <v/>
      </c>
      <c r="C874" t="str">
        <f t="shared" si="67"/>
        <v/>
      </c>
      <c r="D874" t="str">
        <f>IF(E874="","",IF(COUNTIF($E$2:E874,E874)&gt;1,"",SUMIFS(tbl_input[필요수량],tbl_input[집계키_지청],E874)))</f>
        <v/>
      </c>
      <c r="E874" t="str">
        <f>IFERROR(INDEX(tbl_input[집계키_지청],ROW()-1),"")</f>
        <v/>
      </c>
      <c r="F874" t="str">
        <f t="shared" si="68"/>
        <v/>
      </c>
      <c r="G874" t="str">
        <f t="shared" si="69"/>
        <v/>
      </c>
    </row>
    <row r="875" spans="1:7" x14ac:dyDescent="0.4">
      <c r="A875" t="str">
        <f t="shared" si="65"/>
        <v/>
      </c>
      <c r="B875" t="str">
        <f t="shared" si="66"/>
        <v/>
      </c>
      <c r="C875" t="str">
        <f t="shared" si="67"/>
        <v/>
      </c>
      <c r="D875" t="str">
        <f>IF(E875="","",IF(COUNTIF($E$2:E875,E875)&gt;1,"",SUMIFS(tbl_input[필요수량],tbl_input[집계키_지청],E875)))</f>
        <v/>
      </c>
      <c r="E875" t="str">
        <f>IFERROR(INDEX(tbl_input[집계키_지청],ROW()-1),"")</f>
        <v/>
      </c>
      <c r="F875" t="str">
        <f t="shared" si="68"/>
        <v/>
      </c>
      <c r="G875" t="str">
        <f t="shared" si="69"/>
        <v/>
      </c>
    </row>
    <row r="876" spans="1:7" x14ac:dyDescent="0.4">
      <c r="A876" t="str">
        <f t="shared" si="65"/>
        <v/>
      </c>
      <c r="B876" t="str">
        <f t="shared" si="66"/>
        <v/>
      </c>
      <c r="C876" t="str">
        <f t="shared" si="67"/>
        <v/>
      </c>
      <c r="D876" t="str">
        <f>IF(E876="","",IF(COUNTIF($E$2:E876,E876)&gt;1,"",SUMIFS(tbl_input[필요수량],tbl_input[집계키_지청],E876)))</f>
        <v/>
      </c>
      <c r="E876" t="str">
        <f>IFERROR(INDEX(tbl_input[집계키_지청],ROW()-1),"")</f>
        <v/>
      </c>
      <c r="F876" t="str">
        <f t="shared" si="68"/>
        <v/>
      </c>
      <c r="G876" t="str">
        <f t="shared" si="69"/>
        <v/>
      </c>
    </row>
    <row r="877" spans="1:7" x14ac:dyDescent="0.4">
      <c r="A877" t="str">
        <f t="shared" si="65"/>
        <v/>
      </c>
      <c r="B877" t="str">
        <f t="shared" si="66"/>
        <v/>
      </c>
      <c r="C877" t="str">
        <f t="shared" si="67"/>
        <v/>
      </c>
      <c r="D877" t="str">
        <f>IF(E877="","",IF(COUNTIF($E$2:E877,E877)&gt;1,"",SUMIFS(tbl_input[필요수량],tbl_input[집계키_지청],E877)))</f>
        <v/>
      </c>
      <c r="E877" t="str">
        <f>IFERROR(INDEX(tbl_input[집계키_지청],ROW()-1),"")</f>
        <v/>
      </c>
      <c r="F877" t="str">
        <f t="shared" si="68"/>
        <v/>
      </c>
      <c r="G877" t="str">
        <f t="shared" si="69"/>
        <v/>
      </c>
    </row>
    <row r="878" spans="1:7" x14ac:dyDescent="0.4">
      <c r="A878" t="str">
        <f t="shared" si="65"/>
        <v/>
      </c>
      <c r="B878" t="str">
        <f t="shared" si="66"/>
        <v/>
      </c>
      <c r="C878" t="str">
        <f t="shared" si="67"/>
        <v/>
      </c>
      <c r="D878" t="str">
        <f>IF(E878="","",IF(COUNTIF($E$2:E878,E878)&gt;1,"",SUMIFS(tbl_input[필요수량],tbl_input[집계키_지청],E878)))</f>
        <v/>
      </c>
      <c r="E878" t="str">
        <f>IFERROR(INDEX(tbl_input[집계키_지청],ROW()-1),"")</f>
        <v/>
      </c>
      <c r="F878" t="str">
        <f t="shared" si="68"/>
        <v/>
      </c>
      <c r="G878" t="str">
        <f t="shared" si="69"/>
        <v/>
      </c>
    </row>
    <row r="879" spans="1:7" x14ac:dyDescent="0.4">
      <c r="A879" t="str">
        <f t="shared" si="65"/>
        <v/>
      </c>
      <c r="B879" t="str">
        <f t="shared" si="66"/>
        <v/>
      </c>
      <c r="C879" t="str">
        <f t="shared" si="67"/>
        <v/>
      </c>
      <c r="D879" t="str">
        <f>IF(E879="","",IF(COUNTIF($E$2:E879,E879)&gt;1,"",SUMIFS(tbl_input[필요수량],tbl_input[집계키_지청],E879)))</f>
        <v/>
      </c>
      <c r="E879" t="str">
        <f>IFERROR(INDEX(tbl_input[집계키_지청],ROW()-1),"")</f>
        <v/>
      </c>
      <c r="F879" t="str">
        <f t="shared" si="68"/>
        <v/>
      </c>
      <c r="G879" t="str">
        <f t="shared" si="69"/>
        <v/>
      </c>
    </row>
    <row r="880" spans="1:7" x14ac:dyDescent="0.4">
      <c r="A880" t="str">
        <f t="shared" si="65"/>
        <v/>
      </c>
      <c r="B880" t="str">
        <f t="shared" si="66"/>
        <v/>
      </c>
      <c r="C880" t="str">
        <f t="shared" si="67"/>
        <v/>
      </c>
      <c r="D880" t="str">
        <f>IF(E880="","",IF(COUNTIF($E$2:E880,E880)&gt;1,"",SUMIFS(tbl_input[필요수량],tbl_input[집계키_지청],E880)))</f>
        <v/>
      </c>
      <c r="E880" t="str">
        <f>IFERROR(INDEX(tbl_input[집계키_지청],ROW()-1),"")</f>
        <v/>
      </c>
      <c r="F880" t="str">
        <f t="shared" si="68"/>
        <v/>
      </c>
      <c r="G880" t="str">
        <f t="shared" si="69"/>
        <v/>
      </c>
    </row>
    <row r="881" spans="1:7" x14ac:dyDescent="0.4">
      <c r="A881" t="str">
        <f t="shared" si="65"/>
        <v/>
      </c>
      <c r="B881" t="str">
        <f t="shared" si="66"/>
        <v/>
      </c>
      <c r="C881" t="str">
        <f t="shared" si="67"/>
        <v/>
      </c>
      <c r="D881" t="str">
        <f>IF(E881="","",IF(COUNTIF($E$2:E881,E881)&gt;1,"",SUMIFS(tbl_input[필요수량],tbl_input[집계키_지청],E881)))</f>
        <v/>
      </c>
      <c r="E881" t="str">
        <f>IFERROR(INDEX(tbl_input[집계키_지청],ROW()-1),"")</f>
        <v/>
      </c>
      <c r="F881" t="str">
        <f t="shared" si="68"/>
        <v/>
      </c>
      <c r="G881" t="str">
        <f t="shared" si="69"/>
        <v/>
      </c>
    </row>
    <row r="882" spans="1:7" x14ac:dyDescent="0.4">
      <c r="A882" t="str">
        <f t="shared" si="65"/>
        <v/>
      </c>
      <c r="B882" t="str">
        <f t="shared" si="66"/>
        <v/>
      </c>
      <c r="C882" t="str">
        <f t="shared" si="67"/>
        <v/>
      </c>
      <c r="D882" t="str">
        <f>IF(E882="","",IF(COUNTIF($E$2:E882,E882)&gt;1,"",SUMIFS(tbl_input[필요수량],tbl_input[집계키_지청],E882)))</f>
        <v/>
      </c>
      <c r="E882" t="str">
        <f>IFERROR(INDEX(tbl_input[집계키_지청],ROW()-1),"")</f>
        <v/>
      </c>
      <c r="F882" t="str">
        <f t="shared" si="68"/>
        <v/>
      </c>
      <c r="G882" t="str">
        <f t="shared" si="69"/>
        <v/>
      </c>
    </row>
    <row r="883" spans="1:7" x14ac:dyDescent="0.4">
      <c r="A883" t="str">
        <f t="shared" si="65"/>
        <v/>
      </c>
      <c r="B883" t="str">
        <f t="shared" si="66"/>
        <v/>
      </c>
      <c r="C883" t="str">
        <f t="shared" si="67"/>
        <v/>
      </c>
      <c r="D883" t="str">
        <f>IF(E883="","",IF(COUNTIF($E$2:E883,E883)&gt;1,"",SUMIFS(tbl_input[필요수량],tbl_input[집계키_지청],E883)))</f>
        <v/>
      </c>
      <c r="E883" t="str">
        <f>IFERROR(INDEX(tbl_input[집계키_지청],ROW()-1),"")</f>
        <v/>
      </c>
      <c r="F883" t="str">
        <f t="shared" si="68"/>
        <v/>
      </c>
      <c r="G883" t="str">
        <f t="shared" si="69"/>
        <v/>
      </c>
    </row>
    <row r="884" spans="1:7" x14ac:dyDescent="0.4">
      <c r="A884" t="str">
        <f t="shared" si="65"/>
        <v/>
      </c>
      <c r="B884" t="str">
        <f t="shared" si="66"/>
        <v/>
      </c>
      <c r="C884" t="str">
        <f t="shared" si="67"/>
        <v/>
      </c>
      <c r="D884" t="str">
        <f>IF(E884="","",IF(COUNTIF($E$2:E884,E884)&gt;1,"",SUMIFS(tbl_input[필요수량],tbl_input[집계키_지청],E884)))</f>
        <v/>
      </c>
      <c r="E884" t="str">
        <f>IFERROR(INDEX(tbl_input[집계키_지청],ROW()-1),"")</f>
        <v/>
      </c>
      <c r="F884" t="str">
        <f t="shared" si="68"/>
        <v/>
      </c>
      <c r="G884" t="str">
        <f t="shared" si="69"/>
        <v/>
      </c>
    </row>
    <row r="885" spans="1:7" x14ac:dyDescent="0.4">
      <c r="A885" t="str">
        <f t="shared" si="65"/>
        <v/>
      </c>
      <c r="B885" t="str">
        <f t="shared" si="66"/>
        <v/>
      </c>
      <c r="C885" t="str">
        <f t="shared" si="67"/>
        <v/>
      </c>
      <c r="D885" t="str">
        <f>IF(E885="","",IF(COUNTIF($E$2:E885,E885)&gt;1,"",SUMIFS(tbl_input[필요수량],tbl_input[집계키_지청],E885)))</f>
        <v/>
      </c>
      <c r="E885" t="str">
        <f>IFERROR(INDEX(tbl_input[집계키_지청],ROW()-1),"")</f>
        <v/>
      </c>
      <c r="F885" t="str">
        <f t="shared" si="68"/>
        <v/>
      </c>
      <c r="G885" t="str">
        <f t="shared" si="69"/>
        <v/>
      </c>
    </row>
    <row r="886" spans="1:7" x14ac:dyDescent="0.4">
      <c r="A886" t="str">
        <f t="shared" si="65"/>
        <v/>
      </c>
      <c r="B886" t="str">
        <f t="shared" si="66"/>
        <v/>
      </c>
      <c r="C886" t="str">
        <f t="shared" si="67"/>
        <v/>
      </c>
      <c r="D886" t="str">
        <f>IF(E886="","",IF(COUNTIF($E$2:E886,E886)&gt;1,"",SUMIFS(tbl_input[필요수량],tbl_input[집계키_지청],E886)))</f>
        <v/>
      </c>
      <c r="E886" t="str">
        <f>IFERROR(INDEX(tbl_input[집계키_지청],ROW()-1),"")</f>
        <v/>
      </c>
      <c r="F886" t="str">
        <f t="shared" si="68"/>
        <v/>
      </c>
      <c r="G886" t="str">
        <f t="shared" si="69"/>
        <v/>
      </c>
    </row>
    <row r="887" spans="1:7" x14ac:dyDescent="0.4">
      <c r="A887" t="str">
        <f t="shared" si="65"/>
        <v/>
      </c>
      <c r="B887" t="str">
        <f t="shared" si="66"/>
        <v/>
      </c>
      <c r="C887" t="str">
        <f t="shared" si="67"/>
        <v/>
      </c>
      <c r="D887" t="str">
        <f>IF(E887="","",IF(COUNTIF($E$2:E887,E887)&gt;1,"",SUMIFS(tbl_input[필요수량],tbl_input[집계키_지청],E887)))</f>
        <v/>
      </c>
      <c r="E887" t="str">
        <f>IFERROR(INDEX(tbl_input[집계키_지청],ROW()-1),"")</f>
        <v/>
      </c>
      <c r="F887" t="str">
        <f t="shared" si="68"/>
        <v/>
      </c>
      <c r="G887" t="str">
        <f t="shared" si="69"/>
        <v/>
      </c>
    </row>
    <row r="888" spans="1:7" x14ac:dyDescent="0.4">
      <c r="A888" t="str">
        <f t="shared" si="65"/>
        <v/>
      </c>
      <c r="B888" t="str">
        <f t="shared" si="66"/>
        <v/>
      </c>
      <c r="C888" t="str">
        <f t="shared" si="67"/>
        <v/>
      </c>
      <c r="D888" t="str">
        <f>IF(E888="","",IF(COUNTIF($E$2:E888,E888)&gt;1,"",SUMIFS(tbl_input[필요수량],tbl_input[집계키_지청],E888)))</f>
        <v/>
      </c>
      <c r="E888" t="str">
        <f>IFERROR(INDEX(tbl_input[집계키_지청],ROW()-1),"")</f>
        <v/>
      </c>
      <c r="F888" t="str">
        <f t="shared" si="68"/>
        <v/>
      </c>
      <c r="G888" t="str">
        <f t="shared" si="69"/>
        <v/>
      </c>
    </row>
    <row r="889" spans="1:7" x14ac:dyDescent="0.4">
      <c r="A889" t="str">
        <f t="shared" si="65"/>
        <v/>
      </c>
      <c r="B889" t="str">
        <f t="shared" si="66"/>
        <v/>
      </c>
      <c r="C889" t="str">
        <f t="shared" si="67"/>
        <v/>
      </c>
      <c r="D889" t="str">
        <f>IF(E889="","",IF(COUNTIF($E$2:E889,E889)&gt;1,"",SUMIFS(tbl_input[필요수량],tbl_input[집계키_지청],E889)))</f>
        <v/>
      </c>
      <c r="E889" t="str">
        <f>IFERROR(INDEX(tbl_input[집계키_지청],ROW()-1),"")</f>
        <v/>
      </c>
      <c r="F889" t="str">
        <f t="shared" si="68"/>
        <v/>
      </c>
      <c r="G889" t="str">
        <f t="shared" si="69"/>
        <v/>
      </c>
    </row>
    <row r="890" spans="1:7" x14ac:dyDescent="0.4">
      <c r="A890" t="str">
        <f t="shared" si="65"/>
        <v/>
      </c>
      <c r="B890" t="str">
        <f t="shared" si="66"/>
        <v/>
      </c>
      <c r="C890" t="str">
        <f t="shared" si="67"/>
        <v/>
      </c>
      <c r="D890" t="str">
        <f>IF(E890="","",IF(COUNTIF($E$2:E890,E890)&gt;1,"",SUMIFS(tbl_input[필요수량],tbl_input[집계키_지청],E890)))</f>
        <v/>
      </c>
      <c r="E890" t="str">
        <f>IFERROR(INDEX(tbl_input[집계키_지청],ROW()-1),"")</f>
        <v/>
      </c>
      <c r="F890" t="str">
        <f t="shared" si="68"/>
        <v/>
      </c>
      <c r="G890" t="str">
        <f t="shared" si="69"/>
        <v/>
      </c>
    </row>
    <row r="891" spans="1:7" x14ac:dyDescent="0.4">
      <c r="A891" t="str">
        <f t="shared" si="65"/>
        <v/>
      </c>
      <c r="B891" t="str">
        <f t="shared" si="66"/>
        <v/>
      </c>
      <c r="C891" t="str">
        <f t="shared" si="67"/>
        <v/>
      </c>
      <c r="D891" t="str">
        <f>IF(E891="","",IF(COUNTIF($E$2:E891,E891)&gt;1,"",SUMIFS(tbl_input[필요수량],tbl_input[집계키_지청],E891)))</f>
        <v/>
      </c>
      <c r="E891" t="str">
        <f>IFERROR(INDEX(tbl_input[집계키_지청],ROW()-1),"")</f>
        <v/>
      </c>
      <c r="F891" t="str">
        <f t="shared" si="68"/>
        <v/>
      </c>
      <c r="G891" t="str">
        <f t="shared" si="69"/>
        <v/>
      </c>
    </row>
    <row r="892" spans="1:7" x14ac:dyDescent="0.4">
      <c r="A892" t="str">
        <f t="shared" si="65"/>
        <v/>
      </c>
      <c r="B892" t="str">
        <f t="shared" si="66"/>
        <v/>
      </c>
      <c r="C892" t="str">
        <f t="shared" si="67"/>
        <v/>
      </c>
      <c r="D892" t="str">
        <f>IF(E892="","",IF(COUNTIF($E$2:E892,E892)&gt;1,"",SUMIFS(tbl_input[필요수량],tbl_input[집계키_지청],E892)))</f>
        <v/>
      </c>
      <c r="E892" t="str">
        <f>IFERROR(INDEX(tbl_input[집계키_지청],ROW()-1),"")</f>
        <v/>
      </c>
      <c r="F892" t="str">
        <f t="shared" si="68"/>
        <v/>
      </c>
      <c r="G892" t="str">
        <f t="shared" si="69"/>
        <v/>
      </c>
    </row>
    <row r="893" spans="1:7" x14ac:dyDescent="0.4">
      <c r="A893" t="str">
        <f t="shared" si="65"/>
        <v/>
      </c>
      <c r="B893" t="str">
        <f t="shared" si="66"/>
        <v/>
      </c>
      <c r="C893" t="str">
        <f t="shared" si="67"/>
        <v/>
      </c>
      <c r="D893" t="str">
        <f>IF(E893="","",IF(COUNTIF($E$2:E893,E893)&gt;1,"",SUMIFS(tbl_input[필요수량],tbl_input[집계키_지청],E893)))</f>
        <v/>
      </c>
      <c r="E893" t="str">
        <f>IFERROR(INDEX(tbl_input[집계키_지청],ROW()-1),"")</f>
        <v/>
      </c>
      <c r="F893" t="str">
        <f t="shared" si="68"/>
        <v/>
      </c>
      <c r="G893" t="str">
        <f t="shared" si="69"/>
        <v/>
      </c>
    </row>
    <row r="894" spans="1:7" x14ac:dyDescent="0.4">
      <c r="A894" t="str">
        <f t="shared" si="65"/>
        <v/>
      </c>
      <c r="B894" t="str">
        <f t="shared" si="66"/>
        <v/>
      </c>
      <c r="C894" t="str">
        <f t="shared" si="67"/>
        <v/>
      </c>
      <c r="D894" t="str">
        <f>IF(E894="","",IF(COUNTIF($E$2:E894,E894)&gt;1,"",SUMIFS(tbl_input[필요수량],tbl_input[집계키_지청],E894)))</f>
        <v/>
      </c>
      <c r="E894" t="str">
        <f>IFERROR(INDEX(tbl_input[집계키_지청],ROW()-1),"")</f>
        <v/>
      </c>
      <c r="F894" t="str">
        <f t="shared" si="68"/>
        <v/>
      </c>
      <c r="G894" t="str">
        <f t="shared" si="69"/>
        <v/>
      </c>
    </row>
    <row r="895" spans="1:7" x14ac:dyDescent="0.4">
      <c r="A895" t="str">
        <f t="shared" si="65"/>
        <v/>
      </c>
      <c r="B895" t="str">
        <f t="shared" si="66"/>
        <v/>
      </c>
      <c r="C895" t="str">
        <f t="shared" si="67"/>
        <v/>
      </c>
      <c r="D895" t="str">
        <f>IF(E895="","",IF(COUNTIF($E$2:E895,E895)&gt;1,"",SUMIFS(tbl_input[필요수량],tbl_input[집계키_지청],E895)))</f>
        <v/>
      </c>
      <c r="E895" t="str">
        <f>IFERROR(INDEX(tbl_input[집계키_지청],ROW()-1),"")</f>
        <v/>
      </c>
      <c r="F895" t="str">
        <f t="shared" si="68"/>
        <v/>
      </c>
      <c r="G895" t="str">
        <f t="shared" si="69"/>
        <v/>
      </c>
    </row>
    <row r="896" spans="1:7" x14ac:dyDescent="0.4">
      <c r="A896" t="str">
        <f t="shared" si="65"/>
        <v/>
      </c>
      <c r="B896" t="str">
        <f t="shared" si="66"/>
        <v/>
      </c>
      <c r="C896" t="str">
        <f t="shared" si="67"/>
        <v/>
      </c>
      <c r="D896" t="str">
        <f>IF(E896="","",IF(COUNTIF($E$2:E896,E896)&gt;1,"",SUMIFS(tbl_input[필요수량],tbl_input[집계키_지청],E896)))</f>
        <v/>
      </c>
      <c r="E896" t="str">
        <f>IFERROR(INDEX(tbl_input[집계키_지청],ROW()-1),"")</f>
        <v/>
      </c>
      <c r="F896" t="str">
        <f t="shared" si="68"/>
        <v/>
      </c>
      <c r="G896" t="str">
        <f t="shared" si="69"/>
        <v/>
      </c>
    </row>
    <row r="897" spans="1:7" x14ac:dyDescent="0.4">
      <c r="A897" t="str">
        <f t="shared" si="65"/>
        <v/>
      </c>
      <c r="B897" t="str">
        <f t="shared" si="66"/>
        <v/>
      </c>
      <c r="C897" t="str">
        <f t="shared" si="67"/>
        <v/>
      </c>
      <c r="D897" t="str">
        <f>IF(E897="","",IF(COUNTIF($E$2:E897,E897)&gt;1,"",SUMIFS(tbl_input[필요수량],tbl_input[집계키_지청],E897)))</f>
        <v/>
      </c>
      <c r="E897" t="str">
        <f>IFERROR(INDEX(tbl_input[집계키_지청],ROW()-1),"")</f>
        <v/>
      </c>
      <c r="F897" t="str">
        <f t="shared" si="68"/>
        <v/>
      </c>
      <c r="G897" t="str">
        <f t="shared" si="69"/>
        <v/>
      </c>
    </row>
    <row r="898" spans="1:7" x14ac:dyDescent="0.4">
      <c r="A898" t="str">
        <f t="shared" ref="A898:A961" si="70">IF(E898="","",LEFT(E898,F898-1))</f>
        <v/>
      </c>
      <c r="B898" t="str">
        <f t="shared" ref="B898:B961" si="71">IF(E898="","",MID(E898,F898+1,G898-F898-1))</f>
        <v/>
      </c>
      <c r="C898" t="str">
        <f t="shared" ref="C898:C961" si="72">IF(E898="","",MID(E898,G898+1,999))</f>
        <v/>
      </c>
      <c r="D898" t="str">
        <f>IF(E898="","",IF(COUNTIF($E$2:E898,E898)&gt;1,"",SUMIFS(tbl_input[필요수량],tbl_input[집계키_지청],E898)))</f>
        <v/>
      </c>
      <c r="E898" t="str">
        <f>IFERROR(INDEX(tbl_input[집계키_지청],ROW()-1),"")</f>
        <v/>
      </c>
      <c r="F898" t="str">
        <f t="shared" ref="F898:F961" si="73">IF(E898="","",FIND("♦",E898))</f>
        <v/>
      </c>
      <c r="G898" t="str">
        <f t="shared" ref="G898:G961" si="74">IF(E898="","",FIND("♦",E898,F898+1))</f>
        <v/>
      </c>
    </row>
    <row r="899" spans="1:7" x14ac:dyDescent="0.4">
      <c r="A899" t="str">
        <f t="shared" si="70"/>
        <v/>
      </c>
      <c r="B899" t="str">
        <f t="shared" si="71"/>
        <v/>
      </c>
      <c r="C899" t="str">
        <f t="shared" si="72"/>
        <v/>
      </c>
      <c r="D899" t="str">
        <f>IF(E899="","",IF(COUNTIF($E$2:E899,E899)&gt;1,"",SUMIFS(tbl_input[필요수량],tbl_input[집계키_지청],E899)))</f>
        <v/>
      </c>
      <c r="E899" t="str">
        <f>IFERROR(INDEX(tbl_input[집계키_지청],ROW()-1),"")</f>
        <v/>
      </c>
      <c r="F899" t="str">
        <f t="shared" si="73"/>
        <v/>
      </c>
      <c r="G899" t="str">
        <f t="shared" si="74"/>
        <v/>
      </c>
    </row>
    <row r="900" spans="1:7" x14ac:dyDescent="0.4">
      <c r="A900" t="str">
        <f t="shared" si="70"/>
        <v/>
      </c>
      <c r="B900" t="str">
        <f t="shared" si="71"/>
        <v/>
      </c>
      <c r="C900" t="str">
        <f t="shared" si="72"/>
        <v/>
      </c>
      <c r="D900" t="str">
        <f>IF(E900="","",IF(COUNTIF($E$2:E900,E900)&gt;1,"",SUMIFS(tbl_input[필요수량],tbl_input[집계키_지청],E900)))</f>
        <v/>
      </c>
      <c r="E900" t="str">
        <f>IFERROR(INDEX(tbl_input[집계키_지청],ROW()-1),"")</f>
        <v/>
      </c>
      <c r="F900" t="str">
        <f t="shared" si="73"/>
        <v/>
      </c>
      <c r="G900" t="str">
        <f t="shared" si="74"/>
        <v/>
      </c>
    </row>
    <row r="901" spans="1:7" x14ac:dyDescent="0.4">
      <c r="A901" t="str">
        <f t="shared" si="70"/>
        <v/>
      </c>
      <c r="B901" t="str">
        <f t="shared" si="71"/>
        <v/>
      </c>
      <c r="C901" t="str">
        <f t="shared" si="72"/>
        <v/>
      </c>
      <c r="D901" t="str">
        <f>IF(E901="","",IF(COUNTIF($E$2:E901,E901)&gt;1,"",SUMIFS(tbl_input[필요수량],tbl_input[집계키_지청],E901)))</f>
        <v/>
      </c>
      <c r="E901" t="str">
        <f>IFERROR(INDEX(tbl_input[집계키_지청],ROW()-1),"")</f>
        <v/>
      </c>
      <c r="F901" t="str">
        <f t="shared" si="73"/>
        <v/>
      </c>
      <c r="G901" t="str">
        <f t="shared" si="74"/>
        <v/>
      </c>
    </row>
    <row r="902" spans="1:7" x14ac:dyDescent="0.4">
      <c r="A902" t="str">
        <f t="shared" si="70"/>
        <v/>
      </c>
      <c r="B902" t="str">
        <f t="shared" si="71"/>
        <v/>
      </c>
      <c r="C902" t="str">
        <f t="shared" si="72"/>
        <v/>
      </c>
      <c r="D902" t="str">
        <f>IF(E902="","",IF(COUNTIF($E$2:E902,E902)&gt;1,"",SUMIFS(tbl_input[필요수량],tbl_input[집계키_지청],E902)))</f>
        <v/>
      </c>
      <c r="E902" t="str">
        <f>IFERROR(INDEX(tbl_input[집계키_지청],ROW()-1),"")</f>
        <v/>
      </c>
      <c r="F902" t="str">
        <f t="shared" si="73"/>
        <v/>
      </c>
      <c r="G902" t="str">
        <f t="shared" si="74"/>
        <v/>
      </c>
    </row>
    <row r="903" spans="1:7" x14ac:dyDescent="0.4">
      <c r="A903" t="str">
        <f t="shared" si="70"/>
        <v/>
      </c>
      <c r="B903" t="str">
        <f t="shared" si="71"/>
        <v/>
      </c>
      <c r="C903" t="str">
        <f t="shared" si="72"/>
        <v/>
      </c>
      <c r="D903" t="str">
        <f>IF(E903="","",IF(COUNTIF($E$2:E903,E903)&gt;1,"",SUMIFS(tbl_input[필요수량],tbl_input[집계키_지청],E903)))</f>
        <v/>
      </c>
      <c r="E903" t="str">
        <f>IFERROR(INDEX(tbl_input[집계키_지청],ROW()-1),"")</f>
        <v/>
      </c>
      <c r="F903" t="str">
        <f t="shared" si="73"/>
        <v/>
      </c>
      <c r="G903" t="str">
        <f t="shared" si="74"/>
        <v/>
      </c>
    </row>
    <row r="904" spans="1:7" x14ac:dyDescent="0.4">
      <c r="A904" t="str">
        <f t="shared" si="70"/>
        <v/>
      </c>
      <c r="B904" t="str">
        <f t="shared" si="71"/>
        <v/>
      </c>
      <c r="C904" t="str">
        <f t="shared" si="72"/>
        <v/>
      </c>
      <c r="D904" t="str">
        <f>IF(E904="","",IF(COUNTIF($E$2:E904,E904)&gt;1,"",SUMIFS(tbl_input[필요수량],tbl_input[집계키_지청],E904)))</f>
        <v/>
      </c>
      <c r="E904" t="str">
        <f>IFERROR(INDEX(tbl_input[집계키_지청],ROW()-1),"")</f>
        <v/>
      </c>
      <c r="F904" t="str">
        <f t="shared" si="73"/>
        <v/>
      </c>
      <c r="G904" t="str">
        <f t="shared" si="74"/>
        <v/>
      </c>
    </row>
    <row r="905" spans="1:7" x14ac:dyDescent="0.4">
      <c r="A905" t="str">
        <f t="shared" si="70"/>
        <v/>
      </c>
      <c r="B905" t="str">
        <f t="shared" si="71"/>
        <v/>
      </c>
      <c r="C905" t="str">
        <f t="shared" si="72"/>
        <v/>
      </c>
      <c r="D905" t="str">
        <f>IF(E905="","",IF(COUNTIF($E$2:E905,E905)&gt;1,"",SUMIFS(tbl_input[필요수량],tbl_input[집계키_지청],E905)))</f>
        <v/>
      </c>
      <c r="E905" t="str">
        <f>IFERROR(INDEX(tbl_input[집계키_지청],ROW()-1),"")</f>
        <v/>
      </c>
      <c r="F905" t="str">
        <f t="shared" si="73"/>
        <v/>
      </c>
      <c r="G905" t="str">
        <f t="shared" si="74"/>
        <v/>
      </c>
    </row>
    <row r="906" spans="1:7" x14ac:dyDescent="0.4">
      <c r="A906" t="str">
        <f t="shared" si="70"/>
        <v/>
      </c>
      <c r="B906" t="str">
        <f t="shared" si="71"/>
        <v/>
      </c>
      <c r="C906" t="str">
        <f t="shared" si="72"/>
        <v/>
      </c>
      <c r="D906" t="str">
        <f>IF(E906="","",IF(COUNTIF($E$2:E906,E906)&gt;1,"",SUMIFS(tbl_input[필요수량],tbl_input[집계키_지청],E906)))</f>
        <v/>
      </c>
      <c r="E906" t="str">
        <f>IFERROR(INDEX(tbl_input[집계키_지청],ROW()-1),"")</f>
        <v/>
      </c>
      <c r="F906" t="str">
        <f t="shared" si="73"/>
        <v/>
      </c>
      <c r="G906" t="str">
        <f t="shared" si="74"/>
        <v/>
      </c>
    </row>
    <row r="907" spans="1:7" x14ac:dyDescent="0.4">
      <c r="A907" t="str">
        <f t="shared" si="70"/>
        <v/>
      </c>
      <c r="B907" t="str">
        <f t="shared" si="71"/>
        <v/>
      </c>
      <c r="C907" t="str">
        <f t="shared" si="72"/>
        <v/>
      </c>
      <c r="D907" t="str">
        <f>IF(E907="","",IF(COUNTIF($E$2:E907,E907)&gt;1,"",SUMIFS(tbl_input[필요수량],tbl_input[집계키_지청],E907)))</f>
        <v/>
      </c>
      <c r="E907" t="str">
        <f>IFERROR(INDEX(tbl_input[집계키_지청],ROW()-1),"")</f>
        <v/>
      </c>
      <c r="F907" t="str">
        <f t="shared" si="73"/>
        <v/>
      </c>
      <c r="G907" t="str">
        <f t="shared" si="74"/>
        <v/>
      </c>
    </row>
    <row r="908" spans="1:7" x14ac:dyDescent="0.4">
      <c r="A908" t="str">
        <f t="shared" si="70"/>
        <v/>
      </c>
      <c r="B908" t="str">
        <f t="shared" si="71"/>
        <v/>
      </c>
      <c r="C908" t="str">
        <f t="shared" si="72"/>
        <v/>
      </c>
      <c r="D908" t="str">
        <f>IF(E908="","",IF(COUNTIF($E$2:E908,E908)&gt;1,"",SUMIFS(tbl_input[필요수량],tbl_input[집계키_지청],E908)))</f>
        <v/>
      </c>
      <c r="E908" t="str">
        <f>IFERROR(INDEX(tbl_input[집계키_지청],ROW()-1),"")</f>
        <v/>
      </c>
      <c r="F908" t="str">
        <f t="shared" si="73"/>
        <v/>
      </c>
      <c r="G908" t="str">
        <f t="shared" si="74"/>
        <v/>
      </c>
    </row>
    <row r="909" spans="1:7" x14ac:dyDescent="0.4">
      <c r="A909" t="str">
        <f t="shared" si="70"/>
        <v/>
      </c>
      <c r="B909" t="str">
        <f t="shared" si="71"/>
        <v/>
      </c>
      <c r="C909" t="str">
        <f t="shared" si="72"/>
        <v/>
      </c>
      <c r="D909" t="str">
        <f>IF(E909="","",IF(COUNTIF($E$2:E909,E909)&gt;1,"",SUMIFS(tbl_input[필요수량],tbl_input[집계키_지청],E909)))</f>
        <v/>
      </c>
      <c r="E909" t="str">
        <f>IFERROR(INDEX(tbl_input[집계키_지청],ROW()-1),"")</f>
        <v/>
      </c>
      <c r="F909" t="str">
        <f t="shared" si="73"/>
        <v/>
      </c>
      <c r="G909" t="str">
        <f t="shared" si="74"/>
        <v/>
      </c>
    </row>
    <row r="910" spans="1:7" x14ac:dyDescent="0.4">
      <c r="A910" t="str">
        <f t="shared" si="70"/>
        <v/>
      </c>
      <c r="B910" t="str">
        <f t="shared" si="71"/>
        <v/>
      </c>
      <c r="C910" t="str">
        <f t="shared" si="72"/>
        <v/>
      </c>
      <c r="D910" t="str">
        <f>IF(E910="","",IF(COUNTIF($E$2:E910,E910)&gt;1,"",SUMIFS(tbl_input[필요수량],tbl_input[집계키_지청],E910)))</f>
        <v/>
      </c>
      <c r="E910" t="str">
        <f>IFERROR(INDEX(tbl_input[집계키_지청],ROW()-1),"")</f>
        <v/>
      </c>
      <c r="F910" t="str">
        <f t="shared" si="73"/>
        <v/>
      </c>
      <c r="G910" t="str">
        <f t="shared" si="74"/>
        <v/>
      </c>
    </row>
    <row r="911" spans="1:7" x14ac:dyDescent="0.4">
      <c r="A911" t="str">
        <f t="shared" si="70"/>
        <v/>
      </c>
      <c r="B911" t="str">
        <f t="shared" si="71"/>
        <v/>
      </c>
      <c r="C911" t="str">
        <f t="shared" si="72"/>
        <v/>
      </c>
      <c r="D911" t="str">
        <f>IF(E911="","",IF(COUNTIF($E$2:E911,E911)&gt;1,"",SUMIFS(tbl_input[필요수량],tbl_input[집계키_지청],E911)))</f>
        <v/>
      </c>
      <c r="E911" t="str">
        <f>IFERROR(INDEX(tbl_input[집계키_지청],ROW()-1),"")</f>
        <v/>
      </c>
      <c r="F911" t="str">
        <f t="shared" si="73"/>
        <v/>
      </c>
      <c r="G911" t="str">
        <f t="shared" si="74"/>
        <v/>
      </c>
    </row>
    <row r="912" spans="1:7" x14ac:dyDescent="0.4">
      <c r="A912" t="str">
        <f t="shared" si="70"/>
        <v/>
      </c>
      <c r="B912" t="str">
        <f t="shared" si="71"/>
        <v/>
      </c>
      <c r="C912" t="str">
        <f t="shared" si="72"/>
        <v/>
      </c>
      <c r="D912" t="str">
        <f>IF(E912="","",IF(COUNTIF($E$2:E912,E912)&gt;1,"",SUMIFS(tbl_input[필요수량],tbl_input[집계키_지청],E912)))</f>
        <v/>
      </c>
      <c r="E912" t="str">
        <f>IFERROR(INDEX(tbl_input[집계키_지청],ROW()-1),"")</f>
        <v/>
      </c>
      <c r="F912" t="str">
        <f t="shared" si="73"/>
        <v/>
      </c>
      <c r="G912" t="str">
        <f t="shared" si="74"/>
        <v/>
      </c>
    </row>
    <row r="913" spans="1:7" x14ac:dyDescent="0.4">
      <c r="A913" t="str">
        <f t="shared" si="70"/>
        <v/>
      </c>
      <c r="B913" t="str">
        <f t="shared" si="71"/>
        <v/>
      </c>
      <c r="C913" t="str">
        <f t="shared" si="72"/>
        <v/>
      </c>
      <c r="D913" t="str">
        <f>IF(E913="","",IF(COUNTIF($E$2:E913,E913)&gt;1,"",SUMIFS(tbl_input[필요수량],tbl_input[집계키_지청],E913)))</f>
        <v/>
      </c>
      <c r="E913" t="str">
        <f>IFERROR(INDEX(tbl_input[집계키_지청],ROW()-1),"")</f>
        <v/>
      </c>
      <c r="F913" t="str">
        <f t="shared" si="73"/>
        <v/>
      </c>
      <c r="G913" t="str">
        <f t="shared" si="74"/>
        <v/>
      </c>
    </row>
    <row r="914" spans="1:7" x14ac:dyDescent="0.4">
      <c r="A914" t="str">
        <f t="shared" si="70"/>
        <v/>
      </c>
      <c r="B914" t="str">
        <f t="shared" si="71"/>
        <v/>
      </c>
      <c r="C914" t="str">
        <f t="shared" si="72"/>
        <v/>
      </c>
      <c r="D914" t="str">
        <f>IF(E914="","",IF(COUNTIF($E$2:E914,E914)&gt;1,"",SUMIFS(tbl_input[필요수량],tbl_input[집계키_지청],E914)))</f>
        <v/>
      </c>
      <c r="E914" t="str">
        <f>IFERROR(INDEX(tbl_input[집계키_지청],ROW()-1),"")</f>
        <v/>
      </c>
      <c r="F914" t="str">
        <f t="shared" si="73"/>
        <v/>
      </c>
      <c r="G914" t="str">
        <f t="shared" si="74"/>
        <v/>
      </c>
    </row>
    <row r="915" spans="1:7" x14ac:dyDescent="0.4">
      <c r="A915" t="str">
        <f t="shared" si="70"/>
        <v/>
      </c>
      <c r="B915" t="str">
        <f t="shared" si="71"/>
        <v/>
      </c>
      <c r="C915" t="str">
        <f t="shared" si="72"/>
        <v/>
      </c>
      <c r="D915" t="str">
        <f>IF(E915="","",IF(COUNTIF($E$2:E915,E915)&gt;1,"",SUMIFS(tbl_input[필요수량],tbl_input[집계키_지청],E915)))</f>
        <v/>
      </c>
      <c r="E915" t="str">
        <f>IFERROR(INDEX(tbl_input[집계키_지청],ROW()-1),"")</f>
        <v/>
      </c>
      <c r="F915" t="str">
        <f t="shared" si="73"/>
        <v/>
      </c>
      <c r="G915" t="str">
        <f t="shared" si="74"/>
        <v/>
      </c>
    </row>
    <row r="916" spans="1:7" x14ac:dyDescent="0.4">
      <c r="A916" t="str">
        <f t="shared" si="70"/>
        <v/>
      </c>
      <c r="B916" t="str">
        <f t="shared" si="71"/>
        <v/>
      </c>
      <c r="C916" t="str">
        <f t="shared" si="72"/>
        <v/>
      </c>
      <c r="D916" t="str">
        <f>IF(E916="","",IF(COUNTIF($E$2:E916,E916)&gt;1,"",SUMIFS(tbl_input[필요수량],tbl_input[집계키_지청],E916)))</f>
        <v/>
      </c>
      <c r="E916" t="str">
        <f>IFERROR(INDEX(tbl_input[집계키_지청],ROW()-1),"")</f>
        <v/>
      </c>
      <c r="F916" t="str">
        <f t="shared" si="73"/>
        <v/>
      </c>
      <c r="G916" t="str">
        <f t="shared" si="74"/>
        <v/>
      </c>
    </row>
    <row r="917" spans="1:7" x14ac:dyDescent="0.4">
      <c r="A917" t="str">
        <f t="shared" si="70"/>
        <v/>
      </c>
      <c r="B917" t="str">
        <f t="shared" si="71"/>
        <v/>
      </c>
      <c r="C917" t="str">
        <f t="shared" si="72"/>
        <v/>
      </c>
      <c r="D917" t="str">
        <f>IF(E917="","",IF(COUNTIF($E$2:E917,E917)&gt;1,"",SUMIFS(tbl_input[필요수량],tbl_input[집계키_지청],E917)))</f>
        <v/>
      </c>
      <c r="E917" t="str">
        <f>IFERROR(INDEX(tbl_input[집계키_지청],ROW()-1),"")</f>
        <v/>
      </c>
      <c r="F917" t="str">
        <f t="shared" si="73"/>
        <v/>
      </c>
      <c r="G917" t="str">
        <f t="shared" si="74"/>
        <v/>
      </c>
    </row>
    <row r="918" spans="1:7" x14ac:dyDescent="0.4">
      <c r="A918" t="str">
        <f t="shared" si="70"/>
        <v/>
      </c>
      <c r="B918" t="str">
        <f t="shared" si="71"/>
        <v/>
      </c>
      <c r="C918" t="str">
        <f t="shared" si="72"/>
        <v/>
      </c>
      <c r="D918" t="str">
        <f>IF(E918="","",IF(COUNTIF($E$2:E918,E918)&gt;1,"",SUMIFS(tbl_input[필요수량],tbl_input[집계키_지청],E918)))</f>
        <v/>
      </c>
      <c r="E918" t="str">
        <f>IFERROR(INDEX(tbl_input[집계키_지청],ROW()-1),"")</f>
        <v/>
      </c>
      <c r="F918" t="str">
        <f t="shared" si="73"/>
        <v/>
      </c>
      <c r="G918" t="str">
        <f t="shared" si="74"/>
        <v/>
      </c>
    </row>
    <row r="919" spans="1:7" x14ac:dyDescent="0.4">
      <c r="A919" t="str">
        <f t="shared" si="70"/>
        <v/>
      </c>
      <c r="B919" t="str">
        <f t="shared" si="71"/>
        <v/>
      </c>
      <c r="C919" t="str">
        <f t="shared" si="72"/>
        <v/>
      </c>
      <c r="D919" t="str">
        <f>IF(E919="","",IF(COUNTIF($E$2:E919,E919)&gt;1,"",SUMIFS(tbl_input[필요수량],tbl_input[집계키_지청],E919)))</f>
        <v/>
      </c>
      <c r="E919" t="str">
        <f>IFERROR(INDEX(tbl_input[집계키_지청],ROW()-1),"")</f>
        <v/>
      </c>
      <c r="F919" t="str">
        <f t="shared" si="73"/>
        <v/>
      </c>
      <c r="G919" t="str">
        <f t="shared" si="74"/>
        <v/>
      </c>
    </row>
    <row r="920" spans="1:7" x14ac:dyDescent="0.4">
      <c r="A920" t="str">
        <f t="shared" si="70"/>
        <v/>
      </c>
      <c r="B920" t="str">
        <f t="shared" si="71"/>
        <v/>
      </c>
      <c r="C920" t="str">
        <f t="shared" si="72"/>
        <v/>
      </c>
      <c r="D920" t="str">
        <f>IF(E920="","",IF(COUNTIF($E$2:E920,E920)&gt;1,"",SUMIFS(tbl_input[필요수량],tbl_input[집계키_지청],E920)))</f>
        <v/>
      </c>
      <c r="E920" t="str">
        <f>IFERROR(INDEX(tbl_input[집계키_지청],ROW()-1),"")</f>
        <v/>
      </c>
      <c r="F920" t="str">
        <f t="shared" si="73"/>
        <v/>
      </c>
      <c r="G920" t="str">
        <f t="shared" si="74"/>
        <v/>
      </c>
    </row>
    <row r="921" spans="1:7" x14ac:dyDescent="0.4">
      <c r="A921" t="str">
        <f t="shared" si="70"/>
        <v/>
      </c>
      <c r="B921" t="str">
        <f t="shared" si="71"/>
        <v/>
      </c>
      <c r="C921" t="str">
        <f t="shared" si="72"/>
        <v/>
      </c>
      <c r="D921" t="str">
        <f>IF(E921="","",IF(COUNTIF($E$2:E921,E921)&gt;1,"",SUMIFS(tbl_input[필요수량],tbl_input[집계키_지청],E921)))</f>
        <v/>
      </c>
      <c r="E921" t="str">
        <f>IFERROR(INDEX(tbl_input[집계키_지청],ROW()-1),"")</f>
        <v/>
      </c>
      <c r="F921" t="str">
        <f t="shared" si="73"/>
        <v/>
      </c>
      <c r="G921" t="str">
        <f t="shared" si="74"/>
        <v/>
      </c>
    </row>
    <row r="922" spans="1:7" x14ac:dyDescent="0.4">
      <c r="A922" t="str">
        <f t="shared" si="70"/>
        <v/>
      </c>
      <c r="B922" t="str">
        <f t="shared" si="71"/>
        <v/>
      </c>
      <c r="C922" t="str">
        <f t="shared" si="72"/>
        <v/>
      </c>
      <c r="D922" t="str">
        <f>IF(E922="","",IF(COUNTIF($E$2:E922,E922)&gt;1,"",SUMIFS(tbl_input[필요수량],tbl_input[집계키_지청],E922)))</f>
        <v/>
      </c>
      <c r="E922" t="str">
        <f>IFERROR(INDEX(tbl_input[집계키_지청],ROW()-1),"")</f>
        <v/>
      </c>
      <c r="F922" t="str">
        <f t="shared" si="73"/>
        <v/>
      </c>
      <c r="G922" t="str">
        <f t="shared" si="74"/>
        <v/>
      </c>
    </row>
    <row r="923" spans="1:7" x14ac:dyDescent="0.4">
      <c r="A923" t="str">
        <f t="shared" si="70"/>
        <v/>
      </c>
      <c r="B923" t="str">
        <f t="shared" si="71"/>
        <v/>
      </c>
      <c r="C923" t="str">
        <f t="shared" si="72"/>
        <v/>
      </c>
      <c r="D923" t="str">
        <f>IF(E923="","",IF(COUNTIF($E$2:E923,E923)&gt;1,"",SUMIFS(tbl_input[필요수량],tbl_input[집계키_지청],E923)))</f>
        <v/>
      </c>
      <c r="E923" t="str">
        <f>IFERROR(INDEX(tbl_input[집계키_지청],ROW()-1),"")</f>
        <v/>
      </c>
      <c r="F923" t="str">
        <f t="shared" si="73"/>
        <v/>
      </c>
      <c r="G923" t="str">
        <f t="shared" si="74"/>
        <v/>
      </c>
    </row>
    <row r="924" spans="1:7" x14ac:dyDescent="0.4">
      <c r="A924" t="str">
        <f t="shared" si="70"/>
        <v/>
      </c>
      <c r="B924" t="str">
        <f t="shared" si="71"/>
        <v/>
      </c>
      <c r="C924" t="str">
        <f t="shared" si="72"/>
        <v/>
      </c>
      <c r="D924" t="str">
        <f>IF(E924="","",IF(COUNTIF($E$2:E924,E924)&gt;1,"",SUMIFS(tbl_input[필요수량],tbl_input[집계키_지청],E924)))</f>
        <v/>
      </c>
      <c r="E924" t="str">
        <f>IFERROR(INDEX(tbl_input[집계키_지청],ROW()-1),"")</f>
        <v/>
      </c>
      <c r="F924" t="str">
        <f t="shared" si="73"/>
        <v/>
      </c>
      <c r="G924" t="str">
        <f t="shared" si="74"/>
        <v/>
      </c>
    </row>
    <row r="925" spans="1:7" x14ac:dyDescent="0.4">
      <c r="A925" t="str">
        <f t="shared" si="70"/>
        <v/>
      </c>
      <c r="B925" t="str">
        <f t="shared" si="71"/>
        <v/>
      </c>
      <c r="C925" t="str">
        <f t="shared" si="72"/>
        <v/>
      </c>
      <c r="D925" t="str">
        <f>IF(E925="","",IF(COUNTIF($E$2:E925,E925)&gt;1,"",SUMIFS(tbl_input[필요수량],tbl_input[집계키_지청],E925)))</f>
        <v/>
      </c>
      <c r="E925" t="str">
        <f>IFERROR(INDEX(tbl_input[집계키_지청],ROW()-1),"")</f>
        <v/>
      </c>
      <c r="F925" t="str">
        <f t="shared" si="73"/>
        <v/>
      </c>
      <c r="G925" t="str">
        <f t="shared" si="74"/>
        <v/>
      </c>
    </row>
    <row r="926" spans="1:7" x14ac:dyDescent="0.4">
      <c r="A926" t="str">
        <f t="shared" si="70"/>
        <v/>
      </c>
      <c r="B926" t="str">
        <f t="shared" si="71"/>
        <v/>
      </c>
      <c r="C926" t="str">
        <f t="shared" si="72"/>
        <v/>
      </c>
      <c r="D926" t="str">
        <f>IF(E926="","",IF(COUNTIF($E$2:E926,E926)&gt;1,"",SUMIFS(tbl_input[필요수량],tbl_input[집계키_지청],E926)))</f>
        <v/>
      </c>
      <c r="E926" t="str">
        <f>IFERROR(INDEX(tbl_input[집계키_지청],ROW()-1),"")</f>
        <v/>
      </c>
      <c r="F926" t="str">
        <f t="shared" si="73"/>
        <v/>
      </c>
      <c r="G926" t="str">
        <f t="shared" si="74"/>
        <v/>
      </c>
    </row>
    <row r="927" spans="1:7" x14ac:dyDescent="0.4">
      <c r="A927" t="str">
        <f t="shared" si="70"/>
        <v/>
      </c>
      <c r="B927" t="str">
        <f t="shared" si="71"/>
        <v/>
      </c>
      <c r="C927" t="str">
        <f t="shared" si="72"/>
        <v/>
      </c>
      <c r="D927" t="str">
        <f>IF(E927="","",IF(COUNTIF($E$2:E927,E927)&gt;1,"",SUMIFS(tbl_input[필요수량],tbl_input[집계키_지청],E927)))</f>
        <v/>
      </c>
      <c r="E927" t="str">
        <f>IFERROR(INDEX(tbl_input[집계키_지청],ROW()-1),"")</f>
        <v/>
      </c>
      <c r="F927" t="str">
        <f t="shared" si="73"/>
        <v/>
      </c>
      <c r="G927" t="str">
        <f t="shared" si="74"/>
        <v/>
      </c>
    </row>
    <row r="928" spans="1:7" x14ac:dyDescent="0.4">
      <c r="A928" t="str">
        <f t="shared" si="70"/>
        <v/>
      </c>
      <c r="B928" t="str">
        <f t="shared" si="71"/>
        <v/>
      </c>
      <c r="C928" t="str">
        <f t="shared" si="72"/>
        <v/>
      </c>
      <c r="D928" t="str">
        <f>IF(E928="","",IF(COUNTIF($E$2:E928,E928)&gt;1,"",SUMIFS(tbl_input[필요수량],tbl_input[집계키_지청],E928)))</f>
        <v/>
      </c>
      <c r="E928" t="str">
        <f>IFERROR(INDEX(tbl_input[집계키_지청],ROW()-1),"")</f>
        <v/>
      </c>
      <c r="F928" t="str">
        <f t="shared" si="73"/>
        <v/>
      </c>
      <c r="G928" t="str">
        <f t="shared" si="74"/>
        <v/>
      </c>
    </row>
    <row r="929" spans="1:7" x14ac:dyDescent="0.4">
      <c r="A929" t="str">
        <f t="shared" si="70"/>
        <v/>
      </c>
      <c r="B929" t="str">
        <f t="shared" si="71"/>
        <v/>
      </c>
      <c r="C929" t="str">
        <f t="shared" si="72"/>
        <v/>
      </c>
      <c r="D929" t="str">
        <f>IF(E929="","",IF(COUNTIF($E$2:E929,E929)&gt;1,"",SUMIFS(tbl_input[필요수량],tbl_input[집계키_지청],E929)))</f>
        <v/>
      </c>
      <c r="E929" t="str">
        <f>IFERROR(INDEX(tbl_input[집계키_지청],ROW()-1),"")</f>
        <v/>
      </c>
      <c r="F929" t="str">
        <f t="shared" si="73"/>
        <v/>
      </c>
      <c r="G929" t="str">
        <f t="shared" si="74"/>
        <v/>
      </c>
    </row>
    <row r="930" spans="1:7" x14ac:dyDescent="0.4">
      <c r="A930" t="str">
        <f t="shared" si="70"/>
        <v/>
      </c>
      <c r="B930" t="str">
        <f t="shared" si="71"/>
        <v/>
      </c>
      <c r="C930" t="str">
        <f t="shared" si="72"/>
        <v/>
      </c>
      <c r="D930" t="str">
        <f>IF(E930="","",IF(COUNTIF($E$2:E930,E930)&gt;1,"",SUMIFS(tbl_input[필요수량],tbl_input[집계키_지청],E930)))</f>
        <v/>
      </c>
      <c r="E930" t="str">
        <f>IFERROR(INDEX(tbl_input[집계키_지청],ROW()-1),"")</f>
        <v/>
      </c>
      <c r="F930" t="str">
        <f t="shared" si="73"/>
        <v/>
      </c>
      <c r="G930" t="str">
        <f t="shared" si="74"/>
        <v/>
      </c>
    </row>
    <row r="931" spans="1:7" x14ac:dyDescent="0.4">
      <c r="A931" t="str">
        <f t="shared" si="70"/>
        <v/>
      </c>
      <c r="B931" t="str">
        <f t="shared" si="71"/>
        <v/>
      </c>
      <c r="C931" t="str">
        <f t="shared" si="72"/>
        <v/>
      </c>
      <c r="D931" t="str">
        <f>IF(E931="","",IF(COUNTIF($E$2:E931,E931)&gt;1,"",SUMIFS(tbl_input[필요수량],tbl_input[집계키_지청],E931)))</f>
        <v/>
      </c>
      <c r="E931" t="str">
        <f>IFERROR(INDEX(tbl_input[집계키_지청],ROW()-1),"")</f>
        <v/>
      </c>
      <c r="F931" t="str">
        <f t="shared" si="73"/>
        <v/>
      </c>
      <c r="G931" t="str">
        <f t="shared" si="74"/>
        <v/>
      </c>
    </row>
    <row r="932" spans="1:7" x14ac:dyDescent="0.4">
      <c r="A932" t="str">
        <f t="shared" si="70"/>
        <v/>
      </c>
      <c r="B932" t="str">
        <f t="shared" si="71"/>
        <v/>
      </c>
      <c r="C932" t="str">
        <f t="shared" si="72"/>
        <v/>
      </c>
      <c r="D932" t="str">
        <f>IF(E932="","",IF(COUNTIF($E$2:E932,E932)&gt;1,"",SUMIFS(tbl_input[필요수량],tbl_input[집계키_지청],E932)))</f>
        <v/>
      </c>
      <c r="E932" t="str">
        <f>IFERROR(INDEX(tbl_input[집계키_지청],ROW()-1),"")</f>
        <v/>
      </c>
      <c r="F932" t="str">
        <f t="shared" si="73"/>
        <v/>
      </c>
      <c r="G932" t="str">
        <f t="shared" si="74"/>
        <v/>
      </c>
    </row>
    <row r="933" spans="1:7" x14ac:dyDescent="0.4">
      <c r="A933" t="str">
        <f t="shared" si="70"/>
        <v/>
      </c>
      <c r="B933" t="str">
        <f t="shared" si="71"/>
        <v/>
      </c>
      <c r="C933" t="str">
        <f t="shared" si="72"/>
        <v/>
      </c>
      <c r="D933" t="str">
        <f>IF(E933="","",IF(COUNTIF($E$2:E933,E933)&gt;1,"",SUMIFS(tbl_input[필요수량],tbl_input[집계키_지청],E933)))</f>
        <v/>
      </c>
      <c r="E933" t="str">
        <f>IFERROR(INDEX(tbl_input[집계키_지청],ROW()-1),"")</f>
        <v/>
      </c>
      <c r="F933" t="str">
        <f t="shared" si="73"/>
        <v/>
      </c>
      <c r="G933" t="str">
        <f t="shared" si="74"/>
        <v/>
      </c>
    </row>
    <row r="934" spans="1:7" x14ac:dyDescent="0.4">
      <c r="A934" t="str">
        <f t="shared" si="70"/>
        <v/>
      </c>
      <c r="B934" t="str">
        <f t="shared" si="71"/>
        <v/>
      </c>
      <c r="C934" t="str">
        <f t="shared" si="72"/>
        <v/>
      </c>
      <c r="D934" t="str">
        <f>IF(E934="","",IF(COUNTIF($E$2:E934,E934)&gt;1,"",SUMIFS(tbl_input[필요수량],tbl_input[집계키_지청],E934)))</f>
        <v/>
      </c>
      <c r="E934" t="str">
        <f>IFERROR(INDEX(tbl_input[집계키_지청],ROW()-1),"")</f>
        <v/>
      </c>
      <c r="F934" t="str">
        <f t="shared" si="73"/>
        <v/>
      </c>
      <c r="G934" t="str">
        <f t="shared" si="74"/>
        <v/>
      </c>
    </row>
    <row r="935" spans="1:7" x14ac:dyDescent="0.4">
      <c r="A935" t="str">
        <f t="shared" si="70"/>
        <v/>
      </c>
      <c r="B935" t="str">
        <f t="shared" si="71"/>
        <v/>
      </c>
      <c r="C935" t="str">
        <f t="shared" si="72"/>
        <v/>
      </c>
      <c r="D935" t="str">
        <f>IF(E935="","",IF(COUNTIF($E$2:E935,E935)&gt;1,"",SUMIFS(tbl_input[필요수량],tbl_input[집계키_지청],E935)))</f>
        <v/>
      </c>
      <c r="E935" t="str">
        <f>IFERROR(INDEX(tbl_input[집계키_지청],ROW()-1),"")</f>
        <v/>
      </c>
      <c r="F935" t="str">
        <f t="shared" si="73"/>
        <v/>
      </c>
      <c r="G935" t="str">
        <f t="shared" si="74"/>
        <v/>
      </c>
    </row>
    <row r="936" spans="1:7" x14ac:dyDescent="0.4">
      <c r="A936" t="str">
        <f t="shared" si="70"/>
        <v/>
      </c>
      <c r="B936" t="str">
        <f t="shared" si="71"/>
        <v/>
      </c>
      <c r="C936" t="str">
        <f t="shared" si="72"/>
        <v/>
      </c>
      <c r="D936" t="str">
        <f>IF(E936="","",IF(COUNTIF($E$2:E936,E936)&gt;1,"",SUMIFS(tbl_input[필요수량],tbl_input[집계키_지청],E936)))</f>
        <v/>
      </c>
      <c r="E936" t="str">
        <f>IFERROR(INDEX(tbl_input[집계키_지청],ROW()-1),"")</f>
        <v/>
      </c>
      <c r="F936" t="str">
        <f t="shared" si="73"/>
        <v/>
      </c>
      <c r="G936" t="str">
        <f t="shared" si="74"/>
        <v/>
      </c>
    </row>
    <row r="937" spans="1:7" x14ac:dyDescent="0.4">
      <c r="A937" t="str">
        <f t="shared" si="70"/>
        <v/>
      </c>
      <c r="B937" t="str">
        <f t="shared" si="71"/>
        <v/>
      </c>
      <c r="C937" t="str">
        <f t="shared" si="72"/>
        <v/>
      </c>
      <c r="D937" t="str">
        <f>IF(E937="","",IF(COUNTIF($E$2:E937,E937)&gt;1,"",SUMIFS(tbl_input[필요수량],tbl_input[집계키_지청],E937)))</f>
        <v/>
      </c>
      <c r="E937" t="str">
        <f>IFERROR(INDEX(tbl_input[집계키_지청],ROW()-1),"")</f>
        <v/>
      </c>
      <c r="F937" t="str">
        <f t="shared" si="73"/>
        <v/>
      </c>
      <c r="G937" t="str">
        <f t="shared" si="74"/>
        <v/>
      </c>
    </row>
    <row r="938" spans="1:7" x14ac:dyDescent="0.4">
      <c r="A938" t="str">
        <f t="shared" si="70"/>
        <v/>
      </c>
      <c r="B938" t="str">
        <f t="shared" si="71"/>
        <v/>
      </c>
      <c r="C938" t="str">
        <f t="shared" si="72"/>
        <v/>
      </c>
      <c r="D938" t="str">
        <f>IF(E938="","",IF(COUNTIF($E$2:E938,E938)&gt;1,"",SUMIFS(tbl_input[필요수량],tbl_input[집계키_지청],E938)))</f>
        <v/>
      </c>
      <c r="E938" t="str">
        <f>IFERROR(INDEX(tbl_input[집계키_지청],ROW()-1),"")</f>
        <v/>
      </c>
      <c r="F938" t="str">
        <f t="shared" si="73"/>
        <v/>
      </c>
      <c r="G938" t="str">
        <f t="shared" si="74"/>
        <v/>
      </c>
    </row>
    <row r="939" spans="1:7" x14ac:dyDescent="0.4">
      <c r="A939" t="str">
        <f t="shared" si="70"/>
        <v/>
      </c>
      <c r="B939" t="str">
        <f t="shared" si="71"/>
        <v/>
      </c>
      <c r="C939" t="str">
        <f t="shared" si="72"/>
        <v/>
      </c>
      <c r="D939" t="str">
        <f>IF(E939="","",IF(COUNTIF($E$2:E939,E939)&gt;1,"",SUMIFS(tbl_input[필요수량],tbl_input[집계키_지청],E939)))</f>
        <v/>
      </c>
      <c r="E939" t="str">
        <f>IFERROR(INDEX(tbl_input[집계키_지청],ROW()-1),"")</f>
        <v/>
      </c>
      <c r="F939" t="str">
        <f t="shared" si="73"/>
        <v/>
      </c>
      <c r="G939" t="str">
        <f t="shared" si="74"/>
        <v/>
      </c>
    </row>
    <row r="940" spans="1:7" x14ac:dyDescent="0.4">
      <c r="A940" t="str">
        <f t="shared" si="70"/>
        <v/>
      </c>
      <c r="B940" t="str">
        <f t="shared" si="71"/>
        <v/>
      </c>
      <c r="C940" t="str">
        <f t="shared" si="72"/>
        <v/>
      </c>
      <c r="D940" t="str">
        <f>IF(E940="","",IF(COUNTIF($E$2:E940,E940)&gt;1,"",SUMIFS(tbl_input[필요수량],tbl_input[집계키_지청],E940)))</f>
        <v/>
      </c>
      <c r="E940" t="str">
        <f>IFERROR(INDEX(tbl_input[집계키_지청],ROW()-1),"")</f>
        <v/>
      </c>
      <c r="F940" t="str">
        <f t="shared" si="73"/>
        <v/>
      </c>
      <c r="G940" t="str">
        <f t="shared" si="74"/>
        <v/>
      </c>
    </row>
    <row r="941" spans="1:7" x14ac:dyDescent="0.4">
      <c r="A941" t="str">
        <f t="shared" si="70"/>
        <v/>
      </c>
      <c r="B941" t="str">
        <f t="shared" si="71"/>
        <v/>
      </c>
      <c r="C941" t="str">
        <f t="shared" si="72"/>
        <v/>
      </c>
      <c r="D941" t="str">
        <f>IF(E941="","",IF(COUNTIF($E$2:E941,E941)&gt;1,"",SUMIFS(tbl_input[필요수량],tbl_input[집계키_지청],E941)))</f>
        <v/>
      </c>
      <c r="E941" t="str">
        <f>IFERROR(INDEX(tbl_input[집계키_지청],ROW()-1),"")</f>
        <v/>
      </c>
      <c r="F941" t="str">
        <f t="shared" si="73"/>
        <v/>
      </c>
      <c r="G941" t="str">
        <f t="shared" si="74"/>
        <v/>
      </c>
    </row>
    <row r="942" spans="1:7" x14ac:dyDescent="0.4">
      <c r="A942" t="str">
        <f t="shared" si="70"/>
        <v/>
      </c>
      <c r="B942" t="str">
        <f t="shared" si="71"/>
        <v/>
      </c>
      <c r="C942" t="str">
        <f t="shared" si="72"/>
        <v/>
      </c>
      <c r="D942" t="str">
        <f>IF(E942="","",IF(COUNTIF($E$2:E942,E942)&gt;1,"",SUMIFS(tbl_input[필요수량],tbl_input[집계키_지청],E942)))</f>
        <v/>
      </c>
      <c r="E942" t="str">
        <f>IFERROR(INDEX(tbl_input[집계키_지청],ROW()-1),"")</f>
        <v/>
      </c>
      <c r="F942" t="str">
        <f t="shared" si="73"/>
        <v/>
      </c>
      <c r="G942" t="str">
        <f t="shared" si="74"/>
        <v/>
      </c>
    </row>
    <row r="943" spans="1:7" x14ac:dyDescent="0.4">
      <c r="A943" t="str">
        <f t="shared" si="70"/>
        <v/>
      </c>
      <c r="B943" t="str">
        <f t="shared" si="71"/>
        <v/>
      </c>
      <c r="C943" t="str">
        <f t="shared" si="72"/>
        <v/>
      </c>
      <c r="D943" t="str">
        <f>IF(E943="","",IF(COUNTIF($E$2:E943,E943)&gt;1,"",SUMIFS(tbl_input[필요수량],tbl_input[집계키_지청],E943)))</f>
        <v/>
      </c>
      <c r="E943" t="str">
        <f>IFERROR(INDEX(tbl_input[집계키_지청],ROW()-1),"")</f>
        <v/>
      </c>
      <c r="F943" t="str">
        <f t="shared" si="73"/>
        <v/>
      </c>
      <c r="G943" t="str">
        <f t="shared" si="74"/>
        <v/>
      </c>
    </row>
    <row r="944" spans="1:7" x14ac:dyDescent="0.4">
      <c r="A944" t="str">
        <f t="shared" si="70"/>
        <v/>
      </c>
      <c r="B944" t="str">
        <f t="shared" si="71"/>
        <v/>
      </c>
      <c r="C944" t="str">
        <f t="shared" si="72"/>
        <v/>
      </c>
      <c r="D944" t="str">
        <f>IF(E944="","",IF(COUNTIF($E$2:E944,E944)&gt;1,"",SUMIFS(tbl_input[필요수량],tbl_input[집계키_지청],E944)))</f>
        <v/>
      </c>
      <c r="E944" t="str">
        <f>IFERROR(INDEX(tbl_input[집계키_지청],ROW()-1),"")</f>
        <v/>
      </c>
      <c r="F944" t="str">
        <f t="shared" si="73"/>
        <v/>
      </c>
      <c r="G944" t="str">
        <f t="shared" si="74"/>
        <v/>
      </c>
    </row>
    <row r="945" spans="1:7" x14ac:dyDescent="0.4">
      <c r="A945" t="str">
        <f t="shared" si="70"/>
        <v/>
      </c>
      <c r="B945" t="str">
        <f t="shared" si="71"/>
        <v/>
      </c>
      <c r="C945" t="str">
        <f t="shared" si="72"/>
        <v/>
      </c>
      <c r="D945" t="str">
        <f>IF(E945="","",IF(COUNTIF($E$2:E945,E945)&gt;1,"",SUMIFS(tbl_input[필요수량],tbl_input[집계키_지청],E945)))</f>
        <v/>
      </c>
      <c r="E945" t="str">
        <f>IFERROR(INDEX(tbl_input[집계키_지청],ROW()-1),"")</f>
        <v/>
      </c>
      <c r="F945" t="str">
        <f t="shared" si="73"/>
        <v/>
      </c>
      <c r="G945" t="str">
        <f t="shared" si="74"/>
        <v/>
      </c>
    </row>
    <row r="946" spans="1:7" x14ac:dyDescent="0.4">
      <c r="A946" t="str">
        <f t="shared" si="70"/>
        <v/>
      </c>
      <c r="B946" t="str">
        <f t="shared" si="71"/>
        <v/>
      </c>
      <c r="C946" t="str">
        <f t="shared" si="72"/>
        <v/>
      </c>
      <c r="D946" t="str">
        <f>IF(E946="","",IF(COUNTIF($E$2:E946,E946)&gt;1,"",SUMIFS(tbl_input[필요수량],tbl_input[집계키_지청],E946)))</f>
        <v/>
      </c>
      <c r="E946" t="str">
        <f>IFERROR(INDEX(tbl_input[집계키_지청],ROW()-1),"")</f>
        <v/>
      </c>
      <c r="F946" t="str">
        <f t="shared" si="73"/>
        <v/>
      </c>
      <c r="G946" t="str">
        <f t="shared" si="74"/>
        <v/>
      </c>
    </row>
    <row r="947" spans="1:7" x14ac:dyDescent="0.4">
      <c r="A947" t="str">
        <f t="shared" si="70"/>
        <v/>
      </c>
      <c r="B947" t="str">
        <f t="shared" si="71"/>
        <v/>
      </c>
      <c r="C947" t="str">
        <f t="shared" si="72"/>
        <v/>
      </c>
      <c r="D947" t="str">
        <f>IF(E947="","",IF(COUNTIF($E$2:E947,E947)&gt;1,"",SUMIFS(tbl_input[필요수량],tbl_input[집계키_지청],E947)))</f>
        <v/>
      </c>
      <c r="E947" t="str">
        <f>IFERROR(INDEX(tbl_input[집계키_지청],ROW()-1),"")</f>
        <v/>
      </c>
      <c r="F947" t="str">
        <f t="shared" si="73"/>
        <v/>
      </c>
      <c r="G947" t="str">
        <f t="shared" si="74"/>
        <v/>
      </c>
    </row>
    <row r="948" spans="1:7" x14ac:dyDescent="0.4">
      <c r="A948" t="str">
        <f t="shared" si="70"/>
        <v/>
      </c>
      <c r="B948" t="str">
        <f t="shared" si="71"/>
        <v/>
      </c>
      <c r="C948" t="str">
        <f t="shared" si="72"/>
        <v/>
      </c>
      <c r="D948" t="str">
        <f>IF(E948="","",IF(COUNTIF($E$2:E948,E948)&gt;1,"",SUMIFS(tbl_input[필요수량],tbl_input[집계키_지청],E948)))</f>
        <v/>
      </c>
      <c r="E948" t="str">
        <f>IFERROR(INDEX(tbl_input[집계키_지청],ROW()-1),"")</f>
        <v/>
      </c>
      <c r="F948" t="str">
        <f t="shared" si="73"/>
        <v/>
      </c>
      <c r="G948" t="str">
        <f t="shared" si="74"/>
        <v/>
      </c>
    </row>
    <row r="949" spans="1:7" x14ac:dyDescent="0.4">
      <c r="A949" t="str">
        <f t="shared" si="70"/>
        <v/>
      </c>
      <c r="B949" t="str">
        <f t="shared" si="71"/>
        <v/>
      </c>
      <c r="C949" t="str">
        <f t="shared" si="72"/>
        <v/>
      </c>
      <c r="D949" t="str">
        <f>IF(E949="","",IF(COUNTIF($E$2:E949,E949)&gt;1,"",SUMIFS(tbl_input[필요수량],tbl_input[집계키_지청],E949)))</f>
        <v/>
      </c>
      <c r="E949" t="str">
        <f>IFERROR(INDEX(tbl_input[집계키_지청],ROW()-1),"")</f>
        <v/>
      </c>
      <c r="F949" t="str">
        <f t="shared" si="73"/>
        <v/>
      </c>
      <c r="G949" t="str">
        <f t="shared" si="74"/>
        <v/>
      </c>
    </row>
    <row r="950" spans="1:7" x14ac:dyDescent="0.4">
      <c r="A950" t="str">
        <f t="shared" si="70"/>
        <v/>
      </c>
      <c r="B950" t="str">
        <f t="shared" si="71"/>
        <v/>
      </c>
      <c r="C950" t="str">
        <f t="shared" si="72"/>
        <v/>
      </c>
      <c r="D950" t="str">
        <f>IF(E950="","",IF(COUNTIF($E$2:E950,E950)&gt;1,"",SUMIFS(tbl_input[필요수량],tbl_input[집계키_지청],E950)))</f>
        <v/>
      </c>
      <c r="E950" t="str">
        <f>IFERROR(INDEX(tbl_input[집계키_지청],ROW()-1),"")</f>
        <v/>
      </c>
      <c r="F950" t="str">
        <f t="shared" si="73"/>
        <v/>
      </c>
      <c r="G950" t="str">
        <f t="shared" si="74"/>
        <v/>
      </c>
    </row>
    <row r="951" spans="1:7" x14ac:dyDescent="0.4">
      <c r="A951" t="str">
        <f t="shared" si="70"/>
        <v/>
      </c>
      <c r="B951" t="str">
        <f t="shared" si="71"/>
        <v/>
      </c>
      <c r="C951" t="str">
        <f t="shared" si="72"/>
        <v/>
      </c>
      <c r="D951" t="str">
        <f>IF(E951="","",IF(COUNTIF($E$2:E951,E951)&gt;1,"",SUMIFS(tbl_input[필요수량],tbl_input[집계키_지청],E951)))</f>
        <v/>
      </c>
      <c r="E951" t="str">
        <f>IFERROR(INDEX(tbl_input[집계키_지청],ROW()-1),"")</f>
        <v/>
      </c>
      <c r="F951" t="str">
        <f t="shared" si="73"/>
        <v/>
      </c>
      <c r="G951" t="str">
        <f t="shared" si="74"/>
        <v/>
      </c>
    </row>
    <row r="952" spans="1:7" x14ac:dyDescent="0.4">
      <c r="A952" t="str">
        <f t="shared" si="70"/>
        <v/>
      </c>
      <c r="B952" t="str">
        <f t="shared" si="71"/>
        <v/>
      </c>
      <c r="C952" t="str">
        <f t="shared" si="72"/>
        <v/>
      </c>
      <c r="D952" t="str">
        <f>IF(E952="","",IF(COUNTIF($E$2:E952,E952)&gt;1,"",SUMIFS(tbl_input[필요수량],tbl_input[집계키_지청],E952)))</f>
        <v/>
      </c>
      <c r="E952" t="str">
        <f>IFERROR(INDEX(tbl_input[집계키_지청],ROW()-1),"")</f>
        <v/>
      </c>
      <c r="F952" t="str">
        <f t="shared" si="73"/>
        <v/>
      </c>
      <c r="G952" t="str">
        <f t="shared" si="74"/>
        <v/>
      </c>
    </row>
    <row r="953" spans="1:7" x14ac:dyDescent="0.4">
      <c r="A953" t="str">
        <f t="shared" si="70"/>
        <v/>
      </c>
      <c r="B953" t="str">
        <f t="shared" si="71"/>
        <v/>
      </c>
      <c r="C953" t="str">
        <f t="shared" si="72"/>
        <v/>
      </c>
      <c r="D953" t="str">
        <f>IF(E953="","",IF(COUNTIF($E$2:E953,E953)&gt;1,"",SUMIFS(tbl_input[필요수량],tbl_input[집계키_지청],E953)))</f>
        <v/>
      </c>
      <c r="E953" t="str">
        <f>IFERROR(INDEX(tbl_input[집계키_지청],ROW()-1),"")</f>
        <v/>
      </c>
      <c r="F953" t="str">
        <f t="shared" si="73"/>
        <v/>
      </c>
      <c r="G953" t="str">
        <f t="shared" si="74"/>
        <v/>
      </c>
    </row>
    <row r="954" spans="1:7" x14ac:dyDescent="0.4">
      <c r="A954" t="str">
        <f t="shared" si="70"/>
        <v/>
      </c>
      <c r="B954" t="str">
        <f t="shared" si="71"/>
        <v/>
      </c>
      <c r="C954" t="str">
        <f t="shared" si="72"/>
        <v/>
      </c>
      <c r="D954" t="str">
        <f>IF(E954="","",IF(COUNTIF($E$2:E954,E954)&gt;1,"",SUMIFS(tbl_input[필요수량],tbl_input[집계키_지청],E954)))</f>
        <v/>
      </c>
      <c r="E954" t="str">
        <f>IFERROR(INDEX(tbl_input[집계키_지청],ROW()-1),"")</f>
        <v/>
      </c>
      <c r="F954" t="str">
        <f t="shared" si="73"/>
        <v/>
      </c>
      <c r="G954" t="str">
        <f t="shared" si="74"/>
        <v/>
      </c>
    </row>
    <row r="955" spans="1:7" x14ac:dyDescent="0.4">
      <c r="A955" t="str">
        <f t="shared" si="70"/>
        <v/>
      </c>
      <c r="B955" t="str">
        <f t="shared" si="71"/>
        <v/>
      </c>
      <c r="C955" t="str">
        <f t="shared" si="72"/>
        <v/>
      </c>
      <c r="D955" t="str">
        <f>IF(E955="","",IF(COUNTIF($E$2:E955,E955)&gt;1,"",SUMIFS(tbl_input[필요수량],tbl_input[집계키_지청],E955)))</f>
        <v/>
      </c>
      <c r="E955" t="str">
        <f>IFERROR(INDEX(tbl_input[집계키_지청],ROW()-1),"")</f>
        <v/>
      </c>
      <c r="F955" t="str">
        <f t="shared" si="73"/>
        <v/>
      </c>
      <c r="G955" t="str">
        <f t="shared" si="74"/>
        <v/>
      </c>
    </row>
    <row r="956" spans="1:7" x14ac:dyDescent="0.4">
      <c r="A956" t="str">
        <f t="shared" si="70"/>
        <v/>
      </c>
      <c r="B956" t="str">
        <f t="shared" si="71"/>
        <v/>
      </c>
      <c r="C956" t="str">
        <f t="shared" si="72"/>
        <v/>
      </c>
      <c r="D956" t="str">
        <f>IF(E956="","",IF(COUNTIF($E$2:E956,E956)&gt;1,"",SUMIFS(tbl_input[필요수량],tbl_input[집계키_지청],E956)))</f>
        <v/>
      </c>
      <c r="E956" t="str">
        <f>IFERROR(INDEX(tbl_input[집계키_지청],ROW()-1),"")</f>
        <v/>
      </c>
      <c r="F956" t="str">
        <f t="shared" si="73"/>
        <v/>
      </c>
      <c r="G956" t="str">
        <f t="shared" si="74"/>
        <v/>
      </c>
    </row>
    <row r="957" spans="1:7" x14ac:dyDescent="0.4">
      <c r="A957" t="str">
        <f t="shared" si="70"/>
        <v/>
      </c>
      <c r="B957" t="str">
        <f t="shared" si="71"/>
        <v/>
      </c>
      <c r="C957" t="str">
        <f t="shared" si="72"/>
        <v/>
      </c>
      <c r="D957" t="str">
        <f>IF(E957="","",IF(COUNTIF($E$2:E957,E957)&gt;1,"",SUMIFS(tbl_input[필요수량],tbl_input[집계키_지청],E957)))</f>
        <v/>
      </c>
      <c r="E957" t="str">
        <f>IFERROR(INDEX(tbl_input[집계키_지청],ROW()-1),"")</f>
        <v/>
      </c>
      <c r="F957" t="str">
        <f t="shared" si="73"/>
        <v/>
      </c>
      <c r="G957" t="str">
        <f t="shared" si="74"/>
        <v/>
      </c>
    </row>
    <row r="958" spans="1:7" x14ac:dyDescent="0.4">
      <c r="A958" t="str">
        <f t="shared" si="70"/>
        <v/>
      </c>
      <c r="B958" t="str">
        <f t="shared" si="71"/>
        <v/>
      </c>
      <c r="C958" t="str">
        <f t="shared" si="72"/>
        <v/>
      </c>
      <c r="D958" t="str">
        <f>IF(E958="","",IF(COUNTIF($E$2:E958,E958)&gt;1,"",SUMIFS(tbl_input[필요수량],tbl_input[집계키_지청],E958)))</f>
        <v/>
      </c>
      <c r="E958" t="str">
        <f>IFERROR(INDEX(tbl_input[집계키_지청],ROW()-1),"")</f>
        <v/>
      </c>
      <c r="F958" t="str">
        <f t="shared" si="73"/>
        <v/>
      </c>
      <c r="G958" t="str">
        <f t="shared" si="74"/>
        <v/>
      </c>
    </row>
    <row r="959" spans="1:7" x14ac:dyDescent="0.4">
      <c r="A959" t="str">
        <f t="shared" si="70"/>
        <v/>
      </c>
      <c r="B959" t="str">
        <f t="shared" si="71"/>
        <v/>
      </c>
      <c r="C959" t="str">
        <f t="shared" si="72"/>
        <v/>
      </c>
      <c r="D959" t="str">
        <f>IF(E959="","",IF(COUNTIF($E$2:E959,E959)&gt;1,"",SUMIFS(tbl_input[필요수량],tbl_input[집계키_지청],E959)))</f>
        <v/>
      </c>
      <c r="E959" t="str">
        <f>IFERROR(INDEX(tbl_input[집계키_지청],ROW()-1),"")</f>
        <v/>
      </c>
      <c r="F959" t="str">
        <f t="shared" si="73"/>
        <v/>
      </c>
      <c r="G959" t="str">
        <f t="shared" si="74"/>
        <v/>
      </c>
    </row>
    <row r="960" spans="1:7" x14ac:dyDescent="0.4">
      <c r="A960" t="str">
        <f t="shared" si="70"/>
        <v/>
      </c>
      <c r="B960" t="str">
        <f t="shared" si="71"/>
        <v/>
      </c>
      <c r="C960" t="str">
        <f t="shared" si="72"/>
        <v/>
      </c>
      <c r="D960" t="str">
        <f>IF(E960="","",IF(COUNTIF($E$2:E960,E960)&gt;1,"",SUMIFS(tbl_input[필요수량],tbl_input[집계키_지청],E960)))</f>
        <v/>
      </c>
      <c r="E960" t="str">
        <f>IFERROR(INDEX(tbl_input[집계키_지청],ROW()-1),"")</f>
        <v/>
      </c>
      <c r="F960" t="str">
        <f t="shared" si="73"/>
        <v/>
      </c>
      <c r="G960" t="str">
        <f t="shared" si="74"/>
        <v/>
      </c>
    </row>
    <row r="961" spans="1:7" x14ac:dyDescent="0.4">
      <c r="A961" t="str">
        <f t="shared" si="70"/>
        <v/>
      </c>
      <c r="B961" t="str">
        <f t="shared" si="71"/>
        <v/>
      </c>
      <c r="C961" t="str">
        <f t="shared" si="72"/>
        <v/>
      </c>
      <c r="D961" t="str">
        <f>IF(E961="","",IF(COUNTIF($E$2:E961,E961)&gt;1,"",SUMIFS(tbl_input[필요수량],tbl_input[집계키_지청],E961)))</f>
        <v/>
      </c>
      <c r="E961" t="str">
        <f>IFERROR(INDEX(tbl_input[집계키_지청],ROW()-1),"")</f>
        <v/>
      </c>
      <c r="F961" t="str">
        <f t="shared" si="73"/>
        <v/>
      </c>
      <c r="G961" t="str">
        <f t="shared" si="74"/>
        <v/>
      </c>
    </row>
    <row r="962" spans="1:7" x14ac:dyDescent="0.4">
      <c r="A962" t="str">
        <f t="shared" ref="A962:A1025" si="75">IF(E962="","",LEFT(E962,F962-1))</f>
        <v/>
      </c>
      <c r="B962" t="str">
        <f t="shared" ref="B962:B1025" si="76">IF(E962="","",MID(E962,F962+1,G962-F962-1))</f>
        <v/>
      </c>
      <c r="C962" t="str">
        <f t="shared" ref="C962:C1025" si="77">IF(E962="","",MID(E962,G962+1,999))</f>
        <v/>
      </c>
      <c r="D962" t="str">
        <f>IF(E962="","",IF(COUNTIF($E$2:E962,E962)&gt;1,"",SUMIFS(tbl_input[필요수량],tbl_input[집계키_지청],E962)))</f>
        <v/>
      </c>
      <c r="E962" t="str">
        <f>IFERROR(INDEX(tbl_input[집계키_지청],ROW()-1),"")</f>
        <v/>
      </c>
      <c r="F962" t="str">
        <f t="shared" ref="F962:F1025" si="78">IF(E962="","",FIND("♦",E962))</f>
        <v/>
      </c>
      <c r="G962" t="str">
        <f t="shared" ref="G962:G1025" si="79">IF(E962="","",FIND("♦",E962,F962+1))</f>
        <v/>
      </c>
    </row>
    <row r="963" spans="1:7" x14ac:dyDescent="0.4">
      <c r="A963" t="str">
        <f t="shared" si="75"/>
        <v/>
      </c>
      <c r="B963" t="str">
        <f t="shared" si="76"/>
        <v/>
      </c>
      <c r="C963" t="str">
        <f t="shared" si="77"/>
        <v/>
      </c>
      <c r="D963" t="str">
        <f>IF(E963="","",IF(COUNTIF($E$2:E963,E963)&gt;1,"",SUMIFS(tbl_input[필요수량],tbl_input[집계키_지청],E963)))</f>
        <v/>
      </c>
      <c r="E963" t="str">
        <f>IFERROR(INDEX(tbl_input[집계키_지청],ROW()-1),"")</f>
        <v/>
      </c>
      <c r="F963" t="str">
        <f t="shared" si="78"/>
        <v/>
      </c>
      <c r="G963" t="str">
        <f t="shared" si="79"/>
        <v/>
      </c>
    </row>
    <row r="964" spans="1:7" x14ac:dyDescent="0.4">
      <c r="A964" t="str">
        <f t="shared" si="75"/>
        <v/>
      </c>
      <c r="B964" t="str">
        <f t="shared" si="76"/>
        <v/>
      </c>
      <c r="C964" t="str">
        <f t="shared" si="77"/>
        <v/>
      </c>
      <c r="D964" t="str">
        <f>IF(E964="","",IF(COUNTIF($E$2:E964,E964)&gt;1,"",SUMIFS(tbl_input[필요수량],tbl_input[집계키_지청],E964)))</f>
        <v/>
      </c>
      <c r="E964" t="str">
        <f>IFERROR(INDEX(tbl_input[집계키_지청],ROW()-1),"")</f>
        <v/>
      </c>
      <c r="F964" t="str">
        <f t="shared" si="78"/>
        <v/>
      </c>
      <c r="G964" t="str">
        <f t="shared" si="79"/>
        <v/>
      </c>
    </row>
    <row r="965" spans="1:7" x14ac:dyDescent="0.4">
      <c r="A965" t="str">
        <f t="shared" si="75"/>
        <v/>
      </c>
      <c r="B965" t="str">
        <f t="shared" si="76"/>
        <v/>
      </c>
      <c r="C965" t="str">
        <f t="shared" si="77"/>
        <v/>
      </c>
      <c r="D965" t="str">
        <f>IF(E965="","",IF(COUNTIF($E$2:E965,E965)&gt;1,"",SUMIFS(tbl_input[필요수량],tbl_input[집계키_지청],E965)))</f>
        <v/>
      </c>
      <c r="E965" t="str">
        <f>IFERROR(INDEX(tbl_input[집계키_지청],ROW()-1),"")</f>
        <v/>
      </c>
      <c r="F965" t="str">
        <f t="shared" si="78"/>
        <v/>
      </c>
      <c r="G965" t="str">
        <f t="shared" si="79"/>
        <v/>
      </c>
    </row>
    <row r="966" spans="1:7" x14ac:dyDescent="0.4">
      <c r="A966" t="str">
        <f t="shared" si="75"/>
        <v/>
      </c>
      <c r="B966" t="str">
        <f t="shared" si="76"/>
        <v/>
      </c>
      <c r="C966" t="str">
        <f t="shared" si="77"/>
        <v/>
      </c>
      <c r="D966" t="str">
        <f>IF(E966="","",IF(COUNTIF($E$2:E966,E966)&gt;1,"",SUMIFS(tbl_input[필요수량],tbl_input[집계키_지청],E966)))</f>
        <v/>
      </c>
      <c r="E966" t="str">
        <f>IFERROR(INDEX(tbl_input[집계키_지청],ROW()-1),"")</f>
        <v/>
      </c>
      <c r="F966" t="str">
        <f t="shared" si="78"/>
        <v/>
      </c>
      <c r="G966" t="str">
        <f t="shared" si="79"/>
        <v/>
      </c>
    </row>
    <row r="967" spans="1:7" x14ac:dyDescent="0.4">
      <c r="A967" t="str">
        <f t="shared" si="75"/>
        <v/>
      </c>
      <c r="B967" t="str">
        <f t="shared" si="76"/>
        <v/>
      </c>
      <c r="C967" t="str">
        <f t="shared" si="77"/>
        <v/>
      </c>
      <c r="D967" t="str">
        <f>IF(E967="","",IF(COUNTIF($E$2:E967,E967)&gt;1,"",SUMIFS(tbl_input[필요수량],tbl_input[집계키_지청],E967)))</f>
        <v/>
      </c>
      <c r="E967" t="str">
        <f>IFERROR(INDEX(tbl_input[집계키_지청],ROW()-1),"")</f>
        <v/>
      </c>
      <c r="F967" t="str">
        <f t="shared" si="78"/>
        <v/>
      </c>
      <c r="G967" t="str">
        <f t="shared" si="79"/>
        <v/>
      </c>
    </row>
    <row r="968" spans="1:7" x14ac:dyDescent="0.4">
      <c r="A968" t="str">
        <f t="shared" si="75"/>
        <v/>
      </c>
      <c r="B968" t="str">
        <f t="shared" si="76"/>
        <v/>
      </c>
      <c r="C968" t="str">
        <f t="shared" si="77"/>
        <v/>
      </c>
      <c r="D968" t="str">
        <f>IF(E968="","",IF(COUNTIF($E$2:E968,E968)&gt;1,"",SUMIFS(tbl_input[필요수량],tbl_input[집계키_지청],E968)))</f>
        <v/>
      </c>
      <c r="E968" t="str">
        <f>IFERROR(INDEX(tbl_input[집계키_지청],ROW()-1),"")</f>
        <v/>
      </c>
      <c r="F968" t="str">
        <f t="shared" si="78"/>
        <v/>
      </c>
      <c r="G968" t="str">
        <f t="shared" si="79"/>
        <v/>
      </c>
    </row>
    <row r="969" spans="1:7" x14ac:dyDescent="0.4">
      <c r="A969" t="str">
        <f t="shared" si="75"/>
        <v/>
      </c>
      <c r="B969" t="str">
        <f t="shared" si="76"/>
        <v/>
      </c>
      <c r="C969" t="str">
        <f t="shared" si="77"/>
        <v/>
      </c>
      <c r="D969" t="str">
        <f>IF(E969="","",IF(COUNTIF($E$2:E969,E969)&gt;1,"",SUMIFS(tbl_input[필요수량],tbl_input[집계키_지청],E969)))</f>
        <v/>
      </c>
      <c r="E969" t="str">
        <f>IFERROR(INDEX(tbl_input[집계키_지청],ROW()-1),"")</f>
        <v/>
      </c>
      <c r="F969" t="str">
        <f t="shared" si="78"/>
        <v/>
      </c>
      <c r="G969" t="str">
        <f t="shared" si="79"/>
        <v/>
      </c>
    </row>
    <row r="970" spans="1:7" x14ac:dyDescent="0.4">
      <c r="A970" t="str">
        <f t="shared" si="75"/>
        <v/>
      </c>
      <c r="B970" t="str">
        <f t="shared" si="76"/>
        <v/>
      </c>
      <c r="C970" t="str">
        <f t="shared" si="77"/>
        <v/>
      </c>
      <c r="D970" t="str">
        <f>IF(E970="","",IF(COUNTIF($E$2:E970,E970)&gt;1,"",SUMIFS(tbl_input[필요수량],tbl_input[집계키_지청],E970)))</f>
        <v/>
      </c>
      <c r="E970" t="str">
        <f>IFERROR(INDEX(tbl_input[집계키_지청],ROW()-1),"")</f>
        <v/>
      </c>
      <c r="F970" t="str">
        <f t="shared" si="78"/>
        <v/>
      </c>
      <c r="G970" t="str">
        <f t="shared" si="79"/>
        <v/>
      </c>
    </row>
    <row r="971" spans="1:7" x14ac:dyDescent="0.4">
      <c r="A971" t="str">
        <f t="shared" si="75"/>
        <v/>
      </c>
      <c r="B971" t="str">
        <f t="shared" si="76"/>
        <v/>
      </c>
      <c r="C971" t="str">
        <f t="shared" si="77"/>
        <v/>
      </c>
      <c r="D971" t="str">
        <f>IF(E971="","",IF(COUNTIF($E$2:E971,E971)&gt;1,"",SUMIFS(tbl_input[필요수량],tbl_input[집계키_지청],E971)))</f>
        <v/>
      </c>
      <c r="E971" t="str">
        <f>IFERROR(INDEX(tbl_input[집계키_지청],ROW()-1),"")</f>
        <v/>
      </c>
      <c r="F971" t="str">
        <f t="shared" si="78"/>
        <v/>
      </c>
      <c r="G971" t="str">
        <f t="shared" si="79"/>
        <v/>
      </c>
    </row>
    <row r="972" spans="1:7" x14ac:dyDescent="0.4">
      <c r="A972" t="str">
        <f t="shared" si="75"/>
        <v/>
      </c>
      <c r="B972" t="str">
        <f t="shared" si="76"/>
        <v/>
      </c>
      <c r="C972" t="str">
        <f t="shared" si="77"/>
        <v/>
      </c>
      <c r="D972" t="str">
        <f>IF(E972="","",IF(COUNTIF($E$2:E972,E972)&gt;1,"",SUMIFS(tbl_input[필요수량],tbl_input[집계키_지청],E972)))</f>
        <v/>
      </c>
      <c r="E972" t="str">
        <f>IFERROR(INDEX(tbl_input[집계키_지청],ROW()-1),"")</f>
        <v/>
      </c>
      <c r="F972" t="str">
        <f t="shared" si="78"/>
        <v/>
      </c>
      <c r="G972" t="str">
        <f t="shared" si="79"/>
        <v/>
      </c>
    </row>
    <row r="973" spans="1:7" x14ac:dyDescent="0.4">
      <c r="A973" t="str">
        <f t="shared" si="75"/>
        <v/>
      </c>
      <c r="B973" t="str">
        <f t="shared" si="76"/>
        <v/>
      </c>
      <c r="C973" t="str">
        <f t="shared" si="77"/>
        <v/>
      </c>
      <c r="D973" t="str">
        <f>IF(E973="","",IF(COUNTIF($E$2:E973,E973)&gt;1,"",SUMIFS(tbl_input[필요수량],tbl_input[집계키_지청],E973)))</f>
        <v/>
      </c>
      <c r="E973" t="str">
        <f>IFERROR(INDEX(tbl_input[집계키_지청],ROW()-1),"")</f>
        <v/>
      </c>
      <c r="F973" t="str">
        <f t="shared" si="78"/>
        <v/>
      </c>
      <c r="G973" t="str">
        <f t="shared" si="79"/>
        <v/>
      </c>
    </row>
    <row r="974" spans="1:7" x14ac:dyDescent="0.4">
      <c r="A974" t="str">
        <f t="shared" si="75"/>
        <v/>
      </c>
      <c r="B974" t="str">
        <f t="shared" si="76"/>
        <v/>
      </c>
      <c r="C974" t="str">
        <f t="shared" si="77"/>
        <v/>
      </c>
      <c r="D974" t="str">
        <f>IF(E974="","",IF(COUNTIF($E$2:E974,E974)&gt;1,"",SUMIFS(tbl_input[필요수량],tbl_input[집계키_지청],E974)))</f>
        <v/>
      </c>
      <c r="E974" t="str">
        <f>IFERROR(INDEX(tbl_input[집계키_지청],ROW()-1),"")</f>
        <v/>
      </c>
      <c r="F974" t="str">
        <f t="shared" si="78"/>
        <v/>
      </c>
      <c r="G974" t="str">
        <f t="shared" si="79"/>
        <v/>
      </c>
    </row>
    <row r="975" spans="1:7" x14ac:dyDescent="0.4">
      <c r="A975" t="str">
        <f t="shared" si="75"/>
        <v/>
      </c>
      <c r="B975" t="str">
        <f t="shared" si="76"/>
        <v/>
      </c>
      <c r="C975" t="str">
        <f t="shared" si="77"/>
        <v/>
      </c>
      <c r="D975" t="str">
        <f>IF(E975="","",IF(COUNTIF($E$2:E975,E975)&gt;1,"",SUMIFS(tbl_input[필요수량],tbl_input[집계키_지청],E975)))</f>
        <v/>
      </c>
      <c r="E975" t="str">
        <f>IFERROR(INDEX(tbl_input[집계키_지청],ROW()-1),"")</f>
        <v/>
      </c>
      <c r="F975" t="str">
        <f t="shared" si="78"/>
        <v/>
      </c>
      <c r="G975" t="str">
        <f t="shared" si="79"/>
        <v/>
      </c>
    </row>
    <row r="976" spans="1:7" x14ac:dyDescent="0.4">
      <c r="A976" t="str">
        <f t="shared" si="75"/>
        <v/>
      </c>
      <c r="B976" t="str">
        <f t="shared" si="76"/>
        <v/>
      </c>
      <c r="C976" t="str">
        <f t="shared" si="77"/>
        <v/>
      </c>
      <c r="D976" t="str">
        <f>IF(E976="","",IF(COUNTIF($E$2:E976,E976)&gt;1,"",SUMIFS(tbl_input[필요수량],tbl_input[집계키_지청],E976)))</f>
        <v/>
      </c>
      <c r="E976" t="str">
        <f>IFERROR(INDEX(tbl_input[집계키_지청],ROW()-1),"")</f>
        <v/>
      </c>
      <c r="F976" t="str">
        <f t="shared" si="78"/>
        <v/>
      </c>
      <c r="G976" t="str">
        <f t="shared" si="79"/>
        <v/>
      </c>
    </row>
    <row r="977" spans="1:7" x14ac:dyDescent="0.4">
      <c r="A977" t="str">
        <f t="shared" si="75"/>
        <v/>
      </c>
      <c r="B977" t="str">
        <f t="shared" si="76"/>
        <v/>
      </c>
      <c r="C977" t="str">
        <f t="shared" si="77"/>
        <v/>
      </c>
      <c r="D977" t="str">
        <f>IF(E977="","",IF(COUNTIF($E$2:E977,E977)&gt;1,"",SUMIFS(tbl_input[필요수량],tbl_input[집계키_지청],E977)))</f>
        <v/>
      </c>
      <c r="E977" t="str">
        <f>IFERROR(INDEX(tbl_input[집계키_지청],ROW()-1),"")</f>
        <v/>
      </c>
      <c r="F977" t="str">
        <f t="shared" si="78"/>
        <v/>
      </c>
      <c r="G977" t="str">
        <f t="shared" si="79"/>
        <v/>
      </c>
    </row>
    <row r="978" spans="1:7" x14ac:dyDescent="0.4">
      <c r="A978" t="str">
        <f t="shared" si="75"/>
        <v/>
      </c>
      <c r="B978" t="str">
        <f t="shared" si="76"/>
        <v/>
      </c>
      <c r="C978" t="str">
        <f t="shared" si="77"/>
        <v/>
      </c>
      <c r="D978" t="str">
        <f>IF(E978="","",IF(COUNTIF($E$2:E978,E978)&gt;1,"",SUMIFS(tbl_input[필요수량],tbl_input[집계키_지청],E978)))</f>
        <v/>
      </c>
      <c r="E978" t="str">
        <f>IFERROR(INDEX(tbl_input[집계키_지청],ROW()-1),"")</f>
        <v/>
      </c>
      <c r="F978" t="str">
        <f t="shared" si="78"/>
        <v/>
      </c>
      <c r="G978" t="str">
        <f t="shared" si="79"/>
        <v/>
      </c>
    </row>
    <row r="979" spans="1:7" x14ac:dyDescent="0.4">
      <c r="A979" t="str">
        <f t="shared" si="75"/>
        <v/>
      </c>
      <c r="B979" t="str">
        <f t="shared" si="76"/>
        <v/>
      </c>
      <c r="C979" t="str">
        <f t="shared" si="77"/>
        <v/>
      </c>
      <c r="D979" t="str">
        <f>IF(E979="","",IF(COUNTIF($E$2:E979,E979)&gt;1,"",SUMIFS(tbl_input[필요수량],tbl_input[집계키_지청],E979)))</f>
        <v/>
      </c>
      <c r="E979" t="str">
        <f>IFERROR(INDEX(tbl_input[집계키_지청],ROW()-1),"")</f>
        <v/>
      </c>
      <c r="F979" t="str">
        <f t="shared" si="78"/>
        <v/>
      </c>
      <c r="G979" t="str">
        <f t="shared" si="79"/>
        <v/>
      </c>
    </row>
    <row r="980" spans="1:7" x14ac:dyDescent="0.4">
      <c r="A980" t="str">
        <f t="shared" si="75"/>
        <v/>
      </c>
      <c r="B980" t="str">
        <f t="shared" si="76"/>
        <v/>
      </c>
      <c r="C980" t="str">
        <f t="shared" si="77"/>
        <v/>
      </c>
      <c r="D980" t="str">
        <f>IF(E980="","",IF(COUNTIF($E$2:E980,E980)&gt;1,"",SUMIFS(tbl_input[필요수량],tbl_input[집계키_지청],E980)))</f>
        <v/>
      </c>
      <c r="E980" t="str">
        <f>IFERROR(INDEX(tbl_input[집계키_지청],ROW()-1),"")</f>
        <v/>
      </c>
      <c r="F980" t="str">
        <f t="shared" si="78"/>
        <v/>
      </c>
      <c r="G980" t="str">
        <f t="shared" si="79"/>
        <v/>
      </c>
    </row>
    <row r="981" spans="1:7" x14ac:dyDescent="0.4">
      <c r="A981" t="str">
        <f t="shared" si="75"/>
        <v/>
      </c>
      <c r="B981" t="str">
        <f t="shared" si="76"/>
        <v/>
      </c>
      <c r="C981" t="str">
        <f t="shared" si="77"/>
        <v/>
      </c>
      <c r="D981" t="str">
        <f>IF(E981="","",IF(COUNTIF($E$2:E981,E981)&gt;1,"",SUMIFS(tbl_input[필요수량],tbl_input[집계키_지청],E981)))</f>
        <v/>
      </c>
      <c r="E981" t="str">
        <f>IFERROR(INDEX(tbl_input[집계키_지청],ROW()-1),"")</f>
        <v/>
      </c>
      <c r="F981" t="str">
        <f t="shared" si="78"/>
        <v/>
      </c>
      <c r="G981" t="str">
        <f t="shared" si="79"/>
        <v/>
      </c>
    </row>
    <row r="982" spans="1:7" x14ac:dyDescent="0.4">
      <c r="A982" t="str">
        <f t="shared" si="75"/>
        <v/>
      </c>
      <c r="B982" t="str">
        <f t="shared" si="76"/>
        <v/>
      </c>
      <c r="C982" t="str">
        <f t="shared" si="77"/>
        <v/>
      </c>
      <c r="D982" t="str">
        <f>IF(E982="","",IF(COUNTIF($E$2:E982,E982)&gt;1,"",SUMIFS(tbl_input[필요수량],tbl_input[집계키_지청],E982)))</f>
        <v/>
      </c>
      <c r="E982" t="str">
        <f>IFERROR(INDEX(tbl_input[집계키_지청],ROW()-1),"")</f>
        <v/>
      </c>
      <c r="F982" t="str">
        <f t="shared" si="78"/>
        <v/>
      </c>
      <c r="G982" t="str">
        <f t="shared" si="79"/>
        <v/>
      </c>
    </row>
    <row r="983" spans="1:7" x14ac:dyDescent="0.4">
      <c r="A983" t="str">
        <f t="shared" si="75"/>
        <v/>
      </c>
      <c r="B983" t="str">
        <f t="shared" si="76"/>
        <v/>
      </c>
      <c r="C983" t="str">
        <f t="shared" si="77"/>
        <v/>
      </c>
      <c r="D983" t="str">
        <f>IF(E983="","",IF(COUNTIF($E$2:E983,E983)&gt;1,"",SUMIFS(tbl_input[필요수량],tbl_input[집계키_지청],E983)))</f>
        <v/>
      </c>
      <c r="E983" t="str">
        <f>IFERROR(INDEX(tbl_input[집계키_지청],ROW()-1),"")</f>
        <v/>
      </c>
      <c r="F983" t="str">
        <f t="shared" si="78"/>
        <v/>
      </c>
      <c r="G983" t="str">
        <f t="shared" si="79"/>
        <v/>
      </c>
    </row>
    <row r="984" spans="1:7" x14ac:dyDescent="0.4">
      <c r="A984" t="str">
        <f t="shared" si="75"/>
        <v/>
      </c>
      <c r="B984" t="str">
        <f t="shared" si="76"/>
        <v/>
      </c>
      <c r="C984" t="str">
        <f t="shared" si="77"/>
        <v/>
      </c>
      <c r="D984" t="str">
        <f>IF(E984="","",IF(COUNTIF($E$2:E984,E984)&gt;1,"",SUMIFS(tbl_input[필요수량],tbl_input[집계키_지청],E984)))</f>
        <v/>
      </c>
      <c r="E984" t="str">
        <f>IFERROR(INDEX(tbl_input[집계키_지청],ROW()-1),"")</f>
        <v/>
      </c>
      <c r="F984" t="str">
        <f t="shared" si="78"/>
        <v/>
      </c>
      <c r="G984" t="str">
        <f t="shared" si="79"/>
        <v/>
      </c>
    </row>
    <row r="985" spans="1:7" x14ac:dyDescent="0.4">
      <c r="A985" t="str">
        <f t="shared" si="75"/>
        <v/>
      </c>
      <c r="B985" t="str">
        <f t="shared" si="76"/>
        <v/>
      </c>
      <c r="C985" t="str">
        <f t="shared" si="77"/>
        <v/>
      </c>
      <c r="D985" t="str">
        <f>IF(E985="","",IF(COUNTIF($E$2:E985,E985)&gt;1,"",SUMIFS(tbl_input[필요수량],tbl_input[집계키_지청],E985)))</f>
        <v/>
      </c>
      <c r="E985" t="str">
        <f>IFERROR(INDEX(tbl_input[집계키_지청],ROW()-1),"")</f>
        <v/>
      </c>
      <c r="F985" t="str">
        <f t="shared" si="78"/>
        <v/>
      </c>
      <c r="G985" t="str">
        <f t="shared" si="79"/>
        <v/>
      </c>
    </row>
    <row r="986" spans="1:7" x14ac:dyDescent="0.4">
      <c r="A986" t="str">
        <f t="shared" si="75"/>
        <v/>
      </c>
      <c r="B986" t="str">
        <f t="shared" si="76"/>
        <v/>
      </c>
      <c r="C986" t="str">
        <f t="shared" si="77"/>
        <v/>
      </c>
      <c r="D986" t="str">
        <f>IF(E986="","",IF(COUNTIF($E$2:E986,E986)&gt;1,"",SUMIFS(tbl_input[필요수량],tbl_input[집계키_지청],E986)))</f>
        <v/>
      </c>
      <c r="E986" t="str">
        <f>IFERROR(INDEX(tbl_input[집계키_지청],ROW()-1),"")</f>
        <v/>
      </c>
      <c r="F986" t="str">
        <f t="shared" si="78"/>
        <v/>
      </c>
      <c r="G986" t="str">
        <f t="shared" si="79"/>
        <v/>
      </c>
    </row>
    <row r="987" spans="1:7" x14ac:dyDescent="0.4">
      <c r="A987" t="str">
        <f t="shared" si="75"/>
        <v/>
      </c>
      <c r="B987" t="str">
        <f t="shared" si="76"/>
        <v/>
      </c>
      <c r="C987" t="str">
        <f t="shared" si="77"/>
        <v/>
      </c>
      <c r="D987" t="str">
        <f>IF(E987="","",IF(COUNTIF($E$2:E987,E987)&gt;1,"",SUMIFS(tbl_input[필요수량],tbl_input[집계키_지청],E987)))</f>
        <v/>
      </c>
      <c r="E987" t="str">
        <f>IFERROR(INDEX(tbl_input[집계키_지청],ROW()-1),"")</f>
        <v/>
      </c>
      <c r="F987" t="str">
        <f t="shared" si="78"/>
        <v/>
      </c>
      <c r="G987" t="str">
        <f t="shared" si="79"/>
        <v/>
      </c>
    </row>
    <row r="988" spans="1:7" x14ac:dyDescent="0.4">
      <c r="A988" t="str">
        <f t="shared" si="75"/>
        <v/>
      </c>
      <c r="B988" t="str">
        <f t="shared" si="76"/>
        <v/>
      </c>
      <c r="C988" t="str">
        <f t="shared" si="77"/>
        <v/>
      </c>
      <c r="D988" t="str">
        <f>IF(E988="","",IF(COUNTIF($E$2:E988,E988)&gt;1,"",SUMIFS(tbl_input[필요수량],tbl_input[집계키_지청],E988)))</f>
        <v/>
      </c>
      <c r="E988" t="str">
        <f>IFERROR(INDEX(tbl_input[집계키_지청],ROW()-1),"")</f>
        <v/>
      </c>
      <c r="F988" t="str">
        <f t="shared" si="78"/>
        <v/>
      </c>
      <c r="G988" t="str">
        <f t="shared" si="79"/>
        <v/>
      </c>
    </row>
    <row r="989" spans="1:7" x14ac:dyDescent="0.4">
      <c r="A989" t="str">
        <f t="shared" si="75"/>
        <v/>
      </c>
      <c r="B989" t="str">
        <f t="shared" si="76"/>
        <v/>
      </c>
      <c r="C989" t="str">
        <f t="shared" si="77"/>
        <v/>
      </c>
      <c r="D989" t="str">
        <f>IF(E989="","",IF(COUNTIF($E$2:E989,E989)&gt;1,"",SUMIFS(tbl_input[필요수량],tbl_input[집계키_지청],E989)))</f>
        <v/>
      </c>
      <c r="E989" t="str">
        <f>IFERROR(INDEX(tbl_input[집계키_지청],ROW()-1),"")</f>
        <v/>
      </c>
      <c r="F989" t="str">
        <f t="shared" si="78"/>
        <v/>
      </c>
      <c r="G989" t="str">
        <f t="shared" si="79"/>
        <v/>
      </c>
    </row>
    <row r="990" spans="1:7" x14ac:dyDescent="0.4">
      <c r="A990" t="str">
        <f t="shared" si="75"/>
        <v/>
      </c>
      <c r="B990" t="str">
        <f t="shared" si="76"/>
        <v/>
      </c>
      <c r="C990" t="str">
        <f t="shared" si="77"/>
        <v/>
      </c>
      <c r="D990" t="str">
        <f>IF(E990="","",IF(COUNTIF($E$2:E990,E990)&gt;1,"",SUMIFS(tbl_input[필요수량],tbl_input[집계키_지청],E990)))</f>
        <v/>
      </c>
      <c r="E990" t="str">
        <f>IFERROR(INDEX(tbl_input[집계키_지청],ROW()-1),"")</f>
        <v/>
      </c>
      <c r="F990" t="str">
        <f t="shared" si="78"/>
        <v/>
      </c>
      <c r="G990" t="str">
        <f t="shared" si="79"/>
        <v/>
      </c>
    </row>
    <row r="991" spans="1:7" x14ac:dyDescent="0.4">
      <c r="A991" t="str">
        <f t="shared" si="75"/>
        <v/>
      </c>
      <c r="B991" t="str">
        <f t="shared" si="76"/>
        <v/>
      </c>
      <c r="C991" t="str">
        <f t="shared" si="77"/>
        <v/>
      </c>
      <c r="D991" t="str">
        <f>IF(E991="","",IF(COUNTIF($E$2:E991,E991)&gt;1,"",SUMIFS(tbl_input[필요수량],tbl_input[집계키_지청],E991)))</f>
        <v/>
      </c>
      <c r="E991" t="str">
        <f>IFERROR(INDEX(tbl_input[집계키_지청],ROW()-1),"")</f>
        <v/>
      </c>
      <c r="F991" t="str">
        <f t="shared" si="78"/>
        <v/>
      </c>
      <c r="G991" t="str">
        <f t="shared" si="79"/>
        <v/>
      </c>
    </row>
    <row r="992" spans="1:7" x14ac:dyDescent="0.4">
      <c r="A992" t="str">
        <f t="shared" si="75"/>
        <v/>
      </c>
      <c r="B992" t="str">
        <f t="shared" si="76"/>
        <v/>
      </c>
      <c r="C992" t="str">
        <f t="shared" si="77"/>
        <v/>
      </c>
      <c r="D992" t="str">
        <f>IF(E992="","",IF(COUNTIF($E$2:E992,E992)&gt;1,"",SUMIFS(tbl_input[필요수량],tbl_input[집계키_지청],E992)))</f>
        <v/>
      </c>
      <c r="E992" t="str">
        <f>IFERROR(INDEX(tbl_input[집계키_지청],ROW()-1),"")</f>
        <v/>
      </c>
      <c r="F992" t="str">
        <f t="shared" si="78"/>
        <v/>
      </c>
      <c r="G992" t="str">
        <f t="shared" si="79"/>
        <v/>
      </c>
    </row>
    <row r="993" spans="1:7" x14ac:dyDescent="0.4">
      <c r="A993" t="str">
        <f t="shared" si="75"/>
        <v/>
      </c>
      <c r="B993" t="str">
        <f t="shared" si="76"/>
        <v/>
      </c>
      <c r="C993" t="str">
        <f t="shared" si="77"/>
        <v/>
      </c>
      <c r="D993" t="str">
        <f>IF(E993="","",IF(COUNTIF($E$2:E993,E993)&gt;1,"",SUMIFS(tbl_input[필요수량],tbl_input[집계키_지청],E993)))</f>
        <v/>
      </c>
      <c r="E993" t="str">
        <f>IFERROR(INDEX(tbl_input[집계키_지청],ROW()-1),"")</f>
        <v/>
      </c>
      <c r="F993" t="str">
        <f t="shared" si="78"/>
        <v/>
      </c>
      <c r="G993" t="str">
        <f t="shared" si="79"/>
        <v/>
      </c>
    </row>
    <row r="994" spans="1:7" x14ac:dyDescent="0.4">
      <c r="A994" t="str">
        <f t="shared" si="75"/>
        <v/>
      </c>
      <c r="B994" t="str">
        <f t="shared" si="76"/>
        <v/>
      </c>
      <c r="C994" t="str">
        <f t="shared" si="77"/>
        <v/>
      </c>
      <c r="D994" t="str">
        <f>IF(E994="","",IF(COUNTIF($E$2:E994,E994)&gt;1,"",SUMIFS(tbl_input[필요수량],tbl_input[집계키_지청],E994)))</f>
        <v/>
      </c>
      <c r="E994" t="str">
        <f>IFERROR(INDEX(tbl_input[집계키_지청],ROW()-1),"")</f>
        <v/>
      </c>
      <c r="F994" t="str">
        <f t="shared" si="78"/>
        <v/>
      </c>
      <c r="G994" t="str">
        <f t="shared" si="79"/>
        <v/>
      </c>
    </row>
    <row r="995" spans="1:7" x14ac:dyDescent="0.4">
      <c r="A995" t="str">
        <f t="shared" si="75"/>
        <v/>
      </c>
      <c r="B995" t="str">
        <f t="shared" si="76"/>
        <v/>
      </c>
      <c r="C995" t="str">
        <f t="shared" si="77"/>
        <v/>
      </c>
      <c r="D995" t="str">
        <f>IF(E995="","",IF(COUNTIF($E$2:E995,E995)&gt;1,"",SUMIFS(tbl_input[필요수량],tbl_input[집계키_지청],E995)))</f>
        <v/>
      </c>
      <c r="E995" t="str">
        <f>IFERROR(INDEX(tbl_input[집계키_지청],ROW()-1),"")</f>
        <v/>
      </c>
      <c r="F995" t="str">
        <f t="shared" si="78"/>
        <v/>
      </c>
      <c r="G995" t="str">
        <f t="shared" si="79"/>
        <v/>
      </c>
    </row>
    <row r="996" spans="1:7" x14ac:dyDescent="0.4">
      <c r="A996" t="str">
        <f t="shared" si="75"/>
        <v/>
      </c>
      <c r="B996" t="str">
        <f t="shared" si="76"/>
        <v/>
      </c>
      <c r="C996" t="str">
        <f t="shared" si="77"/>
        <v/>
      </c>
      <c r="D996" t="str">
        <f>IF(E996="","",IF(COUNTIF($E$2:E996,E996)&gt;1,"",SUMIFS(tbl_input[필요수량],tbl_input[집계키_지청],E996)))</f>
        <v/>
      </c>
      <c r="E996" t="str">
        <f>IFERROR(INDEX(tbl_input[집계키_지청],ROW()-1),"")</f>
        <v/>
      </c>
      <c r="F996" t="str">
        <f t="shared" si="78"/>
        <v/>
      </c>
      <c r="G996" t="str">
        <f t="shared" si="79"/>
        <v/>
      </c>
    </row>
    <row r="997" spans="1:7" x14ac:dyDescent="0.4">
      <c r="A997" t="str">
        <f t="shared" si="75"/>
        <v/>
      </c>
      <c r="B997" t="str">
        <f t="shared" si="76"/>
        <v/>
      </c>
      <c r="C997" t="str">
        <f t="shared" si="77"/>
        <v/>
      </c>
      <c r="D997" t="str">
        <f>IF(E997="","",IF(COUNTIF($E$2:E997,E997)&gt;1,"",SUMIFS(tbl_input[필요수량],tbl_input[집계키_지청],E997)))</f>
        <v/>
      </c>
      <c r="E997" t="str">
        <f>IFERROR(INDEX(tbl_input[집계키_지청],ROW()-1),"")</f>
        <v/>
      </c>
      <c r="F997" t="str">
        <f t="shared" si="78"/>
        <v/>
      </c>
      <c r="G997" t="str">
        <f t="shared" si="79"/>
        <v/>
      </c>
    </row>
    <row r="998" spans="1:7" x14ac:dyDescent="0.4">
      <c r="A998" t="str">
        <f t="shared" si="75"/>
        <v/>
      </c>
      <c r="B998" t="str">
        <f t="shared" si="76"/>
        <v/>
      </c>
      <c r="C998" t="str">
        <f t="shared" si="77"/>
        <v/>
      </c>
      <c r="D998" t="str">
        <f>IF(E998="","",IF(COUNTIF($E$2:E998,E998)&gt;1,"",SUMIFS(tbl_input[필요수량],tbl_input[집계키_지청],E998)))</f>
        <v/>
      </c>
      <c r="E998" t="str">
        <f>IFERROR(INDEX(tbl_input[집계키_지청],ROW()-1),"")</f>
        <v/>
      </c>
      <c r="F998" t="str">
        <f t="shared" si="78"/>
        <v/>
      </c>
      <c r="G998" t="str">
        <f t="shared" si="79"/>
        <v/>
      </c>
    </row>
    <row r="999" spans="1:7" x14ac:dyDescent="0.4">
      <c r="A999" t="str">
        <f t="shared" si="75"/>
        <v/>
      </c>
      <c r="B999" t="str">
        <f t="shared" si="76"/>
        <v/>
      </c>
      <c r="C999" t="str">
        <f t="shared" si="77"/>
        <v/>
      </c>
      <c r="D999" t="str">
        <f>IF(E999="","",IF(COUNTIF($E$2:E999,E999)&gt;1,"",SUMIFS(tbl_input[필요수량],tbl_input[집계키_지청],E999)))</f>
        <v/>
      </c>
      <c r="E999" t="str">
        <f>IFERROR(INDEX(tbl_input[집계키_지청],ROW()-1),"")</f>
        <v/>
      </c>
      <c r="F999" t="str">
        <f t="shared" si="78"/>
        <v/>
      </c>
      <c r="G999" t="str">
        <f t="shared" si="79"/>
        <v/>
      </c>
    </row>
    <row r="1000" spans="1:7" x14ac:dyDescent="0.4">
      <c r="A1000" t="str">
        <f t="shared" si="75"/>
        <v/>
      </c>
      <c r="B1000" t="str">
        <f t="shared" si="76"/>
        <v/>
      </c>
      <c r="C1000" t="str">
        <f t="shared" si="77"/>
        <v/>
      </c>
      <c r="D1000" t="str">
        <f>IF(E1000="","",IF(COUNTIF($E$2:E1000,E1000)&gt;1,"",SUMIFS(tbl_input[필요수량],tbl_input[집계키_지청],E1000)))</f>
        <v/>
      </c>
      <c r="E1000" t="str">
        <f>IFERROR(INDEX(tbl_input[집계키_지청],ROW()-1),"")</f>
        <v/>
      </c>
      <c r="F1000" t="str">
        <f t="shared" si="78"/>
        <v/>
      </c>
      <c r="G1000" t="str">
        <f t="shared" si="79"/>
        <v/>
      </c>
    </row>
    <row r="1001" spans="1:7" x14ac:dyDescent="0.4">
      <c r="A1001" t="str">
        <f t="shared" si="75"/>
        <v/>
      </c>
      <c r="B1001" t="str">
        <f t="shared" si="76"/>
        <v/>
      </c>
      <c r="C1001" t="str">
        <f t="shared" si="77"/>
        <v/>
      </c>
      <c r="D1001" t="str">
        <f>IF(E1001="","",IF(COUNTIF($E$2:E1001,E1001)&gt;1,"",SUMIFS(tbl_input[필요수량],tbl_input[집계키_지청],E1001)))</f>
        <v/>
      </c>
      <c r="E1001" t="str">
        <f>IFERROR(INDEX(tbl_input[집계키_지청],ROW()-1),"")</f>
        <v/>
      </c>
      <c r="F1001" t="str">
        <f t="shared" si="78"/>
        <v/>
      </c>
      <c r="G1001" t="str">
        <f t="shared" si="79"/>
        <v/>
      </c>
    </row>
    <row r="1002" spans="1:7" x14ac:dyDescent="0.4">
      <c r="A1002" t="str">
        <f t="shared" si="75"/>
        <v/>
      </c>
      <c r="B1002" t="str">
        <f t="shared" si="76"/>
        <v/>
      </c>
      <c r="C1002" t="str">
        <f t="shared" si="77"/>
        <v/>
      </c>
      <c r="D1002" t="str">
        <f>IF(E1002="","",IF(COUNTIF($E$2:E1002,E1002)&gt;1,"",SUMIFS(tbl_input[필요수량],tbl_input[집계키_지청],E1002)))</f>
        <v/>
      </c>
      <c r="E1002" t="str">
        <f>IFERROR(INDEX(tbl_input[집계키_지청],ROW()-1),"")</f>
        <v/>
      </c>
      <c r="F1002" t="str">
        <f t="shared" si="78"/>
        <v/>
      </c>
      <c r="G1002" t="str">
        <f t="shared" si="79"/>
        <v/>
      </c>
    </row>
    <row r="1003" spans="1:7" x14ac:dyDescent="0.4">
      <c r="A1003" t="str">
        <f t="shared" si="75"/>
        <v/>
      </c>
      <c r="B1003" t="str">
        <f t="shared" si="76"/>
        <v/>
      </c>
      <c r="C1003" t="str">
        <f t="shared" si="77"/>
        <v/>
      </c>
      <c r="D1003" t="str">
        <f>IF(E1003="","",IF(COUNTIF($E$2:E1003,E1003)&gt;1,"",SUMIFS(tbl_input[필요수량],tbl_input[집계키_지청],E1003)))</f>
        <v/>
      </c>
      <c r="E1003" t="str">
        <f>IFERROR(INDEX(tbl_input[집계키_지청],ROW()-1),"")</f>
        <v/>
      </c>
      <c r="F1003" t="str">
        <f t="shared" si="78"/>
        <v/>
      </c>
      <c r="G1003" t="str">
        <f t="shared" si="79"/>
        <v/>
      </c>
    </row>
    <row r="1004" spans="1:7" x14ac:dyDescent="0.4">
      <c r="A1004" t="str">
        <f t="shared" si="75"/>
        <v/>
      </c>
      <c r="B1004" t="str">
        <f t="shared" si="76"/>
        <v/>
      </c>
      <c r="C1004" t="str">
        <f t="shared" si="77"/>
        <v/>
      </c>
      <c r="D1004" t="str">
        <f>IF(E1004="","",IF(COUNTIF($E$2:E1004,E1004)&gt;1,"",SUMIFS(tbl_input[필요수량],tbl_input[집계키_지청],E1004)))</f>
        <v/>
      </c>
      <c r="E1004" t="str">
        <f>IFERROR(INDEX(tbl_input[집계키_지청],ROW()-1),"")</f>
        <v/>
      </c>
      <c r="F1004" t="str">
        <f t="shared" si="78"/>
        <v/>
      </c>
      <c r="G1004" t="str">
        <f t="shared" si="79"/>
        <v/>
      </c>
    </row>
    <row r="1005" spans="1:7" x14ac:dyDescent="0.4">
      <c r="A1005" t="str">
        <f t="shared" si="75"/>
        <v/>
      </c>
      <c r="B1005" t="str">
        <f t="shared" si="76"/>
        <v/>
      </c>
      <c r="C1005" t="str">
        <f t="shared" si="77"/>
        <v/>
      </c>
      <c r="D1005" t="str">
        <f>IF(E1005="","",IF(COUNTIF($E$2:E1005,E1005)&gt;1,"",SUMIFS(tbl_input[필요수량],tbl_input[집계키_지청],E1005)))</f>
        <v/>
      </c>
      <c r="E1005" t="str">
        <f>IFERROR(INDEX(tbl_input[집계키_지청],ROW()-1),"")</f>
        <v/>
      </c>
      <c r="F1005" t="str">
        <f t="shared" si="78"/>
        <v/>
      </c>
      <c r="G1005" t="str">
        <f t="shared" si="79"/>
        <v/>
      </c>
    </row>
    <row r="1006" spans="1:7" x14ac:dyDescent="0.4">
      <c r="A1006" t="str">
        <f t="shared" si="75"/>
        <v/>
      </c>
      <c r="B1006" t="str">
        <f t="shared" si="76"/>
        <v/>
      </c>
      <c r="C1006" t="str">
        <f t="shared" si="77"/>
        <v/>
      </c>
      <c r="D1006" t="str">
        <f>IF(E1006="","",IF(COUNTIF($E$2:E1006,E1006)&gt;1,"",SUMIFS(tbl_input[필요수량],tbl_input[집계키_지청],E1006)))</f>
        <v/>
      </c>
      <c r="E1006" t="str">
        <f>IFERROR(INDEX(tbl_input[집계키_지청],ROW()-1),"")</f>
        <v/>
      </c>
      <c r="F1006" t="str">
        <f t="shared" si="78"/>
        <v/>
      </c>
      <c r="G1006" t="str">
        <f t="shared" si="79"/>
        <v/>
      </c>
    </row>
    <row r="1007" spans="1:7" x14ac:dyDescent="0.4">
      <c r="A1007" t="str">
        <f t="shared" si="75"/>
        <v/>
      </c>
      <c r="B1007" t="str">
        <f t="shared" si="76"/>
        <v/>
      </c>
      <c r="C1007" t="str">
        <f t="shared" si="77"/>
        <v/>
      </c>
      <c r="D1007" t="str">
        <f>IF(E1007="","",IF(COUNTIF($E$2:E1007,E1007)&gt;1,"",SUMIFS(tbl_input[필요수량],tbl_input[집계키_지청],E1007)))</f>
        <v/>
      </c>
      <c r="E1007" t="str">
        <f>IFERROR(INDEX(tbl_input[집계키_지청],ROW()-1),"")</f>
        <v/>
      </c>
      <c r="F1007" t="str">
        <f t="shared" si="78"/>
        <v/>
      </c>
      <c r="G1007" t="str">
        <f t="shared" si="79"/>
        <v/>
      </c>
    </row>
    <row r="1008" spans="1:7" x14ac:dyDescent="0.4">
      <c r="A1008" t="str">
        <f t="shared" si="75"/>
        <v/>
      </c>
      <c r="B1008" t="str">
        <f t="shared" si="76"/>
        <v/>
      </c>
      <c r="C1008" t="str">
        <f t="shared" si="77"/>
        <v/>
      </c>
      <c r="D1008" t="str">
        <f>IF(E1008="","",IF(COUNTIF($E$2:E1008,E1008)&gt;1,"",SUMIFS(tbl_input[필요수량],tbl_input[집계키_지청],E1008)))</f>
        <v/>
      </c>
      <c r="E1008" t="str">
        <f>IFERROR(INDEX(tbl_input[집계키_지청],ROW()-1),"")</f>
        <v/>
      </c>
      <c r="F1008" t="str">
        <f t="shared" si="78"/>
        <v/>
      </c>
      <c r="G1008" t="str">
        <f t="shared" si="79"/>
        <v/>
      </c>
    </row>
    <row r="1009" spans="1:7" x14ac:dyDescent="0.4">
      <c r="A1009" t="str">
        <f t="shared" si="75"/>
        <v/>
      </c>
      <c r="B1009" t="str">
        <f t="shared" si="76"/>
        <v/>
      </c>
      <c r="C1009" t="str">
        <f t="shared" si="77"/>
        <v/>
      </c>
      <c r="D1009" t="str">
        <f>IF(E1009="","",IF(COUNTIF($E$2:E1009,E1009)&gt;1,"",SUMIFS(tbl_input[필요수량],tbl_input[집계키_지청],E1009)))</f>
        <v/>
      </c>
      <c r="E1009" t="str">
        <f>IFERROR(INDEX(tbl_input[집계키_지청],ROW()-1),"")</f>
        <v/>
      </c>
      <c r="F1009" t="str">
        <f t="shared" si="78"/>
        <v/>
      </c>
      <c r="G1009" t="str">
        <f t="shared" si="79"/>
        <v/>
      </c>
    </row>
    <row r="1010" spans="1:7" x14ac:dyDescent="0.4">
      <c r="A1010" t="str">
        <f t="shared" si="75"/>
        <v/>
      </c>
      <c r="B1010" t="str">
        <f t="shared" si="76"/>
        <v/>
      </c>
      <c r="C1010" t="str">
        <f t="shared" si="77"/>
        <v/>
      </c>
      <c r="D1010" t="str">
        <f>IF(E1010="","",IF(COUNTIF($E$2:E1010,E1010)&gt;1,"",SUMIFS(tbl_input[필요수량],tbl_input[집계키_지청],E1010)))</f>
        <v/>
      </c>
      <c r="E1010" t="str">
        <f>IFERROR(INDEX(tbl_input[집계키_지청],ROW()-1),"")</f>
        <v/>
      </c>
      <c r="F1010" t="str">
        <f t="shared" si="78"/>
        <v/>
      </c>
      <c r="G1010" t="str">
        <f t="shared" si="79"/>
        <v/>
      </c>
    </row>
    <row r="1011" spans="1:7" x14ac:dyDescent="0.4">
      <c r="A1011" t="str">
        <f t="shared" si="75"/>
        <v/>
      </c>
      <c r="B1011" t="str">
        <f t="shared" si="76"/>
        <v/>
      </c>
      <c r="C1011" t="str">
        <f t="shared" si="77"/>
        <v/>
      </c>
      <c r="D1011" t="str">
        <f>IF(E1011="","",IF(COUNTIF($E$2:E1011,E1011)&gt;1,"",SUMIFS(tbl_input[필요수량],tbl_input[집계키_지청],E1011)))</f>
        <v/>
      </c>
      <c r="E1011" t="str">
        <f>IFERROR(INDEX(tbl_input[집계키_지청],ROW()-1),"")</f>
        <v/>
      </c>
      <c r="F1011" t="str">
        <f t="shared" si="78"/>
        <v/>
      </c>
      <c r="G1011" t="str">
        <f t="shared" si="79"/>
        <v/>
      </c>
    </row>
    <row r="1012" spans="1:7" x14ac:dyDescent="0.4">
      <c r="A1012" t="str">
        <f t="shared" si="75"/>
        <v/>
      </c>
      <c r="B1012" t="str">
        <f t="shared" si="76"/>
        <v/>
      </c>
      <c r="C1012" t="str">
        <f t="shared" si="77"/>
        <v/>
      </c>
      <c r="D1012" t="str">
        <f>IF(E1012="","",IF(COUNTIF($E$2:E1012,E1012)&gt;1,"",SUMIFS(tbl_input[필요수량],tbl_input[집계키_지청],E1012)))</f>
        <v/>
      </c>
      <c r="E1012" t="str">
        <f>IFERROR(INDEX(tbl_input[집계키_지청],ROW()-1),"")</f>
        <v/>
      </c>
      <c r="F1012" t="str">
        <f t="shared" si="78"/>
        <v/>
      </c>
      <c r="G1012" t="str">
        <f t="shared" si="79"/>
        <v/>
      </c>
    </row>
    <row r="1013" spans="1:7" x14ac:dyDescent="0.4">
      <c r="A1013" t="str">
        <f t="shared" si="75"/>
        <v/>
      </c>
      <c r="B1013" t="str">
        <f t="shared" si="76"/>
        <v/>
      </c>
      <c r="C1013" t="str">
        <f t="shared" si="77"/>
        <v/>
      </c>
      <c r="D1013" t="str">
        <f>IF(E1013="","",IF(COUNTIF($E$2:E1013,E1013)&gt;1,"",SUMIFS(tbl_input[필요수량],tbl_input[집계키_지청],E1013)))</f>
        <v/>
      </c>
      <c r="E1013" t="str">
        <f>IFERROR(INDEX(tbl_input[집계키_지청],ROW()-1),"")</f>
        <v/>
      </c>
      <c r="F1013" t="str">
        <f t="shared" si="78"/>
        <v/>
      </c>
      <c r="G1013" t="str">
        <f t="shared" si="79"/>
        <v/>
      </c>
    </row>
    <row r="1014" spans="1:7" x14ac:dyDescent="0.4">
      <c r="A1014" t="str">
        <f t="shared" si="75"/>
        <v/>
      </c>
      <c r="B1014" t="str">
        <f t="shared" si="76"/>
        <v/>
      </c>
      <c r="C1014" t="str">
        <f t="shared" si="77"/>
        <v/>
      </c>
      <c r="D1014" t="str">
        <f>IF(E1014="","",IF(COUNTIF($E$2:E1014,E1014)&gt;1,"",SUMIFS(tbl_input[필요수량],tbl_input[집계키_지청],E1014)))</f>
        <v/>
      </c>
      <c r="E1014" t="str">
        <f>IFERROR(INDEX(tbl_input[집계키_지청],ROW()-1),"")</f>
        <v/>
      </c>
      <c r="F1014" t="str">
        <f t="shared" si="78"/>
        <v/>
      </c>
      <c r="G1014" t="str">
        <f t="shared" si="79"/>
        <v/>
      </c>
    </row>
    <row r="1015" spans="1:7" x14ac:dyDescent="0.4">
      <c r="A1015" t="str">
        <f t="shared" si="75"/>
        <v/>
      </c>
      <c r="B1015" t="str">
        <f t="shared" si="76"/>
        <v/>
      </c>
      <c r="C1015" t="str">
        <f t="shared" si="77"/>
        <v/>
      </c>
      <c r="D1015" t="str">
        <f>IF(E1015="","",IF(COUNTIF($E$2:E1015,E1015)&gt;1,"",SUMIFS(tbl_input[필요수량],tbl_input[집계키_지청],E1015)))</f>
        <v/>
      </c>
      <c r="E1015" t="str">
        <f>IFERROR(INDEX(tbl_input[집계키_지청],ROW()-1),"")</f>
        <v/>
      </c>
      <c r="F1015" t="str">
        <f t="shared" si="78"/>
        <v/>
      </c>
      <c r="G1015" t="str">
        <f t="shared" si="79"/>
        <v/>
      </c>
    </row>
    <row r="1016" spans="1:7" x14ac:dyDescent="0.4">
      <c r="A1016" t="str">
        <f t="shared" si="75"/>
        <v/>
      </c>
      <c r="B1016" t="str">
        <f t="shared" si="76"/>
        <v/>
      </c>
      <c r="C1016" t="str">
        <f t="shared" si="77"/>
        <v/>
      </c>
      <c r="D1016" t="str">
        <f>IF(E1016="","",IF(COUNTIF($E$2:E1016,E1016)&gt;1,"",SUMIFS(tbl_input[필요수량],tbl_input[집계키_지청],E1016)))</f>
        <v/>
      </c>
      <c r="E1016" t="str">
        <f>IFERROR(INDEX(tbl_input[집계키_지청],ROW()-1),"")</f>
        <v/>
      </c>
      <c r="F1016" t="str">
        <f t="shared" si="78"/>
        <v/>
      </c>
      <c r="G1016" t="str">
        <f t="shared" si="79"/>
        <v/>
      </c>
    </row>
    <row r="1017" spans="1:7" x14ac:dyDescent="0.4">
      <c r="A1017" t="str">
        <f t="shared" si="75"/>
        <v/>
      </c>
      <c r="B1017" t="str">
        <f t="shared" si="76"/>
        <v/>
      </c>
      <c r="C1017" t="str">
        <f t="shared" si="77"/>
        <v/>
      </c>
      <c r="D1017" t="str">
        <f>IF(E1017="","",IF(COUNTIF($E$2:E1017,E1017)&gt;1,"",SUMIFS(tbl_input[필요수량],tbl_input[집계키_지청],E1017)))</f>
        <v/>
      </c>
      <c r="E1017" t="str">
        <f>IFERROR(INDEX(tbl_input[집계키_지청],ROW()-1),"")</f>
        <v/>
      </c>
      <c r="F1017" t="str">
        <f t="shared" si="78"/>
        <v/>
      </c>
      <c r="G1017" t="str">
        <f t="shared" si="79"/>
        <v/>
      </c>
    </row>
    <row r="1018" spans="1:7" x14ac:dyDescent="0.4">
      <c r="A1018" t="str">
        <f t="shared" si="75"/>
        <v/>
      </c>
      <c r="B1018" t="str">
        <f t="shared" si="76"/>
        <v/>
      </c>
      <c r="C1018" t="str">
        <f t="shared" si="77"/>
        <v/>
      </c>
      <c r="D1018" t="str">
        <f>IF(E1018="","",IF(COUNTIF($E$2:E1018,E1018)&gt;1,"",SUMIFS(tbl_input[필요수량],tbl_input[집계키_지청],E1018)))</f>
        <v/>
      </c>
      <c r="E1018" t="str">
        <f>IFERROR(INDEX(tbl_input[집계키_지청],ROW()-1),"")</f>
        <v/>
      </c>
      <c r="F1018" t="str">
        <f t="shared" si="78"/>
        <v/>
      </c>
      <c r="G1018" t="str">
        <f t="shared" si="79"/>
        <v/>
      </c>
    </row>
    <row r="1019" spans="1:7" x14ac:dyDescent="0.4">
      <c r="A1019" t="str">
        <f t="shared" si="75"/>
        <v/>
      </c>
      <c r="B1019" t="str">
        <f t="shared" si="76"/>
        <v/>
      </c>
      <c r="C1019" t="str">
        <f t="shared" si="77"/>
        <v/>
      </c>
      <c r="D1019" t="str">
        <f>IF(E1019="","",IF(COUNTIF($E$2:E1019,E1019)&gt;1,"",SUMIFS(tbl_input[필요수량],tbl_input[집계키_지청],E1019)))</f>
        <v/>
      </c>
      <c r="E1019" t="str">
        <f>IFERROR(INDEX(tbl_input[집계키_지청],ROW()-1),"")</f>
        <v/>
      </c>
      <c r="F1019" t="str">
        <f t="shared" si="78"/>
        <v/>
      </c>
      <c r="G1019" t="str">
        <f t="shared" si="79"/>
        <v/>
      </c>
    </row>
    <row r="1020" spans="1:7" x14ac:dyDescent="0.4">
      <c r="A1020" t="str">
        <f t="shared" si="75"/>
        <v/>
      </c>
      <c r="B1020" t="str">
        <f t="shared" si="76"/>
        <v/>
      </c>
      <c r="C1020" t="str">
        <f t="shared" si="77"/>
        <v/>
      </c>
      <c r="D1020" t="str">
        <f>IF(E1020="","",IF(COUNTIF($E$2:E1020,E1020)&gt;1,"",SUMIFS(tbl_input[필요수량],tbl_input[집계키_지청],E1020)))</f>
        <v/>
      </c>
      <c r="E1020" t="str">
        <f>IFERROR(INDEX(tbl_input[집계키_지청],ROW()-1),"")</f>
        <v/>
      </c>
      <c r="F1020" t="str">
        <f t="shared" si="78"/>
        <v/>
      </c>
      <c r="G1020" t="str">
        <f t="shared" si="79"/>
        <v/>
      </c>
    </row>
    <row r="1021" spans="1:7" x14ac:dyDescent="0.4">
      <c r="A1021" t="str">
        <f t="shared" si="75"/>
        <v/>
      </c>
      <c r="B1021" t="str">
        <f t="shared" si="76"/>
        <v/>
      </c>
      <c r="C1021" t="str">
        <f t="shared" si="77"/>
        <v/>
      </c>
      <c r="D1021" t="str">
        <f>IF(E1021="","",IF(COUNTIF($E$2:E1021,E1021)&gt;1,"",SUMIFS(tbl_input[필요수량],tbl_input[집계키_지청],E1021)))</f>
        <v/>
      </c>
      <c r="E1021" t="str">
        <f>IFERROR(INDEX(tbl_input[집계키_지청],ROW()-1),"")</f>
        <v/>
      </c>
      <c r="F1021" t="str">
        <f t="shared" si="78"/>
        <v/>
      </c>
      <c r="G1021" t="str">
        <f t="shared" si="79"/>
        <v/>
      </c>
    </row>
    <row r="1022" spans="1:7" x14ac:dyDescent="0.4">
      <c r="A1022" t="str">
        <f t="shared" si="75"/>
        <v/>
      </c>
      <c r="B1022" t="str">
        <f t="shared" si="76"/>
        <v/>
      </c>
      <c r="C1022" t="str">
        <f t="shared" si="77"/>
        <v/>
      </c>
      <c r="D1022" t="str">
        <f>IF(E1022="","",IF(COUNTIF($E$2:E1022,E1022)&gt;1,"",SUMIFS(tbl_input[필요수량],tbl_input[집계키_지청],E1022)))</f>
        <v/>
      </c>
      <c r="E1022" t="str">
        <f>IFERROR(INDEX(tbl_input[집계키_지청],ROW()-1),"")</f>
        <v/>
      </c>
      <c r="F1022" t="str">
        <f t="shared" si="78"/>
        <v/>
      </c>
      <c r="G1022" t="str">
        <f t="shared" si="79"/>
        <v/>
      </c>
    </row>
    <row r="1023" spans="1:7" x14ac:dyDescent="0.4">
      <c r="A1023" t="str">
        <f t="shared" si="75"/>
        <v/>
      </c>
      <c r="B1023" t="str">
        <f t="shared" si="76"/>
        <v/>
      </c>
      <c r="C1023" t="str">
        <f t="shared" si="77"/>
        <v/>
      </c>
      <c r="D1023" t="str">
        <f>IF(E1023="","",IF(COUNTIF($E$2:E1023,E1023)&gt;1,"",SUMIFS(tbl_input[필요수량],tbl_input[집계키_지청],E1023)))</f>
        <v/>
      </c>
      <c r="E1023" t="str">
        <f>IFERROR(INDEX(tbl_input[집계키_지청],ROW()-1),"")</f>
        <v/>
      </c>
      <c r="F1023" t="str">
        <f t="shared" si="78"/>
        <v/>
      </c>
      <c r="G1023" t="str">
        <f t="shared" si="79"/>
        <v/>
      </c>
    </row>
    <row r="1024" spans="1:7" x14ac:dyDescent="0.4">
      <c r="A1024" t="str">
        <f t="shared" si="75"/>
        <v/>
      </c>
      <c r="B1024" t="str">
        <f t="shared" si="76"/>
        <v/>
      </c>
      <c r="C1024" t="str">
        <f t="shared" si="77"/>
        <v/>
      </c>
      <c r="D1024" t="str">
        <f>IF(E1024="","",IF(COUNTIF($E$2:E1024,E1024)&gt;1,"",SUMIFS(tbl_input[필요수량],tbl_input[집계키_지청],E1024)))</f>
        <v/>
      </c>
      <c r="E1024" t="str">
        <f>IFERROR(INDEX(tbl_input[집계키_지청],ROW()-1),"")</f>
        <v/>
      </c>
      <c r="F1024" t="str">
        <f t="shared" si="78"/>
        <v/>
      </c>
      <c r="G1024" t="str">
        <f t="shared" si="79"/>
        <v/>
      </c>
    </row>
    <row r="1025" spans="1:7" x14ac:dyDescent="0.4">
      <c r="A1025" t="str">
        <f t="shared" si="75"/>
        <v/>
      </c>
      <c r="B1025" t="str">
        <f t="shared" si="76"/>
        <v/>
      </c>
      <c r="C1025" t="str">
        <f t="shared" si="77"/>
        <v/>
      </c>
      <c r="D1025" t="str">
        <f>IF(E1025="","",IF(COUNTIF($E$2:E1025,E1025)&gt;1,"",SUMIFS(tbl_input[필요수량],tbl_input[집계키_지청],E1025)))</f>
        <v/>
      </c>
      <c r="E1025" t="str">
        <f>IFERROR(INDEX(tbl_input[집계키_지청],ROW()-1),"")</f>
        <v/>
      </c>
      <c r="F1025" t="str">
        <f t="shared" si="78"/>
        <v/>
      </c>
      <c r="G1025" t="str">
        <f t="shared" si="79"/>
        <v/>
      </c>
    </row>
    <row r="1026" spans="1:7" x14ac:dyDescent="0.4">
      <c r="A1026" t="str">
        <f t="shared" ref="A1026:A1089" si="80">IF(E1026="","",LEFT(E1026,F1026-1))</f>
        <v/>
      </c>
      <c r="B1026" t="str">
        <f t="shared" ref="B1026:B1089" si="81">IF(E1026="","",MID(E1026,F1026+1,G1026-F1026-1))</f>
        <v/>
      </c>
      <c r="C1026" t="str">
        <f t="shared" ref="C1026:C1089" si="82">IF(E1026="","",MID(E1026,G1026+1,999))</f>
        <v/>
      </c>
      <c r="D1026" t="str">
        <f>IF(E1026="","",IF(COUNTIF($E$2:E1026,E1026)&gt;1,"",SUMIFS(tbl_input[필요수량],tbl_input[집계키_지청],E1026)))</f>
        <v/>
      </c>
      <c r="E1026" t="str">
        <f>IFERROR(INDEX(tbl_input[집계키_지청],ROW()-1),"")</f>
        <v/>
      </c>
      <c r="F1026" t="str">
        <f t="shared" ref="F1026:F1089" si="83">IF(E1026="","",FIND("♦",E1026))</f>
        <v/>
      </c>
      <c r="G1026" t="str">
        <f t="shared" ref="G1026:G1089" si="84">IF(E1026="","",FIND("♦",E1026,F1026+1))</f>
        <v/>
      </c>
    </row>
    <row r="1027" spans="1:7" x14ac:dyDescent="0.4">
      <c r="A1027" t="str">
        <f t="shared" si="80"/>
        <v/>
      </c>
      <c r="B1027" t="str">
        <f t="shared" si="81"/>
        <v/>
      </c>
      <c r="C1027" t="str">
        <f t="shared" si="82"/>
        <v/>
      </c>
      <c r="D1027" t="str">
        <f>IF(E1027="","",IF(COUNTIF($E$2:E1027,E1027)&gt;1,"",SUMIFS(tbl_input[필요수량],tbl_input[집계키_지청],E1027)))</f>
        <v/>
      </c>
      <c r="E1027" t="str">
        <f>IFERROR(INDEX(tbl_input[집계키_지청],ROW()-1),"")</f>
        <v/>
      </c>
      <c r="F1027" t="str">
        <f t="shared" si="83"/>
        <v/>
      </c>
      <c r="G1027" t="str">
        <f t="shared" si="84"/>
        <v/>
      </c>
    </row>
    <row r="1028" spans="1:7" x14ac:dyDescent="0.4">
      <c r="A1028" t="str">
        <f t="shared" si="80"/>
        <v/>
      </c>
      <c r="B1028" t="str">
        <f t="shared" si="81"/>
        <v/>
      </c>
      <c r="C1028" t="str">
        <f t="shared" si="82"/>
        <v/>
      </c>
      <c r="D1028" t="str">
        <f>IF(E1028="","",IF(COUNTIF($E$2:E1028,E1028)&gt;1,"",SUMIFS(tbl_input[필요수량],tbl_input[집계키_지청],E1028)))</f>
        <v/>
      </c>
      <c r="E1028" t="str">
        <f>IFERROR(INDEX(tbl_input[집계키_지청],ROW()-1),"")</f>
        <v/>
      </c>
      <c r="F1028" t="str">
        <f t="shared" si="83"/>
        <v/>
      </c>
      <c r="G1028" t="str">
        <f t="shared" si="84"/>
        <v/>
      </c>
    </row>
    <row r="1029" spans="1:7" x14ac:dyDescent="0.4">
      <c r="A1029" t="str">
        <f t="shared" si="80"/>
        <v/>
      </c>
      <c r="B1029" t="str">
        <f t="shared" si="81"/>
        <v/>
      </c>
      <c r="C1029" t="str">
        <f t="shared" si="82"/>
        <v/>
      </c>
      <c r="D1029" t="str">
        <f>IF(E1029="","",IF(COUNTIF($E$2:E1029,E1029)&gt;1,"",SUMIFS(tbl_input[필요수량],tbl_input[집계키_지청],E1029)))</f>
        <v/>
      </c>
      <c r="E1029" t="str">
        <f>IFERROR(INDEX(tbl_input[집계키_지청],ROW()-1),"")</f>
        <v/>
      </c>
      <c r="F1029" t="str">
        <f t="shared" si="83"/>
        <v/>
      </c>
      <c r="G1029" t="str">
        <f t="shared" si="84"/>
        <v/>
      </c>
    </row>
    <row r="1030" spans="1:7" x14ac:dyDescent="0.4">
      <c r="A1030" t="str">
        <f t="shared" si="80"/>
        <v/>
      </c>
      <c r="B1030" t="str">
        <f t="shared" si="81"/>
        <v/>
      </c>
      <c r="C1030" t="str">
        <f t="shared" si="82"/>
        <v/>
      </c>
      <c r="D1030" t="str">
        <f>IF(E1030="","",IF(COUNTIF($E$2:E1030,E1030)&gt;1,"",SUMIFS(tbl_input[필요수량],tbl_input[집계키_지청],E1030)))</f>
        <v/>
      </c>
      <c r="E1030" t="str">
        <f>IFERROR(INDEX(tbl_input[집계키_지청],ROW()-1),"")</f>
        <v/>
      </c>
      <c r="F1030" t="str">
        <f t="shared" si="83"/>
        <v/>
      </c>
      <c r="G1030" t="str">
        <f t="shared" si="84"/>
        <v/>
      </c>
    </row>
    <row r="1031" spans="1:7" x14ac:dyDescent="0.4">
      <c r="A1031" t="str">
        <f t="shared" si="80"/>
        <v/>
      </c>
      <c r="B1031" t="str">
        <f t="shared" si="81"/>
        <v/>
      </c>
      <c r="C1031" t="str">
        <f t="shared" si="82"/>
        <v/>
      </c>
      <c r="D1031" t="str">
        <f>IF(E1031="","",IF(COUNTIF($E$2:E1031,E1031)&gt;1,"",SUMIFS(tbl_input[필요수량],tbl_input[집계키_지청],E1031)))</f>
        <v/>
      </c>
      <c r="E1031" t="str">
        <f>IFERROR(INDEX(tbl_input[집계키_지청],ROW()-1),"")</f>
        <v/>
      </c>
      <c r="F1031" t="str">
        <f t="shared" si="83"/>
        <v/>
      </c>
      <c r="G1031" t="str">
        <f t="shared" si="84"/>
        <v/>
      </c>
    </row>
    <row r="1032" spans="1:7" x14ac:dyDescent="0.4">
      <c r="A1032" t="str">
        <f t="shared" si="80"/>
        <v/>
      </c>
      <c r="B1032" t="str">
        <f t="shared" si="81"/>
        <v/>
      </c>
      <c r="C1032" t="str">
        <f t="shared" si="82"/>
        <v/>
      </c>
      <c r="D1032" t="str">
        <f>IF(E1032="","",IF(COUNTIF($E$2:E1032,E1032)&gt;1,"",SUMIFS(tbl_input[필요수량],tbl_input[집계키_지청],E1032)))</f>
        <v/>
      </c>
      <c r="E1032" t="str">
        <f>IFERROR(INDEX(tbl_input[집계키_지청],ROW()-1),"")</f>
        <v/>
      </c>
      <c r="F1032" t="str">
        <f t="shared" si="83"/>
        <v/>
      </c>
      <c r="G1032" t="str">
        <f t="shared" si="84"/>
        <v/>
      </c>
    </row>
    <row r="1033" spans="1:7" x14ac:dyDescent="0.4">
      <c r="A1033" t="str">
        <f t="shared" si="80"/>
        <v/>
      </c>
      <c r="B1033" t="str">
        <f t="shared" si="81"/>
        <v/>
      </c>
      <c r="C1033" t="str">
        <f t="shared" si="82"/>
        <v/>
      </c>
      <c r="D1033" t="str">
        <f>IF(E1033="","",IF(COUNTIF($E$2:E1033,E1033)&gt;1,"",SUMIFS(tbl_input[필요수량],tbl_input[집계키_지청],E1033)))</f>
        <v/>
      </c>
      <c r="E1033" t="str">
        <f>IFERROR(INDEX(tbl_input[집계키_지청],ROW()-1),"")</f>
        <v/>
      </c>
      <c r="F1033" t="str">
        <f t="shared" si="83"/>
        <v/>
      </c>
      <c r="G1033" t="str">
        <f t="shared" si="84"/>
        <v/>
      </c>
    </row>
    <row r="1034" spans="1:7" x14ac:dyDescent="0.4">
      <c r="A1034" t="str">
        <f t="shared" si="80"/>
        <v/>
      </c>
      <c r="B1034" t="str">
        <f t="shared" si="81"/>
        <v/>
      </c>
      <c r="C1034" t="str">
        <f t="shared" si="82"/>
        <v/>
      </c>
      <c r="D1034" t="str">
        <f>IF(E1034="","",IF(COUNTIF($E$2:E1034,E1034)&gt;1,"",SUMIFS(tbl_input[필요수량],tbl_input[집계키_지청],E1034)))</f>
        <v/>
      </c>
      <c r="E1034" t="str">
        <f>IFERROR(INDEX(tbl_input[집계키_지청],ROW()-1),"")</f>
        <v/>
      </c>
      <c r="F1034" t="str">
        <f t="shared" si="83"/>
        <v/>
      </c>
      <c r="G1034" t="str">
        <f t="shared" si="84"/>
        <v/>
      </c>
    </row>
    <row r="1035" spans="1:7" x14ac:dyDescent="0.4">
      <c r="A1035" t="str">
        <f t="shared" si="80"/>
        <v/>
      </c>
      <c r="B1035" t="str">
        <f t="shared" si="81"/>
        <v/>
      </c>
      <c r="C1035" t="str">
        <f t="shared" si="82"/>
        <v/>
      </c>
      <c r="D1035" t="str">
        <f>IF(E1035="","",IF(COUNTIF($E$2:E1035,E1035)&gt;1,"",SUMIFS(tbl_input[필요수량],tbl_input[집계키_지청],E1035)))</f>
        <v/>
      </c>
      <c r="E1035" t="str">
        <f>IFERROR(INDEX(tbl_input[집계키_지청],ROW()-1),"")</f>
        <v/>
      </c>
      <c r="F1035" t="str">
        <f t="shared" si="83"/>
        <v/>
      </c>
      <c r="G1035" t="str">
        <f t="shared" si="84"/>
        <v/>
      </c>
    </row>
    <row r="1036" spans="1:7" x14ac:dyDescent="0.4">
      <c r="A1036" t="str">
        <f t="shared" si="80"/>
        <v/>
      </c>
      <c r="B1036" t="str">
        <f t="shared" si="81"/>
        <v/>
      </c>
      <c r="C1036" t="str">
        <f t="shared" si="82"/>
        <v/>
      </c>
      <c r="D1036" t="str">
        <f>IF(E1036="","",IF(COUNTIF($E$2:E1036,E1036)&gt;1,"",SUMIFS(tbl_input[필요수량],tbl_input[집계키_지청],E1036)))</f>
        <v/>
      </c>
      <c r="E1036" t="str">
        <f>IFERROR(INDEX(tbl_input[집계키_지청],ROW()-1),"")</f>
        <v/>
      </c>
      <c r="F1036" t="str">
        <f t="shared" si="83"/>
        <v/>
      </c>
      <c r="G1036" t="str">
        <f t="shared" si="84"/>
        <v/>
      </c>
    </row>
    <row r="1037" spans="1:7" x14ac:dyDescent="0.4">
      <c r="A1037" t="str">
        <f t="shared" si="80"/>
        <v/>
      </c>
      <c r="B1037" t="str">
        <f t="shared" si="81"/>
        <v/>
      </c>
      <c r="C1037" t="str">
        <f t="shared" si="82"/>
        <v/>
      </c>
      <c r="D1037" t="str">
        <f>IF(E1037="","",IF(COUNTIF($E$2:E1037,E1037)&gt;1,"",SUMIFS(tbl_input[필요수량],tbl_input[집계키_지청],E1037)))</f>
        <v/>
      </c>
      <c r="E1037" t="str">
        <f>IFERROR(INDEX(tbl_input[집계키_지청],ROW()-1),"")</f>
        <v/>
      </c>
      <c r="F1037" t="str">
        <f t="shared" si="83"/>
        <v/>
      </c>
      <c r="G1037" t="str">
        <f t="shared" si="84"/>
        <v/>
      </c>
    </row>
    <row r="1038" spans="1:7" x14ac:dyDescent="0.4">
      <c r="A1038" t="str">
        <f t="shared" si="80"/>
        <v/>
      </c>
      <c r="B1038" t="str">
        <f t="shared" si="81"/>
        <v/>
      </c>
      <c r="C1038" t="str">
        <f t="shared" si="82"/>
        <v/>
      </c>
      <c r="D1038" t="str">
        <f>IF(E1038="","",IF(COUNTIF($E$2:E1038,E1038)&gt;1,"",SUMIFS(tbl_input[필요수량],tbl_input[집계키_지청],E1038)))</f>
        <v/>
      </c>
      <c r="E1038" t="str">
        <f>IFERROR(INDEX(tbl_input[집계키_지청],ROW()-1),"")</f>
        <v/>
      </c>
      <c r="F1038" t="str">
        <f t="shared" si="83"/>
        <v/>
      </c>
      <c r="G1038" t="str">
        <f t="shared" si="84"/>
        <v/>
      </c>
    </row>
    <row r="1039" spans="1:7" x14ac:dyDescent="0.4">
      <c r="A1039" t="str">
        <f t="shared" si="80"/>
        <v/>
      </c>
      <c r="B1039" t="str">
        <f t="shared" si="81"/>
        <v/>
      </c>
      <c r="C1039" t="str">
        <f t="shared" si="82"/>
        <v/>
      </c>
      <c r="D1039" t="str">
        <f>IF(E1039="","",IF(COUNTIF($E$2:E1039,E1039)&gt;1,"",SUMIFS(tbl_input[필요수량],tbl_input[집계키_지청],E1039)))</f>
        <v/>
      </c>
      <c r="E1039" t="str">
        <f>IFERROR(INDEX(tbl_input[집계키_지청],ROW()-1),"")</f>
        <v/>
      </c>
      <c r="F1039" t="str">
        <f t="shared" si="83"/>
        <v/>
      </c>
      <c r="G1039" t="str">
        <f t="shared" si="84"/>
        <v/>
      </c>
    </row>
    <row r="1040" spans="1:7" x14ac:dyDescent="0.4">
      <c r="A1040" t="str">
        <f t="shared" si="80"/>
        <v/>
      </c>
      <c r="B1040" t="str">
        <f t="shared" si="81"/>
        <v/>
      </c>
      <c r="C1040" t="str">
        <f t="shared" si="82"/>
        <v/>
      </c>
      <c r="D1040" t="str">
        <f>IF(E1040="","",IF(COUNTIF($E$2:E1040,E1040)&gt;1,"",SUMIFS(tbl_input[필요수량],tbl_input[집계키_지청],E1040)))</f>
        <v/>
      </c>
      <c r="E1040" t="str">
        <f>IFERROR(INDEX(tbl_input[집계키_지청],ROW()-1),"")</f>
        <v/>
      </c>
      <c r="F1040" t="str">
        <f t="shared" si="83"/>
        <v/>
      </c>
      <c r="G1040" t="str">
        <f t="shared" si="84"/>
        <v/>
      </c>
    </row>
    <row r="1041" spans="1:7" x14ac:dyDescent="0.4">
      <c r="A1041" t="str">
        <f t="shared" si="80"/>
        <v/>
      </c>
      <c r="B1041" t="str">
        <f t="shared" si="81"/>
        <v/>
      </c>
      <c r="C1041" t="str">
        <f t="shared" si="82"/>
        <v/>
      </c>
      <c r="D1041" t="str">
        <f>IF(E1041="","",IF(COUNTIF($E$2:E1041,E1041)&gt;1,"",SUMIFS(tbl_input[필요수량],tbl_input[집계키_지청],E1041)))</f>
        <v/>
      </c>
      <c r="E1041" t="str">
        <f>IFERROR(INDEX(tbl_input[집계키_지청],ROW()-1),"")</f>
        <v/>
      </c>
      <c r="F1041" t="str">
        <f t="shared" si="83"/>
        <v/>
      </c>
      <c r="G1041" t="str">
        <f t="shared" si="84"/>
        <v/>
      </c>
    </row>
    <row r="1042" spans="1:7" x14ac:dyDescent="0.4">
      <c r="A1042" t="str">
        <f t="shared" si="80"/>
        <v/>
      </c>
      <c r="B1042" t="str">
        <f t="shared" si="81"/>
        <v/>
      </c>
      <c r="C1042" t="str">
        <f t="shared" si="82"/>
        <v/>
      </c>
      <c r="D1042" t="str">
        <f>IF(E1042="","",IF(COUNTIF($E$2:E1042,E1042)&gt;1,"",SUMIFS(tbl_input[필요수량],tbl_input[집계키_지청],E1042)))</f>
        <v/>
      </c>
      <c r="E1042" t="str">
        <f>IFERROR(INDEX(tbl_input[집계키_지청],ROW()-1),"")</f>
        <v/>
      </c>
      <c r="F1042" t="str">
        <f t="shared" si="83"/>
        <v/>
      </c>
      <c r="G1042" t="str">
        <f t="shared" si="84"/>
        <v/>
      </c>
    </row>
    <row r="1043" spans="1:7" x14ac:dyDescent="0.4">
      <c r="A1043" t="str">
        <f t="shared" si="80"/>
        <v/>
      </c>
      <c r="B1043" t="str">
        <f t="shared" si="81"/>
        <v/>
      </c>
      <c r="C1043" t="str">
        <f t="shared" si="82"/>
        <v/>
      </c>
      <c r="D1043" t="str">
        <f>IF(E1043="","",IF(COUNTIF($E$2:E1043,E1043)&gt;1,"",SUMIFS(tbl_input[필요수량],tbl_input[집계키_지청],E1043)))</f>
        <v/>
      </c>
      <c r="E1043" t="str">
        <f>IFERROR(INDEX(tbl_input[집계키_지청],ROW()-1),"")</f>
        <v/>
      </c>
      <c r="F1043" t="str">
        <f t="shared" si="83"/>
        <v/>
      </c>
      <c r="G1043" t="str">
        <f t="shared" si="84"/>
        <v/>
      </c>
    </row>
    <row r="1044" spans="1:7" x14ac:dyDescent="0.4">
      <c r="A1044" t="str">
        <f t="shared" si="80"/>
        <v/>
      </c>
      <c r="B1044" t="str">
        <f t="shared" si="81"/>
        <v/>
      </c>
      <c r="C1044" t="str">
        <f t="shared" si="82"/>
        <v/>
      </c>
      <c r="D1044" t="str">
        <f>IF(E1044="","",IF(COUNTIF($E$2:E1044,E1044)&gt;1,"",SUMIFS(tbl_input[필요수량],tbl_input[집계키_지청],E1044)))</f>
        <v/>
      </c>
      <c r="E1044" t="str">
        <f>IFERROR(INDEX(tbl_input[집계키_지청],ROW()-1),"")</f>
        <v/>
      </c>
      <c r="F1044" t="str">
        <f t="shared" si="83"/>
        <v/>
      </c>
      <c r="G1044" t="str">
        <f t="shared" si="84"/>
        <v/>
      </c>
    </row>
    <row r="1045" spans="1:7" x14ac:dyDescent="0.4">
      <c r="A1045" t="str">
        <f t="shared" si="80"/>
        <v/>
      </c>
      <c r="B1045" t="str">
        <f t="shared" si="81"/>
        <v/>
      </c>
      <c r="C1045" t="str">
        <f t="shared" si="82"/>
        <v/>
      </c>
      <c r="D1045" t="str">
        <f>IF(E1045="","",IF(COUNTIF($E$2:E1045,E1045)&gt;1,"",SUMIFS(tbl_input[필요수량],tbl_input[집계키_지청],E1045)))</f>
        <v/>
      </c>
      <c r="E1045" t="str">
        <f>IFERROR(INDEX(tbl_input[집계키_지청],ROW()-1),"")</f>
        <v/>
      </c>
      <c r="F1045" t="str">
        <f t="shared" si="83"/>
        <v/>
      </c>
      <c r="G1045" t="str">
        <f t="shared" si="84"/>
        <v/>
      </c>
    </row>
    <row r="1046" spans="1:7" x14ac:dyDescent="0.4">
      <c r="A1046" t="str">
        <f t="shared" si="80"/>
        <v/>
      </c>
      <c r="B1046" t="str">
        <f t="shared" si="81"/>
        <v/>
      </c>
      <c r="C1046" t="str">
        <f t="shared" si="82"/>
        <v/>
      </c>
      <c r="D1046" t="str">
        <f>IF(E1046="","",IF(COUNTIF($E$2:E1046,E1046)&gt;1,"",SUMIFS(tbl_input[필요수량],tbl_input[집계키_지청],E1046)))</f>
        <v/>
      </c>
      <c r="E1046" t="str">
        <f>IFERROR(INDEX(tbl_input[집계키_지청],ROW()-1),"")</f>
        <v/>
      </c>
      <c r="F1046" t="str">
        <f t="shared" si="83"/>
        <v/>
      </c>
      <c r="G1046" t="str">
        <f t="shared" si="84"/>
        <v/>
      </c>
    </row>
    <row r="1047" spans="1:7" x14ac:dyDescent="0.4">
      <c r="A1047" t="str">
        <f t="shared" si="80"/>
        <v/>
      </c>
      <c r="B1047" t="str">
        <f t="shared" si="81"/>
        <v/>
      </c>
      <c r="C1047" t="str">
        <f t="shared" si="82"/>
        <v/>
      </c>
      <c r="D1047" t="str">
        <f>IF(E1047="","",IF(COUNTIF($E$2:E1047,E1047)&gt;1,"",SUMIFS(tbl_input[필요수량],tbl_input[집계키_지청],E1047)))</f>
        <v/>
      </c>
      <c r="E1047" t="str">
        <f>IFERROR(INDEX(tbl_input[집계키_지청],ROW()-1),"")</f>
        <v/>
      </c>
      <c r="F1047" t="str">
        <f t="shared" si="83"/>
        <v/>
      </c>
      <c r="G1047" t="str">
        <f t="shared" si="84"/>
        <v/>
      </c>
    </row>
    <row r="1048" spans="1:7" x14ac:dyDescent="0.4">
      <c r="A1048" t="str">
        <f t="shared" si="80"/>
        <v/>
      </c>
      <c r="B1048" t="str">
        <f t="shared" si="81"/>
        <v/>
      </c>
      <c r="C1048" t="str">
        <f t="shared" si="82"/>
        <v/>
      </c>
      <c r="D1048" t="str">
        <f>IF(E1048="","",IF(COUNTIF($E$2:E1048,E1048)&gt;1,"",SUMIFS(tbl_input[필요수량],tbl_input[집계키_지청],E1048)))</f>
        <v/>
      </c>
      <c r="E1048" t="str">
        <f>IFERROR(INDEX(tbl_input[집계키_지청],ROW()-1),"")</f>
        <v/>
      </c>
      <c r="F1048" t="str">
        <f t="shared" si="83"/>
        <v/>
      </c>
      <c r="G1048" t="str">
        <f t="shared" si="84"/>
        <v/>
      </c>
    </row>
    <row r="1049" spans="1:7" x14ac:dyDescent="0.4">
      <c r="A1049" t="str">
        <f t="shared" si="80"/>
        <v/>
      </c>
      <c r="B1049" t="str">
        <f t="shared" si="81"/>
        <v/>
      </c>
      <c r="C1049" t="str">
        <f t="shared" si="82"/>
        <v/>
      </c>
      <c r="D1049" t="str">
        <f>IF(E1049="","",IF(COUNTIF($E$2:E1049,E1049)&gt;1,"",SUMIFS(tbl_input[필요수량],tbl_input[집계키_지청],E1049)))</f>
        <v/>
      </c>
      <c r="E1049" t="str">
        <f>IFERROR(INDEX(tbl_input[집계키_지청],ROW()-1),"")</f>
        <v/>
      </c>
      <c r="F1049" t="str">
        <f t="shared" si="83"/>
        <v/>
      </c>
      <c r="G1049" t="str">
        <f t="shared" si="84"/>
        <v/>
      </c>
    </row>
    <row r="1050" spans="1:7" x14ac:dyDescent="0.4">
      <c r="A1050" t="str">
        <f t="shared" si="80"/>
        <v/>
      </c>
      <c r="B1050" t="str">
        <f t="shared" si="81"/>
        <v/>
      </c>
      <c r="C1050" t="str">
        <f t="shared" si="82"/>
        <v/>
      </c>
      <c r="D1050" t="str">
        <f>IF(E1050="","",IF(COUNTIF($E$2:E1050,E1050)&gt;1,"",SUMIFS(tbl_input[필요수량],tbl_input[집계키_지청],E1050)))</f>
        <v/>
      </c>
      <c r="E1050" t="str">
        <f>IFERROR(INDEX(tbl_input[집계키_지청],ROW()-1),"")</f>
        <v/>
      </c>
      <c r="F1050" t="str">
        <f t="shared" si="83"/>
        <v/>
      </c>
      <c r="G1050" t="str">
        <f t="shared" si="84"/>
        <v/>
      </c>
    </row>
    <row r="1051" spans="1:7" x14ac:dyDescent="0.4">
      <c r="A1051" t="str">
        <f t="shared" si="80"/>
        <v/>
      </c>
      <c r="B1051" t="str">
        <f t="shared" si="81"/>
        <v/>
      </c>
      <c r="C1051" t="str">
        <f t="shared" si="82"/>
        <v/>
      </c>
      <c r="D1051" t="str">
        <f>IF(E1051="","",IF(COUNTIF($E$2:E1051,E1051)&gt;1,"",SUMIFS(tbl_input[필요수량],tbl_input[집계키_지청],E1051)))</f>
        <v/>
      </c>
      <c r="E1051" t="str">
        <f>IFERROR(INDEX(tbl_input[집계키_지청],ROW()-1),"")</f>
        <v/>
      </c>
      <c r="F1051" t="str">
        <f t="shared" si="83"/>
        <v/>
      </c>
      <c r="G1051" t="str">
        <f t="shared" si="84"/>
        <v/>
      </c>
    </row>
    <row r="1052" spans="1:7" x14ac:dyDescent="0.4">
      <c r="A1052" t="str">
        <f t="shared" si="80"/>
        <v/>
      </c>
      <c r="B1052" t="str">
        <f t="shared" si="81"/>
        <v/>
      </c>
      <c r="C1052" t="str">
        <f t="shared" si="82"/>
        <v/>
      </c>
      <c r="D1052" t="str">
        <f>IF(E1052="","",IF(COUNTIF($E$2:E1052,E1052)&gt;1,"",SUMIFS(tbl_input[필요수량],tbl_input[집계키_지청],E1052)))</f>
        <v/>
      </c>
      <c r="E1052" t="str">
        <f>IFERROR(INDEX(tbl_input[집계키_지청],ROW()-1),"")</f>
        <v/>
      </c>
      <c r="F1052" t="str">
        <f t="shared" si="83"/>
        <v/>
      </c>
      <c r="G1052" t="str">
        <f t="shared" si="84"/>
        <v/>
      </c>
    </row>
    <row r="1053" spans="1:7" x14ac:dyDescent="0.4">
      <c r="A1053" t="str">
        <f t="shared" si="80"/>
        <v/>
      </c>
      <c r="B1053" t="str">
        <f t="shared" si="81"/>
        <v/>
      </c>
      <c r="C1053" t="str">
        <f t="shared" si="82"/>
        <v/>
      </c>
      <c r="D1053" t="str">
        <f>IF(E1053="","",IF(COUNTIF($E$2:E1053,E1053)&gt;1,"",SUMIFS(tbl_input[필요수량],tbl_input[집계키_지청],E1053)))</f>
        <v/>
      </c>
      <c r="E1053" t="str">
        <f>IFERROR(INDEX(tbl_input[집계키_지청],ROW()-1),"")</f>
        <v/>
      </c>
      <c r="F1053" t="str">
        <f t="shared" si="83"/>
        <v/>
      </c>
      <c r="G1053" t="str">
        <f t="shared" si="84"/>
        <v/>
      </c>
    </row>
    <row r="1054" spans="1:7" x14ac:dyDescent="0.4">
      <c r="A1054" t="str">
        <f t="shared" si="80"/>
        <v/>
      </c>
      <c r="B1054" t="str">
        <f t="shared" si="81"/>
        <v/>
      </c>
      <c r="C1054" t="str">
        <f t="shared" si="82"/>
        <v/>
      </c>
      <c r="D1054" t="str">
        <f>IF(E1054="","",IF(COUNTIF($E$2:E1054,E1054)&gt;1,"",SUMIFS(tbl_input[필요수량],tbl_input[집계키_지청],E1054)))</f>
        <v/>
      </c>
      <c r="E1054" t="str">
        <f>IFERROR(INDEX(tbl_input[집계키_지청],ROW()-1),"")</f>
        <v/>
      </c>
      <c r="F1054" t="str">
        <f t="shared" si="83"/>
        <v/>
      </c>
      <c r="G1054" t="str">
        <f t="shared" si="84"/>
        <v/>
      </c>
    </row>
    <row r="1055" spans="1:7" x14ac:dyDescent="0.4">
      <c r="A1055" t="str">
        <f t="shared" si="80"/>
        <v/>
      </c>
      <c r="B1055" t="str">
        <f t="shared" si="81"/>
        <v/>
      </c>
      <c r="C1055" t="str">
        <f t="shared" si="82"/>
        <v/>
      </c>
      <c r="D1055" t="str">
        <f>IF(E1055="","",IF(COUNTIF($E$2:E1055,E1055)&gt;1,"",SUMIFS(tbl_input[필요수량],tbl_input[집계키_지청],E1055)))</f>
        <v/>
      </c>
      <c r="E1055" t="str">
        <f>IFERROR(INDEX(tbl_input[집계키_지청],ROW()-1),"")</f>
        <v/>
      </c>
      <c r="F1055" t="str">
        <f t="shared" si="83"/>
        <v/>
      </c>
      <c r="G1055" t="str">
        <f t="shared" si="84"/>
        <v/>
      </c>
    </row>
    <row r="1056" spans="1:7" x14ac:dyDescent="0.4">
      <c r="A1056" t="str">
        <f t="shared" si="80"/>
        <v/>
      </c>
      <c r="B1056" t="str">
        <f t="shared" si="81"/>
        <v/>
      </c>
      <c r="C1056" t="str">
        <f t="shared" si="82"/>
        <v/>
      </c>
      <c r="D1056" t="str">
        <f>IF(E1056="","",IF(COUNTIF($E$2:E1056,E1056)&gt;1,"",SUMIFS(tbl_input[필요수량],tbl_input[집계키_지청],E1056)))</f>
        <v/>
      </c>
      <c r="E1056" t="str">
        <f>IFERROR(INDEX(tbl_input[집계키_지청],ROW()-1),"")</f>
        <v/>
      </c>
      <c r="F1056" t="str">
        <f t="shared" si="83"/>
        <v/>
      </c>
      <c r="G1056" t="str">
        <f t="shared" si="84"/>
        <v/>
      </c>
    </row>
    <row r="1057" spans="1:7" x14ac:dyDescent="0.4">
      <c r="A1057" t="str">
        <f t="shared" si="80"/>
        <v/>
      </c>
      <c r="B1057" t="str">
        <f t="shared" si="81"/>
        <v/>
      </c>
      <c r="C1057" t="str">
        <f t="shared" si="82"/>
        <v/>
      </c>
      <c r="D1057" t="str">
        <f>IF(E1057="","",IF(COUNTIF($E$2:E1057,E1057)&gt;1,"",SUMIFS(tbl_input[필요수량],tbl_input[집계키_지청],E1057)))</f>
        <v/>
      </c>
      <c r="E1057" t="str">
        <f>IFERROR(INDEX(tbl_input[집계키_지청],ROW()-1),"")</f>
        <v/>
      </c>
      <c r="F1057" t="str">
        <f t="shared" si="83"/>
        <v/>
      </c>
      <c r="G1057" t="str">
        <f t="shared" si="84"/>
        <v/>
      </c>
    </row>
    <row r="1058" spans="1:7" x14ac:dyDescent="0.4">
      <c r="A1058" t="str">
        <f t="shared" si="80"/>
        <v/>
      </c>
      <c r="B1058" t="str">
        <f t="shared" si="81"/>
        <v/>
      </c>
      <c r="C1058" t="str">
        <f t="shared" si="82"/>
        <v/>
      </c>
      <c r="D1058" t="str">
        <f>IF(E1058="","",IF(COUNTIF($E$2:E1058,E1058)&gt;1,"",SUMIFS(tbl_input[필요수량],tbl_input[집계키_지청],E1058)))</f>
        <v/>
      </c>
      <c r="E1058" t="str">
        <f>IFERROR(INDEX(tbl_input[집계키_지청],ROW()-1),"")</f>
        <v/>
      </c>
      <c r="F1058" t="str">
        <f t="shared" si="83"/>
        <v/>
      </c>
      <c r="G1058" t="str">
        <f t="shared" si="84"/>
        <v/>
      </c>
    </row>
    <row r="1059" spans="1:7" x14ac:dyDescent="0.4">
      <c r="A1059" t="str">
        <f t="shared" si="80"/>
        <v/>
      </c>
      <c r="B1059" t="str">
        <f t="shared" si="81"/>
        <v/>
      </c>
      <c r="C1059" t="str">
        <f t="shared" si="82"/>
        <v/>
      </c>
      <c r="D1059" t="str">
        <f>IF(E1059="","",IF(COUNTIF($E$2:E1059,E1059)&gt;1,"",SUMIFS(tbl_input[필요수량],tbl_input[집계키_지청],E1059)))</f>
        <v/>
      </c>
      <c r="E1059" t="str">
        <f>IFERROR(INDEX(tbl_input[집계키_지청],ROW()-1),"")</f>
        <v/>
      </c>
      <c r="F1059" t="str">
        <f t="shared" si="83"/>
        <v/>
      </c>
      <c r="G1059" t="str">
        <f t="shared" si="84"/>
        <v/>
      </c>
    </row>
    <row r="1060" spans="1:7" x14ac:dyDescent="0.4">
      <c r="A1060" t="str">
        <f t="shared" si="80"/>
        <v/>
      </c>
      <c r="B1060" t="str">
        <f t="shared" si="81"/>
        <v/>
      </c>
      <c r="C1060" t="str">
        <f t="shared" si="82"/>
        <v/>
      </c>
      <c r="D1060" t="str">
        <f>IF(E1060="","",IF(COUNTIF($E$2:E1060,E1060)&gt;1,"",SUMIFS(tbl_input[필요수량],tbl_input[집계키_지청],E1060)))</f>
        <v/>
      </c>
      <c r="E1060" t="str">
        <f>IFERROR(INDEX(tbl_input[집계키_지청],ROW()-1),"")</f>
        <v/>
      </c>
      <c r="F1060" t="str">
        <f t="shared" si="83"/>
        <v/>
      </c>
      <c r="G1060" t="str">
        <f t="shared" si="84"/>
        <v/>
      </c>
    </row>
    <row r="1061" spans="1:7" x14ac:dyDescent="0.4">
      <c r="A1061" t="str">
        <f t="shared" si="80"/>
        <v/>
      </c>
      <c r="B1061" t="str">
        <f t="shared" si="81"/>
        <v/>
      </c>
      <c r="C1061" t="str">
        <f t="shared" si="82"/>
        <v/>
      </c>
      <c r="D1061" t="str">
        <f>IF(E1061="","",IF(COUNTIF($E$2:E1061,E1061)&gt;1,"",SUMIFS(tbl_input[필요수량],tbl_input[집계키_지청],E1061)))</f>
        <v/>
      </c>
      <c r="E1061" t="str">
        <f>IFERROR(INDEX(tbl_input[집계키_지청],ROW()-1),"")</f>
        <v/>
      </c>
      <c r="F1061" t="str">
        <f t="shared" si="83"/>
        <v/>
      </c>
      <c r="G1061" t="str">
        <f t="shared" si="84"/>
        <v/>
      </c>
    </row>
    <row r="1062" spans="1:7" x14ac:dyDescent="0.4">
      <c r="A1062" t="str">
        <f t="shared" si="80"/>
        <v/>
      </c>
      <c r="B1062" t="str">
        <f t="shared" si="81"/>
        <v/>
      </c>
      <c r="C1062" t="str">
        <f t="shared" si="82"/>
        <v/>
      </c>
      <c r="D1062" t="str">
        <f>IF(E1062="","",IF(COUNTIF($E$2:E1062,E1062)&gt;1,"",SUMIFS(tbl_input[필요수량],tbl_input[집계키_지청],E1062)))</f>
        <v/>
      </c>
      <c r="E1062" t="str">
        <f>IFERROR(INDEX(tbl_input[집계키_지청],ROW()-1),"")</f>
        <v/>
      </c>
      <c r="F1062" t="str">
        <f t="shared" si="83"/>
        <v/>
      </c>
      <c r="G1062" t="str">
        <f t="shared" si="84"/>
        <v/>
      </c>
    </row>
    <row r="1063" spans="1:7" x14ac:dyDescent="0.4">
      <c r="A1063" t="str">
        <f t="shared" si="80"/>
        <v/>
      </c>
      <c r="B1063" t="str">
        <f t="shared" si="81"/>
        <v/>
      </c>
      <c r="C1063" t="str">
        <f t="shared" si="82"/>
        <v/>
      </c>
      <c r="D1063" t="str">
        <f>IF(E1063="","",IF(COUNTIF($E$2:E1063,E1063)&gt;1,"",SUMIFS(tbl_input[필요수량],tbl_input[집계키_지청],E1063)))</f>
        <v/>
      </c>
      <c r="E1063" t="str">
        <f>IFERROR(INDEX(tbl_input[집계키_지청],ROW()-1),"")</f>
        <v/>
      </c>
      <c r="F1063" t="str">
        <f t="shared" si="83"/>
        <v/>
      </c>
      <c r="G1063" t="str">
        <f t="shared" si="84"/>
        <v/>
      </c>
    </row>
    <row r="1064" spans="1:7" x14ac:dyDescent="0.4">
      <c r="A1064" t="str">
        <f t="shared" si="80"/>
        <v/>
      </c>
      <c r="B1064" t="str">
        <f t="shared" si="81"/>
        <v/>
      </c>
      <c r="C1064" t="str">
        <f t="shared" si="82"/>
        <v/>
      </c>
      <c r="D1064" t="str">
        <f>IF(E1064="","",IF(COUNTIF($E$2:E1064,E1064)&gt;1,"",SUMIFS(tbl_input[필요수량],tbl_input[집계키_지청],E1064)))</f>
        <v/>
      </c>
      <c r="E1064" t="str">
        <f>IFERROR(INDEX(tbl_input[집계키_지청],ROW()-1),"")</f>
        <v/>
      </c>
      <c r="F1064" t="str">
        <f t="shared" si="83"/>
        <v/>
      </c>
      <c r="G1064" t="str">
        <f t="shared" si="84"/>
        <v/>
      </c>
    </row>
    <row r="1065" spans="1:7" x14ac:dyDescent="0.4">
      <c r="A1065" t="str">
        <f t="shared" si="80"/>
        <v/>
      </c>
      <c r="B1065" t="str">
        <f t="shared" si="81"/>
        <v/>
      </c>
      <c r="C1065" t="str">
        <f t="shared" si="82"/>
        <v/>
      </c>
      <c r="D1065" t="str">
        <f>IF(E1065="","",IF(COUNTIF($E$2:E1065,E1065)&gt;1,"",SUMIFS(tbl_input[필요수량],tbl_input[집계키_지청],E1065)))</f>
        <v/>
      </c>
      <c r="E1065" t="str">
        <f>IFERROR(INDEX(tbl_input[집계키_지청],ROW()-1),"")</f>
        <v/>
      </c>
      <c r="F1065" t="str">
        <f t="shared" si="83"/>
        <v/>
      </c>
      <c r="G1065" t="str">
        <f t="shared" si="84"/>
        <v/>
      </c>
    </row>
    <row r="1066" spans="1:7" x14ac:dyDescent="0.4">
      <c r="A1066" t="str">
        <f t="shared" si="80"/>
        <v/>
      </c>
      <c r="B1066" t="str">
        <f t="shared" si="81"/>
        <v/>
      </c>
      <c r="C1066" t="str">
        <f t="shared" si="82"/>
        <v/>
      </c>
      <c r="D1066" t="str">
        <f>IF(E1066="","",IF(COUNTIF($E$2:E1066,E1066)&gt;1,"",SUMIFS(tbl_input[필요수량],tbl_input[집계키_지청],E1066)))</f>
        <v/>
      </c>
      <c r="E1066" t="str">
        <f>IFERROR(INDEX(tbl_input[집계키_지청],ROW()-1),"")</f>
        <v/>
      </c>
      <c r="F1066" t="str">
        <f t="shared" si="83"/>
        <v/>
      </c>
      <c r="G1066" t="str">
        <f t="shared" si="84"/>
        <v/>
      </c>
    </row>
    <row r="1067" spans="1:7" x14ac:dyDescent="0.4">
      <c r="A1067" t="str">
        <f t="shared" si="80"/>
        <v/>
      </c>
      <c r="B1067" t="str">
        <f t="shared" si="81"/>
        <v/>
      </c>
      <c r="C1067" t="str">
        <f t="shared" si="82"/>
        <v/>
      </c>
      <c r="D1067" t="str">
        <f>IF(E1067="","",IF(COUNTIF($E$2:E1067,E1067)&gt;1,"",SUMIFS(tbl_input[필요수량],tbl_input[집계키_지청],E1067)))</f>
        <v/>
      </c>
      <c r="E1067" t="str">
        <f>IFERROR(INDEX(tbl_input[집계키_지청],ROW()-1),"")</f>
        <v/>
      </c>
      <c r="F1067" t="str">
        <f t="shared" si="83"/>
        <v/>
      </c>
      <c r="G1067" t="str">
        <f t="shared" si="84"/>
        <v/>
      </c>
    </row>
    <row r="1068" spans="1:7" x14ac:dyDescent="0.4">
      <c r="A1068" t="str">
        <f t="shared" si="80"/>
        <v/>
      </c>
      <c r="B1068" t="str">
        <f t="shared" si="81"/>
        <v/>
      </c>
      <c r="C1068" t="str">
        <f t="shared" si="82"/>
        <v/>
      </c>
      <c r="D1068" t="str">
        <f>IF(E1068="","",IF(COUNTIF($E$2:E1068,E1068)&gt;1,"",SUMIFS(tbl_input[필요수량],tbl_input[집계키_지청],E1068)))</f>
        <v/>
      </c>
      <c r="E1068" t="str">
        <f>IFERROR(INDEX(tbl_input[집계키_지청],ROW()-1),"")</f>
        <v/>
      </c>
      <c r="F1068" t="str">
        <f t="shared" si="83"/>
        <v/>
      </c>
      <c r="G1068" t="str">
        <f t="shared" si="84"/>
        <v/>
      </c>
    </row>
    <row r="1069" spans="1:7" x14ac:dyDescent="0.4">
      <c r="A1069" t="str">
        <f t="shared" si="80"/>
        <v/>
      </c>
      <c r="B1069" t="str">
        <f t="shared" si="81"/>
        <v/>
      </c>
      <c r="C1069" t="str">
        <f t="shared" si="82"/>
        <v/>
      </c>
      <c r="D1069" t="str">
        <f>IF(E1069="","",IF(COUNTIF($E$2:E1069,E1069)&gt;1,"",SUMIFS(tbl_input[필요수량],tbl_input[집계키_지청],E1069)))</f>
        <v/>
      </c>
      <c r="E1069" t="str">
        <f>IFERROR(INDEX(tbl_input[집계키_지청],ROW()-1),"")</f>
        <v/>
      </c>
      <c r="F1069" t="str">
        <f t="shared" si="83"/>
        <v/>
      </c>
      <c r="G1069" t="str">
        <f t="shared" si="84"/>
        <v/>
      </c>
    </row>
    <row r="1070" spans="1:7" x14ac:dyDescent="0.4">
      <c r="A1070" t="str">
        <f t="shared" si="80"/>
        <v/>
      </c>
      <c r="B1070" t="str">
        <f t="shared" si="81"/>
        <v/>
      </c>
      <c r="C1070" t="str">
        <f t="shared" si="82"/>
        <v/>
      </c>
      <c r="D1070" t="str">
        <f>IF(E1070="","",IF(COUNTIF($E$2:E1070,E1070)&gt;1,"",SUMIFS(tbl_input[필요수량],tbl_input[집계키_지청],E1070)))</f>
        <v/>
      </c>
      <c r="E1070" t="str">
        <f>IFERROR(INDEX(tbl_input[집계키_지청],ROW()-1),"")</f>
        <v/>
      </c>
      <c r="F1070" t="str">
        <f t="shared" si="83"/>
        <v/>
      </c>
      <c r="G1070" t="str">
        <f t="shared" si="84"/>
        <v/>
      </c>
    </row>
    <row r="1071" spans="1:7" x14ac:dyDescent="0.4">
      <c r="A1071" t="str">
        <f t="shared" si="80"/>
        <v/>
      </c>
      <c r="B1071" t="str">
        <f t="shared" si="81"/>
        <v/>
      </c>
      <c r="C1071" t="str">
        <f t="shared" si="82"/>
        <v/>
      </c>
      <c r="D1071" t="str">
        <f>IF(E1071="","",IF(COUNTIF($E$2:E1071,E1071)&gt;1,"",SUMIFS(tbl_input[필요수량],tbl_input[집계키_지청],E1071)))</f>
        <v/>
      </c>
      <c r="E1071" t="str">
        <f>IFERROR(INDEX(tbl_input[집계키_지청],ROW()-1),"")</f>
        <v/>
      </c>
      <c r="F1071" t="str">
        <f t="shared" si="83"/>
        <v/>
      </c>
      <c r="G1071" t="str">
        <f t="shared" si="84"/>
        <v/>
      </c>
    </row>
    <row r="1072" spans="1:7" x14ac:dyDescent="0.4">
      <c r="A1072" t="str">
        <f t="shared" si="80"/>
        <v/>
      </c>
      <c r="B1072" t="str">
        <f t="shared" si="81"/>
        <v/>
      </c>
      <c r="C1072" t="str">
        <f t="shared" si="82"/>
        <v/>
      </c>
      <c r="D1072" t="str">
        <f>IF(E1072="","",IF(COUNTIF($E$2:E1072,E1072)&gt;1,"",SUMIFS(tbl_input[필요수량],tbl_input[집계키_지청],E1072)))</f>
        <v/>
      </c>
      <c r="E1072" t="str">
        <f>IFERROR(INDEX(tbl_input[집계키_지청],ROW()-1),"")</f>
        <v/>
      </c>
      <c r="F1072" t="str">
        <f t="shared" si="83"/>
        <v/>
      </c>
      <c r="G1072" t="str">
        <f t="shared" si="84"/>
        <v/>
      </c>
    </row>
    <row r="1073" spans="1:7" x14ac:dyDescent="0.4">
      <c r="A1073" t="str">
        <f t="shared" si="80"/>
        <v/>
      </c>
      <c r="B1073" t="str">
        <f t="shared" si="81"/>
        <v/>
      </c>
      <c r="C1073" t="str">
        <f t="shared" si="82"/>
        <v/>
      </c>
      <c r="D1073" t="str">
        <f>IF(E1073="","",IF(COUNTIF($E$2:E1073,E1073)&gt;1,"",SUMIFS(tbl_input[필요수량],tbl_input[집계키_지청],E1073)))</f>
        <v/>
      </c>
      <c r="E1073" t="str">
        <f>IFERROR(INDEX(tbl_input[집계키_지청],ROW()-1),"")</f>
        <v/>
      </c>
      <c r="F1073" t="str">
        <f t="shared" si="83"/>
        <v/>
      </c>
      <c r="G1073" t="str">
        <f t="shared" si="84"/>
        <v/>
      </c>
    </row>
    <row r="1074" spans="1:7" x14ac:dyDescent="0.4">
      <c r="A1074" t="str">
        <f t="shared" si="80"/>
        <v/>
      </c>
      <c r="B1074" t="str">
        <f t="shared" si="81"/>
        <v/>
      </c>
      <c r="C1074" t="str">
        <f t="shared" si="82"/>
        <v/>
      </c>
      <c r="D1074" t="str">
        <f>IF(E1074="","",IF(COUNTIF($E$2:E1074,E1074)&gt;1,"",SUMIFS(tbl_input[필요수량],tbl_input[집계키_지청],E1074)))</f>
        <v/>
      </c>
      <c r="E1074" t="str">
        <f>IFERROR(INDEX(tbl_input[집계키_지청],ROW()-1),"")</f>
        <v/>
      </c>
      <c r="F1074" t="str">
        <f t="shared" si="83"/>
        <v/>
      </c>
      <c r="G1074" t="str">
        <f t="shared" si="84"/>
        <v/>
      </c>
    </row>
    <row r="1075" spans="1:7" x14ac:dyDescent="0.4">
      <c r="A1075" t="str">
        <f t="shared" si="80"/>
        <v/>
      </c>
      <c r="B1075" t="str">
        <f t="shared" si="81"/>
        <v/>
      </c>
      <c r="C1075" t="str">
        <f t="shared" si="82"/>
        <v/>
      </c>
      <c r="D1075" t="str">
        <f>IF(E1075="","",IF(COUNTIF($E$2:E1075,E1075)&gt;1,"",SUMIFS(tbl_input[필요수량],tbl_input[집계키_지청],E1075)))</f>
        <v/>
      </c>
      <c r="E1075" t="str">
        <f>IFERROR(INDEX(tbl_input[집계키_지청],ROW()-1),"")</f>
        <v/>
      </c>
      <c r="F1075" t="str">
        <f t="shared" si="83"/>
        <v/>
      </c>
      <c r="G1075" t="str">
        <f t="shared" si="84"/>
        <v/>
      </c>
    </row>
    <row r="1076" spans="1:7" x14ac:dyDescent="0.4">
      <c r="A1076" t="str">
        <f t="shared" si="80"/>
        <v/>
      </c>
      <c r="B1076" t="str">
        <f t="shared" si="81"/>
        <v/>
      </c>
      <c r="C1076" t="str">
        <f t="shared" si="82"/>
        <v/>
      </c>
      <c r="D1076" t="str">
        <f>IF(E1076="","",IF(COUNTIF($E$2:E1076,E1076)&gt;1,"",SUMIFS(tbl_input[필요수량],tbl_input[집계키_지청],E1076)))</f>
        <v/>
      </c>
      <c r="E1076" t="str">
        <f>IFERROR(INDEX(tbl_input[집계키_지청],ROW()-1),"")</f>
        <v/>
      </c>
      <c r="F1076" t="str">
        <f t="shared" si="83"/>
        <v/>
      </c>
      <c r="G1076" t="str">
        <f t="shared" si="84"/>
        <v/>
      </c>
    </row>
    <row r="1077" spans="1:7" x14ac:dyDescent="0.4">
      <c r="A1077" t="str">
        <f t="shared" si="80"/>
        <v/>
      </c>
      <c r="B1077" t="str">
        <f t="shared" si="81"/>
        <v/>
      </c>
      <c r="C1077" t="str">
        <f t="shared" si="82"/>
        <v/>
      </c>
      <c r="D1077" t="str">
        <f>IF(E1077="","",IF(COUNTIF($E$2:E1077,E1077)&gt;1,"",SUMIFS(tbl_input[필요수량],tbl_input[집계키_지청],E1077)))</f>
        <v/>
      </c>
      <c r="E1077" t="str">
        <f>IFERROR(INDEX(tbl_input[집계키_지청],ROW()-1),"")</f>
        <v/>
      </c>
      <c r="F1077" t="str">
        <f t="shared" si="83"/>
        <v/>
      </c>
      <c r="G1077" t="str">
        <f t="shared" si="84"/>
        <v/>
      </c>
    </row>
    <row r="1078" spans="1:7" x14ac:dyDescent="0.4">
      <c r="A1078" t="str">
        <f t="shared" si="80"/>
        <v/>
      </c>
      <c r="B1078" t="str">
        <f t="shared" si="81"/>
        <v/>
      </c>
      <c r="C1078" t="str">
        <f t="shared" si="82"/>
        <v/>
      </c>
      <c r="D1078" t="str">
        <f>IF(E1078="","",IF(COUNTIF($E$2:E1078,E1078)&gt;1,"",SUMIFS(tbl_input[필요수량],tbl_input[집계키_지청],E1078)))</f>
        <v/>
      </c>
      <c r="E1078" t="str">
        <f>IFERROR(INDEX(tbl_input[집계키_지청],ROW()-1),"")</f>
        <v/>
      </c>
      <c r="F1078" t="str">
        <f t="shared" si="83"/>
        <v/>
      </c>
      <c r="G1078" t="str">
        <f t="shared" si="84"/>
        <v/>
      </c>
    </row>
    <row r="1079" spans="1:7" x14ac:dyDescent="0.4">
      <c r="A1079" t="str">
        <f t="shared" si="80"/>
        <v/>
      </c>
      <c r="B1079" t="str">
        <f t="shared" si="81"/>
        <v/>
      </c>
      <c r="C1079" t="str">
        <f t="shared" si="82"/>
        <v/>
      </c>
      <c r="D1079" t="str">
        <f>IF(E1079="","",IF(COUNTIF($E$2:E1079,E1079)&gt;1,"",SUMIFS(tbl_input[필요수량],tbl_input[집계키_지청],E1079)))</f>
        <v/>
      </c>
      <c r="E1079" t="str">
        <f>IFERROR(INDEX(tbl_input[집계키_지청],ROW()-1),"")</f>
        <v/>
      </c>
      <c r="F1079" t="str">
        <f t="shared" si="83"/>
        <v/>
      </c>
      <c r="G1079" t="str">
        <f t="shared" si="84"/>
        <v/>
      </c>
    </row>
    <row r="1080" spans="1:7" x14ac:dyDescent="0.4">
      <c r="A1080" t="str">
        <f t="shared" si="80"/>
        <v/>
      </c>
      <c r="B1080" t="str">
        <f t="shared" si="81"/>
        <v/>
      </c>
      <c r="C1080" t="str">
        <f t="shared" si="82"/>
        <v/>
      </c>
      <c r="D1080" t="str">
        <f>IF(E1080="","",IF(COUNTIF($E$2:E1080,E1080)&gt;1,"",SUMIFS(tbl_input[필요수량],tbl_input[집계키_지청],E1080)))</f>
        <v/>
      </c>
      <c r="E1080" t="str">
        <f>IFERROR(INDEX(tbl_input[집계키_지청],ROW()-1),"")</f>
        <v/>
      </c>
      <c r="F1080" t="str">
        <f t="shared" si="83"/>
        <v/>
      </c>
      <c r="G1080" t="str">
        <f t="shared" si="84"/>
        <v/>
      </c>
    </row>
    <row r="1081" spans="1:7" x14ac:dyDescent="0.4">
      <c r="A1081" t="str">
        <f t="shared" si="80"/>
        <v/>
      </c>
      <c r="B1081" t="str">
        <f t="shared" si="81"/>
        <v/>
      </c>
      <c r="C1081" t="str">
        <f t="shared" si="82"/>
        <v/>
      </c>
      <c r="D1081" t="str">
        <f>IF(E1081="","",IF(COUNTIF($E$2:E1081,E1081)&gt;1,"",SUMIFS(tbl_input[필요수량],tbl_input[집계키_지청],E1081)))</f>
        <v/>
      </c>
      <c r="E1081" t="str">
        <f>IFERROR(INDEX(tbl_input[집계키_지청],ROW()-1),"")</f>
        <v/>
      </c>
      <c r="F1081" t="str">
        <f t="shared" si="83"/>
        <v/>
      </c>
      <c r="G1081" t="str">
        <f t="shared" si="84"/>
        <v/>
      </c>
    </row>
    <row r="1082" spans="1:7" x14ac:dyDescent="0.4">
      <c r="A1082" t="str">
        <f t="shared" si="80"/>
        <v/>
      </c>
      <c r="B1082" t="str">
        <f t="shared" si="81"/>
        <v/>
      </c>
      <c r="C1082" t="str">
        <f t="shared" si="82"/>
        <v/>
      </c>
      <c r="D1082" t="str">
        <f>IF(E1082="","",IF(COUNTIF($E$2:E1082,E1082)&gt;1,"",SUMIFS(tbl_input[필요수량],tbl_input[집계키_지청],E1082)))</f>
        <v/>
      </c>
      <c r="E1082" t="str">
        <f>IFERROR(INDEX(tbl_input[집계키_지청],ROW()-1),"")</f>
        <v/>
      </c>
      <c r="F1082" t="str">
        <f t="shared" si="83"/>
        <v/>
      </c>
      <c r="G1082" t="str">
        <f t="shared" si="84"/>
        <v/>
      </c>
    </row>
    <row r="1083" spans="1:7" x14ac:dyDescent="0.4">
      <c r="A1083" t="str">
        <f t="shared" si="80"/>
        <v/>
      </c>
      <c r="B1083" t="str">
        <f t="shared" si="81"/>
        <v/>
      </c>
      <c r="C1083" t="str">
        <f t="shared" si="82"/>
        <v/>
      </c>
      <c r="D1083" t="str">
        <f>IF(E1083="","",IF(COUNTIF($E$2:E1083,E1083)&gt;1,"",SUMIFS(tbl_input[필요수량],tbl_input[집계키_지청],E1083)))</f>
        <v/>
      </c>
      <c r="E1083" t="str">
        <f>IFERROR(INDEX(tbl_input[집계키_지청],ROW()-1),"")</f>
        <v/>
      </c>
      <c r="F1083" t="str">
        <f t="shared" si="83"/>
        <v/>
      </c>
      <c r="G1083" t="str">
        <f t="shared" si="84"/>
        <v/>
      </c>
    </row>
    <row r="1084" spans="1:7" x14ac:dyDescent="0.4">
      <c r="A1084" t="str">
        <f t="shared" si="80"/>
        <v/>
      </c>
      <c r="B1084" t="str">
        <f t="shared" si="81"/>
        <v/>
      </c>
      <c r="C1084" t="str">
        <f t="shared" si="82"/>
        <v/>
      </c>
      <c r="D1084" t="str">
        <f>IF(E1084="","",IF(COUNTIF($E$2:E1084,E1084)&gt;1,"",SUMIFS(tbl_input[필요수량],tbl_input[집계키_지청],E1084)))</f>
        <v/>
      </c>
      <c r="E1084" t="str">
        <f>IFERROR(INDEX(tbl_input[집계키_지청],ROW()-1),"")</f>
        <v/>
      </c>
      <c r="F1084" t="str">
        <f t="shared" si="83"/>
        <v/>
      </c>
      <c r="G1084" t="str">
        <f t="shared" si="84"/>
        <v/>
      </c>
    </row>
    <row r="1085" spans="1:7" x14ac:dyDescent="0.4">
      <c r="A1085" t="str">
        <f t="shared" si="80"/>
        <v/>
      </c>
      <c r="B1085" t="str">
        <f t="shared" si="81"/>
        <v/>
      </c>
      <c r="C1085" t="str">
        <f t="shared" si="82"/>
        <v/>
      </c>
      <c r="D1085" t="str">
        <f>IF(E1085="","",IF(COUNTIF($E$2:E1085,E1085)&gt;1,"",SUMIFS(tbl_input[필요수량],tbl_input[집계키_지청],E1085)))</f>
        <v/>
      </c>
      <c r="E1085" t="str">
        <f>IFERROR(INDEX(tbl_input[집계키_지청],ROW()-1),"")</f>
        <v/>
      </c>
      <c r="F1085" t="str">
        <f t="shared" si="83"/>
        <v/>
      </c>
      <c r="G1085" t="str">
        <f t="shared" si="84"/>
        <v/>
      </c>
    </row>
    <row r="1086" spans="1:7" x14ac:dyDescent="0.4">
      <c r="A1086" t="str">
        <f t="shared" si="80"/>
        <v/>
      </c>
      <c r="B1086" t="str">
        <f t="shared" si="81"/>
        <v/>
      </c>
      <c r="C1086" t="str">
        <f t="shared" si="82"/>
        <v/>
      </c>
      <c r="D1086" t="str">
        <f>IF(E1086="","",IF(COUNTIF($E$2:E1086,E1086)&gt;1,"",SUMIFS(tbl_input[필요수량],tbl_input[집계키_지청],E1086)))</f>
        <v/>
      </c>
      <c r="E1086" t="str">
        <f>IFERROR(INDEX(tbl_input[집계키_지청],ROW()-1),"")</f>
        <v/>
      </c>
      <c r="F1086" t="str">
        <f t="shared" si="83"/>
        <v/>
      </c>
      <c r="G1086" t="str">
        <f t="shared" si="84"/>
        <v/>
      </c>
    </row>
    <row r="1087" spans="1:7" x14ac:dyDescent="0.4">
      <c r="A1087" t="str">
        <f t="shared" si="80"/>
        <v/>
      </c>
      <c r="B1087" t="str">
        <f t="shared" si="81"/>
        <v/>
      </c>
      <c r="C1087" t="str">
        <f t="shared" si="82"/>
        <v/>
      </c>
      <c r="D1087" t="str">
        <f>IF(E1087="","",IF(COUNTIF($E$2:E1087,E1087)&gt;1,"",SUMIFS(tbl_input[필요수량],tbl_input[집계키_지청],E1087)))</f>
        <v/>
      </c>
      <c r="E1087" t="str">
        <f>IFERROR(INDEX(tbl_input[집계키_지청],ROW()-1),"")</f>
        <v/>
      </c>
      <c r="F1087" t="str">
        <f t="shared" si="83"/>
        <v/>
      </c>
      <c r="G1087" t="str">
        <f t="shared" si="84"/>
        <v/>
      </c>
    </row>
    <row r="1088" spans="1:7" x14ac:dyDescent="0.4">
      <c r="A1088" t="str">
        <f t="shared" si="80"/>
        <v/>
      </c>
      <c r="B1088" t="str">
        <f t="shared" si="81"/>
        <v/>
      </c>
      <c r="C1088" t="str">
        <f t="shared" si="82"/>
        <v/>
      </c>
      <c r="D1088" t="str">
        <f>IF(E1088="","",IF(COUNTIF($E$2:E1088,E1088)&gt;1,"",SUMIFS(tbl_input[필요수량],tbl_input[집계키_지청],E1088)))</f>
        <v/>
      </c>
      <c r="E1088" t="str">
        <f>IFERROR(INDEX(tbl_input[집계키_지청],ROW()-1),"")</f>
        <v/>
      </c>
      <c r="F1088" t="str">
        <f t="shared" si="83"/>
        <v/>
      </c>
      <c r="G1088" t="str">
        <f t="shared" si="84"/>
        <v/>
      </c>
    </row>
    <row r="1089" spans="1:7" x14ac:dyDescent="0.4">
      <c r="A1089" t="str">
        <f t="shared" si="80"/>
        <v/>
      </c>
      <c r="B1089" t="str">
        <f t="shared" si="81"/>
        <v/>
      </c>
      <c r="C1089" t="str">
        <f t="shared" si="82"/>
        <v/>
      </c>
      <c r="D1089" t="str">
        <f>IF(E1089="","",IF(COUNTIF($E$2:E1089,E1089)&gt;1,"",SUMIFS(tbl_input[필요수량],tbl_input[집계키_지청],E1089)))</f>
        <v/>
      </c>
      <c r="E1089" t="str">
        <f>IFERROR(INDEX(tbl_input[집계키_지청],ROW()-1),"")</f>
        <v/>
      </c>
      <c r="F1089" t="str">
        <f t="shared" si="83"/>
        <v/>
      </c>
      <c r="G1089" t="str">
        <f t="shared" si="84"/>
        <v/>
      </c>
    </row>
    <row r="1090" spans="1:7" x14ac:dyDescent="0.4">
      <c r="A1090" t="str">
        <f t="shared" ref="A1090:A1153" si="85">IF(E1090="","",LEFT(E1090,F1090-1))</f>
        <v/>
      </c>
      <c r="B1090" t="str">
        <f t="shared" ref="B1090:B1153" si="86">IF(E1090="","",MID(E1090,F1090+1,G1090-F1090-1))</f>
        <v/>
      </c>
      <c r="C1090" t="str">
        <f t="shared" ref="C1090:C1153" si="87">IF(E1090="","",MID(E1090,G1090+1,999))</f>
        <v/>
      </c>
      <c r="D1090" t="str">
        <f>IF(E1090="","",IF(COUNTIF($E$2:E1090,E1090)&gt;1,"",SUMIFS(tbl_input[필요수량],tbl_input[집계키_지청],E1090)))</f>
        <v/>
      </c>
      <c r="E1090" t="str">
        <f>IFERROR(INDEX(tbl_input[집계키_지청],ROW()-1),"")</f>
        <v/>
      </c>
      <c r="F1090" t="str">
        <f t="shared" ref="F1090:F1153" si="88">IF(E1090="","",FIND("♦",E1090))</f>
        <v/>
      </c>
      <c r="G1090" t="str">
        <f t="shared" ref="G1090:G1153" si="89">IF(E1090="","",FIND("♦",E1090,F1090+1))</f>
        <v/>
      </c>
    </row>
    <row r="1091" spans="1:7" x14ac:dyDescent="0.4">
      <c r="A1091" t="str">
        <f t="shared" si="85"/>
        <v/>
      </c>
      <c r="B1091" t="str">
        <f t="shared" si="86"/>
        <v/>
      </c>
      <c r="C1091" t="str">
        <f t="shared" si="87"/>
        <v/>
      </c>
      <c r="D1091" t="str">
        <f>IF(E1091="","",IF(COUNTIF($E$2:E1091,E1091)&gt;1,"",SUMIFS(tbl_input[필요수량],tbl_input[집계키_지청],E1091)))</f>
        <v/>
      </c>
      <c r="E1091" t="str">
        <f>IFERROR(INDEX(tbl_input[집계키_지청],ROW()-1),"")</f>
        <v/>
      </c>
      <c r="F1091" t="str">
        <f t="shared" si="88"/>
        <v/>
      </c>
      <c r="G1091" t="str">
        <f t="shared" si="89"/>
        <v/>
      </c>
    </row>
    <row r="1092" spans="1:7" x14ac:dyDescent="0.4">
      <c r="A1092" t="str">
        <f t="shared" si="85"/>
        <v/>
      </c>
      <c r="B1092" t="str">
        <f t="shared" si="86"/>
        <v/>
      </c>
      <c r="C1092" t="str">
        <f t="shared" si="87"/>
        <v/>
      </c>
      <c r="D1092" t="str">
        <f>IF(E1092="","",IF(COUNTIF($E$2:E1092,E1092)&gt;1,"",SUMIFS(tbl_input[필요수량],tbl_input[집계키_지청],E1092)))</f>
        <v/>
      </c>
      <c r="E1092" t="str">
        <f>IFERROR(INDEX(tbl_input[집계키_지청],ROW()-1),"")</f>
        <v/>
      </c>
      <c r="F1092" t="str">
        <f t="shared" si="88"/>
        <v/>
      </c>
      <c r="G1092" t="str">
        <f t="shared" si="89"/>
        <v/>
      </c>
    </row>
    <row r="1093" spans="1:7" x14ac:dyDescent="0.4">
      <c r="A1093" t="str">
        <f t="shared" si="85"/>
        <v/>
      </c>
      <c r="B1093" t="str">
        <f t="shared" si="86"/>
        <v/>
      </c>
      <c r="C1093" t="str">
        <f t="shared" si="87"/>
        <v/>
      </c>
      <c r="D1093" t="str">
        <f>IF(E1093="","",IF(COUNTIF($E$2:E1093,E1093)&gt;1,"",SUMIFS(tbl_input[필요수량],tbl_input[집계키_지청],E1093)))</f>
        <v/>
      </c>
      <c r="E1093" t="str">
        <f>IFERROR(INDEX(tbl_input[집계키_지청],ROW()-1),"")</f>
        <v/>
      </c>
      <c r="F1093" t="str">
        <f t="shared" si="88"/>
        <v/>
      </c>
      <c r="G1093" t="str">
        <f t="shared" si="89"/>
        <v/>
      </c>
    </row>
    <row r="1094" spans="1:7" x14ac:dyDescent="0.4">
      <c r="A1094" t="str">
        <f t="shared" si="85"/>
        <v/>
      </c>
      <c r="B1094" t="str">
        <f t="shared" si="86"/>
        <v/>
      </c>
      <c r="C1094" t="str">
        <f t="shared" si="87"/>
        <v/>
      </c>
      <c r="D1094" t="str">
        <f>IF(E1094="","",IF(COUNTIF($E$2:E1094,E1094)&gt;1,"",SUMIFS(tbl_input[필요수량],tbl_input[집계키_지청],E1094)))</f>
        <v/>
      </c>
      <c r="E1094" t="str">
        <f>IFERROR(INDEX(tbl_input[집계키_지청],ROW()-1),"")</f>
        <v/>
      </c>
      <c r="F1094" t="str">
        <f t="shared" si="88"/>
        <v/>
      </c>
      <c r="G1094" t="str">
        <f t="shared" si="89"/>
        <v/>
      </c>
    </row>
    <row r="1095" spans="1:7" x14ac:dyDescent="0.4">
      <c r="A1095" t="str">
        <f t="shared" si="85"/>
        <v/>
      </c>
      <c r="B1095" t="str">
        <f t="shared" si="86"/>
        <v/>
      </c>
      <c r="C1095" t="str">
        <f t="shared" si="87"/>
        <v/>
      </c>
      <c r="D1095" t="str">
        <f>IF(E1095="","",IF(COUNTIF($E$2:E1095,E1095)&gt;1,"",SUMIFS(tbl_input[필요수량],tbl_input[집계키_지청],E1095)))</f>
        <v/>
      </c>
      <c r="E1095" t="str">
        <f>IFERROR(INDEX(tbl_input[집계키_지청],ROW()-1),"")</f>
        <v/>
      </c>
      <c r="F1095" t="str">
        <f t="shared" si="88"/>
        <v/>
      </c>
      <c r="G1095" t="str">
        <f t="shared" si="89"/>
        <v/>
      </c>
    </row>
    <row r="1096" spans="1:7" x14ac:dyDescent="0.4">
      <c r="A1096" t="str">
        <f t="shared" si="85"/>
        <v/>
      </c>
      <c r="B1096" t="str">
        <f t="shared" si="86"/>
        <v/>
      </c>
      <c r="C1096" t="str">
        <f t="shared" si="87"/>
        <v/>
      </c>
      <c r="D1096" t="str">
        <f>IF(E1096="","",IF(COUNTIF($E$2:E1096,E1096)&gt;1,"",SUMIFS(tbl_input[필요수량],tbl_input[집계키_지청],E1096)))</f>
        <v/>
      </c>
      <c r="E1096" t="str">
        <f>IFERROR(INDEX(tbl_input[집계키_지청],ROW()-1),"")</f>
        <v/>
      </c>
      <c r="F1096" t="str">
        <f t="shared" si="88"/>
        <v/>
      </c>
      <c r="G1096" t="str">
        <f t="shared" si="89"/>
        <v/>
      </c>
    </row>
    <row r="1097" spans="1:7" x14ac:dyDescent="0.4">
      <c r="A1097" t="str">
        <f t="shared" si="85"/>
        <v/>
      </c>
      <c r="B1097" t="str">
        <f t="shared" si="86"/>
        <v/>
      </c>
      <c r="C1097" t="str">
        <f t="shared" si="87"/>
        <v/>
      </c>
      <c r="D1097" t="str">
        <f>IF(E1097="","",IF(COUNTIF($E$2:E1097,E1097)&gt;1,"",SUMIFS(tbl_input[필요수량],tbl_input[집계키_지청],E1097)))</f>
        <v/>
      </c>
      <c r="E1097" t="str">
        <f>IFERROR(INDEX(tbl_input[집계키_지청],ROW()-1),"")</f>
        <v/>
      </c>
      <c r="F1097" t="str">
        <f t="shared" si="88"/>
        <v/>
      </c>
      <c r="G1097" t="str">
        <f t="shared" si="89"/>
        <v/>
      </c>
    </row>
    <row r="1098" spans="1:7" x14ac:dyDescent="0.4">
      <c r="A1098" t="str">
        <f t="shared" si="85"/>
        <v/>
      </c>
      <c r="B1098" t="str">
        <f t="shared" si="86"/>
        <v/>
      </c>
      <c r="C1098" t="str">
        <f t="shared" si="87"/>
        <v/>
      </c>
      <c r="D1098" t="str">
        <f>IF(E1098="","",IF(COUNTIF($E$2:E1098,E1098)&gt;1,"",SUMIFS(tbl_input[필요수량],tbl_input[집계키_지청],E1098)))</f>
        <v/>
      </c>
      <c r="E1098" t="str">
        <f>IFERROR(INDEX(tbl_input[집계키_지청],ROW()-1),"")</f>
        <v/>
      </c>
      <c r="F1098" t="str">
        <f t="shared" si="88"/>
        <v/>
      </c>
      <c r="G1098" t="str">
        <f t="shared" si="89"/>
        <v/>
      </c>
    </row>
    <row r="1099" spans="1:7" x14ac:dyDescent="0.4">
      <c r="A1099" t="str">
        <f t="shared" si="85"/>
        <v/>
      </c>
      <c r="B1099" t="str">
        <f t="shared" si="86"/>
        <v/>
      </c>
      <c r="C1099" t="str">
        <f t="shared" si="87"/>
        <v/>
      </c>
      <c r="D1099" t="str">
        <f>IF(E1099="","",IF(COUNTIF($E$2:E1099,E1099)&gt;1,"",SUMIFS(tbl_input[필요수량],tbl_input[집계키_지청],E1099)))</f>
        <v/>
      </c>
      <c r="E1099" t="str">
        <f>IFERROR(INDEX(tbl_input[집계키_지청],ROW()-1),"")</f>
        <v/>
      </c>
      <c r="F1099" t="str">
        <f t="shared" si="88"/>
        <v/>
      </c>
      <c r="G1099" t="str">
        <f t="shared" si="89"/>
        <v/>
      </c>
    </row>
    <row r="1100" spans="1:7" x14ac:dyDescent="0.4">
      <c r="A1100" t="str">
        <f t="shared" si="85"/>
        <v/>
      </c>
      <c r="B1100" t="str">
        <f t="shared" si="86"/>
        <v/>
      </c>
      <c r="C1100" t="str">
        <f t="shared" si="87"/>
        <v/>
      </c>
      <c r="D1100" t="str">
        <f>IF(E1100="","",IF(COUNTIF($E$2:E1100,E1100)&gt;1,"",SUMIFS(tbl_input[필요수량],tbl_input[집계키_지청],E1100)))</f>
        <v/>
      </c>
      <c r="E1100" t="str">
        <f>IFERROR(INDEX(tbl_input[집계키_지청],ROW()-1),"")</f>
        <v/>
      </c>
      <c r="F1100" t="str">
        <f t="shared" si="88"/>
        <v/>
      </c>
      <c r="G1100" t="str">
        <f t="shared" si="89"/>
        <v/>
      </c>
    </row>
    <row r="1101" spans="1:7" x14ac:dyDescent="0.4">
      <c r="A1101" t="str">
        <f t="shared" si="85"/>
        <v/>
      </c>
      <c r="B1101" t="str">
        <f t="shared" si="86"/>
        <v/>
      </c>
      <c r="C1101" t="str">
        <f t="shared" si="87"/>
        <v/>
      </c>
      <c r="D1101" t="str">
        <f>IF(E1101="","",IF(COUNTIF($E$2:E1101,E1101)&gt;1,"",SUMIFS(tbl_input[필요수량],tbl_input[집계키_지청],E1101)))</f>
        <v/>
      </c>
      <c r="E1101" t="str">
        <f>IFERROR(INDEX(tbl_input[집계키_지청],ROW()-1),"")</f>
        <v/>
      </c>
      <c r="F1101" t="str">
        <f t="shared" si="88"/>
        <v/>
      </c>
      <c r="G1101" t="str">
        <f t="shared" si="89"/>
        <v/>
      </c>
    </row>
    <row r="1102" spans="1:7" x14ac:dyDescent="0.4">
      <c r="A1102" t="str">
        <f t="shared" si="85"/>
        <v/>
      </c>
      <c r="B1102" t="str">
        <f t="shared" si="86"/>
        <v/>
      </c>
      <c r="C1102" t="str">
        <f t="shared" si="87"/>
        <v/>
      </c>
      <c r="D1102" t="str">
        <f>IF(E1102="","",IF(COUNTIF($E$2:E1102,E1102)&gt;1,"",SUMIFS(tbl_input[필요수량],tbl_input[집계키_지청],E1102)))</f>
        <v/>
      </c>
      <c r="E1102" t="str">
        <f>IFERROR(INDEX(tbl_input[집계키_지청],ROW()-1),"")</f>
        <v/>
      </c>
      <c r="F1102" t="str">
        <f t="shared" si="88"/>
        <v/>
      </c>
      <c r="G1102" t="str">
        <f t="shared" si="89"/>
        <v/>
      </c>
    </row>
    <row r="1103" spans="1:7" x14ac:dyDescent="0.4">
      <c r="A1103" t="str">
        <f t="shared" si="85"/>
        <v/>
      </c>
      <c r="B1103" t="str">
        <f t="shared" si="86"/>
        <v/>
      </c>
      <c r="C1103" t="str">
        <f t="shared" si="87"/>
        <v/>
      </c>
      <c r="D1103" t="str">
        <f>IF(E1103="","",IF(COUNTIF($E$2:E1103,E1103)&gt;1,"",SUMIFS(tbl_input[필요수량],tbl_input[집계키_지청],E1103)))</f>
        <v/>
      </c>
      <c r="E1103" t="str">
        <f>IFERROR(INDEX(tbl_input[집계키_지청],ROW()-1),"")</f>
        <v/>
      </c>
      <c r="F1103" t="str">
        <f t="shared" si="88"/>
        <v/>
      </c>
      <c r="G1103" t="str">
        <f t="shared" si="89"/>
        <v/>
      </c>
    </row>
    <row r="1104" spans="1:7" x14ac:dyDescent="0.4">
      <c r="A1104" t="str">
        <f t="shared" si="85"/>
        <v/>
      </c>
      <c r="B1104" t="str">
        <f t="shared" si="86"/>
        <v/>
      </c>
      <c r="C1104" t="str">
        <f t="shared" si="87"/>
        <v/>
      </c>
      <c r="D1104" t="str">
        <f>IF(E1104="","",IF(COUNTIF($E$2:E1104,E1104)&gt;1,"",SUMIFS(tbl_input[필요수량],tbl_input[집계키_지청],E1104)))</f>
        <v/>
      </c>
      <c r="E1104" t="str">
        <f>IFERROR(INDEX(tbl_input[집계키_지청],ROW()-1),"")</f>
        <v/>
      </c>
      <c r="F1104" t="str">
        <f t="shared" si="88"/>
        <v/>
      </c>
      <c r="G1104" t="str">
        <f t="shared" si="89"/>
        <v/>
      </c>
    </row>
    <row r="1105" spans="1:7" x14ac:dyDescent="0.4">
      <c r="A1105" t="str">
        <f t="shared" si="85"/>
        <v/>
      </c>
      <c r="B1105" t="str">
        <f t="shared" si="86"/>
        <v/>
      </c>
      <c r="C1105" t="str">
        <f t="shared" si="87"/>
        <v/>
      </c>
      <c r="D1105" t="str">
        <f>IF(E1105="","",IF(COUNTIF($E$2:E1105,E1105)&gt;1,"",SUMIFS(tbl_input[필요수량],tbl_input[집계키_지청],E1105)))</f>
        <v/>
      </c>
      <c r="E1105" t="str">
        <f>IFERROR(INDEX(tbl_input[집계키_지청],ROW()-1),"")</f>
        <v/>
      </c>
      <c r="F1105" t="str">
        <f t="shared" si="88"/>
        <v/>
      </c>
      <c r="G1105" t="str">
        <f t="shared" si="89"/>
        <v/>
      </c>
    </row>
    <row r="1106" spans="1:7" x14ac:dyDescent="0.4">
      <c r="A1106" t="str">
        <f t="shared" si="85"/>
        <v/>
      </c>
      <c r="B1106" t="str">
        <f t="shared" si="86"/>
        <v/>
      </c>
      <c r="C1106" t="str">
        <f t="shared" si="87"/>
        <v/>
      </c>
      <c r="D1106" t="str">
        <f>IF(E1106="","",IF(COUNTIF($E$2:E1106,E1106)&gt;1,"",SUMIFS(tbl_input[필요수량],tbl_input[집계키_지청],E1106)))</f>
        <v/>
      </c>
      <c r="E1106" t="str">
        <f>IFERROR(INDEX(tbl_input[집계키_지청],ROW()-1),"")</f>
        <v/>
      </c>
      <c r="F1106" t="str">
        <f t="shared" si="88"/>
        <v/>
      </c>
      <c r="G1106" t="str">
        <f t="shared" si="89"/>
        <v/>
      </c>
    </row>
    <row r="1107" spans="1:7" x14ac:dyDescent="0.4">
      <c r="A1107" t="str">
        <f t="shared" si="85"/>
        <v/>
      </c>
      <c r="B1107" t="str">
        <f t="shared" si="86"/>
        <v/>
      </c>
      <c r="C1107" t="str">
        <f t="shared" si="87"/>
        <v/>
      </c>
      <c r="D1107" t="str">
        <f>IF(E1107="","",IF(COUNTIF($E$2:E1107,E1107)&gt;1,"",SUMIFS(tbl_input[필요수량],tbl_input[집계키_지청],E1107)))</f>
        <v/>
      </c>
      <c r="E1107" t="str">
        <f>IFERROR(INDEX(tbl_input[집계키_지청],ROW()-1),"")</f>
        <v/>
      </c>
      <c r="F1107" t="str">
        <f t="shared" si="88"/>
        <v/>
      </c>
      <c r="G1107" t="str">
        <f t="shared" si="89"/>
        <v/>
      </c>
    </row>
    <row r="1108" spans="1:7" x14ac:dyDescent="0.4">
      <c r="A1108" t="str">
        <f t="shared" si="85"/>
        <v/>
      </c>
      <c r="B1108" t="str">
        <f t="shared" si="86"/>
        <v/>
      </c>
      <c r="C1108" t="str">
        <f t="shared" si="87"/>
        <v/>
      </c>
      <c r="D1108" t="str">
        <f>IF(E1108="","",IF(COUNTIF($E$2:E1108,E1108)&gt;1,"",SUMIFS(tbl_input[필요수량],tbl_input[집계키_지청],E1108)))</f>
        <v/>
      </c>
      <c r="E1108" t="str">
        <f>IFERROR(INDEX(tbl_input[집계키_지청],ROW()-1),"")</f>
        <v/>
      </c>
      <c r="F1108" t="str">
        <f t="shared" si="88"/>
        <v/>
      </c>
      <c r="G1108" t="str">
        <f t="shared" si="89"/>
        <v/>
      </c>
    </row>
    <row r="1109" spans="1:7" x14ac:dyDescent="0.4">
      <c r="A1109" t="str">
        <f t="shared" si="85"/>
        <v/>
      </c>
      <c r="B1109" t="str">
        <f t="shared" si="86"/>
        <v/>
      </c>
      <c r="C1109" t="str">
        <f t="shared" si="87"/>
        <v/>
      </c>
      <c r="D1109" t="str">
        <f>IF(E1109="","",IF(COUNTIF($E$2:E1109,E1109)&gt;1,"",SUMIFS(tbl_input[필요수량],tbl_input[집계키_지청],E1109)))</f>
        <v/>
      </c>
      <c r="E1109" t="str">
        <f>IFERROR(INDEX(tbl_input[집계키_지청],ROW()-1),"")</f>
        <v/>
      </c>
      <c r="F1109" t="str">
        <f t="shared" si="88"/>
        <v/>
      </c>
      <c r="G1109" t="str">
        <f t="shared" si="89"/>
        <v/>
      </c>
    </row>
    <row r="1110" spans="1:7" x14ac:dyDescent="0.4">
      <c r="A1110" t="str">
        <f t="shared" si="85"/>
        <v/>
      </c>
      <c r="B1110" t="str">
        <f t="shared" si="86"/>
        <v/>
      </c>
      <c r="C1110" t="str">
        <f t="shared" si="87"/>
        <v/>
      </c>
      <c r="D1110" t="str">
        <f>IF(E1110="","",IF(COUNTIF($E$2:E1110,E1110)&gt;1,"",SUMIFS(tbl_input[필요수량],tbl_input[집계키_지청],E1110)))</f>
        <v/>
      </c>
      <c r="E1110" t="str">
        <f>IFERROR(INDEX(tbl_input[집계키_지청],ROW()-1),"")</f>
        <v/>
      </c>
      <c r="F1110" t="str">
        <f t="shared" si="88"/>
        <v/>
      </c>
      <c r="G1110" t="str">
        <f t="shared" si="89"/>
        <v/>
      </c>
    </row>
    <row r="1111" spans="1:7" x14ac:dyDescent="0.4">
      <c r="A1111" t="str">
        <f t="shared" si="85"/>
        <v/>
      </c>
      <c r="B1111" t="str">
        <f t="shared" si="86"/>
        <v/>
      </c>
      <c r="C1111" t="str">
        <f t="shared" si="87"/>
        <v/>
      </c>
      <c r="D1111" t="str">
        <f>IF(E1111="","",IF(COUNTIF($E$2:E1111,E1111)&gt;1,"",SUMIFS(tbl_input[필요수량],tbl_input[집계키_지청],E1111)))</f>
        <v/>
      </c>
      <c r="E1111" t="str">
        <f>IFERROR(INDEX(tbl_input[집계키_지청],ROW()-1),"")</f>
        <v/>
      </c>
      <c r="F1111" t="str">
        <f t="shared" si="88"/>
        <v/>
      </c>
      <c r="G1111" t="str">
        <f t="shared" si="89"/>
        <v/>
      </c>
    </row>
    <row r="1112" spans="1:7" x14ac:dyDescent="0.4">
      <c r="A1112" t="str">
        <f t="shared" si="85"/>
        <v/>
      </c>
      <c r="B1112" t="str">
        <f t="shared" si="86"/>
        <v/>
      </c>
      <c r="C1112" t="str">
        <f t="shared" si="87"/>
        <v/>
      </c>
      <c r="D1112" t="str">
        <f>IF(E1112="","",IF(COUNTIF($E$2:E1112,E1112)&gt;1,"",SUMIFS(tbl_input[필요수량],tbl_input[집계키_지청],E1112)))</f>
        <v/>
      </c>
      <c r="E1112" t="str">
        <f>IFERROR(INDEX(tbl_input[집계키_지청],ROW()-1),"")</f>
        <v/>
      </c>
      <c r="F1112" t="str">
        <f t="shared" si="88"/>
        <v/>
      </c>
      <c r="G1112" t="str">
        <f t="shared" si="89"/>
        <v/>
      </c>
    </row>
    <row r="1113" spans="1:7" x14ac:dyDescent="0.4">
      <c r="A1113" t="str">
        <f t="shared" si="85"/>
        <v/>
      </c>
      <c r="B1113" t="str">
        <f t="shared" si="86"/>
        <v/>
      </c>
      <c r="C1113" t="str">
        <f t="shared" si="87"/>
        <v/>
      </c>
      <c r="D1113" t="str">
        <f>IF(E1113="","",IF(COUNTIF($E$2:E1113,E1113)&gt;1,"",SUMIFS(tbl_input[필요수량],tbl_input[집계키_지청],E1113)))</f>
        <v/>
      </c>
      <c r="E1113" t="str">
        <f>IFERROR(INDEX(tbl_input[집계키_지청],ROW()-1),"")</f>
        <v/>
      </c>
      <c r="F1113" t="str">
        <f t="shared" si="88"/>
        <v/>
      </c>
      <c r="G1113" t="str">
        <f t="shared" si="89"/>
        <v/>
      </c>
    </row>
    <row r="1114" spans="1:7" x14ac:dyDescent="0.4">
      <c r="A1114" t="str">
        <f t="shared" si="85"/>
        <v/>
      </c>
      <c r="B1114" t="str">
        <f t="shared" si="86"/>
        <v/>
      </c>
      <c r="C1114" t="str">
        <f t="shared" si="87"/>
        <v/>
      </c>
      <c r="D1114" t="str">
        <f>IF(E1114="","",IF(COUNTIF($E$2:E1114,E1114)&gt;1,"",SUMIFS(tbl_input[필요수량],tbl_input[집계키_지청],E1114)))</f>
        <v/>
      </c>
      <c r="E1114" t="str">
        <f>IFERROR(INDEX(tbl_input[집계키_지청],ROW()-1),"")</f>
        <v/>
      </c>
      <c r="F1114" t="str">
        <f t="shared" si="88"/>
        <v/>
      </c>
      <c r="G1114" t="str">
        <f t="shared" si="89"/>
        <v/>
      </c>
    </row>
    <row r="1115" spans="1:7" x14ac:dyDescent="0.4">
      <c r="A1115" t="str">
        <f t="shared" si="85"/>
        <v/>
      </c>
      <c r="B1115" t="str">
        <f t="shared" si="86"/>
        <v/>
      </c>
      <c r="C1115" t="str">
        <f t="shared" si="87"/>
        <v/>
      </c>
      <c r="D1115" t="str">
        <f>IF(E1115="","",IF(COUNTIF($E$2:E1115,E1115)&gt;1,"",SUMIFS(tbl_input[필요수량],tbl_input[집계키_지청],E1115)))</f>
        <v/>
      </c>
      <c r="E1115" t="str">
        <f>IFERROR(INDEX(tbl_input[집계키_지청],ROW()-1),"")</f>
        <v/>
      </c>
      <c r="F1115" t="str">
        <f t="shared" si="88"/>
        <v/>
      </c>
      <c r="G1115" t="str">
        <f t="shared" si="89"/>
        <v/>
      </c>
    </row>
    <row r="1116" spans="1:7" x14ac:dyDescent="0.4">
      <c r="A1116" t="str">
        <f t="shared" si="85"/>
        <v/>
      </c>
      <c r="B1116" t="str">
        <f t="shared" si="86"/>
        <v/>
      </c>
      <c r="C1116" t="str">
        <f t="shared" si="87"/>
        <v/>
      </c>
      <c r="D1116" t="str">
        <f>IF(E1116="","",IF(COUNTIF($E$2:E1116,E1116)&gt;1,"",SUMIFS(tbl_input[필요수량],tbl_input[집계키_지청],E1116)))</f>
        <v/>
      </c>
      <c r="E1116" t="str">
        <f>IFERROR(INDEX(tbl_input[집계키_지청],ROW()-1),"")</f>
        <v/>
      </c>
      <c r="F1116" t="str">
        <f t="shared" si="88"/>
        <v/>
      </c>
      <c r="G1116" t="str">
        <f t="shared" si="89"/>
        <v/>
      </c>
    </row>
    <row r="1117" spans="1:7" x14ac:dyDescent="0.4">
      <c r="A1117" t="str">
        <f t="shared" si="85"/>
        <v/>
      </c>
      <c r="B1117" t="str">
        <f t="shared" si="86"/>
        <v/>
      </c>
      <c r="C1117" t="str">
        <f t="shared" si="87"/>
        <v/>
      </c>
      <c r="D1117" t="str">
        <f>IF(E1117="","",IF(COUNTIF($E$2:E1117,E1117)&gt;1,"",SUMIFS(tbl_input[필요수량],tbl_input[집계키_지청],E1117)))</f>
        <v/>
      </c>
      <c r="E1117" t="str">
        <f>IFERROR(INDEX(tbl_input[집계키_지청],ROW()-1),"")</f>
        <v/>
      </c>
      <c r="F1117" t="str">
        <f t="shared" si="88"/>
        <v/>
      </c>
      <c r="G1117" t="str">
        <f t="shared" si="89"/>
        <v/>
      </c>
    </row>
    <row r="1118" spans="1:7" x14ac:dyDescent="0.4">
      <c r="A1118" t="str">
        <f t="shared" si="85"/>
        <v/>
      </c>
      <c r="B1118" t="str">
        <f t="shared" si="86"/>
        <v/>
      </c>
      <c r="C1118" t="str">
        <f t="shared" si="87"/>
        <v/>
      </c>
      <c r="D1118" t="str">
        <f>IF(E1118="","",IF(COUNTIF($E$2:E1118,E1118)&gt;1,"",SUMIFS(tbl_input[필요수량],tbl_input[집계키_지청],E1118)))</f>
        <v/>
      </c>
      <c r="E1118" t="str">
        <f>IFERROR(INDEX(tbl_input[집계키_지청],ROW()-1),"")</f>
        <v/>
      </c>
      <c r="F1118" t="str">
        <f t="shared" si="88"/>
        <v/>
      </c>
      <c r="G1118" t="str">
        <f t="shared" si="89"/>
        <v/>
      </c>
    </row>
    <row r="1119" spans="1:7" x14ac:dyDescent="0.4">
      <c r="A1119" t="str">
        <f t="shared" si="85"/>
        <v/>
      </c>
      <c r="B1119" t="str">
        <f t="shared" si="86"/>
        <v/>
      </c>
      <c r="C1119" t="str">
        <f t="shared" si="87"/>
        <v/>
      </c>
      <c r="D1119" t="str">
        <f>IF(E1119="","",IF(COUNTIF($E$2:E1119,E1119)&gt;1,"",SUMIFS(tbl_input[필요수량],tbl_input[집계키_지청],E1119)))</f>
        <v/>
      </c>
      <c r="E1119" t="str">
        <f>IFERROR(INDEX(tbl_input[집계키_지청],ROW()-1),"")</f>
        <v/>
      </c>
      <c r="F1119" t="str">
        <f t="shared" si="88"/>
        <v/>
      </c>
      <c r="G1119" t="str">
        <f t="shared" si="89"/>
        <v/>
      </c>
    </row>
    <row r="1120" spans="1:7" x14ac:dyDescent="0.4">
      <c r="A1120" t="str">
        <f t="shared" si="85"/>
        <v/>
      </c>
      <c r="B1120" t="str">
        <f t="shared" si="86"/>
        <v/>
      </c>
      <c r="C1120" t="str">
        <f t="shared" si="87"/>
        <v/>
      </c>
      <c r="D1120" t="str">
        <f>IF(E1120="","",IF(COUNTIF($E$2:E1120,E1120)&gt;1,"",SUMIFS(tbl_input[필요수량],tbl_input[집계키_지청],E1120)))</f>
        <v/>
      </c>
      <c r="E1120" t="str">
        <f>IFERROR(INDEX(tbl_input[집계키_지청],ROW()-1),"")</f>
        <v/>
      </c>
      <c r="F1120" t="str">
        <f t="shared" si="88"/>
        <v/>
      </c>
      <c r="G1120" t="str">
        <f t="shared" si="89"/>
        <v/>
      </c>
    </row>
    <row r="1121" spans="1:7" x14ac:dyDescent="0.4">
      <c r="A1121" t="str">
        <f t="shared" si="85"/>
        <v/>
      </c>
      <c r="B1121" t="str">
        <f t="shared" si="86"/>
        <v/>
      </c>
      <c r="C1121" t="str">
        <f t="shared" si="87"/>
        <v/>
      </c>
      <c r="D1121" t="str">
        <f>IF(E1121="","",IF(COUNTIF($E$2:E1121,E1121)&gt;1,"",SUMIFS(tbl_input[필요수량],tbl_input[집계키_지청],E1121)))</f>
        <v/>
      </c>
      <c r="E1121" t="str">
        <f>IFERROR(INDEX(tbl_input[집계키_지청],ROW()-1),"")</f>
        <v/>
      </c>
      <c r="F1121" t="str">
        <f t="shared" si="88"/>
        <v/>
      </c>
      <c r="G1121" t="str">
        <f t="shared" si="89"/>
        <v/>
      </c>
    </row>
    <row r="1122" spans="1:7" x14ac:dyDescent="0.4">
      <c r="A1122" t="str">
        <f t="shared" si="85"/>
        <v/>
      </c>
      <c r="B1122" t="str">
        <f t="shared" si="86"/>
        <v/>
      </c>
      <c r="C1122" t="str">
        <f t="shared" si="87"/>
        <v/>
      </c>
      <c r="D1122" t="str">
        <f>IF(E1122="","",IF(COUNTIF($E$2:E1122,E1122)&gt;1,"",SUMIFS(tbl_input[필요수량],tbl_input[집계키_지청],E1122)))</f>
        <v/>
      </c>
      <c r="E1122" t="str">
        <f>IFERROR(INDEX(tbl_input[집계키_지청],ROW()-1),"")</f>
        <v/>
      </c>
      <c r="F1122" t="str">
        <f t="shared" si="88"/>
        <v/>
      </c>
      <c r="G1122" t="str">
        <f t="shared" si="89"/>
        <v/>
      </c>
    </row>
    <row r="1123" spans="1:7" x14ac:dyDescent="0.4">
      <c r="A1123" t="str">
        <f t="shared" si="85"/>
        <v/>
      </c>
      <c r="B1123" t="str">
        <f t="shared" si="86"/>
        <v/>
      </c>
      <c r="C1123" t="str">
        <f t="shared" si="87"/>
        <v/>
      </c>
      <c r="D1123" t="str">
        <f>IF(E1123="","",IF(COUNTIF($E$2:E1123,E1123)&gt;1,"",SUMIFS(tbl_input[필요수량],tbl_input[집계키_지청],E1123)))</f>
        <v/>
      </c>
      <c r="E1123" t="str">
        <f>IFERROR(INDEX(tbl_input[집계키_지청],ROW()-1),"")</f>
        <v/>
      </c>
      <c r="F1123" t="str">
        <f t="shared" si="88"/>
        <v/>
      </c>
      <c r="G1123" t="str">
        <f t="shared" si="89"/>
        <v/>
      </c>
    </row>
    <row r="1124" spans="1:7" x14ac:dyDescent="0.4">
      <c r="A1124" t="str">
        <f t="shared" si="85"/>
        <v/>
      </c>
      <c r="B1124" t="str">
        <f t="shared" si="86"/>
        <v/>
      </c>
      <c r="C1124" t="str">
        <f t="shared" si="87"/>
        <v/>
      </c>
      <c r="D1124" t="str">
        <f>IF(E1124="","",IF(COUNTIF($E$2:E1124,E1124)&gt;1,"",SUMIFS(tbl_input[필요수량],tbl_input[집계키_지청],E1124)))</f>
        <v/>
      </c>
      <c r="E1124" t="str">
        <f>IFERROR(INDEX(tbl_input[집계키_지청],ROW()-1),"")</f>
        <v/>
      </c>
      <c r="F1124" t="str">
        <f t="shared" si="88"/>
        <v/>
      </c>
      <c r="G1124" t="str">
        <f t="shared" si="89"/>
        <v/>
      </c>
    </row>
    <row r="1125" spans="1:7" x14ac:dyDescent="0.4">
      <c r="A1125" t="str">
        <f t="shared" si="85"/>
        <v/>
      </c>
      <c r="B1125" t="str">
        <f t="shared" si="86"/>
        <v/>
      </c>
      <c r="C1125" t="str">
        <f t="shared" si="87"/>
        <v/>
      </c>
      <c r="D1125" t="str">
        <f>IF(E1125="","",IF(COUNTIF($E$2:E1125,E1125)&gt;1,"",SUMIFS(tbl_input[필요수량],tbl_input[집계키_지청],E1125)))</f>
        <v/>
      </c>
      <c r="E1125" t="str">
        <f>IFERROR(INDEX(tbl_input[집계키_지청],ROW()-1),"")</f>
        <v/>
      </c>
      <c r="F1125" t="str">
        <f t="shared" si="88"/>
        <v/>
      </c>
      <c r="G1125" t="str">
        <f t="shared" si="89"/>
        <v/>
      </c>
    </row>
    <row r="1126" spans="1:7" x14ac:dyDescent="0.4">
      <c r="A1126" t="str">
        <f t="shared" si="85"/>
        <v/>
      </c>
      <c r="B1126" t="str">
        <f t="shared" si="86"/>
        <v/>
      </c>
      <c r="C1126" t="str">
        <f t="shared" si="87"/>
        <v/>
      </c>
      <c r="D1126" t="str">
        <f>IF(E1126="","",IF(COUNTIF($E$2:E1126,E1126)&gt;1,"",SUMIFS(tbl_input[필요수량],tbl_input[집계키_지청],E1126)))</f>
        <v/>
      </c>
      <c r="E1126" t="str">
        <f>IFERROR(INDEX(tbl_input[집계키_지청],ROW()-1),"")</f>
        <v/>
      </c>
      <c r="F1126" t="str">
        <f t="shared" si="88"/>
        <v/>
      </c>
      <c r="G1126" t="str">
        <f t="shared" si="89"/>
        <v/>
      </c>
    </row>
    <row r="1127" spans="1:7" x14ac:dyDescent="0.4">
      <c r="A1127" t="str">
        <f t="shared" si="85"/>
        <v/>
      </c>
      <c r="B1127" t="str">
        <f t="shared" si="86"/>
        <v/>
      </c>
      <c r="C1127" t="str">
        <f t="shared" si="87"/>
        <v/>
      </c>
      <c r="D1127" t="str">
        <f>IF(E1127="","",IF(COUNTIF($E$2:E1127,E1127)&gt;1,"",SUMIFS(tbl_input[필요수량],tbl_input[집계키_지청],E1127)))</f>
        <v/>
      </c>
      <c r="E1127" t="str">
        <f>IFERROR(INDEX(tbl_input[집계키_지청],ROW()-1),"")</f>
        <v/>
      </c>
      <c r="F1127" t="str">
        <f t="shared" si="88"/>
        <v/>
      </c>
      <c r="G1127" t="str">
        <f t="shared" si="89"/>
        <v/>
      </c>
    </row>
    <row r="1128" spans="1:7" x14ac:dyDescent="0.4">
      <c r="A1128" t="str">
        <f t="shared" si="85"/>
        <v/>
      </c>
      <c r="B1128" t="str">
        <f t="shared" si="86"/>
        <v/>
      </c>
      <c r="C1128" t="str">
        <f t="shared" si="87"/>
        <v/>
      </c>
      <c r="D1128" t="str">
        <f>IF(E1128="","",IF(COUNTIF($E$2:E1128,E1128)&gt;1,"",SUMIFS(tbl_input[필요수량],tbl_input[집계키_지청],E1128)))</f>
        <v/>
      </c>
      <c r="E1128" t="str">
        <f>IFERROR(INDEX(tbl_input[집계키_지청],ROW()-1),"")</f>
        <v/>
      </c>
      <c r="F1128" t="str">
        <f t="shared" si="88"/>
        <v/>
      </c>
      <c r="G1128" t="str">
        <f t="shared" si="89"/>
        <v/>
      </c>
    </row>
    <row r="1129" spans="1:7" x14ac:dyDescent="0.4">
      <c r="A1129" t="str">
        <f t="shared" si="85"/>
        <v/>
      </c>
      <c r="B1129" t="str">
        <f t="shared" si="86"/>
        <v/>
      </c>
      <c r="C1129" t="str">
        <f t="shared" si="87"/>
        <v/>
      </c>
      <c r="D1129" t="str">
        <f>IF(E1129="","",IF(COUNTIF($E$2:E1129,E1129)&gt;1,"",SUMIFS(tbl_input[필요수량],tbl_input[집계키_지청],E1129)))</f>
        <v/>
      </c>
      <c r="E1129" t="str">
        <f>IFERROR(INDEX(tbl_input[집계키_지청],ROW()-1),"")</f>
        <v/>
      </c>
      <c r="F1129" t="str">
        <f t="shared" si="88"/>
        <v/>
      </c>
      <c r="G1129" t="str">
        <f t="shared" si="89"/>
        <v/>
      </c>
    </row>
    <row r="1130" spans="1:7" x14ac:dyDescent="0.4">
      <c r="A1130" t="str">
        <f t="shared" si="85"/>
        <v/>
      </c>
      <c r="B1130" t="str">
        <f t="shared" si="86"/>
        <v/>
      </c>
      <c r="C1130" t="str">
        <f t="shared" si="87"/>
        <v/>
      </c>
      <c r="D1130" t="str">
        <f>IF(E1130="","",IF(COUNTIF($E$2:E1130,E1130)&gt;1,"",SUMIFS(tbl_input[필요수량],tbl_input[집계키_지청],E1130)))</f>
        <v/>
      </c>
      <c r="E1130" t="str">
        <f>IFERROR(INDEX(tbl_input[집계키_지청],ROW()-1),"")</f>
        <v/>
      </c>
      <c r="F1130" t="str">
        <f t="shared" si="88"/>
        <v/>
      </c>
      <c r="G1130" t="str">
        <f t="shared" si="89"/>
        <v/>
      </c>
    </row>
    <row r="1131" spans="1:7" x14ac:dyDescent="0.4">
      <c r="A1131" t="str">
        <f t="shared" si="85"/>
        <v/>
      </c>
      <c r="B1131" t="str">
        <f t="shared" si="86"/>
        <v/>
      </c>
      <c r="C1131" t="str">
        <f t="shared" si="87"/>
        <v/>
      </c>
      <c r="D1131" t="str">
        <f>IF(E1131="","",IF(COUNTIF($E$2:E1131,E1131)&gt;1,"",SUMIFS(tbl_input[필요수량],tbl_input[집계키_지청],E1131)))</f>
        <v/>
      </c>
      <c r="E1131" t="str">
        <f>IFERROR(INDEX(tbl_input[집계키_지청],ROW()-1),"")</f>
        <v/>
      </c>
      <c r="F1131" t="str">
        <f t="shared" si="88"/>
        <v/>
      </c>
      <c r="G1131" t="str">
        <f t="shared" si="89"/>
        <v/>
      </c>
    </row>
    <row r="1132" spans="1:7" x14ac:dyDescent="0.4">
      <c r="A1132" t="str">
        <f t="shared" si="85"/>
        <v/>
      </c>
      <c r="B1132" t="str">
        <f t="shared" si="86"/>
        <v/>
      </c>
      <c r="C1132" t="str">
        <f t="shared" si="87"/>
        <v/>
      </c>
      <c r="D1132" t="str">
        <f>IF(E1132="","",IF(COUNTIF($E$2:E1132,E1132)&gt;1,"",SUMIFS(tbl_input[필요수량],tbl_input[집계키_지청],E1132)))</f>
        <v/>
      </c>
      <c r="E1132" t="str">
        <f>IFERROR(INDEX(tbl_input[집계키_지청],ROW()-1),"")</f>
        <v/>
      </c>
      <c r="F1132" t="str">
        <f t="shared" si="88"/>
        <v/>
      </c>
      <c r="G1132" t="str">
        <f t="shared" si="89"/>
        <v/>
      </c>
    </row>
    <row r="1133" spans="1:7" x14ac:dyDescent="0.4">
      <c r="A1133" t="str">
        <f t="shared" si="85"/>
        <v/>
      </c>
      <c r="B1133" t="str">
        <f t="shared" si="86"/>
        <v/>
      </c>
      <c r="C1133" t="str">
        <f t="shared" si="87"/>
        <v/>
      </c>
      <c r="D1133" t="str">
        <f>IF(E1133="","",IF(COUNTIF($E$2:E1133,E1133)&gt;1,"",SUMIFS(tbl_input[필요수량],tbl_input[집계키_지청],E1133)))</f>
        <v/>
      </c>
      <c r="E1133" t="str">
        <f>IFERROR(INDEX(tbl_input[집계키_지청],ROW()-1),"")</f>
        <v/>
      </c>
      <c r="F1133" t="str">
        <f t="shared" si="88"/>
        <v/>
      </c>
      <c r="G1133" t="str">
        <f t="shared" si="89"/>
        <v/>
      </c>
    </row>
    <row r="1134" spans="1:7" x14ac:dyDescent="0.4">
      <c r="A1134" t="str">
        <f t="shared" si="85"/>
        <v/>
      </c>
      <c r="B1134" t="str">
        <f t="shared" si="86"/>
        <v/>
      </c>
      <c r="C1134" t="str">
        <f t="shared" si="87"/>
        <v/>
      </c>
      <c r="D1134" t="str">
        <f>IF(E1134="","",IF(COUNTIF($E$2:E1134,E1134)&gt;1,"",SUMIFS(tbl_input[필요수량],tbl_input[집계키_지청],E1134)))</f>
        <v/>
      </c>
      <c r="E1134" t="str">
        <f>IFERROR(INDEX(tbl_input[집계키_지청],ROW()-1),"")</f>
        <v/>
      </c>
      <c r="F1134" t="str">
        <f t="shared" si="88"/>
        <v/>
      </c>
      <c r="G1134" t="str">
        <f t="shared" si="89"/>
        <v/>
      </c>
    </row>
    <row r="1135" spans="1:7" x14ac:dyDescent="0.4">
      <c r="A1135" t="str">
        <f t="shared" si="85"/>
        <v/>
      </c>
      <c r="B1135" t="str">
        <f t="shared" si="86"/>
        <v/>
      </c>
      <c r="C1135" t="str">
        <f t="shared" si="87"/>
        <v/>
      </c>
      <c r="D1135" t="str">
        <f>IF(E1135="","",IF(COUNTIF($E$2:E1135,E1135)&gt;1,"",SUMIFS(tbl_input[필요수량],tbl_input[집계키_지청],E1135)))</f>
        <v/>
      </c>
      <c r="E1135" t="str">
        <f>IFERROR(INDEX(tbl_input[집계키_지청],ROW()-1),"")</f>
        <v/>
      </c>
      <c r="F1135" t="str">
        <f t="shared" si="88"/>
        <v/>
      </c>
      <c r="G1135" t="str">
        <f t="shared" si="89"/>
        <v/>
      </c>
    </row>
    <row r="1136" spans="1:7" x14ac:dyDescent="0.4">
      <c r="A1136" t="str">
        <f t="shared" si="85"/>
        <v/>
      </c>
      <c r="B1136" t="str">
        <f t="shared" si="86"/>
        <v/>
      </c>
      <c r="C1136" t="str">
        <f t="shared" si="87"/>
        <v/>
      </c>
      <c r="D1136" t="str">
        <f>IF(E1136="","",IF(COUNTIF($E$2:E1136,E1136)&gt;1,"",SUMIFS(tbl_input[필요수량],tbl_input[집계키_지청],E1136)))</f>
        <v/>
      </c>
      <c r="E1136" t="str">
        <f>IFERROR(INDEX(tbl_input[집계키_지청],ROW()-1),"")</f>
        <v/>
      </c>
      <c r="F1136" t="str">
        <f t="shared" si="88"/>
        <v/>
      </c>
      <c r="G1136" t="str">
        <f t="shared" si="89"/>
        <v/>
      </c>
    </row>
    <row r="1137" spans="1:7" x14ac:dyDescent="0.4">
      <c r="A1137" t="str">
        <f t="shared" si="85"/>
        <v/>
      </c>
      <c r="B1137" t="str">
        <f t="shared" si="86"/>
        <v/>
      </c>
      <c r="C1137" t="str">
        <f t="shared" si="87"/>
        <v/>
      </c>
      <c r="D1137" t="str">
        <f>IF(E1137="","",IF(COUNTIF($E$2:E1137,E1137)&gt;1,"",SUMIFS(tbl_input[필요수량],tbl_input[집계키_지청],E1137)))</f>
        <v/>
      </c>
      <c r="E1137" t="str">
        <f>IFERROR(INDEX(tbl_input[집계키_지청],ROW()-1),"")</f>
        <v/>
      </c>
      <c r="F1137" t="str">
        <f t="shared" si="88"/>
        <v/>
      </c>
      <c r="G1137" t="str">
        <f t="shared" si="89"/>
        <v/>
      </c>
    </row>
    <row r="1138" spans="1:7" x14ac:dyDescent="0.4">
      <c r="A1138" t="str">
        <f t="shared" si="85"/>
        <v/>
      </c>
      <c r="B1138" t="str">
        <f t="shared" si="86"/>
        <v/>
      </c>
      <c r="C1138" t="str">
        <f t="shared" si="87"/>
        <v/>
      </c>
      <c r="D1138" t="str">
        <f>IF(E1138="","",IF(COUNTIF($E$2:E1138,E1138)&gt;1,"",SUMIFS(tbl_input[필요수량],tbl_input[집계키_지청],E1138)))</f>
        <v/>
      </c>
      <c r="E1138" t="str">
        <f>IFERROR(INDEX(tbl_input[집계키_지청],ROW()-1),"")</f>
        <v/>
      </c>
      <c r="F1138" t="str">
        <f t="shared" si="88"/>
        <v/>
      </c>
      <c r="G1138" t="str">
        <f t="shared" si="89"/>
        <v/>
      </c>
    </row>
    <row r="1139" spans="1:7" x14ac:dyDescent="0.4">
      <c r="A1139" t="str">
        <f t="shared" si="85"/>
        <v/>
      </c>
      <c r="B1139" t="str">
        <f t="shared" si="86"/>
        <v/>
      </c>
      <c r="C1139" t="str">
        <f t="shared" si="87"/>
        <v/>
      </c>
      <c r="D1139" t="str">
        <f>IF(E1139="","",IF(COUNTIF($E$2:E1139,E1139)&gt;1,"",SUMIFS(tbl_input[필요수량],tbl_input[집계키_지청],E1139)))</f>
        <v/>
      </c>
      <c r="E1139" t="str">
        <f>IFERROR(INDEX(tbl_input[집계키_지청],ROW()-1),"")</f>
        <v/>
      </c>
      <c r="F1139" t="str">
        <f t="shared" si="88"/>
        <v/>
      </c>
      <c r="G1139" t="str">
        <f t="shared" si="89"/>
        <v/>
      </c>
    </row>
    <row r="1140" spans="1:7" x14ac:dyDescent="0.4">
      <c r="A1140" t="str">
        <f t="shared" si="85"/>
        <v/>
      </c>
      <c r="B1140" t="str">
        <f t="shared" si="86"/>
        <v/>
      </c>
      <c r="C1140" t="str">
        <f t="shared" si="87"/>
        <v/>
      </c>
      <c r="D1140" t="str">
        <f>IF(E1140="","",IF(COUNTIF($E$2:E1140,E1140)&gt;1,"",SUMIFS(tbl_input[필요수량],tbl_input[집계키_지청],E1140)))</f>
        <v/>
      </c>
      <c r="E1140" t="str">
        <f>IFERROR(INDEX(tbl_input[집계키_지청],ROW()-1),"")</f>
        <v/>
      </c>
      <c r="F1140" t="str">
        <f t="shared" si="88"/>
        <v/>
      </c>
      <c r="G1140" t="str">
        <f t="shared" si="89"/>
        <v/>
      </c>
    </row>
    <row r="1141" spans="1:7" x14ac:dyDescent="0.4">
      <c r="A1141" t="str">
        <f t="shared" si="85"/>
        <v/>
      </c>
      <c r="B1141" t="str">
        <f t="shared" si="86"/>
        <v/>
      </c>
      <c r="C1141" t="str">
        <f t="shared" si="87"/>
        <v/>
      </c>
      <c r="D1141" t="str">
        <f>IF(E1141="","",IF(COUNTIF($E$2:E1141,E1141)&gt;1,"",SUMIFS(tbl_input[필요수량],tbl_input[집계키_지청],E1141)))</f>
        <v/>
      </c>
      <c r="E1141" t="str">
        <f>IFERROR(INDEX(tbl_input[집계키_지청],ROW()-1),"")</f>
        <v/>
      </c>
      <c r="F1141" t="str">
        <f t="shared" si="88"/>
        <v/>
      </c>
      <c r="G1141" t="str">
        <f t="shared" si="89"/>
        <v/>
      </c>
    </row>
    <row r="1142" spans="1:7" x14ac:dyDescent="0.4">
      <c r="A1142" t="str">
        <f t="shared" si="85"/>
        <v/>
      </c>
      <c r="B1142" t="str">
        <f t="shared" si="86"/>
        <v/>
      </c>
      <c r="C1142" t="str">
        <f t="shared" si="87"/>
        <v/>
      </c>
      <c r="D1142" t="str">
        <f>IF(E1142="","",IF(COUNTIF($E$2:E1142,E1142)&gt;1,"",SUMIFS(tbl_input[필요수량],tbl_input[집계키_지청],E1142)))</f>
        <v/>
      </c>
      <c r="E1142" t="str">
        <f>IFERROR(INDEX(tbl_input[집계키_지청],ROW()-1),"")</f>
        <v/>
      </c>
      <c r="F1142" t="str">
        <f t="shared" si="88"/>
        <v/>
      </c>
      <c r="G1142" t="str">
        <f t="shared" si="89"/>
        <v/>
      </c>
    </row>
    <row r="1143" spans="1:7" x14ac:dyDescent="0.4">
      <c r="A1143" t="str">
        <f t="shared" si="85"/>
        <v/>
      </c>
      <c r="B1143" t="str">
        <f t="shared" si="86"/>
        <v/>
      </c>
      <c r="C1143" t="str">
        <f t="shared" si="87"/>
        <v/>
      </c>
      <c r="D1143" t="str">
        <f>IF(E1143="","",IF(COUNTIF($E$2:E1143,E1143)&gt;1,"",SUMIFS(tbl_input[필요수량],tbl_input[집계키_지청],E1143)))</f>
        <v/>
      </c>
      <c r="E1143" t="str">
        <f>IFERROR(INDEX(tbl_input[집계키_지청],ROW()-1),"")</f>
        <v/>
      </c>
      <c r="F1143" t="str">
        <f t="shared" si="88"/>
        <v/>
      </c>
      <c r="G1143" t="str">
        <f t="shared" si="89"/>
        <v/>
      </c>
    </row>
    <row r="1144" spans="1:7" x14ac:dyDescent="0.4">
      <c r="A1144" t="str">
        <f t="shared" si="85"/>
        <v/>
      </c>
      <c r="B1144" t="str">
        <f t="shared" si="86"/>
        <v/>
      </c>
      <c r="C1144" t="str">
        <f t="shared" si="87"/>
        <v/>
      </c>
      <c r="D1144" t="str">
        <f>IF(E1144="","",IF(COUNTIF($E$2:E1144,E1144)&gt;1,"",SUMIFS(tbl_input[필요수량],tbl_input[집계키_지청],E1144)))</f>
        <v/>
      </c>
      <c r="E1144" t="str">
        <f>IFERROR(INDEX(tbl_input[집계키_지청],ROW()-1),"")</f>
        <v/>
      </c>
      <c r="F1144" t="str">
        <f t="shared" si="88"/>
        <v/>
      </c>
      <c r="G1144" t="str">
        <f t="shared" si="89"/>
        <v/>
      </c>
    </row>
    <row r="1145" spans="1:7" x14ac:dyDescent="0.4">
      <c r="A1145" t="str">
        <f t="shared" si="85"/>
        <v/>
      </c>
      <c r="B1145" t="str">
        <f t="shared" si="86"/>
        <v/>
      </c>
      <c r="C1145" t="str">
        <f t="shared" si="87"/>
        <v/>
      </c>
      <c r="D1145" t="str">
        <f>IF(E1145="","",IF(COUNTIF($E$2:E1145,E1145)&gt;1,"",SUMIFS(tbl_input[필요수량],tbl_input[집계키_지청],E1145)))</f>
        <v/>
      </c>
      <c r="E1145" t="str">
        <f>IFERROR(INDEX(tbl_input[집계키_지청],ROW()-1),"")</f>
        <v/>
      </c>
      <c r="F1145" t="str">
        <f t="shared" si="88"/>
        <v/>
      </c>
      <c r="G1145" t="str">
        <f t="shared" si="89"/>
        <v/>
      </c>
    </row>
    <row r="1146" spans="1:7" x14ac:dyDescent="0.4">
      <c r="A1146" t="str">
        <f t="shared" si="85"/>
        <v/>
      </c>
      <c r="B1146" t="str">
        <f t="shared" si="86"/>
        <v/>
      </c>
      <c r="C1146" t="str">
        <f t="shared" si="87"/>
        <v/>
      </c>
      <c r="D1146" t="str">
        <f>IF(E1146="","",IF(COUNTIF($E$2:E1146,E1146)&gt;1,"",SUMIFS(tbl_input[필요수량],tbl_input[집계키_지청],E1146)))</f>
        <v/>
      </c>
      <c r="E1146" t="str">
        <f>IFERROR(INDEX(tbl_input[집계키_지청],ROW()-1),"")</f>
        <v/>
      </c>
      <c r="F1146" t="str">
        <f t="shared" si="88"/>
        <v/>
      </c>
      <c r="G1146" t="str">
        <f t="shared" si="89"/>
        <v/>
      </c>
    </row>
    <row r="1147" spans="1:7" x14ac:dyDescent="0.4">
      <c r="A1147" t="str">
        <f t="shared" si="85"/>
        <v/>
      </c>
      <c r="B1147" t="str">
        <f t="shared" si="86"/>
        <v/>
      </c>
      <c r="C1147" t="str">
        <f t="shared" si="87"/>
        <v/>
      </c>
      <c r="D1147" t="str">
        <f>IF(E1147="","",IF(COUNTIF($E$2:E1147,E1147)&gt;1,"",SUMIFS(tbl_input[필요수량],tbl_input[집계키_지청],E1147)))</f>
        <v/>
      </c>
      <c r="E1147" t="str">
        <f>IFERROR(INDEX(tbl_input[집계키_지청],ROW()-1),"")</f>
        <v/>
      </c>
      <c r="F1147" t="str">
        <f t="shared" si="88"/>
        <v/>
      </c>
      <c r="G1147" t="str">
        <f t="shared" si="89"/>
        <v/>
      </c>
    </row>
    <row r="1148" spans="1:7" x14ac:dyDescent="0.4">
      <c r="A1148" t="str">
        <f t="shared" si="85"/>
        <v/>
      </c>
      <c r="B1148" t="str">
        <f t="shared" si="86"/>
        <v/>
      </c>
      <c r="C1148" t="str">
        <f t="shared" si="87"/>
        <v/>
      </c>
      <c r="D1148" t="str">
        <f>IF(E1148="","",IF(COUNTIF($E$2:E1148,E1148)&gt;1,"",SUMIFS(tbl_input[필요수량],tbl_input[집계키_지청],E1148)))</f>
        <v/>
      </c>
      <c r="E1148" t="str">
        <f>IFERROR(INDEX(tbl_input[집계키_지청],ROW()-1),"")</f>
        <v/>
      </c>
      <c r="F1148" t="str">
        <f t="shared" si="88"/>
        <v/>
      </c>
      <c r="G1148" t="str">
        <f t="shared" si="89"/>
        <v/>
      </c>
    </row>
    <row r="1149" spans="1:7" x14ac:dyDescent="0.4">
      <c r="A1149" t="str">
        <f t="shared" si="85"/>
        <v/>
      </c>
      <c r="B1149" t="str">
        <f t="shared" si="86"/>
        <v/>
      </c>
      <c r="C1149" t="str">
        <f t="shared" si="87"/>
        <v/>
      </c>
      <c r="D1149" t="str">
        <f>IF(E1149="","",IF(COUNTIF($E$2:E1149,E1149)&gt;1,"",SUMIFS(tbl_input[필요수량],tbl_input[집계키_지청],E1149)))</f>
        <v/>
      </c>
      <c r="E1149" t="str">
        <f>IFERROR(INDEX(tbl_input[집계키_지청],ROW()-1),"")</f>
        <v/>
      </c>
      <c r="F1149" t="str">
        <f t="shared" si="88"/>
        <v/>
      </c>
      <c r="G1149" t="str">
        <f t="shared" si="89"/>
        <v/>
      </c>
    </row>
    <row r="1150" spans="1:7" x14ac:dyDescent="0.4">
      <c r="A1150" t="str">
        <f t="shared" si="85"/>
        <v/>
      </c>
      <c r="B1150" t="str">
        <f t="shared" si="86"/>
        <v/>
      </c>
      <c r="C1150" t="str">
        <f t="shared" si="87"/>
        <v/>
      </c>
      <c r="D1150" t="str">
        <f>IF(E1150="","",IF(COUNTIF($E$2:E1150,E1150)&gt;1,"",SUMIFS(tbl_input[필요수량],tbl_input[집계키_지청],E1150)))</f>
        <v/>
      </c>
      <c r="E1150" t="str">
        <f>IFERROR(INDEX(tbl_input[집계키_지청],ROW()-1),"")</f>
        <v/>
      </c>
      <c r="F1150" t="str">
        <f t="shared" si="88"/>
        <v/>
      </c>
      <c r="G1150" t="str">
        <f t="shared" si="89"/>
        <v/>
      </c>
    </row>
    <row r="1151" spans="1:7" x14ac:dyDescent="0.4">
      <c r="A1151" t="str">
        <f t="shared" si="85"/>
        <v/>
      </c>
      <c r="B1151" t="str">
        <f t="shared" si="86"/>
        <v/>
      </c>
      <c r="C1151" t="str">
        <f t="shared" si="87"/>
        <v/>
      </c>
      <c r="D1151" t="str">
        <f>IF(E1151="","",IF(COUNTIF($E$2:E1151,E1151)&gt;1,"",SUMIFS(tbl_input[필요수량],tbl_input[집계키_지청],E1151)))</f>
        <v/>
      </c>
      <c r="E1151" t="str">
        <f>IFERROR(INDEX(tbl_input[집계키_지청],ROW()-1),"")</f>
        <v/>
      </c>
      <c r="F1151" t="str">
        <f t="shared" si="88"/>
        <v/>
      </c>
      <c r="G1151" t="str">
        <f t="shared" si="89"/>
        <v/>
      </c>
    </row>
    <row r="1152" spans="1:7" x14ac:dyDescent="0.4">
      <c r="A1152" t="str">
        <f t="shared" si="85"/>
        <v/>
      </c>
      <c r="B1152" t="str">
        <f t="shared" si="86"/>
        <v/>
      </c>
      <c r="C1152" t="str">
        <f t="shared" si="87"/>
        <v/>
      </c>
      <c r="D1152" t="str">
        <f>IF(E1152="","",IF(COUNTIF($E$2:E1152,E1152)&gt;1,"",SUMIFS(tbl_input[필요수량],tbl_input[집계키_지청],E1152)))</f>
        <v/>
      </c>
      <c r="E1152" t="str">
        <f>IFERROR(INDEX(tbl_input[집계키_지청],ROW()-1),"")</f>
        <v/>
      </c>
      <c r="F1152" t="str">
        <f t="shared" si="88"/>
        <v/>
      </c>
      <c r="G1152" t="str">
        <f t="shared" si="89"/>
        <v/>
      </c>
    </row>
    <row r="1153" spans="1:7" x14ac:dyDescent="0.4">
      <c r="A1153" t="str">
        <f t="shared" si="85"/>
        <v/>
      </c>
      <c r="B1153" t="str">
        <f t="shared" si="86"/>
        <v/>
      </c>
      <c r="C1153" t="str">
        <f t="shared" si="87"/>
        <v/>
      </c>
      <c r="D1153" t="str">
        <f>IF(E1153="","",IF(COUNTIF($E$2:E1153,E1153)&gt;1,"",SUMIFS(tbl_input[필요수량],tbl_input[집계키_지청],E1153)))</f>
        <v/>
      </c>
      <c r="E1153" t="str">
        <f>IFERROR(INDEX(tbl_input[집계키_지청],ROW()-1),"")</f>
        <v/>
      </c>
      <c r="F1153" t="str">
        <f t="shared" si="88"/>
        <v/>
      </c>
      <c r="G1153" t="str">
        <f t="shared" si="89"/>
        <v/>
      </c>
    </row>
    <row r="1154" spans="1:7" x14ac:dyDescent="0.4">
      <c r="A1154" t="str">
        <f t="shared" ref="A1154:A1217" si="90">IF(E1154="","",LEFT(E1154,F1154-1))</f>
        <v/>
      </c>
      <c r="B1154" t="str">
        <f t="shared" ref="B1154:B1217" si="91">IF(E1154="","",MID(E1154,F1154+1,G1154-F1154-1))</f>
        <v/>
      </c>
      <c r="C1154" t="str">
        <f t="shared" ref="C1154:C1217" si="92">IF(E1154="","",MID(E1154,G1154+1,999))</f>
        <v/>
      </c>
      <c r="D1154" t="str">
        <f>IF(E1154="","",IF(COUNTIF($E$2:E1154,E1154)&gt;1,"",SUMIFS(tbl_input[필요수량],tbl_input[집계키_지청],E1154)))</f>
        <v/>
      </c>
      <c r="E1154" t="str">
        <f>IFERROR(INDEX(tbl_input[집계키_지청],ROW()-1),"")</f>
        <v/>
      </c>
      <c r="F1154" t="str">
        <f t="shared" ref="F1154:F1217" si="93">IF(E1154="","",FIND("♦",E1154))</f>
        <v/>
      </c>
      <c r="G1154" t="str">
        <f t="shared" ref="G1154:G1217" si="94">IF(E1154="","",FIND("♦",E1154,F1154+1))</f>
        <v/>
      </c>
    </row>
    <row r="1155" spans="1:7" x14ac:dyDescent="0.4">
      <c r="A1155" t="str">
        <f t="shared" si="90"/>
        <v/>
      </c>
      <c r="B1155" t="str">
        <f t="shared" si="91"/>
        <v/>
      </c>
      <c r="C1155" t="str">
        <f t="shared" si="92"/>
        <v/>
      </c>
      <c r="D1155" t="str">
        <f>IF(E1155="","",IF(COUNTIF($E$2:E1155,E1155)&gt;1,"",SUMIFS(tbl_input[필요수량],tbl_input[집계키_지청],E1155)))</f>
        <v/>
      </c>
      <c r="E1155" t="str">
        <f>IFERROR(INDEX(tbl_input[집계키_지청],ROW()-1),"")</f>
        <v/>
      </c>
      <c r="F1155" t="str">
        <f t="shared" si="93"/>
        <v/>
      </c>
      <c r="G1155" t="str">
        <f t="shared" si="94"/>
        <v/>
      </c>
    </row>
    <row r="1156" spans="1:7" x14ac:dyDescent="0.4">
      <c r="A1156" t="str">
        <f t="shared" si="90"/>
        <v/>
      </c>
      <c r="B1156" t="str">
        <f t="shared" si="91"/>
        <v/>
      </c>
      <c r="C1156" t="str">
        <f t="shared" si="92"/>
        <v/>
      </c>
      <c r="D1156" t="str">
        <f>IF(E1156="","",IF(COUNTIF($E$2:E1156,E1156)&gt;1,"",SUMIFS(tbl_input[필요수량],tbl_input[집계키_지청],E1156)))</f>
        <v/>
      </c>
      <c r="E1156" t="str">
        <f>IFERROR(INDEX(tbl_input[집계키_지청],ROW()-1),"")</f>
        <v/>
      </c>
      <c r="F1156" t="str">
        <f t="shared" si="93"/>
        <v/>
      </c>
      <c r="G1156" t="str">
        <f t="shared" si="94"/>
        <v/>
      </c>
    </row>
    <row r="1157" spans="1:7" x14ac:dyDescent="0.4">
      <c r="A1157" t="str">
        <f t="shared" si="90"/>
        <v/>
      </c>
      <c r="B1157" t="str">
        <f t="shared" si="91"/>
        <v/>
      </c>
      <c r="C1157" t="str">
        <f t="shared" si="92"/>
        <v/>
      </c>
      <c r="D1157" t="str">
        <f>IF(E1157="","",IF(COUNTIF($E$2:E1157,E1157)&gt;1,"",SUMIFS(tbl_input[필요수량],tbl_input[집계키_지청],E1157)))</f>
        <v/>
      </c>
      <c r="E1157" t="str">
        <f>IFERROR(INDEX(tbl_input[집계키_지청],ROW()-1),"")</f>
        <v/>
      </c>
      <c r="F1157" t="str">
        <f t="shared" si="93"/>
        <v/>
      </c>
      <c r="G1157" t="str">
        <f t="shared" si="94"/>
        <v/>
      </c>
    </row>
    <row r="1158" spans="1:7" x14ac:dyDescent="0.4">
      <c r="A1158" t="str">
        <f t="shared" si="90"/>
        <v/>
      </c>
      <c r="B1158" t="str">
        <f t="shared" si="91"/>
        <v/>
      </c>
      <c r="C1158" t="str">
        <f t="shared" si="92"/>
        <v/>
      </c>
      <c r="D1158" t="str">
        <f>IF(E1158="","",IF(COUNTIF($E$2:E1158,E1158)&gt;1,"",SUMIFS(tbl_input[필요수량],tbl_input[집계키_지청],E1158)))</f>
        <v/>
      </c>
      <c r="E1158" t="str">
        <f>IFERROR(INDEX(tbl_input[집계키_지청],ROW()-1),"")</f>
        <v/>
      </c>
      <c r="F1158" t="str">
        <f t="shared" si="93"/>
        <v/>
      </c>
      <c r="G1158" t="str">
        <f t="shared" si="94"/>
        <v/>
      </c>
    </row>
    <row r="1159" spans="1:7" x14ac:dyDescent="0.4">
      <c r="A1159" t="str">
        <f t="shared" si="90"/>
        <v/>
      </c>
      <c r="B1159" t="str">
        <f t="shared" si="91"/>
        <v/>
      </c>
      <c r="C1159" t="str">
        <f t="shared" si="92"/>
        <v/>
      </c>
      <c r="D1159" t="str">
        <f>IF(E1159="","",IF(COUNTIF($E$2:E1159,E1159)&gt;1,"",SUMIFS(tbl_input[필요수량],tbl_input[집계키_지청],E1159)))</f>
        <v/>
      </c>
      <c r="E1159" t="str">
        <f>IFERROR(INDEX(tbl_input[집계키_지청],ROW()-1),"")</f>
        <v/>
      </c>
      <c r="F1159" t="str">
        <f t="shared" si="93"/>
        <v/>
      </c>
      <c r="G1159" t="str">
        <f t="shared" si="94"/>
        <v/>
      </c>
    </row>
    <row r="1160" spans="1:7" x14ac:dyDescent="0.4">
      <c r="A1160" t="str">
        <f t="shared" si="90"/>
        <v/>
      </c>
      <c r="B1160" t="str">
        <f t="shared" si="91"/>
        <v/>
      </c>
      <c r="C1160" t="str">
        <f t="shared" si="92"/>
        <v/>
      </c>
      <c r="D1160" t="str">
        <f>IF(E1160="","",IF(COUNTIF($E$2:E1160,E1160)&gt;1,"",SUMIFS(tbl_input[필요수량],tbl_input[집계키_지청],E1160)))</f>
        <v/>
      </c>
      <c r="E1160" t="str">
        <f>IFERROR(INDEX(tbl_input[집계키_지청],ROW()-1),"")</f>
        <v/>
      </c>
      <c r="F1160" t="str">
        <f t="shared" si="93"/>
        <v/>
      </c>
      <c r="G1160" t="str">
        <f t="shared" si="94"/>
        <v/>
      </c>
    </row>
    <row r="1161" spans="1:7" x14ac:dyDescent="0.4">
      <c r="A1161" t="str">
        <f t="shared" si="90"/>
        <v/>
      </c>
      <c r="B1161" t="str">
        <f t="shared" si="91"/>
        <v/>
      </c>
      <c r="C1161" t="str">
        <f t="shared" si="92"/>
        <v/>
      </c>
      <c r="D1161" t="str">
        <f>IF(E1161="","",IF(COUNTIF($E$2:E1161,E1161)&gt;1,"",SUMIFS(tbl_input[필요수량],tbl_input[집계키_지청],E1161)))</f>
        <v/>
      </c>
      <c r="E1161" t="str">
        <f>IFERROR(INDEX(tbl_input[집계키_지청],ROW()-1),"")</f>
        <v/>
      </c>
      <c r="F1161" t="str">
        <f t="shared" si="93"/>
        <v/>
      </c>
      <c r="G1161" t="str">
        <f t="shared" si="94"/>
        <v/>
      </c>
    </row>
    <row r="1162" spans="1:7" x14ac:dyDescent="0.4">
      <c r="A1162" t="str">
        <f t="shared" si="90"/>
        <v/>
      </c>
      <c r="B1162" t="str">
        <f t="shared" si="91"/>
        <v/>
      </c>
      <c r="C1162" t="str">
        <f t="shared" si="92"/>
        <v/>
      </c>
      <c r="D1162" t="str">
        <f>IF(E1162="","",IF(COUNTIF($E$2:E1162,E1162)&gt;1,"",SUMIFS(tbl_input[필요수량],tbl_input[집계키_지청],E1162)))</f>
        <v/>
      </c>
      <c r="E1162" t="str">
        <f>IFERROR(INDEX(tbl_input[집계키_지청],ROW()-1),"")</f>
        <v/>
      </c>
      <c r="F1162" t="str">
        <f t="shared" si="93"/>
        <v/>
      </c>
      <c r="G1162" t="str">
        <f t="shared" si="94"/>
        <v/>
      </c>
    </row>
    <row r="1163" spans="1:7" x14ac:dyDescent="0.4">
      <c r="A1163" t="str">
        <f t="shared" si="90"/>
        <v/>
      </c>
      <c r="B1163" t="str">
        <f t="shared" si="91"/>
        <v/>
      </c>
      <c r="C1163" t="str">
        <f t="shared" si="92"/>
        <v/>
      </c>
      <c r="D1163" t="str">
        <f>IF(E1163="","",IF(COUNTIF($E$2:E1163,E1163)&gt;1,"",SUMIFS(tbl_input[필요수량],tbl_input[집계키_지청],E1163)))</f>
        <v/>
      </c>
      <c r="E1163" t="str">
        <f>IFERROR(INDEX(tbl_input[집계키_지청],ROW()-1),"")</f>
        <v/>
      </c>
      <c r="F1163" t="str">
        <f t="shared" si="93"/>
        <v/>
      </c>
      <c r="G1163" t="str">
        <f t="shared" si="94"/>
        <v/>
      </c>
    </row>
    <row r="1164" spans="1:7" x14ac:dyDescent="0.4">
      <c r="A1164" t="str">
        <f t="shared" si="90"/>
        <v/>
      </c>
      <c r="B1164" t="str">
        <f t="shared" si="91"/>
        <v/>
      </c>
      <c r="C1164" t="str">
        <f t="shared" si="92"/>
        <v/>
      </c>
      <c r="D1164" t="str">
        <f>IF(E1164="","",IF(COUNTIF($E$2:E1164,E1164)&gt;1,"",SUMIFS(tbl_input[필요수량],tbl_input[집계키_지청],E1164)))</f>
        <v/>
      </c>
      <c r="E1164" t="str">
        <f>IFERROR(INDEX(tbl_input[집계키_지청],ROW()-1),"")</f>
        <v/>
      </c>
      <c r="F1164" t="str">
        <f t="shared" si="93"/>
        <v/>
      </c>
      <c r="G1164" t="str">
        <f t="shared" si="94"/>
        <v/>
      </c>
    </row>
    <row r="1165" spans="1:7" x14ac:dyDescent="0.4">
      <c r="A1165" t="str">
        <f t="shared" si="90"/>
        <v/>
      </c>
      <c r="B1165" t="str">
        <f t="shared" si="91"/>
        <v/>
      </c>
      <c r="C1165" t="str">
        <f t="shared" si="92"/>
        <v/>
      </c>
      <c r="D1165" t="str">
        <f>IF(E1165="","",IF(COUNTIF($E$2:E1165,E1165)&gt;1,"",SUMIFS(tbl_input[필요수량],tbl_input[집계키_지청],E1165)))</f>
        <v/>
      </c>
      <c r="E1165" t="str">
        <f>IFERROR(INDEX(tbl_input[집계키_지청],ROW()-1),"")</f>
        <v/>
      </c>
      <c r="F1165" t="str">
        <f t="shared" si="93"/>
        <v/>
      </c>
      <c r="G1165" t="str">
        <f t="shared" si="94"/>
        <v/>
      </c>
    </row>
    <row r="1166" spans="1:7" x14ac:dyDescent="0.4">
      <c r="A1166" t="str">
        <f t="shared" si="90"/>
        <v/>
      </c>
      <c r="B1166" t="str">
        <f t="shared" si="91"/>
        <v/>
      </c>
      <c r="C1166" t="str">
        <f t="shared" si="92"/>
        <v/>
      </c>
      <c r="D1166" t="str">
        <f>IF(E1166="","",IF(COUNTIF($E$2:E1166,E1166)&gt;1,"",SUMIFS(tbl_input[필요수량],tbl_input[집계키_지청],E1166)))</f>
        <v/>
      </c>
      <c r="E1166" t="str">
        <f>IFERROR(INDEX(tbl_input[집계키_지청],ROW()-1),"")</f>
        <v/>
      </c>
      <c r="F1166" t="str">
        <f t="shared" si="93"/>
        <v/>
      </c>
      <c r="G1166" t="str">
        <f t="shared" si="94"/>
        <v/>
      </c>
    </row>
    <row r="1167" spans="1:7" x14ac:dyDescent="0.4">
      <c r="A1167" t="str">
        <f t="shared" si="90"/>
        <v/>
      </c>
      <c r="B1167" t="str">
        <f t="shared" si="91"/>
        <v/>
      </c>
      <c r="C1167" t="str">
        <f t="shared" si="92"/>
        <v/>
      </c>
      <c r="D1167" t="str">
        <f>IF(E1167="","",IF(COUNTIF($E$2:E1167,E1167)&gt;1,"",SUMIFS(tbl_input[필요수량],tbl_input[집계키_지청],E1167)))</f>
        <v/>
      </c>
      <c r="E1167" t="str">
        <f>IFERROR(INDEX(tbl_input[집계키_지청],ROW()-1),"")</f>
        <v/>
      </c>
      <c r="F1167" t="str">
        <f t="shared" si="93"/>
        <v/>
      </c>
      <c r="G1167" t="str">
        <f t="shared" si="94"/>
        <v/>
      </c>
    </row>
    <row r="1168" spans="1:7" x14ac:dyDescent="0.4">
      <c r="A1168" t="str">
        <f t="shared" si="90"/>
        <v/>
      </c>
      <c r="B1168" t="str">
        <f t="shared" si="91"/>
        <v/>
      </c>
      <c r="C1168" t="str">
        <f t="shared" si="92"/>
        <v/>
      </c>
      <c r="D1168" t="str">
        <f>IF(E1168="","",IF(COUNTIF($E$2:E1168,E1168)&gt;1,"",SUMIFS(tbl_input[필요수량],tbl_input[집계키_지청],E1168)))</f>
        <v/>
      </c>
      <c r="E1168" t="str">
        <f>IFERROR(INDEX(tbl_input[집계키_지청],ROW()-1),"")</f>
        <v/>
      </c>
      <c r="F1168" t="str">
        <f t="shared" si="93"/>
        <v/>
      </c>
      <c r="G1168" t="str">
        <f t="shared" si="94"/>
        <v/>
      </c>
    </row>
    <row r="1169" spans="1:7" x14ac:dyDescent="0.4">
      <c r="A1169" t="str">
        <f t="shared" si="90"/>
        <v/>
      </c>
      <c r="B1169" t="str">
        <f t="shared" si="91"/>
        <v/>
      </c>
      <c r="C1169" t="str">
        <f t="shared" si="92"/>
        <v/>
      </c>
      <c r="D1169" t="str">
        <f>IF(E1169="","",IF(COUNTIF($E$2:E1169,E1169)&gt;1,"",SUMIFS(tbl_input[필요수량],tbl_input[집계키_지청],E1169)))</f>
        <v/>
      </c>
      <c r="E1169" t="str">
        <f>IFERROR(INDEX(tbl_input[집계키_지청],ROW()-1),"")</f>
        <v/>
      </c>
      <c r="F1169" t="str">
        <f t="shared" si="93"/>
        <v/>
      </c>
      <c r="G1169" t="str">
        <f t="shared" si="94"/>
        <v/>
      </c>
    </row>
    <row r="1170" spans="1:7" x14ac:dyDescent="0.4">
      <c r="A1170" t="str">
        <f t="shared" si="90"/>
        <v/>
      </c>
      <c r="B1170" t="str">
        <f t="shared" si="91"/>
        <v/>
      </c>
      <c r="C1170" t="str">
        <f t="shared" si="92"/>
        <v/>
      </c>
      <c r="D1170" t="str">
        <f>IF(E1170="","",IF(COUNTIF($E$2:E1170,E1170)&gt;1,"",SUMIFS(tbl_input[필요수량],tbl_input[집계키_지청],E1170)))</f>
        <v/>
      </c>
      <c r="E1170" t="str">
        <f>IFERROR(INDEX(tbl_input[집계키_지청],ROW()-1),"")</f>
        <v/>
      </c>
      <c r="F1170" t="str">
        <f t="shared" si="93"/>
        <v/>
      </c>
      <c r="G1170" t="str">
        <f t="shared" si="94"/>
        <v/>
      </c>
    </row>
    <row r="1171" spans="1:7" x14ac:dyDescent="0.4">
      <c r="A1171" t="str">
        <f t="shared" si="90"/>
        <v/>
      </c>
      <c r="B1171" t="str">
        <f t="shared" si="91"/>
        <v/>
      </c>
      <c r="C1171" t="str">
        <f t="shared" si="92"/>
        <v/>
      </c>
      <c r="D1171" t="str">
        <f>IF(E1171="","",IF(COUNTIF($E$2:E1171,E1171)&gt;1,"",SUMIFS(tbl_input[필요수량],tbl_input[집계키_지청],E1171)))</f>
        <v/>
      </c>
      <c r="E1171" t="str">
        <f>IFERROR(INDEX(tbl_input[집계키_지청],ROW()-1),"")</f>
        <v/>
      </c>
      <c r="F1171" t="str">
        <f t="shared" si="93"/>
        <v/>
      </c>
      <c r="G1171" t="str">
        <f t="shared" si="94"/>
        <v/>
      </c>
    </row>
    <row r="1172" spans="1:7" x14ac:dyDescent="0.4">
      <c r="A1172" t="str">
        <f t="shared" si="90"/>
        <v/>
      </c>
      <c r="B1172" t="str">
        <f t="shared" si="91"/>
        <v/>
      </c>
      <c r="C1172" t="str">
        <f t="shared" si="92"/>
        <v/>
      </c>
      <c r="D1172" t="str">
        <f>IF(E1172="","",IF(COUNTIF($E$2:E1172,E1172)&gt;1,"",SUMIFS(tbl_input[필요수량],tbl_input[집계키_지청],E1172)))</f>
        <v/>
      </c>
      <c r="E1172" t="str">
        <f>IFERROR(INDEX(tbl_input[집계키_지청],ROW()-1),"")</f>
        <v/>
      </c>
      <c r="F1172" t="str">
        <f t="shared" si="93"/>
        <v/>
      </c>
      <c r="G1172" t="str">
        <f t="shared" si="94"/>
        <v/>
      </c>
    </row>
    <row r="1173" spans="1:7" x14ac:dyDescent="0.4">
      <c r="A1173" t="str">
        <f t="shared" si="90"/>
        <v/>
      </c>
      <c r="B1173" t="str">
        <f t="shared" si="91"/>
        <v/>
      </c>
      <c r="C1173" t="str">
        <f t="shared" si="92"/>
        <v/>
      </c>
      <c r="D1173" t="str">
        <f>IF(E1173="","",IF(COUNTIF($E$2:E1173,E1173)&gt;1,"",SUMIFS(tbl_input[필요수량],tbl_input[집계키_지청],E1173)))</f>
        <v/>
      </c>
      <c r="E1173" t="str">
        <f>IFERROR(INDEX(tbl_input[집계키_지청],ROW()-1),"")</f>
        <v/>
      </c>
      <c r="F1173" t="str">
        <f t="shared" si="93"/>
        <v/>
      </c>
      <c r="G1173" t="str">
        <f t="shared" si="94"/>
        <v/>
      </c>
    </row>
    <row r="1174" spans="1:7" x14ac:dyDescent="0.4">
      <c r="A1174" t="str">
        <f t="shared" si="90"/>
        <v/>
      </c>
      <c r="B1174" t="str">
        <f t="shared" si="91"/>
        <v/>
      </c>
      <c r="C1174" t="str">
        <f t="shared" si="92"/>
        <v/>
      </c>
      <c r="D1174" t="str">
        <f>IF(E1174="","",IF(COUNTIF($E$2:E1174,E1174)&gt;1,"",SUMIFS(tbl_input[필요수량],tbl_input[집계키_지청],E1174)))</f>
        <v/>
      </c>
      <c r="E1174" t="str">
        <f>IFERROR(INDEX(tbl_input[집계키_지청],ROW()-1),"")</f>
        <v/>
      </c>
      <c r="F1174" t="str">
        <f t="shared" si="93"/>
        <v/>
      </c>
      <c r="G1174" t="str">
        <f t="shared" si="94"/>
        <v/>
      </c>
    </row>
    <row r="1175" spans="1:7" x14ac:dyDescent="0.4">
      <c r="A1175" t="str">
        <f t="shared" si="90"/>
        <v/>
      </c>
      <c r="B1175" t="str">
        <f t="shared" si="91"/>
        <v/>
      </c>
      <c r="C1175" t="str">
        <f t="shared" si="92"/>
        <v/>
      </c>
      <c r="D1175" t="str">
        <f>IF(E1175="","",IF(COUNTIF($E$2:E1175,E1175)&gt;1,"",SUMIFS(tbl_input[필요수량],tbl_input[집계키_지청],E1175)))</f>
        <v/>
      </c>
      <c r="E1175" t="str">
        <f>IFERROR(INDEX(tbl_input[집계키_지청],ROW()-1),"")</f>
        <v/>
      </c>
      <c r="F1175" t="str">
        <f t="shared" si="93"/>
        <v/>
      </c>
      <c r="G1175" t="str">
        <f t="shared" si="94"/>
        <v/>
      </c>
    </row>
    <row r="1176" spans="1:7" x14ac:dyDescent="0.4">
      <c r="A1176" t="str">
        <f t="shared" si="90"/>
        <v/>
      </c>
      <c r="B1176" t="str">
        <f t="shared" si="91"/>
        <v/>
      </c>
      <c r="C1176" t="str">
        <f t="shared" si="92"/>
        <v/>
      </c>
      <c r="D1176" t="str">
        <f>IF(E1176="","",IF(COUNTIF($E$2:E1176,E1176)&gt;1,"",SUMIFS(tbl_input[필요수량],tbl_input[집계키_지청],E1176)))</f>
        <v/>
      </c>
      <c r="E1176" t="str">
        <f>IFERROR(INDEX(tbl_input[집계키_지청],ROW()-1),"")</f>
        <v/>
      </c>
      <c r="F1176" t="str">
        <f t="shared" si="93"/>
        <v/>
      </c>
      <c r="G1176" t="str">
        <f t="shared" si="94"/>
        <v/>
      </c>
    </row>
    <row r="1177" spans="1:7" x14ac:dyDescent="0.4">
      <c r="A1177" t="str">
        <f t="shared" si="90"/>
        <v/>
      </c>
      <c r="B1177" t="str">
        <f t="shared" si="91"/>
        <v/>
      </c>
      <c r="C1177" t="str">
        <f t="shared" si="92"/>
        <v/>
      </c>
      <c r="D1177" t="str">
        <f>IF(E1177="","",IF(COUNTIF($E$2:E1177,E1177)&gt;1,"",SUMIFS(tbl_input[필요수량],tbl_input[집계키_지청],E1177)))</f>
        <v/>
      </c>
      <c r="E1177" t="str">
        <f>IFERROR(INDEX(tbl_input[집계키_지청],ROW()-1),"")</f>
        <v/>
      </c>
      <c r="F1177" t="str">
        <f t="shared" si="93"/>
        <v/>
      </c>
      <c r="G1177" t="str">
        <f t="shared" si="94"/>
        <v/>
      </c>
    </row>
    <row r="1178" spans="1:7" x14ac:dyDescent="0.4">
      <c r="A1178" t="str">
        <f t="shared" si="90"/>
        <v/>
      </c>
      <c r="B1178" t="str">
        <f t="shared" si="91"/>
        <v/>
      </c>
      <c r="C1178" t="str">
        <f t="shared" si="92"/>
        <v/>
      </c>
      <c r="D1178" t="str">
        <f>IF(E1178="","",IF(COUNTIF($E$2:E1178,E1178)&gt;1,"",SUMIFS(tbl_input[필요수량],tbl_input[집계키_지청],E1178)))</f>
        <v/>
      </c>
      <c r="E1178" t="str">
        <f>IFERROR(INDEX(tbl_input[집계키_지청],ROW()-1),"")</f>
        <v/>
      </c>
      <c r="F1178" t="str">
        <f t="shared" si="93"/>
        <v/>
      </c>
      <c r="G1178" t="str">
        <f t="shared" si="94"/>
        <v/>
      </c>
    </row>
    <row r="1179" spans="1:7" x14ac:dyDescent="0.4">
      <c r="A1179" t="str">
        <f t="shared" si="90"/>
        <v/>
      </c>
      <c r="B1179" t="str">
        <f t="shared" si="91"/>
        <v/>
      </c>
      <c r="C1179" t="str">
        <f t="shared" si="92"/>
        <v/>
      </c>
      <c r="D1179" t="str">
        <f>IF(E1179="","",IF(COUNTIF($E$2:E1179,E1179)&gt;1,"",SUMIFS(tbl_input[필요수량],tbl_input[집계키_지청],E1179)))</f>
        <v/>
      </c>
      <c r="E1179" t="str">
        <f>IFERROR(INDEX(tbl_input[집계키_지청],ROW()-1),"")</f>
        <v/>
      </c>
      <c r="F1179" t="str">
        <f t="shared" si="93"/>
        <v/>
      </c>
      <c r="G1179" t="str">
        <f t="shared" si="94"/>
        <v/>
      </c>
    </row>
    <row r="1180" spans="1:7" x14ac:dyDescent="0.4">
      <c r="A1180" t="str">
        <f t="shared" si="90"/>
        <v/>
      </c>
      <c r="B1180" t="str">
        <f t="shared" si="91"/>
        <v/>
      </c>
      <c r="C1180" t="str">
        <f t="shared" si="92"/>
        <v/>
      </c>
      <c r="D1180" t="str">
        <f>IF(E1180="","",IF(COUNTIF($E$2:E1180,E1180)&gt;1,"",SUMIFS(tbl_input[필요수량],tbl_input[집계키_지청],E1180)))</f>
        <v/>
      </c>
      <c r="E1180" t="str">
        <f>IFERROR(INDEX(tbl_input[집계키_지청],ROW()-1),"")</f>
        <v/>
      </c>
      <c r="F1180" t="str">
        <f t="shared" si="93"/>
        <v/>
      </c>
      <c r="G1180" t="str">
        <f t="shared" si="94"/>
        <v/>
      </c>
    </row>
    <row r="1181" spans="1:7" x14ac:dyDescent="0.4">
      <c r="A1181" t="str">
        <f t="shared" si="90"/>
        <v/>
      </c>
      <c r="B1181" t="str">
        <f t="shared" si="91"/>
        <v/>
      </c>
      <c r="C1181" t="str">
        <f t="shared" si="92"/>
        <v/>
      </c>
      <c r="D1181" t="str">
        <f>IF(E1181="","",IF(COUNTIF($E$2:E1181,E1181)&gt;1,"",SUMIFS(tbl_input[필요수량],tbl_input[집계키_지청],E1181)))</f>
        <v/>
      </c>
      <c r="E1181" t="str">
        <f>IFERROR(INDEX(tbl_input[집계키_지청],ROW()-1),"")</f>
        <v/>
      </c>
      <c r="F1181" t="str">
        <f t="shared" si="93"/>
        <v/>
      </c>
      <c r="G1181" t="str">
        <f t="shared" si="94"/>
        <v/>
      </c>
    </row>
    <row r="1182" spans="1:7" x14ac:dyDescent="0.4">
      <c r="A1182" t="str">
        <f t="shared" si="90"/>
        <v/>
      </c>
      <c r="B1182" t="str">
        <f t="shared" si="91"/>
        <v/>
      </c>
      <c r="C1182" t="str">
        <f t="shared" si="92"/>
        <v/>
      </c>
      <c r="D1182" t="str">
        <f>IF(E1182="","",IF(COUNTIF($E$2:E1182,E1182)&gt;1,"",SUMIFS(tbl_input[필요수량],tbl_input[집계키_지청],E1182)))</f>
        <v/>
      </c>
      <c r="E1182" t="str">
        <f>IFERROR(INDEX(tbl_input[집계키_지청],ROW()-1),"")</f>
        <v/>
      </c>
      <c r="F1182" t="str">
        <f t="shared" si="93"/>
        <v/>
      </c>
      <c r="G1182" t="str">
        <f t="shared" si="94"/>
        <v/>
      </c>
    </row>
    <row r="1183" spans="1:7" x14ac:dyDescent="0.4">
      <c r="A1183" t="str">
        <f t="shared" si="90"/>
        <v/>
      </c>
      <c r="B1183" t="str">
        <f t="shared" si="91"/>
        <v/>
      </c>
      <c r="C1183" t="str">
        <f t="shared" si="92"/>
        <v/>
      </c>
      <c r="D1183" t="str">
        <f>IF(E1183="","",IF(COUNTIF($E$2:E1183,E1183)&gt;1,"",SUMIFS(tbl_input[필요수량],tbl_input[집계키_지청],E1183)))</f>
        <v/>
      </c>
      <c r="E1183" t="str">
        <f>IFERROR(INDEX(tbl_input[집계키_지청],ROW()-1),"")</f>
        <v/>
      </c>
      <c r="F1183" t="str">
        <f t="shared" si="93"/>
        <v/>
      </c>
      <c r="G1183" t="str">
        <f t="shared" si="94"/>
        <v/>
      </c>
    </row>
    <row r="1184" spans="1:7" x14ac:dyDescent="0.4">
      <c r="A1184" t="str">
        <f t="shared" si="90"/>
        <v/>
      </c>
      <c r="B1184" t="str">
        <f t="shared" si="91"/>
        <v/>
      </c>
      <c r="C1184" t="str">
        <f t="shared" si="92"/>
        <v/>
      </c>
      <c r="D1184" t="str">
        <f>IF(E1184="","",IF(COUNTIF($E$2:E1184,E1184)&gt;1,"",SUMIFS(tbl_input[필요수량],tbl_input[집계키_지청],E1184)))</f>
        <v/>
      </c>
      <c r="E1184" t="str">
        <f>IFERROR(INDEX(tbl_input[집계키_지청],ROW()-1),"")</f>
        <v/>
      </c>
      <c r="F1184" t="str">
        <f t="shared" si="93"/>
        <v/>
      </c>
      <c r="G1184" t="str">
        <f t="shared" si="94"/>
        <v/>
      </c>
    </row>
    <row r="1185" spans="1:7" x14ac:dyDescent="0.4">
      <c r="A1185" t="str">
        <f t="shared" si="90"/>
        <v/>
      </c>
      <c r="B1185" t="str">
        <f t="shared" si="91"/>
        <v/>
      </c>
      <c r="C1185" t="str">
        <f t="shared" si="92"/>
        <v/>
      </c>
      <c r="D1185" t="str">
        <f>IF(E1185="","",IF(COUNTIF($E$2:E1185,E1185)&gt;1,"",SUMIFS(tbl_input[필요수량],tbl_input[집계키_지청],E1185)))</f>
        <v/>
      </c>
      <c r="E1185" t="str">
        <f>IFERROR(INDEX(tbl_input[집계키_지청],ROW()-1),"")</f>
        <v/>
      </c>
      <c r="F1185" t="str">
        <f t="shared" si="93"/>
        <v/>
      </c>
      <c r="G1185" t="str">
        <f t="shared" si="94"/>
        <v/>
      </c>
    </row>
    <row r="1186" spans="1:7" x14ac:dyDescent="0.4">
      <c r="A1186" t="str">
        <f t="shared" si="90"/>
        <v/>
      </c>
      <c r="B1186" t="str">
        <f t="shared" si="91"/>
        <v/>
      </c>
      <c r="C1186" t="str">
        <f t="shared" si="92"/>
        <v/>
      </c>
      <c r="D1186" t="str">
        <f>IF(E1186="","",IF(COUNTIF($E$2:E1186,E1186)&gt;1,"",SUMIFS(tbl_input[필요수량],tbl_input[집계키_지청],E1186)))</f>
        <v/>
      </c>
      <c r="E1186" t="str">
        <f>IFERROR(INDEX(tbl_input[집계키_지청],ROW()-1),"")</f>
        <v/>
      </c>
      <c r="F1186" t="str">
        <f t="shared" si="93"/>
        <v/>
      </c>
      <c r="G1186" t="str">
        <f t="shared" si="94"/>
        <v/>
      </c>
    </row>
    <row r="1187" spans="1:7" x14ac:dyDescent="0.4">
      <c r="A1187" t="str">
        <f t="shared" si="90"/>
        <v/>
      </c>
      <c r="B1187" t="str">
        <f t="shared" si="91"/>
        <v/>
      </c>
      <c r="C1187" t="str">
        <f t="shared" si="92"/>
        <v/>
      </c>
      <c r="D1187" t="str">
        <f>IF(E1187="","",IF(COUNTIF($E$2:E1187,E1187)&gt;1,"",SUMIFS(tbl_input[필요수량],tbl_input[집계키_지청],E1187)))</f>
        <v/>
      </c>
      <c r="E1187" t="str">
        <f>IFERROR(INDEX(tbl_input[집계키_지청],ROW()-1),"")</f>
        <v/>
      </c>
      <c r="F1187" t="str">
        <f t="shared" si="93"/>
        <v/>
      </c>
      <c r="G1187" t="str">
        <f t="shared" si="94"/>
        <v/>
      </c>
    </row>
    <row r="1188" spans="1:7" x14ac:dyDescent="0.4">
      <c r="A1188" t="str">
        <f t="shared" si="90"/>
        <v/>
      </c>
      <c r="B1188" t="str">
        <f t="shared" si="91"/>
        <v/>
      </c>
      <c r="C1188" t="str">
        <f t="shared" si="92"/>
        <v/>
      </c>
      <c r="D1188" t="str">
        <f>IF(E1188="","",IF(COUNTIF($E$2:E1188,E1188)&gt;1,"",SUMIFS(tbl_input[필요수량],tbl_input[집계키_지청],E1188)))</f>
        <v/>
      </c>
      <c r="E1188" t="str">
        <f>IFERROR(INDEX(tbl_input[집계키_지청],ROW()-1),"")</f>
        <v/>
      </c>
      <c r="F1188" t="str">
        <f t="shared" si="93"/>
        <v/>
      </c>
      <c r="G1188" t="str">
        <f t="shared" si="94"/>
        <v/>
      </c>
    </row>
    <row r="1189" spans="1:7" x14ac:dyDescent="0.4">
      <c r="A1189" t="str">
        <f t="shared" si="90"/>
        <v/>
      </c>
      <c r="B1189" t="str">
        <f t="shared" si="91"/>
        <v/>
      </c>
      <c r="C1189" t="str">
        <f t="shared" si="92"/>
        <v/>
      </c>
      <c r="D1189" t="str">
        <f>IF(E1189="","",IF(COUNTIF($E$2:E1189,E1189)&gt;1,"",SUMIFS(tbl_input[필요수량],tbl_input[집계키_지청],E1189)))</f>
        <v/>
      </c>
      <c r="E1189" t="str">
        <f>IFERROR(INDEX(tbl_input[집계키_지청],ROW()-1),"")</f>
        <v/>
      </c>
      <c r="F1189" t="str">
        <f t="shared" si="93"/>
        <v/>
      </c>
      <c r="G1189" t="str">
        <f t="shared" si="94"/>
        <v/>
      </c>
    </row>
    <row r="1190" spans="1:7" x14ac:dyDescent="0.4">
      <c r="A1190" t="str">
        <f t="shared" si="90"/>
        <v/>
      </c>
      <c r="B1190" t="str">
        <f t="shared" si="91"/>
        <v/>
      </c>
      <c r="C1190" t="str">
        <f t="shared" si="92"/>
        <v/>
      </c>
      <c r="D1190" t="str">
        <f>IF(E1190="","",IF(COUNTIF($E$2:E1190,E1190)&gt;1,"",SUMIFS(tbl_input[필요수량],tbl_input[집계키_지청],E1190)))</f>
        <v/>
      </c>
      <c r="E1190" t="str">
        <f>IFERROR(INDEX(tbl_input[집계키_지청],ROW()-1),"")</f>
        <v/>
      </c>
      <c r="F1190" t="str">
        <f t="shared" si="93"/>
        <v/>
      </c>
      <c r="G1190" t="str">
        <f t="shared" si="94"/>
        <v/>
      </c>
    </row>
    <row r="1191" spans="1:7" x14ac:dyDescent="0.4">
      <c r="A1191" t="str">
        <f t="shared" si="90"/>
        <v/>
      </c>
      <c r="B1191" t="str">
        <f t="shared" si="91"/>
        <v/>
      </c>
      <c r="C1191" t="str">
        <f t="shared" si="92"/>
        <v/>
      </c>
      <c r="D1191" t="str">
        <f>IF(E1191="","",IF(COUNTIF($E$2:E1191,E1191)&gt;1,"",SUMIFS(tbl_input[필요수량],tbl_input[집계키_지청],E1191)))</f>
        <v/>
      </c>
      <c r="E1191" t="str">
        <f>IFERROR(INDEX(tbl_input[집계키_지청],ROW()-1),"")</f>
        <v/>
      </c>
      <c r="F1191" t="str">
        <f t="shared" si="93"/>
        <v/>
      </c>
      <c r="G1191" t="str">
        <f t="shared" si="94"/>
        <v/>
      </c>
    </row>
    <row r="1192" spans="1:7" x14ac:dyDescent="0.4">
      <c r="A1192" t="str">
        <f t="shared" si="90"/>
        <v/>
      </c>
      <c r="B1192" t="str">
        <f t="shared" si="91"/>
        <v/>
      </c>
      <c r="C1192" t="str">
        <f t="shared" si="92"/>
        <v/>
      </c>
      <c r="D1192" t="str">
        <f>IF(E1192="","",IF(COUNTIF($E$2:E1192,E1192)&gt;1,"",SUMIFS(tbl_input[필요수량],tbl_input[집계키_지청],E1192)))</f>
        <v/>
      </c>
      <c r="E1192" t="str">
        <f>IFERROR(INDEX(tbl_input[집계키_지청],ROW()-1),"")</f>
        <v/>
      </c>
      <c r="F1192" t="str">
        <f t="shared" si="93"/>
        <v/>
      </c>
      <c r="G1192" t="str">
        <f t="shared" si="94"/>
        <v/>
      </c>
    </row>
    <row r="1193" spans="1:7" x14ac:dyDescent="0.4">
      <c r="A1193" t="str">
        <f t="shared" si="90"/>
        <v/>
      </c>
      <c r="B1193" t="str">
        <f t="shared" si="91"/>
        <v/>
      </c>
      <c r="C1193" t="str">
        <f t="shared" si="92"/>
        <v/>
      </c>
      <c r="D1193" t="str">
        <f>IF(E1193="","",IF(COUNTIF($E$2:E1193,E1193)&gt;1,"",SUMIFS(tbl_input[필요수량],tbl_input[집계키_지청],E1193)))</f>
        <v/>
      </c>
      <c r="E1193" t="str">
        <f>IFERROR(INDEX(tbl_input[집계키_지청],ROW()-1),"")</f>
        <v/>
      </c>
      <c r="F1193" t="str">
        <f t="shared" si="93"/>
        <v/>
      </c>
      <c r="G1193" t="str">
        <f t="shared" si="94"/>
        <v/>
      </c>
    </row>
    <row r="1194" spans="1:7" x14ac:dyDescent="0.4">
      <c r="A1194" t="str">
        <f t="shared" si="90"/>
        <v/>
      </c>
      <c r="B1194" t="str">
        <f t="shared" si="91"/>
        <v/>
      </c>
      <c r="C1194" t="str">
        <f t="shared" si="92"/>
        <v/>
      </c>
      <c r="D1194" t="str">
        <f>IF(E1194="","",IF(COUNTIF($E$2:E1194,E1194)&gt;1,"",SUMIFS(tbl_input[필요수량],tbl_input[집계키_지청],E1194)))</f>
        <v/>
      </c>
      <c r="E1194" t="str">
        <f>IFERROR(INDEX(tbl_input[집계키_지청],ROW()-1),"")</f>
        <v/>
      </c>
      <c r="F1194" t="str">
        <f t="shared" si="93"/>
        <v/>
      </c>
      <c r="G1194" t="str">
        <f t="shared" si="94"/>
        <v/>
      </c>
    </row>
    <row r="1195" spans="1:7" x14ac:dyDescent="0.4">
      <c r="A1195" t="str">
        <f t="shared" si="90"/>
        <v/>
      </c>
      <c r="B1195" t="str">
        <f t="shared" si="91"/>
        <v/>
      </c>
      <c r="C1195" t="str">
        <f t="shared" si="92"/>
        <v/>
      </c>
      <c r="D1195" t="str">
        <f>IF(E1195="","",IF(COUNTIF($E$2:E1195,E1195)&gt;1,"",SUMIFS(tbl_input[필요수량],tbl_input[집계키_지청],E1195)))</f>
        <v/>
      </c>
      <c r="E1195" t="str">
        <f>IFERROR(INDEX(tbl_input[집계키_지청],ROW()-1),"")</f>
        <v/>
      </c>
      <c r="F1195" t="str">
        <f t="shared" si="93"/>
        <v/>
      </c>
      <c r="G1195" t="str">
        <f t="shared" si="94"/>
        <v/>
      </c>
    </row>
    <row r="1196" spans="1:7" x14ac:dyDescent="0.4">
      <c r="A1196" t="str">
        <f t="shared" si="90"/>
        <v/>
      </c>
      <c r="B1196" t="str">
        <f t="shared" si="91"/>
        <v/>
      </c>
      <c r="C1196" t="str">
        <f t="shared" si="92"/>
        <v/>
      </c>
      <c r="D1196" t="str">
        <f>IF(E1196="","",IF(COUNTIF($E$2:E1196,E1196)&gt;1,"",SUMIFS(tbl_input[필요수량],tbl_input[집계키_지청],E1196)))</f>
        <v/>
      </c>
      <c r="E1196" t="str">
        <f>IFERROR(INDEX(tbl_input[집계키_지청],ROW()-1),"")</f>
        <v/>
      </c>
      <c r="F1196" t="str">
        <f t="shared" si="93"/>
        <v/>
      </c>
      <c r="G1196" t="str">
        <f t="shared" si="94"/>
        <v/>
      </c>
    </row>
    <row r="1197" spans="1:7" x14ac:dyDescent="0.4">
      <c r="A1197" t="str">
        <f t="shared" si="90"/>
        <v/>
      </c>
      <c r="B1197" t="str">
        <f t="shared" si="91"/>
        <v/>
      </c>
      <c r="C1197" t="str">
        <f t="shared" si="92"/>
        <v/>
      </c>
      <c r="D1197" t="str">
        <f>IF(E1197="","",IF(COUNTIF($E$2:E1197,E1197)&gt;1,"",SUMIFS(tbl_input[필요수량],tbl_input[집계키_지청],E1197)))</f>
        <v/>
      </c>
      <c r="E1197" t="str">
        <f>IFERROR(INDEX(tbl_input[집계키_지청],ROW()-1),"")</f>
        <v/>
      </c>
      <c r="F1197" t="str">
        <f t="shared" si="93"/>
        <v/>
      </c>
      <c r="G1197" t="str">
        <f t="shared" si="94"/>
        <v/>
      </c>
    </row>
    <row r="1198" spans="1:7" x14ac:dyDescent="0.4">
      <c r="A1198" t="str">
        <f t="shared" si="90"/>
        <v/>
      </c>
      <c r="B1198" t="str">
        <f t="shared" si="91"/>
        <v/>
      </c>
      <c r="C1198" t="str">
        <f t="shared" si="92"/>
        <v/>
      </c>
      <c r="D1198" t="str">
        <f>IF(E1198="","",IF(COUNTIF($E$2:E1198,E1198)&gt;1,"",SUMIFS(tbl_input[필요수량],tbl_input[집계키_지청],E1198)))</f>
        <v/>
      </c>
      <c r="E1198" t="str">
        <f>IFERROR(INDEX(tbl_input[집계키_지청],ROW()-1),"")</f>
        <v/>
      </c>
      <c r="F1198" t="str">
        <f t="shared" si="93"/>
        <v/>
      </c>
      <c r="G1198" t="str">
        <f t="shared" si="94"/>
        <v/>
      </c>
    </row>
    <row r="1199" spans="1:7" x14ac:dyDescent="0.4">
      <c r="A1199" t="str">
        <f t="shared" si="90"/>
        <v/>
      </c>
      <c r="B1199" t="str">
        <f t="shared" si="91"/>
        <v/>
      </c>
      <c r="C1199" t="str">
        <f t="shared" si="92"/>
        <v/>
      </c>
      <c r="D1199" t="str">
        <f>IF(E1199="","",IF(COUNTIF($E$2:E1199,E1199)&gt;1,"",SUMIFS(tbl_input[필요수량],tbl_input[집계키_지청],E1199)))</f>
        <v/>
      </c>
      <c r="E1199" t="str">
        <f>IFERROR(INDEX(tbl_input[집계키_지청],ROW()-1),"")</f>
        <v/>
      </c>
      <c r="F1199" t="str">
        <f t="shared" si="93"/>
        <v/>
      </c>
      <c r="G1199" t="str">
        <f t="shared" si="94"/>
        <v/>
      </c>
    </row>
    <row r="1200" spans="1:7" x14ac:dyDescent="0.4">
      <c r="A1200" t="str">
        <f t="shared" si="90"/>
        <v/>
      </c>
      <c r="B1200" t="str">
        <f t="shared" si="91"/>
        <v/>
      </c>
      <c r="C1200" t="str">
        <f t="shared" si="92"/>
        <v/>
      </c>
      <c r="D1200" t="str">
        <f>IF(E1200="","",IF(COUNTIF($E$2:E1200,E1200)&gt;1,"",SUMIFS(tbl_input[필요수량],tbl_input[집계키_지청],E1200)))</f>
        <v/>
      </c>
      <c r="E1200" t="str">
        <f>IFERROR(INDEX(tbl_input[집계키_지청],ROW()-1),"")</f>
        <v/>
      </c>
      <c r="F1200" t="str">
        <f t="shared" si="93"/>
        <v/>
      </c>
      <c r="G1200" t="str">
        <f t="shared" si="94"/>
        <v/>
      </c>
    </row>
    <row r="1201" spans="1:7" x14ac:dyDescent="0.4">
      <c r="A1201" t="str">
        <f t="shared" si="90"/>
        <v/>
      </c>
      <c r="B1201" t="str">
        <f t="shared" si="91"/>
        <v/>
      </c>
      <c r="C1201" t="str">
        <f t="shared" si="92"/>
        <v/>
      </c>
      <c r="D1201" t="str">
        <f>IF(E1201="","",IF(COUNTIF($E$2:E1201,E1201)&gt;1,"",SUMIFS(tbl_input[필요수량],tbl_input[집계키_지청],E1201)))</f>
        <v/>
      </c>
      <c r="E1201" t="str">
        <f>IFERROR(INDEX(tbl_input[집계키_지청],ROW()-1),"")</f>
        <v/>
      </c>
      <c r="F1201" t="str">
        <f t="shared" si="93"/>
        <v/>
      </c>
      <c r="G1201" t="str">
        <f t="shared" si="94"/>
        <v/>
      </c>
    </row>
    <row r="1202" spans="1:7" x14ac:dyDescent="0.4">
      <c r="A1202" t="str">
        <f t="shared" si="90"/>
        <v/>
      </c>
      <c r="B1202" t="str">
        <f t="shared" si="91"/>
        <v/>
      </c>
      <c r="C1202" t="str">
        <f t="shared" si="92"/>
        <v/>
      </c>
      <c r="D1202" t="str">
        <f>IF(E1202="","",IF(COUNTIF($E$2:E1202,E1202)&gt;1,"",SUMIFS(tbl_input[필요수량],tbl_input[집계키_지청],E1202)))</f>
        <v/>
      </c>
      <c r="E1202" t="str">
        <f>IFERROR(INDEX(tbl_input[집계키_지청],ROW()-1),"")</f>
        <v/>
      </c>
      <c r="F1202" t="str">
        <f t="shared" si="93"/>
        <v/>
      </c>
      <c r="G1202" t="str">
        <f t="shared" si="94"/>
        <v/>
      </c>
    </row>
    <row r="1203" spans="1:7" x14ac:dyDescent="0.4">
      <c r="A1203" t="str">
        <f t="shared" si="90"/>
        <v/>
      </c>
      <c r="B1203" t="str">
        <f t="shared" si="91"/>
        <v/>
      </c>
      <c r="C1203" t="str">
        <f t="shared" si="92"/>
        <v/>
      </c>
      <c r="D1203" t="str">
        <f>IF(E1203="","",IF(COUNTIF($E$2:E1203,E1203)&gt;1,"",SUMIFS(tbl_input[필요수량],tbl_input[집계키_지청],E1203)))</f>
        <v/>
      </c>
      <c r="E1203" t="str">
        <f>IFERROR(INDEX(tbl_input[집계키_지청],ROW()-1),"")</f>
        <v/>
      </c>
      <c r="F1203" t="str">
        <f t="shared" si="93"/>
        <v/>
      </c>
      <c r="G1203" t="str">
        <f t="shared" si="94"/>
        <v/>
      </c>
    </row>
    <row r="1204" spans="1:7" x14ac:dyDescent="0.4">
      <c r="A1204" t="str">
        <f t="shared" si="90"/>
        <v/>
      </c>
      <c r="B1204" t="str">
        <f t="shared" si="91"/>
        <v/>
      </c>
      <c r="C1204" t="str">
        <f t="shared" si="92"/>
        <v/>
      </c>
      <c r="D1204" t="str">
        <f>IF(E1204="","",IF(COUNTIF($E$2:E1204,E1204)&gt;1,"",SUMIFS(tbl_input[필요수량],tbl_input[집계키_지청],E1204)))</f>
        <v/>
      </c>
      <c r="E1204" t="str">
        <f>IFERROR(INDEX(tbl_input[집계키_지청],ROW()-1),"")</f>
        <v/>
      </c>
      <c r="F1204" t="str">
        <f t="shared" si="93"/>
        <v/>
      </c>
      <c r="G1204" t="str">
        <f t="shared" si="94"/>
        <v/>
      </c>
    </row>
    <row r="1205" spans="1:7" x14ac:dyDescent="0.4">
      <c r="A1205" t="str">
        <f t="shared" si="90"/>
        <v/>
      </c>
      <c r="B1205" t="str">
        <f t="shared" si="91"/>
        <v/>
      </c>
      <c r="C1205" t="str">
        <f t="shared" si="92"/>
        <v/>
      </c>
      <c r="D1205" t="str">
        <f>IF(E1205="","",IF(COUNTIF($E$2:E1205,E1205)&gt;1,"",SUMIFS(tbl_input[필요수량],tbl_input[집계키_지청],E1205)))</f>
        <v/>
      </c>
      <c r="E1205" t="str">
        <f>IFERROR(INDEX(tbl_input[집계키_지청],ROW()-1),"")</f>
        <v/>
      </c>
      <c r="F1205" t="str">
        <f t="shared" si="93"/>
        <v/>
      </c>
      <c r="G1205" t="str">
        <f t="shared" si="94"/>
        <v/>
      </c>
    </row>
    <row r="1206" spans="1:7" x14ac:dyDescent="0.4">
      <c r="A1206" t="str">
        <f t="shared" si="90"/>
        <v/>
      </c>
      <c r="B1206" t="str">
        <f t="shared" si="91"/>
        <v/>
      </c>
      <c r="C1206" t="str">
        <f t="shared" si="92"/>
        <v/>
      </c>
      <c r="D1206" t="str">
        <f>IF(E1206="","",IF(COUNTIF($E$2:E1206,E1206)&gt;1,"",SUMIFS(tbl_input[필요수량],tbl_input[집계키_지청],E1206)))</f>
        <v/>
      </c>
      <c r="E1206" t="str">
        <f>IFERROR(INDEX(tbl_input[집계키_지청],ROW()-1),"")</f>
        <v/>
      </c>
      <c r="F1206" t="str">
        <f t="shared" si="93"/>
        <v/>
      </c>
      <c r="G1206" t="str">
        <f t="shared" si="94"/>
        <v/>
      </c>
    </row>
    <row r="1207" spans="1:7" x14ac:dyDescent="0.4">
      <c r="A1207" t="str">
        <f t="shared" si="90"/>
        <v/>
      </c>
      <c r="B1207" t="str">
        <f t="shared" si="91"/>
        <v/>
      </c>
      <c r="C1207" t="str">
        <f t="shared" si="92"/>
        <v/>
      </c>
      <c r="D1207" t="str">
        <f>IF(E1207="","",IF(COUNTIF($E$2:E1207,E1207)&gt;1,"",SUMIFS(tbl_input[필요수량],tbl_input[집계키_지청],E1207)))</f>
        <v/>
      </c>
      <c r="E1207" t="str">
        <f>IFERROR(INDEX(tbl_input[집계키_지청],ROW()-1),"")</f>
        <v/>
      </c>
      <c r="F1207" t="str">
        <f t="shared" si="93"/>
        <v/>
      </c>
      <c r="G1207" t="str">
        <f t="shared" si="94"/>
        <v/>
      </c>
    </row>
    <row r="1208" spans="1:7" x14ac:dyDescent="0.4">
      <c r="A1208" t="str">
        <f t="shared" si="90"/>
        <v/>
      </c>
      <c r="B1208" t="str">
        <f t="shared" si="91"/>
        <v/>
      </c>
      <c r="C1208" t="str">
        <f t="shared" si="92"/>
        <v/>
      </c>
      <c r="D1208" t="str">
        <f>IF(E1208="","",IF(COUNTIF($E$2:E1208,E1208)&gt;1,"",SUMIFS(tbl_input[필요수량],tbl_input[집계키_지청],E1208)))</f>
        <v/>
      </c>
      <c r="E1208" t="str">
        <f>IFERROR(INDEX(tbl_input[집계키_지청],ROW()-1),"")</f>
        <v/>
      </c>
      <c r="F1208" t="str">
        <f t="shared" si="93"/>
        <v/>
      </c>
      <c r="G1208" t="str">
        <f t="shared" si="94"/>
        <v/>
      </c>
    </row>
    <row r="1209" spans="1:7" x14ac:dyDescent="0.4">
      <c r="A1209" t="str">
        <f t="shared" si="90"/>
        <v/>
      </c>
      <c r="B1209" t="str">
        <f t="shared" si="91"/>
        <v/>
      </c>
      <c r="C1209" t="str">
        <f t="shared" si="92"/>
        <v/>
      </c>
      <c r="D1209" t="str">
        <f>IF(E1209="","",IF(COUNTIF($E$2:E1209,E1209)&gt;1,"",SUMIFS(tbl_input[필요수량],tbl_input[집계키_지청],E1209)))</f>
        <v/>
      </c>
      <c r="E1209" t="str">
        <f>IFERROR(INDEX(tbl_input[집계키_지청],ROW()-1),"")</f>
        <v/>
      </c>
      <c r="F1209" t="str">
        <f t="shared" si="93"/>
        <v/>
      </c>
      <c r="G1209" t="str">
        <f t="shared" si="94"/>
        <v/>
      </c>
    </row>
    <row r="1210" spans="1:7" x14ac:dyDescent="0.4">
      <c r="A1210" t="str">
        <f t="shared" si="90"/>
        <v/>
      </c>
      <c r="B1210" t="str">
        <f t="shared" si="91"/>
        <v/>
      </c>
      <c r="C1210" t="str">
        <f t="shared" si="92"/>
        <v/>
      </c>
      <c r="D1210" t="str">
        <f>IF(E1210="","",IF(COUNTIF($E$2:E1210,E1210)&gt;1,"",SUMIFS(tbl_input[필요수량],tbl_input[집계키_지청],E1210)))</f>
        <v/>
      </c>
      <c r="E1210" t="str">
        <f>IFERROR(INDEX(tbl_input[집계키_지청],ROW()-1),"")</f>
        <v/>
      </c>
      <c r="F1210" t="str">
        <f t="shared" si="93"/>
        <v/>
      </c>
      <c r="G1210" t="str">
        <f t="shared" si="94"/>
        <v/>
      </c>
    </row>
    <row r="1211" spans="1:7" x14ac:dyDescent="0.4">
      <c r="A1211" t="str">
        <f t="shared" si="90"/>
        <v/>
      </c>
      <c r="B1211" t="str">
        <f t="shared" si="91"/>
        <v/>
      </c>
      <c r="C1211" t="str">
        <f t="shared" si="92"/>
        <v/>
      </c>
      <c r="D1211" t="str">
        <f>IF(E1211="","",IF(COUNTIF($E$2:E1211,E1211)&gt;1,"",SUMIFS(tbl_input[필요수량],tbl_input[집계키_지청],E1211)))</f>
        <v/>
      </c>
      <c r="E1211" t="str">
        <f>IFERROR(INDEX(tbl_input[집계키_지청],ROW()-1),"")</f>
        <v/>
      </c>
      <c r="F1211" t="str">
        <f t="shared" si="93"/>
        <v/>
      </c>
      <c r="G1211" t="str">
        <f t="shared" si="94"/>
        <v/>
      </c>
    </row>
    <row r="1212" spans="1:7" x14ac:dyDescent="0.4">
      <c r="A1212" t="str">
        <f t="shared" si="90"/>
        <v/>
      </c>
      <c r="B1212" t="str">
        <f t="shared" si="91"/>
        <v/>
      </c>
      <c r="C1212" t="str">
        <f t="shared" si="92"/>
        <v/>
      </c>
      <c r="D1212" t="str">
        <f>IF(E1212="","",IF(COUNTIF($E$2:E1212,E1212)&gt;1,"",SUMIFS(tbl_input[필요수량],tbl_input[집계키_지청],E1212)))</f>
        <v/>
      </c>
      <c r="E1212" t="str">
        <f>IFERROR(INDEX(tbl_input[집계키_지청],ROW()-1),"")</f>
        <v/>
      </c>
      <c r="F1212" t="str">
        <f t="shared" si="93"/>
        <v/>
      </c>
      <c r="G1212" t="str">
        <f t="shared" si="94"/>
        <v/>
      </c>
    </row>
    <row r="1213" spans="1:7" x14ac:dyDescent="0.4">
      <c r="A1213" t="str">
        <f t="shared" si="90"/>
        <v/>
      </c>
      <c r="B1213" t="str">
        <f t="shared" si="91"/>
        <v/>
      </c>
      <c r="C1213" t="str">
        <f t="shared" si="92"/>
        <v/>
      </c>
      <c r="D1213" t="str">
        <f>IF(E1213="","",IF(COUNTIF($E$2:E1213,E1213)&gt;1,"",SUMIFS(tbl_input[필요수량],tbl_input[집계키_지청],E1213)))</f>
        <v/>
      </c>
      <c r="E1213" t="str">
        <f>IFERROR(INDEX(tbl_input[집계키_지청],ROW()-1),"")</f>
        <v/>
      </c>
      <c r="F1213" t="str">
        <f t="shared" si="93"/>
        <v/>
      </c>
      <c r="G1213" t="str">
        <f t="shared" si="94"/>
        <v/>
      </c>
    </row>
    <row r="1214" spans="1:7" x14ac:dyDescent="0.4">
      <c r="A1214" t="str">
        <f t="shared" si="90"/>
        <v/>
      </c>
      <c r="B1214" t="str">
        <f t="shared" si="91"/>
        <v/>
      </c>
      <c r="C1214" t="str">
        <f t="shared" si="92"/>
        <v/>
      </c>
      <c r="D1214" t="str">
        <f>IF(E1214="","",IF(COUNTIF($E$2:E1214,E1214)&gt;1,"",SUMIFS(tbl_input[필요수량],tbl_input[집계키_지청],E1214)))</f>
        <v/>
      </c>
      <c r="E1214" t="str">
        <f>IFERROR(INDEX(tbl_input[집계키_지청],ROW()-1),"")</f>
        <v/>
      </c>
      <c r="F1214" t="str">
        <f t="shared" si="93"/>
        <v/>
      </c>
      <c r="G1214" t="str">
        <f t="shared" si="94"/>
        <v/>
      </c>
    </row>
    <row r="1215" spans="1:7" x14ac:dyDescent="0.4">
      <c r="A1215" t="str">
        <f t="shared" si="90"/>
        <v/>
      </c>
      <c r="B1215" t="str">
        <f t="shared" si="91"/>
        <v/>
      </c>
      <c r="C1215" t="str">
        <f t="shared" si="92"/>
        <v/>
      </c>
      <c r="D1215" t="str">
        <f>IF(E1215="","",IF(COUNTIF($E$2:E1215,E1215)&gt;1,"",SUMIFS(tbl_input[필요수량],tbl_input[집계키_지청],E1215)))</f>
        <v/>
      </c>
      <c r="E1215" t="str">
        <f>IFERROR(INDEX(tbl_input[집계키_지청],ROW()-1),"")</f>
        <v/>
      </c>
      <c r="F1215" t="str">
        <f t="shared" si="93"/>
        <v/>
      </c>
      <c r="G1215" t="str">
        <f t="shared" si="94"/>
        <v/>
      </c>
    </row>
    <row r="1216" spans="1:7" x14ac:dyDescent="0.4">
      <c r="A1216" t="str">
        <f t="shared" si="90"/>
        <v/>
      </c>
      <c r="B1216" t="str">
        <f t="shared" si="91"/>
        <v/>
      </c>
      <c r="C1216" t="str">
        <f t="shared" si="92"/>
        <v/>
      </c>
      <c r="D1216" t="str">
        <f>IF(E1216="","",IF(COUNTIF($E$2:E1216,E1216)&gt;1,"",SUMIFS(tbl_input[필요수량],tbl_input[집계키_지청],E1216)))</f>
        <v/>
      </c>
      <c r="E1216" t="str">
        <f>IFERROR(INDEX(tbl_input[집계키_지청],ROW()-1),"")</f>
        <v/>
      </c>
      <c r="F1216" t="str">
        <f t="shared" si="93"/>
        <v/>
      </c>
      <c r="G1216" t="str">
        <f t="shared" si="94"/>
        <v/>
      </c>
    </row>
    <row r="1217" spans="1:7" x14ac:dyDescent="0.4">
      <c r="A1217" t="str">
        <f t="shared" si="90"/>
        <v/>
      </c>
      <c r="B1217" t="str">
        <f t="shared" si="91"/>
        <v/>
      </c>
      <c r="C1217" t="str">
        <f t="shared" si="92"/>
        <v/>
      </c>
      <c r="D1217" t="str">
        <f>IF(E1217="","",IF(COUNTIF($E$2:E1217,E1217)&gt;1,"",SUMIFS(tbl_input[필요수량],tbl_input[집계키_지청],E1217)))</f>
        <v/>
      </c>
      <c r="E1217" t="str">
        <f>IFERROR(INDEX(tbl_input[집계키_지청],ROW()-1),"")</f>
        <v/>
      </c>
      <c r="F1217" t="str">
        <f t="shared" si="93"/>
        <v/>
      </c>
      <c r="G1217" t="str">
        <f t="shared" si="94"/>
        <v/>
      </c>
    </row>
    <row r="1218" spans="1:7" x14ac:dyDescent="0.4">
      <c r="A1218" t="str">
        <f t="shared" ref="A1218:A1281" si="95">IF(E1218="","",LEFT(E1218,F1218-1))</f>
        <v/>
      </c>
      <c r="B1218" t="str">
        <f t="shared" ref="B1218:B1281" si="96">IF(E1218="","",MID(E1218,F1218+1,G1218-F1218-1))</f>
        <v/>
      </c>
      <c r="C1218" t="str">
        <f t="shared" ref="C1218:C1281" si="97">IF(E1218="","",MID(E1218,G1218+1,999))</f>
        <v/>
      </c>
      <c r="D1218" t="str">
        <f>IF(E1218="","",IF(COUNTIF($E$2:E1218,E1218)&gt;1,"",SUMIFS(tbl_input[필요수량],tbl_input[집계키_지청],E1218)))</f>
        <v/>
      </c>
      <c r="E1218" t="str">
        <f>IFERROR(INDEX(tbl_input[집계키_지청],ROW()-1),"")</f>
        <v/>
      </c>
      <c r="F1218" t="str">
        <f t="shared" ref="F1218:F1281" si="98">IF(E1218="","",FIND("♦",E1218))</f>
        <v/>
      </c>
      <c r="G1218" t="str">
        <f t="shared" ref="G1218:G1281" si="99">IF(E1218="","",FIND("♦",E1218,F1218+1))</f>
        <v/>
      </c>
    </row>
    <row r="1219" spans="1:7" x14ac:dyDescent="0.4">
      <c r="A1219" t="str">
        <f t="shared" si="95"/>
        <v/>
      </c>
      <c r="B1219" t="str">
        <f t="shared" si="96"/>
        <v/>
      </c>
      <c r="C1219" t="str">
        <f t="shared" si="97"/>
        <v/>
      </c>
      <c r="D1219" t="str">
        <f>IF(E1219="","",IF(COUNTIF($E$2:E1219,E1219)&gt;1,"",SUMIFS(tbl_input[필요수량],tbl_input[집계키_지청],E1219)))</f>
        <v/>
      </c>
      <c r="E1219" t="str">
        <f>IFERROR(INDEX(tbl_input[집계키_지청],ROW()-1),"")</f>
        <v/>
      </c>
      <c r="F1219" t="str">
        <f t="shared" si="98"/>
        <v/>
      </c>
      <c r="G1219" t="str">
        <f t="shared" si="99"/>
        <v/>
      </c>
    </row>
    <row r="1220" spans="1:7" x14ac:dyDescent="0.4">
      <c r="A1220" t="str">
        <f t="shared" si="95"/>
        <v/>
      </c>
      <c r="B1220" t="str">
        <f t="shared" si="96"/>
        <v/>
      </c>
      <c r="C1220" t="str">
        <f t="shared" si="97"/>
        <v/>
      </c>
      <c r="D1220" t="str">
        <f>IF(E1220="","",IF(COUNTIF($E$2:E1220,E1220)&gt;1,"",SUMIFS(tbl_input[필요수량],tbl_input[집계키_지청],E1220)))</f>
        <v/>
      </c>
      <c r="E1220" t="str">
        <f>IFERROR(INDEX(tbl_input[집계키_지청],ROW()-1),"")</f>
        <v/>
      </c>
      <c r="F1220" t="str">
        <f t="shared" si="98"/>
        <v/>
      </c>
      <c r="G1220" t="str">
        <f t="shared" si="99"/>
        <v/>
      </c>
    </row>
    <row r="1221" spans="1:7" x14ac:dyDescent="0.4">
      <c r="A1221" t="str">
        <f t="shared" si="95"/>
        <v/>
      </c>
      <c r="B1221" t="str">
        <f t="shared" si="96"/>
        <v/>
      </c>
      <c r="C1221" t="str">
        <f t="shared" si="97"/>
        <v/>
      </c>
      <c r="D1221" t="str">
        <f>IF(E1221="","",IF(COUNTIF($E$2:E1221,E1221)&gt;1,"",SUMIFS(tbl_input[필요수량],tbl_input[집계키_지청],E1221)))</f>
        <v/>
      </c>
      <c r="E1221" t="str">
        <f>IFERROR(INDEX(tbl_input[집계키_지청],ROW()-1),"")</f>
        <v/>
      </c>
      <c r="F1221" t="str">
        <f t="shared" si="98"/>
        <v/>
      </c>
      <c r="G1221" t="str">
        <f t="shared" si="99"/>
        <v/>
      </c>
    </row>
    <row r="1222" spans="1:7" x14ac:dyDescent="0.4">
      <c r="A1222" t="str">
        <f t="shared" si="95"/>
        <v/>
      </c>
      <c r="B1222" t="str">
        <f t="shared" si="96"/>
        <v/>
      </c>
      <c r="C1222" t="str">
        <f t="shared" si="97"/>
        <v/>
      </c>
      <c r="D1222" t="str">
        <f>IF(E1222="","",IF(COUNTIF($E$2:E1222,E1222)&gt;1,"",SUMIFS(tbl_input[필요수량],tbl_input[집계키_지청],E1222)))</f>
        <v/>
      </c>
      <c r="E1222" t="str">
        <f>IFERROR(INDEX(tbl_input[집계키_지청],ROW()-1),"")</f>
        <v/>
      </c>
      <c r="F1222" t="str">
        <f t="shared" si="98"/>
        <v/>
      </c>
      <c r="G1222" t="str">
        <f t="shared" si="99"/>
        <v/>
      </c>
    </row>
    <row r="1223" spans="1:7" x14ac:dyDescent="0.4">
      <c r="A1223" t="str">
        <f t="shared" si="95"/>
        <v/>
      </c>
      <c r="B1223" t="str">
        <f t="shared" si="96"/>
        <v/>
      </c>
      <c r="C1223" t="str">
        <f t="shared" si="97"/>
        <v/>
      </c>
      <c r="D1223" t="str">
        <f>IF(E1223="","",IF(COUNTIF($E$2:E1223,E1223)&gt;1,"",SUMIFS(tbl_input[필요수량],tbl_input[집계키_지청],E1223)))</f>
        <v/>
      </c>
      <c r="E1223" t="str">
        <f>IFERROR(INDEX(tbl_input[집계키_지청],ROW()-1),"")</f>
        <v/>
      </c>
      <c r="F1223" t="str">
        <f t="shared" si="98"/>
        <v/>
      </c>
      <c r="G1223" t="str">
        <f t="shared" si="99"/>
        <v/>
      </c>
    </row>
    <row r="1224" spans="1:7" x14ac:dyDescent="0.4">
      <c r="A1224" t="str">
        <f t="shared" si="95"/>
        <v/>
      </c>
      <c r="B1224" t="str">
        <f t="shared" si="96"/>
        <v/>
      </c>
      <c r="C1224" t="str">
        <f t="shared" si="97"/>
        <v/>
      </c>
      <c r="D1224" t="str">
        <f>IF(E1224="","",IF(COUNTIF($E$2:E1224,E1224)&gt;1,"",SUMIFS(tbl_input[필요수량],tbl_input[집계키_지청],E1224)))</f>
        <v/>
      </c>
      <c r="E1224" t="str">
        <f>IFERROR(INDEX(tbl_input[집계키_지청],ROW()-1),"")</f>
        <v/>
      </c>
      <c r="F1224" t="str">
        <f t="shared" si="98"/>
        <v/>
      </c>
      <c r="G1224" t="str">
        <f t="shared" si="99"/>
        <v/>
      </c>
    </row>
    <row r="1225" spans="1:7" x14ac:dyDescent="0.4">
      <c r="A1225" t="str">
        <f t="shared" si="95"/>
        <v/>
      </c>
      <c r="B1225" t="str">
        <f t="shared" si="96"/>
        <v/>
      </c>
      <c r="C1225" t="str">
        <f t="shared" si="97"/>
        <v/>
      </c>
      <c r="D1225" t="str">
        <f>IF(E1225="","",IF(COUNTIF($E$2:E1225,E1225)&gt;1,"",SUMIFS(tbl_input[필요수량],tbl_input[집계키_지청],E1225)))</f>
        <v/>
      </c>
      <c r="E1225" t="str">
        <f>IFERROR(INDEX(tbl_input[집계키_지청],ROW()-1),"")</f>
        <v/>
      </c>
      <c r="F1225" t="str">
        <f t="shared" si="98"/>
        <v/>
      </c>
      <c r="G1225" t="str">
        <f t="shared" si="99"/>
        <v/>
      </c>
    </row>
    <row r="1226" spans="1:7" x14ac:dyDescent="0.4">
      <c r="A1226" t="str">
        <f t="shared" si="95"/>
        <v/>
      </c>
      <c r="B1226" t="str">
        <f t="shared" si="96"/>
        <v/>
      </c>
      <c r="C1226" t="str">
        <f t="shared" si="97"/>
        <v/>
      </c>
      <c r="D1226" t="str">
        <f>IF(E1226="","",IF(COUNTIF($E$2:E1226,E1226)&gt;1,"",SUMIFS(tbl_input[필요수량],tbl_input[집계키_지청],E1226)))</f>
        <v/>
      </c>
      <c r="E1226" t="str">
        <f>IFERROR(INDEX(tbl_input[집계키_지청],ROW()-1),"")</f>
        <v/>
      </c>
      <c r="F1226" t="str">
        <f t="shared" si="98"/>
        <v/>
      </c>
      <c r="G1226" t="str">
        <f t="shared" si="99"/>
        <v/>
      </c>
    </row>
    <row r="1227" spans="1:7" x14ac:dyDescent="0.4">
      <c r="A1227" t="str">
        <f t="shared" si="95"/>
        <v/>
      </c>
      <c r="B1227" t="str">
        <f t="shared" si="96"/>
        <v/>
      </c>
      <c r="C1227" t="str">
        <f t="shared" si="97"/>
        <v/>
      </c>
      <c r="D1227" t="str">
        <f>IF(E1227="","",IF(COUNTIF($E$2:E1227,E1227)&gt;1,"",SUMIFS(tbl_input[필요수량],tbl_input[집계키_지청],E1227)))</f>
        <v/>
      </c>
      <c r="E1227" t="str">
        <f>IFERROR(INDEX(tbl_input[집계키_지청],ROW()-1),"")</f>
        <v/>
      </c>
      <c r="F1227" t="str">
        <f t="shared" si="98"/>
        <v/>
      </c>
      <c r="G1227" t="str">
        <f t="shared" si="99"/>
        <v/>
      </c>
    </row>
    <row r="1228" spans="1:7" x14ac:dyDescent="0.4">
      <c r="A1228" t="str">
        <f t="shared" si="95"/>
        <v/>
      </c>
      <c r="B1228" t="str">
        <f t="shared" si="96"/>
        <v/>
      </c>
      <c r="C1228" t="str">
        <f t="shared" si="97"/>
        <v/>
      </c>
      <c r="D1228" t="str">
        <f>IF(E1228="","",IF(COUNTIF($E$2:E1228,E1228)&gt;1,"",SUMIFS(tbl_input[필요수량],tbl_input[집계키_지청],E1228)))</f>
        <v/>
      </c>
      <c r="E1228" t="str">
        <f>IFERROR(INDEX(tbl_input[집계키_지청],ROW()-1),"")</f>
        <v/>
      </c>
      <c r="F1228" t="str">
        <f t="shared" si="98"/>
        <v/>
      </c>
      <c r="G1228" t="str">
        <f t="shared" si="99"/>
        <v/>
      </c>
    </row>
    <row r="1229" spans="1:7" x14ac:dyDescent="0.4">
      <c r="A1229" t="str">
        <f t="shared" si="95"/>
        <v/>
      </c>
      <c r="B1229" t="str">
        <f t="shared" si="96"/>
        <v/>
      </c>
      <c r="C1229" t="str">
        <f t="shared" si="97"/>
        <v/>
      </c>
      <c r="D1229" t="str">
        <f>IF(E1229="","",IF(COUNTIF($E$2:E1229,E1229)&gt;1,"",SUMIFS(tbl_input[필요수량],tbl_input[집계키_지청],E1229)))</f>
        <v/>
      </c>
      <c r="E1229" t="str">
        <f>IFERROR(INDEX(tbl_input[집계키_지청],ROW()-1),"")</f>
        <v/>
      </c>
      <c r="F1229" t="str">
        <f t="shared" si="98"/>
        <v/>
      </c>
      <c r="G1229" t="str">
        <f t="shared" si="99"/>
        <v/>
      </c>
    </row>
    <row r="1230" spans="1:7" x14ac:dyDescent="0.4">
      <c r="A1230" t="str">
        <f t="shared" si="95"/>
        <v/>
      </c>
      <c r="B1230" t="str">
        <f t="shared" si="96"/>
        <v/>
      </c>
      <c r="C1230" t="str">
        <f t="shared" si="97"/>
        <v/>
      </c>
      <c r="D1230" t="str">
        <f>IF(E1230="","",IF(COUNTIF($E$2:E1230,E1230)&gt;1,"",SUMIFS(tbl_input[필요수량],tbl_input[집계키_지청],E1230)))</f>
        <v/>
      </c>
      <c r="E1230" t="str">
        <f>IFERROR(INDEX(tbl_input[집계키_지청],ROW()-1),"")</f>
        <v/>
      </c>
      <c r="F1230" t="str">
        <f t="shared" si="98"/>
        <v/>
      </c>
      <c r="G1230" t="str">
        <f t="shared" si="99"/>
        <v/>
      </c>
    </row>
    <row r="1231" spans="1:7" x14ac:dyDescent="0.4">
      <c r="A1231" t="str">
        <f t="shared" si="95"/>
        <v/>
      </c>
      <c r="B1231" t="str">
        <f t="shared" si="96"/>
        <v/>
      </c>
      <c r="C1231" t="str">
        <f t="shared" si="97"/>
        <v/>
      </c>
      <c r="D1231" t="str">
        <f>IF(E1231="","",IF(COUNTIF($E$2:E1231,E1231)&gt;1,"",SUMIFS(tbl_input[필요수량],tbl_input[집계키_지청],E1231)))</f>
        <v/>
      </c>
      <c r="E1231" t="str">
        <f>IFERROR(INDEX(tbl_input[집계키_지청],ROW()-1),"")</f>
        <v/>
      </c>
      <c r="F1231" t="str">
        <f t="shared" si="98"/>
        <v/>
      </c>
      <c r="G1231" t="str">
        <f t="shared" si="99"/>
        <v/>
      </c>
    </row>
    <row r="1232" spans="1:7" x14ac:dyDescent="0.4">
      <c r="A1232" t="str">
        <f t="shared" si="95"/>
        <v/>
      </c>
      <c r="B1232" t="str">
        <f t="shared" si="96"/>
        <v/>
      </c>
      <c r="C1232" t="str">
        <f t="shared" si="97"/>
        <v/>
      </c>
      <c r="D1232" t="str">
        <f>IF(E1232="","",IF(COUNTIF($E$2:E1232,E1232)&gt;1,"",SUMIFS(tbl_input[필요수량],tbl_input[집계키_지청],E1232)))</f>
        <v/>
      </c>
      <c r="E1232" t="str">
        <f>IFERROR(INDEX(tbl_input[집계키_지청],ROW()-1),"")</f>
        <v/>
      </c>
      <c r="F1232" t="str">
        <f t="shared" si="98"/>
        <v/>
      </c>
      <c r="G1232" t="str">
        <f t="shared" si="99"/>
        <v/>
      </c>
    </row>
    <row r="1233" spans="1:7" x14ac:dyDescent="0.4">
      <c r="A1233" t="str">
        <f t="shared" si="95"/>
        <v/>
      </c>
      <c r="B1233" t="str">
        <f t="shared" si="96"/>
        <v/>
      </c>
      <c r="C1233" t="str">
        <f t="shared" si="97"/>
        <v/>
      </c>
      <c r="D1233" t="str">
        <f>IF(E1233="","",IF(COUNTIF($E$2:E1233,E1233)&gt;1,"",SUMIFS(tbl_input[필요수량],tbl_input[집계키_지청],E1233)))</f>
        <v/>
      </c>
      <c r="E1233" t="str">
        <f>IFERROR(INDEX(tbl_input[집계키_지청],ROW()-1),"")</f>
        <v/>
      </c>
      <c r="F1233" t="str">
        <f t="shared" si="98"/>
        <v/>
      </c>
      <c r="G1233" t="str">
        <f t="shared" si="99"/>
        <v/>
      </c>
    </row>
    <row r="1234" spans="1:7" x14ac:dyDescent="0.4">
      <c r="A1234" t="str">
        <f t="shared" si="95"/>
        <v/>
      </c>
      <c r="B1234" t="str">
        <f t="shared" si="96"/>
        <v/>
      </c>
      <c r="C1234" t="str">
        <f t="shared" si="97"/>
        <v/>
      </c>
      <c r="D1234" t="str">
        <f>IF(E1234="","",IF(COUNTIF($E$2:E1234,E1234)&gt;1,"",SUMIFS(tbl_input[필요수량],tbl_input[집계키_지청],E1234)))</f>
        <v/>
      </c>
      <c r="E1234" t="str">
        <f>IFERROR(INDEX(tbl_input[집계키_지청],ROW()-1),"")</f>
        <v/>
      </c>
      <c r="F1234" t="str">
        <f t="shared" si="98"/>
        <v/>
      </c>
      <c r="G1234" t="str">
        <f t="shared" si="99"/>
        <v/>
      </c>
    </row>
    <row r="1235" spans="1:7" x14ac:dyDescent="0.4">
      <c r="A1235" t="str">
        <f t="shared" si="95"/>
        <v/>
      </c>
      <c r="B1235" t="str">
        <f t="shared" si="96"/>
        <v/>
      </c>
      <c r="C1235" t="str">
        <f t="shared" si="97"/>
        <v/>
      </c>
      <c r="D1235" t="str">
        <f>IF(E1235="","",IF(COUNTIF($E$2:E1235,E1235)&gt;1,"",SUMIFS(tbl_input[필요수량],tbl_input[집계키_지청],E1235)))</f>
        <v/>
      </c>
      <c r="E1235" t="str">
        <f>IFERROR(INDEX(tbl_input[집계키_지청],ROW()-1),"")</f>
        <v/>
      </c>
      <c r="F1235" t="str">
        <f t="shared" si="98"/>
        <v/>
      </c>
      <c r="G1235" t="str">
        <f t="shared" si="99"/>
        <v/>
      </c>
    </row>
    <row r="1236" spans="1:7" x14ac:dyDescent="0.4">
      <c r="A1236" t="str">
        <f t="shared" si="95"/>
        <v/>
      </c>
      <c r="B1236" t="str">
        <f t="shared" si="96"/>
        <v/>
      </c>
      <c r="C1236" t="str">
        <f t="shared" si="97"/>
        <v/>
      </c>
      <c r="D1236" t="str">
        <f>IF(E1236="","",IF(COUNTIF($E$2:E1236,E1236)&gt;1,"",SUMIFS(tbl_input[필요수량],tbl_input[집계키_지청],E1236)))</f>
        <v/>
      </c>
      <c r="E1236" t="str">
        <f>IFERROR(INDEX(tbl_input[집계키_지청],ROW()-1),"")</f>
        <v/>
      </c>
      <c r="F1236" t="str">
        <f t="shared" si="98"/>
        <v/>
      </c>
      <c r="G1236" t="str">
        <f t="shared" si="99"/>
        <v/>
      </c>
    </row>
    <row r="1237" spans="1:7" x14ac:dyDescent="0.4">
      <c r="A1237" t="str">
        <f t="shared" si="95"/>
        <v/>
      </c>
      <c r="B1237" t="str">
        <f t="shared" si="96"/>
        <v/>
      </c>
      <c r="C1237" t="str">
        <f t="shared" si="97"/>
        <v/>
      </c>
      <c r="D1237" t="str">
        <f>IF(E1237="","",IF(COUNTIF($E$2:E1237,E1237)&gt;1,"",SUMIFS(tbl_input[필요수량],tbl_input[집계키_지청],E1237)))</f>
        <v/>
      </c>
      <c r="E1237" t="str">
        <f>IFERROR(INDEX(tbl_input[집계키_지청],ROW()-1),"")</f>
        <v/>
      </c>
      <c r="F1237" t="str">
        <f t="shared" si="98"/>
        <v/>
      </c>
      <c r="G1237" t="str">
        <f t="shared" si="99"/>
        <v/>
      </c>
    </row>
    <row r="1238" spans="1:7" x14ac:dyDescent="0.4">
      <c r="A1238" t="str">
        <f t="shared" si="95"/>
        <v/>
      </c>
      <c r="B1238" t="str">
        <f t="shared" si="96"/>
        <v/>
      </c>
      <c r="C1238" t="str">
        <f t="shared" si="97"/>
        <v/>
      </c>
      <c r="D1238" t="str">
        <f>IF(E1238="","",IF(COUNTIF($E$2:E1238,E1238)&gt;1,"",SUMIFS(tbl_input[필요수량],tbl_input[집계키_지청],E1238)))</f>
        <v/>
      </c>
      <c r="E1238" t="str">
        <f>IFERROR(INDEX(tbl_input[집계키_지청],ROW()-1),"")</f>
        <v/>
      </c>
      <c r="F1238" t="str">
        <f t="shared" si="98"/>
        <v/>
      </c>
      <c r="G1238" t="str">
        <f t="shared" si="99"/>
        <v/>
      </c>
    </row>
    <row r="1239" spans="1:7" x14ac:dyDescent="0.4">
      <c r="A1239" t="str">
        <f t="shared" si="95"/>
        <v/>
      </c>
      <c r="B1239" t="str">
        <f t="shared" si="96"/>
        <v/>
      </c>
      <c r="C1239" t="str">
        <f t="shared" si="97"/>
        <v/>
      </c>
      <c r="D1239" t="str">
        <f>IF(E1239="","",IF(COUNTIF($E$2:E1239,E1239)&gt;1,"",SUMIFS(tbl_input[필요수량],tbl_input[집계키_지청],E1239)))</f>
        <v/>
      </c>
      <c r="E1239" t="str">
        <f>IFERROR(INDEX(tbl_input[집계키_지청],ROW()-1),"")</f>
        <v/>
      </c>
      <c r="F1239" t="str">
        <f t="shared" si="98"/>
        <v/>
      </c>
      <c r="G1239" t="str">
        <f t="shared" si="99"/>
        <v/>
      </c>
    </row>
    <row r="1240" spans="1:7" x14ac:dyDescent="0.4">
      <c r="A1240" t="str">
        <f t="shared" si="95"/>
        <v/>
      </c>
      <c r="B1240" t="str">
        <f t="shared" si="96"/>
        <v/>
      </c>
      <c r="C1240" t="str">
        <f t="shared" si="97"/>
        <v/>
      </c>
      <c r="D1240" t="str">
        <f>IF(E1240="","",IF(COUNTIF($E$2:E1240,E1240)&gt;1,"",SUMIFS(tbl_input[필요수량],tbl_input[집계키_지청],E1240)))</f>
        <v/>
      </c>
      <c r="E1240" t="str">
        <f>IFERROR(INDEX(tbl_input[집계키_지청],ROW()-1),"")</f>
        <v/>
      </c>
      <c r="F1240" t="str">
        <f t="shared" si="98"/>
        <v/>
      </c>
      <c r="G1240" t="str">
        <f t="shared" si="99"/>
        <v/>
      </c>
    </row>
    <row r="1241" spans="1:7" x14ac:dyDescent="0.4">
      <c r="A1241" t="str">
        <f t="shared" si="95"/>
        <v/>
      </c>
      <c r="B1241" t="str">
        <f t="shared" si="96"/>
        <v/>
      </c>
      <c r="C1241" t="str">
        <f t="shared" si="97"/>
        <v/>
      </c>
      <c r="D1241" t="str">
        <f>IF(E1241="","",IF(COUNTIF($E$2:E1241,E1241)&gt;1,"",SUMIFS(tbl_input[필요수량],tbl_input[집계키_지청],E1241)))</f>
        <v/>
      </c>
      <c r="E1241" t="str">
        <f>IFERROR(INDEX(tbl_input[집계키_지청],ROW()-1),"")</f>
        <v/>
      </c>
      <c r="F1241" t="str">
        <f t="shared" si="98"/>
        <v/>
      </c>
      <c r="G1241" t="str">
        <f t="shared" si="99"/>
        <v/>
      </c>
    </row>
    <row r="1242" spans="1:7" x14ac:dyDescent="0.4">
      <c r="A1242" t="str">
        <f t="shared" si="95"/>
        <v/>
      </c>
      <c r="B1242" t="str">
        <f t="shared" si="96"/>
        <v/>
      </c>
      <c r="C1242" t="str">
        <f t="shared" si="97"/>
        <v/>
      </c>
      <c r="D1242" t="str">
        <f>IF(E1242="","",IF(COUNTIF($E$2:E1242,E1242)&gt;1,"",SUMIFS(tbl_input[필요수량],tbl_input[집계키_지청],E1242)))</f>
        <v/>
      </c>
      <c r="E1242" t="str">
        <f>IFERROR(INDEX(tbl_input[집계키_지청],ROW()-1),"")</f>
        <v/>
      </c>
      <c r="F1242" t="str">
        <f t="shared" si="98"/>
        <v/>
      </c>
      <c r="G1242" t="str">
        <f t="shared" si="99"/>
        <v/>
      </c>
    </row>
    <row r="1243" spans="1:7" x14ac:dyDescent="0.4">
      <c r="A1243" t="str">
        <f t="shared" si="95"/>
        <v/>
      </c>
      <c r="B1243" t="str">
        <f t="shared" si="96"/>
        <v/>
      </c>
      <c r="C1243" t="str">
        <f t="shared" si="97"/>
        <v/>
      </c>
      <c r="D1243" t="str">
        <f>IF(E1243="","",IF(COUNTIF($E$2:E1243,E1243)&gt;1,"",SUMIFS(tbl_input[필요수량],tbl_input[집계키_지청],E1243)))</f>
        <v/>
      </c>
      <c r="E1243" t="str">
        <f>IFERROR(INDEX(tbl_input[집계키_지청],ROW()-1),"")</f>
        <v/>
      </c>
      <c r="F1243" t="str">
        <f t="shared" si="98"/>
        <v/>
      </c>
      <c r="G1243" t="str">
        <f t="shared" si="99"/>
        <v/>
      </c>
    </row>
    <row r="1244" spans="1:7" x14ac:dyDescent="0.4">
      <c r="A1244" t="str">
        <f t="shared" si="95"/>
        <v/>
      </c>
      <c r="B1244" t="str">
        <f t="shared" si="96"/>
        <v/>
      </c>
      <c r="C1244" t="str">
        <f t="shared" si="97"/>
        <v/>
      </c>
      <c r="D1244" t="str">
        <f>IF(E1244="","",IF(COUNTIF($E$2:E1244,E1244)&gt;1,"",SUMIFS(tbl_input[필요수량],tbl_input[집계키_지청],E1244)))</f>
        <v/>
      </c>
      <c r="E1244" t="str">
        <f>IFERROR(INDEX(tbl_input[집계키_지청],ROW()-1),"")</f>
        <v/>
      </c>
      <c r="F1244" t="str">
        <f t="shared" si="98"/>
        <v/>
      </c>
      <c r="G1244" t="str">
        <f t="shared" si="99"/>
        <v/>
      </c>
    </row>
    <row r="1245" spans="1:7" x14ac:dyDescent="0.4">
      <c r="A1245" t="str">
        <f t="shared" si="95"/>
        <v/>
      </c>
      <c r="B1245" t="str">
        <f t="shared" si="96"/>
        <v/>
      </c>
      <c r="C1245" t="str">
        <f t="shared" si="97"/>
        <v/>
      </c>
      <c r="D1245" t="str">
        <f>IF(E1245="","",IF(COUNTIF($E$2:E1245,E1245)&gt;1,"",SUMIFS(tbl_input[필요수량],tbl_input[집계키_지청],E1245)))</f>
        <v/>
      </c>
      <c r="E1245" t="str">
        <f>IFERROR(INDEX(tbl_input[집계키_지청],ROW()-1),"")</f>
        <v/>
      </c>
      <c r="F1245" t="str">
        <f t="shared" si="98"/>
        <v/>
      </c>
      <c r="G1245" t="str">
        <f t="shared" si="99"/>
        <v/>
      </c>
    </row>
    <row r="1246" spans="1:7" x14ac:dyDescent="0.4">
      <c r="A1246" t="str">
        <f t="shared" si="95"/>
        <v/>
      </c>
      <c r="B1246" t="str">
        <f t="shared" si="96"/>
        <v/>
      </c>
      <c r="C1246" t="str">
        <f t="shared" si="97"/>
        <v/>
      </c>
      <c r="D1246" t="str">
        <f>IF(E1246="","",IF(COUNTIF($E$2:E1246,E1246)&gt;1,"",SUMIFS(tbl_input[필요수량],tbl_input[집계키_지청],E1246)))</f>
        <v/>
      </c>
      <c r="E1246" t="str">
        <f>IFERROR(INDEX(tbl_input[집계키_지청],ROW()-1),"")</f>
        <v/>
      </c>
      <c r="F1246" t="str">
        <f t="shared" si="98"/>
        <v/>
      </c>
      <c r="G1246" t="str">
        <f t="shared" si="99"/>
        <v/>
      </c>
    </row>
    <row r="1247" spans="1:7" x14ac:dyDescent="0.4">
      <c r="A1247" t="str">
        <f t="shared" si="95"/>
        <v/>
      </c>
      <c r="B1247" t="str">
        <f t="shared" si="96"/>
        <v/>
      </c>
      <c r="C1247" t="str">
        <f t="shared" si="97"/>
        <v/>
      </c>
      <c r="D1247" t="str">
        <f>IF(E1247="","",IF(COUNTIF($E$2:E1247,E1247)&gt;1,"",SUMIFS(tbl_input[필요수량],tbl_input[집계키_지청],E1247)))</f>
        <v/>
      </c>
      <c r="E1247" t="str">
        <f>IFERROR(INDEX(tbl_input[집계키_지청],ROW()-1),"")</f>
        <v/>
      </c>
      <c r="F1247" t="str">
        <f t="shared" si="98"/>
        <v/>
      </c>
      <c r="G1247" t="str">
        <f t="shared" si="99"/>
        <v/>
      </c>
    </row>
    <row r="1248" spans="1:7" x14ac:dyDescent="0.4">
      <c r="A1248" t="str">
        <f t="shared" si="95"/>
        <v/>
      </c>
      <c r="B1248" t="str">
        <f t="shared" si="96"/>
        <v/>
      </c>
      <c r="C1248" t="str">
        <f t="shared" si="97"/>
        <v/>
      </c>
      <c r="D1248" t="str">
        <f>IF(E1248="","",IF(COUNTIF($E$2:E1248,E1248)&gt;1,"",SUMIFS(tbl_input[필요수량],tbl_input[집계키_지청],E1248)))</f>
        <v/>
      </c>
      <c r="E1248" t="str">
        <f>IFERROR(INDEX(tbl_input[집계키_지청],ROW()-1),"")</f>
        <v/>
      </c>
      <c r="F1248" t="str">
        <f t="shared" si="98"/>
        <v/>
      </c>
      <c r="G1248" t="str">
        <f t="shared" si="99"/>
        <v/>
      </c>
    </row>
    <row r="1249" spans="1:7" x14ac:dyDescent="0.4">
      <c r="A1249" t="str">
        <f t="shared" si="95"/>
        <v/>
      </c>
      <c r="B1249" t="str">
        <f t="shared" si="96"/>
        <v/>
      </c>
      <c r="C1249" t="str">
        <f t="shared" si="97"/>
        <v/>
      </c>
      <c r="D1249" t="str">
        <f>IF(E1249="","",IF(COUNTIF($E$2:E1249,E1249)&gt;1,"",SUMIFS(tbl_input[필요수량],tbl_input[집계키_지청],E1249)))</f>
        <v/>
      </c>
      <c r="E1249" t="str">
        <f>IFERROR(INDEX(tbl_input[집계키_지청],ROW()-1),"")</f>
        <v/>
      </c>
      <c r="F1249" t="str">
        <f t="shared" si="98"/>
        <v/>
      </c>
      <c r="G1249" t="str">
        <f t="shared" si="99"/>
        <v/>
      </c>
    </row>
    <row r="1250" spans="1:7" x14ac:dyDescent="0.4">
      <c r="A1250" t="str">
        <f t="shared" si="95"/>
        <v/>
      </c>
      <c r="B1250" t="str">
        <f t="shared" si="96"/>
        <v/>
      </c>
      <c r="C1250" t="str">
        <f t="shared" si="97"/>
        <v/>
      </c>
      <c r="D1250" t="str">
        <f>IF(E1250="","",IF(COUNTIF($E$2:E1250,E1250)&gt;1,"",SUMIFS(tbl_input[필요수량],tbl_input[집계키_지청],E1250)))</f>
        <v/>
      </c>
      <c r="E1250" t="str">
        <f>IFERROR(INDEX(tbl_input[집계키_지청],ROW()-1),"")</f>
        <v/>
      </c>
      <c r="F1250" t="str">
        <f t="shared" si="98"/>
        <v/>
      </c>
      <c r="G1250" t="str">
        <f t="shared" si="99"/>
        <v/>
      </c>
    </row>
    <row r="1251" spans="1:7" x14ac:dyDescent="0.4">
      <c r="A1251" t="str">
        <f t="shared" si="95"/>
        <v/>
      </c>
      <c r="B1251" t="str">
        <f t="shared" si="96"/>
        <v/>
      </c>
      <c r="C1251" t="str">
        <f t="shared" si="97"/>
        <v/>
      </c>
      <c r="D1251" t="str">
        <f>IF(E1251="","",IF(COUNTIF($E$2:E1251,E1251)&gt;1,"",SUMIFS(tbl_input[필요수량],tbl_input[집계키_지청],E1251)))</f>
        <v/>
      </c>
      <c r="E1251" t="str">
        <f>IFERROR(INDEX(tbl_input[집계키_지청],ROW()-1),"")</f>
        <v/>
      </c>
      <c r="F1251" t="str">
        <f t="shared" si="98"/>
        <v/>
      </c>
      <c r="G1251" t="str">
        <f t="shared" si="99"/>
        <v/>
      </c>
    </row>
    <row r="1252" spans="1:7" x14ac:dyDescent="0.4">
      <c r="A1252" t="str">
        <f t="shared" si="95"/>
        <v/>
      </c>
      <c r="B1252" t="str">
        <f t="shared" si="96"/>
        <v/>
      </c>
      <c r="C1252" t="str">
        <f t="shared" si="97"/>
        <v/>
      </c>
      <c r="D1252" t="str">
        <f>IF(E1252="","",IF(COUNTIF($E$2:E1252,E1252)&gt;1,"",SUMIFS(tbl_input[필요수량],tbl_input[집계키_지청],E1252)))</f>
        <v/>
      </c>
      <c r="E1252" t="str">
        <f>IFERROR(INDEX(tbl_input[집계키_지청],ROW()-1),"")</f>
        <v/>
      </c>
      <c r="F1252" t="str">
        <f t="shared" si="98"/>
        <v/>
      </c>
      <c r="G1252" t="str">
        <f t="shared" si="99"/>
        <v/>
      </c>
    </row>
    <row r="1253" spans="1:7" x14ac:dyDescent="0.4">
      <c r="A1253" t="str">
        <f t="shared" si="95"/>
        <v/>
      </c>
      <c r="B1253" t="str">
        <f t="shared" si="96"/>
        <v/>
      </c>
      <c r="C1253" t="str">
        <f t="shared" si="97"/>
        <v/>
      </c>
      <c r="D1253" t="str">
        <f>IF(E1253="","",IF(COUNTIF($E$2:E1253,E1253)&gt;1,"",SUMIFS(tbl_input[필요수량],tbl_input[집계키_지청],E1253)))</f>
        <v/>
      </c>
      <c r="E1253" t="str">
        <f>IFERROR(INDEX(tbl_input[집계키_지청],ROW()-1),"")</f>
        <v/>
      </c>
      <c r="F1253" t="str">
        <f t="shared" si="98"/>
        <v/>
      </c>
      <c r="G1253" t="str">
        <f t="shared" si="99"/>
        <v/>
      </c>
    </row>
    <row r="1254" spans="1:7" x14ac:dyDescent="0.4">
      <c r="A1254" t="str">
        <f t="shared" si="95"/>
        <v/>
      </c>
      <c r="B1254" t="str">
        <f t="shared" si="96"/>
        <v/>
      </c>
      <c r="C1254" t="str">
        <f t="shared" si="97"/>
        <v/>
      </c>
      <c r="D1254" t="str">
        <f>IF(E1254="","",IF(COUNTIF($E$2:E1254,E1254)&gt;1,"",SUMIFS(tbl_input[필요수량],tbl_input[집계키_지청],E1254)))</f>
        <v/>
      </c>
      <c r="E1254" t="str">
        <f>IFERROR(INDEX(tbl_input[집계키_지청],ROW()-1),"")</f>
        <v/>
      </c>
      <c r="F1254" t="str">
        <f t="shared" si="98"/>
        <v/>
      </c>
      <c r="G1254" t="str">
        <f t="shared" si="99"/>
        <v/>
      </c>
    </row>
    <row r="1255" spans="1:7" x14ac:dyDescent="0.4">
      <c r="A1255" t="str">
        <f t="shared" si="95"/>
        <v/>
      </c>
      <c r="B1255" t="str">
        <f t="shared" si="96"/>
        <v/>
      </c>
      <c r="C1255" t="str">
        <f t="shared" si="97"/>
        <v/>
      </c>
      <c r="D1255" t="str">
        <f>IF(E1255="","",IF(COUNTIF($E$2:E1255,E1255)&gt;1,"",SUMIFS(tbl_input[필요수량],tbl_input[집계키_지청],E1255)))</f>
        <v/>
      </c>
      <c r="E1255" t="str">
        <f>IFERROR(INDEX(tbl_input[집계키_지청],ROW()-1),"")</f>
        <v/>
      </c>
      <c r="F1255" t="str">
        <f t="shared" si="98"/>
        <v/>
      </c>
      <c r="G1255" t="str">
        <f t="shared" si="99"/>
        <v/>
      </c>
    </row>
    <row r="1256" spans="1:7" x14ac:dyDescent="0.4">
      <c r="A1256" t="str">
        <f t="shared" si="95"/>
        <v/>
      </c>
      <c r="B1256" t="str">
        <f t="shared" si="96"/>
        <v/>
      </c>
      <c r="C1256" t="str">
        <f t="shared" si="97"/>
        <v/>
      </c>
      <c r="D1256" t="str">
        <f>IF(E1256="","",IF(COUNTIF($E$2:E1256,E1256)&gt;1,"",SUMIFS(tbl_input[필요수량],tbl_input[집계키_지청],E1256)))</f>
        <v/>
      </c>
      <c r="E1256" t="str">
        <f>IFERROR(INDEX(tbl_input[집계키_지청],ROW()-1),"")</f>
        <v/>
      </c>
      <c r="F1256" t="str">
        <f t="shared" si="98"/>
        <v/>
      </c>
      <c r="G1256" t="str">
        <f t="shared" si="99"/>
        <v/>
      </c>
    </row>
    <row r="1257" spans="1:7" x14ac:dyDescent="0.4">
      <c r="A1257" t="str">
        <f t="shared" si="95"/>
        <v/>
      </c>
      <c r="B1257" t="str">
        <f t="shared" si="96"/>
        <v/>
      </c>
      <c r="C1257" t="str">
        <f t="shared" si="97"/>
        <v/>
      </c>
      <c r="D1257" t="str">
        <f>IF(E1257="","",IF(COUNTIF($E$2:E1257,E1257)&gt;1,"",SUMIFS(tbl_input[필요수량],tbl_input[집계키_지청],E1257)))</f>
        <v/>
      </c>
      <c r="E1257" t="str">
        <f>IFERROR(INDEX(tbl_input[집계키_지청],ROW()-1),"")</f>
        <v/>
      </c>
      <c r="F1257" t="str">
        <f t="shared" si="98"/>
        <v/>
      </c>
      <c r="G1257" t="str">
        <f t="shared" si="99"/>
        <v/>
      </c>
    </row>
    <row r="1258" spans="1:7" x14ac:dyDescent="0.4">
      <c r="A1258" t="str">
        <f t="shared" si="95"/>
        <v/>
      </c>
      <c r="B1258" t="str">
        <f t="shared" si="96"/>
        <v/>
      </c>
      <c r="C1258" t="str">
        <f t="shared" si="97"/>
        <v/>
      </c>
      <c r="D1258" t="str">
        <f>IF(E1258="","",IF(COUNTIF($E$2:E1258,E1258)&gt;1,"",SUMIFS(tbl_input[필요수량],tbl_input[집계키_지청],E1258)))</f>
        <v/>
      </c>
      <c r="E1258" t="str">
        <f>IFERROR(INDEX(tbl_input[집계키_지청],ROW()-1),"")</f>
        <v/>
      </c>
      <c r="F1258" t="str">
        <f t="shared" si="98"/>
        <v/>
      </c>
      <c r="G1258" t="str">
        <f t="shared" si="99"/>
        <v/>
      </c>
    </row>
    <row r="1259" spans="1:7" x14ac:dyDescent="0.4">
      <c r="A1259" t="str">
        <f t="shared" si="95"/>
        <v/>
      </c>
      <c r="B1259" t="str">
        <f t="shared" si="96"/>
        <v/>
      </c>
      <c r="C1259" t="str">
        <f t="shared" si="97"/>
        <v/>
      </c>
      <c r="D1259" t="str">
        <f>IF(E1259="","",IF(COUNTIF($E$2:E1259,E1259)&gt;1,"",SUMIFS(tbl_input[필요수량],tbl_input[집계키_지청],E1259)))</f>
        <v/>
      </c>
      <c r="E1259" t="str">
        <f>IFERROR(INDEX(tbl_input[집계키_지청],ROW()-1),"")</f>
        <v/>
      </c>
      <c r="F1259" t="str">
        <f t="shared" si="98"/>
        <v/>
      </c>
      <c r="G1259" t="str">
        <f t="shared" si="99"/>
        <v/>
      </c>
    </row>
    <row r="1260" spans="1:7" x14ac:dyDescent="0.4">
      <c r="A1260" t="str">
        <f t="shared" si="95"/>
        <v/>
      </c>
      <c r="B1260" t="str">
        <f t="shared" si="96"/>
        <v/>
      </c>
      <c r="C1260" t="str">
        <f t="shared" si="97"/>
        <v/>
      </c>
      <c r="D1260" t="str">
        <f>IF(E1260="","",IF(COUNTIF($E$2:E1260,E1260)&gt;1,"",SUMIFS(tbl_input[필요수량],tbl_input[집계키_지청],E1260)))</f>
        <v/>
      </c>
      <c r="E1260" t="str">
        <f>IFERROR(INDEX(tbl_input[집계키_지청],ROW()-1),"")</f>
        <v/>
      </c>
      <c r="F1260" t="str">
        <f t="shared" si="98"/>
        <v/>
      </c>
      <c r="G1260" t="str">
        <f t="shared" si="99"/>
        <v/>
      </c>
    </row>
    <row r="1261" spans="1:7" x14ac:dyDescent="0.4">
      <c r="A1261" t="str">
        <f t="shared" si="95"/>
        <v/>
      </c>
      <c r="B1261" t="str">
        <f t="shared" si="96"/>
        <v/>
      </c>
      <c r="C1261" t="str">
        <f t="shared" si="97"/>
        <v/>
      </c>
      <c r="D1261" t="str">
        <f>IF(E1261="","",IF(COUNTIF($E$2:E1261,E1261)&gt;1,"",SUMIFS(tbl_input[필요수량],tbl_input[집계키_지청],E1261)))</f>
        <v/>
      </c>
      <c r="E1261" t="str">
        <f>IFERROR(INDEX(tbl_input[집계키_지청],ROW()-1),"")</f>
        <v/>
      </c>
      <c r="F1261" t="str">
        <f t="shared" si="98"/>
        <v/>
      </c>
      <c r="G1261" t="str">
        <f t="shared" si="99"/>
        <v/>
      </c>
    </row>
    <row r="1262" spans="1:7" x14ac:dyDescent="0.4">
      <c r="A1262" t="str">
        <f t="shared" si="95"/>
        <v/>
      </c>
      <c r="B1262" t="str">
        <f t="shared" si="96"/>
        <v/>
      </c>
      <c r="C1262" t="str">
        <f t="shared" si="97"/>
        <v/>
      </c>
      <c r="D1262" t="str">
        <f>IF(E1262="","",IF(COUNTIF($E$2:E1262,E1262)&gt;1,"",SUMIFS(tbl_input[필요수량],tbl_input[집계키_지청],E1262)))</f>
        <v/>
      </c>
      <c r="E1262" t="str">
        <f>IFERROR(INDEX(tbl_input[집계키_지청],ROW()-1),"")</f>
        <v/>
      </c>
      <c r="F1262" t="str">
        <f t="shared" si="98"/>
        <v/>
      </c>
      <c r="G1262" t="str">
        <f t="shared" si="99"/>
        <v/>
      </c>
    </row>
    <row r="1263" spans="1:7" x14ac:dyDescent="0.4">
      <c r="A1263" t="str">
        <f t="shared" si="95"/>
        <v/>
      </c>
      <c r="B1263" t="str">
        <f t="shared" si="96"/>
        <v/>
      </c>
      <c r="C1263" t="str">
        <f t="shared" si="97"/>
        <v/>
      </c>
      <c r="D1263" t="str">
        <f>IF(E1263="","",IF(COUNTIF($E$2:E1263,E1263)&gt;1,"",SUMIFS(tbl_input[필요수량],tbl_input[집계키_지청],E1263)))</f>
        <v/>
      </c>
      <c r="E1263" t="str">
        <f>IFERROR(INDEX(tbl_input[집계키_지청],ROW()-1),"")</f>
        <v/>
      </c>
      <c r="F1263" t="str">
        <f t="shared" si="98"/>
        <v/>
      </c>
      <c r="G1263" t="str">
        <f t="shared" si="99"/>
        <v/>
      </c>
    </row>
    <row r="1264" spans="1:7" x14ac:dyDescent="0.4">
      <c r="A1264" t="str">
        <f t="shared" si="95"/>
        <v/>
      </c>
      <c r="B1264" t="str">
        <f t="shared" si="96"/>
        <v/>
      </c>
      <c r="C1264" t="str">
        <f t="shared" si="97"/>
        <v/>
      </c>
      <c r="D1264" t="str">
        <f>IF(E1264="","",IF(COUNTIF($E$2:E1264,E1264)&gt;1,"",SUMIFS(tbl_input[필요수량],tbl_input[집계키_지청],E1264)))</f>
        <v/>
      </c>
      <c r="E1264" t="str">
        <f>IFERROR(INDEX(tbl_input[집계키_지청],ROW()-1),"")</f>
        <v/>
      </c>
      <c r="F1264" t="str">
        <f t="shared" si="98"/>
        <v/>
      </c>
      <c r="G1264" t="str">
        <f t="shared" si="99"/>
        <v/>
      </c>
    </row>
    <row r="1265" spans="1:7" x14ac:dyDescent="0.4">
      <c r="A1265" t="str">
        <f t="shared" si="95"/>
        <v/>
      </c>
      <c r="B1265" t="str">
        <f t="shared" si="96"/>
        <v/>
      </c>
      <c r="C1265" t="str">
        <f t="shared" si="97"/>
        <v/>
      </c>
      <c r="D1265" t="str">
        <f>IF(E1265="","",IF(COUNTIF($E$2:E1265,E1265)&gt;1,"",SUMIFS(tbl_input[필요수량],tbl_input[집계키_지청],E1265)))</f>
        <v/>
      </c>
      <c r="E1265" t="str">
        <f>IFERROR(INDEX(tbl_input[집계키_지청],ROW()-1),"")</f>
        <v/>
      </c>
      <c r="F1265" t="str">
        <f t="shared" si="98"/>
        <v/>
      </c>
      <c r="G1265" t="str">
        <f t="shared" si="99"/>
        <v/>
      </c>
    </row>
    <row r="1266" spans="1:7" x14ac:dyDescent="0.4">
      <c r="A1266" t="str">
        <f t="shared" si="95"/>
        <v/>
      </c>
      <c r="B1266" t="str">
        <f t="shared" si="96"/>
        <v/>
      </c>
      <c r="C1266" t="str">
        <f t="shared" si="97"/>
        <v/>
      </c>
      <c r="D1266" t="str">
        <f>IF(E1266="","",IF(COUNTIF($E$2:E1266,E1266)&gt;1,"",SUMIFS(tbl_input[필요수량],tbl_input[집계키_지청],E1266)))</f>
        <v/>
      </c>
      <c r="E1266" t="str">
        <f>IFERROR(INDEX(tbl_input[집계키_지청],ROW()-1),"")</f>
        <v/>
      </c>
      <c r="F1266" t="str">
        <f t="shared" si="98"/>
        <v/>
      </c>
      <c r="G1266" t="str">
        <f t="shared" si="99"/>
        <v/>
      </c>
    </row>
    <row r="1267" spans="1:7" x14ac:dyDescent="0.4">
      <c r="A1267" t="str">
        <f t="shared" si="95"/>
        <v/>
      </c>
      <c r="B1267" t="str">
        <f t="shared" si="96"/>
        <v/>
      </c>
      <c r="C1267" t="str">
        <f t="shared" si="97"/>
        <v/>
      </c>
      <c r="D1267" t="str">
        <f>IF(E1267="","",IF(COUNTIF($E$2:E1267,E1267)&gt;1,"",SUMIFS(tbl_input[필요수량],tbl_input[집계키_지청],E1267)))</f>
        <v/>
      </c>
      <c r="E1267" t="str">
        <f>IFERROR(INDEX(tbl_input[집계키_지청],ROW()-1),"")</f>
        <v/>
      </c>
      <c r="F1267" t="str">
        <f t="shared" si="98"/>
        <v/>
      </c>
      <c r="G1267" t="str">
        <f t="shared" si="99"/>
        <v/>
      </c>
    </row>
    <row r="1268" spans="1:7" x14ac:dyDescent="0.4">
      <c r="A1268" t="str">
        <f t="shared" si="95"/>
        <v/>
      </c>
      <c r="B1268" t="str">
        <f t="shared" si="96"/>
        <v/>
      </c>
      <c r="C1268" t="str">
        <f t="shared" si="97"/>
        <v/>
      </c>
      <c r="D1268" t="str">
        <f>IF(E1268="","",IF(COUNTIF($E$2:E1268,E1268)&gt;1,"",SUMIFS(tbl_input[필요수량],tbl_input[집계키_지청],E1268)))</f>
        <v/>
      </c>
      <c r="E1268" t="str">
        <f>IFERROR(INDEX(tbl_input[집계키_지청],ROW()-1),"")</f>
        <v/>
      </c>
      <c r="F1268" t="str">
        <f t="shared" si="98"/>
        <v/>
      </c>
      <c r="G1268" t="str">
        <f t="shared" si="99"/>
        <v/>
      </c>
    </row>
    <row r="1269" spans="1:7" x14ac:dyDescent="0.4">
      <c r="A1269" t="str">
        <f t="shared" si="95"/>
        <v/>
      </c>
      <c r="B1269" t="str">
        <f t="shared" si="96"/>
        <v/>
      </c>
      <c r="C1269" t="str">
        <f t="shared" si="97"/>
        <v/>
      </c>
      <c r="D1269" t="str">
        <f>IF(E1269="","",IF(COUNTIF($E$2:E1269,E1269)&gt;1,"",SUMIFS(tbl_input[필요수량],tbl_input[집계키_지청],E1269)))</f>
        <v/>
      </c>
      <c r="E1269" t="str">
        <f>IFERROR(INDEX(tbl_input[집계키_지청],ROW()-1),"")</f>
        <v/>
      </c>
      <c r="F1269" t="str">
        <f t="shared" si="98"/>
        <v/>
      </c>
      <c r="G1269" t="str">
        <f t="shared" si="99"/>
        <v/>
      </c>
    </row>
    <row r="1270" spans="1:7" x14ac:dyDescent="0.4">
      <c r="A1270" t="str">
        <f t="shared" si="95"/>
        <v/>
      </c>
      <c r="B1270" t="str">
        <f t="shared" si="96"/>
        <v/>
      </c>
      <c r="C1270" t="str">
        <f t="shared" si="97"/>
        <v/>
      </c>
      <c r="D1270" t="str">
        <f>IF(E1270="","",IF(COUNTIF($E$2:E1270,E1270)&gt;1,"",SUMIFS(tbl_input[필요수량],tbl_input[집계키_지청],E1270)))</f>
        <v/>
      </c>
      <c r="E1270" t="str">
        <f>IFERROR(INDEX(tbl_input[집계키_지청],ROW()-1),"")</f>
        <v/>
      </c>
      <c r="F1270" t="str">
        <f t="shared" si="98"/>
        <v/>
      </c>
      <c r="G1270" t="str">
        <f t="shared" si="99"/>
        <v/>
      </c>
    </row>
    <row r="1271" spans="1:7" x14ac:dyDescent="0.4">
      <c r="A1271" t="str">
        <f t="shared" si="95"/>
        <v/>
      </c>
      <c r="B1271" t="str">
        <f t="shared" si="96"/>
        <v/>
      </c>
      <c r="C1271" t="str">
        <f t="shared" si="97"/>
        <v/>
      </c>
      <c r="D1271" t="str">
        <f>IF(E1271="","",IF(COUNTIF($E$2:E1271,E1271)&gt;1,"",SUMIFS(tbl_input[필요수량],tbl_input[집계키_지청],E1271)))</f>
        <v/>
      </c>
      <c r="E1271" t="str">
        <f>IFERROR(INDEX(tbl_input[집계키_지청],ROW()-1),"")</f>
        <v/>
      </c>
      <c r="F1271" t="str">
        <f t="shared" si="98"/>
        <v/>
      </c>
      <c r="G1271" t="str">
        <f t="shared" si="99"/>
        <v/>
      </c>
    </row>
    <row r="1272" spans="1:7" x14ac:dyDescent="0.4">
      <c r="A1272" t="str">
        <f t="shared" si="95"/>
        <v/>
      </c>
      <c r="B1272" t="str">
        <f t="shared" si="96"/>
        <v/>
      </c>
      <c r="C1272" t="str">
        <f t="shared" si="97"/>
        <v/>
      </c>
      <c r="D1272" t="str">
        <f>IF(E1272="","",IF(COUNTIF($E$2:E1272,E1272)&gt;1,"",SUMIFS(tbl_input[필요수량],tbl_input[집계키_지청],E1272)))</f>
        <v/>
      </c>
      <c r="E1272" t="str">
        <f>IFERROR(INDEX(tbl_input[집계키_지청],ROW()-1),"")</f>
        <v/>
      </c>
      <c r="F1272" t="str">
        <f t="shared" si="98"/>
        <v/>
      </c>
      <c r="G1272" t="str">
        <f t="shared" si="99"/>
        <v/>
      </c>
    </row>
    <row r="1273" spans="1:7" x14ac:dyDescent="0.4">
      <c r="A1273" t="str">
        <f t="shared" si="95"/>
        <v/>
      </c>
      <c r="B1273" t="str">
        <f t="shared" si="96"/>
        <v/>
      </c>
      <c r="C1273" t="str">
        <f t="shared" si="97"/>
        <v/>
      </c>
      <c r="D1273" t="str">
        <f>IF(E1273="","",IF(COUNTIF($E$2:E1273,E1273)&gt;1,"",SUMIFS(tbl_input[필요수량],tbl_input[집계키_지청],E1273)))</f>
        <v/>
      </c>
      <c r="E1273" t="str">
        <f>IFERROR(INDEX(tbl_input[집계키_지청],ROW()-1),"")</f>
        <v/>
      </c>
      <c r="F1273" t="str">
        <f t="shared" si="98"/>
        <v/>
      </c>
      <c r="G1273" t="str">
        <f t="shared" si="99"/>
        <v/>
      </c>
    </row>
    <row r="1274" spans="1:7" x14ac:dyDescent="0.4">
      <c r="A1274" t="str">
        <f t="shared" si="95"/>
        <v/>
      </c>
      <c r="B1274" t="str">
        <f t="shared" si="96"/>
        <v/>
      </c>
      <c r="C1274" t="str">
        <f t="shared" si="97"/>
        <v/>
      </c>
      <c r="D1274" t="str">
        <f>IF(E1274="","",IF(COUNTIF($E$2:E1274,E1274)&gt;1,"",SUMIFS(tbl_input[필요수량],tbl_input[집계키_지청],E1274)))</f>
        <v/>
      </c>
      <c r="E1274" t="str">
        <f>IFERROR(INDEX(tbl_input[집계키_지청],ROW()-1),"")</f>
        <v/>
      </c>
      <c r="F1274" t="str">
        <f t="shared" si="98"/>
        <v/>
      </c>
      <c r="G1274" t="str">
        <f t="shared" si="99"/>
        <v/>
      </c>
    </row>
    <row r="1275" spans="1:7" x14ac:dyDescent="0.4">
      <c r="A1275" t="str">
        <f t="shared" si="95"/>
        <v/>
      </c>
      <c r="B1275" t="str">
        <f t="shared" si="96"/>
        <v/>
      </c>
      <c r="C1275" t="str">
        <f t="shared" si="97"/>
        <v/>
      </c>
      <c r="D1275" t="str">
        <f>IF(E1275="","",IF(COUNTIF($E$2:E1275,E1275)&gt;1,"",SUMIFS(tbl_input[필요수량],tbl_input[집계키_지청],E1275)))</f>
        <v/>
      </c>
      <c r="E1275" t="str">
        <f>IFERROR(INDEX(tbl_input[집계키_지청],ROW()-1),"")</f>
        <v/>
      </c>
      <c r="F1275" t="str">
        <f t="shared" si="98"/>
        <v/>
      </c>
      <c r="G1275" t="str">
        <f t="shared" si="99"/>
        <v/>
      </c>
    </row>
    <row r="1276" spans="1:7" x14ac:dyDescent="0.4">
      <c r="A1276" t="str">
        <f t="shared" si="95"/>
        <v/>
      </c>
      <c r="B1276" t="str">
        <f t="shared" si="96"/>
        <v/>
      </c>
      <c r="C1276" t="str">
        <f t="shared" si="97"/>
        <v/>
      </c>
      <c r="D1276" t="str">
        <f>IF(E1276="","",IF(COUNTIF($E$2:E1276,E1276)&gt;1,"",SUMIFS(tbl_input[필요수량],tbl_input[집계키_지청],E1276)))</f>
        <v/>
      </c>
      <c r="E1276" t="str">
        <f>IFERROR(INDEX(tbl_input[집계키_지청],ROW()-1),"")</f>
        <v/>
      </c>
      <c r="F1276" t="str">
        <f t="shared" si="98"/>
        <v/>
      </c>
      <c r="G1276" t="str">
        <f t="shared" si="99"/>
        <v/>
      </c>
    </row>
    <row r="1277" spans="1:7" x14ac:dyDescent="0.4">
      <c r="A1277" t="str">
        <f t="shared" si="95"/>
        <v/>
      </c>
      <c r="B1277" t="str">
        <f t="shared" si="96"/>
        <v/>
      </c>
      <c r="C1277" t="str">
        <f t="shared" si="97"/>
        <v/>
      </c>
      <c r="D1277" t="str">
        <f>IF(E1277="","",IF(COUNTIF($E$2:E1277,E1277)&gt;1,"",SUMIFS(tbl_input[필요수량],tbl_input[집계키_지청],E1277)))</f>
        <v/>
      </c>
      <c r="E1277" t="str">
        <f>IFERROR(INDEX(tbl_input[집계키_지청],ROW()-1),"")</f>
        <v/>
      </c>
      <c r="F1277" t="str">
        <f t="shared" si="98"/>
        <v/>
      </c>
      <c r="G1277" t="str">
        <f t="shared" si="99"/>
        <v/>
      </c>
    </row>
    <row r="1278" spans="1:7" x14ac:dyDescent="0.4">
      <c r="A1278" t="str">
        <f t="shared" si="95"/>
        <v/>
      </c>
      <c r="B1278" t="str">
        <f t="shared" si="96"/>
        <v/>
      </c>
      <c r="C1278" t="str">
        <f t="shared" si="97"/>
        <v/>
      </c>
      <c r="D1278" t="str">
        <f>IF(E1278="","",IF(COUNTIF($E$2:E1278,E1278)&gt;1,"",SUMIFS(tbl_input[필요수량],tbl_input[집계키_지청],E1278)))</f>
        <v/>
      </c>
      <c r="E1278" t="str">
        <f>IFERROR(INDEX(tbl_input[집계키_지청],ROW()-1),"")</f>
        <v/>
      </c>
      <c r="F1278" t="str">
        <f t="shared" si="98"/>
        <v/>
      </c>
      <c r="G1278" t="str">
        <f t="shared" si="99"/>
        <v/>
      </c>
    </row>
    <row r="1279" spans="1:7" x14ac:dyDescent="0.4">
      <c r="A1279" t="str">
        <f t="shared" si="95"/>
        <v/>
      </c>
      <c r="B1279" t="str">
        <f t="shared" si="96"/>
        <v/>
      </c>
      <c r="C1279" t="str">
        <f t="shared" si="97"/>
        <v/>
      </c>
      <c r="D1279" t="str">
        <f>IF(E1279="","",IF(COUNTIF($E$2:E1279,E1279)&gt;1,"",SUMIFS(tbl_input[필요수량],tbl_input[집계키_지청],E1279)))</f>
        <v/>
      </c>
      <c r="E1279" t="str">
        <f>IFERROR(INDEX(tbl_input[집계키_지청],ROW()-1),"")</f>
        <v/>
      </c>
      <c r="F1279" t="str">
        <f t="shared" si="98"/>
        <v/>
      </c>
      <c r="G1279" t="str">
        <f t="shared" si="99"/>
        <v/>
      </c>
    </row>
    <row r="1280" spans="1:7" x14ac:dyDescent="0.4">
      <c r="A1280" t="str">
        <f t="shared" si="95"/>
        <v/>
      </c>
      <c r="B1280" t="str">
        <f t="shared" si="96"/>
        <v/>
      </c>
      <c r="C1280" t="str">
        <f t="shared" si="97"/>
        <v/>
      </c>
      <c r="D1280" t="str">
        <f>IF(E1280="","",IF(COUNTIF($E$2:E1280,E1280)&gt;1,"",SUMIFS(tbl_input[필요수량],tbl_input[집계키_지청],E1280)))</f>
        <v/>
      </c>
      <c r="E1280" t="str">
        <f>IFERROR(INDEX(tbl_input[집계키_지청],ROW()-1),"")</f>
        <v/>
      </c>
      <c r="F1280" t="str">
        <f t="shared" si="98"/>
        <v/>
      </c>
      <c r="G1280" t="str">
        <f t="shared" si="99"/>
        <v/>
      </c>
    </row>
    <row r="1281" spans="1:7" x14ac:dyDescent="0.4">
      <c r="A1281" t="str">
        <f t="shared" si="95"/>
        <v/>
      </c>
      <c r="B1281" t="str">
        <f t="shared" si="96"/>
        <v/>
      </c>
      <c r="C1281" t="str">
        <f t="shared" si="97"/>
        <v/>
      </c>
      <c r="D1281" t="str">
        <f>IF(E1281="","",IF(COUNTIF($E$2:E1281,E1281)&gt;1,"",SUMIFS(tbl_input[필요수량],tbl_input[집계키_지청],E1281)))</f>
        <v/>
      </c>
      <c r="E1281" t="str">
        <f>IFERROR(INDEX(tbl_input[집계키_지청],ROW()-1),"")</f>
        <v/>
      </c>
      <c r="F1281" t="str">
        <f t="shared" si="98"/>
        <v/>
      </c>
      <c r="G1281" t="str">
        <f t="shared" si="99"/>
        <v/>
      </c>
    </row>
    <row r="1282" spans="1:7" x14ac:dyDescent="0.4">
      <c r="A1282" t="str">
        <f t="shared" ref="A1282:A1345" si="100">IF(E1282="","",LEFT(E1282,F1282-1))</f>
        <v/>
      </c>
      <c r="B1282" t="str">
        <f t="shared" ref="B1282:B1345" si="101">IF(E1282="","",MID(E1282,F1282+1,G1282-F1282-1))</f>
        <v/>
      </c>
      <c r="C1282" t="str">
        <f t="shared" ref="C1282:C1345" si="102">IF(E1282="","",MID(E1282,G1282+1,999))</f>
        <v/>
      </c>
      <c r="D1282" t="str">
        <f>IF(E1282="","",IF(COUNTIF($E$2:E1282,E1282)&gt;1,"",SUMIFS(tbl_input[필요수량],tbl_input[집계키_지청],E1282)))</f>
        <v/>
      </c>
      <c r="E1282" t="str">
        <f>IFERROR(INDEX(tbl_input[집계키_지청],ROW()-1),"")</f>
        <v/>
      </c>
      <c r="F1282" t="str">
        <f t="shared" ref="F1282:F1345" si="103">IF(E1282="","",FIND("♦",E1282))</f>
        <v/>
      </c>
      <c r="G1282" t="str">
        <f t="shared" ref="G1282:G1345" si="104">IF(E1282="","",FIND("♦",E1282,F1282+1))</f>
        <v/>
      </c>
    </row>
    <row r="1283" spans="1:7" x14ac:dyDescent="0.4">
      <c r="A1283" t="str">
        <f t="shared" si="100"/>
        <v/>
      </c>
      <c r="B1283" t="str">
        <f t="shared" si="101"/>
        <v/>
      </c>
      <c r="C1283" t="str">
        <f t="shared" si="102"/>
        <v/>
      </c>
      <c r="D1283" t="str">
        <f>IF(E1283="","",IF(COUNTIF($E$2:E1283,E1283)&gt;1,"",SUMIFS(tbl_input[필요수량],tbl_input[집계키_지청],E1283)))</f>
        <v/>
      </c>
      <c r="E1283" t="str">
        <f>IFERROR(INDEX(tbl_input[집계키_지청],ROW()-1),"")</f>
        <v/>
      </c>
      <c r="F1283" t="str">
        <f t="shared" si="103"/>
        <v/>
      </c>
      <c r="G1283" t="str">
        <f t="shared" si="104"/>
        <v/>
      </c>
    </row>
    <row r="1284" spans="1:7" x14ac:dyDescent="0.4">
      <c r="A1284" t="str">
        <f t="shared" si="100"/>
        <v/>
      </c>
      <c r="B1284" t="str">
        <f t="shared" si="101"/>
        <v/>
      </c>
      <c r="C1284" t="str">
        <f t="shared" si="102"/>
        <v/>
      </c>
      <c r="D1284" t="str">
        <f>IF(E1284="","",IF(COUNTIF($E$2:E1284,E1284)&gt;1,"",SUMIFS(tbl_input[필요수량],tbl_input[집계키_지청],E1284)))</f>
        <v/>
      </c>
      <c r="E1284" t="str">
        <f>IFERROR(INDEX(tbl_input[집계키_지청],ROW()-1),"")</f>
        <v/>
      </c>
      <c r="F1284" t="str">
        <f t="shared" si="103"/>
        <v/>
      </c>
      <c r="G1284" t="str">
        <f t="shared" si="104"/>
        <v/>
      </c>
    </row>
    <row r="1285" spans="1:7" x14ac:dyDescent="0.4">
      <c r="A1285" t="str">
        <f t="shared" si="100"/>
        <v/>
      </c>
      <c r="B1285" t="str">
        <f t="shared" si="101"/>
        <v/>
      </c>
      <c r="C1285" t="str">
        <f t="shared" si="102"/>
        <v/>
      </c>
      <c r="D1285" t="str">
        <f>IF(E1285="","",IF(COUNTIF($E$2:E1285,E1285)&gt;1,"",SUMIFS(tbl_input[필요수량],tbl_input[집계키_지청],E1285)))</f>
        <v/>
      </c>
      <c r="E1285" t="str">
        <f>IFERROR(INDEX(tbl_input[집계키_지청],ROW()-1),"")</f>
        <v/>
      </c>
      <c r="F1285" t="str">
        <f t="shared" si="103"/>
        <v/>
      </c>
      <c r="G1285" t="str">
        <f t="shared" si="104"/>
        <v/>
      </c>
    </row>
    <row r="1286" spans="1:7" x14ac:dyDescent="0.4">
      <c r="A1286" t="str">
        <f t="shared" si="100"/>
        <v/>
      </c>
      <c r="B1286" t="str">
        <f t="shared" si="101"/>
        <v/>
      </c>
      <c r="C1286" t="str">
        <f t="shared" si="102"/>
        <v/>
      </c>
      <c r="D1286" t="str">
        <f>IF(E1286="","",IF(COUNTIF($E$2:E1286,E1286)&gt;1,"",SUMIFS(tbl_input[필요수량],tbl_input[집계키_지청],E1286)))</f>
        <v/>
      </c>
      <c r="E1286" t="str">
        <f>IFERROR(INDEX(tbl_input[집계키_지청],ROW()-1),"")</f>
        <v/>
      </c>
      <c r="F1286" t="str">
        <f t="shared" si="103"/>
        <v/>
      </c>
      <c r="G1286" t="str">
        <f t="shared" si="104"/>
        <v/>
      </c>
    </row>
    <row r="1287" spans="1:7" x14ac:dyDescent="0.4">
      <c r="A1287" t="str">
        <f t="shared" si="100"/>
        <v/>
      </c>
      <c r="B1287" t="str">
        <f t="shared" si="101"/>
        <v/>
      </c>
      <c r="C1287" t="str">
        <f t="shared" si="102"/>
        <v/>
      </c>
      <c r="D1287" t="str">
        <f>IF(E1287="","",IF(COUNTIF($E$2:E1287,E1287)&gt;1,"",SUMIFS(tbl_input[필요수량],tbl_input[집계키_지청],E1287)))</f>
        <v/>
      </c>
      <c r="E1287" t="str">
        <f>IFERROR(INDEX(tbl_input[집계키_지청],ROW()-1),"")</f>
        <v/>
      </c>
      <c r="F1287" t="str">
        <f t="shared" si="103"/>
        <v/>
      </c>
      <c r="G1287" t="str">
        <f t="shared" si="104"/>
        <v/>
      </c>
    </row>
    <row r="1288" spans="1:7" x14ac:dyDescent="0.4">
      <c r="A1288" t="str">
        <f t="shared" si="100"/>
        <v/>
      </c>
      <c r="B1288" t="str">
        <f t="shared" si="101"/>
        <v/>
      </c>
      <c r="C1288" t="str">
        <f t="shared" si="102"/>
        <v/>
      </c>
      <c r="D1288" t="str">
        <f>IF(E1288="","",IF(COUNTIF($E$2:E1288,E1288)&gt;1,"",SUMIFS(tbl_input[필요수량],tbl_input[집계키_지청],E1288)))</f>
        <v/>
      </c>
      <c r="E1288" t="str">
        <f>IFERROR(INDEX(tbl_input[집계키_지청],ROW()-1),"")</f>
        <v/>
      </c>
      <c r="F1288" t="str">
        <f t="shared" si="103"/>
        <v/>
      </c>
      <c r="G1288" t="str">
        <f t="shared" si="104"/>
        <v/>
      </c>
    </row>
    <row r="1289" spans="1:7" x14ac:dyDescent="0.4">
      <c r="A1289" t="str">
        <f t="shared" si="100"/>
        <v/>
      </c>
      <c r="B1289" t="str">
        <f t="shared" si="101"/>
        <v/>
      </c>
      <c r="C1289" t="str">
        <f t="shared" si="102"/>
        <v/>
      </c>
      <c r="D1289" t="str">
        <f>IF(E1289="","",IF(COUNTIF($E$2:E1289,E1289)&gt;1,"",SUMIFS(tbl_input[필요수량],tbl_input[집계키_지청],E1289)))</f>
        <v/>
      </c>
      <c r="E1289" t="str">
        <f>IFERROR(INDEX(tbl_input[집계키_지청],ROW()-1),"")</f>
        <v/>
      </c>
      <c r="F1289" t="str">
        <f t="shared" si="103"/>
        <v/>
      </c>
      <c r="G1289" t="str">
        <f t="shared" si="104"/>
        <v/>
      </c>
    </row>
    <row r="1290" spans="1:7" x14ac:dyDescent="0.4">
      <c r="A1290" t="str">
        <f t="shared" si="100"/>
        <v/>
      </c>
      <c r="B1290" t="str">
        <f t="shared" si="101"/>
        <v/>
      </c>
      <c r="C1290" t="str">
        <f t="shared" si="102"/>
        <v/>
      </c>
      <c r="D1290" t="str">
        <f>IF(E1290="","",IF(COUNTIF($E$2:E1290,E1290)&gt;1,"",SUMIFS(tbl_input[필요수량],tbl_input[집계키_지청],E1290)))</f>
        <v/>
      </c>
      <c r="E1290" t="str">
        <f>IFERROR(INDEX(tbl_input[집계키_지청],ROW()-1),"")</f>
        <v/>
      </c>
      <c r="F1290" t="str">
        <f t="shared" si="103"/>
        <v/>
      </c>
      <c r="G1290" t="str">
        <f t="shared" si="104"/>
        <v/>
      </c>
    </row>
    <row r="1291" spans="1:7" x14ac:dyDescent="0.4">
      <c r="A1291" t="str">
        <f t="shared" si="100"/>
        <v/>
      </c>
      <c r="B1291" t="str">
        <f t="shared" si="101"/>
        <v/>
      </c>
      <c r="C1291" t="str">
        <f t="shared" si="102"/>
        <v/>
      </c>
      <c r="D1291" t="str">
        <f>IF(E1291="","",IF(COUNTIF($E$2:E1291,E1291)&gt;1,"",SUMIFS(tbl_input[필요수량],tbl_input[집계키_지청],E1291)))</f>
        <v/>
      </c>
      <c r="E1291" t="str">
        <f>IFERROR(INDEX(tbl_input[집계키_지청],ROW()-1),"")</f>
        <v/>
      </c>
      <c r="F1291" t="str">
        <f t="shared" si="103"/>
        <v/>
      </c>
      <c r="G1291" t="str">
        <f t="shared" si="104"/>
        <v/>
      </c>
    </row>
    <row r="1292" spans="1:7" x14ac:dyDescent="0.4">
      <c r="A1292" t="str">
        <f t="shared" si="100"/>
        <v/>
      </c>
      <c r="B1292" t="str">
        <f t="shared" si="101"/>
        <v/>
      </c>
      <c r="C1292" t="str">
        <f t="shared" si="102"/>
        <v/>
      </c>
      <c r="D1292" t="str">
        <f>IF(E1292="","",IF(COUNTIF($E$2:E1292,E1292)&gt;1,"",SUMIFS(tbl_input[필요수량],tbl_input[집계키_지청],E1292)))</f>
        <v/>
      </c>
      <c r="E1292" t="str">
        <f>IFERROR(INDEX(tbl_input[집계키_지청],ROW()-1),"")</f>
        <v/>
      </c>
      <c r="F1292" t="str">
        <f t="shared" si="103"/>
        <v/>
      </c>
      <c r="G1292" t="str">
        <f t="shared" si="104"/>
        <v/>
      </c>
    </row>
    <row r="1293" spans="1:7" x14ac:dyDescent="0.4">
      <c r="A1293" t="str">
        <f t="shared" si="100"/>
        <v/>
      </c>
      <c r="B1293" t="str">
        <f t="shared" si="101"/>
        <v/>
      </c>
      <c r="C1293" t="str">
        <f t="shared" si="102"/>
        <v/>
      </c>
      <c r="D1293" t="str">
        <f>IF(E1293="","",IF(COUNTIF($E$2:E1293,E1293)&gt;1,"",SUMIFS(tbl_input[필요수량],tbl_input[집계키_지청],E1293)))</f>
        <v/>
      </c>
      <c r="E1293" t="str">
        <f>IFERROR(INDEX(tbl_input[집계키_지청],ROW()-1),"")</f>
        <v/>
      </c>
      <c r="F1293" t="str">
        <f t="shared" si="103"/>
        <v/>
      </c>
      <c r="G1293" t="str">
        <f t="shared" si="104"/>
        <v/>
      </c>
    </row>
    <row r="1294" spans="1:7" x14ac:dyDescent="0.4">
      <c r="A1294" t="str">
        <f t="shared" si="100"/>
        <v/>
      </c>
      <c r="B1294" t="str">
        <f t="shared" si="101"/>
        <v/>
      </c>
      <c r="C1294" t="str">
        <f t="shared" si="102"/>
        <v/>
      </c>
      <c r="D1294" t="str">
        <f>IF(E1294="","",IF(COUNTIF($E$2:E1294,E1294)&gt;1,"",SUMIFS(tbl_input[필요수량],tbl_input[집계키_지청],E1294)))</f>
        <v/>
      </c>
      <c r="E1294" t="str">
        <f>IFERROR(INDEX(tbl_input[집계키_지청],ROW()-1),"")</f>
        <v/>
      </c>
      <c r="F1294" t="str">
        <f t="shared" si="103"/>
        <v/>
      </c>
      <c r="G1294" t="str">
        <f t="shared" si="104"/>
        <v/>
      </c>
    </row>
    <row r="1295" spans="1:7" x14ac:dyDescent="0.4">
      <c r="A1295" t="str">
        <f t="shared" si="100"/>
        <v/>
      </c>
      <c r="B1295" t="str">
        <f t="shared" si="101"/>
        <v/>
      </c>
      <c r="C1295" t="str">
        <f t="shared" si="102"/>
        <v/>
      </c>
      <c r="D1295" t="str">
        <f>IF(E1295="","",IF(COUNTIF($E$2:E1295,E1295)&gt;1,"",SUMIFS(tbl_input[필요수량],tbl_input[집계키_지청],E1295)))</f>
        <v/>
      </c>
      <c r="E1295" t="str">
        <f>IFERROR(INDEX(tbl_input[집계키_지청],ROW()-1),"")</f>
        <v/>
      </c>
      <c r="F1295" t="str">
        <f t="shared" si="103"/>
        <v/>
      </c>
      <c r="G1295" t="str">
        <f t="shared" si="104"/>
        <v/>
      </c>
    </row>
    <row r="1296" spans="1:7" x14ac:dyDescent="0.4">
      <c r="A1296" t="str">
        <f t="shared" si="100"/>
        <v/>
      </c>
      <c r="B1296" t="str">
        <f t="shared" si="101"/>
        <v/>
      </c>
      <c r="C1296" t="str">
        <f t="shared" si="102"/>
        <v/>
      </c>
      <c r="D1296" t="str">
        <f>IF(E1296="","",IF(COUNTIF($E$2:E1296,E1296)&gt;1,"",SUMIFS(tbl_input[필요수량],tbl_input[집계키_지청],E1296)))</f>
        <v/>
      </c>
      <c r="E1296" t="str">
        <f>IFERROR(INDEX(tbl_input[집계키_지청],ROW()-1),"")</f>
        <v/>
      </c>
      <c r="F1296" t="str">
        <f t="shared" si="103"/>
        <v/>
      </c>
      <c r="G1296" t="str">
        <f t="shared" si="104"/>
        <v/>
      </c>
    </row>
    <row r="1297" spans="1:7" x14ac:dyDescent="0.4">
      <c r="A1297" t="str">
        <f t="shared" si="100"/>
        <v/>
      </c>
      <c r="B1297" t="str">
        <f t="shared" si="101"/>
        <v/>
      </c>
      <c r="C1297" t="str">
        <f t="shared" si="102"/>
        <v/>
      </c>
      <c r="D1297" t="str">
        <f>IF(E1297="","",IF(COUNTIF($E$2:E1297,E1297)&gt;1,"",SUMIFS(tbl_input[필요수량],tbl_input[집계키_지청],E1297)))</f>
        <v/>
      </c>
      <c r="E1297" t="str">
        <f>IFERROR(INDEX(tbl_input[집계키_지청],ROW()-1),"")</f>
        <v/>
      </c>
      <c r="F1297" t="str">
        <f t="shared" si="103"/>
        <v/>
      </c>
      <c r="G1297" t="str">
        <f t="shared" si="104"/>
        <v/>
      </c>
    </row>
    <row r="1298" spans="1:7" x14ac:dyDescent="0.4">
      <c r="A1298" t="str">
        <f t="shared" si="100"/>
        <v/>
      </c>
      <c r="B1298" t="str">
        <f t="shared" si="101"/>
        <v/>
      </c>
      <c r="C1298" t="str">
        <f t="shared" si="102"/>
        <v/>
      </c>
      <c r="D1298" t="str">
        <f>IF(E1298="","",IF(COUNTIF($E$2:E1298,E1298)&gt;1,"",SUMIFS(tbl_input[필요수량],tbl_input[집계키_지청],E1298)))</f>
        <v/>
      </c>
      <c r="E1298" t="str">
        <f>IFERROR(INDEX(tbl_input[집계키_지청],ROW()-1),"")</f>
        <v/>
      </c>
      <c r="F1298" t="str">
        <f t="shared" si="103"/>
        <v/>
      </c>
      <c r="G1298" t="str">
        <f t="shared" si="104"/>
        <v/>
      </c>
    </row>
    <row r="1299" spans="1:7" x14ac:dyDescent="0.4">
      <c r="A1299" t="str">
        <f t="shared" si="100"/>
        <v/>
      </c>
      <c r="B1299" t="str">
        <f t="shared" si="101"/>
        <v/>
      </c>
      <c r="C1299" t="str">
        <f t="shared" si="102"/>
        <v/>
      </c>
      <c r="D1299" t="str">
        <f>IF(E1299="","",IF(COUNTIF($E$2:E1299,E1299)&gt;1,"",SUMIFS(tbl_input[필요수량],tbl_input[집계키_지청],E1299)))</f>
        <v/>
      </c>
      <c r="E1299" t="str">
        <f>IFERROR(INDEX(tbl_input[집계키_지청],ROW()-1),"")</f>
        <v/>
      </c>
      <c r="F1299" t="str">
        <f t="shared" si="103"/>
        <v/>
      </c>
      <c r="G1299" t="str">
        <f t="shared" si="104"/>
        <v/>
      </c>
    </row>
    <row r="1300" spans="1:7" x14ac:dyDescent="0.4">
      <c r="A1300" t="str">
        <f t="shared" si="100"/>
        <v/>
      </c>
      <c r="B1300" t="str">
        <f t="shared" si="101"/>
        <v/>
      </c>
      <c r="C1300" t="str">
        <f t="shared" si="102"/>
        <v/>
      </c>
      <c r="D1300" t="str">
        <f>IF(E1300="","",IF(COUNTIF($E$2:E1300,E1300)&gt;1,"",SUMIFS(tbl_input[필요수량],tbl_input[집계키_지청],E1300)))</f>
        <v/>
      </c>
      <c r="E1300" t="str">
        <f>IFERROR(INDEX(tbl_input[집계키_지청],ROW()-1),"")</f>
        <v/>
      </c>
      <c r="F1300" t="str">
        <f t="shared" si="103"/>
        <v/>
      </c>
      <c r="G1300" t="str">
        <f t="shared" si="104"/>
        <v/>
      </c>
    </row>
    <row r="1301" spans="1:7" x14ac:dyDescent="0.4">
      <c r="A1301" t="str">
        <f t="shared" si="100"/>
        <v/>
      </c>
      <c r="B1301" t="str">
        <f t="shared" si="101"/>
        <v/>
      </c>
      <c r="C1301" t="str">
        <f t="shared" si="102"/>
        <v/>
      </c>
      <c r="D1301" t="str">
        <f>IF(E1301="","",IF(COUNTIF($E$2:E1301,E1301)&gt;1,"",SUMIFS(tbl_input[필요수량],tbl_input[집계키_지청],E1301)))</f>
        <v/>
      </c>
      <c r="E1301" t="str">
        <f>IFERROR(INDEX(tbl_input[집계키_지청],ROW()-1),"")</f>
        <v/>
      </c>
      <c r="F1301" t="str">
        <f t="shared" si="103"/>
        <v/>
      </c>
      <c r="G1301" t="str">
        <f t="shared" si="104"/>
        <v/>
      </c>
    </row>
    <row r="1302" spans="1:7" x14ac:dyDescent="0.4">
      <c r="A1302" t="str">
        <f t="shared" si="100"/>
        <v/>
      </c>
      <c r="B1302" t="str">
        <f t="shared" si="101"/>
        <v/>
      </c>
      <c r="C1302" t="str">
        <f t="shared" si="102"/>
        <v/>
      </c>
      <c r="D1302" t="str">
        <f>IF(E1302="","",IF(COUNTIF($E$2:E1302,E1302)&gt;1,"",SUMIFS(tbl_input[필요수량],tbl_input[집계키_지청],E1302)))</f>
        <v/>
      </c>
      <c r="E1302" t="str">
        <f>IFERROR(INDEX(tbl_input[집계키_지청],ROW()-1),"")</f>
        <v/>
      </c>
      <c r="F1302" t="str">
        <f t="shared" si="103"/>
        <v/>
      </c>
      <c r="G1302" t="str">
        <f t="shared" si="104"/>
        <v/>
      </c>
    </row>
    <row r="1303" spans="1:7" x14ac:dyDescent="0.4">
      <c r="A1303" t="str">
        <f t="shared" si="100"/>
        <v/>
      </c>
      <c r="B1303" t="str">
        <f t="shared" si="101"/>
        <v/>
      </c>
      <c r="C1303" t="str">
        <f t="shared" si="102"/>
        <v/>
      </c>
      <c r="D1303" t="str">
        <f>IF(E1303="","",IF(COUNTIF($E$2:E1303,E1303)&gt;1,"",SUMIFS(tbl_input[필요수량],tbl_input[집계키_지청],E1303)))</f>
        <v/>
      </c>
      <c r="E1303" t="str">
        <f>IFERROR(INDEX(tbl_input[집계키_지청],ROW()-1),"")</f>
        <v/>
      </c>
      <c r="F1303" t="str">
        <f t="shared" si="103"/>
        <v/>
      </c>
      <c r="G1303" t="str">
        <f t="shared" si="104"/>
        <v/>
      </c>
    </row>
    <row r="1304" spans="1:7" x14ac:dyDescent="0.4">
      <c r="A1304" t="str">
        <f t="shared" si="100"/>
        <v/>
      </c>
      <c r="B1304" t="str">
        <f t="shared" si="101"/>
        <v/>
      </c>
      <c r="C1304" t="str">
        <f t="shared" si="102"/>
        <v/>
      </c>
      <c r="D1304" t="str">
        <f>IF(E1304="","",IF(COUNTIF($E$2:E1304,E1304)&gt;1,"",SUMIFS(tbl_input[필요수량],tbl_input[집계키_지청],E1304)))</f>
        <v/>
      </c>
      <c r="E1304" t="str">
        <f>IFERROR(INDEX(tbl_input[집계키_지청],ROW()-1),"")</f>
        <v/>
      </c>
      <c r="F1304" t="str">
        <f t="shared" si="103"/>
        <v/>
      </c>
      <c r="G1304" t="str">
        <f t="shared" si="104"/>
        <v/>
      </c>
    </row>
    <row r="1305" spans="1:7" x14ac:dyDescent="0.4">
      <c r="A1305" t="str">
        <f t="shared" si="100"/>
        <v/>
      </c>
      <c r="B1305" t="str">
        <f t="shared" si="101"/>
        <v/>
      </c>
      <c r="C1305" t="str">
        <f t="shared" si="102"/>
        <v/>
      </c>
      <c r="D1305" t="str">
        <f>IF(E1305="","",IF(COUNTIF($E$2:E1305,E1305)&gt;1,"",SUMIFS(tbl_input[필요수량],tbl_input[집계키_지청],E1305)))</f>
        <v/>
      </c>
      <c r="E1305" t="str">
        <f>IFERROR(INDEX(tbl_input[집계키_지청],ROW()-1),"")</f>
        <v/>
      </c>
      <c r="F1305" t="str">
        <f t="shared" si="103"/>
        <v/>
      </c>
      <c r="G1305" t="str">
        <f t="shared" si="104"/>
        <v/>
      </c>
    </row>
    <row r="1306" spans="1:7" x14ac:dyDescent="0.4">
      <c r="A1306" t="str">
        <f t="shared" si="100"/>
        <v/>
      </c>
      <c r="B1306" t="str">
        <f t="shared" si="101"/>
        <v/>
      </c>
      <c r="C1306" t="str">
        <f t="shared" si="102"/>
        <v/>
      </c>
      <c r="D1306" t="str">
        <f>IF(E1306="","",IF(COUNTIF($E$2:E1306,E1306)&gt;1,"",SUMIFS(tbl_input[필요수량],tbl_input[집계키_지청],E1306)))</f>
        <v/>
      </c>
      <c r="E1306" t="str">
        <f>IFERROR(INDEX(tbl_input[집계키_지청],ROW()-1),"")</f>
        <v/>
      </c>
      <c r="F1306" t="str">
        <f t="shared" si="103"/>
        <v/>
      </c>
      <c r="G1306" t="str">
        <f t="shared" si="104"/>
        <v/>
      </c>
    </row>
    <row r="1307" spans="1:7" x14ac:dyDescent="0.4">
      <c r="A1307" t="str">
        <f t="shared" si="100"/>
        <v/>
      </c>
      <c r="B1307" t="str">
        <f t="shared" si="101"/>
        <v/>
      </c>
      <c r="C1307" t="str">
        <f t="shared" si="102"/>
        <v/>
      </c>
      <c r="D1307" t="str">
        <f>IF(E1307="","",IF(COUNTIF($E$2:E1307,E1307)&gt;1,"",SUMIFS(tbl_input[필요수량],tbl_input[집계키_지청],E1307)))</f>
        <v/>
      </c>
      <c r="E1307" t="str">
        <f>IFERROR(INDEX(tbl_input[집계키_지청],ROW()-1),"")</f>
        <v/>
      </c>
      <c r="F1307" t="str">
        <f t="shared" si="103"/>
        <v/>
      </c>
      <c r="G1307" t="str">
        <f t="shared" si="104"/>
        <v/>
      </c>
    </row>
    <row r="1308" spans="1:7" x14ac:dyDescent="0.4">
      <c r="A1308" t="str">
        <f t="shared" si="100"/>
        <v/>
      </c>
      <c r="B1308" t="str">
        <f t="shared" si="101"/>
        <v/>
      </c>
      <c r="C1308" t="str">
        <f t="shared" si="102"/>
        <v/>
      </c>
      <c r="D1308" t="str">
        <f>IF(E1308="","",IF(COUNTIF($E$2:E1308,E1308)&gt;1,"",SUMIFS(tbl_input[필요수량],tbl_input[집계키_지청],E1308)))</f>
        <v/>
      </c>
      <c r="E1308" t="str">
        <f>IFERROR(INDEX(tbl_input[집계키_지청],ROW()-1),"")</f>
        <v/>
      </c>
      <c r="F1308" t="str">
        <f t="shared" si="103"/>
        <v/>
      </c>
      <c r="G1308" t="str">
        <f t="shared" si="104"/>
        <v/>
      </c>
    </row>
    <row r="1309" spans="1:7" x14ac:dyDescent="0.4">
      <c r="A1309" t="str">
        <f t="shared" si="100"/>
        <v/>
      </c>
      <c r="B1309" t="str">
        <f t="shared" si="101"/>
        <v/>
      </c>
      <c r="C1309" t="str">
        <f t="shared" si="102"/>
        <v/>
      </c>
      <c r="D1309" t="str">
        <f>IF(E1309="","",IF(COUNTIF($E$2:E1309,E1309)&gt;1,"",SUMIFS(tbl_input[필요수량],tbl_input[집계키_지청],E1309)))</f>
        <v/>
      </c>
      <c r="E1309" t="str">
        <f>IFERROR(INDEX(tbl_input[집계키_지청],ROW()-1),"")</f>
        <v/>
      </c>
      <c r="F1309" t="str">
        <f t="shared" si="103"/>
        <v/>
      </c>
      <c r="G1309" t="str">
        <f t="shared" si="104"/>
        <v/>
      </c>
    </row>
    <row r="1310" spans="1:7" x14ac:dyDescent="0.4">
      <c r="A1310" t="str">
        <f t="shared" si="100"/>
        <v/>
      </c>
      <c r="B1310" t="str">
        <f t="shared" si="101"/>
        <v/>
      </c>
      <c r="C1310" t="str">
        <f t="shared" si="102"/>
        <v/>
      </c>
      <c r="D1310" t="str">
        <f>IF(E1310="","",IF(COUNTIF($E$2:E1310,E1310)&gt;1,"",SUMIFS(tbl_input[필요수량],tbl_input[집계키_지청],E1310)))</f>
        <v/>
      </c>
      <c r="E1310" t="str">
        <f>IFERROR(INDEX(tbl_input[집계키_지청],ROW()-1),"")</f>
        <v/>
      </c>
      <c r="F1310" t="str">
        <f t="shared" si="103"/>
        <v/>
      </c>
      <c r="G1310" t="str">
        <f t="shared" si="104"/>
        <v/>
      </c>
    </row>
    <row r="1311" spans="1:7" x14ac:dyDescent="0.4">
      <c r="A1311" t="str">
        <f t="shared" si="100"/>
        <v/>
      </c>
      <c r="B1311" t="str">
        <f t="shared" si="101"/>
        <v/>
      </c>
      <c r="C1311" t="str">
        <f t="shared" si="102"/>
        <v/>
      </c>
      <c r="D1311" t="str">
        <f>IF(E1311="","",IF(COUNTIF($E$2:E1311,E1311)&gt;1,"",SUMIFS(tbl_input[필요수량],tbl_input[집계키_지청],E1311)))</f>
        <v/>
      </c>
      <c r="E1311" t="str">
        <f>IFERROR(INDEX(tbl_input[집계키_지청],ROW()-1),"")</f>
        <v/>
      </c>
      <c r="F1311" t="str">
        <f t="shared" si="103"/>
        <v/>
      </c>
      <c r="G1311" t="str">
        <f t="shared" si="104"/>
        <v/>
      </c>
    </row>
    <row r="1312" spans="1:7" x14ac:dyDescent="0.4">
      <c r="A1312" t="str">
        <f t="shared" si="100"/>
        <v/>
      </c>
      <c r="B1312" t="str">
        <f t="shared" si="101"/>
        <v/>
      </c>
      <c r="C1312" t="str">
        <f t="shared" si="102"/>
        <v/>
      </c>
      <c r="D1312" t="str">
        <f>IF(E1312="","",IF(COUNTIF($E$2:E1312,E1312)&gt;1,"",SUMIFS(tbl_input[필요수량],tbl_input[집계키_지청],E1312)))</f>
        <v/>
      </c>
      <c r="E1312" t="str">
        <f>IFERROR(INDEX(tbl_input[집계키_지청],ROW()-1),"")</f>
        <v/>
      </c>
      <c r="F1312" t="str">
        <f t="shared" si="103"/>
        <v/>
      </c>
      <c r="G1312" t="str">
        <f t="shared" si="104"/>
        <v/>
      </c>
    </row>
    <row r="1313" spans="1:7" x14ac:dyDescent="0.4">
      <c r="A1313" t="str">
        <f t="shared" si="100"/>
        <v/>
      </c>
      <c r="B1313" t="str">
        <f t="shared" si="101"/>
        <v/>
      </c>
      <c r="C1313" t="str">
        <f t="shared" si="102"/>
        <v/>
      </c>
      <c r="D1313" t="str">
        <f>IF(E1313="","",IF(COUNTIF($E$2:E1313,E1313)&gt;1,"",SUMIFS(tbl_input[필요수량],tbl_input[집계키_지청],E1313)))</f>
        <v/>
      </c>
      <c r="E1313" t="str">
        <f>IFERROR(INDEX(tbl_input[집계키_지청],ROW()-1),"")</f>
        <v/>
      </c>
      <c r="F1313" t="str">
        <f t="shared" si="103"/>
        <v/>
      </c>
      <c r="G1313" t="str">
        <f t="shared" si="104"/>
        <v/>
      </c>
    </row>
    <row r="1314" spans="1:7" x14ac:dyDescent="0.4">
      <c r="A1314" t="str">
        <f t="shared" si="100"/>
        <v/>
      </c>
      <c r="B1314" t="str">
        <f t="shared" si="101"/>
        <v/>
      </c>
      <c r="C1314" t="str">
        <f t="shared" si="102"/>
        <v/>
      </c>
      <c r="D1314" t="str">
        <f>IF(E1314="","",IF(COUNTIF($E$2:E1314,E1314)&gt;1,"",SUMIFS(tbl_input[필요수량],tbl_input[집계키_지청],E1314)))</f>
        <v/>
      </c>
      <c r="E1314" t="str">
        <f>IFERROR(INDEX(tbl_input[집계키_지청],ROW()-1),"")</f>
        <v/>
      </c>
      <c r="F1314" t="str">
        <f t="shared" si="103"/>
        <v/>
      </c>
      <c r="G1314" t="str">
        <f t="shared" si="104"/>
        <v/>
      </c>
    </row>
    <row r="1315" spans="1:7" x14ac:dyDescent="0.4">
      <c r="A1315" t="str">
        <f t="shared" si="100"/>
        <v/>
      </c>
      <c r="B1315" t="str">
        <f t="shared" si="101"/>
        <v/>
      </c>
      <c r="C1315" t="str">
        <f t="shared" si="102"/>
        <v/>
      </c>
      <c r="D1315" t="str">
        <f>IF(E1315="","",IF(COUNTIF($E$2:E1315,E1315)&gt;1,"",SUMIFS(tbl_input[필요수량],tbl_input[집계키_지청],E1315)))</f>
        <v/>
      </c>
      <c r="E1315" t="str">
        <f>IFERROR(INDEX(tbl_input[집계키_지청],ROW()-1),"")</f>
        <v/>
      </c>
      <c r="F1315" t="str">
        <f t="shared" si="103"/>
        <v/>
      </c>
      <c r="G1315" t="str">
        <f t="shared" si="104"/>
        <v/>
      </c>
    </row>
    <row r="1316" spans="1:7" x14ac:dyDescent="0.4">
      <c r="A1316" t="str">
        <f t="shared" si="100"/>
        <v/>
      </c>
      <c r="B1316" t="str">
        <f t="shared" si="101"/>
        <v/>
      </c>
      <c r="C1316" t="str">
        <f t="shared" si="102"/>
        <v/>
      </c>
      <c r="D1316" t="str">
        <f>IF(E1316="","",IF(COUNTIF($E$2:E1316,E1316)&gt;1,"",SUMIFS(tbl_input[필요수량],tbl_input[집계키_지청],E1316)))</f>
        <v/>
      </c>
      <c r="E1316" t="str">
        <f>IFERROR(INDEX(tbl_input[집계키_지청],ROW()-1),"")</f>
        <v/>
      </c>
      <c r="F1316" t="str">
        <f t="shared" si="103"/>
        <v/>
      </c>
      <c r="G1316" t="str">
        <f t="shared" si="104"/>
        <v/>
      </c>
    </row>
    <row r="1317" spans="1:7" x14ac:dyDescent="0.4">
      <c r="A1317" t="str">
        <f t="shared" si="100"/>
        <v/>
      </c>
      <c r="B1317" t="str">
        <f t="shared" si="101"/>
        <v/>
      </c>
      <c r="C1317" t="str">
        <f t="shared" si="102"/>
        <v/>
      </c>
      <c r="D1317" t="str">
        <f>IF(E1317="","",IF(COUNTIF($E$2:E1317,E1317)&gt;1,"",SUMIFS(tbl_input[필요수량],tbl_input[집계키_지청],E1317)))</f>
        <v/>
      </c>
      <c r="E1317" t="str">
        <f>IFERROR(INDEX(tbl_input[집계키_지청],ROW()-1),"")</f>
        <v/>
      </c>
      <c r="F1317" t="str">
        <f t="shared" si="103"/>
        <v/>
      </c>
      <c r="G1317" t="str">
        <f t="shared" si="104"/>
        <v/>
      </c>
    </row>
    <row r="1318" spans="1:7" x14ac:dyDescent="0.4">
      <c r="A1318" t="str">
        <f t="shared" si="100"/>
        <v/>
      </c>
      <c r="B1318" t="str">
        <f t="shared" si="101"/>
        <v/>
      </c>
      <c r="C1318" t="str">
        <f t="shared" si="102"/>
        <v/>
      </c>
      <c r="D1318" t="str">
        <f>IF(E1318="","",IF(COUNTIF($E$2:E1318,E1318)&gt;1,"",SUMIFS(tbl_input[필요수량],tbl_input[집계키_지청],E1318)))</f>
        <v/>
      </c>
      <c r="E1318" t="str">
        <f>IFERROR(INDEX(tbl_input[집계키_지청],ROW()-1),"")</f>
        <v/>
      </c>
      <c r="F1318" t="str">
        <f t="shared" si="103"/>
        <v/>
      </c>
      <c r="G1318" t="str">
        <f t="shared" si="104"/>
        <v/>
      </c>
    </row>
    <row r="1319" spans="1:7" x14ac:dyDescent="0.4">
      <c r="A1319" t="str">
        <f t="shared" si="100"/>
        <v/>
      </c>
      <c r="B1319" t="str">
        <f t="shared" si="101"/>
        <v/>
      </c>
      <c r="C1319" t="str">
        <f t="shared" si="102"/>
        <v/>
      </c>
      <c r="D1319" t="str">
        <f>IF(E1319="","",IF(COUNTIF($E$2:E1319,E1319)&gt;1,"",SUMIFS(tbl_input[필요수량],tbl_input[집계키_지청],E1319)))</f>
        <v/>
      </c>
      <c r="E1319" t="str">
        <f>IFERROR(INDEX(tbl_input[집계키_지청],ROW()-1),"")</f>
        <v/>
      </c>
      <c r="F1319" t="str">
        <f t="shared" si="103"/>
        <v/>
      </c>
      <c r="G1319" t="str">
        <f t="shared" si="104"/>
        <v/>
      </c>
    </row>
    <row r="1320" spans="1:7" x14ac:dyDescent="0.4">
      <c r="A1320" t="str">
        <f t="shared" si="100"/>
        <v/>
      </c>
      <c r="B1320" t="str">
        <f t="shared" si="101"/>
        <v/>
      </c>
      <c r="C1320" t="str">
        <f t="shared" si="102"/>
        <v/>
      </c>
      <c r="D1320" t="str">
        <f>IF(E1320="","",IF(COUNTIF($E$2:E1320,E1320)&gt;1,"",SUMIFS(tbl_input[필요수량],tbl_input[집계키_지청],E1320)))</f>
        <v/>
      </c>
      <c r="E1320" t="str">
        <f>IFERROR(INDEX(tbl_input[집계키_지청],ROW()-1),"")</f>
        <v/>
      </c>
      <c r="F1320" t="str">
        <f t="shared" si="103"/>
        <v/>
      </c>
      <c r="G1320" t="str">
        <f t="shared" si="104"/>
        <v/>
      </c>
    </row>
    <row r="1321" spans="1:7" x14ac:dyDescent="0.4">
      <c r="A1321" t="str">
        <f t="shared" si="100"/>
        <v/>
      </c>
      <c r="B1321" t="str">
        <f t="shared" si="101"/>
        <v/>
      </c>
      <c r="C1321" t="str">
        <f t="shared" si="102"/>
        <v/>
      </c>
      <c r="D1321" t="str">
        <f>IF(E1321="","",IF(COUNTIF($E$2:E1321,E1321)&gt;1,"",SUMIFS(tbl_input[필요수량],tbl_input[집계키_지청],E1321)))</f>
        <v/>
      </c>
      <c r="E1321" t="str">
        <f>IFERROR(INDEX(tbl_input[집계키_지청],ROW()-1),"")</f>
        <v/>
      </c>
      <c r="F1321" t="str">
        <f t="shared" si="103"/>
        <v/>
      </c>
      <c r="G1321" t="str">
        <f t="shared" si="104"/>
        <v/>
      </c>
    </row>
    <row r="1322" spans="1:7" x14ac:dyDescent="0.4">
      <c r="A1322" t="str">
        <f t="shared" si="100"/>
        <v/>
      </c>
      <c r="B1322" t="str">
        <f t="shared" si="101"/>
        <v/>
      </c>
      <c r="C1322" t="str">
        <f t="shared" si="102"/>
        <v/>
      </c>
      <c r="D1322" t="str">
        <f>IF(E1322="","",IF(COUNTIF($E$2:E1322,E1322)&gt;1,"",SUMIFS(tbl_input[필요수량],tbl_input[집계키_지청],E1322)))</f>
        <v/>
      </c>
      <c r="E1322" t="str">
        <f>IFERROR(INDEX(tbl_input[집계키_지청],ROW()-1),"")</f>
        <v/>
      </c>
      <c r="F1322" t="str">
        <f t="shared" si="103"/>
        <v/>
      </c>
      <c r="G1322" t="str">
        <f t="shared" si="104"/>
        <v/>
      </c>
    </row>
    <row r="1323" spans="1:7" x14ac:dyDescent="0.4">
      <c r="A1323" t="str">
        <f t="shared" si="100"/>
        <v/>
      </c>
      <c r="B1323" t="str">
        <f t="shared" si="101"/>
        <v/>
      </c>
      <c r="C1323" t="str">
        <f t="shared" si="102"/>
        <v/>
      </c>
      <c r="D1323" t="str">
        <f>IF(E1323="","",IF(COUNTIF($E$2:E1323,E1323)&gt;1,"",SUMIFS(tbl_input[필요수량],tbl_input[집계키_지청],E1323)))</f>
        <v/>
      </c>
      <c r="E1323" t="str">
        <f>IFERROR(INDEX(tbl_input[집계키_지청],ROW()-1),"")</f>
        <v/>
      </c>
      <c r="F1323" t="str">
        <f t="shared" si="103"/>
        <v/>
      </c>
      <c r="G1323" t="str">
        <f t="shared" si="104"/>
        <v/>
      </c>
    </row>
    <row r="1324" spans="1:7" x14ac:dyDescent="0.4">
      <c r="A1324" t="str">
        <f t="shared" si="100"/>
        <v/>
      </c>
      <c r="B1324" t="str">
        <f t="shared" si="101"/>
        <v/>
      </c>
      <c r="C1324" t="str">
        <f t="shared" si="102"/>
        <v/>
      </c>
      <c r="D1324" t="str">
        <f>IF(E1324="","",IF(COUNTIF($E$2:E1324,E1324)&gt;1,"",SUMIFS(tbl_input[필요수량],tbl_input[집계키_지청],E1324)))</f>
        <v/>
      </c>
      <c r="E1324" t="str">
        <f>IFERROR(INDEX(tbl_input[집계키_지청],ROW()-1),"")</f>
        <v/>
      </c>
      <c r="F1324" t="str">
        <f t="shared" si="103"/>
        <v/>
      </c>
      <c r="G1324" t="str">
        <f t="shared" si="104"/>
        <v/>
      </c>
    </row>
    <row r="1325" spans="1:7" x14ac:dyDescent="0.4">
      <c r="A1325" t="str">
        <f t="shared" si="100"/>
        <v/>
      </c>
      <c r="B1325" t="str">
        <f t="shared" si="101"/>
        <v/>
      </c>
      <c r="C1325" t="str">
        <f t="shared" si="102"/>
        <v/>
      </c>
      <c r="D1325" t="str">
        <f>IF(E1325="","",IF(COUNTIF($E$2:E1325,E1325)&gt;1,"",SUMIFS(tbl_input[필요수량],tbl_input[집계키_지청],E1325)))</f>
        <v/>
      </c>
      <c r="E1325" t="str">
        <f>IFERROR(INDEX(tbl_input[집계키_지청],ROW()-1),"")</f>
        <v/>
      </c>
      <c r="F1325" t="str">
        <f t="shared" si="103"/>
        <v/>
      </c>
      <c r="G1325" t="str">
        <f t="shared" si="104"/>
        <v/>
      </c>
    </row>
    <row r="1326" spans="1:7" x14ac:dyDescent="0.4">
      <c r="A1326" t="str">
        <f t="shared" si="100"/>
        <v/>
      </c>
      <c r="B1326" t="str">
        <f t="shared" si="101"/>
        <v/>
      </c>
      <c r="C1326" t="str">
        <f t="shared" si="102"/>
        <v/>
      </c>
      <c r="D1326" t="str">
        <f>IF(E1326="","",IF(COUNTIF($E$2:E1326,E1326)&gt;1,"",SUMIFS(tbl_input[필요수량],tbl_input[집계키_지청],E1326)))</f>
        <v/>
      </c>
      <c r="E1326" t="str">
        <f>IFERROR(INDEX(tbl_input[집계키_지청],ROW()-1),"")</f>
        <v/>
      </c>
      <c r="F1326" t="str">
        <f t="shared" si="103"/>
        <v/>
      </c>
      <c r="G1326" t="str">
        <f t="shared" si="104"/>
        <v/>
      </c>
    </row>
    <row r="1327" spans="1:7" x14ac:dyDescent="0.4">
      <c r="A1327" t="str">
        <f t="shared" si="100"/>
        <v/>
      </c>
      <c r="B1327" t="str">
        <f t="shared" si="101"/>
        <v/>
      </c>
      <c r="C1327" t="str">
        <f t="shared" si="102"/>
        <v/>
      </c>
      <c r="D1327" t="str">
        <f>IF(E1327="","",IF(COUNTIF($E$2:E1327,E1327)&gt;1,"",SUMIFS(tbl_input[필요수량],tbl_input[집계키_지청],E1327)))</f>
        <v/>
      </c>
      <c r="E1327" t="str">
        <f>IFERROR(INDEX(tbl_input[집계키_지청],ROW()-1),"")</f>
        <v/>
      </c>
      <c r="F1327" t="str">
        <f t="shared" si="103"/>
        <v/>
      </c>
      <c r="G1327" t="str">
        <f t="shared" si="104"/>
        <v/>
      </c>
    </row>
    <row r="1328" spans="1:7" x14ac:dyDescent="0.4">
      <c r="A1328" t="str">
        <f t="shared" si="100"/>
        <v/>
      </c>
      <c r="B1328" t="str">
        <f t="shared" si="101"/>
        <v/>
      </c>
      <c r="C1328" t="str">
        <f t="shared" si="102"/>
        <v/>
      </c>
      <c r="D1328" t="str">
        <f>IF(E1328="","",IF(COUNTIF($E$2:E1328,E1328)&gt;1,"",SUMIFS(tbl_input[필요수량],tbl_input[집계키_지청],E1328)))</f>
        <v/>
      </c>
      <c r="E1328" t="str">
        <f>IFERROR(INDEX(tbl_input[집계키_지청],ROW()-1),"")</f>
        <v/>
      </c>
      <c r="F1328" t="str">
        <f t="shared" si="103"/>
        <v/>
      </c>
      <c r="G1328" t="str">
        <f t="shared" si="104"/>
        <v/>
      </c>
    </row>
    <row r="1329" spans="1:7" x14ac:dyDescent="0.4">
      <c r="A1329" t="str">
        <f t="shared" si="100"/>
        <v/>
      </c>
      <c r="B1329" t="str">
        <f t="shared" si="101"/>
        <v/>
      </c>
      <c r="C1329" t="str">
        <f t="shared" si="102"/>
        <v/>
      </c>
      <c r="D1329" t="str">
        <f>IF(E1329="","",IF(COUNTIF($E$2:E1329,E1329)&gt;1,"",SUMIFS(tbl_input[필요수량],tbl_input[집계키_지청],E1329)))</f>
        <v/>
      </c>
      <c r="E1329" t="str">
        <f>IFERROR(INDEX(tbl_input[집계키_지청],ROW()-1),"")</f>
        <v/>
      </c>
      <c r="F1329" t="str">
        <f t="shared" si="103"/>
        <v/>
      </c>
      <c r="G1329" t="str">
        <f t="shared" si="104"/>
        <v/>
      </c>
    </row>
    <row r="1330" spans="1:7" x14ac:dyDescent="0.4">
      <c r="A1330" t="str">
        <f t="shared" si="100"/>
        <v/>
      </c>
      <c r="B1330" t="str">
        <f t="shared" si="101"/>
        <v/>
      </c>
      <c r="C1330" t="str">
        <f t="shared" si="102"/>
        <v/>
      </c>
      <c r="D1330" t="str">
        <f>IF(E1330="","",IF(COUNTIF($E$2:E1330,E1330)&gt;1,"",SUMIFS(tbl_input[필요수량],tbl_input[집계키_지청],E1330)))</f>
        <v/>
      </c>
      <c r="E1330" t="str">
        <f>IFERROR(INDEX(tbl_input[집계키_지청],ROW()-1),"")</f>
        <v/>
      </c>
      <c r="F1330" t="str">
        <f t="shared" si="103"/>
        <v/>
      </c>
      <c r="G1330" t="str">
        <f t="shared" si="104"/>
        <v/>
      </c>
    </row>
    <row r="1331" spans="1:7" x14ac:dyDescent="0.4">
      <c r="A1331" t="str">
        <f t="shared" si="100"/>
        <v/>
      </c>
      <c r="B1331" t="str">
        <f t="shared" si="101"/>
        <v/>
      </c>
      <c r="C1331" t="str">
        <f t="shared" si="102"/>
        <v/>
      </c>
      <c r="D1331" t="str">
        <f>IF(E1331="","",IF(COUNTIF($E$2:E1331,E1331)&gt;1,"",SUMIFS(tbl_input[필요수량],tbl_input[집계키_지청],E1331)))</f>
        <v/>
      </c>
      <c r="E1331" t="str">
        <f>IFERROR(INDEX(tbl_input[집계키_지청],ROW()-1),"")</f>
        <v/>
      </c>
      <c r="F1331" t="str">
        <f t="shared" si="103"/>
        <v/>
      </c>
      <c r="G1331" t="str">
        <f t="shared" si="104"/>
        <v/>
      </c>
    </row>
    <row r="1332" spans="1:7" x14ac:dyDescent="0.4">
      <c r="A1332" t="str">
        <f t="shared" si="100"/>
        <v/>
      </c>
      <c r="B1332" t="str">
        <f t="shared" si="101"/>
        <v/>
      </c>
      <c r="C1332" t="str">
        <f t="shared" si="102"/>
        <v/>
      </c>
      <c r="D1332" t="str">
        <f>IF(E1332="","",IF(COUNTIF($E$2:E1332,E1332)&gt;1,"",SUMIFS(tbl_input[필요수량],tbl_input[집계키_지청],E1332)))</f>
        <v/>
      </c>
      <c r="E1332" t="str">
        <f>IFERROR(INDEX(tbl_input[집계키_지청],ROW()-1),"")</f>
        <v/>
      </c>
      <c r="F1332" t="str">
        <f t="shared" si="103"/>
        <v/>
      </c>
      <c r="G1332" t="str">
        <f t="shared" si="104"/>
        <v/>
      </c>
    </row>
    <row r="1333" spans="1:7" x14ac:dyDescent="0.4">
      <c r="A1333" t="str">
        <f t="shared" si="100"/>
        <v/>
      </c>
      <c r="B1333" t="str">
        <f t="shared" si="101"/>
        <v/>
      </c>
      <c r="C1333" t="str">
        <f t="shared" si="102"/>
        <v/>
      </c>
      <c r="D1333" t="str">
        <f>IF(E1333="","",IF(COUNTIF($E$2:E1333,E1333)&gt;1,"",SUMIFS(tbl_input[필요수량],tbl_input[집계키_지청],E1333)))</f>
        <v/>
      </c>
      <c r="E1333" t="str">
        <f>IFERROR(INDEX(tbl_input[집계키_지청],ROW()-1),"")</f>
        <v/>
      </c>
      <c r="F1333" t="str">
        <f t="shared" si="103"/>
        <v/>
      </c>
      <c r="G1333" t="str">
        <f t="shared" si="104"/>
        <v/>
      </c>
    </row>
    <row r="1334" spans="1:7" x14ac:dyDescent="0.4">
      <c r="A1334" t="str">
        <f t="shared" si="100"/>
        <v/>
      </c>
      <c r="B1334" t="str">
        <f t="shared" si="101"/>
        <v/>
      </c>
      <c r="C1334" t="str">
        <f t="shared" si="102"/>
        <v/>
      </c>
      <c r="D1334" t="str">
        <f>IF(E1334="","",IF(COUNTIF($E$2:E1334,E1334)&gt;1,"",SUMIFS(tbl_input[필요수량],tbl_input[집계키_지청],E1334)))</f>
        <v/>
      </c>
      <c r="E1334" t="str">
        <f>IFERROR(INDEX(tbl_input[집계키_지청],ROW()-1),"")</f>
        <v/>
      </c>
      <c r="F1334" t="str">
        <f t="shared" si="103"/>
        <v/>
      </c>
      <c r="G1334" t="str">
        <f t="shared" si="104"/>
        <v/>
      </c>
    </row>
    <row r="1335" spans="1:7" x14ac:dyDescent="0.4">
      <c r="A1335" t="str">
        <f t="shared" si="100"/>
        <v/>
      </c>
      <c r="B1335" t="str">
        <f t="shared" si="101"/>
        <v/>
      </c>
      <c r="C1335" t="str">
        <f t="shared" si="102"/>
        <v/>
      </c>
      <c r="D1335" t="str">
        <f>IF(E1335="","",IF(COUNTIF($E$2:E1335,E1335)&gt;1,"",SUMIFS(tbl_input[필요수량],tbl_input[집계키_지청],E1335)))</f>
        <v/>
      </c>
      <c r="E1335" t="str">
        <f>IFERROR(INDEX(tbl_input[집계키_지청],ROW()-1),"")</f>
        <v/>
      </c>
      <c r="F1335" t="str">
        <f t="shared" si="103"/>
        <v/>
      </c>
      <c r="G1335" t="str">
        <f t="shared" si="104"/>
        <v/>
      </c>
    </row>
    <row r="1336" spans="1:7" x14ac:dyDescent="0.4">
      <c r="A1336" t="str">
        <f t="shared" si="100"/>
        <v/>
      </c>
      <c r="B1336" t="str">
        <f t="shared" si="101"/>
        <v/>
      </c>
      <c r="C1336" t="str">
        <f t="shared" si="102"/>
        <v/>
      </c>
      <c r="D1336" t="str">
        <f>IF(E1336="","",IF(COUNTIF($E$2:E1336,E1336)&gt;1,"",SUMIFS(tbl_input[필요수량],tbl_input[집계키_지청],E1336)))</f>
        <v/>
      </c>
      <c r="E1336" t="str">
        <f>IFERROR(INDEX(tbl_input[집계키_지청],ROW()-1),"")</f>
        <v/>
      </c>
      <c r="F1336" t="str">
        <f t="shared" si="103"/>
        <v/>
      </c>
      <c r="G1336" t="str">
        <f t="shared" si="104"/>
        <v/>
      </c>
    </row>
    <row r="1337" spans="1:7" x14ac:dyDescent="0.4">
      <c r="A1337" t="str">
        <f t="shared" si="100"/>
        <v/>
      </c>
      <c r="B1337" t="str">
        <f t="shared" si="101"/>
        <v/>
      </c>
      <c r="C1337" t="str">
        <f t="shared" si="102"/>
        <v/>
      </c>
      <c r="D1337" t="str">
        <f>IF(E1337="","",IF(COUNTIF($E$2:E1337,E1337)&gt;1,"",SUMIFS(tbl_input[필요수량],tbl_input[집계키_지청],E1337)))</f>
        <v/>
      </c>
      <c r="E1337" t="str">
        <f>IFERROR(INDEX(tbl_input[집계키_지청],ROW()-1),"")</f>
        <v/>
      </c>
      <c r="F1337" t="str">
        <f t="shared" si="103"/>
        <v/>
      </c>
      <c r="G1337" t="str">
        <f t="shared" si="104"/>
        <v/>
      </c>
    </row>
    <row r="1338" spans="1:7" x14ac:dyDescent="0.4">
      <c r="A1338" t="str">
        <f t="shared" si="100"/>
        <v/>
      </c>
      <c r="B1338" t="str">
        <f t="shared" si="101"/>
        <v/>
      </c>
      <c r="C1338" t="str">
        <f t="shared" si="102"/>
        <v/>
      </c>
      <c r="D1338" t="str">
        <f>IF(E1338="","",IF(COUNTIF($E$2:E1338,E1338)&gt;1,"",SUMIFS(tbl_input[필요수량],tbl_input[집계키_지청],E1338)))</f>
        <v/>
      </c>
      <c r="E1338" t="str">
        <f>IFERROR(INDEX(tbl_input[집계키_지청],ROW()-1),"")</f>
        <v/>
      </c>
      <c r="F1338" t="str">
        <f t="shared" si="103"/>
        <v/>
      </c>
      <c r="G1338" t="str">
        <f t="shared" si="104"/>
        <v/>
      </c>
    </row>
    <row r="1339" spans="1:7" x14ac:dyDescent="0.4">
      <c r="A1339" t="str">
        <f t="shared" si="100"/>
        <v/>
      </c>
      <c r="B1339" t="str">
        <f t="shared" si="101"/>
        <v/>
      </c>
      <c r="C1339" t="str">
        <f t="shared" si="102"/>
        <v/>
      </c>
      <c r="D1339" t="str">
        <f>IF(E1339="","",IF(COUNTIF($E$2:E1339,E1339)&gt;1,"",SUMIFS(tbl_input[필요수량],tbl_input[집계키_지청],E1339)))</f>
        <v/>
      </c>
      <c r="E1339" t="str">
        <f>IFERROR(INDEX(tbl_input[집계키_지청],ROW()-1),"")</f>
        <v/>
      </c>
      <c r="F1339" t="str">
        <f t="shared" si="103"/>
        <v/>
      </c>
      <c r="G1339" t="str">
        <f t="shared" si="104"/>
        <v/>
      </c>
    </row>
    <row r="1340" spans="1:7" x14ac:dyDescent="0.4">
      <c r="A1340" t="str">
        <f t="shared" si="100"/>
        <v/>
      </c>
      <c r="B1340" t="str">
        <f t="shared" si="101"/>
        <v/>
      </c>
      <c r="C1340" t="str">
        <f t="shared" si="102"/>
        <v/>
      </c>
      <c r="D1340" t="str">
        <f>IF(E1340="","",IF(COUNTIF($E$2:E1340,E1340)&gt;1,"",SUMIFS(tbl_input[필요수량],tbl_input[집계키_지청],E1340)))</f>
        <v/>
      </c>
      <c r="E1340" t="str">
        <f>IFERROR(INDEX(tbl_input[집계키_지청],ROW()-1),"")</f>
        <v/>
      </c>
      <c r="F1340" t="str">
        <f t="shared" si="103"/>
        <v/>
      </c>
      <c r="G1340" t="str">
        <f t="shared" si="104"/>
        <v/>
      </c>
    </row>
    <row r="1341" spans="1:7" x14ac:dyDescent="0.4">
      <c r="A1341" t="str">
        <f t="shared" si="100"/>
        <v/>
      </c>
      <c r="B1341" t="str">
        <f t="shared" si="101"/>
        <v/>
      </c>
      <c r="C1341" t="str">
        <f t="shared" si="102"/>
        <v/>
      </c>
      <c r="D1341" t="str">
        <f>IF(E1341="","",IF(COUNTIF($E$2:E1341,E1341)&gt;1,"",SUMIFS(tbl_input[필요수량],tbl_input[집계키_지청],E1341)))</f>
        <v/>
      </c>
      <c r="E1341" t="str">
        <f>IFERROR(INDEX(tbl_input[집계키_지청],ROW()-1),"")</f>
        <v/>
      </c>
      <c r="F1341" t="str">
        <f t="shared" si="103"/>
        <v/>
      </c>
      <c r="G1341" t="str">
        <f t="shared" si="104"/>
        <v/>
      </c>
    </row>
    <row r="1342" spans="1:7" x14ac:dyDescent="0.4">
      <c r="A1342" t="str">
        <f t="shared" si="100"/>
        <v/>
      </c>
      <c r="B1342" t="str">
        <f t="shared" si="101"/>
        <v/>
      </c>
      <c r="C1342" t="str">
        <f t="shared" si="102"/>
        <v/>
      </c>
      <c r="D1342" t="str">
        <f>IF(E1342="","",IF(COUNTIF($E$2:E1342,E1342)&gt;1,"",SUMIFS(tbl_input[필요수량],tbl_input[집계키_지청],E1342)))</f>
        <v/>
      </c>
      <c r="E1342" t="str">
        <f>IFERROR(INDEX(tbl_input[집계키_지청],ROW()-1),"")</f>
        <v/>
      </c>
      <c r="F1342" t="str">
        <f t="shared" si="103"/>
        <v/>
      </c>
      <c r="G1342" t="str">
        <f t="shared" si="104"/>
        <v/>
      </c>
    </row>
    <row r="1343" spans="1:7" x14ac:dyDescent="0.4">
      <c r="A1343" t="str">
        <f t="shared" si="100"/>
        <v/>
      </c>
      <c r="B1343" t="str">
        <f t="shared" si="101"/>
        <v/>
      </c>
      <c r="C1343" t="str">
        <f t="shared" si="102"/>
        <v/>
      </c>
      <c r="D1343" t="str">
        <f>IF(E1343="","",IF(COUNTIF($E$2:E1343,E1343)&gt;1,"",SUMIFS(tbl_input[필요수량],tbl_input[집계키_지청],E1343)))</f>
        <v/>
      </c>
      <c r="E1343" t="str">
        <f>IFERROR(INDEX(tbl_input[집계키_지청],ROW()-1),"")</f>
        <v/>
      </c>
      <c r="F1343" t="str">
        <f t="shared" si="103"/>
        <v/>
      </c>
      <c r="G1343" t="str">
        <f t="shared" si="104"/>
        <v/>
      </c>
    </row>
    <row r="1344" spans="1:7" x14ac:dyDescent="0.4">
      <c r="A1344" t="str">
        <f t="shared" si="100"/>
        <v/>
      </c>
      <c r="B1344" t="str">
        <f t="shared" si="101"/>
        <v/>
      </c>
      <c r="C1344" t="str">
        <f t="shared" si="102"/>
        <v/>
      </c>
      <c r="D1344" t="str">
        <f>IF(E1344="","",IF(COUNTIF($E$2:E1344,E1344)&gt;1,"",SUMIFS(tbl_input[필요수량],tbl_input[집계키_지청],E1344)))</f>
        <v/>
      </c>
      <c r="E1344" t="str">
        <f>IFERROR(INDEX(tbl_input[집계키_지청],ROW()-1),"")</f>
        <v/>
      </c>
      <c r="F1344" t="str">
        <f t="shared" si="103"/>
        <v/>
      </c>
      <c r="G1344" t="str">
        <f t="shared" si="104"/>
        <v/>
      </c>
    </row>
    <row r="1345" spans="1:7" x14ac:dyDescent="0.4">
      <c r="A1345" t="str">
        <f t="shared" si="100"/>
        <v/>
      </c>
      <c r="B1345" t="str">
        <f t="shared" si="101"/>
        <v/>
      </c>
      <c r="C1345" t="str">
        <f t="shared" si="102"/>
        <v/>
      </c>
      <c r="D1345" t="str">
        <f>IF(E1345="","",IF(COUNTIF($E$2:E1345,E1345)&gt;1,"",SUMIFS(tbl_input[필요수량],tbl_input[집계키_지청],E1345)))</f>
        <v/>
      </c>
      <c r="E1345" t="str">
        <f>IFERROR(INDEX(tbl_input[집계키_지청],ROW()-1),"")</f>
        <v/>
      </c>
      <c r="F1345" t="str">
        <f t="shared" si="103"/>
        <v/>
      </c>
      <c r="G1345" t="str">
        <f t="shared" si="104"/>
        <v/>
      </c>
    </row>
    <row r="1346" spans="1:7" x14ac:dyDescent="0.4">
      <c r="A1346" t="str">
        <f t="shared" ref="A1346:A1409" si="105">IF(E1346="","",LEFT(E1346,F1346-1))</f>
        <v/>
      </c>
      <c r="B1346" t="str">
        <f t="shared" ref="B1346:B1409" si="106">IF(E1346="","",MID(E1346,F1346+1,G1346-F1346-1))</f>
        <v/>
      </c>
      <c r="C1346" t="str">
        <f t="shared" ref="C1346:C1409" si="107">IF(E1346="","",MID(E1346,G1346+1,999))</f>
        <v/>
      </c>
      <c r="D1346" t="str">
        <f>IF(E1346="","",IF(COUNTIF($E$2:E1346,E1346)&gt;1,"",SUMIFS(tbl_input[필요수량],tbl_input[집계키_지청],E1346)))</f>
        <v/>
      </c>
      <c r="E1346" t="str">
        <f>IFERROR(INDEX(tbl_input[집계키_지청],ROW()-1),"")</f>
        <v/>
      </c>
      <c r="F1346" t="str">
        <f t="shared" ref="F1346:F1409" si="108">IF(E1346="","",FIND("♦",E1346))</f>
        <v/>
      </c>
      <c r="G1346" t="str">
        <f t="shared" ref="G1346:G1409" si="109">IF(E1346="","",FIND("♦",E1346,F1346+1))</f>
        <v/>
      </c>
    </row>
    <row r="1347" spans="1:7" x14ac:dyDescent="0.4">
      <c r="A1347" t="str">
        <f t="shared" si="105"/>
        <v/>
      </c>
      <c r="B1347" t="str">
        <f t="shared" si="106"/>
        <v/>
      </c>
      <c r="C1347" t="str">
        <f t="shared" si="107"/>
        <v/>
      </c>
      <c r="D1347" t="str">
        <f>IF(E1347="","",IF(COUNTIF($E$2:E1347,E1347)&gt;1,"",SUMIFS(tbl_input[필요수량],tbl_input[집계키_지청],E1347)))</f>
        <v/>
      </c>
      <c r="E1347" t="str">
        <f>IFERROR(INDEX(tbl_input[집계키_지청],ROW()-1),"")</f>
        <v/>
      </c>
      <c r="F1347" t="str">
        <f t="shared" si="108"/>
        <v/>
      </c>
      <c r="G1347" t="str">
        <f t="shared" si="109"/>
        <v/>
      </c>
    </row>
    <row r="1348" spans="1:7" x14ac:dyDescent="0.4">
      <c r="A1348" t="str">
        <f t="shared" si="105"/>
        <v/>
      </c>
      <c r="B1348" t="str">
        <f t="shared" si="106"/>
        <v/>
      </c>
      <c r="C1348" t="str">
        <f t="shared" si="107"/>
        <v/>
      </c>
      <c r="D1348" t="str">
        <f>IF(E1348="","",IF(COUNTIF($E$2:E1348,E1348)&gt;1,"",SUMIFS(tbl_input[필요수량],tbl_input[집계키_지청],E1348)))</f>
        <v/>
      </c>
      <c r="E1348" t="str">
        <f>IFERROR(INDEX(tbl_input[집계키_지청],ROW()-1),"")</f>
        <v/>
      </c>
      <c r="F1348" t="str">
        <f t="shared" si="108"/>
        <v/>
      </c>
      <c r="G1348" t="str">
        <f t="shared" si="109"/>
        <v/>
      </c>
    </row>
    <row r="1349" spans="1:7" x14ac:dyDescent="0.4">
      <c r="A1349" t="str">
        <f t="shared" si="105"/>
        <v/>
      </c>
      <c r="B1349" t="str">
        <f t="shared" si="106"/>
        <v/>
      </c>
      <c r="C1349" t="str">
        <f t="shared" si="107"/>
        <v/>
      </c>
      <c r="D1349" t="str">
        <f>IF(E1349="","",IF(COUNTIF($E$2:E1349,E1349)&gt;1,"",SUMIFS(tbl_input[필요수량],tbl_input[집계키_지청],E1349)))</f>
        <v/>
      </c>
      <c r="E1349" t="str">
        <f>IFERROR(INDEX(tbl_input[집계키_지청],ROW()-1),"")</f>
        <v/>
      </c>
      <c r="F1349" t="str">
        <f t="shared" si="108"/>
        <v/>
      </c>
      <c r="G1349" t="str">
        <f t="shared" si="109"/>
        <v/>
      </c>
    </row>
    <row r="1350" spans="1:7" x14ac:dyDescent="0.4">
      <c r="A1350" t="str">
        <f t="shared" si="105"/>
        <v/>
      </c>
      <c r="B1350" t="str">
        <f t="shared" si="106"/>
        <v/>
      </c>
      <c r="C1350" t="str">
        <f t="shared" si="107"/>
        <v/>
      </c>
      <c r="D1350" t="str">
        <f>IF(E1350="","",IF(COUNTIF($E$2:E1350,E1350)&gt;1,"",SUMIFS(tbl_input[필요수량],tbl_input[집계키_지청],E1350)))</f>
        <v/>
      </c>
      <c r="E1350" t="str">
        <f>IFERROR(INDEX(tbl_input[집계키_지청],ROW()-1),"")</f>
        <v/>
      </c>
      <c r="F1350" t="str">
        <f t="shared" si="108"/>
        <v/>
      </c>
      <c r="G1350" t="str">
        <f t="shared" si="109"/>
        <v/>
      </c>
    </row>
    <row r="1351" spans="1:7" x14ac:dyDescent="0.4">
      <c r="A1351" t="str">
        <f t="shared" si="105"/>
        <v/>
      </c>
      <c r="B1351" t="str">
        <f t="shared" si="106"/>
        <v/>
      </c>
      <c r="C1351" t="str">
        <f t="shared" si="107"/>
        <v/>
      </c>
      <c r="D1351" t="str">
        <f>IF(E1351="","",IF(COUNTIF($E$2:E1351,E1351)&gt;1,"",SUMIFS(tbl_input[필요수량],tbl_input[집계키_지청],E1351)))</f>
        <v/>
      </c>
      <c r="E1351" t="str">
        <f>IFERROR(INDEX(tbl_input[집계키_지청],ROW()-1),"")</f>
        <v/>
      </c>
      <c r="F1351" t="str">
        <f t="shared" si="108"/>
        <v/>
      </c>
      <c r="G1351" t="str">
        <f t="shared" si="109"/>
        <v/>
      </c>
    </row>
    <row r="1352" spans="1:7" x14ac:dyDescent="0.4">
      <c r="A1352" t="str">
        <f t="shared" si="105"/>
        <v/>
      </c>
      <c r="B1352" t="str">
        <f t="shared" si="106"/>
        <v/>
      </c>
      <c r="C1352" t="str">
        <f t="shared" si="107"/>
        <v/>
      </c>
      <c r="D1352" t="str">
        <f>IF(E1352="","",IF(COUNTIF($E$2:E1352,E1352)&gt;1,"",SUMIFS(tbl_input[필요수량],tbl_input[집계키_지청],E1352)))</f>
        <v/>
      </c>
      <c r="E1352" t="str">
        <f>IFERROR(INDEX(tbl_input[집계키_지청],ROW()-1),"")</f>
        <v/>
      </c>
      <c r="F1352" t="str">
        <f t="shared" si="108"/>
        <v/>
      </c>
      <c r="G1352" t="str">
        <f t="shared" si="109"/>
        <v/>
      </c>
    </row>
    <row r="1353" spans="1:7" x14ac:dyDescent="0.4">
      <c r="A1353" t="str">
        <f t="shared" si="105"/>
        <v/>
      </c>
      <c r="B1353" t="str">
        <f t="shared" si="106"/>
        <v/>
      </c>
      <c r="C1353" t="str">
        <f t="shared" si="107"/>
        <v/>
      </c>
      <c r="D1353" t="str">
        <f>IF(E1353="","",IF(COUNTIF($E$2:E1353,E1353)&gt;1,"",SUMIFS(tbl_input[필요수량],tbl_input[집계키_지청],E1353)))</f>
        <v/>
      </c>
      <c r="E1353" t="str">
        <f>IFERROR(INDEX(tbl_input[집계키_지청],ROW()-1),"")</f>
        <v/>
      </c>
      <c r="F1353" t="str">
        <f t="shared" si="108"/>
        <v/>
      </c>
      <c r="G1353" t="str">
        <f t="shared" si="109"/>
        <v/>
      </c>
    </row>
    <row r="1354" spans="1:7" x14ac:dyDescent="0.4">
      <c r="A1354" t="str">
        <f t="shared" si="105"/>
        <v/>
      </c>
      <c r="B1354" t="str">
        <f t="shared" si="106"/>
        <v/>
      </c>
      <c r="C1354" t="str">
        <f t="shared" si="107"/>
        <v/>
      </c>
      <c r="D1354" t="str">
        <f>IF(E1354="","",IF(COUNTIF($E$2:E1354,E1354)&gt;1,"",SUMIFS(tbl_input[필요수량],tbl_input[집계키_지청],E1354)))</f>
        <v/>
      </c>
      <c r="E1354" t="str">
        <f>IFERROR(INDEX(tbl_input[집계키_지청],ROW()-1),"")</f>
        <v/>
      </c>
      <c r="F1354" t="str">
        <f t="shared" si="108"/>
        <v/>
      </c>
      <c r="G1354" t="str">
        <f t="shared" si="109"/>
        <v/>
      </c>
    </row>
    <row r="1355" spans="1:7" x14ac:dyDescent="0.4">
      <c r="A1355" t="str">
        <f t="shared" si="105"/>
        <v/>
      </c>
      <c r="B1355" t="str">
        <f t="shared" si="106"/>
        <v/>
      </c>
      <c r="C1355" t="str">
        <f t="shared" si="107"/>
        <v/>
      </c>
      <c r="D1355" t="str">
        <f>IF(E1355="","",IF(COUNTIF($E$2:E1355,E1355)&gt;1,"",SUMIFS(tbl_input[필요수량],tbl_input[집계키_지청],E1355)))</f>
        <v/>
      </c>
      <c r="E1355" t="str">
        <f>IFERROR(INDEX(tbl_input[집계키_지청],ROW()-1),"")</f>
        <v/>
      </c>
      <c r="F1355" t="str">
        <f t="shared" si="108"/>
        <v/>
      </c>
      <c r="G1355" t="str">
        <f t="shared" si="109"/>
        <v/>
      </c>
    </row>
    <row r="1356" spans="1:7" x14ac:dyDescent="0.4">
      <c r="A1356" t="str">
        <f t="shared" si="105"/>
        <v/>
      </c>
      <c r="B1356" t="str">
        <f t="shared" si="106"/>
        <v/>
      </c>
      <c r="C1356" t="str">
        <f t="shared" si="107"/>
        <v/>
      </c>
      <c r="D1356" t="str">
        <f>IF(E1356="","",IF(COUNTIF($E$2:E1356,E1356)&gt;1,"",SUMIFS(tbl_input[필요수량],tbl_input[집계키_지청],E1356)))</f>
        <v/>
      </c>
      <c r="E1356" t="str">
        <f>IFERROR(INDEX(tbl_input[집계키_지청],ROW()-1),"")</f>
        <v/>
      </c>
      <c r="F1356" t="str">
        <f t="shared" si="108"/>
        <v/>
      </c>
      <c r="G1356" t="str">
        <f t="shared" si="109"/>
        <v/>
      </c>
    </row>
    <row r="1357" spans="1:7" x14ac:dyDescent="0.4">
      <c r="A1357" t="str">
        <f t="shared" si="105"/>
        <v/>
      </c>
      <c r="B1357" t="str">
        <f t="shared" si="106"/>
        <v/>
      </c>
      <c r="C1357" t="str">
        <f t="shared" si="107"/>
        <v/>
      </c>
      <c r="D1357" t="str">
        <f>IF(E1357="","",IF(COUNTIF($E$2:E1357,E1357)&gt;1,"",SUMIFS(tbl_input[필요수량],tbl_input[집계키_지청],E1357)))</f>
        <v/>
      </c>
      <c r="E1357" t="str">
        <f>IFERROR(INDEX(tbl_input[집계키_지청],ROW()-1),"")</f>
        <v/>
      </c>
      <c r="F1357" t="str">
        <f t="shared" si="108"/>
        <v/>
      </c>
      <c r="G1357" t="str">
        <f t="shared" si="109"/>
        <v/>
      </c>
    </row>
    <row r="1358" spans="1:7" x14ac:dyDescent="0.4">
      <c r="A1358" t="str">
        <f t="shared" si="105"/>
        <v/>
      </c>
      <c r="B1358" t="str">
        <f t="shared" si="106"/>
        <v/>
      </c>
      <c r="C1358" t="str">
        <f t="shared" si="107"/>
        <v/>
      </c>
      <c r="D1358" t="str">
        <f>IF(E1358="","",IF(COUNTIF($E$2:E1358,E1358)&gt;1,"",SUMIFS(tbl_input[필요수량],tbl_input[집계키_지청],E1358)))</f>
        <v/>
      </c>
      <c r="E1358" t="str">
        <f>IFERROR(INDEX(tbl_input[집계키_지청],ROW()-1),"")</f>
        <v/>
      </c>
      <c r="F1358" t="str">
        <f t="shared" si="108"/>
        <v/>
      </c>
      <c r="G1358" t="str">
        <f t="shared" si="109"/>
        <v/>
      </c>
    </row>
    <row r="1359" spans="1:7" x14ac:dyDescent="0.4">
      <c r="A1359" t="str">
        <f t="shared" si="105"/>
        <v/>
      </c>
      <c r="B1359" t="str">
        <f t="shared" si="106"/>
        <v/>
      </c>
      <c r="C1359" t="str">
        <f t="shared" si="107"/>
        <v/>
      </c>
      <c r="D1359" t="str">
        <f>IF(E1359="","",IF(COUNTIF($E$2:E1359,E1359)&gt;1,"",SUMIFS(tbl_input[필요수량],tbl_input[집계키_지청],E1359)))</f>
        <v/>
      </c>
      <c r="E1359" t="str">
        <f>IFERROR(INDEX(tbl_input[집계키_지청],ROW()-1),"")</f>
        <v/>
      </c>
      <c r="F1359" t="str">
        <f t="shared" si="108"/>
        <v/>
      </c>
      <c r="G1359" t="str">
        <f t="shared" si="109"/>
        <v/>
      </c>
    </row>
    <row r="1360" spans="1:7" x14ac:dyDescent="0.4">
      <c r="A1360" t="str">
        <f t="shared" si="105"/>
        <v/>
      </c>
      <c r="B1360" t="str">
        <f t="shared" si="106"/>
        <v/>
      </c>
      <c r="C1360" t="str">
        <f t="shared" si="107"/>
        <v/>
      </c>
      <c r="D1360" t="str">
        <f>IF(E1360="","",IF(COUNTIF($E$2:E1360,E1360)&gt;1,"",SUMIFS(tbl_input[필요수량],tbl_input[집계키_지청],E1360)))</f>
        <v/>
      </c>
      <c r="E1360" t="str">
        <f>IFERROR(INDEX(tbl_input[집계키_지청],ROW()-1),"")</f>
        <v/>
      </c>
      <c r="F1360" t="str">
        <f t="shared" si="108"/>
        <v/>
      </c>
      <c r="G1360" t="str">
        <f t="shared" si="109"/>
        <v/>
      </c>
    </row>
    <row r="1361" spans="1:7" x14ac:dyDescent="0.4">
      <c r="A1361" t="str">
        <f t="shared" si="105"/>
        <v/>
      </c>
      <c r="B1361" t="str">
        <f t="shared" si="106"/>
        <v/>
      </c>
      <c r="C1361" t="str">
        <f t="shared" si="107"/>
        <v/>
      </c>
      <c r="D1361" t="str">
        <f>IF(E1361="","",IF(COUNTIF($E$2:E1361,E1361)&gt;1,"",SUMIFS(tbl_input[필요수량],tbl_input[집계키_지청],E1361)))</f>
        <v/>
      </c>
      <c r="E1361" t="str">
        <f>IFERROR(INDEX(tbl_input[집계키_지청],ROW()-1),"")</f>
        <v/>
      </c>
      <c r="F1361" t="str">
        <f t="shared" si="108"/>
        <v/>
      </c>
      <c r="G1361" t="str">
        <f t="shared" si="109"/>
        <v/>
      </c>
    </row>
    <row r="1362" spans="1:7" x14ac:dyDescent="0.4">
      <c r="A1362" t="str">
        <f t="shared" si="105"/>
        <v/>
      </c>
      <c r="B1362" t="str">
        <f t="shared" si="106"/>
        <v/>
      </c>
      <c r="C1362" t="str">
        <f t="shared" si="107"/>
        <v/>
      </c>
      <c r="D1362" t="str">
        <f>IF(E1362="","",IF(COUNTIF($E$2:E1362,E1362)&gt;1,"",SUMIFS(tbl_input[필요수량],tbl_input[집계키_지청],E1362)))</f>
        <v/>
      </c>
      <c r="E1362" t="str">
        <f>IFERROR(INDEX(tbl_input[집계키_지청],ROW()-1),"")</f>
        <v/>
      </c>
      <c r="F1362" t="str">
        <f t="shared" si="108"/>
        <v/>
      </c>
      <c r="G1362" t="str">
        <f t="shared" si="109"/>
        <v/>
      </c>
    </row>
    <row r="1363" spans="1:7" x14ac:dyDescent="0.4">
      <c r="A1363" t="str">
        <f t="shared" si="105"/>
        <v/>
      </c>
      <c r="B1363" t="str">
        <f t="shared" si="106"/>
        <v/>
      </c>
      <c r="C1363" t="str">
        <f t="shared" si="107"/>
        <v/>
      </c>
      <c r="D1363" t="str">
        <f>IF(E1363="","",IF(COUNTIF($E$2:E1363,E1363)&gt;1,"",SUMIFS(tbl_input[필요수량],tbl_input[집계키_지청],E1363)))</f>
        <v/>
      </c>
      <c r="E1363" t="str">
        <f>IFERROR(INDEX(tbl_input[집계키_지청],ROW()-1),"")</f>
        <v/>
      </c>
      <c r="F1363" t="str">
        <f t="shared" si="108"/>
        <v/>
      </c>
      <c r="G1363" t="str">
        <f t="shared" si="109"/>
        <v/>
      </c>
    </row>
    <row r="1364" spans="1:7" x14ac:dyDescent="0.4">
      <c r="A1364" t="str">
        <f t="shared" si="105"/>
        <v/>
      </c>
      <c r="B1364" t="str">
        <f t="shared" si="106"/>
        <v/>
      </c>
      <c r="C1364" t="str">
        <f t="shared" si="107"/>
        <v/>
      </c>
      <c r="D1364" t="str">
        <f>IF(E1364="","",IF(COUNTIF($E$2:E1364,E1364)&gt;1,"",SUMIFS(tbl_input[필요수량],tbl_input[집계키_지청],E1364)))</f>
        <v/>
      </c>
      <c r="E1364" t="str">
        <f>IFERROR(INDEX(tbl_input[집계키_지청],ROW()-1),"")</f>
        <v/>
      </c>
      <c r="F1364" t="str">
        <f t="shared" si="108"/>
        <v/>
      </c>
      <c r="G1364" t="str">
        <f t="shared" si="109"/>
        <v/>
      </c>
    </row>
    <row r="1365" spans="1:7" x14ac:dyDescent="0.4">
      <c r="A1365" t="str">
        <f t="shared" si="105"/>
        <v/>
      </c>
      <c r="B1365" t="str">
        <f t="shared" si="106"/>
        <v/>
      </c>
      <c r="C1365" t="str">
        <f t="shared" si="107"/>
        <v/>
      </c>
      <c r="D1365" t="str">
        <f>IF(E1365="","",IF(COUNTIF($E$2:E1365,E1365)&gt;1,"",SUMIFS(tbl_input[필요수량],tbl_input[집계키_지청],E1365)))</f>
        <v/>
      </c>
      <c r="E1365" t="str">
        <f>IFERROR(INDEX(tbl_input[집계키_지청],ROW()-1),"")</f>
        <v/>
      </c>
      <c r="F1365" t="str">
        <f t="shared" si="108"/>
        <v/>
      </c>
      <c r="G1365" t="str">
        <f t="shared" si="109"/>
        <v/>
      </c>
    </row>
    <row r="1366" spans="1:7" x14ac:dyDescent="0.4">
      <c r="A1366" t="str">
        <f t="shared" si="105"/>
        <v/>
      </c>
      <c r="B1366" t="str">
        <f t="shared" si="106"/>
        <v/>
      </c>
      <c r="C1366" t="str">
        <f t="shared" si="107"/>
        <v/>
      </c>
      <c r="D1366" t="str">
        <f>IF(E1366="","",IF(COUNTIF($E$2:E1366,E1366)&gt;1,"",SUMIFS(tbl_input[필요수량],tbl_input[집계키_지청],E1366)))</f>
        <v/>
      </c>
      <c r="E1366" t="str">
        <f>IFERROR(INDEX(tbl_input[집계키_지청],ROW()-1),"")</f>
        <v/>
      </c>
      <c r="F1366" t="str">
        <f t="shared" si="108"/>
        <v/>
      </c>
      <c r="G1366" t="str">
        <f t="shared" si="109"/>
        <v/>
      </c>
    </row>
    <row r="1367" spans="1:7" x14ac:dyDescent="0.4">
      <c r="A1367" t="str">
        <f t="shared" si="105"/>
        <v/>
      </c>
      <c r="B1367" t="str">
        <f t="shared" si="106"/>
        <v/>
      </c>
      <c r="C1367" t="str">
        <f t="shared" si="107"/>
        <v/>
      </c>
      <c r="D1367" t="str">
        <f>IF(E1367="","",IF(COUNTIF($E$2:E1367,E1367)&gt;1,"",SUMIFS(tbl_input[필요수량],tbl_input[집계키_지청],E1367)))</f>
        <v/>
      </c>
      <c r="E1367" t="str">
        <f>IFERROR(INDEX(tbl_input[집계키_지청],ROW()-1),"")</f>
        <v/>
      </c>
      <c r="F1367" t="str">
        <f t="shared" si="108"/>
        <v/>
      </c>
      <c r="G1367" t="str">
        <f t="shared" si="109"/>
        <v/>
      </c>
    </row>
    <row r="1368" spans="1:7" x14ac:dyDescent="0.4">
      <c r="A1368" t="str">
        <f t="shared" si="105"/>
        <v/>
      </c>
      <c r="B1368" t="str">
        <f t="shared" si="106"/>
        <v/>
      </c>
      <c r="C1368" t="str">
        <f t="shared" si="107"/>
        <v/>
      </c>
      <c r="D1368" t="str">
        <f>IF(E1368="","",IF(COUNTIF($E$2:E1368,E1368)&gt;1,"",SUMIFS(tbl_input[필요수량],tbl_input[집계키_지청],E1368)))</f>
        <v/>
      </c>
      <c r="E1368" t="str">
        <f>IFERROR(INDEX(tbl_input[집계키_지청],ROW()-1),"")</f>
        <v/>
      </c>
      <c r="F1368" t="str">
        <f t="shared" si="108"/>
        <v/>
      </c>
      <c r="G1368" t="str">
        <f t="shared" si="109"/>
        <v/>
      </c>
    </row>
    <row r="1369" spans="1:7" x14ac:dyDescent="0.4">
      <c r="A1369" t="str">
        <f t="shared" si="105"/>
        <v/>
      </c>
      <c r="B1369" t="str">
        <f t="shared" si="106"/>
        <v/>
      </c>
      <c r="C1369" t="str">
        <f t="shared" si="107"/>
        <v/>
      </c>
      <c r="D1369" t="str">
        <f>IF(E1369="","",IF(COUNTIF($E$2:E1369,E1369)&gt;1,"",SUMIFS(tbl_input[필요수량],tbl_input[집계키_지청],E1369)))</f>
        <v/>
      </c>
      <c r="E1369" t="str">
        <f>IFERROR(INDEX(tbl_input[집계키_지청],ROW()-1),"")</f>
        <v/>
      </c>
      <c r="F1369" t="str">
        <f t="shared" si="108"/>
        <v/>
      </c>
      <c r="G1369" t="str">
        <f t="shared" si="109"/>
        <v/>
      </c>
    </row>
    <row r="1370" spans="1:7" x14ac:dyDescent="0.4">
      <c r="A1370" t="str">
        <f t="shared" si="105"/>
        <v/>
      </c>
      <c r="B1370" t="str">
        <f t="shared" si="106"/>
        <v/>
      </c>
      <c r="C1370" t="str">
        <f t="shared" si="107"/>
        <v/>
      </c>
      <c r="D1370" t="str">
        <f>IF(E1370="","",IF(COUNTIF($E$2:E1370,E1370)&gt;1,"",SUMIFS(tbl_input[필요수량],tbl_input[집계키_지청],E1370)))</f>
        <v/>
      </c>
      <c r="E1370" t="str">
        <f>IFERROR(INDEX(tbl_input[집계키_지청],ROW()-1),"")</f>
        <v/>
      </c>
      <c r="F1370" t="str">
        <f t="shared" si="108"/>
        <v/>
      </c>
      <c r="G1370" t="str">
        <f t="shared" si="109"/>
        <v/>
      </c>
    </row>
    <row r="1371" spans="1:7" x14ac:dyDescent="0.4">
      <c r="A1371" t="str">
        <f t="shared" si="105"/>
        <v/>
      </c>
      <c r="B1371" t="str">
        <f t="shared" si="106"/>
        <v/>
      </c>
      <c r="C1371" t="str">
        <f t="shared" si="107"/>
        <v/>
      </c>
      <c r="D1371" t="str">
        <f>IF(E1371="","",IF(COUNTIF($E$2:E1371,E1371)&gt;1,"",SUMIFS(tbl_input[필요수량],tbl_input[집계키_지청],E1371)))</f>
        <v/>
      </c>
      <c r="E1371" t="str">
        <f>IFERROR(INDEX(tbl_input[집계키_지청],ROW()-1),"")</f>
        <v/>
      </c>
      <c r="F1371" t="str">
        <f t="shared" si="108"/>
        <v/>
      </c>
      <c r="G1371" t="str">
        <f t="shared" si="109"/>
        <v/>
      </c>
    </row>
    <row r="1372" spans="1:7" x14ac:dyDescent="0.4">
      <c r="A1372" t="str">
        <f t="shared" si="105"/>
        <v/>
      </c>
      <c r="B1372" t="str">
        <f t="shared" si="106"/>
        <v/>
      </c>
      <c r="C1372" t="str">
        <f t="shared" si="107"/>
        <v/>
      </c>
      <c r="D1372" t="str">
        <f>IF(E1372="","",IF(COUNTIF($E$2:E1372,E1372)&gt;1,"",SUMIFS(tbl_input[필요수량],tbl_input[집계키_지청],E1372)))</f>
        <v/>
      </c>
      <c r="E1372" t="str">
        <f>IFERROR(INDEX(tbl_input[집계키_지청],ROW()-1),"")</f>
        <v/>
      </c>
      <c r="F1372" t="str">
        <f t="shared" si="108"/>
        <v/>
      </c>
      <c r="G1372" t="str">
        <f t="shared" si="109"/>
        <v/>
      </c>
    </row>
    <row r="1373" spans="1:7" x14ac:dyDescent="0.4">
      <c r="A1373" t="str">
        <f t="shared" si="105"/>
        <v/>
      </c>
      <c r="B1373" t="str">
        <f t="shared" si="106"/>
        <v/>
      </c>
      <c r="C1373" t="str">
        <f t="shared" si="107"/>
        <v/>
      </c>
      <c r="D1373" t="str">
        <f>IF(E1373="","",IF(COUNTIF($E$2:E1373,E1373)&gt;1,"",SUMIFS(tbl_input[필요수량],tbl_input[집계키_지청],E1373)))</f>
        <v/>
      </c>
      <c r="E1373" t="str">
        <f>IFERROR(INDEX(tbl_input[집계키_지청],ROW()-1),"")</f>
        <v/>
      </c>
      <c r="F1373" t="str">
        <f t="shared" si="108"/>
        <v/>
      </c>
      <c r="G1373" t="str">
        <f t="shared" si="109"/>
        <v/>
      </c>
    </row>
    <row r="1374" spans="1:7" x14ac:dyDescent="0.4">
      <c r="A1374" t="str">
        <f t="shared" si="105"/>
        <v/>
      </c>
      <c r="B1374" t="str">
        <f t="shared" si="106"/>
        <v/>
      </c>
      <c r="C1374" t="str">
        <f t="shared" si="107"/>
        <v/>
      </c>
      <c r="D1374" t="str">
        <f>IF(E1374="","",IF(COUNTIF($E$2:E1374,E1374)&gt;1,"",SUMIFS(tbl_input[필요수량],tbl_input[집계키_지청],E1374)))</f>
        <v/>
      </c>
      <c r="E1374" t="str">
        <f>IFERROR(INDEX(tbl_input[집계키_지청],ROW()-1),"")</f>
        <v/>
      </c>
      <c r="F1374" t="str">
        <f t="shared" si="108"/>
        <v/>
      </c>
      <c r="G1374" t="str">
        <f t="shared" si="109"/>
        <v/>
      </c>
    </row>
    <row r="1375" spans="1:7" x14ac:dyDescent="0.4">
      <c r="A1375" t="str">
        <f t="shared" si="105"/>
        <v/>
      </c>
      <c r="B1375" t="str">
        <f t="shared" si="106"/>
        <v/>
      </c>
      <c r="C1375" t="str">
        <f t="shared" si="107"/>
        <v/>
      </c>
      <c r="D1375" t="str">
        <f>IF(E1375="","",IF(COUNTIF($E$2:E1375,E1375)&gt;1,"",SUMIFS(tbl_input[필요수량],tbl_input[집계키_지청],E1375)))</f>
        <v/>
      </c>
      <c r="E1375" t="str">
        <f>IFERROR(INDEX(tbl_input[집계키_지청],ROW()-1),"")</f>
        <v/>
      </c>
      <c r="F1375" t="str">
        <f t="shared" si="108"/>
        <v/>
      </c>
      <c r="G1375" t="str">
        <f t="shared" si="109"/>
        <v/>
      </c>
    </row>
    <row r="1376" spans="1:7" x14ac:dyDescent="0.4">
      <c r="A1376" t="str">
        <f t="shared" si="105"/>
        <v/>
      </c>
      <c r="B1376" t="str">
        <f t="shared" si="106"/>
        <v/>
      </c>
      <c r="C1376" t="str">
        <f t="shared" si="107"/>
        <v/>
      </c>
      <c r="D1376" t="str">
        <f>IF(E1376="","",IF(COUNTIF($E$2:E1376,E1376)&gt;1,"",SUMIFS(tbl_input[필요수량],tbl_input[집계키_지청],E1376)))</f>
        <v/>
      </c>
      <c r="E1376" t="str">
        <f>IFERROR(INDEX(tbl_input[집계키_지청],ROW()-1),"")</f>
        <v/>
      </c>
      <c r="F1376" t="str">
        <f t="shared" si="108"/>
        <v/>
      </c>
      <c r="G1376" t="str">
        <f t="shared" si="109"/>
        <v/>
      </c>
    </row>
    <row r="1377" spans="1:7" x14ac:dyDescent="0.4">
      <c r="A1377" t="str">
        <f t="shared" si="105"/>
        <v/>
      </c>
      <c r="B1377" t="str">
        <f t="shared" si="106"/>
        <v/>
      </c>
      <c r="C1377" t="str">
        <f t="shared" si="107"/>
        <v/>
      </c>
      <c r="D1377" t="str">
        <f>IF(E1377="","",IF(COUNTIF($E$2:E1377,E1377)&gt;1,"",SUMIFS(tbl_input[필요수량],tbl_input[집계키_지청],E1377)))</f>
        <v/>
      </c>
      <c r="E1377" t="str">
        <f>IFERROR(INDEX(tbl_input[집계키_지청],ROW()-1),"")</f>
        <v/>
      </c>
      <c r="F1377" t="str">
        <f t="shared" si="108"/>
        <v/>
      </c>
      <c r="G1377" t="str">
        <f t="shared" si="109"/>
        <v/>
      </c>
    </row>
    <row r="1378" spans="1:7" x14ac:dyDescent="0.4">
      <c r="A1378" t="str">
        <f t="shared" si="105"/>
        <v/>
      </c>
      <c r="B1378" t="str">
        <f t="shared" si="106"/>
        <v/>
      </c>
      <c r="C1378" t="str">
        <f t="shared" si="107"/>
        <v/>
      </c>
      <c r="D1378" t="str">
        <f>IF(E1378="","",IF(COUNTIF($E$2:E1378,E1378)&gt;1,"",SUMIFS(tbl_input[필요수량],tbl_input[집계키_지청],E1378)))</f>
        <v/>
      </c>
      <c r="E1378" t="str">
        <f>IFERROR(INDEX(tbl_input[집계키_지청],ROW()-1),"")</f>
        <v/>
      </c>
      <c r="F1378" t="str">
        <f t="shared" si="108"/>
        <v/>
      </c>
      <c r="G1378" t="str">
        <f t="shared" si="109"/>
        <v/>
      </c>
    </row>
    <row r="1379" spans="1:7" x14ac:dyDescent="0.4">
      <c r="A1379" t="str">
        <f t="shared" si="105"/>
        <v/>
      </c>
      <c r="B1379" t="str">
        <f t="shared" si="106"/>
        <v/>
      </c>
      <c r="C1379" t="str">
        <f t="shared" si="107"/>
        <v/>
      </c>
      <c r="D1379" t="str">
        <f>IF(E1379="","",IF(COUNTIF($E$2:E1379,E1379)&gt;1,"",SUMIFS(tbl_input[필요수량],tbl_input[집계키_지청],E1379)))</f>
        <v/>
      </c>
      <c r="E1379" t="str">
        <f>IFERROR(INDEX(tbl_input[집계키_지청],ROW()-1),"")</f>
        <v/>
      </c>
      <c r="F1379" t="str">
        <f t="shared" si="108"/>
        <v/>
      </c>
      <c r="G1379" t="str">
        <f t="shared" si="109"/>
        <v/>
      </c>
    </row>
    <row r="1380" spans="1:7" x14ac:dyDescent="0.4">
      <c r="A1380" t="str">
        <f t="shared" si="105"/>
        <v/>
      </c>
      <c r="B1380" t="str">
        <f t="shared" si="106"/>
        <v/>
      </c>
      <c r="C1380" t="str">
        <f t="shared" si="107"/>
        <v/>
      </c>
      <c r="D1380" t="str">
        <f>IF(E1380="","",IF(COUNTIF($E$2:E1380,E1380)&gt;1,"",SUMIFS(tbl_input[필요수량],tbl_input[집계키_지청],E1380)))</f>
        <v/>
      </c>
      <c r="E1380" t="str">
        <f>IFERROR(INDEX(tbl_input[집계키_지청],ROW()-1),"")</f>
        <v/>
      </c>
      <c r="F1380" t="str">
        <f t="shared" si="108"/>
        <v/>
      </c>
      <c r="G1380" t="str">
        <f t="shared" si="109"/>
        <v/>
      </c>
    </row>
    <row r="1381" spans="1:7" x14ac:dyDescent="0.4">
      <c r="A1381" t="str">
        <f t="shared" si="105"/>
        <v/>
      </c>
      <c r="B1381" t="str">
        <f t="shared" si="106"/>
        <v/>
      </c>
      <c r="C1381" t="str">
        <f t="shared" si="107"/>
        <v/>
      </c>
      <c r="D1381" t="str">
        <f>IF(E1381="","",IF(COUNTIF($E$2:E1381,E1381)&gt;1,"",SUMIFS(tbl_input[필요수량],tbl_input[집계키_지청],E1381)))</f>
        <v/>
      </c>
      <c r="E1381" t="str">
        <f>IFERROR(INDEX(tbl_input[집계키_지청],ROW()-1),"")</f>
        <v/>
      </c>
      <c r="F1381" t="str">
        <f t="shared" si="108"/>
        <v/>
      </c>
      <c r="G1381" t="str">
        <f t="shared" si="109"/>
        <v/>
      </c>
    </row>
    <row r="1382" spans="1:7" x14ac:dyDescent="0.4">
      <c r="A1382" t="str">
        <f t="shared" si="105"/>
        <v/>
      </c>
      <c r="B1382" t="str">
        <f t="shared" si="106"/>
        <v/>
      </c>
      <c r="C1382" t="str">
        <f t="shared" si="107"/>
        <v/>
      </c>
      <c r="D1382" t="str">
        <f>IF(E1382="","",IF(COUNTIF($E$2:E1382,E1382)&gt;1,"",SUMIFS(tbl_input[필요수량],tbl_input[집계키_지청],E1382)))</f>
        <v/>
      </c>
      <c r="E1382" t="str">
        <f>IFERROR(INDEX(tbl_input[집계키_지청],ROW()-1),"")</f>
        <v/>
      </c>
      <c r="F1382" t="str">
        <f t="shared" si="108"/>
        <v/>
      </c>
      <c r="G1382" t="str">
        <f t="shared" si="109"/>
        <v/>
      </c>
    </row>
    <row r="1383" spans="1:7" x14ac:dyDescent="0.4">
      <c r="A1383" t="str">
        <f t="shared" si="105"/>
        <v/>
      </c>
      <c r="B1383" t="str">
        <f t="shared" si="106"/>
        <v/>
      </c>
      <c r="C1383" t="str">
        <f t="shared" si="107"/>
        <v/>
      </c>
      <c r="D1383" t="str">
        <f>IF(E1383="","",IF(COUNTIF($E$2:E1383,E1383)&gt;1,"",SUMIFS(tbl_input[필요수량],tbl_input[집계키_지청],E1383)))</f>
        <v/>
      </c>
      <c r="E1383" t="str">
        <f>IFERROR(INDEX(tbl_input[집계키_지청],ROW()-1),"")</f>
        <v/>
      </c>
      <c r="F1383" t="str">
        <f t="shared" si="108"/>
        <v/>
      </c>
      <c r="G1383" t="str">
        <f t="shared" si="109"/>
        <v/>
      </c>
    </row>
    <row r="1384" spans="1:7" x14ac:dyDescent="0.4">
      <c r="A1384" t="str">
        <f t="shared" si="105"/>
        <v/>
      </c>
      <c r="B1384" t="str">
        <f t="shared" si="106"/>
        <v/>
      </c>
      <c r="C1384" t="str">
        <f t="shared" si="107"/>
        <v/>
      </c>
      <c r="D1384" t="str">
        <f>IF(E1384="","",IF(COUNTIF($E$2:E1384,E1384)&gt;1,"",SUMIFS(tbl_input[필요수량],tbl_input[집계키_지청],E1384)))</f>
        <v/>
      </c>
      <c r="E1384" t="str">
        <f>IFERROR(INDEX(tbl_input[집계키_지청],ROW()-1),"")</f>
        <v/>
      </c>
      <c r="F1384" t="str">
        <f t="shared" si="108"/>
        <v/>
      </c>
      <c r="G1384" t="str">
        <f t="shared" si="109"/>
        <v/>
      </c>
    </row>
    <row r="1385" spans="1:7" x14ac:dyDescent="0.4">
      <c r="A1385" t="str">
        <f t="shared" si="105"/>
        <v/>
      </c>
      <c r="B1385" t="str">
        <f t="shared" si="106"/>
        <v/>
      </c>
      <c r="C1385" t="str">
        <f t="shared" si="107"/>
        <v/>
      </c>
      <c r="D1385" t="str">
        <f>IF(E1385="","",IF(COUNTIF($E$2:E1385,E1385)&gt;1,"",SUMIFS(tbl_input[필요수량],tbl_input[집계키_지청],E1385)))</f>
        <v/>
      </c>
      <c r="E1385" t="str">
        <f>IFERROR(INDEX(tbl_input[집계키_지청],ROW()-1),"")</f>
        <v/>
      </c>
      <c r="F1385" t="str">
        <f t="shared" si="108"/>
        <v/>
      </c>
      <c r="G1385" t="str">
        <f t="shared" si="109"/>
        <v/>
      </c>
    </row>
    <row r="1386" spans="1:7" x14ac:dyDescent="0.4">
      <c r="A1386" t="str">
        <f t="shared" si="105"/>
        <v/>
      </c>
      <c r="B1386" t="str">
        <f t="shared" si="106"/>
        <v/>
      </c>
      <c r="C1386" t="str">
        <f t="shared" si="107"/>
        <v/>
      </c>
      <c r="D1386" t="str">
        <f>IF(E1386="","",IF(COUNTIF($E$2:E1386,E1386)&gt;1,"",SUMIFS(tbl_input[필요수량],tbl_input[집계키_지청],E1386)))</f>
        <v/>
      </c>
      <c r="E1386" t="str">
        <f>IFERROR(INDEX(tbl_input[집계키_지청],ROW()-1),"")</f>
        <v/>
      </c>
      <c r="F1386" t="str">
        <f t="shared" si="108"/>
        <v/>
      </c>
      <c r="G1386" t="str">
        <f t="shared" si="109"/>
        <v/>
      </c>
    </row>
    <row r="1387" spans="1:7" x14ac:dyDescent="0.4">
      <c r="A1387" t="str">
        <f t="shared" si="105"/>
        <v/>
      </c>
      <c r="B1387" t="str">
        <f t="shared" si="106"/>
        <v/>
      </c>
      <c r="C1387" t="str">
        <f t="shared" si="107"/>
        <v/>
      </c>
      <c r="D1387" t="str">
        <f>IF(E1387="","",IF(COUNTIF($E$2:E1387,E1387)&gt;1,"",SUMIFS(tbl_input[필요수량],tbl_input[집계키_지청],E1387)))</f>
        <v/>
      </c>
      <c r="E1387" t="str">
        <f>IFERROR(INDEX(tbl_input[집계키_지청],ROW()-1),"")</f>
        <v/>
      </c>
      <c r="F1387" t="str">
        <f t="shared" si="108"/>
        <v/>
      </c>
      <c r="G1387" t="str">
        <f t="shared" si="109"/>
        <v/>
      </c>
    </row>
    <row r="1388" spans="1:7" x14ac:dyDescent="0.4">
      <c r="A1388" t="str">
        <f t="shared" si="105"/>
        <v/>
      </c>
      <c r="B1388" t="str">
        <f t="shared" si="106"/>
        <v/>
      </c>
      <c r="C1388" t="str">
        <f t="shared" si="107"/>
        <v/>
      </c>
      <c r="D1388" t="str">
        <f>IF(E1388="","",IF(COUNTIF($E$2:E1388,E1388)&gt;1,"",SUMIFS(tbl_input[필요수량],tbl_input[집계키_지청],E1388)))</f>
        <v/>
      </c>
      <c r="E1388" t="str">
        <f>IFERROR(INDEX(tbl_input[집계키_지청],ROW()-1),"")</f>
        <v/>
      </c>
      <c r="F1388" t="str">
        <f t="shared" si="108"/>
        <v/>
      </c>
      <c r="G1388" t="str">
        <f t="shared" si="109"/>
        <v/>
      </c>
    </row>
    <row r="1389" spans="1:7" x14ac:dyDescent="0.4">
      <c r="A1389" t="str">
        <f t="shared" si="105"/>
        <v/>
      </c>
      <c r="B1389" t="str">
        <f t="shared" si="106"/>
        <v/>
      </c>
      <c r="C1389" t="str">
        <f t="shared" si="107"/>
        <v/>
      </c>
      <c r="D1389" t="str">
        <f>IF(E1389="","",IF(COUNTIF($E$2:E1389,E1389)&gt;1,"",SUMIFS(tbl_input[필요수량],tbl_input[집계키_지청],E1389)))</f>
        <v/>
      </c>
      <c r="E1389" t="str">
        <f>IFERROR(INDEX(tbl_input[집계키_지청],ROW()-1),"")</f>
        <v/>
      </c>
      <c r="F1389" t="str">
        <f t="shared" si="108"/>
        <v/>
      </c>
      <c r="G1389" t="str">
        <f t="shared" si="109"/>
        <v/>
      </c>
    </row>
    <row r="1390" spans="1:7" x14ac:dyDescent="0.4">
      <c r="A1390" t="str">
        <f t="shared" si="105"/>
        <v/>
      </c>
      <c r="B1390" t="str">
        <f t="shared" si="106"/>
        <v/>
      </c>
      <c r="C1390" t="str">
        <f t="shared" si="107"/>
        <v/>
      </c>
      <c r="D1390" t="str">
        <f>IF(E1390="","",IF(COUNTIF($E$2:E1390,E1390)&gt;1,"",SUMIFS(tbl_input[필요수량],tbl_input[집계키_지청],E1390)))</f>
        <v/>
      </c>
      <c r="E1390" t="str">
        <f>IFERROR(INDEX(tbl_input[집계키_지청],ROW()-1),"")</f>
        <v/>
      </c>
      <c r="F1390" t="str">
        <f t="shared" si="108"/>
        <v/>
      </c>
      <c r="G1390" t="str">
        <f t="shared" si="109"/>
        <v/>
      </c>
    </row>
    <row r="1391" spans="1:7" x14ac:dyDescent="0.4">
      <c r="A1391" t="str">
        <f t="shared" si="105"/>
        <v/>
      </c>
      <c r="B1391" t="str">
        <f t="shared" si="106"/>
        <v/>
      </c>
      <c r="C1391" t="str">
        <f t="shared" si="107"/>
        <v/>
      </c>
      <c r="D1391" t="str">
        <f>IF(E1391="","",IF(COUNTIF($E$2:E1391,E1391)&gt;1,"",SUMIFS(tbl_input[필요수량],tbl_input[집계키_지청],E1391)))</f>
        <v/>
      </c>
      <c r="E1391" t="str">
        <f>IFERROR(INDEX(tbl_input[집계키_지청],ROW()-1),"")</f>
        <v/>
      </c>
      <c r="F1391" t="str">
        <f t="shared" si="108"/>
        <v/>
      </c>
      <c r="G1391" t="str">
        <f t="shared" si="109"/>
        <v/>
      </c>
    </row>
    <row r="1392" spans="1:7" x14ac:dyDescent="0.4">
      <c r="A1392" t="str">
        <f t="shared" si="105"/>
        <v/>
      </c>
      <c r="B1392" t="str">
        <f t="shared" si="106"/>
        <v/>
      </c>
      <c r="C1392" t="str">
        <f t="shared" si="107"/>
        <v/>
      </c>
      <c r="D1392" t="str">
        <f>IF(E1392="","",IF(COUNTIF($E$2:E1392,E1392)&gt;1,"",SUMIFS(tbl_input[필요수량],tbl_input[집계키_지청],E1392)))</f>
        <v/>
      </c>
      <c r="E1392" t="str">
        <f>IFERROR(INDEX(tbl_input[집계키_지청],ROW()-1),"")</f>
        <v/>
      </c>
      <c r="F1392" t="str">
        <f t="shared" si="108"/>
        <v/>
      </c>
      <c r="G1392" t="str">
        <f t="shared" si="109"/>
        <v/>
      </c>
    </row>
    <row r="1393" spans="1:7" x14ac:dyDescent="0.4">
      <c r="A1393" t="str">
        <f t="shared" si="105"/>
        <v/>
      </c>
      <c r="B1393" t="str">
        <f t="shared" si="106"/>
        <v/>
      </c>
      <c r="C1393" t="str">
        <f t="shared" si="107"/>
        <v/>
      </c>
      <c r="D1393" t="str">
        <f>IF(E1393="","",IF(COUNTIF($E$2:E1393,E1393)&gt;1,"",SUMIFS(tbl_input[필요수량],tbl_input[집계키_지청],E1393)))</f>
        <v/>
      </c>
      <c r="E1393" t="str">
        <f>IFERROR(INDEX(tbl_input[집계키_지청],ROW()-1),"")</f>
        <v/>
      </c>
      <c r="F1393" t="str">
        <f t="shared" si="108"/>
        <v/>
      </c>
      <c r="G1393" t="str">
        <f t="shared" si="109"/>
        <v/>
      </c>
    </row>
    <row r="1394" spans="1:7" x14ac:dyDescent="0.4">
      <c r="A1394" t="str">
        <f t="shared" si="105"/>
        <v/>
      </c>
      <c r="B1394" t="str">
        <f t="shared" si="106"/>
        <v/>
      </c>
      <c r="C1394" t="str">
        <f t="shared" si="107"/>
        <v/>
      </c>
      <c r="D1394" t="str">
        <f>IF(E1394="","",IF(COUNTIF($E$2:E1394,E1394)&gt;1,"",SUMIFS(tbl_input[필요수량],tbl_input[집계키_지청],E1394)))</f>
        <v/>
      </c>
      <c r="E1394" t="str">
        <f>IFERROR(INDEX(tbl_input[집계키_지청],ROW()-1),"")</f>
        <v/>
      </c>
      <c r="F1394" t="str">
        <f t="shared" si="108"/>
        <v/>
      </c>
      <c r="G1394" t="str">
        <f t="shared" si="109"/>
        <v/>
      </c>
    </row>
    <row r="1395" spans="1:7" x14ac:dyDescent="0.4">
      <c r="A1395" t="str">
        <f t="shared" si="105"/>
        <v/>
      </c>
      <c r="B1395" t="str">
        <f t="shared" si="106"/>
        <v/>
      </c>
      <c r="C1395" t="str">
        <f t="shared" si="107"/>
        <v/>
      </c>
      <c r="D1395" t="str">
        <f>IF(E1395="","",IF(COUNTIF($E$2:E1395,E1395)&gt;1,"",SUMIFS(tbl_input[필요수량],tbl_input[집계키_지청],E1395)))</f>
        <v/>
      </c>
      <c r="E1395" t="str">
        <f>IFERROR(INDEX(tbl_input[집계키_지청],ROW()-1),"")</f>
        <v/>
      </c>
      <c r="F1395" t="str">
        <f t="shared" si="108"/>
        <v/>
      </c>
      <c r="G1395" t="str">
        <f t="shared" si="109"/>
        <v/>
      </c>
    </row>
    <row r="1396" spans="1:7" x14ac:dyDescent="0.4">
      <c r="A1396" t="str">
        <f t="shared" si="105"/>
        <v/>
      </c>
      <c r="B1396" t="str">
        <f t="shared" si="106"/>
        <v/>
      </c>
      <c r="C1396" t="str">
        <f t="shared" si="107"/>
        <v/>
      </c>
      <c r="D1396" t="str">
        <f>IF(E1396="","",IF(COUNTIF($E$2:E1396,E1396)&gt;1,"",SUMIFS(tbl_input[필요수량],tbl_input[집계키_지청],E1396)))</f>
        <v/>
      </c>
      <c r="E1396" t="str">
        <f>IFERROR(INDEX(tbl_input[집계키_지청],ROW()-1),"")</f>
        <v/>
      </c>
      <c r="F1396" t="str">
        <f t="shared" si="108"/>
        <v/>
      </c>
      <c r="G1396" t="str">
        <f t="shared" si="109"/>
        <v/>
      </c>
    </row>
    <row r="1397" spans="1:7" x14ac:dyDescent="0.4">
      <c r="A1397" t="str">
        <f t="shared" si="105"/>
        <v/>
      </c>
      <c r="B1397" t="str">
        <f t="shared" si="106"/>
        <v/>
      </c>
      <c r="C1397" t="str">
        <f t="shared" si="107"/>
        <v/>
      </c>
      <c r="D1397" t="str">
        <f>IF(E1397="","",IF(COUNTIF($E$2:E1397,E1397)&gt;1,"",SUMIFS(tbl_input[필요수량],tbl_input[집계키_지청],E1397)))</f>
        <v/>
      </c>
      <c r="E1397" t="str">
        <f>IFERROR(INDEX(tbl_input[집계키_지청],ROW()-1),"")</f>
        <v/>
      </c>
      <c r="F1397" t="str">
        <f t="shared" si="108"/>
        <v/>
      </c>
      <c r="G1397" t="str">
        <f t="shared" si="109"/>
        <v/>
      </c>
    </row>
    <row r="1398" spans="1:7" x14ac:dyDescent="0.4">
      <c r="A1398" t="str">
        <f t="shared" si="105"/>
        <v/>
      </c>
      <c r="B1398" t="str">
        <f t="shared" si="106"/>
        <v/>
      </c>
      <c r="C1398" t="str">
        <f t="shared" si="107"/>
        <v/>
      </c>
      <c r="D1398" t="str">
        <f>IF(E1398="","",IF(COUNTIF($E$2:E1398,E1398)&gt;1,"",SUMIFS(tbl_input[필요수량],tbl_input[집계키_지청],E1398)))</f>
        <v/>
      </c>
      <c r="E1398" t="str">
        <f>IFERROR(INDEX(tbl_input[집계키_지청],ROW()-1),"")</f>
        <v/>
      </c>
      <c r="F1398" t="str">
        <f t="shared" si="108"/>
        <v/>
      </c>
      <c r="G1398" t="str">
        <f t="shared" si="109"/>
        <v/>
      </c>
    </row>
    <row r="1399" spans="1:7" x14ac:dyDescent="0.4">
      <c r="A1399" t="str">
        <f t="shared" si="105"/>
        <v/>
      </c>
      <c r="B1399" t="str">
        <f t="shared" si="106"/>
        <v/>
      </c>
      <c r="C1399" t="str">
        <f t="shared" si="107"/>
        <v/>
      </c>
      <c r="D1399" t="str">
        <f>IF(E1399="","",IF(COUNTIF($E$2:E1399,E1399)&gt;1,"",SUMIFS(tbl_input[필요수량],tbl_input[집계키_지청],E1399)))</f>
        <v/>
      </c>
      <c r="E1399" t="str">
        <f>IFERROR(INDEX(tbl_input[집계키_지청],ROW()-1),"")</f>
        <v/>
      </c>
      <c r="F1399" t="str">
        <f t="shared" si="108"/>
        <v/>
      </c>
      <c r="G1399" t="str">
        <f t="shared" si="109"/>
        <v/>
      </c>
    </row>
    <row r="1400" spans="1:7" x14ac:dyDescent="0.4">
      <c r="A1400" t="str">
        <f t="shared" si="105"/>
        <v/>
      </c>
      <c r="B1400" t="str">
        <f t="shared" si="106"/>
        <v/>
      </c>
      <c r="C1400" t="str">
        <f t="shared" si="107"/>
        <v/>
      </c>
      <c r="D1400" t="str">
        <f>IF(E1400="","",IF(COUNTIF($E$2:E1400,E1400)&gt;1,"",SUMIFS(tbl_input[필요수량],tbl_input[집계키_지청],E1400)))</f>
        <v/>
      </c>
      <c r="E1400" t="str">
        <f>IFERROR(INDEX(tbl_input[집계키_지청],ROW()-1),"")</f>
        <v/>
      </c>
      <c r="F1400" t="str">
        <f t="shared" si="108"/>
        <v/>
      </c>
      <c r="G1400" t="str">
        <f t="shared" si="109"/>
        <v/>
      </c>
    </row>
    <row r="1401" spans="1:7" x14ac:dyDescent="0.4">
      <c r="A1401" t="str">
        <f t="shared" si="105"/>
        <v/>
      </c>
      <c r="B1401" t="str">
        <f t="shared" si="106"/>
        <v/>
      </c>
      <c r="C1401" t="str">
        <f t="shared" si="107"/>
        <v/>
      </c>
      <c r="D1401" t="str">
        <f>IF(E1401="","",IF(COUNTIF($E$2:E1401,E1401)&gt;1,"",SUMIFS(tbl_input[필요수량],tbl_input[집계키_지청],E1401)))</f>
        <v/>
      </c>
      <c r="E1401" t="str">
        <f>IFERROR(INDEX(tbl_input[집계키_지청],ROW()-1),"")</f>
        <v/>
      </c>
      <c r="F1401" t="str">
        <f t="shared" si="108"/>
        <v/>
      </c>
      <c r="G1401" t="str">
        <f t="shared" si="109"/>
        <v/>
      </c>
    </row>
    <row r="1402" spans="1:7" x14ac:dyDescent="0.4">
      <c r="A1402" t="str">
        <f t="shared" si="105"/>
        <v/>
      </c>
      <c r="B1402" t="str">
        <f t="shared" si="106"/>
        <v/>
      </c>
      <c r="C1402" t="str">
        <f t="shared" si="107"/>
        <v/>
      </c>
      <c r="D1402" t="str">
        <f>IF(E1402="","",IF(COUNTIF($E$2:E1402,E1402)&gt;1,"",SUMIFS(tbl_input[필요수량],tbl_input[집계키_지청],E1402)))</f>
        <v/>
      </c>
      <c r="E1402" t="str">
        <f>IFERROR(INDEX(tbl_input[집계키_지청],ROW()-1),"")</f>
        <v/>
      </c>
      <c r="F1402" t="str">
        <f t="shared" si="108"/>
        <v/>
      </c>
      <c r="G1402" t="str">
        <f t="shared" si="109"/>
        <v/>
      </c>
    </row>
    <row r="1403" spans="1:7" x14ac:dyDescent="0.4">
      <c r="A1403" t="str">
        <f t="shared" si="105"/>
        <v/>
      </c>
      <c r="B1403" t="str">
        <f t="shared" si="106"/>
        <v/>
      </c>
      <c r="C1403" t="str">
        <f t="shared" si="107"/>
        <v/>
      </c>
      <c r="D1403" t="str">
        <f>IF(E1403="","",IF(COUNTIF($E$2:E1403,E1403)&gt;1,"",SUMIFS(tbl_input[필요수량],tbl_input[집계키_지청],E1403)))</f>
        <v/>
      </c>
      <c r="E1403" t="str">
        <f>IFERROR(INDEX(tbl_input[집계키_지청],ROW()-1),"")</f>
        <v/>
      </c>
      <c r="F1403" t="str">
        <f t="shared" si="108"/>
        <v/>
      </c>
      <c r="G1403" t="str">
        <f t="shared" si="109"/>
        <v/>
      </c>
    </row>
    <row r="1404" spans="1:7" x14ac:dyDescent="0.4">
      <c r="A1404" t="str">
        <f t="shared" si="105"/>
        <v/>
      </c>
      <c r="B1404" t="str">
        <f t="shared" si="106"/>
        <v/>
      </c>
      <c r="C1404" t="str">
        <f t="shared" si="107"/>
        <v/>
      </c>
      <c r="D1404" t="str">
        <f>IF(E1404="","",IF(COUNTIF($E$2:E1404,E1404)&gt;1,"",SUMIFS(tbl_input[필요수량],tbl_input[집계키_지청],E1404)))</f>
        <v/>
      </c>
      <c r="E1404" t="str">
        <f>IFERROR(INDEX(tbl_input[집계키_지청],ROW()-1),"")</f>
        <v/>
      </c>
      <c r="F1404" t="str">
        <f t="shared" si="108"/>
        <v/>
      </c>
      <c r="G1404" t="str">
        <f t="shared" si="109"/>
        <v/>
      </c>
    </row>
    <row r="1405" spans="1:7" x14ac:dyDescent="0.4">
      <c r="A1405" t="str">
        <f t="shared" si="105"/>
        <v/>
      </c>
      <c r="B1405" t="str">
        <f t="shared" si="106"/>
        <v/>
      </c>
      <c r="C1405" t="str">
        <f t="shared" si="107"/>
        <v/>
      </c>
      <c r="D1405" t="str">
        <f>IF(E1405="","",IF(COUNTIF($E$2:E1405,E1405)&gt;1,"",SUMIFS(tbl_input[필요수량],tbl_input[집계키_지청],E1405)))</f>
        <v/>
      </c>
      <c r="E1405" t="str">
        <f>IFERROR(INDEX(tbl_input[집계키_지청],ROW()-1),"")</f>
        <v/>
      </c>
      <c r="F1405" t="str">
        <f t="shared" si="108"/>
        <v/>
      </c>
      <c r="G1405" t="str">
        <f t="shared" si="109"/>
        <v/>
      </c>
    </row>
    <row r="1406" spans="1:7" x14ac:dyDescent="0.4">
      <c r="A1406" t="str">
        <f t="shared" si="105"/>
        <v/>
      </c>
      <c r="B1406" t="str">
        <f t="shared" si="106"/>
        <v/>
      </c>
      <c r="C1406" t="str">
        <f t="shared" si="107"/>
        <v/>
      </c>
      <c r="D1406" t="str">
        <f>IF(E1406="","",IF(COUNTIF($E$2:E1406,E1406)&gt;1,"",SUMIFS(tbl_input[필요수량],tbl_input[집계키_지청],E1406)))</f>
        <v/>
      </c>
      <c r="E1406" t="str">
        <f>IFERROR(INDEX(tbl_input[집계키_지청],ROW()-1),"")</f>
        <v/>
      </c>
      <c r="F1406" t="str">
        <f t="shared" si="108"/>
        <v/>
      </c>
      <c r="G1406" t="str">
        <f t="shared" si="109"/>
        <v/>
      </c>
    </row>
    <row r="1407" spans="1:7" x14ac:dyDescent="0.4">
      <c r="A1407" t="str">
        <f t="shared" si="105"/>
        <v/>
      </c>
      <c r="B1407" t="str">
        <f t="shared" si="106"/>
        <v/>
      </c>
      <c r="C1407" t="str">
        <f t="shared" si="107"/>
        <v/>
      </c>
      <c r="D1407" t="str">
        <f>IF(E1407="","",IF(COUNTIF($E$2:E1407,E1407)&gt;1,"",SUMIFS(tbl_input[필요수량],tbl_input[집계키_지청],E1407)))</f>
        <v/>
      </c>
      <c r="E1407" t="str">
        <f>IFERROR(INDEX(tbl_input[집계키_지청],ROW()-1),"")</f>
        <v/>
      </c>
      <c r="F1407" t="str">
        <f t="shared" si="108"/>
        <v/>
      </c>
      <c r="G1407" t="str">
        <f t="shared" si="109"/>
        <v/>
      </c>
    </row>
    <row r="1408" spans="1:7" x14ac:dyDescent="0.4">
      <c r="A1408" t="str">
        <f t="shared" si="105"/>
        <v/>
      </c>
      <c r="B1408" t="str">
        <f t="shared" si="106"/>
        <v/>
      </c>
      <c r="C1408" t="str">
        <f t="shared" si="107"/>
        <v/>
      </c>
      <c r="D1408" t="str">
        <f>IF(E1408="","",IF(COUNTIF($E$2:E1408,E1408)&gt;1,"",SUMIFS(tbl_input[필요수량],tbl_input[집계키_지청],E1408)))</f>
        <v/>
      </c>
      <c r="E1408" t="str">
        <f>IFERROR(INDEX(tbl_input[집계키_지청],ROW()-1),"")</f>
        <v/>
      </c>
      <c r="F1408" t="str">
        <f t="shared" si="108"/>
        <v/>
      </c>
      <c r="G1408" t="str">
        <f t="shared" si="109"/>
        <v/>
      </c>
    </row>
    <row r="1409" spans="1:7" x14ac:dyDescent="0.4">
      <c r="A1409" t="str">
        <f t="shared" si="105"/>
        <v/>
      </c>
      <c r="B1409" t="str">
        <f t="shared" si="106"/>
        <v/>
      </c>
      <c r="C1409" t="str">
        <f t="shared" si="107"/>
        <v/>
      </c>
      <c r="D1409" t="str">
        <f>IF(E1409="","",IF(COUNTIF($E$2:E1409,E1409)&gt;1,"",SUMIFS(tbl_input[필요수량],tbl_input[집계키_지청],E1409)))</f>
        <v/>
      </c>
      <c r="E1409" t="str">
        <f>IFERROR(INDEX(tbl_input[집계키_지청],ROW()-1),"")</f>
        <v/>
      </c>
      <c r="F1409" t="str">
        <f t="shared" si="108"/>
        <v/>
      </c>
      <c r="G1409" t="str">
        <f t="shared" si="109"/>
        <v/>
      </c>
    </row>
    <row r="1410" spans="1:7" x14ac:dyDescent="0.4">
      <c r="A1410" t="str">
        <f t="shared" ref="A1410:A1473" si="110">IF(E1410="","",LEFT(E1410,F1410-1))</f>
        <v/>
      </c>
      <c r="B1410" t="str">
        <f t="shared" ref="B1410:B1473" si="111">IF(E1410="","",MID(E1410,F1410+1,G1410-F1410-1))</f>
        <v/>
      </c>
      <c r="C1410" t="str">
        <f t="shared" ref="C1410:C1473" si="112">IF(E1410="","",MID(E1410,G1410+1,999))</f>
        <v/>
      </c>
      <c r="D1410" t="str">
        <f>IF(E1410="","",IF(COUNTIF($E$2:E1410,E1410)&gt;1,"",SUMIFS(tbl_input[필요수량],tbl_input[집계키_지청],E1410)))</f>
        <v/>
      </c>
      <c r="E1410" t="str">
        <f>IFERROR(INDEX(tbl_input[집계키_지청],ROW()-1),"")</f>
        <v/>
      </c>
      <c r="F1410" t="str">
        <f t="shared" ref="F1410:F1473" si="113">IF(E1410="","",FIND("♦",E1410))</f>
        <v/>
      </c>
      <c r="G1410" t="str">
        <f t="shared" ref="G1410:G1473" si="114">IF(E1410="","",FIND("♦",E1410,F1410+1))</f>
        <v/>
      </c>
    </row>
    <row r="1411" spans="1:7" x14ac:dyDescent="0.4">
      <c r="A1411" t="str">
        <f t="shared" si="110"/>
        <v/>
      </c>
      <c r="B1411" t="str">
        <f t="shared" si="111"/>
        <v/>
      </c>
      <c r="C1411" t="str">
        <f t="shared" si="112"/>
        <v/>
      </c>
      <c r="D1411" t="str">
        <f>IF(E1411="","",IF(COUNTIF($E$2:E1411,E1411)&gt;1,"",SUMIFS(tbl_input[필요수량],tbl_input[집계키_지청],E1411)))</f>
        <v/>
      </c>
      <c r="E1411" t="str">
        <f>IFERROR(INDEX(tbl_input[집계키_지청],ROW()-1),"")</f>
        <v/>
      </c>
      <c r="F1411" t="str">
        <f t="shared" si="113"/>
        <v/>
      </c>
      <c r="G1411" t="str">
        <f t="shared" si="114"/>
        <v/>
      </c>
    </row>
    <row r="1412" spans="1:7" x14ac:dyDescent="0.4">
      <c r="A1412" t="str">
        <f t="shared" si="110"/>
        <v/>
      </c>
      <c r="B1412" t="str">
        <f t="shared" si="111"/>
        <v/>
      </c>
      <c r="C1412" t="str">
        <f t="shared" si="112"/>
        <v/>
      </c>
      <c r="D1412" t="str">
        <f>IF(E1412="","",IF(COUNTIF($E$2:E1412,E1412)&gt;1,"",SUMIFS(tbl_input[필요수량],tbl_input[집계키_지청],E1412)))</f>
        <v/>
      </c>
      <c r="E1412" t="str">
        <f>IFERROR(INDEX(tbl_input[집계키_지청],ROW()-1),"")</f>
        <v/>
      </c>
      <c r="F1412" t="str">
        <f t="shared" si="113"/>
        <v/>
      </c>
      <c r="G1412" t="str">
        <f t="shared" si="114"/>
        <v/>
      </c>
    </row>
    <row r="1413" spans="1:7" x14ac:dyDescent="0.4">
      <c r="A1413" t="str">
        <f t="shared" si="110"/>
        <v/>
      </c>
      <c r="B1413" t="str">
        <f t="shared" si="111"/>
        <v/>
      </c>
      <c r="C1413" t="str">
        <f t="shared" si="112"/>
        <v/>
      </c>
      <c r="D1413" t="str">
        <f>IF(E1413="","",IF(COUNTIF($E$2:E1413,E1413)&gt;1,"",SUMIFS(tbl_input[필요수량],tbl_input[집계키_지청],E1413)))</f>
        <v/>
      </c>
      <c r="E1413" t="str">
        <f>IFERROR(INDEX(tbl_input[집계키_지청],ROW()-1),"")</f>
        <v/>
      </c>
      <c r="F1413" t="str">
        <f t="shared" si="113"/>
        <v/>
      </c>
      <c r="G1413" t="str">
        <f t="shared" si="114"/>
        <v/>
      </c>
    </row>
    <row r="1414" spans="1:7" x14ac:dyDescent="0.4">
      <c r="A1414" t="str">
        <f t="shared" si="110"/>
        <v/>
      </c>
      <c r="B1414" t="str">
        <f t="shared" si="111"/>
        <v/>
      </c>
      <c r="C1414" t="str">
        <f t="shared" si="112"/>
        <v/>
      </c>
      <c r="D1414" t="str">
        <f>IF(E1414="","",IF(COUNTIF($E$2:E1414,E1414)&gt;1,"",SUMIFS(tbl_input[필요수량],tbl_input[집계키_지청],E1414)))</f>
        <v/>
      </c>
      <c r="E1414" t="str">
        <f>IFERROR(INDEX(tbl_input[집계키_지청],ROW()-1),"")</f>
        <v/>
      </c>
      <c r="F1414" t="str">
        <f t="shared" si="113"/>
        <v/>
      </c>
      <c r="G1414" t="str">
        <f t="shared" si="114"/>
        <v/>
      </c>
    </row>
    <row r="1415" spans="1:7" x14ac:dyDescent="0.4">
      <c r="A1415" t="str">
        <f t="shared" si="110"/>
        <v/>
      </c>
      <c r="B1415" t="str">
        <f t="shared" si="111"/>
        <v/>
      </c>
      <c r="C1415" t="str">
        <f t="shared" si="112"/>
        <v/>
      </c>
      <c r="D1415" t="str">
        <f>IF(E1415="","",IF(COUNTIF($E$2:E1415,E1415)&gt;1,"",SUMIFS(tbl_input[필요수량],tbl_input[집계키_지청],E1415)))</f>
        <v/>
      </c>
      <c r="E1415" t="str">
        <f>IFERROR(INDEX(tbl_input[집계키_지청],ROW()-1),"")</f>
        <v/>
      </c>
      <c r="F1415" t="str">
        <f t="shared" si="113"/>
        <v/>
      </c>
      <c r="G1415" t="str">
        <f t="shared" si="114"/>
        <v/>
      </c>
    </row>
    <row r="1416" spans="1:7" x14ac:dyDescent="0.4">
      <c r="A1416" t="str">
        <f t="shared" si="110"/>
        <v/>
      </c>
      <c r="B1416" t="str">
        <f t="shared" si="111"/>
        <v/>
      </c>
      <c r="C1416" t="str">
        <f t="shared" si="112"/>
        <v/>
      </c>
      <c r="D1416" t="str">
        <f>IF(E1416="","",IF(COUNTIF($E$2:E1416,E1416)&gt;1,"",SUMIFS(tbl_input[필요수량],tbl_input[집계키_지청],E1416)))</f>
        <v/>
      </c>
      <c r="E1416" t="str">
        <f>IFERROR(INDEX(tbl_input[집계키_지청],ROW()-1),"")</f>
        <v/>
      </c>
      <c r="F1416" t="str">
        <f t="shared" si="113"/>
        <v/>
      </c>
      <c r="G1416" t="str">
        <f t="shared" si="114"/>
        <v/>
      </c>
    </row>
    <row r="1417" spans="1:7" x14ac:dyDescent="0.4">
      <c r="A1417" t="str">
        <f t="shared" si="110"/>
        <v/>
      </c>
      <c r="B1417" t="str">
        <f t="shared" si="111"/>
        <v/>
      </c>
      <c r="C1417" t="str">
        <f t="shared" si="112"/>
        <v/>
      </c>
      <c r="D1417" t="str">
        <f>IF(E1417="","",IF(COUNTIF($E$2:E1417,E1417)&gt;1,"",SUMIFS(tbl_input[필요수량],tbl_input[집계키_지청],E1417)))</f>
        <v/>
      </c>
      <c r="E1417" t="str">
        <f>IFERROR(INDEX(tbl_input[집계키_지청],ROW()-1),"")</f>
        <v/>
      </c>
      <c r="F1417" t="str">
        <f t="shared" si="113"/>
        <v/>
      </c>
      <c r="G1417" t="str">
        <f t="shared" si="114"/>
        <v/>
      </c>
    </row>
    <row r="1418" spans="1:7" x14ac:dyDescent="0.4">
      <c r="A1418" t="str">
        <f t="shared" si="110"/>
        <v/>
      </c>
      <c r="B1418" t="str">
        <f t="shared" si="111"/>
        <v/>
      </c>
      <c r="C1418" t="str">
        <f t="shared" si="112"/>
        <v/>
      </c>
      <c r="D1418" t="str">
        <f>IF(E1418="","",IF(COUNTIF($E$2:E1418,E1418)&gt;1,"",SUMIFS(tbl_input[필요수량],tbl_input[집계키_지청],E1418)))</f>
        <v/>
      </c>
      <c r="E1418" t="str">
        <f>IFERROR(INDEX(tbl_input[집계키_지청],ROW()-1),"")</f>
        <v/>
      </c>
      <c r="F1418" t="str">
        <f t="shared" si="113"/>
        <v/>
      </c>
      <c r="G1418" t="str">
        <f t="shared" si="114"/>
        <v/>
      </c>
    </row>
    <row r="1419" spans="1:7" x14ac:dyDescent="0.4">
      <c r="A1419" t="str">
        <f t="shared" si="110"/>
        <v/>
      </c>
      <c r="B1419" t="str">
        <f t="shared" si="111"/>
        <v/>
      </c>
      <c r="C1419" t="str">
        <f t="shared" si="112"/>
        <v/>
      </c>
      <c r="D1419" t="str">
        <f>IF(E1419="","",IF(COUNTIF($E$2:E1419,E1419)&gt;1,"",SUMIFS(tbl_input[필요수량],tbl_input[집계키_지청],E1419)))</f>
        <v/>
      </c>
      <c r="E1419" t="str">
        <f>IFERROR(INDEX(tbl_input[집계키_지청],ROW()-1),"")</f>
        <v/>
      </c>
      <c r="F1419" t="str">
        <f t="shared" si="113"/>
        <v/>
      </c>
      <c r="G1419" t="str">
        <f t="shared" si="114"/>
        <v/>
      </c>
    </row>
    <row r="1420" spans="1:7" x14ac:dyDescent="0.4">
      <c r="A1420" t="str">
        <f t="shared" si="110"/>
        <v/>
      </c>
      <c r="B1420" t="str">
        <f t="shared" si="111"/>
        <v/>
      </c>
      <c r="C1420" t="str">
        <f t="shared" si="112"/>
        <v/>
      </c>
      <c r="D1420" t="str">
        <f>IF(E1420="","",IF(COUNTIF($E$2:E1420,E1420)&gt;1,"",SUMIFS(tbl_input[필요수량],tbl_input[집계키_지청],E1420)))</f>
        <v/>
      </c>
      <c r="E1420" t="str">
        <f>IFERROR(INDEX(tbl_input[집계키_지청],ROW()-1),"")</f>
        <v/>
      </c>
      <c r="F1420" t="str">
        <f t="shared" si="113"/>
        <v/>
      </c>
      <c r="G1420" t="str">
        <f t="shared" si="114"/>
        <v/>
      </c>
    </row>
    <row r="1421" spans="1:7" x14ac:dyDescent="0.4">
      <c r="A1421" t="str">
        <f t="shared" si="110"/>
        <v/>
      </c>
      <c r="B1421" t="str">
        <f t="shared" si="111"/>
        <v/>
      </c>
      <c r="C1421" t="str">
        <f t="shared" si="112"/>
        <v/>
      </c>
      <c r="D1421" t="str">
        <f>IF(E1421="","",IF(COUNTIF($E$2:E1421,E1421)&gt;1,"",SUMIFS(tbl_input[필요수량],tbl_input[집계키_지청],E1421)))</f>
        <v/>
      </c>
      <c r="E1421" t="str">
        <f>IFERROR(INDEX(tbl_input[집계키_지청],ROW()-1),"")</f>
        <v/>
      </c>
      <c r="F1421" t="str">
        <f t="shared" si="113"/>
        <v/>
      </c>
      <c r="G1421" t="str">
        <f t="shared" si="114"/>
        <v/>
      </c>
    </row>
    <row r="1422" spans="1:7" x14ac:dyDescent="0.4">
      <c r="A1422" t="str">
        <f t="shared" si="110"/>
        <v/>
      </c>
      <c r="B1422" t="str">
        <f t="shared" si="111"/>
        <v/>
      </c>
      <c r="C1422" t="str">
        <f t="shared" si="112"/>
        <v/>
      </c>
      <c r="D1422" t="str">
        <f>IF(E1422="","",IF(COUNTIF($E$2:E1422,E1422)&gt;1,"",SUMIFS(tbl_input[필요수량],tbl_input[집계키_지청],E1422)))</f>
        <v/>
      </c>
      <c r="E1422" t="str">
        <f>IFERROR(INDEX(tbl_input[집계키_지청],ROW()-1),"")</f>
        <v/>
      </c>
      <c r="F1422" t="str">
        <f t="shared" si="113"/>
        <v/>
      </c>
      <c r="G1422" t="str">
        <f t="shared" si="114"/>
        <v/>
      </c>
    </row>
    <row r="1423" spans="1:7" x14ac:dyDescent="0.4">
      <c r="A1423" t="str">
        <f t="shared" si="110"/>
        <v/>
      </c>
      <c r="B1423" t="str">
        <f t="shared" si="111"/>
        <v/>
      </c>
      <c r="C1423" t="str">
        <f t="shared" si="112"/>
        <v/>
      </c>
      <c r="D1423" t="str">
        <f>IF(E1423="","",IF(COUNTIF($E$2:E1423,E1423)&gt;1,"",SUMIFS(tbl_input[필요수량],tbl_input[집계키_지청],E1423)))</f>
        <v/>
      </c>
      <c r="E1423" t="str">
        <f>IFERROR(INDEX(tbl_input[집계키_지청],ROW()-1),"")</f>
        <v/>
      </c>
      <c r="F1423" t="str">
        <f t="shared" si="113"/>
        <v/>
      </c>
      <c r="G1423" t="str">
        <f t="shared" si="114"/>
        <v/>
      </c>
    </row>
    <row r="1424" spans="1:7" x14ac:dyDescent="0.4">
      <c r="A1424" t="str">
        <f t="shared" si="110"/>
        <v/>
      </c>
      <c r="B1424" t="str">
        <f t="shared" si="111"/>
        <v/>
      </c>
      <c r="C1424" t="str">
        <f t="shared" si="112"/>
        <v/>
      </c>
      <c r="D1424" t="str">
        <f>IF(E1424="","",IF(COUNTIF($E$2:E1424,E1424)&gt;1,"",SUMIFS(tbl_input[필요수량],tbl_input[집계키_지청],E1424)))</f>
        <v/>
      </c>
      <c r="E1424" t="str">
        <f>IFERROR(INDEX(tbl_input[집계키_지청],ROW()-1),"")</f>
        <v/>
      </c>
      <c r="F1424" t="str">
        <f t="shared" si="113"/>
        <v/>
      </c>
      <c r="G1424" t="str">
        <f t="shared" si="114"/>
        <v/>
      </c>
    </row>
    <row r="1425" spans="1:7" x14ac:dyDescent="0.4">
      <c r="A1425" t="str">
        <f t="shared" si="110"/>
        <v/>
      </c>
      <c r="B1425" t="str">
        <f t="shared" si="111"/>
        <v/>
      </c>
      <c r="C1425" t="str">
        <f t="shared" si="112"/>
        <v/>
      </c>
      <c r="D1425" t="str">
        <f>IF(E1425="","",IF(COUNTIF($E$2:E1425,E1425)&gt;1,"",SUMIFS(tbl_input[필요수량],tbl_input[집계키_지청],E1425)))</f>
        <v/>
      </c>
      <c r="E1425" t="str">
        <f>IFERROR(INDEX(tbl_input[집계키_지청],ROW()-1),"")</f>
        <v/>
      </c>
      <c r="F1425" t="str">
        <f t="shared" si="113"/>
        <v/>
      </c>
      <c r="G1425" t="str">
        <f t="shared" si="114"/>
        <v/>
      </c>
    </row>
    <row r="1426" spans="1:7" x14ac:dyDescent="0.4">
      <c r="A1426" t="str">
        <f t="shared" si="110"/>
        <v/>
      </c>
      <c r="B1426" t="str">
        <f t="shared" si="111"/>
        <v/>
      </c>
      <c r="C1426" t="str">
        <f t="shared" si="112"/>
        <v/>
      </c>
      <c r="D1426" t="str">
        <f>IF(E1426="","",IF(COUNTIF($E$2:E1426,E1426)&gt;1,"",SUMIFS(tbl_input[필요수량],tbl_input[집계키_지청],E1426)))</f>
        <v/>
      </c>
      <c r="E1426" t="str">
        <f>IFERROR(INDEX(tbl_input[집계키_지청],ROW()-1),"")</f>
        <v/>
      </c>
      <c r="F1426" t="str">
        <f t="shared" si="113"/>
        <v/>
      </c>
      <c r="G1426" t="str">
        <f t="shared" si="114"/>
        <v/>
      </c>
    </row>
    <row r="1427" spans="1:7" x14ac:dyDescent="0.4">
      <c r="A1427" t="str">
        <f t="shared" si="110"/>
        <v/>
      </c>
      <c r="B1427" t="str">
        <f t="shared" si="111"/>
        <v/>
      </c>
      <c r="C1427" t="str">
        <f t="shared" si="112"/>
        <v/>
      </c>
      <c r="D1427" t="str">
        <f>IF(E1427="","",IF(COUNTIF($E$2:E1427,E1427)&gt;1,"",SUMIFS(tbl_input[필요수량],tbl_input[집계키_지청],E1427)))</f>
        <v/>
      </c>
      <c r="E1427" t="str">
        <f>IFERROR(INDEX(tbl_input[집계키_지청],ROW()-1),"")</f>
        <v/>
      </c>
      <c r="F1427" t="str">
        <f t="shared" si="113"/>
        <v/>
      </c>
      <c r="G1427" t="str">
        <f t="shared" si="114"/>
        <v/>
      </c>
    </row>
    <row r="1428" spans="1:7" x14ac:dyDescent="0.4">
      <c r="A1428" t="str">
        <f t="shared" si="110"/>
        <v/>
      </c>
      <c r="B1428" t="str">
        <f t="shared" si="111"/>
        <v/>
      </c>
      <c r="C1428" t="str">
        <f t="shared" si="112"/>
        <v/>
      </c>
      <c r="D1428" t="str">
        <f>IF(E1428="","",IF(COUNTIF($E$2:E1428,E1428)&gt;1,"",SUMIFS(tbl_input[필요수량],tbl_input[집계키_지청],E1428)))</f>
        <v/>
      </c>
      <c r="E1428" t="str">
        <f>IFERROR(INDEX(tbl_input[집계키_지청],ROW()-1),"")</f>
        <v/>
      </c>
      <c r="F1428" t="str">
        <f t="shared" si="113"/>
        <v/>
      </c>
      <c r="G1428" t="str">
        <f t="shared" si="114"/>
        <v/>
      </c>
    </row>
    <row r="1429" spans="1:7" x14ac:dyDescent="0.4">
      <c r="A1429" t="str">
        <f t="shared" si="110"/>
        <v/>
      </c>
      <c r="B1429" t="str">
        <f t="shared" si="111"/>
        <v/>
      </c>
      <c r="C1429" t="str">
        <f t="shared" si="112"/>
        <v/>
      </c>
      <c r="D1429" t="str">
        <f>IF(E1429="","",IF(COUNTIF($E$2:E1429,E1429)&gt;1,"",SUMIFS(tbl_input[필요수량],tbl_input[집계키_지청],E1429)))</f>
        <v/>
      </c>
      <c r="E1429" t="str">
        <f>IFERROR(INDEX(tbl_input[집계키_지청],ROW()-1),"")</f>
        <v/>
      </c>
      <c r="F1429" t="str">
        <f t="shared" si="113"/>
        <v/>
      </c>
      <c r="G1429" t="str">
        <f t="shared" si="114"/>
        <v/>
      </c>
    </row>
    <row r="1430" spans="1:7" x14ac:dyDescent="0.4">
      <c r="A1430" t="str">
        <f t="shared" si="110"/>
        <v/>
      </c>
      <c r="B1430" t="str">
        <f t="shared" si="111"/>
        <v/>
      </c>
      <c r="C1430" t="str">
        <f t="shared" si="112"/>
        <v/>
      </c>
      <c r="D1430" t="str">
        <f>IF(E1430="","",IF(COUNTIF($E$2:E1430,E1430)&gt;1,"",SUMIFS(tbl_input[필요수량],tbl_input[집계키_지청],E1430)))</f>
        <v/>
      </c>
      <c r="E1430" t="str">
        <f>IFERROR(INDEX(tbl_input[집계키_지청],ROW()-1),"")</f>
        <v/>
      </c>
      <c r="F1430" t="str">
        <f t="shared" si="113"/>
        <v/>
      </c>
      <c r="G1430" t="str">
        <f t="shared" si="114"/>
        <v/>
      </c>
    </row>
    <row r="1431" spans="1:7" x14ac:dyDescent="0.4">
      <c r="A1431" t="str">
        <f t="shared" si="110"/>
        <v/>
      </c>
      <c r="B1431" t="str">
        <f t="shared" si="111"/>
        <v/>
      </c>
      <c r="C1431" t="str">
        <f t="shared" si="112"/>
        <v/>
      </c>
      <c r="D1431" t="str">
        <f>IF(E1431="","",IF(COUNTIF($E$2:E1431,E1431)&gt;1,"",SUMIFS(tbl_input[필요수량],tbl_input[집계키_지청],E1431)))</f>
        <v/>
      </c>
      <c r="E1431" t="str">
        <f>IFERROR(INDEX(tbl_input[집계키_지청],ROW()-1),"")</f>
        <v/>
      </c>
      <c r="F1431" t="str">
        <f t="shared" si="113"/>
        <v/>
      </c>
      <c r="G1431" t="str">
        <f t="shared" si="114"/>
        <v/>
      </c>
    </row>
    <row r="1432" spans="1:7" x14ac:dyDescent="0.4">
      <c r="A1432" t="str">
        <f t="shared" si="110"/>
        <v/>
      </c>
      <c r="B1432" t="str">
        <f t="shared" si="111"/>
        <v/>
      </c>
      <c r="C1432" t="str">
        <f t="shared" si="112"/>
        <v/>
      </c>
      <c r="D1432" t="str">
        <f>IF(E1432="","",IF(COUNTIF($E$2:E1432,E1432)&gt;1,"",SUMIFS(tbl_input[필요수량],tbl_input[집계키_지청],E1432)))</f>
        <v/>
      </c>
      <c r="E1432" t="str">
        <f>IFERROR(INDEX(tbl_input[집계키_지청],ROW()-1),"")</f>
        <v/>
      </c>
      <c r="F1432" t="str">
        <f t="shared" si="113"/>
        <v/>
      </c>
      <c r="G1432" t="str">
        <f t="shared" si="114"/>
        <v/>
      </c>
    </row>
    <row r="1433" spans="1:7" x14ac:dyDescent="0.4">
      <c r="A1433" t="str">
        <f t="shared" si="110"/>
        <v/>
      </c>
      <c r="B1433" t="str">
        <f t="shared" si="111"/>
        <v/>
      </c>
      <c r="C1433" t="str">
        <f t="shared" si="112"/>
        <v/>
      </c>
      <c r="D1433" t="str">
        <f>IF(E1433="","",IF(COUNTIF($E$2:E1433,E1433)&gt;1,"",SUMIFS(tbl_input[필요수량],tbl_input[집계키_지청],E1433)))</f>
        <v/>
      </c>
      <c r="E1433" t="str">
        <f>IFERROR(INDEX(tbl_input[집계키_지청],ROW()-1),"")</f>
        <v/>
      </c>
      <c r="F1433" t="str">
        <f t="shared" si="113"/>
        <v/>
      </c>
      <c r="G1433" t="str">
        <f t="shared" si="114"/>
        <v/>
      </c>
    </row>
    <row r="1434" spans="1:7" x14ac:dyDescent="0.4">
      <c r="A1434" t="str">
        <f t="shared" si="110"/>
        <v/>
      </c>
      <c r="B1434" t="str">
        <f t="shared" si="111"/>
        <v/>
      </c>
      <c r="C1434" t="str">
        <f t="shared" si="112"/>
        <v/>
      </c>
      <c r="D1434" t="str">
        <f>IF(E1434="","",IF(COUNTIF($E$2:E1434,E1434)&gt;1,"",SUMIFS(tbl_input[필요수량],tbl_input[집계키_지청],E1434)))</f>
        <v/>
      </c>
      <c r="E1434" t="str">
        <f>IFERROR(INDEX(tbl_input[집계키_지청],ROW()-1),"")</f>
        <v/>
      </c>
      <c r="F1434" t="str">
        <f t="shared" si="113"/>
        <v/>
      </c>
      <c r="G1434" t="str">
        <f t="shared" si="114"/>
        <v/>
      </c>
    </row>
    <row r="1435" spans="1:7" x14ac:dyDescent="0.4">
      <c r="A1435" t="str">
        <f t="shared" si="110"/>
        <v/>
      </c>
      <c r="B1435" t="str">
        <f t="shared" si="111"/>
        <v/>
      </c>
      <c r="C1435" t="str">
        <f t="shared" si="112"/>
        <v/>
      </c>
      <c r="D1435" t="str">
        <f>IF(E1435="","",IF(COUNTIF($E$2:E1435,E1435)&gt;1,"",SUMIFS(tbl_input[필요수량],tbl_input[집계키_지청],E1435)))</f>
        <v/>
      </c>
      <c r="E1435" t="str">
        <f>IFERROR(INDEX(tbl_input[집계키_지청],ROW()-1),"")</f>
        <v/>
      </c>
      <c r="F1435" t="str">
        <f t="shared" si="113"/>
        <v/>
      </c>
      <c r="G1435" t="str">
        <f t="shared" si="114"/>
        <v/>
      </c>
    </row>
    <row r="1436" spans="1:7" x14ac:dyDescent="0.4">
      <c r="A1436" t="str">
        <f t="shared" si="110"/>
        <v/>
      </c>
      <c r="B1436" t="str">
        <f t="shared" si="111"/>
        <v/>
      </c>
      <c r="C1436" t="str">
        <f t="shared" si="112"/>
        <v/>
      </c>
      <c r="D1436" t="str">
        <f>IF(E1436="","",IF(COUNTIF($E$2:E1436,E1436)&gt;1,"",SUMIFS(tbl_input[필요수량],tbl_input[집계키_지청],E1436)))</f>
        <v/>
      </c>
      <c r="E1436" t="str">
        <f>IFERROR(INDEX(tbl_input[집계키_지청],ROW()-1),"")</f>
        <v/>
      </c>
      <c r="F1436" t="str">
        <f t="shared" si="113"/>
        <v/>
      </c>
      <c r="G1436" t="str">
        <f t="shared" si="114"/>
        <v/>
      </c>
    </row>
    <row r="1437" spans="1:7" x14ac:dyDescent="0.4">
      <c r="A1437" t="str">
        <f t="shared" si="110"/>
        <v/>
      </c>
      <c r="B1437" t="str">
        <f t="shared" si="111"/>
        <v/>
      </c>
      <c r="C1437" t="str">
        <f t="shared" si="112"/>
        <v/>
      </c>
      <c r="D1437" t="str">
        <f>IF(E1437="","",IF(COUNTIF($E$2:E1437,E1437)&gt;1,"",SUMIFS(tbl_input[필요수량],tbl_input[집계키_지청],E1437)))</f>
        <v/>
      </c>
      <c r="E1437" t="str">
        <f>IFERROR(INDEX(tbl_input[집계키_지청],ROW()-1),"")</f>
        <v/>
      </c>
      <c r="F1437" t="str">
        <f t="shared" si="113"/>
        <v/>
      </c>
      <c r="G1437" t="str">
        <f t="shared" si="114"/>
        <v/>
      </c>
    </row>
    <row r="1438" spans="1:7" x14ac:dyDescent="0.4">
      <c r="A1438" t="str">
        <f t="shared" si="110"/>
        <v/>
      </c>
      <c r="B1438" t="str">
        <f t="shared" si="111"/>
        <v/>
      </c>
      <c r="C1438" t="str">
        <f t="shared" si="112"/>
        <v/>
      </c>
      <c r="D1438" t="str">
        <f>IF(E1438="","",IF(COUNTIF($E$2:E1438,E1438)&gt;1,"",SUMIFS(tbl_input[필요수량],tbl_input[집계키_지청],E1438)))</f>
        <v/>
      </c>
      <c r="E1438" t="str">
        <f>IFERROR(INDEX(tbl_input[집계키_지청],ROW()-1),"")</f>
        <v/>
      </c>
      <c r="F1438" t="str">
        <f t="shared" si="113"/>
        <v/>
      </c>
      <c r="G1438" t="str">
        <f t="shared" si="114"/>
        <v/>
      </c>
    </row>
    <row r="1439" spans="1:7" x14ac:dyDescent="0.4">
      <c r="A1439" t="str">
        <f t="shared" si="110"/>
        <v/>
      </c>
      <c r="B1439" t="str">
        <f t="shared" si="111"/>
        <v/>
      </c>
      <c r="C1439" t="str">
        <f t="shared" si="112"/>
        <v/>
      </c>
      <c r="D1439" t="str">
        <f>IF(E1439="","",IF(COUNTIF($E$2:E1439,E1439)&gt;1,"",SUMIFS(tbl_input[필요수량],tbl_input[집계키_지청],E1439)))</f>
        <v/>
      </c>
      <c r="E1439" t="str">
        <f>IFERROR(INDEX(tbl_input[집계키_지청],ROW()-1),"")</f>
        <v/>
      </c>
      <c r="F1439" t="str">
        <f t="shared" si="113"/>
        <v/>
      </c>
      <c r="G1439" t="str">
        <f t="shared" si="114"/>
        <v/>
      </c>
    </row>
    <row r="1440" spans="1:7" x14ac:dyDescent="0.4">
      <c r="A1440" t="str">
        <f t="shared" si="110"/>
        <v/>
      </c>
      <c r="B1440" t="str">
        <f t="shared" si="111"/>
        <v/>
      </c>
      <c r="C1440" t="str">
        <f t="shared" si="112"/>
        <v/>
      </c>
      <c r="D1440" t="str">
        <f>IF(E1440="","",IF(COUNTIF($E$2:E1440,E1440)&gt;1,"",SUMIFS(tbl_input[필요수량],tbl_input[집계키_지청],E1440)))</f>
        <v/>
      </c>
      <c r="E1440" t="str">
        <f>IFERROR(INDEX(tbl_input[집계키_지청],ROW()-1),"")</f>
        <v/>
      </c>
      <c r="F1440" t="str">
        <f t="shared" si="113"/>
        <v/>
      </c>
      <c r="G1440" t="str">
        <f t="shared" si="114"/>
        <v/>
      </c>
    </row>
    <row r="1441" spans="1:7" x14ac:dyDescent="0.4">
      <c r="A1441" t="str">
        <f t="shared" si="110"/>
        <v/>
      </c>
      <c r="B1441" t="str">
        <f t="shared" si="111"/>
        <v/>
      </c>
      <c r="C1441" t="str">
        <f t="shared" si="112"/>
        <v/>
      </c>
      <c r="D1441" t="str">
        <f>IF(E1441="","",IF(COUNTIF($E$2:E1441,E1441)&gt;1,"",SUMIFS(tbl_input[필요수량],tbl_input[집계키_지청],E1441)))</f>
        <v/>
      </c>
      <c r="E1441" t="str">
        <f>IFERROR(INDEX(tbl_input[집계키_지청],ROW()-1),"")</f>
        <v/>
      </c>
      <c r="F1441" t="str">
        <f t="shared" si="113"/>
        <v/>
      </c>
      <c r="G1441" t="str">
        <f t="shared" si="114"/>
        <v/>
      </c>
    </row>
    <row r="1442" spans="1:7" x14ac:dyDescent="0.4">
      <c r="A1442" t="str">
        <f t="shared" si="110"/>
        <v/>
      </c>
      <c r="B1442" t="str">
        <f t="shared" si="111"/>
        <v/>
      </c>
      <c r="C1442" t="str">
        <f t="shared" si="112"/>
        <v/>
      </c>
      <c r="D1442" t="str">
        <f>IF(E1442="","",IF(COUNTIF($E$2:E1442,E1442)&gt;1,"",SUMIFS(tbl_input[필요수량],tbl_input[집계키_지청],E1442)))</f>
        <v/>
      </c>
      <c r="E1442" t="str">
        <f>IFERROR(INDEX(tbl_input[집계키_지청],ROW()-1),"")</f>
        <v/>
      </c>
      <c r="F1442" t="str">
        <f t="shared" si="113"/>
        <v/>
      </c>
      <c r="G1442" t="str">
        <f t="shared" si="114"/>
        <v/>
      </c>
    </row>
    <row r="1443" spans="1:7" x14ac:dyDescent="0.4">
      <c r="A1443" t="str">
        <f t="shared" si="110"/>
        <v/>
      </c>
      <c r="B1443" t="str">
        <f t="shared" si="111"/>
        <v/>
      </c>
      <c r="C1443" t="str">
        <f t="shared" si="112"/>
        <v/>
      </c>
      <c r="D1443" t="str">
        <f>IF(E1443="","",IF(COUNTIF($E$2:E1443,E1443)&gt;1,"",SUMIFS(tbl_input[필요수량],tbl_input[집계키_지청],E1443)))</f>
        <v/>
      </c>
      <c r="E1443" t="str">
        <f>IFERROR(INDEX(tbl_input[집계키_지청],ROW()-1),"")</f>
        <v/>
      </c>
      <c r="F1443" t="str">
        <f t="shared" si="113"/>
        <v/>
      </c>
      <c r="G1443" t="str">
        <f t="shared" si="114"/>
        <v/>
      </c>
    </row>
    <row r="1444" spans="1:7" x14ac:dyDescent="0.4">
      <c r="A1444" t="str">
        <f t="shared" si="110"/>
        <v/>
      </c>
      <c r="B1444" t="str">
        <f t="shared" si="111"/>
        <v/>
      </c>
      <c r="C1444" t="str">
        <f t="shared" si="112"/>
        <v/>
      </c>
      <c r="D1444" t="str">
        <f>IF(E1444="","",IF(COUNTIF($E$2:E1444,E1444)&gt;1,"",SUMIFS(tbl_input[필요수량],tbl_input[집계키_지청],E1444)))</f>
        <v/>
      </c>
      <c r="E1444" t="str">
        <f>IFERROR(INDEX(tbl_input[집계키_지청],ROW()-1),"")</f>
        <v/>
      </c>
      <c r="F1444" t="str">
        <f t="shared" si="113"/>
        <v/>
      </c>
      <c r="G1444" t="str">
        <f t="shared" si="114"/>
        <v/>
      </c>
    </row>
    <row r="1445" spans="1:7" x14ac:dyDescent="0.4">
      <c r="A1445" t="str">
        <f t="shared" si="110"/>
        <v/>
      </c>
      <c r="B1445" t="str">
        <f t="shared" si="111"/>
        <v/>
      </c>
      <c r="C1445" t="str">
        <f t="shared" si="112"/>
        <v/>
      </c>
      <c r="D1445" t="str">
        <f>IF(E1445="","",IF(COUNTIF($E$2:E1445,E1445)&gt;1,"",SUMIFS(tbl_input[필요수량],tbl_input[집계키_지청],E1445)))</f>
        <v/>
      </c>
      <c r="E1445" t="str">
        <f>IFERROR(INDEX(tbl_input[집계키_지청],ROW()-1),"")</f>
        <v/>
      </c>
      <c r="F1445" t="str">
        <f t="shared" si="113"/>
        <v/>
      </c>
      <c r="G1445" t="str">
        <f t="shared" si="114"/>
        <v/>
      </c>
    </row>
    <row r="1446" spans="1:7" x14ac:dyDescent="0.4">
      <c r="A1446" t="str">
        <f t="shared" si="110"/>
        <v/>
      </c>
      <c r="B1446" t="str">
        <f t="shared" si="111"/>
        <v/>
      </c>
      <c r="C1446" t="str">
        <f t="shared" si="112"/>
        <v/>
      </c>
      <c r="D1446" t="str">
        <f>IF(E1446="","",IF(COUNTIF($E$2:E1446,E1446)&gt;1,"",SUMIFS(tbl_input[필요수량],tbl_input[집계키_지청],E1446)))</f>
        <v/>
      </c>
      <c r="E1446" t="str">
        <f>IFERROR(INDEX(tbl_input[집계키_지청],ROW()-1),"")</f>
        <v/>
      </c>
      <c r="F1446" t="str">
        <f t="shared" si="113"/>
        <v/>
      </c>
      <c r="G1446" t="str">
        <f t="shared" si="114"/>
        <v/>
      </c>
    </row>
    <row r="1447" spans="1:7" x14ac:dyDescent="0.4">
      <c r="A1447" t="str">
        <f t="shared" si="110"/>
        <v/>
      </c>
      <c r="B1447" t="str">
        <f t="shared" si="111"/>
        <v/>
      </c>
      <c r="C1447" t="str">
        <f t="shared" si="112"/>
        <v/>
      </c>
      <c r="D1447" t="str">
        <f>IF(E1447="","",IF(COUNTIF($E$2:E1447,E1447)&gt;1,"",SUMIFS(tbl_input[필요수량],tbl_input[집계키_지청],E1447)))</f>
        <v/>
      </c>
      <c r="E1447" t="str">
        <f>IFERROR(INDEX(tbl_input[집계키_지청],ROW()-1),"")</f>
        <v/>
      </c>
      <c r="F1447" t="str">
        <f t="shared" si="113"/>
        <v/>
      </c>
      <c r="G1447" t="str">
        <f t="shared" si="114"/>
        <v/>
      </c>
    </row>
    <row r="1448" spans="1:7" x14ac:dyDescent="0.4">
      <c r="A1448" t="str">
        <f t="shared" si="110"/>
        <v/>
      </c>
      <c r="B1448" t="str">
        <f t="shared" si="111"/>
        <v/>
      </c>
      <c r="C1448" t="str">
        <f t="shared" si="112"/>
        <v/>
      </c>
      <c r="D1448" t="str">
        <f>IF(E1448="","",IF(COUNTIF($E$2:E1448,E1448)&gt;1,"",SUMIFS(tbl_input[필요수량],tbl_input[집계키_지청],E1448)))</f>
        <v/>
      </c>
      <c r="E1448" t="str">
        <f>IFERROR(INDEX(tbl_input[집계키_지청],ROW()-1),"")</f>
        <v/>
      </c>
      <c r="F1448" t="str">
        <f t="shared" si="113"/>
        <v/>
      </c>
      <c r="G1448" t="str">
        <f t="shared" si="114"/>
        <v/>
      </c>
    </row>
    <row r="1449" spans="1:7" x14ac:dyDescent="0.4">
      <c r="A1449" t="str">
        <f t="shared" si="110"/>
        <v/>
      </c>
      <c r="B1449" t="str">
        <f t="shared" si="111"/>
        <v/>
      </c>
      <c r="C1449" t="str">
        <f t="shared" si="112"/>
        <v/>
      </c>
      <c r="D1449" t="str">
        <f>IF(E1449="","",IF(COUNTIF($E$2:E1449,E1449)&gt;1,"",SUMIFS(tbl_input[필요수량],tbl_input[집계키_지청],E1449)))</f>
        <v/>
      </c>
      <c r="E1449" t="str">
        <f>IFERROR(INDEX(tbl_input[집계키_지청],ROW()-1),"")</f>
        <v/>
      </c>
      <c r="F1449" t="str">
        <f t="shared" si="113"/>
        <v/>
      </c>
      <c r="G1449" t="str">
        <f t="shared" si="114"/>
        <v/>
      </c>
    </row>
    <row r="1450" spans="1:7" x14ac:dyDescent="0.4">
      <c r="A1450" t="str">
        <f t="shared" si="110"/>
        <v/>
      </c>
      <c r="B1450" t="str">
        <f t="shared" si="111"/>
        <v/>
      </c>
      <c r="C1450" t="str">
        <f t="shared" si="112"/>
        <v/>
      </c>
      <c r="D1450" t="str">
        <f>IF(E1450="","",IF(COUNTIF($E$2:E1450,E1450)&gt;1,"",SUMIFS(tbl_input[필요수량],tbl_input[집계키_지청],E1450)))</f>
        <v/>
      </c>
      <c r="E1450" t="str">
        <f>IFERROR(INDEX(tbl_input[집계키_지청],ROW()-1),"")</f>
        <v/>
      </c>
      <c r="F1450" t="str">
        <f t="shared" si="113"/>
        <v/>
      </c>
      <c r="G1450" t="str">
        <f t="shared" si="114"/>
        <v/>
      </c>
    </row>
    <row r="1451" spans="1:7" x14ac:dyDescent="0.4">
      <c r="A1451" t="str">
        <f t="shared" si="110"/>
        <v/>
      </c>
      <c r="B1451" t="str">
        <f t="shared" si="111"/>
        <v/>
      </c>
      <c r="C1451" t="str">
        <f t="shared" si="112"/>
        <v/>
      </c>
      <c r="D1451" t="str">
        <f>IF(E1451="","",IF(COUNTIF($E$2:E1451,E1451)&gt;1,"",SUMIFS(tbl_input[필요수량],tbl_input[집계키_지청],E1451)))</f>
        <v/>
      </c>
      <c r="E1451" t="str">
        <f>IFERROR(INDEX(tbl_input[집계키_지청],ROW()-1),"")</f>
        <v/>
      </c>
      <c r="F1451" t="str">
        <f t="shared" si="113"/>
        <v/>
      </c>
      <c r="G1451" t="str">
        <f t="shared" si="114"/>
        <v/>
      </c>
    </row>
    <row r="1452" spans="1:7" x14ac:dyDescent="0.4">
      <c r="A1452" t="str">
        <f t="shared" si="110"/>
        <v/>
      </c>
      <c r="B1452" t="str">
        <f t="shared" si="111"/>
        <v/>
      </c>
      <c r="C1452" t="str">
        <f t="shared" si="112"/>
        <v/>
      </c>
      <c r="D1452" t="str">
        <f>IF(E1452="","",IF(COUNTIF($E$2:E1452,E1452)&gt;1,"",SUMIFS(tbl_input[필요수량],tbl_input[집계키_지청],E1452)))</f>
        <v/>
      </c>
      <c r="E1452" t="str">
        <f>IFERROR(INDEX(tbl_input[집계키_지청],ROW()-1),"")</f>
        <v/>
      </c>
      <c r="F1452" t="str">
        <f t="shared" si="113"/>
        <v/>
      </c>
      <c r="G1452" t="str">
        <f t="shared" si="114"/>
        <v/>
      </c>
    </row>
    <row r="1453" spans="1:7" x14ac:dyDescent="0.4">
      <c r="A1453" t="str">
        <f t="shared" si="110"/>
        <v/>
      </c>
      <c r="B1453" t="str">
        <f t="shared" si="111"/>
        <v/>
      </c>
      <c r="C1453" t="str">
        <f t="shared" si="112"/>
        <v/>
      </c>
      <c r="D1453" t="str">
        <f>IF(E1453="","",IF(COUNTIF($E$2:E1453,E1453)&gt;1,"",SUMIFS(tbl_input[필요수량],tbl_input[집계키_지청],E1453)))</f>
        <v/>
      </c>
      <c r="E1453" t="str">
        <f>IFERROR(INDEX(tbl_input[집계키_지청],ROW()-1),"")</f>
        <v/>
      </c>
      <c r="F1453" t="str">
        <f t="shared" si="113"/>
        <v/>
      </c>
      <c r="G1453" t="str">
        <f t="shared" si="114"/>
        <v/>
      </c>
    </row>
    <row r="1454" spans="1:7" x14ac:dyDescent="0.4">
      <c r="A1454" t="str">
        <f t="shared" si="110"/>
        <v/>
      </c>
      <c r="B1454" t="str">
        <f t="shared" si="111"/>
        <v/>
      </c>
      <c r="C1454" t="str">
        <f t="shared" si="112"/>
        <v/>
      </c>
      <c r="D1454" t="str">
        <f>IF(E1454="","",IF(COUNTIF($E$2:E1454,E1454)&gt;1,"",SUMIFS(tbl_input[필요수량],tbl_input[집계키_지청],E1454)))</f>
        <v/>
      </c>
      <c r="E1454" t="str">
        <f>IFERROR(INDEX(tbl_input[집계키_지청],ROW()-1),"")</f>
        <v/>
      </c>
      <c r="F1454" t="str">
        <f t="shared" si="113"/>
        <v/>
      </c>
      <c r="G1454" t="str">
        <f t="shared" si="114"/>
        <v/>
      </c>
    </row>
    <row r="1455" spans="1:7" x14ac:dyDescent="0.4">
      <c r="A1455" t="str">
        <f t="shared" si="110"/>
        <v/>
      </c>
      <c r="B1455" t="str">
        <f t="shared" si="111"/>
        <v/>
      </c>
      <c r="C1455" t="str">
        <f t="shared" si="112"/>
        <v/>
      </c>
      <c r="D1455" t="str">
        <f>IF(E1455="","",IF(COUNTIF($E$2:E1455,E1455)&gt;1,"",SUMIFS(tbl_input[필요수량],tbl_input[집계키_지청],E1455)))</f>
        <v/>
      </c>
      <c r="E1455" t="str">
        <f>IFERROR(INDEX(tbl_input[집계키_지청],ROW()-1),"")</f>
        <v/>
      </c>
      <c r="F1455" t="str">
        <f t="shared" si="113"/>
        <v/>
      </c>
      <c r="G1455" t="str">
        <f t="shared" si="114"/>
        <v/>
      </c>
    </row>
    <row r="1456" spans="1:7" x14ac:dyDescent="0.4">
      <c r="A1456" t="str">
        <f t="shared" si="110"/>
        <v/>
      </c>
      <c r="B1456" t="str">
        <f t="shared" si="111"/>
        <v/>
      </c>
      <c r="C1456" t="str">
        <f t="shared" si="112"/>
        <v/>
      </c>
      <c r="D1456" t="str">
        <f>IF(E1456="","",IF(COUNTIF($E$2:E1456,E1456)&gt;1,"",SUMIFS(tbl_input[필요수량],tbl_input[집계키_지청],E1456)))</f>
        <v/>
      </c>
      <c r="E1456" t="str">
        <f>IFERROR(INDEX(tbl_input[집계키_지청],ROW()-1),"")</f>
        <v/>
      </c>
      <c r="F1456" t="str">
        <f t="shared" si="113"/>
        <v/>
      </c>
      <c r="G1456" t="str">
        <f t="shared" si="114"/>
        <v/>
      </c>
    </row>
    <row r="1457" spans="1:7" x14ac:dyDescent="0.4">
      <c r="A1457" t="str">
        <f t="shared" si="110"/>
        <v/>
      </c>
      <c r="B1457" t="str">
        <f t="shared" si="111"/>
        <v/>
      </c>
      <c r="C1457" t="str">
        <f t="shared" si="112"/>
        <v/>
      </c>
      <c r="D1457" t="str">
        <f>IF(E1457="","",IF(COUNTIF($E$2:E1457,E1457)&gt;1,"",SUMIFS(tbl_input[필요수량],tbl_input[집계키_지청],E1457)))</f>
        <v/>
      </c>
      <c r="E1457" t="str">
        <f>IFERROR(INDEX(tbl_input[집계키_지청],ROW()-1),"")</f>
        <v/>
      </c>
      <c r="F1457" t="str">
        <f t="shared" si="113"/>
        <v/>
      </c>
      <c r="G1457" t="str">
        <f t="shared" si="114"/>
        <v/>
      </c>
    </row>
    <row r="1458" spans="1:7" x14ac:dyDescent="0.4">
      <c r="A1458" t="str">
        <f t="shared" si="110"/>
        <v/>
      </c>
      <c r="B1458" t="str">
        <f t="shared" si="111"/>
        <v/>
      </c>
      <c r="C1458" t="str">
        <f t="shared" si="112"/>
        <v/>
      </c>
      <c r="D1458" t="str">
        <f>IF(E1458="","",IF(COUNTIF($E$2:E1458,E1458)&gt;1,"",SUMIFS(tbl_input[필요수량],tbl_input[집계키_지청],E1458)))</f>
        <v/>
      </c>
      <c r="E1458" t="str">
        <f>IFERROR(INDEX(tbl_input[집계키_지청],ROW()-1),"")</f>
        <v/>
      </c>
      <c r="F1458" t="str">
        <f t="shared" si="113"/>
        <v/>
      </c>
      <c r="G1458" t="str">
        <f t="shared" si="114"/>
        <v/>
      </c>
    </row>
    <row r="1459" spans="1:7" x14ac:dyDescent="0.4">
      <c r="A1459" t="str">
        <f t="shared" si="110"/>
        <v/>
      </c>
      <c r="B1459" t="str">
        <f t="shared" si="111"/>
        <v/>
      </c>
      <c r="C1459" t="str">
        <f t="shared" si="112"/>
        <v/>
      </c>
      <c r="D1459" t="str">
        <f>IF(E1459="","",IF(COUNTIF($E$2:E1459,E1459)&gt;1,"",SUMIFS(tbl_input[필요수량],tbl_input[집계키_지청],E1459)))</f>
        <v/>
      </c>
      <c r="E1459" t="str">
        <f>IFERROR(INDEX(tbl_input[집계키_지청],ROW()-1),"")</f>
        <v/>
      </c>
      <c r="F1459" t="str">
        <f t="shared" si="113"/>
        <v/>
      </c>
      <c r="G1459" t="str">
        <f t="shared" si="114"/>
        <v/>
      </c>
    </row>
    <row r="1460" spans="1:7" x14ac:dyDescent="0.4">
      <c r="A1460" t="str">
        <f t="shared" si="110"/>
        <v/>
      </c>
      <c r="B1460" t="str">
        <f t="shared" si="111"/>
        <v/>
      </c>
      <c r="C1460" t="str">
        <f t="shared" si="112"/>
        <v/>
      </c>
      <c r="D1460" t="str">
        <f>IF(E1460="","",IF(COUNTIF($E$2:E1460,E1460)&gt;1,"",SUMIFS(tbl_input[필요수량],tbl_input[집계키_지청],E1460)))</f>
        <v/>
      </c>
      <c r="E1460" t="str">
        <f>IFERROR(INDEX(tbl_input[집계키_지청],ROW()-1),"")</f>
        <v/>
      </c>
      <c r="F1460" t="str">
        <f t="shared" si="113"/>
        <v/>
      </c>
      <c r="G1460" t="str">
        <f t="shared" si="114"/>
        <v/>
      </c>
    </row>
    <row r="1461" spans="1:7" x14ac:dyDescent="0.4">
      <c r="A1461" t="str">
        <f t="shared" si="110"/>
        <v/>
      </c>
      <c r="B1461" t="str">
        <f t="shared" si="111"/>
        <v/>
      </c>
      <c r="C1461" t="str">
        <f t="shared" si="112"/>
        <v/>
      </c>
      <c r="D1461" t="str">
        <f>IF(E1461="","",IF(COUNTIF($E$2:E1461,E1461)&gt;1,"",SUMIFS(tbl_input[필요수량],tbl_input[집계키_지청],E1461)))</f>
        <v/>
      </c>
      <c r="E1461" t="str">
        <f>IFERROR(INDEX(tbl_input[집계키_지청],ROW()-1),"")</f>
        <v/>
      </c>
      <c r="F1461" t="str">
        <f t="shared" si="113"/>
        <v/>
      </c>
      <c r="G1461" t="str">
        <f t="shared" si="114"/>
        <v/>
      </c>
    </row>
    <row r="1462" spans="1:7" x14ac:dyDescent="0.4">
      <c r="A1462" t="str">
        <f t="shared" si="110"/>
        <v/>
      </c>
      <c r="B1462" t="str">
        <f t="shared" si="111"/>
        <v/>
      </c>
      <c r="C1462" t="str">
        <f t="shared" si="112"/>
        <v/>
      </c>
      <c r="D1462" t="str">
        <f>IF(E1462="","",IF(COUNTIF($E$2:E1462,E1462)&gt;1,"",SUMIFS(tbl_input[필요수량],tbl_input[집계키_지청],E1462)))</f>
        <v/>
      </c>
      <c r="E1462" t="str">
        <f>IFERROR(INDEX(tbl_input[집계키_지청],ROW()-1),"")</f>
        <v/>
      </c>
      <c r="F1462" t="str">
        <f t="shared" si="113"/>
        <v/>
      </c>
      <c r="G1462" t="str">
        <f t="shared" si="114"/>
        <v/>
      </c>
    </row>
    <row r="1463" spans="1:7" x14ac:dyDescent="0.4">
      <c r="A1463" t="str">
        <f t="shared" si="110"/>
        <v/>
      </c>
      <c r="B1463" t="str">
        <f t="shared" si="111"/>
        <v/>
      </c>
      <c r="C1463" t="str">
        <f t="shared" si="112"/>
        <v/>
      </c>
      <c r="D1463" t="str">
        <f>IF(E1463="","",IF(COUNTIF($E$2:E1463,E1463)&gt;1,"",SUMIFS(tbl_input[필요수량],tbl_input[집계키_지청],E1463)))</f>
        <v/>
      </c>
      <c r="E1463" t="str">
        <f>IFERROR(INDEX(tbl_input[집계키_지청],ROW()-1),"")</f>
        <v/>
      </c>
      <c r="F1463" t="str">
        <f t="shared" si="113"/>
        <v/>
      </c>
      <c r="G1463" t="str">
        <f t="shared" si="114"/>
        <v/>
      </c>
    </row>
    <row r="1464" spans="1:7" x14ac:dyDescent="0.4">
      <c r="A1464" t="str">
        <f t="shared" si="110"/>
        <v/>
      </c>
      <c r="B1464" t="str">
        <f t="shared" si="111"/>
        <v/>
      </c>
      <c r="C1464" t="str">
        <f t="shared" si="112"/>
        <v/>
      </c>
      <c r="D1464" t="str">
        <f>IF(E1464="","",IF(COUNTIF($E$2:E1464,E1464)&gt;1,"",SUMIFS(tbl_input[필요수량],tbl_input[집계키_지청],E1464)))</f>
        <v/>
      </c>
      <c r="E1464" t="str">
        <f>IFERROR(INDEX(tbl_input[집계키_지청],ROW()-1),"")</f>
        <v/>
      </c>
      <c r="F1464" t="str">
        <f t="shared" si="113"/>
        <v/>
      </c>
      <c r="G1464" t="str">
        <f t="shared" si="114"/>
        <v/>
      </c>
    </row>
    <row r="1465" spans="1:7" x14ac:dyDescent="0.4">
      <c r="A1465" t="str">
        <f t="shared" si="110"/>
        <v/>
      </c>
      <c r="B1465" t="str">
        <f t="shared" si="111"/>
        <v/>
      </c>
      <c r="C1465" t="str">
        <f t="shared" si="112"/>
        <v/>
      </c>
      <c r="D1465" t="str">
        <f>IF(E1465="","",IF(COUNTIF($E$2:E1465,E1465)&gt;1,"",SUMIFS(tbl_input[필요수량],tbl_input[집계키_지청],E1465)))</f>
        <v/>
      </c>
      <c r="E1465" t="str">
        <f>IFERROR(INDEX(tbl_input[집계키_지청],ROW()-1),"")</f>
        <v/>
      </c>
      <c r="F1465" t="str">
        <f t="shared" si="113"/>
        <v/>
      </c>
      <c r="G1465" t="str">
        <f t="shared" si="114"/>
        <v/>
      </c>
    </row>
    <row r="1466" spans="1:7" x14ac:dyDescent="0.4">
      <c r="A1466" t="str">
        <f t="shared" si="110"/>
        <v/>
      </c>
      <c r="B1466" t="str">
        <f t="shared" si="111"/>
        <v/>
      </c>
      <c r="C1466" t="str">
        <f t="shared" si="112"/>
        <v/>
      </c>
      <c r="D1466" t="str">
        <f>IF(E1466="","",IF(COUNTIF($E$2:E1466,E1466)&gt;1,"",SUMIFS(tbl_input[필요수량],tbl_input[집계키_지청],E1466)))</f>
        <v/>
      </c>
      <c r="E1466" t="str">
        <f>IFERROR(INDEX(tbl_input[집계키_지청],ROW()-1),"")</f>
        <v/>
      </c>
      <c r="F1466" t="str">
        <f t="shared" si="113"/>
        <v/>
      </c>
      <c r="G1466" t="str">
        <f t="shared" si="114"/>
        <v/>
      </c>
    </row>
    <row r="1467" spans="1:7" x14ac:dyDescent="0.4">
      <c r="A1467" t="str">
        <f t="shared" si="110"/>
        <v/>
      </c>
      <c r="B1467" t="str">
        <f t="shared" si="111"/>
        <v/>
      </c>
      <c r="C1467" t="str">
        <f t="shared" si="112"/>
        <v/>
      </c>
      <c r="D1467" t="str">
        <f>IF(E1467="","",IF(COUNTIF($E$2:E1467,E1467)&gt;1,"",SUMIFS(tbl_input[필요수량],tbl_input[집계키_지청],E1467)))</f>
        <v/>
      </c>
      <c r="E1467" t="str">
        <f>IFERROR(INDEX(tbl_input[집계키_지청],ROW()-1),"")</f>
        <v/>
      </c>
      <c r="F1467" t="str">
        <f t="shared" si="113"/>
        <v/>
      </c>
      <c r="G1467" t="str">
        <f t="shared" si="114"/>
        <v/>
      </c>
    </row>
    <row r="1468" spans="1:7" x14ac:dyDescent="0.4">
      <c r="A1468" t="str">
        <f t="shared" si="110"/>
        <v/>
      </c>
      <c r="B1468" t="str">
        <f t="shared" si="111"/>
        <v/>
      </c>
      <c r="C1468" t="str">
        <f t="shared" si="112"/>
        <v/>
      </c>
      <c r="D1468" t="str">
        <f>IF(E1468="","",IF(COUNTIF($E$2:E1468,E1468)&gt;1,"",SUMIFS(tbl_input[필요수량],tbl_input[집계키_지청],E1468)))</f>
        <v/>
      </c>
      <c r="E1468" t="str">
        <f>IFERROR(INDEX(tbl_input[집계키_지청],ROW()-1),"")</f>
        <v/>
      </c>
      <c r="F1468" t="str">
        <f t="shared" si="113"/>
        <v/>
      </c>
      <c r="G1468" t="str">
        <f t="shared" si="114"/>
        <v/>
      </c>
    </row>
    <row r="1469" spans="1:7" x14ac:dyDescent="0.4">
      <c r="A1469" t="str">
        <f t="shared" si="110"/>
        <v/>
      </c>
      <c r="B1469" t="str">
        <f t="shared" si="111"/>
        <v/>
      </c>
      <c r="C1469" t="str">
        <f t="shared" si="112"/>
        <v/>
      </c>
      <c r="D1469" t="str">
        <f>IF(E1469="","",IF(COUNTIF($E$2:E1469,E1469)&gt;1,"",SUMIFS(tbl_input[필요수량],tbl_input[집계키_지청],E1469)))</f>
        <v/>
      </c>
      <c r="E1469" t="str">
        <f>IFERROR(INDEX(tbl_input[집계키_지청],ROW()-1),"")</f>
        <v/>
      </c>
      <c r="F1469" t="str">
        <f t="shared" si="113"/>
        <v/>
      </c>
      <c r="G1469" t="str">
        <f t="shared" si="114"/>
        <v/>
      </c>
    </row>
    <row r="1470" spans="1:7" x14ac:dyDescent="0.4">
      <c r="A1470" t="str">
        <f t="shared" si="110"/>
        <v/>
      </c>
      <c r="B1470" t="str">
        <f t="shared" si="111"/>
        <v/>
      </c>
      <c r="C1470" t="str">
        <f t="shared" si="112"/>
        <v/>
      </c>
      <c r="D1470" t="str">
        <f>IF(E1470="","",IF(COUNTIF($E$2:E1470,E1470)&gt;1,"",SUMIFS(tbl_input[필요수량],tbl_input[집계키_지청],E1470)))</f>
        <v/>
      </c>
      <c r="E1470" t="str">
        <f>IFERROR(INDEX(tbl_input[집계키_지청],ROW()-1),"")</f>
        <v/>
      </c>
      <c r="F1470" t="str">
        <f t="shared" si="113"/>
        <v/>
      </c>
      <c r="G1470" t="str">
        <f t="shared" si="114"/>
        <v/>
      </c>
    </row>
    <row r="1471" spans="1:7" x14ac:dyDescent="0.4">
      <c r="A1471" t="str">
        <f t="shared" si="110"/>
        <v/>
      </c>
      <c r="B1471" t="str">
        <f t="shared" si="111"/>
        <v/>
      </c>
      <c r="C1471" t="str">
        <f t="shared" si="112"/>
        <v/>
      </c>
      <c r="D1471" t="str">
        <f>IF(E1471="","",IF(COUNTIF($E$2:E1471,E1471)&gt;1,"",SUMIFS(tbl_input[필요수량],tbl_input[집계키_지청],E1471)))</f>
        <v/>
      </c>
      <c r="E1471" t="str">
        <f>IFERROR(INDEX(tbl_input[집계키_지청],ROW()-1),"")</f>
        <v/>
      </c>
      <c r="F1471" t="str">
        <f t="shared" si="113"/>
        <v/>
      </c>
      <c r="G1471" t="str">
        <f t="shared" si="114"/>
        <v/>
      </c>
    </row>
    <row r="1472" spans="1:7" x14ac:dyDescent="0.4">
      <c r="A1472" t="str">
        <f t="shared" si="110"/>
        <v/>
      </c>
      <c r="B1472" t="str">
        <f t="shared" si="111"/>
        <v/>
      </c>
      <c r="C1472" t="str">
        <f t="shared" si="112"/>
        <v/>
      </c>
      <c r="D1472" t="str">
        <f>IF(E1472="","",IF(COUNTIF($E$2:E1472,E1472)&gt;1,"",SUMIFS(tbl_input[필요수량],tbl_input[집계키_지청],E1472)))</f>
        <v/>
      </c>
      <c r="E1472" t="str">
        <f>IFERROR(INDEX(tbl_input[집계키_지청],ROW()-1),"")</f>
        <v/>
      </c>
      <c r="F1472" t="str">
        <f t="shared" si="113"/>
        <v/>
      </c>
      <c r="G1472" t="str">
        <f t="shared" si="114"/>
        <v/>
      </c>
    </row>
    <row r="1473" spans="1:7" x14ac:dyDescent="0.4">
      <c r="A1473" t="str">
        <f t="shared" si="110"/>
        <v/>
      </c>
      <c r="B1473" t="str">
        <f t="shared" si="111"/>
        <v/>
      </c>
      <c r="C1473" t="str">
        <f t="shared" si="112"/>
        <v/>
      </c>
      <c r="D1473" t="str">
        <f>IF(E1473="","",IF(COUNTIF($E$2:E1473,E1473)&gt;1,"",SUMIFS(tbl_input[필요수량],tbl_input[집계키_지청],E1473)))</f>
        <v/>
      </c>
      <c r="E1473" t="str">
        <f>IFERROR(INDEX(tbl_input[집계키_지청],ROW()-1),"")</f>
        <v/>
      </c>
      <c r="F1473" t="str">
        <f t="shared" si="113"/>
        <v/>
      </c>
      <c r="G1473" t="str">
        <f t="shared" si="114"/>
        <v/>
      </c>
    </row>
    <row r="1474" spans="1:7" x14ac:dyDescent="0.4">
      <c r="A1474" t="str">
        <f t="shared" ref="A1474:A1537" si="115">IF(E1474="","",LEFT(E1474,F1474-1))</f>
        <v/>
      </c>
      <c r="B1474" t="str">
        <f t="shared" ref="B1474:B1537" si="116">IF(E1474="","",MID(E1474,F1474+1,G1474-F1474-1))</f>
        <v/>
      </c>
      <c r="C1474" t="str">
        <f t="shared" ref="C1474:C1537" si="117">IF(E1474="","",MID(E1474,G1474+1,999))</f>
        <v/>
      </c>
      <c r="D1474" t="str">
        <f>IF(E1474="","",IF(COUNTIF($E$2:E1474,E1474)&gt;1,"",SUMIFS(tbl_input[필요수량],tbl_input[집계키_지청],E1474)))</f>
        <v/>
      </c>
      <c r="E1474" t="str">
        <f>IFERROR(INDEX(tbl_input[집계키_지청],ROW()-1),"")</f>
        <v/>
      </c>
      <c r="F1474" t="str">
        <f t="shared" ref="F1474:F1537" si="118">IF(E1474="","",FIND("♦",E1474))</f>
        <v/>
      </c>
      <c r="G1474" t="str">
        <f t="shared" ref="G1474:G1537" si="119">IF(E1474="","",FIND("♦",E1474,F1474+1))</f>
        <v/>
      </c>
    </row>
    <row r="1475" spans="1:7" x14ac:dyDescent="0.4">
      <c r="A1475" t="str">
        <f t="shared" si="115"/>
        <v/>
      </c>
      <c r="B1475" t="str">
        <f t="shared" si="116"/>
        <v/>
      </c>
      <c r="C1475" t="str">
        <f t="shared" si="117"/>
        <v/>
      </c>
      <c r="D1475" t="str">
        <f>IF(E1475="","",IF(COUNTIF($E$2:E1475,E1475)&gt;1,"",SUMIFS(tbl_input[필요수량],tbl_input[집계키_지청],E1475)))</f>
        <v/>
      </c>
      <c r="E1475" t="str">
        <f>IFERROR(INDEX(tbl_input[집계키_지청],ROW()-1),"")</f>
        <v/>
      </c>
      <c r="F1475" t="str">
        <f t="shared" si="118"/>
        <v/>
      </c>
      <c r="G1475" t="str">
        <f t="shared" si="119"/>
        <v/>
      </c>
    </row>
    <row r="1476" spans="1:7" x14ac:dyDescent="0.4">
      <c r="A1476" t="str">
        <f t="shared" si="115"/>
        <v/>
      </c>
      <c r="B1476" t="str">
        <f t="shared" si="116"/>
        <v/>
      </c>
      <c r="C1476" t="str">
        <f t="shared" si="117"/>
        <v/>
      </c>
      <c r="D1476" t="str">
        <f>IF(E1476="","",IF(COUNTIF($E$2:E1476,E1476)&gt;1,"",SUMIFS(tbl_input[필요수량],tbl_input[집계키_지청],E1476)))</f>
        <v/>
      </c>
      <c r="E1476" t="str">
        <f>IFERROR(INDEX(tbl_input[집계키_지청],ROW()-1),"")</f>
        <v/>
      </c>
      <c r="F1476" t="str">
        <f t="shared" si="118"/>
        <v/>
      </c>
      <c r="G1476" t="str">
        <f t="shared" si="119"/>
        <v/>
      </c>
    </row>
    <row r="1477" spans="1:7" x14ac:dyDescent="0.4">
      <c r="A1477" t="str">
        <f t="shared" si="115"/>
        <v/>
      </c>
      <c r="B1477" t="str">
        <f t="shared" si="116"/>
        <v/>
      </c>
      <c r="C1477" t="str">
        <f t="shared" si="117"/>
        <v/>
      </c>
      <c r="D1477" t="str">
        <f>IF(E1477="","",IF(COUNTIF($E$2:E1477,E1477)&gt;1,"",SUMIFS(tbl_input[필요수량],tbl_input[집계키_지청],E1477)))</f>
        <v/>
      </c>
      <c r="E1477" t="str">
        <f>IFERROR(INDEX(tbl_input[집계키_지청],ROW()-1),"")</f>
        <v/>
      </c>
      <c r="F1477" t="str">
        <f t="shared" si="118"/>
        <v/>
      </c>
      <c r="G1477" t="str">
        <f t="shared" si="119"/>
        <v/>
      </c>
    </row>
    <row r="1478" spans="1:7" x14ac:dyDescent="0.4">
      <c r="A1478" t="str">
        <f t="shared" si="115"/>
        <v/>
      </c>
      <c r="B1478" t="str">
        <f t="shared" si="116"/>
        <v/>
      </c>
      <c r="C1478" t="str">
        <f t="shared" si="117"/>
        <v/>
      </c>
      <c r="D1478" t="str">
        <f>IF(E1478="","",IF(COUNTIF($E$2:E1478,E1478)&gt;1,"",SUMIFS(tbl_input[필요수량],tbl_input[집계키_지청],E1478)))</f>
        <v/>
      </c>
      <c r="E1478" t="str">
        <f>IFERROR(INDEX(tbl_input[집계키_지청],ROW()-1),"")</f>
        <v/>
      </c>
      <c r="F1478" t="str">
        <f t="shared" si="118"/>
        <v/>
      </c>
      <c r="G1478" t="str">
        <f t="shared" si="119"/>
        <v/>
      </c>
    </row>
    <row r="1479" spans="1:7" x14ac:dyDescent="0.4">
      <c r="A1479" t="str">
        <f t="shared" si="115"/>
        <v/>
      </c>
      <c r="B1479" t="str">
        <f t="shared" si="116"/>
        <v/>
      </c>
      <c r="C1479" t="str">
        <f t="shared" si="117"/>
        <v/>
      </c>
      <c r="D1479" t="str">
        <f>IF(E1479="","",IF(COUNTIF($E$2:E1479,E1479)&gt;1,"",SUMIFS(tbl_input[필요수량],tbl_input[집계키_지청],E1479)))</f>
        <v/>
      </c>
      <c r="E1479" t="str">
        <f>IFERROR(INDEX(tbl_input[집계키_지청],ROW()-1),"")</f>
        <v/>
      </c>
      <c r="F1479" t="str">
        <f t="shared" si="118"/>
        <v/>
      </c>
      <c r="G1479" t="str">
        <f t="shared" si="119"/>
        <v/>
      </c>
    </row>
    <row r="1480" spans="1:7" x14ac:dyDescent="0.4">
      <c r="A1480" t="str">
        <f t="shared" si="115"/>
        <v/>
      </c>
      <c r="B1480" t="str">
        <f t="shared" si="116"/>
        <v/>
      </c>
      <c r="C1480" t="str">
        <f t="shared" si="117"/>
        <v/>
      </c>
      <c r="D1480" t="str">
        <f>IF(E1480="","",IF(COUNTIF($E$2:E1480,E1480)&gt;1,"",SUMIFS(tbl_input[필요수량],tbl_input[집계키_지청],E1480)))</f>
        <v/>
      </c>
      <c r="E1480" t="str">
        <f>IFERROR(INDEX(tbl_input[집계키_지청],ROW()-1),"")</f>
        <v/>
      </c>
      <c r="F1480" t="str">
        <f t="shared" si="118"/>
        <v/>
      </c>
      <c r="G1480" t="str">
        <f t="shared" si="119"/>
        <v/>
      </c>
    </row>
    <row r="1481" spans="1:7" x14ac:dyDescent="0.4">
      <c r="A1481" t="str">
        <f t="shared" si="115"/>
        <v/>
      </c>
      <c r="B1481" t="str">
        <f t="shared" si="116"/>
        <v/>
      </c>
      <c r="C1481" t="str">
        <f t="shared" si="117"/>
        <v/>
      </c>
      <c r="D1481" t="str">
        <f>IF(E1481="","",IF(COUNTIF($E$2:E1481,E1481)&gt;1,"",SUMIFS(tbl_input[필요수량],tbl_input[집계키_지청],E1481)))</f>
        <v/>
      </c>
      <c r="E1481" t="str">
        <f>IFERROR(INDEX(tbl_input[집계키_지청],ROW()-1),"")</f>
        <v/>
      </c>
      <c r="F1481" t="str">
        <f t="shared" si="118"/>
        <v/>
      </c>
      <c r="G1481" t="str">
        <f t="shared" si="119"/>
        <v/>
      </c>
    </row>
    <row r="1482" spans="1:7" x14ac:dyDescent="0.4">
      <c r="A1482" t="str">
        <f t="shared" si="115"/>
        <v/>
      </c>
      <c r="B1482" t="str">
        <f t="shared" si="116"/>
        <v/>
      </c>
      <c r="C1482" t="str">
        <f t="shared" si="117"/>
        <v/>
      </c>
      <c r="D1482" t="str">
        <f>IF(E1482="","",IF(COUNTIF($E$2:E1482,E1482)&gt;1,"",SUMIFS(tbl_input[필요수량],tbl_input[집계키_지청],E1482)))</f>
        <v/>
      </c>
      <c r="E1482" t="str">
        <f>IFERROR(INDEX(tbl_input[집계키_지청],ROW()-1),"")</f>
        <v/>
      </c>
      <c r="F1482" t="str">
        <f t="shared" si="118"/>
        <v/>
      </c>
      <c r="G1482" t="str">
        <f t="shared" si="119"/>
        <v/>
      </c>
    </row>
    <row r="1483" spans="1:7" x14ac:dyDescent="0.4">
      <c r="A1483" t="str">
        <f t="shared" si="115"/>
        <v/>
      </c>
      <c r="B1483" t="str">
        <f t="shared" si="116"/>
        <v/>
      </c>
      <c r="C1483" t="str">
        <f t="shared" si="117"/>
        <v/>
      </c>
      <c r="D1483" t="str">
        <f>IF(E1483="","",IF(COUNTIF($E$2:E1483,E1483)&gt;1,"",SUMIFS(tbl_input[필요수량],tbl_input[집계키_지청],E1483)))</f>
        <v/>
      </c>
      <c r="E1483" t="str">
        <f>IFERROR(INDEX(tbl_input[집계키_지청],ROW()-1),"")</f>
        <v/>
      </c>
      <c r="F1483" t="str">
        <f t="shared" si="118"/>
        <v/>
      </c>
      <c r="G1483" t="str">
        <f t="shared" si="119"/>
        <v/>
      </c>
    </row>
    <row r="1484" spans="1:7" x14ac:dyDescent="0.4">
      <c r="A1484" t="str">
        <f t="shared" si="115"/>
        <v/>
      </c>
      <c r="B1484" t="str">
        <f t="shared" si="116"/>
        <v/>
      </c>
      <c r="C1484" t="str">
        <f t="shared" si="117"/>
        <v/>
      </c>
      <c r="D1484" t="str">
        <f>IF(E1484="","",IF(COUNTIF($E$2:E1484,E1484)&gt;1,"",SUMIFS(tbl_input[필요수량],tbl_input[집계키_지청],E1484)))</f>
        <v/>
      </c>
      <c r="E1484" t="str">
        <f>IFERROR(INDEX(tbl_input[집계키_지청],ROW()-1),"")</f>
        <v/>
      </c>
      <c r="F1484" t="str">
        <f t="shared" si="118"/>
        <v/>
      </c>
      <c r="G1484" t="str">
        <f t="shared" si="119"/>
        <v/>
      </c>
    </row>
    <row r="1485" spans="1:7" x14ac:dyDescent="0.4">
      <c r="A1485" t="str">
        <f t="shared" si="115"/>
        <v/>
      </c>
      <c r="B1485" t="str">
        <f t="shared" si="116"/>
        <v/>
      </c>
      <c r="C1485" t="str">
        <f t="shared" si="117"/>
        <v/>
      </c>
      <c r="D1485" t="str">
        <f>IF(E1485="","",IF(COUNTIF($E$2:E1485,E1485)&gt;1,"",SUMIFS(tbl_input[필요수량],tbl_input[집계키_지청],E1485)))</f>
        <v/>
      </c>
      <c r="E1485" t="str">
        <f>IFERROR(INDEX(tbl_input[집계키_지청],ROW()-1),"")</f>
        <v/>
      </c>
      <c r="F1485" t="str">
        <f t="shared" si="118"/>
        <v/>
      </c>
      <c r="G1485" t="str">
        <f t="shared" si="119"/>
        <v/>
      </c>
    </row>
    <row r="1486" spans="1:7" x14ac:dyDescent="0.4">
      <c r="A1486" t="str">
        <f t="shared" si="115"/>
        <v/>
      </c>
      <c r="B1486" t="str">
        <f t="shared" si="116"/>
        <v/>
      </c>
      <c r="C1486" t="str">
        <f t="shared" si="117"/>
        <v/>
      </c>
      <c r="D1486" t="str">
        <f>IF(E1486="","",IF(COUNTIF($E$2:E1486,E1486)&gt;1,"",SUMIFS(tbl_input[필요수량],tbl_input[집계키_지청],E1486)))</f>
        <v/>
      </c>
      <c r="E1486" t="str">
        <f>IFERROR(INDEX(tbl_input[집계키_지청],ROW()-1),"")</f>
        <v/>
      </c>
      <c r="F1486" t="str">
        <f t="shared" si="118"/>
        <v/>
      </c>
      <c r="G1486" t="str">
        <f t="shared" si="119"/>
        <v/>
      </c>
    </row>
    <row r="1487" spans="1:7" x14ac:dyDescent="0.4">
      <c r="A1487" t="str">
        <f t="shared" si="115"/>
        <v/>
      </c>
      <c r="B1487" t="str">
        <f t="shared" si="116"/>
        <v/>
      </c>
      <c r="C1487" t="str">
        <f t="shared" si="117"/>
        <v/>
      </c>
      <c r="D1487" t="str">
        <f>IF(E1487="","",IF(COUNTIF($E$2:E1487,E1487)&gt;1,"",SUMIFS(tbl_input[필요수량],tbl_input[집계키_지청],E1487)))</f>
        <v/>
      </c>
      <c r="E1487" t="str">
        <f>IFERROR(INDEX(tbl_input[집계키_지청],ROW()-1),"")</f>
        <v/>
      </c>
      <c r="F1487" t="str">
        <f t="shared" si="118"/>
        <v/>
      </c>
      <c r="G1487" t="str">
        <f t="shared" si="119"/>
        <v/>
      </c>
    </row>
    <row r="1488" spans="1:7" x14ac:dyDescent="0.4">
      <c r="A1488" t="str">
        <f t="shared" si="115"/>
        <v/>
      </c>
      <c r="B1488" t="str">
        <f t="shared" si="116"/>
        <v/>
      </c>
      <c r="C1488" t="str">
        <f t="shared" si="117"/>
        <v/>
      </c>
      <c r="D1488" t="str">
        <f>IF(E1488="","",IF(COUNTIF($E$2:E1488,E1488)&gt;1,"",SUMIFS(tbl_input[필요수량],tbl_input[집계키_지청],E1488)))</f>
        <v/>
      </c>
      <c r="E1488" t="str">
        <f>IFERROR(INDEX(tbl_input[집계키_지청],ROW()-1),"")</f>
        <v/>
      </c>
      <c r="F1488" t="str">
        <f t="shared" si="118"/>
        <v/>
      </c>
      <c r="G1488" t="str">
        <f t="shared" si="119"/>
        <v/>
      </c>
    </row>
    <row r="1489" spans="1:7" x14ac:dyDescent="0.4">
      <c r="A1489" t="str">
        <f t="shared" si="115"/>
        <v/>
      </c>
      <c r="B1489" t="str">
        <f t="shared" si="116"/>
        <v/>
      </c>
      <c r="C1489" t="str">
        <f t="shared" si="117"/>
        <v/>
      </c>
      <c r="D1489" t="str">
        <f>IF(E1489="","",IF(COUNTIF($E$2:E1489,E1489)&gt;1,"",SUMIFS(tbl_input[필요수량],tbl_input[집계키_지청],E1489)))</f>
        <v/>
      </c>
      <c r="E1489" t="str">
        <f>IFERROR(INDEX(tbl_input[집계키_지청],ROW()-1),"")</f>
        <v/>
      </c>
      <c r="F1489" t="str">
        <f t="shared" si="118"/>
        <v/>
      </c>
      <c r="G1489" t="str">
        <f t="shared" si="119"/>
        <v/>
      </c>
    </row>
    <row r="1490" spans="1:7" x14ac:dyDescent="0.4">
      <c r="A1490" t="str">
        <f t="shared" si="115"/>
        <v/>
      </c>
      <c r="B1490" t="str">
        <f t="shared" si="116"/>
        <v/>
      </c>
      <c r="C1490" t="str">
        <f t="shared" si="117"/>
        <v/>
      </c>
      <c r="D1490" t="str">
        <f>IF(E1490="","",IF(COUNTIF($E$2:E1490,E1490)&gt;1,"",SUMIFS(tbl_input[필요수량],tbl_input[집계키_지청],E1490)))</f>
        <v/>
      </c>
      <c r="E1490" t="str">
        <f>IFERROR(INDEX(tbl_input[집계키_지청],ROW()-1),"")</f>
        <v/>
      </c>
      <c r="F1490" t="str">
        <f t="shared" si="118"/>
        <v/>
      </c>
      <c r="G1490" t="str">
        <f t="shared" si="119"/>
        <v/>
      </c>
    </row>
    <row r="1491" spans="1:7" x14ac:dyDescent="0.4">
      <c r="A1491" t="str">
        <f t="shared" si="115"/>
        <v/>
      </c>
      <c r="B1491" t="str">
        <f t="shared" si="116"/>
        <v/>
      </c>
      <c r="C1491" t="str">
        <f t="shared" si="117"/>
        <v/>
      </c>
      <c r="D1491" t="str">
        <f>IF(E1491="","",IF(COUNTIF($E$2:E1491,E1491)&gt;1,"",SUMIFS(tbl_input[필요수량],tbl_input[집계키_지청],E1491)))</f>
        <v/>
      </c>
      <c r="E1491" t="str">
        <f>IFERROR(INDEX(tbl_input[집계키_지청],ROW()-1),"")</f>
        <v/>
      </c>
      <c r="F1491" t="str">
        <f t="shared" si="118"/>
        <v/>
      </c>
      <c r="G1491" t="str">
        <f t="shared" si="119"/>
        <v/>
      </c>
    </row>
    <row r="1492" spans="1:7" x14ac:dyDescent="0.4">
      <c r="A1492" t="str">
        <f t="shared" si="115"/>
        <v/>
      </c>
      <c r="B1492" t="str">
        <f t="shared" si="116"/>
        <v/>
      </c>
      <c r="C1492" t="str">
        <f t="shared" si="117"/>
        <v/>
      </c>
      <c r="D1492" t="str">
        <f>IF(E1492="","",IF(COUNTIF($E$2:E1492,E1492)&gt;1,"",SUMIFS(tbl_input[필요수량],tbl_input[집계키_지청],E1492)))</f>
        <v/>
      </c>
      <c r="E1492" t="str">
        <f>IFERROR(INDEX(tbl_input[집계키_지청],ROW()-1),"")</f>
        <v/>
      </c>
      <c r="F1492" t="str">
        <f t="shared" si="118"/>
        <v/>
      </c>
      <c r="G1492" t="str">
        <f t="shared" si="119"/>
        <v/>
      </c>
    </row>
    <row r="1493" spans="1:7" x14ac:dyDescent="0.4">
      <c r="A1493" t="str">
        <f t="shared" si="115"/>
        <v/>
      </c>
      <c r="B1493" t="str">
        <f t="shared" si="116"/>
        <v/>
      </c>
      <c r="C1493" t="str">
        <f t="shared" si="117"/>
        <v/>
      </c>
      <c r="D1493" t="str">
        <f>IF(E1493="","",IF(COUNTIF($E$2:E1493,E1493)&gt;1,"",SUMIFS(tbl_input[필요수량],tbl_input[집계키_지청],E1493)))</f>
        <v/>
      </c>
      <c r="E1493" t="str">
        <f>IFERROR(INDEX(tbl_input[집계키_지청],ROW()-1),"")</f>
        <v/>
      </c>
      <c r="F1493" t="str">
        <f t="shared" si="118"/>
        <v/>
      </c>
      <c r="G1493" t="str">
        <f t="shared" si="119"/>
        <v/>
      </c>
    </row>
    <row r="1494" spans="1:7" x14ac:dyDescent="0.4">
      <c r="A1494" t="str">
        <f t="shared" si="115"/>
        <v/>
      </c>
      <c r="B1494" t="str">
        <f t="shared" si="116"/>
        <v/>
      </c>
      <c r="C1494" t="str">
        <f t="shared" si="117"/>
        <v/>
      </c>
      <c r="D1494" t="str">
        <f>IF(E1494="","",IF(COUNTIF($E$2:E1494,E1494)&gt;1,"",SUMIFS(tbl_input[필요수량],tbl_input[집계키_지청],E1494)))</f>
        <v/>
      </c>
      <c r="E1494" t="str">
        <f>IFERROR(INDEX(tbl_input[집계키_지청],ROW()-1),"")</f>
        <v/>
      </c>
      <c r="F1494" t="str">
        <f t="shared" si="118"/>
        <v/>
      </c>
      <c r="G1494" t="str">
        <f t="shared" si="119"/>
        <v/>
      </c>
    </row>
    <row r="1495" spans="1:7" x14ac:dyDescent="0.4">
      <c r="A1495" t="str">
        <f t="shared" si="115"/>
        <v/>
      </c>
      <c r="B1495" t="str">
        <f t="shared" si="116"/>
        <v/>
      </c>
      <c r="C1495" t="str">
        <f t="shared" si="117"/>
        <v/>
      </c>
      <c r="D1495" t="str">
        <f>IF(E1495="","",IF(COUNTIF($E$2:E1495,E1495)&gt;1,"",SUMIFS(tbl_input[필요수량],tbl_input[집계키_지청],E1495)))</f>
        <v/>
      </c>
      <c r="E1495" t="str">
        <f>IFERROR(INDEX(tbl_input[집계키_지청],ROW()-1),"")</f>
        <v/>
      </c>
      <c r="F1495" t="str">
        <f t="shared" si="118"/>
        <v/>
      </c>
      <c r="G1495" t="str">
        <f t="shared" si="119"/>
        <v/>
      </c>
    </row>
    <row r="1496" spans="1:7" x14ac:dyDescent="0.4">
      <c r="A1496" t="str">
        <f t="shared" si="115"/>
        <v/>
      </c>
      <c r="B1496" t="str">
        <f t="shared" si="116"/>
        <v/>
      </c>
      <c r="C1496" t="str">
        <f t="shared" si="117"/>
        <v/>
      </c>
      <c r="D1496" t="str">
        <f>IF(E1496="","",IF(COUNTIF($E$2:E1496,E1496)&gt;1,"",SUMIFS(tbl_input[필요수량],tbl_input[집계키_지청],E1496)))</f>
        <v/>
      </c>
      <c r="E1496" t="str">
        <f>IFERROR(INDEX(tbl_input[집계키_지청],ROW()-1),"")</f>
        <v/>
      </c>
      <c r="F1496" t="str">
        <f t="shared" si="118"/>
        <v/>
      </c>
      <c r="G1496" t="str">
        <f t="shared" si="119"/>
        <v/>
      </c>
    </row>
    <row r="1497" spans="1:7" x14ac:dyDescent="0.4">
      <c r="A1497" t="str">
        <f t="shared" si="115"/>
        <v/>
      </c>
      <c r="B1497" t="str">
        <f t="shared" si="116"/>
        <v/>
      </c>
      <c r="C1497" t="str">
        <f t="shared" si="117"/>
        <v/>
      </c>
      <c r="D1497" t="str">
        <f>IF(E1497="","",IF(COUNTIF($E$2:E1497,E1497)&gt;1,"",SUMIFS(tbl_input[필요수량],tbl_input[집계키_지청],E1497)))</f>
        <v/>
      </c>
      <c r="E1497" t="str">
        <f>IFERROR(INDEX(tbl_input[집계키_지청],ROW()-1),"")</f>
        <v/>
      </c>
      <c r="F1497" t="str">
        <f t="shared" si="118"/>
        <v/>
      </c>
      <c r="G1497" t="str">
        <f t="shared" si="119"/>
        <v/>
      </c>
    </row>
    <row r="1498" spans="1:7" x14ac:dyDescent="0.4">
      <c r="A1498" t="str">
        <f t="shared" si="115"/>
        <v/>
      </c>
      <c r="B1498" t="str">
        <f t="shared" si="116"/>
        <v/>
      </c>
      <c r="C1498" t="str">
        <f t="shared" si="117"/>
        <v/>
      </c>
      <c r="D1498" t="str">
        <f>IF(E1498="","",IF(COUNTIF($E$2:E1498,E1498)&gt;1,"",SUMIFS(tbl_input[필요수량],tbl_input[집계키_지청],E1498)))</f>
        <v/>
      </c>
      <c r="E1498" t="str">
        <f>IFERROR(INDEX(tbl_input[집계키_지청],ROW()-1),"")</f>
        <v/>
      </c>
      <c r="F1498" t="str">
        <f t="shared" si="118"/>
        <v/>
      </c>
      <c r="G1498" t="str">
        <f t="shared" si="119"/>
        <v/>
      </c>
    </row>
    <row r="1499" spans="1:7" x14ac:dyDescent="0.4">
      <c r="A1499" t="str">
        <f t="shared" si="115"/>
        <v/>
      </c>
      <c r="B1499" t="str">
        <f t="shared" si="116"/>
        <v/>
      </c>
      <c r="C1499" t="str">
        <f t="shared" si="117"/>
        <v/>
      </c>
      <c r="D1499" t="str">
        <f>IF(E1499="","",IF(COUNTIF($E$2:E1499,E1499)&gt;1,"",SUMIFS(tbl_input[필요수량],tbl_input[집계키_지청],E1499)))</f>
        <v/>
      </c>
      <c r="E1499" t="str">
        <f>IFERROR(INDEX(tbl_input[집계키_지청],ROW()-1),"")</f>
        <v/>
      </c>
      <c r="F1499" t="str">
        <f t="shared" si="118"/>
        <v/>
      </c>
      <c r="G1499" t="str">
        <f t="shared" si="119"/>
        <v/>
      </c>
    </row>
    <row r="1500" spans="1:7" x14ac:dyDescent="0.4">
      <c r="A1500" t="str">
        <f t="shared" si="115"/>
        <v/>
      </c>
      <c r="B1500" t="str">
        <f t="shared" si="116"/>
        <v/>
      </c>
      <c r="C1500" t="str">
        <f t="shared" si="117"/>
        <v/>
      </c>
      <c r="D1500" t="str">
        <f>IF(E1500="","",IF(COUNTIF($E$2:E1500,E1500)&gt;1,"",SUMIFS(tbl_input[필요수량],tbl_input[집계키_지청],E1500)))</f>
        <v/>
      </c>
      <c r="E1500" t="str">
        <f>IFERROR(INDEX(tbl_input[집계키_지청],ROW()-1),"")</f>
        <v/>
      </c>
      <c r="F1500" t="str">
        <f t="shared" si="118"/>
        <v/>
      </c>
      <c r="G1500" t="str">
        <f t="shared" si="119"/>
        <v/>
      </c>
    </row>
    <row r="1501" spans="1:7" x14ac:dyDescent="0.4">
      <c r="A1501" t="str">
        <f t="shared" si="115"/>
        <v/>
      </c>
      <c r="B1501" t="str">
        <f t="shared" si="116"/>
        <v/>
      </c>
      <c r="C1501" t="str">
        <f t="shared" si="117"/>
        <v/>
      </c>
      <c r="D1501" t="str">
        <f>IF(E1501="","",IF(COUNTIF($E$2:E1501,E1501)&gt;1,"",SUMIFS(tbl_input[필요수량],tbl_input[집계키_지청],E1501)))</f>
        <v/>
      </c>
      <c r="E1501" t="str">
        <f>IFERROR(INDEX(tbl_input[집계키_지청],ROW()-1),"")</f>
        <v/>
      </c>
      <c r="F1501" t="str">
        <f t="shared" si="118"/>
        <v/>
      </c>
      <c r="G1501" t="str">
        <f t="shared" si="119"/>
        <v/>
      </c>
    </row>
    <row r="1502" spans="1:7" x14ac:dyDescent="0.4">
      <c r="A1502" t="str">
        <f t="shared" si="115"/>
        <v/>
      </c>
      <c r="B1502" t="str">
        <f t="shared" si="116"/>
        <v/>
      </c>
      <c r="C1502" t="str">
        <f t="shared" si="117"/>
        <v/>
      </c>
      <c r="D1502" t="str">
        <f>IF(E1502="","",IF(COUNTIF($E$2:E1502,E1502)&gt;1,"",SUMIFS(tbl_input[필요수량],tbl_input[집계키_지청],E1502)))</f>
        <v/>
      </c>
      <c r="E1502" t="str">
        <f>IFERROR(INDEX(tbl_input[집계키_지청],ROW()-1),"")</f>
        <v/>
      </c>
      <c r="F1502" t="str">
        <f t="shared" si="118"/>
        <v/>
      </c>
      <c r="G1502" t="str">
        <f t="shared" si="119"/>
        <v/>
      </c>
    </row>
    <row r="1503" spans="1:7" x14ac:dyDescent="0.4">
      <c r="A1503" t="str">
        <f t="shared" si="115"/>
        <v/>
      </c>
      <c r="B1503" t="str">
        <f t="shared" si="116"/>
        <v/>
      </c>
      <c r="C1503" t="str">
        <f t="shared" si="117"/>
        <v/>
      </c>
      <c r="D1503" t="str">
        <f>IF(E1503="","",IF(COUNTIF($E$2:E1503,E1503)&gt;1,"",SUMIFS(tbl_input[필요수량],tbl_input[집계키_지청],E1503)))</f>
        <v/>
      </c>
      <c r="E1503" t="str">
        <f>IFERROR(INDEX(tbl_input[집계키_지청],ROW()-1),"")</f>
        <v/>
      </c>
      <c r="F1503" t="str">
        <f t="shared" si="118"/>
        <v/>
      </c>
      <c r="G1503" t="str">
        <f t="shared" si="119"/>
        <v/>
      </c>
    </row>
    <row r="1504" spans="1:7" x14ac:dyDescent="0.4">
      <c r="A1504" t="str">
        <f t="shared" si="115"/>
        <v/>
      </c>
      <c r="B1504" t="str">
        <f t="shared" si="116"/>
        <v/>
      </c>
      <c r="C1504" t="str">
        <f t="shared" si="117"/>
        <v/>
      </c>
      <c r="D1504" t="str">
        <f>IF(E1504="","",IF(COUNTIF($E$2:E1504,E1504)&gt;1,"",SUMIFS(tbl_input[필요수량],tbl_input[집계키_지청],E1504)))</f>
        <v/>
      </c>
      <c r="E1504" t="str">
        <f>IFERROR(INDEX(tbl_input[집계키_지청],ROW()-1),"")</f>
        <v/>
      </c>
      <c r="F1504" t="str">
        <f t="shared" si="118"/>
        <v/>
      </c>
      <c r="G1504" t="str">
        <f t="shared" si="119"/>
        <v/>
      </c>
    </row>
    <row r="1505" spans="1:7" x14ac:dyDescent="0.4">
      <c r="A1505" t="str">
        <f t="shared" si="115"/>
        <v/>
      </c>
      <c r="B1505" t="str">
        <f t="shared" si="116"/>
        <v/>
      </c>
      <c r="C1505" t="str">
        <f t="shared" si="117"/>
        <v/>
      </c>
      <c r="D1505" t="str">
        <f>IF(E1505="","",IF(COUNTIF($E$2:E1505,E1505)&gt;1,"",SUMIFS(tbl_input[필요수량],tbl_input[집계키_지청],E1505)))</f>
        <v/>
      </c>
      <c r="E1505" t="str">
        <f>IFERROR(INDEX(tbl_input[집계키_지청],ROW()-1),"")</f>
        <v/>
      </c>
      <c r="F1505" t="str">
        <f t="shared" si="118"/>
        <v/>
      </c>
      <c r="G1505" t="str">
        <f t="shared" si="119"/>
        <v/>
      </c>
    </row>
    <row r="1506" spans="1:7" x14ac:dyDescent="0.4">
      <c r="A1506" t="str">
        <f t="shared" si="115"/>
        <v/>
      </c>
      <c r="B1506" t="str">
        <f t="shared" si="116"/>
        <v/>
      </c>
      <c r="C1506" t="str">
        <f t="shared" si="117"/>
        <v/>
      </c>
      <c r="D1506" t="str">
        <f>IF(E1506="","",IF(COUNTIF($E$2:E1506,E1506)&gt;1,"",SUMIFS(tbl_input[필요수량],tbl_input[집계키_지청],E1506)))</f>
        <v/>
      </c>
      <c r="E1506" t="str">
        <f>IFERROR(INDEX(tbl_input[집계키_지청],ROW()-1),"")</f>
        <v/>
      </c>
      <c r="F1506" t="str">
        <f t="shared" si="118"/>
        <v/>
      </c>
      <c r="G1506" t="str">
        <f t="shared" si="119"/>
        <v/>
      </c>
    </row>
    <row r="1507" spans="1:7" x14ac:dyDescent="0.4">
      <c r="A1507" t="str">
        <f t="shared" si="115"/>
        <v/>
      </c>
      <c r="B1507" t="str">
        <f t="shared" si="116"/>
        <v/>
      </c>
      <c r="C1507" t="str">
        <f t="shared" si="117"/>
        <v/>
      </c>
      <c r="D1507" t="str">
        <f>IF(E1507="","",IF(COUNTIF($E$2:E1507,E1507)&gt;1,"",SUMIFS(tbl_input[필요수량],tbl_input[집계키_지청],E1507)))</f>
        <v/>
      </c>
      <c r="E1507" t="str">
        <f>IFERROR(INDEX(tbl_input[집계키_지청],ROW()-1),"")</f>
        <v/>
      </c>
      <c r="F1507" t="str">
        <f t="shared" si="118"/>
        <v/>
      </c>
      <c r="G1507" t="str">
        <f t="shared" si="119"/>
        <v/>
      </c>
    </row>
    <row r="1508" spans="1:7" x14ac:dyDescent="0.4">
      <c r="A1508" t="str">
        <f t="shared" si="115"/>
        <v/>
      </c>
      <c r="B1508" t="str">
        <f t="shared" si="116"/>
        <v/>
      </c>
      <c r="C1508" t="str">
        <f t="shared" si="117"/>
        <v/>
      </c>
      <c r="D1508" t="str">
        <f>IF(E1508="","",IF(COUNTIF($E$2:E1508,E1508)&gt;1,"",SUMIFS(tbl_input[필요수량],tbl_input[집계키_지청],E1508)))</f>
        <v/>
      </c>
      <c r="E1508" t="str">
        <f>IFERROR(INDEX(tbl_input[집계키_지청],ROW()-1),"")</f>
        <v/>
      </c>
      <c r="F1508" t="str">
        <f t="shared" si="118"/>
        <v/>
      </c>
      <c r="G1508" t="str">
        <f t="shared" si="119"/>
        <v/>
      </c>
    </row>
    <row r="1509" spans="1:7" x14ac:dyDescent="0.4">
      <c r="A1509" t="str">
        <f t="shared" si="115"/>
        <v/>
      </c>
      <c r="B1509" t="str">
        <f t="shared" si="116"/>
        <v/>
      </c>
      <c r="C1509" t="str">
        <f t="shared" si="117"/>
        <v/>
      </c>
      <c r="D1509" t="str">
        <f>IF(E1509="","",IF(COUNTIF($E$2:E1509,E1509)&gt;1,"",SUMIFS(tbl_input[필요수량],tbl_input[집계키_지청],E1509)))</f>
        <v/>
      </c>
      <c r="E1509" t="str">
        <f>IFERROR(INDEX(tbl_input[집계키_지청],ROW()-1),"")</f>
        <v/>
      </c>
      <c r="F1509" t="str">
        <f t="shared" si="118"/>
        <v/>
      </c>
      <c r="G1509" t="str">
        <f t="shared" si="119"/>
        <v/>
      </c>
    </row>
    <row r="1510" spans="1:7" x14ac:dyDescent="0.4">
      <c r="A1510" t="str">
        <f t="shared" si="115"/>
        <v/>
      </c>
      <c r="B1510" t="str">
        <f t="shared" si="116"/>
        <v/>
      </c>
      <c r="C1510" t="str">
        <f t="shared" si="117"/>
        <v/>
      </c>
      <c r="D1510" t="str">
        <f>IF(E1510="","",IF(COUNTIF($E$2:E1510,E1510)&gt;1,"",SUMIFS(tbl_input[필요수량],tbl_input[집계키_지청],E1510)))</f>
        <v/>
      </c>
      <c r="E1510" t="str">
        <f>IFERROR(INDEX(tbl_input[집계키_지청],ROW()-1),"")</f>
        <v/>
      </c>
      <c r="F1510" t="str">
        <f t="shared" si="118"/>
        <v/>
      </c>
      <c r="G1510" t="str">
        <f t="shared" si="119"/>
        <v/>
      </c>
    </row>
    <row r="1511" spans="1:7" x14ac:dyDescent="0.4">
      <c r="A1511" t="str">
        <f t="shared" si="115"/>
        <v/>
      </c>
      <c r="B1511" t="str">
        <f t="shared" si="116"/>
        <v/>
      </c>
      <c r="C1511" t="str">
        <f t="shared" si="117"/>
        <v/>
      </c>
      <c r="D1511" t="str">
        <f>IF(E1511="","",IF(COUNTIF($E$2:E1511,E1511)&gt;1,"",SUMIFS(tbl_input[필요수량],tbl_input[집계키_지청],E1511)))</f>
        <v/>
      </c>
      <c r="E1511" t="str">
        <f>IFERROR(INDEX(tbl_input[집계키_지청],ROW()-1),"")</f>
        <v/>
      </c>
      <c r="F1511" t="str">
        <f t="shared" si="118"/>
        <v/>
      </c>
      <c r="G1511" t="str">
        <f t="shared" si="119"/>
        <v/>
      </c>
    </row>
    <row r="1512" spans="1:7" x14ac:dyDescent="0.4">
      <c r="A1512" t="str">
        <f t="shared" si="115"/>
        <v/>
      </c>
      <c r="B1512" t="str">
        <f t="shared" si="116"/>
        <v/>
      </c>
      <c r="C1512" t="str">
        <f t="shared" si="117"/>
        <v/>
      </c>
      <c r="D1512" t="str">
        <f>IF(E1512="","",IF(COUNTIF($E$2:E1512,E1512)&gt;1,"",SUMIFS(tbl_input[필요수량],tbl_input[집계키_지청],E1512)))</f>
        <v/>
      </c>
      <c r="E1512" t="str">
        <f>IFERROR(INDEX(tbl_input[집계키_지청],ROW()-1),"")</f>
        <v/>
      </c>
      <c r="F1512" t="str">
        <f t="shared" si="118"/>
        <v/>
      </c>
      <c r="G1512" t="str">
        <f t="shared" si="119"/>
        <v/>
      </c>
    </row>
    <row r="1513" spans="1:7" x14ac:dyDescent="0.4">
      <c r="A1513" t="str">
        <f t="shared" si="115"/>
        <v/>
      </c>
      <c r="B1513" t="str">
        <f t="shared" si="116"/>
        <v/>
      </c>
      <c r="C1513" t="str">
        <f t="shared" si="117"/>
        <v/>
      </c>
      <c r="D1513" t="str">
        <f>IF(E1513="","",IF(COUNTIF($E$2:E1513,E1513)&gt;1,"",SUMIFS(tbl_input[필요수량],tbl_input[집계키_지청],E1513)))</f>
        <v/>
      </c>
      <c r="E1513" t="str">
        <f>IFERROR(INDEX(tbl_input[집계키_지청],ROW()-1),"")</f>
        <v/>
      </c>
      <c r="F1513" t="str">
        <f t="shared" si="118"/>
        <v/>
      </c>
      <c r="G1513" t="str">
        <f t="shared" si="119"/>
        <v/>
      </c>
    </row>
    <row r="1514" spans="1:7" x14ac:dyDescent="0.4">
      <c r="A1514" t="str">
        <f t="shared" si="115"/>
        <v/>
      </c>
      <c r="B1514" t="str">
        <f t="shared" si="116"/>
        <v/>
      </c>
      <c r="C1514" t="str">
        <f t="shared" si="117"/>
        <v/>
      </c>
      <c r="D1514" t="str">
        <f>IF(E1514="","",IF(COUNTIF($E$2:E1514,E1514)&gt;1,"",SUMIFS(tbl_input[필요수량],tbl_input[집계키_지청],E1514)))</f>
        <v/>
      </c>
      <c r="E1514" t="str">
        <f>IFERROR(INDEX(tbl_input[집계키_지청],ROW()-1),"")</f>
        <v/>
      </c>
      <c r="F1514" t="str">
        <f t="shared" si="118"/>
        <v/>
      </c>
      <c r="G1514" t="str">
        <f t="shared" si="119"/>
        <v/>
      </c>
    </row>
    <row r="1515" spans="1:7" x14ac:dyDescent="0.4">
      <c r="A1515" t="str">
        <f t="shared" si="115"/>
        <v/>
      </c>
      <c r="B1515" t="str">
        <f t="shared" si="116"/>
        <v/>
      </c>
      <c r="C1515" t="str">
        <f t="shared" si="117"/>
        <v/>
      </c>
      <c r="D1515" t="str">
        <f>IF(E1515="","",IF(COUNTIF($E$2:E1515,E1515)&gt;1,"",SUMIFS(tbl_input[필요수량],tbl_input[집계키_지청],E1515)))</f>
        <v/>
      </c>
      <c r="E1515" t="str">
        <f>IFERROR(INDEX(tbl_input[집계키_지청],ROW()-1),"")</f>
        <v/>
      </c>
      <c r="F1515" t="str">
        <f t="shared" si="118"/>
        <v/>
      </c>
      <c r="G1515" t="str">
        <f t="shared" si="119"/>
        <v/>
      </c>
    </row>
    <row r="1516" spans="1:7" x14ac:dyDescent="0.4">
      <c r="A1516" t="str">
        <f t="shared" si="115"/>
        <v/>
      </c>
      <c r="B1516" t="str">
        <f t="shared" si="116"/>
        <v/>
      </c>
      <c r="C1516" t="str">
        <f t="shared" si="117"/>
        <v/>
      </c>
      <c r="D1516" t="str">
        <f>IF(E1516="","",IF(COUNTIF($E$2:E1516,E1516)&gt;1,"",SUMIFS(tbl_input[필요수량],tbl_input[집계키_지청],E1516)))</f>
        <v/>
      </c>
      <c r="E1516" t="str">
        <f>IFERROR(INDEX(tbl_input[집계키_지청],ROW()-1),"")</f>
        <v/>
      </c>
      <c r="F1516" t="str">
        <f t="shared" si="118"/>
        <v/>
      </c>
      <c r="G1516" t="str">
        <f t="shared" si="119"/>
        <v/>
      </c>
    </row>
    <row r="1517" spans="1:7" x14ac:dyDescent="0.4">
      <c r="A1517" t="str">
        <f t="shared" si="115"/>
        <v/>
      </c>
      <c r="B1517" t="str">
        <f t="shared" si="116"/>
        <v/>
      </c>
      <c r="C1517" t="str">
        <f t="shared" si="117"/>
        <v/>
      </c>
      <c r="D1517" t="str">
        <f>IF(E1517="","",IF(COUNTIF($E$2:E1517,E1517)&gt;1,"",SUMIFS(tbl_input[필요수량],tbl_input[집계키_지청],E1517)))</f>
        <v/>
      </c>
      <c r="E1517" t="str">
        <f>IFERROR(INDEX(tbl_input[집계키_지청],ROW()-1),"")</f>
        <v/>
      </c>
      <c r="F1517" t="str">
        <f t="shared" si="118"/>
        <v/>
      </c>
      <c r="G1517" t="str">
        <f t="shared" si="119"/>
        <v/>
      </c>
    </row>
    <row r="1518" spans="1:7" x14ac:dyDescent="0.4">
      <c r="A1518" t="str">
        <f t="shared" si="115"/>
        <v/>
      </c>
      <c r="B1518" t="str">
        <f t="shared" si="116"/>
        <v/>
      </c>
      <c r="C1518" t="str">
        <f t="shared" si="117"/>
        <v/>
      </c>
      <c r="D1518" t="str">
        <f>IF(E1518="","",IF(COUNTIF($E$2:E1518,E1518)&gt;1,"",SUMIFS(tbl_input[필요수량],tbl_input[집계키_지청],E1518)))</f>
        <v/>
      </c>
      <c r="E1518" t="str">
        <f>IFERROR(INDEX(tbl_input[집계키_지청],ROW()-1),"")</f>
        <v/>
      </c>
      <c r="F1518" t="str">
        <f t="shared" si="118"/>
        <v/>
      </c>
      <c r="G1518" t="str">
        <f t="shared" si="119"/>
        <v/>
      </c>
    </row>
    <row r="1519" spans="1:7" x14ac:dyDescent="0.4">
      <c r="A1519" t="str">
        <f t="shared" si="115"/>
        <v/>
      </c>
      <c r="B1519" t="str">
        <f t="shared" si="116"/>
        <v/>
      </c>
      <c r="C1519" t="str">
        <f t="shared" si="117"/>
        <v/>
      </c>
      <c r="D1519" t="str">
        <f>IF(E1519="","",IF(COUNTIF($E$2:E1519,E1519)&gt;1,"",SUMIFS(tbl_input[필요수량],tbl_input[집계키_지청],E1519)))</f>
        <v/>
      </c>
      <c r="E1519" t="str">
        <f>IFERROR(INDEX(tbl_input[집계키_지청],ROW()-1),"")</f>
        <v/>
      </c>
      <c r="F1519" t="str">
        <f t="shared" si="118"/>
        <v/>
      </c>
      <c r="G1519" t="str">
        <f t="shared" si="119"/>
        <v/>
      </c>
    </row>
    <row r="1520" spans="1:7" x14ac:dyDescent="0.4">
      <c r="A1520" t="str">
        <f t="shared" si="115"/>
        <v/>
      </c>
      <c r="B1520" t="str">
        <f t="shared" si="116"/>
        <v/>
      </c>
      <c r="C1520" t="str">
        <f t="shared" si="117"/>
        <v/>
      </c>
      <c r="D1520" t="str">
        <f>IF(E1520="","",IF(COUNTIF($E$2:E1520,E1520)&gt;1,"",SUMIFS(tbl_input[필요수량],tbl_input[집계키_지청],E1520)))</f>
        <v/>
      </c>
      <c r="E1520" t="str">
        <f>IFERROR(INDEX(tbl_input[집계키_지청],ROW()-1),"")</f>
        <v/>
      </c>
      <c r="F1520" t="str">
        <f t="shared" si="118"/>
        <v/>
      </c>
      <c r="G1520" t="str">
        <f t="shared" si="119"/>
        <v/>
      </c>
    </row>
    <row r="1521" spans="1:7" x14ac:dyDescent="0.4">
      <c r="A1521" t="str">
        <f t="shared" si="115"/>
        <v/>
      </c>
      <c r="B1521" t="str">
        <f t="shared" si="116"/>
        <v/>
      </c>
      <c r="C1521" t="str">
        <f t="shared" si="117"/>
        <v/>
      </c>
      <c r="D1521" t="str">
        <f>IF(E1521="","",IF(COUNTIF($E$2:E1521,E1521)&gt;1,"",SUMIFS(tbl_input[필요수량],tbl_input[집계키_지청],E1521)))</f>
        <v/>
      </c>
      <c r="E1521" t="str">
        <f>IFERROR(INDEX(tbl_input[집계키_지청],ROW()-1),"")</f>
        <v/>
      </c>
      <c r="F1521" t="str">
        <f t="shared" si="118"/>
        <v/>
      </c>
      <c r="G1521" t="str">
        <f t="shared" si="119"/>
        <v/>
      </c>
    </row>
    <row r="1522" spans="1:7" x14ac:dyDescent="0.4">
      <c r="A1522" t="str">
        <f t="shared" si="115"/>
        <v/>
      </c>
      <c r="B1522" t="str">
        <f t="shared" si="116"/>
        <v/>
      </c>
      <c r="C1522" t="str">
        <f t="shared" si="117"/>
        <v/>
      </c>
      <c r="D1522" t="str">
        <f>IF(E1522="","",IF(COUNTIF($E$2:E1522,E1522)&gt;1,"",SUMIFS(tbl_input[필요수량],tbl_input[집계키_지청],E1522)))</f>
        <v/>
      </c>
      <c r="E1522" t="str">
        <f>IFERROR(INDEX(tbl_input[집계키_지청],ROW()-1),"")</f>
        <v/>
      </c>
      <c r="F1522" t="str">
        <f t="shared" si="118"/>
        <v/>
      </c>
      <c r="G1522" t="str">
        <f t="shared" si="119"/>
        <v/>
      </c>
    </row>
    <row r="1523" spans="1:7" x14ac:dyDescent="0.4">
      <c r="A1523" t="str">
        <f t="shared" si="115"/>
        <v/>
      </c>
      <c r="B1523" t="str">
        <f t="shared" si="116"/>
        <v/>
      </c>
      <c r="C1523" t="str">
        <f t="shared" si="117"/>
        <v/>
      </c>
      <c r="D1523" t="str">
        <f>IF(E1523="","",IF(COUNTIF($E$2:E1523,E1523)&gt;1,"",SUMIFS(tbl_input[필요수량],tbl_input[집계키_지청],E1523)))</f>
        <v/>
      </c>
      <c r="E1523" t="str">
        <f>IFERROR(INDEX(tbl_input[집계키_지청],ROW()-1),"")</f>
        <v/>
      </c>
      <c r="F1523" t="str">
        <f t="shared" si="118"/>
        <v/>
      </c>
      <c r="G1523" t="str">
        <f t="shared" si="119"/>
        <v/>
      </c>
    </row>
    <row r="1524" spans="1:7" x14ac:dyDescent="0.4">
      <c r="A1524" t="str">
        <f t="shared" si="115"/>
        <v/>
      </c>
      <c r="B1524" t="str">
        <f t="shared" si="116"/>
        <v/>
      </c>
      <c r="C1524" t="str">
        <f t="shared" si="117"/>
        <v/>
      </c>
      <c r="D1524" t="str">
        <f>IF(E1524="","",IF(COUNTIF($E$2:E1524,E1524)&gt;1,"",SUMIFS(tbl_input[필요수량],tbl_input[집계키_지청],E1524)))</f>
        <v/>
      </c>
      <c r="E1524" t="str">
        <f>IFERROR(INDEX(tbl_input[집계키_지청],ROW()-1),"")</f>
        <v/>
      </c>
      <c r="F1524" t="str">
        <f t="shared" si="118"/>
        <v/>
      </c>
      <c r="G1524" t="str">
        <f t="shared" si="119"/>
        <v/>
      </c>
    </row>
    <row r="1525" spans="1:7" x14ac:dyDescent="0.4">
      <c r="A1525" t="str">
        <f t="shared" si="115"/>
        <v/>
      </c>
      <c r="B1525" t="str">
        <f t="shared" si="116"/>
        <v/>
      </c>
      <c r="C1525" t="str">
        <f t="shared" si="117"/>
        <v/>
      </c>
      <c r="D1525" t="str">
        <f>IF(E1525="","",IF(COUNTIF($E$2:E1525,E1525)&gt;1,"",SUMIFS(tbl_input[필요수량],tbl_input[집계키_지청],E1525)))</f>
        <v/>
      </c>
      <c r="E1525" t="str">
        <f>IFERROR(INDEX(tbl_input[집계키_지청],ROW()-1),"")</f>
        <v/>
      </c>
      <c r="F1525" t="str">
        <f t="shared" si="118"/>
        <v/>
      </c>
      <c r="G1525" t="str">
        <f t="shared" si="119"/>
        <v/>
      </c>
    </row>
    <row r="1526" spans="1:7" x14ac:dyDescent="0.4">
      <c r="A1526" t="str">
        <f t="shared" si="115"/>
        <v/>
      </c>
      <c r="B1526" t="str">
        <f t="shared" si="116"/>
        <v/>
      </c>
      <c r="C1526" t="str">
        <f t="shared" si="117"/>
        <v/>
      </c>
      <c r="D1526" t="str">
        <f>IF(E1526="","",IF(COUNTIF($E$2:E1526,E1526)&gt;1,"",SUMIFS(tbl_input[필요수량],tbl_input[집계키_지청],E1526)))</f>
        <v/>
      </c>
      <c r="E1526" t="str">
        <f>IFERROR(INDEX(tbl_input[집계키_지청],ROW()-1),"")</f>
        <v/>
      </c>
      <c r="F1526" t="str">
        <f t="shared" si="118"/>
        <v/>
      </c>
      <c r="G1526" t="str">
        <f t="shared" si="119"/>
        <v/>
      </c>
    </row>
    <row r="1527" spans="1:7" x14ac:dyDescent="0.4">
      <c r="A1527" t="str">
        <f t="shared" si="115"/>
        <v/>
      </c>
      <c r="B1527" t="str">
        <f t="shared" si="116"/>
        <v/>
      </c>
      <c r="C1527" t="str">
        <f t="shared" si="117"/>
        <v/>
      </c>
      <c r="D1527" t="str">
        <f>IF(E1527="","",IF(COUNTIF($E$2:E1527,E1527)&gt;1,"",SUMIFS(tbl_input[필요수량],tbl_input[집계키_지청],E1527)))</f>
        <v/>
      </c>
      <c r="E1527" t="str">
        <f>IFERROR(INDEX(tbl_input[집계키_지청],ROW()-1),"")</f>
        <v/>
      </c>
      <c r="F1527" t="str">
        <f t="shared" si="118"/>
        <v/>
      </c>
      <c r="G1527" t="str">
        <f t="shared" si="119"/>
        <v/>
      </c>
    </row>
    <row r="1528" spans="1:7" x14ac:dyDescent="0.4">
      <c r="A1528" t="str">
        <f t="shared" si="115"/>
        <v/>
      </c>
      <c r="B1528" t="str">
        <f t="shared" si="116"/>
        <v/>
      </c>
      <c r="C1528" t="str">
        <f t="shared" si="117"/>
        <v/>
      </c>
      <c r="D1528" t="str">
        <f>IF(E1528="","",IF(COUNTIF($E$2:E1528,E1528)&gt;1,"",SUMIFS(tbl_input[필요수량],tbl_input[집계키_지청],E1528)))</f>
        <v/>
      </c>
      <c r="E1528" t="str">
        <f>IFERROR(INDEX(tbl_input[집계키_지청],ROW()-1),"")</f>
        <v/>
      </c>
      <c r="F1528" t="str">
        <f t="shared" si="118"/>
        <v/>
      </c>
      <c r="G1528" t="str">
        <f t="shared" si="119"/>
        <v/>
      </c>
    </row>
    <row r="1529" spans="1:7" x14ac:dyDescent="0.4">
      <c r="A1529" t="str">
        <f t="shared" si="115"/>
        <v/>
      </c>
      <c r="B1529" t="str">
        <f t="shared" si="116"/>
        <v/>
      </c>
      <c r="C1529" t="str">
        <f t="shared" si="117"/>
        <v/>
      </c>
      <c r="D1529" t="str">
        <f>IF(E1529="","",IF(COUNTIF($E$2:E1529,E1529)&gt;1,"",SUMIFS(tbl_input[필요수량],tbl_input[집계키_지청],E1529)))</f>
        <v/>
      </c>
      <c r="E1529" t="str">
        <f>IFERROR(INDEX(tbl_input[집계키_지청],ROW()-1),"")</f>
        <v/>
      </c>
      <c r="F1529" t="str">
        <f t="shared" si="118"/>
        <v/>
      </c>
      <c r="G1529" t="str">
        <f t="shared" si="119"/>
        <v/>
      </c>
    </row>
    <row r="1530" spans="1:7" x14ac:dyDescent="0.4">
      <c r="A1530" t="str">
        <f t="shared" si="115"/>
        <v/>
      </c>
      <c r="B1530" t="str">
        <f t="shared" si="116"/>
        <v/>
      </c>
      <c r="C1530" t="str">
        <f t="shared" si="117"/>
        <v/>
      </c>
      <c r="D1530" t="str">
        <f>IF(E1530="","",IF(COUNTIF($E$2:E1530,E1530)&gt;1,"",SUMIFS(tbl_input[필요수량],tbl_input[집계키_지청],E1530)))</f>
        <v/>
      </c>
      <c r="E1530" t="str">
        <f>IFERROR(INDEX(tbl_input[집계키_지청],ROW()-1),"")</f>
        <v/>
      </c>
      <c r="F1530" t="str">
        <f t="shared" si="118"/>
        <v/>
      </c>
      <c r="G1530" t="str">
        <f t="shared" si="119"/>
        <v/>
      </c>
    </row>
    <row r="1531" spans="1:7" x14ac:dyDescent="0.4">
      <c r="A1531" t="str">
        <f t="shared" si="115"/>
        <v/>
      </c>
      <c r="B1531" t="str">
        <f t="shared" si="116"/>
        <v/>
      </c>
      <c r="C1531" t="str">
        <f t="shared" si="117"/>
        <v/>
      </c>
      <c r="D1531" t="str">
        <f>IF(E1531="","",IF(COUNTIF($E$2:E1531,E1531)&gt;1,"",SUMIFS(tbl_input[필요수량],tbl_input[집계키_지청],E1531)))</f>
        <v/>
      </c>
      <c r="E1531" t="str">
        <f>IFERROR(INDEX(tbl_input[집계키_지청],ROW()-1),"")</f>
        <v/>
      </c>
      <c r="F1531" t="str">
        <f t="shared" si="118"/>
        <v/>
      </c>
      <c r="G1531" t="str">
        <f t="shared" si="119"/>
        <v/>
      </c>
    </row>
    <row r="1532" spans="1:7" x14ac:dyDescent="0.4">
      <c r="A1532" t="str">
        <f t="shared" si="115"/>
        <v/>
      </c>
      <c r="B1532" t="str">
        <f t="shared" si="116"/>
        <v/>
      </c>
      <c r="C1532" t="str">
        <f t="shared" si="117"/>
        <v/>
      </c>
      <c r="D1532" t="str">
        <f>IF(E1532="","",IF(COUNTIF($E$2:E1532,E1532)&gt;1,"",SUMIFS(tbl_input[필요수량],tbl_input[집계키_지청],E1532)))</f>
        <v/>
      </c>
      <c r="E1532" t="str">
        <f>IFERROR(INDEX(tbl_input[집계키_지청],ROW()-1),"")</f>
        <v/>
      </c>
      <c r="F1532" t="str">
        <f t="shared" si="118"/>
        <v/>
      </c>
      <c r="G1532" t="str">
        <f t="shared" si="119"/>
        <v/>
      </c>
    </row>
    <row r="1533" spans="1:7" x14ac:dyDescent="0.4">
      <c r="A1533" t="str">
        <f t="shared" si="115"/>
        <v/>
      </c>
      <c r="B1533" t="str">
        <f t="shared" si="116"/>
        <v/>
      </c>
      <c r="C1533" t="str">
        <f t="shared" si="117"/>
        <v/>
      </c>
      <c r="D1533" t="str">
        <f>IF(E1533="","",IF(COUNTIF($E$2:E1533,E1533)&gt;1,"",SUMIFS(tbl_input[필요수량],tbl_input[집계키_지청],E1533)))</f>
        <v/>
      </c>
      <c r="E1533" t="str">
        <f>IFERROR(INDEX(tbl_input[집계키_지청],ROW()-1),"")</f>
        <v/>
      </c>
      <c r="F1533" t="str">
        <f t="shared" si="118"/>
        <v/>
      </c>
      <c r="G1533" t="str">
        <f t="shared" si="119"/>
        <v/>
      </c>
    </row>
    <row r="1534" spans="1:7" x14ac:dyDescent="0.4">
      <c r="A1534" t="str">
        <f t="shared" si="115"/>
        <v/>
      </c>
      <c r="B1534" t="str">
        <f t="shared" si="116"/>
        <v/>
      </c>
      <c r="C1534" t="str">
        <f t="shared" si="117"/>
        <v/>
      </c>
      <c r="D1534" t="str">
        <f>IF(E1534="","",IF(COUNTIF($E$2:E1534,E1534)&gt;1,"",SUMIFS(tbl_input[필요수량],tbl_input[집계키_지청],E1534)))</f>
        <v/>
      </c>
      <c r="E1534" t="str">
        <f>IFERROR(INDEX(tbl_input[집계키_지청],ROW()-1),"")</f>
        <v/>
      </c>
      <c r="F1534" t="str">
        <f t="shared" si="118"/>
        <v/>
      </c>
      <c r="G1534" t="str">
        <f t="shared" si="119"/>
        <v/>
      </c>
    </row>
    <row r="1535" spans="1:7" x14ac:dyDescent="0.4">
      <c r="A1535" t="str">
        <f t="shared" si="115"/>
        <v/>
      </c>
      <c r="B1535" t="str">
        <f t="shared" si="116"/>
        <v/>
      </c>
      <c r="C1535" t="str">
        <f t="shared" si="117"/>
        <v/>
      </c>
      <c r="D1535" t="str">
        <f>IF(E1535="","",IF(COUNTIF($E$2:E1535,E1535)&gt;1,"",SUMIFS(tbl_input[필요수량],tbl_input[집계키_지청],E1535)))</f>
        <v/>
      </c>
      <c r="E1535" t="str">
        <f>IFERROR(INDEX(tbl_input[집계키_지청],ROW()-1),"")</f>
        <v/>
      </c>
      <c r="F1535" t="str">
        <f t="shared" si="118"/>
        <v/>
      </c>
      <c r="G1535" t="str">
        <f t="shared" si="119"/>
        <v/>
      </c>
    </row>
    <row r="1536" spans="1:7" x14ac:dyDescent="0.4">
      <c r="A1536" t="str">
        <f t="shared" si="115"/>
        <v/>
      </c>
      <c r="B1536" t="str">
        <f t="shared" si="116"/>
        <v/>
      </c>
      <c r="C1536" t="str">
        <f t="shared" si="117"/>
        <v/>
      </c>
      <c r="D1536" t="str">
        <f>IF(E1536="","",IF(COUNTIF($E$2:E1536,E1536)&gt;1,"",SUMIFS(tbl_input[필요수량],tbl_input[집계키_지청],E1536)))</f>
        <v/>
      </c>
      <c r="E1536" t="str">
        <f>IFERROR(INDEX(tbl_input[집계키_지청],ROW()-1),"")</f>
        <v/>
      </c>
      <c r="F1536" t="str">
        <f t="shared" si="118"/>
        <v/>
      </c>
      <c r="G1536" t="str">
        <f t="shared" si="119"/>
        <v/>
      </c>
    </row>
    <row r="1537" spans="1:7" x14ac:dyDescent="0.4">
      <c r="A1537" t="str">
        <f t="shared" si="115"/>
        <v/>
      </c>
      <c r="B1537" t="str">
        <f t="shared" si="116"/>
        <v/>
      </c>
      <c r="C1537" t="str">
        <f t="shared" si="117"/>
        <v/>
      </c>
      <c r="D1537" t="str">
        <f>IF(E1537="","",IF(COUNTIF($E$2:E1537,E1537)&gt;1,"",SUMIFS(tbl_input[필요수량],tbl_input[집계키_지청],E1537)))</f>
        <v/>
      </c>
      <c r="E1537" t="str">
        <f>IFERROR(INDEX(tbl_input[집계키_지청],ROW()-1),"")</f>
        <v/>
      </c>
      <c r="F1537" t="str">
        <f t="shared" si="118"/>
        <v/>
      </c>
      <c r="G1537" t="str">
        <f t="shared" si="119"/>
        <v/>
      </c>
    </row>
    <row r="1538" spans="1:7" x14ac:dyDescent="0.4">
      <c r="A1538" t="str">
        <f t="shared" ref="A1538:A1601" si="120">IF(E1538="","",LEFT(E1538,F1538-1))</f>
        <v/>
      </c>
      <c r="B1538" t="str">
        <f t="shared" ref="B1538:B1601" si="121">IF(E1538="","",MID(E1538,F1538+1,G1538-F1538-1))</f>
        <v/>
      </c>
      <c r="C1538" t="str">
        <f t="shared" ref="C1538:C1601" si="122">IF(E1538="","",MID(E1538,G1538+1,999))</f>
        <v/>
      </c>
      <c r="D1538" t="str">
        <f>IF(E1538="","",IF(COUNTIF($E$2:E1538,E1538)&gt;1,"",SUMIFS(tbl_input[필요수량],tbl_input[집계키_지청],E1538)))</f>
        <v/>
      </c>
      <c r="E1538" t="str">
        <f>IFERROR(INDEX(tbl_input[집계키_지청],ROW()-1),"")</f>
        <v/>
      </c>
      <c r="F1538" t="str">
        <f t="shared" ref="F1538:F1601" si="123">IF(E1538="","",FIND("♦",E1538))</f>
        <v/>
      </c>
      <c r="G1538" t="str">
        <f t="shared" ref="G1538:G1601" si="124">IF(E1538="","",FIND("♦",E1538,F1538+1))</f>
        <v/>
      </c>
    </row>
    <row r="1539" spans="1:7" x14ac:dyDescent="0.4">
      <c r="A1539" t="str">
        <f t="shared" si="120"/>
        <v/>
      </c>
      <c r="B1539" t="str">
        <f t="shared" si="121"/>
        <v/>
      </c>
      <c r="C1539" t="str">
        <f t="shared" si="122"/>
        <v/>
      </c>
      <c r="D1539" t="str">
        <f>IF(E1539="","",IF(COUNTIF($E$2:E1539,E1539)&gt;1,"",SUMIFS(tbl_input[필요수량],tbl_input[집계키_지청],E1539)))</f>
        <v/>
      </c>
      <c r="E1539" t="str">
        <f>IFERROR(INDEX(tbl_input[집계키_지청],ROW()-1),"")</f>
        <v/>
      </c>
      <c r="F1539" t="str">
        <f t="shared" si="123"/>
        <v/>
      </c>
      <c r="G1539" t="str">
        <f t="shared" si="124"/>
        <v/>
      </c>
    </row>
    <row r="1540" spans="1:7" x14ac:dyDescent="0.4">
      <c r="A1540" t="str">
        <f t="shared" si="120"/>
        <v/>
      </c>
      <c r="B1540" t="str">
        <f t="shared" si="121"/>
        <v/>
      </c>
      <c r="C1540" t="str">
        <f t="shared" si="122"/>
        <v/>
      </c>
      <c r="D1540" t="str">
        <f>IF(E1540="","",IF(COUNTIF($E$2:E1540,E1540)&gt;1,"",SUMIFS(tbl_input[필요수량],tbl_input[집계키_지청],E1540)))</f>
        <v/>
      </c>
      <c r="E1540" t="str">
        <f>IFERROR(INDEX(tbl_input[집계키_지청],ROW()-1),"")</f>
        <v/>
      </c>
      <c r="F1540" t="str">
        <f t="shared" si="123"/>
        <v/>
      </c>
      <c r="G1540" t="str">
        <f t="shared" si="124"/>
        <v/>
      </c>
    </row>
    <row r="1541" spans="1:7" x14ac:dyDescent="0.4">
      <c r="A1541" t="str">
        <f t="shared" si="120"/>
        <v/>
      </c>
      <c r="B1541" t="str">
        <f t="shared" si="121"/>
        <v/>
      </c>
      <c r="C1541" t="str">
        <f t="shared" si="122"/>
        <v/>
      </c>
      <c r="D1541" t="str">
        <f>IF(E1541="","",IF(COUNTIF($E$2:E1541,E1541)&gt;1,"",SUMIFS(tbl_input[필요수량],tbl_input[집계키_지청],E1541)))</f>
        <v/>
      </c>
      <c r="E1541" t="str">
        <f>IFERROR(INDEX(tbl_input[집계키_지청],ROW()-1),"")</f>
        <v/>
      </c>
      <c r="F1541" t="str">
        <f t="shared" si="123"/>
        <v/>
      </c>
      <c r="G1541" t="str">
        <f t="shared" si="124"/>
        <v/>
      </c>
    </row>
    <row r="1542" spans="1:7" x14ac:dyDescent="0.4">
      <c r="A1542" t="str">
        <f t="shared" si="120"/>
        <v/>
      </c>
      <c r="B1542" t="str">
        <f t="shared" si="121"/>
        <v/>
      </c>
      <c r="C1542" t="str">
        <f t="shared" si="122"/>
        <v/>
      </c>
      <c r="D1542" t="str">
        <f>IF(E1542="","",IF(COUNTIF($E$2:E1542,E1542)&gt;1,"",SUMIFS(tbl_input[필요수량],tbl_input[집계키_지청],E1542)))</f>
        <v/>
      </c>
      <c r="E1542" t="str">
        <f>IFERROR(INDEX(tbl_input[집계키_지청],ROW()-1),"")</f>
        <v/>
      </c>
      <c r="F1542" t="str">
        <f t="shared" si="123"/>
        <v/>
      </c>
      <c r="G1542" t="str">
        <f t="shared" si="124"/>
        <v/>
      </c>
    </row>
    <row r="1543" spans="1:7" x14ac:dyDescent="0.4">
      <c r="A1543" t="str">
        <f t="shared" si="120"/>
        <v/>
      </c>
      <c r="B1543" t="str">
        <f t="shared" si="121"/>
        <v/>
      </c>
      <c r="C1543" t="str">
        <f t="shared" si="122"/>
        <v/>
      </c>
      <c r="D1543" t="str">
        <f>IF(E1543="","",IF(COUNTIF($E$2:E1543,E1543)&gt;1,"",SUMIFS(tbl_input[필요수량],tbl_input[집계키_지청],E1543)))</f>
        <v/>
      </c>
      <c r="E1543" t="str">
        <f>IFERROR(INDEX(tbl_input[집계키_지청],ROW()-1),"")</f>
        <v/>
      </c>
      <c r="F1543" t="str">
        <f t="shared" si="123"/>
        <v/>
      </c>
      <c r="G1543" t="str">
        <f t="shared" si="124"/>
        <v/>
      </c>
    </row>
    <row r="1544" spans="1:7" x14ac:dyDescent="0.4">
      <c r="A1544" t="str">
        <f t="shared" si="120"/>
        <v/>
      </c>
      <c r="B1544" t="str">
        <f t="shared" si="121"/>
        <v/>
      </c>
      <c r="C1544" t="str">
        <f t="shared" si="122"/>
        <v/>
      </c>
      <c r="D1544" t="str">
        <f>IF(E1544="","",IF(COUNTIF($E$2:E1544,E1544)&gt;1,"",SUMIFS(tbl_input[필요수량],tbl_input[집계키_지청],E1544)))</f>
        <v/>
      </c>
      <c r="E1544" t="str">
        <f>IFERROR(INDEX(tbl_input[집계키_지청],ROW()-1),"")</f>
        <v/>
      </c>
      <c r="F1544" t="str">
        <f t="shared" si="123"/>
        <v/>
      </c>
      <c r="G1544" t="str">
        <f t="shared" si="124"/>
        <v/>
      </c>
    </row>
    <row r="1545" spans="1:7" x14ac:dyDescent="0.4">
      <c r="A1545" t="str">
        <f t="shared" si="120"/>
        <v/>
      </c>
      <c r="B1545" t="str">
        <f t="shared" si="121"/>
        <v/>
      </c>
      <c r="C1545" t="str">
        <f t="shared" si="122"/>
        <v/>
      </c>
      <c r="D1545" t="str">
        <f>IF(E1545="","",IF(COUNTIF($E$2:E1545,E1545)&gt;1,"",SUMIFS(tbl_input[필요수량],tbl_input[집계키_지청],E1545)))</f>
        <v/>
      </c>
      <c r="E1545" t="str">
        <f>IFERROR(INDEX(tbl_input[집계키_지청],ROW()-1),"")</f>
        <v/>
      </c>
      <c r="F1545" t="str">
        <f t="shared" si="123"/>
        <v/>
      </c>
      <c r="G1545" t="str">
        <f t="shared" si="124"/>
        <v/>
      </c>
    </row>
    <row r="1546" spans="1:7" x14ac:dyDescent="0.4">
      <c r="A1546" t="str">
        <f t="shared" si="120"/>
        <v/>
      </c>
      <c r="B1546" t="str">
        <f t="shared" si="121"/>
        <v/>
      </c>
      <c r="C1546" t="str">
        <f t="shared" si="122"/>
        <v/>
      </c>
      <c r="D1546" t="str">
        <f>IF(E1546="","",IF(COUNTIF($E$2:E1546,E1546)&gt;1,"",SUMIFS(tbl_input[필요수량],tbl_input[집계키_지청],E1546)))</f>
        <v/>
      </c>
      <c r="E1546" t="str">
        <f>IFERROR(INDEX(tbl_input[집계키_지청],ROW()-1),"")</f>
        <v/>
      </c>
      <c r="F1546" t="str">
        <f t="shared" si="123"/>
        <v/>
      </c>
      <c r="G1546" t="str">
        <f t="shared" si="124"/>
        <v/>
      </c>
    </row>
    <row r="1547" spans="1:7" x14ac:dyDescent="0.4">
      <c r="A1547" t="str">
        <f t="shared" si="120"/>
        <v/>
      </c>
      <c r="B1547" t="str">
        <f t="shared" si="121"/>
        <v/>
      </c>
      <c r="C1547" t="str">
        <f t="shared" si="122"/>
        <v/>
      </c>
      <c r="D1547" t="str">
        <f>IF(E1547="","",IF(COUNTIF($E$2:E1547,E1547)&gt;1,"",SUMIFS(tbl_input[필요수량],tbl_input[집계키_지청],E1547)))</f>
        <v/>
      </c>
      <c r="E1547" t="str">
        <f>IFERROR(INDEX(tbl_input[집계키_지청],ROW()-1),"")</f>
        <v/>
      </c>
      <c r="F1547" t="str">
        <f t="shared" si="123"/>
        <v/>
      </c>
      <c r="G1547" t="str">
        <f t="shared" si="124"/>
        <v/>
      </c>
    </row>
    <row r="1548" spans="1:7" x14ac:dyDescent="0.4">
      <c r="A1548" t="str">
        <f t="shared" si="120"/>
        <v/>
      </c>
      <c r="B1548" t="str">
        <f t="shared" si="121"/>
        <v/>
      </c>
      <c r="C1548" t="str">
        <f t="shared" si="122"/>
        <v/>
      </c>
      <c r="D1548" t="str">
        <f>IF(E1548="","",IF(COUNTIF($E$2:E1548,E1548)&gt;1,"",SUMIFS(tbl_input[필요수량],tbl_input[집계키_지청],E1548)))</f>
        <v/>
      </c>
      <c r="E1548" t="str">
        <f>IFERROR(INDEX(tbl_input[집계키_지청],ROW()-1),"")</f>
        <v/>
      </c>
      <c r="F1548" t="str">
        <f t="shared" si="123"/>
        <v/>
      </c>
      <c r="G1548" t="str">
        <f t="shared" si="124"/>
        <v/>
      </c>
    </row>
    <row r="1549" spans="1:7" x14ac:dyDescent="0.4">
      <c r="A1549" t="str">
        <f t="shared" si="120"/>
        <v/>
      </c>
      <c r="B1549" t="str">
        <f t="shared" si="121"/>
        <v/>
      </c>
      <c r="C1549" t="str">
        <f t="shared" si="122"/>
        <v/>
      </c>
      <c r="D1549" t="str">
        <f>IF(E1549="","",IF(COUNTIF($E$2:E1549,E1549)&gt;1,"",SUMIFS(tbl_input[필요수량],tbl_input[집계키_지청],E1549)))</f>
        <v/>
      </c>
      <c r="E1549" t="str">
        <f>IFERROR(INDEX(tbl_input[집계키_지청],ROW()-1),"")</f>
        <v/>
      </c>
      <c r="F1549" t="str">
        <f t="shared" si="123"/>
        <v/>
      </c>
      <c r="G1549" t="str">
        <f t="shared" si="124"/>
        <v/>
      </c>
    </row>
    <row r="1550" spans="1:7" x14ac:dyDescent="0.4">
      <c r="A1550" t="str">
        <f t="shared" si="120"/>
        <v/>
      </c>
      <c r="B1550" t="str">
        <f t="shared" si="121"/>
        <v/>
      </c>
      <c r="C1550" t="str">
        <f t="shared" si="122"/>
        <v/>
      </c>
      <c r="D1550" t="str">
        <f>IF(E1550="","",IF(COUNTIF($E$2:E1550,E1550)&gt;1,"",SUMIFS(tbl_input[필요수량],tbl_input[집계키_지청],E1550)))</f>
        <v/>
      </c>
      <c r="E1550" t="str">
        <f>IFERROR(INDEX(tbl_input[집계키_지청],ROW()-1),"")</f>
        <v/>
      </c>
      <c r="F1550" t="str">
        <f t="shared" si="123"/>
        <v/>
      </c>
      <c r="G1550" t="str">
        <f t="shared" si="124"/>
        <v/>
      </c>
    </row>
    <row r="1551" spans="1:7" x14ac:dyDescent="0.4">
      <c r="A1551" t="str">
        <f t="shared" si="120"/>
        <v/>
      </c>
      <c r="B1551" t="str">
        <f t="shared" si="121"/>
        <v/>
      </c>
      <c r="C1551" t="str">
        <f t="shared" si="122"/>
        <v/>
      </c>
      <c r="D1551" t="str">
        <f>IF(E1551="","",IF(COUNTIF($E$2:E1551,E1551)&gt;1,"",SUMIFS(tbl_input[필요수량],tbl_input[집계키_지청],E1551)))</f>
        <v/>
      </c>
      <c r="E1551" t="str">
        <f>IFERROR(INDEX(tbl_input[집계키_지청],ROW()-1),"")</f>
        <v/>
      </c>
      <c r="F1551" t="str">
        <f t="shared" si="123"/>
        <v/>
      </c>
      <c r="G1551" t="str">
        <f t="shared" si="124"/>
        <v/>
      </c>
    </row>
    <row r="1552" spans="1:7" x14ac:dyDescent="0.4">
      <c r="A1552" t="str">
        <f t="shared" si="120"/>
        <v/>
      </c>
      <c r="B1552" t="str">
        <f t="shared" si="121"/>
        <v/>
      </c>
      <c r="C1552" t="str">
        <f t="shared" si="122"/>
        <v/>
      </c>
      <c r="D1552" t="str">
        <f>IF(E1552="","",IF(COUNTIF($E$2:E1552,E1552)&gt;1,"",SUMIFS(tbl_input[필요수량],tbl_input[집계키_지청],E1552)))</f>
        <v/>
      </c>
      <c r="E1552" t="str">
        <f>IFERROR(INDEX(tbl_input[집계키_지청],ROW()-1),"")</f>
        <v/>
      </c>
      <c r="F1552" t="str">
        <f t="shared" si="123"/>
        <v/>
      </c>
      <c r="G1552" t="str">
        <f t="shared" si="124"/>
        <v/>
      </c>
    </row>
    <row r="1553" spans="1:7" x14ac:dyDescent="0.4">
      <c r="A1553" t="str">
        <f t="shared" si="120"/>
        <v/>
      </c>
      <c r="B1553" t="str">
        <f t="shared" si="121"/>
        <v/>
      </c>
      <c r="C1553" t="str">
        <f t="shared" si="122"/>
        <v/>
      </c>
      <c r="D1553" t="str">
        <f>IF(E1553="","",IF(COUNTIF($E$2:E1553,E1553)&gt;1,"",SUMIFS(tbl_input[필요수량],tbl_input[집계키_지청],E1553)))</f>
        <v/>
      </c>
      <c r="E1553" t="str">
        <f>IFERROR(INDEX(tbl_input[집계키_지청],ROW()-1),"")</f>
        <v/>
      </c>
      <c r="F1553" t="str">
        <f t="shared" si="123"/>
        <v/>
      </c>
      <c r="G1553" t="str">
        <f t="shared" si="124"/>
        <v/>
      </c>
    </row>
    <row r="1554" spans="1:7" x14ac:dyDescent="0.4">
      <c r="A1554" t="str">
        <f t="shared" si="120"/>
        <v/>
      </c>
      <c r="B1554" t="str">
        <f t="shared" si="121"/>
        <v/>
      </c>
      <c r="C1554" t="str">
        <f t="shared" si="122"/>
        <v/>
      </c>
      <c r="D1554" t="str">
        <f>IF(E1554="","",IF(COUNTIF($E$2:E1554,E1554)&gt;1,"",SUMIFS(tbl_input[필요수량],tbl_input[집계키_지청],E1554)))</f>
        <v/>
      </c>
      <c r="E1554" t="str">
        <f>IFERROR(INDEX(tbl_input[집계키_지청],ROW()-1),"")</f>
        <v/>
      </c>
      <c r="F1554" t="str">
        <f t="shared" si="123"/>
        <v/>
      </c>
      <c r="G1554" t="str">
        <f t="shared" si="124"/>
        <v/>
      </c>
    </row>
    <row r="1555" spans="1:7" x14ac:dyDescent="0.4">
      <c r="A1555" t="str">
        <f t="shared" si="120"/>
        <v/>
      </c>
      <c r="B1555" t="str">
        <f t="shared" si="121"/>
        <v/>
      </c>
      <c r="C1555" t="str">
        <f t="shared" si="122"/>
        <v/>
      </c>
      <c r="D1555" t="str">
        <f>IF(E1555="","",IF(COUNTIF($E$2:E1555,E1555)&gt;1,"",SUMIFS(tbl_input[필요수량],tbl_input[집계키_지청],E1555)))</f>
        <v/>
      </c>
      <c r="E1555" t="str">
        <f>IFERROR(INDEX(tbl_input[집계키_지청],ROW()-1),"")</f>
        <v/>
      </c>
      <c r="F1555" t="str">
        <f t="shared" si="123"/>
        <v/>
      </c>
      <c r="G1555" t="str">
        <f t="shared" si="124"/>
        <v/>
      </c>
    </row>
    <row r="1556" spans="1:7" x14ac:dyDescent="0.4">
      <c r="A1556" t="str">
        <f t="shared" si="120"/>
        <v/>
      </c>
      <c r="B1556" t="str">
        <f t="shared" si="121"/>
        <v/>
      </c>
      <c r="C1556" t="str">
        <f t="shared" si="122"/>
        <v/>
      </c>
      <c r="D1556" t="str">
        <f>IF(E1556="","",IF(COUNTIF($E$2:E1556,E1556)&gt;1,"",SUMIFS(tbl_input[필요수량],tbl_input[집계키_지청],E1556)))</f>
        <v/>
      </c>
      <c r="E1556" t="str">
        <f>IFERROR(INDEX(tbl_input[집계키_지청],ROW()-1),"")</f>
        <v/>
      </c>
      <c r="F1556" t="str">
        <f t="shared" si="123"/>
        <v/>
      </c>
      <c r="G1556" t="str">
        <f t="shared" si="124"/>
        <v/>
      </c>
    </row>
    <row r="1557" spans="1:7" x14ac:dyDescent="0.4">
      <c r="A1557" t="str">
        <f t="shared" si="120"/>
        <v/>
      </c>
      <c r="B1557" t="str">
        <f t="shared" si="121"/>
        <v/>
      </c>
      <c r="C1557" t="str">
        <f t="shared" si="122"/>
        <v/>
      </c>
      <c r="D1557" t="str">
        <f>IF(E1557="","",IF(COUNTIF($E$2:E1557,E1557)&gt;1,"",SUMIFS(tbl_input[필요수량],tbl_input[집계키_지청],E1557)))</f>
        <v/>
      </c>
      <c r="E1557" t="str">
        <f>IFERROR(INDEX(tbl_input[집계키_지청],ROW()-1),"")</f>
        <v/>
      </c>
      <c r="F1557" t="str">
        <f t="shared" si="123"/>
        <v/>
      </c>
      <c r="G1557" t="str">
        <f t="shared" si="124"/>
        <v/>
      </c>
    </row>
    <row r="1558" spans="1:7" x14ac:dyDescent="0.4">
      <c r="A1558" t="str">
        <f t="shared" si="120"/>
        <v/>
      </c>
      <c r="B1558" t="str">
        <f t="shared" si="121"/>
        <v/>
      </c>
      <c r="C1558" t="str">
        <f t="shared" si="122"/>
        <v/>
      </c>
      <c r="D1558" t="str">
        <f>IF(E1558="","",IF(COUNTIF($E$2:E1558,E1558)&gt;1,"",SUMIFS(tbl_input[필요수량],tbl_input[집계키_지청],E1558)))</f>
        <v/>
      </c>
      <c r="E1558" t="str">
        <f>IFERROR(INDEX(tbl_input[집계키_지청],ROW()-1),"")</f>
        <v/>
      </c>
      <c r="F1558" t="str">
        <f t="shared" si="123"/>
        <v/>
      </c>
      <c r="G1558" t="str">
        <f t="shared" si="124"/>
        <v/>
      </c>
    </row>
    <row r="1559" spans="1:7" x14ac:dyDescent="0.4">
      <c r="A1559" t="str">
        <f t="shared" si="120"/>
        <v/>
      </c>
      <c r="B1559" t="str">
        <f t="shared" si="121"/>
        <v/>
      </c>
      <c r="C1559" t="str">
        <f t="shared" si="122"/>
        <v/>
      </c>
      <c r="D1559" t="str">
        <f>IF(E1559="","",IF(COUNTIF($E$2:E1559,E1559)&gt;1,"",SUMIFS(tbl_input[필요수량],tbl_input[집계키_지청],E1559)))</f>
        <v/>
      </c>
      <c r="E1559" t="str">
        <f>IFERROR(INDEX(tbl_input[집계키_지청],ROW()-1),"")</f>
        <v/>
      </c>
      <c r="F1559" t="str">
        <f t="shared" si="123"/>
        <v/>
      </c>
      <c r="G1559" t="str">
        <f t="shared" si="124"/>
        <v/>
      </c>
    </row>
    <row r="1560" spans="1:7" x14ac:dyDescent="0.4">
      <c r="A1560" t="str">
        <f t="shared" si="120"/>
        <v/>
      </c>
      <c r="B1560" t="str">
        <f t="shared" si="121"/>
        <v/>
      </c>
      <c r="C1560" t="str">
        <f t="shared" si="122"/>
        <v/>
      </c>
      <c r="D1560" t="str">
        <f>IF(E1560="","",IF(COUNTIF($E$2:E1560,E1560)&gt;1,"",SUMIFS(tbl_input[필요수량],tbl_input[집계키_지청],E1560)))</f>
        <v/>
      </c>
      <c r="E1560" t="str">
        <f>IFERROR(INDEX(tbl_input[집계키_지청],ROW()-1),"")</f>
        <v/>
      </c>
      <c r="F1560" t="str">
        <f t="shared" si="123"/>
        <v/>
      </c>
      <c r="G1560" t="str">
        <f t="shared" si="124"/>
        <v/>
      </c>
    </row>
    <row r="1561" spans="1:7" x14ac:dyDescent="0.4">
      <c r="A1561" t="str">
        <f t="shared" si="120"/>
        <v/>
      </c>
      <c r="B1561" t="str">
        <f t="shared" si="121"/>
        <v/>
      </c>
      <c r="C1561" t="str">
        <f t="shared" si="122"/>
        <v/>
      </c>
      <c r="D1561" t="str">
        <f>IF(E1561="","",IF(COUNTIF($E$2:E1561,E1561)&gt;1,"",SUMIFS(tbl_input[필요수량],tbl_input[집계키_지청],E1561)))</f>
        <v/>
      </c>
      <c r="E1561" t="str">
        <f>IFERROR(INDEX(tbl_input[집계키_지청],ROW()-1),"")</f>
        <v/>
      </c>
      <c r="F1561" t="str">
        <f t="shared" si="123"/>
        <v/>
      </c>
      <c r="G1561" t="str">
        <f t="shared" si="124"/>
        <v/>
      </c>
    </row>
    <row r="1562" spans="1:7" x14ac:dyDescent="0.4">
      <c r="A1562" t="str">
        <f t="shared" si="120"/>
        <v/>
      </c>
      <c r="B1562" t="str">
        <f t="shared" si="121"/>
        <v/>
      </c>
      <c r="C1562" t="str">
        <f t="shared" si="122"/>
        <v/>
      </c>
      <c r="D1562" t="str">
        <f>IF(E1562="","",IF(COUNTIF($E$2:E1562,E1562)&gt;1,"",SUMIFS(tbl_input[필요수량],tbl_input[집계키_지청],E1562)))</f>
        <v/>
      </c>
      <c r="E1562" t="str">
        <f>IFERROR(INDEX(tbl_input[집계키_지청],ROW()-1),"")</f>
        <v/>
      </c>
      <c r="F1562" t="str">
        <f t="shared" si="123"/>
        <v/>
      </c>
      <c r="G1562" t="str">
        <f t="shared" si="124"/>
        <v/>
      </c>
    </row>
    <row r="1563" spans="1:7" x14ac:dyDescent="0.4">
      <c r="A1563" t="str">
        <f t="shared" si="120"/>
        <v/>
      </c>
      <c r="B1563" t="str">
        <f t="shared" si="121"/>
        <v/>
      </c>
      <c r="C1563" t="str">
        <f t="shared" si="122"/>
        <v/>
      </c>
      <c r="D1563" t="str">
        <f>IF(E1563="","",IF(COUNTIF($E$2:E1563,E1563)&gt;1,"",SUMIFS(tbl_input[필요수량],tbl_input[집계키_지청],E1563)))</f>
        <v/>
      </c>
      <c r="E1563" t="str">
        <f>IFERROR(INDEX(tbl_input[집계키_지청],ROW()-1),"")</f>
        <v/>
      </c>
      <c r="F1563" t="str">
        <f t="shared" si="123"/>
        <v/>
      </c>
      <c r="G1563" t="str">
        <f t="shared" si="124"/>
        <v/>
      </c>
    </row>
    <row r="1564" spans="1:7" x14ac:dyDescent="0.4">
      <c r="A1564" t="str">
        <f t="shared" si="120"/>
        <v/>
      </c>
      <c r="B1564" t="str">
        <f t="shared" si="121"/>
        <v/>
      </c>
      <c r="C1564" t="str">
        <f t="shared" si="122"/>
        <v/>
      </c>
      <c r="D1564" t="str">
        <f>IF(E1564="","",IF(COUNTIF($E$2:E1564,E1564)&gt;1,"",SUMIFS(tbl_input[필요수량],tbl_input[집계키_지청],E1564)))</f>
        <v/>
      </c>
      <c r="E1564" t="str">
        <f>IFERROR(INDEX(tbl_input[집계키_지청],ROW()-1),"")</f>
        <v/>
      </c>
      <c r="F1564" t="str">
        <f t="shared" si="123"/>
        <v/>
      </c>
      <c r="G1564" t="str">
        <f t="shared" si="124"/>
        <v/>
      </c>
    </row>
    <row r="1565" spans="1:7" x14ac:dyDescent="0.4">
      <c r="A1565" t="str">
        <f t="shared" si="120"/>
        <v/>
      </c>
      <c r="B1565" t="str">
        <f t="shared" si="121"/>
        <v/>
      </c>
      <c r="C1565" t="str">
        <f t="shared" si="122"/>
        <v/>
      </c>
      <c r="D1565" t="str">
        <f>IF(E1565="","",IF(COUNTIF($E$2:E1565,E1565)&gt;1,"",SUMIFS(tbl_input[필요수량],tbl_input[집계키_지청],E1565)))</f>
        <v/>
      </c>
      <c r="E1565" t="str">
        <f>IFERROR(INDEX(tbl_input[집계키_지청],ROW()-1),"")</f>
        <v/>
      </c>
      <c r="F1565" t="str">
        <f t="shared" si="123"/>
        <v/>
      </c>
      <c r="G1565" t="str">
        <f t="shared" si="124"/>
        <v/>
      </c>
    </row>
    <row r="1566" spans="1:7" x14ac:dyDescent="0.4">
      <c r="A1566" t="str">
        <f t="shared" si="120"/>
        <v/>
      </c>
      <c r="B1566" t="str">
        <f t="shared" si="121"/>
        <v/>
      </c>
      <c r="C1566" t="str">
        <f t="shared" si="122"/>
        <v/>
      </c>
      <c r="D1566" t="str">
        <f>IF(E1566="","",IF(COUNTIF($E$2:E1566,E1566)&gt;1,"",SUMIFS(tbl_input[필요수량],tbl_input[집계키_지청],E1566)))</f>
        <v/>
      </c>
      <c r="E1566" t="str">
        <f>IFERROR(INDEX(tbl_input[집계키_지청],ROW()-1),"")</f>
        <v/>
      </c>
      <c r="F1566" t="str">
        <f t="shared" si="123"/>
        <v/>
      </c>
      <c r="G1566" t="str">
        <f t="shared" si="124"/>
        <v/>
      </c>
    </row>
    <row r="1567" spans="1:7" x14ac:dyDescent="0.4">
      <c r="A1567" t="str">
        <f t="shared" si="120"/>
        <v/>
      </c>
      <c r="B1567" t="str">
        <f t="shared" si="121"/>
        <v/>
      </c>
      <c r="C1567" t="str">
        <f t="shared" si="122"/>
        <v/>
      </c>
      <c r="D1567" t="str">
        <f>IF(E1567="","",IF(COUNTIF($E$2:E1567,E1567)&gt;1,"",SUMIFS(tbl_input[필요수량],tbl_input[집계키_지청],E1567)))</f>
        <v/>
      </c>
      <c r="E1567" t="str">
        <f>IFERROR(INDEX(tbl_input[집계키_지청],ROW()-1),"")</f>
        <v/>
      </c>
      <c r="F1567" t="str">
        <f t="shared" si="123"/>
        <v/>
      </c>
      <c r="G1567" t="str">
        <f t="shared" si="124"/>
        <v/>
      </c>
    </row>
    <row r="1568" spans="1:7" x14ac:dyDescent="0.4">
      <c r="A1568" t="str">
        <f t="shared" si="120"/>
        <v/>
      </c>
      <c r="B1568" t="str">
        <f t="shared" si="121"/>
        <v/>
      </c>
      <c r="C1568" t="str">
        <f t="shared" si="122"/>
        <v/>
      </c>
      <c r="D1568" t="str">
        <f>IF(E1568="","",IF(COUNTIF($E$2:E1568,E1568)&gt;1,"",SUMIFS(tbl_input[필요수량],tbl_input[집계키_지청],E1568)))</f>
        <v/>
      </c>
      <c r="E1568" t="str">
        <f>IFERROR(INDEX(tbl_input[집계키_지청],ROW()-1),"")</f>
        <v/>
      </c>
      <c r="F1568" t="str">
        <f t="shared" si="123"/>
        <v/>
      </c>
      <c r="G1568" t="str">
        <f t="shared" si="124"/>
        <v/>
      </c>
    </row>
    <row r="1569" spans="1:7" x14ac:dyDescent="0.4">
      <c r="A1569" t="str">
        <f t="shared" si="120"/>
        <v/>
      </c>
      <c r="B1569" t="str">
        <f t="shared" si="121"/>
        <v/>
      </c>
      <c r="C1569" t="str">
        <f t="shared" si="122"/>
        <v/>
      </c>
      <c r="D1569" t="str">
        <f>IF(E1569="","",IF(COUNTIF($E$2:E1569,E1569)&gt;1,"",SUMIFS(tbl_input[필요수량],tbl_input[집계키_지청],E1569)))</f>
        <v/>
      </c>
      <c r="E1569" t="str">
        <f>IFERROR(INDEX(tbl_input[집계키_지청],ROW()-1),"")</f>
        <v/>
      </c>
      <c r="F1569" t="str">
        <f t="shared" si="123"/>
        <v/>
      </c>
      <c r="G1569" t="str">
        <f t="shared" si="124"/>
        <v/>
      </c>
    </row>
    <row r="1570" spans="1:7" x14ac:dyDescent="0.4">
      <c r="A1570" t="str">
        <f t="shared" si="120"/>
        <v/>
      </c>
      <c r="B1570" t="str">
        <f t="shared" si="121"/>
        <v/>
      </c>
      <c r="C1570" t="str">
        <f t="shared" si="122"/>
        <v/>
      </c>
      <c r="D1570" t="str">
        <f>IF(E1570="","",IF(COUNTIF($E$2:E1570,E1570)&gt;1,"",SUMIFS(tbl_input[필요수량],tbl_input[집계키_지청],E1570)))</f>
        <v/>
      </c>
      <c r="E1570" t="str">
        <f>IFERROR(INDEX(tbl_input[집계키_지청],ROW()-1),"")</f>
        <v/>
      </c>
      <c r="F1570" t="str">
        <f t="shared" si="123"/>
        <v/>
      </c>
      <c r="G1570" t="str">
        <f t="shared" si="124"/>
        <v/>
      </c>
    </row>
    <row r="1571" spans="1:7" x14ac:dyDescent="0.4">
      <c r="A1571" t="str">
        <f t="shared" si="120"/>
        <v/>
      </c>
      <c r="B1571" t="str">
        <f t="shared" si="121"/>
        <v/>
      </c>
      <c r="C1571" t="str">
        <f t="shared" si="122"/>
        <v/>
      </c>
      <c r="D1571" t="str">
        <f>IF(E1571="","",IF(COUNTIF($E$2:E1571,E1571)&gt;1,"",SUMIFS(tbl_input[필요수량],tbl_input[집계키_지청],E1571)))</f>
        <v/>
      </c>
      <c r="E1571" t="str">
        <f>IFERROR(INDEX(tbl_input[집계키_지청],ROW()-1),"")</f>
        <v/>
      </c>
      <c r="F1571" t="str">
        <f t="shared" si="123"/>
        <v/>
      </c>
      <c r="G1571" t="str">
        <f t="shared" si="124"/>
        <v/>
      </c>
    </row>
    <row r="1572" spans="1:7" x14ac:dyDescent="0.4">
      <c r="A1572" t="str">
        <f t="shared" si="120"/>
        <v/>
      </c>
      <c r="B1572" t="str">
        <f t="shared" si="121"/>
        <v/>
      </c>
      <c r="C1572" t="str">
        <f t="shared" si="122"/>
        <v/>
      </c>
      <c r="D1572" t="str">
        <f>IF(E1572="","",IF(COUNTIF($E$2:E1572,E1572)&gt;1,"",SUMIFS(tbl_input[필요수량],tbl_input[집계키_지청],E1572)))</f>
        <v/>
      </c>
      <c r="E1572" t="str">
        <f>IFERROR(INDEX(tbl_input[집계키_지청],ROW()-1),"")</f>
        <v/>
      </c>
      <c r="F1572" t="str">
        <f t="shared" si="123"/>
        <v/>
      </c>
      <c r="G1572" t="str">
        <f t="shared" si="124"/>
        <v/>
      </c>
    </row>
    <row r="1573" spans="1:7" x14ac:dyDescent="0.4">
      <c r="A1573" t="str">
        <f t="shared" si="120"/>
        <v/>
      </c>
      <c r="B1573" t="str">
        <f t="shared" si="121"/>
        <v/>
      </c>
      <c r="C1573" t="str">
        <f t="shared" si="122"/>
        <v/>
      </c>
      <c r="D1573" t="str">
        <f>IF(E1573="","",IF(COUNTIF($E$2:E1573,E1573)&gt;1,"",SUMIFS(tbl_input[필요수량],tbl_input[집계키_지청],E1573)))</f>
        <v/>
      </c>
      <c r="E1573" t="str">
        <f>IFERROR(INDEX(tbl_input[집계키_지청],ROW()-1),"")</f>
        <v/>
      </c>
      <c r="F1573" t="str">
        <f t="shared" si="123"/>
        <v/>
      </c>
      <c r="G1573" t="str">
        <f t="shared" si="124"/>
        <v/>
      </c>
    </row>
    <row r="1574" spans="1:7" x14ac:dyDescent="0.4">
      <c r="A1574" t="str">
        <f t="shared" si="120"/>
        <v/>
      </c>
      <c r="B1574" t="str">
        <f t="shared" si="121"/>
        <v/>
      </c>
      <c r="C1574" t="str">
        <f t="shared" si="122"/>
        <v/>
      </c>
      <c r="D1574" t="str">
        <f>IF(E1574="","",IF(COUNTIF($E$2:E1574,E1574)&gt;1,"",SUMIFS(tbl_input[필요수량],tbl_input[집계키_지청],E1574)))</f>
        <v/>
      </c>
      <c r="E1574" t="str">
        <f>IFERROR(INDEX(tbl_input[집계키_지청],ROW()-1),"")</f>
        <v/>
      </c>
      <c r="F1574" t="str">
        <f t="shared" si="123"/>
        <v/>
      </c>
      <c r="G1574" t="str">
        <f t="shared" si="124"/>
        <v/>
      </c>
    </row>
    <row r="1575" spans="1:7" x14ac:dyDescent="0.4">
      <c r="A1575" t="str">
        <f t="shared" si="120"/>
        <v/>
      </c>
      <c r="B1575" t="str">
        <f t="shared" si="121"/>
        <v/>
      </c>
      <c r="C1575" t="str">
        <f t="shared" si="122"/>
        <v/>
      </c>
      <c r="D1575" t="str">
        <f>IF(E1575="","",IF(COUNTIF($E$2:E1575,E1575)&gt;1,"",SUMIFS(tbl_input[필요수량],tbl_input[집계키_지청],E1575)))</f>
        <v/>
      </c>
      <c r="E1575" t="str">
        <f>IFERROR(INDEX(tbl_input[집계키_지청],ROW()-1),"")</f>
        <v/>
      </c>
      <c r="F1575" t="str">
        <f t="shared" si="123"/>
        <v/>
      </c>
      <c r="G1575" t="str">
        <f t="shared" si="124"/>
        <v/>
      </c>
    </row>
    <row r="1576" spans="1:7" x14ac:dyDescent="0.4">
      <c r="A1576" t="str">
        <f t="shared" si="120"/>
        <v/>
      </c>
      <c r="B1576" t="str">
        <f t="shared" si="121"/>
        <v/>
      </c>
      <c r="C1576" t="str">
        <f t="shared" si="122"/>
        <v/>
      </c>
      <c r="D1576" t="str">
        <f>IF(E1576="","",IF(COUNTIF($E$2:E1576,E1576)&gt;1,"",SUMIFS(tbl_input[필요수량],tbl_input[집계키_지청],E1576)))</f>
        <v/>
      </c>
      <c r="E1576" t="str">
        <f>IFERROR(INDEX(tbl_input[집계키_지청],ROW()-1),"")</f>
        <v/>
      </c>
      <c r="F1576" t="str">
        <f t="shared" si="123"/>
        <v/>
      </c>
      <c r="G1576" t="str">
        <f t="shared" si="124"/>
        <v/>
      </c>
    </row>
    <row r="1577" spans="1:7" x14ac:dyDescent="0.4">
      <c r="A1577" t="str">
        <f t="shared" si="120"/>
        <v/>
      </c>
      <c r="B1577" t="str">
        <f t="shared" si="121"/>
        <v/>
      </c>
      <c r="C1577" t="str">
        <f t="shared" si="122"/>
        <v/>
      </c>
      <c r="D1577" t="str">
        <f>IF(E1577="","",IF(COUNTIF($E$2:E1577,E1577)&gt;1,"",SUMIFS(tbl_input[필요수량],tbl_input[집계키_지청],E1577)))</f>
        <v/>
      </c>
      <c r="E1577" t="str">
        <f>IFERROR(INDEX(tbl_input[집계키_지청],ROW()-1),"")</f>
        <v/>
      </c>
      <c r="F1577" t="str">
        <f t="shared" si="123"/>
        <v/>
      </c>
      <c r="G1577" t="str">
        <f t="shared" si="124"/>
        <v/>
      </c>
    </row>
    <row r="1578" spans="1:7" x14ac:dyDescent="0.4">
      <c r="A1578" t="str">
        <f t="shared" si="120"/>
        <v/>
      </c>
      <c r="B1578" t="str">
        <f t="shared" si="121"/>
        <v/>
      </c>
      <c r="C1578" t="str">
        <f t="shared" si="122"/>
        <v/>
      </c>
      <c r="D1578" t="str">
        <f>IF(E1578="","",IF(COUNTIF($E$2:E1578,E1578)&gt;1,"",SUMIFS(tbl_input[필요수량],tbl_input[집계키_지청],E1578)))</f>
        <v/>
      </c>
      <c r="E1578" t="str">
        <f>IFERROR(INDEX(tbl_input[집계키_지청],ROW()-1),"")</f>
        <v/>
      </c>
      <c r="F1578" t="str">
        <f t="shared" si="123"/>
        <v/>
      </c>
      <c r="G1578" t="str">
        <f t="shared" si="124"/>
        <v/>
      </c>
    </row>
    <row r="1579" spans="1:7" x14ac:dyDescent="0.4">
      <c r="A1579" t="str">
        <f t="shared" si="120"/>
        <v/>
      </c>
      <c r="B1579" t="str">
        <f t="shared" si="121"/>
        <v/>
      </c>
      <c r="C1579" t="str">
        <f t="shared" si="122"/>
        <v/>
      </c>
      <c r="D1579" t="str">
        <f>IF(E1579="","",IF(COUNTIF($E$2:E1579,E1579)&gt;1,"",SUMIFS(tbl_input[필요수량],tbl_input[집계키_지청],E1579)))</f>
        <v/>
      </c>
      <c r="E1579" t="str">
        <f>IFERROR(INDEX(tbl_input[집계키_지청],ROW()-1),"")</f>
        <v/>
      </c>
      <c r="F1579" t="str">
        <f t="shared" si="123"/>
        <v/>
      </c>
      <c r="G1579" t="str">
        <f t="shared" si="124"/>
        <v/>
      </c>
    </row>
    <row r="1580" spans="1:7" x14ac:dyDescent="0.4">
      <c r="A1580" t="str">
        <f t="shared" si="120"/>
        <v/>
      </c>
      <c r="B1580" t="str">
        <f t="shared" si="121"/>
        <v/>
      </c>
      <c r="C1580" t="str">
        <f t="shared" si="122"/>
        <v/>
      </c>
      <c r="D1580" t="str">
        <f>IF(E1580="","",IF(COUNTIF($E$2:E1580,E1580)&gt;1,"",SUMIFS(tbl_input[필요수량],tbl_input[집계키_지청],E1580)))</f>
        <v/>
      </c>
      <c r="E1580" t="str">
        <f>IFERROR(INDEX(tbl_input[집계키_지청],ROW()-1),"")</f>
        <v/>
      </c>
      <c r="F1580" t="str">
        <f t="shared" si="123"/>
        <v/>
      </c>
      <c r="G1580" t="str">
        <f t="shared" si="124"/>
        <v/>
      </c>
    </row>
    <row r="1581" spans="1:7" x14ac:dyDescent="0.4">
      <c r="A1581" t="str">
        <f t="shared" si="120"/>
        <v/>
      </c>
      <c r="B1581" t="str">
        <f t="shared" si="121"/>
        <v/>
      </c>
      <c r="C1581" t="str">
        <f t="shared" si="122"/>
        <v/>
      </c>
      <c r="D1581" t="str">
        <f>IF(E1581="","",IF(COUNTIF($E$2:E1581,E1581)&gt;1,"",SUMIFS(tbl_input[필요수량],tbl_input[집계키_지청],E1581)))</f>
        <v/>
      </c>
      <c r="E1581" t="str">
        <f>IFERROR(INDEX(tbl_input[집계키_지청],ROW()-1),"")</f>
        <v/>
      </c>
      <c r="F1581" t="str">
        <f t="shared" si="123"/>
        <v/>
      </c>
      <c r="G1581" t="str">
        <f t="shared" si="124"/>
        <v/>
      </c>
    </row>
    <row r="1582" spans="1:7" x14ac:dyDescent="0.4">
      <c r="A1582" t="str">
        <f t="shared" si="120"/>
        <v/>
      </c>
      <c r="B1582" t="str">
        <f t="shared" si="121"/>
        <v/>
      </c>
      <c r="C1582" t="str">
        <f t="shared" si="122"/>
        <v/>
      </c>
      <c r="D1582" t="str">
        <f>IF(E1582="","",IF(COUNTIF($E$2:E1582,E1582)&gt;1,"",SUMIFS(tbl_input[필요수량],tbl_input[집계키_지청],E1582)))</f>
        <v/>
      </c>
      <c r="E1582" t="str">
        <f>IFERROR(INDEX(tbl_input[집계키_지청],ROW()-1),"")</f>
        <v/>
      </c>
      <c r="F1582" t="str">
        <f t="shared" si="123"/>
        <v/>
      </c>
      <c r="G1582" t="str">
        <f t="shared" si="124"/>
        <v/>
      </c>
    </row>
    <row r="1583" spans="1:7" x14ac:dyDescent="0.4">
      <c r="A1583" t="str">
        <f t="shared" si="120"/>
        <v/>
      </c>
      <c r="B1583" t="str">
        <f t="shared" si="121"/>
        <v/>
      </c>
      <c r="C1583" t="str">
        <f t="shared" si="122"/>
        <v/>
      </c>
      <c r="D1583" t="str">
        <f>IF(E1583="","",IF(COUNTIF($E$2:E1583,E1583)&gt;1,"",SUMIFS(tbl_input[필요수량],tbl_input[집계키_지청],E1583)))</f>
        <v/>
      </c>
      <c r="E1583" t="str">
        <f>IFERROR(INDEX(tbl_input[집계키_지청],ROW()-1),"")</f>
        <v/>
      </c>
      <c r="F1583" t="str">
        <f t="shared" si="123"/>
        <v/>
      </c>
      <c r="G1583" t="str">
        <f t="shared" si="124"/>
        <v/>
      </c>
    </row>
    <row r="1584" spans="1:7" x14ac:dyDescent="0.4">
      <c r="A1584" t="str">
        <f t="shared" si="120"/>
        <v/>
      </c>
      <c r="B1584" t="str">
        <f t="shared" si="121"/>
        <v/>
      </c>
      <c r="C1584" t="str">
        <f t="shared" si="122"/>
        <v/>
      </c>
      <c r="D1584" t="str">
        <f>IF(E1584="","",IF(COUNTIF($E$2:E1584,E1584)&gt;1,"",SUMIFS(tbl_input[필요수량],tbl_input[집계키_지청],E1584)))</f>
        <v/>
      </c>
      <c r="E1584" t="str">
        <f>IFERROR(INDEX(tbl_input[집계키_지청],ROW()-1),"")</f>
        <v/>
      </c>
      <c r="F1584" t="str">
        <f t="shared" si="123"/>
        <v/>
      </c>
      <c r="G1584" t="str">
        <f t="shared" si="124"/>
        <v/>
      </c>
    </row>
    <row r="1585" spans="1:7" x14ac:dyDescent="0.4">
      <c r="A1585" t="str">
        <f t="shared" si="120"/>
        <v/>
      </c>
      <c r="B1585" t="str">
        <f t="shared" si="121"/>
        <v/>
      </c>
      <c r="C1585" t="str">
        <f t="shared" si="122"/>
        <v/>
      </c>
      <c r="D1585" t="str">
        <f>IF(E1585="","",IF(COUNTIF($E$2:E1585,E1585)&gt;1,"",SUMIFS(tbl_input[필요수량],tbl_input[집계키_지청],E1585)))</f>
        <v/>
      </c>
      <c r="E1585" t="str">
        <f>IFERROR(INDEX(tbl_input[집계키_지청],ROW()-1),"")</f>
        <v/>
      </c>
      <c r="F1585" t="str">
        <f t="shared" si="123"/>
        <v/>
      </c>
      <c r="G1585" t="str">
        <f t="shared" si="124"/>
        <v/>
      </c>
    </row>
    <row r="1586" spans="1:7" x14ac:dyDescent="0.4">
      <c r="A1586" t="str">
        <f t="shared" si="120"/>
        <v/>
      </c>
      <c r="B1586" t="str">
        <f t="shared" si="121"/>
        <v/>
      </c>
      <c r="C1586" t="str">
        <f t="shared" si="122"/>
        <v/>
      </c>
      <c r="D1586" t="str">
        <f>IF(E1586="","",IF(COUNTIF($E$2:E1586,E1586)&gt;1,"",SUMIFS(tbl_input[필요수량],tbl_input[집계키_지청],E1586)))</f>
        <v/>
      </c>
      <c r="E1586" t="str">
        <f>IFERROR(INDEX(tbl_input[집계키_지청],ROW()-1),"")</f>
        <v/>
      </c>
      <c r="F1586" t="str">
        <f t="shared" si="123"/>
        <v/>
      </c>
      <c r="G1586" t="str">
        <f t="shared" si="124"/>
        <v/>
      </c>
    </row>
    <row r="1587" spans="1:7" x14ac:dyDescent="0.4">
      <c r="A1587" t="str">
        <f t="shared" si="120"/>
        <v/>
      </c>
      <c r="B1587" t="str">
        <f t="shared" si="121"/>
        <v/>
      </c>
      <c r="C1587" t="str">
        <f t="shared" si="122"/>
        <v/>
      </c>
      <c r="D1587" t="str">
        <f>IF(E1587="","",IF(COUNTIF($E$2:E1587,E1587)&gt;1,"",SUMIFS(tbl_input[필요수량],tbl_input[집계키_지청],E1587)))</f>
        <v/>
      </c>
      <c r="E1587" t="str">
        <f>IFERROR(INDEX(tbl_input[집계키_지청],ROW()-1),"")</f>
        <v/>
      </c>
      <c r="F1587" t="str">
        <f t="shared" si="123"/>
        <v/>
      </c>
      <c r="G1587" t="str">
        <f t="shared" si="124"/>
        <v/>
      </c>
    </row>
    <row r="1588" spans="1:7" x14ac:dyDescent="0.4">
      <c r="A1588" t="str">
        <f t="shared" si="120"/>
        <v/>
      </c>
      <c r="B1588" t="str">
        <f t="shared" si="121"/>
        <v/>
      </c>
      <c r="C1588" t="str">
        <f t="shared" si="122"/>
        <v/>
      </c>
      <c r="D1588" t="str">
        <f>IF(E1588="","",IF(COUNTIF($E$2:E1588,E1588)&gt;1,"",SUMIFS(tbl_input[필요수량],tbl_input[집계키_지청],E1588)))</f>
        <v/>
      </c>
      <c r="E1588" t="str">
        <f>IFERROR(INDEX(tbl_input[집계키_지청],ROW()-1),"")</f>
        <v/>
      </c>
      <c r="F1588" t="str">
        <f t="shared" si="123"/>
        <v/>
      </c>
      <c r="G1588" t="str">
        <f t="shared" si="124"/>
        <v/>
      </c>
    </row>
    <row r="1589" spans="1:7" x14ac:dyDescent="0.4">
      <c r="A1589" t="str">
        <f t="shared" si="120"/>
        <v/>
      </c>
      <c r="B1589" t="str">
        <f t="shared" si="121"/>
        <v/>
      </c>
      <c r="C1589" t="str">
        <f t="shared" si="122"/>
        <v/>
      </c>
      <c r="D1589" t="str">
        <f>IF(E1589="","",IF(COUNTIF($E$2:E1589,E1589)&gt;1,"",SUMIFS(tbl_input[필요수량],tbl_input[집계키_지청],E1589)))</f>
        <v/>
      </c>
      <c r="E1589" t="str">
        <f>IFERROR(INDEX(tbl_input[집계키_지청],ROW()-1),"")</f>
        <v/>
      </c>
      <c r="F1589" t="str">
        <f t="shared" si="123"/>
        <v/>
      </c>
      <c r="G1589" t="str">
        <f t="shared" si="124"/>
        <v/>
      </c>
    </row>
    <row r="1590" spans="1:7" x14ac:dyDescent="0.4">
      <c r="A1590" t="str">
        <f t="shared" si="120"/>
        <v/>
      </c>
      <c r="B1590" t="str">
        <f t="shared" si="121"/>
        <v/>
      </c>
      <c r="C1590" t="str">
        <f t="shared" si="122"/>
        <v/>
      </c>
      <c r="D1590" t="str">
        <f>IF(E1590="","",IF(COUNTIF($E$2:E1590,E1590)&gt;1,"",SUMIFS(tbl_input[필요수량],tbl_input[집계키_지청],E1590)))</f>
        <v/>
      </c>
      <c r="E1590" t="str">
        <f>IFERROR(INDEX(tbl_input[집계키_지청],ROW()-1),"")</f>
        <v/>
      </c>
      <c r="F1590" t="str">
        <f t="shared" si="123"/>
        <v/>
      </c>
      <c r="G1590" t="str">
        <f t="shared" si="124"/>
        <v/>
      </c>
    </row>
    <row r="1591" spans="1:7" x14ac:dyDescent="0.4">
      <c r="A1591" t="str">
        <f t="shared" si="120"/>
        <v/>
      </c>
      <c r="B1591" t="str">
        <f t="shared" si="121"/>
        <v/>
      </c>
      <c r="C1591" t="str">
        <f t="shared" si="122"/>
        <v/>
      </c>
      <c r="D1591" t="str">
        <f>IF(E1591="","",IF(COUNTIF($E$2:E1591,E1591)&gt;1,"",SUMIFS(tbl_input[필요수량],tbl_input[집계키_지청],E1591)))</f>
        <v/>
      </c>
      <c r="E1591" t="str">
        <f>IFERROR(INDEX(tbl_input[집계키_지청],ROW()-1),"")</f>
        <v/>
      </c>
      <c r="F1591" t="str">
        <f t="shared" si="123"/>
        <v/>
      </c>
      <c r="G1591" t="str">
        <f t="shared" si="124"/>
        <v/>
      </c>
    </row>
    <row r="1592" spans="1:7" x14ac:dyDescent="0.4">
      <c r="A1592" t="str">
        <f t="shared" si="120"/>
        <v/>
      </c>
      <c r="B1592" t="str">
        <f t="shared" si="121"/>
        <v/>
      </c>
      <c r="C1592" t="str">
        <f t="shared" si="122"/>
        <v/>
      </c>
      <c r="D1592" t="str">
        <f>IF(E1592="","",IF(COUNTIF($E$2:E1592,E1592)&gt;1,"",SUMIFS(tbl_input[필요수량],tbl_input[집계키_지청],E1592)))</f>
        <v/>
      </c>
      <c r="E1592" t="str">
        <f>IFERROR(INDEX(tbl_input[집계키_지청],ROW()-1),"")</f>
        <v/>
      </c>
      <c r="F1592" t="str">
        <f t="shared" si="123"/>
        <v/>
      </c>
      <c r="G1592" t="str">
        <f t="shared" si="124"/>
        <v/>
      </c>
    </row>
    <row r="1593" spans="1:7" x14ac:dyDescent="0.4">
      <c r="A1593" t="str">
        <f t="shared" si="120"/>
        <v/>
      </c>
      <c r="B1593" t="str">
        <f t="shared" si="121"/>
        <v/>
      </c>
      <c r="C1593" t="str">
        <f t="shared" si="122"/>
        <v/>
      </c>
      <c r="D1593" t="str">
        <f>IF(E1593="","",IF(COUNTIF($E$2:E1593,E1593)&gt;1,"",SUMIFS(tbl_input[필요수량],tbl_input[집계키_지청],E1593)))</f>
        <v/>
      </c>
      <c r="E1593" t="str">
        <f>IFERROR(INDEX(tbl_input[집계키_지청],ROW()-1),"")</f>
        <v/>
      </c>
      <c r="F1593" t="str">
        <f t="shared" si="123"/>
        <v/>
      </c>
      <c r="G1593" t="str">
        <f t="shared" si="124"/>
        <v/>
      </c>
    </row>
    <row r="1594" spans="1:7" x14ac:dyDescent="0.4">
      <c r="A1594" t="str">
        <f t="shared" si="120"/>
        <v/>
      </c>
      <c r="B1594" t="str">
        <f t="shared" si="121"/>
        <v/>
      </c>
      <c r="C1594" t="str">
        <f t="shared" si="122"/>
        <v/>
      </c>
      <c r="D1594" t="str">
        <f>IF(E1594="","",IF(COUNTIF($E$2:E1594,E1594)&gt;1,"",SUMIFS(tbl_input[필요수량],tbl_input[집계키_지청],E1594)))</f>
        <v/>
      </c>
      <c r="E1594" t="str">
        <f>IFERROR(INDEX(tbl_input[집계키_지청],ROW()-1),"")</f>
        <v/>
      </c>
      <c r="F1594" t="str">
        <f t="shared" si="123"/>
        <v/>
      </c>
      <c r="G1594" t="str">
        <f t="shared" si="124"/>
        <v/>
      </c>
    </row>
    <row r="1595" spans="1:7" x14ac:dyDescent="0.4">
      <c r="A1595" t="str">
        <f t="shared" si="120"/>
        <v/>
      </c>
      <c r="B1595" t="str">
        <f t="shared" si="121"/>
        <v/>
      </c>
      <c r="C1595" t="str">
        <f t="shared" si="122"/>
        <v/>
      </c>
      <c r="D1595" t="str">
        <f>IF(E1595="","",IF(COUNTIF($E$2:E1595,E1595)&gt;1,"",SUMIFS(tbl_input[필요수량],tbl_input[집계키_지청],E1595)))</f>
        <v/>
      </c>
      <c r="E1595" t="str">
        <f>IFERROR(INDEX(tbl_input[집계키_지청],ROW()-1),"")</f>
        <v/>
      </c>
      <c r="F1595" t="str">
        <f t="shared" si="123"/>
        <v/>
      </c>
      <c r="G1595" t="str">
        <f t="shared" si="124"/>
        <v/>
      </c>
    </row>
    <row r="1596" spans="1:7" x14ac:dyDescent="0.4">
      <c r="A1596" t="str">
        <f t="shared" si="120"/>
        <v/>
      </c>
      <c r="B1596" t="str">
        <f t="shared" si="121"/>
        <v/>
      </c>
      <c r="C1596" t="str">
        <f t="shared" si="122"/>
        <v/>
      </c>
      <c r="D1596" t="str">
        <f>IF(E1596="","",IF(COUNTIF($E$2:E1596,E1596)&gt;1,"",SUMIFS(tbl_input[필요수량],tbl_input[집계키_지청],E1596)))</f>
        <v/>
      </c>
      <c r="E1596" t="str">
        <f>IFERROR(INDEX(tbl_input[집계키_지청],ROW()-1),"")</f>
        <v/>
      </c>
      <c r="F1596" t="str">
        <f t="shared" si="123"/>
        <v/>
      </c>
      <c r="G1596" t="str">
        <f t="shared" si="124"/>
        <v/>
      </c>
    </row>
    <row r="1597" spans="1:7" x14ac:dyDescent="0.4">
      <c r="A1597" t="str">
        <f t="shared" si="120"/>
        <v/>
      </c>
      <c r="B1597" t="str">
        <f t="shared" si="121"/>
        <v/>
      </c>
      <c r="C1597" t="str">
        <f t="shared" si="122"/>
        <v/>
      </c>
      <c r="D1597" t="str">
        <f>IF(E1597="","",IF(COUNTIF($E$2:E1597,E1597)&gt;1,"",SUMIFS(tbl_input[필요수량],tbl_input[집계키_지청],E1597)))</f>
        <v/>
      </c>
      <c r="E1597" t="str">
        <f>IFERROR(INDEX(tbl_input[집계키_지청],ROW()-1),"")</f>
        <v/>
      </c>
      <c r="F1597" t="str">
        <f t="shared" si="123"/>
        <v/>
      </c>
      <c r="G1597" t="str">
        <f t="shared" si="124"/>
        <v/>
      </c>
    </row>
    <row r="1598" spans="1:7" x14ac:dyDescent="0.4">
      <c r="A1598" t="str">
        <f t="shared" si="120"/>
        <v/>
      </c>
      <c r="B1598" t="str">
        <f t="shared" si="121"/>
        <v/>
      </c>
      <c r="C1598" t="str">
        <f t="shared" si="122"/>
        <v/>
      </c>
      <c r="D1598" t="str">
        <f>IF(E1598="","",IF(COUNTIF($E$2:E1598,E1598)&gt;1,"",SUMIFS(tbl_input[필요수량],tbl_input[집계키_지청],E1598)))</f>
        <v/>
      </c>
      <c r="E1598" t="str">
        <f>IFERROR(INDEX(tbl_input[집계키_지청],ROW()-1),"")</f>
        <v/>
      </c>
      <c r="F1598" t="str">
        <f t="shared" si="123"/>
        <v/>
      </c>
      <c r="G1598" t="str">
        <f t="shared" si="124"/>
        <v/>
      </c>
    </row>
    <row r="1599" spans="1:7" x14ac:dyDescent="0.4">
      <c r="A1599" t="str">
        <f t="shared" si="120"/>
        <v/>
      </c>
      <c r="B1599" t="str">
        <f t="shared" si="121"/>
        <v/>
      </c>
      <c r="C1599" t="str">
        <f t="shared" si="122"/>
        <v/>
      </c>
      <c r="D1599" t="str">
        <f>IF(E1599="","",IF(COUNTIF($E$2:E1599,E1599)&gt;1,"",SUMIFS(tbl_input[필요수량],tbl_input[집계키_지청],E1599)))</f>
        <v/>
      </c>
      <c r="E1599" t="str">
        <f>IFERROR(INDEX(tbl_input[집계키_지청],ROW()-1),"")</f>
        <v/>
      </c>
      <c r="F1599" t="str">
        <f t="shared" si="123"/>
        <v/>
      </c>
      <c r="G1599" t="str">
        <f t="shared" si="124"/>
        <v/>
      </c>
    </row>
    <row r="1600" spans="1:7" x14ac:dyDescent="0.4">
      <c r="A1600" t="str">
        <f t="shared" si="120"/>
        <v/>
      </c>
      <c r="B1600" t="str">
        <f t="shared" si="121"/>
        <v/>
      </c>
      <c r="C1600" t="str">
        <f t="shared" si="122"/>
        <v/>
      </c>
      <c r="D1600" t="str">
        <f>IF(E1600="","",IF(COUNTIF($E$2:E1600,E1600)&gt;1,"",SUMIFS(tbl_input[필요수량],tbl_input[집계키_지청],E1600)))</f>
        <v/>
      </c>
      <c r="E1600" t="str">
        <f>IFERROR(INDEX(tbl_input[집계키_지청],ROW()-1),"")</f>
        <v/>
      </c>
      <c r="F1600" t="str">
        <f t="shared" si="123"/>
        <v/>
      </c>
      <c r="G1600" t="str">
        <f t="shared" si="124"/>
        <v/>
      </c>
    </row>
    <row r="1601" spans="1:7" x14ac:dyDescent="0.4">
      <c r="A1601" t="str">
        <f t="shared" si="120"/>
        <v/>
      </c>
      <c r="B1601" t="str">
        <f t="shared" si="121"/>
        <v/>
      </c>
      <c r="C1601" t="str">
        <f t="shared" si="122"/>
        <v/>
      </c>
      <c r="D1601" t="str">
        <f>IF(E1601="","",IF(COUNTIF($E$2:E1601,E1601)&gt;1,"",SUMIFS(tbl_input[필요수량],tbl_input[집계키_지청],E1601)))</f>
        <v/>
      </c>
      <c r="E1601" t="str">
        <f>IFERROR(INDEX(tbl_input[집계키_지청],ROW()-1),"")</f>
        <v/>
      </c>
      <c r="F1601" t="str">
        <f t="shared" si="123"/>
        <v/>
      </c>
      <c r="G1601" t="str">
        <f t="shared" si="124"/>
        <v/>
      </c>
    </row>
    <row r="1602" spans="1:7" x14ac:dyDescent="0.4">
      <c r="A1602" t="str">
        <f t="shared" ref="A1602:A1665" si="125">IF(E1602="","",LEFT(E1602,F1602-1))</f>
        <v/>
      </c>
      <c r="B1602" t="str">
        <f t="shared" ref="B1602:B1665" si="126">IF(E1602="","",MID(E1602,F1602+1,G1602-F1602-1))</f>
        <v/>
      </c>
      <c r="C1602" t="str">
        <f t="shared" ref="C1602:C1665" si="127">IF(E1602="","",MID(E1602,G1602+1,999))</f>
        <v/>
      </c>
      <c r="D1602" t="str">
        <f>IF(E1602="","",IF(COUNTIF($E$2:E1602,E1602)&gt;1,"",SUMIFS(tbl_input[필요수량],tbl_input[집계키_지청],E1602)))</f>
        <v/>
      </c>
      <c r="E1602" t="str">
        <f>IFERROR(INDEX(tbl_input[집계키_지청],ROW()-1),"")</f>
        <v/>
      </c>
      <c r="F1602" t="str">
        <f t="shared" ref="F1602:F1665" si="128">IF(E1602="","",FIND("♦",E1602))</f>
        <v/>
      </c>
      <c r="G1602" t="str">
        <f t="shared" ref="G1602:G1665" si="129">IF(E1602="","",FIND("♦",E1602,F1602+1))</f>
        <v/>
      </c>
    </row>
    <row r="1603" spans="1:7" x14ac:dyDescent="0.4">
      <c r="A1603" t="str">
        <f t="shared" si="125"/>
        <v/>
      </c>
      <c r="B1603" t="str">
        <f t="shared" si="126"/>
        <v/>
      </c>
      <c r="C1603" t="str">
        <f t="shared" si="127"/>
        <v/>
      </c>
      <c r="D1603" t="str">
        <f>IF(E1603="","",IF(COUNTIF($E$2:E1603,E1603)&gt;1,"",SUMIFS(tbl_input[필요수량],tbl_input[집계키_지청],E1603)))</f>
        <v/>
      </c>
      <c r="E1603" t="str">
        <f>IFERROR(INDEX(tbl_input[집계키_지청],ROW()-1),"")</f>
        <v/>
      </c>
      <c r="F1603" t="str">
        <f t="shared" si="128"/>
        <v/>
      </c>
      <c r="G1603" t="str">
        <f t="shared" si="129"/>
        <v/>
      </c>
    </row>
    <row r="1604" spans="1:7" x14ac:dyDescent="0.4">
      <c r="A1604" t="str">
        <f t="shared" si="125"/>
        <v/>
      </c>
      <c r="B1604" t="str">
        <f t="shared" si="126"/>
        <v/>
      </c>
      <c r="C1604" t="str">
        <f t="shared" si="127"/>
        <v/>
      </c>
      <c r="D1604" t="str">
        <f>IF(E1604="","",IF(COUNTIF($E$2:E1604,E1604)&gt;1,"",SUMIFS(tbl_input[필요수량],tbl_input[집계키_지청],E1604)))</f>
        <v/>
      </c>
      <c r="E1604" t="str">
        <f>IFERROR(INDEX(tbl_input[집계키_지청],ROW()-1),"")</f>
        <v/>
      </c>
      <c r="F1604" t="str">
        <f t="shared" si="128"/>
        <v/>
      </c>
      <c r="G1604" t="str">
        <f t="shared" si="129"/>
        <v/>
      </c>
    </row>
    <row r="1605" spans="1:7" x14ac:dyDescent="0.4">
      <c r="A1605" t="str">
        <f t="shared" si="125"/>
        <v/>
      </c>
      <c r="B1605" t="str">
        <f t="shared" si="126"/>
        <v/>
      </c>
      <c r="C1605" t="str">
        <f t="shared" si="127"/>
        <v/>
      </c>
      <c r="D1605" t="str">
        <f>IF(E1605="","",IF(COUNTIF($E$2:E1605,E1605)&gt;1,"",SUMIFS(tbl_input[필요수량],tbl_input[집계키_지청],E1605)))</f>
        <v/>
      </c>
      <c r="E1605" t="str">
        <f>IFERROR(INDEX(tbl_input[집계키_지청],ROW()-1),"")</f>
        <v/>
      </c>
      <c r="F1605" t="str">
        <f t="shared" si="128"/>
        <v/>
      </c>
      <c r="G1605" t="str">
        <f t="shared" si="129"/>
        <v/>
      </c>
    </row>
    <row r="1606" spans="1:7" x14ac:dyDescent="0.4">
      <c r="A1606" t="str">
        <f t="shared" si="125"/>
        <v/>
      </c>
      <c r="B1606" t="str">
        <f t="shared" si="126"/>
        <v/>
      </c>
      <c r="C1606" t="str">
        <f t="shared" si="127"/>
        <v/>
      </c>
      <c r="D1606" t="str">
        <f>IF(E1606="","",IF(COUNTIF($E$2:E1606,E1606)&gt;1,"",SUMIFS(tbl_input[필요수량],tbl_input[집계키_지청],E1606)))</f>
        <v/>
      </c>
      <c r="E1606" t="str">
        <f>IFERROR(INDEX(tbl_input[집계키_지청],ROW()-1),"")</f>
        <v/>
      </c>
      <c r="F1606" t="str">
        <f t="shared" si="128"/>
        <v/>
      </c>
      <c r="G1606" t="str">
        <f t="shared" si="129"/>
        <v/>
      </c>
    </row>
    <row r="1607" spans="1:7" x14ac:dyDescent="0.4">
      <c r="A1607" t="str">
        <f t="shared" si="125"/>
        <v/>
      </c>
      <c r="B1607" t="str">
        <f t="shared" si="126"/>
        <v/>
      </c>
      <c r="C1607" t="str">
        <f t="shared" si="127"/>
        <v/>
      </c>
      <c r="D1607" t="str">
        <f>IF(E1607="","",IF(COUNTIF($E$2:E1607,E1607)&gt;1,"",SUMIFS(tbl_input[필요수량],tbl_input[집계키_지청],E1607)))</f>
        <v/>
      </c>
      <c r="E1607" t="str">
        <f>IFERROR(INDEX(tbl_input[집계키_지청],ROW()-1),"")</f>
        <v/>
      </c>
      <c r="F1607" t="str">
        <f t="shared" si="128"/>
        <v/>
      </c>
      <c r="G1607" t="str">
        <f t="shared" si="129"/>
        <v/>
      </c>
    </row>
    <row r="1608" spans="1:7" x14ac:dyDescent="0.4">
      <c r="A1608" t="str">
        <f t="shared" si="125"/>
        <v/>
      </c>
      <c r="B1608" t="str">
        <f t="shared" si="126"/>
        <v/>
      </c>
      <c r="C1608" t="str">
        <f t="shared" si="127"/>
        <v/>
      </c>
      <c r="D1608" t="str">
        <f>IF(E1608="","",IF(COUNTIF($E$2:E1608,E1608)&gt;1,"",SUMIFS(tbl_input[필요수량],tbl_input[집계키_지청],E1608)))</f>
        <v/>
      </c>
      <c r="E1608" t="str">
        <f>IFERROR(INDEX(tbl_input[집계키_지청],ROW()-1),"")</f>
        <v/>
      </c>
      <c r="F1608" t="str">
        <f t="shared" si="128"/>
        <v/>
      </c>
      <c r="G1608" t="str">
        <f t="shared" si="129"/>
        <v/>
      </c>
    </row>
    <row r="1609" spans="1:7" x14ac:dyDescent="0.4">
      <c r="A1609" t="str">
        <f t="shared" si="125"/>
        <v/>
      </c>
      <c r="B1609" t="str">
        <f t="shared" si="126"/>
        <v/>
      </c>
      <c r="C1609" t="str">
        <f t="shared" si="127"/>
        <v/>
      </c>
      <c r="D1609" t="str">
        <f>IF(E1609="","",IF(COUNTIF($E$2:E1609,E1609)&gt;1,"",SUMIFS(tbl_input[필요수량],tbl_input[집계키_지청],E1609)))</f>
        <v/>
      </c>
      <c r="E1609" t="str">
        <f>IFERROR(INDEX(tbl_input[집계키_지청],ROW()-1),"")</f>
        <v/>
      </c>
      <c r="F1609" t="str">
        <f t="shared" si="128"/>
        <v/>
      </c>
      <c r="G1609" t="str">
        <f t="shared" si="129"/>
        <v/>
      </c>
    </row>
    <row r="1610" spans="1:7" x14ac:dyDescent="0.4">
      <c r="A1610" t="str">
        <f t="shared" si="125"/>
        <v/>
      </c>
      <c r="B1610" t="str">
        <f t="shared" si="126"/>
        <v/>
      </c>
      <c r="C1610" t="str">
        <f t="shared" si="127"/>
        <v/>
      </c>
      <c r="D1610" t="str">
        <f>IF(E1610="","",IF(COUNTIF($E$2:E1610,E1610)&gt;1,"",SUMIFS(tbl_input[필요수량],tbl_input[집계키_지청],E1610)))</f>
        <v/>
      </c>
      <c r="E1610" t="str">
        <f>IFERROR(INDEX(tbl_input[집계키_지청],ROW()-1),"")</f>
        <v/>
      </c>
      <c r="F1610" t="str">
        <f t="shared" si="128"/>
        <v/>
      </c>
      <c r="G1610" t="str">
        <f t="shared" si="129"/>
        <v/>
      </c>
    </row>
    <row r="1611" spans="1:7" x14ac:dyDescent="0.4">
      <c r="A1611" t="str">
        <f t="shared" si="125"/>
        <v/>
      </c>
      <c r="B1611" t="str">
        <f t="shared" si="126"/>
        <v/>
      </c>
      <c r="C1611" t="str">
        <f t="shared" si="127"/>
        <v/>
      </c>
      <c r="D1611" t="str">
        <f>IF(E1611="","",IF(COUNTIF($E$2:E1611,E1611)&gt;1,"",SUMIFS(tbl_input[필요수량],tbl_input[집계키_지청],E1611)))</f>
        <v/>
      </c>
      <c r="E1611" t="str">
        <f>IFERROR(INDEX(tbl_input[집계키_지청],ROW()-1),"")</f>
        <v/>
      </c>
      <c r="F1611" t="str">
        <f t="shared" si="128"/>
        <v/>
      </c>
      <c r="G1611" t="str">
        <f t="shared" si="129"/>
        <v/>
      </c>
    </row>
    <row r="1612" spans="1:7" x14ac:dyDescent="0.4">
      <c r="A1612" t="str">
        <f t="shared" si="125"/>
        <v/>
      </c>
      <c r="B1612" t="str">
        <f t="shared" si="126"/>
        <v/>
      </c>
      <c r="C1612" t="str">
        <f t="shared" si="127"/>
        <v/>
      </c>
      <c r="D1612" t="str">
        <f>IF(E1612="","",IF(COUNTIF($E$2:E1612,E1612)&gt;1,"",SUMIFS(tbl_input[필요수량],tbl_input[집계키_지청],E1612)))</f>
        <v/>
      </c>
      <c r="E1612" t="str">
        <f>IFERROR(INDEX(tbl_input[집계키_지청],ROW()-1),"")</f>
        <v/>
      </c>
      <c r="F1612" t="str">
        <f t="shared" si="128"/>
        <v/>
      </c>
      <c r="G1612" t="str">
        <f t="shared" si="129"/>
        <v/>
      </c>
    </row>
    <row r="1613" spans="1:7" x14ac:dyDescent="0.4">
      <c r="A1613" t="str">
        <f t="shared" si="125"/>
        <v/>
      </c>
      <c r="B1613" t="str">
        <f t="shared" si="126"/>
        <v/>
      </c>
      <c r="C1613" t="str">
        <f t="shared" si="127"/>
        <v/>
      </c>
      <c r="D1613" t="str">
        <f>IF(E1613="","",IF(COUNTIF($E$2:E1613,E1613)&gt;1,"",SUMIFS(tbl_input[필요수량],tbl_input[집계키_지청],E1613)))</f>
        <v/>
      </c>
      <c r="E1613" t="str">
        <f>IFERROR(INDEX(tbl_input[집계키_지청],ROW()-1),"")</f>
        <v/>
      </c>
      <c r="F1613" t="str">
        <f t="shared" si="128"/>
        <v/>
      </c>
      <c r="G1613" t="str">
        <f t="shared" si="129"/>
        <v/>
      </c>
    </row>
    <row r="1614" spans="1:7" x14ac:dyDescent="0.4">
      <c r="A1614" t="str">
        <f t="shared" si="125"/>
        <v/>
      </c>
      <c r="B1614" t="str">
        <f t="shared" si="126"/>
        <v/>
      </c>
      <c r="C1614" t="str">
        <f t="shared" si="127"/>
        <v/>
      </c>
      <c r="D1614" t="str">
        <f>IF(E1614="","",IF(COUNTIF($E$2:E1614,E1614)&gt;1,"",SUMIFS(tbl_input[필요수량],tbl_input[집계키_지청],E1614)))</f>
        <v/>
      </c>
      <c r="E1614" t="str">
        <f>IFERROR(INDEX(tbl_input[집계키_지청],ROW()-1),"")</f>
        <v/>
      </c>
      <c r="F1614" t="str">
        <f t="shared" si="128"/>
        <v/>
      </c>
      <c r="G1614" t="str">
        <f t="shared" si="129"/>
        <v/>
      </c>
    </row>
    <row r="1615" spans="1:7" x14ac:dyDescent="0.4">
      <c r="A1615" t="str">
        <f t="shared" si="125"/>
        <v/>
      </c>
      <c r="B1615" t="str">
        <f t="shared" si="126"/>
        <v/>
      </c>
      <c r="C1615" t="str">
        <f t="shared" si="127"/>
        <v/>
      </c>
      <c r="D1615" t="str">
        <f>IF(E1615="","",IF(COUNTIF($E$2:E1615,E1615)&gt;1,"",SUMIFS(tbl_input[필요수량],tbl_input[집계키_지청],E1615)))</f>
        <v/>
      </c>
      <c r="E1615" t="str">
        <f>IFERROR(INDEX(tbl_input[집계키_지청],ROW()-1),"")</f>
        <v/>
      </c>
      <c r="F1615" t="str">
        <f t="shared" si="128"/>
        <v/>
      </c>
      <c r="G1615" t="str">
        <f t="shared" si="129"/>
        <v/>
      </c>
    </row>
    <row r="1616" spans="1:7" x14ac:dyDescent="0.4">
      <c r="A1616" t="str">
        <f t="shared" si="125"/>
        <v/>
      </c>
      <c r="B1616" t="str">
        <f t="shared" si="126"/>
        <v/>
      </c>
      <c r="C1616" t="str">
        <f t="shared" si="127"/>
        <v/>
      </c>
      <c r="D1616" t="str">
        <f>IF(E1616="","",IF(COUNTIF($E$2:E1616,E1616)&gt;1,"",SUMIFS(tbl_input[필요수량],tbl_input[집계키_지청],E1616)))</f>
        <v/>
      </c>
      <c r="E1616" t="str">
        <f>IFERROR(INDEX(tbl_input[집계키_지청],ROW()-1),"")</f>
        <v/>
      </c>
      <c r="F1616" t="str">
        <f t="shared" si="128"/>
        <v/>
      </c>
      <c r="G1616" t="str">
        <f t="shared" si="129"/>
        <v/>
      </c>
    </row>
    <row r="1617" spans="1:7" x14ac:dyDescent="0.4">
      <c r="A1617" t="str">
        <f t="shared" si="125"/>
        <v/>
      </c>
      <c r="B1617" t="str">
        <f t="shared" si="126"/>
        <v/>
      </c>
      <c r="C1617" t="str">
        <f t="shared" si="127"/>
        <v/>
      </c>
      <c r="D1617" t="str">
        <f>IF(E1617="","",IF(COUNTIF($E$2:E1617,E1617)&gt;1,"",SUMIFS(tbl_input[필요수량],tbl_input[집계키_지청],E1617)))</f>
        <v/>
      </c>
      <c r="E1617" t="str">
        <f>IFERROR(INDEX(tbl_input[집계키_지청],ROW()-1),"")</f>
        <v/>
      </c>
      <c r="F1617" t="str">
        <f t="shared" si="128"/>
        <v/>
      </c>
      <c r="G1617" t="str">
        <f t="shared" si="129"/>
        <v/>
      </c>
    </row>
    <row r="1618" spans="1:7" x14ac:dyDescent="0.4">
      <c r="A1618" t="str">
        <f t="shared" si="125"/>
        <v/>
      </c>
      <c r="B1618" t="str">
        <f t="shared" si="126"/>
        <v/>
      </c>
      <c r="C1618" t="str">
        <f t="shared" si="127"/>
        <v/>
      </c>
      <c r="D1618" t="str">
        <f>IF(E1618="","",IF(COUNTIF($E$2:E1618,E1618)&gt;1,"",SUMIFS(tbl_input[필요수량],tbl_input[집계키_지청],E1618)))</f>
        <v/>
      </c>
      <c r="E1618" t="str">
        <f>IFERROR(INDEX(tbl_input[집계키_지청],ROW()-1),"")</f>
        <v/>
      </c>
      <c r="F1618" t="str">
        <f t="shared" si="128"/>
        <v/>
      </c>
      <c r="G1618" t="str">
        <f t="shared" si="129"/>
        <v/>
      </c>
    </row>
    <row r="1619" spans="1:7" x14ac:dyDescent="0.4">
      <c r="A1619" t="str">
        <f t="shared" si="125"/>
        <v/>
      </c>
      <c r="B1619" t="str">
        <f t="shared" si="126"/>
        <v/>
      </c>
      <c r="C1619" t="str">
        <f t="shared" si="127"/>
        <v/>
      </c>
      <c r="D1619" t="str">
        <f>IF(E1619="","",IF(COUNTIF($E$2:E1619,E1619)&gt;1,"",SUMIFS(tbl_input[필요수량],tbl_input[집계키_지청],E1619)))</f>
        <v/>
      </c>
      <c r="E1619" t="str">
        <f>IFERROR(INDEX(tbl_input[집계키_지청],ROW()-1),"")</f>
        <v/>
      </c>
      <c r="F1619" t="str">
        <f t="shared" si="128"/>
        <v/>
      </c>
      <c r="G1619" t="str">
        <f t="shared" si="129"/>
        <v/>
      </c>
    </row>
    <row r="1620" spans="1:7" x14ac:dyDescent="0.4">
      <c r="A1620" t="str">
        <f t="shared" si="125"/>
        <v/>
      </c>
      <c r="B1620" t="str">
        <f t="shared" si="126"/>
        <v/>
      </c>
      <c r="C1620" t="str">
        <f t="shared" si="127"/>
        <v/>
      </c>
      <c r="D1620" t="str">
        <f>IF(E1620="","",IF(COUNTIF($E$2:E1620,E1620)&gt;1,"",SUMIFS(tbl_input[필요수량],tbl_input[집계키_지청],E1620)))</f>
        <v/>
      </c>
      <c r="E1620" t="str">
        <f>IFERROR(INDEX(tbl_input[집계키_지청],ROW()-1),"")</f>
        <v/>
      </c>
      <c r="F1620" t="str">
        <f t="shared" si="128"/>
        <v/>
      </c>
      <c r="G1620" t="str">
        <f t="shared" si="129"/>
        <v/>
      </c>
    </row>
    <row r="1621" spans="1:7" x14ac:dyDescent="0.4">
      <c r="A1621" t="str">
        <f t="shared" si="125"/>
        <v/>
      </c>
      <c r="B1621" t="str">
        <f t="shared" si="126"/>
        <v/>
      </c>
      <c r="C1621" t="str">
        <f t="shared" si="127"/>
        <v/>
      </c>
      <c r="D1621" t="str">
        <f>IF(E1621="","",IF(COUNTIF($E$2:E1621,E1621)&gt;1,"",SUMIFS(tbl_input[필요수량],tbl_input[집계키_지청],E1621)))</f>
        <v/>
      </c>
      <c r="E1621" t="str">
        <f>IFERROR(INDEX(tbl_input[집계키_지청],ROW()-1),"")</f>
        <v/>
      </c>
      <c r="F1621" t="str">
        <f t="shared" si="128"/>
        <v/>
      </c>
      <c r="G1621" t="str">
        <f t="shared" si="129"/>
        <v/>
      </c>
    </row>
    <row r="1622" spans="1:7" x14ac:dyDescent="0.4">
      <c r="A1622" t="str">
        <f t="shared" si="125"/>
        <v/>
      </c>
      <c r="B1622" t="str">
        <f t="shared" si="126"/>
        <v/>
      </c>
      <c r="C1622" t="str">
        <f t="shared" si="127"/>
        <v/>
      </c>
      <c r="D1622" t="str">
        <f>IF(E1622="","",IF(COUNTIF($E$2:E1622,E1622)&gt;1,"",SUMIFS(tbl_input[필요수량],tbl_input[집계키_지청],E1622)))</f>
        <v/>
      </c>
      <c r="E1622" t="str">
        <f>IFERROR(INDEX(tbl_input[집계키_지청],ROW()-1),"")</f>
        <v/>
      </c>
      <c r="F1622" t="str">
        <f t="shared" si="128"/>
        <v/>
      </c>
      <c r="G1622" t="str">
        <f t="shared" si="129"/>
        <v/>
      </c>
    </row>
    <row r="1623" spans="1:7" x14ac:dyDescent="0.4">
      <c r="A1623" t="str">
        <f t="shared" si="125"/>
        <v/>
      </c>
      <c r="B1623" t="str">
        <f t="shared" si="126"/>
        <v/>
      </c>
      <c r="C1623" t="str">
        <f t="shared" si="127"/>
        <v/>
      </c>
      <c r="D1623" t="str">
        <f>IF(E1623="","",IF(COUNTIF($E$2:E1623,E1623)&gt;1,"",SUMIFS(tbl_input[필요수량],tbl_input[집계키_지청],E1623)))</f>
        <v/>
      </c>
      <c r="E1623" t="str">
        <f>IFERROR(INDEX(tbl_input[집계키_지청],ROW()-1),"")</f>
        <v/>
      </c>
      <c r="F1623" t="str">
        <f t="shared" si="128"/>
        <v/>
      </c>
      <c r="G1623" t="str">
        <f t="shared" si="129"/>
        <v/>
      </c>
    </row>
    <row r="1624" spans="1:7" x14ac:dyDescent="0.4">
      <c r="A1624" t="str">
        <f t="shared" si="125"/>
        <v/>
      </c>
      <c r="B1624" t="str">
        <f t="shared" si="126"/>
        <v/>
      </c>
      <c r="C1624" t="str">
        <f t="shared" si="127"/>
        <v/>
      </c>
      <c r="D1624" t="str">
        <f>IF(E1624="","",IF(COUNTIF($E$2:E1624,E1624)&gt;1,"",SUMIFS(tbl_input[필요수량],tbl_input[집계키_지청],E1624)))</f>
        <v/>
      </c>
      <c r="E1624" t="str">
        <f>IFERROR(INDEX(tbl_input[집계키_지청],ROW()-1),"")</f>
        <v/>
      </c>
      <c r="F1624" t="str">
        <f t="shared" si="128"/>
        <v/>
      </c>
      <c r="G1624" t="str">
        <f t="shared" si="129"/>
        <v/>
      </c>
    </row>
    <row r="1625" spans="1:7" x14ac:dyDescent="0.4">
      <c r="A1625" t="str">
        <f t="shared" si="125"/>
        <v/>
      </c>
      <c r="B1625" t="str">
        <f t="shared" si="126"/>
        <v/>
      </c>
      <c r="C1625" t="str">
        <f t="shared" si="127"/>
        <v/>
      </c>
      <c r="D1625" t="str">
        <f>IF(E1625="","",IF(COUNTIF($E$2:E1625,E1625)&gt;1,"",SUMIFS(tbl_input[필요수량],tbl_input[집계키_지청],E1625)))</f>
        <v/>
      </c>
      <c r="E1625" t="str">
        <f>IFERROR(INDEX(tbl_input[집계키_지청],ROW()-1),"")</f>
        <v/>
      </c>
      <c r="F1625" t="str">
        <f t="shared" si="128"/>
        <v/>
      </c>
      <c r="G1625" t="str">
        <f t="shared" si="129"/>
        <v/>
      </c>
    </row>
    <row r="1626" spans="1:7" x14ac:dyDescent="0.4">
      <c r="A1626" t="str">
        <f t="shared" si="125"/>
        <v/>
      </c>
      <c r="B1626" t="str">
        <f t="shared" si="126"/>
        <v/>
      </c>
      <c r="C1626" t="str">
        <f t="shared" si="127"/>
        <v/>
      </c>
      <c r="D1626" t="str">
        <f>IF(E1626="","",IF(COUNTIF($E$2:E1626,E1626)&gt;1,"",SUMIFS(tbl_input[필요수량],tbl_input[집계키_지청],E1626)))</f>
        <v/>
      </c>
      <c r="E1626" t="str">
        <f>IFERROR(INDEX(tbl_input[집계키_지청],ROW()-1),"")</f>
        <v/>
      </c>
      <c r="F1626" t="str">
        <f t="shared" si="128"/>
        <v/>
      </c>
      <c r="G1626" t="str">
        <f t="shared" si="129"/>
        <v/>
      </c>
    </row>
    <row r="1627" spans="1:7" x14ac:dyDescent="0.4">
      <c r="A1627" t="str">
        <f t="shared" si="125"/>
        <v/>
      </c>
      <c r="B1627" t="str">
        <f t="shared" si="126"/>
        <v/>
      </c>
      <c r="C1627" t="str">
        <f t="shared" si="127"/>
        <v/>
      </c>
      <c r="D1627" t="str">
        <f>IF(E1627="","",IF(COUNTIF($E$2:E1627,E1627)&gt;1,"",SUMIFS(tbl_input[필요수량],tbl_input[집계키_지청],E1627)))</f>
        <v/>
      </c>
      <c r="E1627" t="str">
        <f>IFERROR(INDEX(tbl_input[집계키_지청],ROW()-1),"")</f>
        <v/>
      </c>
      <c r="F1627" t="str">
        <f t="shared" si="128"/>
        <v/>
      </c>
      <c r="G1627" t="str">
        <f t="shared" si="129"/>
        <v/>
      </c>
    </row>
    <row r="1628" spans="1:7" x14ac:dyDescent="0.4">
      <c r="A1628" t="str">
        <f t="shared" si="125"/>
        <v/>
      </c>
      <c r="B1628" t="str">
        <f t="shared" si="126"/>
        <v/>
      </c>
      <c r="C1628" t="str">
        <f t="shared" si="127"/>
        <v/>
      </c>
      <c r="D1628" t="str">
        <f>IF(E1628="","",IF(COUNTIF($E$2:E1628,E1628)&gt;1,"",SUMIFS(tbl_input[필요수량],tbl_input[집계키_지청],E1628)))</f>
        <v/>
      </c>
      <c r="E1628" t="str">
        <f>IFERROR(INDEX(tbl_input[집계키_지청],ROW()-1),"")</f>
        <v/>
      </c>
      <c r="F1628" t="str">
        <f t="shared" si="128"/>
        <v/>
      </c>
      <c r="G1628" t="str">
        <f t="shared" si="129"/>
        <v/>
      </c>
    </row>
    <row r="1629" spans="1:7" x14ac:dyDescent="0.4">
      <c r="A1629" t="str">
        <f t="shared" si="125"/>
        <v/>
      </c>
      <c r="B1629" t="str">
        <f t="shared" si="126"/>
        <v/>
      </c>
      <c r="C1629" t="str">
        <f t="shared" si="127"/>
        <v/>
      </c>
      <c r="D1629" t="str">
        <f>IF(E1629="","",IF(COUNTIF($E$2:E1629,E1629)&gt;1,"",SUMIFS(tbl_input[필요수량],tbl_input[집계키_지청],E1629)))</f>
        <v/>
      </c>
      <c r="E1629" t="str">
        <f>IFERROR(INDEX(tbl_input[집계키_지청],ROW()-1),"")</f>
        <v/>
      </c>
      <c r="F1629" t="str">
        <f t="shared" si="128"/>
        <v/>
      </c>
      <c r="G1629" t="str">
        <f t="shared" si="129"/>
        <v/>
      </c>
    </row>
    <row r="1630" spans="1:7" x14ac:dyDescent="0.4">
      <c r="A1630" t="str">
        <f t="shared" si="125"/>
        <v/>
      </c>
      <c r="B1630" t="str">
        <f t="shared" si="126"/>
        <v/>
      </c>
      <c r="C1630" t="str">
        <f t="shared" si="127"/>
        <v/>
      </c>
      <c r="D1630" t="str">
        <f>IF(E1630="","",IF(COUNTIF($E$2:E1630,E1630)&gt;1,"",SUMIFS(tbl_input[필요수량],tbl_input[집계키_지청],E1630)))</f>
        <v/>
      </c>
      <c r="E1630" t="str">
        <f>IFERROR(INDEX(tbl_input[집계키_지청],ROW()-1),"")</f>
        <v/>
      </c>
      <c r="F1630" t="str">
        <f t="shared" si="128"/>
        <v/>
      </c>
      <c r="G1630" t="str">
        <f t="shared" si="129"/>
        <v/>
      </c>
    </row>
    <row r="1631" spans="1:7" x14ac:dyDescent="0.4">
      <c r="A1631" t="str">
        <f t="shared" si="125"/>
        <v/>
      </c>
      <c r="B1631" t="str">
        <f t="shared" si="126"/>
        <v/>
      </c>
      <c r="C1631" t="str">
        <f t="shared" si="127"/>
        <v/>
      </c>
      <c r="D1631" t="str">
        <f>IF(E1631="","",IF(COUNTIF($E$2:E1631,E1631)&gt;1,"",SUMIFS(tbl_input[필요수량],tbl_input[집계키_지청],E1631)))</f>
        <v/>
      </c>
      <c r="E1631" t="str">
        <f>IFERROR(INDEX(tbl_input[집계키_지청],ROW()-1),"")</f>
        <v/>
      </c>
      <c r="F1631" t="str">
        <f t="shared" si="128"/>
        <v/>
      </c>
      <c r="G1631" t="str">
        <f t="shared" si="129"/>
        <v/>
      </c>
    </row>
    <row r="1632" spans="1:7" x14ac:dyDescent="0.4">
      <c r="A1632" t="str">
        <f t="shared" si="125"/>
        <v/>
      </c>
      <c r="B1632" t="str">
        <f t="shared" si="126"/>
        <v/>
      </c>
      <c r="C1632" t="str">
        <f t="shared" si="127"/>
        <v/>
      </c>
      <c r="D1632" t="str">
        <f>IF(E1632="","",IF(COUNTIF($E$2:E1632,E1632)&gt;1,"",SUMIFS(tbl_input[필요수량],tbl_input[집계키_지청],E1632)))</f>
        <v/>
      </c>
      <c r="E1632" t="str">
        <f>IFERROR(INDEX(tbl_input[집계키_지청],ROW()-1),"")</f>
        <v/>
      </c>
      <c r="F1632" t="str">
        <f t="shared" si="128"/>
        <v/>
      </c>
      <c r="G1632" t="str">
        <f t="shared" si="129"/>
        <v/>
      </c>
    </row>
    <row r="1633" spans="1:7" x14ac:dyDescent="0.4">
      <c r="A1633" t="str">
        <f t="shared" si="125"/>
        <v/>
      </c>
      <c r="B1633" t="str">
        <f t="shared" si="126"/>
        <v/>
      </c>
      <c r="C1633" t="str">
        <f t="shared" si="127"/>
        <v/>
      </c>
      <c r="D1633" t="str">
        <f>IF(E1633="","",IF(COUNTIF($E$2:E1633,E1633)&gt;1,"",SUMIFS(tbl_input[필요수량],tbl_input[집계키_지청],E1633)))</f>
        <v/>
      </c>
      <c r="E1633" t="str">
        <f>IFERROR(INDEX(tbl_input[집계키_지청],ROW()-1),"")</f>
        <v/>
      </c>
      <c r="F1633" t="str">
        <f t="shared" si="128"/>
        <v/>
      </c>
      <c r="G1633" t="str">
        <f t="shared" si="129"/>
        <v/>
      </c>
    </row>
    <row r="1634" spans="1:7" x14ac:dyDescent="0.4">
      <c r="A1634" t="str">
        <f t="shared" si="125"/>
        <v/>
      </c>
      <c r="B1634" t="str">
        <f t="shared" si="126"/>
        <v/>
      </c>
      <c r="C1634" t="str">
        <f t="shared" si="127"/>
        <v/>
      </c>
      <c r="D1634" t="str">
        <f>IF(E1634="","",IF(COUNTIF($E$2:E1634,E1634)&gt;1,"",SUMIFS(tbl_input[필요수량],tbl_input[집계키_지청],E1634)))</f>
        <v/>
      </c>
      <c r="E1634" t="str">
        <f>IFERROR(INDEX(tbl_input[집계키_지청],ROW()-1),"")</f>
        <v/>
      </c>
      <c r="F1634" t="str">
        <f t="shared" si="128"/>
        <v/>
      </c>
      <c r="G1634" t="str">
        <f t="shared" si="129"/>
        <v/>
      </c>
    </row>
    <row r="1635" spans="1:7" x14ac:dyDescent="0.4">
      <c r="A1635" t="str">
        <f t="shared" si="125"/>
        <v/>
      </c>
      <c r="B1635" t="str">
        <f t="shared" si="126"/>
        <v/>
      </c>
      <c r="C1635" t="str">
        <f t="shared" si="127"/>
        <v/>
      </c>
      <c r="D1635" t="str">
        <f>IF(E1635="","",IF(COUNTIF($E$2:E1635,E1635)&gt;1,"",SUMIFS(tbl_input[필요수량],tbl_input[집계키_지청],E1635)))</f>
        <v/>
      </c>
      <c r="E1635" t="str">
        <f>IFERROR(INDEX(tbl_input[집계키_지청],ROW()-1),"")</f>
        <v/>
      </c>
      <c r="F1635" t="str">
        <f t="shared" si="128"/>
        <v/>
      </c>
      <c r="G1635" t="str">
        <f t="shared" si="129"/>
        <v/>
      </c>
    </row>
    <row r="1636" spans="1:7" x14ac:dyDescent="0.4">
      <c r="A1636" t="str">
        <f t="shared" si="125"/>
        <v/>
      </c>
      <c r="B1636" t="str">
        <f t="shared" si="126"/>
        <v/>
      </c>
      <c r="C1636" t="str">
        <f t="shared" si="127"/>
        <v/>
      </c>
      <c r="D1636" t="str">
        <f>IF(E1636="","",IF(COUNTIF($E$2:E1636,E1636)&gt;1,"",SUMIFS(tbl_input[필요수량],tbl_input[집계키_지청],E1636)))</f>
        <v/>
      </c>
      <c r="E1636" t="str">
        <f>IFERROR(INDEX(tbl_input[집계키_지청],ROW()-1),"")</f>
        <v/>
      </c>
      <c r="F1636" t="str">
        <f t="shared" si="128"/>
        <v/>
      </c>
      <c r="G1636" t="str">
        <f t="shared" si="129"/>
        <v/>
      </c>
    </row>
    <row r="1637" spans="1:7" x14ac:dyDescent="0.4">
      <c r="A1637" t="str">
        <f t="shared" si="125"/>
        <v/>
      </c>
      <c r="B1637" t="str">
        <f t="shared" si="126"/>
        <v/>
      </c>
      <c r="C1637" t="str">
        <f t="shared" si="127"/>
        <v/>
      </c>
      <c r="D1637" t="str">
        <f>IF(E1637="","",IF(COUNTIF($E$2:E1637,E1637)&gt;1,"",SUMIFS(tbl_input[필요수량],tbl_input[집계키_지청],E1637)))</f>
        <v/>
      </c>
      <c r="E1637" t="str">
        <f>IFERROR(INDEX(tbl_input[집계키_지청],ROW()-1),"")</f>
        <v/>
      </c>
      <c r="F1637" t="str">
        <f t="shared" si="128"/>
        <v/>
      </c>
      <c r="G1637" t="str">
        <f t="shared" si="129"/>
        <v/>
      </c>
    </row>
    <row r="1638" spans="1:7" x14ac:dyDescent="0.4">
      <c r="A1638" t="str">
        <f t="shared" si="125"/>
        <v/>
      </c>
      <c r="B1638" t="str">
        <f t="shared" si="126"/>
        <v/>
      </c>
      <c r="C1638" t="str">
        <f t="shared" si="127"/>
        <v/>
      </c>
      <c r="D1638" t="str">
        <f>IF(E1638="","",IF(COUNTIF($E$2:E1638,E1638)&gt;1,"",SUMIFS(tbl_input[필요수량],tbl_input[집계키_지청],E1638)))</f>
        <v/>
      </c>
      <c r="E1638" t="str">
        <f>IFERROR(INDEX(tbl_input[집계키_지청],ROW()-1),"")</f>
        <v/>
      </c>
      <c r="F1638" t="str">
        <f t="shared" si="128"/>
        <v/>
      </c>
      <c r="G1638" t="str">
        <f t="shared" si="129"/>
        <v/>
      </c>
    </row>
    <row r="1639" spans="1:7" x14ac:dyDescent="0.4">
      <c r="A1639" t="str">
        <f t="shared" si="125"/>
        <v/>
      </c>
      <c r="B1639" t="str">
        <f t="shared" si="126"/>
        <v/>
      </c>
      <c r="C1639" t="str">
        <f t="shared" si="127"/>
        <v/>
      </c>
      <c r="D1639" t="str">
        <f>IF(E1639="","",IF(COUNTIF($E$2:E1639,E1639)&gt;1,"",SUMIFS(tbl_input[필요수량],tbl_input[집계키_지청],E1639)))</f>
        <v/>
      </c>
      <c r="E1639" t="str">
        <f>IFERROR(INDEX(tbl_input[집계키_지청],ROW()-1),"")</f>
        <v/>
      </c>
      <c r="F1639" t="str">
        <f t="shared" si="128"/>
        <v/>
      </c>
      <c r="G1639" t="str">
        <f t="shared" si="129"/>
        <v/>
      </c>
    </row>
    <row r="1640" spans="1:7" x14ac:dyDescent="0.4">
      <c r="A1640" t="str">
        <f t="shared" si="125"/>
        <v/>
      </c>
      <c r="B1640" t="str">
        <f t="shared" si="126"/>
        <v/>
      </c>
      <c r="C1640" t="str">
        <f t="shared" si="127"/>
        <v/>
      </c>
      <c r="D1640" t="str">
        <f>IF(E1640="","",IF(COUNTIF($E$2:E1640,E1640)&gt;1,"",SUMIFS(tbl_input[필요수량],tbl_input[집계키_지청],E1640)))</f>
        <v/>
      </c>
      <c r="E1640" t="str">
        <f>IFERROR(INDEX(tbl_input[집계키_지청],ROW()-1),"")</f>
        <v/>
      </c>
      <c r="F1640" t="str">
        <f t="shared" si="128"/>
        <v/>
      </c>
      <c r="G1640" t="str">
        <f t="shared" si="129"/>
        <v/>
      </c>
    </row>
    <row r="1641" spans="1:7" x14ac:dyDescent="0.4">
      <c r="A1641" t="str">
        <f t="shared" si="125"/>
        <v/>
      </c>
      <c r="B1641" t="str">
        <f t="shared" si="126"/>
        <v/>
      </c>
      <c r="C1641" t="str">
        <f t="shared" si="127"/>
        <v/>
      </c>
      <c r="D1641" t="str">
        <f>IF(E1641="","",IF(COUNTIF($E$2:E1641,E1641)&gt;1,"",SUMIFS(tbl_input[필요수량],tbl_input[집계키_지청],E1641)))</f>
        <v/>
      </c>
      <c r="E1641" t="str">
        <f>IFERROR(INDEX(tbl_input[집계키_지청],ROW()-1),"")</f>
        <v/>
      </c>
      <c r="F1641" t="str">
        <f t="shared" si="128"/>
        <v/>
      </c>
      <c r="G1641" t="str">
        <f t="shared" si="129"/>
        <v/>
      </c>
    </row>
    <row r="1642" spans="1:7" x14ac:dyDescent="0.4">
      <c r="A1642" t="str">
        <f t="shared" si="125"/>
        <v/>
      </c>
      <c r="B1642" t="str">
        <f t="shared" si="126"/>
        <v/>
      </c>
      <c r="C1642" t="str">
        <f t="shared" si="127"/>
        <v/>
      </c>
      <c r="D1642" t="str">
        <f>IF(E1642="","",IF(COUNTIF($E$2:E1642,E1642)&gt;1,"",SUMIFS(tbl_input[필요수량],tbl_input[집계키_지청],E1642)))</f>
        <v/>
      </c>
      <c r="E1642" t="str">
        <f>IFERROR(INDEX(tbl_input[집계키_지청],ROW()-1),"")</f>
        <v/>
      </c>
      <c r="F1642" t="str">
        <f t="shared" si="128"/>
        <v/>
      </c>
      <c r="G1642" t="str">
        <f t="shared" si="129"/>
        <v/>
      </c>
    </row>
    <row r="1643" spans="1:7" x14ac:dyDescent="0.4">
      <c r="A1643" t="str">
        <f t="shared" si="125"/>
        <v/>
      </c>
      <c r="B1643" t="str">
        <f t="shared" si="126"/>
        <v/>
      </c>
      <c r="C1643" t="str">
        <f t="shared" si="127"/>
        <v/>
      </c>
      <c r="D1643" t="str">
        <f>IF(E1643="","",IF(COUNTIF($E$2:E1643,E1643)&gt;1,"",SUMIFS(tbl_input[필요수량],tbl_input[집계키_지청],E1643)))</f>
        <v/>
      </c>
      <c r="E1643" t="str">
        <f>IFERROR(INDEX(tbl_input[집계키_지청],ROW()-1),"")</f>
        <v/>
      </c>
      <c r="F1643" t="str">
        <f t="shared" si="128"/>
        <v/>
      </c>
      <c r="G1643" t="str">
        <f t="shared" si="129"/>
        <v/>
      </c>
    </row>
    <row r="1644" spans="1:7" x14ac:dyDescent="0.4">
      <c r="A1644" t="str">
        <f t="shared" si="125"/>
        <v/>
      </c>
      <c r="B1644" t="str">
        <f t="shared" si="126"/>
        <v/>
      </c>
      <c r="C1644" t="str">
        <f t="shared" si="127"/>
        <v/>
      </c>
      <c r="D1644" t="str">
        <f>IF(E1644="","",IF(COUNTIF($E$2:E1644,E1644)&gt;1,"",SUMIFS(tbl_input[필요수량],tbl_input[집계키_지청],E1644)))</f>
        <v/>
      </c>
      <c r="E1644" t="str">
        <f>IFERROR(INDEX(tbl_input[집계키_지청],ROW()-1),"")</f>
        <v/>
      </c>
      <c r="F1644" t="str">
        <f t="shared" si="128"/>
        <v/>
      </c>
      <c r="G1644" t="str">
        <f t="shared" si="129"/>
        <v/>
      </c>
    </row>
    <row r="1645" spans="1:7" x14ac:dyDescent="0.4">
      <c r="A1645" t="str">
        <f t="shared" si="125"/>
        <v/>
      </c>
      <c r="B1645" t="str">
        <f t="shared" si="126"/>
        <v/>
      </c>
      <c r="C1645" t="str">
        <f t="shared" si="127"/>
        <v/>
      </c>
      <c r="D1645" t="str">
        <f>IF(E1645="","",IF(COUNTIF($E$2:E1645,E1645)&gt;1,"",SUMIFS(tbl_input[필요수량],tbl_input[집계키_지청],E1645)))</f>
        <v/>
      </c>
      <c r="E1645" t="str">
        <f>IFERROR(INDEX(tbl_input[집계키_지청],ROW()-1),"")</f>
        <v/>
      </c>
      <c r="F1645" t="str">
        <f t="shared" si="128"/>
        <v/>
      </c>
      <c r="G1645" t="str">
        <f t="shared" si="129"/>
        <v/>
      </c>
    </row>
    <row r="1646" spans="1:7" x14ac:dyDescent="0.4">
      <c r="A1646" t="str">
        <f t="shared" si="125"/>
        <v/>
      </c>
      <c r="B1646" t="str">
        <f t="shared" si="126"/>
        <v/>
      </c>
      <c r="C1646" t="str">
        <f t="shared" si="127"/>
        <v/>
      </c>
      <c r="D1646" t="str">
        <f>IF(E1646="","",IF(COUNTIF($E$2:E1646,E1646)&gt;1,"",SUMIFS(tbl_input[필요수량],tbl_input[집계키_지청],E1646)))</f>
        <v/>
      </c>
      <c r="E1646" t="str">
        <f>IFERROR(INDEX(tbl_input[집계키_지청],ROW()-1),"")</f>
        <v/>
      </c>
      <c r="F1646" t="str">
        <f t="shared" si="128"/>
        <v/>
      </c>
      <c r="G1646" t="str">
        <f t="shared" si="129"/>
        <v/>
      </c>
    </row>
    <row r="1647" spans="1:7" x14ac:dyDescent="0.4">
      <c r="A1647" t="str">
        <f t="shared" si="125"/>
        <v/>
      </c>
      <c r="B1647" t="str">
        <f t="shared" si="126"/>
        <v/>
      </c>
      <c r="C1647" t="str">
        <f t="shared" si="127"/>
        <v/>
      </c>
      <c r="D1647" t="str">
        <f>IF(E1647="","",IF(COUNTIF($E$2:E1647,E1647)&gt;1,"",SUMIFS(tbl_input[필요수량],tbl_input[집계키_지청],E1647)))</f>
        <v/>
      </c>
      <c r="E1647" t="str">
        <f>IFERROR(INDEX(tbl_input[집계키_지청],ROW()-1),"")</f>
        <v/>
      </c>
      <c r="F1647" t="str">
        <f t="shared" si="128"/>
        <v/>
      </c>
      <c r="G1647" t="str">
        <f t="shared" si="129"/>
        <v/>
      </c>
    </row>
    <row r="1648" spans="1:7" x14ac:dyDescent="0.4">
      <c r="A1648" t="str">
        <f t="shared" si="125"/>
        <v/>
      </c>
      <c r="B1648" t="str">
        <f t="shared" si="126"/>
        <v/>
      </c>
      <c r="C1648" t="str">
        <f t="shared" si="127"/>
        <v/>
      </c>
      <c r="D1648" t="str">
        <f>IF(E1648="","",IF(COUNTIF($E$2:E1648,E1648)&gt;1,"",SUMIFS(tbl_input[필요수량],tbl_input[집계키_지청],E1648)))</f>
        <v/>
      </c>
      <c r="E1648" t="str">
        <f>IFERROR(INDEX(tbl_input[집계키_지청],ROW()-1),"")</f>
        <v/>
      </c>
      <c r="F1648" t="str">
        <f t="shared" si="128"/>
        <v/>
      </c>
      <c r="G1648" t="str">
        <f t="shared" si="129"/>
        <v/>
      </c>
    </row>
    <row r="1649" spans="1:7" x14ac:dyDescent="0.4">
      <c r="A1649" t="str">
        <f t="shared" si="125"/>
        <v/>
      </c>
      <c r="B1649" t="str">
        <f t="shared" si="126"/>
        <v/>
      </c>
      <c r="C1649" t="str">
        <f t="shared" si="127"/>
        <v/>
      </c>
      <c r="D1649" t="str">
        <f>IF(E1649="","",IF(COUNTIF($E$2:E1649,E1649)&gt;1,"",SUMIFS(tbl_input[필요수량],tbl_input[집계키_지청],E1649)))</f>
        <v/>
      </c>
      <c r="E1649" t="str">
        <f>IFERROR(INDEX(tbl_input[집계키_지청],ROW()-1),"")</f>
        <v/>
      </c>
      <c r="F1649" t="str">
        <f t="shared" si="128"/>
        <v/>
      </c>
      <c r="G1649" t="str">
        <f t="shared" si="129"/>
        <v/>
      </c>
    </row>
    <row r="1650" spans="1:7" x14ac:dyDescent="0.4">
      <c r="A1650" t="str">
        <f t="shared" si="125"/>
        <v/>
      </c>
      <c r="B1650" t="str">
        <f t="shared" si="126"/>
        <v/>
      </c>
      <c r="C1650" t="str">
        <f t="shared" si="127"/>
        <v/>
      </c>
      <c r="D1650" t="str">
        <f>IF(E1650="","",IF(COUNTIF($E$2:E1650,E1650)&gt;1,"",SUMIFS(tbl_input[필요수량],tbl_input[집계키_지청],E1650)))</f>
        <v/>
      </c>
      <c r="E1650" t="str">
        <f>IFERROR(INDEX(tbl_input[집계키_지청],ROW()-1),"")</f>
        <v/>
      </c>
      <c r="F1650" t="str">
        <f t="shared" si="128"/>
        <v/>
      </c>
      <c r="G1650" t="str">
        <f t="shared" si="129"/>
        <v/>
      </c>
    </row>
    <row r="1651" spans="1:7" x14ac:dyDescent="0.4">
      <c r="A1651" t="str">
        <f t="shared" si="125"/>
        <v/>
      </c>
      <c r="B1651" t="str">
        <f t="shared" si="126"/>
        <v/>
      </c>
      <c r="C1651" t="str">
        <f t="shared" si="127"/>
        <v/>
      </c>
      <c r="D1651" t="str">
        <f>IF(E1651="","",IF(COUNTIF($E$2:E1651,E1651)&gt;1,"",SUMIFS(tbl_input[필요수량],tbl_input[집계키_지청],E1651)))</f>
        <v/>
      </c>
      <c r="E1651" t="str">
        <f>IFERROR(INDEX(tbl_input[집계키_지청],ROW()-1),"")</f>
        <v/>
      </c>
      <c r="F1651" t="str">
        <f t="shared" si="128"/>
        <v/>
      </c>
      <c r="G1651" t="str">
        <f t="shared" si="129"/>
        <v/>
      </c>
    </row>
    <row r="1652" spans="1:7" x14ac:dyDescent="0.4">
      <c r="A1652" t="str">
        <f t="shared" si="125"/>
        <v/>
      </c>
      <c r="B1652" t="str">
        <f t="shared" si="126"/>
        <v/>
      </c>
      <c r="C1652" t="str">
        <f t="shared" si="127"/>
        <v/>
      </c>
      <c r="D1652" t="str">
        <f>IF(E1652="","",IF(COUNTIF($E$2:E1652,E1652)&gt;1,"",SUMIFS(tbl_input[필요수량],tbl_input[집계키_지청],E1652)))</f>
        <v/>
      </c>
      <c r="E1652" t="str">
        <f>IFERROR(INDEX(tbl_input[집계키_지청],ROW()-1),"")</f>
        <v/>
      </c>
      <c r="F1652" t="str">
        <f t="shared" si="128"/>
        <v/>
      </c>
      <c r="G1652" t="str">
        <f t="shared" si="129"/>
        <v/>
      </c>
    </row>
    <row r="1653" spans="1:7" x14ac:dyDescent="0.4">
      <c r="A1653" t="str">
        <f t="shared" si="125"/>
        <v/>
      </c>
      <c r="B1653" t="str">
        <f t="shared" si="126"/>
        <v/>
      </c>
      <c r="C1653" t="str">
        <f t="shared" si="127"/>
        <v/>
      </c>
      <c r="D1653" t="str">
        <f>IF(E1653="","",IF(COUNTIF($E$2:E1653,E1653)&gt;1,"",SUMIFS(tbl_input[필요수량],tbl_input[집계키_지청],E1653)))</f>
        <v/>
      </c>
      <c r="E1653" t="str">
        <f>IFERROR(INDEX(tbl_input[집계키_지청],ROW()-1),"")</f>
        <v/>
      </c>
      <c r="F1653" t="str">
        <f t="shared" si="128"/>
        <v/>
      </c>
      <c r="G1653" t="str">
        <f t="shared" si="129"/>
        <v/>
      </c>
    </row>
    <row r="1654" spans="1:7" x14ac:dyDescent="0.4">
      <c r="A1654" t="str">
        <f t="shared" si="125"/>
        <v/>
      </c>
      <c r="B1654" t="str">
        <f t="shared" si="126"/>
        <v/>
      </c>
      <c r="C1654" t="str">
        <f t="shared" si="127"/>
        <v/>
      </c>
      <c r="D1654" t="str">
        <f>IF(E1654="","",IF(COUNTIF($E$2:E1654,E1654)&gt;1,"",SUMIFS(tbl_input[필요수량],tbl_input[집계키_지청],E1654)))</f>
        <v/>
      </c>
      <c r="E1654" t="str">
        <f>IFERROR(INDEX(tbl_input[집계키_지청],ROW()-1),"")</f>
        <v/>
      </c>
      <c r="F1654" t="str">
        <f t="shared" si="128"/>
        <v/>
      </c>
      <c r="G1654" t="str">
        <f t="shared" si="129"/>
        <v/>
      </c>
    </row>
    <row r="1655" spans="1:7" x14ac:dyDescent="0.4">
      <c r="A1655" t="str">
        <f t="shared" si="125"/>
        <v/>
      </c>
      <c r="B1655" t="str">
        <f t="shared" si="126"/>
        <v/>
      </c>
      <c r="C1655" t="str">
        <f t="shared" si="127"/>
        <v/>
      </c>
      <c r="D1655" t="str">
        <f>IF(E1655="","",IF(COUNTIF($E$2:E1655,E1655)&gt;1,"",SUMIFS(tbl_input[필요수량],tbl_input[집계키_지청],E1655)))</f>
        <v/>
      </c>
      <c r="E1655" t="str">
        <f>IFERROR(INDEX(tbl_input[집계키_지청],ROW()-1),"")</f>
        <v/>
      </c>
      <c r="F1655" t="str">
        <f t="shared" si="128"/>
        <v/>
      </c>
      <c r="G1655" t="str">
        <f t="shared" si="129"/>
        <v/>
      </c>
    </row>
    <row r="1656" spans="1:7" x14ac:dyDescent="0.4">
      <c r="A1656" t="str">
        <f t="shared" si="125"/>
        <v/>
      </c>
      <c r="B1656" t="str">
        <f t="shared" si="126"/>
        <v/>
      </c>
      <c r="C1656" t="str">
        <f t="shared" si="127"/>
        <v/>
      </c>
      <c r="D1656" t="str">
        <f>IF(E1656="","",IF(COUNTIF($E$2:E1656,E1656)&gt;1,"",SUMIFS(tbl_input[필요수량],tbl_input[집계키_지청],E1656)))</f>
        <v/>
      </c>
      <c r="E1656" t="str">
        <f>IFERROR(INDEX(tbl_input[집계키_지청],ROW()-1),"")</f>
        <v/>
      </c>
      <c r="F1656" t="str">
        <f t="shared" si="128"/>
        <v/>
      </c>
      <c r="G1656" t="str">
        <f t="shared" si="129"/>
        <v/>
      </c>
    </row>
    <row r="1657" spans="1:7" x14ac:dyDescent="0.4">
      <c r="A1657" t="str">
        <f t="shared" si="125"/>
        <v/>
      </c>
      <c r="B1657" t="str">
        <f t="shared" si="126"/>
        <v/>
      </c>
      <c r="C1657" t="str">
        <f t="shared" si="127"/>
        <v/>
      </c>
      <c r="D1657" t="str">
        <f>IF(E1657="","",IF(COUNTIF($E$2:E1657,E1657)&gt;1,"",SUMIFS(tbl_input[필요수량],tbl_input[집계키_지청],E1657)))</f>
        <v/>
      </c>
      <c r="E1657" t="str">
        <f>IFERROR(INDEX(tbl_input[집계키_지청],ROW()-1),"")</f>
        <v/>
      </c>
      <c r="F1657" t="str">
        <f t="shared" si="128"/>
        <v/>
      </c>
      <c r="G1657" t="str">
        <f t="shared" si="129"/>
        <v/>
      </c>
    </row>
    <row r="1658" spans="1:7" x14ac:dyDescent="0.4">
      <c r="A1658" t="str">
        <f t="shared" si="125"/>
        <v/>
      </c>
      <c r="B1658" t="str">
        <f t="shared" si="126"/>
        <v/>
      </c>
      <c r="C1658" t="str">
        <f t="shared" si="127"/>
        <v/>
      </c>
      <c r="D1658" t="str">
        <f>IF(E1658="","",IF(COUNTIF($E$2:E1658,E1658)&gt;1,"",SUMIFS(tbl_input[필요수량],tbl_input[집계키_지청],E1658)))</f>
        <v/>
      </c>
      <c r="E1658" t="str">
        <f>IFERROR(INDEX(tbl_input[집계키_지청],ROW()-1),"")</f>
        <v/>
      </c>
      <c r="F1658" t="str">
        <f t="shared" si="128"/>
        <v/>
      </c>
      <c r="G1658" t="str">
        <f t="shared" si="129"/>
        <v/>
      </c>
    </row>
    <row r="1659" spans="1:7" x14ac:dyDescent="0.4">
      <c r="A1659" t="str">
        <f t="shared" si="125"/>
        <v/>
      </c>
      <c r="B1659" t="str">
        <f t="shared" si="126"/>
        <v/>
      </c>
      <c r="C1659" t="str">
        <f t="shared" si="127"/>
        <v/>
      </c>
      <c r="D1659" t="str">
        <f>IF(E1659="","",IF(COUNTIF($E$2:E1659,E1659)&gt;1,"",SUMIFS(tbl_input[필요수량],tbl_input[집계키_지청],E1659)))</f>
        <v/>
      </c>
      <c r="E1659" t="str">
        <f>IFERROR(INDEX(tbl_input[집계키_지청],ROW()-1),"")</f>
        <v/>
      </c>
      <c r="F1659" t="str">
        <f t="shared" si="128"/>
        <v/>
      </c>
      <c r="G1659" t="str">
        <f t="shared" si="129"/>
        <v/>
      </c>
    </row>
    <row r="1660" spans="1:7" x14ac:dyDescent="0.4">
      <c r="A1660" t="str">
        <f t="shared" si="125"/>
        <v/>
      </c>
      <c r="B1660" t="str">
        <f t="shared" si="126"/>
        <v/>
      </c>
      <c r="C1660" t="str">
        <f t="shared" si="127"/>
        <v/>
      </c>
      <c r="D1660" t="str">
        <f>IF(E1660="","",IF(COUNTIF($E$2:E1660,E1660)&gt;1,"",SUMIFS(tbl_input[필요수량],tbl_input[집계키_지청],E1660)))</f>
        <v/>
      </c>
      <c r="E1660" t="str">
        <f>IFERROR(INDEX(tbl_input[집계키_지청],ROW()-1),"")</f>
        <v/>
      </c>
      <c r="F1660" t="str">
        <f t="shared" si="128"/>
        <v/>
      </c>
      <c r="G1660" t="str">
        <f t="shared" si="129"/>
        <v/>
      </c>
    </row>
    <row r="1661" spans="1:7" x14ac:dyDescent="0.4">
      <c r="A1661" t="str">
        <f t="shared" si="125"/>
        <v/>
      </c>
      <c r="B1661" t="str">
        <f t="shared" si="126"/>
        <v/>
      </c>
      <c r="C1661" t="str">
        <f t="shared" si="127"/>
        <v/>
      </c>
      <c r="D1661" t="str">
        <f>IF(E1661="","",IF(COUNTIF($E$2:E1661,E1661)&gt;1,"",SUMIFS(tbl_input[필요수량],tbl_input[집계키_지청],E1661)))</f>
        <v/>
      </c>
      <c r="E1661" t="str">
        <f>IFERROR(INDEX(tbl_input[집계키_지청],ROW()-1),"")</f>
        <v/>
      </c>
      <c r="F1661" t="str">
        <f t="shared" si="128"/>
        <v/>
      </c>
      <c r="G1661" t="str">
        <f t="shared" si="129"/>
        <v/>
      </c>
    </row>
    <row r="1662" spans="1:7" x14ac:dyDescent="0.4">
      <c r="A1662" t="str">
        <f t="shared" si="125"/>
        <v/>
      </c>
      <c r="B1662" t="str">
        <f t="shared" si="126"/>
        <v/>
      </c>
      <c r="C1662" t="str">
        <f t="shared" si="127"/>
        <v/>
      </c>
      <c r="D1662" t="str">
        <f>IF(E1662="","",IF(COUNTIF($E$2:E1662,E1662)&gt;1,"",SUMIFS(tbl_input[필요수량],tbl_input[집계키_지청],E1662)))</f>
        <v/>
      </c>
      <c r="E1662" t="str">
        <f>IFERROR(INDEX(tbl_input[집계키_지청],ROW()-1),"")</f>
        <v/>
      </c>
      <c r="F1662" t="str">
        <f t="shared" si="128"/>
        <v/>
      </c>
      <c r="G1662" t="str">
        <f t="shared" si="129"/>
        <v/>
      </c>
    </row>
    <row r="1663" spans="1:7" x14ac:dyDescent="0.4">
      <c r="A1663" t="str">
        <f t="shared" si="125"/>
        <v/>
      </c>
      <c r="B1663" t="str">
        <f t="shared" si="126"/>
        <v/>
      </c>
      <c r="C1663" t="str">
        <f t="shared" si="127"/>
        <v/>
      </c>
      <c r="D1663" t="str">
        <f>IF(E1663="","",IF(COUNTIF($E$2:E1663,E1663)&gt;1,"",SUMIFS(tbl_input[필요수량],tbl_input[집계키_지청],E1663)))</f>
        <v/>
      </c>
      <c r="E1663" t="str">
        <f>IFERROR(INDEX(tbl_input[집계키_지청],ROW()-1),"")</f>
        <v/>
      </c>
      <c r="F1663" t="str">
        <f t="shared" si="128"/>
        <v/>
      </c>
      <c r="G1663" t="str">
        <f t="shared" si="129"/>
        <v/>
      </c>
    </row>
    <row r="1664" spans="1:7" x14ac:dyDescent="0.4">
      <c r="A1664" t="str">
        <f t="shared" si="125"/>
        <v/>
      </c>
      <c r="B1664" t="str">
        <f t="shared" si="126"/>
        <v/>
      </c>
      <c r="C1664" t="str">
        <f t="shared" si="127"/>
        <v/>
      </c>
      <c r="D1664" t="str">
        <f>IF(E1664="","",IF(COUNTIF($E$2:E1664,E1664)&gt;1,"",SUMIFS(tbl_input[필요수량],tbl_input[집계키_지청],E1664)))</f>
        <v/>
      </c>
      <c r="E1664" t="str">
        <f>IFERROR(INDEX(tbl_input[집계키_지청],ROW()-1),"")</f>
        <v/>
      </c>
      <c r="F1664" t="str">
        <f t="shared" si="128"/>
        <v/>
      </c>
      <c r="G1664" t="str">
        <f t="shared" si="129"/>
        <v/>
      </c>
    </row>
    <row r="1665" spans="1:7" x14ac:dyDescent="0.4">
      <c r="A1665" t="str">
        <f t="shared" si="125"/>
        <v/>
      </c>
      <c r="B1665" t="str">
        <f t="shared" si="126"/>
        <v/>
      </c>
      <c r="C1665" t="str">
        <f t="shared" si="127"/>
        <v/>
      </c>
      <c r="D1665" t="str">
        <f>IF(E1665="","",IF(COUNTIF($E$2:E1665,E1665)&gt;1,"",SUMIFS(tbl_input[필요수량],tbl_input[집계키_지청],E1665)))</f>
        <v/>
      </c>
      <c r="E1665" t="str">
        <f>IFERROR(INDEX(tbl_input[집계키_지청],ROW()-1),"")</f>
        <v/>
      </c>
      <c r="F1665" t="str">
        <f t="shared" si="128"/>
        <v/>
      </c>
      <c r="G1665" t="str">
        <f t="shared" si="129"/>
        <v/>
      </c>
    </row>
    <row r="1666" spans="1:7" x14ac:dyDescent="0.4">
      <c r="A1666" t="str">
        <f t="shared" ref="A1666:A1729" si="130">IF(E1666="","",LEFT(E1666,F1666-1))</f>
        <v/>
      </c>
      <c r="B1666" t="str">
        <f t="shared" ref="B1666:B1729" si="131">IF(E1666="","",MID(E1666,F1666+1,G1666-F1666-1))</f>
        <v/>
      </c>
      <c r="C1666" t="str">
        <f t="shared" ref="C1666:C1729" si="132">IF(E1666="","",MID(E1666,G1666+1,999))</f>
        <v/>
      </c>
      <c r="D1666" t="str">
        <f>IF(E1666="","",IF(COUNTIF($E$2:E1666,E1666)&gt;1,"",SUMIFS(tbl_input[필요수량],tbl_input[집계키_지청],E1666)))</f>
        <v/>
      </c>
      <c r="E1666" t="str">
        <f>IFERROR(INDEX(tbl_input[집계키_지청],ROW()-1),"")</f>
        <v/>
      </c>
      <c r="F1666" t="str">
        <f t="shared" ref="F1666:F1729" si="133">IF(E1666="","",FIND("♦",E1666))</f>
        <v/>
      </c>
      <c r="G1666" t="str">
        <f t="shared" ref="G1666:G1729" si="134">IF(E1666="","",FIND("♦",E1666,F1666+1))</f>
        <v/>
      </c>
    </row>
    <row r="1667" spans="1:7" x14ac:dyDescent="0.4">
      <c r="A1667" t="str">
        <f t="shared" si="130"/>
        <v/>
      </c>
      <c r="B1667" t="str">
        <f t="shared" si="131"/>
        <v/>
      </c>
      <c r="C1667" t="str">
        <f t="shared" si="132"/>
        <v/>
      </c>
      <c r="D1667" t="str">
        <f>IF(E1667="","",IF(COUNTIF($E$2:E1667,E1667)&gt;1,"",SUMIFS(tbl_input[필요수량],tbl_input[집계키_지청],E1667)))</f>
        <v/>
      </c>
      <c r="E1667" t="str">
        <f>IFERROR(INDEX(tbl_input[집계키_지청],ROW()-1),"")</f>
        <v/>
      </c>
      <c r="F1667" t="str">
        <f t="shared" si="133"/>
        <v/>
      </c>
      <c r="G1667" t="str">
        <f t="shared" si="134"/>
        <v/>
      </c>
    </row>
    <row r="1668" spans="1:7" x14ac:dyDescent="0.4">
      <c r="A1668" t="str">
        <f t="shared" si="130"/>
        <v/>
      </c>
      <c r="B1668" t="str">
        <f t="shared" si="131"/>
        <v/>
      </c>
      <c r="C1668" t="str">
        <f t="shared" si="132"/>
        <v/>
      </c>
      <c r="D1668" t="str">
        <f>IF(E1668="","",IF(COUNTIF($E$2:E1668,E1668)&gt;1,"",SUMIFS(tbl_input[필요수량],tbl_input[집계키_지청],E1668)))</f>
        <v/>
      </c>
      <c r="E1668" t="str">
        <f>IFERROR(INDEX(tbl_input[집계키_지청],ROW()-1),"")</f>
        <v/>
      </c>
      <c r="F1668" t="str">
        <f t="shared" si="133"/>
        <v/>
      </c>
      <c r="G1668" t="str">
        <f t="shared" si="134"/>
        <v/>
      </c>
    </row>
    <row r="1669" spans="1:7" x14ac:dyDescent="0.4">
      <c r="A1669" t="str">
        <f t="shared" si="130"/>
        <v/>
      </c>
      <c r="B1669" t="str">
        <f t="shared" si="131"/>
        <v/>
      </c>
      <c r="C1669" t="str">
        <f t="shared" si="132"/>
        <v/>
      </c>
      <c r="D1669" t="str">
        <f>IF(E1669="","",IF(COUNTIF($E$2:E1669,E1669)&gt;1,"",SUMIFS(tbl_input[필요수량],tbl_input[집계키_지청],E1669)))</f>
        <v/>
      </c>
      <c r="E1669" t="str">
        <f>IFERROR(INDEX(tbl_input[집계키_지청],ROW()-1),"")</f>
        <v/>
      </c>
      <c r="F1669" t="str">
        <f t="shared" si="133"/>
        <v/>
      </c>
      <c r="G1669" t="str">
        <f t="shared" si="134"/>
        <v/>
      </c>
    </row>
    <row r="1670" spans="1:7" x14ac:dyDescent="0.4">
      <c r="A1670" t="str">
        <f t="shared" si="130"/>
        <v/>
      </c>
      <c r="B1670" t="str">
        <f t="shared" si="131"/>
        <v/>
      </c>
      <c r="C1670" t="str">
        <f t="shared" si="132"/>
        <v/>
      </c>
      <c r="D1670" t="str">
        <f>IF(E1670="","",IF(COUNTIF($E$2:E1670,E1670)&gt;1,"",SUMIFS(tbl_input[필요수량],tbl_input[집계키_지청],E1670)))</f>
        <v/>
      </c>
      <c r="E1670" t="str">
        <f>IFERROR(INDEX(tbl_input[집계키_지청],ROW()-1),"")</f>
        <v/>
      </c>
      <c r="F1670" t="str">
        <f t="shared" si="133"/>
        <v/>
      </c>
      <c r="G1670" t="str">
        <f t="shared" si="134"/>
        <v/>
      </c>
    </row>
    <row r="1671" spans="1:7" x14ac:dyDescent="0.4">
      <c r="A1671" t="str">
        <f t="shared" si="130"/>
        <v/>
      </c>
      <c r="B1671" t="str">
        <f t="shared" si="131"/>
        <v/>
      </c>
      <c r="C1671" t="str">
        <f t="shared" si="132"/>
        <v/>
      </c>
      <c r="D1671" t="str">
        <f>IF(E1671="","",IF(COUNTIF($E$2:E1671,E1671)&gt;1,"",SUMIFS(tbl_input[필요수량],tbl_input[집계키_지청],E1671)))</f>
        <v/>
      </c>
      <c r="E1671" t="str">
        <f>IFERROR(INDEX(tbl_input[집계키_지청],ROW()-1),"")</f>
        <v/>
      </c>
      <c r="F1671" t="str">
        <f t="shared" si="133"/>
        <v/>
      </c>
      <c r="G1671" t="str">
        <f t="shared" si="134"/>
        <v/>
      </c>
    </row>
    <row r="1672" spans="1:7" x14ac:dyDescent="0.4">
      <c r="A1672" t="str">
        <f t="shared" si="130"/>
        <v/>
      </c>
      <c r="B1672" t="str">
        <f t="shared" si="131"/>
        <v/>
      </c>
      <c r="C1672" t="str">
        <f t="shared" si="132"/>
        <v/>
      </c>
      <c r="D1672" t="str">
        <f>IF(E1672="","",IF(COUNTIF($E$2:E1672,E1672)&gt;1,"",SUMIFS(tbl_input[필요수량],tbl_input[집계키_지청],E1672)))</f>
        <v/>
      </c>
      <c r="E1672" t="str">
        <f>IFERROR(INDEX(tbl_input[집계키_지청],ROW()-1),"")</f>
        <v/>
      </c>
      <c r="F1672" t="str">
        <f t="shared" si="133"/>
        <v/>
      </c>
      <c r="G1672" t="str">
        <f t="shared" si="134"/>
        <v/>
      </c>
    </row>
    <row r="1673" spans="1:7" x14ac:dyDescent="0.4">
      <c r="A1673" t="str">
        <f t="shared" si="130"/>
        <v/>
      </c>
      <c r="B1673" t="str">
        <f t="shared" si="131"/>
        <v/>
      </c>
      <c r="C1673" t="str">
        <f t="shared" si="132"/>
        <v/>
      </c>
      <c r="D1673" t="str">
        <f>IF(E1673="","",IF(COUNTIF($E$2:E1673,E1673)&gt;1,"",SUMIFS(tbl_input[필요수량],tbl_input[집계키_지청],E1673)))</f>
        <v/>
      </c>
      <c r="E1673" t="str">
        <f>IFERROR(INDEX(tbl_input[집계키_지청],ROW()-1),"")</f>
        <v/>
      </c>
      <c r="F1673" t="str">
        <f t="shared" si="133"/>
        <v/>
      </c>
      <c r="G1673" t="str">
        <f t="shared" si="134"/>
        <v/>
      </c>
    </row>
    <row r="1674" spans="1:7" x14ac:dyDescent="0.4">
      <c r="A1674" t="str">
        <f t="shared" si="130"/>
        <v/>
      </c>
      <c r="B1674" t="str">
        <f t="shared" si="131"/>
        <v/>
      </c>
      <c r="C1674" t="str">
        <f t="shared" si="132"/>
        <v/>
      </c>
      <c r="D1674" t="str">
        <f>IF(E1674="","",IF(COUNTIF($E$2:E1674,E1674)&gt;1,"",SUMIFS(tbl_input[필요수량],tbl_input[집계키_지청],E1674)))</f>
        <v/>
      </c>
      <c r="E1674" t="str">
        <f>IFERROR(INDEX(tbl_input[집계키_지청],ROW()-1),"")</f>
        <v/>
      </c>
      <c r="F1674" t="str">
        <f t="shared" si="133"/>
        <v/>
      </c>
      <c r="G1674" t="str">
        <f t="shared" si="134"/>
        <v/>
      </c>
    </row>
    <row r="1675" spans="1:7" x14ac:dyDescent="0.4">
      <c r="A1675" t="str">
        <f t="shared" si="130"/>
        <v/>
      </c>
      <c r="B1675" t="str">
        <f t="shared" si="131"/>
        <v/>
      </c>
      <c r="C1675" t="str">
        <f t="shared" si="132"/>
        <v/>
      </c>
      <c r="D1675" t="str">
        <f>IF(E1675="","",IF(COUNTIF($E$2:E1675,E1675)&gt;1,"",SUMIFS(tbl_input[필요수량],tbl_input[집계키_지청],E1675)))</f>
        <v/>
      </c>
      <c r="E1675" t="str">
        <f>IFERROR(INDEX(tbl_input[집계키_지청],ROW()-1),"")</f>
        <v/>
      </c>
      <c r="F1675" t="str">
        <f t="shared" si="133"/>
        <v/>
      </c>
      <c r="G1675" t="str">
        <f t="shared" si="134"/>
        <v/>
      </c>
    </row>
    <row r="1676" spans="1:7" x14ac:dyDescent="0.4">
      <c r="A1676" t="str">
        <f t="shared" si="130"/>
        <v/>
      </c>
      <c r="B1676" t="str">
        <f t="shared" si="131"/>
        <v/>
      </c>
      <c r="C1676" t="str">
        <f t="shared" si="132"/>
        <v/>
      </c>
      <c r="D1676" t="str">
        <f>IF(E1676="","",IF(COUNTIF($E$2:E1676,E1676)&gt;1,"",SUMIFS(tbl_input[필요수량],tbl_input[집계키_지청],E1676)))</f>
        <v/>
      </c>
      <c r="E1676" t="str">
        <f>IFERROR(INDEX(tbl_input[집계키_지청],ROW()-1),"")</f>
        <v/>
      </c>
      <c r="F1676" t="str">
        <f t="shared" si="133"/>
        <v/>
      </c>
      <c r="G1676" t="str">
        <f t="shared" si="134"/>
        <v/>
      </c>
    </row>
    <row r="1677" spans="1:7" x14ac:dyDescent="0.4">
      <c r="A1677" t="str">
        <f t="shared" si="130"/>
        <v/>
      </c>
      <c r="B1677" t="str">
        <f t="shared" si="131"/>
        <v/>
      </c>
      <c r="C1677" t="str">
        <f t="shared" si="132"/>
        <v/>
      </c>
      <c r="D1677" t="str">
        <f>IF(E1677="","",IF(COUNTIF($E$2:E1677,E1677)&gt;1,"",SUMIFS(tbl_input[필요수량],tbl_input[집계키_지청],E1677)))</f>
        <v/>
      </c>
      <c r="E1677" t="str">
        <f>IFERROR(INDEX(tbl_input[집계키_지청],ROW()-1),"")</f>
        <v/>
      </c>
      <c r="F1677" t="str">
        <f t="shared" si="133"/>
        <v/>
      </c>
      <c r="G1677" t="str">
        <f t="shared" si="134"/>
        <v/>
      </c>
    </row>
    <row r="1678" spans="1:7" x14ac:dyDescent="0.4">
      <c r="A1678" t="str">
        <f t="shared" si="130"/>
        <v/>
      </c>
      <c r="B1678" t="str">
        <f t="shared" si="131"/>
        <v/>
      </c>
      <c r="C1678" t="str">
        <f t="shared" si="132"/>
        <v/>
      </c>
      <c r="D1678" t="str">
        <f>IF(E1678="","",IF(COUNTIF($E$2:E1678,E1678)&gt;1,"",SUMIFS(tbl_input[필요수량],tbl_input[집계키_지청],E1678)))</f>
        <v/>
      </c>
      <c r="E1678" t="str">
        <f>IFERROR(INDEX(tbl_input[집계키_지청],ROW()-1),"")</f>
        <v/>
      </c>
      <c r="F1678" t="str">
        <f t="shared" si="133"/>
        <v/>
      </c>
      <c r="G1678" t="str">
        <f t="shared" si="134"/>
        <v/>
      </c>
    </row>
    <row r="1679" spans="1:7" x14ac:dyDescent="0.4">
      <c r="A1679" t="str">
        <f t="shared" si="130"/>
        <v/>
      </c>
      <c r="B1679" t="str">
        <f t="shared" si="131"/>
        <v/>
      </c>
      <c r="C1679" t="str">
        <f t="shared" si="132"/>
        <v/>
      </c>
      <c r="D1679" t="str">
        <f>IF(E1679="","",IF(COUNTIF($E$2:E1679,E1679)&gt;1,"",SUMIFS(tbl_input[필요수량],tbl_input[집계키_지청],E1679)))</f>
        <v/>
      </c>
      <c r="E1679" t="str">
        <f>IFERROR(INDEX(tbl_input[집계키_지청],ROW()-1),"")</f>
        <v/>
      </c>
      <c r="F1679" t="str">
        <f t="shared" si="133"/>
        <v/>
      </c>
      <c r="G1679" t="str">
        <f t="shared" si="134"/>
        <v/>
      </c>
    </row>
    <row r="1680" spans="1:7" x14ac:dyDescent="0.4">
      <c r="A1680" t="str">
        <f t="shared" si="130"/>
        <v/>
      </c>
      <c r="B1680" t="str">
        <f t="shared" si="131"/>
        <v/>
      </c>
      <c r="C1680" t="str">
        <f t="shared" si="132"/>
        <v/>
      </c>
      <c r="D1680" t="str">
        <f>IF(E1680="","",IF(COUNTIF($E$2:E1680,E1680)&gt;1,"",SUMIFS(tbl_input[필요수량],tbl_input[집계키_지청],E1680)))</f>
        <v/>
      </c>
      <c r="E1680" t="str">
        <f>IFERROR(INDEX(tbl_input[집계키_지청],ROW()-1),"")</f>
        <v/>
      </c>
      <c r="F1680" t="str">
        <f t="shared" si="133"/>
        <v/>
      </c>
      <c r="G1680" t="str">
        <f t="shared" si="134"/>
        <v/>
      </c>
    </row>
    <row r="1681" spans="1:7" x14ac:dyDescent="0.4">
      <c r="A1681" t="str">
        <f t="shared" si="130"/>
        <v/>
      </c>
      <c r="B1681" t="str">
        <f t="shared" si="131"/>
        <v/>
      </c>
      <c r="C1681" t="str">
        <f t="shared" si="132"/>
        <v/>
      </c>
      <c r="D1681" t="str">
        <f>IF(E1681="","",IF(COUNTIF($E$2:E1681,E1681)&gt;1,"",SUMIFS(tbl_input[필요수량],tbl_input[집계키_지청],E1681)))</f>
        <v/>
      </c>
      <c r="E1681" t="str">
        <f>IFERROR(INDEX(tbl_input[집계키_지청],ROW()-1),"")</f>
        <v/>
      </c>
      <c r="F1681" t="str">
        <f t="shared" si="133"/>
        <v/>
      </c>
      <c r="G1681" t="str">
        <f t="shared" si="134"/>
        <v/>
      </c>
    </row>
    <row r="1682" spans="1:7" x14ac:dyDescent="0.4">
      <c r="A1682" t="str">
        <f t="shared" si="130"/>
        <v/>
      </c>
      <c r="B1682" t="str">
        <f t="shared" si="131"/>
        <v/>
      </c>
      <c r="C1682" t="str">
        <f t="shared" si="132"/>
        <v/>
      </c>
      <c r="D1682" t="str">
        <f>IF(E1682="","",IF(COUNTIF($E$2:E1682,E1682)&gt;1,"",SUMIFS(tbl_input[필요수량],tbl_input[집계키_지청],E1682)))</f>
        <v/>
      </c>
      <c r="E1682" t="str">
        <f>IFERROR(INDEX(tbl_input[집계키_지청],ROW()-1),"")</f>
        <v/>
      </c>
      <c r="F1682" t="str">
        <f t="shared" si="133"/>
        <v/>
      </c>
      <c r="G1682" t="str">
        <f t="shared" si="134"/>
        <v/>
      </c>
    </row>
    <row r="1683" spans="1:7" x14ac:dyDescent="0.4">
      <c r="A1683" t="str">
        <f t="shared" si="130"/>
        <v/>
      </c>
      <c r="B1683" t="str">
        <f t="shared" si="131"/>
        <v/>
      </c>
      <c r="C1683" t="str">
        <f t="shared" si="132"/>
        <v/>
      </c>
      <c r="D1683" t="str">
        <f>IF(E1683="","",IF(COUNTIF($E$2:E1683,E1683)&gt;1,"",SUMIFS(tbl_input[필요수량],tbl_input[집계키_지청],E1683)))</f>
        <v/>
      </c>
      <c r="E1683" t="str">
        <f>IFERROR(INDEX(tbl_input[집계키_지청],ROW()-1),"")</f>
        <v/>
      </c>
      <c r="F1683" t="str">
        <f t="shared" si="133"/>
        <v/>
      </c>
      <c r="G1683" t="str">
        <f t="shared" si="134"/>
        <v/>
      </c>
    </row>
    <row r="1684" spans="1:7" x14ac:dyDescent="0.4">
      <c r="A1684" t="str">
        <f t="shared" si="130"/>
        <v/>
      </c>
      <c r="B1684" t="str">
        <f t="shared" si="131"/>
        <v/>
      </c>
      <c r="C1684" t="str">
        <f t="shared" si="132"/>
        <v/>
      </c>
      <c r="D1684" t="str">
        <f>IF(E1684="","",IF(COUNTIF($E$2:E1684,E1684)&gt;1,"",SUMIFS(tbl_input[필요수량],tbl_input[집계키_지청],E1684)))</f>
        <v/>
      </c>
      <c r="E1684" t="str">
        <f>IFERROR(INDEX(tbl_input[집계키_지청],ROW()-1),"")</f>
        <v/>
      </c>
      <c r="F1684" t="str">
        <f t="shared" si="133"/>
        <v/>
      </c>
      <c r="G1684" t="str">
        <f t="shared" si="134"/>
        <v/>
      </c>
    </row>
    <row r="1685" spans="1:7" x14ac:dyDescent="0.4">
      <c r="A1685" t="str">
        <f t="shared" si="130"/>
        <v/>
      </c>
      <c r="B1685" t="str">
        <f t="shared" si="131"/>
        <v/>
      </c>
      <c r="C1685" t="str">
        <f t="shared" si="132"/>
        <v/>
      </c>
      <c r="D1685" t="str">
        <f>IF(E1685="","",IF(COUNTIF($E$2:E1685,E1685)&gt;1,"",SUMIFS(tbl_input[필요수량],tbl_input[집계키_지청],E1685)))</f>
        <v/>
      </c>
      <c r="E1685" t="str">
        <f>IFERROR(INDEX(tbl_input[집계키_지청],ROW()-1),"")</f>
        <v/>
      </c>
      <c r="F1685" t="str">
        <f t="shared" si="133"/>
        <v/>
      </c>
      <c r="G1685" t="str">
        <f t="shared" si="134"/>
        <v/>
      </c>
    </row>
    <row r="1686" spans="1:7" x14ac:dyDescent="0.4">
      <c r="A1686" t="str">
        <f t="shared" si="130"/>
        <v/>
      </c>
      <c r="B1686" t="str">
        <f t="shared" si="131"/>
        <v/>
      </c>
      <c r="C1686" t="str">
        <f t="shared" si="132"/>
        <v/>
      </c>
      <c r="D1686" t="str">
        <f>IF(E1686="","",IF(COUNTIF($E$2:E1686,E1686)&gt;1,"",SUMIFS(tbl_input[필요수량],tbl_input[집계키_지청],E1686)))</f>
        <v/>
      </c>
      <c r="E1686" t="str">
        <f>IFERROR(INDEX(tbl_input[집계키_지청],ROW()-1),"")</f>
        <v/>
      </c>
      <c r="F1686" t="str">
        <f t="shared" si="133"/>
        <v/>
      </c>
      <c r="G1686" t="str">
        <f t="shared" si="134"/>
        <v/>
      </c>
    </row>
    <row r="1687" spans="1:7" x14ac:dyDescent="0.4">
      <c r="A1687" t="str">
        <f t="shared" si="130"/>
        <v/>
      </c>
      <c r="B1687" t="str">
        <f t="shared" si="131"/>
        <v/>
      </c>
      <c r="C1687" t="str">
        <f t="shared" si="132"/>
        <v/>
      </c>
      <c r="D1687" t="str">
        <f>IF(E1687="","",IF(COUNTIF($E$2:E1687,E1687)&gt;1,"",SUMIFS(tbl_input[필요수량],tbl_input[집계키_지청],E1687)))</f>
        <v/>
      </c>
      <c r="E1687" t="str">
        <f>IFERROR(INDEX(tbl_input[집계키_지청],ROW()-1),"")</f>
        <v/>
      </c>
      <c r="F1687" t="str">
        <f t="shared" si="133"/>
        <v/>
      </c>
      <c r="G1687" t="str">
        <f t="shared" si="134"/>
        <v/>
      </c>
    </row>
    <row r="1688" spans="1:7" x14ac:dyDescent="0.4">
      <c r="A1688" t="str">
        <f t="shared" si="130"/>
        <v/>
      </c>
      <c r="B1688" t="str">
        <f t="shared" si="131"/>
        <v/>
      </c>
      <c r="C1688" t="str">
        <f t="shared" si="132"/>
        <v/>
      </c>
      <c r="D1688" t="str">
        <f>IF(E1688="","",IF(COUNTIF($E$2:E1688,E1688)&gt;1,"",SUMIFS(tbl_input[필요수량],tbl_input[집계키_지청],E1688)))</f>
        <v/>
      </c>
      <c r="E1688" t="str">
        <f>IFERROR(INDEX(tbl_input[집계키_지청],ROW()-1),"")</f>
        <v/>
      </c>
      <c r="F1688" t="str">
        <f t="shared" si="133"/>
        <v/>
      </c>
      <c r="G1688" t="str">
        <f t="shared" si="134"/>
        <v/>
      </c>
    </row>
    <row r="1689" spans="1:7" x14ac:dyDescent="0.4">
      <c r="A1689" t="str">
        <f t="shared" si="130"/>
        <v/>
      </c>
      <c r="B1689" t="str">
        <f t="shared" si="131"/>
        <v/>
      </c>
      <c r="C1689" t="str">
        <f t="shared" si="132"/>
        <v/>
      </c>
      <c r="D1689" t="str">
        <f>IF(E1689="","",IF(COUNTIF($E$2:E1689,E1689)&gt;1,"",SUMIFS(tbl_input[필요수량],tbl_input[집계키_지청],E1689)))</f>
        <v/>
      </c>
      <c r="E1689" t="str">
        <f>IFERROR(INDEX(tbl_input[집계키_지청],ROW()-1),"")</f>
        <v/>
      </c>
      <c r="F1689" t="str">
        <f t="shared" si="133"/>
        <v/>
      </c>
      <c r="G1689" t="str">
        <f t="shared" si="134"/>
        <v/>
      </c>
    </row>
    <row r="1690" spans="1:7" x14ac:dyDescent="0.4">
      <c r="A1690" t="str">
        <f t="shared" si="130"/>
        <v/>
      </c>
      <c r="B1690" t="str">
        <f t="shared" si="131"/>
        <v/>
      </c>
      <c r="C1690" t="str">
        <f t="shared" si="132"/>
        <v/>
      </c>
      <c r="D1690" t="str">
        <f>IF(E1690="","",IF(COUNTIF($E$2:E1690,E1690)&gt;1,"",SUMIFS(tbl_input[필요수량],tbl_input[집계키_지청],E1690)))</f>
        <v/>
      </c>
      <c r="E1690" t="str">
        <f>IFERROR(INDEX(tbl_input[집계키_지청],ROW()-1),"")</f>
        <v/>
      </c>
      <c r="F1690" t="str">
        <f t="shared" si="133"/>
        <v/>
      </c>
      <c r="G1690" t="str">
        <f t="shared" si="134"/>
        <v/>
      </c>
    </row>
    <row r="1691" spans="1:7" x14ac:dyDescent="0.4">
      <c r="A1691" t="str">
        <f t="shared" si="130"/>
        <v/>
      </c>
      <c r="B1691" t="str">
        <f t="shared" si="131"/>
        <v/>
      </c>
      <c r="C1691" t="str">
        <f t="shared" si="132"/>
        <v/>
      </c>
      <c r="D1691" t="str">
        <f>IF(E1691="","",IF(COUNTIF($E$2:E1691,E1691)&gt;1,"",SUMIFS(tbl_input[필요수량],tbl_input[집계키_지청],E1691)))</f>
        <v/>
      </c>
      <c r="E1691" t="str">
        <f>IFERROR(INDEX(tbl_input[집계키_지청],ROW()-1),"")</f>
        <v/>
      </c>
      <c r="F1691" t="str">
        <f t="shared" si="133"/>
        <v/>
      </c>
      <c r="G1691" t="str">
        <f t="shared" si="134"/>
        <v/>
      </c>
    </row>
    <row r="1692" spans="1:7" x14ac:dyDescent="0.4">
      <c r="A1692" t="str">
        <f t="shared" si="130"/>
        <v/>
      </c>
      <c r="B1692" t="str">
        <f t="shared" si="131"/>
        <v/>
      </c>
      <c r="C1692" t="str">
        <f t="shared" si="132"/>
        <v/>
      </c>
      <c r="D1692" t="str">
        <f>IF(E1692="","",IF(COUNTIF($E$2:E1692,E1692)&gt;1,"",SUMIFS(tbl_input[필요수량],tbl_input[집계키_지청],E1692)))</f>
        <v/>
      </c>
      <c r="E1692" t="str">
        <f>IFERROR(INDEX(tbl_input[집계키_지청],ROW()-1),"")</f>
        <v/>
      </c>
      <c r="F1692" t="str">
        <f t="shared" si="133"/>
        <v/>
      </c>
      <c r="G1692" t="str">
        <f t="shared" si="134"/>
        <v/>
      </c>
    </row>
    <row r="1693" spans="1:7" x14ac:dyDescent="0.4">
      <c r="A1693" t="str">
        <f t="shared" si="130"/>
        <v/>
      </c>
      <c r="B1693" t="str">
        <f t="shared" si="131"/>
        <v/>
      </c>
      <c r="C1693" t="str">
        <f t="shared" si="132"/>
        <v/>
      </c>
      <c r="D1693" t="str">
        <f>IF(E1693="","",IF(COUNTIF($E$2:E1693,E1693)&gt;1,"",SUMIFS(tbl_input[필요수량],tbl_input[집계키_지청],E1693)))</f>
        <v/>
      </c>
      <c r="E1693" t="str">
        <f>IFERROR(INDEX(tbl_input[집계키_지청],ROW()-1),"")</f>
        <v/>
      </c>
      <c r="F1693" t="str">
        <f t="shared" si="133"/>
        <v/>
      </c>
      <c r="G1693" t="str">
        <f t="shared" si="134"/>
        <v/>
      </c>
    </row>
    <row r="1694" spans="1:7" x14ac:dyDescent="0.4">
      <c r="A1694" t="str">
        <f t="shared" si="130"/>
        <v/>
      </c>
      <c r="B1694" t="str">
        <f t="shared" si="131"/>
        <v/>
      </c>
      <c r="C1694" t="str">
        <f t="shared" si="132"/>
        <v/>
      </c>
      <c r="D1694" t="str">
        <f>IF(E1694="","",IF(COUNTIF($E$2:E1694,E1694)&gt;1,"",SUMIFS(tbl_input[필요수량],tbl_input[집계키_지청],E1694)))</f>
        <v/>
      </c>
      <c r="E1694" t="str">
        <f>IFERROR(INDEX(tbl_input[집계키_지청],ROW()-1),"")</f>
        <v/>
      </c>
      <c r="F1694" t="str">
        <f t="shared" si="133"/>
        <v/>
      </c>
      <c r="G1694" t="str">
        <f t="shared" si="134"/>
        <v/>
      </c>
    </row>
    <row r="1695" spans="1:7" x14ac:dyDescent="0.4">
      <c r="A1695" t="str">
        <f t="shared" si="130"/>
        <v/>
      </c>
      <c r="B1695" t="str">
        <f t="shared" si="131"/>
        <v/>
      </c>
      <c r="C1695" t="str">
        <f t="shared" si="132"/>
        <v/>
      </c>
      <c r="D1695" t="str">
        <f>IF(E1695="","",IF(COUNTIF($E$2:E1695,E1695)&gt;1,"",SUMIFS(tbl_input[필요수량],tbl_input[집계키_지청],E1695)))</f>
        <v/>
      </c>
      <c r="E1695" t="str">
        <f>IFERROR(INDEX(tbl_input[집계키_지청],ROW()-1),"")</f>
        <v/>
      </c>
      <c r="F1695" t="str">
        <f t="shared" si="133"/>
        <v/>
      </c>
      <c r="G1695" t="str">
        <f t="shared" si="134"/>
        <v/>
      </c>
    </row>
    <row r="1696" spans="1:7" x14ac:dyDescent="0.4">
      <c r="A1696" t="str">
        <f t="shared" si="130"/>
        <v/>
      </c>
      <c r="B1696" t="str">
        <f t="shared" si="131"/>
        <v/>
      </c>
      <c r="C1696" t="str">
        <f t="shared" si="132"/>
        <v/>
      </c>
      <c r="D1696" t="str">
        <f>IF(E1696="","",IF(COUNTIF($E$2:E1696,E1696)&gt;1,"",SUMIFS(tbl_input[필요수량],tbl_input[집계키_지청],E1696)))</f>
        <v/>
      </c>
      <c r="E1696" t="str">
        <f>IFERROR(INDEX(tbl_input[집계키_지청],ROW()-1),"")</f>
        <v/>
      </c>
      <c r="F1696" t="str">
        <f t="shared" si="133"/>
        <v/>
      </c>
      <c r="G1696" t="str">
        <f t="shared" si="134"/>
        <v/>
      </c>
    </row>
    <row r="1697" spans="1:7" x14ac:dyDescent="0.4">
      <c r="A1697" t="str">
        <f t="shared" si="130"/>
        <v/>
      </c>
      <c r="B1697" t="str">
        <f t="shared" si="131"/>
        <v/>
      </c>
      <c r="C1697" t="str">
        <f t="shared" si="132"/>
        <v/>
      </c>
      <c r="D1697" t="str">
        <f>IF(E1697="","",IF(COUNTIF($E$2:E1697,E1697)&gt;1,"",SUMIFS(tbl_input[필요수량],tbl_input[집계키_지청],E1697)))</f>
        <v/>
      </c>
      <c r="E1697" t="str">
        <f>IFERROR(INDEX(tbl_input[집계키_지청],ROW()-1),"")</f>
        <v/>
      </c>
      <c r="F1697" t="str">
        <f t="shared" si="133"/>
        <v/>
      </c>
      <c r="G1697" t="str">
        <f t="shared" si="134"/>
        <v/>
      </c>
    </row>
    <row r="1698" spans="1:7" x14ac:dyDescent="0.4">
      <c r="A1698" t="str">
        <f t="shared" si="130"/>
        <v/>
      </c>
      <c r="B1698" t="str">
        <f t="shared" si="131"/>
        <v/>
      </c>
      <c r="C1698" t="str">
        <f t="shared" si="132"/>
        <v/>
      </c>
      <c r="D1698" t="str">
        <f>IF(E1698="","",IF(COUNTIF($E$2:E1698,E1698)&gt;1,"",SUMIFS(tbl_input[필요수량],tbl_input[집계키_지청],E1698)))</f>
        <v/>
      </c>
      <c r="E1698" t="str">
        <f>IFERROR(INDEX(tbl_input[집계키_지청],ROW()-1),"")</f>
        <v/>
      </c>
      <c r="F1698" t="str">
        <f t="shared" si="133"/>
        <v/>
      </c>
      <c r="G1698" t="str">
        <f t="shared" si="134"/>
        <v/>
      </c>
    </row>
    <row r="1699" spans="1:7" x14ac:dyDescent="0.4">
      <c r="A1699" t="str">
        <f t="shared" si="130"/>
        <v/>
      </c>
      <c r="B1699" t="str">
        <f t="shared" si="131"/>
        <v/>
      </c>
      <c r="C1699" t="str">
        <f t="shared" si="132"/>
        <v/>
      </c>
      <c r="D1699" t="str">
        <f>IF(E1699="","",IF(COUNTIF($E$2:E1699,E1699)&gt;1,"",SUMIFS(tbl_input[필요수량],tbl_input[집계키_지청],E1699)))</f>
        <v/>
      </c>
      <c r="E1699" t="str">
        <f>IFERROR(INDEX(tbl_input[집계키_지청],ROW()-1),"")</f>
        <v/>
      </c>
      <c r="F1699" t="str">
        <f t="shared" si="133"/>
        <v/>
      </c>
      <c r="G1699" t="str">
        <f t="shared" si="134"/>
        <v/>
      </c>
    </row>
    <row r="1700" spans="1:7" x14ac:dyDescent="0.4">
      <c r="A1700" t="str">
        <f t="shared" si="130"/>
        <v/>
      </c>
      <c r="B1700" t="str">
        <f t="shared" si="131"/>
        <v/>
      </c>
      <c r="C1700" t="str">
        <f t="shared" si="132"/>
        <v/>
      </c>
      <c r="D1700" t="str">
        <f>IF(E1700="","",IF(COUNTIF($E$2:E1700,E1700)&gt;1,"",SUMIFS(tbl_input[필요수량],tbl_input[집계키_지청],E1700)))</f>
        <v/>
      </c>
      <c r="E1700" t="str">
        <f>IFERROR(INDEX(tbl_input[집계키_지청],ROW()-1),"")</f>
        <v/>
      </c>
      <c r="F1700" t="str">
        <f t="shared" si="133"/>
        <v/>
      </c>
      <c r="G1700" t="str">
        <f t="shared" si="134"/>
        <v/>
      </c>
    </row>
    <row r="1701" spans="1:7" x14ac:dyDescent="0.4">
      <c r="A1701" t="str">
        <f t="shared" si="130"/>
        <v/>
      </c>
      <c r="B1701" t="str">
        <f t="shared" si="131"/>
        <v/>
      </c>
      <c r="C1701" t="str">
        <f t="shared" si="132"/>
        <v/>
      </c>
      <c r="D1701" t="str">
        <f>IF(E1701="","",IF(COUNTIF($E$2:E1701,E1701)&gt;1,"",SUMIFS(tbl_input[필요수량],tbl_input[집계키_지청],E1701)))</f>
        <v/>
      </c>
      <c r="E1701" t="str">
        <f>IFERROR(INDEX(tbl_input[집계키_지청],ROW()-1),"")</f>
        <v/>
      </c>
      <c r="F1701" t="str">
        <f t="shared" si="133"/>
        <v/>
      </c>
      <c r="G1701" t="str">
        <f t="shared" si="134"/>
        <v/>
      </c>
    </row>
    <row r="1702" spans="1:7" x14ac:dyDescent="0.4">
      <c r="A1702" t="str">
        <f t="shared" si="130"/>
        <v/>
      </c>
      <c r="B1702" t="str">
        <f t="shared" si="131"/>
        <v/>
      </c>
      <c r="C1702" t="str">
        <f t="shared" si="132"/>
        <v/>
      </c>
      <c r="D1702" t="str">
        <f>IF(E1702="","",IF(COUNTIF($E$2:E1702,E1702)&gt;1,"",SUMIFS(tbl_input[필요수량],tbl_input[집계키_지청],E1702)))</f>
        <v/>
      </c>
      <c r="E1702" t="str">
        <f>IFERROR(INDEX(tbl_input[집계키_지청],ROW()-1),"")</f>
        <v/>
      </c>
      <c r="F1702" t="str">
        <f t="shared" si="133"/>
        <v/>
      </c>
      <c r="G1702" t="str">
        <f t="shared" si="134"/>
        <v/>
      </c>
    </row>
    <row r="1703" spans="1:7" x14ac:dyDescent="0.4">
      <c r="A1703" t="str">
        <f t="shared" si="130"/>
        <v/>
      </c>
      <c r="B1703" t="str">
        <f t="shared" si="131"/>
        <v/>
      </c>
      <c r="C1703" t="str">
        <f t="shared" si="132"/>
        <v/>
      </c>
      <c r="D1703" t="str">
        <f>IF(E1703="","",IF(COUNTIF($E$2:E1703,E1703)&gt;1,"",SUMIFS(tbl_input[필요수량],tbl_input[집계키_지청],E1703)))</f>
        <v/>
      </c>
      <c r="E1703" t="str">
        <f>IFERROR(INDEX(tbl_input[집계키_지청],ROW()-1),"")</f>
        <v/>
      </c>
      <c r="F1703" t="str">
        <f t="shared" si="133"/>
        <v/>
      </c>
      <c r="G1703" t="str">
        <f t="shared" si="134"/>
        <v/>
      </c>
    </row>
    <row r="1704" spans="1:7" x14ac:dyDescent="0.4">
      <c r="A1704" t="str">
        <f t="shared" si="130"/>
        <v/>
      </c>
      <c r="B1704" t="str">
        <f t="shared" si="131"/>
        <v/>
      </c>
      <c r="C1704" t="str">
        <f t="shared" si="132"/>
        <v/>
      </c>
      <c r="D1704" t="str">
        <f>IF(E1704="","",IF(COUNTIF($E$2:E1704,E1704)&gt;1,"",SUMIFS(tbl_input[필요수량],tbl_input[집계키_지청],E1704)))</f>
        <v/>
      </c>
      <c r="E1704" t="str">
        <f>IFERROR(INDEX(tbl_input[집계키_지청],ROW()-1),"")</f>
        <v/>
      </c>
      <c r="F1704" t="str">
        <f t="shared" si="133"/>
        <v/>
      </c>
      <c r="G1704" t="str">
        <f t="shared" si="134"/>
        <v/>
      </c>
    </row>
    <row r="1705" spans="1:7" x14ac:dyDescent="0.4">
      <c r="A1705" t="str">
        <f t="shared" si="130"/>
        <v/>
      </c>
      <c r="B1705" t="str">
        <f t="shared" si="131"/>
        <v/>
      </c>
      <c r="C1705" t="str">
        <f t="shared" si="132"/>
        <v/>
      </c>
      <c r="D1705" t="str">
        <f>IF(E1705="","",IF(COUNTIF($E$2:E1705,E1705)&gt;1,"",SUMIFS(tbl_input[필요수량],tbl_input[집계키_지청],E1705)))</f>
        <v/>
      </c>
      <c r="E1705" t="str">
        <f>IFERROR(INDEX(tbl_input[집계키_지청],ROW()-1),"")</f>
        <v/>
      </c>
      <c r="F1705" t="str">
        <f t="shared" si="133"/>
        <v/>
      </c>
      <c r="G1705" t="str">
        <f t="shared" si="134"/>
        <v/>
      </c>
    </row>
    <row r="1706" spans="1:7" x14ac:dyDescent="0.4">
      <c r="A1706" t="str">
        <f t="shared" si="130"/>
        <v/>
      </c>
      <c r="B1706" t="str">
        <f t="shared" si="131"/>
        <v/>
      </c>
      <c r="C1706" t="str">
        <f t="shared" si="132"/>
        <v/>
      </c>
      <c r="D1706" t="str">
        <f>IF(E1706="","",IF(COUNTIF($E$2:E1706,E1706)&gt;1,"",SUMIFS(tbl_input[필요수량],tbl_input[집계키_지청],E1706)))</f>
        <v/>
      </c>
      <c r="E1706" t="str">
        <f>IFERROR(INDEX(tbl_input[집계키_지청],ROW()-1),"")</f>
        <v/>
      </c>
      <c r="F1706" t="str">
        <f t="shared" si="133"/>
        <v/>
      </c>
      <c r="G1706" t="str">
        <f t="shared" si="134"/>
        <v/>
      </c>
    </row>
    <row r="1707" spans="1:7" x14ac:dyDescent="0.4">
      <c r="A1707" t="str">
        <f t="shared" si="130"/>
        <v/>
      </c>
      <c r="B1707" t="str">
        <f t="shared" si="131"/>
        <v/>
      </c>
      <c r="C1707" t="str">
        <f t="shared" si="132"/>
        <v/>
      </c>
      <c r="D1707" t="str">
        <f>IF(E1707="","",IF(COUNTIF($E$2:E1707,E1707)&gt;1,"",SUMIFS(tbl_input[필요수량],tbl_input[집계키_지청],E1707)))</f>
        <v/>
      </c>
      <c r="E1707" t="str">
        <f>IFERROR(INDEX(tbl_input[집계키_지청],ROW()-1),"")</f>
        <v/>
      </c>
      <c r="F1707" t="str">
        <f t="shared" si="133"/>
        <v/>
      </c>
      <c r="G1707" t="str">
        <f t="shared" si="134"/>
        <v/>
      </c>
    </row>
    <row r="1708" spans="1:7" x14ac:dyDescent="0.4">
      <c r="A1708" t="str">
        <f t="shared" si="130"/>
        <v/>
      </c>
      <c r="B1708" t="str">
        <f t="shared" si="131"/>
        <v/>
      </c>
      <c r="C1708" t="str">
        <f t="shared" si="132"/>
        <v/>
      </c>
      <c r="D1708" t="str">
        <f>IF(E1708="","",IF(COUNTIF($E$2:E1708,E1708)&gt;1,"",SUMIFS(tbl_input[필요수량],tbl_input[집계키_지청],E1708)))</f>
        <v/>
      </c>
      <c r="E1708" t="str">
        <f>IFERROR(INDEX(tbl_input[집계키_지청],ROW()-1),"")</f>
        <v/>
      </c>
      <c r="F1708" t="str">
        <f t="shared" si="133"/>
        <v/>
      </c>
      <c r="G1708" t="str">
        <f t="shared" si="134"/>
        <v/>
      </c>
    </row>
    <row r="1709" spans="1:7" x14ac:dyDescent="0.4">
      <c r="A1709" t="str">
        <f t="shared" si="130"/>
        <v/>
      </c>
      <c r="B1709" t="str">
        <f t="shared" si="131"/>
        <v/>
      </c>
      <c r="C1709" t="str">
        <f t="shared" si="132"/>
        <v/>
      </c>
      <c r="D1709" t="str">
        <f>IF(E1709="","",IF(COUNTIF($E$2:E1709,E1709)&gt;1,"",SUMIFS(tbl_input[필요수량],tbl_input[집계키_지청],E1709)))</f>
        <v/>
      </c>
      <c r="E1709" t="str">
        <f>IFERROR(INDEX(tbl_input[집계키_지청],ROW()-1),"")</f>
        <v/>
      </c>
      <c r="F1709" t="str">
        <f t="shared" si="133"/>
        <v/>
      </c>
      <c r="G1709" t="str">
        <f t="shared" si="134"/>
        <v/>
      </c>
    </row>
    <row r="1710" spans="1:7" x14ac:dyDescent="0.4">
      <c r="A1710" t="str">
        <f t="shared" si="130"/>
        <v/>
      </c>
      <c r="B1710" t="str">
        <f t="shared" si="131"/>
        <v/>
      </c>
      <c r="C1710" t="str">
        <f t="shared" si="132"/>
        <v/>
      </c>
      <c r="D1710" t="str">
        <f>IF(E1710="","",IF(COUNTIF($E$2:E1710,E1710)&gt;1,"",SUMIFS(tbl_input[필요수량],tbl_input[집계키_지청],E1710)))</f>
        <v/>
      </c>
      <c r="E1710" t="str">
        <f>IFERROR(INDEX(tbl_input[집계키_지청],ROW()-1),"")</f>
        <v/>
      </c>
      <c r="F1710" t="str">
        <f t="shared" si="133"/>
        <v/>
      </c>
      <c r="G1710" t="str">
        <f t="shared" si="134"/>
        <v/>
      </c>
    </row>
    <row r="1711" spans="1:7" x14ac:dyDescent="0.4">
      <c r="A1711" t="str">
        <f t="shared" si="130"/>
        <v/>
      </c>
      <c r="B1711" t="str">
        <f t="shared" si="131"/>
        <v/>
      </c>
      <c r="C1711" t="str">
        <f t="shared" si="132"/>
        <v/>
      </c>
      <c r="D1711" t="str">
        <f>IF(E1711="","",IF(COUNTIF($E$2:E1711,E1711)&gt;1,"",SUMIFS(tbl_input[필요수량],tbl_input[집계키_지청],E1711)))</f>
        <v/>
      </c>
      <c r="E1711" t="str">
        <f>IFERROR(INDEX(tbl_input[집계키_지청],ROW()-1),"")</f>
        <v/>
      </c>
      <c r="F1711" t="str">
        <f t="shared" si="133"/>
        <v/>
      </c>
      <c r="G1711" t="str">
        <f t="shared" si="134"/>
        <v/>
      </c>
    </row>
    <row r="1712" spans="1:7" x14ac:dyDescent="0.4">
      <c r="A1712" t="str">
        <f t="shared" si="130"/>
        <v/>
      </c>
      <c r="B1712" t="str">
        <f t="shared" si="131"/>
        <v/>
      </c>
      <c r="C1712" t="str">
        <f t="shared" si="132"/>
        <v/>
      </c>
      <c r="D1712" t="str">
        <f>IF(E1712="","",IF(COUNTIF($E$2:E1712,E1712)&gt;1,"",SUMIFS(tbl_input[필요수량],tbl_input[집계키_지청],E1712)))</f>
        <v/>
      </c>
      <c r="E1712" t="str">
        <f>IFERROR(INDEX(tbl_input[집계키_지청],ROW()-1),"")</f>
        <v/>
      </c>
      <c r="F1712" t="str">
        <f t="shared" si="133"/>
        <v/>
      </c>
      <c r="G1712" t="str">
        <f t="shared" si="134"/>
        <v/>
      </c>
    </row>
    <row r="1713" spans="1:7" x14ac:dyDescent="0.4">
      <c r="A1713" t="str">
        <f t="shared" si="130"/>
        <v/>
      </c>
      <c r="B1713" t="str">
        <f t="shared" si="131"/>
        <v/>
      </c>
      <c r="C1713" t="str">
        <f t="shared" si="132"/>
        <v/>
      </c>
      <c r="D1713" t="str">
        <f>IF(E1713="","",IF(COUNTIF($E$2:E1713,E1713)&gt;1,"",SUMIFS(tbl_input[필요수량],tbl_input[집계키_지청],E1713)))</f>
        <v/>
      </c>
      <c r="E1713" t="str">
        <f>IFERROR(INDEX(tbl_input[집계키_지청],ROW()-1),"")</f>
        <v/>
      </c>
      <c r="F1713" t="str">
        <f t="shared" si="133"/>
        <v/>
      </c>
      <c r="G1713" t="str">
        <f t="shared" si="134"/>
        <v/>
      </c>
    </row>
    <row r="1714" spans="1:7" x14ac:dyDescent="0.4">
      <c r="A1714" t="str">
        <f t="shared" si="130"/>
        <v/>
      </c>
      <c r="B1714" t="str">
        <f t="shared" si="131"/>
        <v/>
      </c>
      <c r="C1714" t="str">
        <f t="shared" si="132"/>
        <v/>
      </c>
      <c r="D1714" t="str">
        <f>IF(E1714="","",IF(COUNTIF($E$2:E1714,E1714)&gt;1,"",SUMIFS(tbl_input[필요수량],tbl_input[집계키_지청],E1714)))</f>
        <v/>
      </c>
      <c r="E1714" t="str">
        <f>IFERROR(INDEX(tbl_input[집계키_지청],ROW()-1),"")</f>
        <v/>
      </c>
      <c r="F1714" t="str">
        <f t="shared" si="133"/>
        <v/>
      </c>
      <c r="G1714" t="str">
        <f t="shared" si="134"/>
        <v/>
      </c>
    </row>
    <row r="1715" spans="1:7" x14ac:dyDescent="0.4">
      <c r="A1715" t="str">
        <f t="shared" si="130"/>
        <v/>
      </c>
      <c r="B1715" t="str">
        <f t="shared" si="131"/>
        <v/>
      </c>
      <c r="C1715" t="str">
        <f t="shared" si="132"/>
        <v/>
      </c>
      <c r="D1715" t="str">
        <f>IF(E1715="","",IF(COUNTIF($E$2:E1715,E1715)&gt;1,"",SUMIFS(tbl_input[필요수량],tbl_input[집계키_지청],E1715)))</f>
        <v/>
      </c>
      <c r="E1715" t="str">
        <f>IFERROR(INDEX(tbl_input[집계키_지청],ROW()-1),"")</f>
        <v/>
      </c>
      <c r="F1715" t="str">
        <f t="shared" si="133"/>
        <v/>
      </c>
      <c r="G1715" t="str">
        <f t="shared" si="134"/>
        <v/>
      </c>
    </row>
    <row r="1716" spans="1:7" x14ac:dyDescent="0.4">
      <c r="A1716" t="str">
        <f t="shared" si="130"/>
        <v/>
      </c>
      <c r="B1716" t="str">
        <f t="shared" si="131"/>
        <v/>
      </c>
      <c r="C1716" t="str">
        <f t="shared" si="132"/>
        <v/>
      </c>
      <c r="D1716" t="str">
        <f>IF(E1716="","",IF(COUNTIF($E$2:E1716,E1716)&gt;1,"",SUMIFS(tbl_input[필요수량],tbl_input[집계키_지청],E1716)))</f>
        <v/>
      </c>
      <c r="E1716" t="str">
        <f>IFERROR(INDEX(tbl_input[집계키_지청],ROW()-1),"")</f>
        <v/>
      </c>
      <c r="F1716" t="str">
        <f t="shared" si="133"/>
        <v/>
      </c>
      <c r="G1716" t="str">
        <f t="shared" si="134"/>
        <v/>
      </c>
    </row>
    <row r="1717" spans="1:7" x14ac:dyDescent="0.4">
      <c r="A1717" t="str">
        <f t="shared" si="130"/>
        <v/>
      </c>
      <c r="B1717" t="str">
        <f t="shared" si="131"/>
        <v/>
      </c>
      <c r="C1717" t="str">
        <f t="shared" si="132"/>
        <v/>
      </c>
      <c r="D1717" t="str">
        <f>IF(E1717="","",IF(COUNTIF($E$2:E1717,E1717)&gt;1,"",SUMIFS(tbl_input[필요수량],tbl_input[집계키_지청],E1717)))</f>
        <v/>
      </c>
      <c r="E1717" t="str">
        <f>IFERROR(INDEX(tbl_input[집계키_지청],ROW()-1),"")</f>
        <v/>
      </c>
      <c r="F1717" t="str">
        <f t="shared" si="133"/>
        <v/>
      </c>
      <c r="G1717" t="str">
        <f t="shared" si="134"/>
        <v/>
      </c>
    </row>
    <row r="1718" spans="1:7" x14ac:dyDescent="0.4">
      <c r="A1718" t="str">
        <f t="shared" si="130"/>
        <v/>
      </c>
      <c r="B1718" t="str">
        <f t="shared" si="131"/>
        <v/>
      </c>
      <c r="C1718" t="str">
        <f t="shared" si="132"/>
        <v/>
      </c>
      <c r="D1718" t="str">
        <f>IF(E1718="","",IF(COUNTIF($E$2:E1718,E1718)&gt;1,"",SUMIFS(tbl_input[필요수량],tbl_input[집계키_지청],E1718)))</f>
        <v/>
      </c>
      <c r="E1718" t="str">
        <f>IFERROR(INDEX(tbl_input[집계키_지청],ROW()-1),"")</f>
        <v/>
      </c>
      <c r="F1718" t="str">
        <f t="shared" si="133"/>
        <v/>
      </c>
      <c r="G1718" t="str">
        <f t="shared" si="134"/>
        <v/>
      </c>
    </row>
    <row r="1719" spans="1:7" x14ac:dyDescent="0.4">
      <c r="A1719" t="str">
        <f t="shared" si="130"/>
        <v/>
      </c>
      <c r="B1719" t="str">
        <f t="shared" si="131"/>
        <v/>
      </c>
      <c r="C1719" t="str">
        <f t="shared" si="132"/>
        <v/>
      </c>
      <c r="D1719" t="str">
        <f>IF(E1719="","",IF(COUNTIF($E$2:E1719,E1719)&gt;1,"",SUMIFS(tbl_input[필요수량],tbl_input[집계키_지청],E1719)))</f>
        <v/>
      </c>
      <c r="E1719" t="str">
        <f>IFERROR(INDEX(tbl_input[집계키_지청],ROW()-1),"")</f>
        <v/>
      </c>
      <c r="F1719" t="str">
        <f t="shared" si="133"/>
        <v/>
      </c>
      <c r="G1719" t="str">
        <f t="shared" si="134"/>
        <v/>
      </c>
    </row>
    <row r="1720" spans="1:7" x14ac:dyDescent="0.4">
      <c r="A1720" t="str">
        <f t="shared" si="130"/>
        <v/>
      </c>
      <c r="B1720" t="str">
        <f t="shared" si="131"/>
        <v/>
      </c>
      <c r="C1720" t="str">
        <f t="shared" si="132"/>
        <v/>
      </c>
      <c r="D1720" t="str">
        <f>IF(E1720="","",IF(COUNTIF($E$2:E1720,E1720)&gt;1,"",SUMIFS(tbl_input[필요수량],tbl_input[집계키_지청],E1720)))</f>
        <v/>
      </c>
      <c r="E1720" t="str">
        <f>IFERROR(INDEX(tbl_input[집계키_지청],ROW()-1),"")</f>
        <v/>
      </c>
      <c r="F1720" t="str">
        <f t="shared" si="133"/>
        <v/>
      </c>
      <c r="G1720" t="str">
        <f t="shared" si="134"/>
        <v/>
      </c>
    </row>
    <row r="1721" spans="1:7" x14ac:dyDescent="0.4">
      <c r="A1721" t="str">
        <f t="shared" si="130"/>
        <v/>
      </c>
      <c r="B1721" t="str">
        <f t="shared" si="131"/>
        <v/>
      </c>
      <c r="C1721" t="str">
        <f t="shared" si="132"/>
        <v/>
      </c>
      <c r="D1721" t="str">
        <f>IF(E1721="","",IF(COUNTIF($E$2:E1721,E1721)&gt;1,"",SUMIFS(tbl_input[필요수량],tbl_input[집계키_지청],E1721)))</f>
        <v/>
      </c>
      <c r="E1721" t="str">
        <f>IFERROR(INDEX(tbl_input[집계키_지청],ROW()-1),"")</f>
        <v/>
      </c>
      <c r="F1721" t="str">
        <f t="shared" si="133"/>
        <v/>
      </c>
      <c r="G1721" t="str">
        <f t="shared" si="134"/>
        <v/>
      </c>
    </row>
    <row r="1722" spans="1:7" x14ac:dyDescent="0.4">
      <c r="A1722" t="str">
        <f t="shared" si="130"/>
        <v/>
      </c>
      <c r="B1722" t="str">
        <f t="shared" si="131"/>
        <v/>
      </c>
      <c r="C1722" t="str">
        <f t="shared" si="132"/>
        <v/>
      </c>
      <c r="D1722" t="str">
        <f>IF(E1722="","",IF(COUNTIF($E$2:E1722,E1722)&gt;1,"",SUMIFS(tbl_input[필요수량],tbl_input[집계키_지청],E1722)))</f>
        <v/>
      </c>
      <c r="E1722" t="str">
        <f>IFERROR(INDEX(tbl_input[집계키_지청],ROW()-1),"")</f>
        <v/>
      </c>
      <c r="F1722" t="str">
        <f t="shared" si="133"/>
        <v/>
      </c>
      <c r="G1722" t="str">
        <f t="shared" si="134"/>
        <v/>
      </c>
    </row>
    <row r="1723" spans="1:7" x14ac:dyDescent="0.4">
      <c r="A1723" t="str">
        <f t="shared" si="130"/>
        <v/>
      </c>
      <c r="B1723" t="str">
        <f t="shared" si="131"/>
        <v/>
      </c>
      <c r="C1723" t="str">
        <f t="shared" si="132"/>
        <v/>
      </c>
      <c r="D1723" t="str">
        <f>IF(E1723="","",IF(COUNTIF($E$2:E1723,E1723)&gt;1,"",SUMIFS(tbl_input[필요수량],tbl_input[집계키_지청],E1723)))</f>
        <v/>
      </c>
      <c r="E1723" t="str">
        <f>IFERROR(INDEX(tbl_input[집계키_지청],ROW()-1),"")</f>
        <v/>
      </c>
      <c r="F1723" t="str">
        <f t="shared" si="133"/>
        <v/>
      </c>
      <c r="G1723" t="str">
        <f t="shared" si="134"/>
        <v/>
      </c>
    </row>
    <row r="1724" spans="1:7" x14ac:dyDescent="0.4">
      <c r="A1724" t="str">
        <f t="shared" si="130"/>
        <v/>
      </c>
      <c r="B1724" t="str">
        <f t="shared" si="131"/>
        <v/>
      </c>
      <c r="C1724" t="str">
        <f t="shared" si="132"/>
        <v/>
      </c>
      <c r="D1724" t="str">
        <f>IF(E1724="","",IF(COUNTIF($E$2:E1724,E1724)&gt;1,"",SUMIFS(tbl_input[필요수량],tbl_input[집계키_지청],E1724)))</f>
        <v/>
      </c>
      <c r="E1724" t="str">
        <f>IFERROR(INDEX(tbl_input[집계키_지청],ROW()-1),"")</f>
        <v/>
      </c>
      <c r="F1724" t="str">
        <f t="shared" si="133"/>
        <v/>
      </c>
      <c r="G1724" t="str">
        <f t="shared" si="134"/>
        <v/>
      </c>
    </row>
    <row r="1725" spans="1:7" x14ac:dyDescent="0.4">
      <c r="A1725" t="str">
        <f t="shared" si="130"/>
        <v/>
      </c>
      <c r="B1725" t="str">
        <f t="shared" si="131"/>
        <v/>
      </c>
      <c r="C1725" t="str">
        <f t="shared" si="132"/>
        <v/>
      </c>
      <c r="D1725" t="str">
        <f>IF(E1725="","",IF(COUNTIF($E$2:E1725,E1725)&gt;1,"",SUMIFS(tbl_input[필요수량],tbl_input[집계키_지청],E1725)))</f>
        <v/>
      </c>
      <c r="E1725" t="str">
        <f>IFERROR(INDEX(tbl_input[집계키_지청],ROW()-1),"")</f>
        <v/>
      </c>
      <c r="F1725" t="str">
        <f t="shared" si="133"/>
        <v/>
      </c>
      <c r="G1725" t="str">
        <f t="shared" si="134"/>
        <v/>
      </c>
    </row>
    <row r="1726" spans="1:7" x14ac:dyDescent="0.4">
      <c r="A1726" t="str">
        <f t="shared" si="130"/>
        <v/>
      </c>
      <c r="B1726" t="str">
        <f t="shared" si="131"/>
        <v/>
      </c>
      <c r="C1726" t="str">
        <f t="shared" si="132"/>
        <v/>
      </c>
      <c r="D1726" t="str">
        <f>IF(E1726="","",IF(COUNTIF($E$2:E1726,E1726)&gt;1,"",SUMIFS(tbl_input[필요수량],tbl_input[집계키_지청],E1726)))</f>
        <v/>
      </c>
      <c r="E1726" t="str">
        <f>IFERROR(INDEX(tbl_input[집계키_지청],ROW()-1),"")</f>
        <v/>
      </c>
      <c r="F1726" t="str">
        <f t="shared" si="133"/>
        <v/>
      </c>
      <c r="G1726" t="str">
        <f t="shared" si="134"/>
        <v/>
      </c>
    </row>
    <row r="1727" spans="1:7" x14ac:dyDescent="0.4">
      <c r="A1727" t="str">
        <f t="shared" si="130"/>
        <v/>
      </c>
      <c r="B1727" t="str">
        <f t="shared" si="131"/>
        <v/>
      </c>
      <c r="C1727" t="str">
        <f t="shared" si="132"/>
        <v/>
      </c>
      <c r="D1727" t="str">
        <f>IF(E1727="","",IF(COUNTIF($E$2:E1727,E1727)&gt;1,"",SUMIFS(tbl_input[필요수량],tbl_input[집계키_지청],E1727)))</f>
        <v/>
      </c>
      <c r="E1727" t="str">
        <f>IFERROR(INDEX(tbl_input[집계키_지청],ROW()-1),"")</f>
        <v/>
      </c>
      <c r="F1727" t="str">
        <f t="shared" si="133"/>
        <v/>
      </c>
      <c r="G1727" t="str">
        <f t="shared" si="134"/>
        <v/>
      </c>
    </row>
    <row r="1728" spans="1:7" x14ac:dyDescent="0.4">
      <c r="A1728" t="str">
        <f t="shared" si="130"/>
        <v/>
      </c>
      <c r="B1728" t="str">
        <f t="shared" si="131"/>
        <v/>
      </c>
      <c r="C1728" t="str">
        <f t="shared" si="132"/>
        <v/>
      </c>
      <c r="D1728" t="str">
        <f>IF(E1728="","",IF(COUNTIF($E$2:E1728,E1728)&gt;1,"",SUMIFS(tbl_input[필요수량],tbl_input[집계키_지청],E1728)))</f>
        <v/>
      </c>
      <c r="E1728" t="str">
        <f>IFERROR(INDEX(tbl_input[집계키_지청],ROW()-1),"")</f>
        <v/>
      </c>
      <c r="F1728" t="str">
        <f t="shared" si="133"/>
        <v/>
      </c>
      <c r="G1728" t="str">
        <f t="shared" si="134"/>
        <v/>
      </c>
    </row>
    <row r="1729" spans="1:7" x14ac:dyDescent="0.4">
      <c r="A1729" t="str">
        <f t="shared" si="130"/>
        <v/>
      </c>
      <c r="B1729" t="str">
        <f t="shared" si="131"/>
        <v/>
      </c>
      <c r="C1729" t="str">
        <f t="shared" si="132"/>
        <v/>
      </c>
      <c r="D1729" t="str">
        <f>IF(E1729="","",IF(COUNTIF($E$2:E1729,E1729)&gt;1,"",SUMIFS(tbl_input[필요수량],tbl_input[집계키_지청],E1729)))</f>
        <v/>
      </c>
      <c r="E1729" t="str">
        <f>IFERROR(INDEX(tbl_input[집계키_지청],ROW()-1),"")</f>
        <v/>
      </c>
      <c r="F1729" t="str">
        <f t="shared" si="133"/>
        <v/>
      </c>
      <c r="G1729" t="str">
        <f t="shared" si="134"/>
        <v/>
      </c>
    </row>
    <row r="1730" spans="1:7" x14ac:dyDescent="0.4">
      <c r="A1730" t="str">
        <f t="shared" ref="A1730:A1793" si="135">IF(E1730="","",LEFT(E1730,F1730-1))</f>
        <v/>
      </c>
      <c r="B1730" t="str">
        <f t="shared" ref="B1730:B1793" si="136">IF(E1730="","",MID(E1730,F1730+1,G1730-F1730-1))</f>
        <v/>
      </c>
      <c r="C1730" t="str">
        <f t="shared" ref="C1730:C1793" si="137">IF(E1730="","",MID(E1730,G1730+1,999))</f>
        <v/>
      </c>
      <c r="D1730" t="str">
        <f>IF(E1730="","",IF(COUNTIF($E$2:E1730,E1730)&gt;1,"",SUMIFS(tbl_input[필요수량],tbl_input[집계키_지청],E1730)))</f>
        <v/>
      </c>
      <c r="E1730" t="str">
        <f>IFERROR(INDEX(tbl_input[집계키_지청],ROW()-1),"")</f>
        <v/>
      </c>
      <c r="F1730" t="str">
        <f t="shared" ref="F1730:F1793" si="138">IF(E1730="","",FIND("♦",E1730))</f>
        <v/>
      </c>
      <c r="G1730" t="str">
        <f t="shared" ref="G1730:G1793" si="139">IF(E1730="","",FIND("♦",E1730,F1730+1))</f>
        <v/>
      </c>
    </row>
    <row r="1731" spans="1:7" x14ac:dyDescent="0.4">
      <c r="A1731" t="str">
        <f t="shared" si="135"/>
        <v/>
      </c>
      <c r="B1731" t="str">
        <f t="shared" si="136"/>
        <v/>
      </c>
      <c r="C1731" t="str">
        <f t="shared" si="137"/>
        <v/>
      </c>
      <c r="D1731" t="str">
        <f>IF(E1731="","",IF(COUNTIF($E$2:E1731,E1731)&gt;1,"",SUMIFS(tbl_input[필요수량],tbl_input[집계키_지청],E1731)))</f>
        <v/>
      </c>
      <c r="E1731" t="str">
        <f>IFERROR(INDEX(tbl_input[집계키_지청],ROW()-1),"")</f>
        <v/>
      </c>
      <c r="F1731" t="str">
        <f t="shared" si="138"/>
        <v/>
      </c>
      <c r="G1731" t="str">
        <f t="shared" si="139"/>
        <v/>
      </c>
    </row>
    <row r="1732" spans="1:7" x14ac:dyDescent="0.4">
      <c r="A1732" t="str">
        <f t="shared" si="135"/>
        <v/>
      </c>
      <c r="B1732" t="str">
        <f t="shared" si="136"/>
        <v/>
      </c>
      <c r="C1732" t="str">
        <f t="shared" si="137"/>
        <v/>
      </c>
      <c r="D1732" t="str">
        <f>IF(E1732="","",IF(COUNTIF($E$2:E1732,E1732)&gt;1,"",SUMIFS(tbl_input[필요수량],tbl_input[집계키_지청],E1732)))</f>
        <v/>
      </c>
      <c r="E1732" t="str">
        <f>IFERROR(INDEX(tbl_input[집계키_지청],ROW()-1),"")</f>
        <v/>
      </c>
      <c r="F1732" t="str">
        <f t="shared" si="138"/>
        <v/>
      </c>
      <c r="G1732" t="str">
        <f t="shared" si="139"/>
        <v/>
      </c>
    </row>
    <row r="1733" spans="1:7" x14ac:dyDescent="0.4">
      <c r="A1733" t="str">
        <f t="shared" si="135"/>
        <v/>
      </c>
      <c r="B1733" t="str">
        <f t="shared" si="136"/>
        <v/>
      </c>
      <c r="C1733" t="str">
        <f t="shared" si="137"/>
        <v/>
      </c>
      <c r="D1733" t="str">
        <f>IF(E1733="","",IF(COUNTIF($E$2:E1733,E1733)&gt;1,"",SUMIFS(tbl_input[필요수량],tbl_input[집계키_지청],E1733)))</f>
        <v/>
      </c>
      <c r="E1733" t="str">
        <f>IFERROR(INDEX(tbl_input[집계키_지청],ROW()-1),"")</f>
        <v/>
      </c>
      <c r="F1733" t="str">
        <f t="shared" si="138"/>
        <v/>
      </c>
      <c r="G1733" t="str">
        <f t="shared" si="139"/>
        <v/>
      </c>
    </row>
    <row r="1734" spans="1:7" x14ac:dyDescent="0.4">
      <c r="A1734" t="str">
        <f t="shared" si="135"/>
        <v/>
      </c>
      <c r="B1734" t="str">
        <f t="shared" si="136"/>
        <v/>
      </c>
      <c r="C1734" t="str">
        <f t="shared" si="137"/>
        <v/>
      </c>
      <c r="D1734" t="str">
        <f>IF(E1734="","",IF(COUNTIF($E$2:E1734,E1734)&gt;1,"",SUMIFS(tbl_input[필요수량],tbl_input[집계키_지청],E1734)))</f>
        <v/>
      </c>
      <c r="E1734" t="str">
        <f>IFERROR(INDEX(tbl_input[집계키_지청],ROW()-1),"")</f>
        <v/>
      </c>
      <c r="F1734" t="str">
        <f t="shared" si="138"/>
        <v/>
      </c>
      <c r="G1734" t="str">
        <f t="shared" si="139"/>
        <v/>
      </c>
    </row>
    <row r="1735" spans="1:7" x14ac:dyDescent="0.4">
      <c r="A1735" t="str">
        <f t="shared" si="135"/>
        <v/>
      </c>
      <c r="B1735" t="str">
        <f t="shared" si="136"/>
        <v/>
      </c>
      <c r="C1735" t="str">
        <f t="shared" si="137"/>
        <v/>
      </c>
      <c r="D1735" t="str">
        <f>IF(E1735="","",IF(COUNTIF($E$2:E1735,E1735)&gt;1,"",SUMIFS(tbl_input[필요수량],tbl_input[집계키_지청],E1735)))</f>
        <v/>
      </c>
      <c r="E1735" t="str">
        <f>IFERROR(INDEX(tbl_input[집계키_지청],ROW()-1),"")</f>
        <v/>
      </c>
      <c r="F1735" t="str">
        <f t="shared" si="138"/>
        <v/>
      </c>
      <c r="G1735" t="str">
        <f t="shared" si="139"/>
        <v/>
      </c>
    </row>
    <row r="1736" spans="1:7" x14ac:dyDescent="0.4">
      <c r="A1736" t="str">
        <f t="shared" si="135"/>
        <v/>
      </c>
      <c r="B1736" t="str">
        <f t="shared" si="136"/>
        <v/>
      </c>
      <c r="C1736" t="str">
        <f t="shared" si="137"/>
        <v/>
      </c>
      <c r="D1736" t="str">
        <f>IF(E1736="","",IF(COUNTIF($E$2:E1736,E1736)&gt;1,"",SUMIFS(tbl_input[필요수량],tbl_input[집계키_지청],E1736)))</f>
        <v/>
      </c>
      <c r="E1736" t="str">
        <f>IFERROR(INDEX(tbl_input[집계키_지청],ROW()-1),"")</f>
        <v/>
      </c>
      <c r="F1736" t="str">
        <f t="shared" si="138"/>
        <v/>
      </c>
      <c r="G1736" t="str">
        <f t="shared" si="139"/>
        <v/>
      </c>
    </row>
    <row r="1737" spans="1:7" x14ac:dyDescent="0.4">
      <c r="A1737" t="str">
        <f t="shared" si="135"/>
        <v/>
      </c>
      <c r="B1737" t="str">
        <f t="shared" si="136"/>
        <v/>
      </c>
      <c r="C1737" t="str">
        <f t="shared" si="137"/>
        <v/>
      </c>
      <c r="D1737" t="str">
        <f>IF(E1737="","",IF(COUNTIF($E$2:E1737,E1737)&gt;1,"",SUMIFS(tbl_input[필요수량],tbl_input[집계키_지청],E1737)))</f>
        <v/>
      </c>
      <c r="E1737" t="str">
        <f>IFERROR(INDEX(tbl_input[집계키_지청],ROW()-1),"")</f>
        <v/>
      </c>
      <c r="F1737" t="str">
        <f t="shared" si="138"/>
        <v/>
      </c>
      <c r="G1737" t="str">
        <f t="shared" si="139"/>
        <v/>
      </c>
    </row>
    <row r="1738" spans="1:7" x14ac:dyDescent="0.4">
      <c r="A1738" t="str">
        <f t="shared" si="135"/>
        <v/>
      </c>
      <c r="B1738" t="str">
        <f t="shared" si="136"/>
        <v/>
      </c>
      <c r="C1738" t="str">
        <f t="shared" si="137"/>
        <v/>
      </c>
      <c r="D1738" t="str">
        <f>IF(E1738="","",IF(COUNTIF($E$2:E1738,E1738)&gt;1,"",SUMIFS(tbl_input[필요수량],tbl_input[집계키_지청],E1738)))</f>
        <v/>
      </c>
      <c r="E1738" t="str">
        <f>IFERROR(INDEX(tbl_input[집계키_지청],ROW()-1),"")</f>
        <v/>
      </c>
      <c r="F1738" t="str">
        <f t="shared" si="138"/>
        <v/>
      </c>
      <c r="G1738" t="str">
        <f t="shared" si="139"/>
        <v/>
      </c>
    </row>
    <row r="1739" spans="1:7" x14ac:dyDescent="0.4">
      <c r="A1739" t="str">
        <f t="shared" si="135"/>
        <v/>
      </c>
      <c r="B1739" t="str">
        <f t="shared" si="136"/>
        <v/>
      </c>
      <c r="C1739" t="str">
        <f t="shared" si="137"/>
        <v/>
      </c>
      <c r="D1739" t="str">
        <f>IF(E1739="","",IF(COUNTIF($E$2:E1739,E1739)&gt;1,"",SUMIFS(tbl_input[필요수량],tbl_input[집계키_지청],E1739)))</f>
        <v/>
      </c>
      <c r="E1739" t="str">
        <f>IFERROR(INDEX(tbl_input[집계키_지청],ROW()-1),"")</f>
        <v/>
      </c>
      <c r="F1739" t="str">
        <f t="shared" si="138"/>
        <v/>
      </c>
      <c r="G1739" t="str">
        <f t="shared" si="139"/>
        <v/>
      </c>
    </row>
    <row r="1740" spans="1:7" x14ac:dyDescent="0.4">
      <c r="A1740" t="str">
        <f t="shared" si="135"/>
        <v/>
      </c>
      <c r="B1740" t="str">
        <f t="shared" si="136"/>
        <v/>
      </c>
      <c r="C1740" t="str">
        <f t="shared" si="137"/>
        <v/>
      </c>
      <c r="D1740" t="str">
        <f>IF(E1740="","",IF(COUNTIF($E$2:E1740,E1740)&gt;1,"",SUMIFS(tbl_input[필요수량],tbl_input[집계키_지청],E1740)))</f>
        <v/>
      </c>
      <c r="E1740" t="str">
        <f>IFERROR(INDEX(tbl_input[집계키_지청],ROW()-1),"")</f>
        <v/>
      </c>
      <c r="F1740" t="str">
        <f t="shared" si="138"/>
        <v/>
      </c>
      <c r="G1740" t="str">
        <f t="shared" si="139"/>
        <v/>
      </c>
    </row>
    <row r="1741" spans="1:7" x14ac:dyDescent="0.4">
      <c r="A1741" t="str">
        <f t="shared" si="135"/>
        <v/>
      </c>
      <c r="B1741" t="str">
        <f t="shared" si="136"/>
        <v/>
      </c>
      <c r="C1741" t="str">
        <f t="shared" si="137"/>
        <v/>
      </c>
      <c r="D1741" t="str">
        <f>IF(E1741="","",IF(COUNTIF($E$2:E1741,E1741)&gt;1,"",SUMIFS(tbl_input[필요수량],tbl_input[집계키_지청],E1741)))</f>
        <v/>
      </c>
      <c r="E1741" t="str">
        <f>IFERROR(INDEX(tbl_input[집계키_지청],ROW()-1),"")</f>
        <v/>
      </c>
      <c r="F1741" t="str">
        <f t="shared" si="138"/>
        <v/>
      </c>
      <c r="G1741" t="str">
        <f t="shared" si="139"/>
        <v/>
      </c>
    </row>
    <row r="1742" spans="1:7" x14ac:dyDescent="0.4">
      <c r="A1742" t="str">
        <f t="shared" si="135"/>
        <v/>
      </c>
      <c r="B1742" t="str">
        <f t="shared" si="136"/>
        <v/>
      </c>
      <c r="C1742" t="str">
        <f t="shared" si="137"/>
        <v/>
      </c>
      <c r="D1742" t="str">
        <f>IF(E1742="","",IF(COUNTIF($E$2:E1742,E1742)&gt;1,"",SUMIFS(tbl_input[필요수량],tbl_input[집계키_지청],E1742)))</f>
        <v/>
      </c>
      <c r="E1742" t="str">
        <f>IFERROR(INDEX(tbl_input[집계키_지청],ROW()-1),"")</f>
        <v/>
      </c>
      <c r="F1742" t="str">
        <f t="shared" si="138"/>
        <v/>
      </c>
      <c r="G1742" t="str">
        <f t="shared" si="139"/>
        <v/>
      </c>
    </row>
    <row r="1743" spans="1:7" x14ac:dyDescent="0.4">
      <c r="A1743" t="str">
        <f t="shared" si="135"/>
        <v/>
      </c>
      <c r="B1743" t="str">
        <f t="shared" si="136"/>
        <v/>
      </c>
      <c r="C1743" t="str">
        <f t="shared" si="137"/>
        <v/>
      </c>
      <c r="D1743" t="str">
        <f>IF(E1743="","",IF(COUNTIF($E$2:E1743,E1743)&gt;1,"",SUMIFS(tbl_input[필요수량],tbl_input[집계키_지청],E1743)))</f>
        <v/>
      </c>
      <c r="E1743" t="str">
        <f>IFERROR(INDEX(tbl_input[집계키_지청],ROW()-1),"")</f>
        <v/>
      </c>
      <c r="F1743" t="str">
        <f t="shared" si="138"/>
        <v/>
      </c>
      <c r="G1743" t="str">
        <f t="shared" si="139"/>
        <v/>
      </c>
    </row>
    <row r="1744" spans="1:7" x14ac:dyDescent="0.4">
      <c r="A1744" t="str">
        <f t="shared" si="135"/>
        <v/>
      </c>
      <c r="B1744" t="str">
        <f t="shared" si="136"/>
        <v/>
      </c>
      <c r="C1744" t="str">
        <f t="shared" si="137"/>
        <v/>
      </c>
      <c r="D1744" t="str">
        <f>IF(E1744="","",IF(COUNTIF($E$2:E1744,E1744)&gt;1,"",SUMIFS(tbl_input[필요수량],tbl_input[집계키_지청],E1744)))</f>
        <v/>
      </c>
      <c r="E1744" t="str">
        <f>IFERROR(INDEX(tbl_input[집계키_지청],ROW()-1),"")</f>
        <v/>
      </c>
      <c r="F1744" t="str">
        <f t="shared" si="138"/>
        <v/>
      </c>
      <c r="G1744" t="str">
        <f t="shared" si="139"/>
        <v/>
      </c>
    </row>
    <row r="1745" spans="1:7" x14ac:dyDescent="0.4">
      <c r="A1745" t="str">
        <f t="shared" si="135"/>
        <v/>
      </c>
      <c r="B1745" t="str">
        <f t="shared" si="136"/>
        <v/>
      </c>
      <c r="C1745" t="str">
        <f t="shared" si="137"/>
        <v/>
      </c>
      <c r="D1745" t="str">
        <f>IF(E1745="","",IF(COUNTIF($E$2:E1745,E1745)&gt;1,"",SUMIFS(tbl_input[필요수량],tbl_input[집계키_지청],E1745)))</f>
        <v/>
      </c>
      <c r="E1745" t="str">
        <f>IFERROR(INDEX(tbl_input[집계키_지청],ROW()-1),"")</f>
        <v/>
      </c>
      <c r="F1745" t="str">
        <f t="shared" si="138"/>
        <v/>
      </c>
      <c r="G1745" t="str">
        <f t="shared" si="139"/>
        <v/>
      </c>
    </row>
    <row r="1746" spans="1:7" x14ac:dyDescent="0.4">
      <c r="A1746" t="str">
        <f t="shared" si="135"/>
        <v/>
      </c>
      <c r="B1746" t="str">
        <f t="shared" si="136"/>
        <v/>
      </c>
      <c r="C1746" t="str">
        <f t="shared" si="137"/>
        <v/>
      </c>
      <c r="D1746" t="str">
        <f>IF(E1746="","",IF(COUNTIF($E$2:E1746,E1746)&gt;1,"",SUMIFS(tbl_input[필요수량],tbl_input[집계키_지청],E1746)))</f>
        <v/>
      </c>
      <c r="E1746" t="str">
        <f>IFERROR(INDEX(tbl_input[집계키_지청],ROW()-1),"")</f>
        <v/>
      </c>
      <c r="F1746" t="str">
        <f t="shared" si="138"/>
        <v/>
      </c>
      <c r="G1746" t="str">
        <f t="shared" si="139"/>
        <v/>
      </c>
    </row>
    <row r="1747" spans="1:7" x14ac:dyDescent="0.4">
      <c r="A1747" t="str">
        <f t="shared" si="135"/>
        <v/>
      </c>
      <c r="B1747" t="str">
        <f t="shared" si="136"/>
        <v/>
      </c>
      <c r="C1747" t="str">
        <f t="shared" si="137"/>
        <v/>
      </c>
      <c r="D1747" t="str">
        <f>IF(E1747="","",IF(COUNTIF($E$2:E1747,E1747)&gt;1,"",SUMIFS(tbl_input[필요수량],tbl_input[집계키_지청],E1747)))</f>
        <v/>
      </c>
      <c r="E1747" t="str">
        <f>IFERROR(INDEX(tbl_input[집계키_지청],ROW()-1),"")</f>
        <v/>
      </c>
      <c r="F1747" t="str">
        <f t="shared" si="138"/>
        <v/>
      </c>
      <c r="G1747" t="str">
        <f t="shared" si="139"/>
        <v/>
      </c>
    </row>
    <row r="1748" spans="1:7" x14ac:dyDescent="0.4">
      <c r="A1748" t="str">
        <f t="shared" si="135"/>
        <v/>
      </c>
      <c r="B1748" t="str">
        <f t="shared" si="136"/>
        <v/>
      </c>
      <c r="C1748" t="str">
        <f t="shared" si="137"/>
        <v/>
      </c>
      <c r="D1748" t="str">
        <f>IF(E1748="","",IF(COUNTIF($E$2:E1748,E1748)&gt;1,"",SUMIFS(tbl_input[필요수량],tbl_input[집계키_지청],E1748)))</f>
        <v/>
      </c>
      <c r="E1748" t="str">
        <f>IFERROR(INDEX(tbl_input[집계키_지청],ROW()-1),"")</f>
        <v/>
      </c>
      <c r="F1748" t="str">
        <f t="shared" si="138"/>
        <v/>
      </c>
      <c r="G1748" t="str">
        <f t="shared" si="139"/>
        <v/>
      </c>
    </row>
    <row r="1749" spans="1:7" x14ac:dyDescent="0.4">
      <c r="A1749" t="str">
        <f t="shared" si="135"/>
        <v/>
      </c>
      <c r="B1749" t="str">
        <f t="shared" si="136"/>
        <v/>
      </c>
      <c r="C1749" t="str">
        <f t="shared" si="137"/>
        <v/>
      </c>
      <c r="D1749" t="str">
        <f>IF(E1749="","",IF(COUNTIF($E$2:E1749,E1749)&gt;1,"",SUMIFS(tbl_input[필요수량],tbl_input[집계키_지청],E1749)))</f>
        <v/>
      </c>
      <c r="E1749" t="str">
        <f>IFERROR(INDEX(tbl_input[집계키_지청],ROW()-1),"")</f>
        <v/>
      </c>
      <c r="F1749" t="str">
        <f t="shared" si="138"/>
        <v/>
      </c>
      <c r="G1749" t="str">
        <f t="shared" si="139"/>
        <v/>
      </c>
    </row>
    <row r="1750" spans="1:7" x14ac:dyDescent="0.4">
      <c r="A1750" t="str">
        <f t="shared" si="135"/>
        <v/>
      </c>
      <c r="B1750" t="str">
        <f t="shared" si="136"/>
        <v/>
      </c>
      <c r="C1750" t="str">
        <f t="shared" si="137"/>
        <v/>
      </c>
      <c r="D1750" t="str">
        <f>IF(E1750="","",IF(COUNTIF($E$2:E1750,E1750)&gt;1,"",SUMIFS(tbl_input[필요수량],tbl_input[집계키_지청],E1750)))</f>
        <v/>
      </c>
      <c r="E1750" t="str">
        <f>IFERROR(INDEX(tbl_input[집계키_지청],ROW()-1),"")</f>
        <v/>
      </c>
      <c r="F1750" t="str">
        <f t="shared" si="138"/>
        <v/>
      </c>
      <c r="G1750" t="str">
        <f t="shared" si="139"/>
        <v/>
      </c>
    </row>
    <row r="1751" spans="1:7" x14ac:dyDescent="0.4">
      <c r="A1751" t="str">
        <f t="shared" si="135"/>
        <v/>
      </c>
      <c r="B1751" t="str">
        <f t="shared" si="136"/>
        <v/>
      </c>
      <c r="C1751" t="str">
        <f t="shared" si="137"/>
        <v/>
      </c>
      <c r="D1751" t="str">
        <f>IF(E1751="","",IF(COUNTIF($E$2:E1751,E1751)&gt;1,"",SUMIFS(tbl_input[필요수량],tbl_input[집계키_지청],E1751)))</f>
        <v/>
      </c>
      <c r="E1751" t="str">
        <f>IFERROR(INDEX(tbl_input[집계키_지청],ROW()-1),"")</f>
        <v/>
      </c>
      <c r="F1751" t="str">
        <f t="shared" si="138"/>
        <v/>
      </c>
      <c r="G1751" t="str">
        <f t="shared" si="139"/>
        <v/>
      </c>
    </row>
    <row r="1752" spans="1:7" x14ac:dyDescent="0.4">
      <c r="A1752" t="str">
        <f t="shared" si="135"/>
        <v/>
      </c>
      <c r="B1752" t="str">
        <f t="shared" si="136"/>
        <v/>
      </c>
      <c r="C1752" t="str">
        <f t="shared" si="137"/>
        <v/>
      </c>
      <c r="D1752" t="str">
        <f>IF(E1752="","",IF(COUNTIF($E$2:E1752,E1752)&gt;1,"",SUMIFS(tbl_input[필요수량],tbl_input[집계키_지청],E1752)))</f>
        <v/>
      </c>
      <c r="E1752" t="str">
        <f>IFERROR(INDEX(tbl_input[집계키_지청],ROW()-1),"")</f>
        <v/>
      </c>
      <c r="F1752" t="str">
        <f t="shared" si="138"/>
        <v/>
      </c>
      <c r="G1752" t="str">
        <f t="shared" si="139"/>
        <v/>
      </c>
    </row>
    <row r="1753" spans="1:7" x14ac:dyDescent="0.4">
      <c r="A1753" t="str">
        <f t="shared" si="135"/>
        <v/>
      </c>
      <c r="B1753" t="str">
        <f t="shared" si="136"/>
        <v/>
      </c>
      <c r="C1753" t="str">
        <f t="shared" si="137"/>
        <v/>
      </c>
      <c r="D1753" t="str">
        <f>IF(E1753="","",IF(COUNTIF($E$2:E1753,E1753)&gt;1,"",SUMIFS(tbl_input[필요수량],tbl_input[집계키_지청],E1753)))</f>
        <v/>
      </c>
      <c r="E1753" t="str">
        <f>IFERROR(INDEX(tbl_input[집계키_지청],ROW()-1),"")</f>
        <v/>
      </c>
      <c r="F1753" t="str">
        <f t="shared" si="138"/>
        <v/>
      </c>
      <c r="G1753" t="str">
        <f t="shared" si="139"/>
        <v/>
      </c>
    </row>
    <row r="1754" spans="1:7" x14ac:dyDescent="0.4">
      <c r="A1754" t="str">
        <f t="shared" si="135"/>
        <v/>
      </c>
      <c r="B1754" t="str">
        <f t="shared" si="136"/>
        <v/>
      </c>
      <c r="C1754" t="str">
        <f t="shared" si="137"/>
        <v/>
      </c>
      <c r="D1754" t="str">
        <f>IF(E1754="","",IF(COUNTIF($E$2:E1754,E1754)&gt;1,"",SUMIFS(tbl_input[필요수량],tbl_input[집계키_지청],E1754)))</f>
        <v/>
      </c>
      <c r="E1754" t="str">
        <f>IFERROR(INDEX(tbl_input[집계키_지청],ROW()-1),"")</f>
        <v/>
      </c>
      <c r="F1754" t="str">
        <f t="shared" si="138"/>
        <v/>
      </c>
      <c r="G1754" t="str">
        <f t="shared" si="139"/>
        <v/>
      </c>
    </row>
    <row r="1755" spans="1:7" x14ac:dyDescent="0.4">
      <c r="A1755" t="str">
        <f t="shared" si="135"/>
        <v/>
      </c>
      <c r="B1755" t="str">
        <f t="shared" si="136"/>
        <v/>
      </c>
      <c r="C1755" t="str">
        <f t="shared" si="137"/>
        <v/>
      </c>
      <c r="D1755" t="str">
        <f>IF(E1755="","",IF(COUNTIF($E$2:E1755,E1755)&gt;1,"",SUMIFS(tbl_input[필요수량],tbl_input[집계키_지청],E1755)))</f>
        <v/>
      </c>
      <c r="E1755" t="str">
        <f>IFERROR(INDEX(tbl_input[집계키_지청],ROW()-1),"")</f>
        <v/>
      </c>
      <c r="F1755" t="str">
        <f t="shared" si="138"/>
        <v/>
      </c>
      <c r="G1755" t="str">
        <f t="shared" si="139"/>
        <v/>
      </c>
    </row>
    <row r="1756" spans="1:7" x14ac:dyDescent="0.4">
      <c r="A1756" t="str">
        <f t="shared" si="135"/>
        <v/>
      </c>
      <c r="B1756" t="str">
        <f t="shared" si="136"/>
        <v/>
      </c>
      <c r="C1756" t="str">
        <f t="shared" si="137"/>
        <v/>
      </c>
      <c r="D1756" t="str">
        <f>IF(E1756="","",IF(COUNTIF($E$2:E1756,E1756)&gt;1,"",SUMIFS(tbl_input[필요수량],tbl_input[집계키_지청],E1756)))</f>
        <v/>
      </c>
      <c r="E1756" t="str">
        <f>IFERROR(INDEX(tbl_input[집계키_지청],ROW()-1),"")</f>
        <v/>
      </c>
      <c r="F1756" t="str">
        <f t="shared" si="138"/>
        <v/>
      </c>
      <c r="G1756" t="str">
        <f t="shared" si="139"/>
        <v/>
      </c>
    </row>
    <row r="1757" spans="1:7" x14ac:dyDescent="0.4">
      <c r="A1757" t="str">
        <f t="shared" si="135"/>
        <v/>
      </c>
      <c r="B1757" t="str">
        <f t="shared" si="136"/>
        <v/>
      </c>
      <c r="C1757" t="str">
        <f t="shared" si="137"/>
        <v/>
      </c>
      <c r="D1757" t="str">
        <f>IF(E1757="","",IF(COUNTIF($E$2:E1757,E1757)&gt;1,"",SUMIFS(tbl_input[필요수량],tbl_input[집계키_지청],E1757)))</f>
        <v/>
      </c>
      <c r="E1757" t="str">
        <f>IFERROR(INDEX(tbl_input[집계키_지청],ROW()-1),"")</f>
        <v/>
      </c>
      <c r="F1757" t="str">
        <f t="shared" si="138"/>
        <v/>
      </c>
      <c r="G1757" t="str">
        <f t="shared" si="139"/>
        <v/>
      </c>
    </row>
    <row r="1758" spans="1:7" x14ac:dyDescent="0.4">
      <c r="A1758" t="str">
        <f t="shared" si="135"/>
        <v/>
      </c>
      <c r="B1758" t="str">
        <f t="shared" si="136"/>
        <v/>
      </c>
      <c r="C1758" t="str">
        <f t="shared" si="137"/>
        <v/>
      </c>
      <c r="D1758" t="str">
        <f>IF(E1758="","",IF(COUNTIF($E$2:E1758,E1758)&gt;1,"",SUMIFS(tbl_input[필요수량],tbl_input[집계키_지청],E1758)))</f>
        <v/>
      </c>
      <c r="E1758" t="str">
        <f>IFERROR(INDEX(tbl_input[집계키_지청],ROW()-1),"")</f>
        <v/>
      </c>
      <c r="F1758" t="str">
        <f t="shared" si="138"/>
        <v/>
      </c>
      <c r="G1758" t="str">
        <f t="shared" si="139"/>
        <v/>
      </c>
    </row>
    <row r="1759" spans="1:7" x14ac:dyDescent="0.4">
      <c r="A1759" t="str">
        <f t="shared" si="135"/>
        <v/>
      </c>
      <c r="B1759" t="str">
        <f t="shared" si="136"/>
        <v/>
      </c>
      <c r="C1759" t="str">
        <f t="shared" si="137"/>
        <v/>
      </c>
      <c r="D1759" t="str">
        <f>IF(E1759="","",IF(COUNTIF($E$2:E1759,E1759)&gt;1,"",SUMIFS(tbl_input[필요수량],tbl_input[집계키_지청],E1759)))</f>
        <v/>
      </c>
      <c r="E1759" t="str">
        <f>IFERROR(INDEX(tbl_input[집계키_지청],ROW()-1),"")</f>
        <v/>
      </c>
      <c r="F1759" t="str">
        <f t="shared" si="138"/>
        <v/>
      </c>
      <c r="G1759" t="str">
        <f t="shared" si="139"/>
        <v/>
      </c>
    </row>
    <row r="1760" spans="1:7" x14ac:dyDescent="0.4">
      <c r="A1760" t="str">
        <f t="shared" si="135"/>
        <v/>
      </c>
      <c r="B1760" t="str">
        <f t="shared" si="136"/>
        <v/>
      </c>
      <c r="C1760" t="str">
        <f t="shared" si="137"/>
        <v/>
      </c>
      <c r="D1760" t="str">
        <f>IF(E1760="","",IF(COUNTIF($E$2:E1760,E1760)&gt;1,"",SUMIFS(tbl_input[필요수량],tbl_input[집계키_지청],E1760)))</f>
        <v/>
      </c>
      <c r="E1760" t="str">
        <f>IFERROR(INDEX(tbl_input[집계키_지청],ROW()-1),"")</f>
        <v/>
      </c>
      <c r="F1760" t="str">
        <f t="shared" si="138"/>
        <v/>
      </c>
      <c r="G1760" t="str">
        <f t="shared" si="139"/>
        <v/>
      </c>
    </row>
    <row r="1761" spans="1:7" x14ac:dyDescent="0.4">
      <c r="A1761" t="str">
        <f t="shared" si="135"/>
        <v/>
      </c>
      <c r="B1761" t="str">
        <f t="shared" si="136"/>
        <v/>
      </c>
      <c r="C1761" t="str">
        <f t="shared" si="137"/>
        <v/>
      </c>
      <c r="D1761" t="str">
        <f>IF(E1761="","",IF(COUNTIF($E$2:E1761,E1761)&gt;1,"",SUMIFS(tbl_input[필요수량],tbl_input[집계키_지청],E1761)))</f>
        <v/>
      </c>
      <c r="E1761" t="str">
        <f>IFERROR(INDEX(tbl_input[집계키_지청],ROW()-1),"")</f>
        <v/>
      </c>
      <c r="F1761" t="str">
        <f t="shared" si="138"/>
        <v/>
      </c>
      <c r="G1761" t="str">
        <f t="shared" si="139"/>
        <v/>
      </c>
    </row>
    <row r="1762" spans="1:7" x14ac:dyDescent="0.4">
      <c r="A1762" t="str">
        <f t="shared" si="135"/>
        <v/>
      </c>
      <c r="B1762" t="str">
        <f t="shared" si="136"/>
        <v/>
      </c>
      <c r="C1762" t="str">
        <f t="shared" si="137"/>
        <v/>
      </c>
      <c r="D1762" t="str">
        <f>IF(E1762="","",IF(COUNTIF($E$2:E1762,E1762)&gt;1,"",SUMIFS(tbl_input[필요수량],tbl_input[집계키_지청],E1762)))</f>
        <v/>
      </c>
      <c r="E1762" t="str">
        <f>IFERROR(INDEX(tbl_input[집계키_지청],ROW()-1),"")</f>
        <v/>
      </c>
      <c r="F1762" t="str">
        <f t="shared" si="138"/>
        <v/>
      </c>
      <c r="G1762" t="str">
        <f t="shared" si="139"/>
        <v/>
      </c>
    </row>
    <row r="1763" spans="1:7" x14ac:dyDescent="0.4">
      <c r="A1763" t="str">
        <f t="shared" si="135"/>
        <v/>
      </c>
      <c r="B1763" t="str">
        <f t="shared" si="136"/>
        <v/>
      </c>
      <c r="C1763" t="str">
        <f t="shared" si="137"/>
        <v/>
      </c>
      <c r="D1763" t="str">
        <f>IF(E1763="","",IF(COUNTIF($E$2:E1763,E1763)&gt;1,"",SUMIFS(tbl_input[필요수량],tbl_input[집계키_지청],E1763)))</f>
        <v/>
      </c>
      <c r="E1763" t="str">
        <f>IFERROR(INDEX(tbl_input[집계키_지청],ROW()-1),"")</f>
        <v/>
      </c>
      <c r="F1763" t="str">
        <f t="shared" si="138"/>
        <v/>
      </c>
      <c r="G1763" t="str">
        <f t="shared" si="139"/>
        <v/>
      </c>
    </row>
    <row r="1764" spans="1:7" x14ac:dyDescent="0.4">
      <c r="A1764" t="str">
        <f t="shared" si="135"/>
        <v/>
      </c>
      <c r="B1764" t="str">
        <f t="shared" si="136"/>
        <v/>
      </c>
      <c r="C1764" t="str">
        <f t="shared" si="137"/>
        <v/>
      </c>
      <c r="D1764" t="str">
        <f>IF(E1764="","",IF(COUNTIF($E$2:E1764,E1764)&gt;1,"",SUMIFS(tbl_input[필요수량],tbl_input[집계키_지청],E1764)))</f>
        <v/>
      </c>
      <c r="E1764" t="str">
        <f>IFERROR(INDEX(tbl_input[집계키_지청],ROW()-1),"")</f>
        <v/>
      </c>
      <c r="F1764" t="str">
        <f t="shared" si="138"/>
        <v/>
      </c>
      <c r="G1764" t="str">
        <f t="shared" si="139"/>
        <v/>
      </c>
    </row>
    <row r="1765" spans="1:7" x14ac:dyDescent="0.4">
      <c r="A1765" t="str">
        <f t="shared" si="135"/>
        <v/>
      </c>
      <c r="B1765" t="str">
        <f t="shared" si="136"/>
        <v/>
      </c>
      <c r="C1765" t="str">
        <f t="shared" si="137"/>
        <v/>
      </c>
      <c r="D1765" t="str">
        <f>IF(E1765="","",IF(COUNTIF($E$2:E1765,E1765)&gt;1,"",SUMIFS(tbl_input[필요수량],tbl_input[집계키_지청],E1765)))</f>
        <v/>
      </c>
      <c r="E1765" t="str">
        <f>IFERROR(INDEX(tbl_input[집계키_지청],ROW()-1),"")</f>
        <v/>
      </c>
      <c r="F1765" t="str">
        <f t="shared" si="138"/>
        <v/>
      </c>
      <c r="G1765" t="str">
        <f t="shared" si="139"/>
        <v/>
      </c>
    </row>
    <row r="1766" spans="1:7" x14ac:dyDescent="0.4">
      <c r="A1766" t="str">
        <f t="shared" si="135"/>
        <v/>
      </c>
      <c r="B1766" t="str">
        <f t="shared" si="136"/>
        <v/>
      </c>
      <c r="C1766" t="str">
        <f t="shared" si="137"/>
        <v/>
      </c>
      <c r="D1766" t="str">
        <f>IF(E1766="","",IF(COUNTIF($E$2:E1766,E1766)&gt;1,"",SUMIFS(tbl_input[필요수량],tbl_input[집계키_지청],E1766)))</f>
        <v/>
      </c>
      <c r="E1766" t="str">
        <f>IFERROR(INDEX(tbl_input[집계키_지청],ROW()-1),"")</f>
        <v/>
      </c>
      <c r="F1766" t="str">
        <f t="shared" si="138"/>
        <v/>
      </c>
      <c r="G1766" t="str">
        <f t="shared" si="139"/>
        <v/>
      </c>
    </row>
    <row r="1767" spans="1:7" x14ac:dyDescent="0.4">
      <c r="A1767" t="str">
        <f t="shared" si="135"/>
        <v/>
      </c>
      <c r="B1767" t="str">
        <f t="shared" si="136"/>
        <v/>
      </c>
      <c r="C1767" t="str">
        <f t="shared" si="137"/>
        <v/>
      </c>
      <c r="D1767" t="str">
        <f>IF(E1767="","",IF(COUNTIF($E$2:E1767,E1767)&gt;1,"",SUMIFS(tbl_input[필요수량],tbl_input[집계키_지청],E1767)))</f>
        <v/>
      </c>
      <c r="E1767" t="str">
        <f>IFERROR(INDEX(tbl_input[집계키_지청],ROW()-1),"")</f>
        <v/>
      </c>
      <c r="F1767" t="str">
        <f t="shared" si="138"/>
        <v/>
      </c>
      <c r="G1767" t="str">
        <f t="shared" si="139"/>
        <v/>
      </c>
    </row>
    <row r="1768" spans="1:7" x14ac:dyDescent="0.4">
      <c r="A1768" t="str">
        <f t="shared" si="135"/>
        <v/>
      </c>
      <c r="B1768" t="str">
        <f t="shared" si="136"/>
        <v/>
      </c>
      <c r="C1768" t="str">
        <f t="shared" si="137"/>
        <v/>
      </c>
      <c r="D1768" t="str">
        <f>IF(E1768="","",IF(COUNTIF($E$2:E1768,E1768)&gt;1,"",SUMIFS(tbl_input[필요수량],tbl_input[집계키_지청],E1768)))</f>
        <v/>
      </c>
      <c r="E1768" t="str">
        <f>IFERROR(INDEX(tbl_input[집계키_지청],ROW()-1),"")</f>
        <v/>
      </c>
      <c r="F1768" t="str">
        <f t="shared" si="138"/>
        <v/>
      </c>
      <c r="G1768" t="str">
        <f t="shared" si="139"/>
        <v/>
      </c>
    </row>
    <row r="1769" spans="1:7" x14ac:dyDescent="0.4">
      <c r="A1769" t="str">
        <f t="shared" si="135"/>
        <v/>
      </c>
      <c r="B1769" t="str">
        <f t="shared" si="136"/>
        <v/>
      </c>
      <c r="C1769" t="str">
        <f t="shared" si="137"/>
        <v/>
      </c>
      <c r="D1769" t="str">
        <f>IF(E1769="","",IF(COUNTIF($E$2:E1769,E1769)&gt;1,"",SUMIFS(tbl_input[필요수량],tbl_input[집계키_지청],E1769)))</f>
        <v/>
      </c>
      <c r="E1769" t="str">
        <f>IFERROR(INDEX(tbl_input[집계키_지청],ROW()-1),"")</f>
        <v/>
      </c>
      <c r="F1769" t="str">
        <f t="shared" si="138"/>
        <v/>
      </c>
      <c r="G1769" t="str">
        <f t="shared" si="139"/>
        <v/>
      </c>
    </row>
    <row r="1770" spans="1:7" x14ac:dyDescent="0.4">
      <c r="A1770" t="str">
        <f t="shared" si="135"/>
        <v/>
      </c>
      <c r="B1770" t="str">
        <f t="shared" si="136"/>
        <v/>
      </c>
      <c r="C1770" t="str">
        <f t="shared" si="137"/>
        <v/>
      </c>
      <c r="D1770" t="str">
        <f>IF(E1770="","",IF(COUNTIF($E$2:E1770,E1770)&gt;1,"",SUMIFS(tbl_input[필요수량],tbl_input[집계키_지청],E1770)))</f>
        <v/>
      </c>
      <c r="E1770" t="str">
        <f>IFERROR(INDEX(tbl_input[집계키_지청],ROW()-1),"")</f>
        <v/>
      </c>
      <c r="F1770" t="str">
        <f t="shared" si="138"/>
        <v/>
      </c>
      <c r="G1770" t="str">
        <f t="shared" si="139"/>
        <v/>
      </c>
    </row>
    <row r="1771" spans="1:7" x14ac:dyDescent="0.4">
      <c r="A1771" t="str">
        <f t="shared" si="135"/>
        <v/>
      </c>
      <c r="B1771" t="str">
        <f t="shared" si="136"/>
        <v/>
      </c>
      <c r="C1771" t="str">
        <f t="shared" si="137"/>
        <v/>
      </c>
      <c r="D1771" t="str">
        <f>IF(E1771="","",IF(COUNTIF($E$2:E1771,E1771)&gt;1,"",SUMIFS(tbl_input[필요수량],tbl_input[집계키_지청],E1771)))</f>
        <v/>
      </c>
      <c r="E1771" t="str">
        <f>IFERROR(INDEX(tbl_input[집계키_지청],ROW()-1),"")</f>
        <v/>
      </c>
      <c r="F1771" t="str">
        <f t="shared" si="138"/>
        <v/>
      </c>
      <c r="G1771" t="str">
        <f t="shared" si="139"/>
        <v/>
      </c>
    </row>
    <row r="1772" spans="1:7" x14ac:dyDescent="0.4">
      <c r="A1772" t="str">
        <f t="shared" si="135"/>
        <v/>
      </c>
      <c r="B1772" t="str">
        <f t="shared" si="136"/>
        <v/>
      </c>
      <c r="C1772" t="str">
        <f t="shared" si="137"/>
        <v/>
      </c>
      <c r="D1772" t="str">
        <f>IF(E1772="","",IF(COUNTIF($E$2:E1772,E1772)&gt;1,"",SUMIFS(tbl_input[필요수량],tbl_input[집계키_지청],E1772)))</f>
        <v/>
      </c>
      <c r="E1772" t="str">
        <f>IFERROR(INDEX(tbl_input[집계키_지청],ROW()-1),"")</f>
        <v/>
      </c>
      <c r="F1772" t="str">
        <f t="shared" si="138"/>
        <v/>
      </c>
      <c r="G1772" t="str">
        <f t="shared" si="139"/>
        <v/>
      </c>
    </row>
    <row r="1773" spans="1:7" x14ac:dyDescent="0.4">
      <c r="A1773" t="str">
        <f t="shared" si="135"/>
        <v/>
      </c>
      <c r="B1773" t="str">
        <f t="shared" si="136"/>
        <v/>
      </c>
      <c r="C1773" t="str">
        <f t="shared" si="137"/>
        <v/>
      </c>
      <c r="D1773" t="str">
        <f>IF(E1773="","",IF(COUNTIF($E$2:E1773,E1773)&gt;1,"",SUMIFS(tbl_input[필요수량],tbl_input[집계키_지청],E1773)))</f>
        <v/>
      </c>
      <c r="E1773" t="str">
        <f>IFERROR(INDEX(tbl_input[집계키_지청],ROW()-1),"")</f>
        <v/>
      </c>
      <c r="F1773" t="str">
        <f t="shared" si="138"/>
        <v/>
      </c>
      <c r="G1773" t="str">
        <f t="shared" si="139"/>
        <v/>
      </c>
    </row>
    <row r="1774" spans="1:7" x14ac:dyDescent="0.4">
      <c r="A1774" t="str">
        <f t="shared" si="135"/>
        <v/>
      </c>
      <c r="B1774" t="str">
        <f t="shared" si="136"/>
        <v/>
      </c>
      <c r="C1774" t="str">
        <f t="shared" si="137"/>
        <v/>
      </c>
      <c r="D1774" t="str">
        <f>IF(E1774="","",IF(COUNTIF($E$2:E1774,E1774)&gt;1,"",SUMIFS(tbl_input[필요수량],tbl_input[집계키_지청],E1774)))</f>
        <v/>
      </c>
      <c r="E1774" t="str">
        <f>IFERROR(INDEX(tbl_input[집계키_지청],ROW()-1),"")</f>
        <v/>
      </c>
      <c r="F1774" t="str">
        <f t="shared" si="138"/>
        <v/>
      </c>
      <c r="G1774" t="str">
        <f t="shared" si="139"/>
        <v/>
      </c>
    </row>
    <row r="1775" spans="1:7" x14ac:dyDescent="0.4">
      <c r="A1775" t="str">
        <f t="shared" si="135"/>
        <v/>
      </c>
      <c r="B1775" t="str">
        <f t="shared" si="136"/>
        <v/>
      </c>
      <c r="C1775" t="str">
        <f t="shared" si="137"/>
        <v/>
      </c>
      <c r="D1775" t="str">
        <f>IF(E1775="","",IF(COUNTIF($E$2:E1775,E1775)&gt;1,"",SUMIFS(tbl_input[필요수량],tbl_input[집계키_지청],E1775)))</f>
        <v/>
      </c>
      <c r="E1775" t="str">
        <f>IFERROR(INDEX(tbl_input[집계키_지청],ROW()-1),"")</f>
        <v/>
      </c>
      <c r="F1775" t="str">
        <f t="shared" si="138"/>
        <v/>
      </c>
      <c r="G1775" t="str">
        <f t="shared" si="139"/>
        <v/>
      </c>
    </row>
    <row r="1776" spans="1:7" x14ac:dyDescent="0.4">
      <c r="A1776" t="str">
        <f t="shared" si="135"/>
        <v/>
      </c>
      <c r="B1776" t="str">
        <f t="shared" si="136"/>
        <v/>
      </c>
      <c r="C1776" t="str">
        <f t="shared" si="137"/>
        <v/>
      </c>
      <c r="D1776" t="str">
        <f>IF(E1776="","",IF(COUNTIF($E$2:E1776,E1776)&gt;1,"",SUMIFS(tbl_input[필요수량],tbl_input[집계키_지청],E1776)))</f>
        <v/>
      </c>
      <c r="E1776" t="str">
        <f>IFERROR(INDEX(tbl_input[집계키_지청],ROW()-1),"")</f>
        <v/>
      </c>
      <c r="F1776" t="str">
        <f t="shared" si="138"/>
        <v/>
      </c>
      <c r="G1776" t="str">
        <f t="shared" si="139"/>
        <v/>
      </c>
    </row>
    <row r="1777" spans="1:7" x14ac:dyDescent="0.4">
      <c r="A1777" t="str">
        <f t="shared" si="135"/>
        <v/>
      </c>
      <c r="B1777" t="str">
        <f t="shared" si="136"/>
        <v/>
      </c>
      <c r="C1777" t="str">
        <f t="shared" si="137"/>
        <v/>
      </c>
      <c r="D1777" t="str">
        <f>IF(E1777="","",IF(COUNTIF($E$2:E1777,E1777)&gt;1,"",SUMIFS(tbl_input[필요수량],tbl_input[집계키_지청],E1777)))</f>
        <v/>
      </c>
      <c r="E1777" t="str">
        <f>IFERROR(INDEX(tbl_input[집계키_지청],ROW()-1),"")</f>
        <v/>
      </c>
      <c r="F1777" t="str">
        <f t="shared" si="138"/>
        <v/>
      </c>
      <c r="G1777" t="str">
        <f t="shared" si="139"/>
        <v/>
      </c>
    </row>
    <row r="1778" spans="1:7" x14ac:dyDescent="0.4">
      <c r="A1778" t="str">
        <f t="shared" si="135"/>
        <v/>
      </c>
      <c r="B1778" t="str">
        <f t="shared" si="136"/>
        <v/>
      </c>
      <c r="C1778" t="str">
        <f t="shared" si="137"/>
        <v/>
      </c>
      <c r="D1778" t="str">
        <f>IF(E1778="","",IF(COUNTIF($E$2:E1778,E1778)&gt;1,"",SUMIFS(tbl_input[필요수량],tbl_input[집계키_지청],E1778)))</f>
        <v/>
      </c>
      <c r="E1778" t="str">
        <f>IFERROR(INDEX(tbl_input[집계키_지청],ROW()-1),"")</f>
        <v/>
      </c>
      <c r="F1778" t="str">
        <f t="shared" si="138"/>
        <v/>
      </c>
      <c r="G1778" t="str">
        <f t="shared" si="139"/>
        <v/>
      </c>
    </row>
    <row r="1779" spans="1:7" x14ac:dyDescent="0.4">
      <c r="A1779" t="str">
        <f t="shared" si="135"/>
        <v/>
      </c>
      <c r="B1779" t="str">
        <f t="shared" si="136"/>
        <v/>
      </c>
      <c r="C1779" t="str">
        <f t="shared" si="137"/>
        <v/>
      </c>
      <c r="D1779" t="str">
        <f>IF(E1779="","",IF(COUNTIF($E$2:E1779,E1779)&gt;1,"",SUMIFS(tbl_input[필요수량],tbl_input[집계키_지청],E1779)))</f>
        <v/>
      </c>
      <c r="E1779" t="str">
        <f>IFERROR(INDEX(tbl_input[집계키_지청],ROW()-1),"")</f>
        <v/>
      </c>
      <c r="F1779" t="str">
        <f t="shared" si="138"/>
        <v/>
      </c>
      <c r="G1779" t="str">
        <f t="shared" si="139"/>
        <v/>
      </c>
    </row>
    <row r="1780" spans="1:7" x14ac:dyDescent="0.4">
      <c r="A1780" t="str">
        <f t="shared" si="135"/>
        <v/>
      </c>
      <c r="B1780" t="str">
        <f t="shared" si="136"/>
        <v/>
      </c>
      <c r="C1780" t="str">
        <f t="shared" si="137"/>
        <v/>
      </c>
      <c r="D1780" t="str">
        <f>IF(E1780="","",IF(COUNTIF($E$2:E1780,E1780)&gt;1,"",SUMIFS(tbl_input[필요수량],tbl_input[집계키_지청],E1780)))</f>
        <v/>
      </c>
      <c r="E1780" t="str">
        <f>IFERROR(INDEX(tbl_input[집계키_지청],ROW()-1),"")</f>
        <v/>
      </c>
      <c r="F1780" t="str">
        <f t="shared" si="138"/>
        <v/>
      </c>
      <c r="G1780" t="str">
        <f t="shared" si="139"/>
        <v/>
      </c>
    </row>
    <row r="1781" spans="1:7" x14ac:dyDescent="0.4">
      <c r="A1781" t="str">
        <f t="shared" si="135"/>
        <v/>
      </c>
      <c r="B1781" t="str">
        <f t="shared" si="136"/>
        <v/>
      </c>
      <c r="C1781" t="str">
        <f t="shared" si="137"/>
        <v/>
      </c>
      <c r="D1781" t="str">
        <f>IF(E1781="","",IF(COUNTIF($E$2:E1781,E1781)&gt;1,"",SUMIFS(tbl_input[필요수량],tbl_input[집계키_지청],E1781)))</f>
        <v/>
      </c>
      <c r="E1781" t="str">
        <f>IFERROR(INDEX(tbl_input[집계키_지청],ROW()-1),"")</f>
        <v/>
      </c>
      <c r="F1781" t="str">
        <f t="shared" si="138"/>
        <v/>
      </c>
      <c r="G1781" t="str">
        <f t="shared" si="139"/>
        <v/>
      </c>
    </row>
    <row r="1782" spans="1:7" x14ac:dyDescent="0.4">
      <c r="A1782" t="str">
        <f t="shared" si="135"/>
        <v/>
      </c>
      <c r="B1782" t="str">
        <f t="shared" si="136"/>
        <v/>
      </c>
      <c r="C1782" t="str">
        <f t="shared" si="137"/>
        <v/>
      </c>
      <c r="D1782" t="str">
        <f>IF(E1782="","",IF(COUNTIF($E$2:E1782,E1782)&gt;1,"",SUMIFS(tbl_input[필요수량],tbl_input[집계키_지청],E1782)))</f>
        <v/>
      </c>
      <c r="E1782" t="str">
        <f>IFERROR(INDEX(tbl_input[집계키_지청],ROW()-1),"")</f>
        <v/>
      </c>
      <c r="F1782" t="str">
        <f t="shared" si="138"/>
        <v/>
      </c>
      <c r="G1782" t="str">
        <f t="shared" si="139"/>
        <v/>
      </c>
    </row>
    <row r="1783" spans="1:7" x14ac:dyDescent="0.4">
      <c r="A1783" t="str">
        <f t="shared" si="135"/>
        <v/>
      </c>
      <c r="B1783" t="str">
        <f t="shared" si="136"/>
        <v/>
      </c>
      <c r="C1783" t="str">
        <f t="shared" si="137"/>
        <v/>
      </c>
      <c r="D1783" t="str">
        <f>IF(E1783="","",IF(COUNTIF($E$2:E1783,E1783)&gt;1,"",SUMIFS(tbl_input[필요수량],tbl_input[집계키_지청],E1783)))</f>
        <v/>
      </c>
      <c r="E1783" t="str">
        <f>IFERROR(INDEX(tbl_input[집계키_지청],ROW()-1),"")</f>
        <v/>
      </c>
      <c r="F1783" t="str">
        <f t="shared" si="138"/>
        <v/>
      </c>
      <c r="G1783" t="str">
        <f t="shared" si="139"/>
        <v/>
      </c>
    </row>
    <row r="1784" spans="1:7" x14ac:dyDescent="0.4">
      <c r="A1784" t="str">
        <f t="shared" si="135"/>
        <v/>
      </c>
      <c r="B1784" t="str">
        <f t="shared" si="136"/>
        <v/>
      </c>
      <c r="C1784" t="str">
        <f t="shared" si="137"/>
        <v/>
      </c>
      <c r="D1784" t="str">
        <f>IF(E1784="","",IF(COUNTIF($E$2:E1784,E1784)&gt;1,"",SUMIFS(tbl_input[필요수량],tbl_input[집계키_지청],E1784)))</f>
        <v/>
      </c>
      <c r="E1784" t="str">
        <f>IFERROR(INDEX(tbl_input[집계키_지청],ROW()-1),"")</f>
        <v/>
      </c>
      <c r="F1784" t="str">
        <f t="shared" si="138"/>
        <v/>
      </c>
      <c r="G1784" t="str">
        <f t="shared" si="139"/>
        <v/>
      </c>
    </row>
    <row r="1785" spans="1:7" x14ac:dyDescent="0.4">
      <c r="A1785" t="str">
        <f t="shared" si="135"/>
        <v/>
      </c>
      <c r="B1785" t="str">
        <f t="shared" si="136"/>
        <v/>
      </c>
      <c r="C1785" t="str">
        <f t="shared" si="137"/>
        <v/>
      </c>
      <c r="D1785" t="str">
        <f>IF(E1785="","",IF(COUNTIF($E$2:E1785,E1785)&gt;1,"",SUMIFS(tbl_input[필요수량],tbl_input[집계키_지청],E1785)))</f>
        <v/>
      </c>
      <c r="E1785" t="str">
        <f>IFERROR(INDEX(tbl_input[집계키_지청],ROW()-1),"")</f>
        <v/>
      </c>
      <c r="F1785" t="str">
        <f t="shared" si="138"/>
        <v/>
      </c>
      <c r="G1785" t="str">
        <f t="shared" si="139"/>
        <v/>
      </c>
    </row>
    <row r="1786" spans="1:7" x14ac:dyDescent="0.4">
      <c r="A1786" t="str">
        <f t="shared" si="135"/>
        <v/>
      </c>
      <c r="B1786" t="str">
        <f t="shared" si="136"/>
        <v/>
      </c>
      <c r="C1786" t="str">
        <f t="shared" si="137"/>
        <v/>
      </c>
      <c r="D1786" t="str">
        <f>IF(E1786="","",IF(COUNTIF($E$2:E1786,E1786)&gt;1,"",SUMIFS(tbl_input[필요수량],tbl_input[집계키_지청],E1786)))</f>
        <v/>
      </c>
      <c r="E1786" t="str">
        <f>IFERROR(INDEX(tbl_input[집계키_지청],ROW()-1),"")</f>
        <v/>
      </c>
      <c r="F1786" t="str">
        <f t="shared" si="138"/>
        <v/>
      </c>
      <c r="G1786" t="str">
        <f t="shared" si="139"/>
        <v/>
      </c>
    </row>
    <row r="1787" spans="1:7" x14ac:dyDescent="0.4">
      <c r="A1787" t="str">
        <f t="shared" si="135"/>
        <v/>
      </c>
      <c r="B1787" t="str">
        <f t="shared" si="136"/>
        <v/>
      </c>
      <c r="C1787" t="str">
        <f t="shared" si="137"/>
        <v/>
      </c>
      <c r="D1787" t="str">
        <f>IF(E1787="","",IF(COUNTIF($E$2:E1787,E1787)&gt;1,"",SUMIFS(tbl_input[필요수량],tbl_input[집계키_지청],E1787)))</f>
        <v/>
      </c>
      <c r="E1787" t="str">
        <f>IFERROR(INDEX(tbl_input[집계키_지청],ROW()-1),"")</f>
        <v/>
      </c>
      <c r="F1787" t="str">
        <f t="shared" si="138"/>
        <v/>
      </c>
      <c r="G1787" t="str">
        <f t="shared" si="139"/>
        <v/>
      </c>
    </row>
    <row r="1788" spans="1:7" x14ac:dyDescent="0.4">
      <c r="A1788" t="str">
        <f t="shared" si="135"/>
        <v/>
      </c>
      <c r="B1788" t="str">
        <f t="shared" si="136"/>
        <v/>
      </c>
      <c r="C1788" t="str">
        <f t="shared" si="137"/>
        <v/>
      </c>
      <c r="D1788" t="str">
        <f>IF(E1788="","",IF(COUNTIF($E$2:E1788,E1788)&gt;1,"",SUMIFS(tbl_input[필요수량],tbl_input[집계키_지청],E1788)))</f>
        <v/>
      </c>
      <c r="E1788" t="str">
        <f>IFERROR(INDEX(tbl_input[집계키_지청],ROW()-1),"")</f>
        <v/>
      </c>
      <c r="F1788" t="str">
        <f t="shared" si="138"/>
        <v/>
      </c>
      <c r="G1788" t="str">
        <f t="shared" si="139"/>
        <v/>
      </c>
    </row>
    <row r="1789" spans="1:7" x14ac:dyDescent="0.4">
      <c r="A1789" t="str">
        <f t="shared" si="135"/>
        <v/>
      </c>
      <c r="B1789" t="str">
        <f t="shared" si="136"/>
        <v/>
      </c>
      <c r="C1789" t="str">
        <f t="shared" si="137"/>
        <v/>
      </c>
      <c r="D1789" t="str">
        <f>IF(E1789="","",IF(COUNTIF($E$2:E1789,E1789)&gt;1,"",SUMIFS(tbl_input[필요수량],tbl_input[집계키_지청],E1789)))</f>
        <v/>
      </c>
      <c r="E1789" t="str">
        <f>IFERROR(INDEX(tbl_input[집계키_지청],ROW()-1),"")</f>
        <v/>
      </c>
      <c r="F1789" t="str">
        <f t="shared" si="138"/>
        <v/>
      </c>
      <c r="G1789" t="str">
        <f t="shared" si="139"/>
        <v/>
      </c>
    </row>
    <row r="1790" spans="1:7" x14ac:dyDescent="0.4">
      <c r="A1790" t="str">
        <f t="shared" si="135"/>
        <v/>
      </c>
      <c r="B1790" t="str">
        <f t="shared" si="136"/>
        <v/>
      </c>
      <c r="C1790" t="str">
        <f t="shared" si="137"/>
        <v/>
      </c>
      <c r="D1790" t="str">
        <f>IF(E1790="","",IF(COUNTIF($E$2:E1790,E1790)&gt;1,"",SUMIFS(tbl_input[필요수량],tbl_input[집계키_지청],E1790)))</f>
        <v/>
      </c>
      <c r="E1790" t="str">
        <f>IFERROR(INDEX(tbl_input[집계키_지청],ROW()-1),"")</f>
        <v/>
      </c>
      <c r="F1790" t="str">
        <f t="shared" si="138"/>
        <v/>
      </c>
      <c r="G1790" t="str">
        <f t="shared" si="139"/>
        <v/>
      </c>
    </row>
    <row r="1791" spans="1:7" x14ac:dyDescent="0.4">
      <c r="A1791" t="str">
        <f t="shared" si="135"/>
        <v/>
      </c>
      <c r="B1791" t="str">
        <f t="shared" si="136"/>
        <v/>
      </c>
      <c r="C1791" t="str">
        <f t="shared" si="137"/>
        <v/>
      </c>
      <c r="D1791" t="str">
        <f>IF(E1791="","",IF(COUNTIF($E$2:E1791,E1791)&gt;1,"",SUMIFS(tbl_input[필요수량],tbl_input[집계키_지청],E1791)))</f>
        <v/>
      </c>
      <c r="E1791" t="str">
        <f>IFERROR(INDEX(tbl_input[집계키_지청],ROW()-1),"")</f>
        <v/>
      </c>
      <c r="F1791" t="str">
        <f t="shared" si="138"/>
        <v/>
      </c>
      <c r="G1791" t="str">
        <f t="shared" si="139"/>
        <v/>
      </c>
    </row>
    <row r="1792" spans="1:7" x14ac:dyDescent="0.4">
      <c r="A1792" t="str">
        <f t="shared" si="135"/>
        <v/>
      </c>
      <c r="B1792" t="str">
        <f t="shared" si="136"/>
        <v/>
      </c>
      <c r="C1792" t="str">
        <f t="shared" si="137"/>
        <v/>
      </c>
      <c r="D1792" t="str">
        <f>IF(E1792="","",IF(COUNTIF($E$2:E1792,E1792)&gt;1,"",SUMIFS(tbl_input[필요수량],tbl_input[집계키_지청],E1792)))</f>
        <v/>
      </c>
      <c r="E1792" t="str">
        <f>IFERROR(INDEX(tbl_input[집계키_지청],ROW()-1),"")</f>
        <v/>
      </c>
      <c r="F1792" t="str">
        <f t="shared" si="138"/>
        <v/>
      </c>
      <c r="G1792" t="str">
        <f t="shared" si="139"/>
        <v/>
      </c>
    </row>
    <row r="1793" spans="1:7" x14ac:dyDescent="0.4">
      <c r="A1793" t="str">
        <f t="shared" si="135"/>
        <v/>
      </c>
      <c r="B1793" t="str">
        <f t="shared" si="136"/>
        <v/>
      </c>
      <c r="C1793" t="str">
        <f t="shared" si="137"/>
        <v/>
      </c>
      <c r="D1793" t="str">
        <f>IF(E1793="","",IF(COUNTIF($E$2:E1793,E1793)&gt;1,"",SUMIFS(tbl_input[필요수량],tbl_input[집계키_지청],E1793)))</f>
        <v/>
      </c>
      <c r="E1793" t="str">
        <f>IFERROR(INDEX(tbl_input[집계키_지청],ROW()-1),"")</f>
        <v/>
      </c>
      <c r="F1793" t="str">
        <f t="shared" si="138"/>
        <v/>
      </c>
      <c r="G1793" t="str">
        <f t="shared" si="139"/>
        <v/>
      </c>
    </row>
    <row r="1794" spans="1:7" x14ac:dyDescent="0.4">
      <c r="A1794" t="str">
        <f t="shared" ref="A1794:A1857" si="140">IF(E1794="","",LEFT(E1794,F1794-1))</f>
        <v/>
      </c>
      <c r="B1794" t="str">
        <f t="shared" ref="B1794:B1857" si="141">IF(E1794="","",MID(E1794,F1794+1,G1794-F1794-1))</f>
        <v/>
      </c>
      <c r="C1794" t="str">
        <f t="shared" ref="C1794:C1857" si="142">IF(E1794="","",MID(E1794,G1794+1,999))</f>
        <v/>
      </c>
      <c r="D1794" t="str">
        <f>IF(E1794="","",IF(COUNTIF($E$2:E1794,E1794)&gt;1,"",SUMIFS(tbl_input[필요수량],tbl_input[집계키_지청],E1794)))</f>
        <v/>
      </c>
      <c r="E1794" t="str">
        <f>IFERROR(INDEX(tbl_input[집계키_지청],ROW()-1),"")</f>
        <v/>
      </c>
      <c r="F1794" t="str">
        <f t="shared" ref="F1794:F1857" si="143">IF(E1794="","",FIND("♦",E1794))</f>
        <v/>
      </c>
      <c r="G1794" t="str">
        <f t="shared" ref="G1794:G1857" si="144">IF(E1794="","",FIND("♦",E1794,F1794+1))</f>
        <v/>
      </c>
    </row>
    <row r="1795" spans="1:7" x14ac:dyDescent="0.4">
      <c r="A1795" t="str">
        <f t="shared" si="140"/>
        <v/>
      </c>
      <c r="B1795" t="str">
        <f t="shared" si="141"/>
        <v/>
      </c>
      <c r="C1795" t="str">
        <f t="shared" si="142"/>
        <v/>
      </c>
      <c r="D1795" t="str">
        <f>IF(E1795="","",IF(COUNTIF($E$2:E1795,E1795)&gt;1,"",SUMIFS(tbl_input[필요수량],tbl_input[집계키_지청],E1795)))</f>
        <v/>
      </c>
      <c r="E1795" t="str">
        <f>IFERROR(INDEX(tbl_input[집계키_지청],ROW()-1),"")</f>
        <v/>
      </c>
      <c r="F1795" t="str">
        <f t="shared" si="143"/>
        <v/>
      </c>
      <c r="G1795" t="str">
        <f t="shared" si="144"/>
        <v/>
      </c>
    </row>
    <row r="1796" spans="1:7" x14ac:dyDescent="0.4">
      <c r="A1796" t="str">
        <f t="shared" si="140"/>
        <v/>
      </c>
      <c r="B1796" t="str">
        <f t="shared" si="141"/>
        <v/>
      </c>
      <c r="C1796" t="str">
        <f t="shared" si="142"/>
        <v/>
      </c>
      <c r="D1796" t="str">
        <f>IF(E1796="","",IF(COUNTIF($E$2:E1796,E1796)&gt;1,"",SUMIFS(tbl_input[필요수량],tbl_input[집계키_지청],E1796)))</f>
        <v/>
      </c>
      <c r="E1796" t="str">
        <f>IFERROR(INDEX(tbl_input[집계키_지청],ROW()-1),"")</f>
        <v/>
      </c>
      <c r="F1796" t="str">
        <f t="shared" si="143"/>
        <v/>
      </c>
      <c r="G1796" t="str">
        <f t="shared" si="144"/>
        <v/>
      </c>
    </row>
    <row r="1797" spans="1:7" x14ac:dyDescent="0.4">
      <c r="A1797" t="str">
        <f t="shared" si="140"/>
        <v/>
      </c>
      <c r="B1797" t="str">
        <f t="shared" si="141"/>
        <v/>
      </c>
      <c r="C1797" t="str">
        <f t="shared" si="142"/>
        <v/>
      </c>
      <c r="D1797" t="str">
        <f>IF(E1797="","",IF(COUNTIF($E$2:E1797,E1797)&gt;1,"",SUMIFS(tbl_input[필요수량],tbl_input[집계키_지청],E1797)))</f>
        <v/>
      </c>
      <c r="E1797" t="str">
        <f>IFERROR(INDEX(tbl_input[집계키_지청],ROW()-1),"")</f>
        <v/>
      </c>
      <c r="F1797" t="str">
        <f t="shared" si="143"/>
        <v/>
      </c>
      <c r="G1797" t="str">
        <f t="shared" si="144"/>
        <v/>
      </c>
    </row>
    <row r="1798" spans="1:7" x14ac:dyDescent="0.4">
      <c r="A1798" t="str">
        <f t="shared" si="140"/>
        <v/>
      </c>
      <c r="B1798" t="str">
        <f t="shared" si="141"/>
        <v/>
      </c>
      <c r="C1798" t="str">
        <f t="shared" si="142"/>
        <v/>
      </c>
      <c r="D1798" t="str">
        <f>IF(E1798="","",IF(COUNTIF($E$2:E1798,E1798)&gt;1,"",SUMIFS(tbl_input[필요수량],tbl_input[집계키_지청],E1798)))</f>
        <v/>
      </c>
      <c r="E1798" t="str">
        <f>IFERROR(INDEX(tbl_input[집계키_지청],ROW()-1),"")</f>
        <v/>
      </c>
      <c r="F1798" t="str">
        <f t="shared" si="143"/>
        <v/>
      </c>
      <c r="G1798" t="str">
        <f t="shared" si="144"/>
        <v/>
      </c>
    </row>
    <row r="1799" spans="1:7" x14ac:dyDescent="0.4">
      <c r="A1799" t="str">
        <f t="shared" si="140"/>
        <v/>
      </c>
      <c r="B1799" t="str">
        <f t="shared" si="141"/>
        <v/>
      </c>
      <c r="C1799" t="str">
        <f t="shared" si="142"/>
        <v/>
      </c>
      <c r="D1799" t="str">
        <f>IF(E1799="","",IF(COUNTIF($E$2:E1799,E1799)&gt;1,"",SUMIFS(tbl_input[필요수량],tbl_input[집계키_지청],E1799)))</f>
        <v/>
      </c>
      <c r="E1799" t="str">
        <f>IFERROR(INDEX(tbl_input[집계키_지청],ROW()-1),"")</f>
        <v/>
      </c>
      <c r="F1799" t="str">
        <f t="shared" si="143"/>
        <v/>
      </c>
      <c r="G1799" t="str">
        <f t="shared" si="144"/>
        <v/>
      </c>
    </row>
    <row r="1800" spans="1:7" x14ac:dyDescent="0.4">
      <c r="A1800" t="str">
        <f t="shared" si="140"/>
        <v/>
      </c>
      <c r="B1800" t="str">
        <f t="shared" si="141"/>
        <v/>
      </c>
      <c r="C1800" t="str">
        <f t="shared" si="142"/>
        <v/>
      </c>
      <c r="D1800" t="str">
        <f>IF(E1800="","",IF(COUNTIF($E$2:E1800,E1800)&gt;1,"",SUMIFS(tbl_input[필요수량],tbl_input[집계키_지청],E1800)))</f>
        <v/>
      </c>
      <c r="E1800" t="str">
        <f>IFERROR(INDEX(tbl_input[집계키_지청],ROW()-1),"")</f>
        <v/>
      </c>
      <c r="F1800" t="str">
        <f t="shared" si="143"/>
        <v/>
      </c>
      <c r="G1800" t="str">
        <f t="shared" si="144"/>
        <v/>
      </c>
    </row>
    <row r="1801" spans="1:7" x14ac:dyDescent="0.4">
      <c r="A1801" t="str">
        <f t="shared" si="140"/>
        <v/>
      </c>
      <c r="B1801" t="str">
        <f t="shared" si="141"/>
        <v/>
      </c>
      <c r="C1801" t="str">
        <f t="shared" si="142"/>
        <v/>
      </c>
      <c r="D1801" t="str">
        <f>IF(E1801="","",IF(COUNTIF($E$2:E1801,E1801)&gt;1,"",SUMIFS(tbl_input[필요수량],tbl_input[집계키_지청],E1801)))</f>
        <v/>
      </c>
      <c r="E1801" t="str">
        <f>IFERROR(INDEX(tbl_input[집계키_지청],ROW()-1),"")</f>
        <v/>
      </c>
      <c r="F1801" t="str">
        <f t="shared" si="143"/>
        <v/>
      </c>
      <c r="G1801" t="str">
        <f t="shared" si="144"/>
        <v/>
      </c>
    </row>
    <row r="1802" spans="1:7" x14ac:dyDescent="0.4">
      <c r="A1802" t="str">
        <f t="shared" si="140"/>
        <v/>
      </c>
      <c r="B1802" t="str">
        <f t="shared" si="141"/>
        <v/>
      </c>
      <c r="C1802" t="str">
        <f t="shared" si="142"/>
        <v/>
      </c>
      <c r="D1802" t="str">
        <f>IF(E1802="","",IF(COUNTIF($E$2:E1802,E1802)&gt;1,"",SUMIFS(tbl_input[필요수량],tbl_input[집계키_지청],E1802)))</f>
        <v/>
      </c>
      <c r="E1802" t="str">
        <f>IFERROR(INDEX(tbl_input[집계키_지청],ROW()-1),"")</f>
        <v/>
      </c>
      <c r="F1802" t="str">
        <f t="shared" si="143"/>
        <v/>
      </c>
      <c r="G1802" t="str">
        <f t="shared" si="144"/>
        <v/>
      </c>
    </row>
    <row r="1803" spans="1:7" x14ac:dyDescent="0.4">
      <c r="A1803" t="str">
        <f t="shared" si="140"/>
        <v/>
      </c>
      <c r="B1803" t="str">
        <f t="shared" si="141"/>
        <v/>
      </c>
      <c r="C1803" t="str">
        <f t="shared" si="142"/>
        <v/>
      </c>
      <c r="D1803" t="str">
        <f>IF(E1803="","",IF(COUNTIF($E$2:E1803,E1803)&gt;1,"",SUMIFS(tbl_input[필요수량],tbl_input[집계키_지청],E1803)))</f>
        <v/>
      </c>
      <c r="E1803" t="str">
        <f>IFERROR(INDEX(tbl_input[집계키_지청],ROW()-1),"")</f>
        <v/>
      </c>
      <c r="F1803" t="str">
        <f t="shared" si="143"/>
        <v/>
      </c>
      <c r="G1803" t="str">
        <f t="shared" si="144"/>
        <v/>
      </c>
    </row>
    <row r="1804" spans="1:7" x14ac:dyDescent="0.4">
      <c r="A1804" t="str">
        <f t="shared" si="140"/>
        <v/>
      </c>
      <c r="B1804" t="str">
        <f t="shared" si="141"/>
        <v/>
      </c>
      <c r="C1804" t="str">
        <f t="shared" si="142"/>
        <v/>
      </c>
      <c r="D1804" t="str">
        <f>IF(E1804="","",IF(COUNTIF($E$2:E1804,E1804)&gt;1,"",SUMIFS(tbl_input[필요수량],tbl_input[집계키_지청],E1804)))</f>
        <v/>
      </c>
      <c r="E1804" t="str">
        <f>IFERROR(INDEX(tbl_input[집계키_지청],ROW()-1),"")</f>
        <v/>
      </c>
      <c r="F1804" t="str">
        <f t="shared" si="143"/>
        <v/>
      </c>
      <c r="G1804" t="str">
        <f t="shared" si="144"/>
        <v/>
      </c>
    </row>
    <row r="1805" spans="1:7" x14ac:dyDescent="0.4">
      <c r="A1805" t="str">
        <f t="shared" si="140"/>
        <v/>
      </c>
      <c r="B1805" t="str">
        <f t="shared" si="141"/>
        <v/>
      </c>
      <c r="C1805" t="str">
        <f t="shared" si="142"/>
        <v/>
      </c>
      <c r="D1805" t="str">
        <f>IF(E1805="","",IF(COUNTIF($E$2:E1805,E1805)&gt;1,"",SUMIFS(tbl_input[필요수량],tbl_input[집계키_지청],E1805)))</f>
        <v/>
      </c>
      <c r="E1805" t="str">
        <f>IFERROR(INDEX(tbl_input[집계키_지청],ROW()-1),"")</f>
        <v/>
      </c>
      <c r="F1805" t="str">
        <f t="shared" si="143"/>
        <v/>
      </c>
      <c r="G1805" t="str">
        <f t="shared" si="144"/>
        <v/>
      </c>
    </row>
    <row r="1806" spans="1:7" x14ac:dyDescent="0.4">
      <c r="A1806" t="str">
        <f t="shared" si="140"/>
        <v/>
      </c>
      <c r="B1806" t="str">
        <f t="shared" si="141"/>
        <v/>
      </c>
      <c r="C1806" t="str">
        <f t="shared" si="142"/>
        <v/>
      </c>
      <c r="D1806" t="str">
        <f>IF(E1806="","",IF(COUNTIF($E$2:E1806,E1806)&gt;1,"",SUMIFS(tbl_input[필요수량],tbl_input[집계키_지청],E1806)))</f>
        <v/>
      </c>
      <c r="E1806" t="str">
        <f>IFERROR(INDEX(tbl_input[집계키_지청],ROW()-1),"")</f>
        <v/>
      </c>
      <c r="F1806" t="str">
        <f t="shared" si="143"/>
        <v/>
      </c>
      <c r="G1806" t="str">
        <f t="shared" si="144"/>
        <v/>
      </c>
    </row>
    <row r="1807" spans="1:7" x14ac:dyDescent="0.4">
      <c r="A1807" t="str">
        <f t="shared" si="140"/>
        <v/>
      </c>
      <c r="B1807" t="str">
        <f t="shared" si="141"/>
        <v/>
      </c>
      <c r="C1807" t="str">
        <f t="shared" si="142"/>
        <v/>
      </c>
      <c r="D1807" t="str">
        <f>IF(E1807="","",IF(COUNTIF($E$2:E1807,E1807)&gt;1,"",SUMIFS(tbl_input[필요수량],tbl_input[집계키_지청],E1807)))</f>
        <v/>
      </c>
      <c r="E1807" t="str">
        <f>IFERROR(INDEX(tbl_input[집계키_지청],ROW()-1),"")</f>
        <v/>
      </c>
      <c r="F1807" t="str">
        <f t="shared" si="143"/>
        <v/>
      </c>
      <c r="G1807" t="str">
        <f t="shared" si="144"/>
        <v/>
      </c>
    </row>
    <row r="1808" spans="1:7" x14ac:dyDescent="0.4">
      <c r="A1808" t="str">
        <f t="shared" si="140"/>
        <v/>
      </c>
      <c r="B1808" t="str">
        <f t="shared" si="141"/>
        <v/>
      </c>
      <c r="C1808" t="str">
        <f t="shared" si="142"/>
        <v/>
      </c>
      <c r="D1808" t="str">
        <f>IF(E1808="","",IF(COUNTIF($E$2:E1808,E1808)&gt;1,"",SUMIFS(tbl_input[필요수량],tbl_input[집계키_지청],E1808)))</f>
        <v/>
      </c>
      <c r="E1808" t="str">
        <f>IFERROR(INDEX(tbl_input[집계키_지청],ROW()-1),"")</f>
        <v/>
      </c>
      <c r="F1808" t="str">
        <f t="shared" si="143"/>
        <v/>
      </c>
      <c r="G1808" t="str">
        <f t="shared" si="144"/>
        <v/>
      </c>
    </row>
    <row r="1809" spans="1:7" x14ac:dyDescent="0.4">
      <c r="A1809" t="str">
        <f t="shared" si="140"/>
        <v/>
      </c>
      <c r="B1809" t="str">
        <f t="shared" si="141"/>
        <v/>
      </c>
      <c r="C1809" t="str">
        <f t="shared" si="142"/>
        <v/>
      </c>
      <c r="D1809" t="str">
        <f>IF(E1809="","",IF(COUNTIF($E$2:E1809,E1809)&gt;1,"",SUMIFS(tbl_input[필요수량],tbl_input[집계키_지청],E1809)))</f>
        <v/>
      </c>
      <c r="E1809" t="str">
        <f>IFERROR(INDEX(tbl_input[집계키_지청],ROW()-1),"")</f>
        <v/>
      </c>
      <c r="F1809" t="str">
        <f t="shared" si="143"/>
        <v/>
      </c>
      <c r="G1809" t="str">
        <f t="shared" si="144"/>
        <v/>
      </c>
    </row>
    <row r="1810" spans="1:7" x14ac:dyDescent="0.4">
      <c r="A1810" t="str">
        <f t="shared" si="140"/>
        <v/>
      </c>
      <c r="B1810" t="str">
        <f t="shared" si="141"/>
        <v/>
      </c>
      <c r="C1810" t="str">
        <f t="shared" si="142"/>
        <v/>
      </c>
      <c r="D1810" t="str">
        <f>IF(E1810="","",IF(COUNTIF($E$2:E1810,E1810)&gt;1,"",SUMIFS(tbl_input[필요수량],tbl_input[집계키_지청],E1810)))</f>
        <v/>
      </c>
      <c r="E1810" t="str">
        <f>IFERROR(INDEX(tbl_input[집계키_지청],ROW()-1),"")</f>
        <v/>
      </c>
      <c r="F1810" t="str">
        <f t="shared" si="143"/>
        <v/>
      </c>
      <c r="G1810" t="str">
        <f t="shared" si="144"/>
        <v/>
      </c>
    </row>
    <row r="1811" spans="1:7" x14ac:dyDescent="0.4">
      <c r="A1811" t="str">
        <f t="shared" si="140"/>
        <v/>
      </c>
      <c r="B1811" t="str">
        <f t="shared" si="141"/>
        <v/>
      </c>
      <c r="C1811" t="str">
        <f t="shared" si="142"/>
        <v/>
      </c>
      <c r="D1811" t="str">
        <f>IF(E1811="","",IF(COUNTIF($E$2:E1811,E1811)&gt;1,"",SUMIFS(tbl_input[필요수량],tbl_input[집계키_지청],E1811)))</f>
        <v/>
      </c>
      <c r="E1811" t="str">
        <f>IFERROR(INDEX(tbl_input[집계키_지청],ROW()-1),"")</f>
        <v/>
      </c>
      <c r="F1811" t="str">
        <f t="shared" si="143"/>
        <v/>
      </c>
      <c r="G1811" t="str">
        <f t="shared" si="144"/>
        <v/>
      </c>
    </row>
    <row r="1812" spans="1:7" x14ac:dyDescent="0.4">
      <c r="A1812" t="str">
        <f t="shared" si="140"/>
        <v/>
      </c>
      <c r="B1812" t="str">
        <f t="shared" si="141"/>
        <v/>
      </c>
      <c r="C1812" t="str">
        <f t="shared" si="142"/>
        <v/>
      </c>
      <c r="D1812" t="str">
        <f>IF(E1812="","",IF(COUNTIF($E$2:E1812,E1812)&gt;1,"",SUMIFS(tbl_input[필요수량],tbl_input[집계키_지청],E1812)))</f>
        <v/>
      </c>
      <c r="E1812" t="str">
        <f>IFERROR(INDEX(tbl_input[집계키_지청],ROW()-1),"")</f>
        <v/>
      </c>
      <c r="F1812" t="str">
        <f t="shared" si="143"/>
        <v/>
      </c>
      <c r="G1812" t="str">
        <f t="shared" si="144"/>
        <v/>
      </c>
    </row>
    <row r="1813" spans="1:7" x14ac:dyDescent="0.4">
      <c r="A1813" t="str">
        <f t="shared" si="140"/>
        <v/>
      </c>
      <c r="B1813" t="str">
        <f t="shared" si="141"/>
        <v/>
      </c>
      <c r="C1813" t="str">
        <f t="shared" si="142"/>
        <v/>
      </c>
      <c r="D1813" t="str">
        <f>IF(E1813="","",IF(COUNTIF($E$2:E1813,E1813)&gt;1,"",SUMIFS(tbl_input[필요수량],tbl_input[집계키_지청],E1813)))</f>
        <v/>
      </c>
      <c r="E1813" t="str">
        <f>IFERROR(INDEX(tbl_input[집계키_지청],ROW()-1),"")</f>
        <v/>
      </c>
      <c r="F1813" t="str">
        <f t="shared" si="143"/>
        <v/>
      </c>
      <c r="G1813" t="str">
        <f t="shared" si="144"/>
        <v/>
      </c>
    </row>
    <row r="1814" spans="1:7" x14ac:dyDescent="0.4">
      <c r="A1814" t="str">
        <f t="shared" si="140"/>
        <v/>
      </c>
      <c r="B1814" t="str">
        <f t="shared" si="141"/>
        <v/>
      </c>
      <c r="C1814" t="str">
        <f t="shared" si="142"/>
        <v/>
      </c>
      <c r="D1814" t="str">
        <f>IF(E1814="","",IF(COUNTIF($E$2:E1814,E1814)&gt;1,"",SUMIFS(tbl_input[필요수량],tbl_input[집계키_지청],E1814)))</f>
        <v/>
      </c>
      <c r="E1814" t="str">
        <f>IFERROR(INDEX(tbl_input[집계키_지청],ROW()-1),"")</f>
        <v/>
      </c>
      <c r="F1814" t="str">
        <f t="shared" si="143"/>
        <v/>
      </c>
      <c r="G1814" t="str">
        <f t="shared" si="144"/>
        <v/>
      </c>
    </row>
    <row r="1815" spans="1:7" x14ac:dyDescent="0.4">
      <c r="A1815" t="str">
        <f t="shared" si="140"/>
        <v/>
      </c>
      <c r="B1815" t="str">
        <f t="shared" si="141"/>
        <v/>
      </c>
      <c r="C1815" t="str">
        <f t="shared" si="142"/>
        <v/>
      </c>
      <c r="D1815" t="str">
        <f>IF(E1815="","",IF(COUNTIF($E$2:E1815,E1815)&gt;1,"",SUMIFS(tbl_input[필요수량],tbl_input[집계키_지청],E1815)))</f>
        <v/>
      </c>
      <c r="E1815" t="str">
        <f>IFERROR(INDEX(tbl_input[집계키_지청],ROW()-1),"")</f>
        <v/>
      </c>
      <c r="F1815" t="str">
        <f t="shared" si="143"/>
        <v/>
      </c>
      <c r="G1815" t="str">
        <f t="shared" si="144"/>
        <v/>
      </c>
    </row>
    <row r="1816" spans="1:7" x14ac:dyDescent="0.4">
      <c r="A1816" t="str">
        <f t="shared" si="140"/>
        <v/>
      </c>
      <c r="B1816" t="str">
        <f t="shared" si="141"/>
        <v/>
      </c>
      <c r="C1816" t="str">
        <f t="shared" si="142"/>
        <v/>
      </c>
      <c r="D1816" t="str">
        <f>IF(E1816="","",IF(COUNTIF($E$2:E1816,E1816)&gt;1,"",SUMIFS(tbl_input[필요수량],tbl_input[집계키_지청],E1816)))</f>
        <v/>
      </c>
      <c r="E1816" t="str">
        <f>IFERROR(INDEX(tbl_input[집계키_지청],ROW()-1),"")</f>
        <v/>
      </c>
      <c r="F1816" t="str">
        <f t="shared" si="143"/>
        <v/>
      </c>
      <c r="G1816" t="str">
        <f t="shared" si="144"/>
        <v/>
      </c>
    </row>
    <row r="1817" spans="1:7" x14ac:dyDescent="0.4">
      <c r="A1817" t="str">
        <f t="shared" si="140"/>
        <v/>
      </c>
      <c r="B1817" t="str">
        <f t="shared" si="141"/>
        <v/>
      </c>
      <c r="C1817" t="str">
        <f t="shared" si="142"/>
        <v/>
      </c>
      <c r="D1817" t="str">
        <f>IF(E1817="","",IF(COUNTIF($E$2:E1817,E1817)&gt;1,"",SUMIFS(tbl_input[필요수량],tbl_input[집계키_지청],E1817)))</f>
        <v/>
      </c>
      <c r="E1817" t="str">
        <f>IFERROR(INDEX(tbl_input[집계키_지청],ROW()-1),"")</f>
        <v/>
      </c>
      <c r="F1817" t="str">
        <f t="shared" si="143"/>
        <v/>
      </c>
      <c r="G1817" t="str">
        <f t="shared" si="144"/>
        <v/>
      </c>
    </row>
    <row r="1818" spans="1:7" x14ac:dyDescent="0.4">
      <c r="A1818" t="str">
        <f t="shared" si="140"/>
        <v/>
      </c>
      <c r="B1818" t="str">
        <f t="shared" si="141"/>
        <v/>
      </c>
      <c r="C1818" t="str">
        <f t="shared" si="142"/>
        <v/>
      </c>
      <c r="D1818" t="str">
        <f>IF(E1818="","",IF(COUNTIF($E$2:E1818,E1818)&gt;1,"",SUMIFS(tbl_input[필요수량],tbl_input[집계키_지청],E1818)))</f>
        <v/>
      </c>
      <c r="E1818" t="str">
        <f>IFERROR(INDEX(tbl_input[집계키_지청],ROW()-1),"")</f>
        <v/>
      </c>
      <c r="F1818" t="str">
        <f t="shared" si="143"/>
        <v/>
      </c>
      <c r="G1818" t="str">
        <f t="shared" si="144"/>
        <v/>
      </c>
    </row>
    <row r="1819" spans="1:7" x14ac:dyDescent="0.4">
      <c r="A1819" t="str">
        <f t="shared" si="140"/>
        <v/>
      </c>
      <c r="B1819" t="str">
        <f t="shared" si="141"/>
        <v/>
      </c>
      <c r="C1819" t="str">
        <f t="shared" si="142"/>
        <v/>
      </c>
      <c r="D1819" t="str">
        <f>IF(E1819="","",IF(COUNTIF($E$2:E1819,E1819)&gt;1,"",SUMIFS(tbl_input[필요수량],tbl_input[집계키_지청],E1819)))</f>
        <v/>
      </c>
      <c r="E1819" t="str">
        <f>IFERROR(INDEX(tbl_input[집계키_지청],ROW()-1),"")</f>
        <v/>
      </c>
      <c r="F1819" t="str">
        <f t="shared" si="143"/>
        <v/>
      </c>
      <c r="G1819" t="str">
        <f t="shared" si="144"/>
        <v/>
      </c>
    </row>
    <row r="1820" spans="1:7" x14ac:dyDescent="0.4">
      <c r="A1820" t="str">
        <f t="shared" si="140"/>
        <v/>
      </c>
      <c r="B1820" t="str">
        <f t="shared" si="141"/>
        <v/>
      </c>
      <c r="C1820" t="str">
        <f t="shared" si="142"/>
        <v/>
      </c>
      <c r="D1820" t="str">
        <f>IF(E1820="","",IF(COUNTIF($E$2:E1820,E1820)&gt;1,"",SUMIFS(tbl_input[필요수량],tbl_input[집계키_지청],E1820)))</f>
        <v/>
      </c>
      <c r="E1820" t="str">
        <f>IFERROR(INDEX(tbl_input[집계키_지청],ROW()-1),"")</f>
        <v/>
      </c>
      <c r="F1820" t="str">
        <f t="shared" si="143"/>
        <v/>
      </c>
      <c r="G1820" t="str">
        <f t="shared" si="144"/>
        <v/>
      </c>
    </row>
    <row r="1821" spans="1:7" x14ac:dyDescent="0.4">
      <c r="A1821" t="str">
        <f t="shared" si="140"/>
        <v/>
      </c>
      <c r="B1821" t="str">
        <f t="shared" si="141"/>
        <v/>
      </c>
      <c r="C1821" t="str">
        <f t="shared" si="142"/>
        <v/>
      </c>
      <c r="D1821" t="str">
        <f>IF(E1821="","",IF(COUNTIF($E$2:E1821,E1821)&gt;1,"",SUMIFS(tbl_input[필요수량],tbl_input[집계키_지청],E1821)))</f>
        <v/>
      </c>
      <c r="E1821" t="str">
        <f>IFERROR(INDEX(tbl_input[집계키_지청],ROW()-1),"")</f>
        <v/>
      </c>
      <c r="F1821" t="str">
        <f t="shared" si="143"/>
        <v/>
      </c>
      <c r="G1821" t="str">
        <f t="shared" si="144"/>
        <v/>
      </c>
    </row>
    <row r="1822" spans="1:7" x14ac:dyDescent="0.4">
      <c r="A1822" t="str">
        <f t="shared" si="140"/>
        <v/>
      </c>
      <c r="B1822" t="str">
        <f t="shared" si="141"/>
        <v/>
      </c>
      <c r="C1822" t="str">
        <f t="shared" si="142"/>
        <v/>
      </c>
      <c r="D1822" t="str">
        <f>IF(E1822="","",IF(COUNTIF($E$2:E1822,E1822)&gt;1,"",SUMIFS(tbl_input[필요수량],tbl_input[집계키_지청],E1822)))</f>
        <v/>
      </c>
      <c r="E1822" t="str">
        <f>IFERROR(INDEX(tbl_input[집계키_지청],ROW()-1),"")</f>
        <v/>
      </c>
      <c r="F1822" t="str">
        <f t="shared" si="143"/>
        <v/>
      </c>
      <c r="G1822" t="str">
        <f t="shared" si="144"/>
        <v/>
      </c>
    </row>
    <row r="1823" spans="1:7" x14ac:dyDescent="0.4">
      <c r="A1823" t="str">
        <f t="shared" si="140"/>
        <v/>
      </c>
      <c r="B1823" t="str">
        <f t="shared" si="141"/>
        <v/>
      </c>
      <c r="C1823" t="str">
        <f t="shared" si="142"/>
        <v/>
      </c>
      <c r="D1823" t="str">
        <f>IF(E1823="","",IF(COUNTIF($E$2:E1823,E1823)&gt;1,"",SUMIFS(tbl_input[필요수량],tbl_input[집계키_지청],E1823)))</f>
        <v/>
      </c>
      <c r="E1823" t="str">
        <f>IFERROR(INDEX(tbl_input[집계키_지청],ROW()-1),"")</f>
        <v/>
      </c>
      <c r="F1823" t="str">
        <f t="shared" si="143"/>
        <v/>
      </c>
      <c r="G1823" t="str">
        <f t="shared" si="144"/>
        <v/>
      </c>
    </row>
    <row r="1824" spans="1:7" x14ac:dyDescent="0.4">
      <c r="A1824" t="str">
        <f t="shared" si="140"/>
        <v/>
      </c>
      <c r="B1824" t="str">
        <f t="shared" si="141"/>
        <v/>
      </c>
      <c r="C1824" t="str">
        <f t="shared" si="142"/>
        <v/>
      </c>
      <c r="D1824" t="str">
        <f>IF(E1824="","",IF(COUNTIF($E$2:E1824,E1824)&gt;1,"",SUMIFS(tbl_input[필요수량],tbl_input[집계키_지청],E1824)))</f>
        <v/>
      </c>
      <c r="E1824" t="str">
        <f>IFERROR(INDEX(tbl_input[집계키_지청],ROW()-1),"")</f>
        <v/>
      </c>
      <c r="F1824" t="str">
        <f t="shared" si="143"/>
        <v/>
      </c>
      <c r="G1824" t="str">
        <f t="shared" si="144"/>
        <v/>
      </c>
    </row>
    <row r="1825" spans="1:7" x14ac:dyDescent="0.4">
      <c r="A1825" t="str">
        <f t="shared" si="140"/>
        <v/>
      </c>
      <c r="B1825" t="str">
        <f t="shared" si="141"/>
        <v/>
      </c>
      <c r="C1825" t="str">
        <f t="shared" si="142"/>
        <v/>
      </c>
      <c r="D1825" t="str">
        <f>IF(E1825="","",IF(COUNTIF($E$2:E1825,E1825)&gt;1,"",SUMIFS(tbl_input[필요수량],tbl_input[집계키_지청],E1825)))</f>
        <v/>
      </c>
      <c r="E1825" t="str">
        <f>IFERROR(INDEX(tbl_input[집계키_지청],ROW()-1),"")</f>
        <v/>
      </c>
      <c r="F1825" t="str">
        <f t="shared" si="143"/>
        <v/>
      </c>
      <c r="G1825" t="str">
        <f t="shared" si="144"/>
        <v/>
      </c>
    </row>
    <row r="1826" spans="1:7" x14ac:dyDescent="0.4">
      <c r="A1826" t="str">
        <f t="shared" si="140"/>
        <v/>
      </c>
      <c r="B1826" t="str">
        <f t="shared" si="141"/>
        <v/>
      </c>
      <c r="C1826" t="str">
        <f t="shared" si="142"/>
        <v/>
      </c>
      <c r="D1826" t="str">
        <f>IF(E1826="","",IF(COUNTIF($E$2:E1826,E1826)&gt;1,"",SUMIFS(tbl_input[필요수량],tbl_input[집계키_지청],E1826)))</f>
        <v/>
      </c>
      <c r="E1826" t="str">
        <f>IFERROR(INDEX(tbl_input[집계키_지청],ROW()-1),"")</f>
        <v/>
      </c>
      <c r="F1826" t="str">
        <f t="shared" si="143"/>
        <v/>
      </c>
      <c r="G1826" t="str">
        <f t="shared" si="144"/>
        <v/>
      </c>
    </row>
    <row r="1827" spans="1:7" x14ac:dyDescent="0.4">
      <c r="A1827" t="str">
        <f t="shared" si="140"/>
        <v/>
      </c>
      <c r="B1827" t="str">
        <f t="shared" si="141"/>
        <v/>
      </c>
      <c r="C1827" t="str">
        <f t="shared" si="142"/>
        <v/>
      </c>
      <c r="D1827" t="str">
        <f>IF(E1827="","",IF(COUNTIF($E$2:E1827,E1827)&gt;1,"",SUMIFS(tbl_input[필요수량],tbl_input[집계키_지청],E1827)))</f>
        <v/>
      </c>
      <c r="E1827" t="str">
        <f>IFERROR(INDEX(tbl_input[집계키_지청],ROW()-1),"")</f>
        <v/>
      </c>
      <c r="F1827" t="str">
        <f t="shared" si="143"/>
        <v/>
      </c>
      <c r="G1827" t="str">
        <f t="shared" si="144"/>
        <v/>
      </c>
    </row>
    <row r="1828" spans="1:7" x14ac:dyDescent="0.4">
      <c r="A1828" t="str">
        <f t="shared" si="140"/>
        <v/>
      </c>
      <c r="B1828" t="str">
        <f t="shared" si="141"/>
        <v/>
      </c>
      <c r="C1828" t="str">
        <f t="shared" si="142"/>
        <v/>
      </c>
      <c r="D1828" t="str">
        <f>IF(E1828="","",IF(COUNTIF($E$2:E1828,E1828)&gt;1,"",SUMIFS(tbl_input[필요수량],tbl_input[집계키_지청],E1828)))</f>
        <v/>
      </c>
      <c r="E1828" t="str">
        <f>IFERROR(INDEX(tbl_input[집계키_지청],ROW()-1),"")</f>
        <v/>
      </c>
      <c r="F1828" t="str">
        <f t="shared" si="143"/>
        <v/>
      </c>
      <c r="G1828" t="str">
        <f t="shared" si="144"/>
        <v/>
      </c>
    </row>
    <row r="1829" spans="1:7" x14ac:dyDescent="0.4">
      <c r="A1829" t="str">
        <f t="shared" si="140"/>
        <v/>
      </c>
      <c r="B1829" t="str">
        <f t="shared" si="141"/>
        <v/>
      </c>
      <c r="C1829" t="str">
        <f t="shared" si="142"/>
        <v/>
      </c>
      <c r="D1829" t="str">
        <f>IF(E1829="","",IF(COUNTIF($E$2:E1829,E1829)&gt;1,"",SUMIFS(tbl_input[필요수량],tbl_input[집계키_지청],E1829)))</f>
        <v/>
      </c>
      <c r="E1829" t="str">
        <f>IFERROR(INDEX(tbl_input[집계키_지청],ROW()-1),"")</f>
        <v/>
      </c>
      <c r="F1829" t="str">
        <f t="shared" si="143"/>
        <v/>
      </c>
      <c r="G1829" t="str">
        <f t="shared" si="144"/>
        <v/>
      </c>
    </row>
    <row r="1830" spans="1:7" x14ac:dyDescent="0.4">
      <c r="A1830" t="str">
        <f t="shared" si="140"/>
        <v/>
      </c>
      <c r="B1830" t="str">
        <f t="shared" si="141"/>
        <v/>
      </c>
      <c r="C1830" t="str">
        <f t="shared" si="142"/>
        <v/>
      </c>
      <c r="D1830" t="str">
        <f>IF(E1830="","",IF(COUNTIF($E$2:E1830,E1830)&gt;1,"",SUMIFS(tbl_input[필요수량],tbl_input[집계키_지청],E1830)))</f>
        <v/>
      </c>
      <c r="E1830" t="str">
        <f>IFERROR(INDEX(tbl_input[집계키_지청],ROW()-1),"")</f>
        <v/>
      </c>
      <c r="F1830" t="str">
        <f t="shared" si="143"/>
        <v/>
      </c>
      <c r="G1830" t="str">
        <f t="shared" si="144"/>
        <v/>
      </c>
    </row>
    <row r="1831" spans="1:7" x14ac:dyDescent="0.4">
      <c r="A1831" t="str">
        <f t="shared" si="140"/>
        <v/>
      </c>
      <c r="B1831" t="str">
        <f t="shared" si="141"/>
        <v/>
      </c>
      <c r="C1831" t="str">
        <f t="shared" si="142"/>
        <v/>
      </c>
      <c r="D1831" t="str">
        <f>IF(E1831="","",IF(COUNTIF($E$2:E1831,E1831)&gt;1,"",SUMIFS(tbl_input[필요수량],tbl_input[집계키_지청],E1831)))</f>
        <v/>
      </c>
      <c r="E1831" t="str">
        <f>IFERROR(INDEX(tbl_input[집계키_지청],ROW()-1),"")</f>
        <v/>
      </c>
      <c r="F1831" t="str">
        <f t="shared" si="143"/>
        <v/>
      </c>
      <c r="G1831" t="str">
        <f t="shared" si="144"/>
        <v/>
      </c>
    </row>
    <row r="1832" spans="1:7" x14ac:dyDescent="0.4">
      <c r="A1832" t="str">
        <f t="shared" si="140"/>
        <v/>
      </c>
      <c r="B1832" t="str">
        <f t="shared" si="141"/>
        <v/>
      </c>
      <c r="C1832" t="str">
        <f t="shared" si="142"/>
        <v/>
      </c>
      <c r="D1832" t="str">
        <f>IF(E1832="","",IF(COUNTIF($E$2:E1832,E1832)&gt;1,"",SUMIFS(tbl_input[필요수량],tbl_input[집계키_지청],E1832)))</f>
        <v/>
      </c>
      <c r="E1832" t="str">
        <f>IFERROR(INDEX(tbl_input[집계키_지청],ROW()-1),"")</f>
        <v/>
      </c>
      <c r="F1832" t="str">
        <f t="shared" si="143"/>
        <v/>
      </c>
      <c r="G1832" t="str">
        <f t="shared" si="144"/>
        <v/>
      </c>
    </row>
    <row r="1833" spans="1:7" x14ac:dyDescent="0.4">
      <c r="A1833" t="str">
        <f t="shared" si="140"/>
        <v/>
      </c>
      <c r="B1833" t="str">
        <f t="shared" si="141"/>
        <v/>
      </c>
      <c r="C1833" t="str">
        <f t="shared" si="142"/>
        <v/>
      </c>
      <c r="D1833" t="str">
        <f>IF(E1833="","",IF(COUNTIF($E$2:E1833,E1833)&gt;1,"",SUMIFS(tbl_input[필요수량],tbl_input[집계키_지청],E1833)))</f>
        <v/>
      </c>
      <c r="E1833" t="str">
        <f>IFERROR(INDEX(tbl_input[집계키_지청],ROW()-1),"")</f>
        <v/>
      </c>
      <c r="F1833" t="str">
        <f t="shared" si="143"/>
        <v/>
      </c>
      <c r="G1833" t="str">
        <f t="shared" si="144"/>
        <v/>
      </c>
    </row>
    <row r="1834" spans="1:7" x14ac:dyDescent="0.4">
      <c r="A1834" t="str">
        <f t="shared" si="140"/>
        <v/>
      </c>
      <c r="B1834" t="str">
        <f t="shared" si="141"/>
        <v/>
      </c>
      <c r="C1834" t="str">
        <f t="shared" si="142"/>
        <v/>
      </c>
      <c r="D1834" t="str">
        <f>IF(E1834="","",IF(COUNTIF($E$2:E1834,E1834)&gt;1,"",SUMIFS(tbl_input[필요수량],tbl_input[집계키_지청],E1834)))</f>
        <v/>
      </c>
      <c r="E1834" t="str">
        <f>IFERROR(INDEX(tbl_input[집계키_지청],ROW()-1),"")</f>
        <v/>
      </c>
      <c r="F1834" t="str">
        <f t="shared" si="143"/>
        <v/>
      </c>
      <c r="G1834" t="str">
        <f t="shared" si="144"/>
        <v/>
      </c>
    </row>
    <row r="1835" spans="1:7" x14ac:dyDescent="0.4">
      <c r="A1835" t="str">
        <f t="shared" si="140"/>
        <v/>
      </c>
      <c r="B1835" t="str">
        <f t="shared" si="141"/>
        <v/>
      </c>
      <c r="C1835" t="str">
        <f t="shared" si="142"/>
        <v/>
      </c>
      <c r="D1835" t="str">
        <f>IF(E1835="","",IF(COUNTIF($E$2:E1835,E1835)&gt;1,"",SUMIFS(tbl_input[필요수량],tbl_input[집계키_지청],E1835)))</f>
        <v/>
      </c>
      <c r="E1835" t="str">
        <f>IFERROR(INDEX(tbl_input[집계키_지청],ROW()-1),"")</f>
        <v/>
      </c>
      <c r="F1835" t="str">
        <f t="shared" si="143"/>
        <v/>
      </c>
      <c r="G1835" t="str">
        <f t="shared" si="144"/>
        <v/>
      </c>
    </row>
    <row r="1836" spans="1:7" x14ac:dyDescent="0.4">
      <c r="A1836" t="str">
        <f t="shared" si="140"/>
        <v/>
      </c>
      <c r="B1836" t="str">
        <f t="shared" si="141"/>
        <v/>
      </c>
      <c r="C1836" t="str">
        <f t="shared" si="142"/>
        <v/>
      </c>
      <c r="D1836" t="str">
        <f>IF(E1836="","",IF(COUNTIF($E$2:E1836,E1836)&gt;1,"",SUMIFS(tbl_input[필요수량],tbl_input[집계키_지청],E1836)))</f>
        <v/>
      </c>
      <c r="E1836" t="str">
        <f>IFERROR(INDEX(tbl_input[집계키_지청],ROW()-1),"")</f>
        <v/>
      </c>
      <c r="F1836" t="str">
        <f t="shared" si="143"/>
        <v/>
      </c>
      <c r="G1836" t="str">
        <f t="shared" si="144"/>
        <v/>
      </c>
    </row>
    <row r="1837" spans="1:7" x14ac:dyDescent="0.4">
      <c r="A1837" t="str">
        <f t="shared" si="140"/>
        <v/>
      </c>
      <c r="B1837" t="str">
        <f t="shared" si="141"/>
        <v/>
      </c>
      <c r="C1837" t="str">
        <f t="shared" si="142"/>
        <v/>
      </c>
      <c r="D1837" t="str">
        <f>IF(E1837="","",IF(COUNTIF($E$2:E1837,E1837)&gt;1,"",SUMIFS(tbl_input[필요수량],tbl_input[집계키_지청],E1837)))</f>
        <v/>
      </c>
      <c r="E1837" t="str">
        <f>IFERROR(INDEX(tbl_input[집계키_지청],ROW()-1),"")</f>
        <v/>
      </c>
      <c r="F1837" t="str">
        <f t="shared" si="143"/>
        <v/>
      </c>
      <c r="G1837" t="str">
        <f t="shared" si="144"/>
        <v/>
      </c>
    </row>
    <row r="1838" spans="1:7" x14ac:dyDescent="0.4">
      <c r="A1838" t="str">
        <f t="shared" si="140"/>
        <v/>
      </c>
      <c r="B1838" t="str">
        <f t="shared" si="141"/>
        <v/>
      </c>
      <c r="C1838" t="str">
        <f t="shared" si="142"/>
        <v/>
      </c>
      <c r="D1838" t="str">
        <f>IF(E1838="","",IF(COUNTIF($E$2:E1838,E1838)&gt;1,"",SUMIFS(tbl_input[필요수량],tbl_input[집계키_지청],E1838)))</f>
        <v/>
      </c>
      <c r="E1838" t="str">
        <f>IFERROR(INDEX(tbl_input[집계키_지청],ROW()-1),"")</f>
        <v/>
      </c>
      <c r="F1838" t="str">
        <f t="shared" si="143"/>
        <v/>
      </c>
      <c r="G1838" t="str">
        <f t="shared" si="144"/>
        <v/>
      </c>
    </row>
    <row r="1839" spans="1:7" x14ac:dyDescent="0.4">
      <c r="A1839" t="str">
        <f t="shared" si="140"/>
        <v/>
      </c>
      <c r="B1839" t="str">
        <f t="shared" si="141"/>
        <v/>
      </c>
      <c r="C1839" t="str">
        <f t="shared" si="142"/>
        <v/>
      </c>
      <c r="D1839" t="str">
        <f>IF(E1839="","",IF(COUNTIF($E$2:E1839,E1839)&gt;1,"",SUMIFS(tbl_input[필요수량],tbl_input[집계키_지청],E1839)))</f>
        <v/>
      </c>
      <c r="E1839" t="str">
        <f>IFERROR(INDEX(tbl_input[집계키_지청],ROW()-1),"")</f>
        <v/>
      </c>
      <c r="F1839" t="str">
        <f t="shared" si="143"/>
        <v/>
      </c>
      <c r="G1839" t="str">
        <f t="shared" si="144"/>
        <v/>
      </c>
    </row>
    <row r="1840" spans="1:7" x14ac:dyDescent="0.4">
      <c r="A1840" t="str">
        <f t="shared" si="140"/>
        <v/>
      </c>
      <c r="B1840" t="str">
        <f t="shared" si="141"/>
        <v/>
      </c>
      <c r="C1840" t="str">
        <f t="shared" si="142"/>
        <v/>
      </c>
      <c r="D1840" t="str">
        <f>IF(E1840="","",IF(COUNTIF($E$2:E1840,E1840)&gt;1,"",SUMIFS(tbl_input[필요수량],tbl_input[집계키_지청],E1840)))</f>
        <v/>
      </c>
      <c r="E1840" t="str">
        <f>IFERROR(INDEX(tbl_input[집계키_지청],ROW()-1),"")</f>
        <v/>
      </c>
      <c r="F1840" t="str">
        <f t="shared" si="143"/>
        <v/>
      </c>
      <c r="G1840" t="str">
        <f t="shared" si="144"/>
        <v/>
      </c>
    </row>
    <row r="1841" spans="1:7" x14ac:dyDescent="0.4">
      <c r="A1841" t="str">
        <f t="shared" si="140"/>
        <v/>
      </c>
      <c r="B1841" t="str">
        <f t="shared" si="141"/>
        <v/>
      </c>
      <c r="C1841" t="str">
        <f t="shared" si="142"/>
        <v/>
      </c>
      <c r="D1841" t="str">
        <f>IF(E1841="","",IF(COUNTIF($E$2:E1841,E1841)&gt;1,"",SUMIFS(tbl_input[필요수량],tbl_input[집계키_지청],E1841)))</f>
        <v/>
      </c>
      <c r="E1841" t="str">
        <f>IFERROR(INDEX(tbl_input[집계키_지청],ROW()-1),"")</f>
        <v/>
      </c>
      <c r="F1841" t="str">
        <f t="shared" si="143"/>
        <v/>
      </c>
      <c r="G1841" t="str">
        <f t="shared" si="144"/>
        <v/>
      </c>
    </row>
    <row r="1842" spans="1:7" x14ac:dyDescent="0.4">
      <c r="A1842" t="str">
        <f t="shared" si="140"/>
        <v/>
      </c>
      <c r="B1842" t="str">
        <f t="shared" si="141"/>
        <v/>
      </c>
      <c r="C1842" t="str">
        <f t="shared" si="142"/>
        <v/>
      </c>
      <c r="D1842" t="str">
        <f>IF(E1842="","",IF(COUNTIF($E$2:E1842,E1842)&gt;1,"",SUMIFS(tbl_input[필요수량],tbl_input[집계키_지청],E1842)))</f>
        <v/>
      </c>
      <c r="E1842" t="str">
        <f>IFERROR(INDEX(tbl_input[집계키_지청],ROW()-1),"")</f>
        <v/>
      </c>
      <c r="F1842" t="str">
        <f t="shared" si="143"/>
        <v/>
      </c>
      <c r="G1842" t="str">
        <f t="shared" si="144"/>
        <v/>
      </c>
    </row>
    <row r="1843" spans="1:7" x14ac:dyDescent="0.4">
      <c r="A1843" t="str">
        <f t="shared" si="140"/>
        <v/>
      </c>
      <c r="B1843" t="str">
        <f t="shared" si="141"/>
        <v/>
      </c>
      <c r="C1843" t="str">
        <f t="shared" si="142"/>
        <v/>
      </c>
      <c r="D1843" t="str">
        <f>IF(E1843="","",IF(COUNTIF($E$2:E1843,E1843)&gt;1,"",SUMIFS(tbl_input[필요수량],tbl_input[집계키_지청],E1843)))</f>
        <v/>
      </c>
      <c r="E1843" t="str">
        <f>IFERROR(INDEX(tbl_input[집계키_지청],ROW()-1),"")</f>
        <v/>
      </c>
      <c r="F1843" t="str">
        <f t="shared" si="143"/>
        <v/>
      </c>
      <c r="G1843" t="str">
        <f t="shared" si="144"/>
        <v/>
      </c>
    </row>
    <row r="1844" spans="1:7" x14ac:dyDescent="0.4">
      <c r="A1844" t="str">
        <f t="shared" si="140"/>
        <v/>
      </c>
      <c r="B1844" t="str">
        <f t="shared" si="141"/>
        <v/>
      </c>
      <c r="C1844" t="str">
        <f t="shared" si="142"/>
        <v/>
      </c>
      <c r="D1844" t="str">
        <f>IF(E1844="","",IF(COUNTIF($E$2:E1844,E1844)&gt;1,"",SUMIFS(tbl_input[필요수량],tbl_input[집계키_지청],E1844)))</f>
        <v/>
      </c>
      <c r="E1844" t="str">
        <f>IFERROR(INDEX(tbl_input[집계키_지청],ROW()-1),"")</f>
        <v/>
      </c>
      <c r="F1844" t="str">
        <f t="shared" si="143"/>
        <v/>
      </c>
      <c r="G1844" t="str">
        <f t="shared" si="144"/>
        <v/>
      </c>
    </row>
    <row r="1845" spans="1:7" x14ac:dyDescent="0.4">
      <c r="A1845" t="str">
        <f t="shared" si="140"/>
        <v/>
      </c>
      <c r="B1845" t="str">
        <f t="shared" si="141"/>
        <v/>
      </c>
      <c r="C1845" t="str">
        <f t="shared" si="142"/>
        <v/>
      </c>
      <c r="D1845" t="str">
        <f>IF(E1845="","",IF(COUNTIF($E$2:E1845,E1845)&gt;1,"",SUMIFS(tbl_input[필요수량],tbl_input[집계키_지청],E1845)))</f>
        <v/>
      </c>
      <c r="E1845" t="str">
        <f>IFERROR(INDEX(tbl_input[집계키_지청],ROW()-1),"")</f>
        <v/>
      </c>
      <c r="F1845" t="str">
        <f t="shared" si="143"/>
        <v/>
      </c>
      <c r="G1845" t="str">
        <f t="shared" si="144"/>
        <v/>
      </c>
    </row>
    <row r="1846" spans="1:7" x14ac:dyDescent="0.4">
      <c r="A1846" t="str">
        <f t="shared" si="140"/>
        <v/>
      </c>
      <c r="B1846" t="str">
        <f t="shared" si="141"/>
        <v/>
      </c>
      <c r="C1846" t="str">
        <f t="shared" si="142"/>
        <v/>
      </c>
      <c r="D1846" t="str">
        <f>IF(E1846="","",IF(COUNTIF($E$2:E1846,E1846)&gt;1,"",SUMIFS(tbl_input[필요수량],tbl_input[집계키_지청],E1846)))</f>
        <v/>
      </c>
      <c r="E1846" t="str">
        <f>IFERROR(INDEX(tbl_input[집계키_지청],ROW()-1),"")</f>
        <v/>
      </c>
      <c r="F1846" t="str">
        <f t="shared" si="143"/>
        <v/>
      </c>
      <c r="G1846" t="str">
        <f t="shared" si="144"/>
        <v/>
      </c>
    </row>
    <row r="1847" spans="1:7" x14ac:dyDescent="0.4">
      <c r="A1847" t="str">
        <f t="shared" si="140"/>
        <v/>
      </c>
      <c r="B1847" t="str">
        <f t="shared" si="141"/>
        <v/>
      </c>
      <c r="C1847" t="str">
        <f t="shared" si="142"/>
        <v/>
      </c>
      <c r="D1847" t="str">
        <f>IF(E1847="","",IF(COUNTIF($E$2:E1847,E1847)&gt;1,"",SUMIFS(tbl_input[필요수량],tbl_input[집계키_지청],E1847)))</f>
        <v/>
      </c>
      <c r="E1847" t="str">
        <f>IFERROR(INDEX(tbl_input[집계키_지청],ROW()-1),"")</f>
        <v/>
      </c>
      <c r="F1847" t="str">
        <f t="shared" si="143"/>
        <v/>
      </c>
      <c r="G1847" t="str">
        <f t="shared" si="144"/>
        <v/>
      </c>
    </row>
    <row r="1848" spans="1:7" x14ac:dyDescent="0.4">
      <c r="A1848" t="str">
        <f t="shared" si="140"/>
        <v/>
      </c>
      <c r="B1848" t="str">
        <f t="shared" si="141"/>
        <v/>
      </c>
      <c r="C1848" t="str">
        <f t="shared" si="142"/>
        <v/>
      </c>
      <c r="D1848" t="str">
        <f>IF(E1848="","",IF(COUNTIF($E$2:E1848,E1848)&gt;1,"",SUMIFS(tbl_input[필요수량],tbl_input[집계키_지청],E1848)))</f>
        <v/>
      </c>
      <c r="E1848" t="str">
        <f>IFERROR(INDEX(tbl_input[집계키_지청],ROW()-1),"")</f>
        <v/>
      </c>
      <c r="F1848" t="str">
        <f t="shared" si="143"/>
        <v/>
      </c>
      <c r="G1848" t="str">
        <f t="shared" si="144"/>
        <v/>
      </c>
    </row>
    <row r="1849" spans="1:7" x14ac:dyDescent="0.4">
      <c r="A1849" t="str">
        <f t="shared" si="140"/>
        <v/>
      </c>
      <c r="B1849" t="str">
        <f t="shared" si="141"/>
        <v/>
      </c>
      <c r="C1849" t="str">
        <f t="shared" si="142"/>
        <v/>
      </c>
      <c r="D1849" t="str">
        <f>IF(E1849="","",IF(COUNTIF($E$2:E1849,E1849)&gt;1,"",SUMIFS(tbl_input[필요수량],tbl_input[집계키_지청],E1849)))</f>
        <v/>
      </c>
      <c r="E1849" t="str">
        <f>IFERROR(INDEX(tbl_input[집계키_지청],ROW()-1),"")</f>
        <v/>
      </c>
      <c r="F1849" t="str">
        <f t="shared" si="143"/>
        <v/>
      </c>
      <c r="G1849" t="str">
        <f t="shared" si="144"/>
        <v/>
      </c>
    </row>
    <row r="1850" spans="1:7" x14ac:dyDescent="0.4">
      <c r="A1850" t="str">
        <f t="shared" si="140"/>
        <v/>
      </c>
      <c r="B1850" t="str">
        <f t="shared" si="141"/>
        <v/>
      </c>
      <c r="C1850" t="str">
        <f t="shared" si="142"/>
        <v/>
      </c>
      <c r="D1850" t="str">
        <f>IF(E1850="","",IF(COUNTIF($E$2:E1850,E1850)&gt;1,"",SUMIFS(tbl_input[필요수량],tbl_input[집계키_지청],E1850)))</f>
        <v/>
      </c>
      <c r="E1850" t="str">
        <f>IFERROR(INDEX(tbl_input[집계키_지청],ROW()-1),"")</f>
        <v/>
      </c>
      <c r="F1850" t="str">
        <f t="shared" si="143"/>
        <v/>
      </c>
      <c r="G1850" t="str">
        <f t="shared" si="144"/>
        <v/>
      </c>
    </row>
    <row r="1851" spans="1:7" x14ac:dyDescent="0.4">
      <c r="A1851" t="str">
        <f t="shared" si="140"/>
        <v/>
      </c>
      <c r="B1851" t="str">
        <f t="shared" si="141"/>
        <v/>
      </c>
      <c r="C1851" t="str">
        <f t="shared" si="142"/>
        <v/>
      </c>
      <c r="D1851" t="str">
        <f>IF(E1851="","",IF(COUNTIF($E$2:E1851,E1851)&gt;1,"",SUMIFS(tbl_input[필요수량],tbl_input[집계키_지청],E1851)))</f>
        <v/>
      </c>
      <c r="E1851" t="str">
        <f>IFERROR(INDEX(tbl_input[집계키_지청],ROW()-1),"")</f>
        <v/>
      </c>
      <c r="F1851" t="str">
        <f t="shared" si="143"/>
        <v/>
      </c>
      <c r="G1851" t="str">
        <f t="shared" si="144"/>
        <v/>
      </c>
    </row>
    <row r="1852" spans="1:7" x14ac:dyDescent="0.4">
      <c r="A1852" t="str">
        <f t="shared" si="140"/>
        <v/>
      </c>
      <c r="B1852" t="str">
        <f t="shared" si="141"/>
        <v/>
      </c>
      <c r="C1852" t="str">
        <f t="shared" si="142"/>
        <v/>
      </c>
      <c r="D1852" t="str">
        <f>IF(E1852="","",IF(COUNTIF($E$2:E1852,E1852)&gt;1,"",SUMIFS(tbl_input[필요수량],tbl_input[집계키_지청],E1852)))</f>
        <v/>
      </c>
      <c r="E1852" t="str">
        <f>IFERROR(INDEX(tbl_input[집계키_지청],ROW()-1),"")</f>
        <v/>
      </c>
      <c r="F1852" t="str">
        <f t="shared" si="143"/>
        <v/>
      </c>
      <c r="G1852" t="str">
        <f t="shared" si="144"/>
        <v/>
      </c>
    </row>
    <row r="1853" spans="1:7" x14ac:dyDescent="0.4">
      <c r="A1853" t="str">
        <f t="shared" si="140"/>
        <v/>
      </c>
      <c r="B1853" t="str">
        <f t="shared" si="141"/>
        <v/>
      </c>
      <c r="C1853" t="str">
        <f t="shared" si="142"/>
        <v/>
      </c>
      <c r="D1853" t="str">
        <f>IF(E1853="","",IF(COUNTIF($E$2:E1853,E1853)&gt;1,"",SUMIFS(tbl_input[필요수량],tbl_input[집계키_지청],E1853)))</f>
        <v/>
      </c>
      <c r="E1853" t="str">
        <f>IFERROR(INDEX(tbl_input[집계키_지청],ROW()-1),"")</f>
        <v/>
      </c>
      <c r="F1853" t="str">
        <f t="shared" si="143"/>
        <v/>
      </c>
      <c r="G1853" t="str">
        <f t="shared" si="144"/>
        <v/>
      </c>
    </row>
    <row r="1854" spans="1:7" x14ac:dyDescent="0.4">
      <c r="A1854" t="str">
        <f t="shared" si="140"/>
        <v/>
      </c>
      <c r="B1854" t="str">
        <f t="shared" si="141"/>
        <v/>
      </c>
      <c r="C1854" t="str">
        <f t="shared" si="142"/>
        <v/>
      </c>
      <c r="D1854" t="str">
        <f>IF(E1854="","",IF(COUNTIF($E$2:E1854,E1854)&gt;1,"",SUMIFS(tbl_input[필요수량],tbl_input[집계키_지청],E1854)))</f>
        <v/>
      </c>
      <c r="E1854" t="str">
        <f>IFERROR(INDEX(tbl_input[집계키_지청],ROW()-1),"")</f>
        <v/>
      </c>
      <c r="F1854" t="str">
        <f t="shared" si="143"/>
        <v/>
      </c>
      <c r="G1854" t="str">
        <f t="shared" si="144"/>
        <v/>
      </c>
    </row>
    <row r="1855" spans="1:7" x14ac:dyDescent="0.4">
      <c r="A1855" t="str">
        <f t="shared" si="140"/>
        <v/>
      </c>
      <c r="B1855" t="str">
        <f t="shared" si="141"/>
        <v/>
      </c>
      <c r="C1855" t="str">
        <f t="shared" si="142"/>
        <v/>
      </c>
      <c r="D1855" t="str">
        <f>IF(E1855="","",IF(COUNTIF($E$2:E1855,E1855)&gt;1,"",SUMIFS(tbl_input[필요수량],tbl_input[집계키_지청],E1855)))</f>
        <v/>
      </c>
      <c r="E1855" t="str">
        <f>IFERROR(INDEX(tbl_input[집계키_지청],ROW()-1),"")</f>
        <v/>
      </c>
      <c r="F1855" t="str">
        <f t="shared" si="143"/>
        <v/>
      </c>
      <c r="G1855" t="str">
        <f t="shared" si="144"/>
        <v/>
      </c>
    </row>
    <row r="1856" spans="1:7" x14ac:dyDescent="0.4">
      <c r="A1856" t="str">
        <f t="shared" si="140"/>
        <v/>
      </c>
      <c r="B1856" t="str">
        <f t="shared" si="141"/>
        <v/>
      </c>
      <c r="C1856" t="str">
        <f t="shared" si="142"/>
        <v/>
      </c>
      <c r="D1856" t="str">
        <f>IF(E1856="","",IF(COUNTIF($E$2:E1856,E1856)&gt;1,"",SUMIFS(tbl_input[필요수량],tbl_input[집계키_지청],E1856)))</f>
        <v/>
      </c>
      <c r="E1856" t="str">
        <f>IFERROR(INDEX(tbl_input[집계키_지청],ROW()-1),"")</f>
        <v/>
      </c>
      <c r="F1856" t="str">
        <f t="shared" si="143"/>
        <v/>
      </c>
      <c r="G1856" t="str">
        <f t="shared" si="144"/>
        <v/>
      </c>
    </row>
    <row r="1857" spans="1:7" x14ac:dyDescent="0.4">
      <c r="A1857" t="str">
        <f t="shared" si="140"/>
        <v/>
      </c>
      <c r="B1857" t="str">
        <f t="shared" si="141"/>
        <v/>
      </c>
      <c r="C1857" t="str">
        <f t="shared" si="142"/>
        <v/>
      </c>
      <c r="D1857" t="str">
        <f>IF(E1857="","",IF(COUNTIF($E$2:E1857,E1857)&gt;1,"",SUMIFS(tbl_input[필요수량],tbl_input[집계키_지청],E1857)))</f>
        <v/>
      </c>
      <c r="E1857" t="str">
        <f>IFERROR(INDEX(tbl_input[집계키_지청],ROW()-1),"")</f>
        <v/>
      </c>
      <c r="F1857" t="str">
        <f t="shared" si="143"/>
        <v/>
      </c>
      <c r="G1857" t="str">
        <f t="shared" si="144"/>
        <v/>
      </c>
    </row>
    <row r="1858" spans="1:7" x14ac:dyDescent="0.4">
      <c r="A1858" t="str">
        <f t="shared" ref="A1858:A1921" si="145">IF(E1858="","",LEFT(E1858,F1858-1))</f>
        <v/>
      </c>
      <c r="B1858" t="str">
        <f t="shared" ref="B1858:B1921" si="146">IF(E1858="","",MID(E1858,F1858+1,G1858-F1858-1))</f>
        <v/>
      </c>
      <c r="C1858" t="str">
        <f t="shared" ref="C1858:C1921" si="147">IF(E1858="","",MID(E1858,G1858+1,999))</f>
        <v/>
      </c>
      <c r="D1858" t="str">
        <f>IF(E1858="","",IF(COUNTIF($E$2:E1858,E1858)&gt;1,"",SUMIFS(tbl_input[필요수량],tbl_input[집계키_지청],E1858)))</f>
        <v/>
      </c>
      <c r="E1858" t="str">
        <f>IFERROR(INDEX(tbl_input[집계키_지청],ROW()-1),"")</f>
        <v/>
      </c>
      <c r="F1858" t="str">
        <f t="shared" ref="F1858:F1921" si="148">IF(E1858="","",FIND("♦",E1858))</f>
        <v/>
      </c>
      <c r="G1858" t="str">
        <f t="shared" ref="G1858:G1921" si="149">IF(E1858="","",FIND("♦",E1858,F1858+1))</f>
        <v/>
      </c>
    </row>
    <row r="1859" spans="1:7" x14ac:dyDescent="0.4">
      <c r="A1859" t="str">
        <f t="shared" si="145"/>
        <v/>
      </c>
      <c r="B1859" t="str">
        <f t="shared" si="146"/>
        <v/>
      </c>
      <c r="C1859" t="str">
        <f t="shared" si="147"/>
        <v/>
      </c>
      <c r="D1859" t="str">
        <f>IF(E1859="","",IF(COUNTIF($E$2:E1859,E1859)&gt;1,"",SUMIFS(tbl_input[필요수량],tbl_input[집계키_지청],E1859)))</f>
        <v/>
      </c>
      <c r="E1859" t="str">
        <f>IFERROR(INDEX(tbl_input[집계키_지청],ROW()-1),"")</f>
        <v/>
      </c>
      <c r="F1859" t="str">
        <f t="shared" si="148"/>
        <v/>
      </c>
      <c r="G1859" t="str">
        <f t="shared" si="149"/>
        <v/>
      </c>
    </row>
    <row r="1860" spans="1:7" x14ac:dyDescent="0.4">
      <c r="A1860" t="str">
        <f t="shared" si="145"/>
        <v/>
      </c>
      <c r="B1860" t="str">
        <f t="shared" si="146"/>
        <v/>
      </c>
      <c r="C1860" t="str">
        <f t="shared" si="147"/>
        <v/>
      </c>
      <c r="D1860" t="str">
        <f>IF(E1860="","",IF(COUNTIF($E$2:E1860,E1860)&gt;1,"",SUMIFS(tbl_input[필요수량],tbl_input[집계키_지청],E1860)))</f>
        <v/>
      </c>
      <c r="E1860" t="str">
        <f>IFERROR(INDEX(tbl_input[집계키_지청],ROW()-1),"")</f>
        <v/>
      </c>
      <c r="F1860" t="str">
        <f t="shared" si="148"/>
        <v/>
      </c>
      <c r="G1860" t="str">
        <f t="shared" si="149"/>
        <v/>
      </c>
    </row>
    <row r="1861" spans="1:7" x14ac:dyDescent="0.4">
      <c r="A1861" t="str">
        <f t="shared" si="145"/>
        <v/>
      </c>
      <c r="B1861" t="str">
        <f t="shared" si="146"/>
        <v/>
      </c>
      <c r="C1861" t="str">
        <f t="shared" si="147"/>
        <v/>
      </c>
      <c r="D1861" t="str">
        <f>IF(E1861="","",IF(COUNTIF($E$2:E1861,E1861)&gt;1,"",SUMIFS(tbl_input[필요수량],tbl_input[집계키_지청],E1861)))</f>
        <v/>
      </c>
      <c r="E1861" t="str">
        <f>IFERROR(INDEX(tbl_input[집계키_지청],ROW()-1),"")</f>
        <v/>
      </c>
      <c r="F1861" t="str">
        <f t="shared" si="148"/>
        <v/>
      </c>
      <c r="G1861" t="str">
        <f t="shared" si="149"/>
        <v/>
      </c>
    </row>
    <row r="1862" spans="1:7" x14ac:dyDescent="0.4">
      <c r="A1862" t="str">
        <f t="shared" si="145"/>
        <v/>
      </c>
      <c r="B1862" t="str">
        <f t="shared" si="146"/>
        <v/>
      </c>
      <c r="C1862" t="str">
        <f t="shared" si="147"/>
        <v/>
      </c>
      <c r="D1862" t="str">
        <f>IF(E1862="","",IF(COUNTIF($E$2:E1862,E1862)&gt;1,"",SUMIFS(tbl_input[필요수량],tbl_input[집계키_지청],E1862)))</f>
        <v/>
      </c>
      <c r="E1862" t="str">
        <f>IFERROR(INDEX(tbl_input[집계키_지청],ROW()-1),"")</f>
        <v/>
      </c>
      <c r="F1862" t="str">
        <f t="shared" si="148"/>
        <v/>
      </c>
      <c r="G1862" t="str">
        <f t="shared" si="149"/>
        <v/>
      </c>
    </row>
    <row r="1863" spans="1:7" x14ac:dyDescent="0.4">
      <c r="A1863" t="str">
        <f t="shared" si="145"/>
        <v/>
      </c>
      <c r="B1863" t="str">
        <f t="shared" si="146"/>
        <v/>
      </c>
      <c r="C1863" t="str">
        <f t="shared" si="147"/>
        <v/>
      </c>
      <c r="D1863" t="str">
        <f>IF(E1863="","",IF(COUNTIF($E$2:E1863,E1863)&gt;1,"",SUMIFS(tbl_input[필요수량],tbl_input[집계키_지청],E1863)))</f>
        <v/>
      </c>
      <c r="E1863" t="str">
        <f>IFERROR(INDEX(tbl_input[집계키_지청],ROW()-1),"")</f>
        <v/>
      </c>
      <c r="F1863" t="str">
        <f t="shared" si="148"/>
        <v/>
      </c>
      <c r="G1863" t="str">
        <f t="shared" si="149"/>
        <v/>
      </c>
    </row>
    <row r="1864" spans="1:7" x14ac:dyDescent="0.4">
      <c r="A1864" t="str">
        <f t="shared" si="145"/>
        <v/>
      </c>
      <c r="B1864" t="str">
        <f t="shared" si="146"/>
        <v/>
      </c>
      <c r="C1864" t="str">
        <f t="shared" si="147"/>
        <v/>
      </c>
      <c r="D1864" t="str">
        <f>IF(E1864="","",IF(COUNTIF($E$2:E1864,E1864)&gt;1,"",SUMIFS(tbl_input[필요수량],tbl_input[집계키_지청],E1864)))</f>
        <v/>
      </c>
      <c r="E1864" t="str">
        <f>IFERROR(INDEX(tbl_input[집계키_지청],ROW()-1),"")</f>
        <v/>
      </c>
      <c r="F1864" t="str">
        <f t="shared" si="148"/>
        <v/>
      </c>
      <c r="G1864" t="str">
        <f t="shared" si="149"/>
        <v/>
      </c>
    </row>
    <row r="1865" spans="1:7" x14ac:dyDescent="0.4">
      <c r="A1865" t="str">
        <f t="shared" si="145"/>
        <v/>
      </c>
      <c r="B1865" t="str">
        <f t="shared" si="146"/>
        <v/>
      </c>
      <c r="C1865" t="str">
        <f t="shared" si="147"/>
        <v/>
      </c>
      <c r="D1865" t="str">
        <f>IF(E1865="","",IF(COUNTIF($E$2:E1865,E1865)&gt;1,"",SUMIFS(tbl_input[필요수량],tbl_input[집계키_지청],E1865)))</f>
        <v/>
      </c>
      <c r="E1865" t="str">
        <f>IFERROR(INDEX(tbl_input[집계키_지청],ROW()-1),"")</f>
        <v/>
      </c>
      <c r="F1865" t="str">
        <f t="shared" si="148"/>
        <v/>
      </c>
      <c r="G1865" t="str">
        <f t="shared" si="149"/>
        <v/>
      </c>
    </row>
    <row r="1866" spans="1:7" x14ac:dyDescent="0.4">
      <c r="A1866" t="str">
        <f t="shared" si="145"/>
        <v/>
      </c>
      <c r="B1866" t="str">
        <f t="shared" si="146"/>
        <v/>
      </c>
      <c r="C1866" t="str">
        <f t="shared" si="147"/>
        <v/>
      </c>
      <c r="D1866" t="str">
        <f>IF(E1866="","",IF(COUNTIF($E$2:E1866,E1866)&gt;1,"",SUMIFS(tbl_input[필요수량],tbl_input[집계키_지청],E1866)))</f>
        <v/>
      </c>
      <c r="E1866" t="str">
        <f>IFERROR(INDEX(tbl_input[집계키_지청],ROW()-1),"")</f>
        <v/>
      </c>
      <c r="F1866" t="str">
        <f t="shared" si="148"/>
        <v/>
      </c>
      <c r="G1866" t="str">
        <f t="shared" si="149"/>
        <v/>
      </c>
    </row>
    <row r="1867" spans="1:7" x14ac:dyDescent="0.4">
      <c r="A1867" t="str">
        <f t="shared" si="145"/>
        <v/>
      </c>
      <c r="B1867" t="str">
        <f t="shared" si="146"/>
        <v/>
      </c>
      <c r="C1867" t="str">
        <f t="shared" si="147"/>
        <v/>
      </c>
      <c r="D1867" t="str">
        <f>IF(E1867="","",IF(COUNTIF($E$2:E1867,E1867)&gt;1,"",SUMIFS(tbl_input[필요수량],tbl_input[집계키_지청],E1867)))</f>
        <v/>
      </c>
      <c r="E1867" t="str">
        <f>IFERROR(INDEX(tbl_input[집계키_지청],ROW()-1),"")</f>
        <v/>
      </c>
      <c r="F1867" t="str">
        <f t="shared" si="148"/>
        <v/>
      </c>
      <c r="G1867" t="str">
        <f t="shared" si="149"/>
        <v/>
      </c>
    </row>
    <row r="1868" spans="1:7" x14ac:dyDescent="0.4">
      <c r="A1868" t="str">
        <f t="shared" si="145"/>
        <v/>
      </c>
      <c r="B1868" t="str">
        <f t="shared" si="146"/>
        <v/>
      </c>
      <c r="C1868" t="str">
        <f t="shared" si="147"/>
        <v/>
      </c>
      <c r="D1868" t="str">
        <f>IF(E1868="","",IF(COUNTIF($E$2:E1868,E1868)&gt;1,"",SUMIFS(tbl_input[필요수량],tbl_input[집계키_지청],E1868)))</f>
        <v/>
      </c>
      <c r="E1868" t="str">
        <f>IFERROR(INDEX(tbl_input[집계키_지청],ROW()-1),"")</f>
        <v/>
      </c>
      <c r="F1868" t="str">
        <f t="shared" si="148"/>
        <v/>
      </c>
      <c r="G1868" t="str">
        <f t="shared" si="149"/>
        <v/>
      </c>
    </row>
    <row r="1869" spans="1:7" x14ac:dyDescent="0.4">
      <c r="A1869" t="str">
        <f t="shared" si="145"/>
        <v/>
      </c>
      <c r="B1869" t="str">
        <f t="shared" si="146"/>
        <v/>
      </c>
      <c r="C1869" t="str">
        <f t="shared" si="147"/>
        <v/>
      </c>
      <c r="D1869" t="str">
        <f>IF(E1869="","",IF(COUNTIF($E$2:E1869,E1869)&gt;1,"",SUMIFS(tbl_input[필요수량],tbl_input[집계키_지청],E1869)))</f>
        <v/>
      </c>
      <c r="E1869" t="str">
        <f>IFERROR(INDEX(tbl_input[집계키_지청],ROW()-1),"")</f>
        <v/>
      </c>
      <c r="F1869" t="str">
        <f t="shared" si="148"/>
        <v/>
      </c>
      <c r="G1869" t="str">
        <f t="shared" si="149"/>
        <v/>
      </c>
    </row>
    <row r="1870" spans="1:7" x14ac:dyDescent="0.4">
      <c r="A1870" t="str">
        <f t="shared" si="145"/>
        <v/>
      </c>
      <c r="B1870" t="str">
        <f t="shared" si="146"/>
        <v/>
      </c>
      <c r="C1870" t="str">
        <f t="shared" si="147"/>
        <v/>
      </c>
      <c r="D1870" t="str">
        <f>IF(E1870="","",IF(COUNTIF($E$2:E1870,E1870)&gt;1,"",SUMIFS(tbl_input[필요수량],tbl_input[집계키_지청],E1870)))</f>
        <v/>
      </c>
      <c r="E1870" t="str">
        <f>IFERROR(INDEX(tbl_input[집계키_지청],ROW()-1),"")</f>
        <v/>
      </c>
      <c r="F1870" t="str">
        <f t="shared" si="148"/>
        <v/>
      </c>
      <c r="G1870" t="str">
        <f t="shared" si="149"/>
        <v/>
      </c>
    </row>
    <row r="1871" spans="1:7" x14ac:dyDescent="0.4">
      <c r="A1871" t="str">
        <f t="shared" si="145"/>
        <v/>
      </c>
      <c r="B1871" t="str">
        <f t="shared" si="146"/>
        <v/>
      </c>
      <c r="C1871" t="str">
        <f t="shared" si="147"/>
        <v/>
      </c>
      <c r="D1871" t="str">
        <f>IF(E1871="","",IF(COUNTIF($E$2:E1871,E1871)&gt;1,"",SUMIFS(tbl_input[필요수량],tbl_input[집계키_지청],E1871)))</f>
        <v/>
      </c>
      <c r="E1871" t="str">
        <f>IFERROR(INDEX(tbl_input[집계키_지청],ROW()-1),"")</f>
        <v/>
      </c>
      <c r="F1871" t="str">
        <f t="shared" si="148"/>
        <v/>
      </c>
      <c r="G1871" t="str">
        <f t="shared" si="149"/>
        <v/>
      </c>
    </row>
    <row r="1872" spans="1:7" x14ac:dyDescent="0.4">
      <c r="A1872" t="str">
        <f t="shared" si="145"/>
        <v/>
      </c>
      <c r="B1872" t="str">
        <f t="shared" si="146"/>
        <v/>
      </c>
      <c r="C1872" t="str">
        <f t="shared" si="147"/>
        <v/>
      </c>
      <c r="D1872" t="str">
        <f>IF(E1872="","",IF(COUNTIF($E$2:E1872,E1872)&gt;1,"",SUMIFS(tbl_input[필요수량],tbl_input[집계키_지청],E1872)))</f>
        <v/>
      </c>
      <c r="E1872" t="str">
        <f>IFERROR(INDEX(tbl_input[집계키_지청],ROW()-1),"")</f>
        <v/>
      </c>
      <c r="F1872" t="str">
        <f t="shared" si="148"/>
        <v/>
      </c>
      <c r="G1872" t="str">
        <f t="shared" si="149"/>
        <v/>
      </c>
    </row>
    <row r="1873" spans="1:7" x14ac:dyDescent="0.4">
      <c r="A1873" t="str">
        <f t="shared" si="145"/>
        <v/>
      </c>
      <c r="B1873" t="str">
        <f t="shared" si="146"/>
        <v/>
      </c>
      <c r="C1873" t="str">
        <f t="shared" si="147"/>
        <v/>
      </c>
      <c r="D1873" t="str">
        <f>IF(E1873="","",IF(COUNTIF($E$2:E1873,E1873)&gt;1,"",SUMIFS(tbl_input[필요수량],tbl_input[집계키_지청],E1873)))</f>
        <v/>
      </c>
      <c r="E1873" t="str">
        <f>IFERROR(INDEX(tbl_input[집계키_지청],ROW()-1),"")</f>
        <v/>
      </c>
      <c r="F1873" t="str">
        <f t="shared" si="148"/>
        <v/>
      </c>
      <c r="G1873" t="str">
        <f t="shared" si="149"/>
        <v/>
      </c>
    </row>
    <row r="1874" spans="1:7" x14ac:dyDescent="0.4">
      <c r="A1874" t="str">
        <f t="shared" si="145"/>
        <v/>
      </c>
      <c r="B1874" t="str">
        <f t="shared" si="146"/>
        <v/>
      </c>
      <c r="C1874" t="str">
        <f t="shared" si="147"/>
        <v/>
      </c>
      <c r="D1874" t="str">
        <f>IF(E1874="","",IF(COUNTIF($E$2:E1874,E1874)&gt;1,"",SUMIFS(tbl_input[필요수량],tbl_input[집계키_지청],E1874)))</f>
        <v/>
      </c>
      <c r="E1874" t="str">
        <f>IFERROR(INDEX(tbl_input[집계키_지청],ROW()-1),"")</f>
        <v/>
      </c>
      <c r="F1874" t="str">
        <f t="shared" si="148"/>
        <v/>
      </c>
      <c r="G1874" t="str">
        <f t="shared" si="149"/>
        <v/>
      </c>
    </row>
    <row r="1875" spans="1:7" x14ac:dyDescent="0.4">
      <c r="A1875" t="str">
        <f t="shared" si="145"/>
        <v/>
      </c>
      <c r="B1875" t="str">
        <f t="shared" si="146"/>
        <v/>
      </c>
      <c r="C1875" t="str">
        <f t="shared" si="147"/>
        <v/>
      </c>
      <c r="D1875" t="str">
        <f>IF(E1875="","",IF(COUNTIF($E$2:E1875,E1875)&gt;1,"",SUMIFS(tbl_input[필요수량],tbl_input[집계키_지청],E1875)))</f>
        <v/>
      </c>
      <c r="E1875" t="str">
        <f>IFERROR(INDEX(tbl_input[집계키_지청],ROW()-1),"")</f>
        <v/>
      </c>
      <c r="F1875" t="str">
        <f t="shared" si="148"/>
        <v/>
      </c>
      <c r="G1875" t="str">
        <f t="shared" si="149"/>
        <v/>
      </c>
    </row>
    <row r="1876" spans="1:7" x14ac:dyDescent="0.4">
      <c r="A1876" t="str">
        <f t="shared" si="145"/>
        <v/>
      </c>
      <c r="B1876" t="str">
        <f t="shared" si="146"/>
        <v/>
      </c>
      <c r="C1876" t="str">
        <f t="shared" si="147"/>
        <v/>
      </c>
      <c r="D1876" t="str">
        <f>IF(E1876="","",IF(COUNTIF($E$2:E1876,E1876)&gt;1,"",SUMIFS(tbl_input[필요수량],tbl_input[집계키_지청],E1876)))</f>
        <v/>
      </c>
      <c r="E1876" t="str">
        <f>IFERROR(INDEX(tbl_input[집계키_지청],ROW()-1),"")</f>
        <v/>
      </c>
      <c r="F1876" t="str">
        <f t="shared" si="148"/>
        <v/>
      </c>
      <c r="G1876" t="str">
        <f t="shared" si="149"/>
        <v/>
      </c>
    </row>
    <row r="1877" spans="1:7" x14ac:dyDescent="0.4">
      <c r="A1877" t="str">
        <f t="shared" si="145"/>
        <v/>
      </c>
      <c r="B1877" t="str">
        <f t="shared" si="146"/>
        <v/>
      </c>
      <c r="C1877" t="str">
        <f t="shared" si="147"/>
        <v/>
      </c>
      <c r="D1877" t="str">
        <f>IF(E1877="","",IF(COUNTIF($E$2:E1877,E1877)&gt;1,"",SUMIFS(tbl_input[필요수량],tbl_input[집계키_지청],E1877)))</f>
        <v/>
      </c>
      <c r="E1877" t="str">
        <f>IFERROR(INDEX(tbl_input[집계키_지청],ROW()-1),"")</f>
        <v/>
      </c>
      <c r="F1877" t="str">
        <f t="shared" si="148"/>
        <v/>
      </c>
      <c r="G1877" t="str">
        <f t="shared" si="149"/>
        <v/>
      </c>
    </row>
    <row r="1878" spans="1:7" x14ac:dyDescent="0.4">
      <c r="A1878" t="str">
        <f t="shared" si="145"/>
        <v/>
      </c>
      <c r="B1878" t="str">
        <f t="shared" si="146"/>
        <v/>
      </c>
      <c r="C1878" t="str">
        <f t="shared" si="147"/>
        <v/>
      </c>
      <c r="D1878" t="str">
        <f>IF(E1878="","",IF(COUNTIF($E$2:E1878,E1878)&gt;1,"",SUMIFS(tbl_input[필요수량],tbl_input[집계키_지청],E1878)))</f>
        <v/>
      </c>
      <c r="E1878" t="str">
        <f>IFERROR(INDEX(tbl_input[집계키_지청],ROW()-1),"")</f>
        <v/>
      </c>
      <c r="F1878" t="str">
        <f t="shared" si="148"/>
        <v/>
      </c>
      <c r="G1878" t="str">
        <f t="shared" si="149"/>
        <v/>
      </c>
    </row>
    <row r="1879" spans="1:7" x14ac:dyDescent="0.4">
      <c r="A1879" t="str">
        <f t="shared" si="145"/>
        <v/>
      </c>
      <c r="B1879" t="str">
        <f t="shared" si="146"/>
        <v/>
      </c>
      <c r="C1879" t="str">
        <f t="shared" si="147"/>
        <v/>
      </c>
      <c r="D1879" t="str">
        <f>IF(E1879="","",IF(COUNTIF($E$2:E1879,E1879)&gt;1,"",SUMIFS(tbl_input[필요수량],tbl_input[집계키_지청],E1879)))</f>
        <v/>
      </c>
      <c r="E1879" t="str">
        <f>IFERROR(INDEX(tbl_input[집계키_지청],ROW()-1),"")</f>
        <v/>
      </c>
      <c r="F1879" t="str">
        <f t="shared" si="148"/>
        <v/>
      </c>
      <c r="G1879" t="str">
        <f t="shared" si="149"/>
        <v/>
      </c>
    </row>
    <row r="1880" spans="1:7" x14ac:dyDescent="0.4">
      <c r="A1880" t="str">
        <f t="shared" si="145"/>
        <v/>
      </c>
      <c r="B1880" t="str">
        <f t="shared" si="146"/>
        <v/>
      </c>
      <c r="C1880" t="str">
        <f t="shared" si="147"/>
        <v/>
      </c>
      <c r="D1880" t="str">
        <f>IF(E1880="","",IF(COUNTIF($E$2:E1880,E1880)&gt;1,"",SUMIFS(tbl_input[필요수량],tbl_input[집계키_지청],E1880)))</f>
        <v/>
      </c>
      <c r="E1880" t="str">
        <f>IFERROR(INDEX(tbl_input[집계키_지청],ROW()-1),"")</f>
        <v/>
      </c>
      <c r="F1880" t="str">
        <f t="shared" si="148"/>
        <v/>
      </c>
      <c r="G1880" t="str">
        <f t="shared" si="149"/>
        <v/>
      </c>
    </row>
    <row r="1881" spans="1:7" x14ac:dyDescent="0.4">
      <c r="A1881" t="str">
        <f t="shared" si="145"/>
        <v/>
      </c>
      <c r="B1881" t="str">
        <f t="shared" si="146"/>
        <v/>
      </c>
      <c r="C1881" t="str">
        <f t="shared" si="147"/>
        <v/>
      </c>
      <c r="D1881" t="str">
        <f>IF(E1881="","",IF(COUNTIF($E$2:E1881,E1881)&gt;1,"",SUMIFS(tbl_input[필요수량],tbl_input[집계키_지청],E1881)))</f>
        <v/>
      </c>
      <c r="E1881" t="str">
        <f>IFERROR(INDEX(tbl_input[집계키_지청],ROW()-1),"")</f>
        <v/>
      </c>
      <c r="F1881" t="str">
        <f t="shared" si="148"/>
        <v/>
      </c>
      <c r="G1881" t="str">
        <f t="shared" si="149"/>
        <v/>
      </c>
    </row>
    <row r="1882" spans="1:7" x14ac:dyDescent="0.4">
      <c r="A1882" t="str">
        <f t="shared" si="145"/>
        <v/>
      </c>
      <c r="B1882" t="str">
        <f t="shared" si="146"/>
        <v/>
      </c>
      <c r="C1882" t="str">
        <f t="shared" si="147"/>
        <v/>
      </c>
      <c r="D1882" t="str">
        <f>IF(E1882="","",IF(COUNTIF($E$2:E1882,E1882)&gt;1,"",SUMIFS(tbl_input[필요수량],tbl_input[집계키_지청],E1882)))</f>
        <v/>
      </c>
      <c r="E1882" t="str">
        <f>IFERROR(INDEX(tbl_input[집계키_지청],ROW()-1),"")</f>
        <v/>
      </c>
      <c r="F1882" t="str">
        <f t="shared" si="148"/>
        <v/>
      </c>
      <c r="G1882" t="str">
        <f t="shared" si="149"/>
        <v/>
      </c>
    </row>
    <row r="1883" spans="1:7" x14ac:dyDescent="0.4">
      <c r="A1883" t="str">
        <f t="shared" si="145"/>
        <v/>
      </c>
      <c r="B1883" t="str">
        <f t="shared" si="146"/>
        <v/>
      </c>
      <c r="C1883" t="str">
        <f t="shared" si="147"/>
        <v/>
      </c>
      <c r="D1883" t="str">
        <f>IF(E1883="","",IF(COUNTIF($E$2:E1883,E1883)&gt;1,"",SUMIFS(tbl_input[필요수량],tbl_input[집계키_지청],E1883)))</f>
        <v/>
      </c>
      <c r="E1883" t="str">
        <f>IFERROR(INDEX(tbl_input[집계키_지청],ROW()-1),"")</f>
        <v/>
      </c>
      <c r="F1883" t="str">
        <f t="shared" si="148"/>
        <v/>
      </c>
      <c r="G1883" t="str">
        <f t="shared" si="149"/>
        <v/>
      </c>
    </row>
    <row r="1884" spans="1:7" x14ac:dyDescent="0.4">
      <c r="A1884" t="str">
        <f t="shared" si="145"/>
        <v/>
      </c>
      <c r="B1884" t="str">
        <f t="shared" si="146"/>
        <v/>
      </c>
      <c r="C1884" t="str">
        <f t="shared" si="147"/>
        <v/>
      </c>
      <c r="D1884" t="str">
        <f>IF(E1884="","",IF(COUNTIF($E$2:E1884,E1884)&gt;1,"",SUMIFS(tbl_input[필요수량],tbl_input[집계키_지청],E1884)))</f>
        <v/>
      </c>
      <c r="E1884" t="str">
        <f>IFERROR(INDEX(tbl_input[집계키_지청],ROW()-1),"")</f>
        <v/>
      </c>
      <c r="F1884" t="str">
        <f t="shared" si="148"/>
        <v/>
      </c>
      <c r="G1884" t="str">
        <f t="shared" si="149"/>
        <v/>
      </c>
    </row>
    <row r="1885" spans="1:7" x14ac:dyDescent="0.4">
      <c r="A1885" t="str">
        <f t="shared" si="145"/>
        <v/>
      </c>
      <c r="B1885" t="str">
        <f t="shared" si="146"/>
        <v/>
      </c>
      <c r="C1885" t="str">
        <f t="shared" si="147"/>
        <v/>
      </c>
      <c r="D1885" t="str">
        <f>IF(E1885="","",IF(COUNTIF($E$2:E1885,E1885)&gt;1,"",SUMIFS(tbl_input[필요수량],tbl_input[집계키_지청],E1885)))</f>
        <v/>
      </c>
      <c r="E1885" t="str">
        <f>IFERROR(INDEX(tbl_input[집계키_지청],ROW()-1),"")</f>
        <v/>
      </c>
      <c r="F1885" t="str">
        <f t="shared" si="148"/>
        <v/>
      </c>
      <c r="G1885" t="str">
        <f t="shared" si="149"/>
        <v/>
      </c>
    </row>
    <row r="1886" spans="1:7" x14ac:dyDescent="0.4">
      <c r="A1886" t="str">
        <f t="shared" si="145"/>
        <v/>
      </c>
      <c r="B1886" t="str">
        <f t="shared" si="146"/>
        <v/>
      </c>
      <c r="C1886" t="str">
        <f t="shared" si="147"/>
        <v/>
      </c>
      <c r="D1886" t="str">
        <f>IF(E1886="","",IF(COUNTIF($E$2:E1886,E1886)&gt;1,"",SUMIFS(tbl_input[필요수량],tbl_input[집계키_지청],E1886)))</f>
        <v/>
      </c>
      <c r="E1886" t="str">
        <f>IFERROR(INDEX(tbl_input[집계키_지청],ROW()-1),"")</f>
        <v/>
      </c>
      <c r="F1886" t="str">
        <f t="shared" si="148"/>
        <v/>
      </c>
      <c r="G1886" t="str">
        <f t="shared" si="149"/>
        <v/>
      </c>
    </row>
    <row r="1887" spans="1:7" x14ac:dyDescent="0.4">
      <c r="A1887" t="str">
        <f t="shared" si="145"/>
        <v/>
      </c>
      <c r="B1887" t="str">
        <f t="shared" si="146"/>
        <v/>
      </c>
      <c r="C1887" t="str">
        <f t="shared" si="147"/>
        <v/>
      </c>
      <c r="D1887" t="str">
        <f>IF(E1887="","",IF(COUNTIF($E$2:E1887,E1887)&gt;1,"",SUMIFS(tbl_input[필요수량],tbl_input[집계키_지청],E1887)))</f>
        <v/>
      </c>
      <c r="E1887" t="str">
        <f>IFERROR(INDEX(tbl_input[집계키_지청],ROW()-1),"")</f>
        <v/>
      </c>
      <c r="F1887" t="str">
        <f t="shared" si="148"/>
        <v/>
      </c>
      <c r="G1887" t="str">
        <f t="shared" si="149"/>
        <v/>
      </c>
    </row>
    <row r="1888" spans="1:7" x14ac:dyDescent="0.4">
      <c r="A1888" t="str">
        <f t="shared" si="145"/>
        <v/>
      </c>
      <c r="B1888" t="str">
        <f t="shared" si="146"/>
        <v/>
      </c>
      <c r="C1888" t="str">
        <f t="shared" si="147"/>
        <v/>
      </c>
      <c r="D1888" t="str">
        <f>IF(E1888="","",IF(COUNTIF($E$2:E1888,E1888)&gt;1,"",SUMIFS(tbl_input[필요수량],tbl_input[집계키_지청],E1888)))</f>
        <v/>
      </c>
      <c r="E1888" t="str">
        <f>IFERROR(INDEX(tbl_input[집계키_지청],ROW()-1),"")</f>
        <v/>
      </c>
      <c r="F1888" t="str">
        <f t="shared" si="148"/>
        <v/>
      </c>
      <c r="G1888" t="str">
        <f t="shared" si="149"/>
        <v/>
      </c>
    </row>
    <row r="1889" spans="1:7" x14ac:dyDescent="0.4">
      <c r="A1889" t="str">
        <f t="shared" si="145"/>
        <v/>
      </c>
      <c r="B1889" t="str">
        <f t="shared" si="146"/>
        <v/>
      </c>
      <c r="C1889" t="str">
        <f t="shared" si="147"/>
        <v/>
      </c>
      <c r="D1889" t="str">
        <f>IF(E1889="","",IF(COUNTIF($E$2:E1889,E1889)&gt;1,"",SUMIFS(tbl_input[필요수량],tbl_input[집계키_지청],E1889)))</f>
        <v/>
      </c>
      <c r="E1889" t="str">
        <f>IFERROR(INDEX(tbl_input[집계키_지청],ROW()-1),"")</f>
        <v/>
      </c>
      <c r="F1889" t="str">
        <f t="shared" si="148"/>
        <v/>
      </c>
      <c r="G1889" t="str">
        <f t="shared" si="149"/>
        <v/>
      </c>
    </row>
    <row r="1890" spans="1:7" x14ac:dyDescent="0.4">
      <c r="A1890" t="str">
        <f t="shared" si="145"/>
        <v/>
      </c>
      <c r="B1890" t="str">
        <f t="shared" si="146"/>
        <v/>
      </c>
      <c r="C1890" t="str">
        <f t="shared" si="147"/>
        <v/>
      </c>
      <c r="D1890" t="str">
        <f>IF(E1890="","",IF(COUNTIF($E$2:E1890,E1890)&gt;1,"",SUMIFS(tbl_input[필요수량],tbl_input[집계키_지청],E1890)))</f>
        <v/>
      </c>
      <c r="E1890" t="str">
        <f>IFERROR(INDEX(tbl_input[집계키_지청],ROW()-1),"")</f>
        <v/>
      </c>
      <c r="F1890" t="str">
        <f t="shared" si="148"/>
        <v/>
      </c>
      <c r="G1890" t="str">
        <f t="shared" si="149"/>
        <v/>
      </c>
    </row>
    <row r="1891" spans="1:7" x14ac:dyDescent="0.4">
      <c r="A1891" t="str">
        <f t="shared" si="145"/>
        <v/>
      </c>
      <c r="B1891" t="str">
        <f t="shared" si="146"/>
        <v/>
      </c>
      <c r="C1891" t="str">
        <f t="shared" si="147"/>
        <v/>
      </c>
      <c r="D1891" t="str">
        <f>IF(E1891="","",IF(COUNTIF($E$2:E1891,E1891)&gt;1,"",SUMIFS(tbl_input[필요수량],tbl_input[집계키_지청],E1891)))</f>
        <v/>
      </c>
      <c r="E1891" t="str">
        <f>IFERROR(INDEX(tbl_input[집계키_지청],ROW()-1),"")</f>
        <v/>
      </c>
      <c r="F1891" t="str">
        <f t="shared" si="148"/>
        <v/>
      </c>
      <c r="G1891" t="str">
        <f t="shared" si="149"/>
        <v/>
      </c>
    </row>
    <row r="1892" spans="1:7" x14ac:dyDescent="0.4">
      <c r="A1892" t="str">
        <f t="shared" si="145"/>
        <v/>
      </c>
      <c r="B1892" t="str">
        <f t="shared" si="146"/>
        <v/>
      </c>
      <c r="C1892" t="str">
        <f t="shared" si="147"/>
        <v/>
      </c>
      <c r="D1892" t="str">
        <f>IF(E1892="","",IF(COUNTIF($E$2:E1892,E1892)&gt;1,"",SUMIFS(tbl_input[필요수량],tbl_input[집계키_지청],E1892)))</f>
        <v/>
      </c>
      <c r="E1892" t="str">
        <f>IFERROR(INDEX(tbl_input[집계키_지청],ROW()-1),"")</f>
        <v/>
      </c>
      <c r="F1892" t="str">
        <f t="shared" si="148"/>
        <v/>
      </c>
      <c r="G1892" t="str">
        <f t="shared" si="149"/>
        <v/>
      </c>
    </row>
    <row r="1893" spans="1:7" x14ac:dyDescent="0.4">
      <c r="A1893" t="str">
        <f t="shared" si="145"/>
        <v/>
      </c>
      <c r="B1893" t="str">
        <f t="shared" si="146"/>
        <v/>
      </c>
      <c r="C1893" t="str">
        <f t="shared" si="147"/>
        <v/>
      </c>
      <c r="D1893" t="str">
        <f>IF(E1893="","",IF(COUNTIF($E$2:E1893,E1893)&gt;1,"",SUMIFS(tbl_input[필요수량],tbl_input[집계키_지청],E1893)))</f>
        <v/>
      </c>
      <c r="E1893" t="str">
        <f>IFERROR(INDEX(tbl_input[집계키_지청],ROW()-1),"")</f>
        <v/>
      </c>
      <c r="F1893" t="str">
        <f t="shared" si="148"/>
        <v/>
      </c>
      <c r="G1893" t="str">
        <f t="shared" si="149"/>
        <v/>
      </c>
    </row>
    <row r="1894" spans="1:7" x14ac:dyDescent="0.4">
      <c r="A1894" t="str">
        <f t="shared" si="145"/>
        <v/>
      </c>
      <c r="B1894" t="str">
        <f t="shared" si="146"/>
        <v/>
      </c>
      <c r="C1894" t="str">
        <f t="shared" si="147"/>
        <v/>
      </c>
      <c r="D1894" t="str">
        <f>IF(E1894="","",IF(COUNTIF($E$2:E1894,E1894)&gt;1,"",SUMIFS(tbl_input[필요수량],tbl_input[집계키_지청],E1894)))</f>
        <v/>
      </c>
      <c r="E1894" t="str">
        <f>IFERROR(INDEX(tbl_input[집계키_지청],ROW()-1),"")</f>
        <v/>
      </c>
      <c r="F1894" t="str">
        <f t="shared" si="148"/>
        <v/>
      </c>
      <c r="G1894" t="str">
        <f t="shared" si="149"/>
        <v/>
      </c>
    </row>
    <row r="1895" spans="1:7" x14ac:dyDescent="0.4">
      <c r="A1895" t="str">
        <f t="shared" si="145"/>
        <v/>
      </c>
      <c r="B1895" t="str">
        <f t="shared" si="146"/>
        <v/>
      </c>
      <c r="C1895" t="str">
        <f t="shared" si="147"/>
        <v/>
      </c>
      <c r="D1895" t="str">
        <f>IF(E1895="","",IF(COUNTIF($E$2:E1895,E1895)&gt;1,"",SUMIFS(tbl_input[필요수량],tbl_input[집계키_지청],E1895)))</f>
        <v/>
      </c>
      <c r="E1895" t="str">
        <f>IFERROR(INDEX(tbl_input[집계키_지청],ROW()-1),"")</f>
        <v/>
      </c>
      <c r="F1895" t="str">
        <f t="shared" si="148"/>
        <v/>
      </c>
      <c r="G1895" t="str">
        <f t="shared" si="149"/>
        <v/>
      </c>
    </row>
    <row r="1896" spans="1:7" x14ac:dyDescent="0.4">
      <c r="A1896" t="str">
        <f t="shared" si="145"/>
        <v/>
      </c>
      <c r="B1896" t="str">
        <f t="shared" si="146"/>
        <v/>
      </c>
      <c r="C1896" t="str">
        <f t="shared" si="147"/>
        <v/>
      </c>
      <c r="D1896" t="str">
        <f>IF(E1896="","",IF(COUNTIF($E$2:E1896,E1896)&gt;1,"",SUMIFS(tbl_input[필요수량],tbl_input[집계키_지청],E1896)))</f>
        <v/>
      </c>
      <c r="E1896" t="str">
        <f>IFERROR(INDEX(tbl_input[집계키_지청],ROW()-1),"")</f>
        <v/>
      </c>
      <c r="F1896" t="str">
        <f t="shared" si="148"/>
        <v/>
      </c>
      <c r="G1896" t="str">
        <f t="shared" si="149"/>
        <v/>
      </c>
    </row>
    <row r="1897" spans="1:7" x14ac:dyDescent="0.4">
      <c r="A1897" t="str">
        <f t="shared" si="145"/>
        <v/>
      </c>
      <c r="B1897" t="str">
        <f t="shared" si="146"/>
        <v/>
      </c>
      <c r="C1897" t="str">
        <f t="shared" si="147"/>
        <v/>
      </c>
      <c r="D1897" t="str">
        <f>IF(E1897="","",IF(COUNTIF($E$2:E1897,E1897)&gt;1,"",SUMIFS(tbl_input[필요수량],tbl_input[집계키_지청],E1897)))</f>
        <v/>
      </c>
      <c r="E1897" t="str">
        <f>IFERROR(INDEX(tbl_input[집계키_지청],ROW()-1),"")</f>
        <v/>
      </c>
      <c r="F1897" t="str">
        <f t="shared" si="148"/>
        <v/>
      </c>
      <c r="G1897" t="str">
        <f t="shared" si="149"/>
        <v/>
      </c>
    </row>
    <row r="1898" spans="1:7" x14ac:dyDescent="0.4">
      <c r="A1898" t="str">
        <f t="shared" si="145"/>
        <v/>
      </c>
      <c r="B1898" t="str">
        <f t="shared" si="146"/>
        <v/>
      </c>
      <c r="C1898" t="str">
        <f t="shared" si="147"/>
        <v/>
      </c>
      <c r="D1898" t="str">
        <f>IF(E1898="","",IF(COUNTIF($E$2:E1898,E1898)&gt;1,"",SUMIFS(tbl_input[필요수량],tbl_input[집계키_지청],E1898)))</f>
        <v/>
      </c>
      <c r="E1898" t="str">
        <f>IFERROR(INDEX(tbl_input[집계키_지청],ROW()-1),"")</f>
        <v/>
      </c>
      <c r="F1898" t="str">
        <f t="shared" si="148"/>
        <v/>
      </c>
      <c r="G1898" t="str">
        <f t="shared" si="149"/>
        <v/>
      </c>
    </row>
    <row r="1899" spans="1:7" x14ac:dyDescent="0.4">
      <c r="A1899" t="str">
        <f t="shared" si="145"/>
        <v/>
      </c>
      <c r="B1899" t="str">
        <f t="shared" si="146"/>
        <v/>
      </c>
      <c r="C1899" t="str">
        <f t="shared" si="147"/>
        <v/>
      </c>
      <c r="D1899" t="str">
        <f>IF(E1899="","",IF(COUNTIF($E$2:E1899,E1899)&gt;1,"",SUMIFS(tbl_input[필요수량],tbl_input[집계키_지청],E1899)))</f>
        <v/>
      </c>
      <c r="E1899" t="str">
        <f>IFERROR(INDEX(tbl_input[집계키_지청],ROW()-1),"")</f>
        <v/>
      </c>
      <c r="F1899" t="str">
        <f t="shared" si="148"/>
        <v/>
      </c>
      <c r="G1899" t="str">
        <f t="shared" si="149"/>
        <v/>
      </c>
    </row>
    <row r="1900" spans="1:7" x14ac:dyDescent="0.4">
      <c r="A1900" t="str">
        <f t="shared" si="145"/>
        <v/>
      </c>
      <c r="B1900" t="str">
        <f t="shared" si="146"/>
        <v/>
      </c>
      <c r="C1900" t="str">
        <f t="shared" si="147"/>
        <v/>
      </c>
      <c r="D1900" t="str">
        <f>IF(E1900="","",IF(COUNTIF($E$2:E1900,E1900)&gt;1,"",SUMIFS(tbl_input[필요수량],tbl_input[집계키_지청],E1900)))</f>
        <v/>
      </c>
      <c r="E1900" t="str">
        <f>IFERROR(INDEX(tbl_input[집계키_지청],ROW()-1),"")</f>
        <v/>
      </c>
      <c r="F1900" t="str">
        <f t="shared" si="148"/>
        <v/>
      </c>
      <c r="G1900" t="str">
        <f t="shared" si="149"/>
        <v/>
      </c>
    </row>
    <row r="1901" spans="1:7" x14ac:dyDescent="0.4">
      <c r="A1901" t="str">
        <f t="shared" si="145"/>
        <v/>
      </c>
      <c r="B1901" t="str">
        <f t="shared" si="146"/>
        <v/>
      </c>
      <c r="C1901" t="str">
        <f t="shared" si="147"/>
        <v/>
      </c>
      <c r="D1901" t="str">
        <f>IF(E1901="","",IF(COUNTIF($E$2:E1901,E1901)&gt;1,"",SUMIFS(tbl_input[필요수량],tbl_input[집계키_지청],E1901)))</f>
        <v/>
      </c>
      <c r="E1901" t="str">
        <f>IFERROR(INDEX(tbl_input[집계키_지청],ROW()-1),"")</f>
        <v/>
      </c>
      <c r="F1901" t="str">
        <f t="shared" si="148"/>
        <v/>
      </c>
      <c r="G1901" t="str">
        <f t="shared" si="149"/>
        <v/>
      </c>
    </row>
    <row r="1902" spans="1:7" x14ac:dyDescent="0.4">
      <c r="A1902" t="str">
        <f t="shared" si="145"/>
        <v/>
      </c>
      <c r="B1902" t="str">
        <f t="shared" si="146"/>
        <v/>
      </c>
      <c r="C1902" t="str">
        <f t="shared" si="147"/>
        <v/>
      </c>
      <c r="D1902" t="str">
        <f>IF(E1902="","",IF(COUNTIF($E$2:E1902,E1902)&gt;1,"",SUMIFS(tbl_input[필요수량],tbl_input[집계키_지청],E1902)))</f>
        <v/>
      </c>
      <c r="E1902" t="str">
        <f>IFERROR(INDEX(tbl_input[집계키_지청],ROW()-1),"")</f>
        <v/>
      </c>
      <c r="F1902" t="str">
        <f t="shared" si="148"/>
        <v/>
      </c>
      <c r="G1902" t="str">
        <f t="shared" si="149"/>
        <v/>
      </c>
    </row>
    <row r="1903" spans="1:7" x14ac:dyDescent="0.4">
      <c r="A1903" t="str">
        <f t="shared" si="145"/>
        <v/>
      </c>
      <c r="B1903" t="str">
        <f t="shared" si="146"/>
        <v/>
      </c>
      <c r="C1903" t="str">
        <f t="shared" si="147"/>
        <v/>
      </c>
      <c r="D1903" t="str">
        <f>IF(E1903="","",IF(COUNTIF($E$2:E1903,E1903)&gt;1,"",SUMIFS(tbl_input[필요수량],tbl_input[집계키_지청],E1903)))</f>
        <v/>
      </c>
      <c r="E1903" t="str">
        <f>IFERROR(INDEX(tbl_input[집계키_지청],ROW()-1),"")</f>
        <v/>
      </c>
      <c r="F1903" t="str">
        <f t="shared" si="148"/>
        <v/>
      </c>
      <c r="G1903" t="str">
        <f t="shared" si="149"/>
        <v/>
      </c>
    </row>
    <row r="1904" spans="1:7" x14ac:dyDescent="0.4">
      <c r="A1904" t="str">
        <f t="shared" si="145"/>
        <v/>
      </c>
      <c r="B1904" t="str">
        <f t="shared" si="146"/>
        <v/>
      </c>
      <c r="C1904" t="str">
        <f t="shared" si="147"/>
        <v/>
      </c>
      <c r="D1904" t="str">
        <f>IF(E1904="","",IF(COUNTIF($E$2:E1904,E1904)&gt;1,"",SUMIFS(tbl_input[필요수량],tbl_input[집계키_지청],E1904)))</f>
        <v/>
      </c>
      <c r="E1904" t="str">
        <f>IFERROR(INDEX(tbl_input[집계키_지청],ROW()-1),"")</f>
        <v/>
      </c>
      <c r="F1904" t="str">
        <f t="shared" si="148"/>
        <v/>
      </c>
      <c r="G1904" t="str">
        <f t="shared" si="149"/>
        <v/>
      </c>
    </row>
    <row r="1905" spans="1:7" x14ac:dyDescent="0.4">
      <c r="A1905" t="str">
        <f t="shared" si="145"/>
        <v/>
      </c>
      <c r="B1905" t="str">
        <f t="shared" si="146"/>
        <v/>
      </c>
      <c r="C1905" t="str">
        <f t="shared" si="147"/>
        <v/>
      </c>
      <c r="D1905" t="str">
        <f>IF(E1905="","",IF(COUNTIF($E$2:E1905,E1905)&gt;1,"",SUMIFS(tbl_input[필요수량],tbl_input[집계키_지청],E1905)))</f>
        <v/>
      </c>
      <c r="E1905" t="str">
        <f>IFERROR(INDEX(tbl_input[집계키_지청],ROW()-1),"")</f>
        <v/>
      </c>
      <c r="F1905" t="str">
        <f t="shared" si="148"/>
        <v/>
      </c>
      <c r="G1905" t="str">
        <f t="shared" si="149"/>
        <v/>
      </c>
    </row>
    <row r="1906" spans="1:7" x14ac:dyDescent="0.4">
      <c r="A1906" t="str">
        <f t="shared" si="145"/>
        <v/>
      </c>
      <c r="B1906" t="str">
        <f t="shared" si="146"/>
        <v/>
      </c>
      <c r="C1906" t="str">
        <f t="shared" si="147"/>
        <v/>
      </c>
      <c r="D1906" t="str">
        <f>IF(E1906="","",IF(COUNTIF($E$2:E1906,E1906)&gt;1,"",SUMIFS(tbl_input[필요수량],tbl_input[집계키_지청],E1906)))</f>
        <v/>
      </c>
      <c r="E1906" t="str">
        <f>IFERROR(INDEX(tbl_input[집계키_지청],ROW()-1),"")</f>
        <v/>
      </c>
      <c r="F1906" t="str">
        <f t="shared" si="148"/>
        <v/>
      </c>
      <c r="G1906" t="str">
        <f t="shared" si="149"/>
        <v/>
      </c>
    </row>
    <row r="1907" spans="1:7" x14ac:dyDescent="0.4">
      <c r="A1907" t="str">
        <f t="shared" si="145"/>
        <v/>
      </c>
      <c r="B1907" t="str">
        <f t="shared" si="146"/>
        <v/>
      </c>
      <c r="C1907" t="str">
        <f t="shared" si="147"/>
        <v/>
      </c>
      <c r="D1907" t="str">
        <f>IF(E1907="","",IF(COUNTIF($E$2:E1907,E1907)&gt;1,"",SUMIFS(tbl_input[필요수량],tbl_input[집계키_지청],E1907)))</f>
        <v/>
      </c>
      <c r="E1907" t="str">
        <f>IFERROR(INDEX(tbl_input[집계키_지청],ROW()-1),"")</f>
        <v/>
      </c>
      <c r="F1907" t="str">
        <f t="shared" si="148"/>
        <v/>
      </c>
      <c r="G1907" t="str">
        <f t="shared" si="149"/>
        <v/>
      </c>
    </row>
    <row r="1908" spans="1:7" x14ac:dyDescent="0.4">
      <c r="A1908" t="str">
        <f t="shared" si="145"/>
        <v/>
      </c>
      <c r="B1908" t="str">
        <f t="shared" si="146"/>
        <v/>
      </c>
      <c r="C1908" t="str">
        <f t="shared" si="147"/>
        <v/>
      </c>
      <c r="D1908" t="str">
        <f>IF(E1908="","",IF(COUNTIF($E$2:E1908,E1908)&gt;1,"",SUMIFS(tbl_input[필요수량],tbl_input[집계키_지청],E1908)))</f>
        <v/>
      </c>
      <c r="E1908" t="str">
        <f>IFERROR(INDEX(tbl_input[집계키_지청],ROW()-1),"")</f>
        <v/>
      </c>
      <c r="F1908" t="str">
        <f t="shared" si="148"/>
        <v/>
      </c>
      <c r="G1908" t="str">
        <f t="shared" si="149"/>
        <v/>
      </c>
    </row>
    <row r="1909" spans="1:7" x14ac:dyDescent="0.4">
      <c r="A1909" t="str">
        <f t="shared" si="145"/>
        <v/>
      </c>
      <c r="B1909" t="str">
        <f t="shared" si="146"/>
        <v/>
      </c>
      <c r="C1909" t="str">
        <f t="shared" si="147"/>
        <v/>
      </c>
      <c r="D1909" t="str">
        <f>IF(E1909="","",IF(COUNTIF($E$2:E1909,E1909)&gt;1,"",SUMIFS(tbl_input[필요수량],tbl_input[집계키_지청],E1909)))</f>
        <v/>
      </c>
      <c r="E1909" t="str">
        <f>IFERROR(INDEX(tbl_input[집계키_지청],ROW()-1),"")</f>
        <v/>
      </c>
      <c r="F1909" t="str">
        <f t="shared" si="148"/>
        <v/>
      </c>
      <c r="G1909" t="str">
        <f t="shared" si="149"/>
        <v/>
      </c>
    </row>
    <row r="1910" spans="1:7" x14ac:dyDescent="0.4">
      <c r="A1910" t="str">
        <f t="shared" si="145"/>
        <v/>
      </c>
      <c r="B1910" t="str">
        <f t="shared" si="146"/>
        <v/>
      </c>
      <c r="C1910" t="str">
        <f t="shared" si="147"/>
        <v/>
      </c>
      <c r="D1910" t="str">
        <f>IF(E1910="","",IF(COUNTIF($E$2:E1910,E1910)&gt;1,"",SUMIFS(tbl_input[필요수량],tbl_input[집계키_지청],E1910)))</f>
        <v/>
      </c>
      <c r="E1910" t="str">
        <f>IFERROR(INDEX(tbl_input[집계키_지청],ROW()-1),"")</f>
        <v/>
      </c>
      <c r="F1910" t="str">
        <f t="shared" si="148"/>
        <v/>
      </c>
      <c r="G1910" t="str">
        <f t="shared" si="149"/>
        <v/>
      </c>
    </row>
    <row r="1911" spans="1:7" x14ac:dyDescent="0.4">
      <c r="A1911" t="str">
        <f t="shared" si="145"/>
        <v/>
      </c>
      <c r="B1911" t="str">
        <f t="shared" si="146"/>
        <v/>
      </c>
      <c r="C1911" t="str">
        <f t="shared" si="147"/>
        <v/>
      </c>
      <c r="D1911" t="str">
        <f>IF(E1911="","",IF(COUNTIF($E$2:E1911,E1911)&gt;1,"",SUMIFS(tbl_input[필요수량],tbl_input[집계키_지청],E1911)))</f>
        <v/>
      </c>
      <c r="E1911" t="str">
        <f>IFERROR(INDEX(tbl_input[집계키_지청],ROW()-1),"")</f>
        <v/>
      </c>
      <c r="F1911" t="str">
        <f t="shared" si="148"/>
        <v/>
      </c>
      <c r="G1911" t="str">
        <f t="shared" si="149"/>
        <v/>
      </c>
    </row>
    <row r="1912" spans="1:7" x14ac:dyDescent="0.4">
      <c r="A1912" t="str">
        <f t="shared" si="145"/>
        <v/>
      </c>
      <c r="B1912" t="str">
        <f t="shared" si="146"/>
        <v/>
      </c>
      <c r="C1912" t="str">
        <f t="shared" si="147"/>
        <v/>
      </c>
      <c r="D1912" t="str">
        <f>IF(E1912="","",IF(COUNTIF($E$2:E1912,E1912)&gt;1,"",SUMIFS(tbl_input[필요수량],tbl_input[집계키_지청],E1912)))</f>
        <v/>
      </c>
      <c r="E1912" t="str">
        <f>IFERROR(INDEX(tbl_input[집계키_지청],ROW()-1),"")</f>
        <v/>
      </c>
      <c r="F1912" t="str">
        <f t="shared" si="148"/>
        <v/>
      </c>
      <c r="G1912" t="str">
        <f t="shared" si="149"/>
        <v/>
      </c>
    </row>
    <row r="1913" spans="1:7" x14ac:dyDescent="0.4">
      <c r="A1913" t="str">
        <f t="shared" si="145"/>
        <v/>
      </c>
      <c r="B1913" t="str">
        <f t="shared" si="146"/>
        <v/>
      </c>
      <c r="C1913" t="str">
        <f t="shared" si="147"/>
        <v/>
      </c>
      <c r="D1913" t="str">
        <f>IF(E1913="","",IF(COUNTIF($E$2:E1913,E1913)&gt;1,"",SUMIFS(tbl_input[필요수량],tbl_input[집계키_지청],E1913)))</f>
        <v/>
      </c>
      <c r="E1913" t="str">
        <f>IFERROR(INDEX(tbl_input[집계키_지청],ROW()-1),"")</f>
        <v/>
      </c>
      <c r="F1913" t="str">
        <f t="shared" si="148"/>
        <v/>
      </c>
      <c r="G1913" t="str">
        <f t="shared" si="149"/>
        <v/>
      </c>
    </row>
    <row r="1914" spans="1:7" x14ac:dyDescent="0.4">
      <c r="A1914" t="str">
        <f t="shared" si="145"/>
        <v/>
      </c>
      <c r="B1914" t="str">
        <f t="shared" si="146"/>
        <v/>
      </c>
      <c r="C1914" t="str">
        <f t="shared" si="147"/>
        <v/>
      </c>
      <c r="D1914" t="str">
        <f>IF(E1914="","",IF(COUNTIF($E$2:E1914,E1914)&gt;1,"",SUMIFS(tbl_input[필요수량],tbl_input[집계키_지청],E1914)))</f>
        <v/>
      </c>
      <c r="E1914" t="str">
        <f>IFERROR(INDEX(tbl_input[집계키_지청],ROW()-1),"")</f>
        <v/>
      </c>
      <c r="F1914" t="str">
        <f t="shared" si="148"/>
        <v/>
      </c>
      <c r="G1914" t="str">
        <f t="shared" si="149"/>
        <v/>
      </c>
    </row>
    <row r="1915" spans="1:7" x14ac:dyDescent="0.4">
      <c r="A1915" t="str">
        <f t="shared" si="145"/>
        <v/>
      </c>
      <c r="B1915" t="str">
        <f t="shared" si="146"/>
        <v/>
      </c>
      <c r="C1915" t="str">
        <f t="shared" si="147"/>
        <v/>
      </c>
      <c r="D1915" t="str">
        <f>IF(E1915="","",IF(COUNTIF($E$2:E1915,E1915)&gt;1,"",SUMIFS(tbl_input[필요수량],tbl_input[집계키_지청],E1915)))</f>
        <v/>
      </c>
      <c r="E1915" t="str">
        <f>IFERROR(INDEX(tbl_input[집계키_지청],ROW()-1),"")</f>
        <v/>
      </c>
      <c r="F1915" t="str">
        <f t="shared" si="148"/>
        <v/>
      </c>
      <c r="G1915" t="str">
        <f t="shared" si="149"/>
        <v/>
      </c>
    </row>
    <row r="1916" spans="1:7" x14ac:dyDescent="0.4">
      <c r="A1916" t="str">
        <f t="shared" si="145"/>
        <v/>
      </c>
      <c r="B1916" t="str">
        <f t="shared" si="146"/>
        <v/>
      </c>
      <c r="C1916" t="str">
        <f t="shared" si="147"/>
        <v/>
      </c>
      <c r="D1916" t="str">
        <f>IF(E1916="","",IF(COUNTIF($E$2:E1916,E1916)&gt;1,"",SUMIFS(tbl_input[필요수량],tbl_input[집계키_지청],E1916)))</f>
        <v/>
      </c>
      <c r="E1916" t="str">
        <f>IFERROR(INDEX(tbl_input[집계키_지청],ROW()-1),"")</f>
        <v/>
      </c>
      <c r="F1916" t="str">
        <f t="shared" si="148"/>
        <v/>
      </c>
      <c r="G1916" t="str">
        <f t="shared" si="149"/>
        <v/>
      </c>
    </row>
    <row r="1917" spans="1:7" x14ac:dyDescent="0.4">
      <c r="A1917" t="str">
        <f t="shared" si="145"/>
        <v/>
      </c>
      <c r="B1917" t="str">
        <f t="shared" si="146"/>
        <v/>
      </c>
      <c r="C1917" t="str">
        <f t="shared" si="147"/>
        <v/>
      </c>
      <c r="D1917" t="str">
        <f>IF(E1917="","",IF(COUNTIF($E$2:E1917,E1917)&gt;1,"",SUMIFS(tbl_input[필요수량],tbl_input[집계키_지청],E1917)))</f>
        <v/>
      </c>
      <c r="E1917" t="str">
        <f>IFERROR(INDEX(tbl_input[집계키_지청],ROW()-1),"")</f>
        <v/>
      </c>
      <c r="F1917" t="str">
        <f t="shared" si="148"/>
        <v/>
      </c>
      <c r="G1917" t="str">
        <f t="shared" si="149"/>
        <v/>
      </c>
    </row>
    <row r="1918" spans="1:7" x14ac:dyDescent="0.4">
      <c r="A1918" t="str">
        <f t="shared" si="145"/>
        <v/>
      </c>
      <c r="B1918" t="str">
        <f t="shared" si="146"/>
        <v/>
      </c>
      <c r="C1918" t="str">
        <f t="shared" si="147"/>
        <v/>
      </c>
      <c r="D1918" t="str">
        <f>IF(E1918="","",IF(COUNTIF($E$2:E1918,E1918)&gt;1,"",SUMIFS(tbl_input[필요수량],tbl_input[집계키_지청],E1918)))</f>
        <v/>
      </c>
      <c r="E1918" t="str">
        <f>IFERROR(INDEX(tbl_input[집계키_지청],ROW()-1),"")</f>
        <v/>
      </c>
      <c r="F1918" t="str">
        <f t="shared" si="148"/>
        <v/>
      </c>
      <c r="G1918" t="str">
        <f t="shared" si="149"/>
        <v/>
      </c>
    </row>
    <row r="1919" spans="1:7" x14ac:dyDescent="0.4">
      <c r="A1919" t="str">
        <f t="shared" si="145"/>
        <v/>
      </c>
      <c r="B1919" t="str">
        <f t="shared" si="146"/>
        <v/>
      </c>
      <c r="C1919" t="str">
        <f t="shared" si="147"/>
        <v/>
      </c>
      <c r="D1919" t="str">
        <f>IF(E1919="","",IF(COUNTIF($E$2:E1919,E1919)&gt;1,"",SUMIFS(tbl_input[필요수량],tbl_input[집계키_지청],E1919)))</f>
        <v/>
      </c>
      <c r="E1919" t="str">
        <f>IFERROR(INDEX(tbl_input[집계키_지청],ROW()-1),"")</f>
        <v/>
      </c>
      <c r="F1919" t="str">
        <f t="shared" si="148"/>
        <v/>
      </c>
      <c r="G1919" t="str">
        <f t="shared" si="149"/>
        <v/>
      </c>
    </row>
    <row r="1920" spans="1:7" x14ac:dyDescent="0.4">
      <c r="A1920" t="str">
        <f t="shared" si="145"/>
        <v/>
      </c>
      <c r="B1920" t="str">
        <f t="shared" si="146"/>
        <v/>
      </c>
      <c r="C1920" t="str">
        <f t="shared" si="147"/>
        <v/>
      </c>
      <c r="D1920" t="str">
        <f>IF(E1920="","",IF(COUNTIF($E$2:E1920,E1920)&gt;1,"",SUMIFS(tbl_input[필요수량],tbl_input[집계키_지청],E1920)))</f>
        <v/>
      </c>
      <c r="E1920" t="str">
        <f>IFERROR(INDEX(tbl_input[집계키_지청],ROW()-1),"")</f>
        <v/>
      </c>
      <c r="F1920" t="str">
        <f t="shared" si="148"/>
        <v/>
      </c>
      <c r="G1920" t="str">
        <f t="shared" si="149"/>
        <v/>
      </c>
    </row>
    <row r="1921" spans="1:7" x14ac:dyDescent="0.4">
      <c r="A1921" t="str">
        <f t="shared" si="145"/>
        <v/>
      </c>
      <c r="B1921" t="str">
        <f t="shared" si="146"/>
        <v/>
      </c>
      <c r="C1921" t="str">
        <f t="shared" si="147"/>
        <v/>
      </c>
      <c r="D1921" t="str">
        <f>IF(E1921="","",IF(COUNTIF($E$2:E1921,E1921)&gt;1,"",SUMIFS(tbl_input[필요수량],tbl_input[집계키_지청],E1921)))</f>
        <v/>
      </c>
      <c r="E1921" t="str">
        <f>IFERROR(INDEX(tbl_input[집계키_지청],ROW()-1),"")</f>
        <v/>
      </c>
      <c r="F1921" t="str">
        <f t="shared" si="148"/>
        <v/>
      </c>
      <c r="G1921" t="str">
        <f t="shared" si="149"/>
        <v/>
      </c>
    </row>
    <row r="1922" spans="1:7" x14ac:dyDescent="0.4">
      <c r="A1922" t="str">
        <f t="shared" ref="A1922:A1985" si="150">IF(E1922="","",LEFT(E1922,F1922-1))</f>
        <v/>
      </c>
      <c r="B1922" t="str">
        <f t="shared" ref="B1922:B1985" si="151">IF(E1922="","",MID(E1922,F1922+1,G1922-F1922-1))</f>
        <v/>
      </c>
      <c r="C1922" t="str">
        <f t="shared" ref="C1922:C1985" si="152">IF(E1922="","",MID(E1922,G1922+1,999))</f>
        <v/>
      </c>
      <c r="D1922" t="str">
        <f>IF(E1922="","",IF(COUNTIF($E$2:E1922,E1922)&gt;1,"",SUMIFS(tbl_input[필요수량],tbl_input[집계키_지청],E1922)))</f>
        <v/>
      </c>
      <c r="E1922" t="str">
        <f>IFERROR(INDEX(tbl_input[집계키_지청],ROW()-1),"")</f>
        <v/>
      </c>
      <c r="F1922" t="str">
        <f t="shared" ref="F1922:F1985" si="153">IF(E1922="","",FIND("♦",E1922))</f>
        <v/>
      </c>
      <c r="G1922" t="str">
        <f t="shared" ref="G1922:G1985" si="154">IF(E1922="","",FIND("♦",E1922,F1922+1))</f>
        <v/>
      </c>
    </row>
    <row r="1923" spans="1:7" x14ac:dyDescent="0.4">
      <c r="A1923" t="str">
        <f t="shared" si="150"/>
        <v/>
      </c>
      <c r="B1923" t="str">
        <f t="shared" si="151"/>
        <v/>
      </c>
      <c r="C1923" t="str">
        <f t="shared" si="152"/>
        <v/>
      </c>
      <c r="D1923" t="str">
        <f>IF(E1923="","",IF(COUNTIF($E$2:E1923,E1923)&gt;1,"",SUMIFS(tbl_input[필요수량],tbl_input[집계키_지청],E1923)))</f>
        <v/>
      </c>
      <c r="E1923" t="str">
        <f>IFERROR(INDEX(tbl_input[집계키_지청],ROW()-1),"")</f>
        <v/>
      </c>
      <c r="F1923" t="str">
        <f t="shared" si="153"/>
        <v/>
      </c>
      <c r="G1923" t="str">
        <f t="shared" si="154"/>
        <v/>
      </c>
    </row>
    <row r="1924" spans="1:7" x14ac:dyDescent="0.4">
      <c r="A1924" t="str">
        <f t="shared" si="150"/>
        <v/>
      </c>
      <c r="B1924" t="str">
        <f t="shared" si="151"/>
        <v/>
      </c>
      <c r="C1924" t="str">
        <f t="shared" si="152"/>
        <v/>
      </c>
      <c r="D1924" t="str">
        <f>IF(E1924="","",IF(COUNTIF($E$2:E1924,E1924)&gt;1,"",SUMIFS(tbl_input[필요수량],tbl_input[집계키_지청],E1924)))</f>
        <v/>
      </c>
      <c r="E1924" t="str">
        <f>IFERROR(INDEX(tbl_input[집계키_지청],ROW()-1),"")</f>
        <v/>
      </c>
      <c r="F1924" t="str">
        <f t="shared" si="153"/>
        <v/>
      </c>
      <c r="G1924" t="str">
        <f t="shared" si="154"/>
        <v/>
      </c>
    </row>
    <row r="1925" spans="1:7" x14ac:dyDescent="0.4">
      <c r="A1925" t="str">
        <f t="shared" si="150"/>
        <v/>
      </c>
      <c r="B1925" t="str">
        <f t="shared" si="151"/>
        <v/>
      </c>
      <c r="C1925" t="str">
        <f t="shared" si="152"/>
        <v/>
      </c>
      <c r="D1925" t="str">
        <f>IF(E1925="","",IF(COUNTIF($E$2:E1925,E1925)&gt;1,"",SUMIFS(tbl_input[필요수량],tbl_input[집계키_지청],E1925)))</f>
        <v/>
      </c>
      <c r="E1925" t="str">
        <f>IFERROR(INDEX(tbl_input[집계키_지청],ROW()-1),"")</f>
        <v/>
      </c>
      <c r="F1925" t="str">
        <f t="shared" si="153"/>
        <v/>
      </c>
      <c r="G1925" t="str">
        <f t="shared" si="154"/>
        <v/>
      </c>
    </row>
    <row r="1926" spans="1:7" x14ac:dyDescent="0.4">
      <c r="A1926" t="str">
        <f t="shared" si="150"/>
        <v/>
      </c>
      <c r="B1926" t="str">
        <f t="shared" si="151"/>
        <v/>
      </c>
      <c r="C1926" t="str">
        <f t="shared" si="152"/>
        <v/>
      </c>
      <c r="D1926" t="str">
        <f>IF(E1926="","",IF(COUNTIF($E$2:E1926,E1926)&gt;1,"",SUMIFS(tbl_input[필요수량],tbl_input[집계키_지청],E1926)))</f>
        <v/>
      </c>
      <c r="E1926" t="str">
        <f>IFERROR(INDEX(tbl_input[집계키_지청],ROW()-1),"")</f>
        <v/>
      </c>
      <c r="F1926" t="str">
        <f t="shared" si="153"/>
        <v/>
      </c>
      <c r="G1926" t="str">
        <f t="shared" si="154"/>
        <v/>
      </c>
    </row>
    <row r="1927" spans="1:7" x14ac:dyDescent="0.4">
      <c r="A1927" t="str">
        <f t="shared" si="150"/>
        <v/>
      </c>
      <c r="B1927" t="str">
        <f t="shared" si="151"/>
        <v/>
      </c>
      <c r="C1927" t="str">
        <f t="shared" si="152"/>
        <v/>
      </c>
      <c r="D1927" t="str">
        <f>IF(E1927="","",IF(COUNTIF($E$2:E1927,E1927)&gt;1,"",SUMIFS(tbl_input[필요수량],tbl_input[집계키_지청],E1927)))</f>
        <v/>
      </c>
      <c r="E1927" t="str">
        <f>IFERROR(INDEX(tbl_input[집계키_지청],ROW()-1),"")</f>
        <v/>
      </c>
      <c r="F1927" t="str">
        <f t="shared" si="153"/>
        <v/>
      </c>
      <c r="G1927" t="str">
        <f t="shared" si="154"/>
        <v/>
      </c>
    </row>
    <row r="1928" spans="1:7" x14ac:dyDescent="0.4">
      <c r="A1928" t="str">
        <f t="shared" si="150"/>
        <v/>
      </c>
      <c r="B1928" t="str">
        <f t="shared" si="151"/>
        <v/>
      </c>
      <c r="C1928" t="str">
        <f t="shared" si="152"/>
        <v/>
      </c>
      <c r="D1928" t="str">
        <f>IF(E1928="","",IF(COUNTIF($E$2:E1928,E1928)&gt;1,"",SUMIFS(tbl_input[필요수량],tbl_input[집계키_지청],E1928)))</f>
        <v/>
      </c>
      <c r="E1928" t="str">
        <f>IFERROR(INDEX(tbl_input[집계키_지청],ROW()-1),"")</f>
        <v/>
      </c>
      <c r="F1928" t="str">
        <f t="shared" si="153"/>
        <v/>
      </c>
      <c r="G1928" t="str">
        <f t="shared" si="154"/>
        <v/>
      </c>
    </row>
    <row r="1929" spans="1:7" x14ac:dyDescent="0.4">
      <c r="A1929" t="str">
        <f t="shared" si="150"/>
        <v/>
      </c>
      <c r="B1929" t="str">
        <f t="shared" si="151"/>
        <v/>
      </c>
      <c r="C1929" t="str">
        <f t="shared" si="152"/>
        <v/>
      </c>
      <c r="D1929" t="str">
        <f>IF(E1929="","",IF(COUNTIF($E$2:E1929,E1929)&gt;1,"",SUMIFS(tbl_input[필요수량],tbl_input[집계키_지청],E1929)))</f>
        <v/>
      </c>
      <c r="E1929" t="str">
        <f>IFERROR(INDEX(tbl_input[집계키_지청],ROW()-1),"")</f>
        <v/>
      </c>
      <c r="F1929" t="str">
        <f t="shared" si="153"/>
        <v/>
      </c>
      <c r="G1929" t="str">
        <f t="shared" si="154"/>
        <v/>
      </c>
    </row>
    <row r="1930" spans="1:7" x14ac:dyDescent="0.4">
      <c r="A1930" t="str">
        <f t="shared" si="150"/>
        <v/>
      </c>
      <c r="B1930" t="str">
        <f t="shared" si="151"/>
        <v/>
      </c>
      <c r="C1930" t="str">
        <f t="shared" si="152"/>
        <v/>
      </c>
      <c r="D1930" t="str">
        <f>IF(E1930="","",IF(COUNTIF($E$2:E1930,E1930)&gt;1,"",SUMIFS(tbl_input[필요수량],tbl_input[집계키_지청],E1930)))</f>
        <v/>
      </c>
      <c r="E1930" t="str">
        <f>IFERROR(INDEX(tbl_input[집계키_지청],ROW()-1),"")</f>
        <v/>
      </c>
      <c r="F1930" t="str">
        <f t="shared" si="153"/>
        <v/>
      </c>
      <c r="G1930" t="str">
        <f t="shared" si="154"/>
        <v/>
      </c>
    </row>
    <row r="1931" spans="1:7" x14ac:dyDescent="0.4">
      <c r="A1931" t="str">
        <f t="shared" si="150"/>
        <v/>
      </c>
      <c r="B1931" t="str">
        <f t="shared" si="151"/>
        <v/>
      </c>
      <c r="C1931" t="str">
        <f t="shared" si="152"/>
        <v/>
      </c>
      <c r="D1931" t="str">
        <f>IF(E1931="","",IF(COUNTIF($E$2:E1931,E1931)&gt;1,"",SUMIFS(tbl_input[필요수량],tbl_input[집계키_지청],E1931)))</f>
        <v/>
      </c>
      <c r="E1931" t="str">
        <f>IFERROR(INDEX(tbl_input[집계키_지청],ROW()-1),"")</f>
        <v/>
      </c>
      <c r="F1931" t="str">
        <f t="shared" si="153"/>
        <v/>
      </c>
      <c r="G1931" t="str">
        <f t="shared" si="154"/>
        <v/>
      </c>
    </row>
    <row r="1932" spans="1:7" x14ac:dyDescent="0.4">
      <c r="A1932" t="str">
        <f t="shared" si="150"/>
        <v/>
      </c>
      <c r="B1932" t="str">
        <f t="shared" si="151"/>
        <v/>
      </c>
      <c r="C1932" t="str">
        <f t="shared" si="152"/>
        <v/>
      </c>
      <c r="D1932" t="str">
        <f>IF(E1932="","",IF(COUNTIF($E$2:E1932,E1932)&gt;1,"",SUMIFS(tbl_input[필요수량],tbl_input[집계키_지청],E1932)))</f>
        <v/>
      </c>
      <c r="E1932" t="str">
        <f>IFERROR(INDEX(tbl_input[집계키_지청],ROW()-1),"")</f>
        <v/>
      </c>
      <c r="F1932" t="str">
        <f t="shared" si="153"/>
        <v/>
      </c>
      <c r="G1932" t="str">
        <f t="shared" si="154"/>
        <v/>
      </c>
    </row>
    <row r="1933" spans="1:7" x14ac:dyDescent="0.4">
      <c r="A1933" t="str">
        <f t="shared" si="150"/>
        <v/>
      </c>
      <c r="B1933" t="str">
        <f t="shared" si="151"/>
        <v/>
      </c>
      <c r="C1933" t="str">
        <f t="shared" si="152"/>
        <v/>
      </c>
      <c r="D1933" t="str">
        <f>IF(E1933="","",IF(COUNTIF($E$2:E1933,E1933)&gt;1,"",SUMIFS(tbl_input[필요수량],tbl_input[집계키_지청],E1933)))</f>
        <v/>
      </c>
      <c r="E1933" t="str">
        <f>IFERROR(INDEX(tbl_input[집계키_지청],ROW()-1),"")</f>
        <v/>
      </c>
      <c r="F1933" t="str">
        <f t="shared" si="153"/>
        <v/>
      </c>
      <c r="G1933" t="str">
        <f t="shared" si="154"/>
        <v/>
      </c>
    </row>
    <row r="1934" spans="1:7" x14ac:dyDescent="0.4">
      <c r="A1934" t="str">
        <f t="shared" si="150"/>
        <v/>
      </c>
      <c r="B1934" t="str">
        <f t="shared" si="151"/>
        <v/>
      </c>
      <c r="C1934" t="str">
        <f t="shared" si="152"/>
        <v/>
      </c>
      <c r="D1934" t="str">
        <f>IF(E1934="","",IF(COUNTIF($E$2:E1934,E1934)&gt;1,"",SUMIFS(tbl_input[필요수량],tbl_input[집계키_지청],E1934)))</f>
        <v/>
      </c>
      <c r="E1934" t="str">
        <f>IFERROR(INDEX(tbl_input[집계키_지청],ROW()-1),"")</f>
        <v/>
      </c>
      <c r="F1934" t="str">
        <f t="shared" si="153"/>
        <v/>
      </c>
      <c r="G1934" t="str">
        <f t="shared" si="154"/>
        <v/>
      </c>
    </row>
    <row r="1935" spans="1:7" x14ac:dyDescent="0.4">
      <c r="A1935" t="str">
        <f t="shared" si="150"/>
        <v/>
      </c>
      <c r="B1935" t="str">
        <f t="shared" si="151"/>
        <v/>
      </c>
      <c r="C1935" t="str">
        <f t="shared" si="152"/>
        <v/>
      </c>
      <c r="D1935" t="str">
        <f>IF(E1935="","",IF(COUNTIF($E$2:E1935,E1935)&gt;1,"",SUMIFS(tbl_input[필요수량],tbl_input[집계키_지청],E1935)))</f>
        <v/>
      </c>
      <c r="E1935" t="str">
        <f>IFERROR(INDEX(tbl_input[집계키_지청],ROW()-1),"")</f>
        <v/>
      </c>
      <c r="F1935" t="str">
        <f t="shared" si="153"/>
        <v/>
      </c>
      <c r="G1935" t="str">
        <f t="shared" si="154"/>
        <v/>
      </c>
    </row>
    <row r="1936" spans="1:7" x14ac:dyDescent="0.4">
      <c r="A1936" t="str">
        <f t="shared" si="150"/>
        <v/>
      </c>
      <c r="B1936" t="str">
        <f t="shared" si="151"/>
        <v/>
      </c>
      <c r="C1936" t="str">
        <f t="shared" si="152"/>
        <v/>
      </c>
      <c r="D1936" t="str">
        <f>IF(E1936="","",IF(COUNTIF($E$2:E1936,E1936)&gt;1,"",SUMIFS(tbl_input[필요수량],tbl_input[집계키_지청],E1936)))</f>
        <v/>
      </c>
      <c r="E1936" t="str">
        <f>IFERROR(INDEX(tbl_input[집계키_지청],ROW()-1),"")</f>
        <v/>
      </c>
      <c r="F1936" t="str">
        <f t="shared" si="153"/>
        <v/>
      </c>
      <c r="G1936" t="str">
        <f t="shared" si="154"/>
        <v/>
      </c>
    </row>
    <row r="1937" spans="1:7" x14ac:dyDescent="0.4">
      <c r="A1937" t="str">
        <f t="shared" si="150"/>
        <v/>
      </c>
      <c r="B1937" t="str">
        <f t="shared" si="151"/>
        <v/>
      </c>
      <c r="C1937" t="str">
        <f t="shared" si="152"/>
        <v/>
      </c>
      <c r="D1937" t="str">
        <f>IF(E1937="","",IF(COUNTIF($E$2:E1937,E1937)&gt;1,"",SUMIFS(tbl_input[필요수량],tbl_input[집계키_지청],E1937)))</f>
        <v/>
      </c>
      <c r="E1937" t="str">
        <f>IFERROR(INDEX(tbl_input[집계키_지청],ROW()-1),"")</f>
        <v/>
      </c>
      <c r="F1937" t="str">
        <f t="shared" si="153"/>
        <v/>
      </c>
      <c r="G1937" t="str">
        <f t="shared" si="154"/>
        <v/>
      </c>
    </row>
    <row r="1938" spans="1:7" x14ac:dyDescent="0.4">
      <c r="A1938" t="str">
        <f t="shared" si="150"/>
        <v/>
      </c>
      <c r="B1938" t="str">
        <f t="shared" si="151"/>
        <v/>
      </c>
      <c r="C1938" t="str">
        <f t="shared" si="152"/>
        <v/>
      </c>
      <c r="D1938" t="str">
        <f>IF(E1938="","",IF(COUNTIF($E$2:E1938,E1938)&gt;1,"",SUMIFS(tbl_input[필요수량],tbl_input[집계키_지청],E1938)))</f>
        <v/>
      </c>
      <c r="E1938" t="str">
        <f>IFERROR(INDEX(tbl_input[집계키_지청],ROW()-1),"")</f>
        <v/>
      </c>
      <c r="F1938" t="str">
        <f t="shared" si="153"/>
        <v/>
      </c>
      <c r="G1938" t="str">
        <f t="shared" si="154"/>
        <v/>
      </c>
    </row>
    <row r="1939" spans="1:7" x14ac:dyDescent="0.4">
      <c r="A1939" t="str">
        <f t="shared" si="150"/>
        <v/>
      </c>
      <c r="B1939" t="str">
        <f t="shared" si="151"/>
        <v/>
      </c>
      <c r="C1939" t="str">
        <f t="shared" si="152"/>
        <v/>
      </c>
      <c r="D1939" t="str">
        <f>IF(E1939="","",IF(COUNTIF($E$2:E1939,E1939)&gt;1,"",SUMIFS(tbl_input[필요수량],tbl_input[집계키_지청],E1939)))</f>
        <v/>
      </c>
      <c r="E1939" t="str">
        <f>IFERROR(INDEX(tbl_input[집계키_지청],ROW()-1),"")</f>
        <v/>
      </c>
      <c r="F1939" t="str">
        <f t="shared" si="153"/>
        <v/>
      </c>
      <c r="G1939" t="str">
        <f t="shared" si="154"/>
        <v/>
      </c>
    </row>
    <row r="1940" spans="1:7" x14ac:dyDescent="0.4">
      <c r="A1940" t="str">
        <f t="shared" si="150"/>
        <v/>
      </c>
      <c r="B1940" t="str">
        <f t="shared" si="151"/>
        <v/>
      </c>
      <c r="C1940" t="str">
        <f t="shared" si="152"/>
        <v/>
      </c>
      <c r="D1940" t="str">
        <f>IF(E1940="","",IF(COUNTIF($E$2:E1940,E1940)&gt;1,"",SUMIFS(tbl_input[필요수량],tbl_input[집계키_지청],E1940)))</f>
        <v/>
      </c>
      <c r="E1940" t="str">
        <f>IFERROR(INDEX(tbl_input[집계키_지청],ROW()-1),"")</f>
        <v/>
      </c>
      <c r="F1940" t="str">
        <f t="shared" si="153"/>
        <v/>
      </c>
      <c r="G1940" t="str">
        <f t="shared" si="154"/>
        <v/>
      </c>
    </row>
    <row r="1941" spans="1:7" x14ac:dyDescent="0.4">
      <c r="A1941" t="str">
        <f t="shared" si="150"/>
        <v/>
      </c>
      <c r="B1941" t="str">
        <f t="shared" si="151"/>
        <v/>
      </c>
      <c r="C1941" t="str">
        <f t="shared" si="152"/>
        <v/>
      </c>
      <c r="D1941" t="str">
        <f>IF(E1941="","",IF(COUNTIF($E$2:E1941,E1941)&gt;1,"",SUMIFS(tbl_input[필요수량],tbl_input[집계키_지청],E1941)))</f>
        <v/>
      </c>
      <c r="E1941" t="str">
        <f>IFERROR(INDEX(tbl_input[집계키_지청],ROW()-1),"")</f>
        <v/>
      </c>
      <c r="F1941" t="str">
        <f t="shared" si="153"/>
        <v/>
      </c>
      <c r="G1941" t="str">
        <f t="shared" si="154"/>
        <v/>
      </c>
    </row>
    <row r="1942" spans="1:7" x14ac:dyDescent="0.4">
      <c r="A1942" t="str">
        <f t="shared" si="150"/>
        <v/>
      </c>
      <c r="B1942" t="str">
        <f t="shared" si="151"/>
        <v/>
      </c>
      <c r="C1942" t="str">
        <f t="shared" si="152"/>
        <v/>
      </c>
      <c r="D1942" t="str">
        <f>IF(E1942="","",IF(COUNTIF($E$2:E1942,E1942)&gt;1,"",SUMIFS(tbl_input[필요수량],tbl_input[집계키_지청],E1942)))</f>
        <v/>
      </c>
      <c r="E1942" t="str">
        <f>IFERROR(INDEX(tbl_input[집계키_지청],ROW()-1),"")</f>
        <v/>
      </c>
      <c r="F1942" t="str">
        <f t="shared" si="153"/>
        <v/>
      </c>
      <c r="G1942" t="str">
        <f t="shared" si="154"/>
        <v/>
      </c>
    </row>
    <row r="1943" spans="1:7" x14ac:dyDescent="0.4">
      <c r="A1943" t="str">
        <f t="shared" si="150"/>
        <v/>
      </c>
      <c r="B1943" t="str">
        <f t="shared" si="151"/>
        <v/>
      </c>
      <c r="C1943" t="str">
        <f t="shared" si="152"/>
        <v/>
      </c>
      <c r="D1943" t="str">
        <f>IF(E1943="","",IF(COUNTIF($E$2:E1943,E1943)&gt;1,"",SUMIFS(tbl_input[필요수량],tbl_input[집계키_지청],E1943)))</f>
        <v/>
      </c>
      <c r="E1943" t="str">
        <f>IFERROR(INDEX(tbl_input[집계키_지청],ROW()-1),"")</f>
        <v/>
      </c>
      <c r="F1943" t="str">
        <f t="shared" si="153"/>
        <v/>
      </c>
      <c r="G1943" t="str">
        <f t="shared" si="154"/>
        <v/>
      </c>
    </row>
    <row r="1944" spans="1:7" x14ac:dyDescent="0.4">
      <c r="A1944" t="str">
        <f t="shared" si="150"/>
        <v/>
      </c>
      <c r="B1944" t="str">
        <f t="shared" si="151"/>
        <v/>
      </c>
      <c r="C1944" t="str">
        <f t="shared" si="152"/>
        <v/>
      </c>
      <c r="D1944" t="str">
        <f>IF(E1944="","",IF(COUNTIF($E$2:E1944,E1944)&gt;1,"",SUMIFS(tbl_input[필요수량],tbl_input[집계키_지청],E1944)))</f>
        <v/>
      </c>
      <c r="E1944" t="str">
        <f>IFERROR(INDEX(tbl_input[집계키_지청],ROW()-1),"")</f>
        <v/>
      </c>
      <c r="F1944" t="str">
        <f t="shared" si="153"/>
        <v/>
      </c>
      <c r="G1944" t="str">
        <f t="shared" si="154"/>
        <v/>
      </c>
    </row>
    <row r="1945" spans="1:7" x14ac:dyDescent="0.4">
      <c r="A1945" t="str">
        <f t="shared" si="150"/>
        <v/>
      </c>
      <c r="B1945" t="str">
        <f t="shared" si="151"/>
        <v/>
      </c>
      <c r="C1945" t="str">
        <f t="shared" si="152"/>
        <v/>
      </c>
      <c r="D1945" t="str">
        <f>IF(E1945="","",IF(COUNTIF($E$2:E1945,E1945)&gt;1,"",SUMIFS(tbl_input[필요수량],tbl_input[집계키_지청],E1945)))</f>
        <v/>
      </c>
      <c r="E1945" t="str">
        <f>IFERROR(INDEX(tbl_input[집계키_지청],ROW()-1),"")</f>
        <v/>
      </c>
      <c r="F1945" t="str">
        <f t="shared" si="153"/>
        <v/>
      </c>
      <c r="G1945" t="str">
        <f t="shared" si="154"/>
        <v/>
      </c>
    </row>
    <row r="1946" spans="1:7" x14ac:dyDescent="0.4">
      <c r="A1946" t="str">
        <f t="shared" si="150"/>
        <v/>
      </c>
      <c r="B1946" t="str">
        <f t="shared" si="151"/>
        <v/>
      </c>
      <c r="C1946" t="str">
        <f t="shared" si="152"/>
        <v/>
      </c>
      <c r="D1946" t="str">
        <f>IF(E1946="","",IF(COUNTIF($E$2:E1946,E1946)&gt;1,"",SUMIFS(tbl_input[필요수량],tbl_input[집계키_지청],E1946)))</f>
        <v/>
      </c>
      <c r="E1946" t="str">
        <f>IFERROR(INDEX(tbl_input[집계키_지청],ROW()-1),"")</f>
        <v/>
      </c>
      <c r="F1946" t="str">
        <f t="shared" si="153"/>
        <v/>
      </c>
      <c r="G1946" t="str">
        <f t="shared" si="154"/>
        <v/>
      </c>
    </row>
    <row r="1947" spans="1:7" x14ac:dyDescent="0.4">
      <c r="A1947" t="str">
        <f t="shared" si="150"/>
        <v/>
      </c>
      <c r="B1947" t="str">
        <f t="shared" si="151"/>
        <v/>
      </c>
      <c r="C1947" t="str">
        <f t="shared" si="152"/>
        <v/>
      </c>
      <c r="D1947" t="str">
        <f>IF(E1947="","",IF(COUNTIF($E$2:E1947,E1947)&gt;1,"",SUMIFS(tbl_input[필요수량],tbl_input[집계키_지청],E1947)))</f>
        <v/>
      </c>
      <c r="E1947" t="str">
        <f>IFERROR(INDEX(tbl_input[집계키_지청],ROW()-1),"")</f>
        <v/>
      </c>
      <c r="F1947" t="str">
        <f t="shared" si="153"/>
        <v/>
      </c>
      <c r="G1947" t="str">
        <f t="shared" si="154"/>
        <v/>
      </c>
    </row>
    <row r="1948" spans="1:7" x14ac:dyDescent="0.4">
      <c r="A1948" t="str">
        <f t="shared" si="150"/>
        <v/>
      </c>
      <c r="B1948" t="str">
        <f t="shared" si="151"/>
        <v/>
      </c>
      <c r="C1948" t="str">
        <f t="shared" si="152"/>
        <v/>
      </c>
      <c r="D1948" t="str">
        <f>IF(E1948="","",IF(COUNTIF($E$2:E1948,E1948)&gt;1,"",SUMIFS(tbl_input[필요수량],tbl_input[집계키_지청],E1948)))</f>
        <v/>
      </c>
      <c r="E1948" t="str">
        <f>IFERROR(INDEX(tbl_input[집계키_지청],ROW()-1),"")</f>
        <v/>
      </c>
      <c r="F1948" t="str">
        <f t="shared" si="153"/>
        <v/>
      </c>
      <c r="G1948" t="str">
        <f t="shared" si="154"/>
        <v/>
      </c>
    </row>
    <row r="1949" spans="1:7" x14ac:dyDescent="0.4">
      <c r="A1949" t="str">
        <f t="shared" si="150"/>
        <v/>
      </c>
      <c r="B1949" t="str">
        <f t="shared" si="151"/>
        <v/>
      </c>
      <c r="C1949" t="str">
        <f t="shared" si="152"/>
        <v/>
      </c>
      <c r="D1949" t="str">
        <f>IF(E1949="","",IF(COUNTIF($E$2:E1949,E1949)&gt;1,"",SUMIFS(tbl_input[필요수량],tbl_input[집계키_지청],E1949)))</f>
        <v/>
      </c>
      <c r="E1949" t="str">
        <f>IFERROR(INDEX(tbl_input[집계키_지청],ROW()-1),"")</f>
        <v/>
      </c>
      <c r="F1949" t="str">
        <f t="shared" si="153"/>
        <v/>
      </c>
      <c r="G1949" t="str">
        <f t="shared" si="154"/>
        <v/>
      </c>
    </row>
    <row r="1950" spans="1:7" x14ac:dyDescent="0.4">
      <c r="A1950" t="str">
        <f t="shared" si="150"/>
        <v/>
      </c>
      <c r="B1950" t="str">
        <f t="shared" si="151"/>
        <v/>
      </c>
      <c r="C1950" t="str">
        <f t="shared" si="152"/>
        <v/>
      </c>
      <c r="D1950" t="str">
        <f>IF(E1950="","",IF(COUNTIF($E$2:E1950,E1950)&gt;1,"",SUMIFS(tbl_input[필요수량],tbl_input[집계키_지청],E1950)))</f>
        <v/>
      </c>
      <c r="E1950" t="str">
        <f>IFERROR(INDEX(tbl_input[집계키_지청],ROW()-1),"")</f>
        <v/>
      </c>
      <c r="F1950" t="str">
        <f t="shared" si="153"/>
        <v/>
      </c>
      <c r="G1950" t="str">
        <f t="shared" si="154"/>
        <v/>
      </c>
    </row>
    <row r="1951" spans="1:7" x14ac:dyDescent="0.4">
      <c r="A1951" t="str">
        <f t="shared" si="150"/>
        <v/>
      </c>
      <c r="B1951" t="str">
        <f t="shared" si="151"/>
        <v/>
      </c>
      <c r="C1951" t="str">
        <f t="shared" si="152"/>
        <v/>
      </c>
      <c r="D1951" t="str">
        <f>IF(E1951="","",IF(COUNTIF($E$2:E1951,E1951)&gt;1,"",SUMIFS(tbl_input[필요수량],tbl_input[집계키_지청],E1951)))</f>
        <v/>
      </c>
      <c r="E1951" t="str">
        <f>IFERROR(INDEX(tbl_input[집계키_지청],ROW()-1),"")</f>
        <v/>
      </c>
      <c r="F1951" t="str">
        <f t="shared" si="153"/>
        <v/>
      </c>
      <c r="G1951" t="str">
        <f t="shared" si="154"/>
        <v/>
      </c>
    </row>
    <row r="1952" spans="1:7" x14ac:dyDescent="0.4">
      <c r="A1952" t="str">
        <f t="shared" si="150"/>
        <v/>
      </c>
      <c r="B1952" t="str">
        <f t="shared" si="151"/>
        <v/>
      </c>
      <c r="C1952" t="str">
        <f t="shared" si="152"/>
        <v/>
      </c>
      <c r="D1952" t="str">
        <f>IF(E1952="","",IF(COUNTIF($E$2:E1952,E1952)&gt;1,"",SUMIFS(tbl_input[필요수량],tbl_input[집계키_지청],E1952)))</f>
        <v/>
      </c>
      <c r="E1952" t="str">
        <f>IFERROR(INDEX(tbl_input[집계키_지청],ROW()-1),"")</f>
        <v/>
      </c>
      <c r="F1952" t="str">
        <f t="shared" si="153"/>
        <v/>
      </c>
      <c r="G1952" t="str">
        <f t="shared" si="154"/>
        <v/>
      </c>
    </row>
    <row r="1953" spans="1:7" x14ac:dyDescent="0.4">
      <c r="A1953" t="str">
        <f t="shared" si="150"/>
        <v/>
      </c>
      <c r="B1953" t="str">
        <f t="shared" si="151"/>
        <v/>
      </c>
      <c r="C1953" t="str">
        <f t="shared" si="152"/>
        <v/>
      </c>
      <c r="D1953" t="str">
        <f>IF(E1953="","",IF(COUNTIF($E$2:E1953,E1953)&gt;1,"",SUMIFS(tbl_input[필요수량],tbl_input[집계키_지청],E1953)))</f>
        <v/>
      </c>
      <c r="E1953" t="str">
        <f>IFERROR(INDEX(tbl_input[집계키_지청],ROW()-1),"")</f>
        <v/>
      </c>
      <c r="F1953" t="str">
        <f t="shared" si="153"/>
        <v/>
      </c>
      <c r="G1953" t="str">
        <f t="shared" si="154"/>
        <v/>
      </c>
    </row>
    <row r="1954" spans="1:7" x14ac:dyDescent="0.4">
      <c r="A1954" t="str">
        <f t="shared" si="150"/>
        <v/>
      </c>
      <c r="B1954" t="str">
        <f t="shared" si="151"/>
        <v/>
      </c>
      <c r="C1954" t="str">
        <f t="shared" si="152"/>
        <v/>
      </c>
      <c r="D1954" t="str">
        <f>IF(E1954="","",IF(COUNTIF($E$2:E1954,E1954)&gt;1,"",SUMIFS(tbl_input[필요수량],tbl_input[집계키_지청],E1954)))</f>
        <v/>
      </c>
      <c r="E1954" t="str">
        <f>IFERROR(INDEX(tbl_input[집계키_지청],ROW()-1),"")</f>
        <v/>
      </c>
      <c r="F1954" t="str">
        <f t="shared" si="153"/>
        <v/>
      </c>
      <c r="G1954" t="str">
        <f t="shared" si="154"/>
        <v/>
      </c>
    </row>
    <row r="1955" spans="1:7" x14ac:dyDescent="0.4">
      <c r="A1955" t="str">
        <f t="shared" si="150"/>
        <v/>
      </c>
      <c r="B1955" t="str">
        <f t="shared" si="151"/>
        <v/>
      </c>
      <c r="C1955" t="str">
        <f t="shared" si="152"/>
        <v/>
      </c>
      <c r="D1955" t="str">
        <f>IF(E1955="","",IF(COUNTIF($E$2:E1955,E1955)&gt;1,"",SUMIFS(tbl_input[필요수량],tbl_input[집계키_지청],E1955)))</f>
        <v/>
      </c>
      <c r="E1955" t="str">
        <f>IFERROR(INDEX(tbl_input[집계키_지청],ROW()-1),"")</f>
        <v/>
      </c>
      <c r="F1955" t="str">
        <f t="shared" si="153"/>
        <v/>
      </c>
      <c r="G1955" t="str">
        <f t="shared" si="154"/>
        <v/>
      </c>
    </row>
    <row r="1956" spans="1:7" x14ac:dyDescent="0.4">
      <c r="A1956" t="str">
        <f t="shared" si="150"/>
        <v/>
      </c>
      <c r="B1956" t="str">
        <f t="shared" si="151"/>
        <v/>
      </c>
      <c r="C1956" t="str">
        <f t="shared" si="152"/>
        <v/>
      </c>
      <c r="D1956" t="str">
        <f>IF(E1956="","",IF(COUNTIF($E$2:E1956,E1956)&gt;1,"",SUMIFS(tbl_input[필요수량],tbl_input[집계키_지청],E1956)))</f>
        <v/>
      </c>
      <c r="E1956" t="str">
        <f>IFERROR(INDEX(tbl_input[집계키_지청],ROW()-1),"")</f>
        <v/>
      </c>
      <c r="F1956" t="str">
        <f t="shared" si="153"/>
        <v/>
      </c>
      <c r="G1956" t="str">
        <f t="shared" si="154"/>
        <v/>
      </c>
    </row>
    <row r="1957" spans="1:7" x14ac:dyDescent="0.4">
      <c r="A1957" t="str">
        <f t="shared" si="150"/>
        <v/>
      </c>
      <c r="B1957" t="str">
        <f t="shared" si="151"/>
        <v/>
      </c>
      <c r="C1957" t="str">
        <f t="shared" si="152"/>
        <v/>
      </c>
      <c r="D1957" t="str">
        <f>IF(E1957="","",IF(COUNTIF($E$2:E1957,E1957)&gt;1,"",SUMIFS(tbl_input[필요수량],tbl_input[집계키_지청],E1957)))</f>
        <v/>
      </c>
      <c r="E1957" t="str">
        <f>IFERROR(INDEX(tbl_input[집계키_지청],ROW()-1),"")</f>
        <v/>
      </c>
      <c r="F1957" t="str">
        <f t="shared" si="153"/>
        <v/>
      </c>
      <c r="G1957" t="str">
        <f t="shared" si="154"/>
        <v/>
      </c>
    </row>
    <row r="1958" spans="1:7" x14ac:dyDescent="0.4">
      <c r="A1958" t="str">
        <f t="shared" si="150"/>
        <v/>
      </c>
      <c r="B1958" t="str">
        <f t="shared" si="151"/>
        <v/>
      </c>
      <c r="C1958" t="str">
        <f t="shared" si="152"/>
        <v/>
      </c>
      <c r="D1958" t="str">
        <f>IF(E1958="","",IF(COUNTIF($E$2:E1958,E1958)&gt;1,"",SUMIFS(tbl_input[필요수량],tbl_input[집계키_지청],E1958)))</f>
        <v/>
      </c>
      <c r="E1958" t="str">
        <f>IFERROR(INDEX(tbl_input[집계키_지청],ROW()-1),"")</f>
        <v/>
      </c>
      <c r="F1958" t="str">
        <f t="shared" si="153"/>
        <v/>
      </c>
      <c r="G1958" t="str">
        <f t="shared" si="154"/>
        <v/>
      </c>
    </row>
    <row r="1959" spans="1:7" x14ac:dyDescent="0.4">
      <c r="A1959" t="str">
        <f t="shared" si="150"/>
        <v/>
      </c>
      <c r="B1959" t="str">
        <f t="shared" si="151"/>
        <v/>
      </c>
      <c r="C1959" t="str">
        <f t="shared" si="152"/>
        <v/>
      </c>
      <c r="D1959" t="str">
        <f>IF(E1959="","",IF(COUNTIF($E$2:E1959,E1959)&gt;1,"",SUMIFS(tbl_input[필요수량],tbl_input[집계키_지청],E1959)))</f>
        <v/>
      </c>
      <c r="E1959" t="str">
        <f>IFERROR(INDEX(tbl_input[집계키_지청],ROW()-1),"")</f>
        <v/>
      </c>
      <c r="F1959" t="str">
        <f t="shared" si="153"/>
        <v/>
      </c>
      <c r="G1959" t="str">
        <f t="shared" si="154"/>
        <v/>
      </c>
    </row>
    <row r="1960" spans="1:7" x14ac:dyDescent="0.4">
      <c r="A1960" t="str">
        <f t="shared" si="150"/>
        <v/>
      </c>
      <c r="B1960" t="str">
        <f t="shared" si="151"/>
        <v/>
      </c>
      <c r="C1960" t="str">
        <f t="shared" si="152"/>
        <v/>
      </c>
      <c r="D1960" t="str">
        <f>IF(E1960="","",IF(COUNTIF($E$2:E1960,E1960)&gt;1,"",SUMIFS(tbl_input[필요수량],tbl_input[집계키_지청],E1960)))</f>
        <v/>
      </c>
      <c r="E1960" t="str">
        <f>IFERROR(INDEX(tbl_input[집계키_지청],ROW()-1),"")</f>
        <v/>
      </c>
      <c r="F1960" t="str">
        <f t="shared" si="153"/>
        <v/>
      </c>
      <c r="G1960" t="str">
        <f t="shared" si="154"/>
        <v/>
      </c>
    </row>
    <row r="1961" spans="1:7" x14ac:dyDescent="0.4">
      <c r="A1961" t="str">
        <f t="shared" si="150"/>
        <v/>
      </c>
      <c r="B1961" t="str">
        <f t="shared" si="151"/>
        <v/>
      </c>
      <c r="C1961" t="str">
        <f t="shared" si="152"/>
        <v/>
      </c>
      <c r="D1961" t="str">
        <f>IF(E1961="","",IF(COUNTIF($E$2:E1961,E1961)&gt;1,"",SUMIFS(tbl_input[필요수량],tbl_input[집계키_지청],E1961)))</f>
        <v/>
      </c>
      <c r="E1961" t="str">
        <f>IFERROR(INDEX(tbl_input[집계키_지청],ROW()-1),"")</f>
        <v/>
      </c>
      <c r="F1961" t="str">
        <f t="shared" si="153"/>
        <v/>
      </c>
      <c r="G1961" t="str">
        <f t="shared" si="154"/>
        <v/>
      </c>
    </row>
    <row r="1962" spans="1:7" x14ac:dyDescent="0.4">
      <c r="A1962" t="str">
        <f t="shared" si="150"/>
        <v/>
      </c>
      <c r="B1962" t="str">
        <f t="shared" si="151"/>
        <v/>
      </c>
      <c r="C1962" t="str">
        <f t="shared" si="152"/>
        <v/>
      </c>
      <c r="D1962" t="str">
        <f>IF(E1962="","",IF(COUNTIF($E$2:E1962,E1962)&gt;1,"",SUMIFS(tbl_input[필요수량],tbl_input[집계키_지청],E1962)))</f>
        <v/>
      </c>
      <c r="E1962" t="str">
        <f>IFERROR(INDEX(tbl_input[집계키_지청],ROW()-1),"")</f>
        <v/>
      </c>
      <c r="F1962" t="str">
        <f t="shared" si="153"/>
        <v/>
      </c>
      <c r="G1962" t="str">
        <f t="shared" si="154"/>
        <v/>
      </c>
    </row>
    <row r="1963" spans="1:7" x14ac:dyDescent="0.4">
      <c r="A1963" t="str">
        <f t="shared" si="150"/>
        <v/>
      </c>
      <c r="B1963" t="str">
        <f t="shared" si="151"/>
        <v/>
      </c>
      <c r="C1963" t="str">
        <f t="shared" si="152"/>
        <v/>
      </c>
      <c r="D1963" t="str">
        <f>IF(E1963="","",IF(COUNTIF($E$2:E1963,E1963)&gt;1,"",SUMIFS(tbl_input[필요수량],tbl_input[집계키_지청],E1963)))</f>
        <v/>
      </c>
      <c r="E1963" t="str">
        <f>IFERROR(INDEX(tbl_input[집계키_지청],ROW()-1),"")</f>
        <v/>
      </c>
      <c r="F1963" t="str">
        <f t="shared" si="153"/>
        <v/>
      </c>
      <c r="G1963" t="str">
        <f t="shared" si="154"/>
        <v/>
      </c>
    </row>
    <row r="1964" spans="1:7" x14ac:dyDescent="0.4">
      <c r="A1964" t="str">
        <f t="shared" si="150"/>
        <v/>
      </c>
      <c r="B1964" t="str">
        <f t="shared" si="151"/>
        <v/>
      </c>
      <c r="C1964" t="str">
        <f t="shared" si="152"/>
        <v/>
      </c>
      <c r="D1964" t="str">
        <f>IF(E1964="","",IF(COUNTIF($E$2:E1964,E1964)&gt;1,"",SUMIFS(tbl_input[필요수량],tbl_input[집계키_지청],E1964)))</f>
        <v/>
      </c>
      <c r="E1964" t="str">
        <f>IFERROR(INDEX(tbl_input[집계키_지청],ROW()-1),"")</f>
        <v/>
      </c>
      <c r="F1964" t="str">
        <f t="shared" si="153"/>
        <v/>
      </c>
      <c r="G1964" t="str">
        <f t="shared" si="154"/>
        <v/>
      </c>
    </row>
    <row r="1965" spans="1:7" x14ac:dyDescent="0.4">
      <c r="A1965" t="str">
        <f t="shared" si="150"/>
        <v/>
      </c>
      <c r="B1965" t="str">
        <f t="shared" si="151"/>
        <v/>
      </c>
      <c r="C1965" t="str">
        <f t="shared" si="152"/>
        <v/>
      </c>
      <c r="D1965" t="str">
        <f>IF(E1965="","",IF(COUNTIF($E$2:E1965,E1965)&gt;1,"",SUMIFS(tbl_input[필요수량],tbl_input[집계키_지청],E1965)))</f>
        <v/>
      </c>
      <c r="E1965" t="str">
        <f>IFERROR(INDEX(tbl_input[집계키_지청],ROW()-1),"")</f>
        <v/>
      </c>
      <c r="F1965" t="str">
        <f t="shared" si="153"/>
        <v/>
      </c>
      <c r="G1965" t="str">
        <f t="shared" si="154"/>
        <v/>
      </c>
    </row>
    <row r="1966" spans="1:7" x14ac:dyDescent="0.4">
      <c r="A1966" t="str">
        <f t="shared" si="150"/>
        <v/>
      </c>
      <c r="B1966" t="str">
        <f t="shared" si="151"/>
        <v/>
      </c>
      <c r="C1966" t="str">
        <f t="shared" si="152"/>
        <v/>
      </c>
      <c r="D1966" t="str">
        <f>IF(E1966="","",IF(COUNTIF($E$2:E1966,E1966)&gt;1,"",SUMIFS(tbl_input[필요수량],tbl_input[집계키_지청],E1966)))</f>
        <v/>
      </c>
      <c r="E1966" t="str">
        <f>IFERROR(INDEX(tbl_input[집계키_지청],ROW()-1),"")</f>
        <v/>
      </c>
      <c r="F1966" t="str">
        <f t="shared" si="153"/>
        <v/>
      </c>
      <c r="G1966" t="str">
        <f t="shared" si="154"/>
        <v/>
      </c>
    </row>
    <row r="1967" spans="1:7" x14ac:dyDescent="0.4">
      <c r="A1967" t="str">
        <f t="shared" si="150"/>
        <v/>
      </c>
      <c r="B1967" t="str">
        <f t="shared" si="151"/>
        <v/>
      </c>
      <c r="C1967" t="str">
        <f t="shared" si="152"/>
        <v/>
      </c>
      <c r="D1967" t="str">
        <f>IF(E1967="","",IF(COUNTIF($E$2:E1967,E1967)&gt;1,"",SUMIFS(tbl_input[필요수량],tbl_input[집계키_지청],E1967)))</f>
        <v/>
      </c>
      <c r="E1967" t="str">
        <f>IFERROR(INDEX(tbl_input[집계키_지청],ROW()-1),"")</f>
        <v/>
      </c>
      <c r="F1967" t="str">
        <f t="shared" si="153"/>
        <v/>
      </c>
      <c r="G1967" t="str">
        <f t="shared" si="154"/>
        <v/>
      </c>
    </row>
    <row r="1968" spans="1:7" x14ac:dyDescent="0.4">
      <c r="A1968" t="str">
        <f t="shared" si="150"/>
        <v/>
      </c>
      <c r="B1968" t="str">
        <f t="shared" si="151"/>
        <v/>
      </c>
      <c r="C1968" t="str">
        <f t="shared" si="152"/>
        <v/>
      </c>
      <c r="D1968" t="str">
        <f>IF(E1968="","",IF(COUNTIF($E$2:E1968,E1968)&gt;1,"",SUMIFS(tbl_input[필요수량],tbl_input[집계키_지청],E1968)))</f>
        <v/>
      </c>
      <c r="E1968" t="str">
        <f>IFERROR(INDEX(tbl_input[집계키_지청],ROW()-1),"")</f>
        <v/>
      </c>
      <c r="F1968" t="str">
        <f t="shared" si="153"/>
        <v/>
      </c>
      <c r="G1968" t="str">
        <f t="shared" si="154"/>
        <v/>
      </c>
    </row>
    <row r="1969" spans="1:7" x14ac:dyDescent="0.4">
      <c r="A1969" t="str">
        <f t="shared" si="150"/>
        <v/>
      </c>
      <c r="B1969" t="str">
        <f t="shared" si="151"/>
        <v/>
      </c>
      <c r="C1969" t="str">
        <f t="shared" si="152"/>
        <v/>
      </c>
      <c r="D1969" t="str">
        <f>IF(E1969="","",IF(COUNTIF($E$2:E1969,E1969)&gt;1,"",SUMIFS(tbl_input[필요수량],tbl_input[집계키_지청],E1969)))</f>
        <v/>
      </c>
      <c r="E1969" t="str">
        <f>IFERROR(INDEX(tbl_input[집계키_지청],ROW()-1),"")</f>
        <v/>
      </c>
      <c r="F1969" t="str">
        <f t="shared" si="153"/>
        <v/>
      </c>
      <c r="G1969" t="str">
        <f t="shared" si="154"/>
        <v/>
      </c>
    </row>
    <row r="1970" spans="1:7" x14ac:dyDescent="0.4">
      <c r="A1970" t="str">
        <f t="shared" si="150"/>
        <v/>
      </c>
      <c r="B1970" t="str">
        <f t="shared" si="151"/>
        <v/>
      </c>
      <c r="C1970" t="str">
        <f t="shared" si="152"/>
        <v/>
      </c>
      <c r="D1970" t="str">
        <f>IF(E1970="","",IF(COUNTIF($E$2:E1970,E1970)&gt;1,"",SUMIFS(tbl_input[필요수량],tbl_input[집계키_지청],E1970)))</f>
        <v/>
      </c>
      <c r="E1970" t="str">
        <f>IFERROR(INDEX(tbl_input[집계키_지청],ROW()-1),"")</f>
        <v/>
      </c>
      <c r="F1970" t="str">
        <f t="shared" si="153"/>
        <v/>
      </c>
      <c r="G1970" t="str">
        <f t="shared" si="154"/>
        <v/>
      </c>
    </row>
    <row r="1971" spans="1:7" x14ac:dyDescent="0.4">
      <c r="A1971" t="str">
        <f t="shared" si="150"/>
        <v/>
      </c>
      <c r="B1971" t="str">
        <f t="shared" si="151"/>
        <v/>
      </c>
      <c r="C1971" t="str">
        <f t="shared" si="152"/>
        <v/>
      </c>
      <c r="D1971" t="str">
        <f>IF(E1971="","",IF(COUNTIF($E$2:E1971,E1971)&gt;1,"",SUMIFS(tbl_input[필요수량],tbl_input[집계키_지청],E1971)))</f>
        <v/>
      </c>
      <c r="E1971" t="str">
        <f>IFERROR(INDEX(tbl_input[집계키_지청],ROW()-1),"")</f>
        <v/>
      </c>
      <c r="F1971" t="str">
        <f t="shared" si="153"/>
        <v/>
      </c>
      <c r="G1971" t="str">
        <f t="shared" si="154"/>
        <v/>
      </c>
    </row>
    <row r="1972" spans="1:7" x14ac:dyDescent="0.4">
      <c r="A1972" t="str">
        <f t="shared" si="150"/>
        <v/>
      </c>
      <c r="B1972" t="str">
        <f t="shared" si="151"/>
        <v/>
      </c>
      <c r="C1972" t="str">
        <f t="shared" si="152"/>
        <v/>
      </c>
      <c r="D1972" t="str">
        <f>IF(E1972="","",IF(COUNTIF($E$2:E1972,E1972)&gt;1,"",SUMIFS(tbl_input[필요수량],tbl_input[집계키_지청],E1972)))</f>
        <v/>
      </c>
      <c r="E1972" t="str">
        <f>IFERROR(INDEX(tbl_input[집계키_지청],ROW()-1),"")</f>
        <v/>
      </c>
      <c r="F1972" t="str">
        <f t="shared" si="153"/>
        <v/>
      </c>
      <c r="G1972" t="str">
        <f t="shared" si="154"/>
        <v/>
      </c>
    </row>
    <row r="1973" spans="1:7" x14ac:dyDescent="0.4">
      <c r="A1973" t="str">
        <f t="shared" si="150"/>
        <v/>
      </c>
      <c r="B1973" t="str">
        <f t="shared" si="151"/>
        <v/>
      </c>
      <c r="C1973" t="str">
        <f t="shared" si="152"/>
        <v/>
      </c>
      <c r="D1973" t="str">
        <f>IF(E1973="","",IF(COUNTIF($E$2:E1973,E1973)&gt;1,"",SUMIFS(tbl_input[필요수량],tbl_input[집계키_지청],E1973)))</f>
        <v/>
      </c>
      <c r="E1973" t="str">
        <f>IFERROR(INDEX(tbl_input[집계키_지청],ROW()-1),"")</f>
        <v/>
      </c>
      <c r="F1973" t="str">
        <f t="shared" si="153"/>
        <v/>
      </c>
      <c r="G1973" t="str">
        <f t="shared" si="154"/>
        <v/>
      </c>
    </row>
    <row r="1974" spans="1:7" x14ac:dyDescent="0.4">
      <c r="A1974" t="str">
        <f t="shared" si="150"/>
        <v/>
      </c>
      <c r="B1974" t="str">
        <f t="shared" si="151"/>
        <v/>
      </c>
      <c r="C1974" t="str">
        <f t="shared" si="152"/>
        <v/>
      </c>
      <c r="D1974" t="str">
        <f>IF(E1974="","",IF(COUNTIF($E$2:E1974,E1974)&gt;1,"",SUMIFS(tbl_input[필요수량],tbl_input[집계키_지청],E1974)))</f>
        <v/>
      </c>
      <c r="E1974" t="str">
        <f>IFERROR(INDEX(tbl_input[집계키_지청],ROW()-1),"")</f>
        <v/>
      </c>
      <c r="F1974" t="str">
        <f t="shared" si="153"/>
        <v/>
      </c>
      <c r="G1974" t="str">
        <f t="shared" si="154"/>
        <v/>
      </c>
    </row>
    <row r="1975" spans="1:7" x14ac:dyDescent="0.4">
      <c r="A1975" t="str">
        <f t="shared" si="150"/>
        <v/>
      </c>
      <c r="B1975" t="str">
        <f t="shared" si="151"/>
        <v/>
      </c>
      <c r="C1975" t="str">
        <f t="shared" si="152"/>
        <v/>
      </c>
      <c r="D1975" t="str">
        <f>IF(E1975="","",IF(COUNTIF($E$2:E1975,E1975)&gt;1,"",SUMIFS(tbl_input[필요수량],tbl_input[집계키_지청],E1975)))</f>
        <v/>
      </c>
      <c r="E1975" t="str">
        <f>IFERROR(INDEX(tbl_input[집계키_지청],ROW()-1),"")</f>
        <v/>
      </c>
      <c r="F1975" t="str">
        <f t="shared" si="153"/>
        <v/>
      </c>
      <c r="G1975" t="str">
        <f t="shared" si="154"/>
        <v/>
      </c>
    </row>
    <row r="1976" spans="1:7" x14ac:dyDescent="0.4">
      <c r="A1976" t="str">
        <f t="shared" si="150"/>
        <v/>
      </c>
      <c r="B1976" t="str">
        <f t="shared" si="151"/>
        <v/>
      </c>
      <c r="C1976" t="str">
        <f t="shared" si="152"/>
        <v/>
      </c>
      <c r="D1976" t="str">
        <f>IF(E1976="","",IF(COUNTIF($E$2:E1976,E1976)&gt;1,"",SUMIFS(tbl_input[필요수량],tbl_input[집계키_지청],E1976)))</f>
        <v/>
      </c>
      <c r="E1976" t="str">
        <f>IFERROR(INDEX(tbl_input[집계키_지청],ROW()-1),"")</f>
        <v/>
      </c>
      <c r="F1976" t="str">
        <f t="shared" si="153"/>
        <v/>
      </c>
      <c r="G1976" t="str">
        <f t="shared" si="154"/>
        <v/>
      </c>
    </row>
    <row r="1977" spans="1:7" x14ac:dyDescent="0.4">
      <c r="A1977" t="str">
        <f t="shared" si="150"/>
        <v/>
      </c>
      <c r="B1977" t="str">
        <f t="shared" si="151"/>
        <v/>
      </c>
      <c r="C1977" t="str">
        <f t="shared" si="152"/>
        <v/>
      </c>
      <c r="D1977" t="str">
        <f>IF(E1977="","",IF(COUNTIF($E$2:E1977,E1977)&gt;1,"",SUMIFS(tbl_input[필요수량],tbl_input[집계키_지청],E1977)))</f>
        <v/>
      </c>
      <c r="E1977" t="str">
        <f>IFERROR(INDEX(tbl_input[집계키_지청],ROW()-1),"")</f>
        <v/>
      </c>
      <c r="F1977" t="str">
        <f t="shared" si="153"/>
        <v/>
      </c>
      <c r="G1977" t="str">
        <f t="shared" si="154"/>
        <v/>
      </c>
    </row>
    <row r="1978" spans="1:7" x14ac:dyDescent="0.4">
      <c r="A1978" t="str">
        <f t="shared" si="150"/>
        <v/>
      </c>
      <c r="B1978" t="str">
        <f t="shared" si="151"/>
        <v/>
      </c>
      <c r="C1978" t="str">
        <f t="shared" si="152"/>
        <v/>
      </c>
      <c r="D1978" t="str">
        <f>IF(E1978="","",IF(COUNTIF($E$2:E1978,E1978)&gt;1,"",SUMIFS(tbl_input[필요수량],tbl_input[집계키_지청],E1978)))</f>
        <v/>
      </c>
      <c r="E1978" t="str">
        <f>IFERROR(INDEX(tbl_input[집계키_지청],ROW()-1),"")</f>
        <v/>
      </c>
      <c r="F1978" t="str">
        <f t="shared" si="153"/>
        <v/>
      </c>
      <c r="G1978" t="str">
        <f t="shared" si="154"/>
        <v/>
      </c>
    </row>
    <row r="1979" spans="1:7" x14ac:dyDescent="0.4">
      <c r="A1979" t="str">
        <f t="shared" si="150"/>
        <v/>
      </c>
      <c r="B1979" t="str">
        <f t="shared" si="151"/>
        <v/>
      </c>
      <c r="C1979" t="str">
        <f t="shared" si="152"/>
        <v/>
      </c>
      <c r="D1979" t="str">
        <f>IF(E1979="","",IF(COUNTIF($E$2:E1979,E1979)&gt;1,"",SUMIFS(tbl_input[필요수량],tbl_input[집계키_지청],E1979)))</f>
        <v/>
      </c>
      <c r="E1979" t="str">
        <f>IFERROR(INDEX(tbl_input[집계키_지청],ROW()-1),"")</f>
        <v/>
      </c>
      <c r="F1979" t="str">
        <f t="shared" si="153"/>
        <v/>
      </c>
      <c r="G1979" t="str">
        <f t="shared" si="154"/>
        <v/>
      </c>
    </row>
    <row r="1980" spans="1:7" x14ac:dyDescent="0.4">
      <c r="A1980" t="str">
        <f t="shared" si="150"/>
        <v/>
      </c>
      <c r="B1980" t="str">
        <f t="shared" si="151"/>
        <v/>
      </c>
      <c r="C1980" t="str">
        <f t="shared" si="152"/>
        <v/>
      </c>
      <c r="D1980" t="str">
        <f>IF(E1980="","",IF(COUNTIF($E$2:E1980,E1980)&gt;1,"",SUMIFS(tbl_input[필요수량],tbl_input[집계키_지청],E1980)))</f>
        <v/>
      </c>
      <c r="E1980" t="str">
        <f>IFERROR(INDEX(tbl_input[집계키_지청],ROW()-1),"")</f>
        <v/>
      </c>
      <c r="F1980" t="str">
        <f t="shared" si="153"/>
        <v/>
      </c>
      <c r="G1980" t="str">
        <f t="shared" si="154"/>
        <v/>
      </c>
    </row>
    <row r="1981" spans="1:7" x14ac:dyDescent="0.4">
      <c r="A1981" t="str">
        <f t="shared" si="150"/>
        <v/>
      </c>
      <c r="B1981" t="str">
        <f t="shared" si="151"/>
        <v/>
      </c>
      <c r="C1981" t="str">
        <f t="shared" si="152"/>
        <v/>
      </c>
      <c r="D1981" t="str">
        <f>IF(E1981="","",IF(COUNTIF($E$2:E1981,E1981)&gt;1,"",SUMIFS(tbl_input[필요수량],tbl_input[집계키_지청],E1981)))</f>
        <v/>
      </c>
      <c r="E1981" t="str">
        <f>IFERROR(INDEX(tbl_input[집계키_지청],ROW()-1),"")</f>
        <v/>
      </c>
      <c r="F1981" t="str">
        <f t="shared" si="153"/>
        <v/>
      </c>
      <c r="G1981" t="str">
        <f t="shared" si="154"/>
        <v/>
      </c>
    </row>
    <row r="1982" spans="1:7" x14ac:dyDescent="0.4">
      <c r="A1982" t="str">
        <f t="shared" si="150"/>
        <v/>
      </c>
      <c r="B1982" t="str">
        <f t="shared" si="151"/>
        <v/>
      </c>
      <c r="C1982" t="str">
        <f t="shared" si="152"/>
        <v/>
      </c>
      <c r="D1982" t="str">
        <f>IF(E1982="","",IF(COUNTIF($E$2:E1982,E1982)&gt;1,"",SUMIFS(tbl_input[필요수량],tbl_input[집계키_지청],E1982)))</f>
        <v/>
      </c>
      <c r="E1982" t="str">
        <f>IFERROR(INDEX(tbl_input[집계키_지청],ROW()-1),"")</f>
        <v/>
      </c>
      <c r="F1982" t="str">
        <f t="shared" si="153"/>
        <v/>
      </c>
      <c r="G1982" t="str">
        <f t="shared" si="154"/>
        <v/>
      </c>
    </row>
    <row r="1983" spans="1:7" x14ac:dyDescent="0.4">
      <c r="A1983" t="str">
        <f t="shared" si="150"/>
        <v/>
      </c>
      <c r="B1983" t="str">
        <f t="shared" si="151"/>
        <v/>
      </c>
      <c r="C1983" t="str">
        <f t="shared" si="152"/>
        <v/>
      </c>
      <c r="D1983" t="str">
        <f>IF(E1983="","",IF(COUNTIF($E$2:E1983,E1983)&gt;1,"",SUMIFS(tbl_input[필요수량],tbl_input[집계키_지청],E1983)))</f>
        <v/>
      </c>
      <c r="E1983" t="str">
        <f>IFERROR(INDEX(tbl_input[집계키_지청],ROW()-1),"")</f>
        <v/>
      </c>
      <c r="F1983" t="str">
        <f t="shared" si="153"/>
        <v/>
      </c>
      <c r="G1983" t="str">
        <f t="shared" si="154"/>
        <v/>
      </c>
    </row>
    <row r="1984" spans="1:7" x14ac:dyDescent="0.4">
      <c r="A1984" t="str">
        <f t="shared" si="150"/>
        <v/>
      </c>
      <c r="B1984" t="str">
        <f t="shared" si="151"/>
        <v/>
      </c>
      <c r="C1984" t="str">
        <f t="shared" si="152"/>
        <v/>
      </c>
      <c r="D1984" t="str">
        <f>IF(E1984="","",IF(COUNTIF($E$2:E1984,E1984)&gt;1,"",SUMIFS(tbl_input[필요수량],tbl_input[집계키_지청],E1984)))</f>
        <v/>
      </c>
      <c r="E1984" t="str">
        <f>IFERROR(INDEX(tbl_input[집계키_지청],ROW()-1),"")</f>
        <v/>
      </c>
      <c r="F1984" t="str">
        <f t="shared" si="153"/>
        <v/>
      </c>
      <c r="G1984" t="str">
        <f t="shared" si="154"/>
        <v/>
      </c>
    </row>
    <row r="1985" spans="1:7" x14ac:dyDescent="0.4">
      <c r="A1985" t="str">
        <f t="shared" si="150"/>
        <v/>
      </c>
      <c r="B1985" t="str">
        <f t="shared" si="151"/>
        <v/>
      </c>
      <c r="C1985" t="str">
        <f t="shared" si="152"/>
        <v/>
      </c>
      <c r="D1985" t="str">
        <f>IF(E1985="","",IF(COUNTIF($E$2:E1985,E1985)&gt;1,"",SUMIFS(tbl_input[필요수량],tbl_input[집계키_지청],E1985)))</f>
        <v/>
      </c>
      <c r="E1985" t="str">
        <f>IFERROR(INDEX(tbl_input[집계키_지청],ROW()-1),"")</f>
        <v/>
      </c>
      <c r="F1985" t="str">
        <f t="shared" si="153"/>
        <v/>
      </c>
      <c r="G1985" t="str">
        <f t="shared" si="154"/>
        <v/>
      </c>
    </row>
    <row r="1986" spans="1:7" x14ac:dyDescent="0.4">
      <c r="A1986" t="str">
        <f t="shared" ref="A1986:A2049" si="155">IF(E1986="","",LEFT(E1986,F1986-1))</f>
        <v/>
      </c>
      <c r="B1986" t="str">
        <f t="shared" ref="B1986:B2049" si="156">IF(E1986="","",MID(E1986,F1986+1,G1986-F1986-1))</f>
        <v/>
      </c>
      <c r="C1986" t="str">
        <f t="shared" ref="C1986:C2049" si="157">IF(E1986="","",MID(E1986,G1986+1,999))</f>
        <v/>
      </c>
      <c r="D1986" t="str">
        <f>IF(E1986="","",IF(COUNTIF($E$2:E1986,E1986)&gt;1,"",SUMIFS(tbl_input[필요수량],tbl_input[집계키_지청],E1986)))</f>
        <v/>
      </c>
      <c r="E1986" t="str">
        <f>IFERROR(INDEX(tbl_input[집계키_지청],ROW()-1),"")</f>
        <v/>
      </c>
      <c r="F1986" t="str">
        <f t="shared" ref="F1986:F2049" si="158">IF(E1986="","",FIND("♦",E1986))</f>
        <v/>
      </c>
      <c r="G1986" t="str">
        <f t="shared" ref="G1986:G2049" si="159">IF(E1986="","",FIND("♦",E1986,F1986+1))</f>
        <v/>
      </c>
    </row>
    <row r="1987" spans="1:7" x14ac:dyDescent="0.4">
      <c r="A1987" t="str">
        <f t="shared" si="155"/>
        <v/>
      </c>
      <c r="B1987" t="str">
        <f t="shared" si="156"/>
        <v/>
      </c>
      <c r="C1987" t="str">
        <f t="shared" si="157"/>
        <v/>
      </c>
      <c r="D1987" t="str">
        <f>IF(E1987="","",IF(COUNTIF($E$2:E1987,E1987)&gt;1,"",SUMIFS(tbl_input[필요수량],tbl_input[집계키_지청],E1987)))</f>
        <v/>
      </c>
      <c r="E1987" t="str">
        <f>IFERROR(INDEX(tbl_input[집계키_지청],ROW()-1),"")</f>
        <v/>
      </c>
      <c r="F1987" t="str">
        <f t="shared" si="158"/>
        <v/>
      </c>
      <c r="G1987" t="str">
        <f t="shared" si="159"/>
        <v/>
      </c>
    </row>
    <row r="1988" spans="1:7" x14ac:dyDescent="0.4">
      <c r="A1988" t="str">
        <f t="shared" si="155"/>
        <v/>
      </c>
      <c r="B1988" t="str">
        <f t="shared" si="156"/>
        <v/>
      </c>
      <c r="C1988" t="str">
        <f t="shared" si="157"/>
        <v/>
      </c>
      <c r="D1988" t="str">
        <f>IF(E1988="","",IF(COUNTIF($E$2:E1988,E1988)&gt;1,"",SUMIFS(tbl_input[필요수량],tbl_input[집계키_지청],E1988)))</f>
        <v/>
      </c>
      <c r="E1988" t="str">
        <f>IFERROR(INDEX(tbl_input[집계키_지청],ROW()-1),"")</f>
        <v/>
      </c>
      <c r="F1988" t="str">
        <f t="shared" si="158"/>
        <v/>
      </c>
      <c r="G1988" t="str">
        <f t="shared" si="159"/>
        <v/>
      </c>
    </row>
    <row r="1989" spans="1:7" x14ac:dyDescent="0.4">
      <c r="A1989" t="str">
        <f t="shared" si="155"/>
        <v/>
      </c>
      <c r="B1989" t="str">
        <f t="shared" si="156"/>
        <v/>
      </c>
      <c r="C1989" t="str">
        <f t="shared" si="157"/>
        <v/>
      </c>
      <c r="D1989" t="str">
        <f>IF(E1989="","",IF(COUNTIF($E$2:E1989,E1989)&gt;1,"",SUMIFS(tbl_input[필요수량],tbl_input[집계키_지청],E1989)))</f>
        <v/>
      </c>
      <c r="E1989" t="str">
        <f>IFERROR(INDEX(tbl_input[집계키_지청],ROW()-1),"")</f>
        <v/>
      </c>
      <c r="F1989" t="str">
        <f t="shared" si="158"/>
        <v/>
      </c>
      <c r="G1989" t="str">
        <f t="shared" si="159"/>
        <v/>
      </c>
    </row>
    <row r="1990" spans="1:7" x14ac:dyDescent="0.4">
      <c r="A1990" t="str">
        <f t="shared" si="155"/>
        <v/>
      </c>
      <c r="B1990" t="str">
        <f t="shared" si="156"/>
        <v/>
      </c>
      <c r="C1990" t="str">
        <f t="shared" si="157"/>
        <v/>
      </c>
      <c r="D1990" t="str">
        <f>IF(E1990="","",IF(COUNTIF($E$2:E1990,E1990)&gt;1,"",SUMIFS(tbl_input[필요수량],tbl_input[집계키_지청],E1990)))</f>
        <v/>
      </c>
      <c r="E1990" t="str">
        <f>IFERROR(INDEX(tbl_input[집계키_지청],ROW()-1),"")</f>
        <v/>
      </c>
      <c r="F1990" t="str">
        <f t="shared" si="158"/>
        <v/>
      </c>
      <c r="G1990" t="str">
        <f t="shared" si="159"/>
        <v/>
      </c>
    </row>
    <row r="1991" spans="1:7" x14ac:dyDescent="0.4">
      <c r="A1991" t="str">
        <f t="shared" si="155"/>
        <v/>
      </c>
      <c r="B1991" t="str">
        <f t="shared" si="156"/>
        <v/>
      </c>
      <c r="C1991" t="str">
        <f t="shared" si="157"/>
        <v/>
      </c>
      <c r="D1991" t="str">
        <f>IF(E1991="","",IF(COUNTIF($E$2:E1991,E1991)&gt;1,"",SUMIFS(tbl_input[필요수량],tbl_input[집계키_지청],E1991)))</f>
        <v/>
      </c>
      <c r="E1991" t="str">
        <f>IFERROR(INDEX(tbl_input[집계키_지청],ROW()-1),"")</f>
        <v/>
      </c>
      <c r="F1991" t="str">
        <f t="shared" si="158"/>
        <v/>
      </c>
      <c r="G1991" t="str">
        <f t="shared" si="159"/>
        <v/>
      </c>
    </row>
    <row r="1992" spans="1:7" x14ac:dyDescent="0.4">
      <c r="A1992" t="str">
        <f t="shared" si="155"/>
        <v/>
      </c>
      <c r="B1992" t="str">
        <f t="shared" si="156"/>
        <v/>
      </c>
      <c r="C1992" t="str">
        <f t="shared" si="157"/>
        <v/>
      </c>
      <c r="D1992" t="str">
        <f>IF(E1992="","",IF(COUNTIF($E$2:E1992,E1992)&gt;1,"",SUMIFS(tbl_input[필요수량],tbl_input[집계키_지청],E1992)))</f>
        <v/>
      </c>
      <c r="E1992" t="str">
        <f>IFERROR(INDEX(tbl_input[집계키_지청],ROW()-1),"")</f>
        <v/>
      </c>
      <c r="F1992" t="str">
        <f t="shared" si="158"/>
        <v/>
      </c>
      <c r="G1992" t="str">
        <f t="shared" si="159"/>
        <v/>
      </c>
    </row>
    <row r="1993" spans="1:7" x14ac:dyDescent="0.4">
      <c r="A1993" t="str">
        <f t="shared" si="155"/>
        <v/>
      </c>
      <c r="B1993" t="str">
        <f t="shared" si="156"/>
        <v/>
      </c>
      <c r="C1993" t="str">
        <f t="shared" si="157"/>
        <v/>
      </c>
      <c r="D1993" t="str">
        <f>IF(E1993="","",IF(COUNTIF($E$2:E1993,E1993)&gt;1,"",SUMIFS(tbl_input[필요수량],tbl_input[집계키_지청],E1993)))</f>
        <v/>
      </c>
      <c r="E1993" t="str">
        <f>IFERROR(INDEX(tbl_input[집계키_지청],ROW()-1),"")</f>
        <v/>
      </c>
      <c r="F1993" t="str">
        <f t="shared" si="158"/>
        <v/>
      </c>
      <c r="G1993" t="str">
        <f t="shared" si="159"/>
        <v/>
      </c>
    </row>
    <row r="1994" spans="1:7" x14ac:dyDescent="0.4">
      <c r="A1994" t="str">
        <f t="shared" si="155"/>
        <v/>
      </c>
      <c r="B1994" t="str">
        <f t="shared" si="156"/>
        <v/>
      </c>
      <c r="C1994" t="str">
        <f t="shared" si="157"/>
        <v/>
      </c>
      <c r="D1994" t="str">
        <f>IF(E1994="","",IF(COUNTIF($E$2:E1994,E1994)&gt;1,"",SUMIFS(tbl_input[필요수량],tbl_input[집계키_지청],E1994)))</f>
        <v/>
      </c>
      <c r="E1994" t="str">
        <f>IFERROR(INDEX(tbl_input[집계키_지청],ROW()-1),"")</f>
        <v/>
      </c>
      <c r="F1994" t="str">
        <f t="shared" si="158"/>
        <v/>
      </c>
      <c r="G1994" t="str">
        <f t="shared" si="159"/>
        <v/>
      </c>
    </row>
    <row r="1995" spans="1:7" x14ac:dyDescent="0.4">
      <c r="A1995" t="str">
        <f t="shared" si="155"/>
        <v/>
      </c>
      <c r="B1995" t="str">
        <f t="shared" si="156"/>
        <v/>
      </c>
      <c r="C1995" t="str">
        <f t="shared" si="157"/>
        <v/>
      </c>
      <c r="D1995" t="str">
        <f>IF(E1995="","",IF(COUNTIF($E$2:E1995,E1995)&gt;1,"",SUMIFS(tbl_input[필요수량],tbl_input[집계키_지청],E1995)))</f>
        <v/>
      </c>
      <c r="E1995" t="str">
        <f>IFERROR(INDEX(tbl_input[집계키_지청],ROW()-1),"")</f>
        <v/>
      </c>
      <c r="F1995" t="str">
        <f t="shared" si="158"/>
        <v/>
      </c>
      <c r="G1995" t="str">
        <f t="shared" si="159"/>
        <v/>
      </c>
    </row>
    <row r="1996" spans="1:7" x14ac:dyDescent="0.4">
      <c r="A1996" t="str">
        <f t="shared" si="155"/>
        <v/>
      </c>
      <c r="B1996" t="str">
        <f t="shared" si="156"/>
        <v/>
      </c>
      <c r="C1996" t="str">
        <f t="shared" si="157"/>
        <v/>
      </c>
      <c r="D1996" t="str">
        <f>IF(E1996="","",IF(COUNTIF($E$2:E1996,E1996)&gt;1,"",SUMIFS(tbl_input[필요수량],tbl_input[집계키_지청],E1996)))</f>
        <v/>
      </c>
      <c r="E1996" t="str">
        <f>IFERROR(INDEX(tbl_input[집계키_지청],ROW()-1),"")</f>
        <v/>
      </c>
      <c r="F1996" t="str">
        <f t="shared" si="158"/>
        <v/>
      </c>
      <c r="G1996" t="str">
        <f t="shared" si="159"/>
        <v/>
      </c>
    </row>
    <row r="1997" spans="1:7" x14ac:dyDescent="0.4">
      <c r="A1997" t="str">
        <f t="shared" si="155"/>
        <v/>
      </c>
      <c r="B1997" t="str">
        <f t="shared" si="156"/>
        <v/>
      </c>
      <c r="C1997" t="str">
        <f t="shared" si="157"/>
        <v/>
      </c>
      <c r="D1997" t="str">
        <f>IF(E1997="","",IF(COUNTIF($E$2:E1997,E1997)&gt;1,"",SUMIFS(tbl_input[필요수량],tbl_input[집계키_지청],E1997)))</f>
        <v/>
      </c>
      <c r="E1997" t="str">
        <f>IFERROR(INDEX(tbl_input[집계키_지청],ROW()-1),"")</f>
        <v/>
      </c>
      <c r="F1997" t="str">
        <f t="shared" si="158"/>
        <v/>
      </c>
      <c r="G1997" t="str">
        <f t="shared" si="159"/>
        <v/>
      </c>
    </row>
    <row r="1998" spans="1:7" x14ac:dyDescent="0.4">
      <c r="A1998" t="str">
        <f t="shared" si="155"/>
        <v/>
      </c>
      <c r="B1998" t="str">
        <f t="shared" si="156"/>
        <v/>
      </c>
      <c r="C1998" t="str">
        <f t="shared" si="157"/>
        <v/>
      </c>
      <c r="D1998" t="str">
        <f>IF(E1998="","",IF(COUNTIF($E$2:E1998,E1998)&gt;1,"",SUMIFS(tbl_input[필요수량],tbl_input[집계키_지청],E1998)))</f>
        <v/>
      </c>
      <c r="E1998" t="str">
        <f>IFERROR(INDEX(tbl_input[집계키_지청],ROW()-1),"")</f>
        <v/>
      </c>
      <c r="F1998" t="str">
        <f t="shared" si="158"/>
        <v/>
      </c>
      <c r="G1998" t="str">
        <f t="shared" si="159"/>
        <v/>
      </c>
    </row>
    <row r="1999" spans="1:7" x14ac:dyDescent="0.4">
      <c r="A1999" t="str">
        <f t="shared" si="155"/>
        <v/>
      </c>
      <c r="B1999" t="str">
        <f t="shared" si="156"/>
        <v/>
      </c>
      <c r="C1999" t="str">
        <f t="shared" si="157"/>
        <v/>
      </c>
      <c r="D1999" t="str">
        <f>IF(E1999="","",IF(COUNTIF($E$2:E1999,E1999)&gt;1,"",SUMIFS(tbl_input[필요수량],tbl_input[집계키_지청],E1999)))</f>
        <v/>
      </c>
      <c r="E1999" t="str">
        <f>IFERROR(INDEX(tbl_input[집계키_지청],ROW()-1),"")</f>
        <v/>
      </c>
      <c r="F1999" t="str">
        <f t="shared" si="158"/>
        <v/>
      </c>
      <c r="G1999" t="str">
        <f t="shared" si="159"/>
        <v/>
      </c>
    </row>
    <row r="2000" spans="1:7" x14ac:dyDescent="0.4">
      <c r="A2000" t="str">
        <f t="shared" si="155"/>
        <v/>
      </c>
      <c r="B2000" t="str">
        <f t="shared" si="156"/>
        <v/>
      </c>
      <c r="C2000" t="str">
        <f t="shared" si="157"/>
        <v/>
      </c>
      <c r="D2000" t="str">
        <f>IF(E2000="","",IF(COUNTIF($E$2:E2000,E2000)&gt;1,"",SUMIFS(tbl_input[필요수량],tbl_input[집계키_지청],E2000)))</f>
        <v/>
      </c>
      <c r="E2000" t="str">
        <f>IFERROR(INDEX(tbl_input[집계키_지청],ROW()-1),"")</f>
        <v/>
      </c>
      <c r="F2000" t="str">
        <f t="shared" si="158"/>
        <v/>
      </c>
      <c r="G2000" t="str">
        <f t="shared" si="159"/>
        <v/>
      </c>
    </row>
    <row r="2001" spans="1:7" x14ac:dyDescent="0.4">
      <c r="A2001" t="str">
        <f t="shared" si="155"/>
        <v/>
      </c>
      <c r="B2001" t="str">
        <f t="shared" si="156"/>
        <v/>
      </c>
      <c r="C2001" t="str">
        <f t="shared" si="157"/>
        <v/>
      </c>
      <c r="D2001" t="str">
        <f>IF(E2001="","",IF(COUNTIF($E$2:E2001,E2001)&gt;1,"",SUMIFS(tbl_input[필요수량],tbl_input[집계키_지청],E2001)))</f>
        <v/>
      </c>
      <c r="E2001" t="str">
        <f>IFERROR(INDEX(tbl_input[집계키_지청],ROW()-1),"")</f>
        <v/>
      </c>
      <c r="F2001" t="str">
        <f t="shared" si="158"/>
        <v/>
      </c>
      <c r="G2001" t="str">
        <f t="shared" si="159"/>
        <v/>
      </c>
    </row>
    <row r="2002" spans="1:7" x14ac:dyDescent="0.4">
      <c r="A2002" t="str">
        <f t="shared" si="155"/>
        <v/>
      </c>
      <c r="B2002" t="str">
        <f t="shared" si="156"/>
        <v/>
      </c>
      <c r="C2002" t="str">
        <f t="shared" si="157"/>
        <v/>
      </c>
      <c r="D2002" t="str">
        <f>IF(E2002="","",IF(COUNTIF($E$2:E2002,E2002)&gt;1,"",SUMIFS(tbl_input[필요수량],tbl_input[집계키_지청],E2002)))</f>
        <v/>
      </c>
      <c r="E2002" t="str">
        <f>IFERROR(INDEX(tbl_input[집계키_지청],ROW()-1),"")</f>
        <v/>
      </c>
      <c r="F2002" t="str">
        <f t="shared" si="158"/>
        <v/>
      </c>
      <c r="G2002" t="str">
        <f t="shared" si="159"/>
        <v/>
      </c>
    </row>
    <row r="2003" spans="1:7" x14ac:dyDescent="0.4">
      <c r="A2003" t="str">
        <f t="shared" si="155"/>
        <v/>
      </c>
      <c r="B2003" t="str">
        <f t="shared" si="156"/>
        <v/>
      </c>
      <c r="C2003" t="str">
        <f t="shared" si="157"/>
        <v/>
      </c>
      <c r="D2003" t="str">
        <f>IF(E2003="","",IF(COUNTIF($E$2:E2003,E2003)&gt;1,"",SUMIFS(tbl_input[필요수량],tbl_input[집계키_지청],E2003)))</f>
        <v/>
      </c>
      <c r="E2003" t="str">
        <f>IFERROR(INDEX(tbl_input[집계키_지청],ROW()-1),"")</f>
        <v/>
      </c>
      <c r="F2003" t="str">
        <f t="shared" si="158"/>
        <v/>
      </c>
      <c r="G2003" t="str">
        <f t="shared" si="159"/>
        <v/>
      </c>
    </row>
    <row r="2004" spans="1:7" x14ac:dyDescent="0.4">
      <c r="A2004" t="str">
        <f t="shared" si="155"/>
        <v/>
      </c>
      <c r="B2004" t="str">
        <f t="shared" si="156"/>
        <v/>
      </c>
      <c r="C2004" t="str">
        <f t="shared" si="157"/>
        <v/>
      </c>
      <c r="D2004" t="str">
        <f>IF(E2004="","",IF(COUNTIF($E$2:E2004,E2004)&gt;1,"",SUMIFS(tbl_input[필요수량],tbl_input[집계키_지청],E2004)))</f>
        <v/>
      </c>
      <c r="E2004" t="str">
        <f>IFERROR(INDEX(tbl_input[집계키_지청],ROW()-1),"")</f>
        <v/>
      </c>
      <c r="F2004" t="str">
        <f t="shared" si="158"/>
        <v/>
      </c>
      <c r="G2004" t="str">
        <f t="shared" si="159"/>
        <v/>
      </c>
    </row>
    <row r="2005" spans="1:7" x14ac:dyDescent="0.4">
      <c r="A2005" t="str">
        <f t="shared" si="155"/>
        <v/>
      </c>
      <c r="B2005" t="str">
        <f t="shared" si="156"/>
        <v/>
      </c>
      <c r="C2005" t="str">
        <f t="shared" si="157"/>
        <v/>
      </c>
      <c r="D2005" t="str">
        <f>IF(E2005="","",IF(COUNTIF($E$2:E2005,E2005)&gt;1,"",SUMIFS(tbl_input[필요수량],tbl_input[집계키_지청],E2005)))</f>
        <v/>
      </c>
      <c r="E2005" t="str">
        <f>IFERROR(INDEX(tbl_input[집계키_지청],ROW()-1),"")</f>
        <v/>
      </c>
      <c r="F2005" t="str">
        <f t="shared" si="158"/>
        <v/>
      </c>
      <c r="G2005" t="str">
        <f t="shared" si="159"/>
        <v/>
      </c>
    </row>
    <row r="2006" spans="1:7" x14ac:dyDescent="0.4">
      <c r="A2006" t="str">
        <f t="shared" si="155"/>
        <v/>
      </c>
      <c r="B2006" t="str">
        <f t="shared" si="156"/>
        <v/>
      </c>
      <c r="C2006" t="str">
        <f t="shared" si="157"/>
        <v/>
      </c>
      <c r="D2006" t="str">
        <f>IF(E2006="","",IF(COUNTIF($E$2:E2006,E2006)&gt;1,"",SUMIFS(tbl_input[필요수량],tbl_input[집계키_지청],E2006)))</f>
        <v/>
      </c>
      <c r="E2006" t="str">
        <f>IFERROR(INDEX(tbl_input[집계키_지청],ROW()-1),"")</f>
        <v/>
      </c>
      <c r="F2006" t="str">
        <f t="shared" si="158"/>
        <v/>
      </c>
      <c r="G2006" t="str">
        <f t="shared" si="159"/>
        <v/>
      </c>
    </row>
    <row r="2007" spans="1:7" x14ac:dyDescent="0.4">
      <c r="A2007" t="str">
        <f t="shared" si="155"/>
        <v/>
      </c>
      <c r="B2007" t="str">
        <f t="shared" si="156"/>
        <v/>
      </c>
      <c r="C2007" t="str">
        <f t="shared" si="157"/>
        <v/>
      </c>
      <c r="D2007" t="str">
        <f>IF(E2007="","",IF(COUNTIF($E$2:E2007,E2007)&gt;1,"",SUMIFS(tbl_input[필요수량],tbl_input[집계키_지청],E2007)))</f>
        <v/>
      </c>
      <c r="E2007" t="str">
        <f>IFERROR(INDEX(tbl_input[집계키_지청],ROW()-1),"")</f>
        <v/>
      </c>
      <c r="F2007" t="str">
        <f t="shared" si="158"/>
        <v/>
      </c>
      <c r="G2007" t="str">
        <f t="shared" si="159"/>
        <v/>
      </c>
    </row>
    <row r="2008" spans="1:7" x14ac:dyDescent="0.4">
      <c r="A2008" t="str">
        <f t="shared" si="155"/>
        <v/>
      </c>
      <c r="B2008" t="str">
        <f t="shared" si="156"/>
        <v/>
      </c>
      <c r="C2008" t="str">
        <f t="shared" si="157"/>
        <v/>
      </c>
      <c r="D2008" t="str">
        <f>IF(E2008="","",IF(COUNTIF($E$2:E2008,E2008)&gt;1,"",SUMIFS(tbl_input[필요수량],tbl_input[집계키_지청],E2008)))</f>
        <v/>
      </c>
      <c r="E2008" t="str">
        <f>IFERROR(INDEX(tbl_input[집계키_지청],ROW()-1),"")</f>
        <v/>
      </c>
      <c r="F2008" t="str">
        <f t="shared" si="158"/>
        <v/>
      </c>
      <c r="G2008" t="str">
        <f t="shared" si="159"/>
        <v/>
      </c>
    </row>
    <row r="2009" spans="1:7" x14ac:dyDescent="0.4">
      <c r="A2009" t="str">
        <f t="shared" si="155"/>
        <v/>
      </c>
      <c r="B2009" t="str">
        <f t="shared" si="156"/>
        <v/>
      </c>
      <c r="C2009" t="str">
        <f t="shared" si="157"/>
        <v/>
      </c>
      <c r="D2009" t="str">
        <f>IF(E2009="","",IF(COUNTIF($E$2:E2009,E2009)&gt;1,"",SUMIFS(tbl_input[필요수량],tbl_input[집계키_지청],E2009)))</f>
        <v/>
      </c>
      <c r="E2009" t="str">
        <f>IFERROR(INDEX(tbl_input[집계키_지청],ROW()-1),"")</f>
        <v/>
      </c>
      <c r="F2009" t="str">
        <f t="shared" si="158"/>
        <v/>
      </c>
      <c r="G2009" t="str">
        <f t="shared" si="159"/>
        <v/>
      </c>
    </row>
    <row r="2010" spans="1:7" x14ac:dyDescent="0.4">
      <c r="A2010" t="str">
        <f t="shared" si="155"/>
        <v/>
      </c>
      <c r="B2010" t="str">
        <f t="shared" si="156"/>
        <v/>
      </c>
      <c r="C2010" t="str">
        <f t="shared" si="157"/>
        <v/>
      </c>
      <c r="D2010" t="str">
        <f>IF(E2010="","",IF(COUNTIF($E$2:E2010,E2010)&gt;1,"",SUMIFS(tbl_input[필요수량],tbl_input[집계키_지청],E2010)))</f>
        <v/>
      </c>
      <c r="E2010" t="str">
        <f>IFERROR(INDEX(tbl_input[집계키_지청],ROW()-1),"")</f>
        <v/>
      </c>
      <c r="F2010" t="str">
        <f t="shared" si="158"/>
        <v/>
      </c>
      <c r="G2010" t="str">
        <f t="shared" si="159"/>
        <v/>
      </c>
    </row>
    <row r="2011" spans="1:7" x14ac:dyDescent="0.4">
      <c r="A2011" t="str">
        <f t="shared" si="155"/>
        <v/>
      </c>
      <c r="B2011" t="str">
        <f t="shared" si="156"/>
        <v/>
      </c>
      <c r="C2011" t="str">
        <f t="shared" si="157"/>
        <v/>
      </c>
      <c r="D2011" t="str">
        <f>IF(E2011="","",IF(COUNTIF($E$2:E2011,E2011)&gt;1,"",SUMIFS(tbl_input[필요수량],tbl_input[집계키_지청],E2011)))</f>
        <v/>
      </c>
      <c r="E2011" t="str">
        <f>IFERROR(INDEX(tbl_input[집계키_지청],ROW()-1),"")</f>
        <v/>
      </c>
      <c r="F2011" t="str">
        <f t="shared" si="158"/>
        <v/>
      </c>
      <c r="G2011" t="str">
        <f t="shared" si="159"/>
        <v/>
      </c>
    </row>
    <row r="2012" spans="1:7" x14ac:dyDescent="0.4">
      <c r="A2012" t="str">
        <f t="shared" si="155"/>
        <v/>
      </c>
      <c r="B2012" t="str">
        <f t="shared" si="156"/>
        <v/>
      </c>
      <c r="C2012" t="str">
        <f t="shared" si="157"/>
        <v/>
      </c>
      <c r="D2012" t="str">
        <f>IF(E2012="","",IF(COUNTIF($E$2:E2012,E2012)&gt;1,"",SUMIFS(tbl_input[필요수량],tbl_input[집계키_지청],E2012)))</f>
        <v/>
      </c>
      <c r="E2012" t="str">
        <f>IFERROR(INDEX(tbl_input[집계키_지청],ROW()-1),"")</f>
        <v/>
      </c>
      <c r="F2012" t="str">
        <f t="shared" si="158"/>
        <v/>
      </c>
      <c r="G2012" t="str">
        <f t="shared" si="159"/>
        <v/>
      </c>
    </row>
    <row r="2013" spans="1:7" x14ac:dyDescent="0.4">
      <c r="A2013" t="str">
        <f t="shared" si="155"/>
        <v/>
      </c>
      <c r="B2013" t="str">
        <f t="shared" si="156"/>
        <v/>
      </c>
      <c r="C2013" t="str">
        <f t="shared" si="157"/>
        <v/>
      </c>
      <c r="D2013" t="str">
        <f>IF(E2013="","",IF(COUNTIF($E$2:E2013,E2013)&gt;1,"",SUMIFS(tbl_input[필요수량],tbl_input[집계키_지청],E2013)))</f>
        <v/>
      </c>
      <c r="E2013" t="str">
        <f>IFERROR(INDEX(tbl_input[집계키_지청],ROW()-1),"")</f>
        <v/>
      </c>
      <c r="F2013" t="str">
        <f t="shared" si="158"/>
        <v/>
      </c>
      <c r="G2013" t="str">
        <f t="shared" si="159"/>
        <v/>
      </c>
    </row>
    <row r="2014" spans="1:7" x14ac:dyDescent="0.4">
      <c r="A2014" t="str">
        <f t="shared" si="155"/>
        <v/>
      </c>
      <c r="B2014" t="str">
        <f t="shared" si="156"/>
        <v/>
      </c>
      <c r="C2014" t="str">
        <f t="shared" si="157"/>
        <v/>
      </c>
      <c r="D2014" t="str">
        <f>IF(E2014="","",IF(COUNTIF($E$2:E2014,E2014)&gt;1,"",SUMIFS(tbl_input[필요수량],tbl_input[집계키_지청],E2014)))</f>
        <v/>
      </c>
      <c r="E2014" t="str">
        <f>IFERROR(INDEX(tbl_input[집계키_지청],ROW()-1),"")</f>
        <v/>
      </c>
      <c r="F2014" t="str">
        <f t="shared" si="158"/>
        <v/>
      </c>
      <c r="G2014" t="str">
        <f t="shared" si="159"/>
        <v/>
      </c>
    </row>
    <row r="2015" spans="1:7" x14ac:dyDescent="0.4">
      <c r="A2015" t="str">
        <f t="shared" si="155"/>
        <v/>
      </c>
      <c r="B2015" t="str">
        <f t="shared" si="156"/>
        <v/>
      </c>
      <c r="C2015" t="str">
        <f t="shared" si="157"/>
        <v/>
      </c>
      <c r="D2015" t="str">
        <f>IF(E2015="","",IF(COUNTIF($E$2:E2015,E2015)&gt;1,"",SUMIFS(tbl_input[필요수량],tbl_input[집계키_지청],E2015)))</f>
        <v/>
      </c>
      <c r="E2015" t="str">
        <f>IFERROR(INDEX(tbl_input[집계키_지청],ROW()-1),"")</f>
        <v/>
      </c>
      <c r="F2015" t="str">
        <f t="shared" si="158"/>
        <v/>
      </c>
      <c r="G2015" t="str">
        <f t="shared" si="159"/>
        <v/>
      </c>
    </row>
    <row r="2016" spans="1:7" x14ac:dyDescent="0.4">
      <c r="A2016" t="str">
        <f t="shared" si="155"/>
        <v/>
      </c>
      <c r="B2016" t="str">
        <f t="shared" si="156"/>
        <v/>
      </c>
      <c r="C2016" t="str">
        <f t="shared" si="157"/>
        <v/>
      </c>
      <c r="D2016" t="str">
        <f>IF(E2016="","",IF(COUNTIF($E$2:E2016,E2016)&gt;1,"",SUMIFS(tbl_input[필요수량],tbl_input[집계키_지청],E2016)))</f>
        <v/>
      </c>
      <c r="E2016" t="str">
        <f>IFERROR(INDEX(tbl_input[집계키_지청],ROW()-1),"")</f>
        <v/>
      </c>
      <c r="F2016" t="str">
        <f t="shared" si="158"/>
        <v/>
      </c>
      <c r="G2016" t="str">
        <f t="shared" si="159"/>
        <v/>
      </c>
    </row>
    <row r="2017" spans="1:7" x14ac:dyDescent="0.4">
      <c r="A2017" t="str">
        <f t="shared" si="155"/>
        <v/>
      </c>
      <c r="B2017" t="str">
        <f t="shared" si="156"/>
        <v/>
      </c>
      <c r="C2017" t="str">
        <f t="shared" si="157"/>
        <v/>
      </c>
      <c r="D2017" t="str">
        <f>IF(E2017="","",IF(COUNTIF($E$2:E2017,E2017)&gt;1,"",SUMIFS(tbl_input[필요수량],tbl_input[집계키_지청],E2017)))</f>
        <v/>
      </c>
      <c r="E2017" t="str">
        <f>IFERROR(INDEX(tbl_input[집계키_지청],ROW()-1),"")</f>
        <v/>
      </c>
      <c r="F2017" t="str">
        <f t="shared" si="158"/>
        <v/>
      </c>
      <c r="G2017" t="str">
        <f t="shared" si="159"/>
        <v/>
      </c>
    </row>
    <row r="2018" spans="1:7" x14ac:dyDescent="0.4">
      <c r="A2018" t="str">
        <f t="shared" si="155"/>
        <v/>
      </c>
      <c r="B2018" t="str">
        <f t="shared" si="156"/>
        <v/>
      </c>
      <c r="C2018" t="str">
        <f t="shared" si="157"/>
        <v/>
      </c>
      <c r="D2018" t="str">
        <f>IF(E2018="","",IF(COUNTIF($E$2:E2018,E2018)&gt;1,"",SUMIFS(tbl_input[필요수량],tbl_input[집계키_지청],E2018)))</f>
        <v/>
      </c>
      <c r="E2018" t="str">
        <f>IFERROR(INDEX(tbl_input[집계키_지청],ROW()-1),"")</f>
        <v/>
      </c>
      <c r="F2018" t="str">
        <f t="shared" si="158"/>
        <v/>
      </c>
      <c r="G2018" t="str">
        <f t="shared" si="159"/>
        <v/>
      </c>
    </row>
    <row r="2019" spans="1:7" x14ac:dyDescent="0.4">
      <c r="A2019" t="str">
        <f t="shared" si="155"/>
        <v/>
      </c>
      <c r="B2019" t="str">
        <f t="shared" si="156"/>
        <v/>
      </c>
      <c r="C2019" t="str">
        <f t="shared" si="157"/>
        <v/>
      </c>
      <c r="D2019" t="str">
        <f>IF(E2019="","",IF(COUNTIF($E$2:E2019,E2019)&gt;1,"",SUMIFS(tbl_input[필요수량],tbl_input[집계키_지청],E2019)))</f>
        <v/>
      </c>
      <c r="E2019" t="str">
        <f>IFERROR(INDEX(tbl_input[집계키_지청],ROW()-1),"")</f>
        <v/>
      </c>
      <c r="F2019" t="str">
        <f t="shared" si="158"/>
        <v/>
      </c>
      <c r="G2019" t="str">
        <f t="shared" si="159"/>
        <v/>
      </c>
    </row>
    <row r="2020" spans="1:7" x14ac:dyDescent="0.4">
      <c r="A2020" t="str">
        <f t="shared" si="155"/>
        <v/>
      </c>
      <c r="B2020" t="str">
        <f t="shared" si="156"/>
        <v/>
      </c>
      <c r="C2020" t="str">
        <f t="shared" si="157"/>
        <v/>
      </c>
      <c r="D2020" t="str">
        <f>IF(E2020="","",IF(COUNTIF($E$2:E2020,E2020)&gt;1,"",SUMIFS(tbl_input[필요수량],tbl_input[집계키_지청],E2020)))</f>
        <v/>
      </c>
      <c r="E2020" t="str">
        <f>IFERROR(INDEX(tbl_input[집계키_지청],ROW()-1),"")</f>
        <v/>
      </c>
      <c r="F2020" t="str">
        <f t="shared" si="158"/>
        <v/>
      </c>
      <c r="G2020" t="str">
        <f t="shared" si="159"/>
        <v/>
      </c>
    </row>
    <row r="2021" spans="1:7" x14ac:dyDescent="0.4">
      <c r="A2021" t="str">
        <f t="shared" si="155"/>
        <v/>
      </c>
      <c r="B2021" t="str">
        <f t="shared" si="156"/>
        <v/>
      </c>
      <c r="C2021" t="str">
        <f t="shared" si="157"/>
        <v/>
      </c>
      <c r="D2021" t="str">
        <f>IF(E2021="","",IF(COUNTIF($E$2:E2021,E2021)&gt;1,"",SUMIFS(tbl_input[필요수량],tbl_input[집계키_지청],E2021)))</f>
        <v/>
      </c>
      <c r="E2021" t="str">
        <f>IFERROR(INDEX(tbl_input[집계키_지청],ROW()-1),"")</f>
        <v/>
      </c>
      <c r="F2021" t="str">
        <f t="shared" si="158"/>
        <v/>
      </c>
      <c r="G2021" t="str">
        <f t="shared" si="159"/>
        <v/>
      </c>
    </row>
    <row r="2022" spans="1:7" x14ac:dyDescent="0.4">
      <c r="A2022" t="str">
        <f t="shared" si="155"/>
        <v/>
      </c>
      <c r="B2022" t="str">
        <f t="shared" si="156"/>
        <v/>
      </c>
      <c r="C2022" t="str">
        <f t="shared" si="157"/>
        <v/>
      </c>
      <c r="D2022" t="str">
        <f>IF(E2022="","",IF(COUNTIF($E$2:E2022,E2022)&gt;1,"",SUMIFS(tbl_input[필요수량],tbl_input[집계키_지청],E2022)))</f>
        <v/>
      </c>
      <c r="E2022" t="str">
        <f>IFERROR(INDEX(tbl_input[집계키_지청],ROW()-1),"")</f>
        <v/>
      </c>
      <c r="F2022" t="str">
        <f t="shared" si="158"/>
        <v/>
      </c>
      <c r="G2022" t="str">
        <f t="shared" si="159"/>
        <v/>
      </c>
    </row>
    <row r="2023" spans="1:7" x14ac:dyDescent="0.4">
      <c r="A2023" t="str">
        <f t="shared" si="155"/>
        <v/>
      </c>
      <c r="B2023" t="str">
        <f t="shared" si="156"/>
        <v/>
      </c>
      <c r="C2023" t="str">
        <f t="shared" si="157"/>
        <v/>
      </c>
      <c r="D2023" t="str">
        <f>IF(E2023="","",IF(COUNTIF($E$2:E2023,E2023)&gt;1,"",SUMIFS(tbl_input[필요수량],tbl_input[집계키_지청],E2023)))</f>
        <v/>
      </c>
      <c r="E2023" t="str">
        <f>IFERROR(INDEX(tbl_input[집계키_지청],ROW()-1),"")</f>
        <v/>
      </c>
      <c r="F2023" t="str">
        <f t="shared" si="158"/>
        <v/>
      </c>
      <c r="G2023" t="str">
        <f t="shared" si="159"/>
        <v/>
      </c>
    </row>
    <row r="2024" spans="1:7" x14ac:dyDescent="0.4">
      <c r="A2024" t="str">
        <f t="shared" si="155"/>
        <v/>
      </c>
      <c r="B2024" t="str">
        <f t="shared" si="156"/>
        <v/>
      </c>
      <c r="C2024" t="str">
        <f t="shared" si="157"/>
        <v/>
      </c>
      <c r="D2024" t="str">
        <f>IF(E2024="","",IF(COUNTIF($E$2:E2024,E2024)&gt;1,"",SUMIFS(tbl_input[필요수량],tbl_input[집계키_지청],E2024)))</f>
        <v/>
      </c>
      <c r="E2024" t="str">
        <f>IFERROR(INDEX(tbl_input[집계키_지청],ROW()-1),"")</f>
        <v/>
      </c>
      <c r="F2024" t="str">
        <f t="shared" si="158"/>
        <v/>
      </c>
      <c r="G2024" t="str">
        <f t="shared" si="159"/>
        <v/>
      </c>
    </row>
    <row r="2025" spans="1:7" x14ac:dyDescent="0.4">
      <c r="A2025" t="str">
        <f t="shared" si="155"/>
        <v/>
      </c>
      <c r="B2025" t="str">
        <f t="shared" si="156"/>
        <v/>
      </c>
      <c r="C2025" t="str">
        <f t="shared" si="157"/>
        <v/>
      </c>
      <c r="D2025" t="str">
        <f>IF(E2025="","",IF(COUNTIF($E$2:E2025,E2025)&gt;1,"",SUMIFS(tbl_input[필요수량],tbl_input[집계키_지청],E2025)))</f>
        <v/>
      </c>
      <c r="E2025" t="str">
        <f>IFERROR(INDEX(tbl_input[집계키_지청],ROW()-1),"")</f>
        <v/>
      </c>
      <c r="F2025" t="str">
        <f t="shared" si="158"/>
        <v/>
      </c>
      <c r="G2025" t="str">
        <f t="shared" si="159"/>
        <v/>
      </c>
    </row>
    <row r="2026" spans="1:7" x14ac:dyDescent="0.4">
      <c r="A2026" t="str">
        <f t="shared" si="155"/>
        <v/>
      </c>
      <c r="B2026" t="str">
        <f t="shared" si="156"/>
        <v/>
      </c>
      <c r="C2026" t="str">
        <f t="shared" si="157"/>
        <v/>
      </c>
      <c r="D2026" t="str">
        <f>IF(E2026="","",IF(COUNTIF($E$2:E2026,E2026)&gt;1,"",SUMIFS(tbl_input[필요수량],tbl_input[집계키_지청],E2026)))</f>
        <v/>
      </c>
      <c r="E2026" t="str">
        <f>IFERROR(INDEX(tbl_input[집계키_지청],ROW()-1),"")</f>
        <v/>
      </c>
      <c r="F2026" t="str">
        <f t="shared" si="158"/>
        <v/>
      </c>
      <c r="G2026" t="str">
        <f t="shared" si="159"/>
        <v/>
      </c>
    </row>
    <row r="2027" spans="1:7" x14ac:dyDescent="0.4">
      <c r="A2027" t="str">
        <f t="shared" si="155"/>
        <v/>
      </c>
      <c r="B2027" t="str">
        <f t="shared" si="156"/>
        <v/>
      </c>
      <c r="C2027" t="str">
        <f t="shared" si="157"/>
        <v/>
      </c>
      <c r="D2027" t="str">
        <f>IF(E2027="","",IF(COUNTIF($E$2:E2027,E2027)&gt;1,"",SUMIFS(tbl_input[필요수량],tbl_input[집계키_지청],E2027)))</f>
        <v/>
      </c>
      <c r="E2027" t="str">
        <f>IFERROR(INDEX(tbl_input[집계키_지청],ROW()-1),"")</f>
        <v/>
      </c>
      <c r="F2027" t="str">
        <f t="shared" si="158"/>
        <v/>
      </c>
      <c r="G2027" t="str">
        <f t="shared" si="159"/>
        <v/>
      </c>
    </row>
    <row r="2028" spans="1:7" x14ac:dyDescent="0.4">
      <c r="A2028" t="str">
        <f t="shared" si="155"/>
        <v/>
      </c>
      <c r="B2028" t="str">
        <f t="shared" si="156"/>
        <v/>
      </c>
      <c r="C2028" t="str">
        <f t="shared" si="157"/>
        <v/>
      </c>
      <c r="D2028" t="str">
        <f>IF(E2028="","",IF(COUNTIF($E$2:E2028,E2028)&gt;1,"",SUMIFS(tbl_input[필요수량],tbl_input[집계키_지청],E2028)))</f>
        <v/>
      </c>
      <c r="E2028" t="str">
        <f>IFERROR(INDEX(tbl_input[집계키_지청],ROW()-1),"")</f>
        <v/>
      </c>
      <c r="F2028" t="str">
        <f t="shared" si="158"/>
        <v/>
      </c>
      <c r="G2028" t="str">
        <f t="shared" si="159"/>
        <v/>
      </c>
    </row>
    <row r="2029" spans="1:7" x14ac:dyDescent="0.4">
      <c r="A2029" t="str">
        <f t="shared" si="155"/>
        <v/>
      </c>
      <c r="B2029" t="str">
        <f t="shared" si="156"/>
        <v/>
      </c>
      <c r="C2029" t="str">
        <f t="shared" si="157"/>
        <v/>
      </c>
      <c r="D2029" t="str">
        <f>IF(E2029="","",IF(COUNTIF($E$2:E2029,E2029)&gt;1,"",SUMIFS(tbl_input[필요수량],tbl_input[집계키_지청],E2029)))</f>
        <v/>
      </c>
      <c r="E2029" t="str">
        <f>IFERROR(INDEX(tbl_input[집계키_지청],ROW()-1),"")</f>
        <v/>
      </c>
      <c r="F2029" t="str">
        <f t="shared" si="158"/>
        <v/>
      </c>
      <c r="G2029" t="str">
        <f t="shared" si="159"/>
        <v/>
      </c>
    </row>
    <row r="2030" spans="1:7" x14ac:dyDescent="0.4">
      <c r="A2030" t="str">
        <f t="shared" si="155"/>
        <v/>
      </c>
      <c r="B2030" t="str">
        <f t="shared" si="156"/>
        <v/>
      </c>
      <c r="C2030" t="str">
        <f t="shared" si="157"/>
        <v/>
      </c>
      <c r="D2030" t="str">
        <f>IF(E2030="","",IF(COUNTIF($E$2:E2030,E2030)&gt;1,"",SUMIFS(tbl_input[필요수량],tbl_input[집계키_지청],E2030)))</f>
        <v/>
      </c>
      <c r="E2030" t="str">
        <f>IFERROR(INDEX(tbl_input[집계키_지청],ROW()-1),"")</f>
        <v/>
      </c>
      <c r="F2030" t="str">
        <f t="shared" si="158"/>
        <v/>
      </c>
      <c r="G2030" t="str">
        <f t="shared" si="159"/>
        <v/>
      </c>
    </row>
    <row r="2031" spans="1:7" x14ac:dyDescent="0.4">
      <c r="A2031" t="str">
        <f t="shared" si="155"/>
        <v/>
      </c>
      <c r="B2031" t="str">
        <f t="shared" si="156"/>
        <v/>
      </c>
      <c r="C2031" t="str">
        <f t="shared" si="157"/>
        <v/>
      </c>
      <c r="D2031" t="str">
        <f>IF(E2031="","",IF(COUNTIF($E$2:E2031,E2031)&gt;1,"",SUMIFS(tbl_input[필요수량],tbl_input[집계키_지청],E2031)))</f>
        <v/>
      </c>
      <c r="E2031" t="str">
        <f>IFERROR(INDEX(tbl_input[집계키_지청],ROW()-1),"")</f>
        <v/>
      </c>
      <c r="F2031" t="str">
        <f t="shared" si="158"/>
        <v/>
      </c>
      <c r="G2031" t="str">
        <f t="shared" si="159"/>
        <v/>
      </c>
    </row>
    <row r="2032" spans="1:7" x14ac:dyDescent="0.4">
      <c r="A2032" t="str">
        <f t="shared" si="155"/>
        <v/>
      </c>
      <c r="B2032" t="str">
        <f t="shared" si="156"/>
        <v/>
      </c>
      <c r="C2032" t="str">
        <f t="shared" si="157"/>
        <v/>
      </c>
      <c r="D2032" t="str">
        <f>IF(E2032="","",IF(COUNTIF($E$2:E2032,E2032)&gt;1,"",SUMIFS(tbl_input[필요수량],tbl_input[집계키_지청],E2032)))</f>
        <v/>
      </c>
      <c r="E2032" t="str">
        <f>IFERROR(INDEX(tbl_input[집계키_지청],ROW()-1),"")</f>
        <v/>
      </c>
      <c r="F2032" t="str">
        <f t="shared" si="158"/>
        <v/>
      </c>
      <c r="G2032" t="str">
        <f t="shared" si="159"/>
        <v/>
      </c>
    </row>
    <row r="2033" spans="1:7" x14ac:dyDescent="0.4">
      <c r="A2033" t="str">
        <f t="shared" si="155"/>
        <v/>
      </c>
      <c r="B2033" t="str">
        <f t="shared" si="156"/>
        <v/>
      </c>
      <c r="C2033" t="str">
        <f t="shared" si="157"/>
        <v/>
      </c>
      <c r="D2033" t="str">
        <f>IF(E2033="","",IF(COUNTIF($E$2:E2033,E2033)&gt;1,"",SUMIFS(tbl_input[필요수량],tbl_input[집계키_지청],E2033)))</f>
        <v/>
      </c>
      <c r="E2033" t="str">
        <f>IFERROR(INDEX(tbl_input[집계키_지청],ROW()-1),"")</f>
        <v/>
      </c>
      <c r="F2033" t="str">
        <f t="shared" si="158"/>
        <v/>
      </c>
      <c r="G2033" t="str">
        <f t="shared" si="159"/>
        <v/>
      </c>
    </row>
    <row r="2034" spans="1:7" x14ac:dyDescent="0.4">
      <c r="A2034" t="str">
        <f t="shared" si="155"/>
        <v/>
      </c>
      <c r="B2034" t="str">
        <f t="shared" si="156"/>
        <v/>
      </c>
      <c r="C2034" t="str">
        <f t="shared" si="157"/>
        <v/>
      </c>
      <c r="D2034" t="str">
        <f>IF(E2034="","",IF(COUNTIF($E$2:E2034,E2034)&gt;1,"",SUMIFS(tbl_input[필요수량],tbl_input[집계키_지청],E2034)))</f>
        <v/>
      </c>
      <c r="E2034" t="str">
        <f>IFERROR(INDEX(tbl_input[집계키_지청],ROW()-1),"")</f>
        <v/>
      </c>
      <c r="F2034" t="str">
        <f t="shared" si="158"/>
        <v/>
      </c>
      <c r="G2034" t="str">
        <f t="shared" si="159"/>
        <v/>
      </c>
    </row>
    <row r="2035" spans="1:7" x14ac:dyDescent="0.4">
      <c r="A2035" t="str">
        <f t="shared" si="155"/>
        <v/>
      </c>
      <c r="B2035" t="str">
        <f t="shared" si="156"/>
        <v/>
      </c>
      <c r="C2035" t="str">
        <f t="shared" si="157"/>
        <v/>
      </c>
      <c r="D2035" t="str">
        <f>IF(E2035="","",IF(COUNTIF($E$2:E2035,E2035)&gt;1,"",SUMIFS(tbl_input[필요수량],tbl_input[집계키_지청],E2035)))</f>
        <v/>
      </c>
      <c r="E2035" t="str">
        <f>IFERROR(INDEX(tbl_input[집계키_지청],ROW()-1),"")</f>
        <v/>
      </c>
      <c r="F2035" t="str">
        <f t="shared" si="158"/>
        <v/>
      </c>
      <c r="G2035" t="str">
        <f t="shared" si="159"/>
        <v/>
      </c>
    </row>
    <row r="2036" spans="1:7" x14ac:dyDescent="0.4">
      <c r="A2036" t="str">
        <f t="shared" si="155"/>
        <v/>
      </c>
      <c r="B2036" t="str">
        <f t="shared" si="156"/>
        <v/>
      </c>
      <c r="C2036" t="str">
        <f t="shared" si="157"/>
        <v/>
      </c>
      <c r="D2036" t="str">
        <f>IF(E2036="","",IF(COUNTIF($E$2:E2036,E2036)&gt;1,"",SUMIFS(tbl_input[필요수량],tbl_input[집계키_지청],E2036)))</f>
        <v/>
      </c>
      <c r="E2036" t="str">
        <f>IFERROR(INDEX(tbl_input[집계키_지청],ROW()-1),"")</f>
        <v/>
      </c>
      <c r="F2036" t="str">
        <f t="shared" si="158"/>
        <v/>
      </c>
      <c r="G2036" t="str">
        <f t="shared" si="159"/>
        <v/>
      </c>
    </row>
    <row r="2037" spans="1:7" x14ac:dyDescent="0.4">
      <c r="A2037" t="str">
        <f t="shared" si="155"/>
        <v/>
      </c>
      <c r="B2037" t="str">
        <f t="shared" si="156"/>
        <v/>
      </c>
      <c r="C2037" t="str">
        <f t="shared" si="157"/>
        <v/>
      </c>
      <c r="D2037" t="str">
        <f>IF(E2037="","",IF(COUNTIF($E$2:E2037,E2037)&gt;1,"",SUMIFS(tbl_input[필요수량],tbl_input[집계키_지청],E2037)))</f>
        <v/>
      </c>
      <c r="E2037" t="str">
        <f>IFERROR(INDEX(tbl_input[집계키_지청],ROW()-1),"")</f>
        <v/>
      </c>
      <c r="F2037" t="str">
        <f t="shared" si="158"/>
        <v/>
      </c>
      <c r="G2037" t="str">
        <f t="shared" si="159"/>
        <v/>
      </c>
    </row>
    <row r="2038" spans="1:7" x14ac:dyDescent="0.4">
      <c r="A2038" t="str">
        <f t="shared" si="155"/>
        <v/>
      </c>
      <c r="B2038" t="str">
        <f t="shared" si="156"/>
        <v/>
      </c>
      <c r="C2038" t="str">
        <f t="shared" si="157"/>
        <v/>
      </c>
      <c r="D2038" t="str">
        <f>IF(E2038="","",IF(COUNTIF($E$2:E2038,E2038)&gt;1,"",SUMIFS(tbl_input[필요수량],tbl_input[집계키_지청],E2038)))</f>
        <v/>
      </c>
      <c r="E2038" t="str">
        <f>IFERROR(INDEX(tbl_input[집계키_지청],ROW()-1),"")</f>
        <v/>
      </c>
      <c r="F2038" t="str">
        <f t="shared" si="158"/>
        <v/>
      </c>
      <c r="G2038" t="str">
        <f t="shared" si="159"/>
        <v/>
      </c>
    </row>
    <row r="2039" spans="1:7" x14ac:dyDescent="0.4">
      <c r="A2039" t="str">
        <f t="shared" si="155"/>
        <v/>
      </c>
      <c r="B2039" t="str">
        <f t="shared" si="156"/>
        <v/>
      </c>
      <c r="C2039" t="str">
        <f t="shared" si="157"/>
        <v/>
      </c>
      <c r="D2039" t="str">
        <f>IF(E2039="","",IF(COUNTIF($E$2:E2039,E2039)&gt;1,"",SUMIFS(tbl_input[필요수량],tbl_input[집계키_지청],E2039)))</f>
        <v/>
      </c>
      <c r="E2039" t="str">
        <f>IFERROR(INDEX(tbl_input[집계키_지청],ROW()-1),"")</f>
        <v/>
      </c>
      <c r="F2039" t="str">
        <f t="shared" si="158"/>
        <v/>
      </c>
      <c r="G2039" t="str">
        <f t="shared" si="159"/>
        <v/>
      </c>
    </row>
    <row r="2040" spans="1:7" x14ac:dyDescent="0.4">
      <c r="A2040" t="str">
        <f t="shared" si="155"/>
        <v/>
      </c>
      <c r="B2040" t="str">
        <f t="shared" si="156"/>
        <v/>
      </c>
      <c r="C2040" t="str">
        <f t="shared" si="157"/>
        <v/>
      </c>
      <c r="D2040" t="str">
        <f>IF(E2040="","",IF(COUNTIF($E$2:E2040,E2040)&gt;1,"",SUMIFS(tbl_input[필요수량],tbl_input[집계키_지청],E2040)))</f>
        <v/>
      </c>
      <c r="E2040" t="str">
        <f>IFERROR(INDEX(tbl_input[집계키_지청],ROW()-1),"")</f>
        <v/>
      </c>
      <c r="F2040" t="str">
        <f t="shared" si="158"/>
        <v/>
      </c>
      <c r="G2040" t="str">
        <f t="shared" si="159"/>
        <v/>
      </c>
    </row>
    <row r="2041" spans="1:7" x14ac:dyDescent="0.4">
      <c r="A2041" t="str">
        <f t="shared" si="155"/>
        <v/>
      </c>
      <c r="B2041" t="str">
        <f t="shared" si="156"/>
        <v/>
      </c>
      <c r="C2041" t="str">
        <f t="shared" si="157"/>
        <v/>
      </c>
      <c r="D2041" t="str">
        <f>IF(E2041="","",IF(COUNTIF($E$2:E2041,E2041)&gt;1,"",SUMIFS(tbl_input[필요수량],tbl_input[집계키_지청],E2041)))</f>
        <v/>
      </c>
      <c r="E2041" t="str">
        <f>IFERROR(INDEX(tbl_input[집계키_지청],ROW()-1),"")</f>
        <v/>
      </c>
      <c r="F2041" t="str">
        <f t="shared" si="158"/>
        <v/>
      </c>
      <c r="G2041" t="str">
        <f t="shared" si="159"/>
        <v/>
      </c>
    </row>
    <row r="2042" spans="1:7" x14ac:dyDescent="0.4">
      <c r="A2042" t="str">
        <f t="shared" si="155"/>
        <v/>
      </c>
      <c r="B2042" t="str">
        <f t="shared" si="156"/>
        <v/>
      </c>
      <c r="C2042" t="str">
        <f t="shared" si="157"/>
        <v/>
      </c>
      <c r="D2042" t="str">
        <f>IF(E2042="","",IF(COUNTIF($E$2:E2042,E2042)&gt;1,"",SUMIFS(tbl_input[필요수량],tbl_input[집계키_지청],E2042)))</f>
        <v/>
      </c>
      <c r="E2042" t="str">
        <f>IFERROR(INDEX(tbl_input[집계키_지청],ROW()-1),"")</f>
        <v/>
      </c>
      <c r="F2042" t="str">
        <f t="shared" si="158"/>
        <v/>
      </c>
      <c r="G2042" t="str">
        <f t="shared" si="159"/>
        <v/>
      </c>
    </row>
    <row r="2043" spans="1:7" x14ac:dyDescent="0.4">
      <c r="A2043" t="str">
        <f t="shared" si="155"/>
        <v/>
      </c>
      <c r="B2043" t="str">
        <f t="shared" si="156"/>
        <v/>
      </c>
      <c r="C2043" t="str">
        <f t="shared" si="157"/>
        <v/>
      </c>
      <c r="D2043" t="str">
        <f>IF(E2043="","",IF(COUNTIF($E$2:E2043,E2043)&gt;1,"",SUMIFS(tbl_input[필요수량],tbl_input[집계키_지청],E2043)))</f>
        <v/>
      </c>
      <c r="E2043" t="str">
        <f>IFERROR(INDEX(tbl_input[집계키_지청],ROW()-1),"")</f>
        <v/>
      </c>
      <c r="F2043" t="str">
        <f t="shared" si="158"/>
        <v/>
      </c>
      <c r="G2043" t="str">
        <f t="shared" si="159"/>
        <v/>
      </c>
    </row>
    <row r="2044" spans="1:7" x14ac:dyDescent="0.4">
      <c r="A2044" t="str">
        <f t="shared" si="155"/>
        <v/>
      </c>
      <c r="B2044" t="str">
        <f t="shared" si="156"/>
        <v/>
      </c>
      <c r="C2044" t="str">
        <f t="shared" si="157"/>
        <v/>
      </c>
      <c r="D2044" t="str">
        <f>IF(E2044="","",IF(COUNTIF($E$2:E2044,E2044)&gt;1,"",SUMIFS(tbl_input[필요수량],tbl_input[집계키_지청],E2044)))</f>
        <v/>
      </c>
      <c r="E2044" t="str">
        <f>IFERROR(INDEX(tbl_input[집계키_지청],ROW()-1),"")</f>
        <v/>
      </c>
      <c r="F2044" t="str">
        <f t="shared" si="158"/>
        <v/>
      </c>
      <c r="G2044" t="str">
        <f t="shared" si="159"/>
        <v/>
      </c>
    </row>
    <row r="2045" spans="1:7" x14ac:dyDescent="0.4">
      <c r="A2045" t="str">
        <f t="shared" si="155"/>
        <v/>
      </c>
      <c r="B2045" t="str">
        <f t="shared" si="156"/>
        <v/>
      </c>
      <c r="C2045" t="str">
        <f t="shared" si="157"/>
        <v/>
      </c>
      <c r="D2045" t="str">
        <f>IF(E2045="","",IF(COUNTIF($E$2:E2045,E2045)&gt;1,"",SUMIFS(tbl_input[필요수량],tbl_input[집계키_지청],E2045)))</f>
        <v/>
      </c>
      <c r="E2045" t="str">
        <f>IFERROR(INDEX(tbl_input[집계키_지청],ROW()-1),"")</f>
        <v/>
      </c>
      <c r="F2045" t="str">
        <f t="shared" si="158"/>
        <v/>
      </c>
      <c r="G2045" t="str">
        <f t="shared" si="159"/>
        <v/>
      </c>
    </row>
    <row r="2046" spans="1:7" x14ac:dyDescent="0.4">
      <c r="A2046" t="str">
        <f t="shared" si="155"/>
        <v/>
      </c>
      <c r="B2046" t="str">
        <f t="shared" si="156"/>
        <v/>
      </c>
      <c r="C2046" t="str">
        <f t="shared" si="157"/>
        <v/>
      </c>
      <c r="D2046" t="str">
        <f>IF(E2046="","",IF(COUNTIF($E$2:E2046,E2046)&gt;1,"",SUMIFS(tbl_input[필요수량],tbl_input[집계키_지청],E2046)))</f>
        <v/>
      </c>
      <c r="E2046" t="str">
        <f>IFERROR(INDEX(tbl_input[집계키_지청],ROW()-1),"")</f>
        <v/>
      </c>
      <c r="F2046" t="str">
        <f t="shared" si="158"/>
        <v/>
      </c>
      <c r="G2046" t="str">
        <f t="shared" si="159"/>
        <v/>
      </c>
    </row>
    <row r="2047" spans="1:7" x14ac:dyDescent="0.4">
      <c r="A2047" t="str">
        <f t="shared" si="155"/>
        <v/>
      </c>
      <c r="B2047" t="str">
        <f t="shared" si="156"/>
        <v/>
      </c>
      <c r="C2047" t="str">
        <f t="shared" si="157"/>
        <v/>
      </c>
      <c r="D2047" t="str">
        <f>IF(E2047="","",IF(COUNTIF($E$2:E2047,E2047)&gt;1,"",SUMIFS(tbl_input[필요수량],tbl_input[집계키_지청],E2047)))</f>
        <v/>
      </c>
      <c r="E2047" t="str">
        <f>IFERROR(INDEX(tbl_input[집계키_지청],ROW()-1),"")</f>
        <v/>
      </c>
      <c r="F2047" t="str">
        <f t="shared" si="158"/>
        <v/>
      </c>
      <c r="G2047" t="str">
        <f t="shared" si="159"/>
        <v/>
      </c>
    </row>
    <row r="2048" spans="1:7" x14ac:dyDescent="0.4">
      <c r="A2048" t="str">
        <f t="shared" si="155"/>
        <v/>
      </c>
      <c r="B2048" t="str">
        <f t="shared" si="156"/>
        <v/>
      </c>
      <c r="C2048" t="str">
        <f t="shared" si="157"/>
        <v/>
      </c>
      <c r="D2048" t="str">
        <f>IF(E2048="","",IF(COUNTIF($E$2:E2048,E2048)&gt;1,"",SUMIFS(tbl_input[필요수량],tbl_input[집계키_지청],E2048)))</f>
        <v/>
      </c>
      <c r="E2048" t="str">
        <f>IFERROR(INDEX(tbl_input[집계키_지청],ROW()-1),"")</f>
        <v/>
      </c>
      <c r="F2048" t="str">
        <f t="shared" si="158"/>
        <v/>
      </c>
      <c r="G2048" t="str">
        <f t="shared" si="159"/>
        <v/>
      </c>
    </row>
    <row r="2049" spans="1:7" x14ac:dyDescent="0.4">
      <c r="A2049" t="str">
        <f t="shared" si="155"/>
        <v/>
      </c>
      <c r="B2049" t="str">
        <f t="shared" si="156"/>
        <v/>
      </c>
      <c r="C2049" t="str">
        <f t="shared" si="157"/>
        <v/>
      </c>
      <c r="D2049" t="str">
        <f>IF(E2049="","",IF(COUNTIF($E$2:E2049,E2049)&gt;1,"",SUMIFS(tbl_input[필요수량],tbl_input[집계키_지청],E2049)))</f>
        <v/>
      </c>
      <c r="E2049" t="str">
        <f>IFERROR(INDEX(tbl_input[집계키_지청],ROW()-1),"")</f>
        <v/>
      </c>
      <c r="F2049" t="str">
        <f t="shared" si="158"/>
        <v/>
      </c>
      <c r="G2049" t="str">
        <f t="shared" si="159"/>
        <v/>
      </c>
    </row>
    <row r="2050" spans="1:7" x14ac:dyDescent="0.4">
      <c r="A2050" t="str">
        <f t="shared" ref="A2050:A2113" si="160">IF(E2050="","",LEFT(E2050,F2050-1))</f>
        <v/>
      </c>
      <c r="B2050" t="str">
        <f t="shared" ref="B2050:B2113" si="161">IF(E2050="","",MID(E2050,F2050+1,G2050-F2050-1))</f>
        <v/>
      </c>
      <c r="C2050" t="str">
        <f t="shared" ref="C2050:C2113" si="162">IF(E2050="","",MID(E2050,G2050+1,999))</f>
        <v/>
      </c>
      <c r="D2050" t="str">
        <f>IF(E2050="","",IF(COUNTIF($E$2:E2050,E2050)&gt;1,"",SUMIFS(tbl_input[필요수량],tbl_input[집계키_지청],E2050)))</f>
        <v/>
      </c>
      <c r="E2050" t="str">
        <f>IFERROR(INDEX(tbl_input[집계키_지청],ROW()-1),"")</f>
        <v/>
      </c>
      <c r="F2050" t="str">
        <f t="shared" ref="F2050:F2113" si="163">IF(E2050="","",FIND("♦",E2050))</f>
        <v/>
      </c>
      <c r="G2050" t="str">
        <f t="shared" ref="G2050:G2113" si="164">IF(E2050="","",FIND("♦",E2050,F2050+1))</f>
        <v/>
      </c>
    </row>
    <row r="2051" spans="1:7" x14ac:dyDescent="0.4">
      <c r="A2051" t="str">
        <f t="shared" si="160"/>
        <v/>
      </c>
      <c r="B2051" t="str">
        <f t="shared" si="161"/>
        <v/>
      </c>
      <c r="C2051" t="str">
        <f t="shared" si="162"/>
        <v/>
      </c>
      <c r="D2051" t="str">
        <f>IF(E2051="","",IF(COUNTIF($E$2:E2051,E2051)&gt;1,"",SUMIFS(tbl_input[필요수량],tbl_input[집계키_지청],E2051)))</f>
        <v/>
      </c>
      <c r="E2051" t="str">
        <f>IFERROR(INDEX(tbl_input[집계키_지청],ROW()-1),"")</f>
        <v/>
      </c>
      <c r="F2051" t="str">
        <f t="shared" si="163"/>
        <v/>
      </c>
      <c r="G2051" t="str">
        <f t="shared" si="164"/>
        <v/>
      </c>
    </row>
    <row r="2052" spans="1:7" x14ac:dyDescent="0.4">
      <c r="A2052" t="str">
        <f t="shared" si="160"/>
        <v/>
      </c>
      <c r="B2052" t="str">
        <f t="shared" si="161"/>
        <v/>
      </c>
      <c r="C2052" t="str">
        <f t="shared" si="162"/>
        <v/>
      </c>
      <c r="D2052" t="str">
        <f>IF(E2052="","",IF(COUNTIF($E$2:E2052,E2052)&gt;1,"",SUMIFS(tbl_input[필요수량],tbl_input[집계키_지청],E2052)))</f>
        <v/>
      </c>
      <c r="E2052" t="str">
        <f>IFERROR(INDEX(tbl_input[집계키_지청],ROW()-1),"")</f>
        <v/>
      </c>
      <c r="F2052" t="str">
        <f t="shared" si="163"/>
        <v/>
      </c>
      <c r="G2052" t="str">
        <f t="shared" si="164"/>
        <v/>
      </c>
    </row>
    <row r="2053" spans="1:7" x14ac:dyDescent="0.4">
      <c r="A2053" t="str">
        <f t="shared" si="160"/>
        <v/>
      </c>
      <c r="B2053" t="str">
        <f t="shared" si="161"/>
        <v/>
      </c>
      <c r="C2053" t="str">
        <f t="shared" si="162"/>
        <v/>
      </c>
      <c r="D2053" t="str">
        <f>IF(E2053="","",IF(COUNTIF($E$2:E2053,E2053)&gt;1,"",SUMIFS(tbl_input[필요수량],tbl_input[집계키_지청],E2053)))</f>
        <v/>
      </c>
      <c r="E2053" t="str">
        <f>IFERROR(INDEX(tbl_input[집계키_지청],ROW()-1),"")</f>
        <v/>
      </c>
      <c r="F2053" t="str">
        <f t="shared" si="163"/>
        <v/>
      </c>
      <c r="G2053" t="str">
        <f t="shared" si="164"/>
        <v/>
      </c>
    </row>
    <row r="2054" spans="1:7" x14ac:dyDescent="0.4">
      <c r="A2054" t="str">
        <f t="shared" si="160"/>
        <v/>
      </c>
      <c r="B2054" t="str">
        <f t="shared" si="161"/>
        <v/>
      </c>
      <c r="C2054" t="str">
        <f t="shared" si="162"/>
        <v/>
      </c>
      <c r="D2054" t="str">
        <f>IF(E2054="","",IF(COUNTIF($E$2:E2054,E2054)&gt;1,"",SUMIFS(tbl_input[필요수량],tbl_input[집계키_지청],E2054)))</f>
        <v/>
      </c>
      <c r="E2054" t="str">
        <f>IFERROR(INDEX(tbl_input[집계키_지청],ROW()-1),"")</f>
        <v/>
      </c>
      <c r="F2054" t="str">
        <f t="shared" si="163"/>
        <v/>
      </c>
      <c r="G2054" t="str">
        <f t="shared" si="164"/>
        <v/>
      </c>
    </row>
    <row r="2055" spans="1:7" x14ac:dyDescent="0.4">
      <c r="A2055" t="str">
        <f t="shared" si="160"/>
        <v/>
      </c>
      <c r="B2055" t="str">
        <f t="shared" si="161"/>
        <v/>
      </c>
      <c r="C2055" t="str">
        <f t="shared" si="162"/>
        <v/>
      </c>
      <c r="D2055" t="str">
        <f>IF(E2055="","",IF(COUNTIF($E$2:E2055,E2055)&gt;1,"",SUMIFS(tbl_input[필요수량],tbl_input[집계키_지청],E2055)))</f>
        <v/>
      </c>
      <c r="E2055" t="str">
        <f>IFERROR(INDEX(tbl_input[집계키_지청],ROW()-1),"")</f>
        <v/>
      </c>
      <c r="F2055" t="str">
        <f t="shared" si="163"/>
        <v/>
      </c>
      <c r="G2055" t="str">
        <f t="shared" si="164"/>
        <v/>
      </c>
    </row>
    <row r="2056" spans="1:7" x14ac:dyDescent="0.4">
      <c r="A2056" t="str">
        <f t="shared" si="160"/>
        <v/>
      </c>
      <c r="B2056" t="str">
        <f t="shared" si="161"/>
        <v/>
      </c>
      <c r="C2056" t="str">
        <f t="shared" si="162"/>
        <v/>
      </c>
      <c r="D2056" t="str">
        <f>IF(E2056="","",IF(COUNTIF($E$2:E2056,E2056)&gt;1,"",SUMIFS(tbl_input[필요수량],tbl_input[집계키_지청],E2056)))</f>
        <v/>
      </c>
      <c r="E2056" t="str">
        <f>IFERROR(INDEX(tbl_input[집계키_지청],ROW()-1),"")</f>
        <v/>
      </c>
      <c r="F2056" t="str">
        <f t="shared" si="163"/>
        <v/>
      </c>
      <c r="G2056" t="str">
        <f t="shared" si="164"/>
        <v/>
      </c>
    </row>
    <row r="2057" spans="1:7" x14ac:dyDescent="0.4">
      <c r="A2057" t="str">
        <f t="shared" si="160"/>
        <v/>
      </c>
      <c r="B2057" t="str">
        <f t="shared" si="161"/>
        <v/>
      </c>
      <c r="C2057" t="str">
        <f t="shared" si="162"/>
        <v/>
      </c>
      <c r="D2057" t="str">
        <f>IF(E2057="","",IF(COUNTIF($E$2:E2057,E2057)&gt;1,"",SUMIFS(tbl_input[필요수량],tbl_input[집계키_지청],E2057)))</f>
        <v/>
      </c>
      <c r="E2057" t="str">
        <f>IFERROR(INDEX(tbl_input[집계키_지청],ROW()-1),"")</f>
        <v/>
      </c>
      <c r="F2057" t="str">
        <f t="shared" si="163"/>
        <v/>
      </c>
      <c r="G2057" t="str">
        <f t="shared" si="164"/>
        <v/>
      </c>
    </row>
    <row r="2058" spans="1:7" x14ac:dyDescent="0.4">
      <c r="A2058" t="str">
        <f t="shared" si="160"/>
        <v/>
      </c>
      <c r="B2058" t="str">
        <f t="shared" si="161"/>
        <v/>
      </c>
      <c r="C2058" t="str">
        <f t="shared" si="162"/>
        <v/>
      </c>
      <c r="D2058" t="str">
        <f>IF(E2058="","",IF(COUNTIF($E$2:E2058,E2058)&gt;1,"",SUMIFS(tbl_input[필요수량],tbl_input[집계키_지청],E2058)))</f>
        <v/>
      </c>
      <c r="E2058" t="str">
        <f>IFERROR(INDEX(tbl_input[집계키_지청],ROW()-1),"")</f>
        <v/>
      </c>
      <c r="F2058" t="str">
        <f t="shared" si="163"/>
        <v/>
      </c>
      <c r="G2058" t="str">
        <f t="shared" si="164"/>
        <v/>
      </c>
    </row>
    <row r="2059" spans="1:7" x14ac:dyDescent="0.4">
      <c r="A2059" t="str">
        <f t="shared" si="160"/>
        <v/>
      </c>
      <c r="B2059" t="str">
        <f t="shared" si="161"/>
        <v/>
      </c>
      <c r="C2059" t="str">
        <f t="shared" si="162"/>
        <v/>
      </c>
      <c r="D2059" t="str">
        <f>IF(E2059="","",IF(COUNTIF($E$2:E2059,E2059)&gt;1,"",SUMIFS(tbl_input[필요수량],tbl_input[집계키_지청],E2059)))</f>
        <v/>
      </c>
      <c r="E2059" t="str">
        <f>IFERROR(INDEX(tbl_input[집계키_지청],ROW()-1),"")</f>
        <v/>
      </c>
      <c r="F2059" t="str">
        <f t="shared" si="163"/>
        <v/>
      </c>
      <c r="G2059" t="str">
        <f t="shared" si="164"/>
        <v/>
      </c>
    </row>
    <row r="2060" spans="1:7" x14ac:dyDescent="0.4">
      <c r="A2060" t="str">
        <f t="shared" si="160"/>
        <v/>
      </c>
      <c r="B2060" t="str">
        <f t="shared" si="161"/>
        <v/>
      </c>
      <c r="C2060" t="str">
        <f t="shared" si="162"/>
        <v/>
      </c>
      <c r="D2060" t="str">
        <f>IF(E2060="","",IF(COUNTIF($E$2:E2060,E2060)&gt;1,"",SUMIFS(tbl_input[필요수량],tbl_input[집계키_지청],E2060)))</f>
        <v/>
      </c>
      <c r="E2060" t="str">
        <f>IFERROR(INDEX(tbl_input[집계키_지청],ROW()-1),"")</f>
        <v/>
      </c>
      <c r="F2060" t="str">
        <f t="shared" si="163"/>
        <v/>
      </c>
      <c r="G2060" t="str">
        <f t="shared" si="164"/>
        <v/>
      </c>
    </row>
    <row r="2061" spans="1:7" x14ac:dyDescent="0.4">
      <c r="A2061" t="str">
        <f t="shared" si="160"/>
        <v/>
      </c>
      <c r="B2061" t="str">
        <f t="shared" si="161"/>
        <v/>
      </c>
      <c r="C2061" t="str">
        <f t="shared" si="162"/>
        <v/>
      </c>
      <c r="D2061" t="str">
        <f>IF(E2061="","",IF(COUNTIF($E$2:E2061,E2061)&gt;1,"",SUMIFS(tbl_input[필요수량],tbl_input[집계키_지청],E2061)))</f>
        <v/>
      </c>
      <c r="E2061" t="str">
        <f>IFERROR(INDEX(tbl_input[집계키_지청],ROW()-1),"")</f>
        <v/>
      </c>
      <c r="F2061" t="str">
        <f t="shared" si="163"/>
        <v/>
      </c>
      <c r="G2061" t="str">
        <f t="shared" si="164"/>
        <v/>
      </c>
    </row>
    <row r="2062" spans="1:7" x14ac:dyDescent="0.4">
      <c r="A2062" t="str">
        <f t="shared" si="160"/>
        <v/>
      </c>
      <c r="B2062" t="str">
        <f t="shared" si="161"/>
        <v/>
      </c>
      <c r="C2062" t="str">
        <f t="shared" si="162"/>
        <v/>
      </c>
      <c r="D2062" t="str">
        <f>IF(E2062="","",IF(COUNTIF($E$2:E2062,E2062)&gt;1,"",SUMIFS(tbl_input[필요수량],tbl_input[집계키_지청],E2062)))</f>
        <v/>
      </c>
      <c r="E2062" t="str">
        <f>IFERROR(INDEX(tbl_input[집계키_지청],ROW()-1),"")</f>
        <v/>
      </c>
      <c r="F2062" t="str">
        <f t="shared" si="163"/>
        <v/>
      </c>
      <c r="G2062" t="str">
        <f t="shared" si="164"/>
        <v/>
      </c>
    </row>
    <row r="2063" spans="1:7" x14ac:dyDescent="0.4">
      <c r="A2063" t="str">
        <f t="shared" si="160"/>
        <v/>
      </c>
      <c r="B2063" t="str">
        <f t="shared" si="161"/>
        <v/>
      </c>
      <c r="C2063" t="str">
        <f t="shared" si="162"/>
        <v/>
      </c>
      <c r="D2063" t="str">
        <f>IF(E2063="","",IF(COUNTIF($E$2:E2063,E2063)&gt;1,"",SUMIFS(tbl_input[필요수량],tbl_input[집계키_지청],E2063)))</f>
        <v/>
      </c>
      <c r="E2063" t="str">
        <f>IFERROR(INDEX(tbl_input[집계키_지청],ROW()-1),"")</f>
        <v/>
      </c>
      <c r="F2063" t="str">
        <f t="shared" si="163"/>
        <v/>
      </c>
      <c r="G2063" t="str">
        <f t="shared" si="164"/>
        <v/>
      </c>
    </row>
    <row r="2064" spans="1:7" x14ac:dyDescent="0.4">
      <c r="A2064" t="str">
        <f t="shared" si="160"/>
        <v/>
      </c>
      <c r="B2064" t="str">
        <f t="shared" si="161"/>
        <v/>
      </c>
      <c r="C2064" t="str">
        <f t="shared" si="162"/>
        <v/>
      </c>
      <c r="D2064" t="str">
        <f>IF(E2064="","",IF(COUNTIF($E$2:E2064,E2064)&gt;1,"",SUMIFS(tbl_input[필요수량],tbl_input[집계키_지청],E2064)))</f>
        <v/>
      </c>
      <c r="E2064" t="str">
        <f>IFERROR(INDEX(tbl_input[집계키_지청],ROW()-1),"")</f>
        <v/>
      </c>
      <c r="F2064" t="str">
        <f t="shared" si="163"/>
        <v/>
      </c>
      <c r="G2064" t="str">
        <f t="shared" si="164"/>
        <v/>
      </c>
    </row>
    <row r="2065" spans="1:7" x14ac:dyDescent="0.4">
      <c r="A2065" t="str">
        <f t="shared" si="160"/>
        <v/>
      </c>
      <c r="B2065" t="str">
        <f t="shared" si="161"/>
        <v/>
      </c>
      <c r="C2065" t="str">
        <f t="shared" si="162"/>
        <v/>
      </c>
      <c r="D2065" t="str">
        <f>IF(E2065="","",IF(COUNTIF($E$2:E2065,E2065)&gt;1,"",SUMIFS(tbl_input[필요수량],tbl_input[집계키_지청],E2065)))</f>
        <v/>
      </c>
      <c r="E2065" t="str">
        <f>IFERROR(INDEX(tbl_input[집계키_지청],ROW()-1),"")</f>
        <v/>
      </c>
      <c r="F2065" t="str">
        <f t="shared" si="163"/>
        <v/>
      </c>
      <c r="G2065" t="str">
        <f t="shared" si="164"/>
        <v/>
      </c>
    </row>
    <row r="2066" spans="1:7" x14ac:dyDescent="0.4">
      <c r="A2066" t="str">
        <f t="shared" si="160"/>
        <v/>
      </c>
      <c r="B2066" t="str">
        <f t="shared" si="161"/>
        <v/>
      </c>
      <c r="C2066" t="str">
        <f t="shared" si="162"/>
        <v/>
      </c>
      <c r="D2066" t="str">
        <f>IF(E2066="","",IF(COUNTIF($E$2:E2066,E2066)&gt;1,"",SUMIFS(tbl_input[필요수량],tbl_input[집계키_지청],E2066)))</f>
        <v/>
      </c>
      <c r="E2066" t="str">
        <f>IFERROR(INDEX(tbl_input[집계키_지청],ROW()-1),"")</f>
        <v/>
      </c>
      <c r="F2066" t="str">
        <f t="shared" si="163"/>
        <v/>
      </c>
      <c r="G2066" t="str">
        <f t="shared" si="164"/>
        <v/>
      </c>
    </row>
    <row r="2067" spans="1:7" x14ac:dyDescent="0.4">
      <c r="A2067" t="str">
        <f t="shared" si="160"/>
        <v/>
      </c>
      <c r="B2067" t="str">
        <f t="shared" si="161"/>
        <v/>
      </c>
      <c r="C2067" t="str">
        <f t="shared" si="162"/>
        <v/>
      </c>
      <c r="D2067" t="str">
        <f>IF(E2067="","",IF(COUNTIF($E$2:E2067,E2067)&gt;1,"",SUMIFS(tbl_input[필요수량],tbl_input[집계키_지청],E2067)))</f>
        <v/>
      </c>
      <c r="E2067" t="str">
        <f>IFERROR(INDEX(tbl_input[집계키_지청],ROW()-1),"")</f>
        <v/>
      </c>
      <c r="F2067" t="str">
        <f t="shared" si="163"/>
        <v/>
      </c>
      <c r="G2067" t="str">
        <f t="shared" si="164"/>
        <v/>
      </c>
    </row>
    <row r="2068" spans="1:7" x14ac:dyDescent="0.4">
      <c r="A2068" t="str">
        <f t="shared" si="160"/>
        <v/>
      </c>
      <c r="B2068" t="str">
        <f t="shared" si="161"/>
        <v/>
      </c>
      <c r="C2068" t="str">
        <f t="shared" si="162"/>
        <v/>
      </c>
      <c r="D2068" t="str">
        <f>IF(E2068="","",IF(COUNTIF($E$2:E2068,E2068)&gt;1,"",SUMIFS(tbl_input[필요수량],tbl_input[집계키_지청],E2068)))</f>
        <v/>
      </c>
      <c r="E2068" t="str">
        <f>IFERROR(INDEX(tbl_input[집계키_지청],ROW()-1),"")</f>
        <v/>
      </c>
      <c r="F2068" t="str">
        <f t="shared" si="163"/>
        <v/>
      </c>
      <c r="G2068" t="str">
        <f t="shared" si="164"/>
        <v/>
      </c>
    </row>
    <row r="2069" spans="1:7" x14ac:dyDescent="0.4">
      <c r="A2069" t="str">
        <f t="shared" si="160"/>
        <v/>
      </c>
      <c r="B2069" t="str">
        <f t="shared" si="161"/>
        <v/>
      </c>
      <c r="C2069" t="str">
        <f t="shared" si="162"/>
        <v/>
      </c>
      <c r="D2069" t="str">
        <f>IF(E2069="","",IF(COUNTIF($E$2:E2069,E2069)&gt;1,"",SUMIFS(tbl_input[필요수량],tbl_input[집계키_지청],E2069)))</f>
        <v/>
      </c>
      <c r="E2069" t="str">
        <f>IFERROR(INDEX(tbl_input[집계키_지청],ROW()-1),"")</f>
        <v/>
      </c>
      <c r="F2069" t="str">
        <f t="shared" si="163"/>
        <v/>
      </c>
      <c r="G2069" t="str">
        <f t="shared" si="164"/>
        <v/>
      </c>
    </row>
    <row r="2070" spans="1:7" x14ac:dyDescent="0.4">
      <c r="A2070" t="str">
        <f t="shared" si="160"/>
        <v/>
      </c>
      <c r="B2070" t="str">
        <f t="shared" si="161"/>
        <v/>
      </c>
      <c r="C2070" t="str">
        <f t="shared" si="162"/>
        <v/>
      </c>
      <c r="D2070" t="str">
        <f>IF(E2070="","",IF(COUNTIF($E$2:E2070,E2070)&gt;1,"",SUMIFS(tbl_input[필요수량],tbl_input[집계키_지청],E2070)))</f>
        <v/>
      </c>
      <c r="E2070" t="str">
        <f>IFERROR(INDEX(tbl_input[집계키_지청],ROW()-1),"")</f>
        <v/>
      </c>
      <c r="F2070" t="str">
        <f t="shared" si="163"/>
        <v/>
      </c>
      <c r="G2070" t="str">
        <f t="shared" si="164"/>
        <v/>
      </c>
    </row>
    <row r="2071" spans="1:7" x14ac:dyDescent="0.4">
      <c r="A2071" t="str">
        <f t="shared" si="160"/>
        <v/>
      </c>
      <c r="B2071" t="str">
        <f t="shared" si="161"/>
        <v/>
      </c>
      <c r="C2071" t="str">
        <f t="shared" si="162"/>
        <v/>
      </c>
      <c r="D2071" t="str">
        <f>IF(E2071="","",IF(COUNTIF($E$2:E2071,E2071)&gt;1,"",SUMIFS(tbl_input[필요수량],tbl_input[집계키_지청],E2071)))</f>
        <v/>
      </c>
      <c r="E2071" t="str">
        <f>IFERROR(INDEX(tbl_input[집계키_지청],ROW()-1),"")</f>
        <v/>
      </c>
      <c r="F2071" t="str">
        <f t="shared" si="163"/>
        <v/>
      </c>
      <c r="G2071" t="str">
        <f t="shared" si="164"/>
        <v/>
      </c>
    </row>
    <row r="2072" spans="1:7" x14ac:dyDescent="0.4">
      <c r="A2072" t="str">
        <f t="shared" si="160"/>
        <v/>
      </c>
      <c r="B2072" t="str">
        <f t="shared" si="161"/>
        <v/>
      </c>
      <c r="C2072" t="str">
        <f t="shared" si="162"/>
        <v/>
      </c>
      <c r="D2072" t="str">
        <f>IF(E2072="","",IF(COUNTIF($E$2:E2072,E2072)&gt;1,"",SUMIFS(tbl_input[필요수량],tbl_input[집계키_지청],E2072)))</f>
        <v/>
      </c>
      <c r="E2072" t="str">
        <f>IFERROR(INDEX(tbl_input[집계키_지청],ROW()-1),"")</f>
        <v/>
      </c>
      <c r="F2072" t="str">
        <f t="shared" si="163"/>
        <v/>
      </c>
      <c r="G2072" t="str">
        <f t="shared" si="164"/>
        <v/>
      </c>
    </row>
    <row r="2073" spans="1:7" x14ac:dyDescent="0.4">
      <c r="A2073" t="str">
        <f t="shared" si="160"/>
        <v/>
      </c>
      <c r="B2073" t="str">
        <f t="shared" si="161"/>
        <v/>
      </c>
      <c r="C2073" t="str">
        <f t="shared" si="162"/>
        <v/>
      </c>
      <c r="D2073" t="str">
        <f>IF(E2073="","",IF(COUNTIF($E$2:E2073,E2073)&gt;1,"",SUMIFS(tbl_input[필요수량],tbl_input[집계키_지청],E2073)))</f>
        <v/>
      </c>
      <c r="E2073" t="str">
        <f>IFERROR(INDEX(tbl_input[집계키_지청],ROW()-1),"")</f>
        <v/>
      </c>
      <c r="F2073" t="str">
        <f t="shared" si="163"/>
        <v/>
      </c>
      <c r="G2073" t="str">
        <f t="shared" si="164"/>
        <v/>
      </c>
    </row>
    <row r="2074" spans="1:7" x14ac:dyDescent="0.4">
      <c r="A2074" t="str">
        <f t="shared" si="160"/>
        <v/>
      </c>
      <c r="B2074" t="str">
        <f t="shared" si="161"/>
        <v/>
      </c>
      <c r="C2074" t="str">
        <f t="shared" si="162"/>
        <v/>
      </c>
      <c r="D2074" t="str">
        <f>IF(E2074="","",IF(COUNTIF($E$2:E2074,E2074)&gt;1,"",SUMIFS(tbl_input[필요수량],tbl_input[집계키_지청],E2074)))</f>
        <v/>
      </c>
      <c r="E2074" t="str">
        <f>IFERROR(INDEX(tbl_input[집계키_지청],ROW()-1),"")</f>
        <v/>
      </c>
      <c r="F2074" t="str">
        <f t="shared" si="163"/>
        <v/>
      </c>
      <c r="G2074" t="str">
        <f t="shared" si="164"/>
        <v/>
      </c>
    </row>
    <row r="2075" spans="1:7" x14ac:dyDescent="0.4">
      <c r="A2075" t="str">
        <f t="shared" si="160"/>
        <v/>
      </c>
      <c r="B2075" t="str">
        <f t="shared" si="161"/>
        <v/>
      </c>
      <c r="C2075" t="str">
        <f t="shared" si="162"/>
        <v/>
      </c>
      <c r="D2075" t="str">
        <f>IF(E2075="","",IF(COUNTIF($E$2:E2075,E2075)&gt;1,"",SUMIFS(tbl_input[필요수량],tbl_input[집계키_지청],E2075)))</f>
        <v/>
      </c>
      <c r="E2075" t="str">
        <f>IFERROR(INDEX(tbl_input[집계키_지청],ROW()-1),"")</f>
        <v/>
      </c>
      <c r="F2075" t="str">
        <f t="shared" si="163"/>
        <v/>
      </c>
      <c r="G2075" t="str">
        <f t="shared" si="164"/>
        <v/>
      </c>
    </row>
    <row r="2076" spans="1:7" x14ac:dyDescent="0.4">
      <c r="A2076" t="str">
        <f t="shared" si="160"/>
        <v/>
      </c>
      <c r="B2076" t="str">
        <f t="shared" si="161"/>
        <v/>
      </c>
      <c r="C2076" t="str">
        <f t="shared" si="162"/>
        <v/>
      </c>
      <c r="D2076" t="str">
        <f>IF(E2076="","",IF(COUNTIF($E$2:E2076,E2076)&gt;1,"",SUMIFS(tbl_input[필요수량],tbl_input[집계키_지청],E2076)))</f>
        <v/>
      </c>
      <c r="E2076" t="str">
        <f>IFERROR(INDEX(tbl_input[집계키_지청],ROW()-1),"")</f>
        <v/>
      </c>
      <c r="F2076" t="str">
        <f t="shared" si="163"/>
        <v/>
      </c>
      <c r="G2076" t="str">
        <f t="shared" si="164"/>
        <v/>
      </c>
    </row>
    <row r="2077" spans="1:7" x14ac:dyDescent="0.4">
      <c r="A2077" t="str">
        <f t="shared" si="160"/>
        <v/>
      </c>
      <c r="B2077" t="str">
        <f t="shared" si="161"/>
        <v/>
      </c>
      <c r="C2077" t="str">
        <f t="shared" si="162"/>
        <v/>
      </c>
      <c r="D2077" t="str">
        <f>IF(E2077="","",IF(COUNTIF($E$2:E2077,E2077)&gt;1,"",SUMIFS(tbl_input[필요수량],tbl_input[집계키_지청],E2077)))</f>
        <v/>
      </c>
      <c r="E2077" t="str">
        <f>IFERROR(INDEX(tbl_input[집계키_지청],ROW()-1),"")</f>
        <v/>
      </c>
      <c r="F2077" t="str">
        <f t="shared" si="163"/>
        <v/>
      </c>
      <c r="G2077" t="str">
        <f t="shared" si="164"/>
        <v/>
      </c>
    </row>
    <row r="2078" spans="1:7" x14ac:dyDescent="0.4">
      <c r="A2078" t="str">
        <f t="shared" si="160"/>
        <v/>
      </c>
      <c r="B2078" t="str">
        <f t="shared" si="161"/>
        <v/>
      </c>
      <c r="C2078" t="str">
        <f t="shared" si="162"/>
        <v/>
      </c>
      <c r="D2078" t="str">
        <f>IF(E2078="","",IF(COUNTIF($E$2:E2078,E2078)&gt;1,"",SUMIFS(tbl_input[필요수량],tbl_input[집계키_지청],E2078)))</f>
        <v/>
      </c>
      <c r="E2078" t="str">
        <f>IFERROR(INDEX(tbl_input[집계키_지청],ROW()-1),"")</f>
        <v/>
      </c>
      <c r="F2078" t="str">
        <f t="shared" si="163"/>
        <v/>
      </c>
      <c r="G2078" t="str">
        <f t="shared" si="164"/>
        <v/>
      </c>
    </row>
    <row r="2079" spans="1:7" x14ac:dyDescent="0.4">
      <c r="A2079" t="str">
        <f t="shared" si="160"/>
        <v/>
      </c>
      <c r="B2079" t="str">
        <f t="shared" si="161"/>
        <v/>
      </c>
      <c r="C2079" t="str">
        <f t="shared" si="162"/>
        <v/>
      </c>
      <c r="D2079" t="str">
        <f>IF(E2079="","",IF(COUNTIF($E$2:E2079,E2079)&gt;1,"",SUMIFS(tbl_input[필요수량],tbl_input[집계키_지청],E2079)))</f>
        <v/>
      </c>
      <c r="E2079" t="str">
        <f>IFERROR(INDEX(tbl_input[집계키_지청],ROW()-1),"")</f>
        <v/>
      </c>
      <c r="F2079" t="str">
        <f t="shared" si="163"/>
        <v/>
      </c>
      <c r="G2079" t="str">
        <f t="shared" si="164"/>
        <v/>
      </c>
    </row>
    <row r="2080" spans="1:7" x14ac:dyDescent="0.4">
      <c r="A2080" t="str">
        <f t="shared" si="160"/>
        <v/>
      </c>
      <c r="B2080" t="str">
        <f t="shared" si="161"/>
        <v/>
      </c>
      <c r="C2080" t="str">
        <f t="shared" si="162"/>
        <v/>
      </c>
      <c r="D2080" t="str">
        <f>IF(E2080="","",IF(COUNTIF($E$2:E2080,E2080)&gt;1,"",SUMIFS(tbl_input[필요수량],tbl_input[집계키_지청],E2080)))</f>
        <v/>
      </c>
      <c r="E2080" t="str">
        <f>IFERROR(INDEX(tbl_input[집계키_지청],ROW()-1),"")</f>
        <v/>
      </c>
      <c r="F2080" t="str">
        <f t="shared" si="163"/>
        <v/>
      </c>
      <c r="G2080" t="str">
        <f t="shared" si="164"/>
        <v/>
      </c>
    </row>
    <row r="2081" spans="1:7" x14ac:dyDescent="0.4">
      <c r="A2081" t="str">
        <f t="shared" si="160"/>
        <v/>
      </c>
      <c r="B2081" t="str">
        <f t="shared" si="161"/>
        <v/>
      </c>
      <c r="C2081" t="str">
        <f t="shared" si="162"/>
        <v/>
      </c>
      <c r="D2081" t="str">
        <f>IF(E2081="","",IF(COUNTIF($E$2:E2081,E2081)&gt;1,"",SUMIFS(tbl_input[필요수량],tbl_input[집계키_지청],E2081)))</f>
        <v/>
      </c>
      <c r="E2081" t="str">
        <f>IFERROR(INDEX(tbl_input[집계키_지청],ROW()-1),"")</f>
        <v/>
      </c>
      <c r="F2081" t="str">
        <f t="shared" si="163"/>
        <v/>
      </c>
      <c r="G2081" t="str">
        <f t="shared" si="164"/>
        <v/>
      </c>
    </row>
    <row r="2082" spans="1:7" x14ac:dyDescent="0.4">
      <c r="A2082" t="str">
        <f t="shared" si="160"/>
        <v/>
      </c>
      <c r="B2082" t="str">
        <f t="shared" si="161"/>
        <v/>
      </c>
      <c r="C2082" t="str">
        <f t="shared" si="162"/>
        <v/>
      </c>
      <c r="D2082" t="str">
        <f>IF(E2082="","",IF(COUNTIF($E$2:E2082,E2082)&gt;1,"",SUMIFS(tbl_input[필요수량],tbl_input[집계키_지청],E2082)))</f>
        <v/>
      </c>
      <c r="E2082" t="str">
        <f>IFERROR(INDEX(tbl_input[집계키_지청],ROW()-1),"")</f>
        <v/>
      </c>
      <c r="F2082" t="str">
        <f t="shared" si="163"/>
        <v/>
      </c>
      <c r="G2082" t="str">
        <f t="shared" si="164"/>
        <v/>
      </c>
    </row>
    <row r="2083" spans="1:7" x14ac:dyDescent="0.4">
      <c r="A2083" t="str">
        <f t="shared" si="160"/>
        <v/>
      </c>
      <c r="B2083" t="str">
        <f t="shared" si="161"/>
        <v/>
      </c>
      <c r="C2083" t="str">
        <f t="shared" si="162"/>
        <v/>
      </c>
      <c r="D2083" t="str">
        <f>IF(E2083="","",IF(COUNTIF($E$2:E2083,E2083)&gt;1,"",SUMIFS(tbl_input[필요수량],tbl_input[집계키_지청],E2083)))</f>
        <v/>
      </c>
      <c r="E2083" t="str">
        <f>IFERROR(INDEX(tbl_input[집계키_지청],ROW()-1),"")</f>
        <v/>
      </c>
      <c r="F2083" t="str">
        <f t="shared" si="163"/>
        <v/>
      </c>
      <c r="G2083" t="str">
        <f t="shared" si="164"/>
        <v/>
      </c>
    </row>
    <row r="2084" spans="1:7" x14ac:dyDescent="0.4">
      <c r="A2084" t="str">
        <f t="shared" si="160"/>
        <v/>
      </c>
      <c r="B2084" t="str">
        <f t="shared" si="161"/>
        <v/>
      </c>
      <c r="C2084" t="str">
        <f t="shared" si="162"/>
        <v/>
      </c>
      <c r="D2084" t="str">
        <f>IF(E2084="","",IF(COUNTIF($E$2:E2084,E2084)&gt;1,"",SUMIFS(tbl_input[필요수량],tbl_input[집계키_지청],E2084)))</f>
        <v/>
      </c>
      <c r="E2084" t="str">
        <f>IFERROR(INDEX(tbl_input[집계키_지청],ROW()-1),"")</f>
        <v/>
      </c>
      <c r="F2084" t="str">
        <f t="shared" si="163"/>
        <v/>
      </c>
      <c r="G2084" t="str">
        <f t="shared" si="164"/>
        <v/>
      </c>
    </row>
    <row r="2085" spans="1:7" x14ac:dyDescent="0.4">
      <c r="A2085" t="str">
        <f t="shared" si="160"/>
        <v/>
      </c>
      <c r="B2085" t="str">
        <f t="shared" si="161"/>
        <v/>
      </c>
      <c r="C2085" t="str">
        <f t="shared" si="162"/>
        <v/>
      </c>
      <c r="D2085" t="str">
        <f>IF(E2085="","",IF(COUNTIF($E$2:E2085,E2085)&gt;1,"",SUMIFS(tbl_input[필요수량],tbl_input[집계키_지청],E2085)))</f>
        <v/>
      </c>
      <c r="E2085" t="str">
        <f>IFERROR(INDEX(tbl_input[집계키_지청],ROW()-1),"")</f>
        <v/>
      </c>
      <c r="F2085" t="str">
        <f t="shared" si="163"/>
        <v/>
      </c>
      <c r="G2085" t="str">
        <f t="shared" si="164"/>
        <v/>
      </c>
    </row>
    <row r="2086" spans="1:7" x14ac:dyDescent="0.4">
      <c r="A2086" t="str">
        <f t="shared" si="160"/>
        <v/>
      </c>
      <c r="B2086" t="str">
        <f t="shared" si="161"/>
        <v/>
      </c>
      <c r="C2086" t="str">
        <f t="shared" si="162"/>
        <v/>
      </c>
      <c r="D2086" t="str">
        <f>IF(E2086="","",IF(COUNTIF($E$2:E2086,E2086)&gt;1,"",SUMIFS(tbl_input[필요수량],tbl_input[집계키_지청],E2086)))</f>
        <v/>
      </c>
      <c r="E2086" t="str">
        <f>IFERROR(INDEX(tbl_input[집계키_지청],ROW()-1),"")</f>
        <v/>
      </c>
      <c r="F2086" t="str">
        <f t="shared" si="163"/>
        <v/>
      </c>
      <c r="G2086" t="str">
        <f t="shared" si="164"/>
        <v/>
      </c>
    </row>
    <row r="2087" spans="1:7" x14ac:dyDescent="0.4">
      <c r="A2087" t="str">
        <f t="shared" si="160"/>
        <v/>
      </c>
      <c r="B2087" t="str">
        <f t="shared" si="161"/>
        <v/>
      </c>
      <c r="C2087" t="str">
        <f t="shared" si="162"/>
        <v/>
      </c>
      <c r="D2087" t="str">
        <f>IF(E2087="","",IF(COUNTIF($E$2:E2087,E2087)&gt;1,"",SUMIFS(tbl_input[필요수량],tbl_input[집계키_지청],E2087)))</f>
        <v/>
      </c>
      <c r="E2087" t="str">
        <f>IFERROR(INDEX(tbl_input[집계키_지청],ROW()-1),"")</f>
        <v/>
      </c>
      <c r="F2087" t="str">
        <f t="shared" si="163"/>
        <v/>
      </c>
      <c r="G2087" t="str">
        <f t="shared" si="164"/>
        <v/>
      </c>
    </row>
    <row r="2088" spans="1:7" x14ac:dyDescent="0.4">
      <c r="A2088" t="str">
        <f t="shared" si="160"/>
        <v/>
      </c>
      <c r="B2088" t="str">
        <f t="shared" si="161"/>
        <v/>
      </c>
      <c r="C2088" t="str">
        <f t="shared" si="162"/>
        <v/>
      </c>
      <c r="D2088" t="str">
        <f>IF(E2088="","",IF(COUNTIF($E$2:E2088,E2088)&gt;1,"",SUMIFS(tbl_input[필요수량],tbl_input[집계키_지청],E2088)))</f>
        <v/>
      </c>
      <c r="E2088" t="str">
        <f>IFERROR(INDEX(tbl_input[집계키_지청],ROW()-1),"")</f>
        <v/>
      </c>
      <c r="F2088" t="str">
        <f t="shared" si="163"/>
        <v/>
      </c>
      <c r="G2088" t="str">
        <f t="shared" si="164"/>
        <v/>
      </c>
    </row>
    <row r="2089" spans="1:7" x14ac:dyDescent="0.4">
      <c r="A2089" t="str">
        <f t="shared" si="160"/>
        <v/>
      </c>
      <c r="B2089" t="str">
        <f t="shared" si="161"/>
        <v/>
      </c>
      <c r="C2089" t="str">
        <f t="shared" si="162"/>
        <v/>
      </c>
      <c r="D2089" t="str">
        <f>IF(E2089="","",IF(COUNTIF($E$2:E2089,E2089)&gt;1,"",SUMIFS(tbl_input[필요수량],tbl_input[집계키_지청],E2089)))</f>
        <v/>
      </c>
      <c r="E2089" t="str">
        <f>IFERROR(INDEX(tbl_input[집계키_지청],ROW()-1),"")</f>
        <v/>
      </c>
      <c r="F2089" t="str">
        <f t="shared" si="163"/>
        <v/>
      </c>
      <c r="G2089" t="str">
        <f t="shared" si="164"/>
        <v/>
      </c>
    </row>
    <row r="2090" spans="1:7" x14ac:dyDescent="0.4">
      <c r="A2090" t="str">
        <f t="shared" si="160"/>
        <v/>
      </c>
      <c r="B2090" t="str">
        <f t="shared" si="161"/>
        <v/>
      </c>
      <c r="C2090" t="str">
        <f t="shared" si="162"/>
        <v/>
      </c>
      <c r="D2090" t="str">
        <f>IF(E2090="","",IF(COUNTIF($E$2:E2090,E2090)&gt;1,"",SUMIFS(tbl_input[필요수량],tbl_input[집계키_지청],E2090)))</f>
        <v/>
      </c>
      <c r="E2090" t="str">
        <f>IFERROR(INDEX(tbl_input[집계키_지청],ROW()-1),"")</f>
        <v/>
      </c>
      <c r="F2090" t="str">
        <f t="shared" si="163"/>
        <v/>
      </c>
      <c r="G2090" t="str">
        <f t="shared" si="164"/>
        <v/>
      </c>
    </row>
    <row r="2091" spans="1:7" x14ac:dyDescent="0.4">
      <c r="A2091" t="str">
        <f t="shared" si="160"/>
        <v/>
      </c>
      <c r="B2091" t="str">
        <f t="shared" si="161"/>
        <v/>
      </c>
      <c r="C2091" t="str">
        <f t="shared" si="162"/>
        <v/>
      </c>
      <c r="D2091" t="str">
        <f>IF(E2091="","",IF(COUNTIF($E$2:E2091,E2091)&gt;1,"",SUMIFS(tbl_input[필요수량],tbl_input[집계키_지청],E2091)))</f>
        <v/>
      </c>
      <c r="E2091" t="str">
        <f>IFERROR(INDEX(tbl_input[집계키_지청],ROW()-1),"")</f>
        <v/>
      </c>
      <c r="F2091" t="str">
        <f t="shared" si="163"/>
        <v/>
      </c>
      <c r="G2091" t="str">
        <f t="shared" si="164"/>
        <v/>
      </c>
    </row>
    <row r="2092" spans="1:7" x14ac:dyDescent="0.4">
      <c r="A2092" t="str">
        <f t="shared" si="160"/>
        <v/>
      </c>
      <c r="B2092" t="str">
        <f t="shared" si="161"/>
        <v/>
      </c>
      <c r="C2092" t="str">
        <f t="shared" si="162"/>
        <v/>
      </c>
      <c r="D2092" t="str">
        <f>IF(E2092="","",IF(COUNTIF($E$2:E2092,E2092)&gt;1,"",SUMIFS(tbl_input[필요수량],tbl_input[집계키_지청],E2092)))</f>
        <v/>
      </c>
      <c r="E2092" t="str">
        <f>IFERROR(INDEX(tbl_input[집계키_지청],ROW()-1),"")</f>
        <v/>
      </c>
      <c r="F2092" t="str">
        <f t="shared" si="163"/>
        <v/>
      </c>
      <c r="G2092" t="str">
        <f t="shared" si="164"/>
        <v/>
      </c>
    </row>
    <row r="2093" spans="1:7" x14ac:dyDescent="0.4">
      <c r="A2093" t="str">
        <f t="shared" si="160"/>
        <v/>
      </c>
      <c r="B2093" t="str">
        <f t="shared" si="161"/>
        <v/>
      </c>
      <c r="C2093" t="str">
        <f t="shared" si="162"/>
        <v/>
      </c>
      <c r="D2093" t="str">
        <f>IF(E2093="","",IF(COUNTIF($E$2:E2093,E2093)&gt;1,"",SUMIFS(tbl_input[필요수량],tbl_input[집계키_지청],E2093)))</f>
        <v/>
      </c>
      <c r="E2093" t="str">
        <f>IFERROR(INDEX(tbl_input[집계키_지청],ROW()-1),"")</f>
        <v/>
      </c>
      <c r="F2093" t="str">
        <f t="shared" si="163"/>
        <v/>
      </c>
      <c r="G2093" t="str">
        <f t="shared" si="164"/>
        <v/>
      </c>
    </row>
    <row r="2094" spans="1:7" x14ac:dyDescent="0.4">
      <c r="A2094" t="str">
        <f t="shared" si="160"/>
        <v/>
      </c>
      <c r="B2094" t="str">
        <f t="shared" si="161"/>
        <v/>
      </c>
      <c r="C2094" t="str">
        <f t="shared" si="162"/>
        <v/>
      </c>
      <c r="D2094" t="str">
        <f>IF(E2094="","",IF(COUNTIF($E$2:E2094,E2094)&gt;1,"",SUMIFS(tbl_input[필요수량],tbl_input[집계키_지청],E2094)))</f>
        <v/>
      </c>
      <c r="E2094" t="str">
        <f>IFERROR(INDEX(tbl_input[집계키_지청],ROW()-1),"")</f>
        <v/>
      </c>
      <c r="F2094" t="str">
        <f t="shared" si="163"/>
        <v/>
      </c>
      <c r="G2094" t="str">
        <f t="shared" si="164"/>
        <v/>
      </c>
    </row>
    <row r="2095" spans="1:7" x14ac:dyDescent="0.4">
      <c r="A2095" t="str">
        <f t="shared" si="160"/>
        <v/>
      </c>
      <c r="B2095" t="str">
        <f t="shared" si="161"/>
        <v/>
      </c>
      <c r="C2095" t="str">
        <f t="shared" si="162"/>
        <v/>
      </c>
      <c r="D2095" t="str">
        <f>IF(E2095="","",IF(COUNTIF($E$2:E2095,E2095)&gt;1,"",SUMIFS(tbl_input[필요수량],tbl_input[집계키_지청],E2095)))</f>
        <v/>
      </c>
      <c r="E2095" t="str">
        <f>IFERROR(INDEX(tbl_input[집계키_지청],ROW()-1),"")</f>
        <v/>
      </c>
      <c r="F2095" t="str">
        <f t="shared" si="163"/>
        <v/>
      </c>
      <c r="G2095" t="str">
        <f t="shared" si="164"/>
        <v/>
      </c>
    </row>
    <row r="2096" spans="1:7" x14ac:dyDescent="0.4">
      <c r="A2096" t="str">
        <f t="shared" si="160"/>
        <v/>
      </c>
      <c r="B2096" t="str">
        <f t="shared" si="161"/>
        <v/>
      </c>
      <c r="C2096" t="str">
        <f t="shared" si="162"/>
        <v/>
      </c>
      <c r="D2096" t="str">
        <f>IF(E2096="","",IF(COUNTIF($E$2:E2096,E2096)&gt;1,"",SUMIFS(tbl_input[필요수량],tbl_input[집계키_지청],E2096)))</f>
        <v/>
      </c>
      <c r="E2096" t="str">
        <f>IFERROR(INDEX(tbl_input[집계키_지청],ROW()-1),"")</f>
        <v/>
      </c>
      <c r="F2096" t="str">
        <f t="shared" si="163"/>
        <v/>
      </c>
      <c r="G2096" t="str">
        <f t="shared" si="164"/>
        <v/>
      </c>
    </row>
    <row r="2097" spans="1:7" x14ac:dyDescent="0.4">
      <c r="A2097" t="str">
        <f t="shared" si="160"/>
        <v/>
      </c>
      <c r="B2097" t="str">
        <f t="shared" si="161"/>
        <v/>
      </c>
      <c r="C2097" t="str">
        <f t="shared" si="162"/>
        <v/>
      </c>
      <c r="D2097" t="str">
        <f>IF(E2097="","",IF(COUNTIF($E$2:E2097,E2097)&gt;1,"",SUMIFS(tbl_input[필요수량],tbl_input[집계키_지청],E2097)))</f>
        <v/>
      </c>
      <c r="E2097" t="str">
        <f>IFERROR(INDEX(tbl_input[집계키_지청],ROW()-1),"")</f>
        <v/>
      </c>
      <c r="F2097" t="str">
        <f t="shared" si="163"/>
        <v/>
      </c>
      <c r="G2097" t="str">
        <f t="shared" si="164"/>
        <v/>
      </c>
    </row>
    <row r="2098" spans="1:7" x14ac:dyDescent="0.4">
      <c r="A2098" t="str">
        <f t="shared" si="160"/>
        <v/>
      </c>
      <c r="B2098" t="str">
        <f t="shared" si="161"/>
        <v/>
      </c>
      <c r="C2098" t="str">
        <f t="shared" si="162"/>
        <v/>
      </c>
      <c r="D2098" t="str">
        <f>IF(E2098="","",IF(COUNTIF($E$2:E2098,E2098)&gt;1,"",SUMIFS(tbl_input[필요수량],tbl_input[집계키_지청],E2098)))</f>
        <v/>
      </c>
      <c r="E2098" t="str">
        <f>IFERROR(INDEX(tbl_input[집계키_지청],ROW()-1),"")</f>
        <v/>
      </c>
      <c r="F2098" t="str">
        <f t="shared" si="163"/>
        <v/>
      </c>
      <c r="G2098" t="str">
        <f t="shared" si="164"/>
        <v/>
      </c>
    </row>
    <row r="2099" spans="1:7" x14ac:dyDescent="0.4">
      <c r="A2099" t="str">
        <f t="shared" si="160"/>
        <v/>
      </c>
      <c r="B2099" t="str">
        <f t="shared" si="161"/>
        <v/>
      </c>
      <c r="C2099" t="str">
        <f t="shared" si="162"/>
        <v/>
      </c>
      <c r="D2099" t="str">
        <f>IF(E2099="","",IF(COUNTIF($E$2:E2099,E2099)&gt;1,"",SUMIFS(tbl_input[필요수량],tbl_input[집계키_지청],E2099)))</f>
        <v/>
      </c>
      <c r="E2099" t="str">
        <f>IFERROR(INDEX(tbl_input[집계키_지청],ROW()-1),"")</f>
        <v/>
      </c>
      <c r="F2099" t="str">
        <f t="shared" si="163"/>
        <v/>
      </c>
      <c r="G2099" t="str">
        <f t="shared" si="164"/>
        <v/>
      </c>
    </row>
    <row r="2100" spans="1:7" x14ac:dyDescent="0.4">
      <c r="A2100" t="str">
        <f t="shared" si="160"/>
        <v/>
      </c>
      <c r="B2100" t="str">
        <f t="shared" si="161"/>
        <v/>
      </c>
      <c r="C2100" t="str">
        <f t="shared" si="162"/>
        <v/>
      </c>
      <c r="D2100" t="str">
        <f>IF(E2100="","",IF(COUNTIF($E$2:E2100,E2100)&gt;1,"",SUMIFS(tbl_input[필요수량],tbl_input[집계키_지청],E2100)))</f>
        <v/>
      </c>
      <c r="E2100" t="str">
        <f>IFERROR(INDEX(tbl_input[집계키_지청],ROW()-1),"")</f>
        <v/>
      </c>
      <c r="F2100" t="str">
        <f t="shared" si="163"/>
        <v/>
      </c>
      <c r="G2100" t="str">
        <f t="shared" si="164"/>
        <v/>
      </c>
    </row>
    <row r="2101" spans="1:7" x14ac:dyDescent="0.4">
      <c r="A2101" t="str">
        <f t="shared" si="160"/>
        <v/>
      </c>
      <c r="B2101" t="str">
        <f t="shared" si="161"/>
        <v/>
      </c>
      <c r="C2101" t="str">
        <f t="shared" si="162"/>
        <v/>
      </c>
      <c r="D2101" t="str">
        <f>IF(E2101="","",IF(COUNTIF($E$2:E2101,E2101)&gt;1,"",SUMIFS(tbl_input[필요수량],tbl_input[집계키_지청],E2101)))</f>
        <v/>
      </c>
      <c r="E2101" t="str">
        <f>IFERROR(INDEX(tbl_input[집계키_지청],ROW()-1),"")</f>
        <v/>
      </c>
      <c r="F2101" t="str">
        <f t="shared" si="163"/>
        <v/>
      </c>
      <c r="G2101" t="str">
        <f t="shared" si="164"/>
        <v/>
      </c>
    </row>
    <row r="2102" spans="1:7" x14ac:dyDescent="0.4">
      <c r="A2102" t="str">
        <f t="shared" si="160"/>
        <v/>
      </c>
      <c r="B2102" t="str">
        <f t="shared" si="161"/>
        <v/>
      </c>
      <c r="C2102" t="str">
        <f t="shared" si="162"/>
        <v/>
      </c>
      <c r="D2102" t="str">
        <f>IF(E2102="","",IF(COUNTIF($E$2:E2102,E2102)&gt;1,"",SUMIFS(tbl_input[필요수량],tbl_input[집계키_지청],E2102)))</f>
        <v/>
      </c>
      <c r="E2102" t="str">
        <f>IFERROR(INDEX(tbl_input[집계키_지청],ROW()-1),"")</f>
        <v/>
      </c>
      <c r="F2102" t="str">
        <f t="shared" si="163"/>
        <v/>
      </c>
      <c r="G2102" t="str">
        <f t="shared" si="164"/>
        <v/>
      </c>
    </row>
    <row r="2103" spans="1:7" x14ac:dyDescent="0.4">
      <c r="A2103" t="str">
        <f t="shared" si="160"/>
        <v/>
      </c>
      <c r="B2103" t="str">
        <f t="shared" si="161"/>
        <v/>
      </c>
      <c r="C2103" t="str">
        <f t="shared" si="162"/>
        <v/>
      </c>
      <c r="D2103" t="str">
        <f>IF(E2103="","",IF(COUNTIF($E$2:E2103,E2103)&gt;1,"",SUMIFS(tbl_input[필요수량],tbl_input[집계키_지청],E2103)))</f>
        <v/>
      </c>
      <c r="E2103" t="str">
        <f>IFERROR(INDEX(tbl_input[집계키_지청],ROW()-1),"")</f>
        <v/>
      </c>
      <c r="F2103" t="str">
        <f t="shared" si="163"/>
        <v/>
      </c>
      <c r="G2103" t="str">
        <f t="shared" si="164"/>
        <v/>
      </c>
    </row>
    <row r="2104" spans="1:7" x14ac:dyDescent="0.4">
      <c r="A2104" t="str">
        <f t="shared" si="160"/>
        <v/>
      </c>
      <c r="B2104" t="str">
        <f t="shared" si="161"/>
        <v/>
      </c>
      <c r="C2104" t="str">
        <f t="shared" si="162"/>
        <v/>
      </c>
      <c r="D2104" t="str">
        <f>IF(E2104="","",IF(COUNTIF($E$2:E2104,E2104)&gt;1,"",SUMIFS(tbl_input[필요수량],tbl_input[집계키_지청],E2104)))</f>
        <v/>
      </c>
      <c r="E2104" t="str">
        <f>IFERROR(INDEX(tbl_input[집계키_지청],ROW()-1),"")</f>
        <v/>
      </c>
      <c r="F2104" t="str">
        <f t="shared" si="163"/>
        <v/>
      </c>
      <c r="G2104" t="str">
        <f t="shared" si="164"/>
        <v/>
      </c>
    </row>
    <row r="2105" spans="1:7" x14ac:dyDescent="0.4">
      <c r="A2105" t="str">
        <f t="shared" si="160"/>
        <v/>
      </c>
      <c r="B2105" t="str">
        <f t="shared" si="161"/>
        <v/>
      </c>
      <c r="C2105" t="str">
        <f t="shared" si="162"/>
        <v/>
      </c>
      <c r="D2105" t="str">
        <f>IF(E2105="","",IF(COUNTIF($E$2:E2105,E2105)&gt;1,"",SUMIFS(tbl_input[필요수량],tbl_input[집계키_지청],E2105)))</f>
        <v/>
      </c>
      <c r="E2105" t="str">
        <f>IFERROR(INDEX(tbl_input[집계키_지청],ROW()-1),"")</f>
        <v/>
      </c>
      <c r="F2105" t="str">
        <f t="shared" si="163"/>
        <v/>
      </c>
      <c r="G2105" t="str">
        <f t="shared" si="164"/>
        <v/>
      </c>
    </row>
    <row r="2106" spans="1:7" x14ac:dyDescent="0.4">
      <c r="A2106" t="str">
        <f t="shared" si="160"/>
        <v/>
      </c>
      <c r="B2106" t="str">
        <f t="shared" si="161"/>
        <v/>
      </c>
      <c r="C2106" t="str">
        <f t="shared" si="162"/>
        <v/>
      </c>
      <c r="D2106" t="str">
        <f>IF(E2106="","",IF(COUNTIF($E$2:E2106,E2106)&gt;1,"",SUMIFS(tbl_input[필요수량],tbl_input[집계키_지청],E2106)))</f>
        <v/>
      </c>
      <c r="E2106" t="str">
        <f>IFERROR(INDEX(tbl_input[집계키_지청],ROW()-1),"")</f>
        <v/>
      </c>
      <c r="F2106" t="str">
        <f t="shared" si="163"/>
        <v/>
      </c>
      <c r="G2106" t="str">
        <f t="shared" si="164"/>
        <v/>
      </c>
    </row>
    <row r="2107" spans="1:7" x14ac:dyDescent="0.4">
      <c r="A2107" t="str">
        <f t="shared" si="160"/>
        <v/>
      </c>
      <c r="B2107" t="str">
        <f t="shared" si="161"/>
        <v/>
      </c>
      <c r="C2107" t="str">
        <f t="shared" si="162"/>
        <v/>
      </c>
      <c r="D2107" t="str">
        <f>IF(E2107="","",IF(COUNTIF($E$2:E2107,E2107)&gt;1,"",SUMIFS(tbl_input[필요수량],tbl_input[집계키_지청],E2107)))</f>
        <v/>
      </c>
      <c r="E2107" t="str">
        <f>IFERROR(INDEX(tbl_input[집계키_지청],ROW()-1),"")</f>
        <v/>
      </c>
      <c r="F2107" t="str">
        <f t="shared" si="163"/>
        <v/>
      </c>
      <c r="G2107" t="str">
        <f t="shared" si="164"/>
        <v/>
      </c>
    </row>
    <row r="2108" spans="1:7" x14ac:dyDescent="0.4">
      <c r="A2108" t="str">
        <f t="shared" si="160"/>
        <v/>
      </c>
      <c r="B2108" t="str">
        <f t="shared" si="161"/>
        <v/>
      </c>
      <c r="C2108" t="str">
        <f t="shared" si="162"/>
        <v/>
      </c>
      <c r="D2108" t="str">
        <f>IF(E2108="","",IF(COUNTIF($E$2:E2108,E2108)&gt;1,"",SUMIFS(tbl_input[필요수량],tbl_input[집계키_지청],E2108)))</f>
        <v/>
      </c>
      <c r="E2108" t="str">
        <f>IFERROR(INDEX(tbl_input[집계키_지청],ROW()-1),"")</f>
        <v/>
      </c>
      <c r="F2108" t="str">
        <f t="shared" si="163"/>
        <v/>
      </c>
      <c r="G2108" t="str">
        <f t="shared" si="164"/>
        <v/>
      </c>
    </row>
    <row r="2109" spans="1:7" x14ac:dyDescent="0.4">
      <c r="A2109" t="str">
        <f t="shared" si="160"/>
        <v/>
      </c>
      <c r="B2109" t="str">
        <f t="shared" si="161"/>
        <v/>
      </c>
      <c r="C2109" t="str">
        <f t="shared" si="162"/>
        <v/>
      </c>
      <c r="D2109" t="str">
        <f>IF(E2109="","",IF(COUNTIF($E$2:E2109,E2109)&gt;1,"",SUMIFS(tbl_input[필요수량],tbl_input[집계키_지청],E2109)))</f>
        <v/>
      </c>
      <c r="E2109" t="str">
        <f>IFERROR(INDEX(tbl_input[집계키_지청],ROW()-1),"")</f>
        <v/>
      </c>
      <c r="F2109" t="str">
        <f t="shared" si="163"/>
        <v/>
      </c>
      <c r="G2109" t="str">
        <f t="shared" si="164"/>
        <v/>
      </c>
    </row>
    <row r="2110" spans="1:7" x14ac:dyDescent="0.4">
      <c r="A2110" t="str">
        <f t="shared" si="160"/>
        <v/>
      </c>
      <c r="B2110" t="str">
        <f t="shared" si="161"/>
        <v/>
      </c>
      <c r="C2110" t="str">
        <f t="shared" si="162"/>
        <v/>
      </c>
      <c r="D2110" t="str">
        <f>IF(E2110="","",IF(COUNTIF($E$2:E2110,E2110)&gt;1,"",SUMIFS(tbl_input[필요수량],tbl_input[집계키_지청],E2110)))</f>
        <v/>
      </c>
      <c r="E2110" t="str">
        <f>IFERROR(INDEX(tbl_input[집계키_지청],ROW()-1),"")</f>
        <v/>
      </c>
      <c r="F2110" t="str">
        <f t="shared" si="163"/>
        <v/>
      </c>
      <c r="G2110" t="str">
        <f t="shared" si="164"/>
        <v/>
      </c>
    </row>
    <row r="2111" spans="1:7" x14ac:dyDescent="0.4">
      <c r="A2111" t="str">
        <f t="shared" si="160"/>
        <v/>
      </c>
      <c r="B2111" t="str">
        <f t="shared" si="161"/>
        <v/>
      </c>
      <c r="C2111" t="str">
        <f t="shared" si="162"/>
        <v/>
      </c>
      <c r="D2111" t="str">
        <f>IF(E2111="","",IF(COUNTIF($E$2:E2111,E2111)&gt;1,"",SUMIFS(tbl_input[필요수량],tbl_input[집계키_지청],E2111)))</f>
        <v/>
      </c>
      <c r="E2111" t="str">
        <f>IFERROR(INDEX(tbl_input[집계키_지청],ROW()-1),"")</f>
        <v/>
      </c>
      <c r="F2111" t="str">
        <f t="shared" si="163"/>
        <v/>
      </c>
      <c r="G2111" t="str">
        <f t="shared" si="164"/>
        <v/>
      </c>
    </row>
    <row r="2112" spans="1:7" x14ac:dyDescent="0.4">
      <c r="A2112" t="str">
        <f t="shared" si="160"/>
        <v/>
      </c>
      <c r="B2112" t="str">
        <f t="shared" si="161"/>
        <v/>
      </c>
      <c r="C2112" t="str">
        <f t="shared" si="162"/>
        <v/>
      </c>
      <c r="D2112" t="str">
        <f>IF(E2112="","",IF(COUNTIF($E$2:E2112,E2112)&gt;1,"",SUMIFS(tbl_input[필요수량],tbl_input[집계키_지청],E2112)))</f>
        <v/>
      </c>
      <c r="E2112" t="str">
        <f>IFERROR(INDEX(tbl_input[집계키_지청],ROW()-1),"")</f>
        <v/>
      </c>
      <c r="F2112" t="str">
        <f t="shared" si="163"/>
        <v/>
      </c>
      <c r="G2112" t="str">
        <f t="shared" si="164"/>
        <v/>
      </c>
    </row>
    <row r="2113" spans="1:7" x14ac:dyDescent="0.4">
      <c r="A2113" t="str">
        <f t="shared" si="160"/>
        <v/>
      </c>
      <c r="B2113" t="str">
        <f t="shared" si="161"/>
        <v/>
      </c>
      <c r="C2113" t="str">
        <f t="shared" si="162"/>
        <v/>
      </c>
      <c r="D2113" t="str">
        <f>IF(E2113="","",IF(COUNTIF($E$2:E2113,E2113)&gt;1,"",SUMIFS(tbl_input[필요수량],tbl_input[집계키_지청],E2113)))</f>
        <v/>
      </c>
      <c r="E2113" t="str">
        <f>IFERROR(INDEX(tbl_input[집계키_지청],ROW()-1),"")</f>
        <v/>
      </c>
      <c r="F2113" t="str">
        <f t="shared" si="163"/>
        <v/>
      </c>
      <c r="G2113" t="str">
        <f t="shared" si="164"/>
        <v/>
      </c>
    </row>
    <row r="2114" spans="1:7" x14ac:dyDescent="0.4">
      <c r="A2114" t="str">
        <f t="shared" ref="A2114:A2177" si="165">IF(E2114="","",LEFT(E2114,F2114-1))</f>
        <v/>
      </c>
      <c r="B2114" t="str">
        <f t="shared" ref="B2114:B2177" si="166">IF(E2114="","",MID(E2114,F2114+1,G2114-F2114-1))</f>
        <v/>
      </c>
      <c r="C2114" t="str">
        <f t="shared" ref="C2114:C2177" si="167">IF(E2114="","",MID(E2114,G2114+1,999))</f>
        <v/>
      </c>
      <c r="D2114" t="str">
        <f>IF(E2114="","",IF(COUNTIF($E$2:E2114,E2114)&gt;1,"",SUMIFS(tbl_input[필요수량],tbl_input[집계키_지청],E2114)))</f>
        <v/>
      </c>
      <c r="E2114" t="str">
        <f>IFERROR(INDEX(tbl_input[집계키_지청],ROW()-1),"")</f>
        <v/>
      </c>
      <c r="F2114" t="str">
        <f t="shared" ref="F2114:F2177" si="168">IF(E2114="","",FIND("♦",E2114))</f>
        <v/>
      </c>
      <c r="G2114" t="str">
        <f t="shared" ref="G2114:G2177" si="169">IF(E2114="","",FIND("♦",E2114,F2114+1))</f>
        <v/>
      </c>
    </row>
    <row r="2115" spans="1:7" x14ac:dyDescent="0.4">
      <c r="A2115" t="str">
        <f t="shared" si="165"/>
        <v/>
      </c>
      <c r="B2115" t="str">
        <f t="shared" si="166"/>
        <v/>
      </c>
      <c r="C2115" t="str">
        <f t="shared" si="167"/>
        <v/>
      </c>
      <c r="D2115" t="str">
        <f>IF(E2115="","",IF(COUNTIF($E$2:E2115,E2115)&gt;1,"",SUMIFS(tbl_input[필요수량],tbl_input[집계키_지청],E2115)))</f>
        <v/>
      </c>
      <c r="E2115" t="str">
        <f>IFERROR(INDEX(tbl_input[집계키_지청],ROW()-1),"")</f>
        <v/>
      </c>
      <c r="F2115" t="str">
        <f t="shared" si="168"/>
        <v/>
      </c>
      <c r="G2115" t="str">
        <f t="shared" si="169"/>
        <v/>
      </c>
    </row>
    <row r="2116" spans="1:7" x14ac:dyDescent="0.4">
      <c r="A2116" t="str">
        <f t="shared" si="165"/>
        <v/>
      </c>
      <c r="B2116" t="str">
        <f t="shared" si="166"/>
        <v/>
      </c>
      <c r="C2116" t="str">
        <f t="shared" si="167"/>
        <v/>
      </c>
      <c r="D2116" t="str">
        <f>IF(E2116="","",IF(COUNTIF($E$2:E2116,E2116)&gt;1,"",SUMIFS(tbl_input[필요수량],tbl_input[집계키_지청],E2116)))</f>
        <v/>
      </c>
      <c r="E2116" t="str">
        <f>IFERROR(INDEX(tbl_input[집계키_지청],ROW()-1),"")</f>
        <v/>
      </c>
      <c r="F2116" t="str">
        <f t="shared" si="168"/>
        <v/>
      </c>
      <c r="G2116" t="str">
        <f t="shared" si="169"/>
        <v/>
      </c>
    </row>
    <row r="2117" spans="1:7" x14ac:dyDescent="0.4">
      <c r="A2117" t="str">
        <f t="shared" si="165"/>
        <v/>
      </c>
      <c r="B2117" t="str">
        <f t="shared" si="166"/>
        <v/>
      </c>
      <c r="C2117" t="str">
        <f t="shared" si="167"/>
        <v/>
      </c>
      <c r="D2117" t="str">
        <f>IF(E2117="","",IF(COUNTIF($E$2:E2117,E2117)&gt;1,"",SUMIFS(tbl_input[필요수량],tbl_input[집계키_지청],E2117)))</f>
        <v/>
      </c>
      <c r="E2117" t="str">
        <f>IFERROR(INDEX(tbl_input[집계키_지청],ROW()-1),"")</f>
        <v/>
      </c>
      <c r="F2117" t="str">
        <f t="shared" si="168"/>
        <v/>
      </c>
      <c r="G2117" t="str">
        <f t="shared" si="169"/>
        <v/>
      </c>
    </row>
    <row r="2118" spans="1:7" x14ac:dyDescent="0.4">
      <c r="A2118" t="str">
        <f t="shared" si="165"/>
        <v/>
      </c>
      <c r="B2118" t="str">
        <f t="shared" si="166"/>
        <v/>
      </c>
      <c r="C2118" t="str">
        <f t="shared" si="167"/>
        <v/>
      </c>
      <c r="D2118" t="str">
        <f>IF(E2118="","",IF(COUNTIF($E$2:E2118,E2118)&gt;1,"",SUMIFS(tbl_input[필요수량],tbl_input[집계키_지청],E2118)))</f>
        <v/>
      </c>
      <c r="E2118" t="str">
        <f>IFERROR(INDEX(tbl_input[집계키_지청],ROW()-1),"")</f>
        <v/>
      </c>
      <c r="F2118" t="str">
        <f t="shared" si="168"/>
        <v/>
      </c>
      <c r="G2118" t="str">
        <f t="shared" si="169"/>
        <v/>
      </c>
    </row>
    <row r="2119" spans="1:7" x14ac:dyDescent="0.4">
      <c r="A2119" t="str">
        <f t="shared" si="165"/>
        <v/>
      </c>
      <c r="B2119" t="str">
        <f t="shared" si="166"/>
        <v/>
      </c>
      <c r="C2119" t="str">
        <f t="shared" si="167"/>
        <v/>
      </c>
      <c r="D2119" t="str">
        <f>IF(E2119="","",IF(COUNTIF($E$2:E2119,E2119)&gt;1,"",SUMIFS(tbl_input[필요수량],tbl_input[집계키_지청],E2119)))</f>
        <v/>
      </c>
      <c r="E2119" t="str">
        <f>IFERROR(INDEX(tbl_input[집계키_지청],ROW()-1),"")</f>
        <v/>
      </c>
      <c r="F2119" t="str">
        <f t="shared" si="168"/>
        <v/>
      </c>
      <c r="G2119" t="str">
        <f t="shared" si="169"/>
        <v/>
      </c>
    </row>
    <row r="2120" spans="1:7" x14ac:dyDescent="0.4">
      <c r="A2120" t="str">
        <f t="shared" si="165"/>
        <v/>
      </c>
      <c r="B2120" t="str">
        <f t="shared" si="166"/>
        <v/>
      </c>
      <c r="C2120" t="str">
        <f t="shared" si="167"/>
        <v/>
      </c>
      <c r="D2120" t="str">
        <f>IF(E2120="","",IF(COUNTIF($E$2:E2120,E2120)&gt;1,"",SUMIFS(tbl_input[필요수량],tbl_input[집계키_지청],E2120)))</f>
        <v/>
      </c>
      <c r="E2120" t="str">
        <f>IFERROR(INDEX(tbl_input[집계키_지청],ROW()-1),"")</f>
        <v/>
      </c>
      <c r="F2120" t="str">
        <f t="shared" si="168"/>
        <v/>
      </c>
      <c r="G2120" t="str">
        <f t="shared" si="169"/>
        <v/>
      </c>
    </row>
    <row r="2121" spans="1:7" x14ac:dyDescent="0.4">
      <c r="A2121" t="str">
        <f t="shared" si="165"/>
        <v/>
      </c>
      <c r="B2121" t="str">
        <f t="shared" si="166"/>
        <v/>
      </c>
      <c r="C2121" t="str">
        <f t="shared" si="167"/>
        <v/>
      </c>
      <c r="D2121" t="str">
        <f>IF(E2121="","",IF(COUNTIF($E$2:E2121,E2121)&gt;1,"",SUMIFS(tbl_input[필요수량],tbl_input[집계키_지청],E2121)))</f>
        <v/>
      </c>
      <c r="E2121" t="str">
        <f>IFERROR(INDEX(tbl_input[집계키_지청],ROW()-1),"")</f>
        <v/>
      </c>
      <c r="F2121" t="str">
        <f t="shared" si="168"/>
        <v/>
      </c>
      <c r="G2121" t="str">
        <f t="shared" si="169"/>
        <v/>
      </c>
    </row>
    <row r="2122" spans="1:7" x14ac:dyDescent="0.4">
      <c r="A2122" t="str">
        <f t="shared" si="165"/>
        <v/>
      </c>
      <c r="B2122" t="str">
        <f t="shared" si="166"/>
        <v/>
      </c>
      <c r="C2122" t="str">
        <f t="shared" si="167"/>
        <v/>
      </c>
      <c r="D2122" t="str">
        <f>IF(E2122="","",IF(COUNTIF($E$2:E2122,E2122)&gt;1,"",SUMIFS(tbl_input[필요수량],tbl_input[집계키_지청],E2122)))</f>
        <v/>
      </c>
      <c r="E2122" t="str">
        <f>IFERROR(INDEX(tbl_input[집계키_지청],ROW()-1),"")</f>
        <v/>
      </c>
      <c r="F2122" t="str">
        <f t="shared" si="168"/>
        <v/>
      </c>
      <c r="G2122" t="str">
        <f t="shared" si="169"/>
        <v/>
      </c>
    </row>
    <row r="2123" spans="1:7" x14ac:dyDescent="0.4">
      <c r="A2123" t="str">
        <f t="shared" si="165"/>
        <v/>
      </c>
      <c r="B2123" t="str">
        <f t="shared" si="166"/>
        <v/>
      </c>
      <c r="C2123" t="str">
        <f t="shared" si="167"/>
        <v/>
      </c>
      <c r="D2123" t="str">
        <f>IF(E2123="","",IF(COUNTIF($E$2:E2123,E2123)&gt;1,"",SUMIFS(tbl_input[필요수량],tbl_input[집계키_지청],E2123)))</f>
        <v/>
      </c>
      <c r="E2123" t="str">
        <f>IFERROR(INDEX(tbl_input[집계키_지청],ROW()-1),"")</f>
        <v/>
      </c>
      <c r="F2123" t="str">
        <f t="shared" si="168"/>
        <v/>
      </c>
      <c r="G2123" t="str">
        <f t="shared" si="169"/>
        <v/>
      </c>
    </row>
    <row r="2124" spans="1:7" x14ac:dyDescent="0.4">
      <c r="A2124" t="str">
        <f t="shared" si="165"/>
        <v/>
      </c>
      <c r="B2124" t="str">
        <f t="shared" si="166"/>
        <v/>
      </c>
      <c r="C2124" t="str">
        <f t="shared" si="167"/>
        <v/>
      </c>
      <c r="D2124" t="str">
        <f>IF(E2124="","",IF(COUNTIF($E$2:E2124,E2124)&gt;1,"",SUMIFS(tbl_input[필요수량],tbl_input[집계키_지청],E2124)))</f>
        <v/>
      </c>
      <c r="E2124" t="str">
        <f>IFERROR(INDEX(tbl_input[집계키_지청],ROW()-1),"")</f>
        <v/>
      </c>
      <c r="F2124" t="str">
        <f t="shared" si="168"/>
        <v/>
      </c>
      <c r="G2124" t="str">
        <f t="shared" si="169"/>
        <v/>
      </c>
    </row>
    <row r="2125" spans="1:7" x14ac:dyDescent="0.4">
      <c r="A2125" t="str">
        <f t="shared" si="165"/>
        <v/>
      </c>
      <c r="B2125" t="str">
        <f t="shared" si="166"/>
        <v/>
      </c>
      <c r="C2125" t="str">
        <f t="shared" si="167"/>
        <v/>
      </c>
      <c r="D2125" t="str">
        <f>IF(E2125="","",IF(COUNTIF($E$2:E2125,E2125)&gt;1,"",SUMIFS(tbl_input[필요수량],tbl_input[집계키_지청],E2125)))</f>
        <v/>
      </c>
      <c r="E2125" t="str">
        <f>IFERROR(INDEX(tbl_input[집계키_지청],ROW()-1),"")</f>
        <v/>
      </c>
      <c r="F2125" t="str">
        <f t="shared" si="168"/>
        <v/>
      </c>
      <c r="G2125" t="str">
        <f t="shared" si="169"/>
        <v/>
      </c>
    </row>
    <row r="2126" spans="1:7" x14ac:dyDescent="0.4">
      <c r="A2126" t="str">
        <f t="shared" si="165"/>
        <v/>
      </c>
      <c r="B2126" t="str">
        <f t="shared" si="166"/>
        <v/>
      </c>
      <c r="C2126" t="str">
        <f t="shared" si="167"/>
        <v/>
      </c>
      <c r="D2126" t="str">
        <f>IF(E2126="","",IF(COUNTIF($E$2:E2126,E2126)&gt;1,"",SUMIFS(tbl_input[필요수량],tbl_input[집계키_지청],E2126)))</f>
        <v/>
      </c>
      <c r="E2126" t="str">
        <f>IFERROR(INDEX(tbl_input[집계키_지청],ROW()-1),"")</f>
        <v/>
      </c>
      <c r="F2126" t="str">
        <f t="shared" si="168"/>
        <v/>
      </c>
      <c r="G2126" t="str">
        <f t="shared" si="169"/>
        <v/>
      </c>
    </row>
    <row r="2127" spans="1:7" x14ac:dyDescent="0.4">
      <c r="A2127" t="str">
        <f t="shared" si="165"/>
        <v/>
      </c>
      <c r="B2127" t="str">
        <f t="shared" si="166"/>
        <v/>
      </c>
      <c r="C2127" t="str">
        <f t="shared" si="167"/>
        <v/>
      </c>
      <c r="D2127" t="str">
        <f>IF(E2127="","",IF(COUNTIF($E$2:E2127,E2127)&gt;1,"",SUMIFS(tbl_input[필요수량],tbl_input[집계키_지청],E2127)))</f>
        <v/>
      </c>
      <c r="E2127" t="str">
        <f>IFERROR(INDEX(tbl_input[집계키_지청],ROW()-1),"")</f>
        <v/>
      </c>
      <c r="F2127" t="str">
        <f t="shared" si="168"/>
        <v/>
      </c>
      <c r="G2127" t="str">
        <f t="shared" si="169"/>
        <v/>
      </c>
    </row>
    <row r="2128" spans="1:7" x14ac:dyDescent="0.4">
      <c r="A2128" t="str">
        <f t="shared" si="165"/>
        <v/>
      </c>
      <c r="B2128" t="str">
        <f t="shared" si="166"/>
        <v/>
      </c>
      <c r="C2128" t="str">
        <f t="shared" si="167"/>
        <v/>
      </c>
      <c r="D2128" t="str">
        <f>IF(E2128="","",IF(COUNTIF($E$2:E2128,E2128)&gt;1,"",SUMIFS(tbl_input[필요수량],tbl_input[집계키_지청],E2128)))</f>
        <v/>
      </c>
      <c r="E2128" t="str">
        <f>IFERROR(INDEX(tbl_input[집계키_지청],ROW()-1),"")</f>
        <v/>
      </c>
      <c r="F2128" t="str">
        <f t="shared" si="168"/>
        <v/>
      </c>
      <c r="G2128" t="str">
        <f t="shared" si="169"/>
        <v/>
      </c>
    </row>
    <row r="2129" spans="1:7" x14ac:dyDescent="0.4">
      <c r="A2129" t="str">
        <f t="shared" si="165"/>
        <v/>
      </c>
      <c r="B2129" t="str">
        <f t="shared" si="166"/>
        <v/>
      </c>
      <c r="C2129" t="str">
        <f t="shared" si="167"/>
        <v/>
      </c>
      <c r="D2129" t="str">
        <f>IF(E2129="","",IF(COUNTIF($E$2:E2129,E2129)&gt;1,"",SUMIFS(tbl_input[필요수량],tbl_input[집계키_지청],E2129)))</f>
        <v/>
      </c>
      <c r="E2129" t="str">
        <f>IFERROR(INDEX(tbl_input[집계키_지청],ROW()-1),"")</f>
        <v/>
      </c>
      <c r="F2129" t="str">
        <f t="shared" si="168"/>
        <v/>
      </c>
      <c r="G2129" t="str">
        <f t="shared" si="169"/>
        <v/>
      </c>
    </row>
    <row r="2130" spans="1:7" x14ac:dyDescent="0.4">
      <c r="A2130" t="str">
        <f t="shared" si="165"/>
        <v/>
      </c>
      <c r="B2130" t="str">
        <f t="shared" si="166"/>
        <v/>
      </c>
      <c r="C2130" t="str">
        <f t="shared" si="167"/>
        <v/>
      </c>
      <c r="D2130" t="str">
        <f>IF(E2130="","",IF(COUNTIF($E$2:E2130,E2130)&gt;1,"",SUMIFS(tbl_input[필요수량],tbl_input[집계키_지청],E2130)))</f>
        <v/>
      </c>
      <c r="E2130" t="str">
        <f>IFERROR(INDEX(tbl_input[집계키_지청],ROW()-1),"")</f>
        <v/>
      </c>
      <c r="F2130" t="str">
        <f t="shared" si="168"/>
        <v/>
      </c>
      <c r="G2130" t="str">
        <f t="shared" si="169"/>
        <v/>
      </c>
    </row>
    <row r="2131" spans="1:7" x14ac:dyDescent="0.4">
      <c r="A2131" t="str">
        <f t="shared" si="165"/>
        <v/>
      </c>
      <c r="B2131" t="str">
        <f t="shared" si="166"/>
        <v/>
      </c>
      <c r="C2131" t="str">
        <f t="shared" si="167"/>
        <v/>
      </c>
      <c r="D2131" t="str">
        <f>IF(E2131="","",IF(COUNTIF($E$2:E2131,E2131)&gt;1,"",SUMIFS(tbl_input[필요수량],tbl_input[집계키_지청],E2131)))</f>
        <v/>
      </c>
      <c r="E2131" t="str">
        <f>IFERROR(INDEX(tbl_input[집계키_지청],ROW()-1),"")</f>
        <v/>
      </c>
      <c r="F2131" t="str">
        <f t="shared" si="168"/>
        <v/>
      </c>
      <c r="G2131" t="str">
        <f t="shared" si="169"/>
        <v/>
      </c>
    </row>
    <row r="2132" spans="1:7" x14ac:dyDescent="0.4">
      <c r="A2132" t="str">
        <f t="shared" si="165"/>
        <v/>
      </c>
      <c r="B2132" t="str">
        <f t="shared" si="166"/>
        <v/>
      </c>
      <c r="C2132" t="str">
        <f t="shared" si="167"/>
        <v/>
      </c>
      <c r="D2132" t="str">
        <f>IF(E2132="","",IF(COUNTIF($E$2:E2132,E2132)&gt;1,"",SUMIFS(tbl_input[필요수량],tbl_input[집계키_지청],E2132)))</f>
        <v/>
      </c>
      <c r="E2132" t="str">
        <f>IFERROR(INDEX(tbl_input[집계키_지청],ROW()-1),"")</f>
        <v/>
      </c>
      <c r="F2132" t="str">
        <f t="shared" si="168"/>
        <v/>
      </c>
      <c r="G2132" t="str">
        <f t="shared" si="169"/>
        <v/>
      </c>
    </row>
    <row r="2133" spans="1:7" x14ac:dyDescent="0.4">
      <c r="A2133" t="str">
        <f t="shared" si="165"/>
        <v/>
      </c>
      <c r="B2133" t="str">
        <f t="shared" si="166"/>
        <v/>
      </c>
      <c r="C2133" t="str">
        <f t="shared" si="167"/>
        <v/>
      </c>
      <c r="D2133" t="str">
        <f>IF(E2133="","",IF(COUNTIF($E$2:E2133,E2133)&gt;1,"",SUMIFS(tbl_input[필요수량],tbl_input[집계키_지청],E2133)))</f>
        <v/>
      </c>
      <c r="E2133" t="str">
        <f>IFERROR(INDEX(tbl_input[집계키_지청],ROW()-1),"")</f>
        <v/>
      </c>
      <c r="F2133" t="str">
        <f t="shared" si="168"/>
        <v/>
      </c>
      <c r="G2133" t="str">
        <f t="shared" si="169"/>
        <v/>
      </c>
    </row>
    <row r="2134" spans="1:7" x14ac:dyDescent="0.4">
      <c r="A2134" t="str">
        <f t="shared" si="165"/>
        <v/>
      </c>
      <c r="B2134" t="str">
        <f t="shared" si="166"/>
        <v/>
      </c>
      <c r="C2134" t="str">
        <f t="shared" si="167"/>
        <v/>
      </c>
      <c r="D2134" t="str">
        <f>IF(E2134="","",IF(COUNTIF($E$2:E2134,E2134)&gt;1,"",SUMIFS(tbl_input[필요수량],tbl_input[집계키_지청],E2134)))</f>
        <v/>
      </c>
      <c r="E2134" t="str">
        <f>IFERROR(INDEX(tbl_input[집계키_지청],ROW()-1),"")</f>
        <v/>
      </c>
      <c r="F2134" t="str">
        <f t="shared" si="168"/>
        <v/>
      </c>
      <c r="G2134" t="str">
        <f t="shared" si="169"/>
        <v/>
      </c>
    </row>
    <row r="2135" spans="1:7" x14ac:dyDescent="0.4">
      <c r="A2135" t="str">
        <f t="shared" si="165"/>
        <v/>
      </c>
      <c r="B2135" t="str">
        <f t="shared" si="166"/>
        <v/>
      </c>
      <c r="C2135" t="str">
        <f t="shared" si="167"/>
        <v/>
      </c>
      <c r="D2135" t="str">
        <f>IF(E2135="","",IF(COUNTIF($E$2:E2135,E2135)&gt;1,"",SUMIFS(tbl_input[필요수량],tbl_input[집계키_지청],E2135)))</f>
        <v/>
      </c>
      <c r="E2135" t="str">
        <f>IFERROR(INDEX(tbl_input[집계키_지청],ROW()-1),"")</f>
        <v/>
      </c>
      <c r="F2135" t="str">
        <f t="shared" si="168"/>
        <v/>
      </c>
      <c r="G2135" t="str">
        <f t="shared" si="169"/>
        <v/>
      </c>
    </row>
    <row r="2136" spans="1:7" x14ac:dyDescent="0.4">
      <c r="A2136" t="str">
        <f t="shared" si="165"/>
        <v/>
      </c>
      <c r="B2136" t="str">
        <f t="shared" si="166"/>
        <v/>
      </c>
      <c r="C2136" t="str">
        <f t="shared" si="167"/>
        <v/>
      </c>
      <c r="D2136" t="str">
        <f>IF(E2136="","",IF(COUNTIF($E$2:E2136,E2136)&gt;1,"",SUMIFS(tbl_input[필요수량],tbl_input[집계키_지청],E2136)))</f>
        <v/>
      </c>
      <c r="E2136" t="str">
        <f>IFERROR(INDEX(tbl_input[집계키_지청],ROW()-1),"")</f>
        <v/>
      </c>
      <c r="F2136" t="str">
        <f t="shared" si="168"/>
        <v/>
      </c>
      <c r="G2136" t="str">
        <f t="shared" si="169"/>
        <v/>
      </c>
    </row>
    <row r="2137" spans="1:7" x14ac:dyDescent="0.4">
      <c r="A2137" t="str">
        <f t="shared" si="165"/>
        <v/>
      </c>
      <c r="B2137" t="str">
        <f t="shared" si="166"/>
        <v/>
      </c>
      <c r="C2137" t="str">
        <f t="shared" si="167"/>
        <v/>
      </c>
      <c r="D2137" t="str">
        <f>IF(E2137="","",IF(COUNTIF($E$2:E2137,E2137)&gt;1,"",SUMIFS(tbl_input[필요수량],tbl_input[집계키_지청],E2137)))</f>
        <v/>
      </c>
      <c r="E2137" t="str">
        <f>IFERROR(INDEX(tbl_input[집계키_지청],ROW()-1),"")</f>
        <v/>
      </c>
      <c r="F2137" t="str">
        <f t="shared" si="168"/>
        <v/>
      </c>
      <c r="G2137" t="str">
        <f t="shared" si="169"/>
        <v/>
      </c>
    </row>
    <row r="2138" spans="1:7" x14ac:dyDescent="0.4">
      <c r="A2138" t="str">
        <f t="shared" si="165"/>
        <v/>
      </c>
      <c r="B2138" t="str">
        <f t="shared" si="166"/>
        <v/>
      </c>
      <c r="C2138" t="str">
        <f t="shared" si="167"/>
        <v/>
      </c>
      <c r="D2138" t="str">
        <f>IF(E2138="","",IF(COUNTIF($E$2:E2138,E2138)&gt;1,"",SUMIFS(tbl_input[필요수량],tbl_input[집계키_지청],E2138)))</f>
        <v/>
      </c>
      <c r="E2138" t="str">
        <f>IFERROR(INDEX(tbl_input[집계키_지청],ROW()-1),"")</f>
        <v/>
      </c>
      <c r="F2138" t="str">
        <f t="shared" si="168"/>
        <v/>
      </c>
      <c r="G2138" t="str">
        <f t="shared" si="169"/>
        <v/>
      </c>
    </row>
    <row r="2139" spans="1:7" x14ac:dyDescent="0.4">
      <c r="A2139" t="str">
        <f t="shared" si="165"/>
        <v/>
      </c>
      <c r="B2139" t="str">
        <f t="shared" si="166"/>
        <v/>
      </c>
      <c r="C2139" t="str">
        <f t="shared" si="167"/>
        <v/>
      </c>
      <c r="D2139" t="str">
        <f>IF(E2139="","",IF(COUNTIF($E$2:E2139,E2139)&gt;1,"",SUMIFS(tbl_input[필요수량],tbl_input[집계키_지청],E2139)))</f>
        <v/>
      </c>
      <c r="E2139" t="str">
        <f>IFERROR(INDEX(tbl_input[집계키_지청],ROW()-1),"")</f>
        <v/>
      </c>
      <c r="F2139" t="str">
        <f t="shared" si="168"/>
        <v/>
      </c>
      <c r="G2139" t="str">
        <f t="shared" si="169"/>
        <v/>
      </c>
    </row>
    <row r="2140" spans="1:7" x14ac:dyDescent="0.4">
      <c r="A2140" t="str">
        <f t="shared" si="165"/>
        <v/>
      </c>
      <c r="B2140" t="str">
        <f t="shared" si="166"/>
        <v/>
      </c>
      <c r="C2140" t="str">
        <f t="shared" si="167"/>
        <v/>
      </c>
      <c r="D2140" t="str">
        <f>IF(E2140="","",IF(COUNTIF($E$2:E2140,E2140)&gt;1,"",SUMIFS(tbl_input[필요수량],tbl_input[집계키_지청],E2140)))</f>
        <v/>
      </c>
      <c r="E2140" t="str">
        <f>IFERROR(INDEX(tbl_input[집계키_지청],ROW()-1),"")</f>
        <v/>
      </c>
      <c r="F2140" t="str">
        <f t="shared" si="168"/>
        <v/>
      </c>
      <c r="G2140" t="str">
        <f t="shared" si="169"/>
        <v/>
      </c>
    </row>
    <row r="2141" spans="1:7" x14ac:dyDescent="0.4">
      <c r="A2141" t="str">
        <f t="shared" si="165"/>
        <v/>
      </c>
      <c r="B2141" t="str">
        <f t="shared" si="166"/>
        <v/>
      </c>
      <c r="C2141" t="str">
        <f t="shared" si="167"/>
        <v/>
      </c>
      <c r="D2141" t="str">
        <f>IF(E2141="","",IF(COUNTIF($E$2:E2141,E2141)&gt;1,"",SUMIFS(tbl_input[필요수량],tbl_input[집계키_지청],E2141)))</f>
        <v/>
      </c>
      <c r="E2141" t="str">
        <f>IFERROR(INDEX(tbl_input[집계키_지청],ROW()-1),"")</f>
        <v/>
      </c>
      <c r="F2141" t="str">
        <f t="shared" si="168"/>
        <v/>
      </c>
      <c r="G2141" t="str">
        <f t="shared" si="169"/>
        <v/>
      </c>
    </row>
    <row r="2142" spans="1:7" x14ac:dyDescent="0.4">
      <c r="A2142" t="str">
        <f t="shared" si="165"/>
        <v/>
      </c>
      <c r="B2142" t="str">
        <f t="shared" si="166"/>
        <v/>
      </c>
      <c r="C2142" t="str">
        <f t="shared" si="167"/>
        <v/>
      </c>
      <c r="D2142" t="str">
        <f>IF(E2142="","",IF(COUNTIF($E$2:E2142,E2142)&gt;1,"",SUMIFS(tbl_input[필요수량],tbl_input[집계키_지청],E2142)))</f>
        <v/>
      </c>
      <c r="E2142" t="str">
        <f>IFERROR(INDEX(tbl_input[집계키_지청],ROW()-1),"")</f>
        <v/>
      </c>
      <c r="F2142" t="str">
        <f t="shared" si="168"/>
        <v/>
      </c>
      <c r="G2142" t="str">
        <f t="shared" si="169"/>
        <v/>
      </c>
    </row>
    <row r="2143" spans="1:7" x14ac:dyDescent="0.4">
      <c r="A2143" t="str">
        <f t="shared" si="165"/>
        <v/>
      </c>
      <c r="B2143" t="str">
        <f t="shared" si="166"/>
        <v/>
      </c>
      <c r="C2143" t="str">
        <f t="shared" si="167"/>
        <v/>
      </c>
      <c r="D2143" t="str">
        <f>IF(E2143="","",IF(COUNTIF($E$2:E2143,E2143)&gt;1,"",SUMIFS(tbl_input[필요수량],tbl_input[집계키_지청],E2143)))</f>
        <v/>
      </c>
      <c r="E2143" t="str">
        <f>IFERROR(INDEX(tbl_input[집계키_지청],ROW()-1),"")</f>
        <v/>
      </c>
      <c r="F2143" t="str">
        <f t="shared" si="168"/>
        <v/>
      </c>
      <c r="G2143" t="str">
        <f t="shared" si="169"/>
        <v/>
      </c>
    </row>
    <row r="2144" spans="1:7" x14ac:dyDescent="0.4">
      <c r="A2144" t="str">
        <f t="shared" si="165"/>
        <v/>
      </c>
      <c r="B2144" t="str">
        <f t="shared" si="166"/>
        <v/>
      </c>
      <c r="C2144" t="str">
        <f t="shared" si="167"/>
        <v/>
      </c>
      <c r="D2144" t="str">
        <f>IF(E2144="","",IF(COUNTIF($E$2:E2144,E2144)&gt;1,"",SUMIFS(tbl_input[필요수량],tbl_input[집계키_지청],E2144)))</f>
        <v/>
      </c>
      <c r="E2144" t="str">
        <f>IFERROR(INDEX(tbl_input[집계키_지청],ROW()-1),"")</f>
        <v/>
      </c>
      <c r="F2144" t="str">
        <f t="shared" si="168"/>
        <v/>
      </c>
      <c r="G2144" t="str">
        <f t="shared" si="169"/>
        <v/>
      </c>
    </row>
    <row r="2145" spans="1:7" x14ac:dyDescent="0.4">
      <c r="A2145" t="str">
        <f t="shared" si="165"/>
        <v/>
      </c>
      <c r="B2145" t="str">
        <f t="shared" si="166"/>
        <v/>
      </c>
      <c r="C2145" t="str">
        <f t="shared" si="167"/>
        <v/>
      </c>
      <c r="D2145" t="str">
        <f>IF(E2145="","",IF(COUNTIF($E$2:E2145,E2145)&gt;1,"",SUMIFS(tbl_input[필요수량],tbl_input[집계키_지청],E2145)))</f>
        <v/>
      </c>
      <c r="E2145" t="str">
        <f>IFERROR(INDEX(tbl_input[집계키_지청],ROW()-1),"")</f>
        <v/>
      </c>
      <c r="F2145" t="str">
        <f t="shared" si="168"/>
        <v/>
      </c>
      <c r="G2145" t="str">
        <f t="shared" si="169"/>
        <v/>
      </c>
    </row>
    <row r="2146" spans="1:7" x14ac:dyDescent="0.4">
      <c r="A2146" t="str">
        <f t="shared" si="165"/>
        <v/>
      </c>
      <c r="B2146" t="str">
        <f t="shared" si="166"/>
        <v/>
      </c>
      <c r="C2146" t="str">
        <f t="shared" si="167"/>
        <v/>
      </c>
      <c r="D2146" t="str">
        <f>IF(E2146="","",IF(COUNTIF($E$2:E2146,E2146)&gt;1,"",SUMIFS(tbl_input[필요수량],tbl_input[집계키_지청],E2146)))</f>
        <v/>
      </c>
      <c r="E2146" t="str">
        <f>IFERROR(INDEX(tbl_input[집계키_지청],ROW()-1),"")</f>
        <v/>
      </c>
      <c r="F2146" t="str">
        <f t="shared" si="168"/>
        <v/>
      </c>
      <c r="G2146" t="str">
        <f t="shared" si="169"/>
        <v/>
      </c>
    </row>
    <row r="2147" spans="1:7" x14ac:dyDescent="0.4">
      <c r="A2147" t="str">
        <f t="shared" si="165"/>
        <v/>
      </c>
      <c r="B2147" t="str">
        <f t="shared" si="166"/>
        <v/>
      </c>
      <c r="C2147" t="str">
        <f t="shared" si="167"/>
        <v/>
      </c>
      <c r="D2147" t="str">
        <f>IF(E2147="","",IF(COUNTIF($E$2:E2147,E2147)&gt;1,"",SUMIFS(tbl_input[필요수량],tbl_input[집계키_지청],E2147)))</f>
        <v/>
      </c>
      <c r="E2147" t="str">
        <f>IFERROR(INDEX(tbl_input[집계키_지청],ROW()-1),"")</f>
        <v/>
      </c>
      <c r="F2147" t="str">
        <f t="shared" si="168"/>
        <v/>
      </c>
      <c r="G2147" t="str">
        <f t="shared" si="169"/>
        <v/>
      </c>
    </row>
    <row r="2148" spans="1:7" x14ac:dyDescent="0.4">
      <c r="A2148" t="str">
        <f t="shared" si="165"/>
        <v/>
      </c>
      <c r="B2148" t="str">
        <f t="shared" si="166"/>
        <v/>
      </c>
      <c r="C2148" t="str">
        <f t="shared" si="167"/>
        <v/>
      </c>
      <c r="D2148" t="str">
        <f>IF(E2148="","",IF(COUNTIF($E$2:E2148,E2148)&gt;1,"",SUMIFS(tbl_input[필요수량],tbl_input[집계키_지청],E2148)))</f>
        <v/>
      </c>
      <c r="E2148" t="str">
        <f>IFERROR(INDEX(tbl_input[집계키_지청],ROW()-1),"")</f>
        <v/>
      </c>
      <c r="F2148" t="str">
        <f t="shared" si="168"/>
        <v/>
      </c>
      <c r="G2148" t="str">
        <f t="shared" si="169"/>
        <v/>
      </c>
    </row>
    <row r="2149" spans="1:7" x14ac:dyDescent="0.4">
      <c r="A2149" t="str">
        <f t="shared" si="165"/>
        <v/>
      </c>
      <c r="B2149" t="str">
        <f t="shared" si="166"/>
        <v/>
      </c>
      <c r="C2149" t="str">
        <f t="shared" si="167"/>
        <v/>
      </c>
      <c r="D2149" t="str">
        <f>IF(E2149="","",IF(COUNTIF($E$2:E2149,E2149)&gt;1,"",SUMIFS(tbl_input[필요수량],tbl_input[집계키_지청],E2149)))</f>
        <v/>
      </c>
      <c r="E2149" t="str">
        <f>IFERROR(INDEX(tbl_input[집계키_지청],ROW()-1),"")</f>
        <v/>
      </c>
      <c r="F2149" t="str">
        <f t="shared" si="168"/>
        <v/>
      </c>
      <c r="G2149" t="str">
        <f t="shared" si="169"/>
        <v/>
      </c>
    </row>
    <row r="2150" spans="1:7" x14ac:dyDescent="0.4">
      <c r="A2150" t="str">
        <f t="shared" si="165"/>
        <v/>
      </c>
      <c r="B2150" t="str">
        <f t="shared" si="166"/>
        <v/>
      </c>
      <c r="C2150" t="str">
        <f t="shared" si="167"/>
        <v/>
      </c>
      <c r="D2150" t="str">
        <f>IF(E2150="","",IF(COUNTIF($E$2:E2150,E2150)&gt;1,"",SUMIFS(tbl_input[필요수량],tbl_input[집계키_지청],E2150)))</f>
        <v/>
      </c>
      <c r="E2150" t="str">
        <f>IFERROR(INDEX(tbl_input[집계키_지청],ROW()-1),"")</f>
        <v/>
      </c>
      <c r="F2150" t="str">
        <f t="shared" si="168"/>
        <v/>
      </c>
      <c r="G2150" t="str">
        <f t="shared" si="169"/>
        <v/>
      </c>
    </row>
    <row r="2151" spans="1:7" x14ac:dyDescent="0.4">
      <c r="A2151" t="str">
        <f t="shared" si="165"/>
        <v/>
      </c>
      <c r="B2151" t="str">
        <f t="shared" si="166"/>
        <v/>
      </c>
      <c r="C2151" t="str">
        <f t="shared" si="167"/>
        <v/>
      </c>
      <c r="D2151" t="str">
        <f>IF(E2151="","",IF(COUNTIF($E$2:E2151,E2151)&gt;1,"",SUMIFS(tbl_input[필요수량],tbl_input[집계키_지청],E2151)))</f>
        <v/>
      </c>
      <c r="E2151" t="str">
        <f>IFERROR(INDEX(tbl_input[집계키_지청],ROW()-1),"")</f>
        <v/>
      </c>
      <c r="F2151" t="str">
        <f t="shared" si="168"/>
        <v/>
      </c>
      <c r="G2151" t="str">
        <f t="shared" si="169"/>
        <v/>
      </c>
    </row>
    <row r="2152" spans="1:7" x14ac:dyDescent="0.4">
      <c r="A2152" t="str">
        <f t="shared" si="165"/>
        <v/>
      </c>
      <c r="B2152" t="str">
        <f t="shared" si="166"/>
        <v/>
      </c>
      <c r="C2152" t="str">
        <f t="shared" si="167"/>
        <v/>
      </c>
      <c r="D2152" t="str">
        <f>IF(E2152="","",IF(COUNTIF($E$2:E2152,E2152)&gt;1,"",SUMIFS(tbl_input[필요수량],tbl_input[집계키_지청],E2152)))</f>
        <v/>
      </c>
      <c r="E2152" t="str">
        <f>IFERROR(INDEX(tbl_input[집계키_지청],ROW()-1),"")</f>
        <v/>
      </c>
      <c r="F2152" t="str">
        <f t="shared" si="168"/>
        <v/>
      </c>
      <c r="G2152" t="str">
        <f t="shared" si="169"/>
        <v/>
      </c>
    </row>
    <row r="2153" spans="1:7" x14ac:dyDescent="0.4">
      <c r="A2153" t="str">
        <f t="shared" si="165"/>
        <v/>
      </c>
      <c r="B2153" t="str">
        <f t="shared" si="166"/>
        <v/>
      </c>
      <c r="C2153" t="str">
        <f t="shared" si="167"/>
        <v/>
      </c>
      <c r="D2153" t="str">
        <f>IF(E2153="","",IF(COUNTIF($E$2:E2153,E2153)&gt;1,"",SUMIFS(tbl_input[필요수량],tbl_input[집계키_지청],E2153)))</f>
        <v/>
      </c>
      <c r="E2153" t="str">
        <f>IFERROR(INDEX(tbl_input[집계키_지청],ROW()-1),"")</f>
        <v/>
      </c>
      <c r="F2153" t="str">
        <f t="shared" si="168"/>
        <v/>
      </c>
      <c r="G2153" t="str">
        <f t="shared" si="169"/>
        <v/>
      </c>
    </row>
    <row r="2154" spans="1:7" x14ac:dyDescent="0.4">
      <c r="A2154" t="str">
        <f t="shared" si="165"/>
        <v/>
      </c>
      <c r="B2154" t="str">
        <f t="shared" si="166"/>
        <v/>
      </c>
      <c r="C2154" t="str">
        <f t="shared" si="167"/>
        <v/>
      </c>
      <c r="D2154" t="str">
        <f>IF(E2154="","",IF(COUNTIF($E$2:E2154,E2154)&gt;1,"",SUMIFS(tbl_input[필요수량],tbl_input[집계키_지청],E2154)))</f>
        <v/>
      </c>
      <c r="E2154" t="str">
        <f>IFERROR(INDEX(tbl_input[집계키_지청],ROW()-1),"")</f>
        <v/>
      </c>
      <c r="F2154" t="str">
        <f t="shared" si="168"/>
        <v/>
      </c>
      <c r="G2154" t="str">
        <f t="shared" si="169"/>
        <v/>
      </c>
    </row>
    <row r="2155" spans="1:7" x14ac:dyDescent="0.4">
      <c r="A2155" t="str">
        <f t="shared" si="165"/>
        <v/>
      </c>
      <c r="B2155" t="str">
        <f t="shared" si="166"/>
        <v/>
      </c>
      <c r="C2155" t="str">
        <f t="shared" si="167"/>
        <v/>
      </c>
      <c r="D2155" t="str">
        <f>IF(E2155="","",IF(COUNTIF($E$2:E2155,E2155)&gt;1,"",SUMIFS(tbl_input[필요수량],tbl_input[집계키_지청],E2155)))</f>
        <v/>
      </c>
      <c r="E2155" t="str">
        <f>IFERROR(INDEX(tbl_input[집계키_지청],ROW()-1),"")</f>
        <v/>
      </c>
      <c r="F2155" t="str">
        <f t="shared" si="168"/>
        <v/>
      </c>
      <c r="G2155" t="str">
        <f t="shared" si="169"/>
        <v/>
      </c>
    </row>
    <row r="2156" spans="1:7" x14ac:dyDescent="0.4">
      <c r="A2156" t="str">
        <f t="shared" si="165"/>
        <v/>
      </c>
      <c r="B2156" t="str">
        <f t="shared" si="166"/>
        <v/>
      </c>
      <c r="C2156" t="str">
        <f t="shared" si="167"/>
        <v/>
      </c>
      <c r="D2156" t="str">
        <f>IF(E2156="","",IF(COUNTIF($E$2:E2156,E2156)&gt;1,"",SUMIFS(tbl_input[필요수량],tbl_input[집계키_지청],E2156)))</f>
        <v/>
      </c>
      <c r="E2156" t="str">
        <f>IFERROR(INDEX(tbl_input[집계키_지청],ROW()-1),"")</f>
        <v/>
      </c>
      <c r="F2156" t="str">
        <f t="shared" si="168"/>
        <v/>
      </c>
      <c r="G2156" t="str">
        <f t="shared" si="169"/>
        <v/>
      </c>
    </row>
    <row r="2157" spans="1:7" x14ac:dyDescent="0.4">
      <c r="A2157" t="str">
        <f t="shared" si="165"/>
        <v/>
      </c>
      <c r="B2157" t="str">
        <f t="shared" si="166"/>
        <v/>
      </c>
      <c r="C2157" t="str">
        <f t="shared" si="167"/>
        <v/>
      </c>
      <c r="D2157" t="str">
        <f>IF(E2157="","",IF(COUNTIF($E$2:E2157,E2157)&gt;1,"",SUMIFS(tbl_input[필요수량],tbl_input[집계키_지청],E2157)))</f>
        <v/>
      </c>
      <c r="E2157" t="str">
        <f>IFERROR(INDEX(tbl_input[집계키_지청],ROW()-1),"")</f>
        <v/>
      </c>
      <c r="F2157" t="str">
        <f t="shared" si="168"/>
        <v/>
      </c>
      <c r="G2157" t="str">
        <f t="shared" si="169"/>
        <v/>
      </c>
    </row>
    <row r="2158" spans="1:7" x14ac:dyDescent="0.4">
      <c r="A2158" t="str">
        <f t="shared" si="165"/>
        <v/>
      </c>
      <c r="B2158" t="str">
        <f t="shared" si="166"/>
        <v/>
      </c>
      <c r="C2158" t="str">
        <f t="shared" si="167"/>
        <v/>
      </c>
      <c r="D2158" t="str">
        <f>IF(E2158="","",IF(COUNTIF($E$2:E2158,E2158)&gt;1,"",SUMIFS(tbl_input[필요수량],tbl_input[집계키_지청],E2158)))</f>
        <v/>
      </c>
      <c r="E2158" t="str">
        <f>IFERROR(INDEX(tbl_input[집계키_지청],ROW()-1),"")</f>
        <v/>
      </c>
      <c r="F2158" t="str">
        <f t="shared" si="168"/>
        <v/>
      </c>
      <c r="G2158" t="str">
        <f t="shared" si="169"/>
        <v/>
      </c>
    </row>
    <row r="2159" spans="1:7" x14ac:dyDescent="0.4">
      <c r="A2159" t="str">
        <f t="shared" si="165"/>
        <v/>
      </c>
      <c r="B2159" t="str">
        <f t="shared" si="166"/>
        <v/>
      </c>
      <c r="C2159" t="str">
        <f t="shared" si="167"/>
        <v/>
      </c>
      <c r="D2159" t="str">
        <f>IF(E2159="","",IF(COUNTIF($E$2:E2159,E2159)&gt;1,"",SUMIFS(tbl_input[필요수량],tbl_input[집계키_지청],E2159)))</f>
        <v/>
      </c>
      <c r="E2159" t="str">
        <f>IFERROR(INDEX(tbl_input[집계키_지청],ROW()-1),"")</f>
        <v/>
      </c>
      <c r="F2159" t="str">
        <f t="shared" si="168"/>
        <v/>
      </c>
      <c r="G2159" t="str">
        <f t="shared" si="169"/>
        <v/>
      </c>
    </row>
    <row r="2160" spans="1:7" x14ac:dyDescent="0.4">
      <c r="A2160" t="str">
        <f t="shared" si="165"/>
        <v/>
      </c>
      <c r="B2160" t="str">
        <f t="shared" si="166"/>
        <v/>
      </c>
      <c r="C2160" t="str">
        <f t="shared" si="167"/>
        <v/>
      </c>
      <c r="D2160" t="str">
        <f>IF(E2160="","",IF(COUNTIF($E$2:E2160,E2160)&gt;1,"",SUMIFS(tbl_input[필요수량],tbl_input[집계키_지청],E2160)))</f>
        <v/>
      </c>
      <c r="E2160" t="str">
        <f>IFERROR(INDEX(tbl_input[집계키_지청],ROW()-1),"")</f>
        <v/>
      </c>
      <c r="F2160" t="str">
        <f t="shared" si="168"/>
        <v/>
      </c>
      <c r="G2160" t="str">
        <f t="shared" si="169"/>
        <v/>
      </c>
    </row>
    <row r="2161" spans="1:7" x14ac:dyDescent="0.4">
      <c r="A2161" t="str">
        <f t="shared" si="165"/>
        <v/>
      </c>
      <c r="B2161" t="str">
        <f t="shared" si="166"/>
        <v/>
      </c>
      <c r="C2161" t="str">
        <f t="shared" si="167"/>
        <v/>
      </c>
      <c r="D2161" t="str">
        <f>IF(E2161="","",IF(COUNTIF($E$2:E2161,E2161)&gt;1,"",SUMIFS(tbl_input[필요수량],tbl_input[집계키_지청],E2161)))</f>
        <v/>
      </c>
      <c r="E2161" t="str">
        <f>IFERROR(INDEX(tbl_input[집계키_지청],ROW()-1),"")</f>
        <v/>
      </c>
      <c r="F2161" t="str">
        <f t="shared" si="168"/>
        <v/>
      </c>
      <c r="G2161" t="str">
        <f t="shared" si="169"/>
        <v/>
      </c>
    </row>
    <row r="2162" spans="1:7" x14ac:dyDescent="0.4">
      <c r="A2162" t="str">
        <f t="shared" si="165"/>
        <v/>
      </c>
      <c r="B2162" t="str">
        <f t="shared" si="166"/>
        <v/>
      </c>
      <c r="C2162" t="str">
        <f t="shared" si="167"/>
        <v/>
      </c>
      <c r="D2162" t="str">
        <f>IF(E2162="","",IF(COUNTIF($E$2:E2162,E2162)&gt;1,"",SUMIFS(tbl_input[필요수량],tbl_input[집계키_지청],E2162)))</f>
        <v/>
      </c>
      <c r="E2162" t="str">
        <f>IFERROR(INDEX(tbl_input[집계키_지청],ROW()-1),"")</f>
        <v/>
      </c>
      <c r="F2162" t="str">
        <f t="shared" si="168"/>
        <v/>
      </c>
      <c r="G2162" t="str">
        <f t="shared" si="169"/>
        <v/>
      </c>
    </row>
    <row r="2163" spans="1:7" x14ac:dyDescent="0.4">
      <c r="A2163" t="str">
        <f t="shared" si="165"/>
        <v/>
      </c>
      <c r="B2163" t="str">
        <f t="shared" si="166"/>
        <v/>
      </c>
      <c r="C2163" t="str">
        <f t="shared" si="167"/>
        <v/>
      </c>
      <c r="D2163" t="str">
        <f>IF(E2163="","",IF(COUNTIF($E$2:E2163,E2163)&gt;1,"",SUMIFS(tbl_input[필요수량],tbl_input[집계키_지청],E2163)))</f>
        <v/>
      </c>
      <c r="E2163" t="str">
        <f>IFERROR(INDEX(tbl_input[집계키_지청],ROW()-1),"")</f>
        <v/>
      </c>
      <c r="F2163" t="str">
        <f t="shared" si="168"/>
        <v/>
      </c>
      <c r="G2163" t="str">
        <f t="shared" si="169"/>
        <v/>
      </c>
    </row>
    <row r="2164" spans="1:7" x14ac:dyDescent="0.4">
      <c r="A2164" t="str">
        <f t="shared" si="165"/>
        <v/>
      </c>
      <c r="B2164" t="str">
        <f t="shared" si="166"/>
        <v/>
      </c>
      <c r="C2164" t="str">
        <f t="shared" si="167"/>
        <v/>
      </c>
      <c r="D2164" t="str">
        <f>IF(E2164="","",IF(COUNTIF($E$2:E2164,E2164)&gt;1,"",SUMIFS(tbl_input[필요수량],tbl_input[집계키_지청],E2164)))</f>
        <v/>
      </c>
      <c r="E2164" t="str">
        <f>IFERROR(INDEX(tbl_input[집계키_지청],ROW()-1),"")</f>
        <v/>
      </c>
      <c r="F2164" t="str">
        <f t="shared" si="168"/>
        <v/>
      </c>
      <c r="G2164" t="str">
        <f t="shared" si="169"/>
        <v/>
      </c>
    </row>
    <row r="2165" spans="1:7" x14ac:dyDescent="0.4">
      <c r="A2165" t="str">
        <f t="shared" si="165"/>
        <v/>
      </c>
      <c r="B2165" t="str">
        <f t="shared" si="166"/>
        <v/>
      </c>
      <c r="C2165" t="str">
        <f t="shared" si="167"/>
        <v/>
      </c>
      <c r="D2165" t="str">
        <f>IF(E2165="","",IF(COUNTIF($E$2:E2165,E2165)&gt;1,"",SUMIFS(tbl_input[필요수량],tbl_input[집계키_지청],E2165)))</f>
        <v/>
      </c>
      <c r="E2165" t="str">
        <f>IFERROR(INDEX(tbl_input[집계키_지청],ROW()-1),"")</f>
        <v/>
      </c>
      <c r="F2165" t="str">
        <f t="shared" si="168"/>
        <v/>
      </c>
      <c r="G2165" t="str">
        <f t="shared" si="169"/>
        <v/>
      </c>
    </row>
    <row r="2166" spans="1:7" x14ac:dyDescent="0.4">
      <c r="A2166" t="str">
        <f t="shared" si="165"/>
        <v/>
      </c>
      <c r="B2166" t="str">
        <f t="shared" si="166"/>
        <v/>
      </c>
      <c r="C2166" t="str">
        <f t="shared" si="167"/>
        <v/>
      </c>
      <c r="D2166" t="str">
        <f>IF(E2166="","",IF(COUNTIF($E$2:E2166,E2166)&gt;1,"",SUMIFS(tbl_input[필요수량],tbl_input[집계키_지청],E2166)))</f>
        <v/>
      </c>
      <c r="E2166" t="str">
        <f>IFERROR(INDEX(tbl_input[집계키_지청],ROW()-1),"")</f>
        <v/>
      </c>
      <c r="F2166" t="str">
        <f t="shared" si="168"/>
        <v/>
      </c>
      <c r="G2166" t="str">
        <f t="shared" si="169"/>
        <v/>
      </c>
    </row>
    <row r="2167" spans="1:7" x14ac:dyDescent="0.4">
      <c r="A2167" t="str">
        <f t="shared" si="165"/>
        <v/>
      </c>
      <c r="B2167" t="str">
        <f t="shared" si="166"/>
        <v/>
      </c>
      <c r="C2167" t="str">
        <f t="shared" si="167"/>
        <v/>
      </c>
      <c r="D2167" t="str">
        <f>IF(E2167="","",IF(COUNTIF($E$2:E2167,E2167)&gt;1,"",SUMIFS(tbl_input[필요수량],tbl_input[집계키_지청],E2167)))</f>
        <v/>
      </c>
      <c r="E2167" t="str">
        <f>IFERROR(INDEX(tbl_input[집계키_지청],ROW()-1),"")</f>
        <v/>
      </c>
      <c r="F2167" t="str">
        <f t="shared" si="168"/>
        <v/>
      </c>
      <c r="G2167" t="str">
        <f t="shared" si="169"/>
        <v/>
      </c>
    </row>
    <row r="2168" spans="1:7" x14ac:dyDescent="0.4">
      <c r="A2168" t="str">
        <f t="shared" si="165"/>
        <v/>
      </c>
      <c r="B2168" t="str">
        <f t="shared" si="166"/>
        <v/>
      </c>
      <c r="C2168" t="str">
        <f t="shared" si="167"/>
        <v/>
      </c>
      <c r="D2168" t="str">
        <f>IF(E2168="","",IF(COUNTIF($E$2:E2168,E2168)&gt;1,"",SUMIFS(tbl_input[필요수량],tbl_input[집계키_지청],E2168)))</f>
        <v/>
      </c>
      <c r="E2168" t="str">
        <f>IFERROR(INDEX(tbl_input[집계키_지청],ROW()-1),"")</f>
        <v/>
      </c>
      <c r="F2168" t="str">
        <f t="shared" si="168"/>
        <v/>
      </c>
      <c r="G2168" t="str">
        <f t="shared" si="169"/>
        <v/>
      </c>
    </row>
    <row r="2169" spans="1:7" x14ac:dyDescent="0.4">
      <c r="A2169" t="str">
        <f t="shared" si="165"/>
        <v/>
      </c>
      <c r="B2169" t="str">
        <f t="shared" si="166"/>
        <v/>
      </c>
      <c r="C2169" t="str">
        <f t="shared" si="167"/>
        <v/>
      </c>
      <c r="D2169" t="str">
        <f>IF(E2169="","",IF(COUNTIF($E$2:E2169,E2169)&gt;1,"",SUMIFS(tbl_input[필요수량],tbl_input[집계키_지청],E2169)))</f>
        <v/>
      </c>
      <c r="E2169" t="str">
        <f>IFERROR(INDEX(tbl_input[집계키_지청],ROW()-1),"")</f>
        <v/>
      </c>
      <c r="F2169" t="str">
        <f t="shared" si="168"/>
        <v/>
      </c>
      <c r="G2169" t="str">
        <f t="shared" si="169"/>
        <v/>
      </c>
    </row>
    <row r="2170" spans="1:7" x14ac:dyDescent="0.4">
      <c r="A2170" t="str">
        <f t="shared" si="165"/>
        <v/>
      </c>
      <c r="B2170" t="str">
        <f t="shared" si="166"/>
        <v/>
      </c>
      <c r="C2170" t="str">
        <f t="shared" si="167"/>
        <v/>
      </c>
      <c r="D2170" t="str">
        <f>IF(E2170="","",IF(COUNTIF($E$2:E2170,E2170)&gt;1,"",SUMIFS(tbl_input[필요수량],tbl_input[집계키_지청],E2170)))</f>
        <v/>
      </c>
      <c r="E2170" t="str">
        <f>IFERROR(INDEX(tbl_input[집계키_지청],ROW()-1),"")</f>
        <v/>
      </c>
      <c r="F2170" t="str">
        <f t="shared" si="168"/>
        <v/>
      </c>
      <c r="G2170" t="str">
        <f t="shared" si="169"/>
        <v/>
      </c>
    </row>
    <row r="2171" spans="1:7" x14ac:dyDescent="0.4">
      <c r="A2171" t="str">
        <f t="shared" si="165"/>
        <v/>
      </c>
      <c r="B2171" t="str">
        <f t="shared" si="166"/>
        <v/>
      </c>
      <c r="C2171" t="str">
        <f t="shared" si="167"/>
        <v/>
      </c>
      <c r="D2171" t="str">
        <f>IF(E2171="","",IF(COUNTIF($E$2:E2171,E2171)&gt;1,"",SUMIFS(tbl_input[필요수량],tbl_input[집계키_지청],E2171)))</f>
        <v/>
      </c>
      <c r="E2171" t="str">
        <f>IFERROR(INDEX(tbl_input[집계키_지청],ROW()-1),"")</f>
        <v/>
      </c>
      <c r="F2171" t="str">
        <f t="shared" si="168"/>
        <v/>
      </c>
      <c r="G2171" t="str">
        <f t="shared" si="169"/>
        <v/>
      </c>
    </row>
    <row r="2172" spans="1:7" x14ac:dyDescent="0.4">
      <c r="A2172" t="str">
        <f t="shared" si="165"/>
        <v/>
      </c>
      <c r="B2172" t="str">
        <f t="shared" si="166"/>
        <v/>
      </c>
      <c r="C2172" t="str">
        <f t="shared" si="167"/>
        <v/>
      </c>
      <c r="D2172" t="str">
        <f>IF(E2172="","",IF(COUNTIF($E$2:E2172,E2172)&gt;1,"",SUMIFS(tbl_input[필요수량],tbl_input[집계키_지청],E2172)))</f>
        <v/>
      </c>
      <c r="E2172" t="str">
        <f>IFERROR(INDEX(tbl_input[집계키_지청],ROW()-1),"")</f>
        <v/>
      </c>
      <c r="F2172" t="str">
        <f t="shared" si="168"/>
        <v/>
      </c>
      <c r="G2172" t="str">
        <f t="shared" si="169"/>
        <v/>
      </c>
    </row>
    <row r="2173" spans="1:7" x14ac:dyDescent="0.4">
      <c r="A2173" t="str">
        <f t="shared" si="165"/>
        <v/>
      </c>
      <c r="B2173" t="str">
        <f t="shared" si="166"/>
        <v/>
      </c>
      <c r="C2173" t="str">
        <f t="shared" si="167"/>
        <v/>
      </c>
      <c r="D2173" t="str">
        <f>IF(E2173="","",IF(COUNTIF($E$2:E2173,E2173)&gt;1,"",SUMIFS(tbl_input[필요수량],tbl_input[집계키_지청],E2173)))</f>
        <v/>
      </c>
      <c r="E2173" t="str">
        <f>IFERROR(INDEX(tbl_input[집계키_지청],ROW()-1),"")</f>
        <v/>
      </c>
      <c r="F2173" t="str">
        <f t="shared" si="168"/>
        <v/>
      </c>
      <c r="G2173" t="str">
        <f t="shared" si="169"/>
        <v/>
      </c>
    </row>
    <row r="2174" spans="1:7" x14ac:dyDescent="0.4">
      <c r="A2174" t="str">
        <f t="shared" si="165"/>
        <v/>
      </c>
      <c r="B2174" t="str">
        <f t="shared" si="166"/>
        <v/>
      </c>
      <c r="C2174" t="str">
        <f t="shared" si="167"/>
        <v/>
      </c>
      <c r="D2174" t="str">
        <f>IF(E2174="","",IF(COUNTIF($E$2:E2174,E2174)&gt;1,"",SUMIFS(tbl_input[필요수량],tbl_input[집계키_지청],E2174)))</f>
        <v/>
      </c>
      <c r="E2174" t="str">
        <f>IFERROR(INDEX(tbl_input[집계키_지청],ROW()-1),"")</f>
        <v/>
      </c>
      <c r="F2174" t="str">
        <f t="shared" si="168"/>
        <v/>
      </c>
      <c r="G2174" t="str">
        <f t="shared" si="169"/>
        <v/>
      </c>
    </row>
    <row r="2175" spans="1:7" x14ac:dyDescent="0.4">
      <c r="A2175" t="str">
        <f t="shared" si="165"/>
        <v/>
      </c>
      <c r="B2175" t="str">
        <f t="shared" si="166"/>
        <v/>
      </c>
      <c r="C2175" t="str">
        <f t="shared" si="167"/>
        <v/>
      </c>
      <c r="D2175" t="str">
        <f>IF(E2175="","",IF(COUNTIF($E$2:E2175,E2175)&gt;1,"",SUMIFS(tbl_input[필요수량],tbl_input[집계키_지청],E2175)))</f>
        <v/>
      </c>
      <c r="E2175" t="str">
        <f>IFERROR(INDEX(tbl_input[집계키_지청],ROW()-1),"")</f>
        <v/>
      </c>
      <c r="F2175" t="str">
        <f t="shared" si="168"/>
        <v/>
      </c>
      <c r="G2175" t="str">
        <f t="shared" si="169"/>
        <v/>
      </c>
    </row>
    <row r="2176" spans="1:7" x14ac:dyDescent="0.4">
      <c r="A2176" t="str">
        <f t="shared" si="165"/>
        <v/>
      </c>
      <c r="B2176" t="str">
        <f t="shared" si="166"/>
        <v/>
      </c>
      <c r="C2176" t="str">
        <f t="shared" si="167"/>
        <v/>
      </c>
      <c r="D2176" t="str">
        <f>IF(E2176="","",IF(COUNTIF($E$2:E2176,E2176)&gt;1,"",SUMIFS(tbl_input[필요수량],tbl_input[집계키_지청],E2176)))</f>
        <v/>
      </c>
      <c r="E2176" t="str">
        <f>IFERROR(INDEX(tbl_input[집계키_지청],ROW()-1),"")</f>
        <v/>
      </c>
      <c r="F2176" t="str">
        <f t="shared" si="168"/>
        <v/>
      </c>
      <c r="G2176" t="str">
        <f t="shared" si="169"/>
        <v/>
      </c>
    </row>
    <row r="2177" spans="1:7" x14ac:dyDescent="0.4">
      <c r="A2177" t="str">
        <f t="shared" si="165"/>
        <v/>
      </c>
      <c r="B2177" t="str">
        <f t="shared" si="166"/>
        <v/>
      </c>
      <c r="C2177" t="str">
        <f t="shared" si="167"/>
        <v/>
      </c>
      <c r="D2177" t="str">
        <f>IF(E2177="","",IF(COUNTIF($E$2:E2177,E2177)&gt;1,"",SUMIFS(tbl_input[필요수량],tbl_input[집계키_지청],E2177)))</f>
        <v/>
      </c>
      <c r="E2177" t="str">
        <f>IFERROR(INDEX(tbl_input[집계키_지청],ROW()-1),"")</f>
        <v/>
      </c>
      <c r="F2177" t="str">
        <f t="shared" si="168"/>
        <v/>
      </c>
      <c r="G2177" t="str">
        <f t="shared" si="169"/>
        <v/>
      </c>
    </row>
    <row r="2178" spans="1:7" x14ac:dyDescent="0.4">
      <c r="A2178" t="str">
        <f t="shared" ref="A2178:A2241" si="170">IF(E2178="","",LEFT(E2178,F2178-1))</f>
        <v/>
      </c>
      <c r="B2178" t="str">
        <f t="shared" ref="B2178:B2241" si="171">IF(E2178="","",MID(E2178,F2178+1,G2178-F2178-1))</f>
        <v/>
      </c>
      <c r="C2178" t="str">
        <f t="shared" ref="C2178:C2241" si="172">IF(E2178="","",MID(E2178,G2178+1,999))</f>
        <v/>
      </c>
      <c r="D2178" t="str">
        <f>IF(E2178="","",IF(COUNTIF($E$2:E2178,E2178)&gt;1,"",SUMIFS(tbl_input[필요수량],tbl_input[집계키_지청],E2178)))</f>
        <v/>
      </c>
      <c r="E2178" t="str">
        <f>IFERROR(INDEX(tbl_input[집계키_지청],ROW()-1),"")</f>
        <v/>
      </c>
      <c r="F2178" t="str">
        <f t="shared" ref="F2178:F2241" si="173">IF(E2178="","",FIND("♦",E2178))</f>
        <v/>
      </c>
      <c r="G2178" t="str">
        <f t="shared" ref="G2178:G2241" si="174">IF(E2178="","",FIND("♦",E2178,F2178+1))</f>
        <v/>
      </c>
    </row>
    <row r="2179" spans="1:7" x14ac:dyDescent="0.4">
      <c r="A2179" t="str">
        <f t="shared" si="170"/>
        <v/>
      </c>
      <c r="B2179" t="str">
        <f t="shared" si="171"/>
        <v/>
      </c>
      <c r="C2179" t="str">
        <f t="shared" si="172"/>
        <v/>
      </c>
      <c r="D2179" t="str">
        <f>IF(E2179="","",IF(COUNTIF($E$2:E2179,E2179)&gt;1,"",SUMIFS(tbl_input[필요수량],tbl_input[집계키_지청],E2179)))</f>
        <v/>
      </c>
      <c r="E2179" t="str">
        <f>IFERROR(INDEX(tbl_input[집계키_지청],ROW()-1),"")</f>
        <v/>
      </c>
      <c r="F2179" t="str">
        <f t="shared" si="173"/>
        <v/>
      </c>
      <c r="G2179" t="str">
        <f t="shared" si="174"/>
        <v/>
      </c>
    </row>
    <row r="2180" spans="1:7" x14ac:dyDescent="0.4">
      <c r="A2180" t="str">
        <f t="shared" si="170"/>
        <v/>
      </c>
      <c r="B2180" t="str">
        <f t="shared" si="171"/>
        <v/>
      </c>
      <c r="C2180" t="str">
        <f t="shared" si="172"/>
        <v/>
      </c>
      <c r="D2180" t="str">
        <f>IF(E2180="","",IF(COUNTIF($E$2:E2180,E2180)&gt;1,"",SUMIFS(tbl_input[필요수량],tbl_input[집계키_지청],E2180)))</f>
        <v/>
      </c>
      <c r="E2180" t="str">
        <f>IFERROR(INDEX(tbl_input[집계키_지청],ROW()-1),"")</f>
        <v/>
      </c>
      <c r="F2180" t="str">
        <f t="shared" si="173"/>
        <v/>
      </c>
      <c r="G2180" t="str">
        <f t="shared" si="174"/>
        <v/>
      </c>
    </row>
    <row r="2181" spans="1:7" x14ac:dyDescent="0.4">
      <c r="A2181" t="str">
        <f t="shared" si="170"/>
        <v/>
      </c>
      <c r="B2181" t="str">
        <f t="shared" si="171"/>
        <v/>
      </c>
      <c r="C2181" t="str">
        <f t="shared" si="172"/>
        <v/>
      </c>
      <c r="D2181" t="str">
        <f>IF(E2181="","",IF(COUNTIF($E$2:E2181,E2181)&gt;1,"",SUMIFS(tbl_input[필요수량],tbl_input[집계키_지청],E2181)))</f>
        <v/>
      </c>
      <c r="E2181" t="str">
        <f>IFERROR(INDEX(tbl_input[집계키_지청],ROW()-1),"")</f>
        <v/>
      </c>
      <c r="F2181" t="str">
        <f t="shared" si="173"/>
        <v/>
      </c>
      <c r="G2181" t="str">
        <f t="shared" si="174"/>
        <v/>
      </c>
    </row>
    <row r="2182" spans="1:7" x14ac:dyDescent="0.4">
      <c r="A2182" t="str">
        <f t="shared" si="170"/>
        <v/>
      </c>
      <c r="B2182" t="str">
        <f t="shared" si="171"/>
        <v/>
      </c>
      <c r="C2182" t="str">
        <f t="shared" si="172"/>
        <v/>
      </c>
      <c r="D2182" t="str">
        <f>IF(E2182="","",IF(COUNTIF($E$2:E2182,E2182)&gt;1,"",SUMIFS(tbl_input[필요수량],tbl_input[집계키_지청],E2182)))</f>
        <v/>
      </c>
      <c r="E2182" t="str">
        <f>IFERROR(INDEX(tbl_input[집계키_지청],ROW()-1),"")</f>
        <v/>
      </c>
      <c r="F2182" t="str">
        <f t="shared" si="173"/>
        <v/>
      </c>
      <c r="G2182" t="str">
        <f t="shared" si="174"/>
        <v/>
      </c>
    </row>
    <row r="2183" spans="1:7" x14ac:dyDescent="0.4">
      <c r="A2183" t="str">
        <f t="shared" si="170"/>
        <v/>
      </c>
      <c r="B2183" t="str">
        <f t="shared" si="171"/>
        <v/>
      </c>
      <c r="C2183" t="str">
        <f t="shared" si="172"/>
        <v/>
      </c>
      <c r="D2183" t="str">
        <f>IF(E2183="","",IF(COUNTIF($E$2:E2183,E2183)&gt;1,"",SUMIFS(tbl_input[필요수량],tbl_input[집계키_지청],E2183)))</f>
        <v/>
      </c>
      <c r="E2183" t="str">
        <f>IFERROR(INDEX(tbl_input[집계키_지청],ROW()-1),"")</f>
        <v/>
      </c>
      <c r="F2183" t="str">
        <f t="shared" si="173"/>
        <v/>
      </c>
      <c r="G2183" t="str">
        <f t="shared" si="174"/>
        <v/>
      </c>
    </row>
    <row r="2184" spans="1:7" x14ac:dyDescent="0.4">
      <c r="A2184" t="str">
        <f t="shared" si="170"/>
        <v/>
      </c>
      <c r="B2184" t="str">
        <f t="shared" si="171"/>
        <v/>
      </c>
      <c r="C2184" t="str">
        <f t="shared" si="172"/>
        <v/>
      </c>
      <c r="D2184" t="str">
        <f>IF(E2184="","",IF(COUNTIF($E$2:E2184,E2184)&gt;1,"",SUMIFS(tbl_input[필요수량],tbl_input[집계키_지청],E2184)))</f>
        <v/>
      </c>
      <c r="E2184" t="str">
        <f>IFERROR(INDEX(tbl_input[집계키_지청],ROW()-1),"")</f>
        <v/>
      </c>
      <c r="F2184" t="str">
        <f t="shared" si="173"/>
        <v/>
      </c>
      <c r="G2184" t="str">
        <f t="shared" si="174"/>
        <v/>
      </c>
    </row>
    <row r="2185" spans="1:7" x14ac:dyDescent="0.4">
      <c r="A2185" t="str">
        <f t="shared" si="170"/>
        <v/>
      </c>
      <c r="B2185" t="str">
        <f t="shared" si="171"/>
        <v/>
      </c>
      <c r="C2185" t="str">
        <f t="shared" si="172"/>
        <v/>
      </c>
      <c r="D2185" t="str">
        <f>IF(E2185="","",IF(COUNTIF($E$2:E2185,E2185)&gt;1,"",SUMIFS(tbl_input[필요수량],tbl_input[집계키_지청],E2185)))</f>
        <v/>
      </c>
      <c r="E2185" t="str">
        <f>IFERROR(INDEX(tbl_input[집계키_지청],ROW()-1),"")</f>
        <v/>
      </c>
      <c r="F2185" t="str">
        <f t="shared" si="173"/>
        <v/>
      </c>
      <c r="G2185" t="str">
        <f t="shared" si="174"/>
        <v/>
      </c>
    </row>
    <row r="2186" spans="1:7" x14ac:dyDescent="0.4">
      <c r="A2186" t="str">
        <f t="shared" si="170"/>
        <v/>
      </c>
      <c r="B2186" t="str">
        <f t="shared" si="171"/>
        <v/>
      </c>
      <c r="C2186" t="str">
        <f t="shared" si="172"/>
        <v/>
      </c>
      <c r="D2186" t="str">
        <f>IF(E2186="","",IF(COUNTIF($E$2:E2186,E2186)&gt;1,"",SUMIFS(tbl_input[필요수량],tbl_input[집계키_지청],E2186)))</f>
        <v/>
      </c>
      <c r="E2186" t="str">
        <f>IFERROR(INDEX(tbl_input[집계키_지청],ROW()-1),"")</f>
        <v/>
      </c>
      <c r="F2186" t="str">
        <f t="shared" si="173"/>
        <v/>
      </c>
      <c r="G2186" t="str">
        <f t="shared" si="174"/>
        <v/>
      </c>
    </row>
    <row r="2187" spans="1:7" x14ac:dyDescent="0.4">
      <c r="A2187" t="str">
        <f t="shared" si="170"/>
        <v/>
      </c>
      <c r="B2187" t="str">
        <f t="shared" si="171"/>
        <v/>
      </c>
      <c r="C2187" t="str">
        <f t="shared" si="172"/>
        <v/>
      </c>
      <c r="D2187" t="str">
        <f>IF(E2187="","",IF(COUNTIF($E$2:E2187,E2187)&gt;1,"",SUMIFS(tbl_input[필요수량],tbl_input[집계키_지청],E2187)))</f>
        <v/>
      </c>
      <c r="E2187" t="str">
        <f>IFERROR(INDEX(tbl_input[집계키_지청],ROW()-1),"")</f>
        <v/>
      </c>
      <c r="F2187" t="str">
        <f t="shared" si="173"/>
        <v/>
      </c>
      <c r="G2187" t="str">
        <f t="shared" si="174"/>
        <v/>
      </c>
    </row>
    <row r="2188" spans="1:7" x14ac:dyDescent="0.4">
      <c r="A2188" t="str">
        <f t="shared" si="170"/>
        <v/>
      </c>
      <c r="B2188" t="str">
        <f t="shared" si="171"/>
        <v/>
      </c>
      <c r="C2188" t="str">
        <f t="shared" si="172"/>
        <v/>
      </c>
      <c r="D2188" t="str">
        <f>IF(E2188="","",IF(COUNTIF($E$2:E2188,E2188)&gt;1,"",SUMIFS(tbl_input[필요수량],tbl_input[집계키_지청],E2188)))</f>
        <v/>
      </c>
      <c r="E2188" t="str">
        <f>IFERROR(INDEX(tbl_input[집계키_지청],ROW()-1),"")</f>
        <v/>
      </c>
      <c r="F2188" t="str">
        <f t="shared" si="173"/>
        <v/>
      </c>
      <c r="G2188" t="str">
        <f t="shared" si="174"/>
        <v/>
      </c>
    </row>
    <row r="2189" spans="1:7" x14ac:dyDescent="0.4">
      <c r="A2189" t="str">
        <f t="shared" si="170"/>
        <v/>
      </c>
      <c r="B2189" t="str">
        <f t="shared" si="171"/>
        <v/>
      </c>
      <c r="C2189" t="str">
        <f t="shared" si="172"/>
        <v/>
      </c>
      <c r="D2189" t="str">
        <f>IF(E2189="","",IF(COUNTIF($E$2:E2189,E2189)&gt;1,"",SUMIFS(tbl_input[필요수량],tbl_input[집계키_지청],E2189)))</f>
        <v/>
      </c>
      <c r="E2189" t="str">
        <f>IFERROR(INDEX(tbl_input[집계키_지청],ROW()-1),"")</f>
        <v/>
      </c>
      <c r="F2189" t="str">
        <f t="shared" si="173"/>
        <v/>
      </c>
      <c r="G2189" t="str">
        <f t="shared" si="174"/>
        <v/>
      </c>
    </row>
    <row r="2190" spans="1:7" x14ac:dyDescent="0.4">
      <c r="A2190" t="str">
        <f t="shared" si="170"/>
        <v/>
      </c>
      <c r="B2190" t="str">
        <f t="shared" si="171"/>
        <v/>
      </c>
      <c r="C2190" t="str">
        <f t="shared" si="172"/>
        <v/>
      </c>
      <c r="D2190" t="str">
        <f>IF(E2190="","",IF(COUNTIF($E$2:E2190,E2190)&gt;1,"",SUMIFS(tbl_input[필요수량],tbl_input[집계키_지청],E2190)))</f>
        <v/>
      </c>
      <c r="E2190" t="str">
        <f>IFERROR(INDEX(tbl_input[집계키_지청],ROW()-1),"")</f>
        <v/>
      </c>
      <c r="F2190" t="str">
        <f t="shared" si="173"/>
        <v/>
      </c>
      <c r="G2190" t="str">
        <f t="shared" si="174"/>
        <v/>
      </c>
    </row>
    <row r="2191" spans="1:7" x14ac:dyDescent="0.4">
      <c r="A2191" t="str">
        <f t="shared" si="170"/>
        <v/>
      </c>
      <c r="B2191" t="str">
        <f t="shared" si="171"/>
        <v/>
      </c>
      <c r="C2191" t="str">
        <f t="shared" si="172"/>
        <v/>
      </c>
      <c r="D2191" t="str">
        <f>IF(E2191="","",IF(COUNTIF($E$2:E2191,E2191)&gt;1,"",SUMIFS(tbl_input[필요수량],tbl_input[집계키_지청],E2191)))</f>
        <v/>
      </c>
      <c r="E2191" t="str">
        <f>IFERROR(INDEX(tbl_input[집계키_지청],ROW()-1),"")</f>
        <v/>
      </c>
      <c r="F2191" t="str">
        <f t="shared" si="173"/>
        <v/>
      </c>
      <c r="G2191" t="str">
        <f t="shared" si="174"/>
        <v/>
      </c>
    </row>
    <row r="2192" spans="1:7" x14ac:dyDescent="0.4">
      <c r="A2192" t="str">
        <f t="shared" si="170"/>
        <v/>
      </c>
      <c r="B2192" t="str">
        <f t="shared" si="171"/>
        <v/>
      </c>
      <c r="C2192" t="str">
        <f t="shared" si="172"/>
        <v/>
      </c>
      <c r="D2192" t="str">
        <f>IF(E2192="","",IF(COUNTIF($E$2:E2192,E2192)&gt;1,"",SUMIFS(tbl_input[필요수량],tbl_input[집계키_지청],E2192)))</f>
        <v/>
      </c>
      <c r="E2192" t="str">
        <f>IFERROR(INDEX(tbl_input[집계키_지청],ROW()-1),"")</f>
        <v/>
      </c>
      <c r="F2192" t="str">
        <f t="shared" si="173"/>
        <v/>
      </c>
      <c r="G2192" t="str">
        <f t="shared" si="174"/>
        <v/>
      </c>
    </row>
    <row r="2193" spans="1:7" x14ac:dyDescent="0.4">
      <c r="A2193" t="str">
        <f t="shared" si="170"/>
        <v/>
      </c>
      <c r="B2193" t="str">
        <f t="shared" si="171"/>
        <v/>
      </c>
      <c r="C2193" t="str">
        <f t="shared" si="172"/>
        <v/>
      </c>
      <c r="D2193" t="str">
        <f>IF(E2193="","",IF(COUNTIF($E$2:E2193,E2193)&gt;1,"",SUMIFS(tbl_input[필요수량],tbl_input[집계키_지청],E2193)))</f>
        <v/>
      </c>
      <c r="E2193" t="str">
        <f>IFERROR(INDEX(tbl_input[집계키_지청],ROW()-1),"")</f>
        <v/>
      </c>
      <c r="F2193" t="str">
        <f t="shared" si="173"/>
        <v/>
      </c>
      <c r="G2193" t="str">
        <f t="shared" si="174"/>
        <v/>
      </c>
    </row>
    <row r="2194" spans="1:7" x14ac:dyDescent="0.4">
      <c r="A2194" t="str">
        <f t="shared" si="170"/>
        <v/>
      </c>
      <c r="B2194" t="str">
        <f t="shared" si="171"/>
        <v/>
      </c>
      <c r="C2194" t="str">
        <f t="shared" si="172"/>
        <v/>
      </c>
      <c r="D2194" t="str">
        <f>IF(E2194="","",IF(COUNTIF($E$2:E2194,E2194)&gt;1,"",SUMIFS(tbl_input[필요수량],tbl_input[집계키_지청],E2194)))</f>
        <v/>
      </c>
      <c r="E2194" t="str">
        <f>IFERROR(INDEX(tbl_input[집계키_지청],ROW()-1),"")</f>
        <v/>
      </c>
      <c r="F2194" t="str">
        <f t="shared" si="173"/>
        <v/>
      </c>
      <c r="G2194" t="str">
        <f t="shared" si="174"/>
        <v/>
      </c>
    </row>
    <row r="2195" spans="1:7" x14ac:dyDescent="0.4">
      <c r="A2195" t="str">
        <f t="shared" si="170"/>
        <v/>
      </c>
      <c r="B2195" t="str">
        <f t="shared" si="171"/>
        <v/>
      </c>
      <c r="C2195" t="str">
        <f t="shared" si="172"/>
        <v/>
      </c>
      <c r="D2195" t="str">
        <f>IF(E2195="","",IF(COUNTIF($E$2:E2195,E2195)&gt;1,"",SUMIFS(tbl_input[필요수량],tbl_input[집계키_지청],E2195)))</f>
        <v/>
      </c>
      <c r="E2195" t="str">
        <f>IFERROR(INDEX(tbl_input[집계키_지청],ROW()-1),"")</f>
        <v/>
      </c>
      <c r="F2195" t="str">
        <f t="shared" si="173"/>
        <v/>
      </c>
      <c r="G2195" t="str">
        <f t="shared" si="174"/>
        <v/>
      </c>
    </row>
    <row r="2196" spans="1:7" x14ac:dyDescent="0.4">
      <c r="A2196" t="str">
        <f t="shared" si="170"/>
        <v/>
      </c>
      <c r="B2196" t="str">
        <f t="shared" si="171"/>
        <v/>
      </c>
      <c r="C2196" t="str">
        <f t="shared" si="172"/>
        <v/>
      </c>
      <c r="D2196" t="str">
        <f>IF(E2196="","",IF(COUNTIF($E$2:E2196,E2196)&gt;1,"",SUMIFS(tbl_input[필요수량],tbl_input[집계키_지청],E2196)))</f>
        <v/>
      </c>
      <c r="E2196" t="str">
        <f>IFERROR(INDEX(tbl_input[집계키_지청],ROW()-1),"")</f>
        <v/>
      </c>
      <c r="F2196" t="str">
        <f t="shared" si="173"/>
        <v/>
      </c>
      <c r="G2196" t="str">
        <f t="shared" si="174"/>
        <v/>
      </c>
    </row>
    <row r="2197" spans="1:7" x14ac:dyDescent="0.4">
      <c r="A2197" t="str">
        <f t="shared" si="170"/>
        <v/>
      </c>
      <c r="B2197" t="str">
        <f t="shared" si="171"/>
        <v/>
      </c>
      <c r="C2197" t="str">
        <f t="shared" si="172"/>
        <v/>
      </c>
      <c r="D2197" t="str">
        <f>IF(E2197="","",IF(COUNTIF($E$2:E2197,E2197)&gt;1,"",SUMIFS(tbl_input[필요수량],tbl_input[집계키_지청],E2197)))</f>
        <v/>
      </c>
      <c r="E2197" t="str">
        <f>IFERROR(INDEX(tbl_input[집계키_지청],ROW()-1),"")</f>
        <v/>
      </c>
      <c r="F2197" t="str">
        <f t="shared" si="173"/>
        <v/>
      </c>
      <c r="G2197" t="str">
        <f t="shared" si="174"/>
        <v/>
      </c>
    </row>
    <row r="2198" spans="1:7" x14ac:dyDescent="0.4">
      <c r="A2198" t="str">
        <f t="shared" si="170"/>
        <v/>
      </c>
      <c r="B2198" t="str">
        <f t="shared" si="171"/>
        <v/>
      </c>
      <c r="C2198" t="str">
        <f t="shared" si="172"/>
        <v/>
      </c>
      <c r="D2198" t="str">
        <f>IF(E2198="","",IF(COUNTIF($E$2:E2198,E2198)&gt;1,"",SUMIFS(tbl_input[필요수량],tbl_input[집계키_지청],E2198)))</f>
        <v/>
      </c>
      <c r="E2198" t="str">
        <f>IFERROR(INDEX(tbl_input[집계키_지청],ROW()-1),"")</f>
        <v/>
      </c>
      <c r="F2198" t="str">
        <f t="shared" si="173"/>
        <v/>
      </c>
      <c r="G2198" t="str">
        <f t="shared" si="174"/>
        <v/>
      </c>
    </row>
    <row r="2199" spans="1:7" x14ac:dyDescent="0.4">
      <c r="A2199" t="str">
        <f t="shared" si="170"/>
        <v/>
      </c>
      <c r="B2199" t="str">
        <f t="shared" si="171"/>
        <v/>
      </c>
      <c r="C2199" t="str">
        <f t="shared" si="172"/>
        <v/>
      </c>
      <c r="D2199" t="str">
        <f>IF(E2199="","",IF(COUNTIF($E$2:E2199,E2199)&gt;1,"",SUMIFS(tbl_input[필요수량],tbl_input[집계키_지청],E2199)))</f>
        <v/>
      </c>
      <c r="E2199" t="str">
        <f>IFERROR(INDEX(tbl_input[집계키_지청],ROW()-1),"")</f>
        <v/>
      </c>
      <c r="F2199" t="str">
        <f t="shared" si="173"/>
        <v/>
      </c>
      <c r="G2199" t="str">
        <f t="shared" si="174"/>
        <v/>
      </c>
    </row>
    <row r="2200" spans="1:7" x14ac:dyDescent="0.4">
      <c r="A2200" t="str">
        <f t="shared" si="170"/>
        <v/>
      </c>
      <c r="B2200" t="str">
        <f t="shared" si="171"/>
        <v/>
      </c>
      <c r="C2200" t="str">
        <f t="shared" si="172"/>
        <v/>
      </c>
      <c r="D2200" t="str">
        <f>IF(E2200="","",IF(COUNTIF($E$2:E2200,E2200)&gt;1,"",SUMIFS(tbl_input[필요수량],tbl_input[집계키_지청],E2200)))</f>
        <v/>
      </c>
      <c r="E2200" t="str">
        <f>IFERROR(INDEX(tbl_input[집계키_지청],ROW()-1),"")</f>
        <v/>
      </c>
      <c r="F2200" t="str">
        <f t="shared" si="173"/>
        <v/>
      </c>
      <c r="G2200" t="str">
        <f t="shared" si="174"/>
        <v/>
      </c>
    </row>
    <row r="2201" spans="1:7" x14ac:dyDescent="0.4">
      <c r="A2201" t="str">
        <f t="shared" si="170"/>
        <v/>
      </c>
      <c r="B2201" t="str">
        <f t="shared" si="171"/>
        <v/>
      </c>
      <c r="C2201" t="str">
        <f t="shared" si="172"/>
        <v/>
      </c>
      <c r="D2201" t="str">
        <f>IF(E2201="","",IF(COUNTIF($E$2:E2201,E2201)&gt;1,"",SUMIFS(tbl_input[필요수량],tbl_input[집계키_지청],E2201)))</f>
        <v/>
      </c>
      <c r="E2201" t="str">
        <f>IFERROR(INDEX(tbl_input[집계키_지청],ROW()-1),"")</f>
        <v/>
      </c>
      <c r="F2201" t="str">
        <f t="shared" si="173"/>
        <v/>
      </c>
      <c r="G2201" t="str">
        <f t="shared" si="174"/>
        <v/>
      </c>
    </row>
    <row r="2202" spans="1:7" x14ac:dyDescent="0.4">
      <c r="A2202" t="str">
        <f t="shared" si="170"/>
        <v/>
      </c>
      <c r="B2202" t="str">
        <f t="shared" si="171"/>
        <v/>
      </c>
      <c r="C2202" t="str">
        <f t="shared" si="172"/>
        <v/>
      </c>
      <c r="D2202" t="str">
        <f>IF(E2202="","",IF(COUNTIF($E$2:E2202,E2202)&gt;1,"",SUMIFS(tbl_input[필요수량],tbl_input[집계키_지청],E2202)))</f>
        <v/>
      </c>
      <c r="E2202" t="str">
        <f>IFERROR(INDEX(tbl_input[집계키_지청],ROW()-1),"")</f>
        <v/>
      </c>
      <c r="F2202" t="str">
        <f t="shared" si="173"/>
        <v/>
      </c>
      <c r="G2202" t="str">
        <f t="shared" si="174"/>
        <v/>
      </c>
    </row>
    <row r="2203" spans="1:7" x14ac:dyDescent="0.4">
      <c r="A2203" t="str">
        <f t="shared" si="170"/>
        <v/>
      </c>
      <c r="B2203" t="str">
        <f t="shared" si="171"/>
        <v/>
      </c>
      <c r="C2203" t="str">
        <f t="shared" si="172"/>
        <v/>
      </c>
      <c r="D2203" t="str">
        <f>IF(E2203="","",IF(COUNTIF($E$2:E2203,E2203)&gt;1,"",SUMIFS(tbl_input[필요수량],tbl_input[집계키_지청],E2203)))</f>
        <v/>
      </c>
      <c r="E2203" t="str">
        <f>IFERROR(INDEX(tbl_input[집계키_지청],ROW()-1),"")</f>
        <v/>
      </c>
      <c r="F2203" t="str">
        <f t="shared" si="173"/>
        <v/>
      </c>
      <c r="G2203" t="str">
        <f t="shared" si="174"/>
        <v/>
      </c>
    </row>
    <row r="2204" spans="1:7" x14ac:dyDescent="0.4">
      <c r="A2204" t="str">
        <f t="shared" si="170"/>
        <v/>
      </c>
      <c r="B2204" t="str">
        <f t="shared" si="171"/>
        <v/>
      </c>
      <c r="C2204" t="str">
        <f t="shared" si="172"/>
        <v/>
      </c>
      <c r="D2204" t="str">
        <f>IF(E2204="","",IF(COUNTIF($E$2:E2204,E2204)&gt;1,"",SUMIFS(tbl_input[필요수량],tbl_input[집계키_지청],E2204)))</f>
        <v/>
      </c>
      <c r="E2204" t="str">
        <f>IFERROR(INDEX(tbl_input[집계키_지청],ROW()-1),"")</f>
        <v/>
      </c>
      <c r="F2204" t="str">
        <f t="shared" si="173"/>
        <v/>
      </c>
      <c r="G2204" t="str">
        <f t="shared" si="174"/>
        <v/>
      </c>
    </row>
    <row r="2205" spans="1:7" x14ac:dyDescent="0.4">
      <c r="A2205" t="str">
        <f t="shared" si="170"/>
        <v/>
      </c>
      <c r="B2205" t="str">
        <f t="shared" si="171"/>
        <v/>
      </c>
      <c r="C2205" t="str">
        <f t="shared" si="172"/>
        <v/>
      </c>
      <c r="D2205" t="str">
        <f>IF(E2205="","",IF(COUNTIF($E$2:E2205,E2205)&gt;1,"",SUMIFS(tbl_input[필요수량],tbl_input[집계키_지청],E2205)))</f>
        <v/>
      </c>
      <c r="E2205" t="str">
        <f>IFERROR(INDEX(tbl_input[집계키_지청],ROW()-1),"")</f>
        <v/>
      </c>
      <c r="F2205" t="str">
        <f t="shared" si="173"/>
        <v/>
      </c>
      <c r="G2205" t="str">
        <f t="shared" si="174"/>
        <v/>
      </c>
    </row>
    <row r="2206" spans="1:7" x14ac:dyDescent="0.4">
      <c r="A2206" t="str">
        <f t="shared" si="170"/>
        <v/>
      </c>
      <c r="B2206" t="str">
        <f t="shared" si="171"/>
        <v/>
      </c>
      <c r="C2206" t="str">
        <f t="shared" si="172"/>
        <v/>
      </c>
      <c r="D2206" t="str">
        <f>IF(E2206="","",IF(COUNTIF($E$2:E2206,E2206)&gt;1,"",SUMIFS(tbl_input[필요수량],tbl_input[집계키_지청],E2206)))</f>
        <v/>
      </c>
      <c r="E2206" t="str">
        <f>IFERROR(INDEX(tbl_input[집계키_지청],ROW()-1),"")</f>
        <v/>
      </c>
      <c r="F2206" t="str">
        <f t="shared" si="173"/>
        <v/>
      </c>
      <c r="G2206" t="str">
        <f t="shared" si="174"/>
        <v/>
      </c>
    </row>
    <row r="2207" spans="1:7" x14ac:dyDescent="0.4">
      <c r="A2207" t="str">
        <f t="shared" si="170"/>
        <v/>
      </c>
      <c r="B2207" t="str">
        <f t="shared" si="171"/>
        <v/>
      </c>
      <c r="C2207" t="str">
        <f t="shared" si="172"/>
        <v/>
      </c>
      <c r="D2207" t="str">
        <f>IF(E2207="","",IF(COUNTIF($E$2:E2207,E2207)&gt;1,"",SUMIFS(tbl_input[필요수량],tbl_input[집계키_지청],E2207)))</f>
        <v/>
      </c>
      <c r="E2207" t="str">
        <f>IFERROR(INDEX(tbl_input[집계키_지청],ROW()-1),"")</f>
        <v/>
      </c>
      <c r="F2207" t="str">
        <f t="shared" si="173"/>
        <v/>
      </c>
      <c r="G2207" t="str">
        <f t="shared" si="174"/>
        <v/>
      </c>
    </row>
    <row r="2208" spans="1:7" x14ac:dyDescent="0.4">
      <c r="A2208" t="str">
        <f t="shared" si="170"/>
        <v/>
      </c>
      <c r="B2208" t="str">
        <f t="shared" si="171"/>
        <v/>
      </c>
      <c r="C2208" t="str">
        <f t="shared" si="172"/>
        <v/>
      </c>
      <c r="D2208" t="str">
        <f>IF(E2208="","",IF(COUNTIF($E$2:E2208,E2208)&gt;1,"",SUMIFS(tbl_input[필요수량],tbl_input[집계키_지청],E2208)))</f>
        <v/>
      </c>
      <c r="E2208" t="str">
        <f>IFERROR(INDEX(tbl_input[집계키_지청],ROW()-1),"")</f>
        <v/>
      </c>
      <c r="F2208" t="str">
        <f t="shared" si="173"/>
        <v/>
      </c>
      <c r="G2208" t="str">
        <f t="shared" si="174"/>
        <v/>
      </c>
    </row>
    <row r="2209" spans="1:7" x14ac:dyDescent="0.4">
      <c r="A2209" t="str">
        <f t="shared" si="170"/>
        <v/>
      </c>
      <c r="B2209" t="str">
        <f t="shared" si="171"/>
        <v/>
      </c>
      <c r="C2209" t="str">
        <f t="shared" si="172"/>
        <v/>
      </c>
      <c r="D2209" t="str">
        <f>IF(E2209="","",IF(COUNTIF($E$2:E2209,E2209)&gt;1,"",SUMIFS(tbl_input[필요수량],tbl_input[집계키_지청],E2209)))</f>
        <v/>
      </c>
      <c r="E2209" t="str">
        <f>IFERROR(INDEX(tbl_input[집계키_지청],ROW()-1),"")</f>
        <v/>
      </c>
      <c r="F2209" t="str">
        <f t="shared" si="173"/>
        <v/>
      </c>
      <c r="G2209" t="str">
        <f t="shared" si="174"/>
        <v/>
      </c>
    </row>
    <row r="2210" spans="1:7" x14ac:dyDescent="0.4">
      <c r="A2210" t="str">
        <f t="shared" si="170"/>
        <v/>
      </c>
      <c r="B2210" t="str">
        <f t="shared" si="171"/>
        <v/>
      </c>
      <c r="C2210" t="str">
        <f t="shared" si="172"/>
        <v/>
      </c>
      <c r="D2210" t="str">
        <f>IF(E2210="","",IF(COUNTIF($E$2:E2210,E2210)&gt;1,"",SUMIFS(tbl_input[필요수량],tbl_input[집계키_지청],E2210)))</f>
        <v/>
      </c>
      <c r="E2210" t="str">
        <f>IFERROR(INDEX(tbl_input[집계키_지청],ROW()-1),"")</f>
        <v/>
      </c>
      <c r="F2210" t="str">
        <f t="shared" si="173"/>
        <v/>
      </c>
      <c r="G2210" t="str">
        <f t="shared" si="174"/>
        <v/>
      </c>
    </row>
    <row r="2211" spans="1:7" x14ac:dyDescent="0.4">
      <c r="A2211" t="str">
        <f t="shared" si="170"/>
        <v/>
      </c>
      <c r="B2211" t="str">
        <f t="shared" si="171"/>
        <v/>
      </c>
      <c r="C2211" t="str">
        <f t="shared" si="172"/>
        <v/>
      </c>
      <c r="D2211" t="str">
        <f>IF(E2211="","",IF(COUNTIF($E$2:E2211,E2211)&gt;1,"",SUMIFS(tbl_input[필요수량],tbl_input[집계키_지청],E2211)))</f>
        <v/>
      </c>
      <c r="E2211" t="str">
        <f>IFERROR(INDEX(tbl_input[집계키_지청],ROW()-1),"")</f>
        <v/>
      </c>
      <c r="F2211" t="str">
        <f t="shared" si="173"/>
        <v/>
      </c>
      <c r="G2211" t="str">
        <f t="shared" si="174"/>
        <v/>
      </c>
    </row>
    <row r="2212" spans="1:7" x14ac:dyDescent="0.4">
      <c r="A2212" t="str">
        <f t="shared" si="170"/>
        <v/>
      </c>
      <c r="B2212" t="str">
        <f t="shared" si="171"/>
        <v/>
      </c>
      <c r="C2212" t="str">
        <f t="shared" si="172"/>
        <v/>
      </c>
      <c r="D2212" t="str">
        <f>IF(E2212="","",IF(COUNTIF($E$2:E2212,E2212)&gt;1,"",SUMIFS(tbl_input[필요수량],tbl_input[집계키_지청],E2212)))</f>
        <v/>
      </c>
      <c r="E2212" t="str">
        <f>IFERROR(INDEX(tbl_input[집계키_지청],ROW()-1),"")</f>
        <v/>
      </c>
      <c r="F2212" t="str">
        <f t="shared" si="173"/>
        <v/>
      </c>
      <c r="G2212" t="str">
        <f t="shared" si="174"/>
        <v/>
      </c>
    </row>
    <row r="2213" spans="1:7" x14ac:dyDescent="0.4">
      <c r="A2213" t="str">
        <f t="shared" si="170"/>
        <v/>
      </c>
      <c r="B2213" t="str">
        <f t="shared" si="171"/>
        <v/>
      </c>
      <c r="C2213" t="str">
        <f t="shared" si="172"/>
        <v/>
      </c>
      <c r="D2213" t="str">
        <f>IF(E2213="","",IF(COUNTIF($E$2:E2213,E2213)&gt;1,"",SUMIFS(tbl_input[필요수량],tbl_input[집계키_지청],E2213)))</f>
        <v/>
      </c>
      <c r="E2213" t="str">
        <f>IFERROR(INDEX(tbl_input[집계키_지청],ROW()-1),"")</f>
        <v/>
      </c>
      <c r="F2213" t="str">
        <f t="shared" si="173"/>
        <v/>
      </c>
      <c r="G2213" t="str">
        <f t="shared" si="174"/>
        <v/>
      </c>
    </row>
    <row r="2214" spans="1:7" x14ac:dyDescent="0.4">
      <c r="A2214" t="str">
        <f t="shared" si="170"/>
        <v/>
      </c>
      <c r="B2214" t="str">
        <f t="shared" si="171"/>
        <v/>
      </c>
      <c r="C2214" t="str">
        <f t="shared" si="172"/>
        <v/>
      </c>
      <c r="D2214" t="str">
        <f>IF(E2214="","",IF(COUNTIF($E$2:E2214,E2214)&gt;1,"",SUMIFS(tbl_input[필요수량],tbl_input[집계키_지청],E2214)))</f>
        <v/>
      </c>
      <c r="E2214" t="str">
        <f>IFERROR(INDEX(tbl_input[집계키_지청],ROW()-1),"")</f>
        <v/>
      </c>
      <c r="F2214" t="str">
        <f t="shared" si="173"/>
        <v/>
      </c>
      <c r="G2214" t="str">
        <f t="shared" si="174"/>
        <v/>
      </c>
    </row>
    <row r="2215" spans="1:7" x14ac:dyDescent="0.4">
      <c r="A2215" t="str">
        <f t="shared" si="170"/>
        <v/>
      </c>
      <c r="B2215" t="str">
        <f t="shared" si="171"/>
        <v/>
      </c>
      <c r="C2215" t="str">
        <f t="shared" si="172"/>
        <v/>
      </c>
      <c r="D2215" t="str">
        <f>IF(E2215="","",IF(COUNTIF($E$2:E2215,E2215)&gt;1,"",SUMIFS(tbl_input[필요수량],tbl_input[집계키_지청],E2215)))</f>
        <v/>
      </c>
      <c r="E2215" t="str">
        <f>IFERROR(INDEX(tbl_input[집계키_지청],ROW()-1),"")</f>
        <v/>
      </c>
      <c r="F2215" t="str">
        <f t="shared" si="173"/>
        <v/>
      </c>
      <c r="G2215" t="str">
        <f t="shared" si="174"/>
        <v/>
      </c>
    </row>
    <row r="2216" spans="1:7" x14ac:dyDescent="0.4">
      <c r="A2216" t="str">
        <f t="shared" si="170"/>
        <v/>
      </c>
      <c r="B2216" t="str">
        <f t="shared" si="171"/>
        <v/>
      </c>
      <c r="C2216" t="str">
        <f t="shared" si="172"/>
        <v/>
      </c>
      <c r="D2216" t="str">
        <f>IF(E2216="","",IF(COUNTIF($E$2:E2216,E2216)&gt;1,"",SUMIFS(tbl_input[필요수량],tbl_input[집계키_지청],E2216)))</f>
        <v/>
      </c>
      <c r="E2216" t="str">
        <f>IFERROR(INDEX(tbl_input[집계키_지청],ROW()-1),"")</f>
        <v/>
      </c>
      <c r="F2216" t="str">
        <f t="shared" si="173"/>
        <v/>
      </c>
      <c r="G2216" t="str">
        <f t="shared" si="174"/>
        <v/>
      </c>
    </row>
    <row r="2217" spans="1:7" x14ac:dyDescent="0.4">
      <c r="A2217" t="str">
        <f t="shared" si="170"/>
        <v/>
      </c>
      <c r="B2217" t="str">
        <f t="shared" si="171"/>
        <v/>
      </c>
      <c r="C2217" t="str">
        <f t="shared" si="172"/>
        <v/>
      </c>
      <c r="D2217" t="str">
        <f>IF(E2217="","",IF(COUNTIF($E$2:E2217,E2217)&gt;1,"",SUMIFS(tbl_input[필요수량],tbl_input[집계키_지청],E2217)))</f>
        <v/>
      </c>
      <c r="E2217" t="str">
        <f>IFERROR(INDEX(tbl_input[집계키_지청],ROW()-1),"")</f>
        <v/>
      </c>
      <c r="F2217" t="str">
        <f t="shared" si="173"/>
        <v/>
      </c>
      <c r="G2217" t="str">
        <f t="shared" si="174"/>
        <v/>
      </c>
    </row>
    <row r="2218" spans="1:7" x14ac:dyDescent="0.4">
      <c r="A2218" t="str">
        <f t="shared" si="170"/>
        <v/>
      </c>
      <c r="B2218" t="str">
        <f t="shared" si="171"/>
        <v/>
      </c>
      <c r="C2218" t="str">
        <f t="shared" si="172"/>
        <v/>
      </c>
      <c r="D2218" t="str">
        <f>IF(E2218="","",IF(COUNTIF($E$2:E2218,E2218)&gt;1,"",SUMIFS(tbl_input[필요수량],tbl_input[집계키_지청],E2218)))</f>
        <v/>
      </c>
      <c r="E2218" t="str">
        <f>IFERROR(INDEX(tbl_input[집계키_지청],ROW()-1),"")</f>
        <v/>
      </c>
      <c r="F2218" t="str">
        <f t="shared" si="173"/>
        <v/>
      </c>
      <c r="G2218" t="str">
        <f t="shared" si="174"/>
        <v/>
      </c>
    </row>
    <row r="2219" spans="1:7" x14ac:dyDescent="0.4">
      <c r="A2219" t="str">
        <f t="shared" si="170"/>
        <v/>
      </c>
      <c r="B2219" t="str">
        <f t="shared" si="171"/>
        <v/>
      </c>
      <c r="C2219" t="str">
        <f t="shared" si="172"/>
        <v/>
      </c>
      <c r="D2219" t="str">
        <f>IF(E2219="","",IF(COUNTIF($E$2:E2219,E2219)&gt;1,"",SUMIFS(tbl_input[필요수량],tbl_input[집계키_지청],E2219)))</f>
        <v/>
      </c>
      <c r="E2219" t="str">
        <f>IFERROR(INDEX(tbl_input[집계키_지청],ROW()-1),"")</f>
        <v/>
      </c>
      <c r="F2219" t="str">
        <f t="shared" si="173"/>
        <v/>
      </c>
      <c r="G2219" t="str">
        <f t="shared" si="174"/>
        <v/>
      </c>
    </row>
    <row r="2220" spans="1:7" x14ac:dyDescent="0.4">
      <c r="A2220" t="str">
        <f t="shared" si="170"/>
        <v/>
      </c>
      <c r="B2220" t="str">
        <f t="shared" si="171"/>
        <v/>
      </c>
      <c r="C2220" t="str">
        <f t="shared" si="172"/>
        <v/>
      </c>
      <c r="D2220" t="str">
        <f>IF(E2220="","",IF(COUNTIF($E$2:E2220,E2220)&gt;1,"",SUMIFS(tbl_input[필요수량],tbl_input[집계키_지청],E2220)))</f>
        <v/>
      </c>
      <c r="E2220" t="str">
        <f>IFERROR(INDEX(tbl_input[집계키_지청],ROW()-1),"")</f>
        <v/>
      </c>
      <c r="F2220" t="str">
        <f t="shared" si="173"/>
        <v/>
      </c>
      <c r="G2220" t="str">
        <f t="shared" si="174"/>
        <v/>
      </c>
    </row>
    <row r="2221" spans="1:7" x14ac:dyDescent="0.4">
      <c r="A2221" t="str">
        <f t="shared" si="170"/>
        <v/>
      </c>
      <c r="B2221" t="str">
        <f t="shared" si="171"/>
        <v/>
      </c>
      <c r="C2221" t="str">
        <f t="shared" si="172"/>
        <v/>
      </c>
      <c r="D2221" t="str">
        <f>IF(E2221="","",IF(COUNTIF($E$2:E2221,E2221)&gt;1,"",SUMIFS(tbl_input[필요수량],tbl_input[집계키_지청],E2221)))</f>
        <v/>
      </c>
      <c r="E2221" t="str">
        <f>IFERROR(INDEX(tbl_input[집계키_지청],ROW()-1),"")</f>
        <v/>
      </c>
      <c r="F2221" t="str">
        <f t="shared" si="173"/>
        <v/>
      </c>
      <c r="G2221" t="str">
        <f t="shared" si="174"/>
        <v/>
      </c>
    </row>
    <row r="2222" spans="1:7" x14ac:dyDescent="0.4">
      <c r="A2222" t="str">
        <f t="shared" si="170"/>
        <v/>
      </c>
      <c r="B2222" t="str">
        <f t="shared" si="171"/>
        <v/>
      </c>
      <c r="C2222" t="str">
        <f t="shared" si="172"/>
        <v/>
      </c>
      <c r="D2222" t="str">
        <f>IF(E2222="","",IF(COUNTIF($E$2:E2222,E2222)&gt;1,"",SUMIFS(tbl_input[필요수량],tbl_input[집계키_지청],E2222)))</f>
        <v/>
      </c>
      <c r="E2222" t="str">
        <f>IFERROR(INDEX(tbl_input[집계키_지청],ROW()-1),"")</f>
        <v/>
      </c>
      <c r="F2222" t="str">
        <f t="shared" si="173"/>
        <v/>
      </c>
      <c r="G2222" t="str">
        <f t="shared" si="174"/>
        <v/>
      </c>
    </row>
    <row r="2223" spans="1:7" x14ac:dyDescent="0.4">
      <c r="A2223" t="str">
        <f t="shared" si="170"/>
        <v/>
      </c>
      <c r="B2223" t="str">
        <f t="shared" si="171"/>
        <v/>
      </c>
      <c r="C2223" t="str">
        <f t="shared" si="172"/>
        <v/>
      </c>
      <c r="D2223" t="str">
        <f>IF(E2223="","",IF(COUNTIF($E$2:E2223,E2223)&gt;1,"",SUMIFS(tbl_input[필요수량],tbl_input[집계키_지청],E2223)))</f>
        <v/>
      </c>
      <c r="E2223" t="str">
        <f>IFERROR(INDEX(tbl_input[집계키_지청],ROW()-1),"")</f>
        <v/>
      </c>
      <c r="F2223" t="str">
        <f t="shared" si="173"/>
        <v/>
      </c>
      <c r="G2223" t="str">
        <f t="shared" si="174"/>
        <v/>
      </c>
    </row>
    <row r="2224" spans="1:7" x14ac:dyDescent="0.4">
      <c r="A2224" t="str">
        <f t="shared" si="170"/>
        <v/>
      </c>
      <c r="B2224" t="str">
        <f t="shared" si="171"/>
        <v/>
      </c>
      <c r="C2224" t="str">
        <f t="shared" si="172"/>
        <v/>
      </c>
      <c r="D2224" t="str">
        <f>IF(E2224="","",IF(COUNTIF($E$2:E2224,E2224)&gt;1,"",SUMIFS(tbl_input[필요수량],tbl_input[집계키_지청],E2224)))</f>
        <v/>
      </c>
      <c r="E2224" t="str">
        <f>IFERROR(INDEX(tbl_input[집계키_지청],ROW()-1),"")</f>
        <v/>
      </c>
      <c r="F2224" t="str">
        <f t="shared" si="173"/>
        <v/>
      </c>
      <c r="G2224" t="str">
        <f t="shared" si="174"/>
        <v/>
      </c>
    </row>
    <row r="2225" spans="1:7" x14ac:dyDescent="0.4">
      <c r="A2225" t="str">
        <f t="shared" si="170"/>
        <v/>
      </c>
      <c r="B2225" t="str">
        <f t="shared" si="171"/>
        <v/>
      </c>
      <c r="C2225" t="str">
        <f t="shared" si="172"/>
        <v/>
      </c>
      <c r="D2225" t="str">
        <f>IF(E2225="","",IF(COUNTIF($E$2:E2225,E2225)&gt;1,"",SUMIFS(tbl_input[필요수량],tbl_input[집계키_지청],E2225)))</f>
        <v/>
      </c>
      <c r="E2225" t="str">
        <f>IFERROR(INDEX(tbl_input[집계키_지청],ROW()-1),"")</f>
        <v/>
      </c>
      <c r="F2225" t="str">
        <f t="shared" si="173"/>
        <v/>
      </c>
      <c r="G2225" t="str">
        <f t="shared" si="174"/>
        <v/>
      </c>
    </row>
    <row r="2226" spans="1:7" x14ac:dyDescent="0.4">
      <c r="A2226" t="str">
        <f t="shared" si="170"/>
        <v/>
      </c>
      <c r="B2226" t="str">
        <f t="shared" si="171"/>
        <v/>
      </c>
      <c r="C2226" t="str">
        <f t="shared" si="172"/>
        <v/>
      </c>
      <c r="D2226" t="str">
        <f>IF(E2226="","",IF(COUNTIF($E$2:E2226,E2226)&gt;1,"",SUMIFS(tbl_input[필요수량],tbl_input[집계키_지청],E2226)))</f>
        <v/>
      </c>
      <c r="E2226" t="str">
        <f>IFERROR(INDEX(tbl_input[집계키_지청],ROW()-1),"")</f>
        <v/>
      </c>
      <c r="F2226" t="str">
        <f t="shared" si="173"/>
        <v/>
      </c>
      <c r="G2226" t="str">
        <f t="shared" si="174"/>
        <v/>
      </c>
    </row>
    <row r="2227" spans="1:7" x14ac:dyDescent="0.4">
      <c r="A2227" t="str">
        <f t="shared" si="170"/>
        <v/>
      </c>
      <c r="B2227" t="str">
        <f t="shared" si="171"/>
        <v/>
      </c>
      <c r="C2227" t="str">
        <f t="shared" si="172"/>
        <v/>
      </c>
      <c r="D2227" t="str">
        <f>IF(E2227="","",IF(COUNTIF($E$2:E2227,E2227)&gt;1,"",SUMIFS(tbl_input[필요수량],tbl_input[집계키_지청],E2227)))</f>
        <v/>
      </c>
      <c r="E2227" t="str">
        <f>IFERROR(INDEX(tbl_input[집계키_지청],ROW()-1),"")</f>
        <v/>
      </c>
      <c r="F2227" t="str">
        <f t="shared" si="173"/>
        <v/>
      </c>
      <c r="G2227" t="str">
        <f t="shared" si="174"/>
        <v/>
      </c>
    </row>
    <row r="2228" spans="1:7" x14ac:dyDescent="0.4">
      <c r="A2228" t="str">
        <f t="shared" si="170"/>
        <v/>
      </c>
      <c r="B2228" t="str">
        <f t="shared" si="171"/>
        <v/>
      </c>
      <c r="C2228" t="str">
        <f t="shared" si="172"/>
        <v/>
      </c>
      <c r="D2228" t="str">
        <f>IF(E2228="","",IF(COUNTIF($E$2:E2228,E2228)&gt;1,"",SUMIFS(tbl_input[필요수량],tbl_input[집계키_지청],E2228)))</f>
        <v/>
      </c>
      <c r="E2228" t="str">
        <f>IFERROR(INDEX(tbl_input[집계키_지청],ROW()-1),"")</f>
        <v/>
      </c>
      <c r="F2228" t="str">
        <f t="shared" si="173"/>
        <v/>
      </c>
      <c r="G2228" t="str">
        <f t="shared" si="174"/>
        <v/>
      </c>
    </row>
    <row r="2229" spans="1:7" x14ac:dyDescent="0.4">
      <c r="A2229" t="str">
        <f t="shared" si="170"/>
        <v/>
      </c>
      <c r="B2229" t="str">
        <f t="shared" si="171"/>
        <v/>
      </c>
      <c r="C2229" t="str">
        <f t="shared" si="172"/>
        <v/>
      </c>
      <c r="D2229" t="str">
        <f>IF(E2229="","",IF(COUNTIF($E$2:E2229,E2229)&gt;1,"",SUMIFS(tbl_input[필요수량],tbl_input[집계키_지청],E2229)))</f>
        <v/>
      </c>
      <c r="E2229" t="str">
        <f>IFERROR(INDEX(tbl_input[집계키_지청],ROW()-1),"")</f>
        <v/>
      </c>
      <c r="F2229" t="str">
        <f t="shared" si="173"/>
        <v/>
      </c>
      <c r="G2229" t="str">
        <f t="shared" si="174"/>
        <v/>
      </c>
    </row>
    <row r="2230" spans="1:7" x14ac:dyDescent="0.4">
      <c r="A2230" t="str">
        <f t="shared" si="170"/>
        <v/>
      </c>
      <c r="B2230" t="str">
        <f t="shared" si="171"/>
        <v/>
      </c>
      <c r="C2230" t="str">
        <f t="shared" si="172"/>
        <v/>
      </c>
      <c r="D2230" t="str">
        <f>IF(E2230="","",IF(COUNTIF($E$2:E2230,E2230)&gt;1,"",SUMIFS(tbl_input[필요수량],tbl_input[집계키_지청],E2230)))</f>
        <v/>
      </c>
      <c r="E2230" t="str">
        <f>IFERROR(INDEX(tbl_input[집계키_지청],ROW()-1),"")</f>
        <v/>
      </c>
      <c r="F2230" t="str">
        <f t="shared" si="173"/>
        <v/>
      </c>
      <c r="G2230" t="str">
        <f t="shared" si="174"/>
        <v/>
      </c>
    </row>
    <row r="2231" spans="1:7" x14ac:dyDescent="0.4">
      <c r="A2231" t="str">
        <f t="shared" si="170"/>
        <v/>
      </c>
      <c r="B2231" t="str">
        <f t="shared" si="171"/>
        <v/>
      </c>
      <c r="C2231" t="str">
        <f t="shared" si="172"/>
        <v/>
      </c>
      <c r="D2231" t="str">
        <f>IF(E2231="","",IF(COUNTIF($E$2:E2231,E2231)&gt;1,"",SUMIFS(tbl_input[필요수량],tbl_input[집계키_지청],E2231)))</f>
        <v/>
      </c>
      <c r="E2231" t="str">
        <f>IFERROR(INDEX(tbl_input[집계키_지청],ROW()-1),"")</f>
        <v/>
      </c>
      <c r="F2231" t="str">
        <f t="shared" si="173"/>
        <v/>
      </c>
      <c r="G2231" t="str">
        <f t="shared" si="174"/>
        <v/>
      </c>
    </row>
    <row r="2232" spans="1:7" x14ac:dyDescent="0.4">
      <c r="A2232" t="str">
        <f t="shared" si="170"/>
        <v/>
      </c>
      <c r="B2232" t="str">
        <f t="shared" si="171"/>
        <v/>
      </c>
      <c r="C2232" t="str">
        <f t="shared" si="172"/>
        <v/>
      </c>
      <c r="D2232" t="str">
        <f>IF(E2232="","",IF(COUNTIF($E$2:E2232,E2232)&gt;1,"",SUMIFS(tbl_input[필요수량],tbl_input[집계키_지청],E2232)))</f>
        <v/>
      </c>
      <c r="E2232" t="str">
        <f>IFERROR(INDEX(tbl_input[집계키_지청],ROW()-1),"")</f>
        <v/>
      </c>
      <c r="F2232" t="str">
        <f t="shared" si="173"/>
        <v/>
      </c>
      <c r="G2232" t="str">
        <f t="shared" si="174"/>
        <v/>
      </c>
    </row>
    <row r="2233" spans="1:7" x14ac:dyDescent="0.4">
      <c r="A2233" t="str">
        <f t="shared" si="170"/>
        <v/>
      </c>
      <c r="B2233" t="str">
        <f t="shared" si="171"/>
        <v/>
      </c>
      <c r="C2233" t="str">
        <f t="shared" si="172"/>
        <v/>
      </c>
      <c r="D2233" t="str">
        <f>IF(E2233="","",IF(COUNTIF($E$2:E2233,E2233)&gt;1,"",SUMIFS(tbl_input[필요수량],tbl_input[집계키_지청],E2233)))</f>
        <v/>
      </c>
      <c r="E2233" t="str">
        <f>IFERROR(INDEX(tbl_input[집계키_지청],ROW()-1),"")</f>
        <v/>
      </c>
      <c r="F2233" t="str">
        <f t="shared" si="173"/>
        <v/>
      </c>
      <c r="G2233" t="str">
        <f t="shared" si="174"/>
        <v/>
      </c>
    </row>
    <row r="2234" spans="1:7" x14ac:dyDescent="0.4">
      <c r="A2234" t="str">
        <f t="shared" si="170"/>
        <v/>
      </c>
      <c r="B2234" t="str">
        <f t="shared" si="171"/>
        <v/>
      </c>
      <c r="C2234" t="str">
        <f t="shared" si="172"/>
        <v/>
      </c>
      <c r="D2234" t="str">
        <f>IF(E2234="","",IF(COUNTIF($E$2:E2234,E2234)&gt;1,"",SUMIFS(tbl_input[필요수량],tbl_input[집계키_지청],E2234)))</f>
        <v/>
      </c>
      <c r="E2234" t="str">
        <f>IFERROR(INDEX(tbl_input[집계키_지청],ROW()-1),"")</f>
        <v/>
      </c>
      <c r="F2234" t="str">
        <f t="shared" si="173"/>
        <v/>
      </c>
      <c r="G2234" t="str">
        <f t="shared" si="174"/>
        <v/>
      </c>
    </row>
    <row r="2235" spans="1:7" x14ac:dyDescent="0.4">
      <c r="A2235" t="str">
        <f t="shared" si="170"/>
        <v/>
      </c>
      <c r="B2235" t="str">
        <f t="shared" si="171"/>
        <v/>
      </c>
      <c r="C2235" t="str">
        <f t="shared" si="172"/>
        <v/>
      </c>
      <c r="D2235" t="str">
        <f>IF(E2235="","",IF(COUNTIF($E$2:E2235,E2235)&gt;1,"",SUMIFS(tbl_input[필요수량],tbl_input[집계키_지청],E2235)))</f>
        <v/>
      </c>
      <c r="E2235" t="str">
        <f>IFERROR(INDEX(tbl_input[집계키_지청],ROW()-1),"")</f>
        <v/>
      </c>
      <c r="F2235" t="str">
        <f t="shared" si="173"/>
        <v/>
      </c>
      <c r="G2235" t="str">
        <f t="shared" si="174"/>
        <v/>
      </c>
    </row>
    <row r="2236" spans="1:7" x14ac:dyDescent="0.4">
      <c r="A2236" t="str">
        <f t="shared" si="170"/>
        <v/>
      </c>
      <c r="B2236" t="str">
        <f t="shared" si="171"/>
        <v/>
      </c>
      <c r="C2236" t="str">
        <f t="shared" si="172"/>
        <v/>
      </c>
      <c r="D2236" t="str">
        <f>IF(E2236="","",IF(COUNTIF($E$2:E2236,E2236)&gt;1,"",SUMIFS(tbl_input[필요수량],tbl_input[집계키_지청],E2236)))</f>
        <v/>
      </c>
      <c r="E2236" t="str">
        <f>IFERROR(INDEX(tbl_input[집계키_지청],ROW()-1),"")</f>
        <v/>
      </c>
      <c r="F2236" t="str">
        <f t="shared" si="173"/>
        <v/>
      </c>
      <c r="G2236" t="str">
        <f t="shared" si="174"/>
        <v/>
      </c>
    </row>
    <row r="2237" spans="1:7" x14ac:dyDescent="0.4">
      <c r="A2237" t="str">
        <f t="shared" si="170"/>
        <v/>
      </c>
      <c r="B2237" t="str">
        <f t="shared" si="171"/>
        <v/>
      </c>
      <c r="C2237" t="str">
        <f t="shared" si="172"/>
        <v/>
      </c>
      <c r="D2237" t="str">
        <f>IF(E2237="","",IF(COUNTIF($E$2:E2237,E2237)&gt;1,"",SUMIFS(tbl_input[필요수량],tbl_input[집계키_지청],E2237)))</f>
        <v/>
      </c>
      <c r="E2237" t="str">
        <f>IFERROR(INDEX(tbl_input[집계키_지청],ROW()-1),"")</f>
        <v/>
      </c>
      <c r="F2237" t="str">
        <f t="shared" si="173"/>
        <v/>
      </c>
      <c r="G2237" t="str">
        <f t="shared" si="174"/>
        <v/>
      </c>
    </row>
    <row r="2238" spans="1:7" x14ac:dyDescent="0.4">
      <c r="A2238" t="str">
        <f t="shared" si="170"/>
        <v/>
      </c>
      <c r="B2238" t="str">
        <f t="shared" si="171"/>
        <v/>
      </c>
      <c r="C2238" t="str">
        <f t="shared" si="172"/>
        <v/>
      </c>
      <c r="D2238" t="str">
        <f>IF(E2238="","",IF(COUNTIF($E$2:E2238,E2238)&gt;1,"",SUMIFS(tbl_input[필요수량],tbl_input[집계키_지청],E2238)))</f>
        <v/>
      </c>
      <c r="E2238" t="str">
        <f>IFERROR(INDEX(tbl_input[집계키_지청],ROW()-1),"")</f>
        <v/>
      </c>
      <c r="F2238" t="str">
        <f t="shared" si="173"/>
        <v/>
      </c>
      <c r="G2238" t="str">
        <f t="shared" si="174"/>
        <v/>
      </c>
    </row>
    <row r="2239" spans="1:7" x14ac:dyDescent="0.4">
      <c r="A2239" t="str">
        <f t="shared" si="170"/>
        <v/>
      </c>
      <c r="B2239" t="str">
        <f t="shared" si="171"/>
        <v/>
      </c>
      <c r="C2239" t="str">
        <f t="shared" si="172"/>
        <v/>
      </c>
      <c r="D2239" t="str">
        <f>IF(E2239="","",IF(COUNTIF($E$2:E2239,E2239)&gt;1,"",SUMIFS(tbl_input[필요수량],tbl_input[집계키_지청],E2239)))</f>
        <v/>
      </c>
      <c r="E2239" t="str">
        <f>IFERROR(INDEX(tbl_input[집계키_지청],ROW()-1),"")</f>
        <v/>
      </c>
      <c r="F2239" t="str">
        <f t="shared" si="173"/>
        <v/>
      </c>
      <c r="G2239" t="str">
        <f t="shared" si="174"/>
        <v/>
      </c>
    </row>
    <row r="2240" spans="1:7" x14ac:dyDescent="0.4">
      <c r="A2240" t="str">
        <f t="shared" si="170"/>
        <v/>
      </c>
      <c r="B2240" t="str">
        <f t="shared" si="171"/>
        <v/>
      </c>
      <c r="C2240" t="str">
        <f t="shared" si="172"/>
        <v/>
      </c>
      <c r="D2240" t="str">
        <f>IF(E2240="","",IF(COUNTIF($E$2:E2240,E2240)&gt;1,"",SUMIFS(tbl_input[필요수량],tbl_input[집계키_지청],E2240)))</f>
        <v/>
      </c>
      <c r="E2240" t="str">
        <f>IFERROR(INDEX(tbl_input[집계키_지청],ROW()-1),"")</f>
        <v/>
      </c>
      <c r="F2240" t="str">
        <f t="shared" si="173"/>
        <v/>
      </c>
      <c r="G2240" t="str">
        <f t="shared" si="174"/>
        <v/>
      </c>
    </row>
    <row r="2241" spans="1:7" x14ac:dyDescent="0.4">
      <c r="A2241" t="str">
        <f t="shared" si="170"/>
        <v/>
      </c>
      <c r="B2241" t="str">
        <f t="shared" si="171"/>
        <v/>
      </c>
      <c r="C2241" t="str">
        <f t="shared" si="172"/>
        <v/>
      </c>
      <c r="D2241" t="str">
        <f>IF(E2241="","",IF(COUNTIF($E$2:E2241,E2241)&gt;1,"",SUMIFS(tbl_input[필요수량],tbl_input[집계키_지청],E2241)))</f>
        <v/>
      </c>
      <c r="E2241" t="str">
        <f>IFERROR(INDEX(tbl_input[집계키_지청],ROW()-1),"")</f>
        <v/>
      </c>
      <c r="F2241" t="str">
        <f t="shared" si="173"/>
        <v/>
      </c>
      <c r="G2241" t="str">
        <f t="shared" si="174"/>
        <v/>
      </c>
    </row>
    <row r="2242" spans="1:7" x14ac:dyDescent="0.4">
      <c r="A2242" t="str">
        <f t="shared" ref="A2242:A2305" si="175">IF(E2242="","",LEFT(E2242,F2242-1))</f>
        <v/>
      </c>
      <c r="B2242" t="str">
        <f t="shared" ref="B2242:B2305" si="176">IF(E2242="","",MID(E2242,F2242+1,G2242-F2242-1))</f>
        <v/>
      </c>
      <c r="C2242" t="str">
        <f t="shared" ref="C2242:C2305" si="177">IF(E2242="","",MID(E2242,G2242+1,999))</f>
        <v/>
      </c>
      <c r="D2242" t="str">
        <f>IF(E2242="","",IF(COUNTIF($E$2:E2242,E2242)&gt;1,"",SUMIFS(tbl_input[필요수량],tbl_input[집계키_지청],E2242)))</f>
        <v/>
      </c>
      <c r="E2242" t="str">
        <f>IFERROR(INDEX(tbl_input[집계키_지청],ROW()-1),"")</f>
        <v/>
      </c>
      <c r="F2242" t="str">
        <f t="shared" ref="F2242:F2305" si="178">IF(E2242="","",FIND("♦",E2242))</f>
        <v/>
      </c>
      <c r="G2242" t="str">
        <f t="shared" ref="G2242:G2305" si="179">IF(E2242="","",FIND("♦",E2242,F2242+1))</f>
        <v/>
      </c>
    </row>
    <row r="2243" spans="1:7" x14ac:dyDescent="0.4">
      <c r="A2243" t="str">
        <f t="shared" si="175"/>
        <v/>
      </c>
      <c r="B2243" t="str">
        <f t="shared" si="176"/>
        <v/>
      </c>
      <c r="C2243" t="str">
        <f t="shared" si="177"/>
        <v/>
      </c>
      <c r="D2243" t="str">
        <f>IF(E2243="","",IF(COUNTIF($E$2:E2243,E2243)&gt;1,"",SUMIFS(tbl_input[필요수량],tbl_input[집계키_지청],E2243)))</f>
        <v/>
      </c>
      <c r="E2243" t="str">
        <f>IFERROR(INDEX(tbl_input[집계키_지청],ROW()-1),"")</f>
        <v/>
      </c>
      <c r="F2243" t="str">
        <f t="shared" si="178"/>
        <v/>
      </c>
      <c r="G2243" t="str">
        <f t="shared" si="179"/>
        <v/>
      </c>
    </row>
    <row r="2244" spans="1:7" x14ac:dyDescent="0.4">
      <c r="A2244" t="str">
        <f t="shared" si="175"/>
        <v/>
      </c>
      <c r="B2244" t="str">
        <f t="shared" si="176"/>
        <v/>
      </c>
      <c r="C2244" t="str">
        <f t="shared" si="177"/>
        <v/>
      </c>
      <c r="D2244" t="str">
        <f>IF(E2244="","",IF(COUNTIF($E$2:E2244,E2244)&gt;1,"",SUMIFS(tbl_input[필요수량],tbl_input[집계키_지청],E2244)))</f>
        <v/>
      </c>
      <c r="E2244" t="str">
        <f>IFERROR(INDEX(tbl_input[집계키_지청],ROW()-1),"")</f>
        <v/>
      </c>
      <c r="F2244" t="str">
        <f t="shared" si="178"/>
        <v/>
      </c>
      <c r="G2244" t="str">
        <f t="shared" si="179"/>
        <v/>
      </c>
    </row>
    <row r="2245" spans="1:7" x14ac:dyDescent="0.4">
      <c r="A2245" t="str">
        <f t="shared" si="175"/>
        <v/>
      </c>
      <c r="B2245" t="str">
        <f t="shared" si="176"/>
        <v/>
      </c>
      <c r="C2245" t="str">
        <f t="shared" si="177"/>
        <v/>
      </c>
      <c r="D2245" t="str">
        <f>IF(E2245="","",IF(COUNTIF($E$2:E2245,E2245)&gt;1,"",SUMIFS(tbl_input[필요수량],tbl_input[집계키_지청],E2245)))</f>
        <v/>
      </c>
      <c r="E2245" t="str">
        <f>IFERROR(INDEX(tbl_input[집계키_지청],ROW()-1),"")</f>
        <v/>
      </c>
      <c r="F2245" t="str">
        <f t="shared" si="178"/>
        <v/>
      </c>
      <c r="G2245" t="str">
        <f t="shared" si="179"/>
        <v/>
      </c>
    </row>
    <row r="2246" spans="1:7" x14ac:dyDescent="0.4">
      <c r="A2246" t="str">
        <f t="shared" si="175"/>
        <v/>
      </c>
      <c r="B2246" t="str">
        <f t="shared" si="176"/>
        <v/>
      </c>
      <c r="C2246" t="str">
        <f t="shared" si="177"/>
        <v/>
      </c>
      <c r="D2246" t="str">
        <f>IF(E2246="","",IF(COUNTIF($E$2:E2246,E2246)&gt;1,"",SUMIFS(tbl_input[필요수량],tbl_input[집계키_지청],E2246)))</f>
        <v/>
      </c>
      <c r="E2246" t="str">
        <f>IFERROR(INDEX(tbl_input[집계키_지청],ROW()-1),"")</f>
        <v/>
      </c>
      <c r="F2246" t="str">
        <f t="shared" si="178"/>
        <v/>
      </c>
      <c r="G2246" t="str">
        <f t="shared" si="179"/>
        <v/>
      </c>
    </row>
    <row r="2247" spans="1:7" x14ac:dyDescent="0.4">
      <c r="A2247" t="str">
        <f t="shared" si="175"/>
        <v/>
      </c>
      <c r="B2247" t="str">
        <f t="shared" si="176"/>
        <v/>
      </c>
      <c r="C2247" t="str">
        <f t="shared" si="177"/>
        <v/>
      </c>
      <c r="D2247" t="str">
        <f>IF(E2247="","",IF(COUNTIF($E$2:E2247,E2247)&gt;1,"",SUMIFS(tbl_input[필요수량],tbl_input[집계키_지청],E2247)))</f>
        <v/>
      </c>
      <c r="E2247" t="str">
        <f>IFERROR(INDEX(tbl_input[집계키_지청],ROW()-1),"")</f>
        <v/>
      </c>
      <c r="F2247" t="str">
        <f t="shared" si="178"/>
        <v/>
      </c>
      <c r="G2247" t="str">
        <f t="shared" si="179"/>
        <v/>
      </c>
    </row>
    <row r="2248" spans="1:7" x14ac:dyDescent="0.4">
      <c r="A2248" t="str">
        <f t="shared" si="175"/>
        <v/>
      </c>
      <c r="B2248" t="str">
        <f t="shared" si="176"/>
        <v/>
      </c>
      <c r="C2248" t="str">
        <f t="shared" si="177"/>
        <v/>
      </c>
      <c r="D2248" t="str">
        <f>IF(E2248="","",IF(COUNTIF($E$2:E2248,E2248)&gt;1,"",SUMIFS(tbl_input[필요수량],tbl_input[집계키_지청],E2248)))</f>
        <v/>
      </c>
      <c r="E2248" t="str">
        <f>IFERROR(INDEX(tbl_input[집계키_지청],ROW()-1),"")</f>
        <v/>
      </c>
      <c r="F2248" t="str">
        <f t="shared" si="178"/>
        <v/>
      </c>
      <c r="G2248" t="str">
        <f t="shared" si="179"/>
        <v/>
      </c>
    </row>
    <row r="2249" spans="1:7" x14ac:dyDescent="0.4">
      <c r="A2249" t="str">
        <f t="shared" si="175"/>
        <v/>
      </c>
      <c r="B2249" t="str">
        <f t="shared" si="176"/>
        <v/>
      </c>
      <c r="C2249" t="str">
        <f t="shared" si="177"/>
        <v/>
      </c>
      <c r="D2249" t="str">
        <f>IF(E2249="","",IF(COUNTIF($E$2:E2249,E2249)&gt;1,"",SUMIFS(tbl_input[필요수량],tbl_input[집계키_지청],E2249)))</f>
        <v/>
      </c>
      <c r="E2249" t="str">
        <f>IFERROR(INDEX(tbl_input[집계키_지청],ROW()-1),"")</f>
        <v/>
      </c>
      <c r="F2249" t="str">
        <f t="shared" si="178"/>
        <v/>
      </c>
      <c r="G2249" t="str">
        <f t="shared" si="179"/>
        <v/>
      </c>
    </row>
    <row r="2250" spans="1:7" x14ac:dyDescent="0.4">
      <c r="A2250" t="str">
        <f t="shared" si="175"/>
        <v/>
      </c>
      <c r="B2250" t="str">
        <f t="shared" si="176"/>
        <v/>
      </c>
      <c r="C2250" t="str">
        <f t="shared" si="177"/>
        <v/>
      </c>
      <c r="D2250" t="str">
        <f>IF(E2250="","",IF(COUNTIF($E$2:E2250,E2250)&gt;1,"",SUMIFS(tbl_input[필요수량],tbl_input[집계키_지청],E2250)))</f>
        <v/>
      </c>
      <c r="E2250" t="str">
        <f>IFERROR(INDEX(tbl_input[집계키_지청],ROW()-1),"")</f>
        <v/>
      </c>
      <c r="F2250" t="str">
        <f t="shared" si="178"/>
        <v/>
      </c>
      <c r="G2250" t="str">
        <f t="shared" si="179"/>
        <v/>
      </c>
    </row>
    <row r="2251" spans="1:7" x14ac:dyDescent="0.4">
      <c r="A2251" t="str">
        <f t="shared" si="175"/>
        <v/>
      </c>
      <c r="B2251" t="str">
        <f t="shared" si="176"/>
        <v/>
      </c>
      <c r="C2251" t="str">
        <f t="shared" si="177"/>
        <v/>
      </c>
      <c r="D2251" t="str">
        <f>IF(E2251="","",IF(COUNTIF($E$2:E2251,E2251)&gt;1,"",SUMIFS(tbl_input[필요수량],tbl_input[집계키_지청],E2251)))</f>
        <v/>
      </c>
      <c r="E2251" t="str">
        <f>IFERROR(INDEX(tbl_input[집계키_지청],ROW()-1),"")</f>
        <v/>
      </c>
      <c r="F2251" t="str">
        <f t="shared" si="178"/>
        <v/>
      </c>
      <c r="G2251" t="str">
        <f t="shared" si="179"/>
        <v/>
      </c>
    </row>
    <row r="2252" spans="1:7" x14ac:dyDescent="0.4">
      <c r="A2252" t="str">
        <f t="shared" si="175"/>
        <v/>
      </c>
      <c r="B2252" t="str">
        <f t="shared" si="176"/>
        <v/>
      </c>
      <c r="C2252" t="str">
        <f t="shared" si="177"/>
        <v/>
      </c>
      <c r="D2252" t="str">
        <f>IF(E2252="","",IF(COUNTIF($E$2:E2252,E2252)&gt;1,"",SUMIFS(tbl_input[필요수량],tbl_input[집계키_지청],E2252)))</f>
        <v/>
      </c>
      <c r="E2252" t="str">
        <f>IFERROR(INDEX(tbl_input[집계키_지청],ROW()-1),"")</f>
        <v/>
      </c>
      <c r="F2252" t="str">
        <f t="shared" si="178"/>
        <v/>
      </c>
      <c r="G2252" t="str">
        <f t="shared" si="179"/>
        <v/>
      </c>
    </row>
    <row r="2253" spans="1:7" x14ac:dyDescent="0.4">
      <c r="A2253" t="str">
        <f t="shared" si="175"/>
        <v/>
      </c>
      <c r="B2253" t="str">
        <f t="shared" si="176"/>
        <v/>
      </c>
      <c r="C2253" t="str">
        <f t="shared" si="177"/>
        <v/>
      </c>
      <c r="D2253" t="str">
        <f>IF(E2253="","",IF(COUNTIF($E$2:E2253,E2253)&gt;1,"",SUMIFS(tbl_input[필요수량],tbl_input[집계키_지청],E2253)))</f>
        <v/>
      </c>
      <c r="E2253" t="str">
        <f>IFERROR(INDEX(tbl_input[집계키_지청],ROW()-1),"")</f>
        <v/>
      </c>
      <c r="F2253" t="str">
        <f t="shared" si="178"/>
        <v/>
      </c>
      <c r="G2253" t="str">
        <f t="shared" si="179"/>
        <v/>
      </c>
    </row>
    <row r="2254" spans="1:7" x14ac:dyDescent="0.4">
      <c r="A2254" t="str">
        <f t="shared" si="175"/>
        <v/>
      </c>
      <c r="B2254" t="str">
        <f t="shared" si="176"/>
        <v/>
      </c>
      <c r="C2254" t="str">
        <f t="shared" si="177"/>
        <v/>
      </c>
      <c r="D2254" t="str">
        <f>IF(E2254="","",IF(COUNTIF($E$2:E2254,E2254)&gt;1,"",SUMIFS(tbl_input[필요수량],tbl_input[집계키_지청],E2254)))</f>
        <v/>
      </c>
      <c r="E2254" t="str">
        <f>IFERROR(INDEX(tbl_input[집계키_지청],ROW()-1),"")</f>
        <v/>
      </c>
      <c r="F2254" t="str">
        <f t="shared" si="178"/>
        <v/>
      </c>
      <c r="G2254" t="str">
        <f t="shared" si="179"/>
        <v/>
      </c>
    </row>
    <row r="2255" spans="1:7" x14ac:dyDescent="0.4">
      <c r="A2255" t="str">
        <f t="shared" si="175"/>
        <v/>
      </c>
      <c r="B2255" t="str">
        <f t="shared" si="176"/>
        <v/>
      </c>
      <c r="C2255" t="str">
        <f t="shared" si="177"/>
        <v/>
      </c>
      <c r="D2255" t="str">
        <f>IF(E2255="","",IF(COUNTIF($E$2:E2255,E2255)&gt;1,"",SUMIFS(tbl_input[필요수량],tbl_input[집계키_지청],E2255)))</f>
        <v/>
      </c>
      <c r="E2255" t="str">
        <f>IFERROR(INDEX(tbl_input[집계키_지청],ROW()-1),"")</f>
        <v/>
      </c>
      <c r="F2255" t="str">
        <f t="shared" si="178"/>
        <v/>
      </c>
      <c r="G2255" t="str">
        <f t="shared" si="179"/>
        <v/>
      </c>
    </row>
    <row r="2256" spans="1:7" x14ac:dyDescent="0.4">
      <c r="A2256" t="str">
        <f t="shared" si="175"/>
        <v/>
      </c>
      <c r="B2256" t="str">
        <f t="shared" si="176"/>
        <v/>
      </c>
      <c r="C2256" t="str">
        <f t="shared" si="177"/>
        <v/>
      </c>
      <c r="D2256" t="str">
        <f>IF(E2256="","",IF(COUNTIF($E$2:E2256,E2256)&gt;1,"",SUMIFS(tbl_input[필요수량],tbl_input[집계키_지청],E2256)))</f>
        <v/>
      </c>
      <c r="E2256" t="str">
        <f>IFERROR(INDEX(tbl_input[집계키_지청],ROW()-1),"")</f>
        <v/>
      </c>
      <c r="F2256" t="str">
        <f t="shared" si="178"/>
        <v/>
      </c>
      <c r="G2256" t="str">
        <f t="shared" si="179"/>
        <v/>
      </c>
    </row>
    <row r="2257" spans="1:7" x14ac:dyDescent="0.4">
      <c r="A2257" t="str">
        <f t="shared" si="175"/>
        <v/>
      </c>
      <c r="B2257" t="str">
        <f t="shared" si="176"/>
        <v/>
      </c>
      <c r="C2257" t="str">
        <f t="shared" si="177"/>
        <v/>
      </c>
      <c r="D2257" t="str">
        <f>IF(E2257="","",IF(COUNTIF($E$2:E2257,E2257)&gt;1,"",SUMIFS(tbl_input[필요수량],tbl_input[집계키_지청],E2257)))</f>
        <v/>
      </c>
      <c r="E2257" t="str">
        <f>IFERROR(INDEX(tbl_input[집계키_지청],ROW()-1),"")</f>
        <v/>
      </c>
      <c r="F2257" t="str">
        <f t="shared" si="178"/>
        <v/>
      </c>
      <c r="G2257" t="str">
        <f t="shared" si="179"/>
        <v/>
      </c>
    </row>
    <row r="2258" spans="1:7" x14ac:dyDescent="0.4">
      <c r="A2258" t="str">
        <f t="shared" si="175"/>
        <v/>
      </c>
      <c r="B2258" t="str">
        <f t="shared" si="176"/>
        <v/>
      </c>
      <c r="C2258" t="str">
        <f t="shared" si="177"/>
        <v/>
      </c>
      <c r="D2258" t="str">
        <f>IF(E2258="","",IF(COUNTIF($E$2:E2258,E2258)&gt;1,"",SUMIFS(tbl_input[필요수량],tbl_input[집계키_지청],E2258)))</f>
        <v/>
      </c>
      <c r="E2258" t="str">
        <f>IFERROR(INDEX(tbl_input[집계키_지청],ROW()-1),"")</f>
        <v/>
      </c>
      <c r="F2258" t="str">
        <f t="shared" si="178"/>
        <v/>
      </c>
      <c r="G2258" t="str">
        <f t="shared" si="179"/>
        <v/>
      </c>
    </row>
    <row r="2259" spans="1:7" x14ac:dyDescent="0.4">
      <c r="A2259" t="str">
        <f t="shared" si="175"/>
        <v/>
      </c>
      <c r="B2259" t="str">
        <f t="shared" si="176"/>
        <v/>
      </c>
      <c r="C2259" t="str">
        <f t="shared" si="177"/>
        <v/>
      </c>
      <c r="D2259" t="str">
        <f>IF(E2259="","",IF(COUNTIF($E$2:E2259,E2259)&gt;1,"",SUMIFS(tbl_input[필요수량],tbl_input[집계키_지청],E2259)))</f>
        <v/>
      </c>
      <c r="E2259" t="str">
        <f>IFERROR(INDEX(tbl_input[집계키_지청],ROW()-1),"")</f>
        <v/>
      </c>
      <c r="F2259" t="str">
        <f t="shared" si="178"/>
        <v/>
      </c>
      <c r="G2259" t="str">
        <f t="shared" si="179"/>
        <v/>
      </c>
    </row>
    <row r="2260" spans="1:7" x14ac:dyDescent="0.4">
      <c r="A2260" t="str">
        <f t="shared" si="175"/>
        <v/>
      </c>
      <c r="B2260" t="str">
        <f t="shared" si="176"/>
        <v/>
      </c>
      <c r="C2260" t="str">
        <f t="shared" si="177"/>
        <v/>
      </c>
      <c r="D2260" t="str">
        <f>IF(E2260="","",IF(COUNTIF($E$2:E2260,E2260)&gt;1,"",SUMIFS(tbl_input[필요수량],tbl_input[집계키_지청],E2260)))</f>
        <v/>
      </c>
      <c r="E2260" t="str">
        <f>IFERROR(INDEX(tbl_input[집계키_지청],ROW()-1),"")</f>
        <v/>
      </c>
      <c r="F2260" t="str">
        <f t="shared" si="178"/>
        <v/>
      </c>
      <c r="G2260" t="str">
        <f t="shared" si="179"/>
        <v/>
      </c>
    </row>
    <row r="2261" spans="1:7" x14ac:dyDescent="0.4">
      <c r="A2261" t="str">
        <f t="shared" si="175"/>
        <v/>
      </c>
      <c r="B2261" t="str">
        <f t="shared" si="176"/>
        <v/>
      </c>
      <c r="C2261" t="str">
        <f t="shared" si="177"/>
        <v/>
      </c>
      <c r="D2261" t="str">
        <f>IF(E2261="","",IF(COUNTIF($E$2:E2261,E2261)&gt;1,"",SUMIFS(tbl_input[필요수량],tbl_input[집계키_지청],E2261)))</f>
        <v/>
      </c>
      <c r="E2261" t="str">
        <f>IFERROR(INDEX(tbl_input[집계키_지청],ROW()-1),"")</f>
        <v/>
      </c>
      <c r="F2261" t="str">
        <f t="shared" si="178"/>
        <v/>
      </c>
      <c r="G2261" t="str">
        <f t="shared" si="179"/>
        <v/>
      </c>
    </row>
    <row r="2262" spans="1:7" x14ac:dyDescent="0.4">
      <c r="A2262" t="str">
        <f t="shared" si="175"/>
        <v/>
      </c>
      <c r="B2262" t="str">
        <f t="shared" si="176"/>
        <v/>
      </c>
      <c r="C2262" t="str">
        <f t="shared" si="177"/>
        <v/>
      </c>
      <c r="D2262" t="str">
        <f>IF(E2262="","",IF(COUNTIF($E$2:E2262,E2262)&gt;1,"",SUMIFS(tbl_input[필요수량],tbl_input[집계키_지청],E2262)))</f>
        <v/>
      </c>
      <c r="E2262" t="str">
        <f>IFERROR(INDEX(tbl_input[집계키_지청],ROW()-1),"")</f>
        <v/>
      </c>
      <c r="F2262" t="str">
        <f t="shared" si="178"/>
        <v/>
      </c>
      <c r="G2262" t="str">
        <f t="shared" si="179"/>
        <v/>
      </c>
    </row>
    <row r="2263" spans="1:7" x14ac:dyDescent="0.4">
      <c r="A2263" t="str">
        <f t="shared" si="175"/>
        <v/>
      </c>
      <c r="B2263" t="str">
        <f t="shared" si="176"/>
        <v/>
      </c>
      <c r="C2263" t="str">
        <f t="shared" si="177"/>
        <v/>
      </c>
      <c r="D2263" t="str">
        <f>IF(E2263="","",IF(COUNTIF($E$2:E2263,E2263)&gt;1,"",SUMIFS(tbl_input[필요수량],tbl_input[집계키_지청],E2263)))</f>
        <v/>
      </c>
      <c r="E2263" t="str">
        <f>IFERROR(INDEX(tbl_input[집계키_지청],ROW()-1),"")</f>
        <v/>
      </c>
      <c r="F2263" t="str">
        <f t="shared" si="178"/>
        <v/>
      </c>
      <c r="G2263" t="str">
        <f t="shared" si="179"/>
        <v/>
      </c>
    </row>
    <row r="2264" spans="1:7" x14ac:dyDescent="0.4">
      <c r="A2264" t="str">
        <f t="shared" si="175"/>
        <v/>
      </c>
      <c r="B2264" t="str">
        <f t="shared" si="176"/>
        <v/>
      </c>
      <c r="C2264" t="str">
        <f t="shared" si="177"/>
        <v/>
      </c>
      <c r="D2264" t="str">
        <f>IF(E2264="","",IF(COUNTIF($E$2:E2264,E2264)&gt;1,"",SUMIFS(tbl_input[필요수량],tbl_input[집계키_지청],E2264)))</f>
        <v/>
      </c>
      <c r="E2264" t="str">
        <f>IFERROR(INDEX(tbl_input[집계키_지청],ROW()-1),"")</f>
        <v/>
      </c>
      <c r="F2264" t="str">
        <f t="shared" si="178"/>
        <v/>
      </c>
      <c r="G2264" t="str">
        <f t="shared" si="179"/>
        <v/>
      </c>
    </row>
    <row r="2265" spans="1:7" x14ac:dyDescent="0.4">
      <c r="A2265" t="str">
        <f t="shared" si="175"/>
        <v/>
      </c>
      <c r="B2265" t="str">
        <f t="shared" si="176"/>
        <v/>
      </c>
      <c r="C2265" t="str">
        <f t="shared" si="177"/>
        <v/>
      </c>
      <c r="D2265" t="str">
        <f>IF(E2265="","",IF(COUNTIF($E$2:E2265,E2265)&gt;1,"",SUMIFS(tbl_input[필요수량],tbl_input[집계키_지청],E2265)))</f>
        <v/>
      </c>
      <c r="E2265" t="str">
        <f>IFERROR(INDEX(tbl_input[집계키_지청],ROW()-1),"")</f>
        <v/>
      </c>
      <c r="F2265" t="str">
        <f t="shared" si="178"/>
        <v/>
      </c>
      <c r="G2265" t="str">
        <f t="shared" si="179"/>
        <v/>
      </c>
    </row>
    <row r="2266" spans="1:7" x14ac:dyDescent="0.4">
      <c r="A2266" t="str">
        <f t="shared" si="175"/>
        <v/>
      </c>
      <c r="B2266" t="str">
        <f t="shared" si="176"/>
        <v/>
      </c>
      <c r="C2266" t="str">
        <f t="shared" si="177"/>
        <v/>
      </c>
      <c r="D2266" t="str">
        <f>IF(E2266="","",IF(COUNTIF($E$2:E2266,E2266)&gt;1,"",SUMIFS(tbl_input[필요수량],tbl_input[집계키_지청],E2266)))</f>
        <v/>
      </c>
      <c r="E2266" t="str">
        <f>IFERROR(INDEX(tbl_input[집계키_지청],ROW()-1),"")</f>
        <v/>
      </c>
      <c r="F2266" t="str">
        <f t="shared" si="178"/>
        <v/>
      </c>
      <c r="G2266" t="str">
        <f t="shared" si="179"/>
        <v/>
      </c>
    </row>
    <row r="2267" spans="1:7" x14ac:dyDescent="0.4">
      <c r="A2267" t="str">
        <f t="shared" si="175"/>
        <v/>
      </c>
      <c r="B2267" t="str">
        <f t="shared" si="176"/>
        <v/>
      </c>
      <c r="C2267" t="str">
        <f t="shared" si="177"/>
        <v/>
      </c>
      <c r="D2267" t="str">
        <f>IF(E2267="","",IF(COUNTIF($E$2:E2267,E2267)&gt;1,"",SUMIFS(tbl_input[필요수량],tbl_input[집계키_지청],E2267)))</f>
        <v/>
      </c>
      <c r="E2267" t="str">
        <f>IFERROR(INDEX(tbl_input[집계키_지청],ROW()-1),"")</f>
        <v/>
      </c>
      <c r="F2267" t="str">
        <f t="shared" si="178"/>
        <v/>
      </c>
      <c r="G2267" t="str">
        <f t="shared" si="179"/>
        <v/>
      </c>
    </row>
    <row r="2268" spans="1:7" x14ac:dyDescent="0.4">
      <c r="A2268" t="str">
        <f t="shared" si="175"/>
        <v/>
      </c>
      <c r="B2268" t="str">
        <f t="shared" si="176"/>
        <v/>
      </c>
      <c r="C2268" t="str">
        <f t="shared" si="177"/>
        <v/>
      </c>
      <c r="D2268" t="str">
        <f>IF(E2268="","",IF(COUNTIF($E$2:E2268,E2268)&gt;1,"",SUMIFS(tbl_input[필요수량],tbl_input[집계키_지청],E2268)))</f>
        <v/>
      </c>
      <c r="E2268" t="str">
        <f>IFERROR(INDEX(tbl_input[집계키_지청],ROW()-1),"")</f>
        <v/>
      </c>
      <c r="F2268" t="str">
        <f t="shared" si="178"/>
        <v/>
      </c>
      <c r="G2268" t="str">
        <f t="shared" si="179"/>
        <v/>
      </c>
    </row>
    <row r="2269" spans="1:7" x14ac:dyDescent="0.4">
      <c r="A2269" t="str">
        <f t="shared" si="175"/>
        <v/>
      </c>
      <c r="B2269" t="str">
        <f t="shared" si="176"/>
        <v/>
      </c>
      <c r="C2269" t="str">
        <f t="shared" si="177"/>
        <v/>
      </c>
      <c r="D2269" t="str">
        <f>IF(E2269="","",IF(COUNTIF($E$2:E2269,E2269)&gt;1,"",SUMIFS(tbl_input[필요수량],tbl_input[집계키_지청],E2269)))</f>
        <v/>
      </c>
      <c r="E2269" t="str">
        <f>IFERROR(INDEX(tbl_input[집계키_지청],ROW()-1),"")</f>
        <v/>
      </c>
      <c r="F2269" t="str">
        <f t="shared" si="178"/>
        <v/>
      </c>
      <c r="G2269" t="str">
        <f t="shared" si="179"/>
        <v/>
      </c>
    </row>
    <row r="2270" spans="1:7" x14ac:dyDescent="0.4">
      <c r="A2270" t="str">
        <f t="shared" si="175"/>
        <v/>
      </c>
      <c r="B2270" t="str">
        <f t="shared" si="176"/>
        <v/>
      </c>
      <c r="C2270" t="str">
        <f t="shared" si="177"/>
        <v/>
      </c>
      <c r="D2270" t="str">
        <f>IF(E2270="","",IF(COUNTIF($E$2:E2270,E2270)&gt;1,"",SUMIFS(tbl_input[필요수량],tbl_input[집계키_지청],E2270)))</f>
        <v/>
      </c>
      <c r="E2270" t="str">
        <f>IFERROR(INDEX(tbl_input[집계키_지청],ROW()-1),"")</f>
        <v/>
      </c>
      <c r="F2270" t="str">
        <f t="shared" si="178"/>
        <v/>
      </c>
      <c r="G2270" t="str">
        <f t="shared" si="179"/>
        <v/>
      </c>
    </row>
    <row r="2271" spans="1:7" x14ac:dyDescent="0.4">
      <c r="A2271" t="str">
        <f t="shared" si="175"/>
        <v/>
      </c>
      <c r="B2271" t="str">
        <f t="shared" si="176"/>
        <v/>
      </c>
      <c r="C2271" t="str">
        <f t="shared" si="177"/>
        <v/>
      </c>
      <c r="D2271" t="str">
        <f>IF(E2271="","",IF(COUNTIF($E$2:E2271,E2271)&gt;1,"",SUMIFS(tbl_input[필요수량],tbl_input[집계키_지청],E2271)))</f>
        <v/>
      </c>
      <c r="E2271" t="str">
        <f>IFERROR(INDEX(tbl_input[집계키_지청],ROW()-1),"")</f>
        <v/>
      </c>
      <c r="F2271" t="str">
        <f t="shared" si="178"/>
        <v/>
      </c>
      <c r="G2271" t="str">
        <f t="shared" si="179"/>
        <v/>
      </c>
    </row>
    <row r="2272" spans="1:7" x14ac:dyDescent="0.4">
      <c r="A2272" t="str">
        <f t="shared" si="175"/>
        <v/>
      </c>
      <c r="B2272" t="str">
        <f t="shared" si="176"/>
        <v/>
      </c>
      <c r="C2272" t="str">
        <f t="shared" si="177"/>
        <v/>
      </c>
      <c r="D2272" t="str">
        <f>IF(E2272="","",IF(COUNTIF($E$2:E2272,E2272)&gt;1,"",SUMIFS(tbl_input[필요수량],tbl_input[집계키_지청],E2272)))</f>
        <v/>
      </c>
      <c r="E2272" t="str">
        <f>IFERROR(INDEX(tbl_input[집계키_지청],ROW()-1),"")</f>
        <v/>
      </c>
      <c r="F2272" t="str">
        <f t="shared" si="178"/>
        <v/>
      </c>
      <c r="G2272" t="str">
        <f t="shared" si="179"/>
        <v/>
      </c>
    </row>
    <row r="2273" spans="1:7" x14ac:dyDescent="0.4">
      <c r="A2273" t="str">
        <f t="shared" si="175"/>
        <v/>
      </c>
      <c r="B2273" t="str">
        <f t="shared" si="176"/>
        <v/>
      </c>
      <c r="C2273" t="str">
        <f t="shared" si="177"/>
        <v/>
      </c>
      <c r="D2273" t="str">
        <f>IF(E2273="","",IF(COUNTIF($E$2:E2273,E2273)&gt;1,"",SUMIFS(tbl_input[필요수량],tbl_input[집계키_지청],E2273)))</f>
        <v/>
      </c>
      <c r="E2273" t="str">
        <f>IFERROR(INDEX(tbl_input[집계키_지청],ROW()-1),"")</f>
        <v/>
      </c>
      <c r="F2273" t="str">
        <f t="shared" si="178"/>
        <v/>
      </c>
      <c r="G2273" t="str">
        <f t="shared" si="179"/>
        <v/>
      </c>
    </row>
    <row r="2274" spans="1:7" x14ac:dyDescent="0.4">
      <c r="A2274" t="str">
        <f t="shared" si="175"/>
        <v/>
      </c>
      <c r="B2274" t="str">
        <f t="shared" si="176"/>
        <v/>
      </c>
      <c r="C2274" t="str">
        <f t="shared" si="177"/>
        <v/>
      </c>
      <c r="D2274" t="str">
        <f>IF(E2274="","",IF(COUNTIF($E$2:E2274,E2274)&gt;1,"",SUMIFS(tbl_input[필요수량],tbl_input[집계키_지청],E2274)))</f>
        <v/>
      </c>
      <c r="E2274" t="str">
        <f>IFERROR(INDEX(tbl_input[집계키_지청],ROW()-1),"")</f>
        <v/>
      </c>
      <c r="F2274" t="str">
        <f t="shared" si="178"/>
        <v/>
      </c>
      <c r="G2274" t="str">
        <f t="shared" si="179"/>
        <v/>
      </c>
    </row>
    <row r="2275" spans="1:7" x14ac:dyDescent="0.4">
      <c r="A2275" t="str">
        <f t="shared" si="175"/>
        <v/>
      </c>
      <c r="B2275" t="str">
        <f t="shared" si="176"/>
        <v/>
      </c>
      <c r="C2275" t="str">
        <f t="shared" si="177"/>
        <v/>
      </c>
      <c r="D2275" t="str">
        <f>IF(E2275="","",IF(COUNTIF($E$2:E2275,E2275)&gt;1,"",SUMIFS(tbl_input[필요수량],tbl_input[집계키_지청],E2275)))</f>
        <v/>
      </c>
      <c r="E2275" t="str">
        <f>IFERROR(INDEX(tbl_input[집계키_지청],ROW()-1),"")</f>
        <v/>
      </c>
      <c r="F2275" t="str">
        <f t="shared" si="178"/>
        <v/>
      </c>
      <c r="G2275" t="str">
        <f t="shared" si="179"/>
        <v/>
      </c>
    </row>
    <row r="2276" spans="1:7" x14ac:dyDescent="0.4">
      <c r="A2276" t="str">
        <f t="shared" si="175"/>
        <v/>
      </c>
      <c r="B2276" t="str">
        <f t="shared" si="176"/>
        <v/>
      </c>
      <c r="C2276" t="str">
        <f t="shared" si="177"/>
        <v/>
      </c>
      <c r="D2276" t="str">
        <f>IF(E2276="","",IF(COUNTIF($E$2:E2276,E2276)&gt;1,"",SUMIFS(tbl_input[필요수량],tbl_input[집계키_지청],E2276)))</f>
        <v/>
      </c>
      <c r="E2276" t="str">
        <f>IFERROR(INDEX(tbl_input[집계키_지청],ROW()-1),"")</f>
        <v/>
      </c>
      <c r="F2276" t="str">
        <f t="shared" si="178"/>
        <v/>
      </c>
      <c r="G2276" t="str">
        <f t="shared" si="179"/>
        <v/>
      </c>
    </row>
    <row r="2277" spans="1:7" x14ac:dyDescent="0.4">
      <c r="A2277" t="str">
        <f t="shared" si="175"/>
        <v/>
      </c>
      <c r="B2277" t="str">
        <f t="shared" si="176"/>
        <v/>
      </c>
      <c r="C2277" t="str">
        <f t="shared" si="177"/>
        <v/>
      </c>
      <c r="D2277" t="str">
        <f>IF(E2277="","",IF(COUNTIF($E$2:E2277,E2277)&gt;1,"",SUMIFS(tbl_input[필요수량],tbl_input[집계키_지청],E2277)))</f>
        <v/>
      </c>
      <c r="E2277" t="str">
        <f>IFERROR(INDEX(tbl_input[집계키_지청],ROW()-1),"")</f>
        <v/>
      </c>
      <c r="F2277" t="str">
        <f t="shared" si="178"/>
        <v/>
      </c>
      <c r="G2277" t="str">
        <f t="shared" si="179"/>
        <v/>
      </c>
    </row>
    <row r="2278" spans="1:7" x14ac:dyDescent="0.4">
      <c r="A2278" t="str">
        <f t="shared" si="175"/>
        <v/>
      </c>
      <c r="B2278" t="str">
        <f t="shared" si="176"/>
        <v/>
      </c>
      <c r="C2278" t="str">
        <f t="shared" si="177"/>
        <v/>
      </c>
      <c r="D2278" t="str">
        <f>IF(E2278="","",IF(COUNTIF($E$2:E2278,E2278)&gt;1,"",SUMIFS(tbl_input[필요수량],tbl_input[집계키_지청],E2278)))</f>
        <v/>
      </c>
      <c r="E2278" t="str">
        <f>IFERROR(INDEX(tbl_input[집계키_지청],ROW()-1),"")</f>
        <v/>
      </c>
      <c r="F2278" t="str">
        <f t="shared" si="178"/>
        <v/>
      </c>
      <c r="G2278" t="str">
        <f t="shared" si="179"/>
        <v/>
      </c>
    </row>
    <row r="2279" spans="1:7" x14ac:dyDescent="0.4">
      <c r="A2279" t="str">
        <f t="shared" si="175"/>
        <v/>
      </c>
      <c r="B2279" t="str">
        <f t="shared" si="176"/>
        <v/>
      </c>
      <c r="C2279" t="str">
        <f t="shared" si="177"/>
        <v/>
      </c>
      <c r="D2279" t="str">
        <f>IF(E2279="","",IF(COUNTIF($E$2:E2279,E2279)&gt;1,"",SUMIFS(tbl_input[필요수량],tbl_input[집계키_지청],E2279)))</f>
        <v/>
      </c>
      <c r="E2279" t="str">
        <f>IFERROR(INDEX(tbl_input[집계키_지청],ROW()-1),"")</f>
        <v/>
      </c>
      <c r="F2279" t="str">
        <f t="shared" si="178"/>
        <v/>
      </c>
      <c r="G2279" t="str">
        <f t="shared" si="179"/>
        <v/>
      </c>
    </row>
    <row r="2280" spans="1:7" x14ac:dyDescent="0.4">
      <c r="A2280" t="str">
        <f t="shared" si="175"/>
        <v/>
      </c>
      <c r="B2280" t="str">
        <f t="shared" si="176"/>
        <v/>
      </c>
      <c r="C2280" t="str">
        <f t="shared" si="177"/>
        <v/>
      </c>
      <c r="D2280" t="str">
        <f>IF(E2280="","",IF(COUNTIF($E$2:E2280,E2280)&gt;1,"",SUMIFS(tbl_input[필요수량],tbl_input[집계키_지청],E2280)))</f>
        <v/>
      </c>
      <c r="E2280" t="str">
        <f>IFERROR(INDEX(tbl_input[집계키_지청],ROW()-1),"")</f>
        <v/>
      </c>
      <c r="F2280" t="str">
        <f t="shared" si="178"/>
        <v/>
      </c>
      <c r="G2280" t="str">
        <f t="shared" si="179"/>
        <v/>
      </c>
    </row>
    <row r="2281" spans="1:7" x14ac:dyDescent="0.4">
      <c r="A2281" t="str">
        <f t="shared" si="175"/>
        <v/>
      </c>
      <c r="B2281" t="str">
        <f t="shared" si="176"/>
        <v/>
      </c>
      <c r="C2281" t="str">
        <f t="shared" si="177"/>
        <v/>
      </c>
      <c r="D2281" t="str">
        <f>IF(E2281="","",IF(COUNTIF($E$2:E2281,E2281)&gt;1,"",SUMIFS(tbl_input[필요수량],tbl_input[집계키_지청],E2281)))</f>
        <v/>
      </c>
      <c r="E2281" t="str">
        <f>IFERROR(INDEX(tbl_input[집계키_지청],ROW()-1),"")</f>
        <v/>
      </c>
      <c r="F2281" t="str">
        <f t="shared" si="178"/>
        <v/>
      </c>
      <c r="G2281" t="str">
        <f t="shared" si="179"/>
        <v/>
      </c>
    </row>
    <row r="2282" spans="1:7" x14ac:dyDescent="0.4">
      <c r="A2282" t="str">
        <f t="shared" si="175"/>
        <v/>
      </c>
      <c r="B2282" t="str">
        <f t="shared" si="176"/>
        <v/>
      </c>
      <c r="C2282" t="str">
        <f t="shared" si="177"/>
        <v/>
      </c>
      <c r="D2282" t="str">
        <f>IF(E2282="","",IF(COUNTIF($E$2:E2282,E2282)&gt;1,"",SUMIFS(tbl_input[필요수량],tbl_input[집계키_지청],E2282)))</f>
        <v/>
      </c>
      <c r="E2282" t="str">
        <f>IFERROR(INDEX(tbl_input[집계키_지청],ROW()-1),"")</f>
        <v/>
      </c>
      <c r="F2282" t="str">
        <f t="shared" si="178"/>
        <v/>
      </c>
      <c r="G2282" t="str">
        <f t="shared" si="179"/>
        <v/>
      </c>
    </row>
    <row r="2283" spans="1:7" x14ac:dyDescent="0.4">
      <c r="A2283" t="str">
        <f t="shared" si="175"/>
        <v/>
      </c>
      <c r="B2283" t="str">
        <f t="shared" si="176"/>
        <v/>
      </c>
      <c r="C2283" t="str">
        <f t="shared" si="177"/>
        <v/>
      </c>
      <c r="D2283" t="str">
        <f>IF(E2283="","",IF(COUNTIF($E$2:E2283,E2283)&gt;1,"",SUMIFS(tbl_input[필요수량],tbl_input[집계키_지청],E2283)))</f>
        <v/>
      </c>
      <c r="E2283" t="str">
        <f>IFERROR(INDEX(tbl_input[집계키_지청],ROW()-1),"")</f>
        <v/>
      </c>
      <c r="F2283" t="str">
        <f t="shared" si="178"/>
        <v/>
      </c>
      <c r="G2283" t="str">
        <f t="shared" si="179"/>
        <v/>
      </c>
    </row>
    <row r="2284" spans="1:7" x14ac:dyDescent="0.4">
      <c r="A2284" t="str">
        <f t="shared" si="175"/>
        <v/>
      </c>
      <c r="B2284" t="str">
        <f t="shared" si="176"/>
        <v/>
      </c>
      <c r="C2284" t="str">
        <f t="shared" si="177"/>
        <v/>
      </c>
      <c r="D2284" t="str">
        <f>IF(E2284="","",IF(COUNTIF($E$2:E2284,E2284)&gt;1,"",SUMIFS(tbl_input[필요수량],tbl_input[집계키_지청],E2284)))</f>
        <v/>
      </c>
      <c r="E2284" t="str">
        <f>IFERROR(INDEX(tbl_input[집계키_지청],ROW()-1),"")</f>
        <v/>
      </c>
      <c r="F2284" t="str">
        <f t="shared" si="178"/>
        <v/>
      </c>
      <c r="G2284" t="str">
        <f t="shared" si="179"/>
        <v/>
      </c>
    </row>
    <row r="2285" spans="1:7" x14ac:dyDescent="0.4">
      <c r="A2285" t="str">
        <f t="shared" si="175"/>
        <v/>
      </c>
      <c r="B2285" t="str">
        <f t="shared" si="176"/>
        <v/>
      </c>
      <c r="C2285" t="str">
        <f t="shared" si="177"/>
        <v/>
      </c>
      <c r="D2285" t="str">
        <f>IF(E2285="","",IF(COUNTIF($E$2:E2285,E2285)&gt;1,"",SUMIFS(tbl_input[필요수량],tbl_input[집계키_지청],E2285)))</f>
        <v/>
      </c>
      <c r="E2285" t="str">
        <f>IFERROR(INDEX(tbl_input[집계키_지청],ROW()-1),"")</f>
        <v/>
      </c>
      <c r="F2285" t="str">
        <f t="shared" si="178"/>
        <v/>
      </c>
      <c r="G2285" t="str">
        <f t="shared" si="179"/>
        <v/>
      </c>
    </row>
    <row r="2286" spans="1:7" x14ac:dyDescent="0.4">
      <c r="A2286" t="str">
        <f t="shared" si="175"/>
        <v/>
      </c>
      <c r="B2286" t="str">
        <f t="shared" si="176"/>
        <v/>
      </c>
      <c r="C2286" t="str">
        <f t="shared" si="177"/>
        <v/>
      </c>
      <c r="D2286" t="str">
        <f>IF(E2286="","",IF(COUNTIF($E$2:E2286,E2286)&gt;1,"",SUMIFS(tbl_input[필요수량],tbl_input[집계키_지청],E2286)))</f>
        <v/>
      </c>
      <c r="E2286" t="str">
        <f>IFERROR(INDEX(tbl_input[집계키_지청],ROW()-1),"")</f>
        <v/>
      </c>
      <c r="F2286" t="str">
        <f t="shared" si="178"/>
        <v/>
      </c>
      <c r="G2286" t="str">
        <f t="shared" si="179"/>
        <v/>
      </c>
    </row>
    <row r="2287" spans="1:7" x14ac:dyDescent="0.4">
      <c r="A2287" t="str">
        <f t="shared" si="175"/>
        <v/>
      </c>
      <c r="B2287" t="str">
        <f t="shared" si="176"/>
        <v/>
      </c>
      <c r="C2287" t="str">
        <f t="shared" si="177"/>
        <v/>
      </c>
      <c r="D2287" t="str">
        <f>IF(E2287="","",IF(COUNTIF($E$2:E2287,E2287)&gt;1,"",SUMIFS(tbl_input[필요수량],tbl_input[집계키_지청],E2287)))</f>
        <v/>
      </c>
      <c r="E2287" t="str">
        <f>IFERROR(INDEX(tbl_input[집계키_지청],ROW()-1),"")</f>
        <v/>
      </c>
      <c r="F2287" t="str">
        <f t="shared" si="178"/>
        <v/>
      </c>
      <c r="G2287" t="str">
        <f t="shared" si="179"/>
        <v/>
      </c>
    </row>
    <row r="2288" spans="1:7" x14ac:dyDescent="0.4">
      <c r="A2288" t="str">
        <f t="shared" si="175"/>
        <v/>
      </c>
      <c r="B2288" t="str">
        <f t="shared" si="176"/>
        <v/>
      </c>
      <c r="C2288" t="str">
        <f t="shared" si="177"/>
        <v/>
      </c>
      <c r="D2288" t="str">
        <f>IF(E2288="","",IF(COUNTIF($E$2:E2288,E2288)&gt;1,"",SUMIFS(tbl_input[필요수량],tbl_input[집계키_지청],E2288)))</f>
        <v/>
      </c>
      <c r="E2288" t="str">
        <f>IFERROR(INDEX(tbl_input[집계키_지청],ROW()-1),"")</f>
        <v/>
      </c>
      <c r="F2288" t="str">
        <f t="shared" si="178"/>
        <v/>
      </c>
      <c r="G2288" t="str">
        <f t="shared" si="179"/>
        <v/>
      </c>
    </row>
    <row r="2289" spans="1:7" x14ac:dyDescent="0.4">
      <c r="A2289" t="str">
        <f t="shared" si="175"/>
        <v/>
      </c>
      <c r="B2289" t="str">
        <f t="shared" si="176"/>
        <v/>
      </c>
      <c r="C2289" t="str">
        <f t="shared" si="177"/>
        <v/>
      </c>
      <c r="D2289" t="str">
        <f>IF(E2289="","",IF(COUNTIF($E$2:E2289,E2289)&gt;1,"",SUMIFS(tbl_input[필요수량],tbl_input[집계키_지청],E2289)))</f>
        <v/>
      </c>
      <c r="E2289" t="str">
        <f>IFERROR(INDEX(tbl_input[집계키_지청],ROW()-1),"")</f>
        <v/>
      </c>
      <c r="F2289" t="str">
        <f t="shared" si="178"/>
        <v/>
      </c>
      <c r="G2289" t="str">
        <f t="shared" si="179"/>
        <v/>
      </c>
    </row>
    <row r="2290" spans="1:7" x14ac:dyDescent="0.4">
      <c r="A2290" t="str">
        <f t="shared" si="175"/>
        <v/>
      </c>
      <c r="B2290" t="str">
        <f t="shared" si="176"/>
        <v/>
      </c>
      <c r="C2290" t="str">
        <f t="shared" si="177"/>
        <v/>
      </c>
      <c r="D2290" t="str">
        <f>IF(E2290="","",IF(COUNTIF($E$2:E2290,E2290)&gt;1,"",SUMIFS(tbl_input[필요수량],tbl_input[집계키_지청],E2290)))</f>
        <v/>
      </c>
      <c r="E2290" t="str">
        <f>IFERROR(INDEX(tbl_input[집계키_지청],ROW()-1),"")</f>
        <v/>
      </c>
      <c r="F2290" t="str">
        <f t="shared" si="178"/>
        <v/>
      </c>
      <c r="G2290" t="str">
        <f t="shared" si="179"/>
        <v/>
      </c>
    </row>
    <row r="2291" spans="1:7" x14ac:dyDescent="0.4">
      <c r="A2291" t="str">
        <f t="shared" si="175"/>
        <v/>
      </c>
      <c r="B2291" t="str">
        <f t="shared" si="176"/>
        <v/>
      </c>
      <c r="C2291" t="str">
        <f t="shared" si="177"/>
        <v/>
      </c>
      <c r="D2291" t="str">
        <f>IF(E2291="","",IF(COUNTIF($E$2:E2291,E2291)&gt;1,"",SUMIFS(tbl_input[필요수량],tbl_input[집계키_지청],E2291)))</f>
        <v/>
      </c>
      <c r="E2291" t="str">
        <f>IFERROR(INDEX(tbl_input[집계키_지청],ROW()-1),"")</f>
        <v/>
      </c>
      <c r="F2291" t="str">
        <f t="shared" si="178"/>
        <v/>
      </c>
      <c r="G2291" t="str">
        <f t="shared" si="179"/>
        <v/>
      </c>
    </row>
    <row r="2292" spans="1:7" x14ac:dyDescent="0.4">
      <c r="A2292" t="str">
        <f t="shared" si="175"/>
        <v/>
      </c>
      <c r="B2292" t="str">
        <f t="shared" si="176"/>
        <v/>
      </c>
      <c r="C2292" t="str">
        <f t="shared" si="177"/>
        <v/>
      </c>
      <c r="D2292" t="str">
        <f>IF(E2292="","",IF(COUNTIF($E$2:E2292,E2292)&gt;1,"",SUMIFS(tbl_input[필요수량],tbl_input[집계키_지청],E2292)))</f>
        <v/>
      </c>
      <c r="E2292" t="str">
        <f>IFERROR(INDEX(tbl_input[집계키_지청],ROW()-1),"")</f>
        <v/>
      </c>
      <c r="F2292" t="str">
        <f t="shared" si="178"/>
        <v/>
      </c>
      <c r="G2292" t="str">
        <f t="shared" si="179"/>
        <v/>
      </c>
    </row>
    <row r="2293" spans="1:7" x14ac:dyDescent="0.4">
      <c r="A2293" t="str">
        <f t="shared" si="175"/>
        <v/>
      </c>
      <c r="B2293" t="str">
        <f t="shared" si="176"/>
        <v/>
      </c>
      <c r="C2293" t="str">
        <f t="shared" si="177"/>
        <v/>
      </c>
      <c r="D2293" t="str">
        <f>IF(E2293="","",IF(COUNTIF($E$2:E2293,E2293)&gt;1,"",SUMIFS(tbl_input[필요수량],tbl_input[집계키_지청],E2293)))</f>
        <v/>
      </c>
      <c r="E2293" t="str">
        <f>IFERROR(INDEX(tbl_input[집계키_지청],ROW()-1),"")</f>
        <v/>
      </c>
      <c r="F2293" t="str">
        <f t="shared" si="178"/>
        <v/>
      </c>
      <c r="G2293" t="str">
        <f t="shared" si="179"/>
        <v/>
      </c>
    </row>
    <row r="2294" spans="1:7" x14ac:dyDescent="0.4">
      <c r="A2294" t="str">
        <f t="shared" si="175"/>
        <v/>
      </c>
      <c r="B2294" t="str">
        <f t="shared" si="176"/>
        <v/>
      </c>
      <c r="C2294" t="str">
        <f t="shared" si="177"/>
        <v/>
      </c>
      <c r="D2294" t="str">
        <f>IF(E2294="","",IF(COUNTIF($E$2:E2294,E2294)&gt;1,"",SUMIFS(tbl_input[필요수량],tbl_input[집계키_지청],E2294)))</f>
        <v/>
      </c>
      <c r="E2294" t="str">
        <f>IFERROR(INDEX(tbl_input[집계키_지청],ROW()-1),"")</f>
        <v/>
      </c>
      <c r="F2294" t="str">
        <f t="shared" si="178"/>
        <v/>
      </c>
      <c r="G2294" t="str">
        <f t="shared" si="179"/>
        <v/>
      </c>
    </row>
    <row r="2295" spans="1:7" x14ac:dyDescent="0.4">
      <c r="A2295" t="str">
        <f t="shared" si="175"/>
        <v/>
      </c>
      <c r="B2295" t="str">
        <f t="shared" si="176"/>
        <v/>
      </c>
      <c r="C2295" t="str">
        <f t="shared" si="177"/>
        <v/>
      </c>
      <c r="D2295" t="str">
        <f>IF(E2295="","",IF(COUNTIF($E$2:E2295,E2295)&gt;1,"",SUMIFS(tbl_input[필요수량],tbl_input[집계키_지청],E2295)))</f>
        <v/>
      </c>
      <c r="E2295" t="str">
        <f>IFERROR(INDEX(tbl_input[집계키_지청],ROW()-1),"")</f>
        <v/>
      </c>
      <c r="F2295" t="str">
        <f t="shared" si="178"/>
        <v/>
      </c>
      <c r="G2295" t="str">
        <f t="shared" si="179"/>
        <v/>
      </c>
    </row>
    <row r="2296" spans="1:7" x14ac:dyDescent="0.4">
      <c r="A2296" t="str">
        <f t="shared" si="175"/>
        <v/>
      </c>
      <c r="B2296" t="str">
        <f t="shared" si="176"/>
        <v/>
      </c>
      <c r="C2296" t="str">
        <f t="shared" si="177"/>
        <v/>
      </c>
      <c r="D2296" t="str">
        <f>IF(E2296="","",IF(COUNTIF($E$2:E2296,E2296)&gt;1,"",SUMIFS(tbl_input[필요수량],tbl_input[집계키_지청],E2296)))</f>
        <v/>
      </c>
      <c r="E2296" t="str">
        <f>IFERROR(INDEX(tbl_input[집계키_지청],ROW()-1),"")</f>
        <v/>
      </c>
      <c r="F2296" t="str">
        <f t="shared" si="178"/>
        <v/>
      </c>
      <c r="G2296" t="str">
        <f t="shared" si="179"/>
        <v/>
      </c>
    </row>
    <row r="2297" spans="1:7" x14ac:dyDescent="0.4">
      <c r="A2297" t="str">
        <f t="shared" si="175"/>
        <v/>
      </c>
      <c r="B2297" t="str">
        <f t="shared" si="176"/>
        <v/>
      </c>
      <c r="C2297" t="str">
        <f t="shared" si="177"/>
        <v/>
      </c>
      <c r="D2297" t="str">
        <f>IF(E2297="","",IF(COUNTIF($E$2:E2297,E2297)&gt;1,"",SUMIFS(tbl_input[필요수량],tbl_input[집계키_지청],E2297)))</f>
        <v/>
      </c>
      <c r="E2297" t="str">
        <f>IFERROR(INDEX(tbl_input[집계키_지청],ROW()-1),"")</f>
        <v/>
      </c>
      <c r="F2297" t="str">
        <f t="shared" si="178"/>
        <v/>
      </c>
      <c r="G2297" t="str">
        <f t="shared" si="179"/>
        <v/>
      </c>
    </row>
    <row r="2298" spans="1:7" x14ac:dyDescent="0.4">
      <c r="A2298" t="str">
        <f t="shared" si="175"/>
        <v/>
      </c>
      <c r="B2298" t="str">
        <f t="shared" si="176"/>
        <v/>
      </c>
      <c r="C2298" t="str">
        <f t="shared" si="177"/>
        <v/>
      </c>
      <c r="D2298" t="str">
        <f>IF(E2298="","",IF(COUNTIF($E$2:E2298,E2298)&gt;1,"",SUMIFS(tbl_input[필요수량],tbl_input[집계키_지청],E2298)))</f>
        <v/>
      </c>
      <c r="E2298" t="str">
        <f>IFERROR(INDEX(tbl_input[집계키_지청],ROW()-1),"")</f>
        <v/>
      </c>
      <c r="F2298" t="str">
        <f t="shared" si="178"/>
        <v/>
      </c>
      <c r="G2298" t="str">
        <f t="shared" si="179"/>
        <v/>
      </c>
    </row>
    <row r="2299" spans="1:7" x14ac:dyDescent="0.4">
      <c r="A2299" t="str">
        <f t="shared" si="175"/>
        <v/>
      </c>
      <c r="B2299" t="str">
        <f t="shared" si="176"/>
        <v/>
      </c>
      <c r="C2299" t="str">
        <f t="shared" si="177"/>
        <v/>
      </c>
      <c r="D2299" t="str">
        <f>IF(E2299="","",IF(COUNTIF($E$2:E2299,E2299)&gt;1,"",SUMIFS(tbl_input[필요수량],tbl_input[집계키_지청],E2299)))</f>
        <v/>
      </c>
      <c r="E2299" t="str">
        <f>IFERROR(INDEX(tbl_input[집계키_지청],ROW()-1),"")</f>
        <v/>
      </c>
      <c r="F2299" t="str">
        <f t="shared" si="178"/>
        <v/>
      </c>
      <c r="G2299" t="str">
        <f t="shared" si="179"/>
        <v/>
      </c>
    </row>
    <row r="2300" spans="1:7" x14ac:dyDescent="0.4">
      <c r="A2300" t="str">
        <f t="shared" si="175"/>
        <v/>
      </c>
      <c r="B2300" t="str">
        <f t="shared" si="176"/>
        <v/>
      </c>
      <c r="C2300" t="str">
        <f t="shared" si="177"/>
        <v/>
      </c>
      <c r="D2300" t="str">
        <f>IF(E2300="","",IF(COUNTIF($E$2:E2300,E2300)&gt;1,"",SUMIFS(tbl_input[필요수량],tbl_input[집계키_지청],E2300)))</f>
        <v/>
      </c>
      <c r="E2300" t="str">
        <f>IFERROR(INDEX(tbl_input[집계키_지청],ROW()-1),"")</f>
        <v/>
      </c>
      <c r="F2300" t="str">
        <f t="shared" si="178"/>
        <v/>
      </c>
      <c r="G2300" t="str">
        <f t="shared" si="179"/>
        <v/>
      </c>
    </row>
    <row r="2301" spans="1:7" x14ac:dyDescent="0.4">
      <c r="A2301" t="str">
        <f t="shared" si="175"/>
        <v/>
      </c>
      <c r="B2301" t="str">
        <f t="shared" si="176"/>
        <v/>
      </c>
      <c r="C2301" t="str">
        <f t="shared" si="177"/>
        <v/>
      </c>
      <c r="D2301" t="str">
        <f>IF(E2301="","",IF(COUNTIF($E$2:E2301,E2301)&gt;1,"",SUMIFS(tbl_input[필요수량],tbl_input[집계키_지청],E2301)))</f>
        <v/>
      </c>
      <c r="E2301" t="str">
        <f>IFERROR(INDEX(tbl_input[집계키_지청],ROW()-1),"")</f>
        <v/>
      </c>
      <c r="F2301" t="str">
        <f t="shared" si="178"/>
        <v/>
      </c>
      <c r="G2301" t="str">
        <f t="shared" si="179"/>
        <v/>
      </c>
    </row>
    <row r="2302" spans="1:7" x14ac:dyDescent="0.4">
      <c r="A2302" t="str">
        <f t="shared" si="175"/>
        <v/>
      </c>
      <c r="B2302" t="str">
        <f t="shared" si="176"/>
        <v/>
      </c>
      <c r="C2302" t="str">
        <f t="shared" si="177"/>
        <v/>
      </c>
      <c r="D2302" t="str">
        <f>IF(E2302="","",IF(COUNTIF($E$2:E2302,E2302)&gt;1,"",SUMIFS(tbl_input[필요수량],tbl_input[집계키_지청],E2302)))</f>
        <v/>
      </c>
      <c r="E2302" t="str">
        <f>IFERROR(INDEX(tbl_input[집계키_지청],ROW()-1),"")</f>
        <v/>
      </c>
      <c r="F2302" t="str">
        <f t="shared" si="178"/>
        <v/>
      </c>
      <c r="G2302" t="str">
        <f t="shared" si="179"/>
        <v/>
      </c>
    </row>
    <row r="2303" spans="1:7" x14ac:dyDescent="0.4">
      <c r="A2303" t="str">
        <f t="shared" si="175"/>
        <v/>
      </c>
      <c r="B2303" t="str">
        <f t="shared" si="176"/>
        <v/>
      </c>
      <c r="C2303" t="str">
        <f t="shared" si="177"/>
        <v/>
      </c>
      <c r="D2303" t="str">
        <f>IF(E2303="","",IF(COUNTIF($E$2:E2303,E2303)&gt;1,"",SUMIFS(tbl_input[필요수량],tbl_input[집계키_지청],E2303)))</f>
        <v/>
      </c>
      <c r="E2303" t="str">
        <f>IFERROR(INDEX(tbl_input[집계키_지청],ROW()-1),"")</f>
        <v/>
      </c>
      <c r="F2303" t="str">
        <f t="shared" si="178"/>
        <v/>
      </c>
      <c r="G2303" t="str">
        <f t="shared" si="179"/>
        <v/>
      </c>
    </row>
    <row r="2304" spans="1:7" x14ac:dyDescent="0.4">
      <c r="A2304" t="str">
        <f t="shared" si="175"/>
        <v/>
      </c>
      <c r="B2304" t="str">
        <f t="shared" si="176"/>
        <v/>
      </c>
      <c r="C2304" t="str">
        <f t="shared" si="177"/>
        <v/>
      </c>
      <c r="D2304" t="str">
        <f>IF(E2304="","",IF(COUNTIF($E$2:E2304,E2304)&gt;1,"",SUMIFS(tbl_input[필요수량],tbl_input[집계키_지청],E2304)))</f>
        <v/>
      </c>
      <c r="E2304" t="str">
        <f>IFERROR(INDEX(tbl_input[집계키_지청],ROW()-1),"")</f>
        <v/>
      </c>
      <c r="F2304" t="str">
        <f t="shared" si="178"/>
        <v/>
      </c>
      <c r="G2304" t="str">
        <f t="shared" si="179"/>
        <v/>
      </c>
    </row>
    <row r="2305" spans="1:7" x14ac:dyDescent="0.4">
      <c r="A2305" t="str">
        <f t="shared" si="175"/>
        <v/>
      </c>
      <c r="B2305" t="str">
        <f t="shared" si="176"/>
        <v/>
      </c>
      <c r="C2305" t="str">
        <f t="shared" si="177"/>
        <v/>
      </c>
      <c r="D2305" t="str">
        <f>IF(E2305="","",IF(COUNTIF($E$2:E2305,E2305)&gt;1,"",SUMIFS(tbl_input[필요수량],tbl_input[집계키_지청],E2305)))</f>
        <v/>
      </c>
      <c r="E2305" t="str">
        <f>IFERROR(INDEX(tbl_input[집계키_지청],ROW()-1),"")</f>
        <v/>
      </c>
      <c r="F2305" t="str">
        <f t="shared" si="178"/>
        <v/>
      </c>
      <c r="G2305" t="str">
        <f t="shared" si="179"/>
        <v/>
      </c>
    </row>
    <row r="2306" spans="1:7" x14ac:dyDescent="0.4">
      <c r="A2306" t="str">
        <f t="shared" ref="A2306:A2369" si="180">IF(E2306="","",LEFT(E2306,F2306-1))</f>
        <v/>
      </c>
      <c r="B2306" t="str">
        <f t="shared" ref="B2306:B2369" si="181">IF(E2306="","",MID(E2306,F2306+1,G2306-F2306-1))</f>
        <v/>
      </c>
      <c r="C2306" t="str">
        <f t="shared" ref="C2306:C2369" si="182">IF(E2306="","",MID(E2306,G2306+1,999))</f>
        <v/>
      </c>
      <c r="D2306" t="str">
        <f>IF(E2306="","",IF(COUNTIF($E$2:E2306,E2306)&gt;1,"",SUMIFS(tbl_input[필요수량],tbl_input[집계키_지청],E2306)))</f>
        <v/>
      </c>
      <c r="E2306" t="str">
        <f>IFERROR(INDEX(tbl_input[집계키_지청],ROW()-1),"")</f>
        <v/>
      </c>
      <c r="F2306" t="str">
        <f t="shared" ref="F2306:F2369" si="183">IF(E2306="","",FIND("♦",E2306))</f>
        <v/>
      </c>
      <c r="G2306" t="str">
        <f t="shared" ref="G2306:G2369" si="184">IF(E2306="","",FIND("♦",E2306,F2306+1))</f>
        <v/>
      </c>
    </row>
    <row r="2307" spans="1:7" x14ac:dyDescent="0.4">
      <c r="A2307" t="str">
        <f t="shared" si="180"/>
        <v/>
      </c>
      <c r="B2307" t="str">
        <f t="shared" si="181"/>
        <v/>
      </c>
      <c r="C2307" t="str">
        <f t="shared" si="182"/>
        <v/>
      </c>
      <c r="D2307" t="str">
        <f>IF(E2307="","",IF(COUNTIF($E$2:E2307,E2307)&gt;1,"",SUMIFS(tbl_input[필요수량],tbl_input[집계키_지청],E2307)))</f>
        <v/>
      </c>
      <c r="E2307" t="str">
        <f>IFERROR(INDEX(tbl_input[집계키_지청],ROW()-1),"")</f>
        <v/>
      </c>
      <c r="F2307" t="str">
        <f t="shared" si="183"/>
        <v/>
      </c>
      <c r="G2307" t="str">
        <f t="shared" si="184"/>
        <v/>
      </c>
    </row>
    <row r="2308" spans="1:7" x14ac:dyDescent="0.4">
      <c r="A2308" t="str">
        <f t="shared" si="180"/>
        <v/>
      </c>
      <c r="B2308" t="str">
        <f t="shared" si="181"/>
        <v/>
      </c>
      <c r="C2308" t="str">
        <f t="shared" si="182"/>
        <v/>
      </c>
      <c r="D2308" t="str">
        <f>IF(E2308="","",IF(COUNTIF($E$2:E2308,E2308)&gt;1,"",SUMIFS(tbl_input[필요수량],tbl_input[집계키_지청],E2308)))</f>
        <v/>
      </c>
      <c r="E2308" t="str">
        <f>IFERROR(INDEX(tbl_input[집계키_지청],ROW()-1),"")</f>
        <v/>
      </c>
      <c r="F2308" t="str">
        <f t="shared" si="183"/>
        <v/>
      </c>
      <c r="G2308" t="str">
        <f t="shared" si="184"/>
        <v/>
      </c>
    </row>
    <row r="2309" spans="1:7" x14ac:dyDescent="0.4">
      <c r="A2309" t="str">
        <f t="shared" si="180"/>
        <v/>
      </c>
      <c r="B2309" t="str">
        <f t="shared" si="181"/>
        <v/>
      </c>
      <c r="C2309" t="str">
        <f t="shared" si="182"/>
        <v/>
      </c>
      <c r="D2309" t="str">
        <f>IF(E2309="","",IF(COUNTIF($E$2:E2309,E2309)&gt;1,"",SUMIFS(tbl_input[필요수량],tbl_input[집계키_지청],E2309)))</f>
        <v/>
      </c>
      <c r="E2309" t="str">
        <f>IFERROR(INDEX(tbl_input[집계키_지청],ROW()-1),"")</f>
        <v/>
      </c>
      <c r="F2309" t="str">
        <f t="shared" si="183"/>
        <v/>
      </c>
      <c r="G2309" t="str">
        <f t="shared" si="184"/>
        <v/>
      </c>
    </row>
    <row r="2310" spans="1:7" x14ac:dyDescent="0.4">
      <c r="A2310" t="str">
        <f t="shared" si="180"/>
        <v/>
      </c>
      <c r="B2310" t="str">
        <f t="shared" si="181"/>
        <v/>
      </c>
      <c r="C2310" t="str">
        <f t="shared" si="182"/>
        <v/>
      </c>
      <c r="D2310" t="str">
        <f>IF(E2310="","",IF(COUNTIF($E$2:E2310,E2310)&gt;1,"",SUMIFS(tbl_input[필요수량],tbl_input[집계키_지청],E2310)))</f>
        <v/>
      </c>
      <c r="E2310" t="str">
        <f>IFERROR(INDEX(tbl_input[집계키_지청],ROW()-1),"")</f>
        <v/>
      </c>
      <c r="F2310" t="str">
        <f t="shared" si="183"/>
        <v/>
      </c>
      <c r="G2310" t="str">
        <f t="shared" si="184"/>
        <v/>
      </c>
    </row>
    <row r="2311" spans="1:7" x14ac:dyDescent="0.4">
      <c r="A2311" t="str">
        <f t="shared" si="180"/>
        <v/>
      </c>
      <c r="B2311" t="str">
        <f t="shared" si="181"/>
        <v/>
      </c>
      <c r="C2311" t="str">
        <f t="shared" si="182"/>
        <v/>
      </c>
      <c r="D2311" t="str">
        <f>IF(E2311="","",IF(COUNTIF($E$2:E2311,E2311)&gt;1,"",SUMIFS(tbl_input[필요수량],tbl_input[집계키_지청],E2311)))</f>
        <v/>
      </c>
      <c r="E2311" t="str">
        <f>IFERROR(INDEX(tbl_input[집계키_지청],ROW()-1),"")</f>
        <v/>
      </c>
      <c r="F2311" t="str">
        <f t="shared" si="183"/>
        <v/>
      </c>
      <c r="G2311" t="str">
        <f t="shared" si="184"/>
        <v/>
      </c>
    </row>
    <row r="2312" spans="1:7" x14ac:dyDescent="0.4">
      <c r="A2312" t="str">
        <f t="shared" si="180"/>
        <v/>
      </c>
      <c r="B2312" t="str">
        <f t="shared" si="181"/>
        <v/>
      </c>
      <c r="C2312" t="str">
        <f t="shared" si="182"/>
        <v/>
      </c>
      <c r="D2312" t="str">
        <f>IF(E2312="","",IF(COUNTIF($E$2:E2312,E2312)&gt;1,"",SUMIFS(tbl_input[필요수량],tbl_input[집계키_지청],E2312)))</f>
        <v/>
      </c>
      <c r="E2312" t="str">
        <f>IFERROR(INDEX(tbl_input[집계키_지청],ROW()-1),"")</f>
        <v/>
      </c>
      <c r="F2312" t="str">
        <f t="shared" si="183"/>
        <v/>
      </c>
      <c r="G2312" t="str">
        <f t="shared" si="184"/>
        <v/>
      </c>
    </row>
    <row r="2313" spans="1:7" x14ac:dyDescent="0.4">
      <c r="A2313" t="str">
        <f t="shared" si="180"/>
        <v/>
      </c>
      <c r="B2313" t="str">
        <f t="shared" si="181"/>
        <v/>
      </c>
      <c r="C2313" t="str">
        <f t="shared" si="182"/>
        <v/>
      </c>
      <c r="D2313" t="str">
        <f>IF(E2313="","",IF(COUNTIF($E$2:E2313,E2313)&gt;1,"",SUMIFS(tbl_input[필요수량],tbl_input[집계키_지청],E2313)))</f>
        <v/>
      </c>
      <c r="E2313" t="str">
        <f>IFERROR(INDEX(tbl_input[집계키_지청],ROW()-1),"")</f>
        <v/>
      </c>
      <c r="F2313" t="str">
        <f t="shared" si="183"/>
        <v/>
      </c>
      <c r="G2313" t="str">
        <f t="shared" si="184"/>
        <v/>
      </c>
    </row>
    <row r="2314" spans="1:7" x14ac:dyDescent="0.4">
      <c r="A2314" t="str">
        <f t="shared" si="180"/>
        <v/>
      </c>
      <c r="B2314" t="str">
        <f t="shared" si="181"/>
        <v/>
      </c>
      <c r="C2314" t="str">
        <f t="shared" si="182"/>
        <v/>
      </c>
      <c r="D2314" t="str">
        <f>IF(E2314="","",IF(COUNTIF($E$2:E2314,E2314)&gt;1,"",SUMIFS(tbl_input[필요수량],tbl_input[집계키_지청],E2314)))</f>
        <v/>
      </c>
      <c r="E2314" t="str">
        <f>IFERROR(INDEX(tbl_input[집계키_지청],ROW()-1),"")</f>
        <v/>
      </c>
      <c r="F2314" t="str">
        <f t="shared" si="183"/>
        <v/>
      </c>
      <c r="G2314" t="str">
        <f t="shared" si="184"/>
        <v/>
      </c>
    </row>
    <row r="2315" spans="1:7" x14ac:dyDescent="0.4">
      <c r="A2315" t="str">
        <f t="shared" si="180"/>
        <v/>
      </c>
      <c r="B2315" t="str">
        <f t="shared" si="181"/>
        <v/>
      </c>
      <c r="C2315" t="str">
        <f t="shared" si="182"/>
        <v/>
      </c>
      <c r="D2315" t="str">
        <f>IF(E2315="","",IF(COUNTIF($E$2:E2315,E2315)&gt;1,"",SUMIFS(tbl_input[필요수량],tbl_input[집계키_지청],E2315)))</f>
        <v/>
      </c>
      <c r="E2315" t="str">
        <f>IFERROR(INDEX(tbl_input[집계키_지청],ROW()-1),"")</f>
        <v/>
      </c>
      <c r="F2315" t="str">
        <f t="shared" si="183"/>
        <v/>
      </c>
      <c r="G2315" t="str">
        <f t="shared" si="184"/>
        <v/>
      </c>
    </row>
    <row r="2316" spans="1:7" x14ac:dyDescent="0.4">
      <c r="A2316" t="str">
        <f t="shared" si="180"/>
        <v/>
      </c>
      <c r="B2316" t="str">
        <f t="shared" si="181"/>
        <v/>
      </c>
      <c r="C2316" t="str">
        <f t="shared" si="182"/>
        <v/>
      </c>
      <c r="D2316" t="str">
        <f>IF(E2316="","",IF(COUNTIF($E$2:E2316,E2316)&gt;1,"",SUMIFS(tbl_input[필요수량],tbl_input[집계키_지청],E2316)))</f>
        <v/>
      </c>
      <c r="E2316" t="str">
        <f>IFERROR(INDEX(tbl_input[집계키_지청],ROW()-1),"")</f>
        <v/>
      </c>
      <c r="F2316" t="str">
        <f t="shared" si="183"/>
        <v/>
      </c>
      <c r="G2316" t="str">
        <f t="shared" si="184"/>
        <v/>
      </c>
    </row>
    <row r="2317" spans="1:7" x14ac:dyDescent="0.4">
      <c r="A2317" t="str">
        <f t="shared" si="180"/>
        <v/>
      </c>
      <c r="B2317" t="str">
        <f t="shared" si="181"/>
        <v/>
      </c>
      <c r="C2317" t="str">
        <f t="shared" si="182"/>
        <v/>
      </c>
      <c r="D2317" t="str">
        <f>IF(E2317="","",IF(COUNTIF($E$2:E2317,E2317)&gt;1,"",SUMIFS(tbl_input[필요수량],tbl_input[집계키_지청],E2317)))</f>
        <v/>
      </c>
      <c r="E2317" t="str">
        <f>IFERROR(INDEX(tbl_input[집계키_지청],ROW()-1),"")</f>
        <v/>
      </c>
      <c r="F2317" t="str">
        <f t="shared" si="183"/>
        <v/>
      </c>
      <c r="G2317" t="str">
        <f t="shared" si="184"/>
        <v/>
      </c>
    </row>
    <row r="2318" spans="1:7" x14ac:dyDescent="0.4">
      <c r="A2318" t="str">
        <f t="shared" si="180"/>
        <v/>
      </c>
      <c r="B2318" t="str">
        <f t="shared" si="181"/>
        <v/>
      </c>
      <c r="C2318" t="str">
        <f t="shared" si="182"/>
        <v/>
      </c>
      <c r="D2318" t="str">
        <f>IF(E2318="","",IF(COUNTIF($E$2:E2318,E2318)&gt;1,"",SUMIFS(tbl_input[필요수량],tbl_input[집계키_지청],E2318)))</f>
        <v/>
      </c>
      <c r="E2318" t="str">
        <f>IFERROR(INDEX(tbl_input[집계키_지청],ROW()-1),"")</f>
        <v/>
      </c>
      <c r="F2318" t="str">
        <f t="shared" si="183"/>
        <v/>
      </c>
      <c r="G2318" t="str">
        <f t="shared" si="184"/>
        <v/>
      </c>
    </row>
    <row r="2319" spans="1:7" x14ac:dyDescent="0.4">
      <c r="A2319" t="str">
        <f t="shared" si="180"/>
        <v/>
      </c>
      <c r="B2319" t="str">
        <f t="shared" si="181"/>
        <v/>
      </c>
      <c r="C2319" t="str">
        <f t="shared" si="182"/>
        <v/>
      </c>
      <c r="D2319" t="str">
        <f>IF(E2319="","",IF(COUNTIF($E$2:E2319,E2319)&gt;1,"",SUMIFS(tbl_input[필요수량],tbl_input[집계키_지청],E2319)))</f>
        <v/>
      </c>
      <c r="E2319" t="str">
        <f>IFERROR(INDEX(tbl_input[집계키_지청],ROW()-1),"")</f>
        <v/>
      </c>
      <c r="F2319" t="str">
        <f t="shared" si="183"/>
        <v/>
      </c>
      <c r="G2319" t="str">
        <f t="shared" si="184"/>
        <v/>
      </c>
    </row>
    <row r="2320" spans="1:7" x14ac:dyDescent="0.4">
      <c r="A2320" t="str">
        <f t="shared" si="180"/>
        <v/>
      </c>
      <c r="B2320" t="str">
        <f t="shared" si="181"/>
        <v/>
      </c>
      <c r="C2320" t="str">
        <f t="shared" si="182"/>
        <v/>
      </c>
      <c r="D2320" t="str">
        <f>IF(E2320="","",IF(COUNTIF($E$2:E2320,E2320)&gt;1,"",SUMIFS(tbl_input[필요수량],tbl_input[집계키_지청],E2320)))</f>
        <v/>
      </c>
      <c r="E2320" t="str">
        <f>IFERROR(INDEX(tbl_input[집계키_지청],ROW()-1),"")</f>
        <v/>
      </c>
      <c r="F2320" t="str">
        <f t="shared" si="183"/>
        <v/>
      </c>
      <c r="G2320" t="str">
        <f t="shared" si="184"/>
        <v/>
      </c>
    </row>
    <row r="2321" spans="1:7" x14ac:dyDescent="0.4">
      <c r="A2321" t="str">
        <f t="shared" si="180"/>
        <v/>
      </c>
      <c r="B2321" t="str">
        <f t="shared" si="181"/>
        <v/>
      </c>
      <c r="C2321" t="str">
        <f t="shared" si="182"/>
        <v/>
      </c>
      <c r="D2321" t="str">
        <f>IF(E2321="","",IF(COUNTIF($E$2:E2321,E2321)&gt;1,"",SUMIFS(tbl_input[필요수량],tbl_input[집계키_지청],E2321)))</f>
        <v/>
      </c>
      <c r="E2321" t="str">
        <f>IFERROR(INDEX(tbl_input[집계키_지청],ROW()-1),"")</f>
        <v/>
      </c>
      <c r="F2321" t="str">
        <f t="shared" si="183"/>
        <v/>
      </c>
      <c r="G2321" t="str">
        <f t="shared" si="184"/>
        <v/>
      </c>
    </row>
    <row r="2322" spans="1:7" x14ac:dyDescent="0.4">
      <c r="A2322" t="str">
        <f t="shared" si="180"/>
        <v/>
      </c>
      <c r="B2322" t="str">
        <f t="shared" si="181"/>
        <v/>
      </c>
      <c r="C2322" t="str">
        <f t="shared" si="182"/>
        <v/>
      </c>
      <c r="D2322" t="str">
        <f>IF(E2322="","",IF(COUNTIF($E$2:E2322,E2322)&gt;1,"",SUMIFS(tbl_input[필요수량],tbl_input[집계키_지청],E2322)))</f>
        <v/>
      </c>
      <c r="E2322" t="str">
        <f>IFERROR(INDEX(tbl_input[집계키_지청],ROW()-1),"")</f>
        <v/>
      </c>
      <c r="F2322" t="str">
        <f t="shared" si="183"/>
        <v/>
      </c>
      <c r="G2322" t="str">
        <f t="shared" si="184"/>
        <v/>
      </c>
    </row>
    <row r="2323" spans="1:7" x14ac:dyDescent="0.4">
      <c r="A2323" t="str">
        <f t="shared" si="180"/>
        <v/>
      </c>
      <c r="B2323" t="str">
        <f t="shared" si="181"/>
        <v/>
      </c>
      <c r="C2323" t="str">
        <f t="shared" si="182"/>
        <v/>
      </c>
      <c r="D2323" t="str">
        <f>IF(E2323="","",IF(COUNTIF($E$2:E2323,E2323)&gt;1,"",SUMIFS(tbl_input[필요수량],tbl_input[집계키_지청],E2323)))</f>
        <v/>
      </c>
      <c r="E2323" t="str">
        <f>IFERROR(INDEX(tbl_input[집계키_지청],ROW()-1),"")</f>
        <v/>
      </c>
      <c r="F2323" t="str">
        <f t="shared" si="183"/>
        <v/>
      </c>
      <c r="G2323" t="str">
        <f t="shared" si="184"/>
        <v/>
      </c>
    </row>
    <row r="2324" spans="1:7" x14ac:dyDescent="0.4">
      <c r="A2324" t="str">
        <f t="shared" si="180"/>
        <v/>
      </c>
      <c r="B2324" t="str">
        <f t="shared" si="181"/>
        <v/>
      </c>
      <c r="C2324" t="str">
        <f t="shared" si="182"/>
        <v/>
      </c>
      <c r="D2324" t="str">
        <f>IF(E2324="","",IF(COUNTIF($E$2:E2324,E2324)&gt;1,"",SUMIFS(tbl_input[필요수량],tbl_input[집계키_지청],E2324)))</f>
        <v/>
      </c>
      <c r="E2324" t="str">
        <f>IFERROR(INDEX(tbl_input[집계키_지청],ROW()-1),"")</f>
        <v/>
      </c>
      <c r="F2324" t="str">
        <f t="shared" si="183"/>
        <v/>
      </c>
      <c r="G2324" t="str">
        <f t="shared" si="184"/>
        <v/>
      </c>
    </row>
    <row r="2325" spans="1:7" x14ac:dyDescent="0.4">
      <c r="A2325" t="str">
        <f t="shared" si="180"/>
        <v/>
      </c>
      <c r="B2325" t="str">
        <f t="shared" si="181"/>
        <v/>
      </c>
      <c r="C2325" t="str">
        <f t="shared" si="182"/>
        <v/>
      </c>
      <c r="D2325" t="str">
        <f>IF(E2325="","",IF(COUNTIF($E$2:E2325,E2325)&gt;1,"",SUMIFS(tbl_input[필요수량],tbl_input[집계키_지청],E2325)))</f>
        <v/>
      </c>
      <c r="E2325" t="str">
        <f>IFERROR(INDEX(tbl_input[집계키_지청],ROW()-1),"")</f>
        <v/>
      </c>
      <c r="F2325" t="str">
        <f t="shared" si="183"/>
        <v/>
      </c>
      <c r="G2325" t="str">
        <f t="shared" si="184"/>
        <v/>
      </c>
    </row>
    <row r="2326" spans="1:7" x14ac:dyDescent="0.4">
      <c r="A2326" t="str">
        <f t="shared" si="180"/>
        <v/>
      </c>
      <c r="B2326" t="str">
        <f t="shared" si="181"/>
        <v/>
      </c>
      <c r="C2326" t="str">
        <f t="shared" si="182"/>
        <v/>
      </c>
      <c r="D2326" t="str">
        <f>IF(E2326="","",IF(COUNTIF($E$2:E2326,E2326)&gt;1,"",SUMIFS(tbl_input[필요수량],tbl_input[집계키_지청],E2326)))</f>
        <v/>
      </c>
      <c r="E2326" t="str">
        <f>IFERROR(INDEX(tbl_input[집계키_지청],ROW()-1),"")</f>
        <v/>
      </c>
      <c r="F2326" t="str">
        <f t="shared" si="183"/>
        <v/>
      </c>
      <c r="G2326" t="str">
        <f t="shared" si="184"/>
        <v/>
      </c>
    </row>
    <row r="2327" spans="1:7" x14ac:dyDescent="0.4">
      <c r="A2327" t="str">
        <f t="shared" si="180"/>
        <v/>
      </c>
      <c r="B2327" t="str">
        <f t="shared" si="181"/>
        <v/>
      </c>
      <c r="C2327" t="str">
        <f t="shared" si="182"/>
        <v/>
      </c>
      <c r="D2327" t="str">
        <f>IF(E2327="","",IF(COUNTIF($E$2:E2327,E2327)&gt;1,"",SUMIFS(tbl_input[필요수량],tbl_input[집계키_지청],E2327)))</f>
        <v/>
      </c>
      <c r="E2327" t="str">
        <f>IFERROR(INDEX(tbl_input[집계키_지청],ROW()-1),"")</f>
        <v/>
      </c>
      <c r="F2327" t="str">
        <f t="shared" si="183"/>
        <v/>
      </c>
      <c r="G2327" t="str">
        <f t="shared" si="184"/>
        <v/>
      </c>
    </row>
    <row r="2328" spans="1:7" x14ac:dyDescent="0.4">
      <c r="A2328" t="str">
        <f t="shared" si="180"/>
        <v/>
      </c>
      <c r="B2328" t="str">
        <f t="shared" si="181"/>
        <v/>
      </c>
      <c r="C2328" t="str">
        <f t="shared" si="182"/>
        <v/>
      </c>
      <c r="D2328" t="str">
        <f>IF(E2328="","",IF(COUNTIF($E$2:E2328,E2328)&gt;1,"",SUMIFS(tbl_input[필요수량],tbl_input[집계키_지청],E2328)))</f>
        <v/>
      </c>
      <c r="E2328" t="str">
        <f>IFERROR(INDEX(tbl_input[집계키_지청],ROW()-1),"")</f>
        <v/>
      </c>
      <c r="F2328" t="str">
        <f t="shared" si="183"/>
        <v/>
      </c>
      <c r="G2328" t="str">
        <f t="shared" si="184"/>
        <v/>
      </c>
    </row>
    <row r="2329" spans="1:7" x14ac:dyDescent="0.4">
      <c r="A2329" t="str">
        <f t="shared" si="180"/>
        <v/>
      </c>
      <c r="B2329" t="str">
        <f t="shared" si="181"/>
        <v/>
      </c>
      <c r="C2329" t="str">
        <f t="shared" si="182"/>
        <v/>
      </c>
      <c r="D2329" t="str">
        <f>IF(E2329="","",IF(COUNTIF($E$2:E2329,E2329)&gt;1,"",SUMIFS(tbl_input[필요수량],tbl_input[집계키_지청],E2329)))</f>
        <v/>
      </c>
      <c r="E2329" t="str">
        <f>IFERROR(INDEX(tbl_input[집계키_지청],ROW()-1),"")</f>
        <v/>
      </c>
      <c r="F2329" t="str">
        <f t="shared" si="183"/>
        <v/>
      </c>
      <c r="G2329" t="str">
        <f t="shared" si="184"/>
        <v/>
      </c>
    </row>
    <row r="2330" spans="1:7" x14ac:dyDescent="0.4">
      <c r="A2330" t="str">
        <f t="shared" si="180"/>
        <v/>
      </c>
      <c r="B2330" t="str">
        <f t="shared" si="181"/>
        <v/>
      </c>
      <c r="C2330" t="str">
        <f t="shared" si="182"/>
        <v/>
      </c>
      <c r="D2330" t="str">
        <f>IF(E2330="","",IF(COUNTIF($E$2:E2330,E2330)&gt;1,"",SUMIFS(tbl_input[필요수량],tbl_input[집계키_지청],E2330)))</f>
        <v/>
      </c>
      <c r="E2330" t="str">
        <f>IFERROR(INDEX(tbl_input[집계키_지청],ROW()-1),"")</f>
        <v/>
      </c>
      <c r="F2330" t="str">
        <f t="shared" si="183"/>
        <v/>
      </c>
      <c r="G2330" t="str">
        <f t="shared" si="184"/>
        <v/>
      </c>
    </row>
    <row r="2331" spans="1:7" x14ac:dyDescent="0.4">
      <c r="A2331" t="str">
        <f t="shared" si="180"/>
        <v/>
      </c>
      <c r="B2331" t="str">
        <f t="shared" si="181"/>
        <v/>
      </c>
      <c r="C2331" t="str">
        <f t="shared" si="182"/>
        <v/>
      </c>
      <c r="D2331" t="str">
        <f>IF(E2331="","",IF(COUNTIF($E$2:E2331,E2331)&gt;1,"",SUMIFS(tbl_input[필요수량],tbl_input[집계키_지청],E2331)))</f>
        <v/>
      </c>
      <c r="E2331" t="str">
        <f>IFERROR(INDEX(tbl_input[집계키_지청],ROW()-1),"")</f>
        <v/>
      </c>
      <c r="F2331" t="str">
        <f t="shared" si="183"/>
        <v/>
      </c>
      <c r="G2331" t="str">
        <f t="shared" si="184"/>
        <v/>
      </c>
    </row>
    <row r="2332" spans="1:7" x14ac:dyDescent="0.4">
      <c r="A2332" t="str">
        <f t="shared" si="180"/>
        <v/>
      </c>
      <c r="B2332" t="str">
        <f t="shared" si="181"/>
        <v/>
      </c>
      <c r="C2332" t="str">
        <f t="shared" si="182"/>
        <v/>
      </c>
      <c r="D2332" t="str">
        <f>IF(E2332="","",IF(COUNTIF($E$2:E2332,E2332)&gt;1,"",SUMIFS(tbl_input[필요수량],tbl_input[집계키_지청],E2332)))</f>
        <v/>
      </c>
      <c r="E2332" t="str">
        <f>IFERROR(INDEX(tbl_input[집계키_지청],ROW()-1),"")</f>
        <v/>
      </c>
      <c r="F2332" t="str">
        <f t="shared" si="183"/>
        <v/>
      </c>
      <c r="G2332" t="str">
        <f t="shared" si="184"/>
        <v/>
      </c>
    </row>
    <row r="2333" spans="1:7" x14ac:dyDescent="0.4">
      <c r="A2333" t="str">
        <f t="shared" si="180"/>
        <v/>
      </c>
      <c r="B2333" t="str">
        <f t="shared" si="181"/>
        <v/>
      </c>
      <c r="C2333" t="str">
        <f t="shared" si="182"/>
        <v/>
      </c>
      <c r="D2333" t="str">
        <f>IF(E2333="","",IF(COUNTIF($E$2:E2333,E2333)&gt;1,"",SUMIFS(tbl_input[필요수량],tbl_input[집계키_지청],E2333)))</f>
        <v/>
      </c>
      <c r="E2333" t="str">
        <f>IFERROR(INDEX(tbl_input[집계키_지청],ROW()-1),"")</f>
        <v/>
      </c>
      <c r="F2333" t="str">
        <f t="shared" si="183"/>
        <v/>
      </c>
      <c r="G2333" t="str">
        <f t="shared" si="184"/>
        <v/>
      </c>
    </row>
    <row r="2334" spans="1:7" x14ac:dyDescent="0.4">
      <c r="A2334" t="str">
        <f t="shared" si="180"/>
        <v/>
      </c>
      <c r="B2334" t="str">
        <f t="shared" si="181"/>
        <v/>
      </c>
      <c r="C2334" t="str">
        <f t="shared" si="182"/>
        <v/>
      </c>
      <c r="D2334" t="str">
        <f>IF(E2334="","",IF(COUNTIF($E$2:E2334,E2334)&gt;1,"",SUMIFS(tbl_input[필요수량],tbl_input[집계키_지청],E2334)))</f>
        <v/>
      </c>
      <c r="E2334" t="str">
        <f>IFERROR(INDEX(tbl_input[집계키_지청],ROW()-1),"")</f>
        <v/>
      </c>
      <c r="F2334" t="str">
        <f t="shared" si="183"/>
        <v/>
      </c>
      <c r="G2334" t="str">
        <f t="shared" si="184"/>
        <v/>
      </c>
    </row>
    <row r="2335" spans="1:7" x14ac:dyDescent="0.4">
      <c r="A2335" t="str">
        <f t="shared" si="180"/>
        <v/>
      </c>
      <c r="B2335" t="str">
        <f t="shared" si="181"/>
        <v/>
      </c>
      <c r="C2335" t="str">
        <f t="shared" si="182"/>
        <v/>
      </c>
      <c r="D2335" t="str">
        <f>IF(E2335="","",IF(COUNTIF($E$2:E2335,E2335)&gt;1,"",SUMIFS(tbl_input[필요수량],tbl_input[집계키_지청],E2335)))</f>
        <v/>
      </c>
      <c r="E2335" t="str">
        <f>IFERROR(INDEX(tbl_input[집계키_지청],ROW()-1),"")</f>
        <v/>
      </c>
      <c r="F2335" t="str">
        <f t="shared" si="183"/>
        <v/>
      </c>
      <c r="G2335" t="str">
        <f t="shared" si="184"/>
        <v/>
      </c>
    </row>
    <row r="2336" spans="1:7" x14ac:dyDescent="0.4">
      <c r="A2336" t="str">
        <f t="shared" si="180"/>
        <v/>
      </c>
      <c r="B2336" t="str">
        <f t="shared" si="181"/>
        <v/>
      </c>
      <c r="C2336" t="str">
        <f t="shared" si="182"/>
        <v/>
      </c>
      <c r="D2336" t="str">
        <f>IF(E2336="","",IF(COUNTIF($E$2:E2336,E2336)&gt;1,"",SUMIFS(tbl_input[필요수량],tbl_input[집계키_지청],E2336)))</f>
        <v/>
      </c>
      <c r="E2336" t="str">
        <f>IFERROR(INDEX(tbl_input[집계키_지청],ROW()-1),"")</f>
        <v/>
      </c>
      <c r="F2336" t="str">
        <f t="shared" si="183"/>
        <v/>
      </c>
      <c r="G2336" t="str">
        <f t="shared" si="184"/>
        <v/>
      </c>
    </row>
    <row r="2337" spans="1:7" x14ac:dyDescent="0.4">
      <c r="A2337" t="str">
        <f t="shared" si="180"/>
        <v/>
      </c>
      <c r="B2337" t="str">
        <f t="shared" si="181"/>
        <v/>
      </c>
      <c r="C2337" t="str">
        <f t="shared" si="182"/>
        <v/>
      </c>
      <c r="D2337" t="str">
        <f>IF(E2337="","",IF(COUNTIF($E$2:E2337,E2337)&gt;1,"",SUMIFS(tbl_input[필요수량],tbl_input[집계키_지청],E2337)))</f>
        <v/>
      </c>
      <c r="E2337" t="str">
        <f>IFERROR(INDEX(tbl_input[집계키_지청],ROW()-1),"")</f>
        <v/>
      </c>
      <c r="F2337" t="str">
        <f t="shared" si="183"/>
        <v/>
      </c>
      <c r="G2337" t="str">
        <f t="shared" si="184"/>
        <v/>
      </c>
    </row>
    <row r="2338" spans="1:7" x14ac:dyDescent="0.4">
      <c r="A2338" t="str">
        <f t="shared" si="180"/>
        <v/>
      </c>
      <c r="B2338" t="str">
        <f t="shared" si="181"/>
        <v/>
      </c>
      <c r="C2338" t="str">
        <f t="shared" si="182"/>
        <v/>
      </c>
      <c r="D2338" t="str">
        <f>IF(E2338="","",IF(COUNTIF($E$2:E2338,E2338)&gt;1,"",SUMIFS(tbl_input[필요수량],tbl_input[집계키_지청],E2338)))</f>
        <v/>
      </c>
      <c r="E2338" t="str">
        <f>IFERROR(INDEX(tbl_input[집계키_지청],ROW()-1),"")</f>
        <v/>
      </c>
      <c r="F2338" t="str">
        <f t="shared" si="183"/>
        <v/>
      </c>
      <c r="G2338" t="str">
        <f t="shared" si="184"/>
        <v/>
      </c>
    </row>
    <row r="2339" spans="1:7" x14ac:dyDescent="0.4">
      <c r="A2339" t="str">
        <f t="shared" si="180"/>
        <v/>
      </c>
      <c r="B2339" t="str">
        <f t="shared" si="181"/>
        <v/>
      </c>
      <c r="C2339" t="str">
        <f t="shared" si="182"/>
        <v/>
      </c>
      <c r="D2339" t="str">
        <f>IF(E2339="","",IF(COUNTIF($E$2:E2339,E2339)&gt;1,"",SUMIFS(tbl_input[필요수량],tbl_input[집계키_지청],E2339)))</f>
        <v/>
      </c>
      <c r="E2339" t="str">
        <f>IFERROR(INDEX(tbl_input[집계키_지청],ROW()-1),"")</f>
        <v/>
      </c>
      <c r="F2339" t="str">
        <f t="shared" si="183"/>
        <v/>
      </c>
      <c r="G2339" t="str">
        <f t="shared" si="184"/>
        <v/>
      </c>
    </row>
    <row r="2340" spans="1:7" x14ac:dyDescent="0.4">
      <c r="A2340" t="str">
        <f t="shared" si="180"/>
        <v/>
      </c>
      <c r="B2340" t="str">
        <f t="shared" si="181"/>
        <v/>
      </c>
      <c r="C2340" t="str">
        <f t="shared" si="182"/>
        <v/>
      </c>
      <c r="D2340" t="str">
        <f>IF(E2340="","",IF(COUNTIF($E$2:E2340,E2340)&gt;1,"",SUMIFS(tbl_input[필요수량],tbl_input[집계키_지청],E2340)))</f>
        <v/>
      </c>
      <c r="E2340" t="str">
        <f>IFERROR(INDEX(tbl_input[집계키_지청],ROW()-1),"")</f>
        <v/>
      </c>
      <c r="F2340" t="str">
        <f t="shared" si="183"/>
        <v/>
      </c>
      <c r="G2340" t="str">
        <f t="shared" si="184"/>
        <v/>
      </c>
    </row>
    <row r="2341" spans="1:7" x14ac:dyDescent="0.4">
      <c r="A2341" t="str">
        <f t="shared" si="180"/>
        <v/>
      </c>
      <c r="B2341" t="str">
        <f t="shared" si="181"/>
        <v/>
      </c>
      <c r="C2341" t="str">
        <f t="shared" si="182"/>
        <v/>
      </c>
      <c r="D2341" t="str">
        <f>IF(E2341="","",IF(COUNTIF($E$2:E2341,E2341)&gt;1,"",SUMIFS(tbl_input[필요수량],tbl_input[집계키_지청],E2341)))</f>
        <v/>
      </c>
      <c r="E2341" t="str">
        <f>IFERROR(INDEX(tbl_input[집계키_지청],ROW()-1),"")</f>
        <v/>
      </c>
      <c r="F2341" t="str">
        <f t="shared" si="183"/>
        <v/>
      </c>
      <c r="G2341" t="str">
        <f t="shared" si="184"/>
        <v/>
      </c>
    </row>
    <row r="2342" spans="1:7" x14ac:dyDescent="0.4">
      <c r="A2342" t="str">
        <f t="shared" si="180"/>
        <v/>
      </c>
      <c r="B2342" t="str">
        <f t="shared" si="181"/>
        <v/>
      </c>
      <c r="C2342" t="str">
        <f t="shared" si="182"/>
        <v/>
      </c>
      <c r="D2342" t="str">
        <f>IF(E2342="","",IF(COUNTIF($E$2:E2342,E2342)&gt;1,"",SUMIFS(tbl_input[필요수량],tbl_input[집계키_지청],E2342)))</f>
        <v/>
      </c>
      <c r="E2342" t="str">
        <f>IFERROR(INDEX(tbl_input[집계키_지청],ROW()-1),"")</f>
        <v/>
      </c>
      <c r="F2342" t="str">
        <f t="shared" si="183"/>
        <v/>
      </c>
      <c r="G2342" t="str">
        <f t="shared" si="184"/>
        <v/>
      </c>
    </row>
    <row r="2343" spans="1:7" x14ac:dyDescent="0.4">
      <c r="A2343" t="str">
        <f t="shared" si="180"/>
        <v/>
      </c>
      <c r="B2343" t="str">
        <f t="shared" si="181"/>
        <v/>
      </c>
      <c r="C2343" t="str">
        <f t="shared" si="182"/>
        <v/>
      </c>
      <c r="D2343" t="str">
        <f>IF(E2343="","",IF(COUNTIF($E$2:E2343,E2343)&gt;1,"",SUMIFS(tbl_input[필요수량],tbl_input[집계키_지청],E2343)))</f>
        <v/>
      </c>
      <c r="E2343" t="str">
        <f>IFERROR(INDEX(tbl_input[집계키_지청],ROW()-1),"")</f>
        <v/>
      </c>
      <c r="F2343" t="str">
        <f t="shared" si="183"/>
        <v/>
      </c>
      <c r="G2343" t="str">
        <f t="shared" si="184"/>
        <v/>
      </c>
    </row>
    <row r="2344" spans="1:7" x14ac:dyDescent="0.4">
      <c r="A2344" t="str">
        <f t="shared" si="180"/>
        <v/>
      </c>
      <c r="B2344" t="str">
        <f t="shared" si="181"/>
        <v/>
      </c>
      <c r="C2344" t="str">
        <f t="shared" si="182"/>
        <v/>
      </c>
      <c r="D2344" t="str">
        <f>IF(E2344="","",IF(COUNTIF($E$2:E2344,E2344)&gt;1,"",SUMIFS(tbl_input[필요수량],tbl_input[집계키_지청],E2344)))</f>
        <v/>
      </c>
      <c r="E2344" t="str">
        <f>IFERROR(INDEX(tbl_input[집계키_지청],ROW()-1),"")</f>
        <v/>
      </c>
      <c r="F2344" t="str">
        <f t="shared" si="183"/>
        <v/>
      </c>
      <c r="G2344" t="str">
        <f t="shared" si="184"/>
        <v/>
      </c>
    </row>
    <row r="2345" spans="1:7" x14ac:dyDescent="0.4">
      <c r="A2345" t="str">
        <f t="shared" si="180"/>
        <v/>
      </c>
      <c r="B2345" t="str">
        <f t="shared" si="181"/>
        <v/>
      </c>
      <c r="C2345" t="str">
        <f t="shared" si="182"/>
        <v/>
      </c>
      <c r="D2345" t="str">
        <f>IF(E2345="","",IF(COUNTIF($E$2:E2345,E2345)&gt;1,"",SUMIFS(tbl_input[필요수량],tbl_input[집계키_지청],E2345)))</f>
        <v/>
      </c>
      <c r="E2345" t="str">
        <f>IFERROR(INDEX(tbl_input[집계키_지청],ROW()-1),"")</f>
        <v/>
      </c>
      <c r="F2345" t="str">
        <f t="shared" si="183"/>
        <v/>
      </c>
      <c r="G2345" t="str">
        <f t="shared" si="184"/>
        <v/>
      </c>
    </row>
    <row r="2346" spans="1:7" x14ac:dyDescent="0.4">
      <c r="A2346" t="str">
        <f t="shared" si="180"/>
        <v/>
      </c>
      <c r="B2346" t="str">
        <f t="shared" si="181"/>
        <v/>
      </c>
      <c r="C2346" t="str">
        <f t="shared" si="182"/>
        <v/>
      </c>
      <c r="D2346" t="str">
        <f>IF(E2346="","",IF(COUNTIF($E$2:E2346,E2346)&gt;1,"",SUMIFS(tbl_input[필요수량],tbl_input[집계키_지청],E2346)))</f>
        <v/>
      </c>
      <c r="E2346" t="str">
        <f>IFERROR(INDEX(tbl_input[집계키_지청],ROW()-1),"")</f>
        <v/>
      </c>
      <c r="F2346" t="str">
        <f t="shared" si="183"/>
        <v/>
      </c>
      <c r="G2346" t="str">
        <f t="shared" si="184"/>
        <v/>
      </c>
    </row>
    <row r="2347" spans="1:7" x14ac:dyDescent="0.4">
      <c r="A2347" t="str">
        <f t="shared" si="180"/>
        <v/>
      </c>
      <c r="B2347" t="str">
        <f t="shared" si="181"/>
        <v/>
      </c>
      <c r="C2347" t="str">
        <f t="shared" si="182"/>
        <v/>
      </c>
      <c r="D2347" t="str">
        <f>IF(E2347="","",IF(COUNTIF($E$2:E2347,E2347)&gt;1,"",SUMIFS(tbl_input[필요수량],tbl_input[집계키_지청],E2347)))</f>
        <v/>
      </c>
      <c r="E2347" t="str">
        <f>IFERROR(INDEX(tbl_input[집계키_지청],ROW()-1),"")</f>
        <v/>
      </c>
      <c r="F2347" t="str">
        <f t="shared" si="183"/>
        <v/>
      </c>
      <c r="G2347" t="str">
        <f t="shared" si="184"/>
        <v/>
      </c>
    </row>
    <row r="2348" spans="1:7" x14ac:dyDescent="0.4">
      <c r="A2348" t="str">
        <f t="shared" si="180"/>
        <v/>
      </c>
      <c r="B2348" t="str">
        <f t="shared" si="181"/>
        <v/>
      </c>
      <c r="C2348" t="str">
        <f t="shared" si="182"/>
        <v/>
      </c>
      <c r="D2348" t="str">
        <f>IF(E2348="","",IF(COUNTIF($E$2:E2348,E2348)&gt;1,"",SUMIFS(tbl_input[필요수량],tbl_input[집계키_지청],E2348)))</f>
        <v/>
      </c>
      <c r="E2348" t="str">
        <f>IFERROR(INDEX(tbl_input[집계키_지청],ROW()-1),"")</f>
        <v/>
      </c>
      <c r="F2348" t="str">
        <f t="shared" si="183"/>
        <v/>
      </c>
      <c r="G2348" t="str">
        <f t="shared" si="184"/>
        <v/>
      </c>
    </row>
    <row r="2349" spans="1:7" x14ac:dyDescent="0.4">
      <c r="A2349" t="str">
        <f t="shared" si="180"/>
        <v/>
      </c>
      <c r="B2349" t="str">
        <f t="shared" si="181"/>
        <v/>
      </c>
      <c r="C2349" t="str">
        <f t="shared" si="182"/>
        <v/>
      </c>
      <c r="D2349" t="str">
        <f>IF(E2349="","",IF(COUNTIF($E$2:E2349,E2349)&gt;1,"",SUMIFS(tbl_input[필요수량],tbl_input[집계키_지청],E2349)))</f>
        <v/>
      </c>
      <c r="E2349" t="str">
        <f>IFERROR(INDEX(tbl_input[집계키_지청],ROW()-1),"")</f>
        <v/>
      </c>
      <c r="F2349" t="str">
        <f t="shared" si="183"/>
        <v/>
      </c>
      <c r="G2349" t="str">
        <f t="shared" si="184"/>
        <v/>
      </c>
    </row>
    <row r="2350" spans="1:7" x14ac:dyDescent="0.4">
      <c r="A2350" t="str">
        <f t="shared" si="180"/>
        <v/>
      </c>
      <c r="B2350" t="str">
        <f t="shared" si="181"/>
        <v/>
      </c>
      <c r="C2350" t="str">
        <f t="shared" si="182"/>
        <v/>
      </c>
      <c r="D2350" t="str">
        <f>IF(E2350="","",IF(COUNTIF($E$2:E2350,E2350)&gt;1,"",SUMIFS(tbl_input[필요수량],tbl_input[집계키_지청],E2350)))</f>
        <v/>
      </c>
      <c r="E2350" t="str">
        <f>IFERROR(INDEX(tbl_input[집계키_지청],ROW()-1),"")</f>
        <v/>
      </c>
      <c r="F2350" t="str">
        <f t="shared" si="183"/>
        <v/>
      </c>
      <c r="G2350" t="str">
        <f t="shared" si="184"/>
        <v/>
      </c>
    </row>
    <row r="2351" spans="1:7" x14ac:dyDescent="0.4">
      <c r="A2351" t="str">
        <f t="shared" si="180"/>
        <v/>
      </c>
      <c r="B2351" t="str">
        <f t="shared" si="181"/>
        <v/>
      </c>
      <c r="C2351" t="str">
        <f t="shared" si="182"/>
        <v/>
      </c>
      <c r="D2351" t="str">
        <f>IF(E2351="","",IF(COUNTIF($E$2:E2351,E2351)&gt;1,"",SUMIFS(tbl_input[필요수량],tbl_input[집계키_지청],E2351)))</f>
        <v/>
      </c>
      <c r="E2351" t="str">
        <f>IFERROR(INDEX(tbl_input[집계키_지청],ROW()-1),"")</f>
        <v/>
      </c>
      <c r="F2351" t="str">
        <f t="shared" si="183"/>
        <v/>
      </c>
      <c r="G2351" t="str">
        <f t="shared" si="184"/>
        <v/>
      </c>
    </row>
    <row r="2352" spans="1:7" x14ac:dyDescent="0.4">
      <c r="A2352" t="str">
        <f t="shared" si="180"/>
        <v/>
      </c>
      <c r="B2352" t="str">
        <f t="shared" si="181"/>
        <v/>
      </c>
      <c r="C2352" t="str">
        <f t="shared" si="182"/>
        <v/>
      </c>
      <c r="D2352" t="str">
        <f>IF(E2352="","",IF(COUNTIF($E$2:E2352,E2352)&gt;1,"",SUMIFS(tbl_input[필요수량],tbl_input[집계키_지청],E2352)))</f>
        <v/>
      </c>
      <c r="E2352" t="str">
        <f>IFERROR(INDEX(tbl_input[집계키_지청],ROW()-1),"")</f>
        <v/>
      </c>
      <c r="F2352" t="str">
        <f t="shared" si="183"/>
        <v/>
      </c>
      <c r="G2352" t="str">
        <f t="shared" si="184"/>
        <v/>
      </c>
    </row>
    <row r="2353" spans="1:7" x14ac:dyDescent="0.4">
      <c r="A2353" t="str">
        <f t="shared" si="180"/>
        <v/>
      </c>
      <c r="B2353" t="str">
        <f t="shared" si="181"/>
        <v/>
      </c>
      <c r="C2353" t="str">
        <f t="shared" si="182"/>
        <v/>
      </c>
      <c r="D2353" t="str">
        <f>IF(E2353="","",IF(COUNTIF($E$2:E2353,E2353)&gt;1,"",SUMIFS(tbl_input[필요수량],tbl_input[집계키_지청],E2353)))</f>
        <v/>
      </c>
      <c r="E2353" t="str">
        <f>IFERROR(INDEX(tbl_input[집계키_지청],ROW()-1),"")</f>
        <v/>
      </c>
      <c r="F2353" t="str">
        <f t="shared" si="183"/>
        <v/>
      </c>
      <c r="G2353" t="str">
        <f t="shared" si="184"/>
        <v/>
      </c>
    </row>
    <row r="2354" spans="1:7" x14ac:dyDescent="0.4">
      <c r="A2354" t="str">
        <f t="shared" si="180"/>
        <v/>
      </c>
      <c r="B2354" t="str">
        <f t="shared" si="181"/>
        <v/>
      </c>
      <c r="C2354" t="str">
        <f t="shared" si="182"/>
        <v/>
      </c>
      <c r="D2354" t="str">
        <f>IF(E2354="","",IF(COUNTIF($E$2:E2354,E2354)&gt;1,"",SUMIFS(tbl_input[필요수량],tbl_input[집계키_지청],E2354)))</f>
        <v/>
      </c>
      <c r="E2354" t="str">
        <f>IFERROR(INDEX(tbl_input[집계키_지청],ROW()-1),"")</f>
        <v/>
      </c>
      <c r="F2354" t="str">
        <f t="shared" si="183"/>
        <v/>
      </c>
      <c r="G2354" t="str">
        <f t="shared" si="184"/>
        <v/>
      </c>
    </row>
    <row r="2355" spans="1:7" x14ac:dyDescent="0.4">
      <c r="A2355" t="str">
        <f t="shared" si="180"/>
        <v/>
      </c>
      <c r="B2355" t="str">
        <f t="shared" si="181"/>
        <v/>
      </c>
      <c r="C2355" t="str">
        <f t="shared" si="182"/>
        <v/>
      </c>
      <c r="D2355" t="str">
        <f>IF(E2355="","",IF(COUNTIF($E$2:E2355,E2355)&gt;1,"",SUMIFS(tbl_input[필요수량],tbl_input[집계키_지청],E2355)))</f>
        <v/>
      </c>
      <c r="E2355" t="str">
        <f>IFERROR(INDEX(tbl_input[집계키_지청],ROW()-1),"")</f>
        <v/>
      </c>
      <c r="F2355" t="str">
        <f t="shared" si="183"/>
        <v/>
      </c>
      <c r="G2355" t="str">
        <f t="shared" si="184"/>
        <v/>
      </c>
    </row>
    <row r="2356" spans="1:7" x14ac:dyDescent="0.4">
      <c r="A2356" t="str">
        <f t="shared" si="180"/>
        <v/>
      </c>
      <c r="B2356" t="str">
        <f t="shared" si="181"/>
        <v/>
      </c>
      <c r="C2356" t="str">
        <f t="shared" si="182"/>
        <v/>
      </c>
      <c r="D2356" t="str">
        <f>IF(E2356="","",IF(COUNTIF($E$2:E2356,E2356)&gt;1,"",SUMIFS(tbl_input[필요수량],tbl_input[집계키_지청],E2356)))</f>
        <v/>
      </c>
      <c r="E2356" t="str">
        <f>IFERROR(INDEX(tbl_input[집계키_지청],ROW()-1),"")</f>
        <v/>
      </c>
      <c r="F2356" t="str">
        <f t="shared" si="183"/>
        <v/>
      </c>
      <c r="G2356" t="str">
        <f t="shared" si="184"/>
        <v/>
      </c>
    </row>
    <row r="2357" spans="1:7" x14ac:dyDescent="0.4">
      <c r="A2357" t="str">
        <f t="shared" si="180"/>
        <v/>
      </c>
      <c r="B2357" t="str">
        <f t="shared" si="181"/>
        <v/>
      </c>
      <c r="C2357" t="str">
        <f t="shared" si="182"/>
        <v/>
      </c>
      <c r="D2357" t="str">
        <f>IF(E2357="","",IF(COUNTIF($E$2:E2357,E2357)&gt;1,"",SUMIFS(tbl_input[필요수량],tbl_input[집계키_지청],E2357)))</f>
        <v/>
      </c>
      <c r="E2357" t="str">
        <f>IFERROR(INDEX(tbl_input[집계키_지청],ROW()-1),"")</f>
        <v/>
      </c>
      <c r="F2357" t="str">
        <f t="shared" si="183"/>
        <v/>
      </c>
      <c r="G2357" t="str">
        <f t="shared" si="184"/>
        <v/>
      </c>
    </row>
    <row r="2358" spans="1:7" x14ac:dyDescent="0.4">
      <c r="A2358" t="str">
        <f t="shared" si="180"/>
        <v/>
      </c>
      <c r="B2358" t="str">
        <f t="shared" si="181"/>
        <v/>
      </c>
      <c r="C2358" t="str">
        <f t="shared" si="182"/>
        <v/>
      </c>
      <c r="D2358" t="str">
        <f>IF(E2358="","",IF(COUNTIF($E$2:E2358,E2358)&gt;1,"",SUMIFS(tbl_input[필요수량],tbl_input[집계키_지청],E2358)))</f>
        <v/>
      </c>
      <c r="E2358" t="str">
        <f>IFERROR(INDEX(tbl_input[집계키_지청],ROW()-1),"")</f>
        <v/>
      </c>
      <c r="F2358" t="str">
        <f t="shared" si="183"/>
        <v/>
      </c>
      <c r="G2358" t="str">
        <f t="shared" si="184"/>
        <v/>
      </c>
    </row>
    <row r="2359" spans="1:7" x14ac:dyDescent="0.4">
      <c r="A2359" t="str">
        <f t="shared" si="180"/>
        <v/>
      </c>
      <c r="B2359" t="str">
        <f t="shared" si="181"/>
        <v/>
      </c>
      <c r="C2359" t="str">
        <f t="shared" si="182"/>
        <v/>
      </c>
      <c r="D2359" t="str">
        <f>IF(E2359="","",IF(COUNTIF($E$2:E2359,E2359)&gt;1,"",SUMIFS(tbl_input[필요수량],tbl_input[집계키_지청],E2359)))</f>
        <v/>
      </c>
      <c r="E2359" t="str">
        <f>IFERROR(INDEX(tbl_input[집계키_지청],ROW()-1),"")</f>
        <v/>
      </c>
      <c r="F2359" t="str">
        <f t="shared" si="183"/>
        <v/>
      </c>
      <c r="G2359" t="str">
        <f t="shared" si="184"/>
        <v/>
      </c>
    </row>
    <row r="2360" spans="1:7" x14ac:dyDescent="0.4">
      <c r="A2360" t="str">
        <f t="shared" si="180"/>
        <v/>
      </c>
      <c r="B2360" t="str">
        <f t="shared" si="181"/>
        <v/>
      </c>
      <c r="C2360" t="str">
        <f t="shared" si="182"/>
        <v/>
      </c>
      <c r="D2360" t="str">
        <f>IF(E2360="","",IF(COUNTIF($E$2:E2360,E2360)&gt;1,"",SUMIFS(tbl_input[필요수량],tbl_input[집계키_지청],E2360)))</f>
        <v/>
      </c>
      <c r="E2360" t="str">
        <f>IFERROR(INDEX(tbl_input[집계키_지청],ROW()-1),"")</f>
        <v/>
      </c>
      <c r="F2360" t="str">
        <f t="shared" si="183"/>
        <v/>
      </c>
      <c r="G2360" t="str">
        <f t="shared" si="184"/>
        <v/>
      </c>
    </row>
    <row r="2361" spans="1:7" x14ac:dyDescent="0.4">
      <c r="A2361" t="str">
        <f t="shared" si="180"/>
        <v/>
      </c>
      <c r="B2361" t="str">
        <f t="shared" si="181"/>
        <v/>
      </c>
      <c r="C2361" t="str">
        <f t="shared" si="182"/>
        <v/>
      </c>
      <c r="D2361" t="str">
        <f>IF(E2361="","",IF(COUNTIF($E$2:E2361,E2361)&gt;1,"",SUMIFS(tbl_input[필요수량],tbl_input[집계키_지청],E2361)))</f>
        <v/>
      </c>
      <c r="E2361" t="str">
        <f>IFERROR(INDEX(tbl_input[집계키_지청],ROW()-1),"")</f>
        <v/>
      </c>
      <c r="F2361" t="str">
        <f t="shared" si="183"/>
        <v/>
      </c>
      <c r="G2361" t="str">
        <f t="shared" si="184"/>
        <v/>
      </c>
    </row>
    <row r="2362" spans="1:7" x14ac:dyDescent="0.4">
      <c r="A2362" t="str">
        <f t="shared" si="180"/>
        <v/>
      </c>
      <c r="B2362" t="str">
        <f t="shared" si="181"/>
        <v/>
      </c>
      <c r="C2362" t="str">
        <f t="shared" si="182"/>
        <v/>
      </c>
      <c r="D2362" t="str">
        <f>IF(E2362="","",IF(COUNTIF($E$2:E2362,E2362)&gt;1,"",SUMIFS(tbl_input[필요수량],tbl_input[집계키_지청],E2362)))</f>
        <v/>
      </c>
      <c r="E2362" t="str">
        <f>IFERROR(INDEX(tbl_input[집계키_지청],ROW()-1),"")</f>
        <v/>
      </c>
      <c r="F2362" t="str">
        <f t="shared" si="183"/>
        <v/>
      </c>
      <c r="G2362" t="str">
        <f t="shared" si="184"/>
        <v/>
      </c>
    </row>
    <row r="2363" spans="1:7" x14ac:dyDescent="0.4">
      <c r="A2363" t="str">
        <f t="shared" si="180"/>
        <v/>
      </c>
      <c r="B2363" t="str">
        <f t="shared" si="181"/>
        <v/>
      </c>
      <c r="C2363" t="str">
        <f t="shared" si="182"/>
        <v/>
      </c>
      <c r="D2363" t="str">
        <f>IF(E2363="","",IF(COUNTIF($E$2:E2363,E2363)&gt;1,"",SUMIFS(tbl_input[필요수량],tbl_input[집계키_지청],E2363)))</f>
        <v/>
      </c>
      <c r="E2363" t="str">
        <f>IFERROR(INDEX(tbl_input[집계키_지청],ROW()-1),"")</f>
        <v/>
      </c>
      <c r="F2363" t="str">
        <f t="shared" si="183"/>
        <v/>
      </c>
      <c r="G2363" t="str">
        <f t="shared" si="184"/>
        <v/>
      </c>
    </row>
    <row r="2364" spans="1:7" x14ac:dyDescent="0.4">
      <c r="A2364" t="str">
        <f t="shared" si="180"/>
        <v/>
      </c>
      <c r="B2364" t="str">
        <f t="shared" si="181"/>
        <v/>
      </c>
      <c r="C2364" t="str">
        <f t="shared" si="182"/>
        <v/>
      </c>
      <c r="D2364" t="str">
        <f>IF(E2364="","",IF(COUNTIF($E$2:E2364,E2364)&gt;1,"",SUMIFS(tbl_input[필요수량],tbl_input[집계키_지청],E2364)))</f>
        <v/>
      </c>
      <c r="E2364" t="str">
        <f>IFERROR(INDEX(tbl_input[집계키_지청],ROW()-1),"")</f>
        <v/>
      </c>
      <c r="F2364" t="str">
        <f t="shared" si="183"/>
        <v/>
      </c>
      <c r="G2364" t="str">
        <f t="shared" si="184"/>
        <v/>
      </c>
    </row>
    <row r="2365" spans="1:7" x14ac:dyDescent="0.4">
      <c r="A2365" t="str">
        <f t="shared" si="180"/>
        <v/>
      </c>
      <c r="B2365" t="str">
        <f t="shared" si="181"/>
        <v/>
      </c>
      <c r="C2365" t="str">
        <f t="shared" si="182"/>
        <v/>
      </c>
      <c r="D2365" t="str">
        <f>IF(E2365="","",IF(COUNTIF($E$2:E2365,E2365)&gt;1,"",SUMIFS(tbl_input[필요수량],tbl_input[집계키_지청],E2365)))</f>
        <v/>
      </c>
      <c r="E2365" t="str">
        <f>IFERROR(INDEX(tbl_input[집계키_지청],ROW()-1),"")</f>
        <v/>
      </c>
      <c r="F2365" t="str">
        <f t="shared" si="183"/>
        <v/>
      </c>
      <c r="G2365" t="str">
        <f t="shared" si="184"/>
        <v/>
      </c>
    </row>
    <row r="2366" spans="1:7" x14ac:dyDescent="0.4">
      <c r="A2366" t="str">
        <f t="shared" si="180"/>
        <v/>
      </c>
      <c r="B2366" t="str">
        <f t="shared" si="181"/>
        <v/>
      </c>
      <c r="C2366" t="str">
        <f t="shared" si="182"/>
        <v/>
      </c>
      <c r="D2366" t="str">
        <f>IF(E2366="","",IF(COUNTIF($E$2:E2366,E2366)&gt;1,"",SUMIFS(tbl_input[필요수량],tbl_input[집계키_지청],E2366)))</f>
        <v/>
      </c>
      <c r="E2366" t="str">
        <f>IFERROR(INDEX(tbl_input[집계키_지청],ROW()-1),"")</f>
        <v/>
      </c>
      <c r="F2366" t="str">
        <f t="shared" si="183"/>
        <v/>
      </c>
      <c r="G2366" t="str">
        <f t="shared" si="184"/>
        <v/>
      </c>
    </row>
    <row r="2367" spans="1:7" x14ac:dyDescent="0.4">
      <c r="A2367" t="str">
        <f t="shared" si="180"/>
        <v/>
      </c>
      <c r="B2367" t="str">
        <f t="shared" si="181"/>
        <v/>
      </c>
      <c r="C2367" t="str">
        <f t="shared" si="182"/>
        <v/>
      </c>
      <c r="D2367" t="str">
        <f>IF(E2367="","",IF(COUNTIF($E$2:E2367,E2367)&gt;1,"",SUMIFS(tbl_input[필요수량],tbl_input[집계키_지청],E2367)))</f>
        <v/>
      </c>
      <c r="E2367" t="str">
        <f>IFERROR(INDEX(tbl_input[집계키_지청],ROW()-1),"")</f>
        <v/>
      </c>
      <c r="F2367" t="str">
        <f t="shared" si="183"/>
        <v/>
      </c>
      <c r="G2367" t="str">
        <f t="shared" si="184"/>
        <v/>
      </c>
    </row>
    <row r="2368" spans="1:7" x14ac:dyDescent="0.4">
      <c r="A2368" t="str">
        <f t="shared" si="180"/>
        <v/>
      </c>
      <c r="B2368" t="str">
        <f t="shared" si="181"/>
        <v/>
      </c>
      <c r="C2368" t="str">
        <f t="shared" si="182"/>
        <v/>
      </c>
      <c r="D2368" t="str">
        <f>IF(E2368="","",IF(COUNTIF($E$2:E2368,E2368)&gt;1,"",SUMIFS(tbl_input[필요수량],tbl_input[집계키_지청],E2368)))</f>
        <v/>
      </c>
      <c r="E2368" t="str">
        <f>IFERROR(INDEX(tbl_input[집계키_지청],ROW()-1),"")</f>
        <v/>
      </c>
      <c r="F2368" t="str">
        <f t="shared" si="183"/>
        <v/>
      </c>
      <c r="G2368" t="str">
        <f t="shared" si="184"/>
        <v/>
      </c>
    </row>
    <row r="2369" spans="1:7" x14ac:dyDescent="0.4">
      <c r="A2369" t="str">
        <f t="shared" si="180"/>
        <v/>
      </c>
      <c r="B2369" t="str">
        <f t="shared" si="181"/>
        <v/>
      </c>
      <c r="C2369" t="str">
        <f t="shared" si="182"/>
        <v/>
      </c>
      <c r="D2369" t="str">
        <f>IF(E2369="","",IF(COUNTIF($E$2:E2369,E2369)&gt;1,"",SUMIFS(tbl_input[필요수량],tbl_input[집계키_지청],E2369)))</f>
        <v/>
      </c>
      <c r="E2369" t="str">
        <f>IFERROR(INDEX(tbl_input[집계키_지청],ROW()-1),"")</f>
        <v/>
      </c>
      <c r="F2369" t="str">
        <f t="shared" si="183"/>
        <v/>
      </c>
      <c r="G2369" t="str">
        <f t="shared" si="184"/>
        <v/>
      </c>
    </row>
    <row r="2370" spans="1:7" x14ac:dyDescent="0.4">
      <c r="A2370" t="str">
        <f t="shared" ref="A2370:A2433" si="185">IF(E2370="","",LEFT(E2370,F2370-1))</f>
        <v/>
      </c>
      <c r="B2370" t="str">
        <f t="shared" ref="B2370:B2433" si="186">IF(E2370="","",MID(E2370,F2370+1,G2370-F2370-1))</f>
        <v/>
      </c>
      <c r="C2370" t="str">
        <f t="shared" ref="C2370:C2433" si="187">IF(E2370="","",MID(E2370,G2370+1,999))</f>
        <v/>
      </c>
      <c r="D2370" t="str">
        <f>IF(E2370="","",IF(COUNTIF($E$2:E2370,E2370)&gt;1,"",SUMIFS(tbl_input[필요수량],tbl_input[집계키_지청],E2370)))</f>
        <v/>
      </c>
      <c r="E2370" t="str">
        <f>IFERROR(INDEX(tbl_input[집계키_지청],ROW()-1),"")</f>
        <v/>
      </c>
      <c r="F2370" t="str">
        <f t="shared" ref="F2370:F2433" si="188">IF(E2370="","",FIND("♦",E2370))</f>
        <v/>
      </c>
      <c r="G2370" t="str">
        <f t="shared" ref="G2370:G2433" si="189">IF(E2370="","",FIND("♦",E2370,F2370+1))</f>
        <v/>
      </c>
    </row>
    <row r="2371" spans="1:7" x14ac:dyDescent="0.4">
      <c r="A2371" t="str">
        <f t="shared" si="185"/>
        <v/>
      </c>
      <c r="B2371" t="str">
        <f t="shared" si="186"/>
        <v/>
      </c>
      <c r="C2371" t="str">
        <f t="shared" si="187"/>
        <v/>
      </c>
      <c r="D2371" t="str">
        <f>IF(E2371="","",IF(COUNTIF($E$2:E2371,E2371)&gt;1,"",SUMIFS(tbl_input[필요수량],tbl_input[집계키_지청],E2371)))</f>
        <v/>
      </c>
      <c r="E2371" t="str">
        <f>IFERROR(INDEX(tbl_input[집계키_지청],ROW()-1),"")</f>
        <v/>
      </c>
      <c r="F2371" t="str">
        <f t="shared" si="188"/>
        <v/>
      </c>
      <c r="G2371" t="str">
        <f t="shared" si="189"/>
        <v/>
      </c>
    </row>
    <row r="2372" spans="1:7" x14ac:dyDescent="0.4">
      <c r="A2372" t="str">
        <f t="shared" si="185"/>
        <v/>
      </c>
      <c r="B2372" t="str">
        <f t="shared" si="186"/>
        <v/>
      </c>
      <c r="C2372" t="str">
        <f t="shared" si="187"/>
        <v/>
      </c>
      <c r="D2372" t="str">
        <f>IF(E2372="","",IF(COUNTIF($E$2:E2372,E2372)&gt;1,"",SUMIFS(tbl_input[필요수량],tbl_input[집계키_지청],E2372)))</f>
        <v/>
      </c>
      <c r="E2372" t="str">
        <f>IFERROR(INDEX(tbl_input[집계키_지청],ROW()-1),"")</f>
        <v/>
      </c>
      <c r="F2372" t="str">
        <f t="shared" si="188"/>
        <v/>
      </c>
      <c r="G2372" t="str">
        <f t="shared" si="189"/>
        <v/>
      </c>
    </row>
    <row r="2373" spans="1:7" x14ac:dyDescent="0.4">
      <c r="A2373" t="str">
        <f t="shared" si="185"/>
        <v/>
      </c>
      <c r="B2373" t="str">
        <f t="shared" si="186"/>
        <v/>
      </c>
      <c r="C2373" t="str">
        <f t="shared" si="187"/>
        <v/>
      </c>
      <c r="D2373" t="str">
        <f>IF(E2373="","",IF(COUNTIF($E$2:E2373,E2373)&gt;1,"",SUMIFS(tbl_input[필요수량],tbl_input[집계키_지청],E2373)))</f>
        <v/>
      </c>
      <c r="E2373" t="str">
        <f>IFERROR(INDEX(tbl_input[집계키_지청],ROW()-1),"")</f>
        <v/>
      </c>
      <c r="F2373" t="str">
        <f t="shared" si="188"/>
        <v/>
      </c>
      <c r="G2373" t="str">
        <f t="shared" si="189"/>
        <v/>
      </c>
    </row>
    <row r="2374" spans="1:7" x14ac:dyDescent="0.4">
      <c r="A2374" t="str">
        <f t="shared" si="185"/>
        <v/>
      </c>
      <c r="B2374" t="str">
        <f t="shared" si="186"/>
        <v/>
      </c>
      <c r="C2374" t="str">
        <f t="shared" si="187"/>
        <v/>
      </c>
      <c r="D2374" t="str">
        <f>IF(E2374="","",IF(COUNTIF($E$2:E2374,E2374)&gt;1,"",SUMIFS(tbl_input[필요수량],tbl_input[집계키_지청],E2374)))</f>
        <v/>
      </c>
      <c r="E2374" t="str">
        <f>IFERROR(INDEX(tbl_input[집계키_지청],ROW()-1),"")</f>
        <v/>
      </c>
      <c r="F2374" t="str">
        <f t="shared" si="188"/>
        <v/>
      </c>
      <c r="G2374" t="str">
        <f t="shared" si="189"/>
        <v/>
      </c>
    </row>
    <row r="2375" spans="1:7" x14ac:dyDescent="0.4">
      <c r="A2375" t="str">
        <f t="shared" si="185"/>
        <v/>
      </c>
      <c r="B2375" t="str">
        <f t="shared" si="186"/>
        <v/>
      </c>
      <c r="C2375" t="str">
        <f t="shared" si="187"/>
        <v/>
      </c>
      <c r="D2375" t="str">
        <f>IF(E2375="","",IF(COUNTIF($E$2:E2375,E2375)&gt;1,"",SUMIFS(tbl_input[필요수량],tbl_input[집계키_지청],E2375)))</f>
        <v/>
      </c>
      <c r="E2375" t="str">
        <f>IFERROR(INDEX(tbl_input[집계키_지청],ROW()-1),"")</f>
        <v/>
      </c>
      <c r="F2375" t="str">
        <f t="shared" si="188"/>
        <v/>
      </c>
      <c r="G2375" t="str">
        <f t="shared" si="189"/>
        <v/>
      </c>
    </row>
    <row r="2376" spans="1:7" x14ac:dyDescent="0.4">
      <c r="A2376" t="str">
        <f t="shared" si="185"/>
        <v/>
      </c>
      <c r="B2376" t="str">
        <f t="shared" si="186"/>
        <v/>
      </c>
      <c r="C2376" t="str">
        <f t="shared" si="187"/>
        <v/>
      </c>
      <c r="D2376" t="str">
        <f>IF(E2376="","",IF(COUNTIF($E$2:E2376,E2376)&gt;1,"",SUMIFS(tbl_input[필요수량],tbl_input[집계키_지청],E2376)))</f>
        <v/>
      </c>
      <c r="E2376" t="str">
        <f>IFERROR(INDEX(tbl_input[집계키_지청],ROW()-1),"")</f>
        <v/>
      </c>
      <c r="F2376" t="str">
        <f t="shared" si="188"/>
        <v/>
      </c>
      <c r="G2376" t="str">
        <f t="shared" si="189"/>
        <v/>
      </c>
    </row>
    <row r="2377" spans="1:7" x14ac:dyDescent="0.4">
      <c r="A2377" t="str">
        <f t="shared" si="185"/>
        <v/>
      </c>
      <c r="B2377" t="str">
        <f t="shared" si="186"/>
        <v/>
      </c>
      <c r="C2377" t="str">
        <f t="shared" si="187"/>
        <v/>
      </c>
      <c r="D2377" t="str">
        <f>IF(E2377="","",IF(COUNTIF($E$2:E2377,E2377)&gt;1,"",SUMIFS(tbl_input[필요수량],tbl_input[집계키_지청],E2377)))</f>
        <v/>
      </c>
      <c r="E2377" t="str">
        <f>IFERROR(INDEX(tbl_input[집계키_지청],ROW()-1),"")</f>
        <v/>
      </c>
      <c r="F2377" t="str">
        <f t="shared" si="188"/>
        <v/>
      </c>
      <c r="G2377" t="str">
        <f t="shared" si="189"/>
        <v/>
      </c>
    </row>
    <row r="2378" spans="1:7" x14ac:dyDescent="0.4">
      <c r="A2378" t="str">
        <f t="shared" si="185"/>
        <v/>
      </c>
      <c r="B2378" t="str">
        <f t="shared" si="186"/>
        <v/>
      </c>
      <c r="C2378" t="str">
        <f t="shared" si="187"/>
        <v/>
      </c>
      <c r="D2378" t="str">
        <f>IF(E2378="","",IF(COUNTIF($E$2:E2378,E2378)&gt;1,"",SUMIFS(tbl_input[필요수량],tbl_input[집계키_지청],E2378)))</f>
        <v/>
      </c>
      <c r="E2378" t="str">
        <f>IFERROR(INDEX(tbl_input[집계키_지청],ROW()-1),"")</f>
        <v/>
      </c>
      <c r="F2378" t="str">
        <f t="shared" si="188"/>
        <v/>
      </c>
      <c r="G2378" t="str">
        <f t="shared" si="189"/>
        <v/>
      </c>
    </row>
    <row r="2379" spans="1:7" x14ac:dyDescent="0.4">
      <c r="A2379" t="str">
        <f t="shared" si="185"/>
        <v/>
      </c>
      <c r="B2379" t="str">
        <f t="shared" si="186"/>
        <v/>
      </c>
      <c r="C2379" t="str">
        <f t="shared" si="187"/>
        <v/>
      </c>
      <c r="D2379" t="str">
        <f>IF(E2379="","",IF(COUNTIF($E$2:E2379,E2379)&gt;1,"",SUMIFS(tbl_input[필요수량],tbl_input[집계키_지청],E2379)))</f>
        <v/>
      </c>
      <c r="E2379" t="str">
        <f>IFERROR(INDEX(tbl_input[집계키_지청],ROW()-1),"")</f>
        <v/>
      </c>
      <c r="F2379" t="str">
        <f t="shared" si="188"/>
        <v/>
      </c>
      <c r="G2379" t="str">
        <f t="shared" si="189"/>
        <v/>
      </c>
    </row>
    <row r="2380" spans="1:7" x14ac:dyDescent="0.4">
      <c r="A2380" t="str">
        <f t="shared" si="185"/>
        <v/>
      </c>
      <c r="B2380" t="str">
        <f t="shared" si="186"/>
        <v/>
      </c>
      <c r="C2380" t="str">
        <f t="shared" si="187"/>
        <v/>
      </c>
      <c r="D2380" t="str">
        <f>IF(E2380="","",IF(COUNTIF($E$2:E2380,E2380)&gt;1,"",SUMIFS(tbl_input[필요수량],tbl_input[집계키_지청],E2380)))</f>
        <v/>
      </c>
      <c r="E2380" t="str">
        <f>IFERROR(INDEX(tbl_input[집계키_지청],ROW()-1),"")</f>
        <v/>
      </c>
      <c r="F2380" t="str">
        <f t="shared" si="188"/>
        <v/>
      </c>
      <c r="G2380" t="str">
        <f t="shared" si="189"/>
        <v/>
      </c>
    </row>
    <row r="2381" spans="1:7" x14ac:dyDescent="0.4">
      <c r="A2381" t="str">
        <f t="shared" si="185"/>
        <v/>
      </c>
      <c r="B2381" t="str">
        <f t="shared" si="186"/>
        <v/>
      </c>
      <c r="C2381" t="str">
        <f t="shared" si="187"/>
        <v/>
      </c>
      <c r="D2381" t="str">
        <f>IF(E2381="","",IF(COUNTIF($E$2:E2381,E2381)&gt;1,"",SUMIFS(tbl_input[필요수량],tbl_input[집계키_지청],E2381)))</f>
        <v/>
      </c>
      <c r="E2381" t="str">
        <f>IFERROR(INDEX(tbl_input[집계키_지청],ROW()-1),"")</f>
        <v/>
      </c>
      <c r="F2381" t="str">
        <f t="shared" si="188"/>
        <v/>
      </c>
      <c r="G2381" t="str">
        <f t="shared" si="189"/>
        <v/>
      </c>
    </row>
    <row r="2382" spans="1:7" x14ac:dyDescent="0.4">
      <c r="A2382" t="str">
        <f t="shared" si="185"/>
        <v/>
      </c>
      <c r="B2382" t="str">
        <f t="shared" si="186"/>
        <v/>
      </c>
      <c r="C2382" t="str">
        <f t="shared" si="187"/>
        <v/>
      </c>
      <c r="D2382" t="str">
        <f>IF(E2382="","",IF(COUNTIF($E$2:E2382,E2382)&gt;1,"",SUMIFS(tbl_input[필요수량],tbl_input[집계키_지청],E2382)))</f>
        <v/>
      </c>
      <c r="E2382" t="str">
        <f>IFERROR(INDEX(tbl_input[집계키_지청],ROW()-1),"")</f>
        <v/>
      </c>
      <c r="F2382" t="str">
        <f t="shared" si="188"/>
        <v/>
      </c>
      <c r="G2382" t="str">
        <f t="shared" si="189"/>
        <v/>
      </c>
    </row>
    <row r="2383" spans="1:7" x14ac:dyDescent="0.4">
      <c r="A2383" t="str">
        <f t="shared" si="185"/>
        <v/>
      </c>
      <c r="B2383" t="str">
        <f t="shared" si="186"/>
        <v/>
      </c>
      <c r="C2383" t="str">
        <f t="shared" si="187"/>
        <v/>
      </c>
      <c r="D2383" t="str">
        <f>IF(E2383="","",IF(COUNTIF($E$2:E2383,E2383)&gt;1,"",SUMIFS(tbl_input[필요수량],tbl_input[집계키_지청],E2383)))</f>
        <v/>
      </c>
      <c r="E2383" t="str">
        <f>IFERROR(INDEX(tbl_input[집계키_지청],ROW()-1),"")</f>
        <v/>
      </c>
      <c r="F2383" t="str">
        <f t="shared" si="188"/>
        <v/>
      </c>
      <c r="G2383" t="str">
        <f t="shared" si="189"/>
        <v/>
      </c>
    </row>
    <row r="2384" spans="1:7" x14ac:dyDescent="0.4">
      <c r="A2384" t="str">
        <f t="shared" si="185"/>
        <v/>
      </c>
      <c r="B2384" t="str">
        <f t="shared" si="186"/>
        <v/>
      </c>
      <c r="C2384" t="str">
        <f t="shared" si="187"/>
        <v/>
      </c>
      <c r="D2384" t="str">
        <f>IF(E2384="","",IF(COUNTIF($E$2:E2384,E2384)&gt;1,"",SUMIFS(tbl_input[필요수량],tbl_input[집계키_지청],E2384)))</f>
        <v/>
      </c>
      <c r="E2384" t="str">
        <f>IFERROR(INDEX(tbl_input[집계키_지청],ROW()-1),"")</f>
        <v/>
      </c>
      <c r="F2384" t="str">
        <f t="shared" si="188"/>
        <v/>
      </c>
      <c r="G2384" t="str">
        <f t="shared" si="189"/>
        <v/>
      </c>
    </row>
    <row r="2385" spans="1:7" x14ac:dyDescent="0.4">
      <c r="A2385" t="str">
        <f t="shared" si="185"/>
        <v/>
      </c>
      <c r="B2385" t="str">
        <f t="shared" si="186"/>
        <v/>
      </c>
      <c r="C2385" t="str">
        <f t="shared" si="187"/>
        <v/>
      </c>
      <c r="D2385" t="str">
        <f>IF(E2385="","",IF(COUNTIF($E$2:E2385,E2385)&gt;1,"",SUMIFS(tbl_input[필요수량],tbl_input[집계키_지청],E2385)))</f>
        <v/>
      </c>
      <c r="E2385" t="str">
        <f>IFERROR(INDEX(tbl_input[집계키_지청],ROW()-1),"")</f>
        <v/>
      </c>
      <c r="F2385" t="str">
        <f t="shared" si="188"/>
        <v/>
      </c>
      <c r="G2385" t="str">
        <f t="shared" si="189"/>
        <v/>
      </c>
    </row>
    <row r="2386" spans="1:7" x14ac:dyDescent="0.4">
      <c r="A2386" t="str">
        <f t="shared" si="185"/>
        <v/>
      </c>
      <c r="B2386" t="str">
        <f t="shared" si="186"/>
        <v/>
      </c>
      <c r="C2386" t="str">
        <f t="shared" si="187"/>
        <v/>
      </c>
      <c r="D2386" t="str">
        <f>IF(E2386="","",IF(COUNTIF($E$2:E2386,E2386)&gt;1,"",SUMIFS(tbl_input[필요수량],tbl_input[집계키_지청],E2386)))</f>
        <v/>
      </c>
      <c r="E2386" t="str">
        <f>IFERROR(INDEX(tbl_input[집계키_지청],ROW()-1),"")</f>
        <v/>
      </c>
      <c r="F2386" t="str">
        <f t="shared" si="188"/>
        <v/>
      </c>
      <c r="G2386" t="str">
        <f t="shared" si="189"/>
        <v/>
      </c>
    </row>
    <row r="2387" spans="1:7" x14ac:dyDescent="0.4">
      <c r="A2387" t="str">
        <f t="shared" si="185"/>
        <v/>
      </c>
      <c r="B2387" t="str">
        <f t="shared" si="186"/>
        <v/>
      </c>
      <c r="C2387" t="str">
        <f t="shared" si="187"/>
        <v/>
      </c>
      <c r="D2387" t="str">
        <f>IF(E2387="","",IF(COUNTIF($E$2:E2387,E2387)&gt;1,"",SUMIFS(tbl_input[필요수량],tbl_input[집계키_지청],E2387)))</f>
        <v/>
      </c>
      <c r="E2387" t="str">
        <f>IFERROR(INDEX(tbl_input[집계키_지청],ROW()-1),"")</f>
        <v/>
      </c>
      <c r="F2387" t="str">
        <f t="shared" si="188"/>
        <v/>
      </c>
      <c r="G2387" t="str">
        <f t="shared" si="189"/>
        <v/>
      </c>
    </row>
    <row r="2388" spans="1:7" x14ac:dyDescent="0.4">
      <c r="A2388" t="str">
        <f t="shared" si="185"/>
        <v/>
      </c>
      <c r="B2388" t="str">
        <f t="shared" si="186"/>
        <v/>
      </c>
      <c r="C2388" t="str">
        <f t="shared" si="187"/>
        <v/>
      </c>
      <c r="D2388" t="str">
        <f>IF(E2388="","",IF(COUNTIF($E$2:E2388,E2388)&gt;1,"",SUMIFS(tbl_input[필요수량],tbl_input[집계키_지청],E2388)))</f>
        <v/>
      </c>
      <c r="E2388" t="str">
        <f>IFERROR(INDEX(tbl_input[집계키_지청],ROW()-1),"")</f>
        <v/>
      </c>
      <c r="F2388" t="str">
        <f t="shared" si="188"/>
        <v/>
      </c>
      <c r="G2388" t="str">
        <f t="shared" si="189"/>
        <v/>
      </c>
    </row>
    <row r="2389" spans="1:7" x14ac:dyDescent="0.4">
      <c r="A2389" t="str">
        <f t="shared" si="185"/>
        <v/>
      </c>
      <c r="B2389" t="str">
        <f t="shared" si="186"/>
        <v/>
      </c>
      <c r="C2389" t="str">
        <f t="shared" si="187"/>
        <v/>
      </c>
      <c r="D2389" t="str">
        <f>IF(E2389="","",IF(COUNTIF($E$2:E2389,E2389)&gt;1,"",SUMIFS(tbl_input[필요수량],tbl_input[집계키_지청],E2389)))</f>
        <v/>
      </c>
      <c r="E2389" t="str">
        <f>IFERROR(INDEX(tbl_input[집계키_지청],ROW()-1),"")</f>
        <v/>
      </c>
      <c r="F2389" t="str">
        <f t="shared" si="188"/>
        <v/>
      </c>
      <c r="G2389" t="str">
        <f t="shared" si="189"/>
        <v/>
      </c>
    </row>
    <row r="2390" spans="1:7" x14ac:dyDescent="0.4">
      <c r="A2390" t="str">
        <f t="shared" si="185"/>
        <v/>
      </c>
      <c r="B2390" t="str">
        <f t="shared" si="186"/>
        <v/>
      </c>
      <c r="C2390" t="str">
        <f t="shared" si="187"/>
        <v/>
      </c>
      <c r="D2390" t="str">
        <f>IF(E2390="","",IF(COUNTIF($E$2:E2390,E2390)&gt;1,"",SUMIFS(tbl_input[필요수량],tbl_input[집계키_지청],E2390)))</f>
        <v/>
      </c>
      <c r="E2390" t="str">
        <f>IFERROR(INDEX(tbl_input[집계키_지청],ROW()-1),"")</f>
        <v/>
      </c>
      <c r="F2390" t="str">
        <f t="shared" si="188"/>
        <v/>
      </c>
      <c r="G2390" t="str">
        <f t="shared" si="189"/>
        <v/>
      </c>
    </row>
    <row r="2391" spans="1:7" x14ac:dyDescent="0.4">
      <c r="A2391" t="str">
        <f t="shared" si="185"/>
        <v/>
      </c>
      <c r="B2391" t="str">
        <f t="shared" si="186"/>
        <v/>
      </c>
      <c r="C2391" t="str">
        <f t="shared" si="187"/>
        <v/>
      </c>
      <c r="D2391" t="str">
        <f>IF(E2391="","",IF(COUNTIF($E$2:E2391,E2391)&gt;1,"",SUMIFS(tbl_input[필요수량],tbl_input[집계키_지청],E2391)))</f>
        <v/>
      </c>
      <c r="E2391" t="str">
        <f>IFERROR(INDEX(tbl_input[집계키_지청],ROW()-1),"")</f>
        <v/>
      </c>
      <c r="F2391" t="str">
        <f t="shared" si="188"/>
        <v/>
      </c>
      <c r="G2391" t="str">
        <f t="shared" si="189"/>
        <v/>
      </c>
    </row>
    <row r="2392" spans="1:7" x14ac:dyDescent="0.4">
      <c r="A2392" t="str">
        <f t="shared" si="185"/>
        <v/>
      </c>
      <c r="B2392" t="str">
        <f t="shared" si="186"/>
        <v/>
      </c>
      <c r="C2392" t="str">
        <f t="shared" si="187"/>
        <v/>
      </c>
      <c r="D2392" t="str">
        <f>IF(E2392="","",IF(COUNTIF($E$2:E2392,E2392)&gt;1,"",SUMIFS(tbl_input[필요수량],tbl_input[집계키_지청],E2392)))</f>
        <v/>
      </c>
      <c r="E2392" t="str">
        <f>IFERROR(INDEX(tbl_input[집계키_지청],ROW()-1),"")</f>
        <v/>
      </c>
      <c r="F2392" t="str">
        <f t="shared" si="188"/>
        <v/>
      </c>
      <c r="G2392" t="str">
        <f t="shared" si="189"/>
        <v/>
      </c>
    </row>
    <row r="2393" spans="1:7" x14ac:dyDescent="0.4">
      <c r="A2393" t="str">
        <f t="shared" si="185"/>
        <v/>
      </c>
      <c r="B2393" t="str">
        <f t="shared" si="186"/>
        <v/>
      </c>
      <c r="C2393" t="str">
        <f t="shared" si="187"/>
        <v/>
      </c>
      <c r="D2393" t="str">
        <f>IF(E2393="","",IF(COUNTIF($E$2:E2393,E2393)&gt;1,"",SUMIFS(tbl_input[필요수량],tbl_input[집계키_지청],E2393)))</f>
        <v/>
      </c>
      <c r="E2393" t="str">
        <f>IFERROR(INDEX(tbl_input[집계키_지청],ROW()-1),"")</f>
        <v/>
      </c>
      <c r="F2393" t="str">
        <f t="shared" si="188"/>
        <v/>
      </c>
      <c r="G2393" t="str">
        <f t="shared" si="189"/>
        <v/>
      </c>
    </row>
    <row r="2394" spans="1:7" x14ac:dyDescent="0.4">
      <c r="A2394" t="str">
        <f t="shared" si="185"/>
        <v/>
      </c>
      <c r="B2394" t="str">
        <f t="shared" si="186"/>
        <v/>
      </c>
      <c r="C2394" t="str">
        <f t="shared" si="187"/>
        <v/>
      </c>
      <c r="D2394" t="str">
        <f>IF(E2394="","",IF(COUNTIF($E$2:E2394,E2394)&gt;1,"",SUMIFS(tbl_input[필요수량],tbl_input[집계키_지청],E2394)))</f>
        <v/>
      </c>
      <c r="E2394" t="str">
        <f>IFERROR(INDEX(tbl_input[집계키_지청],ROW()-1),"")</f>
        <v/>
      </c>
      <c r="F2394" t="str">
        <f t="shared" si="188"/>
        <v/>
      </c>
      <c r="G2394" t="str">
        <f t="shared" si="189"/>
        <v/>
      </c>
    </row>
    <row r="2395" spans="1:7" x14ac:dyDescent="0.4">
      <c r="A2395" t="str">
        <f t="shared" si="185"/>
        <v/>
      </c>
      <c r="B2395" t="str">
        <f t="shared" si="186"/>
        <v/>
      </c>
      <c r="C2395" t="str">
        <f t="shared" si="187"/>
        <v/>
      </c>
      <c r="D2395" t="str">
        <f>IF(E2395="","",IF(COUNTIF($E$2:E2395,E2395)&gt;1,"",SUMIFS(tbl_input[필요수량],tbl_input[집계키_지청],E2395)))</f>
        <v/>
      </c>
      <c r="E2395" t="str">
        <f>IFERROR(INDEX(tbl_input[집계키_지청],ROW()-1),"")</f>
        <v/>
      </c>
      <c r="F2395" t="str">
        <f t="shared" si="188"/>
        <v/>
      </c>
      <c r="G2395" t="str">
        <f t="shared" si="189"/>
        <v/>
      </c>
    </row>
    <row r="2396" spans="1:7" x14ac:dyDescent="0.4">
      <c r="A2396" t="str">
        <f t="shared" si="185"/>
        <v/>
      </c>
      <c r="B2396" t="str">
        <f t="shared" si="186"/>
        <v/>
      </c>
      <c r="C2396" t="str">
        <f t="shared" si="187"/>
        <v/>
      </c>
      <c r="D2396" t="str">
        <f>IF(E2396="","",IF(COUNTIF($E$2:E2396,E2396)&gt;1,"",SUMIFS(tbl_input[필요수량],tbl_input[집계키_지청],E2396)))</f>
        <v/>
      </c>
      <c r="E2396" t="str">
        <f>IFERROR(INDEX(tbl_input[집계키_지청],ROW()-1),"")</f>
        <v/>
      </c>
      <c r="F2396" t="str">
        <f t="shared" si="188"/>
        <v/>
      </c>
      <c r="G2396" t="str">
        <f t="shared" si="189"/>
        <v/>
      </c>
    </row>
    <row r="2397" spans="1:7" x14ac:dyDescent="0.4">
      <c r="A2397" t="str">
        <f t="shared" si="185"/>
        <v/>
      </c>
      <c r="B2397" t="str">
        <f t="shared" si="186"/>
        <v/>
      </c>
      <c r="C2397" t="str">
        <f t="shared" si="187"/>
        <v/>
      </c>
      <c r="D2397" t="str">
        <f>IF(E2397="","",IF(COUNTIF($E$2:E2397,E2397)&gt;1,"",SUMIFS(tbl_input[필요수량],tbl_input[집계키_지청],E2397)))</f>
        <v/>
      </c>
      <c r="E2397" t="str">
        <f>IFERROR(INDEX(tbl_input[집계키_지청],ROW()-1),"")</f>
        <v/>
      </c>
      <c r="F2397" t="str">
        <f t="shared" si="188"/>
        <v/>
      </c>
      <c r="G2397" t="str">
        <f t="shared" si="189"/>
        <v/>
      </c>
    </row>
    <row r="2398" spans="1:7" x14ac:dyDescent="0.4">
      <c r="A2398" t="str">
        <f t="shared" si="185"/>
        <v/>
      </c>
      <c r="B2398" t="str">
        <f t="shared" si="186"/>
        <v/>
      </c>
      <c r="C2398" t="str">
        <f t="shared" si="187"/>
        <v/>
      </c>
      <c r="D2398" t="str">
        <f>IF(E2398="","",IF(COUNTIF($E$2:E2398,E2398)&gt;1,"",SUMIFS(tbl_input[필요수량],tbl_input[집계키_지청],E2398)))</f>
        <v/>
      </c>
      <c r="E2398" t="str">
        <f>IFERROR(INDEX(tbl_input[집계키_지청],ROW()-1),"")</f>
        <v/>
      </c>
      <c r="F2398" t="str">
        <f t="shared" si="188"/>
        <v/>
      </c>
      <c r="G2398" t="str">
        <f t="shared" si="189"/>
        <v/>
      </c>
    </row>
    <row r="2399" spans="1:7" x14ac:dyDescent="0.4">
      <c r="A2399" t="str">
        <f t="shared" si="185"/>
        <v/>
      </c>
      <c r="B2399" t="str">
        <f t="shared" si="186"/>
        <v/>
      </c>
      <c r="C2399" t="str">
        <f t="shared" si="187"/>
        <v/>
      </c>
      <c r="D2399" t="str">
        <f>IF(E2399="","",IF(COUNTIF($E$2:E2399,E2399)&gt;1,"",SUMIFS(tbl_input[필요수량],tbl_input[집계키_지청],E2399)))</f>
        <v/>
      </c>
      <c r="E2399" t="str">
        <f>IFERROR(INDEX(tbl_input[집계키_지청],ROW()-1),"")</f>
        <v/>
      </c>
      <c r="F2399" t="str">
        <f t="shared" si="188"/>
        <v/>
      </c>
      <c r="G2399" t="str">
        <f t="shared" si="189"/>
        <v/>
      </c>
    </row>
    <row r="2400" spans="1:7" x14ac:dyDescent="0.4">
      <c r="A2400" t="str">
        <f t="shared" si="185"/>
        <v/>
      </c>
      <c r="B2400" t="str">
        <f t="shared" si="186"/>
        <v/>
      </c>
      <c r="C2400" t="str">
        <f t="shared" si="187"/>
        <v/>
      </c>
      <c r="D2400" t="str">
        <f>IF(E2400="","",IF(COUNTIF($E$2:E2400,E2400)&gt;1,"",SUMIFS(tbl_input[필요수량],tbl_input[집계키_지청],E2400)))</f>
        <v/>
      </c>
      <c r="E2400" t="str">
        <f>IFERROR(INDEX(tbl_input[집계키_지청],ROW()-1),"")</f>
        <v/>
      </c>
      <c r="F2400" t="str">
        <f t="shared" si="188"/>
        <v/>
      </c>
      <c r="G2400" t="str">
        <f t="shared" si="189"/>
        <v/>
      </c>
    </row>
    <row r="2401" spans="1:7" x14ac:dyDescent="0.4">
      <c r="A2401" t="str">
        <f t="shared" si="185"/>
        <v/>
      </c>
      <c r="B2401" t="str">
        <f t="shared" si="186"/>
        <v/>
      </c>
      <c r="C2401" t="str">
        <f t="shared" si="187"/>
        <v/>
      </c>
      <c r="D2401" t="str">
        <f>IF(E2401="","",IF(COUNTIF($E$2:E2401,E2401)&gt;1,"",SUMIFS(tbl_input[필요수량],tbl_input[집계키_지청],E2401)))</f>
        <v/>
      </c>
      <c r="E2401" t="str">
        <f>IFERROR(INDEX(tbl_input[집계키_지청],ROW()-1),"")</f>
        <v/>
      </c>
      <c r="F2401" t="str">
        <f t="shared" si="188"/>
        <v/>
      </c>
      <c r="G2401" t="str">
        <f t="shared" si="189"/>
        <v/>
      </c>
    </row>
    <row r="2402" spans="1:7" x14ac:dyDescent="0.4">
      <c r="A2402" t="str">
        <f t="shared" si="185"/>
        <v/>
      </c>
      <c r="B2402" t="str">
        <f t="shared" si="186"/>
        <v/>
      </c>
      <c r="C2402" t="str">
        <f t="shared" si="187"/>
        <v/>
      </c>
      <c r="D2402" t="str">
        <f>IF(E2402="","",IF(COUNTIF($E$2:E2402,E2402)&gt;1,"",SUMIFS(tbl_input[필요수량],tbl_input[집계키_지청],E2402)))</f>
        <v/>
      </c>
      <c r="E2402" t="str">
        <f>IFERROR(INDEX(tbl_input[집계키_지청],ROW()-1),"")</f>
        <v/>
      </c>
      <c r="F2402" t="str">
        <f t="shared" si="188"/>
        <v/>
      </c>
      <c r="G2402" t="str">
        <f t="shared" si="189"/>
        <v/>
      </c>
    </row>
    <row r="2403" spans="1:7" x14ac:dyDescent="0.4">
      <c r="A2403" t="str">
        <f t="shared" si="185"/>
        <v/>
      </c>
      <c r="B2403" t="str">
        <f t="shared" si="186"/>
        <v/>
      </c>
      <c r="C2403" t="str">
        <f t="shared" si="187"/>
        <v/>
      </c>
      <c r="D2403" t="str">
        <f>IF(E2403="","",IF(COUNTIF($E$2:E2403,E2403)&gt;1,"",SUMIFS(tbl_input[필요수량],tbl_input[집계키_지청],E2403)))</f>
        <v/>
      </c>
      <c r="E2403" t="str">
        <f>IFERROR(INDEX(tbl_input[집계키_지청],ROW()-1),"")</f>
        <v/>
      </c>
      <c r="F2403" t="str">
        <f t="shared" si="188"/>
        <v/>
      </c>
      <c r="G2403" t="str">
        <f t="shared" si="189"/>
        <v/>
      </c>
    </row>
    <row r="2404" spans="1:7" x14ac:dyDescent="0.4">
      <c r="A2404" t="str">
        <f t="shared" si="185"/>
        <v/>
      </c>
      <c r="B2404" t="str">
        <f t="shared" si="186"/>
        <v/>
      </c>
      <c r="C2404" t="str">
        <f t="shared" si="187"/>
        <v/>
      </c>
      <c r="D2404" t="str">
        <f>IF(E2404="","",IF(COUNTIF($E$2:E2404,E2404)&gt;1,"",SUMIFS(tbl_input[필요수량],tbl_input[집계키_지청],E2404)))</f>
        <v/>
      </c>
      <c r="E2404" t="str">
        <f>IFERROR(INDEX(tbl_input[집계키_지청],ROW()-1),"")</f>
        <v/>
      </c>
      <c r="F2404" t="str">
        <f t="shared" si="188"/>
        <v/>
      </c>
      <c r="G2404" t="str">
        <f t="shared" si="189"/>
        <v/>
      </c>
    </row>
    <row r="2405" spans="1:7" x14ac:dyDescent="0.4">
      <c r="A2405" t="str">
        <f t="shared" si="185"/>
        <v/>
      </c>
      <c r="B2405" t="str">
        <f t="shared" si="186"/>
        <v/>
      </c>
      <c r="C2405" t="str">
        <f t="shared" si="187"/>
        <v/>
      </c>
      <c r="D2405" t="str">
        <f>IF(E2405="","",IF(COUNTIF($E$2:E2405,E2405)&gt;1,"",SUMIFS(tbl_input[필요수량],tbl_input[집계키_지청],E2405)))</f>
        <v/>
      </c>
      <c r="E2405" t="str">
        <f>IFERROR(INDEX(tbl_input[집계키_지청],ROW()-1),"")</f>
        <v/>
      </c>
      <c r="F2405" t="str">
        <f t="shared" si="188"/>
        <v/>
      </c>
      <c r="G2405" t="str">
        <f t="shared" si="189"/>
        <v/>
      </c>
    </row>
    <row r="2406" spans="1:7" x14ac:dyDescent="0.4">
      <c r="A2406" t="str">
        <f t="shared" si="185"/>
        <v/>
      </c>
      <c r="B2406" t="str">
        <f t="shared" si="186"/>
        <v/>
      </c>
      <c r="C2406" t="str">
        <f t="shared" si="187"/>
        <v/>
      </c>
      <c r="D2406" t="str">
        <f>IF(E2406="","",IF(COUNTIF($E$2:E2406,E2406)&gt;1,"",SUMIFS(tbl_input[필요수량],tbl_input[집계키_지청],E2406)))</f>
        <v/>
      </c>
      <c r="E2406" t="str">
        <f>IFERROR(INDEX(tbl_input[집계키_지청],ROW()-1),"")</f>
        <v/>
      </c>
      <c r="F2406" t="str">
        <f t="shared" si="188"/>
        <v/>
      </c>
      <c r="G2406" t="str">
        <f t="shared" si="189"/>
        <v/>
      </c>
    </row>
    <row r="2407" spans="1:7" x14ac:dyDescent="0.4">
      <c r="A2407" t="str">
        <f t="shared" si="185"/>
        <v/>
      </c>
      <c r="B2407" t="str">
        <f t="shared" si="186"/>
        <v/>
      </c>
      <c r="C2407" t="str">
        <f t="shared" si="187"/>
        <v/>
      </c>
      <c r="D2407" t="str">
        <f>IF(E2407="","",IF(COUNTIF($E$2:E2407,E2407)&gt;1,"",SUMIFS(tbl_input[필요수량],tbl_input[집계키_지청],E2407)))</f>
        <v/>
      </c>
      <c r="E2407" t="str">
        <f>IFERROR(INDEX(tbl_input[집계키_지청],ROW()-1),"")</f>
        <v/>
      </c>
      <c r="F2407" t="str">
        <f t="shared" si="188"/>
        <v/>
      </c>
      <c r="G2407" t="str">
        <f t="shared" si="189"/>
        <v/>
      </c>
    </row>
    <row r="2408" spans="1:7" x14ac:dyDescent="0.4">
      <c r="A2408" t="str">
        <f t="shared" si="185"/>
        <v/>
      </c>
      <c r="B2408" t="str">
        <f t="shared" si="186"/>
        <v/>
      </c>
      <c r="C2408" t="str">
        <f t="shared" si="187"/>
        <v/>
      </c>
      <c r="D2408" t="str">
        <f>IF(E2408="","",IF(COUNTIF($E$2:E2408,E2408)&gt;1,"",SUMIFS(tbl_input[필요수량],tbl_input[집계키_지청],E2408)))</f>
        <v/>
      </c>
      <c r="E2408" t="str">
        <f>IFERROR(INDEX(tbl_input[집계키_지청],ROW()-1),"")</f>
        <v/>
      </c>
      <c r="F2408" t="str">
        <f t="shared" si="188"/>
        <v/>
      </c>
      <c r="G2408" t="str">
        <f t="shared" si="189"/>
        <v/>
      </c>
    </row>
    <row r="2409" spans="1:7" x14ac:dyDescent="0.4">
      <c r="A2409" t="str">
        <f t="shared" si="185"/>
        <v/>
      </c>
      <c r="B2409" t="str">
        <f t="shared" si="186"/>
        <v/>
      </c>
      <c r="C2409" t="str">
        <f t="shared" si="187"/>
        <v/>
      </c>
      <c r="D2409" t="str">
        <f>IF(E2409="","",IF(COUNTIF($E$2:E2409,E2409)&gt;1,"",SUMIFS(tbl_input[필요수량],tbl_input[집계키_지청],E2409)))</f>
        <v/>
      </c>
      <c r="E2409" t="str">
        <f>IFERROR(INDEX(tbl_input[집계키_지청],ROW()-1),"")</f>
        <v/>
      </c>
      <c r="F2409" t="str">
        <f t="shared" si="188"/>
        <v/>
      </c>
      <c r="G2409" t="str">
        <f t="shared" si="189"/>
        <v/>
      </c>
    </row>
    <row r="2410" spans="1:7" x14ac:dyDescent="0.4">
      <c r="A2410" t="str">
        <f t="shared" si="185"/>
        <v/>
      </c>
      <c r="B2410" t="str">
        <f t="shared" si="186"/>
        <v/>
      </c>
      <c r="C2410" t="str">
        <f t="shared" si="187"/>
        <v/>
      </c>
      <c r="D2410" t="str">
        <f>IF(E2410="","",IF(COUNTIF($E$2:E2410,E2410)&gt;1,"",SUMIFS(tbl_input[필요수량],tbl_input[집계키_지청],E2410)))</f>
        <v/>
      </c>
      <c r="E2410" t="str">
        <f>IFERROR(INDEX(tbl_input[집계키_지청],ROW()-1),"")</f>
        <v/>
      </c>
      <c r="F2410" t="str">
        <f t="shared" si="188"/>
        <v/>
      </c>
      <c r="G2410" t="str">
        <f t="shared" si="189"/>
        <v/>
      </c>
    </row>
    <row r="2411" spans="1:7" x14ac:dyDescent="0.4">
      <c r="A2411" t="str">
        <f t="shared" si="185"/>
        <v/>
      </c>
      <c r="B2411" t="str">
        <f t="shared" si="186"/>
        <v/>
      </c>
      <c r="C2411" t="str">
        <f t="shared" si="187"/>
        <v/>
      </c>
      <c r="D2411" t="str">
        <f>IF(E2411="","",IF(COUNTIF($E$2:E2411,E2411)&gt;1,"",SUMIFS(tbl_input[필요수량],tbl_input[집계키_지청],E2411)))</f>
        <v/>
      </c>
      <c r="E2411" t="str">
        <f>IFERROR(INDEX(tbl_input[집계키_지청],ROW()-1),"")</f>
        <v/>
      </c>
      <c r="F2411" t="str">
        <f t="shared" si="188"/>
        <v/>
      </c>
      <c r="G2411" t="str">
        <f t="shared" si="189"/>
        <v/>
      </c>
    </row>
    <row r="2412" spans="1:7" x14ac:dyDescent="0.4">
      <c r="A2412" t="str">
        <f t="shared" si="185"/>
        <v/>
      </c>
      <c r="B2412" t="str">
        <f t="shared" si="186"/>
        <v/>
      </c>
      <c r="C2412" t="str">
        <f t="shared" si="187"/>
        <v/>
      </c>
      <c r="D2412" t="str">
        <f>IF(E2412="","",IF(COUNTIF($E$2:E2412,E2412)&gt;1,"",SUMIFS(tbl_input[필요수량],tbl_input[집계키_지청],E2412)))</f>
        <v/>
      </c>
      <c r="E2412" t="str">
        <f>IFERROR(INDEX(tbl_input[집계키_지청],ROW()-1),"")</f>
        <v/>
      </c>
      <c r="F2412" t="str">
        <f t="shared" si="188"/>
        <v/>
      </c>
      <c r="G2412" t="str">
        <f t="shared" si="189"/>
        <v/>
      </c>
    </row>
    <row r="2413" spans="1:7" x14ac:dyDescent="0.4">
      <c r="A2413" t="str">
        <f t="shared" si="185"/>
        <v/>
      </c>
      <c r="B2413" t="str">
        <f t="shared" si="186"/>
        <v/>
      </c>
      <c r="C2413" t="str">
        <f t="shared" si="187"/>
        <v/>
      </c>
      <c r="D2413" t="str">
        <f>IF(E2413="","",IF(COUNTIF($E$2:E2413,E2413)&gt;1,"",SUMIFS(tbl_input[필요수량],tbl_input[집계키_지청],E2413)))</f>
        <v/>
      </c>
      <c r="E2413" t="str">
        <f>IFERROR(INDEX(tbl_input[집계키_지청],ROW()-1),"")</f>
        <v/>
      </c>
      <c r="F2413" t="str">
        <f t="shared" si="188"/>
        <v/>
      </c>
      <c r="G2413" t="str">
        <f t="shared" si="189"/>
        <v/>
      </c>
    </row>
    <row r="2414" spans="1:7" x14ac:dyDescent="0.4">
      <c r="A2414" t="str">
        <f t="shared" si="185"/>
        <v/>
      </c>
      <c r="B2414" t="str">
        <f t="shared" si="186"/>
        <v/>
      </c>
      <c r="C2414" t="str">
        <f t="shared" si="187"/>
        <v/>
      </c>
      <c r="D2414" t="str">
        <f>IF(E2414="","",IF(COUNTIF($E$2:E2414,E2414)&gt;1,"",SUMIFS(tbl_input[필요수량],tbl_input[집계키_지청],E2414)))</f>
        <v/>
      </c>
      <c r="E2414" t="str">
        <f>IFERROR(INDEX(tbl_input[집계키_지청],ROW()-1),"")</f>
        <v/>
      </c>
      <c r="F2414" t="str">
        <f t="shared" si="188"/>
        <v/>
      </c>
      <c r="G2414" t="str">
        <f t="shared" si="189"/>
        <v/>
      </c>
    </row>
    <row r="2415" spans="1:7" x14ac:dyDescent="0.4">
      <c r="A2415" t="str">
        <f t="shared" si="185"/>
        <v/>
      </c>
      <c r="B2415" t="str">
        <f t="shared" si="186"/>
        <v/>
      </c>
      <c r="C2415" t="str">
        <f t="shared" si="187"/>
        <v/>
      </c>
      <c r="D2415" t="str">
        <f>IF(E2415="","",IF(COUNTIF($E$2:E2415,E2415)&gt;1,"",SUMIFS(tbl_input[필요수량],tbl_input[집계키_지청],E2415)))</f>
        <v/>
      </c>
      <c r="E2415" t="str">
        <f>IFERROR(INDEX(tbl_input[집계키_지청],ROW()-1),"")</f>
        <v/>
      </c>
      <c r="F2415" t="str">
        <f t="shared" si="188"/>
        <v/>
      </c>
      <c r="G2415" t="str">
        <f t="shared" si="189"/>
        <v/>
      </c>
    </row>
    <row r="2416" spans="1:7" x14ac:dyDescent="0.4">
      <c r="A2416" t="str">
        <f t="shared" si="185"/>
        <v/>
      </c>
      <c r="B2416" t="str">
        <f t="shared" si="186"/>
        <v/>
      </c>
      <c r="C2416" t="str">
        <f t="shared" si="187"/>
        <v/>
      </c>
      <c r="D2416" t="str">
        <f>IF(E2416="","",IF(COUNTIF($E$2:E2416,E2416)&gt;1,"",SUMIFS(tbl_input[필요수량],tbl_input[집계키_지청],E2416)))</f>
        <v/>
      </c>
      <c r="E2416" t="str">
        <f>IFERROR(INDEX(tbl_input[집계키_지청],ROW()-1),"")</f>
        <v/>
      </c>
      <c r="F2416" t="str">
        <f t="shared" si="188"/>
        <v/>
      </c>
      <c r="G2416" t="str">
        <f t="shared" si="189"/>
        <v/>
      </c>
    </row>
    <row r="2417" spans="1:7" x14ac:dyDescent="0.4">
      <c r="A2417" t="str">
        <f t="shared" si="185"/>
        <v/>
      </c>
      <c r="B2417" t="str">
        <f t="shared" si="186"/>
        <v/>
      </c>
      <c r="C2417" t="str">
        <f t="shared" si="187"/>
        <v/>
      </c>
      <c r="D2417" t="str">
        <f>IF(E2417="","",IF(COUNTIF($E$2:E2417,E2417)&gt;1,"",SUMIFS(tbl_input[필요수량],tbl_input[집계키_지청],E2417)))</f>
        <v/>
      </c>
      <c r="E2417" t="str">
        <f>IFERROR(INDEX(tbl_input[집계키_지청],ROW()-1),"")</f>
        <v/>
      </c>
      <c r="F2417" t="str">
        <f t="shared" si="188"/>
        <v/>
      </c>
      <c r="G2417" t="str">
        <f t="shared" si="189"/>
        <v/>
      </c>
    </row>
    <row r="2418" spans="1:7" x14ac:dyDescent="0.4">
      <c r="A2418" t="str">
        <f t="shared" si="185"/>
        <v/>
      </c>
      <c r="B2418" t="str">
        <f t="shared" si="186"/>
        <v/>
      </c>
      <c r="C2418" t="str">
        <f t="shared" si="187"/>
        <v/>
      </c>
      <c r="D2418" t="str">
        <f>IF(E2418="","",IF(COUNTIF($E$2:E2418,E2418)&gt;1,"",SUMIFS(tbl_input[필요수량],tbl_input[집계키_지청],E2418)))</f>
        <v/>
      </c>
      <c r="E2418" t="str">
        <f>IFERROR(INDEX(tbl_input[집계키_지청],ROW()-1),"")</f>
        <v/>
      </c>
      <c r="F2418" t="str">
        <f t="shared" si="188"/>
        <v/>
      </c>
      <c r="G2418" t="str">
        <f t="shared" si="189"/>
        <v/>
      </c>
    </row>
    <row r="2419" spans="1:7" x14ac:dyDescent="0.4">
      <c r="A2419" t="str">
        <f t="shared" si="185"/>
        <v/>
      </c>
      <c r="B2419" t="str">
        <f t="shared" si="186"/>
        <v/>
      </c>
      <c r="C2419" t="str">
        <f t="shared" si="187"/>
        <v/>
      </c>
      <c r="D2419" t="str">
        <f>IF(E2419="","",IF(COUNTIF($E$2:E2419,E2419)&gt;1,"",SUMIFS(tbl_input[필요수량],tbl_input[집계키_지청],E2419)))</f>
        <v/>
      </c>
      <c r="E2419" t="str">
        <f>IFERROR(INDEX(tbl_input[집계키_지청],ROW()-1),"")</f>
        <v/>
      </c>
      <c r="F2419" t="str">
        <f t="shared" si="188"/>
        <v/>
      </c>
      <c r="G2419" t="str">
        <f t="shared" si="189"/>
        <v/>
      </c>
    </row>
    <row r="2420" spans="1:7" x14ac:dyDescent="0.4">
      <c r="A2420" t="str">
        <f t="shared" si="185"/>
        <v/>
      </c>
      <c r="B2420" t="str">
        <f t="shared" si="186"/>
        <v/>
      </c>
      <c r="C2420" t="str">
        <f t="shared" si="187"/>
        <v/>
      </c>
      <c r="D2420" t="str">
        <f>IF(E2420="","",IF(COUNTIF($E$2:E2420,E2420)&gt;1,"",SUMIFS(tbl_input[필요수량],tbl_input[집계키_지청],E2420)))</f>
        <v/>
      </c>
      <c r="E2420" t="str">
        <f>IFERROR(INDEX(tbl_input[집계키_지청],ROW()-1),"")</f>
        <v/>
      </c>
      <c r="F2420" t="str">
        <f t="shared" si="188"/>
        <v/>
      </c>
      <c r="G2420" t="str">
        <f t="shared" si="189"/>
        <v/>
      </c>
    </row>
    <row r="2421" spans="1:7" x14ac:dyDescent="0.4">
      <c r="A2421" t="str">
        <f t="shared" si="185"/>
        <v/>
      </c>
      <c r="B2421" t="str">
        <f t="shared" si="186"/>
        <v/>
      </c>
      <c r="C2421" t="str">
        <f t="shared" si="187"/>
        <v/>
      </c>
      <c r="D2421" t="str">
        <f>IF(E2421="","",IF(COUNTIF($E$2:E2421,E2421)&gt;1,"",SUMIFS(tbl_input[필요수량],tbl_input[집계키_지청],E2421)))</f>
        <v/>
      </c>
      <c r="E2421" t="str">
        <f>IFERROR(INDEX(tbl_input[집계키_지청],ROW()-1),"")</f>
        <v/>
      </c>
      <c r="F2421" t="str">
        <f t="shared" si="188"/>
        <v/>
      </c>
      <c r="G2421" t="str">
        <f t="shared" si="189"/>
        <v/>
      </c>
    </row>
    <row r="2422" spans="1:7" x14ac:dyDescent="0.4">
      <c r="A2422" t="str">
        <f t="shared" si="185"/>
        <v/>
      </c>
      <c r="B2422" t="str">
        <f t="shared" si="186"/>
        <v/>
      </c>
      <c r="C2422" t="str">
        <f t="shared" si="187"/>
        <v/>
      </c>
      <c r="D2422" t="str">
        <f>IF(E2422="","",IF(COUNTIF($E$2:E2422,E2422)&gt;1,"",SUMIFS(tbl_input[필요수량],tbl_input[집계키_지청],E2422)))</f>
        <v/>
      </c>
      <c r="E2422" t="str">
        <f>IFERROR(INDEX(tbl_input[집계키_지청],ROW()-1),"")</f>
        <v/>
      </c>
      <c r="F2422" t="str">
        <f t="shared" si="188"/>
        <v/>
      </c>
      <c r="G2422" t="str">
        <f t="shared" si="189"/>
        <v/>
      </c>
    </row>
    <row r="2423" spans="1:7" x14ac:dyDescent="0.4">
      <c r="A2423" t="str">
        <f t="shared" si="185"/>
        <v/>
      </c>
      <c r="B2423" t="str">
        <f t="shared" si="186"/>
        <v/>
      </c>
      <c r="C2423" t="str">
        <f t="shared" si="187"/>
        <v/>
      </c>
      <c r="D2423" t="str">
        <f>IF(E2423="","",IF(COUNTIF($E$2:E2423,E2423)&gt;1,"",SUMIFS(tbl_input[필요수량],tbl_input[집계키_지청],E2423)))</f>
        <v/>
      </c>
      <c r="E2423" t="str">
        <f>IFERROR(INDEX(tbl_input[집계키_지청],ROW()-1),"")</f>
        <v/>
      </c>
      <c r="F2423" t="str">
        <f t="shared" si="188"/>
        <v/>
      </c>
      <c r="G2423" t="str">
        <f t="shared" si="189"/>
        <v/>
      </c>
    </row>
    <row r="2424" spans="1:7" x14ac:dyDescent="0.4">
      <c r="A2424" t="str">
        <f t="shared" si="185"/>
        <v/>
      </c>
      <c r="B2424" t="str">
        <f t="shared" si="186"/>
        <v/>
      </c>
      <c r="C2424" t="str">
        <f t="shared" si="187"/>
        <v/>
      </c>
      <c r="D2424" t="str">
        <f>IF(E2424="","",IF(COUNTIF($E$2:E2424,E2424)&gt;1,"",SUMIFS(tbl_input[필요수량],tbl_input[집계키_지청],E2424)))</f>
        <v/>
      </c>
      <c r="E2424" t="str">
        <f>IFERROR(INDEX(tbl_input[집계키_지청],ROW()-1),"")</f>
        <v/>
      </c>
      <c r="F2424" t="str">
        <f t="shared" si="188"/>
        <v/>
      </c>
      <c r="G2424" t="str">
        <f t="shared" si="189"/>
        <v/>
      </c>
    </row>
    <row r="2425" spans="1:7" x14ac:dyDescent="0.4">
      <c r="A2425" t="str">
        <f t="shared" si="185"/>
        <v/>
      </c>
      <c r="B2425" t="str">
        <f t="shared" si="186"/>
        <v/>
      </c>
      <c r="C2425" t="str">
        <f t="shared" si="187"/>
        <v/>
      </c>
      <c r="D2425" t="str">
        <f>IF(E2425="","",IF(COUNTIF($E$2:E2425,E2425)&gt;1,"",SUMIFS(tbl_input[필요수량],tbl_input[집계키_지청],E2425)))</f>
        <v/>
      </c>
      <c r="E2425" t="str">
        <f>IFERROR(INDEX(tbl_input[집계키_지청],ROW()-1),"")</f>
        <v/>
      </c>
      <c r="F2425" t="str">
        <f t="shared" si="188"/>
        <v/>
      </c>
      <c r="G2425" t="str">
        <f t="shared" si="189"/>
        <v/>
      </c>
    </row>
    <row r="2426" spans="1:7" x14ac:dyDescent="0.4">
      <c r="A2426" t="str">
        <f t="shared" si="185"/>
        <v/>
      </c>
      <c r="B2426" t="str">
        <f t="shared" si="186"/>
        <v/>
      </c>
      <c r="C2426" t="str">
        <f t="shared" si="187"/>
        <v/>
      </c>
      <c r="D2426" t="str">
        <f>IF(E2426="","",IF(COUNTIF($E$2:E2426,E2426)&gt;1,"",SUMIFS(tbl_input[필요수량],tbl_input[집계키_지청],E2426)))</f>
        <v/>
      </c>
      <c r="E2426" t="str">
        <f>IFERROR(INDEX(tbl_input[집계키_지청],ROW()-1),"")</f>
        <v/>
      </c>
      <c r="F2426" t="str">
        <f t="shared" si="188"/>
        <v/>
      </c>
      <c r="G2426" t="str">
        <f t="shared" si="189"/>
        <v/>
      </c>
    </row>
    <row r="2427" spans="1:7" x14ac:dyDescent="0.4">
      <c r="A2427" t="str">
        <f t="shared" si="185"/>
        <v/>
      </c>
      <c r="B2427" t="str">
        <f t="shared" si="186"/>
        <v/>
      </c>
      <c r="C2427" t="str">
        <f t="shared" si="187"/>
        <v/>
      </c>
      <c r="D2427" t="str">
        <f>IF(E2427="","",IF(COUNTIF($E$2:E2427,E2427)&gt;1,"",SUMIFS(tbl_input[필요수량],tbl_input[집계키_지청],E2427)))</f>
        <v/>
      </c>
      <c r="E2427" t="str">
        <f>IFERROR(INDEX(tbl_input[집계키_지청],ROW()-1),"")</f>
        <v/>
      </c>
      <c r="F2427" t="str">
        <f t="shared" si="188"/>
        <v/>
      </c>
      <c r="G2427" t="str">
        <f t="shared" si="189"/>
        <v/>
      </c>
    </row>
    <row r="2428" spans="1:7" x14ac:dyDescent="0.4">
      <c r="A2428" t="str">
        <f t="shared" si="185"/>
        <v/>
      </c>
      <c r="B2428" t="str">
        <f t="shared" si="186"/>
        <v/>
      </c>
      <c r="C2428" t="str">
        <f t="shared" si="187"/>
        <v/>
      </c>
      <c r="D2428" t="str">
        <f>IF(E2428="","",IF(COUNTIF($E$2:E2428,E2428)&gt;1,"",SUMIFS(tbl_input[필요수량],tbl_input[집계키_지청],E2428)))</f>
        <v/>
      </c>
      <c r="E2428" t="str">
        <f>IFERROR(INDEX(tbl_input[집계키_지청],ROW()-1),"")</f>
        <v/>
      </c>
      <c r="F2428" t="str">
        <f t="shared" si="188"/>
        <v/>
      </c>
      <c r="G2428" t="str">
        <f t="shared" si="189"/>
        <v/>
      </c>
    </row>
    <row r="2429" spans="1:7" x14ac:dyDescent="0.4">
      <c r="A2429" t="str">
        <f t="shared" si="185"/>
        <v/>
      </c>
      <c r="B2429" t="str">
        <f t="shared" si="186"/>
        <v/>
      </c>
      <c r="C2429" t="str">
        <f t="shared" si="187"/>
        <v/>
      </c>
      <c r="D2429" t="str">
        <f>IF(E2429="","",IF(COUNTIF($E$2:E2429,E2429)&gt;1,"",SUMIFS(tbl_input[필요수량],tbl_input[집계키_지청],E2429)))</f>
        <v/>
      </c>
      <c r="E2429" t="str">
        <f>IFERROR(INDEX(tbl_input[집계키_지청],ROW()-1),"")</f>
        <v/>
      </c>
      <c r="F2429" t="str">
        <f t="shared" si="188"/>
        <v/>
      </c>
      <c r="G2429" t="str">
        <f t="shared" si="189"/>
        <v/>
      </c>
    </row>
    <row r="2430" spans="1:7" x14ac:dyDescent="0.4">
      <c r="A2430" t="str">
        <f t="shared" si="185"/>
        <v/>
      </c>
      <c r="B2430" t="str">
        <f t="shared" si="186"/>
        <v/>
      </c>
      <c r="C2430" t="str">
        <f t="shared" si="187"/>
        <v/>
      </c>
      <c r="D2430" t="str">
        <f>IF(E2430="","",IF(COUNTIF($E$2:E2430,E2430)&gt;1,"",SUMIFS(tbl_input[필요수량],tbl_input[집계키_지청],E2430)))</f>
        <v/>
      </c>
      <c r="E2430" t="str">
        <f>IFERROR(INDEX(tbl_input[집계키_지청],ROW()-1),"")</f>
        <v/>
      </c>
      <c r="F2430" t="str">
        <f t="shared" si="188"/>
        <v/>
      </c>
      <c r="G2430" t="str">
        <f t="shared" si="189"/>
        <v/>
      </c>
    </row>
    <row r="2431" spans="1:7" x14ac:dyDescent="0.4">
      <c r="A2431" t="str">
        <f t="shared" si="185"/>
        <v/>
      </c>
      <c r="B2431" t="str">
        <f t="shared" si="186"/>
        <v/>
      </c>
      <c r="C2431" t="str">
        <f t="shared" si="187"/>
        <v/>
      </c>
      <c r="D2431" t="str">
        <f>IF(E2431="","",IF(COUNTIF($E$2:E2431,E2431)&gt;1,"",SUMIFS(tbl_input[필요수량],tbl_input[집계키_지청],E2431)))</f>
        <v/>
      </c>
      <c r="E2431" t="str">
        <f>IFERROR(INDEX(tbl_input[집계키_지청],ROW()-1),"")</f>
        <v/>
      </c>
      <c r="F2431" t="str">
        <f t="shared" si="188"/>
        <v/>
      </c>
      <c r="G2431" t="str">
        <f t="shared" si="189"/>
        <v/>
      </c>
    </row>
    <row r="2432" spans="1:7" x14ac:dyDescent="0.4">
      <c r="A2432" t="str">
        <f t="shared" si="185"/>
        <v/>
      </c>
      <c r="B2432" t="str">
        <f t="shared" si="186"/>
        <v/>
      </c>
      <c r="C2432" t="str">
        <f t="shared" si="187"/>
        <v/>
      </c>
      <c r="D2432" t="str">
        <f>IF(E2432="","",IF(COUNTIF($E$2:E2432,E2432)&gt;1,"",SUMIFS(tbl_input[필요수량],tbl_input[집계키_지청],E2432)))</f>
        <v/>
      </c>
      <c r="E2432" t="str">
        <f>IFERROR(INDEX(tbl_input[집계키_지청],ROW()-1),"")</f>
        <v/>
      </c>
      <c r="F2432" t="str">
        <f t="shared" si="188"/>
        <v/>
      </c>
      <c r="G2432" t="str">
        <f t="shared" si="189"/>
        <v/>
      </c>
    </row>
    <row r="2433" spans="1:7" x14ac:dyDescent="0.4">
      <c r="A2433" t="str">
        <f t="shared" si="185"/>
        <v/>
      </c>
      <c r="B2433" t="str">
        <f t="shared" si="186"/>
        <v/>
      </c>
      <c r="C2433" t="str">
        <f t="shared" si="187"/>
        <v/>
      </c>
      <c r="D2433" t="str">
        <f>IF(E2433="","",IF(COUNTIF($E$2:E2433,E2433)&gt;1,"",SUMIFS(tbl_input[필요수량],tbl_input[집계키_지청],E2433)))</f>
        <v/>
      </c>
      <c r="E2433" t="str">
        <f>IFERROR(INDEX(tbl_input[집계키_지청],ROW()-1),"")</f>
        <v/>
      </c>
      <c r="F2433" t="str">
        <f t="shared" si="188"/>
        <v/>
      </c>
      <c r="G2433" t="str">
        <f t="shared" si="189"/>
        <v/>
      </c>
    </row>
    <row r="2434" spans="1:7" x14ac:dyDescent="0.4">
      <c r="A2434" t="str">
        <f t="shared" ref="A2434:A2497" si="190">IF(E2434="","",LEFT(E2434,F2434-1))</f>
        <v/>
      </c>
      <c r="B2434" t="str">
        <f t="shared" ref="B2434:B2497" si="191">IF(E2434="","",MID(E2434,F2434+1,G2434-F2434-1))</f>
        <v/>
      </c>
      <c r="C2434" t="str">
        <f t="shared" ref="C2434:C2497" si="192">IF(E2434="","",MID(E2434,G2434+1,999))</f>
        <v/>
      </c>
      <c r="D2434" t="str">
        <f>IF(E2434="","",IF(COUNTIF($E$2:E2434,E2434)&gt;1,"",SUMIFS(tbl_input[필요수량],tbl_input[집계키_지청],E2434)))</f>
        <v/>
      </c>
      <c r="E2434" t="str">
        <f>IFERROR(INDEX(tbl_input[집계키_지청],ROW()-1),"")</f>
        <v/>
      </c>
      <c r="F2434" t="str">
        <f t="shared" ref="F2434:F2497" si="193">IF(E2434="","",FIND("♦",E2434))</f>
        <v/>
      </c>
      <c r="G2434" t="str">
        <f t="shared" ref="G2434:G2497" si="194">IF(E2434="","",FIND("♦",E2434,F2434+1))</f>
        <v/>
      </c>
    </row>
    <row r="2435" spans="1:7" x14ac:dyDescent="0.4">
      <c r="A2435" t="str">
        <f t="shared" si="190"/>
        <v/>
      </c>
      <c r="B2435" t="str">
        <f t="shared" si="191"/>
        <v/>
      </c>
      <c r="C2435" t="str">
        <f t="shared" si="192"/>
        <v/>
      </c>
      <c r="D2435" t="str">
        <f>IF(E2435="","",IF(COUNTIF($E$2:E2435,E2435)&gt;1,"",SUMIFS(tbl_input[필요수량],tbl_input[집계키_지청],E2435)))</f>
        <v/>
      </c>
      <c r="E2435" t="str">
        <f>IFERROR(INDEX(tbl_input[집계키_지청],ROW()-1),"")</f>
        <v/>
      </c>
      <c r="F2435" t="str">
        <f t="shared" si="193"/>
        <v/>
      </c>
      <c r="G2435" t="str">
        <f t="shared" si="194"/>
        <v/>
      </c>
    </row>
    <row r="2436" spans="1:7" x14ac:dyDescent="0.4">
      <c r="A2436" t="str">
        <f t="shared" si="190"/>
        <v/>
      </c>
      <c r="B2436" t="str">
        <f t="shared" si="191"/>
        <v/>
      </c>
      <c r="C2436" t="str">
        <f t="shared" si="192"/>
        <v/>
      </c>
      <c r="D2436" t="str">
        <f>IF(E2436="","",IF(COUNTIF($E$2:E2436,E2436)&gt;1,"",SUMIFS(tbl_input[필요수량],tbl_input[집계키_지청],E2436)))</f>
        <v/>
      </c>
      <c r="E2436" t="str">
        <f>IFERROR(INDEX(tbl_input[집계키_지청],ROW()-1),"")</f>
        <v/>
      </c>
      <c r="F2436" t="str">
        <f t="shared" si="193"/>
        <v/>
      </c>
      <c r="G2436" t="str">
        <f t="shared" si="194"/>
        <v/>
      </c>
    </row>
    <row r="2437" spans="1:7" x14ac:dyDescent="0.4">
      <c r="A2437" t="str">
        <f t="shared" si="190"/>
        <v/>
      </c>
      <c r="B2437" t="str">
        <f t="shared" si="191"/>
        <v/>
      </c>
      <c r="C2437" t="str">
        <f t="shared" si="192"/>
        <v/>
      </c>
      <c r="D2437" t="str">
        <f>IF(E2437="","",IF(COUNTIF($E$2:E2437,E2437)&gt;1,"",SUMIFS(tbl_input[필요수량],tbl_input[집계키_지청],E2437)))</f>
        <v/>
      </c>
      <c r="E2437" t="str">
        <f>IFERROR(INDEX(tbl_input[집계키_지청],ROW()-1),"")</f>
        <v/>
      </c>
      <c r="F2437" t="str">
        <f t="shared" si="193"/>
        <v/>
      </c>
      <c r="G2437" t="str">
        <f t="shared" si="194"/>
        <v/>
      </c>
    </row>
    <row r="2438" spans="1:7" x14ac:dyDescent="0.4">
      <c r="A2438" t="str">
        <f t="shared" si="190"/>
        <v/>
      </c>
      <c r="B2438" t="str">
        <f t="shared" si="191"/>
        <v/>
      </c>
      <c r="C2438" t="str">
        <f t="shared" si="192"/>
        <v/>
      </c>
      <c r="D2438" t="str">
        <f>IF(E2438="","",IF(COUNTIF($E$2:E2438,E2438)&gt;1,"",SUMIFS(tbl_input[필요수량],tbl_input[집계키_지청],E2438)))</f>
        <v/>
      </c>
      <c r="E2438" t="str">
        <f>IFERROR(INDEX(tbl_input[집계키_지청],ROW()-1),"")</f>
        <v/>
      </c>
      <c r="F2438" t="str">
        <f t="shared" si="193"/>
        <v/>
      </c>
      <c r="G2438" t="str">
        <f t="shared" si="194"/>
        <v/>
      </c>
    </row>
    <row r="2439" spans="1:7" x14ac:dyDescent="0.4">
      <c r="A2439" t="str">
        <f t="shared" si="190"/>
        <v/>
      </c>
      <c r="B2439" t="str">
        <f t="shared" si="191"/>
        <v/>
      </c>
      <c r="C2439" t="str">
        <f t="shared" si="192"/>
        <v/>
      </c>
      <c r="D2439" t="str">
        <f>IF(E2439="","",IF(COUNTIF($E$2:E2439,E2439)&gt;1,"",SUMIFS(tbl_input[필요수량],tbl_input[집계키_지청],E2439)))</f>
        <v/>
      </c>
      <c r="E2439" t="str">
        <f>IFERROR(INDEX(tbl_input[집계키_지청],ROW()-1),"")</f>
        <v/>
      </c>
      <c r="F2439" t="str">
        <f t="shared" si="193"/>
        <v/>
      </c>
      <c r="G2439" t="str">
        <f t="shared" si="194"/>
        <v/>
      </c>
    </row>
    <row r="2440" spans="1:7" x14ac:dyDescent="0.4">
      <c r="A2440" t="str">
        <f t="shared" si="190"/>
        <v/>
      </c>
      <c r="B2440" t="str">
        <f t="shared" si="191"/>
        <v/>
      </c>
      <c r="C2440" t="str">
        <f t="shared" si="192"/>
        <v/>
      </c>
      <c r="D2440" t="str">
        <f>IF(E2440="","",IF(COUNTIF($E$2:E2440,E2440)&gt;1,"",SUMIFS(tbl_input[필요수량],tbl_input[집계키_지청],E2440)))</f>
        <v/>
      </c>
      <c r="E2440" t="str">
        <f>IFERROR(INDEX(tbl_input[집계키_지청],ROW()-1),"")</f>
        <v/>
      </c>
      <c r="F2440" t="str">
        <f t="shared" si="193"/>
        <v/>
      </c>
      <c r="G2440" t="str">
        <f t="shared" si="194"/>
        <v/>
      </c>
    </row>
    <row r="2441" spans="1:7" x14ac:dyDescent="0.4">
      <c r="A2441" t="str">
        <f t="shared" si="190"/>
        <v/>
      </c>
      <c r="B2441" t="str">
        <f t="shared" si="191"/>
        <v/>
      </c>
      <c r="C2441" t="str">
        <f t="shared" si="192"/>
        <v/>
      </c>
      <c r="D2441" t="str">
        <f>IF(E2441="","",IF(COUNTIF($E$2:E2441,E2441)&gt;1,"",SUMIFS(tbl_input[필요수량],tbl_input[집계키_지청],E2441)))</f>
        <v/>
      </c>
      <c r="E2441" t="str">
        <f>IFERROR(INDEX(tbl_input[집계키_지청],ROW()-1),"")</f>
        <v/>
      </c>
      <c r="F2441" t="str">
        <f t="shared" si="193"/>
        <v/>
      </c>
      <c r="G2441" t="str">
        <f t="shared" si="194"/>
        <v/>
      </c>
    </row>
    <row r="2442" spans="1:7" x14ac:dyDescent="0.4">
      <c r="A2442" t="str">
        <f t="shared" si="190"/>
        <v/>
      </c>
      <c r="B2442" t="str">
        <f t="shared" si="191"/>
        <v/>
      </c>
      <c r="C2442" t="str">
        <f t="shared" si="192"/>
        <v/>
      </c>
      <c r="D2442" t="str">
        <f>IF(E2442="","",IF(COUNTIF($E$2:E2442,E2442)&gt;1,"",SUMIFS(tbl_input[필요수량],tbl_input[집계키_지청],E2442)))</f>
        <v/>
      </c>
      <c r="E2442" t="str">
        <f>IFERROR(INDEX(tbl_input[집계키_지청],ROW()-1),"")</f>
        <v/>
      </c>
      <c r="F2442" t="str">
        <f t="shared" si="193"/>
        <v/>
      </c>
      <c r="G2442" t="str">
        <f t="shared" si="194"/>
        <v/>
      </c>
    </row>
    <row r="2443" spans="1:7" x14ac:dyDescent="0.4">
      <c r="A2443" t="str">
        <f t="shared" si="190"/>
        <v/>
      </c>
      <c r="B2443" t="str">
        <f t="shared" si="191"/>
        <v/>
      </c>
      <c r="C2443" t="str">
        <f t="shared" si="192"/>
        <v/>
      </c>
      <c r="D2443" t="str">
        <f>IF(E2443="","",IF(COUNTIF($E$2:E2443,E2443)&gt;1,"",SUMIFS(tbl_input[필요수량],tbl_input[집계키_지청],E2443)))</f>
        <v/>
      </c>
      <c r="E2443" t="str">
        <f>IFERROR(INDEX(tbl_input[집계키_지청],ROW()-1),"")</f>
        <v/>
      </c>
      <c r="F2443" t="str">
        <f t="shared" si="193"/>
        <v/>
      </c>
      <c r="G2443" t="str">
        <f t="shared" si="194"/>
        <v/>
      </c>
    </row>
    <row r="2444" spans="1:7" x14ac:dyDescent="0.4">
      <c r="A2444" t="str">
        <f t="shared" si="190"/>
        <v/>
      </c>
      <c r="B2444" t="str">
        <f t="shared" si="191"/>
        <v/>
      </c>
      <c r="C2444" t="str">
        <f t="shared" si="192"/>
        <v/>
      </c>
      <c r="D2444" t="str">
        <f>IF(E2444="","",IF(COUNTIF($E$2:E2444,E2444)&gt;1,"",SUMIFS(tbl_input[필요수량],tbl_input[집계키_지청],E2444)))</f>
        <v/>
      </c>
      <c r="E2444" t="str">
        <f>IFERROR(INDEX(tbl_input[집계키_지청],ROW()-1),"")</f>
        <v/>
      </c>
      <c r="F2444" t="str">
        <f t="shared" si="193"/>
        <v/>
      </c>
      <c r="G2444" t="str">
        <f t="shared" si="194"/>
        <v/>
      </c>
    </row>
    <row r="2445" spans="1:7" x14ac:dyDescent="0.4">
      <c r="A2445" t="str">
        <f t="shared" si="190"/>
        <v/>
      </c>
      <c r="B2445" t="str">
        <f t="shared" si="191"/>
        <v/>
      </c>
      <c r="C2445" t="str">
        <f t="shared" si="192"/>
        <v/>
      </c>
      <c r="D2445" t="str">
        <f>IF(E2445="","",IF(COUNTIF($E$2:E2445,E2445)&gt;1,"",SUMIFS(tbl_input[필요수량],tbl_input[집계키_지청],E2445)))</f>
        <v/>
      </c>
      <c r="E2445" t="str">
        <f>IFERROR(INDEX(tbl_input[집계키_지청],ROW()-1),"")</f>
        <v/>
      </c>
      <c r="F2445" t="str">
        <f t="shared" si="193"/>
        <v/>
      </c>
      <c r="G2445" t="str">
        <f t="shared" si="194"/>
        <v/>
      </c>
    </row>
    <row r="2446" spans="1:7" x14ac:dyDescent="0.4">
      <c r="A2446" t="str">
        <f t="shared" si="190"/>
        <v/>
      </c>
      <c r="B2446" t="str">
        <f t="shared" si="191"/>
        <v/>
      </c>
      <c r="C2446" t="str">
        <f t="shared" si="192"/>
        <v/>
      </c>
      <c r="D2446" t="str">
        <f>IF(E2446="","",IF(COUNTIF($E$2:E2446,E2446)&gt;1,"",SUMIFS(tbl_input[필요수량],tbl_input[집계키_지청],E2446)))</f>
        <v/>
      </c>
      <c r="E2446" t="str">
        <f>IFERROR(INDEX(tbl_input[집계키_지청],ROW()-1),"")</f>
        <v/>
      </c>
      <c r="F2446" t="str">
        <f t="shared" si="193"/>
        <v/>
      </c>
      <c r="G2446" t="str">
        <f t="shared" si="194"/>
        <v/>
      </c>
    </row>
    <row r="2447" spans="1:7" x14ac:dyDescent="0.4">
      <c r="A2447" t="str">
        <f t="shared" si="190"/>
        <v/>
      </c>
      <c r="B2447" t="str">
        <f t="shared" si="191"/>
        <v/>
      </c>
      <c r="C2447" t="str">
        <f t="shared" si="192"/>
        <v/>
      </c>
      <c r="D2447" t="str">
        <f>IF(E2447="","",IF(COUNTIF($E$2:E2447,E2447)&gt;1,"",SUMIFS(tbl_input[필요수량],tbl_input[집계키_지청],E2447)))</f>
        <v/>
      </c>
      <c r="E2447" t="str">
        <f>IFERROR(INDEX(tbl_input[집계키_지청],ROW()-1),"")</f>
        <v/>
      </c>
      <c r="F2447" t="str">
        <f t="shared" si="193"/>
        <v/>
      </c>
      <c r="G2447" t="str">
        <f t="shared" si="194"/>
        <v/>
      </c>
    </row>
    <row r="2448" spans="1:7" x14ac:dyDescent="0.4">
      <c r="A2448" t="str">
        <f t="shared" si="190"/>
        <v/>
      </c>
      <c r="B2448" t="str">
        <f t="shared" si="191"/>
        <v/>
      </c>
      <c r="C2448" t="str">
        <f t="shared" si="192"/>
        <v/>
      </c>
      <c r="D2448" t="str">
        <f>IF(E2448="","",IF(COUNTIF($E$2:E2448,E2448)&gt;1,"",SUMIFS(tbl_input[필요수량],tbl_input[집계키_지청],E2448)))</f>
        <v/>
      </c>
      <c r="E2448" t="str">
        <f>IFERROR(INDEX(tbl_input[집계키_지청],ROW()-1),"")</f>
        <v/>
      </c>
      <c r="F2448" t="str">
        <f t="shared" si="193"/>
        <v/>
      </c>
      <c r="G2448" t="str">
        <f t="shared" si="194"/>
        <v/>
      </c>
    </row>
    <row r="2449" spans="1:7" x14ac:dyDescent="0.4">
      <c r="A2449" t="str">
        <f t="shared" si="190"/>
        <v/>
      </c>
      <c r="B2449" t="str">
        <f t="shared" si="191"/>
        <v/>
      </c>
      <c r="C2449" t="str">
        <f t="shared" si="192"/>
        <v/>
      </c>
      <c r="D2449" t="str">
        <f>IF(E2449="","",IF(COUNTIF($E$2:E2449,E2449)&gt;1,"",SUMIFS(tbl_input[필요수량],tbl_input[집계키_지청],E2449)))</f>
        <v/>
      </c>
      <c r="E2449" t="str">
        <f>IFERROR(INDEX(tbl_input[집계키_지청],ROW()-1),"")</f>
        <v/>
      </c>
      <c r="F2449" t="str">
        <f t="shared" si="193"/>
        <v/>
      </c>
      <c r="G2449" t="str">
        <f t="shared" si="194"/>
        <v/>
      </c>
    </row>
    <row r="2450" spans="1:7" x14ac:dyDescent="0.4">
      <c r="A2450" t="str">
        <f t="shared" si="190"/>
        <v/>
      </c>
      <c r="B2450" t="str">
        <f t="shared" si="191"/>
        <v/>
      </c>
      <c r="C2450" t="str">
        <f t="shared" si="192"/>
        <v/>
      </c>
      <c r="D2450" t="str">
        <f>IF(E2450="","",IF(COUNTIF($E$2:E2450,E2450)&gt;1,"",SUMIFS(tbl_input[필요수량],tbl_input[집계키_지청],E2450)))</f>
        <v/>
      </c>
      <c r="E2450" t="str">
        <f>IFERROR(INDEX(tbl_input[집계키_지청],ROW()-1),"")</f>
        <v/>
      </c>
      <c r="F2450" t="str">
        <f t="shared" si="193"/>
        <v/>
      </c>
      <c r="G2450" t="str">
        <f t="shared" si="194"/>
        <v/>
      </c>
    </row>
    <row r="2451" spans="1:7" x14ac:dyDescent="0.4">
      <c r="A2451" t="str">
        <f t="shared" si="190"/>
        <v/>
      </c>
      <c r="B2451" t="str">
        <f t="shared" si="191"/>
        <v/>
      </c>
      <c r="C2451" t="str">
        <f t="shared" si="192"/>
        <v/>
      </c>
      <c r="D2451" t="str">
        <f>IF(E2451="","",IF(COUNTIF($E$2:E2451,E2451)&gt;1,"",SUMIFS(tbl_input[필요수량],tbl_input[집계키_지청],E2451)))</f>
        <v/>
      </c>
      <c r="E2451" t="str">
        <f>IFERROR(INDEX(tbl_input[집계키_지청],ROW()-1),"")</f>
        <v/>
      </c>
      <c r="F2451" t="str">
        <f t="shared" si="193"/>
        <v/>
      </c>
      <c r="G2451" t="str">
        <f t="shared" si="194"/>
        <v/>
      </c>
    </row>
    <row r="2452" spans="1:7" x14ac:dyDescent="0.4">
      <c r="A2452" t="str">
        <f t="shared" si="190"/>
        <v/>
      </c>
      <c r="B2452" t="str">
        <f t="shared" si="191"/>
        <v/>
      </c>
      <c r="C2452" t="str">
        <f t="shared" si="192"/>
        <v/>
      </c>
      <c r="D2452" t="str">
        <f>IF(E2452="","",IF(COUNTIF($E$2:E2452,E2452)&gt;1,"",SUMIFS(tbl_input[필요수량],tbl_input[집계키_지청],E2452)))</f>
        <v/>
      </c>
      <c r="E2452" t="str">
        <f>IFERROR(INDEX(tbl_input[집계키_지청],ROW()-1),"")</f>
        <v/>
      </c>
      <c r="F2452" t="str">
        <f t="shared" si="193"/>
        <v/>
      </c>
      <c r="G2452" t="str">
        <f t="shared" si="194"/>
        <v/>
      </c>
    </row>
    <row r="2453" spans="1:7" x14ac:dyDescent="0.4">
      <c r="A2453" t="str">
        <f t="shared" si="190"/>
        <v/>
      </c>
      <c r="B2453" t="str">
        <f t="shared" si="191"/>
        <v/>
      </c>
      <c r="C2453" t="str">
        <f t="shared" si="192"/>
        <v/>
      </c>
      <c r="D2453" t="str">
        <f>IF(E2453="","",IF(COUNTIF($E$2:E2453,E2453)&gt;1,"",SUMIFS(tbl_input[필요수량],tbl_input[집계키_지청],E2453)))</f>
        <v/>
      </c>
      <c r="E2453" t="str">
        <f>IFERROR(INDEX(tbl_input[집계키_지청],ROW()-1),"")</f>
        <v/>
      </c>
      <c r="F2453" t="str">
        <f t="shared" si="193"/>
        <v/>
      </c>
      <c r="G2453" t="str">
        <f t="shared" si="194"/>
        <v/>
      </c>
    </row>
    <row r="2454" spans="1:7" x14ac:dyDescent="0.4">
      <c r="A2454" t="str">
        <f t="shared" si="190"/>
        <v/>
      </c>
      <c r="B2454" t="str">
        <f t="shared" si="191"/>
        <v/>
      </c>
      <c r="C2454" t="str">
        <f t="shared" si="192"/>
        <v/>
      </c>
      <c r="D2454" t="str">
        <f>IF(E2454="","",IF(COUNTIF($E$2:E2454,E2454)&gt;1,"",SUMIFS(tbl_input[필요수량],tbl_input[집계키_지청],E2454)))</f>
        <v/>
      </c>
      <c r="E2454" t="str">
        <f>IFERROR(INDEX(tbl_input[집계키_지청],ROW()-1),"")</f>
        <v/>
      </c>
      <c r="F2454" t="str">
        <f t="shared" si="193"/>
        <v/>
      </c>
      <c r="G2454" t="str">
        <f t="shared" si="194"/>
        <v/>
      </c>
    </row>
    <row r="2455" spans="1:7" x14ac:dyDescent="0.4">
      <c r="A2455" t="str">
        <f t="shared" si="190"/>
        <v/>
      </c>
      <c r="B2455" t="str">
        <f t="shared" si="191"/>
        <v/>
      </c>
      <c r="C2455" t="str">
        <f t="shared" si="192"/>
        <v/>
      </c>
      <c r="D2455" t="str">
        <f>IF(E2455="","",IF(COUNTIF($E$2:E2455,E2455)&gt;1,"",SUMIFS(tbl_input[필요수량],tbl_input[집계키_지청],E2455)))</f>
        <v/>
      </c>
      <c r="E2455" t="str">
        <f>IFERROR(INDEX(tbl_input[집계키_지청],ROW()-1),"")</f>
        <v/>
      </c>
      <c r="F2455" t="str">
        <f t="shared" si="193"/>
        <v/>
      </c>
      <c r="G2455" t="str">
        <f t="shared" si="194"/>
        <v/>
      </c>
    </row>
    <row r="2456" spans="1:7" x14ac:dyDescent="0.4">
      <c r="A2456" t="str">
        <f t="shared" si="190"/>
        <v/>
      </c>
      <c r="B2456" t="str">
        <f t="shared" si="191"/>
        <v/>
      </c>
      <c r="C2456" t="str">
        <f t="shared" si="192"/>
        <v/>
      </c>
      <c r="D2456" t="str">
        <f>IF(E2456="","",IF(COUNTIF($E$2:E2456,E2456)&gt;1,"",SUMIFS(tbl_input[필요수량],tbl_input[집계키_지청],E2456)))</f>
        <v/>
      </c>
      <c r="E2456" t="str">
        <f>IFERROR(INDEX(tbl_input[집계키_지청],ROW()-1),"")</f>
        <v/>
      </c>
      <c r="F2456" t="str">
        <f t="shared" si="193"/>
        <v/>
      </c>
      <c r="G2456" t="str">
        <f t="shared" si="194"/>
        <v/>
      </c>
    </row>
    <row r="2457" spans="1:7" x14ac:dyDescent="0.4">
      <c r="A2457" t="str">
        <f t="shared" si="190"/>
        <v/>
      </c>
      <c r="B2457" t="str">
        <f t="shared" si="191"/>
        <v/>
      </c>
      <c r="C2457" t="str">
        <f t="shared" si="192"/>
        <v/>
      </c>
      <c r="D2457" t="str">
        <f>IF(E2457="","",IF(COUNTIF($E$2:E2457,E2457)&gt;1,"",SUMIFS(tbl_input[필요수량],tbl_input[집계키_지청],E2457)))</f>
        <v/>
      </c>
      <c r="E2457" t="str">
        <f>IFERROR(INDEX(tbl_input[집계키_지청],ROW()-1),"")</f>
        <v/>
      </c>
      <c r="F2457" t="str">
        <f t="shared" si="193"/>
        <v/>
      </c>
      <c r="G2457" t="str">
        <f t="shared" si="194"/>
        <v/>
      </c>
    </row>
    <row r="2458" spans="1:7" x14ac:dyDescent="0.4">
      <c r="A2458" t="str">
        <f t="shared" si="190"/>
        <v/>
      </c>
      <c r="B2458" t="str">
        <f t="shared" si="191"/>
        <v/>
      </c>
      <c r="C2458" t="str">
        <f t="shared" si="192"/>
        <v/>
      </c>
      <c r="D2458" t="str">
        <f>IF(E2458="","",IF(COUNTIF($E$2:E2458,E2458)&gt;1,"",SUMIFS(tbl_input[필요수량],tbl_input[집계키_지청],E2458)))</f>
        <v/>
      </c>
      <c r="E2458" t="str">
        <f>IFERROR(INDEX(tbl_input[집계키_지청],ROW()-1),"")</f>
        <v/>
      </c>
      <c r="F2458" t="str">
        <f t="shared" si="193"/>
        <v/>
      </c>
      <c r="G2458" t="str">
        <f t="shared" si="194"/>
        <v/>
      </c>
    </row>
    <row r="2459" spans="1:7" x14ac:dyDescent="0.4">
      <c r="A2459" t="str">
        <f t="shared" si="190"/>
        <v/>
      </c>
      <c r="B2459" t="str">
        <f t="shared" si="191"/>
        <v/>
      </c>
      <c r="C2459" t="str">
        <f t="shared" si="192"/>
        <v/>
      </c>
      <c r="D2459" t="str">
        <f>IF(E2459="","",IF(COUNTIF($E$2:E2459,E2459)&gt;1,"",SUMIFS(tbl_input[필요수량],tbl_input[집계키_지청],E2459)))</f>
        <v/>
      </c>
      <c r="E2459" t="str">
        <f>IFERROR(INDEX(tbl_input[집계키_지청],ROW()-1),"")</f>
        <v/>
      </c>
      <c r="F2459" t="str">
        <f t="shared" si="193"/>
        <v/>
      </c>
      <c r="G2459" t="str">
        <f t="shared" si="194"/>
        <v/>
      </c>
    </row>
    <row r="2460" spans="1:7" x14ac:dyDescent="0.4">
      <c r="A2460" t="str">
        <f t="shared" si="190"/>
        <v/>
      </c>
      <c r="B2460" t="str">
        <f t="shared" si="191"/>
        <v/>
      </c>
      <c r="C2460" t="str">
        <f t="shared" si="192"/>
        <v/>
      </c>
      <c r="D2460" t="str">
        <f>IF(E2460="","",IF(COUNTIF($E$2:E2460,E2460)&gt;1,"",SUMIFS(tbl_input[필요수량],tbl_input[집계키_지청],E2460)))</f>
        <v/>
      </c>
      <c r="E2460" t="str">
        <f>IFERROR(INDEX(tbl_input[집계키_지청],ROW()-1),"")</f>
        <v/>
      </c>
      <c r="F2460" t="str">
        <f t="shared" si="193"/>
        <v/>
      </c>
      <c r="G2460" t="str">
        <f t="shared" si="194"/>
        <v/>
      </c>
    </row>
    <row r="2461" spans="1:7" x14ac:dyDescent="0.4">
      <c r="A2461" t="str">
        <f t="shared" si="190"/>
        <v/>
      </c>
      <c r="B2461" t="str">
        <f t="shared" si="191"/>
        <v/>
      </c>
      <c r="C2461" t="str">
        <f t="shared" si="192"/>
        <v/>
      </c>
      <c r="D2461" t="str">
        <f>IF(E2461="","",IF(COUNTIF($E$2:E2461,E2461)&gt;1,"",SUMIFS(tbl_input[필요수량],tbl_input[집계키_지청],E2461)))</f>
        <v/>
      </c>
      <c r="E2461" t="str">
        <f>IFERROR(INDEX(tbl_input[집계키_지청],ROW()-1),"")</f>
        <v/>
      </c>
      <c r="F2461" t="str">
        <f t="shared" si="193"/>
        <v/>
      </c>
      <c r="G2461" t="str">
        <f t="shared" si="194"/>
        <v/>
      </c>
    </row>
    <row r="2462" spans="1:7" x14ac:dyDescent="0.4">
      <c r="A2462" t="str">
        <f t="shared" si="190"/>
        <v/>
      </c>
      <c r="B2462" t="str">
        <f t="shared" si="191"/>
        <v/>
      </c>
      <c r="C2462" t="str">
        <f t="shared" si="192"/>
        <v/>
      </c>
      <c r="D2462" t="str">
        <f>IF(E2462="","",IF(COUNTIF($E$2:E2462,E2462)&gt;1,"",SUMIFS(tbl_input[필요수량],tbl_input[집계키_지청],E2462)))</f>
        <v/>
      </c>
      <c r="E2462" t="str">
        <f>IFERROR(INDEX(tbl_input[집계키_지청],ROW()-1),"")</f>
        <v/>
      </c>
      <c r="F2462" t="str">
        <f t="shared" si="193"/>
        <v/>
      </c>
      <c r="G2462" t="str">
        <f t="shared" si="194"/>
        <v/>
      </c>
    </row>
    <row r="2463" spans="1:7" x14ac:dyDescent="0.4">
      <c r="A2463" t="str">
        <f t="shared" si="190"/>
        <v/>
      </c>
      <c r="B2463" t="str">
        <f t="shared" si="191"/>
        <v/>
      </c>
      <c r="C2463" t="str">
        <f t="shared" si="192"/>
        <v/>
      </c>
      <c r="D2463" t="str">
        <f>IF(E2463="","",IF(COUNTIF($E$2:E2463,E2463)&gt;1,"",SUMIFS(tbl_input[필요수량],tbl_input[집계키_지청],E2463)))</f>
        <v/>
      </c>
      <c r="E2463" t="str">
        <f>IFERROR(INDEX(tbl_input[집계키_지청],ROW()-1),"")</f>
        <v/>
      </c>
      <c r="F2463" t="str">
        <f t="shared" si="193"/>
        <v/>
      </c>
      <c r="G2463" t="str">
        <f t="shared" si="194"/>
        <v/>
      </c>
    </row>
    <row r="2464" spans="1:7" x14ac:dyDescent="0.4">
      <c r="A2464" t="str">
        <f t="shared" si="190"/>
        <v/>
      </c>
      <c r="B2464" t="str">
        <f t="shared" si="191"/>
        <v/>
      </c>
      <c r="C2464" t="str">
        <f t="shared" si="192"/>
        <v/>
      </c>
      <c r="D2464" t="str">
        <f>IF(E2464="","",IF(COUNTIF($E$2:E2464,E2464)&gt;1,"",SUMIFS(tbl_input[필요수량],tbl_input[집계키_지청],E2464)))</f>
        <v/>
      </c>
      <c r="E2464" t="str">
        <f>IFERROR(INDEX(tbl_input[집계키_지청],ROW()-1),"")</f>
        <v/>
      </c>
      <c r="F2464" t="str">
        <f t="shared" si="193"/>
        <v/>
      </c>
      <c r="G2464" t="str">
        <f t="shared" si="194"/>
        <v/>
      </c>
    </row>
    <row r="2465" spans="1:7" x14ac:dyDescent="0.4">
      <c r="A2465" t="str">
        <f t="shared" si="190"/>
        <v/>
      </c>
      <c r="B2465" t="str">
        <f t="shared" si="191"/>
        <v/>
      </c>
      <c r="C2465" t="str">
        <f t="shared" si="192"/>
        <v/>
      </c>
      <c r="D2465" t="str">
        <f>IF(E2465="","",IF(COUNTIF($E$2:E2465,E2465)&gt;1,"",SUMIFS(tbl_input[필요수량],tbl_input[집계키_지청],E2465)))</f>
        <v/>
      </c>
      <c r="E2465" t="str">
        <f>IFERROR(INDEX(tbl_input[집계키_지청],ROW()-1),"")</f>
        <v/>
      </c>
      <c r="F2465" t="str">
        <f t="shared" si="193"/>
        <v/>
      </c>
      <c r="G2465" t="str">
        <f t="shared" si="194"/>
        <v/>
      </c>
    </row>
    <row r="2466" spans="1:7" x14ac:dyDescent="0.4">
      <c r="A2466" t="str">
        <f t="shared" si="190"/>
        <v/>
      </c>
      <c r="B2466" t="str">
        <f t="shared" si="191"/>
        <v/>
      </c>
      <c r="C2466" t="str">
        <f t="shared" si="192"/>
        <v/>
      </c>
      <c r="D2466" t="str">
        <f>IF(E2466="","",IF(COUNTIF($E$2:E2466,E2466)&gt;1,"",SUMIFS(tbl_input[필요수량],tbl_input[집계키_지청],E2466)))</f>
        <v/>
      </c>
      <c r="E2466" t="str">
        <f>IFERROR(INDEX(tbl_input[집계키_지청],ROW()-1),"")</f>
        <v/>
      </c>
      <c r="F2466" t="str">
        <f t="shared" si="193"/>
        <v/>
      </c>
      <c r="G2466" t="str">
        <f t="shared" si="194"/>
        <v/>
      </c>
    </row>
    <row r="2467" spans="1:7" x14ac:dyDescent="0.4">
      <c r="A2467" t="str">
        <f t="shared" si="190"/>
        <v/>
      </c>
      <c r="B2467" t="str">
        <f t="shared" si="191"/>
        <v/>
      </c>
      <c r="C2467" t="str">
        <f t="shared" si="192"/>
        <v/>
      </c>
      <c r="D2467" t="str">
        <f>IF(E2467="","",IF(COUNTIF($E$2:E2467,E2467)&gt;1,"",SUMIFS(tbl_input[필요수량],tbl_input[집계키_지청],E2467)))</f>
        <v/>
      </c>
      <c r="E2467" t="str">
        <f>IFERROR(INDEX(tbl_input[집계키_지청],ROW()-1),"")</f>
        <v/>
      </c>
      <c r="F2467" t="str">
        <f t="shared" si="193"/>
        <v/>
      </c>
      <c r="G2467" t="str">
        <f t="shared" si="194"/>
        <v/>
      </c>
    </row>
    <row r="2468" spans="1:7" x14ac:dyDescent="0.4">
      <c r="A2468" t="str">
        <f t="shared" si="190"/>
        <v/>
      </c>
      <c r="B2468" t="str">
        <f t="shared" si="191"/>
        <v/>
      </c>
      <c r="C2468" t="str">
        <f t="shared" si="192"/>
        <v/>
      </c>
      <c r="D2468" t="str">
        <f>IF(E2468="","",IF(COUNTIF($E$2:E2468,E2468)&gt;1,"",SUMIFS(tbl_input[필요수량],tbl_input[집계키_지청],E2468)))</f>
        <v/>
      </c>
      <c r="E2468" t="str">
        <f>IFERROR(INDEX(tbl_input[집계키_지청],ROW()-1),"")</f>
        <v/>
      </c>
      <c r="F2468" t="str">
        <f t="shared" si="193"/>
        <v/>
      </c>
      <c r="G2468" t="str">
        <f t="shared" si="194"/>
        <v/>
      </c>
    </row>
    <row r="2469" spans="1:7" x14ac:dyDescent="0.4">
      <c r="A2469" t="str">
        <f t="shared" si="190"/>
        <v/>
      </c>
      <c r="B2469" t="str">
        <f t="shared" si="191"/>
        <v/>
      </c>
      <c r="C2469" t="str">
        <f t="shared" si="192"/>
        <v/>
      </c>
      <c r="D2469" t="str">
        <f>IF(E2469="","",IF(COUNTIF($E$2:E2469,E2469)&gt;1,"",SUMIFS(tbl_input[필요수량],tbl_input[집계키_지청],E2469)))</f>
        <v/>
      </c>
      <c r="E2469" t="str">
        <f>IFERROR(INDEX(tbl_input[집계키_지청],ROW()-1),"")</f>
        <v/>
      </c>
      <c r="F2469" t="str">
        <f t="shared" si="193"/>
        <v/>
      </c>
      <c r="G2469" t="str">
        <f t="shared" si="194"/>
        <v/>
      </c>
    </row>
    <row r="2470" spans="1:7" x14ac:dyDescent="0.4">
      <c r="A2470" t="str">
        <f t="shared" si="190"/>
        <v/>
      </c>
      <c r="B2470" t="str">
        <f t="shared" si="191"/>
        <v/>
      </c>
      <c r="C2470" t="str">
        <f t="shared" si="192"/>
        <v/>
      </c>
      <c r="D2470" t="str">
        <f>IF(E2470="","",IF(COUNTIF($E$2:E2470,E2470)&gt;1,"",SUMIFS(tbl_input[필요수량],tbl_input[집계키_지청],E2470)))</f>
        <v/>
      </c>
      <c r="E2470" t="str">
        <f>IFERROR(INDEX(tbl_input[집계키_지청],ROW()-1),"")</f>
        <v/>
      </c>
      <c r="F2470" t="str">
        <f t="shared" si="193"/>
        <v/>
      </c>
      <c r="G2470" t="str">
        <f t="shared" si="194"/>
        <v/>
      </c>
    </row>
    <row r="2471" spans="1:7" x14ac:dyDescent="0.4">
      <c r="A2471" t="str">
        <f t="shared" si="190"/>
        <v/>
      </c>
      <c r="B2471" t="str">
        <f t="shared" si="191"/>
        <v/>
      </c>
      <c r="C2471" t="str">
        <f t="shared" si="192"/>
        <v/>
      </c>
      <c r="D2471" t="str">
        <f>IF(E2471="","",IF(COUNTIF($E$2:E2471,E2471)&gt;1,"",SUMIFS(tbl_input[필요수량],tbl_input[집계키_지청],E2471)))</f>
        <v/>
      </c>
      <c r="E2471" t="str">
        <f>IFERROR(INDEX(tbl_input[집계키_지청],ROW()-1),"")</f>
        <v/>
      </c>
      <c r="F2471" t="str">
        <f t="shared" si="193"/>
        <v/>
      </c>
      <c r="G2471" t="str">
        <f t="shared" si="194"/>
        <v/>
      </c>
    </row>
    <row r="2472" spans="1:7" x14ac:dyDescent="0.4">
      <c r="A2472" t="str">
        <f t="shared" si="190"/>
        <v/>
      </c>
      <c r="B2472" t="str">
        <f t="shared" si="191"/>
        <v/>
      </c>
      <c r="C2472" t="str">
        <f t="shared" si="192"/>
        <v/>
      </c>
      <c r="D2472" t="str">
        <f>IF(E2472="","",IF(COUNTIF($E$2:E2472,E2472)&gt;1,"",SUMIFS(tbl_input[필요수량],tbl_input[집계키_지청],E2472)))</f>
        <v/>
      </c>
      <c r="E2472" t="str">
        <f>IFERROR(INDEX(tbl_input[집계키_지청],ROW()-1),"")</f>
        <v/>
      </c>
      <c r="F2472" t="str">
        <f t="shared" si="193"/>
        <v/>
      </c>
      <c r="G2472" t="str">
        <f t="shared" si="194"/>
        <v/>
      </c>
    </row>
    <row r="2473" spans="1:7" x14ac:dyDescent="0.4">
      <c r="A2473" t="str">
        <f t="shared" si="190"/>
        <v/>
      </c>
      <c r="B2473" t="str">
        <f t="shared" si="191"/>
        <v/>
      </c>
      <c r="C2473" t="str">
        <f t="shared" si="192"/>
        <v/>
      </c>
      <c r="D2473" t="str">
        <f>IF(E2473="","",IF(COUNTIF($E$2:E2473,E2473)&gt;1,"",SUMIFS(tbl_input[필요수량],tbl_input[집계키_지청],E2473)))</f>
        <v/>
      </c>
      <c r="E2473" t="str">
        <f>IFERROR(INDEX(tbl_input[집계키_지청],ROW()-1),"")</f>
        <v/>
      </c>
      <c r="F2473" t="str">
        <f t="shared" si="193"/>
        <v/>
      </c>
      <c r="G2473" t="str">
        <f t="shared" si="194"/>
        <v/>
      </c>
    </row>
    <row r="2474" spans="1:7" x14ac:dyDescent="0.4">
      <c r="A2474" t="str">
        <f t="shared" si="190"/>
        <v/>
      </c>
      <c r="B2474" t="str">
        <f t="shared" si="191"/>
        <v/>
      </c>
      <c r="C2474" t="str">
        <f t="shared" si="192"/>
        <v/>
      </c>
      <c r="D2474" t="str">
        <f>IF(E2474="","",IF(COUNTIF($E$2:E2474,E2474)&gt;1,"",SUMIFS(tbl_input[필요수량],tbl_input[집계키_지청],E2474)))</f>
        <v/>
      </c>
      <c r="E2474" t="str">
        <f>IFERROR(INDEX(tbl_input[집계키_지청],ROW()-1),"")</f>
        <v/>
      </c>
      <c r="F2474" t="str">
        <f t="shared" si="193"/>
        <v/>
      </c>
      <c r="G2474" t="str">
        <f t="shared" si="194"/>
        <v/>
      </c>
    </row>
    <row r="2475" spans="1:7" x14ac:dyDescent="0.4">
      <c r="A2475" t="str">
        <f t="shared" si="190"/>
        <v/>
      </c>
      <c r="B2475" t="str">
        <f t="shared" si="191"/>
        <v/>
      </c>
      <c r="C2475" t="str">
        <f t="shared" si="192"/>
        <v/>
      </c>
      <c r="D2475" t="str">
        <f>IF(E2475="","",IF(COUNTIF($E$2:E2475,E2475)&gt;1,"",SUMIFS(tbl_input[필요수량],tbl_input[집계키_지청],E2475)))</f>
        <v/>
      </c>
      <c r="E2475" t="str">
        <f>IFERROR(INDEX(tbl_input[집계키_지청],ROW()-1),"")</f>
        <v/>
      </c>
      <c r="F2475" t="str">
        <f t="shared" si="193"/>
        <v/>
      </c>
      <c r="G2475" t="str">
        <f t="shared" si="194"/>
        <v/>
      </c>
    </row>
    <row r="2476" spans="1:7" x14ac:dyDescent="0.4">
      <c r="A2476" t="str">
        <f t="shared" si="190"/>
        <v/>
      </c>
      <c r="B2476" t="str">
        <f t="shared" si="191"/>
        <v/>
      </c>
      <c r="C2476" t="str">
        <f t="shared" si="192"/>
        <v/>
      </c>
      <c r="D2476" t="str">
        <f>IF(E2476="","",IF(COUNTIF($E$2:E2476,E2476)&gt;1,"",SUMIFS(tbl_input[필요수량],tbl_input[집계키_지청],E2476)))</f>
        <v/>
      </c>
      <c r="E2476" t="str">
        <f>IFERROR(INDEX(tbl_input[집계키_지청],ROW()-1),"")</f>
        <v/>
      </c>
      <c r="F2476" t="str">
        <f t="shared" si="193"/>
        <v/>
      </c>
      <c r="G2476" t="str">
        <f t="shared" si="194"/>
        <v/>
      </c>
    </row>
    <row r="2477" spans="1:7" x14ac:dyDescent="0.4">
      <c r="A2477" t="str">
        <f t="shared" si="190"/>
        <v/>
      </c>
      <c r="B2477" t="str">
        <f t="shared" si="191"/>
        <v/>
      </c>
      <c r="C2477" t="str">
        <f t="shared" si="192"/>
        <v/>
      </c>
      <c r="D2477" t="str">
        <f>IF(E2477="","",IF(COUNTIF($E$2:E2477,E2477)&gt;1,"",SUMIFS(tbl_input[필요수량],tbl_input[집계키_지청],E2477)))</f>
        <v/>
      </c>
      <c r="E2477" t="str">
        <f>IFERROR(INDEX(tbl_input[집계키_지청],ROW()-1),"")</f>
        <v/>
      </c>
      <c r="F2477" t="str">
        <f t="shared" si="193"/>
        <v/>
      </c>
      <c r="G2477" t="str">
        <f t="shared" si="194"/>
        <v/>
      </c>
    </row>
    <row r="2478" spans="1:7" x14ac:dyDescent="0.4">
      <c r="A2478" t="str">
        <f t="shared" si="190"/>
        <v/>
      </c>
      <c r="B2478" t="str">
        <f t="shared" si="191"/>
        <v/>
      </c>
      <c r="C2478" t="str">
        <f t="shared" si="192"/>
        <v/>
      </c>
      <c r="D2478" t="str">
        <f>IF(E2478="","",IF(COUNTIF($E$2:E2478,E2478)&gt;1,"",SUMIFS(tbl_input[필요수량],tbl_input[집계키_지청],E2478)))</f>
        <v/>
      </c>
      <c r="E2478" t="str">
        <f>IFERROR(INDEX(tbl_input[집계키_지청],ROW()-1),"")</f>
        <v/>
      </c>
      <c r="F2478" t="str">
        <f t="shared" si="193"/>
        <v/>
      </c>
      <c r="G2478" t="str">
        <f t="shared" si="194"/>
        <v/>
      </c>
    </row>
    <row r="2479" spans="1:7" x14ac:dyDescent="0.4">
      <c r="A2479" t="str">
        <f t="shared" si="190"/>
        <v/>
      </c>
      <c r="B2479" t="str">
        <f t="shared" si="191"/>
        <v/>
      </c>
      <c r="C2479" t="str">
        <f t="shared" si="192"/>
        <v/>
      </c>
      <c r="D2479" t="str">
        <f>IF(E2479="","",IF(COUNTIF($E$2:E2479,E2479)&gt;1,"",SUMIFS(tbl_input[필요수량],tbl_input[집계키_지청],E2479)))</f>
        <v/>
      </c>
      <c r="E2479" t="str">
        <f>IFERROR(INDEX(tbl_input[집계키_지청],ROW()-1),"")</f>
        <v/>
      </c>
      <c r="F2479" t="str">
        <f t="shared" si="193"/>
        <v/>
      </c>
      <c r="G2479" t="str">
        <f t="shared" si="194"/>
        <v/>
      </c>
    </row>
    <row r="2480" spans="1:7" x14ac:dyDescent="0.4">
      <c r="A2480" t="str">
        <f t="shared" si="190"/>
        <v/>
      </c>
      <c r="B2480" t="str">
        <f t="shared" si="191"/>
        <v/>
      </c>
      <c r="C2480" t="str">
        <f t="shared" si="192"/>
        <v/>
      </c>
      <c r="D2480" t="str">
        <f>IF(E2480="","",IF(COUNTIF($E$2:E2480,E2480)&gt;1,"",SUMIFS(tbl_input[필요수량],tbl_input[집계키_지청],E2480)))</f>
        <v/>
      </c>
      <c r="E2480" t="str">
        <f>IFERROR(INDEX(tbl_input[집계키_지청],ROW()-1),"")</f>
        <v/>
      </c>
      <c r="F2480" t="str">
        <f t="shared" si="193"/>
        <v/>
      </c>
      <c r="G2480" t="str">
        <f t="shared" si="194"/>
        <v/>
      </c>
    </row>
    <row r="2481" spans="1:7" x14ac:dyDescent="0.4">
      <c r="A2481" t="str">
        <f t="shared" si="190"/>
        <v/>
      </c>
      <c r="B2481" t="str">
        <f t="shared" si="191"/>
        <v/>
      </c>
      <c r="C2481" t="str">
        <f t="shared" si="192"/>
        <v/>
      </c>
      <c r="D2481" t="str">
        <f>IF(E2481="","",IF(COUNTIF($E$2:E2481,E2481)&gt;1,"",SUMIFS(tbl_input[필요수량],tbl_input[집계키_지청],E2481)))</f>
        <v/>
      </c>
      <c r="E2481" t="str">
        <f>IFERROR(INDEX(tbl_input[집계키_지청],ROW()-1),"")</f>
        <v/>
      </c>
      <c r="F2481" t="str">
        <f t="shared" si="193"/>
        <v/>
      </c>
      <c r="G2481" t="str">
        <f t="shared" si="194"/>
        <v/>
      </c>
    </row>
    <row r="2482" spans="1:7" x14ac:dyDescent="0.4">
      <c r="A2482" t="str">
        <f t="shared" si="190"/>
        <v/>
      </c>
      <c r="B2482" t="str">
        <f t="shared" si="191"/>
        <v/>
      </c>
      <c r="C2482" t="str">
        <f t="shared" si="192"/>
        <v/>
      </c>
      <c r="D2482" t="str">
        <f>IF(E2482="","",IF(COUNTIF($E$2:E2482,E2482)&gt;1,"",SUMIFS(tbl_input[필요수량],tbl_input[집계키_지청],E2482)))</f>
        <v/>
      </c>
      <c r="E2482" t="str">
        <f>IFERROR(INDEX(tbl_input[집계키_지청],ROW()-1),"")</f>
        <v/>
      </c>
      <c r="F2482" t="str">
        <f t="shared" si="193"/>
        <v/>
      </c>
      <c r="G2482" t="str">
        <f t="shared" si="194"/>
        <v/>
      </c>
    </row>
    <row r="2483" spans="1:7" x14ac:dyDescent="0.4">
      <c r="A2483" t="str">
        <f t="shared" si="190"/>
        <v/>
      </c>
      <c r="B2483" t="str">
        <f t="shared" si="191"/>
        <v/>
      </c>
      <c r="C2483" t="str">
        <f t="shared" si="192"/>
        <v/>
      </c>
      <c r="D2483" t="str">
        <f>IF(E2483="","",IF(COUNTIF($E$2:E2483,E2483)&gt;1,"",SUMIFS(tbl_input[필요수량],tbl_input[집계키_지청],E2483)))</f>
        <v/>
      </c>
      <c r="E2483" t="str">
        <f>IFERROR(INDEX(tbl_input[집계키_지청],ROW()-1),"")</f>
        <v/>
      </c>
      <c r="F2483" t="str">
        <f t="shared" si="193"/>
        <v/>
      </c>
      <c r="G2483" t="str">
        <f t="shared" si="194"/>
        <v/>
      </c>
    </row>
    <row r="2484" spans="1:7" x14ac:dyDescent="0.4">
      <c r="A2484" t="str">
        <f t="shared" si="190"/>
        <v/>
      </c>
      <c r="B2484" t="str">
        <f t="shared" si="191"/>
        <v/>
      </c>
      <c r="C2484" t="str">
        <f t="shared" si="192"/>
        <v/>
      </c>
      <c r="D2484" t="str">
        <f>IF(E2484="","",IF(COUNTIF($E$2:E2484,E2484)&gt;1,"",SUMIFS(tbl_input[필요수량],tbl_input[집계키_지청],E2484)))</f>
        <v/>
      </c>
      <c r="E2484" t="str">
        <f>IFERROR(INDEX(tbl_input[집계키_지청],ROW()-1),"")</f>
        <v/>
      </c>
      <c r="F2484" t="str">
        <f t="shared" si="193"/>
        <v/>
      </c>
      <c r="G2484" t="str">
        <f t="shared" si="194"/>
        <v/>
      </c>
    </row>
    <row r="2485" spans="1:7" x14ac:dyDescent="0.4">
      <c r="A2485" t="str">
        <f t="shared" si="190"/>
        <v/>
      </c>
      <c r="B2485" t="str">
        <f t="shared" si="191"/>
        <v/>
      </c>
      <c r="C2485" t="str">
        <f t="shared" si="192"/>
        <v/>
      </c>
      <c r="D2485" t="str">
        <f>IF(E2485="","",IF(COUNTIF($E$2:E2485,E2485)&gt;1,"",SUMIFS(tbl_input[필요수량],tbl_input[집계키_지청],E2485)))</f>
        <v/>
      </c>
      <c r="E2485" t="str">
        <f>IFERROR(INDEX(tbl_input[집계키_지청],ROW()-1),"")</f>
        <v/>
      </c>
      <c r="F2485" t="str">
        <f t="shared" si="193"/>
        <v/>
      </c>
      <c r="G2485" t="str">
        <f t="shared" si="194"/>
        <v/>
      </c>
    </row>
    <row r="2486" spans="1:7" x14ac:dyDescent="0.4">
      <c r="A2486" t="str">
        <f t="shared" si="190"/>
        <v/>
      </c>
      <c r="B2486" t="str">
        <f t="shared" si="191"/>
        <v/>
      </c>
      <c r="C2486" t="str">
        <f t="shared" si="192"/>
        <v/>
      </c>
      <c r="D2486" t="str">
        <f>IF(E2486="","",IF(COUNTIF($E$2:E2486,E2486)&gt;1,"",SUMIFS(tbl_input[필요수량],tbl_input[집계키_지청],E2486)))</f>
        <v/>
      </c>
      <c r="E2486" t="str">
        <f>IFERROR(INDEX(tbl_input[집계키_지청],ROW()-1),"")</f>
        <v/>
      </c>
      <c r="F2486" t="str">
        <f t="shared" si="193"/>
        <v/>
      </c>
      <c r="G2486" t="str">
        <f t="shared" si="194"/>
        <v/>
      </c>
    </row>
    <row r="2487" spans="1:7" x14ac:dyDescent="0.4">
      <c r="A2487" t="str">
        <f t="shared" si="190"/>
        <v/>
      </c>
      <c r="B2487" t="str">
        <f t="shared" si="191"/>
        <v/>
      </c>
      <c r="C2487" t="str">
        <f t="shared" si="192"/>
        <v/>
      </c>
      <c r="D2487" t="str">
        <f>IF(E2487="","",IF(COUNTIF($E$2:E2487,E2487)&gt;1,"",SUMIFS(tbl_input[필요수량],tbl_input[집계키_지청],E2487)))</f>
        <v/>
      </c>
      <c r="E2487" t="str">
        <f>IFERROR(INDEX(tbl_input[집계키_지청],ROW()-1),"")</f>
        <v/>
      </c>
      <c r="F2487" t="str">
        <f t="shared" si="193"/>
        <v/>
      </c>
      <c r="G2487" t="str">
        <f t="shared" si="194"/>
        <v/>
      </c>
    </row>
    <row r="2488" spans="1:7" x14ac:dyDescent="0.4">
      <c r="A2488" t="str">
        <f t="shared" si="190"/>
        <v/>
      </c>
      <c r="B2488" t="str">
        <f t="shared" si="191"/>
        <v/>
      </c>
      <c r="C2488" t="str">
        <f t="shared" si="192"/>
        <v/>
      </c>
      <c r="D2488" t="str">
        <f>IF(E2488="","",IF(COUNTIF($E$2:E2488,E2488)&gt;1,"",SUMIFS(tbl_input[필요수량],tbl_input[집계키_지청],E2488)))</f>
        <v/>
      </c>
      <c r="E2488" t="str">
        <f>IFERROR(INDEX(tbl_input[집계키_지청],ROW()-1),"")</f>
        <v/>
      </c>
      <c r="F2488" t="str">
        <f t="shared" si="193"/>
        <v/>
      </c>
      <c r="G2488" t="str">
        <f t="shared" si="194"/>
        <v/>
      </c>
    </row>
    <row r="2489" spans="1:7" x14ac:dyDescent="0.4">
      <c r="A2489" t="str">
        <f t="shared" si="190"/>
        <v/>
      </c>
      <c r="B2489" t="str">
        <f t="shared" si="191"/>
        <v/>
      </c>
      <c r="C2489" t="str">
        <f t="shared" si="192"/>
        <v/>
      </c>
      <c r="D2489" t="str">
        <f>IF(E2489="","",IF(COUNTIF($E$2:E2489,E2489)&gt;1,"",SUMIFS(tbl_input[필요수량],tbl_input[집계키_지청],E2489)))</f>
        <v/>
      </c>
      <c r="E2489" t="str">
        <f>IFERROR(INDEX(tbl_input[집계키_지청],ROW()-1),"")</f>
        <v/>
      </c>
      <c r="F2489" t="str">
        <f t="shared" si="193"/>
        <v/>
      </c>
      <c r="G2489" t="str">
        <f t="shared" si="194"/>
        <v/>
      </c>
    </row>
    <row r="2490" spans="1:7" x14ac:dyDescent="0.4">
      <c r="A2490" t="str">
        <f t="shared" si="190"/>
        <v/>
      </c>
      <c r="B2490" t="str">
        <f t="shared" si="191"/>
        <v/>
      </c>
      <c r="C2490" t="str">
        <f t="shared" si="192"/>
        <v/>
      </c>
      <c r="D2490" t="str">
        <f>IF(E2490="","",IF(COUNTIF($E$2:E2490,E2490)&gt;1,"",SUMIFS(tbl_input[필요수량],tbl_input[집계키_지청],E2490)))</f>
        <v/>
      </c>
      <c r="E2490" t="str">
        <f>IFERROR(INDEX(tbl_input[집계키_지청],ROW()-1),"")</f>
        <v/>
      </c>
      <c r="F2490" t="str">
        <f t="shared" si="193"/>
        <v/>
      </c>
      <c r="G2490" t="str">
        <f t="shared" si="194"/>
        <v/>
      </c>
    </row>
    <row r="2491" spans="1:7" x14ac:dyDescent="0.4">
      <c r="A2491" t="str">
        <f t="shared" si="190"/>
        <v/>
      </c>
      <c r="B2491" t="str">
        <f t="shared" si="191"/>
        <v/>
      </c>
      <c r="C2491" t="str">
        <f t="shared" si="192"/>
        <v/>
      </c>
      <c r="D2491" t="str">
        <f>IF(E2491="","",IF(COUNTIF($E$2:E2491,E2491)&gt;1,"",SUMIFS(tbl_input[필요수량],tbl_input[집계키_지청],E2491)))</f>
        <v/>
      </c>
      <c r="E2491" t="str">
        <f>IFERROR(INDEX(tbl_input[집계키_지청],ROW()-1),"")</f>
        <v/>
      </c>
      <c r="F2491" t="str">
        <f t="shared" si="193"/>
        <v/>
      </c>
      <c r="G2491" t="str">
        <f t="shared" si="194"/>
        <v/>
      </c>
    </row>
    <row r="2492" spans="1:7" x14ac:dyDescent="0.4">
      <c r="A2492" t="str">
        <f t="shared" si="190"/>
        <v/>
      </c>
      <c r="B2492" t="str">
        <f t="shared" si="191"/>
        <v/>
      </c>
      <c r="C2492" t="str">
        <f t="shared" si="192"/>
        <v/>
      </c>
      <c r="D2492" t="str">
        <f>IF(E2492="","",IF(COUNTIF($E$2:E2492,E2492)&gt;1,"",SUMIFS(tbl_input[필요수량],tbl_input[집계키_지청],E2492)))</f>
        <v/>
      </c>
      <c r="E2492" t="str">
        <f>IFERROR(INDEX(tbl_input[집계키_지청],ROW()-1),"")</f>
        <v/>
      </c>
      <c r="F2492" t="str">
        <f t="shared" si="193"/>
        <v/>
      </c>
      <c r="G2492" t="str">
        <f t="shared" si="194"/>
        <v/>
      </c>
    </row>
    <row r="2493" spans="1:7" x14ac:dyDescent="0.4">
      <c r="A2493" t="str">
        <f t="shared" si="190"/>
        <v/>
      </c>
      <c r="B2493" t="str">
        <f t="shared" si="191"/>
        <v/>
      </c>
      <c r="C2493" t="str">
        <f t="shared" si="192"/>
        <v/>
      </c>
      <c r="D2493" t="str">
        <f>IF(E2493="","",IF(COUNTIF($E$2:E2493,E2493)&gt;1,"",SUMIFS(tbl_input[필요수량],tbl_input[집계키_지청],E2493)))</f>
        <v/>
      </c>
      <c r="E2493" t="str">
        <f>IFERROR(INDEX(tbl_input[집계키_지청],ROW()-1),"")</f>
        <v/>
      </c>
      <c r="F2493" t="str">
        <f t="shared" si="193"/>
        <v/>
      </c>
      <c r="G2493" t="str">
        <f t="shared" si="194"/>
        <v/>
      </c>
    </row>
    <row r="2494" spans="1:7" x14ac:dyDescent="0.4">
      <c r="A2494" t="str">
        <f t="shared" si="190"/>
        <v/>
      </c>
      <c r="B2494" t="str">
        <f t="shared" si="191"/>
        <v/>
      </c>
      <c r="C2494" t="str">
        <f t="shared" si="192"/>
        <v/>
      </c>
      <c r="D2494" t="str">
        <f>IF(E2494="","",IF(COUNTIF($E$2:E2494,E2494)&gt;1,"",SUMIFS(tbl_input[필요수량],tbl_input[집계키_지청],E2494)))</f>
        <v/>
      </c>
      <c r="E2494" t="str">
        <f>IFERROR(INDEX(tbl_input[집계키_지청],ROW()-1),"")</f>
        <v/>
      </c>
      <c r="F2494" t="str">
        <f t="shared" si="193"/>
        <v/>
      </c>
      <c r="G2494" t="str">
        <f t="shared" si="194"/>
        <v/>
      </c>
    </row>
    <row r="2495" spans="1:7" x14ac:dyDescent="0.4">
      <c r="A2495" t="str">
        <f t="shared" si="190"/>
        <v/>
      </c>
      <c r="B2495" t="str">
        <f t="shared" si="191"/>
        <v/>
      </c>
      <c r="C2495" t="str">
        <f t="shared" si="192"/>
        <v/>
      </c>
      <c r="D2495" t="str">
        <f>IF(E2495="","",IF(COUNTIF($E$2:E2495,E2495)&gt;1,"",SUMIFS(tbl_input[필요수량],tbl_input[집계키_지청],E2495)))</f>
        <v/>
      </c>
      <c r="E2495" t="str">
        <f>IFERROR(INDEX(tbl_input[집계키_지청],ROW()-1),"")</f>
        <v/>
      </c>
      <c r="F2495" t="str">
        <f t="shared" si="193"/>
        <v/>
      </c>
      <c r="G2495" t="str">
        <f t="shared" si="194"/>
        <v/>
      </c>
    </row>
    <row r="2496" spans="1:7" x14ac:dyDescent="0.4">
      <c r="A2496" t="str">
        <f t="shared" si="190"/>
        <v/>
      </c>
      <c r="B2496" t="str">
        <f t="shared" si="191"/>
        <v/>
      </c>
      <c r="C2496" t="str">
        <f t="shared" si="192"/>
        <v/>
      </c>
      <c r="D2496" t="str">
        <f>IF(E2496="","",IF(COUNTIF($E$2:E2496,E2496)&gt;1,"",SUMIFS(tbl_input[필요수량],tbl_input[집계키_지청],E2496)))</f>
        <v/>
      </c>
      <c r="E2496" t="str">
        <f>IFERROR(INDEX(tbl_input[집계키_지청],ROW()-1),"")</f>
        <v/>
      </c>
      <c r="F2496" t="str">
        <f t="shared" si="193"/>
        <v/>
      </c>
      <c r="G2496" t="str">
        <f t="shared" si="194"/>
        <v/>
      </c>
    </row>
    <row r="2497" spans="1:7" x14ac:dyDescent="0.4">
      <c r="A2497" t="str">
        <f t="shared" si="190"/>
        <v/>
      </c>
      <c r="B2497" t="str">
        <f t="shared" si="191"/>
        <v/>
      </c>
      <c r="C2497" t="str">
        <f t="shared" si="192"/>
        <v/>
      </c>
      <c r="D2497" t="str">
        <f>IF(E2497="","",IF(COUNTIF($E$2:E2497,E2497)&gt;1,"",SUMIFS(tbl_input[필요수량],tbl_input[집계키_지청],E2497)))</f>
        <v/>
      </c>
      <c r="E2497" t="str">
        <f>IFERROR(INDEX(tbl_input[집계키_지청],ROW()-1),"")</f>
        <v/>
      </c>
      <c r="F2497" t="str">
        <f t="shared" si="193"/>
        <v/>
      </c>
      <c r="G2497" t="str">
        <f t="shared" si="194"/>
        <v/>
      </c>
    </row>
    <row r="2498" spans="1:7" x14ac:dyDescent="0.4">
      <c r="A2498" t="str">
        <f t="shared" ref="A2498:A2561" si="195">IF(E2498="","",LEFT(E2498,F2498-1))</f>
        <v/>
      </c>
      <c r="B2498" t="str">
        <f t="shared" ref="B2498:B2561" si="196">IF(E2498="","",MID(E2498,F2498+1,G2498-F2498-1))</f>
        <v/>
      </c>
      <c r="C2498" t="str">
        <f t="shared" ref="C2498:C2561" si="197">IF(E2498="","",MID(E2498,G2498+1,999))</f>
        <v/>
      </c>
      <c r="D2498" t="str">
        <f>IF(E2498="","",IF(COUNTIF($E$2:E2498,E2498)&gt;1,"",SUMIFS(tbl_input[필요수량],tbl_input[집계키_지청],E2498)))</f>
        <v/>
      </c>
      <c r="E2498" t="str">
        <f>IFERROR(INDEX(tbl_input[집계키_지청],ROW()-1),"")</f>
        <v/>
      </c>
      <c r="F2498" t="str">
        <f t="shared" ref="F2498:F2561" si="198">IF(E2498="","",FIND("♦",E2498))</f>
        <v/>
      </c>
      <c r="G2498" t="str">
        <f t="shared" ref="G2498:G2561" si="199">IF(E2498="","",FIND("♦",E2498,F2498+1))</f>
        <v/>
      </c>
    </row>
    <row r="2499" spans="1:7" x14ac:dyDescent="0.4">
      <c r="A2499" t="str">
        <f t="shared" si="195"/>
        <v/>
      </c>
      <c r="B2499" t="str">
        <f t="shared" si="196"/>
        <v/>
      </c>
      <c r="C2499" t="str">
        <f t="shared" si="197"/>
        <v/>
      </c>
      <c r="D2499" t="str">
        <f>IF(E2499="","",IF(COUNTIF($E$2:E2499,E2499)&gt;1,"",SUMIFS(tbl_input[필요수량],tbl_input[집계키_지청],E2499)))</f>
        <v/>
      </c>
      <c r="E2499" t="str">
        <f>IFERROR(INDEX(tbl_input[집계키_지청],ROW()-1),"")</f>
        <v/>
      </c>
      <c r="F2499" t="str">
        <f t="shared" si="198"/>
        <v/>
      </c>
      <c r="G2499" t="str">
        <f t="shared" si="199"/>
        <v/>
      </c>
    </row>
    <row r="2500" spans="1:7" x14ac:dyDescent="0.4">
      <c r="A2500" t="str">
        <f t="shared" si="195"/>
        <v/>
      </c>
      <c r="B2500" t="str">
        <f t="shared" si="196"/>
        <v/>
      </c>
      <c r="C2500" t="str">
        <f t="shared" si="197"/>
        <v/>
      </c>
      <c r="D2500" t="str">
        <f>IF(E2500="","",IF(COUNTIF($E$2:E2500,E2500)&gt;1,"",SUMIFS(tbl_input[필요수량],tbl_input[집계키_지청],E2500)))</f>
        <v/>
      </c>
      <c r="E2500" t="str">
        <f>IFERROR(INDEX(tbl_input[집계키_지청],ROW()-1),"")</f>
        <v/>
      </c>
      <c r="F2500" t="str">
        <f t="shared" si="198"/>
        <v/>
      </c>
      <c r="G2500" t="str">
        <f t="shared" si="199"/>
        <v/>
      </c>
    </row>
    <row r="2501" spans="1:7" x14ac:dyDescent="0.4">
      <c r="A2501" t="str">
        <f t="shared" si="195"/>
        <v/>
      </c>
      <c r="B2501" t="str">
        <f t="shared" si="196"/>
        <v/>
      </c>
      <c r="C2501" t="str">
        <f t="shared" si="197"/>
        <v/>
      </c>
      <c r="D2501" t="str">
        <f>IF(E2501="","",IF(COUNTIF($E$2:E2501,E2501)&gt;1,"",SUMIFS(tbl_input[필요수량],tbl_input[집계키_지청],E2501)))</f>
        <v/>
      </c>
      <c r="E2501" t="str">
        <f>IFERROR(INDEX(tbl_input[집계키_지청],ROW()-1),"")</f>
        <v/>
      </c>
      <c r="F2501" t="str">
        <f t="shared" si="198"/>
        <v/>
      </c>
      <c r="G2501" t="str">
        <f t="shared" si="199"/>
        <v/>
      </c>
    </row>
    <row r="2502" spans="1:7" x14ac:dyDescent="0.4">
      <c r="A2502" t="str">
        <f t="shared" si="195"/>
        <v/>
      </c>
      <c r="B2502" t="str">
        <f t="shared" si="196"/>
        <v/>
      </c>
      <c r="C2502" t="str">
        <f t="shared" si="197"/>
        <v/>
      </c>
      <c r="D2502" t="str">
        <f>IF(E2502="","",IF(COUNTIF($E$2:E2502,E2502)&gt;1,"",SUMIFS(tbl_input[필요수량],tbl_input[집계키_지청],E2502)))</f>
        <v/>
      </c>
      <c r="E2502" t="str">
        <f>IFERROR(INDEX(tbl_input[집계키_지청],ROW()-1),"")</f>
        <v/>
      </c>
      <c r="F2502" t="str">
        <f t="shared" si="198"/>
        <v/>
      </c>
      <c r="G2502" t="str">
        <f t="shared" si="199"/>
        <v/>
      </c>
    </row>
    <row r="2503" spans="1:7" x14ac:dyDescent="0.4">
      <c r="A2503" t="str">
        <f t="shared" si="195"/>
        <v/>
      </c>
      <c r="B2503" t="str">
        <f t="shared" si="196"/>
        <v/>
      </c>
      <c r="C2503" t="str">
        <f t="shared" si="197"/>
        <v/>
      </c>
      <c r="D2503" t="str">
        <f>IF(E2503="","",IF(COUNTIF($E$2:E2503,E2503)&gt;1,"",SUMIFS(tbl_input[필요수량],tbl_input[집계키_지청],E2503)))</f>
        <v/>
      </c>
      <c r="E2503" t="str">
        <f>IFERROR(INDEX(tbl_input[집계키_지청],ROW()-1),"")</f>
        <v/>
      </c>
      <c r="F2503" t="str">
        <f t="shared" si="198"/>
        <v/>
      </c>
      <c r="G2503" t="str">
        <f t="shared" si="199"/>
        <v/>
      </c>
    </row>
    <row r="2504" spans="1:7" x14ac:dyDescent="0.4">
      <c r="A2504" t="str">
        <f t="shared" si="195"/>
        <v/>
      </c>
      <c r="B2504" t="str">
        <f t="shared" si="196"/>
        <v/>
      </c>
      <c r="C2504" t="str">
        <f t="shared" si="197"/>
        <v/>
      </c>
      <c r="D2504" t="str">
        <f>IF(E2504="","",IF(COUNTIF($E$2:E2504,E2504)&gt;1,"",SUMIFS(tbl_input[필요수량],tbl_input[집계키_지청],E2504)))</f>
        <v/>
      </c>
      <c r="E2504" t="str">
        <f>IFERROR(INDEX(tbl_input[집계키_지청],ROW()-1),"")</f>
        <v/>
      </c>
      <c r="F2504" t="str">
        <f t="shared" si="198"/>
        <v/>
      </c>
      <c r="G2504" t="str">
        <f t="shared" si="199"/>
        <v/>
      </c>
    </row>
    <row r="2505" spans="1:7" x14ac:dyDescent="0.4">
      <c r="A2505" t="str">
        <f t="shared" si="195"/>
        <v/>
      </c>
      <c r="B2505" t="str">
        <f t="shared" si="196"/>
        <v/>
      </c>
      <c r="C2505" t="str">
        <f t="shared" si="197"/>
        <v/>
      </c>
      <c r="D2505" t="str">
        <f>IF(E2505="","",IF(COUNTIF($E$2:E2505,E2505)&gt;1,"",SUMIFS(tbl_input[필요수량],tbl_input[집계키_지청],E2505)))</f>
        <v/>
      </c>
      <c r="E2505" t="str">
        <f>IFERROR(INDEX(tbl_input[집계키_지청],ROW()-1),"")</f>
        <v/>
      </c>
      <c r="F2505" t="str">
        <f t="shared" si="198"/>
        <v/>
      </c>
      <c r="G2505" t="str">
        <f t="shared" si="199"/>
        <v/>
      </c>
    </row>
    <row r="2506" spans="1:7" x14ac:dyDescent="0.4">
      <c r="A2506" t="str">
        <f t="shared" si="195"/>
        <v/>
      </c>
      <c r="B2506" t="str">
        <f t="shared" si="196"/>
        <v/>
      </c>
      <c r="C2506" t="str">
        <f t="shared" si="197"/>
        <v/>
      </c>
      <c r="D2506" t="str">
        <f>IF(E2506="","",IF(COUNTIF($E$2:E2506,E2506)&gt;1,"",SUMIFS(tbl_input[필요수량],tbl_input[집계키_지청],E2506)))</f>
        <v/>
      </c>
      <c r="E2506" t="str">
        <f>IFERROR(INDEX(tbl_input[집계키_지청],ROW()-1),"")</f>
        <v/>
      </c>
      <c r="F2506" t="str">
        <f t="shared" si="198"/>
        <v/>
      </c>
      <c r="G2506" t="str">
        <f t="shared" si="199"/>
        <v/>
      </c>
    </row>
    <row r="2507" spans="1:7" x14ac:dyDescent="0.4">
      <c r="A2507" t="str">
        <f t="shared" si="195"/>
        <v/>
      </c>
      <c r="B2507" t="str">
        <f t="shared" si="196"/>
        <v/>
      </c>
      <c r="C2507" t="str">
        <f t="shared" si="197"/>
        <v/>
      </c>
      <c r="D2507" t="str">
        <f>IF(E2507="","",IF(COUNTIF($E$2:E2507,E2507)&gt;1,"",SUMIFS(tbl_input[필요수량],tbl_input[집계키_지청],E2507)))</f>
        <v/>
      </c>
      <c r="E2507" t="str">
        <f>IFERROR(INDEX(tbl_input[집계키_지청],ROW()-1),"")</f>
        <v/>
      </c>
      <c r="F2507" t="str">
        <f t="shared" si="198"/>
        <v/>
      </c>
      <c r="G2507" t="str">
        <f t="shared" si="199"/>
        <v/>
      </c>
    </row>
    <row r="2508" spans="1:7" x14ac:dyDescent="0.4">
      <c r="A2508" t="str">
        <f t="shared" si="195"/>
        <v/>
      </c>
      <c r="B2508" t="str">
        <f t="shared" si="196"/>
        <v/>
      </c>
      <c r="C2508" t="str">
        <f t="shared" si="197"/>
        <v/>
      </c>
      <c r="D2508" t="str">
        <f>IF(E2508="","",IF(COUNTIF($E$2:E2508,E2508)&gt;1,"",SUMIFS(tbl_input[필요수량],tbl_input[집계키_지청],E2508)))</f>
        <v/>
      </c>
      <c r="E2508" t="str">
        <f>IFERROR(INDEX(tbl_input[집계키_지청],ROW()-1),"")</f>
        <v/>
      </c>
      <c r="F2508" t="str">
        <f t="shared" si="198"/>
        <v/>
      </c>
      <c r="G2508" t="str">
        <f t="shared" si="199"/>
        <v/>
      </c>
    </row>
    <row r="2509" spans="1:7" x14ac:dyDescent="0.4">
      <c r="A2509" t="str">
        <f t="shared" si="195"/>
        <v/>
      </c>
      <c r="B2509" t="str">
        <f t="shared" si="196"/>
        <v/>
      </c>
      <c r="C2509" t="str">
        <f t="shared" si="197"/>
        <v/>
      </c>
      <c r="D2509" t="str">
        <f>IF(E2509="","",IF(COUNTIF($E$2:E2509,E2509)&gt;1,"",SUMIFS(tbl_input[필요수량],tbl_input[집계키_지청],E2509)))</f>
        <v/>
      </c>
      <c r="E2509" t="str">
        <f>IFERROR(INDEX(tbl_input[집계키_지청],ROW()-1),"")</f>
        <v/>
      </c>
      <c r="F2509" t="str">
        <f t="shared" si="198"/>
        <v/>
      </c>
      <c r="G2509" t="str">
        <f t="shared" si="199"/>
        <v/>
      </c>
    </row>
    <row r="2510" spans="1:7" x14ac:dyDescent="0.4">
      <c r="A2510" t="str">
        <f t="shared" si="195"/>
        <v/>
      </c>
      <c r="B2510" t="str">
        <f t="shared" si="196"/>
        <v/>
      </c>
      <c r="C2510" t="str">
        <f t="shared" si="197"/>
        <v/>
      </c>
      <c r="D2510" t="str">
        <f>IF(E2510="","",IF(COUNTIF($E$2:E2510,E2510)&gt;1,"",SUMIFS(tbl_input[필요수량],tbl_input[집계키_지청],E2510)))</f>
        <v/>
      </c>
      <c r="E2510" t="str">
        <f>IFERROR(INDEX(tbl_input[집계키_지청],ROW()-1),"")</f>
        <v/>
      </c>
      <c r="F2510" t="str">
        <f t="shared" si="198"/>
        <v/>
      </c>
      <c r="G2510" t="str">
        <f t="shared" si="199"/>
        <v/>
      </c>
    </row>
    <row r="2511" spans="1:7" x14ac:dyDescent="0.4">
      <c r="A2511" t="str">
        <f t="shared" si="195"/>
        <v/>
      </c>
      <c r="B2511" t="str">
        <f t="shared" si="196"/>
        <v/>
      </c>
      <c r="C2511" t="str">
        <f t="shared" si="197"/>
        <v/>
      </c>
      <c r="D2511" t="str">
        <f>IF(E2511="","",IF(COUNTIF($E$2:E2511,E2511)&gt;1,"",SUMIFS(tbl_input[필요수량],tbl_input[집계키_지청],E2511)))</f>
        <v/>
      </c>
      <c r="E2511" t="str">
        <f>IFERROR(INDEX(tbl_input[집계키_지청],ROW()-1),"")</f>
        <v/>
      </c>
      <c r="F2511" t="str">
        <f t="shared" si="198"/>
        <v/>
      </c>
      <c r="G2511" t="str">
        <f t="shared" si="199"/>
        <v/>
      </c>
    </row>
    <row r="2512" spans="1:7" x14ac:dyDescent="0.4">
      <c r="A2512" t="str">
        <f t="shared" si="195"/>
        <v/>
      </c>
      <c r="B2512" t="str">
        <f t="shared" si="196"/>
        <v/>
      </c>
      <c r="C2512" t="str">
        <f t="shared" si="197"/>
        <v/>
      </c>
      <c r="D2512" t="str">
        <f>IF(E2512="","",IF(COUNTIF($E$2:E2512,E2512)&gt;1,"",SUMIFS(tbl_input[필요수량],tbl_input[집계키_지청],E2512)))</f>
        <v/>
      </c>
      <c r="E2512" t="str">
        <f>IFERROR(INDEX(tbl_input[집계키_지청],ROW()-1),"")</f>
        <v/>
      </c>
      <c r="F2512" t="str">
        <f t="shared" si="198"/>
        <v/>
      </c>
      <c r="G2512" t="str">
        <f t="shared" si="199"/>
        <v/>
      </c>
    </row>
    <row r="2513" spans="1:7" x14ac:dyDescent="0.4">
      <c r="A2513" t="str">
        <f t="shared" si="195"/>
        <v/>
      </c>
      <c r="B2513" t="str">
        <f t="shared" si="196"/>
        <v/>
      </c>
      <c r="C2513" t="str">
        <f t="shared" si="197"/>
        <v/>
      </c>
      <c r="D2513" t="str">
        <f>IF(E2513="","",IF(COUNTIF($E$2:E2513,E2513)&gt;1,"",SUMIFS(tbl_input[필요수량],tbl_input[집계키_지청],E2513)))</f>
        <v/>
      </c>
      <c r="E2513" t="str">
        <f>IFERROR(INDEX(tbl_input[집계키_지청],ROW()-1),"")</f>
        <v/>
      </c>
      <c r="F2513" t="str">
        <f t="shared" si="198"/>
        <v/>
      </c>
      <c r="G2513" t="str">
        <f t="shared" si="199"/>
        <v/>
      </c>
    </row>
    <row r="2514" spans="1:7" x14ac:dyDescent="0.4">
      <c r="A2514" t="str">
        <f t="shared" si="195"/>
        <v/>
      </c>
      <c r="B2514" t="str">
        <f t="shared" si="196"/>
        <v/>
      </c>
      <c r="C2514" t="str">
        <f t="shared" si="197"/>
        <v/>
      </c>
      <c r="D2514" t="str">
        <f>IF(E2514="","",IF(COUNTIF($E$2:E2514,E2514)&gt;1,"",SUMIFS(tbl_input[필요수량],tbl_input[집계키_지청],E2514)))</f>
        <v/>
      </c>
      <c r="E2514" t="str">
        <f>IFERROR(INDEX(tbl_input[집계키_지청],ROW()-1),"")</f>
        <v/>
      </c>
      <c r="F2514" t="str">
        <f t="shared" si="198"/>
        <v/>
      </c>
      <c r="G2514" t="str">
        <f t="shared" si="199"/>
        <v/>
      </c>
    </row>
    <row r="2515" spans="1:7" x14ac:dyDescent="0.4">
      <c r="A2515" t="str">
        <f t="shared" si="195"/>
        <v/>
      </c>
      <c r="B2515" t="str">
        <f t="shared" si="196"/>
        <v/>
      </c>
      <c r="C2515" t="str">
        <f t="shared" si="197"/>
        <v/>
      </c>
      <c r="D2515" t="str">
        <f>IF(E2515="","",IF(COUNTIF($E$2:E2515,E2515)&gt;1,"",SUMIFS(tbl_input[필요수량],tbl_input[집계키_지청],E2515)))</f>
        <v/>
      </c>
      <c r="E2515" t="str">
        <f>IFERROR(INDEX(tbl_input[집계키_지청],ROW()-1),"")</f>
        <v/>
      </c>
      <c r="F2515" t="str">
        <f t="shared" si="198"/>
        <v/>
      </c>
      <c r="G2515" t="str">
        <f t="shared" si="199"/>
        <v/>
      </c>
    </row>
    <row r="2516" spans="1:7" x14ac:dyDescent="0.4">
      <c r="A2516" t="str">
        <f t="shared" si="195"/>
        <v/>
      </c>
      <c r="B2516" t="str">
        <f t="shared" si="196"/>
        <v/>
      </c>
      <c r="C2516" t="str">
        <f t="shared" si="197"/>
        <v/>
      </c>
      <c r="D2516" t="str">
        <f>IF(E2516="","",IF(COUNTIF($E$2:E2516,E2516)&gt;1,"",SUMIFS(tbl_input[필요수량],tbl_input[집계키_지청],E2516)))</f>
        <v/>
      </c>
      <c r="E2516" t="str">
        <f>IFERROR(INDEX(tbl_input[집계키_지청],ROW()-1),"")</f>
        <v/>
      </c>
      <c r="F2516" t="str">
        <f t="shared" si="198"/>
        <v/>
      </c>
      <c r="G2516" t="str">
        <f t="shared" si="199"/>
        <v/>
      </c>
    </row>
    <row r="2517" spans="1:7" x14ac:dyDescent="0.4">
      <c r="A2517" t="str">
        <f t="shared" si="195"/>
        <v/>
      </c>
      <c r="B2517" t="str">
        <f t="shared" si="196"/>
        <v/>
      </c>
      <c r="C2517" t="str">
        <f t="shared" si="197"/>
        <v/>
      </c>
      <c r="D2517" t="str">
        <f>IF(E2517="","",IF(COUNTIF($E$2:E2517,E2517)&gt;1,"",SUMIFS(tbl_input[필요수량],tbl_input[집계키_지청],E2517)))</f>
        <v/>
      </c>
      <c r="E2517" t="str">
        <f>IFERROR(INDEX(tbl_input[집계키_지청],ROW()-1),"")</f>
        <v/>
      </c>
      <c r="F2517" t="str">
        <f t="shared" si="198"/>
        <v/>
      </c>
      <c r="G2517" t="str">
        <f t="shared" si="199"/>
        <v/>
      </c>
    </row>
    <row r="2518" spans="1:7" x14ac:dyDescent="0.4">
      <c r="A2518" t="str">
        <f t="shared" si="195"/>
        <v/>
      </c>
      <c r="B2518" t="str">
        <f t="shared" si="196"/>
        <v/>
      </c>
      <c r="C2518" t="str">
        <f t="shared" si="197"/>
        <v/>
      </c>
      <c r="D2518" t="str">
        <f>IF(E2518="","",IF(COUNTIF($E$2:E2518,E2518)&gt;1,"",SUMIFS(tbl_input[필요수량],tbl_input[집계키_지청],E2518)))</f>
        <v/>
      </c>
      <c r="E2518" t="str">
        <f>IFERROR(INDEX(tbl_input[집계키_지청],ROW()-1),"")</f>
        <v/>
      </c>
      <c r="F2518" t="str">
        <f t="shared" si="198"/>
        <v/>
      </c>
      <c r="G2518" t="str">
        <f t="shared" si="199"/>
        <v/>
      </c>
    </row>
    <row r="2519" spans="1:7" x14ac:dyDescent="0.4">
      <c r="A2519" t="str">
        <f t="shared" si="195"/>
        <v/>
      </c>
      <c r="B2519" t="str">
        <f t="shared" si="196"/>
        <v/>
      </c>
      <c r="C2519" t="str">
        <f t="shared" si="197"/>
        <v/>
      </c>
      <c r="D2519" t="str">
        <f>IF(E2519="","",IF(COUNTIF($E$2:E2519,E2519)&gt;1,"",SUMIFS(tbl_input[필요수량],tbl_input[집계키_지청],E2519)))</f>
        <v/>
      </c>
      <c r="E2519" t="str">
        <f>IFERROR(INDEX(tbl_input[집계키_지청],ROW()-1),"")</f>
        <v/>
      </c>
      <c r="F2519" t="str">
        <f t="shared" si="198"/>
        <v/>
      </c>
      <c r="G2519" t="str">
        <f t="shared" si="199"/>
        <v/>
      </c>
    </row>
    <row r="2520" spans="1:7" x14ac:dyDescent="0.4">
      <c r="A2520" t="str">
        <f t="shared" si="195"/>
        <v/>
      </c>
      <c r="B2520" t="str">
        <f t="shared" si="196"/>
        <v/>
      </c>
      <c r="C2520" t="str">
        <f t="shared" si="197"/>
        <v/>
      </c>
      <c r="D2520" t="str">
        <f>IF(E2520="","",IF(COUNTIF($E$2:E2520,E2520)&gt;1,"",SUMIFS(tbl_input[필요수량],tbl_input[집계키_지청],E2520)))</f>
        <v/>
      </c>
      <c r="E2520" t="str">
        <f>IFERROR(INDEX(tbl_input[집계키_지청],ROW()-1),"")</f>
        <v/>
      </c>
      <c r="F2520" t="str">
        <f t="shared" si="198"/>
        <v/>
      </c>
      <c r="G2520" t="str">
        <f t="shared" si="199"/>
        <v/>
      </c>
    </row>
    <row r="2521" spans="1:7" x14ac:dyDescent="0.4">
      <c r="A2521" t="str">
        <f t="shared" si="195"/>
        <v/>
      </c>
      <c r="B2521" t="str">
        <f t="shared" si="196"/>
        <v/>
      </c>
      <c r="C2521" t="str">
        <f t="shared" si="197"/>
        <v/>
      </c>
      <c r="D2521" t="str">
        <f>IF(E2521="","",IF(COUNTIF($E$2:E2521,E2521)&gt;1,"",SUMIFS(tbl_input[필요수량],tbl_input[집계키_지청],E2521)))</f>
        <v/>
      </c>
      <c r="E2521" t="str">
        <f>IFERROR(INDEX(tbl_input[집계키_지청],ROW()-1),"")</f>
        <v/>
      </c>
      <c r="F2521" t="str">
        <f t="shared" si="198"/>
        <v/>
      </c>
      <c r="G2521" t="str">
        <f t="shared" si="199"/>
        <v/>
      </c>
    </row>
    <row r="2522" spans="1:7" x14ac:dyDescent="0.4">
      <c r="A2522" t="str">
        <f t="shared" si="195"/>
        <v/>
      </c>
      <c r="B2522" t="str">
        <f t="shared" si="196"/>
        <v/>
      </c>
      <c r="C2522" t="str">
        <f t="shared" si="197"/>
        <v/>
      </c>
      <c r="D2522" t="str">
        <f>IF(E2522="","",IF(COUNTIF($E$2:E2522,E2522)&gt;1,"",SUMIFS(tbl_input[필요수량],tbl_input[집계키_지청],E2522)))</f>
        <v/>
      </c>
      <c r="E2522" t="str">
        <f>IFERROR(INDEX(tbl_input[집계키_지청],ROW()-1),"")</f>
        <v/>
      </c>
      <c r="F2522" t="str">
        <f t="shared" si="198"/>
        <v/>
      </c>
      <c r="G2522" t="str">
        <f t="shared" si="199"/>
        <v/>
      </c>
    </row>
    <row r="2523" spans="1:7" x14ac:dyDescent="0.4">
      <c r="A2523" t="str">
        <f t="shared" si="195"/>
        <v/>
      </c>
      <c r="B2523" t="str">
        <f t="shared" si="196"/>
        <v/>
      </c>
      <c r="C2523" t="str">
        <f t="shared" si="197"/>
        <v/>
      </c>
      <c r="D2523" t="str">
        <f>IF(E2523="","",IF(COUNTIF($E$2:E2523,E2523)&gt;1,"",SUMIFS(tbl_input[필요수량],tbl_input[집계키_지청],E2523)))</f>
        <v/>
      </c>
      <c r="E2523" t="str">
        <f>IFERROR(INDEX(tbl_input[집계키_지청],ROW()-1),"")</f>
        <v/>
      </c>
      <c r="F2523" t="str">
        <f t="shared" si="198"/>
        <v/>
      </c>
      <c r="G2523" t="str">
        <f t="shared" si="199"/>
        <v/>
      </c>
    </row>
    <row r="2524" spans="1:7" x14ac:dyDescent="0.4">
      <c r="A2524" t="str">
        <f t="shared" si="195"/>
        <v/>
      </c>
      <c r="B2524" t="str">
        <f t="shared" si="196"/>
        <v/>
      </c>
      <c r="C2524" t="str">
        <f t="shared" si="197"/>
        <v/>
      </c>
      <c r="D2524" t="str">
        <f>IF(E2524="","",IF(COUNTIF($E$2:E2524,E2524)&gt;1,"",SUMIFS(tbl_input[필요수량],tbl_input[집계키_지청],E2524)))</f>
        <v/>
      </c>
      <c r="E2524" t="str">
        <f>IFERROR(INDEX(tbl_input[집계키_지청],ROW()-1),"")</f>
        <v/>
      </c>
      <c r="F2524" t="str">
        <f t="shared" si="198"/>
        <v/>
      </c>
      <c r="G2524" t="str">
        <f t="shared" si="199"/>
        <v/>
      </c>
    </row>
    <row r="2525" spans="1:7" x14ac:dyDescent="0.4">
      <c r="A2525" t="str">
        <f t="shared" si="195"/>
        <v/>
      </c>
      <c r="B2525" t="str">
        <f t="shared" si="196"/>
        <v/>
      </c>
      <c r="C2525" t="str">
        <f t="shared" si="197"/>
        <v/>
      </c>
      <c r="D2525" t="str">
        <f>IF(E2525="","",IF(COUNTIF($E$2:E2525,E2525)&gt;1,"",SUMIFS(tbl_input[필요수량],tbl_input[집계키_지청],E2525)))</f>
        <v/>
      </c>
      <c r="E2525" t="str">
        <f>IFERROR(INDEX(tbl_input[집계키_지청],ROW()-1),"")</f>
        <v/>
      </c>
      <c r="F2525" t="str">
        <f t="shared" si="198"/>
        <v/>
      </c>
      <c r="G2525" t="str">
        <f t="shared" si="199"/>
        <v/>
      </c>
    </row>
    <row r="2526" spans="1:7" x14ac:dyDescent="0.4">
      <c r="A2526" t="str">
        <f t="shared" si="195"/>
        <v/>
      </c>
      <c r="B2526" t="str">
        <f t="shared" si="196"/>
        <v/>
      </c>
      <c r="C2526" t="str">
        <f t="shared" si="197"/>
        <v/>
      </c>
      <c r="D2526" t="str">
        <f>IF(E2526="","",IF(COUNTIF($E$2:E2526,E2526)&gt;1,"",SUMIFS(tbl_input[필요수량],tbl_input[집계키_지청],E2526)))</f>
        <v/>
      </c>
      <c r="E2526" t="str">
        <f>IFERROR(INDEX(tbl_input[집계키_지청],ROW()-1),"")</f>
        <v/>
      </c>
      <c r="F2526" t="str">
        <f t="shared" si="198"/>
        <v/>
      </c>
      <c r="G2526" t="str">
        <f t="shared" si="199"/>
        <v/>
      </c>
    </row>
    <row r="2527" spans="1:7" x14ac:dyDescent="0.4">
      <c r="A2527" t="str">
        <f t="shared" si="195"/>
        <v/>
      </c>
      <c r="B2527" t="str">
        <f t="shared" si="196"/>
        <v/>
      </c>
      <c r="C2527" t="str">
        <f t="shared" si="197"/>
        <v/>
      </c>
      <c r="D2527" t="str">
        <f>IF(E2527="","",IF(COUNTIF($E$2:E2527,E2527)&gt;1,"",SUMIFS(tbl_input[필요수량],tbl_input[집계키_지청],E2527)))</f>
        <v/>
      </c>
      <c r="E2527" t="str">
        <f>IFERROR(INDEX(tbl_input[집계키_지청],ROW()-1),"")</f>
        <v/>
      </c>
      <c r="F2527" t="str">
        <f t="shared" si="198"/>
        <v/>
      </c>
      <c r="G2527" t="str">
        <f t="shared" si="199"/>
        <v/>
      </c>
    </row>
    <row r="2528" spans="1:7" x14ac:dyDescent="0.4">
      <c r="A2528" t="str">
        <f t="shared" si="195"/>
        <v/>
      </c>
      <c r="B2528" t="str">
        <f t="shared" si="196"/>
        <v/>
      </c>
      <c r="C2528" t="str">
        <f t="shared" si="197"/>
        <v/>
      </c>
      <c r="D2528" t="str">
        <f>IF(E2528="","",IF(COUNTIF($E$2:E2528,E2528)&gt;1,"",SUMIFS(tbl_input[필요수량],tbl_input[집계키_지청],E2528)))</f>
        <v/>
      </c>
      <c r="E2528" t="str">
        <f>IFERROR(INDEX(tbl_input[집계키_지청],ROW()-1),"")</f>
        <v/>
      </c>
      <c r="F2528" t="str">
        <f t="shared" si="198"/>
        <v/>
      </c>
      <c r="G2528" t="str">
        <f t="shared" si="199"/>
        <v/>
      </c>
    </row>
    <row r="2529" spans="1:7" x14ac:dyDescent="0.4">
      <c r="A2529" t="str">
        <f t="shared" si="195"/>
        <v/>
      </c>
      <c r="B2529" t="str">
        <f t="shared" si="196"/>
        <v/>
      </c>
      <c r="C2529" t="str">
        <f t="shared" si="197"/>
        <v/>
      </c>
      <c r="D2529" t="str">
        <f>IF(E2529="","",IF(COUNTIF($E$2:E2529,E2529)&gt;1,"",SUMIFS(tbl_input[필요수량],tbl_input[집계키_지청],E2529)))</f>
        <v/>
      </c>
      <c r="E2529" t="str">
        <f>IFERROR(INDEX(tbl_input[집계키_지청],ROW()-1),"")</f>
        <v/>
      </c>
      <c r="F2529" t="str">
        <f t="shared" si="198"/>
        <v/>
      </c>
      <c r="G2529" t="str">
        <f t="shared" si="199"/>
        <v/>
      </c>
    </row>
    <row r="2530" spans="1:7" x14ac:dyDescent="0.4">
      <c r="A2530" t="str">
        <f t="shared" si="195"/>
        <v/>
      </c>
      <c r="B2530" t="str">
        <f t="shared" si="196"/>
        <v/>
      </c>
      <c r="C2530" t="str">
        <f t="shared" si="197"/>
        <v/>
      </c>
      <c r="D2530" t="str">
        <f>IF(E2530="","",IF(COUNTIF($E$2:E2530,E2530)&gt;1,"",SUMIFS(tbl_input[필요수량],tbl_input[집계키_지청],E2530)))</f>
        <v/>
      </c>
      <c r="E2530" t="str">
        <f>IFERROR(INDEX(tbl_input[집계키_지청],ROW()-1),"")</f>
        <v/>
      </c>
      <c r="F2530" t="str">
        <f t="shared" si="198"/>
        <v/>
      </c>
      <c r="G2530" t="str">
        <f t="shared" si="199"/>
        <v/>
      </c>
    </row>
    <row r="2531" spans="1:7" x14ac:dyDescent="0.4">
      <c r="A2531" t="str">
        <f t="shared" si="195"/>
        <v/>
      </c>
      <c r="B2531" t="str">
        <f t="shared" si="196"/>
        <v/>
      </c>
      <c r="C2531" t="str">
        <f t="shared" si="197"/>
        <v/>
      </c>
      <c r="D2531" t="str">
        <f>IF(E2531="","",IF(COUNTIF($E$2:E2531,E2531)&gt;1,"",SUMIFS(tbl_input[필요수량],tbl_input[집계키_지청],E2531)))</f>
        <v/>
      </c>
      <c r="E2531" t="str">
        <f>IFERROR(INDEX(tbl_input[집계키_지청],ROW()-1),"")</f>
        <v/>
      </c>
      <c r="F2531" t="str">
        <f t="shared" si="198"/>
        <v/>
      </c>
      <c r="G2531" t="str">
        <f t="shared" si="199"/>
        <v/>
      </c>
    </row>
    <row r="2532" spans="1:7" x14ac:dyDescent="0.4">
      <c r="A2532" t="str">
        <f t="shared" si="195"/>
        <v/>
      </c>
      <c r="B2532" t="str">
        <f t="shared" si="196"/>
        <v/>
      </c>
      <c r="C2532" t="str">
        <f t="shared" si="197"/>
        <v/>
      </c>
      <c r="D2532" t="str">
        <f>IF(E2532="","",IF(COUNTIF($E$2:E2532,E2532)&gt;1,"",SUMIFS(tbl_input[필요수량],tbl_input[집계키_지청],E2532)))</f>
        <v/>
      </c>
      <c r="E2532" t="str">
        <f>IFERROR(INDEX(tbl_input[집계키_지청],ROW()-1),"")</f>
        <v/>
      </c>
      <c r="F2532" t="str">
        <f t="shared" si="198"/>
        <v/>
      </c>
      <c r="G2532" t="str">
        <f t="shared" si="199"/>
        <v/>
      </c>
    </row>
    <row r="2533" spans="1:7" x14ac:dyDescent="0.4">
      <c r="A2533" t="str">
        <f t="shared" si="195"/>
        <v/>
      </c>
      <c r="B2533" t="str">
        <f t="shared" si="196"/>
        <v/>
      </c>
      <c r="C2533" t="str">
        <f t="shared" si="197"/>
        <v/>
      </c>
      <c r="D2533" t="str">
        <f>IF(E2533="","",IF(COUNTIF($E$2:E2533,E2533)&gt;1,"",SUMIFS(tbl_input[필요수량],tbl_input[집계키_지청],E2533)))</f>
        <v/>
      </c>
      <c r="E2533" t="str">
        <f>IFERROR(INDEX(tbl_input[집계키_지청],ROW()-1),"")</f>
        <v/>
      </c>
      <c r="F2533" t="str">
        <f t="shared" si="198"/>
        <v/>
      </c>
      <c r="G2533" t="str">
        <f t="shared" si="199"/>
        <v/>
      </c>
    </row>
    <row r="2534" spans="1:7" x14ac:dyDescent="0.4">
      <c r="A2534" t="str">
        <f t="shared" si="195"/>
        <v/>
      </c>
      <c r="B2534" t="str">
        <f t="shared" si="196"/>
        <v/>
      </c>
      <c r="C2534" t="str">
        <f t="shared" si="197"/>
        <v/>
      </c>
      <c r="D2534" t="str">
        <f>IF(E2534="","",IF(COUNTIF($E$2:E2534,E2534)&gt;1,"",SUMIFS(tbl_input[필요수량],tbl_input[집계키_지청],E2534)))</f>
        <v/>
      </c>
      <c r="E2534" t="str">
        <f>IFERROR(INDEX(tbl_input[집계키_지청],ROW()-1),"")</f>
        <v/>
      </c>
      <c r="F2534" t="str">
        <f t="shared" si="198"/>
        <v/>
      </c>
      <c r="G2534" t="str">
        <f t="shared" si="199"/>
        <v/>
      </c>
    </row>
    <row r="2535" spans="1:7" x14ac:dyDescent="0.4">
      <c r="A2535" t="str">
        <f t="shared" si="195"/>
        <v/>
      </c>
      <c r="B2535" t="str">
        <f t="shared" si="196"/>
        <v/>
      </c>
      <c r="C2535" t="str">
        <f t="shared" si="197"/>
        <v/>
      </c>
      <c r="D2535" t="str">
        <f>IF(E2535="","",IF(COUNTIF($E$2:E2535,E2535)&gt;1,"",SUMIFS(tbl_input[필요수량],tbl_input[집계키_지청],E2535)))</f>
        <v/>
      </c>
      <c r="E2535" t="str">
        <f>IFERROR(INDEX(tbl_input[집계키_지청],ROW()-1),"")</f>
        <v/>
      </c>
      <c r="F2535" t="str">
        <f t="shared" si="198"/>
        <v/>
      </c>
      <c r="G2535" t="str">
        <f t="shared" si="199"/>
        <v/>
      </c>
    </row>
    <row r="2536" spans="1:7" x14ac:dyDescent="0.4">
      <c r="A2536" t="str">
        <f t="shared" si="195"/>
        <v/>
      </c>
      <c r="B2536" t="str">
        <f t="shared" si="196"/>
        <v/>
      </c>
      <c r="C2536" t="str">
        <f t="shared" si="197"/>
        <v/>
      </c>
      <c r="D2536" t="str">
        <f>IF(E2536="","",IF(COUNTIF($E$2:E2536,E2536)&gt;1,"",SUMIFS(tbl_input[필요수량],tbl_input[집계키_지청],E2536)))</f>
        <v/>
      </c>
      <c r="E2536" t="str">
        <f>IFERROR(INDEX(tbl_input[집계키_지청],ROW()-1),"")</f>
        <v/>
      </c>
      <c r="F2536" t="str">
        <f t="shared" si="198"/>
        <v/>
      </c>
      <c r="G2536" t="str">
        <f t="shared" si="199"/>
        <v/>
      </c>
    </row>
    <row r="2537" spans="1:7" x14ac:dyDescent="0.4">
      <c r="A2537" t="str">
        <f t="shared" si="195"/>
        <v/>
      </c>
      <c r="B2537" t="str">
        <f t="shared" si="196"/>
        <v/>
      </c>
      <c r="C2537" t="str">
        <f t="shared" si="197"/>
        <v/>
      </c>
      <c r="D2537" t="str">
        <f>IF(E2537="","",IF(COUNTIF($E$2:E2537,E2537)&gt;1,"",SUMIFS(tbl_input[필요수량],tbl_input[집계키_지청],E2537)))</f>
        <v/>
      </c>
      <c r="E2537" t="str">
        <f>IFERROR(INDEX(tbl_input[집계키_지청],ROW()-1),"")</f>
        <v/>
      </c>
      <c r="F2537" t="str">
        <f t="shared" si="198"/>
        <v/>
      </c>
      <c r="G2537" t="str">
        <f t="shared" si="199"/>
        <v/>
      </c>
    </row>
    <row r="2538" spans="1:7" x14ac:dyDescent="0.4">
      <c r="A2538" t="str">
        <f t="shared" si="195"/>
        <v/>
      </c>
      <c r="B2538" t="str">
        <f t="shared" si="196"/>
        <v/>
      </c>
      <c r="C2538" t="str">
        <f t="shared" si="197"/>
        <v/>
      </c>
      <c r="D2538" t="str">
        <f>IF(E2538="","",IF(COUNTIF($E$2:E2538,E2538)&gt;1,"",SUMIFS(tbl_input[필요수량],tbl_input[집계키_지청],E2538)))</f>
        <v/>
      </c>
      <c r="E2538" t="str">
        <f>IFERROR(INDEX(tbl_input[집계키_지청],ROW()-1),"")</f>
        <v/>
      </c>
      <c r="F2538" t="str">
        <f t="shared" si="198"/>
        <v/>
      </c>
      <c r="G2538" t="str">
        <f t="shared" si="199"/>
        <v/>
      </c>
    </row>
    <row r="2539" spans="1:7" x14ac:dyDescent="0.4">
      <c r="A2539" t="str">
        <f t="shared" si="195"/>
        <v/>
      </c>
      <c r="B2539" t="str">
        <f t="shared" si="196"/>
        <v/>
      </c>
      <c r="C2539" t="str">
        <f t="shared" si="197"/>
        <v/>
      </c>
      <c r="D2539" t="str">
        <f>IF(E2539="","",IF(COUNTIF($E$2:E2539,E2539)&gt;1,"",SUMIFS(tbl_input[필요수량],tbl_input[집계키_지청],E2539)))</f>
        <v/>
      </c>
      <c r="E2539" t="str">
        <f>IFERROR(INDEX(tbl_input[집계키_지청],ROW()-1),"")</f>
        <v/>
      </c>
      <c r="F2539" t="str">
        <f t="shared" si="198"/>
        <v/>
      </c>
      <c r="G2539" t="str">
        <f t="shared" si="199"/>
        <v/>
      </c>
    </row>
    <row r="2540" spans="1:7" x14ac:dyDescent="0.4">
      <c r="A2540" t="str">
        <f t="shared" si="195"/>
        <v/>
      </c>
      <c r="B2540" t="str">
        <f t="shared" si="196"/>
        <v/>
      </c>
      <c r="C2540" t="str">
        <f t="shared" si="197"/>
        <v/>
      </c>
      <c r="D2540" t="str">
        <f>IF(E2540="","",IF(COUNTIF($E$2:E2540,E2540)&gt;1,"",SUMIFS(tbl_input[필요수량],tbl_input[집계키_지청],E2540)))</f>
        <v/>
      </c>
      <c r="E2540" t="str">
        <f>IFERROR(INDEX(tbl_input[집계키_지청],ROW()-1),"")</f>
        <v/>
      </c>
      <c r="F2540" t="str">
        <f t="shared" si="198"/>
        <v/>
      </c>
      <c r="G2540" t="str">
        <f t="shared" si="199"/>
        <v/>
      </c>
    </row>
    <row r="2541" spans="1:7" x14ac:dyDescent="0.4">
      <c r="A2541" t="str">
        <f t="shared" si="195"/>
        <v/>
      </c>
      <c r="B2541" t="str">
        <f t="shared" si="196"/>
        <v/>
      </c>
      <c r="C2541" t="str">
        <f t="shared" si="197"/>
        <v/>
      </c>
      <c r="D2541" t="str">
        <f>IF(E2541="","",IF(COUNTIF($E$2:E2541,E2541)&gt;1,"",SUMIFS(tbl_input[필요수량],tbl_input[집계키_지청],E2541)))</f>
        <v/>
      </c>
      <c r="E2541" t="str">
        <f>IFERROR(INDEX(tbl_input[집계키_지청],ROW()-1),"")</f>
        <v/>
      </c>
      <c r="F2541" t="str">
        <f t="shared" si="198"/>
        <v/>
      </c>
      <c r="G2541" t="str">
        <f t="shared" si="199"/>
        <v/>
      </c>
    </row>
    <row r="2542" spans="1:7" x14ac:dyDescent="0.4">
      <c r="A2542" t="str">
        <f t="shared" si="195"/>
        <v/>
      </c>
      <c r="B2542" t="str">
        <f t="shared" si="196"/>
        <v/>
      </c>
      <c r="C2542" t="str">
        <f t="shared" si="197"/>
        <v/>
      </c>
      <c r="D2542" t="str">
        <f>IF(E2542="","",IF(COUNTIF($E$2:E2542,E2542)&gt;1,"",SUMIFS(tbl_input[필요수량],tbl_input[집계키_지청],E2542)))</f>
        <v/>
      </c>
      <c r="E2542" t="str">
        <f>IFERROR(INDEX(tbl_input[집계키_지청],ROW()-1),"")</f>
        <v/>
      </c>
      <c r="F2542" t="str">
        <f t="shared" si="198"/>
        <v/>
      </c>
      <c r="G2542" t="str">
        <f t="shared" si="199"/>
        <v/>
      </c>
    </row>
    <row r="2543" spans="1:7" x14ac:dyDescent="0.4">
      <c r="A2543" t="str">
        <f t="shared" si="195"/>
        <v/>
      </c>
      <c r="B2543" t="str">
        <f t="shared" si="196"/>
        <v/>
      </c>
      <c r="C2543" t="str">
        <f t="shared" si="197"/>
        <v/>
      </c>
      <c r="D2543" t="str">
        <f>IF(E2543="","",IF(COUNTIF($E$2:E2543,E2543)&gt;1,"",SUMIFS(tbl_input[필요수량],tbl_input[집계키_지청],E2543)))</f>
        <v/>
      </c>
      <c r="E2543" t="str">
        <f>IFERROR(INDEX(tbl_input[집계키_지청],ROW()-1),"")</f>
        <v/>
      </c>
      <c r="F2543" t="str">
        <f t="shared" si="198"/>
        <v/>
      </c>
      <c r="G2543" t="str">
        <f t="shared" si="199"/>
        <v/>
      </c>
    </row>
    <row r="2544" spans="1:7" x14ac:dyDescent="0.4">
      <c r="A2544" t="str">
        <f t="shared" si="195"/>
        <v/>
      </c>
      <c r="B2544" t="str">
        <f t="shared" si="196"/>
        <v/>
      </c>
      <c r="C2544" t="str">
        <f t="shared" si="197"/>
        <v/>
      </c>
      <c r="D2544" t="str">
        <f>IF(E2544="","",IF(COUNTIF($E$2:E2544,E2544)&gt;1,"",SUMIFS(tbl_input[필요수량],tbl_input[집계키_지청],E2544)))</f>
        <v/>
      </c>
      <c r="E2544" t="str">
        <f>IFERROR(INDEX(tbl_input[집계키_지청],ROW()-1),"")</f>
        <v/>
      </c>
      <c r="F2544" t="str">
        <f t="shared" si="198"/>
        <v/>
      </c>
      <c r="G2544" t="str">
        <f t="shared" si="199"/>
        <v/>
      </c>
    </row>
    <row r="2545" spans="1:7" x14ac:dyDescent="0.4">
      <c r="A2545" t="str">
        <f t="shared" si="195"/>
        <v/>
      </c>
      <c r="B2545" t="str">
        <f t="shared" si="196"/>
        <v/>
      </c>
      <c r="C2545" t="str">
        <f t="shared" si="197"/>
        <v/>
      </c>
      <c r="D2545" t="str">
        <f>IF(E2545="","",IF(COUNTIF($E$2:E2545,E2545)&gt;1,"",SUMIFS(tbl_input[필요수량],tbl_input[집계키_지청],E2545)))</f>
        <v/>
      </c>
      <c r="E2545" t="str">
        <f>IFERROR(INDEX(tbl_input[집계키_지청],ROW()-1),"")</f>
        <v/>
      </c>
      <c r="F2545" t="str">
        <f t="shared" si="198"/>
        <v/>
      </c>
      <c r="G2545" t="str">
        <f t="shared" si="199"/>
        <v/>
      </c>
    </row>
    <row r="2546" spans="1:7" x14ac:dyDescent="0.4">
      <c r="A2546" t="str">
        <f t="shared" si="195"/>
        <v/>
      </c>
      <c r="B2546" t="str">
        <f t="shared" si="196"/>
        <v/>
      </c>
      <c r="C2546" t="str">
        <f t="shared" si="197"/>
        <v/>
      </c>
      <c r="D2546" t="str">
        <f>IF(E2546="","",IF(COUNTIF($E$2:E2546,E2546)&gt;1,"",SUMIFS(tbl_input[필요수량],tbl_input[집계키_지청],E2546)))</f>
        <v/>
      </c>
      <c r="E2546" t="str">
        <f>IFERROR(INDEX(tbl_input[집계키_지청],ROW()-1),"")</f>
        <v/>
      </c>
      <c r="F2546" t="str">
        <f t="shared" si="198"/>
        <v/>
      </c>
      <c r="G2546" t="str">
        <f t="shared" si="199"/>
        <v/>
      </c>
    </row>
    <row r="2547" spans="1:7" x14ac:dyDescent="0.4">
      <c r="A2547" t="str">
        <f t="shared" si="195"/>
        <v/>
      </c>
      <c r="B2547" t="str">
        <f t="shared" si="196"/>
        <v/>
      </c>
      <c r="C2547" t="str">
        <f t="shared" si="197"/>
        <v/>
      </c>
      <c r="D2547" t="str">
        <f>IF(E2547="","",IF(COUNTIF($E$2:E2547,E2547)&gt;1,"",SUMIFS(tbl_input[필요수량],tbl_input[집계키_지청],E2547)))</f>
        <v/>
      </c>
      <c r="E2547" t="str">
        <f>IFERROR(INDEX(tbl_input[집계키_지청],ROW()-1),"")</f>
        <v/>
      </c>
      <c r="F2547" t="str">
        <f t="shared" si="198"/>
        <v/>
      </c>
      <c r="G2547" t="str">
        <f t="shared" si="199"/>
        <v/>
      </c>
    </row>
    <row r="2548" spans="1:7" x14ac:dyDescent="0.4">
      <c r="A2548" t="str">
        <f t="shared" si="195"/>
        <v/>
      </c>
      <c r="B2548" t="str">
        <f t="shared" si="196"/>
        <v/>
      </c>
      <c r="C2548" t="str">
        <f t="shared" si="197"/>
        <v/>
      </c>
      <c r="D2548" t="str">
        <f>IF(E2548="","",IF(COUNTIF($E$2:E2548,E2548)&gt;1,"",SUMIFS(tbl_input[필요수량],tbl_input[집계키_지청],E2548)))</f>
        <v/>
      </c>
      <c r="E2548" t="str">
        <f>IFERROR(INDEX(tbl_input[집계키_지청],ROW()-1),"")</f>
        <v/>
      </c>
      <c r="F2548" t="str">
        <f t="shared" si="198"/>
        <v/>
      </c>
      <c r="G2548" t="str">
        <f t="shared" si="199"/>
        <v/>
      </c>
    </row>
    <row r="2549" spans="1:7" x14ac:dyDescent="0.4">
      <c r="A2549" t="str">
        <f t="shared" si="195"/>
        <v/>
      </c>
      <c r="B2549" t="str">
        <f t="shared" si="196"/>
        <v/>
      </c>
      <c r="C2549" t="str">
        <f t="shared" si="197"/>
        <v/>
      </c>
      <c r="D2549" t="str">
        <f>IF(E2549="","",IF(COUNTIF($E$2:E2549,E2549)&gt;1,"",SUMIFS(tbl_input[필요수량],tbl_input[집계키_지청],E2549)))</f>
        <v/>
      </c>
      <c r="E2549" t="str">
        <f>IFERROR(INDEX(tbl_input[집계키_지청],ROW()-1),"")</f>
        <v/>
      </c>
      <c r="F2549" t="str">
        <f t="shared" si="198"/>
        <v/>
      </c>
      <c r="G2549" t="str">
        <f t="shared" si="199"/>
        <v/>
      </c>
    </row>
    <row r="2550" spans="1:7" x14ac:dyDescent="0.4">
      <c r="A2550" t="str">
        <f t="shared" si="195"/>
        <v/>
      </c>
      <c r="B2550" t="str">
        <f t="shared" si="196"/>
        <v/>
      </c>
      <c r="C2550" t="str">
        <f t="shared" si="197"/>
        <v/>
      </c>
      <c r="D2550" t="str">
        <f>IF(E2550="","",IF(COUNTIF($E$2:E2550,E2550)&gt;1,"",SUMIFS(tbl_input[필요수량],tbl_input[집계키_지청],E2550)))</f>
        <v/>
      </c>
      <c r="E2550" t="str">
        <f>IFERROR(INDEX(tbl_input[집계키_지청],ROW()-1),"")</f>
        <v/>
      </c>
      <c r="F2550" t="str">
        <f t="shared" si="198"/>
        <v/>
      </c>
      <c r="G2550" t="str">
        <f t="shared" si="199"/>
        <v/>
      </c>
    </row>
    <row r="2551" spans="1:7" x14ac:dyDescent="0.4">
      <c r="A2551" t="str">
        <f t="shared" si="195"/>
        <v/>
      </c>
      <c r="B2551" t="str">
        <f t="shared" si="196"/>
        <v/>
      </c>
      <c r="C2551" t="str">
        <f t="shared" si="197"/>
        <v/>
      </c>
      <c r="D2551" t="str">
        <f>IF(E2551="","",IF(COUNTIF($E$2:E2551,E2551)&gt;1,"",SUMIFS(tbl_input[필요수량],tbl_input[집계키_지청],E2551)))</f>
        <v/>
      </c>
      <c r="E2551" t="str">
        <f>IFERROR(INDEX(tbl_input[집계키_지청],ROW()-1),"")</f>
        <v/>
      </c>
      <c r="F2551" t="str">
        <f t="shared" si="198"/>
        <v/>
      </c>
      <c r="G2551" t="str">
        <f t="shared" si="199"/>
        <v/>
      </c>
    </row>
    <row r="2552" spans="1:7" x14ac:dyDescent="0.4">
      <c r="A2552" t="str">
        <f t="shared" si="195"/>
        <v/>
      </c>
      <c r="B2552" t="str">
        <f t="shared" si="196"/>
        <v/>
      </c>
      <c r="C2552" t="str">
        <f t="shared" si="197"/>
        <v/>
      </c>
      <c r="D2552" t="str">
        <f>IF(E2552="","",IF(COUNTIF($E$2:E2552,E2552)&gt;1,"",SUMIFS(tbl_input[필요수량],tbl_input[집계키_지청],E2552)))</f>
        <v/>
      </c>
      <c r="E2552" t="str">
        <f>IFERROR(INDEX(tbl_input[집계키_지청],ROW()-1),"")</f>
        <v/>
      </c>
      <c r="F2552" t="str">
        <f t="shared" si="198"/>
        <v/>
      </c>
      <c r="G2552" t="str">
        <f t="shared" si="199"/>
        <v/>
      </c>
    </row>
    <row r="2553" spans="1:7" x14ac:dyDescent="0.4">
      <c r="A2553" t="str">
        <f t="shared" si="195"/>
        <v/>
      </c>
      <c r="B2553" t="str">
        <f t="shared" si="196"/>
        <v/>
      </c>
      <c r="C2553" t="str">
        <f t="shared" si="197"/>
        <v/>
      </c>
      <c r="D2553" t="str">
        <f>IF(E2553="","",IF(COUNTIF($E$2:E2553,E2553)&gt;1,"",SUMIFS(tbl_input[필요수량],tbl_input[집계키_지청],E2553)))</f>
        <v/>
      </c>
      <c r="E2553" t="str">
        <f>IFERROR(INDEX(tbl_input[집계키_지청],ROW()-1),"")</f>
        <v/>
      </c>
      <c r="F2553" t="str">
        <f t="shared" si="198"/>
        <v/>
      </c>
      <c r="G2553" t="str">
        <f t="shared" si="199"/>
        <v/>
      </c>
    </row>
    <row r="2554" spans="1:7" x14ac:dyDescent="0.4">
      <c r="A2554" t="str">
        <f t="shared" si="195"/>
        <v/>
      </c>
      <c r="B2554" t="str">
        <f t="shared" si="196"/>
        <v/>
      </c>
      <c r="C2554" t="str">
        <f t="shared" si="197"/>
        <v/>
      </c>
      <c r="D2554" t="str">
        <f>IF(E2554="","",IF(COUNTIF($E$2:E2554,E2554)&gt;1,"",SUMIFS(tbl_input[필요수량],tbl_input[집계키_지청],E2554)))</f>
        <v/>
      </c>
      <c r="E2554" t="str">
        <f>IFERROR(INDEX(tbl_input[집계키_지청],ROW()-1),"")</f>
        <v/>
      </c>
      <c r="F2554" t="str">
        <f t="shared" si="198"/>
        <v/>
      </c>
      <c r="G2554" t="str">
        <f t="shared" si="199"/>
        <v/>
      </c>
    </row>
    <row r="2555" spans="1:7" x14ac:dyDescent="0.4">
      <c r="A2555" t="str">
        <f t="shared" si="195"/>
        <v/>
      </c>
      <c r="B2555" t="str">
        <f t="shared" si="196"/>
        <v/>
      </c>
      <c r="C2555" t="str">
        <f t="shared" si="197"/>
        <v/>
      </c>
      <c r="D2555" t="str">
        <f>IF(E2555="","",IF(COUNTIF($E$2:E2555,E2555)&gt;1,"",SUMIFS(tbl_input[필요수량],tbl_input[집계키_지청],E2555)))</f>
        <v/>
      </c>
      <c r="E2555" t="str">
        <f>IFERROR(INDEX(tbl_input[집계키_지청],ROW()-1),"")</f>
        <v/>
      </c>
      <c r="F2555" t="str">
        <f t="shared" si="198"/>
        <v/>
      </c>
      <c r="G2555" t="str">
        <f t="shared" si="199"/>
        <v/>
      </c>
    </row>
    <row r="2556" spans="1:7" x14ac:dyDescent="0.4">
      <c r="A2556" t="str">
        <f t="shared" si="195"/>
        <v/>
      </c>
      <c r="B2556" t="str">
        <f t="shared" si="196"/>
        <v/>
      </c>
      <c r="C2556" t="str">
        <f t="shared" si="197"/>
        <v/>
      </c>
      <c r="D2556" t="str">
        <f>IF(E2556="","",IF(COUNTIF($E$2:E2556,E2556)&gt;1,"",SUMIFS(tbl_input[필요수량],tbl_input[집계키_지청],E2556)))</f>
        <v/>
      </c>
      <c r="E2556" t="str">
        <f>IFERROR(INDEX(tbl_input[집계키_지청],ROW()-1),"")</f>
        <v/>
      </c>
      <c r="F2556" t="str">
        <f t="shared" si="198"/>
        <v/>
      </c>
      <c r="G2556" t="str">
        <f t="shared" si="199"/>
        <v/>
      </c>
    </row>
    <row r="2557" spans="1:7" x14ac:dyDescent="0.4">
      <c r="A2557" t="str">
        <f t="shared" si="195"/>
        <v/>
      </c>
      <c r="B2557" t="str">
        <f t="shared" si="196"/>
        <v/>
      </c>
      <c r="C2557" t="str">
        <f t="shared" si="197"/>
        <v/>
      </c>
      <c r="D2557" t="str">
        <f>IF(E2557="","",IF(COUNTIF($E$2:E2557,E2557)&gt;1,"",SUMIFS(tbl_input[필요수량],tbl_input[집계키_지청],E2557)))</f>
        <v/>
      </c>
      <c r="E2557" t="str">
        <f>IFERROR(INDEX(tbl_input[집계키_지청],ROW()-1),"")</f>
        <v/>
      </c>
      <c r="F2557" t="str">
        <f t="shared" si="198"/>
        <v/>
      </c>
      <c r="G2557" t="str">
        <f t="shared" si="199"/>
        <v/>
      </c>
    </row>
    <row r="2558" spans="1:7" x14ac:dyDescent="0.4">
      <c r="A2558" t="str">
        <f t="shared" si="195"/>
        <v/>
      </c>
      <c r="B2558" t="str">
        <f t="shared" si="196"/>
        <v/>
      </c>
      <c r="C2558" t="str">
        <f t="shared" si="197"/>
        <v/>
      </c>
      <c r="D2558" t="str">
        <f>IF(E2558="","",IF(COUNTIF($E$2:E2558,E2558)&gt;1,"",SUMIFS(tbl_input[필요수량],tbl_input[집계키_지청],E2558)))</f>
        <v/>
      </c>
      <c r="E2558" t="str">
        <f>IFERROR(INDEX(tbl_input[집계키_지청],ROW()-1),"")</f>
        <v/>
      </c>
      <c r="F2558" t="str">
        <f t="shared" si="198"/>
        <v/>
      </c>
      <c r="G2558" t="str">
        <f t="shared" si="199"/>
        <v/>
      </c>
    </row>
    <row r="2559" spans="1:7" x14ac:dyDescent="0.4">
      <c r="A2559" t="str">
        <f t="shared" si="195"/>
        <v/>
      </c>
      <c r="B2559" t="str">
        <f t="shared" si="196"/>
        <v/>
      </c>
      <c r="C2559" t="str">
        <f t="shared" si="197"/>
        <v/>
      </c>
      <c r="D2559" t="str">
        <f>IF(E2559="","",IF(COUNTIF($E$2:E2559,E2559)&gt;1,"",SUMIFS(tbl_input[필요수량],tbl_input[집계키_지청],E2559)))</f>
        <v/>
      </c>
      <c r="E2559" t="str">
        <f>IFERROR(INDEX(tbl_input[집계키_지청],ROW()-1),"")</f>
        <v/>
      </c>
      <c r="F2559" t="str">
        <f t="shared" si="198"/>
        <v/>
      </c>
      <c r="G2559" t="str">
        <f t="shared" si="199"/>
        <v/>
      </c>
    </row>
    <row r="2560" spans="1:7" x14ac:dyDescent="0.4">
      <c r="A2560" t="str">
        <f t="shared" si="195"/>
        <v/>
      </c>
      <c r="B2560" t="str">
        <f t="shared" si="196"/>
        <v/>
      </c>
      <c r="C2560" t="str">
        <f t="shared" si="197"/>
        <v/>
      </c>
      <c r="D2560" t="str">
        <f>IF(E2560="","",IF(COUNTIF($E$2:E2560,E2560)&gt;1,"",SUMIFS(tbl_input[필요수량],tbl_input[집계키_지청],E2560)))</f>
        <v/>
      </c>
      <c r="E2560" t="str">
        <f>IFERROR(INDEX(tbl_input[집계키_지청],ROW()-1),"")</f>
        <v/>
      </c>
      <c r="F2560" t="str">
        <f t="shared" si="198"/>
        <v/>
      </c>
      <c r="G2560" t="str">
        <f t="shared" si="199"/>
        <v/>
      </c>
    </row>
    <row r="2561" spans="1:7" x14ac:dyDescent="0.4">
      <c r="A2561" t="str">
        <f t="shared" si="195"/>
        <v/>
      </c>
      <c r="B2561" t="str">
        <f t="shared" si="196"/>
        <v/>
      </c>
      <c r="C2561" t="str">
        <f t="shared" si="197"/>
        <v/>
      </c>
      <c r="D2561" t="str">
        <f>IF(E2561="","",IF(COUNTIF($E$2:E2561,E2561)&gt;1,"",SUMIFS(tbl_input[필요수량],tbl_input[집계키_지청],E2561)))</f>
        <v/>
      </c>
      <c r="E2561" t="str">
        <f>IFERROR(INDEX(tbl_input[집계키_지청],ROW()-1),"")</f>
        <v/>
      </c>
      <c r="F2561" t="str">
        <f t="shared" si="198"/>
        <v/>
      </c>
      <c r="G2561" t="str">
        <f t="shared" si="199"/>
        <v/>
      </c>
    </row>
    <row r="2562" spans="1:7" x14ac:dyDescent="0.4">
      <c r="A2562" t="str">
        <f t="shared" ref="A2562:A2625" si="200">IF(E2562="","",LEFT(E2562,F2562-1))</f>
        <v/>
      </c>
      <c r="B2562" t="str">
        <f t="shared" ref="B2562:B2625" si="201">IF(E2562="","",MID(E2562,F2562+1,G2562-F2562-1))</f>
        <v/>
      </c>
      <c r="C2562" t="str">
        <f t="shared" ref="C2562:C2625" si="202">IF(E2562="","",MID(E2562,G2562+1,999))</f>
        <v/>
      </c>
      <c r="D2562" t="str">
        <f>IF(E2562="","",IF(COUNTIF($E$2:E2562,E2562)&gt;1,"",SUMIFS(tbl_input[필요수량],tbl_input[집계키_지청],E2562)))</f>
        <v/>
      </c>
      <c r="E2562" t="str">
        <f>IFERROR(INDEX(tbl_input[집계키_지청],ROW()-1),"")</f>
        <v/>
      </c>
      <c r="F2562" t="str">
        <f t="shared" ref="F2562:F2625" si="203">IF(E2562="","",FIND("♦",E2562))</f>
        <v/>
      </c>
      <c r="G2562" t="str">
        <f t="shared" ref="G2562:G2625" si="204">IF(E2562="","",FIND("♦",E2562,F2562+1))</f>
        <v/>
      </c>
    </row>
    <row r="2563" spans="1:7" x14ac:dyDescent="0.4">
      <c r="A2563" t="str">
        <f t="shared" si="200"/>
        <v/>
      </c>
      <c r="B2563" t="str">
        <f t="shared" si="201"/>
        <v/>
      </c>
      <c r="C2563" t="str">
        <f t="shared" si="202"/>
        <v/>
      </c>
      <c r="D2563" t="str">
        <f>IF(E2563="","",IF(COUNTIF($E$2:E2563,E2563)&gt;1,"",SUMIFS(tbl_input[필요수량],tbl_input[집계키_지청],E2563)))</f>
        <v/>
      </c>
      <c r="E2563" t="str">
        <f>IFERROR(INDEX(tbl_input[집계키_지청],ROW()-1),"")</f>
        <v/>
      </c>
      <c r="F2563" t="str">
        <f t="shared" si="203"/>
        <v/>
      </c>
      <c r="G2563" t="str">
        <f t="shared" si="204"/>
        <v/>
      </c>
    </row>
    <row r="2564" spans="1:7" x14ac:dyDescent="0.4">
      <c r="A2564" t="str">
        <f t="shared" si="200"/>
        <v/>
      </c>
      <c r="B2564" t="str">
        <f t="shared" si="201"/>
        <v/>
      </c>
      <c r="C2564" t="str">
        <f t="shared" si="202"/>
        <v/>
      </c>
      <c r="D2564" t="str">
        <f>IF(E2564="","",IF(COUNTIF($E$2:E2564,E2564)&gt;1,"",SUMIFS(tbl_input[필요수량],tbl_input[집계키_지청],E2564)))</f>
        <v/>
      </c>
      <c r="E2564" t="str">
        <f>IFERROR(INDEX(tbl_input[집계키_지청],ROW()-1),"")</f>
        <v/>
      </c>
      <c r="F2564" t="str">
        <f t="shared" si="203"/>
        <v/>
      </c>
      <c r="G2564" t="str">
        <f t="shared" si="204"/>
        <v/>
      </c>
    </row>
    <row r="2565" spans="1:7" x14ac:dyDescent="0.4">
      <c r="A2565" t="str">
        <f t="shared" si="200"/>
        <v/>
      </c>
      <c r="B2565" t="str">
        <f t="shared" si="201"/>
        <v/>
      </c>
      <c r="C2565" t="str">
        <f t="shared" si="202"/>
        <v/>
      </c>
      <c r="D2565" t="str">
        <f>IF(E2565="","",IF(COUNTIF($E$2:E2565,E2565)&gt;1,"",SUMIFS(tbl_input[필요수량],tbl_input[집계키_지청],E2565)))</f>
        <v/>
      </c>
      <c r="E2565" t="str">
        <f>IFERROR(INDEX(tbl_input[집계키_지청],ROW()-1),"")</f>
        <v/>
      </c>
      <c r="F2565" t="str">
        <f t="shared" si="203"/>
        <v/>
      </c>
      <c r="G2565" t="str">
        <f t="shared" si="204"/>
        <v/>
      </c>
    </row>
    <row r="2566" spans="1:7" x14ac:dyDescent="0.4">
      <c r="A2566" t="str">
        <f t="shared" si="200"/>
        <v/>
      </c>
      <c r="B2566" t="str">
        <f t="shared" si="201"/>
        <v/>
      </c>
      <c r="C2566" t="str">
        <f t="shared" si="202"/>
        <v/>
      </c>
      <c r="D2566" t="str">
        <f>IF(E2566="","",IF(COUNTIF($E$2:E2566,E2566)&gt;1,"",SUMIFS(tbl_input[필요수량],tbl_input[집계키_지청],E2566)))</f>
        <v/>
      </c>
      <c r="E2566" t="str">
        <f>IFERROR(INDEX(tbl_input[집계키_지청],ROW()-1),"")</f>
        <v/>
      </c>
      <c r="F2566" t="str">
        <f t="shared" si="203"/>
        <v/>
      </c>
      <c r="G2566" t="str">
        <f t="shared" si="204"/>
        <v/>
      </c>
    </row>
    <row r="2567" spans="1:7" x14ac:dyDescent="0.4">
      <c r="A2567" t="str">
        <f t="shared" si="200"/>
        <v/>
      </c>
      <c r="B2567" t="str">
        <f t="shared" si="201"/>
        <v/>
      </c>
      <c r="C2567" t="str">
        <f t="shared" si="202"/>
        <v/>
      </c>
      <c r="D2567" t="str">
        <f>IF(E2567="","",IF(COUNTIF($E$2:E2567,E2567)&gt;1,"",SUMIFS(tbl_input[필요수량],tbl_input[집계키_지청],E2567)))</f>
        <v/>
      </c>
      <c r="E2567" t="str">
        <f>IFERROR(INDEX(tbl_input[집계키_지청],ROW()-1),"")</f>
        <v/>
      </c>
      <c r="F2567" t="str">
        <f t="shared" si="203"/>
        <v/>
      </c>
      <c r="G2567" t="str">
        <f t="shared" si="204"/>
        <v/>
      </c>
    </row>
    <row r="2568" spans="1:7" x14ac:dyDescent="0.4">
      <c r="A2568" t="str">
        <f t="shared" si="200"/>
        <v/>
      </c>
      <c r="B2568" t="str">
        <f t="shared" si="201"/>
        <v/>
      </c>
      <c r="C2568" t="str">
        <f t="shared" si="202"/>
        <v/>
      </c>
      <c r="D2568" t="str">
        <f>IF(E2568="","",IF(COUNTIF($E$2:E2568,E2568)&gt;1,"",SUMIFS(tbl_input[필요수량],tbl_input[집계키_지청],E2568)))</f>
        <v/>
      </c>
      <c r="E2568" t="str">
        <f>IFERROR(INDEX(tbl_input[집계키_지청],ROW()-1),"")</f>
        <v/>
      </c>
      <c r="F2568" t="str">
        <f t="shared" si="203"/>
        <v/>
      </c>
      <c r="G2568" t="str">
        <f t="shared" si="204"/>
        <v/>
      </c>
    </row>
    <row r="2569" spans="1:7" x14ac:dyDescent="0.4">
      <c r="A2569" t="str">
        <f t="shared" si="200"/>
        <v/>
      </c>
      <c r="B2569" t="str">
        <f t="shared" si="201"/>
        <v/>
      </c>
      <c r="C2569" t="str">
        <f t="shared" si="202"/>
        <v/>
      </c>
      <c r="D2569" t="str">
        <f>IF(E2569="","",IF(COUNTIF($E$2:E2569,E2569)&gt;1,"",SUMIFS(tbl_input[필요수량],tbl_input[집계키_지청],E2569)))</f>
        <v/>
      </c>
      <c r="E2569" t="str">
        <f>IFERROR(INDEX(tbl_input[집계키_지청],ROW()-1),"")</f>
        <v/>
      </c>
      <c r="F2569" t="str">
        <f t="shared" si="203"/>
        <v/>
      </c>
      <c r="G2569" t="str">
        <f t="shared" si="204"/>
        <v/>
      </c>
    </row>
    <row r="2570" spans="1:7" x14ac:dyDescent="0.4">
      <c r="A2570" t="str">
        <f t="shared" si="200"/>
        <v/>
      </c>
      <c r="B2570" t="str">
        <f t="shared" si="201"/>
        <v/>
      </c>
      <c r="C2570" t="str">
        <f t="shared" si="202"/>
        <v/>
      </c>
      <c r="D2570" t="str">
        <f>IF(E2570="","",IF(COUNTIF($E$2:E2570,E2570)&gt;1,"",SUMIFS(tbl_input[필요수량],tbl_input[집계키_지청],E2570)))</f>
        <v/>
      </c>
      <c r="E2570" t="str">
        <f>IFERROR(INDEX(tbl_input[집계키_지청],ROW()-1),"")</f>
        <v/>
      </c>
      <c r="F2570" t="str">
        <f t="shared" si="203"/>
        <v/>
      </c>
      <c r="G2570" t="str">
        <f t="shared" si="204"/>
        <v/>
      </c>
    </row>
    <row r="2571" spans="1:7" x14ac:dyDescent="0.4">
      <c r="A2571" t="str">
        <f t="shared" si="200"/>
        <v/>
      </c>
      <c r="B2571" t="str">
        <f t="shared" si="201"/>
        <v/>
      </c>
      <c r="C2571" t="str">
        <f t="shared" si="202"/>
        <v/>
      </c>
      <c r="D2571" t="str">
        <f>IF(E2571="","",IF(COUNTIF($E$2:E2571,E2571)&gt;1,"",SUMIFS(tbl_input[필요수량],tbl_input[집계키_지청],E2571)))</f>
        <v/>
      </c>
      <c r="E2571" t="str">
        <f>IFERROR(INDEX(tbl_input[집계키_지청],ROW()-1),"")</f>
        <v/>
      </c>
      <c r="F2571" t="str">
        <f t="shared" si="203"/>
        <v/>
      </c>
      <c r="G2571" t="str">
        <f t="shared" si="204"/>
        <v/>
      </c>
    </row>
    <row r="2572" spans="1:7" x14ac:dyDescent="0.4">
      <c r="A2572" t="str">
        <f t="shared" si="200"/>
        <v/>
      </c>
      <c r="B2572" t="str">
        <f t="shared" si="201"/>
        <v/>
      </c>
      <c r="C2572" t="str">
        <f t="shared" si="202"/>
        <v/>
      </c>
      <c r="D2572" t="str">
        <f>IF(E2572="","",IF(COUNTIF($E$2:E2572,E2572)&gt;1,"",SUMIFS(tbl_input[필요수량],tbl_input[집계키_지청],E2572)))</f>
        <v/>
      </c>
      <c r="E2572" t="str">
        <f>IFERROR(INDEX(tbl_input[집계키_지청],ROW()-1),"")</f>
        <v/>
      </c>
      <c r="F2572" t="str">
        <f t="shared" si="203"/>
        <v/>
      </c>
      <c r="G2572" t="str">
        <f t="shared" si="204"/>
        <v/>
      </c>
    </row>
    <row r="2573" spans="1:7" x14ac:dyDescent="0.4">
      <c r="A2573" t="str">
        <f t="shared" si="200"/>
        <v/>
      </c>
      <c r="B2573" t="str">
        <f t="shared" si="201"/>
        <v/>
      </c>
      <c r="C2573" t="str">
        <f t="shared" si="202"/>
        <v/>
      </c>
      <c r="D2573" t="str">
        <f>IF(E2573="","",IF(COUNTIF($E$2:E2573,E2573)&gt;1,"",SUMIFS(tbl_input[필요수량],tbl_input[집계키_지청],E2573)))</f>
        <v/>
      </c>
      <c r="E2573" t="str">
        <f>IFERROR(INDEX(tbl_input[집계키_지청],ROW()-1),"")</f>
        <v/>
      </c>
      <c r="F2573" t="str">
        <f t="shared" si="203"/>
        <v/>
      </c>
      <c r="G2573" t="str">
        <f t="shared" si="204"/>
        <v/>
      </c>
    </row>
    <row r="2574" spans="1:7" x14ac:dyDescent="0.4">
      <c r="A2574" t="str">
        <f t="shared" si="200"/>
        <v/>
      </c>
      <c r="B2574" t="str">
        <f t="shared" si="201"/>
        <v/>
      </c>
      <c r="C2574" t="str">
        <f t="shared" si="202"/>
        <v/>
      </c>
      <c r="D2574" t="str">
        <f>IF(E2574="","",IF(COUNTIF($E$2:E2574,E2574)&gt;1,"",SUMIFS(tbl_input[필요수량],tbl_input[집계키_지청],E2574)))</f>
        <v/>
      </c>
      <c r="E2574" t="str">
        <f>IFERROR(INDEX(tbl_input[집계키_지청],ROW()-1),"")</f>
        <v/>
      </c>
      <c r="F2574" t="str">
        <f t="shared" si="203"/>
        <v/>
      </c>
      <c r="G2574" t="str">
        <f t="shared" si="204"/>
        <v/>
      </c>
    </row>
    <row r="2575" spans="1:7" x14ac:dyDescent="0.4">
      <c r="A2575" t="str">
        <f t="shared" si="200"/>
        <v/>
      </c>
      <c r="B2575" t="str">
        <f t="shared" si="201"/>
        <v/>
      </c>
      <c r="C2575" t="str">
        <f t="shared" si="202"/>
        <v/>
      </c>
      <c r="D2575" t="str">
        <f>IF(E2575="","",IF(COUNTIF($E$2:E2575,E2575)&gt;1,"",SUMIFS(tbl_input[필요수량],tbl_input[집계키_지청],E2575)))</f>
        <v/>
      </c>
      <c r="E2575" t="str">
        <f>IFERROR(INDEX(tbl_input[집계키_지청],ROW()-1),"")</f>
        <v/>
      </c>
      <c r="F2575" t="str">
        <f t="shared" si="203"/>
        <v/>
      </c>
      <c r="G2575" t="str">
        <f t="shared" si="204"/>
        <v/>
      </c>
    </row>
    <row r="2576" spans="1:7" x14ac:dyDescent="0.4">
      <c r="A2576" t="str">
        <f t="shared" si="200"/>
        <v/>
      </c>
      <c r="B2576" t="str">
        <f t="shared" si="201"/>
        <v/>
      </c>
      <c r="C2576" t="str">
        <f t="shared" si="202"/>
        <v/>
      </c>
      <c r="D2576" t="str">
        <f>IF(E2576="","",IF(COUNTIF($E$2:E2576,E2576)&gt;1,"",SUMIFS(tbl_input[필요수량],tbl_input[집계키_지청],E2576)))</f>
        <v/>
      </c>
      <c r="E2576" t="str">
        <f>IFERROR(INDEX(tbl_input[집계키_지청],ROW()-1),"")</f>
        <v/>
      </c>
      <c r="F2576" t="str">
        <f t="shared" si="203"/>
        <v/>
      </c>
      <c r="G2576" t="str">
        <f t="shared" si="204"/>
        <v/>
      </c>
    </row>
    <row r="2577" spans="1:7" x14ac:dyDescent="0.4">
      <c r="A2577" t="str">
        <f t="shared" si="200"/>
        <v/>
      </c>
      <c r="B2577" t="str">
        <f t="shared" si="201"/>
        <v/>
      </c>
      <c r="C2577" t="str">
        <f t="shared" si="202"/>
        <v/>
      </c>
      <c r="D2577" t="str">
        <f>IF(E2577="","",IF(COUNTIF($E$2:E2577,E2577)&gt;1,"",SUMIFS(tbl_input[필요수량],tbl_input[집계키_지청],E2577)))</f>
        <v/>
      </c>
      <c r="E2577" t="str">
        <f>IFERROR(INDEX(tbl_input[집계키_지청],ROW()-1),"")</f>
        <v/>
      </c>
      <c r="F2577" t="str">
        <f t="shared" si="203"/>
        <v/>
      </c>
      <c r="G2577" t="str">
        <f t="shared" si="204"/>
        <v/>
      </c>
    </row>
    <row r="2578" spans="1:7" x14ac:dyDescent="0.4">
      <c r="A2578" t="str">
        <f t="shared" si="200"/>
        <v/>
      </c>
      <c r="B2578" t="str">
        <f t="shared" si="201"/>
        <v/>
      </c>
      <c r="C2578" t="str">
        <f t="shared" si="202"/>
        <v/>
      </c>
      <c r="D2578" t="str">
        <f>IF(E2578="","",IF(COUNTIF($E$2:E2578,E2578)&gt;1,"",SUMIFS(tbl_input[필요수량],tbl_input[집계키_지청],E2578)))</f>
        <v/>
      </c>
      <c r="E2578" t="str">
        <f>IFERROR(INDEX(tbl_input[집계키_지청],ROW()-1),"")</f>
        <v/>
      </c>
      <c r="F2578" t="str">
        <f t="shared" si="203"/>
        <v/>
      </c>
      <c r="G2578" t="str">
        <f t="shared" si="204"/>
        <v/>
      </c>
    </row>
    <row r="2579" spans="1:7" x14ac:dyDescent="0.4">
      <c r="A2579" t="str">
        <f t="shared" si="200"/>
        <v/>
      </c>
      <c r="B2579" t="str">
        <f t="shared" si="201"/>
        <v/>
      </c>
      <c r="C2579" t="str">
        <f t="shared" si="202"/>
        <v/>
      </c>
      <c r="D2579" t="str">
        <f>IF(E2579="","",IF(COUNTIF($E$2:E2579,E2579)&gt;1,"",SUMIFS(tbl_input[필요수량],tbl_input[집계키_지청],E2579)))</f>
        <v/>
      </c>
      <c r="E2579" t="str">
        <f>IFERROR(INDEX(tbl_input[집계키_지청],ROW()-1),"")</f>
        <v/>
      </c>
      <c r="F2579" t="str">
        <f t="shared" si="203"/>
        <v/>
      </c>
      <c r="G2579" t="str">
        <f t="shared" si="204"/>
        <v/>
      </c>
    </row>
    <row r="2580" spans="1:7" x14ac:dyDescent="0.4">
      <c r="A2580" t="str">
        <f t="shared" si="200"/>
        <v/>
      </c>
      <c r="B2580" t="str">
        <f t="shared" si="201"/>
        <v/>
      </c>
      <c r="C2580" t="str">
        <f t="shared" si="202"/>
        <v/>
      </c>
      <c r="D2580" t="str">
        <f>IF(E2580="","",IF(COUNTIF($E$2:E2580,E2580)&gt;1,"",SUMIFS(tbl_input[필요수량],tbl_input[집계키_지청],E2580)))</f>
        <v/>
      </c>
      <c r="E2580" t="str">
        <f>IFERROR(INDEX(tbl_input[집계키_지청],ROW()-1),"")</f>
        <v/>
      </c>
      <c r="F2580" t="str">
        <f t="shared" si="203"/>
        <v/>
      </c>
      <c r="G2580" t="str">
        <f t="shared" si="204"/>
        <v/>
      </c>
    </row>
    <row r="2581" spans="1:7" x14ac:dyDescent="0.4">
      <c r="A2581" t="str">
        <f t="shared" si="200"/>
        <v/>
      </c>
      <c r="B2581" t="str">
        <f t="shared" si="201"/>
        <v/>
      </c>
      <c r="C2581" t="str">
        <f t="shared" si="202"/>
        <v/>
      </c>
      <c r="D2581" t="str">
        <f>IF(E2581="","",IF(COUNTIF($E$2:E2581,E2581)&gt;1,"",SUMIFS(tbl_input[필요수량],tbl_input[집계키_지청],E2581)))</f>
        <v/>
      </c>
      <c r="E2581" t="str">
        <f>IFERROR(INDEX(tbl_input[집계키_지청],ROW()-1),"")</f>
        <v/>
      </c>
      <c r="F2581" t="str">
        <f t="shared" si="203"/>
        <v/>
      </c>
      <c r="G2581" t="str">
        <f t="shared" si="204"/>
        <v/>
      </c>
    </row>
    <row r="2582" spans="1:7" x14ac:dyDescent="0.4">
      <c r="A2582" t="str">
        <f t="shared" si="200"/>
        <v/>
      </c>
      <c r="B2582" t="str">
        <f t="shared" si="201"/>
        <v/>
      </c>
      <c r="C2582" t="str">
        <f t="shared" si="202"/>
        <v/>
      </c>
      <c r="D2582" t="str">
        <f>IF(E2582="","",IF(COUNTIF($E$2:E2582,E2582)&gt;1,"",SUMIFS(tbl_input[필요수량],tbl_input[집계키_지청],E2582)))</f>
        <v/>
      </c>
      <c r="E2582" t="str">
        <f>IFERROR(INDEX(tbl_input[집계키_지청],ROW()-1),"")</f>
        <v/>
      </c>
      <c r="F2582" t="str">
        <f t="shared" si="203"/>
        <v/>
      </c>
      <c r="G2582" t="str">
        <f t="shared" si="204"/>
        <v/>
      </c>
    </row>
    <row r="2583" spans="1:7" x14ac:dyDescent="0.4">
      <c r="A2583" t="str">
        <f t="shared" si="200"/>
        <v/>
      </c>
      <c r="B2583" t="str">
        <f t="shared" si="201"/>
        <v/>
      </c>
      <c r="C2583" t="str">
        <f t="shared" si="202"/>
        <v/>
      </c>
      <c r="D2583" t="str">
        <f>IF(E2583="","",IF(COUNTIF($E$2:E2583,E2583)&gt;1,"",SUMIFS(tbl_input[필요수량],tbl_input[집계키_지청],E2583)))</f>
        <v/>
      </c>
      <c r="E2583" t="str">
        <f>IFERROR(INDEX(tbl_input[집계키_지청],ROW()-1),"")</f>
        <v/>
      </c>
      <c r="F2583" t="str">
        <f t="shared" si="203"/>
        <v/>
      </c>
      <c r="G2583" t="str">
        <f t="shared" si="204"/>
        <v/>
      </c>
    </row>
    <row r="2584" spans="1:7" x14ac:dyDescent="0.4">
      <c r="A2584" t="str">
        <f t="shared" si="200"/>
        <v/>
      </c>
      <c r="B2584" t="str">
        <f t="shared" si="201"/>
        <v/>
      </c>
      <c r="C2584" t="str">
        <f t="shared" si="202"/>
        <v/>
      </c>
      <c r="D2584" t="str">
        <f>IF(E2584="","",IF(COUNTIF($E$2:E2584,E2584)&gt;1,"",SUMIFS(tbl_input[필요수량],tbl_input[집계키_지청],E2584)))</f>
        <v/>
      </c>
      <c r="E2584" t="str">
        <f>IFERROR(INDEX(tbl_input[집계키_지청],ROW()-1),"")</f>
        <v/>
      </c>
      <c r="F2584" t="str">
        <f t="shared" si="203"/>
        <v/>
      </c>
      <c r="G2584" t="str">
        <f t="shared" si="204"/>
        <v/>
      </c>
    </row>
    <row r="2585" spans="1:7" x14ac:dyDescent="0.4">
      <c r="A2585" t="str">
        <f t="shared" si="200"/>
        <v/>
      </c>
      <c r="B2585" t="str">
        <f t="shared" si="201"/>
        <v/>
      </c>
      <c r="C2585" t="str">
        <f t="shared" si="202"/>
        <v/>
      </c>
      <c r="D2585" t="str">
        <f>IF(E2585="","",IF(COUNTIF($E$2:E2585,E2585)&gt;1,"",SUMIFS(tbl_input[필요수량],tbl_input[집계키_지청],E2585)))</f>
        <v/>
      </c>
      <c r="E2585" t="str">
        <f>IFERROR(INDEX(tbl_input[집계키_지청],ROW()-1),"")</f>
        <v/>
      </c>
      <c r="F2585" t="str">
        <f t="shared" si="203"/>
        <v/>
      </c>
      <c r="G2585" t="str">
        <f t="shared" si="204"/>
        <v/>
      </c>
    </row>
    <row r="2586" spans="1:7" x14ac:dyDescent="0.4">
      <c r="A2586" t="str">
        <f t="shared" si="200"/>
        <v/>
      </c>
      <c r="B2586" t="str">
        <f t="shared" si="201"/>
        <v/>
      </c>
      <c r="C2586" t="str">
        <f t="shared" si="202"/>
        <v/>
      </c>
      <c r="D2586" t="str">
        <f>IF(E2586="","",IF(COUNTIF($E$2:E2586,E2586)&gt;1,"",SUMIFS(tbl_input[필요수량],tbl_input[집계키_지청],E2586)))</f>
        <v/>
      </c>
      <c r="E2586" t="str">
        <f>IFERROR(INDEX(tbl_input[집계키_지청],ROW()-1),"")</f>
        <v/>
      </c>
      <c r="F2586" t="str">
        <f t="shared" si="203"/>
        <v/>
      </c>
      <c r="G2586" t="str">
        <f t="shared" si="204"/>
        <v/>
      </c>
    </row>
    <row r="2587" spans="1:7" x14ac:dyDescent="0.4">
      <c r="A2587" t="str">
        <f t="shared" si="200"/>
        <v/>
      </c>
      <c r="B2587" t="str">
        <f t="shared" si="201"/>
        <v/>
      </c>
      <c r="C2587" t="str">
        <f t="shared" si="202"/>
        <v/>
      </c>
      <c r="D2587" t="str">
        <f>IF(E2587="","",IF(COUNTIF($E$2:E2587,E2587)&gt;1,"",SUMIFS(tbl_input[필요수량],tbl_input[집계키_지청],E2587)))</f>
        <v/>
      </c>
      <c r="E2587" t="str">
        <f>IFERROR(INDEX(tbl_input[집계키_지청],ROW()-1),"")</f>
        <v/>
      </c>
      <c r="F2587" t="str">
        <f t="shared" si="203"/>
        <v/>
      </c>
      <c r="G2587" t="str">
        <f t="shared" si="204"/>
        <v/>
      </c>
    </row>
    <row r="2588" spans="1:7" x14ac:dyDescent="0.4">
      <c r="A2588" t="str">
        <f t="shared" si="200"/>
        <v/>
      </c>
      <c r="B2588" t="str">
        <f t="shared" si="201"/>
        <v/>
      </c>
      <c r="C2588" t="str">
        <f t="shared" si="202"/>
        <v/>
      </c>
      <c r="D2588" t="str">
        <f>IF(E2588="","",IF(COUNTIF($E$2:E2588,E2588)&gt;1,"",SUMIFS(tbl_input[필요수량],tbl_input[집계키_지청],E2588)))</f>
        <v/>
      </c>
      <c r="E2588" t="str">
        <f>IFERROR(INDEX(tbl_input[집계키_지청],ROW()-1),"")</f>
        <v/>
      </c>
      <c r="F2588" t="str">
        <f t="shared" si="203"/>
        <v/>
      </c>
      <c r="G2588" t="str">
        <f t="shared" si="204"/>
        <v/>
      </c>
    </row>
    <row r="2589" spans="1:7" x14ac:dyDescent="0.4">
      <c r="A2589" t="str">
        <f t="shared" si="200"/>
        <v/>
      </c>
      <c r="B2589" t="str">
        <f t="shared" si="201"/>
        <v/>
      </c>
      <c r="C2589" t="str">
        <f t="shared" si="202"/>
        <v/>
      </c>
      <c r="D2589" t="str">
        <f>IF(E2589="","",IF(COUNTIF($E$2:E2589,E2589)&gt;1,"",SUMIFS(tbl_input[필요수량],tbl_input[집계키_지청],E2589)))</f>
        <v/>
      </c>
      <c r="E2589" t="str">
        <f>IFERROR(INDEX(tbl_input[집계키_지청],ROW()-1),"")</f>
        <v/>
      </c>
      <c r="F2589" t="str">
        <f t="shared" si="203"/>
        <v/>
      </c>
      <c r="G2589" t="str">
        <f t="shared" si="204"/>
        <v/>
      </c>
    </row>
    <row r="2590" spans="1:7" x14ac:dyDescent="0.4">
      <c r="A2590" t="str">
        <f t="shared" si="200"/>
        <v/>
      </c>
      <c r="B2590" t="str">
        <f t="shared" si="201"/>
        <v/>
      </c>
      <c r="C2590" t="str">
        <f t="shared" si="202"/>
        <v/>
      </c>
      <c r="D2590" t="str">
        <f>IF(E2590="","",IF(COUNTIF($E$2:E2590,E2590)&gt;1,"",SUMIFS(tbl_input[필요수량],tbl_input[집계키_지청],E2590)))</f>
        <v/>
      </c>
      <c r="E2590" t="str">
        <f>IFERROR(INDEX(tbl_input[집계키_지청],ROW()-1),"")</f>
        <v/>
      </c>
      <c r="F2590" t="str">
        <f t="shared" si="203"/>
        <v/>
      </c>
      <c r="G2590" t="str">
        <f t="shared" si="204"/>
        <v/>
      </c>
    </row>
    <row r="2591" spans="1:7" x14ac:dyDescent="0.4">
      <c r="A2591" t="str">
        <f t="shared" si="200"/>
        <v/>
      </c>
      <c r="B2591" t="str">
        <f t="shared" si="201"/>
        <v/>
      </c>
      <c r="C2591" t="str">
        <f t="shared" si="202"/>
        <v/>
      </c>
      <c r="D2591" t="str">
        <f>IF(E2591="","",IF(COUNTIF($E$2:E2591,E2591)&gt;1,"",SUMIFS(tbl_input[필요수량],tbl_input[집계키_지청],E2591)))</f>
        <v/>
      </c>
      <c r="E2591" t="str">
        <f>IFERROR(INDEX(tbl_input[집계키_지청],ROW()-1),"")</f>
        <v/>
      </c>
      <c r="F2591" t="str">
        <f t="shared" si="203"/>
        <v/>
      </c>
      <c r="G2591" t="str">
        <f t="shared" si="204"/>
        <v/>
      </c>
    </row>
    <row r="2592" spans="1:7" x14ac:dyDescent="0.4">
      <c r="A2592" t="str">
        <f t="shared" si="200"/>
        <v/>
      </c>
      <c r="B2592" t="str">
        <f t="shared" si="201"/>
        <v/>
      </c>
      <c r="C2592" t="str">
        <f t="shared" si="202"/>
        <v/>
      </c>
      <c r="D2592" t="str">
        <f>IF(E2592="","",IF(COUNTIF($E$2:E2592,E2592)&gt;1,"",SUMIFS(tbl_input[필요수량],tbl_input[집계키_지청],E2592)))</f>
        <v/>
      </c>
      <c r="E2592" t="str">
        <f>IFERROR(INDEX(tbl_input[집계키_지청],ROW()-1),"")</f>
        <v/>
      </c>
      <c r="F2592" t="str">
        <f t="shared" si="203"/>
        <v/>
      </c>
      <c r="G2592" t="str">
        <f t="shared" si="204"/>
        <v/>
      </c>
    </row>
    <row r="2593" spans="1:7" x14ac:dyDescent="0.4">
      <c r="A2593" t="str">
        <f t="shared" si="200"/>
        <v/>
      </c>
      <c r="B2593" t="str">
        <f t="shared" si="201"/>
        <v/>
      </c>
      <c r="C2593" t="str">
        <f t="shared" si="202"/>
        <v/>
      </c>
      <c r="D2593" t="str">
        <f>IF(E2593="","",IF(COUNTIF($E$2:E2593,E2593)&gt;1,"",SUMIFS(tbl_input[필요수량],tbl_input[집계키_지청],E2593)))</f>
        <v/>
      </c>
      <c r="E2593" t="str">
        <f>IFERROR(INDEX(tbl_input[집계키_지청],ROW()-1),"")</f>
        <v/>
      </c>
      <c r="F2593" t="str">
        <f t="shared" si="203"/>
        <v/>
      </c>
      <c r="G2593" t="str">
        <f t="shared" si="204"/>
        <v/>
      </c>
    </row>
    <row r="2594" spans="1:7" x14ac:dyDescent="0.4">
      <c r="A2594" t="str">
        <f t="shared" si="200"/>
        <v/>
      </c>
      <c r="B2594" t="str">
        <f t="shared" si="201"/>
        <v/>
      </c>
      <c r="C2594" t="str">
        <f t="shared" si="202"/>
        <v/>
      </c>
      <c r="D2594" t="str">
        <f>IF(E2594="","",IF(COUNTIF($E$2:E2594,E2594)&gt;1,"",SUMIFS(tbl_input[필요수량],tbl_input[집계키_지청],E2594)))</f>
        <v/>
      </c>
      <c r="E2594" t="str">
        <f>IFERROR(INDEX(tbl_input[집계키_지청],ROW()-1),"")</f>
        <v/>
      </c>
      <c r="F2594" t="str">
        <f t="shared" si="203"/>
        <v/>
      </c>
      <c r="G2594" t="str">
        <f t="shared" si="204"/>
        <v/>
      </c>
    </row>
    <row r="2595" spans="1:7" x14ac:dyDescent="0.4">
      <c r="A2595" t="str">
        <f t="shared" si="200"/>
        <v/>
      </c>
      <c r="B2595" t="str">
        <f t="shared" si="201"/>
        <v/>
      </c>
      <c r="C2595" t="str">
        <f t="shared" si="202"/>
        <v/>
      </c>
      <c r="D2595" t="str">
        <f>IF(E2595="","",IF(COUNTIF($E$2:E2595,E2595)&gt;1,"",SUMIFS(tbl_input[필요수량],tbl_input[집계키_지청],E2595)))</f>
        <v/>
      </c>
      <c r="E2595" t="str">
        <f>IFERROR(INDEX(tbl_input[집계키_지청],ROW()-1),"")</f>
        <v/>
      </c>
      <c r="F2595" t="str">
        <f t="shared" si="203"/>
        <v/>
      </c>
      <c r="G2595" t="str">
        <f t="shared" si="204"/>
        <v/>
      </c>
    </row>
    <row r="2596" spans="1:7" x14ac:dyDescent="0.4">
      <c r="A2596" t="str">
        <f t="shared" si="200"/>
        <v/>
      </c>
      <c r="B2596" t="str">
        <f t="shared" si="201"/>
        <v/>
      </c>
      <c r="C2596" t="str">
        <f t="shared" si="202"/>
        <v/>
      </c>
      <c r="D2596" t="str">
        <f>IF(E2596="","",IF(COUNTIF($E$2:E2596,E2596)&gt;1,"",SUMIFS(tbl_input[필요수량],tbl_input[집계키_지청],E2596)))</f>
        <v/>
      </c>
      <c r="E2596" t="str">
        <f>IFERROR(INDEX(tbl_input[집계키_지청],ROW()-1),"")</f>
        <v/>
      </c>
      <c r="F2596" t="str">
        <f t="shared" si="203"/>
        <v/>
      </c>
      <c r="G2596" t="str">
        <f t="shared" si="204"/>
        <v/>
      </c>
    </row>
    <row r="2597" spans="1:7" x14ac:dyDescent="0.4">
      <c r="A2597" t="str">
        <f t="shared" si="200"/>
        <v/>
      </c>
      <c r="B2597" t="str">
        <f t="shared" si="201"/>
        <v/>
      </c>
      <c r="C2597" t="str">
        <f t="shared" si="202"/>
        <v/>
      </c>
      <c r="D2597" t="str">
        <f>IF(E2597="","",IF(COUNTIF($E$2:E2597,E2597)&gt;1,"",SUMIFS(tbl_input[필요수량],tbl_input[집계키_지청],E2597)))</f>
        <v/>
      </c>
      <c r="E2597" t="str">
        <f>IFERROR(INDEX(tbl_input[집계키_지청],ROW()-1),"")</f>
        <v/>
      </c>
      <c r="F2597" t="str">
        <f t="shared" si="203"/>
        <v/>
      </c>
      <c r="G2597" t="str">
        <f t="shared" si="204"/>
        <v/>
      </c>
    </row>
    <row r="2598" spans="1:7" x14ac:dyDescent="0.4">
      <c r="A2598" t="str">
        <f t="shared" si="200"/>
        <v/>
      </c>
      <c r="B2598" t="str">
        <f t="shared" si="201"/>
        <v/>
      </c>
      <c r="C2598" t="str">
        <f t="shared" si="202"/>
        <v/>
      </c>
      <c r="D2598" t="str">
        <f>IF(E2598="","",IF(COUNTIF($E$2:E2598,E2598)&gt;1,"",SUMIFS(tbl_input[필요수량],tbl_input[집계키_지청],E2598)))</f>
        <v/>
      </c>
      <c r="E2598" t="str">
        <f>IFERROR(INDEX(tbl_input[집계키_지청],ROW()-1),"")</f>
        <v/>
      </c>
      <c r="F2598" t="str">
        <f t="shared" si="203"/>
        <v/>
      </c>
      <c r="G2598" t="str">
        <f t="shared" si="204"/>
        <v/>
      </c>
    </row>
    <row r="2599" spans="1:7" x14ac:dyDescent="0.4">
      <c r="A2599" t="str">
        <f t="shared" si="200"/>
        <v/>
      </c>
      <c r="B2599" t="str">
        <f t="shared" si="201"/>
        <v/>
      </c>
      <c r="C2599" t="str">
        <f t="shared" si="202"/>
        <v/>
      </c>
      <c r="D2599" t="str">
        <f>IF(E2599="","",IF(COUNTIF($E$2:E2599,E2599)&gt;1,"",SUMIFS(tbl_input[필요수량],tbl_input[집계키_지청],E2599)))</f>
        <v/>
      </c>
      <c r="E2599" t="str">
        <f>IFERROR(INDEX(tbl_input[집계키_지청],ROW()-1),"")</f>
        <v/>
      </c>
      <c r="F2599" t="str">
        <f t="shared" si="203"/>
        <v/>
      </c>
      <c r="G2599" t="str">
        <f t="shared" si="204"/>
        <v/>
      </c>
    </row>
    <row r="2600" spans="1:7" x14ac:dyDescent="0.4">
      <c r="A2600" t="str">
        <f t="shared" si="200"/>
        <v/>
      </c>
      <c r="B2600" t="str">
        <f t="shared" si="201"/>
        <v/>
      </c>
      <c r="C2600" t="str">
        <f t="shared" si="202"/>
        <v/>
      </c>
      <c r="D2600" t="str">
        <f>IF(E2600="","",IF(COUNTIF($E$2:E2600,E2600)&gt;1,"",SUMIFS(tbl_input[필요수량],tbl_input[집계키_지청],E2600)))</f>
        <v/>
      </c>
      <c r="E2600" t="str">
        <f>IFERROR(INDEX(tbl_input[집계키_지청],ROW()-1),"")</f>
        <v/>
      </c>
      <c r="F2600" t="str">
        <f t="shared" si="203"/>
        <v/>
      </c>
      <c r="G2600" t="str">
        <f t="shared" si="204"/>
        <v/>
      </c>
    </row>
    <row r="2601" spans="1:7" x14ac:dyDescent="0.4">
      <c r="A2601" t="str">
        <f t="shared" si="200"/>
        <v/>
      </c>
      <c r="B2601" t="str">
        <f t="shared" si="201"/>
        <v/>
      </c>
      <c r="C2601" t="str">
        <f t="shared" si="202"/>
        <v/>
      </c>
      <c r="D2601" t="str">
        <f>IF(E2601="","",IF(COUNTIF($E$2:E2601,E2601)&gt;1,"",SUMIFS(tbl_input[필요수량],tbl_input[집계키_지청],E2601)))</f>
        <v/>
      </c>
      <c r="E2601" t="str">
        <f>IFERROR(INDEX(tbl_input[집계키_지청],ROW()-1),"")</f>
        <v/>
      </c>
      <c r="F2601" t="str">
        <f t="shared" si="203"/>
        <v/>
      </c>
      <c r="G2601" t="str">
        <f t="shared" si="204"/>
        <v/>
      </c>
    </row>
    <row r="2602" spans="1:7" x14ac:dyDescent="0.4">
      <c r="A2602" t="str">
        <f t="shared" si="200"/>
        <v/>
      </c>
      <c r="B2602" t="str">
        <f t="shared" si="201"/>
        <v/>
      </c>
      <c r="C2602" t="str">
        <f t="shared" si="202"/>
        <v/>
      </c>
      <c r="D2602" t="str">
        <f>IF(E2602="","",IF(COUNTIF($E$2:E2602,E2602)&gt;1,"",SUMIFS(tbl_input[필요수량],tbl_input[집계키_지청],E2602)))</f>
        <v/>
      </c>
      <c r="E2602" t="str">
        <f>IFERROR(INDEX(tbl_input[집계키_지청],ROW()-1),"")</f>
        <v/>
      </c>
      <c r="F2602" t="str">
        <f t="shared" si="203"/>
        <v/>
      </c>
      <c r="G2602" t="str">
        <f t="shared" si="204"/>
        <v/>
      </c>
    </row>
    <row r="2603" spans="1:7" x14ac:dyDescent="0.4">
      <c r="A2603" t="str">
        <f t="shared" si="200"/>
        <v/>
      </c>
      <c r="B2603" t="str">
        <f t="shared" si="201"/>
        <v/>
      </c>
      <c r="C2603" t="str">
        <f t="shared" si="202"/>
        <v/>
      </c>
      <c r="D2603" t="str">
        <f>IF(E2603="","",IF(COUNTIF($E$2:E2603,E2603)&gt;1,"",SUMIFS(tbl_input[필요수량],tbl_input[집계키_지청],E2603)))</f>
        <v/>
      </c>
      <c r="E2603" t="str">
        <f>IFERROR(INDEX(tbl_input[집계키_지청],ROW()-1),"")</f>
        <v/>
      </c>
      <c r="F2603" t="str">
        <f t="shared" si="203"/>
        <v/>
      </c>
      <c r="G2603" t="str">
        <f t="shared" si="204"/>
        <v/>
      </c>
    </row>
    <row r="2604" spans="1:7" x14ac:dyDescent="0.4">
      <c r="A2604" t="str">
        <f t="shared" si="200"/>
        <v/>
      </c>
      <c r="B2604" t="str">
        <f t="shared" si="201"/>
        <v/>
      </c>
      <c r="C2604" t="str">
        <f t="shared" si="202"/>
        <v/>
      </c>
      <c r="D2604" t="str">
        <f>IF(E2604="","",IF(COUNTIF($E$2:E2604,E2604)&gt;1,"",SUMIFS(tbl_input[필요수량],tbl_input[집계키_지청],E2604)))</f>
        <v/>
      </c>
      <c r="E2604" t="str">
        <f>IFERROR(INDEX(tbl_input[집계키_지청],ROW()-1),"")</f>
        <v/>
      </c>
      <c r="F2604" t="str">
        <f t="shared" si="203"/>
        <v/>
      </c>
      <c r="G2604" t="str">
        <f t="shared" si="204"/>
        <v/>
      </c>
    </row>
    <row r="2605" spans="1:7" x14ac:dyDescent="0.4">
      <c r="A2605" t="str">
        <f t="shared" si="200"/>
        <v/>
      </c>
      <c r="B2605" t="str">
        <f t="shared" si="201"/>
        <v/>
      </c>
      <c r="C2605" t="str">
        <f t="shared" si="202"/>
        <v/>
      </c>
      <c r="D2605" t="str">
        <f>IF(E2605="","",IF(COUNTIF($E$2:E2605,E2605)&gt;1,"",SUMIFS(tbl_input[필요수량],tbl_input[집계키_지청],E2605)))</f>
        <v/>
      </c>
      <c r="E2605" t="str">
        <f>IFERROR(INDEX(tbl_input[집계키_지청],ROW()-1),"")</f>
        <v/>
      </c>
      <c r="F2605" t="str">
        <f t="shared" si="203"/>
        <v/>
      </c>
      <c r="G2605" t="str">
        <f t="shared" si="204"/>
        <v/>
      </c>
    </row>
    <row r="2606" spans="1:7" x14ac:dyDescent="0.4">
      <c r="A2606" t="str">
        <f t="shared" si="200"/>
        <v/>
      </c>
      <c r="B2606" t="str">
        <f t="shared" si="201"/>
        <v/>
      </c>
      <c r="C2606" t="str">
        <f t="shared" si="202"/>
        <v/>
      </c>
      <c r="D2606" t="str">
        <f>IF(E2606="","",IF(COUNTIF($E$2:E2606,E2606)&gt;1,"",SUMIFS(tbl_input[필요수량],tbl_input[집계키_지청],E2606)))</f>
        <v/>
      </c>
      <c r="E2606" t="str">
        <f>IFERROR(INDEX(tbl_input[집계키_지청],ROW()-1),"")</f>
        <v/>
      </c>
      <c r="F2606" t="str">
        <f t="shared" si="203"/>
        <v/>
      </c>
      <c r="G2606" t="str">
        <f t="shared" si="204"/>
        <v/>
      </c>
    </row>
    <row r="2607" spans="1:7" x14ac:dyDescent="0.4">
      <c r="A2607" t="str">
        <f t="shared" si="200"/>
        <v/>
      </c>
      <c r="B2607" t="str">
        <f t="shared" si="201"/>
        <v/>
      </c>
      <c r="C2607" t="str">
        <f t="shared" si="202"/>
        <v/>
      </c>
      <c r="D2607" t="str">
        <f>IF(E2607="","",IF(COUNTIF($E$2:E2607,E2607)&gt;1,"",SUMIFS(tbl_input[필요수량],tbl_input[집계키_지청],E2607)))</f>
        <v/>
      </c>
      <c r="E2607" t="str">
        <f>IFERROR(INDEX(tbl_input[집계키_지청],ROW()-1),"")</f>
        <v/>
      </c>
      <c r="F2607" t="str">
        <f t="shared" si="203"/>
        <v/>
      </c>
      <c r="G2607" t="str">
        <f t="shared" si="204"/>
        <v/>
      </c>
    </row>
    <row r="2608" spans="1:7" x14ac:dyDescent="0.4">
      <c r="A2608" t="str">
        <f t="shared" si="200"/>
        <v/>
      </c>
      <c r="B2608" t="str">
        <f t="shared" si="201"/>
        <v/>
      </c>
      <c r="C2608" t="str">
        <f t="shared" si="202"/>
        <v/>
      </c>
      <c r="D2608" t="str">
        <f>IF(E2608="","",IF(COUNTIF($E$2:E2608,E2608)&gt;1,"",SUMIFS(tbl_input[필요수량],tbl_input[집계키_지청],E2608)))</f>
        <v/>
      </c>
      <c r="E2608" t="str">
        <f>IFERROR(INDEX(tbl_input[집계키_지청],ROW()-1),"")</f>
        <v/>
      </c>
      <c r="F2608" t="str">
        <f t="shared" si="203"/>
        <v/>
      </c>
      <c r="G2608" t="str">
        <f t="shared" si="204"/>
        <v/>
      </c>
    </row>
    <row r="2609" spans="1:7" x14ac:dyDescent="0.4">
      <c r="A2609" t="str">
        <f t="shared" si="200"/>
        <v/>
      </c>
      <c r="B2609" t="str">
        <f t="shared" si="201"/>
        <v/>
      </c>
      <c r="C2609" t="str">
        <f t="shared" si="202"/>
        <v/>
      </c>
      <c r="D2609" t="str">
        <f>IF(E2609="","",IF(COUNTIF($E$2:E2609,E2609)&gt;1,"",SUMIFS(tbl_input[필요수량],tbl_input[집계키_지청],E2609)))</f>
        <v/>
      </c>
      <c r="E2609" t="str">
        <f>IFERROR(INDEX(tbl_input[집계키_지청],ROW()-1),"")</f>
        <v/>
      </c>
      <c r="F2609" t="str">
        <f t="shared" si="203"/>
        <v/>
      </c>
      <c r="G2609" t="str">
        <f t="shared" si="204"/>
        <v/>
      </c>
    </row>
    <row r="2610" spans="1:7" x14ac:dyDescent="0.4">
      <c r="A2610" t="str">
        <f t="shared" si="200"/>
        <v/>
      </c>
      <c r="B2610" t="str">
        <f t="shared" si="201"/>
        <v/>
      </c>
      <c r="C2610" t="str">
        <f t="shared" si="202"/>
        <v/>
      </c>
      <c r="D2610" t="str">
        <f>IF(E2610="","",IF(COUNTIF($E$2:E2610,E2610)&gt;1,"",SUMIFS(tbl_input[필요수량],tbl_input[집계키_지청],E2610)))</f>
        <v/>
      </c>
      <c r="E2610" t="str">
        <f>IFERROR(INDEX(tbl_input[집계키_지청],ROW()-1),"")</f>
        <v/>
      </c>
      <c r="F2610" t="str">
        <f t="shared" si="203"/>
        <v/>
      </c>
      <c r="G2610" t="str">
        <f t="shared" si="204"/>
        <v/>
      </c>
    </row>
    <row r="2611" spans="1:7" x14ac:dyDescent="0.4">
      <c r="A2611" t="str">
        <f t="shared" si="200"/>
        <v/>
      </c>
      <c r="B2611" t="str">
        <f t="shared" si="201"/>
        <v/>
      </c>
      <c r="C2611" t="str">
        <f t="shared" si="202"/>
        <v/>
      </c>
      <c r="D2611" t="str">
        <f>IF(E2611="","",IF(COUNTIF($E$2:E2611,E2611)&gt;1,"",SUMIFS(tbl_input[필요수량],tbl_input[집계키_지청],E2611)))</f>
        <v/>
      </c>
      <c r="E2611" t="str">
        <f>IFERROR(INDEX(tbl_input[집계키_지청],ROW()-1),"")</f>
        <v/>
      </c>
      <c r="F2611" t="str">
        <f t="shared" si="203"/>
        <v/>
      </c>
      <c r="G2611" t="str">
        <f t="shared" si="204"/>
        <v/>
      </c>
    </row>
    <row r="2612" spans="1:7" x14ac:dyDescent="0.4">
      <c r="A2612" t="str">
        <f t="shared" si="200"/>
        <v/>
      </c>
      <c r="B2612" t="str">
        <f t="shared" si="201"/>
        <v/>
      </c>
      <c r="C2612" t="str">
        <f t="shared" si="202"/>
        <v/>
      </c>
      <c r="D2612" t="str">
        <f>IF(E2612="","",IF(COUNTIF($E$2:E2612,E2612)&gt;1,"",SUMIFS(tbl_input[필요수량],tbl_input[집계키_지청],E2612)))</f>
        <v/>
      </c>
      <c r="E2612" t="str">
        <f>IFERROR(INDEX(tbl_input[집계키_지청],ROW()-1),"")</f>
        <v/>
      </c>
      <c r="F2612" t="str">
        <f t="shared" si="203"/>
        <v/>
      </c>
      <c r="G2612" t="str">
        <f t="shared" si="204"/>
        <v/>
      </c>
    </row>
    <row r="2613" spans="1:7" x14ac:dyDescent="0.4">
      <c r="A2613" t="str">
        <f t="shared" si="200"/>
        <v/>
      </c>
      <c r="B2613" t="str">
        <f t="shared" si="201"/>
        <v/>
      </c>
      <c r="C2613" t="str">
        <f t="shared" si="202"/>
        <v/>
      </c>
      <c r="D2613" t="str">
        <f>IF(E2613="","",IF(COUNTIF($E$2:E2613,E2613)&gt;1,"",SUMIFS(tbl_input[필요수량],tbl_input[집계키_지청],E2613)))</f>
        <v/>
      </c>
      <c r="E2613" t="str">
        <f>IFERROR(INDEX(tbl_input[집계키_지청],ROW()-1),"")</f>
        <v/>
      </c>
      <c r="F2613" t="str">
        <f t="shared" si="203"/>
        <v/>
      </c>
      <c r="G2613" t="str">
        <f t="shared" si="204"/>
        <v/>
      </c>
    </row>
    <row r="2614" spans="1:7" x14ac:dyDescent="0.4">
      <c r="A2614" t="str">
        <f t="shared" si="200"/>
        <v/>
      </c>
      <c r="B2614" t="str">
        <f t="shared" si="201"/>
        <v/>
      </c>
      <c r="C2614" t="str">
        <f t="shared" si="202"/>
        <v/>
      </c>
      <c r="D2614" t="str">
        <f>IF(E2614="","",IF(COUNTIF($E$2:E2614,E2614)&gt;1,"",SUMIFS(tbl_input[필요수량],tbl_input[집계키_지청],E2614)))</f>
        <v/>
      </c>
      <c r="E2614" t="str">
        <f>IFERROR(INDEX(tbl_input[집계키_지청],ROW()-1),"")</f>
        <v/>
      </c>
      <c r="F2614" t="str">
        <f t="shared" si="203"/>
        <v/>
      </c>
      <c r="G2614" t="str">
        <f t="shared" si="204"/>
        <v/>
      </c>
    </row>
    <row r="2615" spans="1:7" x14ac:dyDescent="0.4">
      <c r="A2615" t="str">
        <f t="shared" si="200"/>
        <v/>
      </c>
      <c r="B2615" t="str">
        <f t="shared" si="201"/>
        <v/>
      </c>
      <c r="C2615" t="str">
        <f t="shared" si="202"/>
        <v/>
      </c>
      <c r="D2615" t="str">
        <f>IF(E2615="","",IF(COUNTIF($E$2:E2615,E2615)&gt;1,"",SUMIFS(tbl_input[필요수량],tbl_input[집계키_지청],E2615)))</f>
        <v/>
      </c>
      <c r="E2615" t="str">
        <f>IFERROR(INDEX(tbl_input[집계키_지청],ROW()-1),"")</f>
        <v/>
      </c>
      <c r="F2615" t="str">
        <f t="shared" si="203"/>
        <v/>
      </c>
      <c r="G2615" t="str">
        <f t="shared" si="204"/>
        <v/>
      </c>
    </row>
    <row r="2616" spans="1:7" x14ac:dyDescent="0.4">
      <c r="A2616" t="str">
        <f t="shared" si="200"/>
        <v/>
      </c>
      <c r="B2616" t="str">
        <f t="shared" si="201"/>
        <v/>
      </c>
      <c r="C2616" t="str">
        <f t="shared" si="202"/>
        <v/>
      </c>
      <c r="D2616" t="str">
        <f>IF(E2616="","",IF(COUNTIF($E$2:E2616,E2616)&gt;1,"",SUMIFS(tbl_input[필요수량],tbl_input[집계키_지청],E2616)))</f>
        <v/>
      </c>
      <c r="E2616" t="str">
        <f>IFERROR(INDEX(tbl_input[집계키_지청],ROW()-1),"")</f>
        <v/>
      </c>
      <c r="F2616" t="str">
        <f t="shared" si="203"/>
        <v/>
      </c>
      <c r="G2616" t="str">
        <f t="shared" si="204"/>
        <v/>
      </c>
    </row>
    <row r="2617" spans="1:7" x14ac:dyDescent="0.4">
      <c r="A2617" t="str">
        <f t="shared" si="200"/>
        <v/>
      </c>
      <c r="B2617" t="str">
        <f t="shared" si="201"/>
        <v/>
      </c>
      <c r="C2617" t="str">
        <f t="shared" si="202"/>
        <v/>
      </c>
      <c r="D2617" t="str">
        <f>IF(E2617="","",IF(COUNTIF($E$2:E2617,E2617)&gt;1,"",SUMIFS(tbl_input[필요수량],tbl_input[집계키_지청],E2617)))</f>
        <v/>
      </c>
      <c r="E2617" t="str">
        <f>IFERROR(INDEX(tbl_input[집계키_지청],ROW()-1),"")</f>
        <v/>
      </c>
      <c r="F2617" t="str">
        <f t="shared" si="203"/>
        <v/>
      </c>
      <c r="G2617" t="str">
        <f t="shared" si="204"/>
        <v/>
      </c>
    </row>
    <row r="2618" spans="1:7" x14ac:dyDescent="0.4">
      <c r="A2618" t="str">
        <f t="shared" si="200"/>
        <v/>
      </c>
      <c r="B2618" t="str">
        <f t="shared" si="201"/>
        <v/>
      </c>
      <c r="C2618" t="str">
        <f t="shared" si="202"/>
        <v/>
      </c>
      <c r="D2618" t="str">
        <f>IF(E2618="","",IF(COUNTIF($E$2:E2618,E2618)&gt;1,"",SUMIFS(tbl_input[필요수량],tbl_input[집계키_지청],E2618)))</f>
        <v/>
      </c>
      <c r="E2618" t="str">
        <f>IFERROR(INDEX(tbl_input[집계키_지청],ROW()-1),"")</f>
        <v/>
      </c>
      <c r="F2618" t="str">
        <f t="shared" si="203"/>
        <v/>
      </c>
      <c r="G2618" t="str">
        <f t="shared" si="204"/>
        <v/>
      </c>
    </row>
    <row r="2619" spans="1:7" x14ac:dyDescent="0.4">
      <c r="A2619" t="str">
        <f t="shared" si="200"/>
        <v/>
      </c>
      <c r="B2619" t="str">
        <f t="shared" si="201"/>
        <v/>
      </c>
      <c r="C2619" t="str">
        <f t="shared" si="202"/>
        <v/>
      </c>
      <c r="D2619" t="str">
        <f>IF(E2619="","",IF(COUNTIF($E$2:E2619,E2619)&gt;1,"",SUMIFS(tbl_input[필요수량],tbl_input[집계키_지청],E2619)))</f>
        <v/>
      </c>
      <c r="E2619" t="str">
        <f>IFERROR(INDEX(tbl_input[집계키_지청],ROW()-1),"")</f>
        <v/>
      </c>
      <c r="F2619" t="str">
        <f t="shared" si="203"/>
        <v/>
      </c>
      <c r="G2619" t="str">
        <f t="shared" si="204"/>
        <v/>
      </c>
    </row>
    <row r="2620" spans="1:7" x14ac:dyDescent="0.4">
      <c r="A2620" t="str">
        <f t="shared" si="200"/>
        <v/>
      </c>
      <c r="B2620" t="str">
        <f t="shared" si="201"/>
        <v/>
      </c>
      <c r="C2620" t="str">
        <f t="shared" si="202"/>
        <v/>
      </c>
      <c r="D2620" t="str">
        <f>IF(E2620="","",IF(COUNTIF($E$2:E2620,E2620)&gt;1,"",SUMIFS(tbl_input[필요수량],tbl_input[집계키_지청],E2620)))</f>
        <v/>
      </c>
      <c r="E2620" t="str">
        <f>IFERROR(INDEX(tbl_input[집계키_지청],ROW()-1),"")</f>
        <v/>
      </c>
      <c r="F2620" t="str">
        <f t="shared" si="203"/>
        <v/>
      </c>
      <c r="G2620" t="str">
        <f t="shared" si="204"/>
        <v/>
      </c>
    </row>
    <row r="2621" spans="1:7" x14ac:dyDescent="0.4">
      <c r="A2621" t="str">
        <f t="shared" si="200"/>
        <v/>
      </c>
      <c r="B2621" t="str">
        <f t="shared" si="201"/>
        <v/>
      </c>
      <c r="C2621" t="str">
        <f t="shared" si="202"/>
        <v/>
      </c>
      <c r="D2621" t="str">
        <f>IF(E2621="","",IF(COUNTIF($E$2:E2621,E2621)&gt;1,"",SUMIFS(tbl_input[필요수량],tbl_input[집계키_지청],E2621)))</f>
        <v/>
      </c>
      <c r="E2621" t="str">
        <f>IFERROR(INDEX(tbl_input[집계키_지청],ROW()-1),"")</f>
        <v/>
      </c>
      <c r="F2621" t="str">
        <f t="shared" si="203"/>
        <v/>
      </c>
      <c r="G2621" t="str">
        <f t="shared" si="204"/>
        <v/>
      </c>
    </row>
    <row r="2622" spans="1:7" x14ac:dyDescent="0.4">
      <c r="A2622" t="str">
        <f t="shared" si="200"/>
        <v/>
      </c>
      <c r="B2622" t="str">
        <f t="shared" si="201"/>
        <v/>
      </c>
      <c r="C2622" t="str">
        <f t="shared" si="202"/>
        <v/>
      </c>
      <c r="D2622" t="str">
        <f>IF(E2622="","",IF(COUNTIF($E$2:E2622,E2622)&gt;1,"",SUMIFS(tbl_input[필요수량],tbl_input[집계키_지청],E2622)))</f>
        <v/>
      </c>
      <c r="E2622" t="str">
        <f>IFERROR(INDEX(tbl_input[집계키_지청],ROW()-1),"")</f>
        <v/>
      </c>
      <c r="F2622" t="str">
        <f t="shared" si="203"/>
        <v/>
      </c>
      <c r="G2622" t="str">
        <f t="shared" si="204"/>
        <v/>
      </c>
    </row>
    <row r="2623" spans="1:7" x14ac:dyDescent="0.4">
      <c r="A2623" t="str">
        <f t="shared" si="200"/>
        <v/>
      </c>
      <c r="B2623" t="str">
        <f t="shared" si="201"/>
        <v/>
      </c>
      <c r="C2623" t="str">
        <f t="shared" si="202"/>
        <v/>
      </c>
      <c r="D2623" t="str">
        <f>IF(E2623="","",IF(COUNTIF($E$2:E2623,E2623)&gt;1,"",SUMIFS(tbl_input[필요수량],tbl_input[집계키_지청],E2623)))</f>
        <v/>
      </c>
      <c r="E2623" t="str">
        <f>IFERROR(INDEX(tbl_input[집계키_지청],ROW()-1),"")</f>
        <v/>
      </c>
      <c r="F2623" t="str">
        <f t="shared" si="203"/>
        <v/>
      </c>
      <c r="G2623" t="str">
        <f t="shared" si="204"/>
        <v/>
      </c>
    </row>
    <row r="2624" spans="1:7" x14ac:dyDescent="0.4">
      <c r="A2624" t="str">
        <f t="shared" si="200"/>
        <v/>
      </c>
      <c r="B2624" t="str">
        <f t="shared" si="201"/>
        <v/>
      </c>
      <c r="C2624" t="str">
        <f t="shared" si="202"/>
        <v/>
      </c>
      <c r="D2624" t="str">
        <f>IF(E2624="","",IF(COUNTIF($E$2:E2624,E2624)&gt;1,"",SUMIFS(tbl_input[필요수량],tbl_input[집계키_지청],E2624)))</f>
        <v/>
      </c>
      <c r="E2624" t="str">
        <f>IFERROR(INDEX(tbl_input[집계키_지청],ROW()-1),"")</f>
        <v/>
      </c>
      <c r="F2624" t="str">
        <f t="shared" si="203"/>
        <v/>
      </c>
      <c r="G2624" t="str">
        <f t="shared" si="204"/>
        <v/>
      </c>
    </row>
    <row r="2625" spans="1:7" x14ac:dyDescent="0.4">
      <c r="A2625" t="str">
        <f t="shared" si="200"/>
        <v/>
      </c>
      <c r="B2625" t="str">
        <f t="shared" si="201"/>
        <v/>
      </c>
      <c r="C2625" t="str">
        <f t="shared" si="202"/>
        <v/>
      </c>
      <c r="D2625" t="str">
        <f>IF(E2625="","",IF(COUNTIF($E$2:E2625,E2625)&gt;1,"",SUMIFS(tbl_input[필요수량],tbl_input[집계키_지청],E2625)))</f>
        <v/>
      </c>
      <c r="E2625" t="str">
        <f>IFERROR(INDEX(tbl_input[집계키_지청],ROW()-1),"")</f>
        <v/>
      </c>
      <c r="F2625" t="str">
        <f t="shared" si="203"/>
        <v/>
      </c>
      <c r="G2625" t="str">
        <f t="shared" si="204"/>
        <v/>
      </c>
    </row>
    <row r="2626" spans="1:7" x14ac:dyDescent="0.4">
      <c r="A2626" t="str">
        <f t="shared" ref="A2626:A2689" si="205">IF(E2626="","",LEFT(E2626,F2626-1))</f>
        <v/>
      </c>
      <c r="B2626" t="str">
        <f t="shared" ref="B2626:B2689" si="206">IF(E2626="","",MID(E2626,F2626+1,G2626-F2626-1))</f>
        <v/>
      </c>
      <c r="C2626" t="str">
        <f t="shared" ref="C2626:C2689" si="207">IF(E2626="","",MID(E2626,G2626+1,999))</f>
        <v/>
      </c>
      <c r="D2626" t="str">
        <f>IF(E2626="","",IF(COUNTIF($E$2:E2626,E2626)&gt;1,"",SUMIFS(tbl_input[필요수량],tbl_input[집계키_지청],E2626)))</f>
        <v/>
      </c>
      <c r="E2626" t="str">
        <f>IFERROR(INDEX(tbl_input[집계키_지청],ROW()-1),"")</f>
        <v/>
      </c>
      <c r="F2626" t="str">
        <f t="shared" ref="F2626:F2689" si="208">IF(E2626="","",FIND("♦",E2626))</f>
        <v/>
      </c>
      <c r="G2626" t="str">
        <f t="shared" ref="G2626:G2689" si="209">IF(E2626="","",FIND("♦",E2626,F2626+1))</f>
        <v/>
      </c>
    </row>
    <row r="2627" spans="1:7" x14ac:dyDescent="0.4">
      <c r="A2627" t="str">
        <f t="shared" si="205"/>
        <v/>
      </c>
      <c r="B2627" t="str">
        <f t="shared" si="206"/>
        <v/>
      </c>
      <c r="C2627" t="str">
        <f t="shared" si="207"/>
        <v/>
      </c>
      <c r="D2627" t="str">
        <f>IF(E2627="","",IF(COUNTIF($E$2:E2627,E2627)&gt;1,"",SUMIFS(tbl_input[필요수량],tbl_input[집계키_지청],E2627)))</f>
        <v/>
      </c>
      <c r="E2627" t="str">
        <f>IFERROR(INDEX(tbl_input[집계키_지청],ROW()-1),"")</f>
        <v/>
      </c>
      <c r="F2627" t="str">
        <f t="shared" si="208"/>
        <v/>
      </c>
      <c r="G2627" t="str">
        <f t="shared" si="209"/>
        <v/>
      </c>
    </row>
    <row r="2628" spans="1:7" x14ac:dyDescent="0.4">
      <c r="A2628" t="str">
        <f t="shared" si="205"/>
        <v/>
      </c>
      <c r="B2628" t="str">
        <f t="shared" si="206"/>
        <v/>
      </c>
      <c r="C2628" t="str">
        <f t="shared" si="207"/>
        <v/>
      </c>
      <c r="D2628" t="str">
        <f>IF(E2628="","",IF(COUNTIF($E$2:E2628,E2628)&gt;1,"",SUMIFS(tbl_input[필요수량],tbl_input[집계키_지청],E2628)))</f>
        <v/>
      </c>
      <c r="E2628" t="str">
        <f>IFERROR(INDEX(tbl_input[집계키_지청],ROW()-1),"")</f>
        <v/>
      </c>
      <c r="F2628" t="str">
        <f t="shared" si="208"/>
        <v/>
      </c>
      <c r="G2628" t="str">
        <f t="shared" si="209"/>
        <v/>
      </c>
    </row>
    <row r="2629" spans="1:7" x14ac:dyDescent="0.4">
      <c r="A2629" t="str">
        <f t="shared" si="205"/>
        <v/>
      </c>
      <c r="B2629" t="str">
        <f t="shared" si="206"/>
        <v/>
      </c>
      <c r="C2629" t="str">
        <f t="shared" si="207"/>
        <v/>
      </c>
      <c r="D2629" t="str">
        <f>IF(E2629="","",IF(COUNTIF($E$2:E2629,E2629)&gt;1,"",SUMIFS(tbl_input[필요수량],tbl_input[집계키_지청],E2629)))</f>
        <v/>
      </c>
      <c r="E2629" t="str">
        <f>IFERROR(INDEX(tbl_input[집계키_지청],ROW()-1),"")</f>
        <v/>
      </c>
      <c r="F2629" t="str">
        <f t="shared" si="208"/>
        <v/>
      </c>
      <c r="G2629" t="str">
        <f t="shared" si="209"/>
        <v/>
      </c>
    </row>
    <row r="2630" spans="1:7" x14ac:dyDescent="0.4">
      <c r="A2630" t="str">
        <f t="shared" si="205"/>
        <v/>
      </c>
      <c r="B2630" t="str">
        <f t="shared" si="206"/>
        <v/>
      </c>
      <c r="C2630" t="str">
        <f t="shared" si="207"/>
        <v/>
      </c>
      <c r="D2630" t="str">
        <f>IF(E2630="","",IF(COUNTIF($E$2:E2630,E2630)&gt;1,"",SUMIFS(tbl_input[필요수량],tbl_input[집계키_지청],E2630)))</f>
        <v/>
      </c>
      <c r="E2630" t="str">
        <f>IFERROR(INDEX(tbl_input[집계키_지청],ROW()-1),"")</f>
        <v/>
      </c>
      <c r="F2630" t="str">
        <f t="shared" si="208"/>
        <v/>
      </c>
      <c r="G2630" t="str">
        <f t="shared" si="209"/>
        <v/>
      </c>
    </row>
    <row r="2631" spans="1:7" x14ac:dyDescent="0.4">
      <c r="A2631" t="str">
        <f t="shared" si="205"/>
        <v/>
      </c>
      <c r="B2631" t="str">
        <f t="shared" si="206"/>
        <v/>
      </c>
      <c r="C2631" t="str">
        <f t="shared" si="207"/>
        <v/>
      </c>
      <c r="D2631" t="str">
        <f>IF(E2631="","",IF(COUNTIF($E$2:E2631,E2631)&gt;1,"",SUMIFS(tbl_input[필요수량],tbl_input[집계키_지청],E2631)))</f>
        <v/>
      </c>
      <c r="E2631" t="str">
        <f>IFERROR(INDEX(tbl_input[집계키_지청],ROW()-1),"")</f>
        <v/>
      </c>
      <c r="F2631" t="str">
        <f t="shared" si="208"/>
        <v/>
      </c>
      <c r="G2631" t="str">
        <f t="shared" si="209"/>
        <v/>
      </c>
    </row>
    <row r="2632" spans="1:7" x14ac:dyDescent="0.4">
      <c r="A2632" t="str">
        <f t="shared" si="205"/>
        <v/>
      </c>
      <c r="B2632" t="str">
        <f t="shared" si="206"/>
        <v/>
      </c>
      <c r="C2632" t="str">
        <f t="shared" si="207"/>
        <v/>
      </c>
      <c r="D2632" t="str">
        <f>IF(E2632="","",IF(COUNTIF($E$2:E2632,E2632)&gt;1,"",SUMIFS(tbl_input[필요수량],tbl_input[집계키_지청],E2632)))</f>
        <v/>
      </c>
      <c r="E2632" t="str">
        <f>IFERROR(INDEX(tbl_input[집계키_지청],ROW()-1),"")</f>
        <v/>
      </c>
      <c r="F2632" t="str">
        <f t="shared" si="208"/>
        <v/>
      </c>
      <c r="G2632" t="str">
        <f t="shared" si="209"/>
        <v/>
      </c>
    </row>
    <row r="2633" spans="1:7" x14ac:dyDescent="0.4">
      <c r="A2633" t="str">
        <f t="shared" si="205"/>
        <v/>
      </c>
      <c r="B2633" t="str">
        <f t="shared" si="206"/>
        <v/>
      </c>
      <c r="C2633" t="str">
        <f t="shared" si="207"/>
        <v/>
      </c>
      <c r="D2633" t="str">
        <f>IF(E2633="","",IF(COUNTIF($E$2:E2633,E2633)&gt;1,"",SUMIFS(tbl_input[필요수량],tbl_input[집계키_지청],E2633)))</f>
        <v/>
      </c>
      <c r="E2633" t="str">
        <f>IFERROR(INDEX(tbl_input[집계키_지청],ROW()-1),"")</f>
        <v/>
      </c>
      <c r="F2633" t="str">
        <f t="shared" si="208"/>
        <v/>
      </c>
      <c r="G2633" t="str">
        <f t="shared" si="209"/>
        <v/>
      </c>
    </row>
    <row r="2634" spans="1:7" x14ac:dyDescent="0.4">
      <c r="A2634" t="str">
        <f t="shared" si="205"/>
        <v/>
      </c>
      <c r="B2634" t="str">
        <f t="shared" si="206"/>
        <v/>
      </c>
      <c r="C2634" t="str">
        <f t="shared" si="207"/>
        <v/>
      </c>
      <c r="D2634" t="str">
        <f>IF(E2634="","",IF(COUNTIF($E$2:E2634,E2634)&gt;1,"",SUMIFS(tbl_input[필요수량],tbl_input[집계키_지청],E2634)))</f>
        <v/>
      </c>
      <c r="E2634" t="str">
        <f>IFERROR(INDEX(tbl_input[집계키_지청],ROW()-1),"")</f>
        <v/>
      </c>
      <c r="F2634" t="str">
        <f t="shared" si="208"/>
        <v/>
      </c>
      <c r="G2634" t="str">
        <f t="shared" si="209"/>
        <v/>
      </c>
    </row>
    <row r="2635" spans="1:7" x14ac:dyDescent="0.4">
      <c r="A2635" t="str">
        <f t="shared" si="205"/>
        <v/>
      </c>
      <c r="B2635" t="str">
        <f t="shared" si="206"/>
        <v/>
      </c>
      <c r="C2635" t="str">
        <f t="shared" si="207"/>
        <v/>
      </c>
      <c r="D2635" t="str">
        <f>IF(E2635="","",IF(COUNTIF($E$2:E2635,E2635)&gt;1,"",SUMIFS(tbl_input[필요수량],tbl_input[집계키_지청],E2635)))</f>
        <v/>
      </c>
      <c r="E2635" t="str">
        <f>IFERROR(INDEX(tbl_input[집계키_지청],ROW()-1),"")</f>
        <v/>
      </c>
      <c r="F2635" t="str">
        <f t="shared" si="208"/>
        <v/>
      </c>
      <c r="G2635" t="str">
        <f t="shared" si="209"/>
        <v/>
      </c>
    </row>
    <row r="2636" spans="1:7" x14ac:dyDescent="0.4">
      <c r="A2636" t="str">
        <f t="shared" si="205"/>
        <v/>
      </c>
      <c r="B2636" t="str">
        <f t="shared" si="206"/>
        <v/>
      </c>
      <c r="C2636" t="str">
        <f t="shared" si="207"/>
        <v/>
      </c>
      <c r="D2636" t="str">
        <f>IF(E2636="","",IF(COUNTIF($E$2:E2636,E2636)&gt;1,"",SUMIFS(tbl_input[필요수량],tbl_input[집계키_지청],E2636)))</f>
        <v/>
      </c>
      <c r="E2636" t="str">
        <f>IFERROR(INDEX(tbl_input[집계키_지청],ROW()-1),"")</f>
        <v/>
      </c>
      <c r="F2636" t="str">
        <f t="shared" si="208"/>
        <v/>
      </c>
      <c r="G2636" t="str">
        <f t="shared" si="209"/>
        <v/>
      </c>
    </row>
    <row r="2637" spans="1:7" x14ac:dyDescent="0.4">
      <c r="A2637" t="str">
        <f t="shared" si="205"/>
        <v/>
      </c>
      <c r="B2637" t="str">
        <f t="shared" si="206"/>
        <v/>
      </c>
      <c r="C2637" t="str">
        <f t="shared" si="207"/>
        <v/>
      </c>
      <c r="D2637" t="str">
        <f>IF(E2637="","",IF(COUNTIF($E$2:E2637,E2637)&gt;1,"",SUMIFS(tbl_input[필요수량],tbl_input[집계키_지청],E2637)))</f>
        <v/>
      </c>
      <c r="E2637" t="str">
        <f>IFERROR(INDEX(tbl_input[집계키_지청],ROW()-1),"")</f>
        <v/>
      </c>
      <c r="F2637" t="str">
        <f t="shared" si="208"/>
        <v/>
      </c>
      <c r="G2637" t="str">
        <f t="shared" si="209"/>
        <v/>
      </c>
    </row>
    <row r="2638" spans="1:7" x14ac:dyDescent="0.4">
      <c r="A2638" t="str">
        <f t="shared" si="205"/>
        <v/>
      </c>
      <c r="B2638" t="str">
        <f t="shared" si="206"/>
        <v/>
      </c>
      <c r="C2638" t="str">
        <f t="shared" si="207"/>
        <v/>
      </c>
      <c r="D2638" t="str">
        <f>IF(E2638="","",IF(COUNTIF($E$2:E2638,E2638)&gt;1,"",SUMIFS(tbl_input[필요수량],tbl_input[집계키_지청],E2638)))</f>
        <v/>
      </c>
      <c r="E2638" t="str">
        <f>IFERROR(INDEX(tbl_input[집계키_지청],ROW()-1),"")</f>
        <v/>
      </c>
      <c r="F2638" t="str">
        <f t="shared" si="208"/>
        <v/>
      </c>
      <c r="G2638" t="str">
        <f t="shared" si="209"/>
        <v/>
      </c>
    </row>
    <row r="2639" spans="1:7" x14ac:dyDescent="0.4">
      <c r="A2639" t="str">
        <f t="shared" si="205"/>
        <v/>
      </c>
      <c r="B2639" t="str">
        <f t="shared" si="206"/>
        <v/>
      </c>
      <c r="C2639" t="str">
        <f t="shared" si="207"/>
        <v/>
      </c>
      <c r="D2639" t="str">
        <f>IF(E2639="","",IF(COUNTIF($E$2:E2639,E2639)&gt;1,"",SUMIFS(tbl_input[필요수량],tbl_input[집계키_지청],E2639)))</f>
        <v/>
      </c>
      <c r="E2639" t="str">
        <f>IFERROR(INDEX(tbl_input[집계키_지청],ROW()-1),"")</f>
        <v/>
      </c>
      <c r="F2639" t="str">
        <f t="shared" si="208"/>
        <v/>
      </c>
      <c r="G2639" t="str">
        <f t="shared" si="209"/>
        <v/>
      </c>
    </row>
    <row r="2640" spans="1:7" x14ac:dyDescent="0.4">
      <c r="A2640" t="str">
        <f t="shared" si="205"/>
        <v/>
      </c>
      <c r="B2640" t="str">
        <f t="shared" si="206"/>
        <v/>
      </c>
      <c r="C2640" t="str">
        <f t="shared" si="207"/>
        <v/>
      </c>
      <c r="D2640" t="str">
        <f>IF(E2640="","",IF(COUNTIF($E$2:E2640,E2640)&gt;1,"",SUMIFS(tbl_input[필요수량],tbl_input[집계키_지청],E2640)))</f>
        <v/>
      </c>
      <c r="E2640" t="str">
        <f>IFERROR(INDEX(tbl_input[집계키_지청],ROW()-1),"")</f>
        <v/>
      </c>
      <c r="F2640" t="str">
        <f t="shared" si="208"/>
        <v/>
      </c>
      <c r="G2640" t="str">
        <f t="shared" si="209"/>
        <v/>
      </c>
    </row>
    <row r="2641" spans="1:7" x14ac:dyDescent="0.4">
      <c r="A2641" t="str">
        <f t="shared" si="205"/>
        <v/>
      </c>
      <c r="B2641" t="str">
        <f t="shared" si="206"/>
        <v/>
      </c>
      <c r="C2641" t="str">
        <f t="shared" si="207"/>
        <v/>
      </c>
      <c r="D2641" t="str">
        <f>IF(E2641="","",IF(COUNTIF($E$2:E2641,E2641)&gt;1,"",SUMIFS(tbl_input[필요수량],tbl_input[집계키_지청],E2641)))</f>
        <v/>
      </c>
      <c r="E2641" t="str">
        <f>IFERROR(INDEX(tbl_input[집계키_지청],ROW()-1),"")</f>
        <v/>
      </c>
      <c r="F2641" t="str">
        <f t="shared" si="208"/>
        <v/>
      </c>
      <c r="G2641" t="str">
        <f t="shared" si="209"/>
        <v/>
      </c>
    </row>
    <row r="2642" spans="1:7" x14ac:dyDescent="0.4">
      <c r="A2642" t="str">
        <f t="shared" si="205"/>
        <v/>
      </c>
      <c r="B2642" t="str">
        <f t="shared" si="206"/>
        <v/>
      </c>
      <c r="C2642" t="str">
        <f t="shared" si="207"/>
        <v/>
      </c>
      <c r="D2642" t="str">
        <f>IF(E2642="","",IF(COUNTIF($E$2:E2642,E2642)&gt;1,"",SUMIFS(tbl_input[필요수량],tbl_input[집계키_지청],E2642)))</f>
        <v/>
      </c>
      <c r="E2642" t="str">
        <f>IFERROR(INDEX(tbl_input[집계키_지청],ROW()-1),"")</f>
        <v/>
      </c>
      <c r="F2642" t="str">
        <f t="shared" si="208"/>
        <v/>
      </c>
      <c r="G2642" t="str">
        <f t="shared" si="209"/>
        <v/>
      </c>
    </row>
    <row r="2643" spans="1:7" x14ac:dyDescent="0.4">
      <c r="A2643" t="str">
        <f t="shared" si="205"/>
        <v/>
      </c>
      <c r="B2643" t="str">
        <f t="shared" si="206"/>
        <v/>
      </c>
      <c r="C2643" t="str">
        <f t="shared" si="207"/>
        <v/>
      </c>
      <c r="D2643" t="str">
        <f>IF(E2643="","",IF(COUNTIF($E$2:E2643,E2643)&gt;1,"",SUMIFS(tbl_input[필요수량],tbl_input[집계키_지청],E2643)))</f>
        <v/>
      </c>
      <c r="E2643" t="str">
        <f>IFERROR(INDEX(tbl_input[집계키_지청],ROW()-1),"")</f>
        <v/>
      </c>
      <c r="F2643" t="str">
        <f t="shared" si="208"/>
        <v/>
      </c>
      <c r="G2643" t="str">
        <f t="shared" si="209"/>
        <v/>
      </c>
    </row>
    <row r="2644" spans="1:7" x14ac:dyDescent="0.4">
      <c r="A2644" t="str">
        <f t="shared" si="205"/>
        <v/>
      </c>
      <c r="B2644" t="str">
        <f t="shared" si="206"/>
        <v/>
      </c>
      <c r="C2644" t="str">
        <f t="shared" si="207"/>
        <v/>
      </c>
      <c r="D2644" t="str">
        <f>IF(E2644="","",IF(COUNTIF($E$2:E2644,E2644)&gt;1,"",SUMIFS(tbl_input[필요수량],tbl_input[집계키_지청],E2644)))</f>
        <v/>
      </c>
      <c r="E2644" t="str">
        <f>IFERROR(INDEX(tbl_input[집계키_지청],ROW()-1),"")</f>
        <v/>
      </c>
      <c r="F2644" t="str">
        <f t="shared" si="208"/>
        <v/>
      </c>
      <c r="G2644" t="str">
        <f t="shared" si="209"/>
        <v/>
      </c>
    </row>
    <row r="2645" spans="1:7" x14ac:dyDescent="0.4">
      <c r="A2645" t="str">
        <f t="shared" si="205"/>
        <v/>
      </c>
      <c r="B2645" t="str">
        <f t="shared" si="206"/>
        <v/>
      </c>
      <c r="C2645" t="str">
        <f t="shared" si="207"/>
        <v/>
      </c>
      <c r="D2645" t="str">
        <f>IF(E2645="","",IF(COUNTIF($E$2:E2645,E2645)&gt;1,"",SUMIFS(tbl_input[필요수량],tbl_input[집계키_지청],E2645)))</f>
        <v/>
      </c>
      <c r="E2645" t="str">
        <f>IFERROR(INDEX(tbl_input[집계키_지청],ROW()-1),"")</f>
        <v/>
      </c>
      <c r="F2645" t="str">
        <f t="shared" si="208"/>
        <v/>
      </c>
      <c r="G2645" t="str">
        <f t="shared" si="209"/>
        <v/>
      </c>
    </row>
    <row r="2646" spans="1:7" x14ac:dyDescent="0.4">
      <c r="A2646" t="str">
        <f t="shared" si="205"/>
        <v/>
      </c>
      <c r="B2646" t="str">
        <f t="shared" si="206"/>
        <v/>
      </c>
      <c r="C2646" t="str">
        <f t="shared" si="207"/>
        <v/>
      </c>
      <c r="D2646" t="str">
        <f>IF(E2646="","",IF(COUNTIF($E$2:E2646,E2646)&gt;1,"",SUMIFS(tbl_input[필요수량],tbl_input[집계키_지청],E2646)))</f>
        <v/>
      </c>
      <c r="E2646" t="str">
        <f>IFERROR(INDEX(tbl_input[집계키_지청],ROW()-1),"")</f>
        <v/>
      </c>
      <c r="F2646" t="str">
        <f t="shared" si="208"/>
        <v/>
      </c>
      <c r="G2646" t="str">
        <f t="shared" si="209"/>
        <v/>
      </c>
    </row>
    <row r="2647" spans="1:7" x14ac:dyDescent="0.4">
      <c r="A2647" t="str">
        <f t="shared" si="205"/>
        <v/>
      </c>
      <c r="B2647" t="str">
        <f t="shared" si="206"/>
        <v/>
      </c>
      <c r="C2647" t="str">
        <f t="shared" si="207"/>
        <v/>
      </c>
      <c r="D2647" t="str">
        <f>IF(E2647="","",IF(COUNTIF($E$2:E2647,E2647)&gt;1,"",SUMIFS(tbl_input[필요수량],tbl_input[집계키_지청],E2647)))</f>
        <v/>
      </c>
      <c r="E2647" t="str">
        <f>IFERROR(INDEX(tbl_input[집계키_지청],ROW()-1),"")</f>
        <v/>
      </c>
      <c r="F2647" t="str">
        <f t="shared" si="208"/>
        <v/>
      </c>
      <c r="G2647" t="str">
        <f t="shared" si="209"/>
        <v/>
      </c>
    </row>
    <row r="2648" spans="1:7" x14ac:dyDescent="0.4">
      <c r="A2648" t="str">
        <f t="shared" si="205"/>
        <v/>
      </c>
      <c r="B2648" t="str">
        <f t="shared" si="206"/>
        <v/>
      </c>
      <c r="C2648" t="str">
        <f t="shared" si="207"/>
        <v/>
      </c>
      <c r="D2648" t="str">
        <f>IF(E2648="","",IF(COUNTIF($E$2:E2648,E2648)&gt;1,"",SUMIFS(tbl_input[필요수량],tbl_input[집계키_지청],E2648)))</f>
        <v/>
      </c>
      <c r="E2648" t="str">
        <f>IFERROR(INDEX(tbl_input[집계키_지청],ROW()-1),"")</f>
        <v/>
      </c>
      <c r="F2648" t="str">
        <f t="shared" si="208"/>
        <v/>
      </c>
      <c r="G2648" t="str">
        <f t="shared" si="209"/>
        <v/>
      </c>
    </row>
    <row r="2649" spans="1:7" x14ac:dyDescent="0.4">
      <c r="A2649" t="str">
        <f t="shared" si="205"/>
        <v/>
      </c>
      <c r="B2649" t="str">
        <f t="shared" si="206"/>
        <v/>
      </c>
      <c r="C2649" t="str">
        <f t="shared" si="207"/>
        <v/>
      </c>
      <c r="D2649" t="str">
        <f>IF(E2649="","",IF(COUNTIF($E$2:E2649,E2649)&gt;1,"",SUMIFS(tbl_input[필요수량],tbl_input[집계키_지청],E2649)))</f>
        <v/>
      </c>
      <c r="E2649" t="str">
        <f>IFERROR(INDEX(tbl_input[집계키_지청],ROW()-1),"")</f>
        <v/>
      </c>
      <c r="F2649" t="str">
        <f t="shared" si="208"/>
        <v/>
      </c>
      <c r="G2649" t="str">
        <f t="shared" si="209"/>
        <v/>
      </c>
    </row>
    <row r="2650" spans="1:7" x14ac:dyDescent="0.4">
      <c r="A2650" t="str">
        <f t="shared" si="205"/>
        <v/>
      </c>
      <c r="B2650" t="str">
        <f t="shared" si="206"/>
        <v/>
      </c>
      <c r="C2650" t="str">
        <f t="shared" si="207"/>
        <v/>
      </c>
      <c r="D2650" t="str">
        <f>IF(E2650="","",IF(COUNTIF($E$2:E2650,E2650)&gt;1,"",SUMIFS(tbl_input[필요수량],tbl_input[집계키_지청],E2650)))</f>
        <v/>
      </c>
      <c r="E2650" t="str">
        <f>IFERROR(INDEX(tbl_input[집계키_지청],ROW()-1),"")</f>
        <v/>
      </c>
      <c r="F2650" t="str">
        <f t="shared" si="208"/>
        <v/>
      </c>
      <c r="G2650" t="str">
        <f t="shared" si="209"/>
        <v/>
      </c>
    </row>
    <row r="2651" spans="1:7" x14ac:dyDescent="0.4">
      <c r="A2651" t="str">
        <f t="shared" si="205"/>
        <v/>
      </c>
      <c r="B2651" t="str">
        <f t="shared" si="206"/>
        <v/>
      </c>
      <c r="C2651" t="str">
        <f t="shared" si="207"/>
        <v/>
      </c>
      <c r="D2651" t="str">
        <f>IF(E2651="","",IF(COUNTIF($E$2:E2651,E2651)&gt;1,"",SUMIFS(tbl_input[필요수량],tbl_input[집계키_지청],E2651)))</f>
        <v/>
      </c>
      <c r="E2651" t="str">
        <f>IFERROR(INDEX(tbl_input[집계키_지청],ROW()-1),"")</f>
        <v/>
      </c>
      <c r="F2651" t="str">
        <f t="shared" si="208"/>
        <v/>
      </c>
      <c r="G2651" t="str">
        <f t="shared" si="209"/>
        <v/>
      </c>
    </row>
    <row r="2652" spans="1:7" x14ac:dyDescent="0.4">
      <c r="A2652" t="str">
        <f t="shared" si="205"/>
        <v/>
      </c>
      <c r="B2652" t="str">
        <f t="shared" si="206"/>
        <v/>
      </c>
      <c r="C2652" t="str">
        <f t="shared" si="207"/>
        <v/>
      </c>
      <c r="D2652" t="str">
        <f>IF(E2652="","",IF(COUNTIF($E$2:E2652,E2652)&gt;1,"",SUMIFS(tbl_input[필요수량],tbl_input[집계키_지청],E2652)))</f>
        <v/>
      </c>
      <c r="E2652" t="str">
        <f>IFERROR(INDEX(tbl_input[집계키_지청],ROW()-1),"")</f>
        <v/>
      </c>
      <c r="F2652" t="str">
        <f t="shared" si="208"/>
        <v/>
      </c>
      <c r="G2652" t="str">
        <f t="shared" si="209"/>
        <v/>
      </c>
    </row>
    <row r="2653" spans="1:7" x14ac:dyDescent="0.4">
      <c r="A2653" t="str">
        <f t="shared" si="205"/>
        <v/>
      </c>
      <c r="B2653" t="str">
        <f t="shared" si="206"/>
        <v/>
      </c>
      <c r="C2653" t="str">
        <f t="shared" si="207"/>
        <v/>
      </c>
      <c r="D2653" t="str">
        <f>IF(E2653="","",IF(COUNTIF($E$2:E2653,E2653)&gt;1,"",SUMIFS(tbl_input[필요수량],tbl_input[집계키_지청],E2653)))</f>
        <v/>
      </c>
      <c r="E2653" t="str">
        <f>IFERROR(INDEX(tbl_input[집계키_지청],ROW()-1),"")</f>
        <v/>
      </c>
      <c r="F2653" t="str">
        <f t="shared" si="208"/>
        <v/>
      </c>
      <c r="G2653" t="str">
        <f t="shared" si="209"/>
        <v/>
      </c>
    </row>
    <row r="2654" spans="1:7" x14ac:dyDescent="0.4">
      <c r="A2654" t="str">
        <f t="shared" si="205"/>
        <v/>
      </c>
      <c r="B2654" t="str">
        <f t="shared" si="206"/>
        <v/>
      </c>
      <c r="C2654" t="str">
        <f t="shared" si="207"/>
        <v/>
      </c>
      <c r="D2654" t="str">
        <f>IF(E2654="","",IF(COUNTIF($E$2:E2654,E2654)&gt;1,"",SUMIFS(tbl_input[필요수량],tbl_input[집계키_지청],E2654)))</f>
        <v/>
      </c>
      <c r="E2654" t="str">
        <f>IFERROR(INDEX(tbl_input[집계키_지청],ROW()-1),"")</f>
        <v/>
      </c>
      <c r="F2654" t="str">
        <f t="shared" si="208"/>
        <v/>
      </c>
      <c r="G2654" t="str">
        <f t="shared" si="209"/>
        <v/>
      </c>
    </row>
    <row r="2655" spans="1:7" x14ac:dyDescent="0.4">
      <c r="A2655" t="str">
        <f t="shared" si="205"/>
        <v/>
      </c>
      <c r="B2655" t="str">
        <f t="shared" si="206"/>
        <v/>
      </c>
      <c r="C2655" t="str">
        <f t="shared" si="207"/>
        <v/>
      </c>
      <c r="D2655" t="str">
        <f>IF(E2655="","",IF(COUNTIF($E$2:E2655,E2655)&gt;1,"",SUMIFS(tbl_input[필요수량],tbl_input[집계키_지청],E2655)))</f>
        <v/>
      </c>
      <c r="E2655" t="str">
        <f>IFERROR(INDEX(tbl_input[집계키_지청],ROW()-1),"")</f>
        <v/>
      </c>
      <c r="F2655" t="str">
        <f t="shared" si="208"/>
        <v/>
      </c>
      <c r="G2655" t="str">
        <f t="shared" si="209"/>
        <v/>
      </c>
    </row>
    <row r="2656" spans="1:7" x14ac:dyDescent="0.4">
      <c r="A2656" t="str">
        <f t="shared" si="205"/>
        <v/>
      </c>
      <c r="B2656" t="str">
        <f t="shared" si="206"/>
        <v/>
      </c>
      <c r="C2656" t="str">
        <f t="shared" si="207"/>
        <v/>
      </c>
      <c r="D2656" t="str">
        <f>IF(E2656="","",IF(COUNTIF($E$2:E2656,E2656)&gt;1,"",SUMIFS(tbl_input[필요수량],tbl_input[집계키_지청],E2656)))</f>
        <v/>
      </c>
      <c r="E2656" t="str">
        <f>IFERROR(INDEX(tbl_input[집계키_지청],ROW()-1),"")</f>
        <v/>
      </c>
      <c r="F2656" t="str">
        <f t="shared" si="208"/>
        <v/>
      </c>
      <c r="G2656" t="str">
        <f t="shared" si="209"/>
        <v/>
      </c>
    </row>
    <row r="2657" spans="1:7" x14ac:dyDescent="0.4">
      <c r="A2657" t="str">
        <f t="shared" si="205"/>
        <v/>
      </c>
      <c r="B2657" t="str">
        <f t="shared" si="206"/>
        <v/>
      </c>
      <c r="C2657" t="str">
        <f t="shared" si="207"/>
        <v/>
      </c>
      <c r="D2657" t="str">
        <f>IF(E2657="","",IF(COUNTIF($E$2:E2657,E2657)&gt;1,"",SUMIFS(tbl_input[필요수량],tbl_input[집계키_지청],E2657)))</f>
        <v/>
      </c>
      <c r="E2657" t="str">
        <f>IFERROR(INDEX(tbl_input[집계키_지청],ROW()-1),"")</f>
        <v/>
      </c>
      <c r="F2657" t="str">
        <f t="shared" si="208"/>
        <v/>
      </c>
      <c r="G2657" t="str">
        <f t="shared" si="209"/>
        <v/>
      </c>
    </row>
    <row r="2658" spans="1:7" x14ac:dyDescent="0.4">
      <c r="A2658" t="str">
        <f t="shared" si="205"/>
        <v/>
      </c>
      <c r="B2658" t="str">
        <f t="shared" si="206"/>
        <v/>
      </c>
      <c r="C2658" t="str">
        <f t="shared" si="207"/>
        <v/>
      </c>
      <c r="D2658" t="str">
        <f>IF(E2658="","",IF(COUNTIF($E$2:E2658,E2658)&gt;1,"",SUMIFS(tbl_input[필요수량],tbl_input[집계키_지청],E2658)))</f>
        <v/>
      </c>
      <c r="E2658" t="str">
        <f>IFERROR(INDEX(tbl_input[집계키_지청],ROW()-1),"")</f>
        <v/>
      </c>
      <c r="F2658" t="str">
        <f t="shared" si="208"/>
        <v/>
      </c>
      <c r="G2658" t="str">
        <f t="shared" si="209"/>
        <v/>
      </c>
    </row>
    <row r="2659" spans="1:7" x14ac:dyDescent="0.4">
      <c r="A2659" t="str">
        <f t="shared" si="205"/>
        <v/>
      </c>
      <c r="B2659" t="str">
        <f t="shared" si="206"/>
        <v/>
      </c>
      <c r="C2659" t="str">
        <f t="shared" si="207"/>
        <v/>
      </c>
      <c r="D2659" t="str">
        <f>IF(E2659="","",IF(COUNTIF($E$2:E2659,E2659)&gt;1,"",SUMIFS(tbl_input[필요수량],tbl_input[집계키_지청],E2659)))</f>
        <v/>
      </c>
      <c r="E2659" t="str">
        <f>IFERROR(INDEX(tbl_input[집계키_지청],ROW()-1),"")</f>
        <v/>
      </c>
      <c r="F2659" t="str">
        <f t="shared" si="208"/>
        <v/>
      </c>
      <c r="G2659" t="str">
        <f t="shared" si="209"/>
        <v/>
      </c>
    </row>
    <row r="2660" spans="1:7" x14ac:dyDescent="0.4">
      <c r="A2660" t="str">
        <f t="shared" si="205"/>
        <v/>
      </c>
      <c r="B2660" t="str">
        <f t="shared" si="206"/>
        <v/>
      </c>
      <c r="C2660" t="str">
        <f t="shared" si="207"/>
        <v/>
      </c>
      <c r="D2660" t="str">
        <f>IF(E2660="","",IF(COUNTIF($E$2:E2660,E2660)&gt;1,"",SUMIFS(tbl_input[필요수량],tbl_input[집계키_지청],E2660)))</f>
        <v/>
      </c>
      <c r="E2660" t="str">
        <f>IFERROR(INDEX(tbl_input[집계키_지청],ROW()-1),"")</f>
        <v/>
      </c>
      <c r="F2660" t="str">
        <f t="shared" si="208"/>
        <v/>
      </c>
      <c r="G2660" t="str">
        <f t="shared" si="209"/>
        <v/>
      </c>
    </row>
    <row r="2661" spans="1:7" x14ac:dyDescent="0.4">
      <c r="A2661" t="str">
        <f t="shared" si="205"/>
        <v/>
      </c>
      <c r="B2661" t="str">
        <f t="shared" si="206"/>
        <v/>
      </c>
      <c r="C2661" t="str">
        <f t="shared" si="207"/>
        <v/>
      </c>
      <c r="D2661" t="str">
        <f>IF(E2661="","",IF(COUNTIF($E$2:E2661,E2661)&gt;1,"",SUMIFS(tbl_input[필요수량],tbl_input[집계키_지청],E2661)))</f>
        <v/>
      </c>
      <c r="E2661" t="str">
        <f>IFERROR(INDEX(tbl_input[집계키_지청],ROW()-1),"")</f>
        <v/>
      </c>
      <c r="F2661" t="str">
        <f t="shared" si="208"/>
        <v/>
      </c>
      <c r="G2661" t="str">
        <f t="shared" si="209"/>
        <v/>
      </c>
    </row>
    <row r="2662" spans="1:7" x14ac:dyDescent="0.4">
      <c r="A2662" t="str">
        <f t="shared" si="205"/>
        <v/>
      </c>
      <c r="B2662" t="str">
        <f t="shared" si="206"/>
        <v/>
      </c>
      <c r="C2662" t="str">
        <f t="shared" si="207"/>
        <v/>
      </c>
      <c r="D2662" t="str">
        <f>IF(E2662="","",IF(COUNTIF($E$2:E2662,E2662)&gt;1,"",SUMIFS(tbl_input[필요수량],tbl_input[집계키_지청],E2662)))</f>
        <v/>
      </c>
      <c r="E2662" t="str">
        <f>IFERROR(INDEX(tbl_input[집계키_지청],ROW()-1),"")</f>
        <v/>
      </c>
      <c r="F2662" t="str">
        <f t="shared" si="208"/>
        <v/>
      </c>
      <c r="G2662" t="str">
        <f t="shared" si="209"/>
        <v/>
      </c>
    </row>
    <row r="2663" spans="1:7" x14ac:dyDescent="0.4">
      <c r="A2663" t="str">
        <f t="shared" si="205"/>
        <v/>
      </c>
      <c r="B2663" t="str">
        <f t="shared" si="206"/>
        <v/>
      </c>
      <c r="C2663" t="str">
        <f t="shared" si="207"/>
        <v/>
      </c>
      <c r="D2663" t="str">
        <f>IF(E2663="","",IF(COUNTIF($E$2:E2663,E2663)&gt;1,"",SUMIFS(tbl_input[필요수량],tbl_input[집계키_지청],E2663)))</f>
        <v/>
      </c>
      <c r="E2663" t="str">
        <f>IFERROR(INDEX(tbl_input[집계키_지청],ROW()-1),"")</f>
        <v/>
      </c>
      <c r="F2663" t="str">
        <f t="shared" si="208"/>
        <v/>
      </c>
      <c r="G2663" t="str">
        <f t="shared" si="209"/>
        <v/>
      </c>
    </row>
    <row r="2664" spans="1:7" x14ac:dyDescent="0.4">
      <c r="A2664" t="str">
        <f t="shared" si="205"/>
        <v/>
      </c>
      <c r="B2664" t="str">
        <f t="shared" si="206"/>
        <v/>
      </c>
      <c r="C2664" t="str">
        <f t="shared" si="207"/>
        <v/>
      </c>
      <c r="D2664" t="str">
        <f>IF(E2664="","",IF(COUNTIF($E$2:E2664,E2664)&gt;1,"",SUMIFS(tbl_input[필요수량],tbl_input[집계키_지청],E2664)))</f>
        <v/>
      </c>
      <c r="E2664" t="str">
        <f>IFERROR(INDEX(tbl_input[집계키_지청],ROW()-1),"")</f>
        <v/>
      </c>
      <c r="F2664" t="str">
        <f t="shared" si="208"/>
        <v/>
      </c>
      <c r="G2664" t="str">
        <f t="shared" si="209"/>
        <v/>
      </c>
    </row>
    <row r="2665" spans="1:7" x14ac:dyDescent="0.4">
      <c r="A2665" t="str">
        <f t="shared" si="205"/>
        <v/>
      </c>
      <c r="B2665" t="str">
        <f t="shared" si="206"/>
        <v/>
      </c>
      <c r="C2665" t="str">
        <f t="shared" si="207"/>
        <v/>
      </c>
      <c r="D2665" t="str">
        <f>IF(E2665="","",IF(COUNTIF($E$2:E2665,E2665)&gt;1,"",SUMIFS(tbl_input[필요수량],tbl_input[집계키_지청],E2665)))</f>
        <v/>
      </c>
      <c r="E2665" t="str">
        <f>IFERROR(INDEX(tbl_input[집계키_지청],ROW()-1),"")</f>
        <v/>
      </c>
      <c r="F2665" t="str">
        <f t="shared" si="208"/>
        <v/>
      </c>
      <c r="G2665" t="str">
        <f t="shared" si="209"/>
        <v/>
      </c>
    </row>
    <row r="2666" spans="1:7" x14ac:dyDescent="0.4">
      <c r="A2666" t="str">
        <f t="shared" si="205"/>
        <v/>
      </c>
      <c r="B2666" t="str">
        <f t="shared" si="206"/>
        <v/>
      </c>
      <c r="C2666" t="str">
        <f t="shared" si="207"/>
        <v/>
      </c>
      <c r="D2666" t="str">
        <f>IF(E2666="","",IF(COUNTIF($E$2:E2666,E2666)&gt;1,"",SUMIFS(tbl_input[필요수량],tbl_input[집계키_지청],E2666)))</f>
        <v/>
      </c>
      <c r="E2666" t="str">
        <f>IFERROR(INDEX(tbl_input[집계키_지청],ROW()-1),"")</f>
        <v/>
      </c>
      <c r="F2666" t="str">
        <f t="shared" si="208"/>
        <v/>
      </c>
      <c r="G2666" t="str">
        <f t="shared" si="209"/>
        <v/>
      </c>
    </row>
    <row r="2667" spans="1:7" x14ac:dyDescent="0.4">
      <c r="A2667" t="str">
        <f t="shared" si="205"/>
        <v/>
      </c>
      <c r="B2667" t="str">
        <f t="shared" si="206"/>
        <v/>
      </c>
      <c r="C2667" t="str">
        <f t="shared" si="207"/>
        <v/>
      </c>
      <c r="D2667" t="str">
        <f>IF(E2667="","",IF(COUNTIF($E$2:E2667,E2667)&gt;1,"",SUMIFS(tbl_input[필요수량],tbl_input[집계키_지청],E2667)))</f>
        <v/>
      </c>
      <c r="E2667" t="str">
        <f>IFERROR(INDEX(tbl_input[집계키_지청],ROW()-1),"")</f>
        <v/>
      </c>
      <c r="F2667" t="str">
        <f t="shared" si="208"/>
        <v/>
      </c>
      <c r="G2667" t="str">
        <f t="shared" si="209"/>
        <v/>
      </c>
    </row>
    <row r="2668" spans="1:7" x14ac:dyDescent="0.4">
      <c r="A2668" t="str">
        <f t="shared" si="205"/>
        <v/>
      </c>
      <c r="B2668" t="str">
        <f t="shared" si="206"/>
        <v/>
      </c>
      <c r="C2668" t="str">
        <f t="shared" si="207"/>
        <v/>
      </c>
      <c r="D2668" t="str">
        <f>IF(E2668="","",IF(COUNTIF($E$2:E2668,E2668)&gt;1,"",SUMIFS(tbl_input[필요수량],tbl_input[집계키_지청],E2668)))</f>
        <v/>
      </c>
      <c r="E2668" t="str">
        <f>IFERROR(INDEX(tbl_input[집계키_지청],ROW()-1),"")</f>
        <v/>
      </c>
      <c r="F2668" t="str">
        <f t="shared" si="208"/>
        <v/>
      </c>
      <c r="G2668" t="str">
        <f t="shared" si="209"/>
        <v/>
      </c>
    </row>
    <row r="2669" spans="1:7" x14ac:dyDescent="0.4">
      <c r="A2669" t="str">
        <f t="shared" si="205"/>
        <v/>
      </c>
      <c r="B2669" t="str">
        <f t="shared" si="206"/>
        <v/>
      </c>
      <c r="C2669" t="str">
        <f t="shared" si="207"/>
        <v/>
      </c>
      <c r="D2669" t="str">
        <f>IF(E2669="","",IF(COUNTIF($E$2:E2669,E2669)&gt;1,"",SUMIFS(tbl_input[필요수량],tbl_input[집계키_지청],E2669)))</f>
        <v/>
      </c>
      <c r="E2669" t="str">
        <f>IFERROR(INDEX(tbl_input[집계키_지청],ROW()-1),"")</f>
        <v/>
      </c>
      <c r="F2669" t="str">
        <f t="shared" si="208"/>
        <v/>
      </c>
      <c r="G2669" t="str">
        <f t="shared" si="209"/>
        <v/>
      </c>
    </row>
    <row r="2670" spans="1:7" x14ac:dyDescent="0.4">
      <c r="A2670" t="str">
        <f t="shared" si="205"/>
        <v/>
      </c>
      <c r="B2670" t="str">
        <f t="shared" si="206"/>
        <v/>
      </c>
      <c r="C2670" t="str">
        <f t="shared" si="207"/>
        <v/>
      </c>
      <c r="D2670" t="str">
        <f>IF(E2670="","",IF(COUNTIF($E$2:E2670,E2670)&gt;1,"",SUMIFS(tbl_input[필요수량],tbl_input[집계키_지청],E2670)))</f>
        <v/>
      </c>
      <c r="E2670" t="str">
        <f>IFERROR(INDEX(tbl_input[집계키_지청],ROW()-1),"")</f>
        <v/>
      </c>
      <c r="F2670" t="str">
        <f t="shared" si="208"/>
        <v/>
      </c>
      <c r="G2670" t="str">
        <f t="shared" si="209"/>
        <v/>
      </c>
    </row>
    <row r="2671" spans="1:7" x14ac:dyDescent="0.4">
      <c r="A2671" t="str">
        <f t="shared" si="205"/>
        <v/>
      </c>
      <c r="B2671" t="str">
        <f t="shared" si="206"/>
        <v/>
      </c>
      <c r="C2671" t="str">
        <f t="shared" si="207"/>
        <v/>
      </c>
      <c r="D2671" t="str">
        <f>IF(E2671="","",IF(COUNTIF($E$2:E2671,E2671)&gt;1,"",SUMIFS(tbl_input[필요수량],tbl_input[집계키_지청],E2671)))</f>
        <v/>
      </c>
      <c r="E2671" t="str">
        <f>IFERROR(INDEX(tbl_input[집계키_지청],ROW()-1),"")</f>
        <v/>
      </c>
      <c r="F2671" t="str">
        <f t="shared" si="208"/>
        <v/>
      </c>
      <c r="G2671" t="str">
        <f t="shared" si="209"/>
        <v/>
      </c>
    </row>
    <row r="2672" spans="1:7" x14ac:dyDescent="0.4">
      <c r="A2672" t="str">
        <f t="shared" si="205"/>
        <v/>
      </c>
      <c r="B2672" t="str">
        <f t="shared" si="206"/>
        <v/>
      </c>
      <c r="C2672" t="str">
        <f t="shared" si="207"/>
        <v/>
      </c>
      <c r="D2672" t="str">
        <f>IF(E2672="","",IF(COUNTIF($E$2:E2672,E2672)&gt;1,"",SUMIFS(tbl_input[필요수량],tbl_input[집계키_지청],E2672)))</f>
        <v/>
      </c>
      <c r="E2672" t="str">
        <f>IFERROR(INDEX(tbl_input[집계키_지청],ROW()-1),"")</f>
        <v/>
      </c>
      <c r="F2672" t="str">
        <f t="shared" si="208"/>
        <v/>
      </c>
      <c r="G2672" t="str">
        <f t="shared" si="209"/>
        <v/>
      </c>
    </row>
    <row r="2673" spans="1:7" x14ac:dyDescent="0.4">
      <c r="A2673" t="str">
        <f t="shared" si="205"/>
        <v/>
      </c>
      <c r="B2673" t="str">
        <f t="shared" si="206"/>
        <v/>
      </c>
      <c r="C2673" t="str">
        <f t="shared" si="207"/>
        <v/>
      </c>
      <c r="D2673" t="str">
        <f>IF(E2673="","",IF(COUNTIF($E$2:E2673,E2673)&gt;1,"",SUMIFS(tbl_input[필요수량],tbl_input[집계키_지청],E2673)))</f>
        <v/>
      </c>
      <c r="E2673" t="str">
        <f>IFERROR(INDEX(tbl_input[집계키_지청],ROW()-1),"")</f>
        <v/>
      </c>
      <c r="F2673" t="str">
        <f t="shared" si="208"/>
        <v/>
      </c>
      <c r="G2673" t="str">
        <f t="shared" si="209"/>
        <v/>
      </c>
    </row>
    <row r="2674" spans="1:7" x14ac:dyDescent="0.4">
      <c r="A2674" t="str">
        <f t="shared" si="205"/>
        <v/>
      </c>
      <c r="B2674" t="str">
        <f t="shared" si="206"/>
        <v/>
      </c>
      <c r="C2674" t="str">
        <f t="shared" si="207"/>
        <v/>
      </c>
      <c r="D2674" t="str">
        <f>IF(E2674="","",IF(COUNTIF($E$2:E2674,E2674)&gt;1,"",SUMIFS(tbl_input[필요수량],tbl_input[집계키_지청],E2674)))</f>
        <v/>
      </c>
      <c r="E2674" t="str">
        <f>IFERROR(INDEX(tbl_input[집계키_지청],ROW()-1),"")</f>
        <v/>
      </c>
      <c r="F2674" t="str">
        <f t="shared" si="208"/>
        <v/>
      </c>
      <c r="G2674" t="str">
        <f t="shared" si="209"/>
        <v/>
      </c>
    </row>
    <row r="2675" spans="1:7" x14ac:dyDescent="0.4">
      <c r="A2675" t="str">
        <f t="shared" si="205"/>
        <v/>
      </c>
      <c r="B2675" t="str">
        <f t="shared" si="206"/>
        <v/>
      </c>
      <c r="C2675" t="str">
        <f t="shared" si="207"/>
        <v/>
      </c>
      <c r="D2675" t="str">
        <f>IF(E2675="","",IF(COUNTIF($E$2:E2675,E2675)&gt;1,"",SUMIFS(tbl_input[필요수량],tbl_input[집계키_지청],E2675)))</f>
        <v/>
      </c>
      <c r="E2675" t="str">
        <f>IFERROR(INDEX(tbl_input[집계키_지청],ROW()-1),"")</f>
        <v/>
      </c>
      <c r="F2675" t="str">
        <f t="shared" si="208"/>
        <v/>
      </c>
      <c r="G2675" t="str">
        <f t="shared" si="209"/>
        <v/>
      </c>
    </row>
    <row r="2676" spans="1:7" x14ac:dyDescent="0.4">
      <c r="A2676" t="str">
        <f t="shared" si="205"/>
        <v/>
      </c>
      <c r="B2676" t="str">
        <f t="shared" si="206"/>
        <v/>
      </c>
      <c r="C2676" t="str">
        <f t="shared" si="207"/>
        <v/>
      </c>
      <c r="D2676" t="str">
        <f>IF(E2676="","",IF(COUNTIF($E$2:E2676,E2676)&gt;1,"",SUMIFS(tbl_input[필요수량],tbl_input[집계키_지청],E2676)))</f>
        <v/>
      </c>
      <c r="E2676" t="str">
        <f>IFERROR(INDEX(tbl_input[집계키_지청],ROW()-1),"")</f>
        <v/>
      </c>
      <c r="F2676" t="str">
        <f t="shared" si="208"/>
        <v/>
      </c>
      <c r="G2676" t="str">
        <f t="shared" si="209"/>
        <v/>
      </c>
    </row>
    <row r="2677" spans="1:7" x14ac:dyDescent="0.4">
      <c r="A2677" t="str">
        <f t="shared" si="205"/>
        <v/>
      </c>
      <c r="B2677" t="str">
        <f t="shared" si="206"/>
        <v/>
      </c>
      <c r="C2677" t="str">
        <f t="shared" si="207"/>
        <v/>
      </c>
      <c r="D2677" t="str">
        <f>IF(E2677="","",IF(COUNTIF($E$2:E2677,E2677)&gt;1,"",SUMIFS(tbl_input[필요수량],tbl_input[집계키_지청],E2677)))</f>
        <v/>
      </c>
      <c r="E2677" t="str">
        <f>IFERROR(INDEX(tbl_input[집계키_지청],ROW()-1),"")</f>
        <v/>
      </c>
      <c r="F2677" t="str">
        <f t="shared" si="208"/>
        <v/>
      </c>
      <c r="G2677" t="str">
        <f t="shared" si="209"/>
        <v/>
      </c>
    </row>
    <row r="2678" spans="1:7" x14ac:dyDescent="0.4">
      <c r="A2678" t="str">
        <f t="shared" si="205"/>
        <v/>
      </c>
      <c r="B2678" t="str">
        <f t="shared" si="206"/>
        <v/>
      </c>
      <c r="C2678" t="str">
        <f t="shared" si="207"/>
        <v/>
      </c>
      <c r="D2678" t="str">
        <f>IF(E2678="","",IF(COUNTIF($E$2:E2678,E2678)&gt;1,"",SUMIFS(tbl_input[필요수량],tbl_input[집계키_지청],E2678)))</f>
        <v/>
      </c>
      <c r="E2678" t="str">
        <f>IFERROR(INDEX(tbl_input[집계키_지청],ROW()-1),"")</f>
        <v/>
      </c>
      <c r="F2678" t="str">
        <f t="shared" si="208"/>
        <v/>
      </c>
      <c r="G2678" t="str">
        <f t="shared" si="209"/>
        <v/>
      </c>
    </row>
    <row r="2679" spans="1:7" x14ac:dyDescent="0.4">
      <c r="A2679" t="str">
        <f t="shared" si="205"/>
        <v/>
      </c>
      <c r="B2679" t="str">
        <f t="shared" si="206"/>
        <v/>
      </c>
      <c r="C2679" t="str">
        <f t="shared" si="207"/>
        <v/>
      </c>
      <c r="D2679" t="str">
        <f>IF(E2679="","",IF(COUNTIF($E$2:E2679,E2679)&gt;1,"",SUMIFS(tbl_input[필요수량],tbl_input[집계키_지청],E2679)))</f>
        <v/>
      </c>
      <c r="E2679" t="str">
        <f>IFERROR(INDEX(tbl_input[집계키_지청],ROW()-1),"")</f>
        <v/>
      </c>
      <c r="F2679" t="str">
        <f t="shared" si="208"/>
        <v/>
      </c>
      <c r="G2679" t="str">
        <f t="shared" si="209"/>
        <v/>
      </c>
    </row>
    <row r="2680" spans="1:7" x14ac:dyDescent="0.4">
      <c r="A2680" t="str">
        <f t="shared" si="205"/>
        <v/>
      </c>
      <c r="B2680" t="str">
        <f t="shared" si="206"/>
        <v/>
      </c>
      <c r="C2680" t="str">
        <f t="shared" si="207"/>
        <v/>
      </c>
      <c r="D2680" t="str">
        <f>IF(E2680="","",IF(COUNTIF($E$2:E2680,E2680)&gt;1,"",SUMIFS(tbl_input[필요수량],tbl_input[집계키_지청],E2680)))</f>
        <v/>
      </c>
      <c r="E2680" t="str">
        <f>IFERROR(INDEX(tbl_input[집계키_지청],ROW()-1),"")</f>
        <v/>
      </c>
      <c r="F2680" t="str">
        <f t="shared" si="208"/>
        <v/>
      </c>
      <c r="G2680" t="str">
        <f t="shared" si="209"/>
        <v/>
      </c>
    </row>
    <row r="2681" spans="1:7" x14ac:dyDescent="0.4">
      <c r="A2681" t="str">
        <f t="shared" si="205"/>
        <v/>
      </c>
      <c r="B2681" t="str">
        <f t="shared" si="206"/>
        <v/>
      </c>
      <c r="C2681" t="str">
        <f t="shared" si="207"/>
        <v/>
      </c>
      <c r="D2681" t="str">
        <f>IF(E2681="","",IF(COUNTIF($E$2:E2681,E2681)&gt;1,"",SUMIFS(tbl_input[필요수량],tbl_input[집계키_지청],E2681)))</f>
        <v/>
      </c>
      <c r="E2681" t="str">
        <f>IFERROR(INDEX(tbl_input[집계키_지청],ROW()-1),"")</f>
        <v/>
      </c>
      <c r="F2681" t="str">
        <f t="shared" si="208"/>
        <v/>
      </c>
      <c r="G2681" t="str">
        <f t="shared" si="209"/>
        <v/>
      </c>
    </row>
    <row r="2682" spans="1:7" x14ac:dyDescent="0.4">
      <c r="A2682" t="str">
        <f t="shared" si="205"/>
        <v/>
      </c>
      <c r="B2682" t="str">
        <f t="shared" si="206"/>
        <v/>
      </c>
      <c r="C2682" t="str">
        <f t="shared" si="207"/>
        <v/>
      </c>
      <c r="D2682" t="str">
        <f>IF(E2682="","",IF(COUNTIF($E$2:E2682,E2682)&gt;1,"",SUMIFS(tbl_input[필요수량],tbl_input[집계키_지청],E2682)))</f>
        <v/>
      </c>
      <c r="E2682" t="str">
        <f>IFERROR(INDEX(tbl_input[집계키_지청],ROW()-1),"")</f>
        <v/>
      </c>
      <c r="F2682" t="str">
        <f t="shared" si="208"/>
        <v/>
      </c>
      <c r="G2682" t="str">
        <f t="shared" si="209"/>
        <v/>
      </c>
    </row>
    <row r="2683" spans="1:7" x14ac:dyDescent="0.4">
      <c r="A2683" t="str">
        <f t="shared" si="205"/>
        <v/>
      </c>
      <c r="B2683" t="str">
        <f t="shared" si="206"/>
        <v/>
      </c>
      <c r="C2683" t="str">
        <f t="shared" si="207"/>
        <v/>
      </c>
      <c r="D2683" t="str">
        <f>IF(E2683="","",IF(COUNTIF($E$2:E2683,E2683)&gt;1,"",SUMIFS(tbl_input[필요수량],tbl_input[집계키_지청],E2683)))</f>
        <v/>
      </c>
      <c r="E2683" t="str">
        <f>IFERROR(INDEX(tbl_input[집계키_지청],ROW()-1),"")</f>
        <v/>
      </c>
      <c r="F2683" t="str">
        <f t="shared" si="208"/>
        <v/>
      </c>
      <c r="G2683" t="str">
        <f t="shared" si="209"/>
        <v/>
      </c>
    </row>
    <row r="2684" spans="1:7" x14ac:dyDescent="0.4">
      <c r="A2684" t="str">
        <f t="shared" si="205"/>
        <v/>
      </c>
      <c r="B2684" t="str">
        <f t="shared" si="206"/>
        <v/>
      </c>
      <c r="C2684" t="str">
        <f t="shared" si="207"/>
        <v/>
      </c>
      <c r="D2684" t="str">
        <f>IF(E2684="","",IF(COUNTIF($E$2:E2684,E2684)&gt;1,"",SUMIFS(tbl_input[필요수량],tbl_input[집계키_지청],E2684)))</f>
        <v/>
      </c>
      <c r="E2684" t="str">
        <f>IFERROR(INDEX(tbl_input[집계키_지청],ROW()-1),"")</f>
        <v/>
      </c>
      <c r="F2684" t="str">
        <f t="shared" si="208"/>
        <v/>
      </c>
      <c r="G2684" t="str">
        <f t="shared" si="209"/>
        <v/>
      </c>
    </row>
    <row r="2685" spans="1:7" x14ac:dyDescent="0.4">
      <c r="A2685" t="str">
        <f t="shared" si="205"/>
        <v/>
      </c>
      <c r="B2685" t="str">
        <f t="shared" si="206"/>
        <v/>
      </c>
      <c r="C2685" t="str">
        <f t="shared" si="207"/>
        <v/>
      </c>
      <c r="D2685" t="str">
        <f>IF(E2685="","",IF(COUNTIF($E$2:E2685,E2685)&gt;1,"",SUMIFS(tbl_input[필요수량],tbl_input[집계키_지청],E2685)))</f>
        <v/>
      </c>
      <c r="E2685" t="str">
        <f>IFERROR(INDEX(tbl_input[집계키_지청],ROW()-1),"")</f>
        <v/>
      </c>
      <c r="F2685" t="str">
        <f t="shared" si="208"/>
        <v/>
      </c>
      <c r="G2685" t="str">
        <f t="shared" si="209"/>
        <v/>
      </c>
    </row>
    <row r="2686" spans="1:7" x14ac:dyDescent="0.4">
      <c r="A2686" t="str">
        <f t="shared" si="205"/>
        <v/>
      </c>
      <c r="B2686" t="str">
        <f t="shared" si="206"/>
        <v/>
      </c>
      <c r="C2686" t="str">
        <f t="shared" si="207"/>
        <v/>
      </c>
      <c r="D2686" t="str">
        <f>IF(E2686="","",IF(COUNTIF($E$2:E2686,E2686)&gt;1,"",SUMIFS(tbl_input[필요수량],tbl_input[집계키_지청],E2686)))</f>
        <v/>
      </c>
      <c r="E2686" t="str">
        <f>IFERROR(INDEX(tbl_input[집계키_지청],ROW()-1),"")</f>
        <v/>
      </c>
      <c r="F2686" t="str">
        <f t="shared" si="208"/>
        <v/>
      </c>
      <c r="G2686" t="str">
        <f t="shared" si="209"/>
        <v/>
      </c>
    </row>
    <row r="2687" spans="1:7" x14ac:dyDescent="0.4">
      <c r="A2687" t="str">
        <f t="shared" si="205"/>
        <v/>
      </c>
      <c r="B2687" t="str">
        <f t="shared" si="206"/>
        <v/>
      </c>
      <c r="C2687" t="str">
        <f t="shared" si="207"/>
        <v/>
      </c>
      <c r="D2687" t="str">
        <f>IF(E2687="","",IF(COUNTIF($E$2:E2687,E2687)&gt;1,"",SUMIFS(tbl_input[필요수량],tbl_input[집계키_지청],E2687)))</f>
        <v/>
      </c>
      <c r="E2687" t="str">
        <f>IFERROR(INDEX(tbl_input[집계키_지청],ROW()-1),"")</f>
        <v/>
      </c>
      <c r="F2687" t="str">
        <f t="shared" si="208"/>
        <v/>
      </c>
      <c r="G2687" t="str">
        <f t="shared" si="209"/>
        <v/>
      </c>
    </row>
    <row r="2688" spans="1:7" x14ac:dyDescent="0.4">
      <c r="A2688" t="str">
        <f t="shared" si="205"/>
        <v/>
      </c>
      <c r="B2688" t="str">
        <f t="shared" si="206"/>
        <v/>
      </c>
      <c r="C2688" t="str">
        <f t="shared" si="207"/>
        <v/>
      </c>
      <c r="D2688" t="str">
        <f>IF(E2688="","",IF(COUNTIF($E$2:E2688,E2688)&gt;1,"",SUMIFS(tbl_input[필요수량],tbl_input[집계키_지청],E2688)))</f>
        <v/>
      </c>
      <c r="E2688" t="str">
        <f>IFERROR(INDEX(tbl_input[집계키_지청],ROW()-1),"")</f>
        <v/>
      </c>
      <c r="F2688" t="str">
        <f t="shared" si="208"/>
        <v/>
      </c>
      <c r="G2688" t="str">
        <f t="shared" si="209"/>
        <v/>
      </c>
    </row>
    <row r="2689" spans="1:7" x14ac:dyDescent="0.4">
      <c r="A2689" t="str">
        <f t="shared" si="205"/>
        <v/>
      </c>
      <c r="B2689" t="str">
        <f t="shared" si="206"/>
        <v/>
      </c>
      <c r="C2689" t="str">
        <f t="shared" si="207"/>
        <v/>
      </c>
      <c r="D2689" t="str">
        <f>IF(E2689="","",IF(COUNTIF($E$2:E2689,E2689)&gt;1,"",SUMIFS(tbl_input[필요수량],tbl_input[집계키_지청],E2689)))</f>
        <v/>
      </c>
      <c r="E2689" t="str">
        <f>IFERROR(INDEX(tbl_input[집계키_지청],ROW()-1),"")</f>
        <v/>
      </c>
      <c r="F2689" t="str">
        <f t="shared" si="208"/>
        <v/>
      </c>
      <c r="G2689" t="str">
        <f t="shared" si="209"/>
        <v/>
      </c>
    </row>
    <row r="2690" spans="1:7" x14ac:dyDescent="0.4">
      <c r="A2690" t="str">
        <f t="shared" ref="A2690:A2753" si="210">IF(E2690="","",LEFT(E2690,F2690-1))</f>
        <v/>
      </c>
      <c r="B2690" t="str">
        <f t="shared" ref="B2690:B2753" si="211">IF(E2690="","",MID(E2690,F2690+1,G2690-F2690-1))</f>
        <v/>
      </c>
      <c r="C2690" t="str">
        <f t="shared" ref="C2690:C2753" si="212">IF(E2690="","",MID(E2690,G2690+1,999))</f>
        <v/>
      </c>
      <c r="D2690" t="str">
        <f>IF(E2690="","",IF(COUNTIF($E$2:E2690,E2690)&gt;1,"",SUMIFS(tbl_input[필요수량],tbl_input[집계키_지청],E2690)))</f>
        <v/>
      </c>
      <c r="E2690" t="str">
        <f>IFERROR(INDEX(tbl_input[집계키_지청],ROW()-1),"")</f>
        <v/>
      </c>
      <c r="F2690" t="str">
        <f t="shared" ref="F2690:F2753" si="213">IF(E2690="","",FIND("♦",E2690))</f>
        <v/>
      </c>
      <c r="G2690" t="str">
        <f t="shared" ref="G2690:G2753" si="214">IF(E2690="","",FIND("♦",E2690,F2690+1))</f>
        <v/>
      </c>
    </row>
    <row r="2691" spans="1:7" x14ac:dyDescent="0.4">
      <c r="A2691" t="str">
        <f t="shared" si="210"/>
        <v/>
      </c>
      <c r="B2691" t="str">
        <f t="shared" si="211"/>
        <v/>
      </c>
      <c r="C2691" t="str">
        <f t="shared" si="212"/>
        <v/>
      </c>
      <c r="D2691" t="str">
        <f>IF(E2691="","",IF(COUNTIF($E$2:E2691,E2691)&gt;1,"",SUMIFS(tbl_input[필요수량],tbl_input[집계키_지청],E2691)))</f>
        <v/>
      </c>
      <c r="E2691" t="str">
        <f>IFERROR(INDEX(tbl_input[집계키_지청],ROW()-1),"")</f>
        <v/>
      </c>
      <c r="F2691" t="str">
        <f t="shared" si="213"/>
        <v/>
      </c>
      <c r="G2691" t="str">
        <f t="shared" si="214"/>
        <v/>
      </c>
    </row>
    <row r="2692" spans="1:7" x14ac:dyDescent="0.4">
      <c r="A2692" t="str">
        <f t="shared" si="210"/>
        <v/>
      </c>
      <c r="B2692" t="str">
        <f t="shared" si="211"/>
        <v/>
      </c>
      <c r="C2692" t="str">
        <f t="shared" si="212"/>
        <v/>
      </c>
      <c r="D2692" t="str">
        <f>IF(E2692="","",IF(COUNTIF($E$2:E2692,E2692)&gt;1,"",SUMIFS(tbl_input[필요수량],tbl_input[집계키_지청],E2692)))</f>
        <v/>
      </c>
      <c r="E2692" t="str">
        <f>IFERROR(INDEX(tbl_input[집계키_지청],ROW()-1),"")</f>
        <v/>
      </c>
      <c r="F2692" t="str">
        <f t="shared" si="213"/>
        <v/>
      </c>
      <c r="G2692" t="str">
        <f t="shared" si="214"/>
        <v/>
      </c>
    </row>
    <row r="2693" spans="1:7" x14ac:dyDescent="0.4">
      <c r="A2693" t="str">
        <f t="shared" si="210"/>
        <v/>
      </c>
      <c r="B2693" t="str">
        <f t="shared" si="211"/>
        <v/>
      </c>
      <c r="C2693" t="str">
        <f t="shared" si="212"/>
        <v/>
      </c>
      <c r="D2693" t="str">
        <f>IF(E2693="","",IF(COUNTIF($E$2:E2693,E2693)&gt;1,"",SUMIFS(tbl_input[필요수량],tbl_input[집계키_지청],E2693)))</f>
        <v/>
      </c>
      <c r="E2693" t="str">
        <f>IFERROR(INDEX(tbl_input[집계키_지청],ROW()-1),"")</f>
        <v/>
      </c>
      <c r="F2693" t="str">
        <f t="shared" si="213"/>
        <v/>
      </c>
      <c r="G2693" t="str">
        <f t="shared" si="214"/>
        <v/>
      </c>
    </row>
    <row r="2694" spans="1:7" x14ac:dyDescent="0.4">
      <c r="A2694" t="str">
        <f t="shared" si="210"/>
        <v/>
      </c>
      <c r="B2694" t="str">
        <f t="shared" si="211"/>
        <v/>
      </c>
      <c r="C2694" t="str">
        <f t="shared" si="212"/>
        <v/>
      </c>
      <c r="D2694" t="str">
        <f>IF(E2694="","",IF(COUNTIF($E$2:E2694,E2694)&gt;1,"",SUMIFS(tbl_input[필요수량],tbl_input[집계키_지청],E2694)))</f>
        <v/>
      </c>
      <c r="E2694" t="str">
        <f>IFERROR(INDEX(tbl_input[집계키_지청],ROW()-1),"")</f>
        <v/>
      </c>
      <c r="F2694" t="str">
        <f t="shared" si="213"/>
        <v/>
      </c>
      <c r="G2694" t="str">
        <f t="shared" si="214"/>
        <v/>
      </c>
    </row>
    <row r="2695" spans="1:7" x14ac:dyDescent="0.4">
      <c r="A2695" t="str">
        <f t="shared" si="210"/>
        <v/>
      </c>
      <c r="B2695" t="str">
        <f t="shared" si="211"/>
        <v/>
      </c>
      <c r="C2695" t="str">
        <f t="shared" si="212"/>
        <v/>
      </c>
      <c r="D2695" t="str">
        <f>IF(E2695="","",IF(COUNTIF($E$2:E2695,E2695)&gt;1,"",SUMIFS(tbl_input[필요수량],tbl_input[집계키_지청],E2695)))</f>
        <v/>
      </c>
      <c r="E2695" t="str">
        <f>IFERROR(INDEX(tbl_input[집계키_지청],ROW()-1),"")</f>
        <v/>
      </c>
      <c r="F2695" t="str">
        <f t="shared" si="213"/>
        <v/>
      </c>
      <c r="G2695" t="str">
        <f t="shared" si="214"/>
        <v/>
      </c>
    </row>
    <row r="2696" spans="1:7" x14ac:dyDescent="0.4">
      <c r="A2696" t="str">
        <f t="shared" si="210"/>
        <v/>
      </c>
      <c r="B2696" t="str">
        <f t="shared" si="211"/>
        <v/>
      </c>
      <c r="C2696" t="str">
        <f t="shared" si="212"/>
        <v/>
      </c>
      <c r="D2696" t="str">
        <f>IF(E2696="","",IF(COUNTIF($E$2:E2696,E2696)&gt;1,"",SUMIFS(tbl_input[필요수량],tbl_input[집계키_지청],E2696)))</f>
        <v/>
      </c>
      <c r="E2696" t="str">
        <f>IFERROR(INDEX(tbl_input[집계키_지청],ROW()-1),"")</f>
        <v/>
      </c>
      <c r="F2696" t="str">
        <f t="shared" si="213"/>
        <v/>
      </c>
      <c r="G2696" t="str">
        <f t="shared" si="214"/>
        <v/>
      </c>
    </row>
    <row r="2697" spans="1:7" x14ac:dyDescent="0.4">
      <c r="A2697" t="str">
        <f t="shared" si="210"/>
        <v/>
      </c>
      <c r="B2697" t="str">
        <f t="shared" si="211"/>
        <v/>
      </c>
      <c r="C2697" t="str">
        <f t="shared" si="212"/>
        <v/>
      </c>
      <c r="D2697" t="str">
        <f>IF(E2697="","",IF(COUNTIF($E$2:E2697,E2697)&gt;1,"",SUMIFS(tbl_input[필요수량],tbl_input[집계키_지청],E2697)))</f>
        <v/>
      </c>
      <c r="E2697" t="str">
        <f>IFERROR(INDEX(tbl_input[집계키_지청],ROW()-1),"")</f>
        <v/>
      </c>
      <c r="F2697" t="str">
        <f t="shared" si="213"/>
        <v/>
      </c>
      <c r="G2697" t="str">
        <f t="shared" si="214"/>
        <v/>
      </c>
    </row>
    <row r="2698" spans="1:7" x14ac:dyDescent="0.4">
      <c r="A2698" t="str">
        <f t="shared" si="210"/>
        <v/>
      </c>
      <c r="B2698" t="str">
        <f t="shared" si="211"/>
        <v/>
      </c>
      <c r="C2698" t="str">
        <f t="shared" si="212"/>
        <v/>
      </c>
      <c r="D2698" t="str">
        <f>IF(E2698="","",IF(COUNTIF($E$2:E2698,E2698)&gt;1,"",SUMIFS(tbl_input[필요수량],tbl_input[집계키_지청],E2698)))</f>
        <v/>
      </c>
      <c r="E2698" t="str">
        <f>IFERROR(INDEX(tbl_input[집계키_지청],ROW()-1),"")</f>
        <v/>
      </c>
      <c r="F2698" t="str">
        <f t="shared" si="213"/>
        <v/>
      </c>
      <c r="G2698" t="str">
        <f t="shared" si="214"/>
        <v/>
      </c>
    </row>
    <row r="2699" spans="1:7" x14ac:dyDescent="0.4">
      <c r="A2699" t="str">
        <f t="shared" si="210"/>
        <v/>
      </c>
      <c r="B2699" t="str">
        <f t="shared" si="211"/>
        <v/>
      </c>
      <c r="C2699" t="str">
        <f t="shared" si="212"/>
        <v/>
      </c>
      <c r="D2699" t="str">
        <f>IF(E2699="","",IF(COUNTIF($E$2:E2699,E2699)&gt;1,"",SUMIFS(tbl_input[필요수량],tbl_input[집계키_지청],E2699)))</f>
        <v/>
      </c>
      <c r="E2699" t="str">
        <f>IFERROR(INDEX(tbl_input[집계키_지청],ROW()-1),"")</f>
        <v/>
      </c>
      <c r="F2699" t="str">
        <f t="shared" si="213"/>
        <v/>
      </c>
      <c r="G2699" t="str">
        <f t="shared" si="214"/>
        <v/>
      </c>
    </row>
    <row r="2700" spans="1:7" x14ac:dyDescent="0.4">
      <c r="A2700" t="str">
        <f t="shared" si="210"/>
        <v/>
      </c>
      <c r="B2700" t="str">
        <f t="shared" si="211"/>
        <v/>
      </c>
      <c r="C2700" t="str">
        <f t="shared" si="212"/>
        <v/>
      </c>
      <c r="D2700" t="str">
        <f>IF(E2700="","",IF(COUNTIF($E$2:E2700,E2700)&gt;1,"",SUMIFS(tbl_input[필요수량],tbl_input[집계키_지청],E2700)))</f>
        <v/>
      </c>
      <c r="E2700" t="str">
        <f>IFERROR(INDEX(tbl_input[집계키_지청],ROW()-1),"")</f>
        <v/>
      </c>
      <c r="F2700" t="str">
        <f t="shared" si="213"/>
        <v/>
      </c>
      <c r="G2700" t="str">
        <f t="shared" si="214"/>
        <v/>
      </c>
    </row>
    <row r="2701" spans="1:7" x14ac:dyDescent="0.4">
      <c r="A2701" t="str">
        <f t="shared" si="210"/>
        <v/>
      </c>
      <c r="B2701" t="str">
        <f t="shared" si="211"/>
        <v/>
      </c>
      <c r="C2701" t="str">
        <f t="shared" si="212"/>
        <v/>
      </c>
      <c r="D2701" t="str">
        <f>IF(E2701="","",IF(COUNTIF($E$2:E2701,E2701)&gt;1,"",SUMIFS(tbl_input[필요수량],tbl_input[집계키_지청],E2701)))</f>
        <v/>
      </c>
      <c r="E2701" t="str">
        <f>IFERROR(INDEX(tbl_input[집계키_지청],ROW()-1),"")</f>
        <v/>
      </c>
      <c r="F2701" t="str">
        <f t="shared" si="213"/>
        <v/>
      </c>
      <c r="G2701" t="str">
        <f t="shared" si="214"/>
        <v/>
      </c>
    </row>
    <row r="2702" spans="1:7" x14ac:dyDescent="0.4">
      <c r="A2702" t="str">
        <f t="shared" si="210"/>
        <v/>
      </c>
      <c r="B2702" t="str">
        <f t="shared" si="211"/>
        <v/>
      </c>
      <c r="C2702" t="str">
        <f t="shared" si="212"/>
        <v/>
      </c>
      <c r="D2702" t="str">
        <f>IF(E2702="","",IF(COUNTIF($E$2:E2702,E2702)&gt;1,"",SUMIFS(tbl_input[필요수량],tbl_input[집계키_지청],E2702)))</f>
        <v/>
      </c>
      <c r="E2702" t="str">
        <f>IFERROR(INDEX(tbl_input[집계키_지청],ROW()-1),"")</f>
        <v/>
      </c>
      <c r="F2702" t="str">
        <f t="shared" si="213"/>
        <v/>
      </c>
      <c r="G2702" t="str">
        <f t="shared" si="214"/>
        <v/>
      </c>
    </row>
    <row r="2703" spans="1:7" x14ac:dyDescent="0.4">
      <c r="A2703" t="str">
        <f t="shared" si="210"/>
        <v/>
      </c>
      <c r="B2703" t="str">
        <f t="shared" si="211"/>
        <v/>
      </c>
      <c r="C2703" t="str">
        <f t="shared" si="212"/>
        <v/>
      </c>
      <c r="D2703" t="str">
        <f>IF(E2703="","",IF(COUNTIF($E$2:E2703,E2703)&gt;1,"",SUMIFS(tbl_input[필요수량],tbl_input[집계키_지청],E2703)))</f>
        <v/>
      </c>
      <c r="E2703" t="str">
        <f>IFERROR(INDEX(tbl_input[집계키_지청],ROW()-1),"")</f>
        <v/>
      </c>
      <c r="F2703" t="str">
        <f t="shared" si="213"/>
        <v/>
      </c>
      <c r="G2703" t="str">
        <f t="shared" si="214"/>
        <v/>
      </c>
    </row>
    <row r="2704" spans="1:7" x14ac:dyDescent="0.4">
      <c r="A2704" t="str">
        <f t="shared" si="210"/>
        <v/>
      </c>
      <c r="B2704" t="str">
        <f t="shared" si="211"/>
        <v/>
      </c>
      <c r="C2704" t="str">
        <f t="shared" si="212"/>
        <v/>
      </c>
      <c r="D2704" t="str">
        <f>IF(E2704="","",IF(COUNTIF($E$2:E2704,E2704)&gt;1,"",SUMIFS(tbl_input[필요수량],tbl_input[집계키_지청],E2704)))</f>
        <v/>
      </c>
      <c r="E2704" t="str">
        <f>IFERROR(INDEX(tbl_input[집계키_지청],ROW()-1),"")</f>
        <v/>
      </c>
      <c r="F2704" t="str">
        <f t="shared" si="213"/>
        <v/>
      </c>
      <c r="G2704" t="str">
        <f t="shared" si="214"/>
        <v/>
      </c>
    </row>
    <row r="2705" spans="1:7" x14ac:dyDescent="0.4">
      <c r="A2705" t="str">
        <f t="shared" si="210"/>
        <v/>
      </c>
      <c r="B2705" t="str">
        <f t="shared" si="211"/>
        <v/>
      </c>
      <c r="C2705" t="str">
        <f t="shared" si="212"/>
        <v/>
      </c>
      <c r="D2705" t="str">
        <f>IF(E2705="","",IF(COUNTIF($E$2:E2705,E2705)&gt;1,"",SUMIFS(tbl_input[필요수량],tbl_input[집계키_지청],E2705)))</f>
        <v/>
      </c>
      <c r="E2705" t="str">
        <f>IFERROR(INDEX(tbl_input[집계키_지청],ROW()-1),"")</f>
        <v/>
      </c>
      <c r="F2705" t="str">
        <f t="shared" si="213"/>
        <v/>
      </c>
      <c r="G2705" t="str">
        <f t="shared" si="214"/>
        <v/>
      </c>
    </row>
    <row r="2706" spans="1:7" x14ac:dyDescent="0.4">
      <c r="A2706" t="str">
        <f t="shared" si="210"/>
        <v/>
      </c>
      <c r="B2706" t="str">
        <f t="shared" si="211"/>
        <v/>
      </c>
      <c r="C2706" t="str">
        <f t="shared" si="212"/>
        <v/>
      </c>
      <c r="D2706" t="str">
        <f>IF(E2706="","",IF(COUNTIF($E$2:E2706,E2706)&gt;1,"",SUMIFS(tbl_input[필요수량],tbl_input[집계키_지청],E2706)))</f>
        <v/>
      </c>
      <c r="E2706" t="str">
        <f>IFERROR(INDEX(tbl_input[집계키_지청],ROW()-1),"")</f>
        <v/>
      </c>
      <c r="F2706" t="str">
        <f t="shared" si="213"/>
        <v/>
      </c>
      <c r="G2706" t="str">
        <f t="shared" si="214"/>
        <v/>
      </c>
    </row>
    <row r="2707" spans="1:7" x14ac:dyDescent="0.4">
      <c r="A2707" t="str">
        <f t="shared" si="210"/>
        <v/>
      </c>
      <c r="B2707" t="str">
        <f t="shared" si="211"/>
        <v/>
      </c>
      <c r="C2707" t="str">
        <f t="shared" si="212"/>
        <v/>
      </c>
      <c r="D2707" t="str">
        <f>IF(E2707="","",IF(COUNTIF($E$2:E2707,E2707)&gt;1,"",SUMIFS(tbl_input[필요수량],tbl_input[집계키_지청],E2707)))</f>
        <v/>
      </c>
      <c r="E2707" t="str">
        <f>IFERROR(INDEX(tbl_input[집계키_지청],ROW()-1),"")</f>
        <v/>
      </c>
      <c r="F2707" t="str">
        <f t="shared" si="213"/>
        <v/>
      </c>
      <c r="G2707" t="str">
        <f t="shared" si="214"/>
        <v/>
      </c>
    </row>
    <row r="2708" spans="1:7" x14ac:dyDescent="0.4">
      <c r="A2708" t="str">
        <f t="shared" si="210"/>
        <v/>
      </c>
      <c r="B2708" t="str">
        <f t="shared" si="211"/>
        <v/>
      </c>
      <c r="C2708" t="str">
        <f t="shared" si="212"/>
        <v/>
      </c>
      <c r="D2708" t="str">
        <f>IF(E2708="","",IF(COUNTIF($E$2:E2708,E2708)&gt;1,"",SUMIFS(tbl_input[필요수량],tbl_input[집계키_지청],E2708)))</f>
        <v/>
      </c>
      <c r="E2708" t="str">
        <f>IFERROR(INDEX(tbl_input[집계키_지청],ROW()-1),"")</f>
        <v/>
      </c>
      <c r="F2708" t="str">
        <f t="shared" si="213"/>
        <v/>
      </c>
      <c r="G2708" t="str">
        <f t="shared" si="214"/>
        <v/>
      </c>
    </row>
    <row r="2709" spans="1:7" x14ac:dyDescent="0.4">
      <c r="A2709" t="str">
        <f t="shared" si="210"/>
        <v/>
      </c>
      <c r="B2709" t="str">
        <f t="shared" si="211"/>
        <v/>
      </c>
      <c r="C2709" t="str">
        <f t="shared" si="212"/>
        <v/>
      </c>
      <c r="D2709" t="str">
        <f>IF(E2709="","",IF(COUNTIF($E$2:E2709,E2709)&gt;1,"",SUMIFS(tbl_input[필요수량],tbl_input[집계키_지청],E2709)))</f>
        <v/>
      </c>
      <c r="E2709" t="str">
        <f>IFERROR(INDEX(tbl_input[집계키_지청],ROW()-1),"")</f>
        <v/>
      </c>
      <c r="F2709" t="str">
        <f t="shared" si="213"/>
        <v/>
      </c>
      <c r="G2709" t="str">
        <f t="shared" si="214"/>
        <v/>
      </c>
    </row>
    <row r="2710" spans="1:7" x14ac:dyDescent="0.4">
      <c r="A2710" t="str">
        <f t="shared" si="210"/>
        <v/>
      </c>
      <c r="B2710" t="str">
        <f t="shared" si="211"/>
        <v/>
      </c>
      <c r="C2710" t="str">
        <f t="shared" si="212"/>
        <v/>
      </c>
      <c r="D2710" t="str">
        <f>IF(E2710="","",IF(COUNTIF($E$2:E2710,E2710)&gt;1,"",SUMIFS(tbl_input[필요수량],tbl_input[집계키_지청],E2710)))</f>
        <v/>
      </c>
      <c r="E2710" t="str">
        <f>IFERROR(INDEX(tbl_input[집계키_지청],ROW()-1),"")</f>
        <v/>
      </c>
      <c r="F2710" t="str">
        <f t="shared" si="213"/>
        <v/>
      </c>
      <c r="G2710" t="str">
        <f t="shared" si="214"/>
        <v/>
      </c>
    </row>
    <row r="2711" spans="1:7" x14ac:dyDescent="0.4">
      <c r="A2711" t="str">
        <f t="shared" si="210"/>
        <v/>
      </c>
      <c r="B2711" t="str">
        <f t="shared" si="211"/>
        <v/>
      </c>
      <c r="C2711" t="str">
        <f t="shared" si="212"/>
        <v/>
      </c>
      <c r="D2711" t="str">
        <f>IF(E2711="","",IF(COUNTIF($E$2:E2711,E2711)&gt;1,"",SUMIFS(tbl_input[필요수량],tbl_input[집계키_지청],E2711)))</f>
        <v/>
      </c>
      <c r="E2711" t="str">
        <f>IFERROR(INDEX(tbl_input[집계키_지청],ROW()-1),"")</f>
        <v/>
      </c>
      <c r="F2711" t="str">
        <f t="shared" si="213"/>
        <v/>
      </c>
      <c r="G2711" t="str">
        <f t="shared" si="214"/>
        <v/>
      </c>
    </row>
    <row r="2712" spans="1:7" x14ac:dyDescent="0.4">
      <c r="A2712" t="str">
        <f t="shared" si="210"/>
        <v/>
      </c>
      <c r="B2712" t="str">
        <f t="shared" si="211"/>
        <v/>
      </c>
      <c r="C2712" t="str">
        <f t="shared" si="212"/>
        <v/>
      </c>
      <c r="D2712" t="str">
        <f>IF(E2712="","",IF(COUNTIF($E$2:E2712,E2712)&gt;1,"",SUMIFS(tbl_input[필요수량],tbl_input[집계키_지청],E2712)))</f>
        <v/>
      </c>
      <c r="E2712" t="str">
        <f>IFERROR(INDEX(tbl_input[집계키_지청],ROW()-1),"")</f>
        <v/>
      </c>
      <c r="F2712" t="str">
        <f t="shared" si="213"/>
        <v/>
      </c>
      <c r="G2712" t="str">
        <f t="shared" si="214"/>
        <v/>
      </c>
    </row>
    <row r="2713" spans="1:7" x14ac:dyDescent="0.4">
      <c r="A2713" t="str">
        <f t="shared" si="210"/>
        <v/>
      </c>
      <c r="B2713" t="str">
        <f t="shared" si="211"/>
        <v/>
      </c>
      <c r="C2713" t="str">
        <f t="shared" si="212"/>
        <v/>
      </c>
      <c r="D2713" t="str">
        <f>IF(E2713="","",IF(COUNTIF($E$2:E2713,E2713)&gt;1,"",SUMIFS(tbl_input[필요수량],tbl_input[집계키_지청],E2713)))</f>
        <v/>
      </c>
      <c r="E2713" t="str">
        <f>IFERROR(INDEX(tbl_input[집계키_지청],ROW()-1),"")</f>
        <v/>
      </c>
      <c r="F2713" t="str">
        <f t="shared" si="213"/>
        <v/>
      </c>
      <c r="G2713" t="str">
        <f t="shared" si="214"/>
        <v/>
      </c>
    </row>
    <row r="2714" spans="1:7" x14ac:dyDescent="0.4">
      <c r="A2714" t="str">
        <f t="shared" si="210"/>
        <v/>
      </c>
      <c r="B2714" t="str">
        <f t="shared" si="211"/>
        <v/>
      </c>
      <c r="C2714" t="str">
        <f t="shared" si="212"/>
        <v/>
      </c>
      <c r="D2714" t="str">
        <f>IF(E2714="","",IF(COUNTIF($E$2:E2714,E2714)&gt;1,"",SUMIFS(tbl_input[필요수량],tbl_input[집계키_지청],E2714)))</f>
        <v/>
      </c>
      <c r="E2714" t="str">
        <f>IFERROR(INDEX(tbl_input[집계키_지청],ROW()-1),"")</f>
        <v/>
      </c>
      <c r="F2714" t="str">
        <f t="shared" si="213"/>
        <v/>
      </c>
      <c r="G2714" t="str">
        <f t="shared" si="214"/>
        <v/>
      </c>
    </row>
    <row r="2715" spans="1:7" x14ac:dyDescent="0.4">
      <c r="A2715" t="str">
        <f t="shared" si="210"/>
        <v/>
      </c>
      <c r="B2715" t="str">
        <f t="shared" si="211"/>
        <v/>
      </c>
      <c r="C2715" t="str">
        <f t="shared" si="212"/>
        <v/>
      </c>
      <c r="D2715" t="str">
        <f>IF(E2715="","",IF(COUNTIF($E$2:E2715,E2715)&gt;1,"",SUMIFS(tbl_input[필요수량],tbl_input[집계키_지청],E2715)))</f>
        <v/>
      </c>
      <c r="E2715" t="str">
        <f>IFERROR(INDEX(tbl_input[집계키_지청],ROW()-1),"")</f>
        <v/>
      </c>
      <c r="F2715" t="str">
        <f t="shared" si="213"/>
        <v/>
      </c>
      <c r="G2715" t="str">
        <f t="shared" si="214"/>
        <v/>
      </c>
    </row>
    <row r="2716" spans="1:7" x14ac:dyDescent="0.4">
      <c r="A2716" t="str">
        <f t="shared" si="210"/>
        <v/>
      </c>
      <c r="B2716" t="str">
        <f t="shared" si="211"/>
        <v/>
      </c>
      <c r="C2716" t="str">
        <f t="shared" si="212"/>
        <v/>
      </c>
      <c r="D2716" t="str">
        <f>IF(E2716="","",IF(COUNTIF($E$2:E2716,E2716)&gt;1,"",SUMIFS(tbl_input[필요수량],tbl_input[집계키_지청],E2716)))</f>
        <v/>
      </c>
      <c r="E2716" t="str">
        <f>IFERROR(INDEX(tbl_input[집계키_지청],ROW()-1),"")</f>
        <v/>
      </c>
      <c r="F2716" t="str">
        <f t="shared" si="213"/>
        <v/>
      </c>
      <c r="G2716" t="str">
        <f t="shared" si="214"/>
        <v/>
      </c>
    </row>
    <row r="2717" spans="1:7" x14ac:dyDescent="0.4">
      <c r="A2717" t="str">
        <f t="shared" si="210"/>
        <v/>
      </c>
      <c r="B2717" t="str">
        <f t="shared" si="211"/>
        <v/>
      </c>
      <c r="C2717" t="str">
        <f t="shared" si="212"/>
        <v/>
      </c>
      <c r="D2717" t="str">
        <f>IF(E2717="","",IF(COUNTIF($E$2:E2717,E2717)&gt;1,"",SUMIFS(tbl_input[필요수량],tbl_input[집계키_지청],E2717)))</f>
        <v/>
      </c>
      <c r="E2717" t="str">
        <f>IFERROR(INDEX(tbl_input[집계키_지청],ROW()-1),"")</f>
        <v/>
      </c>
      <c r="F2717" t="str">
        <f t="shared" si="213"/>
        <v/>
      </c>
      <c r="G2717" t="str">
        <f t="shared" si="214"/>
        <v/>
      </c>
    </row>
    <row r="2718" spans="1:7" x14ac:dyDescent="0.4">
      <c r="A2718" t="str">
        <f t="shared" si="210"/>
        <v/>
      </c>
      <c r="B2718" t="str">
        <f t="shared" si="211"/>
        <v/>
      </c>
      <c r="C2718" t="str">
        <f t="shared" si="212"/>
        <v/>
      </c>
      <c r="D2718" t="str">
        <f>IF(E2718="","",IF(COUNTIF($E$2:E2718,E2718)&gt;1,"",SUMIFS(tbl_input[필요수량],tbl_input[집계키_지청],E2718)))</f>
        <v/>
      </c>
      <c r="E2718" t="str">
        <f>IFERROR(INDEX(tbl_input[집계키_지청],ROW()-1),"")</f>
        <v/>
      </c>
      <c r="F2718" t="str">
        <f t="shared" si="213"/>
        <v/>
      </c>
      <c r="G2718" t="str">
        <f t="shared" si="214"/>
        <v/>
      </c>
    </row>
    <row r="2719" spans="1:7" x14ac:dyDescent="0.4">
      <c r="A2719" t="str">
        <f t="shared" si="210"/>
        <v/>
      </c>
      <c r="B2719" t="str">
        <f t="shared" si="211"/>
        <v/>
      </c>
      <c r="C2719" t="str">
        <f t="shared" si="212"/>
        <v/>
      </c>
      <c r="D2719" t="str">
        <f>IF(E2719="","",IF(COUNTIF($E$2:E2719,E2719)&gt;1,"",SUMIFS(tbl_input[필요수량],tbl_input[집계키_지청],E2719)))</f>
        <v/>
      </c>
      <c r="E2719" t="str">
        <f>IFERROR(INDEX(tbl_input[집계키_지청],ROW()-1),"")</f>
        <v/>
      </c>
      <c r="F2719" t="str">
        <f t="shared" si="213"/>
        <v/>
      </c>
      <c r="G2719" t="str">
        <f t="shared" si="214"/>
        <v/>
      </c>
    </row>
    <row r="2720" spans="1:7" x14ac:dyDescent="0.4">
      <c r="A2720" t="str">
        <f t="shared" si="210"/>
        <v/>
      </c>
      <c r="B2720" t="str">
        <f t="shared" si="211"/>
        <v/>
      </c>
      <c r="C2720" t="str">
        <f t="shared" si="212"/>
        <v/>
      </c>
      <c r="D2720" t="str">
        <f>IF(E2720="","",IF(COUNTIF($E$2:E2720,E2720)&gt;1,"",SUMIFS(tbl_input[필요수량],tbl_input[집계키_지청],E2720)))</f>
        <v/>
      </c>
      <c r="E2720" t="str">
        <f>IFERROR(INDEX(tbl_input[집계키_지청],ROW()-1),"")</f>
        <v/>
      </c>
      <c r="F2720" t="str">
        <f t="shared" si="213"/>
        <v/>
      </c>
      <c r="G2720" t="str">
        <f t="shared" si="214"/>
        <v/>
      </c>
    </row>
    <row r="2721" spans="1:7" x14ac:dyDescent="0.4">
      <c r="A2721" t="str">
        <f t="shared" si="210"/>
        <v/>
      </c>
      <c r="B2721" t="str">
        <f t="shared" si="211"/>
        <v/>
      </c>
      <c r="C2721" t="str">
        <f t="shared" si="212"/>
        <v/>
      </c>
      <c r="D2721" t="str">
        <f>IF(E2721="","",IF(COUNTIF($E$2:E2721,E2721)&gt;1,"",SUMIFS(tbl_input[필요수량],tbl_input[집계키_지청],E2721)))</f>
        <v/>
      </c>
      <c r="E2721" t="str">
        <f>IFERROR(INDEX(tbl_input[집계키_지청],ROW()-1),"")</f>
        <v/>
      </c>
      <c r="F2721" t="str">
        <f t="shared" si="213"/>
        <v/>
      </c>
      <c r="G2721" t="str">
        <f t="shared" si="214"/>
        <v/>
      </c>
    </row>
    <row r="2722" spans="1:7" x14ac:dyDescent="0.4">
      <c r="A2722" t="str">
        <f t="shared" si="210"/>
        <v/>
      </c>
      <c r="B2722" t="str">
        <f t="shared" si="211"/>
        <v/>
      </c>
      <c r="C2722" t="str">
        <f t="shared" si="212"/>
        <v/>
      </c>
      <c r="D2722" t="str">
        <f>IF(E2722="","",IF(COUNTIF($E$2:E2722,E2722)&gt;1,"",SUMIFS(tbl_input[필요수량],tbl_input[집계키_지청],E2722)))</f>
        <v/>
      </c>
      <c r="E2722" t="str">
        <f>IFERROR(INDEX(tbl_input[집계키_지청],ROW()-1),"")</f>
        <v/>
      </c>
      <c r="F2722" t="str">
        <f t="shared" si="213"/>
        <v/>
      </c>
      <c r="G2722" t="str">
        <f t="shared" si="214"/>
        <v/>
      </c>
    </row>
    <row r="2723" spans="1:7" x14ac:dyDescent="0.4">
      <c r="A2723" t="str">
        <f t="shared" si="210"/>
        <v/>
      </c>
      <c r="B2723" t="str">
        <f t="shared" si="211"/>
        <v/>
      </c>
      <c r="C2723" t="str">
        <f t="shared" si="212"/>
        <v/>
      </c>
      <c r="D2723" t="str">
        <f>IF(E2723="","",IF(COUNTIF($E$2:E2723,E2723)&gt;1,"",SUMIFS(tbl_input[필요수량],tbl_input[집계키_지청],E2723)))</f>
        <v/>
      </c>
      <c r="E2723" t="str">
        <f>IFERROR(INDEX(tbl_input[집계키_지청],ROW()-1),"")</f>
        <v/>
      </c>
      <c r="F2723" t="str">
        <f t="shared" si="213"/>
        <v/>
      </c>
      <c r="G2723" t="str">
        <f t="shared" si="214"/>
        <v/>
      </c>
    </row>
    <row r="2724" spans="1:7" x14ac:dyDescent="0.4">
      <c r="A2724" t="str">
        <f t="shared" si="210"/>
        <v/>
      </c>
      <c r="B2724" t="str">
        <f t="shared" si="211"/>
        <v/>
      </c>
      <c r="C2724" t="str">
        <f t="shared" si="212"/>
        <v/>
      </c>
      <c r="D2724" t="str">
        <f>IF(E2724="","",IF(COUNTIF($E$2:E2724,E2724)&gt;1,"",SUMIFS(tbl_input[필요수량],tbl_input[집계키_지청],E2724)))</f>
        <v/>
      </c>
      <c r="E2724" t="str">
        <f>IFERROR(INDEX(tbl_input[집계키_지청],ROW()-1),"")</f>
        <v/>
      </c>
      <c r="F2724" t="str">
        <f t="shared" si="213"/>
        <v/>
      </c>
      <c r="G2724" t="str">
        <f t="shared" si="214"/>
        <v/>
      </c>
    </row>
    <row r="2725" spans="1:7" x14ac:dyDescent="0.4">
      <c r="A2725" t="str">
        <f t="shared" si="210"/>
        <v/>
      </c>
      <c r="B2725" t="str">
        <f t="shared" si="211"/>
        <v/>
      </c>
      <c r="C2725" t="str">
        <f t="shared" si="212"/>
        <v/>
      </c>
      <c r="D2725" t="str">
        <f>IF(E2725="","",IF(COUNTIF($E$2:E2725,E2725)&gt;1,"",SUMIFS(tbl_input[필요수량],tbl_input[집계키_지청],E2725)))</f>
        <v/>
      </c>
      <c r="E2725" t="str">
        <f>IFERROR(INDEX(tbl_input[집계키_지청],ROW()-1),"")</f>
        <v/>
      </c>
      <c r="F2725" t="str">
        <f t="shared" si="213"/>
        <v/>
      </c>
      <c r="G2725" t="str">
        <f t="shared" si="214"/>
        <v/>
      </c>
    </row>
    <row r="2726" spans="1:7" x14ac:dyDescent="0.4">
      <c r="A2726" t="str">
        <f t="shared" si="210"/>
        <v/>
      </c>
      <c r="B2726" t="str">
        <f t="shared" si="211"/>
        <v/>
      </c>
      <c r="C2726" t="str">
        <f t="shared" si="212"/>
        <v/>
      </c>
      <c r="D2726" t="str">
        <f>IF(E2726="","",IF(COUNTIF($E$2:E2726,E2726)&gt;1,"",SUMIFS(tbl_input[필요수량],tbl_input[집계키_지청],E2726)))</f>
        <v/>
      </c>
      <c r="E2726" t="str">
        <f>IFERROR(INDEX(tbl_input[집계키_지청],ROW()-1),"")</f>
        <v/>
      </c>
      <c r="F2726" t="str">
        <f t="shared" si="213"/>
        <v/>
      </c>
      <c r="G2726" t="str">
        <f t="shared" si="214"/>
        <v/>
      </c>
    </row>
    <row r="2727" spans="1:7" x14ac:dyDescent="0.4">
      <c r="A2727" t="str">
        <f t="shared" si="210"/>
        <v/>
      </c>
      <c r="B2727" t="str">
        <f t="shared" si="211"/>
        <v/>
      </c>
      <c r="C2727" t="str">
        <f t="shared" si="212"/>
        <v/>
      </c>
      <c r="D2727" t="str">
        <f>IF(E2727="","",IF(COUNTIF($E$2:E2727,E2727)&gt;1,"",SUMIFS(tbl_input[필요수량],tbl_input[집계키_지청],E2727)))</f>
        <v/>
      </c>
      <c r="E2727" t="str">
        <f>IFERROR(INDEX(tbl_input[집계키_지청],ROW()-1),"")</f>
        <v/>
      </c>
      <c r="F2727" t="str">
        <f t="shared" si="213"/>
        <v/>
      </c>
      <c r="G2727" t="str">
        <f t="shared" si="214"/>
        <v/>
      </c>
    </row>
    <row r="2728" spans="1:7" x14ac:dyDescent="0.4">
      <c r="A2728" t="str">
        <f t="shared" si="210"/>
        <v/>
      </c>
      <c r="B2728" t="str">
        <f t="shared" si="211"/>
        <v/>
      </c>
      <c r="C2728" t="str">
        <f t="shared" si="212"/>
        <v/>
      </c>
      <c r="D2728" t="str">
        <f>IF(E2728="","",IF(COUNTIF($E$2:E2728,E2728)&gt;1,"",SUMIFS(tbl_input[필요수량],tbl_input[집계키_지청],E2728)))</f>
        <v/>
      </c>
      <c r="E2728" t="str">
        <f>IFERROR(INDEX(tbl_input[집계키_지청],ROW()-1),"")</f>
        <v/>
      </c>
      <c r="F2728" t="str">
        <f t="shared" si="213"/>
        <v/>
      </c>
      <c r="G2728" t="str">
        <f t="shared" si="214"/>
        <v/>
      </c>
    </row>
    <row r="2729" spans="1:7" x14ac:dyDescent="0.4">
      <c r="A2729" t="str">
        <f t="shared" si="210"/>
        <v/>
      </c>
      <c r="B2729" t="str">
        <f t="shared" si="211"/>
        <v/>
      </c>
      <c r="C2729" t="str">
        <f t="shared" si="212"/>
        <v/>
      </c>
      <c r="D2729" t="str">
        <f>IF(E2729="","",IF(COUNTIF($E$2:E2729,E2729)&gt;1,"",SUMIFS(tbl_input[필요수량],tbl_input[집계키_지청],E2729)))</f>
        <v/>
      </c>
      <c r="E2729" t="str">
        <f>IFERROR(INDEX(tbl_input[집계키_지청],ROW()-1),"")</f>
        <v/>
      </c>
      <c r="F2729" t="str">
        <f t="shared" si="213"/>
        <v/>
      </c>
      <c r="G2729" t="str">
        <f t="shared" si="214"/>
        <v/>
      </c>
    </row>
    <row r="2730" spans="1:7" x14ac:dyDescent="0.4">
      <c r="A2730" t="str">
        <f t="shared" si="210"/>
        <v/>
      </c>
      <c r="B2730" t="str">
        <f t="shared" si="211"/>
        <v/>
      </c>
      <c r="C2730" t="str">
        <f t="shared" si="212"/>
        <v/>
      </c>
      <c r="D2730" t="str">
        <f>IF(E2730="","",IF(COUNTIF($E$2:E2730,E2730)&gt;1,"",SUMIFS(tbl_input[필요수량],tbl_input[집계키_지청],E2730)))</f>
        <v/>
      </c>
      <c r="E2730" t="str">
        <f>IFERROR(INDEX(tbl_input[집계키_지청],ROW()-1),"")</f>
        <v/>
      </c>
      <c r="F2730" t="str">
        <f t="shared" si="213"/>
        <v/>
      </c>
      <c r="G2730" t="str">
        <f t="shared" si="214"/>
        <v/>
      </c>
    </row>
    <row r="2731" spans="1:7" x14ac:dyDescent="0.4">
      <c r="A2731" t="str">
        <f t="shared" si="210"/>
        <v/>
      </c>
      <c r="B2731" t="str">
        <f t="shared" si="211"/>
        <v/>
      </c>
      <c r="C2731" t="str">
        <f t="shared" si="212"/>
        <v/>
      </c>
      <c r="D2731" t="str">
        <f>IF(E2731="","",IF(COUNTIF($E$2:E2731,E2731)&gt;1,"",SUMIFS(tbl_input[필요수량],tbl_input[집계키_지청],E2731)))</f>
        <v/>
      </c>
      <c r="E2731" t="str">
        <f>IFERROR(INDEX(tbl_input[집계키_지청],ROW()-1),"")</f>
        <v/>
      </c>
      <c r="F2731" t="str">
        <f t="shared" si="213"/>
        <v/>
      </c>
      <c r="G2731" t="str">
        <f t="shared" si="214"/>
        <v/>
      </c>
    </row>
    <row r="2732" spans="1:7" x14ac:dyDescent="0.4">
      <c r="A2732" t="str">
        <f t="shared" si="210"/>
        <v/>
      </c>
      <c r="B2732" t="str">
        <f t="shared" si="211"/>
        <v/>
      </c>
      <c r="C2732" t="str">
        <f t="shared" si="212"/>
        <v/>
      </c>
      <c r="D2732" t="str">
        <f>IF(E2732="","",IF(COUNTIF($E$2:E2732,E2732)&gt;1,"",SUMIFS(tbl_input[필요수량],tbl_input[집계키_지청],E2732)))</f>
        <v/>
      </c>
      <c r="E2732" t="str">
        <f>IFERROR(INDEX(tbl_input[집계키_지청],ROW()-1),"")</f>
        <v/>
      </c>
      <c r="F2732" t="str">
        <f t="shared" si="213"/>
        <v/>
      </c>
      <c r="G2732" t="str">
        <f t="shared" si="214"/>
        <v/>
      </c>
    </row>
    <row r="2733" spans="1:7" x14ac:dyDescent="0.4">
      <c r="A2733" t="str">
        <f t="shared" si="210"/>
        <v/>
      </c>
      <c r="B2733" t="str">
        <f t="shared" si="211"/>
        <v/>
      </c>
      <c r="C2733" t="str">
        <f t="shared" si="212"/>
        <v/>
      </c>
      <c r="D2733" t="str">
        <f>IF(E2733="","",IF(COUNTIF($E$2:E2733,E2733)&gt;1,"",SUMIFS(tbl_input[필요수량],tbl_input[집계키_지청],E2733)))</f>
        <v/>
      </c>
      <c r="E2733" t="str">
        <f>IFERROR(INDEX(tbl_input[집계키_지청],ROW()-1),"")</f>
        <v/>
      </c>
      <c r="F2733" t="str">
        <f t="shared" si="213"/>
        <v/>
      </c>
      <c r="G2733" t="str">
        <f t="shared" si="214"/>
        <v/>
      </c>
    </row>
    <row r="2734" spans="1:7" x14ac:dyDescent="0.4">
      <c r="A2734" t="str">
        <f t="shared" si="210"/>
        <v/>
      </c>
      <c r="B2734" t="str">
        <f t="shared" si="211"/>
        <v/>
      </c>
      <c r="C2734" t="str">
        <f t="shared" si="212"/>
        <v/>
      </c>
      <c r="D2734" t="str">
        <f>IF(E2734="","",IF(COUNTIF($E$2:E2734,E2734)&gt;1,"",SUMIFS(tbl_input[필요수량],tbl_input[집계키_지청],E2734)))</f>
        <v/>
      </c>
      <c r="E2734" t="str">
        <f>IFERROR(INDEX(tbl_input[집계키_지청],ROW()-1),"")</f>
        <v/>
      </c>
      <c r="F2734" t="str">
        <f t="shared" si="213"/>
        <v/>
      </c>
      <c r="G2734" t="str">
        <f t="shared" si="214"/>
        <v/>
      </c>
    </row>
    <row r="2735" spans="1:7" x14ac:dyDescent="0.4">
      <c r="A2735" t="str">
        <f t="shared" si="210"/>
        <v/>
      </c>
      <c r="B2735" t="str">
        <f t="shared" si="211"/>
        <v/>
      </c>
      <c r="C2735" t="str">
        <f t="shared" si="212"/>
        <v/>
      </c>
      <c r="D2735" t="str">
        <f>IF(E2735="","",IF(COUNTIF($E$2:E2735,E2735)&gt;1,"",SUMIFS(tbl_input[필요수량],tbl_input[집계키_지청],E2735)))</f>
        <v/>
      </c>
      <c r="E2735" t="str">
        <f>IFERROR(INDEX(tbl_input[집계키_지청],ROW()-1),"")</f>
        <v/>
      </c>
      <c r="F2735" t="str">
        <f t="shared" si="213"/>
        <v/>
      </c>
      <c r="G2735" t="str">
        <f t="shared" si="214"/>
        <v/>
      </c>
    </row>
    <row r="2736" spans="1:7" x14ac:dyDescent="0.4">
      <c r="A2736" t="str">
        <f t="shared" si="210"/>
        <v/>
      </c>
      <c r="B2736" t="str">
        <f t="shared" si="211"/>
        <v/>
      </c>
      <c r="C2736" t="str">
        <f t="shared" si="212"/>
        <v/>
      </c>
      <c r="D2736" t="str">
        <f>IF(E2736="","",IF(COUNTIF($E$2:E2736,E2736)&gt;1,"",SUMIFS(tbl_input[필요수량],tbl_input[집계키_지청],E2736)))</f>
        <v/>
      </c>
      <c r="E2736" t="str">
        <f>IFERROR(INDEX(tbl_input[집계키_지청],ROW()-1),"")</f>
        <v/>
      </c>
      <c r="F2736" t="str">
        <f t="shared" si="213"/>
        <v/>
      </c>
      <c r="G2736" t="str">
        <f t="shared" si="214"/>
        <v/>
      </c>
    </row>
    <row r="2737" spans="1:7" x14ac:dyDescent="0.4">
      <c r="A2737" t="str">
        <f t="shared" si="210"/>
        <v/>
      </c>
      <c r="B2737" t="str">
        <f t="shared" si="211"/>
        <v/>
      </c>
      <c r="C2737" t="str">
        <f t="shared" si="212"/>
        <v/>
      </c>
      <c r="D2737" t="str">
        <f>IF(E2737="","",IF(COUNTIF($E$2:E2737,E2737)&gt;1,"",SUMIFS(tbl_input[필요수량],tbl_input[집계키_지청],E2737)))</f>
        <v/>
      </c>
      <c r="E2737" t="str">
        <f>IFERROR(INDEX(tbl_input[집계키_지청],ROW()-1),"")</f>
        <v/>
      </c>
      <c r="F2737" t="str">
        <f t="shared" si="213"/>
        <v/>
      </c>
      <c r="G2737" t="str">
        <f t="shared" si="214"/>
        <v/>
      </c>
    </row>
    <row r="2738" spans="1:7" x14ac:dyDescent="0.4">
      <c r="A2738" t="str">
        <f t="shared" si="210"/>
        <v/>
      </c>
      <c r="B2738" t="str">
        <f t="shared" si="211"/>
        <v/>
      </c>
      <c r="C2738" t="str">
        <f t="shared" si="212"/>
        <v/>
      </c>
      <c r="D2738" t="str">
        <f>IF(E2738="","",IF(COUNTIF($E$2:E2738,E2738)&gt;1,"",SUMIFS(tbl_input[필요수량],tbl_input[집계키_지청],E2738)))</f>
        <v/>
      </c>
      <c r="E2738" t="str">
        <f>IFERROR(INDEX(tbl_input[집계키_지청],ROW()-1),"")</f>
        <v/>
      </c>
      <c r="F2738" t="str">
        <f t="shared" si="213"/>
        <v/>
      </c>
      <c r="G2738" t="str">
        <f t="shared" si="214"/>
        <v/>
      </c>
    </row>
    <row r="2739" spans="1:7" x14ac:dyDescent="0.4">
      <c r="A2739" t="str">
        <f t="shared" si="210"/>
        <v/>
      </c>
      <c r="B2739" t="str">
        <f t="shared" si="211"/>
        <v/>
      </c>
      <c r="C2739" t="str">
        <f t="shared" si="212"/>
        <v/>
      </c>
      <c r="D2739" t="str">
        <f>IF(E2739="","",IF(COUNTIF($E$2:E2739,E2739)&gt;1,"",SUMIFS(tbl_input[필요수량],tbl_input[집계키_지청],E2739)))</f>
        <v/>
      </c>
      <c r="E2739" t="str">
        <f>IFERROR(INDEX(tbl_input[집계키_지청],ROW()-1),"")</f>
        <v/>
      </c>
      <c r="F2739" t="str">
        <f t="shared" si="213"/>
        <v/>
      </c>
      <c r="G2739" t="str">
        <f t="shared" si="214"/>
        <v/>
      </c>
    </row>
    <row r="2740" spans="1:7" x14ac:dyDescent="0.4">
      <c r="A2740" t="str">
        <f t="shared" si="210"/>
        <v/>
      </c>
      <c r="B2740" t="str">
        <f t="shared" si="211"/>
        <v/>
      </c>
      <c r="C2740" t="str">
        <f t="shared" si="212"/>
        <v/>
      </c>
      <c r="D2740" t="str">
        <f>IF(E2740="","",IF(COUNTIF($E$2:E2740,E2740)&gt;1,"",SUMIFS(tbl_input[필요수량],tbl_input[집계키_지청],E2740)))</f>
        <v/>
      </c>
      <c r="E2740" t="str">
        <f>IFERROR(INDEX(tbl_input[집계키_지청],ROW()-1),"")</f>
        <v/>
      </c>
      <c r="F2740" t="str">
        <f t="shared" si="213"/>
        <v/>
      </c>
      <c r="G2740" t="str">
        <f t="shared" si="214"/>
        <v/>
      </c>
    </row>
    <row r="2741" spans="1:7" x14ac:dyDescent="0.4">
      <c r="A2741" t="str">
        <f t="shared" si="210"/>
        <v/>
      </c>
      <c r="B2741" t="str">
        <f t="shared" si="211"/>
        <v/>
      </c>
      <c r="C2741" t="str">
        <f t="shared" si="212"/>
        <v/>
      </c>
      <c r="D2741" t="str">
        <f>IF(E2741="","",IF(COUNTIF($E$2:E2741,E2741)&gt;1,"",SUMIFS(tbl_input[필요수량],tbl_input[집계키_지청],E2741)))</f>
        <v/>
      </c>
      <c r="E2741" t="str">
        <f>IFERROR(INDEX(tbl_input[집계키_지청],ROW()-1),"")</f>
        <v/>
      </c>
      <c r="F2741" t="str">
        <f t="shared" si="213"/>
        <v/>
      </c>
      <c r="G2741" t="str">
        <f t="shared" si="214"/>
        <v/>
      </c>
    </row>
    <row r="2742" spans="1:7" x14ac:dyDescent="0.4">
      <c r="A2742" t="str">
        <f t="shared" si="210"/>
        <v/>
      </c>
      <c r="B2742" t="str">
        <f t="shared" si="211"/>
        <v/>
      </c>
      <c r="C2742" t="str">
        <f t="shared" si="212"/>
        <v/>
      </c>
      <c r="D2742" t="str">
        <f>IF(E2742="","",IF(COUNTIF($E$2:E2742,E2742)&gt;1,"",SUMIFS(tbl_input[필요수량],tbl_input[집계키_지청],E2742)))</f>
        <v/>
      </c>
      <c r="E2742" t="str">
        <f>IFERROR(INDEX(tbl_input[집계키_지청],ROW()-1),"")</f>
        <v/>
      </c>
      <c r="F2742" t="str">
        <f t="shared" si="213"/>
        <v/>
      </c>
      <c r="G2742" t="str">
        <f t="shared" si="214"/>
        <v/>
      </c>
    </row>
    <row r="2743" spans="1:7" x14ac:dyDescent="0.4">
      <c r="A2743" t="str">
        <f t="shared" si="210"/>
        <v/>
      </c>
      <c r="B2743" t="str">
        <f t="shared" si="211"/>
        <v/>
      </c>
      <c r="C2743" t="str">
        <f t="shared" si="212"/>
        <v/>
      </c>
      <c r="D2743" t="str">
        <f>IF(E2743="","",IF(COUNTIF($E$2:E2743,E2743)&gt;1,"",SUMIFS(tbl_input[필요수량],tbl_input[집계키_지청],E2743)))</f>
        <v/>
      </c>
      <c r="E2743" t="str">
        <f>IFERROR(INDEX(tbl_input[집계키_지청],ROW()-1),"")</f>
        <v/>
      </c>
      <c r="F2743" t="str">
        <f t="shared" si="213"/>
        <v/>
      </c>
      <c r="G2743" t="str">
        <f t="shared" si="214"/>
        <v/>
      </c>
    </row>
    <row r="2744" spans="1:7" x14ac:dyDescent="0.4">
      <c r="A2744" t="str">
        <f t="shared" si="210"/>
        <v/>
      </c>
      <c r="B2744" t="str">
        <f t="shared" si="211"/>
        <v/>
      </c>
      <c r="C2744" t="str">
        <f t="shared" si="212"/>
        <v/>
      </c>
      <c r="D2744" t="str">
        <f>IF(E2744="","",IF(COUNTIF($E$2:E2744,E2744)&gt;1,"",SUMIFS(tbl_input[필요수량],tbl_input[집계키_지청],E2744)))</f>
        <v/>
      </c>
      <c r="E2744" t="str">
        <f>IFERROR(INDEX(tbl_input[집계키_지청],ROW()-1),"")</f>
        <v/>
      </c>
      <c r="F2744" t="str">
        <f t="shared" si="213"/>
        <v/>
      </c>
      <c r="G2744" t="str">
        <f t="shared" si="214"/>
        <v/>
      </c>
    </row>
    <row r="2745" spans="1:7" x14ac:dyDescent="0.4">
      <c r="A2745" t="str">
        <f t="shared" si="210"/>
        <v/>
      </c>
      <c r="B2745" t="str">
        <f t="shared" si="211"/>
        <v/>
      </c>
      <c r="C2745" t="str">
        <f t="shared" si="212"/>
        <v/>
      </c>
      <c r="D2745" t="str">
        <f>IF(E2745="","",IF(COUNTIF($E$2:E2745,E2745)&gt;1,"",SUMIFS(tbl_input[필요수량],tbl_input[집계키_지청],E2745)))</f>
        <v/>
      </c>
      <c r="E2745" t="str">
        <f>IFERROR(INDEX(tbl_input[집계키_지청],ROW()-1),"")</f>
        <v/>
      </c>
      <c r="F2745" t="str">
        <f t="shared" si="213"/>
        <v/>
      </c>
      <c r="G2745" t="str">
        <f t="shared" si="214"/>
        <v/>
      </c>
    </row>
    <row r="2746" spans="1:7" x14ac:dyDescent="0.4">
      <c r="A2746" t="str">
        <f t="shared" si="210"/>
        <v/>
      </c>
      <c r="B2746" t="str">
        <f t="shared" si="211"/>
        <v/>
      </c>
      <c r="C2746" t="str">
        <f t="shared" si="212"/>
        <v/>
      </c>
      <c r="D2746" t="str">
        <f>IF(E2746="","",IF(COUNTIF($E$2:E2746,E2746)&gt;1,"",SUMIFS(tbl_input[필요수량],tbl_input[집계키_지청],E2746)))</f>
        <v/>
      </c>
      <c r="E2746" t="str">
        <f>IFERROR(INDEX(tbl_input[집계키_지청],ROW()-1),"")</f>
        <v/>
      </c>
      <c r="F2746" t="str">
        <f t="shared" si="213"/>
        <v/>
      </c>
      <c r="G2746" t="str">
        <f t="shared" si="214"/>
        <v/>
      </c>
    </row>
    <row r="2747" spans="1:7" x14ac:dyDescent="0.4">
      <c r="A2747" t="str">
        <f t="shared" si="210"/>
        <v/>
      </c>
      <c r="B2747" t="str">
        <f t="shared" si="211"/>
        <v/>
      </c>
      <c r="C2747" t="str">
        <f t="shared" si="212"/>
        <v/>
      </c>
      <c r="D2747" t="str">
        <f>IF(E2747="","",IF(COUNTIF($E$2:E2747,E2747)&gt;1,"",SUMIFS(tbl_input[필요수량],tbl_input[집계키_지청],E2747)))</f>
        <v/>
      </c>
      <c r="E2747" t="str">
        <f>IFERROR(INDEX(tbl_input[집계키_지청],ROW()-1),"")</f>
        <v/>
      </c>
      <c r="F2747" t="str">
        <f t="shared" si="213"/>
        <v/>
      </c>
      <c r="G2747" t="str">
        <f t="shared" si="214"/>
        <v/>
      </c>
    </row>
    <row r="2748" spans="1:7" x14ac:dyDescent="0.4">
      <c r="A2748" t="str">
        <f t="shared" si="210"/>
        <v/>
      </c>
      <c r="B2748" t="str">
        <f t="shared" si="211"/>
        <v/>
      </c>
      <c r="C2748" t="str">
        <f t="shared" si="212"/>
        <v/>
      </c>
      <c r="D2748" t="str">
        <f>IF(E2748="","",IF(COUNTIF($E$2:E2748,E2748)&gt;1,"",SUMIFS(tbl_input[필요수량],tbl_input[집계키_지청],E2748)))</f>
        <v/>
      </c>
      <c r="E2748" t="str">
        <f>IFERROR(INDEX(tbl_input[집계키_지청],ROW()-1),"")</f>
        <v/>
      </c>
      <c r="F2748" t="str">
        <f t="shared" si="213"/>
        <v/>
      </c>
      <c r="G2748" t="str">
        <f t="shared" si="214"/>
        <v/>
      </c>
    </row>
    <row r="2749" spans="1:7" x14ac:dyDescent="0.4">
      <c r="A2749" t="str">
        <f t="shared" si="210"/>
        <v/>
      </c>
      <c r="B2749" t="str">
        <f t="shared" si="211"/>
        <v/>
      </c>
      <c r="C2749" t="str">
        <f t="shared" si="212"/>
        <v/>
      </c>
      <c r="D2749" t="str">
        <f>IF(E2749="","",IF(COUNTIF($E$2:E2749,E2749)&gt;1,"",SUMIFS(tbl_input[필요수량],tbl_input[집계키_지청],E2749)))</f>
        <v/>
      </c>
      <c r="E2749" t="str">
        <f>IFERROR(INDEX(tbl_input[집계키_지청],ROW()-1),"")</f>
        <v/>
      </c>
      <c r="F2749" t="str">
        <f t="shared" si="213"/>
        <v/>
      </c>
      <c r="G2749" t="str">
        <f t="shared" si="214"/>
        <v/>
      </c>
    </row>
    <row r="2750" spans="1:7" x14ac:dyDescent="0.4">
      <c r="A2750" t="str">
        <f t="shared" si="210"/>
        <v/>
      </c>
      <c r="B2750" t="str">
        <f t="shared" si="211"/>
        <v/>
      </c>
      <c r="C2750" t="str">
        <f t="shared" si="212"/>
        <v/>
      </c>
      <c r="D2750" t="str">
        <f>IF(E2750="","",IF(COUNTIF($E$2:E2750,E2750)&gt;1,"",SUMIFS(tbl_input[필요수량],tbl_input[집계키_지청],E2750)))</f>
        <v/>
      </c>
      <c r="E2750" t="str">
        <f>IFERROR(INDEX(tbl_input[집계키_지청],ROW()-1),"")</f>
        <v/>
      </c>
      <c r="F2750" t="str">
        <f t="shared" si="213"/>
        <v/>
      </c>
      <c r="G2750" t="str">
        <f t="shared" si="214"/>
        <v/>
      </c>
    </row>
    <row r="2751" spans="1:7" x14ac:dyDescent="0.4">
      <c r="A2751" t="str">
        <f t="shared" si="210"/>
        <v/>
      </c>
      <c r="B2751" t="str">
        <f t="shared" si="211"/>
        <v/>
      </c>
      <c r="C2751" t="str">
        <f t="shared" si="212"/>
        <v/>
      </c>
      <c r="D2751" t="str">
        <f>IF(E2751="","",IF(COUNTIF($E$2:E2751,E2751)&gt;1,"",SUMIFS(tbl_input[필요수량],tbl_input[집계키_지청],E2751)))</f>
        <v/>
      </c>
      <c r="E2751" t="str">
        <f>IFERROR(INDEX(tbl_input[집계키_지청],ROW()-1),"")</f>
        <v/>
      </c>
      <c r="F2751" t="str">
        <f t="shared" si="213"/>
        <v/>
      </c>
      <c r="G2751" t="str">
        <f t="shared" si="214"/>
        <v/>
      </c>
    </row>
    <row r="2752" spans="1:7" x14ac:dyDescent="0.4">
      <c r="A2752" t="str">
        <f t="shared" si="210"/>
        <v/>
      </c>
      <c r="B2752" t="str">
        <f t="shared" si="211"/>
        <v/>
      </c>
      <c r="C2752" t="str">
        <f t="shared" si="212"/>
        <v/>
      </c>
      <c r="D2752" t="str">
        <f>IF(E2752="","",IF(COUNTIF($E$2:E2752,E2752)&gt;1,"",SUMIFS(tbl_input[필요수량],tbl_input[집계키_지청],E2752)))</f>
        <v/>
      </c>
      <c r="E2752" t="str">
        <f>IFERROR(INDEX(tbl_input[집계키_지청],ROW()-1),"")</f>
        <v/>
      </c>
      <c r="F2752" t="str">
        <f t="shared" si="213"/>
        <v/>
      </c>
      <c r="G2752" t="str">
        <f t="shared" si="214"/>
        <v/>
      </c>
    </row>
    <row r="2753" spans="1:7" x14ac:dyDescent="0.4">
      <c r="A2753" t="str">
        <f t="shared" si="210"/>
        <v/>
      </c>
      <c r="B2753" t="str">
        <f t="shared" si="211"/>
        <v/>
      </c>
      <c r="C2753" t="str">
        <f t="shared" si="212"/>
        <v/>
      </c>
      <c r="D2753" t="str">
        <f>IF(E2753="","",IF(COUNTIF($E$2:E2753,E2753)&gt;1,"",SUMIFS(tbl_input[필요수량],tbl_input[집계키_지청],E2753)))</f>
        <v/>
      </c>
      <c r="E2753" t="str">
        <f>IFERROR(INDEX(tbl_input[집계키_지청],ROW()-1),"")</f>
        <v/>
      </c>
      <c r="F2753" t="str">
        <f t="shared" si="213"/>
        <v/>
      </c>
      <c r="G2753" t="str">
        <f t="shared" si="214"/>
        <v/>
      </c>
    </row>
    <row r="2754" spans="1:7" x14ac:dyDescent="0.4">
      <c r="A2754" t="str">
        <f t="shared" ref="A2754:A2817" si="215">IF(E2754="","",LEFT(E2754,F2754-1))</f>
        <v/>
      </c>
      <c r="B2754" t="str">
        <f t="shared" ref="B2754:B2817" si="216">IF(E2754="","",MID(E2754,F2754+1,G2754-F2754-1))</f>
        <v/>
      </c>
      <c r="C2754" t="str">
        <f t="shared" ref="C2754:C2817" si="217">IF(E2754="","",MID(E2754,G2754+1,999))</f>
        <v/>
      </c>
      <c r="D2754" t="str">
        <f>IF(E2754="","",IF(COUNTIF($E$2:E2754,E2754)&gt;1,"",SUMIFS(tbl_input[필요수량],tbl_input[집계키_지청],E2754)))</f>
        <v/>
      </c>
      <c r="E2754" t="str">
        <f>IFERROR(INDEX(tbl_input[집계키_지청],ROW()-1),"")</f>
        <v/>
      </c>
      <c r="F2754" t="str">
        <f t="shared" ref="F2754:F2817" si="218">IF(E2754="","",FIND("♦",E2754))</f>
        <v/>
      </c>
      <c r="G2754" t="str">
        <f t="shared" ref="G2754:G2817" si="219">IF(E2754="","",FIND("♦",E2754,F2754+1))</f>
        <v/>
      </c>
    </row>
    <row r="2755" spans="1:7" x14ac:dyDescent="0.4">
      <c r="A2755" t="str">
        <f t="shared" si="215"/>
        <v/>
      </c>
      <c r="B2755" t="str">
        <f t="shared" si="216"/>
        <v/>
      </c>
      <c r="C2755" t="str">
        <f t="shared" si="217"/>
        <v/>
      </c>
      <c r="D2755" t="str">
        <f>IF(E2755="","",IF(COUNTIF($E$2:E2755,E2755)&gt;1,"",SUMIFS(tbl_input[필요수량],tbl_input[집계키_지청],E2755)))</f>
        <v/>
      </c>
      <c r="E2755" t="str">
        <f>IFERROR(INDEX(tbl_input[집계키_지청],ROW()-1),"")</f>
        <v/>
      </c>
      <c r="F2755" t="str">
        <f t="shared" si="218"/>
        <v/>
      </c>
      <c r="G2755" t="str">
        <f t="shared" si="219"/>
        <v/>
      </c>
    </row>
    <row r="2756" spans="1:7" x14ac:dyDescent="0.4">
      <c r="A2756" t="str">
        <f t="shared" si="215"/>
        <v/>
      </c>
      <c r="B2756" t="str">
        <f t="shared" si="216"/>
        <v/>
      </c>
      <c r="C2756" t="str">
        <f t="shared" si="217"/>
        <v/>
      </c>
      <c r="D2756" t="str">
        <f>IF(E2756="","",IF(COUNTIF($E$2:E2756,E2756)&gt;1,"",SUMIFS(tbl_input[필요수량],tbl_input[집계키_지청],E2756)))</f>
        <v/>
      </c>
      <c r="E2756" t="str">
        <f>IFERROR(INDEX(tbl_input[집계키_지청],ROW()-1),"")</f>
        <v/>
      </c>
      <c r="F2756" t="str">
        <f t="shared" si="218"/>
        <v/>
      </c>
      <c r="G2756" t="str">
        <f t="shared" si="219"/>
        <v/>
      </c>
    </row>
    <row r="2757" spans="1:7" x14ac:dyDescent="0.4">
      <c r="A2757" t="str">
        <f t="shared" si="215"/>
        <v/>
      </c>
      <c r="B2757" t="str">
        <f t="shared" si="216"/>
        <v/>
      </c>
      <c r="C2757" t="str">
        <f t="shared" si="217"/>
        <v/>
      </c>
      <c r="D2757" t="str">
        <f>IF(E2757="","",IF(COUNTIF($E$2:E2757,E2757)&gt;1,"",SUMIFS(tbl_input[필요수량],tbl_input[집계키_지청],E2757)))</f>
        <v/>
      </c>
      <c r="E2757" t="str">
        <f>IFERROR(INDEX(tbl_input[집계키_지청],ROW()-1),"")</f>
        <v/>
      </c>
      <c r="F2757" t="str">
        <f t="shared" si="218"/>
        <v/>
      </c>
      <c r="G2757" t="str">
        <f t="shared" si="219"/>
        <v/>
      </c>
    </row>
    <row r="2758" spans="1:7" x14ac:dyDescent="0.4">
      <c r="A2758" t="str">
        <f t="shared" si="215"/>
        <v/>
      </c>
      <c r="B2758" t="str">
        <f t="shared" si="216"/>
        <v/>
      </c>
      <c r="C2758" t="str">
        <f t="shared" si="217"/>
        <v/>
      </c>
      <c r="D2758" t="str">
        <f>IF(E2758="","",IF(COUNTIF($E$2:E2758,E2758)&gt;1,"",SUMIFS(tbl_input[필요수량],tbl_input[집계키_지청],E2758)))</f>
        <v/>
      </c>
      <c r="E2758" t="str">
        <f>IFERROR(INDEX(tbl_input[집계키_지청],ROW()-1),"")</f>
        <v/>
      </c>
      <c r="F2758" t="str">
        <f t="shared" si="218"/>
        <v/>
      </c>
      <c r="G2758" t="str">
        <f t="shared" si="219"/>
        <v/>
      </c>
    </row>
    <row r="2759" spans="1:7" x14ac:dyDescent="0.4">
      <c r="A2759" t="str">
        <f t="shared" si="215"/>
        <v/>
      </c>
      <c r="B2759" t="str">
        <f t="shared" si="216"/>
        <v/>
      </c>
      <c r="C2759" t="str">
        <f t="shared" si="217"/>
        <v/>
      </c>
      <c r="D2759" t="str">
        <f>IF(E2759="","",IF(COUNTIF($E$2:E2759,E2759)&gt;1,"",SUMIFS(tbl_input[필요수량],tbl_input[집계키_지청],E2759)))</f>
        <v/>
      </c>
      <c r="E2759" t="str">
        <f>IFERROR(INDEX(tbl_input[집계키_지청],ROW()-1),"")</f>
        <v/>
      </c>
      <c r="F2759" t="str">
        <f t="shared" si="218"/>
        <v/>
      </c>
      <c r="G2759" t="str">
        <f t="shared" si="219"/>
        <v/>
      </c>
    </row>
    <row r="2760" spans="1:7" x14ac:dyDescent="0.4">
      <c r="A2760" t="str">
        <f t="shared" si="215"/>
        <v/>
      </c>
      <c r="B2760" t="str">
        <f t="shared" si="216"/>
        <v/>
      </c>
      <c r="C2760" t="str">
        <f t="shared" si="217"/>
        <v/>
      </c>
      <c r="D2760" t="str">
        <f>IF(E2760="","",IF(COUNTIF($E$2:E2760,E2760)&gt;1,"",SUMIFS(tbl_input[필요수량],tbl_input[집계키_지청],E2760)))</f>
        <v/>
      </c>
      <c r="E2760" t="str">
        <f>IFERROR(INDEX(tbl_input[집계키_지청],ROW()-1),"")</f>
        <v/>
      </c>
      <c r="F2760" t="str">
        <f t="shared" si="218"/>
        <v/>
      </c>
      <c r="G2760" t="str">
        <f t="shared" si="219"/>
        <v/>
      </c>
    </row>
    <row r="2761" spans="1:7" x14ac:dyDescent="0.4">
      <c r="A2761" t="str">
        <f t="shared" si="215"/>
        <v/>
      </c>
      <c r="B2761" t="str">
        <f t="shared" si="216"/>
        <v/>
      </c>
      <c r="C2761" t="str">
        <f t="shared" si="217"/>
        <v/>
      </c>
      <c r="D2761" t="str">
        <f>IF(E2761="","",IF(COUNTIF($E$2:E2761,E2761)&gt;1,"",SUMIFS(tbl_input[필요수량],tbl_input[집계키_지청],E2761)))</f>
        <v/>
      </c>
      <c r="E2761" t="str">
        <f>IFERROR(INDEX(tbl_input[집계키_지청],ROW()-1),"")</f>
        <v/>
      </c>
      <c r="F2761" t="str">
        <f t="shared" si="218"/>
        <v/>
      </c>
      <c r="G2761" t="str">
        <f t="shared" si="219"/>
        <v/>
      </c>
    </row>
    <row r="2762" spans="1:7" x14ac:dyDescent="0.4">
      <c r="A2762" t="str">
        <f t="shared" si="215"/>
        <v/>
      </c>
      <c r="B2762" t="str">
        <f t="shared" si="216"/>
        <v/>
      </c>
      <c r="C2762" t="str">
        <f t="shared" si="217"/>
        <v/>
      </c>
      <c r="D2762" t="str">
        <f>IF(E2762="","",IF(COUNTIF($E$2:E2762,E2762)&gt;1,"",SUMIFS(tbl_input[필요수량],tbl_input[집계키_지청],E2762)))</f>
        <v/>
      </c>
      <c r="E2762" t="str">
        <f>IFERROR(INDEX(tbl_input[집계키_지청],ROW()-1),"")</f>
        <v/>
      </c>
      <c r="F2762" t="str">
        <f t="shared" si="218"/>
        <v/>
      </c>
      <c r="G2762" t="str">
        <f t="shared" si="219"/>
        <v/>
      </c>
    </row>
    <row r="2763" spans="1:7" x14ac:dyDescent="0.4">
      <c r="A2763" t="str">
        <f t="shared" si="215"/>
        <v/>
      </c>
      <c r="B2763" t="str">
        <f t="shared" si="216"/>
        <v/>
      </c>
      <c r="C2763" t="str">
        <f t="shared" si="217"/>
        <v/>
      </c>
      <c r="D2763" t="str">
        <f>IF(E2763="","",IF(COUNTIF($E$2:E2763,E2763)&gt;1,"",SUMIFS(tbl_input[필요수량],tbl_input[집계키_지청],E2763)))</f>
        <v/>
      </c>
      <c r="E2763" t="str">
        <f>IFERROR(INDEX(tbl_input[집계키_지청],ROW()-1),"")</f>
        <v/>
      </c>
      <c r="F2763" t="str">
        <f t="shared" si="218"/>
        <v/>
      </c>
      <c r="G2763" t="str">
        <f t="shared" si="219"/>
        <v/>
      </c>
    </row>
    <row r="2764" spans="1:7" x14ac:dyDescent="0.4">
      <c r="A2764" t="str">
        <f t="shared" si="215"/>
        <v/>
      </c>
      <c r="B2764" t="str">
        <f t="shared" si="216"/>
        <v/>
      </c>
      <c r="C2764" t="str">
        <f t="shared" si="217"/>
        <v/>
      </c>
      <c r="D2764" t="str">
        <f>IF(E2764="","",IF(COUNTIF($E$2:E2764,E2764)&gt;1,"",SUMIFS(tbl_input[필요수량],tbl_input[집계키_지청],E2764)))</f>
        <v/>
      </c>
      <c r="E2764" t="str">
        <f>IFERROR(INDEX(tbl_input[집계키_지청],ROW()-1),"")</f>
        <v/>
      </c>
      <c r="F2764" t="str">
        <f t="shared" si="218"/>
        <v/>
      </c>
      <c r="G2764" t="str">
        <f t="shared" si="219"/>
        <v/>
      </c>
    </row>
    <row r="2765" spans="1:7" x14ac:dyDescent="0.4">
      <c r="A2765" t="str">
        <f t="shared" si="215"/>
        <v/>
      </c>
      <c r="B2765" t="str">
        <f t="shared" si="216"/>
        <v/>
      </c>
      <c r="C2765" t="str">
        <f t="shared" si="217"/>
        <v/>
      </c>
      <c r="D2765" t="str">
        <f>IF(E2765="","",IF(COUNTIF($E$2:E2765,E2765)&gt;1,"",SUMIFS(tbl_input[필요수량],tbl_input[집계키_지청],E2765)))</f>
        <v/>
      </c>
      <c r="E2765" t="str">
        <f>IFERROR(INDEX(tbl_input[집계키_지청],ROW()-1),"")</f>
        <v/>
      </c>
      <c r="F2765" t="str">
        <f t="shared" si="218"/>
        <v/>
      </c>
      <c r="G2765" t="str">
        <f t="shared" si="219"/>
        <v/>
      </c>
    </row>
    <row r="2766" spans="1:7" x14ac:dyDescent="0.4">
      <c r="A2766" t="str">
        <f t="shared" si="215"/>
        <v/>
      </c>
      <c r="B2766" t="str">
        <f t="shared" si="216"/>
        <v/>
      </c>
      <c r="C2766" t="str">
        <f t="shared" si="217"/>
        <v/>
      </c>
      <c r="D2766" t="str">
        <f>IF(E2766="","",IF(COUNTIF($E$2:E2766,E2766)&gt;1,"",SUMIFS(tbl_input[필요수량],tbl_input[집계키_지청],E2766)))</f>
        <v/>
      </c>
      <c r="E2766" t="str">
        <f>IFERROR(INDEX(tbl_input[집계키_지청],ROW()-1),"")</f>
        <v/>
      </c>
      <c r="F2766" t="str">
        <f t="shared" si="218"/>
        <v/>
      </c>
      <c r="G2766" t="str">
        <f t="shared" si="219"/>
        <v/>
      </c>
    </row>
    <row r="2767" spans="1:7" x14ac:dyDescent="0.4">
      <c r="A2767" t="str">
        <f t="shared" si="215"/>
        <v/>
      </c>
      <c r="B2767" t="str">
        <f t="shared" si="216"/>
        <v/>
      </c>
      <c r="C2767" t="str">
        <f t="shared" si="217"/>
        <v/>
      </c>
      <c r="D2767" t="str">
        <f>IF(E2767="","",IF(COUNTIF($E$2:E2767,E2767)&gt;1,"",SUMIFS(tbl_input[필요수량],tbl_input[집계키_지청],E2767)))</f>
        <v/>
      </c>
      <c r="E2767" t="str">
        <f>IFERROR(INDEX(tbl_input[집계키_지청],ROW()-1),"")</f>
        <v/>
      </c>
      <c r="F2767" t="str">
        <f t="shared" si="218"/>
        <v/>
      </c>
      <c r="G2767" t="str">
        <f t="shared" si="219"/>
        <v/>
      </c>
    </row>
    <row r="2768" spans="1:7" x14ac:dyDescent="0.4">
      <c r="A2768" t="str">
        <f t="shared" si="215"/>
        <v/>
      </c>
      <c r="B2768" t="str">
        <f t="shared" si="216"/>
        <v/>
      </c>
      <c r="C2768" t="str">
        <f t="shared" si="217"/>
        <v/>
      </c>
      <c r="D2768" t="str">
        <f>IF(E2768="","",IF(COUNTIF($E$2:E2768,E2768)&gt;1,"",SUMIFS(tbl_input[필요수량],tbl_input[집계키_지청],E2768)))</f>
        <v/>
      </c>
      <c r="E2768" t="str">
        <f>IFERROR(INDEX(tbl_input[집계키_지청],ROW()-1),"")</f>
        <v/>
      </c>
      <c r="F2768" t="str">
        <f t="shared" si="218"/>
        <v/>
      </c>
      <c r="G2768" t="str">
        <f t="shared" si="219"/>
        <v/>
      </c>
    </row>
    <row r="2769" spans="1:7" x14ac:dyDescent="0.4">
      <c r="A2769" t="str">
        <f t="shared" si="215"/>
        <v/>
      </c>
      <c r="B2769" t="str">
        <f t="shared" si="216"/>
        <v/>
      </c>
      <c r="C2769" t="str">
        <f t="shared" si="217"/>
        <v/>
      </c>
      <c r="D2769" t="str">
        <f>IF(E2769="","",IF(COUNTIF($E$2:E2769,E2769)&gt;1,"",SUMIFS(tbl_input[필요수량],tbl_input[집계키_지청],E2769)))</f>
        <v/>
      </c>
      <c r="E2769" t="str">
        <f>IFERROR(INDEX(tbl_input[집계키_지청],ROW()-1),"")</f>
        <v/>
      </c>
      <c r="F2769" t="str">
        <f t="shared" si="218"/>
        <v/>
      </c>
      <c r="G2769" t="str">
        <f t="shared" si="219"/>
        <v/>
      </c>
    </row>
    <row r="2770" spans="1:7" x14ac:dyDescent="0.4">
      <c r="A2770" t="str">
        <f t="shared" si="215"/>
        <v/>
      </c>
      <c r="B2770" t="str">
        <f t="shared" si="216"/>
        <v/>
      </c>
      <c r="C2770" t="str">
        <f t="shared" si="217"/>
        <v/>
      </c>
      <c r="D2770" t="str">
        <f>IF(E2770="","",IF(COUNTIF($E$2:E2770,E2770)&gt;1,"",SUMIFS(tbl_input[필요수량],tbl_input[집계키_지청],E2770)))</f>
        <v/>
      </c>
      <c r="E2770" t="str">
        <f>IFERROR(INDEX(tbl_input[집계키_지청],ROW()-1),"")</f>
        <v/>
      </c>
      <c r="F2770" t="str">
        <f t="shared" si="218"/>
        <v/>
      </c>
      <c r="G2770" t="str">
        <f t="shared" si="219"/>
        <v/>
      </c>
    </row>
    <row r="2771" spans="1:7" x14ac:dyDescent="0.4">
      <c r="A2771" t="str">
        <f t="shared" si="215"/>
        <v/>
      </c>
      <c r="B2771" t="str">
        <f t="shared" si="216"/>
        <v/>
      </c>
      <c r="C2771" t="str">
        <f t="shared" si="217"/>
        <v/>
      </c>
      <c r="D2771" t="str">
        <f>IF(E2771="","",IF(COUNTIF($E$2:E2771,E2771)&gt;1,"",SUMIFS(tbl_input[필요수량],tbl_input[집계키_지청],E2771)))</f>
        <v/>
      </c>
      <c r="E2771" t="str">
        <f>IFERROR(INDEX(tbl_input[집계키_지청],ROW()-1),"")</f>
        <v/>
      </c>
      <c r="F2771" t="str">
        <f t="shared" si="218"/>
        <v/>
      </c>
      <c r="G2771" t="str">
        <f t="shared" si="219"/>
        <v/>
      </c>
    </row>
    <row r="2772" spans="1:7" x14ac:dyDescent="0.4">
      <c r="A2772" t="str">
        <f t="shared" si="215"/>
        <v/>
      </c>
      <c r="B2772" t="str">
        <f t="shared" si="216"/>
        <v/>
      </c>
      <c r="C2772" t="str">
        <f t="shared" si="217"/>
        <v/>
      </c>
      <c r="D2772" t="str">
        <f>IF(E2772="","",IF(COUNTIF($E$2:E2772,E2772)&gt;1,"",SUMIFS(tbl_input[필요수량],tbl_input[집계키_지청],E2772)))</f>
        <v/>
      </c>
      <c r="E2772" t="str">
        <f>IFERROR(INDEX(tbl_input[집계키_지청],ROW()-1),"")</f>
        <v/>
      </c>
      <c r="F2772" t="str">
        <f t="shared" si="218"/>
        <v/>
      </c>
      <c r="G2772" t="str">
        <f t="shared" si="219"/>
        <v/>
      </c>
    </row>
    <row r="2773" spans="1:7" x14ac:dyDescent="0.4">
      <c r="A2773" t="str">
        <f t="shared" si="215"/>
        <v/>
      </c>
      <c r="B2773" t="str">
        <f t="shared" si="216"/>
        <v/>
      </c>
      <c r="C2773" t="str">
        <f t="shared" si="217"/>
        <v/>
      </c>
      <c r="D2773" t="str">
        <f>IF(E2773="","",IF(COUNTIF($E$2:E2773,E2773)&gt;1,"",SUMIFS(tbl_input[필요수량],tbl_input[집계키_지청],E2773)))</f>
        <v/>
      </c>
      <c r="E2773" t="str">
        <f>IFERROR(INDEX(tbl_input[집계키_지청],ROW()-1),"")</f>
        <v/>
      </c>
      <c r="F2773" t="str">
        <f t="shared" si="218"/>
        <v/>
      </c>
      <c r="G2773" t="str">
        <f t="shared" si="219"/>
        <v/>
      </c>
    </row>
    <row r="2774" spans="1:7" x14ac:dyDescent="0.4">
      <c r="A2774" t="str">
        <f t="shared" si="215"/>
        <v/>
      </c>
      <c r="B2774" t="str">
        <f t="shared" si="216"/>
        <v/>
      </c>
      <c r="C2774" t="str">
        <f t="shared" si="217"/>
        <v/>
      </c>
      <c r="D2774" t="str">
        <f>IF(E2774="","",IF(COUNTIF($E$2:E2774,E2774)&gt;1,"",SUMIFS(tbl_input[필요수량],tbl_input[집계키_지청],E2774)))</f>
        <v/>
      </c>
      <c r="E2774" t="str">
        <f>IFERROR(INDEX(tbl_input[집계키_지청],ROW()-1),"")</f>
        <v/>
      </c>
      <c r="F2774" t="str">
        <f t="shared" si="218"/>
        <v/>
      </c>
      <c r="G2774" t="str">
        <f t="shared" si="219"/>
        <v/>
      </c>
    </row>
    <row r="2775" spans="1:7" x14ac:dyDescent="0.4">
      <c r="A2775" t="str">
        <f t="shared" si="215"/>
        <v/>
      </c>
      <c r="B2775" t="str">
        <f t="shared" si="216"/>
        <v/>
      </c>
      <c r="C2775" t="str">
        <f t="shared" si="217"/>
        <v/>
      </c>
      <c r="D2775" t="str">
        <f>IF(E2775="","",IF(COUNTIF($E$2:E2775,E2775)&gt;1,"",SUMIFS(tbl_input[필요수량],tbl_input[집계키_지청],E2775)))</f>
        <v/>
      </c>
      <c r="E2775" t="str">
        <f>IFERROR(INDEX(tbl_input[집계키_지청],ROW()-1),"")</f>
        <v/>
      </c>
      <c r="F2775" t="str">
        <f t="shared" si="218"/>
        <v/>
      </c>
      <c r="G2775" t="str">
        <f t="shared" si="219"/>
        <v/>
      </c>
    </row>
    <row r="2776" spans="1:7" x14ac:dyDescent="0.4">
      <c r="A2776" t="str">
        <f t="shared" si="215"/>
        <v/>
      </c>
      <c r="B2776" t="str">
        <f t="shared" si="216"/>
        <v/>
      </c>
      <c r="C2776" t="str">
        <f t="shared" si="217"/>
        <v/>
      </c>
      <c r="D2776" t="str">
        <f>IF(E2776="","",IF(COUNTIF($E$2:E2776,E2776)&gt;1,"",SUMIFS(tbl_input[필요수량],tbl_input[집계키_지청],E2776)))</f>
        <v/>
      </c>
      <c r="E2776" t="str">
        <f>IFERROR(INDEX(tbl_input[집계키_지청],ROW()-1),"")</f>
        <v/>
      </c>
      <c r="F2776" t="str">
        <f t="shared" si="218"/>
        <v/>
      </c>
      <c r="G2776" t="str">
        <f t="shared" si="219"/>
        <v/>
      </c>
    </row>
    <row r="2777" spans="1:7" x14ac:dyDescent="0.4">
      <c r="A2777" t="str">
        <f t="shared" si="215"/>
        <v/>
      </c>
      <c r="B2777" t="str">
        <f t="shared" si="216"/>
        <v/>
      </c>
      <c r="C2777" t="str">
        <f t="shared" si="217"/>
        <v/>
      </c>
      <c r="D2777" t="str">
        <f>IF(E2777="","",IF(COUNTIF($E$2:E2777,E2777)&gt;1,"",SUMIFS(tbl_input[필요수량],tbl_input[집계키_지청],E2777)))</f>
        <v/>
      </c>
      <c r="E2777" t="str">
        <f>IFERROR(INDEX(tbl_input[집계키_지청],ROW()-1),"")</f>
        <v/>
      </c>
      <c r="F2777" t="str">
        <f t="shared" si="218"/>
        <v/>
      </c>
      <c r="G2777" t="str">
        <f t="shared" si="219"/>
        <v/>
      </c>
    </row>
    <row r="2778" spans="1:7" x14ac:dyDescent="0.4">
      <c r="A2778" t="str">
        <f t="shared" si="215"/>
        <v/>
      </c>
      <c r="B2778" t="str">
        <f t="shared" si="216"/>
        <v/>
      </c>
      <c r="C2778" t="str">
        <f t="shared" si="217"/>
        <v/>
      </c>
      <c r="D2778" t="str">
        <f>IF(E2778="","",IF(COUNTIF($E$2:E2778,E2778)&gt;1,"",SUMIFS(tbl_input[필요수량],tbl_input[집계키_지청],E2778)))</f>
        <v/>
      </c>
      <c r="E2778" t="str">
        <f>IFERROR(INDEX(tbl_input[집계키_지청],ROW()-1),"")</f>
        <v/>
      </c>
      <c r="F2778" t="str">
        <f t="shared" si="218"/>
        <v/>
      </c>
      <c r="G2778" t="str">
        <f t="shared" si="219"/>
        <v/>
      </c>
    </row>
    <row r="2779" spans="1:7" x14ac:dyDescent="0.4">
      <c r="A2779" t="str">
        <f t="shared" si="215"/>
        <v/>
      </c>
      <c r="B2779" t="str">
        <f t="shared" si="216"/>
        <v/>
      </c>
      <c r="C2779" t="str">
        <f t="shared" si="217"/>
        <v/>
      </c>
      <c r="D2779" t="str">
        <f>IF(E2779="","",IF(COUNTIF($E$2:E2779,E2779)&gt;1,"",SUMIFS(tbl_input[필요수량],tbl_input[집계키_지청],E2779)))</f>
        <v/>
      </c>
      <c r="E2779" t="str">
        <f>IFERROR(INDEX(tbl_input[집계키_지청],ROW()-1),"")</f>
        <v/>
      </c>
      <c r="F2779" t="str">
        <f t="shared" si="218"/>
        <v/>
      </c>
      <c r="G2779" t="str">
        <f t="shared" si="219"/>
        <v/>
      </c>
    </row>
    <row r="2780" spans="1:7" x14ac:dyDescent="0.4">
      <c r="A2780" t="str">
        <f t="shared" si="215"/>
        <v/>
      </c>
      <c r="B2780" t="str">
        <f t="shared" si="216"/>
        <v/>
      </c>
      <c r="C2780" t="str">
        <f t="shared" si="217"/>
        <v/>
      </c>
      <c r="D2780" t="str">
        <f>IF(E2780="","",IF(COUNTIF($E$2:E2780,E2780)&gt;1,"",SUMIFS(tbl_input[필요수량],tbl_input[집계키_지청],E2780)))</f>
        <v/>
      </c>
      <c r="E2780" t="str">
        <f>IFERROR(INDEX(tbl_input[집계키_지청],ROW()-1),"")</f>
        <v/>
      </c>
      <c r="F2780" t="str">
        <f t="shared" si="218"/>
        <v/>
      </c>
      <c r="G2780" t="str">
        <f t="shared" si="219"/>
        <v/>
      </c>
    </row>
    <row r="2781" spans="1:7" x14ac:dyDescent="0.4">
      <c r="A2781" t="str">
        <f t="shared" si="215"/>
        <v/>
      </c>
      <c r="B2781" t="str">
        <f t="shared" si="216"/>
        <v/>
      </c>
      <c r="C2781" t="str">
        <f t="shared" si="217"/>
        <v/>
      </c>
      <c r="D2781" t="str">
        <f>IF(E2781="","",IF(COUNTIF($E$2:E2781,E2781)&gt;1,"",SUMIFS(tbl_input[필요수량],tbl_input[집계키_지청],E2781)))</f>
        <v/>
      </c>
      <c r="E2781" t="str">
        <f>IFERROR(INDEX(tbl_input[집계키_지청],ROW()-1),"")</f>
        <v/>
      </c>
      <c r="F2781" t="str">
        <f t="shared" si="218"/>
        <v/>
      </c>
      <c r="G2781" t="str">
        <f t="shared" si="219"/>
        <v/>
      </c>
    </row>
    <row r="2782" spans="1:7" x14ac:dyDescent="0.4">
      <c r="A2782" t="str">
        <f t="shared" si="215"/>
        <v/>
      </c>
      <c r="B2782" t="str">
        <f t="shared" si="216"/>
        <v/>
      </c>
      <c r="C2782" t="str">
        <f t="shared" si="217"/>
        <v/>
      </c>
      <c r="D2782" t="str">
        <f>IF(E2782="","",IF(COUNTIF($E$2:E2782,E2782)&gt;1,"",SUMIFS(tbl_input[필요수량],tbl_input[집계키_지청],E2782)))</f>
        <v/>
      </c>
      <c r="E2782" t="str">
        <f>IFERROR(INDEX(tbl_input[집계키_지청],ROW()-1),"")</f>
        <v/>
      </c>
      <c r="F2782" t="str">
        <f t="shared" si="218"/>
        <v/>
      </c>
      <c r="G2782" t="str">
        <f t="shared" si="219"/>
        <v/>
      </c>
    </row>
    <row r="2783" spans="1:7" x14ac:dyDescent="0.4">
      <c r="A2783" t="str">
        <f t="shared" si="215"/>
        <v/>
      </c>
      <c r="B2783" t="str">
        <f t="shared" si="216"/>
        <v/>
      </c>
      <c r="C2783" t="str">
        <f t="shared" si="217"/>
        <v/>
      </c>
      <c r="D2783" t="str">
        <f>IF(E2783="","",IF(COUNTIF($E$2:E2783,E2783)&gt;1,"",SUMIFS(tbl_input[필요수량],tbl_input[집계키_지청],E2783)))</f>
        <v/>
      </c>
      <c r="E2783" t="str">
        <f>IFERROR(INDEX(tbl_input[집계키_지청],ROW()-1),"")</f>
        <v/>
      </c>
      <c r="F2783" t="str">
        <f t="shared" si="218"/>
        <v/>
      </c>
      <c r="G2783" t="str">
        <f t="shared" si="219"/>
        <v/>
      </c>
    </row>
    <row r="2784" spans="1:7" x14ac:dyDescent="0.4">
      <c r="A2784" t="str">
        <f t="shared" si="215"/>
        <v/>
      </c>
      <c r="B2784" t="str">
        <f t="shared" si="216"/>
        <v/>
      </c>
      <c r="C2784" t="str">
        <f t="shared" si="217"/>
        <v/>
      </c>
      <c r="D2784" t="str">
        <f>IF(E2784="","",IF(COUNTIF($E$2:E2784,E2784)&gt;1,"",SUMIFS(tbl_input[필요수량],tbl_input[집계키_지청],E2784)))</f>
        <v/>
      </c>
      <c r="E2784" t="str">
        <f>IFERROR(INDEX(tbl_input[집계키_지청],ROW()-1),"")</f>
        <v/>
      </c>
      <c r="F2784" t="str">
        <f t="shared" si="218"/>
        <v/>
      </c>
      <c r="G2784" t="str">
        <f t="shared" si="219"/>
        <v/>
      </c>
    </row>
    <row r="2785" spans="1:7" x14ac:dyDescent="0.4">
      <c r="A2785" t="str">
        <f t="shared" si="215"/>
        <v/>
      </c>
      <c r="B2785" t="str">
        <f t="shared" si="216"/>
        <v/>
      </c>
      <c r="C2785" t="str">
        <f t="shared" si="217"/>
        <v/>
      </c>
      <c r="D2785" t="str">
        <f>IF(E2785="","",IF(COUNTIF($E$2:E2785,E2785)&gt;1,"",SUMIFS(tbl_input[필요수량],tbl_input[집계키_지청],E2785)))</f>
        <v/>
      </c>
      <c r="E2785" t="str">
        <f>IFERROR(INDEX(tbl_input[집계키_지청],ROW()-1),"")</f>
        <v/>
      </c>
      <c r="F2785" t="str">
        <f t="shared" si="218"/>
        <v/>
      </c>
      <c r="G2785" t="str">
        <f t="shared" si="219"/>
        <v/>
      </c>
    </row>
    <row r="2786" spans="1:7" x14ac:dyDescent="0.4">
      <c r="A2786" t="str">
        <f t="shared" si="215"/>
        <v/>
      </c>
      <c r="B2786" t="str">
        <f t="shared" si="216"/>
        <v/>
      </c>
      <c r="C2786" t="str">
        <f t="shared" si="217"/>
        <v/>
      </c>
      <c r="D2786" t="str">
        <f>IF(E2786="","",IF(COUNTIF($E$2:E2786,E2786)&gt;1,"",SUMIFS(tbl_input[필요수량],tbl_input[집계키_지청],E2786)))</f>
        <v/>
      </c>
      <c r="E2786" t="str">
        <f>IFERROR(INDEX(tbl_input[집계키_지청],ROW()-1),"")</f>
        <v/>
      </c>
      <c r="F2786" t="str">
        <f t="shared" si="218"/>
        <v/>
      </c>
      <c r="G2786" t="str">
        <f t="shared" si="219"/>
        <v/>
      </c>
    </row>
    <row r="2787" spans="1:7" x14ac:dyDescent="0.4">
      <c r="A2787" t="str">
        <f t="shared" si="215"/>
        <v/>
      </c>
      <c r="B2787" t="str">
        <f t="shared" si="216"/>
        <v/>
      </c>
      <c r="C2787" t="str">
        <f t="shared" si="217"/>
        <v/>
      </c>
      <c r="D2787" t="str">
        <f>IF(E2787="","",IF(COUNTIF($E$2:E2787,E2787)&gt;1,"",SUMIFS(tbl_input[필요수량],tbl_input[집계키_지청],E2787)))</f>
        <v/>
      </c>
      <c r="E2787" t="str">
        <f>IFERROR(INDEX(tbl_input[집계키_지청],ROW()-1),"")</f>
        <v/>
      </c>
      <c r="F2787" t="str">
        <f t="shared" si="218"/>
        <v/>
      </c>
      <c r="G2787" t="str">
        <f t="shared" si="219"/>
        <v/>
      </c>
    </row>
    <row r="2788" spans="1:7" x14ac:dyDescent="0.4">
      <c r="A2788" t="str">
        <f t="shared" si="215"/>
        <v/>
      </c>
      <c r="B2788" t="str">
        <f t="shared" si="216"/>
        <v/>
      </c>
      <c r="C2788" t="str">
        <f t="shared" si="217"/>
        <v/>
      </c>
      <c r="D2788" t="str">
        <f>IF(E2788="","",IF(COUNTIF($E$2:E2788,E2788)&gt;1,"",SUMIFS(tbl_input[필요수량],tbl_input[집계키_지청],E2788)))</f>
        <v/>
      </c>
      <c r="E2788" t="str">
        <f>IFERROR(INDEX(tbl_input[집계키_지청],ROW()-1),"")</f>
        <v/>
      </c>
      <c r="F2788" t="str">
        <f t="shared" si="218"/>
        <v/>
      </c>
      <c r="G2788" t="str">
        <f t="shared" si="219"/>
        <v/>
      </c>
    </row>
    <row r="2789" spans="1:7" x14ac:dyDescent="0.4">
      <c r="A2789" t="str">
        <f t="shared" si="215"/>
        <v/>
      </c>
      <c r="B2789" t="str">
        <f t="shared" si="216"/>
        <v/>
      </c>
      <c r="C2789" t="str">
        <f t="shared" si="217"/>
        <v/>
      </c>
      <c r="D2789" t="str">
        <f>IF(E2789="","",IF(COUNTIF($E$2:E2789,E2789)&gt;1,"",SUMIFS(tbl_input[필요수량],tbl_input[집계키_지청],E2789)))</f>
        <v/>
      </c>
      <c r="E2789" t="str">
        <f>IFERROR(INDEX(tbl_input[집계키_지청],ROW()-1),"")</f>
        <v/>
      </c>
      <c r="F2789" t="str">
        <f t="shared" si="218"/>
        <v/>
      </c>
      <c r="G2789" t="str">
        <f t="shared" si="219"/>
        <v/>
      </c>
    </row>
    <row r="2790" spans="1:7" x14ac:dyDescent="0.4">
      <c r="A2790" t="str">
        <f t="shared" si="215"/>
        <v/>
      </c>
      <c r="B2790" t="str">
        <f t="shared" si="216"/>
        <v/>
      </c>
      <c r="C2790" t="str">
        <f t="shared" si="217"/>
        <v/>
      </c>
      <c r="D2790" t="str">
        <f>IF(E2790="","",IF(COUNTIF($E$2:E2790,E2790)&gt;1,"",SUMIFS(tbl_input[필요수량],tbl_input[집계키_지청],E2790)))</f>
        <v/>
      </c>
      <c r="E2790" t="str">
        <f>IFERROR(INDEX(tbl_input[집계키_지청],ROW()-1),"")</f>
        <v/>
      </c>
      <c r="F2790" t="str">
        <f t="shared" si="218"/>
        <v/>
      </c>
      <c r="G2790" t="str">
        <f t="shared" si="219"/>
        <v/>
      </c>
    </row>
    <row r="2791" spans="1:7" x14ac:dyDescent="0.4">
      <c r="A2791" t="str">
        <f t="shared" si="215"/>
        <v/>
      </c>
      <c r="B2791" t="str">
        <f t="shared" si="216"/>
        <v/>
      </c>
      <c r="C2791" t="str">
        <f t="shared" si="217"/>
        <v/>
      </c>
      <c r="D2791" t="str">
        <f>IF(E2791="","",IF(COUNTIF($E$2:E2791,E2791)&gt;1,"",SUMIFS(tbl_input[필요수량],tbl_input[집계키_지청],E2791)))</f>
        <v/>
      </c>
      <c r="E2791" t="str">
        <f>IFERROR(INDEX(tbl_input[집계키_지청],ROW()-1),"")</f>
        <v/>
      </c>
      <c r="F2791" t="str">
        <f t="shared" si="218"/>
        <v/>
      </c>
      <c r="G2791" t="str">
        <f t="shared" si="219"/>
        <v/>
      </c>
    </row>
    <row r="2792" spans="1:7" x14ac:dyDescent="0.4">
      <c r="A2792" t="str">
        <f t="shared" si="215"/>
        <v/>
      </c>
      <c r="B2792" t="str">
        <f t="shared" si="216"/>
        <v/>
      </c>
      <c r="C2792" t="str">
        <f t="shared" si="217"/>
        <v/>
      </c>
      <c r="D2792" t="str">
        <f>IF(E2792="","",IF(COUNTIF($E$2:E2792,E2792)&gt;1,"",SUMIFS(tbl_input[필요수량],tbl_input[집계키_지청],E2792)))</f>
        <v/>
      </c>
      <c r="E2792" t="str">
        <f>IFERROR(INDEX(tbl_input[집계키_지청],ROW()-1),"")</f>
        <v/>
      </c>
      <c r="F2792" t="str">
        <f t="shared" si="218"/>
        <v/>
      </c>
      <c r="G2792" t="str">
        <f t="shared" si="219"/>
        <v/>
      </c>
    </row>
    <row r="2793" spans="1:7" x14ac:dyDescent="0.4">
      <c r="A2793" t="str">
        <f t="shared" si="215"/>
        <v/>
      </c>
      <c r="B2793" t="str">
        <f t="shared" si="216"/>
        <v/>
      </c>
      <c r="C2793" t="str">
        <f t="shared" si="217"/>
        <v/>
      </c>
      <c r="D2793" t="str">
        <f>IF(E2793="","",IF(COUNTIF($E$2:E2793,E2793)&gt;1,"",SUMIFS(tbl_input[필요수량],tbl_input[집계키_지청],E2793)))</f>
        <v/>
      </c>
      <c r="E2793" t="str">
        <f>IFERROR(INDEX(tbl_input[집계키_지청],ROW()-1),"")</f>
        <v/>
      </c>
      <c r="F2793" t="str">
        <f t="shared" si="218"/>
        <v/>
      </c>
      <c r="G2793" t="str">
        <f t="shared" si="219"/>
        <v/>
      </c>
    </row>
    <row r="2794" spans="1:7" x14ac:dyDescent="0.4">
      <c r="A2794" t="str">
        <f t="shared" si="215"/>
        <v/>
      </c>
      <c r="B2794" t="str">
        <f t="shared" si="216"/>
        <v/>
      </c>
      <c r="C2794" t="str">
        <f t="shared" si="217"/>
        <v/>
      </c>
      <c r="D2794" t="str">
        <f>IF(E2794="","",IF(COUNTIF($E$2:E2794,E2794)&gt;1,"",SUMIFS(tbl_input[필요수량],tbl_input[집계키_지청],E2794)))</f>
        <v/>
      </c>
      <c r="E2794" t="str">
        <f>IFERROR(INDEX(tbl_input[집계키_지청],ROW()-1),"")</f>
        <v/>
      </c>
      <c r="F2794" t="str">
        <f t="shared" si="218"/>
        <v/>
      </c>
      <c r="G2794" t="str">
        <f t="shared" si="219"/>
        <v/>
      </c>
    </row>
    <row r="2795" spans="1:7" x14ac:dyDescent="0.4">
      <c r="A2795" t="str">
        <f t="shared" si="215"/>
        <v/>
      </c>
      <c r="B2795" t="str">
        <f t="shared" si="216"/>
        <v/>
      </c>
      <c r="C2795" t="str">
        <f t="shared" si="217"/>
        <v/>
      </c>
      <c r="D2795" t="str">
        <f>IF(E2795="","",IF(COUNTIF($E$2:E2795,E2795)&gt;1,"",SUMIFS(tbl_input[필요수량],tbl_input[집계키_지청],E2795)))</f>
        <v/>
      </c>
      <c r="E2795" t="str">
        <f>IFERROR(INDEX(tbl_input[집계키_지청],ROW()-1),"")</f>
        <v/>
      </c>
      <c r="F2795" t="str">
        <f t="shared" si="218"/>
        <v/>
      </c>
      <c r="G2795" t="str">
        <f t="shared" si="219"/>
        <v/>
      </c>
    </row>
    <row r="2796" spans="1:7" x14ac:dyDescent="0.4">
      <c r="A2796" t="str">
        <f t="shared" si="215"/>
        <v/>
      </c>
      <c r="B2796" t="str">
        <f t="shared" si="216"/>
        <v/>
      </c>
      <c r="C2796" t="str">
        <f t="shared" si="217"/>
        <v/>
      </c>
      <c r="D2796" t="str">
        <f>IF(E2796="","",IF(COUNTIF($E$2:E2796,E2796)&gt;1,"",SUMIFS(tbl_input[필요수량],tbl_input[집계키_지청],E2796)))</f>
        <v/>
      </c>
      <c r="E2796" t="str">
        <f>IFERROR(INDEX(tbl_input[집계키_지청],ROW()-1),"")</f>
        <v/>
      </c>
      <c r="F2796" t="str">
        <f t="shared" si="218"/>
        <v/>
      </c>
      <c r="G2796" t="str">
        <f t="shared" si="219"/>
        <v/>
      </c>
    </row>
    <row r="2797" spans="1:7" x14ac:dyDescent="0.4">
      <c r="A2797" t="str">
        <f t="shared" si="215"/>
        <v/>
      </c>
      <c r="B2797" t="str">
        <f t="shared" si="216"/>
        <v/>
      </c>
      <c r="C2797" t="str">
        <f t="shared" si="217"/>
        <v/>
      </c>
      <c r="D2797" t="str">
        <f>IF(E2797="","",IF(COUNTIF($E$2:E2797,E2797)&gt;1,"",SUMIFS(tbl_input[필요수량],tbl_input[집계키_지청],E2797)))</f>
        <v/>
      </c>
      <c r="E2797" t="str">
        <f>IFERROR(INDEX(tbl_input[집계키_지청],ROW()-1),"")</f>
        <v/>
      </c>
      <c r="F2797" t="str">
        <f t="shared" si="218"/>
        <v/>
      </c>
      <c r="G2797" t="str">
        <f t="shared" si="219"/>
        <v/>
      </c>
    </row>
    <row r="2798" spans="1:7" x14ac:dyDescent="0.4">
      <c r="A2798" t="str">
        <f t="shared" si="215"/>
        <v/>
      </c>
      <c r="B2798" t="str">
        <f t="shared" si="216"/>
        <v/>
      </c>
      <c r="C2798" t="str">
        <f t="shared" si="217"/>
        <v/>
      </c>
      <c r="D2798" t="str">
        <f>IF(E2798="","",IF(COUNTIF($E$2:E2798,E2798)&gt;1,"",SUMIFS(tbl_input[필요수량],tbl_input[집계키_지청],E2798)))</f>
        <v/>
      </c>
      <c r="E2798" t="str">
        <f>IFERROR(INDEX(tbl_input[집계키_지청],ROW()-1),"")</f>
        <v/>
      </c>
      <c r="F2798" t="str">
        <f t="shared" si="218"/>
        <v/>
      </c>
      <c r="G2798" t="str">
        <f t="shared" si="219"/>
        <v/>
      </c>
    </row>
    <row r="2799" spans="1:7" x14ac:dyDescent="0.4">
      <c r="A2799" t="str">
        <f t="shared" si="215"/>
        <v/>
      </c>
      <c r="B2799" t="str">
        <f t="shared" si="216"/>
        <v/>
      </c>
      <c r="C2799" t="str">
        <f t="shared" si="217"/>
        <v/>
      </c>
      <c r="D2799" t="str">
        <f>IF(E2799="","",IF(COUNTIF($E$2:E2799,E2799)&gt;1,"",SUMIFS(tbl_input[필요수량],tbl_input[집계키_지청],E2799)))</f>
        <v/>
      </c>
      <c r="E2799" t="str">
        <f>IFERROR(INDEX(tbl_input[집계키_지청],ROW()-1),"")</f>
        <v/>
      </c>
      <c r="F2799" t="str">
        <f t="shared" si="218"/>
        <v/>
      </c>
      <c r="G2799" t="str">
        <f t="shared" si="219"/>
        <v/>
      </c>
    </row>
    <row r="2800" spans="1:7" x14ac:dyDescent="0.4">
      <c r="A2800" t="str">
        <f t="shared" si="215"/>
        <v/>
      </c>
      <c r="B2800" t="str">
        <f t="shared" si="216"/>
        <v/>
      </c>
      <c r="C2800" t="str">
        <f t="shared" si="217"/>
        <v/>
      </c>
      <c r="D2800" t="str">
        <f>IF(E2800="","",IF(COUNTIF($E$2:E2800,E2800)&gt;1,"",SUMIFS(tbl_input[필요수량],tbl_input[집계키_지청],E2800)))</f>
        <v/>
      </c>
      <c r="E2800" t="str">
        <f>IFERROR(INDEX(tbl_input[집계키_지청],ROW()-1),"")</f>
        <v/>
      </c>
      <c r="F2800" t="str">
        <f t="shared" si="218"/>
        <v/>
      </c>
      <c r="G2800" t="str">
        <f t="shared" si="219"/>
        <v/>
      </c>
    </row>
    <row r="2801" spans="1:7" x14ac:dyDescent="0.4">
      <c r="A2801" t="str">
        <f t="shared" si="215"/>
        <v/>
      </c>
      <c r="B2801" t="str">
        <f t="shared" si="216"/>
        <v/>
      </c>
      <c r="C2801" t="str">
        <f t="shared" si="217"/>
        <v/>
      </c>
      <c r="D2801" t="str">
        <f>IF(E2801="","",IF(COUNTIF($E$2:E2801,E2801)&gt;1,"",SUMIFS(tbl_input[필요수량],tbl_input[집계키_지청],E2801)))</f>
        <v/>
      </c>
      <c r="E2801" t="str">
        <f>IFERROR(INDEX(tbl_input[집계키_지청],ROW()-1),"")</f>
        <v/>
      </c>
      <c r="F2801" t="str">
        <f t="shared" si="218"/>
        <v/>
      </c>
      <c r="G2801" t="str">
        <f t="shared" si="219"/>
        <v/>
      </c>
    </row>
    <row r="2802" spans="1:7" x14ac:dyDescent="0.4">
      <c r="A2802" t="str">
        <f t="shared" si="215"/>
        <v/>
      </c>
      <c r="B2802" t="str">
        <f t="shared" si="216"/>
        <v/>
      </c>
      <c r="C2802" t="str">
        <f t="shared" si="217"/>
        <v/>
      </c>
      <c r="D2802" t="str">
        <f>IF(E2802="","",IF(COUNTIF($E$2:E2802,E2802)&gt;1,"",SUMIFS(tbl_input[필요수량],tbl_input[집계키_지청],E2802)))</f>
        <v/>
      </c>
      <c r="E2802" t="str">
        <f>IFERROR(INDEX(tbl_input[집계키_지청],ROW()-1),"")</f>
        <v/>
      </c>
      <c r="F2802" t="str">
        <f t="shared" si="218"/>
        <v/>
      </c>
      <c r="G2802" t="str">
        <f t="shared" si="219"/>
        <v/>
      </c>
    </row>
    <row r="2803" spans="1:7" x14ac:dyDescent="0.4">
      <c r="A2803" t="str">
        <f t="shared" si="215"/>
        <v/>
      </c>
      <c r="B2803" t="str">
        <f t="shared" si="216"/>
        <v/>
      </c>
      <c r="C2803" t="str">
        <f t="shared" si="217"/>
        <v/>
      </c>
      <c r="D2803" t="str">
        <f>IF(E2803="","",IF(COUNTIF($E$2:E2803,E2803)&gt;1,"",SUMIFS(tbl_input[필요수량],tbl_input[집계키_지청],E2803)))</f>
        <v/>
      </c>
      <c r="E2803" t="str">
        <f>IFERROR(INDEX(tbl_input[집계키_지청],ROW()-1),"")</f>
        <v/>
      </c>
      <c r="F2803" t="str">
        <f t="shared" si="218"/>
        <v/>
      </c>
      <c r="G2803" t="str">
        <f t="shared" si="219"/>
        <v/>
      </c>
    </row>
    <row r="2804" spans="1:7" x14ac:dyDescent="0.4">
      <c r="A2804" t="str">
        <f t="shared" si="215"/>
        <v/>
      </c>
      <c r="B2804" t="str">
        <f t="shared" si="216"/>
        <v/>
      </c>
      <c r="C2804" t="str">
        <f t="shared" si="217"/>
        <v/>
      </c>
      <c r="D2804" t="str">
        <f>IF(E2804="","",IF(COUNTIF($E$2:E2804,E2804)&gt;1,"",SUMIFS(tbl_input[필요수량],tbl_input[집계키_지청],E2804)))</f>
        <v/>
      </c>
      <c r="E2804" t="str">
        <f>IFERROR(INDEX(tbl_input[집계키_지청],ROW()-1),"")</f>
        <v/>
      </c>
      <c r="F2804" t="str">
        <f t="shared" si="218"/>
        <v/>
      </c>
      <c r="G2804" t="str">
        <f t="shared" si="219"/>
        <v/>
      </c>
    </row>
    <row r="2805" spans="1:7" x14ac:dyDescent="0.4">
      <c r="A2805" t="str">
        <f t="shared" si="215"/>
        <v/>
      </c>
      <c r="B2805" t="str">
        <f t="shared" si="216"/>
        <v/>
      </c>
      <c r="C2805" t="str">
        <f t="shared" si="217"/>
        <v/>
      </c>
      <c r="D2805" t="str">
        <f>IF(E2805="","",IF(COUNTIF($E$2:E2805,E2805)&gt;1,"",SUMIFS(tbl_input[필요수량],tbl_input[집계키_지청],E2805)))</f>
        <v/>
      </c>
      <c r="E2805" t="str">
        <f>IFERROR(INDEX(tbl_input[집계키_지청],ROW()-1),"")</f>
        <v/>
      </c>
      <c r="F2805" t="str">
        <f t="shared" si="218"/>
        <v/>
      </c>
      <c r="G2805" t="str">
        <f t="shared" si="219"/>
        <v/>
      </c>
    </row>
    <row r="2806" spans="1:7" x14ac:dyDescent="0.4">
      <c r="A2806" t="str">
        <f t="shared" si="215"/>
        <v/>
      </c>
      <c r="B2806" t="str">
        <f t="shared" si="216"/>
        <v/>
      </c>
      <c r="C2806" t="str">
        <f t="shared" si="217"/>
        <v/>
      </c>
      <c r="D2806" t="str">
        <f>IF(E2806="","",IF(COUNTIF($E$2:E2806,E2806)&gt;1,"",SUMIFS(tbl_input[필요수량],tbl_input[집계키_지청],E2806)))</f>
        <v/>
      </c>
      <c r="E2806" t="str">
        <f>IFERROR(INDEX(tbl_input[집계키_지청],ROW()-1),"")</f>
        <v/>
      </c>
      <c r="F2806" t="str">
        <f t="shared" si="218"/>
        <v/>
      </c>
      <c r="G2806" t="str">
        <f t="shared" si="219"/>
        <v/>
      </c>
    </row>
    <row r="2807" spans="1:7" x14ac:dyDescent="0.4">
      <c r="A2807" t="str">
        <f t="shared" si="215"/>
        <v/>
      </c>
      <c r="B2807" t="str">
        <f t="shared" si="216"/>
        <v/>
      </c>
      <c r="C2807" t="str">
        <f t="shared" si="217"/>
        <v/>
      </c>
      <c r="D2807" t="str">
        <f>IF(E2807="","",IF(COUNTIF($E$2:E2807,E2807)&gt;1,"",SUMIFS(tbl_input[필요수량],tbl_input[집계키_지청],E2807)))</f>
        <v/>
      </c>
      <c r="E2807" t="str">
        <f>IFERROR(INDEX(tbl_input[집계키_지청],ROW()-1),"")</f>
        <v/>
      </c>
      <c r="F2807" t="str">
        <f t="shared" si="218"/>
        <v/>
      </c>
      <c r="G2807" t="str">
        <f t="shared" si="219"/>
        <v/>
      </c>
    </row>
    <row r="2808" spans="1:7" x14ac:dyDescent="0.4">
      <c r="A2808" t="str">
        <f t="shared" si="215"/>
        <v/>
      </c>
      <c r="B2808" t="str">
        <f t="shared" si="216"/>
        <v/>
      </c>
      <c r="C2808" t="str">
        <f t="shared" si="217"/>
        <v/>
      </c>
      <c r="D2808" t="str">
        <f>IF(E2808="","",IF(COUNTIF($E$2:E2808,E2808)&gt;1,"",SUMIFS(tbl_input[필요수량],tbl_input[집계키_지청],E2808)))</f>
        <v/>
      </c>
      <c r="E2808" t="str">
        <f>IFERROR(INDEX(tbl_input[집계키_지청],ROW()-1),"")</f>
        <v/>
      </c>
      <c r="F2808" t="str">
        <f t="shared" si="218"/>
        <v/>
      </c>
      <c r="G2808" t="str">
        <f t="shared" si="219"/>
        <v/>
      </c>
    </row>
    <row r="2809" spans="1:7" x14ac:dyDescent="0.4">
      <c r="A2809" t="str">
        <f t="shared" si="215"/>
        <v/>
      </c>
      <c r="B2809" t="str">
        <f t="shared" si="216"/>
        <v/>
      </c>
      <c r="C2809" t="str">
        <f t="shared" si="217"/>
        <v/>
      </c>
      <c r="D2809" t="str">
        <f>IF(E2809="","",IF(COUNTIF($E$2:E2809,E2809)&gt;1,"",SUMIFS(tbl_input[필요수량],tbl_input[집계키_지청],E2809)))</f>
        <v/>
      </c>
      <c r="E2809" t="str">
        <f>IFERROR(INDEX(tbl_input[집계키_지청],ROW()-1),"")</f>
        <v/>
      </c>
      <c r="F2809" t="str">
        <f t="shared" si="218"/>
        <v/>
      </c>
      <c r="G2809" t="str">
        <f t="shared" si="219"/>
        <v/>
      </c>
    </row>
    <row r="2810" spans="1:7" x14ac:dyDescent="0.4">
      <c r="A2810" t="str">
        <f t="shared" si="215"/>
        <v/>
      </c>
      <c r="B2810" t="str">
        <f t="shared" si="216"/>
        <v/>
      </c>
      <c r="C2810" t="str">
        <f t="shared" si="217"/>
        <v/>
      </c>
      <c r="D2810" t="str">
        <f>IF(E2810="","",IF(COUNTIF($E$2:E2810,E2810)&gt;1,"",SUMIFS(tbl_input[필요수량],tbl_input[집계키_지청],E2810)))</f>
        <v/>
      </c>
      <c r="E2810" t="str">
        <f>IFERROR(INDEX(tbl_input[집계키_지청],ROW()-1),"")</f>
        <v/>
      </c>
      <c r="F2810" t="str">
        <f t="shared" si="218"/>
        <v/>
      </c>
      <c r="G2810" t="str">
        <f t="shared" si="219"/>
        <v/>
      </c>
    </row>
    <row r="2811" spans="1:7" x14ac:dyDescent="0.4">
      <c r="A2811" t="str">
        <f t="shared" si="215"/>
        <v/>
      </c>
      <c r="B2811" t="str">
        <f t="shared" si="216"/>
        <v/>
      </c>
      <c r="C2811" t="str">
        <f t="shared" si="217"/>
        <v/>
      </c>
      <c r="D2811" t="str">
        <f>IF(E2811="","",IF(COUNTIF($E$2:E2811,E2811)&gt;1,"",SUMIFS(tbl_input[필요수량],tbl_input[집계키_지청],E2811)))</f>
        <v/>
      </c>
      <c r="E2811" t="str">
        <f>IFERROR(INDEX(tbl_input[집계키_지청],ROW()-1),"")</f>
        <v/>
      </c>
      <c r="F2811" t="str">
        <f t="shared" si="218"/>
        <v/>
      </c>
      <c r="G2811" t="str">
        <f t="shared" si="219"/>
        <v/>
      </c>
    </row>
    <row r="2812" spans="1:7" x14ac:dyDescent="0.4">
      <c r="A2812" t="str">
        <f t="shared" si="215"/>
        <v/>
      </c>
      <c r="B2812" t="str">
        <f t="shared" si="216"/>
        <v/>
      </c>
      <c r="C2812" t="str">
        <f t="shared" si="217"/>
        <v/>
      </c>
      <c r="D2812" t="str">
        <f>IF(E2812="","",IF(COUNTIF($E$2:E2812,E2812)&gt;1,"",SUMIFS(tbl_input[필요수량],tbl_input[집계키_지청],E2812)))</f>
        <v/>
      </c>
      <c r="E2812" t="str">
        <f>IFERROR(INDEX(tbl_input[집계키_지청],ROW()-1),"")</f>
        <v/>
      </c>
      <c r="F2812" t="str">
        <f t="shared" si="218"/>
        <v/>
      </c>
      <c r="G2812" t="str">
        <f t="shared" si="219"/>
        <v/>
      </c>
    </row>
    <row r="2813" spans="1:7" x14ac:dyDescent="0.4">
      <c r="A2813" t="str">
        <f t="shared" si="215"/>
        <v/>
      </c>
      <c r="B2813" t="str">
        <f t="shared" si="216"/>
        <v/>
      </c>
      <c r="C2813" t="str">
        <f t="shared" si="217"/>
        <v/>
      </c>
      <c r="D2813" t="str">
        <f>IF(E2813="","",IF(COUNTIF($E$2:E2813,E2813)&gt;1,"",SUMIFS(tbl_input[필요수량],tbl_input[집계키_지청],E2813)))</f>
        <v/>
      </c>
      <c r="E2813" t="str">
        <f>IFERROR(INDEX(tbl_input[집계키_지청],ROW()-1),"")</f>
        <v/>
      </c>
      <c r="F2813" t="str">
        <f t="shared" si="218"/>
        <v/>
      </c>
      <c r="G2813" t="str">
        <f t="shared" si="219"/>
        <v/>
      </c>
    </row>
    <row r="2814" spans="1:7" x14ac:dyDescent="0.4">
      <c r="A2814" t="str">
        <f t="shared" si="215"/>
        <v/>
      </c>
      <c r="B2814" t="str">
        <f t="shared" si="216"/>
        <v/>
      </c>
      <c r="C2814" t="str">
        <f t="shared" si="217"/>
        <v/>
      </c>
      <c r="D2814" t="str">
        <f>IF(E2814="","",IF(COUNTIF($E$2:E2814,E2814)&gt;1,"",SUMIFS(tbl_input[필요수량],tbl_input[집계키_지청],E2814)))</f>
        <v/>
      </c>
      <c r="E2814" t="str">
        <f>IFERROR(INDEX(tbl_input[집계키_지청],ROW()-1),"")</f>
        <v/>
      </c>
      <c r="F2814" t="str">
        <f t="shared" si="218"/>
        <v/>
      </c>
      <c r="G2814" t="str">
        <f t="shared" si="219"/>
        <v/>
      </c>
    </row>
    <row r="2815" spans="1:7" x14ac:dyDescent="0.4">
      <c r="A2815" t="str">
        <f t="shared" si="215"/>
        <v/>
      </c>
      <c r="B2815" t="str">
        <f t="shared" si="216"/>
        <v/>
      </c>
      <c r="C2815" t="str">
        <f t="shared" si="217"/>
        <v/>
      </c>
      <c r="D2815" t="str">
        <f>IF(E2815="","",IF(COUNTIF($E$2:E2815,E2815)&gt;1,"",SUMIFS(tbl_input[필요수량],tbl_input[집계키_지청],E2815)))</f>
        <v/>
      </c>
      <c r="E2815" t="str">
        <f>IFERROR(INDEX(tbl_input[집계키_지청],ROW()-1),"")</f>
        <v/>
      </c>
      <c r="F2815" t="str">
        <f t="shared" si="218"/>
        <v/>
      </c>
      <c r="G2815" t="str">
        <f t="shared" si="219"/>
        <v/>
      </c>
    </row>
    <row r="2816" spans="1:7" x14ac:dyDescent="0.4">
      <c r="A2816" t="str">
        <f t="shared" si="215"/>
        <v/>
      </c>
      <c r="B2816" t="str">
        <f t="shared" si="216"/>
        <v/>
      </c>
      <c r="C2816" t="str">
        <f t="shared" si="217"/>
        <v/>
      </c>
      <c r="D2816" t="str">
        <f>IF(E2816="","",IF(COUNTIF($E$2:E2816,E2816)&gt;1,"",SUMIFS(tbl_input[필요수량],tbl_input[집계키_지청],E2816)))</f>
        <v/>
      </c>
      <c r="E2816" t="str">
        <f>IFERROR(INDEX(tbl_input[집계키_지청],ROW()-1),"")</f>
        <v/>
      </c>
      <c r="F2816" t="str">
        <f t="shared" si="218"/>
        <v/>
      </c>
      <c r="G2816" t="str">
        <f t="shared" si="219"/>
        <v/>
      </c>
    </row>
    <row r="2817" spans="1:7" x14ac:dyDescent="0.4">
      <c r="A2817" t="str">
        <f t="shared" si="215"/>
        <v/>
      </c>
      <c r="B2817" t="str">
        <f t="shared" si="216"/>
        <v/>
      </c>
      <c r="C2817" t="str">
        <f t="shared" si="217"/>
        <v/>
      </c>
      <c r="D2817" t="str">
        <f>IF(E2817="","",IF(COUNTIF($E$2:E2817,E2817)&gt;1,"",SUMIFS(tbl_input[필요수량],tbl_input[집계키_지청],E2817)))</f>
        <v/>
      </c>
      <c r="E2817" t="str">
        <f>IFERROR(INDEX(tbl_input[집계키_지청],ROW()-1),"")</f>
        <v/>
      </c>
      <c r="F2817" t="str">
        <f t="shared" si="218"/>
        <v/>
      </c>
      <c r="G2817" t="str">
        <f t="shared" si="219"/>
        <v/>
      </c>
    </row>
    <row r="2818" spans="1:7" x14ac:dyDescent="0.4">
      <c r="A2818" t="str">
        <f t="shared" ref="A2818:A2881" si="220">IF(E2818="","",LEFT(E2818,F2818-1))</f>
        <v/>
      </c>
      <c r="B2818" t="str">
        <f t="shared" ref="B2818:B2881" si="221">IF(E2818="","",MID(E2818,F2818+1,G2818-F2818-1))</f>
        <v/>
      </c>
      <c r="C2818" t="str">
        <f t="shared" ref="C2818:C2881" si="222">IF(E2818="","",MID(E2818,G2818+1,999))</f>
        <v/>
      </c>
      <c r="D2818" t="str">
        <f>IF(E2818="","",IF(COUNTIF($E$2:E2818,E2818)&gt;1,"",SUMIFS(tbl_input[필요수량],tbl_input[집계키_지청],E2818)))</f>
        <v/>
      </c>
      <c r="E2818" t="str">
        <f>IFERROR(INDEX(tbl_input[집계키_지청],ROW()-1),"")</f>
        <v/>
      </c>
      <c r="F2818" t="str">
        <f t="shared" ref="F2818:F2881" si="223">IF(E2818="","",FIND("♦",E2818))</f>
        <v/>
      </c>
      <c r="G2818" t="str">
        <f t="shared" ref="G2818:G2881" si="224">IF(E2818="","",FIND("♦",E2818,F2818+1))</f>
        <v/>
      </c>
    </row>
    <row r="2819" spans="1:7" x14ac:dyDescent="0.4">
      <c r="A2819" t="str">
        <f t="shared" si="220"/>
        <v/>
      </c>
      <c r="B2819" t="str">
        <f t="shared" si="221"/>
        <v/>
      </c>
      <c r="C2819" t="str">
        <f t="shared" si="222"/>
        <v/>
      </c>
      <c r="D2819" t="str">
        <f>IF(E2819="","",IF(COUNTIF($E$2:E2819,E2819)&gt;1,"",SUMIFS(tbl_input[필요수량],tbl_input[집계키_지청],E2819)))</f>
        <v/>
      </c>
      <c r="E2819" t="str">
        <f>IFERROR(INDEX(tbl_input[집계키_지청],ROW()-1),"")</f>
        <v/>
      </c>
      <c r="F2819" t="str">
        <f t="shared" si="223"/>
        <v/>
      </c>
      <c r="G2819" t="str">
        <f t="shared" si="224"/>
        <v/>
      </c>
    </row>
    <row r="2820" spans="1:7" x14ac:dyDescent="0.4">
      <c r="A2820" t="str">
        <f t="shared" si="220"/>
        <v/>
      </c>
      <c r="B2820" t="str">
        <f t="shared" si="221"/>
        <v/>
      </c>
      <c r="C2820" t="str">
        <f t="shared" si="222"/>
        <v/>
      </c>
      <c r="D2820" t="str">
        <f>IF(E2820="","",IF(COUNTIF($E$2:E2820,E2820)&gt;1,"",SUMIFS(tbl_input[필요수량],tbl_input[집계키_지청],E2820)))</f>
        <v/>
      </c>
      <c r="E2820" t="str">
        <f>IFERROR(INDEX(tbl_input[집계키_지청],ROW()-1),"")</f>
        <v/>
      </c>
      <c r="F2820" t="str">
        <f t="shared" si="223"/>
        <v/>
      </c>
      <c r="G2820" t="str">
        <f t="shared" si="224"/>
        <v/>
      </c>
    </row>
    <row r="2821" spans="1:7" x14ac:dyDescent="0.4">
      <c r="A2821" t="str">
        <f t="shared" si="220"/>
        <v/>
      </c>
      <c r="B2821" t="str">
        <f t="shared" si="221"/>
        <v/>
      </c>
      <c r="C2821" t="str">
        <f t="shared" si="222"/>
        <v/>
      </c>
      <c r="D2821" t="str">
        <f>IF(E2821="","",IF(COUNTIF($E$2:E2821,E2821)&gt;1,"",SUMIFS(tbl_input[필요수량],tbl_input[집계키_지청],E2821)))</f>
        <v/>
      </c>
      <c r="E2821" t="str">
        <f>IFERROR(INDEX(tbl_input[집계키_지청],ROW()-1),"")</f>
        <v/>
      </c>
      <c r="F2821" t="str">
        <f t="shared" si="223"/>
        <v/>
      </c>
      <c r="G2821" t="str">
        <f t="shared" si="224"/>
        <v/>
      </c>
    </row>
    <row r="2822" spans="1:7" x14ac:dyDescent="0.4">
      <c r="A2822" t="str">
        <f t="shared" si="220"/>
        <v/>
      </c>
      <c r="B2822" t="str">
        <f t="shared" si="221"/>
        <v/>
      </c>
      <c r="C2822" t="str">
        <f t="shared" si="222"/>
        <v/>
      </c>
      <c r="D2822" t="str">
        <f>IF(E2822="","",IF(COUNTIF($E$2:E2822,E2822)&gt;1,"",SUMIFS(tbl_input[필요수량],tbl_input[집계키_지청],E2822)))</f>
        <v/>
      </c>
      <c r="E2822" t="str">
        <f>IFERROR(INDEX(tbl_input[집계키_지청],ROW()-1),"")</f>
        <v/>
      </c>
      <c r="F2822" t="str">
        <f t="shared" si="223"/>
        <v/>
      </c>
      <c r="G2822" t="str">
        <f t="shared" si="224"/>
        <v/>
      </c>
    </row>
    <row r="2823" spans="1:7" x14ac:dyDescent="0.4">
      <c r="A2823" t="str">
        <f t="shared" si="220"/>
        <v/>
      </c>
      <c r="B2823" t="str">
        <f t="shared" si="221"/>
        <v/>
      </c>
      <c r="C2823" t="str">
        <f t="shared" si="222"/>
        <v/>
      </c>
      <c r="D2823" t="str">
        <f>IF(E2823="","",IF(COUNTIF($E$2:E2823,E2823)&gt;1,"",SUMIFS(tbl_input[필요수량],tbl_input[집계키_지청],E2823)))</f>
        <v/>
      </c>
      <c r="E2823" t="str">
        <f>IFERROR(INDEX(tbl_input[집계키_지청],ROW()-1),"")</f>
        <v/>
      </c>
      <c r="F2823" t="str">
        <f t="shared" si="223"/>
        <v/>
      </c>
      <c r="G2823" t="str">
        <f t="shared" si="224"/>
        <v/>
      </c>
    </row>
    <row r="2824" spans="1:7" x14ac:dyDescent="0.4">
      <c r="A2824" t="str">
        <f t="shared" si="220"/>
        <v/>
      </c>
      <c r="B2824" t="str">
        <f t="shared" si="221"/>
        <v/>
      </c>
      <c r="C2824" t="str">
        <f t="shared" si="222"/>
        <v/>
      </c>
      <c r="D2824" t="str">
        <f>IF(E2824="","",IF(COUNTIF($E$2:E2824,E2824)&gt;1,"",SUMIFS(tbl_input[필요수량],tbl_input[집계키_지청],E2824)))</f>
        <v/>
      </c>
      <c r="E2824" t="str">
        <f>IFERROR(INDEX(tbl_input[집계키_지청],ROW()-1),"")</f>
        <v/>
      </c>
      <c r="F2824" t="str">
        <f t="shared" si="223"/>
        <v/>
      </c>
      <c r="G2824" t="str">
        <f t="shared" si="224"/>
        <v/>
      </c>
    </row>
    <row r="2825" spans="1:7" x14ac:dyDescent="0.4">
      <c r="A2825" t="str">
        <f t="shared" si="220"/>
        <v/>
      </c>
      <c r="B2825" t="str">
        <f t="shared" si="221"/>
        <v/>
      </c>
      <c r="C2825" t="str">
        <f t="shared" si="222"/>
        <v/>
      </c>
      <c r="D2825" t="str">
        <f>IF(E2825="","",IF(COUNTIF($E$2:E2825,E2825)&gt;1,"",SUMIFS(tbl_input[필요수량],tbl_input[집계키_지청],E2825)))</f>
        <v/>
      </c>
      <c r="E2825" t="str">
        <f>IFERROR(INDEX(tbl_input[집계키_지청],ROW()-1),"")</f>
        <v/>
      </c>
      <c r="F2825" t="str">
        <f t="shared" si="223"/>
        <v/>
      </c>
      <c r="G2825" t="str">
        <f t="shared" si="224"/>
        <v/>
      </c>
    </row>
    <row r="2826" spans="1:7" x14ac:dyDescent="0.4">
      <c r="A2826" t="str">
        <f t="shared" si="220"/>
        <v/>
      </c>
      <c r="B2826" t="str">
        <f t="shared" si="221"/>
        <v/>
      </c>
      <c r="C2826" t="str">
        <f t="shared" si="222"/>
        <v/>
      </c>
      <c r="D2826" t="str">
        <f>IF(E2826="","",IF(COUNTIF($E$2:E2826,E2826)&gt;1,"",SUMIFS(tbl_input[필요수량],tbl_input[집계키_지청],E2826)))</f>
        <v/>
      </c>
      <c r="E2826" t="str">
        <f>IFERROR(INDEX(tbl_input[집계키_지청],ROW()-1),"")</f>
        <v/>
      </c>
      <c r="F2826" t="str">
        <f t="shared" si="223"/>
        <v/>
      </c>
      <c r="G2826" t="str">
        <f t="shared" si="224"/>
        <v/>
      </c>
    </row>
    <row r="2827" spans="1:7" x14ac:dyDescent="0.4">
      <c r="A2827" t="str">
        <f t="shared" si="220"/>
        <v/>
      </c>
      <c r="B2827" t="str">
        <f t="shared" si="221"/>
        <v/>
      </c>
      <c r="C2827" t="str">
        <f t="shared" si="222"/>
        <v/>
      </c>
      <c r="D2827" t="str">
        <f>IF(E2827="","",IF(COUNTIF($E$2:E2827,E2827)&gt;1,"",SUMIFS(tbl_input[필요수량],tbl_input[집계키_지청],E2827)))</f>
        <v/>
      </c>
      <c r="E2827" t="str">
        <f>IFERROR(INDEX(tbl_input[집계키_지청],ROW()-1),"")</f>
        <v/>
      </c>
      <c r="F2827" t="str">
        <f t="shared" si="223"/>
        <v/>
      </c>
      <c r="G2827" t="str">
        <f t="shared" si="224"/>
        <v/>
      </c>
    </row>
    <row r="2828" spans="1:7" x14ac:dyDescent="0.4">
      <c r="A2828" t="str">
        <f t="shared" si="220"/>
        <v/>
      </c>
      <c r="B2828" t="str">
        <f t="shared" si="221"/>
        <v/>
      </c>
      <c r="C2828" t="str">
        <f t="shared" si="222"/>
        <v/>
      </c>
      <c r="D2828" t="str">
        <f>IF(E2828="","",IF(COUNTIF($E$2:E2828,E2828)&gt;1,"",SUMIFS(tbl_input[필요수량],tbl_input[집계키_지청],E2828)))</f>
        <v/>
      </c>
      <c r="E2828" t="str">
        <f>IFERROR(INDEX(tbl_input[집계키_지청],ROW()-1),"")</f>
        <v/>
      </c>
      <c r="F2828" t="str">
        <f t="shared" si="223"/>
        <v/>
      </c>
      <c r="G2828" t="str">
        <f t="shared" si="224"/>
        <v/>
      </c>
    </row>
    <row r="2829" spans="1:7" x14ac:dyDescent="0.4">
      <c r="A2829" t="str">
        <f t="shared" si="220"/>
        <v/>
      </c>
      <c r="B2829" t="str">
        <f t="shared" si="221"/>
        <v/>
      </c>
      <c r="C2829" t="str">
        <f t="shared" si="222"/>
        <v/>
      </c>
      <c r="D2829" t="str">
        <f>IF(E2829="","",IF(COUNTIF($E$2:E2829,E2829)&gt;1,"",SUMIFS(tbl_input[필요수량],tbl_input[집계키_지청],E2829)))</f>
        <v/>
      </c>
      <c r="E2829" t="str">
        <f>IFERROR(INDEX(tbl_input[집계키_지청],ROW()-1),"")</f>
        <v/>
      </c>
      <c r="F2829" t="str">
        <f t="shared" si="223"/>
        <v/>
      </c>
      <c r="G2829" t="str">
        <f t="shared" si="224"/>
        <v/>
      </c>
    </row>
    <row r="2830" spans="1:7" x14ac:dyDescent="0.4">
      <c r="A2830" t="str">
        <f t="shared" si="220"/>
        <v/>
      </c>
      <c r="B2830" t="str">
        <f t="shared" si="221"/>
        <v/>
      </c>
      <c r="C2830" t="str">
        <f t="shared" si="222"/>
        <v/>
      </c>
      <c r="D2830" t="str">
        <f>IF(E2830="","",IF(COUNTIF($E$2:E2830,E2830)&gt;1,"",SUMIFS(tbl_input[필요수량],tbl_input[집계키_지청],E2830)))</f>
        <v/>
      </c>
      <c r="E2830" t="str">
        <f>IFERROR(INDEX(tbl_input[집계키_지청],ROW()-1),"")</f>
        <v/>
      </c>
      <c r="F2830" t="str">
        <f t="shared" si="223"/>
        <v/>
      </c>
      <c r="G2830" t="str">
        <f t="shared" si="224"/>
        <v/>
      </c>
    </row>
    <row r="2831" spans="1:7" x14ac:dyDescent="0.4">
      <c r="A2831" t="str">
        <f t="shared" si="220"/>
        <v/>
      </c>
      <c r="B2831" t="str">
        <f t="shared" si="221"/>
        <v/>
      </c>
      <c r="C2831" t="str">
        <f t="shared" si="222"/>
        <v/>
      </c>
      <c r="D2831" t="str">
        <f>IF(E2831="","",IF(COUNTIF($E$2:E2831,E2831)&gt;1,"",SUMIFS(tbl_input[필요수량],tbl_input[집계키_지청],E2831)))</f>
        <v/>
      </c>
      <c r="E2831" t="str">
        <f>IFERROR(INDEX(tbl_input[집계키_지청],ROW()-1),"")</f>
        <v/>
      </c>
      <c r="F2831" t="str">
        <f t="shared" si="223"/>
        <v/>
      </c>
      <c r="G2831" t="str">
        <f t="shared" si="224"/>
        <v/>
      </c>
    </row>
    <row r="2832" spans="1:7" x14ac:dyDescent="0.4">
      <c r="A2832" t="str">
        <f t="shared" si="220"/>
        <v/>
      </c>
      <c r="B2832" t="str">
        <f t="shared" si="221"/>
        <v/>
      </c>
      <c r="C2832" t="str">
        <f t="shared" si="222"/>
        <v/>
      </c>
      <c r="D2832" t="str">
        <f>IF(E2832="","",IF(COUNTIF($E$2:E2832,E2832)&gt;1,"",SUMIFS(tbl_input[필요수량],tbl_input[집계키_지청],E2832)))</f>
        <v/>
      </c>
      <c r="E2832" t="str">
        <f>IFERROR(INDEX(tbl_input[집계키_지청],ROW()-1),"")</f>
        <v/>
      </c>
      <c r="F2832" t="str">
        <f t="shared" si="223"/>
        <v/>
      </c>
      <c r="G2832" t="str">
        <f t="shared" si="224"/>
        <v/>
      </c>
    </row>
    <row r="2833" spans="1:7" x14ac:dyDescent="0.4">
      <c r="A2833" t="str">
        <f t="shared" si="220"/>
        <v/>
      </c>
      <c r="B2833" t="str">
        <f t="shared" si="221"/>
        <v/>
      </c>
      <c r="C2833" t="str">
        <f t="shared" si="222"/>
        <v/>
      </c>
      <c r="D2833" t="str">
        <f>IF(E2833="","",IF(COUNTIF($E$2:E2833,E2833)&gt;1,"",SUMIFS(tbl_input[필요수량],tbl_input[집계키_지청],E2833)))</f>
        <v/>
      </c>
      <c r="E2833" t="str">
        <f>IFERROR(INDEX(tbl_input[집계키_지청],ROW()-1),"")</f>
        <v/>
      </c>
      <c r="F2833" t="str">
        <f t="shared" si="223"/>
        <v/>
      </c>
      <c r="G2833" t="str">
        <f t="shared" si="224"/>
        <v/>
      </c>
    </row>
    <row r="2834" spans="1:7" x14ac:dyDescent="0.4">
      <c r="A2834" t="str">
        <f t="shared" si="220"/>
        <v/>
      </c>
      <c r="B2834" t="str">
        <f t="shared" si="221"/>
        <v/>
      </c>
      <c r="C2834" t="str">
        <f t="shared" si="222"/>
        <v/>
      </c>
      <c r="D2834" t="str">
        <f>IF(E2834="","",IF(COUNTIF($E$2:E2834,E2834)&gt;1,"",SUMIFS(tbl_input[필요수량],tbl_input[집계키_지청],E2834)))</f>
        <v/>
      </c>
      <c r="E2834" t="str">
        <f>IFERROR(INDEX(tbl_input[집계키_지청],ROW()-1),"")</f>
        <v/>
      </c>
      <c r="F2834" t="str">
        <f t="shared" si="223"/>
        <v/>
      </c>
      <c r="G2834" t="str">
        <f t="shared" si="224"/>
        <v/>
      </c>
    </row>
    <row r="2835" spans="1:7" x14ac:dyDescent="0.4">
      <c r="A2835" t="str">
        <f t="shared" si="220"/>
        <v/>
      </c>
      <c r="B2835" t="str">
        <f t="shared" si="221"/>
        <v/>
      </c>
      <c r="C2835" t="str">
        <f t="shared" si="222"/>
        <v/>
      </c>
      <c r="D2835" t="str">
        <f>IF(E2835="","",IF(COUNTIF($E$2:E2835,E2835)&gt;1,"",SUMIFS(tbl_input[필요수량],tbl_input[집계키_지청],E2835)))</f>
        <v/>
      </c>
      <c r="E2835" t="str">
        <f>IFERROR(INDEX(tbl_input[집계키_지청],ROW()-1),"")</f>
        <v/>
      </c>
      <c r="F2835" t="str">
        <f t="shared" si="223"/>
        <v/>
      </c>
      <c r="G2835" t="str">
        <f t="shared" si="224"/>
        <v/>
      </c>
    </row>
    <row r="2836" spans="1:7" x14ac:dyDescent="0.4">
      <c r="A2836" t="str">
        <f t="shared" si="220"/>
        <v/>
      </c>
      <c r="B2836" t="str">
        <f t="shared" si="221"/>
        <v/>
      </c>
      <c r="C2836" t="str">
        <f t="shared" si="222"/>
        <v/>
      </c>
      <c r="D2836" t="str">
        <f>IF(E2836="","",IF(COUNTIF($E$2:E2836,E2836)&gt;1,"",SUMIFS(tbl_input[필요수량],tbl_input[집계키_지청],E2836)))</f>
        <v/>
      </c>
      <c r="E2836" t="str">
        <f>IFERROR(INDEX(tbl_input[집계키_지청],ROW()-1),"")</f>
        <v/>
      </c>
      <c r="F2836" t="str">
        <f t="shared" si="223"/>
        <v/>
      </c>
      <c r="G2836" t="str">
        <f t="shared" si="224"/>
        <v/>
      </c>
    </row>
    <row r="2837" spans="1:7" x14ac:dyDescent="0.4">
      <c r="A2837" t="str">
        <f t="shared" si="220"/>
        <v/>
      </c>
      <c r="B2837" t="str">
        <f t="shared" si="221"/>
        <v/>
      </c>
      <c r="C2837" t="str">
        <f t="shared" si="222"/>
        <v/>
      </c>
      <c r="D2837" t="str">
        <f>IF(E2837="","",IF(COUNTIF($E$2:E2837,E2837)&gt;1,"",SUMIFS(tbl_input[필요수량],tbl_input[집계키_지청],E2837)))</f>
        <v/>
      </c>
      <c r="E2837" t="str">
        <f>IFERROR(INDEX(tbl_input[집계키_지청],ROW()-1),"")</f>
        <v/>
      </c>
      <c r="F2837" t="str">
        <f t="shared" si="223"/>
        <v/>
      </c>
      <c r="G2837" t="str">
        <f t="shared" si="224"/>
        <v/>
      </c>
    </row>
    <row r="2838" spans="1:7" x14ac:dyDescent="0.4">
      <c r="A2838" t="str">
        <f t="shared" si="220"/>
        <v/>
      </c>
      <c r="B2838" t="str">
        <f t="shared" si="221"/>
        <v/>
      </c>
      <c r="C2838" t="str">
        <f t="shared" si="222"/>
        <v/>
      </c>
      <c r="D2838" t="str">
        <f>IF(E2838="","",IF(COUNTIF($E$2:E2838,E2838)&gt;1,"",SUMIFS(tbl_input[필요수량],tbl_input[집계키_지청],E2838)))</f>
        <v/>
      </c>
      <c r="E2838" t="str">
        <f>IFERROR(INDEX(tbl_input[집계키_지청],ROW()-1),"")</f>
        <v/>
      </c>
      <c r="F2838" t="str">
        <f t="shared" si="223"/>
        <v/>
      </c>
      <c r="G2838" t="str">
        <f t="shared" si="224"/>
        <v/>
      </c>
    </row>
    <row r="2839" spans="1:7" x14ac:dyDescent="0.4">
      <c r="A2839" t="str">
        <f t="shared" si="220"/>
        <v/>
      </c>
      <c r="B2839" t="str">
        <f t="shared" si="221"/>
        <v/>
      </c>
      <c r="C2839" t="str">
        <f t="shared" si="222"/>
        <v/>
      </c>
      <c r="D2839" t="str">
        <f>IF(E2839="","",IF(COUNTIF($E$2:E2839,E2839)&gt;1,"",SUMIFS(tbl_input[필요수량],tbl_input[집계키_지청],E2839)))</f>
        <v/>
      </c>
      <c r="E2839" t="str">
        <f>IFERROR(INDEX(tbl_input[집계키_지청],ROW()-1),"")</f>
        <v/>
      </c>
      <c r="F2839" t="str">
        <f t="shared" si="223"/>
        <v/>
      </c>
      <c r="G2839" t="str">
        <f t="shared" si="224"/>
        <v/>
      </c>
    </row>
    <row r="2840" spans="1:7" x14ac:dyDescent="0.4">
      <c r="A2840" t="str">
        <f t="shared" si="220"/>
        <v/>
      </c>
      <c r="B2840" t="str">
        <f t="shared" si="221"/>
        <v/>
      </c>
      <c r="C2840" t="str">
        <f t="shared" si="222"/>
        <v/>
      </c>
      <c r="D2840" t="str">
        <f>IF(E2840="","",IF(COUNTIF($E$2:E2840,E2840)&gt;1,"",SUMIFS(tbl_input[필요수량],tbl_input[집계키_지청],E2840)))</f>
        <v/>
      </c>
      <c r="E2840" t="str">
        <f>IFERROR(INDEX(tbl_input[집계키_지청],ROW()-1),"")</f>
        <v/>
      </c>
      <c r="F2840" t="str">
        <f t="shared" si="223"/>
        <v/>
      </c>
      <c r="G2840" t="str">
        <f t="shared" si="224"/>
        <v/>
      </c>
    </row>
    <row r="2841" spans="1:7" x14ac:dyDescent="0.4">
      <c r="A2841" t="str">
        <f t="shared" si="220"/>
        <v/>
      </c>
      <c r="B2841" t="str">
        <f t="shared" si="221"/>
        <v/>
      </c>
      <c r="C2841" t="str">
        <f t="shared" si="222"/>
        <v/>
      </c>
      <c r="D2841" t="str">
        <f>IF(E2841="","",IF(COUNTIF($E$2:E2841,E2841)&gt;1,"",SUMIFS(tbl_input[필요수량],tbl_input[집계키_지청],E2841)))</f>
        <v/>
      </c>
      <c r="E2841" t="str">
        <f>IFERROR(INDEX(tbl_input[집계키_지청],ROW()-1),"")</f>
        <v/>
      </c>
      <c r="F2841" t="str">
        <f t="shared" si="223"/>
        <v/>
      </c>
      <c r="G2841" t="str">
        <f t="shared" si="224"/>
        <v/>
      </c>
    </row>
    <row r="2842" spans="1:7" x14ac:dyDescent="0.4">
      <c r="A2842" t="str">
        <f t="shared" si="220"/>
        <v/>
      </c>
      <c r="B2842" t="str">
        <f t="shared" si="221"/>
        <v/>
      </c>
      <c r="C2842" t="str">
        <f t="shared" si="222"/>
        <v/>
      </c>
      <c r="D2842" t="str">
        <f>IF(E2842="","",IF(COUNTIF($E$2:E2842,E2842)&gt;1,"",SUMIFS(tbl_input[필요수량],tbl_input[집계키_지청],E2842)))</f>
        <v/>
      </c>
      <c r="E2842" t="str">
        <f>IFERROR(INDEX(tbl_input[집계키_지청],ROW()-1),"")</f>
        <v/>
      </c>
      <c r="F2842" t="str">
        <f t="shared" si="223"/>
        <v/>
      </c>
      <c r="G2842" t="str">
        <f t="shared" si="224"/>
        <v/>
      </c>
    </row>
    <row r="2843" spans="1:7" x14ac:dyDescent="0.4">
      <c r="A2843" t="str">
        <f t="shared" si="220"/>
        <v/>
      </c>
      <c r="B2843" t="str">
        <f t="shared" si="221"/>
        <v/>
      </c>
      <c r="C2843" t="str">
        <f t="shared" si="222"/>
        <v/>
      </c>
      <c r="D2843" t="str">
        <f>IF(E2843="","",IF(COUNTIF($E$2:E2843,E2843)&gt;1,"",SUMIFS(tbl_input[필요수량],tbl_input[집계키_지청],E2843)))</f>
        <v/>
      </c>
      <c r="E2843" t="str">
        <f>IFERROR(INDEX(tbl_input[집계키_지청],ROW()-1),"")</f>
        <v/>
      </c>
      <c r="F2843" t="str">
        <f t="shared" si="223"/>
        <v/>
      </c>
      <c r="G2843" t="str">
        <f t="shared" si="224"/>
        <v/>
      </c>
    </row>
    <row r="2844" spans="1:7" x14ac:dyDescent="0.4">
      <c r="A2844" t="str">
        <f t="shared" si="220"/>
        <v/>
      </c>
      <c r="B2844" t="str">
        <f t="shared" si="221"/>
        <v/>
      </c>
      <c r="C2844" t="str">
        <f t="shared" si="222"/>
        <v/>
      </c>
      <c r="D2844" t="str">
        <f>IF(E2844="","",IF(COUNTIF($E$2:E2844,E2844)&gt;1,"",SUMIFS(tbl_input[필요수량],tbl_input[집계키_지청],E2844)))</f>
        <v/>
      </c>
      <c r="E2844" t="str">
        <f>IFERROR(INDEX(tbl_input[집계키_지청],ROW()-1),"")</f>
        <v/>
      </c>
      <c r="F2844" t="str">
        <f t="shared" si="223"/>
        <v/>
      </c>
      <c r="G2844" t="str">
        <f t="shared" si="224"/>
        <v/>
      </c>
    </row>
    <row r="2845" spans="1:7" x14ac:dyDescent="0.4">
      <c r="A2845" t="str">
        <f t="shared" si="220"/>
        <v/>
      </c>
      <c r="B2845" t="str">
        <f t="shared" si="221"/>
        <v/>
      </c>
      <c r="C2845" t="str">
        <f t="shared" si="222"/>
        <v/>
      </c>
      <c r="D2845" t="str">
        <f>IF(E2845="","",IF(COUNTIF($E$2:E2845,E2845)&gt;1,"",SUMIFS(tbl_input[필요수량],tbl_input[집계키_지청],E2845)))</f>
        <v/>
      </c>
      <c r="E2845" t="str">
        <f>IFERROR(INDEX(tbl_input[집계키_지청],ROW()-1),"")</f>
        <v/>
      </c>
      <c r="F2845" t="str">
        <f t="shared" si="223"/>
        <v/>
      </c>
      <c r="G2845" t="str">
        <f t="shared" si="224"/>
        <v/>
      </c>
    </row>
    <row r="2846" spans="1:7" x14ac:dyDescent="0.4">
      <c r="A2846" t="str">
        <f t="shared" si="220"/>
        <v/>
      </c>
      <c r="B2846" t="str">
        <f t="shared" si="221"/>
        <v/>
      </c>
      <c r="C2846" t="str">
        <f t="shared" si="222"/>
        <v/>
      </c>
      <c r="D2846" t="str">
        <f>IF(E2846="","",IF(COUNTIF($E$2:E2846,E2846)&gt;1,"",SUMIFS(tbl_input[필요수량],tbl_input[집계키_지청],E2846)))</f>
        <v/>
      </c>
      <c r="E2846" t="str">
        <f>IFERROR(INDEX(tbl_input[집계키_지청],ROW()-1),"")</f>
        <v/>
      </c>
      <c r="F2846" t="str">
        <f t="shared" si="223"/>
        <v/>
      </c>
      <c r="G2846" t="str">
        <f t="shared" si="224"/>
        <v/>
      </c>
    </row>
    <row r="2847" spans="1:7" x14ac:dyDescent="0.4">
      <c r="A2847" t="str">
        <f t="shared" si="220"/>
        <v/>
      </c>
      <c r="B2847" t="str">
        <f t="shared" si="221"/>
        <v/>
      </c>
      <c r="C2847" t="str">
        <f t="shared" si="222"/>
        <v/>
      </c>
      <c r="D2847" t="str">
        <f>IF(E2847="","",IF(COUNTIF($E$2:E2847,E2847)&gt;1,"",SUMIFS(tbl_input[필요수량],tbl_input[집계키_지청],E2847)))</f>
        <v/>
      </c>
      <c r="E2847" t="str">
        <f>IFERROR(INDEX(tbl_input[집계키_지청],ROW()-1),"")</f>
        <v/>
      </c>
      <c r="F2847" t="str">
        <f t="shared" si="223"/>
        <v/>
      </c>
      <c r="G2847" t="str">
        <f t="shared" si="224"/>
        <v/>
      </c>
    </row>
    <row r="2848" spans="1:7" x14ac:dyDescent="0.4">
      <c r="A2848" t="str">
        <f t="shared" si="220"/>
        <v/>
      </c>
      <c r="B2848" t="str">
        <f t="shared" si="221"/>
        <v/>
      </c>
      <c r="C2848" t="str">
        <f t="shared" si="222"/>
        <v/>
      </c>
      <c r="D2848" t="str">
        <f>IF(E2848="","",IF(COUNTIF($E$2:E2848,E2848)&gt;1,"",SUMIFS(tbl_input[필요수량],tbl_input[집계키_지청],E2848)))</f>
        <v/>
      </c>
      <c r="E2848" t="str">
        <f>IFERROR(INDEX(tbl_input[집계키_지청],ROW()-1),"")</f>
        <v/>
      </c>
      <c r="F2848" t="str">
        <f t="shared" si="223"/>
        <v/>
      </c>
      <c r="G2848" t="str">
        <f t="shared" si="224"/>
        <v/>
      </c>
    </row>
    <row r="2849" spans="1:7" x14ac:dyDescent="0.4">
      <c r="A2849" t="str">
        <f t="shared" si="220"/>
        <v/>
      </c>
      <c r="B2849" t="str">
        <f t="shared" si="221"/>
        <v/>
      </c>
      <c r="C2849" t="str">
        <f t="shared" si="222"/>
        <v/>
      </c>
      <c r="D2849" t="str">
        <f>IF(E2849="","",IF(COUNTIF($E$2:E2849,E2849)&gt;1,"",SUMIFS(tbl_input[필요수량],tbl_input[집계키_지청],E2849)))</f>
        <v/>
      </c>
      <c r="E2849" t="str">
        <f>IFERROR(INDEX(tbl_input[집계키_지청],ROW()-1),"")</f>
        <v/>
      </c>
      <c r="F2849" t="str">
        <f t="shared" si="223"/>
        <v/>
      </c>
      <c r="G2849" t="str">
        <f t="shared" si="224"/>
        <v/>
      </c>
    </row>
    <row r="2850" spans="1:7" x14ac:dyDescent="0.4">
      <c r="A2850" t="str">
        <f t="shared" si="220"/>
        <v/>
      </c>
      <c r="B2850" t="str">
        <f t="shared" si="221"/>
        <v/>
      </c>
      <c r="C2850" t="str">
        <f t="shared" si="222"/>
        <v/>
      </c>
      <c r="D2850" t="str">
        <f>IF(E2850="","",IF(COUNTIF($E$2:E2850,E2850)&gt;1,"",SUMIFS(tbl_input[필요수량],tbl_input[집계키_지청],E2850)))</f>
        <v/>
      </c>
      <c r="E2850" t="str">
        <f>IFERROR(INDEX(tbl_input[집계키_지청],ROW()-1),"")</f>
        <v/>
      </c>
      <c r="F2850" t="str">
        <f t="shared" si="223"/>
        <v/>
      </c>
      <c r="G2850" t="str">
        <f t="shared" si="224"/>
        <v/>
      </c>
    </row>
    <row r="2851" spans="1:7" x14ac:dyDescent="0.4">
      <c r="A2851" t="str">
        <f t="shared" si="220"/>
        <v/>
      </c>
      <c r="B2851" t="str">
        <f t="shared" si="221"/>
        <v/>
      </c>
      <c r="C2851" t="str">
        <f t="shared" si="222"/>
        <v/>
      </c>
      <c r="D2851" t="str">
        <f>IF(E2851="","",IF(COUNTIF($E$2:E2851,E2851)&gt;1,"",SUMIFS(tbl_input[필요수량],tbl_input[집계키_지청],E2851)))</f>
        <v/>
      </c>
      <c r="E2851" t="str">
        <f>IFERROR(INDEX(tbl_input[집계키_지청],ROW()-1),"")</f>
        <v/>
      </c>
      <c r="F2851" t="str">
        <f t="shared" si="223"/>
        <v/>
      </c>
      <c r="G2851" t="str">
        <f t="shared" si="224"/>
        <v/>
      </c>
    </row>
    <row r="2852" spans="1:7" x14ac:dyDescent="0.4">
      <c r="A2852" t="str">
        <f t="shared" si="220"/>
        <v/>
      </c>
      <c r="B2852" t="str">
        <f t="shared" si="221"/>
        <v/>
      </c>
      <c r="C2852" t="str">
        <f t="shared" si="222"/>
        <v/>
      </c>
      <c r="D2852" t="str">
        <f>IF(E2852="","",IF(COUNTIF($E$2:E2852,E2852)&gt;1,"",SUMIFS(tbl_input[필요수량],tbl_input[집계키_지청],E2852)))</f>
        <v/>
      </c>
      <c r="E2852" t="str">
        <f>IFERROR(INDEX(tbl_input[집계키_지청],ROW()-1),"")</f>
        <v/>
      </c>
      <c r="F2852" t="str">
        <f t="shared" si="223"/>
        <v/>
      </c>
      <c r="G2852" t="str">
        <f t="shared" si="224"/>
        <v/>
      </c>
    </row>
    <row r="2853" spans="1:7" x14ac:dyDescent="0.4">
      <c r="A2853" t="str">
        <f t="shared" si="220"/>
        <v/>
      </c>
      <c r="B2853" t="str">
        <f t="shared" si="221"/>
        <v/>
      </c>
      <c r="C2853" t="str">
        <f t="shared" si="222"/>
        <v/>
      </c>
      <c r="D2853" t="str">
        <f>IF(E2853="","",IF(COUNTIF($E$2:E2853,E2853)&gt;1,"",SUMIFS(tbl_input[필요수량],tbl_input[집계키_지청],E2853)))</f>
        <v/>
      </c>
      <c r="E2853" t="str">
        <f>IFERROR(INDEX(tbl_input[집계키_지청],ROW()-1),"")</f>
        <v/>
      </c>
      <c r="F2853" t="str">
        <f t="shared" si="223"/>
        <v/>
      </c>
      <c r="G2853" t="str">
        <f t="shared" si="224"/>
        <v/>
      </c>
    </row>
    <row r="2854" spans="1:7" x14ac:dyDescent="0.4">
      <c r="A2854" t="str">
        <f t="shared" si="220"/>
        <v/>
      </c>
      <c r="B2854" t="str">
        <f t="shared" si="221"/>
        <v/>
      </c>
      <c r="C2854" t="str">
        <f t="shared" si="222"/>
        <v/>
      </c>
      <c r="D2854" t="str">
        <f>IF(E2854="","",IF(COUNTIF($E$2:E2854,E2854)&gt;1,"",SUMIFS(tbl_input[필요수량],tbl_input[집계키_지청],E2854)))</f>
        <v/>
      </c>
      <c r="E2854" t="str">
        <f>IFERROR(INDEX(tbl_input[집계키_지청],ROW()-1),"")</f>
        <v/>
      </c>
      <c r="F2854" t="str">
        <f t="shared" si="223"/>
        <v/>
      </c>
      <c r="G2854" t="str">
        <f t="shared" si="224"/>
        <v/>
      </c>
    </row>
    <row r="2855" spans="1:7" x14ac:dyDescent="0.4">
      <c r="A2855" t="str">
        <f t="shared" si="220"/>
        <v/>
      </c>
      <c r="B2855" t="str">
        <f t="shared" si="221"/>
        <v/>
      </c>
      <c r="C2855" t="str">
        <f t="shared" si="222"/>
        <v/>
      </c>
      <c r="D2855" t="str">
        <f>IF(E2855="","",IF(COUNTIF($E$2:E2855,E2855)&gt;1,"",SUMIFS(tbl_input[필요수량],tbl_input[집계키_지청],E2855)))</f>
        <v/>
      </c>
      <c r="E2855" t="str">
        <f>IFERROR(INDEX(tbl_input[집계키_지청],ROW()-1),"")</f>
        <v/>
      </c>
      <c r="F2855" t="str">
        <f t="shared" si="223"/>
        <v/>
      </c>
      <c r="G2855" t="str">
        <f t="shared" si="224"/>
        <v/>
      </c>
    </row>
    <row r="2856" spans="1:7" x14ac:dyDescent="0.4">
      <c r="A2856" t="str">
        <f t="shared" si="220"/>
        <v/>
      </c>
      <c r="B2856" t="str">
        <f t="shared" si="221"/>
        <v/>
      </c>
      <c r="C2856" t="str">
        <f t="shared" si="222"/>
        <v/>
      </c>
      <c r="D2856" t="str">
        <f>IF(E2856="","",IF(COUNTIF($E$2:E2856,E2856)&gt;1,"",SUMIFS(tbl_input[필요수량],tbl_input[집계키_지청],E2856)))</f>
        <v/>
      </c>
      <c r="E2856" t="str">
        <f>IFERROR(INDEX(tbl_input[집계키_지청],ROW()-1),"")</f>
        <v/>
      </c>
      <c r="F2856" t="str">
        <f t="shared" si="223"/>
        <v/>
      </c>
      <c r="G2856" t="str">
        <f t="shared" si="224"/>
        <v/>
      </c>
    </row>
    <row r="2857" spans="1:7" x14ac:dyDescent="0.4">
      <c r="A2857" t="str">
        <f t="shared" si="220"/>
        <v/>
      </c>
      <c r="B2857" t="str">
        <f t="shared" si="221"/>
        <v/>
      </c>
      <c r="C2857" t="str">
        <f t="shared" si="222"/>
        <v/>
      </c>
      <c r="D2857" t="str">
        <f>IF(E2857="","",IF(COUNTIF($E$2:E2857,E2857)&gt;1,"",SUMIFS(tbl_input[필요수량],tbl_input[집계키_지청],E2857)))</f>
        <v/>
      </c>
      <c r="E2857" t="str">
        <f>IFERROR(INDEX(tbl_input[집계키_지청],ROW()-1),"")</f>
        <v/>
      </c>
      <c r="F2857" t="str">
        <f t="shared" si="223"/>
        <v/>
      </c>
      <c r="G2857" t="str">
        <f t="shared" si="224"/>
        <v/>
      </c>
    </row>
    <row r="2858" spans="1:7" x14ac:dyDescent="0.4">
      <c r="A2858" t="str">
        <f t="shared" si="220"/>
        <v/>
      </c>
      <c r="B2858" t="str">
        <f t="shared" si="221"/>
        <v/>
      </c>
      <c r="C2858" t="str">
        <f t="shared" si="222"/>
        <v/>
      </c>
      <c r="D2858" t="str">
        <f>IF(E2858="","",IF(COUNTIF($E$2:E2858,E2858)&gt;1,"",SUMIFS(tbl_input[필요수량],tbl_input[집계키_지청],E2858)))</f>
        <v/>
      </c>
      <c r="E2858" t="str">
        <f>IFERROR(INDEX(tbl_input[집계키_지청],ROW()-1),"")</f>
        <v/>
      </c>
      <c r="F2858" t="str">
        <f t="shared" si="223"/>
        <v/>
      </c>
      <c r="G2858" t="str">
        <f t="shared" si="224"/>
        <v/>
      </c>
    </row>
    <row r="2859" spans="1:7" x14ac:dyDescent="0.4">
      <c r="A2859" t="str">
        <f t="shared" si="220"/>
        <v/>
      </c>
      <c r="B2859" t="str">
        <f t="shared" si="221"/>
        <v/>
      </c>
      <c r="C2859" t="str">
        <f t="shared" si="222"/>
        <v/>
      </c>
      <c r="D2859" t="str">
        <f>IF(E2859="","",IF(COUNTIF($E$2:E2859,E2859)&gt;1,"",SUMIFS(tbl_input[필요수량],tbl_input[집계키_지청],E2859)))</f>
        <v/>
      </c>
      <c r="E2859" t="str">
        <f>IFERROR(INDEX(tbl_input[집계키_지청],ROW()-1),"")</f>
        <v/>
      </c>
      <c r="F2859" t="str">
        <f t="shared" si="223"/>
        <v/>
      </c>
      <c r="G2859" t="str">
        <f t="shared" si="224"/>
        <v/>
      </c>
    </row>
    <row r="2860" spans="1:7" x14ac:dyDescent="0.4">
      <c r="A2860" t="str">
        <f t="shared" si="220"/>
        <v/>
      </c>
      <c r="B2860" t="str">
        <f t="shared" si="221"/>
        <v/>
      </c>
      <c r="C2860" t="str">
        <f t="shared" si="222"/>
        <v/>
      </c>
      <c r="D2860" t="str">
        <f>IF(E2860="","",IF(COUNTIF($E$2:E2860,E2860)&gt;1,"",SUMIFS(tbl_input[필요수량],tbl_input[집계키_지청],E2860)))</f>
        <v/>
      </c>
      <c r="E2860" t="str">
        <f>IFERROR(INDEX(tbl_input[집계키_지청],ROW()-1),"")</f>
        <v/>
      </c>
      <c r="F2860" t="str">
        <f t="shared" si="223"/>
        <v/>
      </c>
      <c r="G2860" t="str">
        <f t="shared" si="224"/>
        <v/>
      </c>
    </row>
    <row r="2861" spans="1:7" x14ac:dyDescent="0.4">
      <c r="A2861" t="str">
        <f t="shared" si="220"/>
        <v/>
      </c>
      <c r="B2861" t="str">
        <f t="shared" si="221"/>
        <v/>
      </c>
      <c r="C2861" t="str">
        <f t="shared" si="222"/>
        <v/>
      </c>
      <c r="D2861" t="str">
        <f>IF(E2861="","",IF(COUNTIF($E$2:E2861,E2861)&gt;1,"",SUMIFS(tbl_input[필요수량],tbl_input[집계키_지청],E2861)))</f>
        <v/>
      </c>
      <c r="E2861" t="str">
        <f>IFERROR(INDEX(tbl_input[집계키_지청],ROW()-1),"")</f>
        <v/>
      </c>
      <c r="F2861" t="str">
        <f t="shared" si="223"/>
        <v/>
      </c>
      <c r="G2861" t="str">
        <f t="shared" si="224"/>
        <v/>
      </c>
    </row>
    <row r="2862" spans="1:7" x14ac:dyDescent="0.4">
      <c r="A2862" t="str">
        <f t="shared" si="220"/>
        <v/>
      </c>
      <c r="B2862" t="str">
        <f t="shared" si="221"/>
        <v/>
      </c>
      <c r="C2862" t="str">
        <f t="shared" si="222"/>
        <v/>
      </c>
      <c r="D2862" t="str">
        <f>IF(E2862="","",IF(COUNTIF($E$2:E2862,E2862)&gt;1,"",SUMIFS(tbl_input[필요수량],tbl_input[집계키_지청],E2862)))</f>
        <v/>
      </c>
      <c r="E2862" t="str">
        <f>IFERROR(INDEX(tbl_input[집계키_지청],ROW()-1),"")</f>
        <v/>
      </c>
      <c r="F2862" t="str">
        <f t="shared" si="223"/>
        <v/>
      </c>
      <c r="G2862" t="str">
        <f t="shared" si="224"/>
        <v/>
      </c>
    </row>
    <row r="2863" spans="1:7" x14ac:dyDescent="0.4">
      <c r="A2863" t="str">
        <f t="shared" si="220"/>
        <v/>
      </c>
      <c r="B2863" t="str">
        <f t="shared" si="221"/>
        <v/>
      </c>
      <c r="C2863" t="str">
        <f t="shared" si="222"/>
        <v/>
      </c>
      <c r="D2863" t="str">
        <f>IF(E2863="","",IF(COUNTIF($E$2:E2863,E2863)&gt;1,"",SUMIFS(tbl_input[필요수량],tbl_input[집계키_지청],E2863)))</f>
        <v/>
      </c>
      <c r="E2863" t="str">
        <f>IFERROR(INDEX(tbl_input[집계키_지청],ROW()-1),"")</f>
        <v/>
      </c>
      <c r="F2863" t="str">
        <f t="shared" si="223"/>
        <v/>
      </c>
      <c r="G2863" t="str">
        <f t="shared" si="224"/>
        <v/>
      </c>
    </row>
    <row r="2864" spans="1:7" x14ac:dyDescent="0.4">
      <c r="A2864" t="str">
        <f t="shared" si="220"/>
        <v/>
      </c>
      <c r="B2864" t="str">
        <f t="shared" si="221"/>
        <v/>
      </c>
      <c r="C2864" t="str">
        <f t="shared" si="222"/>
        <v/>
      </c>
      <c r="D2864" t="str">
        <f>IF(E2864="","",IF(COUNTIF($E$2:E2864,E2864)&gt;1,"",SUMIFS(tbl_input[필요수량],tbl_input[집계키_지청],E2864)))</f>
        <v/>
      </c>
      <c r="E2864" t="str">
        <f>IFERROR(INDEX(tbl_input[집계키_지청],ROW()-1),"")</f>
        <v/>
      </c>
      <c r="F2864" t="str">
        <f t="shared" si="223"/>
        <v/>
      </c>
      <c r="G2864" t="str">
        <f t="shared" si="224"/>
        <v/>
      </c>
    </row>
    <row r="2865" spans="1:7" x14ac:dyDescent="0.4">
      <c r="A2865" t="str">
        <f t="shared" si="220"/>
        <v/>
      </c>
      <c r="B2865" t="str">
        <f t="shared" si="221"/>
        <v/>
      </c>
      <c r="C2865" t="str">
        <f t="shared" si="222"/>
        <v/>
      </c>
      <c r="D2865" t="str">
        <f>IF(E2865="","",IF(COUNTIF($E$2:E2865,E2865)&gt;1,"",SUMIFS(tbl_input[필요수량],tbl_input[집계키_지청],E2865)))</f>
        <v/>
      </c>
      <c r="E2865" t="str">
        <f>IFERROR(INDEX(tbl_input[집계키_지청],ROW()-1),"")</f>
        <v/>
      </c>
      <c r="F2865" t="str">
        <f t="shared" si="223"/>
        <v/>
      </c>
      <c r="G2865" t="str">
        <f t="shared" si="224"/>
        <v/>
      </c>
    </row>
    <row r="2866" spans="1:7" x14ac:dyDescent="0.4">
      <c r="A2866" t="str">
        <f t="shared" si="220"/>
        <v/>
      </c>
      <c r="B2866" t="str">
        <f t="shared" si="221"/>
        <v/>
      </c>
      <c r="C2866" t="str">
        <f t="shared" si="222"/>
        <v/>
      </c>
      <c r="D2866" t="str">
        <f>IF(E2866="","",IF(COUNTIF($E$2:E2866,E2866)&gt;1,"",SUMIFS(tbl_input[필요수량],tbl_input[집계키_지청],E2866)))</f>
        <v/>
      </c>
      <c r="E2866" t="str">
        <f>IFERROR(INDEX(tbl_input[집계키_지청],ROW()-1),"")</f>
        <v/>
      </c>
      <c r="F2866" t="str">
        <f t="shared" si="223"/>
        <v/>
      </c>
      <c r="G2866" t="str">
        <f t="shared" si="224"/>
        <v/>
      </c>
    </row>
    <row r="2867" spans="1:7" x14ac:dyDescent="0.4">
      <c r="A2867" t="str">
        <f t="shared" si="220"/>
        <v/>
      </c>
      <c r="B2867" t="str">
        <f t="shared" si="221"/>
        <v/>
      </c>
      <c r="C2867" t="str">
        <f t="shared" si="222"/>
        <v/>
      </c>
      <c r="D2867" t="str">
        <f>IF(E2867="","",IF(COUNTIF($E$2:E2867,E2867)&gt;1,"",SUMIFS(tbl_input[필요수량],tbl_input[집계키_지청],E2867)))</f>
        <v/>
      </c>
      <c r="E2867" t="str">
        <f>IFERROR(INDEX(tbl_input[집계키_지청],ROW()-1),"")</f>
        <v/>
      </c>
      <c r="F2867" t="str">
        <f t="shared" si="223"/>
        <v/>
      </c>
      <c r="G2867" t="str">
        <f t="shared" si="224"/>
        <v/>
      </c>
    </row>
    <row r="2868" spans="1:7" x14ac:dyDescent="0.4">
      <c r="A2868" t="str">
        <f t="shared" si="220"/>
        <v/>
      </c>
      <c r="B2868" t="str">
        <f t="shared" si="221"/>
        <v/>
      </c>
      <c r="C2868" t="str">
        <f t="shared" si="222"/>
        <v/>
      </c>
      <c r="D2868" t="str">
        <f>IF(E2868="","",IF(COUNTIF($E$2:E2868,E2868)&gt;1,"",SUMIFS(tbl_input[필요수량],tbl_input[집계키_지청],E2868)))</f>
        <v/>
      </c>
      <c r="E2868" t="str">
        <f>IFERROR(INDEX(tbl_input[집계키_지청],ROW()-1),"")</f>
        <v/>
      </c>
      <c r="F2868" t="str">
        <f t="shared" si="223"/>
        <v/>
      </c>
      <c r="G2868" t="str">
        <f t="shared" si="224"/>
        <v/>
      </c>
    </row>
    <row r="2869" spans="1:7" x14ac:dyDescent="0.4">
      <c r="A2869" t="str">
        <f t="shared" si="220"/>
        <v/>
      </c>
      <c r="B2869" t="str">
        <f t="shared" si="221"/>
        <v/>
      </c>
      <c r="C2869" t="str">
        <f t="shared" si="222"/>
        <v/>
      </c>
      <c r="D2869" t="str">
        <f>IF(E2869="","",IF(COUNTIF($E$2:E2869,E2869)&gt;1,"",SUMIFS(tbl_input[필요수량],tbl_input[집계키_지청],E2869)))</f>
        <v/>
      </c>
      <c r="E2869" t="str">
        <f>IFERROR(INDEX(tbl_input[집계키_지청],ROW()-1),"")</f>
        <v/>
      </c>
      <c r="F2869" t="str">
        <f t="shared" si="223"/>
        <v/>
      </c>
      <c r="G2869" t="str">
        <f t="shared" si="224"/>
        <v/>
      </c>
    </row>
    <row r="2870" spans="1:7" x14ac:dyDescent="0.4">
      <c r="A2870" t="str">
        <f t="shared" si="220"/>
        <v/>
      </c>
      <c r="B2870" t="str">
        <f t="shared" si="221"/>
        <v/>
      </c>
      <c r="C2870" t="str">
        <f t="shared" si="222"/>
        <v/>
      </c>
      <c r="D2870" t="str">
        <f>IF(E2870="","",IF(COUNTIF($E$2:E2870,E2870)&gt;1,"",SUMIFS(tbl_input[필요수량],tbl_input[집계키_지청],E2870)))</f>
        <v/>
      </c>
      <c r="E2870" t="str">
        <f>IFERROR(INDEX(tbl_input[집계키_지청],ROW()-1),"")</f>
        <v/>
      </c>
      <c r="F2870" t="str">
        <f t="shared" si="223"/>
        <v/>
      </c>
      <c r="G2870" t="str">
        <f t="shared" si="224"/>
        <v/>
      </c>
    </row>
    <row r="2871" spans="1:7" x14ac:dyDescent="0.4">
      <c r="A2871" t="str">
        <f t="shared" si="220"/>
        <v/>
      </c>
      <c r="B2871" t="str">
        <f t="shared" si="221"/>
        <v/>
      </c>
      <c r="C2871" t="str">
        <f t="shared" si="222"/>
        <v/>
      </c>
      <c r="D2871" t="str">
        <f>IF(E2871="","",IF(COUNTIF($E$2:E2871,E2871)&gt;1,"",SUMIFS(tbl_input[필요수량],tbl_input[집계키_지청],E2871)))</f>
        <v/>
      </c>
      <c r="E2871" t="str">
        <f>IFERROR(INDEX(tbl_input[집계키_지청],ROW()-1),"")</f>
        <v/>
      </c>
      <c r="F2871" t="str">
        <f t="shared" si="223"/>
        <v/>
      </c>
      <c r="G2871" t="str">
        <f t="shared" si="224"/>
        <v/>
      </c>
    </row>
    <row r="2872" spans="1:7" x14ac:dyDescent="0.4">
      <c r="A2872" t="str">
        <f t="shared" si="220"/>
        <v/>
      </c>
      <c r="B2872" t="str">
        <f t="shared" si="221"/>
        <v/>
      </c>
      <c r="C2872" t="str">
        <f t="shared" si="222"/>
        <v/>
      </c>
      <c r="D2872" t="str">
        <f>IF(E2872="","",IF(COUNTIF($E$2:E2872,E2872)&gt;1,"",SUMIFS(tbl_input[필요수량],tbl_input[집계키_지청],E2872)))</f>
        <v/>
      </c>
      <c r="E2872" t="str">
        <f>IFERROR(INDEX(tbl_input[집계키_지청],ROW()-1),"")</f>
        <v/>
      </c>
      <c r="F2872" t="str">
        <f t="shared" si="223"/>
        <v/>
      </c>
      <c r="G2872" t="str">
        <f t="shared" si="224"/>
        <v/>
      </c>
    </row>
    <row r="2873" spans="1:7" x14ac:dyDescent="0.4">
      <c r="A2873" t="str">
        <f t="shared" si="220"/>
        <v/>
      </c>
      <c r="B2873" t="str">
        <f t="shared" si="221"/>
        <v/>
      </c>
      <c r="C2873" t="str">
        <f t="shared" si="222"/>
        <v/>
      </c>
      <c r="D2873" t="str">
        <f>IF(E2873="","",IF(COUNTIF($E$2:E2873,E2873)&gt;1,"",SUMIFS(tbl_input[필요수량],tbl_input[집계키_지청],E2873)))</f>
        <v/>
      </c>
      <c r="E2873" t="str">
        <f>IFERROR(INDEX(tbl_input[집계키_지청],ROW()-1),"")</f>
        <v/>
      </c>
      <c r="F2873" t="str">
        <f t="shared" si="223"/>
        <v/>
      </c>
      <c r="G2873" t="str">
        <f t="shared" si="224"/>
        <v/>
      </c>
    </row>
    <row r="2874" spans="1:7" x14ac:dyDescent="0.4">
      <c r="A2874" t="str">
        <f t="shared" si="220"/>
        <v/>
      </c>
      <c r="B2874" t="str">
        <f t="shared" si="221"/>
        <v/>
      </c>
      <c r="C2874" t="str">
        <f t="shared" si="222"/>
        <v/>
      </c>
      <c r="D2874" t="str">
        <f>IF(E2874="","",IF(COUNTIF($E$2:E2874,E2874)&gt;1,"",SUMIFS(tbl_input[필요수량],tbl_input[집계키_지청],E2874)))</f>
        <v/>
      </c>
      <c r="E2874" t="str">
        <f>IFERROR(INDEX(tbl_input[집계키_지청],ROW()-1),"")</f>
        <v/>
      </c>
      <c r="F2874" t="str">
        <f t="shared" si="223"/>
        <v/>
      </c>
      <c r="G2874" t="str">
        <f t="shared" si="224"/>
        <v/>
      </c>
    </row>
    <row r="2875" spans="1:7" x14ac:dyDescent="0.4">
      <c r="A2875" t="str">
        <f t="shared" si="220"/>
        <v/>
      </c>
      <c r="B2875" t="str">
        <f t="shared" si="221"/>
        <v/>
      </c>
      <c r="C2875" t="str">
        <f t="shared" si="222"/>
        <v/>
      </c>
      <c r="D2875" t="str">
        <f>IF(E2875="","",IF(COUNTIF($E$2:E2875,E2875)&gt;1,"",SUMIFS(tbl_input[필요수량],tbl_input[집계키_지청],E2875)))</f>
        <v/>
      </c>
      <c r="E2875" t="str">
        <f>IFERROR(INDEX(tbl_input[집계키_지청],ROW()-1),"")</f>
        <v/>
      </c>
      <c r="F2875" t="str">
        <f t="shared" si="223"/>
        <v/>
      </c>
      <c r="G2875" t="str">
        <f t="shared" si="224"/>
        <v/>
      </c>
    </row>
    <row r="2876" spans="1:7" x14ac:dyDescent="0.4">
      <c r="A2876" t="str">
        <f t="shared" si="220"/>
        <v/>
      </c>
      <c r="B2876" t="str">
        <f t="shared" si="221"/>
        <v/>
      </c>
      <c r="C2876" t="str">
        <f t="shared" si="222"/>
        <v/>
      </c>
      <c r="D2876" t="str">
        <f>IF(E2876="","",IF(COUNTIF($E$2:E2876,E2876)&gt;1,"",SUMIFS(tbl_input[필요수량],tbl_input[집계키_지청],E2876)))</f>
        <v/>
      </c>
      <c r="E2876" t="str">
        <f>IFERROR(INDEX(tbl_input[집계키_지청],ROW()-1),"")</f>
        <v/>
      </c>
      <c r="F2876" t="str">
        <f t="shared" si="223"/>
        <v/>
      </c>
      <c r="G2876" t="str">
        <f t="shared" si="224"/>
        <v/>
      </c>
    </row>
    <row r="2877" spans="1:7" x14ac:dyDescent="0.4">
      <c r="A2877" t="str">
        <f t="shared" si="220"/>
        <v/>
      </c>
      <c r="B2877" t="str">
        <f t="shared" si="221"/>
        <v/>
      </c>
      <c r="C2877" t="str">
        <f t="shared" si="222"/>
        <v/>
      </c>
      <c r="D2877" t="str">
        <f>IF(E2877="","",IF(COUNTIF($E$2:E2877,E2877)&gt;1,"",SUMIFS(tbl_input[필요수량],tbl_input[집계키_지청],E2877)))</f>
        <v/>
      </c>
      <c r="E2877" t="str">
        <f>IFERROR(INDEX(tbl_input[집계키_지청],ROW()-1),"")</f>
        <v/>
      </c>
      <c r="F2877" t="str">
        <f t="shared" si="223"/>
        <v/>
      </c>
      <c r="G2877" t="str">
        <f t="shared" si="224"/>
        <v/>
      </c>
    </row>
    <row r="2878" spans="1:7" x14ac:dyDescent="0.4">
      <c r="A2878" t="str">
        <f t="shared" si="220"/>
        <v/>
      </c>
      <c r="B2878" t="str">
        <f t="shared" si="221"/>
        <v/>
      </c>
      <c r="C2878" t="str">
        <f t="shared" si="222"/>
        <v/>
      </c>
      <c r="D2878" t="str">
        <f>IF(E2878="","",IF(COUNTIF($E$2:E2878,E2878)&gt;1,"",SUMIFS(tbl_input[필요수량],tbl_input[집계키_지청],E2878)))</f>
        <v/>
      </c>
      <c r="E2878" t="str">
        <f>IFERROR(INDEX(tbl_input[집계키_지청],ROW()-1),"")</f>
        <v/>
      </c>
      <c r="F2878" t="str">
        <f t="shared" si="223"/>
        <v/>
      </c>
      <c r="G2878" t="str">
        <f t="shared" si="224"/>
        <v/>
      </c>
    </row>
    <row r="2879" spans="1:7" x14ac:dyDescent="0.4">
      <c r="A2879" t="str">
        <f t="shared" si="220"/>
        <v/>
      </c>
      <c r="B2879" t="str">
        <f t="shared" si="221"/>
        <v/>
      </c>
      <c r="C2879" t="str">
        <f t="shared" si="222"/>
        <v/>
      </c>
      <c r="D2879" t="str">
        <f>IF(E2879="","",IF(COUNTIF($E$2:E2879,E2879)&gt;1,"",SUMIFS(tbl_input[필요수량],tbl_input[집계키_지청],E2879)))</f>
        <v/>
      </c>
      <c r="E2879" t="str">
        <f>IFERROR(INDEX(tbl_input[집계키_지청],ROW()-1),"")</f>
        <v/>
      </c>
      <c r="F2879" t="str">
        <f t="shared" si="223"/>
        <v/>
      </c>
      <c r="G2879" t="str">
        <f t="shared" si="224"/>
        <v/>
      </c>
    </row>
    <row r="2880" spans="1:7" x14ac:dyDescent="0.4">
      <c r="A2880" t="str">
        <f t="shared" si="220"/>
        <v/>
      </c>
      <c r="B2880" t="str">
        <f t="shared" si="221"/>
        <v/>
      </c>
      <c r="C2880" t="str">
        <f t="shared" si="222"/>
        <v/>
      </c>
      <c r="D2880" t="str">
        <f>IF(E2880="","",IF(COUNTIF($E$2:E2880,E2880)&gt;1,"",SUMIFS(tbl_input[필요수량],tbl_input[집계키_지청],E2880)))</f>
        <v/>
      </c>
      <c r="E2880" t="str">
        <f>IFERROR(INDEX(tbl_input[집계키_지청],ROW()-1),"")</f>
        <v/>
      </c>
      <c r="F2880" t="str">
        <f t="shared" si="223"/>
        <v/>
      </c>
      <c r="G2880" t="str">
        <f t="shared" si="224"/>
        <v/>
      </c>
    </row>
    <row r="2881" spans="1:7" x14ac:dyDescent="0.4">
      <c r="A2881" t="str">
        <f t="shared" si="220"/>
        <v/>
      </c>
      <c r="B2881" t="str">
        <f t="shared" si="221"/>
        <v/>
      </c>
      <c r="C2881" t="str">
        <f t="shared" si="222"/>
        <v/>
      </c>
      <c r="D2881" t="str">
        <f>IF(E2881="","",IF(COUNTIF($E$2:E2881,E2881)&gt;1,"",SUMIFS(tbl_input[필요수량],tbl_input[집계키_지청],E2881)))</f>
        <v/>
      </c>
      <c r="E2881" t="str">
        <f>IFERROR(INDEX(tbl_input[집계키_지청],ROW()-1),"")</f>
        <v/>
      </c>
      <c r="F2881" t="str">
        <f t="shared" si="223"/>
        <v/>
      </c>
      <c r="G2881" t="str">
        <f t="shared" si="224"/>
        <v/>
      </c>
    </row>
    <row r="2882" spans="1:7" x14ac:dyDescent="0.4">
      <c r="A2882" t="str">
        <f t="shared" ref="A2882:A2945" si="225">IF(E2882="","",LEFT(E2882,F2882-1))</f>
        <v/>
      </c>
      <c r="B2882" t="str">
        <f t="shared" ref="B2882:B2945" si="226">IF(E2882="","",MID(E2882,F2882+1,G2882-F2882-1))</f>
        <v/>
      </c>
      <c r="C2882" t="str">
        <f t="shared" ref="C2882:C2945" si="227">IF(E2882="","",MID(E2882,G2882+1,999))</f>
        <v/>
      </c>
      <c r="D2882" t="str">
        <f>IF(E2882="","",IF(COUNTIF($E$2:E2882,E2882)&gt;1,"",SUMIFS(tbl_input[필요수량],tbl_input[집계키_지청],E2882)))</f>
        <v/>
      </c>
      <c r="E2882" t="str">
        <f>IFERROR(INDEX(tbl_input[집계키_지청],ROW()-1),"")</f>
        <v/>
      </c>
      <c r="F2882" t="str">
        <f t="shared" ref="F2882:F2945" si="228">IF(E2882="","",FIND("♦",E2882))</f>
        <v/>
      </c>
      <c r="G2882" t="str">
        <f t="shared" ref="G2882:G2945" si="229">IF(E2882="","",FIND("♦",E2882,F2882+1))</f>
        <v/>
      </c>
    </row>
    <row r="2883" spans="1:7" x14ac:dyDescent="0.4">
      <c r="A2883" t="str">
        <f t="shared" si="225"/>
        <v/>
      </c>
      <c r="B2883" t="str">
        <f t="shared" si="226"/>
        <v/>
      </c>
      <c r="C2883" t="str">
        <f t="shared" si="227"/>
        <v/>
      </c>
      <c r="D2883" t="str">
        <f>IF(E2883="","",IF(COUNTIF($E$2:E2883,E2883)&gt;1,"",SUMIFS(tbl_input[필요수량],tbl_input[집계키_지청],E2883)))</f>
        <v/>
      </c>
      <c r="E2883" t="str">
        <f>IFERROR(INDEX(tbl_input[집계키_지청],ROW()-1),"")</f>
        <v/>
      </c>
      <c r="F2883" t="str">
        <f t="shared" si="228"/>
        <v/>
      </c>
      <c r="G2883" t="str">
        <f t="shared" si="229"/>
        <v/>
      </c>
    </row>
    <row r="2884" spans="1:7" x14ac:dyDescent="0.4">
      <c r="A2884" t="str">
        <f t="shared" si="225"/>
        <v/>
      </c>
      <c r="B2884" t="str">
        <f t="shared" si="226"/>
        <v/>
      </c>
      <c r="C2884" t="str">
        <f t="shared" si="227"/>
        <v/>
      </c>
      <c r="D2884" t="str">
        <f>IF(E2884="","",IF(COUNTIF($E$2:E2884,E2884)&gt;1,"",SUMIFS(tbl_input[필요수량],tbl_input[집계키_지청],E2884)))</f>
        <v/>
      </c>
      <c r="E2884" t="str">
        <f>IFERROR(INDEX(tbl_input[집계키_지청],ROW()-1),"")</f>
        <v/>
      </c>
      <c r="F2884" t="str">
        <f t="shared" si="228"/>
        <v/>
      </c>
      <c r="G2884" t="str">
        <f t="shared" si="229"/>
        <v/>
      </c>
    </row>
    <row r="2885" spans="1:7" x14ac:dyDescent="0.4">
      <c r="A2885" t="str">
        <f t="shared" si="225"/>
        <v/>
      </c>
      <c r="B2885" t="str">
        <f t="shared" si="226"/>
        <v/>
      </c>
      <c r="C2885" t="str">
        <f t="shared" si="227"/>
        <v/>
      </c>
      <c r="D2885" t="str">
        <f>IF(E2885="","",IF(COUNTIF($E$2:E2885,E2885)&gt;1,"",SUMIFS(tbl_input[필요수량],tbl_input[집계키_지청],E2885)))</f>
        <v/>
      </c>
      <c r="E2885" t="str">
        <f>IFERROR(INDEX(tbl_input[집계키_지청],ROW()-1),"")</f>
        <v/>
      </c>
      <c r="F2885" t="str">
        <f t="shared" si="228"/>
        <v/>
      </c>
      <c r="G2885" t="str">
        <f t="shared" si="229"/>
        <v/>
      </c>
    </row>
    <row r="2886" spans="1:7" x14ac:dyDescent="0.4">
      <c r="A2886" t="str">
        <f t="shared" si="225"/>
        <v/>
      </c>
      <c r="B2886" t="str">
        <f t="shared" si="226"/>
        <v/>
      </c>
      <c r="C2886" t="str">
        <f t="shared" si="227"/>
        <v/>
      </c>
      <c r="D2886" t="str">
        <f>IF(E2886="","",IF(COUNTIF($E$2:E2886,E2886)&gt;1,"",SUMIFS(tbl_input[필요수량],tbl_input[집계키_지청],E2886)))</f>
        <v/>
      </c>
      <c r="E2886" t="str">
        <f>IFERROR(INDEX(tbl_input[집계키_지청],ROW()-1),"")</f>
        <v/>
      </c>
      <c r="F2886" t="str">
        <f t="shared" si="228"/>
        <v/>
      </c>
      <c r="G2886" t="str">
        <f t="shared" si="229"/>
        <v/>
      </c>
    </row>
    <row r="2887" spans="1:7" x14ac:dyDescent="0.4">
      <c r="A2887" t="str">
        <f t="shared" si="225"/>
        <v/>
      </c>
      <c r="B2887" t="str">
        <f t="shared" si="226"/>
        <v/>
      </c>
      <c r="C2887" t="str">
        <f t="shared" si="227"/>
        <v/>
      </c>
      <c r="D2887" t="str">
        <f>IF(E2887="","",IF(COUNTIF($E$2:E2887,E2887)&gt;1,"",SUMIFS(tbl_input[필요수량],tbl_input[집계키_지청],E2887)))</f>
        <v/>
      </c>
      <c r="E2887" t="str">
        <f>IFERROR(INDEX(tbl_input[집계키_지청],ROW()-1),"")</f>
        <v/>
      </c>
      <c r="F2887" t="str">
        <f t="shared" si="228"/>
        <v/>
      </c>
      <c r="G2887" t="str">
        <f t="shared" si="229"/>
        <v/>
      </c>
    </row>
    <row r="2888" spans="1:7" x14ac:dyDescent="0.4">
      <c r="A2888" t="str">
        <f t="shared" si="225"/>
        <v/>
      </c>
      <c r="B2888" t="str">
        <f t="shared" si="226"/>
        <v/>
      </c>
      <c r="C2888" t="str">
        <f t="shared" si="227"/>
        <v/>
      </c>
      <c r="D2888" t="str">
        <f>IF(E2888="","",IF(COUNTIF($E$2:E2888,E2888)&gt;1,"",SUMIFS(tbl_input[필요수량],tbl_input[집계키_지청],E2888)))</f>
        <v/>
      </c>
      <c r="E2888" t="str">
        <f>IFERROR(INDEX(tbl_input[집계키_지청],ROW()-1),"")</f>
        <v/>
      </c>
      <c r="F2888" t="str">
        <f t="shared" si="228"/>
        <v/>
      </c>
      <c r="G2888" t="str">
        <f t="shared" si="229"/>
        <v/>
      </c>
    </row>
    <row r="2889" spans="1:7" x14ac:dyDescent="0.4">
      <c r="A2889" t="str">
        <f t="shared" si="225"/>
        <v/>
      </c>
      <c r="B2889" t="str">
        <f t="shared" si="226"/>
        <v/>
      </c>
      <c r="C2889" t="str">
        <f t="shared" si="227"/>
        <v/>
      </c>
      <c r="D2889" t="str">
        <f>IF(E2889="","",IF(COUNTIF($E$2:E2889,E2889)&gt;1,"",SUMIFS(tbl_input[필요수량],tbl_input[집계키_지청],E2889)))</f>
        <v/>
      </c>
      <c r="E2889" t="str">
        <f>IFERROR(INDEX(tbl_input[집계키_지청],ROW()-1),"")</f>
        <v/>
      </c>
      <c r="F2889" t="str">
        <f t="shared" si="228"/>
        <v/>
      </c>
      <c r="G2889" t="str">
        <f t="shared" si="229"/>
        <v/>
      </c>
    </row>
    <row r="2890" spans="1:7" x14ac:dyDescent="0.4">
      <c r="A2890" t="str">
        <f t="shared" si="225"/>
        <v/>
      </c>
      <c r="B2890" t="str">
        <f t="shared" si="226"/>
        <v/>
      </c>
      <c r="C2890" t="str">
        <f t="shared" si="227"/>
        <v/>
      </c>
      <c r="D2890" t="str">
        <f>IF(E2890="","",IF(COUNTIF($E$2:E2890,E2890)&gt;1,"",SUMIFS(tbl_input[필요수량],tbl_input[집계키_지청],E2890)))</f>
        <v/>
      </c>
      <c r="E2890" t="str">
        <f>IFERROR(INDEX(tbl_input[집계키_지청],ROW()-1),"")</f>
        <v/>
      </c>
      <c r="F2890" t="str">
        <f t="shared" si="228"/>
        <v/>
      </c>
      <c r="G2890" t="str">
        <f t="shared" si="229"/>
        <v/>
      </c>
    </row>
    <row r="2891" spans="1:7" x14ac:dyDescent="0.4">
      <c r="A2891" t="str">
        <f t="shared" si="225"/>
        <v/>
      </c>
      <c r="B2891" t="str">
        <f t="shared" si="226"/>
        <v/>
      </c>
      <c r="C2891" t="str">
        <f t="shared" si="227"/>
        <v/>
      </c>
      <c r="D2891" t="str">
        <f>IF(E2891="","",IF(COUNTIF($E$2:E2891,E2891)&gt;1,"",SUMIFS(tbl_input[필요수량],tbl_input[집계키_지청],E2891)))</f>
        <v/>
      </c>
      <c r="E2891" t="str">
        <f>IFERROR(INDEX(tbl_input[집계키_지청],ROW()-1),"")</f>
        <v/>
      </c>
      <c r="F2891" t="str">
        <f t="shared" si="228"/>
        <v/>
      </c>
      <c r="G2891" t="str">
        <f t="shared" si="229"/>
        <v/>
      </c>
    </row>
    <row r="2892" spans="1:7" x14ac:dyDescent="0.4">
      <c r="A2892" t="str">
        <f t="shared" si="225"/>
        <v/>
      </c>
      <c r="B2892" t="str">
        <f t="shared" si="226"/>
        <v/>
      </c>
      <c r="C2892" t="str">
        <f t="shared" si="227"/>
        <v/>
      </c>
      <c r="D2892" t="str">
        <f>IF(E2892="","",IF(COUNTIF($E$2:E2892,E2892)&gt;1,"",SUMIFS(tbl_input[필요수량],tbl_input[집계키_지청],E2892)))</f>
        <v/>
      </c>
      <c r="E2892" t="str">
        <f>IFERROR(INDEX(tbl_input[집계키_지청],ROW()-1),"")</f>
        <v/>
      </c>
      <c r="F2892" t="str">
        <f t="shared" si="228"/>
        <v/>
      </c>
      <c r="G2892" t="str">
        <f t="shared" si="229"/>
        <v/>
      </c>
    </row>
    <row r="2893" spans="1:7" x14ac:dyDescent="0.4">
      <c r="A2893" t="str">
        <f t="shared" si="225"/>
        <v/>
      </c>
      <c r="B2893" t="str">
        <f t="shared" si="226"/>
        <v/>
      </c>
      <c r="C2893" t="str">
        <f t="shared" si="227"/>
        <v/>
      </c>
      <c r="D2893" t="str">
        <f>IF(E2893="","",IF(COUNTIF($E$2:E2893,E2893)&gt;1,"",SUMIFS(tbl_input[필요수량],tbl_input[집계키_지청],E2893)))</f>
        <v/>
      </c>
      <c r="E2893" t="str">
        <f>IFERROR(INDEX(tbl_input[집계키_지청],ROW()-1),"")</f>
        <v/>
      </c>
      <c r="F2893" t="str">
        <f t="shared" si="228"/>
        <v/>
      </c>
      <c r="G2893" t="str">
        <f t="shared" si="229"/>
        <v/>
      </c>
    </row>
    <row r="2894" spans="1:7" x14ac:dyDescent="0.4">
      <c r="A2894" t="str">
        <f t="shared" si="225"/>
        <v/>
      </c>
      <c r="B2894" t="str">
        <f t="shared" si="226"/>
        <v/>
      </c>
      <c r="C2894" t="str">
        <f t="shared" si="227"/>
        <v/>
      </c>
      <c r="D2894" t="str">
        <f>IF(E2894="","",IF(COUNTIF($E$2:E2894,E2894)&gt;1,"",SUMIFS(tbl_input[필요수량],tbl_input[집계키_지청],E2894)))</f>
        <v/>
      </c>
      <c r="E2894" t="str">
        <f>IFERROR(INDEX(tbl_input[집계키_지청],ROW()-1),"")</f>
        <v/>
      </c>
      <c r="F2894" t="str">
        <f t="shared" si="228"/>
        <v/>
      </c>
      <c r="G2894" t="str">
        <f t="shared" si="229"/>
        <v/>
      </c>
    </row>
    <row r="2895" spans="1:7" x14ac:dyDescent="0.4">
      <c r="A2895" t="str">
        <f t="shared" si="225"/>
        <v/>
      </c>
      <c r="B2895" t="str">
        <f t="shared" si="226"/>
        <v/>
      </c>
      <c r="C2895" t="str">
        <f t="shared" si="227"/>
        <v/>
      </c>
      <c r="D2895" t="str">
        <f>IF(E2895="","",IF(COUNTIF($E$2:E2895,E2895)&gt;1,"",SUMIFS(tbl_input[필요수량],tbl_input[집계키_지청],E2895)))</f>
        <v/>
      </c>
      <c r="E2895" t="str">
        <f>IFERROR(INDEX(tbl_input[집계키_지청],ROW()-1),"")</f>
        <v/>
      </c>
      <c r="F2895" t="str">
        <f t="shared" si="228"/>
        <v/>
      </c>
      <c r="G2895" t="str">
        <f t="shared" si="229"/>
        <v/>
      </c>
    </row>
    <row r="2896" spans="1:7" x14ac:dyDescent="0.4">
      <c r="A2896" t="str">
        <f t="shared" si="225"/>
        <v/>
      </c>
      <c r="B2896" t="str">
        <f t="shared" si="226"/>
        <v/>
      </c>
      <c r="C2896" t="str">
        <f t="shared" si="227"/>
        <v/>
      </c>
      <c r="D2896" t="str">
        <f>IF(E2896="","",IF(COUNTIF($E$2:E2896,E2896)&gt;1,"",SUMIFS(tbl_input[필요수량],tbl_input[집계키_지청],E2896)))</f>
        <v/>
      </c>
      <c r="E2896" t="str">
        <f>IFERROR(INDEX(tbl_input[집계키_지청],ROW()-1),"")</f>
        <v/>
      </c>
      <c r="F2896" t="str">
        <f t="shared" si="228"/>
        <v/>
      </c>
      <c r="G2896" t="str">
        <f t="shared" si="229"/>
        <v/>
      </c>
    </row>
    <row r="2897" spans="1:7" x14ac:dyDescent="0.4">
      <c r="A2897" t="str">
        <f t="shared" si="225"/>
        <v/>
      </c>
      <c r="B2897" t="str">
        <f t="shared" si="226"/>
        <v/>
      </c>
      <c r="C2897" t="str">
        <f t="shared" si="227"/>
        <v/>
      </c>
      <c r="D2897" t="str">
        <f>IF(E2897="","",IF(COUNTIF($E$2:E2897,E2897)&gt;1,"",SUMIFS(tbl_input[필요수량],tbl_input[집계키_지청],E2897)))</f>
        <v/>
      </c>
      <c r="E2897" t="str">
        <f>IFERROR(INDEX(tbl_input[집계키_지청],ROW()-1),"")</f>
        <v/>
      </c>
      <c r="F2897" t="str">
        <f t="shared" si="228"/>
        <v/>
      </c>
      <c r="G2897" t="str">
        <f t="shared" si="229"/>
        <v/>
      </c>
    </row>
    <row r="2898" spans="1:7" x14ac:dyDescent="0.4">
      <c r="A2898" t="str">
        <f t="shared" si="225"/>
        <v/>
      </c>
      <c r="B2898" t="str">
        <f t="shared" si="226"/>
        <v/>
      </c>
      <c r="C2898" t="str">
        <f t="shared" si="227"/>
        <v/>
      </c>
      <c r="D2898" t="str">
        <f>IF(E2898="","",IF(COUNTIF($E$2:E2898,E2898)&gt;1,"",SUMIFS(tbl_input[필요수량],tbl_input[집계키_지청],E2898)))</f>
        <v/>
      </c>
      <c r="E2898" t="str">
        <f>IFERROR(INDEX(tbl_input[집계키_지청],ROW()-1),"")</f>
        <v/>
      </c>
      <c r="F2898" t="str">
        <f t="shared" si="228"/>
        <v/>
      </c>
      <c r="G2898" t="str">
        <f t="shared" si="229"/>
        <v/>
      </c>
    </row>
    <row r="2899" spans="1:7" x14ac:dyDescent="0.4">
      <c r="A2899" t="str">
        <f t="shared" si="225"/>
        <v/>
      </c>
      <c r="B2899" t="str">
        <f t="shared" si="226"/>
        <v/>
      </c>
      <c r="C2899" t="str">
        <f t="shared" si="227"/>
        <v/>
      </c>
      <c r="D2899" t="str">
        <f>IF(E2899="","",IF(COUNTIF($E$2:E2899,E2899)&gt;1,"",SUMIFS(tbl_input[필요수량],tbl_input[집계키_지청],E2899)))</f>
        <v/>
      </c>
      <c r="E2899" t="str">
        <f>IFERROR(INDEX(tbl_input[집계키_지청],ROW()-1),"")</f>
        <v/>
      </c>
      <c r="F2899" t="str">
        <f t="shared" si="228"/>
        <v/>
      </c>
      <c r="G2899" t="str">
        <f t="shared" si="229"/>
        <v/>
      </c>
    </row>
    <row r="2900" spans="1:7" x14ac:dyDescent="0.4">
      <c r="A2900" t="str">
        <f t="shared" si="225"/>
        <v/>
      </c>
      <c r="B2900" t="str">
        <f t="shared" si="226"/>
        <v/>
      </c>
      <c r="C2900" t="str">
        <f t="shared" si="227"/>
        <v/>
      </c>
      <c r="D2900" t="str">
        <f>IF(E2900="","",IF(COUNTIF($E$2:E2900,E2900)&gt;1,"",SUMIFS(tbl_input[필요수량],tbl_input[집계키_지청],E2900)))</f>
        <v/>
      </c>
      <c r="E2900" t="str">
        <f>IFERROR(INDEX(tbl_input[집계키_지청],ROW()-1),"")</f>
        <v/>
      </c>
      <c r="F2900" t="str">
        <f t="shared" si="228"/>
        <v/>
      </c>
      <c r="G2900" t="str">
        <f t="shared" si="229"/>
        <v/>
      </c>
    </row>
    <row r="2901" spans="1:7" x14ac:dyDescent="0.4">
      <c r="A2901" t="str">
        <f t="shared" si="225"/>
        <v/>
      </c>
      <c r="B2901" t="str">
        <f t="shared" si="226"/>
        <v/>
      </c>
      <c r="C2901" t="str">
        <f t="shared" si="227"/>
        <v/>
      </c>
      <c r="D2901" t="str">
        <f>IF(E2901="","",IF(COUNTIF($E$2:E2901,E2901)&gt;1,"",SUMIFS(tbl_input[필요수량],tbl_input[집계키_지청],E2901)))</f>
        <v/>
      </c>
      <c r="E2901" t="str">
        <f>IFERROR(INDEX(tbl_input[집계키_지청],ROW()-1),"")</f>
        <v/>
      </c>
      <c r="F2901" t="str">
        <f t="shared" si="228"/>
        <v/>
      </c>
      <c r="G2901" t="str">
        <f t="shared" si="229"/>
        <v/>
      </c>
    </row>
    <row r="2902" spans="1:7" x14ac:dyDescent="0.4">
      <c r="A2902" t="str">
        <f t="shared" si="225"/>
        <v/>
      </c>
      <c r="B2902" t="str">
        <f t="shared" si="226"/>
        <v/>
      </c>
      <c r="C2902" t="str">
        <f t="shared" si="227"/>
        <v/>
      </c>
      <c r="D2902" t="str">
        <f>IF(E2902="","",IF(COUNTIF($E$2:E2902,E2902)&gt;1,"",SUMIFS(tbl_input[필요수량],tbl_input[집계키_지청],E2902)))</f>
        <v/>
      </c>
      <c r="E2902" t="str">
        <f>IFERROR(INDEX(tbl_input[집계키_지청],ROW()-1),"")</f>
        <v/>
      </c>
      <c r="F2902" t="str">
        <f t="shared" si="228"/>
        <v/>
      </c>
      <c r="G2902" t="str">
        <f t="shared" si="229"/>
        <v/>
      </c>
    </row>
    <row r="2903" spans="1:7" x14ac:dyDescent="0.4">
      <c r="A2903" t="str">
        <f t="shared" si="225"/>
        <v/>
      </c>
      <c r="B2903" t="str">
        <f t="shared" si="226"/>
        <v/>
      </c>
      <c r="C2903" t="str">
        <f t="shared" si="227"/>
        <v/>
      </c>
      <c r="D2903" t="str">
        <f>IF(E2903="","",IF(COUNTIF($E$2:E2903,E2903)&gt;1,"",SUMIFS(tbl_input[필요수량],tbl_input[집계키_지청],E2903)))</f>
        <v/>
      </c>
      <c r="E2903" t="str">
        <f>IFERROR(INDEX(tbl_input[집계키_지청],ROW()-1),"")</f>
        <v/>
      </c>
      <c r="F2903" t="str">
        <f t="shared" si="228"/>
        <v/>
      </c>
      <c r="G2903" t="str">
        <f t="shared" si="229"/>
        <v/>
      </c>
    </row>
    <row r="2904" spans="1:7" x14ac:dyDescent="0.4">
      <c r="A2904" t="str">
        <f t="shared" si="225"/>
        <v/>
      </c>
      <c r="B2904" t="str">
        <f t="shared" si="226"/>
        <v/>
      </c>
      <c r="C2904" t="str">
        <f t="shared" si="227"/>
        <v/>
      </c>
      <c r="D2904" t="str">
        <f>IF(E2904="","",IF(COUNTIF($E$2:E2904,E2904)&gt;1,"",SUMIFS(tbl_input[필요수량],tbl_input[집계키_지청],E2904)))</f>
        <v/>
      </c>
      <c r="E2904" t="str">
        <f>IFERROR(INDEX(tbl_input[집계키_지청],ROW()-1),"")</f>
        <v/>
      </c>
      <c r="F2904" t="str">
        <f t="shared" si="228"/>
        <v/>
      </c>
      <c r="G2904" t="str">
        <f t="shared" si="229"/>
        <v/>
      </c>
    </row>
    <row r="2905" spans="1:7" x14ac:dyDescent="0.4">
      <c r="A2905" t="str">
        <f t="shared" si="225"/>
        <v/>
      </c>
      <c r="B2905" t="str">
        <f t="shared" si="226"/>
        <v/>
      </c>
      <c r="C2905" t="str">
        <f t="shared" si="227"/>
        <v/>
      </c>
      <c r="D2905" t="str">
        <f>IF(E2905="","",IF(COUNTIF($E$2:E2905,E2905)&gt;1,"",SUMIFS(tbl_input[필요수량],tbl_input[집계키_지청],E2905)))</f>
        <v/>
      </c>
      <c r="E2905" t="str">
        <f>IFERROR(INDEX(tbl_input[집계키_지청],ROW()-1),"")</f>
        <v/>
      </c>
      <c r="F2905" t="str">
        <f t="shared" si="228"/>
        <v/>
      </c>
      <c r="G2905" t="str">
        <f t="shared" si="229"/>
        <v/>
      </c>
    </row>
    <row r="2906" spans="1:7" x14ac:dyDescent="0.4">
      <c r="A2906" t="str">
        <f t="shared" si="225"/>
        <v/>
      </c>
      <c r="B2906" t="str">
        <f t="shared" si="226"/>
        <v/>
      </c>
      <c r="C2906" t="str">
        <f t="shared" si="227"/>
        <v/>
      </c>
      <c r="D2906" t="str">
        <f>IF(E2906="","",IF(COUNTIF($E$2:E2906,E2906)&gt;1,"",SUMIFS(tbl_input[필요수량],tbl_input[집계키_지청],E2906)))</f>
        <v/>
      </c>
      <c r="E2906" t="str">
        <f>IFERROR(INDEX(tbl_input[집계키_지청],ROW()-1),"")</f>
        <v/>
      </c>
      <c r="F2906" t="str">
        <f t="shared" si="228"/>
        <v/>
      </c>
      <c r="G2906" t="str">
        <f t="shared" si="229"/>
        <v/>
      </c>
    </row>
    <row r="2907" spans="1:7" x14ac:dyDescent="0.4">
      <c r="A2907" t="str">
        <f t="shared" si="225"/>
        <v/>
      </c>
      <c r="B2907" t="str">
        <f t="shared" si="226"/>
        <v/>
      </c>
      <c r="C2907" t="str">
        <f t="shared" si="227"/>
        <v/>
      </c>
      <c r="D2907" t="str">
        <f>IF(E2907="","",IF(COUNTIF($E$2:E2907,E2907)&gt;1,"",SUMIFS(tbl_input[필요수량],tbl_input[집계키_지청],E2907)))</f>
        <v/>
      </c>
      <c r="E2907" t="str">
        <f>IFERROR(INDEX(tbl_input[집계키_지청],ROW()-1),"")</f>
        <v/>
      </c>
      <c r="F2907" t="str">
        <f t="shared" si="228"/>
        <v/>
      </c>
      <c r="G2907" t="str">
        <f t="shared" si="229"/>
        <v/>
      </c>
    </row>
    <row r="2908" spans="1:7" x14ac:dyDescent="0.4">
      <c r="A2908" t="str">
        <f t="shared" si="225"/>
        <v/>
      </c>
      <c r="B2908" t="str">
        <f t="shared" si="226"/>
        <v/>
      </c>
      <c r="C2908" t="str">
        <f t="shared" si="227"/>
        <v/>
      </c>
      <c r="D2908" t="str">
        <f>IF(E2908="","",IF(COUNTIF($E$2:E2908,E2908)&gt;1,"",SUMIFS(tbl_input[필요수량],tbl_input[집계키_지청],E2908)))</f>
        <v/>
      </c>
      <c r="E2908" t="str">
        <f>IFERROR(INDEX(tbl_input[집계키_지청],ROW()-1),"")</f>
        <v/>
      </c>
      <c r="F2908" t="str">
        <f t="shared" si="228"/>
        <v/>
      </c>
      <c r="G2908" t="str">
        <f t="shared" si="229"/>
        <v/>
      </c>
    </row>
    <row r="2909" spans="1:7" x14ac:dyDescent="0.4">
      <c r="A2909" t="str">
        <f t="shared" si="225"/>
        <v/>
      </c>
      <c r="B2909" t="str">
        <f t="shared" si="226"/>
        <v/>
      </c>
      <c r="C2909" t="str">
        <f t="shared" si="227"/>
        <v/>
      </c>
      <c r="D2909" t="str">
        <f>IF(E2909="","",IF(COUNTIF($E$2:E2909,E2909)&gt;1,"",SUMIFS(tbl_input[필요수량],tbl_input[집계키_지청],E2909)))</f>
        <v/>
      </c>
      <c r="E2909" t="str">
        <f>IFERROR(INDEX(tbl_input[집계키_지청],ROW()-1),"")</f>
        <v/>
      </c>
      <c r="F2909" t="str">
        <f t="shared" si="228"/>
        <v/>
      </c>
      <c r="G2909" t="str">
        <f t="shared" si="229"/>
        <v/>
      </c>
    </row>
    <row r="2910" spans="1:7" x14ac:dyDescent="0.4">
      <c r="A2910" t="str">
        <f t="shared" si="225"/>
        <v/>
      </c>
      <c r="B2910" t="str">
        <f t="shared" si="226"/>
        <v/>
      </c>
      <c r="C2910" t="str">
        <f t="shared" si="227"/>
        <v/>
      </c>
      <c r="D2910" t="str">
        <f>IF(E2910="","",IF(COUNTIF($E$2:E2910,E2910)&gt;1,"",SUMIFS(tbl_input[필요수량],tbl_input[집계키_지청],E2910)))</f>
        <v/>
      </c>
      <c r="E2910" t="str">
        <f>IFERROR(INDEX(tbl_input[집계키_지청],ROW()-1),"")</f>
        <v/>
      </c>
      <c r="F2910" t="str">
        <f t="shared" si="228"/>
        <v/>
      </c>
      <c r="G2910" t="str">
        <f t="shared" si="229"/>
        <v/>
      </c>
    </row>
    <row r="2911" spans="1:7" x14ac:dyDescent="0.4">
      <c r="A2911" t="str">
        <f t="shared" si="225"/>
        <v/>
      </c>
      <c r="B2911" t="str">
        <f t="shared" si="226"/>
        <v/>
      </c>
      <c r="C2911" t="str">
        <f t="shared" si="227"/>
        <v/>
      </c>
      <c r="D2911" t="str">
        <f>IF(E2911="","",IF(COUNTIF($E$2:E2911,E2911)&gt;1,"",SUMIFS(tbl_input[필요수량],tbl_input[집계키_지청],E2911)))</f>
        <v/>
      </c>
      <c r="E2911" t="str">
        <f>IFERROR(INDEX(tbl_input[집계키_지청],ROW()-1),"")</f>
        <v/>
      </c>
      <c r="F2911" t="str">
        <f t="shared" si="228"/>
        <v/>
      </c>
      <c r="G2911" t="str">
        <f t="shared" si="229"/>
        <v/>
      </c>
    </row>
    <row r="2912" spans="1:7" x14ac:dyDescent="0.4">
      <c r="A2912" t="str">
        <f t="shared" si="225"/>
        <v/>
      </c>
      <c r="B2912" t="str">
        <f t="shared" si="226"/>
        <v/>
      </c>
      <c r="C2912" t="str">
        <f t="shared" si="227"/>
        <v/>
      </c>
      <c r="D2912" t="str">
        <f>IF(E2912="","",IF(COUNTIF($E$2:E2912,E2912)&gt;1,"",SUMIFS(tbl_input[필요수량],tbl_input[집계키_지청],E2912)))</f>
        <v/>
      </c>
      <c r="E2912" t="str">
        <f>IFERROR(INDEX(tbl_input[집계키_지청],ROW()-1),"")</f>
        <v/>
      </c>
      <c r="F2912" t="str">
        <f t="shared" si="228"/>
        <v/>
      </c>
      <c r="G2912" t="str">
        <f t="shared" si="229"/>
        <v/>
      </c>
    </row>
    <row r="2913" spans="1:7" x14ac:dyDescent="0.4">
      <c r="A2913" t="str">
        <f t="shared" si="225"/>
        <v/>
      </c>
      <c r="B2913" t="str">
        <f t="shared" si="226"/>
        <v/>
      </c>
      <c r="C2913" t="str">
        <f t="shared" si="227"/>
        <v/>
      </c>
      <c r="D2913" t="str">
        <f>IF(E2913="","",IF(COUNTIF($E$2:E2913,E2913)&gt;1,"",SUMIFS(tbl_input[필요수량],tbl_input[집계키_지청],E2913)))</f>
        <v/>
      </c>
      <c r="E2913" t="str">
        <f>IFERROR(INDEX(tbl_input[집계키_지청],ROW()-1),"")</f>
        <v/>
      </c>
      <c r="F2913" t="str">
        <f t="shared" si="228"/>
        <v/>
      </c>
      <c r="G2913" t="str">
        <f t="shared" si="229"/>
        <v/>
      </c>
    </row>
    <row r="2914" spans="1:7" x14ac:dyDescent="0.4">
      <c r="A2914" t="str">
        <f t="shared" si="225"/>
        <v/>
      </c>
      <c r="B2914" t="str">
        <f t="shared" si="226"/>
        <v/>
      </c>
      <c r="C2914" t="str">
        <f t="shared" si="227"/>
        <v/>
      </c>
      <c r="D2914" t="str">
        <f>IF(E2914="","",IF(COUNTIF($E$2:E2914,E2914)&gt;1,"",SUMIFS(tbl_input[필요수량],tbl_input[집계키_지청],E2914)))</f>
        <v/>
      </c>
      <c r="E2914" t="str">
        <f>IFERROR(INDEX(tbl_input[집계키_지청],ROW()-1),"")</f>
        <v/>
      </c>
      <c r="F2914" t="str">
        <f t="shared" si="228"/>
        <v/>
      </c>
      <c r="G2914" t="str">
        <f t="shared" si="229"/>
        <v/>
      </c>
    </row>
    <row r="2915" spans="1:7" x14ac:dyDescent="0.4">
      <c r="A2915" t="str">
        <f t="shared" si="225"/>
        <v/>
      </c>
      <c r="B2915" t="str">
        <f t="shared" si="226"/>
        <v/>
      </c>
      <c r="C2915" t="str">
        <f t="shared" si="227"/>
        <v/>
      </c>
      <c r="D2915" t="str">
        <f>IF(E2915="","",IF(COUNTIF($E$2:E2915,E2915)&gt;1,"",SUMIFS(tbl_input[필요수량],tbl_input[집계키_지청],E2915)))</f>
        <v/>
      </c>
      <c r="E2915" t="str">
        <f>IFERROR(INDEX(tbl_input[집계키_지청],ROW()-1),"")</f>
        <v/>
      </c>
      <c r="F2915" t="str">
        <f t="shared" si="228"/>
        <v/>
      </c>
      <c r="G2915" t="str">
        <f t="shared" si="229"/>
        <v/>
      </c>
    </row>
    <row r="2916" spans="1:7" x14ac:dyDescent="0.4">
      <c r="A2916" t="str">
        <f t="shared" si="225"/>
        <v/>
      </c>
      <c r="B2916" t="str">
        <f t="shared" si="226"/>
        <v/>
      </c>
      <c r="C2916" t="str">
        <f t="shared" si="227"/>
        <v/>
      </c>
      <c r="D2916" t="str">
        <f>IF(E2916="","",IF(COUNTIF($E$2:E2916,E2916)&gt;1,"",SUMIFS(tbl_input[필요수량],tbl_input[집계키_지청],E2916)))</f>
        <v/>
      </c>
      <c r="E2916" t="str">
        <f>IFERROR(INDEX(tbl_input[집계키_지청],ROW()-1),"")</f>
        <v/>
      </c>
      <c r="F2916" t="str">
        <f t="shared" si="228"/>
        <v/>
      </c>
      <c r="G2916" t="str">
        <f t="shared" si="229"/>
        <v/>
      </c>
    </row>
    <row r="2917" spans="1:7" x14ac:dyDescent="0.4">
      <c r="A2917" t="str">
        <f t="shared" si="225"/>
        <v/>
      </c>
      <c r="B2917" t="str">
        <f t="shared" si="226"/>
        <v/>
      </c>
      <c r="C2917" t="str">
        <f t="shared" si="227"/>
        <v/>
      </c>
      <c r="D2917" t="str">
        <f>IF(E2917="","",IF(COUNTIF($E$2:E2917,E2917)&gt;1,"",SUMIFS(tbl_input[필요수량],tbl_input[집계키_지청],E2917)))</f>
        <v/>
      </c>
      <c r="E2917" t="str">
        <f>IFERROR(INDEX(tbl_input[집계키_지청],ROW()-1),"")</f>
        <v/>
      </c>
      <c r="F2917" t="str">
        <f t="shared" si="228"/>
        <v/>
      </c>
      <c r="G2917" t="str">
        <f t="shared" si="229"/>
        <v/>
      </c>
    </row>
    <row r="2918" spans="1:7" x14ac:dyDescent="0.4">
      <c r="A2918" t="str">
        <f t="shared" si="225"/>
        <v/>
      </c>
      <c r="B2918" t="str">
        <f t="shared" si="226"/>
        <v/>
      </c>
      <c r="C2918" t="str">
        <f t="shared" si="227"/>
        <v/>
      </c>
      <c r="D2918" t="str">
        <f>IF(E2918="","",IF(COUNTIF($E$2:E2918,E2918)&gt;1,"",SUMIFS(tbl_input[필요수량],tbl_input[집계키_지청],E2918)))</f>
        <v/>
      </c>
      <c r="E2918" t="str">
        <f>IFERROR(INDEX(tbl_input[집계키_지청],ROW()-1),"")</f>
        <v/>
      </c>
      <c r="F2918" t="str">
        <f t="shared" si="228"/>
        <v/>
      </c>
      <c r="G2918" t="str">
        <f t="shared" si="229"/>
        <v/>
      </c>
    </row>
    <row r="2919" spans="1:7" x14ac:dyDescent="0.4">
      <c r="A2919" t="str">
        <f t="shared" si="225"/>
        <v/>
      </c>
      <c r="B2919" t="str">
        <f t="shared" si="226"/>
        <v/>
      </c>
      <c r="C2919" t="str">
        <f t="shared" si="227"/>
        <v/>
      </c>
      <c r="D2919" t="str">
        <f>IF(E2919="","",IF(COUNTIF($E$2:E2919,E2919)&gt;1,"",SUMIFS(tbl_input[필요수량],tbl_input[집계키_지청],E2919)))</f>
        <v/>
      </c>
      <c r="E2919" t="str">
        <f>IFERROR(INDEX(tbl_input[집계키_지청],ROW()-1),"")</f>
        <v/>
      </c>
      <c r="F2919" t="str">
        <f t="shared" si="228"/>
        <v/>
      </c>
      <c r="G2919" t="str">
        <f t="shared" si="229"/>
        <v/>
      </c>
    </row>
    <row r="2920" spans="1:7" x14ac:dyDescent="0.4">
      <c r="A2920" t="str">
        <f t="shared" si="225"/>
        <v/>
      </c>
      <c r="B2920" t="str">
        <f t="shared" si="226"/>
        <v/>
      </c>
      <c r="C2920" t="str">
        <f t="shared" si="227"/>
        <v/>
      </c>
      <c r="D2920" t="str">
        <f>IF(E2920="","",IF(COUNTIF($E$2:E2920,E2920)&gt;1,"",SUMIFS(tbl_input[필요수량],tbl_input[집계키_지청],E2920)))</f>
        <v/>
      </c>
      <c r="E2920" t="str">
        <f>IFERROR(INDEX(tbl_input[집계키_지청],ROW()-1),"")</f>
        <v/>
      </c>
      <c r="F2920" t="str">
        <f t="shared" si="228"/>
        <v/>
      </c>
      <c r="G2920" t="str">
        <f t="shared" si="229"/>
        <v/>
      </c>
    </row>
    <row r="2921" spans="1:7" x14ac:dyDescent="0.4">
      <c r="A2921" t="str">
        <f t="shared" si="225"/>
        <v/>
      </c>
      <c r="B2921" t="str">
        <f t="shared" si="226"/>
        <v/>
      </c>
      <c r="C2921" t="str">
        <f t="shared" si="227"/>
        <v/>
      </c>
      <c r="D2921" t="str">
        <f>IF(E2921="","",IF(COUNTIF($E$2:E2921,E2921)&gt;1,"",SUMIFS(tbl_input[필요수량],tbl_input[집계키_지청],E2921)))</f>
        <v/>
      </c>
      <c r="E2921" t="str">
        <f>IFERROR(INDEX(tbl_input[집계키_지청],ROW()-1),"")</f>
        <v/>
      </c>
      <c r="F2921" t="str">
        <f t="shared" si="228"/>
        <v/>
      </c>
      <c r="G2921" t="str">
        <f t="shared" si="229"/>
        <v/>
      </c>
    </row>
    <row r="2922" spans="1:7" x14ac:dyDescent="0.4">
      <c r="A2922" t="str">
        <f t="shared" si="225"/>
        <v/>
      </c>
      <c r="B2922" t="str">
        <f t="shared" si="226"/>
        <v/>
      </c>
      <c r="C2922" t="str">
        <f t="shared" si="227"/>
        <v/>
      </c>
      <c r="D2922" t="str">
        <f>IF(E2922="","",IF(COUNTIF($E$2:E2922,E2922)&gt;1,"",SUMIFS(tbl_input[필요수량],tbl_input[집계키_지청],E2922)))</f>
        <v/>
      </c>
      <c r="E2922" t="str">
        <f>IFERROR(INDEX(tbl_input[집계키_지청],ROW()-1),"")</f>
        <v/>
      </c>
      <c r="F2922" t="str">
        <f t="shared" si="228"/>
        <v/>
      </c>
      <c r="G2922" t="str">
        <f t="shared" si="229"/>
        <v/>
      </c>
    </row>
    <row r="2923" spans="1:7" x14ac:dyDescent="0.4">
      <c r="A2923" t="str">
        <f t="shared" si="225"/>
        <v/>
      </c>
      <c r="B2923" t="str">
        <f t="shared" si="226"/>
        <v/>
      </c>
      <c r="C2923" t="str">
        <f t="shared" si="227"/>
        <v/>
      </c>
      <c r="D2923" t="str">
        <f>IF(E2923="","",IF(COUNTIF($E$2:E2923,E2923)&gt;1,"",SUMIFS(tbl_input[필요수량],tbl_input[집계키_지청],E2923)))</f>
        <v/>
      </c>
      <c r="E2923" t="str">
        <f>IFERROR(INDEX(tbl_input[집계키_지청],ROW()-1),"")</f>
        <v/>
      </c>
      <c r="F2923" t="str">
        <f t="shared" si="228"/>
        <v/>
      </c>
      <c r="G2923" t="str">
        <f t="shared" si="229"/>
        <v/>
      </c>
    </row>
    <row r="2924" spans="1:7" x14ac:dyDescent="0.4">
      <c r="A2924" t="str">
        <f t="shared" si="225"/>
        <v/>
      </c>
      <c r="B2924" t="str">
        <f t="shared" si="226"/>
        <v/>
      </c>
      <c r="C2924" t="str">
        <f t="shared" si="227"/>
        <v/>
      </c>
      <c r="D2924" t="str">
        <f>IF(E2924="","",IF(COUNTIF($E$2:E2924,E2924)&gt;1,"",SUMIFS(tbl_input[필요수량],tbl_input[집계키_지청],E2924)))</f>
        <v/>
      </c>
      <c r="E2924" t="str">
        <f>IFERROR(INDEX(tbl_input[집계키_지청],ROW()-1),"")</f>
        <v/>
      </c>
      <c r="F2924" t="str">
        <f t="shared" si="228"/>
        <v/>
      </c>
      <c r="G2924" t="str">
        <f t="shared" si="229"/>
        <v/>
      </c>
    </row>
    <row r="2925" spans="1:7" x14ac:dyDescent="0.4">
      <c r="A2925" t="str">
        <f t="shared" si="225"/>
        <v/>
      </c>
      <c r="B2925" t="str">
        <f t="shared" si="226"/>
        <v/>
      </c>
      <c r="C2925" t="str">
        <f t="shared" si="227"/>
        <v/>
      </c>
      <c r="D2925" t="str">
        <f>IF(E2925="","",IF(COUNTIF($E$2:E2925,E2925)&gt;1,"",SUMIFS(tbl_input[필요수량],tbl_input[집계키_지청],E2925)))</f>
        <v/>
      </c>
      <c r="E2925" t="str">
        <f>IFERROR(INDEX(tbl_input[집계키_지청],ROW()-1),"")</f>
        <v/>
      </c>
      <c r="F2925" t="str">
        <f t="shared" si="228"/>
        <v/>
      </c>
      <c r="G2925" t="str">
        <f t="shared" si="229"/>
        <v/>
      </c>
    </row>
    <row r="2926" spans="1:7" x14ac:dyDescent="0.4">
      <c r="A2926" t="str">
        <f t="shared" si="225"/>
        <v/>
      </c>
      <c r="B2926" t="str">
        <f t="shared" si="226"/>
        <v/>
      </c>
      <c r="C2926" t="str">
        <f t="shared" si="227"/>
        <v/>
      </c>
      <c r="D2926" t="str">
        <f>IF(E2926="","",IF(COUNTIF($E$2:E2926,E2926)&gt;1,"",SUMIFS(tbl_input[필요수량],tbl_input[집계키_지청],E2926)))</f>
        <v/>
      </c>
      <c r="E2926" t="str">
        <f>IFERROR(INDEX(tbl_input[집계키_지청],ROW()-1),"")</f>
        <v/>
      </c>
      <c r="F2926" t="str">
        <f t="shared" si="228"/>
        <v/>
      </c>
      <c r="G2926" t="str">
        <f t="shared" si="229"/>
        <v/>
      </c>
    </row>
    <row r="2927" spans="1:7" x14ac:dyDescent="0.4">
      <c r="A2927" t="str">
        <f t="shared" si="225"/>
        <v/>
      </c>
      <c r="B2927" t="str">
        <f t="shared" si="226"/>
        <v/>
      </c>
      <c r="C2927" t="str">
        <f t="shared" si="227"/>
        <v/>
      </c>
      <c r="D2927" t="str">
        <f>IF(E2927="","",IF(COUNTIF($E$2:E2927,E2927)&gt;1,"",SUMIFS(tbl_input[필요수량],tbl_input[집계키_지청],E2927)))</f>
        <v/>
      </c>
      <c r="E2927" t="str">
        <f>IFERROR(INDEX(tbl_input[집계키_지청],ROW()-1),"")</f>
        <v/>
      </c>
      <c r="F2927" t="str">
        <f t="shared" si="228"/>
        <v/>
      </c>
      <c r="G2927" t="str">
        <f t="shared" si="229"/>
        <v/>
      </c>
    </row>
    <row r="2928" spans="1:7" x14ac:dyDescent="0.4">
      <c r="A2928" t="str">
        <f t="shared" si="225"/>
        <v/>
      </c>
      <c r="B2928" t="str">
        <f t="shared" si="226"/>
        <v/>
      </c>
      <c r="C2928" t="str">
        <f t="shared" si="227"/>
        <v/>
      </c>
      <c r="D2928" t="str">
        <f>IF(E2928="","",IF(COUNTIF($E$2:E2928,E2928)&gt;1,"",SUMIFS(tbl_input[필요수량],tbl_input[집계키_지청],E2928)))</f>
        <v/>
      </c>
      <c r="E2928" t="str">
        <f>IFERROR(INDEX(tbl_input[집계키_지청],ROW()-1),"")</f>
        <v/>
      </c>
      <c r="F2928" t="str">
        <f t="shared" si="228"/>
        <v/>
      </c>
      <c r="G2928" t="str">
        <f t="shared" si="229"/>
        <v/>
      </c>
    </row>
    <row r="2929" spans="1:7" x14ac:dyDescent="0.4">
      <c r="A2929" t="str">
        <f t="shared" si="225"/>
        <v/>
      </c>
      <c r="B2929" t="str">
        <f t="shared" si="226"/>
        <v/>
      </c>
      <c r="C2929" t="str">
        <f t="shared" si="227"/>
        <v/>
      </c>
      <c r="D2929" t="str">
        <f>IF(E2929="","",IF(COUNTIF($E$2:E2929,E2929)&gt;1,"",SUMIFS(tbl_input[필요수량],tbl_input[집계키_지청],E2929)))</f>
        <v/>
      </c>
      <c r="E2929" t="str">
        <f>IFERROR(INDEX(tbl_input[집계키_지청],ROW()-1),"")</f>
        <v/>
      </c>
      <c r="F2929" t="str">
        <f t="shared" si="228"/>
        <v/>
      </c>
      <c r="G2929" t="str">
        <f t="shared" si="229"/>
        <v/>
      </c>
    </row>
    <row r="2930" spans="1:7" x14ac:dyDescent="0.4">
      <c r="A2930" t="str">
        <f t="shared" si="225"/>
        <v/>
      </c>
      <c r="B2930" t="str">
        <f t="shared" si="226"/>
        <v/>
      </c>
      <c r="C2930" t="str">
        <f t="shared" si="227"/>
        <v/>
      </c>
      <c r="D2930" t="str">
        <f>IF(E2930="","",IF(COUNTIF($E$2:E2930,E2930)&gt;1,"",SUMIFS(tbl_input[필요수량],tbl_input[집계키_지청],E2930)))</f>
        <v/>
      </c>
      <c r="E2930" t="str">
        <f>IFERROR(INDEX(tbl_input[집계키_지청],ROW()-1),"")</f>
        <v/>
      </c>
      <c r="F2930" t="str">
        <f t="shared" si="228"/>
        <v/>
      </c>
      <c r="G2930" t="str">
        <f t="shared" si="229"/>
        <v/>
      </c>
    </row>
    <row r="2931" spans="1:7" x14ac:dyDescent="0.4">
      <c r="A2931" t="str">
        <f t="shared" si="225"/>
        <v/>
      </c>
      <c r="B2931" t="str">
        <f t="shared" si="226"/>
        <v/>
      </c>
      <c r="C2931" t="str">
        <f t="shared" si="227"/>
        <v/>
      </c>
      <c r="D2931" t="str">
        <f>IF(E2931="","",IF(COUNTIF($E$2:E2931,E2931)&gt;1,"",SUMIFS(tbl_input[필요수량],tbl_input[집계키_지청],E2931)))</f>
        <v/>
      </c>
      <c r="E2931" t="str">
        <f>IFERROR(INDEX(tbl_input[집계키_지청],ROW()-1),"")</f>
        <v/>
      </c>
      <c r="F2931" t="str">
        <f t="shared" si="228"/>
        <v/>
      </c>
      <c r="G2931" t="str">
        <f t="shared" si="229"/>
        <v/>
      </c>
    </row>
    <row r="2932" spans="1:7" x14ac:dyDescent="0.4">
      <c r="A2932" t="str">
        <f t="shared" si="225"/>
        <v/>
      </c>
      <c r="B2932" t="str">
        <f t="shared" si="226"/>
        <v/>
      </c>
      <c r="C2932" t="str">
        <f t="shared" si="227"/>
        <v/>
      </c>
      <c r="D2932" t="str">
        <f>IF(E2932="","",IF(COUNTIF($E$2:E2932,E2932)&gt;1,"",SUMIFS(tbl_input[필요수량],tbl_input[집계키_지청],E2932)))</f>
        <v/>
      </c>
      <c r="E2932" t="str">
        <f>IFERROR(INDEX(tbl_input[집계키_지청],ROW()-1),"")</f>
        <v/>
      </c>
      <c r="F2932" t="str">
        <f t="shared" si="228"/>
        <v/>
      </c>
      <c r="G2932" t="str">
        <f t="shared" si="229"/>
        <v/>
      </c>
    </row>
    <row r="2933" spans="1:7" x14ac:dyDescent="0.4">
      <c r="A2933" t="str">
        <f t="shared" si="225"/>
        <v/>
      </c>
      <c r="B2933" t="str">
        <f t="shared" si="226"/>
        <v/>
      </c>
      <c r="C2933" t="str">
        <f t="shared" si="227"/>
        <v/>
      </c>
      <c r="D2933" t="str">
        <f>IF(E2933="","",IF(COUNTIF($E$2:E2933,E2933)&gt;1,"",SUMIFS(tbl_input[필요수량],tbl_input[집계키_지청],E2933)))</f>
        <v/>
      </c>
      <c r="E2933" t="str">
        <f>IFERROR(INDEX(tbl_input[집계키_지청],ROW()-1),"")</f>
        <v/>
      </c>
      <c r="F2933" t="str">
        <f t="shared" si="228"/>
        <v/>
      </c>
      <c r="G2933" t="str">
        <f t="shared" si="229"/>
        <v/>
      </c>
    </row>
    <row r="2934" spans="1:7" x14ac:dyDescent="0.4">
      <c r="A2934" t="str">
        <f t="shared" si="225"/>
        <v/>
      </c>
      <c r="B2934" t="str">
        <f t="shared" si="226"/>
        <v/>
      </c>
      <c r="C2934" t="str">
        <f t="shared" si="227"/>
        <v/>
      </c>
      <c r="D2934" t="str">
        <f>IF(E2934="","",IF(COUNTIF($E$2:E2934,E2934)&gt;1,"",SUMIFS(tbl_input[필요수량],tbl_input[집계키_지청],E2934)))</f>
        <v/>
      </c>
      <c r="E2934" t="str">
        <f>IFERROR(INDEX(tbl_input[집계키_지청],ROW()-1),"")</f>
        <v/>
      </c>
      <c r="F2934" t="str">
        <f t="shared" si="228"/>
        <v/>
      </c>
      <c r="G2934" t="str">
        <f t="shared" si="229"/>
        <v/>
      </c>
    </row>
    <row r="2935" spans="1:7" x14ac:dyDescent="0.4">
      <c r="A2935" t="str">
        <f t="shared" si="225"/>
        <v/>
      </c>
      <c r="B2935" t="str">
        <f t="shared" si="226"/>
        <v/>
      </c>
      <c r="C2935" t="str">
        <f t="shared" si="227"/>
        <v/>
      </c>
      <c r="D2935" t="str">
        <f>IF(E2935="","",IF(COUNTIF($E$2:E2935,E2935)&gt;1,"",SUMIFS(tbl_input[필요수량],tbl_input[집계키_지청],E2935)))</f>
        <v/>
      </c>
      <c r="E2935" t="str">
        <f>IFERROR(INDEX(tbl_input[집계키_지청],ROW()-1),"")</f>
        <v/>
      </c>
      <c r="F2935" t="str">
        <f t="shared" si="228"/>
        <v/>
      </c>
      <c r="G2935" t="str">
        <f t="shared" si="229"/>
        <v/>
      </c>
    </row>
    <row r="2936" spans="1:7" x14ac:dyDescent="0.4">
      <c r="A2936" t="str">
        <f t="shared" si="225"/>
        <v/>
      </c>
      <c r="B2936" t="str">
        <f t="shared" si="226"/>
        <v/>
      </c>
      <c r="C2936" t="str">
        <f t="shared" si="227"/>
        <v/>
      </c>
      <c r="D2936" t="str">
        <f>IF(E2936="","",IF(COUNTIF($E$2:E2936,E2936)&gt;1,"",SUMIFS(tbl_input[필요수량],tbl_input[집계키_지청],E2936)))</f>
        <v/>
      </c>
      <c r="E2936" t="str">
        <f>IFERROR(INDEX(tbl_input[집계키_지청],ROW()-1),"")</f>
        <v/>
      </c>
      <c r="F2936" t="str">
        <f t="shared" si="228"/>
        <v/>
      </c>
      <c r="G2936" t="str">
        <f t="shared" si="229"/>
        <v/>
      </c>
    </row>
    <row r="2937" spans="1:7" x14ac:dyDescent="0.4">
      <c r="A2937" t="str">
        <f t="shared" si="225"/>
        <v/>
      </c>
      <c r="B2937" t="str">
        <f t="shared" si="226"/>
        <v/>
      </c>
      <c r="C2937" t="str">
        <f t="shared" si="227"/>
        <v/>
      </c>
      <c r="D2937" t="str">
        <f>IF(E2937="","",IF(COUNTIF($E$2:E2937,E2937)&gt;1,"",SUMIFS(tbl_input[필요수량],tbl_input[집계키_지청],E2937)))</f>
        <v/>
      </c>
      <c r="E2937" t="str">
        <f>IFERROR(INDEX(tbl_input[집계키_지청],ROW()-1),"")</f>
        <v/>
      </c>
      <c r="F2937" t="str">
        <f t="shared" si="228"/>
        <v/>
      </c>
      <c r="G2937" t="str">
        <f t="shared" si="229"/>
        <v/>
      </c>
    </row>
    <row r="2938" spans="1:7" x14ac:dyDescent="0.4">
      <c r="A2938" t="str">
        <f t="shared" si="225"/>
        <v/>
      </c>
      <c r="B2938" t="str">
        <f t="shared" si="226"/>
        <v/>
      </c>
      <c r="C2938" t="str">
        <f t="shared" si="227"/>
        <v/>
      </c>
      <c r="D2938" t="str">
        <f>IF(E2938="","",IF(COUNTIF($E$2:E2938,E2938)&gt;1,"",SUMIFS(tbl_input[필요수량],tbl_input[집계키_지청],E2938)))</f>
        <v/>
      </c>
      <c r="E2938" t="str">
        <f>IFERROR(INDEX(tbl_input[집계키_지청],ROW()-1),"")</f>
        <v/>
      </c>
      <c r="F2938" t="str">
        <f t="shared" si="228"/>
        <v/>
      </c>
      <c r="G2938" t="str">
        <f t="shared" si="229"/>
        <v/>
      </c>
    </row>
    <row r="2939" spans="1:7" x14ac:dyDescent="0.4">
      <c r="A2939" t="str">
        <f t="shared" si="225"/>
        <v/>
      </c>
      <c r="B2939" t="str">
        <f t="shared" si="226"/>
        <v/>
      </c>
      <c r="C2939" t="str">
        <f t="shared" si="227"/>
        <v/>
      </c>
      <c r="D2939" t="str">
        <f>IF(E2939="","",IF(COUNTIF($E$2:E2939,E2939)&gt;1,"",SUMIFS(tbl_input[필요수량],tbl_input[집계키_지청],E2939)))</f>
        <v/>
      </c>
      <c r="E2939" t="str">
        <f>IFERROR(INDEX(tbl_input[집계키_지청],ROW()-1),"")</f>
        <v/>
      </c>
      <c r="F2939" t="str">
        <f t="shared" si="228"/>
        <v/>
      </c>
      <c r="G2939" t="str">
        <f t="shared" si="229"/>
        <v/>
      </c>
    </row>
    <row r="2940" spans="1:7" x14ac:dyDescent="0.4">
      <c r="A2940" t="str">
        <f t="shared" si="225"/>
        <v/>
      </c>
      <c r="B2940" t="str">
        <f t="shared" si="226"/>
        <v/>
      </c>
      <c r="C2940" t="str">
        <f t="shared" si="227"/>
        <v/>
      </c>
      <c r="D2940" t="str">
        <f>IF(E2940="","",IF(COUNTIF($E$2:E2940,E2940)&gt;1,"",SUMIFS(tbl_input[필요수량],tbl_input[집계키_지청],E2940)))</f>
        <v/>
      </c>
      <c r="E2940" t="str">
        <f>IFERROR(INDEX(tbl_input[집계키_지청],ROW()-1),"")</f>
        <v/>
      </c>
      <c r="F2940" t="str">
        <f t="shared" si="228"/>
        <v/>
      </c>
      <c r="G2940" t="str">
        <f t="shared" si="229"/>
        <v/>
      </c>
    </row>
    <row r="2941" spans="1:7" x14ac:dyDescent="0.4">
      <c r="A2941" t="str">
        <f t="shared" si="225"/>
        <v/>
      </c>
      <c r="B2941" t="str">
        <f t="shared" si="226"/>
        <v/>
      </c>
      <c r="C2941" t="str">
        <f t="shared" si="227"/>
        <v/>
      </c>
      <c r="D2941" t="str">
        <f>IF(E2941="","",IF(COUNTIF($E$2:E2941,E2941)&gt;1,"",SUMIFS(tbl_input[필요수량],tbl_input[집계키_지청],E2941)))</f>
        <v/>
      </c>
      <c r="E2941" t="str">
        <f>IFERROR(INDEX(tbl_input[집계키_지청],ROW()-1),"")</f>
        <v/>
      </c>
      <c r="F2941" t="str">
        <f t="shared" si="228"/>
        <v/>
      </c>
      <c r="G2941" t="str">
        <f t="shared" si="229"/>
        <v/>
      </c>
    </row>
    <row r="2942" spans="1:7" x14ac:dyDescent="0.4">
      <c r="A2942" t="str">
        <f t="shared" si="225"/>
        <v/>
      </c>
      <c r="B2942" t="str">
        <f t="shared" si="226"/>
        <v/>
      </c>
      <c r="C2942" t="str">
        <f t="shared" si="227"/>
        <v/>
      </c>
      <c r="D2942" t="str">
        <f>IF(E2942="","",IF(COUNTIF($E$2:E2942,E2942)&gt;1,"",SUMIFS(tbl_input[필요수량],tbl_input[집계키_지청],E2942)))</f>
        <v/>
      </c>
      <c r="E2942" t="str">
        <f>IFERROR(INDEX(tbl_input[집계키_지청],ROW()-1),"")</f>
        <v/>
      </c>
      <c r="F2942" t="str">
        <f t="shared" si="228"/>
        <v/>
      </c>
      <c r="G2942" t="str">
        <f t="shared" si="229"/>
        <v/>
      </c>
    </row>
    <row r="2943" spans="1:7" x14ac:dyDescent="0.4">
      <c r="A2943" t="str">
        <f t="shared" si="225"/>
        <v/>
      </c>
      <c r="B2943" t="str">
        <f t="shared" si="226"/>
        <v/>
      </c>
      <c r="C2943" t="str">
        <f t="shared" si="227"/>
        <v/>
      </c>
      <c r="D2943" t="str">
        <f>IF(E2943="","",IF(COUNTIF($E$2:E2943,E2943)&gt;1,"",SUMIFS(tbl_input[필요수량],tbl_input[집계키_지청],E2943)))</f>
        <v/>
      </c>
      <c r="E2943" t="str">
        <f>IFERROR(INDEX(tbl_input[집계키_지청],ROW()-1),"")</f>
        <v/>
      </c>
      <c r="F2943" t="str">
        <f t="shared" si="228"/>
        <v/>
      </c>
      <c r="G2943" t="str">
        <f t="shared" si="229"/>
        <v/>
      </c>
    </row>
    <row r="2944" spans="1:7" x14ac:dyDescent="0.4">
      <c r="A2944" t="str">
        <f t="shared" si="225"/>
        <v/>
      </c>
      <c r="B2944" t="str">
        <f t="shared" si="226"/>
        <v/>
      </c>
      <c r="C2944" t="str">
        <f t="shared" si="227"/>
        <v/>
      </c>
      <c r="D2944" t="str">
        <f>IF(E2944="","",IF(COUNTIF($E$2:E2944,E2944)&gt;1,"",SUMIFS(tbl_input[필요수량],tbl_input[집계키_지청],E2944)))</f>
        <v/>
      </c>
      <c r="E2944" t="str">
        <f>IFERROR(INDEX(tbl_input[집계키_지청],ROW()-1),"")</f>
        <v/>
      </c>
      <c r="F2944" t="str">
        <f t="shared" si="228"/>
        <v/>
      </c>
      <c r="G2944" t="str">
        <f t="shared" si="229"/>
        <v/>
      </c>
    </row>
    <row r="2945" spans="1:7" x14ac:dyDescent="0.4">
      <c r="A2945" t="str">
        <f t="shared" si="225"/>
        <v/>
      </c>
      <c r="B2945" t="str">
        <f t="shared" si="226"/>
        <v/>
      </c>
      <c r="C2945" t="str">
        <f t="shared" si="227"/>
        <v/>
      </c>
      <c r="D2945" t="str">
        <f>IF(E2945="","",IF(COUNTIF($E$2:E2945,E2945)&gt;1,"",SUMIFS(tbl_input[필요수량],tbl_input[집계키_지청],E2945)))</f>
        <v/>
      </c>
      <c r="E2945" t="str">
        <f>IFERROR(INDEX(tbl_input[집계키_지청],ROW()-1),"")</f>
        <v/>
      </c>
      <c r="F2945" t="str">
        <f t="shared" si="228"/>
        <v/>
      </c>
      <c r="G2945" t="str">
        <f t="shared" si="229"/>
        <v/>
      </c>
    </row>
    <row r="2946" spans="1:7" x14ac:dyDescent="0.4">
      <c r="A2946" t="str">
        <f t="shared" ref="A2946:A3009" si="230">IF(E2946="","",LEFT(E2946,F2946-1))</f>
        <v/>
      </c>
      <c r="B2946" t="str">
        <f t="shared" ref="B2946:B3009" si="231">IF(E2946="","",MID(E2946,F2946+1,G2946-F2946-1))</f>
        <v/>
      </c>
      <c r="C2946" t="str">
        <f t="shared" ref="C2946:C3009" si="232">IF(E2946="","",MID(E2946,G2946+1,999))</f>
        <v/>
      </c>
      <c r="D2946" t="str">
        <f>IF(E2946="","",IF(COUNTIF($E$2:E2946,E2946)&gt;1,"",SUMIFS(tbl_input[필요수량],tbl_input[집계키_지청],E2946)))</f>
        <v/>
      </c>
      <c r="E2946" t="str">
        <f>IFERROR(INDEX(tbl_input[집계키_지청],ROW()-1),"")</f>
        <v/>
      </c>
      <c r="F2946" t="str">
        <f t="shared" ref="F2946:F3009" si="233">IF(E2946="","",FIND("♦",E2946))</f>
        <v/>
      </c>
      <c r="G2946" t="str">
        <f t="shared" ref="G2946:G3009" si="234">IF(E2946="","",FIND("♦",E2946,F2946+1))</f>
        <v/>
      </c>
    </row>
    <row r="2947" spans="1:7" x14ac:dyDescent="0.4">
      <c r="A2947" t="str">
        <f t="shared" si="230"/>
        <v/>
      </c>
      <c r="B2947" t="str">
        <f t="shared" si="231"/>
        <v/>
      </c>
      <c r="C2947" t="str">
        <f t="shared" si="232"/>
        <v/>
      </c>
      <c r="D2947" t="str">
        <f>IF(E2947="","",IF(COUNTIF($E$2:E2947,E2947)&gt;1,"",SUMIFS(tbl_input[필요수량],tbl_input[집계키_지청],E2947)))</f>
        <v/>
      </c>
      <c r="E2947" t="str">
        <f>IFERROR(INDEX(tbl_input[집계키_지청],ROW()-1),"")</f>
        <v/>
      </c>
      <c r="F2947" t="str">
        <f t="shared" si="233"/>
        <v/>
      </c>
      <c r="G2947" t="str">
        <f t="shared" si="234"/>
        <v/>
      </c>
    </row>
    <row r="2948" spans="1:7" x14ac:dyDescent="0.4">
      <c r="A2948" t="str">
        <f t="shared" si="230"/>
        <v/>
      </c>
      <c r="B2948" t="str">
        <f t="shared" si="231"/>
        <v/>
      </c>
      <c r="C2948" t="str">
        <f t="shared" si="232"/>
        <v/>
      </c>
      <c r="D2948" t="str">
        <f>IF(E2948="","",IF(COUNTIF($E$2:E2948,E2948)&gt;1,"",SUMIFS(tbl_input[필요수량],tbl_input[집계키_지청],E2948)))</f>
        <v/>
      </c>
      <c r="E2948" t="str">
        <f>IFERROR(INDEX(tbl_input[집계키_지청],ROW()-1),"")</f>
        <v/>
      </c>
      <c r="F2948" t="str">
        <f t="shared" si="233"/>
        <v/>
      </c>
      <c r="G2948" t="str">
        <f t="shared" si="234"/>
        <v/>
      </c>
    </row>
    <row r="2949" spans="1:7" x14ac:dyDescent="0.4">
      <c r="A2949" t="str">
        <f t="shared" si="230"/>
        <v/>
      </c>
      <c r="B2949" t="str">
        <f t="shared" si="231"/>
        <v/>
      </c>
      <c r="C2949" t="str">
        <f t="shared" si="232"/>
        <v/>
      </c>
      <c r="D2949" t="str">
        <f>IF(E2949="","",IF(COUNTIF($E$2:E2949,E2949)&gt;1,"",SUMIFS(tbl_input[필요수량],tbl_input[집계키_지청],E2949)))</f>
        <v/>
      </c>
      <c r="E2949" t="str">
        <f>IFERROR(INDEX(tbl_input[집계키_지청],ROW()-1),"")</f>
        <v/>
      </c>
      <c r="F2949" t="str">
        <f t="shared" si="233"/>
        <v/>
      </c>
      <c r="G2949" t="str">
        <f t="shared" si="234"/>
        <v/>
      </c>
    </row>
    <row r="2950" spans="1:7" x14ac:dyDescent="0.4">
      <c r="A2950" t="str">
        <f t="shared" si="230"/>
        <v/>
      </c>
      <c r="B2950" t="str">
        <f t="shared" si="231"/>
        <v/>
      </c>
      <c r="C2950" t="str">
        <f t="shared" si="232"/>
        <v/>
      </c>
      <c r="D2950" t="str">
        <f>IF(E2950="","",IF(COUNTIF($E$2:E2950,E2950)&gt;1,"",SUMIFS(tbl_input[필요수량],tbl_input[집계키_지청],E2950)))</f>
        <v/>
      </c>
      <c r="E2950" t="str">
        <f>IFERROR(INDEX(tbl_input[집계키_지청],ROW()-1),"")</f>
        <v/>
      </c>
      <c r="F2950" t="str">
        <f t="shared" si="233"/>
        <v/>
      </c>
      <c r="G2950" t="str">
        <f t="shared" si="234"/>
        <v/>
      </c>
    </row>
    <row r="2951" spans="1:7" x14ac:dyDescent="0.4">
      <c r="A2951" t="str">
        <f t="shared" si="230"/>
        <v/>
      </c>
      <c r="B2951" t="str">
        <f t="shared" si="231"/>
        <v/>
      </c>
      <c r="C2951" t="str">
        <f t="shared" si="232"/>
        <v/>
      </c>
      <c r="D2951" t="str">
        <f>IF(E2951="","",IF(COUNTIF($E$2:E2951,E2951)&gt;1,"",SUMIFS(tbl_input[필요수량],tbl_input[집계키_지청],E2951)))</f>
        <v/>
      </c>
      <c r="E2951" t="str">
        <f>IFERROR(INDEX(tbl_input[집계키_지청],ROW()-1),"")</f>
        <v/>
      </c>
      <c r="F2951" t="str">
        <f t="shared" si="233"/>
        <v/>
      </c>
      <c r="G2951" t="str">
        <f t="shared" si="234"/>
        <v/>
      </c>
    </row>
    <row r="2952" spans="1:7" x14ac:dyDescent="0.4">
      <c r="A2952" t="str">
        <f t="shared" si="230"/>
        <v/>
      </c>
      <c r="B2952" t="str">
        <f t="shared" si="231"/>
        <v/>
      </c>
      <c r="C2952" t="str">
        <f t="shared" si="232"/>
        <v/>
      </c>
      <c r="D2952" t="str">
        <f>IF(E2952="","",IF(COUNTIF($E$2:E2952,E2952)&gt;1,"",SUMIFS(tbl_input[필요수량],tbl_input[집계키_지청],E2952)))</f>
        <v/>
      </c>
      <c r="E2952" t="str">
        <f>IFERROR(INDEX(tbl_input[집계키_지청],ROW()-1),"")</f>
        <v/>
      </c>
      <c r="F2952" t="str">
        <f t="shared" si="233"/>
        <v/>
      </c>
      <c r="G2952" t="str">
        <f t="shared" si="234"/>
        <v/>
      </c>
    </row>
    <row r="2953" spans="1:7" x14ac:dyDescent="0.4">
      <c r="A2953" t="str">
        <f t="shared" si="230"/>
        <v/>
      </c>
      <c r="B2953" t="str">
        <f t="shared" si="231"/>
        <v/>
      </c>
      <c r="C2953" t="str">
        <f t="shared" si="232"/>
        <v/>
      </c>
      <c r="D2953" t="str">
        <f>IF(E2953="","",IF(COUNTIF($E$2:E2953,E2953)&gt;1,"",SUMIFS(tbl_input[필요수량],tbl_input[집계키_지청],E2953)))</f>
        <v/>
      </c>
      <c r="E2953" t="str">
        <f>IFERROR(INDEX(tbl_input[집계키_지청],ROW()-1),"")</f>
        <v/>
      </c>
      <c r="F2953" t="str">
        <f t="shared" si="233"/>
        <v/>
      </c>
      <c r="G2953" t="str">
        <f t="shared" si="234"/>
        <v/>
      </c>
    </row>
    <row r="2954" spans="1:7" x14ac:dyDescent="0.4">
      <c r="A2954" t="str">
        <f t="shared" si="230"/>
        <v/>
      </c>
      <c r="B2954" t="str">
        <f t="shared" si="231"/>
        <v/>
      </c>
      <c r="C2954" t="str">
        <f t="shared" si="232"/>
        <v/>
      </c>
      <c r="D2954" t="str">
        <f>IF(E2954="","",IF(COUNTIF($E$2:E2954,E2954)&gt;1,"",SUMIFS(tbl_input[필요수량],tbl_input[집계키_지청],E2954)))</f>
        <v/>
      </c>
      <c r="E2954" t="str">
        <f>IFERROR(INDEX(tbl_input[집계키_지청],ROW()-1),"")</f>
        <v/>
      </c>
      <c r="F2954" t="str">
        <f t="shared" si="233"/>
        <v/>
      </c>
      <c r="G2954" t="str">
        <f t="shared" si="234"/>
        <v/>
      </c>
    </row>
    <row r="2955" spans="1:7" x14ac:dyDescent="0.4">
      <c r="A2955" t="str">
        <f t="shared" si="230"/>
        <v/>
      </c>
      <c r="B2955" t="str">
        <f t="shared" si="231"/>
        <v/>
      </c>
      <c r="C2955" t="str">
        <f t="shared" si="232"/>
        <v/>
      </c>
      <c r="D2955" t="str">
        <f>IF(E2955="","",IF(COUNTIF($E$2:E2955,E2955)&gt;1,"",SUMIFS(tbl_input[필요수량],tbl_input[집계키_지청],E2955)))</f>
        <v/>
      </c>
      <c r="E2955" t="str">
        <f>IFERROR(INDEX(tbl_input[집계키_지청],ROW()-1),"")</f>
        <v/>
      </c>
      <c r="F2955" t="str">
        <f t="shared" si="233"/>
        <v/>
      </c>
      <c r="G2955" t="str">
        <f t="shared" si="234"/>
        <v/>
      </c>
    </row>
    <row r="2956" spans="1:7" x14ac:dyDescent="0.4">
      <c r="A2956" t="str">
        <f t="shared" si="230"/>
        <v/>
      </c>
      <c r="B2956" t="str">
        <f t="shared" si="231"/>
        <v/>
      </c>
      <c r="C2956" t="str">
        <f t="shared" si="232"/>
        <v/>
      </c>
      <c r="D2956" t="str">
        <f>IF(E2956="","",IF(COUNTIF($E$2:E2956,E2956)&gt;1,"",SUMIFS(tbl_input[필요수량],tbl_input[집계키_지청],E2956)))</f>
        <v/>
      </c>
      <c r="E2956" t="str">
        <f>IFERROR(INDEX(tbl_input[집계키_지청],ROW()-1),"")</f>
        <v/>
      </c>
      <c r="F2956" t="str">
        <f t="shared" si="233"/>
        <v/>
      </c>
      <c r="G2956" t="str">
        <f t="shared" si="234"/>
        <v/>
      </c>
    </row>
    <row r="2957" spans="1:7" x14ac:dyDescent="0.4">
      <c r="A2957" t="str">
        <f t="shared" si="230"/>
        <v/>
      </c>
      <c r="B2957" t="str">
        <f t="shared" si="231"/>
        <v/>
      </c>
      <c r="C2957" t="str">
        <f t="shared" si="232"/>
        <v/>
      </c>
      <c r="D2957" t="str">
        <f>IF(E2957="","",IF(COUNTIF($E$2:E2957,E2957)&gt;1,"",SUMIFS(tbl_input[필요수량],tbl_input[집계키_지청],E2957)))</f>
        <v/>
      </c>
      <c r="E2957" t="str">
        <f>IFERROR(INDEX(tbl_input[집계키_지청],ROW()-1),"")</f>
        <v/>
      </c>
      <c r="F2957" t="str">
        <f t="shared" si="233"/>
        <v/>
      </c>
      <c r="G2957" t="str">
        <f t="shared" si="234"/>
        <v/>
      </c>
    </row>
    <row r="2958" spans="1:7" x14ac:dyDescent="0.4">
      <c r="A2958" t="str">
        <f t="shared" si="230"/>
        <v/>
      </c>
      <c r="B2958" t="str">
        <f t="shared" si="231"/>
        <v/>
      </c>
      <c r="C2958" t="str">
        <f t="shared" si="232"/>
        <v/>
      </c>
      <c r="D2958" t="str">
        <f>IF(E2958="","",IF(COUNTIF($E$2:E2958,E2958)&gt;1,"",SUMIFS(tbl_input[필요수량],tbl_input[집계키_지청],E2958)))</f>
        <v/>
      </c>
      <c r="E2958" t="str">
        <f>IFERROR(INDEX(tbl_input[집계키_지청],ROW()-1),"")</f>
        <v/>
      </c>
      <c r="F2958" t="str">
        <f t="shared" si="233"/>
        <v/>
      </c>
      <c r="G2958" t="str">
        <f t="shared" si="234"/>
        <v/>
      </c>
    </row>
    <row r="2959" spans="1:7" x14ac:dyDescent="0.4">
      <c r="A2959" t="str">
        <f t="shared" si="230"/>
        <v/>
      </c>
      <c r="B2959" t="str">
        <f t="shared" si="231"/>
        <v/>
      </c>
      <c r="C2959" t="str">
        <f t="shared" si="232"/>
        <v/>
      </c>
      <c r="D2959" t="str">
        <f>IF(E2959="","",IF(COUNTIF($E$2:E2959,E2959)&gt;1,"",SUMIFS(tbl_input[필요수량],tbl_input[집계키_지청],E2959)))</f>
        <v/>
      </c>
      <c r="E2959" t="str">
        <f>IFERROR(INDEX(tbl_input[집계키_지청],ROW()-1),"")</f>
        <v/>
      </c>
      <c r="F2959" t="str">
        <f t="shared" si="233"/>
        <v/>
      </c>
      <c r="G2959" t="str">
        <f t="shared" si="234"/>
        <v/>
      </c>
    </row>
    <row r="2960" spans="1:7" x14ac:dyDescent="0.4">
      <c r="A2960" t="str">
        <f t="shared" si="230"/>
        <v/>
      </c>
      <c r="B2960" t="str">
        <f t="shared" si="231"/>
        <v/>
      </c>
      <c r="C2960" t="str">
        <f t="shared" si="232"/>
        <v/>
      </c>
      <c r="D2960" t="str">
        <f>IF(E2960="","",IF(COUNTIF($E$2:E2960,E2960)&gt;1,"",SUMIFS(tbl_input[필요수량],tbl_input[집계키_지청],E2960)))</f>
        <v/>
      </c>
      <c r="E2960" t="str">
        <f>IFERROR(INDEX(tbl_input[집계키_지청],ROW()-1),"")</f>
        <v/>
      </c>
      <c r="F2960" t="str">
        <f t="shared" si="233"/>
        <v/>
      </c>
      <c r="G2960" t="str">
        <f t="shared" si="234"/>
        <v/>
      </c>
    </row>
    <row r="2961" spans="1:7" x14ac:dyDescent="0.4">
      <c r="A2961" t="str">
        <f t="shared" si="230"/>
        <v/>
      </c>
      <c r="B2961" t="str">
        <f t="shared" si="231"/>
        <v/>
      </c>
      <c r="C2961" t="str">
        <f t="shared" si="232"/>
        <v/>
      </c>
      <c r="D2961" t="str">
        <f>IF(E2961="","",IF(COUNTIF($E$2:E2961,E2961)&gt;1,"",SUMIFS(tbl_input[필요수량],tbl_input[집계키_지청],E2961)))</f>
        <v/>
      </c>
      <c r="E2961" t="str">
        <f>IFERROR(INDEX(tbl_input[집계키_지청],ROW()-1),"")</f>
        <v/>
      </c>
      <c r="F2961" t="str">
        <f t="shared" si="233"/>
        <v/>
      </c>
      <c r="G2961" t="str">
        <f t="shared" si="234"/>
        <v/>
      </c>
    </row>
    <row r="2962" spans="1:7" x14ac:dyDescent="0.4">
      <c r="A2962" t="str">
        <f t="shared" si="230"/>
        <v/>
      </c>
      <c r="B2962" t="str">
        <f t="shared" si="231"/>
        <v/>
      </c>
      <c r="C2962" t="str">
        <f t="shared" si="232"/>
        <v/>
      </c>
      <c r="D2962" t="str">
        <f>IF(E2962="","",IF(COUNTIF($E$2:E2962,E2962)&gt;1,"",SUMIFS(tbl_input[필요수량],tbl_input[집계키_지청],E2962)))</f>
        <v/>
      </c>
      <c r="E2962" t="str">
        <f>IFERROR(INDEX(tbl_input[집계키_지청],ROW()-1),"")</f>
        <v/>
      </c>
      <c r="F2962" t="str">
        <f t="shared" si="233"/>
        <v/>
      </c>
      <c r="G2962" t="str">
        <f t="shared" si="234"/>
        <v/>
      </c>
    </row>
    <row r="2963" spans="1:7" x14ac:dyDescent="0.4">
      <c r="A2963" t="str">
        <f t="shared" si="230"/>
        <v/>
      </c>
      <c r="B2963" t="str">
        <f t="shared" si="231"/>
        <v/>
      </c>
      <c r="C2963" t="str">
        <f t="shared" si="232"/>
        <v/>
      </c>
      <c r="D2963" t="str">
        <f>IF(E2963="","",IF(COUNTIF($E$2:E2963,E2963)&gt;1,"",SUMIFS(tbl_input[필요수량],tbl_input[집계키_지청],E2963)))</f>
        <v/>
      </c>
      <c r="E2963" t="str">
        <f>IFERROR(INDEX(tbl_input[집계키_지청],ROW()-1),"")</f>
        <v/>
      </c>
      <c r="F2963" t="str">
        <f t="shared" si="233"/>
        <v/>
      </c>
      <c r="G2963" t="str">
        <f t="shared" si="234"/>
        <v/>
      </c>
    </row>
    <row r="2964" spans="1:7" x14ac:dyDescent="0.4">
      <c r="A2964" t="str">
        <f t="shared" si="230"/>
        <v/>
      </c>
      <c r="B2964" t="str">
        <f t="shared" si="231"/>
        <v/>
      </c>
      <c r="C2964" t="str">
        <f t="shared" si="232"/>
        <v/>
      </c>
      <c r="D2964" t="str">
        <f>IF(E2964="","",IF(COUNTIF($E$2:E2964,E2964)&gt;1,"",SUMIFS(tbl_input[필요수량],tbl_input[집계키_지청],E2964)))</f>
        <v/>
      </c>
      <c r="E2964" t="str">
        <f>IFERROR(INDEX(tbl_input[집계키_지청],ROW()-1),"")</f>
        <v/>
      </c>
      <c r="F2964" t="str">
        <f t="shared" si="233"/>
        <v/>
      </c>
      <c r="G2964" t="str">
        <f t="shared" si="234"/>
        <v/>
      </c>
    </row>
    <row r="2965" spans="1:7" x14ac:dyDescent="0.4">
      <c r="A2965" t="str">
        <f t="shared" si="230"/>
        <v/>
      </c>
      <c r="B2965" t="str">
        <f t="shared" si="231"/>
        <v/>
      </c>
      <c r="C2965" t="str">
        <f t="shared" si="232"/>
        <v/>
      </c>
      <c r="D2965" t="str">
        <f>IF(E2965="","",IF(COUNTIF($E$2:E2965,E2965)&gt;1,"",SUMIFS(tbl_input[필요수량],tbl_input[집계키_지청],E2965)))</f>
        <v/>
      </c>
      <c r="E2965" t="str">
        <f>IFERROR(INDEX(tbl_input[집계키_지청],ROW()-1),"")</f>
        <v/>
      </c>
      <c r="F2965" t="str">
        <f t="shared" si="233"/>
        <v/>
      </c>
      <c r="G2965" t="str">
        <f t="shared" si="234"/>
        <v/>
      </c>
    </row>
    <row r="2966" spans="1:7" x14ac:dyDescent="0.4">
      <c r="A2966" t="str">
        <f t="shared" si="230"/>
        <v/>
      </c>
      <c r="B2966" t="str">
        <f t="shared" si="231"/>
        <v/>
      </c>
      <c r="C2966" t="str">
        <f t="shared" si="232"/>
        <v/>
      </c>
      <c r="D2966" t="str">
        <f>IF(E2966="","",IF(COUNTIF($E$2:E2966,E2966)&gt;1,"",SUMIFS(tbl_input[필요수량],tbl_input[집계키_지청],E2966)))</f>
        <v/>
      </c>
      <c r="E2966" t="str">
        <f>IFERROR(INDEX(tbl_input[집계키_지청],ROW()-1),"")</f>
        <v/>
      </c>
      <c r="F2966" t="str">
        <f t="shared" si="233"/>
        <v/>
      </c>
      <c r="G2966" t="str">
        <f t="shared" si="234"/>
        <v/>
      </c>
    </row>
    <row r="2967" spans="1:7" x14ac:dyDescent="0.4">
      <c r="A2967" t="str">
        <f t="shared" si="230"/>
        <v/>
      </c>
      <c r="B2967" t="str">
        <f t="shared" si="231"/>
        <v/>
      </c>
      <c r="C2967" t="str">
        <f t="shared" si="232"/>
        <v/>
      </c>
      <c r="D2967" t="str">
        <f>IF(E2967="","",IF(COUNTIF($E$2:E2967,E2967)&gt;1,"",SUMIFS(tbl_input[필요수량],tbl_input[집계키_지청],E2967)))</f>
        <v/>
      </c>
      <c r="E2967" t="str">
        <f>IFERROR(INDEX(tbl_input[집계키_지청],ROW()-1),"")</f>
        <v/>
      </c>
      <c r="F2967" t="str">
        <f t="shared" si="233"/>
        <v/>
      </c>
      <c r="G2967" t="str">
        <f t="shared" si="234"/>
        <v/>
      </c>
    </row>
    <row r="2968" spans="1:7" x14ac:dyDescent="0.4">
      <c r="A2968" t="str">
        <f t="shared" si="230"/>
        <v/>
      </c>
      <c r="B2968" t="str">
        <f t="shared" si="231"/>
        <v/>
      </c>
      <c r="C2968" t="str">
        <f t="shared" si="232"/>
        <v/>
      </c>
      <c r="D2968" t="str">
        <f>IF(E2968="","",IF(COUNTIF($E$2:E2968,E2968)&gt;1,"",SUMIFS(tbl_input[필요수량],tbl_input[집계키_지청],E2968)))</f>
        <v/>
      </c>
      <c r="E2968" t="str">
        <f>IFERROR(INDEX(tbl_input[집계키_지청],ROW()-1),"")</f>
        <v/>
      </c>
      <c r="F2968" t="str">
        <f t="shared" si="233"/>
        <v/>
      </c>
      <c r="G2968" t="str">
        <f t="shared" si="234"/>
        <v/>
      </c>
    </row>
    <row r="2969" spans="1:7" x14ac:dyDescent="0.4">
      <c r="A2969" t="str">
        <f t="shared" si="230"/>
        <v/>
      </c>
      <c r="B2969" t="str">
        <f t="shared" si="231"/>
        <v/>
      </c>
      <c r="C2969" t="str">
        <f t="shared" si="232"/>
        <v/>
      </c>
      <c r="D2969" t="str">
        <f>IF(E2969="","",IF(COUNTIF($E$2:E2969,E2969)&gt;1,"",SUMIFS(tbl_input[필요수량],tbl_input[집계키_지청],E2969)))</f>
        <v/>
      </c>
      <c r="E2969" t="str">
        <f>IFERROR(INDEX(tbl_input[집계키_지청],ROW()-1),"")</f>
        <v/>
      </c>
      <c r="F2969" t="str">
        <f t="shared" si="233"/>
        <v/>
      </c>
      <c r="G2969" t="str">
        <f t="shared" si="234"/>
        <v/>
      </c>
    </row>
    <row r="2970" spans="1:7" x14ac:dyDescent="0.4">
      <c r="A2970" t="str">
        <f t="shared" si="230"/>
        <v/>
      </c>
      <c r="B2970" t="str">
        <f t="shared" si="231"/>
        <v/>
      </c>
      <c r="C2970" t="str">
        <f t="shared" si="232"/>
        <v/>
      </c>
      <c r="D2970" t="str">
        <f>IF(E2970="","",IF(COUNTIF($E$2:E2970,E2970)&gt;1,"",SUMIFS(tbl_input[필요수량],tbl_input[집계키_지청],E2970)))</f>
        <v/>
      </c>
      <c r="E2970" t="str">
        <f>IFERROR(INDEX(tbl_input[집계키_지청],ROW()-1),"")</f>
        <v/>
      </c>
      <c r="F2970" t="str">
        <f t="shared" si="233"/>
        <v/>
      </c>
      <c r="G2970" t="str">
        <f t="shared" si="234"/>
        <v/>
      </c>
    </row>
    <row r="2971" spans="1:7" x14ac:dyDescent="0.4">
      <c r="A2971" t="str">
        <f t="shared" si="230"/>
        <v/>
      </c>
      <c r="B2971" t="str">
        <f t="shared" si="231"/>
        <v/>
      </c>
      <c r="C2971" t="str">
        <f t="shared" si="232"/>
        <v/>
      </c>
      <c r="D2971" t="str">
        <f>IF(E2971="","",IF(COUNTIF($E$2:E2971,E2971)&gt;1,"",SUMIFS(tbl_input[필요수량],tbl_input[집계키_지청],E2971)))</f>
        <v/>
      </c>
      <c r="E2971" t="str">
        <f>IFERROR(INDEX(tbl_input[집계키_지청],ROW()-1),"")</f>
        <v/>
      </c>
      <c r="F2971" t="str">
        <f t="shared" si="233"/>
        <v/>
      </c>
      <c r="G2971" t="str">
        <f t="shared" si="234"/>
        <v/>
      </c>
    </row>
    <row r="2972" spans="1:7" x14ac:dyDescent="0.4">
      <c r="A2972" t="str">
        <f t="shared" si="230"/>
        <v/>
      </c>
      <c r="B2972" t="str">
        <f t="shared" si="231"/>
        <v/>
      </c>
      <c r="C2972" t="str">
        <f t="shared" si="232"/>
        <v/>
      </c>
      <c r="D2972" t="str">
        <f>IF(E2972="","",IF(COUNTIF($E$2:E2972,E2972)&gt;1,"",SUMIFS(tbl_input[필요수량],tbl_input[집계키_지청],E2972)))</f>
        <v/>
      </c>
      <c r="E2972" t="str">
        <f>IFERROR(INDEX(tbl_input[집계키_지청],ROW()-1),"")</f>
        <v/>
      </c>
      <c r="F2972" t="str">
        <f t="shared" si="233"/>
        <v/>
      </c>
      <c r="G2972" t="str">
        <f t="shared" si="234"/>
        <v/>
      </c>
    </row>
    <row r="2973" spans="1:7" x14ac:dyDescent="0.4">
      <c r="A2973" t="str">
        <f t="shared" si="230"/>
        <v/>
      </c>
      <c r="B2973" t="str">
        <f t="shared" si="231"/>
        <v/>
      </c>
      <c r="C2973" t="str">
        <f t="shared" si="232"/>
        <v/>
      </c>
      <c r="D2973" t="str">
        <f>IF(E2973="","",IF(COUNTIF($E$2:E2973,E2973)&gt;1,"",SUMIFS(tbl_input[필요수량],tbl_input[집계키_지청],E2973)))</f>
        <v/>
      </c>
      <c r="E2973" t="str">
        <f>IFERROR(INDEX(tbl_input[집계키_지청],ROW()-1),"")</f>
        <v/>
      </c>
      <c r="F2973" t="str">
        <f t="shared" si="233"/>
        <v/>
      </c>
      <c r="G2973" t="str">
        <f t="shared" si="234"/>
        <v/>
      </c>
    </row>
    <row r="2974" spans="1:7" x14ac:dyDescent="0.4">
      <c r="A2974" t="str">
        <f t="shared" si="230"/>
        <v/>
      </c>
      <c r="B2974" t="str">
        <f t="shared" si="231"/>
        <v/>
      </c>
      <c r="C2974" t="str">
        <f t="shared" si="232"/>
        <v/>
      </c>
      <c r="D2974" t="str">
        <f>IF(E2974="","",IF(COUNTIF($E$2:E2974,E2974)&gt;1,"",SUMIFS(tbl_input[필요수량],tbl_input[집계키_지청],E2974)))</f>
        <v/>
      </c>
      <c r="E2974" t="str">
        <f>IFERROR(INDEX(tbl_input[집계키_지청],ROW()-1),"")</f>
        <v/>
      </c>
      <c r="F2974" t="str">
        <f t="shared" si="233"/>
        <v/>
      </c>
      <c r="G2974" t="str">
        <f t="shared" si="234"/>
        <v/>
      </c>
    </row>
    <row r="2975" spans="1:7" x14ac:dyDescent="0.4">
      <c r="A2975" t="str">
        <f t="shared" si="230"/>
        <v/>
      </c>
      <c r="B2975" t="str">
        <f t="shared" si="231"/>
        <v/>
      </c>
      <c r="C2975" t="str">
        <f t="shared" si="232"/>
        <v/>
      </c>
      <c r="D2975" t="str">
        <f>IF(E2975="","",IF(COUNTIF($E$2:E2975,E2975)&gt;1,"",SUMIFS(tbl_input[필요수량],tbl_input[집계키_지청],E2975)))</f>
        <v/>
      </c>
      <c r="E2975" t="str">
        <f>IFERROR(INDEX(tbl_input[집계키_지청],ROW()-1),"")</f>
        <v/>
      </c>
      <c r="F2975" t="str">
        <f t="shared" si="233"/>
        <v/>
      </c>
      <c r="G2975" t="str">
        <f t="shared" si="234"/>
        <v/>
      </c>
    </row>
    <row r="2976" spans="1:7" x14ac:dyDescent="0.4">
      <c r="A2976" t="str">
        <f t="shared" si="230"/>
        <v/>
      </c>
      <c r="B2976" t="str">
        <f t="shared" si="231"/>
        <v/>
      </c>
      <c r="C2976" t="str">
        <f t="shared" si="232"/>
        <v/>
      </c>
      <c r="D2976" t="str">
        <f>IF(E2976="","",IF(COUNTIF($E$2:E2976,E2976)&gt;1,"",SUMIFS(tbl_input[필요수량],tbl_input[집계키_지청],E2976)))</f>
        <v/>
      </c>
      <c r="E2976" t="str">
        <f>IFERROR(INDEX(tbl_input[집계키_지청],ROW()-1),"")</f>
        <v/>
      </c>
      <c r="F2976" t="str">
        <f t="shared" si="233"/>
        <v/>
      </c>
      <c r="G2976" t="str">
        <f t="shared" si="234"/>
        <v/>
      </c>
    </row>
    <row r="2977" spans="1:7" x14ac:dyDescent="0.4">
      <c r="A2977" t="str">
        <f t="shared" si="230"/>
        <v/>
      </c>
      <c r="B2977" t="str">
        <f t="shared" si="231"/>
        <v/>
      </c>
      <c r="C2977" t="str">
        <f t="shared" si="232"/>
        <v/>
      </c>
      <c r="D2977" t="str">
        <f>IF(E2977="","",IF(COUNTIF($E$2:E2977,E2977)&gt;1,"",SUMIFS(tbl_input[필요수량],tbl_input[집계키_지청],E2977)))</f>
        <v/>
      </c>
      <c r="E2977" t="str">
        <f>IFERROR(INDEX(tbl_input[집계키_지청],ROW()-1),"")</f>
        <v/>
      </c>
      <c r="F2977" t="str">
        <f t="shared" si="233"/>
        <v/>
      </c>
      <c r="G2977" t="str">
        <f t="shared" si="234"/>
        <v/>
      </c>
    </row>
    <row r="2978" spans="1:7" x14ac:dyDescent="0.4">
      <c r="A2978" t="str">
        <f t="shared" si="230"/>
        <v/>
      </c>
      <c r="B2978" t="str">
        <f t="shared" si="231"/>
        <v/>
      </c>
      <c r="C2978" t="str">
        <f t="shared" si="232"/>
        <v/>
      </c>
      <c r="D2978" t="str">
        <f>IF(E2978="","",IF(COUNTIF($E$2:E2978,E2978)&gt;1,"",SUMIFS(tbl_input[필요수량],tbl_input[집계키_지청],E2978)))</f>
        <v/>
      </c>
      <c r="E2978" t="str">
        <f>IFERROR(INDEX(tbl_input[집계키_지청],ROW()-1),"")</f>
        <v/>
      </c>
      <c r="F2978" t="str">
        <f t="shared" si="233"/>
        <v/>
      </c>
      <c r="G2978" t="str">
        <f t="shared" si="234"/>
        <v/>
      </c>
    </row>
    <row r="2979" spans="1:7" x14ac:dyDescent="0.4">
      <c r="A2979" t="str">
        <f t="shared" si="230"/>
        <v/>
      </c>
      <c r="B2979" t="str">
        <f t="shared" si="231"/>
        <v/>
      </c>
      <c r="C2979" t="str">
        <f t="shared" si="232"/>
        <v/>
      </c>
      <c r="D2979" t="str">
        <f>IF(E2979="","",IF(COUNTIF($E$2:E2979,E2979)&gt;1,"",SUMIFS(tbl_input[필요수량],tbl_input[집계키_지청],E2979)))</f>
        <v/>
      </c>
      <c r="E2979" t="str">
        <f>IFERROR(INDEX(tbl_input[집계키_지청],ROW()-1),"")</f>
        <v/>
      </c>
      <c r="F2979" t="str">
        <f t="shared" si="233"/>
        <v/>
      </c>
      <c r="G2979" t="str">
        <f t="shared" si="234"/>
        <v/>
      </c>
    </row>
    <row r="2980" spans="1:7" x14ac:dyDescent="0.4">
      <c r="A2980" t="str">
        <f t="shared" si="230"/>
        <v/>
      </c>
      <c r="B2980" t="str">
        <f t="shared" si="231"/>
        <v/>
      </c>
      <c r="C2980" t="str">
        <f t="shared" si="232"/>
        <v/>
      </c>
      <c r="D2980" t="str">
        <f>IF(E2980="","",IF(COUNTIF($E$2:E2980,E2980)&gt;1,"",SUMIFS(tbl_input[필요수량],tbl_input[집계키_지청],E2980)))</f>
        <v/>
      </c>
      <c r="E2980" t="str">
        <f>IFERROR(INDEX(tbl_input[집계키_지청],ROW()-1),"")</f>
        <v/>
      </c>
      <c r="F2980" t="str">
        <f t="shared" si="233"/>
        <v/>
      </c>
      <c r="G2980" t="str">
        <f t="shared" si="234"/>
        <v/>
      </c>
    </row>
    <row r="2981" spans="1:7" x14ac:dyDescent="0.4">
      <c r="A2981" t="str">
        <f t="shared" si="230"/>
        <v/>
      </c>
      <c r="B2981" t="str">
        <f t="shared" si="231"/>
        <v/>
      </c>
      <c r="C2981" t="str">
        <f t="shared" si="232"/>
        <v/>
      </c>
      <c r="D2981" t="str">
        <f>IF(E2981="","",IF(COUNTIF($E$2:E2981,E2981)&gt;1,"",SUMIFS(tbl_input[필요수량],tbl_input[집계키_지청],E2981)))</f>
        <v/>
      </c>
      <c r="E2981" t="str">
        <f>IFERROR(INDEX(tbl_input[집계키_지청],ROW()-1),"")</f>
        <v/>
      </c>
      <c r="F2981" t="str">
        <f t="shared" si="233"/>
        <v/>
      </c>
      <c r="G2981" t="str">
        <f t="shared" si="234"/>
        <v/>
      </c>
    </row>
    <row r="2982" spans="1:7" x14ac:dyDescent="0.4">
      <c r="A2982" t="str">
        <f t="shared" si="230"/>
        <v/>
      </c>
      <c r="B2982" t="str">
        <f t="shared" si="231"/>
        <v/>
      </c>
      <c r="C2982" t="str">
        <f t="shared" si="232"/>
        <v/>
      </c>
      <c r="D2982" t="str">
        <f>IF(E2982="","",IF(COUNTIF($E$2:E2982,E2982)&gt;1,"",SUMIFS(tbl_input[필요수량],tbl_input[집계키_지청],E2982)))</f>
        <v/>
      </c>
      <c r="E2982" t="str">
        <f>IFERROR(INDEX(tbl_input[집계키_지청],ROW()-1),"")</f>
        <v/>
      </c>
      <c r="F2982" t="str">
        <f t="shared" si="233"/>
        <v/>
      </c>
      <c r="G2982" t="str">
        <f t="shared" si="234"/>
        <v/>
      </c>
    </row>
    <row r="2983" spans="1:7" x14ac:dyDescent="0.4">
      <c r="A2983" t="str">
        <f t="shared" si="230"/>
        <v/>
      </c>
      <c r="B2983" t="str">
        <f t="shared" si="231"/>
        <v/>
      </c>
      <c r="C2983" t="str">
        <f t="shared" si="232"/>
        <v/>
      </c>
      <c r="D2983" t="str">
        <f>IF(E2983="","",IF(COUNTIF($E$2:E2983,E2983)&gt;1,"",SUMIFS(tbl_input[필요수량],tbl_input[집계키_지청],E2983)))</f>
        <v/>
      </c>
      <c r="E2983" t="str">
        <f>IFERROR(INDEX(tbl_input[집계키_지청],ROW()-1),"")</f>
        <v/>
      </c>
      <c r="F2983" t="str">
        <f t="shared" si="233"/>
        <v/>
      </c>
      <c r="G2983" t="str">
        <f t="shared" si="234"/>
        <v/>
      </c>
    </row>
    <row r="2984" spans="1:7" x14ac:dyDescent="0.4">
      <c r="A2984" t="str">
        <f t="shared" si="230"/>
        <v/>
      </c>
      <c r="B2984" t="str">
        <f t="shared" si="231"/>
        <v/>
      </c>
      <c r="C2984" t="str">
        <f t="shared" si="232"/>
        <v/>
      </c>
      <c r="D2984" t="str">
        <f>IF(E2984="","",IF(COUNTIF($E$2:E2984,E2984)&gt;1,"",SUMIFS(tbl_input[필요수량],tbl_input[집계키_지청],E2984)))</f>
        <v/>
      </c>
      <c r="E2984" t="str">
        <f>IFERROR(INDEX(tbl_input[집계키_지청],ROW()-1),"")</f>
        <v/>
      </c>
      <c r="F2984" t="str">
        <f t="shared" si="233"/>
        <v/>
      </c>
      <c r="G2984" t="str">
        <f t="shared" si="234"/>
        <v/>
      </c>
    </row>
    <row r="2985" spans="1:7" x14ac:dyDescent="0.4">
      <c r="A2985" t="str">
        <f t="shared" si="230"/>
        <v/>
      </c>
      <c r="B2985" t="str">
        <f t="shared" si="231"/>
        <v/>
      </c>
      <c r="C2985" t="str">
        <f t="shared" si="232"/>
        <v/>
      </c>
      <c r="D2985" t="str">
        <f>IF(E2985="","",IF(COUNTIF($E$2:E2985,E2985)&gt;1,"",SUMIFS(tbl_input[필요수량],tbl_input[집계키_지청],E2985)))</f>
        <v/>
      </c>
      <c r="E2985" t="str">
        <f>IFERROR(INDEX(tbl_input[집계키_지청],ROW()-1),"")</f>
        <v/>
      </c>
      <c r="F2985" t="str">
        <f t="shared" si="233"/>
        <v/>
      </c>
      <c r="G2985" t="str">
        <f t="shared" si="234"/>
        <v/>
      </c>
    </row>
    <row r="2986" spans="1:7" x14ac:dyDescent="0.4">
      <c r="A2986" t="str">
        <f t="shared" si="230"/>
        <v/>
      </c>
      <c r="B2986" t="str">
        <f t="shared" si="231"/>
        <v/>
      </c>
      <c r="C2986" t="str">
        <f t="shared" si="232"/>
        <v/>
      </c>
      <c r="D2986" t="str">
        <f>IF(E2986="","",IF(COUNTIF($E$2:E2986,E2986)&gt;1,"",SUMIFS(tbl_input[필요수량],tbl_input[집계키_지청],E2986)))</f>
        <v/>
      </c>
      <c r="E2986" t="str">
        <f>IFERROR(INDEX(tbl_input[집계키_지청],ROW()-1),"")</f>
        <v/>
      </c>
      <c r="F2986" t="str">
        <f t="shared" si="233"/>
        <v/>
      </c>
      <c r="G2986" t="str">
        <f t="shared" si="234"/>
        <v/>
      </c>
    </row>
    <row r="2987" spans="1:7" x14ac:dyDescent="0.4">
      <c r="A2987" t="str">
        <f t="shared" si="230"/>
        <v/>
      </c>
      <c r="B2987" t="str">
        <f t="shared" si="231"/>
        <v/>
      </c>
      <c r="C2987" t="str">
        <f t="shared" si="232"/>
        <v/>
      </c>
      <c r="D2987" t="str">
        <f>IF(E2987="","",IF(COUNTIF($E$2:E2987,E2987)&gt;1,"",SUMIFS(tbl_input[필요수량],tbl_input[집계키_지청],E2987)))</f>
        <v/>
      </c>
      <c r="E2987" t="str">
        <f>IFERROR(INDEX(tbl_input[집계키_지청],ROW()-1),"")</f>
        <v/>
      </c>
      <c r="F2987" t="str">
        <f t="shared" si="233"/>
        <v/>
      </c>
      <c r="G2987" t="str">
        <f t="shared" si="234"/>
        <v/>
      </c>
    </row>
    <row r="2988" spans="1:7" x14ac:dyDescent="0.4">
      <c r="A2988" t="str">
        <f t="shared" si="230"/>
        <v/>
      </c>
      <c r="B2988" t="str">
        <f t="shared" si="231"/>
        <v/>
      </c>
      <c r="C2988" t="str">
        <f t="shared" si="232"/>
        <v/>
      </c>
      <c r="D2988" t="str">
        <f>IF(E2988="","",IF(COUNTIF($E$2:E2988,E2988)&gt;1,"",SUMIFS(tbl_input[필요수량],tbl_input[집계키_지청],E2988)))</f>
        <v/>
      </c>
      <c r="E2988" t="str">
        <f>IFERROR(INDEX(tbl_input[집계키_지청],ROW()-1),"")</f>
        <v/>
      </c>
      <c r="F2988" t="str">
        <f t="shared" si="233"/>
        <v/>
      </c>
      <c r="G2988" t="str">
        <f t="shared" si="234"/>
        <v/>
      </c>
    </row>
    <row r="2989" spans="1:7" x14ac:dyDescent="0.4">
      <c r="A2989" t="str">
        <f t="shared" si="230"/>
        <v/>
      </c>
      <c r="B2989" t="str">
        <f t="shared" si="231"/>
        <v/>
      </c>
      <c r="C2989" t="str">
        <f t="shared" si="232"/>
        <v/>
      </c>
      <c r="D2989" t="str">
        <f>IF(E2989="","",IF(COUNTIF($E$2:E2989,E2989)&gt;1,"",SUMIFS(tbl_input[필요수량],tbl_input[집계키_지청],E2989)))</f>
        <v/>
      </c>
      <c r="E2989" t="str">
        <f>IFERROR(INDEX(tbl_input[집계키_지청],ROW()-1),"")</f>
        <v/>
      </c>
      <c r="F2989" t="str">
        <f t="shared" si="233"/>
        <v/>
      </c>
      <c r="G2989" t="str">
        <f t="shared" si="234"/>
        <v/>
      </c>
    </row>
    <row r="2990" spans="1:7" x14ac:dyDescent="0.4">
      <c r="A2990" t="str">
        <f t="shared" si="230"/>
        <v/>
      </c>
      <c r="B2990" t="str">
        <f t="shared" si="231"/>
        <v/>
      </c>
      <c r="C2990" t="str">
        <f t="shared" si="232"/>
        <v/>
      </c>
      <c r="D2990" t="str">
        <f>IF(E2990="","",IF(COUNTIF($E$2:E2990,E2990)&gt;1,"",SUMIFS(tbl_input[필요수량],tbl_input[집계키_지청],E2990)))</f>
        <v/>
      </c>
      <c r="E2990" t="str">
        <f>IFERROR(INDEX(tbl_input[집계키_지청],ROW()-1),"")</f>
        <v/>
      </c>
      <c r="F2990" t="str">
        <f t="shared" si="233"/>
        <v/>
      </c>
      <c r="G2990" t="str">
        <f t="shared" si="234"/>
        <v/>
      </c>
    </row>
    <row r="2991" spans="1:7" x14ac:dyDescent="0.4">
      <c r="A2991" t="str">
        <f t="shared" si="230"/>
        <v/>
      </c>
      <c r="B2991" t="str">
        <f t="shared" si="231"/>
        <v/>
      </c>
      <c r="C2991" t="str">
        <f t="shared" si="232"/>
        <v/>
      </c>
      <c r="D2991" t="str">
        <f>IF(E2991="","",IF(COUNTIF($E$2:E2991,E2991)&gt;1,"",SUMIFS(tbl_input[필요수량],tbl_input[집계키_지청],E2991)))</f>
        <v/>
      </c>
      <c r="E2991" t="str">
        <f>IFERROR(INDEX(tbl_input[집계키_지청],ROW()-1),"")</f>
        <v/>
      </c>
      <c r="F2991" t="str">
        <f t="shared" si="233"/>
        <v/>
      </c>
      <c r="G2991" t="str">
        <f t="shared" si="234"/>
        <v/>
      </c>
    </row>
    <row r="2992" spans="1:7" x14ac:dyDescent="0.4">
      <c r="A2992" t="str">
        <f t="shared" si="230"/>
        <v/>
      </c>
      <c r="B2992" t="str">
        <f t="shared" si="231"/>
        <v/>
      </c>
      <c r="C2992" t="str">
        <f t="shared" si="232"/>
        <v/>
      </c>
      <c r="D2992" t="str">
        <f>IF(E2992="","",IF(COUNTIF($E$2:E2992,E2992)&gt;1,"",SUMIFS(tbl_input[필요수량],tbl_input[집계키_지청],E2992)))</f>
        <v/>
      </c>
      <c r="E2992" t="str">
        <f>IFERROR(INDEX(tbl_input[집계키_지청],ROW()-1),"")</f>
        <v/>
      </c>
      <c r="F2992" t="str">
        <f t="shared" si="233"/>
        <v/>
      </c>
      <c r="G2992" t="str">
        <f t="shared" si="234"/>
        <v/>
      </c>
    </row>
    <row r="2993" spans="1:7" x14ac:dyDescent="0.4">
      <c r="A2993" t="str">
        <f t="shared" si="230"/>
        <v/>
      </c>
      <c r="B2993" t="str">
        <f t="shared" si="231"/>
        <v/>
      </c>
      <c r="C2993" t="str">
        <f t="shared" si="232"/>
        <v/>
      </c>
      <c r="D2993" t="str">
        <f>IF(E2993="","",IF(COUNTIF($E$2:E2993,E2993)&gt;1,"",SUMIFS(tbl_input[필요수량],tbl_input[집계키_지청],E2993)))</f>
        <v/>
      </c>
      <c r="E2993" t="str">
        <f>IFERROR(INDEX(tbl_input[집계키_지청],ROW()-1),"")</f>
        <v/>
      </c>
      <c r="F2993" t="str">
        <f t="shared" si="233"/>
        <v/>
      </c>
      <c r="G2993" t="str">
        <f t="shared" si="234"/>
        <v/>
      </c>
    </row>
    <row r="2994" spans="1:7" x14ac:dyDescent="0.4">
      <c r="A2994" t="str">
        <f t="shared" si="230"/>
        <v/>
      </c>
      <c r="B2994" t="str">
        <f t="shared" si="231"/>
        <v/>
      </c>
      <c r="C2994" t="str">
        <f t="shared" si="232"/>
        <v/>
      </c>
      <c r="D2994" t="str">
        <f>IF(E2994="","",IF(COUNTIF($E$2:E2994,E2994)&gt;1,"",SUMIFS(tbl_input[필요수량],tbl_input[집계키_지청],E2994)))</f>
        <v/>
      </c>
      <c r="E2994" t="str">
        <f>IFERROR(INDEX(tbl_input[집계키_지청],ROW()-1),"")</f>
        <v/>
      </c>
      <c r="F2994" t="str">
        <f t="shared" si="233"/>
        <v/>
      </c>
      <c r="G2994" t="str">
        <f t="shared" si="234"/>
        <v/>
      </c>
    </row>
    <row r="2995" spans="1:7" x14ac:dyDescent="0.4">
      <c r="A2995" t="str">
        <f t="shared" si="230"/>
        <v/>
      </c>
      <c r="B2995" t="str">
        <f t="shared" si="231"/>
        <v/>
      </c>
      <c r="C2995" t="str">
        <f t="shared" si="232"/>
        <v/>
      </c>
      <c r="D2995" t="str">
        <f>IF(E2995="","",IF(COUNTIF($E$2:E2995,E2995)&gt;1,"",SUMIFS(tbl_input[필요수량],tbl_input[집계키_지청],E2995)))</f>
        <v/>
      </c>
      <c r="E2995" t="str">
        <f>IFERROR(INDEX(tbl_input[집계키_지청],ROW()-1),"")</f>
        <v/>
      </c>
      <c r="F2995" t="str">
        <f t="shared" si="233"/>
        <v/>
      </c>
      <c r="G2995" t="str">
        <f t="shared" si="234"/>
        <v/>
      </c>
    </row>
    <row r="2996" spans="1:7" x14ac:dyDescent="0.4">
      <c r="A2996" t="str">
        <f t="shared" si="230"/>
        <v/>
      </c>
      <c r="B2996" t="str">
        <f t="shared" si="231"/>
        <v/>
      </c>
      <c r="C2996" t="str">
        <f t="shared" si="232"/>
        <v/>
      </c>
      <c r="D2996" t="str">
        <f>IF(E2996="","",IF(COUNTIF($E$2:E2996,E2996)&gt;1,"",SUMIFS(tbl_input[필요수량],tbl_input[집계키_지청],E2996)))</f>
        <v/>
      </c>
      <c r="E2996" t="str">
        <f>IFERROR(INDEX(tbl_input[집계키_지청],ROW()-1),"")</f>
        <v/>
      </c>
      <c r="F2996" t="str">
        <f t="shared" si="233"/>
        <v/>
      </c>
      <c r="G2996" t="str">
        <f t="shared" si="234"/>
        <v/>
      </c>
    </row>
    <row r="2997" spans="1:7" x14ac:dyDescent="0.4">
      <c r="A2997" t="str">
        <f t="shared" si="230"/>
        <v/>
      </c>
      <c r="B2997" t="str">
        <f t="shared" si="231"/>
        <v/>
      </c>
      <c r="C2997" t="str">
        <f t="shared" si="232"/>
        <v/>
      </c>
      <c r="D2997" t="str">
        <f>IF(E2997="","",IF(COUNTIF($E$2:E2997,E2997)&gt;1,"",SUMIFS(tbl_input[필요수량],tbl_input[집계키_지청],E2997)))</f>
        <v/>
      </c>
      <c r="E2997" t="str">
        <f>IFERROR(INDEX(tbl_input[집계키_지청],ROW()-1),"")</f>
        <v/>
      </c>
      <c r="F2997" t="str">
        <f t="shared" si="233"/>
        <v/>
      </c>
      <c r="G2997" t="str">
        <f t="shared" si="234"/>
        <v/>
      </c>
    </row>
    <row r="2998" spans="1:7" x14ac:dyDescent="0.4">
      <c r="A2998" t="str">
        <f t="shared" si="230"/>
        <v/>
      </c>
      <c r="B2998" t="str">
        <f t="shared" si="231"/>
        <v/>
      </c>
      <c r="C2998" t="str">
        <f t="shared" si="232"/>
        <v/>
      </c>
      <c r="D2998" t="str">
        <f>IF(E2998="","",IF(COUNTIF($E$2:E2998,E2998)&gt;1,"",SUMIFS(tbl_input[필요수량],tbl_input[집계키_지청],E2998)))</f>
        <v/>
      </c>
      <c r="E2998" t="str">
        <f>IFERROR(INDEX(tbl_input[집계키_지청],ROW()-1),"")</f>
        <v/>
      </c>
      <c r="F2998" t="str">
        <f t="shared" si="233"/>
        <v/>
      </c>
      <c r="G2998" t="str">
        <f t="shared" si="234"/>
        <v/>
      </c>
    </row>
    <row r="2999" spans="1:7" x14ac:dyDescent="0.4">
      <c r="A2999" t="str">
        <f t="shared" si="230"/>
        <v/>
      </c>
      <c r="B2999" t="str">
        <f t="shared" si="231"/>
        <v/>
      </c>
      <c r="C2999" t="str">
        <f t="shared" si="232"/>
        <v/>
      </c>
      <c r="D2999" t="str">
        <f>IF(E2999="","",IF(COUNTIF($E$2:E2999,E2999)&gt;1,"",SUMIFS(tbl_input[필요수량],tbl_input[집계키_지청],E2999)))</f>
        <v/>
      </c>
      <c r="E2999" t="str">
        <f>IFERROR(INDEX(tbl_input[집계키_지청],ROW()-1),"")</f>
        <v/>
      </c>
      <c r="F2999" t="str">
        <f t="shared" si="233"/>
        <v/>
      </c>
      <c r="G2999" t="str">
        <f t="shared" si="234"/>
        <v/>
      </c>
    </row>
    <row r="3000" spans="1:7" x14ac:dyDescent="0.4">
      <c r="A3000" t="str">
        <f t="shared" si="230"/>
        <v/>
      </c>
      <c r="B3000" t="str">
        <f t="shared" si="231"/>
        <v/>
      </c>
      <c r="C3000" t="str">
        <f t="shared" si="232"/>
        <v/>
      </c>
      <c r="D3000" t="str">
        <f>IF(E3000="","",IF(COUNTIF($E$2:E3000,E3000)&gt;1,"",SUMIFS(tbl_input[필요수량],tbl_input[집계키_지청],E3000)))</f>
        <v/>
      </c>
      <c r="E3000" t="str">
        <f>IFERROR(INDEX(tbl_input[집계키_지청],ROW()-1),"")</f>
        <v/>
      </c>
      <c r="F3000" t="str">
        <f t="shared" si="233"/>
        <v/>
      </c>
      <c r="G3000" t="str">
        <f t="shared" si="234"/>
        <v/>
      </c>
    </row>
    <row r="3001" spans="1:7" x14ac:dyDescent="0.4">
      <c r="A3001" t="str">
        <f t="shared" si="230"/>
        <v/>
      </c>
      <c r="B3001" t="str">
        <f t="shared" si="231"/>
        <v/>
      </c>
      <c r="C3001" t="str">
        <f t="shared" si="232"/>
        <v/>
      </c>
      <c r="D3001" t="str">
        <f>IF(E3001="","",IF(COUNTIF($E$2:E3001,E3001)&gt;1,"",SUMIFS(tbl_input[필요수량],tbl_input[집계키_지청],E3001)))</f>
        <v/>
      </c>
      <c r="E3001" t="str">
        <f>IFERROR(INDEX(tbl_input[집계키_지청],ROW()-1),"")</f>
        <v/>
      </c>
      <c r="F3001" t="str">
        <f t="shared" si="233"/>
        <v/>
      </c>
      <c r="G3001" t="str">
        <f t="shared" si="234"/>
        <v/>
      </c>
    </row>
    <row r="3002" spans="1:7" x14ac:dyDescent="0.4">
      <c r="A3002" t="str">
        <f t="shared" si="230"/>
        <v/>
      </c>
      <c r="B3002" t="str">
        <f t="shared" si="231"/>
        <v/>
      </c>
      <c r="C3002" t="str">
        <f t="shared" si="232"/>
        <v/>
      </c>
      <c r="D3002" t="str">
        <f>IF(E3002="","",IF(COUNTIF($E$2:E3002,E3002)&gt;1,"",SUMIFS(tbl_input[필요수량],tbl_input[집계키_지청],E3002)))</f>
        <v/>
      </c>
      <c r="E3002" t="str">
        <f>IFERROR(INDEX(tbl_input[집계키_지청],ROW()-1),"")</f>
        <v/>
      </c>
      <c r="F3002" t="str">
        <f t="shared" si="233"/>
        <v/>
      </c>
      <c r="G3002" t="str">
        <f t="shared" si="234"/>
        <v/>
      </c>
    </row>
    <row r="3003" spans="1:7" x14ac:dyDescent="0.4">
      <c r="A3003" t="str">
        <f t="shared" si="230"/>
        <v/>
      </c>
      <c r="B3003" t="str">
        <f t="shared" si="231"/>
        <v/>
      </c>
      <c r="C3003" t="str">
        <f t="shared" si="232"/>
        <v/>
      </c>
      <c r="D3003" t="str">
        <f>IF(E3003="","",IF(COUNTIF($E$2:E3003,E3003)&gt;1,"",SUMIFS(tbl_input[필요수량],tbl_input[집계키_지청],E3003)))</f>
        <v/>
      </c>
      <c r="E3003" t="str">
        <f>IFERROR(INDEX(tbl_input[집계키_지청],ROW()-1),"")</f>
        <v/>
      </c>
      <c r="F3003" t="str">
        <f t="shared" si="233"/>
        <v/>
      </c>
      <c r="G3003" t="str">
        <f t="shared" si="234"/>
        <v/>
      </c>
    </row>
    <row r="3004" spans="1:7" x14ac:dyDescent="0.4">
      <c r="A3004" t="str">
        <f t="shared" si="230"/>
        <v/>
      </c>
      <c r="B3004" t="str">
        <f t="shared" si="231"/>
        <v/>
      </c>
      <c r="C3004" t="str">
        <f t="shared" si="232"/>
        <v/>
      </c>
      <c r="D3004" t="str">
        <f>IF(E3004="","",IF(COUNTIF($E$2:E3004,E3004)&gt;1,"",SUMIFS(tbl_input[필요수량],tbl_input[집계키_지청],E3004)))</f>
        <v/>
      </c>
      <c r="E3004" t="str">
        <f>IFERROR(INDEX(tbl_input[집계키_지청],ROW()-1),"")</f>
        <v/>
      </c>
      <c r="F3004" t="str">
        <f t="shared" si="233"/>
        <v/>
      </c>
      <c r="G3004" t="str">
        <f t="shared" si="234"/>
        <v/>
      </c>
    </row>
    <row r="3005" spans="1:7" x14ac:dyDescent="0.4">
      <c r="A3005" t="str">
        <f t="shared" si="230"/>
        <v/>
      </c>
      <c r="B3005" t="str">
        <f t="shared" si="231"/>
        <v/>
      </c>
      <c r="C3005" t="str">
        <f t="shared" si="232"/>
        <v/>
      </c>
      <c r="D3005" t="str">
        <f>IF(E3005="","",IF(COUNTIF($E$2:E3005,E3005)&gt;1,"",SUMIFS(tbl_input[필요수량],tbl_input[집계키_지청],E3005)))</f>
        <v/>
      </c>
      <c r="E3005" t="str">
        <f>IFERROR(INDEX(tbl_input[집계키_지청],ROW()-1),"")</f>
        <v/>
      </c>
      <c r="F3005" t="str">
        <f t="shared" si="233"/>
        <v/>
      </c>
      <c r="G3005" t="str">
        <f t="shared" si="234"/>
        <v/>
      </c>
    </row>
    <row r="3006" spans="1:7" x14ac:dyDescent="0.4">
      <c r="A3006" t="str">
        <f t="shared" si="230"/>
        <v/>
      </c>
      <c r="B3006" t="str">
        <f t="shared" si="231"/>
        <v/>
      </c>
      <c r="C3006" t="str">
        <f t="shared" si="232"/>
        <v/>
      </c>
      <c r="D3006" t="str">
        <f>IF(E3006="","",IF(COUNTIF($E$2:E3006,E3006)&gt;1,"",SUMIFS(tbl_input[필요수량],tbl_input[집계키_지청],E3006)))</f>
        <v/>
      </c>
      <c r="E3006" t="str">
        <f>IFERROR(INDEX(tbl_input[집계키_지청],ROW()-1),"")</f>
        <v/>
      </c>
      <c r="F3006" t="str">
        <f t="shared" si="233"/>
        <v/>
      </c>
      <c r="G3006" t="str">
        <f t="shared" si="234"/>
        <v/>
      </c>
    </row>
    <row r="3007" spans="1:7" x14ac:dyDescent="0.4">
      <c r="A3007" t="str">
        <f t="shared" si="230"/>
        <v/>
      </c>
      <c r="B3007" t="str">
        <f t="shared" si="231"/>
        <v/>
      </c>
      <c r="C3007" t="str">
        <f t="shared" si="232"/>
        <v/>
      </c>
      <c r="D3007" t="str">
        <f>IF(E3007="","",IF(COUNTIF($E$2:E3007,E3007)&gt;1,"",SUMIFS(tbl_input[필요수량],tbl_input[집계키_지청],E3007)))</f>
        <v/>
      </c>
      <c r="E3007" t="str">
        <f>IFERROR(INDEX(tbl_input[집계키_지청],ROW()-1),"")</f>
        <v/>
      </c>
      <c r="F3007" t="str">
        <f t="shared" si="233"/>
        <v/>
      </c>
      <c r="G3007" t="str">
        <f t="shared" si="234"/>
        <v/>
      </c>
    </row>
    <row r="3008" spans="1:7" x14ac:dyDescent="0.4">
      <c r="A3008" t="str">
        <f t="shared" si="230"/>
        <v/>
      </c>
      <c r="B3008" t="str">
        <f t="shared" si="231"/>
        <v/>
      </c>
      <c r="C3008" t="str">
        <f t="shared" si="232"/>
        <v/>
      </c>
      <c r="D3008" t="str">
        <f>IF(E3008="","",IF(COUNTIF($E$2:E3008,E3008)&gt;1,"",SUMIFS(tbl_input[필요수량],tbl_input[집계키_지청],E3008)))</f>
        <v/>
      </c>
      <c r="E3008" t="str">
        <f>IFERROR(INDEX(tbl_input[집계키_지청],ROW()-1),"")</f>
        <v/>
      </c>
      <c r="F3008" t="str">
        <f t="shared" si="233"/>
        <v/>
      </c>
      <c r="G3008" t="str">
        <f t="shared" si="234"/>
        <v/>
      </c>
    </row>
    <row r="3009" spans="1:7" x14ac:dyDescent="0.4">
      <c r="A3009" t="str">
        <f t="shared" si="230"/>
        <v/>
      </c>
      <c r="B3009" t="str">
        <f t="shared" si="231"/>
        <v/>
      </c>
      <c r="C3009" t="str">
        <f t="shared" si="232"/>
        <v/>
      </c>
      <c r="D3009" t="str">
        <f>IF(E3009="","",IF(COUNTIF($E$2:E3009,E3009)&gt;1,"",SUMIFS(tbl_input[필요수량],tbl_input[집계키_지청],E3009)))</f>
        <v/>
      </c>
      <c r="E3009" t="str">
        <f>IFERROR(INDEX(tbl_input[집계키_지청],ROW()-1),"")</f>
        <v/>
      </c>
      <c r="F3009" t="str">
        <f t="shared" si="233"/>
        <v/>
      </c>
      <c r="G3009" t="str">
        <f t="shared" si="234"/>
        <v/>
      </c>
    </row>
    <row r="3010" spans="1:7" x14ac:dyDescent="0.4">
      <c r="A3010" t="str">
        <f t="shared" ref="A3010:A3073" si="235">IF(E3010="","",LEFT(E3010,F3010-1))</f>
        <v/>
      </c>
      <c r="B3010" t="str">
        <f t="shared" ref="B3010:B3073" si="236">IF(E3010="","",MID(E3010,F3010+1,G3010-F3010-1))</f>
        <v/>
      </c>
      <c r="C3010" t="str">
        <f t="shared" ref="C3010:C3073" si="237">IF(E3010="","",MID(E3010,G3010+1,999))</f>
        <v/>
      </c>
      <c r="D3010" t="str">
        <f>IF(E3010="","",IF(COUNTIF($E$2:E3010,E3010)&gt;1,"",SUMIFS(tbl_input[필요수량],tbl_input[집계키_지청],E3010)))</f>
        <v/>
      </c>
      <c r="E3010" t="str">
        <f>IFERROR(INDEX(tbl_input[집계키_지청],ROW()-1),"")</f>
        <v/>
      </c>
      <c r="F3010" t="str">
        <f t="shared" ref="F3010:F3073" si="238">IF(E3010="","",FIND("♦",E3010))</f>
        <v/>
      </c>
      <c r="G3010" t="str">
        <f t="shared" ref="G3010:G3073" si="239">IF(E3010="","",FIND("♦",E3010,F3010+1))</f>
        <v/>
      </c>
    </row>
    <row r="3011" spans="1:7" x14ac:dyDescent="0.4">
      <c r="A3011" t="str">
        <f t="shared" si="235"/>
        <v/>
      </c>
      <c r="B3011" t="str">
        <f t="shared" si="236"/>
        <v/>
      </c>
      <c r="C3011" t="str">
        <f t="shared" si="237"/>
        <v/>
      </c>
      <c r="D3011" t="str">
        <f>IF(E3011="","",IF(COUNTIF($E$2:E3011,E3011)&gt;1,"",SUMIFS(tbl_input[필요수량],tbl_input[집계키_지청],E3011)))</f>
        <v/>
      </c>
      <c r="E3011" t="str">
        <f>IFERROR(INDEX(tbl_input[집계키_지청],ROW()-1),"")</f>
        <v/>
      </c>
      <c r="F3011" t="str">
        <f t="shared" si="238"/>
        <v/>
      </c>
      <c r="G3011" t="str">
        <f t="shared" si="239"/>
        <v/>
      </c>
    </row>
    <row r="3012" spans="1:7" x14ac:dyDescent="0.4">
      <c r="A3012" t="str">
        <f t="shared" si="235"/>
        <v/>
      </c>
      <c r="B3012" t="str">
        <f t="shared" si="236"/>
        <v/>
      </c>
      <c r="C3012" t="str">
        <f t="shared" si="237"/>
        <v/>
      </c>
      <c r="D3012" t="str">
        <f>IF(E3012="","",IF(COUNTIF($E$2:E3012,E3012)&gt;1,"",SUMIFS(tbl_input[필요수량],tbl_input[집계키_지청],E3012)))</f>
        <v/>
      </c>
      <c r="E3012" t="str">
        <f>IFERROR(INDEX(tbl_input[집계키_지청],ROW()-1),"")</f>
        <v/>
      </c>
      <c r="F3012" t="str">
        <f t="shared" si="238"/>
        <v/>
      </c>
      <c r="G3012" t="str">
        <f t="shared" si="239"/>
        <v/>
      </c>
    </row>
    <row r="3013" spans="1:7" x14ac:dyDescent="0.4">
      <c r="A3013" t="str">
        <f t="shared" si="235"/>
        <v/>
      </c>
      <c r="B3013" t="str">
        <f t="shared" si="236"/>
        <v/>
      </c>
      <c r="C3013" t="str">
        <f t="shared" si="237"/>
        <v/>
      </c>
      <c r="D3013" t="str">
        <f>IF(E3013="","",IF(COUNTIF($E$2:E3013,E3013)&gt;1,"",SUMIFS(tbl_input[필요수량],tbl_input[집계키_지청],E3013)))</f>
        <v/>
      </c>
      <c r="E3013" t="str">
        <f>IFERROR(INDEX(tbl_input[집계키_지청],ROW()-1),"")</f>
        <v/>
      </c>
      <c r="F3013" t="str">
        <f t="shared" si="238"/>
        <v/>
      </c>
      <c r="G3013" t="str">
        <f t="shared" si="239"/>
        <v/>
      </c>
    </row>
    <row r="3014" spans="1:7" x14ac:dyDescent="0.4">
      <c r="A3014" t="str">
        <f t="shared" si="235"/>
        <v/>
      </c>
      <c r="B3014" t="str">
        <f t="shared" si="236"/>
        <v/>
      </c>
      <c r="C3014" t="str">
        <f t="shared" si="237"/>
        <v/>
      </c>
      <c r="D3014" t="str">
        <f>IF(E3014="","",IF(COUNTIF($E$2:E3014,E3014)&gt;1,"",SUMIFS(tbl_input[필요수량],tbl_input[집계키_지청],E3014)))</f>
        <v/>
      </c>
      <c r="E3014" t="str">
        <f>IFERROR(INDEX(tbl_input[집계키_지청],ROW()-1),"")</f>
        <v/>
      </c>
      <c r="F3014" t="str">
        <f t="shared" si="238"/>
        <v/>
      </c>
      <c r="G3014" t="str">
        <f t="shared" si="239"/>
        <v/>
      </c>
    </row>
    <row r="3015" spans="1:7" x14ac:dyDescent="0.4">
      <c r="A3015" t="str">
        <f t="shared" si="235"/>
        <v/>
      </c>
      <c r="B3015" t="str">
        <f t="shared" si="236"/>
        <v/>
      </c>
      <c r="C3015" t="str">
        <f t="shared" si="237"/>
        <v/>
      </c>
      <c r="D3015" t="str">
        <f>IF(E3015="","",IF(COUNTIF($E$2:E3015,E3015)&gt;1,"",SUMIFS(tbl_input[필요수량],tbl_input[집계키_지청],E3015)))</f>
        <v/>
      </c>
      <c r="E3015" t="str">
        <f>IFERROR(INDEX(tbl_input[집계키_지청],ROW()-1),"")</f>
        <v/>
      </c>
      <c r="F3015" t="str">
        <f t="shared" si="238"/>
        <v/>
      </c>
      <c r="G3015" t="str">
        <f t="shared" si="239"/>
        <v/>
      </c>
    </row>
    <row r="3016" spans="1:7" x14ac:dyDescent="0.4">
      <c r="A3016" t="str">
        <f t="shared" si="235"/>
        <v/>
      </c>
      <c r="B3016" t="str">
        <f t="shared" si="236"/>
        <v/>
      </c>
      <c r="C3016" t="str">
        <f t="shared" si="237"/>
        <v/>
      </c>
      <c r="D3016" t="str">
        <f>IF(E3016="","",IF(COUNTIF($E$2:E3016,E3016)&gt;1,"",SUMIFS(tbl_input[필요수량],tbl_input[집계키_지청],E3016)))</f>
        <v/>
      </c>
      <c r="E3016" t="str">
        <f>IFERROR(INDEX(tbl_input[집계키_지청],ROW()-1),"")</f>
        <v/>
      </c>
      <c r="F3016" t="str">
        <f t="shared" si="238"/>
        <v/>
      </c>
      <c r="G3016" t="str">
        <f t="shared" si="239"/>
        <v/>
      </c>
    </row>
    <row r="3017" spans="1:7" x14ac:dyDescent="0.4">
      <c r="A3017" t="str">
        <f t="shared" si="235"/>
        <v/>
      </c>
      <c r="B3017" t="str">
        <f t="shared" si="236"/>
        <v/>
      </c>
      <c r="C3017" t="str">
        <f t="shared" si="237"/>
        <v/>
      </c>
      <c r="D3017" t="str">
        <f>IF(E3017="","",IF(COUNTIF($E$2:E3017,E3017)&gt;1,"",SUMIFS(tbl_input[필요수량],tbl_input[집계키_지청],E3017)))</f>
        <v/>
      </c>
      <c r="E3017" t="str">
        <f>IFERROR(INDEX(tbl_input[집계키_지청],ROW()-1),"")</f>
        <v/>
      </c>
      <c r="F3017" t="str">
        <f t="shared" si="238"/>
        <v/>
      </c>
      <c r="G3017" t="str">
        <f t="shared" si="239"/>
        <v/>
      </c>
    </row>
    <row r="3018" spans="1:7" x14ac:dyDescent="0.4">
      <c r="A3018" t="str">
        <f t="shared" si="235"/>
        <v/>
      </c>
      <c r="B3018" t="str">
        <f t="shared" si="236"/>
        <v/>
      </c>
      <c r="C3018" t="str">
        <f t="shared" si="237"/>
        <v/>
      </c>
      <c r="D3018" t="str">
        <f>IF(E3018="","",IF(COUNTIF($E$2:E3018,E3018)&gt;1,"",SUMIFS(tbl_input[필요수량],tbl_input[집계키_지청],E3018)))</f>
        <v/>
      </c>
      <c r="E3018" t="str">
        <f>IFERROR(INDEX(tbl_input[집계키_지청],ROW()-1),"")</f>
        <v/>
      </c>
      <c r="F3018" t="str">
        <f t="shared" si="238"/>
        <v/>
      </c>
      <c r="G3018" t="str">
        <f t="shared" si="239"/>
        <v/>
      </c>
    </row>
    <row r="3019" spans="1:7" x14ac:dyDescent="0.4">
      <c r="A3019" t="str">
        <f t="shared" si="235"/>
        <v/>
      </c>
      <c r="B3019" t="str">
        <f t="shared" si="236"/>
        <v/>
      </c>
      <c r="C3019" t="str">
        <f t="shared" si="237"/>
        <v/>
      </c>
      <c r="D3019" t="str">
        <f>IF(E3019="","",IF(COUNTIF($E$2:E3019,E3019)&gt;1,"",SUMIFS(tbl_input[필요수량],tbl_input[집계키_지청],E3019)))</f>
        <v/>
      </c>
      <c r="E3019" t="str">
        <f>IFERROR(INDEX(tbl_input[집계키_지청],ROW()-1),"")</f>
        <v/>
      </c>
      <c r="F3019" t="str">
        <f t="shared" si="238"/>
        <v/>
      </c>
      <c r="G3019" t="str">
        <f t="shared" si="239"/>
        <v/>
      </c>
    </row>
    <row r="3020" spans="1:7" x14ac:dyDescent="0.4">
      <c r="A3020" t="str">
        <f t="shared" si="235"/>
        <v/>
      </c>
      <c r="B3020" t="str">
        <f t="shared" si="236"/>
        <v/>
      </c>
      <c r="C3020" t="str">
        <f t="shared" si="237"/>
        <v/>
      </c>
      <c r="D3020" t="str">
        <f>IF(E3020="","",IF(COUNTIF($E$2:E3020,E3020)&gt;1,"",SUMIFS(tbl_input[필요수량],tbl_input[집계키_지청],E3020)))</f>
        <v/>
      </c>
      <c r="E3020" t="str">
        <f>IFERROR(INDEX(tbl_input[집계키_지청],ROW()-1),"")</f>
        <v/>
      </c>
      <c r="F3020" t="str">
        <f t="shared" si="238"/>
        <v/>
      </c>
      <c r="G3020" t="str">
        <f t="shared" si="239"/>
        <v/>
      </c>
    </row>
    <row r="3021" spans="1:7" x14ac:dyDescent="0.4">
      <c r="A3021" t="str">
        <f t="shared" si="235"/>
        <v/>
      </c>
      <c r="B3021" t="str">
        <f t="shared" si="236"/>
        <v/>
      </c>
      <c r="C3021" t="str">
        <f t="shared" si="237"/>
        <v/>
      </c>
      <c r="D3021" t="str">
        <f>IF(E3021="","",IF(COUNTIF($E$2:E3021,E3021)&gt;1,"",SUMIFS(tbl_input[필요수량],tbl_input[집계키_지청],E3021)))</f>
        <v/>
      </c>
      <c r="E3021" t="str">
        <f>IFERROR(INDEX(tbl_input[집계키_지청],ROW()-1),"")</f>
        <v/>
      </c>
      <c r="F3021" t="str">
        <f t="shared" si="238"/>
        <v/>
      </c>
      <c r="G3021" t="str">
        <f t="shared" si="239"/>
        <v/>
      </c>
    </row>
    <row r="3022" spans="1:7" x14ac:dyDescent="0.4">
      <c r="A3022" t="str">
        <f t="shared" si="235"/>
        <v/>
      </c>
      <c r="B3022" t="str">
        <f t="shared" si="236"/>
        <v/>
      </c>
      <c r="C3022" t="str">
        <f t="shared" si="237"/>
        <v/>
      </c>
      <c r="D3022" t="str">
        <f>IF(E3022="","",IF(COUNTIF($E$2:E3022,E3022)&gt;1,"",SUMIFS(tbl_input[필요수량],tbl_input[집계키_지청],E3022)))</f>
        <v/>
      </c>
      <c r="E3022" t="str">
        <f>IFERROR(INDEX(tbl_input[집계키_지청],ROW()-1),"")</f>
        <v/>
      </c>
      <c r="F3022" t="str">
        <f t="shared" si="238"/>
        <v/>
      </c>
      <c r="G3022" t="str">
        <f t="shared" si="239"/>
        <v/>
      </c>
    </row>
    <row r="3023" spans="1:7" x14ac:dyDescent="0.4">
      <c r="A3023" t="str">
        <f t="shared" si="235"/>
        <v/>
      </c>
      <c r="B3023" t="str">
        <f t="shared" si="236"/>
        <v/>
      </c>
      <c r="C3023" t="str">
        <f t="shared" si="237"/>
        <v/>
      </c>
      <c r="D3023" t="str">
        <f>IF(E3023="","",IF(COUNTIF($E$2:E3023,E3023)&gt;1,"",SUMIFS(tbl_input[필요수량],tbl_input[집계키_지청],E3023)))</f>
        <v/>
      </c>
      <c r="E3023" t="str">
        <f>IFERROR(INDEX(tbl_input[집계키_지청],ROW()-1),"")</f>
        <v/>
      </c>
      <c r="F3023" t="str">
        <f t="shared" si="238"/>
        <v/>
      </c>
      <c r="G3023" t="str">
        <f t="shared" si="239"/>
        <v/>
      </c>
    </row>
    <row r="3024" spans="1:7" x14ac:dyDescent="0.4">
      <c r="A3024" t="str">
        <f t="shared" si="235"/>
        <v/>
      </c>
      <c r="B3024" t="str">
        <f t="shared" si="236"/>
        <v/>
      </c>
      <c r="C3024" t="str">
        <f t="shared" si="237"/>
        <v/>
      </c>
      <c r="D3024" t="str">
        <f>IF(E3024="","",IF(COUNTIF($E$2:E3024,E3024)&gt;1,"",SUMIFS(tbl_input[필요수량],tbl_input[집계키_지청],E3024)))</f>
        <v/>
      </c>
      <c r="E3024" t="str">
        <f>IFERROR(INDEX(tbl_input[집계키_지청],ROW()-1),"")</f>
        <v/>
      </c>
      <c r="F3024" t="str">
        <f t="shared" si="238"/>
        <v/>
      </c>
      <c r="G3024" t="str">
        <f t="shared" si="239"/>
        <v/>
      </c>
    </row>
    <row r="3025" spans="1:7" x14ac:dyDescent="0.4">
      <c r="A3025" t="str">
        <f t="shared" si="235"/>
        <v/>
      </c>
      <c r="B3025" t="str">
        <f t="shared" si="236"/>
        <v/>
      </c>
      <c r="C3025" t="str">
        <f t="shared" si="237"/>
        <v/>
      </c>
      <c r="D3025" t="str">
        <f>IF(E3025="","",IF(COUNTIF($E$2:E3025,E3025)&gt;1,"",SUMIFS(tbl_input[필요수량],tbl_input[집계키_지청],E3025)))</f>
        <v/>
      </c>
      <c r="E3025" t="str">
        <f>IFERROR(INDEX(tbl_input[집계키_지청],ROW()-1),"")</f>
        <v/>
      </c>
      <c r="F3025" t="str">
        <f t="shared" si="238"/>
        <v/>
      </c>
      <c r="G3025" t="str">
        <f t="shared" si="239"/>
        <v/>
      </c>
    </row>
    <row r="3026" spans="1:7" x14ac:dyDescent="0.4">
      <c r="A3026" t="str">
        <f t="shared" si="235"/>
        <v/>
      </c>
      <c r="B3026" t="str">
        <f t="shared" si="236"/>
        <v/>
      </c>
      <c r="C3026" t="str">
        <f t="shared" si="237"/>
        <v/>
      </c>
      <c r="D3026" t="str">
        <f>IF(E3026="","",IF(COUNTIF($E$2:E3026,E3026)&gt;1,"",SUMIFS(tbl_input[필요수량],tbl_input[집계키_지청],E3026)))</f>
        <v/>
      </c>
      <c r="E3026" t="str">
        <f>IFERROR(INDEX(tbl_input[집계키_지청],ROW()-1),"")</f>
        <v/>
      </c>
      <c r="F3026" t="str">
        <f t="shared" si="238"/>
        <v/>
      </c>
      <c r="G3026" t="str">
        <f t="shared" si="239"/>
        <v/>
      </c>
    </row>
    <row r="3027" spans="1:7" x14ac:dyDescent="0.4">
      <c r="A3027" t="str">
        <f t="shared" si="235"/>
        <v/>
      </c>
      <c r="B3027" t="str">
        <f t="shared" si="236"/>
        <v/>
      </c>
      <c r="C3027" t="str">
        <f t="shared" si="237"/>
        <v/>
      </c>
      <c r="D3027" t="str">
        <f>IF(E3027="","",IF(COUNTIF($E$2:E3027,E3027)&gt;1,"",SUMIFS(tbl_input[필요수량],tbl_input[집계키_지청],E3027)))</f>
        <v/>
      </c>
      <c r="E3027" t="str">
        <f>IFERROR(INDEX(tbl_input[집계키_지청],ROW()-1),"")</f>
        <v/>
      </c>
      <c r="F3027" t="str">
        <f t="shared" si="238"/>
        <v/>
      </c>
      <c r="G3027" t="str">
        <f t="shared" si="239"/>
        <v/>
      </c>
    </row>
    <row r="3028" spans="1:7" x14ac:dyDescent="0.4">
      <c r="A3028" t="str">
        <f t="shared" si="235"/>
        <v/>
      </c>
      <c r="B3028" t="str">
        <f t="shared" si="236"/>
        <v/>
      </c>
      <c r="C3028" t="str">
        <f t="shared" si="237"/>
        <v/>
      </c>
      <c r="D3028" t="str">
        <f>IF(E3028="","",IF(COUNTIF($E$2:E3028,E3028)&gt;1,"",SUMIFS(tbl_input[필요수량],tbl_input[집계키_지청],E3028)))</f>
        <v/>
      </c>
      <c r="E3028" t="str">
        <f>IFERROR(INDEX(tbl_input[집계키_지청],ROW()-1),"")</f>
        <v/>
      </c>
      <c r="F3028" t="str">
        <f t="shared" si="238"/>
        <v/>
      </c>
      <c r="G3028" t="str">
        <f t="shared" si="239"/>
        <v/>
      </c>
    </row>
    <row r="3029" spans="1:7" x14ac:dyDescent="0.4">
      <c r="A3029" t="str">
        <f t="shared" si="235"/>
        <v/>
      </c>
      <c r="B3029" t="str">
        <f t="shared" si="236"/>
        <v/>
      </c>
      <c r="C3029" t="str">
        <f t="shared" si="237"/>
        <v/>
      </c>
      <c r="D3029" t="str">
        <f>IF(E3029="","",IF(COUNTIF($E$2:E3029,E3029)&gt;1,"",SUMIFS(tbl_input[필요수량],tbl_input[집계키_지청],E3029)))</f>
        <v/>
      </c>
      <c r="E3029" t="str">
        <f>IFERROR(INDEX(tbl_input[집계키_지청],ROW()-1),"")</f>
        <v/>
      </c>
      <c r="F3029" t="str">
        <f t="shared" si="238"/>
        <v/>
      </c>
      <c r="G3029" t="str">
        <f t="shared" si="239"/>
        <v/>
      </c>
    </row>
    <row r="3030" spans="1:7" x14ac:dyDescent="0.4">
      <c r="A3030" t="str">
        <f t="shared" si="235"/>
        <v/>
      </c>
      <c r="B3030" t="str">
        <f t="shared" si="236"/>
        <v/>
      </c>
      <c r="C3030" t="str">
        <f t="shared" si="237"/>
        <v/>
      </c>
      <c r="D3030" t="str">
        <f>IF(E3030="","",IF(COUNTIF($E$2:E3030,E3030)&gt;1,"",SUMIFS(tbl_input[필요수량],tbl_input[집계키_지청],E3030)))</f>
        <v/>
      </c>
      <c r="E3030" t="str">
        <f>IFERROR(INDEX(tbl_input[집계키_지청],ROW()-1),"")</f>
        <v/>
      </c>
      <c r="F3030" t="str">
        <f t="shared" si="238"/>
        <v/>
      </c>
      <c r="G3030" t="str">
        <f t="shared" si="239"/>
        <v/>
      </c>
    </row>
    <row r="3031" spans="1:7" x14ac:dyDescent="0.4">
      <c r="A3031" t="str">
        <f t="shared" si="235"/>
        <v/>
      </c>
      <c r="B3031" t="str">
        <f t="shared" si="236"/>
        <v/>
      </c>
      <c r="C3031" t="str">
        <f t="shared" si="237"/>
        <v/>
      </c>
      <c r="D3031" t="str">
        <f>IF(E3031="","",IF(COUNTIF($E$2:E3031,E3031)&gt;1,"",SUMIFS(tbl_input[필요수량],tbl_input[집계키_지청],E3031)))</f>
        <v/>
      </c>
      <c r="E3031" t="str">
        <f>IFERROR(INDEX(tbl_input[집계키_지청],ROW()-1),"")</f>
        <v/>
      </c>
      <c r="F3031" t="str">
        <f t="shared" si="238"/>
        <v/>
      </c>
      <c r="G3031" t="str">
        <f t="shared" si="239"/>
        <v/>
      </c>
    </row>
    <row r="3032" spans="1:7" x14ac:dyDescent="0.4">
      <c r="A3032" t="str">
        <f t="shared" si="235"/>
        <v/>
      </c>
      <c r="B3032" t="str">
        <f t="shared" si="236"/>
        <v/>
      </c>
      <c r="C3032" t="str">
        <f t="shared" si="237"/>
        <v/>
      </c>
      <c r="D3032" t="str">
        <f>IF(E3032="","",IF(COUNTIF($E$2:E3032,E3032)&gt;1,"",SUMIFS(tbl_input[필요수량],tbl_input[집계키_지청],E3032)))</f>
        <v/>
      </c>
      <c r="E3032" t="str">
        <f>IFERROR(INDEX(tbl_input[집계키_지청],ROW()-1),"")</f>
        <v/>
      </c>
      <c r="F3032" t="str">
        <f t="shared" si="238"/>
        <v/>
      </c>
      <c r="G3032" t="str">
        <f t="shared" si="239"/>
        <v/>
      </c>
    </row>
    <row r="3033" spans="1:7" x14ac:dyDescent="0.4">
      <c r="A3033" t="str">
        <f t="shared" si="235"/>
        <v/>
      </c>
      <c r="B3033" t="str">
        <f t="shared" si="236"/>
        <v/>
      </c>
      <c r="C3033" t="str">
        <f t="shared" si="237"/>
        <v/>
      </c>
      <c r="D3033" t="str">
        <f>IF(E3033="","",IF(COUNTIF($E$2:E3033,E3033)&gt;1,"",SUMIFS(tbl_input[필요수량],tbl_input[집계키_지청],E3033)))</f>
        <v/>
      </c>
      <c r="E3033" t="str">
        <f>IFERROR(INDEX(tbl_input[집계키_지청],ROW()-1),"")</f>
        <v/>
      </c>
      <c r="F3033" t="str">
        <f t="shared" si="238"/>
        <v/>
      </c>
      <c r="G3033" t="str">
        <f t="shared" si="239"/>
        <v/>
      </c>
    </row>
    <row r="3034" spans="1:7" x14ac:dyDescent="0.4">
      <c r="A3034" t="str">
        <f t="shared" si="235"/>
        <v/>
      </c>
      <c r="B3034" t="str">
        <f t="shared" si="236"/>
        <v/>
      </c>
      <c r="C3034" t="str">
        <f t="shared" si="237"/>
        <v/>
      </c>
      <c r="D3034" t="str">
        <f>IF(E3034="","",IF(COUNTIF($E$2:E3034,E3034)&gt;1,"",SUMIFS(tbl_input[필요수량],tbl_input[집계키_지청],E3034)))</f>
        <v/>
      </c>
      <c r="E3034" t="str">
        <f>IFERROR(INDEX(tbl_input[집계키_지청],ROW()-1),"")</f>
        <v/>
      </c>
      <c r="F3034" t="str">
        <f t="shared" si="238"/>
        <v/>
      </c>
      <c r="G3034" t="str">
        <f t="shared" si="239"/>
        <v/>
      </c>
    </row>
    <row r="3035" spans="1:7" x14ac:dyDescent="0.4">
      <c r="A3035" t="str">
        <f t="shared" si="235"/>
        <v/>
      </c>
      <c r="B3035" t="str">
        <f t="shared" si="236"/>
        <v/>
      </c>
      <c r="C3035" t="str">
        <f t="shared" si="237"/>
        <v/>
      </c>
      <c r="D3035" t="str">
        <f>IF(E3035="","",IF(COUNTIF($E$2:E3035,E3035)&gt;1,"",SUMIFS(tbl_input[필요수량],tbl_input[집계키_지청],E3035)))</f>
        <v/>
      </c>
      <c r="E3035" t="str">
        <f>IFERROR(INDEX(tbl_input[집계키_지청],ROW()-1),"")</f>
        <v/>
      </c>
      <c r="F3035" t="str">
        <f t="shared" si="238"/>
        <v/>
      </c>
      <c r="G3035" t="str">
        <f t="shared" si="239"/>
        <v/>
      </c>
    </row>
    <row r="3036" spans="1:7" x14ac:dyDescent="0.4">
      <c r="A3036" t="str">
        <f t="shared" si="235"/>
        <v/>
      </c>
      <c r="B3036" t="str">
        <f t="shared" si="236"/>
        <v/>
      </c>
      <c r="C3036" t="str">
        <f t="shared" si="237"/>
        <v/>
      </c>
      <c r="D3036" t="str">
        <f>IF(E3036="","",IF(COUNTIF($E$2:E3036,E3036)&gt;1,"",SUMIFS(tbl_input[필요수량],tbl_input[집계키_지청],E3036)))</f>
        <v/>
      </c>
      <c r="E3036" t="str">
        <f>IFERROR(INDEX(tbl_input[집계키_지청],ROW()-1),"")</f>
        <v/>
      </c>
      <c r="F3036" t="str">
        <f t="shared" si="238"/>
        <v/>
      </c>
      <c r="G3036" t="str">
        <f t="shared" si="239"/>
        <v/>
      </c>
    </row>
    <row r="3037" spans="1:7" x14ac:dyDescent="0.4">
      <c r="A3037" t="str">
        <f t="shared" si="235"/>
        <v/>
      </c>
      <c r="B3037" t="str">
        <f t="shared" si="236"/>
        <v/>
      </c>
      <c r="C3037" t="str">
        <f t="shared" si="237"/>
        <v/>
      </c>
      <c r="D3037" t="str">
        <f>IF(E3037="","",IF(COUNTIF($E$2:E3037,E3037)&gt;1,"",SUMIFS(tbl_input[필요수량],tbl_input[집계키_지청],E3037)))</f>
        <v/>
      </c>
      <c r="E3037" t="str">
        <f>IFERROR(INDEX(tbl_input[집계키_지청],ROW()-1),"")</f>
        <v/>
      </c>
      <c r="F3037" t="str">
        <f t="shared" si="238"/>
        <v/>
      </c>
      <c r="G3037" t="str">
        <f t="shared" si="239"/>
        <v/>
      </c>
    </row>
    <row r="3038" spans="1:7" x14ac:dyDescent="0.4">
      <c r="A3038" t="str">
        <f t="shared" si="235"/>
        <v/>
      </c>
      <c r="B3038" t="str">
        <f t="shared" si="236"/>
        <v/>
      </c>
      <c r="C3038" t="str">
        <f t="shared" si="237"/>
        <v/>
      </c>
      <c r="D3038" t="str">
        <f>IF(E3038="","",IF(COUNTIF($E$2:E3038,E3038)&gt;1,"",SUMIFS(tbl_input[필요수량],tbl_input[집계키_지청],E3038)))</f>
        <v/>
      </c>
      <c r="E3038" t="str">
        <f>IFERROR(INDEX(tbl_input[집계키_지청],ROW()-1),"")</f>
        <v/>
      </c>
      <c r="F3038" t="str">
        <f t="shared" si="238"/>
        <v/>
      </c>
      <c r="G3038" t="str">
        <f t="shared" si="239"/>
        <v/>
      </c>
    </row>
    <row r="3039" spans="1:7" x14ac:dyDescent="0.4">
      <c r="A3039" t="str">
        <f t="shared" si="235"/>
        <v/>
      </c>
      <c r="B3039" t="str">
        <f t="shared" si="236"/>
        <v/>
      </c>
      <c r="C3039" t="str">
        <f t="shared" si="237"/>
        <v/>
      </c>
      <c r="D3039" t="str">
        <f>IF(E3039="","",IF(COUNTIF($E$2:E3039,E3039)&gt;1,"",SUMIFS(tbl_input[필요수량],tbl_input[집계키_지청],E3039)))</f>
        <v/>
      </c>
      <c r="E3039" t="str">
        <f>IFERROR(INDEX(tbl_input[집계키_지청],ROW()-1),"")</f>
        <v/>
      </c>
      <c r="F3039" t="str">
        <f t="shared" si="238"/>
        <v/>
      </c>
      <c r="G3039" t="str">
        <f t="shared" si="239"/>
        <v/>
      </c>
    </row>
    <row r="3040" spans="1:7" x14ac:dyDescent="0.4">
      <c r="A3040" t="str">
        <f t="shared" si="235"/>
        <v/>
      </c>
      <c r="B3040" t="str">
        <f t="shared" si="236"/>
        <v/>
      </c>
      <c r="C3040" t="str">
        <f t="shared" si="237"/>
        <v/>
      </c>
      <c r="D3040" t="str">
        <f>IF(E3040="","",IF(COUNTIF($E$2:E3040,E3040)&gt;1,"",SUMIFS(tbl_input[필요수량],tbl_input[집계키_지청],E3040)))</f>
        <v/>
      </c>
      <c r="E3040" t="str">
        <f>IFERROR(INDEX(tbl_input[집계키_지청],ROW()-1),"")</f>
        <v/>
      </c>
      <c r="F3040" t="str">
        <f t="shared" si="238"/>
        <v/>
      </c>
      <c r="G3040" t="str">
        <f t="shared" si="239"/>
        <v/>
      </c>
    </row>
    <row r="3041" spans="1:7" x14ac:dyDescent="0.4">
      <c r="A3041" t="str">
        <f t="shared" si="235"/>
        <v/>
      </c>
      <c r="B3041" t="str">
        <f t="shared" si="236"/>
        <v/>
      </c>
      <c r="C3041" t="str">
        <f t="shared" si="237"/>
        <v/>
      </c>
      <c r="D3041" t="str">
        <f>IF(E3041="","",IF(COUNTIF($E$2:E3041,E3041)&gt;1,"",SUMIFS(tbl_input[필요수량],tbl_input[집계키_지청],E3041)))</f>
        <v/>
      </c>
      <c r="E3041" t="str">
        <f>IFERROR(INDEX(tbl_input[집계키_지청],ROW()-1),"")</f>
        <v/>
      </c>
      <c r="F3041" t="str">
        <f t="shared" si="238"/>
        <v/>
      </c>
      <c r="G3041" t="str">
        <f t="shared" si="239"/>
        <v/>
      </c>
    </row>
    <row r="3042" spans="1:7" x14ac:dyDescent="0.4">
      <c r="A3042" t="str">
        <f t="shared" si="235"/>
        <v/>
      </c>
      <c r="B3042" t="str">
        <f t="shared" si="236"/>
        <v/>
      </c>
      <c r="C3042" t="str">
        <f t="shared" si="237"/>
        <v/>
      </c>
      <c r="D3042" t="str">
        <f>IF(E3042="","",IF(COUNTIF($E$2:E3042,E3042)&gt;1,"",SUMIFS(tbl_input[필요수량],tbl_input[집계키_지청],E3042)))</f>
        <v/>
      </c>
      <c r="E3042" t="str">
        <f>IFERROR(INDEX(tbl_input[집계키_지청],ROW()-1),"")</f>
        <v/>
      </c>
      <c r="F3042" t="str">
        <f t="shared" si="238"/>
        <v/>
      </c>
      <c r="G3042" t="str">
        <f t="shared" si="239"/>
        <v/>
      </c>
    </row>
    <row r="3043" spans="1:7" x14ac:dyDescent="0.4">
      <c r="A3043" t="str">
        <f t="shared" si="235"/>
        <v/>
      </c>
      <c r="B3043" t="str">
        <f t="shared" si="236"/>
        <v/>
      </c>
      <c r="C3043" t="str">
        <f t="shared" si="237"/>
        <v/>
      </c>
      <c r="D3043" t="str">
        <f>IF(E3043="","",IF(COUNTIF($E$2:E3043,E3043)&gt;1,"",SUMIFS(tbl_input[필요수량],tbl_input[집계키_지청],E3043)))</f>
        <v/>
      </c>
      <c r="E3043" t="str">
        <f>IFERROR(INDEX(tbl_input[집계키_지청],ROW()-1),"")</f>
        <v/>
      </c>
      <c r="F3043" t="str">
        <f t="shared" si="238"/>
        <v/>
      </c>
      <c r="G3043" t="str">
        <f t="shared" si="239"/>
        <v/>
      </c>
    </row>
    <row r="3044" spans="1:7" x14ac:dyDescent="0.4">
      <c r="A3044" t="str">
        <f t="shared" si="235"/>
        <v/>
      </c>
      <c r="B3044" t="str">
        <f t="shared" si="236"/>
        <v/>
      </c>
      <c r="C3044" t="str">
        <f t="shared" si="237"/>
        <v/>
      </c>
      <c r="D3044" t="str">
        <f>IF(E3044="","",IF(COUNTIF($E$2:E3044,E3044)&gt;1,"",SUMIFS(tbl_input[필요수량],tbl_input[집계키_지청],E3044)))</f>
        <v/>
      </c>
      <c r="E3044" t="str">
        <f>IFERROR(INDEX(tbl_input[집계키_지청],ROW()-1),"")</f>
        <v/>
      </c>
      <c r="F3044" t="str">
        <f t="shared" si="238"/>
        <v/>
      </c>
      <c r="G3044" t="str">
        <f t="shared" si="239"/>
        <v/>
      </c>
    </row>
    <row r="3045" spans="1:7" x14ac:dyDescent="0.4">
      <c r="A3045" t="str">
        <f t="shared" si="235"/>
        <v/>
      </c>
      <c r="B3045" t="str">
        <f t="shared" si="236"/>
        <v/>
      </c>
      <c r="C3045" t="str">
        <f t="shared" si="237"/>
        <v/>
      </c>
      <c r="D3045" t="str">
        <f>IF(E3045="","",IF(COUNTIF($E$2:E3045,E3045)&gt;1,"",SUMIFS(tbl_input[필요수량],tbl_input[집계키_지청],E3045)))</f>
        <v/>
      </c>
      <c r="E3045" t="str">
        <f>IFERROR(INDEX(tbl_input[집계키_지청],ROW()-1),"")</f>
        <v/>
      </c>
      <c r="F3045" t="str">
        <f t="shared" si="238"/>
        <v/>
      </c>
      <c r="G3045" t="str">
        <f t="shared" si="239"/>
        <v/>
      </c>
    </row>
    <row r="3046" spans="1:7" x14ac:dyDescent="0.4">
      <c r="A3046" t="str">
        <f t="shared" si="235"/>
        <v/>
      </c>
      <c r="B3046" t="str">
        <f t="shared" si="236"/>
        <v/>
      </c>
      <c r="C3046" t="str">
        <f t="shared" si="237"/>
        <v/>
      </c>
      <c r="D3046" t="str">
        <f>IF(E3046="","",IF(COUNTIF($E$2:E3046,E3046)&gt;1,"",SUMIFS(tbl_input[필요수량],tbl_input[집계키_지청],E3046)))</f>
        <v/>
      </c>
      <c r="E3046" t="str">
        <f>IFERROR(INDEX(tbl_input[집계키_지청],ROW()-1),"")</f>
        <v/>
      </c>
      <c r="F3046" t="str">
        <f t="shared" si="238"/>
        <v/>
      </c>
      <c r="G3046" t="str">
        <f t="shared" si="239"/>
        <v/>
      </c>
    </row>
    <row r="3047" spans="1:7" x14ac:dyDescent="0.4">
      <c r="A3047" t="str">
        <f t="shared" si="235"/>
        <v/>
      </c>
      <c r="B3047" t="str">
        <f t="shared" si="236"/>
        <v/>
      </c>
      <c r="C3047" t="str">
        <f t="shared" si="237"/>
        <v/>
      </c>
      <c r="D3047" t="str">
        <f>IF(E3047="","",IF(COUNTIF($E$2:E3047,E3047)&gt;1,"",SUMIFS(tbl_input[필요수량],tbl_input[집계키_지청],E3047)))</f>
        <v/>
      </c>
      <c r="E3047" t="str">
        <f>IFERROR(INDEX(tbl_input[집계키_지청],ROW()-1),"")</f>
        <v/>
      </c>
      <c r="F3047" t="str">
        <f t="shared" si="238"/>
        <v/>
      </c>
      <c r="G3047" t="str">
        <f t="shared" si="239"/>
        <v/>
      </c>
    </row>
    <row r="3048" spans="1:7" x14ac:dyDescent="0.4">
      <c r="A3048" t="str">
        <f t="shared" si="235"/>
        <v/>
      </c>
      <c r="B3048" t="str">
        <f t="shared" si="236"/>
        <v/>
      </c>
      <c r="C3048" t="str">
        <f t="shared" si="237"/>
        <v/>
      </c>
      <c r="D3048" t="str">
        <f>IF(E3048="","",IF(COUNTIF($E$2:E3048,E3048)&gt;1,"",SUMIFS(tbl_input[필요수량],tbl_input[집계키_지청],E3048)))</f>
        <v/>
      </c>
      <c r="E3048" t="str">
        <f>IFERROR(INDEX(tbl_input[집계키_지청],ROW()-1),"")</f>
        <v/>
      </c>
      <c r="F3048" t="str">
        <f t="shared" si="238"/>
        <v/>
      </c>
      <c r="G3048" t="str">
        <f t="shared" si="239"/>
        <v/>
      </c>
    </row>
    <row r="3049" spans="1:7" x14ac:dyDescent="0.4">
      <c r="A3049" t="str">
        <f t="shared" si="235"/>
        <v/>
      </c>
      <c r="B3049" t="str">
        <f t="shared" si="236"/>
        <v/>
      </c>
      <c r="C3049" t="str">
        <f t="shared" si="237"/>
        <v/>
      </c>
      <c r="D3049" t="str">
        <f>IF(E3049="","",IF(COUNTIF($E$2:E3049,E3049)&gt;1,"",SUMIFS(tbl_input[필요수량],tbl_input[집계키_지청],E3049)))</f>
        <v/>
      </c>
      <c r="E3049" t="str">
        <f>IFERROR(INDEX(tbl_input[집계키_지청],ROW()-1),"")</f>
        <v/>
      </c>
      <c r="F3049" t="str">
        <f t="shared" si="238"/>
        <v/>
      </c>
      <c r="G3049" t="str">
        <f t="shared" si="239"/>
        <v/>
      </c>
    </row>
    <row r="3050" spans="1:7" x14ac:dyDescent="0.4">
      <c r="A3050" t="str">
        <f t="shared" si="235"/>
        <v/>
      </c>
      <c r="B3050" t="str">
        <f t="shared" si="236"/>
        <v/>
      </c>
      <c r="C3050" t="str">
        <f t="shared" si="237"/>
        <v/>
      </c>
      <c r="D3050" t="str">
        <f>IF(E3050="","",IF(COUNTIF($E$2:E3050,E3050)&gt;1,"",SUMIFS(tbl_input[필요수량],tbl_input[집계키_지청],E3050)))</f>
        <v/>
      </c>
      <c r="E3050" t="str">
        <f>IFERROR(INDEX(tbl_input[집계키_지청],ROW()-1),"")</f>
        <v/>
      </c>
      <c r="F3050" t="str">
        <f t="shared" si="238"/>
        <v/>
      </c>
      <c r="G3050" t="str">
        <f t="shared" si="239"/>
        <v/>
      </c>
    </row>
    <row r="3051" spans="1:7" x14ac:dyDescent="0.4">
      <c r="A3051" t="str">
        <f t="shared" si="235"/>
        <v/>
      </c>
      <c r="B3051" t="str">
        <f t="shared" si="236"/>
        <v/>
      </c>
      <c r="C3051" t="str">
        <f t="shared" si="237"/>
        <v/>
      </c>
      <c r="D3051" t="str">
        <f>IF(E3051="","",IF(COUNTIF($E$2:E3051,E3051)&gt;1,"",SUMIFS(tbl_input[필요수량],tbl_input[집계키_지청],E3051)))</f>
        <v/>
      </c>
      <c r="E3051" t="str">
        <f>IFERROR(INDEX(tbl_input[집계키_지청],ROW()-1),"")</f>
        <v/>
      </c>
      <c r="F3051" t="str">
        <f t="shared" si="238"/>
        <v/>
      </c>
      <c r="G3051" t="str">
        <f t="shared" si="239"/>
        <v/>
      </c>
    </row>
    <row r="3052" spans="1:7" x14ac:dyDescent="0.4">
      <c r="A3052" t="str">
        <f t="shared" si="235"/>
        <v/>
      </c>
      <c r="B3052" t="str">
        <f t="shared" si="236"/>
        <v/>
      </c>
      <c r="C3052" t="str">
        <f t="shared" si="237"/>
        <v/>
      </c>
      <c r="D3052" t="str">
        <f>IF(E3052="","",IF(COUNTIF($E$2:E3052,E3052)&gt;1,"",SUMIFS(tbl_input[필요수량],tbl_input[집계키_지청],E3052)))</f>
        <v/>
      </c>
      <c r="E3052" t="str">
        <f>IFERROR(INDEX(tbl_input[집계키_지청],ROW()-1),"")</f>
        <v/>
      </c>
      <c r="F3052" t="str">
        <f t="shared" si="238"/>
        <v/>
      </c>
      <c r="G3052" t="str">
        <f t="shared" si="239"/>
        <v/>
      </c>
    </row>
    <row r="3053" spans="1:7" x14ac:dyDescent="0.4">
      <c r="A3053" t="str">
        <f t="shared" si="235"/>
        <v/>
      </c>
      <c r="B3053" t="str">
        <f t="shared" si="236"/>
        <v/>
      </c>
      <c r="C3053" t="str">
        <f t="shared" si="237"/>
        <v/>
      </c>
      <c r="D3053" t="str">
        <f>IF(E3053="","",IF(COUNTIF($E$2:E3053,E3053)&gt;1,"",SUMIFS(tbl_input[필요수량],tbl_input[집계키_지청],E3053)))</f>
        <v/>
      </c>
      <c r="E3053" t="str">
        <f>IFERROR(INDEX(tbl_input[집계키_지청],ROW()-1),"")</f>
        <v/>
      </c>
      <c r="F3053" t="str">
        <f t="shared" si="238"/>
        <v/>
      </c>
      <c r="G3053" t="str">
        <f t="shared" si="239"/>
        <v/>
      </c>
    </row>
    <row r="3054" spans="1:7" x14ac:dyDescent="0.4">
      <c r="A3054" t="str">
        <f t="shared" si="235"/>
        <v/>
      </c>
      <c r="B3054" t="str">
        <f t="shared" si="236"/>
        <v/>
      </c>
      <c r="C3054" t="str">
        <f t="shared" si="237"/>
        <v/>
      </c>
      <c r="D3054" t="str">
        <f>IF(E3054="","",IF(COUNTIF($E$2:E3054,E3054)&gt;1,"",SUMIFS(tbl_input[필요수량],tbl_input[집계키_지청],E3054)))</f>
        <v/>
      </c>
      <c r="E3054" t="str">
        <f>IFERROR(INDEX(tbl_input[집계키_지청],ROW()-1),"")</f>
        <v/>
      </c>
      <c r="F3054" t="str">
        <f t="shared" si="238"/>
        <v/>
      </c>
      <c r="G3054" t="str">
        <f t="shared" si="239"/>
        <v/>
      </c>
    </row>
    <row r="3055" spans="1:7" x14ac:dyDescent="0.4">
      <c r="A3055" t="str">
        <f t="shared" si="235"/>
        <v/>
      </c>
      <c r="B3055" t="str">
        <f t="shared" si="236"/>
        <v/>
      </c>
      <c r="C3055" t="str">
        <f t="shared" si="237"/>
        <v/>
      </c>
      <c r="D3055" t="str">
        <f>IF(E3055="","",IF(COUNTIF($E$2:E3055,E3055)&gt;1,"",SUMIFS(tbl_input[필요수량],tbl_input[집계키_지청],E3055)))</f>
        <v/>
      </c>
      <c r="E3055" t="str">
        <f>IFERROR(INDEX(tbl_input[집계키_지청],ROW()-1),"")</f>
        <v/>
      </c>
      <c r="F3055" t="str">
        <f t="shared" si="238"/>
        <v/>
      </c>
      <c r="G3055" t="str">
        <f t="shared" si="239"/>
        <v/>
      </c>
    </row>
    <row r="3056" spans="1:7" x14ac:dyDescent="0.4">
      <c r="A3056" t="str">
        <f t="shared" si="235"/>
        <v/>
      </c>
      <c r="B3056" t="str">
        <f t="shared" si="236"/>
        <v/>
      </c>
      <c r="C3056" t="str">
        <f t="shared" si="237"/>
        <v/>
      </c>
      <c r="D3056" t="str">
        <f>IF(E3056="","",IF(COUNTIF($E$2:E3056,E3056)&gt;1,"",SUMIFS(tbl_input[필요수량],tbl_input[집계키_지청],E3056)))</f>
        <v/>
      </c>
      <c r="E3056" t="str">
        <f>IFERROR(INDEX(tbl_input[집계키_지청],ROW()-1),"")</f>
        <v/>
      </c>
      <c r="F3056" t="str">
        <f t="shared" si="238"/>
        <v/>
      </c>
      <c r="G3056" t="str">
        <f t="shared" si="239"/>
        <v/>
      </c>
    </row>
    <row r="3057" spans="1:7" x14ac:dyDescent="0.4">
      <c r="A3057" t="str">
        <f t="shared" si="235"/>
        <v/>
      </c>
      <c r="B3057" t="str">
        <f t="shared" si="236"/>
        <v/>
      </c>
      <c r="C3057" t="str">
        <f t="shared" si="237"/>
        <v/>
      </c>
      <c r="D3057" t="str">
        <f>IF(E3057="","",IF(COUNTIF($E$2:E3057,E3057)&gt;1,"",SUMIFS(tbl_input[필요수량],tbl_input[집계키_지청],E3057)))</f>
        <v/>
      </c>
      <c r="E3057" t="str">
        <f>IFERROR(INDEX(tbl_input[집계키_지청],ROW()-1),"")</f>
        <v/>
      </c>
      <c r="F3057" t="str">
        <f t="shared" si="238"/>
        <v/>
      </c>
      <c r="G3057" t="str">
        <f t="shared" si="239"/>
        <v/>
      </c>
    </row>
    <row r="3058" spans="1:7" x14ac:dyDescent="0.4">
      <c r="A3058" t="str">
        <f t="shared" si="235"/>
        <v/>
      </c>
      <c r="B3058" t="str">
        <f t="shared" si="236"/>
        <v/>
      </c>
      <c r="C3058" t="str">
        <f t="shared" si="237"/>
        <v/>
      </c>
      <c r="D3058" t="str">
        <f>IF(E3058="","",IF(COUNTIF($E$2:E3058,E3058)&gt;1,"",SUMIFS(tbl_input[필요수량],tbl_input[집계키_지청],E3058)))</f>
        <v/>
      </c>
      <c r="E3058" t="str">
        <f>IFERROR(INDEX(tbl_input[집계키_지청],ROW()-1),"")</f>
        <v/>
      </c>
      <c r="F3058" t="str">
        <f t="shared" si="238"/>
        <v/>
      </c>
      <c r="G3058" t="str">
        <f t="shared" si="239"/>
        <v/>
      </c>
    </row>
    <row r="3059" spans="1:7" x14ac:dyDescent="0.4">
      <c r="A3059" t="str">
        <f t="shared" si="235"/>
        <v/>
      </c>
      <c r="B3059" t="str">
        <f t="shared" si="236"/>
        <v/>
      </c>
      <c r="C3059" t="str">
        <f t="shared" si="237"/>
        <v/>
      </c>
      <c r="D3059" t="str">
        <f>IF(E3059="","",IF(COUNTIF($E$2:E3059,E3059)&gt;1,"",SUMIFS(tbl_input[필요수량],tbl_input[집계키_지청],E3059)))</f>
        <v/>
      </c>
      <c r="E3059" t="str">
        <f>IFERROR(INDEX(tbl_input[집계키_지청],ROW()-1),"")</f>
        <v/>
      </c>
      <c r="F3059" t="str">
        <f t="shared" si="238"/>
        <v/>
      </c>
      <c r="G3059" t="str">
        <f t="shared" si="239"/>
        <v/>
      </c>
    </row>
    <row r="3060" spans="1:7" x14ac:dyDescent="0.4">
      <c r="A3060" t="str">
        <f t="shared" si="235"/>
        <v/>
      </c>
      <c r="B3060" t="str">
        <f t="shared" si="236"/>
        <v/>
      </c>
      <c r="C3060" t="str">
        <f t="shared" si="237"/>
        <v/>
      </c>
      <c r="D3060" t="str">
        <f>IF(E3060="","",IF(COUNTIF($E$2:E3060,E3060)&gt;1,"",SUMIFS(tbl_input[필요수량],tbl_input[집계키_지청],E3060)))</f>
        <v/>
      </c>
      <c r="E3060" t="str">
        <f>IFERROR(INDEX(tbl_input[집계키_지청],ROW()-1),"")</f>
        <v/>
      </c>
      <c r="F3060" t="str">
        <f t="shared" si="238"/>
        <v/>
      </c>
      <c r="G3060" t="str">
        <f t="shared" si="239"/>
        <v/>
      </c>
    </row>
    <row r="3061" spans="1:7" x14ac:dyDescent="0.4">
      <c r="A3061" t="str">
        <f t="shared" si="235"/>
        <v/>
      </c>
      <c r="B3061" t="str">
        <f t="shared" si="236"/>
        <v/>
      </c>
      <c r="C3061" t="str">
        <f t="shared" si="237"/>
        <v/>
      </c>
      <c r="D3061" t="str">
        <f>IF(E3061="","",IF(COUNTIF($E$2:E3061,E3061)&gt;1,"",SUMIFS(tbl_input[필요수량],tbl_input[집계키_지청],E3061)))</f>
        <v/>
      </c>
      <c r="E3061" t="str">
        <f>IFERROR(INDEX(tbl_input[집계키_지청],ROW()-1),"")</f>
        <v/>
      </c>
      <c r="F3061" t="str">
        <f t="shared" si="238"/>
        <v/>
      </c>
      <c r="G3061" t="str">
        <f t="shared" si="239"/>
        <v/>
      </c>
    </row>
    <row r="3062" spans="1:7" x14ac:dyDescent="0.4">
      <c r="A3062" t="str">
        <f t="shared" si="235"/>
        <v/>
      </c>
      <c r="B3062" t="str">
        <f t="shared" si="236"/>
        <v/>
      </c>
      <c r="C3062" t="str">
        <f t="shared" si="237"/>
        <v/>
      </c>
      <c r="D3062" t="str">
        <f>IF(E3062="","",IF(COUNTIF($E$2:E3062,E3062)&gt;1,"",SUMIFS(tbl_input[필요수량],tbl_input[집계키_지청],E3062)))</f>
        <v/>
      </c>
      <c r="E3062" t="str">
        <f>IFERROR(INDEX(tbl_input[집계키_지청],ROW()-1),"")</f>
        <v/>
      </c>
      <c r="F3062" t="str">
        <f t="shared" si="238"/>
        <v/>
      </c>
      <c r="G3062" t="str">
        <f t="shared" si="239"/>
        <v/>
      </c>
    </row>
    <row r="3063" spans="1:7" x14ac:dyDescent="0.4">
      <c r="A3063" t="str">
        <f t="shared" si="235"/>
        <v/>
      </c>
      <c r="B3063" t="str">
        <f t="shared" si="236"/>
        <v/>
      </c>
      <c r="C3063" t="str">
        <f t="shared" si="237"/>
        <v/>
      </c>
      <c r="D3063" t="str">
        <f>IF(E3063="","",IF(COUNTIF($E$2:E3063,E3063)&gt;1,"",SUMIFS(tbl_input[필요수량],tbl_input[집계키_지청],E3063)))</f>
        <v/>
      </c>
      <c r="E3063" t="str">
        <f>IFERROR(INDEX(tbl_input[집계키_지청],ROW()-1),"")</f>
        <v/>
      </c>
      <c r="F3063" t="str">
        <f t="shared" si="238"/>
        <v/>
      </c>
      <c r="G3063" t="str">
        <f t="shared" si="239"/>
        <v/>
      </c>
    </row>
    <row r="3064" spans="1:7" x14ac:dyDescent="0.4">
      <c r="A3064" t="str">
        <f t="shared" si="235"/>
        <v/>
      </c>
      <c r="B3064" t="str">
        <f t="shared" si="236"/>
        <v/>
      </c>
      <c r="C3064" t="str">
        <f t="shared" si="237"/>
        <v/>
      </c>
      <c r="D3064" t="str">
        <f>IF(E3064="","",IF(COUNTIF($E$2:E3064,E3064)&gt;1,"",SUMIFS(tbl_input[필요수량],tbl_input[집계키_지청],E3064)))</f>
        <v/>
      </c>
      <c r="E3064" t="str">
        <f>IFERROR(INDEX(tbl_input[집계키_지청],ROW()-1),"")</f>
        <v/>
      </c>
      <c r="F3064" t="str">
        <f t="shared" si="238"/>
        <v/>
      </c>
      <c r="G3064" t="str">
        <f t="shared" si="239"/>
        <v/>
      </c>
    </row>
    <row r="3065" spans="1:7" x14ac:dyDescent="0.4">
      <c r="A3065" t="str">
        <f t="shared" si="235"/>
        <v/>
      </c>
      <c r="B3065" t="str">
        <f t="shared" si="236"/>
        <v/>
      </c>
      <c r="C3065" t="str">
        <f t="shared" si="237"/>
        <v/>
      </c>
      <c r="D3065" t="str">
        <f>IF(E3065="","",IF(COUNTIF($E$2:E3065,E3065)&gt;1,"",SUMIFS(tbl_input[필요수량],tbl_input[집계키_지청],E3065)))</f>
        <v/>
      </c>
      <c r="E3065" t="str">
        <f>IFERROR(INDEX(tbl_input[집계키_지청],ROW()-1),"")</f>
        <v/>
      </c>
      <c r="F3065" t="str">
        <f t="shared" si="238"/>
        <v/>
      </c>
      <c r="G3065" t="str">
        <f t="shared" si="239"/>
        <v/>
      </c>
    </row>
    <row r="3066" spans="1:7" x14ac:dyDescent="0.4">
      <c r="A3066" t="str">
        <f t="shared" si="235"/>
        <v/>
      </c>
      <c r="B3066" t="str">
        <f t="shared" si="236"/>
        <v/>
      </c>
      <c r="C3066" t="str">
        <f t="shared" si="237"/>
        <v/>
      </c>
      <c r="D3066" t="str">
        <f>IF(E3066="","",IF(COUNTIF($E$2:E3066,E3066)&gt;1,"",SUMIFS(tbl_input[필요수량],tbl_input[집계키_지청],E3066)))</f>
        <v/>
      </c>
      <c r="E3066" t="str">
        <f>IFERROR(INDEX(tbl_input[집계키_지청],ROW()-1),"")</f>
        <v/>
      </c>
      <c r="F3066" t="str">
        <f t="shared" si="238"/>
        <v/>
      </c>
      <c r="G3066" t="str">
        <f t="shared" si="239"/>
        <v/>
      </c>
    </row>
    <row r="3067" spans="1:7" x14ac:dyDescent="0.4">
      <c r="A3067" t="str">
        <f t="shared" si="235"/>
        <v/>
      </c>
      <c r="B3067" t="str">
        <f t="shared" si="236"/>
        <v/>
      </c>
      <c r="C3067" t="str">
        <f t="shared" si="237"/>
        <v/>
      </c>
      <c r="D3067" t="str">
        <f>IF(E3067="","",IF(COUNTIF($E$2:E3067,E3067)&gt;1,"",SUMIFS(tbl_input[필요수량],tbl_input[집계키_지청],E3067)))</f>
        <v/>
      </c>
      <c r="E3067" t="str">
        <f>IFERROR(INDEX(tbl_input[집계키_지청],ROW()-1),"")</f>
        <v/>
      </c>
      <c r="F3067" t="str">
        <f t="shared" si="238"/>
        <v/>
      </c>
      <c r="G3067" t="str">
        <f t="shared" si="239"/>
        <v/>
      </c>
    </row>
    <row r="3068" spans="1:7" x14ac:dyDescent="0.4">
      <c r="A3068" t="str">
        <f t="shared" si="235"/>
        <v/>
      </c>
      <c r="B3068" t="str">
        <f t="shared" si="236"/>
        <v/>
      </c>
      <c r="C3068" t="str">
        <f t="shared" si="237"/>
        <v/>
      </c>
      <c r="D3068" t="str">
        <f>IF(E3068="","",IF(COUNTIF($E$2:E3068,E3068)&gt;1,"",SUMIFS(tbl_input[필요수량],tbl_input[집계키_지청],E3068)))</f>
        <v/>
      </c>
      <c r="E3068" t="str">
        <f>IFERROR(INDEX(tbl_input[집계키_지청],ROW()-1),"")</f>
        <v/>
      </c>
      <c r="F3068" t="str">
        <f t="shared" si="238"/>
        <v/>
      </c>
      <c r="G3068" t="str">
        <f t="shared" si="239"/>
        <v/>
      </c>
    </row>
    <row r="3069" spans="1:7" x14ac:dyDescent="0.4">
      <c r="A3069" t="str">
        <f t="shared" si="235"/>
        <v/>
      </c>
      <c r="B3069" t="str">
        <f t="shared" si="236"/>
        <v/>
      </c>
      <c r="C3069" t="str">
        <f t="shared" si="237"/>
        <v/>
      </c>
      <c r="D3069" t="str">
        <f>IF(E3069="","",IF(COUNTIF($E$2:E3069,E3069)&gt;1,"",SUMIFS(tbl_input[필요수량],tbl_input[집계키_지청],E3069)))</f>
        <v/>
      </c>
      <c r="E3069" t="str">
        <f>IFERROR(INDEX(tbl_input[집계키_지청],ROW()-1),"")</f>
        <v/>
      </c>
      <c r="F3069" t="str">
        <f t="shared" si="238"/>
        <v/>
      </c>
      <c r="G3069" t="str">
        <f t="shared" si="239"/>
        <v/>
      </c>
    </row>
    <row r="3070" spans="1:7" x14ac:dyDescent="0.4">
      <c r="A3070" t="str">
        <f t="shared" si="235"/>
        <v/>
      </c>
      <c r="B3070" t="str">
        <f t="shared" si="236"/>
        <v/>
      </c>
      <c r="C3070" t="str">
        <f t="shared" si="237"/>
        <v/>
      </c>
      <c r="D3070" t="str">
        <f>IF(E3070="","",IF(COUNTIF($E$2:E3070,E3070)&gt;1,"",SUMIFS(tbl_input[필요수량],tbl_input[집계키_지청],E3070)))</f>
        <v/>
      </c>
      <c r="E3070" t="str">
        <f>IFERROR(INDEX(tbl_input[집계키_지청],ROW()-1),"")</f>
        <v/>
      </c>
      <c r="F3070" t="str">
        <f t="shared" si="238"/>
        <v/>
      </c>
      <c r="G3070" t="str">
        <f t="shared" si="239"/>
        <v/>
      </c>
    </row>
    <row r="3071" spans="1:7" x14ac:dyDescent="0.4">
      <c r="A3071" t="str">
        <f t="shared" si="235"/>
        <v/>
      </c>
      <c r="B3071" t="str">
        <f t="shared" si="236"/>
        <v/>
      </c>
      <c r="C3071" t="str">
        <f t="shared" si="237"/>
        <v/>
      </c>
      <c r="D3071" t="str">
        <f>IF(E3071="","",IF(COUNTIF($E$2:E3071,E3071)&gt;1,"",SUMIFS(tbl_input[필요수량],tbl_input[집계키_지청],E3071)))</f>
        <v/>
      </c>
      <c r="E3071" t="str">
        <f>IFERROR(INDEX(tbl_input[집계키_지청],ROW()-1),"")</f>
        <v/>
      </c>
      <c r="F3071" t="str">
        <f t="shared" si="238"/>
        <v/>
      </c>
      <c r="G3071" t="str">
        <f t="shared" si="239"/>
        <v/>
      </c>
    </row>
    <row r="3072" spans="1:7" x14ac:dyDescent="0.4">
      <c r="A3072" t="str">
        <f t="shared" si="235"/>
        <v/>
      </c>
      <c r="B3072" t="str">
        <f t="shared" si="236"/>
        <v/>
      </c>
      <c r="C3072" t="str">
        <f t="shared" si="237"/>
        <v/>
      </c>
      <c r="D3072" t="str">
        <f>IF(E3072="","",IF(COUNTIF($E$2:E3072,E3072)&gt;1,"",SUMIFS(tbl_input[필요수량],tbl_input[집계키_지청],E3072)))</f>
        <v/>
      </c>
      <c r="E3072" t="str">
        <f>IFERROR(INDEX(tbl_input[집계키_지청],ROW()-1),"")</f>
        <v/>
      </c>
      <c r="F3072" t="str">
        <f t="shared" si="238"/>
        <v/>
      </c>
      <c r="G3072" t="str">
        <f t="shared" si="239"/>
        <v/>
      </c>
    </row>
    <row r="3073" spans="1:7" x14ac:dyDescent="0.4">
      <c r="A3073" t="str">
        <f t="shared" si="235"/>
        <v/>
      </c>
      <c r="B3073" t="str">
        <f t="shared" si="236"/>
        <v/>
      </c>
      <c r="C3073" t="str">
        <f t="shared" si="237"/>
        <v/>
      </c>
      <c r="D3073" t="str">
        <f>IF(E3073="","",IF(COUNTIF($E$2:E3073,E3073)&gt;1,"",SUMIFS(tbl_input[필요수량],tbl_input[집계키_지청],E3073)))</f>
        <v/>
      </c>
      <c r="E3073" t="str">
        <f>IFERROR(INDEX(tbl_input[집계키_지청],ROW()-1),"")</f>
        <v/>
      </c>
      <c r="F3073" t="str">
        <f t="shared" si="238"/>
        <v/>
      </c>
      <c r="G3073" t="str">
        <f t="shared" si="239"/>
        <v/>
      </c>
    </row>
    <row r="3074" spans="1:7" x14ac:dyDescent="0.4">
      <c r="A3074" t="str">
        <f t="shared" ref="A3074:A3137" si="240">IF(E3074="","",LEFT(E3074,F3074-1))</f>
        <v/>
      </c>
      <c r="B3074" t="str">
        <f t="shared" ref="B3074:B3137" si="241">IF(E3074="","",MID(E3074,F3074+1,G3074-F3074-1))</f>
        <v/>
      </c>
      <c r="C3074" t="str">
        <f t="shared" ref="C3074:C3137" si="242">IF(E3074="","",MID(E3074,G3074+1,999))</f>
        <v/>
      </c>
      <c r="D3074" t="str">
        <f>IF(E3074="","",IF(COUNTIF($E$2:E3074,E3074)&gt;1,"",SUMIFS(tbl_input[필요수량],tbl_input[집계키_지청],E3074)))</f>
        <v/>
      </c>
      <c r="E3074" t="str">
        <f>IFERROR(INDEX(tbl_input[집계키_지청],ROW()-1),"")</f>
        <v/>
      </c>
      <c r="F3074" t="str">
        <f t="shared" ref="F3074:F3137" si="243">IF(E3074="","",FIND("♦",E3074))</f>
        <v/>
      </c>
      <c r="G3074" t="str">
        <f t="shared" ref="G3074:G3137" si="244">IF(E3074="","",FIND("♦",E3074,F3074+1))</f>
        <v/>
      </c>
    </row>
    <row r="3075" spans="1:7" x14ac:dyDescent="0.4">
      <c r="A3075" t="str">
        <f t="shared" si="240"/>
        <v/>
      </c>
      <c r="B3075" t="str">
        <f t="shared" si="241"/>
        <v/>
      </c>
      <c r="C3075" t="str">
        <f t="shared" si="242"/>
        <v/>
      </c>
      <c r="D3075" t="str">
        <f>IF(E3075="","",IF(COUNTIF($E$2:E3075,E3075)&gt;1,"",SUMIFS(tbl_input[필요수량],tbl_input[집계키_지청],E3075)))</f>
        <v/>
      </c>
      <c r="E3075" t="str">
        <f>IFERROR(INDEX(tbl_input[집계키_지청],ROW()-1),"")</f>
        <v/>
      </c>
      <c r="F3075" t="str">
        <f t="shared" si="243"/>
        <v/>
      </c>
      <c r="G3075" t="str">
        <f t="shared" si="244"/>
        <v/>
      </c>
    </row>
    <row r="3076" spans="1:7" x14ac:dyDescent="0.4">
      <c r="A3076" t="str">
        <f t="shared" si="240"/>
        <v/>
      </c>
      <c r="B3076" t="str">
        <f t="shared" si="241"/>
        <v/>
      </c>
      <c r="C3076" t="str">
        <f t="shared" si="242"/>
        <v/>
      </c>
      <c r="D3076" t="str">
        <f>IF(E3076="","",IF(COUNTIF($E$2:E3076,E3076)&gt;1,"",SUMIFS(tbl_input[필요수량],tbl_input[집계키_지청],E3076)))</f>
        <v/>
      </c>
      <c r="E3076" t="str">
        <f>IFERROR(INDEX(tbl_input[집계키_지청],ROW()-1),"")</f>
        <v/>
      </c>
      <c r="F3076" t="str">
        <f t="shared" si="243"/>
        <v/>
      </c>
      <c r="G3076" t="str">
        <f t="shared" si="244"/>
        <v/>
      </c>
    </row>
    <row r="3077" spans="1:7" x14ac:dyDescent="0.4">
      <c r="A3077" t="str">
        <f t="shared" si="240"/>
        <v/>
      </c>
      <c r="B3077" t="str">
        <f t="shared" si="241"/>
        <v/>
      </c>
      <c r="C3077" t="str">
        <f t="shared" si="242"/>
        <v/>
      </c>
      <c r="D3077" t="str">
        <f>IF(E3077="","",IF(COUNTIF($E$2:E3077,E3077)&gt;1,"",SUMIFS(tbl_input[필요수량],tbl_input[집계키_지청],E3077)))</f>
        <v/>
      </c>
      <c r="E3077" t="str">
        <f>IFERROR(INDEX(tbl_input[집계키_지청],ROW()-1),"")</f>
        <v/>
      </c>
      <c r="F3077" t="str">
        <f t="shared" si="243"/>
        <v/>
      </c>
      <c r="G3077" t="str">
        <f t="shared" si="244"/>
        <v/>
      </c>
    </row>
    <row r="3078" spans="1:7" x14ac:dyDescent="0.4">
      <c r="A3078" t="str">
        <f t="shared" si="240"/>
        <v/>
      </c>
      <c r="B3078" t="str">
        <f t="shared" si="241"/>
        <v/>
      </c>
      <c r="C3078" t="str">
        <f t="shared" si="242"/>
        <v/>
      </c>
      <c r="D3078" t="str">
        <f>IF(E3078="","",IF(COUNTIF($E$2:E3078,E3078)&gt;1,"",SUMIFS(tbl_input[필요수량],tbl_input[집계키_지청],E3078)))</f>
        <v/>
      </c>
      <c r="E3078" t="str">
        <f>IFERROR(INDEX(tbl_input[집계키_지청],ROW()-1),"")</f>
        <v/>
      </c>
      <c r="F3078" t="str">
        <f t="shared" si="243"/>
        <v/>
      </c>
      <c r="G3078" t="str">
        <f t="shared" si="244"/>
        <v/>
      </c>
    </row>
    <row r="3079" spans="1:7" x14ac:dyDescent="0.4">
      <c r="A3079" t="str">
        <f t="shared" si="240"/>
        <v/>
      </c>
      <c r="B3079" t="str">
        <f t="shared" si="241"/>
        <v/>
      </c>
      <c r="C3079" t="str">
        <f t="shared" si="242"/>
        <v/>
      </c>
      <c r="D3079" t="str">
        <f>IF(E3079="","",IF(COUNTIF($E$2:E3079,E3079)&gt;1,"",SUMIFS(tbl_input[필요수량],tbl_input[집계키_지청],E3079)))</f>
        <v/>
      </c>
      <c r="E3079" t="str">
        <f>IFERROR(INDEX(tbl_input[집계키_지청],ROW()-1),"")</f>
        <v/>
      </c>
      <c r="F3079" t="str">
        <f t="shared" si="243"/>
        <v/>
      </c>
      <c r="G3079" t="str">
        <f t="shared" si="244"/>
        <v/>
      </c>
    </row>
    <row r="3080" spans="1:7" x14ac:dyDescent="0.4">
      <c r="A3080" t="str">
        <f t="shared" si="240"/>
        <v/>
      </c>
      <c r="B3080" t="str">
        <f t="shared" si="241"/>
        <v/>
      </c>
      <c r="C3080" t="str">
        <f t="shared" si="242"/>
        <v/>
      </c>
      <c r="D3080" t="str">
        <f>IF(E3080="","",IF(COUNTIF($E$2:E3080,E3080)&gt;1,"",SUMIFS(tbl_input[필요수량],tbl_input[집계키_지청],E3080)))</f>
        <v/>
      </c>
      <c r="E3080" t="str">
        <f>IFERROR(INDEX(tbl_input[집계키_지청],ROW()-1),"")</f>
        <v/>
      </c>
      <c r="F3080" t="str">
        <f t="shared" si="243"/>
        <v/>
      </c>
      <c r="G3080" t="str">
        <f t="shared" si="244"/>
        <v/>
      </c>
    </row>
    <row r="3081" spans="1:7" x14ac:dyDescent="0.4">
      <c r="A3081" t="str">
        <f t="shared" si="240"/>
        <v/>
      </c>
      <c r="B3081" t="str">
        <f t="shared" si="241"/>
        <v/>
      </c>
      <c r="C3081" t="str">
        <f t="shared" si="242"/>
        <v/>
      </c>
      <c r="D3081" t="str">
        <f>IF(E3081="","",IF(COUNTIF($E$2:E3081,E3081)&gt;1,"",SUMIFS(tbl_input[필요수량],tbl_input[집계키_지청],E3081)))</f>
        <v/>
      </c>
      <c r="E3081" t="str">
        <f>IFERROR(INDEX(tbl_input[집계키_지청],ROW()-1),"")</f>
        <v/>
      </c>
      <c r="F3081" t="str">
        <f t="shared" si="243"/>
        <v/>
      </c>
      <c r="G3081" t="str">
        <f t="shared" si="244"/>
        <v/>
      </c>
    </row>
    <row r="3082" spans="1:7" x14ac:dyDescent="0.4">
      <c r="A3082" t="str">
        <f t="shared" si="240"/>
        <v/>
      </c>
      <c r="B3082" t="str">
        <f t="shared" si="241"/>
        <v/>
      </c>
      <c r="C3082" t="str">
        <f t="shared" si="242"/>
        <v/>
      </c>
      <c r="D3082" t="str">
        <f>IF(E3082="","",IF(COUNTIF($E$2:E3082,E3082)&gt;1,"",SUMIFS(tbl_input[필요수량],tbl_input[집계키_지청],E3082)))</f>
        <v/>
      </c>
      <c r="E3082" t="str">
        <f>IFERROR(INDEX(tbl_input[집계키_지청],ROW()-1),"")</f>
        <v/>
      </c>
      <c r="F3082" t="str">
        <f t="shared" si="243"/>
        <v/>
      </c>
      <c r="G3082" t="str">
        <f t="shared" si="244"/>
        <v/>
      </c>
    </row>
    <row r="3083" spans="1:7" x14ac:dyDescent="0.4">
      <c r="A3083" t="str">
        <f t="shared" si="240"/>
        <v/>
      </c>
      <c r="B3083" t="str">
        <f t="shared" si="241"/>
        <v/>
      </c>
      <c r="C3083" t="str">
        <f t="shared" si="242"/>
        <v/>
      </c>
      <c r="D3083" t="str">
        <f>IF(E3083="","",IF(COUNTIF($E$2:E3083,E3083)&gt;1,"",SUMIFS(tbl_input[필요수량],tbl_input[집계키_지청],E3083)))</f>
        <v/>
      </c>
      <c r="E3083" t="str">
        <f>IFERROR(INDEX(tbl_input[집계키_지청],ROW()-1),"")</f>
        <v/>
      </c>
      <c r="F3083" t="str">
        <f t="shared" si="243"/>
        <v/>
      </c>
      <c r="G3083" t="str">
        <f t="shared" si="244"/>
        <v/>
      </c>
    </row>
    <row r="3084" spans="1:7" x14ac:dyDescent="0.4">
      <c r="A3084" t="str">
        <f t="shared" si="240"/>
        <v/>
      </c>
      <c r="B3084" t="str">
        <f t="shared" si="241"/>
        <v/>
      </c>
      <c r="C3084" t="str">
        <f t="shared" si="242"/>
        <v/>
      </c>
      <c r="D3084" t="str">
        <f>IF(E3084="","",IF(COUNTIF($E$2:E3084,E3084)&gt;1,"",SUMIFS(tbl_input[필요수량],tbl_input[집계키_지청],E3084)))</f>
        <v/>
      </c>
      <c r="E3084" t="str">
        <f>IFERROR(INDEX(tbl_input[집계키_지청],ROW()-1),"")</f>
        <v/>
      </c>
      <c r="F3084" t="str">
        <f t="shared" si="243"/>
        <v/>
      </c>
      <c r="G3084" t="str">
        <f t="shared" si="244"/>
        <v/>
      </c>
    </row>
    <row r="3085" spans="1:7" x14ac:dyDescent="0.4">
      <c r="A3085" t="str">
        <f t="shared" si="240"/>
        <v/>
      </c>
      <c r="B3085" t="str">
        <f t="shared" si="241"/>
        <v/>
      </c>
      <c r="C3085" t="str">
        <f t="shared" si="242"/>
        <v/>
      </c>
      <c r="D3085" t="str">
        <f>IF(E3085="","",IF(COUNTIF($E$2:E3085,E3085)&gt;1,"",SUMIFS(tbl_input[필요수량],tbl_input[집계키_지청],E3085)))</f>
        <v/>
      </c>
      <c r="E3085" t="str">
        <f>IFERROR(INDEX(tbl_input[집계키_지청],ROW()-1),"")</f>
        <v/>
      </c>
      <c r="F3085" t="str">
        <f t="shared" si="243"/>
        <v/>
      </c>
      <c r="G3085" t="str">
        <f t="shared" si="244"/>
        <v/>
      </c>
    </row>
    <row r="3086" spans="1:7" x14ac:dyDescent="0.4">
      <c r="A3086" t="str">
        <f t="shared" si="240"/>
        <v/>
      </c>
      <c r="B3086" t="str">
        <f t="shared" si="241"/>
        <v/>
      </c>
      <c r="C3086" t="str">
        <f t="shared" si="242"/>
        <v/>
      </c>
      <c r="D3086" t="str">
        <f>IF(E3086="","",IF(COUNTIF($E$2:E3086,E3086)&gt;1,"",SUMIFS(tbl_input[필요수량],tbl_input[집계키_지청],E3086)))</f>
        <v/>
      </c>
      <c r="E3086" t="str">
        <f>IFERROR(INDEX(tbl_input[집계키_지청],ROW()-1),"")</f>
        <v/>
      </c>
      <c r="F3086" t="str">
        <f t="shared" si="243"/>
        <v/>
      </c>
      <c r="G3086" t="str">
        <f t="shared" si="244"/>
        <v/>
      </c>
    </row>
    <row r="3087" spans="1:7" x14ac:dyDescent="0.4">
      <c r="A3087" t="str">
        <f t="shared" si="240"/>
        <v/>
      </c>
      <c r="B3087" t="str">
        <f t="shared" si="241"/>
        <v/>
      </c>
      <c r="C3087" t="str">
        <f t="shared" si="242"/>
        <v/>
      </c>
      <c r="D3087" t="str">
        <f>IF(E3087="","",IF(COUNTIF($E$2:E3087,E3087)&gt;1,"",SUMIFS(tbl_input[필요수량],tbl_input[집계키_지청],E3087)))</f>
        <v/>
      </c>
      <c r="E3087" t="str">
        <f>IFERROR(INDEX(tbl_input[집계키_지청],ROW()-1),"")</f>
        <v/>
      </c>
      <c r="F3087" t="str">
        <f t="shared" si="243"/>
        <v/>
      </c>
      <c r="G3087" t="str">
        <f t="shared" si="244"/>
        <v/>
      </c>
    </row>
    <row r="3088" spans="1:7" x14ac:dyDescent="0.4">
      <c r="A3088" t="str">
        <f t="shared" si="240"/>
        <v/>
      </c>
      <c r="B3088" t="str">
        <f t="shared" si="241"/>
        <v/>
      </c>
      <c r="C3088" t="str">
        <f t="shared" si="242"/>
        <v/>
      </c>
      <c r="D3088" t="str">
        <f>IF(E3088="","",IF(COUNTIF($E$2:E3088,E3088)&gt;1,"",SUMIFS(tbl_input[필요수량],tbl_input[집계키_지청],E3088)))</f>
        <v/>
      </c>
      <c r="E3088" t="str">
        <f>IFERROR(INDEX(tbl_input[집계키_지청],ROW()-1),"")</f>
        <v/>
      </c>
      <c r="F3088" t="str">
        <f t="shared" si="243"/>
        <v/>
      </c>
      <c r="G3088" t="str">
        <f t="shared" si="244"/>
        <v/>
      </c>
    </row>
    <row r="3089" spans="1:7" x14ac:dyDescent="0.4">
      <c r="A3089" t="str">
        <f t="shared" si="240"/>
        <v/>
      </c>
      <c r="B3089" t="str">
        <f t="shared" si="241"/>
        <v/>
      </c>
      <c r="C3089" t="str">
        <f t="shared" si="242"/>
        <v/>
      </c>
      <c r="D3089" t="str">
        <f>IF(E3089="","",IF(COUNTIF($E$2:E3089,E3089)&gt;1,"",SUMIFS(tbl_input[필요수량],tbl_input[집계키_지청],E3089)))</f>
        <v/>
      </c>
      <c r="E3089" t="str">
        <f>IFERROR(INDEX(tbl_input[집계키_지청],ROW()-1),"")</f>
        <v/>
      </c>
      <c r="F3089" t="str">
        <f t="shared" si="243"/>
        <v/>
      </c>
      <c r="G3089" t="str">
        <f t="shared" si="244"/>
        <v/>
      </c>
    </row>
    <row r="3090" spans="1:7" x14ac:dyDescent="0.4">
      <c r="A3090" t="str">
        <f t="shared" si="240"/>
        <v/>
      </c>
      <c r="B3090" t="str">
        <f t="shared" si="241"/>
        <v/>
      </c>
      <c r="C3090" t="str">
        <f t="shared" si="242"/>
        <v/>
      </c>
      <c r="D3090" t="str">
        <f>IF(E3090="","",IF(COUNTIF($E$2:E3090,E3090)&gt;1,"",SUMIFS(tbl_input[필요수량],tbl_input[집계키_지청],E3090)))</f>
        <v/>
      </c>
      <c r="E3090" t="str">
        <f>IFERROR(INDEX(tbl_input[집계키_지청],ROW()-1),"")</f>
        <v/>
      </c>
      <c r="F3090" t="str">
        <f t="shared" si="243"/>
        <v/>
      </c>
      <c r="G3090" t="str">
        <f t="shared" si="244"/>
        <v/>
      </c>
    </row>
    <row r="3091" spans="1:7" x14ac:dyDescent="0.4">
      <c r="A3091" t="str">
        <f t="shared" si="240"/>
        <v/>
      </c>
      <c r="B3091" t="str">
        <f t="shared" si="241"/>
        <v/>
      </c>
      <c r="C3091" t="str">
        <f t="shared" si="242"/>
        <v/>
      </c>
      <c r="D3091" t="str">
        <f>IF(E3091="","",IF(COUNTIF($E$2:E3091,E3091)&gt;1,"",SUMIFS(tbl_input[필요수량],tbl_input[집계키_지청],E3091)))</f>
        <v/>
      </c>
      <c r="E3091" t="str">
        <f>IFERROR(INDEX(tbl_input[집계키_지청],ROW()-1),"")</f>
        <v/>
      </c>
      <c r="F3091" t="str">
        <f t="shared" si="243"/>
        <v/>
      </c>
      <c r="G3091" t="str">
        <f t="shared" si="244"/>
        <v/>
      </c>
    </row>
    <row r="3092" spans="1:7" x14ac:dyDescent="0.4">
      <c r="A3092" t="str">
        <f t="shared" si="240"/>
        <v/>
      </c>
      <c r="B3092" t="str">
        <f t="shared" si="241"/>
        <v/>
      </c>
      <c r="C3092" t="str">
        <f t="shared" si="242"/>
        <v/>
      </c>
      <c r="D3092" t="str">
        <f>IF(E3092="","",IF(COUNTIF($E$2:E3092,E3092)&gt;1,"",SUMIFS(tbl_input[필요수량],tbl_input[집계키_지청],E3092)))</f>
        <v/>
      </c>
      <c r="E3092" t="str">
        <f>IFERROR(INDEX(tbl_input[집계키_지청],ROW()-1),"")</f>
        <v/>
      </c>
      <c r="F3092" t="str">
        <f t="shared" si="243"/>
        <v/>
      </c>
      <c r="G3092" t="str">
        <f t="shared" si="244"/>
        <v/>
      </c>
    </row>
    <row r="3093" spans="1:7" x14ac:dyDescent="0.4">
      <c r="A3093" t="str">
        <f t="shared" si="240"/>
        <v/>
      </c>
      <c r="B3093" t="str">
        <f t="shared" si="241"/>
        <v/>
      </c>
      <c r="C3093" t="str">
        <f t="shared" si="242"/>
        <v/>
      </c>
      <c r="D3093" t="str">
        <f>IF(E3093="","",IF(COUNTIF($E$2:E3093,E3093)&gt;1,"",SUMIFS(tbl_input[필요수량],tbl_input[집계키_지청],E3093)))</f>
        <v/>
      </c>
      <c r="E3093" t="str">
        <f>IFERROR(INDEX(tbl_input[집계키_지청],ROW()-1),"")</f>
        <v/>
      </c>
      <c r="F3093" t="str">
        <f t="shared" si="243"/>
        <v/>
      </c>
      <c r="G3093" t="str">
        <f t="shared" si="244"/>
        <v/>
      </c>
    </row>
    <row r="3094" spans="1:7" x14ac:dyDescent="0.4">
      <c r="A3094" t="str">
        <f t="shared" si="240"/>
        <v/>
      </c>
      <c r="B3094" t="str">
        <f t="shared" si="241"/>
        <v/>
      </c>
      <c r="C3094" t="str">
        <f t="shared" si="242"/>
        <v/>
      </c>
      <c r="D3094" t="str">
        <f>IF(E3094="","",IF(COUNTIF($E$2:E3094,E3094)&gt;1,"",SUMIFS(tbl_input[필요수량],tbl_input[집계키_지청],E3094)))</f>
        <v/>
      </c>
      <c r="E3094" t="str">
        <f>IFERROR(INDEX(tbl_input[집계키_지청],ROW()-1),"")</f>
        <v/>
      </c>
      <c r="F3094" t="str">
        <f t="shared" si="243"/>
        <v/>
      </c>
      <c r="G3094" t="str">
        <f t="shared" si="244"/>
        <v/>
      </c>
    </row>
    <row r="3095" spans="1:7" x14ac:dyDescent="0.4">
      <c r="A3095" t="str">
        <f t="shared" si="240"/>
        <v/>
      </c>
      <c r="B3095" t="str">
        <f t="shared" si="241"/>
        <v/>
      </c>
      <c r="C3095" t="str">
        <f t="shared" si="242"/>
        <v/>
      </c>
      <c r="D3095" t="str">
        <f>IF(E3095="","",IF(COUNTIF($E$2:E3095,E3095)&gt;1,"",SUMIFS(tbl_input[필요수량],tbl_input[집계키_지청],E3095)))</f>
        <v/>
      </c>
      <c r="E3095" t="str">
        <f>IFERROR(INDEX(tbl_input[집계키_지청],ROW()-1),"")</f>
        <v/>
      </c>
      <c r="F3095" t="str">
        <f t="shared" si="243"/>
        <v/>
      </c>
      <c r="G3095" t="str">
        <f t="shared" si="244"/>
        <v/>
      </c>
    </row>
    <row r="3096" spans="1:7" x14ac:dyDescent="0.4">
      <c r="A3096" t="str">
        <f t="shared" si="240"/>
        <v/>
      </c>
      <c r="B3096" t="str">
        <f t="shared" si="241"/>
        <v/>
      </c>
      <c r="C3096" t="str">
        <f t="shared" si="242"/>
        <v/>
      </c>
      <c r="D3096" t="str">
        <f>IF(E3096="","",IF(COUNTIF($E$2:E3096,E3096)&gt;1,"",SUMIFS(tbl_input[필요수량],tbl_input[집계키_지청],E3096)))</f>
        <v/>
      </c>
      <c r="E3096" t="str">
        <f>IFERROR(INDEX(tbl_input[집계키_지청],ROW()-1),"")</f>
        <v/>
      </c>
      <c r="F3096" t="str">
        <f t="shared" si="243"/>
        <v/>
      </c>
      <c r="G3096" t="str">
        <f t="shared" si="244"/>
        <v/>
      </c>
    </row>
    <row r="3097" spans="1:7" x14ac:dyDescent="0.4">
      <c r="A3097" t="str">
        <f t="shared" si="240"/>
        <v/>
      </c>
      <c r="B3097" t="str">
        <f t="shared" si="241"/>
        <v/>
      </c>
      <c r="C3097" t="str">
        <f t="shared" si="242"/>
        <v/>
      </c>
      <c r="D3097" t="str">
        <f>IF(E3097="","",IF(COUNTIF($E$2:E3097,E3097)&gt;1,"",SUMIFS(tbl_input[필요수량],tbl_input[집계키_지청],E3097)))</f>
        <v/>
      </c>
      <c r="E3097" t="str">
        <f>IFERROR(INDEX(tbl_input[집계키_지청],ROW()-1),"")</f>
        <v/>
      </c>
      <c r="F3097" t="str">
        <f t="shared" si="243"/>
        <v/>
      </c>
      <c r="G3097" t="str">
        <f t="shared" si="244"/>
        <v/>
      </c>
    </row>
    <row r="3098" spans="1:7" x14ac:dyDescent="0.4">
      <c r="A3098" t="str">
        <f t="shared" si="240"/>
        <v/>
      </c>
      <c r="B3098" t="str">
        <f t="shared" si="241"/>
        <v/>
      </c>
      <c r="C3098" t="str">
        <f t="shared" si="242"/>
        <v/>
      </c>
      <c r="D3098" t="str">
        <f>IF(E3098="","",IF(COUNTIF($E$2:E3098,E3098)&gt;1,"",SUMIFS(tbl_input[필요수량],tbl_input[집계키_지청],E3098)))</f>
        <v/>
      </c>
      <c r="E3098" t="str">
        <f>IFERROR(INDEX(tbl_input[집계키_지청],ROW()-1),"")</f>
        <v/>
      </c>
      <c r="F3098" t="str">
        <f t="shared" si="243"/>
        <v/>
      </c>
      <c r="G3098" t="str">
        <f t="shared" si="244"/>
        <v/>
      </c>
    </row>
    <row r="3099" spans="1:7" x14ac:dyDescent="0.4">
      <c r="A3099" t="str">
        <f t="shared" si="240"/>
        <v/>
      </c>
      <c r="B3099" t="str">
        <f t="shared" si="241"/>
        <v/>
      </c>
      <c r="C3099" t="str">
        <f t="shared" si="242"/>
        <v/>
      </c>
      <c r="D3099" t="str">
        <f>IF(E3099="","",IF(COUNTIF($E$2:E3099,E3099)&gt;1,"",SUMIFS(tbl_input[필요수량],tbl_input[집계키_지청],E3099)))</f>
        <v/>
      </c>
      <c r="E3099" t="str">
        <f>IFERROR(INDEX(tbl_input[집계키_지청],ROW()-1),"")</f>
        <v/>
      </c>
      <c r="F3099" t="str">
        <f t="shared" si="243"/>
        <v/>
      </c>
      <c r="G3099" t="str">
        <f t="shared" si="244"/>
        <v/>
      </c>
    </row>
    <row r="3100" spans="1:7" x14ac:dyDescent="0.4">
      <c r="A3100" t="str">
        <f t="shared" si="240"/>
        <v/>
      </c>
      <c r="B3100" t="str">
        <f t="shared" si="241"/>
        <v/>
      </c>
      <c r="C3100" t="str">
        <f t="shared" si="242"/>
        <v/>
      </c>
      <c r="D3100" t="str">
        <f>IF(E3100="","",IF(COUNTIF($E$2:E3100,E3100)&gt;1,"",SUMIFS(tbl_input[필요수량],tbl_input[집계키_지청],E3100)))</f>
        <v/>
      </c>
      <c r="E3100" t="str">
        <f>IFERROR(INDEX(tbl_input[집계키_지청],ROW()-1),"")</f>
        <v/>
      </c>
      <c r="F3100" t="str">
        <f t="shared" si="243"/>
        <v/>
      </c>
      <c r="G3100" t="str">
        <f t="shared" si="244"/>
        <v/>
      </c>
    </row>
    <row r="3101" spans="1:7" x14ac:dyDescent="0.4">
      <c r="A3101" t="str">
        <f t="shared" si="240"/>
        <v/>
      </c>
      <c r="B3101" t="str">
        <f t="shared" si="241"/>
        <v/>
      </c>
      <c r="C3101" t="str">
        <f t="shared" si="242"/>
        <v/>
      </c>
      <c r="D3101" t="str">
        <f>IF(E3101="","",IF(COUNTIF($E$2:E3101,E3101)&gt;1,"",SUMIFS(tbl_input[필요수량],tbl_input[집계키_지청],E3101)))</f>
        <v/>
      </c>
      <c r="E3101" t="str">
        <f>IFERROR(INDEX(tbl_input[집계키_지청],ROW()-1),"")</f>
        <v/>
      </c>
      <c r="F3101" t="str">
        <f t="shared" si="243"/>
        <v/>
      </c>
      <c r="G3101" t="str">
        <f t="shared" si="244"/>
        <v/>
      </c>
    </row>
    <row r="3102" spans="1:7" x14ac:dyDescent="0.4">
      <c r="A3102" t="str">
        <f t="shared" si="240"/>
        <v/>
      </c>
      <c r="B3102" t="str">
        <f t="shared" si="241"/>
        <v/>
      </c>
      <c r="C3102" t="str">
        <f t="shared" si="242"/>
        <v/>
      </c>
      <c r="D3102" t="str">
        <f>IF(E3102="","",IF(COUNTIF($E$2:E3102,E3102)&gt;1,"",SUMIFS(tbl_input[필요수량],tbl_input[집계키_지청],E3102)))</f>
        <v/>
      </c>
      <c r="E3102" t="str">
        <f>IFERROR(INDEX(tbl_input[집계키_지청],ROW()-1),"")</f>
        <v/>
      </c>
      <c r="F3102" t="str">
        <f t="shared" si="243"/>
        <v/>
      </c>
      <c r="G3102" t="str">
        <f t="shared" si="244"/>
        <v/>
      </c>
    </row>
    <row r="3103" spans="1:7" x14ac:dyDescent="0.4">
      <c r="A3103" t="str">
        <f t="shared" si="240"/>
        <v/>
      </c>
      <c r="B3103" t="str">
        <f t="shared" si="241"/>
        <v/>
      </c>
      <c r="C3103" t="str">
        <f t="shared" si="242"/>
        <v/>
      </c>
      <c r="D3103" t="str">
        <f>IF(E3103="","",IF(COUNTIF($E$2:E3103,E3103)&gt;1,"",SUMIFS(tbl_input[필요수량],tbl_input[집계키_지청],E3103)))</f>
        <v/>
      </c>
      <c r="E3103" t="str">
        <f>IFERROR(INDEX(tbl_input[집계키_지청],ROW()-1),"")</f>
        <v/>
      </c>
      <c r="F3103" t="str">
        <f t="shared" si="243"/>
        <v/>
      </c>
      <c r="G3103" t="str">
        <f t="shared" si="244"/>
        <v/>
      </c>
    </row>
    <row r="3104" spans="1:7" x14ac:dyDescent="0.4">
      <c r="A3104" t="str">
        <f t="shared" si="240"/>
        <v/>
      </c>
      <c r="B3104" t="str">
        <f t="shared" si="241"/>
        <v/>
      </c>
      <c r="C3104" t="str">
        <f t="shared" si="242"/>
        <v/>
      </c>
      <c r="D3104" t="str">
        <f>IF(E3104="","",IF(COUNTIF($E$2:E3104,E3104)&gt;1,"",SUMIFS(tbl_input[필요수량],tbl_input[집계키_지청],E3104)))</f>
        <v/>
      </c>
      <c r="E3104" t="str">
        <f>IFERROR(INDEX(tbl_input[집계키_지청],ROW()-1),"")</f>
        <v/>
      </c>
      <c r="F3104" t="str">
        <f t="shared" si="243"/>
        <v/>
      </c>
      <c r="G3104" t="str">
        <f t="shared" si="244"/>
        <v/>
      </c>
    </row>
    <row r="3105" spans="1:7" x14ac:dyDescent="0.4">
      <c r="A3105" t="str">
        <f t="shared" si="240"/>
        <v/>
      </c>
      <c r="B3105" t="str">
        <f t="shared" si="241"/>
        <v/>
      </c>
      <c r="C3105" t="str">
        <f t="shared" si="242"/>
        <v/>
      </c>
      <c r="D3105" t="str">
        <f>IF(E3105="","",IF(COUNTIF($E$2:E3105,E3105)&gt;1,"",SUMIFS(tbl_input[필요수량],tbl_input[집계키_지청],E3105)))</f>
        <v/>
      </c>
      <c r="E3105" t="str">
        <f>IFERROR(INDEX(tbl_input[집계키_지청],ROW()-1),"")</f>
        <v/>
      </c>
      <c r="F3105" t="str">
        <f t="shared" si="243"/>
        <v/>
      </c>
      <c r="G3105" t="str">
        <f t="shared" si="244"/>
        <v/>
      </c>
    </row>
    <row r="3106" spans="1:7" x14ac:dyDescent="0.4">
      <c r="A3106" t="str">
        <f t="shared" si="240"/>
        <v/>
      </c>
      <c r="B3106" t="str">
        <f t="shared" si="241"/>
        <v/>
      </c>
      <c r="C3106" t="str">
        <f t="shared" si="242"/>
        <v/>
      </c>
      <c r="D3106" t="str">
        <f>IF(E3106="","",IF(COUNTIF($E$2:E3106,E3106)&gt;1,"",SUMIFS(tbl_input[필요수량],tbl_input[집계키_지청],E3106)))</f>
        <v/>
      </c>
      <c r="E3106" t="str">
        <f>IFERROR(INDEX(tbl_input[집계키_지청],ROW()-1),"")</f>
        <v/>
      </c>
      <c r="F3106" t="str">
        <f t="shared" si="243"/>
        <v/>
      </c>
      <c r="G3106" t="str">
        <f t="shared" si="244"/>
        <v/>
      </c>
    </row>
    <row r="3107" spans="1:7" x14ac:dyDescent="0.4">
      <c r="A3107" t="str">
        <f t="shared" si="240"/>
        <v/>
      </c>
      <c r="B3107" t="str">
        <f t="shared" si="241"/>
        <v/>
      </c>
      <c r="C3107" t="str">
        <f t="shared" si="242"/>
        <v/>
      </c>
      <c r="D3107" t="str">
        <f>IF(E3107="","",IF(COUNTIF($E$2:E3107,E3107)&gt;1,"",SUMIFS(tbl_input[필요수량],tbl_input[집계키_지청],E3107)))</f>
        <v/>
      </c>
      <c r="E3107" t="str">
        <f>IFERROR(INDEX(tbl_input[집계키_지청],ROW()-1),"")</f>
        <v/>
      </c>
      <c r="F3107" t="str">
        <f t="shared" si="243"/>
        <v/>
      </c>
      <c r="G3107" t="str">
        <f t="shared" si="244"/>
        <v/>
      </c>
    </row>
    <row r="3108" spans="1:7" x14ac:dyDescent="0.4">
      <c r="A3108" t="str">
        <f t="shared" si="240"/>
        <v/>
      </c>
      <c r="B3108" t="str">
        <f t="shared" si="241"/>
        <v/>
      </c>
      <c r="C3108" t="str">
        <f t="shared" si="242"/>
        <v/>
      </c>
      <c r="D3108" t="str">
        <f>IF(E3108="","",IF(COUNTIF($E$2:E3108,E3108)&gt;1,"",SUMIFS(tbl_input[필요수량],tbl_input[집계키_지청],E3108)))</f>
        <v/>
      </c>
      <c r="E3108" t="str">
        <f>IFERROR(INDEX(tbl_input[집계키_지청],ROW()-1),"")</f>
        <v/>
      </c>
      <c r="F3108" t="str">
        <f t="shared" si="243"/>
        <v/>
      </c>
      <c r="G3108" t="str">
        <f t="shared" si="244"/>
        <v/>
      </c>
    </row>
    <row r="3109" spans="1:7" x14ac:dyDescent="0.4">
      <c r="A3109" t="str">
        <f t="shared" si="240"/>
        <v/>
      </c>
      <c r="B3109" t="str">
        <f t="shared" si="241"/>
        <v/>
      </c>
      <c r="C3109" t="str">
        <f t="shared" si="242"/>
        <v/>
      </c>
      <c r="D3109" t="str">
        <f>IF(E3109="","",IF(COUNTIF($E$2:E3109,E3109)&gt;1,"",SUMIFS(tbl_input[필요수량],tbl_input[집계키_지청],E3109)))</f>
        <v/>
      </c>
      <c r="E3109" t="str">
        <f>IFERROR(INDEX(tbl_input[집계키_지청],ROW()-1),"")</f>
        <v/>
      </c>
      <c r="F3109" t="str">
        <f t="shared" si="243"/>
        <v/>
      </c>
      <c r="G3109" t="str">
        <f t="shared" si="244"/>
        <v/>
      </c>
    </row>
    <row r="3110" spans="1:7" x14ac:dyDescent="0.4">
      <c r="A3110" t="str">
        <f t="shared" si="240"/>
        <v/>
      </c>
      <c r="B3110" t="str">
        <f t="shared" si="241"/>
        <v/>
      </c>
      <c r="C3110" t="str">
        <f t="shared" si="242"/>
        <v/>
      </c>
      <c r="D3110" t="str">
        <f>IF(E3110="","",IF(COUNTIF($E$2:E3110,E3110)&gt;1,"",SUMIFS(tbl_input[필요수량],tbl_input[집계키_지청],E3110)))</f>
        <v/>
      </c>
      <c r="E3110" t="str">
        <f>IFERROR(INDEX(tbl_input[집계키_지청],ROW()-1),"")</f>
        <v/>
      </c>
      <c r="F3110" t="str">
        <f t="shared" si="243"/>
        <v/>
      </c>
      <c r="G3110" t="str">
        <f t="shared" si="244"/>
        <v/>
      </c>
    </row>
    <row r="3111" spans="1:7" x14ac:dyDescent="0.4">
      <c r="A3111" t="str">
        <f t="shared" si="240"/>
        <v/>
      </c>
      <c r="B3111" t="str">
        <f t="shared" si="241"/>
        <v/>
      </c>
      <c r="C3111" t="str">
        <f t="shared" si="242"/>
        <v/>
      </c>
      <c r="D3111" t="str">
        <f>IF(E3111="","",IF(COUNTIF($E$2:E3111,E3111)&gt;1,"",SUMIFS(tbl_input[필요수량],tbl_input[집계키_지청],E3111)))</f>
        <v/>
      </c>
      <c r="E3111" t="str">
        <f>IFERROR(INDEX(tbl_input[집계키_지청],ROW()-1),"")</f>
        <v/>
      </c>
      <c r="F3111" t="str">
        <f t="shared" si="243"/>
        <v/>
      </c>
      <c r="G3111" t="str">
        <f t="shared" si="244"/>
        <v/>
      </c>
    </row>
    <row r="3112" spans="1:7" x14ac:dyDescent="0.4">
      <c r="A3112" t="str">
        <f t="shared" si="240"/>
        <v/>
      </c>
      <c r="B3112" t="str">
        <f t="shared" si="241"/>
        <v/>
      </c>
      <c r="C3112" t="str">
        <f t="shared" si="242"/>
        <v/>
      </c>
      <c r="D3112" t="str">
        <f>IF(E3112="","",IF(COUNTIF($E$2:E3112,E3112)&gt;1,"",SUMIFS(tbl_input[필요수량],tbl_input[집계키_지청],E3112)))</f>
        <v/>
      </c>
      <c r="E3112" t="str">
        <f>IFERROR(INDEX(tbl_input[집계키_지청],ROW()-1),"")</f>
        <v/>
      </c>
      <c r="F3112" t="str">
        <f t="shared" si="243"/>
        <v/>
      </c>
      <c r="G3112" t="str">
        <f t="shared" si="244"/>
        <v/>
      </c>
    </row>
    <row r="3113" spans="1:7" x14ac:dyDescent="0.4">
      <c r="A3113" t="str">
        <f t="shared" si="240"/>
        <v/>
      </c>
      <c r="B3113" t="str">
        <f t="shared" si="241"/>
        <v/>
      </c>
      <c r="C3113" t="str">
        <f t="shared" si="242"/>
        <v/>
      </c>
      <c r="D3113" t="str">
        <f>IF(E3113="","",IF(COUNTIF($E$2:E3113,E3113)&gt;1,"",SUMIFS(tbl_input[필요수량],tbl_input[집계키_지청],E3113)))</f>
        <v/>
      </c>
      <c r="E3113" t="str">
        <f>IFERROR(INDEX(tbl_input[집계키_지청],ROW()-1),"")</f>
        <v/>
      </c>
      <c r="F3113" t="str">
        <f t="shared" si="243"/>
        <v/>
      </c>
      <c r="G3113" t="str">
        <f t="shared" si="244"/>
        <v/>
      </c>
    </row>
    <row r="3114" spans="1:7" x14ac:dyDescent="0.4">
      <c r="A3114" t="str">
        <f t="shared" si="240"/>
        <v/>
      </c>
      <c r="B3114" t="str">
        <f t="shared" si="241"/>
        <v/>
      </c>
      <c r="C3114" t="str">
        <f t="shared" si="242"/>
        <v/>
      </c>
      <c r="D3114" t="str">
        <f>IF(E3114="","",IF(COUNTIF($E$2:E3114,E3114)&gt;1,"",SUMIFS(tbl_input[필요수량],tbl_input[집계키_지청],E3114)))</f>
        <v/>
      </c>
      <c r="E3114" t="str">
        <f>IFERROR(INDEX(tbl_input[집계키_지청],ROW()-1),"")</f>
        <v/>
      </c>
      <c r="F3114" t="str">
        <f t="shared" si="243"/>
        <v/>
      </c>
      <c r="G3114" t="str">
        <f t="shared" si="244"/>
        <v/>
      </c>
    </row>
    <row r="3115" spans="1:7" x14ac:dyDescent="0.4">
      <c r="A3115" t="str">
        <f t="shared" si="240"/>
        <v/>
      </c>
      <c r="B3115" t="str">
        <f t="shared" si="241"/>
        <v/>
      </c>
      <c r="C3115" t="str">
        <f t="shared" si="242"/>
        <v/>
      </c>
      <c r="D3115" t="str">
        <f>IF(E3115="","",IF(COUNTIF($E$2:E3115,E3115)&gt;1,"",SUMIFS(tbl_input[필요수량],tbl_input[집계키_지청],E3115)))</f>
        <v/>
      </c>
      <c r="E3115" t="str">
        <f>IFERROR(INDEX(tbl_input[집계키_지청],ROW()-1),"")</f>
        <v/>
      </c>
      <c r="F3115" t="str">
        <f t="shared" si="243"/>
        <v/>
      </c>
      <c r="G3115" t="str">
        <f t="shared" si="244"/>
        <v/>
      </c>
    </row>
    <row r="3116" spans="1:7" x14ac:dyDescent="0.4">
      <c r="A3116" t="str">
        <f t="shared" si="240"/>
        <v/>
      </c>
      <c r="B3116" t="str">
        <f t="shared" si="241"/>
        <v/>
      </c>
      <c r="C3116" t="str">
        <f t="shared" si="242"/>
        <v/>
      </c>
      <c r="D3116" t="str">
        <f>IF(E3116="","",IF(COUNTIF($E$2:E3116,E3116)&gt;1,"",SUMIFS(tbl_input[필요수량],tbl_input[집계키_지청],E3116)))</f>
        <v/>
      </c>
      <c r="E3116" t="str">
        <f>IFERROR(INDEX(tbl_input[집계키_지청],ROW()-1),"")</f>
        <v/>
      </c>
      <c r="F3116" t="str">
        <f t="shared" si="243"/>
        <v/>
      </c>
      <c r="G3116" t="str">
        <f t="shared" si="244"/>
        <v/>
      </c>
    </row>
    <row r="3117" spans="1:7" x14ac:dyDescent="0.4">
      <c r="A3117" t="str">
        <f t="shared" si="240"/>
        <v/>
      </c>
      <c r="B3117" t="str">
        <f t="shared" si="241"/>
        <v/>
      </c>
      <c r="C3117" t="str">
        <f t="shared" si="242"/>
        <v/>
      </c>
      <c r="D3117" t="str">
        <f>IF(E3117="","",IF(COUNTIF($E$2:E3117,E3117)&gt;1,"",SUMIFS(tbl_input[필요수량],tbl_input[집계키_지청],E3117)))</f>
        <v/>
      </c>
      <c r="E3117" t="str">
        <f>IFERROR(INDEX(tbl_input[집계키_지청],ROW()-1),"")</f>
        <v/>
      </c>
      <c r="F3117" t="str">
        <f t="shared" si="243"/>
        <v/>
      </c>
      <c r="G3117" t="str">
        <f t="shared" si="244"/>
        <v/>
      </c>
    </row>
    <row r="3118" spans="1:7" x14ac:dyDescent="0.4">
      <c r="A3118" t="str">
        <f t="shared" si="240"/>
        <v/>
      </c>
      <c r="B3118" t="str">
        <f t="shared" si="241"/>
        <v/>
      </c>
      <c r="C3118" t="str">
        <f t="shared" si="242"/>
        <v/>
      </c>
      <c r="D3118" t="str">
        <f>IF(E3118="","",IF(COUNTIF($E$2:E3118,E3118)&gt;1,"",SUMIFS(tbl_input[필요수량],tbl_input[집계키_지청],E3118)))</f>
        <v/>
      </c>
      <c r="E3118" t="str">
        <f>IFERROR(INDEX(tbl_input[집계키_지청],ROW()-1),"")</f>
        <v/>
      </c>
      <c r="F3118" t="str">
        <f t="shared" si="243"/>
        <v/>
      </c>
      <c r="G3118" t="str">
        <f t="shared" si="244"/>
        <v/>
      </c>
    </row>
    <row r="3119" spans="1:7" x14ac:dyDescent="0.4">
      <c r="A3119" t="str">
        <f t="shared" si="240"/>
        <v/>
      </c>
      <c r="B3119" t="str">
        <f t="shared" si="241"/>
        <v/>
      </c>
      <c r="C3119" t="str">
        <f t="shared" si="242"/>
        <v/>
      </c>
      <c r="D3119" t="str">
        <f>IF(E3119="","",IF(COUNTIF($E$2:E3119,E3119)&gt;1,"",SUMIFS(tbl_input[필요수량],tbl_input[집계키_지청],E3119)))</f>
        <v/>
      </c>
      <c r="E3119" t="str">
        <f>IFERROR(INDEX(tbl_input[집계키_지청],ROW()-1),"")</f>
        <v/>
      </c>
      <c r="F3119" t="str">
        <f t="shared" si="243"/>
        <v/>
      </c>
      <c r="G3119" t="str">
        <f t="shared" si="244"/>
        <v/>
      </c>
    </row>
    <row r="3120" spans="1:7" x14ac:dyDescent="0.4">
      <c r="A3120" t="str">
        <f t="shared" si="240"/>
        <v/>
      </c>
      <c r="B3120" t="str">
        <f t="shared" si="241"/>
        <v/>
      </c>
      <c r="C3120" t="str">
        <f t="shared" si="242"/>
        <v/>
      </c>
      <c r="D3120" t="str">
        <f>IF(E3120="","",IF(COUNTIF($E$2:E3120,E3120)&gt;1,"",SUMIFS(tbl_input[필요수량],tbl_input[집계키_지청],E3120)))</f>
        <v/>
      </c>
      <c r="E3120" t="str">
        <f>IFERROR(INDEX(tbl_input[집계키_지청],ROW()-1),"")</f>
        <v/>
      </c>
      <c r="F3120" t="str">
        <f t="shared" si="243"/>
        <v/>
      </c>
      <c r="G3120" t="str">
        <f t="shared" si="244"/>
        <v/>
      </c>
    </row>
    <row r="3121" spans="1:7" x14ac:dyDescent="0.4">
      <c r="A3121" t="str">
        <f t="shared" si="240"/>
        <v/>
      </c>
      <c r="B3121" t="str">
        <f t="shared" si="241"/>
        <v/>
      </c>
      <c r="C3121" t="str">
        <f t="shared" si="242"/>
        <v/>
      </c>
      <c r="D3121" t="str">
        <f>IF(E3121="","",IF(COUNTIF($E$2:E3121,E3121)&gt;1,"",SUMIFS(tbl_input[필요수량],tbl_input[집계키_지청],E3121)))</f>
        <v/>
      </c>
      <c r="E3121" t="str">
        <f>IFERROR(INDEX(tbl_input[집계키_지청],ROW()-1),"")</f>
        <v/>
      </c>
      <c r="F3121" t="str">
        <f t="shared" si="243"/>
        <v/>
      </c>
      <c r="G3121" t="str">
        <f t="shared" si="244"/>
        <v/>
      </c>
    </row>
    <row r="3122" spans="1:7" x14ac:dyDescent="0.4">
      <c r="A3122" t="str">
        <f t="shared" si="240"/>
        <v/>
      </c>
      <c r="B3122" t="str">
        <f t="shared" si="241"/>
        <v/>
      </c>
      <c r="C3122" t="str">
        <f t="shared" si="242"/>
        <v/>
      </c>
      <c r="D3122" t="str">
        <f>IF(E3122="","",IF(COUNTIF($E$2:E3122,E3122)&gt;1,"",SUMIFS(tbl_input[필요수량],tbl_input[집계키_지청],E3122)))</f>
        <v/>
      </c>
      <c r="E3122" t="str">
        <f>IFERROR(INDEX(tbl_input[집계키_지청],ROW()-1),"")</f>
        <v/>
      </c>
      <c r="F3122" t="str">
        <f t="shared" si="243"/>
        <v/>
      </c>
      <c r="G3122" t="str">
        <f t="shared" si="244"/>
        <v/>
      </c>
    </row>
    <row r="3123" spans="1:7" x14ac:dyDescent="0.4">
      <c r="A3123" t="str">
        <f t="shared" si="240"/>
        <v/>
      </c>
      <c r="B3123" t="str">
        <f t="shared" si="241"/>
        <v/>
      </c>
      <c r="C3123" t="str">
        <f t="shared" si="242"/>
        <v/>
      </c>
      <c r="D3123" t="str">
        <f>IF(E3123="","",IF(COUNTIF($E$2:E3123,E3123)&gt;1,"",SUMIFS(tbl_input[필요수량],tbl_input[집계키_지청],E3123)))</f>
        <v/>
      </c>
      <c r="E3123" t="str">
        <f>IFERROR(INDEX(tbl_input[집계키_지청],ROW()-1),"")</f>
        <v/>
      </c>
      <c r="F3123" t="str">
        <f t="shared" si="243"/>
        <v/>
      </c>
      <c r="G3123" t="str">
        <f t="shared" si="244"/>
        <v/>
      </c>
    </row>
    <row r="3124" spans="1:7" x14ac:dyDescent="0.4">
      <c r="A3124" t="str">
        <f t="shared" si="240"/>
        <v/>
      </c>
      <c r="B3124" t="str">
        <f t="shared" si="241"/>
        <v/>
      </c>
      <c r="C3124" t="str">
        <f t="shared" si="242"/>
        <v/>
      </c>
      <c r="D3124" t="str">
        <f>IF(E3124="","",IF(COUNTIF($E$2:E3124,E3124)&gt;1,"",SUMIFS(tbl_input[필요수량],tbl_input[집계키_지청],E3124)))</f>
        <v/>
      </c>
      <c r="E3124" t="str">
        <f>IFERROR(INDEX(tbl_input[집계키_지청],ROW()-1),"")</f>
        <v/>
      </c>
      <c r="F3124" t="str">
        <f t="shared" si="243"/>
        <v/>
      </c>
      <c r="G3124" t="str">
        <f t="shared" si="244"/>
        <v/>
      </c>
    </row>
    <row r="3125" spans="1:7" x14ac:dyDescent="0.4">
      <c r="A3125" t="str">
        <f t="shared" si="240"/>
        <v/>
      </c>
      <c r="B3125" t="str">
        <f t="shared" si="241"/>
        <v/>
      </c>
      <c r="C3125" t="str">
        <f t="shared" si="242"/>
        <v/>
      </c>
      <c r="D3125" t="str">
        <f>IF(E3125="","",IF(COUNTIF($E$2:E3125,E3125)&gt;1,"",SUMIFS(tbl_input[필요수량],tbl_input[집계키_지청],E3125)))</f>
        <v/>
      </c>
      <c r="E3125" t="str">
        <f>IFERROR(INDEX(tbl_input[집계키_지청],ROW()-1),"")</f>
        <v/>
      </c>
      <c r="F3125" t="str">
        <f t="shared" si="243"/>
        <v/>
      </c>
      <c r="G3125" t="str">
        <f t="shared" si="244"/>
        <v/>
      </c>
    </row>
    <row r="3126" spans="1:7" x14ac:dyDescent="0.4">
      <c r="A3126" t="str">
        <f t="shared" si="240"/>
        <v/>
      </c>
      <c r="B3126" t="str">
        <f t="shared" si="241"/>
        <v/>
      </c>
      <c r="C3126" t="str">
        <f t="shared" si="242"/>
        <v/>
      </c>
      <c r="D3126" t="str">
        <f>IF(E3126="","",IF(COUNTIF($E$2:E3126,E3126)&gt;1,"",SUMIFS(tbl_input[필요수량],tbl_input[집계키_지청],E3126)))</f>
        <v/>
      </c>
      <c r="E3126" t="str">
        <f>IFERROR(INDEX(tbl_input[집계키_지청],ROW()-1),"")</f>
        <v/>
      </c>
      <c r="F3126" t="str">
        <f t="shared" si="243"/>
        <v/>
      </c>
      <c r="G3126" t="str">
        <f t="shared" si="244"/>
        <v/>
      </c>
    </row>
    <row r="3127" spans="1:7" x14ac:dyDescent="0.4">
      <c r="A3127" t="str">
        <f t="shared" si="240"/>
        <v/>
      </c>
      <c r="B3127" t="str">
        <f t="shared" si="241"/>
        <v/>
      </c>
      <c r="C3127" t="str">
        <f t="shared" si="242"/>
        <v/>
      </c>
      <c r="D3127" t="str">
        <f>IF(E3127="","",IF(COUNTIF($E$2:E3127,E3127)&gt;1,"",SUMIFS(tbl_input[필요수량],tbl_input[집계키_지청],E3127)))</f>
        <v/>
      </c>
      <c r="E3127" t="str">
        <f>IFERROR(INDEX(tbl_input[집계키_지청],ROW()-1),"")</f>
        <v/>
      </c>
      <c r="F3127" t="str">
        <f t="shared" si="243"/>
        <v/>
      </c>
      <c r="G3127" t="str">
        <f t="shared" si="244"/>
        <v/>
      </c>
    </row>
    <row r="3128" spans="1:7" x14ac:dyDescent="0.4">
      <c r="A3128" t="str">
        <f t="shared" si="240"/>
        <v/>
      </c>
      <c r="B3128" t="str">
        <f t="shared" si="241"/>
        <v/>
      </c>
      <c r="C3128" t="str">
        <f t="shared" si="242"/>
        <v/>
      </c>
      <c r="D3128" t="str">
        <f>IF(E3128="","",IF(COUNTIF($E$2:E3128,E3128)&gt;1,"",SUMIFS(tbl_input[필요수량],tbl_input[집계키_지청],E3128)))</f>
        <v/>
      </c>
      <c r="E3128" t="str">
        <f>IFERROR(INDEX(tbl_input[집계키_지청],ROW()-1),"")</f>
        <v/>
      </c>
      <c r="F3128" t="str">
        <f t="shared" si="243"/>
        <v/>
      </c>
      <c r="G3128" t="str">
        <f t="shared" si="244"/>
        <v/>
      </c>
    </row>
    <row r="3129" spans="1:7" x14ac:dyDescent="0.4">
      <c r="A3129" t="str">
        <f t="shared" si="240"/>
        <v/>
      </c>
      <c r="B3129" t="str">
        <f t="shared" si="241"/>
        <v/>
      </c>
      <c r="C3129" t="str">
        <f t="shared" si="242"/>
        <v/>
      </c>
      <c r="D3129" t="str">
        <f>IF(E3129="","",IF(COUNTIF($E$2:E3129,E3129)&gt;1,"",SUMIFS(tbl_input[필요수량],tbl_input[집계키_지청],E3129)))</f>
        <v/>
      </c>
      <c r="E3129" t="str">
        <f>IFERROR(INDEX(tbl_input[집계키_지청],ROW()-1),"")</f>
        <v/>
      </c>
      <c r="F3129" t="str">
        <f t="shared" si="243"/>
        <v/>
      </c>
      <c r="G3129" t="str">
        <f t="shared" si="244"/>
        <v/>
      </c>
    </row>
    <row r="3130" spans="1:7" x14ac:dyDescent="0.4">
      <c r="A3130" t="str">
        <f t="shared" si="240"/>
        <v/>
      </c>
      <c r="B3130" t="str">
        <f t="shared" si="241"/>
        <v/>
      </c>
      <c r="C3130" t="str">
        <f t="shared" si="242"/>
        <v/>
      </c>
      <c r="D3130" t="str">
        <f>IF(E3130="","",IF(COUNTIF($E$2:E3130,E3130)&gt;1,"",SUMIFS(tbl_input[필요수량],tbl_input[집계키_지청],E3130)))</f>
        <v/>
      </c>
      <c r="E3130" t="str">
        <f>IFERROR(INDEX(tbl_input[집계키_지청],ROW()-1),"")</f>
        <v/>
      </c>
      <c r="F3130" t="str">
        <f t="shared" si="243"/>
        <v/>
      </c>
      <c r="G3130" t="str">
        <f t="shared" si="244"/>
        <v/>
      </c>
    </row>
    <row r="3131" spans="1:7" x14ac:dyDescent="0.4">
      <c r="A3131" t="str">
        <f t="shared" si="240"/>
        <v/>
      </c>
      <c r="B3131" t="str">
        <f t="shared" si="241"/>
        <v/>
      </c>
      <c r="C3131" t="str">
        <f t="shared" si="242"/>
        <v/>
      </c>
      <c r="D3131" t="str">
        <f>IF(E3131="","",IF(COUNTIF($E$2:E3131,E3131)&gt;1,"",SUMIFS(tbl_input[필요수량],tbl_input[집계키_지청],E3131)))</f>
        <v/>
      </c>
      <c r="E3131" t="str">
        <f>IFERROR(INDEX(tbl_input[집계키_지청],ROW()-1),"")</f>
        <v/>
      </c>
      <c r="F3131" t="str">
        <f t="shared" si="243"/>
        <v/>
      </c>
      <c r="G3131" t="str">
        <f t="shared" si="244"/>
        <v/>
      </c>
    </row>
    <row r="3132" spans="1:7" x14ac:dyDescent="0.4">
      <c r="A3132" t="str">
        <f t="shared" si="240"/>
        <v/>
      </c>
      <c r="B3132" t="str">
        <f t="shared" si="241"/>
        <v/>
      </c>
      <c r="C3132" t="str">
        <f t="shared" si="242"/>
        <v/>
      </c>
      <c r="D3132" t="str">
        <f>IF(E3132="","",IF(COUNTIF($E$2:E3132,E3132)&gt;1,"",SUMIFS(tbl_input[필요수량],tbl_input[집계키_지청],E3132)))</f>
        <v/>
      </c>
      <c r="E3132" t="str">
        <f>IFERROR(INDEX(tbl_input[집계키_지청],ROW()-1),"")</f>
        <v/>
      </c>
      <c r="F3132" t="str">
        <f t="shared" si="243"/>
        <v/>
      </c>
      <c r="G3132" t="str">
        <f t="shared" si="244"/>
        <v/>
      </c>
    </row>
    <row r="3133" spans="1:7" x14ac:dyDescent="0.4">
      <c r="A3133" t="str">
        <f t="shared" si="240"/>
        <v/>
      </c>
      <c r="B3133" t="str">
        <f t="shared" si="241"/>
        <v/>
      </c>
      <c r="C3133" t="str">
        <f t="shared" si="242"/>
        <v/>
      </c>
      <c r="D3133" t="str">
        <f>IF(E3133="","",IF(COUNTIF($E$2:E3133,E3133)&gt;1,"",SUMIFS(tbl_input[필요수량],tbl_input[집계키_지청],E3133)))</f>
        <v/>
      </c>
      <c r="E3133" t="str">
        <f>IFERROR(INDEX(tbl_input[집계키_지청],ROW()-1),"")</f>
        <v/>
      </c>
      <c r="F3133" t="str">
        <f t="shared" si="243"/>
        <v/>
      </c>
      <c r="G3133" t="str">
        <f t="shared" si="244"/>
        <v/>
      </c>
    </row>
    <row r="3134" spans="1:7" x14ac:dyDescent="0.4">
      <c r="A3134" t="str">
        <f t="shared" si="240"/>
        <v/>
      </c>
      <c r="B3134" t="str">
        <f t="shared" si="241"/>
        <v/>
      </c>
      <c r="C3134" t="str">
        <f t="shared" si="242"/>
        <v/>
      </c>
      <c r="D3134" t="str">
        <f>IF(E3134="","",IF(COUNTIF($E$2:E3134,E3134)&gt;1,"",SUMIFS(tbl_input[필요수량],tbl_input[집계키_지청],E3134)))</f>
        <v/>
      </c>
      <c r="E3134" t="str">
        <f>IFERROR(INDEX(tbl_input[집계키_지청],ROW()-1),"")</f>
        <v/>
      </c>
      <c r="F3134" t="str">
        <f t="shared" si="243"/>
        <v/>
      </c>
      <c r="G3134" t="str">
        <f t="shared" si="244"/>
        <v/>
      </c>
    </row>
    <row r="3135" spans="1:7" x14ac:dyDescent="0.4">
      <c r="A3135" t="str">
        <f t="shared" si="240"/>
        <v/>
      </c>
      <c r="B3135" t="str">
        <f t="shared" si="241"/>
        <v/>
      </c>
      <c r="C3135" t="str">
        <f t="shared" si="242"/>
        <v/>
      </c>
      <c r="D3135" t="str">
        <f>IF(E3135="","",IF(COUNTIF($E$2:E3135,E3135)&gt;1,"",SUMIFS(tbl_input[필요수량],tbl_input[집계키_지청],E3135)))</f>
        <v/>
      </c>
      <c r="E3135" t="str">
        <f>IFERROR(INDEX(tbl_input[집계키_지청],ROW()-1),"")</f>
        <v/>
      </c>
      <c r="F3135" t="str">
        <f t="shared" si="243"/>
        <v/>
      </c>
      <c r="G3135" t="str">
        <f t="shared" si="244"/>
        <v/>
      </c>
    </row>
    <row r="3136" spans="1:7" x14ac:dyDescent="0.4">
      <c r="A3136" t="str">
        <f t="shared" si="240"/>
        <v/>
      </c>
      <c r="B3136" t="str">
        <f t="shared" si="241"/>
        <v/>
      </c>
      <c r="C3136" t="str">
        <f t="shared" si="242"/>
        <v/>
      </c>
      <c r="D3136" t="str">
        <f>IF(E3136="","",IF(COUNTIF($E$2:E3136,E3136)&gt;1,"",SUMIFS(tbl_input[필요수량],tbl_input[집계키_지청],E3136)))</f>
        <v/>
      </c>
      <c r="E3136" t="str">
        <f>IFERROR(INDEX(tbl_input[집계키_지청],ROW()-1),"")</f>
        <v/>
      </c>
      <c r="F3136" t="str">
        <f t="shared" si="243"/>
        <v/>
      </c>
      <c r="G3136" t="str">
        <f t="shared" si="244"/>
        <v/>
      </c>
    </row>
    <row r="3137" spans="1:7" x14ac:dyDescent="0.4">
      <c r="A3137" t="str">
        <f t="shared" si="240"/>
        <v/>
      </c>
      <c r="B3137" t="str">
        <f t="shared" si="241"/>
        <v/>
      </c>
      <c r="C3137" t="str">
        <f t="shared" si="242"/>
        <v/>
      </c>
      <c r="D3137" t="str">
        <f>IF(E3137="","",IF(COUNTIF($E$2:E3137,E3137)&gt;1,"",SUMIFS(tbl_input[필요수량],tbl_input[집계키_지청],E3137)))</f>
        <v/>
      </c>
      <c r="E3137" t="str">
        <f>IFERROR(INDEX(tbl_input[집계키_지청],ROW()-1),"")</f>
        <v/>
      </c>
      <c r="F3137" t="str">
        <f t="shared" si="243"/>
        <v/>
      </c>
      <c r="G3137" t="str">
        <f t="shared" si="244"/>
        <v/>
      </c>
    </row>
    <row r="3138" spans="1:7" x14ac:dyDescent="0.4">
      <c r="A3138" t="str">
        <f t="shared" ref="A3138:A3201" si="245">IF(E3138="","",LEFT(E3138,F3138-1))</f>
        <v/>
      </c>
      <c r="B3138" t="str">
        <f t="shared" ref="B3138:B3201" si="246">IF(E3138="","",MID(E3138,F3138+1,G3138-F3138-1))</f>
        <v/>
      </c>
      <c r="C3138" t="str">
        <f t="shared" ref="C3138:C3201" si="247">IF(E3138="","",MID(E3138,G3138+1,999))</f>
        <v/>
      </c>
      <c r="D3138" t="str">
        <f>IF(E3138="","",IF(COUNTIF($E$2:E3138,E3138)&gt;1,"",SUMIFS(tbl_input[필요수량],tbl_input[집계키_지청],E3138)))</f>
        <v/>
      </c>
      <c r="E3138" t="str">
        <f>IFERROR(INDEX(tbl_input[집계키_지청],ROW()-1),"")</f>
        <v/>
      </c>
      <c r="F3138" t="str">
        <f t="shared" ref="F3138:F3201" si="248">IF(E3138="","",FIND("♦",E3138))</f>
        <v/>
      </c>
      <c r="G3138" t="str">
        <f t="shared" ref="G3138:G3201" si="249">IF(E3138="","",FIND("♦",E3138,F3138+1))</f>
        <v/>
      </c>
    </row>
    <row r="3139" spans="1:7" x14ac:dyDescent="0.4">
      <c r="A3139" t="str">
        <f t="shared" si="245"/>
        <v/>
      </c>
      <c r="B3139" t="str">
        <f t="shared" si="246"/>
        <v/>
      </c>
      <c r="C3139" t="str">
        <f t="shared" si="247"/>
        <v/>
      </c>
      <c r="D3139" t="str">
        <f>IF(E3139="","",IF(COUNTIF($E$2:E3139,E3139)&gt;1,"",SUMIFS(tbl_input[필요수량],tbl_input[집계키_지청],E3139)))</f>
        <v/>
      </c>
      <c r="E3139" t="str">
        <f>IFERROR(INDEX(tbl_input[집계키_지청],ROW()-1),"")</f>
        <v/>
      </c>
      <c r="F3139" t="str">
        <f t="shared" si="248"/>
        <v/>
      </c>
      <c r="G3139" t="str">
        <f t="shared" si="249"/>
        <v/>
      </c>
    </row>
    <row r="3140" spans="1:7" x14ac:dyDescent="0.4">
      <c r="A3140" t="str">
        <f t="shared" si="245"/>
        <v/>
      </c>
      <c r="B3140" t="str">
        <f t="shared" si="246"/>
        <v/>
      </c>
      <c r="C3140" t="str">
        <f t="shared" si="247"/>
        <v/>
      </c>
      <c r="D3140" t="str">
        <f>IF(E3140="","",IF(COUNTIF($E$2:E3140,E3140)&gt;1,"",SUMIFS(tbl_input[필요수량],tbl_input[집계키_지청],E3140)))</f>
        <v/>
      </c>
      <c r="E3140" t="str">
        <f>IFERROR(INDEX(tbl_input[집계키_지청],ROW()-1),"")</f>
        <v/>
      </c>
      <c r="F3140" t="str">
        <f t="shared" si="248"/>
        <v/>
      </c>
      <c r="G3140" t="str">
        <f t="shared" si="249"/>
        <v/>
      </c>
    </row>
    <row r="3141" spans="1:7" x14ac:dyDescent="0.4">
      <c r="A3141" t="str">
        <f t="shared" si="245"/>
        <v/>
      </c>
      <c r="B3141" t="str">
        <f t="shared" si="246"/>
        <v/>
      </c>
      <c r="C3141" t="str">
        <f t="shared" si="247"/>
        <v/>
      </c>
      <c r="D3141" t="str">
        <f>IF(E3141="","",IF(COUNTIF($E$2:E3141,E3141)&gt;1,"",SUMIFS(tbl_input[필요수량],tbl_input[집계키_지청],E3141)))</f>
        <v/>
      </c>
      <c r="E3141" t="str">
        <f>IFERROR(INDEX(tbl_input[집계키_지청],ROW()-1),"")</f>
        <v/>
      </c>
      <c r="F3141" t="str">
        <f t="shared" si="248"/>
        <v/>
      </c>
      <c r="G3141" t="str">
        <f t="shared" si="249"/>
        <v/>
      </c>
    </row>
    <row r="3142" spans="1:7" x14ac:dyDescent="0.4">
      <c r="A3142" t="str">
        <f t="shared" si="245"/>
        <v/>
      </c>
      <c r="B3142" t="str">
        <f t="shared" si="246"/>
        <v/>
      </c>
      <c r="C3142" t="str">
        <f t="shared" si="247"/>
        <v/>
      </c>
      <c r="D3142" t="str">
        <f>IF(E3142="","",IF(COUNTIF($E$2:E3142,E3142)&gt;1,"",SUMIFS(tbl_input[필요수량],tbl_input[집계키_지청],E3142)))</f>
        <v/>
      </c>
      <c r="E3142" t="str">
        <f>IFERROR(INDEX(tbl_input[집계키_지청],ROW()-1),"")</f>
        <v/>
      </c>
      <c r="F3142" t="str">
        <f t="shared" si="248"/>
        <v/>
      </c>
      <c r="G3142" t="str">
        <f t="shared" si="249"/>
        <v/>
      </c>
    </row>
    <row r="3143" spans="1:7" x14ac:dyDescent="0.4">
      <c r="A3143" t="str">
        <f t="shared" si="245"/>
        <v/>
      </c>
      <c r="B3143" t="str">
        <f t="shared" si="246"/>
        <v/>
      </c>
      <c r="C3143" t="str">
        <f t="shared" si="247"/>
        <v/>
      </c>
      <c r="D3143" t="str">
        <f>IF(E3143="","",IF(COUNTIF($E$2:E3143,E3143)&gt;1,"",SUMIFS(tbl_input[필요수량],tbl_input[집계키_지청],E3143)))</f>
        <v/>
      </c>
      <c r="E3143" t="str">
        <f>IFERROR(INDEX(tbl_input[집계키_지청],ROW()-1),"")</f>
        <v/>
      </c>
      <c r="F3143" t="str">
        <f t="shared" si="248"/>
        <v/>
      </c>
      <c r="G3143" t="str">
        <f t="shared" si="249"/>
        <v/>
      </c>
    </row>
    <row r="3144" spans="1:7" x14ac:dyDescent="0.4">
      <c r="A3144" t="str">
        <f t="shared" si="245"/>
        <v/>
      </c>
      <c r="B3144" t="str">
        <f t="shared" si="246"/>
        <v/>
      </c>
      <c r="C3144" t="str">
        <f t="shared" si="247"/>
        <v/>
      </c>
      <c r="D3144" t="str">
        <f>IF(E3144="","",IF(COUNTIF($E$2:E3144,E3144)&gt;1,"",SUMIFS(tbl_input[필요수량],tbl_input[집계키_지청],E3144)))</f>
        <v/>
      </c>
      <c r="E3144" t="str">
        <f>IFERROR(INDEX(tbl_input[집계키_지청],ROW()-1),"")</f>
        <v/>
      </c>
      <c r="F3144" t="str">
        <f t="shared" si="248"/>
        <v/>
      </c>
      <c r="G3144" t="str">
        <f t="shared" si="249"/>
        <v/>
      </c>
    </row>
    <row r="3145" spans="1:7" x14ac:dyDescent="0.4">
      <c r="A3145" t="str">
        <f t="shared" si="245"/>
        <v/>
      </c>
      <c r="B3145" t="str">
        <f t="shared" si="246"/>
        <v/>
      </c>
      <c r="C3145" t="str">
        <f t="shared" si="247"/>
        <v/>
      </c>
      <c r="D3145" t="str">
        <f>IF(E3145="","",IF(COUNTIF($E$2:E3145,E3145)&gt;1,"",SUMIFS(tbl_input[필요수량],tbl_input[집계키_지청],E3145)))</f>
        <v/>
      </c>
      <c r="E3145" t="str">
        <f>IFERROR(INDEX(tbl_input[집계키_지청],ROW()-1),"")</f>
        <v/>
      </c>
      <c r="F3145" t="str">
        <f t="shared" si="248"/>
        <v/>
      </c>
      <c r="G3145" t="str">
        <f t="shared" si="249"/>
        <v/>
      </c>
    </row>
    <row r="3146" spans="1:7" x14ac:dyDescent="0.4">
      <c r="A3146" t="str">
        <f t="shared" si="245"/>
        <v/>
      </c>
      <c r="B3146" t="str">
        <f t="shared" si="246"/>
        <v/>
      </c>
      <c r="C3146" t="str">
        <f t="shared" si="247"/>
        <v/>
      </c>
      <c r="D3146" t="str">
        <f>IF(E3146="","",IF(COUNTIF($E$2:E3146,E3146)&gt;1,"",SUMIFS(tbl_input[필요수량],tbl_input[집계키_지청],E3146)))</f>
        <v/>
      </c>
      <c r="E3146" t="str">
        <f>IFERROR(INDEX(tbl_input[집계키_지청],ROW()-1),"")</f>
        <v/>
      </c>
      <c r="F3146" t="str">
        <f t="shared" si="248"/>
        <v/>
      </c>
      <c r="G3146" t="str">
        <f t="shared" si="249"/>
        <v/>
      </c>
    </row>
    <row r="3147" spans="1:7" x14ac:dyDescent="0.4">
      <c r="A3147" t="str">
        <f t="shared" si="245"/>
        <v/>
      </c>
      <c r="B3147" t="str">
        <f t="shared" si="246"/>
        <v/>
      </c>
      <c r="C3147" t="str">
        <f t="shared" si="247"/>
        <v/>
      </c>
      <c r="D3147" t="str">
        <f>IF(E3147="","",IF(COUNTIF($E$2:E3147,E3147)&gt;1,"",SUMIFS(tbl_input[필요수량],tbl_input[집계키_지청],E3147)))</f>
        <v/>
      </c>
      <c r="E3147" t="str">
        <f>IFERROR(INDEX(tbl_input[집계키_지청],ROW()-1),"")</f>
        <v/>
      </c>
      <c r="F3147" t="str">
        <f t="shared" si="248"/>
        <v/>
      </c>
      <c r="G3147" t="str">
        <f t="shared" si="249"/>
        <v/>
      </c>
    </row>
    <row r="3148" spans="1:7" x14ac:dyDescent="0.4">
      <c r="A3148" t="str">
        <f t="shared" si="245"/>
        <v/>
      </c>
      <c r="B3148" t="str">
        <f t="shared" si="246"/>
        <v/>
      </c>
      <c r="C3148" t="str">
        <f t="shared" si="247"/>
        <v/>
      </c>
      <c r="D3148" t="str">
        <f>IF(E3148="","",IF(COUNTIF($E$2:E3148,E3148)&gt;1,"",SUMIFS(tbl_input[필요수량],tbl_input[집계키_지청],E3148)))</f>
        <v/>
      </c>
      <c r="E3148" t="str">
        <f>IFERROR(INDEX(tbl_input[집계키_지청],ROW()-1),"")</f>
        <v/>
      </c>
      <c r="F3148" t="str">
        <f t="shared" si="248"/>
        <v/>
      </c>
      <c r="G3148" t="str">
        <f t="shared" si="249"/>
        <v/>
      </c>
    </row>
    <row r="3149" spans="1:7" x14ac:dyDescent="0.4">
      <c r="A3149" t="str">
        <f t="shared" si="245"/>
        <v/>
      </c>
      <c r="B3149" t="str">
        <f t="shared" si="246"/>
        <v/>
      </c>
      <c r="C3149" t="str">
        <f t="shared" si="247"/>
        <v/>
      </c>
      <c r="D3149" t="str">
        <f>IF(E3149="","",IF(COUNTIF($E$2:E3149,E3149)&gt;1,"",SUMIFS(tbl_input[필요수량],tbl_input[집계키_지청],E3149)))</f>
        <v/>
      </c>
      <c r="E3149" t="str">
        <f>IFERROR(INDEX(tbl_input[집계키_지청],ROW()-1),"")</f>
        <v/>
      </c>
      <c r="F3149" t="str">
        <f t="shared" si="248"/>
        <v/>
      </c>
      <c r="G3149" t="str">
        <f t="shared" si="249"/>
        <v/>
      </c>
    </row>
    <row r="3150" spans="1:7" x14ac:dyDescent="0.4">
      <c r="A3150" t="str">
        <f t="shared" si="245"/>
        <v/>
      </c>
      <c r="B3150" t="str">
        <f t="shared" si="246"/>
        <v/>
      </c>
      <c r="C3150" t="str">
        <f t="shared" si="247"/>
        <v/>
      </c>
      <c r="D3150" t="str">
        <f>IF(E3150="","",IF(COUNTIF($E$2:E3150,E3150)&gt;1,"",SUMIFS(tbl_input[필요수량],tbl_input[집계키_지청],E3150)))</f>
        <v/>
      </c>
      <c r="E3150" t="str">
        <f>IFERROR(INDEX(tbl_input[집계키_지청],ROW()-1),"")</f>
        <v/>
      </c>
      <c r="F3150" t="str">
        <f t="shared" si="248"/>
        <v/>
      </c>
      <c r="G3150" t="str">
        <f t="shared" si="249"/>
        <v/>
      </c>
    </row>
    <row r="3151" spans="1:7" x14ac:dyDescent="0.4">
      <c r="A3151" t="str">
        <f t="shared" si="245"/>
        <v/>
      </c>
      <c r="B3151" t="str">
        <f t="shared" si="246"/>
        <v/>
      </c>
      <c r="C3151" t="str">
        <f t="shared" si="247"/>
        <v/>
      </c>
      <c r="D3151" t="str">
        <f>IF(E3151="","",IF(COUNTIF($E$2:E3151,E3151)&gt;1,"",SUMIFS(tbl_input[필요수량],tbl_input[집계키_지청],E3151)))</f>
        <v/>
      </c>
      <c r="E3151" t="str">
        <f>IFERROR(INDEX(tbl_input[집계키_지청],ROW()-1),"")</f>
        <v/>
      </c>
      <c r="F3151" t="str">
        <f t="shared" si="248"/>
        <v/>
      </c>
      <c r="G3151" t="str">
        <f t="shared" si="249"/>
        <v/>
      </c>
    </row>
    <row r="3152" spans="1:7" x14ac:dyDescent="0.4">
      <c r="A3152" t="str">
        <f t="shared" si="245"/>
        <v/>
      </c>
      <c r="B3152" t="str">
        <f t="shared" si="246"/>
        <v/>
      </c>
      <c r="C3152" t="str">
        <f t="shared" si="247"/>
        <v/>
      </c>
      <c r="D3152" t="str">
        <f>IF(E3152="","",IF(COUNTIF($E$2:E3152,E3152)&gt;1,"",SUMIFS(tbl_input[필요수량],tbl_input[집계키_지청],E3152)))</f>
        <v/>
      </c>
      <c r="E3152" t="str">
        <f>IFERROR(INDEX(tbl_input[집계키_지청],ROW()-1),"")</f>
        <v/>
      </c>
      <c r="F3152" t="str">
        <f t="shared" si="248"/>
        <v/>
      </c>
      <c r="G3152" t="str">
        <f t="shared" si="249"/>
        <v/>
      </c>
    </row>
    <row r="3153" spans="1:7" x14ac:dyDescent="0.4">
      <c r="A3153" t="str">
        <f t="shared" si="245"/>
        <v/>
      </c>
      <c r="B3153" t="str">
        <f t="shared" si="246"/>
        <v/>
      </c>
      <c r="C3153" t="str">
        <f t="shared" si="247"/>
        <v/>
      </c>
      <c r="D3153" t="str">
        <f>IF(E3153="","",IF(COUNTIF($E$2:E3153,E3153)&gt;1,"",SUMIFS(tbl_input[필요수량],tbl_input[집계키_지청],E3153)))</f>
        <v/>
      </c>
      <c r="E3153" t="str">
        <f>IFERROR(INDEX(tbl_input[집계키_지청],ROW()-1),"")</f>
        <v/>
      </c>
      <c r="F3153" t="str">
        <f t="shared" si="248"/>
        <v/>
      </c>
      <c r="G3153" t="str">
        <f t="shared" si="249"/>
        <v/>
      </c>
    </row>
    <row r="3154" spans="1:7" x14ac:dyDescent="0.4">
      <c r="A3154" t="str">
        <f t="shared" si="245"/>
        <v/>
      </c>
      <c r="B3154" t="str">
        <f t="shared" si="246"/>
        <v/>
      </c>
      <c r="C3154" t="str">
        <f t="shared" si="247"/>
        <v/>
      </c>
      <c r="D3154" t="str">
        <f>IF(E3154="","",IF(COUNTIF($E$2:E3154,E3154)&gt;1,"",SUMIFS(tbl_input[필요수량],tbl_input[집계키_지청],E3154)))</f>
        <v/>
      </c>
      <c r="E3154" t="str">
        <f>IFERROR(INDEX(tbl_input[집계키_지청],ROW()-1),"")</f>
        <v/>
      </c>
      <c r="F3154" t="str">
        <f t="shared" si="248"/>
        <v/>
      </c>
      <c r="G3154" t="str">
        <f t="shared" si="249"/>
        <v/>
      </c>
    </row>
    <row r="3155" spans="1:7" x14ac:dyDescent="0.4">
      <c r="A3155" t="str">
        <f t="shared" si="245"/>
        <v/>
      </c>
      <c r="B3155" t="str">
        <f t="shared" si="246"/>
        <v/>
      </c>
      <c r="C3155" t="str">
        <f t="shared" si="247"/>
        <v/>
      </c>
      <c r="D3155" t="str">
        <f>IF(E3155="","",IF(COUNTIF($E$2:E3155,E3155)&gt;1,"",SUMIFS(tbl_input[필요수량],tbl_input[집계키_지청],E3155)))</f>
        <v/>
      </c>
      <c r="E3155" t="str">
        <f>IFERROR(INDEX(tbl_input[집계키_지청],ROW()-1),"")</f>
        <v/>
      </c>
      <c r="F3155" t="str">
        <f t="shared" si="248"/>
        <v/>
      </c>
      <c r="G3155" t="str">
        <f t="shared" si="249"/>
        <v/>
      </c>
    </row>
    <row r="3156" spans="1:7" x14ac:dyDescent="0.4">
      <c r="A3156" t="str">
        <f t="shared" si="245"/>
        <v/>
      </c>
      <c r="B3156" t="str">
        <f t="shared" si="246"/>
        <v/>
      </c>
      <c r="C3156" t="str">
        <f t="shared" si="247"/>
        <v/>
      </c>
      <c r="D3156" t="str">
        <f>IF(E3156="","",IF(COUNTIF($E$2:E3156,E3156)&gt;1,"",SUMIFS(tbl_input[필요수량],tbl_input[집계키_지청],E3156)))</f>
        <v/>
      </c>
      <c r="E3156" t="str">
        <f>IFERROR(INDEX(tbl_input[집계키_지청],ROW()-1),"")</f>
        <v/>
      </c>
      <c r="F3156" t="str">
        <f t="shared" si="248"/>
        <v/>
      </c>
      <c r="G3156" t="str">
        <f t="shared" si="249"/>
        <v/>
      </c>
    </row>
    <row r="3157" spans="1:7" x14ac:dyDescent="0.4">
      <c r="A3157" t="str">
        <f t="shared" si="245"/>
        <v/>
      </c>
      <c r="B3157" t="str">
        <f t="shared" si="246"/>
        <v/>
      </c>
      <c r="C3157" t="str">
        <f t="shared" si="247"/>
        <v/>
      </c>
      <c r="D3157" t="str">
        <f>IF(E3157="","",IF(COUNTIF($E$2:E3157,E3157)&gt;1,"",SUMIFS(tbl_input[필요수량],tbl_input[집계키_지청],E3157)))</f>
        <v/>
      </c>
      <c r="E3157" t="str">
        <f>IFERROR(INDEX(tbl_input[집계키_지청],ROW()-1),"")</f>
        <v/>
      </c>
      <c r="F3157" t="str">
        <f t="shared" si="248"/>
        <v/>
      </c>
      <c r="G3157" t="str">
        <f t="shared" si="249"/>
        <v/>
      </c>
    </row>
    <row r="3158" spans="1:7" x14ac:dyDescent="0.4">
      <c r="A3158" t="str">
        <f t="shared" si="245"/>
        <v/>
      </c>
      <c r="B3158" t="str">
        <f t="shared" si="246"/>
        <v/>
      </c>
      <c r="C3158" t="str">
        <f t="shared" si="247"/>
        <v/>
      </c>
      <c r="D3158" t="str">
        <f>IF(E3158="","",IF(COUNTIF($E$2:E3158,E3158)&gt;1,"",SUMIFS(tbl_input[필요수량],tbl_input[집계키_지청],E3158)))</f>
        <v/>
      </c>
      <c r="E3158" t="str">
        <f>IFERROR(INDEX(tbl_input[집계키_지청],ROW()-1),"")</f>
        <v/>
      </c>
      <c r="F3158" t="str">
        <f t="shared" si="248"/>
        <v/>
      </c>
      <c r="G3158" t="str">
        <f t="shared" si="249"/>
        <v/>
      </c>
    </row>
    <row r="3159" spans="1:7" x14ac:dyDescent="0.4">
      <c r="A3159" t="str">
        <f t="shared" si="245"/>
        <v/>
      </c>
      <c r="B3159" t="str">
        <f t="shared" si="246"/>
        <v/>
      </c>
      <c r="C3159" t="str">
        <f t="shared" si="247"/>
        <v/>
      </c>
      <c r="D3159" t="str">
        <f>IF(E3159="","",IF(COUNTIF($E$2:E3159,E3159)&gt;1,"",SUMIFS(tbl_input[필요수량],tbl_input[집계키_지청],E3159)))</f>
        <v/>
      </c>
      <c r="E3159" t="str">
        <f>IFERROR(INDEX(tbl_input[집계키_지청],ROW()-1),"")</f>
        <v/>
      </c>
      <c r="F3159" t="str">
        <f t="shared" si="248"/>
        <v/>
      </c>
      <c r="G3159" t="str">
        <f t="shared" si="249"/>
        <v/>
      </c>
    </row>
    <row r="3160" spans="1:7" x14ac:dyDescent="0.4">
      <c r="A3160" t="str">
        <f t="shared" si="245"/>
        <v/>
      </c>
      <c r="B3160" t="str">
        <f t="shared" si="246"/>
        <v/>
      </c>
      <c r="C3160" t="str">
        <f t="shared" si="247"/>
        <v/>
      </c>
      <c r="D3160" t="str">
        <f>IF(E3160="","",IF(COUNTIF($E$2:E3160,E3160)&gt;1,"",SUMIFS(tbl_input[필요수량],tbl_input[집계키_지청],E3160)))</f>
        <v/>
      </c>
      <c r="E3160" t="str">
        <f>IFERROR(INDEX(tbl_input[집계키_지청],ROW()-1),"")</f>
        <v/>
      </c>
      <c r="F3160" t="str">
        <f t="shared" si="248"/>
        <v/>
      </c>
      <c r="G3160" t="str">
        <f t="shared" si="249"/>
        <v/>
      </c>
    </row>
    <row r="3161" spans="1:7" x14ac:dyDescent="0.4">
      <c r="A3161" t="str">
        <f t="shared" si="245"/>
        <v/>
      </c>
      <c r="B3161" t="str">
        <f t="shared" si="246"/>
        <v/>
      </c>
      <c r="C3161" t="str">
        <f t="shared" si="247"/>
        <v/>
      </c>
      <c r="D3161" t="str">
        <f>IF(E3161="","",IF(COUNTIF($E$2:E3161,E3161)&gt;1,"",SUMIFS(tbl_input[필요수량],tbl_input[집계키_지청],E3161)))</f>
        <v/>
      </c>
      <c r="E3161" t="str">
        <f>IFERROR(INDEX(tbl_input[집계키_지청],ROW()-1),"")</f>
        <v/>
      </c>
      <c r="F3161" t="str">
        <f t="shared" si="248"/>
        <v/>
      </c>
      <c r="G3161" t="str">
        <f t="shared" si="249"/>
        <v/>
      </c>
    </row>
    <row r="3162" spans="1:7" x14ac:dyDescent="0.4">
      <c r="A3162" t="str">
        <f t="shared" si="245"/>
        <v/>
      </c>
      <c r="B3162" t="str">
        <f t="shared" si="246"/>
        <v/>
      </c>
      <c r="C3162" t="str">
        <f t="shared" si="247"/>
        <v/>
      </c>
      <c r="D3162" t="str">
        <f>IF(E3162="","",IF(COUNTIF($E$2:E3162,E3162)&gt;1,"",SUMIFS(tbl_input[필요수량],tbl_input[집계키_지청],E3162)))</f>
        <v/>
      </c>
      <c r="E3162" t="str">
        <f>IFERROR(INDEX(tbl_input[집계키_지청],ROW()-1),"")</f>
        <v/>
      </c>
      <c r="F3162" t="str">
        <f t="shared" si="248"/>
        <v/>
      </c>
      <c r="G3162" t="str">
        <f t="shared" si="249"/>
        <v/>
      </c>
    </row>
    <row r="3163" spans="1:7" x14ac:dyDescent="0.4">
      <c r="A3163" t="str">
        <f t="shared" si="245"/>
        <v/>
      </c>
      <c r="B3163" t="str">
        <f t="shared" si="246"/>
        <v/>
      </c>
      <c r="C3163" t="str">
        <f t="shared" si="247"/>
        <v/>
      </c>
      <c r="D3163" t="str">
        <f>IF(E3163="","",IF(COUNTIF($E$2:E3163,E3163)&gt;1,"",SUMIFS(tbl_input[필요수량],tbl_input[집계키_지청],E3163)))</f>
        <v/>
      </c>
      <c r="E3163" t="str">
        <f>IFERROR(INDEX(tbl_input[집계키_지청],ROW()-1),"")</f>
        <v/>
      </c>
      <c r="F3163" t="str">
        <f t="shared" si="248"/>
        <v/>
      </c>
      <c r="G3163" t="str">
        <f t="shared" si="249"/>
        <v/>
      </c>
    </row>
    <row r="3164" spans="1:7" x14ac:dyDescent="0.4">
      <c r="A3164" t="str">
        <f t="shared" si="245"/>
        <v/>
      </c>
      <c r="B3164" t="str">
        <f t="shared" si="246"/>
        <v/>
      </c>
      <c r="C3164" t="str">
        <f t="shared" si="247"/>
        <v/>
      </c>
      <c r="D3164" t="str">
        <f>IF(E3164="","",IF(COUNTIF($E$2:E3164,E3164)&gt;1,"",SUMIFS(tbl_input[필요수량],tbl_input[집계키_지청],E3164)))</f>
        <v/>
      </c>
      <c r="E3164" t="str">
        <f>IFERROR(INDEX(tbl_input[집계키_지청],ROW()-1),"")</f>
        <v/>
      </c>
      <c r="F3164" t="str">
        <f t="shared" si="248"/>
        <v/>
      </c>
      <c r="G3164" t="str">
        <f t="shared" si="249"/>
        <v/>
      </c>
    </row>
    <row r="3165" spans="1:7" x14ac:dyDescent="0.4">
      <c r="A3165" t="str">
        <f t="shared" si="245"/>
        <v/>
      </c>
      <c r="B3165" t="str">
        <f t="shared" si="246"/>
        <v/>
      </c>
      <c r="C3165" t="str">
        <f t="shared" si="247"/>
        <v/>
      </c>
      <c r="D3165" t="str">
        <f>IF(E3165="","",IF(COUNTIF($E$2:E3165,E3165)&gt;1,"",SUMIFS(tbl_input[필요수량],tbl_input[집계키_지청],E3165)))</f>
        <v/>
      </c>
      <c r="E3165" t="str">
        <f>IFERROR(INDEX(tbl_input[집계키_지청],ROW()-1),"")</f>
        <v/>
      </c>
      <c r="F3165" t="str">
        <f t="shared" si="248"/>
        <v/>
      </c>
      <c r="G3165" t="str">
        <f t="shared" si="249"/>
        <v/>
      </c>
    </row>
    <row r="3166" spans="1:7" x14ac:dyDescent="0.4">
      <c r="A3166" t="str">
        <f t="shared" si="245"/>
        <v/>
      </c>
      <c r="B3166" t="str">
        <f t="shared" si="246"/>
        <v/>
      </c>
      <c r="C3166" t="str">
        <f t="shared" si="247"/>
        <v/>
      </c>
      <c r="D3166" t="str">
        <f>IF(E3166="","",IF(COUNTIF($E$2:E3166,E3166)&gt;1,"",SUMIFS(tbl_input[필요수량],tbl_input[집계키_지청],E3166)))</f>
        <v/>
      </c>
      <c r="E3166" t="str">
        <f>IFERROR(INDEX(tbl_input[집계키_지청],ROW()-1),"")</f>
        <v/>
      </c>
      <c r="F3166" t="str">
        <f t="shared" si="248"/>
        <v/>
      </c>
      <c r="G3166" t="str">
        <f t="shared" si="249"/>
        <v/>
      </c>
    </row>
    <row r="3167" spans="1:7" x14ac:dyDescent="0.4">
      <c r="A3167" t="str">
        <f t="shared" si="245"/>
        <v/>
      </c>
      <c r="B3167" t="str">
        <f t="shared" si="246"/>
        <v/>
      </c>
      <c r="C3167" t="str">
        <f t="shared" si="247"/>
        <v/>
      </c>
      <c r="D3167" t="str">
        <f>IF(E3167="","",IF(COUNTIF($E$2:E3167,E3167)&gt;1,"",SUMIFS(tbl_input[필요수량],tbl_input[집계키_지청],E3167)))</f>
        <v/>
      </c>
      <c r="E3167" t="str">
        <f>IFERROR(INDEX(tbl_input[집계키_지청],ROW()-1),"")</f>
        <v/>
      </c>
      <c r="F3167" t="str">
        <f t="shared" si="248"/>
        <v/>
      </c>
      <c r="G3167" t="str">
        <f t="shared" si="249"/>
        <v/>
      </c>
    </row>
    <row r="3168" spans="1:7" x14ac:dyDescent="0.4">
      <c r="A3168" t="str">
        <f t="shared" si="245"/>
        <v/>
      </c>
      <c r="B3168" t="str">
        <f t="shared" si="246"/>
        <v/>
      </c>
      <c r="C3168" t="str">
        <f t="shared" si="247"/>
        <v/>
      </c>
      <c r="D3168" t="str">
        <f>IF(E3168="","",IF(COUNTIF($E$2:E3168,E3168)&gt;1,"",SUMIFS(tbl_input[필요수량],tbl_input[집계키_지청],E3168)))</f>
        <v/>
      </c>
      <c r="E3168" t="str">
        <f>IFERROR(INDEX(tbl_input[집계키_지청],ROW()-1),"")</f>
        <v/>
      </c>
      <c r="F3168" t="str">
        <f t="shared" si="248"/>
        <v/>
      </c>
      <c r="G3168" t="str">
        <f t="shared" si="249"/>
        <v/>
      </c>
    </row>
    <row r="3169" spans="1:7" x14ac:dyDescent="0.4">
      <c r="A3169" t="str">
        <f t="shared" si="245"/>
        <v/>
      </c>
      <c r="B3169" t="str">
        <f t="shared" si="246"/>
        <v/>
      </c>
      <c r="C3169" t="str">
        <f t="shared" si="247"/>
        <v/>
      </c>
      <c r="D3169" t="str">
        <f>IF(E3169="","",IF(COUNTIF($E$2:E3169,E3169)&gt;1,"",SUMIFS(tbl_input[필요수량],tbl_input[집계키_지청],E3169)))</f>
        <v/>
      </c>
      <c r="E3169" t="str">
        <f>IFERROR(INDEX(tbl_input[집계키_지청],ROW()-1),"")</f>
        <v/>
      </c>
      <c r="F3169" t="str">
        <f t="shared" si="248"/>
        <v/>
      </c>
      <c r="G3169" t="str">
        <f t="shared" si="249"/>
        <v/>
      </c>
    </row>
    <row r="3170" spans="1:7" x14ac:dyDescent="0.4">
      <c r="A3170" t="str">
        <f t="shared" si="245"/>
        <v/>
      </c>
      <c r="B3170" t="str">
        <f t="shared" si="246"/>
        <v/>
      </c>
      <c r="C3170" t="str">
        <f t="shared" si="247"/>
        <v/>
      </c>
      <c r="D3170" t="str">
        <f>IF(E3170="","",IF(COUNTIF($E$2:E3170,E3170)&gt;1,"",SUMIFS(tbl_input[필요수량],tbl_input[집계키_지청],E3170)))</f>
        <v/>
      </c>
      <c r="E3170" t="str">
        <f>IFERROR(INDEX(tbl_input[집계키_지청],ROW()-1),"")</f>
        <v/>
      </c>
      <c r="F3170" t="str">
        <f t="shared" si="248"/>
        <v/>
      </c>
      <c r="G3170" t="str">
        <f t="shared" si="249"/>
        <v/>
      </c>
    </row>
    <row r="3171" spans="1:7" x14ac:dyDescent="0.4">
      <c r="A3171" t="str">
        <f t="shared" si="245"/>
        <v/>
      </c>
      <c r="B3171" t="str">
        <f t="shared" si="246"/>
        <v/>
      </c>
      <c r="C3171" t="str">
        <f t="shared" si="247"/>
        <v/>
      </c>
      <c r="D3171" t="str">
        <f>IF(E3171="","",IF(COUNTIF($E$2:E3171,E3171)&gt;1,"",SUMIFS(tbl_input[필요수량],tbl_input[집계키_지청],E3171)))</f>
        <v/>
      </c>
      <c r="E3171" t="str">
        <f>IFERROR(INDEX(tbl_input[집계키_지청],ROW()-1),"")</f>
        <v/>
      </c>
      <c r="F3171" t="str">
        <f t="shared" si="248"/>
        <v/>
      </c>
      <c r="G3171" t="str">
        <f t="shared" si="249"/>
        <v/>
      </c>
    </row>
    <row r="3172" spans="1:7" x14ac:dyDescent="0.4">
      <c r="A3172" t="str">
        <f t="shared" si="245"/>
        <v/>
      </c>
      <c r="B3172" t="str">
        <f t="shared" si="246"/>
        <v/>
      </c>
      <c r="C3172" t="str">
        <f t="shared" si="247"/>
        <v/>
      </c>
      <c r="D3172" t="str">
        <f>IF(E3172="","",IF(COUNTIF($E$2:E3172,E3172)&gt;1,"",SUMIFS(tbl_input[필요수량],tbl_input[집계키_지청],E3172)))</f>
        <v/>
      </c>
      <c r="E3172" t="str">
        <f>IFERROR(INDEX(tbl_input[집계키_지청],ROW()-1),"")</f>
        <v/>
      </c>
      <c r="F3172" t="str">
        <f t="shared" si="248"/>
        <v/>
      </c>
      <c r="G3172" t="str">
        <f t="shared" si="249"/>
        <v/>
      </c>
    </row>
    <row r="3173" spans="1:7" x14ac:dyDescent="0.4">
      <c r="A3173" t="str">
        <f t="shared" si="245"/>
        <v/>
      </c>
      <c r="B3173" t="str">
        <f t="shared" si="246"/>
        <v/>
      </c>
      <c r="C3173" t="str">
        <f t="shared" si="247"/>
        <v/>
      </c>
      <c r="D3173" t="str">
        <f>IF(E3173="","",IF(COUNTIF($E$2:E3173,E3173)&gt;1,"",SUMIFS(tbl_input[필요수량],tbl_input[집계키_지청],E3173)))</f>
        <v/>
      </c>
      <c r="E3173" t="str">
        <f>IFERROR(INDEX(tbl_input[집계키_지청],ROW()-1),"")</f>
        <v/>
      </c>
      <c r="F3173" t="str">
        <f t="shared" si="248"/>
        <v/>
      </c>
      <c r="G3173" t="str">
        <f t="shared" si="249"/>
        <v/>
      </c>
    </row>
    <row r="3174" spans="1:7" x14ac:dyDescent="0.4">
      <c r="A3174" t="str">
        <f t="shared" si="245"/>
        <v/>
      </c>
      <c r="B3174" t="str">
        <f t="shared" si="246"/>
        <v/>
      </c>
      <c r="C3174" t="str">
        <f t="shared" si="247"/>
        <v/>
      </c>
      <c r="D3174" t="str">
        <f>IF(E3174="","",IF(COUNTIF($E$2:E3174,E3174)&gt;1,"",SUMIFS(tbl_input[필요수량],tbl_input[집계키_지청],E3174)))</f>
        <v/>
      </c>
      <c r="E3174" t="str">
        <f>IFERROR(INDEX(tbl_input[집계키_지청],ROW()-1),"")</f>
        <v/>
      </c>
      <c r="F3174" t="str">
        <f t="shared" si="248"/>
        <v/>
      </c>
      <c r="G3174" t="str">
        <f t="shared" si="249"/>
        <v/>
      </c>
    </row>
    <row r="3175" spans="1:7" x14ac:dyDescent="0.4">
      <c r="A3175" t="str">
        <f t="shared" si="245"/>
        <v/>
      </c>
      <c r="B3175" t="str">
        <f t="shared" si="246"/>
        <v/>
      </c>
      <c r="C3175" t="str">
        <f t="shared" si="247"/>
        <v/>
      </c>
      <c r="D3175" t="str">
        <f>IF(E3175="","",IF(COUNTIF($E$2:E3175,E3175)&gt;1,"",SUMIFS(tbl_input[필요수량],tbl_input[집계키_지청],E3175)))</f>
        <v/>
      </c>
      <c r="E3175" t="str">
        <f>IFERROR(INDEX(tbl_input[집계키_지청],ROW()-1),"")</f>
        <v/>
      </c>
      <c r="F3175" t="str">
        <f t="shared" si="248"/>
        <v/>
      </c>
      <c r="G3175" t="str">
        <f t="shared" si="249"/>
        <v/>
      </c>
    </row>
    <row r="3176" spans="1:7" x14ac:dyDescent="0.4">
      <c r="A3176" t="str">
        <f t="shared" si="245"/>
        <v/>
      </c>
      <c r="B3176" t="str">
        <f t="shared" si="246"/>
        <v/>
      </c>
      <c r="C3176" t="str">
        <f t="shared" si="247"/>
        <v/>
      </c>
      <c r="D3176" t="str">
        <f>IF(E3176="","",IF(COUNTIF($E$2:E3176,E3176)&gt;1,"",SUMIFS(tbl_input[필요수량],tbl_input[집계키_지청],E3176)))</f>
        <v/>
      </c>
      <c r="E3176" t="str">
        <f>IFERROR(INDEX(tbl_input[집계키_지청],ROW()-1),"")</f>
        <v/>
      </c>
      <c r="F3176" t="str">
        <f t="shared" si="248"/>
        <v/>
      </c>
      <c r="G3176" t="str">
        <f t="shared" si="249"/>
        <v/>
      </c>
    </row>
    <row r="3177" spans="1:7" x14ac:dyDescent="0.4">
      <c r="A3177" t="str">
        <f t="shared" si="245"/>
        <v/>
      </c>
      <c r="B3177" t="str">
        <f t="shared" si="246"/>
        <v/>
      </c>
      <c r="C3177" t="str">
        <f t="shared" si="247"/>
        <v/>
      </c>
      <c r="D3177" t="str">
        <f>IF(E3177="","",IF(COUNTIF($E$2:E3177,E3177)&gt;1,"",SUMIFS(tbl_input[필요수량],tbl_input[집계키_지청],E3177)))</f>
        <v/>
      </c>
      <c r="E3177" t="str">
        <f>IFERROR(INDEX(tbl_input[집계키_지청],ROW()-1),"")</f>
        <v/>
      </c>
      <c r="F3177" t="str">
        <f t="shared" si="248"/>
        <v/>
      </c>
      <c r="G3177" t="str">
        <f t="shared" si="249"/>
        <v/>
      </c>
    </row>
    <row r="3178" spans="1:7" x14ac:dyDescent="0.4">
      <c r="A3178" t="str">
        <f t="shared" si="245"/>
        <v/>
      </c>
      <c r="B3178" t="str">
        <f t="shared" si="246"/>
        <v/>
      </c>
      <c r="C3178" t="str">
        <f t="shared" si="247"/>
        <v/>
      </c>
      <c r="D3178" t="str">
        <f>IF(E3178="","",IF(COUNTIF($E$2:E3178,E3178)&gt;1,"",SUMIFS(tbl_input[필요수량],tbl_input[집계키_지청],E3178)))</f>
        <v/>
      </c>
      <c r="E3178" t="str">
        <f>IFERROR(INDEX(tbl_input[집계키_지청],ROW()-1),"")</f>
        <v/>
      </c>
      <c r="F3178" t="str">
        <f t="shared" si="248"/>
        <v/>
      </c>
      <c r="G3178" t="str">
        <f t="shared" si="249"/>
        <v/>
      </c>
    </row>
    <row r="3179" spans="1:7" x14ac:dyDescent="0.4">
      <c r="A3179" t="str">
        <f t="shared" si="245"/>
        <v/>
      </c>
      <c r="B3179" t="str">
        <f t="shared" si="246"/>
        <v/>
      </c>
      <c r="C3179" t="str">
        <f t="shared" si="247"/>
        <v/>
      </c>
      <c r="D3179" t="str">
        <f>IF(E3179="","",IF(COUNTIF($E$2:E3179,E3179)&gt;1,"",SUMIFS(tbl_input[필요수량],tbl_input[집계키_지청],E3179)))</f>
        <v/>
      </c>
      <c r="E3179" t="str">
        <f>IFERROR(INDEX(tbl_input[집계키_지청],ROW()-1),"")</f>
        <v/>
      </c>
      <c r="F3179" t="str">
        <f t="shared" si="248"/>
        <v/>
      </c>
      <c r="G3179" t="str">
        <f t="shared" si="249"/>
        <v/>
      </c>
    </row>
    <row r="3180" spans="1:7" x14ac:dyDescent="0.4">
      <c r="A3180" t="str">
        <f t="shared" si="245"/>
        <v/>
      </c>
      <c r="B3180" t="str">
        <f t="shared" si="246"/>
        <v/>
      </c>
      <c r="C3180" t="str">
        <f t="shared" si="247"/>
        <v/>
      </c>
      <c r="D3180" t="str">
        <f>IF(E3180="","",IF(COUNTIF($E$2:E3180,E3180)&gt;1,"",SUMIFS(tbl_input[필요수량],tbl_input[집계키_지청],E3180)))</f>
        <v/>
      </c>
      <c r="E3180" t="str">
        <f>IFERROR(INDEX(tbl_input[집계키_지청],ROW()-1),"")</f>
        <v/>
      </c>
      <c r="F3180" t="str">
        <f t="shared" si="248"/>
        <v/>
      </c>
      <c r="G3180" t="str">
        <f t="shared" si="249"/>
        <v/>
      </c>
    </row>
    <row r="3181" spans="1:7" x14ac:dyDescent="0.4">
      <c r="A3181" t="str">
        <f t="shared" si="245"/>
        <v/>
      </c>
      <c r="B3181" t="str">
        <f t="shared" si="246"/>
        <v/>
      </c>
      <c r="C3181" t="str">
        <f t="shared" si="247"/>
        <v/>
      </c>
      <c r="D3181" t="str">
        <f>IF(E3181="","",IF(COUNTIF($E$2:E3181,E3181)&gt;1,"",SUMIFS(tbl_input[필요수량],tbl_input[집계키_지청],E3181)))</f>
        <v/>
      </c>
      <c r="E3181" t="str">
        <f>IFERROR(INDEX(tbl_input[집계키_지청],ROW()-1),"")</f>
        <v/>
      </c>
      <c r="F3181" t="str">
        <f t="shared" si="248"/>
        <v/>
      </c>
      <c r="G3181" t="str">
        <f t="shared" si="249"/>
        <v/>
      </c>
    </row>
    <row r="3182" spans="1:7" x14ac:dyDescent="0.4">
      <c r="A3182" t="str">
        <f t="shared" si="245"/>
        <v/>
      </c>
      <c r="B3182" t="str">
        <f t="shared" si="246"/>
        <v/>
      </c>
      <c r="C3182" t="str">
        <f t="shared" si="247"/>
        <v/>
      </c>
      <c r="D3182" t="str">
        <f>IF(E3182="","",IF(COUNTIF($E$2:E3182,E3182)&gt;1,"",SUMIFS(tbl_input[필요수량],tbl_input[집계키_지청],E3182)))</f>
        <v/>
      </c>
      <c r="E3182" t="str">
        <f>IFERROR(INDEX(tbl_input[집계키_지청],ROW()-1),"")</f>
        <v/>
      </c>
      <c r="F3182" t="str">
        <f t="shared" si="248"/>
        <v/>
      </c>
      <c r="G3182" t="str">
        <f t="shared" si="249"/>
        <v/>
      </c>
    </row>
    <row r="3183" spans="1:7" x14ac:dyDescent="0.4">
      <c r="A3183" t="str">
        <f t="shared" si="245"/>
        <v/>
      </c>
      <c r="B3183" t="str">
        <f t="shared" si="246"/>
        <v/>
      </c>
      <c r="C3183" t="str">
        <f t="shared" si="247"/>
        <v/>
      </c>
      <c r="D3183" t="str">
        <f>IF(E3183="","",IF(COUNTIF($E$2:E3183,E3183)&gt;1,"",SUMIFS(tbl_input[필요수량],tbl_input[집계키_지청],E3183)))</f>
        <v/>
      </c>
      <c r="E3183" t="str">
        <f>IFERROR(INDEX(tbl_input[집계키_지청],ROW()-1),"")</f>
        <v/>
      </c>
      <c r="F3183" t="str">
        <f t="shared" si="248"/>
        <v/>
      </c>
      <c r="G3183" t="str">
        <f t="shared" si="249"/>
        <v/>
      </c>
    </row>
    <row r="3184" spans="1:7" x14ac:dyDescent="0.4">
      <c r="A3184" t="str">
        <f t="shared" si="245"/>
        <v/>
      </c>
      <c r="B3184" t="str">
        <f t="shared" si="246"/>
        <v/>
      </c>
      <c r="C3184" t="str">
        <f t="shared" si="247"/>
        <v/>
      </c>
      <c r="D3184" t="str">
        <f>IF(E3184="","",IF(COUNTIF($E$2:E3184,E3184)&gt;1,"",SUMIFS(tbl_input[필요수량],tbl_input[집계키_지청],E3184)))</f>
        <v/>
      </c>
      <c r="E3184" t="str">
        <f>IFERROR(INDEX(tbl_input[집계키_지청],ROW()-1),"")</f>
        <v/>
      </c>
      <c r="F3184" t="str">
        <f t="shared" si="248"/>
        <v/>
      </c>
      <c r="G3184" t="str">
        <f t="shared" si="249"/>
        <v/>
      </c>
    </row>
    <row r="3185" spans="1:7" x14ac:dyDescent="0.4">
      <c r="A3185" t="str">
        <f t="shared" si="245"/>
        <v/>
      </c>
      <c r="B3185" t="str">
        <f t="shared" si="246"/>
        <v/>
      </c>
      <c r="C3185" t="str">
        <f t="shared" si="247"/>
        <v/>
      </c>
      <c r="D3185" t="str">
        <f>IF(E3185="","",IF(COUNTIF($E$2:E3185,E3185)&gt;1,"",SUMIFS(tbl_input[필요수량],tbl_input[집계키_지청],E3185)))</f>
        <v/>
      </c>
      <c r="E3185" t="str">
        <f>IFERROR(INDEX(tbl_input[집계키_지청],ROW()-1),"")</f>
        <v/>
      </c>
      <c r="F3185" t="str">
        <f t="shared" si="248"/>
        <v/>
      </c>
      <c r="G3185" t="str">
        <f t="shared" si="249"/>
        <v/>
      </c>
    </row>
    <row r="3186" spans="1:7" x14ac:dyDescent="0.4">
      <c r="A3186" t="str">
        <f t="shared" si="245"/>
        <v/>
      </c>
      <c r="B3186" t="str">
        <f t="shared" si="246"/>
        <v/>
      </c>
      <c r="C3186" t="str">
        <f t="shared" si="247"/>
        <v/>
      </c>
      <c r="D3186" t="str">
        <f>IF(E3186="","",IF(COUNTIF($E$2:E3186,E3186)&gt;1,"",SUMIFS(tbl_input[필요수량],tbl_input[집계키_지청],E3186)))</f>
        <v/>
      </c>
      <c r="E3186" t="str">
        <f>IFERROR(INDEX(tbl_input[집계키_지청],ROW()-1),"")</f>
        <v/>
      </c>
      <c r="F3186" t="str">
        <f t="shared" si="248"/>
        <v/>
      </c>
      <c r="G3186" t="str">
        <f t="shared" si="249"/>
        <v/>
      </c>
    </row>
    <row r="3187" spans="1:7" x14ac:dyDescent="0.4">
      <c r="A3187" t="str">
        <f t="shared" si="245"/>
        <v/>
      </c>
      <c r="B3187" t="str">
        <f t="shared" si="246"/>
        <v/>
      </c>
      <c r="C3187" t="str">
        <f t="shared" si="247"/>
        <v/>
      </c>
      <c r="D3187" t="str">
        <f>IF(E3187="","",IF(COUNTIF($E$2:E3187,E3187)&gt;1,"",SUMIFS(tbl_input[필요수량],tbl_input[집계키_지청],E3187)))</f>
        <v/>
      </c>
      <c r="E3187" t="str">
        <f>IFERROR(INDEX(tbl_input[집계키_지청],ROW()-1),"")</f>
        <v/>
      </c>
      <c r="F3187" t="str">
        <f t="shared" si="248"/>
        <v/>
      </c>
      <c r="G3187" t="str">
        <f t="shared" si="249"/>
        <v/>
      </c>
    </row>
    <row r="3188" spans="1:7" x14ac:dyDescent="0.4">
      <c r="A3188" t="str">
        <f t="shared" si="245"/>
        <v/>
      </c>
      <c r="B3188" t="str">
        <f t="shared" si="246"/>
        <v/>
      </c>
      <c r="C3188" t="str">
        <f t="shared" si="247"/>
        <v/>
      </c>
      <c r="D3188" t="str">
        <f>IF(E3188="","",IF(COUNTIF($E$2:E3188,E3188)&gt;1,"",SUMIFS(tbl_input[필요수량],tbl_input[집계키_지청],E3188)))</f>
        <v/>
      </c>
      <c r="E3188" t="str">
        <f>IFERROR(INDEX(tbl_input[집계키_지청],ROW()-1),"")</f>
        <v/>
      </c>
      <c r="F3188" t="str">
        <f t="shared" si="248"/>
        <v/>
      </c>
      <c r="G3188" t="str">
        <f t="shared" si="249"/>
        <v/>
      </c>
    </row>
    <row r="3189" spans="1:7" x14ac:dyDescent="0.4">
      <c r="A3189" t="str">
        <f t="shared" si="245"/>
        <v/>
      </c>
      <c r="B3189" t="str">
        <f t="shared" si="246"/>
        <v/>
      </c>
      <c r="C3189" t="str">
        <f t="shared" si="247"/>
        <v/>
      </c>
      <c r="D3189" t="str">
        <f>IF(E3189="","",IF(COUNTIF($E$2:E3189,E3189)&gt;1,"",SUMIFS(tbl_input[필요수량],tbl_input[집계키_지청],E3189)))</f>
        <v/>
      </c>
      <c r="E3189" t="str">
        <f>IFERROR(INDEX(tbl_input[집계키_지청],ROW()-1),"")</f>
        <v/>
      </c>
      <c r="F3189" t="str">
        <f t="shared" si="248"/>
        <v/>
      </c>
      <c r="G3189" t="str">
        <f t="shared" si="249"/>
        <v/>
      </c>
    </row>
    <row r="3190" spans="1:7" x14ac:dyDescent="0.4">
      <c r="A3190" t="str">
        <f t="shared" si="245"/>
        <v/>
      </c>
      <c r="B3190" t="str">
        <f t="shared" si="246"/>
        <v/>
      </c>
      <c r="C3190" t="str">
        <f t="shared" si="247"/>
        <v/>
      </c>
      <c r="D3190" t="str">
        <f>IF(E3190="","",IF(COUNTIF($E$2:E3190,E3190)&gt;1,"",SUMIFS(tbl_input[필요수량],tbl_input[집계키_지청],E3190)))</f>
        <v/>
      </c>
      <c r="E3190" t="str">
        <f>IFERROR(INDEX(tbl_input[집계키_지청],ROW()-1),"")</f>
        <v/>
      </c>
      <c r="F3190" t="str">
        <f t="shared" si="248"/>
        <v/>
      </c>
      <c r="G3190" t="str">
        <f t="shared" si="249"/>
        <v/>
      </c>
    </row>
    <row r="3191" spans="1:7" x14ac:dyDescent="0.4">
      <c r="A3191" t="str">
        <f t="shared" si="245"/>
        <v/>
      </c>
      <c r="B3191" t="str">
        <f t="shared" si="246"/>
        <v/>
      </c>
      <c r="C3191" t="str">
        <f t="shared" si="247"/>
        <v/>
      </c>
      <c r="D3191" t="str">
        <f>IF(E3191="","",IF(COUNTIF($E$2:E3191,E3191)&gt;1,"",SUMIFS(tbl_input[필요수량],tbl_input[집계키_지청],E3191)))</f>
        <v/>
      </c>
      <c r="E3191" t="str">
        <f>IFERROR(INDEX(tbl_input[집계키_지청],ROW()-1),"")</f>
        <v/>
      </c>
      <c r="F3191" t="str">
        <f t="shared" si="248"/>
        <v/>
      </c>
      <c r="G3191" t="str">
        <f t="shared" si="249"/>
        <v/>
      </c>
    </row>
    <row r="3192" spans="1:7" x14ac:dyDescent="0.4">
      <c r="A3192" t="str">
        <f t="shared" si="245"/>
        <v/>
      </c>
      <c r="B3192" t="str">
        <f t="shared" si="246"/>
        <v/>
      </c>
      <c r="C3192" t="str">
        <f t="shared" si="247"/>
        <v/>
      </c>
      <c r="D3192" t="str">
        <f>IF(E3192="","",IF(COUNTIF($E$2:E3192,E3192)&gt;1,"",SUMIFS(tbl_input[필요수량],tbl_input[집계키_지청],E3192)))</f>
        <v/>
      </c>
      <c r="E3192" t="str">
        <f>IFERROR(INDEX(tbl_input[집계키_지청],ROW()-1),"")</f>
        <v/>
      </c>
      <c r="F3192" t="str">
        <f t="shared" si="248"/>
        <v/>
      </c>
      <c r="G3192" t="str">
        <f t="shared" si="249"/>
        <v/>
      </c>
    </row>
    <row r="3193" spans="1:7" x14ac:dyDescent="0.4">
      <c r="A3193" t="str">
        <f t="shared" si="245"/>
        <v/>
      </c>
      <c r="B3193" t="str">
        <f t="shared" si="246"/>
        <v/>
      </c>
      <c r="C3193" t="str">
        <f t="shared" si="247"/>
        <v/>
      </c>
      <c r="D3193" t="str">
        <f>IF(E3193="","",IF(COUNTIF($E$2:E3193,E3193)&gt;1,"",SUMIFS(tbl_input[필요수량],tbl_input[집계키_지청],E3193)))</f>
        <v/>
      </c>
      <c r="E3193" t="str">
        <f>IFERROR(INDEX(tbl_input[집계키_지청],ROW()-1),"")</f>
        <v/>
      </c>
      <c r="F3193" t="str">
        <f t="shared" si="248"/>
        <v/>
      </c>
      <c r="G3193" t="str">
        <f t="shared" si="249"/>
        <v/>
      </c>
    </row>
    <row r="3194" spans="1:7" x14ac:dyDescent="0.4">
      <c r="A3194" t="str">
        <f t="shared" si="245"/>
        <v/>
      </c>
      <c r="B3194" t="str">
        <f t="shared" si="246"/>
        <v/>
      </c>
      <c r="C3194" t="str">
        <f t="shared" si="247"/>
        <v/>
      </c>
      <c r="D3194" t="str">
        <f>IF(E3194="","",IF(COUNTIF($E$2:E3194,E3194)&gt;1,"",SUMIFS(tbl_input[필요수량],tbl_input[집계키_지청],E3194)))</f>
        <v/>
      </c>
      <c r="E3194" t="str">
        <f>IFERROR(INDEX(tbl_input[집계키_지청],ROW()-1),"")</f>
        <v/>
      </c>
      <c r="F3194" t="str">
        <f t="shared" si="248"/>
        <v/>
      </c>
      <c r="G3194" t="str">
        <f t="shared" si="249"/>
        <v/>
      </c>
    </row>
    <row r="3195" spans="1:7" x14ac:dyDescent="0.4">
      <c r="A3195" t="str">
        <f t="shared" si="245"/>
        <v/>
      </c>
      <c r="B3195" t="str">
        <f t="shared" si="246"/>
        <v/>
      </c>
      <c r="C3195" t="str">
        <f t="shared" si="247"/>
        <v/>
      </c>
      <c r="D3195" t="str">
        <f>IF(E3195="","",IF(COUNTIF($E$2:E3195,E3195)&gt;1,"",SUMIFS(tbl_input[필요수량],tbl_input[집계키_지청],E3195)))</f>
        <v/>
      </c>
      <c r="E3195" t="str">
        <f>IFERROR(INDEX(tbl_input[집계키_지청],ROW()-1),"")</f>
        <v/>
      </c>
      <c r="F3195" t="str">
        <f t="shared" si="248"/>
        <v/>
      </c>
      <c r="G3195" t="str">
        <f t="shared" si="249"/>
        <v/>
      </c>
    </row>
    <row r="3196" spans="1:7" x14ac:dyDescent="0.4">
      <c r="A3196" t="str">
        <f t="shared" si="245"/>
        <v/>
      </c>
      <c r="B3196" t="str">
        <f t="shared" si="246"/>
        <v/>
      </c>
      <c r="C3196" t="str">
        <f t="shared" si="247"/>
        <v/>
      </c>
      <c r="D3196" t="str">
        <f>IF(E3196="","",IF(COUNTIF($E$2:E3196,E3196)&gt;1,"",SUMIFS(tbl_input[필요수량],tbl_input[집계키_지청],E3196)))</f>
        <v/>
      </c>
      <c r="E3196" t="str">
        <f>IFERROR(INDEX(tbl_input[집계키_지청],ROW()-1),"")</f>
        <v/>
      </c>
      <c r="F3196" t="str">
        <f t="shared" si="248"/>
        <v/>
      </c>
      <c r="G3196" t="str">
        <f t="shared" si="249"/>
        <v/>
      </c>
    </row>
    <row r="3197" spans="1:7" x14ac:dyDescent="0.4">
      <c r="A3197" t="str">
        <f t="shared" si="245"/>
        <v/>
      </c>
      <c r="B3197" t="str">
        <f t="shared" si="246"/>
        <v/>
      </c>
      <c r="C3197" t="str">
        <f t="shared" si="247"/>
        <v/>
      </c>
      <c r="D3197" t="str">
        <f>IF(E3197="","",IF(COUNTIF($E$2:E3197,E3197)&gt;1,"",SUMIFS(tbl_input[필요수량],tbl_input[집계키_지청],E3197)))</f>
        <v/>
      </c>
      <c r="E3197" t="str">
        <f>IFERROR(INDEX(tbl_input[집계키_지청],ROW()-1),"")</f>
        <v/>
      </c>
      <c r="F3197" t="str">
        <f t="shared" si="248"/>
        <v/>
      </c>
      <c r="G3197" t="str">
        <f t="shared" si="249"/>
        <v/>
      </c>
    </row>
    <row r="3198" spans="1:7" x14ac:dyDescent="0.4">
      <c r="A3198" t="str">
        <f t="shared" si="245"/>
        <v/>
      </c>
      <c r="B3198" t="str">
        <f t="shared" si="246"/>
        <v/>
      </c>
      <c r="C3198" t="str">
        <f t="shared" si="247"/>
        <v/>
      </c>
      <c r="D3198" t="str">
        <f>IF(E3198="","",IF(COUNTIF($E$2:E3198,E3198)&gt;1,"",SUMIFS(tbl_input[필요수량],tbl_input[집계키_지청],E3198)))</f>
        <v/>
      </c>
      <c r="E3198" t="str">
        <f>IFERROR(INDEX(tbl_input[집계키_지청],ROW()-1),"")</f>
        <v/>
      </c>
      <c r="F3198" t="str">
        <f t="shared" si="248"/>
        <v/>
      </c>
      <c r="G3198" t="str">
        <f t="shared" si="249"/>
        <v/>
      </c>
    </row>
    <row r="3199" spans="1:7" x14ac:dyDescent="0.4">
      <c r="A3199" t="str">
        <f t="shared" si="245"/>
        <v/>
      </c>
      <c r="B3199" t="str">
        <f t="shared" si="246"/>
        <v/>
      </c>
      <c r="C3199" t="str">
        <f t="shared" si="247"/>
        <v/>
      </c>
      <c r="D3199" t="str">
        <f>IF(E3199="","",IF(COUNTIF($E$2:E3199,E3199)&gt;1,"",SUMIFS(tbl_input[필요수량],tbl_input[집계키_지청],E3199)))</f>
        <v/>
      </c>
      <c r="E3199" t="str">
        <f>IFERROR(INDEX(tbl_input[집계키_지청],ROW()-1),"")</f>
        <v/>
      </c>
      <c r="F3199" t="str">
        <f t="shared" si="248"/>
        <v/>
      </c>
      <c r="G3199" t="str">
        <f t="shared" si="249"/>
        <v/>
      </c>
    </row>
    <row r="3200" spans="1:7" x14ac:dyDescent="0.4">
      <c r="A3200" t="str">
        <f t="shared" si="245"/>
        <v/>
      </c>
      <c r="B3200" t="str">
        <f t="shared" si="246"/>
        <v/>
      </c>
      <c r="C3200" t="str">
        <f t="shared" si="247"/>
        <v/>
      </c>
      <c r="D3200" t="str">
        <f>IF(E3200="","",IF(COUNTIF($E$2:E3200,E3200)&gt;1,"",SUMIFS(tbl_input[필요수량],tbl_input[집계키_지청],E3200)))</f>
        <v/>
      </c>
      <c r="E3200" t="str">
        <f>IFERROR(INDEX(tbl_input[집계키_지청],ROW()-1),"")</f>
        <v/>
      </c>
      <c r="F3200" t="str">
        <f t="shared" si="248"/>
        <v/>
      </c>
      <c r="G3200" t="str">
        <f t="shared" si="249"/>
        <v/>
      </c>
    </row>
    <row r="3201" spans="1:7" x14ac:dyDescent="0.4">
      <c r="A3201" t="str">
        <f t="shared" si="245"/>
        <v/>
      </c>
      <c r="B3201" t="str">
        <f t="shared" si="246"/>
        <v/>
      </c>
      <c r="C3201" t="str">
        <f t="shared" si="247"/>
        <v/>
      </c>
      <c r="D3201" t="str">
        <f>IF(E3201="","",IF(COUNTIF($E$2:E3201,E3201)&gt;1,"",SUMIFS(tbl_input[필요수량],tbl_input[집계키_지청],E3201)))</f>
        <v/>
      </c>
      <c r="E3201" t="str">
        <f>IFERROR(INDEX(tbl_input[집계키_지청],ROW()-1),"")</f>
        <v/>
      </c>
      <c r="F3201" t="str">
        <f t="shared" si="248"/>
        <v/>
      </c>
      <c r="G3201" t="str">
        <f t="shared" si="249"/>
        <v/>
      </c>
    </row>
    <row r="3202" spans="1:7" x14ac:dyDescent="0.4">
      <c r="A3202" t="str">
        <f t="shared" ref="A3202:A3265" si="250">IF(E3202="","",LEFT(E3202,F3202-1))</f>
        <v/>
      </c>
      <c r="B3202" t="str">
        <f t="shared" ref="B3202:B3265" si="251">IF(E3202="","",MID(E3202,F3202+1,G3202-F3202-1))</f>
        <v/>
      </c>
      <c r="C3202" t="str">
        <f t="shared" ref="C3202:C3265" si="252">IF(E3202="","",MID(E3202,G3202+1,999))</f>
        <v/>
      </c>
      <c r="D3202" t="str">
        <f>IF(E3202="","",IF(COUNTIF($E$2:E3202,E3202)&gt;1,"",SUMIFS(tbl_input[필요수량],tbl_input[집계키_지청],E3202)))</f>
        <v/>
      </c>
      <c r="E3202" t="str">
        <f>IFERROR(INDEX(tbl_input[집계키_지청],ROW()-1),"")</f>
        <v/>
      </c>
      <c r="F3202" t="str">
        <f t="shared" ref="F3202:F3265" si="253">IF(E3202="","",FIND("♦",E3202))</f>
        <v/>
      </c>
      <c r="G3202" t="str">
        <f t="shared" ref="G3202:G3265" si="254">IF(E3202="","",FIND("♦",E3202,F3202+1))</f>
        <v/>
      </c>
    </row>
    <row r="3203" spans="1:7" x14ac:dyDescent="0.4">
      <c r="A3203" t="str">
        <f t="shared" si="250"/>
        <v/>
      </c>
      <c r="B3203" t="str">
        <f t="shared" si="251"/>
        <v/>
      </c>
      <c r="C3203" t="str">
        <f t="shared" si="252"/>
        <v/>
      </c>
      <c r="D3203" t="str">
        <f>IF(E3203="","",IF(COUNTIF($E$2:E3203,E3203)&gt;1,"",SUMIFS(tbl_input[필요수량],tbl_input[집계키_지청],E3203)))</f>
        <v/>
      </c>
      <c r="E3203" t="str">
        <f>IFERROR(INDEX(tbl_input[집계키_지청],ROW()-1),"")</f>
        <v/>
      </c>
      <c r="F3203" t="str">
        <f t="shared" si="253"/>
        <v/>
      </c>
      <c r="G3203" t="str">
        <f t="shared" si="254"/>
        <v/>
      </c>
    </row>
    <row r="3204" spans="1:7" x14ac:dyDescent="0.4">
      <c r="A3204" t="str">
        <f t="shared" si="250"/>
        <v/>
      </c>
      <c r="B3204" t="str">
        <f t="shared" si="251"/>
        <v/>
      </c>
      <c r="C3204" t="str">
        <f t="shared" si="252"/>
        <v/>
      </c>
      <c r="D3204" t="str">
        <f>IF(E3204="","",IF(COUNTIF($E$2:E3204,E3204)&gt;1,"",SUMIFS(tbl_input[필요수량],tbl_input[집계키_지청],E3204)))</f>
        <v/>
      </c>
      <c r="E3204" t="str">
        <f>IFERROR(INDEX(tbl_input[집계키_지청],ROW()-1),"")</f>
        <v/>
      </c>
      <c r="F3204" t="str">
        <f t="shared" si="253"/>
        <v/>
      </c>
      <c r="G3204" t="str">
        <f t="shared" si="254"/>
        <v/>
      </c>
    </row>
    <row r="3205" spans="1:7" x14ac:dyDescent="0.4">
      <c r="A3205" t="str">
        <f t="shared" si="250"/>
        <v/>
      </c>
      <c r="B3205" t="str">
        <f t="shared" si="251"/>
        <v/>
      </c>
      <c r="C3205" t="str">
        <f t="shared" si="252"/>
        <v/>
      </c>
      <c r="D3205" t="str">
        <f>IF(E3205="","",IF(COUNTIF($E$2:E3205,E3205)&gt;1,"",SUMIFS(tbl_input[필요수량],tbl_input[집계키_지청],E3205)))</f>
        <v/>
      </c>
      <c r="E3205" t="str">
        <f>IFERROR(INDEX(tbl_input[집계키_지청],ROW()-1),"")</f>
        <v/>
      </c>
      <c r="F3205" t="str">
        <f t="shared" si="253"/>
        <v/>
      </c>
      <c r="G3205" t="str">
        <f t="shared" si="254"/>
        <v/>
      </c>
    </row>
    <row r="3206" spans="1:7" x14ac:dyDescent="0.4">
      <c r="A3206" t="str">
        <f t="shared" si="250"/>
        <v/>
      </c>
      <c r="B3206" t="str">
        <f t="shared" si="251"/>
        <v/>
      </c>
      <c r="C3206" t="str">
        <f t="shared" si="252"/>
        <v/>
      </c>
      <c r="D3206" t="str">
        <f>IF(E3206="","",IF(COUNTIF($E$2:E3206,E3206)&gt;1,"",SUMIFS(tbl_input[필요수량],tbl_input[집계키_지청],E3206)))</f>
        <v/>
      </c>
      <c r="E3206" t="str">
        <f>IFERROR(INDEX(tbl_input[집계키_지청],ROW()-1),"")</f>
        <v/>
      </c>
      <c r="F3206" t="str">
        <f t="shared" si="253"/>
        <v/>
      </c>
      <c r="G3206" t="str">
        <f t="shared" si="254"/>
        <v/>
      </c>
    </row>
    <row r="3207" spans="1:7" x14ac:dyDescent="0.4">
      <c r="A3207" t="str">
        <f t="shared" si="250"/>
        <v/>
      </c>
      <c r="B3207" t="str">
        <f t="shared" si="251"/>
        <v/>
      </c>
      <c r="C3207" t="str">
        <f t="shared" si="252"/>
        <v/>
      </c>
      <c r="D3207" t="str">
        <f>IF(E3207="","",IF(COUNTIF($E$2:E3207,E3207)&gt;1,"",SUMIFS(tbl_input[필요수량],tbl_input[집계키_지청],E3207)))</f>
        <v/>
      </c>
      <c r="E3207" t="str">
        <f>IFERROR(INDEX(tbl_input[집계키_지청],ROW()-1),"")</f>
        <v/>
      </c>
      <c r="F3207" t="str">
        <f t="shared" si="253"/>
        <v/>
      </c>
      <c r="G3207" t="str">
        <f t="shared" si="254"/>
        <v/>
      </c>
    </row>
    <row r="3208" spans="1:7" x14ac:dyDescent="0.4">
      <c r="A3208" t="str">
        <f t="shared" si="250"/>
        <v/>
      </c>
      <c r="B3208" t="str">
        <f t="shared" si="251"/>
        <v/>
      </c>
      <c r="C3208" t="str">
        <f t="shared" si="252"/>
        <v/>
      </c>
      <c r="D3208" t="str">
        <f>IF(E3208="","",IF(COUNTIF($E$2:E3208,E3208)&gt;1,"",SUMIFS(tbl_input[필요수량],tbl_input[집계키_지청],E3208)))</f>
        <v/>
      </c>
      <c r="E3208" t="str">
        <f>IFERROR(INDEX(tbl_input[집계키_지청],ROW()-1),"")</f>
        <v/>
      </c>
      <c r="F3208" t="str">
        <f t="shared" si="253"/>
        <v/>
      </c>
      <c r="G3208" t="str">
        <f t="shared" si="254"/>
        <v/>
      </c>
    </row>
    <row r="3209" spans="1:7" x14ac:dyDescent="0.4">
      <c r="A3209" t="str">
        <f t="shared" si="250"/>
        <v/>
      </c>
      <c r="B3209" t="str">
        <f t="shared" si="251"/>
        <v/>
      </c>
      <c r="C3209" t="str">
        <f t="shared" si="252"/>
        <v/>
      </c>
      <c r="D3209" t="str">
        <f>IF(E3209="","",IF(COUNTIF($E$2:E3209,E3209)&gt;1,"",SUMIFS(tbl_input[필요수량],tbl_input[집계키_지청],E3209)))</f>
        <v/>
      </c>
      <c r="E3209" t="str">
        <f>IFERROR(INDEX(tbl_input[집계키_지청],ROW()-1),"")</f>
        <v/>
      </c>
      <c r="F3209" t="str">
        <f t="shared" si="253"/>
        <v/>
      </c>
      <c r="G3209" t="str">
        <f t="shared" si="254"/>
        <v/>
      </c>
    </row>
    <row r="3210" spans="1:7" x14ac:dyDescent="0.4">
      <c r="A3210" t="str">
        <f t="shared" si="250"/>
        <v/>
      </c>
      <c r="B3210" t="str">
        <f t="shared" si="251"/>
        <v/>
      </c>
      <c r="C3210" t="str">
        <f t="shared" si="252"/>
        <v/>
      </c>
      <c r="D3210" t="str">
        <f>IF(E3210="","",IF(COUNTIF($E$2:E3210,E3210)&gt;1,"",SUMIFS(tbl_input[필요수량],tbl_input[집계키_지청],E3210)))</f>
        <v/>
      </c>
      <c r="E3210" t="str">
        <f>IFERROR(INDEX(tbl_input[집계키_지청],ROW()-1),"")</f>
        <v/>
      </c>
      <c r="F3210" t="str">
        <f t="shared" si="253"/>
        <v/>
      </c>
      <c r="G3210" t="str">
        <f t="shared" si="254"/>
        <v/>
      </c>
    </row>
    <row r="3211" spans="1:7" x14ac:dyDescent="0.4">
      <c r="A3211" t="str">
        <f t="shared" si="250"/>
        <v/>
      </c>
      <c r="B3211" t="str">
        <f t="shared" si="251"/>
        <v/>
      </c>
      <c r="C3211" t="str">
        <f t="shared" si="252"/>
        <v/>
      </c>
      <c r="D3211" t="str">
        <f>IF(E3211="","",IF(COUNTIF($E$2:E3211,E3211)&gt;1,"",SUMIFS(tbl_input[필요수량],tbl_input[집계키_지청],E3211)))</f>
        <v/>
      </c>
      <c r="E3211" t="str">
        <f>IFERROR(INDEX(tbl_input[집계키_지청],ROW()-1),"")</f>
        <v/>
      </c>
      <c r="F3211" t="str">
        <f t="shared" si="253"/>
        <v/>
      </c>
      <c r="G3211" t="str">
        <f t="shared" si="254"/>
        <v/>
      </c>
    </row>
    <row r="3212" spans="1:7" x14ac:dyDescent="0.4">
      <c r="A3212" t="str">
        <f t="shared" si="250"/>
        <v/>
      </c>
      <c r="B3212" t="str">
        <f t="shared" si="251"/>
        <v/>
      </c>
      <c r="C3212" t="str">
        <f t="shared" si="252"/>
        <v/>
      </c>
      <c r="D3212" t="str">
        <f>IF(E3212="","",IF(COUNTIF($E$2:E3212,E3212)&gt;1,"",SUMIFS(tbl_input[필요수량],tbl_input[집계키_지청],E3212)))</f>
        <v/>
      </c>
      <c r="E3212" t="str">
        <f>IFERROR(INDEX(tbl_input[집계키_지청],ROW()-1),"")</f>
        <v/>
      </c>
      <c r="F3212" t="str">
        <f t="shared" si="253"/>
        <v/>
      </c>
      <c r="G3212" t="str">
        <f t="shared" si="254"/>
        <v/>
      </c>
    </row>
    <row r="3213" spans="1:7" x14ac:dyDescent="0.4">
      <c r="A3213" t="str">
        <f t="shared" si="250"/>
        <v/>
      </c>
      <c r="B3213" t="str">
        <f t="shared" si="251"/>
        <v/>
      </c>
      <c r="C3213" t="str">
        <f t="shared" si="252"/>
        <v/>
      </c>
      <c r="D3213" t="str">
        <f>IF(E3213="","",IF(COUNTIF($E$2:E3213,E3213)&gt;1,"",SUMIFS(tbl_input[필요수량],tbl_input[집계키_지청],E3213)))</f>
        <v/>
      </c>
      <c r="E3213" t="str">
        <f>IFERROR(INDEX(tbl_input[집계키_지청],ROW()-1),"")</f>
        <v/>
      </c>
      <c r="F3213" t="str">
        <f t="shared" si="253"/>
        <v/>
      </c>
      <c r="G3213" t="str">
        <f t="shared" si="254"/>
        <v/>
      </c>
    </row>
    <row r="3214" spans="1:7" x14ac:dyDescent="0.4">
      <c r="A3214" t="str">
        <f t="shared" si="250"/>
        <v/>
      </c>
      <c r="B3214" t="str">
        <f t="shared" si="251"/>
        <v/>
      </c>
      <c r="C3214" t="str">
        <f t="shared" si="252"/>
        <v/>
      </c>
      <c r="D3214" t="str">
        <f>IF(E3214="","",IF(COUNTIF($E$2:E3214,E3214)&gt;1,"",SUMIFS(tbl_input[필요수량],tbl_input[집계키_지청],E3214)))</f>
        <v/>
      </c>
      <c r="E3214" t="str">
        <f>IFERROR(INDEX(tbl_input[집계키_지청],ROW()-1),"")</f>
        <v/>
      </c>
      <c r="F3214" t="str">
        <f t="shared" si="253"/>
        <v/>
      </c>
      <c r="G3214" t="str">
        <f t="shared" si="254"/>
        <v/>
      </c>
    </row>
    <row r="3215" spans="1:7" x14ac:dyDescent="0.4">
      <c r="A3215" t="str">
        <f t="shared" si="250"/>
        <v/>
      </c>
      <c r="B3215" t="str">
        <f t="shared" si="251"/>
        <v/>
      </c>
      <c r="C3215" t="str">
        <f t="shared" si="252"/>
        <v/>
      </c>
      <c r="D3215" t="str">
        <f>IF(E3215="","",IF(COUNTIF($E$2:E3215,E3215)&gt;1,"",SUMIFS(tbl_input[필요수량],tbl_input[집계키_지청],E3215)))</f>
        <v/>
      </c>
      <c r="E3215" t="str">
        <f>IFERROR(INDEX(tbl_input[집계키_지청],ROW()-1),"")</f>
        <v/>
      </c>
      <c r="F3215" t="str">
        <f t="shared" si="253"/>
        <v/>
      </c>
      <c r="G3215" t="str">
        <f t="shared" si="254"/>
        <v/>
      </c>
    </row>
    <row r="3216" spans="1:7" x14ac:dyDescent="0.4">
      <c r="A3216" t="str">
        <f t="shared" si="250"/>
        <v/>
      </c>
      <c r="B3216" t="str">
        <f t="shared" si="251"/>
        <v/>
      </c>
      <c r="C3216" t="str">
        <f t="shared" si="252"/>
        <v/>
      </c>
      <c r="D3216" t="str">
        <f>IF(E3216="","",IF(COUNTIF($E$2:E3216,E3216)&gt;1,"",SUMIFS(tbl_input[필요수량],tbl_input[집계키_지청],E3216)))</f>
        <v/>
      </c>
      <c r="E3216" t="str">
        <f>IFERROR(INDEX(tbl_input[집계키_지청],ROW()-1),"")</f>
        <v/>
      </c>
      <c r="F3216" t="str">
        <f t="shared" si="253"/>
        <v/>
      </c>
      <c r="G3216" t="str">
        <f t="shared" si="254"/>
        <v/>
      </c>
    </row>
    <row r="3217" spans="1:7" x14ac:dyDescent="0.4">
      <c r="A3217" t="str">
        <f t="shared" si="250"/>
        <v/>
      </c>
      <c r="B3217" t="str">
        <f t="shared" si="251"/>
        <v/>
      </c>
      <c r="C3217" t="str">
        <f t="shared" si="252"/>
        <v/>
      </c>
      <c r="D3217" t="str">
        <f>IF(E3217="","",IF(COUNTIF($E$2:E3217,E3217)&gt;1,"",SUMIFS(tbl_input[필요수량],tbl_input[집계키_지청],E3217)))</f>
        <v/>
      </c>
      <c r="E3217" t="str">
        <f>IFERROR(INDEX(tbl_input[집계키_지청],ROW()-1),"")</f>
        <v/>
      </c>
      <c r="F3217" t="str">
        <f t="shared" si="253"/>
        <v/>
      </c>
      <c r="G3217" t="str">
        <f t="shared" si="254"/>
        <v/>
      </c>
    </row>
    <row r="3218" spans="1:7" x14ac:dyDescent="0.4">
      <c r="A3218" t="str">
        <f t="shared" si="250"/>
        <v/>
      </c>
      <c r="B3218" t="str">
        <f t="shared" si="251"/>
        <v/>
      </c>
      <c r="C3218" t="str">
        <f t="shared" si="252"/>
        <v/>
      </c>
      <c r="D3218" t="str">
        <f>IF(E3218="","",IF(COUNTIF($E$2:E3218,E3218)&gt;1,"",SUMIFS(tbl_input[필요수량],tbl_input[집계키_지청],E3218)))</f>
        <v/>
      </c>
      <c r="E3218" t="str">
        <f>IFERROR(INDEX(tbl_input[집계키_지청],ROW()-1),"")</f>
        <v/>
      </c>
      <c r="F3218" t="str">
        <f t="shared" si="253"/>
        <v/>
      </c>
      <c r="G3218" t="str">
        <f t="shared" si="254"/>
        <v/>
      </c>
    </row>
    <row r="3219" spans="1:7" x14ac:dyDescent="0.4">
      <c r="A3219" t="str">
        <f t="shared" si="250"/>
        <v/>
      </c>
      <c r="B3219" t="str">
        <f t="shared" si="251"/>
        <v/>
      </c>
      <c r="C3219" t="str">
        <f t="shared" si="252"/>
        <v/>
      </c>
      <c r="D3219" t="str">
        <f>IF(E3219="","",IF(COUNTIF($E$2:E3219,E3219)&gt;1,"",SUMIFS(tbl_input[필요수량],tbl_input[집계키_지청],E3219)))</f>
        <v/>
      </c>
      <c r="E3219" t="str">
        <f>IFERROR(INDEX(tbl_input[집계키_지청],ROW()-1),"")</f>
        <v/>
      </c>
      <c r="F3219" t="str">
        <f t="shared" si="253"/>
        <v/>
      </c>
      <c r="G3219" t="str">
        <f t="shared" si="254"/>
        <v/>
      </c>
    </row>
    <row r="3220" spans="1:7" x14ac:dyDescent="0.4">
      <c r="A3220" t="str">
        <f t="shared" si="250"/>
        <v/>
      </c>
      <c r="B3220" t="str">
        <f t="shared" si="251"/>
        <v/>
      </c>
      <c r="C3220" t="str">
        <f t="shared" si="252"/>
        <v/>
      </c>
      <c r="D3220" t="str">
        <f>IF(E3220="","",IF(COUNTIF($E$2:E3220,E3220)&gt;1,"",SUMIFS(tbl_input[필요수량],tbl_input[집계키_지청],E3220)))</f>
        <v/>
      </c>
      <c r="E3220" t="str">
        <f>IFERROR(INDEX(tbl_input[집계키_지청],ROW()-1),"")</f>
        <v/>
      </c>
      <c r="F3220" t="str">
        <f t="shared" si="253"/>
        <v/>
      </c>
      <c r="G3220" t="str">
        <f t="shared" si="254"/>
        <v/>
      </c>
    </row>
    <row r="3221" spans="1:7" x14ac:dyDescent="0.4">
      <c r="A3221" t="str">
        <f t="shared" si="250"/>
        <v/>
      </c>
      <c r="B3221" t="str">
        <f t="shared" si="251"/>
        <v/>
      </c>
      <c r="C3221" t="str">
        <f t="shared" si="252"/>
        <v/>
      </c>
      <c r="D3221" t="str">
        <f>IF(E3221="","",IF(COUNTIF($E$2:E3221,E3221)&gt;1,"",SUMIFS(tbl_input[필요수량],tbl_input[집계키_지청],E3221)))</f>
        <v/>
      </c>
      <c r="E3221" t="str">
        <f>IFERROR(INDEX(tbl_input[집계키_지청],ROW()-1),"")</f>
        <v/>
      </c>
      <c r="F3221" t="str">
        <f t="shared" si="253"/>
        <v/>
      </c>
      <c r="G3221" t="str">
        <f t="shared" si="254"/>
        <v/>
      </c>
    </row>
    <row r="3222" spans="1:7" x14ac:dyDescent="0.4">
      <c r="A3222" t="str">
        <f t="shared" si="250"/>
        <v/>
      </c>
      <c r="B3222" t="str">
        <f t="shared" si="251"/>
        <v/>
      </c>
      <c r="C3222" t="str">
        <f t="shared" si="252"/>
        <v/>
      </c>
      <c r="D3222" t="str">
        <f>IF(E3222="","",IF(COUNTIF($E$2:E3222,E3222)&gt;1,"",SUMIFS(tbl_input[필요수량],tbl_input[집계키_지청],E3222)))</f>
        <v/>
      </c>
      <c r="E3222" t="str">
        <f>IFERROR(INDEX(tbl_input[집계키_지청],ROW()-1),"")</f>
        <v/>
      </c>
      <c r="F3222" t="str">
        <f t="shared" si="253"/>
        <v/>
      </c>
      <c r="G3222" t="str">
        <f t="shared" si="254"/>
        <v/>
      </c>
    </row>
    <row r="3223" spans="1:7" x14ac:dyDescent="0.4">
      <c r="A3223" t="str">
        <f t="shared" si="250"/>
        <v/>
      </c>
      <c r="B3223" t="str">
        <f t="shared" si="251"/>
        <v/>
      </c>
      <c r="C3223" t="str">
        <f t="shared" si="252"/>
        <v/>
      </c>
      <c r="D3223" t="str">
        <f>IF(E3223="","",IF(COUNTIF($E$2:E3223,E3223)&gt;1,"",SUMIFS(tbl_input[필요수량],tbl_input[집계키_지청],E3223)))</f>
        <v/>
      </c>
      <c r="E3223" t="str">
        <f>IFERROR(INDEX(tbl_input[집계키_지청],ROW()-1),"")</f>
        <v/>
      </c>
      <c r="F3223" t="str">
        <f t="shared" si="253"/>
        <v/>
      </c>
      <c r="G3223" t="str">
        <f t="shared" si="254"/>
        <v/>
      </c>
    </row>
    <row r="3224" spans="1:7" x14ac:dyDescent="0.4">
      <c r="A3224" t="str">
        <f t="shared" si="250"/>
        <v/>
      </c>
      <c r="B3224" t="str">
        <f t="shared" si="251"/>
        <v/>
      </c>
      <c r="C3224" t="str">
        <f t="shared" si="252"/>
        <v/>
      </c>
      <c r="D3224" t="str">
        <f>IF(E3224="","",IF(COUNTIF($E$2:E3224,E3224)&gt;1,"",SUMIFS(tbl_input[필요수량],tbl_input[집계키_지청],E3224)))</f>
        <v/>
      </c>
      <c r="E3224" t="str">
        <f>IFERROR(INDEX(tbl_input[집계키_지청],ROW()-1),"")</f>
        <v/>
      </c>
      <c r="F3224" t="str">
        <f t="shared" si="253"/>
        <v/>
      </c>
      <c r="G3224" t="str">
        <f t="shared" si="254"/>
        <v/>
      </c>
    </row>
    <row r="3225" spans="1:7" x14ac:dyDescent="0.4">
      <c r="A3225" t="str">
        <f t="shared" si="250"/>
        <v/>
      </c>
      <c r="B3225" t="str">
        <f t="shared" si="251"/>
        <v/>
      </c>
      <c r="C3225" t="str">
        <f t="shared" si="252"/>
        <v/>
      </c>
      <c r="D3225" t="str">
        <f>IF(E3225="","",IF(COUNTIF($E$2:E3225,E3225)&gt;1,"",SUMIFS(tbl_input[필요수량],tbl_input[집계키_지청],E3225)))</f>
        <v/>
      </c>
      <c r="E3225" t="str">
        <f>IFERROR(INDEX(tbl_input[집계키_지청],ROW()-1),"")</f>
        <v/>
      </c>
      <c r="F3225" t="str">
        <f t="shared" si="253"/>
        <v/>
      </c>
      <c r="G3225" t="str">
        <f t="shared" si="254"/>
        <v/>
      </c>
    </row>
    <row r="3226" spans="1:7" x14ac:dyDescent="0.4">
      <c r="A3226" t="str">
        <f t="shared" si="250"/>
        <v/>
      </c>
      <c r="B3226" t="str">
        <f t="shared" si="251"/>
        <v/>
      </c>
      <c r="C3226" t="str">
        <f t="shared" si="252"/>
        <v/>
      </c>
      <c r="D3226" t="str">
        <f>IF(E3226="","",IF(COUNTIF($E$2:E3226,E3226)&gt;1,"",SUMIFS(tbl_input[필요수량],tbl_input[집계키_지청],E3226)))</f>
        <v/>
      </c>
      <c r="E3226" t="str">
        <f>IFERROR(INDEX(tbl_input[집계키_지청],ROW()-1),"")</f>
        <v/>
      </c>
      <c r="F3226" t="str">
        <f t="shared" si="253"/>
        <v/>
      </c>
      <c r="G3226" t="str">
        <f t="shared" si="254"/>
        <v/>
      </c>
    </row>
    <row r="3227" spans="1:7" x14ac:dyDescent="0.4">
      <c r="A3227" t="str">
        <f t="shared" si="250"/>
        <v/>
      </c>
      <c r="B3227" t="str">
        <f t="shared" si="251"/>
        <v/>
      </c>
      <c r="C3227" t="str">
        <f t="shared" si="252"/>
        <v/>
      </c>
      <c r="D3227" t="str">
        <f>IF(E3227="","",IF(COUNTIF($E$2:E3227,E3227)&gt;1,"",SUMIFS(tbl_input[필요수량],tbl_input[집계키_지청],E3227)))</f>
        <v/>
      </c>
      <c r="E3227" t="str">
        <f>IFERROR(INDEX(tbl_input[집계키_지청],ROW()-1),"")</f>
        <v/>
      </c>
      <c r="F3227" t="str">
        <f t="shared" si="253"/>
        <v/>
      </c>
      <c r="G3227" t="str">
        <f t="shared" si="254"/>
        <v/>
      </c>
    </row>
    <row r="3228" spans="1:7" x14ac:dyDescent="0.4">
      <c r="A3228" t="str">
        <f t="shared" si="250"/>
        <v/>
      </c>
      <c r="B3228" t="str">
        <f t="shared" si="251"/>
        <v/>
      </c>
      <c r="C3228" t="str">
        <f t="shared" si="252"/>
        <v/>
      </c>
      <c r="D3228" t="str">
        <f>IF(E3228="","",IF(COUNTIF($E$2:E3228,E3228)&gt;1,"",SUMIFS(tbl_input[필요수량],tbl_input[집계키_지청],E3228)))</f>
        <v/>
      </c>
      <c r="E3228" t="str">
        <f>IFERROR(INDEX(tbl_input[집계키_지청],ROW()-1),"")</f>
        <v/>
      </c>
      <c r="F3228" t="str">
        <f t="shared" si="253"/>
        <v/>
      </c>
      <c r="G3228" t="str">
        <f t="shared" si="254"/>
        <v/>
      </c>
    </row>
    <row r="3229" spans="1:7" x14ac:dyDescent="0.4">
      <c r="A3229" t="str">
        <f t="shared" si="250"/>
        <v/>
      </c>
      <c r="B3229" t="str">
        <f t="shared" si="251"/>
        <v/>
      </c>
      <c r="C3229" t="str">
        <f t="shared" si="252"/>
        <v/>
      </c>
      <c r="D3229" t="str">
        <f>IF(E3229="","",IF(COUNTIF($E$2:E3229,E3229)&gt;1,"",SUMIFS(tbl_input[필요수량],tbl_input[집계키_지청],E3229)))</f>
        <v/>
      </c>
      <c r="E3229" t="str">
        <f>IFERROR(INDEX(tbl_input[집계키_지청],ROW()-1),"")</f>
        <v/>
      </c>
      <c r="F3229" t="str">
        <f t="shared" si="253"/>
        <v/>
      </c>
      <c r="G3229" t="str">
        <f t="shared" si="254"/>
        <v/>
      </c>
    </row>
    <row r="3230" spans="1:7" x14ac:dyDescent="0.4">
      <c r="A3230" t="str">
        <f t="shared" si="250"/>
        <v/>
      </c>
      <c r="B3230" t="str">
        <f t="shared" si="251"/>
        <v/>
      </c>
      <c r="C3230" t="str">
        <f t="shared" si="252"/>
        <v/>
      </c>
      <c r="D3230" t="str">
        <f>IF(E3230="","",IF(COUNTIF($E$2:E3230,E3230)&gt;1,"",SUMIFS(tbl_input[필요수량],tbl_input[집계키_지청],E3230)))</f>
        <v/>
      </c>
      <c r="E3230" t="str">
        <f>IFERROR(INDEX(tbl_input[집계키_지청],ROW()-1),"")</f>
        <v/>
      </c>
      <c r="F3230" t="str">
        <f t="shared" si="253"/>
        <v/>
      </c>
      <c r="G3230" t="str">
        <f t="shared" si="254"/>
        <v/>
      </c>
    </row>
    <row r="3231" spans="1:7" x14ac:dyDescent="0.4">
      <c r="A3231" t="str">
        <f t="shared" si="250"/>
        <v/>
      </c>
      <c r="B3231" t="str">
        <f t="shared" si="251"/>
        <v/>
      </c>
      <c r="C3231" t="str">
        <f t="shared" si="252"/>
        <v/>
      </c>
      <c r="D3231" t="str">
        <f>IF(E3231="","",IF(COUNTIF($E$2:E3231,E3231)&gt;1,"",SUMIFS(tbl_input[필요수량],tbl_input[집계키_지청],E3231)))</f>
        <v/>
      </c>
      <c r="E3231" t="str">
        <f>IFERROR(INDEX(tbl_input[집계키_지청],ROW()-1),"")</f>
        <v/>
      </c>
      <c r="F3231" t="str">
        <f t="shared" si="253"/>
        <v/>
      </c>
      <c r="G3231" t="str">
        <f t="shared" si="254"/>
        <v/>
      </c>
    </row>
    <row r="3232" spans="1:7" x14ac:dyDescent="0.4">
      <c r="A3232" t="str">
        <f t="shared" si="250"/>
        <v/>
      </c>
      <c r="B3232" t="str">
        <f t="shared" si="251"/>
        <v/>
      </c>
      <c r="C3232" t="str">
        <f t="shared" si="252"/>
        <v/>
      </c>
      <c r="D3232" t="str">
        <f>IF(E3232="","",IF(COUNTIF($E$2:E3232,E3232)&gt;1,"",SUMIFS(tbl_input[필요수량],tbl_input[집계키_지청],E3232)))</f>
        <v/>
      </c>
      <c r="E3232" t="str">
        <f>IFERROR(INDEX(tbl_input[집계키_지청],ROW()-1),"")</f>
        <v/>
      </c>
      <c r="F3232" t="str">
        <f t="shared" si="253"/>
        <v/>
      </c>
      <c r="G3232" t="str">
        <f t="shared" si="254"/>
        <v/>
      </c>
    </row>
    <row r="3233" spans="1:7" x14ac:dyDescent="0.4">
      <c r="A3233" t="str">
        <f t="shared" si="250"/>
        <v/>
      </c>
      <c r="B3233" t="str">
        <f t="shared" si="251"/>
        <v/>
      </c>
      <c r="C3233" t="str">
        <f t="shared" si="252"/>
        <v/>
      </c>
      <c r="D3233" t="str">
        <f>IF(E3233="","",IF(COUNTIF($E$2:E3233,E3233)&gt;1,"",SUMIFS(tbl_input[필요수량],tbl_input[집계키_지청],E3233)))</f>
        <v/>
      </c>
      <c r="E3233" t="str">
        <f>IFERROR(INDEX(tbl_input[집계키_지청],ROW()-1),"")</f>
        <v/>
      </c>
      <c r="F3233" t="str">
        <f t="shared" si="253"/>
        <v/>
      </c>
      <c r="G3233" t="str">
        <f t="shared" si="254"/>
        <v/>
      </c>
    </row>
    <row r="3234" spans="1:7" x14ac:dyDescent="0.4">
      <c r="A3234" t="str">
        <f t="shared" si="250"/>
        <v/>
      </c>
      <c r="B3234" t="str">
        <f t="shared" si="251"/>
        <v/>
      </c>
      <c r="C3234" t="str">
        <f t="shared" si="252"/>
        <v/>
      </c>
      <c r="D3234" t="str">
        <f>IF(E3234="","",IF(COUNTIF($E$2:E3234,E3234)&gt;1,"",SUMIFS(tbl_input[필요수량],tbl_input[집계키_지청],E3234)))</f>
        <v/>
      </c>
      <c r="E3234" t="str">
        <f>IFERROR(INDEX(tbl_input[집계키_지청],ROW()-1),"")</f>
        <v/>
      </c>
      <c r="F3234" t="str">
        <f t="shared" si="253"/>
        <v/>
      </c>
      <c r="G3234" t="str">
        <f t="shared" si="254"/>
        <v/>
      </c>
    </row>
    <row r="3235" spans="1:7" x14ac:dyDescent="0.4">
      <c r="A3235" t="str">
        <f t="shared" si="250"/>
        <v/>
      </c>
      <c r="B3235" t="str">
        <f t="shared" si="251"/>
        <v/>
      </c>
      <c r="C3235" t="str">
        <f t="shared" si="252"/>
        <v/>
      </c>
      <c r="D3235" t="str">
        <f>IF(E3235="","",IF(COUNTIF($E$2:E3235,E3235)&gt;1,"",SUMIFS(tbl_input[필요수량],tbl_input[집계키_지청],E3235)))</f>
        <v/>
      </c>
      <c r="E3235" t="str">
        <f>IFERROR(INDEX(tbl_input[집계키_지청],ROW()-1),"")</f>
        <v/>
      </c>
      <c r="F3235" t="str">
        <f t="shared" si="253"/>
        <v/>
      </c>
      <c r="G3235" t="str">
        <f t="shared" si="254"/>
        <v/>
      </c>
    </row>
    <row r="3236" spans="1:7" x14ac:dyDescent="0.4">
      <c r="A3236" t="str">
        <f t="shared" si="250"/>
        <v/>
      </c>
      <c r="B3236" t="str">
        <f t="shared" si="251"/>
        <v/>
      </c>
      <c r="C3236" t="str">
        <f t="shared" si="252"/>
        <v/>
      </c>
      <c r="D3236" t="str">
        <f>IF(E3236="","",IF(COUNTIF($E$2:E3236,E3236)&gt;1,"",SUMIFS(tbl_input[필요수량],tbl_input[집계키_지청],E3236)))</f>
        <v/>
      </c>
      <c r="E3236" t="str">
        <f>IFERROR(INDEX(tbl_input[집계키_지청],ROW()-1),"")</f>
        <v/>
      </c>
      <c r="F3236" t="str">
        <f t="shared" si="253"/>
        <v/>
      </c>
      <c r="G3236" t="str">
        <f t="shared" si="254"/>
        <v/>
      </c>
    </row>
    <row r="3237" spans="1:7" x14ac:dyDescent="0.4">
      <c r="A3237" t="str">
        <f t="shared" si="250"/>
        <v/>
      </c>
      <c r="B3237" t="str">
        <f t="shared" si="251"/>
        <v/>
      </c>
      <c r="C3237" t="str">
        <f t="shared" si="252"/>
        <v/>
      </c>
      <c r="D3237" t="str">
        <f>IF(E3237="","",IF(COUNTIF($E$2:E3237,E3237)&gt;1,"",SUMIFS(tbl_input[필요수량],tbl_input[집계키_지청],E3237)))</f>
        <v/>
      </c>
      <c r="E3237" t="str">
        <f>IFERROR(INDEX(tbl_input[집계키_지청],ROW()-1),"")</f>
        <v/>
      </c>
      <c r="F3237" t="str">
        <f t="shared" si="253"/>
        <v/>
      </c>
      <c r="G3237" t="str">
        <f t="shared" si="254"/>
        <v/>
      </c>
    </row>
    <row r="3238" spans="1:7" x14ac:dyDescent="0.4">
      <c r="A3238" t="str">
        <f t="shared" si="250"/>
        <v/>
      </c>
      <c r="B3238" t="str">
        <f t="shared" si="251"/>
        <v/>
      </c>
      <c r="C3238" t="str">
        <f t="shared" si="252"/>
        <v/>
      </c>
      <c r="D3238" t="str">
        <f>IF(E3238="","",IF(COUNTIF($E$2:E3238,E3238)&gt;1,"",SUMIFS(tbl_input[필요수량],tbl_input[집계키_지청],E3238)))</f>
        <v/>
      </c>
      <c r="E3238" t="str">
        <f>IFERROR(INDEX(tbl_input[집계키_지청],ROW()-1),"")</f>
        <v/>
      </c>
      <c r="F3238" t="str">
        <f t="shared" si="253"/>
        <v/>
      </c>
      <c r="G3238" t="str">
        <f t="shared" si="254"/>
        <v/>
      </c>
    </row>
    <row r="3239" spans="1:7" x14ac:dyDescent="0.4">
      <c r="A3239" t="str">
        <f t="shared" si="250"/>
        <v/>
      </c>
      <c r="B3239" t="str">
        <f t="shared" si="251"/>
        <v/>
      </c>
      <c r="C3239" t="str">
        <f t="shared" si="252"/>
        <v/>
      </c>
      <c r="D3239" t="str">
        <f>IF(E3239="","",IF(COUNTIF($E$2:E3239,E3239)&gt;1,"",SUMIFS(tbl_input[필요수량],tbl_input[집계키_지청],E3239)))</f>
        <v/>
      </c>
      <c r="E3239" t="str">
        <f>IFERROR(INDEX(tbl_input[집계키_지청],ROW()-1),"")</f>
        <v/>
      </c>
      <c r="F3239" t="str">
        <f t="shared" si="253"/>
        <v/>
      </c>
      <c r="G3239" t="str">
        <f t="shared" si="254"/>
        <v/>
      </c>
    </row>
    <row r="3240" spans="1:7" x14ac:dyDescent="0.4">
      <c r="A3240" t="str">
        <f t="shared" si="250"/>
        <v/>
      </c>
      <c r="B3240" t="str">
        <f t="shared" si="251"/>
        <v/>
      </c>
      <c r="C3240" t="str">
        <f t="shared" si="252"/>
        <v/>
      </c>
      <c r="D3240" t="str">
        <f>IF(E3240="","",IF(COUNTIF($E$2:E3240,E3240)&gt;1,"",SUMIFS(tbl_input[필요수량],tbl_input[집계키_지청],E3240)))</f>
        <v/>
      </c>
      <c r="E3240" t="str">
        <f>IFERROR(INDEX(tbl_input[집계키_지청],ROW()-1),"")</f>
        <v/>
      </c>
      <c r="F3240" t="str">
        <f t="shared" si="253"/>
        <v/>
      </c>
      <c r="G3240" t="str">
        <f t="shared" si="254"/>
        <v/>
      </c>
    </row>
    <row r="3241" spans="1:7" x14ac:dyDescent="0.4">
      <c r="A3241" t="str">
        <f t="shared" si="250"/>
        <v/>
      </c>
      <c r="B3241" t="str">
        <f t="shared" si="251"/>
        <v/>
      </c>
      <c r="C3241" t="str">
        <f t="shared" si="252"/>
        <v/>
      </c>
      <c r="D3241" t="str">
        <f>IF(E3241="","",IF(COUNTIF($E$2:E3241,E3241)&gt;1,"",SUMIFS(tbl_input[필요수량],tbl_input[집계키_지청],E3241)))</f>
        <v/>
      </c>
      <c r="E3241" t="str">
        <f>IFERROR(INDEX(tbl_input[집계키_지청],ROW()-1),"")</f>
        <v/>
      </c>
      <c r="F3241" t="str">
        <f t="shared" si="253"/>
        <v/>
      </c>
      <c r="G3241" t="str">
        <f t="shared" si="254"/>
        <v/>
      </c>
    </row>
    <row r="3242" spans="1:7" x14ac:dyDescent="0.4">
      <c r="A3242" t="str">
        <f t="shared" si="250"/>
        <v/>
      </c>
      <c r="B3242" t="str">
        <f t="shared" si="251"/>
        <v/>
      </c>
      <c r="C3242" t="str">
        <f t="shared" si="252"/>
        <v/>
      </c>
      <c r="D3242" t="str">
        <f>IF(E3242="","",IF(COUNTIF($E$2:E3242,E3242)&gt;1,"",SUMIFS(tbl_input[필요수량],tbl_input[집계키_지청],E3242)))</f>
        <v/>
      </c>
      <c r="E3242" t="str">
        <f>IFERROR(INDEX(tbl_input[집계키_지청],ROW()-1),"")</f>
        <v/>
      </c>
      <c r="F3242" t="str">
        <f t="shared" si="253"/>
        <v/>
      </c>
      <c r="G3242" t="str">
        <f t="shared" si="254"/>
        <v/>
      </c>
    </row>
    <row r="3243" spans="1:7" x14ac:dyDescent="0.4">
      <c r="A3243" t="str">
        <f t="shared" si="250"/>
        <v/>
      </c>
      <c r="B3243" t="str">
        <f t="shared" si="251"/>
        <v/>
      </c>
      <c r="C3243" t="str">
        <f t="shared" si="252"/>
        <v/>
      </c>
      <c r="D3243" t="str">
        <f>IF(E3243="","",IF(COUNTIF($E$2:E3243,E3243)&gt;1,"",SUMIFS(tbl_input[필요수량],tbl_input[집계키_지청],E3243)))</f>
        <v/>
      </c>
      <c r="E3243" t="str">
        <f>IFERROR(INDEX(tbl_input[집계키_지청],ROW()-1),"")</f>
        <v/>
      </c>
      <c r="F3243" t="str">
        <f t="shared" si="253"/>
        <v/>
      </c>
      <c r="G3243" t="str">
        <f t="shared" si="254"/>
        <v/>
      </c>
    </row>
    <row r="3244" spans="1:7" x14ac:dyDescent="0.4">
      <c r="A3244" t="str">
        <f t="shared" si="250"/>
        <v/>
      </c>
      <c r="B3244" t="str">
        <f t="shared" si="251"/>
        <v/>
      </c>
      <c r="C3244" t="str">
        <f t="shared" si="252"/>
        <v/>
      </c>
      <c r="D3244" t="str">
        <f>IF(E3244="","",IF(COUNTIF($E$2:E3244,E3244)&gt;1,"",SUMIFS(tbl_input[필요수량],tbl_input[집계키_지청],E3244)))</f>
        <v/>
      </c>
      <c r="E3244" t="str">
        <f>IFERROR(INDEX(tbl_input[집계키_지청],ROW()-1),"")</f>
        <v/>
      </c>
      <c r="F3244" t="str">
        <f t="shared" si="253"/>
        <v/>
      </c>
      <c r="G3244" t="str">
        <f t="shared" si="254"/>
        <v/>
      </c>
    </row>
    <row r="3245" spans="1:7" x14ac:dyDescent="0.4">
      <c r="A3245" t="str">
        <f t="shared" si="250"/>
        <v/>
      </c>
      <c r="B3245" t="str">
        <f t="shared" si="251"/>
        <v/>
      </c>
      <c r="C3245" t="str">
        <f t="shared" si="252"/>
        <v/>
      </c>
      <c r="D3245" t="str">
        <f>IF(E3245="","",IF(COUNTIF($E$2:E3245,E3245)&gt;1,"",SUMIFS(tbl_input[필요수량],tbl_input[집계키_지청],E3245)))</f>
        <v/>
      </c>
      <c r="E3245" t="str">
        <f>IFERROR(INDEX(tbl_input[집계키_지청],ROW()-1),"")</f>
        <v/>
      </c>
      <c r="F3245" t="str">
        <f t="shared" si="253"/>
        <v/>
      </c>
      <c r="G3245" t="str">
        <f t="shared" si="254"/>
        <v/>
      </c>
    </row>
    <row r="3246" spans="1:7" x14ac:dyDescent="0.4">
      <c r="A3246" t="str">
        <f t="shared" si="250"/>
        <v/>
      </c>
      <c r="B3246" t="str">
        <f t="shared" si="251"/>
        <v/>
      </c>
      <c r="C3246" t="str">
        <f t="shared" si="252"/>
        <v/>
      </c>
      <c r="D3246" t="str">
        <f>IF(E3246="","",IF(COUNTIF($E$2:E3246,E3246)&gt;1,"",SUMIFS(tbl_input[필요수량],tbl_input[집계키_지청],E3246)))</f>
        <v/>
      </c>
      <c r="E3246" t="str">
        <f>IFERROR(INDEX(tbl_input[집계키_지청],ROW()-1),"")</f>
        <v/>
      </c>
      <c r="F3246" t="str">
        <f t="shared" si="253"/>
        <v/>
      </c>
      <c r="G3246" t="str">
        <f t="shared" si="254"/>
        <v/>
      </c>
    </row>
    <row r="3247" spans="1:7" x14ac:dyDescent="0.4">
      <c r="A3247" t="str">
        <f t="shared" si="250"/>
        <v/>
      </c>
      <c r="B3247" t="str">
        <f t="shared" si="251"/>
        <v/>
      </c>
      <c r="C3247" t="str">
        <f t="shared" si="252"/>
        <v/>
      </c>
      <c r="D3247" t="str">
        <f>IF(E3247="","",IF(COUNTIF($E$2:E3247,E3247)&gt;1,"",SUMIFS(tbl_input[필요수량],tbl_input[집계키_지청],E3247)))</f>
        <v/>
      </c>
      <c r="E3247" t="str">
        <f>IFERROR(INDEX(tbl_input[집계키_지청],ROW()-1),"")</f>
        <v/>
      </c>
      <c r="F3247" t="str">
        <f t="shared" si="253"/>
        <v/>
      </c>
      <c r="G3247" t="str">
        <f t="shared" si="254"/>
        <v/>
      </c>
    </row>
    <row r="3248" spans="1:7" x14ac:dyDescent="0.4">
      <c r="A3248" t="str">
        <f t="shared" si="250"/>
        <v/>
      </c>
      <c r="B3248" t="str">
        <f t="shared" si="251"/>
        <v/>
      </c>
      <c r="C3248" t="str">
        <f t="shared" si="252"/>
        <v/>
      </c>
      <c r="D3248" t="str">
        <f>IF(E3248="","",IF(COUNTIF($E$2:E3248,E3248)&gt;1,"",SUMIFS(tbl_input[필요수량],tbl_input[집계키_지청],E3248)))</f>
        <v/>
      </c>
      <c r="E3248" t="str">
        <f>IFERROR(INDEX(tbl_input[집계키_지청],ROW()-1),"")</f>
        <v/>
      </c>
      <c r="F3248" t="str">
        <f t="shared" si="253"/>
        <v/>
      </c>
      <c r="G3248" t="str">
        <f t="shared" si="254"/>
        <v/>
      </c>
    </row>
    <row r="3249" spans="1:7" x14ac:dyDescent="0.4">
      <c r="A3249" t="str">
        <f t="shared" si="250"/>
        <v/>
      </c>
      <c r="B3249" t="str">
        <f t="shared" si="251"/>
        <v/>
      </c>
      <c r="C3249" t="str">
        <f t="shared" si="252"/>
        <v/>
      </c>
      <c r="D3249" t="str">
        <f>IF(E3249="","",IF(COUNTIF($E$2:E3249,E3249)&gt;1,"",SUMIFS(tbl_input[필요수량],tbl_input[집계키_지청],E3249)))</f>
        <v/>
      </c>
      <c r="E3249" t="str">
        <f>IFERROR(INDEX(tbl_input[집계키_지청],ROW()-1),"")</f>
        <v/>
      </c>
      <c r="F3249" t="str">
        <f t="shared" si="253"/>
        <v/>
      </c>
      <c r="G3249" t="str">
        <f t="shared" si="254"/>
        <v/>
      </c>
    </row>
    <row r="3250" spans="1:7" x14ac:dyDescent="0.4">
      <c r="A3250" t="str">
        <f t="shared" si="250"/>
        <v/>
      </c>
      <c r="B3250" t="str">
        <f t="shared" si="251"/>
        <v/>
      </c>
      <c r="C3250" t="str">
        <f t="shared" si="252"/>
        <v/>
      </c>
      <c r="D3250" t="str">
        <f>IF(E3250="","",IF(COUNTIF($E$2:E3250,E3250)&gt;1,"",SUMIFS(tbl_input[필요수량],tbl_input[집계키_지청],E3250)))</f>
        <v/>
      </c>
      <c r="E3250" t="str">
        <f>IFERROR(INDEX(tbl_input[집계키_지청],ROW()-1),"")</f>
        <v/>
      </c>
      <c r="F3250" t="str">
        <f t="shared" si="253"/>
        <v/>
      </c>
      <c r="G3250" t="str">
        <f t="shared" si="254"/>
        <v/>
      </c>
    </row>
    <row r="3251" spans="1:7" x14ac:dyDescent="0.4">
      <c r="A3251" t="str">
        <f t="shared" si="250"/>
        <v/>
      </c>
      <c r="B3251" t="str">
        <f t="shared" si="251"/>
        <v/>
      </c>
      <c r="C3251" t="str">
        <f t="shared" si="252"/>
        <v/>
      </c>
      <c r="D3251" t="str">
        <f>IF(E3251="","",IF(COUNTIF($E$2:E3251,E3251)&gt;1,"",SUMIFS(tbl_input[필요수량],tbl_input[집계키_지청],E3251)))</f>
        <v/>
      </c>
      <c r="E3251" t="str">
        <f>IFERROR(INDEX(tbl_input[집계키_지청],ROW()-1),"")</f>
        <v/>
      </c>
      <c r="F3251" t="str">
        <f t="shared" si="253"/>
        <v/>
      </c>
      <c r="G3251" t="str">
        <f t="shared" si="254"/>
        <v/>
      </c>
    </row>
    <row r="3252" spans="1:7" x14ac:dyDescent="0.4">
      <c r="A3252" t="str">
        <f t="shared" si="250"/>
        <v/>
      </c>
      <c r="B3252" t="str">
        <f t="shared" si="251"/>
        <v/>
      </c>
      <c r="C3252" t="str">
        <f t="shared" si="252"/>
        <v/>
      </c>
      <c r="D3252" t="str">
        <f>IF(E3252="","",IF(COUNTIF($E$2:E3252,E3252)&gt;1,"",SUMIFS(tbl_input[필요수량],tbl_input[집계키_지청],E3252)))</f>
        <v/>
      </c>
      <c r="E3252" t="str">
        <f>IFERROR(INDEX(tbl_input[집계키_지청],ROW()-1),"")</f>
        <v/>
      </c>
      <c r="F3252" t="str">
        <f t="shared" si="253"/>
        <v/>
      </c>
      <c r="G3252" t="str">
        <f t="shared" si="254"/>
        <v/>
      </c>
    </row>
    <row r="3253" spans="1:7" x14ac:dyDescent="0.4">
      <c r="A3253" t="str">
        <f t="shared" si="250"/>
        <v/>
      </c>
      <c r="B3253" t="str">
        <f t="shared" si="251"/>
        <v/>
      </c>
      <c r="C3253" t="str">
        <f t="shared" si="252"/>
        <v/>
      </c>
      <c r="D3253" t="str">
        <f>IF(E3253="","",IF(COUNTIF($E$2:E3253,E3253)&gt;1,"",SUMIFS(tbl_input[필요수량],tbl_input[집계키_지청],E3253)))</f>
        <v/>
      </c>
      <c r="E3253" t="str">
        <f>IFERROR(INDEX(tbl_input[집계키_지청],ROW()-1),"")</f>
        <v/>
      </c>
      <c r="F3253" t="str">
        <f t="shared" si="253"/>
        <v/>
      </c>
      <c r="G3253" t="str">
        <f t="shared" si="254"/>
        <v/>
      </c>
    </row>
    <row r="3254" spans="1:7" x14ac:dyDescent="0.4">
      <c r="A3254" t="str">
        <f t="shared" si="250"/>
        <v/>
      </c>
      <c r="B3254" t="str">
        <f t="shared" si="251"/>
        <v/>
      </c>
      <c r="C3254" t="str">
        <f t="shared" si="252"/>
        <v/>
      </c>
      <c r="D3254" t="str">
        <f>IF(E3254="","",IF(COUNTIF($E$2:E3254,E3254)&gt;1,"",SUMIFS(tbl_input[필요수량],tbl_input[집계키_지청],E3254)))</f>
        <v/>
      </c>
      <c r="E3254" t="str">
        <f>IFERROR(INDEX(tbl_input[집계키_지청],ROW()-1),"")</f>
        <v/>
      </c>
      <c r="F3254" t="str">
        <f t="shared" si="253"/>
        <v/>
      </c>
      <c r="G3254" t="str">
        <f t="shared" si="254"/>
        <v/>
      </c>
    </row>
    <row r="3255" spans="1:7" x14ac:dyDescent="0.4">
      <c r="A3255" t="str">
        <f t="shared" si="250"/>
        <v/>
      </c>
      <c r="B3255" t="str">
        <f t="shared" si="251"/>
        <v/>
      </c>
      <c r="C3255" t="str">
        <f t="shared" si="252"/>
        <v/>
      </c>
      <c r="D3255" t="str">
        <f>IF(E3255="","",IF(COUNTIF($E$2:E3255,E3255)&gt;1,"",SUMIFS(tbl_input[필요수량],tbl_input[집계키_지청],E3255)))</f>
        <v/>
      </c>
      <c r="E3255" t="str">
        <f>IFERROR(INDEX(tbl_input[집계키_지청],ROW()-1),"")</f>
        <v/>
      </c>
      <c r="F3255" t="str">
        <f t="shared" si="253"/>
        <v/>
      </c>
      <c r="G3255" t="str">
        <f t="shared" si="254"/>
        <v/>
      </c>
    </row>
    <row r="3256" spans="1:7" x14ac:dyDescent="0.4">
      <c r="A3256" t="str">
        <f t="shared" si="250"/>
        <v/>
      </c>
      <c r="B3256" t="str">
        <f t="shared" si="251"/>
        <v/>
      </c>
      <c r="C3256" t="str">
        <f t="shared" si="252"/>
        <v/>
      </c>
      <c r="D3256" t="str">
        <f>IF(E3256="","",IF(COUNTIF($E$2:E3256,E3256)&gt;1,"",SUMIFS(tbl_input[필요수량],tbl_input[집계키_지청],E3256)))</f>
        <v/>
      </c>
      <c r="E3256" t="str">
        <f>IFERROR(INDEX(tbl_input[집계키_지청],ROW()-1),"")</f>
        <v/>
      </c>
      <c r="F3256" t="str">
        <f t="shared" si="253"/>
        <v/>
      </c>
      <c r="G3256" t="str">
        <f t="shared" si="254"/>
        <v/>
      </c>
    </row>
    <row r="3257" spans="1:7" x14ac:dyDescent="0.4">
      <c r="A3257" t="str">
        <f t="shared" si="250"/>
        <v/>
      </c>
      <c r="B3257" t="str">
        <f t="shared" si="251"/>
        <v/>
      </c>
      <c r="C3257" t="str">
        <f t="shared" si="252"/>
        <v/>
      </c>
      <c r="D3257" t="str">
        <f>IF(E3257="","",IF(COUNTIF($E$2:E3257,E3257)&gt;1,"",SUMIFS(tbl_input[필요수량],tbl_input[집계키_지청],E3257)))</f>
        <v/>
      </c>
      <c r="E3257" t="str">
        <f>IFERROR(INDEX(tbl_input[집계키_지청],ROW()-1),"")</f>
        <v/>
      </c>
      <c r="F3257" t="str">
        <f t="shared" si="253"/>
        <v/>
      </c>
      <c r="G3257" t="str">
        <f t="shared" si="254"/>
        <v/>
      </c>
    </row>
    <row r="3258" spans="1:7" x14ac:dyDescent="0.4">
      <c r="A3258" t="str">
        <f t="shared" si="250"/>
        <v/>
      </c>
      <c r="B3258" t="str">
        <f t="shared" si="251"/>
        <v/>
      </c>
      <c r="C3258" t="str">
        <f t="shared" si="252"/>
        <v/>
      </c>
      <c r="D3258" t="str">
        <f>IF(E3258="","",IF(COUNTIF($E$2:E3258,E3258)&gt;1,"",SUMIFS(tbl_input[필요수량],tbl_input[집계키_지청],E3258)))</f>
        <v/>
      </c>
      <c r="E3258" t="str">
        <f>IFERROR(INDEX(tbl_input[집계키_지청],ROW()-1),"")</f>
        <v/>
      </c>
      <c r="F3258" t="str">
        <f t="shared" si="253"/>
        <v/>
      </c>
      <c r="G3258" t="str">
        <f t="shared" si="254"/>
        <v/>
      </c>
    </row>
    <row r="3259" spans="1:7" x14ac:dyDescent="0.4">
      <c r="A3259" t="str">
        <f t="shared" si="250"/>
        <v/>
      </c>
      <c r="B3259" t="str">
        <f t="shared" si="251"/>
        <v/>
      </c>
      <c r="C3259" t="str">
        <f t="shared" si="252"/>
        <v/>
      </c>
      <c r="D3259" t="str">
        <f>IF(E3259="","",IF(COUNTIF($E$2:E3259,E3259)&gt;1,"",SUMIFS(tbl_input[필요수량],tbl_input[집계키_지청],E3259)))</f>
        <v/>
      </c>
      <c r="E3259" t="str">
        <f>IFERROR(INDEX(tbl_input[집계키_지청],ROW()-1),"")</f>
        <v/>
      </c>
      <c r="F3259" t="str">
        <f t="shared" si="253"/>
        <v/>
      </c>
      <c r="G3259" t="str">
        <f t="shared" si="254"/>
        <v/>
      </c>
    </row>
    <row r="3260" spans="1:7" x14ac:dyDescent="0.4">
      <c r="A3260" t="str">
        <f t="shared" si="250"/>
        <v/>
      </c>
      <c r="B3260" t="str">
        <f t="shared" si="251"/>
        <v/>
      </c>
      <c r="C3260" t="str">
        <f t="shared" si="252"/>
        <v/>
      </c>
      <c r="D3260" t="str">
        <f>IF(E3260="","",IF(COUNTIF($E$2:E3260,E3260)&gt;1,"",SUMIFS(tbl_input[필요수량],tbl_input[집계키_지청],E3260)))</f>
        <v/>
      </c>
      <c r="E3260" t="str">
        <f>IFERROR(INDEX(tbl_input[집계키_지청],ROW()-1),"")</f>
        <v/>
      </c>
      <c r="F3260" t="str">
        <f t="shared" si="253"/>
        <v/>
      </c>
      <c r="G3260" t="str">
        <f t="shared" si="254"/>
        <v/>
      </c>
    </row>
    <row r="3261" spans="1:7" x14ac:dyDescent="0.4">
      <c r="A3261" t="str">
        <f t="shared" si="250"/>
        <v/>
      </c>
      <c r="B3261" t="str">
        <f t="shared" si="251"/>
        <v/>
      </c>
      <c r="C3261" t="str">
        <f t="shared" si="252"/>
        <v/>
      </c>
      <c r="D3261" t="str">
        <f>IF(E3261="","",IF(COUNTIF($E$2:E3261,E3261)&gt;1,"",SUMIFS(tbl_input[필요수량],tbl_input[집계키_지청],E3261)))</f>
        <v/>
      </c>
      <c r="E3261" t="str">
        <f>IFERROR(INDEX(tbl_input[집계키_지청],ROW()-1),"")</f>
        <v/>
      </c>
      <c r="F3261" t="str">
        <f t="shared" si="253"/>
        <v/>
      </c>
      <c r="G3261" t="str">
        <f t="shared" si="254"/>
        <v/>
      </c>
    </row>
    <row r="3262" spans="1:7" x14ac:dyDescent="0.4">
      <c r="A3262" t="str">
        <f t="shared" si="250"/>
        <v/>
      </c>
      <c r="B3262" t="str">
        <f t="shared" si="251"/>
        <v/>
      </c>
      <c r="C3262" t="str">
        <f t="shared" si="252"/>
        <v/>
      </c>
      <c r="D3262" t="str">
        <f>IF(E3262="","",IF(COUNTIF($E$2:E3262,E3262)&gt;1,"",SUMIFS(tbl_input[필요수량],tbl_input[집계키_지청],E3262)))</f>
        <v/>
      </c>
      <c r="E3262" t="str">
        <f>IFERROR(INDEX(tbl_input[집계키_지청],ROW()-1),"")</f>
        <v/>
      </c>
      <c r="F3262" t="str">
        <f t="shared" si="253"/>
        <v/>
      </c>
      <c r="G3262" t="str">
        <f t="shared" si="254"/>
        <v/>
      </c>
    </row>
    <row r="3263" spans="1:7" x14ac:dyDescent="0.4">
      <c r="A3263" t="str">
        <f t="shared" si="250"/>
        <v/>
      </c>
      <c r="B3263" t="str">
        <f t="shared" si="251"/>
        <v/>
      </c>
      <c r="C3263" t="str">
        <f t="shared" si="252"/>
        <v/>
      </c>
      <c r="D3263" t="str">
        <f>IF(E3263="","",IF(COUNTIF($E$2:E3263,E3263)&gt;1,"",SUMIFS(tbl_input[필요수량],tbl_input[집계키_지청],E3263)))</f>
        <v/>
      </c>
      <c r="E3263" t="str">
        <f>IFERROR(INDEX(tbl_input[집계키_지청],ROW()-1),"")</f>
        <v/>
      </c>
      <c r="F3263" t="str">
        <f t="shared" si="253"/>
        <v/>
      </c>
      <c r="G3263" t="str">
        <f t="shared" si="254"/>
        <v/>
      </c>
    </row>
    <row r="3264" spans="1:7" x14ac:dyDescent="0.4">
      <c r="A3264" t="str">
        <f t="shared" si="250"/>
        <v/>
      </c>
      <c r="B3264" t="str">
        <f t="shared" si="251"/>
        <v/>
      </c>
      <c r="C3264" t="str">
        <f t="shared" si="252"/>
        <v/>
      </c>
      <c r="D3264" t="str">
        <f>IF(E3264="","",IF(COUNTIF($E$2:E3264,E3264)&gt;1,"",SUMIFS(tbl_input[필요수량],tbl_input[집계키_지청],E3264)))</f>
        <v/>
      </c>
      <c r="E3264" t="str">
        <f>IFERROR(INDEX(tbl_input[집계키_지청],ROW()-1),"")</f>
        <v/>
      </c>
      <c r="F3264" t="str">
        <f t="shared" si="253"/>
        <v/>
      </c>
      <c r="G3264" t="str">
        <f t="shared" si="254"/>
        <v/>
      </c>
    </row>
    <row r="3265" spans="1:7" x14ac:dyDescent="0.4">
      <c r="A3265" t="str">
        <f t="shared" si="250"/>
        <v/>
      </c>
      <c r="B3265" t="str">
        <f t="shared" si="251"/>
        <v/>
      </c>
      <c r="C3265" t="str">
        <f t="shared" si="252"/>
        <v/>
      </c>
      <c r="D3265" t="str">
        <f>IF(E3265="","",IF(COUNTIF($E$2:E3265,E3265)&gt;1,"",SUMIFS(tbl_input[필요수량],tbl_input[집계키_지청],E3265)))</f>
        <v/>
      </c>
      <c r="E3265" t="str">
        <f>IFERROR(INDEX(tbl_input[집계키_지청],ROW()-1),"")</f>
        <v/>
      </c>
      <c r="F3265" t="str">
        <f t="shared" si="253"/>
        <v/>
      </c>
      <c r="G3265" t="str">
        <f t="shared" si="254"/>
        <v/>
      </c>
    </row>
    <row r="3266" spans="1:7" x14ac:dyDescent="0.4">
      <c r="A3266" t="str">
        <f t="shared" ref="A3266:A3329" si="255">IF(E3266="","",LEFT(E3266,F3266-1))</f>
        <v/>
      </c>
      <c r="B3266" t="str">
        <f t="shared" ref="B3266:B3329" si="256">IF(E3266="","",MID(E3266,F3266+1,G3266-F3266-1))</f>
        <v/>
      </c>
      <c r="C3266" t="str">
        <f t="shared" ref="C3266:C3329" si="257">IF(E3266="","",MID(E3266,G3266+1,999))</f>
        <v/>
      </c>
      <c r="D3266" t="str">
        <f>IF(E3266="","",IF(COUNTIF($E$2:E3266,E3266)&gt;1,"",SUMIFS(tbl_input[필요수량],tbl_input[집계키_지청],E3266)))</f>
        <v/>
      </c>
      <c r="E3266" t="str">
        <f>IFERROR(INDEX(tbl_input[집계키_지청],ROW()-1),"")</f>
        <v/>
      </c>
      <c r="F3266" t="str">
        <f t="shared" ref="F3266:F3329" si="258">IF(E3266="","",FIND("♦",E3266))</f>
        <v/>
      </c>
      <c r="G3266" t="str">
        <f t="shared" ref="G3266:G3329" si="259">IF(E3266="","",FIND("♦",E3266,F3266+1))</f>
        <v/>
      </c>
    </row>
    <row r="3267" spans="1:7" x14ac:dyDescent="0.4">
      <c r="A3267" t="str">
        <f t="shared" si="255"/>
        <v/>
      </c>
      <c r="B3267" t="str">
        <f t="shared" si="256"/>
        <v/>
      </c>
      <c r="C3267" t="str">
        <f t="shared" si="257"/>
        <v/>
      </c>
      <c r="D3267" t="str">
        <f>IF(E3267="","",IF(COUNTIF($E$2:E3267,E3267)&gt;1,"",SUMIFS(tbl_input[필요수량],tbl_input[집계키_지청],E3267)))</f>
        <v/>
      </c>
      <c r="E3267" t="str">
        <f>IFERROR(INDEX(tbl_input[집계키_지청],ROW()-1),"")</f>
        <v/>
      </c>
      <c r="F3267" t="str">
        <f t="shared" si="258"/>
        <v/>
      </c>
      <c r="G3267" t="str">
        <f t="shared" si="259"/>
        <v/>
      </c>
    </row>
    <row r="3268" spans="1:7" x14ac:dyDescent="0.4">
      <c r="A3268" t="str">
        <f t="shared" si="255"/>
        <v/>
      </c>
      <c r="B3268" t="str">
        <f t="shared" si="256"/>
        <v/>
      </c>
      <c r="C3268" t="str">
        <f t="shared" si="257"/>
        <v/>
      </c>
      <c r="D3268" t="str">
        <f>IF(E3268="","",IF(COUNTIF($E$2:E3268,E3268)&gt;1,"",SUMIFS(tbl_input[필요수량],tbl_input[집계키_지청],E3268)))</f>
        <v/>
      </c>
      <c r="E3268" t="str">
        <f>IFERROR(INDEX(tbl_input[집계키_지청],ROW()-1),"")</f>
        <v/>
      </c>
      <c r="F3268" t="str">
        <f t="shared" si="258"/>
        <v/>
      </c>
      <c r="G3268" t="str">
        <f t="shared" si="259"/>
        <v/>
      </c>
    </row>
    <row r="3269" spans="1:7" x14ac:dyDescent="0.4">
      <c r="A3269" t="str">
        <f t="shared" si="255"/>
        <v/>
      </c>
      <c r="B3269" t="str">
        <f t="shared" si="256"/>
        <v/>
      </c>
      <c r="C3269" t="str">
        <f t="shared" si="257"/>
        <v/>
      </c>
      <c r="D3269" t="str">
        <f>IF(E3269="","",IF(COUNTIF($E$2:E3269,E3269)&gt;1,"",SUMIFS(tbl_input[필요수량],tbl_input[집계키_지청],E3269)))</f>
        <v/>
      </c>
      <c r="E3269" t="str">
        <f>IFERROR(INDEX(tbl_input[집계키_지청],ROW()-1),"")</f>
        <v/>
      </c>
      <c r="F3269" t="str">
        <f t="shared" si="258"/>
        <v/>
      </c>
      <c r="G3269" t="str">
        <f t="shared" si="259"/>
        <v/>
      </c>
    </row>
    <row r="3270" spans="1:7" x14ac:dyDescent="0.4">
      <c r="A3270" t="str">
        <f t="shared" si="255"/>
        <v/>
      </c>
      <c r="B3270" t="str">
        <f t="shared" si="256"/>
        <v/>
      </c>
      <c r="C3270" t="str">
        <f t="shared" si="257"/>
        <v/>
      </c>
      <c r="D3270" t="str">
        <f>IF(E3270="","",IF(COUNTIF($E$2:E3270,E3270)&gt;1,"",SUMIFS(tbl_input[필요수량],tbl_input[집계키_지청],E3270)))</f>
        <v/>
      </c>
      <c r="E3270" t="str">
        <f>IFERROR(INDEX(tbl_input[집계키_지청],ROW()-1),"")</f>
        <v/>
      </c>
      <c r="F3270" t="str">
        <f t="shared" si="258"/>
        <v/>
      </c>
      <c r="G3270" t="str">
        <f t="shared" si="259"/>
        <v/>
      </c>
    </row>
    <row r="3271" spans="1:7" x14ac:dyDescent="0.4">
      <c r="A3271" t="str">
        <f t="shared" si="255"/>
        <v/>
      </c>
      <c r="B3271" t="str">
        <f t="shared" si="256"/>
        <v/>
      </c>
      <c r="C3271" t="str">
        <f t="shared" si="257"/>
        <v/>
      </c>
      <c r="D3271" t="str">
        <f>IF(E3271="","",IF(COUNTIF($E$2:E3271,E3271)&gt;1,"",SUMIFS(tbl_input[필요수량],tbl_input[집계키_지청],E3271)))</f>
        <v/>
      </c>
      <c r="E3271" t="str">
        <f>IFERROR(INDEX(tbl_input[집계키_지청],ROW()-1),"")</f>
        <v/>
      </c>
      <c r="F3271" t="str">
        <f t="shared" si="258"/>
        <v/>
      </c>
      <c r="G3271" t="str">
        <f t="shared" si="259"/>
        <v/>
      </c>
    </row>
    <row r="3272" spans="1:7" x14ac:dyDescent="0.4">
      <c r="A3272" t="str">
        <f t="shared" si="255"/>
        <v/>
      </c>
      <c r="B3272" t="str">
        <f t="shared" si="256"/>
        <v/>
      </c>
      <c r="C3272" t="str">
        <f t="shared" si="257"/>
        <v/>
      </c>
      <c r="D3272" t="str">
        <f>IF(E3272="","",IF(COUNTIF($E$2:E3272,E3272)&gt;1,"",SUMIFS(tbl_input[필요수량],tbl_input[집계키_지청],E3272)))</f>
        <v/>
      </c>
      <c r="E3272" t="str">
        <f>IFERROR(INDEX(tbl_input[집계키_지청],ROW()-1),"")</f>
        <v/>
      </c>
      <c r="F3272" t="str">
        <f t="shared" si="258"/>
        <v/>
      </c>
      <c r="G3272" t="str">
        <f t="shared" si="259"/>
        <v/>
      </c>
    </row>
    <row r="3273" spans="1:7" x14ac:dyDescent="0.4">
      <c r="A3273" t="str">
        <f t="shared" si="255"/>
        <v/>
      </c>
      <c r="B3273" t="str">
        <f t="shared" si="256"/>
        <v/>
      </c>
      <c r="C3273" t="str">
        <f t="shared" si="257"/>
        <v/>
      </c>
      <c r="D3273" t="str">
        <f>IF(E3273="","",IF(COUNTIF($E$2:E3273,E3273)&gt;1,"",SUMIFS(tbl_input[필요수량],tbl_input[집계키_지청],E3273)))</f>
        <v/>
      </c>
      <c r="E3273" t="str">
        <f>IFERROR(INDEX(tbl_input[집계키_지청],ROW()-1),"")</f>
        <v/>
      </c>
      <c r="F3273" t="str">
        <f t="shared" si="258"/>
        <v/>
      </c>
      <c r="G3273" t="str">
        <f t="shared" si="259"/>
        <v/>
      </c>
    </row>
    <row r="3274" spans="1:7" x14ac:dyDescent="0.4">
      <c r="A3274" t="str">
        <f t="shared" si="255"/>
        <v/>
      </c>
      <c r="B3274" t="str">
        <f t="shared" si="256"/>
        <v/>
      </c>
      <c r="C3274" t="str">
        <f t="shared" si="257"/>
        <v/>
      </c>
      <c r="D3274" t="str">
        <f>IF(E3274="","",IF(COUNTIF($E$2:E3274,E3274)&gt;1,"",SUMIFS(tbl_input[필요수량],tbl_input[집계키_지청],E3274)))</f>
        <v/>
      </c>
      <c r="E3274" t="str">
        <f>IFERROR(INDEX(tbl_input[집계키_지청],ROW()-1),"")</f>
        <v/>
      </c>
      <c r="F3274" t="str">
        <f t="shared" si="258"/>
        <v/>
      </c>
      <c r="G3274" t="str">
        <f t="shared" si="259"/>
        <v/>
      </c>
    </row>
    <row r="3275" spans="1:7" x14ac:dyDescent="0.4">
      <c r="A3275" t="str">
        <f t="shared" si="255"/>
        <v/>
      </c>
      <c r="B3275" t="str">
        <f t="shared" si="256"/>
        <v/>
      </c>
      <c r="C3275" t="str">
        <f t="shared" si="257"/>
        <v/>
      </c>
      <c r="D3275" t="str">
        <f>IF(E3275="","",IF(COUNTIF($E$2:E3275,E3275)&gt;1,"",SUMIFS(tbl_input[필요수량],tbl_input[집계키_지청],E3275)))</f>
        <v/>
      </c>
      <c r="E3275" t="str">
        <f>IFERROR(INDEX(tbl_input[집계키_지청],ROW()-1),"")</f>
        <v/>
      </c>
      <c r="F3275" t="str">
        <f t="shared" si="258"/>
        <v/>
      </c>
      <c r="G3275" t="str">
        <f t="shared" si="259"/>
        <v/>
      </c>
    </row>
    <row r="3276" spans="1:7" x14ac:dyDescent="0.4">
      <c r="A3276" t="str">
        <f t="shared" si="255"/>
        <v/>
      </c>
      <c r="B3276" t="str">
        <f t="shared" si="256"/>
        <v/>
      </c>
      <c r="C3276" t="str">
        <f t="shared" si="257"/>
        <v/>
      </c>
      <c r="D3276" t="str">
        <f>IF(E3276="","",IF(COUNTIF($E$2:E3276,E3276)&gt;1,"",SUMIFS(tbl_input[필요수량],tbl_input[집계키_지청],E3276)))</f>
        <v/>
      </c>
      <c r="E3276" t="str">
        <f>IFERROR(INDEX(tbl_input[집계키_지청],ROW()-1),"")</f>
        <v/>
      </c>
      <c r="F3276" t="str">
        <f t="shared" si="258"/>
        <v/>
      </c>
      <c r="G3276" t="str">
        <f t="shared" si="259"/>
        <v/>
      </c>
    </row>
    <row r="3277" spans="1:7" x14ac:dyDescent="0.4">
      <c r="A3277" t="str">
        <f t="shared" si="255"/>
        <v/>
      </c>
      <c r="B3277" t="str">
        <f t="shared" si="256"/>
        <v/>
      </c>
      <c r="C3277" t="str">
        <f t="shared" si="257"/>
        <v/>
      </c>
      <c r="D3277" t="str">
        <f>IF(E3277="","",IF(COUNTIF($E$2:E3277,E3277)&gt;1,"",SUMIFS(tbl_input[필요수량],tbl_input[집계키_지청],E3277)))</f>
        <v/>
      </c>
      <c r="E3277" t="str">
        <f>IFERROR(INDEX(tbl_input[집계키_지청],ROW()-1),"")</f>
        <v/>
      </c>
      <c r="F3277" t="str">
        <f t="shared" si="258"/>
        <v/>
      </c>
      <c r="G3277" t="str">
        <f t="shared" si="259"/>
        <v/>
      </c>
    </row>
    <row r="3278" spans="1:7" x14ac:dyDescent="0.4">
      <c r="A3278" t="str">
        <f t="shared" si="255"/>
        <v/>
      </c>
      <c r="B3278" t="str">
        <f t="shared" si="256"/>
        <v/>
      </c>
      <c r="C3278" t="str">
        <f t="shared" si="257"/>
        <v/>
      </c>
      <c r="D3278" t="str">
        <f>IF(E3278="","",IF(COUNTIF($E$2:E3278,E3278)&gt;1,"",SUMIFS(tbl_input[필요수량],tbl_input[집계키_지청],E3278)))</f>
        <v/>
      </c>
      <c r="E3278" t="str">
        <f>IFERROR(INDEX(tbl_input[집계키_지청],ROW()-1),"")</f>
        <v/>
      </c>
      <c r="F3278" t="str">
        <f t="shared" si="258"/>
        <v/>
      </c>
      <c r="G3278" t="str">
        <f t="shared" si="259"/>
        <v/>
      </c>
    </row>
    <row r="3279" spans="1:7" x14ac:dyDescent="0.4">
      <c r="A3279" t="str">
        <f t="shared" si="255"/>
        <v/>
      </c>
      <c r="B3279" t="str">
        <f t="shared" si="256"/>
        <v/>
      </c>
      <c r="C3279" t="str">
        <f t="shared" si="257"/>
        <v/>
      </c>
      <c r="D3279" t="str">
        <f>IF(E3279="","",IF(COUNTIF($E$2:E3279,E3279)&gt;1,"",SUMIFS(tbl_input[필요수량],tbl_input[집계키_지청],E3279)))</f>
        <v/>
      </c>
      <c r="E3279" t="str">
        <f>IFERROR(INDEX(tbl_input[집계키_지청],ROW()-1),"")</f>
        <v/>
      </c>
      <c r="F3279" t="str">
        <f t="shared" si="258"/>
        <v/>
      </c>
      <c r="G3279" t="str">
        <f t="shared" si="259"/>
        <v/>
      </c>
    </row>
    <row r="3280" spans="1:7" x14ac:dyDescent="0.4">
      <c r="A3280" t="str">
        <f t="shared" si="255"/>
        <v/>
      </c>
      <c r="B3280" t="str">
        <f t="shared" si="256"/>
        <v/>
      </c>
      <c r="C3280" t="str">
        <f t="shared" si="257"/>
        <v/>
      </c>
      <c r="D3280" t="str">
        <f>IF(E3280="","",IF(COUNTIF($E$2:E3280,E3280)&gt;1,"",SUMIFS(tbl_input[필요수량],tbl_input[집계키_지청],E3280)))</f>
        <v/>
      </c>
      <c r="E3280" t="str">
        <f>IFERROR(INDEX(tbl_input[집계키_지청],ROW()-1),"")</f>
        <v/>
      </c>
      <c r="F3280" t="str">
        <f t="shared" si="258"/>
        <v/>
      </c>
      <c r="G3280" t="str">
        <f t="shared" si="259"/>
        <v/>
      </c>
    </row>
    <row r="3281" spans="1:7" x14ac:dyDescent="0.4">
      <c r="A3281" t="str">
        <f t="shared" si="255"/>
        <v/>
      </c>
      <c r="B3281" t="str">
        <f t="shared" si="256"/>
        <v/>
      </c>
      <c r="C3281" t="str">
        <f t="shared" si="257"/>
        <v/>
      </c>
      <c r="D3281" t="str">
        <f>IF(E3281="","",IF(COUNTIF($E$2:E3281,E3281)&gt;1,"",SUMIFS(tbl_input[필요수량],tbl_input[집계키_지청],E3281)))</f>
        <v/>
      </c>
      <c r="E3281" t="str">
        <f>IFERROR(INDEX(tbl_input[집계키_지청],ROW()-1),"")</f>
        <v/>
      </c>
      <c r="F3281" t="str">
        <f t="shared" si="258"/>
        <v/>
      </c>
      <c r="G3281" t="str">
        <f t="shared" si="259"/>
        <v/>
      </c>
    </row>
    <row r="3282" spans="1:7" x14ac:dyDescent="0.4">
      <c r="A3282" t="str">
        <f t="shared" si="255"/>
        <v/>
      </c>
      <c r="B3282" t="str">
        <f t="shared" si="256"/>
        <v/>
      </c>
      <c r="C3282" t="str">
        <f t="shared" si="257"/>
        <v/>
      </c>
      <c r="D3282" t="str">
        <f>IF(E3282="","",IF(COUNTIF($E$2:E3282,E3282)&gt;1,"",SUMIFS(tbl_input[필요수량],tbl_input[집계키_지청],E3282)))</f>
        <v/>
      </c>
      <c r="E3282" t="str">
        <f>IFERROR(INDEX(tbl_input[집계키_지청],ROW()-1),"")</f>
        <v/>
      </c>
      <c r="F3282" t="str">
        <f t="shared" si="258"/>
        <v/>
      </c>
      <c r="G3282" t="str">
        <f t="shared" si="259"/>
        <v/>
      </c>
    </row>
    <row r="3283" spans="1:7" x14ac:dyDescent="0.4">
      <c r="A3283" t="str">
        <f t="shared" si="255"/>
        <v/>
      </c>
      <c r="B3283" t="str">
        <f t="shared" si="256"/>
        <v/>
      </c>
      <c r="C3283" t="str">
        <f t="shared" si="257"/>
        <v/>
      </c>
      <c r="D3283" t="str">
        <f>IF(E3283="","",IF(COUNTIF($E$2:E3283,E3283)&gt;1,"",SUMIFS(tbl_input[필요수량],tbl_input[집계키_지청],E3283)))</f>
        <v/>
      </c>
      <c r="E3283" t="str">
        <f>IFERROR(INDEX(tbl_input[집계키_지청],ROW()-1),"")</f>
        <v/>
      </c>
      <c r="F3283" t="str">
        <f t="shared" si="258"/>
        <v/>
      </c>
      <c r="G3283" t="str">
        <f t="shared" si="259"/>
        <v/>
      </c>
    </row>
    <row r="3284" spans="1:7" x14ac:dyDescent="0.4">
      <c r="A3284" t="str">
        <f t="shared" si="255"/>
        <v/>
      </c>
      <c r="B3284" t="str">
        <f t="shared" si="256"/>
        <v/>
      </c>
      <c r="C3284" t="str">
        <f t="shared" si="257"/>
        <v/>
      </c>
      <c r="D3284" t="str">
        <f>IF(E3284="","",IF(COUNTIF($E$2:E3284,E3284)&gt;1,"",SUMIFS(tbl_input[필요수량],tbl_input[집계키_지청],E3284)))</f>
        <v/>
      </c>
      <c r="E3284" t="str">
        <f>IFERROR(INDEX(tbl_input[집계키_지청],ROW()-1),"")</f>
        <v/>
      </c>
      <c r="F3284" t="str">
        <f t="shared" si="258"/>
        <v/>
      </c>
      <c r="G3284" t="str">
        <f t="shared" si="259"/>
        <v/>
      </c>
    </row>
    <row r="3285" spans="1:7" x14ac:dyDescent="0.4">
      <c r="A3285" t="str">
        <f t="shared" si="255"/>
        <v/>
      </c>
      <c r="B3285" t="str">
        <f t="shared" si="256"/>
        <v/>
      </c>
      <c r="C3285" t="str">
        <f t="shared" si="257"/>
        <v/>
      </c>
      <c r="D3285" t="str">
        <f>IF(E3285="","",IF(COUNTIF($E$2:E3285,E3285)&gt;1,"",SUMIFS(tbl_input[필요수량],tbl_input[집계키_지청],E3285)))</f>
        <v/>
      </c>
      <c r="E3285" t="str">
        <f>IFERROR(INDEX(tbl_input[집계키_지청],ROW()-1),"")</f>
        <v/>
      </c>
      <c r="F3285" t="str">
        <f t="shared" si="258"/>
        <v/>
      </c>
      <c r="G3285" t="str">
        <f t="shared" si="259"/>
        <v/>
      </c>
    </row>
    <row r="3286" spans="1:7" x14ac:dyDescent="0.4">
      <c r="A3286" t="str">
        <f t="shared" si="255"/>
        <v/>
      </c>
      <c r="B3286" t="str">
        <f t="shared" si="256"/>
        <v/>
      </c>
      <c r="C3286" t="str">
        <f t="shared" si="257"/>
        <v/>
      </c>
      <c r="D3286" t="str">
        <f>IF(E3286="","",IF(COUNTIF($E$2:E3286,E3286)&gt;1,"",SUMIFS(tbl_input[필요수량],tbl_input[집계키_지청],E3286)))</f>
        <v/>
      </c>
      <c r="E3286" t="str">
        <f>IFERROR(INDEX(tbl_input[집계키_지청],ROW()-1),"")</f>
        <v/>
      </c>
      <c r="F3286" t="str">
        <f t="shared" si="258"/>
        <v/>
      </c>
      <c r="G3286" t="str">
        <f t="shared" si="259"/>
        <v/>
      </c>
    </row>
    <row r="3287" spans="1:7" x14ac:dyDescent="0.4">
      <c r="A3287" t="str">
        <f t="shared" si="255"/>
        <v/>
      </c>
      <c r="B3287" t="str">
        <f t="shared" si="256"/>
        <v/>
      </c>
      <c r="C3287" t="str">
        <f t="shared" si="257"/>
        <v/>
      </c>
      <c r="D3287" t="str">
        <f>IF(E3287="","",IF(COUNTIF($E$2:E3287,E3287)&gt;1,"",SUMIFS(tbl_input[필요수량],tbl_input[집계키_지청],E3287)))</f>
        <v/>
      </c>
      <c r="E3287" t="str">
        <f>IFERROR(INDEX(tbl_input[집계키_지청],ROW()-1),"")</f>
        <v/>
      </c>
      <c r="F3287" t="str">
        <f t="shared" si="258"/>
        <v/>
      </c>
      <c r="G3287" t="str">
        <f t="shared" si="259"/>
        <v/>
      </c>
    </row>
    <row r="3288" spans="1:7" x14ac:dyDescent="0.4">
      <c r="A3288" t="str">
        <f t="shared" si="255"/>
        <v/>
      </c>
      <c r="B3288" t="str">
        <f t="shared" si="256"/>
        <v/>
      </c>
      <c r="C3288" t="str">
        <f t="shared" si="257"/>
        <v/>
      </c>
      <c r="D3288" t="str">
        <f>IF(E3288="","",IF(COUNTIF($E$2:E3288,E3288)&gt;1,"",SUMIFS(tbl_input[필요수량],tbl_input[집계키_지청],E3288)))</f>
        <v/>
      </c>
      <c r="E3288" t="str">
        <f>IFERROR(INDEX(tbl_input[집계키_지청],ROW()-1),"")</f>
        <v/>
      </c>
      <c r="F3288" t="str">
        <f t="shared" si="258"/>
        <v/>
      </c>
      <c r="G3288" t="str">
        <f t="shared" si="259"/>
        <v/>
      </c>
    </row>
    <row r="3289" spans="1:7" x14ac:dyDescent="0.4">
      <c r="A3289" t="str">
        <f t="shared" si="255"/>
        <v/>
      </c>
      <c r="B3289" t="str">
        <f t="shared" si="256"/>
        <v/>
      </c>
      <c r="C3289" t="str">
        <f t="shared" si="257"/>
        <v/>
      </c>
      <c r="D3289" t="str">
        <f>IF(E3289="","",IF(COUNTIF($E$2:E3289,E3289)&gt;1,"",SUMIFS(tbl_input[필요수량],tbl_input[집계키_지청],E3289)))</f>
        <v/>
      </c>
      <c r="E3289" t="str">
        <f>IFERROR(INDEX(tbl_input[집계키_지청],ROW()-1),"")</f>
        <v/>
      </c>
      <c r="F3289" t="str">
        <f t="shared" si="258"/>
        <v/>
      </c>
      <c r="G3289" t="str">
        <f t="shared" si="259"/>
        <v/>
      </c>
    </row>
    <row r="3290" spans="1:7" x14ac:dyDescent="0.4">
      <c r="A3290" t="str">
        <f t="shared" si="255"/>
        <v/>
      </c>
      <c r="B3290" t="str">
        <f t="shared" si="256"/>
        <v/>
      </c>
      <c r="C3290" t="str">
        <f t="shared" si="257"/>
        <v/>
      </c>
      <c r="D3290" t="str">
        <f>IF(E3290="","",IF(COUNTIF($E$2:E3290,E3290)&gt;1,"",SUMIFS(tbl_input[필요수량],tbl_input[집계키_지청],E3290)))</f>
        <v/>
      </c>
      <c r="E3290" t="str">
        <f>IFERROR(INDEX(tbl_input[집계키_지청],ROW()-1),"")</f>
        <v/>
      </c>
      <c r="F3290" t="str">
        <f t="shared" si="258"/>
        <v/>
      </c>
      <c r="G3290" t="str">
        <f t="shared" si="259"/>
        <v/>
      </c>
    </row>
    <row r="3291" spans="1:7" x14ac:dyDescent="0.4">
      <c r="A3291" t="str">
        <f t="shared" si="255"/>
        <v/>
      </c>
      <c r="B3291" t="str">
        <f t="shared" si="256"/>
        <v/>
      </c>
      <c r="C3291" t="str">
        <f t="shared" si="257"/>
        <v/>
      </c>
      <c r="D3291" t="str">
        <f>IF(E3291="","",IF(COUNTIF($E$2:E3291,E3291)&gt;1,"",SUMIFS(tbl_input[필요수량],tbl_input[집계키_지청],E3291)))</f>
        <v/>
      </c>
      <c r="E3291" t="str">
        <f>IFERROR(INDEX(tbl_input[집계키_지청],ROW()-1),"")</f>
        <v/>
      </c>
      <c r="F3291" t="str">
        <f t="shared" si="258"/>
        <v/>
      </c>
      <c r="G3291" t="str">
        <f t="shared" si="259"/>
        <v/>
      </c>
    </row>
    <row r="3292" spans="1:7" x14ac:dyDescent="0.4">
      <c r="A3292" t="str">
        <f t="shared" si="255"/>
        <v/>
      </c>
      <c r="B3292" t="str">
        <f t="shared" si="256"/>
        <v/>
      </c>
      <c r="C3292" t="str">
        <f t="shared" si="257"/>
        <v/>
      </c>
      <c r="D3292" t="str">
        <f>IF(E3292="","",IF(COUNTIF($E$2:E3292,E3292)&gt;1,"",SUMIFS(tbl_input[필요수량],tbl_input[집계키_지청],E3292)))</f>
        <v/>
      </c>
      <c r="E3292" t="str">
        <f>IFERROR(INDEX(tbl_input[집계키_지청],ROW()-1),"")</f>
        <v/>
      </c>
      <c r="F3292" t="str">
        <f t="shared" si="258"/>
        <v/>
      </c>
      <c r="G3292" t="str">
        <f t="shared" si="259"/>
        <v/>
      </c>
    </row>
    <row r="3293" spans="1:7" x14ac:dyDescent="0.4">
      <c r="A3293" t="str">
        <f t="shared" si="255"/>
        <v/>
      </c>
      <c r="B3293" t="str">
        <f t="shared" si="256"/>
        <v/>
      </c>
      <c r="C3293" t="str">
        <f t="shared" si="257"/>
        <v/>
      </c>
      <c r="D3293" t="str">
        <f>IF(E3293="","",IF(COUNTIF($E$2:E3293,E3293)&gt;1,"",SUMIFS(tbl_input[필요수량],tbl_input[집계키_지청],E3293)))</f>
        <v/>
      </c>
      <c r="E3293" t="str">
        <f>IFERROR(INDEX(tbl_input[집계키_지청],ROW()-1),"")</f>
        <v/>
      </c>
      <c r="F3293" t="str">
        <f t="shared" si="258"/>
        <v/>
      </c>
      <c r="G3293" t="str">
        <f t="shared" si="259"/>
        <v/>
      </c>
    </row>
    <row r="3294" spans="1:7" x14ac:dyDescent="0.4">
      <c r="A3294" t="str">
        <f t="shared" si="255"/>
        <v/>
      </c>
      <c r="B3294" t="str">
        <f t="shared" si="256"/>
        <v/>
      </c>
      <c r="C3294" t="str">
        <f t="shared" si="257"/>
        <v/>
      </c>
      <c r="D3294" t="str">
        <f>IF(E3294="","",IF(COUNTIF($E$2:E3294,E3294)&gt;1,"",SUMIFS(tbl_input[필요수량],tbl_input[집계키_지청],E3294)))</f>
        <v/>
      </c>
      <c r="E3294" t="str">
        <f>IFERROR(INDEX(tbl_input[집계키_지청],ROW()-1),"")</f>
        <v/>
      </c>
      <c r="F3294" t="str">
        <f t="shared" si="258"/>
        <v/>
      </c>
      <c r="G3294" t="str">
        <f t="shared" si="259"/>
        <v/>
      </c>
    </row>
    <row r="3295" spans="1:7" x14ac:dyDescent="0.4">
      <c r="A3295" t="str">
        <f t="shared" si="255"/>
        <v/>
      </c>
      <c r="B3295" t="str">
        <f t="shared" si="256"/>
        <v/>
      </c>
      <c r="C3295" t="str">
        <f t="shared" si="257"/>
        <v/>
      </c>
      <c r="D3295" t="str">
        <f>IF(E3295="","",IF(COUNTIF($E$2:E3295,E3295)&gt;1,"",SUMIFS(tbl_input[필요수량],tbl_input[집계키_지청],E3295)))</f>
        <v/>
      </c>
      <c r="E3295" t="str">
        <f>IFERROR(INDEX(tbl_input[집계키_지청],ROW()-1),"")</f>
        <v/>
      </c>
      <c r="F3295" t="str">
        <f t="shared" si="258"/>
        <v/>
      </c>
      <c r="G3295" t="str">
        <f t="shared" si="259"/>
        <v/>
      </c>
    </row>
    <row r="3296" spans="1:7" x14ac:dyDescent="0.4">
      <c r="A3296" t="str">
        <f t="shared" si="255"/>
        <v/>
      </c>
      <c r="B3296" t="str">
        <f t="shared" si="256"/>
        <v/>
      </c>
      <c r="C3296" t="str">
        <f t="shared" si="257"/>
        <v/>
      </c>
      <c r="D3296" t="str">
        <f>IF(E3296="","",IF(COUNTIF($E$2:E3296,E3296)&gt;1,"",SUMIFS(tbl_input[필요수량],tbl_input[집계키_지청],E3296)))</f>
        <v/>
      </c>
      <c r="E3296" t="str">
        <f>IFERROR(INDEX(tbl_input[집계키_지청],ROW()-1),"")</f>
        <v/>
      </c>
      <c r="F3296" t="str">
        <f t="shared" si="258"/>
        <v/>
      </c>
      <c r="G3296" t="str">
        <f t="shared" si="259"/>
        <v/>
      </c>
    </row>
    <row r="3297" spans="1:7" x14ac:dyDescent="0.4">
      <c r="A3297" t="str">
        <f t="shared" si="255"/>
        <v/>
      </c>
      <c r="B3297" t="str">
        <f t="shared" si="256"/>
        <v/>
      </c>
      <c r="C3297" t="str">
        <f t="shared" si="257"/>
        <v/>
      </c>
      <c r="D3297" t="str">
        <f>IF(E3297="","",IF(COUNTIF($E$2:E3297,E3297)&gt;1,"",SUMIFS(tbl_input[필요수량],tbl_input[집계키_지청],E3297)))</f>
        <v/>
      </c>
      <c r="E3297" t="str">
        <f>IFERROR(INDEX(tbl_input[집계키_지청],ROW()-1),"")</f>
        <v/>
      </c>
      <c r="F3297" t="str">
        <f t="shared" si="258"/>
        <v/>
      </c>
      <c r="G3297" t="str">
        <f t="shared" si="259"/>
        <v/>
      </c>
    </row>
    <row r="3298" spans="1:7" x14ac:dyDescent="0.4">
      <c r="A3298" t="str">
        <f t="shared" si="255"/>
        <v/>
      </c>
      <c r="B3298" t="str">
        <f t="shared" si="256"/>
        <v/>
      </c>
      <c r="C3298" t="str">
        <f t="shared" si="257"/>
        <v/>
      </c>
      <c r="D3298" t="str">
        <f>IF(E3298="","",IF(COUNTIF($E$2:E3298,E3298)&gt;1,"",SUMIFS(tbl_input[필요수량],tbl_input[집계키_지청],E3298)))</f>
        <v/>
      </c>
      <c r="E3298" t="str">
        <f>IFERROR(INDEX(tbl_input[집계키_지청],ROW()-1),"")</f>
        <v/>
      </c>
      <c r="F3298" t="str">
        <f t="shared" si="258"/>
        <v/>
      </c>
      <c r="G3298" t="str">
        <f t="shared" si="259"/>
        <v/>
      </c>
    </row>
    <row r="3299" spans="1:7" x14ac:dyDescent="0.4">
      <c r="A3299" t="str">
        <f t="shared" si="255"/>
        <v/>
      </c>
      <c r="B3299" t="str">
        <f t="shared" si="256"/>
        <v/>
      </c>
      <c r="C3299" t="str">
        <f t="shared" si="257"/>
        <v/>
      </c>
      <c r="D3299" t="str">
        <f>IF(E3299="","",IF(COUNTIF($E$2:E3299,E3299)&gt;1,"",SUMIFS(tbl_input[필요수량],tbl_input[집계키_지청],E3299)))</f>
        <v/>
      </c>
      <c r="E3299" t="str">
        <f>IFERROR(INDEX(tbl_input[집계키_지청],ROW()-1),"")</f>
        <v/>
      </c>
      <c r="F3299" t="str">
        <f t="shared" si="258"/>
        <v/>
      </c>
      <c r="G3299" t="str">
        <f t="shared" si="259"/>
        <v/>
      </c>
    </row>
    <row r="3300" spans="1:7" x14ac:dyDescent="0.4">
      <c r="A3300" t="str">
        <f t="shared" si="255"/>
        <v/>
      </c>
      <c r="B3300" t="str">
        <f t="shared" si="256"/>
        <v/>
      </c>
      <c r="C3300" t="str">
        <f t="shared" si="257"/>
        <v/>
      </c>
      <c r="D3300" t="str">
        <f>IF(E3300="","",IF(COUNTIF($E$2:E3300,E3300)&gt;1,"",SUMIFS(tbl_input[필요수량],tbl_input[집계키_지청],E3300)))</f>
        <v/>
      </c>
      <c r="E3300" t="str">
        <f>IFERROR(INDEX(tbl_input[집계키_지청],ROW()-1),"")</f>
        <v/>
      </c>
      <c r="F3300" t="str">
        <f t="shared" si="258"/>
        <v/>
      </c>
      <c r="G3300" t="str">
        <f t="shared" si="259"/>
        <v/>
      </c>
    </row>
    <row r="3301" spans="1:7" x14ac:dyDescent="0.4">
      <c r="A3301" t="str">
        <f t="shared" si="255"/>
        <v/>
      </c>
      <c r="B3301" t="str">
        <f t="shared" si="256"/>
        <v/>
      </c>
      <c r="C3301" t="str">
        <f t="shared" si="257"/>
        <v/>
      </c>
      <c r="D3301" t="str">
        <f>IF(E3301="","",IF(COUNTIF($E$2:E3301,E3301)&gt;1,"",SUMIFS(tbl_input[필요수량],tbl_input[집계키_지청],E3301)))</f>
        <v/>
      </c>
      <c r="E3301" t="str">
        <f>IFERROR(INDEX(tbl_input[집계키_지청],ROW()-1),"")</f>
        <v/>
      </c>
      <c r="F3301" t="str">
        <f t="shared" si="258"/>
        <v/>
      </c>
      <c r="G3301" t="str">
        <f t="shared" si="259"/>
        <v/>
      </c>
    </row>
    <row r="3302" spans="1:7" x14ac:dyDescent="0.4">
      <c r="A3302" t="str">
        <f t="shared" si="255"/>
        <v/>
      </c>
      <c r="B3302" t="str">
        <f t="shared" si="256"/>
        <v/>
      </c>
      <c r="C3302" t="str">
        <f t="shared" si="257"/>
        <v/>
      </c>
      <c r="D3302" t="str">
        <f>IF(E3302="","",IF(COUNTIF($E$2:E3302,E3302)&gt;1,"",SUMIFS(tbl_input[필요수량],tbl_input[집계키_지청],E3302)))</f>
        <v/>
      </c>
      <c r="E3302" t="str">
        <f>IFERROR(INDEX(tbl_input[집계키_지청],ROW()-1),"")</f>
        <v/>
      </c>
      <c r="F3302" t="str">
        <f t="shared" si="258"/>
        <v/>
      </c>
      <c r="G3302" t="str">
        <f t="shared" si="259"/>
        <v/>
      </c>
    </row>
    <row r="3303" spans="1:7" x14ac:dyDescent="0.4">
      <c r="A3303" t="str">
        <f t="shared" si="255"/>
        <v/>
      </c>
      <c r="B3303" t="str">
        <f t="shared" si="256"/>
        <v/>
      </c>
      <c r="C3303" t="str">
        <f t="shared" si="257"/>
        <v/>
      </c>
      <c r="D3303" t="str">
        <f>IF(E3303="","",IF(COUNTIF($E$2:E3303,E3303)&gt;1,"",SUMIFS(tbl_input[필요수량],tbl_input[집계키_지청],E3303)))</f>
        <v/>
      </c>
      <c r="E3303" t="str">
        <f>IFERROR(INDEX(tbl_input[집계키_지청],ROW()-1),"")</f>
        <v/>
      </c>
      <c r="F3303" t="str">
        <f t="shared" si="258"/>
        <v/>
      </c>
      <c r="G3303" t="str">
        <f t="shared" si="259"/>
        <v/>
      </c>
    </row>
    <row r="3304" spans="1:7" x14ac:dyDescent="0.4">
      <c r="A3304" t="str">
        <f t="shared" si="255"/>
        <v/>
      </c>
      <c r="B3304" t="str">
        <f t="shared" si="256"/>
        <v/>
      </c>
      <c r="C3304" t="str">
        <f t="shared" si="257"/>
        <v/>
      </c>
      <c r="D3304" t="str">
        <f>IF(E3304="","",IF(COUNTIF($E$2:E3304,E3304)&gt;1,"",SUMIFS(tbl_input[필요수량],tbl_input[집계키_지청],E3304)))</f>
        <v/>
      </c>
      <c r="E3304" t="str">
        <f>IFERROR(INDEX(tbl_input[집계키_지청],ROW()-1),"")</f>
        <v/>
      </c>
      <c r="F3304" t="str">
        <f t="shared" si="258"/>
        <v/>
      </c>
      <c r="G3304" t="str">
        <f t="shared" si="259"/>
        <v/>
      </c>
    </row>
    <row r="3305" spans="1:7" x14ac:dyDescent="0.4">
      <c r="A3305" t="str">
        <f t="shared" si="255"/>
        <v/>
      </c>
      <c r="B3305" t="str">
        <f t="shared" si="256"/>
        <v/>
      </c>
      <c r="C3305" t="str">
        <f t="shared" si="257"/>
        <v/>
      </c>
      <c r="D3305" t="str">
        <f>IF(E3305="","",IF(COUNTIF($E$2:E3305,E3305)&gt;1,"",SUMIFS(tbl_input[필요수량],tbl_input[집계키_지청],E3305)))</f>
        <v/>
      </c>
      <c r="E3305" t="str">
        <f>IFERROR(INDEX(tbl_input[집계키_지청],ROW()-1),"")</f>
        <v/>
      </c>
      <c r="F3305" t="str">
        <f t="shared" si="258"/>
        <v/>
      </c>
      <c r="G3305" t="str">
        <f t="shared" si="259"/>
        <v/>
      </c>
    </row>
    <row r="3306" spans="1:7" x14ac:dyDescent="0.4">
      <c r="A3306" t="str">
        <f t="shared" si="255"/>
        <v/>
      </c>
      <c r="B3306" t="str">
        <f t="shared" si="256"/>
        <v/>
      </c>
      <c r="C3306" t="str">
        <f t="shared" si="257"/>
        <v/>
      </c>
      <c r="D3306" t="str">
        <f>IF(E3306="","",IF(COUNTIF($E$2:E3306,E3306)&gt;1,"",SUMIFS(tbl_input[필요수량],tbl_input[집계키_지청],E3306)))</f>
        <v/>
      </c>
      <c r="E3306" t="str">
        <f>IFERROR(INDEX(tbl_input[집계키_지청],ROW()-1),"")</f>
        <v/>
      </c>
      <c r="F3306" t="str">
        <f t="shared" si="258"/>
        <v/>
      </c>
      <c r="G3306" t="str">
        <f t="shared" si="259"/>
        <v/>
      </c>
    </row>
    <row r="3307" spans="1:7" x14ac:dyDescent="0.4">
      <c r="A3307" t="str">
        <f t="shared" si="255"/>
        <v/>
      </c>
      <c r="B3307" t="str">
        <f t="shared" si="256"/>
        <v/>
      </c>
      <c r="C3307" t="str">
        <f t="shared" si="257"/>
        <v/>
      </c>
      <c r="D3307" t="str">
        <f>IF(E3307="","",IF(COUNTIF($E$2:E3307,E3307)&gt;1,"",SUMIFS(tbl_input[필요수량],tbl_input[집계키_지청],E3307)))</f>
        <v/>
      </c>
      <c r="E3307" t="str">
        <f>IFERROR(INDEX(tbl_input[집계키_지청],ROW()-1),"")</f>
        <v/>
      </c>
      <c r="F3307" t="str">
        <f t="shared" si="258"/>
        <v/>
      </c>
      <c r="G3307" t="str">
        <f t="shared" si="259"/>
        <v/>
      </c>
    </row>
    <row r="3308" spans="1:7" x14ac:dyDescent="0.4">
      <c r="A3308" t="str">
        <f t="shared" si="255"/>
        <v/>
      </c>
      <c r="B3308" t="str">
        <f t="shared" si="256"/>
        <v/>
      </c>
      <c r="C3308" t="str">
        <f t="shared" si="257"/>
        <v/>
      </c>
      <c r="D3308" t="str">
        <f>IF(E3308="","",IF(COUNTIF($E$2:E3308,E3308)&gt;1,"",SUMIFS(tbl_input[필요수량],tbl_input[집계키_지청],E3308)))</f>
        <v/>
      </c>
      <c r="E3308" t="str">
        <f>IFERROR(INDEX(tbl_input[집계키_지청],ROW()-1),"")</f>
        <v/>
      </c>
      <c r="F3308" t="str">
        <f t="shared" si="258"/>
        <v/>
      </c>
      <c r="G3308" t="str">
        <f t="shared" si="259"/>
        <v/>
      </c>
    </row>
    <row r="3309" spans="1:7" x14ac:dyDescent="0.4">
      <c r="A3309" t="str">
        <f t="shared" si="255"/>
        <v/>
      </c>
      <c r="B3309" t="str">
        <f t="shared" si="256"/>
        <v/>
      </c>
      <c r="C3309" t="str">
        <f t="shared" si="257"/>
        <v/>
      </c>
      <c r="D3309" t="str">
        <f>IF(E3309="","",IF(COUNTIF($E$2:E3309,E3309)&gt;1,"",SUMIFS(tbl_input[필요수량],tbl_input[집계키_지청],E3309)))</f>
        <v/>
      </c>
      <c r="E3309" t="str">
        <f>IFERROR(INDEX(tbl_input[집계키_지청],ROW()-1),"")</f>
        <v/>
      </c>
      <c r="F3309" t="str">
        <f t="shared" si="258"/>
        <v/>
      </c>
      <c r="G3309" t="str">
        <f t="shared" si="259"/>
        <v/>
      </c>
    </row>
    <row r="3310" spans="1:7" x14ac:dyDescent="0.4">
      <c r="A3310" t="str">
        <f t="shared" si="255"/>
        <v/>
      </c>
      <c r="B3310" t="str">
        <f t="shared" si="256"/>
        <v/>
      </c>
      <c r="C3310" t="str">
        <f t="shared" si="257"/>
        <v/>
      </c>
      <c r="D3310" t="str">
        <f>IF(E3310="","",IF(COUNTIF($E$2:E3310,E3310)&gt;1,"",SUMIFS(tbl_input[필요수량],tbl_input[집계키_지청],E3310)))</f>
        <v/>
      </c>
      <c r="E3310" t="str">
        <f>IFERROR(INDEX(tbl_input[집계키_지청],ROW()-1),"")</f>
        <v/>
      </c>
      <c r="F3310" t="str">
        <f t="shared" si="258"/>
        <v/>
      </c>
      <c r="G3310" t="str">
        <f t="shared" si="259"/>
        <v/>
      </c>
    </row>
    <row r="3311" spans="1:7" x14ac:dyDescent="0.4">
      <c r="A3311" t="str">
        <f t="shared" si="255"/>
        <v/>
      </c>
      <c r="B3311" t="str">
        <f t="shared" si="256"/>
        <v/>
      </c>
      <c r="C3311" t="str">
        <f t="shared" si="257"/>
        <v/>
      </c>
      <c r="D3311" t="str">
        <f>IF(E3311="","",IF(COUNTIF($E$2:E3311,E3311)&gt;1,"",SUMIFS(tbl_input[필요수량],tbl_input[집계키_지청],E3311)))</f>
        <v/>
      </c>
      <c r="E3311" t="str">
        <f>IFERROR(INDEX(tbl_input[집계키_지청],ROW()-1),"")</f>
        <v/>
      </c>
      <c r="F3311" t="str">
        <f t="shared" si="258"/>
        <v/>
      </c>
      <c r="G3311" t="str">
        <f t="shared" si="259"/>
        <v/>
      </c>
    </row>
    <row r="3312" spans="1:7" x14ac:dyDescent="0.4">
      <c r="A3312" t="str">
        <f t="shared" si="255"/>
        <v/>
      </c>
      <c r="B3312" t="str">
        <f t="shared" si="256"/>
        <v/>
      </c>
      <c r="C3312" t="str">
        <f t="shared" si="257"/>
        <v/>
      </c>
      <c r="D3312" t="str">
        <f>IF(E3312="","",IF(COUNTIF($E$2:E3312,E3312)&gt;1,"",SUMIFS(tbl_input[필요수량],tbl_input[집계키_지청],E3312)))</f>
        <v/>
      </c>
      <c r="E3312" t="str">
        <f>IFERROR(INDEX(tbl_input[집계키_지청],ROW()-1),"")</f>
        <v/>
      </c>
      <c r="F3312" t="str">
        <f t="shared" si="258"/>
        <v/>
      </c>
      <c r="G3312" t="str">
        <f t="shared" si="259"/>
        <v/>
      </c>
    </row>
    <row r="3313" spans="1:7" x14ac:dyDescent="0.4">
      <c r="A3313" t="str">
        <f t="shared" si="255"/>
        <v/>
      </c>
      <c r="B3313" t="str">
        <f t="shared" si="256"/>
        <v/>
      </c>
      <c r="C3313" t="str">
        <f t="shared" si="257"/>
        <v/>
      </c>
      <c r="D3313" t="str">
        <f>IF(E3313="","",IF(COUNTIF($E$2:E3313,E3313)&gt;1,"",SUMIFS(tbl_input[필요수량],tbl_input[집계키_지청],E3313)))</f>
        <v/>
      </c>
      <c r="E3313" t="str">
        <f>IFERROR(INDEX(tbl_input[집계키_지청],ROW()-1),"")</f>
        <v/>
      </c>
      <c r="F3313" t="str">
        <f t="shared" si="258"/>
        <v/>
      </c>
      <c r="G3313" t="str">
        <f t="shared" si="259"/>
        <v/>
      </c>
    </row>
    <row r="3314" spans="1:7" x14ac:dyDescent="0.4">
      <c r="A3314" t="str">
        <f t="shared" si="255"/>
        <v/>
      </c>
      <c r="B3314" t="str">
        <f t="shared" si="256"/>
        <v/>
      </c>
      <c r="C3314" t="str">
        <f t="shared" si="257"/>
        <v/>
      </c>
      <c r="D3314" t="str">
        <f>IF(E3314="","",IF(COUNTIF($E$2:E3314,E3314)&gt;1,"",SUMIFS(tbl_input[필요수량],tbl_input[집계키_지청],E3314)))</f>
        <v/>
      </c>
      <c r="E3314" t="str">
        <f>IFERROR(INDEX(tbl_input[집계키_지청],ROW()-1),"")</f>
        <v/>
      </c>
      <c r="F3314" t="str">
        <f t="shared" si="258"/>
        <v/>
      </c>
      <c r="G3314" t="str">
        <f t="shared" si="259"/>
        <v/>
      </c>
    </row>
    <row r="3315" spans="1:7" x14ac:dyDescent="0.4">
      <c r="A3315" t="str">
        <f t="shared" si="255"/>
        <v/>
      </c>
      <c r="B3315" t="str">
        <f t="shared" si="256"/>
        <v/>
      </c>
      <c r="C3315" t="str">
        <f t="shared" si="257"/>
        <v/>
      </c>
      <c r="D3315" t="str">
        <f>IF(E3315="","",IF(COUNTIF($E$2:E3315,E3315)&gt;1,"",SUMIFS(tbl_input[필요수량],tbl_input[집계키_지청],E3315)))</f>
        <v/>
      </c>
      <c r="E3315" t="str">
        <f>IFERROR(INDEX(tbl_input[집계키_지청],ROW()-1),"")</f>
        <v/>
      </c>
      <c r="F3315" t="str">
        <f t="shared" si="258"/>
        <v/>
      </c>
      <c r="G3315" t="str">
        <f t="shared" si="259"/>
        <v/>
      </c>
    </row>
    <row r="3316" spans="1:7" x14ac:dyDescent="0.4">
      <c r="A3316" t="str">
        <f t="shared" si="255"/>
        <v/>
      </c>
      <c r="B3316" t="str">
        <f t="shared" si="256"/>
        <v/>
      </c>
      <c r="C3316" t="str">
        <f t="shared" si="257"/>
        <v/>
      </c>
      <c r="D3316" t="str">
        <f>IF(E3316="","",IF(COUNTIF($E$2:E3316,E3316)&gt;1,"",SUMIFS(tbl_input[필요수량],tbl_input[집계키_지청],E3316)))</f>
        <v/>
      </c>
      <c r="E3316" t="str">
        <f>IFERROR(INDEX(tbl_input[집계키_지청],ROW()-1),"")</f>
        <v/>
      </c>
      <c r="F3316" t="str">
        <f t="shared" si="258"/>
        <v/>
      </c>
      <c r="G3316" t="str">
        <f t="shared" si="259"/>
        <v/>
      </c>
    </row>
    <row r="3317" spans="1:7" x14ac:dyDescent="0.4">
      <c r="A3317" t="str">
        <f t="shared" si="255"/>
        <v/>
      </c>
      <c r="B3317" t="str">
        <f t="shared" si="256"/>
        <v/>
      </c>
      <c r="C3317" t="str">
        <f t="shared" si="257"/>
        <v/>
      </c>
      <c r="D3317" t="str">
        <f>IF(E3317="","",IF(COUNTIF($E$2:E3317,E3317)&gt;1,"",SUMIFS(tbl_input[필요수량],tbl_input[집계키_지청],E3317)))</f>
        <v/>
      </c>
      <c r="E3317" t="str">
        <f>IFERROR(INDEX(tbl_input[집계키_지청],ROW()-1),"")</f>
        <v/>
      </c>
      <c r="F3317" t="str">
        <f t="shared" si="258"/>
        <v/>
      </c>
      <c r="G3317" t="str">
        <f t="shared" si="259"/>
        <v/>
      </c>
    </row>
    <row r="3318" spans="1:7" x14ac:dyDescent="0.4">
      <c r="A3318" t="str">
        <f t="shared" si="255"/>
        <v/>
      </c>
      <c r="B3318" t="str">
        <f t="shared" si="256"/>
        <v/>
      </c>
      <c r="C3318" t="str">
        <f t="shared" si="257"/>
        <v/>
      </c>
      <c r="D3318" t="str">
        <f>IF(E3318="","",IF(COUNTIF($E$2:E3318,E3318)&gt;1,"",SUMIFS(tbl_input[필요수량],tbl_input[집계키_지청],E3318)))</f>
        <v/>
      </c>
      <c r="E3318" t="str">
        <f>IFERROR(INDEX(tbl_input[집계키_지청],ROW()-1),"")</f>
        <v/>
      </c>
      <c r="F3318" t="str">
        <f t="shared" si="258"/>
        <v/>
      </c>
      <c r="G3318" t="str">
        <f t="shared" si="259"/>
        <v/>
      </c>
    </row>
    <row r="3319" spans="1:7" x14ac:dyDescent="0.4">
      <c r="A3319" t="str">
        <f t="shared" si="255"/>
        <v/>
      </c>
      <c r="B3319" t="str">
        <f t="shared" si="256"/>
        <v/>
      </c>
      <c r="C3319" t="str">
        <f t="shared" si="257"/>
        <v/>
      </c>
      <c r="D3319" t="str">
        <f>IF(E3319="","",IF(COUNTIF($E$2:E3319,E3319)&gt;1,"",SUMIFS(tbl_input[필요수량],tbl_input[집계키_지청],E3319)))</f>
        <v/>
      </c>
      <c r="E3319" t="str">
        <f>IFERROR(INDEX(tbl_input[집계키_지청],ROW()-1),"")</f>
        <v/>
      </c>
      <c r="F3319" t="str">
        <f t="shared" si="258"/>
        <v/>
      </c>
      <c r="G3319" t="str">
        <f t="shared" si="259"/>
        <v/>
      </c>
    </row>
    <row r="3320" spans="1:7" x14ac:dyDescent="0.4">
      <c r="A3320" t="str">
        <f t="shared" si="255"/>
        <v/>
      </c>
      <c r="B3320" t="str">
        <f t="shared" si="256"/>
        <v/>
      </c>
      <c r="C3320" t="str">
        <f t="shared" si="257"/>
        <v/>
      </c>
      <c r="D3320" t="str">
        <f>IF(E3320="","",IF(COUNTIF($E$2:E3320,E3320)&gt;1,"",SUMIFS(tbl_input[필요수량],tbl_input[집계키_지청],E3320)))</f>
        <v/>
      </c>
      <c r="E3320" t="str">
        <f>IFERROR(INDEX(tbl_input[집계키_지청],ROW()-1),"")</f>
        <v/>
      </c>
      <c r="F3320" t="str">
        <f t="shared" si="258"/>
        <v/>
      </c>
      <c r="G3320" t="str">
        <f t="shared" si="259"/>
        <v/>
      </c>
    </row>
    <row r="3321" spans="1:7" x14ac:dyDescent="0.4">
      <c r="A3321" t="str">
        <f t="shared" si="255"/>
        <v/>
      </c>
      <c r="B3321" t="str">
        <f t="shared" si="256"/>
        <v/>
      </c>
      <c r="C3321" t="str">
        <f t="shared" si="257"/>
        <v/>
      </c>
      <c r="D3321" t="str">
        <f>IF(E3321="","",IF(COUNTIF($E$2:E3321,E3321)&gt;1,"",SUMIFS(tbl_input[필요수량],tbl_input[집계키_지청],E3321)))</f>
        <v/>
      </c>
      <c r="E3321" t="str">
        <f>IFERROR(INDEX(tbl_input[집계키_지청],ROW()-1),"")</f>
        <v/>
      </c>
      <c r="F3321" t="str">
        <f t="shared" si="258"/>
        <v/>
      </c>
      <c r="G3321" t="str">
        <f t="shared" si="259"/>
        <v/>
      </c>
    </row>
    <row r="3322" spans="1:7" x14ac:dyDescent="0.4">
      <c r="A3322" t="str">
        <f t="shared" si="255"/>
        <v/>
      </c>
      <c r="B3322" t="str">
        <f t="shared" si="256"/>
        <v/>
      </c>
      <c r="C3322" t="str">
        <f t="shared" si="257"/>
        <v/>
      </c>
      <c r="D3322" t="str">
        <f>IF(E3322="","",IF(COUNTIF($E$2:E3322,E3322)&gt;1,"",SUMIFS(tbl_input[필요수량],tbl_input[집계키_지청],E3322)))</f>
        <v/>
      </c>
      <c r="E3322" t="str">
        <f>IFERROR(INDEX(tbl_input[집계키_지청],ROW()-1),"")</f>
        <v/>
      </c>
      <c r="F3322" t="str">
        <f t="shared" si="258"/>
        <v/>
      </c>
      <c r="G3322" t="str">
        <f t="shared" si="259"/>
        <v/>
      </c>
    </row>
    <row r="3323" spans="1:7" x14ac:dyDescent="0.4">
      <c r="A3323" t="str">
        <f t="shared" si="255"/>
        <v/>
      </c>
      <c r="B3323" t="str">
        <f t="shared" si="256"/>
        <v/>
      </c>
      <c r="C3323" t="str">
        <f t="shared" si="257"/>
        <v/>
      </c>
      <c r="D3323" t="str">
        <f>IF(E3323="","",IF(COUNTIF($E$2:E3323,E3323)&gt;1,"",SUMIFS(tbl_input[필요수량],tbl_input[집계키_지청],E3323)))</f>
        <v/>
      </c>
      <c r="E3323" t="str">
        <f>IFERROR(INDEX(tbl_input[집계키_지청],ROW()-1),"")</f>
        <v/>
      </c>
      <c r="F3323" t="str">
        <f t="shared" si="258"/>
        <v/>
      </c>
      <c r="G3323" t="str">
        <f t="shared" si="259"/>
        <v/>
      </c>
    </row>
    <row r="3324" spans="1:7" x14ac:dyDescent="0.4">
      <c r="A3324" t="str">
        <f t="shared" si="255"/>
        <v/>
      </c>
      <c r="B3324" t="str">
        <f t="shared" si="256"/>
        <v/>
      </c>
      <c r="C3324" t="str">
        <f t="shared" si="257"/>
        <v/>
      </c>
      <c r="D3324" t="str">
        <f>IF(E3324="","",IF(COUNTIF($E$2:E3324,E3324)&gt;1,"",SUMIFS(tbl_input[필요수량],tbl_input[집계키_지청],E3324)))</f>
        <v/>
      </c>
      <c r="E3324" t="str">
        <f>IFERROR(INDEX(tbl_input[집계키_지청],ROW()-1),"")</f>
        <v/>
      </c>
      <c r="F3324" t="str">
        <f t="shared" si="258"/>
        <v/>
      </c>
      <c r="G3324" t="str">
        <f t="shared" si="259"/>
        <v/>
      </c>
    </row>
    <row r="3325" spans="1:7" x14ac:dyDescent="0.4">
      <c r="A3325" t="str">
        <f t="shared" si="255"/>
        <v/>
      </c>
      <c r="B3325" t="str">
        <f t="shared" si="256"/>
        <v/>
      </c>
      <c r="C3325" t="str">
        <f t="shared" si="257"/>
        <v/>
      </c>
      <c r="D3325" t="str">
        <f>IF(E3325="","",IF(COUNTIF($E$2:E3325,E3325)&gt;1,"",SUMIFS(tbl_input[필요수량],tbl_input[집계키_지청],E3325)))</f>
        <v/>
      </c>
      <c r="E3325" t="str">
        <f>IFERROR(INDEX(tbl_input[집계키_지청],ROW()-1),"")</f>
        <v/>
      </c>
      <c r="F3325" t="str">
        <f t="shared" si="258"/>
        <v/>
      </c>
      <c r="G3325" t="str">
        <f t="shared" si="259"/>
        <v/>
      </c>
    </row>
    <row r="3326" spans="1:7" x14ac:dyDescent="0.4">
      <c r="A3326" t="str">
        <f t="shared" si="255"/>
        <v/>
      </c>
      <c r="B3326" t="str">
        <f t="shared" si="256"/>
        <v/>
      </c>
      <c r="C3326" t="str">
        <f t="shared" si="257"/>
        <v/>
      </c>
      <c r="D3326" t="str">
        <f>IF(E3326="","",IF(COUNTIF($E$2:E3326,E3326)&gt;1,"",SUMIFS(tbl_input[필요수량],tbl_input[집계키_지청],E3326)))</f>
        <v/>
      </c>
      <c r="E3326" t="str">
        <f>IFERROR(INDEX(tbl_input[집계키_지청],ROW()-1),"")</f>
        <v/>
      </c>
      <c r="F3326" t="str">
        <f t="shared" si="258"/>
        <v/>
      </c>
      <c r="G3326" t="str">
        <f t="shared" si="259"/>
        <v/>
      </c>
    </row>
    <row r="3327" spans="1:7" x14ac:dyDescent="0.4">
      <c r="A3327" t="str">
        <f t="shared" si="255"/>
        <v/>
      </c>
      <c r="B3327" t="str">
        <f t="shared" si="256"/>
        <v/>
      </c>
      <c r="C3327" t="str">
        <f t="shared" si="257"/>
        <v/>
      </c>
      <c r="D3327" t="str">
        <f>IF(E3327="","",IF(COUNTIF($E$2:E3327,E3327)&gt;1,"",SUMIFS(tbl_input[필요수량],tbl_input[집계키_지청],E3327)))</f>
        <v/>
      </c>
      <c r="E3327" t="str">
        <f>IFERROR(INDEX(tbl_input[집계키_지청],ROW()-1),"")</f>
        <v/>
      </c>
      <c r="F3327" t="str">
        <f t="shared" si="258"/>
        <v/>
      </c>
      <c r="G3327" t="str">
        <f t="shared" si="259"/>
        <v/>
      </c>
    </row>
    <row r="3328" spans="1:7" x14ac:dyDescent="0.4">
      <c r="A3328" t="str">
        <f t="shared" si="255"/>
        <v/>
      </c>
      <c r="B3328" t="str">
        <f t="shared" si="256"/>
        <v/>
      </c>
      <c r="C3328" t="str">
        <f t="shared" si="257"/>
        <v/>
      </c>
      <c r="D3328" t="str">
        <f>IF(E3328="","",IF(COUNTIF($E$2:E3328,E3328)&gt;1,"",SUMIFS(tbl_input[필요수량],tbl_input[집계키_지청],E3328)))</f>
        <v/>
      </c>
      <c r="E3328" t="str">
        <f>IFERROR(INDEX(tbl_input[집계키_지청],ROW()-1),"")</f>
        <v/>
      </c>
      <c r="F3328" t="str">
        <f t="shared" si="258"/>
        <v/>
      </c>
      <c r="G3328" t="str">
        <f t="shared" si="259"/>
        <v/>
      </c>
    </row>
    <row r="3329" spans="1:7" x14ac:dyDescent="0.4">
      <c r="A3329" t="str">
        <f t="shared" si="255"/>
        <v/>
      </c>
      <c r="B3329" t="str">
        <f t="shared" si="256"/>
        <v/>
      </c>
      <c r="C3329" t="str">
        <f t="shared" si="257"/>
        <v/>
      </c>
      <c r="D3329" t="str">
        <f>IF(E3329="","",IF(COUNTIF($E$2:E3329,E3329)&gt;1,"",SUMIFS(tbl_input[필요수량],tbl_input[집계키_지청],E3329)))</f>
        <v/>
      </c>
      <c r="E3329" t="str">
        <f>IFERROR(INDEX(tbl_input[집계키_지청],ROW()-1),"")</f>
        <v/>
      </c>
      <c r="F3329" t="str">
        <f t="shared" si="258"/>
        <v/>
      </c>
      <c r="G3329" t="str">
        <f t="shared" si="259"/>
        <v/>
      </c>
    </row>
    <row r="3330" spans="1:7" x14ac:dyDescent="0.4">
      <c r="A3330" t="str">
        <f t="shared" ref="A3330:A3393" si="260">IF(E3330="","",LEFT(E3330,F3330-1))</f>
        <v/>
      </c>
      <c r="B3330" t="str">
        <f t="shared" ref="B3330:B3393" si="261">IF(E3330="","",MID(E3330,F3330+1,G3330-F3330-1))</f>
        <v/>
      </c>
      <c r="C3330" t="str">
        <f t="shared" ref="C3330:C3393" si="262">IF(E3330="","",MID(E3330,G3330+1,999))</f>
        <v/>
      </c>
      <c r="D3330" t="str">
        <f>IF(E3330="","",IF(COUNTIF($E$2:E3330,E3330)&gt;1,"",SUMIFS(tbl_input[필요수량],tbl_input[집계키_지청],E3330)))</f>
        <v/>
      </c>
      <c r="E3330" t="str">
        <f>IFERROR(INDEX(tbl_input[집계키_지청],ROW()-1),"")</f>
        <v/>
      </c>
      <c r="F3330" t="str">
        <f t="shared" ref="F3330:F3393" si="263">IF(E3330="","",FIND("♦",E3330))</f>
        <v/>
      </c>
      <c r="G3330" t="str">
        <f t="shared" ref="G3330:G3393" si="264">IF(E3330="","",FIND("♦",E3330,F3330+1))</f>
        <v/>
      </c>
    </row>
    <row r="3331" spans="1:7" x14ac:dyDescent="0.4">
      <c r="A3331" t="str">
        <f t="shared" si="260"/>
        <v/>
      </c>
      <c r="B3331" t="str">
        <f t="shared" si="261"/>
        <v/>
      </c>
      <c r="C3331" t="str">
        <f t="shared" si="262"/>
        <v/>
      </c>
      <c r="D3331" t="str">
        <f>IF(E3331="","",IF(COUNTIF($E$2:E3331,E3331)&gt;1,"",SUMIFS(tbl_input[필요수량],tbl_input[집계키_지청],E3331)))</f>
        <v/>
      </c>
      <c r="E3331" t="str">
        <f>IFERROR(INDEX(tbl_input[집계키_지청],ROW()-1),"")</f>
        <v/>
      </c>
      <c r="F3331" t="str">
        <f t="shared" si="263"/>
        <v/>
      </c>
      <c r="G3331" t="str">
        <f t="shared" si="264"/>
        <v/>
      </c>
    </row>
    <row r="3332" spans="1:7" x14ac:dyDescent="0.4">
      <c r="A3332" t="str">
        <f t="shared" si="260"/>
        <v/>
      </c>
      <c r="B3332" t="str">
        <f t="shared" si="261"/>
        <v/>
      </c>
      <c r="C3332" t="str">
        <f t="shared" si="262"/>
        <v/>
      </c>
      <c r="D3332" t="str">
        <f>IF(E3332="","",IF(COUNTIF($E$2:E3332,E3332)&gt;1,"",SUMIFS(tbl_input[필요수량],tbl_input[집계키_지청],E3332)))</f>
        <v/>
      </c>
      <c r="E3332" t="str">
        <f>IFERROR(INDEX(tbl_input[집계키_지청],ROW()-1),"")</f>
        <v/>
      </c>
      <c r="F3332" t="str">
        <f t="shared" si="263"/>
        <v/>
      </c>
      <c r="G3332" t="str">
        <f t="shared" si="264"/>
        <v/>
      </c>
    </row>
    <row r="3333" spans="1:7" x14ac:dyDescent="0.4">
      <c r="A3333" t="str">
        <f t="shared" si="260"/>
        <v/>
      </c>
      <c r="B3333" t="str">
        <f t="shared" si="261"/>
        <v/>
      </c>
      <c r="C3333" t="str">
        <f t="shared" si="262"/>
        <v/>
      </c>
      <c r="D3333" t="str">
        <f>IF(E3333="","",IF(COUNTIF($E$2:E3333,E3333)&gt;1,"",SUMIFS(tbl_input[필요수량],tbl_input[집계키_지청],E3333)))</f>
        <v/>
      </c>
      <c r="E3333" t="str">
        <f>IFERROR(INDEX(tbl_input[집계키_지청],ROW()-1),"")</f>
        <v/>
      </c>
      <c r="F3333" t="str">
        <f t="shared" si="263"/>
        <v/>
      </c>
      <c r="G3333" t="str">
        <f t="shared" si="264"/>
        <v/>
      </c>
    </row>
    <row r="3334" spans="1:7" x14ac:dyDescent="0.4">
      <c r="A3334" t="str">
        <f t="shared" si="260"/>
        <v/>
      </c>
      <c r="B3334" t="str">
        <f t="shared" si="261"/>
        <v/>
      </c>
      <c r="C3334" t="str">
        <f t="shared" si="262"/>
        <v/>
      </c>
      <c r="D3334" t="str">
        <f>IF(E3334="","",IF(COUNTIF($E$2:E3334,E3334)&gt;1,"",SUMIFS(tbl_input[필요수량],tbl_input[집계키_지청],E3334)))</f>
        <v/>
      </c>
      <c r="E3334" t="str">
        <f>IFERROR(INDEX(tbl_input[집계키_지청],ROW()-1),"")</f>
        <v/>
      </c>
      <c r="F3334" t="str">
        <f t="shared" si="263"/>
        <v/>
      </c>
      <c r="G3334" t="str">
        <f t="shared" si="264"/>
        <v/>
      </c>
    </row>
    <row r="3335" spans="1:7" x14ac:dyDescent="0.4">
      <c r="A3335" t="str">
        <f t="shared" si="260"/>
        <v/>
      </c>
      <c r="B3335" t="str">
        <f t="shared" si="261"/>
        <v/>
      </c>
      <c r="C3335" t="str">
        <f t="shared" si="262"/>
        <v/>
      </c>
      <c r="D3335" t="str">
        <f>IF(E3335="","",IF(COUNTIF($E$2:E3335,E3335)&gt;1,"",SUMIFS(tbl_input[필요수량],tbl_input[집계키_지청],E3335)))</f>
        <v/>
      </c>
      <c r="E3335" t="str">
        <f>IFERROR(INDEX(tbl_input[집계키_지청],ROW()-1),"")</f>
        <v/>
      </c>
      <c r="F3335" t="str">
        <f t="shared" si="263"/>
        <v/>
      </c>
      <c r="G3335" t="str">
        <f t="shared" si="264"/>
        <v/>
      </c>
    </row>
    <row r="3336" spans="1:7" x14ac:dyDescent="0.4">
      <c r="A3336" t="str">
        <f t="shared" si="260"/>
        <v/>
      </c>
      <c r="B3336" t="str">
        <f t="shared" si="261"/>
        <v/>
      </c>
      <c r="C3336" t="str">
        <f t="shared" si="262"/>
        <v/>
      </c>
      <c r="D3336" t="str">
        <f>IF(E3336="","",IF(COUNTIF($E$2:E3336,E3336)&gt;1,"",SUMIFS(tbl_input[필요수량],tbl_input[집계키_지청],E3336)))</f>
        <v/>
      </c>
      <c r="E3336" t="str">
        <f>IFERROR(INDEX(tbl_input[집계키_지청],ROW()-1),"")</f>
        <v/>
      </c>
      <c r="F3336" t="str">
        <f t="shared" si="263"/>
        <v/>
      </c>
      <c r="G3336" t="str">
        <f t="shared" si="264"/>
        <v/>
      </c>
    </row>
    <row r="3337" spans="1:7" x14ac:dyDescent="0.4">
      <c r="A3337" t="str">
        <f t="shared" si="260"/>
        <v/>
      </c>
      <c r="B3337" t="str">
        <f t="shared" si="261"/>
        <v/>
      </c>
      <c r="C3337" t="str">
        <f t="shared" si="262"/>
        <v/>
      </c>
      <c r="D3337" t="str">
        <f>IF(E3337="","",IF(COUNTIF($E$2:E3337,E3337)&gt;1,"",SUMIFS(tbl_input[필요수량],tbl_input[집계키_지청],E3337)))</f>
        <v/>
      </c>
      <c r="E3337" t="str">
        <f>IFERROR(INDEX(tbl_input[집계키_지청],ROW()-1),"")</f>
        <v/>
      </c>
      <c r="F3337" t="str">
        <f t="shared" si="263"/>
        <v/>
      </c>
      <c r="G3337" t="str">
        <f t="shared" si="264"/>
        <v/>
      </c>
    </row>
    <row r="3338" spans="1:7" x14ac:dyDescent="0.4">
      <c r="A3338" t="str">
        <f t="shared" si="260"/>
        <v/>
      </c>
      <c r="B3338" t="str">
        <f t="shared" si="261"/>
        <v/>
      </c>
      <c r="C3338" t="str">
        <f t="shared" si="262"/>
        <v/>
      </c>
      <c r="D3338" t="str">
        <f>IF(E3338="","",IF(COUNTIF($E$2:E3338,E3338)&gt;1,"",SUMIFS(tbl_input[필요수량],tbl_input[집계키_지청],E3338)))</f>
        <v/>
      </c>
      <c r="E3338" t="str">
        <f>IFERROR(INDEX(tbl_input[집계키_지청],ROW()-1),"")</f>
        <v/>
      </c>
      <c r="F3338" t="str">
        <f t="shared" si="263"/>
        <v/>
      </c>
      <c r="G3338" t="str">
        <f t="shared" si="264"/>
        <v/>
      </c>
    </row>
    <row r="3339" spans="1:7" x14ac:dyDescent="0.4">
      <c r="A3339" t="str">
        <f t="shared" si="260"/>
        <v/>
      </c>
      <c r="B3339" t="str">
        <f t="shared" si="261"/>
        <v/>
      </c>
      <c r="C3339" t="str">
        <f t="shared" si="262"/>
        <v/>
      </c>
      <c r="D3339" t="str">
        <f>IF(E3339="","",IF(COUNTIF($E$2:E3339,E3339)&gt;1,"",SUMIFS(tbl_input[필요수량],tbl_input[집계키_지청],E3339)))</f>
        <v/>
      </c>
      <c r="E3339" t="str">
        <f>IFERROR(INDEX(tbl_input[집계키_지청],ROW()-1),"")</f>
        <v/>
      </c>
      <c r="F3339" t="str">
        <f t="shared" si="263"/>
        <v/>
      </c>
      <c r="G3339" t="str">
        <f t="shared" si="264"/>
        <v/>
      </c>
    </row>
    <row r="3340" spans="1:7" x14ac:dyDescent="0.4">
      <c r="A3340" t="str">
        <f t="shared" si="260"/>
        <v/>
      </c>
      <c r="B3340" t="str">
        <f t="shared" si="261"/>
        <v/>
      </c>
      <c r="C3340" t="str">
        <f t="shared" si="262"/>
        <v/>
      </c>
      <c r="D3340" t="str">
        <f>IF(E3340="","",IF(COUNTIF($E$2:E3340,E3340)&gt;1,"",SUMIFS(tbl_input[필요수량],tbl_input[집계키_지청],E3340)))</f>
        <v/>
      </c>
      <c r="E3340" t="str">
        <f>IFERROR(INDEX(tbl_input[집계키_지청],ROW()-1),"")</f>
        <v/>
      </c>
      <c r="F3340" t="str">
        <f t="shared" si="263"/>
        <v/>
      </c>
      <c r="G3340" t="str">
        <f t="shared" si="264"/>
        <v/>
      </c>
    </row>
    <row r="3341" spans="1:7" x14ac:dyDescent="0.4">
      <c r="A3341" t="str">
        <f t="shared" si="260"/>
        <v/>
      </c>
      <c r="B3341" t="str">
        <f t="shared" si="261"/>
        <v/>
      </c>
      <c r="C3341" t="str">
        <f t="shared" si="262"/>
        <v/>
      </c>
      <c r="D3341" t="str">
        <f>IF(E3341="","",IF(COUNTIF($E$2:E3341,E3341)&gt;1,"",SUMIFS(tbl_input[필요수량],tbl_input[집계키_지청],E3341)))</f>
        <v/>
      </c>
      <c r="E3341" t="str">
        <f>IFERROR(INDEX(tbl_input[집계키_지청],ROW()-1),"")</f>
        <v/>
      </c>
      <c r="F3341" t="str">
        <f t="shared" si="263"/>
        <v/>
      </c>
      <c r="G3341" t="str">
        <f t="shared" si="264"/>
        <v/>
      </c>
    </row>
    <row r="3342" spans="1:7" x14ac:dyDescent="0.4">
      <c r="A3342" t="str">
        <f t="shared" si="260"/>
        <v/>
      </c>
      <c r="B3342" t="str">
        <f t="shared" si="261"/>
        <v/>
      </c>
      <c r="C3342" t="str">
        <f t="shared" si="262"/>
        <v/>
      </c>
      <c r="D3342" t="str">
        <f>IF(E3342="","",IF(COUNTIF($E$2:E3342,E3342)&gt;1,"",SUMIFS(tbl_input[필요수량],tbl_input[집계키_지청],E3342)))</f>
        <v/>
      </c>
      <c r="E3342" t="str">
        <f>IFERROR(INDEX(tbl_input[집계키_지청],ROW()-1),"")</f>
        <v/>
      </c>
      <c r="F3342" t="str">
        <f t="shared" si="263"/>
        <v/>
      </c>
      <c r="G3342" t="str">
        <f t="shared" si="264"/>
        <v/>
      </c>
    </row>
    <row r="3343" spans="1:7" x14ac:dyDescent="0.4">
      <c r="A3343" t="str">
        <f t="shared" si="260"/>
        <v/>
      </c>
      <c r="B3343" t="str">
        <f t="shared" si="261"/>
        <v/>
      </c>
      <c r="C3343" t="str">
        <f t="shared" si="262"/>
        <v/>
      </c>
      <c r="D3343" t="str">
        <f>IF(E3343="","",IF(COUNTIF($E$2:E3343,E3343)&gt;1,"",SUMIFS(tbl_input[필요수량],tbl_input[집계키_지청],E3343)))</f>
        <v/>
      </c>
      <c r="E3343" t="str">
        <f>IFERROR(INDEX(tbl_input[집계키_지청],ROW()-1),"")</f>
        <v/>
      </c>
      <c r="F3343" t="str">
        <f t="shared" si="263"/>
        <v/>
      </c>
      <c r="G3343" t="str">
        <f t="shared" si="264"/>
        <v/>
      </c>
    </row>
    <row r="3344" spans="1:7" x14ac:dyDescent="0.4">
      <c r="A3344" t="str">
        <f t="shared" si="260"/>
        <v/>
      </c>
      <c r="B3344" t="str">
        <f t="shared" si="261"/>
        <v/>
      </c>
      <c r="C3344" t="str">
        <f t="shared" si="262"/>
        <v/>
      </c>
      <c r="D3344" t="str">
        <f>IF(E3344="","",IF(COUNTIF($E$2:E3344,E3344)&gt;1,"",SUMIFS(tbl_input[필요수량],tbl_input[집계키_지청],E3344)))</f>
        <v/>
      </c>
      <c r="E3344" t="str">
        <f>IFERROR(INDEX(tbl_input[집계키_지청],ROW()-1),"")</f>
        <v/>
      </c>
      <c r="F3344" t="str">
        <f t="shared" si="263"/>
        <v/>
      </c>
      <c r="G3344" t="str">
        <f t="shared" si="264"/>
        <v/>
      </c>
    </row>
    <row r="3345" spans="1:7" x14ac:dyDescent="0.4">
      <c r="A3345" t="str">
        <f t="shared" si="260"/>
        <v/>
      </c>
      <c r="B3345" t="str">
        <f t="shared" si="261"/>
        <v/>
      </c>
      <c r="C3345" t="str">
        <f t="shared" si="262"/>
        <v/>
      </c>
      <c r="D3345" t="str">
        <f>IF(E3345="","",IF(COUNTIF($E$2:E3345,E3345)&gt;1,"",SUMIFS(tbl_input[필요수량],tbl_input[집계키_지청],E3345)))</f>
        <v/>
      </c>
      <c r="E3345" t="str">
        <f>IFERROR(INDEX(tbl_input[집계키_지청],ROW()-1),"")</f>
        <v/>
      </c>
      <c r="F3345" t="str">
        <f t="shared" si="263"/>
        <v/>
      </c>
      <c r="G3345" t="str">
        <f t="shared" si="264"/>
        <v/>
      </c>
    </row>
    <row r="3346" spans="1:7" x14ac:dyDescent="0.4">
      <c r="A3346" t="str">
        <f t="shared" si="260"/>
        <v/>
      </c>
      <c r="B3346" t="str">
        <f t="shared" si="261"/>
        <v/>
      </c>
      <c r="C3346" t="str">
        <f t="shared" si="262"/>
        <v/>
      </c>
      <c r="D3346" t="str">
        <f>IF(E3346="","",IF(COUNTIF($E$2:E3346,E3346)&gt;1,"",SUMIFS(tbl_input[필요수량],tbl_input[집계키_지청],E3346)))</f>
        <v/>
      </c>
      <c r="E3346" t="str">
        <f>IFERROR(INDEX(tbl_input[집계키_지청],ROW()-1),"")</f>
        <v/>
      </c>
      <c r="F3346" t="str">
        <f t="shared" si="263"/>
        <v/>
      </c>
      <c r="G3346" t="str">
        <f t="shared" si="264"/>
        <v/>
      </c>
    </row>
    <row r="3347" spans="1:7" x14ac:dyDescent="0.4">
      <c r="A3347" t="str">
        <f t="shared" si="260"/>
        <v/>
      </c>
      <c r="B3347" t="str">
        <f t="shared" si="261"/>
        <v/>
      </c>
      <c r="C3347" t="str">
        <f t="shared" si="262"/>
        <v/>
      </c>
      <c r="D3347" t="str">
        <f>IF(E3347="","",IF(COUNTIF($E$2:E3347,E3347)&gt;1,"",SUMIFS(tbl_input[필요수량],tbl_input[집계키_지청],E3347)))</f>
        <v/>
      </c>
      <c r="E3347" t="str">
        <f>IFERROR(INDEX(tbl_input[집계키_지청],ROW()-1),"")</f>
        <v/>
      </c>
      <c r="F3347" t="str">
        <f t="shared" si="263"/>
        <v/>
      </c>
      <c r="G3347" t="str">
        <f t="shared" si="264"/>
        <v/>
      </c>
    </row>
    <row r="3348" spans="1:7" x14ac:dyDescent="0.4">
      <c r="A3348" t="str">
        <f t="shared" si="260"/>
        <v/>
      </c>
      <c r="B3348" t="str">
        <f t="shared" si="261"/>
        <v/>
      </c>
      <c r="C3348" t="str">
        <f t="shared" si="262"/>
        <v/>
      </c>
      <c r="D3348" t="str">
        <f>IF(E3348="","",IF(COUNTIF($E$2:E3348,E3348)&gt;1,"",SUMIFS(tbl_input[필요수량],tbl_input[집계키_지청],E3348)))</f>
        <v/>
      </c>
      <c r="E3348" t="str">
        <f>IFERROR(INDEX(tbl_input[집계키_지청],ROW()-1),"")</f>
        <v/>
      </c>
      <c r="F3348" t="str">
        <f t="shared" si="263"/>
        <v/>
      </c>
      <c r="G3348" t="str">
        <f t="shared" si="264"/>
        <v/>
      </c>
    </row>
    <row r="3349" spans="1:7" x14ac:dyDescent="0.4">
      <c r="A3349" t="str">
        <f t="shared" si="260"/>
        <v/>
      </c>
      <c r="B3349" t="str">
        <f t="shared" si="261"/>
        <v/>
      </c>
      <c r="C3349" t="str">
        <f t="shared" si="262"/>
        <v/>
      </c>
      <c r="D3349" t="str">
        <f>IF(E3349="","",IF(COUNTIF($E$2:E3349,E3349)&gt;1,"",SUMIFS(tbl_input[필요수량],tbl_input[집계키_지청],E3349)))</f>
        <v/>
      </c>
      <c r="E3349" t="str">
        <f>IFERROR(INDEX(tbl_input[집계키_지청],ROW()-1),"")</f>
        <v/>
      </c>
      <c r="F3349" t="str">
        <f t="shared" si="263"/>
        <v/>
      </c>
      <c r="G3349" t="str">
        <f t="shared" si="264"/>
        <v/>
      </c>
    </row>
    <row r="3350" spans="1:7" x14ac:dyDescent="0.4">
      <c r="A3350" t="str">
        <f t="shared" si="260"/>
        <v/>
      </c>
      <c r="B3350" t="str">
        <f t="shared" si="261"/>
        <v/>
      </c>
      <c r="C3350" t="str">
        <f t="shared" si="262"/>
        <v/>
      </c>
      <c r="D3350" t="str">
        <f>IF(E3350="","",IF(COUNTIF($E$2:E3350,E3350)&gt;1,"",SUMIFS(tbl_input[필요수량],tbl_input[집계키_지청],E3350)))</f>
        <v/>
      </c>
      <c r="E3350" t="str">
        <f>IFERROR(INDEX(tbl_input[집계키_지청],ROW()-1),"")</f>
        <v/>
      </c>
      <c r="F3350" t="str">
        <f t="shared" si="263"/>
        <v/>
      </c>
      <c r="G3350" t="str">
        <f t="shared" si="264"/>
        <v/>
      </c>
    </row>
    <row r="3351" spans="1:7" x14ac:dyDescent="0.4">
      <c r="A3351" t="str">
        <f t="shared" si="260"/>
        <v/>
      </c>
      <c r="B3351" t="str">
        <f t="shared" si="261"/>
        <v/>
      </c>
      <c r="C3351" t="str">
        <f t="shared" si="262"/>
        <v/>
      </c>
      <c r="D3351" t="str">
        <f>IF(E3351="","",IF(COUNTIF($E$2:E3351,E3351)&gt;1,"",SUMIFS(tbl_input[필요수량],tbl_input[집계키_지청],E3351)))</f>
        <v/>
      </c>
      <c r="E3351" t="str">
        <f>IFERROR(INDEX(tbl_input[집계키_지청],ROW()-1),"")</f>
        <v/>
      </c>
      <c r="F3351" t="str">
        <f t="shared" si="263"/>
        <v/>
      </c>
      <c r="G3351" t="str">
        <f t="shared" si="264"/>
        <v/>
      </c>
    </row>
    <row r="3352" spans="1:7" x14ac:dyDescent="0.4">
      <c r="A3352" t="str">
        <f t="shared" si="260"/>
        <v/>
      </c>
      <c r="B3352" t="str">
        <f t="shared" si="261"/>
        <v/>
      </c>
      <c r="C3352" t="str">
        <f t="shared" si="262"/>
        <v/>
      </c>
      <c r="D3352" t="str">
        <f>IF(E3352="","",IF(COUNTIF($E$2:E3352,E3352)&gt;1,"",SUMIFS(tbl_input[필요수량],tbl_input[집계키_지청],E3352)))</f>
        <v/>
      </c>
      <c r="E3352" t="str">
        <f>IFERROR(INDEX(tbl_input[집계키_지청],ROW()-1),"")</f>
        <v/>
      </c>
      <c r="F3352" t="str">
        <f t="shared" si="263"/>
        <v/>
      </c>
      <c r="G3352" t="str">
        <f t="shared" si="264"/>
        <v/>
      </c>
    </row>
    <row r="3353" spans="1:7" x14ac:dyDescent="0.4">
      <c r="A3353" t="str">
        <f t="shared" si="260"/>
        <v/>
      </c>
      <c r="B3353" t="str">
        <f t="shared" si="261"/>
        <v/>
      </c>
      <c r="C3353" t="str">
        <f t="shared" si="262"/>
        <v/>
      </c>
      <c r="D3353" t="str">
        <f>IF(E3353="","",IF(COUNTIF($E$2:E3353,E3353)&gt;1,"",SUMIFS(tbl_input[필요수량],tbl_input[집계키_지청],E3353)))</f>
        <v/>
      </c>
      <c r="E3353" t="str">
        <f>IFERROR(INDEX(tbl_input[집계키_지청],ROW()-1),"")</f>
        <v/>
      </c>
      <c r="F3353" t="str">
        <f t="shared" si="263"/>
        <v/>
      </c>
      <c r="G3353" t="str">
        <f t="shared" si="264"/>
        <v/>
      </c>
    </row>
    <row r="3354" spans="1:7" x14ac:dyDescent="0.4">
      <c r="A3354" t="str">
        <f t="shared" si="260"/>
        <v/>
      </c>
      <c r="B3354" t="str">
        <f t="shared" si="261"/>
        <v/>
      </c>
      <c r="C3354" t="str">
        <f t="shared" si="262"/>
        <v/>
      </c>
      <c r="D3354" t="str">
        <f>IF(E3354="","",IF(COUNTIF($E$2:E3354,E3354)&gt;1,"",SUMIFS(tbl_input[필요수량],tbl_input[집계키_지청],E3354)))</f>
        <v/>
      </c>
      <c r="E3354" t="str">
        <f>IFERROR(INDEX(tbl_input[집계키_지청],ROW()-1),"")</f>
        <v/>
      </c>
      <c r="F3354" t="str">
        <f t="shared" si="263"/>
        <v/>
      </c>
      <c r="G3354" t="str">
        <f t="shared" si="264"/>
        <v/>
      </c>
    </row>
    <row r="3355" spans="1:7" x14ac:dyDescent="0.4">
      <c r="A3355" t="str">
        <f t="shared" si="260"/>
        <v/>
      </c>
      <c r="B3355" t="str">
        <f t="shared" si="261"/>
        <v/>
      </c>
      <c r="C3355" t="str">
        <f t="shared" si="262"/>
        <v/>
      </c>
      <c r="D3355" t="str">
        <f>IF(E3355="","",IF(COUNTIF($E$2:E3355,E3355)&gt;1,"",SUMIFS(tbl_input[필요수량],tbl_input[집계키_지청],E3355)))</f>
        <v/>
      </c>
      <c r="E3355" t="str">
        <f>IFERROR(INDEX(tbl_input[집계키_지청],ROW()-1),"")</f>
        <v/>
      </c>
      <c r="F3355" t="str">
        <f t="shared" si="263"/>
        <v/>
      </c>
      <c r="G3355" t="str">
        <f t="shared" si="264"/>
        <v/>
      </c>
    </row>
    <row r="3356" spans="1:7" x14ac:dyDescent="0.4">
      <c r="A3356" t="str">
        <f t="shared" si="260"/>
        <v/>
      </c>
      <c r="B3356" t="str">
        <f t="shared" si="261"/>
        <v/>
      </c>
      <c r="C3356" t="str">
        <f t="shared" si="262"/>
        <v/>
      </c>
      <c r="D3356" t="str">
        <f>IF(E3356="","",IF(COUNTIF($E$2:E3356,E3356)&gt;1,"",SUMIFS(tbl_input[필요수량],tbl_input[집계키_지청],E3356)))</f>
        <v/>
      </c>
      <c r="E3356" t="str">
        <f>IFERROR(INDEX(tbl_input[집계키_지청],ROW()-1),"")</f>
        <v/>
      </c>
      <c r="F3356" t="str">
        <f t="shared" si="263"/>
        <v/>
      </c>
      <c r="G3356" t="str">
        <f t="shared" si="264"/>
        <v/>
      </c>
    </row>
    <row r="3357" spans="1:7" x14ac:dyDescent="0.4">
      <c r="A3357" t="str">
        <f t="shared" si="260"/>
        <v/>
      </c>
      <c r="B3357" t="str">
        <f t="shared" si="261"/>
        <v/>
      </c>
      <c r="C3357" t="str">
        <f t="shared" si="262"/>
        <v/>
      </c>
      <c r="D3357" t="str">
        <f>IF(E3357="","",IF(COUNTIF($E$2:E3357,E3357)&gt;1,"",SUMIFS(tbl_input[필요수량],tbl_input[집계키_지청],E3357)))</f>
        <v/>
      </c>
      <c r="E3357" t="str">
        <f>IFERROR(INDEX(tbl_input[집계키_지청],ROW()-1),"")</f>
        <v/>
      </c>
      <c r="F3357" t="str">
        <f t="shared" si="263"/>
        <v/>
      </c>
      <c r="G3357" t="str">
        <f t="shared" si="264"/>
        <v/>
      </c>
    </row>
    <row r="3358" spans="1:7" x14ac:dyDescent="0.4">
      <c r="A3358" t="str">
        <f t="shared" si="260"/>
        <v/>
      </c>
      <c r="B3358" t="str">
        <f t="shared" si="261"/>
        <v/>
      </c>
      <c r="C3358" t="str">
        <f t="shared" si="262"/>
        <v/>
      </c>
      <c r="D3358" t="str">
        <f>IF(E3358="","",IF(COUNTIF($E$2:E3358,E3358)&gt;1,"",SUMIFS(tbl_input[필요수량],tbl_input[집계키_지청],E3358)))</f>
        <v/>
      </c>
      <c r="E3358" t="str">
        <f>IFERROR(INDEX(tbl_input[집계키_지청],ROW()-1),"")</f>
        <v/>
      </c>
      <c r="F3358" t="str">
        <f t="shared" si="263"/>
        <v/>
      </c>
      <c r="G3358" t="str">
        <f t="shared" si="264"/>
        <v/>
      </c>
    </row>
    <row r="3359" spans="1:7" x14ac:dyDescent="0.4">
      <c r="A3359" t="str">
        <f t="shared" si="260"/>
        <v/>
      </c>
      <c r="B3359" t="str">
        <f t="shared" si="261"/>
        <v/>
      </c>
      <c r="C3359" t="str">
        <f t="shared" si="262"/>
        <v/>
      </c>
      <c r="D3359" t="str">
        <f>IF(E3359="","",IF(COUNTIF($E$2:E3359,E3359)&gt;1,"",SUMIFS(tbl_input[필요수량],tbl_input[집계키_지청],E3359)))</f>
        <v/>
      </c>
      <c r="E3359" t="str">
        <f>IFERROR(INDEX(tbl_input[집계키_지청],ROW()-1),"")</f>
        <v/>
      </c>
      <c r="F3359" t="str">
        <f t="shared" si="263"/>
        <v/>
      </c>
      <c r="G3359" t="str">
        <f t="shared" si="264"/>
        <v/>
      </c>
    </row>
    <row r="3360" spans="1:7" x14ac:dyDescent="0.4">
      <c r="A3360" t="str">
        <f t="shared" si="260"/>
        <v/>
      </c>
      <c r="B3360" t="str">
        <f t="shared" si="261"/>
        <v/>
      </c>
      <c r="C3360" t="str">
        <f t="shared" si="262"/>
        <v/>
      </c>
      <c r="D3360" t="str">
        <f>IF(E3360="","",IF(COUNTIF($E$2:E3360,E3360)&gt;1,"",SUMIFS(tbl_input[필요수량],tbl_input[집계키_지청],E3360)))</f>
        <v/>
      </c>
      <c r="E3360" t="str">
        <f>IFERROR(INDEX(tbl_input[집계키_지청],ROW()-1),"")</f>
        <v/>
      </c>
      <c r="F3360" t="str">
        <f t="shared" si="263"/>
        <v/>
      </c>
      <c r="G3360" t="str">
        <f t="shared" si="264"/>
        <v/>
      </c>
    </row>
    <row r="3361" spans="1:7" x14ac:dyDescent="0.4">
      <c r="A3361" t="str">
        <f t="shared" si="260"/>
        <v/>
      </c>
      <c r="B3361" t="str">
        <f t="shared" si="261"/>
        <v/>
      </c>
      <c r="C3361" t="str">
        <f t="shared" si="262"/>
        <v/>
      </c>
      <c r="D3361" t="str">
        <f>IF(E3361="","",IF(COUNTIF($E$2:E3361,E3361)&gt;1,"",SUMIFS(tbl_input[필요수량],tbl_input[집계키_지청],E3361)))</f>
        <v/>
      </c>
      <c r="E3361" t="str">
        <f>IFERROR(INDEX(tbl_input[집계키_지청],ROW()-1),"")</f>
        <v/>
      </c>
      <c r="F3361" t="str">
        <f t="shared" si="263"/>
        <v/>
      </c>
      <c r="G3361" t="str">
        <f t="shared" si="264"/>
        <v/>
      </c>
    </row>
    <row r="3362" spans="1:7" x14ac:dyDescent="0.4">
      <c r="A3362" t="str">
        <f t="shared" si="260"/>
        <v/>
      </c>
      <c r="B3362" t="str">
        <f t="shared" si="261"/>
        <v/>
      </c>
      <c r="C3362" t="str">
        <f t="shared" si="262"/>
        <v/>
      </c>
      <c r="D3362" t="str">
        <f>IF(E3362="","",IF(COUNTIF($E$2:E3362,E3362)&gt;1,"",SUMIFS(tbl_input[필요수량],tbl_input[집계키_지청],E3362)))</f>
        <v/>
      </c>
      <c r="E3362" t="str">
        <f>IFERROR(INDEX(tbl_input[집계키_지청],ROW()-1),"")</f>
        <v/>
      </c>
      <c r="F3362" t="str">
        <f t="shared" si="263"/>
        <v/>
      </c>
      <c r="G3362" t="str">
        <f t="shared" si="264"/>
        <v/>
      </c>
    </row>
    <row r="3363" spans="1:7" x14ac:dyDescent="0.4">
      <c r="A3363" t="str">
        <f t="shared" si="260"/>
        <v/>
      </c>
      <c r="B3363" t="str">
        <f t="shared" si="261"/>
        <v/>
      </c>
      <c r="C3363" t="str">
        <f t="shared" si="262"/>
        <v/>
      </c>
      <c r="D3363" t="str">
        <f>IF(E3363="","",IF(COUNTIF($E$2:E3363,E3363)&gt;1,"",SUMIFS(tbl_input[필요수량],tbl_input[집계키_지청],E3363)))</f>
        <v/>
      </c>
      <c r="E3363" t="str">
        <f>IFERROR(INDEX(tbl_input[집계키_지청],ROW()-1),"")</f>
        <v/>
      </c>
      <c r="F3363" t="str">
        <f t="shared" si="263"/>
        <v/>
      </c>
      <c r="G3363" t="str">
        <f t="shared" si="264"/>
        <v/>
      </c>
    </row>
    <row r="3364" spans="1:7" x14ac:dyDescent="0.4">
      <c r="A3364" t="str">
        <f t="shared" si="260"/>
        <v/>
      </c>
      <c r="B3364" t="str">
        <f t="shared" si="261"/>
        <v/>
      </c>
      <c r="C3364" t="str">
        <f t="shared" si="262"/>
        <v/>
      </c>
      <c r="D3364" t="str">
        <f>IF(E3364="","",IF(COUNTIF($E$2:E3364,E3364)&gt;1,"",SUMIFS(tbl_input[필요수량],tbl_input[집계키_지청],E3364)))</f>
        <v/>
      </c>
      <c r="E3364" t="str">
        <f>IFERROR(INDEX(tbl_input[집계키_지청],ROW()-1),"")</f>
        <v/>
      </c>
      <c r="F3364" t="str">
        <f t="shared" si="263"/>
        <v/>
      </c>
      <c r="G3364" t="str">
        <f t="shared" si="264"/>
        <v/>
      </c>
    </row>
    <row r="3365" spans="1:7" x14ac:dyDescent="0.4">
      <c r="A3365" t="str">
        <f t="shared" si="260"/>
        <v/>
      </c>
      <c r="B3365" t="str">
        <f t="shared" si="261"/>
        <v/>
      </c>
      <c r="C3365" t="str">
        <f t="shared" si="262"/>
        <v/>
      </c>
      <c r="D3365" t="str">
        <f>IF(E3365="","",IF(COUNTIF($E$2:E3365,E3365)&gt;1,"",SUMIFS(tbl_input[필요수량],tbl_input[집계키_지청],E3365)))</f>
        <v/>
      </c>
      <c r="E3365" t="str">
        <f>IFERROR(INDEX(tbl_input[집계키_지청],ROW()-1),"")</f>
        <v/>
      </c>
      <c r="F3365" t="str">
        <f t="shared" si="263"/>
        <v/>
      </c>
      <c r="G3365" t="str">
        <f t="shared" si="264"/>
        <v/>
      </c>
    </row>
    <row r="3366" spans="1:7" x14ac:dyDescent="0.4">
      <c r="A3366" t="str">
        <f t="shared" si="260"/>
        <v/>
      </c>
      <c r="B3366" t="str">
        <f t="shared" si="261"/>
        <v/>
      </c>
      <c r="C3366" t="str">
        <f t="shared" si="262"/>
        <v/>
      </c>
      <c r="D3366" t="str">
        <f>IF(E3366="","",IF(COUNTIF($E$2:E3366,E3366)&gt;1,"",SUMIFS(tbl_input[필요수량],tbl_input[집계키_지청],E3366)))</f>
        <v/>
      </c>
      <c r="E3366" t="str">
        <f>IFERROR(INDEX(tbl_input[집계키_지청],ROW()-1),"")</f>
        <v/>
      </c>
      <c r="F3366" t="str">
        <f t="shared" si="263"/>
        <v/>
      </c>
      <c r="G3366" t="str">
        <f t="shared" si="264"/>
        <v/>
      </c>
    </row>
    <row r="3367" spans="1:7" x14ac:dyDescent="0.4">
      <c r="A3367" t="str">
        <f t="shared" si="260"/>
        <v/>
      </c>
      <c r="B3367" t="str">
        <f t="shared" si="261"/>
        <v/>
      </c>
      <c r="C3367" t="str">
        <f t="shared" si="262"/>
        <v/>
      </c>
      <c r="D3367" t="str">
        <f>IF(E3367="","",IF(COUNTIF($E$2:E3367,E3367)&gt;1,"",SUMIFS(tbl_input[필요수량],tbl_input[집계키_지청],E3367)))</f>
        <v/>
      </c>
      <c r="E3367" t="str">
        <f>IFERROR(INDEX(tbl_input[집계키_지청],ROW()-1),"")</f>
        <v/>
      </c>
      <c r="F3367" t="str">
        <f t="shared" si="263"/>
        <v/>
      </c>
      <c r="G3367" t="str">
        <f t="shared" si="264"/>
        <v/>
      </c>
    </row>
    <row r="3368" spans="1:7" x14ac:dyDescent="0.4">
      <c r="A3368" t="str">
        <f t="shared" si="260"/>
        <v/>
      </c>
      <c r="B3368" t="str">
        <f t="shared" si="261"/>
        <v/>
      </c>
      <c r="C3368" t="str">
        <f t="shared" si="262"/>
        <v/>
      </c>
      <c r="D3368" t="str">
        <f>IF(E3368="","",IF(COUNTIF($E$2:E3368,E3368)&gt;1,"",SUMIFS(tbl_input[필요수량],tbl_input[집계키_지청],E3368)))</f>
        <v/>
      </c>
      <c r="E3368" t="str">
        <f>IFERROR(INDEX(tbl_input[집계키_지청],ROW()-1),"")</f>
        <v/>
      </c>
      <c r="F3368" t="str">
        <f t="shared" si="263"/>
        <v/>
      </c>
      <c r="G3368" t="str">
        <f t="shared" si="264"/>
        <v/>
      </c>
    </row>
    <row r="3369" spans="1:7" x14ac:dyDescent="0.4">
      <c r="A3369" t="str">
        <f t="shared" si="260"/>
        <v/>
      </c>
      <c r="B3369" t="str">
        <f t="shared" si="261"/>
        <v/>
      </c>
      <c r="C3369" t="str">
        <f t="shared" si="262"/>
        <v/>
      </c>
      <c r="D3369" t="str">
        <f>IF(E3369="","",IF(COUNTIF($E$2:E3369,E3369)&gt;1,"",SUMIFS(tbl_input[필요수량],tbl_input[집계키_지청],E3369)))</f>
        <v/>
      </c>
      <c r="E3369" t="str">
        <f>IFERROR(INDEX(tbl_input[집계키_지청],ROW()-1),"")</f>
        <v/>
      </c>
      <c r="F3369" t="str">
        <f t="shared" si="263"/>
        <v/>
      </c>
      <c r="G3369" t="str">
        <f t="shared" si="264"/>
        <v/>
      </c>
    </row>
    <row r="3370" spans="1:7" x14ac:dyDescent="0.4">
      <c r="A3370" t="str">
        <f t="shared" si="260"/>
        <v/>
      </c>
      <c r="B3370" t="str">
        <f t="shared" si="261"/>
        <v/>
      </c>
      <c r="C3370" t="str">
        <f t="shared" si="262"/>
        <v/>
      </c>
      <c r="D3370" t="str">
        <f>IF(E3370="","",IF(COUNTIF($E$2:E3370,E3370)&gt;1,"",SUMIFS(tbl_input[필요수량],tbl_input[집계키_지청],E3370)))</f>
        <v/>
      </c>
      <c r="E3370" t="str">
        <f>IFERROR(INDEX(tbl_input[집계키_지청],ROW()-1),"")</f>
        <v/>
      </c>
      <c r="F3370" t="str">
        <f t="shared" si="263"/>
        <v/>
      </c>
      <c r="G3370" t="str">
        <f t="shared" si="264"/>
        <v/>
      </c>
    </row>
    <row r="3371" spans="1:7" x14ac:dyDescent="0.4">
      <c r="A3371" t="str">
        <f t="shared" si="260"/>
        <v/>
      </c>
      <c r="B3371" t="str">
        <f t="shared" si="261"/>
        <v/>
      </c>
      <c r="C3371" t="str">
        <f t="shared" si="262"/>
        <v/>
      </c>
      <c r="D3371" t="str">
        <f>IF(E3371="","",IF(COUNTIF($E$2:E3371,E3371)&gt;1,"",SUMIFS(tbl_input[필요수량],tbl_input[집계키_지청],E3371)))</f>
        <v/>
      </c>
      <c r="E3371" t="str">
        <f>IFERROR(INDEX(tbl_input[집계키_지청],ROW()-1),"")</f>
        <v/>
      </c>
      <c r="F3371" t="str">
        <f t="shared" si="263"/>
        <v/>
      </c>
      <c r="G3371" t="str">
        <f t="shared" si="264"/>
        <v/>
      </c>
    </row>
    <row r="3372" spans="1:7" x14ac:dyDescent="0.4">
      <c r="A3372" t="str">
        <f t="shared" si="260"/>
        <v/>
      </c>
      <c r="B3372" t="str">
        <f t="shared" si="261"/>
        <v/>
      </c>
      <c r="C3372" t="str">
        <f t="shared" si="262"/>
        <v/>
      </c>
      <c r="D3372" t="str">
        <f>IF(E3372="","",IF(COUNTIF($E$2:E3372,E3372)&gt;1,"",SUMIFS(tbl_input[필요수량],tbl_input[집계키_지청],E3372)))</f>
        <v/>
      </c>
      <c r="E3372" t="str">
        <f>IFERROR(INDEX(tbl_input[집계키_지청],ROW()-1),"")</f>
        <v/>
      </c>
      <c r="F3372" t="str">
        <f t="shared" si="263"/>
        <v/>
      </c>
      <c r="G3372" t="str">
        <f t="shared" si="264"/>
        <v/>
      </c>
    </row>
    <row r="3373" spans="1:7" x14ac:dyDescent="0.4">
      <c r="A3373" t="str">
        <f t="shared" si="260"/>
        <v/>
      </c>
      <c r="B3373" t="str">
        <f t="shared" si="261"/>
        <v/>
      </c>
      <c r="C3373" t="str">
        <f t="shared" si="262"/>
        <v/>
      </c>
      <c r="D3373" t="str">
        <f>IF(E3373="","",IF(COUNTIF($E$2:E3373,E3373)&gt;1,"",SUMIFS(tbl_input[필요수량],tbl_input[집계키_지청],E3373)))</f>
        <v/>
      </c>
      <c r="E3373" t="str">
        <f>IFERROR(INDEX(tbl_input[집계키_지청],ROW()-1),"")</f>
        <v/>
      </c>
      <c r="F3373" t="str">
        <f t="shared" si="263"/>
        <v/>
      </c>
      <c r="G3373" t="str">
        <f t="shared" si="264"/>
        <v/>
      </c>
    </row>
    <row r="3374" spans="1:7" x14ac:dyDescent="0.4">
      <c r="A3374" t="str">
        <f t="shared" si="260"/>
        <v/>
      </c>
      <c r="B3374" t="str">
        <f t="shared" si="261"/>
        <v/>
      </c>
      <c r="C3374" t="str">
        <f t="shared" si="262"/>
        <v/>
      </c>
      <c r="D3374" t="str">
        <f>IF(E3374="","",IF(COUNTIF($E$2:E3374,E3374)&gt;1,"",SUMIFS(tbl_input[필요수량],tbl_input[집계키_지청],E3374)))</f>
        <v/>
      </c>
      <c r="E3374" t="str">
        <f>IFERROR(INDEX(tbl_input[집계키_지청],ROW()-1),"")</f>
        <v/>
      </c>
      <c r="F3374" t="str">
        <f t="shared" si="263"/>
        <v/>
      </c>
      <c r="G3374" t="str">
        <f t="shared" si="264"/>
        <v/>
      </c>
    </row>
    <row r="3375" spans="1:7" x14ac:dyDescent="0.4">
      <c r="A3375" t="str">
        <f t="shared" si="260"/>
        <v/>
      </c>
      <c r="B3375" t="str">
        <f t="shared" si="261"/>
        <v/>
      </c>
      <c r="C3375" t="str">
        <f t="shared" si="262"/>
        <v/>
      </c>
      <c r="D3375" t="str">
        <f>IF(E3375="","",IF(COUNTIF($E$2:E3375,E3375)&gt;1,"",SUMIFS(tbl_input[필요수량],tbl_input[집계키_지청],E3375)))</f>
        <v/>
      </c>
      <c r="E3375" t="str">
        <f>IFERROR(INDEX(tbl_input[집계키_지청],ROW()-1),"")</f>
        <v/>
      </c>
      <c r="F3375" t="str">
        <f t="shared" si="263"/>
        <v/>
      </c>
      <c r="G3375" t="str">
        <f t="shared" si="264"/>
        <v/>
      </c>
    </row>
    <row r="3376" spans="1:7" x14ac:dyDescent="0.4">
      <c r="A3376" t="str">
        <f t="shared" si="260"/>
        <v/>
      </c>
      <c r="B3376" t="str">
        <f t="shared" si="261"/>
        <v/>
      </c>
      <c r="C3376" t="str">
        <f t="shared" si="262"/>
        <v/>
      </c>
      <c r="D3376" t="str">
        <f>IF(E3376="","",IF(COUNTIF($E$2:E3376,E3376)&gt;1,"",SUMIFS(tbl_input[필요수량],tbl_input[집계키_지청],E3376)))</f>
        <v/>
      </c>
      <c r="E3376" t="str">
        <f>IFERROR(INDEX(tbl_input[집계키_지청],ROW()-1),"")</f>
        <v/>
      </c>
      <c r="F3376" t="str">
        <f t="shared" si="263"/>
        <v/>
      </c>
      <c r="G3376" t="str">
        <f t="shared" si="264"/>
        <v/>
      </c>
    </row>
    <row r="3377" spans="1:7" x14ac:dyDescent="0.4">
      <c r="A3377" t="str">
        <f t="shared" si="260"/>
        <v/>
      </c>
      <c r="B3377" t="str">
        <f t="shared" si="261"/>
        <v/>
      </c>
      <c r="C3377" t="str">
        <f t="shared" si="262"/>
        <v/>
      </c>
      <c r="D3377" t="str">
        <f>IF(E3377="","",IF(COUNTIF($E$2:E3377,E3377)&gt;1,"",SUMIFS(tbl_input[필요수량],tbl_input[집계키_지청],E3377)))</f>
        <v/>
      </c>
      <c r="E3377" t="str">
        <f>IFERROR(INDEX(tbl_input[집계키_지청],ROW()-1),"")</f>
        <v/>
      </c>
      <c r="F3377" t="str">
        <f t="shared" si="263"/>
        <v/>
      </c>
      <c r="G3377" t="str">
        <f t="shared" si="264"/>
        <v/>
      </c>
    </row>
    <row r="3378" spans="1:7" x14ac:dyDescent="0.4">
      <c r="A3378" t="str">
        <f t="shared" si="260"/>
        <v/>
      </c>
      <c r="B3378" t="str">
        <f t="shared" si="261"/>
        <v/>
      </c>
      <c r="C3378" t="str">
        <f t="shared" si="262"/>
        <v/>
      </c>
      <c r="D3378" t="str">
        <f>IF(E3378="","",IF(COUNTIF($E$2:E3378,E3378)&gt;1,"",SUMIFS(tbl_input[필요수량],tbl_input[집계키_지청],E3378)))</f>
        <v/>
      </c>
      <c r="E3378" t="str">
        <f>IFERROR(INDEX(tbl_input[집계키_지청],ROW()-1),"")</f>
        <v/>
      </c>
      <c r="F3378" t="str">
        <f t="shared" si="263"/>
        <v/>
      </c>
      <c r="G3378" t="str">
        <f t="shared" si="264"/>
        <v/>
      </c>
    </row>
    <row r="3379" spans="1:7" x14ac:dyDescent="0.4">
      <c r="A3379" t="str">
        <f t="shared" si="260"/>
        <v/>
      </c>
      <c r="B3379" t="str">
        <f t="shared" si="261"/>
        <v/>
      </c>
      <c r="C3379" t="str">
        <f t="shared" si="262"/>
        <v/>
      </c>
      <c r="D3379" t="str">
        <f>IF(E3379="","",IF(COUNTIF($E$2:E3379,E3379)&gt;1,"",SUMIFS(tbl_input[필요수량],tbl_input[집계키_지청],E3379)))</f>
        <v/>
      </c>
      <c r="E3379" t="str">
        <f>IFERROR(INDEX(tbl_input[집계키_지청],ROW()-1),"")</f>
        <v/>
      </c>
      <c r="F3379" t="str">
        <f t="shared" si="263"/>
        <v/>
      </c>
      <c r="G3379" t="str">
        <f t="shared" si="264"/>
        <v/>
      </c>
    </row>
    <row r="3380" spans="1:7" x14ac:dyDescent="0.4">
      <c r="A3380" t="str">
        <f t="shared" si="260"/>
        <v/>
      </c>
      <c r="B3380" t="str">
        <f t="shared" si="261"/>
        <v/>
      </c>
      <c r="C3380" t="str">
        <f t="shared" si="262"/>
        <v/>
      </c>
      <c r="D3380" t="str">
        <f>IF(E3380="","",IF(COUNTIF($E$2:E3380,E3380)&gt;1,"",SUMIFS(tbl_input[필요수량],tbl_input[집계키_지청],E3380)))</f>
        <v/>
      </c>
      <c r="E3380" t="str">
        <f>IFERROR(INDEX(tbl_input[집계키_지청],ROW()-1),"")</f>
        <v/>
      </c>
      <c r="F3380" t="str">
        <f t="shared" si="263"/>
        <v/>
      </c>
      <c r="G3380" t="str">
        <f t="shared" si="264"/>
        <v/>
      </c>
    </row>
    <row r="3381" spans="1:7" x14ac:dyDescent="0.4">
      <c r="A3381" t="str">
        <f t="shared" si="260"/>
        <v/>
      </c>
      <c r="B3381" t="str">
        <f t="shared" si="261"/>
        <v/>
      </c>
      <c r="C3381" t="str">
        <f t="shared" si="262"/>
        <v/>
      </c>
      <c r="D3381" t="str">
        <f>IF(E3381="","",IF(COUNTIF($E$2:E3381,E3381)&gt;1,"",SUMIFS(tbl_input[필요수량],tbl_input[집계키_지청],E3381)))</f>
        <v/>
      </c>
      <c r="E3381" t="str">
        <f>IFERROR(INDEX(tbl_input[집계키_지청],ROW()-1),"")</f>
        <v/>
      </c>
      <c r="F3381" t="str">
        <f t="shared" si="263"/>
        <v/>
      </c>
      <c r="G3381" t="str">
        <f t="shared" si="264"/>
        <v/>
      </c>
    </row>
    <row r="3382" spans="1:7" x14ac:dyDescent="0.4">
      <c r="A3382" t="str">
        <f t="shared" si="260"/>
        <v/>
      </c>
      <c r="B3382" t="str">
        <f t="shared" si="261"/>
        <v/>
      </c>
      <c r="C3382" t="str">
        <f t="shared" si="262"/>
        <v/>
      </c>
      <c r="D3382" t="str">
        <f>IF(E3382="","",IF(COUNTIF($E$2:E3382,E3382)&gt;1,"",SUMIFS(tbl_input[필요수량],tbl_input[집계키_지청],E3382)))</f>
        <v/>
      </c>
      <c r="E3382" t="str">
        <f>IFERROR(INDEX(tbl_input[집계키_지청],ROW()-1),"")</f>
        <v/>
      </c>
      <c r="F3382" t="str">
        <f t="shared" si="263"/>
        <v/>
      </c>
      <c r="G3382" t="str">
        <f t="shared" si="264"/>
        <v/>
      </c>
    </row>
    <row r="3383" spans="1:7" x14ac:dyDescent="0.4">
      <c r="A3383" t="str">
        <f t="shared" si="260"/>
        <v/>
      </c>
      <c r="B3383" t="str">
        <f t="shared" si="261"/>
        <v/>
      </c>
      <c r="C3383" t="str">
        <f t="shared" si="262"/>
        <v/>
      </c>
      <c r="D3383" t="str">
        <f>IF(E3383="","",IF(COUNTIF($E$2:E3383,E3383)&gt;1,"",SUMIFS(tbl_input[필요수량],tbl_input[집계키_지청],E3383)))</f>
        <v/>
      </c>
      <c r="E3383" t="str">
        <f>IFERROR(INDEX(tbl_input[집계키_지청],ROW()-1),"")</f>
        <v/>
      </c>
      <c r="F3383" t="str">
        <f t="shared" si="263"/>
        <v/>
      </c>
      <c r="G3383" t="str">
        <f t="shared" si="264"/>
        <v/>
      </c>
    </row>
    <row r="3384" spans="1:7" x14ac:dyDescent="0.4">
      <c r="A3384" t="str">
        <f t="shared" si="260"/>
        <v/>
      </c>
      <c r="B3384" t="str">
        <f t="shared" si="261"/>
        <v/>
      </c>
      <c r="C3384" t="str">
        <f t="shared" si="262"/>
        <v/>
      </c>
      <c r="D3384" t="str">
        <f>IF(E3384="","",IF(COUNTIF($E$2:E3384,E3384)&gt;1,"",SUMIFS(tbl_input[필요수량],tbl_input[집계키_지청],E3384)))</f>
        <v/>
      </c>
      <c r="E3384" t="str">
        <f>IFERROR(INDEX(tbl_input[집계키_지청],ROW()-1),"")</f>
        <v/>
      </c>
      <c r="F3384" t="str">
        <f t="shared" si="263"/>
        <v/>
      </c>
      <c r="G3384" t="str">
        <f t="shared" si="264"/>
        <v/>
      </c>
    </row>
    <row r="3385" spans="1:7" x14ac:dyDescent="0.4">
      <c r="A3385" t="str">
        <f t="shared" si="260"/>
        <v/>
      </c>
      <c r="B3385" t="str">
        <f t="shared" si="261"/>
        <v/>
      </c>
      <c r="C3385" t="str">
        <f t="shared" si="262"/>
        <v/>
      </c>
      <c r="D3385" t="str">
        <f>IF(E3385="","",IF(COUNTIF($E$2:E3385,E3385)&gt;1,"",SUMIFS(tbl_input[필요수량],tbl_input[집계키_지청],E3385)))</f>
        <v/>
      </c>
      <c r="E3385" t="str">
        <f>IFERROR(INDEX(tbl_input[집계키_지청],ROW()-1),"")</f>
        <v/>
      </c>
      <c r="F3385" t="str">
        <f t="shared" si="263"/>
        <v/>
      </c>
      <c r="G3385" t="str">
        <f t="shared" si="264"/>
        <v/>
      </c>
    </row>
    <row r="3386" spans="1:7" x14ac:dyDescent="0.4">
      <c r="A3386" t="str">
        <f t="shared" si="260"/>
        <v/>
      </c>
      <c r="B3386" t="str">
        <f t="shared" si="261"/>
        <v/>
      </c>
      <c r="C3386" t="str">
        <f t="shared" si="262"/>
        <v/>
      </c>
      <c r="D3386" t="str">
        <f>IF(E3386="","",IF(COUNTIF($E$2:E3386,E3386)&gt;1,"",SUMIFS(tbl_input[필요수량],tbl_input[집계키_지청],E3386)))</f>
        <v/>
      </c>
      <c r="E3386" t="str">
        <f>IFERROR(INDEX(tbl_input[집계키_지청],ROW()-1),"")</f>
        <v/>
      </c>
      <c r="F3386" t="str">
        <f t="shared" si="263"/>
        <v/>
      </c>
      <c r="G3386" t="str">
        <f t="shared" si="264"/>
        <v/>
      </c>
    </row>
    <row r="3387" spans="1:7" x14ac:dyDescent="0.4">
      <c r="A3387" t="str">
        <f t="shared" si="260"/>
        <v/>
      </c>
      <c r="B3387" t="str">
        <f t="shared" si="261"/>
        <v/>
      </c>
      <c r="C3387" t="str">
        <f t="shared" si="262"/>
        <v/>
      </c>
      <c r="D3387" t="str">
        <f>IF(E3387="","",IF(COUNTIF($E$2:E3387,E3387)&gt;1,"",SUMIFS(tbl_input[필요수량],tbl_input[집계키_지청],E3387)))</f>
        <v/>
      </c>
      <c r="E3387" t="str">
        <f>IFERROR(INDEX(tbl_input[집계키_지청],ROW()-1),"")</f>
        <v/>
      </c>
      <c r="F3387" t="str">
        <f t="shared" si="263"/>
        <v/>
      </c>
      <c r="G3387" t="str">
        <f t="shared" si="264"/>
        <v/>
      </c>
    </row>
    <row r="3388" spans="1:7" x14ac:dyDescent="0.4">
      <c r="A3388" t="str">
        <f t="shared" si="260"/>
        <v/>
      </c>
      <c r="B3388" t="str">
        <f t="shared" si="261"/>
        <v/>
      </c>
      <c r="C3388" t="str">
        <f t="shared" si="262"/>
        <v/>
      </c>
      <c r="D3388" t="str">
        <f>IF(E3388="","",IF(COUNTIF($E$2:E3388,E3388)&gt;1,"",SUMIFS(tbl_input[필요수량],tbl_input[집계키_지청],E3388)))</f>
        <v/>
      </c>
      <c r="E3388" t="str">
        <f>IFERROR(INDEX(tbl_input[집계키_지청],ROW()-1),"")</f>
        <v/>
      </c>
      <c r="F3388" t="str">
        <f t="shared" si="263"/>
        <v/>
      </c>
      <c r="G3388" t="str">
        <f t="shared" si="264"/>
        <v/>
      </c>
    </row>
    <row r="3389" spans="1:7" x14ac:dyDescent="0.4">
      <c r="A3389" t="str">
        <f t="shared" si="260"/>
        <v/>
      </c>
      <c r="B3389" t="str">
        <f t="shared" si="261"/>
        <v/>
      </c>
      <c r="C3389" t="str">
        <f t="shared" si="262"/>
        <v/>
      </c>
      <c r="D3389" t="str">
        <f>IF(E3389="","",IF(COUNTIF($E$2:E3389,E3389)&gt;1,"",SUMIFS(tbl_input[필요수량],tbl_input[집계키_지청],E3389)))</f>
        <v/>
      </c>
      <c r="E3389" t="str">
        <f>IFERROR(INDEX(tbl_input[집계키_지청],ROW()-1),"")</f>
        <v/>
      </c>
      <c r="F3389" t="str">
        <f t="shared" si="263"/>
        <v/>
      </c>
      <c r="G3389" t="str">
        <f t="shared" si="264"/>
        <v/>
      </c>
    </row>
    <row r="3390" spans="1:7" x14ac:dyDescent="0.4">
      <c r="A3390" t="str">
        <f t="shared" si="260"/>
        <v/>
      </c>
      <c r="B3390" t="str">
        <f t="shared" si="261"/>
        <v/>
      </c>
      <c r="C3390" t="str">
        <f t="shared" si="262"/>
        <v/>
      </c>
      <c r="D3390" t="str">
        <f>IF(E3390="","",IF(COUNTIF($E$2:E3390,E3390)&gt;1,"",SUMIFS(tbl_input[필요수량],tbl_input[집계키_지청],E3390)))</f>
        <v/>
      </c>
      <c r="E3390" t="str">
        <f>IFERROR(INDEX(tbl_input[집계키_지청],ROW()-1),"")</f>
        <v/>
      </c>
      <c r="F3390" t="str">
        <f t="shared" si="263"/>
        <v/>
      </c>
      <c r="G3390" t="str">
        <f t="shared" si="264"/>
        <v/>
      </c>
    </row>
    <row r="3391" spans="1:7" x14ac:dyDescent="0.4">
      <c r="A3391" t="str">
        <f t="shared" si="260"/>
        <v/>
      </c>
      <c r="B3391" t="str">
        <f t="shared" si="261"/>
        <v/>
      </c>
      <c r="C3391" t="str">
        <f t="shared" si="262"/>
        <v/>
      </c>
      <c r="D3391" t="str">
        <f>IF(E3391="","",IF(COUNTIF($E$2:E3391,E3391)&gt;1,"",SUMIFS(tbl_input[필요수량],tbl_input[집계키_지청],E3391)))</f>
        <v/>
      </c>
      <c r="E3391" t="str">
        <f>IFERROR(INDEX(tbl_input[집계키_지청],ROW()-1),"")</f>
        <v/>
      </c>
      <c r="F3391" t="str">
        <f t="shared" si="263"/>
        <v/>
      </c>
      <c r="G3391" t="str">
        <f t="shared" si="264"/>
        <v/>
      </c>
    </row>
    <row r="3392" spans="1:7" x14ac:dyDescent="0.4">
      <c r="A3392" t="str">
        <f t="shared" si="260"/>
        <v/>
      </c>
      <c r="B3392" t="str">
        <f t="shared" si="261"/>
        <v/>
      </c>
      <c r="C3392" t="str">
        <f t="shared" si="262"/>
        <v/>
      </c>
      <c r="D3392" t="str">
        <f>IF(E3392="","",IF(COUNTIF($E$2:E3392,E3392)&gt;1,"",SUMIFS(tbl_input[필요수량],tbl_input[집계키_지청],E3392)))</f>
        <v/>
      </c>
      <c r="E3392" t="str">
        <f>IFERROR(INDEX(tbl_input[집계키_지청],ROW()-1),"")</f>
        <v/>
      </c>
      <c r="F3392" t="str">
        <f t="shared" si="263"/>
        <v/>
      </c>
      <c r="G3392" t="str">
        <f t="shared" si="264"/>
        <v/>
      </c>
    </row>
    <row r="3393" spans="1:7" x14ac:dyDescent="0.4">
      <c r="A3393" t="str">
        <f t="shared" si="260"/>
        <v/>
      </c>
      <c r="B3393" t="str">
        <f t="shared" si="261"/>
        <v/>
      </c>
      <c r="C3393" t="str">
        <f t="shared" si="262"/>
        <v/>
      </c>
      <c r="D3393" t="str">
        <f>IF(E3393="","",IF(COUNTIF($E$2:E3393,E3393)&gt;1,"",SUMIFS(tbl_input[필요수량],tbl_input[집계키_지청],E3393)))</f>
        <v/>
      </c>
      <c r="E3393" t="str">
        <f>IFERROR(INDEX(tbl_input[집계키_지청],ROW()-1),"")</f>
        <v/>
      </c>
      <c r="F3393" t="str">
        <f t="shared" si="263"/>
        <v/>
      </c>
      <c r="G3393" t="str">
        <f t="shared" si="264"/>
        <v/>
      </c>
    </row>
    <row r="3394" spans="1:7" x14ac:dyDescent="0.4">
      <c r="A3394" t="str">
        <f t="shared" ref="A3394:A3457" si="265">IF(E3394="","",LEFT(E3394,F3394-1))</f>
        <v/>
      </c>
      <c r="B3394" t="str">
        <f t="shared" ref="B3394:B3457" si="266">IF(E3394="","",MID(E3394,F3394+1,G3394-F3394-1))</f>
        <v/>
      </c>
      <c r="C3394" t="str">
        <f t="shared" ref="C3394:C3457" si="267">IF(E3394="","",MID(E3394,G3394+1,999))</f>
        <v/>
      </c>
      <c r="D3394" t="str">
        <f>IF(E3394="","",IF(COUNTIF($E$2:E3394,E3394)&gt;1,"",SUMIFS(tbl_input[필요수량],tbl_input[집계키_지청],E3394)))</f>
        <v/>
      </c>
      <c r="E3394" t="str">
        <f>IFERROR(INDEX(tbl_input[집계키_지청],ROW()-1),"")</f>
        <v/>
      </c>
      <c r="F3394" t="str">
        <f t="shared" ref="F3394:F3457" si="268">IF(E3394="","",FIND("♦",E3394))</f>
        <v/>
      </c>
      <c r="G3394" t="str">
        <f t="shared" ref="G3394:G3457" si="269">IF(E3394="","",FIND("♦",E3394,F3394+1))</f>
        <v/>
      </c>
    </row>
    <row r="3395" spans="1:7" x14ac:dyDescent="0.4">
      <c r="A3395" t="str">
        <f t="shared" si="265"/>
        <v/>
      </c>
      <c r="B3395" t="str">
        <f t="shared" si="266"/>
        <v/>
      </c>
      <c r="C3395" t="str">
        <f t="shared" si="267"/>
        <v/>
      </c>
      <c r="D3395" t="str">
        <f>IF(E3395="","",IF(COUNTIF($E$2:E3395,E3395)&gt;1,"",SUMIFS(tbl_input[필요수량],tbl_input[집계키_지청],E3395)))</f>
        <v/>
      </c>
      <c r="E3395" t="str">
        <f>IFERROR(INDEX(tbl_input[집계키_지청],ROW()-1),"")</f>
        <v/>
      </c>
      <c r="F3395" t="str">
        <f t="shared" si="268"/>
        <v/>
      </c>
      <c r="G3395" t="str">
        <f t="shared" si="269"/>
        <v/>
      </c>
    </row>
    <row r="3396" spans="1:7" x14ac:dyDescent="0.4">
      <c r="A3396" t="str">
        <f t="shared" si="265"/>
        <v/>
      </c>
      <c r="B3396" t="str">
        <f t="shared" si="266"/>
        <v/>
      </c>
      <c r="C3396" t="str">
        <f t="shared" si="267"/>
        <v/>
      </c>
      <c r="D3396" t="str">
        <f>IF(E3396="","",IF(COUNTIF($E$2:E3396,E3396)&gt;1,"",SUMIFS(tbl_input[필요수량],tbl_input[집계키_지청],E3396)))</f>
        <v/>
      </c>
      <c r="E3396" t="str">
        <f>IFERROR(INDEX(tbl_input[집계키_지청],ROW()-1),"")</f>
        <v/>
      </c>
      <c r="F3396" t="str">
        <f t="shared" si="268"/>
        <v/>
      </c>
      <c r="G3396" t="str">
        <f t="shared" si="269"/>
        <v/>
      </c>
    </row>
    <row r="3397" spans="1:7" x14ac:dyDescent="0.4">
      <c r="A3397" t="str">
        <f t="shared" si="265"/>
        <v/>
      </c>
      <c r="B3397" t="str">
        <f t="shared" si="266"/>
        <v/>
      </c>
      <c r="C3397" t="str">
        <f t="shared" si="267"/>
        <v/>
      </c>
      <c r="D3397" t="str">
        <f>IF(E3397="","",IF(COUNTIF($E$2:E3397,E3397)&gt;1,"",SUMIFS(tbl_input[필요수량],tbl_input[집계키_지청],E3397)))</f>
        <v/>
      </c>
      <c r="E3397" t="str">
        <f>IFERROR(INDEX(tbl_input[집계키_지청],ROW()-1),"")</f>
        <v/>
      </c>
      <c r="F3397" t="str">
        <f t="shared" si="268"/>
        <v/>
      </c>
      <c r="G3397" t="str">
        <f t="shared" si="269"/>
        <v/>
      </c>
    </row>
    <row r="3398" spans="1:7" x14ac:dyDescent="0.4">
      <c r="A3398" t="str">
        <f t="shared" si="265"/>
        <v/>
      </c>
      <c r="B3398" t="str">
        <f t="shared" si="266"/>
        <v/>
      </c>
      <c r="C3398" t="str">
        <f t="shared" si="267"/>
        <v/>
      </c>
      <c r="D3398" t="str">
        <f>IF(E3398="","",IF(COUNTIF($E$2:E3398,E3398)&gt;1,"",SUMIFS(tbl_input[필요수량],tbl_input[집계키_지청],E3398)))</f>
        <v/>
      </c>
      <c r="E3398" t="str">
        <f>IFERROR(INDEX(tbl_input[집계키_지청],ROW()-1),"")</f>
        <v/>
      </c>
      <c r="F3398" t="str">
        <f t="shared" si="268"/>
        <v/>
      </c>
      <c r="G3398" t="str">
        <f t="shared" si="269"/>
        <v/>
      </c>
    </row>
    <row r="3399" spans="1:7" x14ac:dyDescent="0.4">
      <c r="A3399" t="str">
        <f t="shared" si="265"/>
        <v/>
      </c>
      <c r="B3399" t="str">
        <f t="shared" si="266"/>
        <v/>
      </c>
      <c r="C3399" t="str">
        <f t="shared" si="267"/>
        <v/>
      </c>
      <c r="D3399" t="str">
        <f>IF(E3399="","",IF(COUNTIF($E$2:E3399,E3399)&gt;1,"",SUMIFS(tbl_input[필요수량],tbl_input[집계키_지청],E3399)))</f>
        <v/>
      </c>
      <c r="E3399" t="str">
        <f>IFERROR(INDEX(tbl_input[집계키_지청],ROW()-1),"")</f>
        <v/>
      </c>
      <c r="F3399" t="str">
        <f t="shared" si="268"/>
        <v/>
      </c>
      <c r="G3399" t="str">
        <f t="shared" si="269"/>
        <v/>
      </c>
    </row>
    <row r="3400" spans="1:7" x14ac:dyDescent="0.4">
      <c r="A3400" t="str">
        <f t="shared" si="265"/>
        <v/>
      </c>
      <c r="B3400" t="str">
        <f t="shared" si="266"/>
        <v/>
      </c>
      <c r="C3400" t="str">
        <f t="shared" si="267"/>
        <v/>
      </c>
      <c r="D3400" t="str">
        <f>IF(E3400="","",IF(COUNTIF($E$2:E3400,E3400)&gt;1,"",SUMIFS(tbl_input[필요수량],tbl_input[집계키_지청],E3400)))</f>
        <v/>
      </c>
      <c r="E3400" t="str">
        <f>IFERROR(INDEX(tbl_input[집계키_지청],ROW()-1),"")</f>
        <v/>
      </c>
      <c r="F3400" t="str">
        <f t="shared" si="268"/>
        <v/>
      </c>
      <c r="G3400" t="str">
        <f t="shared" si="269"/>
        <v/>
      </c>
    </row>
    <row r="3401" spans="1:7" x14ac:dyDescent="0.4">
      <c r="A3401" t="str">
        <f t="shared" si="265"/>
        <v/>
      </c>
      <c r="B3401" t="str">
        <f t="shared" si="266"/>
        <v/>
      </c>
      <c r="C3401" t="str">
        <f t="shared" si="267"/>
        <v/>
      </c>
      <c r="D3401" t="str">
        <f>IF(E3401="","",IF(COUNTIF($E$2:E3401,E3401)&gt;1,"",SUMIFS(tbl_input[필요수량],tbl_input[집계키_지청],E3401)))</f>
        <v/>
      </c>
      <c r="E3401" t="str">
        <f>IFERROR(INDEX(tbl_input[집계키_지청],ROW()-1),"")</f>
        <v/>
      </c>
      <c r="F3401" t="str">
        <f t="shared" si="268"/>
        <v/>
      </c>
      <c r="G3401" t="str">
        <f t="shared" si="269"/>
        <v/>
      </c>
    </row>
    <row r="3402" spans="1:7" x14ac:dyDescent="0.4">
      <c r="A3402" t="str">
        <f t="shared" si="265"/>
        <v/>
      </c>
      <c r="B3402" t="str">
        <f t="shared" si="266"/>
        <v/>
      </c>
      <c r="C3402" t="str">
        <f t="shared" si="267"/>
        <v/>
      </c>
      <c r="D3402" t="str">
        <f>IF(E3402="","",IF(COUNTIF($E$2:E3402,E3402)&gt;1,"",SUMIFS(tbl_input[필요수량],tbl_input[집계키_지청],E3402)))</f>
        <v/>
      </c>
      <c r="E3402" t="str">
        <f>IFERROR(INDEX(tbl_input[집계키_지청],ROW()-1),"")</f>
        <v/>
      </c>
      <c r="F3402" t="str">
        <f t="shared" si="268"/>
        <v/>
      </c>
      <c r="G3402" t="str">
        <f t="shared" si="269"/>
        <v/>
      </c>
    </row>
    <row r="3403" spans="1:7" x14ac:dyDescent="0.4">
      <c r="A3403" t="str">
        <f t="shared" si="265"/>
        <v/>
      </c>
      <c r="B3403" t="str">
        <f t="shared" si="266"/>
        <v/>
      </c>
      <c r="C3403" t="str">
        <f t="shared" si="267"/>
        <v/>
      </c>
      <c r="D3403" t="str">
        <f>IF(E3403="","",IF(COUNTIF($E$2:E3403,E3403)&gt;1,"",SUMIFS(tbl_input[필요수량],tbl_input[집계키_지청],E3403)))</f>
        <v/>
      </c>
      <c r="E3403" t="str">
        <f>IFERROR(INDEX(tbl_input[집계키_지청],ROW()-1),"")</f>
        <v/>
      </c>
      <c r="F3403" t="str">
        <f t="shared" si="268"/>
        <v/>
      </c>
      <c r="G3403" t="str">
        <f t="shared" si="269"/>
        <v/>
      </c>
    </row>
    <row r="3404" spans="1:7" x14ac:dyDescent="0.4">
      <c r="A3404" t="str">
        <f t="shared" si="265"/>
        <v/>
      </c>
      <c r="B3404" t="str">
        <f t="shared" si="266"/>
        <v/>
      </c>
      <c r="C3404" t="str">
        <f t="shared" si="267"/>
        <v/>
      </c>
      <c r="D3404" t="str">
        <f>IF(E3404="","",IF(COUNTIF($E$2:E3404,E3404)&gt;1,"",SUMIFS(tbl_input[필요수량],tbl_input[집계키_지청],E3404)))</f>
        <v/>
      </c>
      <c r="E3404" t="str">
        <f>IFERROR(INDEX(tbl_input[집계키_지청],ROW()-1),"")</f>
        <v/>
      </c>
      <c r="F3404" t="str">
        <f t="shared" si="268"/>
        <v/>
      </c>
      <c r="G3404" t="str">
        <f t="shared" si="269"/>
        <v/>
      </c>
    </row>
    <row r="3405" spans="1:7" x14ac:dyDescent="0.4">
      <c r="A3405" t="str">
        <f t="shared" si="265"/>
        <v/>
      </c>
      <c r="B3405" t="str">
        <f t="shared" si="266"/>
        <v/>
      </c>
      <c r="C3405" t="str">
        <f t="shared" si="267"/>
        <v/>
      </c>
      <c r="D3405" t="str">
        <f>IF(E3405="","",IF(COUNTIF($E$2:E3405,E3405)&gt;1,"",SUMIFS(tbl_input[필요수량],tbl_input[집계키_지청],E3405)))</f>
        <v/>
      </c>
      <c r="E3405" t="str">
        <f>IFERROR(INDEX(tbl_input[집계키_지청],ROW()-1),"")</f>
        <v/>
      </c>
      <c r="F3405" t="str">
        <f t="shared" si="268"/>
        <v/>
      </c>
      <c r="G3405" t="str">
        <f t="shared" si="269"/>
        <v/>
      </c>
    </row>
    <row r="3406" spans="1:7" x14ac:dyDescent="0.4">
      <c r="A3406" t="str">
        <f t="shared" si="265"/>
        <v/>
      </c>
      <c r="B3406" t="str">
        <f t="shared" si="266"/>
        <v/>
      </c>
      <c r="C3406" t="str">
        <f t="shared" si="267"/>
        <v/>
      </c>
      <c r="D3406" t="str">
        <f>IF(E3406="","",IF(COUNTIF($E$2:E3406,E3406)&gt;1,"",SUMIFS(tbl_input[필요수량],tbl_input[집계키_지청],E3406)))</f>
        <v/>
      </c>
      <c r="E3406" t="str">
        <f>IFERROR(INDEX(tbl_input[집계키_지청],ROW()-1),"")</f>
        <v/>
      </c>
      <c r="F3406" t="str">
        <f t="shared" si="268"/>
        <v/>
      </c>
      <c r="G3406" t="str">
        <f t="shared" si="269"/>
        <v/>
      </c>
    </row>
    <row r="3407" spans="1:7" x14ac:dyDescent="0.4">
      <c r="A3407" t="str">
        <f t="shared" si="265"/>
        <v/>
      </c>
      <c r="B3407" t="str">
        <f t="shared" si="266"/>
        <v/>
      </c>
      <c r="C3407" t="str">
        <f t="shared" si="267"/>
        <v/>
      </c>
      <c r="D3407" t="str">
        <f>IF(E3407="","",IF(COUNTIF($E$2:E3407,E3407)&gt;1,"",SUMIFS(tbl_input[필요수량],tbl_input[집계키_지청],E3407)))</f>
        <v/>
      </c>
      <c r="E3407" t="str">
        <f>IFERROR(INDEX(tbl_input[집계키_지청],ROW()-1),"")</f>
        <v/>
      </c>
      <c r="F3407" t="str">
        <f t="shared" si="268"/>
        <v/>
      </c>
      <c r="G3407" t="str">
        <f t="shared" si="269"/>
        <v/>
      </c>
    </row>
    <row r="3408" spans="1:7" x14ac:dyDescent="0.4">
      <c r="A3408" t="str">
        <f t="shared" si="265"/>
        <v/>
      </c>
      <c r="B3408" t="str">
        <f t="shared" si="266"/>
        <v/>
      </c>
      <c r="C3408" t="str">
        <f t="shared" si="267"/>
        <v/>
      </c>
      <c r="D3408" t="str">
        <f>IF(E3408="","",IF(COUNTIF($E$2:E3408,E3408)&gt;1,"",SUMIFS(tbl_input[필요수량],tbl_input[집계키_지청],E3408)))</f>
        <v/>
      </c>
      <c r="E3408" t="str">
        <f>IFERROR(INDEX(tbl_input[집계키_지청],ROW()-1),"")</f>
        <v/>
      </c>
      <c r="F3408" t="str">
        <f t="shared" si="268"/>
        <v/>
      </c>
      <c r="G3408" t="str">
        <f t="shared" si="269"/>
        <v/>
      </c>
    </row>
    <row r="3409" spans="1:7" x14ac:dyDescent="0.4">
      <c r="A3409" t="str">
        <f t="shared" si="265"/>
        <v/>
      </c>
      <c r="B3409" t="str">
        <f t="shared" si="266"/>
        <v/>
      </c>
      <c r="C3409" t="str">
        <f t="shared" si="267"/>
        <v/>
      </c>
      <c r="D3409" t="str">
        <f>IF(E3409="","",IF(COUNTIF($E$2:E3409,E3409)&gt;1,"",SUMIFS(tbl_input[필요수량],tbl_input[집계키_지청],E3409)))</f>
        <v/>
      </c>
      <c r="E3409" t="str">
        <f>IFERROR(INDEX(tbl_input[집계키_지청],ROW()-1),"")</f>
        <v/>
      </c>
      <c r="F3409" t="str">
        <f t="shared" si="268"/>
        <v/>
      </c>
      <c r="G3409" t="str">
        <f t="shared" si="269"/>
        <v/>
      </c>
    </row>
    <row r="3410" spans="1:7" x14ac:dyDescent="0.4">
      <c r="A3410" t="str">
        <f t="shared" si="265"/>
        <v/>
      </c>
      <c r="B3410" t="str">
        <f t="shared" si="266"/>
        <v/>
      </c>
      <c r="C3410" t="str">
        <f t="shared" si="267"/>
        <v/>
      </c>
      <c r="D3410" t="str">
        <f>IF(E3410="","",IF(COUNTIF($E$2:E3410,E3410)&gt;1,"",SUMIFS(tbl_input[필요수량],tbl_input[집계키_지청],E3410)))</f>
        <v/>
      </c>
      <c r="E3410" t="str">
        <f>IFERROR(INDEX(tbl_input[집계키_지청],ROW()-1),"")</f>
        <v/>
      </c>
      <c r="F3410" t="str">
        <f t="shared" si="268"/>
        <v/>
      </c>
      <c r="G3410" t="str">
        <f t="shared" si="269"/>
        <v/>
      </c>
    </row>
    <row r="3411" spans="1:7" x14ac:dyDescent="0.4">
      <c r="A3411" t="str">
        <f t="shared" si="265"/>
        <v/>
      </c>
      <c r="B3411" t="str">
        <f t="shared" si="266"/>
        <v/>
      </c>
      <c r="C3411" t="str">
        <f t="shared" si="267"/>
        <v/>
      </c>
      <c r="D3411" t="str">
        <f>IF(E3411="","",IF(COUNTIF($E$2:E3411,E3411)&gt;1,"",SUMIFS(tbl_input[필요수량],tbl_input[집계키_지청],E3411)))</f>
        <v/>
      </c>
      <c r="E3411" t="str">
        <f>IFERROR(INDEX(tbl_input[집계키_지청],ROW()-1),"")</f>
        <v/>
      </c>
      <c r="F3411" t="str">
        <f t="shared" si="268"/>
        <v/>
      </c>
      <c r="G3411" t="str">
        <f t="shared" si="269"/>
        <v/>
      </c>
    </row>
    <row r="3412" spans="1:7" x14ac:dyDescent="0.4">
      <c r="A3412" t="str">
        <f t="shared" si="265"/>
        <v/>
      </c>
      <c r="B3412" t="str">
        <f t="shared" si="266"/>
        <v/>
      </c>
      <c r="C3412" t="str">
        <f t="shared" si="267"/>
        <v/>
      </c>
      <c r="D3412" t="str">
        <f>IF(E3412="","",IF(COUNTIF($E$2:E3412,E3412)&gt;1,"",SUMIFS(tbl_input[필요수량],tbl_input[집계키_지청],E3412)))</f>
        <v/>
      </c>
      <c r="E3412" t="str">
        <f>IFERROR(INDEX(tbl_input[집계키_지청],ROW()-1),"")</f>
        <v/>
      </c>
      <c r="F3412" t="str">
        <f t="shared" si="268"/>
        <v/>
      </c>
      <c r="G3412" t="str">
        <f t="shared" si="269"/>
        <v/>
      </c>
    </row>
    <row r="3413" spans="1:7" x14ac:dyDescent="0.4">
      <c r="A3413" t="str">
        <f t="shared" si="265"/>
        <v/>
      </c>
      <c r="B3413" t="str">
        <f t="shared" si="266"/>
        <v/>
      </c>
      <c r="C3413" t="str">
        <f t="shared" si="267"/>
        <v/>
      </c>
      <c r="D3413" t="str">
        <f>IF(E3413="","",IF(COUNTIF($E$2:E3413,E3413)&gt;1,"",SUMIFS(tbl_input[필요수량],tbl_input[집계키_지청],E3413)))</f>
        <v/>
      </c>
      <c r="E3413" t="str">
        <f>IFERROR(INDEX(tbl_input[집계키_지청],ROW()-1),"")</f>
        <v/>
      </c>
      <c r="F3413" t="str">
        <f t="shared" si="268"/>
        <v/>
      </c>
      <c r="G3413" t="str">
        <f t="shared" si="269"/>
        <v/>
      </c>
    </row>
    <row r="3414" spans="1:7" x14ac:dyDescent="0.4">
      <c r="A3414" t="str">
        <f t="shared" si="265"/>
        <v/>
      </c>
      <c r="B3414" t="str">
        <f t="shared" si="266"/>
        <v/>
      </c>
      <c r="C3414" t="str">
        <f t="shared" si="267"/>
        <v/>
      </c>
      <c r="D3414" t="str">
        <f>IF(E3414="","",IF(COUNTIF($E$2:E3414,E3414)&gt;1,"",SUMIFS(tbl_input[필요수량],tbl_input[집계키_지청],E3414)))</f>
        <v/>
      </c>
      <c r="E3414" t="str">
        <f>IFERROR(INDEX(tbl_input[집계키_지청],ROW()-1),"")</f>
        <v/>
      </c>
      <c r="F3414" t="str">
        <f t="shared" si="268"/>
        <v/>
      </c>
      <c r="G3414" t="str">
        <f t="shared" si="269"/>
        <v/>
      </c>
    </row>
    <row r="3415" spans="1:7" x14ac:dyDescent="0.4">
      <c r="A3415" t="str">
        <f t="shared" si="265"/>
        <v/>
      </c>
      <c r="B3415" t="str">
        <f t="shared" si="266"/>
        <v/>
      </c>
      <c r="C3415" t="str">
        <f t="shared" si="267"/>
        <v/>
      </c>
      <c r="D3415" t="str">
        <f>IF(E3415="","",IF(COUNTIF($E$2:E3415,E3415)&gt;1,"",SUMIFS(tbl_input[필요수량],tbl_input[집계키_지청],E3415)))</f>
        <v/>
      </c>
      <c r="E3415" t="str">
        <f>IFERROR(INDEX(tbl_input[집계키_지청],ROW()-1),"")</f>
        <v/>
      </c>
      <c r="F3415" t="str">
        <f t="shared" si="268"/>
        <v/>
      </c>
      <c r="G3415" t="str">
        <f t="shared" si="269"/>
        <v/>
      </c>
    </row>
    <row r="3416" spans="1:7" x14ac:dyDescent="0.4">
      <c r="A3416" t="str">
        <f t="shared" si="265"/>
        <v/>
      </c>
      <c r="B3416" t="str">
        <f t="shared" si="266"/>
        <v/>
      </c>
      <c r="C3416" t="str">
        <f t="shared" si="267"/>
        <v/>
      </c>
      <c r="D3416" t="str">
        <f>IF(E3416="","",IF(COUNTIF($E$2:E3416,E3416)&gt;1,"",SUMIFS(tbl_input[필요수량],tbl_input[집계키_지청],E3416)))</f>
        <v/>
      </c>
      <c r="E3416" t="str">
        <f>IFERROR(INDEX(tbl_input[집계키_지청],ROW()-1),"")</f>
        <v/>
      </c>
      <c r="F3416" t="str">
        <f t="shared" si="268"/>
        <v/>
      </c>
      <c r="G3416" t="str">
        <f t="shared" si="269"/>
        <v/>
      </c>
    </row>
    <row r="3417" spans="1:7" x14ac:dyDescent="0.4">
      <c r="A3417" t="str">
        <f t="shared" si="265"/>
        <v/>
      </c>
      <c r="B3417" t="str">
        <f t="shared" si="266"/>
        <v/>
      </c>
      <c r="C3417" t="str">
        <f t="shared" si="267"/>
        <v/>
      </c>
      <c r="D3417" t="str">
        <f>IF(E3417="","",IF(COUNTIF($E$2:E3417,E3417)&gt;1,"",SUMIFS(tbl_input[필요수량],tbl_input[집계키_지청],E3417)))</f>
        <v/>
      </c>
      <c r="E3417" t="str">
        <f>IFERROR(INDEX(tbl_input[집계키_지청],ROW()-1),"")</f>
        <v/>
      </c>
      <c r="F3417" t="str">
        <f t="shared" si="268"/>
        <v/>
      </c>
      <c r="G3417" t="str">
        <f t="shared" si="269"/>
        <v/>
      </c>
    </row>
    <row r="3418" spans="1:7" x14ac:dyDescent="0.4">
      <c r="A3418" t="str">
        <f t="shared" si="265"/>
        <v/>
      </c>
      <c r="B3418" t="str">
        <f t="shared" si="266"/>
        <v/>
      </c>
      <c r="C3418" t="str">
        <f t="shared" si="267"/>
        <v/>
      </c>
      <c r="D3418" t="str">
        <f>IF(E3418="","",IF(COUNTIF($E$2:E3418,E3418)&gt;1,"",SUMIFS(tbl_input[필요수량],tbl_input[집계키_지청],E3418)))</f>
        <v/>
      </c>
      <c r="E3418" t="str">
        <f>IFERROR(INDEX(tbl_input[집계키_지청],ROW()-1),"")</f>
        <v/>
      </c>
      <c r="F3418" t="str">
        <f t="shared" si="268"/>
        <v/>
      </c>
      <c r="G3418" t="str">
        <f t="shared" si="269"/>
        <v/>
      </c>
    </row>
    <row r="3419" spans="1:7" x14ac:dyDescent="0.4">
      <c r="A3419" t="str">
        <f t="shared" si="265"/>
        <v/>
      </c>
      <c r="B3419" t="str">
        <f t="shared" si="266"/>
        <v/>
      </c>
      <c r="C3419" t="str">
        <f t="shared" si="267"/>
        <v/>
      </c>
      <c r="D3419" t="str">
        <f>IF(E3419="","",IF(COUNTIF($E$2:E3419,E3419)&gt;1,"",SUMIFS(tbl_input[필요수량],tbl_input[집계키_지청],E3419)))</f>
        <v/>
      </c>
      <c r="E3419" t="str">
        <f>IFERROR(INDEX(tbl_input[집계키_지청],ROW()-1),"")</f>
        <v/>
      </c>
      <c r="F3419" t="str">
        <f t="shared" si="268"/>
        <v/>
      </c>
      <c r="G3419" t="str">
        <f t="shared" si="269"/>
        <v/>
      </c>
    </row>
    <row r="3420" spans="1:7" x14ac:dyDescent="0.4">
      <c r="A3420" t="str">
        <f t="shared" si="265"/>
        <v/>
      </c>
      <c r="B3420" t="str">
        <f t="shared" si="266"/>
        <v/>
      </c>
      <c r="C3420" t="str">
        <f t="shared" si="267"/>
        <v/>
      </c>
      <c r="D3420" t="str">
        <f>IF(E3420="","",IF(COUNTIF($E$2:E3420,E3420)&gt;1,"",SUMIFS(tbl_input[필요수량],tbl_input[집계키_지청],E3420)))</f>
        <v/>
      </c>
      <c r="E3420" t="str">
        <f>IFERROR(INDEX(tbl_input[집계키_지청],ROW()-1),"")</f>
        <v/>
      </c>
      <c r="F3420" t="str">
        <f t="shared" si="268"/>
        <v/>
      </c>
      <c r="G3420" t="str">
        <f t="shared" si="269"/>
        <v/>
      </c>
    </row>
    <row r="3421" spans="1:7" x14ac:dyDescent="0.4">
      <c r="A3421" t="str">
        <f t="shared" si="265"/>
        <v/>
      </c>
      <c r="B3421" t="str">
        <f t="shared" si="266"/>
        <v/>
      </c>
      <c r="C3421" t="str">
        <f t="shared" si="267"/>
        <v/>
      </c>
      <c r="D3421" t="str">
        <f>IF(E3421="","",IF(COUNTIF($E$2:E3421,E3421)&gt;1,"",SUMIFS(tbl_input[필요수량],tbl_input[집계키_지청],E3421)))</f>
        <v/>
      </c>
      <c r="E3421" t="str">
        <f>IFERROR(INDEX(tbl_input[집계키_지청],ROW()-1),"")</f>
        <v/>
      </c>
      <c r="F3421" t="str">
        <f t="shared" si="268"/>
        <v/>
      </c>
      <c r="G3421" t="str">
        <f t="shared" si="269"/>
        <v/>
      </c>
    </row>
    <row r="3422" spans="1:7" x14ac:dyDescent="0.4">
      <c r="A3422" t="str">
        <f t="shared" si="265"/>
        <v/>
      </c>
      <c r="B3422" t="str">
        <f t="shared" si="266"/>
        <v/>
      </c>
      <c r="C3422" t="str">
        <f t="shared" si="267"/>
        <v/>
      </c>
      <c r="D3422" t="str">
        <f>IF(E3422="","",IF(COUNTIF($E$2:E3422,E3422)&gt;1,"",SUMIFS(tbl_input[필요수량],tbl_input[집계키_지청],E3422)))</f>
        <v/>
      </c>
      <c r="E3422" t="str">
        <f>IFERROR(INDEX(tbl_input[집계키_지청],ROW()-1),"")</f>
        <v/>
      </c>
      <c r="F3422" t="str">
        <f t="shared" si="268"/>
        <v/>
      </c>
      <c r="G3422" t="str">
        <f t="shared" si="269"/>
        <v/>
      </c>
    </row>
    <row r="3423" spans="1:7" x14ac:dyDescent="0.4">
      <c r="A3423" t="str">
        <f t="shared" si="265"/>
        <v/>
      </c>
      <c r="B3423" t="str">
        <f t="shared" si="266"/>
        <v/>
      </c>
      <c r="C3423" t="str">
        <f t="shared" si="267"/>
        <v/>
      </c>
      <c r="D3423" t="str">
        <f>IF(E3423="","",IF(COUNTIF($E$2:E3423,E3423)&gt;1,"",SUMIFS(tbl_input[필요수량],tbl_input[집계키_지청],E3423)))</f>
        <v/>
      </c>
      <c r="E3423" t="str">
        <f>IFERROR(INDEX(tbl_input[집계키_지청],ROW()-1),"")</f>
        <v/>
      </c>
      <c r="F3423" t="str">
        <f t="shared" si="268"/>
        <v/>
      </c>
      <c r="G3423" t="str">
        <f t="shared" si="269"/>
        <v/>
      </c>
    </row>
    <row r="3424" spans="1:7" x14ac:dyDescent="0.4">
      <c r="A3424" t="str">
        <f t="shared" si="265"/>
        <v/>
      </c>
      <c r="B3424" t="str">
        <f t="shared" si="266"/>
        <v/>
      </c>
      <c r="C3424" t="str">
        <f t="shared" si="267"/>
        <v/>
      </c>
      <c r="D3424" t="str">
        <f>IF(E3424="","",IF(COUNTIF($E$2:E3424,E3424)&gt;1,"",SUMIFS(tbl_input[필요수량],tbl_input[집계키_지청],E3424)))</f>
        <v/>
      </c>
      <c r="E3424" t="str">
        <f>IFERROR(INDEX(tbl_input[집계키_지청],ROW()-1),"")</f>
        <v/>
      </c>
      <c r="F3424" t="str">
        <f t="shared" si="268"/>
        <v/>
      </c>
      <c r="G3424" t="str">
        <f t="shared" si="269"/>
        <v/>
      </c>
    </row>
    <row r="3425" spans="1:7" x14ac:dyDescent="0.4">
      <c r="A3425" t="str">
        <f t="shared" si="265"/>
        <v/>
      </c>
      <c r="B3425" t="str">
        <f t="shared" si="266"/>
        <v/>
      </c>
      <c r="C3425" t="str">
        <f t="shared" si="267"/>
        <v/>
      </c>
      <c r="D3425" t="str">
        <f>IF(E3425="","",IF(COUNTIF($E$2:E3425,E3425)&gt;1,"",SUMIFS(tbl_input[필요수량],tbl_input[집계키_지청],E3425)))</f>
        <v/>
      </c>
      <c r="E3425" t="str">
        <f>IFERROR(INDEX(tbl_input[집계키_지청],ROW()-1),"")</f>
        <v/>
      </c>
      <c r="F3425" t="str">
        <f t="shared" si="268"/>
        <v/>
      </c>
      <c r="G3425" t="str">
        <f t="shared" si="269"/>
        <v/>
      </c>
    </row>
    <row r="3426" spans="1:7" x14ac:dyDescent="0.4">
      <c r="A3426" t="str">
        <f t="shared" si="265"/>
        <v/>
      </c>
      <c r="B3426" t="str">
        <f t="shared" si="266"/>
        <v/>
      </c>
      <c r="C3426" t="str">
        <f t="shared" si="267"/>
        <v/>
      </c>
      <c r="D3426" t="str">
        <f>IF(E3426="","",IF(COUNTIF($E$2:E3426,E3426)&gt;1,"",SUMIFS(tbl_input[필요수량],tbl_input[집계키_지청],E3426)))</f>
        <v/>
      </c>
      <c r="E3426" t="str">
        <f>IFERROR(INDEX(tbl_input[집계키_지청],ROW()-1),"")</f>
        <v/>
      </c>
      <c r="F3426" t="str">
        <f t="shared" si="268"/>
        <v/>
      </c>
      <c r="G3426" t="str">
        <f t="shared" si="269"/>
        <v/>
      </c>
    </row>
    <row r="3427" spans="1:7" x14ac:dyDescent="0.4">
      <c r="A3427" t="str">
        <f t="shared" si="265"/>
        <v/>
      </c>
      <c r="B3427" t="str">
        <f t="shared" si="266"/>
        <v/>
      </c>
      <c r="C3427" t="str">
        <f t="shared" si="267"/>
        <v/>
      </c>
      <c r="D3427" t="str">
        <f>IF(E3427="","",IF(COUNTIF($E$2:E3427,E3427)&gt;1,"",SUMIFS(tbl_input[필요수량],tbl_input[집계키_지청],E3427)))</f>
        <v/>
      </c>
      <c r="E3427" t="str">
        <f>IFERROR(INDEX(tbl_input[집계키_지청],ROW()-1),"")</f>
        <v/>
      </c>
      <c r="F3427" t="str">
        <f t="shared" si="268"/>
        <v/>
      </c>
      <c r="G3427" t="str">
        <f t="shared" si="269"/>
        <v/>
      </c>
    </row>
    <row r="3428" spans="1:7" x14ac:dyDescent="0.4">
      <c r="A3428" t="str">
        <f t="shared" si="265"/>
        <v/>
      </c>
      <c r="B3428" t="str">
        <f t="shared" si="266"/>
        <v/>
      </c>
      <c r="C3428" t="str">
        <f t="shared" si="267"/>
        <v/>
      </c>
      <c r="D3428" t="str">
        <f>IF(E3428="","",IF(COUNTIF($E$2:E3428,E3428)&gt;1,"",SUMIFS(tbl_input[필요수량],tbl_input[집계키_지청],E3428)))</f>
        <v/>
      </c>
      <c r="E3428" t="str">
        <f>IFERROR(INDEX(tbl_input[집계키_지청],ROW()-1),"")</f>
        <v/>
      </c>
      <c r="F3428" t="str">
        <f t="shared" si="268"/>
        <v/>
      </c>
      <c r="G3428" t="str">
        <f t="shared" si="269"/>
        <v/>
      </c>
    </row>
    <row r="3429" spans="1:7" x14ac:dyDescent="0.4">
      <c r="A3429" t="str">
        <f t="shared" si="265"/>
        <v/>
      </c>
      <c r="B3429" t="str">
        <f t="shared" si="266"/>
        <v/>
      </c>
      <c r="C3429" t="str">
        <f t="shared" si="267"/>
        <v/>
      </c>
      <c r="D3429" t="str">
        <f>IF(E3429="","",IF(COUNTIF($E$2:E3429,E3429)&gt;1,"",SUMIFS(tbl_input[필요수량],tbl_input[집계키_지청],E3429)))</f>
        <v/>
      </c>
      <c r="E3429" t="str">
        <f>IFERROR(INDEX(tbl_input[집계키_지청],ROW()-1),"")</f>
        <v/>
      </c>
      <c r="F3429" t="str">
        <f t="shared" si="268"/>
        <v/>
      </c>
      <c r="G3429" t="str">
        <f t="shared" si="269"/>
        <v/>
      </c>
    </row>
    <row r="3430" spans="1:7" x14ac:dyDescent="0.4">
      <c r="A3430" t="str">
        <f t="shared" si="265"/>
        <v/>
      </c>
      <c r="B3430" t="str">
        <f t="shared" si="266"/>
        <v/>
      </c>
      <c r="C3430" t="str">
        <f t="shared" si="267"/>
        <v/>
      </c>
      <c r="D3430" t="str">
        <f>IF(E3430="","",IF(COUNTIF($E$2:E3430,E3430)&gt;1,"",SUMIFS(tbl_input[필요수량],tbl_input[집계키_지청],E3430)))</f>
        <v/>
      </c>
      <c r="E3430" t="str">
        <f>IFERROR(INDEX(tbl_input[집계키_지청],ROW()-1),"")</f>
        <v/>
      </c>
      <c r="F3430" t="str">
        <f t="shared" si="268"/>
        <v/>
      </c>
      <c r="G3430" t="str">
        <f t="shared" si="269"/>
        <v/>
      </c>
    </row>
    <row r="3431" spans="1:7" x14ac:dyDescent="0.4">
      <c r="A3431" t="str">
        <f t="shared" si="265"/>
        <v/>
      </c>
      <c r="B3431" t="str">
        <f t="shared" si="266"/>
        <v/>
      </c>
      <c r="C3431" t="str">
        <f t="shared" si="267"/>
        <v/>
      </c>
      <c r="D3431" t="str">
        <f>IF(E3431="","",IF(COUNTIF($E$2:E3431,E3431)&gt;1,"",SUMIFS(tbl_input[필요수량],tbl_input[집계키_지청],E3431)))</f>
        <v/>
      </c>
      <c r="E3431" t="str">
        <f>IFERROR(INDEX(tbl_input[집계키_지청],ROW()-1),"")</f>
        <v/>
      </c>
      <c r="F3431" t="str">
        <f t="shared" si="268"/>
        <v/>
      </c>
      <c r="G3431" t="str">
        <f t="shared" si="269"/>
        <v/>
      </c>
    </row>
    <row r="3432" spans="1:7" x14ac:dyDescent="0.4">
      <c r="A3432" t="str">
        <f t="shared" si="265"/>
        <v/>
      </c>
      <c r="B3432" t="str">
        <f t="shared" si="266"/>
        <v/>
      </c>
      <c r="C3432" t="str">
        <f t="shared" si="267"/>
        <v/>
      </c>
      <c r="D3432" t="str">
        <f>IF(E3432="","",IF(COUNTIF($E$2:E3432,E3432)&gt;1,"",SUMIFS(tbl_input[필요수량],tbl_input[집계키_지청],E3432)))</f>
        <v/>
      </c>
      <c r="E3432" t="str">
        <f>IFERROR(INDEX(tbl_input[집계키_지청],ROW()-1),"")</f>
        <v/>
      </c>
      <c r="F3432" t="str">
        <f t="shared" si="268"/>
        <v/>
      </c>
      <c r="G3432" t="str">
        <f t="shared" si="269"/>
        <v/>
      </c>
    </row>
    <row r="3433" spans="1:7" x14ac:dyDescent="0.4">
      <c r="A3433" t="str">
        <f t="shared" si="265"/>
        <v/>
      </c>
      <c r="B3433" t="str">
        <f t="shared" si="266"/>
        <v/>
      </c>
      <c r="C3433" t="str">
        <f t="shared" si="267"/>
        <v/>
      </c>
      <c r="D3433" t="str">
        <f>IF(E3433="","",IF(COUNTIF($E$2:E3433,E3433)&gt;1,"",SUMIFS(tbl_input[필요수량],tbl_input[집계키_지청],E3433)))</f>
        <v/>
      </c>
      <c r="E3433" t="str">
        <f>IFERROR(INDEX(tbl_input[집계키_지청],ROW()-1),"")</f>
        <v/>
      </c>
      <c r="F3433" t="str">
        <f t="shared" si="268"/>
        <v/>
      </c>
      <c r="G3433" t="str">
        <f t="shared" si="269"/>
        <v/>
      </c>
    </row>
    <row r="3434" spans="1:7" x14ac:dyDescent="0.4">
      <c r="A3434" t="str">
        <f t="shared" si="265"/>
        <v/>
      </c>
      <c r="B3434" t="str">
        <f t="shared" si="266"/>
        <v/>
      </c>
      <c r="C3434" t="str">
        <f t="shared" si="267"/>
        <v/>
      </c>
      <c r="D3434" t="str">
        <f>IF(E3434="","",IF(COUNTIF($E$2:E3434,E3434)&gt;1,"",SUMIFS(tbl_input[필요수량],tbl_input[집계키_지청],E3434)))</f>
        <v/>
      </c>
      <c r="E3434" t="str">
        <f>IFERROR(INDEX(tbl_input[집계키_지청],ROW()-1),"")</f>
        <v/>
      </c>
      <c r="F3434" t="str">
        <f t="shared" si="268"/>
        <v/>
      </c>
      <c r="G3434" t="str">
        <f t="shared" si="269"/>
        <v/>
      </c>
    </row>
    <row r="3435" spans="1:7" x14ac:dyDescent="0.4">
      <c r="A3435" t="str">
        <f t="shared" si="265"/>
        <v/>
      </c>
      <c r="B3435" t="str">
        <f t="shared" si="266"/>
        <v/>
      </c>
      <c r="C3435" t="str">
        <f t="shared" si="267"/>
        <v/>
      </c>
      <c r="D3435" t="str">
        <f>IF(E3435="","",IF(COUNTIF($E$2:E3435,E3435)&gt;1,"",SUMIFS(tbl_input[필요수량],tbl_input[집계키_지청],E3435)))</f>
        <v/>
      </c>
      <c r="E3435" t="str">
        <f>IFERROR(INDEX(tbl_input[집계키_지청],ROW()-1),"")</f>
        <v/>
      </c>
      <c r="F3435" t="str">
        <f t="shared" si="268"/>
        <v/>
      </c>
      <c r="G3435" t="str">
        <f t="shared" si="269"/>
        <v/>
      </c>
    </row>
    <row r="3436" spans="1:7" x14ac:dyDescent="0.4">
      <c r="A3436" t="str">
        <f t="shared" si="265"/>
        <v/>
      </c>
      <c r="B3436" t="str">
        <f t="shared" si="266"/>
        <v/>
      </c>
      <c r="C3436" t="str">
        <f t="shared" si="267"/>
        <v/>
      </c>
      <c r="D3436" t="str">
        <f>IF(E3436="","",IF(COUNTIF($E$2:E3436,E3436)&gt;1,"",SUMIFS(tbl_input[필요수량],tbl_input[집계키_지청],E3436)))</f>
        <v/>
      </c>
      <c r="E3436" t="str">
        <f>IFERROR(INDEX(tbl_input[집계키_지청],ROW()-1),"")</f>
        <v/>
      </c>
      <c r="F3436" t="str">
        <f t="shared" si="268"/>
        <v/>
      </c>
      <c r="G3436" t="str">
        <f t="shared" si="269"/>
        <v/>
      </c>
    </row>
    <row r="3437" spans="1:7" x14ac:dyDescent="0.4">
      <c r="A3437" t="str">
        <f t="shared" si="265"/>
        <v/>
      </c>
      <c r="B3437" t="str">
        <f t="shared" si="266"/>
        <v/>
      </c>
      <c r="C3437" t="str">
        <f t="shared" si="267"/>
        <v/>
      </c>
      <c r="D3437" t="str">
        <f>IF(E3437="","",IF(COUNTIF($E$2:E3437,E3437)&gt;1,"",SUMIFS(tbl_input[필요수량],tbl_input[집계키_지청],E3437)))</f>
        <v/>
      </c>
      <c r="E3437" t="str">
        <f>IFERROR(INDEX(tbl_input[집계키_지청],ROW()-1),"")</f>
        <v/>
      </c>
      <c r="F3437" t="str">
        <f t="shared" si="268"/>
        <v/>
      </c>
      <c r="G3437" t="str">
        <f t="shared" si="269"/>
        <v/>
      </c>
    </row>
    <row r="3438" spans="1:7" x14ac:dyDescent="0.4">
      <c r="A3438" t="str">
        <f t="shared" si="265"/>
        <v/>
      </c>
      <c r="B3438" t="str">
        <f t="shared" si="266"/>
        <v/>
      </c>
      <c r="C3438" t="str">
        <f t="shared" si="267"/>
        <v/>
      </c>
      <c r="D3438" t="str">
        <f>IF(E3438="","",IF(COUNTIF($E$2:E3438,E3438)&gt;1,"",SUMIFS(tbl_input[필요수량],tbl_input[집계키_지청],E3438)))</f>
        <v/>
      </c>
      <c r="E3438" t="str">
        <f>IFERROR(INDEX(tbl_input[집계키_지청],ROW()-1),"")</f>
        <v/>
      </c>
      <c r="F3438" t="str">
        <f t="shared" si="268"/>
        <v/>
      </c>
      <c r="G3438" t="str">
        <f t="shared" si="269"/>
        <v/>
      </c>
    </row>
    <row r="3439" spans="1:7" x14ac:dyDescent="0.4">
      <c r="A3439" t="str">
        <f t="shared" si="265"/>
        <v/>
      </c>
      <c r="B3439" t="str">
        <f t="shared" si="266"/>
        <v/>
      </c>
      <c r="C3439" t="str">
        <f t="shared" si="267"/>
        <v/>
      </c>
      <c r="D3439" t="str">
        <f>IF(E3439="","",IF(COUNTIF($E$2:E3439,E3439)&gt;1,"",SUMIFS(tbl_input[필요수량],tbl_input[집계키_지청],E3439)))</f>
        <v/>
      </c>
      <c r="E3439" t="str">
        <f>IFERROR(INDEX(tbl_input[집계키_지청],ROW()-1),"")</f>
        <v/>
      </c>
      <c r="F3439" t="str">
        <f t="shared" si="268"/>
        <v/>
      </c>
      <c r="G3439" t="str">
        <f t="shared" si="269"/>
        <v/>
      </c>
    </row>
    <row r="3440" spans="1:7" x14ac:dyDescent="0.4">
      <c r="A3440" t="str">
        <f t="shared" si="265"/>
        <v/>
      </c>
      <c r="B3440" t="str">
        <f t="shared" si="266"/>
        <v/>
      </c>
      <c r="C3440" t="str">
        <f t="shared" si="267"/>
        <v/>
      </c>
      <c r="D3440" t="str">
        <f>IF(E3440="","",IF(COUNTIF($E$2:E3440,E3440)&gt;1,"",SUMIFS(tbl_input[필요수량],tbl_input[집계키_지청],E3440)))</f>
        <v/>
      </c>
      <c r="E3440" t="str">
        <f>IFERROR(INDEX(tbl_input[집계키_지청],ROW()-1),"")</f>
        <v/>
      </c>
      <c r="F3440" t="str">
        <f t="shared" si="268"/>
        <v/>
      </c>
      <c r="G3440" t="str">
        <f t="shared" si="269"/>
        <v/>
      </c>
    </row>
    <row r="3441" spans="1:7" x14ac:dyDescent="0.4">
      <c r="A3441" t="str">
        <f t="shared" si="265"/>
        <v/>
      </c>
      <c r="B3441" t="str">
        <f t="shared" si="266"/>
        <v/>
      </c>
      <c r="C3441" t="str">
        <f t="shared" si="267"/>
        <v/>
      </c>
      <c r="D3441" t="str">
        <f>IF(E3441="","",IF(COUNTIF($E$2:E3441,E3441)&gt;1,"",SUMIFS(tbl_input[필요수량],tbl_input[집계키_지청],E3441)))</f>
        <v/>
      </c>
      <c r="E3441" t="str">
        <f>IFERROR(INDEX(tbl_input[집계키_지청],ROW()-1),"")</f>
        <v/>
      </c>
      <c r="F3441" t="str">
        <f t="shared" si="268"/>
        <v/>
      </c>
      <c r="G3441" t="str">
        <f t="shared" si="269"/>
        <v/>
      </c>
    </row>
    <row r="3442" spans="1:7" x14ac:dyDescent="0.4">
      <c r="A3442" t="str">
        <f t="shared" si="265"/>
        <v/>
      </c>
      <c r="B3442" t="str">
        <f t="shared" si="266"/>
        <v/>
      </c>
      <c r="C3442" t="str">
        <f t="shared" si="267"/>
        <v/>
      </c>
      <c r="D3442" t="str">
        <f>IF(E3442="","",IF(COUNTIF($E$2:E3442,E3442)&gt;1,"",SUMIFS(tbl_input[필요수량],tbl_input[집계키_지청],E3442)))</f>
        <v/>
      </c>
      <c r="E3442" t="str">
        <f>IFERROR(INDEX(tbl_input[집계키_지청],ROW()-1),"")</f>
        <v/>
      </c>
      <c r="F3442" t="str">
        <f t="shared" si="268"/>
        <v/>
      </c>
      <c r="G3442" t="str">
        <f t="shared" si="269"/>
        <v/>
      </c>
    </row>
    <row r="3443" spans="1:7" x14ac:dyDescent="0.4">
      <c r="A3443" t="str">
        <f t="shared" si="265"/>
        <v/>
      </c>
      <c r="B3443" t="str">
        <f t="shared" si="266"/>
        <v/>
      </c>
      <c r="C3443" t="str">
        <f t="shared" si="267"/>
        <v/>
      </c>
      <c r="D3443" t="str">
        <f>IF(E3443="","",IF(COUNTIF($E$2:E3443,E3443)&gt;1,"",SUMIFS(tbl_input[필요수량],tbl_input[집계키_지청],E3443)))</f>
        <v/>
      </c>
      <c r="E3443" t="str">
        <f>IFERROR(INDEX(tbl_input[집계키_지청],ROW()-1),"")</f>
        <v/>
      </c>
      <c r="F3443" t="str">
        <f t="shared" si="268"/>
        <v/>
      </c>
      <c r="G3443" t="str">
        <f t="shared" si="269"/>
        <v/>
      </c>
    </row>
    <row r="3444" spans="1:7" x14ac:dyDescent="0.4">
      <c r="A3444" t="str">
        <f t="shared" si="265"/>
        <v/>
      </c>
      <c r="B3444" t="str">
        <f t="shared" si="266"/>
        <v/>
      </c>
      <c r="C3444" t="str">
        <f t="shared" si="267"/>
        <v/>
      </c>
      <c r="D3444" t="str">
        <f>IF(E3444="","",IF(COUNTIF($E$2:E3444,E3444)&gt;1,"",SUMIFS(tbl_input[필요수량],tbl_input[집계키_지청],E3444)))</f>
        <v/>
      </c>
      <c r="E3444" t="str">
        <f>IFERROR(INDEX(tbl_input[집계키_지청],ROW()-1),"")</f>
        <v/>
      </c>
      <c r="F3444" t="str">
        <f t="shared" si="268"/>
        <v/>
      </c>
      <c r="G3444" t="str">
        <f t="shared" si="269"/>
        <v/>
      </c>
    </row>
    <row r="3445" spans="1:7" x14ac:dyDescent="0.4">
      <c r="A3445" t="str">
        <f t="shared" si="265"/>
        <v/>
      </c>
      <c r="B3445" t="str">
        <f t="shared" si="266"/>
        <v/>
      </c>
      <c r="C3445" t="str">
        <f t="shared" si="267"/>
        <v/>
      </c>
      <c r="D3445" t="str">
        <f>IF(E3445="","",IF(COUNTIF($E$2:E3445,E3445)&gt;1,"",SUMIFS(tbl_input[필요수량],tbl_input[집계키_지청],E3445)))</f>
        <v/>
      </c>
      <c r="E3445" t="str">
        <f>IFERROR(INDEX(tbl_input[집계키_지청],ROW()-1),"")</f>
        <v/>
      </c>
      <c r="F3445" t="str">
        <f t="shared" si="268"/>
        <v/>
      </c>
      <c r="G3445" t="str">
        <f t="shared" si="269"/>
        <v/>
      </c>
    </row>
    <row r="3446" spans="1:7" x14ac:dyDescent="0.4">
      <c r="A3446" t="str">
        <f t="shared" si="265"/>
        <v/>
      </c>
      <c r="B3446" t="str">
        <f t="shared" si="266"/>
        <v/>
      </c>
      <c r="C3446" t="str">
        <f t="shared" si="267"/>
        <v/>
      </c>
      <c r="D3446" t="str">
        <f>IF(E3446="","",IF(COUNTIF($E$2:E3446,E3446)&gt;1,"",SUMIFS(tbl_input[필요수량],tbl_input[집계키_지청],E3446)))</f>
        <v/>
      </c>
      <c r="E3446" t="str">
        <f>IFERROR(INDEX(tbl_input[집계키_지청],ROW()-1),"")</f>
        <v/>
      </c>
      <c r="F3446" t="str">
        <f t="shared" si="268"/>
        <v/>
      </c>
      <c r="G3446" t="str">
        <f t="shared" si="269"/>
        <v/>
      </c>
    </row>
    <row r="3447" spans="1:7" x14ac:dyDescent="0.4">
      <c r="A3447" t="str">
        <f t="shared" si="265"/>
        <v/>
      </c>
      <c r="B3447" t="str">
        <f t="shared" si="266"/>
        <v/>
      </c>
      <c r="C3447" t="str">
        <f t="shared" si="267"/>
        <v/>
      </c>
      <c r="D3447" t="str">
        <f>IF(E3447="","",IF(COUNTIF($E$2:E3447,E3447)&gt;1,"",SUMIFS(tbl_input[필요수량],tbl_input[집계키_지청],E3447)))</f>
        <v/>
      </c>
      <c r="E3447" t="str">
        <f>IFERROR(INDEX(tbl_input[집계키_지청],ROW()-1),"")</f>
        <v/>
      </c>
      <c r="F3447" t="str">
        <f t="shared" si="268"/>
        <v/>
      </c>
      <c r="G3447" t="str">
        <f t="shared" si="269"/>
        <v/>
      </c>
    </row>
    <row r="3448" spans="1:7" x14ac:dyDescent="0.4">
      <c r="A3448" t="str">
        <f t="shared" si="265"/>
        <v/>
      </c>
      <c r="B3448" t="str">
        <f t="shared" si="266"/>
        <v/>
      </c>
      <c r="C3448" t="str">
        <f t="shared" si="267"/>
        <v/>
      </c>
      <c r="D3448" t="str">
        <f>IF(E3448="","",IF(COUNTIF($E$2:E3448,E3448)&gt;1,"",SUMIFS(tbl_input[필요수량],tbl_input[집계키_지청],E3448)))</f>
        <v/>
      </c>
      <c r="E3448" t="str">
        <f>IFERROR(INDEX(tbl_input[집계키_지청],ROW()-1),"")</f>
        <v/>
      </c>
      <c r="F3448" t="str">
        <f t="shared" si="268"/>
        <v/>
      </c>
      <c r="G3448" t="str">
        <f t="shared" si="269"/>
        <v/>
      </c>
    </row>
    <row r="3449" spans="1:7" x14ac:dyDescent="0.4">
      <c r="A3449" t="str">
        <f t="shared" si="265"/>
        <v/>
      </c>
      <c r="B3449" t="str">
        <f t="shared" si="266"/>
        <v/>
      </c>
      <c r="C3449" t="str">
        <f t="shared" si="267"/>
        <v/>
      </c>
      <c r="D3449" t="str">
        <f>IF(E3449="","",IF(COUNTIF($E$2:E3449,E3449)&gt;1,"",SUMIFS(tbl_input[필요수량],tbl_input[집계키_지청],E3449)))</f>
        <v/>
      </c>
      <c r="E3449" t="str">
        <f>IFERROR(INDEX(tbl_input[집계키_지청],ROW()-1),"")</f>
        <v/>
      </c>
      <c r="F3449" t="str">
        <f t="shared" si="268"/>
        <v/>
      </c>
      <c r="G3449" t="str">
        <f t="shared" si="269"/>
        <v/>
      </c>
    </row>
    <row r="3450" spans="1:7" x14ac:dyDescent="0.4">
      <c r="A3450" t="str">
        <f t="shared" si="265"/>
        <v/>
      </c>
      <c r="B3450" t="str">
        <f t="shared" si="266"/>
        <v/>
      </c>
      <c r="C3450" t="str">
        <f t="shared" si="267"/>
        <v/>
      </c>
      <c r="D3450" t="str">
        <f>IF(E3450="","",IF(COUNTIF($E$2:E3450,E3450)&gt;1,"",SUMIFS(tbl_input[필요수량],tbl_input[집계키_지청],E3450)))</f>
        <v/>
      </c>
      <c r="E3450" t="str">
        <f>IFERROR(INDEX(tbl_input[집계키_지청],ROW()-1),"")</f>
        <v/>
      </c>
      <c r="F3450" t="str">
        <f t="shared" si="268"/>
        <v/>
      </c>
      <c r="G3450" t="str">
        <f t="shared" si="269"/>
        <v/>
      </c>
    </row>
    <row r="3451" spans="1:7" x14ac:dyDescent="0.4">
      <c r="A3451" t="str">
        <f t="shared" si="265"/>
        <v/>
      </c>
      <c r="B3451" t="str">
        <f t="shared" si="266"/>
        <v/>
      </c>
      <c r="C3451" t="str">
        <f t="shared" si="267"/>
        <v/>
      </c>
      <c r="D3451" t="str">
        <f>IF(E3451="","",IF(COUNTIF($E$2:E3451,E3451)&gt;1,"",SUMIFS(tbl_input[필요수량],tbl_input[집계키_지청],E3451)))</f>
        <v/>
      </c>
      <c r="E3451" t="str">
        <f>IFERROR(INDEX(tbl_input[집계키_지청],ROW()-1),"")</f>
        <v/>
      </c>
      <c r="F3451" t="str">
        <f t="shared" si="268"/>
        <v/>
      </c>
      <c r="G3451" t="str">
        <f t="shared" si="269"/>
        <v/>
      </c>
    </row>
    <row r="3452" spans="1:7" x14ac:dyDescent="0.4">
      <c r="A3452" t="str">
        <f t="shared" si="265"/>
        <v/>
      </c>
      <c r="B3452" t="str">
        <f t="shared" si="266"/>
        <v/>
      </c>
      <c r="C3452" t="str">
        <f t="shared" si="267"/>
        <v/>
      </c>
      <c r="D3452" t="str">
        <f>IF(E3452="","",IF(COUNTIF($E$2:E3452,E3452)&gt;1,"",SUMIFS(tbl_input[필요수량],tbl_input[집계키_지청],E3452)))</f>
        <v/>
      </c>
      <c r="E3452" t="str">
        <f>IFERROR(INDEX(tbl_input[집계키_지청],ROW()-1),"")</f>
        <v/>
      </c>
      <c r="F3452" t="str">
        <f t="shared" si="268"/>
        <v/>
      </c>
      <c r="G3452" t="str">
        <f t="shared" si="269"/>
        <v/>
      </c>
    </row>
    <row r="3453" spans="1:7" x14ac:dyDescent="0.4">
      <c r="A3453" t="str">
        <f t="shared" si="265"/>
        <v/>
      </c>
      <c r="B3453" t="str">
        <f t="shared" si="266"/>
        <v/>
      </c>
      <c r="C3453" t="str">
        <f t="shared" si="267"/>
        <v/>
      </c>
      <c r="D3453" t="str">
        <f>IF(E3453="","",IF(COUNTIF($E$2:E3453,E3453)&gt;1,"",SUMIFS(tbl_input[필요수량],tbl_input[집계키_지청],E3453)))</f>
        <v/>
      </c>
      <c r="E3453" t="str">
        <f>IFERROR(INDEX(tbl_input[집계키_지청],ROW()-1),"")</f>
        <v/>
      </c>
      <c r="F3453" t="str">
        <f t="shared" si="268"/>
        <v/>
      </c>
      <c r="G3453" t="str">
        <f t="shared" si="269"/>
        <v/>
      </c>
    </row>
    <row r="3454" spans="1:7" x14ac:dyDescent="0.4">
      <c r="A3454" t="str">
        <f t="shared" si="265"/>
        <v/>
      </c>
      <c r="B3454" t="str">
        <f t="shared" si="266"/>
        <v/>
      </c>
      <c r="C3454" t="str">
        <f t="shared" si="267"/>
        <v/>
      </c>
      <c r="D3454" t="str">
        <f>IF(E3454="","",IF(COUNTIF($E$2:E3454,E3454)&gt;1,"",SUMIFS(tbl_input[필요수량],tbl_input[집계키_지청],E3454)))</f>
        <v/>
      </c>
      <c r="E3454" t="str">
        <f>IFERROR(INDEX(tbl_input[집계키_지청],ROW()-1),"")</f>
        <v/>
      </c>
      <c r="F3454" t="str">
        <f t="shared" si="268"/>
        <v/>
      </c>
      <c r="G3454" t="str">
        <f t="shared" si="269"/>
        <v/>
      </c>
    </row>
    <row r="3455" spans="1:7" x14ac:dyDescent="0.4">
      <c r="A3455" t="str">
        <f t="shared" si="265"/>
        <v/>
      </c>
      <c r="B3455" t="str">
        <f t="shared" si="266"/>
        <v/>
      </c>
      <c r="C3455" t="str">
        <f t="shared" si="267"/>
        <v/>
      </c>
      <c r="D3455" t="str">
        <f>IF(E3455="","",IF(COUNTIF($E$2:E3455,E3455)&gt;1,"",SUMIFS(tbl_input[필요수량],tbl_input[집계키_지청],E3455)))</f>
        <v/>
      </c>
      <c r="E3455" t="str">
        <f>IFERROR(INDEX(tbl_input[집계키_지청],ROW()-1),"")</f>
        <v/>
      </c>
      <c r="F3455" t="str">
        <f t="shared" si="268"/>
        <v/>
      </c>
      <c r="G3455" t="str">
        <f t="shared" si="269"/>
        <v/>
      </c>
    </row>
    <row r="3456" spans="1:7" x14ac:dyDescent="0.4">
      <c r="A3456" t="str">
        <f t="shared" si="265"/>
        <v/>
      </c>
      <c r="B3456" t="str">
        <f t="shared" si="266"/>
        <v/>
      </c>
      <c r="C3456" t="str">
        <f t="shared" si="267"/>
        <v/>
      </c>
      <c r="D3456" t="str">
        <f>IF(E3456="","",IF(COUNTIF($E$2:E3456,E3456)&gt;1,"",SUMIFS(tbl_input[필요수량],tbl_input[집계키_지청],E3456)))</f>
        <v/>
      </c>
      <c r="E3456" t="str">
        <f>IFERROR(INDEX(tbl_input[집계키_지청],ROW()-1),"")</f>
        <v/>
      </c>
      <c r="F3456" t="str">
        <f t="shared" si="268"/>
        <v/>
      </c>
      <c r="G3456" t="str">
        <f t="shared" si="269"/>
        <v/>
      </c>
    </row>
    <row r="3457" spans="1:7" x14ac:dyDescent="0.4">
      <c r="A3457" t="str">
        <f t="shared" si="265"/>
        <v/>
      </c>
      <c r="B3457" t="str">
        <f t="shared" si="266"/>
        <v/>
      </c>
      <c r="C3457" t="str">
        <f t="shared" si="267"/>
        <v/>
      </c>
      <c r="D3457" t="str">
        <f>IF(E3457="","",IF(COUNTIF($E$2:E3457,E3457)&gt;1,"",SUMIFS(tbl_input[필요수량],tbl_input[집계키_지청],E3457)))</f>
        <v/>
      </c>
      <c r="E3457" t="str">
        <f>IFERROR(INDEX(tbl_input[집계키_지청],ROW()-1),"")</f>
        <v/>
      </c>
      <c r="F3457" t="str">
        <f t="shared" si="268"/>
        <v/>
      </c>
      <c r="G3457" t="str">
        <f t="shared" si="269"/>
        <v/>
      </c>
    </row>
    <row r="3458" spans="1:7" x14ac:dyDescent="0.4">
      <c r="A3458" t="str">
        <f t="shared" ref="A3458:A3521" si="270">IF(E3458="","",LEFT(E3458,F3458-1))</f>
        <v/>
      </c>
      <c r="B3458" t="str">
        <f t="shared" ref="B3458:B3521" si="271">IF(E3458="","",MID(E3458,F3458+1,G3458-F3458-1))</f>
        <v/>
      </c>
      <c r="C3458" t="str">
        <f t="shared" ref="C3458:C3521" si="272">IF(E3458="","",MID(E3458,G3458+1,999))</f>
        <v/>
      </c>
      <c r="D3458" t="str">
        <f>IF(E3458="","",IF(COUNTIF($E$2:E3458,E3458)&gt;1,"",SUMIFS(tbl_input[필요수량],tbl_input[집계키_지청],E3458)))</f>
        <v/>
      </c>
      <c r="E3458" t="str">
        <f>IFERROR(INDEX(tbl_input[집계키_지청],ROW()-1),"")</f>
        <v/>
      </c>
      <c r="F3458" t="str">
        <f t="shared" ref="F3458:F3521" si="273">IF(E3458="","",FIND("♦",E3458))</f>
        <v/>
      </c>
      <c r="G3458" t="str">
        <f t="shared" ref="G3458:G3521" si="274">IF(E3458="","",FIND("♦",E3458,F3458+1))</f>
        <v/>
      </c>
    </row>
    <row r="3459" spans="1:7" x14ac:dyDescent="0.4">
      <c r="A3459" t="str">
        <f t="shared" si="270"/>
        <v/>
      </c>
      <c r="B3459" t="str">
        <f t="shared" si="271"/>
        <v/>
      </c>
      <c r="C3459" t="str">
        <f t="shared" si="272"/>
        <v/>
      </c>
      <c r="D3459" t="str">
        <f>IF(E3459="","",IF(COUNTIF($E$2:E3459,E3459)&gt;1,"",SUMIFS(tbl_input[필요수량],tbl_input[집계키_지청],E3459)))</f>
        <v/>
      </c>
      <c r="E3459" t="str">
        <f>IFERROR(INDEX(tbl_input[집계키_지청],ROW()-1),"")</f>
        <v/>
      </c>
      <c r="F3459" t="str">
        <f t="shared" si="273"/>
        <v/>
      </c>
      <c r="G3459" t="str">
        <f t="shared" si="274"/>
        <v/>
      </c>
    </row>
    <row r="3460" spans="1:7" x14ac:dyDescent="0.4">
      <c r="A3460" t="str">
        <f t="shared" si="270"/>
        <v/>
      </c>
      <c r="B3460" t="str">
        <f t="shared" si="271"/>
        <v/>
      </c>
      <c r="C3460" t="str">
        <f t="shared" si="272"/>
        <v/>
      </c>
      <c r="D3460" t="str">
        <f>IF(E3460="","",IF(COUNTIF($E$2:E3460,E3460)&gt;1,"",SUMIFS(tbl_input[필요수량],tbl_input[집계키_지청],E3460)))</f>
        <v/>
      </c>
      <c r="E3460" t="str">
        <f>IFERROR(INDEX(tbl_input[집계키_지청],ROW()-1),"")</f>
        <v/>
      </c>
      <c r="F3460" t="str">
        <f t="shared" si="273"/>
        <v/>
      </c>
      <c r="G3460" t="str">
        <f t="shared" si="274"/>
        <v/>
      </c>
    </row>
    <row r="3461" spans="1:7" x14ac:dyDescent="0.4">
      <c r="A3461" t="str">
        <f t="shared" si="270"/>
        <v/>
      </c>
      <c r="B3461" t="str">
        <f t="shared" si="271"/>
        <v/>
      </c>
      <c r="C3461" t="str">
        <f t="shared" si="272"/>
        <v/>
      </c>
      <c r="D3461" t="str">
        <f>IF(E3461="","",IF(COUNTIF($E$2:E3461,E3461)&gt;1,"",SUMIFS(tbl_input[필요수량],tbl_input[집계키_지청],E3461)))</f>
        <v/>
      </c>
      <c r="E3461" t="str">
        <f>IFERROR(INDEX(tbl_input[집계키_지청],ROW()-1),"")</f>
        <v/>
      </c>
      <c r="F3461" t="str">
        <f t="shared" si="273"/>
        <v/>
      </c>
      <c r="G3461" t="str">
        <f t="shared" si="274"/>
        <v/>
      </c>
    </row>
    <row r="3462" spans="1:7" x14ac:dyDescent="0.4">
      <c r="A3462" t="str">
        <f t="shared" si="270"/>
        <v/>
      </c>
      <c r="B3462" t="str">
        <f t="shared" si="271"/>
        <v/>
      </c>
      <c r="C3462" t="str">
        <f t="shared" si="272"/>
        <v/>
      </c>
      <c r="D3462" t="str">
        <f>IF(E3462="","",IF(COUNTIF($E$2:E3462,E3462)&gt;1,"",SUMIFS(tbl_input[필요수량],tbl_input[집계키_지청],E3462)))</f>
        <v/>
      </c>
      <c r="E3462" t="str">
        <f>IFERROR(INDEX(tbl_input[집계키_지청],ROW()-1),"")</f>
        <v/>
      </c>
      <c r="F3462" t="str">
        <f t="shared" si="273"/>
        <v/>
      </c>
      <c r="G3462" t="str">
        <f t="shared" si="274"/>
        <v/>
      </c>
    </row>
    <row r="3463" spans="1:7" x14ac:dyDescent="0.4">
      <c r="A3463" t="str">
        <f t="shared" si="270"/>
        <v/>
      </c>
      <c r="B3463" t="str">
        <f t="shared" si="271"/>
        <v/>
      </c>
      <c r="C3463" t="str">
        <f t="shared" si="272"/>
        <v/>
      </c>
      <c r="D3463" t="str">
        <f>IF(E3463="","",IF(COUNTIF($E$2:E3463,E3463)&gt;1,"",SUMIFS(tbl_input[필요수량],tbl_input[집계키_지청],E3463)))</f>
        <v/>
      </c>
      <c r="E3463" t="str">
        <f>IFERROR(INDEX(tbl_input[집계키_지청],ROW()-1),"")</f>
        <v/>
      </c>
      <c r="F3463" t="str">
        <f t="shared" si="273"/>
        <v/>
      </c>
      <c r="G3463" t="str">
        <f t="shared" si="274"/>
        <v/>
      </c>
    </row>
    <row r="3464" spans="1:7" x14ac:dyDescent="0.4">
      <c r="A3464" t="str">
        <f t="shared" si="270"/>
        <v/>
      </c>
      <c r="B3464" t="str">
        <f t="shared" si="271"/>
        <v/>
      </c>
      <c r="C3464" t="str">
        <f t="shared" si="272"/>
        <v/>
      </c>
      <c r="D3464" t="str">
        <f>IF(E3464="","",IF(COUNTIF($E$2:E3464,E3464)&gt;1,"",SUMIFS(tbl_input[필요수량],tbl_input[집계키_지청],E3464)))</f>
        <v/>
      </c>
      <c r="E3464" t="str">
        <f>IFERROR(INDEX(tbl_input[집계키_지청],ROW()-1),"")</f>
        <v/>
      </c>
      <c r="F3464" t="str">
        <f t="shared" si="273"/>
        <v/>
      </c>
      <c r="G3464" t="str">
        <f t="shared" si="274"/>
        <v/>
      </c>
    </row>
    <row r="3465" spans="1:7" x14ac:dyDescent="0.4">
      <c r="A3465" t="str">
        <f t="shared" si="270"/>
        <v/>
      </c>
      <c r="B3465" t="str">
        <f t="shared" si="271"/>
        <v/>
      </c>
      <c r="C3465" t="str">
        <f t="shared" si="272"/>
        <v/>
      </c>
      <c r="D3465" t="str">
        <f>IF(E3465="","",IF(COUNTIF($E$2:E3465,E3465)&gt;1,"",SUMIFS(tbl_input[필요수량],tbl_input[집계키_지청],E3465)))</f>
        <v/>
      </c>
      <c r="E3465" t="str">
        <f>IFERROR(INDEX(tbl_input[집계키_지청],ROW()-1),"")</f>
        <v/>
      </c>
      <c r="F3465" t="str">
        <f t="shared" si="273"/>
        <v/>
      </c>
      <c r="G3465" t="str">
        <f t="shared" si="274"/>
        <v/>
      </c>
    </row>
    <row r="3466" spans="1:7" x14ac:dyDescent="0.4">
      <c r="A3466" t="str">
        <f t="shared" si="270"/>
        <v/>
      </c>
      <c r="B3466" t="str">
        <f t="shared" si="271"/>
        <v/>
      </c>
      <c r="C3466" t="str">
        <f t="shared" si="272"/>
        <v/>
      </c>
      <c r="D3466" t="str">
        <f>IF(E3466="","",IF(COUNTIF($E$2:E3466,E3466)&gt;1,"",SUMIFS(tbl_input[필요수량],tbl_input[집계키_지청],E3466)))</f>
        <v/>
      </c>
      <c r="E3466" t="str">
        <f>IFERROR(INDEX(tbl_input[집계키_지청],ROW()-1),"")</f>
        <v/>
      </c>
      <c r="F3466" t="str">
        <f t="shared" si="273"/>
        <v/>
      </c>
      <c r="G3466" t="str">
        <f t="shared" si="274"/>
        <v/>
      </c>
    </row>
    <row r="3467" spans="1:7" x14ac:dyDescent="0.4">
      <c r="A3467" t="str">
        <f t="shared" si="270"/>
        <v/>
      </c>
      <c r="B3467" t="str">
        <f t="shared" si="271"/>
        <v/>
      </c>
      <c r="C3467" t="str">
        <f t="shared" si="272"/>
        <v/>
      </c>
      <c r="D3467" t="str">
        <f>IF(E3467="","",IF(COUNTIF($E$2:E3467,E3467)&gt;1,"",SUMIFS(tbl_input[필요수량],tbl_input[집계키_지청],E3467)))</f>
        <v/>
      </c>
      <c r="E3467" t="str">
        <f>IFERROR(INDEX(tbl_input[집계키_지청],ROW()-1),"")</f>
        <v/>
      </c>
      <c r="F3467" t="str">
        <f t="shared" si="273"/>
        <v/>
      </c>
      <c r="G3467" t="str">
        <f t="shared" si="274"/>
        <v/>
      </c>
    </row>
    <row r="3468" spans="1:7" x14ac:dyDescent="0.4">
      <c r="A3468" t="str">
        <f t="shared" si="270"/>
        <v/>
      </c>
      <c r="B3468" t="str">
        <f t="shared" si="271"/>
        <v/>
      </c>
      <c r="C3468" t="str">
        <f t="shared" si="272"/>
        <v/>
      </c>
      <c r="D3468" t="str">
        <f>IF(E3468="","",IF(COUNTIF($E$2:E3468,E3468)&gt;1,"",SUMIFS(tbl_input[필요수량],tbl_input[집계키_지청],E3468)))</f>
        <v/>
      </c>
      <c r="E3468" t="str">
        <f>IFERROR(INDEX(tbl_input[집계키_지청],ROW()-1),"")</f>
        <v/>
      </c>
      <c r="F3468" t="str">
        <f t="shared" si="273"/>
        <v/>
      </c>
      <c r="G3468" t="str">
        <f t="shared" si="274"/>
        <v/>
      </c>
    </row>
    <row r="3469" spans="1:7" x14ac:dyDescent="0.4">
      <c r="A3469" t="str">
        <f t="shared" si="270"/>
        <v/>
      </c>
      <c r="B3469" t="str">
        <f t="shared" si="271"/>
        <v/>
      </c>
      <c r="C3469" t="str">
        <f t="shared" si="272"/>
        <v/>
      </c>
      <c r="D3469" t="str">
        <f>IF(E3469="","",IF(COUNTIF($E$2:E3469,E3469)&gt;1,"",SUMIFS(tbl_input[필요수량],tbl_input[집계키_지청],E3469)))</f>
        <v/>
      </c>
      <c r="E3469" t="str">
        <f>IFERROR(INDEX(tbl_input[집계키_지청],ROW()-1),"")</f>
        <v/>
      </c>
      <c r="F3469" t="str">
        <f t="shared" si="273"/>
        <v/>
      </c>
      <c r="G3469" t="str">
        <f t="shared" si="274"/>
        <v/>
      </c>
    </row>
    <row r="3470" spans="1:7" x14ac:dyDescent="0.4">
      <c r="A3470" t="str">
        <f t="shared" si="270"/>
        <v/>
      </c>
      <c r="B3470" t="str">
        <f t="shared" si="271"/>
        <v/>
      </c>
      <c r="C3470" t="str">
        <f t="shared" si="272"/>
        <v/>
      </c>
      <c r="D3470" t="str">
        <f>IF(E3470="","",IF(COUNTIF($E$2:E3470,E3470)&gt;1,"",SUMIFS(tbl_input[필요수량],tbl_input[집계키_지청],E3470)))</f>
        <v/>
      </c>
      <c r="E3470" t="str">
        <f>IFERROR(INDEX(tbl_input[집계키_지청],ROW()-1),"")</f>
        <v/>
      </c>
      <c r="F3470" t="str">
        <f t="shared" si="273"/>
        <v/>
      </c>
      <c r="G3470" t="str">
        <f t="shared" si="274"/>
        <v/>
      </c>
    </row>
    <row r="3471" spans="1:7" x14ac:dyDescent="0.4">
      <c r="A3471" t="str">
        <f t="shared" si="270"/>
        <v/>
      </c>
      <c r="B3471" t="str">
        <f t="shared" si="271"/>
        <v/>
      </c>
      <c r="C3471" t="str">
        <f t="shared" si="272"/>
        <v/>
      </c>
      <c r="D3471" t="str">
        <f>IF(E3471="","",IF(COUNTIF($E$2:E3471,E3471)&gt;1,"",SUMIFS(tbl_input[필요수량],tbl_input[집계키_지청],E3471)))</f>
        <v/>
      </c>
      <c r="E3471" t="str">
        <f>IFERROR(INDEX(tbl_input[집계키_지청],ROW()-1),"")</f>
        <v/>
      </c>
      <c r="F3471" t="str">
        <f t="shared" si="273"/>
        <v/>
      </c>
      <c r="G3471" t="str">
        <f t="shared" si="274"/>
        <v/>
      </c>
    </row>
    <row r="3472" spans="1:7" x14ac:dyDescent="0.4">
      <c r="A3472" t="str">
        <f t="shared" si="270"/>
        <v/>
      </c>
      <c r="B3472" t="str">
        <f t="shared" si="271"/>
        <v/>
      </c>
      <c r="C3472" t="str">
        <f t="shared" si="272"/>
        <v/>
      </c>
      <c r="D3472" t="str">
        <f>IF(E3472="","",IF(COUNTIF($E$2:E3472,E3472)&gt;1,"",SUMIFS(tbl_input[필요수량],tbl_input[집계키_지청],E3472)))</f>
        <v/>
      </c>
      <c r="E3472" t="str">
        <f>IFERROR(INDEX(tbl_input[집계키_지청],ROW()-1),"")</f>
        <v/>
      </c>
      <c r="F3472" t="str">
        <f t="shared" si="273"/>
        <v/>
      </c>
      <c r="G3472" t="str">
        <f t="shared" si="274"/>
        <v/>
      </c>
    </row>
    <row r="3473" spans="1:7" x14ac:dyDescent="0.4">
      <c r="A3473" t="str">
        <f t="shared" si="270"/>
        <v/>
      </c>
      <c r="B3473" t="str">
        <f t="shared" si="271"/>
        <v/>
      </c>
      <c r="C3473" t="str">
        <f t="shared" si="272"/>
        <v/>
      </c>
      <c r="D3473" t="str">
        <f>IF(E3473="","",IF(COUNTIF($E$2:E3473,E3473)&gt;1,"",SUMIFS(tbl_input[필요수량],tbl_input[집계키_지청],E3473)))</f>
        <v/>
      </c>
      <c r="E3473" t="str">
        <f>IFERROR(INDEX(tbl_input[집계키_지청],ROW()-1),"")</f>
        <v/>
      </c>
      <c r="F3473" t="str">
        <f t="shared" si="273"/>
        <v/>
      </c>
      <c r="G3473" t="str">
        <f t="shared" si="274"/>
        <v/>
      </c>
    </row>
    <row r="3474" spans="1:7" x14ac:dyDescent="0.4">
      <c r="A3474" t="str">
        <f t="shared" si="270"/>
        <v/>
      </c>
      <c r="B3474" t="str">
        <f t="shared" si="271"/>
        <v/>
      </c>
      <c r="C3474" t="str">
        <f t="shared" si="272"/>
        <v/>
      </c>
      <c r="D3474" t="str">
        <f>IF(E3474="","",IF(COUNTIF($E$2:E3474,E3474)&gt;1,"",SUMIFS(tbl_input[필요수량],tbl_input[집계키_지청],E3474)))</f>
        <v/>
      </c>
      <c r="E3474" t="str">
        <f>IFERROR(INDEX(tbl_input[집계키_지청],ROW()-1),"")</f>
        <v/>
      </c>
      <c r="F3474" t="str">
        <f t="shared" si="273"/>
        <v/>
      </c>
      <c r="G3474" t="str">
        <f t="shared" si="274"/>
        <v/>
      </c>
    </row>
    <row r="3475" spans="1:7" x14ac:dyDescent="0.4">
      <c r="A3475" t="str">
        <f t="shared" si="270"/>
        <v/>
      </c>
      <c r="B3475" t="str">
        <f t="shared" si="271"/>
        <v/>
      </c>
      <c r="C3475" t="str">
        <f t="shared" si="272"/>
        <v/>
      </c>
      <c r="D3475" t="str">
        <f>IF(E3475="","",IF(COUNTIF($E$2:E3475,E3475)&gt;1,"",SUMIFS(tbl_input[필요수량],tbl_input[집계키_지청],E3475)))</f>
        <v/>
      </c>
      <c r="E3475" t="str">
        <f>IFERROR(INDEX(tbl_input[집계키_지청],ROW()-1),"")</f>
        <v/>
      </c>
      <c r="F3475" t="str">
        <f t="shared" si="273"/>
        <v/>
      </c>
      <c r="G3475" t="str">
        <f t="shared" si="274"/>
        <v/>
      </c>
    </row>
    <row r="3476" spans="1:7" x14ac:dyDescent="0.4">
      <c r="A3476" t="str">
        <f t="shared" si="270"/>
        <v/>
      </c>
      <c r="B3476" t="str">
        <f t="shared" si="271"/>
        <v/>
      </c>
      <c r="C3476" t="str">
        <f t="shared" si="272"/>
        <v/>
      </c>
      <c r="D3476" t="str">
        <f>IF(E3476="","",IF(COUNTIF($E$2:E3476,E3476)&gt;1,"",SUMIFS(tbl_input[필요수량],tbl_input[집계키_지청],E3476)))</f>
        <v/>
      </c>
      <c r="E3476" t="str">
        <f>IFERROR(INDEX(tbl_input[집계키_지청],ROW()-1),"")</f>
        <v/>
      </c>
      <c r="F3476" t="str">
        <f t="shared" si="273"/>
        <v/>
      </c>
      <c r="G3476" t="str">
        <f t="shared" si="274"/>
        <v/>
      </c>
    </row>
    <row r="3477" spans="1:7" x14ac:dyDescent="0.4">
      <c r="A3477" t="str">
        <f t="shared" si="270"/>
        <v/>
      </c>
      <c r="B3477" t="str">
        <f t="shared" si="271"/>
        <v/>
      </c>
      <c r="C3477" t="str">
        <f t="shared" si="272"/>
        <v/>
      </c>
      <c r="D3477" t="str">
        <f>IF(E3477="","",IF(COUNTIF($E$2:E3477,E3477)&gt;1,"",SUMIFS(tbl_input[필요수량],tbl_input[집계키_지청],E3477)))</f>
        <v/>
      </c>
      <c r="E3477" t="str">
        <f>IFERROR(INDEX(tbl_input[집계키_지청],ROW()-1),"")</f>
        <v/>
      </c>
      <c r="F3477" t="str">
        <f t="shared" si="273"/>
        <v/>
      </c>
      <c r="G3477" t="str">
        <f t="shared" si="274"/>
        <v/>
      </c>
    </row>
    <row r="3478" spans="1:7" x14ac:dyDescent="0.4">
      <c r="A3478" t="str">
        <f t="shared" si="270"/>
        <v/>
      </c>
      <c r="B3478" t="str">
        <f t="shared" si="271"/>
        <v/>
      </c>
      <c r="C3478" t="str">
        <f t="shared" si="272"/>
        <v/>
      </c>
      <c r="D3478" t="str">
        <f>IF(E3478="","",IF(COUNTIF($E$2:E3478,E3478)&gt;1,"",SUMIFS(tbl_input[필요수량],tbl_input[집계키_지청],E3478)))</f>
        <v/>
      </c>
      <c r="E3478" t="str">
        <f>IFERROR(INDEX(tbl_input[집계키_지청],ROW()-1),"")</f>
        <v/>
      </c>
      <c r="F3478" t="str">
        <f t="shared" si="273"/>
        <v/>
      </c>
      <c r="G3478" t="str">
        <f t="shared" si="274"/>
        <v/>
      </c>
    </row>
    <row r="3479" spans="1:7" x14ac:dyDescent="0.4">
      <c r="A3479" t="str">
        <f t="shared" si="270"/>
        <v/>
      </c>
      <c r="B3479" t="str">
        <f t="shared" si="271"/>
        <v/>
      </c>
      <c r="C3479" t="str">
        <f t="shared" si="272"/>
        <v/>
      </c>
      <c r="D3479" t="str">
        <f>IF(E3479="","",IF(COUNTIF($E$2:E3479,E3479)&gt;1,"",SUMIFS(tbl_input[필요수량],tbl_input[집계키_지청],E3479)))</f>
        <v/>
      </c>
      <c r="E3479" t="str">
        <f>IFERROR(INDEX(tbl_input[집계키_지청],ROW()-1),"")</f>
        <v/>
      </c>
      <c r="F3479" t="str">
        <f t="shared" si="273"/>
        <v/>
      </c>
      <c r="G3479" t="str">
        <f t="shared" si="274"/>
        <v/>
      </c>
    </row>
    <row r="3480" spans="1:7" x14ac:dyDescent="0.4">
      <c r="A3480" t="str">
        <f t="shared" si="270"/>
        <v/>
      </c>
      <c r="B3480" t="str">
        <f t="shared" si="271"/>
        <v/>
      </c>
      <c r="C3480" t="str">
        <f t="shared" si="272"/>
        <v/>
      </c>
      <c r="D3480" t="str">
        <f>IF(E3480="","",IF(COUNTIF($E$2:E3480,E3480)&gt;1,"",SUMIFS(tbl_input[필요수량],tbl_input[집계키_지청],E3480)))</f>
        <v/>
      </c>
      <c r="E3480" t="str">
        <f>IFERROR(INDEX(tbl_input[집계키_지청],ROW()-1),"")</f>
        <v/>
      </c>
      <c r="F3480" t="str">
        <f t="shared" si="273"/>
        <v/>
      </c>
      <c r="G3480" t="str">
        <f t="shared" si="274"/>
        <v/>
      </c>
    </row>
    <row r="3481" spans="1:7" x14ac:dyDescent="0.4">
      <c r="A3481" t="str">
        <f t="shared" si="270"/>
        <v/>
      </c>
      <c r="B3481" t="str">
        <f t="shared" si="271"/>
        <v/>
      </c>
      <c r="C3481" t="str">
        <f t="shared" si="272"/>
        <v/>
      </c>
      <c r="D3481" t="str">
        <f>IF(E3481="","",IF(COUNTIF($E$2:E3481,E3481)&gt;1,"",SUMIFS(tbl_input[필요수량],tbl_input[집계키_지청],E3481)))</f>
        <v/>
      </c>
      <c r="E3481" t="str">
        <f>IFERROR(INDEX(tbl_input[집계키_지청],ROW()-1),"")</f>
        <v/>
      </c>
      <c r="F3481" t="str">
        <f t="shared" si="273"/>
        <v/>
      </c>
      <c r="G3481" t="str">
        <f t="shared" si="274"/>
        <v/>
      </c>
    </row>
    <row r="3482" spans="1:7" x14ac:dyDescent="0.4">
      <c r="A3482" t="str">
        <f t="shared" si="270"/>
        <v/>
      </c>
      <c r="B3482" t="str">
        <f t="shared" si="271"/>
        <v/>
      </c>
      <c r="C3482" t="str">
        <f t="shared" si="272"/>
        <v/>
      </c>
      <c r="D3482" t="str">
        <f>IF(E3482="","",IF(COUNTIF($E$2:E3482,E3482)&gt;1,"",SUMIFS(tbl_input[필요수량],tbl_input[집계키_지청],E3482)))</f>
        <v/>
      </c>
      <c r="E3482" t="str">
        <f>IFERROR(INDEX(tbl_input[집계키_지청],ROW()-1),"")</f>
        <v/>
      </c>
      <c r="F3482" t="str">
        <f t="shared" si="273"/>
        <v/>
      </c>
      <c r="G3482" t="str">
        <f t="shared" si="274"/>
        <v/>
      </c>
    </row>
    <row r="3483" spans="1:7" x14ac:dyDescent="0.4">
      <c r="A3483" t="str">
        <f t="shared" si="270"/>
        <v/>
      </c>
      <c r="B3483" t="str">
        <f t="shared" si="271"/>
        <v/>
      </c>
      <c r="C3483" t="str">
        <f t="shared" si="272"/>
        <v/>
      </c>
      <c r="D3483" t="str">
        <f>IF(E3483="","",IF(COUNTIF($E$2:E3483,E3483)&gt;1,"",SUMIFS(tbl_input[필요수량],tbl_input[집계키_지청],E3483)))</f>
        <v/>
      </c>
      <c r="E3483" t="str">
        <f>IFERROR(INDEX(tbl_input[집계키_지청],ROW()-1),"")</f>
        <v/>
      </c>
      <c r="F3483" t="str">
        <f t="shared" si="273"/>
        <v/>
      </c>
      <c r="G3483" t="str">
        <f t="shared" si="274"/>
        <v/>
      </c>
    </row>
    <row r="3484" spans="1:7" x14ac:dyDescent="0.4">
      <c r="A3484" t="str">
        <f t="shared" si="270"/>
        <v/>
      </c>
      <c r="B3484" t="str">
        <f t="shared" si="271"/>
        <v/>
      </c>
      <c r="C3484" t="str">
        <f t="shared" si="272"/>
        <v/>
      </c>
      <c r="D3484" t="str">
        <f>IF(E3484="","",IF(COUNTIF($E$2:E3484,E3484)&gt;1,"",SUMIFS(tbl_input[필요수량],tbl_input[집계키_지청],E3484)))</f>
        <v/>
      </c>
      <c r="E3484" t="str">
        <f>IFERROR(INDEX(tbl_input[집계키_지청],ROW()-1),"")</f>
        <v/>
      </c>
      <c r="F3484" t="str">
        <f t="shared" si="273"/>
        <v/>
      </c>
      <c r="G3484" t="str">
        <f t="shared" si="274"/>
        <v/>
      </c>
    </row>
    <row r="3485" spans="1:7" x14ac:dyDescent="0.4">
      <c r="A3485" t="str">
        <f t="shared" si="270"/>
        <v/>
      </c>
      <c r="B3485" t="str">
        <f t="shared" si="271"/>
        <v/>
      </c>
      <c r="C3485" t="str">
        <f t="shared" si="272"/>
        <v/>
      </c>
      <c r="D3485" t="str">
        <f>IF(E3485="","",IF(COUNTIF($E$2:E3485,E3485)&gt;1,"",SUMIFS(tbl_input[필요수량],tbl_input[집계키_지청],E3485)))</f>
        <v/>
      </c>
      <c r="E3485" t="str">
        <f>IFERROR(INDEX(tbl_input[집계키_지청],ROW()-1),"")</f>
        <v/>
      </c>
      <c r="F3485" t="str">
        <f t="shared" si="273"/>
        <v/>
      </c>
      <c r="G3485" t="str">
        <f t="shared" si="274"/>
        <v/>
      </c>
    </row>
    <row r="3486" spans="1:7" x14ac:dyDescent="0.4">
      <c r="A3486" t="str">
        <f t="shared" si="270"/>
        <v/>
      </c>
      <c r="B3486" t="str">
        <f t="shared" si="271"/>
        <v/>
      </c>
      <c r="C3486" t="str">
        <f t="shared" si="272"/>
        <v/>
      </c>
      <c r="D3486" t="str">
        <f>IF(E3486="","",IF(COUNTIF($E$2:E3486,E3486)&gt;1,"",SUMIFS(tbl_input[필요수량],tbl_input[집계키_지청],E3486)))</f>
        <v/>
      </c>
      <c r="E3486" t="str">
        <f>IFERROR(INDEX(tbl_input[집계키_지청],ROW()-1),"")</f>
        <v/>
      </c>
      <c r="F3486" t="str">
        <f t="shared" si="273"/>
        <v/>
      </c>
      <c r="G3486" t="str">
        <f t="shared" si="274"/>
        <v/>
      </c>
    </row>
    <row r="3487" spans="1:7" x14ac:dyDescent="0.4">
      <c r="A3487" t="str">
        <f t="shared" si="270"/>
        <v/>
      </c>
      <c r="B3487" t="str">
        <f t="shared" si="271"/>
        <v/>
      </c>
      <c r="C3487" t="str">
        <f t="shared" si="272"/>
        <v/>
      </c>
      <c r="D3487" t="str">
        <f>IF(E3487="","",IF(COUNTIF($E$2:E3487,E3487)&gt;1,"",SUMIFS(tbl_input[필요수량],tbl_input[집계키_지청],E3487)))</f>
        <v/>
      </c>
      <c r="E3487" t="str">
        <f>IFERROR(INDEX(tbl_input[집계키_지청],ROW()-1),"")</f>
        <v/>
      </c>
      <c r="F3487" t="str">
        <f t="shared" si="273"/>
        <v/>
      </c>
      <c r="G3487" t="str">
        <f t="shared" si="274"/>
        <v/>
      </c>
    </row>
    <row r="3488" spans="1:7" x14ac:dyDescent="0.4">
      <c r="A3488" t="str">
        <f t="shared" si="270"/>
        <v/>
      </c>
      <c r="B3488" t="str">
        <f t="shared" si="271"/>
        <v/>
      </c>
      <c r="C3488" t="str">
        <f t="shared" si="272"/>
        <v/>
      </c>
      <c r="D3488" t="str">
        <f>IF(E3488="","",IF(COUNTIF($E$2:E3488,E3488)&gt;1,"",SUMIFS(tbl_input[필요수량],tbl_input[집계키_지청],E3488)))</f>
        <v/>
      </c>
      <c r="E3488" t="str">
        <f>IFERROR(INDEX(tbl_input[집계키_지청],ROW()-1),"")</f>
        <v/>
      </c>
      <c r="F3488" t="str">
        <f t="shared" si="273"/>
        <v/>
      </c>
      <c r="G3488" t="str">
        <f t="shared" si="274"/>
        <v/>
      </c>
    </row>
    <row r="3489" spans="1:7" x14ac:dyDescent="0.4">
      <c r="A3489" t="str">
        <f t="shared" si="270"/>
        <v/>
      </c>
      <c r="B3489" t="str">
        <f t="shared" si="271"/>
        <v/>
      </c>
      <c r="C3489" t="str">
        <f t="shared" si="272"/>
        <v/>
      </c>
      <c r="D3489" t="str">
        <f>IF(E3489="","",IF(COUNTIF($E$2:E3489,E3489)&gt;1,"",SUMIFS(tbl_input[필요수량],tbl_input[집계키_지청],E3489)))</f>
        <v/>
      </c>
      <c r="E3489" t="str">
        <f>IFERROR(INDEX(tbl_input[집계키_지청],ROW()-1),"")</f>
        <v/>
      </c>
      <c r="F3489" t="str">
        <f t="shared" si="273"/>
        <v/>
      </c>
      <c r="G3489" t="str">
        <f t="shared" si="274"/>
        <v/>
      </c>
    </row>
    <row r="3490" spans="1:7" x14ac:dyDescent="0.4">
      <c r="A3490" t="str">
        <f t="shared" si="270"/>
        <v/>
      </c>
      <c r="B3490" t="str">
        <f t="shared" si="271"/>
        <v/>
      </c>
      <c r="C3490" t="str">
        <f t="shared" si="272"/>
        <v/>
      </c>
      <c r="D3490" t="str">
        <f>IF(E3490="","",IF(COUNTIF($E$2:E3490,E3490)&gt;1,"",SUMIFS(tbl_input[필요수량],tbl_input[집계키_지청],E3490)))</f>
        <v/>
      </c>
      <c r="E3490" t="str">
        <f>IFERROR(INDEX(tbl_input[집계키_지청],ROW()-1),"")</f>
        <v/>
      </c>
      <c r="F3490" t="str">
        <f t="shared" si="273"/>
        <v/>
      </c>
      <c r="G3490" t="str">
        <f t="shared" si="274"/>
        <v/>
      </c>
    </row>
    <row r="3491" spans="1:7" x14ac:dyDescent="0.4">
      <c r="A3491" t="str">
        <f t="shared" si="270"/>
        <v/>
      </c>
      <c r="B3491" t="str">
        <f t="shared" si="271"/>
        <v/>
      </c>
      <c r="C3491" t="str">
        <f t="shared" si="272"/>
        <v/>
      </c>
      <c r="D3491" t="str">
        <f>IF(E3491="","",IF(COUNTIF($E$2:E3491,E3491)&gt;1,"",SUMIFS(tbl_input[필요수량],tbl_input[집계키_지청],E3491)))</f>
        <v/>
      </c>
      <c r="E3491" t="str">
        <f>IFERROR(INDEX(tbl_input[집계키_지청],ROW()-1),"")</f>
        <v/>
      </c>
      <c r="F3491" t="str">
        <f t="shared" si="273"/>
        <v/>
      </c>
      <c r="G3491" t="str">
        <f t="shared" si="274"/>
        <v/>
      </c>
    </row>
    <row r="3492" spans="1:7" x14ac:dyDescent="0.4">
      <c r="A3492" t="str">
        <f t="shared" si="270"/>
        <v/>
      </c>
      <c r="B3492" t="str">
        <f t="shared" si="271"/>
        <v/>
      </c>
      <c r="C3492" t="str">
        <f t="shared" si="272"/>
        <v/>
      </c>
      <c r="D3492" t="str">
        <f>IF(E3492="","",IF(COUNTIF($E$2:E3492,E3492)&gt;1,"",SUMIFS(tbl_input[필요수량],tbl_input[집계키_지청],E3492)))</f>
        <v/>
      </c>
      <c r="E3492" t="str">
        <f>IFERROR(INDEX(tbl_input[집계키_지청],ROW()-1),"")</f>
        <v/>
      </c>
      <c r="F3492" t="str">
        <f t="shared" si="273"/>
        <v/>
      </c>
      <c r="G3492" t="str">
        <f t="shared" si="274"/>
        <v/>
      </c>
    </row>
    <row r="3493" spans="1:7" x14ac:dyDescent="0.4">
      <c r="A3493" t="str">
        <f t="shared" si="270"/>
        <v/>
      </c>
      <c r="B3493" t="str">
        <f t="shared" si="271"/>
        <v/>
      </c>
      <c r="C3493" t="str">
        <f t="shared" si="272"/>
        <v/>
      </c>
      <c r="D3493" t="str">
        <f>IF(E3493="","",IF(COUNTIF($E$2:E3493,E3493)&gt;1,"",SUMIFS(tbl_input[필요수량],tbl_input[집계키_지청],E3493)))</f>
        <v/>
      </c>
      <c r="E3493" t="str">
        <f>IFERROR(INDEX(tbl_input[집계키_지청],ROW()-1),"")</f>
        <v/>
      </c>
      <c r="F3493" t="str">
        <f t="shared" si="273"/>
        <v/>
      </c>
      <c r="G3493" t="str">
        <f t="shared" si="274"/>
        <v/>
      </c>
    </row>
    <row r="3494" spans="1:7" x14ac:dyDescent="0.4">
      <c r="A3494" t="str">
        <f t="shared" si="270"/>
        <v/>
      </c>
      <c r="B3494" t="str">
        <f t="shared" si="271"/>
        <v/>
      </c>
      <c r="C3494" t="str">
        <f t="shared" si="272"/>
        <v/>
      </c>
      <c r="D3494" t="str">
        <f>IF(E3494="","",IF(COUNTIF($E$2:E3494,E3494)&gt;1,"",SUMIFS(tbl_input[필요수량],tbl_input[집계키_지청],E3494)))</f>
        <v/>
      </c>
      <c r="E3494" t="str">
        <f>IFERROR(INDEX(tbl_input[집계키_지청],ROW()-1),"")</f>
        <v/>
      </c>
      <c r="F3494" t="str">
        <f t="shared" si="273"/>
        <v/>
      </c>
      <c r="G3494" t="str">
        <f t="shared" si="274"/>
        <v/>
      </c>
    </row>
    <row r="3495" spans="1:7" x14ac:dyDescent="0.4">
      <c r="A3495" t="str">
        <f t="shared" si="270"/>
        <v/>
      </c>
      <c r="B3495" t="str">
        <f t="shared" si="271"/>
        <v/>
      </c>
      <c r="C3495" t="str">
        <f t="shared" si="272"/>
        <v/>
      </c>
      <c r="D3495" t="str">
        <f>IF(E3495="","",IF(COUNTIF($E$2:E3495,E3495)&gt;1,"",SUMIFS(tbl_input[필요수량],tbl_input[집계키_지청],E3495)))</f>
        <v/>
      </c>
      <c r="E3495" t="str">
        <f>IFERROR(INDEX(tbl_input[집계키_지청],ROW()-1),"")</f>
        <v/>
      </c>
      <c r="F3495" t="str">
        <f t="shared" si="273"/>
        <v/>
      </c>
      <c r="G3495" t="str">
        <f t="shared" si="274"/>
        <v/>
      </c>
    </row>
    <row r="3496" spans="1:7" x14ac:dyDescent="0.4">
      <c r="A3496" t="str">
        <f t="shared" si="270"/>
        <v/>
      </c>
      <c r="B3496" t="str">
        <f t="shared" si="271"/>
        <v/>
      </c>
      <c r="C3496" t="str">
        <f t="shared" si="272"/>
        <v/>
      </c>
      <c r="D3496" t="str">
        <f>IF(E3496="","",IF(COUNTIF($E$2:E3496,E3496)&gt;1,"",SUMIFS(tbl_input[필요수량],tbl_input[집계키_지청],E3496)))</f>
        <v/>
      </c>
      <c r="E3496" t="str">
        <f>IFERROR(INDEX(tbl_input[집계키_지청],ROW()-1),"")</f>
        <v/>
      </c>
      <c r="F3496" t="str">
        <f t="shared" si="273"/>
        <v/>
      </c>
      <c r="G3496" t="str">
        <f t="shared" si="274"/>
        <v/>
      </c>
    </row>
    <row r="3497" spans="1:7" x14ac:dyDescent="0.4">
      <c r="A3497" t="str">
        <f t="shared" si="270"/>
        <v/>
      </c>
      <c r="B3497" t="str">
        <f t="shared" si="271"/>
        <v/>
      </c>
      <c r="C3497" t="str">
        <f t="shared" si="272"/>
        <v/>
      </c>
      <c r="D3497" t="str">
        <f>IF(E3497="","",IF(COUNTIF($E$2:E3497,E3497)&gt;1,"",SUMIFS(tbl_input[필요수량],tbl_input[집계키_지청],E3497)))</f>
        <v/>
      </c>
      <c r="E3497" t="str">
        <f>IFERROR(INDEX(tbl_input[집계키_지청],ROW()-1),"")</f>
        <v/>
      </c>
      <c r="F3497" t="str">
        <f t="shared" si="273"/>
        <v/>
      </c>
      <c r="G3497" t="str">
        <f t="shared" si="274"/>
        <v/>
      </c>
    </row>
    <row r="3498" spans="1:7" x14ac:dyDescent="0.4">
      <c r="A3498" t="str">
        <f t="shared" si="270"/>
        <v/>
      </c>
      <c r="B3498" t="str">
        <f t="shared" si="271"/>
        <v/>
      </c>
      <c r="C3498" t="str">
        <f t="shared" si="272"/>
        <v/>
      </c>
      <c r="D3498" t="str">
        <f>IF(E3498="","",IF(COUNTIF($E$2:E3498,E3498)&gt;1,"",SUMIFS(tbl_input[필요수량],tbl_input[집계키_지청],E3498)))</f>
        <v/>
      </c>
      <c r="E3498" t="str">
        <f>IFERROR(INDEX(tbl_input[집계키_지청],ROW()-1),"")</f>
        <v/>
      </c>
      <c r="F3498" t="str">
        <f t="shared" si="273"/>
        <v/>
      </c>
      <c r="G3498" t="str">
        <f t="shared" si="274"/>
        <v/>
      </c>
    </row>
    <row r="3499" spans="1:7" x14ac:dyDescent="0.4">
      <c r="A3499" t="str">
        <f t="shared" si="270"/>
        <v/>
      </c>
      <c r="B3499" t="str">
        <f t="shared" si="271"/>
        <v/>
      </c>
      <c r="C3499" t="str">
        <f t="shared" si="272"/>
        <v/>
      </c>
      <c r="D3499" t="str">
        <f>IF(E3499="","",IF(COUNTIF($E$2:E3499,E3499)&gt;1,"",SUMIFS(tbl_input[필요수량],tbl_input[집계키_지청],E3499)))</f>
        <v/>
      </c>
      <c r="E3499" t="str">
        <f>IFERROR(INDEX(tbl_input[집계키_지청],ROW()-1),"")</f>
        <v/>
      </c>
      <c r="F3499" t="str">
        <f t="shared" si="273"/>
        <v/>
      </c>
      <c r="G3499" t="str">
        <f t="shared" si="274"/>
        <v/>
      </c>
    </row>
    <row r="3500" spans="1:7" x14ac:dyDescent="0.4">
      <c r="A3500" t="str">
        <f t="shared" si="270"/>
        <v/>
      </c>
      <c r="B3500" t="str">
        <f t="shared" si="271"/>
        <v/>
      </c>
      <c r="C3500" t="str">
        <f t="shared" si="272"/>
        <v/>
      </c>
      <c r="D3500" t="str">
        <f>IF(E3500="","",IF(COUNTIF($E$2:E3500,E3500)&gt;1,"",SUMIFS(tbl_input[필요수량],tbl_input[집계키_지청],E3500)))</f>
        <v/>
      </c>
      <c r="E3500" t="str">
        <f>IFERROR(INDEX(tbl_input[집계키_지청],ROW()-1),"")</f>
        <v/>
      </c>
      <c r="F3500" t="str">
        <f t="shared" si="273"/>
        <v/>
      </c>
      <c r="G3500" t="str">
        <f t="shared" si="274"/>
        <v/>
      </c>
    </row>
    <row r="3501" spans="1:7" x14ac:dyDescent="0.4">
      <c r="A3501" t="str">
        <f t="shared" si="270"/>
        <v/>
      </c>
      <c r="B3501" t="str">
        <f t="shared" si="271"/>
        <v/>
      </c>
      <c r="C3501" t="str">
        <f t="shared" si="272"/>
        <v/>
      </c>
      <c r="D3501" t="str">
        <f>IF(E3501="","",IF(COUNTIF($E$2:E3501,E3501)&gt;1,"",SUMIFS(tbl_input[필요수량],tbl_input[집계키_지청],E3501)))</f>
        <v/>
      </c>
      <c r="E3501" t="str">
        <f>IFERROR(INDEX(tbl_input[집계키_지청],ROW()-1),"")</f>
        <v/>
      </c>
      <c r="F3501" t="str">
        <f t="shared" si="273"/>
        <v/>
      </c>
      <c r="G3501" t="str">
        <f t="shared" si="274"/>
        <v/>
      </c>
    </row>
    <row r="3502" spans="1:7" x14ac:dyDescent="0.4">
      <c r="A3502" t="str">
        <f t="shared" si="270"/>
        <v/>
      </c>
      <c r="B3502" t="str">
        <f t="shared" si="271"/>
        <v/>
      </c>
      <c r="C3502" t="str">
        <f t="shared" si="272"/>
        <v/>
      </c>
      <c r="D3502" t="str">
        <f>IF(E3502="","",IF(COUNTIF($E$2:E3502,E3502)&gt;1,"",SUMIFS(tbl_input[필요수량],tbl_input[집계키_지청],E3502)))</f>
        <v/>
      </c>
      <c r="E3502" t="str">
        <f>IFERROR(INDEX(tbl_input[집계키_지청],ROW()-1),"")</f>
        <v/>
      </c>
      <c r="F3502" t="str">
        <f t="shared" si="273"/>
        <v/>
      </c>
      <c r="G3502" t="str">
        <f t="shared" si="274"/>
        <v/>
      </c>
    </row>
    <row r="3503" spans="1:7" x14ac:dyDescent="0.4">
      <c r="A3503" t="str">
        <f t="shared" si="270"/>
        <v/>
      </c>
      <c r="B3503" t="str">
        <f t="shared" si="271"/>
        <v/>
      </c>
      <c r="C3503" t="str">
        <f t="shared" si="272"/>
        <v/>
      </c>
      <c r="D3503" t="str">
        <f>IF(E3503="","",IF(COUNTIF($E$2:E3503,E3503)&gt;1,"",SUMIFS(tbl_input[필요수량],tbl_input[집계키_지청],E3503)))</f>
        <v/>
      </c>
      <c r="E3503" t="str">
        <f>IFERROR(INDEX(tbl_input[집계키_지청],ROW()-1),"")</f>
        <v/>
      </c>
      <c r="F3503" t="str">
        <f t="shared" si="273"/>
        <v/>
      </c>
      <c r="G3503" t="str">
        <f t="shared" si="274"/>
        <v/>
      </c>
    </row>
    <row r="3504" spans="1:7" x14ac:dyDescent="0.4">
      <c r="A3504" t="str">
        <f t="shared" si="270"/>
        <v/>
      </c>
      <c r="B3504" t="str">
        <f t="shared" si="271"/>
        <v/>
      </c>
      <c r="C3504" t="str">
        <f t="shared" si="272"/>
        <v/>
      </c>
      <c r="D3504" t="str">
        <f>IF(E3504="","",IF(COUNTIF($E$2:E3504,E3504)&gt;1,"",SUMIFS(tbl_input[필요수량],tbl_input[집계키_지청],E3504)))</f>
        <v/>
      </c>
      <c r="E3504" t="str">
        <f>IFERROR(INDEX(tbl_input[집계키_지청],ROW()-1),"")</f>
        <v/>
      </c>
      <c r="F3504" t="str">
        <f t="shared" si="273"/>
        <v/>
      </c>
      <c r="G3504" t="str">
        <f t="shared" si="274"/>
        <v/>
      </c>
    </row>
    <row r="3505" spans="1:7" x14ac:dyDescent="0.4">
      <c r="A3505" t="str">
        <f t="shared" si="270"/>
        <v/>
      </c>
      <c r="B3505" t="str">
        <f t="shared" si="271"/>
        <v/>
      </c>
      <c r="C3505" t="str">
        <f t="shared" si="272"/>
        <v/>
      </c>
      <c r="D3505" t="str">
        <f>IF(E3505="","",IF(COUNTIF($E$2:E3505,E3505)&gt;1,"",SUMIFS(tbl_input[필요수량],tbl_input[집계키_지청],E3505)))</f>
        <v/>
      </c>
      <c r="E3505" t="str">
        <f>IFERROR(INDEX(tbl_input[집계키_지청],ROW()-1),"")</f>
        <v/>
      </c>
      <c r="F3505" t="str">
        <f t="shared" si="273"/>
        <v/>
      </c>
      <c r="G3505" t="str">
        <f t="shared" si="274"/>
        <v/>
      </c>
    </row>
    <row r="3506" spans="1:7" x14ac:dyDescent="0.4">
      <c r="A3506" t="str">
        <f t="shared" si="270"/>
        <v/>
      </c>
      <c r="B3506" t="str">
        <f t="shared" si="271"/>
        <v/>
      </c>
      <c r="C3506" t="str">
        <f t="shared" si="272"/>
        <v/>
      </c>
      <c r="D3506" t="str">
        <f>IF(E3506="","",IF(COUNTIF($E$2:E3506,E3506)&gt;1,"",SUMIFS(tbl_input[필요수량],tbl_input[집계키_지청],E3506)))</f>
        <v/>
      </c>
      <c r="E3506" t="str">
        <f>IFERROR(INDEX(tbl_input[집계키_지청],ROW()-1),"")</f>
        <v/>
      </c>
      <c r="F3506" t="str">
        <f t="shared" si="273"/>
        <v/>
      </c>
      <c r="G3506" t="str">
        <f t="shared" si="274"/>
        <v/>
      </c>
    </row>
    <row r="3507" spans="1:7" x14ac:dyDescent="0.4">
      <c r="A3507" t="str">
        <f t="shared" si="270"/>
        <v/>
      </c>
      <c r="B3507" t="str">
        <f t="shared" si="271"/>
        <v/>
      </c>
      <c r="C3507" t="str">
        <f t="shared" si="272"/>
        <v/>
      </c>
      <c r="D3507" t="str">
        <f>IF(E3507="","",IF(COUNTIF($E$2:E3507,E3507)&gt;1,"",SUMIFS(tbl_input[필요수량],tbl_input[집계키_지청],E3507)))</f>
        <v/>
      </c>
      <c r="E3507" t="str">
        <f>IFERROR(INDEX(tbl_input[집계키_지청],ROW()-1),"")</f>
        <v/>
      </c>
      <c r="F3507" t="str">
        <f t="shared" si="273"/>
        <v/>
      </c>
      <c r="G3507" t="str">
        <f t="shared" si="274"/>
        <v/>
      </c>
    </row>
    <row r="3508" spans="1:7" x14ac:dyDescent="0.4">
      <c r="A3508" t="str">
        <f t="shared" si="270"/>
        <v/>
      </c>
      <c r="B3508" t="str">
        <f t="shared" si="271"/>
        <v/>
      </c>
      <c r="C3508" t="str">
        <f t="shared" si="272"/>
        <v/>
      </c>
      <c r="D3508" t="str">
        <f>IF(E3508="","",IF(COUNTIF($E$2:E3508,E3508)&gt;1,"",SUMIFS(tbl_input[필요수량],tbl_input[집계키_지청],E3508)))</f>
        <v/>
      </c>
      <c r="E3508" t="str">
        <f>IFERROR(INDEX(tbl_input[집계키_지청],ROW()-1),"")</f>
        <v/>
      </c>
      <c r="F3508" t="str">
        <f t="shared" si="273"/>
        <v/>
      </c>
      <c r="G3508" t="str">
        <f t="shared" si="274"/>
        <v/>
      </c>
    </row>
    <row r="3509" spans="1:7" x14ac:dyDescent="0.4">
      <c r="A3509" t="str">
        <f t="shared" si="270"/>
        <v/>
      </c>
      <c r="B3509" t="str">
        <f t="shared" si="271"/>
        <v/>
      </c>
      <c r="C3509" t="str">
        <f t="shared" si="272"/>
        <v/>
      </c>
      <c r="D3509" t="str">
        <f>IF(E3509="","",IF(COUNTIF($E$2:E3509,E3509)&gt;1,"",SUMIFS(tbl_input[필요수량],tbl_input[집계키_지청],E3509)))</f>
        <v/>
      </c>
      <c r="E3509" t="str">
        <f>IFERROR(INDEX(tbl_input[집계키_지청],ROW()-1),"")</f>
        <v/>
      </c>
      <c r="F3509" t="str">
        <f t="shared" si="273"/>
        <v/>
      </c>
      <c r="G3509" t="str">
        <f t="shared" si="274"/>
        <v/>
      </c>
    </row>
    <row r="3510" spans="1:7" x14ac:dyDescent="0.4">
      <c r="A3510" t="str">
        <f t="shared" si="270"/>
        <v/>
      </c>
      <c r="B3510" t="str">
        <f t="shared" si="271"/>
        <v/>
      </c>
      <c r="C3510" t="str">
        <f t="shared" si="272"/>
        <v/>
      </c>
      <c r="D3510" t="str">
        <f>IF(E3510="","",IF(COUNTIF($E$2:E3510,E3510)&gt;1,"",SUMIFS(tbl_input[필요수량],tbl_input[집계키_지청],E3510)))</f>
        <v/>
      </c>
      <c r="E3510" t="str">
        <f>IFERROR(INDEX(tbl_input[집계키_지청],ROW()-1),"")</f>
        <v/>
      </c>
      <c r="F3510" t="str">
        <f t="shared" si="273"/>
        <v/>
      </c>
      <c r="G3510" t="str">
        <f t="shared" si="274"/>
        <v/>
      </c>
    </row>
    <row r="3511" spans="1:7" x14ac:dyDescent="0.4">
      <c r="A3511" t="str">
        <f t="shared" si="270"/>
        <v/>
      </c>
      <c r="B3511" t="str">
        <f t="shared" si="271"/>
        <v/>
      </c>
      <c r="C3511" t="str">
        <f t="shared" si="272"/>
        <v/>
      </c>
      <c r="D3511" t="str">
        <f>IF(E3511="","",IF(COUNTIF($E$2:E3511,E3511)&gt;1,"",SUMIFS(tbl_input[필요수량],tbl_input[집계키_지청],E3511)))</f>
        <v/>
      </c>
      <c r="E3511" t="str">
        <f>IFERROR(INDEX(tbl_input[집계키_지청],ROW()-1),"")</f>
        <v/>
      </c>
      <c r="F3511" t="str">
        <f t="shared" si="273"/>
        <v/>
      </c>
      <c r="G3511" t="str">
        <f t="shared" si="274"/>
        <v/>
      </c>
    </row>
    <row r="3512" spans="1:7" x14ac:dyDescent="0.4">
      <c r="A3512" t="str">
        <f t="shared" si="270"/>
        <v/>
      </c>
      <c r="B3512" t="str">
        <f t="shared" si="271"/>
        <v/>
      </c>
      <c r="C3512" t="str">
        <f t="shared" si="272"/>
        <v/>
      </c>
      <c r="D3512" t="str">
        <f>IF(E3512="","",IF(COUNTIF($E$2:E3512,E3512)&gt;1,"",SUMIFS(tbl_input[필요수량],tbl_input[집계키_지청],E3512)))</f>
        <v/>
      </c>
      <c r="E3512" t="str">
        <f>IFERROR(INDEX(tbl_input[집계키_지청],ROW()-1),"")</f>
        <v/>
      </c>
      <c r="F3512" t="str">
        <f t="shared" si="273"/>
        <v/>
      </c>
      <c r="G3512" t="str">
        <f t="shared" si="274"/>
        <v/>
      </c>
    </row>
    <row r="3513" spans="1:7" x14ac:dyDescent="0.4">
      <c r="A3513" t="str">
        <f t="shared" si="270"/>
        <v/>
      </c>
      <c r="B3513" t="str">
        <f t="shared" si="271"/>
        <v/>
      </c>
      <c r="C3513" t="str">
        <f t="shared" si="272"/>
        <v/>
      </c>
      <c r="D3513" t="str">
        <f>IF(E3513="","",IF(COUNTIF($E$2:E3513,E3513)&gt;1,"",SUMIFS(tbl_input[필요수량],tbl_input[집계키_지청],E3513)))</f>
        <v/>
      </c>
      <c r="E3513" t="str">
        <f>IFERROR(INDEX(tbl_input[집계키_지청],ROW()-1),"")</f>
        <v/>
      </c>
      <c r="F3513" t="str">
        <f t="shared" si="273"/>
        <v/>
      </c>
      <c r="G3513" t="str">
        <f t="shared" si="274"/>
        <v/>
      </c>
    </row>
    <row r="3514" spans="1:7" x14ac:dyDescent="0.4">
      <c r="A3514" t="str">
        <f t="shared" si="270"/>
        <v/>
      </c>
      <c r="B3514" t="str">
        <f t="shared" si="271"/>
        <v/>
      </c>
      <c r="C3514" t="str">
        <f t="shared" si="272"/>
        <v/>
      </c>
      <c r="D3514" t="str">
        <f>IF(E3514="","",IF(COUNTIF($E$2:E3514,E3514)&gt;1,"",SUMIFS(tbl_input[필요수량],tbl_input[집계키_지청],E3514)))</f>
        <v/>
      </c>
      <c r="E3514" t="str">
        <f>IFERROR(INDEX(tbl_input[집계키_지청],ROW()-1),"")</f>
        <v/>
      </c>
      <c r="F3514" t="str">
        <f t="shared" si="273"/>
        <v/>
      </c>
      <c r="G3514" t="str">
        <f t="shared" si="274"/>
        <v/>
      </c>
    </row>
    <row r="3515" spans="1:7" x14ac:dyDescent="0.4">
      <c r="A3515" t="str">
        <f t="shared" si="270"/>
        <v/>
      </c>
      <c r="B3515" t="str">
        <f t="shared" si="271"/>
        <v/>
      </c>
      <c r="C3515" t="str">
        <f t="shared" si="272"/>
        <v/>
      </c>
      <c r="D3515" t="str">
        <f>IF(E3515="","",IF(COUNTIF($E$2:E3515,E3515)&gt;1,"",SUMIFS(tbl_input[필요수량],tbl_input[집계키_지청],E3515)))</f>
        <v/>
      </c>
      <c r="E3515" t="str">
        <f>IFERROR(INDEX(tbl_input[집계키_지청],ROW()-1),"")</f>
        <v/>
      </c>
      <c r="F3515" t="str">
        <f t="shared" si="273"/>
        <v/>
      </c>
      <c r="G3515" t="str">
        <f t="shared" si="274"/>
        <v/>
      </c>
    </row>
    <row r="3516" spans="1:7" x14ac:dyDescent="0.4">
      <c r="A3516" t="str">
        <f t="shared" si="270"/>
        <v/>
      </c>
      <c r="B3516" t="str">
        <f t="shared" si="271"/>
        <v/>
      </c>
      <c r="C3516" t="str">
        <f t="shared" si="272"/>
        <v/>
      </c>
      <c r="D3516" t="str">
        <f>IF(E3516="","",IF(COUNTIF($E$2:E3516,E3516)&gt;1,"",SUMIFS(tbl_input[필요수량],tbl_input[집계키_지청],E3516)))</f>
        <v/>
      </c>
      <c r="E3516" t="str">
        <f>IFERROR(INDEX(tbl_input[집계키_지청],ROW()-1),"")</f>
        <v/>
      </c>
      <c r="F3516" t="str">
        <f t="shared" si="273"/>
        <v/>
      </c>
      <c r="G3516" t="str">
        <f t="shared" si="274"/>
        <v/>
      </c>
    </row>
    <row r="3517" spans="1:7" x14ac:dyDescent="0.4">
      <c r="A3517" t="str">
        <f t="shared" si="270"/>
        <v/>
      </c>
      <c r="B3517" t="str">
        <f t="shared" si="271"/>
        <v/>
      </c>
      <c r="C3517" t="str">
        <f t="shared" si="272"/>
        <v/>
      </c>
      <c r="D3517" t="str">
        <f>IF(E3517="","",IF(COUNTIF($E$2:E3517,E3517)&gt;1,"",SUMIFS(tbl_input[필요수량],tbl_input[집계키_지청],E3517)))</f>
        <v/>
      </c>
      <c r="E3517" t="str">
        <f>IFERROR(INDEX(tbl_input[집계키_지청],ROW()-1),"")</f>
        <v/>
      </c>
      <c r="F3517" t="str">
        <f t="shared" si="273"/>
        <v/>
      </c>
      <c r="G3517" t="str">
        <f t="shared" si="274"/>
        <v/>
      </c>
    </row>
    <row r="3518" spans="1:7" x14ac:dyDescent="0.4">
      <c r="A3518" t="str">
        <f t="shared" si="270"/>
        <v/>
      </c>
      <c r="B3518" t="str">
        <f t="shared" si="271"/>
        <v/>
      </c>
      <c r="C3518" t="str">
        <f t="shared" si="272"/>
        <v/>
      </c>
      <c r="D3518" t="str">
        <f>IF(E3518="","",IF(COUNTIF($E$2:E3518,E3518)&gt;1,"",SUMIFS(tbl_input[필요수량],tbl_input[집계키_지청],E3518)))</f>
        <v/>
      </c>
      <c r="E3518" t="str">
        <f>IFERROR(INDEX(tbl_input[집계키_지청],ROW()-1),"")</f>
        <v/>
      </c>
      <c r="F3518" t="str">
        <f t="shared" si="273"/>
        <v/>
      </c>
      <c r="G3518" t="str">
        <f t="shared" si="274"/>
        <v/>
      </c>
    </row>
    <row r="3519" spans="1:7" x14ac:dyDescent="0.4">
      <c r="A3519" t="str">
        <f t="shared" si="270"/>
        <v/>
      </c>
      <c r="B3519" t="str">
        <f t="shared" si="271"/>
        <v/>
      </c>
      <c r="C3519" t="str">
        <f t="shared" si="272"/>
        <v/>
      </c>
      <c r="D3519" t="str">
        <f>IF(E3519="","",IF(COUNTIF($E$2:E3519,E3519)&gt;1,"",SUMIFS(tbl_input[필요수량],tbl_input[집계키_지청],E3519)))</f>
        <v/>
      </c>
      <c r="E3519" t="str">
        <f>IFERROR(INDEX(tbl_input[집계키_지청],ROW()-1),"")</f>
        <v/>
      </c>
      <c r="F3519" t="str">
        <f t="shared" si="273"/>
        <v/>
      </c>
      <c r="G3519" t="str">
        <f t="shared" si="274"/>
        <v/>
      </c>
    </row>
    <row r="3520" spans="1:7" x14ac:dyDescent="0.4">
      <c r="A3520" t="str">
        <f t="shared" si="270"/>
        <v/>
      </c>
      <c r="B3520" t="str">
        <f t="shared" si="271"/>
        <v/>
      </c>
      <c r="C3520" t="str">
        <f t="shared" si="272"/>
        <v/>
      </c>
      <c r="D3520" t="str">
        <f>IF(E3520="","",IF(COUNTIF($E$2:E3520,E3520)&gt;1,"",SUMIFS(tbl_input[필요수량],tbl_input[집계키_지청],E3520)))</f>
        <v/>
      </c>
      <c r="E3520" t="str">
        <f>IFERROR(INDEX(tbl_input[집계키_지청],ROW()-1),"")</f>
        <v/>
      </c>
      <c r="F3520" t="str">
        <f t="shared" si="273"/>
        <v/>
      </c>
      <c r="G3520" t="str">
        <f t="shared" si="274"/>
        <v/>
      </c>
    </row>
    <row r="3521" spans="1:7" x14ac:dyDescent="0.4">
      <c r="A3521" t="str">
        <f t="shared" si="270"/>
        <v/>
      </c>
      <c r="B3521" t="str">
        <f t="shared" si="271"/>
        <v/>
      </c>
      <c r="C3521" t="str">
        <f t="shared" si="272"/>
        <v/>
      </c>
      <c r="D3521" t="str">
        <f>IF(E3521="","",IF(COUNTIF($E$2:E3521,E3521)&gt;1,"",SUMIFS(tbl_input[필요수량],tbl_input[집계키_지청],E3521)))</f>
        <v/>
      </c>
      <c r="E3521" t="str">
        <f>IFERROR(INDEX(tbl_input[집계키_지청],ROW()-1),"")</f>
        <v/>
      </c>
      <c r="F3521" t="str">
        <f t="shared" si="273"/>
        <v/>
      </c>
      <c r="G3521" t="str">
        <f t="shared" si="274"/>
        <v/>
      </c>
    </row>
    <row r="3522" spans="1:7" x14ac:dyDescent="0.4">
      <c r="A3522" t="str">
        <f t="shared" ref="A3522:A3585" si="275">IF(E3522="","",LEFT(E3522,F3522-1))</f>
        <v/>
      </c>
      <c r="B3522" t="str">
        <f t="shared" ref="B3522:B3585" si="276">IF(E3522="","",MID(E3522,F3522+1,G3522-F3522-1))</f>
        <v/>
      </c>
      <c r="C3522" t="str">
        <f t="shared" ref="C3522:C3585" si="277">IF(E3522="","",MID(E3522,G3522+1,999))</f>
        <v/>
      </c>
      <c r="D3522" t="str">
        <f>IF(E3522="","",IF(COUNTIF($E$2:E3522,E3522)&gt;1,"",SUMIFS(tbl_input[필요수량],tbl_input[집계키_지청],E3522)))</f>
        <v/>
      </c>
      <c r="E3522" t="str">
        <f>IFERROR(INDEX(tbl_input[집계키_지청],ROW()-1),"")</f>
        <v/>
      </c>
      <c r="F3522" t="str">
        <f t="shared" ref="F3522:F3585" si="278">IF(E3522="","",FIND("♦",E3522))</f>
        <v/>
      </c>
      <c r="G3522" t="str">
        <f t="shared" ref="G3522:G3585" si="279">IF(E3522="","",FIND("♦",E3522,F3522+1))</f>
        <v/>
      </c>
    </row>
    <row r="3523" spans="1:7" x14ac:dyDescent="0.4">
      <c r="A3523" t="str">
        <f t="shared" si="275"/>
        <v/>
      </c>
      <c r="B3523" t="str">
        <f t="shared" si="276"/>
        <v/>
      </c>
      <c r="C3523" t="str">
        <f t="shared" si="277"/>
        <v/>
      </c>
      <c r="D3523" t="str">
        <f>IF(E3523="","",IF(COUNTIF($E$2:E3523,E3523)&gt;1,"",SUMIFS(tbl_input[필요수량],tbl_input[집계키_지청],E3523)))</f>
        <v/>
      </c>
      <c r="E3523" t="str">
        <f>IFERROR(INDEX(tbl_input[집계키_지청],ROW()-1),"")</f>
        <v/>
      </c>
      <c r="F3523" t="str">
        <f t="shared" si="278"/>
        <v/>
      </c>
      <c r="G3523" t="str">
        <f t="shared" si="279"/>
        <v/>
      </c>
    </row>
    <row r="3524" spans="1:7" x14ac:dyDescent="0.4">
      <c r="A3524" t="str">
        <f t="shared" si="275"/>
        <v/>
      </c>
      <c r="B3524" t="str">
        <f t="shared" si="276"/>
        <v/>
      </c>
      <c r="C3524" t="str">
        <f t="shared" si="277"/>
        <v/>
      </c>
      <c r="D3524" t="str">
        <f>IF(E3524="","",IF(COUNTIF($E$2:E3524,E3524)&gt;1,"",SUMIFS(tbl_input[필요수량],tbl_input[집계키_지청],E3524)))</f>
        <v/>
      </c>
      <c r="E3524" t="str">
        <f>IFERROR(INDEX(tbl_input[집계키_지청],ROW()-1),"")</f>
        <v/>
      </c>
      <c r="F3524" t="str">
        <f t="shared" si="278"/>
        <v/>
      </c>
      <c r="G3524" t="str">
        <f t="shared" si="279"/>
        <v/>
      </c>
    </row>
    <row r="3525" spans="1:7" x14ac:dyDescent="0.4">
      <c r="A3525" t="str">
        <f t="shared" si="275"/>
        <v/>
      </c>
      <c r="B3525" t="str">
        <f t="shared" si="276"/>
        <v/>
      </c>
      <c r="C3525" t="str">
        <f t="shared" si="277"/>
        <v/>
      </c>
      <c r="D3525" t="str">
        <f>IF(E3525="","",IF(COUNTIF($E$2:E3525,E3525)&gt;1,"",SUMIFS(tbl_input[필요수량],tbl_input[집계키_지청],E3525)))</f>
        <v/>
      </c>
      <c r="E3525" t="str">
        <f>IFERROR(INDEX(tbl_input[집계키_지청],ROW()-1),"")</f>
        <v/>
      </c>
      <c r="F3525" t="str">
        <f t="shared" si="278"/>
        <v/>
      </c>
      <c r="G3525" t="str">
        <f t="shared" si="279"/>
        <v/>
      </c>
    </row>
    <row r="3526" spans="1:7" x14ac:dyDescent="0.4">
      <c r="A3526" t="str">
        <f t="shared" si="275"/>
        <v/>
      </c>
      <c r="B3526" t="str">
        <f t="shared" si="276"/>
        <v/>
      </c>
      <c r="C3526" t="str">
        <f t="shared" si="277"/>
        <v/>
      </c>
      <c r="D3526" t="str">
        <f>IF(E3526="","",IF(COUNTIF($E$2:E3526,E3526)&gt;1,"",SUMIFS(tbl_input[필요수량],tbl_input[집계키_지청],E3526)))</f>
        <v/>
      </c>
      <c r="E3526" t="str">
        <f>IFERROR(INDEX(tbl_input[집계키_지청],ROW()-1),"")</f>
        <v/>
      </c>
      <c r="F3526" t="str">
        <f t="shared" si="278"/>
        <v/>
      </c>
      <c r="G3526" t="str">
        <f t="shared" si="279"/>
        <v/>
      </c>
    </row>
    <row r="3527" spans="1:7" x14ac:dyDescent="0.4">
      <c r="A3527" t="str">
        <f t="shared" si="275"/>
        <v/>
      </c>
      <c r="B3527" t="str">
        <f t="shared" si="276"/>
        <v/>
      </c>
      <c r="C3527" t="str">
        <f t="shared" si="277"/>
        <v/>
      </c>
      <c r="D3527" t="str">
        <f>IF(E3527="","",IF(COUNTIF($E$2:E3527,E3527)&gt;1,"",SUMIFS(tbl_input[필요수량],tbl_input[집계키_지청],E3527)))</f>
        <v/>
      </c>
      <c r="E3527" t="str">
        <f>IFERROR(INDEX(tbl_input[집계키_지청],ROW()-1),"")</f>
        <v/>
      </c>
      <c r="F3527" t="str">
        <f t="shared" si="278"/>
        <v/>
      </c>
      <c r="G3527" t="str">
        <f t="shared" si="279"/>
        <v/>
      </c>
    </row>
    <row r="3528" spans="1:7" x14ac:dyDescent="0.4">
      <c r="A3528" t="str">
        <f t="shared" si="275"/>
        <v/>
      </c>
      <c r="B3528" t="str">
        <f t="shared" si="276"/>
        <v/>
      </c>
      <c r="C3528" t="str">
        <f t="shared" si="277"/>
        <v/>
      </c>
      <c r="D3528" t="str">
        <f>IF(E3528="","",IF(COUNTIF($E$2:E3528,E3528)&gt;1,"",SUMIFS(tbl_input[필요수량],tbl_input[집계키_지청],E3528)))</f>
        <v/>
      </c>
      <c r="E3528" t="str">
        <f>IFERROR(INDEX(tbl_input[집계키_지청],ROW()-1),"")</f>
        <v/>
      </c>
      <c r="F3528" t="str">
        <f t="shared" si="278"/>
        <v/>
      </c>
      <c r="G3528" t="str">
        <f t="shared" si="279"/>
        <v/>
      </c>
    </row>
    <row r="3529" spans="1:7" x14ac:dyDescent="0.4">
      <c r="A3529" t="str">
        <f t="shared" si="275"/>
        <v/>
      </c>
      <c r="B3529" t="str">
        <f t="shared" si="276"/>
        <v/>
      </c>
      <c r="C3529" t="str">
        <f t="shared" si="277"/>
        <v/>
      </c>
      <c r="D3529" t="str">
        <f>IF(E3529="","",IF(COUNTIF($E$2:E3529,E3529)&gt;1,"",SUMIFS(tbl_input[필요수량],tbl_input[집계키_지청],E3529)))</f>
        <v/>
      </c>
      <c r="E3529" t="str">
        <f>IFERROR(INDEX(tbl_input[집계키_지청],ROW()-1),"")</f>
        <v/>
      </c>
      <c r="F3529" t="str">
        <f t="shared" si="278"/>
        <v/>
      </c>
      <c r="G3529" t="str">
        <f t="shared" si="279"/>
        <v/>
      </c>
    </row>
    <row r="3530" spans="1:7" x14ac:dyDescent="0.4">
      <c r="A3530" t="str">
        <f t="shared" si="275"/>
        <v/>
      </c>
      <c r="B3530" t="str">
        <f t="shared" si="276"/>
        <v/>
      </c>
      <c r="C3530" t="str">
        <f t="shared" si="277"/>
        <v/>
      </c>
      <c r="D3530" t="str">
        <f>IF(E3530="","",IF(COUNTIF($E$2:E3530,E3530)&gt;1,"",SUMIFS(tbl_input[필요수량],tbl_input[집계키_지청],E3530)))</f>
        <v/>
      </c>
      <c r="E3530" t="str">
        <f>IFERROR(INDEX(tbl_input[집계키_지청],ROW()-1),"")</f>
        <v/>
      </c>
      <c r="F3530" t="str">
        <f t="shared" si="278"/>
        <v/>
      </c>
      <c r="G3530" t="str">
        <f t="shared" si="279"/>
        <v/>
      </c>
    </row>
    <row r="3531" spans="1:7" x14ac:dyDescent="0.4">
      <c r="A3531" t="str">
        <f t="shared" si="275"/>
        <v/>
      </c>
      <c r="B3531" t="str">
        <f t="shared" si="276"/>
        <v/>
      </c>
      <c r="C3531" t="str">
        <f t="shared" si="277"/>
        <v/>
      </c>
      <c r="D3531" t="str">
        <f>IF(E3531="","",IF(COUNTIF($E$2:E3531,E3531)&gt;1,"",SUMIFS(tbl_input[필요수량],tbl_input[집계키_지청],E3531)))</f>
        <v/>
      </c>
      <c r="E3531" t="str">
        <f>IFERROR(INDEX(tbl_input[집계키_지청],ROW()-1),"")</f>
        <v/>
      </c>
      <c r="F3531" t="str">
        <f t="shared" si="278"/>
        <v/>
      </c>
      <c r="G3531" t="str">
        <f t="shared" si="279"/>
        <v/>
      </c>
    </row>
    <row r="3532" spans="1:7" x14ac:dyDescent="0.4">
      <c r="A3532" t="str">
        <f t="shared" si="275"/>
        <v/>
      </c>
      <c r="B3532" t="str">
        <f t="shared" si="276"/>
        <v/>
      </c>
      <c r="C3532" t="str">
        <f t="shared" si="277"/>
        <v/>
      </c>
      <c r="D3532" t="str">
        <f>IF(E3532="","",IF(COUNTIF($E$2:E3532,E3532)&gt;1,"",SUMIFS(tbl_input[필요수량],tbl_input[집계키_지청],E3532)))</f>
        <v/>
      </c>
      <c r="E3532" t="str">
        <f>IFERROR(INDEX(tbl_input[집계키_지청],ROW()-1),"")</f>
        <v/>
      </c>
      <c r="F3532" t="str">
        <f t="shared" si="278"/>
        <v/>
      </c>
      <c r="G3532" t="str">
        <f t="shared" si="279"/>
        <v/>
      </c>
    </row>
    <row r="3533" spans="1:7" x14ac:dyDescent="0.4">
      <c r="A3533" t="str">
        <f t="shared" si="275"/>
        <v/>
      </c>
      <c r="B3533" t="str">
        <f t="shared" si="276"/>
        <v/>
      </c>
      <c r="C3533" t="str">
        <f t="shared" si="277"/>
        <v/>
      </c>
      <c r="D3533" t="str">
        <f>IF(E3533="","",IF(COUNTIF($E$2:E3533,E3533)&gt;1,"",SUMIFS(tbl_input[필요수량],tbl_input[집계키_지청],E3533)))</f>
        <v/>
      </c>
      <c r="E3533" t="str">
        <f>IFERROR(INDEX(tbl_input[집계키_지청],ROW()-1),"")</f>
        <v/>
      </c>
      <c r="F3533" t="str">
        <f t="shared" si="278"/>
        <v/>
      </c>
      <c r="G3533" t="str">
        <f t="shared" si="279"/>
        <v/>
      </c>
    </row>
    <row r="3534" spans="1:7" x14ac:dyDescent="0.4">
      <c r="A3534" t="str">
        <f t="shared" si="275"/>
        <v/>
      </c>
      <c r="B3534" t="str">
        <f t="shared" si="276"/>
        <v/>
      </c>
      <c r="C3534" t="str">
        <f t="shared" si="277"/>
        <v/>
      </c>
      <c r="D3534" t="str">
        <f>IF(E3534="","",IF(COUNTIF($E$2:E3534,E3534)&gt;1,"",SUMIFS(tbl_input[필요수량],tbl_input[집계키_지청],E3534)))</f>
        <v/>
      </c>
      <c r="E3534" t="str">
        <f>IFERROR(INDEX(tbl_input[집계키_지청],ROW()-1),"")</f>
        <v/>
      </c>
      <c r="F3534" t="str">
        <f t="shared" si="278"/>
        <v/>
      </c>
      <c r="G3534" t="str">
        <f t="shared" si="279"/>
        <v/>
      </c>
    </row>
    <row r="3535" spans="1:7" x14ac:dyDescent="0.4">
      <c r="A3535" t="str">
        <f t="shared" si="275"/>
        <v/>
      </c>
      <c r="B3535" t="str">
        <f t="shared" si="276"/>
        <v/>
      </c>
      <c r="C3535" t="str">
        <f t="shared" si="277"/>
        <v/>
      </c>
      <c r="D3535" t="str">
        <f>IF(E3535="","",IF(COUNTIF($E$2:E3535,E3535)&gt;1,"",SUMIFS(tbl_input[필요수량],tbl_input[집계키_지청],E3535)))</f>
        <v/>
      </c>
      <c r="E3535" t="str">
        <f>IFERROR(INDEX(tbl_input[집계키_지청],ROW()-1),"")</f>
        <v/>
      </c>
      <c r="F3535" t="str">
        <f t="shared" si="278"/>
        <v/>
      </c>
      <c r="G3535" t="str">
        <f t="shared" si="279"/>
        <v/>
      </c>
    </row>
    <row r="3536" spans="1:7" x14ac:dyDescent="0.4">
      <c r="A3536" t="str">
        <f t="shared" si="275"/>
        <v/>
      </c>
      <c r="B3536" t="str">
        <f t="shared" si="276"/>
        <v/>
      </c>
      <c r="C3536" t="str">
        <f t="shared" si="277"/>
        <v/>
      </c>
      <c r="D3536" t="str">
        <f>IF(E3536="","",IF(COUNTIF($E$2:E3536,E3536)&gt;1,"",SUMIFS(tbl_input[필요수량],tbl_input[집계키_지청],E3536)))</f>
        <v/>
      </c>
      <c r="E3536" t="str">
        <f>IFERROR(INDEX(tbl_input[집계키_지청],ROW()-1),"")</f>
        <v/>
      </c>
      <c r="F3536" t="str">
        <f t="shared" si="278"/>
        <v/>
      </c>
      <c r="G3536" t="str">
        <f t="shared" si="279"/>
        <v/>
      </c>
    </row>
    <row r="3537" spans="1:7" x14ac:dyDescent="0.4">
      <c r="A3537" t="str">
        <f t="shared" si="275"/>
        <v/>
      </c>
      <c r="B3537" t="str">
        <f t="shared" si="276"/>
        <v/>
      </c>
      <c r="C3537" t="str">
        <f t="shared" si="277"/>
        <v/>
      </c>
      <c r="D3537" t="str">
        <f>IF(E3537="","",IF(COUNTIF($E$2:E3537,E3537)&gt;1,"",SUMIFS(tbl_input[필요수량],tbl_input[집계키_지청],E3537)))</f>
        <v/>
      </c>
      <c r="E3537" t="str">
        <f>IFERROR(INDEX(tbl_input[집계키_지청],ROW()-1),"")</f>
        <v/>
      </c>
      <c r="F3537" t="str">
        <f t="shared" si="278"/>
        <v/>
      </c>
      <c r="G3537" t="str">
        <f t="shared" si="279"/>
        <v/>
      </c>
    </row>
    <row r="3538" spans="1:7" x14ac:dyDescent="0.4">
      <c r="A3538" t="str">
        <f t="shared" si="275"/>
        <v/>
      </c>
      <c r="B3538" t="str">
        <f t="shared" si="276"/>
        <v/>
      </c>
      <c r="C3538" t="str">
        <f t="shared" si="277"/>
        <v/>
      </c>
      <c r="D3538" t="str">
        <f>IF(E3538="","",IF(COUNTIF($E$2:E3538,E3538)&gt;1,"",SUMIFS(tbl_input[필요수량],tbl_input[집계키_지청],E3538)))</f>
        <v/>
      </c>
      <c r="E3538" t="str">
        <f>IFERROR(INDEX(tbl_input[집계키_지청],ROW()-1),"")</f>
        <v/>
      </c>
      <c r="F3538" t="str">
        <f t="shared" si="278"/>
        <v/>
      </c>
      <c r="G3538" t="str">
        <f t="shared" si="279"/>
        <v/>
      </c>
    </row>
    <row r="3539" spans="1:7" x14ac:dyDescent="0.4">
      <c r="A3539" t="str">
        <f t="shared" si="275"/>
        <v/>
      </c>
      <c r="B3539" t="str">
        <f t="shared" si="276"/>
        <v/>
      </c>
      <c r="C3539" t="str">
        <f t="shared" si="277"/>
        <v/>
      </c>
      <c r="D3539" t="str">
        <f>IF(E3539="","",IF(COUNTIF($E$2:E3539,E3539)&gt;1,"",SUMIFS(tbl_input[필요수량],tbl_input[집계키_지청],E3539)))</f>
        <v/>
      </c>
      <c r="E3539" t="str">
        <f>IFERROR(INDEX(tbl_input[집계키_지청],ROW()-1),"")</f>
        <v/>
      </c>
      <c r="F3539" t="str">
        <f t="shared" si="278"/>
        <v/>
      </c>
      <c r="G3539" t="str">
        <f t="shared" si="279"/>
        <v/>
      </c>
    </row>
    <row r="3540" spans="1:7" x14ac:dyDescent="0.4">
      <c r="A3540" t="str">
        <f t="shared" si="275"/>
        <v/>
      </c>
      <c r="B3540" t="str">
        <f t="shared" si="276"/>
        <v/>
      </c>
      <c r="C3540" t="str">
        <f t="shared" si="277"/>
        <v/>
      </c>
      <c r="D3540" t="str">
        <f>IF(E3540="","",IF(COUNTIF($E$2:E3540,E3540)&gt;1,"",SUMIFS(tbl_input[필요수량],tbl_input[집계키_지청],E3540)))</f>
        <v/>
      </c>
      <c r="E3540" t="str">
        <f>IFERROR(INDEX(tbl_input[집계키_지청],ROW()-1),"")</f>
        <v/>
      </c>
      <c r="F3540" t="str">
        <f t="shared" si="278"/>
        <v/>
      </c>
      <c r="G3540" t="str">
        <f t="shared" si="279"/>
        <v/>
      </c>
    </row>
    <row r="3541" spans="1:7" x14ac:dyDescent="0.4">
      <c r="A3541" t="str">
        <f t="shared" si="275"/>
        <v/>
      </c>
      <c r="B3541" t="str">
        <f t="shared" si="276"/>
        <v/>
      </c>
      <c r="C3541" t="str">
        <f t="shared" si="277"/>
        <v/>
      </c>
      <c r="D3541" t="str">
        <f>IF(E3541="","",IF(COUNTIF($E$2:E3541,E3541)&gt;1,"",SUMIFS(tbl_input[필요수량],tbl_input[집계키_지청],E3541)))</f>
        <v/>
      </c>
      <c r="E3541" t="str">
        <f>IFERROR(INDEX(tbl_input[집계키_지청],ROW()-1),"")</f>
        <v/>
      </c>
      <c r="F3541" t="str">
        <f t="shared" si="278"/>
        <v/>
      </c>
      <c r="G3541" t="str">
        <f t="shared" si="279"/>
        <v/>
      </c>
    </row>
    <row r="3542" spans="1:7" x14ac:dyDescent="0.4">
      <c r="A3542" t="str">
        <f t="shared" si="275"/>
        <v/>
      </c>
      <c r="B3542" t="str">
        <f t="shared" si="276"/>
        <v/>
      </c>
      <c r="C3542" t="str">
        <f t="shared" si="277"/>
        <v/>
      </c>
      <c r="D3542" t="str">
        <f>IF(E3542="","",IF(COUNTIF($E$2:E3542,E3542)&gt;1,"",SUMIFS(tbl_input[필요수량],tbl_input[집계키_지청],E3542)))</f>
        <v/>
      </c>
      <c r="E3542" t="str">
        <f>IFERROR(INDEX(tbl_input[집계키_지청],ROW()-1),"")</f>
        <v/>
      </c>
      <c r="F3542" t="str">
        <f t="shared" si="278"/>
        <v/>
      </c>
      <c r="G3542" t="str">
        <f t="shared" si="279"/>
        <v/>
      </c>
    </row>
    <row r="3543" spans="1:7" x14ac:dyDescent="0.4">
      <c r="A3543" t="str">
        <f t="shared" si="275"/>
        <v/>
      </c>
      <c r="B3543" t="str">
        <f t="shared" si="276"/>
        <v/>
      </c>
      <c r="C3543" t="str">
        <f t="shared" si="277"/>
        <v/>
      </c>
      <c r="D3543" t="str">
        <f>IF(E3543="","",IF(COUNTIF($E$2:E3543,E3543)&gt;1,"",SUMIFS(tbl_input[필요수량],tbl_input[집계키_지청],E3543)))</f>
        <v/>
      </c>
      <c r="E3543" t="str">
        <f>IFERROR(INDEX(tbl_input[집계키_지청],ROW()-1),"")</f>
        <v/>
      </c>
      <c r="F3543" t="str">
        <f t="shared" si="278"/>
        <v/>
      </c>
      <c r="G3543" t="str">
        <f t="shared" si="279"/>
        <v/>
      </c>
    </row>
    <row r="3544" spans="1:7" x14ac:dyDescent="0.4">
      <c r="A3544" t="str">
        <f t="shared" si="275"/>
        <v/>
      </c>
      <c r="B3544" t="str">
        <f t="shared" si="276"/>
        <v/>
      </c>
      <c r="C3544" t="str">
        <f t="shared" si="277"/>
        <v/>
      </c>
      <c r="D3544" t="str">
        <f>IF(E3544="","",IF(COUNTIF($E$2:E3544,E3544)&gt;1,"",SUMIFS(tbl_input[필요수량],tbl_input[집계키_지청],E3544)))</f>
        <v/>
      </c>
      <c r="E3544" t="str">
        <f>IFERROR(INDEX(tbl_input[집계키_지청],ROW()-1),"")</f>
        <v/>
      </c>
      <c r="F3544" t="str">
        <f t="shared" si="278"/>
        <v/>
      </c>
      <c r="G3544" t="str">
        <f t="shared" si="279"/>
        <v/>
      </c>
    </row>
    <row r="3545" spans="1:7" x14ac:dyDescent="0.4">
      <c r="A3545" t="str">
        <f t="shared" si="275"/>
        <v/>
      </c>
      <c r="B3545" t="str">
        <f t="shared" si="276"/>
        <v/>
      </c>
      <c r="C3545" t="str">
        <f t="shared" si="277"/>
        <v/>
      </c>
      <c r="D3545" t="str">
        <f>IF(E3545="","",IF(COUNTIF($E$2:E3545,E3545)&gt;1,"",SUMIFS(tbl_input[필요수량],tbl_input[집계키_지청],E3545)))</f>
        <v/>
      </c>
      <c r="E3545" t="str">
        <f>IFERROR(INDEX(tbl_input[집계키_지청],ROW()-1),"")</f>
        <v/>
      </c>
      <c r="F3545" t="str">
        <f t="shared" si="278"/>
        <v/>
      </c>
      <c r="G3545" t="str">
        <f t="shared" si="279"/>
        <v/>
      </c>
    </row>
    <row r="3546" spans="1:7" x14ac:dyDescent="0.4">
      <c r="A3546" t="str">
        <f t="shared" si="275"/>
        <v/>
      </c>
      <c r="B3546" t="str">
        <f t="shared" si="276"/>
        <v/>
      </c>
      <c r="C3546" t="str">
        <f t="shared" si="277"/>
        <v/>
      </c>
      <c r="D3546" t="str">
        <f>IF(E3546="","",IF(COUNTIF($E$2:E3546,E3546)&gt;1,"",SUMIFS(tbl_input[필요수량],tbl_input[집계키_지청],E3546)))</f>
        <v/>
      </c>
      <c r="E3546" t="str">
        <f>IFERROR(INDEX(tbl_input[집계키_지청],ROW()-1),"")</f>
        <v/>
      </c>
      <c r="F3546" t="str">
        <f t="shared" si="278"/>
        <v/>
      </c>
      <c r="G3546" t="str">
        <f t="shared" si="279"/>
        <v/>
      </c>
    </row>
    <row r="3547" spans="1:7" x14ac:dyDescent="0.4">
      <c r="A3547" t="str">
        <f t="shared" si="275"/>
        <v/>
      </c>
      <c r="B3547" t="str">
        <f t="shared" si="276"/>
        <v/>
      </c>
      <c r="C3547" t="str">
        <f t="shared" si="277"/>
        <v/>
      </c>
      <c r="D3547" t="str">
        <f>IF(E3547="","",IF(COUNTIF($E$2:E3547,E3547)&gt;1,"",SUMIFS(tbl_input[필요수량],tbl_input[집계키_지청],E3547)))</f>
        <v/>
      </c>
      <c r="E3547" t="str">
        <f>IFERROR(INDEX(tbl_input[집계키_지청],ROW()-1),"")</f>
        <v/>
      </c>
      <c r="F3547" t="str">
        <f t="shared" si="278"/>
        <v/>
      </c>
      <c r="G3547" t="str">
        <f t="shared" si="279"/>
        <v/>
      </c>
    </row>
    <row r="3548" spans="1:7" x14ac:dyDescent="0.4">
      <c r="A3548" t="str">
        <f t="shared" si="275"/>
        <v/>
      </c>
      <c r="B3548" t="str">
        <f t="shared" si="276"/>
        <v/>
      </c>
      <c r="C3548" t="str">
        <f t="shared" si="277"/>
        <v/>
      </c>
      <c r="D3548" t="str">
        <f>IF(E3548="","",IF(COUNTIF($E$2:E3548,E3548)&gt;1,"",SUMIFS(tbl_input[필요수량],tbl_input[집계키_지청],E3548)))</f>
        <v/>
      </c>
      <c r="E3548" t="str">
        <f>IFERROR(INDEX(tbl_input[집계키_지청],ROW()-1),"")</f>
        <v/>
      </c>
      <c r="F3548" t="str">
        <f t="shared" si="278"/>
        <v/>
      </c>
      <c r="G3548" t="str">
        <f t="shared" si="279"/>
        <v/>
      </c>
    </row>
    <row r="3549" spans="1:7" x14ac:dyDescent="0.4">
      <c r="A3549" t="str">
        <f t="shared" si="275"/>
        <v/>
      </c>
      <c r="B3549" t="str">
        <f t="shared" si="276"/>
        <v/>
      </c>
      <c r="C3549" t="str">
        <f t="shared" si="277"/>
        <v/>
      </c>
      <c r="D3549" t="str">
        <f>IF(E3549="","",IF(COUNTIF($E$2:E3549,E3549)&gt;1,"",SUMIFS(tbl_input[필요수량],tbl_input[집계키_지청],E3549)))</f>
        <v/>
      </c>
      <c r="E3549" t="str">
        <f>IFERROR(INDEX(tbl_input[집계키_지청],ROW()-1),"")</f>
        <v/>
      </c>
      <c r="F3549" t="str">
        <f t="shared" si="278"/>
        <v/>
      </c>
      <c r="G3549" t="str">
        <f t="shared" si="279"/>
        <v/>
      </c>
    </row>
    <row r="3550" spans="1:7" x14ac:dyDescent="0.4">
      <c r="A3550" t="str">
        <f t="shared" si="275"/>
        <v/>
      </c>
      <c r="B3550" t="str">
        <f t="shared" si="276"/>
        <v/>
      </c>
      <c r="C3550" t="str">
        <f t="shared" si="277"/>
        <v/>
      </c>
      <c r="D3550" t="str">
        <f>IF(E3550="","",IF(COUNTIF($E$2:E3550,E3550)&gt;1,"",SUMIFS(tbl_input[필요수량],tbl_input[집계키_지청],E3550)))</f>
        <v/>
      </c>
      <c r="E3550" t="str">
        <f>IFERROR(INDEX(tbl_input[집계키_지청],ROW()-1),"")</f>
        <v/>
      </c>
      <c r="F3550" t="str">
        <f t="shared" si="278"/>
        <v/>
      </c>
      <c r="G3550" t="str">
        <f t="shared" si="279"/>
        <v/>
      </c>
    </row>
    <row r="3551" spans="1:7" x14ac:dyDescent="0.4">
      <c r="A3551" t="str">
        <f t="shared" si="275"/>
        <v/>
      </c>
      <c r="B3551" t="str">
        <f t="shared" si="276"/>
        <v/>
      </c>
      <c r="C3551" t="str">
        <f t="shared" si="277"/>
        <v/>
      </c>
      <c r="D3551" t="str">
        <f>IF(E3551="","",IF(COUNTIF($E$2:E3551,E3551)&gt;1,"",SUMIFS(tbl_input[필요수량],tbl_input[집계키_지청],E3551)))</f>
        <v/>
      </c>
      <c r="E3551" t="str">
        <f>IFERROR(INDEX(tbl_input[집계키_지청],ROW()-1),"")</f>
        <v/>
      </c>
      <c r="F3551" t="str">
        <f t="shared" si="278"/>
        <v/>
      </c>
      <c r="G3551" t="str">
        <f t="shared" si="279"/>
        <v/>
      </c>
    </row>
    <row r="3552" spans="1:7" x14ac:dyDescent="0.4">
      <c r="A3552" t="str">
        <f t="shared" si="275"/>
        <v/>
      </c>
      <c r="B3552" t="str">
        <f t="shared" si="276"/>
        <v/>
      </c>
      <c r="C3552" t="str">
        <f t="shared" si="277"/>
        <v/>
      </c>
      <c r="D3552" t="str">
        <f>IF(E3552="","",IF(COUNTIF($E$2:E3552,E3552)&gt;1,"",SUMIFS(tbl_input[필요수량],tbl_input[집계키_지청],E3552)))</f>
        <v/>
      </c>
      <c r="E3552" t="str">
        <f>IFERROR(INDEX(tbl_input[집계키_지청],ROW()-1),"")</f>
        <v/>
      </c>
      <c r="F3552" t="str">
        <f t="shared" si="278"/>
        <v/>
      </c>
      <c r="G3552" t="str">
        <f t="shared" si="279"/>
        <v/>
      </c>
    </row>
    <row r="3553" spans="1:7" x14ac:dyDescent="0.4">
      <c r="A3553" t="str">
        <f t="shared" si="275"/>
        <v/>
      </c>
      <c r="B3553" t="str">
        <f t="shared" si="276"/>
        <v/>
      </c>
      <c r="C3553" t="str">
        <f t="shared" si="277"/>
        <v/>
      </c>
      <c r="D3553" t="str">
        <f>IF(E3553="","",IF(COUNTIF($E$2:E3553,E3553)&gt;1,"",SUMIFS(tbl_input[필요수량],tbl_input[집계키_지청],E3553)))</f>
        <v/>
      </c>
      <c r="E3553" t="str">
        <f>IFERROR(INDEX(tbl_input[집계키_지청],ROW()-1),"")</f>
        <v/>
      </c>
      <c r="F3553" t="str">
        <f t="shared" si="278"/>
        <v/>
      </c>
      <c r="G3553" t="str">
        <f t="shared" si="279"/>
        <v/>
      </c>
    </row>
    <row r="3554" spans="1:7" x14ac:dyDescent="0.4">
      <c r="A3554" t="str">
        <f t="shared" si="275"/>
        <v/>
      </c>
      <c r="B3554" t="str">
        <f t="shared" si="276"/>
        <v/>
      </c>
      <c r="C3554" t="str">
        <f t="shared" si="277"/>
        <v/>
      </c>
      <c r="D3554" t="str">
        <f>IF(E3554="","",IF(COUNTIF($E$2:E3554,E3554)&gt;1,"",SUMIFS(tbl_input[필요수량],tbl_input[집계키_지청],E3554)))</f>
        <v/>
      </c>
      <c r="E3554" t="str">
        <f>IFERROR(INDEX(tbl_input[집계키_지청],ROW()-1),"")</f>
        <v/>
      </c>
      <c r="F3554" t="str">
        <f t="shared" si="278"/>
        <v/>
      </c>
      <c r="G3554" t="str">
        <f t="shared" si="279"/>
        <v/>
      </c>
    </row>
    <row r="3555" spans="1:7" x14ac:dyDescent="0.4">
      <c r="A3555" t="str">
        <f t="shared" si="275"/>
        <v/>
      </c>
      <c r="B3555" t="str">
        <f t="shared" si="276"/>
        <v/>
      </c>
      <c r="C3555" t="str">
        <f t="shared" si="277"/>
        <v/>
      </c>
      <c r="D3555" t="str">
        <f>IF(E3555="","",IF(COUNTIF($E$2:E3555,E3555)&gt;1,"",SUMIFS(tbl_input[필요수량],tbl_input[집계키_지청],E3555)))</f>
        <v/>
      </c>
      <c r="E3555" t="str">
        <f>IFERROR(INDEX(tbl_input[집계키_지청],ROW()-1),"")</f>
        <v/>
      </c>
      <c r="F3555" t="str">
        <f t="shared" si="278"/>
        <v/>
      </c>
      <c r="G3555" t="str">
        <f t="shared" si="279"/>
        <v/>
      </c>
    </row>
    <row r="3556" spans="1:7" x14ac:dyDescent="0.4">
      <c r="A3556" t="str">
        <f t="shared" si="275"/>
        <v/>
      </c>
      <c r="B3556" t="str">
        <f t="shared" si="276"/>
        <v/>
      </c>
      <c r="C3556" t="str">
        <f t="shared" si="277"/>
        <v/>
      </c>
      <c r="D3556" t="str">
        <f>IF(E3556="","",IF(COUNTIF($E$2:E3556,E3556)&gt;1,"",SUMIFS(tbl_input[필요수량],tbl_input[집계키_지청],E3556)))</f>
        <v/>
      </c>
      <c r="E3556" t="str">
        <f>IFERROR(INDEX(tbl_input[집계키_지청],ROW()-1),"")</f>
        <v/>
      </c>
      <c r="F3556" t="str">
        <f t="shared" si="278"/>
        <v/>
      </c>
      <c r="G3556" t="str">
        <f t="shared" si="279"/>
        <v/>
      </c>
    </row>
    <row r="3557" spans="1:7" x14ac:dyDescent="0.4">
      <c r="A3557" t="str">
        <f t="shared" si="275"/>
        <v/>
      </c>
      <c r="B3557" t="str">
        <f t="shared" si="276"/>
        <v/>
      </c>
      <c r="C3557" t="str">
        <f t="shared" si="277"/>
        <v/>
      </c>
      <c r="D3557" t="str">
        <f>IF(E3557="","",IF(COUNTIF($E$2:E3557,E3557)&gt;1,"",SUMIFS(tbl_input[필요수량],tbl_input[집계키_지청],E3557)))</f>
        <v/>
      </c>
      <c r="E3557" t="str">
        <f>IFERROR(INDEX(tbl_input[집계키_지청],ROW()-1),"")</f>
        <v/>
      </c>
      <c r="F3557" t="str">
        <f t="shared" si="278"/>
        <v/>
      </c>
      <c r="G3557" t="str">
        <f t="shared" si="279"/>
        <v/>
      </c>
    </row>
    <row r="3558" spans="1:7" x14ac:dyDescent="0.4">
      <c r="A3558" t="str">
        <f t="shared" si="275"/>
        <v/>
      </c>
      <c r="B3558" t="str">
        <f t="shared" si="276"/>
        <v/>
      </c>
      <c r="C3558" t="str">
        <f t="shared" si="277"/>
        <v/>
      </c>
      <c r="D3558" t="str">
        <f>IF(E3558="","",IF(COUNTIF($E$2:E3558,E3558)&gt;1,"",SUMIFS(tbl_input[필요수량],tbl_input[집계키_지청],E3558)))</f>
        <v/>
      </c>
      <c r="E3558" t="str">
        <f>IFERROR(INDEX(tbl_input[집계키_지청],ROW()-1),"")</f>
        <v/>
      </c>
      <c r="F3558" t="str">
        <f t="shared" si="278"/>
        <v/>
      </c>
      <c r="G3558" t="str">
        <f t="shared" si="279"/>
        <v/>
      </c>
    </row>
    <row r="3559" spans="1:7" x14ac:dyDescent="0.4">
      <c r="A3559" t="str">
        <f t="shared" si="275"/>
        <v/>
      </c>
      <c r="B3559" t="str">
        <f t="shared" si="276"/>
        <v/>
      </c>
      <c r="C3559" t="str">
        <f t="shared" si="277"/>
        <v/>
      </c>
      <c r="D3559" t="str">
        <f>IF(E3559="","",IF(COUNTIF($E$2:E3559,E3559)&gt;1,"",SUMIFS(tbl_input[필요수량],tbl_input[집계키_지청],E3559)))</f>
        <v/>
      </c>
      <c r="E3559" t="str">
        <f>IFERROR(INDEX(tbl_input[집계키_지청],ROW()-1),"")</f>
        <v/>
      </c>
      <c r="F3559" t="str">
        <f t="shared" si="278"/>
        <v/>
      </c>
      <c r="G3559" t="str">
        <f t="shared" si="279"/>
        <v/>
      </c>
    </row>
    <row r="3560" spans="1:7" x14ac:dyDescent="0.4">
      <c r="A3560" t="str">
        <f t="shared" si="275"/>
        <v/>
      </c>
      <c r="B3560" t="str">
        <f t="shared" si="276"/>
        <v/>
      </c>
      <c r="C3560" t="str">
        <f t="shared" si="277"/>
        <v/>
      </c>
      <c r="D3560" t="str">
        <f>IF(E3560="","",IF(COUNTIF($E$2:E3560,E3560)&gt;1,"",SUMIFS(tbl_input[필요수량],tbl_input[집계키_지청],E3560)))</f>
        <v/>
      </c>
      <c r="E3560" t="str">
        <f>IFERROR(INDEX(tbl_input[집계키_지청],ROW()-1),"")</f>
        <v/>
      </c>
      <c r="F3560" t="str">
        <f t="shared" si="278"/>
        <v/>
      </c>
      <c r="G3560" t="str">
        <f t="shared" si="279"/>
        <v/>
      </c>
    </row>
    <row r="3561" spans="1:7" x14ac:dyDescent="0.4">
      <c r="A3561" t="str">
        <f t="shared" si="275"/>
        <v/>
      </c>
      <c r="B3561" t="str">
        <f t="shared" si="276"/>
        <v/>
      </c>
      <c r="C3561" t="str">
        <f t="shared" si="277"/>
        <v/>
      </c>
      <c r="D3561" t="str">
        <f>IF(E3561="","",IF(COUNTIF($E$2:E3561,E3561)&gt;1,"",SUMIFS(tbl_input[필요수량],tbl_input[집계키_지청],E3561)))</f>
        <v/>
      </c>
      <c r="E3561" t="str">
        <f>IFERROR(INDEX(tbl_input[집계키_지청],ROW()-1),"")</f>
        <v/>
      </c>
      <c r="F3561" t="str">
        <f t="shared" si="278"/>
        <v/>
      </c>
      <c r="G3561" t="str">
        <f t="shared" si="279"/>
        <v/>
      </c>
    </row>
    <row r="3562" spans="1:7" x14ac:dyDescent="0.4">
      <c r="A3562" t="str">
        <f t="shared" si="275"/>
        <v/>
      </c>
      <c r="B3562" t="str">
        <f t="shared" si="276"/>
        <v/>
      </c>
      <c r="C3562" t="str">
        <f t="shared" si="277"/>
        <v/>
      </c>
      <c r="D3562" t="str">
        <f>IF(E3562="","",IF(COUNTIF($E$2:E3562,E3562)&gt;1,"",SUMIFS(tbl_input[필요수량],tbl_input[집계키_지청],E3562)))</f>
        <v/>
      </c>
      <c r="E3562" t="str">
        <f>IFERROR(INDEX(tbl_input[집계키_지청],ROW()-1),"")</f>
        <v/>
      </c>
      <c r="F3562" t="str">
        <f t="shared" si="278"/>
        <v/>
      </c>
      <c r="G3562" t="str">
        <f t="shared" si="279"/>
        <v/>
      </c>
    </row>
    <row r="3563" spans="1:7" x14ac:dyDescent="0.4">
      <c r="A3563" t="str">
        <f t="shared" si="275"/>
        <v/>
      </c>
      <c r="B3563" t="str">
        <f t="shared" si="276"/>
        <v/>
      </c>
      <c r="C3563" t="str">
        <f t="shared" si="277"/>
        <v/>
      </c>
      <c r="D3563" t="str">
        <f>IF(E3563="","",IF(COUNTIF($E$2:E3563,E3563)&gt;1,"",SUMIFS(tbl_input[필요수량],tbl_input[집계키_지청],E3563)))</f>
        <v/>
      </c>
      <c r="E3563" t="str">
        <f>IFERROR(INDEX(tbl_input[집계키_지청],ROW()-1),"")</f>
        <v/>
      </c>
      <c r="F3563" t="str">
        <f t="shared" si="278"/>
        <v/>
      </c>
      <c r="G3563" t="str">
        <f t="shared" si="279"/>
        <v/>
      </c>
    </row>
    <row r="3564" spans="1:7" x14ac:dyDescent="0.4">
      <c r="A3564" t="str">
        <f t="shared" si="275"/>
        <v/>
      </c>
      <c r="B3564" t="str">
        <f t="shared" si="276"/>
        <v/>
      </c>
      <c r="C3564" t="str">
        <f t="shared" si="277"/>
        <v/>
      </c>
      <c r="D3564" t="str">
        <f>IF(E3564="","",IF(COUNTIF($E$2:E3564,E3564)&gt;1,"",SUMIFS(tbl_input[필요수량],tbl_input[집계키_지청],E3564)))</f>
        <v/>
      </c>
      <c r="E3564" t="str">
        <f>IFERROR(INDEX(tbl_input[집계키_지청],ROW()-1),"")</f>
        <v/>
      </c>
      <c r="F3564" t="str">
        <f t="shared" si="278"/>
        <v/>
      </c>
      <c r="G3564" t="str">
        <f t="shared" si="279"/>
        <v/>
      </c>
    </row>
    <row r="3565" spans="1:7" x14ac:dyDescent="0.4">
      <c r="A3565" t="str">
        <f t="shared" si="275"/>
        <v/>
      </c>
      <c r="B3565" t="str">
        <f t="shared" si="276"/>
        <v/>
      </c>
      <c r="C3565" t="str">
        <f t="shared" si="277"/>
        <v/>
      </c>
      <c r="D3565" t="str">
        <f>IF(E3565="","",IF(COUNTIF($E$2:E3565,E3565)&gt;1,"",SUMIFS(tbl_input[필요수량],tbl_input[집계키_지청],E3565)))</f>
        <v/>
      </c>
      <c r="E3565" t="str">
        <f>IFERROR(INDEX(tbl_input[집계키_지청],ROW()-1),"")</f>
        <v/>
      </c>
      <c r="F3565" t="str">
        <f t="shared" si="278"/>
        <v/>
      </c>
      <c r="G3565" t="str">
        <f t="shared" si="279"/>
        <v/>
      </c>
    </row>
    <row r="3566" spans="1:7" x14ac:dyDescent="0.4">
      <c r="A3566" t="str">
        <f t="shared" si="275"/>
        <v/>
      </c>
      <c r="B3566" t="str">
        <f t="shared" si="276"/>
        <v/>
      </c>
      <c r="C3566" t="str">
        <f t="shared" si="277"/>
        <v/>
      </c>
      <c r="D3566" t="str">
        <f>IF(E3566="","",IF(COUNTIF($E$2:E3566,E3566)&gt;1,"",SUMIFS(tbl_input[필요수량],tbl_input[집계키_지청],E3566)))</f>
        <v/>
      </c>
      <c r="E3566" t="str">
        <f>IFERROR(INDEX(tbl_input[집계키_지청],ROW()-1),"")</f>
        <v/>
      </c>
      <c r="F3566" t="str">
        <f t="shared" si="278"/>
        <v/>
      </c>
      <c r="G3566" t="str">
        <f t="shared" si="279"/>
        <v/>
      </c>
    </row>
    <row r="3567" spans="1:7" x14ac:dyDescent="0.4">
      <c r="A3567" t="str">
        <f t="shared" si="275"/>
        <v/>
      </c>
      <c r="B3567" t="str">
        <f t="shared" si="276"/>
        <v/>
      </c>
      <c r="C3567" t="str">
        <f t="shared" si="277"/>
        <v/>
      </c>
      <c r="D3567" t="str">
        <f>IF(E3567="","",IF(COUNTIF($E$2:E3567,E3567)&gt;1,"",SUMIFS(tbl_input[필요수량],tbl_input[집계키_지청],E3567)))</f>
        <v/>
      </c>
      <c r="E3567" t="str">
        <f>IFERROR(INDEX(tbl_input[집계키_지청],ROW()-1),"")</f>
        <v/>
      </c>
      <c r="F3567" t="str">
        <f t="shared" si="278"/>
        <v/>
      </c>
      <c r="G3567" t="str">
        <f t="shared" si="279"/>
        <v/>
      </c>
    </row>
    <row r="3568" spans="1:7" x14ac:dyDescent="0.4">
      <c r="A3568" t="str">
        <f t="shared" si="275"/>
        <v/>
      </c>
      <c r="B3568" t="str">
        <f t="shared" si="276"/>
        <v/>
      </c>
      <c r="C3568" t="str">
        <f t="shared" si="277"/>
        <v/>
      </c>
      <c r="D3568" t="str">
        <f>IF(E3568="","",IF(COUNTIF($E$2:E3568,E3568)&gt;1,"",SUMIFS(tbl_input[필요수량],tbl_input[집계키_지청],E3568)))</f>
        <v/>
      </c>
      <c r="E3568" t="str">
        <f>IFERROR(INDEX(tbl_input[집계키_지청],ROW()-1),"")</f>
        <v/>
      </c>
      <c r="F3568" t="str">
        <f t="shared" si="278"/>
        <v/>
      </c>
      <c r="G3568" t="str">
        <f t="shared" si="279"/>
        <v/>
      </c>
    </row>
    <row r="3569" spans="1:7" x14ac:dyDescent="0.4">
      <c r="A3569" t="str">
        <f t="shared" si="275"/>
        <v/>
      </c>
      <c r="B3569" t="str">
        <f t="shared" si="276"/>
        <v/>
      </c>
      <c r="C3569" t="str">
        <f t="shared" si="277"/>
        <v/>
      </c>
      <c r="D3569" t="str">
        <f>IF(E3569="","",IF(COUNTIF($E$2:E3569,E3569)&gt;1,"",SUMIFS(tbl_input[필요수량],tbl_input[집계키_지청],E3569)))</f>
        <v/>
      </c>
      <c r="E3569" t="str">
        <f>IFERROR(INDEX(tbl_input[집계키_지청],ROW()-1),"")</f>
        <v/>
      </c>
      <c r="F3569" t="str">
        <f t="shared" si="278"/>
        <v/>
      </c>
      <c r="G3569" t="str">
        <f t="shared" si="279"/>
        <v/>
      </c>
    </row>
    <row r="3570" spans="1:7" x14ac:dyDescent="0.4">
      <c r="A3570" t="str">
        <f t="shared" si="275"/>
        <v/>
      </c>
      <c r="B3570" t="str">
        <f t="shared" si="276"/>
        <v/>
      </c>
      <c r="C3570" t="str">
        <f t="shared" si="277"/>
        <v/>
      </c>
      <c r="D3570" t="str">
        <f>IF(E3570="","",IF(COUNTIF($E$2:E3570,E3570)&gt;1,"",SUMIFS(tbl_input[필요수량],tbl_input[집계키_지청],E3570)))</f>
        <v/>
      </c>
      <c r="E3570" t="str">
        <f>IFERROR(INDEX(tbl_input[집계키_지청],ROW()-1),"")</f>
        <v/>
      </c>
      <c r="F3570" t="str">
        <f t="shared" si="278"/>
        <v/>
      </c>
      <c r="G3570" t="str">
        <f t="shared" si="279"/>
        <v/>
      </c>
    </row>
    <row r="3571" spans="1:7" x14ac:dyDescent="0.4">
      <c r="A3571" t="str">
        <f t="shared" si="275"/>
        <v/>
      </c>
      <c r="B3571" t="str">
        <f t="shared" si="276"/>
        <v/>
      </c>
      <c r="C3571" t="str">
        <f t="shared" si="277"/>
        <v/>
      </c>
      <c r="D3571" t="str">
        <f>IF(E3571="","",IF(COUNTIF($E$2:E3571,E3571)&gt;1,"",SUMIFS(tbl_input[필요수량],tbl_input[집계키_지청],E3571)))</f>
        <v/>
      </c>
      <c r="E3571" t="str">
        <f>IFERROR(INDEX(tbl_input[집계키_지청],ROW()-1),"")</f>
        <v/>
      </c>
      <c r="F3571" t="str">
        <f t="shared" si="278"/>
        <v/>
      </c>
      <c r="G3571" t="str">
        <f t="shared" si="279"/>
        <v/>
      </c>
    </row>
    <row r="3572" spans="1:7" x14ac:dyDescent="0.4">
      <c r="A3572" t="str">
        <f t="shared" si="275"/>
        <v/>
      </c>
      <c r="B3572" t="str">
        <f t="shared" si="276"/>
        <v/>
      </c>
      <c r="C3572" t="str">
        <f t="shared" si="277"/>
        <v/>
      </c>
      <c r="D3572" t="str">
        <f>IF(E3572="","",IF(COUNTIF($E$2:E3572,E3572)&gt;1,"",SUMIFS(tbl_input[필요수량],tbl_input[집계키_지청],E3572)))</f>
        <v/>
      </c>
      <c r="E3572" t="str">
        <f>IFERROR(INDEX(tbl_input[집계키_지청],ROW()-1),"")</f>
        <v/>
      </c>
      <c r="F3572" t="str">
        <f t="shared" si="278"/>
        <v/>
      </c>
      <c r="G3572" t="str">
        <f t="shared" si="279"/>
        <v/>
      </c>
    </row>
    <row r="3573" spans="1:7" x14ac:dyDescent="0.4">
      <c r="A3573" t="str">
        <f t="shared" si="275"/>
        <v/>
      </c>
      <c r="B3573" t="str">
        <f t="shared" si="276"/>
        <v/>
      </c>
      <c r="C3573" t="str">
        <f t="shared" si="277"/>
        <v/>
      </c>
      <c r="D3573" t="str">
        <f>IF(E3573="","",IF(COUNTIF($E$2:E3573,E3573)&gt;1,"",SUMIFS(tbl_input[필요수량],tbl_input[집계키_지청],E3573)))</f>
        <v/>
      </c>
      <c r="E3573" t="str">
        <f>IFERROR(INDEX(tbl_input[집계키_지청],ROW()-1),"")</f>
        <v/>
      </c>
      <c r="F3573" t="str">
        <f t="shared" si="278"/>
        <v/>
      </c>
      <c r="G3573" t="str">
        <f t="shared" si="279"/>
        <v/>
      </c>
    </row>
    <row r="3574" spans="1:7" x14ac:dyDescent="0.4">
      <c r="A3574" t="str">
        <f t="shared" si="275"/>
        <v/>
      </c>
      <c r="B3574" t="str">
        <f t="shared" si="276"/>
        <v/>
      </c>
      <c r="C3574" t="str">
        <f t="shared" si="277"/>
        <v/>
      </c>
      <c r="D3574" t="str">
        <f>IF(E3574="","",IF(COUNTIF($E$2:E3574,E3574)&gt;1,"",SUMIFS(tbl_input[필요수량],tbl_input[집계키_지청],E3574)))</f>
        <v/>
      </c>
      <c r="E3574" t="str">
        <f>IFERROR(INDEX(tbl_input[집계키_지청],ROW()-1),"")</f>
        <v/>
      </c>
      <c r="F3574" t="str">
        <f t="shared" si="278"/>
        <v/>
      </c>
      <c r="G3574" t="str">
        <f t="shared" si="279"/>
        <v/>
      </c>
    </row>
    <row r="3575" spans="1:7" x14ac:dyDescent="0.4">
      <c r="A3575" t="str">
        <f t="shared" si="275"/>
        <v/>
      </c>
      <c r="B3575" t="str">
        <f t="shared" si="276"/>
        <v/>
      </c>
      <c r="C3575" t="str">
        <f t="shared" si="277"/>
        <v/>
      </c>
      <c r="D3575" t="str">
        <f>IF(E3575="","",IF(COUNTIF($E$2:E3575,E3575)&gt;1,"",SUMIFS(tbl_input[필요수량],tbl_input[집계키_지청],E3575)))</f>
        <v/>
      </c>
      <c r="E3575" t="str">
        <f>IFERROR(INDEX(tbl_input[집계키_지청],ROW()-1),"")</f>
        <v/>
      </c>
      <c r="F3575" t="str">
        <f t="shared" si="278"/>
        <v/>
      </c>
      <c r="G3575" t="str">
        <f t="shared" si="279"/>
        <v/>
      </c>
    </row>
    <row r="3576" spans="1:7" x14ac:dyDescent="0.4">
      <c r="A3576" t="str">
        <f t="shared" si="275"/>
        <v/>
      </c>
      <c r="B3576" t="str">
        <f t="shared" si="276"/>
        <v/>
      </c>
      <c r="C3576" t="str">
        <f t="shared" si="277"/>
        <v/>
      </c>
      <c r="D3576" t="str">
        <f>IF(E3576="","",IF(COUNTIF($E$2:E3576,E3576)&gt;1,"",SUMIFS(tbl_input[필요수량],tbl_input[집계키_지청],E3576)))</f>
        <v/>
      </c>
      <c r="E3576" t="str">
        <f>IFERROR(INDEX(tbl_input[집계키_지청],ROW()-1),"")</f>
        <v/>
      </c>
      <c r="F3576" t="str">
        <f t="shared" si="278"/>
        <v/>
      </c>
      <c r="G3576" t="str">
        <f t="shared" si="279"/>
        <v/>
      </c>
    </row>
    <row r="3577" spans="1:7" x14ac:dyDescent="0.4">
      <c r="A3577" t="str">
        <f t="shared" si="275"/>
        <v/>
      </c>
      <c r="B3577" t="str">
        <f t="shared" si="276"/>
        <v/>
      </c>
      <c r="C3577" t="str">
        <f t="shared" si="277"/>
        <v/>
      </c>
      <c r="D3577" t="str">
        <f>IF(E3577="","",IF(COUNTIF($E$2:E3577,E3577)&gt;1,"",SUMIFS(tbl_input[필요수량],tbl_input[집계키_지청],E3577)))</f>
        <v/>
      </c>
      <c r="E3577" t="str">
        <f>IFERROR(INDEX(tbl_input[집계키_지청],ROW()-1),"")</f>
        <v/>
      </c>
      <c r="F3577" t="str">
        <f t="shared" si="278"/>
        <v/>
      </c>
      <c r="G3577" t="str">
        <f t="shared" si="279"/>
        <v/>
      </c>
    </row>
    <row r="3578" spans="1:7" x14ac:dyDescent="0.4">
      <c r="A3578" t="str">
        <f t="shared" si="275"/>
        <v/>
      </c>
      <c r="B3578" t="str">
        <f t="shared" si="276"/>
        <v/>
      </c>
      <c r="C3578" t="str">
        <f t="shared" si="277"/>
        <v/>
      </c>
      <c r="D3578" t="str">
        <f>IF(E3578="","",IF(COUNTIF($E$2:E3578,E3578)&gt;1,"",SUMIFS(tbl_input[필요수량],tbl_input[집계키_지청],E3578)))</f>
        <v/>
      </c>
      <c r="E3578" t="str">
        <f>IFERROR(INDEX(tbl_input[집계키_지청],ROW()-1),"")</f>
        <v/>
      </c>
      <c r="F3578" t="str">
        <f t="shared" si="278"/>
        <v/>
      </c>
      <c r="G3578" t="str">
        <f t="shared" si="279"/>
        <v/>
      </c>
    </row>
    <row r="3579" spans="1:7" x14ac:dyDescent="0.4">
      <c r="A3579" t="str">
        <f t="shared" si="275"/>
        <v/>
      </c>
      <c r="B3579" t="str">
        <f t="shared" si="276"/>
        <v/>
      </c>
      <c r="C3579" t="str">
        <f t="shared" si="277"/>
        <v/>
      </c>
      <c r="D3579" t="str">
        <f>IF(E3579="","",IF(COUNTIF($E$2:E3579,E3579)&gt;1,"",SUMIFS(tbl_input[필요수량],tbl_input[집계키_지청],E3579)))</f>
        <v/>
      </c>
      <c r="E3579" t="str">
        <f>IFERROR(INDEX(tbl_input[집계키_지청],ROW()-1),"")</f>
        <v/>
      </c>
      <c r="F3579" t="str">
        <f t="shared" si="278"/>
        <v/>
      </c>
      <c r="G3579" t="str">
        <f t="shared" si="279"/>
        <v/>
      </c>
    </row>
    <row r="3580" spans="1:7" x14ac:dyDescent="0.4">
      <c r="A3580" t="str">
        <f t="shared" si="275"/>
        <v/>
      </c>
      <c r="B3580" t="str">
        <f t="shared" si="276"/>
        <v/>
      </c>
      <c r="C3580" t="str">
        <f t="shared" si="277"/>
        <v/>
      </c>
      <c r="D3580" t="str">
        <f>IF(E3580="","",IF(COUNTIF($E$2:E3580,E3580)&gt;1,"",SUMIFS(tbl_input[필요수량],tbl_input[집계키_지청],E3580)))</f>
        <v/>
      </c>
      <c r="E3580" t="str">
        <f>IFERROR(INDEX(tbl_input[집계키_지청],ROW()-1),"")</f>
        <v/>
      </c>
      <c r="F3580" t="str">
        <f t="shared" si="278"/>
        <v/>
      </c>
      <c r="G3580" t="str">
        <f t="shared" si="279"/>
        <v/>
      </c>
    </row>
    <row r="3581" spans="1:7" x14ac:dyDescent="0.4">
      <c r="A3581" t="str">
        <f t="shared" si="275"/>
        <v/>
      </c>
      <c r="B3581" t="str">
        <f t="shared" si="276"/>
        <v/>
      </c>
      <c r="C3581" t="str">
        <f t="shared" si="277"/>
        <v/>
      </c>
      <c r="D3581" t="str">
        <f>IF(E3581="","",IF(COUNTIF($E$2:E3581,E3581)&gt;1,"",SUMIFS(tbl_input[필요수량],tbl_input[집계키_지청],E3581)))</f>
        <v/>
      </c>
      <c r="E3581" t="str">
        <f>IFERROR(INDEX(tbl_input[집계키_지청],ROW()-1),"")</f>
        <v/>
      </c>
      <c r="F3581" t="str">
        <f t="shared" si="278"/>
        <v/>
      </c>
      <c r="G3581" t="str">
        <f t="shared" si="279"/>
        <v/>
      </c>
    </row>
    <row r="3582" spans="1:7" x14ac:dyDescent="0.4">
      <c r="A3582" t="str">
        <f t="shared" si="275"/>
        <v/>
      </c>
      <c r="B3582" t="str">
        <f t="shared" si="276"/>
        <v/>
      </c>
      <c r="C3582" t="str">
        <f t="shared" si="277"/>
        <v/>
      </c>
      <c r="D3582" t="str">
        <f>IF(E3582="","",IF(COUNTIF($E$2:E3582,E3582)&gt;1,"",SUMIFS(tbl_input[필요수량],tbl_input[집계키_지청],E3582)))</f>
        <v/>
      </c>
      <c r="E3582" t="str">
        <f>IFERROR(INDEX(tbl_input[집계키_지청],ROW()-1),"")</f>
        <v/>
      </c>
      <c r="F3582" t="str">
        <f t="shared" si="278"/>
        <v/>
      </c>
      <c r="G3582" t="str">
        <f t="shared" si="279"/>
        <v/>
      </c>
    </row>
    <row r="3583" spans="1:7" x14ac:dyDescent="0.4">
      <c r="A3583" t="str">
        <f t="shared" si="275"/>
        <v/>
      </c>
      <c r="B3583" t="str">
        <f t="shared" si="276"/>
        <v/>
      </c>
      <c r="C3583" t="str">
        <f t="shared" si="277"/>
        <v/>
      </c>
      <c r="D3583" t="str">
        <f>IF(E3583="","",IF(COUNTIF($E$2:E3583,E3583)&gt;1,"",SUMIFS(tbl_input[필요수량],tbl_input[집계키_지청],E3583)))</f>
        <v/>
      </c>
      <c r="E3583" t="str">
        <f>IFERROR(INDEX(tbl_input[집계키_지청],ROW()-1),"")</f>
        <v/>
      </c>
      <c r="F3583" t="str">
        <f t="shared" si="278"/>
        <v/>
      </c>
      <c r="G3583" t="str">
        <f t="shared" si="279"/>
        <v/>
      </c>
    </row>
    <row r="3584" spans="1:7" x14ac:dyDescent="0.4">
      <c r="A3584" t="str">
        <f t="shared" si="275"/>
        <v/>
      </c>
      <c r="B3584" t="str">
        <f t="shared" si="276"/>
        <v/>
      </c>
      <c r="C3584" t="str">
        <f t="shared" si="277"/>
        <v/>
      </c>
      <c r="D3584" t="str">
        <f>IF(E3584="","",IF(COUNTIF($E$2:E3584,E3584)&gt;1,"",SUMIFS(tbl_input[필요수량],tbl_input[집계키_지청],E3584)))</f>
        <v/>
      </c>
      <c r="E3584" t="str">
        <f>IFERROR(INDEX(tbl_input[집계키_지청],ROW()-1),"")</f>
        <v/>
      </c>
      <c r="F3584" t="str">
        <f t="shared" si="278"/>
        <v/>
      </c>
      <c r="G3584" t="str">
        <f t="shared" si="279"/>
        <v/>
      </c>
    </row>
    <row r="3585" spans="1:7" x14ac:dyDescent="0.4">
      <c r="A3585" t="str">
        <f t="shared" si="275"/>
        <v/>
      </c>
      <c r="B3585" t="str">
        <f t="shared" si="276"/>
        <v/>
      </c>
      <c r="C3585" t="str">
        <f t="shared" si="277"/>
        <v/>
      </c>
      <c r="D3585" t="str">
        <f>IF(E3585="","",IF(COUNTIF($E$2:E3585,E3585)&gt;1,"",SUMIFS(tbl_input[필요수량],tbl_input[집계키_지청],E3585)))</f>
        <v/>
      </c>
      <c r="E3585" t="str">
        <f>IFERROR(INDEX(tbl_input[집계키_지청],ROW()-1),"")</f>
        <v/>
      </c>
      <c r="F3585" t="str">
        <f t="shared" si="278"/>
        <v/>
      </c>
      <c r="G3585" t="str">
        <f t="shared" si="279"/>
        <v/>
      </c>
    </row>
    <row r="3586" spans="1:7" x14ac:dyDescent="0.4">
      <c r="A3586" t="str">
        <f t="shared" ref="A3586:A3649" si="280">IF(E3586="","",LEFT(E3586,F3586-1))</f>
        <v/>
      </c>
      <c r="B3586" t="str">
        <f t="shared" ref="B3586:B3649" si="281">IF(E3586="","",MID(E3586,F3586+1,G3586-F3586-1))</f>
        <v/>
      </c>
      <c r="C3586" t="str">
        <f t="shared" ref="C3586:C3649" si="282">IF(E3586="","",MID(E3586,G3586+1,999))</f>
        <v/>
      </c>
      <c r="D3586" t="str">
        <f>IF(E3586="","",IF(COUNTIF($E$2:E3586,E3586)&gt;1,"",SUMIFS(tbl_input[필요수량],tbl_input[집계키_지청],E3586)))</f>
        <v/>
      </c>
      <c r="E3586" t="str">
        <f>IFERROR(INDEX(tbl_input[집계키_지청],ROW()-1),"")</f>
        <v/>
      </c>
      <c r="F3586" t="str">
        <f t="shared" ref="F3586:F3649" si="283">IF(E3586="","",FIND("♦",E3586))</f>
        <v/>
      </c>
      <c r="G3586" t="str">
        <f t="shared" ref="G3586:G3649" si="284">IF(E3586="","",FIND("♦",E3586,F3586+1))</f>
        <v/>
      </c>
    </row>
    <row r="3587" spans="1:7" x14ac:dyDescent="0.4">
      <c r="A3587" t="str">
        <f t="shared" si="280"/>
        <v/>
      </c>
      <c r="B3587" t="str">
        <f t="shared" si="281"/>
        <v/>
      </c>
      <c r="C3587" t="str">
        <f t="shared" si="282"/>
        <v/>
      </c>
      <c r="D3587" t="str">
        <f>IF(E3587="","",IF(COUNTIF($E$2:E3587,E3587)&gt;1,"",SUMIFS(tbl_input[필요수량],tbl_input[집계키_지청],E3587)))</f>
        <v/>
      </c>
      <c r="E3587" t="str">
        <f>IFERROR(INDEX(tbl_input[집계키_지청],ROW()-1),"")</f>
        <v/>
      </c>
      <c r="F3587" t="str">
        <f t="shared" si="283"/>
        <v/>
      </c>
      <c r="G3587" t="str">
        <f t="shared" si="284"/>
        <v/>
      </c>
    </row>
    <row r="3588" spans="1:7" x14ac:dyDescent="0.4">
      <c r="A3588" t="str">
        <f t="shared" si="280"/>
        <v/>
      </c>
      <c r="B3588" t="str">
        <f t="shared" si="281"/>
        <v/>
      </c>
      <c r="C3588" t="str">
        <f t="shared" si="282"/>
        <v/>
      </c>
      <c r="D3588" t="str">
        <f>IF(E3588="","",IF(COUNTIF($E$2:E3588,E3588)&gt;1,"",SUMIFS(tbl_input[필요수량],tbl_input[집계키_지청],E3588)))</f>
        <v/>
      </c>
      <c r="E3588" t="str">
        <f>IFERROR(INDEX(tbl_input[집계키_지청],ROW()-1),"")</f>
        <v/>
      </c>
      <c r="F3588" t="str">
        <f t="shared" si="283"/>
        <v/>
      </c>
      <c r="G3588" t="str">
        <f t="shared" si="284"/>
        <v/>
      </c>
    </row>
    <row r="3589" spans="1:7" x14ac:dyDescent="0.4">
      <c r="A3589" t="str">
        <f t="shared" si="280"/>
        <v/>
      </c>
      <c r="B3589" t="str">
        <f t="shared" si="281"/>
        <v/>
      </c>
      <c r="C3589" t="str">
        <f t="shared" si="282"/>
        <v/>
      </c>
      <c r="D3589" t="str">
        <f>IF(E3589="","",IF(COUNTIF($E$2:E3589,E3589)&gt;1,"",SUMIFS(tbl_input[필요수량],tbl_input[집계키_지청],E3589)))</f>
        <v/>
      </c>
      <c r="E3589" t="str">
        <f>IFERROR(INDEX(tbl_input[집계키_지청],ROW()-1),"")</f>
        <v/>
      </c>
      <c r="F3589" t="str">
        <f t="shared" si="283"/>
        <v/>
      </c>
      <c r="G3589" t="str">
        <f t="shared" si="284"/>
        <v/>
      </c>
    </row>
    <row r="3590" spans="1:7" x14ac:dyDescent="0.4">
      <c r="A3590" t="str">
        <f t="shared" si="280"/>
        <v/>
      </c>
      <c r="B3590" t="str">
        <f t="shared" si="281"/>
        <v/>
      </c>
      <c r="C3590" t="str">
        <f t="shared" si="282"/>
        <v/>
      </c>
      <c r="D3590" t="str">
        <f>IF(E3590="","",IF(COUNTIF($E$2:E3590,E3590)&gt;1,"",SUMIFS(tbl_input[필요수량],tbl_input[집계키_지청],E3590)))</f>
        <v/>
      </c>
      <c r="E3590" t="str">
        <f>IFERROR(INDEX(tbl_input[집계키_지청],ROW()-1),"")</f>
        <v/>
      </c>
      <c r="F3590" t="str">
        <f t="shared" si="283"/>
        <v/>
      </c>
      <c r="G3590" t="str">
        <f t="shared" si="284"/>
        <v/>
      </c>
    </row>
    <row r="3591" spans="1:7" x14ac:dyDescent="0.4">
      <c r="A3591" t="str">
        <f t="shared" si="280"/>
        <v/>
      </c>
      <c r="B3591" t="str">
        <f t="shared" si="281"/>
        <v/>
      </c>
      <c r="C3591" t="str">
        <f t="shared" si="282"/>
        <v/>
      </c>
      <c r="D3591" t="str">
        <f>IF(E3591="","",IF(COUNTIF($E$2:E3591,E3591)&gt;1,"",SUMIFS(tbl_input[필요수량],tbl_input[집계키_지청],E3591)))</f>
        <v/>
      </c>
      <c r="E3591" t="str">
        <f>IFERROR(INDEX(tbl_input[집계키_지청],ROW()-1),"")</f>
        <v/>
      </c>
      <c r="F3591" t="str">
        <f t="shared" si="283"/>
        <v/>
      </c>
      <c r="G3591" t="str">
        <f t="shared" si="284"/>
        <v/>
      </c>
    </row>
    <row r="3592" spans="1:7" x14ac:dyDescent="0.4">
      <c r="A3592" t="str">
        <f t="shared" si="280"/>
        <v/>
      </c>
      <c r="B3592" t="str">
        <f t="shared" si="281"/>
        <v/>
      </c>
      <c r="C3592" t="str">
        <f t="shared" si="282"/>
        <v/>
      </c>
      <c r="D3592" t="str">
        <f>IF(E3592="","",IF(COUNTIF($E$2:E3592,E3592)&gt;1,"",SUMIFS(tbl_input[필요수량],tbl_input[집계키_지청],E3592)))</f>
        <v/>
      </c>
      <c r="E3592" t="str">
        <f>IFERROR(INDEX(tbl_input[집계키_지청],ROW()-1),"")</f>
        <v/>
      </c>
      <c r="F3592" t="str">
        <f t="shared" si="283"/>
        <v/>
      </c>
      <c r="G3592" t="str">
        <f t="shared" si="284"/>
        <v/>
      </c>
    </row>
    <row r="3593" spans="1:7" x14ac:dyDescent="0.4">
      <c r="A3593" t="str">
        <f t="shared" si="280"/>
        <v/>
      </c>
      <c r="B3593" t="str">
        <f t="shared" si="281"/>
        <v/>
      </c>
      <c r="C3593" t="str">
        <f t="shared" si="282"/>
        <v/>
      </c>
      <c r="D3593" t="str">
        <f>IF(E3593="","",IF(COUNTIF($E$2:E3593,E3593)&gt;1,"",SUMIFS(tbl_input[필요수량],tbl_input[집계키_지청],E3593)))</f>
        <v/>
      </c>
      <c r="E3593" t="str">
        <f>IFERROR(INDEX(tbl_input[집계키_지청],ROW()-1),"")</f>
        <v/>
      </c>
      <c r="F3593" t="str">
        <f t="shared" si="283"/>
        <v/>
      </c>
      <c r="G3593" t="str">
        <f t="shared" si="284"/>
        <v/>
      </c>
    </row>
    <row r="3594" spans="1:7" x14ac:dyDescent="0.4">
      <c r="A3594" t="str">
        <f t="shared" si="280"/>
        <v/>
      </c>
      <c r="B3594" t="str">
        <f t="shared" si="281"/>
        <v/>
      </c>
      <c r="C3594" t="str">
        <f t="shared" si="282"/>
        <v/>
      </c>
      <c r="D3594" t="str">
        <f>IF(E3594="","",IF(COUNTIF($E$2:E3594,E3594)&gt;1,"",SUMIFS(tbl_input[필요수량],tbl_input[집계키_지청],E3594)))</f>
        <v/>
      </c>
      <c r="E3594" t="str">
        <f>IFERROR(INDEX(tbl_input[집계키_지청],ROW()-1),"")</f>
        <v/>
      </c>
      <c r="F3594" t="str">
        <f t="shared" si="283"/>
        <v/>
      </c>
      <c r="G3594" t="str">
        <f t="shared" si="284"/>
        <v/>
      </c>
    </row>
    <row r="3595" spans="1:7" x14ac:dyDescent="0.4">
      <c r="A3595" t="str">
        <f t="shared" si="280"/>
        <v/>
      </c>
      <c r="B3595" t="str">
        <f t="shared" si="281"/>
        <v/>
      </c>
      <c r="C3595" t="str">
        <f t="shared" si="282"/>
        <v/>
      </c>
      <c r="D3595" t="str">
        <f>IF(E3595="","",IF(COUNTIF($E$2:E3595,E3595)&gt;1,"",SUMIFS(tbl_input[필요수량],tbl_input[집계키_지청],E3595)))</f>
        <v/>
      </c>
      <c r="E3595" t="str">
        <f>IFERROR(INDEX(tbl_input[집계키_지청],ROW()-1),"")</f>
        <v/>
      </c>
      <c r="F3595" t="str">
        <f t="shared" si="283"/>
        <v/>
      </c>
      <c r="G3595" t="str">
        <f t="shared" si="284"/>
        <v/>
      </c>
    </row>
    <row r="3596" spans="1:7" x14ac:dyDescent="0.4">
      <c r="A3596" t="str">
        <f t="shared" si="280"/>
        <v/>
      </c>
      <c r="B3596" t="str">
        <f t="shared" si="281"/>
        <v/>
      </c>
      <c r="C3596" t="str">
        <f t="shared" si="282"/>
        <v/>
      </c>
      <c r="D3596" t="str">
        <f>IF(E3596="","",IF(COUNTIF($E$2:E3596,E3596)&gt;1,"",SUMIFS(tbl_input[필요수량],tbl_input[집계키_지청],E3596)))</f>
        <v/>
      </c>
      <c r="E3596" t="str">
        <f>IFERROR(INDEX(tbl_input[집계키_지청],ROW()-1),"")</f>
        <v/>
      </c>
      <c r="F3596" t="str">
        <f t="shared" si="283"/>
        <v/>
      </c>
      <c r="G3596" t="str">
        <f t="shared" si="284"/>
        <v/>
      </c>
    </row>
    <row r="3597" spans="1:7" x14ac:dyDescent="0.4">
      <c r="A3597" t="str">
        <f t="shared" si="280"/>
        <v/>
      </c>
      <c r="B3597" t="str">
        <f t="shared" si="281"/>
        <v/>
      </c>
      <c r="C3597" t="str">
        <f t="shared" si="282"/>
        <v/>
      </c>
      <c r="D3597" t="str">
        <f>IF(E3597="","",IF(COUNTIF($E$2:E3597,E3597)&gt;1,"",SUMIFS(tbl_input[필요수량],tbl_input[집계키_지청],E3597)))</f>
        <v/>
      </c>
      <c r="E3597" t="str">
        <f>IFERROR(INDEX(tbl_input[집계키_지청],ROW()-1),"")</f>
        <v/>
      </c>
      <c r="F3597" t="str">
        <f t="shared" si="283"/>
        <v/>
      </c>
      <c r="G3597" t="str">
        <f t="shared" si="284"/>
        <v/>
      </c>
    </row>
    <row r="3598" spans="1:7" x14ac:dyDescent="0.4">
      <c r="A3598" t="str">
        <f t="shared" si="280"/>
        <v/>
      </c>
      <c r="B3598" t="str">
        <f t="shared" si="281"/>
        <v/>
      </c>
      <c r="C3598" t="str">
        <f t="shared" si="282"/>
        <v/>
      </c>
      <c r="D3598" t="str">
        <f>IF(E3598="","",IF(COUNTIF($E$2:E3598,E3598)&gt;1,"",SUMIFS(tbl_input[필요수량],tbl_input[집계키_지청],E3598)))</f>
        <v/>
      </c>
      <c r="E3598" t="str">
        <f>IFERROR(INDEX(tbl_input[집계키_지청],ROW()-1),"")</f>
        <v/>
      </c>
      <c r="F3598" t="str">
        <f t="shared" si="283"/>
        <v/>
      </c>
      <c r="G3598" t="str">
        <f t="shared" si="284"/>
        <v/>
      </c>
    </row>
    <row r="3599" spans="1:7" x14ac:dyDescent="0.4">
      <c r="A3599" t="str">
        <f t="shared" si="280"/>
        <v/>
      </c>
      <c r="B3599" t="str">
        <f t="shared" si="281"/>
        <v/>
      </c>
      <c r="C3599" t="str">
        <f t="shared" si="282"/>
        <v/>
      </c>
      <c r="D3599" t="str">
        <f>IF(E3599="","",IF(COUNTIF($E$2:E3599,E3599)&gt;1,"",SUMIFS(tbl_input[필요수량],tbl_input[집계키_지청],E3599)))</f>
        <v/>
      </c>
      <c r="E3599" t="str">
        <f>IFERROR(INDEX(tbl_input[집계키_지청],ROW()-1),"")</f>
        <v/>
      </c>
      <c r="F3599" t="str">
        <f t="shared" si="283"/>
        <v/>
      </c>
      <c r="G3599" t="str">
        <f t="shared" si="284"/>
        <v/>
      </c>
    </row>
    <row r="3600" spans="1:7" x14ac:dyDescent="0.4">
      <c r="A3600" t="str">
        <f t="shared" si="280"/>
        <v/>
      </c>
      <c r="B3600" t="str">
        <f t="shared" si="281"/>
        <v/>
      </c>
      <c r="C3600" t="str">
        <f t="shared" si="282"/>
        <v/>
      </c>
      <c r="D3600" t="str">
        <f>IF(E3600="","",IF(COUNTIF($E$2:E3600,E3600)&gt;1,"",SUMIFS(tbl_input[필요수량],tbl_input[집계키_지청],E3600)))</f>
        <v/>
      </c>
      <c r="E3600" t="str">
        <f>IFERROR(INDEX(tbl_input[집계키_지청],ROW()-1),"")</f>
        <v/>
      </c>
      <c r="F3600" t="str">
        <f t="shared" si="283"/>
        <v/>
      </c>
      <c r="G3600" t="str">
        <f t="shared" si="284"/>
        <v/>
      </c>
    </row>
    <row r="3601" spans="1:7" x14ac:dyDescent="0.4">
      <c r="A3601" t="str">
        <f t="shared" si="280"/>
        <v/>
      </c>
      <c r="B3601" t="str">
        <f t="shared" si="281"/>
        <v/>
      </c>
      <c r="C3601" t="str">
        <f t="shared" si="282"/>
        <v/>
      </c>
      <c r="D3601" t="str">
        <f>IF(E3601="","",IF(COUNTIF($E$2:E3601,E3601)&gt;1,"",SUMIFS(tbl_input[필요수량],tbl_input[집계키_지청],E3601)))</f>
        <v/>
      </c>
      <c r="E3601" t="str">
        <f>IFERROR(INDEX(tbl_input[집계키_지청],ROW()-1),"")</f>
        <v/>
      </c>
      <c r="F3601" t="str">
        <f t="shared" si="283"/>
        <v/>
      </c>
      <c r="G3601" t="str">
        <f t="shared" si="284"/>
        <v/>
      </c>
    </row>
    <row r="3602" spans="1:7" x14ac:dyDescent="0.4">
      <c r="A3602" t="str">
        <f t="shared" si="280"/>
        <v/>
      </c>
      <c r="B3602" t="str">
        <f t="shared" si="281"/>
        <v/>
      </c>
      <c r="C3602" t="str">
        <f t="shared" si="282"/>
        <v/>
      </c>
      <c r="D3602" t="str">
        <f>IF(E3602="","",IF(COUNTIF($E$2:E3602,E3602)&gt;1,"",SUMIFS(tbl_input[필요수량],tbl_input[집계키_지청],E3602)))</f>
        <v/>
      </c>
      <c r="E3602" t="str">
        <f>IFERROR(INDEX(tbl_input[집계키_지청],ROW()-1),"")</f>
        <v/>
      </c>
      <c r="F3602" t="str">
        <f t="shared" si="283"/>
        <v/>
      </c>
      <c r="G3602" t="str">
        <f t="shared" si="284"/>
        <v/>
      </c>
    </row>
    <row r="3603" spans="1:7" x14ac:dyDescent="0.4">
      <c r="A3603" t="str">
        <f t="shared" si="280"/>
        <v/>
      </c>
      <c r="B3603" t="str">
        <f t="shared" si="281"/>
        <v/>
      </c>
      <c r="C3603" t="str">
        <f t="shared" si="282"/>
        <v/>
      </c>
      <c r="D3603" t="str">
        <f>IF(E3603="","",IF(COUNTIF($E$2:E3603,E3603)&gt;1,"",SUMIFS(tbl_input[필요수량],tbl_input[집계키_지청],E3603)))</f>
        <v/>
      </c>
      <c r="E3603" t="str">
        <f>IFERROR(INDEX(tbl_input[집계키_지청],ROW()-1),"")</f>
        <v/>
      </c>
      <c r="F3603" t="str">
        <f t="shared" si="283"/>
        <v/>
      </c>
      <c r="G3603" t="str">
        <f t="shared" si="284"/>
        <v/>
      </c>
    </row>
    <row r="3604" spans="1:7" x14ac:dyDescent="0.4">
      <c r="A3604" t="str">
        <f t="shared" si="280"/>
        <v/>
      </c>
      <c r="B3604" t="str">
        <f t="shared" si="281"/>
        <v/>
      </c>
      <c r="C3604" t="str">
        <f t="shared" si="282"/>
        <v/>
      </c>
      <c r="D3604" t="str">
        <f>IF(E3604="","",IF(COUNTIF($E$2:E3604,E3604)&gt;1,"",SUMIFS(tbl_input[필요수량],tbl_input[집계키_지청],E3604)))</f>
        <v/>
      </c>
      <c r="E3604" t="str">
        <f>IFERROR(INDEX(tbl_input[집계키_지청],ROW()-1),"")</f>
        <v/>
      </c>
      <c r="F3604" t="str">
        <f t="shared" si="283"/>
        <v/>
      </c>
      <c r="G3604" t="str">
        <f t="shared" si="284"/>
        <v/>
      </c>
    </row>
    <row r="3605" spans="1:7" x14ac:dyDescent="0.4">
      <c r="A3605" t="str">
        <f t="shared" si="280"/>
        <v/>
      </c>
      <c r="B3605" t="str">
        <f t="shared" si="281"/>
        <v/>
      </c>
      <c r="C3605" t="str">
        <f t="shared" si="282"/>
        <v/>
      </c>
      <c r="D3605" t="str">
        <f>IF(E3605="","",IF(COUNTIF($E$2:E3605,E3605)&gt;1,"",SUMIFS(tbl_input[필요수량],tbl_input[집계키_지청],E3605)))</f>
        <v/>
      </c>
      <c r="E3605" t="str">
        <f>IFERROR(INDEX(tbl_input[집계키_지청],ROW()-1),"")</f>
        <v/>
      </c>
      <c r="F3605" t="str">
        <f t="shared" si="283"/>
        <v/>
      </c>
      <c r="G3605" t="str">
        <f t="shared" si="284"/>
        <v/>
      </c>
    </row>
    <row r="3606" spans="1:7" x14ac:dyDescent="0.4">
      <c r="A3606" t="str">
        <f t="shared" si="280"/>
        <v/>
      </c>
      <c r="B3606" t="str">
        <f t="shared" si="281"/>
        <v/>
      </c>
      <c r="C3606" t="str">
        <f t="shared" si="282"/>
        <v/>
      </c>
      <c r="D3606" t="str">
        <f>IF(E3606="","",IF(COUNTIF($E$2:E3606,E3606)&gt;1,"",SUMIFS(tbl_input[필요수량],tbl_input[집계키_지청],E3606)))</f>
        <v/>
      </c>
      <c r="E3606" t="str">
        <f>IFERROR(INDEX(tbl_input[집계키_지청],ROW()-1),"")</f>
        <v/>
      </c>
      <c r="F3606" t="str">
        <f t="shared" si="283"/>
        <v/>
      </c>
      <c r="G3606" t="str">
        <f t="shared" si="284"/>
        <v/>
      </c>
    </row>
    <row r="3607" spans="1:7" x14ac:dyDescent="0.4">
      <c r="A3607" t="str">
        <f t="shared" si="280"/>
        <v/>
      </c>
      <c r="B3607" t="str">
        <f t="shared" si="281"/>
        <v/>
      </c>
      <c r="C3607" t="str">
        <f t="shared" si="282"/>
        <v/>
      </c>
      <c r="D3607" t="str">
        <f>IF(E3607="","",IF(COUNTIF($E$2:E3607,E3607)&gt;1,"",SUMIFS(tbl_input[필요수량],tbl_input[집계키_지청],E3607)))</f>
        <v/>
      </c>
      <c r="E3607" t="str">
        <f>IFERROR(INDEX(tbl_input[집계키_지청],ROW()-1),"")</f>
        <v/>
      </c>
      <c r="F3607" t="str">
        <f t="shared" si="283"/>
        <v/>
      </c>
      <c r="G3607" t="str">
        <f t="shared" si="284"/>
        <v/>
      </c>
    </row>
    <row r="3608" spans="1:7" x14ac:dyDescent="0.4">
      <c r="A3608" t="str">
        <f t="shared" si="280"/>
        <v/>
      </c>
      <c r="B3608" t="str">
        <f t="shared" si="281"/>
        <v/>
      </c>
      <c r="C3608" t="str">
        <f t="shared" si="282"/>
        <v/>
      </c>
      <c r="D3608" t="str">
        <f>IF(E3608="","",IF(COUNTIF($E$2:E3608,E3608)&gt;1,"",SUMIFS(tbl_input[필요수량],tbl_input[집계키_지청],E3608)))</f>
        <v/>
      </c>
      <c r="E3608" t="str">
        <f>IFERROR(INDEX(tbl_input[집계키_지청],ROW()-1),"")</f>
        <v/>
      </c>
      <c r="F3608" t="str">
        <f t="shared" si="283"/>
        <v/>
      </c>
      <c r="G3608" t="str">
        <f t="shared" si="284"/>
        <v/>
      </c>
    </row>
    <row r="3609" spans="1:7" x14ac:dyDescent="0.4">
      <c r="A3609" t="str">
        <f t="shared" si="280"/>
        <v/>
      </c>
      <c r="B3609" t="str">
        <f t="shared" si="281"/>
        <v/>
      </c>
      <c r="C3609" t="str">
        <f t="shared" si="282"/>
        <v/>
      </c>
      <c r="D3609" t="str">
        <f>IF(E3609="","",IF(COUNTIF($E$2:E3609,E3609)&gt;1,"",SUMIFS(tbl_input[필요수량],tbl_input[집계키_지청],E3609)))</f>
        <v/>
      </c>
      <c r="E3609" t="str">
        <f>IFERROR(INDEX(tbl_input[집계키_지청],ROW()-1),"")</f>
        <v/>
      </c>
      <c r="F3609" t="str">
        <f t="shared" si="283"/>
        <v/>
      </c>
      <c r="G3609" t="str">
        <f t="shared" si="284"/>
        <v/>
      </c>
    </row>
    <row r="3610" spans="1:7" x14ac:dyDescent="0.4">
      <c r="A3610" t="str">
        <f t="shared" si="280"/>
        <v/>
      </c>
      <c r="B3610" t="str">
        <f t="shared" si="281"/>
        <v/>
      </c>
      <c r="C3610" t="str">
        <f t="shared" si="282"/>
        <v/>
      </c>
      <c r="D3610" t="str">
        <f>IF(E3610="","",IF(COUNTIF($E$2:E3610,E3610)&gt;1,"",SUMIFS(tbl_input[필요수량],tbl_input[집계키_지청],E3610)))</f>
        <v/>
      </c>
      <c r="E3610" t="str">
        <f>IFERROR(INDEX(tbl_input[집계키_지청],ROW()-1),"")</f>
        <v/>
      </c>
      <c r="F3610" t="str">
        <f t="shared" si="283"/>
        <v/>
      </c>
      <c r="G3610" t="str">
        <f t="shared" si="284"/>
        <v/>
      </c>
    </row>
    <row r="3611" spans="1:7" x14ac:dyDescent="0.4">
      <c r="A3611" t="str">
        <f t="shared" si="280"/>
        <v/>
      </c>
      <c r="B3611" t="str">
        <f t="shared" si="281"/>
        <v/>
      </c>
      <c r="C3611" t="str">
        <f t="shared" si="282"/>
        <v/>
      </c>
      <c r="D3611" t="str">
        <f>IF(E3611="","",IF(COUNTIF($E$2:E3611,E3611)&gt;1,"",SUMIFS(tbl_input[필요수량],tbl_input[집계키_지청],E3611)))</f>
        <v/>
      </c>
      <c r="E3611" t="str">
        <f>IFERROR(INDEX(tbl_input[집계키_지청],ROW()-1),"")</f>
        <v/>
      </c>
      <c r="F3611" t="str">
        <f t="shared" si="283"/>
        <v/>
      </c>
      <c r="G3611" t="str">
        <f t="shared" si="284"/>
        <v/>
      </c>
    </row>
    <row r="3612" spans="1:7" x14ac:dyDescent="0.4">
      <c r="A3612" t="str">
        <f t="shared" si="280"/>
        <v/>
      </c>
      <c r="B3612" t="str">
        <f t="shared" si="281"/>
        <v/>
      </c>
      <c r="C3612" t="str">
        <f t="shared" si="282"/>
        <v/>
      </c>
      <c r="D3612" t="str">
        <f>IF(E3612="","",IF(COUNTIF($E$2:E3612,E3612)&gt;1,"",SUMIFS(tbl_input[필요수량],tbl_input[집계키_지청],E3612)))</f>
        <v/>
      </c>
      <c r="E3612" t="str">
        <f>IFERROR(INDEX(tbl_input[집계키_지청],ROW()-1),"")</f>
        <v/>
      </c>
      <c r="F3612" t="str">
        <f t="shared" si="283"/>
        <v/>
      </c>
      <c r="G3612" t="str">
        <f t="shared" si="284"/>
        <v/>
      </c>
    </row>
    <row r="3613" spans="1:7" x14ac:dyDescent="0.4">
      <c r="A3613" t="str">
        <f t="shared" si="280"/>
        <v/>
      </c>
      <c r="B3613" t="str">
        <f t="shared" si="281"/>
        <v/>
      </c>
      <c r="C3613" t="str">
        <f t="shared" si="282"/>
        <v/>
      </c>
      <c r="D3613" t="str">
        <f>IF(E3613="","",IF(COUNTIF($E$2:E3613,E3613)&gt;1,"",SUMIFS(tbl_input[필요수량],tbl_input[집계키_지청],E3613)))</f>
        <v/>
      </c>
      <c r="E3613" t="str">
        <f>IFERROR(INDEX(tbl_input[집계키_지청],ROW()-1),"")</f>
        <v/>
      </c>
      <c r="F3613" t="str">
        <f t="shared" si="283"/>
        <v/>
      </c>
      <c r="G3613" t="str">
        <f t="shared" si="284"/>
        <v/>
      </c>
    </row>
    <row r="3614" spans="1:7" x14ac:dyDescent="0.4">
      <c r="A3614" t="str">
        <f t="shared" si="280"/>
        <v/>
      </c>
      <c r="B3614" t="str">
        <f t="shared" si="281"/>
        <v/>
      </c>
      <c r="C3614" t="str">
        <f t="shared" si="282"/>
        <v/>
      </c>
      <c r="D3614" t="str">
        <f>IF(E3614="","",IF(COUNTIF($E$2:E3614,E3614)&gt;1,"",SUMIFS(tbl_input[필요수량],tbl_input[집계키_지청],E3614)))</f>
        <v/>
      </c>
      <c r="E3614" t="str">
        <f>IFERROR(INDEX(tbl_input[집계키_지청],ROW()-1),"")</f>
        <v/>
      </c>
      <c r="F3614" t="str">
        <f t="shared" si="283"/>
        <v/>
      </c>
      <c r="G3614" t="str">
        <f t="shared" si="284"/>
        <v/>
      </c>
    </row>
    <row r="3615" spans="1:7" x14ac:dyDescent="0.4">
      <c r="A3615" t="str">
        <f t="shared" si="280"/>
        <v/>
      </c>
      <c r="B3615" t="str">
        <f t="shared" si="281"/>
        <v/>
      </c>
      <c r="C3615" t="str">
        <f t="shared" si="282"/>
        <v/>
      </c>
      <c r="D3615" t="str">
        <f>IF(E3615="","",IF(COUNTIF($E$2:E3615,E3615)&gt;1,"",SUMIFS(tbl_input[필요수량],tbl_input[집계키_지청],E3615)))</f>
        <v/>
      </c>
      <c r="E3615" t="str">
        <f>IFERROR(INDEX(tbl_input[집계키_지청],ROW()-1),"")</f>
        <v/>
      </c>
      <c r="F3615" t="str">
        <f t="shared" si="283"/>
        <v/>
      </c>
      <c r="G3615" t="str">
        <f t="shared" si="284"/>
        <v/>
      </c>
    </row>
    <row r="3616" spans="1:7" x14ac:dyDescent="0.4">
      <c r="A3616" t="str">
        <f t="shared" si="280"/>
        <v/>
      </c>
      <c r="B3616" t="str">
        <f t="shared" si="281"/>
        <v/>
      </c>
      <c r="C3616" t="str">
        <f t="shared" si="282"/>
        <v/>
      </c>
      <c r="D3616" t="str">
        <f>IF(E3616="","",IF(COUNTIF($E$2:E3616,E3616)&gt;1,"",SUMIFS(tbl_input[필요수량],tbl_input[집계키_지청],E3616)))</f>
        <v/>
      </c>
      <c r="E3616" t="str">
        <f>IFERROR(INDEX(tbl_input[집계키_지청],ROW()-1),"")</f>
        <v/>
      </c>
      <c r="F3616" t="str">
        <f t="shared" si="283"/>
        <v/>
      </c>
      <c r="G3616" t="str">
        <f t="shared" si="284"/>
        <v/>
      </c>
    </row>
    <row r="3617" spans="1:7" x14ac:dyDescent="0.4">
      <c r="A3617" t="str">
        <f t="shared" si="280"/>
        <v/>
      </c>
      <c r="B3617" t="str">
        <f t="shared" si="281"/>
        <v/>
      </c>
      <c r="C3617" t="str">
        <f t="shared" si="282"/>
        <v/>
      </c>
      <c r="D3617" t="str">
        <f>IF(E3617="","",IF(COUNTIF($E$2:E3617,E3617)&gt;1,"",SUMIFS(tbl_input[필요수량],tbl_input[집계키_지청],E3617)))</f>
        <v/>
      </c>
      <c r="E3617" t="str">
        <f>IFERROR(INDEX(tbl_input[집계키_지청],ROW()-1),"")</f>
        <v/>
      </c>
      <c r="F3617" t="str">
        <f t="shared" si="283"/>
        <v/>
      </c>
      <c r="G3617" t="str">
        <f t="shared" si="284"/>
        <v/>
      </c>
    </row>
    <row r="3618" spans="1:7" x14ac:dyDescent="0.4">
      <c r="A3618" t="str">
        <f t="shared" si="280"/>
        <v/>
      </c>
      <c r="B3618" t="str">
        <f t="shared" si="281"/>
        <v/>
      </c>
      <c r="C3618" t="str">
        <f t="shared" si="282"/>
        <v/>
      </c>
      <c r="D3618" t="str">
        <f>IF(E3618="","",IF(COUNTIF($E$2:E3618,E3618)&gt;1,"",SUMIFS(tbl_input[필요수량],tbl_input[집계키_지청],E3618)))</f>
        <v/>
      </c>
      <c r="E3618" t="str">
        <f>IFERROR(INDEX(tbl_input[집계키_지청],ROW()-1),"")</f>
        <v/>
      </c>
      <c r="F3618" t="str">
        <f t="shared" si="283"/>
        <v/>
      </c>
      <c r="G3618" t="str">
        <f t="shared" si="284"/>
        <v/>
      </c>
    </row>
    <row r="3619" spans="1:7" x14ac:dyDescent="0.4">
      <c r="A3619" t="str">
        <f t="shared" si="280"/>
        <v/>
      </c>
      <c r="B3619" t="str">
        <f t="shared" si="281"/>
        <v/>
      </c>
      <c r="C3619" t="str">
        <f t="shared" si="282"/>
        <v/>
      </c>
      <c r="D3619" t="str">
        <f>IF(E3619="","",IF(COUNTIF($E$2:E3619,E3619)&gt;1,"",SUMIFS(tbl_input[필요수량],tbl_input[집계키_지청],E3619)))</f>
        <v/>
      </c>
      <c r="E3619" t="str">
        <f>IFERROR(INDEX(tbl_input[집계키_지청],ROW()-1),"")</f>
        <v/>
      </c>
      <c r="F3619" t="str">
        <f t="shared" si="283"/>
        <v/>
      </c>
      <c r="G3619" t="str">
        <f t="shared" si="284"/>
        <v/>
      </c>
    </row>
    <row r="3620" spans="1:7" x14ac:dyDescent="0.4">
      <c r="A3620" t="str">
        <f t="shared" si="280"/>
        <v/>
      </c>
      <c r="B3620" t="str">
        <f t="shared" si="281"/>
        <v/>
      </c>
      <c r="C3620" t="str">
        <f t="shared" si="282"/>
        <v/>
      </c>
      <c r="D3620" t="str">
        <f>IF(E3620="","",IF(COUNTIF($E$2:E3620,E3620)&gt;1,"",SUMIFS(tbl_input[필요수량],tbl_input[집계키_지청],E3620)))</f>
        <v/>
      </c>
      <c r="E3620" t="str">
        <f>IFERROR(INDEX(tbl_input[집계키_지청],ROW()-1),"")</f>
        <v/>
      </c>
      <c r="F3620" t="str">
        <f t="shared" si="283"/>
        <v/>
      </c>
      <c r="G3620" t="str">
        <f t="shared" si="284"/>
        <v/>
      </c>
    </row>
    <row r="3621" spans="1:7" x14ac:dyDescent="0.4">
      <c r="A3621" t="str">
        <f t="shared" si="280"/>
        <v/>
      </c>
      <c r="B3621" t="str">
        <f t="shared" si="281"/>
        <v/>
      </c>
      <c r="C3621" t="str">
        <f t="shared" si="282"/>
        <v/>
      </c>
      <c r="D3621" t="str">
        <f>IF(E3621="","",IF(COUNTIF($E$2:E3621,E3621)&gt;1,"",SUMIFS(tbl_input[필요수량],tbl_input[집계키_지청],E3621)))</f>
        <v/>
      </c>
      <c r="E3621" t="str">
        <f>IFERROR(INDEX(tbl_input[집계키_지청],ROW()-1),"")</f>
        <v/>
      </c>
      <c r="F3621" t="str">
        <f t="shared" si="283"/>
        <v/>
      </c>
      <c r="G3621" t="str">
        <f t="shared" si="284"/>
        <v/>
      </c>
    </row>
    <row r="3622" spans="1:7" x14ac:dyDescent="0.4">
      <c r="A3622" t="str">
        <f t="shared" si="280"/>
        <v/>
      </c>
      <c r="B3622" t="str">
        <f t="shared" si="281"/>
        <v/>
      </c>
      <c r="C3622" t="str">
        <f t="shared" si="282"/>
        <v/>
      </c>
      <c r="D3622" t="str">
        <f>IF(E3622="","",IF(COUNTIF($E$2:E3622,E3622)&gt;1,"",SUMIFS(tbl_input[필요수량],tbl_input[집계키_지청],E3622)))</f>
        <v/>
      </c>
      <c r="E3622" t="str">
        <f>IFERROR(INDEX(tbl_input[집계키_지청],ROW()-1),"")</f>
        <v/>
      </c>
      <c r="F3622" t="str">
        <f t="shared" si="283"/>
        <v/>
      </c>
      <c r="G3622" t="str">
        <f t="shared" si="284"/>
        <v/>
      </c>
    </row>
    <row r="3623" spans="1:7" x14ac:dyDescent="0.4">
      <c r="A3623" t="str">
        <f t="shared" si="280"/>
        <v/>
      </c>
      <c r="B3623" t="str">
        <f t="shared" si="281"/>
        <v/>
      </c>
      <c r="C3623" t="str">
        <f t="shared" si="282"/>
        <v/>
      </c>
      <c r="D3623" t="str">
        <f>IF(E3623="","",IF(COUNTIF($E$2:E3623,E3623)&gt;1,"",SUMIFS(tbl_input[필요수량],tbl_input[집계키_지청],E3623)))</f>
        <v/>
      </c>
      <c r="E3623" t="str">
        <f>IFERROR(INDEX(tbl_input[집계키_지청],ROW()-1),"")</f>
        <v/>
      </c>
      <c r="F3623" t="str">
        <f t="shared" si="283"/>
        <v/>
      </c>
      <c r="G3623" t="str">
        <f t="shared" si="284"/>
        <v/>
      </c>
    </row>
    <row r="3624" spans="1:7" x14ac:dyDescent="0.4">
      <c r="A3624" t="str">
        <f t="shared" si="280"/>
        <v/>
      </c>
      <c r="B3624" t="str">
        <f t="shared" si="281"/>
        <v/>
      </c>
      <c r="C3624" t="str">
        <f t="shared" si="282"/>
        <v/>
      </c>
      <c r="D3624" t="str">
        <f>IF(E3624="","",IF(COUNTIF($E$2:E3624,E3624)&gt;1,"",SUMIFS(tbl_input[필요수량],tbl_input[집계키_지청],E3624)))</f>
        <v/>
      </c>
      <c r="E3624" t="str">
        <f>IFERROR(INDEX(tbl_input[집계키_지청],ROW()-1),"")</f>
        <v/>
      </c>
      <c r="F3624" t="str">
        <f t="shared" si="283"/>
        <v/>
      </c>
      <c r="G3624" t="str">
        <f t="shared" si="284"/>
        <v/>
      </c>
    </row>
    <row r="3625" spans="1:7" x14ac:dyDescent="0.4">
      <c r="A3625" t="str">
        <f t="shared" si="280"/>
        <v/>
      </c>
      <c r="B3625" t="str">
        <f t="shared" si="281"/>
        <v/>
      </c>
      <c r="C3625" t="str">
        <f t="shared" si="282"/>
        <v/>
      </c>
      <c r="D3625" t="str">
        <f>IF(E3625="","",IF(COUNTIF($E$2:E3625,E3625)&gt;1,"",SUMIFS(tbl_input[필요수량],tbl_input[집계키_지청],E3625)))</f>
        <v/>
      </c>
      <c r="E3625" t="str">
        <f>IFERROR(INDEX(tbl_input[집계키_지청],ROW()-1),"")</f>
        <v/>
      </c>
      <c r="F3625" t="str">
        <f t="shared" si="283"/>
        <v/>
      </c>
      <c r="G3625" t="str">
        <f t="shared" si="284"/>
        <v/>
      </c>
    </row>
    <row r="3626" spans="1:7" x14ac:dyDescent="0.4">
      <c r="A3626" t="str">
        <f t="shared" si="280"/>
        <v/>
      </c>
      <c r="B3626" t="str">
        <f t="shared" si="281"/>
        <v/>
      </c>
      <c r="C3626" t="str">
        <f t="shared" si="282"/>
        <v/>
      </c>
      <c r="D3626" t="str">
        <f>IF(E3626="","",IF(COUNTIF($E$2:E3626,E3626)&gt;1,"",SUMIFS(tbl_input[필요수량],tbl_input[집계키_지청],E3626)))</f>
        <v/>
      </c>
      <c r="E3626" t="str">
        <f>IFERROR(INDEX(tbl_input[집계키_지청],ROW()-1),"")</f>
        <v/>
      </c>
      <c r="F3626" t="str">
        <f t="shared" si="283"/>
        <v/>
      </c>
      <c r="G3626" t="str">
        <f t="shared" si="284"/>
        <v/>
      </c>
    </row>
    <row r="3627" spans="1:7" x14ac:dyDescent="0.4">
      <c r="A3627" t="str">
        <f t="shared" si="280"/>
        <v/>
      </c>
      <c r="B3627" t="str">
        <f t="shared" si="281"/>
        <v/>
      </c>
      <c r="C3627" t="str">
        <f t="shared" si="282"/>
        <v/>
      </c>
      <c r="D3627" t="str">
        <f>IF(E3627="","",IF(COUNTIF($E$2:E3627,E3627)&gt;1,"",SUMIFS(tbl_input[필요수량],tbl_input[집계키_지청],E3627)))</f>
        <v/>
      </c>
      <c r="E3627" t="str">
        <f>IFERROR(INDEX(tbl_input[집계키_지청],ROW()-1),"")</f>
        <v/>
      </c>
      <c r="F3627" t="str">
        <f t="shared" si="283"/>
        <v/>
      </c>
      <c r="G3627" t="str">
        <f t="shared" si="284"/>
        <v/>
      </c>
    </row>
    <row r="3628" spans="1:7" x14ac:dyDescent="0.4">
      <c r="A3628" t="str">
        <f t="shared" si="280"/>
        <v/>
      </c>
      <c r="B3628" t="str">
        <f t="shared" si="281"/>
        <v/>
      </c>
      <c r="C3628" t="str">
        <f t="shared" si="282"/>
        <v/>
      </c>
      <c r="D3628" t="str">
        <f>IF(E3628="","",IF(COUNTIF($E$2:E3628,E3628)&gt;1,"",SUMIFS(tbl_input[필요수량],tbl_input[집계키_지청],E3628)))</f>
        <v/>
      </c>
      <c r="E3628" t="str">
        <f>IFERROR(INDEX(tbl_input[집계키_지청],ROW()-1),"")</f>
        <v/>
      </c>
      <c r="F3628" t="str">
        <f t="shared" si="283"/>
        <v/>
      </c>
      <c r="G3628" t="str">
        <f t="shared" si="284"/>
        <v/>
      </c>
    </row>
    <row r="3629" spans="1:7" x14ac:dyDescent="0.4">
      <c r="A3629" t="str">
        <f t="shared" si="280"/>
        <v/>
      </c>
      <c r="B3629" t="str">
        <f t="shared" si="281"/>
        <v/>
      </c>
      <c r="C3629" t="str">
        <f t="shared" si="282"/>
        <v/>
      </c>
      <c r="D3629" t="str">
        <f>IF(E3629="","",IF(COUNTIF($E$2:E3629,E3629)&gt;1,"",SUMIFS(tbl_input[필요수량],tbl_input[집계키_지청],E3629)))</f>
        <v/>
      </c>
      <c r="E3629" t="str">
        <f>IFERROR(INDEX(tbl_input[집계키_지청],ROW()-1),"")</f>
        <v/>
      </c>
      <c r="F3629" t="str">
        <f t="shared" si="283"/>
        <v/>
      </c>
      <c r="G3629" t="str">
        <f t="shared" si="284"/>
        <v/>
      </c>
    </row>
    <row r="3630" spans="1:7" x14ac:dyDescent="0.4">
      <c r="A3630" t="str">
        <f t="shared" si="280"/>
        <v/>
      </c>
      <c r="B3630" t="str">
        <f t="shared" si="281"/>
        <v/>
      </c>
      <c r="C3630" t="str">
        <f t="shared" si="282"/>
        <v/>
      </c>
      <c r="D3630" t="str">
        <f>IF(E3630="","",IF(COUNTIF($E$2:E3630,E3630)&gt;1,"",SUMIFS(tbl_input[필요수량],tbl_input[집계키_지청],E3630)))</f>
        <v/>
      </c>
      <c r="E3630" t="str">
        <f>IFERROR(INDEX(tbl_input[집계키_지청],ROW()-1),"")</f>
        <v/>
      </c>
      <c r="F3630" t="str">
        <f t="shared" si="283"/>
        <v/>
      </c>
      <c r="G3630" t="str">
        <f t="shared" si="284"/>
        <v/>
      </c>
    </row>
    <row r="3631" spans="1:7" x14ac:dyDescent="0.4">
      <c r="A3631" t="str">
        <f t="shared" si="280"/>
        <v/>
      </c>
      <c r="B3631" t="str">
        <f t="shared" si="281"/>
        <v/>
      </c>
      <c r="C3631" t="str">
        <f t="shared" si="282"/>
        <v/>
      </c>
      <c r="D3631" t="str">
        <f>IF(E3631="","",IF(COUNTIF($E$2:E3631,E3631)&gt;1,"",SUMIFS(tbl_input[필요수량],tbl_input[집계키_지청],E3631)))</f>
        <v/>
      </c>
      <c r="E3631" t="str">
        <f>IFERROR(INDEX(tbl_input[집계키_지청],ROW()-1),"")</f>
        <v/>
      </c>
      <c r="F3631" t="str">
        <f t="shared" si="283"/>
        <v/>
      </c>
      <c r="G3631" t="str">
        <f t="shared" si="284"/>
        <v/>
      </c>
    </row>
    <row r="3632" spans="1:7" x14ac:dyDescent="0.4">
      <c r="A3632" t="str">
        <f t="shared" si="280"/>
        <v/>
      </c>
      <c r="B3632" t="str">
        <f t="shared" si="281"/>
        <v/>
      </c>
      <c r="C3632" t="str">
        <f t="shared" si="282"/>
        <v/>
      </c>
      <c r="D3632" t="str">
        <f>IF(E3632="","",IF(COUNTIF($E$2:E3632,E3632)&gt;1,"",SUMIFS(tbl_input[필요수량],tbl_input[집계키_지청],E3632)))</f>
        <v/>
      </c>
      <c r="E3632" t="str">
        <f>IFERROR(INDEX(tbl_input[집계키_지청],ROW()-1),"")</f>
        <v/>
      </c>
      <c r="F3632" t="str">
        <f t="shared" si="283"/>
        <v/>
      </c>
      <c r="G3632" t="str">
        <f t="shared" si="284"/>
        <v/>
      </c>
    </row>
    <row r="3633" spans="1:7" x14ac:dyDescent="0.4">
      <c r="A3633" t="str">
        <f t="shared" si="280"/>
        <v/>
      </c>
      <c r="B3633" t="str">
        <f t="shared" si="281"/>
        <v/>
      </c>
      <c r="C3633" t="str">
        <f t="shared" si="282"/>
        <v/>
      </c>
      <c r="D3633" t="str">
        <f>IF(E3633="","",IF(COUNTIF($E$2:E3633,E3633)&gt;1,"",SUMIFS(tbl_input[필요수량],tbl_input[집계키_지청],E3633)))</f>
        <v/>
      </c>
      <c r="E3633" t="str">
        <f>IFERROR(INDEX(tbl_input[집계키_지청],ROW()-1),"")</f>
        <v/>
      </c>
      <c r="F3633" t="str">
        <f t="shared" si="283"/>
        <v/>
      </c>
      <c r="G3633" t="str">
        <f t="shared" si="284"/>
        <v/>
      </c>
    </row>
    <row r="3634" spans="1:7" x14ac:dyDescent="0.4">
      <c r="A3634" t="str">
        <f t="shared" si="280"/>
        <v/>
      </c>
      <c r="B3634" t="str">
        <f t="shared" si="281"/>
        <v/>
      </c>
      <c r="C3634" t="str">
        <f t="shared" si="282"/>
        <v/>
      </c>
      <c r="D3634" t="str">
        <f>IF(E3634="","",IF(COUNTIF($E$2:E3634,E3634)&gt;1,"",SUMIFS(tbl_input[필요수량],tbl_input[집계키_지청],E3634)))</f>
        <v/>
      </c>
      <c r="E3634" t="str">
        <f>IFERROR(INDEX(tbl_input[집계키_지청],ROW()-1),"")</f>
        <v/>
      </c>
      <c r="F3634" t="str">
        <f t="shared" si="283"/>
        <v/>
      </c>
      <c r="G3634" t="str">
        <f t="shared" si="284"/>
        <v/>
      </c>
    </row>
    <row r="3635" spans="1:7" x14ac:dyDescent="0.4">
      <c r="A3635" t="str">
        <f t="shared" si="280"/>
        <v/>
      </c>
      <c r="B3635" t="str">
        <f t="shared" si="281"/>
        <v/>
      </c>
      <c r="C3635" t="str">
        <f t="shared" si="282"/>
        <v/>
      </c>
      <c r="D3635" t="str">
        <f>IF(E3635="","",IF(COUNTIF($E$2:E3635,E3635)&gt;1,"",SUMIFS(tbl_input[필요수량],tbl_input[집계키_지청],E3635)))</f>
        <v/>
      </c>
      <c r="E3635" t="str">
        <f>IFERROR(INDEX(tbl_input[집계키_지청],ROW()-1),"")</f>
        <v/>
      </c>
      <c r="F3635" t="str">
        <f t="shared" si="283"/>
        <v/>
      </c>
      <c r="G3635" t="str">
        <f t="shared" si="284"/>
        <v/>
      </c>
    </row>
    <row r="3636" spans="1:7" x14ac:dyDescent="0.4">
      <c r="A3636" t="str">
        <f t="shared" si="280"/>
        <v/>
      </c>
      <c r="B3636" t="str">
        <f t="shared" si="281"/>
        <v/>
      </c>
      <c r="C3636" t="str">
        <f t="shared" si="282"/>
        <v/>
      </c>
      <c r="D3636" t="str">
        <f>IF(E3636="","",IF(COUNTIF($E$2:E3636,E3636)&gt;1,"",SUMIFS(tbl_input[필요수량],tbl_input[집계키_지청],E3636)))</f>
        <v/>
      </c>
      <c r="E3636" t="str">
        <f>IFERROR(INDEX(tbl_input[집계키_지청],ROW()-1),"")</f>
        <v/>
      </c>
      <c r="F3636" t="str">
        <f t="shared" si="283"/>
        <v/>
      </c>
      <c r="G3636" t="str">
        <f t="shared" si="284"/>
        <v/>
      </c>
    </row>
    <row r="3637" spans="1:7" x14ac:dyDescent="0.4">
      <c r="A3637" t="str">
        <f t="shared" si="280"/>
        <v/>
      </c>
      <c r="B3637" t="str">
        <f t="shared" si="281"/>
        <v/>
      </c>
      <c r="C3637" t="str">
        <f t="shared" si="282"/>
        <v/>
      </c>
      <c r="D3637" t="str">
        <f>IF(E3637="","",IF(COUNTIF($E$2:E3637,E3637)&gt;1,"",SUMIFS(tbl_input[필요수량],tbl_input[집계키_지청],E3637)))</f>
        <v/>
      </c>
      <c r="E3637" t="str">
        <f>IFERROR(INDEX(tbl_input[집계키_지청],ROW()-1),"")</f>
        <v/>
      </c>
      <c r="F3637" t="str">
        <f t="shared" si="283"/>
        <v/>
      </c>
      <c r="G3637" t="str">
        <f t="shared" si="284"/>
        <v/>
      </c>
    </row>
    <row r="3638" spans="1:7" x14ac:dyDescent="0.4">
      <c r="A3638" t="str">
        <f t="shared" si="280"/>
        <v/>
      </c>
      <c r="B3638" t="str">
        <f t="shared" si="281"/>
        <v/>
      </c>
      <c r="C3638" t="str">
        <f t="shared" si="282"/>
        <v/>
      </c>
      <c r="D3638" t="str">
        <f>IF(E3638="","",IF(COUNTIF($E$2:E3638,E3638)&gt;1,"",SUMIFS(tbl_input[필요수량],tbl_input[집계키_지청],E3638)))</f>
        <v/>
      </c>
      <c r="E3638" t="str">
        <f>IFERROR(INDEX(tbl_input[집계키_지청],ROW()-1),"")</f>
        <v/>
      </c>
      <c r="F3638" t="str">
        <f t="shared" si="283"/>
        <v/>
      </c>
      <c r="G3638" t="str">
        <f t="shared" si="284"/>
        <v/>
      </c>
    </row>
    <row r="3639" spans="1:7" x14ac:dyDescent="0.4">
      <c r="A3639" t="str">
        <f t="shared" si="280"/>
        <v/>
      </c>
      <c r="B3639" t="str">
        <f t="shared" si="281"/>
        <v/>
      </c>
      <c r="C3639" t="str">
        <f t="shared" si="282"/>
        <v/>
      </c>
      <c r="D3639" t="str">
        <f>IF(E3639="","",IF(COUNTIF($E$2:E3639,E3639)&gt;1,"",SUMIFS(tbl_input[필요수량],tbl_input[집계키_지청],E3639)))</f>
        <v/>
      </c>
      <c r="E3639" t="str">
        <f>IFERROR(INDEX(tbl_input[집계키_지청],ROW()-1),"")</f>
        <v/>
      </c>
      <c r="F3639" t="str">
        <f t="shared" si="283"/>
        <v/>
      </c>
      <c r="G3639" t="str">
        <f t="shared" si="284"/>
        <v/>
      </c>
    </row>
    <row r="3640" spans="1:7" x14ac:dyDescent="0.4">
      <c r="A3640" t="str">
        <f t="shared" si="280"/>
        <v/>
      </c>
      <c r="B3640" t="str">
        <f t="shared" si="281"/>
        <v/>
      </c>
      <c r="C3640" t="str">
        <f t="shared" si="282"/>
        <v/>
      </c>
      <c r="D3640" t="str">
        <f>IF(E3640="","",IF(COUNTIF($E$2:E3640,E3640)&gt;1,"",SUMIFS(tbl_input[필요수량],tbl_input[집계키_지청],E3640)))</f>
        <v/>
      </c>
      <c r="E3640" t="str">
        <f>IFERROR(INDEX(tbl_input[집계키_지청],ROW()-1),"")</f>
        <v/>
      </c>
      <c r="F3640" t="str">
        <f t="shared" si="283"/>
        <v/>
      </c>
      <c r="G3640" t="str">
        <f t="shared" si="284"/>
        <v/>
      </c>
    </row>
    <row r="3641" spans="1:7" x14ac:dyDescent="0.4">
      <c r="A3641" t="str">
        <f t="shared" si="280"/>
        <v/>
      </c>
      <c r="B3641" t="str">
        <f t="shared" si="281"/>
        <v/>
      </c>
      <c r="C3641" t="str">
        <f t="shared" si="282"/>
        <v/>
      </c>
      <c r="D3641" t="str">
        <f>IF(E3641="","",IF(COUNTIF($E$2:E3641,E3641)&gt;1,"",SUMIFS(tbl_input[필요수량],tbl_input[집계키_지청],E3641)))</f>
        <v/>
      </c>
      <c r="E3641" t="str">
        <f>IFERROR(INDEX(tbl_input[집계키_지청],ROW()-1),"")</f>
        <v/>
      </c>
      <c r="F3641" t="str">
        <f t="shared" si="283"/>
        <v/>
      </c>
      <c r="G3641" t="str">
        <f t="shared" si="284"/>
        <v/>
      </c>
    </row>
    <row r="3642" spans="1:7" x14ac:dyDescent="0.4">
      <c r="A3642" t="str">
        <f t="shared" si="280"/>
        <v/>
      </c>
      <c r="B3642" t="str">
        <f t="shared" si="281"/>
        <v/>
      </c>
      <c r="C3642" t="str">
        <f t="shared" si="282"/>
        <v/>
      </c>
      <c r="D3642" t="str">
        <f>IF(E3642="","",IF(COUNTIF($E$2:E3642,E3642)&gt;1,"",SUMIFS(tbl_input[필요수량],tbl_input[집계키_지청],E3642)))</f>
        <v/>
      </c>
      <c r="E3642" t="str">
        <f>IFERROR(INDEX(tbl_input[집계키_지청],ROW()-1),"")</f>
        <v/>
      </c>
      <c r="F3642" t="str">
        <f t="shared" si="283"/>
        <v/>
      </c>
      <c r="G3642" t="str">
        <f t="shared" si="284"/>
        <v/>
      </c>
    </row>
    <row r="3643" spans="1:7" x14ac:dyDescent="0.4">
      <c r="A3643" t="str">
        <f t="shared" si="280"/>
        <v/>
      </c>
      <c r="B3643" t="str">
        <f t="shared" si="281"/>
        <v/>
      </c>
      <c r="C3643" t="str">
        <f t="shared" si="282"/>
        <v/>
      </c>
      <c r="D3643" t="str">
        <f>IF(E3643="","",IF(COUNTIF($E$2:E3643,E3643)&gt;1,"",SUMIFS(tbl_input[필요수량],tbl_input[집계키_지청],E3643)))</f>
        <v/>
      </c>
      <c r="E3643" t="str">
        <f>IFERROR(INDEX(tbl_input[집계키_지청],ROW()-1),"")</f>
        <v/>
      </c>
      <c r="F3643" t="str">
        <f t="shared" si="283"/>
        <v/>
      </c>
      <c r="G3643" t="str">
        <f t="shared" si="284"/>
        <v/>
      </c>
    </row>
    <row r="3644" spans="1:7" x14ac:dyDescent="0.4">
      <c r="A3644" t="str">
        <f t="shared" si="280"/>
        <v/>
      </c>
      <c r="B3644" t="str">
        <f t="shared" si="281"/>
        <v/>
      </c>
      <c r="C3644" t="str">
        <f t="shared" si="282"/>
        <v/>
      </c>
      <c r="D3644" t="str">
        <f>IF(E3644="","",IF(COUNTIF($E$2:E3644,E3644)&gt;1,"",SUMIFS(tbl_input[필요수량],tbl_input[집계키_지청],E3644)))</f>
        <v/>
      </c>
      <c r="E3644" t="str">
        <f>IFERROR(INDEX(tbl_input[집계키_지청],ROW()-1),"")</f>
        <v/>
      </c>
      <c r="F3644" t="str">
        <f t="shared" si="283"/>
        <v/>
      </c>
      <c r="G3644" t="str">
        <f t="shared" si="284"/>
        <v/>
      </c>
    </row>
    <row r="3645" spans="1:7" x14ac:dyDescent="0.4">
      <c r="A3645" t="str">
        <f t="shared" si="280"/>
        <v/>
      </c>
      <c r="B3645" t="str">
        <f t="shared" si="281"/>
        <v/>
      </c>
      <c r="C3645" t="str">
        <f t="shared" si="282"/>
        <v/>
      </c>
      <c r="D3645" t="str">
        <f>IF(E3645="","",IF(COUNTIF($E$2:E3645,E3645)&gt;1,"",SUMIFS(tbl_input[필요수량],tbl_input[집계키_지청],E3645)))</f>
        <v/>
      </c>
      <c r="E3645" t="str">
        <f>IFERROR(INDEX(tbl_input[집계키_지청],ROW()-1),"")</f>
        <v/>
      </c>
      <c r="F3645" t="str">
        <f t="shared" si="283"/>
        <v/>
      </c>
      <c r="G3645" t="str">
        <f t="shared" si="284"/>
        <v/>
      </c>
    </row>
    <row r="3646" spans="1:7" x14ac:dyDescent="0.4">
      <c r="A3646" t="str">
        <f t="shared" si="280"/>
        <v/>
      </c>
      <c r="B3646" t="str">
        <f t="shared" si="281"/>
        <v/>
      </c>
      <c r="C3646" t="str">
        <f t="shared" si="282"/>
        <v/>
      </c>
      <c r="D3646" t="str">
        <f>IF(E3646="","",IF(COUNTIF($E$2:E3646,E3646)&gt;1,"",SUMIFS(tbl_input[필요수량],tbl_input[집계키_지청],E3646)))</f>
        <v/>
      </c>
      <c r="E3646" t="str">
        <f>IFERROR(INDEX(tbl_input[집계키_지청],ROW()-1),"")</f>
        <v/>
      </c>
      <c r="F3646" t="str">
        <f t="shared" si="283"/>
        <v/>
      </c>
      <c r="G3646" t="str">
        <f t="shared" si="284"/>
        <v/>
      </c>
    </row>
    <row r="3647" spans="1:7" x14ac:dyDescent="0.4">
      <c r="A3647" t="str">
        <f t="shared" si="280"/>
        <v/>
      </c>
      <c r="B3647" t="str">
        <f t="shared" si="281"/>
        <v/>
      </c>
      <c r="C3647" t="str">
        <f t="shared" si="282"/>
        <v/>
      </c>
      <c r="D3647" t="str">
        <f>IF(E3647="","",IF(COUNTIF($E$2:E3647,E3647)&gt;1,"",SUMIFS(tbl_input[필요수량],tbl_input[집계키_지청],E3647)))</f>
        <v/>
      </c>
      <c r="E3647" t="str">
        <f>IFERROR(INDEX(tbl_input[집계키_지청],ROW()-1),"")</f>
        <v/>
      </c>
      <c r="F3647" t="str">
        <f t="shared" si="283"/>
        <v/>
      </c>
      <c r="G3647" t="str">
        <f t="shared" si="284"/>
        <v/>
      </c>
    </row>
    <row r="3648" spans="1:7" x14ac:dyDescent="0.4">
      <c r="A3648" t="str">
        <f t="shared" si="280"/>
        <v/>
      </c>
      <c r="B3648" t="str">
        <f t="shared" si="281"/>
        <v/>
      </c>
      <c r="C3648" t="str">
        <f t="shared" si="282"/>
        <v/>
      </c>
      <c r="D3648" t="str">
        <f>IF(E3648="","",IF(COUNTIF($E$2:E3648,E3648)&gt;1,"",SUMIFS(tbl_input[필요수량],tbl_input[집계키_지청],E3648)))</f>
        <v/>
      </c>
      <c r="E3648" t="str">
        <f>IFERROR(INDEX(tbl_input[집계키_지청],ROW()-1),"")</f>
        <v/>
      </c>
      <c r="F3648" t="str">
        <f t="shared" si="283"/>
        <v/>
      </c>
      <c r="G3648" t="str">
        <f t="shared" si="284"/>
        <v/>
      </c>
    </row>
    <row r="3649" spans="1:7" x14ac:dyDescent="0.4">
      <c r="A3649" t="str">
        <f t="shared" si="280"/>
        <v/>
      </c>
      <c r="B3649" t="str">
        <f t="shared" si="281"/>
        <v/>
      </c>
      <c r="C3649" t="str">
        <f t="shared" si="282"/>
        <v/>
      </c>
      <c r="D3649" t="str">
        <f>IF(E3649="","",IF(COUNTIF($E$2:E3649,E3649)&gt;1,"",SUMIFS(tbl_input[필요수량],tbl_input[집계키_지청],E3649)))</f>
        <v/>
      </c>
      <c r="E3649" t="str">
        <f>IFERROR(INDEX(tbl_input[집계키_지청],ROW()-1),"")</f>
        <v/>
      </c>
      <c r="F3649" t="str">
        <f t="shared" si="283"/>
        <v/>
      </c>
      <c r="G3649" t="str">
        <f t="shared" si="284"/>
        <v/>
      </c>
    </row>
    <row r="3650" spans="1:7" x14ac:dyDescent="0.4">
      <c r="A3650" t="str">
        <f t="shared" ref="A3650:A3713" si="285">IF(E3650="","",LEFT(E3650,F3650-1))</f>
        <v/>
      </c>
      <c r="B3650" t="str">
        <f t="shared" ref="B3650:B3713" si="286">IF(E3650="","",MID(E3650,F3650+1,G3650-F3650-1))</f>
        <v/>
      </c>
      <c r="C3650" t="str">
        <f t="shared" ref="C3650:C3713" si="287">IF(E3650="","",MID(E3650,G3650+1,999))</f>
        <v/>
      </c>
      <c r="D3650" t="str">
        <f>IF(E3650="","",IF(COUNTIF($E$2:E3650,E3650)&gt;1,"",SUMIFS(tbl_input[필요수량],tbl_input[집계키_지청],E3650)))</f>
        <v/>
      </c>
      <c r="E3650" t="str">
        <f>IFERROR(INDEX(tbl_input[집계키_지청],ROW()-1),"")</f>
        <v/>
      </c>
      <c r="F3650" t="str">
        <f t="shared" ref="F3650:F3713" si="288">IF(E3650="","",FIND("♦",E3650))</f>
        <v/>
      </c>
      <c r="G3650" t="str">
        <f t="shared" ref="G3650:G3713" si="289">IF(E3650="","",FIND("♦",E3650,F3650+1))</f>
        <v/>
      </c>
    </row>
    <row r="3651" spans="1:7" x14ac:dyDescent="0.4">
      <c r="A3651" t="str">
        <f t="shared" si="285"/>
        <v/>
      </c>
      <c r="B3651" t="str">
        <f t="shared" si="286"/>
        <v/>
      </c>
      <c r="C3651" t="str">
        <f t="shared" si="287"/>
        <v/>
      </c>
      <c r="D3651" t="str">
        <f>IF(E3651="","",IF(COUNTIF($E$2:E3651,E3651)&gt;1,"",SUMIFS(tbl_input[필요수량],tbl_input[집계키_지청],E3651)))</f>
        <v/>
      </c>
      <c r="E3651" t="str">
        <f>IFERROR(INDEX(tbl_input[집계키_지청],ROW()-1),"")</f>
        <v/>
      </c>
      <c r="F3651" t="str">
        <f t="shared" si="288"/>
        <v/>
      </c>
      <c r="G3651" t="str">
        <f t="shared" si="289"/>
        <v/>
      </c>
    </row>
    <row r="3652" spans="1:7" x14ac:dyDescent="0.4">
      <c r="A3652" t="str">
        <f t="shared" si="285"/>
        <v/>
      </c>
      <c r="B3652" t="str">
        <f t="shared" si="286"/>
        <v/>
      </c>
      <c r="C3652" t="str">
        <f t="shared" si="287"/>
        <v/>
      </c>
      <c r="D3652" t="str">
        <f>IF(E3652="","",IF(COUNTIF($E$2:E3652,E3652)&gt;1,"",SUMIFS(tbl_input[필요수량],tbl_input[집계키_지청],E3652)))</f>
        <v/>
      </c>
      <c r="E3652" t="str">
        <f>IFERROR(INDEX(tbl_input[집계키_지청],ROW()-1),"")</f>
        <v/>
      </c>
      <c r="F3652" t="str">
        <f t="shared" si="288"/>
        <v/>
      </c>
      <c r="G3652" t="str">
        <f t="shared" si="289"/>
        <v/>
      </c>
    </row>
    <row r="3653" spans="1:7" x14ac:dyDescent="0.4">
      <c r="A3653" t="str">
        <f t="shared" si="285"/>
        <v/>
      </c>
      <c r="B3653" t="str">
        <f t="shared" si="286"/>
        <v/>
      </c>
      <c r="C3653" t="str">
        <f t="shared" si="287"/>
        <v/>
      </c>
      <c r="D3653" t="str">
        <f>IF(E3653="","",IF(COUNTIF($E$2:E3653,E3653)&gt;1,"",SUMIFS(tbl_input[필요수량],tbl_input[집계키_지청],E3653)))</f>
        <v/>
      </c>
      <c r="E3653" t="str">
        <f>IFERROR(INDEX(tbl_input[집계키_지청],ROW()-1),"")</f>
        <v/>
      </c>
      <c r="F3653" t="str">
        <f t="shared" si="288"/>
        <v/>
      </c>
      <c r="G3653" t="str">
        <f t="shared" si="289"/>
        <v/>
      </c>
    </row>
    <row r="3654" spans="1:7" x14ac:dyDescent="0.4">
      <c r="A3654" t="str">
        <f t="shared" si="285"/>
        <v/>
      </c>
      <c r="B3654" t="str">
        <f t="shared" si="286"/>
        <v/>
      </c>
      <c r="C3654" t="str">
        <f t="shared" si="287"/>
        <v/>
      </c>
      <c r="D3654" t="str">
        <f>IF(E3654="","",IF(COUNTIF($E$2:E3654,E3654)&gt;1,"",SUMIFS(tbl_input[필요수량],tbl_input[집계키_지청],E3654)))</f>
        <v/>
      </c>
      <c r="E3654" t="str">
        <f>IFERROR(INDEX(tbl_input[집계키_지청],ROW()-1),"")</f>
        <v/>
      </c>
      <c r="F3654" t="str">
        <f t="shared" si="288"/>
        <v/>
      </c>
      <c r="G3654" t="str">
        <f t="shared" si="289"/>
        <v/>
      </c>
    </row>
    <row r="3655" spans="1:7" x14ac:dyDescent="0.4">
      <c r="A3655" t="str">
        <f t="shared" si="285"/>
        <v/>
      </c>
      <c r="B3655" t="str">
        <f t="shared" si="286"/>
        <v/>
      </c>
      <c r="C3655" t="str">
        <f t="shared" si="287"/>
        <v/>
      </c>
      <c r="D3655" t="str">
        <f>IF(E3655="","",IF(COUNTIF($E$2:E3655,E3655)&gt;1,"",SUMIFS(tbl_input[필요수량],tbl_input[집계키_지청],E3655)))</f>
        <v/>
      </c>
      <c r="E3655" t="str">
        <f>IFERROR(INDEX(tbl_input[집계키_지청],ROW()-1),"")</f>
        <v/>
      </c>
      <c r="F3655" t="str">
        <f t="shared" si="288"/>
        <v/>
      </c>
      <c r="G3655" t="str">
        <f t="shared" si="289"/>
        <v/>
      </c>
    </row>
    <row r="3656" spans="1:7" x14ac:dyDescent="0.4">
      <c r="A3656" t="str">
        <f t="shared" si="285"/>
        <v/>
      </c>
      <c r="B3656" t="str">
        <f t="shared" si="286"/>
        <v/>
      </c>
      <c r="C3656" t="str">
        <f t="shared" si="287"/>
        <v/>
      </c>
      <c r="D3656" t="str">
        <f>IF(E3656="","",IF(COUNTIF($E$2:E3656,E3656)&gt;1,"",SUMIFS(tbl_input[필요수량],tbl_input[집계키_지청],E3656)))</f>
        <v/>
      </c>
      <c r="E3656" t="str">
        <f>IFERROR(INDEX(tbl_input[집계키_지청],ROW()-1),"")</f>
        <v/>
      </c>
      <c r="F3656" t="str">
        <f t="shared" si="288"/>
        <v/>
      </c>
      <c r="G3656" t="str">
        <f t="shared" si="289"/>
        <v/>
      </c>
    </row>
    <row r="3657" spans="1:7" x14ac:dyDescent="0.4">
      <c r="A3657" t="str">
        <f t="shared" si="285"/>
        <v/>
      </c>
      <c r="B3657" t="str">
        <f t="shared" si="286"/>
        <v/>
      </c>
      <c r="C3657" t="str">
        <f t="shared" si="287"/>
        <v/>
      </c>
      <c r="D3657" t="str">
        <f>IF(E3657="","",IF(COUNTIF($E$2:E3657,E3657)&gt;1,"",SUMIFS(tbl_input[필요수량],tbl_input[집계키_지청],E3657)))</f>
        <v/>
      </c>
      <c r="E3657" t="str">
        <f>IFERROR(INDEX(tbl_input[집계키_지청],ROW()-1),"")</f>
        <v/>
      </c>
      <c r="F3657" t="str">
        <f t="shared" si="288"/>
        <v/>
      </c>
      <c r="G3657" t="str">
        <f t="shared" si="289"/>
        <v/>
      </c>
    </row>
    <row r="3658" spans="1:7" x14ac:dyDescent="0.4">
      <c r="A3658" t="str">
        <f t="shared" si="285"/>
        <v/>
      </c>
      <c r="B3658" t="str">
        <f t="shared" si="286"/>
        <v/>
      </c>
      <c r="C3658" t="str">
        <f t="shared" si="287"/>
        <v/>
      </c>
      <c r="D3658" t="str">
        <f>IF(E3658="","",IF(COUNTIF($E$2:E3658,E3658)&gt;1,"",SUMIFS(tbl_input[필요수량],tbl_input[집계키_지청],E3658)))</f>
        <v/>
      </c>
      <c r="E3658" t="str">
        <f>IFERROR(INDEX(tbl_input[집계키_지청],ROW()-1),"")</f>
        <v/>
      </c>
      <c r="F3658" t="str">
        <f t="shared" si="288"/>
        <v/>
      </c>
      <c r="G3658" t="str">
        <f t="shared" si="289"/>
        <v/>
      </c>
    </row>
    <row r="3659" spans="1:7" x14ac:dyDescent="0.4">
      <c r="A3659" t="str">
        <f t="shared" si="285"/>
        <v/>
      </c>
      <c r="B3659" t="str">
        <f t="shared" si="286"/>
        <v/>
      </c>
      <c r="C3659" t="str">
        <f t="shared" si="287"/>
        <v/>
      </c>
      <c r="D3659" t="str">
        <f>IF(E3659="","",IF(COUNTIF($E$2:E3659,E3659)&gt;1,"",SUMIFS(tbl_input[필요수량],tbl_input[집계키_지청],E3659)))</f>
        <v/>
      </c>
      <c r="E3659" t="str">
        <f>IFERROR(INDEX(tbl_input[집계키_지청],ROW()-1),"")</f>
        <v/>
      </c>
      <c r="F3659" t="str">
        <f t="shared" si="288"/>
        <v/>
      </c>
      <c r="G3659" t="str">
        <f t="shared" si="289"/>
        <v/>
      </c>
    </row>
    <row r="3660" spans="1:7" x14ac:dyDescent="0.4">
      <c r="A3660" t="str">
        <f t="shared" si="285"/>
        <v/>
      </c>
      <c r="B3660" t="str">
        <f t="shared" si="286"/>
        <v/>
      </c>
      <c r="C3660" t="str">
        <f t="shared" si="287"/>
        <v/>
      </c>
      <c r="D3660" t="str">
        <f>IF(E3660="","",IF(COUNTIF($E$2:E3660,E3660)&gt;1,"",SUMIFS(tbl_input[필요수량],tbl_input[집계키_지청],E3660)))</f>
        <v/>
      </c>
      <c r="E3660" t="str">
        <f>IFERROR(INDEX(tbl_input[집계키_지청],ROW()-1),"")</f>
        <v/>
      </c>
      <c r="F3660" t="str">
        <f t="shared" si="288"/>
        <v/>
      </c>
      <c r="G3660" t="str">
        <f t="shared" si="289"/>
        <v/>
      </c>
    </row>
    <row r="3661" spans="1:7" x14ac:dyDescent="0.4">
      <c r="A3661" t="str">
        <f t="shared" si="285"/>
        <v/>
      </c>
      <c r="B3661" t="str">
        <f t="shared" si="286"/>
        <v/>
      </c>
      <c r="C3661" t="str">
        <f t="shared" si="287"/>
        <v/>
      </c>
      <c r="D3661" t="str">
        <f>IF(E3661="","",IF(COUNTIF($E$2:E3661,E3661)&gt;1,"",SUMIFS(tbl_input[필요수량],tbl_input[집계키_지청],E3661)))</f>
        <v/>
      </c>
      <c r="E3661" t="str">
        <f>IFERROR(INDEX(tbl_input[집계키_지청],ROW()-1),"")</f>
        <v/>
      </c>
      <c r="F3661" t="str">
        <f t="shared" si="288"/>
        <v/>
      </c>
      <c r="G3661" t="str">
        <f t="shared" si="289"/>
        <v/>
      </c>
    </row>
    <row r="3662" spans="1:7" x14ac:dyDescent="0.4">
      <c r="A3662" t="str">
        <f t="shared" si="285"/>
        <v/>
      </c>
      <c r="B3662" t="str">
        <f t="shared" si="286"/>
        <v/>
      </c>
      <c r="C3662" t="str">
        <f t="shared" si="287"/>
        <v/>
      </c>
      <c r="D3662" t="str">
        <f>IF(E3662="","",IF(COUNTIF($E$2:E3662,E3662)&gt;1,"",SUMIFS(tbl_input[필요수량],tbl_input[집계키_지청],E3662)))</f>
        <v/>
      </c>
      <c r="E3662" t="str">
        <f>IFERROR(INDEX(tbl_input[집계키_지청],ROW()-1),"")</f>
        <v/>
      </c>
      <c r="F3662" t="str">
        <f t="shared" si="288"/>
        <v/>
      </c>
      <c r="G3662" t="str">
        <f t="shared" si="289"/>
        <v/>
      </c>
    </row>
    <row r="3663" spans="1:7" x14ac:dyDescent="0.4">
      <c r="A3663" t="str">
        <f t="shared" si="285"/>
        <v/>
      </c>
      <c r="B3663" t="str">
        <f t="shared" si="286"/>
        <v/>
      </c>
      <c r="C3663" t="str">
        <f t="shared" si="287"/>
        <v/>
      </c>
      <c r="D3663" t="str">
        <f>IF(E3663="","",IF(COUNTIF($E$2:E3663,E3663)&gt;1,"",SUMIFS(tbl_input[필요수량],tbl_input[집계키_지청],E3663)))</f>
        <v/>
      </c>
      <c r="E3663" t="str">
        <f>IFERROR(INDEX(tbl_input[집계키_지청],ROW()-1),"")</f>
        <v/>
      </c>
      <c r="F3663" t="str">
        <f t="shared" si="288"/>
        <v/>
      </c>
      <c r="G3663" t="str">
        <f t="shared" si="289"/>
        <v/>
      </c>
    </row>
    <row r="3664" spans="1:7" x14ac:dyDescent="0.4">
      <c r="A3664" t="str">
        <f t="shared" si="285"/>
        <v/>
      </c>
      <c r="B3664" t="str">
        <f t="shared" si="286"/>
        <v/>
      </c>
      <c r="C3664" t="str">
        <f t="shared" si="287"/>
        <v/>
      </c>
      <c r="D3664" t="str">
        <f>IF(E3664="","",IF(COUNTIF($E$2:E3664,E3664)&gt;1,"",SUMIFS(tbl_input[필요수량],tbl_input[집계키_지청],E3664)))</f>
        <v/>
      </c>
      <c r="E3664" t="str">
        <f>IFERROR(INDEX(tbl_input[집계키_지청],ROW()-1),"")</f>
        <v/>
      </c>
      <c r="F3664" t="str">
        <f t="shared" si="288"/>
        <v/>
      </c>
      <c r="G3664" t="str">
        <f t="shared" si="289"/>
        <v/>
      </c>
    </row>
    <row r="3665" spans="1:7" x14ac:dyDescent="0.4">
      <c r="A3665" t="str">
        <f t="shared" si="285"/>
        <v/>
      </c>
      <c r="B3665" t="str">
        <f t="shared" si="286"/>
        <v/>
      </c>
      <c r="C3665" t="str">
        <f t="shared" si="287"/>
        <v/>
      </c>
      <c r="D3665" t="str">
        <f>IF(E3665="","",IF(COUNTIF($E$2:E3665,E3665)&gt;1,"",SUMIFS(tbl_input[필요수량],tbl_input[집계키_지청],E3665)))</f>
        <v/>
      </c>
      <c r="E3665" t="str">
        <f>IFERROR(INDEX(tbl_input[집계키_지청],ROW()-1),"")</f>
        <v/>
      </c>
      <c r="F3665" t="str">
        <f t="shared" si="288"/>
        <v/>
      </c>
      <c r="G3665" t="str">
        <f t="shared" si="289"/>
        <v/>
      </c>
    </row>
    <row r="3666" spans="1:7" x14ac:dyDescent="0.4">
      <c r="A3666" t="str">
        <f t="shared" si="285"/>
        <v/>
      </c>
      <c r="B3666" t="str">
        <f t="shared" si="286"/>
        <v/>
      </c>
      <c r="C3666" t="str">
        <f t="shared" si="287"/>
        <v/>
      </c>
      <c r="D3666" t="str">
        <f>IF(E3666="","",IF(COUNTIF($E$2:E3666,E3666)&gt;1,"",SUMIFS(tbl_input[필요수량],tbl_input[집계키_지청],E3666)))</f>
        <v/>
      </c>
      <c r="E3666" t="str">
        <f>IFERROR(INDEX(tbl_input[집계키_지청],ROW()-1),"")</f>
        <v/>
      </c>
      <c r="F3666" t="str">
        <f t="shared" si="288"/>
        <v/>
      </c>
      <c r="G3666" t="str">
        <f t="shared" si="289"/>
        <v/>
      </c>
    </row>
    <row r="3667" spans="1:7" x14ac:dyDescent="0.4">
      <c r="A3667" t="str">
        <f t="shared" si="285"/>
        <v/>
      </c>
      <c r="B3667" t="str">
        <f t="shared" si="286"/>
        <v/>
      </c>
      <c r="C3667" t="str">
        <f t="shared" si="287"/>
        <v/>
      </c>
      <c r="D3667" t="str">
        <f>IF(E3667="","",IF(COUNTIF($E$2:E3667,E3667)&gt;1,"",SUMIFS(tbl_input[필요수량],tbl_input[집계키_지청],E3667)))</f>
        <v/>
      </c>
      <c r="E3667" t="str">
        <f>IFERROR(INDEX(tbl_input[집계키_지청],ROW()-1),"")</f>
        <v/>
      </c>
      <c r="F3667" t="str">
        <f t="shared" si="288"/>
        <v/>
      </c>
      <c r="G3667" t="str">
        <f t="shared" si="289"/>
        <v/>
      </c>
    </row>
    <row r="3668" spans="1:7" x14ac:dyDescent="0.4">
      <c r="A3668" t="str">
        <f t="shared" si="285"/>
        <v/>
      </c>
      <c r="B3668" t="str">
        <f t="shared" si="286"/>
        <v/>
      </c>
      <c r="C3668" t="str">
        <f t="shared" si="287"/>
        <v/>
      </c>
      <c r="D3668" t="str">
        <f>IF(E3668="","",IF(COUNTIF($E$2:E3668,E3668)&gt;1,"",SUMIFS(tbl_input[필요수량],tbl_input[집계키_지청],E3668)))</f>
        <v/>
      </c>
      <c r="E3668" t="str">
        <f>IFERROR(INDEX(tbl_input[집계키_지청],ROW()-1),"")</f>
        <v/>
      </c>
      <c r="F3668" t="str">
        <f t="shared" si="288"/>
        <v/>
      </c>
      <c r="G3668" t="str">
        <f t="shared" si="289"/>
        <v/>
      </c>
    </row>
    <row r="3669" spans="1:7" x14ac:dyDescent="0.4">
      <c r="A3669" t="str">
        <f t="shared" si="285"/>
        <v/>
      </c>
      <c r="B3669" t="str">
        <f t="shared" si="286"/>
        <v/>
      </c>
      <c r="C3669" t="str">
        <f t="shared" si="287"/>
        <v/>
      </c>
      <c r="D3669" t="str">
        <f>IF(E3669="","",IF(COUNTIF($E$2:E3669,E3669)&gt;1,"",SUMIFS(tbl_input[필요수량],tbl_input[집계키_지청],E3669)))</f>
        <v/>
      </c>
      <c r="E3669" t="str">
        <f>IFERROR(INDEX(tbl_input[집계키_지청],ROW()-1),"")</f>
        <v/>
      </c>
      <c r="F3669" t="str">
        <f t="shared" si="288"/>
        <v/>
      </c>
      <c r="G3669" t="str">
        <f t="shared" si="289"/>
        <v/>
      </c>
    </row>
    <row r="3670" spans="1:7" x14ac:dyDescent="0.4">
      <c r="A3670" t="str">
        <f t="shared" si="285"/>
        <v/>
      </c>
      <c r="B3670" t="str">
        <f t="shared" si="286"/>
        <v/>
      </c>
      <c r="C3670" t="str">
        <f t="shared" si="287"/>
        <v/>
      </c>
      <c r="D3670" t="str">
        <f>IF(E3670="","",IF(COUNTIF($E$2:E3670,E3670)&gt;1,"",SUMIFS(tbl_input[필요수량],tbl_input[집계키_지청],E3670)))</f>
        <v/>
      </c>
      <c r="E3670" t="str">
        <f>IFERROR(INDEX(tbl_input[집계키_지청],ROW()-1),"")</f>
        <v/>
      </c>
      <c r="F3670" t="str">
        <f t="shared" si="288"/>
        <v/>
      </c>
      <c r="G3670" t="str">
        <f t="shared" si="289"/>
        <v/>
      </c>
    </row>
    <row r="3671" spans="1:7" x14ac:dyDescent="0.4">
      <c r="A3671" t="str">
        <f t="shared" si="285"/>
        <v/>
      </c>
      <c r="B3671" t="str">
        <f t="shared" si="286"/>
        <v/>
      </c>
      <c r="C3671" t="str">
        <f t="shared" si="287"/>
        <v/>
      </c>
      <c r="D3671" t="str">
        <f>IF(E3671="","",IF(COUNTIF($E$2:E3671,E3671)&gt;1,"",SUMIFS(tbl_input[필요수량],tbl_input[집계키_지청],E3671)))</f>
        <v/>
      </c>
      <c r="E3671" t="str">
        <f>IFERROR(INDEX(tbl_input[집계키_지청],ROW()-1),"")</f>
        <v/>
      </c>
      <c r="F3671" t="str">
        <f t="shared" si="288"/>
        <v/>
      </c>
      <c r="G3671" t="str">
        <f t="shared" si="289"/>
        <v/>
      </c>
    </row>
    <row r="3672" spans="1:7" x14ac:dyDescent="0.4">
      <c r="A3672" t="str">
        <f t="shared" si="285"/>
        <v/>
      </c>
      <c r="B3672" t="str">
        <f t="shared" si="286"/>
        <v/>
      </c>
      <c r="C3672" t="str">
        <f t="shared" si="287"/>
        <v/>
      </c>
      <c r="D3672" t="str">
        <f>IF(E3672="","",IF(COUNTIF($E$2:E3672,E3672)&gt;1,"",SUMIFS(tbl_input[필요수량],tbl_input[집계키_지청],E3672)))</f>
        <v/>
      </c>
      <c r="E3672" t="str">
        <f>IFERROR(INDEX(tbl_input[집계키_지청],ROW()-1),"")</f>
        <v/>
      </c>
      <c r="F3672" t="str">
        <f t="shared" si="288"/>
        <v/>
      </c>
      <c r="G3672" t="str">
        <f t="shared" si="289"/>
        <v/>
      </c>
    </row>
    <row r="3673" spans="1:7" x14ac:dyDescent="0.4">
      <c r="A3673" t="str">
        <f t="shared" si="285"/>
        <v/>
      </c>
      <c r="B3673" t="str">
        <f t="shared" si="286"/>
        <v/>
      </c>
      <c r="C3673" t="str">
        <f t="shared" si="287"/>
        <v/>
      </c>
      <c r="D3673" t="str">
        <f>IF(E3673="","",IF(COUNTIF($E$2:E3673,E3673)&gt;1,"",SUMIFS(tbl_input[필요수량],tbl_input[집계키_지청],E3673)))</f>
        <v/>
      </c>
      <c r="E3673" t="str">
        <f>IFERROR(INDEX(tbl_input[집계키_지청],ROW()-1),"")</f>
        <v/>
      </c>
      <c r="F3673" t="str">
        <f t="shared" si="288"/>
        <v/>
      </c>
      <c r="G3673" t="str">
        <f t="shared" si="289"/>
        <v/>
      </c>
    </row>
    <row r="3674" spans="1:7" x14ac:dyDescent="0.4">
      <c r="A3674" t="str">
        <f t="shared" si="285"/>
        <v/>
      </c>
      <c r="B3674" t="str">
        <f t="shared" si="286"/>
        <v/>
      </c>
      <c r="C3674" t="str">
        <f t="shared" si="287"/>
        <v/>
      </c>
      <c r="D3674" t="str">
        <f>IF(E3674="","",IF(COUNTIF($E$2:E3674,E3674)&gt;1,"",SUMIFS(tbl_input[필요수량],tbl_input[집계키_지청],E3674)))</f>
        <v/>
      </c>
      <c r="E3674" t="str">
        <f>IFERROR(INDEX(tbl_input[집계키_지청],ROW()-1),"")</f>
        <v/>
      </c>
      <c r="F3674" t="str">
        <f t="shared" si="288"/>
        <v/>
      </c>
      <c r="G3674" t="str">
        <f t="shared" si="289"/>
        <v/>
      </c>
    </row>
    <row r="3675" spans="1:7" x14ac:dyDescent="0.4">
      <c r="A3675" t="str">
        <f t="shared" si="285"/>
        <v/>
      </c>
      <c r="B3675" t="str">
        <f t="shared" si="286"/>
        <v/>
      </c>
      <c r="C3675" t="str">
        <f t="shared" si="287"/>
        <v/>
      </c>
      <c r="D3675" t="str">
        <f>IF(E3675="","",IF(COUNTIF($E$2:E3675,E3675)&gt;1,"",SUMIFS(tbl_input[필요수량],tbl_input[집계키_지청],E3675)))</f>
        <v/>
      </c>
      <c r="E3675" t="str">
        <f>IFERROR(INDEX(tbl_input[집계키_지청],ROW()-1),"")</f>
        <v/>
      </c>
      <c r="F3675" t="str">
        <f t="shared" si="288"/>
        <v/>
      </c>
      <c r="G3675" t="str">
        <f t="shared" si="289"/>
        <v/>
      </c>
    </row>
    <row r="3676" spans="1:7" x14ac:dyDescent="0.4">
      <c r="A3676" t="str">
        <f t="shared" si="285"/>
        <v/>
      </c>
      <c r="B3676" t="str">
        <f t="shared" si="286"/>
        <v/>
      </c>
      <c r="C3676" t="str">
        <f t="shared" si="287"/>
        <v/>
      </c>
      <c r="D3676" t="str">
        <f>IF(E3676="","",IF(COUNTIF($E$2:E3676,E3676)&gt;1,"",SUMIFS(tbl_input[필요수량],tbl_input[집계키_지청],E3676)))</f>
        <v/>
      </c>
      <c r="E3676" t="str">
        <f>IFERROR(INDEX(tbl_input[집계키_지청],ROW()-1),"")</f>
        <v/>
      </c>
      <c r="F3676" t="str">
        <f t="shared" si="288"/>
        <v/>
      </c>
      <c r="G3676" t="str">
        <f t="shared" si="289"/>
        <v/>
      </c>
    </row>
    <row r="3677" spans="1:7" x14ac:dyDescent="0.4">
      <c r="A3677" t="str">
        <f t="shared" si="285"/>
        <v/>
      </c>
      <c r="B3677" t="str">
        <f t="shared" si="286"/>
        <v/>
      </c>
      <c r="C3677" t="str">
        <f t="shared" si="287"/>
        <v/>
      </c>
      <c r="D3677" t="str">
        <f>IF(E3677="","",IF(COUNTIF($E$2:E3677,E3677)&gt;1,"",SUMIFS(tbl_input[필요수량],tbl_input[집계키_지청],E3677)))</f>
        <v/>
      </c>
      <c r="E3677" t="str">
        <f>IFERROR(INDEX(tbl_input[집계키_지청],ROW()-1),"")</f>
        <v/>
      </c>
      <c r="F3677" t="str">
        <f t="shared" si="288"/>
        <v/>
      </c>
      <c r="G3677" t="str">
        <f t="shared" si="289"/>
        <v/>
      </c>
    </row>
    <row r="3678" spans="1:7" x14ac:dyDescent="0.4">
      <c r="A3678" t="str">
        <f t="shared" si="285"/>
        <v/>
      </c>
      <c r="B3678" t="str">
        <f t="shared" si="286"/>
        <v/>
      </c>
      <c r="C3678" t="str">
        <f t="shared" si="287"/>
        <v/>
      </c>
      <c r="D3678" t="str">
        <f>IF(E3678="","",IF(COUNTIF($E$2:E3678,E3678)&gt;1,"",SUMIFS(tbl_input[필요수량],tbl_input[집계키_지청],E3678)))</f>
        <v/>
      </c>
      <c r="E3678" t="str">
        <f>IFERROR(INDEX(tbl_input[집계키_지청],ROW()-1),"")</f>
        <v/>
      </c>
      <c r="F3678" t="str">
        <f t="shared" si="288"/>
        <v/>
      </c>
      <c r="G3678" t="str">
        <f t="shared" si="289"/>
        <v/>
      </c>
    </row>
    <row r="3679" spans="1:7" x14ac:dyDescent="0.4">
      <c r="A3679" t="str">
        <f t="shared" si="285"/>
        <v/>
      </c>
      <c r="B3679" t="str">
        <f t="shared" si="286"/>
        <v/>
      </c>
      <c r="C3679" t="str">
        <f t="shared" si="287"/>
        <v/>
      </c>
      <c r="D3679" t="str">
        <f>IF(E3679="","",IF(COUNTIF($E$2:E3679,E3679)&gt;1,"",SUMIFS(tbl_input[필요수량],tbl_input[집계키_지청],E3679)))</f>
        <v/>
      </c>
      <c r="E3679" t="str">
        <f>IFERROR(INDEX(tbl_input[집계키_지청],ROW()-1),"")</f>
        <v/>
      </c>
      <c r="F3679" t="str">
        <f t="shared" si="288"/>
        <v/>
      </c>
      <c r="G3679" t="str">
        <f t="shared" si="289"/>
        <v/>
      </c>
    </row>
    <row r="3680" spans="1:7" x14ac:dyDescent="0.4">
      <c r="A3680" t="str">
        <f t="shared" si="285"/>
        <v/>
      </c>
      <c r="B3680" t="str">
        <f t="shared" si="286"/>
        <v/>
      </c>
      <c r="C3680" t="str">
        <f t="shared" si="287"/>
        <v/>
      </c>
      <c r="D3680" t="str">
        <f>IF(E3680="","",IF(COUNTIF($E$2:E3680,E3680)&gt;1,"",SUMIFS(tbl_input[필요수량],tbl_input[집계키_지청],E3680)))</f>
        <v/>
      </c>
      <c r="E3680" t="str">
        <f>IFERROR(INDEX(tbl_input[집계키_지청],ROW()-1),"")</f>
        <v/>
      </c>
      <c r="F3680" t="str">
        <f t="shared" si="288"/>
        <v/>
      </c>
      <c r="G3680" t="str">
        <f t="shared" si="289"/>
        <v/>
      </c>
    </row>
    <row r="3681" spans="1:7" x14ac:dyDescent="0.4">
      <c r="A3681" t="str">
        <f t="shared" si="285"/>
        <v/>
      </c>
      <c r="B3681" t="str">
        <f t="shared" si="286"/>
        <v/>
      </c>
      <c r="C3681" t="str">
        <f t="shared" si="287"/>
        <v/>
      </c>
      <c r="D3681" t="str">
        <f>IF(E3681="","",IF(COUNTIF($E$2:E3681,E3681)&gt;1,"",SUMIFS(tbl_input[필요수량],tbl_input[집계키_지청],E3681)))</f>
        <v/>
      </c>
      <c r="E3681" t="str">
        <f>IFERROR(INDEX(tbl_input[집계키_지청],ROW()-1),"")</f>
        <v/>
      </c>
      <c r="F3681" t="str">
        <f t="shared" si="288"/>
        <v/>
      </c>
      <c r="G3681" t="str">
        <f t="shared" si="289"/>
        <v/>
      </c>
    </row>
    <row r="3682" spans="1:7" x14ac:dyDescent="0.4">
      <c r="A3682" t="str">
        <f t="shared" si="285"/>
        <v/>
      </c>
      <c r="B3682" t="str">
        <f t="shared" si="286"/>
        <v/>
      </c>
      <c r="C3682" t="str">
        <f t="shared" si="287"/>
        <v/>
      </c>
      <c r="D3682" t="str">
        <f>IF(E3682="","",IF(COUNTIF($E$2:E3682,E3682)&gt;1,"",SUMIFS(tbl_input[필요수량],tbl_input[집계키_지청],E3682)))</f>
        <v/>
      </c>
      <c r="E3682" t="str">
        <f>IFERROR(INDEX(tbl_input[집계키_지청],ROW()-1),"")</f>
        <v/>
      </c>
      <c r="F3682" t="str">
        <f t="shared" si="288"/>
        <v/>
      </c>
      <c r="G3682" t="str">
        <f t="shared" si="289"/>
        <v/>
      </c>
    </row>
    <row r="3683" spans="1:7" x14ac:dyDescent="0.4">
      <c r="A3683" t="str">
        <f t="shared" si="285"/>
        <v/>
      </c>
      <c r="B3683" t="str">
        <f t="shared" si="286"/>
        <v/>
      </c>
      <c r="C3683" t="str">
        <f t="shared" si="287"/>
        <v/>
      </c>
      <c r="D3683" t="str">
        <f>IF(E3683="","",IF(COUNTIF($E$2:E3683,E3683)&gt;1,"",SUMIFS(tbl_input[필요수량],tbl_input[집계키_지청],E3683)))</f>
        <v/>
      </c>
      <c r="E3683" t="str">
        <f>IFERROR(INDEX(tbl_input[집계키_지청],ROW()-1),"")</f>
        <v/>
      </c>
      <c r="F3683" t="str">
        <f t="shared" si="288"/>
        <v/>
      </c>
      <c r="G3683" t="str">
        <f t="shared" si="289"/>
        <v/>
      </c>
    </row>
    <row r="3684" spans="1:7" x14ac:dyDescent="0.4">
      <c r="A3684" t="str">
        <f t="shared" si="285"/>
        <v/>
      </c>
      <c r="B3684" t="str">
        <f t="shared" si="286"/>
        <v/>
      </c>
      <c r="C3684" t="str">
        <f t="shared" si="287"/>
        <v/>
      </c>
      <c r="D3684" t="str">
        <f>IF(E3684="","",IF(COUNTIF($E$2:E3684,E3684)&gt;1,"",SUMIFS(tbl_input[필요수량],tbl_input[집계키_지청],E3684)))</f>
        <v/>
      </c>
      <c r="E3684" t="str">
        <f>IFERROR(INDEX(tbl_input[집계키_지청],ROW()-1),"")</f>
        <v/>
      </c>
      <c r="F3684" t="str">
        <f t="shared" si="288"/>
        <v/>
      </c>
      <c r="G3684" t="str">
        <f t="shared" si="289"/>
        <v/>
      </c>
    </row>
    <row r="3685" spans="1:7" x14ac:dyDescent="0.4">
      <c r="A3685" t="str">
        <f t="shared" si="285"/>
        <v/>
      </c>
      <c r="B3685" t="str">
        <f t="shared" si="286"/>
        <v/>
      </c>
      <c r="C3685" t="str">
        <f t="shared" si="287"/>
        <v/>
      </c>
      <c r="D3685" t="str">
        <f>IF(E3685="","",IF(COUNTIF($E$2:E3685,E3685)&gt;1,"",SUMIFS(tbl_input[필요수량],tbl_input[집계키_지청],E3685)))</f>
        <v/>
      </c>
      <c r="E3685" t="str">
        <f>IFERROR(INDEX(tbl_input[집계키_지청],ROW()-1),"")</f>
        <v/>
      </c>
      <c r="F3685" t="str">
        <f t="shared" si="288"/>
        <v/>
      </c>
      <c r="G3685" t="str">
        <f t="shared" si="289"/>
        <v/>
      </c>
    </row>
    <row r="3686" spans="1:7" x14ac:dyDescent="0.4">
      <c r="A3686" t="str">
        <f t="shared" si="285"/>
        <v/>
      </c>
      <c r="B3686" t="str">
        <f t="shared" si="286"/>
        <v/>
      </c>
      <c r="C3686" t="str">
        <f t="shared" si="287"/>
        <v/>
      </c>
      <c r="D3686" t="str">
        <f>IF(E3686="","",IF(COUNTIF($E$2:E3686,E3686)&gt;1,"",SUMIFS(tbl_input[필요수량],tbl_input[집계키_지청],E3686)))</f>
        <v/>
      </c>
      <c r="E3686" t="str">
        <f>IFERROR(INDEX(tbl_input[집계키_지청],ROW()-1),"")</f>
        <v/>
      </c>
      <c r="F3686" t="str">
        <f t="shared" si="288"/>
        <v/>
      </c>
      <c r="G3686" t="str">
        <f t="shared" si="289"/>
        <v/>
      </c>
    </row>
    <row r="3687" spans="1:7" x14ac:dyDescent="0.4">
      <c r="A3687" t="str">
        <f t="shared" si="285"/>
        <v/>
      </c>
      <c r="B3687" t="str">
        <f t="shared" si="286"/>
        <v/>
      </c>
      <c r="C3687" t="str">
        <f t="shared" si="287"/>
        <v/>
      </c>
      <c r="D3687" t="str">
        <f>IF(E3687="","",IF(COUNTIF($E$2:E3687,E3687)&gt;1,"",SUMIFS(tbl_input[필요수량],tbl_input[집계키_지청],E3687)))</f>
        <v/>
      </c>
      <c r="E3687" t="str">
        <f>IFERROR(INDEX(tbl_input[집계키_지청],ROW()-1),"")</f>
        <v/>
      </c>
      <c r="F3687" t="str">
        <f t="shared" si="288"/>
        <v/>
      </c>
      <c r="G3687" t="str">
        <f t="shared" si="289"/>
        <v/>
      </c>
    </row>
    <row r="3688" spans="1:7" x14ac:dyDescent="0.4">
      <c r="A3688" t="str">
        <f t="shared" si="285"/>
        <v/>
      </c>
      <c r="B3688" t="str">
        <f t="shared" si="286"/>
        <v/>
      </c>
      <c r="C3688" t="str">
        <f t="shared" si="287"/>
        <v/>
      </c>
      <c r="D3688" t="str">
        <f>IF(E3688="","",IF(COUNTIF($E$2:E3688,E3688)&gt;1,"",SUMIFS(tbl_input[필요수량],tbl_input[집계키_지청],E3688)))</f>
        <v/>
      </c>
      <c r="E3688" t="str">
        <f>IFERROR(INDEX(tbl_input[집계키_지청],ROW()-1),"")</f>
        <v/>
      </c>
      <c r="F3688" t="str">
        <f t="shared" si="288"/>
        <v/>
      </c>
      <c r="G3688" t="str">
        <f t="shared" si="289"/>
        <v/>
      </c>
    </row>
    <row r="3689" spans="1:7" x14ac:dyDescent="0.4">
      <c r="A3689" t="str">
        <f t="shared" si="285"/>
        <v/>
      </c>
      <c r="B3689" t="str">
        <f t="shared" si="286"/>
        <v/>
      </c>
      <c r="C3689" t="str">
        <f t="shared" si="287"/>
        <v/>
      </c>
      <c r="D3689" t="str">
        <f>IF(E3689="","",IF(COUNTIF($E$2:E3689,E3689)&gt;1,"",SUMIFS(tbl_input[필요수량],tbl_input[집계키_지청],E3689)))</f>
        <v/>
      </c>
      <c r="E3689" t="str">
        <f>IFERROR(INDEX(tbl_input[집계키_지청],ROW()-1),"")</f>
        <v/>
      </c>
      <c r="F3689" t="str">
        <f t="shared" si="288"/>
        <v/>
      </c>
      <c r="G3689" t="str">
        <f t="shared" si="289"/>
        <v/>
      </c>
    </row>
    <row r="3690" spans="1:7" x14ac:dyDescent="0.4">
      <c r="A3690" t="str">
        <f t="shared" si="285"/>
        <v/>
      </c>
      <c r="B3690" t="str">
        <f t="shared" si="286"/>
        <v/>
      </c>
      <c r="C3690" t="str">
        <f t="shared" si="287"/>
        <v/>
      </c>
      <c r="D3690" t="str">
        <f>IF(E3690="","",IF(COUNTIF($E$2:E3690,E3690)&gt;1,"",SUMIFS(tbl_input[필요수량],tbl_input[집계키_지청],E3690)))</f>
        <v/>
      </c>
      <c r="E3690" t="str">
        <f>IFERROR(INDEX(tbl_input[집계키_지청],ROW()-1),"")</f>
        <v/>
      </c>
      <c r="F3690" t="str">
        <f t="shared" si="288"/>
        <v/>
      </c>
      <c r="G3690" t="str">
        <f t="shared" si="289"/>
        <v/>
      </c>
    </row>
    <row r="3691" spans="1:7" x14ac:dyDescent="0.4">
      <c r="A3691" t="str">
        <f t="shared" si="285"/>
        <v/>
      </c>
      <c r="B3691" t="str">
        <f t="shared" si="286"/>
        <v/>
      </c>
      <c r="C3691" t="str">
        <f t="shared" si="287"/>
        <v/>
      </c>
      <c r="D3691" t="str">
        <f>IF(E3691="","",IF(COUNTIF($E$2:E3691,E3691)&gt;1,"",SUMIFS(tbl_input[필요수량],tbl_input[집계키_지청],E3691)))</f>
        <v/>
      </c>
      <c r="E3691" t="str">
        <f>IFERROR(INDEX(tbl_input[집계키_지청],ROW()-1),"")</f>
        <v/>
      </c>
      <c r="F3691" t="str">
        <f t="shared" si="288"/>
        <v/>
      </c>
      <c r="G3691" t="str">
        <f t="shared" si="289"/>
        <v/>
      </c>
    </row>
    <row r="3692" spans="1:7" x14ac:dyDescent="0.4">
      <c r="A3692" t="str">
        <f t="shared" si="285"/>
        <v/>
      </c>
      <c r="B3692" t="str">
        <f t="shared" si="286"/>
        <v/>
      </c>
      <c r="C3692" t="str">
        <f t="shared" si="287"/>
        <v/>
      </c>
      <c r="D3692" t="str">
        <f>IF(E3692="","",IF(COUNTIF($E$2:E3692,E3692)&gt;1,"",SUMIFS(tbl_input[필요수량],tbl_input[집계키_지청],E3692)))</f>
        <v/>
      </c>
      <c r="E3692" t="str">
        <f>IFERROR(INDEX(tbl_input[집계키_지청],ROW()-1),"")</f>
        <v/>
      </c>
      <c r="F3692" t="str">
        <f t="shared" si="288"/>
        <v/>
      </c>
      <c r="G3692" t="str">
        <f t="shared" si="289"/>
        <v/>
      </c>
    </row>
    <row r="3693" spans="1:7" x14ac:dyDescent="0.4">
      <c r="A3693" t="str">
        <f t="shared" si="285"/>
        <v/>
      </c>
      <c r="B3693" t="str">
        <f t="shared" si="286"/>
        <v/>
      </c>
      <c r="C3693" t="str">
        <f t="shared" si="287"/>
        <v/>
      </c>
      <c r="D3693" t="str">
        <f>IF(E3693="","",IF(COUNTIF($E$2:E3693,E3693)&gt;1,"",SUMIFS(tbl_input[필요수량],tbl_input[집계키_지청],E3693)))</f>
        <v/>
      </c>
      <c r="E3693" t="str">
        <f>IFERROR(INDEX(tbl_input[집계키_지청],ROW()-1),"")</f>
        <v/>
      </c>
      <c r="F3693" t="str">
        <f t="shared" si="288"/>
        <v/>
      </c>
      <c r="G3693" t="str">
        <f t="shared" si="289"/>
        <v/>
      </c>
    </row>
    <row r="3694" spans="1:7" x14ac:dyDescent="0.4">
      <c r="A3694" t="str">
        <f t="shared" si="285"/>
        <v/>
      </c>
      <c r="B3694" t="str">
        <f t="shared" si="286"/>
        <v/>
      </c>
      <c r="C3694" t="str">
        <f t="shared" si="287"/>
        <v/>
      </c>
      <c r="D3694" t="str">
        <f>IF(E3694="","",IF(COUNTIF($E$2:E3694,E3694)&gt;1,"",SUMIFS(tbl_input[필요수량],tbl_input[집계키_지청],E3694)))</f>
        <v/>
      </c>
      <c r="E3694" t="str">
        <f>IFERROR(INDEX(tbl_input[집계키_지청],ROW()-1),"")</f>
        <v/>
      </c>
      <c r="F3694" t="str">
        <f t="shared" si="288"/>
        <v/>
      </c>
      <c r="G3694" t="str">
        <f t="shared" si="289"/>
        <v/>
      </c>
    </row>
    <row r="3695" spans="1:7" x14ac:dyDescent="0.4">
      <c r="A3695" t="str">
        <f t="shared" si="285"/>
        <v/>
      </c>
      <c r="B3695" t="str">
        <f t="shared" si="286"/>
        <v/>
      </c>
      <c r="C3695" t="str">
        <f t="shared" si="287"/>
        <v/>
      </c>
      <c r="D3695" t="str">
        <f>IF(E3695="","",IF(COUNTIF($E$2:E3695,E3695)&gt;1,"",SUMIFS(tbl_input[필요수량],tbl_input[집계키_지청],E3695)))</f>
        <v/>
      </c>
      <c r="E3695" t="str">
        <f>IFERROR(INDEX(tbl_input[집계키_지청],ROW()-1),"")</f>
        <v/>
      </c>
      <c r="F3695" t="str">
        <f t="shared" si="288"/>
        <v/>
      </c>
      <c r="G3695" t="str">
        <f t="shared" si="289"/>
        <v/>
      </c>
    </row>
    <row r="3696" spans="1:7" x14ac:dyDescent="0.4">
      <c r="A3696" t="str">
        <f t="shared" si="285"/>
        <v/>
      </c>
      <c r="B3696" t="str">
        <f t="shared" si="286"/>
        <v/>
      </c>
      <c r="C3696" t="str">
        <f t="shared" si="287"/>
        <v/>
      </c>
      <c r="D3696" t="str">
        <f>IF(E3696="","",IF(COUNTIF($E$2:E3696,E3696)&gt;1,"",SUMIFS(tbl_input[필요수량],tbl_input[집계키_지청],E3696)))</f>
        <v/>
      </c>
      <c r="E3696" t="str">
        <f>IFERROR(INDEX(tbl_input[집계키_지청],ROW()-1),"")</f>
        <v/>
      </c>
      <c r="F3696" t="str">
        <f t="shared" si="288"/>
        <v/>
      </c>
      <c r="G3696" t="str">
        <f t="shared" si="289"/>
        <v/>
      </c>
    </row>
    <row r="3697" spans="1:7" x14ac:dyDescent="0.4">
      <c r="A3697" t="str">
        <f t="shared" si="285"/>
        <v/>
      </c>
      <c r="B3697" t="str">
        <f t="shared" si="286"/>
        <v/>
      </c>
      <c r="C3697" t="str">
        <f t="shared" si="287"/>
        <v/>
      </c>
      <c r="D3697" t="str">
        <f>IF(E3697="","",IF(COUNTIF($E$2:E3697,E3697)&gt;1,"",SUMIFS(tbl_input[필요수량],tbl_input[집계키_지청],E3697)))</f>
        <v/>
      </c>
      <c r="E3697" t="str">
        <f>IFERROR(INDEX(tbl_input[집계키_지청],ROW()-1),"")</f>
        <v/>
      </c>
      <c r="F3697" t="str">
        <f t="shared" si="288"/>
        <v/>
      </c>
      <c r="G3697" t="str">
        <f t="shared" si="289"/>
        <v/>
      </c>
    </row>
    <row r="3698" spans="1:7" x14ac:dyDescent="0.4">
      <c r="A3698" t="str">
        <f t="shared" si="285"/>
        <v/>
      </c>
      <c r="B3698" t="str">
        <f t="shared" si="286"/>
        <v/>
      </c>
      <c r="C3698" t="str">
        <f t="shared" si="287"/>
        <v/>
      </c>
      <c r="D3698" t="str">
        <f>IF(E3698="","",IF(COUNTIF($E$2:E3698,E3698)&gt;1,"",SUMIFS(tbl_input[필요수량],tbl_input[집계키_지청],E3698)))</f>
        <v/>
      </c>
      <c r="E3698" t="str">
        <f>IFERROR(INDEX(tbl_input[집계키_지청],ROW()-1),"")</f>
        <v/>
      </c>
      <c r="F3698" t="str">
        <f t="shared" si="288"/>
        <v/>
      </c>
      <c r="G3698" t="str">
        <f t="shared" si="289"/>
        <v/>
      </c>
    </row>
    <row r="3699" spans="1:7" x14ac:dyDescent="0.4">
      <c r="A3699" t="str">
        <f t="shared" si="285"/>
        <v/>
      </c>
      <c r="B3699" t="str">
        <f t="shared" si="286"/>
        <v/>
      </c>
      <c r="C3699" t="str">
        <f t="shared" si="287"/>
        <v/>
      </c>
      <c r="D3699" t="str">
        <f>IF(E3699="","",IF(COUNTIF($E$2:E3699,E3699)&gt;1,"",SUMIFS(tbl_input[필요수량],tbl_input[집계키_지청],E3699)))</f>
        <v/>
      </c>
      <c r="E3699" t="str">
        <f>IFERROR(INDEX(tbl_input[집계키_지청],ROW()-1),"")</f>
        <v/>
      </c>
      <c r="F3699" t="str">
        <f t="shared" si="288"/>
        <v/>
      </c>
      <c r="G3699" t="str">
        <f t="shared" si="289"/>
        <v/>
      </c>
    </row>
    <row r="3700" spans="1:7" x14ac:dyDescent="0.4">
      <c r="A3700" t="str">
        <f t="shared" si="285"/>
        <v/>
      </c>
      <c r="B3700" t="str">
        <f t="shared" si="286"/>
        <v/>
      </c>
      <c r="C3700" t="str">
        <f t="shared" si="287"/>
        <v/>
      </c>
      <c r="D3700" t="str">
        <f>IF(E3700="","",IF(COUNTIF($E$2:E3700,E3700)&gt;1,"",SUMIFS(tbl_input[필요수량],tbl_input[집계키_지청],E3700)))</f>
        <v/>
      </c>
      <c r="E3700" t="str">
        <f>IFERROR(INDEX(tbl_input[집계키_지청],ROW()-1),"")</f>
        <v/>
      </c>
      <c r="F3700" t="str">
        <f t="shared" si="288"/>
        <v/>
      </c>
      <c r="G3700" t="str">
        <f t="shared" si="289"/>
        <v/>
      </c>
    </row>
    <row r="3701" spans="1:7" x14ac:dyDescent="0.4">
      <c r="A3701" t="str">
        <f t="shared" si="285"/>
        <v/>
      </c>
      <c r="B3701" t="str">
        <f t="shared" si="286"/>
        <v/>
      </c>
      <c r="C3701" t="str">
        <f t="shared" si="287"/>
        <v/>
      </c>
      <c r="D3701" t="str">
        <f>IF(E3701="","",IF(COUNTIF($E$2:E3701,E3701)&gt;1,"",SUMIFS(tbl_input[필요수량],tbl_input[집계키_지청],E3701)))</f>
        <v/>
      </c>
      <c r="E3701" t="str">
        <f>IFERROR(INDEX(tbl_input[집계키_지청],ROW()-1),"")</f>
        <v/>
      </c>
      <c r="F3701" t="str">
        <f t="shared" si="288"/>
        <v/>
      </c>
      <c r="G3701" t="str">
        <f t="shared" si="289"/>
        <v/>
      </c>
    </row>
    <row r="3702" spans="1:7" x14ac:dyDescent="0.4">
      <c r="A3702" t="str">
        <f t="shared" si="285"/>
        <v/>
      </c>
      <c r="B3702" t="str">
        <f t="shared" si="286"/>
        <v/>
      </c>
      <c r="C3702" t="str">
        <f t="shared" si="287"/>
        <v/>
      </c>
      <c r="D3702" t="str">
        <f>IF(E3702="","",IF(COUNTIF($E$2:E3702,E3702)&gt;1,"",SUMIFS(tbl_input[필요수량],tbl_input[집계키_지청],E3702)))</f>
        <v/>
      </c>
      <c r="E3702" t="str">
        <f>IFERROR(INDEX(tbl_input[집계키_지청],ROW()-1),"")</f>
        <v/>
      </c>
      <c r="F3702" t="str">
        <f t="shared" si="288"/>
        <v/>
      </c>
      <c r="G3702" t="str">
        <f t="shared" si="289"/>
        <v/>
      </c>
    </row>
    <row r="3703" spans="1:7" x14ac:dyDescent="0.4">
      <c r="A3703" t="str">
        <f t="shared" si="285"/>
        <v/>
      </c>
      <c r="B3703" t="str">
        <f t="shared" si="286"/>
        <v/>
      </c>
      <c r="C3703" t="str">
        <f t="shared" si="287"/>
        <v/>
      </c>
      <c r="D3703" t="str">
        <f>IF(E3703="","",IF(COUNTIF($E$2:E3703,E3703)&gt;1,"",SUMIFS(tbl_input[필요수량],tbl_input[집계키_지청],E3703)))</f>
        <v/>
      </c>
      <c r="E3703" t="str">
        <f>IFERROR(INDEX(tbl_input[집계키_지청],ROW()-1),"")</f>
        <v/>
      </c>
      <c r="F3703" t="str">
        <f t="shared" si="288"/>
        <v/>
      </c>
      <c r="G3703" t="str">
        <f t="shared" si="289"/>
        <v/>
      </c>
    </row>
    <row r="3704" spans="1:7" x14ac:dyDescent="0.4">
      <c r="A3704" t="str">
        <f t="shared" si="285"/>
        <v/>
      </c>
      <c r="B3704" t="str">
        <f t="shared" si="286"/>
        <v/>
      </c>
      <c r="C3704" t="str">
        <f t="shared" si="287"/>
        <v/>
      </c>
      <c r="D3704" t="str">
        <f>IF(E3704="","",IF(COUNTIF($E$2:E3704,E3704)&gt;1,"",SUMIFS(tbl_input[필요수량],tbl_input[집계키_지청],E3704)))</f>
        <v/>
      </c>
      <c r="E3704" t="str">
        <f>IFERROR(INDEX(tbl_input[집계키_지청],ROW()-1),"")</f>
        <v/>
      </c>
      <c r="F3704" t="str">
        <f t="shared" si="288"/>
        <v/>
      </c>
      <c r="G3704" t="str">
        <f t="shared" si="289"/>
        <v/>
      </c>
    </row>
    <row r="3705" spans="1:7" x14ac:dyDescent="0.4">
      <c r="A3705" t="str">
        <f t="shared" si="285"/>
        <v/>
      </c>
      <c r="B3705" t="str">
        <f t="shared" si="286"/>
        <v/>
      </c>
      <c r="C3705" t="str">
        <f t="shared" si="287"/>
        <v/>
      </c>
      <c r="D3705" t="str">
        <f>IF(E3705="","",IF(COUNTIF($E$2:E3705,E3705)&gt;1,"",SUMIFS(tbl_input[필요수량],tbl_input[집계키_지청],E3705)))</f>
        <v/>
      </c>
      <c r="E3705" t="str">
        <f>IFERROR(INDEX(tbl_input[집계키_지청],ROW()-1),"")</f>
        <v/>
      </c>
      <c r="F3705" t="str">
        <f t="shared" si="288"/>
        <v/>
      </c>
      <c r="G3705" t="str">
        <f t="shared" si="289"/>
        <v/>
      </c>
    </row>
    <row r="3706" spans="1:7" x14ac:dyDescent="0.4">
      <c r="A3706" t="str">
        <f t="shared" si="285"/>
        <v/>
      </c>
      <c r="B3706" t="str">
        <f t="shared" si="286"/>
        <v/>
      </c>
      <c r="C3706" t="str">
        <f t="shared" si="287"/>
        <v/>
      </c>
      <c r="D3706" t="str">
        <f>IF(E3706="","",IF(COUNTIF($E$2:E3706,E3706)&gt;1,"",SUMIFS(tbl_input[필요수량],tbl_input[집계키_지청],E3706)))</f>
        <v/>
      </c>
      <c r="E3706" t="str">
        <f>IFERROR(INDEX(tbl_input[집계키_지청],ROW()-1),"")</f>
        <v/>
      </c>
      <c r="F3706" t="str">
        <f t="shared" si="288"/>
        <v/>
      </c>
      <c r="G3706" t="str">
        <f t="shared" si="289"/>
        <v/>
      </c>
    </row>
    <row r="3707" spans="1:7" x14ac:dyDescent="0.4">
      <c r="A3707" t="str">
        <f t="shared" si="285"/>
        <v/>
      </c>
      <c r="B3707" t="str">
        <f t="shared" si="286"/>
        <v/>
      </c>
      <c r="C3707" t="str">
        <f t="shared" si="287"/>
        <v/>
      </c>
      <c r="D3707" t="str">
        <f>IF(E3707="","",IF(COUNTIF($E$2:E3707,E3707)&gt;1,"",SUMIFS(tbl_input[필요수량],tbl_input[집계키_지청],E3707)))</f>
        <v/>
      </c>
      <c r="E3707" t="str">
        <f>IFERROR(INDEX(tbl_input[집계키_지청],ROW()-1),"")</f>
        <v/>
      </c>
      <c r="F3707" t="str">
        <f t="shared" si="288"/>
        <v/>
      </c>
      <c r="G3707" t="str">
        <f t="shared" si="289"/>
        <v/>
      </c>
    </row>
    <row r="3708" spans="1:7" x14ac:dyDescent="0.4">
      <c r="A3708" t="str">
        <f t="shared" si="285"/>
        <v/>
      </c>
      <c r="B3708" t="str">
        <f t="shared" si="286"/>
        <v/>
      </c>
      <c r="C3708" t="str">
        <f t="shared" si="287"/>
        <v/>
      </c>
      <c r="D3708" t="str">
        <f>IF(E3708="","",IF(COUNTIF($E$2:E3708,E3708)&gt;1,"",SUMIFS(tbl_input[필요수량],tbl_input[집계키_지청],E3708)))</f>
        <v/>
      </c>
      <c r="E3708" t="str">
        <f>IFERROR(INDEX(tbl_input[집계키_지청],ROW()-1),"")</f>
        <v/>
      </c>
      <c r="F3708" t="str">
        <f t="shared" si="288"/>
        <v/>
      </c>
      <c r="G3708" t="str">
        <f t="shared" si="289"/>
        <v/>
      </c>
    </row>
    <row r="3709" spans="1:7" x14ac:dyDescent="0.4">
      <c r="A3709" t="str">
        <f t="shared" si="285"/>
        <v/>
      </c>
      <c r="B3709" t="str">
        <f t="shared" si="286"/>
        <v/>
      </c>
      <c r="C3709" t="str">
        <f t="shared" si="287"/>
        <v/>
      </c>
      <c r="D3709" t="str">
        <f>IF(E3709="","",IF(COUNTIF($E$2:E3709,E3709)&gt;1,"",SUMIFS(tbl_input[필요수량],tbl_input[집계키_지청],E3709)))</f>
        <v/>
      </c>
      <c r="E3709" t="str">
        <f>IFERROR(INDEX(tbl_input[집계키_지청],ROW()-1),"")</f>
        <v/>
      </c>
      <c r="F3709" t="str">
        <f t="shared" si="288"/>
        <v/>
      </c>
      <c r="G3709" t="str">
        <f t="shared" si="289"/>
        <v/>
      </c>
    </row>
    <row r="3710" spans="1:7" x14ac:dyDescent="0.4">
      <c r="A3710" t="str">
        <f t="shared" si="285"/>
        <v/>
      </c>
      <c r="B3710" t="str">
        <f t="shared" si="286"/>
        <v/>
      </c>
      <c r="C3710" t="str">
        <f t="shared" si="287"/>
        <v/>
      </c>
      <c r="D3710" t="str">
        <f>IF(E3710="","",IF(COUNTIF($E$2:E3710,E3710)&gt;1,"",SUMIFS(tbl_input[필요수량],tbl_input[집계키_지청],E3710)))</f>
        <v/>
      </c>
      <c r="E3710" t="str">
        <f>IFERROR(INDEX(tbl_input[집계키_지청],ROW()-1),"")</f>
        <v/>
      </c>
      <c r="F3710" t="str">
        <f t="shared" si="288"/>
        <v/>
      </c>
      <c r="G3710" t="str">
        <f t="shared" si="289"/>
        <v/>
      </c>
    </row>
    <row r="3711" spans="1:7" x14ac:dyDescent="0.4">
      <c r="A3711" t="str">
        <f t="shared" si="285"/>
        <v/>
      </c>
      <c r="B3711" t="str">
        <f t="shared" si="286"/>
        <v/>
      </c>
      <c r="C3711" t="str">
        <f t="shared" si="287"/>
        <v/>
      </c>
      <c r="D3711" t="str">
        <f>IF(E3711="","",IF(COUNTIF($E$2:E3711,E3711)&gt;1,"",SUMIFS(tbl_input[필요수량],tbl_input[집계키_지청],E3711)))</f>
        <v/>
      </c>
      <c r="E3711" t="str">
        <f>IFERROR(INDEX(tbl_input[집계키_지청],ROW()-1),"")</f>
        <v/>
      </c>
      <c r="F3711" t="str">
        <f t="shared" si="288"/>
        <v/>
      </c>
      <c r="G3711" t="str">
        <f t="shared" si="289"/>
        <v/>
      </c>
    </row>
    <row r="3712" spans="1:7" x14ac:dyDescent="0.4">
      <c r="A3712" t="str">
        <f t="shared" si="285"/>
        <v/>
      </c>
      <c r="B3712" t="str">
        <f t="shared" si="286"/>
        <v/>
      </c>
      <c r="C3712" t="str">
        <f t="shared" si="287"/>
        <v/>
      </c>
      <c r="D3712" t="str">
        <f>IF(E3712="","",IF(COUNTIF($E$2:E3712,E3712)&gt;1,"",SUMIFS(tbl_input[필요수량],tbl_input[집계키_지청],E3712)))</f>
        <v/>
      </c>
      <c r="E3712" t="str">
        <f>IFERROR(INDEX(tbl_input[집계키_지청],ROW()-1),"")</f>
        <v/>
      </c>
      <c r="F3712" t="str">
        <f t="shared" si="288"/>
        <v/>
      </c>
      <c r="G3712" t="str">
        <f t="shared" si="289"/>
        <v/>
      </c>
    </row>
    <row r="3713" spans="1:7" x14ac:dyDescent="0.4">
      <c r="A3713" t="str">
        <f t="shared" si="285"/>
        <v/>
      </c>
      <c r="B3713" t="str">
        <f t="shared" si="286"/>
        <v/>
      </c>
      <c r="C3713" t="str">
        <f t="shared" si="287"/>
        <v/>
      </c>
      <c r="D3713" t="str">
        <f>IF(E3713="","",IF(COUNTIF($E$2:E3713,E3713)&gt;1,"",SUMIFS(tbl_input[필요수량],tbl_input[집계키_지청],E3713)))</f>
        <v/>
      </c>
      <c r="E3713" t="str">
        <f>IFERROR(INDEX(tbl_input[집계키_지청],ROW()-1),"")</f>
        <v/>
      </c>
      <c r="F3713" t="str">
        <f t="shared" si="288"/>
        <v/>
      </c>
      <c r="G3713" t="str">
        <f t="shared" si="289"/>
        <v/>
      </c>
    </row>
    <row r="3714" spans="1:7" x14ac:dyDescent="0.4">
      <c r="A3714" t="str">
        <f t="shared" ref="A3714:A3777" si="290">IF(E3714="","",LEFT(E3714,F3714-1))</f>
        <v/>
      </c>
      <c r="B3714" t="str">
        <f t="shared" ref="B3714:B3777" si="291">IF(E3714="","",MID(E3714,F3714+1,G3714-F3714-1))</f>
        <v/>
      </c>
      <c r="C3714" t="str">
        <f t="shared" ref="C3714:C3777" si="292">IF(E3714="","",MID(E3714,G3714+1,999))</f>
        <v/>
      </c>
      <c r="D3714" t="str">
        <f>IF(E3714="","",IF(COUNTIF($E$2:E3714,E3714)&gt;1,"",SUMIFS(tbl_input[필요수량],tbl_input[집계키_지청],E3714)))</f>
        <v/>
      </c>
      <c r="E3714" t="str">
        <f>IFERROR(INDEX(tbl_input[집계키_지청],ROW()-1),"")</f>
        <v/>
      </c>
      <c r="F3714" t="str">
        <f t="shared" ref="F3714:F3777" si="293">IF(E3714="","",FIND("♦",E3714))</f>
        <v/>
      </c>
      <c r="G3714" t="str">
        <f t="shared" ref="G3714:G3777" si="294">IF(E3714="","",FIND("♦",E3714,F3714+1))</f>
        <v/>
      </c>
    </row>
    <row r="3715" spans="1:7" x14ac:dyDescent="0.4">
      <c r="A3715" t="str">
        <f t="shared" si="290"/>
        <v/>
      </c>
      <c r="B3715" t="str">
        <f t="shared" si="291"/>
        <v/>
      </c>
      <c r="C3715" t="str">
        <f t="shared" si="292"/>
        <v/>
      </c>
      <c r="D3715" t="str">
        <f>IF(E3715="","",IF(COUNTIF($E$2:E3715,E3715)&gt;1,"",SUMIFS(tbl_input[필요수량],tbl_input[집계키_지청],E3715)))</f>
        <v/>
      </c>
      <c r="E3715" t="str">
        <f>IFERROR(INDEX(tbl_input[집계키_지청],ROW()-1),"")</f>
        <v/>
      </c>
      <c r="F3715" t="str">
        <f t="shared" si="293"/>
        <v/>
      </c>
      <c r="G3715" t="str">
        <f t="shared" si="294"/>
        <v/>
      </c>
    </row>
    <row r="3716" spans="1:7" x14ac:dyDescent="0.4">
      <c r="A3716" t="str">
        <f t="shared" si="290"/>
        <v/>
      </c>
      <c r="B3716" t="str">
        <f t="shared" si="291"/>
        <v/>
      </c>
      <c r="C3716" t="str">
        <f t="shared" si="292"/>
        <v/>
      </c>
      <c r="D3716" t="str">
        <f>IF(E3716="","",IF(COUNTIF($E$2:E3716,E3716)&gt;1,"",SUMIFS(tbl_input[필요수량],tbl_input[집계키_지청],E3716)))</f>
        <v/>
      </c>
      <c r="E3716" t="str">
        <f>IFERROR(INDEX(tbl_input[집계키_지청],ROW()-1),"")</f>
        <v/>
      </c>
      <c r="F3716" t="str">
        <f t="shared" si="293"/>
        <v/>
      </c>
      <c r="G3716" t="str">
        <f t="shared" si="294"/>
        <v/>
      </c>
    </row>
    <row r="3717" spans="1:7" x14ac:dyDescent="0.4">
      <c r="A3717" t="str">
        <f t="shared" si="290"/>
        <v/>
      </c>
      <c r="B3717" t="str">
        <f t="shared" si="291"/>
        <v/>
      </c>
      <c r="C3717" t="str">
        <f t="shared" si="292"/>
        <v/>
      </c>
      <c r="D3717" t="str">
        <f>IF(E3717="","",IF(COUNTIF($E$2:E3717,E3717)&gt;1,"",SUMIFS(tbl_input[필요수량],tbl_input[집계키_지청],E3717)))</f>
        <v/>
      </c>
      <c r="E3717" t="str">
        <f>IFERROR(INDEX(tbl_input[집계키_지청],ROW()-1),"")</f>
        <v/>
      </c>
      <c r="F3717" t="str">
        <f t="shared" si="293"/>
        <v/>
      </c>
      <c r="G3717" t="str">
        <f t="shared" si="294"/>
        <v/>
      </c>
    </row>
    <row r="3718" spans="1:7" x14ac:dyDescent="0.4">
      <c r="A3718" t="str">
        <f t="shared" si="290"/>
        <v/>
      </c>
      <c r="B3718" t="str">
        <f t="shared" si="291"/>
        <v/>
      </c>
      <c r="C3718" t="str">
        <f t="shared" si="292"/>
        <v/>
      </c>
      <c r="D3718" t="str">
        <f>IF(E3718="","",IF(COUNTIF($E$2:E3718,E3718)&gt;1,"",SUMIFS(tbl_input[필요수량],tbl_input[집계키_지청],E3718)))</f>
        <v/>
      </c>
      <c r="E3718" t="str">
        <f>IFERROR(INDEX(tbl_input[집계키_지청],ROW()-1),"")</f>
        <v/>
      </c>
      <c r="F3718" t="str">
        <f t="shared" si="293"/>
        <v/>
      </c>
      <c r="G3718" t="str">
        <f t="shared" si="294"/>
        <v/>
      </c>
    </row>
    <row r="3719" spans="1:7" x14ac:dyDescent="0.4">
      <c r="A3719" t="str">
        <f t="shared" si="290"/>
        <v/>
      </c>
      <c r="B3719" t="str">
        <f t="shared" si="291"/>
        <v/>
      </c>
      <c r="C3719" t="str">
        <f t="shared" si="292"/>
        <v/>
      </c>
      <c r="D3719" t="str">
        <f>IF(E3719="","",IF(COUNTIF($E$2:E3719,E3719)&gt;1,"",SUMIFS(tbl_input[필요수량],tbl_input[집계키_지청],E3719)))</f>
        <v/>
      </c>
      <c r="E3719" t="str">
        <f>IFERROR(INDEX(tbl_input[집계키_지청],ROW()-1),"")</f>
        <v/>
      </c>
      <c r="F3719" t="str">
        <f t="shared" si="293"/>
        <v/>
      </c>
      <c r="G3719" t="str">
        <f t="shared" si="294"/>
        <v/>
      </c>
    </row>
    <row r="3720" spans="1:7" x14ac:dyDescent="0.4">
      <c r="A3720" t="str">
        <f t="shared" si="290"/>
        <v/>
      </c>
      <c r="B3720" t="str">
        <f t="shared" si="291"/>
        <v/>
      </c>
      <c r="C3720" t="str">
        <f t="shared" si="292"/>
        <v/>
      </c>
      <c r="D3720" t="str">
        <f>IF(E3720="","",IF(COUNTIF($E$2:E3720,E3720)&gt;1,"",SUMIFS(tbl_input[필요수량],tbl_input[집계키_지청],E3720)))</f>
        <v/>
      </c>
      <c r="E3720" t="str">
        <f>IFERROR(INDEX(tbl_input[집계키_지청],ROW()-1),"")</f>
        <v/>
      </c>
      <c r="F3720" t="str">
        <f t="shared" si="293"/>
        <v/>
      </c>
      <c r="G3720" t="str">
        <f t="shared" si="294"/>
        <v/>
      </c>
    </row>
    <row r="3721" spans="1:7" x14ac:dyDescent="0.4">
      <c r="A3721" t="str">
        <f t="shared" si="290"/>
        <v/>
      </c>
      <c r="B3721" t="str">
        <f t="shared" si="291"/>
        <v/>
      </c>
      <c r="C3721" t="str">
        <f t="shared" si="292"/>
        <v/>
      </c>
      <c r="D3721" t="str">
        <f>IF(E3721="","",IF(COUNTIF($E$2:E3721,E3721)&gt;1,"",SUMIFS(tbl_input[필요수량],tbl_input[집계키_지청],E3721)))</f>
        <v/>
      </c>
      <c r="E3721" t="str">
        <f>IFERROR(INDEX(tbl_input[집계키_지청],ROW()-1),"")</f>
        <v/>
      </c>
      <c r="F3721" t="str">
        <f t="shared" si="293"/>
        <v/>
      </c>
      <c r="G3721" t="str">
        <f t="shared" si="294"/>
        <v/>
      </c>
    </row>
    <row r="3722" spans="1:7" x14ac:dyDescent="0.4">
      <c r="A3722" t="str">
        <f t="shared" si="290"/>
        <v/>
      </c>
      <c r="B3722" t="str">
        <f t="shared" si="291"/>
        <v/>
      </c>
      <c r="C3722" t="str">
        <f t="shared" si="292"/>
        <v/>
      </c>
      <c r="D3722" t="str">
        <f>IF(E3722="","",IF(COUNTIF($E$2:E3722,E3722)&gt;1,"",SUMIFS(tbl_input[필요수량],tbl_input[집계키_지청],E3722)))</f>
        <v/>
      </c>
      <c r="E3722" t="str">
        <f>IFERROR(INDEX(tbl_input[집계키_지청],ROW()-1),"")</f>
        <v/>
      </c>
      <c r="F3722" t="str">
        <f t="shared" si="293"/>
        <v/>
      </c>
      <c r="G3722" t="str">
        <f t="shared" si="294"/>
        <v/>
      </c>
    </row>
    <row r="3723" spans="1:7" x14ac:dyDescent="0.4">
      <c r="A3723" t="str">
        <f t="shared" si="290"/>
        <v/>
      </c>
      <c r="B3723" t="str">
        <f t="shared" si="291"/>
        <v/>
      </c>
      <c r="C3723" t="str">
        <f t="shared" si="292"/>
        <v/>
      </c>
      <c r="D3723" t="str">
        <f>IF(E3723="","",IF(COUNTIF($E$2:E3723,E3723)&gt;1,"",SUMIFS(tbl_input[필요수량],tbl_input[집계키_지청],E3723)))</f>
        <v/>
      </c>
      <c r="E3723" t="str">
        <f>IFERROR(INDEX(tbl_input[집계키_지청],ROW()-1),"")</f>
        <v/>
      </c>
      <c r="F3723" t="str">
        <f t="shared" si="293"/>
        <v/>
      </c>
      <c r="G3723" t="str">
        <f t="shared" si="294"/>
        <v/>
      </c>
    </row>
    <row r="3724" spans="1:7" x14ac:dyDescent="0.4">
      <c r="A3724" t="str">
        <f t="shared" si="290"/>
        <v/>
      </c>
      <c r="B3724" t="str">
        <f t="shared" si="291"/>
        <v/>
      </c>
      <c r="C3724" t="str">
        <f t="shared" si="292"/>
        <v/>
      </c>
      <c r="D3724" t="str">
        <f>IF(E3724="","",IF(COUNTIF($E$2:E3724,E3724)&gt;1,"",SUMIFS(tbl_input[필요수량],tbl_input[집계키_지청],E3724)))</f>
        <v/>
      </c>
      <c r="E3724" t="str">
        <f>IFERROR(INDEX(tbl_input[집계키_지청],ROW()-1),"")</f>
        <v/>
      </c>
      <c r="F3724" t="str">
        <f t="shared" si="293"/>
        <v/>
      </c>
      <c r="G3724" t="str">
        <f t="shared" si="294"/>
        <v/>
      </c>
    </row>
    <row r="3725" spans="1:7" x14ac:dyDescent="0.4">
      <c r="A3725" t="str">
        <f t="shared" si="290"/>
        <v/>
      </c>
      <c r="B3725" t="str">
        <f t="shared" si="291"/>
        <v/>
      </c>
      <c r="C3725" t="str">
        <f t="shared" si="292"/>
        <v/>
      </c>
      <c r="D3725" t="str">
        <f>IF(E3725="","",IF(COUNTIF($E$2:E3725,E3725)&gt;1,"",SUMIFS(tbl_input[필요수량],tbl_input[집계키_지청],E3725)))</f>
        <v/>
      </c>
      <c r="E3725" t="str">
        <f>IFERROR(INDEX(tbl_input[집계키_지청],ROW()-1),"")</f>
        <v/>
      </c>
      <c r="F3725" t="str">
        <f t="shared" si="293"/>
        <v/>
      </c>
      <c r="G3725" t="str">
        <f t="shared" si="294"/>
        <v/>
      </c>
    </row>
    <row r="3726" spans="1:7" x14ac:dyDescent="0.4">
      <c r="A3726" t="str">
        <f t="shared" si="290"/>
        <v/>
      </c>
      <c r="B3726" t="str">
        <f t="shared" si="291"/>
        <v/>
      </c>
      <c r="C3726" t="str">
        <f t="shared" si="292"/>
        <v/>
      </c>
      <c r="D3726" t="str">
        <f>IF(E3726="","",IF(COUNTIF($E$2:E3726,E3726)&gt;1,"",SUMIFS(tbl_input[필요수량],tbl_input[집계키_지청],E3726)))</f>
        <v/>
      </c>
      <c r="E3726" t="str">
        <f>IFERROR(INDEX(tbl_input[집계키_지청],ROW()-1),"")</f>
        <v/>
      </c>
      <c r="F3726" t="str">
        <f t="shared" si="293"/>
        <v/>
      </c>
      <c r="G3726" t="str">
        <f t="shared" si="294"/>
        <v/>
      </c>
    </row>
    <row r="3727" spans="1:7" x14ac:dyDescent="0.4">
      <c r="A3727" t="str">
        <f t="shared" si="290"/>
        <v/>
      </c>
      <c r="B3727" t="str">
        <f t="shared" si="291"/>
        <v/>
      </c>
      <c r="C3727" t="str">
        <f t="shared" si="292"/>
        <v/>
      </c>
      <c r="D3727" t="str">
        <f>IF(E3727="","",IF(COUNTIF($E$2:E3727,E3727)&gt;1,"",SUMIFS(tbl_input[필요수량],tbl_input[집계키_지청],E3727)))</f>
        <v/>
      </c>
      <c r="E3727" t="str">
        <f>IFERROR(INDEX(tbl_input[집계키_지청],ROW()-1),"")</f>
        <v/>
      </c>
      <c r="F3727" t="str">
        <f t="shared" si="293"/>
        <v/>
      </c>
      <c r="G3727" t="str">
        <f t="shared" si="294"/>
        <v/>
      </c>
    </row>
    <row r="3728" spans="1:7" x14ac:dyDescent="0.4">
      <c r="A3728" t="str">
        <f t="shared" si="290"/>
        <v/>
      </c>
      <c r="B3728" t="str">
        <f t="shared" si="291"/>
        <v/>
      </c>
      <c r="C3728" t="str">
        <f t="shared" si="292"/>
        <v/>
      </c>
      <c r="D3728" t="str">
        <f>IF(E3728="","",IF(COUNTIF($E$2:E3728,E3728)&gt;1,"",SUMIFS(tbl_input[필요수량],tbl_input[집계키_지청],E3728)))</f>
        <v/>
      </c>
      <c r="E3728" t="str">
        <f>IFERROR(INDEX(tbl_input[집계키_지청],ROW()-1),"")</f>
        <v/>
      </c>
      <c r="F3728" t="str">
        <f t="shared" si="293"/>
        <v/>
      </c>
      <c r="G3728" t="str">
        <f t="shared" si="294"/>
        <v/>
      </c>
    </row>
    <row r="3729" spans="1:7" x14ac:dyDescent="0.4">
      <c r="A3729" t="str">
        <f t="shared" si="290"/>
        <v/>
      </c>
      <c r="B3729" t="str">
        <f t="shared" si="291"/>
        <v/>
      </c>
      <c r="C3729" t="str">
        <f t="shared" si="292"/>
        <v/>
      </c>
      <c r="D3729" t="str">
        <f>IF(E3729="","",IF(COUNTIF($E$2:E3729,E3729)&gt;1,"",SUMIFS(tbl_input[필요수량],tbl_input[집계키_지청],E3729)))</f>
        <v/>
      </c>
      <c r="E3729" t="str">
        <f>IFERROR(INDEX(tbl_input[집계키_지청],ROW()-1),"")</f>
        <v/>
      </c>
      <c r="F3729" t="str">
        <f t="shared" si="293"/>
        <v/>
      </c>
      <c r="G3729" t="str">
        <f t="shared" si="294"/>
        <v/>
      </c>
    </row>
    <row r="3730" spans="1:7" x14ac:dyDescent="0.4">
      <c r="A3730" t="str">
        <f t="shared" si="290"/>
        <v/>
      </c>
      <c r="B3730" t="str">
        <f t="shared" si="291"/>
        <v/>
      </c>
      <c r="C3730" t="str">
        <f t="shared" si="292"/>
        <v/>
      </c>
      <c r="D3730" t="str">
        <f>IF(E3730="","",IF(COUNTIF($E$2:E3730,E3730)&gt;1,"",SUMIFS(tbl_input[필요수량],tbl_input[집계키_지청],E3730)))</f>
        <v/>
      </c>
      <c r="E3730" t="str">
        <f>IFERROR(INDEX(tbl_input[집계키_지청],ROW()-1),"")</f>
        <v/>
      </c>
      <c r="F3730" t="str">
        <f t="shared" si="293"/>
        <v/>
      </c>
      <c r="G3730" t="str">
        <f t="shared" si="294"/>
        <v/>
      </c>
    </row>
    <row r="3731" spans="1:7" x14ac:dyDescent="0.4">
      <c r="A3731" t="str">
        <f t="shared" si="290"/>
        <v/>
      </c>
      <c r="B3731" t="str">
        <f t="shared" si="291"/>
        <v/>
      </c>
      <c r="C3731" t="str">
        <f t="shared" si="292"/>
        <v/>
      </c>
      <c r="D3731" t="str">
        <f>IF(E3731="","",IF(COUNTIF($E$2:E3731,E3731)&gt;1,"",SUMIFS(tbl_input[필요수량],tbl_input[집계키_지청],E3731)))</f>
        <v/>
      </c>
      <c r="E3731" t="str">
        <f>IFERROR(INDEX(tbl_input[집계키_지청],ROW()-1),"")</f>
        <v/>
      </c>
      <c r="F3731" t="str">
        <f t="shared" si="293"/>
        <v/>
      </c>
      <c r="G3731" t="str">
        <f t="shared" si="294"/>
        <v/>
      </c>
    </row>
    <row r="3732" spans="1:7" x14ac:dyDescent="0.4">
      <c r="A3732" t="str">
        <f t="shared" si="290"/>
        <v/>
      </c>
      <c r="B3732" t="str">
        <f t="shared" si="291"/>
        <v/>
      </c>
      <c r="C3732" t="str">
        <f t="shared" si="292"/>
        <v/>
      </c>
      <c r="D3732" t="str">
        <f>IF(E3732="","",IF(COUNTIF($E$2:E3732,E3732)&gt;1,"",SUMIFS(tbl_input[필요수량],tbl_input[집계키_지청],E3732)))</f>
        <v/>
      </c>
      <c r="E3732" t="str">
        <f>IFERROR(INDEX(tbl_input[집계키_지청],ROW()-1),"")</f>
        <v/>
      </c>
      <c r="F3732" t="str">
        <f t="shared" si="293"/>
        <v/>
      </c>
      <c r="G3732" t="str">
        <f t="shared" si="294"/>
        <v/>
      </c>
    </row>
    <row r="3733" spans="1:7" x14ac:dyDescent="0.4">
      <c r="A3733" t="str">
        <f t="shared" si="290"/>
        <v/>
      </c>
      <c r="B3733" t="str">
        <f t="shared" si="291"/>
        <v/>
      </c>
      <c r="C3733" t="str">
        <f t="shared" si="292"/>
        <v/>
      </c>
      <c r="D3733" t="str">
        <f>IF(E3733="","",IF(COUNTIF($E$2:E3733,E3733)&gt;1,"",SUMIFS(tbl_input[필요수량],tbl_input[집계키_지청],E3733)))</f>
        <v/>
      </c>
      <c r="E3733" t="str">
        <f>IFERROR(INDEX(tbl_input[집계키_지청],ROW()-1),"")</f>
        <v/>
      </c>
      <c r="F3733" t="str">
        <f t="shared" si="293"/>
        <v/>
      </c>
      <c r="G3733" t="str">
        <f t="shared" si="294"/>
        <v/>
      </c>
    </row>
    <row r="3734" spans="1:7" x14ac:dyDescent="0.4">
      <c r="A3734" t="str">
        <f t="shared" si="290"/>
        <v/>
      </c>
      <c r="B3734" t="str">
        <f t="shared" si="291"/>
        <v/>
      </c>
      <c r="C3734" t="str">
        <f t="shared" si="292"/>
        <v/>
      </c>
      <c r="D3734" t="str">
        <f>IF(E3734="","",IF(COUNTIF($E$2:E3734,E3734)&gt;1,"",SUMIFS(tbl_input[필요수량],tbl_input[집계키_지청],E3734)))</f>
        <v/>
      </c>
      <c r="E3734" t="str">
        <f>IFERROR(INDEX(tbl_input[집계키_지청],ROW()-1),"")</f>
        <v/>
      </c>
      <c r="F3734" t="str">
        <f t="shared" si="293"/>
        <v/>
      </c>
      <c r="G3734" t="str">
        <f t="shared" si="294"/>
        <v/>
      </c>
    </row>
    <row r="3735" spans="1:7" x14ac:dyDescent="0.4">
      <c r="A3735" t="str">
        <f t="shared" si="290"/>
        <v/>
      </c>
      <c r="B3735" t="str">
        <f t="shared" si="291"/>
        <v/>
      </c>
      <c r="C3735" t="str">
        <f t="shared" si="292"/>
        <v/>
      </c>
      <c r="D3735" t="str">
        <f>IF(E3735="","",IF(COUNTIF($E$2:E3735,E3735)&gt;1,"",SUMIFS(tbl_input[필요수량],tbl_input[집계키_지청],E3735)))</f>
        <v/>
      </c>
      <c r="E3735" t="str">
        <f>IFERROR(INDEX(tbl_input[집계키_지청],ROW()-1),"")</f>
        <v/>
      </c>
      <c r="F3735" t="str">
        <f t="shared" si="293"/>
        <v/>
      </c>
      <c r="G3735" t="str">
        <f t="shared" si="294"/>
        <v/>
      </c>
    </row>
    <row r="3736" spans="1:7" x14ac:dyDescent="0.4">
      <c r="A3736" t="str">
        <f t="shared" si="290"/>
        <v/>
      </c>
      <c r="B3736" t="str">
        <f t="shared" si="291"/>
        <v/>
      </c>
      <c r="C3736" t="str">
        <f t="shared" si="292"/>
        <v/>
      </c>
      <c r="D3736" t="str">
        <f>IF(E3736="","",IF(COUNTIF($E$2:E3736,E3736)&gt;1,"",SUMIFS(tbl_input[필요수량],tbl_input[집계키_지청],E3736)))</f>
        <v/>
      </c>
      <c r="E3736" t="str">
        <f>IFERROR(INDEX(tbl_input[집계키_지청],ROW()-1),"")</f>
        <v/>
      </c>
      <c r="F3736" t="str">
        <f t="shared" si="293"/>
        <v/>
      </c>
      <c r="G3736" t="str">
        <f t="shared" si="294"/>
        <v/>
      </c>
    </row>
    <row r="3737" spans="1:7" x14ac:dyDescent="0.4">
      <c r="A3737" t="str">
        <f t="shared" si="290"/>
        <v/>
      </c>
      <c r="B3737" t="str">
        <f t="shared" si="291"/>
        <v/>
      </c>
      <c r="C3737" t="str">
        <f t="shared" si="292"/>
        <v/>
      </c>
      <c r="D3737" t="str">
        <f>IF(E3737="","",IF(COUNTIF($E$2:E3737,E3737)&gt;1,"",SUMIFS(tbl_input[필요수량],tbl_input[집계키_지청],E3737)))</f>
        <v/>
      </c>
      <c r="E3737" t="str">
        <f>IFERROR(INDEX(tbl_input[집계키_지청],ROW()-1),"")</f>
        <v/>
      </c>
      <c r="F3737" t="str">
        <f t="shared" si="293"/>
        <v/>
      </c>
      <c r="G3737" t="str">
        <f t="shared" si="294"/>
        <v/>
      </c>
    </row>
    <row r="3738" spans="1:7" x14ac:dyDescent="0.4">
      <c r="A3738" t="str">
        <f t="shared" si="290"/>
        <v/>
      </c>
      <c r="B3738" t="str">
        <f t="shared" si="291"/>
        <v/>
      </c>
      <c r="C3738" t="str">
        <f t="shared" si="292"/>
        <v/>
      </c>
      <c r="D3738" t="str">
        <f>IF(E3738="","",IF(COUNTIF($E$2:E3738,E3738)&gt;1,"",SUMIFS(tbl_input[필요수량],tbl_input[집계키_지청],E3738)))</f>
        <v/>
      </c>
      <c r="E3738" t="str">
        <f>IFERROR(INDEX(tbl_input[집계키_지청],ROW()-1),"")</f>
        <v/>
      </c>
      <c r="F3738" t="str">
        <f t="shared" si="293"/>
        <v/>
      </c>
      <c r="G3738" t="str">
        <f t="shared" si="294"/>
        <v/>
      </c>
    </row>
    <row r="3739" spans="1:7" x14ac:dyDescent="0.4">
      <c r="A3739" t="str">
        <f t="shared" si="290"/>
        <v/>
      </c>
      <c r="B3739" t="str">
        <f t="shared" si="291"/>
        <v/>
      </c>
      <c r="C3739" t="str">
        <f t="shared" si="292"/>
        <v/>
      </c>
      <c r="D3739" t="str">
        <f>IF(E3739="","",IF(COUNTIF($E$2:E3739,E3739)&gt;1,"",SUMIFS(tbl_input[필요수량],tbl_input[집계키_지청],E3739)))</f>
        <v/>
      </c>
      <c r="E3739" t="str">
        <f>IFERROR(INDEX(tbl_input[집계키_지청],ROW()-1),"")</f>
        <v/>
      </c>
      <c r="F3739" t="str">
        <f t="shared" si="293"/>
        <v/>
      </c>
      <c r="G3739" t="str">
        <f t="shared" si="294"/>
        <v/>
      </c>
    </row>
    <row r="3740" spans="1:7" x14ac:dyDescent="0.4">
      <c r="A3740" t="str">
        <f t="shared" si="290"/>
        <v/>
      </c>
      <c r="B3740" t="str">
        <f t="shared" si="291"/>
        <v/>
      </c>
      <c r="C3740" t="str">
        <f t="shared" si="292"/>
        <v/>
      </c>
      <c r="D3740" t="str">
        <f>IF(E3740="","",IF(COUNTIF($E$2:E3740,E3740)&gt;1,"",SUMIFS(tbl_input[필요수량],tbl_input[집계키_지청],E3740)))</f>
        <v/>
      </c>
      <c r="E3740" t="str">
        <f>IFERROR(INDEX(tbl_input[집계키_지청],ROW()-1),"")</f>
        <v/>
      </c>
      <c r="F3740" t="str">
        <f t="shared" si="293"/>
        <v/>
      </c>
      <c r="G3740" t="str">
        <f t="shared" si="294"/>
        <v/>
      </c>
    </row>
    <row r="3741" spans="1:7" x14ac:dyDescent="0.4">
      <c r="A3741" t="str">
        <f t="shared" si="290"/>
        <v/>
      </c>
      <c r="B3741" t="str">
        <f t="shared" si="291"/>
        <v/>
      </c>
      <c r="C3741" t="str">
        <f t="shared" si="292"/>
        <v/>
      </c>
      <c r="D3741" t="str">
        <f>IF(E3741="","",IF(COUNTIF($E$2:E3741,E3741)&gt;1,"",SUMIFS(tbl_input[필요수량],tbl_input[집계키_지청],E3741)))</f>
        <v/>
      </c>
      <c r="E3741" t="str">
        <f>IFERROR(INDEX(tbl_input[집계키_지청],ROW()-1),"")</f>
        <v/>
      </c>
      <c r="F3741" t="str">
        <f t="shared" si="293"/>
        <v/>
      </c>
      <c r="G3741" t="str">
        <f t="shared" si="294"/>
        <v/>
      </c>
    </row>
    <row r="3742" spans="1:7" x14ac:dyDescent="0.4">
      <c r="A3742" t="str">
        <f t="shared" si="290"/>
        <v/>
      </c>
      <c r="B3742" t="str">
        <f t="shared" si="291"/>
        <v/>
      </c>
      <c r="C3742" t="str">
        <f t="shared" si="292"/>
        <v/>
      </c>
      <c r="D3742" t="str">
        <f>IF(E3742="","",IF(COUNTIF($E$2:E3742,E3742)&gt;1,"",SUMIFS(tbl_input[필요수량],tbl_input[집계키_지청],E3742)))</f>
        <v/>
      </c>
      <c r="E3742" t="str">
        <f>IFERROR(INDEX(tbl_input[집계키_지청],ROW()-1),"")</f>
        <v/>
      </c>
      <c r="F3742" t="str">
        <f t="shared" si="293"/>
        <v/>
      </c>
      <c r="G3742" t="str">
        <f t="shared" si="294"/>
        <v/>
      </c>
    </row>
    <row r="3743" spans="1:7" x14ac:dyDescent="0.4">
      <c r="A3743" t="str">
        <f t="shared" si="290"/>
        <v/>
      </c>
      <c r="B3743" t="str">
        <f t="shared" si="291"/>
        <v/>
      </c>
      <c r="C3743" t="str">
        <f t="shared" si="292"/>
        <v/>
      </c>
      <c r="D3743" t="str">
        <f>IF(E3743="","",IF(COUNTIF($E$2:E3743,E3743)&gt;1,"",SUMIFS(tbl_input[필요수량],tbl_input[집계키_지청],E3743)))</f>
        <v/>
      </c>
      <c r="E3743" t="str">
        <f>IFERROR(INDEX(tbl_input[집계키_지청],ROW()-1),"")</f>
        <v/>
      </c>
      <c r="F3743" t="str">
        <f t="shared" si="293"/>
        <v/>
      </c>
      <c r="G3743" t="str">
        <f t="shared" si="294"/>
        <v/>
      </c>
    </row>
    <row r="3744" spans="1:7" x14ac:dyDescent="0.4">
      <c r="A3744" t="str">
        <f t="shared" si="290"/>
        <v/>
      </c>
      <c r="B3744" t="str">
        <f t="shared" si="291"/>
        <v/>
      </c>
      <c r="C3744" t="str">
        <f t="shared" si="292"/>
        <v/>
      </c>
      <c r="D3744" t="str">
        <f>IF(E3744="","",IF(COUNTIF($E$2:E3744,E3744)&gt;1,"",SUMIFS(tbl_input[필요수량],tbl_input[집계키_지청],E3744)))</f>
        <v/>
      </c>
      <c r="E3744" t="str">
        <f>IFERROR(INDEX(tbl_input[집계키_지청],ROW()-1),"")</f>
        <v/>
      </c>
      <c r="F3744" t="str">
        <f t="shared" si="293"/>
        <v/>
      </c>
      <c r="G3744" t="str">
        <f t="shared" si="294"/>
        <v/>
      </c>
    </row>
    <row r="3745" spans="1:7" x14ac:dyDescent="0.4">
      <c r="A3745" t="str">
        <f t="shared" si="290"/>
        <v/>
      </c>
      <c r="B3745" t="str">
        <f t="shared" si="291"/>
        <v/>
      </c>
      <c r="C3745" t="str">
        <f t="shared" si="292"/>
        <v/>
      </c>
      <c r="D3745" t="str">
        <f>IF(E3745="","",IF(COUNTIF($E$2:E3745,E3745)&gt;1,"",SUMIFS(tbl_input[필요수량],tbl_input[집계키_지청],E3745)))</f>
        <v/>
      </c>
      <c r="E3745" t="str">
        <f>IFERROR(INDEX(tbl_input[집계키_지청],ROW()-1),"")</f>
        <v/>
      </c>
      <c r="F3745" t="str">
        <f t="shared" si="293"/>
        <v/>
      </c>
      <c r="G3745" t="str">
        <f t="shared" si="294"/>
        <v/>
      </c>
    </row>
    <row r="3746" spans="1:7" x14ac:dyDescent="0.4">
      <c r="A3746" t="str">
        <f t="shared" si="290"/>
        <v/>
      </c>
      <c r="B3746" t="str">
        <f t="shared" si="291"/>
        <v/>
      </c>
      <c r="C3746" t="str">
        <f t="shared" si="292"/>
        <v/>
      </c>
      <c r="D3746" t="str">
        <f>IF(E3746="","",IF(COUNTIF($E$2:E3746,E3746)&gt;1,"",SUMIFS(tbl_input[필요수량],tbl_input[집계키_지청],E3746)))</f>
        <v/>
      </c>
      <c r="E3746" t="str">
        <f>IFERROR(INDEX(tbl_input[집계키_지청],ROW()-1),"")</f>
        <v/>
      </c>
      <c r="F3746" t="str">
        <f t="shared" si="293"/>
        <v/>
      </c>
      <c r="G3746" t="str">
        <f t="shared" si="294"/>
        <v/>
      </c>
    </row>
    <row r="3747" spans="1:7" x14ac:dyDescent="0.4">
      <c r="A3747" t="str">
        <f t="shared" si="290"/>
        <v/>
      </c>
      <c r="B3747" t="str">
        <f t="shared" si="291"/>
        <v/>
      </c>
      <c r="C3747" t="str">
        <f t="shared" si="292"/>
        <v/>
      </c>
      <c r="D3747" t="str">
        <f>IF(E3747="","",IF(COUNTIF($E$2:E3747,E3747)&gt;1,"",SUMIFS(tbl_input[필요수량],tbl_input[집계키_지청],E3747)))</f>
        <v/>
      </c>
      <c r="E3747" t="str">
        <f>IFERROR(INDEX(tbl_input[집계키_지청],ROW()-1),"")</f>
        <v/>
      </c>
      <c r="F3747" t="str">
        <f t="shared" si="293"/>
        <v/>
      </c>
      <c r="G3747" t="str">
        <f t="shared" si="294"/>
        <v/>
      </c>
    </row>
    <row r="3748" spans="1:7" x14ac:dyDescent="0.4">
      <c r="A3748" t="str">
        <f t="shared" si="290"/>
        <v/>
      </c>
      <c r="B3748" t="str">
        <f t="shared" si="291"/>
        <v/>
      </c>
      <c r="C3748" t="str">
        <f t="shared" si="292"/>
        <v/>
      </c>
      <c r="D3748" t="str">
        <f>IF(E3748="","",IF(COUNTIF($E$2:E3748,E3748)&gt;1,"",SUMIFS(tbl_input[필요수량],tbl_input[집계키_지청],E3748)))</f>
        <v/>
      </c>
      <c r="E3748" t="str">
        <f>IFERROR(INDEX(tbl_input[집계키_지청],ROW()-1),"")</f>
        <v/>
      </c>
      <c r="F3748" t="str">
        <f t="shared" si="293"/>
        <v/>
      </c>
      <c r="G3748" t="str">
        <f t="shared" si="294"/>
        <v/>
      </c>
    </row>
    <row r="3749" spans="1:7" x14ac:dyDescent="0.4">
      <c r="A3749" t="str">
        <f t="shared" si="290"/>
        <v/>
      </c>
      <c r="B3749" t="str">
        <f t="shared" si="291"/>
        <v/>
      </c>
      <c r="C3749" t="str">
        <f t="shared" si="292"/>
        <v/>
      </c>
      <c r="D3749" t="str">
        <f>IF(E3749="","",IF(COUNTIF($E$2:E3749,E3749)&gt;1,"",SUMIFS(tbl_input[필요수량],tbl_input[집계키_지청],E3749)))</f>
        <v/>
      </c>
      <c r="E3749" t="str">
        <f>IFERROR(INDEX(tbl_input[집계키_지청],ROW()-1),"")</f>
        <v/>
      </c>
      <c r="F3749" t="str">
        <f t="shared" si="293"/>
        <v/>
      </c>
      <c r="G3749" t="str">
        <f t="shared" si="294"/>
        <v/>
      </c>
    </row>
    <row r="3750" spans="1:7" x14ac:dyDescent="0.4">
      <c r="A3750" t="str">
        <f t="shared" si="290"/>
        <v/>
      </c>
      <c r="B3750" t="str">
        <f t="shared" si="291"/>
        <v/>
      </c>
      <c r="C3750" t="str">
        <f t="shared" si="292"/>
        <v/>
      </c>
      <c r="D3750" t="str">
        <f>IF(E3750="","",IF(COUNTIF($E$2:E3750,E3750)&gt;1,"",SUMIFS(tbl_input[필요수량],tbl_input[집계키_지청],E3750)))</f>
        <v/>
      </c>
      <c r="E3750" t="str">
        <f>IFERROR(INDEX(tbl_input[집계키_지청],ROW()-1),"")</f>
        <v/>
      </c>
      <c r="F3750" t="str">
        <f t="shared" si="293"/>
        <v/>
      </c>
      <c r="G3750" t="str">
        <f t="shared" si="294"/>
        <v/>
      </c>
    </row>
    <row r="3751" spans="1:7" x14ac:dyDescent="0.4">
      <c r="A3751" t="str">
        <f t="shared" si="290"/>
        <v/>
      </c>
      <c r="B3751" t="str">
        <f t="shared" si="291"/>
        <v/>
      </c>
      <c r="C3751" t="str">
        <f t="shared" si="292"/>
        <v/>
      </c>
      <c r="D3751" t="str">
        <f>IF(E3751="","",IF(COUNTIF($E$2:E3751,E3751)&gt;1,"",SUMIFS(tbl_input[필요수량],tbl_input[집계키_지청],E3751)))</f>
        <v/>
      </c>
      <c r="E3751" t="str">
        <f>IFERROR(INDEX(tbl_input[집계키_지청],ROW()-1),"")</f>
        <v/>
      </c>
      <c r="F3751" t="str">
        <f t="shared" si="293"/>
        <v/>
      </c>
      <c r="G3751" t="str">
        <f t="shared" si="294"/>
        <v/>
      </c>
    </row>
    <row r="3752" spans="1:7" x14ac:dyDescent="0.4">
      <c r="A3752" t="str">
        <f t="shared" si="290"/>
        <v/>
      </c>
      <c r="B3752" t="str">
        <f t="shared" si="291"/>
        <v/>
      </c>
      <c r="C3752" t="str">
        <f t="shared" si="292"/>
        <v/>
      </c>
      <c r="D3752" t="str">
        <f>IF(E3752="","",IF(COUNTIF($E$2:E3752,E3752)&gt;1,"",SUMIFS(tbl_input[필요수량],tbl_input[집계키_지청],E3752)))</f>
        <v/>
      </c>
      <c r="E3752" t="str">
        <f>IFERROR(INDEX(tbl_input[집계키_지청],ROW()-1),"")</f>
        <v/>
      </c>
      <c r="F3752" t="str">
        <f t="shared" si="293"/>
        <v/>
      </c>
      <c r="G3752" t="str">
        <f t="shared" si="294"/>
        <v/>
      </c>
    </row>
    <row r="3753" spans="1:7" x14ac:dyDescent="0.4">
      <c r="A3753" t="str">
        <f t="shared" si="290"/>
        <v/>
      </c>
      <c r="B3753" t="str">
        <f t="shared" si="291"/>
        <v/>
      </c>
      <c r="C3753" t="str">
        <f t="shared" si="292"/>
        <v/>
      </c>
      <c r="D3753" t="str">
        <f>IF(E3753="","",IF(COUNTIF($E$2:E3753,E3753)&gt;1,"",SUMIFS(tbl_input[필요수량],tbl_input[집계키_지청],E3753)))</f>
        <v/>
      </c>
      <c r="E3753" t="str">
        <f>IFERROR(INDEX(tbl_input[집계키_지청],ROW()-1),"")</f>
        <v/>
      </c>
      <c r="F3753" t="str">
        <f t="shared" si="293"/>
        <v/>
      </c>
      <c r="G3753" t="str">
        <f t="shared" si="294"/>
        <v/>
      </c>
    </row>
    <row r="3754" spans="1:7" x14ac:dyDescent="0.4">
      <c r="A3754" t="str">
        <f t="shared" si="290"/>
        <v/>
      </c>
      <c r="B3754" t="str">
        <f t="shared" si="291"/>
        <v/>
      </c>
      <c r="C3754" t="str">
        <f t="shared" si="292"/>
        <v/>
      </c>
      <c r="D3754" t="str">
        <f>IF(E3754="","",IF(COUNTIF($E$2:E3754,E3754)&gt;1,"",SUMIFS(tbl_input[필요수량],tbl_input[집계키_지청],E3754)))</f>
        <v/>
      </c>
      <c r="E3754" t="str">
        <f>IFERROR(INDEX(tbl_input[집계키_지청],ROW()-1),"")</f>
        <v/>
      </c>
      <c r="F3754" t="str">
        <f t="shared" si="293"/>
        <v/>
      </c>
      <c r="G3754" t="str">
        <f t="shared" si="294"/>
        <v/>
      </c>
    </row>
    <row r="3755" spans="1:7" x14ac:dyDescent="0.4">
      <c r="A3755" t="str">
        <f t="shared" si="290"/>
        <v/>
      </c>
      <c r="B3755" t="str">
        <f t="shared" si="291"/>
        <v/>
      </c>
      <c r="C3755" t="str">
        <f t="shared" si="292"/>
        <v/>
      </c>
      <c r="D3755" t="str">
        <f>IF(E3755="","",IF(COUNTIF($E$2:E3755,E3755)&gt;1,"",SUMIFS(tbl_input[필요수량],tbl_input[집계키_지청],E3755)))</f>
        <v/>
      </c>
      <c r="E3755" t="str">
        <f>IFERROR(INDEX(tbl_input[집계키_지청],ROW()-1),"")</f>
        <v/>
      </c>
      <c r="F3755" t="str">
        <f t="shared" si="293"/>
        <v/>
      </c>
      <c r="G3755" t="str">
        <f t="shared" si="294"/>
        <v/>
      </c>
    </row>
    <row r="3756" spans="1:7" x14ac:dyDescent="0.4">
      <c r="A3756" t="str">
        <f t="shared" si="290"/>
        <v/>
      </c>
      <c r="B3756" t="str">
        <f t="shared" si="291"/>
        <v/>
      </c>
      <c r="C3756" t="str">
        <f t="shared" si="292"/>
        <v/>
      </c>
      <c r="D3756" t="str">
        <f>IF(E3756="","",IF(COUNTIF($E$2:E3756,E3756)&gt;1,"",SUMIFS(tbl_input[필요수량],tbl_input[집계키_지청],E3756)))</f>
        <v/>
      </c>
      <c r="E3756" t="str">
        <f>IFERROR(INDEX(tbl_input[집계키_지청],ROW()-1),"")</f>
        <v/>
      </c>
      <c r="F3756" t="str">
        <f t="shared" si="293"/>
        <v/>
      </c>
      <c r="G3756" t="str">
        <f t="shared" si="294"/>
        <v/>
      </c>
    </row>
    <row r="3757" spans="1:7" x14ac:dyDescent="0.4">
      <c r="A3757" t="str">
        <f t="shared" si="290"/>
        <v/>
      </c>
      <c r="B3757" t="str">
        <f t="shared" si="291"/>
        <v/>
      </c>
      <c r="C3757" t="str">
        <f t="shared" si="292"/>
        <v/>
      </c>
      <c r="D3757" t="str">
        <f>IF(E3757="","",IF(COUNTIF($E$2:E3757,E3757)&gt;1,"",SUMIFS(tbl_input[필요수량],tbl_input[집계키_지청],E3757)))</f>
        <v/>
      </c>
      <c r="E3757" t="str">
        <f>IFERROR(INDEX(tbl_input[집계키_지청],ROW()-1),"")</f>
        <v/>
      </c>
      <c r="F3757" t="str">
        <f t="shared" si="293"/>
        <v/>
      </c>
      <c r="G3757" t="str">
        <f t="shared" si="294"/>
        <v/>
      </c>
    </row>
    <row r="3758" spans="1:7" x14ac:dyDescent="0.4">
      <c r="A3758" t="str">
        <f t="shared" si="290"/>
        <v/>
      </c>
      <c r="B3758" t="str">
        <f t="shared" si="291"/>
        <v/>
      </c>
      <c r="C3758" t="str">
        <f t="shared" si="292"/>
        <v/>
      </c>
      <c r="D3758" t="str">
        <f>IF(E3758="","",IF(COUNTIF($E$2:E3758,E3758)&gt;1,"",SUMIFS(tbl_input[필요수량],tbl_input[집계키_지청],E3758)))</f>
        <v/>
      </c>
      <c r="E3758" t="str">
        <f>IFERROR(INDEX(tbl_input[집계키_지청],ROW()-1),"")</f>
        <v/>
      </c>
      <c r="F3758" t="str">
        <f t="shared" si="293"/>
        <v/>
      </c>
      <c r="G3758" t="str">
        <f t="shared" si="294"/>
        <v/>
      </c>
    </row>
    <row r="3759" spans="1:7" x14ac:dyDescent="0.4">
      <c r="A3759" t="str">
        <f t="shared" si="290"/>
        <v/>
      </c>
      <c r="B3759" t="str">
        <f t="shared" si="291"/>
        <v/>
      </c>
      <c r="C3759" t="str">
        <f t="shared" si="292"/>
        <v/>
      </c>
      <c r="D3759" t="str">
        <f>IF(E3759="","",IF(COUNTIF($E$2:E3759,E3759)&gt;1,"",SUMIFS(tbl_input[필요수량],tbl_input[집계키_지청],E3759)))</f>
        <v/>
      </c>
      <c r="E3759" t="str">
        <f>IFERROR(INDEX(tbl_input[집계키_지청],ROW()-1),"")</f>
        <v/>
      </c>
      <c r="F3759" t="str">
        <f t="shared" si="293"/>
        <v/>
      </c>
      <c r="G3759" t="str">
        <f t="shared" si="294"/>
        <v/>
      </c>
    </row>
    <row r="3760" spans="1:7" x14ac:dyDescent="0.4">
      <c r="A3760" t="str">
        <f t="shared" si="290"/>
        <v/>
      </c>
      <c r="B3760" t="str">
        <f t="shared" si="291"/>
        <v/>
      </c>
      <c r="C3760" t="str">
        <f t="shared" si="292"/>
        <v/>
      </c>
      <c r="D3760" t="str">
        <f>IF(E3760="","",IF(COUNTIF($E$2:E3760,E3760)&gt;1,"",SUMIFS(tbl_input[필요수량],tbl_input[집계키_지청],E3760)))</f>
        <v/>
      </c>
      <c r="E3760" t="str">
        <f>IFERROR(INDEX(tbl_input[집계키_지청],ROW()-1),"")</f>
        <v/>
      </c>
      <c r="F3760" t="str">
        <f t="shared" si="293"/>
        <v/>
      </c>
      <c r="G3760" t="str">
        <f t="shared" si="294"/>
        <v/>
      </c>
    </row>
    <row r="3761" spans="1:7" x14ac:dyDescent="0.4">
      <c r="A3761" t="str">
        <f t="shared" si="290"/>
        <v/>
      </c>
      <c r="B3761" t="str">
        <f t="shared" si="291"/>
        <v/>
      </c>
      <c r="C3761" t="str">
        <f t="shared" si="292"/>
        <v/>
      </c>
      <c r="D3761" t="str">
        <f>IF(E3761="","",IF(COUNTIF($E$2:E3761,E3761)&gt;1,"",SUMIFS(tbl_input[필요수량],tbl_input[집계키_지청],E3761)))</f>
        <v/>
      </c>
      <c r="E3761" t="str">
        <f>IFERROR(INDEX(tbl_input[집계키_지청],ROW()-1),"")</f>
        <v/>
      </c>
      <c r="F3761" t="str">
        <f t="shared" si="293"/>
        <v/>
      </c>
      <c r="G3761" t="str">
        <f t="shared" si="294"/>
        <v/>
      </c>
    </row>
    <row r="3762" spans="1:7" x14ac:dyDescent="0.4">
      <c r="A3762" t="str">
        <f t="shared" si="290"/>
        <v/>
      </c>
      <c r="B3762" t="str">
        <f t="shared" si="291"/>
        <v/>
      </c>
      <c r="C3762" t="str">
        <f t="shared" si="292"/>
        <v/>
      </c>
      <c r="D3762" t="str">
        <f>IF(E3762="","",IF(COUNTIF($E$2:E3762,E3762)&gt;1,"",SUMIFS(tbl_input[필요수량],tbl_input[집계키_지청],E3762)))</f>
        <v/>
      </c>
      <c r="E3762" t="str">
        <f>IFERROR(INDEX(tbl_input[집계키_지청],ROW()-1),"")</f>
        <v/>
      </c>
      <c r="F3762" t="str">
        <f t="shared" si="293"/>
        <v/>
      </c>
      <c r="G3762" t="str">
        <f t="shared" si="294"/>
        <v/>
      </c>
    </row>
    <row r="3763" spans="1:7" x14ac:dyDescent="0.4">
      <c r="A3763" t="str">
        <f t="shared" si="290"/>
        <v/>
      </c>
      <c r="B3763" t="str">
        <f t="shared" si="291"/>
        <v/>
      </c>
      <c r="C3763" t="str">
        <f t="shared" si="292"/>
        <v/>
      </c>
      <c r="D3763" t="str">
        <f>IF(E3763="","",IF(COUNTIF($E$2:E3763,E3763)&gt;1,"",SUMIFS(tbl_input[필요수량],tbl_input[집계키_지청],E3763)))</f>
        <v/>
      </c>
      <c r="E3763" t="str">
        <f>IFERROR(INDEX(tbl_input[집계키_지청],ROW()-1),"")</f>
        <v/>
      </c>
      <c r="F3763" t="str">
        <f t="shared" si="293"/>
        <v/>
      </c>
      <c r="G3763" t="str">
        <f t="shared" si="294"/>
        <v/>
      </c>
    </row>
    <row r="3764" spans="1:7" x14ac:dyDescent="0.4">
      <c r="A3764" t="str">
        <f t="shared" si="290"/>
        <v/>
      </c>
      <c r="B3764" t="str">
        <f t="shared" si="291"/>
        <v/>
      </c>
      <c r="C3764" t="str">
        <f t="shared" si="292"/>
        <v/>
      </c>
      <c r="D3764" t="str">
        <f>IF(E3764="","",IF(COUNTIF($E$2:E3764,E3764)&gt;1,"",SUMIFS(tbl_input[필요수량],tbl_input[집계키_지청],E3764)))</f>
        <v/>
      </c>
      <c r="E3764" t="str">
        <f>IFERROR(INDEX(tbl_input[집계키_지청],ROW()-1),"")</f>
        <v/>
      </c>
      <c r="F3764" t="str">
        <f t="shared" si="293"/>
        <v/>
      </c>
      <c r="G3764" t="str">
        <f t="shared" si="294"/>
        <v/>
      </c>
    </row>
    <row r="3765" spans="1:7" x14ac:dyDescent="0.4">
      <c r="A3765" t="str">
        <f t="shared" si="290"/>
        <v/>
      </c>
      <c r="B3765" t="str">
        <f t="shared" si="291"/>
        <v/>
      </c>
      <c r="C3765" t="str">
        <f t="shared" si="292"/>
        <v/>
      </c>
      <c r="D3765" t="str">
        <f>IF(E3765="","",IF(COUNTIF($E$2:E3765,E3765)&gt;1,"",SUMIFS(tbl_input[필요수량],tbl_input[집계키_지청],E3765)))</f>
        <v/>
      </c>
      <c r="E3765" t="str">
        <f>IFERROR(INDEX(tbl_input[집계키_지청],ROW()-1),"")</f>
        <v/>
      </c>
      <c r="F3765" t="str">
        <f t="shared" si="293"/>
        <v/>
      </c>
      <c r="G3765" t="str">
        <f t="shared" si="294"/>
        <v/>
      </c>
    </row>
    <row r="3766" spans="1:7" x14ac:dyDescent="0.4">
      <c r="A3766" t="str">
        <f t="shared" si="290"/>
        <v/>
      </c>
      <c r="B3766" t="str">
        <f t="shared" si="291"/>
        <v/>
      </c>
      <c r="C3766" t="str">
        <f t="shared" si="292"/>
        <v/>
      </c>
      <c r="D3766" t="str">
        <f>IF(E3766="","",IF(COUNTIF($E$2:E3766,E3766)&gt;1,"",SUMIFS(tbl_input[필요수량],tbl_input[집계키_지청],E3766)))</f>
        <v/>
      </c>
      <c r="E3766" t="str">
        <f>IFERROR(INDEX(tbl_input[집계키_지청],ROW()-1),"")</f>
        <v/>
      </c>
      <c r="F3766" t="str">
        <f t="shared" si="293"/>
        <v/>
      </c>
      <c r="G3766" t="str">
        <f t="shared" si="294"/>
        <v/>
      </c>
    </row>
    <row r="3767" spans="1:7" x14ac:dyDescent="0.4">
      <c r="A3767" t="str">
        <f t="shared" si="290"/>
        <v/>
      </c>
      <c r="B3767" t="str">
        <f t="shared" si="291"/>
        <v/>
      </c>
      <c r="C3767" t="str">
        <f t="shared" si="292"/>
        <v/>
      </c>
      <c r="D3767" t="str">
        <f>IF(E3767="","",IF(COUNTIF($E$2:E3767,E3767)&gt;1,"",SUMIFS(tbl_input[필요수량],tbl_input[집계키_지청],E3767)))</f>
        <v/>
      </c>
      <c r="E3767" t="str">
        <f>IFERROR(INDEX(tbl_input[집계키_지청],ROW()-1),"")</f>
        <v/>
      </c>
      <c r="F3767" t="str">
        <f t="shared" si="293"/>
        <v/>
      </c>
      <c r="G3767" t="str">
        <f t="shared" si="294"/>
        <v/>
      </c>
    </row>
    <row r="3768" spans="1:7" x14ac:dyDescent="0.4">
      <c r="A3768" t="str">
        <f t="shared" si="290"/>
        <v/>
      </c>
      <c r="B3768" t="str">
        <f t="shared" si="291"/>
        <v/>
      </c>
      <c r="C3768" t="str">
        <f t="shared" si="292"/>
        <v/>
      </c>
      <c r="D3768" t="str">
        <f>IF(E3768="","",IF(COUNTIF($E$2:E3768,E3768)&gt;1,"",SUMIFS(tbl_input[필요수량],tbl_input[집계키_지청],E3768)))</f>
        <v/>
      </c>
      <c r="E3768" t="str">
        <f>IFERROR(INDEX(tbl_input[집계키_지청],ROW()-1),"")</f>
        <v/>
      </c>
      <c r="F3768" t="str">
        <f t="shared" si="293"/>
        <v/>
      </c>
      <c r="G3768" t="str">
        <f t="shared" si="294"/>
        <v/>
      </c>
    </row>
    <row r="3769" spans="1:7" x14ac:dyDescent="0.4">
      <c r="A3769" t="str">
        <f t="shared" si="290"/>
        <v/>
      </c>
      <c r="B3769" t="str">
        <f t="shared" si="291"/>
        <v/>
      </c>
      <c r="C3769" t="str">
        <f t="shared" si="292"/>
        <v/>
      </c>
      <c r="D3769" t="str">
        <f>IF(E3769="","",IF(COUNTIF($E$2:E3769,E3769)&gt;1,"",SUMIFS(tbl_input[필요수량],tbl_input[집계키_지청],E3769)))</f>
        <v/>
      </c>
      <c r="E3769" t="str">
        <f>IFERROR(INDEX(tbl_input[집계키_지청],ROW()-1),"")</f>
        <v/>
      </c>
      <c r="F3769" t="str">
        <f t="shared" si="293"/>
        <v/>
      </c>
      <c r="G3769" t="str">
        <f t="shared" si="294"/>
        <v/>
      </c>
    </row>
    <row r="3770" spans="1:7" x14ac:dyDescent="0.4">
      <c r="A3770" t="str">
        <f t="shared" si="290"/>
        <v/>
      </c>
      <c r="B3770" t="str">
        <f t="shared" si="291"/>
        <v/>
      </c>
      <c r="C3770" t="str">
        <f t="shared" si="292"/>
        <v/>
      </c>
      <c r="D3770" t="str">
        <f>IF(E3770="","",IF(COUNTIF($E$2:E3770,E3770)&gt;1,"",SUMIFS(tbl_input[필요수량],tbl_input[집계키_지청],E3770)))</f>
        <v/>
      </c>
      <c r="E3770" t="str">
        <f>IFERROR(INDEX(tbl_input[집계키_지청],ROW()-1),"")</f>
        <v/>
      </c>
      <c r="F3770" t="str">
        <f t="shared" si="293"/>
        <v/>
      </c>
      <c r="G3770" t="str">
        <f t="shared" si="294"/>
        <v/>
      </c>
    </row>
    <row r="3771" spans="1:7" x14ac:dyDescent="0.4">
      <c r="A3771" t="str">
        <f t="shared" si="290"/>
        <v/>
      </c>
      <c r="B3771" t="str">
        <f t="shared" si="291"/>
        <v/>
      </c>
      <c r="C3771" t="str">
        <f t="shared" si="292"/>
        <v/>
      </c>
      <c r="D3771" t="str">
        <f>IF(E3771="","",IF(COUNTIF($E$2:E3771,E3771)&gt;1,"",SUMIFS(tbl_input[필요수량],tbl_input[집계키_지청],E3771)))</f>
        <v/>
      </c>
      <c r="E3771" t="str">
        <f>IFERROR(INDEX(tbl_input[집계키_지청],ROW()-1),"")</f>
        <v/>
      </c>
      <c r="F3771" t="str">
        <f t="shared" si="293"/>
        <v/>
      </c>
      <c r="G3771" t="str">
        <f t="shared" si="294"/>
        <v/>
      </c>
    </row>
    <row r="3772" spans="1:7" x14ac:dyDescent="0.4">
      <c r="A3772" t="str">
        <f t="shared" si="290"/>
        <v/>
      </c>
      <c r="B3772" t="str">
        <f t="shared" si="291"/>
        <v/>
      </c>
      <c r="C3772" t="str">
        <f t="shared" si="292"/>
        <v/>
      </c>
      <c r="D3772" t="str">
        <f>IF(E3772="","",IF(COUNTIF($E$2:E3772,E3772)&gt;1,"",SUMIFS(tbl_input[필요수량],tbl_input[집계키_지청],E3772)))</f>
        <v/>
      </c>
      <c r="E3772" t="str">
        <f>IFERROR(INDEX(tbl_input[집계키_지청],ROW()-1),"")</f>
        <v/>
      </c>
      <c r="F3772" t="str">
        <f t="shared" si="293"/>
        <v/>
      </c>
      <c r="G3772" t="str">
        <f t="shared" si="294"/>
        <v/>
      </c>
    </row>
    <row r="3773" spans="1:7" x14ac:dyDescent="0.4">
      <c r="A3773" t="str">
        <f t="shared" si="290"/>
        <v/>
      </c>
      <c r="B3773" t="str">
        <f t="shared" si="291"/>
        <v/>
      </c>
      <c r="C3773" t="str">
        <f t="shared" si="292"/>
        <v/>
      </c>
      <c r="D3773" t="str">
        <f>IF(E3773="","",IF(COUNTIF($E$2:E3773,E3773)&gt;1,"",SUMIFS(tbl_input[필요수량],tbl_input[집계키_지청],E3773)))</f>
        <v/>
      </c>
      <c r="E3773" t="str">
        <f>IFERROR(INDEX(tbl_input[집계키_지청],ROW()-1),"")</f>
        <v/>
      </c>
      <c r="F3773" t="str">
        <f t="shared" si="293"/>
        <v/>
      </c>
      <c r="G3773" t="str">
        <f t="shared" si="294"/>
        <v/>
      </c>
    </row>
    <row r="3774" spans="1:7" x14ac:dyDescent="0.4">
      <c r="A3774" t="str">
        <f t="shared" si="290"/>
        <v/>
      </c>
      <c r="B3774" t="str">
        <f t="shared" si="291"/>
        <v/>
      </c>
      <c r="C3774" t="str">
        <f t="shared" si="292"/>
        <v/>
      </c>
      <c r="D3774" t="str">
        <f>IF(E3774="","",IF(COUNTIF($E$2:E3774,E3774)&gt;1,"",SUMIFS(tbl_input[필요수량],tbl_input[집계키_지청],E3774)))</f>
        <v/>
      </c>
      <c r="E3774" t="str">
        <f>IFERROR(INDEX(tbl_input[집계키_지청],ROW()-1),"")</f>
        <v/>
      </c>
      <c r="F3774" t="str">
        <f t="shared" si="293"/>
        <v/>
      </c>
      <c r="G3774" t="str">
        <f t="shared" si="294"/>
        <v/>
      </c>
    </row>
    <row r="3775" spans="1:7" x14ac:dyDescent="0.4">
      <c r="A3775" t="str">
        <f t="shared" si="290"/>
        <v/>
      </c>
      <c r="B3775" t="str">
        <f t="shared" si="291"/>
        <v/>
      </c>
      <c r="C3775" t="str">
        <f t="shared" si="292"/>
        <v/>
      </c>
      <c r="D3775" t="str">
        <f>IF(E3775="","",IF(COUNTIF($E$2:E3775,E3775)&gt;1,"",SUMIFS(tbl_input[필요수량],tbl_input[집계키_지청],E3775)))</f>
        <v/>
      </c>
      <c r="E3775" t="str">
        <f>IFERROR(INDEX(tbl_input[집계키_지청],ROW()-1),"")</f>
        <v/>
      </c>
      <c r="F3775" t="str">
        <f t="shared" si="293"/>
        <v/>
      </c>
      <c r="G3775" t="str">
        <f t="shared" si="294"/>
        <v/>
      </c>
    </row>
    <row r="3776" spans="1:7" x14ac:dyDescent="0.4">
      <c r="A3776" t="str">
        <f t="shared" si="290"/>
        <v/>
      </c>
      <c r="B3776" t="str">
        <f t="shared" si="291"/>
        <v/>
      </c>
      <c r="C3776" t="str">
        <f t="shared" si="292"/>
        <v/>
      </c>
      <c r="D3776" t="str">
        <f>IF(E3776="","",IF(COUNTIF($E$2:E3776,E3776)&gt;1,"",SUMIFS(tbl_input[필요수량],tbl_input[집계키_지청],E3776)))</f>
        <v/>
      </c>
      <c r="E3776" t="str">
        <f>IFERROR(INDEX(tbl_input[집계키_지청],ROW()-1),"")</f>
        <v/>
      </c>
      <c r="F3776" t="str">
        <f t="shared" si="293"/>
        <v/>
      </c>
      <c r="G3776" t="str">
        <f t="shared" si="294"/>
        <v/>
      </c>
    </row>
    <row r="3777" spans="1:7" x14ac:dyDescent="0.4">
      <c r="A3777" t="str">
        <f t="shared" si="290"/>
        <v/>
      </c>
      <c r="B3777" t="str">
        <f t="shared" si="291"/>
        <v/>
      </c>
      <c r="C3777" t="str">
        <f t="shared" si="292"/>
        <v/>
      </c>
      <c r="D3777" t="str">
        <f>IF(E3777="","",IF(COUNTIF($E$2:E3777,E3777)&gt;1,"",SUMIFS(tbl_input[필요수량],tbl_input[집계키_지청],E3777)))</f>
        <v/>
      </c>
      <c r="E3777" t="str">
        <f>IFERROR(INDEX(tbl_input[집계키_지청],ROW()-1),"")</f>
        <v/>
      </c>
      <c r="F3777" t="str">
        <f t="shared" si="293"/>
        <v/>
      </c>
      <c r="G3777" t="str">
        <f t="shared" si="294"/>
        <v/>
      </c>
    </row>
    <row r="3778" spans="1:7" x14ac:dyDescent="0.4">
      <c r="A3778" t="str">
        <f t="shared" ref="A3778:A3841" si="295">IF(E3778="","",LEFT(E3778,F3778-1))</f>
        <v/>
      </c>
      <c r="B3778" t="str">
        <f t="shared" ref="B3778:B3841" si="296">IF(E3778="","",MID(E3778,F3778+1,G3778-F3778-1))</f>
        <v/>
      </c>
      <c r="C3778" t="str">
        <f t="shared" ref="C3778:C3841" si="297">IF(E3778="","",MID(E3778,G3778+1,999))</f>
        <v/>
      </c>
      <c r="D3778" t="str">
        <f>IF(E3778="","",IF(COUNTIF($E$2:E3778,E3778)&gt;1,"",SUMIFS(tbl_input[필요수량],tbl_input[집계키_지청],E3778)))</f>
        <v/>
      </c>
      <c r="E3778" t="str">
        <f>IFERROR(INDEX(tbl_input[집계키_지청],ROW()-1),"")</f>
        <v/>
      </c>
      <c r="F3778" t="str">
        <f t="shared" ref="F3778:F3841" si="298">IF(E3778="","",FIND("♦",E3778))</f>
        <v/>
      </c>
      <c r="G3778" t="str">
        <f t="shared" ref="G3778:G3841" si="299">IF(E3778="","",FIND("♦",E3778,F3778+1))</f>
        <v/>
      </c>
    </row>
    <row r="3779" spans="1:7" x14ac:dyDescent="0.4">
      <c r="A3779" t="str">
        <f t="shared" si="295"/>
        <v/>
      </c>
      <c r="B3779" t="str">
        <f t="shared" si="296"/>
        <v/>
      </c>
      <c r="C3779" t="str">
        <f t="shared" si="297"/>
        <v/>
      </c>
      <c r="D3779" t="str">
        <f>IF(E3779="","",IF(COUNTIF($E$2:E3779,E3779)&gt;1,"",SUMIFS(tbl_input[필요수량],tbl_input[집계키_지청],E3779)))</f>
        <v/>
      </c>
      <c r="E3779" t="str">
        <f>IFERROR(INDEX(tbl_input[집계키_지청],ROW()-1),"")</f>
        <v/>
      </c>
      <c r="F3779" t="str">
        <f t="shared" si="298"/>
        <v/>
      </c>
      <c r="G3779" t="str">
        <f t="shared" si="299"/>
        <v/>
      </c>
    </row>
    <row r="3780" spans="1:7" x14ac:dyDescent="0.4">
      <c r="A3780" t="str">
        <f t="shared" si="295"/>
        <v/>
      </c>
      <c r="B3780" t="str">
        <f t="shared" si="296"/>
        <v/>
      </c>
      <c r="C3780" t="str">
        <f t="shared" si="297"/>
        <v/>
      </c>
      <c r="D3780" t="str">
        <f>IF(E3780="","",IF(COUNTIF($E$2:E3780,E3780)&gt;1,"",SUMIFS(tbl_input[필요수량],tbl_input[집계키_지청],E3780)))</f>
        <v/>
      </c>
      <c r="E3780" t="str">
        <f>IFERROR(INDEX(tbl_input[집계키_지청],ROW()-1),"")</f>
        <v/>
      </c>
      <c r="F3780" t="str">
        <f t="shared" si="298"/>
        <v/>
      </c>
      <c r="G3780" t="str">
        <f t="shared" si="299"/>
        <v/>
      </c>
    </row>
    <row r="3781" spans="1:7" x14ac:dyDescent="0.4">
      <c r="A3781" t="str">
        <f t="shared" si="295"/>
        <v/>
      </c>
      <c r="B3781" t="str">
        <f t="shared" si="296"/>
        <v/>
      </c>
      <c r="C3781" t="str">
        <f t="shared" si="297"/>
        <v/>
      </c>
      <c r="D3781" t="str">
        <f>IF(E3781="","",IF(COUNTIF($E$2:E3781,E3781)&gt;1,"",SUMIFS(tbl_input[필요수량],tbl_input[집계키_지청],E3781)))</f>
        <v/>
      </c>
      <c r="E3781" t="str">
        <f>IFERROR(INDEX(tbl_input[집계키_지청],ROW()-1),"")</f>
        <v/>
      </c>
      <c r="F3781" t="str">
        <f t="shared" si="298"/>
        <v/>
      </c>
      <c r="G3781" t="str">
        <f t="shared" si="299"/>
        <v/>
      </c>
    </row>
    <row r="3782" spans="1:7" x14ac:dyDescent="0.4">
      <c r="A3782" t="str">
        <f t="shared" si="295"/>
        <v/>
      </c>
      <c r="B3782" t="str">
        <f t="shared" si="296"/>
        <v/>
      </c>
      <c r="C3782" t="str">
        <f t="shared" si="297"/>
        <v/>
      </c>
      <c r="D3782" t="str">
        <f>IF(E3782="","",IF(COUNTIF($E$2:E3782,E3782)&gt;1,"",SUMIFS(tbl_input[필요수량],tbl_input[집계키_지청],E3782)))</f>
        <v/>
      </c>
      <c r="E3782" t="str">
        <f>IFERROR(INDEX(tbl_input[집계키_지청],ROW()-1),"")</f>
        <v/>
      </c>
      <c r="F3782" t="str">
        <f t="shared" si="298"/>
        <v/>
      </c>
      <c r="G3782" t="str">
        <f t="shared" si="299"/>
        <v/>
      </c>
    </row>
    <row r="3783" spans="1:7" x14ac:dyDescent="0.4">
      <c r="A3783" t="str">
        <f t="shared" si="295"/>
        <v/>
      </c>
      <c r="B3783" t="str">
        <f t="shared" si="296"/>
        <v/>
      </c>
      <c r="C3783" t="str">
        <f t="shared" si="297"/>
        <v/>
      </c>
      <c r="D3783" t="str">
        <f>IF(E3783="","",IF(COUNTIF($E$2:E3783,E3783)&gt;1,"",SUMIFS(tbl_input[필요수량],tbl_input[집계키_지청],E3783)))</f>
        <v/>
      </c>
      <c r="E3783" t="str">
        <f>IFERROR(INDEX(tbl_input[집계키_지청],ROW()-1),"")</f>
        <v/>
      </c>
      <c r="F3783" t="str">
        <f t="shared" si="298"/>
        <v/>
      </c>
      <c r="G3783" t="str">
        <f t="shared" si="299"/>
        <v/>
      </c>
    </row>
    <row r="3784" spans="1:7" x14ac:dyDescent="0.4">
      <c r="A3784" t="str">
        <f t="shared" si="295"/>
        <v/>
      </c>
      <c r="B3784" t="str">
        <f t="shared" si="296"/>
        <v/>
      </c>
      <c r="C3784" t="str">
        <f t="shared" si="297"/>
        <v/>
      </c>
      <c r="D3784" t="str">
        <f>IF(E3784="","",IF(COUNTIF($E$2:E3784,E3784)&gt;1,"",SUMIFS(tbl_input[필요수량],tbl_input[집계키_지청],E3784)))</f>
        <v/>
      </c>
      <c r="E3784" t="str">
        <f>IFERROR(INDEX(tbl_input[집계키_지청],ROW()-1),"")</f>
        <v/>
      </c>
      <c r="F3784" t="str">
        <f t="shared" si="298"/>
        <v/>
      </c>
      <c r="G3784" t="str">
        <f t="shared" si="299"/>
        <v/>
      </c>
    </row>
    <row r="3785" spans="1:7" x14ac:dyDescent="0.4">
      <c r="A3785" t="str">
        <f t="shared" si="295"/>
        <v/>
      </c>
      <c r="B3785" t="str">
        <f t="shared" si="296"/>
        <v/>
      </c>
      <c r="C3785" t="str">
        <f t="shared" si="297"/>
        <v/>
      </c>
      <c r="D3785" t="str">
        <f>IF(E3785="","",IF(COUNTIF($E$2:E3785,E3785)&gt;1,"",SUMIFS(tbl_input[필요수량],tbl_input[집계키_지청],E3785)))</f>
        <v/>
      </c>
      <c r="E3785" t="str">
        <f>IFERROR(INDEX(tbl_input[집계키_지청],ROW()-1),"")</f>
        <v/>
      </c>
      <c r="F3785" t="str">
        <f t="shared" si="298"/>
        <v/>
      </c>
      <c r="G3785" t="str">
        <f t="shared" si="299"/>
        <v/>
      </c>
    </row>
    <row r="3786" spans="1:7" x14ac:dyDescent="0.4">
      <c r="A3786" t="str">
        <f t="shared" si="295"/>
        <v/>
      </c>
      <c r="B3786" t="str">
        <f t="shared" si="296"/>
        <v/>
      </c>
      <c r="C3786" t="str">
        <f t="shared" si="297"/>
        <v/>
      </c>
      <c r="D3786" t="str">
        <f>IF(E3786="","",IF(COUNTIF($E$2:E3786,E3786)&gt;1,"",SUMIFS(tbl_input[필요수량],tbl_input[집계키_지청],E3786)))</f>
        <v/>
      </c>
      <c r="E3786" t="str">
        <f>IFERROR(INDEX(tbl_input[집계키_지청],ROW()-1),"")</f>
        <v/>
      </c>
      <c r="F3786" t="str">
        <f t="shared" si="298"/>
        <v/>
      </c>
      <c r="G3786" t="str">
        <f t="shared" si="299"/>
        <v/>
      </c>
    </row>
    <row r="3787" spans="1:7" x14ac:dyDescent="0.4">
      <c r="A3787" t="str">
        <f t="shared" si="295"/>
        <v/>
      </c>
      <c r="B3787" t="str">
        <f t="shared" si="296"/>
        <v/>
      </c>
      <c r="C3787" t="str">
        <f t="shared" si="297"/>
        <v/>
      </c>
      <c r="D3787" t="str">
        <f>IF(E3787="","",IF(COUNTIF($E$2:E3787,E3787)&gt;1,"",SUMIFS(tbl_input[필요수량],tbl_input[집계키_지청],E3787)))</f>
        <v/>
      </c>
      <c r="E3787" t="str">
        <f>IFERROR(INDEX(tbl_input[집계키_지청],ROW()-1),"")</f>
        <v/>
      </c>
      <c r="F3787" t="str">
        <f t="shared" si="298"/>
        <v/>
      </c>
      <c r="G3787" t="str">
        <f t="shared" si="299"/>
        <v/>
      </c>
    </row>
    <row r="3788" spans="1:7" x14ac:dyDescent="0.4">
      <c r="A3788" t="str">
        <f t="shared" si="295"/>
        <v/>
      </c>
      <c r="B3788" t="str">
        <f t="shared" si="296"/>
        <v/>
      </c>
      <c r="C3788" t="str">
        <f t="shared" si="297"/>
        <v/>
      </c>
      <c r="D3788" t="str">
        <f>IF(E3788="","",IF(COUNTIF($E$2:E3788,E3788)&gt;1,"",SUMIFS(tbl_input[필요수량],tbl_input[집계키_지청],E3788)))</f>
        <v/>
      </c>
      <c r="E3788" t="str">
        <f>IFERROR(INDEX(tbl_input[집계키_지청],ROW()-1),"")</f>
        <v/>
      </c>
      <c r="F3788" t="str">
        <f t="shared" si="298"/>
        <v/>
      </c>
      <c r="G3788" t="str">
        <f t="shared" si="299"/>
        <v/>
      </c>
    </row>
    <row r="3789" spans="1:7" x14ac:dyDescent="0.4">
      <c r="A3789" t="str">
        <f t="shared" si="295"/>
        <v/>
      </c>
      <c r="B3789" t="str">
        <f t="shared" si="296"/>
        <v/>
      </c>
      <c r="C3789" t="str">
        <f t="shared" si="297"/>
        <v/>
      </c>
      <c r="D3789" t="str">
        <f>IF(E3789="","",IF(COUNTIF($E$2:E3789,E3789)&gt;1,"",SUMIFS(tbl_input[필요수량],tbl_input[집계키_지청],E3789)))</f>
        <v/>
      </c>
      <c r="E3789" t="str">
        <f>IFERROR(INDEX(tbl_input[집계키_지청],ROW()-1),"")</f>
        <v/>
      </c>
      <c r="F3789" t="str">
        <f t="shared" si="298"/>
        <v/>
      </c>
      <c r="G3789" t="str">
        <f t="shared" si="299"/>
        <v/>
      </c>
    </row>
    <row r="3790" spans="1:7" x14ac:dyDescent="0.4">
      <c r="A3790" t="str">
        <f t="shared" si="295"/>
        <v/>
      </c>
      <c r="B3790" t="str">
        <f t="shared" si="296"/>
        <v/>
      </c>
      <c r="C3790" t="str">
        <f t="shared" si="297"/>
        <v/>
      </c>
      <c r="D3790" t="str">
        <f>IF(E3790="","",IF(COUNTIF($E$2:E3790,E3790)&gt;1,"",SUMIFS(tbl_input[필요수량],tbl_input[집계키_지청],E3790)))</f>
        <v/>
      </c>
      <c r="E3790" t="str">
        <f>IFERROR(INDEX(tbl_input[집계키_지청],ROW()-1),"")</f>
        <v/>
      </c>
      <c r="F3790" t="str">
        <f t="shared" si="298"/>
        <v/>
      </c>
      <c r="G3790" t="str">
        <f t="shared" si="299"/>
        <v/>
      </c>
    </row>
    <row r="3791" spans="1:7" x14ac:dyDescent="0.4">
      <c r="A3791" t="str">
        <f t="shared" si="295"/>
        <v/>
      </c>
      <c r="B3791" t="str">
        <f t="shared" si="296"/>
        <v/>
      </c>
      <c r="C3791" t="str">
        <f t="shared" si="297"/>
        <v/>
      </c>
      <c r="D3791" t="str">
        <f>IF(E3791="","",IF(COUNTIF($E$2:E3791,E3791)&gt;1,"",SUMIFS(tbl_input[필요수량],tbl_input[집계키_지청],E3791)))</f>
        <v/>
      </c>
      <c r="E3791" t="str">
        <f>IFERROR(INDEX(tbl_input[집계키_지청],ROW()-1),"")</f>
        <v/>
      </c>
      <c r="F3791" t="str">
        <f t="shared" si="298"/>
        <v/>
      </c>
      <c r="G3791" t="str">
        <f t="shared" si="299"/>
        <v/>
      </c>
    </row>
    <row r="3792" spans="1:7" x14ac:dyDescent="0.4">
      <c r="A3792" t="str">
        <f t="shared" si="295"/>
        <v/>
      </c>
      <c r="B3792" t="str">
        <f t="shared" si="296"/>
        <v/>
      </c>
      <c r="C3792" t="str">
        <f t="shared" si="297"/>
        <v/>
      </c>
      <c r="D3792" t="str">
        <f>IF(E3792="","",IF(COUNTIF($E$2:E3792,E3792)&gt;1,"",SUMIFS(tbl_input[필요수량],tbl_input[집계키_지청],E3792)))</f>
        <v/>
      </c>
      <c r="E3792" t="str">
        <f>IFERROR(INDEX(tbl_input[집계키_지청],ROW()-1),"")</f>
        <v/>
      </c>
      <c r="F3792" t="str">
        <f t="shared" si="298"/>
        <v/>
      </c>
      <c r="G3792" t="str">
        <f t="shared" si="299"/>
        <v/>
      </c>
    </row>
    <row r="3793" spans="1:7" x14ac:dyDescent="0.4">
      <c r="A3793" t="str">
        <f t="shared" si="295"/>
        <v/>
      </c>
      <c r="B3793" t="str">
        <f t="shared" si="296"/>
        <v/>
      </c>
      <c r="C3793" t="str">
        <f t="shared" si="297"/>
        <v/>
      </c>
      <c r="D3793" t="str">
        <f>IF(E3793="","",IF(COUNTIF($E$2:E3793,E3793)&gt;1,"",SUMIFS(tbl_input[필요수량],tbl_input[집계키_지청],E3793)))</f>
        <v/>
      </c>
      <c r="E3793" t="str">
        <f>IFERROR(INDEX(tbl_input[집계키_지청],ROW()-1),"")</f>
        <v/>
      </c>
      <c r="F3793" t="str">
        <f t="shared" si="298"/>
        <v/>
      </c>
      <c r="G3793" t="str">
        <f t="shared" si="299"/>
        <v/>
      </c>
    </row>
    <row r="3794" spans="1:7" x14ac:dyDescent="0.4">
      <c r="A3794" t="str">
        <f t="shared" si="295"/>
        <v/>
      </c>
      <c r="B3794" t="str">
        <f t="shared" si="296"/>
        <v/>
      </c>
      <c r="C3794" t="str">
        <f t="shared" si="297"/>
        <v/>
      </c>
      <c r="D3794" t="str">
        <f>IF(E3794="","",IF(COUNTIF($E$2:E3794,E3794)&gt;1,"",SUMIFS(tbl_input[필요수량],tbl_input[집계키_지청],E3794)))</f>
        <v/>
      </c>
      <c r="E3794" t="str">
        <f>IFERROR(INDEX(tbl_input[집계키_지청],ROW()-1),"")</f>
        <v/>
      </c>
      <c r="F3794" t="str">
        <f t="shared" si="298"/>
        <v/>
      </c>
      <c r="G3794" t="str">
        <f t="shared" si="299"/>
        <v/>
      </c>
    </row>
    <row r="3795" spans="1:7" x14ac:dyDescent="0.4">
      <c r="A3795" t="str">
        <f t="shared" si="295"/>
        <v/>
      </c>
      <c r="B3795" t="str">
        <f t="shared" si="296"/>
        <v/>
      </c>
      <c r="C3795" t="str">
        <f t="shared" si="297"/>
        <v/>
      </c>
      <c r="D3795" t="str">
        <f>IF(E3795="","",IF(COUNTIF($E$2:E3795,E3795)&gt;1,"",SUMIFS(tbl_input[필요수량],tbl_input[집계키_지청],E3795)))</f>
        <v/>
      </c>
      <c r="E3795" t="str">
        <f>IFERROR(INDEX(tbl_input[집계키_지청],ROW()-1),"")</f>
        <v/>
      </c>
      <c r="F3795" t="str">
        <f t="shared" si="298"/>
        <v/>
      </c>
      <c r="G3795" t="str">
        <f t="shared" si="299"/>
        <v/>
      </c>
    </row>
    <row r="3796" spans="1:7" x14ac:dyDescent="0.4">
      <c r="A3796" t="str">
        <f t="shared" si="295"/>
        <v/>
      </c>
      <c r="B3796" t="str">
        <f t="shared" si="296"/>
        <v/>
      </c>
      <c r="C3796" t="str">
        <f t="shared" si="297"/>
        <v/>
      </c>
      <c r="D3796" t="str">
        <f>IF(E3796="","",IF(COUNTIF($E$2:E3796,E3796)&gt;1,"",SUMIFS(tbl_input[필요수량],tbl_input[집계키_지청],E3796)))</f>
        <v/>
      </c>
      <c r="E3796" t="str">
        <f>IFERROR(INDEX(tbl_input[집계키_지청],ROW()-1),"")</f>
        <v/>
      </c>
      <c r="F3796" t="str">
        <f t="shared" si="298"/>
        <v/>
      </c>
      <c r="G3796" t="str">
        <f t="shared" si="299"/>
        <v/>
      </c>
    </row>
    <row r="3797" spans="1:7" x14ac:dyDescent="0.4">
      <c r="A3797" t="str">
        <f t="shared" si="295"/>
        <v/>
      </c>
      <c r="B3797" t="str">
        <f t="shared" si="296"/>
        <v/>
      </c>
      <c r="C3797" t="str">
        <f t="shared" si="297"/>
        <v/>
      </c>
      <c r="D3797" t="str">
        <f>IF(E3797="","",IF(COUNTIF($E$2:E3797,E3797)&gt;1,"",SUMIFS(tbl_input[필요수량],tbl_input[집계키_지청],E3797)))</f>
        <v/>
      </c>
      <c r="E3797" t="str">
        <f>IFERROR(INDEX(tbl_input[집계키_지청],ROW()-1),"")</f>
        <v/>
      </c>
      <c r="F3797" t="str">
        <f t="shared" si="298"/>
        <v/>
      </c>
      <c r="G3797" t="str">
        <f t="shared" si="299"/>
        <v/>
      </c>
    </row>
    <row r="3798" spans="1:7" x14ac:dyDescent="0.4">
      <c r="A3798" t="str">
        <f t="shared" si="295"/>
        <v/>
      </c>
      <c r="B3798" t="str">
        <f t="shared" si="296"/>
        <v/>
      </c>
      <c r="C3798" t="str">
        <f t="shared" si="297"/>
        <v/>
      </c>
      <c r="D3798" t="str">
        <f>IF(E3798="","",IF(COUNTIF($E$2:E3798,E3798)&gt;1,"",SUMIFS(tbl_input[필요수량],tbl_input[집계키_지청],E3798)))</f>
        <v/>
      </c>
      <c r="E3798" t="str">
        <f>IFERROR(INDEX(tbl_input[집계키_지청],ROW()-1),"")</f>
        <v/>
      </c>
      <c r="F3798" t="str">
        <f t="shared" si="298"/>
        <v/>
      </c>
      <c r="G3798" t="str">
        <f t="shared" si="299"/>
        <v/>
      </c>
    </row>
    <row r="3799" spans="1:7" x14ac:dyDescent="0.4">
      <c r="A3799" t="str">
        <f t="shared" si="295"/>
        <v/>
      </c>
      <c r="B3799" t="str">
        <f t="shared" si="296"/>
        <v/>
      </c>
      <c r="C3799" t="str">
        <f t="shared" si="297"/>
        <v/>
      </c>
      <c r="D3799" t="str">
        <f>IF(E3799="","",IF(COUNTIF($E$2:E3799,E3799)&gt;1,"",SUMIFS(tbl_input[필요수량],tbl_input[집계키_지청],E3799)))</f>
        <v/>
      </c>
      <c r="E3799" t="str">
        <f>IFERROR(INDEX(tbl_input[집계키_지청],ROW()-1),"")</f>
        <v/>
      </c>
      <c r="F3799" t="str">
        <f t="shared" si="298"/>
        <v/>
      </c>
      <c r="G3799" t="str">
        <f t="shared" si="299"/>
        <v/>
      </c>
    </row>
    <row r="3800" spans="1:7" x14ac:dyDescent="0.4">
      <c r="A3800" t="str">
        <f t="shared" si="295"/>
        <v/>
      </c>
      <c r="B3800" t="str">
        <f t="shared" si="296"/>
        <v/>
      </c>
      <c r="C3800" t="str">
        <f t="shared" si="297"/>
        <v/>
      </c>
      <c r="D3800" t="str">
        <f>IF(E3800="","",IF(COUNTIF($E$2:E3800,E3800)&gt;1,"",SUMIFS(tbl_input[필요수량],tbl_input[집계키_지청],E3800)))</f>
        <v/>
      </c>
      <c r="E3800" t="str">
        <f>IFERROR(INDEX(tbl_input[집계키_지청],ROW()-1),"")</f>
        <v/>
      </c>
      <c r="F3800" t="str">
        <f t="shared" si="298"/>
        <v/>
      </c>
      <c r="G3800" t="str">
        <f t="shared" si="299"/>
        <v/>
      </c>
    </row>
    <row r="3801" spans="1:7" x14ac:dyDescent="0.4">
      <c r="A3801" t="str">
        <f t="shared" si="295"/>
        <v/>
      </c>
      <c r="B3801" t="str">
        <f t="shared" si="296"/>
        <v/>
      </c>
      <c r="C3801" t="str">
        <f t="shared" si="297"/>
        <v/>
      </c>
      <c r="D3801" t="str">
        <f>IF(E3801="","",IF(COUNTIF($E$2:E3801,E3801)&gt;1,"",SUMIFS(tbl_input[필요수량],tbl_input[집계키_지청],E3801)))</f>
        <v/>
      </c>
      <c r="E3801" t="str">
        <f>IFERROR(INDEX(tbl_input[집계키_지청],ROW()-1),"")</f>
        <v/>
      </c>
      <c r="F3801" t="str">
        <f t="shared" si="298"/>
        <v/>
      </c>
      <c r="G3801" t="str">
        <f t="shared" si="299"/>
        <v/>
      </c>
    </row>
    <row r="3802" spans="1:7" x14ac:dyDescent="0.4">
      <c r="A3802" t="str">
        <f t="shared" si="295"/>
        <v/>
      </c>
      <c r="B3802" t="str">
        <f t="shared" si="296"/>
        <v/>
      </c>
      <c r="C3802" t="str">
        <f t="shared" si="297"/>
        <v/>
      </c>
      <c r="D3802" t="str">
        <f>IF(E3802="","",IF(COUNTIF($E$2:E3802,E3802)&gt;1,"",SUMIFS(tbl_input[필요수량],tbl_input[집계키_지청],E3802)))</f>
        <v/>
      </c>
      <c r="E3802" t="str">
        <f>IFERROR(INDEX(tbl_input[집계키_지청],ROW()-1),"")</f>
        <v/>
      </c>
      <c r="F3802" t="str">
        <f t="shared" si="298"/>
        <v/>
      </c>
      <c r="G3802" t="str">
        <f t="shared" si="299"/>
        <v/>
      </c>
    </row>
    <row r="3803" spans="1:7" x14ac:dyDescent="0.4">
      <c r="A3803" t="str">
        <f t="shared" si="295"/>
        <v/>
      </c>
      <c r="B3803" t="str">
        <f t="shared" si="296"/>
        <v/>
      </c>
      <c r="C3803" t="str">
        <f t="shared" si="297"/>
        <v/>
      </c>
      <c r="D3803" t="str">
        <f>IF(E3803="","",IF(COUNTIF($E$2:E3803,E3803)&gt;1,"",SUMIFS(tbl_input[필요수량],tbl_input[집계키_지청],E3803)))</f>
        <v/>
      </c>
      <c r="E3803" t="str">
        <f>IFERROR(INDEX(tbl_input[집계키_지청],ROW()-1),"")</f>
        <v/>
      </c>
      <c r="F3803" t="str">
        <f t="shared" si="298"/>
        <v/>
      </c>
      <c r="G3803" t="str">
        <f t="shared" si="299"/>
        <v/>
      </c>
    </row>
    <row r="3804" spans="1:7" x14ac:dyDescent="0.4">
      <c r="A3804" t="str">
        <f t="shared" si="295"/>
        <v/>
      </c>
      <c r="B3804" t="str">
        <f t="shared" si="296"/>
        <v/>
      </c>
      <c r="C3804" t="str">
        <f t="shared" si="297"/>
        <v/>
      </c>
      <c r="D3804" t="str">
        <f>IF(E3804="","",IF(COUNTIF($E$2:E3804,E3804)&gt;1,"",SUMIFS(tbl_input[필요수량],tbl_input[집계키_지청],E3804)))</f>
        <v/>
      </c>
      <c r="E3804" t="str">
        <f>IFERROR(INDEX(tbl_input[집계키_지청],ROW()-1),"")</f>
        <v/>
      </c>
      <c r="F3804" t="str">
        <f t="shared" si="298"/>
        <v/>
      </c>
      <c r="G3804" t="str">
        <f t="shared" si="299"/>
        <v/>
      </c>
    </row>
    <row r="3805" spans="1:7" x14ac:dyDescent="0.4">
      <c r="A3805" t="str">
        <f t="shared" si="295"/>
        <v/>
      </c>
      <c r="B3805" t="str">
        <f t="shared" si="296"/>
        <v/>
      </c>
      <c r="C3805" t="str">
        <f t="shared" si="297"/>
        <v/>
      </c>
      <c r="D3805" t="str">
        <f>IF(E3805="","",IF(COUNTIF($E$2:E3805,E3805)&gt;1,"",SUMIFS(tbl_input[필요수량],tbl_input[집계키_지청],E3805)))</f>
        <v/>
      </c>
      <c r="E3805" t="str">
        <f>IFERROR(INDEX(tbl_input[집계키_지청],ROW()-1),"")</f>
        <v/>
      </c>
      <c r="F3805" t="str">
        <f t="shared" si="298"/>
        <v/>
      </c>
      <c r="G3805" t="str">
        <f t="shared" si="299"/>
        <v/>
      </c>
    </row>
    <row r="3806" spans="1:7" x14ac:dyDescent="0.4">
      <c r="A3806" t="str">
        <f t="shared" si="295"/>
        <v/>
      </c>
      <c r="B3806" t="str">
        <f t="shared" si="296"/>
        <v/>
      </c>
      <c r="C3806" t="str">
        <f t="shared" si="297"/>
        <v/>
      </c>
      <c r="D3806" t="str">
        <f>IF(E3806="","",IF(COUNTIF($E$2:E3806,E3806)&gt;1,"",SUMIFS(tbl_input[필요수량],tbl_input[집계키_지청],E3806)))</f>
        <v/>
      </c>
      <c r="E3806" t="str">
        <f>IFERROR(INDEX(tbl_input[집계키_지청],ROW()-1),"")</f>
        <v/>
      </c>
      <c r="F3806" t="str">
        <f t="shared" si="298"/>
        <v/>
      </c>
      <c r="G3806" t="str">
        <f t="shared" si="299"/>
        <v/>
      </c>
    </row>
    <row r="3807" spans="1:7" x14ac:dyDescent="0.4">
      <c r="A3807" t="str">
        <f t="shared" si="295"/>
        <v/>
      </c>
      <c r="B3807" t="str">
        <f t="shared" si="296"/>
        <v/>
      </c>
      <c r="C3807" t="str">
        <f t="shared" si="297"/>
        <v/>
      </c>
      <c r="D3807" t="str">
        <f>IF(E3807="","",IF(COUNTIF($E$2:E3807,E3807)&gt;1,"",SUMIFS(tbl_input[필요수량],tbl_input[집계키_지청],E3807)))</f>
        <v/>
      </c>
      <c r="E3807" t="str">
        <f>IFERROR(INDEX(tbl_input[집계키_지청],ROW()-1),"")</f>
        <v/>
      </c>
      <c r="F3807" t="str">
        <f t="shared" si="298"/>
        <v/>
      </c>
      <c r="G3807" t="str">
        <f t="shared" si="299"/>
        <v/>
      </c>
    </row>
    <row r="3808" spans="1:7" x14ac:dyDescent="0.4">
      <c r="A3808" t="str">
        <f t="shared" si="295"/>
        <v/>
      </c>
      <c r="B3808" t="str">
        <f t="shared" si="296"/>
        <v/>
      </c>
      <c r="C3808" t="str">
        <f t="shared" si="297"/>
        <v/>
      </c>
      <c r="D3808" t="str">
        <f>IF(E3808="","",IF(COUNTIF($E$2:E3808,E3808)&gt;1,"",SUMIFS(tbl_input[필요수량],tbl_input[집계키_지청],E3808)))</f>
        <v/>
      </c>
      <c r="E3808" t="str">
        <f>IFERROR(INDEX(tbl_input[집계키_지청],ROW()-1),"")</f>
        <v/>
      </c>
      <c r="F3808" t="str">
        <f t="shared" si="298"/>
        <v/>
      </c>
      <c r="G3808" t="str">
        <f t="shared" si="299"/>
        <v/>
      </c>
    </row>
    <row r="3809" spans="1:7" x14ac:dyDescent="0.4">
      <c r="A3809" t="str">
        <f t="shared" si="295"/>
        <v/>
      </c>
      <c r="B3809" t="str">
        <f t="shared" si="296"/>
        <v/>
      </c>
      <c r="C3809" t="str">
        <f t="shared" si="297"/>
        <v/>
      </c>
      <c r="D3809" t="str">
        <f>IF(E3809="","",IF(COUNTIF($E$2:E3809,E3809)&gt;1,"",SUMIFS(tbl_input[필요수량],tbl_input[집계키_지청],E3809)))</f>
        <v/>
      </c>
      <c r="E3809" t="str">
        <f>IFERROR(INDEX(tbl_input[집계키_지청],ROW()-1),"")</f>
        <v/>
      </c>
      <c r="F3809" t="str">
        <f t="shared" si="298"/>
        <v/>
      </c>
      <c r="G3809" t="str">
        <f t="shared" si="299"/>
        <v/>
      </c>
    </row>
    <row r="3810" spans="1:7" x14ac:dyDescent="0.4">
      <c r="A3810" t="str">
        <f t="shared" si="295"/>
        <v/>
      </c>
      <c r="B3810" t="str">
        <f t="shared" si="296"/>
        <v/>
      </c>
      <c r="C3810" t="str">
        <f t="shared" si="297"/>
        <v/>
      </c>
      <c r="D3810" t="str">
        <f>IF(E3810="","",IF(COUNTIF($E$2:E3810,E3810)&gt;1,"",SUMIFS(tbl_input[필요수량],tbl_input[집계키_지청],E3810)))</f>
        <v/>
      </c>
      <c r="E3810" t="str">
        <f>IFERROR(INDEX(tbl_input[집계키_지청],ROW()-1),"")</f>
        <v/>
      </c>
      <c r="F3810" t="str">
        <f t="shared" si="298"/>
        <v/>
      </c>
      <c r="G3810" t="str">
        <f t="shared" si="299"/>
        <v/>
      </c>
    </row>
    <row r="3811" spans="1:7" x14ac:dyDescent="0.4">
      <c r="A3811" t="str">
        <f t="shared" si="295"/>
        <v/>
      </c>
      <c r="B3811" t="str">
        <f t="shared" si="296"/>
        <v/>
      </c>
      <c r="C3811" t="str">
        <f t="shared" si="297"/>
        <v/>
      </c>
      <c r="D3811" t="str">
        <f>IF(E3811="","",IF(COUNTIF($E$2:E3811,E3811)&gt;1,"",SUMIFS(tbl_input[필요수량],tbl_input[집계키_지청],E3811)))</f>
        <v/>
      </c>
      <c r="E3811" t="str">
        <f>IFERROR(INDEX(tbl_input[집계키_지청],ROW()-1),"")</f>
        <v/>
      </c>
      <c r="F3811" t="str">
        <f t="shared" si="298"/>
        <v/>
      </c>
      <c r="G3811" t="str">
        <f t="shared" si="299"/>
        <v/>
      </c>
    </row>
    <row r="3812" spans="1:7" x14ac:dyDescent="0.4">
      <c r="A3812" t="str">
        <f t="shared" si="295"/>
        <v/>
      </c>
      <c r="B3812" t="str">
        <f t="shared" si="296"/>
        <v/>
      </c>
      <c r="C3812" t="str">
        <f t="shared" si="297"/>
        <v/>
      </c>
      <c r="D3812" t="str">
        <f>IF(E3812="","",IF(COUNTIF($E$2:E3812,E3812)&gt;1,"",SUMIFS(tbl_input[필요수량],tbl_input[집계키_지청],E3812)))</f>
        <v/>
      </c>
      <c r="E3812" t="str">
        <f>IFERROR(INDEX(tbl_input[집계키_지청],ROW()-1),"")</f>
        <v/>
      </c>
      <c r="F3812" t="str">
        <f t="shared" si="298"/>
        <v/>
      </c>
      <c r="G3812" t="str">
        <f t="shared" si="299"/>
        <v/>
      </c>
    </row>
    <row r="3813" spans="1:7" x14ac:dyDescent="0.4">
      <c r="A3813" t="str">
        <f t="shared" si="295"/>
        <v/>
      </c>
      <c r="B3813" t="str">
        <f t="shared" si="296"/>
        <v/>
      </c>
      <c r="C3813" t="str">
        <f t="shared" si="297"/>
        <v/>
      </c>
      <c r="D3813" t="str">
        <f>IF(E3813="","",IF(COUNTIF($E$2:E3813,E3813)&gt;1,"",SUMIFS(tbl_input[필요수량],tbl_input[집계키_지청],E3813)))</f>
        <v/>
      </c>
      <c r="E3813" t="str">
        <f>IFERROR(INDEX(tbl_input[집계키_지청],ROW()-1),"")</f>
        <v/>
      </c>
      <c r="F3813" t="str">
        <f t="shared" si="298"/>
        <v/>
      </c>
      <c r="G3813" t="str">
        <f t="shared" si="299"/>
        <v/>
      </c>
    </row>
    <row r="3814" spans="1:7" x14ac:dyDescent="0.4">
      <c r="A3814" t="str">
        <f t="shared" si="295"/>
        <v/>
      </c>
      <c r="B3814" t="str">
        <f t="shared" si="296"/>
        <v/>
      </c>
      <c r="C3814" t="str">
        <f t="shared" si="297"/>
        <v/>
      </c>
      <c r="D3814" t="str">
        <f>IF(E3814="","",IF(COUNTIF($E$2:E3814,E3814)&gt;1,"",SUMIFS(tbl_input[필요수량],tbl_input[집계키_지청],E3814)))</f>
        <v/>
      </c>
      <c r="E3814" t="str">
        <f>IFERROR(INDEX(tbl_input[집계키_지청],ROW()-1),"")</f>
        <v/>
      </c>
      <c r="F3814" t="str">
        <f t="shared" si="298"/>
        <v/>
      </c>
      <c r="G3814" t="str">
        <f t="shared" si="299"/>
        <v/>
      </c>
    </row>
    <row r="3815" spans="1:7" x14ac:dyDescent="0.4">
      <c r="A3815" t="str">
        <f t="shared" si="295"/>
        <v/>
      </c>
      <c r="B3815" t="str">
        <f t="shared" si="296"/>
        <v/>
      </c>
      <c r="C3815" t="str">
        <f t="shared" si="297"/>
        <v/>
      </c>
      <c r="D3815" t="str">
        <f>IF(E3815="","",IF(COUNTIF($E$2:E3815,E3815)&gt;1,"",SUMIFS(tbl_input[필요수량],tbl_input[집계키_지청],E3815)))</f>
        <v/>
      </c>
      <c r="E3815" t="str">
        <f>IFERROR(INDEX(tbl_input[집계키_지청],ROW()-1),"")</f>
        <v/>
      </c>
      <c r="F3815" t="str">
        <f t="shared" si="298"/>
        <v/>
      </c>
      <c r="G3815" t="str">
        <f t="shared" si="299"/>
        <v/>
      </c>
    </row>
    <row r="3816" spans="1:7" x14ac:dyDescent="0.4">
      <c r="A3816" t="str">
        <f t="shared" si="295"/>
        <v/>
      </c>
      <c r="B3816" t="str">
        <f t="shared" si="296"/>
        <v/>
      </c>
      <c r="C3816" t="str">
        <f t="shared" si="297"/>
        <v/>
      </c>
      <c r="D3816" t="str">
        <f>IF(E3816="","",IF(COUNTIF($E$2:E3816,E3816)&gt;1,"",SUMIFS(tbl_input[필요수량],tbl_input[집계키_지청],E3816)))</f>
        <v/>
      </c>
      <c r="E3816" t="str">
        <f>IFERROR(INDEX(tbl_input[집계키_지청],ROW()-1),"")</f>
        <v/>
      </c>
      <c r="F3816" t="str">
        <f t="shared" si="298"/>
        <v/>
      </c>
      <c r="G3816" t="str">
        <f t="shared" si="299"/>
        <v/>
      </c>
    </row>
    <row r="3817" spans="1:7" x14ac:dyDescent="0.4">
      <c r="A3817" t="str">
        <f t="shared" si="295"/>
        <v/>
      </c>
      <c r="B3817" t="str">
        <f t="shared" si="296"/>
        <v/>
      </c>
      <c r="C3817" t="str">
        <f t="shared" si="297"/>
        <v/>
      </c>
      <c r="D3817" t="str">
        <f>IF(E3817="","",IF(COUNTIF($E$2:E3817,E3817)&gt;1,"",SUMIFS(tbl_input[필요수량],tbl_input[집계키_지청],E3817)))</f>
        <v/>
      </c>
      <c r="E3817" t="str">
        <f>IFERROR(INDEX(tbl_input[집계키_지청],ROW()-1),"")</f>
        <v/>
      </c>
      <c r="F3817" t="str">
        <f t="shared" si="298"/>
        <v/>
      </c>
      <c r="G3817" t="str">
        <f t="shared" si="299"/>
        <v/>
      </c>
    </row>
    <row r="3818" spans="1:7" x14ac:dyDescent="0.4">
      <c r="A3818" t="str">
        <f t="shared" si="295"/>
        <v/>
      </c>
      <c r="B3818" t="str">
        <f t="shared" si="296"/>
        <v/>
      </c>
      <c r="C3818" t="str">
        <f t="shared" si="297"/>
        <v/>
      </c>
      <c r="D3818" t="str">
        <f>IF(E3818="","",IF(COUNTIF($E$2:E3818,E3818)&gt;1,"",SUMIFS(tbl_input[필요수량],tbl_input[집계키_지청],E3818)))</f>
        <v/>
      </c>
      <c r="E3818" t="str">
        <f>IFERROR(INDEX(tbl_input[집계키_지청],ROW()-1),"")</f>
        <v/>
      </c>
      <c r="F3818" t="str">
        <f t="shared" si="298"/>
        <v/>
      </c>
      <c r="G3818" t="str">
        <f t="shared" si="299"/>
        <v/>
      </c>
    </row>
    <row r="3819" spans="1:7" x14ac:dyDescent="0.4">
      <c r="A3819" t="str">
        <f t="shared" si="295"/>
        <v/>
      </c>
      <c r="B3819" t="str">
        <f t="shared" si="296"/>
        <v/>
      </c>
      <c r="C3819" t="str">
        <f t="shared" si="297"/>
        <v/>
      </c>
      <c r="D3819" t="str">
        <f>IF(E3819="","",IF(COUNTIF($E$2:E3819,E3819)&gt;1,"",SUMIFS(tbl_input[필요수량],tbl_input[집계키_지청],E3819)))</f>
        <v/>
      </c>
      <c r="E3819" t="str">
        <f>IFERROR(INDEX(tbl_input[집계키_지청],ROW()-1),"")</f>
        <v/>
      </c>
      <c r="F3819" t="str">
        <f t="shared" si="298"/>
        <v/>
      </c>
      <c r="G3819" t="str">
        <f t="shared" si="299"/>
        <v/>
      </c>
    </row>
    <row r="3820" spans="1:7" x14ac:dyDescent="0.4">
      <c r="A3820" t="str">
        <f t="shared" si="295"/>
        <v/>
      </c>
      <c r="B3820" t="str">
        <f t="shared" si="296"/>
        <v/>
      </c>
      <c r="C3820" t="str">
        <f t="shared" si="297"/>
        <v/>
      </c>
      <c r="D3820" t="str">
        <f>IF(E3820="","",IF(COUNTIF($E$2:E3820,E3820)&gt;1,"",SUMIFS(tbl_input[필요수량],tbl_input[집계키_지청],E3820)))</f>
        <v/>
      </c>
      <c r="E3820" t="str">
        <f>IFERROR(INDEX(tbl_input[집계키_지청],ROW()-1),"")</f>
        <v/>
      </c>
      <c r="F3820" t="str">
        <f t="shared" si="298"/>
        <v/>
      </c>
      <c r="G3820" t="str">
        <f t="shared" si="299"/>
        <v/>
      </c>
    </row>
    <row r="3821" spans="1:7" x14ac:dyDescent="0.4">
      <c r="A3821" t="str">
        <f t="shared" si="295"/>
        <v/>
      </c>
      <c r="B3821" t="str">
        <f t="shared" si="296"/>
        <v/>
      </c>
      <c r="C3821" t="str">
        <f t="shared" si="297"/>
        <v/>
      </c>
      <c r="D3821" t="str">
        <f>IF(E3821="","",IF(COUNTIF($E$2:E3821,E3821)&gt;1,"",SUMIFS(tbl_input[필요수량],tbl_input[집계키_지청],E3821)))</f>
        <v/>
      </c>
      <c r="E3821" t="str">
        <f>IFERROR(INDEX(tbl_input[집계키_지청],ROW()-1),"")</f>
        <v/>
      </c>
      <c r="F3821" t="str">
        <f t="shared" si="298"/>
        <v/>
      </c>
      <c r="G3821" t="str">
        <f t="shared" si="299"/>
        <v/>
      </c>
    </row>
    <row r="3822" spans="1:7" x14ac:dyDescent="0.4">
      <c r="A3822" t="str">
        <f t="shared" si="295"/>
        <v/>
      </c>
      <c r="B3822" t="str">
        <f t="shared" si="296"/>
        <v/>
      </c>
      <c r="C3822" t="str">
        <f t="shared" si="297"/>
        <v/>
      </c>
      <c r="D3822" t="str">
        <f>IF(E3822="","",IF(COUNTIF($E$2:E3822,E3822)&gt;1,"",SUMIFS(tbl_input[필요수량],tbl_input[집계키_지청],E3822)))</f>
        <v/>
      </c>
      <c r="E3822" t="str">
        <f>IFERROR(INDEX(tbl_input[집계키_지청],ROW()-1),"")</f>
        <v/>
      </c>
      <c r="F3822" t="str">
        <f t="shared" si="298"/>
        <v/>
      </c>
      <c r="G3822" t="str">
        <f t="shared" si="299"/>
        <v/>
      </c>
    </row>
    <row r="3823" spans="1:7" x14ac:dyDescent="0.4">
      <c r="A3823" t="str">
        <f t="shared" si="295"/>
        <v/>
      </c>
      <c r="B3823" t="str">
        <f t="shared" si="296"/>
        <v/>
      </c>
      <c r="C3823" t="str">
        <f t="shared" si="297"/>
        <v/>
      </c>
      <c r="D3823" t="str">
        <f>IF(E3823="","",IF(COUNTIF($E$2:E3823,E3823)&gt;1,"",SUMIFS(tbl_input[필요수량],tbl_input[집계키_지청],E3823)))</f>
        <v/>
      </c>
      <c r="E3823" t="str">
        <f>IFERROR(INDEX(tbl_input[집계키_지청],ROW()-1),"")</f>
        <v/>
      </c>
      <c r="F3823" t="str">
        <f t="shared" si="298"/>
        <v/>
      </c>
      <c r="G3823" t="str">
        <f t="shared" si="299"/>
        <v/>
      </c>
    </row>
    <row r="3824" spans="1:7" x14ac:dyDescent="0.4">
      <c r="A3824" t="str">
        <f t="shared" si="295"/>
        <v/>
      </c>
      <c r="B3824" t="str">
        <f t="shared" si="296"/>
        <v/>
      </c>
      <c r="C3824" t="str">
        <f t="shared" si="297"/>
        <v/>
      </c>
      <c r="D3824" t="str">
        <f>IF(E3824="","",IF(COUNTIF($E$2:E3824,E3824)&gt;1,"",SUMIFS(tbl_input[필요수량],tbl_input[집계키_지청],E3824)))</f>
        <v/>
      </c>
      <c r="E3824" t="str">
        <f>IFERROR(INDEX(tbl_input[집계키_지청],ROW()-1),"")</f>
        <v/>
      </c>
      <c r="F3824" t="str">
        <f t="shared" si="298"/>
        <v/>
      </c>
      <c r="G3824" t="str">
        <f t="shared" si="299"/>
        <v/>
      </c>
    </row>
    <row r="3825" spans="1:7" x14ac:dyDescent="0.4">
      <c r="A3825" t="str">
        <f t="shared" si="295"/>
        <v/>
      </c>
      <c r="B3825" t="str">
        <f t="shared" si="296"/>
        <v/>
      </c>
      <c r="C3825" t="str">
        <f t="shared" si="297"/>
        <v/>
      </c>
      <c r="D3825" t="str">
        <f>IF(E3825="","",IF(COUNTIF($E$2:E3825,E3825)&gt;1,"",SUMIFS(tbl_input[필요수량],tbl_input[집계키_지청],E3825)))</f>
        <v/>
      </c>
      <c r="E3825" t="str">
        <f>IFERROR(INDEX(tbl_input[집계키_지청],ROW()-1),"")</f>
        <v/>
      </c>
      <c r="F3825" t="str">
        <f t="shared" si="298"/>
        <v/>
      </c>
      <c r="G3825" t="str">
        <f t="shared" si="299"/>
        <v/>
      </c>
    </row>
    <row r="3826" spans="1:7" x14ac:dyDescent="0.4">
      <c r="A3826" t="str">
        <f t="shared" si="295"/>
        <v/>
      </c>
      <c r="B3826" t="str">
        <f t="shared" si="296"/>
        <v/>
      </c>
      <c r="C3826" t="str">
        <f t="shared" si="297"/>
        <v/>
      </c>
      <c r="D3826" t="str">
        <f>IF(E3826="","",IF(COUNTIF($E$2:E3826,E3826)&gt;1,"",SUMIFS(tbl_input[필요수량],tbl_input[집계키_지청],E3826)))</f>
        <v/>
      </c>
      <c r="E3826" t="str">
        <f>IFERROR(INDEX(tbl_input[집계키_지청],ROW()-1),"")</f>
        <v/>
      </c>
      <c r="F3826" t="str">
        <f t="shared" si="298"/>
        <v/>
      </c>
      <c r="G3826" t="str">
        <f t="shared" si="299"/>
        <v/>
      </c>
    </row>
    <row r="3827" spans="1:7" x14ac:dyDescent="0.4">
      <c r="A3827" t="str">
        <f t="shared" si="295"/>
        <v/>
      </c>
      <c r="B3827" t="str">
        <f t="shared" si="296"/>
        <v/>
      </c>
      <c r="C3827" t="str">
        <f t="shared" si="297"/>
        <v/>
      </c>
      <c r="D3827" t="str">
        <f>IF(E3827="","",IF(COUNTIF($E$2:E3827,E3827)&gt;1,"",SUMIFS(tbl_input[필요수량],tbl_input[집계키_지청],E3827)))</f>
        <v/>
      </c>
      <c r="E3827" t="str">
        <f>IFERROR(INDEX(tbl_input[집계키_지청],ROW()-1),"")</f>
        <v/>
      </c>
      <c r="F3827" t="str">
        <f t="shared" si="298"/>
        <v/>
      </c>
      <c r="G3827" t="str">
        <f t="shared" si="299"/>
        <v/>
      </c>
    </row>
    <row r="3828" spans="1:7" x14ac:dyDescent="0.4">
      <c r="A3828" t="str">
        <f t="shared" si="295"/>
        <v/>
      </c>
      <c r="B3828" t="str">
        <f t="shared" si="296"/>
        <v/>
      </c>
      <c r="C3828" t="str">
        <f t="shared" si="297"/>
        <v/>
      </c>
      <c r="D3828" t="str">
        <f>IF(E3828="","",IF(COUNTIF($E$2:E3828,E3828)&gt;1,"",SUMIFS(tbl_input[필요수량],tbl_input[집계키_지청],E3828)))</f>
        <v/>
      </c>
      <c r="E3828" t="str">
        <f>IFERROR(INDEX(tbl_input[집계키_지청],ROW()-1),"")</f>
        <v/>
      </c>
      <c r="F3828" t="str">
        <f t="shared" si="298"/>
        <v/>
      </c>
      <c r="G3828" t="str">
        <f t="shared" si="299"/>
        <v/>
      </c>
    </row>
    <row r="3829" spans="1:7" x14ac:dyDescent="0.4">
      <c r="A3829" t="str">
        <f t="shared" si="295"/>
        <v/>
      </c>
      <c r="B3829" t="str">
        <f t="shared" si="296"/>
        <v/>
      </c>
      <c r="C3829" t="str">
        <f t="shared" si="297"/>
        <v/>
      </c>
      <c r="D3829" t="str">
        <f>IF(E3829="","",IF(COUNTIF($E$2:E3829,E3829)&gt;1,"",SUMIFS(tbl_input[필요수량],tbl_input[집계키_지청],E3829)))</f>
        <v/>
      </c>
      <c r="E3829" t="str">
        <f>IFERROR(INDEX(tbl_input[집계키_지청],ROW()-1),"")</f>
        <v/>
      </c>
      <c r="F3829" t="str">
        <f t="shared" si="298"/>
        <v/>
      </c>
      <c r="G3829" t="str">
        <f t="shared" si="299"/>
        <v/>
      </c>
    </row>
    <row r="3830" spans="1:7" x14ac:dyDescent="0.4">
      <c r="A3830" t="str">
        <f t="shared" si="295"/>
        <v/>
      </c>
      <c r="B3830" t="str">
        <f t="shared" si="296"/>
        <v/>
      </c>
      <c r="C3830" t="str">
        <f t="shared" si="297"/>
        <v/>
      </c>
      <c r="D3830" t="str">
        <f>IF(E3830="","",IF(COUNTIF($E$2:E3830,E3830)&gt;1,"",SUMIFS(tbl_input[필요수량],tbl_input[집계키_지청],E3830)))</f>
        <v/>
      </c>
      <c r="E3830" t="str">
        <f>IFERROR(INDEX(tbl_input[집계키_지청],ROW()-1),"")</f>
        <v/>
      </c>
      <c r="F3830" t="str">
        <f t="shared" si="298"/>
        <v/>
      </c>
      <c r="G3830" t="str">
        <f t="shared" si="299"/>
        <v/>
      </c>
    </row>
    <row r="3831" spans="1:7" x14ac:dyDescent="0.4">
      <c r="A3831" t="str">
        <f t="shared" si="295"/>
        <v/>
      </c>
      <c r="B3831" t="str">
        <f t="shared" si="296"/>
        <v/>
      </c>
      <c r="C3831" t="str">
        <f t="shared" si="297"/>
        <v/>
      </c>
      <c r="D3831" t="str">
        <f>IF(E3831="","",IF(COUNTIF($E$2:E3831,E3831)&gt;1,"",SUMIFS(tbl_input[필요수량],tbl_input[집계키_지청],E3831)))</f>
        <v/>
      </c>
      <c r="E3831" t="str">
        <f>IFERROR(INDEX(tbl_input[집계키_지청],ROW()-1),"")</f>
        <v/>
      </c>
      <c r="F3831" t="str">
        <f t="shared" si="298"/>
        <v/>
      </c>
      <c r="G3831" t="str">
        <f t="shared" si="299"/>
        <v/>
      </c>
    </row>
    <row r="3832" spans="1:7" x14ac:dyDescent="0.4">
      <c r="A3832" t="str">
        <f t="shared" si="295"/>
        <v/>
      </c>
      <c r="B3832" t="str">
        <f t="shared" si="296"/>
        <v/>
      </c>
      <c r="C3832" t="str">
        <f t="shared" si="297"/>
        <v/>
      </c>
      <c r="D3832" t="str">
        <f>IF(E3832="","",IF(COUNTIF($E$2:E3832,E3832)&gt;1,"",SUMIFS(tbl_input[필요수량],tbl_input[집계키_지청],E3832)))</f>
        <v/>
      </c>
      <c r="E3832" t="str">
        <f>IFERROR(INDEX(tbl_input[집계키_지청],ROW()-1),"")</f>
        <v/>
      </c>
      <c r="F3832" t="str">
        <f t="shared" si="298"/>
        <v/>
      </c>
      <c r="G3832" t="str">
        <f t="shared" si="299"/>
        <v/>
      </c>
    </row>
    <row r="3833" spans="1:7" x14ac:dyDescent="0.4">
      <c r="A3833" t="str">
        <f t="shared" si="295"/>
        <v/>
      </c>
      <c r="B3833" t="str">
        <f t="shared" si="296"/>
        <v/>
      </c>
      <c r="C3833" t="str">
        <f t="shared" si="297"/>
        <v/>
      </c>
      <c r="D3833" t="str">
        <f>IF(E3833="","",IF(COUNTIF($E$2:E3833,E3833)&gt;1,"",SUMIFS(tbl_input[필요수량],tbl_input[집계키_지청],E3833)))</f>
        <v/>
      </c>
      <c r="E3833" t="str">
        <f>IFERROR(INDEX(tbl_input[집계키_지청],ROW()-1),"")</f>
        <v/>
      </c>
      <c r="F3833" t="str">
        <f t="shared" si="298"/>
        <v/>
      </c>
      <c r="G3833" t="str">
        <f t="shared" si="299"/>
        <v/>
      </c>
    </row>
    <row r="3834" spans="1:7" x14ac:dyDescent="0.4">
      <c r="A3834" t="str">
        <f t="shared" si="295"/>
        <v/>
      </c>
      <c r="B3834" t="str">
        <f t="shared" si="296"/>
        <v/>
      </c>
      <c r="C3834" t="str">
        <f t="shared" si="297"/>
        <v/>
      </c>
      <c r="D3834" t="str">
        <f>IF(E3834="","",IF(COUNTIF($E$2:E3834,E3834)&gt;1,"",SUMIFS(tbl_input[필요수량],tbl_input[집계키_지청],E3834)))</f>
        <v/>
      </c>
      <c r="E3834" t="str">
        <f>IFERROR(INDEX(tbl_input[집계키_지청],ROW()-1),"")</f>
        <v/>
      </c>
      <c r="F3834" t="str">
        <f t="shared" si="298"/>
        <v/>
      </c>
      <c r="G3834" t="str">
        <f t="shared" si="299"/>
        <v/>
      </c>
    </row>
    <row r="3835" spans="1:7" x14ac:dyDescent="0.4">
      <c r="A3835" t="str">
        <f t="shared" si="295"/>
        <v/>
      </c>
      <c r="B3835" t="str">
        <f t="shared" si="296"/>
        <v/>
      </c>
      <c r="C3835" t="str">
        <f t="shared" si="297"/>
        <v/>
      </c>
      <c r="D3835" t="str">
        <f>IF(E3835="","",IF(COUNTIF($E$2:E3835,E3835)&gt;1,"",SUMIFS(tbl_input[필요수량],tbl_input[집계키_지청],E3835)))</f>
        <v/>
      </c>
      <c r="E3835" t="str">
        <f>IFERROR(INDEX(tbl_input[집계키_지청],ROW()-1),"")</f>
        <v/>
      </c>
      <c r="F3835" t="str">
        <f t="shared" si="298"/>
        <v/>
      </c>
      <c r="G3835" t="str">
        <f t="shared" si="299"/>
        <v/>
      </c>
    </row>
    <row r="3836" spans="1:7" x14ac:dyDescent="0.4">
      <c r="A3836" t="str">
        <f t="shared" si="295"/>
        <v/>
      </c>
      <c r="B3836" t="str">
        <f t="shared" si="296"/>
        <v/>
      </c>
      <c r="C3836" t="str">
        <f t="shared" si="297"/>
        <v/>
      </c>
      <c r="D3836" t="str">
        <f>IF(E3836="","",IF(COUNTIF($E$2:E3836,E3836)&gt;1,"",SUMIFS(tbl_input[필요수량],tbl_input[집계키_지청],E3836)))</f>
        <v/>
      </c>
      <c r="E3836" t="str">
        <f>IFERROR(INDEX(tbl_input[집계키_지청],ROW()-1),"")</f>
        <v/>
      </c>
      <c r="F3836" t="str">
        <f t="shared" si="298"/>
        <v/>
      </c>
      <c r="G3836" t="str">
        <f t="shared" si="299"/>
        <v/>
      </c>
    </row>
    <row r="3837" spans="1:7" x14ac:dyDescent="0.4">
      <c r="A3837" t="str">
        <f t="shared" si="295"/>
        <v/>
      </c>
      <c r="B3837" t="str">
        <f t="shared" si="296"/>
        <v/>
      </c>
      <c r="C3837" t="str">
        <f t="shared" si="297"/>
        <v/>
      </c>
      <c r="D3837" t="str">
        <f>IF(E3837="","",IF(COUNTIF($E$2:E3837,E3837)&gt;1,"",SUMIFS(tbl_input[필요수량],tbl_input[집계키_지청],E3837)))</f>
        <v/>
      </c>
      <c r="E3837" t="str">
        <f>IFERROR(INDEX(tbl_input[집계키_지청],ROW()-1),"")</f>
        <v/>
      </c>
      <c r="F3837" t="str">
        <f t="shared" si="298"/>
        <v/>
      </c>
      <c r="G3837" t="str">
        <f t="shared" si="299"/>
        <v/>
      </c>
    </row>
    <row r="3838" spans="1:7" x14ac:dyDescent="0.4">
      <c r="A3838" t="str">
        <f t="shared" si="295"/>
        <v/>
      </c>
      <c r="B3838" t="str">
        <f t="shared" si="296"/>
        <v/>
      </c>
      <c r="C3838" t="str">
        <f t="shared" si="297"/>
        <v/>
      </c>
      <c r="D3838" t="str">
        <f>IF(E3838="","",IF(COUNTIF($E$2:E3838,E3838)&gt;1,"",SUMIFS(tbl_input[필요수량],tbl_input[집계키_지청],E3838)))</f>
        <v/>
      </c>
      <c r="E3838" t="str">
        <f>IFERROR(INDEX(tbl_input[집계키_지청],ROW()-1),"")</f>
        <v/>
      </c>
      <c r="F3838" t="str">
        <f t="shared" si="298"/>
        <v/>
      </c>
      <c r="G3838" t="str">
        <f t="shared" si="299"/>
        <v/>
      </c>
    </row>
    <row r="3839" spans="1:7" x14ac:dyDescent="0.4">
      <c r="A3839" t="str">
        <f t="shared" si="295"/>
        <v/>
      </c>
      <c r="B3839" t="str">
        <f t="shared" si="296"/>
        <v/>
      </c>
      <c r="C3839" t="str">
        <f t="shared" si="297"/>
        <v/>
      </c>
      <c r="D3839" t="str">
        <f>IF(E3839="","",IF(COUNTIF($E$2:E3839,E3839)&gt;1,"",SUMIFS(tbl_input[필요수량],tbl_input[집계키_지청],E3839)))</f>
        <v/>
      </c>
      <c r="E3839" t="str">
        <f>IFERROR(INDEX(tbl_input[집계키_지청],ROW()-1),"")</f>
        <v/>
      </c>
      <c r="F3839" t="str">
        <f t="shared" si="298"/>
        <v/>
      </c>
      <c r="G3839" t="str">
        <f t="shared" si="299"/>
        <v/>
      </c>
    </row>
    <row r="3840" spans="1:7" x14ac:dyDescent="0.4">
      <c r="A3840" t="str">
        <f t="shared" si="295"/>
        <v/>
      </c>
      <c r="B3840" t="str">
        <f t="shared" si="296"/>
        <v/>
      </c>
      <c r="C3840" t="str">
        <f t="shared" si="297"/>
        <v/>
      </c>
      <c r="D3840" t="str">
        <f>IF(E3840="","",IF(COUNTIF($E$2:E3840,E3840)&gt;1,"",SUMIFS(tbl_input[필요수량],tbl_input[집계키_지청],E3840)))</f>
        <v/>
      </c>
      <c r="E3840" t="str">
        <f>IFERROR(INDEX(tbl_input[집계키_지청],ROW()-1),"")</f>
        <v/>
      </c>
      <c r="F3840" t="str">
        <f t="shared" si="298"/>
        <v/>
      </c>
      <c r="G3840" t="str">
        <f t="shared" si="299"/>
        <v/>
      </c>
    </row>
    <row r="3841" spans="1:7" x14ac:dyDescent="0.4">
      <c r="A3841" t="str">
        <f t="shared" si="295"/>
        <v/>
      </c>
      <c r="B3841" t="str">
        <f t="shared" si="296"/>
        <v/>
      </c>
      <c r="C3841" t="str">
        <f t="shared" si="297"/>
        <v/>
      </c>
      <c r="D3841" t="str">
        <f>IF(E3841="","",IF(COUNTIF($E$2:E3841,E3841)&gt;1,"",SUMIFS(tbl_input[필요수량],tbl_input[집계키_지청],E3841)))</f>
        <v/>
      </c>
      <c r="E3841" t="str">
        <f>IFERROR(INDEX(tbl_input[집계키_지청],ROW()-1),"")</f>
        <v/>
      </c>
      <c r="F3841" t="str">
        <f t="shared" si="298"/>
        <v/>
      </c>
      <c r="G3841" t="str">
        <f t="shared" si="299"/>
        <v/>
      </c>
    </row>
    <row r="3842" spans="1:7" x14ac:dyDescent="0.4">
      <c r="A3842" t="str">
        <f t="shared" ref="A3842:A3905" si="300">IF(E3842="","",LEFT(E3842,F3842-1))</f>
        <v/>
      </c>
      <c r="B3842" t="str">
        <f t="shared" ref="B3842:B3905" si="301">IF(E3842="","",MID(E3842,F3842+1,G3842-F3842-1))</f>
        <v/>
      </c>
      <c r="C3842" t="str">
        <f t="shared" ref="C3842:C3905" si="302">IF(E3842="","",MID(E3842,G3842+1,999))</f>
        <v/>
      </c>
      <c r="D3842" t="str">
        <f>IF(E3842="","",IF(COUNTIF($E$2:E3842,E3842)&gt;1,"",SUMIFS(tbl_input[필요수량],tbl_input[집계키_지청],E3842)))</f>
        <v/>
      </c>
      <c r="E3842" t="str">
        <f>IFERROR(INDEX(tbl_input[집계키_지청],ROW()-1),"")</f>
        <v/>
      </c>
      <c r="F3842" t="str">
        <f t="shared" ref="F3842:F3905" si="303">IF(E3842="","",FIND("♦",E3842))</f>
        <v/>
      </c>
      <c r="G3842" t="str">
        <f t="shared" ref="G3842:G3905" si="304">IF(E3842="","",FIND("♦",E3842,F3842+1))</f>
        <v/>
      </c>
    </row>
    <row r="3843" spans="1:7" x14ac:dyDescent="0.4">
      <c r="A3843" t="str">
        <f t="shared" si="300"/>
        <v/>
      </c>
      <c r="B3843" t="str">
        <f t="shared" si="301"/>
        <v/>
      </c>
      <c r="C3843" t="str">
        <f t="shared" si="302"/>
        <v/>
      </c>
      <c r="D3843" t="str">
        <f>IF(E3843="","",IF(COUNTIF($E$2:E3843,E3843)&gt;1,"",SUMIFS(tbl_input[필요수량],tbl_input[집계키_지청],E3843)))</f>
        <v/>
      </c>
      <c r="E3843" t="str">
        <f>IFERROR(INDEX(tbl_input[집계키_지청],ROW()-1),"")</f>
        <v/>
      </c>
      <c r="F3843" t="str">
        <f t="shared" si="303"/>
        <v/>
      </c>
      <c r="G3843" t="str">
        <f t="shared" si="304"/>
        <v/>
      </c>
    </row>
    <row r="3844" spans="1:7" x14ac:dyDescent="0.4">
      <c r="A3844" t="str">
        <f t="shared" si="300"/>
        <v/>
      </c>
      <c r="B3844" t="str">
        <f t="shared" si="301"/>
        <v/>
      </c>
      <c r="C3844" t="str">
        <f t="shared" si="302"/>
        <v/>
      </c>
      <c r="D3844" t="str">
        <f>IF(E3844="","",IF(COUNTIF($E$2:E3844,E3844)&gt;1,"",SUMIFS(tbl_input[필요수량],tbl_input[집계키_지청],E3844)))</f>
        <v/>
      </c>
      <c r="E3844" t="str">
        <f>IFERROR(INDEX(tbl_input[집계키_지청],ROW()-1),"")</f>
        <v/>
      </c>
      <c r="F3844" t="str">
        <f t="shared" si="303"/>
        <v/>
      </c>
      <c r="G3844" t="str">
        <f t="shared" si="304"/>
        <v/>
      </c>
    </row>
    <row r="3845" spans="1:7" x14ac:dyDescent="0.4">
      <c r="A3845" t="str">
        <f t="shared" si="300"/>
        <v/>
      </c>
      <c r="B3845" t="str">
        <f t="shared" si="301"/>
        <v/>
      </c>
      <c r="C3845" t="str">
        <f t="shared" si="302"/>
        <v/>
      </c>
      <c r="D3845" t="str">
        <f>IF(E3845="","",IF(COUNTIF($E$2:E3845,E3845)&gt;1,"",SUMIFS(tbl_input[필요수량],tbl_input[집계키_지청],E3845)))</f>
        <v/>
      </c>
      <c r="E3845" t="str">
        <f>IFERROR(INDEX(tbl_input[집계키_지청],ROW()-1),"")</f>
        <v/>
      </c>
      <c r="F3845" t="str">
        <f t="shared" si="303"/>
        <v/>
      </c>
      <c r="G3845" t="str">
        <f t="shared" si="304"/>
        <v/>
      </c>
    </row>
    <row r="3846" spans="1:7" x14ac:dyDescent="0.4">
      <c r="A3846" t="str">
        <f t="shared" si="300"/>
        <v/>
      </c>
      <c r="B3846" t="str">
        <f t="shared" si="301"/>
        <v/>
      </c>
      <c r="C3846" t="str">
        <f t="shared" si="302"/>
        <v/>
      </c>
      <c r="D3846" t="str">
        <f>IF(E3846="","",IF(COUNTIF($E$2:E3846,E3846)&gt;1,"",SUMIFS(tbl_input[필요수량],tbl_input[집계키_지청],E3846)))</f>
        <v/>
      </c>
      <c r="E3846" t="str">
        <f>IFERROR(INDEX(tbl_input[집계키_지청],ROW()-1),"")</f>
        <v/>
      </c>
      <c r="F3846" t="str">
        <f t="shared" si="303"/>
        <v/>
      </c>
      <c r="G3846" t="str">
        <f t="shared" si="304"/>
        <v/>
      </c>
    </row>
    <row r="3847" spans="1:7" x14ac:dyDescent="0.4">
      <c r="A3847" t="str">
        <f t="shared" si="300"/>
        <v/>
      </c>
      <c r="B3847" t="str">
        <f t="shared" si="301"/>
        <v/>
      </c>
      <c r="C3847" t="str">
        <f t="shared" si="302"/>
        <v/>
      </c>
      <c r="D3847" t="str">
        <f>IF(E3847="","",IF(COUNTIF($E$2:E3847,E3847)&gt;1,"",SUMIFS(tbl_input[필요수량],tbl_input[집계키_지청],E3847)))</f>
        <v/>
      </c>
      <c r="E3847" t="str">
        <f>IFERROR(INDEX(tbl_input[집계키_지청],ROW()-1),"")</f>
        <v/>
      </c>
      <c r="F3847" t="str">
        <f t="shared" si="303"/>
        <v/>
      </c>
      <c r="G3847" t="str">
        <f t="shared" si="304"/>
        <v/>
      </c>
    </row>
    <row r="3848" spans="1:7" x14ac:dyDescent="0.4">
      <c r="A3848" t="str">
        <f t="shared" si="300"/>
        <v/>
      </c>
      <c r="B3848" t="str">
        <f t="shared" si="301"/>
        <v/>
      </c>
      <c r="C3848" t="str">
        <f t="shared" si="302"/>
        <v/>
      </c>
      <c r="D3848" t="str">
        <f>IF(E3848="","",IF(COUNTIF($E$2:E3848,E3848)&gt;1,"",SUMIFS(tbl_input[필요수량],tbl_input[집계키_지청],E3848)))</f>
        <v/>
      </c>
      <c r="E3848" t="str">
        <f>IFERROR(INDEX(tbl_input[집계키_지청],ROW()-1),"")</f>
        <v/>
      </c>
      <c r="F3848" t="str">
        <f t="shared" si="303"/>
        <v/>
      </c>
      <c r="G3848" t="str">
        <f t="shared" si="304"/>
        <v/>
      </c>
    </row>
    <row r="3849" spans="1:7" x14ac:dyDescent="0.4">
      <c r="A3849" t="str">
        <f t="shared" si="300"/>
        <v/>
      </c>
      <c r="B3849" t="str">
        <f t="shared" si="301"/>
        <v/>
      </c>
      <c r="C3849" t="str">
        <f t="shared" si="302"/>
        <v/>
      </c>
      <c r="D3849" t="str">
        <f>IF(E3849="","",IF(COUNTIF($E$2:E3849,E3849)&gt;1,"",SUMIFS(tbl_input[필요수량],tbl_input[집계키_지청],E3849)))</f>
        <v/>
      </c>
      <c r="E3849" t="str">
        <f>IFERROR(INDEX(tbl_input[집계키_지청],ROW()-1),"")</f>
        <v/>
      </c>
      <c r="F3849" t="str">
        <f t="shared" si="303"/>
        <v/>
      </c>
      <c r="G3849" t="str">
        <f t="shared" si="304"/>
        <v/>
      </c>
    </row>
    <row r="3850" spans="1:7" x14ac:dyDescent="0.4">
      <c r="A3850" t="str">
        <f t="shared" si="300"/>
        <v/>
      </c>
      <c r="B3850" t="str">
        <f t="shared" si="301"/>
        <v/>
      </c>
      <c r="C3850" t="str">
        <f t="shared" si="302"/>
        <v/>
      </c>
      <c r="D3850" t="str">
        <f>IF(E3850="","",IF(COUNTIF($E$2:E3850,E3850)&gt;1,"",SUMIFS(tbl_input[필요수량],tbl_input[집계키_지청],E3850)))</f>
        <v/>
      </c>
      <c r="E3850" t="str">
        <f>IFERROR(INDEX(tbl_input[집계키_지청],ROW()-1),"")</f>
        <v/>
      </c>
      <c r="F3850" t="str">
        <f t="shared" si="303"/>
        <v/>
      </c>
      <c r="G3850" t="str">
        <f t="shared" si="304"/>
        <v/>
      </c>
    </row>
    <row r="3851" spans="1:7" x14ac:dyDescent="0.4">
      <c r="A3851" t="str">
        <f t="shared" si="300"/>
        <v/>
      </c>
      <c r="B3851" t="str">
        <f t="shared" si="301"/>
        <v/>
      </c>
      <c r="C3851" t="str">
        <f t="shared" si="302"/>
        <v/>
      </c>
      <c r="D3851" t="str">
        <f>IF(E3851="","",IF(COUNTIF($E$2:E3851,E3851)&gt;1,"",SUMIFS(tbl_input[필요수량],tbl_input[집계키_지청],E3851)))</f>
        <v/>
      </c>
      <c r="E3851" t="str">
        <f>IFERROR(INDEX(tbl_input[집계키_지청],ROW()-1),"")</f>
        <v/>
      </c>
      <c r="F3851" t="str">
        <f t="shared" si="303"/>
        <v/>
      </c>
      <c r="G3851" t="str">
        <f t="shared" si="304"/>
        <v/>
      </c>
    </row>
    <row r="3852" spans="1:7" x14ac:dyDescent="0.4">
      <c r="A3852" t="str">
        <f t="shared" si="300"/>
        <v/>
      </c>
      <c r="B3852" t="str">
        <f t="shared" si="301"/>
        <v/>
      </c>
      <c r="C3852" t="str">
        <f t="shared" si="302"/>
        <v/>
      </c>
      <c r="D3852" t="str">
        <f>IF(E3852="","",IF(COUNTIF($E$2:E3852,E3852)&gt;1,"",SUMIFS(tbl_input[필요수량],tbl_input[집계키_지청],E3852)))</f>
        <v/>
      </c>
      <c r="E3852" t="str">
        <f>IFERROR(INDEX(tbl_input[집계키_지청],ROW()-1),"")</f>
        <v/>
      </c>
      <c r="F3852" t="str">
        <f t="shared" si="303"/>
        <v/>
      </c>
      <c r="G3852" t="str">
        <f t="shared" si="304"/>
        <v/>
      </c>
    </row>
    <row r="3853" spans="1:7" x14ac:dyDescent="0.4">
      <c r="A3853" t="str">
        <f t="shared" si="300"/>
        <v/>
      </c>
      <c r="B3853" t="str">
        <f t="shared" si="301"/>
        <v/>
      </c>
      <c r="C3853" t="str">
        <f t="shared" si="302"/>
        <v/>
      </c>
      <c r="D3853" t="str">
        <f>IF(E3853="","",IF(COUNTIF($E$2:E3853,E3853)&gt;1,"",SUMIFS(tbl_input[필요수량],tbl_input[집계키_지청],E3853)))</f>
        <v/>
      </c>
      <c r="E3853" t="str">
        <f>IFERROR(INDEX(tbl_input[집계키_지청],ROW()-1),"")</f>
        <v/>
      </c>
      <c r="F3853" t="str">
        <f t="shared" si="303"/>
        <v/>
      </c>
      <c r="G3853" t="str">
        <f t="shared" si="304"/>
        <v/>
      </c>
    </row>
    <row r="3854" spans="1:7" x14ac:dyDescent="0.4">
      <c r="A3854" t="str">
        <f t="shared" si="300"/>
        <v/>
      </c>
      <c r="B3854" t="str">
        <f t="shared" si="301"/>
        <v/>
      </c>
      <c r="C3854" t="str">
        <f t="shared" si="302"/>
        <v/>
      </c>
      <c r="D3854" t="str">
        <f>IF(E3854="","",IF(COUNTIF($E$2:E3854,E3854)&gt;1,"",SUMIFS(tbl_input[필요수량],tbl_input[집계키_지청],E3854)))</f>
        <v/>
      </c>
      <c r="E3854" t="str">
        <f>IFERROR(INDEX(tbl_input[집계키_지청],ROW()-1),"")</f>
        <v/>
      </c>
      <c r="F3854" t="str">
        <f t="shared" si="303"/>
        <v/>
      </c>
      <c r="G3854" t="str">
        <f t="shared" si="304"/>
        <v/>
      </c>
    </row>
    <row r="3855" spans="1:7" x14ac:dyDescent="0.4">
      <c r="A3855" t="str">
        <f t="shared" si="300"/>
        <v/>
      </c>
      <c r="B3855" t="str">
        <f t="shared" si="301"/>
        <v/>
      </c>
      <c r="C3855" t="str">
        <f t="shared" si="302"/>
        <v/>
      </c>
      <c r="D3855" t="str">
        <f>IF(E3855="","",IF(COUNTIF($E$2:E3855,E3855)&gt;1,"",SUMIFS(tbl_input[필요수량],tbl_input[집계키_지청],E3855)))</f>
        <v/>
      </c>
      <c r="E3855" t="str">
        <f>IFERROR(INDEX(tbl_input[집계키_지청],ROW()-1),"")</f>
        <v/>
      </c>
      <c r="F3855" t="str">
        <f t="shared" si="303"/>
        <v/>
      </c>
      <c r="G3855" t="str">
        <f t="shared" si="304"/>
        <v/>
      </c>
    </row>
    <row r="3856" spans="1:7" x14ac:dyDescent="0.4">
      <c r="A3856" t="str">
        <f t="shared" si="300"/>
        <v/>
      </c>
      <c r="B3856" t="str">
        <f t="shared" si="301"/>
        <v/>
      </c>
      <c r="C3856" t="str">
        <f t="shared" si="302"/>
        <v/>
      </c>
      <c r="D3856" t="str">
        <f>IF(E3856="","",IF(COUNTIF($E$2:E3856,E3856)&gt;1,"",SUMIFS(tbl_input[필요수량],tbl_input[집계키_지청],E3856)))</f>
        <v/>
      </c>
      <c r="E3856" t="str">
        <f>IFERROR(INDEX(tbl_input[집계키_지청],ROW()-1),"")</f>
        <v/>
      </c>
      <c r="F3856" t="str">
        <f t="shared" si="303"/>
        <v/>
      </c>
      <c r="G3856" t="str">
        <f t="shared" si="304"/>
        <v/>
      </c>
    </row>
    <row r="3857" spans="1:7" x14ac:dyDescent="0.4">
      <c r="A3857" t="str">
        <f t="shared" si="300"/>
        <v/>
      </c>
      <c r="B3857" t="str">
        <f t="shared" si="301"/>
        <v/>
      </c>
      <c r="C3857" t="str">
        <f t="shared" si="302"/>
        <v/>
      </c>
      <c r="D3857" t="str">
        <f>IF(E3857="","",IF(COUNTIF($E$2:E3857,E3857)&gt;1,"",SUMIFS(tbl_input[필요수량],tbl_input[집계키_지청],E3857)))</f>
        <v/>
      </c>
      <c r="E3857" t="str">
        <f>IFERROR(INDEX(tbl_input[집계키_지청],ROW()-1),"")</f>
        <v/>
      </c>
      <c r="F3857" t="str">
        <f t="shared" si="303"/>
        <v/>
      </c>
      <c r="G3857" t="str">
        <f t="shared" si="304"/>
        <v/>
      </c>
    </row>
    <row r="3858" spans="1:7" x14ac:dyDescent="0.4">
      <c r="A3858" t="str">
        <f t="shared" si="300"/>
        <v/>
      </c>
      <c r="B3858" t="str">
        <f t="shared" si="301"/>
        <v/>
      </c>
      <c r="C3858" t="str">
        <f t="shared" si="302"/>
        <v/>
      </c>
      <c r="D3858" t="str">
        <f>IF(E3858="","",IF(COUNTIF($E$2:E3858,E3858)&gt;1,"",SUMIFS(tbl_input[필요수량],tbl_input[집계키_지청],E3858)))</f>
        <v/>
      </c>
      <c r="E3858" t="str">
        <f>IFERROR(INDEX(tbl_input[집계키_지청],ROW()-1),"")</f>
        <v/>
      </c>
      <c r="F3858" t="str">
        <f t="shared" si="303"/>
        <v/>
      </c>
      <c r="G3858" t="str">
        <f t="shared" si="304"/>
        <v/>
      </c>
    </row>
    <row r="3859" spans="1:7" x14ac:dyDescent="0.4">
      <c r="A3859" t="str">
        <f t="shared" si="300"/>
        <v/>
      </c>
      <c r="B3859" t="str">
        <f t="shared" si="301"/>
        <v/>
      </c>
      <c r="C3859" t="str">
        <f t="shared" si="302"/>
        <v/>
      </c>
      <c r="D3859" t="str">
        <f>IF(E3859="","",IF(COUNTIF($E$2:E3859,E3859)&gt;1,"",SUMIFS(tbl_input[필요수량],tbl_input[집계키_지청],E3859)))</f>
        <v/>
      </c>
      <c r="E3859" t="str">
        <f>IFERROR(INDEX(tbl_input[집계키_지청],ROW()-1),"")</f>
        <v/>
      </c>
      <c r="F3859" t="str">
        <f t="shared" si="303"/>
        <v/>
      </c>
      <c r="G3859" t="str">
        <f t="shared" si="304"/>
        <v/>
      </c>
    </row>
    <row r="3860" spans="1:7" x14ac:dyDescent="0.4">
      <c r="A3860" t="str">
        <f t="shared" si="300"/>
        <v/>
      </c>
      <c r="B3860" t="str">
        <f t="shared" si="301"/>
        <v/>
      </c>
      <c r="C3860" t="str">
        <f t="shared" si="302"/>
        <v/>
      </c>
      <c r="D3860" t="str">
        <f>IF(E3860="","",IF(COUNTIF($E$2:E3860,E3860)&gt;1,"",SUMIFS(tbl_input[필요수량],tbl_input[집계키_지청],E3860)))</f>
        <v/>
      </c>
      <c r="E3860" t="str">
        <f>IFERROR(INDEX(tbl_input[집계키_지청],ROW()-1),"")</f>
        <v/>
      </c>
      <c r="F3860" t="str">
        <f t="shared" si="303"/>
        <v/>
      </c>
      <c r="G3860" t="str">
        <f t="shared" si="304"/>
        <v/>
      </c>
    </row>
    <row r="3861" spans="1:7" x14ac:dyDescent="0.4">
      <c r="A3861" t="str">
        <f t="shared" si="300"/>
        <v/>
      </c>
      <c r="B3861" t="str">
        <f t="shared" si="301"/>
        <v/>
      </c>
      <c r="C3861" t="str">
        <f t="shared" si="302"/>
        <v/>
      </c>
      <c r="D3861" t="str">
        <f>IF(E3861="","",IF(COUNTIF($E$2:E3861,E3861)&gt;1,"",SUMIFS(tbl_input[필요수량],tbl_input[집계키_지청],E3861)))</f>
        <v/>
      </c>
      <c r="E3861" t="str">
        <f>IFERROR(INDEX(tbl_input[집계키_지청],ROW()-1),"")</f>
        <v/>
      </c>
      <c r="F3861" t="str">
        <f t="shared" si="303"/>
        <v/>
      </c>
      <c r="G3861" t="str">
        <f t="shared" si="304"/>
        <v/>
      </c>
    </row>
    <row r="3862" spans="1:7" x14ac:dyDescent="0.4">
      <c r="A3862" t="str">
        <f t="shared" si="300"/>
        <v/>
      </c>
      <c r="B3862" t="str">
        <f t="shared" si="301"/>
        <v/>
      </c>
      <c r="C3862" t="str">
        <f t="shared" si="302"/>
        <v/>
      </c>
      <c r="D3862" t="str">
        <f>IF(E3862="","",IF(COUNTIF($E$2:E3862,E3862)&gt;1,"",SUMIFS(tbl_input[필요수량],tbl_input[집계키_지청],E3862)))</f>
        <v/>
      </c>
      <c r="E3862" t="str">
        <f>IFERROR(INDEX(tbl_input[집계키_지청],ROW()-1),"")</f>
        <v/>
      </c>
      <c r="F3862" t="str">
        <f t="shared" si="303"/>
        <v/>
      </c>
      <c r="G3862" t="str">
        <f t="shared" si="304"/>
        <v/>
      </c>
    </row>
    <row r="3863" spans="1:7" x14ac:dyDescent="0.4">
      <c r="A3863" t="str">
        <f t="shared" si="300"/>
        <v/>
      </c>
      <c r="B3863" t="str">
        <f t="shared" si="301"/>
        <v/>
      </c>
      <c r="C3863" t="str">
        <f t="shared" si="302"/>
        <v/>
      </c>
      <c r="D3863" t="str">
        <f>IF(E3863="","",IF(COUNTIF($E$2:E3863,E3863)&gt;1,"",SUMIFS(tbl_input[필요수량],tbl_input[집계키_지청],E3863)))</f>
        <v/>
      </c>
      <c r="E3863" t="str">
        <f>IFERROR(INDEX(tbl_input[집계키_지청],ROW()-1),"")</f>
        <v/>
      </c>
      <c r="F3863" t="str">
        <f t="shared" si="303"/>
        <v/>
      </c>
      <c r="G3863" t="str">
        <f t="shared" si="304"/>
        <v/>
      </c>
    </row>
    <row r="3864" spans="1:7" x14ac:dyDescent="0.4">
      <c r="A3864" t="str">
        <f t="shared" si="300"/>
        <v/>
      </c>
      <c r="B3864" t="str">
        <f t="shared" si="301"/>
        <v/>
      </c>
      <c r="C3864" t="str">
        <f t="shared" si="302"/>
        <v/>
      </c>
      <c r="D3864" t="str">
        <f>IF(E3864="","",IF(COUNTIF($E$2:E3864,E3864)&gt;1,"",SUMIFS(tbl_input[필요수량],tbl_input[집계키_지청],E3864)))</f>
        <v/>
      </c>
      <c r="E3864" t="str">
        <f>IFERROR(INDEX(tbl_input[집계키_지청],ROW()-1),"")</f>
        <v/>
      </c>
      <c r="F3864" t="str">
        <f t="shared" si="303"/>
        <v/>
      </c>
      <c r="G3864" t="str">
        <f t="shared" si="304"/>
        <v/>
      </c>
    </row>
    <row r="3865" spans="1:7" x14ac:dyDescent="0.4">
      <c r="A3865" t="str">
        <f t="shared" si="300"/>
        <v/>
      </c>
      <c r="B3865" t="str">
        <f t="shared" si="301"/>
        <v/>
      </c>
      <c r="C3865" t="str">
        <f t="shared" si="302"/>
        <v/>
      </c>
      <c r="D3865" t="str">
        <f>IF(E3865="","",IF(COUNTIF($E$2:E3865,E3865)&gt;1,"",SUMIFS(tbl_input[필요수량],tbl_input[집계키_지청],E3865)))</f>
        <v/>
      </c>
      <c r="E3865" t="str">
        <f>IFERROR(INDEX(tbl_input[집계키_지청],ROW()-1),"")</f>
        <v/>
      </c>
      <c r="F3865" t="str">
        <f t="shared" si="303"/>
        <v/>
      </c>
      <c r="G3865" t="str">
        <f t="shared" si="304"/>
        <v/>
      </c>
    </row>
    <row r="3866" spans="1:7" x14ac:dyDescent="0.4">
      <c r="A3866" t="str">
        <f t="shared" si="300"/>
        <v/>
      </c>
      <c r="B3866" t="str">
        <f t="shared" si="301"/>
        <v/>
      </c>
      <c r="C3866" t="str">
        <f t="shared" si="302"/>
        <v/>
      </c>
      <c r="D3866" t="str">
        <f>IF(E3866="","",IF(COUNTIF($E$2:E3866,E3866)&gt;1,"",SUMIFS(tbl_input[필요수량],tbl_input[집계키_지청],E3866)))</f>
        <v/>
      </c>
      <c r="E3866" t="str">
        <f>IFERROR(INDEX(tbl_input[집계키_지청],ROW()-1),"")</f>
        <v/>
      </c>
      <c r="F3866" t="str">
        <f t="shared" si="303"/>
        <v/>
      </c>
      <c r="G3866" t="str">
        <f t="shared" si="304"/>
        <v/>
      </c>
    </row>
    <row r="3867" spans="1:7" x14ac:dyDescent="0.4">
      <c r="A3867" t="str">
        <f t="shared" si="300"/>
        <v/>
      </c>
      <c r="B3867" t="str">
        <f t="shared" si="301"/>
        <v/>
      </c>
      <c r="C3867" t="str">
        <f t="shared" si="302"/>
        <v/>
      </c>
      <c r="D3867" t="str">
        <f>IF(E3867="","",IF(COUNTIF($E$2:E3867,E3867)&gt;1,"",SUMIFS(tbl_input[필요수량],tbl_input[집계키_지청],E3867)))</f>
        <v/>
      </c>
      <c r="E3867" t="str">
        <f>IFERROR(INDEX(tbl_input[집계키_지청],ROW()-1),"")</f>
        <v/>
      </c>
      <c r="F3867" t="str">
        <f t="shared" si="303"/>
        <v/>
      </c>
      <c r="G3867" t="str">
        <f t="shared" si="304"/>
        <v/>
      </c>
    </row>
    <row r="3868" spans="1:7" x14ac:dyDescent="0.4">
      <c r="A3868" t="str">
        <f t="shared" si="300"/>
        <v/>
      </c>
      <c r="B3868" t="str">
        <f t="shared" si="301"/>
        <v/>
      </c>
      <c r="C3868" t="str">
        <f t="shared" si="302"/>
        <v/>
      </c>
      <c r="D3868" t="str">
        <f>IF(E3868="","",IF(COUNTIF($E$2:E3868,E3868)&gt;1,"",SUMIFS(tbl_input[필요수량],tbl_input[집계키_지청],E3868)))</f>
        <v/>
      </c>
      <c r="E3868" t="str">
        <f>IFERROR(INDEX(tbl_input[집계키_지청],ROW()-1),"")</f>
        <v/>
      </c>
      <c r="F3868" t="str">
        <f t="shared" si="303"/>
        <v/>
      </c>
      <c r="G3868" t="str">
        <f t="shared" si="304"/>
        <v/>
      </c>
    </row>
    <row r="3869" spans="1:7" x14ac:dyDescent="0.4">
      <c r="A3869" t="str">
        <f t="shared" si="300"/>
        <v/>
      </c>
      <c r="B3869" t="str">
        <f t="shared" si="301"/>
        <v/>
      </c>
      <c r="C3869" t="str">
        <f t="shared" si="302"/>
        <v/>
      </c>
      <c r="D3869" t="str">
        <f>IF(E3869="","",IF(COUNTIF($E$2:E3869,E3869)&gt;1,"",SUMIFS(tbl_input[필요수량],tbl_input[집계키_지청],E3869)))</f>
        <v/>
      </c>
      <c r="E3869" t="str">
        <f>IFERROR(INDEX(tbl_input[집계키_지청],ROW()-1),"")</f>
        <v/>
      </c>
      <c r="F3869" t="str">
        <f t="shared" si="303"/>
        <v/>
      </c>
      <c r="G3869" t="str">
        <f t="shared" si="304"/>
        <v/>
      </c>
    </row>
    <row r="3870" spans="1:7" x14ac:dyDescent="0.4">
      <c r="A3870" t="str">
        <f t="shared" si="300"/>
        <v/>
      </c>
      <c r="B3870" t="str">
        <f t="shared" si="301"/>
        <v/>
      </c>
      <c r="C3870" t="str">
        <f t="shared" si="302"/>
        <v/>
      </c>
      <c r="D3870" t="str">
        <f>IF(E3870="","",IF(COUNTIF($E$2:E3870,E3870)&gt;1,"",SUMIFS(tbl_input[필요수량],tbl_input[집계키_지청],E3870)))</f>
        <v/>
      </c>
      <c r="E3870" t="str">
        <f>IFERROR(INDEX(tbl_input[집계키_지청],ROW()-1),"")</f>
        <v/>
      </c>
      <c r="F3870" t="str">
        <f t="shared" si="303"/>
        <v/>
      </c>
      <c r="G3870" t="str">
        <f t="shared" si="304"/>
        <v/>
      </c>
    </row>
    <row r="3871" spans="1:7" x14ac:dyDescent="0.4">
      <c r="A3871" t="str">
        <f t="shared" si="300"/>
        <v/>
      </c>
      <c r="B3871" t="str">
        <f t="shared" si="301"/>
        <v/>
      </c>
      <c r="C3871" t="str">
        <f t="shared" si="302"/>
        <v/>
      </c>
      <c r="D3871" t="str">
        <f>IF(E3871="","",IF(COUNTIF($E$2:E3871,E3871)&gt;1,"",SUMIFS(tbl_input[필요수량],tbl_input[집계키_지청],E3871)))</f>
        <v/>
      </c>
      <c r="E3871" t="str">
        <f>IFERROR(INDEX(tbl_input[집계키_지청],ROW()-1),"")</f>
        <v/>
      </c>
      <c r="F3871" t="str">
        <f t="shared" si="303"/>
        <v/>
      </c>
      <c r="G3871" t="str">
        <f t="shared" si="304"/>
        <v/>
      </c>
    </row>
    <row r="3872" spans="1:7" x14ac:dyDescent="0.4">
      <c r="A3872" t="str">
        <f t="shared" si="300"/>
        <v/>
      </c>
      <c r="B3872" t="str">
        <f t="shared" si="301"/>
        <v/>
      </c>
      <c r="C3872" t="str">
        <f t="shared" si="302"/>
        <v/>
      </c>
      <c r="D3872" t="str">
        <f>IF(E3872="","",IF(COUNTIF($E$2:E3872,E3872)&gt;1,"",SUMIFS(tbl_input[필요수량],tbl_input[집계키_지청],E3872)))</f>
        <v/>
      </c>
      <c r="E3872" t="str">
        <f>IFERROR(INDEX(tbl_input[집계키_지청],ROW()-1),"")</f>
        <v/>
      </c>
      <c r="F3872" t="str">
        <f t="shared" si="303"/>
        <v/>
      </c>
      <c r="G3872" t="str">
        <f t="shared" si="304"/>
        <v/>
      </c>
    </row>
    <row r="3873" spans="1:7" x14ac:dyDescent="0.4">
      <c r="A3873" t="str">
        <f t="shared" si="300"/>
        <v/>
      </c>
      <c r="B3873" t="str">
        <f t="shared" si="301"/>
        <v/>
      </c>
      <c r="C3873" t="str">
        <f t="shared" si="302"/>
        <v/>
      </c>
      <c r="D3873" t="str">
        <f>IF(E3873="","",IF(COUNTIF($E$2:E3873,E3873)&gt;1,"",SUMIFS(tbl_input[필요수량],tbl_input[집계키_지청],E3873)))</f>
        <v/>
      </c>
      <c r="E3873" t="str">
        <f>IFERROR(INDEX(tbl_input[집계키_지청],ROW()-1),"")</f>
        <v/>
      </c>
      <c r="F3873" t="str">
        <f t="shared" si="303"/>
        <v/>
      </c>
      <c r="G3873" t="str">
        <f t="shared" si="304"/>
        <v/>
      </c>
    </row>
    <row r="3874" spans="1:7" x14ac:dyDescent="0.4">
      <c r="A3874" t="str">
        <f t="shared" si="300"/>
        <v/>
      </c>
      <c r="B3874" t="str">
        <f t="shared" si="301"/>
        <v/>
      </c>
      <c r="C3874" t="str">
        <f t="shared" si="302"/>
        <v/>
      </c>
      <c r="D3874" t="str">
        <f>IF(E3874="","",IF(COUNTIF($E$2:E3874,E3874)&gt;1,"",SUMIFS(tbl_input[필요수량],tbl_input[집계키_지청],E3874)))</f>
        <v/>
      </c>
      <c r="E3874" t="str">
        <f>IFERROR(INDEX(tbl_input[집계키_지청],ROW()-1),"")</f>
        <v/>
      </c>
      <c r="F3874" t="str">
        <f t="shared" si="303"/>
        <v/>
      </c>
      <c r="G3874" t="str">
        <f t="shared" si="304"/>
        <v/>
      </c>
    </row>
    <row r="3875" spans="1:7" x14ac:dyDescent="0.4">
      <c r="A3875" t="str">
        <f t="shared" si="300"/>
        <v/>
      </c>
      <c r="B3875" t="str">
        <f t="shared" si="301"/>
        <v/>
      </c>
      <c r="C3875" t="str">
        <f t="shared" si="302"/>
        <v/>
      </c>
      <c r="D3875" t="str">
        <f>IF(E3875="","",IF(COUNTIF($E$2:E3875,E3875)&gt;1,"",SUMIFS(tbl_input[필요수량],tbl_input[집계키_지청],E3875)))</f>
        <v/>
      </c>
      <c r="E3875" t="str">
        <f>IFERROR(INDEX(tbl_input[집계키_지청],ROW()-1),"")</f>
        <v/>
      </c>
      <c r="F3875" t="str">
        <f t="shared" si="303"/>
        <v/>
      </c>
      <c r="G3875" t="str">
        <f t="shared" si="304"/>
        <v/>
      </c>
    </row>
    <row r="3876" spans="1:7" x14ac:dyDescent="0.4">
      <c r="A3876" t="str">
        <f t="shared" si="300"/>
        <v/>
      </c>
      <c r="B3876" t="str">
        <f t="shared" si="301"/>
        <v/>
      </c>
      <c r="C3876" t="str">
        <f t="shared" si="302"/>
        <v/>
      </c>
      <c r="D3876" t="str">
        <f>IF(E3876="","",IF(COUNTIF($E$2:E3876,E3876)&gt;1,"",SUMIFS(tbl_input[필요수량],tbl_input[집계키_지청],E3876)))</f>
        <v/>
      </c>
      <c r="E3876" t="str">
        <f>IFERROR(INDEX(tbl_input[집계키_지청],ROW()-1),"")</f>
        <v/>
      </c>
      <c r="F3876" t="str">
        <f t="shared" si="303"/>
        <v/>
      </c>
      <c r="G3876" t="str">
        <f t="shared" si="304"/>
        <v/>
      </c>
    </row>
    <row r="3877" spans="1:7" x14ac:dyDescent="0.4">
      <c r="A3877" t="str">
        <f t="shared" si="300"/>
        <v/>
      </c>
      <c r="B3877" t="str">
        <f t="shared" si="301"/>
        <v/>
      </c>
      <c r="C3877" t="str">
        <f t="shared" si="302"/>
        <v/>
      </c>
      <c r="D3877" t="str">
        <f>IF(E3877="","",IF(COUNTIF($E$2:E3877,E3877)&gt;1,"",SUMIFS(tbl_input[필요수량],tbl_input[집계키_지청],E3877)))</f>
        <v/>
      </c>
      <c r="E3877" t="str">
        <f>IFERROR(INDEX(tbl_input[집계키_지청],ROW()-1),"")</f>
        <v/>
      </c>
      <c r="F3877" t="str">
        <f t="shared" si="303"/>
        <v/>
      </c>
      <c r="G3877" t="str">
        <f t="shared" si="304"/>
        <v/>
      </c>
    </row>
    <row r="3878" spans="1:7" x14ac:dyDescent="0.4">
      <c r="A3878" t="str">
        <f t="shared" si="300"/>
        <v/>
      </c>
      <c r="B3878" t="str">
        <f t="shared" si="301"/>
        <v/>
      </c>
      <c r="C3878" t="str">
        <f t="shared" si="302"/>
        <v/>
      </c>
      <c r="D3878" t="str">
        <f>IF(E3878="","",IF(COUNTIF($E$2:E3878,E3878)&gt;1,"",SUMIFS(tbl_input[필요수량],tbl_input[집계키_지청],E3878)))</f>
        <v/>
      </c>
      <c r="E3878" t="str">
        <f>IFERROR(INDEX(tbl_input[집계키_지청],ROW()-1),"")</f>
        <v/>
      </c>
      <c r="F3878" t="str">
        <f t="shared" si="303"/>
        <v/>
      </c>
      <c r="G3878" t="str">
        <f t="shared" si="304"/>
        <v/>
      </c>
    </row>
    <row r="3879" spans="1:7" x14ac:dyDescent="0.4">
      <c r="A3879" t="str">
        <f t="shared" si="300"/>
        <v/>
      </c>
      <c r="B3879" t="str">
        <f t="shared" si="301"/>
        <v/>
      </c>
      <c r="C3879" t="str">
        <f t="shared" si="302"/>
        <v/>
      </c>
      <c r="D3879" t="str">
        <f>IF(E3879="","",IF(COUNTIF($E$2:E3879,E3879)&gt;1,"",SUMIFS(tbl_input[필요수량],tbl_input[집계키_지청],E3879)))</f>
        <v/>
      </c>
      <c r="E3879" t="str">
        <f>IFERROR(INDEX(tbl_input[집계키_지청],ROW()-1),"")</f>
        <v/>
      </c>
      <c r="F3879" t="str">
        <f t="shared" si="303"/>
        <v/>
      </c>
      <c r="G3879" t="str">
        <f t="shared" si="304"/>
        <v/>
      </c>
    </row>
    <row r="3880" spans="1:7" x14ac:dyDescent="0.4">
      <c r="A3880" t="str">
        <f t="shared" si="300"/>
        <v/>
      </c>
      <c r="B3880" t="str">
        <f t="shared" si="301"/>
        <v/>
      </c>
      <c r="C3880" t="str">
        <f t="shared" si="302"/>
        <v/>
      </c>
      <c r="D3880" t="str">
        <f>IF(E3880="","",IF(COUNTIF($E$2:E3880,E3880)&gt;1,"",SUMIFS(tbl_input[필요수량],tbl_input[집계키_지청],E3880)))</f>
        <v/>
      </c>
      <c r="E3880" t="str">
        <f>IFERROR(INDEX(tbl_input[집계키_지청],ROW()-1),"")</f>
        <v/>
      </c>
      <c r="F3880" t="str">
        <f t="shared" si="303"/>
        <v/>
      </c>
      <c r="G3880" t="str">
        <f t="shared" si="304"/>
        <v/>
      </c>
    </row>
    <row r="3881" spans="1:7" x14ac:dyDescent="0.4">
      <c r="A3881" t="str">
        <f t="shared" si="300"/>
        <v/>
      </c>
      <c r="B3881" t="str">
        <f t="shared" si="301"/>
        <v/>
      </c>
      <c r="C3881" t="str">
        <f t="shared" si="302"/>
        <v/>
      </c>
      <c r="D3881" t="str">
        <f>IF(E3881="","",IF(COUNTIF($E$2:E3881,E3881)&gt;1,"",SUMIFS(tbl_input[필요수량],tbl_input[집계키_지청],E3881)))</f>
        <v/>
      </c>
      <c r="E3881" t="str">
        <f>IFERROR(INDEX(tbl_input[집계키_지청],ROW()-1),"")</f>
        <v/>
      </c>
      <c r="F3881" t="str">
        <f t="shared" si="303"/>
        <v/>
      </c>
      <c r="G3881" t="str">
        <f t="shared" si="304"/>
        <v/>
      </c>
    </row>
    <row r="3882" spans="1:7" x14ac:dyDescent="0.4">
      <c r="A3882" t="str">
        <f t="shared" si="300"/>
        <v/>
      </c>
      <c r="B3882" t="str">
        <f t="shared" si="301"/>
        <v/>
      </c>
      <c r="C3882" t="str">
        <f t="shared" si="302"/>
        <v/>
      </c>
      <c r="D3882" t="str">
        <f>IF(E3882="","",IF(COUNTIF($E$2:E3882,E3882)&gt;1,"",SUMIFS(tbl_input[필요수량],tbl_input[집계키_지청],E3882)))</f>
        <v/>
      </c>
      <c r="E3882" t="str">
        <f>IFERROR(INDEX(tbl_input[집계키_지청],ROW()-1),"")</f>
        <v/>
      </c>
      <c r="F3882" t="str">
        <f t="shared" si="303"/>
        <v/>
      </c>
      <c r="G3882" t="str">
        <f t="shared" si="304"/>
        <v/>
      </c>
    </row>
    <row r="3883" spans="1:7" x14ac:dyDescent="0.4">
      <c r="A3883" t="str">
        <f t="shared" si="300"/>
        <v/>
      </c>
      <c r="B3883" t="str">
        <f t="shared" si="301"/>
        <v/>
      </c>
      <c r="C3883" t="str">
        <f t="shared" si="302"/>
        <v/>
      </c>
      <c r="D3883" t="str">
        <f>IF(E3883="","",IF(COUNTIF($E$2:E3883,E3883)&gt;1,"",SUMIFS(tbl_input[필요수량],tbl_input[집계키_지청],E3883)))</f>
        <v/>
      </c>
      <c r="E3883" t="str">
        <f>IFERROR(INDEX(tbl_input[집계키_지청],ROW()-1),"")</f>
        <v/>
      </c>
      <c r="F3883" t="str">
        <f t="shared" si="303"/>
        <v/>
      </c>
      <c r="G3883" t="str">
        <f t="shared" si="304"/>
        <v/>
      </c>
    </row>
    <row r="3884" spans="1:7" x14ac:dyDescent="0.4">
      <c r="A3884" t="str">
        <f t="shared" si="300"/>
        <v/>
      </c>
      <c r="B3884" t="str">
        <f t="shared" si="301"/>
        <v/>
      </c>
      <c r="C3884" t="str">
        <f t="shared" si="302"/>
        <v/>
      </c>
      <c r="D3884" t="str">
        <f>IF(E3884="","",IF(COUNTIF($E$2:E3884,E3884)&gt;1,"",SUMIFS(tbl_input[필요수량],tbl_input[집계키_지청],E3884)))</f>
        <v/>
      </c>
      <c r="E3884" t="str">
        <f>IFERROR(INDEX(tbl_input[집계키_지청],ROW()-1),"")</f>
        <v/>
      </c>
      <c r="F3884" t="str">
        <f t="shared" si="303"/>
        <v/>
      </c>
      <c r="G3884" t="str">
        <f t="shared" si="304"/>
        <v/>
      </c>
    </row>
    <row r="3885" spans="1:7" x14ac:dyDescent="0.4">
      <c r="A3885" t="str">
        <f t="shared" si="300"/>
        <v/>
      </c>
      <c r="B3885" t="str">
        <f t="shared" si="301"/>
        <v/>
      </c>
      <c r="C3885" t="str">
        <f t="shared" si="302"/>
        <v/>
      </c>
      <c r="D3885" t="str">
        <f>IF(E3885="","",IF(COUNTIF($E$2:E3885,E3885)&gt;1,"",SUMIFS(tbl_input[필요수량],tbl_input[집계키_지청],E3885)))</f>
        <v/>
      </c>
      <c r="E3885" t="str">
        <f>IFERROR(INDEX(tbl_input[집계키_지청],ROW()-1),"")</f>
        <v/>
      </c>
      <c r="F3885" t="str">
        <f t="shared" si="303"/>
        <v/>
      </c>
      <c r="G3885" t="str">
        <f t="shared" si="304"/>
        <v/>
      </c>
    </row>
    <row r="3886" spans="1:7" x14ac:dyDescent="0.4">
      <c r="A3886" t="str">
        <f t="shared" si="300"/>
        <v/>
      </c>
      <c r="B3886" t="str">
        <f t="shared" si="301"/>
        <v/>
      </c>
      <c r="C3886" t="str">
        <f t="shared" si="302"/>
        <v/>
      </c>
      <c r="D3886" t="str">
        <f>IF(E3886="","",IF(COUNTIF($E$2:E3886,E3886)&gt;1,"",SUMIFS(tbl_input[필요수량],tbl_input[집계키_지청],E3886)))</f>
        <v/>
      </c>
      <c r="E3886" t="str">
        <f>IFERROR(INDEX(tbl_input[집계키_지청],ROW()-1),"")</f>
        <v/>
      </c>
      <c r="F3886" t="str">
        <f t="shared" si="303"/>
        <v/>
      </c>
      <c r="G3886" t="str">
        <f t="shared" si="304"/>
        <v/>
      </c>
    </row>
    <row r="3887" spans="1:7" x14ac:dyDescent="0.4">
      <c r="A3887" t="str">
        <f t="shared" si="300"/>
        <v/>
      </c>
      <c r="B3887" t="str">
        <f t="shared" si="301"/>
        <v/>
      </c>
      <c r="C3887" t="str">
        <f t="shared" si="302"/>
        <v/>
      </c>
      <c r="D3887" t="str">
        <f>IF(E3887="","",IF(COUNTIF($E$2:E3887,E3887)&gt;1,"",SUMIFS(tbl_input[필요수량],tbl_input[집계키_지청],E3887)))</f>
        <v/>
      </c>
      <c r="E3887" t="str">
        <f>IFERROR(INDEX(tbl_input[집계키_지청],ROW()-1),"")</f>
        <v/>
      </c>
      <c r="F3887" t="str">
        <f t="shared" si="303"/>
        <v/>
      </c>
      <c r="G3887" t="str">
        <f t="shared" si="304"/>
        <v/>
      </c>
    </row>
    <row r="3888" spans="1:7" x14ac:dyDescent="0.4">
      <c r="A3888" t="str">
        <f t="shared" si="300"/>
        <v/>
      </c>
      <c r="B3888" t="str">
        <f t="shared" si="301"/>
        <v/>
      </c>
      <c r="C3888" t="str">
        <f t="shared" si="302"/>
        <v/>
      </c>
      <c r="D3888" t="str">
        <f>IF(E3888="","",IF(COUNTIF($E$2:E3888,E3888)&gt;1,"",SUMIFS(tbl_input[필요수량],tbl_input[집계키_지청],E3888)))</f>
        <v/>
      </c>
      <c r="E3888" t="str">
        <f>IFERROR(INDEX(tbl_input[집계키_지청],ROW()-1),"")</f>
        <v/>
      </c>
      <c r="F3888" t="str">
        <f t="shared" si="303"/>
        <v/>
      </c>
      <c r="G3888" t="str">
        <f t="shared" si="304"/>
        <v/>
      </c>
    </row>
    <row r="3889" spans="1:7" x14ac:dyDescent="0.4">
      <c r="A3889" t="str">
        <f t="shared" si="300"/>
        <v/>
      </c>
      <c r="B3889" t="str">
        <f t="shared" si="301"/>
        <v/>
      </c>
      <c r="C3889" t="str">
        <f t="shared" si="302"/>
        <v/>
      </c>
      <c r="D3889" t="str">
        <f>IF(E3889="","",IF(COUNTIF($E$2:E3889,E3889)&gt;1,"",SUMIFS(tbl_input[필요수량],tbl_input[집계키_지청],E3889)))</f>
        <v/>
      </c>
      <c r="E3889" t="str">
        <f>IFERROR(INDEX(tbl_input[집계키_지청],ROW()-1),"")</f>
        <v/>
      </c>
      <c r="F3889" t="str">
        <f t="shared" si="303"/>
        <v/>
      </c>
      <c r="G3889" t="str">
        <f t="shared" si="304"/>
        <v/>
      </c>
    </row>
    <row r="3890" spans="1:7" x14ac:dyDescent="0.4">
      <c r="A3890" t="str">
        <f t="shared" si="300"/>
        <v/>
      </c>
      <c r="B3890" t="str">
        <f t="shared" si="301"/>
        <v/>
      </c>
      <c r="C3890" t="str">
        <f t="shared" si="302"/>
        <v/>
      </c>
      <c r="D3890" t="str">
        <f>IF(E3890="","",IF(COUNTIF($E$2:E3890,E3890)&gt;1,"",SUMIFS(tbl_input[필요수량],tbl_input[집계키_지청],E3890)))</f>
        <v/>
      </c>
      <c r="E3890" t="str">
        <f>IFERROR(INDEX(tbl_input[집계키_지청],ROW()-1),"")</f>
        <v/>
      </c>
      <c r="F3890" t="str">
        <f t="shared" si="303"/>
        <v/>
      </c>
      <c r="G3890" t="str">
        <f t="shared" si="304"/>
        <v/>
      </c>
    </row>
    <row r="3891" spans="1:7" x14ac:dyDescent="0.4">
      <c r="A3891" t="str">
        <f t="shared" si="300"/>
        <v/>
      </c>
      <c r="B3891" t="str">
        <f t="shared" si="301"/>
        <v/>
      </c>
      <c r="C3891" t="str">
        <f t="shared" si="302"/>
        <v/>
      </c>
      <c r="D3891" t="str">
        <f>IF(E3891="","",IF(COUNTIF($E$2:E3891,E3891)&gt;1,"",SUMIFS(tbl_input[필요수량],tbl_input[집계키_지청],E3891)))</f>
        <v/>
      </c>
      <c r="E3891" t="str">
        <f>IFERROR(INDEX(tbl_input[집계키_지청],ROW()-1),"")</f>
        <v/>
      </c>
      <c r="F3891" t="str">
        <f t="shared" si="303"/>
        <v/>
      </c>
      <c r="G3891" t="str">
        <f t="shared" si="304"/>
        <v/>
      </c>
    </row>
    <row r="3892" spans="1:7" x14ac:dyDescent="0.4">
      <c r="A3892" t="str">
        <f t="shared" si="300"/>
        <v/>
      </c>
      <c r="B3892" t="str">
        <f t="shared" si="301"/>
        <v/>
      </c>
      <c r="C3892" t="str">
        <f t="shared" si="302"/>
        <v/>
      </c>
      <c r="D3892" t="str">
        <f>IF(E3892="","",IF(COUNTIF($E$2:E3892,E3892)&gt;1,"",SUMIFS(tbl_input[필요수량],tbl_input[집계키_지청],E3892)))</f>
        <v/>
      </c>
      <c r="E3892" t="str">
        <f>IFERROR(INDEX(tbl_input[집계키_지청],ROW()-1),"")</f>
        <v/>
      </c>
      <c r="F3892" t="str">
        <f t="shared" si="303"/>
        <v/>
      </c>
      <c r="G3892" t="str">
        <f t="shared" si="304"/>
        <v/>
      </c>
    </row>
    <row r="3893" spans="1:7" x14ac:dyDescent="0.4">
      <c r="A3893" t="str">
        <f t="shared" si="300"/>
        <v/>
      </c>
      <c r="B3893" t="str">
        <f t="shared" si="301"/>
        <v/>
      </c>
      <c r="C3893" t="str">
        <f t="shared" si="302"/>
        <v/>
      </c>
      <c r="D3893" t="str">
        <f>IF(E3893="","",IF(COUNTIF($E$2:E3893,E3893)&gt;1,"",SUMIFS(tbl_input[필요수량],tbl_input[집계키_지청],E3893)))</f>
        <v/>
      </c>
      <c r="E3893" t="str">
        <f>IFERROR(INDEX(tbl_input[집계키_지청],ROW()-1),"")</f>
        <v/>
      </c>
      <c r="F3893" t="str">
        <f t="shared" si="303"/>
        <v/>
      </c>
      <c r="G3893" t="str">
        <f t="shared" si="304"/>
        <v/>
      </c>
    </row>
    <row r="3894" spans="1:7" x14ac:dyDescent="0.4">
      <c r="A3894" t="str">
        <f t="shared" si="300"/>
        <v/>
      </c>
      <c r="B3894" t="str">
        <f t="shared" si="301"/>
        <v/>
      </c>
      <c r="C3894" t="str">
        <f t="shared" si="302"/>
        <v/>
      </c>
      <c r="D3894" t="str">
        <f>IF(E3894="","",IF(COUNTIF($E$2:E3894,E3894)&gt;1,"",SUMIFS(tbl_input[필요수량],tbl_input[집계키_지청],E3894)))</f>
        <v/>
      </c>
      <c r="E3894" t="str">
        <f>IFERROR(INDEX(tbl_input[집계키_지청],ROW()-1),"")</f>
        <v/>
      </c>
      <c r="F3894" t="str">
        <f t="shared" si="303"/>
        <v/>
      </c>
      <c r="G3894" t="str">
        <f t="shared" si="304"/>
        <v/>
      </c>
    </row>
    <row r="3895" spans="1:7" x14ac:dyDescent="0.4">
      <c r="A3895" t="str">
        <f t="shared" si="300"/>
        <v/>
      </c>
      <c r="B3895" t="str">
        <f t="shared" si="301"/>
        <v/>
      </c>
      <c r="C3895" t="str">
        <f t="shared" si="302"/>
        <v/>
      </c>
      <c r="D3895" t="str">
        <f>IF(E3895="","",IF(COUNTIF($E$2:E3895,E3895)&gt;1,"",SUMIFS(tbl_input[필요수량],tbl_input[집계키_지청],E3895)))</f>
        <v/>
      </c>
      <c r="E3895" t="str">
        <f>IFERROR(INDEX(tbl_input[집계키_지청],ROW()-1),"")</f>
        <v/>
      </c>
      <c r="F3895" t="str">
        <f t="shared" si="303"/>
        <v/>
      </c>
      <c r="G3895" t="str">
        <f t="shared" si="304"/>
        <v/>
      </c>
    </row>
    <row r="3896" spans="1:7" x14ac:dyDescent="0.4">
      <c r="A3896" t="str">
        <f t="shared" si="300"/>
        <v/>
      </c>
      <c r="B3896" t="str">
        <f t="shared" si="301"/>
        <v/>
      </c>
      <c r="C3896" t="str">
        <f t="shared" si="302"/>
        <v/>
      </c>
      <c r="D3896" t="str">
        <f>IF(E3896="","",IF(COUNTIF($E$2:E3896,E3896)&gt;1,"",SUMIFS(tbl_input[필요수량],tbl_input[집계키_지청],E3896)))</f>
        <v/>
      </c>
      <c r="E3896" t="str">
        <f>IFERROR(INDEX(tbl_input[집계키_지청],ROW()-1),"")</f>
        <v/>
      </c>
      <c r="F3896" t="str">
        <f t="shared" si="303"/>
        <v/>
      </c>
      <c r="G3896" t="str">
        <f t="shared" si="304"/>
        <v/>
      </c>
    </row>
    <row r="3897" spans="1:7" x14ac:dyDescent="0.4">
      <c r="A3897" t="str">
        <f t="shared" si="300"/>
        <v/>
      </c>
      <c r="B3897" t="str">
        <f t="shared" si="301"/>
        <v/>
      </c>
      <c r="C3897" t="str">
        <f t="shared" si="302"/>
        <v/>
      </c>
      <c r="D3897" t="str">
        <f>IF(E3897="","",IF(COUNTIF($E$2:E3897,E3897)&gt;1,"",SUMIFS(tbl_input[필요수량],tbl_input[집계키_지청],E3897)))</f>
        <v/>
      </c>
      <c r="E3897" t="str">
        <f>IFERROR(INDEX(tbl_input[집계키_지청],ROW()-1),"")</f>
        <v/>
      </c>
      <c r="F3897" t="str">
        <f t="shared" si="303"/>
        <v/>
      </c>
      <c r="G3897" t="str">
        <f t="shared" si="304"/>
        <v/>
      </c>
    </row>
    <row r="3898" spans="1:7" x14ac:dyDescent="0.4">
      <c r="A3898" t="str">
        <f t="shared" si="300"/>
        <v/>
      </c>
      <c r="B3898" t="str">
        <f t="shared" si="301"/>
        <v/>
      </c>
      <c r="C3898" t="str">
        <f t="shared" si="302"/>
        <v/>
      </c>
      <c r="D3898" t="str">
        <f>IF(E3898="","",IF(COUNTIF($E$2:E3898,E3898)&gt;1,"",SUMIFS(tbl_input[필요수량],tbl_input[집계키_지청],E3898)))</f>
        <v/>
      </c>
      <c r="E3898" t="str">
        <f>IFERROR(INDEX(tbl_input[집계키_지청],ROW()-1),"")</f>
        <v/>
      </c>
      <c r="F3898" t="str">
        <f t="shared" si="303"/>
        <v/>
      </c>
      <c r="G3898" t="str">
        <f t="shared" si="304"/>
        <v/>
      </c>
    </row>
    <row r="3899" spans="1:7" x14ac:dyDescent="0.4">
      <c r="A3899" t="str">
        <f t="shared" si="300"/>
        <v/>
      </c>
      <c r="B3899" t="str">
        <f t="shared" si="301"/>
        <v/>
      </c>
      <c r="C3899" t="str">
        <f t="shared" si="302"/>
        <v/>
      </c>
      <c r="D3899" t="str">
        <f>IF(E3899="","",IF(COUNTIF($E$2:E3899,E3899)&gt;1,"",SUMIFS(tbl_input[필요수량],tbl_input[집계키_지청],E3899)))</f>
        <v/>
      </c>
      <c r="E3899" t="str">
        <f>IFERROR(INDEX(tbl_input[집계키_지청],ROW()-1),"")</f>
        <v/>
      </c>
      <c r="F3899" t="str">
        <f t="shared" si="303"/>
        <v/>
      </c>
      <c r="G3899" t="str">
        <f t="shared" si="304"/>
        <v/>
      </c>
    </row>
    <row r="3900" spans="1:7" x14ac:dyDescent="0.4">
      <c r="A3900" t="str">
        <f t="shared" si="300"/>
        <v/>
      </c>
      <c r="B3900" t="str">
        <f t="shared" si="301"/>
        <v/>
      </c>
      <c r="C3900" t="str">
        <f t="shared" si="302"/>
        <v/>
      </c>
      <c r="D3900" t="str">
        <f>IF(E3900="","",IF(COUNTIF($E$2:E3900,E3900)&gt;1,"",SUMIFS(tbl_input[필요수량],tbl_input[집계키_지청],E3900)))</f>
        <v/>
      </c>
      <c r="E3900" t="str">
        <f>IFERROR(INDEX(tbl_input[집계키_지청],ROW()-1),"")</f>
        <v/>
      </c>
      <c r="F3900" t="str">
        <f t="shared" si="303"/>
        <v/>
      </c>
      <c r="G3900" t="str">
        <f t="shared" si="304"/>
        <v/>
      </c>
    </row>
    <row r="3901" spans="1:7" x14ac:dyDescent="0.4">
      <c r="A3901" t="str">
        <f t="shared" si="300"/>
        <v/>
      </c>
      <c r="B3901" t="str">
        <f t="shared" si="301"/>
        <v/>
      </c>
      <c r="C3901" t="str">
        <f t="shared" si="302"/>
        <v/>
      </c>
      <c r="D3901" t="str">
        <f>IF(E3901="","",IF(COUNTIF($E$2:E3901,E3901)&gt;1,"",SUMIFS(tbl_input[필요수량],tbl_input[집계키_지청],E3901)))</f>
        <v/>
      </c>
      <c r="E3901" t="str">
        <f>IFERROR(INDEX(tbl_input[집계키_지청],ROW()-1),"")</f>
        <v/>
      </c>
      <c r="F3901" t="str">
        <f t="shared" si="303"/>
        <v/>
      </c>
      <c r="G3901" t="str">
        <f t="shared" si="304"/>
        <v/>
      </c>
    </row>
    <row r="3902" spans="1:7" x14ac:dyDescent="0.4">
      <c r="A3902" t="str">
        <f t="shared" si="300"/>
        <v/>
      </c>
      <c r="B3902" t="str">
        <f t="shared" si="301"/>
        <v/>
      </c>
      <c r="C3902" t="str">
        <f t="shared" si="302"/>
        <v/>
      </c>
      <c r="D3902" t="str">
        <f>IF(E3902="","",IF(COUNTIF($E$2:E3902,E3902)&gt;1,"",SUMIFS(tbl_input[필요수량],tbl_input[집계키_지청],E3902)))</f>
        <v/>
      </c>
      <c r="E3902" t="str">
        <f>IFERROR(INDEX(tbl_input[집계키_지청],ROW()-1),"")</f>
        <v/>
      </c>
      <c r="F3902" t="str">
        <f t="shared" si="303"/>
        <v/>
      </c>
      <c r="G3902" t="str">
        <f t="shared" si="304"/>
        <v/>
      </c>
    </row>
    <row r="3903" spans="1:7" x14ac:dyDescent="0.4">
      <c r="A3903" t="str">
        <f t="shared" si="300"/>
        <v/>
      </c>
      <c r="B3903" t="str">
        <f t="shared" si="301"/>
        <v/>
      </c>
      <c r="C3903" t="str">
        <f t="shared" si="302"/>
        <v/>
      </c>
      <c r="D3903" t="str">
        <f>IF(E3903="","",IF(COUNTIF($E$2:E3903,E3903)&gt;1,"",SUMIFS(tbl_input[필요수량],tbl_input[집계키_지청],E3903)))</f>
        <v/>
      </c>
      <c r="E3903" t="str">
        <f>IFERROR(INDEX(tbl_input[집계키_지청],ROW()-1),"")</f>
        <v/>
      </c>
      <c r="F3903" t="str">
        <f t="shared" si="303"/>
        <v/>
      </c>
      <c r="G3903" t="str">
        <f t="shared" si="304"/>
        <v/>
      </c>
    </row>
    <row r="3904" spans="1:7" x14ac:dyDescent="0.4">
      <c r="A3904" t="str">
        <f t="shared" si="300"/>
        <v/>
      </c>
      <c r="B3904" t="str">
        <f t="shared" si="301"/>
        <v/>
      </c>
      <c r="C3904" t="str">
        <f t="shared" si="302"/>
        <v/>
      </c>
      <c r="D3904" t="str">
        <f>IF(E3904="","",IF(COUNTIF($E$2:E3904,E3904)&gt;1,"",SUMIFS(tbl_input[필요수량],tbl_input[집계키_지청],E3904)))</f>
        <v/>
      </c>
      <c r="E3904" t="str">
        <f>IFERROR(INDEX(tbl_input[집계키_지청],ROW()-1),"")</f>
        <v/>
      </c>
      <c r="F3904" t="str">
        <f t="shared" si="303"/>
        <v/>
      </c>
      <c r="G3904" t="str">
        <f t="shared" si="304"/>
        <v/>
      </c>
    </row>
    <row r="3905" spans="1:7" x14ac:dyDescent="0.4">
      <c r="A3905" t="str">
        <f t="shared" si="300"/>
        <v/>
      </c>
      <c r="B3905" t="str">
        <f t="shared" si="301"/>
        <v/>
      </c>
      <c r="C3905" t="str">
        <f t="shared" si="302"/>
        <v/>
      </c>
      <c r="D3905" t="str">
        <f>IF(E3905="","",IF(COUNTIF($E$2:E3905,E3905)&gt;1,"",SUMIFS(tbl_input[필요수량],tbl_input[집계키_지청],E3905)))</f>
        <v/>
      </c>
      <c r="E3905" t="str">
        <f>IFERROR(INDEX(tbl_input[집계키_지청],ROW()-1),"")</f>
        <v/>
      </c>
      <c r="F3905" t="str">
        <f t="shared" si="303"/>
        <v/>
      </c>
      <c r="G3905" t="str">
        <f t="shared" si="304"/>
        <v/>
      </c>
    </row>
    <row r="3906" spans="1:7" x14ac:dyDescent="0.4">
      <c r="A3906" t="str">
        <f t="shared" ref="A3906:A3969" si="305">IF(E3906="","",LEFT(E3906,F3906-1))</f>
        <v/>
      </c>
      <c r="B3906" t="str">
        <f t="shared" ref="B3906:B3969" si="306">IF(E3906="","",MID(E3906,F3906+1,G3906-F3906-1))</f>
        <v/>
      </c>
      <c r="C3906" t="str">
        <f t="shared" ref="C3906:C3969" si="307">IF(E3906="","",MID(E3906,G3906+1,999))</f>
        <v/>
      </c>
      <c r="D3906" t="str">
        <f>IF(E3906="","",IF(COUNTIF($E$2:E3906,E3906)&gt;1,"",SUMIFS(tbl_input[필요수량],tbl_input[집계키_지청],E3906)))</f>
        <v/>
      </c>
      <c r="E3906" t="str">
        <f>IFERROR(INDEX(tbl_input[집계키_지청],ROW()-1),"")</f>
        <v/>
      </c>
      <c r="F3906" t="str">
        <f t="shared" ref="F3906:F3969" si="308">IF(E3906="","",FIND("♦",E3906))</f>
        <v/>
      </c>
      <c r="G3906" t="str">
        <f t="shared" ref="G3906:G3969" si="309">IF(E3906="","",FIND("♦",E3906,F3906+1))</f>
        <v/>
      </c>
    </row>
    <row r="3907" spans="1:7" x14ac:dyDescent="0.4">
      <c r="A3907" t="str">
        <f t="shared" si="305"/>
        <v/>
      </c>
      <c r="B3907" t="str">
        <f t="shared" si="306"/>
        <v/>
      </c>
      <c r="C3907" t="str">
        <f t="shared" si="307"/>
        <v/>
      </c>
      <c r="D3907" t="str">
        <f>IF(E3907="","",IF(COUNTIF($E$2:E3907,E3907)&gt;1,"",SUMIFS(tbl_input[필요수량],tbl_input[집계키_지청],E3907)))</f>
        <v/>
      </c>
      <c r="E3907" t="str">
        <f>IFERROR(INDEX(tbl_input[집계키_지청],ROW()-1),"")</f>
        <v/>
      </c>
      <c r="F3907" t="str">
        <f t="shared" si="308"/>
        <v/>
      </c>
      <c r="G3907" t="str">
        <f t="shared" si="309"/>
        <v/>
      </c>
    </row>
    <row r="3908" spans="1:7" x14ac:dyDescent="0.4">
      <c r="A3908" t="str">
        <f t="shared" si="305"/>
        <v/>
      </c>
      <c r="B3908" t="str">
        <f t="shared" si="306"/>
        <v/>
      </c>
      <c r="C3908" t="str">
        <f t="shared" si="307"/>
        <v/>
      </c>
      <c r="D3908" t="str">
        <f>IF(E3908="","",IF(COUNTIF($E$2:E3908,E3908)&gt;1,"",SUMIFS(tbl_input[필요수량],tbl_input[집계키_지청],E3908)))</f>
        <v/>
      </c>
      <c r="E3908" t="str">
        <f>IFERROR(INDEX(tbl_input[집계키_지청],ROW()-1),"")</f>
        <v/>
      </c>
      <c r="F3908" t="str">
        <f t="shared" si="308"/>
        <v/>
      </c>
      <c r="G3908" t="str">
        <f t="shared" si="309"/>
        <v/>
      </c>
    </row>
    <row r="3909" spans="1:7" x14ac:dyDescent="0.4">
      <c r="A3909" t="str">
        <f t="shared" si="305"/>
        <v/>
      </c>
      <c r="B3909" t="str">
        <f t="shared" si="306"/>
        <v/>
      </c>
      <c r="C3909" t="str">
        <f t="shared" si="307"/>
        <v/>
      </c>
      <c r="D3909" t="str">
        <f>IF(E3909="","",IF(COUNTIF($E$2:E3909,E3909)&gt;1,"",SUMIFS(tbl_input[필요수량],tbl_input[집계키_지청],E3909)))</f>
        <v/>
      </c>
      <c r="E3909" t="str">
        <f>IFERROR(INDEX(tbl_input[집계키_지청],ROW()-1),"")</f>
        <v/>
      </c>
      <c r="F3909" t="str">
        <f t="shared" si="308"/>
        <v/>
      </c>
      <c r="G3909" t="str">
        <f t="shared" si="309"/>
        <v/>
      </c>
    </row>
    <row r="3910" spans="1:7" x14ac:dyDescent="0.4">
      <c r="A3910" t="str">
        <f t="shared" si="305"/>
        <v/>
      </c>
      <c r="B3910" t="str">
        <f t="shared" si="306"/>
        <v/>
      </c>
      <c r="C3910" t="str">
        <f t="shared" si="307"/>
        <v/>
      </c>
      <c r="D3910" t="str">
        <f>IF(E3910="","",IF(COUNTIF($E$2:E3910,E3910)&gt;1,"",SUMIFS(tbl_input[필요수량],tbl_input[집계키_지청],E3910)))</f>
        <v/>
      </c>
      <c r="E3910" t="str">
        <f>IFERROR(INDEX(tbl_input[집계키_지청],ROW()-1),"")</f>
        <v/>
      </c>
      <c r="F3910" t="str">
        <f t="shared" si="308"/>
        <v/>
      </c>
      <c r="G3910" t="str">
        <f t="shared" si="309"/>
        <v/>
      </c>
    </row>
    <row r="3911" spans="1:7" x14ac:dyDescent="0.4">
      <c r="A3911" t="str">
        <f t="shared" si="305"/>
        <v/>
      </c>
      <c r="B3911" t="str">
        <f t="shared" si="306"/>
        <v/>
      </c>
      <c r="C3911" t="str">
        <f t="shared" si="307"/>
        <v/>
      </c>
      <c r="D3911" t="str">
        <f>IF(E3911="","",IF(COUNTIF($E$2:E3911,E3911)&gt;1,"",SUMIFS(tbl_input[필요수량],tbl_input[집계키_지청],E3911)))</f>
        <v/>
      </c>
      <c r="E3911" t="str">
        <f>IFERROR(INDEX(tbl_input[집계키_지청],ROW()-1),"")</f>
        <v/>
      </c>
      <c r="F3911" t="str">
        <f t="shared" si="308"/>
        <v/>
      </c>
      <c r="G3911" t="str">
        <f t="shared" si="309"/>
        <v/>
      </c>
    </row>
    <row r="3912" spans="1:7" x14ac:dyDescent="0.4">
      <c r="A3912" t="str">
        <f t="shared" si="305"/>
        <v/>
      </c>
      <c r="B3912" t="str">
        <f t="shared" si="306"/>
        <v/>
      </c>
      <c r="C3912" t="str">
        <f t="shared" si="307"/>
        <v/>
      </c>
      <c r="D3912" t="str">
        <f>IF(E3912="","",IF(COUNTIF($E$2:E3912,E3912)&gt;1,"",SUMIFS(tbl_input[필요수량],tbl_input[집계키_지청],E3912)))</f>
        <v/>
      </c>
      <c r="E3912" t="str">
        <f>IFERROR(INDEX(tbl_input[집계키_지청],ROW()-1),"")</f>
        <v/>
      </c>
      <c r="F3912" t="str">
        <f t="shared" si="308"/>
        <v/>
      </c>
      <c r="G3912" t="str">
        <f t="shared" si="309"/>
        <v/>
      </c>
    </row>
    <row r="3913" spans="1:7" x14ac:dyDescent="0.4">
      <c r="A3913" t="str">
        <f t="shared" si="305"/>
        <v/>
      </c>
      <c r="B3913" t="str">
        <f t="shared" si="306"/>
        <v/>
      </c>
      <c r="C3913" t="str">
        <f t="shared" si="307"/>
        <v/>
      </c>
      <c r="D3913" t="str">
        <f>IF(E3913="","",IF(COUNTIF($E$2:E3913,E3913)&gt;1,"",SUMIFS(tbl_input[필요수량],tbl_input[집계키_지청],E3913)))</f>
        <v/>
      </c>
      <c r="E3913" t="str">
        <f>IFERROR(INDEX(tbl_input[집계키_지청],ROW()-1),"")</f>
        <v/>
      </c>
      <c r="F3913" t="str">
        <f t="shared" si="308"/>
        <v/>
      </c>
      <c r="G3913" t="str">
        <f t="shared" si="309"/>
        <v/>
      </c>
    </row>
    <row r="3914" spans="1:7" x14ac:dyDescent="0.4">
      <c r="A3914" t="str">
        <f t="shared" si="305"/>
        <v/>
      </c>
      <c r="B3914" t="str">
        <f t="shared" si="306"/>
        <v/>
      </c>
      <c r="C3914" t="str">
        <f t="shared" si="307"/>
        <v/>
      </c>
      <c r="D3914" t="str">
        <f>IF(E3914="","",IF(COUNTIF($E$2:E3914,E3914)&gt;1,"",SUMIFS(tbl_input[필요수량],tbl_input[집계키_지청],E3914)))</f>
        <v/>
      </c>
      <c r="E3914" t="str">
        <f>IFERROR(INDEX(tbl_input[집계키_지청],ROW()-1),"")</f>
        <v/>
      </c>
      <c r="F3914" t="str">
        <f t="shared" si="308"/>
        <v/>
      </c>
      <c r="G3914" t="str">
        <f t="shared" si="309"/>
        <v/>
      </c>
    </row>
    <row r="3915" spans="1:7" x14ac:dyDescent="0.4">
      <c r="A3915" t="str">
        <f t="shared" si="305"/>
        <v/>
      </c>
      <c r="B3915" t="str">
        <f t="shared" si="306"/>
        <v/>
      </c>
      <c r="C3915" t="str">
        <f t="shared" si="307"/>
        <v/>
      </c>
      <c r="D3915" t="str">
        <f>IF(E3915="","",IF(COUNTIF($E$2:E3915,E3915)&gt;1,"",SUMIFS(tbl_input[필요수량],tbl_input[집계키_지청],E3915)))</f>
        <v/>
      </c>
      <c r="E3915" t="str">
        <f>IFERROR(INDEX(tbl_input[집계키_지청],ROW()-1),"")</f>
        <v/>
      </c>
      <c r="F3915" t="str">
        <f t="shared" si="308"/>
        <v/>
      </c>
      <c r="G3915" t="str">
        <f t="shared" si="309"/>
        <v/>
      </c>
    </row>
    <row r="3916" spans="1:7" x14ac:dyDescent="0.4">
      <c r="A3916" t="str">
        <f t="shared" si="305"/>
        <v/>
      </c>
      <c r="B3916" t="str">
        <f t="shared" si="306"/>
        <v/>
      </c>
      <c r="C3916" t="str">
        <f t="shared" si="307"/>
        <v/>
      </c>
      <c r="D3916" t="str">
        <f>IF(E3916="","",IF(COUNTIF($E$2:E3916,E3916)&gt;1,"",SUMIFS(tbl_input[필요수량],tbl_input[집계키_지청],E3916)))</f>
        <v/>
      </c>
      <c r="E3916" t="str">
        <f>IFERROR(INDEX(tbl_input[집계키_지청],ROW()-1),"")</f>
        <v/>
      </c>
      <c r="F3916" t="str">
        <f t="shared" si="308"/>
        <v/>
      </c>
      <c r="G3916" t="str">
        <f t="shared" si="309"/>
        <v/>
      </c>
    </row>
    <row r="3917" spans="1:7" x14ac:dyDescent="0.4">
      <c r="A3917" t="str">
        <f t="shared" si="305"/>
        <v/>
      </c>
      <c r="B3917" t="str">
        <f t="shared" si="306"/>
        <v/>
      </c>
      <c r="C3917" t="str">
        <f t="shared" si="307"/>
        <v/>
      </c>
      <c r="D3917" t="str">
        <f>IF(E3917="","",IF(COUNTIF($E$2:E3917,E3917)&gt;1,"",SUMIFS(tbl_input[필요수량],tbl_input[집계키_지청],E3917)))</f>
        <v/>
      </c>
      <c r="E3917" t="str">
        <f>IFERROR(INDEX(tbl_input[집계키_지청],ROW()-1),"")</f>
        <v/>
      </c>
      <c r="F3917" t="str">
        <f t="shared" si="308"/>
        <v/>
      </c>
      <c r="G3917" t="str">
        <f t="shared" si="309"/>
        <v/>
      </c>
    </row>
    <row r="3918" spans="1:7" x14ac:dyDescent="0.4">
      <c r="A3918" t="str">
        <f t="shared" si="305"/>
        <v/>
      </c>
      <c r="B3918" t="str">
        <f t="shared" si="306"/>
        <v/>
      </c>
      <c r="C3918" t="str">
        <f t="shared" si="307"/>
        <v/>
      </c>
      <c r="D3918" t="str">
        <f>IF(E3918="","",IF(COUNTIF($E$2:E3918,E3918)&gt;1,"",SUMIFS(tbl_input[필요수량],tbl_input[집계키_지청],E3918)))</f>
        <v/>
      </c>
      <c r="E3918" t="str">
        <f>IFERROR(INDEX(tbl_input[집계키_지청],ROW()-1),"")</f>
        <v/>
      </c>
      <c r="F3918" t="str">
        <f t="shared" si="308"/>
        <v/>
      </c>
      <c r="G3918" t="str">
        <f t="shared" si="309"/>
        <v/>
      </c>
    </row>
    <row r="3919" spans="1:7" x14ac:dyDescent="0.4">
      <c r="A3919" t="str">
        <f t="shared" si="305"/>
        <v/>
      </c>
      <c r="B3919" t="str">
        <f t="shared" si="306"/>
        <v/>
      </c>
      <c r="C3919" t="str">
        <f t="shared" si="307"/>
        <v/>
      </c>
      <c r="D3919" t="str">
        <f>IF(E3919="","",IF(COUNTIF($E$2:E3919,E3919)&gt;1,"",SUMIFS(tbl_input[필요수량],tbl_input[집계키_지청],E3919)))</f>
        <v/>
      </c>
      <c r="E3919" t="str">
        <f>IFERROR(INDEX(tbl_input[집계키_지청],ROW()-1),"")</f>
        <v/>
      </c>
      <c r="F3919" t="str">
        <f t="shared" si="308"/>
        <v/>
      </c>
      <c r="G3919" t="str">
        <f t="shared" si="309"/>
        <v/>
      </c>
    </row>
    <row r="3920" spans="1:7" x14ac:dyDescent="0.4">
      <c r="A3920" t="str">
        <f t="shared" si="305"/>
        <v/>
      </c>
      <c r="B3920" t="str">
        <f t="shared" si="306"/>
        <v/>
      </c>
      <c r="C3920" t="str">
        <f t="shared" si="307"/>
        <v/>
      </c>
      <c r="D3920" t="str">
        <f>IF(E3920="","",IF(COUNTIF($E$2:E3920,E3920)&gt;1,"",SUMIFS(tbl_input[필요수량],tbl_input[집계키_지청],E3920)))</f>
        <v/>
      </c>
      <c r="E3920" t="str">
        <f>IFERROR(INDEX(tbl_input[집계키_지청],ROW()-1),"")</f>
        <v/>
      </c>
      <c r="F3920" t="str">
        <f t="shared" si="308"/>
        <v/>
      </c>
      <c r="G3920" t="str">
        <f t="shared" si="309"/>
        <v/>
      </c>
    </row>
    <row r="3921" spans="1:7" x14ac:dyDescent="0.4">
      <c r="A3921" t="str">
        <f t="shared" si="305"/>
        <v/>
      </c>
      <c r="B3921" t="str">
        <f t="shared" si="306"/>
        <v/>
      </c>
      <c r="C3921" t="str">
        <f t="shared" si="307"/>
        <v/>
      </c>
      <c r="D3921" t="str">
        <f>IF(E3921="","",IF(COUNTIF($E$2:E3921,E3921)&gt;1,"",SUMIFS(tbl_input[필요수량],tbl_input[집계키_지청],E3921)))</f>
        <v/>
      </c>
      <c r="E3921" t="str">
        <f>IFERROR(INDEX(tbl_input[집계키_지청],ROW()-1),"")</f>
        <v/>
      </c>
      <c r="F3921" t="str">
        <f t="shared" si="308"/>
        <v/>
      </c>
      <c r="G3921" t="str">
        <f t="shared" si="309"/>
        <v/>
      </c>
    </row>
    <row r="3922" spans="1:7" x14ac:dyDescent="0.4">
      <c r="A3922" t="str">
        <f t="shared" si="305"/>
        <v/>
      </c>
      <c r="B3922" t="str">
        <f t="shared" si="306"/>
        <v/>
      </c>
      <c r="C3922" t="str">
        <f t="shared" si="307"/>
        <v/>
      </c>
      <c r="D3922" t="str">
        <f>IF(E3922="","",IF(COUNTIF($E$2:E3922,E3922)&gt;1,"",SUMIFS(tbl_input[필요수량],tbl_input[집계키_지청],E3922)))</f>
        <v/>
      </c>
      <c r="E3922" t="str">
        <f>IFERROR(INDEX(tbl_input[집계키_지청],ROW()-1),"")</f>
        <v/>
      </c>
      <c r="F3922" t="str">
        <f t="shared" si="308"/>
        <v/>
      </c>
      <c r="G3922" t="str">
        <f t="shared" si="309"/>
        <v/>
      </c>
    </row>
    <row r="3923" spans="1:7" x14ac:dyDescent="0.4">
      <c r="A3923" t="str">
        <f t="shared" si="305"/>
        <v/>
      </c>
      <c r="B3923" t="str">
        <f t="shared" si="306"/>
        <v/>
      </c>
      <c r="C3923" t="str">
        <f t="shared" si="307"/>
        <v/>
      </c>
      <c r="D3923" t="str">
        <f>IF(E3923="","",IF(COUNTIF($E$2:E3923,E3923)&gt;1,"",SUMIFS(tbl_input[필요수량],tbl_input[집계키_지청],E3923)))</f>
        <v/>
      </c>
      <c r="E3923" t="str">
        <f>IFERROR(INDEX(tbl_input[집계키_지청],ROW()-1),"")</f>
        <v/>
      </c>
      <c r="F3923" t="str">
        <f t="shared" si="308"/>
        <v/>
      </c>
      <c r="G3923" t="str">
        <f t="shared" si="309"/>
        <v/>
      </c>
    </row>
    <row r="3924" spans="1:7" x14ac:dyDescent="0.4">
      <c r="A3924" t="str">
        <f t="shared" si="305"/>
        <v/>
      </c>
      <c r="B3924" t="str">
        <f t="shared" si="306"/>
        <v/>
      </c>
      <c r="C3924" t="str">
        <f t="shared" si="307"/>
        <v/>
      </c>
      <c r="D3924" t="str">
        <f>IF(E3924="","",IF(COUNTIF($E$2:E3924,E3924)&gt;1,"",SUMIFS(tbl_input[필요수량],tbl_input[집계키_지청],E3924)))</f>
        <v/>
      </c>
      <c r="E3924" t="str">
        <f>IFERROR(INDEX(tbl_input[집계키_지청],ROW()-1),"")</f>
        <v/>
      </c>
      <c r="F3924" t="str">
        <f t="shared" si="308"/>
        <v/>
      </c>
      <c r="G3924" t="str">
        <f t="shared" si="309"/>
        <v/>
      </c>
    </row>
    <row r="3925" spans="1:7" x14ac:dyDescent="0.4">
      <c r="A3925" t="str">
        <f t="shared" si="305"/>
        <v/>
      </c>
      <c r="B3925" t="str">
        <f t="shared" si="306"/>
        <v/>
      </c>
      <c r="C3925" t="str">
        <f t="shared" si="307"/>
        <v/>
      </c>
      <c r="D3925" t="str">
        <f>IF(E3925="","",IF(COUNTIF($E$2:E3925,E3925)&gt;1,"",SUMIFS(tbl_input[필요수량],tbl_input[집계키_지청],E3925)))</f>
        <v/>
      </c>
      <c r="E3925" t="str">
        <f>IFERROR(INDEX(tbl_input[집계키_지청],ROW()-1),"")</f>
        <v/>
      </c>
      <c r="F3925" t="str">
        <f t="shared" si="308"/>
        <v/>
      </c>
      <c r="G3925" t="str">
        <f t="shared" si="309"/>
        <v/>
      </c>
    </row>
    <row r="3926" spans="1:7" x14ac:dyDescent="0.4">
      <c r="A3926" t="str">
        <f t="shared" si="305"/>
        <v/>
      </c>
      <c r="B3926" t="str">
        <f t="shared" si="306"/>
        <v/>
      </c>
      <c r="C3926" t="str">
        <f t="shared" si="307"/>
        <v/>
      </c>
      <c r="D3926" t="str">
        <f>IF(E3926="","",IF(COUNTIF($E$2:E3926,E3926)&gt;1,"",SUMIFS(tbl_input[필요수량],tbl_input[집계키_지청],E3926)))</f>
        <v/>
      </c>
      <c r="E3926" t="str">
        <f>IFERROR(INDEX(tbl_input[집계키_지청],ROW()-1),"")</f>
        <v/>
      </c>
      <c r="F3926" t="str">
        <f t="shared" si="308"/>
        <v/>
      </c>
      <c r="G3926" t="str">
        <f t="shared" si="309"/>
        <v/>
      </c>
    </row>
    <row r="3927" spans="1:7" x14ac:dyDescent="0.4">
      <c r="A3927" t="str">
        <f t="shared" si="305"/>
        <v/>
      </c>
      <c r="B3927" t="str">
        <f t="shared" si="306"/>
        <v/>
      </c>
      <c r="C3927" t="str">
        <f t="shared" si="307"/>
        <v/>
      </c>
      <c r="D3927" t="str">
        <f>IF(E3927="","",IF(COUNTIF($E$2:E3927,E3927)&gt;1,"",SUMIFS(tbl_input[필요수량],tbl_input[집계키_지청],E3927)))</f>
        <v/>
      </c>
      <c r="E3927" t="str">
        <f>IFERROR(INDEX(tbl_input[집계키_지청],ROW()-1),"")</f>
        <v/>
      </c>
      <c r="F3927" t="str">
        <f t="shared" si="308"/>
        <v/>
      </c>
      <c r="G3927" t="str">
        <f t="shared" si="309"/>
        <v/>
      </c>
    </row>
    <row r="3928" spans="1:7" x14ac:dyDescent="0.4">
      <c r="A3928" t="str">
        <f t="shared" si="305"/>
        <v/>
      </c>
      <c r="B3928" t="str">
        <f t="shared" si="306"/>
        <v/>
      </c>
      <c r="C3928" t="str">
        <f t="shared" si="307"/>
        <v/>
      </c>
      <c r="D3928" t="str">
        <f>IF(E3928="","",IF(COUNTIF($E$2:E3928,E3928)&gt;1,"",SUMIFS(tbl_input[필요수량],tbl_input[집계키_지청],E3928)))</f>
        <v/>
      </c>
      <c r="E3928" t="str">
        <f>IFERROR(INDEX(tbl_input[집계키_지청],ROW()-1),"")</f>
        <v/>
      </c>
      <c r="F3928" t="str">
        <f t="shared" si="308"/>
        <v/>
      </c>
      <c r="G3928" t="str">
        <f t="shared" si="309"/>
        <v/>
      </c>
    </row>
    <row r="3929" spans="1:7" x14ac:dyDescent="0.4">
      <c r="A3929" t="str">
        <f t="shared" si="305"/>
        <v/>
      </c>
      <c r="B3929" t="str">
        <f t="shared" si="306"/>
        <v/>
      </c>
      <c r="C3929" t="str">
        <f t="shared" si="307"/>
        <v/>
      </c>
      <c r="D3929" t="str">
        <f>IF(E3929="","",IF(COUNTIF($E$2:E3929,E3929)&gt;1,"",SUMIFS(tbl_input[필요수량],tbl_input[집계키_지청],E3929)))</f>
        <v/>
      </c>
      <c r="E3929" t="str">
        <f>IFERROR(INDEX(tbl_input[집계키_지청],ROW()-1),"")</f>
        <v/>
      </c>
      <c r="F3929" t="str">
        <f t="shared" si="308"/>
        <v/>
      </c>
      <c r="G3929" t="str">
        <f t="shared" si="309"/>
        <v/>
      </c>
    </row>
    <row r="3930" spans="1:7" x14ac:dyDescent="0.4">
      <c r="A3930" t="str">
        <f t="shared" si="305"/>
        <v/>
      </c>
      <c r="B3930" t="str">
        <f t="shared" si="306"/>
        <v/>
      </c>
      <c r="C3930" t="str">
        <f t="shared" si="307"/>
        <v/>
      </c>
      <c r="D3930" t="str">
        <f>IF(E3930="","",IF(COUNTIF($E$2:E3930,E3930)&gt;1,"",SUMIFS(tbl_input[필요수량],tbl_input[집계키_지청],E3930)))</f>
        <v/>
      </c>
      <c r="E3930" t="str">
        <f>IFERROR(INDEX(tbl_input[집계키_지청],ROW()-1),"")</f>
        <v/>
      </c>
      <c r="F3930" t="str">
        <f t="shared" si="308"/>
        <v/>
      </c>
      <c r="G3930" t="str">
        <f t="shared" si="309"/>
        <v/>
      </c>
    </row>
    <row r="3931" spans="1:7" x14ac:dyDescent="0.4">
      <c r="A3931" t="str">
        <f t="shared" si="305"/>
        <v/>
      </c>
      <c r="B3931" t="str">
        <f t="shared" si="306"/>
        <v/>
      </c>
      <c r="C3931" t="str">
        <f t="shared" si="307"/>
        <v/>
      </c>
      <c r="D3931" t="str">
        <f>IF(E3931="","",IF(COUNTIF($E$2:E3931,E3931)&gt;1,"",SUMIFS(tbl_input[필요수량],tbl_input[집계키_지청],E3931)))</f>
        <v/>
      </c>
      <c r="E3931" t="str">
        <f>IFERROR(INDEX(tbl_input[집계키_지청],ROW()-1),"")</f>
        <v/>
      </c>
      <c r="F3931" t="str">
        <f t="shared" si="308"/>
        <v/>
      </c>
      <c r="G3931" t="str">
        <f t="shared" si="309"/>
        <v/>
      </c>
    </row>
    <row r="3932" spans="1:7" x14ac:dyDescent="0.4">
      <c r="A3932" t="str">
        <f t="shared" si="305"/>
        <v/>
      </c>
      <c r="B3932" t="str">
        <f t="shared" si="306"/>
        <v/>
      </c>
      <c r="C3932" t="str">
        <f t="shared" si="307"/>
        <v/>
      </c>
      <c r="D3932" t="str">
        <f>IF(E3932="","",IF(COUNTIF($E$2:E3932,E3932)&gt;1,"",SUMIFS(tbl_input[필요수량],tbl_input[집계키_지청],E3932)))</f>
        <v/>
      </c>
      <c r="E3932" t="str">
        <f>IFERROR(INDEX(tbl_input[집계키_지청],ROW()-1),"")</f>
        <v/>
      </c>
      <c r="F3932" t="str">
        <f t="shared" si="308"/>
        <v/>
      </c>
      <c r="G3932" t="str">
        <f t="shared" si="309"/>
        <v/>
      </c>
    </row>
    <row r="3933" spans="1:7" x14ac:dyDescent="0.4">
      <c r="A3933" t="str">
        <f t="shared" si="305"/>
        <v/>
      </c>
      <c r="B3933" t="str">
        <f t="shared" si="306"/>
        <v/>
      </c>
      <c r="C3933" t="str">
        <f t="shared" si="307"/>
        <v/>
      </c>
      <c r="D3933" t="str">
        <f>IF(E3933="","",IF(COUNTIF($E$2:E3933,E3933)&gt;1,"",SUMIFS(tbl_input[필요수량],tbl_input[집계키_지청],E3933)))</f>
        <v/>
      </c>
      <c r="E3933" t="str">
        <f>IFERROR(INDEX(tbl_input[집계키_지청],ROW()-1),"")</f>
        <v/>
      </c>
      <c r="F3933" t="str">
        <f t="shared" si="308"/>
        <v/>
      </c>
      <c r="G3933" t="str">
        <f t="shared" si="309"/>
        <v/>
      </c>
    </row>
    <row r="3934" spans="1:7" x14ac:dyDescent="0.4">
      <c r="A3934" t="str">
        <f t="shared" si="305"/>
        <v/>
      </c>
      <c r="B3934" t="str">
        <f t="shared" si="306"/>
        <v/>
      </c>
      <c r="C3934" t="str">
        <f t="shared" si="307"/>
        <v/>
      </c>
      <c r="D3934" t="str">
        <f>IF(E3934="","",IF(COUNTIF($E$2:E3934,E3934)&gt;1,"",SUMIFS(tbl_input[필요수량],tbl_input[집계키_지청],E3934)))</f>
        <v/>
      </c>
      <c r="E3934" t="str">
        <f>IFERROR(INDEX(tbl_input[집계키_지청],ROW()-1),"")</f>
        <v/>
      </c>
      <c r="F3934" t="str">
        <f t="shared" si="308"/>
        <v/>
      </c>
      <c r="G3934" t="str">
        <f t="shared" si="309"/>
        <v/>
      </c>
    </row>
    <row r="3935" spans="1:7" x14ac:dyDescent="0.4">
      <c r="A3935" t="str">
        <f t="shared" si="305"/>
        <v/>
      </c>
      <c r="B3935" t="str">
        <f t="shared" si="306"/>
        <v/>
      </c>
      <c r="C3935" t="str">
        <f t="shared" si="307"/>
        <v/>
      </c>
      <c r="D3935" t="str">
        <f>IF(E3935="","",IF(COUNTIF($E$2:E3935,E3935)&gt;1,"",SUMIFS(tbl_input[필요수량],tbl_input[집계키_지청],E3935)))</f>
        <v/>
      </c>
      <c r="E3935" t="str">
        <f>IFERROR(INDEX(tbl_input[집계키_지청],ROW()-1),"")</f>
        <v/>
      </c>
      <c r="F3935" t="str">
        <f t="shared" si="308"/>
        <v/>
      </c>
      <c r="G3935" t="str">
        <f t="shared" si="309"/>
        <v/>
      </c>
    </row>
    <row r="3936" spans="1:7" x14ac:dyDescent="0.4">
      <c r="A3936" t="str">
        <f t="shared" si="305"/>
        <v/>
      </c>
      <c r="B3936" t="str">
        <f t="shared" si="306"/>
        <v/>
      </c>
      <c r="C3936" t="str">
        <f t="shared" si="307"/>
        <v/>
      </c>
      <c r="D3936" t="str">
        <f>IF(E3936="","",IF(COUNTIF($E$2:E3936,E3936)&gt;1,"",SUMIFS(tbl_input[필요수량],tbl_input[집계키_지청],E3936)))</f>
        <v/>
      </c>
      <c r="E3936" t="str">
        <f>IFERROR(INDEX(tbl_input[집계키_지청],ROW()-1),"")</f>
        <v/>
      </c>
      <c r="F3936" t="str">
        <f t="shared" si="308"/>
        <v/>
      </c>
      <c r="G3936" t="str">
        <f t="shared" si="309"/>
        <v/>
      </c>
    </row>
    <row r="3937" spans="1:7" x14ac:dyDescent="0.4">
      <c r="A3937" t="str">
        <f t="shared" si="305"/>
        <v/>
      </c>
      <c r="B3937" t="str">
        <f t="shared" si="306"/>
        <v/>
      </c>
      <c r="C3937" t="str">
        <f t="shared" si="307"/>
        <v/>
      </c>
      <c r="D3937" t="str">
        <f>IF(E3937="","",IF(COUNTIF($E$2:E3937,E3937)&gt;1,"",SUMIFS(tbl_input[필요수량],tbl_input[집계키_지청],E3937)))</f>
        <v/>
      </c>
      <c r="E3937" t="str">
        <f>IFERROR(INDEX(tbl_input[집계키_지청],ROW()-1),"")</f>
        <v/>
      </c>
      <c r="F3937" t="str">
        <f t="shared" si="308"/>
        <v/>
      </c>
      <c r="G3937" t="str">
        <f t="shared" si="309"/>
        <v/>
      </c>
    </row>
    <row r="3938" spans="1:7" x14ac:dyDescent="0.4">
      <c r="A3938" t="str">
        <f t="shared" si="305"/>
        <v/>
      </c>
      <c r="B3938" t="str">
        <f t="shared" si="306"/>
        <v/>
      </c>
      <c r="C3938" t="str">
        <f t="shared" si="307"/>
        <v/>
      </c>
      <c r="D3938" t="str">
        <f>IF(E3938="","",IF(COUNTIF($E$2:E3938,E3938)&gt;1,"",SUMIFS(tbl_input[필요수량],tbl_input[집계키_지청],E3938)))</f>
        <v/>
      </c>
      <c r="E3938" t="str">
        <f>IFERROR(INDEX(tbl_input[집계키_지청],ROW()-1),"")</f>
        <v/>
      </c>
      <c r="F3938" t="str">
        <f t="shared" si="308"/>
        <v/>
      </c>
      <c r="G3938" t="str">
        <f t="shared" si="309"/>
        <v/>
      </c>
    </row>
    <row r="3939" spans="1:7" x14ac:dyDescent="0.4">
      <c r="A3939" t="str">
        <f t="shared" si="305"/>
        <v/>
      </c>
      <c r="B3939" t="str">
        <f t="shared" si="306"/>
        <v/>
      </c>
      <c r="C3939" t="str">
        <f t="shared" si="307"/>
        <v/>
      </c>
      <c r="D3939" t="str">
        <f>IF(E3939="","",IF(COUNTIF($E$2:E3939,E3939)&gt;1,"",SUMIFS(tbl_input[필요수량],tbl_input[집계키_지청],E3939)))</f>
        <v/>
      </c>
      <c r="E3939" t="str">
        <f>IFERROR(INDEX(tbl_input[집계키_지청],ROW()-1),"")</f>
        <v/>
      </c>
      <c r="F3939" t="str">
        <f t="shared" si="308"/>
        <v/>
      </c>
      <c r="G3939" t="str">
        <f t="shared" si="309"/>
        <v/>
      </c>
    </row>
    <row r="3940" spans="1:7" x14ac:dyDescent="0.4">
      <c r="A3940" t="str">
        <f t="shared" si="305"/>
        <v/>
      </c>
      <c r="B3940" t="str">
        <f t="shared" si="306"/>
        <v/>
      </c>
      <c r="C3940" t="str">
        <f t="shared" si="307"/>
        <v/>
      </c>
      <c r="D3940" t="str">
        <f>IF(E3940="","",IF(COUNTIF($E$2:E3940,E3940)&gt;1,"",SUMIFS(tbl_input[필요수량],tbl_input[집계키_지청],E3940)))</f>
        <v/>
      </c>
      <c r="E3940" t="str">
        <f>IFERROR(INDEX(tbl_input[집계키_지청],ROW()-1),"")</f>
        <v/>
      </c>
      <c r="F3940" t="str">
        <f t="shared" si="308"/>
        <v/>
      </c>
      <c r="G3940" t="str">
        <f t="shared" si="309"/>
        <v/>
      </c>
    </row>
    <row r="3941" spans="1:7" x14ac:dyDescent="0.4">
      <c r="A3941" t="str">
        <f t="shared" si="305"/>
        <v/>
      </c>
      <c r="B3941" t="str">
        <f t="shared" si="306"/>
        <v/>
      </c>
      <c r="C3941" t="str">
        <f t="shared" si="307"/>
        <v/>
      </c>
      <c r="D3941" t="str">
        <f>IF(E3941="","",IF(COUNTIF($E$2:E3941,E3941)&gt;1,"",SUMIFS(tbl_input[필요수량],tbl_input[집계키_지청],E3941)))</f>
        <v/>
      </c>
      <c r="E3941" t="str">
        <f>IFERROR(INDEX(tbl_input[집계키_지청],ROW()-1),"")</f>
        <v/>
      </c>
      <c r="F3941" t="str">
        <f t="shared" si="308"/>
        <v/>
      </c>
      <c r="G3941" t="str">
        <f t="shared" si="309"/>
        <v/>
      </c>
    </row>
    <row r="3942" spans="1:7" x14ac:dyDescent="0.4">
      <c r="A3942" t="str">
        <f t="shared" si="305"/>
        <v/>
      </c>
      <c r="B3942" t="str">
        <f t="shared" si="306"/>
        <v/>
      </c>
      <c r="C3942" t="str">
        <f t="shared" si="307"/>
        <v/>
      </c>
      <c r="D3942" t="str">
        <f>IF(E3942="","",IF(COUNTIF($E$2:E3942,E3942)&gt;1,"",SUMIFS(tbl_input[필요수량],tbl_input[집계키_지청],E3942)))</f>
        <v/>
      </c>
      <c r="E3942" t="str">
        <f>IFERROR(INDEX(tbl_input[집계키_지청],ROW()-1),"")</f>
        <v/>
      </c>
      <c r="F3942" t="str">
        <f t="shared" si="308"/>
        <v/>
      </c>
      <c r="G3942" t="str">
        <f t="shared" si="309"/>
        <v/>
      </c>
    </row>
    <row r="3943" spans="1:7" x14ac:dyDescent="0.4">
      <c r="A3943" t="str">
        <f t="shared" si="305"/>
        <v/>
      </c>
      <c r="B3943" t="str">
        <f t="shared" si="306"/>
        <v/>
      </c>
      <c r="C3943" t="str">
        <f t="shared" si="307"/>
        <v/>
      </c>
      <c r="D3943" t="str">
        <f>IF(E3943="","",IF(COUNTIF($E$2:E3943,E3943)&gt;1,"",SUMIFS(tbl_input[필요수량],tbl_input[집계키_지청],E3943)))</f>
        <v/>
      </c>
      <c r="E3943" t="str">
        <f>IFERROR(INDEX(tbl_input[집계키_지청],ROW()-1),"")</f>
        <v/>
      </c>
      <c r="F3943" t="str">
        <f t="shared" si="308"/>
        <v/>
      </c>
      <c r="G3943" t="str">
        <f t="shared" si="309"/>
        <v/>
      </c>
    </row>
    <row r="3944" spans="1:7" x14ac:dyDescent="0.4">
      <c r="A3944" t="str">
        <f t="shared" si="305"/>
        <v/>
      </c>
      <c r="B3944" t="str">
        <f t="shared" si="306"/>
        <v/>
      </c>
      <c r="C3944" t="str">
        <f t="shared" si="307"/>
        <v/>
      </c>
      <c r="D3944" t="str">
        <f>IF(E3944="","",IF(COUNTIF($E$2:E3944,E3944)&gt;1,"",SUMIFS(tbl_input[필요수량],tbl_input[집계키_지청],E3944)))</f>
        <v/>
      </c>
      <c r="E3944" t="str">
        <f>IFERROR(INDEX(tbl_input[집계키_지청],ROW()-1),"")</f>
        <v/>
      </c>
      <c r="F3944" t="str">
        <f t="shared" si="308"/>
        <v/>
      </c>
      <c r="G3944" t="str">
        <f t="shared" si="309"/>
        <v/>
      </c>
    </row>
    <row r="3945" spans="1:7" x14ac:dyDescent="0.4">
      <c r="A3945" t="str">
        <f t="shared" si="305"/>
        <v/>
      </c>
      <c r="B3945" t="str">
        <f t="shared" si="306"/>
        <v/>
      </c>
      <c r="C3945" t="str">
        <f t="shared" si="307"/>
        <v/>
      </c>
      <c r="D3945" t="str">
        <f>IF(E3945="","",IF(COUNTIF($E$2:E3945,E3945)&gt;1,"",SUMIFS(tbl_input[필요수량],tbl_input[집계키_지청],E3945)))</f>
        <v/>
      </c>
      <c r="E3945" t="str">
        <f>IFERROR(INDEX(tbl_input[집계키_지청],ROW()-1),"")</f>
        <v/>
      </c>
      <c r="F3945" t="str">
        <f t="shared" si="308"/>
        <v/>
      </c>
      <c r="G3945" t="str">
        <f t="shared" si="309"/>
        <v/>
      </c>
    </row>
    <row r="3946" spans="1:7" x14ac:dyDescent="0.4">
      <c r="A3946" t="str">
        <f t="shared" si="305"/>
        <v/>
      </c>
      <c r="B3946" t="str">
        <f t="shared" si="306"/>
        <v/>
      </c>
      <c r="C3946" t="str">
        <f t="shared" si="307"/>
        <v/>
      </c>
      <c r="D3946" t="str">
        <f>IF(E3946="","",IF(COUNTIF($E$2:E3946,E3946)&gt;1,"",SUMIFS(tbl_input[필요수량],tbl_input[집계키_지청],E3946)))</f>
        <v/>
      </c>
      <c r="E3946" t="str">
        <f>IFERROR(INDEX(tbl_input[집계키_지청],ROW()-1),"")</f>
        <v/>
      </c>
      <c r="F3946" t="str">
        <f t="shared" si="308"/>
        <v/>
      </c>
      <c r="G3946" t="str">
        <f t="shared" si="309"/>
        <v/>
      </c>
    </row>
    <row r="3947" spans="1:7" x14ac:dyDescent="0.4">
      <c r="A3947" t="str">
        <f t="shared" si="305"/>
        <v/>
      </c>
      <c r="B3947" t="str">
        <f t="shared" si="306"/>
        <v/>
      </c>
      <c r="C3947" t="str">
        <f t="shared" si="307"/>
        <v/>
      </c>
      <c r="D3947" t="str">
        <f>IF(E3947="","",IF(COUNTIF($E$2:E3947,E3947)&gt;1,"",SUMIFS(tbl_input[필요수량],tbl_input[집계키_지청],E3947)))</f>
        <v/>
      </c>
      <c r="E3947" t="str">
        <f>IFERROR(INDEX(tbl_input[집계키_지청],ROW()-1),"")</f>
        <v/>
      </c>
      <c r="F3947" t="str">
        <f t="shared" si="308"/>
        <v/>
      </c>
      <c r="G3947" t="str">
        <f t="shared" si="309"/>
        <v/>
      </c>
    </row>
    <row r="3948" spans="1:7" x14ac:dyDescent="0.4">
      <c r="A3948" t="str">
        <f t="shared" si="305"/>
        <v/>
      </c>
      <c r="B3948" t="str">
        <f t="shared" si="306"/>
        <v/>
      </c>
      <c r="C3948" t="str">
        <f t="shared" si="307"/>
        <v/>
      </c>
      <c r="D3948" t="str">
        <f>IF(E3948="","",IF(COUNTIF($E$2:E3948,E3948)&gt;1,"",SUMIFS(tbl_input[필요수량],tbl_input[집계키_지청],E3948)))</f>
        <v/>
      </c>
      <c r="E3948" t="str">
        <f>IFERROR(INDEX(tbl_input[집계키_지청],ROW()-1),"")</f>
        <v/>
      </c>
      <c r="F3948" t="str">
        <f t="shared" si="308"/>
        <v/>
      </c>
      <c r="G3948" t="str">
        <f t="shared" si="309"/>
        <v/>
      </c>
    </row>
    <row r="3949" spans="1:7" x14ac:dyDescent="0.4">
      <c r="A3949" t="str">
        <f t="shared" si="305"/>
        <v/>
      </c>
      <c r="B3949" t="str">
        <f t="shared" si="306"/>
        <v/>
      </c>
      <c r="C3949" t="str">
        <f t="shared" si="307"/>
        <v/>
      </c>
      <c r="D3949" t="str">
        <f>IF(E3949="","",IF(COUNTIF($E$2:E3949,E3949)&gt;1,"",SUMIFS(tbl_input[필요수량],tbl_input[집계키_지청],E3949)))</f>
        <v/>
      </c>
      <c r="E3949" t="str">
        <f>IFERROR(INDEX(tbl_input[집계키_지청],ROW()-1),"")</f>
        <v/>
      </c>
      <c r="F3949" t="str">
        <f t="shared" si="308"/>
        <v/>
      </c>
      <c r="G3949" t="str">
        <f t="shared" si="309"/>
        <v/>
      </c>
    </row>
    <row r="3950" spans="1:7" x14ac:dyDescent="0.4">
      <c r="A3950" t="str">
        <f t="shared" si="305"/>
        <v/>
      </c>
      <c r="B3950" t="str">
        <f t="shared" si="306"/>
        <v/>
      </c>
      <c r="C3950" t="str">
        <f t="shared" si="307"/>
        <v/>
      </c>
      <c r="D3950" t="str">
        <f>IF(E3950="","",IF(COUNTIF($E$2:E3950,E3950)&gt;1,"",SUMIFS(tbl_input[필요수량],tbl_input[집계키_지청],E3950)))</f>
        <v/>
      </c>
      <c r="E3950" t="str">
        <f>IFERROR(INDEX(tbl_input[집계키_지청],ROW()-1),"")</f>
        <v/>
      </c>
      <c r="F3950" t="str">
        <f t="shared" si="308"/>
        <v/>
      </c>
      <c r="G3950" t="str">
        <f t="shared" si="309"/>
        <v/>
      </c>
    </row>
    <row r="3951" spans="1:7" x14ac:dyDescent="0.4">
      <c r="A3951" t="str">
        <f t="shared" si="305"/>
        <v/>
      </c>
      <c r="B3951" t="str">
        <f t="shared" si="306"/>
        <v/>
      </c>
      <c r="C3951" t="str">
        <f t="shared" si="307"/>
        <v/>
      </c>
      <c r="D3951" t="str">
        <f>IF(E3951="","",IF(COUNTIF($E$2:E3951,E3951)&gt;1,"",SUMIFS(tbl_input[필요수량],tbl_input[집계키_지청],E3951)))</f>
        <v/>
      </c>
      <c r="E3951" t="str">
        <f>IFERROR(INDEX(tbl_input[집계키_지청],ROW()-1),"")</f>
        <v/>
      </c>
      <c r="F3951" t="str">
        <f t="shared" si="308"/>
        <v/>
      </c>
      <c r="G3951" t="str">
        <f t="shared" si="309"/>
        <v/>
      </c>
    </row>
    <row r="3952" spans="1:7" x14ac:dyDescent="0.4">
      <c r="A3952" t="str">
        <f t="shared" si="305"/>
        <v/>
      </c>
      <c r="B3952" t="str">
        <f t="shared" si="306"/>
        <v/>
      </c>
      <c r="C3952" t="str">
        <f t="shared" si="307"/>
        <v/>
      </c>
      <c r="D3952" t="str">
        <f>IF(E3952="","",IF(COUNTIF($E$2:E3952,E3952)&gt;1,"",SUMIFS(tbl_input[필요수량],tbl_input[집계키_지청],E3952)))</f>
        <v/>
      </c>
      <c r="E3952" t="str">
        <f>IFERROR(INDEX(tbl_input[집계키_지청],ROW()-1),"")</f>
        <v/>
      </c>
      <c r="F3952" t="str">
        <f t="shared" si="308"/>
        <v/>
      </c>
      <c r="G3952" t="str">
        <f t="shared" si="309"/>
        <v/>
      </c>
    </row>
    <row r="3953" spans="1:7" x14ac:dyDescent="0.4">
      <c r="A3953" t="str">
        <f t="shared" si="305"/>
        <v/>
      </c>
      <c r="B3953" t="str">
        <f t="shared" si="306"/>
        <v/>
      </c>
      <c r="C3953" t="str">
        <f t="shared" si="307"/>
        <v/>
      </c>
      <c r="D3953" t="str">
        <f>IF(E3953="","",IF(COUNTIF($E$2:E3953,E3953)&gt;1,"",SUMIFS(tbl_input[필요수량],tbl_input[집계키_지청],E3953)))</f>
        <v/>
      </c>
      <c r="E3953" t="str">
        <f>IFERROR(INDEX(tbl_input[집계키_지청],ROW()-1),"")</f>
        <v/>
      </c>
      <c r="F3953" t="str">
        <f t="shared" si="308"/>
        <v/>
      </c>
      <c r="G3953" t="str">
        <f t="shared" si="309"/>
        <v/>
      </c>
    </row>
    <row r="3954" spans="1:7" x14ac:dyDescent="0.4">
      <c r="A3954" t="str">
        <f t="shared" si="305"/>
        <v/>
      </c>
      <c r="B3954" t="str">
        <f t="shared" si="306"/>
        <v/>
      </c>
      <c r="C3954" t="str">
        <f t="shared" si="307"/>
        <v/>
      </c>
      <c r="D3954" t="str">
        <f>IF(E3954="","",IF(COUNTIF($E$2:E3954,E3954)&gt;1,"",SUMIFS(tbl_input[필요수량],tbl_input[집계키_지청],E3954)))</f>
        <v/>
      </c>
      <c r="E3954" t="str">
        <f>IFERROR(INDEX(tbl_input[집계키_지청],ROW()-1),"")</f>
        <v/>
      </c>
      <c r="F3954" t="str">
        <f t="shared" si="308"/>
        <v/>
      </c>
      <c r="G3954" t="str">
        <f t="shared" si="309"/>
        <v/>
      </c>
    </row>
    <row r="3955" spans="1:7" x14ac:dyDescent="0.4">
      <c r="A3955" t="str">
        <f t="shared" si="305"/>
        <v/>
      </c>
      <c r="B3955" t="str">
        <f t="shared" si="306"/>
        <v/>
      </c>
      <c r="C3955" t="str">
        <f t="shared" si="307"/>
        <v/>
      </c>
      <c r="D3955" t="str">
        <f>IF(E3955="","",IF(COUNTIF($E$2:E3955,E3955)&gt;1,"",SUMIFS(tbl_input[필요수량],tbl_input[집계키_지청],E3955)))</f>
        <v/>
      </c>
      <c r="E3955" t="str">
        <f>IFERROR(INDEX(tbl_input[집계키_지청],ROW()-1),"")</f>
        <v/>
      </c>
      <c r="F3955" t="str">
        <f t="shared" si="308"/>
        <v/>
      </c>
      <c r="G3955" t="str">
        <f t="shared" si="309"/>
        <v/>
      </c>
    </row>
    <row r="3956" spans="1:7" x14ac:dyDescent="0.4">
      <c r="A3956" t="str">
        <f t="shared" si="305"/>
        <v/>
      </c>
      <c r="B3956" t="str">
        <f t="shared" si="306"/>
        <v/>
      </c>
      <c r="C3956" t="str">
        <f t="shared" si="307"/>
        <v/>
      </c>
      <c r="D3956" t="str">
        <f>IF(E3956="","",IF(COUNTIF($E$2:E3956,E3956)&gt;1,"",SUMIFS(tbl_input[필요수량],tbl_input[집계키_지청],E3956)))</f>
        <v/>
      </c>
      <c r="E3956" t="str">
        <f>IFERROR(INDEX(tbl_input[집계키_지청],ROW()-1),"")</f>
        <v/>
      </c>
      <c r="F3956" t="str">
        <f t="shared" si="308"/>
        <v/>
      </c>
      <c r="G3956" t="str">
        <f t="shared" si="309"/>
        <v/>
      </c>
    </row>
    <row r="3957" spans="1:7" x14ac:dyDescent="0.4">
      <c r="A3957" t="str">
        <f t="shared" si="305"/>
        <v/>
      </c>
      <c r="B3957" t="str">
        <f t="shared" si="306"/>
        <v/>
      </c>
      <c r="C3957" t="str">
        <f t="shared" si="307"/>
        <v/>
      </c>
      <c r="D3957" t="str">
        <f>IF(E3957="","",IF(COUNTIF($E$2:E3957,E3957)&gt;1,"",SUMIFS(tbl_input[필요수량],tbl_input[집계키_지청],E3957)))</f>
        <v/>
      </c>
      <c r="E3957" t="str">
        <f>IFERROR(INDEX(tbl_input[집계키_지청],ROW()-1),"")</f>
        <v/>
      </c>
      <c r="F3957" t="str">
        <f t="shared" si="308"/>
        <v/>
      </c>
      <c r="G3957" t="str">
        <f t="shared" si="309"/>
        <v/>
      </c>
    </row>
    <row r="3958" spans="1:7" x14ac:dyDescent="0.4">
      <c r="A3958" t="str">
        <f t="shared" si="305"/>
        <v/>
      </c>
      <c r="B3958" t="str">
        <f t="shared" si="306"/>
        <v/>
      </c>
      <c r="C3958" t="str">
        <f t="shared" si="307"/>
        <v/>
      </c>
      <c r="D3958" t="str">
        <f>IF(E3958="","",IF(COUNTIF($E$2:E3958,E3958)&gt;1,"",SUMIFS(tbl_input[필요수량],tbl_input[집계키_지청],E3958)))</f>
        <v/>
      </c>
      <c r="E3958" t="str">
        <f>IFERROR(INDEX(tbl_input[집계키_지청],ROW()-1),"")</f>
        <v/>
      </c>
      <c r="F3958" t="str">
        <f t="shared" si="308"/>
        <v/>
      </c>
      <c r="G3958" t="str">
        <f t="shared" si="309"/>
        <v/>
      </c>
    </row>
    <row r="3959" spans="1:7" x14ac:dyDescent="0.4">
      <c r="A3959" t="str">
        <f t="shared" si="305"/>
        <v/>
      </c>
      <c r="B3959" t="str">
        <f t="shared" si="306"/>
        <v/>
      </c>
      <c r="C3959" t="str">
        <f t="shared" si="307"/>
        <v/>
      </c>
      <c r="D3959" t="str">
        <f>IF(E3959="","",IF(COUNTIF($E$2:E3959,E3959)&gt;1,"",SUMIFS(tbl_input[필요수량],tbl_input[집계키_지청],E3959)))</f>
        <v/>
      </c>
      <c r="E3959" t="str">
        <f>IFERROR(INDEX(tbl_input[집계키_지청],ROW()-1),"")</f>
        <v/>
      </c>
      <c r="F3959" t="str">
        <f t="shared" si="308"/>
        <v/>
      </c>
      <c r="G3959" t="str">
        <f t="shared" si="309"/>
        <v/>
      </c>
    </row>
    <row r="3960" spans="1:7" x14ac:dyDescent="0.4">
      <c r="A3960" t="str">
        <f t="shared" si="305"/>
        <v/>
      </c>
      <c r="B3960" t="str">
        <f t="shared" si="306"/>
        <v/>
      </c>
      <c r="C3960" t="str">
        <f t="shared" si="307"/>
        <v/>
      </c>
      <c r="D3960" t="str">
        <f>IF(E3960="","",IF(COUNTIF($E$2:E3960,E3960)&gt;1,"",SUMIFS(tbl_input[필요수량],tbl_input[집계키_지청],E3960)))</f>
        <v/>
      </c>
      <c r="E3960" t="str">
        <f>IFERROR(INDEX(tbl_input[집계키_지청],ROW()-1),"")</f>
        <v/>
      </c>
      <c r="F3960" t="str">
        <f t="shared" si="308"/>
        <v/>
      </c>
      <c r="G3960" t="str">
        <f t="shared" si="309"/>
        <v/>
      </c>
    </row>
    <row r="3961" spans="1:7" x14ac:dyDescent="0.4">
      <c r="A3961" t="str">
        <f t="shared" si="305"/>
        <v/>
      </c>
      <c r="B3961" t="str">
        <f t="shared" si="306"/>
        <v/>
      </c>
      <c r="C3961" t="str">
        <f t="shared" si="307"/>
        <v/>
      </c>
      <c r="D3961" t="str">
        <f>IF(E3961="","",IF(COUNTIF($E$2:E3961,E3961)&gt;1,"",SUMIFS(tbl_input[필요수량],tbl_input[집계키_지청],E3961)))</f>
        <v/>
      </c>
      <c r="E3961" t="str">
        <f>IFERROR(INDEX(tbl_input[집계키_지청],ROW()-1),"")</f>
        <v/>
      </c>
      <c r="F3961" t="str">
        <f t="shared" si="308"/>
        <v/>
      </c>
      <c r="G3961" t="str">
        <f t="shared" si="309"/>
        <v/>
      </c>
    </row>
    <row r="3962" spans="1:7" x14ac:dyDescent="0.4">
      <c r="A3962" t="str">
        <f t="shared" si="305"/>
        <v/>
      </c>
      <c r="B3962" t="str">
        <f t="shared" si="306"/>
        <v/>
      </c>
      <c r="C3962" t="str">
        <f t="shared" si="307"/>
        <v/>
      </c>
      <c r="D3962" t="str">
        <f>IF(E3962="","",IF(COUNTIF($E$2:E3962,E3962)&gt;1,"",SUMIFS(tbl_input[필요수량],tbl_input[집계키_지청],E3962)))</f>
        <v/>
      </c>
      <c r="E3962" t="str">
        <f>IFERROR(INDEX(tbl_input[집계키_지청],ROW()-1),"")</f>
        <v/>
      </c>
      <c r="F3962" t="str">
        <f t="shared" si="308"/>
        <v/>
      </c>
      <c r="G3962" t="str">
        <f t="shared" si="309"/>
        <v/>
      </c>
    </row>
    <row r="3963" spans="1:7" x14ac:dyDescent="0.4">
      <c r="A3963" t="str">
        <f t="shared" si="305"/>
        <v/>
      </c>
      <c r="B3963" t="str">
        <f t="shared" si="306"/>
        <v/>
      </c>
      <c r="C3963" t="str">
        <f t="shared" si="307"/>
        <v/>
      </c>
      <c r="D3963" t="str">
        <f>IF(E3963="","",IF(COUNTIF($E$2:E3963,E3963)&gt;1,"",SUMIFS(tbl_input[필요수량],tbl_input[집계키_지청],E3963)))</f>
        <v/>
      </c>
      <c r="E3963" t="str">
        <f>IFERROR(INDEX(tbl_input[집계키_지청],ROW()-1),"")</f>
        <v/>
      </c>
      <c r="F3963" t="str">
        <f t="shared" si="308"/>
        <v/>
      </c>
      <c r="G3963" t="str">
        <f t="shared" si="309"/>
        <v/>
      </c>
    </row>
    <row r="3964" spans="1:7" x14ac:dyDescent="0.4">
      <c r="A3964" t="str">
        <f t="shared" si="305"/>
        <v/>
      </c>
      <c r="B3964" t="str">
        <f t="shared" si="306"/>
        <v/>
      </c>
      <c r="C3964" t="str">
        <f t="shared" si="307"/>
        <v/>
      </c>
      <c r="D3964" t="str">
        <f>IF(E3964="","",IF(COUNTIF($E$2:E3964,E3964)&gt;1,"",SUMIFS(tbl_input[필요수량],tbl_input[집계키_지청],E3964)))</f>
        <v/>
      </c>
      <c r="E3964" t="str">
        <f>IFERROR(INDEX(tbl_input[집계키_지청],ROW()-1),"")</f>
        <v/>
      </c>
      <c r="F3964" t="str">
        <f t="shared" si="308"/>
        <v/>
      </c>
      <c r="G3964" t="str">
        <f t="shared" si="309"/>
        <v/>
      </c>
    </row>
    <row r="3965" spans="1:7" x14ac:dyDescent="0.4">
      <c r="A3965" t="str">
        <f t="shared" si="305"/>
        <v/>
      </c>
      <c r="B3965" t="str">
        <f t="shared" si="306"/>
        <v/>
      </c>
      <c r="C3965" t="str">
        <f t="shared" si="307"/>
        <v/>
      </c>
      <c r="D3965" t="str">
        <f>IF(E3965="","",IF(COUNTIF($E$2:E3965,E3965)&gt;1,"",SUMIFS(tbl_input[필요수량],tbl_input[집계키_지청],E3965)))</f>
        <v/>
      </c>
      <c r="E3965" t="str">
        <f>IFERROR(INDEX(tbl_input[집계키_지청],ROW()-1),"")</f>
        <v/>
      </c>
      <c r="F3965" t="str">
        <f t="shared" si="308"/>
        <v/>
      </c>
      <c r="G3965" t="str">
        <f t="shared" si="309"/>
        <v/>
      </c>
    </row>
    <row r="3966" spans="1:7" x14ac:dyDescent="0.4">
      <c r="A3966" t="str">
        <f t="shared" si="305"/>
        <v/>
      </c>
      <c r="B3966" t="str">
        <f t="shared" si="306"/>
        <v/>
      </c>
      <c r="C3966" t="str">
        <f t="shared" si="307"/>
        <v/>
      </c>
      <c r="D3966" t="str">
        <f>IF(E3966="","",IF(COUNTIF($E$2:E3966,E3966)&gt;1,"",SUMIFS(tbl_input[필요수량],tbl_input[집계키_지청],E3966)))</f>
        <v/>
      </c>
      <c r="E3966" t="str">
        <f>IFERROR(INDEX(tbl_input[집계키_지청],ROW()-1),"")</f>
        <v/>
      </c>
      <c r="F3966" t="str">
        <f t="shared" si="308"/>
        <v/>
      </c>
      <c r="G3966" t="str">
        <f t="shared" si="309"/>
        <v/>
      </c>
    </row>
    <row r="3967" spans="1:7" x14ac:dyDescent="0.4">
      <c r="A3967" t="str">
        <f t="shared" si="305"/>
        <v/>
      </c>
      <c r="B3967" t="str">
        <f t="shared" si="306"/>
        <v/>
      </c>
      <c r="C3967" t="str">
        <f t="shared" si="307"/>
        <v/>
      </c>
      <c r="D3967" t="str">
        <f>IF(E3967="","",IF(COUNTIF($E$2:E3967,E3967)&gt;1,"",SUMIFS(tbl_input[필요수량],tbl_input[집계키_지청],E3967)))</f>
        <v/>
      </c>
      <c r="E3967" t="str">
        <f>IFERROR(INDEX(tbl_input[집계키_지청],ROW()-1),"")</f>
        <v/>
      </c>
      <c r="F3967" t="str">
        <f t="shared" si="308"/>
        <v/>
      </c>
      <c r="G3967" t="str">
        <f t="shared" si="309"/>
        <v/>
      </c>
    </row>
    <row r="3968" spans="1:7" x14ac:dyDescent="0.4">
      <c r="A3968" t="str">
        <f t="shared" si="305"/>
        <v/>
      </c>
      <c r="B3968" t="str">
        <f t="shared" si="306"/>
        <v/>
      </c>
      <c r="C3968" t="str">
        <f t="shared" si="307"/>
        <v/>
      </c>
      <c r="D3968" t="str">
        <f>IF(E3968="","",IF(COUNTIF($E$2:E3968,E3968)&gt;1,"",SUMIFS(tbl_input[필요수량],tbl_input[집계키_지청],E3968)))</f>
        <v/>
      </c>
      <c r="E3968" t="str">
        <f>IFERROR(INDEX(tbl_input[집계키_지청],ROW()-1),"")</f>
        <v/>
      </c>
      <c r="F3968" t="str">
        <f t="shared" si="308"/>
        <v/>
      </c>
      <c r="G3968" t="str">
        <f t="shared" si="309"/>
        <v/>
      </c>
    </row>
    <row r="3969" spans="1:7" x14ac:dyDescent="0.4">
      <c r="A3969" t="str">
        <f t="shared" si="305"/>
        <v/>
      </c>
      <c r="B3969" t="str">
        <f t="shared" si="306"/>
        <v/>
      </c>
      <c r="C3969" t="str">
        <f t="shared" si="307"/>
        <v/>
      </c>
      <c r="D3969" t="str">
        <f>IF(E3969="","",IF(COUNTIF($E$2:E3969,E3969)&gt;1,"",SUMIFS(tbl_input[필요수량],tbl_input[집계키_지청],E3969)))</f>
        <v/>
      </c>
      <c r="E3969" t="str">
        <f>IFERROR(INDEX(tbl_input[집계키_지청],ROW()-1),"")</f>
        <v/>
      </c>
      <c r="F3969" t="str">
        <f t="shared" si="308"/>
        <v/>
      </c>
      <c r="G3969" t="str">
        <f t="shared" si="309"/>
        <v/>
      </c>
    </row>
    <row r="3970" spans="1:7" x14ac:dyDescent="0.4">
      <c r="A3970" t="str">
        <f t="shared" ref="A3970:A4033" si="310">IF(E3970="","",LEFT(E3970,F3970-1))</f>
        <v/>
      </c>
      <c r="B3970" t="str">
        <f t="shared" ref="B3970:B4033" si="311">IF(E3970="","",MID(E3970,F3970+1,G3970-F3970-1))</f>
        <v/>
      </c>
      <c r="C3970" t="str">
        <f t="shared" ref="C3970:C4033" si="312">IF(E3970="","",MID(E3970,G3970+1,999))</f>
        <v/>
      </c>
      <c r="D3970" t="str">
        <f>IF(E3970="","",IF(COUNTIF($E$2:E3970,E3970)&gt;1,"",SUMIFS(tbl_input[필요수량],tbl_input[집계키_지청],E3970)))</f>
        <v/>
      </c>
      <c r="E3970" t="str">
        <f>IFERROR(INDEX(tbl_input[집계키_지청],ROW()-1),"")</f>
        <v/>
      </c>
      <c r="F3970" t="str">
        <f t="shared" ref="F3970:F4033" si="313">IF(E3970="","",FIND("♦",E3970))</f>
        <v/>
      </c>
      <c r="G3970" t="str">
        <f t="shared" ref="G3970:G4033" si="314">IF(E3970="","",FIND("♦",E3970,F3970+1))</f>
        <v/>
      </c>
    </row>
    <row r="3971" spans="1:7" x14ac:dyDescent="0.4">
      <c r="A3971" t="str">
        <f t="shared" si="310"/>
        <v/>
      </c>
      <c r="B3971" t="str">
        <f t="shared" si="311"/>
        <v/>
      </c>
      <c r="C3971" t="str">
        <f t="shared" si="312"/>
        <v/>
      </c>
      <c r="D3971" t="str">
        <f>IF(E3971="","",IF(COUNTIF($E$2:E3971,E3971)&gt;1,"",SUMIFS(tbl_input[필요수량],tbl_input[집계키_지청],E3971)))</f>
        <v/>
      </c>
      <c r="E3971" t="str">
        <f>IFERROR(INDEX(tbl_input[집계키_지청],ROW()-1),"")</f>
        <v/>
      </c>
      <c r="F3971" t="str">
        <f t="shared" si="313"/>
        <v/>
      </c>
      <c r="G3971" t="str">
        <f t="shared" si="314"/>
        <v/>
      </c>
    </row>
    <row r="3972" spans="1:7" x14ac:dyDescent="0.4">
      <c r="A3972" t="str">
        <f t="shared" si="310"/>
        <v/>
      </c>
      <c r="B3972" t="str">
        <f t="shared" si="311"/>
        <v/>
      </c>
      <c r="C3972" t="str">
        <f t="shared" si="312"/>
        <v/>
      </c>
      <c r="D3972" t="str">
        <f>IF(E3972="","",IF(COUNTIF($E$2:E3972,E3972)&gt;1,"",SUMIFS(tbl_input[필요수량],tbl_input[집계키_지청],E3972)))</f>
        <v/>
      </c>
      <c r="E3972" t="str">
        <f>IFERROR(INDEX(tbl_input[집계키_지청],ROW()-1),"")</f>
        <v/>
      </c>
      <c r="F3972" t="str">
        <f t="shared" si="313"/>
        <v/>
      </c>
      <c r="G3972" t="str">
        <f t="shared" si="314"/>
        <v/>
      </c>
    </row>
    <row r="3973" spans="1:7" x14ac:dyDescent="0.4">
      <c r="A3973" t="str">
        <f t="shared" si="310"/>
        <v/>
      </c>
      <c r="B3973" t="str">
        <f t="shared" si="311"/>
        <v/>
      </c>
      <c r="C3973" t="str">
        <f t="shared" si="312"/>
        <v/>
      </c>
      <c r="D3973" t="str">
        <f>IF(E3973="","",IF(COUNTIF($E$2:E3973,E3973)&gt;1,"",SUMIFS(tbl_input[필요수량],tbl_input[집계키_지청],E3973)))</f>
        <v/>
      </c>
      <c r="E3973" t="str">
        <f>IFERROR(INDEX(tbl_input[집계키_지청],ROW()-1),"")</f>
        <v/>
      </c>
      <c r="F3973" t="str">
        <f t="shared" si="313"/>
        <v/>
      </c>
      <c r="G3973" t="str">
        <f t="shared" si="314"/>
        <v/>
      </c>
    </row>
    <row r="3974" spans="1:7" x14ac:dyDescent="0.4">
      <c r="A3974" t="str">
        <f t="shared" si="310"/>
        <v/>
      </c>
      <c r="B3974" t="str">
        <f t="shared" si="311"/>
        <v/>
      </c>
      <c r="C3974" t="str">
        <f t="shared" si="312"/>
        <v/>
      </c>
      <c r="D3974" t="str">
        <f>IF(E3974="","",IF(COUNTIF($E$2:E3974,E3974)&gt;1,"",SUMIFS(tbl_input[필요수량],tbl_input[집계키_지청],E3974)))</f>
        <v/>
      </c>
      <c r="E3974" t="str">
        <f>IFERROR(INDEX(tbl_input[집계키_지청],ROW()-1),"")</f>
        <v/>
      </c>
      <c r="F3974" t="str">
        <f t="shared" si="313"/>
        <v/>
      </c>
      <c r="G3974" t="str">
        <f t="shared" si="314"/>
        <v/>
      </c>
    </row>
    <row r="3975" spans="1:7" x14ac:dyDescent="0.4">
      <c r="A3975" t="str">
        <f t="shared" si="310"/>
        <v/>
      </c>
      <c r="B3975" t="str">
        <f t="shared" si="311"/>
        <v/>
      </c>
      <c r="C3975" t="str">
        <f t="shared" si="312"/>
        <v/>
      </c>
      <c r="D3975" t="str">
        <f>IF(E3975="","",IF(COUNTIF($E$2:E3975,E3975)&gt;1,"",SUMIFS(tbl_input[필요수량],tbl_input[집계키_지청],E3975)))</f>
        <v/>
      </c>
      <c r="E3975" t="str">
        <f>IFERROR(INDEX(tbl_input[집계키_지청],ROW()-1),"")</f>
        <v/>
      </c>
      <c r="F3975" t="str">
        <f t="shared" si="313"/>
        <v/>
      </c>
      <c r="G3975" t="str">
        <f t="shared" si="314"/>
        <v/>
      </c>
    </row>
    <row r="3976" spans="1:7" x14ac:dyDescent="0.4">
      <c r="A3976" t="str">
        <f t="shared" si="310"/>
        <v/>
      </c>
      <c r="B3976" t="str">
        <f t="shared" si="311"/>
        <v/>
      </c>
      <c r="C3976" t="str">
        <f t="shared" si="312"/>
        <v/>
      </c>
      <c r="D3976" t="str">
        <f>IF(E3976="","",IF(COUNTIF($E$2:E3976,E3976)&gt;1,"",SUMIFS(tbl_input[필요수량],tbl_input[집계키_지청],E3976)))</f>
        <v/>
      </c>
      <c r="E3976" t="str">
        <f>IFERROR(INDEX(tbl_input[집계키_지청],ROW()-1),"")</f>
        <v/>
      </c>
      <c r="F3976" t="str">
        <f t="shared" si="313"/>
        <v/>
      </c>
      <c r="G3976" t="str">
        <f t="shared" si="314"/>
        <v/>
      </c>
    </row>
    <row r="3977" spans="1:7" x14ac:dyDescent="0.4">
      <c r="A3977" t="str">
        <f t="shared" si="310"/>
        <v/>
      </c>
      <c r="B3977" t="str">
        <f t="shared" si="311"/>
        <v/>
      </c>
      <c r="C3977" t="str">
        <f t="shared" si="312"/>
        <v/>
      </c>
      <c r="D3977" t="str">
        <f>IF(E3977="","",IF(COUNTIF($E$2:E3977,E3977)&gt;1,"",SUMIFS(tbl_input[필요수량],tbl_input[집계키_지청],E3977)))</f>
        <v/>
      </c>
      <c r="E3977" t="str">
        <f>IFERROR(INDEX(tbl_input[집계키_지청],ROW()-1),"")</f>
        <v/>
      </c>
      <c r="F3977" t="str">
        <f t="shared" si="313"/>
        <v/>
      </c>
      <c r="G3977" t="str">
        <f t="shared" si="314"/>
        <v/>
      </c>
    </row>
    <row r="3978" spans="1:7" x14ac:dyDescent="0.4">
      <c r="A3978" t="str">
        <f t="shared" si="310"/>
        <v/>
      </c>
      <c r="B3978" t="str">
        <f t="shared" si="311"/>
        <v/>
      </c>
      <c r="C3978" t="str">
        <f t="shared" si="312"/>
        <v/>
      </c>
      <c r="D3978" t="str">
        <f>IF(E3978="","",IF(COUNTIF($E$2:E3978,E3978)&gt;1,"",SUMIFS(tbl_input[필요수량],tbl_input[집계키_지청],E3978)))</f>
        <v/>
      </c>
      <c r="E3978" t="str">
        <f>IFERROR(INDEX(tbl_input[집계키_지청],ROW()-1),"")</f>
        <v/>
      </c>
      <c r="F3978" t="str">
        <f t="shared" si="313"/>
        <v/>
      </c>
      <c r="G3978" t="str">
        <f t="shared" si="314"/>
        <v/>
      </c>
    </row>
    <row r="3979" spans="1:7" x14ac:dyDescent="0.4">
      <c r="A3979" t="str">
        <f t="shared" si="310"/>
        <v/>
      </c>
      <c r="B3979" t="str">
        <f t="shared" si="311"/>
        <v/>
      </c>
      <c r="C3979" t="str">
        <f t="shared" si="312"/>
        <v/>
      </c>
      <c r="D3979" t="str">
        <f>IF(E3979="","",IF(COUNTIF($E$2:E3979,E3979)&gt;1,"",SUMIFS(tbl_input[필요수량],tbl_input[집계키_지청],E3979)))</f>
        <v/>
      </c>
      <c r="E3979" t="str">
        <f>IFERROR(INDEX(tbl_input[집계키_지청],ROW()-1),"")</f>
        <v/>
      </c>
      <c r="F3979" t="str">
        <f t="shared" si="313"/>
        <v/>
      </c>
      <c r="G3979" t="str">
        <f t="shared" si="314"/>
        <v/>
      </c>
    </row>
    <row r="3980" spans="1:7" x14ac:dyDescent="0.4">
      <c r="A3980" t="str">
        <f t="shared" si="310"/>
        <v/>
      </c>
      <c r="B3980" t="str">
        <f t="shared" si="311"/>
        <v/>
      </c>
      <c r="C3980" t="str">
        <f t="shared" si="312"/>
        <v/>
      </c>
      <c r="D3980" t="str">
        <f>IF(E3980="","",IF(COUNTIF($E$2:E3980,E3980)&gt;1,"",SUMIFS(tbl_input[필요수량],tbl_input[집계키_지청],E3980)))</f>
        <v/>
      </c>
      <c r="E3980" t="str">
        <f>IFERROR(INDEX(tbl_input[집계키_지청],ROW()-1),"")</f>
        <v/>
      </c>
      <c r="F3980" t="str">
        <f t="shared" si="313"/>
        <v/>
      </c>
      <c r="G3980" t="str">
        <f t="shared" si="314"/>
        <v/>
      </c>
    </row>
    <row r="3981" spans="1:7" x14ac:dyDescent="0.4">
      <c r="A3981" t="str">
        <f t="shared" si="310"/>
        <v/>
      </c>
      <c r="B3981" t="str">
        <f t="shared" si="311"/>
        <v/>
      </c>
      <c r="C3981" t="str">
        <f t="shared" si="312"/>
        <v/>
      </c>
      <c r="D3981" t="str">
        <f>IF(E3981="","",IF(COUNTIF($E$2:E3981,E3981)&gt;1,"",SUMIFS(tbl_input[필요수량],tbl_input[집계키_지청],E3981)))</f>
        <v/>
      </c>
      <c r="E3981" t="str">
        <f>IFERROR(INDEX(tbl_input[집계키_지청],ROW()-1),"")</f>
        <v/>
      </c>
      <c r="F3981" t="str">
        <f t="shared" si="313"/>
        <v/>
      </c>
      <c r="G3981" t="str">
        <f t="shared" si="314"/>
        <v/>
      </c>
    </row>
    <row r="3982" spans="1:7" x14ac:dyDescent="0.4">
      <c r="A3982" t="str">
        <f t="shared" si="310"/>
        <v/>
      </c>
      <c r="B3982" t="str">
        <f t="shared" si="311"/>
        <v/>
      </c>
      <c r="C3982" t="str">
        <f t="shared" si="312"/>
        <v/>
      </c>
      <c r="D3982" t="str">
        <f>IF(E3982="","",IF(COUNTIF($E$2:E3982,E3982)&gt;1,"",SUMIFS(tbl_input[필요수량],tbl_input[집계키_지청],E3982)))</f>
        <v/>
      </c>
      <c r="E3982" t="str">
        <f>IFERROR(INDEX(tbl_input[집계키_지청],ROW()-1),"")</f>
        <v/>
      </c>
      <c r="F3982" t="str">
        <f t="shared" si="313"/>
        <v/>
      </c>
      <c r="G3982" t="str">
        <f t="shared" si="314"/>
        <v/>
      </c>
    </row>
    <row r="3983" spans="1:7" x14ac:dyDescent="0.4">
      <c r="A3983" t="str">
        <f t="shared" si="310"/>
        <v/>
      </c>
      <c r="B3983" t="str">
        <f t="shared" si="311"/>
        <v/>
      </c>
      <c r="C3983" t="str">
        <f t="shared" si="312"/>
        <v/>
      </c>
      <c r="D3983" t="str">
        <f>IF(E3983="","",IF(COUNTIF($E$2:E3983,E3983)&gt;1,"",SUMIFS(tbl_input[필요수량],tbl_input[집계키_지청],E3983)))</f>
        <v/>
      </c>
      <c r="E3983" t="str">
        <f>IFERROR(INDEX(tbl_input[집계키_지청],ROW()-1),"")</f>
        <v/>
      </c>
      <c r="F3983" t="str">
        <f t="shared" si="313"/>
        <v/>
      </c>
      <c r="G3983" t="str">
        <f t="shared" si="314"/>
        <v/>
      </c>
    </row>
    <row r="3984" spans="1:7" x14ac:dyDescent="0.4">
      <c r="A3984" t="str">
        <f t="shared" si="310"/>
        <v/>
      </c>
      <c r="B3984" t="str">
        <f t="shared" si="311"/>
        <v/>
      </c>
      <c r="C3984" t="str">
        <f t="shared" si="312"/>
        <v/>
      </c>
      <c r="D3984" t="str">
        <f>IF(E3984="","",IF(COUNTIF($E$2:E3984,E3984)&gt;1,"",SUMIFS(tbl_input[필요수량],tbl_input[집계키_지청],E3984)))</f>
        <v/>
      </c>
      <c r="E3984" t="str">
        <f>IFERROR(INDEX(tbl_input[집계키_지청],ROW()-1),"")</f>
        <v/>
      </c>
      <c r="F3984" t="str">
        <f t="shared" si="313"/>
        <v/>
      </c>
      <c r="G3984" t="str">
        <f t="shared" si="314"/>
        <v/>
      </c>
    </row>
    <row r="3985" spans="1:7" x14ac:dyDescent="0.4">
      <c r="A3985" t="str">
        <f t="shared" si="310"/>
        <v/>
      </c>
      <c r="B3985" t="str">
        <f t="shared" si="311"/>
        <v/>
      </c>
      <c r="C3985" t="str">
        <f t="shared" si="312"/>
        <v/>
      </c>
      <c r="D3985" t="str">
        <f>IF(E3985="","",IF(COUNTIF($E$2:E3985,E3985)&gt;1,"",SUMIFS(tbl_input[필요수량],tbl_input[집계키_지청],E3985)))</f>
        <v/>
      </c>
      <c r="E3985" t="str">
        <f>IFERROR(INDEX(tbl_input[집계키_지청],ROW()-1),"")</f>
        <v/>
      </c>
      <c r="F3985" t="str">
        <f t="shared" si="313"/>
        <v/>
      </c>
      <c r="G3985" t="str">
        <f t="shared" si="314"/>
        <v/>
      </c>
    </row>
    <row r="3986" spans="1:7" x14ac:dyDescent="0.4">
      <c r="A3986" t="str">
        <f t="shared" si="310"/>
        <v/>
      </c>
      <c r="B3986" t="str">
        <f t="shared" si="311"/>
        <v/>
      </c>
      <c r="C3986" t="str">
        <f t="shared" si="312"/>
        <v/>
      </c>
      <c r="D3986" t="str">
        <f>IF(E3986="","",IF(COUNTIF($E$2:E3986,E3986)&gt;1,"",SUMIFS(tbl_input[필요수량],tbl_input[집계키_지청],E3986)))</f>
        <v/>
      </c>
      <c r="E3986" t="str">
        <f>IFERROR(INDEX(tbl_input[집계키_지청],ROW()-1),"")</f>
        <v/>
      </c>
      <c r="F3986" t="str">
        <f t="shared" si="313"/>
        <v/>
      </c>
      <c r="G3986" t="str">
        <f t="shared" si="314"/>
        <v/>
      </c>
    </row>
    <row r="3987" spans="1:7" x14ac:dyDescent="0.4">
      <c r="A3987" t="str">
        <f t="shared" si="310"/>
        <v/>
      </c>
      <c r="B3987" t="str">
        <f t="shared" si="311"/>
        <v/>
      </c>
      <c r="C3987" t="str">
        <f t="shared" si="312"/>
        <v/>
      </c>
      <c r="D3987" t="str">
        <f>IF(E3987="","",IF(COUNTIF($E$2:E3987,E3987)&gt;1,"",SUMIFS(tbl_input[필요수량],tbl_input[집계키_지청],E3987)))</f>
        <v/>
      </c>
      <c r="E3987" t="str">
        <f>IFERROR(INDEX(tbl_input[집계키_지청],ROW()-1),"")</f>
        <v/>
      </c>
      <c r="F3987" t="str">
        <f t="shared" si="313"/>
        <v/>
      </c>
      <c r="G3987" t="str">
        <f t="shared" si="314"/>
        <v/>
      </c>
    </row>
    <row r="3988" spans="1:7" x14ac:dyDescent="0.4">
      <c r="A3988" t="str">
        <f t="shared" si="310"/>
        <v/>
      </c>
      <c r="B3988" t="str">
        <f t="shared" si="311"/>
        <v/>
      </c>
      <c r="C3988" t="str">
        <f t="shared" si="312"/>
        <v/>
      </c>
      <c r="D3988" t="str">
        <f>IF(E3988="","",IF(COUNTIF($E$2:E3988,E3988)&gt;1,"",SUMIFS(tbl_input[필요수량],tbl_input[집계키_지청],E3988)))</f>
        <v/>
      </c>
      <c r="E3988" t="str">
        <f>IFERROR(INDEX(tbl_input[집계키_지청],ROW()-1),"")</f>
        <v/>
      </c>
      <c r="F3988" t="str">
        <f t="shared" si="313"/>
        <v/>
      </c>
      <c r="G3988" t="str">
        <f t="shared" si="314"/>
        <v/>
      </c>
    </row>
    <row r="3989" spans="1:7" x14ac:dyDescent="0.4">
      <c r="A3989" t="str">
        <f t="shared" si="310"/>
        <v/>
      </c>
      <c r="B3989" t="str">
        <f t="shared" si="311"/>
        <v/>
      </c>
      <c r="C3989" t="str">
        <f t="shared" si="312"/>
        <v/>
      </c>
      <c r="D3989" t="str">
        <f>IF(E3989="","",IF(COUNTIF($E$2:E3989,E3989)&gt;1,"",SUMIFS(tbl_input[필요수량],tbl_input[집계키_지청],E3989)))</f>
        <v/>
      </c>
      <c r="E3989" t="str">
        <f>IFERROR(INDEX(tbl_input[집계키_지청],ROW()-1),"")</f>
        <v/>
      </c>
      <c r="F3989" t="str">
        <f t="shared" si="313"/>
        <v/>
      </c>
      <c r="G3989" t="str">
        <f t="shared" si="314"/>
        <v/>
      </c>
    </row>
    <row r="3990" spans="1:7" x14ac:dyDescent="0.4">
      <c r="A3990" t="str">
        <f t="shared" si="310"/>
        <v/>
      </c>
      <c r="B3990" t="str">
        <f t="shared" si="311"/>
        <v/>
      </c>
      <c r="C3990" t="str">
        <f t="shared" si="312"/>
        <v/>
      </c>
      <c r="D3990" t="str">
        <f>IF(E3990="","",IF(COUNTIF($E$2:E3990,E3990)&gt;1,"",SUMIFS(tbl_input[필요수량],tbl_input[집계키_지청],E3990)))</f>
        <v/>
      </c>
      <c r="E3990" t="str">
        <f>IFERROR(INDEX(tbl_input[집계키_지청],ROW()-1),"")</f>
        <v/>
      </c>
      <c r="F3990" t="str">
        <f t="shared" si="313"/>
        <v/>
      </c>
      <c r="G3990" t="str">
        <f t="shared" si="314"/>
        <v/>
      </c>
    </row>
    <row r="3991" spans="1:7" x14ac:dyDescent="0.4">
      <c r="A3991" t="str">
        <f t="shared" si="310"/>
        <v/>
      </c>
      <c r="B3991" t="str">
        <f t="shared" si="311"/>
        <v/>
      </c>
      <c r="C3991" t="str">
        <f t="shared" si="312"/>
        <v/>
      </c>
      <c r="D3991" t="str">
        <f>IF(E3991="","",IF(COUNTIF($E$2:E3991,E3991)&gt;1,"",SUMIFS(tbl_input[필요수량],tbl_input[집계키_지청],E3991)))</f>
        <v/>
      </c>
      <c r="E3991" t="str">
        <f>IFERROR(INDEX(tbl_input[집계키_지청],ROW()-1),"")</f>
        <v/>
      </c>
      <c r="F3991" t="str">
        <f t="shared" si="313"/>
        <v/>
      </c>
      <c r="G3991" t="str">
        <f t="shared" si="314"/>
        <v/>
      </c>
    </row>
    <row r="3992" spans="1:7" x14ac:dyDescent="0.4">
      <c r="A3992" t="str">
        <f t="shared" si="310"/>
        <v/>
      </c>
      <c r="B3992" t="str">
        <f t="shared" si="311"/>
        <v/>
      </c>
      <c r="C3992" t="str">
        <f t="shared" si="312"/>
        <v/>
      </c>
      <c r="D3992" t="str">
        <f>IF(E3992="","",IF(COUNTIF($E$2:E3992,E3992)&gt;1,"",SUMIFS(tbl_input[필요수량],tbl_input[집계키_지청],E3992)))</f>
        <v/>
      </c>
      <c r="E3992" t="str">
        <f>IFERROR(INDEX(tbl_input[집계키_지청],ROW()-1),"")</f>
        <v/>
      </c>
      <c r="F3992" t="str">
        <f t="shared" si="313"/>
        <v/>
      </c>
      <c r="G3992" t="str">
        <f t="shared" si="314"/>
        <v/>
      </c>
    </row>
    <row r="3993" spans="1:7" x14ac:dyDescent="0.4">
      <c r="A3993" t="str">
        <f t="shared" si="310"/>
        <v/>
      </c>
      <c r="B3993" t="str">
        <f t="shared" si="311"/>
        <v/>
      </c>
      <c r="C3993" t="str">
        <f t="shared" si="312"/>
        <v/>
      </c>
      <c r="D3993" t="str">
        <f>IF(E3993="","",IF(COUNTIF($E$2:E3993,E3993)&gt;1,"",SUMIFS(tbl_input[필요수량],tbl_input[집계키_지청],E3993)))</f>
        <v/>
      </c>
      <c r="E3993" t="str">
        <f>IFERROR(INDEX(tbl_input[집계키_지청],ROW()-1),"")</f>
        <v/>
      </c>
      <c r="F3993" t="str">
        <f t="shared" si="313"/>
        <v/>
      </c>
      <c r="G3993" t="str">
        <f t="shared" si="314"/>
        <v/>
      </c>
    </row>
    <row r="3994" spans="1:7" x14ac:dyDescent="0.4">
      <c r="A3994" t="str">
        <f t="shared" si="310"/>
        <v/>
      </c>
      <c r="B3994" t="str">
        <f t="shared" si="311"/>
        <v/>
      </c>
      <c r="C3994" t="str">
        <f t="shared" si="312"/>
        <v/>
      </c>
      <c r="D3994" t="str">
        <f>IF(E3994="","",IF(COUNTIF($E$2:E3994,E3994)&gt;1,"",SUMIFS(tbl_input[필요수량],tbl_input[집계키_지청],E3994)))</f>
        <v/>
      </c>
      <c r="E3994" t="str">
        <f>IFERROR(INDEX(tbl_input[집계키_지청],ROW()-1),"")</f>
        <v/>
      </c>
      <c r="F3994" t="str">
        <f t="shared" si="313"/>
        <v/>
      </c>
      <c r="G3994" t="str">
        <f t="shared" si="314"/>
        <v/>
      </c>
    </row>
    <row r="3995" spans="1:7" x14ac:dyDescent="0.4">
      <c r="A3995" t="str">
        <f t="shared" si="310"/>
        <v/>
      </c>
      <c r="B3995" t="str">
        <f t="shared" si="311"/>
        <v/>
      </c>
      <c r="C3995" t="str">
        <f t="shared" si="312"/>
        <v/>
      </c>
      <c r="D3995" t="str">
        <f>IF(E3995="","",IF(COUNTIF($E$2:E3995,E3995)&gt;1,"",SUMIFS(tbl_input[필요수량],tbl_input[집계키_지청],E3995)))</f>
        <v/>
      </c>
      <c r="E3995" t="str">
        <f>IFERROR(INDEX(tbl_input[집계키_지청],ROW()-1),"")</f>
        <v/>
      </c>
      <c r="F3995" t="str">
        <f t="shared" si="313"/>
        <v/>
      </c>
      <c r="G3995" t="str">
        <f t="shared" si="314"/>
        <v/>
      </c>
    </row>
    <row r="3996" spans="1:7" x14ac:dyDescent="0.4">
      <c r="A3996" t="str">
        <f t="shared" si="310"/>
        <v/>
      </c>
      <c r="B3996" t="str">
        <f t="shared" si="311"/>
        <v/>
      </c>
      <c r="C3996" t="str">
        <f t="shared" si="312"/>
        <v/>
      </c>
      <c r="D3996" t="str">
        <f>IF(E3996="","",IF(COUNTIF($E$2:E3996,E3996)&gt;1,"",SUMIFS(tbl_input[필요수량],tbl_input[집계키_지청],E3996)))</f>
        <v/>
      </c>
      <c r="E3996" t="str">
        <f>IFERROR(INDEX(tbl_input[집계키_지청],ROW()-1),"")</f>
        <v/>
      </c>
      <c r="F3996" t="str">
        <f t="shared" si="313"/>
        <v/>
      </c>
      <c r="G3996" t="str">
        <f t="shared" si="314"/>
        <v/>
      </c>
    </row>
    <row r="3997" spans="1:7" x14ac:dyDescent="0.4">
      <c r="A3997" t="str">
        <f t="shared" si="310"/>
        <v/>
      </c>
      <c r="B3997" t="str">
        <f t="shared" si="311"/>
        <v/>
      </c>
      <c r="C3997" t="str">
        <f t="shared" si="312"/>
        <v/>
      </c>
      <c r="D3997" t="str">
        <f>IF(E3997="","",IF(COUNTIF($E$2:E3997,E3997)&gt;1,"",SUMIFS(tbl_input[필요수량],tbl_input[집계키_지청],E3997)))</f>
        <v/>
      </c>
      <c r="E3997" t="str">
        <f>IFERROR(INDEX(tbl_input[집계키_지청],ROW()-1),"")</f>
        <v/>
      </c>
      <c r="F3997" t="str">
        <f t="shared" si="313"/>
        <v/>
      </c>
      <c r="G3997" t="str">
        <f t="shared" si="314"/>
        <v/>
      </c>
    </row>
    <row r="3998" spans="1:7" x14ac:dyDescent="0.4">
      <c r="A3998" t="str">
        <f t="shared" si="310"/>
        <v/>
      </c>
      <c r="B3998" t="str">
        <f t="shared" si="311"/>
        <v/>
      </c>
      <c r="C3998" t="str">
        <f t="shared" si="312"/>
        <v/>
      </c>
      <c r="D3998" t="str">
        <f>IF(E3998="","",IF(COUNTIF($E$2:E3998,E3998)&gt;1,"",SUMIFS(tbl_input[필요수량],tbl_input[집계키_지청],E3998)))</f>
        <v/>
      </c>
      <c r="E3998" t="str">
        <f>IFERROR(INDEX(tbl_input[집계키_지청],ROW()-1),"")</f>
        <v/>
      </c>
      <c r="F3998" t="str">
        <f t="shared" si="313"/>
        <v/>
      </c>
      <c r="G3998" t="str">
        <f t="shared" si="314"/>
        <v/>
      </c>
    </row>
    <row r="3999" spans="1:7" x14ac:dyDescent="0.4">
      <c r="A3999" t="str">
        <f t="shared" si="310"/>
        <v/>
      </c>
      <c r="B3999" t="str">
        <f t="shared" si="311"/>
        <v/>
      </c>
      <c r="C3999" t="str">
        <f t="shared" si="312"/>
        <v/>
      </c>
      <c r="D3999" t="str">
        <f>IF(E3999="","",IF(COUNTIF($E$2:E3999,E3999)&gt;1,"",SUMIFS(tbl_input[필요수량],tbl_input[집계키_지청],E3999)))</f>
        <v/>
      </c>
      <c r="E3999" t="str">
        <f>IFERROR(INDEX(tbl_input[집계키_지청],ROW()-1),"")</f>
        <v/>
      </c>
      <c r="F3999" t="str">
        <f t="shared" si="313"/>
        <v/>
      </c>
      <c r="G3999" t="str">
        <f t="shared" si="314"/>
        <v/>
      </c>
    </row>
    <row r="4000" spans="1:7" x14ac:dyDescent="0.4">
      <c r="A4000" t="str">
        <f t="shared" si="310"/>
        <v/>
      </c>
      <c r="B4000" t="str">
        <f t="shared" si="311"/>
        <v/>
      </c>
      <c r="C4000" t="str">
        <f t="shared" si="312"/>
        <v/>
      </c>
      <c r="D4000" t="str">
        <f>IF(E4000="","",IF(COUNTIF($E$2:E4000,E4000)&gt;1,"",SUMIFS(tbl_input[필요수량],tbl_input[집계키_지청],E4000)))</f>
        <v/>
      </c>
      <c r="E4000" t="str">
        <f>IFERROR(INDEX(tbl_input[집계키_지청],ROW()-1),"")</f>
        <v/>
      </c>
      <c r="F4000" t="str">
        <f t="shared" si="313"/>
        <v/>
      </c>
      <c r="G4000" t="str">
        <f t="shared" si="314"/>
        <v/>
      </c>
    </row>
    <row r="4001" spans="1:7" x14ac:dyDescent="0.4">
      <c r="A4001" t="str">
        <f t="shared" si="310"/>
        <v/>
      </c>
      <c r="B4001" t="str">
        <f t="shared" si="311"/>
        <v/>
      </c>
      <c r="C4001" t="str">
        <f t="shared" si="312"/>
        <v/>
      </c>
      <c r="D4001" t="str">
        <f>IF(E4001="","",IF(COUNTIF($E$2:E4001,E4001)&gt;1,"",SUMIFS(tbl_input[필요수량],tbl_input[집계키_지청],E4001)))</f>
        <v/>
      </c>
      <c r="E4001" t="str">
        <f>IFERROR(INDEX(tbl_input[집계키_지청],ROW()-1),"")</f>
        <v/>
      </c>
      <c r="F4001" t="str">
        <f t="shared" si="313"/>
        <v/>
      </c>
      <c r="G4001" t="str">
        <f t="shared" si="314"/>
        <v/>
      </c>
    </row>
    <row r="4002" spans="1:7" x14ac:dyDescent="0.4">
      <c r="A4002" t="str">
        <f t="shared" si="310"/>
        <v/>
      </c>
      <c r="B4002" t="str">
        <f t="shared" si="311"/>
        <v/>
      </c>
      <c r="C4002" t="str">
        <f t="shared" si="312"/>
        <v/>
      </c>
      <c r="D4002" t="str">
        <f>IF(E4002="","",IF(COUNTIF($E$2:E4002,E4002)&gt;1,"",SUMIFS(tbl_input[필요수량],tbl_input[집계키_지청],E4002)))</f>
        <v/>
      </c>
      <c r="E4002" t="str">
        <f>IFERROR(INDEX(tbl_input[집계키_지청],ROW()-1),"")</f>
        <v/>
      </c>
      <c r="F4002" t="str">
        <f t="shared" si="313"/>
        <v/>
      </c>
      <c r="G4002" t="str">
        <f t="shared" si="314"/>
        <v/>
      </c>
    </row>
    <row r="4003" spans="1:7" x14ac:dyDescent="0.4">
      <c r="A4003" t="str">
        <f t="shared" si="310"/>
        <v/>
      </c>
      <c r="B4003" t="str">
        <f t="shared" si="311"/>
        <v/>
      </c>
      <c r="C4003" t="str">
        <f t="shared" si="312"/>
        <v/>
      </c>
      <c r="D4003" t="str">
        <f>IF(E4003="","",IF(COUNTIF($E$2:E4003,E4003)&gt;1,"",SUMIFS(tbl_input[필요수량],tbl_input[집계키_지청],E4003)))</f>
        <v/>
      </c>
      <c r="E4003" t="str">
        <f>IFERROR(INDEX(tbl_input[집계키_지청],ROW()-1),"")</f>
        <v/>
      </c>
      <c r="F4003" t="str">
        <f t="shared" si="313"/>
        <v/>
      </c>
      <c r="G4003" t="str">
        <f t="shared" si="314"/>
        <v/>
      </c>
    </row>
    <row r="4004" spans="1:7" x14ac:dyDescent="0.4">
      <c r="A4004" t="str">
        <f t="shared" si="310"/>
        <v/>
      </c>
      <c r="B4004" t="str">
        <f t="shared" si="311"/>
        <v/>
      </c>
      <c r="C4004" t="str">
        <f t="shared" si="312"/>
        <v/>
      </c>
      <c r="D4004" t="str">
        <f>IF(E4004="","",IF(COUNTIF($E$2:E4004,E4004)&gt;1,"",SUMIFS(tbl_input[필요수량],tbl_input[집계키_지청],E4004)))</f>
        <v/>
      </c>
      <c r="E4004" t="str">
        <f>IFERROR(INDEX(tbl_input[집계키_지청],ROW()-1),"")</f>
        <v/>
      </c>
      <c r="F4004" t="str">
        <f t="shared" si="313"/>
        <v/>
      </c>
      <c r="G4004" t="str">
        <f t="shared" si="314"/>
        <v/>
      </c>
    </row>
    <row r="4005" spans="1:7" x14ac:dyDescent="0.4">
      <c r="A4005" t="str">
        <f t="shared" si="310"/>
        <v/>
      </c>
      <c r="B4005" t="str">
        <f t="shared" si="311"/>
        <v/>
      </c>
      <c r="C4005" t="str">
        <f t="shared" si="312"/>
        <v/>
      </c>
      <c r="D4005" t="str">
        <f>IF(E4005="","",IF(COUNTIF($E$2:E4005,E4005)&gt;1,"",SUMIFS(tbl_input[필요수량],tbl_input[집계키_지청],E4005)))</f>
        <v/>
      </c>
      <c r="E4005" t="str">
        <f>IFERROR(INDEX(tbl_input[집계키_지청],ROW()-1),"")</f>
        <v/>
      </c>
      <c r="F4005" t="str">
        <f t="shared" si="313"/>
        <v/>
      </c>
      <c r="G4005" t="str">
        <f t="shared" si="314"/>
        <v/>
      </c>
    </row>
    <row r="4006" spans="1:7" x14ac:dyDescent="0.4">
      <c r="A4006" t="str">
        <f t="shared" si="310"/>
        <v/>
      </c>
      <c r="B4006" t="str">
        <f t="shared" si="311"/>
        <v/>
      </c>
      <c r="C4006" t="str">
        <f t="shared" si="312"/>
        <v/>
      </c>
      <c r="D4006" t="str">
        <f>IF(E4006="","",IF(COUNTIF($E$2:E4006,E4006)&gt;1,"",SUMIFS(tbl_input[필요수량],tbl_input[집계키_지청],E4006)))</f>
        <v/>
      </c>
      <c r="E4006" t="str">
        <f>IFERROR(INDEX(tbl_input[집계키_지청],ROW()-1),"")</f>
        <v/>
      </c>
      <c r="F4006" t="str">
        <f t="shared" si="313"/>
        <v/>
      </c>
      <c r="G4006" t="str">
        <f t="shared" si="314"/>
        <v/>
      </c>
    </row>
    <row r="4007" spans="1:7" x14ac:dyDescent="0.4">
      <c r="A4007" t="str">
        <f t="shared" si="310"/>
        <v/>
      </c>
      <c r="B4007" t="str">
        <f t="shared" si="311"/>
        <v/>
      </c>
      <c r="C4007" t="str">
        <f t="shared" si="312"/>
        <v/>
      </c>
      <c r="D4007" t="str">
        <f>IF(E4007="","",IF(COUNTIF($E$2:E4007,E4007)&gt;1,"",SUMIFS(tbl_input[필요수량],tbl_input[집계키_지청],E4007)))</f>
        <v/>
      </c>
      <c r="E4007" t="str">
        <f>IFERROR(INDEX(tbl_input[집계키_지청],ROW()-1),"")</f>
        <v/>
      </c>
      <c r="F4007" t="str">
        <f t="shared" si="313"/>
        <v/>
      </c>
      <c r="G4007" t="str">
        <f t="shared" si="314"/>
        <v/>
      </c>
    </row>
    <row r="4008" spans="1:7" x14ac:dyDescent="0.4">
      <c r="A4008" t="str">
        <f t="shared" si="310"/>
        <v/>
      </c>
      <c r="B4008" t="str">
        <f t="shared" si="311"/>
        <v/>
      </c>
      <c r="C4008" t="str">
        <f t="shared" si="312"/>
        <v/>
      </c>
      <c r="D4008" t="str">
        <f>IF(E4008="","",IF(COUNTIF($E$2:E4008,E4008)&gt;1,"",SUMIFS(tbl_input[필요수량],tbl_input[집계키_지청],E4008)))</f>
        <v/>
      </c>
      <c r="E4008" t="str">
        <f>IFERROR(INDEX(tbl_input[집계키_지청],ROW()-1),"")</f>
        <v/>
      </c>
      <c r="F4008" t="str">
        <f t="shared" si="313"/>
        <v/>
      </c>
      <c r="G4008" t="str">
        <f t="shared" si="314"/>
        <v/>
      </c>
    </row>
    <row r="4009" spans="1:7" x14ac:dyDescent="0.4">
      <c r="A4009" t="str">
        <f t="shared" si="310"/>
        <v/>
      </c>
      <c r="B4009" t="str">
        <f t="shared" si="311"/>
        <v/>
      </c>
      <c r="C4009" t="str">
        <f t="shared" si="312"/>
        <v/>
      </c>
      <c r="D4009" t="str">
        <f>IF(E4009="","",IF(COUNTIF($E$2:E4009,E4009)&gt;1,"",SUMIFS(tbl_input[필요수량],tbl_input[집계키_지청],E4009)))</f>
        <v/>
      </c>
      <c r="E4009" t="str">
        <f>IFERROR(INDEX(tbl_input[집계키_지청],ROW()-1),"")</f>
        <v/>
      </c>
      <c r="F4009" t="str">
        <f t="shared" si="313"/>
        <v/>
      </c>
      <c r="G4009" t="str">
        <f t="shared" si="314"/>
        <v/>
      </c>
    </row>
    <row r="4010" spans="1:7" x14ac:dyDescent="0.4">
      <c r="A4010" t="str">
        <f t="shared" si="310"/>
        <v/>
      </c>
      <c r="B4010" t="str">
        <f t="shared" si="311"/>
        <v/>
      </c>
      <c r="C4010" t="str">
        <f t="shared" si="312"/>
        <v/>
      </c>
      <c r="D4010" t="str">
        <f>IF(E4010="","",IF(COUNTIF($E$2:E4010,E4010)&gt;1,"",SUMIFS(tbl_input[필요수량],tbl_input[집계키_지청],E4010)))</f>
        <v/>
      </c>
      <c r="E4010" t="str">
        <f>IFERROR(INDEX(tbl_input[집계키_지청],ROW()-1),"")</f>
        <v/>
      </c>
      <c r="F4010" t="str">
        <f t="shared" si="313"/>
        <v/>
      </c>
      <c r="G4010" t="str">
        <f t="shared" si="314"/>
        <v/>
      </c>
    </row>
    <row r="4011" spans="1:7" x14ac:dyDescent="0.4">
      <c r="A4011" t="str">
        <f t="shared" si="310"/>
        <v/>
      </c>
      <c r="B4011" t="str">
        <f t="shared" si="311"/>
        <v/>
      </c>
      <c r="C4011" t="str">
        <f t="shared" si="312"/>
        <v/>
      </c>
      <c r="D4011" t="str">
        <f>IF(E4011="","",IF(COUNTIF($E$2:E4011,E4011)&gt;1,"",SUMIFS(tbl_input[필요수량],tbl_input[집계키_지청],E4011)))</f>
        <v/>
      </c>
      <c r="E4011" t="str">
        <f>IFERROR(INDEX(tbl_input[집계키_지청],ROW()-1),"")</f>
        <v/>
      </c>
      <c r="F4011" t="str">
        <f t="shared" si="313"/>
        <v/>
      </c>
      <c r="G4011" t="str">
        <f t="shared" si="314"/>
        <v/>
      </c>
    </row>
    <row r="4012" spans="1:7" x14ac:dyDescent="0.4">
      <c r="A4012" t="str">
        <f t="shared" si="310"/>
        <v/>
      </c>
      <c r="B4012" t="str">
        <f t="shared" si="311"/>
        <v/>
      </c>
      <c r="C4012" t="str">
        <f t="shared" si="312"/>
        <v/>
      </c>
      <c r="D4012" t="str">
        <f>IF(E4012="","",IF(COUNTIF($E$2:E4012,E4012)&gt;1,"",SUMIFS(tbl_input[필요수량],tbl_input[집계키_지청],E4012)))</f>
        <v/>
      </c>
      <c r="E4012" t="str">
        <f>IFERROR(INDEX(tbl_input[집계키_지청],ROW()-1),"")</f>
        <v/>
      </c>
      <c r="F4012" t="str">
        <f t="shared" si="313"/>
        <v/>
      </c>
      <c r="G4012" t="str">
        <f t="shared" si="314"/>
        <v/>
      </c>
    </row>
    <row r="4013" spans="1:7" x14ac:dyDescent="0.4">
      <c r="A4013" t="str">
        <f t="shared" si="310"/>
        <v/>
      </c>
      <c r="B4013" t="str">
        <f t="shared" si="311"/>
        <v/>
      </c>
      <c r="C4013" t="str">
        <f t="shared" si="312"/>
        <v/>
      </c>
      <c r="D4013" t="str">
        <f>IF(E4013="","",IF(COUNTIF($E$2:E4013,E4013)&gt;1,"",SUMIFS(tbl_input[필요수량],tbl_input[집계키_지청],E4013)))</f>
        <v/>
      </c>
      <c r="E4013" t="str">
        <f>IFERROR(INDEX(tbl_input[집계키_지청],ROW()-1),"")</f>
        <v/>
      </c>
      <c r="F4013" t="str">
        <f t="shared" si="313"/>
        <v/>
      </c>
      <c r="G4013" t="str">
        <f t="shared" si="314"/>
        <v/>
      </c>
    </row>
    <row r="4014" spans="1:7" x14ac:dyDescent="0.4">
      <c r="A4014" t="str">
        <f t="shared" si="310"/>
        <v/>
      </c>
      <c r="B4014" t="str">
        <f t="shared" si="311"/>
        <v/>
      </c>
      <c r="C4014" t="str">
        <f t="shared" si="312"/>
        <v/>
      </c>
      <c r="D4014" t="str">
        <f>IF(E4014="","",IF(COUNTIF($E$2:E4014,E4014)&gt;1,"",SUMIFS(tbl_input[필요수량],tbl_input[집계키_지청],E4014)))</f>
        <v/>
      </c>
      <c r="E4014" t="str">
        <f>IFERROR(INDEX(tbl_input[집계키_지청],ROW()-1),"")</f>
        <v/>
      </c>
      <c r="F4014" t="str">
        <f t="shared" si="313"/>
        <v/>
      </c>
      <c r="G4014" t="str">
        <f t="shared" si="314"/>
        <v/>
      </c>
    </row>
    <row r="4015" spans="1:7" x14ac:dyDescent="0.4">
      <c r="A4015" t="str">
        <f t="shared" si="310"/>
        <v/>
      </c>
      <c r="B4015" t="str">
        <f t="shared" si="311"/>
        <v/>
      </c>
      <c r="C4015" t="str">
        <f t="shared" si="312"/>
        <v/>
      </c>
      <c r="D4015" t="str">
        <f>IF(E4015="","",IF(COUNTIF($E$2:E4015,E4015)&gt;1,"",SUMIFS(tbl_input[필요수량],tbl_input[집계키_지청],E4015)))</f>
        <v/>
      </c>
      <c r="E4015" t="str">
        <f>IFERROR(INDEX(tbl_input[집계키_지청],ROW()-1),"")</f>
        <v/>
      </c>
      <c r="F4015" t="str">
        <f t="shared" si="313"/>
        <v/>
      </c>
      <c r="G4015" t="str">
        <f t="shared" si="314"/>
        <v/>
      </c>
    </row>
    <row r="4016" spans="1:7" x14ac:dyDescent="0.4">
      <c r="A4016" t="str">
        <f t="shared" si="310"/>
        <v/>
      </c>
      <c r="B4016" t="str">
        <f t="shared" si="311"/>
        <v/>
      </c>
      <c r="C4016" t="str">
        <f t="shared" si="312"/>
        <v/>
      </c>
      <c r="D4016" t="str">
        <f>IF(E4016="","",IF(COUNTIF($E$2:E4016,E4016)&gt;1,"",SUMIFS(tbl_input[필요수량],tbl_input[집계키_지청],E4016)))</f>
        <v/>
      </c>
      <c r="E4016" t="str">
        <f>IFERROR(INDEX(tbl_input[집계키_지청],ROW()-1),"")</f>
        <v/>
      </c>
      <c r="F4016" t="str">
        <f t="shared" si="313"/>
        <v/>
      </c>
      <c r="G4016" t="str">
        <f t="shared" si="314"/>
        <v/>
      </c>
    </row>
    <row r="4017" spans="1:7" x14ac:dyDescent="0.4">
      <c r="A4017" t="str">
        <f t="shared" si="310"/>
        <v/>
      </c>
      <c r="B4017" t="str">
        <f t="shared" si="311"/>
        <v/>
      </c>
      <c r="C4017" t="str">
        <f t="shared" si="312"/>
        <v/>
      </c>
      <c r="D4017" t="str">
        <f>IF(E4017="","",IF(COUNTIF($E$2:E4017,E4017)&gt;1,"",SUMIFS(tbl_input[필요수량],tbl_input[집계키_지청],E4017)))</f>
        <v/>
      </c>
      <c r="E4017" t="str">
        <f>IFERROR(INDEX(tbl_input[집계키_지청],ROW()-1),"")</f>
        <v/>
      </c>
      <c r="F4017" t="str">
        <f t="shared" si="313"/>
        <v/>
      </c>
      <c r="G4017" t="str">
        <f t="shared" si="314"/>
        <v/>
      </c>
    </row>
    <row r="4018" spans="1:7" x14ac:dyDescent="0.4">
      <c r="A4018" t="str">
        <f t="shared" si="310"/>
        <v/>
      </c>
      <c r="B4018" t="str">
        <f t="shared" si="311"/>
        <v/>
      </c>
      <c r="C4018" t="str">
        <f t="shared" si="312"/>
        <v/>
      </c>
      <c r="D4018" t="str">
        <f>IF(E4018="","",IF(COUNTIF($E$2:E4018,E4018)&gt;1,"",SUMIFS(tbl_input[필요수량],tbl_input[집계키_지청],E4018)))</f>
        <v/>
      </c>
      <c r="E4018" t="str">
        <f>IFERROR(INDEX(tbl_input[집계키_지청],ROW()-1),"")</f>
        <v/>
      </c>
      <c r="F4018" t="str">
        <f t="shared" si="313"/>
        <v/>
      </c>
      <c r="G4018" t="str">
        <f t="shared" si="314"/>
        <v/>
      </c>
    </row>
    <row r="4019" spans="1:7" x14ac:dyDescent="0.4">
      <c r="A4019" t="str">
        <f t="shared" si="310"/>
        <v/>
      </c>
      <c r="B4019" t="str">
        <f t="shared" si="311"/>
        <v/>
      </c>
      <c r="C4019" t="str">
        <f t="shared" si="312"/>
        <v/>
      </c>
      <c r="D4019" t="str">
        <f>IF(E4019="","",IF(COUNTIF($E$2:E4019,E4019)&gt;1,"",SUMIFS(tbl_input[필요수량],tbl_input[집계키_지청],E4019)))</f>
        <v/>
      </c>
      <c r="E4019" t="str">
        <f>IFERROR(INDEX(tbl_input[집계키_지청],ROW()-1),"")</f>
        <v/>
      </c>
      <c r="F4019" t="str">
        <f t="shared" si="313"/>
        <v/>
      </c>
      <c r="G4019" t="str">
        <f t="shared" si="314"/>
        <v/>
      </c>
    </row>
    <row r="4020" spans="1:7" x14ac:dyDescent="0.4">
      <c r="A4020" t="str">
        <f t="shared" si="310"/>
        <v/>
      </c>
      <c r="B4020" t="str">
        <f t="shared" si="311"/>
        <v/>
      </c>
      <c r="C4020" t="str">
        <f t="shared" si="312"/>
        <v/>
      </c>
      <c r="D4020" t="str">
        <f>IF(E4020="","",IF(COUNTIF($E$2:E4020,E4020)&gt;1,"",SUMIFS(tbl_input[필요수량],tbl_input[집계키_지청],E4020)))</f>
        <v/>
      </c>
      <c r="E4020" t="str">
        <f>IFERROR(INDEX(tbl_input[집계키_지청],ROW()-1),"")</f>
        <v/>
      </c>
      <c r="F4020" t="str">
        <f t="shared" si="313"/>
        <v/>
      </c>
      <c r="G4020" t="str">
        <f t="shared" si="314"/>
        <v/>
      </c>
    </row>
    <row r="4021" spans="1:7" x14ac:dyDescent="0.4">
      <c r="A4021" t="str">
        <f t="shared" si="310"/>
        <v/>
      </c>
      <c r="B4021" t="str">
        <f t="shared" si="311"/>
        <v/>
      </c>
      <c r="C4021" t="str">
        <f t="shared" si="312"/>
        <v/>
      </c>
      <c r="D4021" t="str">
        <f>IF(E4021="","",IF(COUNTIF($E$2:E4021,E4021)&gt;1,"",SUMIFS(tbl_input[필요수량],tbl_input[집계키_지청],E4021)))</f>
        <v/>
      </c>
      <c r="E4021" t="str">
        <f>IFERROR(INDEX(tbl_input[집계키_지청],ROW()-1),"")</f>
        <v/>
      </c>
      <c r="F4021" t="str">
        <f t="shared" si="313"/>
        <v/>
      </c>
      <c r="G4021" t="str">
        <f t="shared" si="314"/>
        <v/>
      </c>
    </row>
    <row r="4022" spans="1:7" x14ac:dyDescent="0.4">
      <c r="A4022" t="str">
        <f t="shared" si="310"/>
        <v/>
      </c>
      <c r="B4022" t="str">
        <f t="shared" si="311"/>
        <v/>
      </c>
      <c r="C4022" t="str">
        <f t="shared" si="312"/>
        <v/>
      </c>
      <c r="D4022" t="str">
        <f>IF(E4022="","",IF(COUNTIF($E$2:E4022,E4022)&gt;1,"",SUMIFS(tbl_input[필요수량],tbl_input[집계키_지청],E4022)))</f>
        <v/>
      </c>
      <c r="E4022" t="str">
        <f>IFERROR(INDEX(tbl_input[집계키_지청],ROW()-1),"")</f>
        <v/>
      </c>
      <c r="F4022" t="str">
        <f t="shared" si="313"/>
        <v/>
      </c>
      <c r="G4022" t="str">
        <f t="shared" si="314"/>
        <v/>
      </c>
    </row>
    <row r="4023" spans="1:7" x14ac:dyDescent="0.4">
      <c r="A4023" t="str">
        <f t="shared" si="310"/>
        <v/>
      </c>
      <c r="B4023" t="str">
        <f t="shared" si="311"/>
        <v/>
      </c>
      <c r="C4023" t="str">
        <f t="shared" si="312"/>
        <v/>
      </c>
      <c r="D4023" t="str">
        <f>IF(E4023="","",IF(COUNTIF($E$2:E4023,E4023)&gt;1,"",SUMIFS(tbl_input[필요수량],tbl_input[집계키_지청],E4023)))</f>
        <v/>
      </c>
      <c r="E4023" t="str">
        <f>IFERROR(INDEX(tbl_input[집계키_지청],ROW()-1),"")</f>
        <v/>
      </c>
      <c r="F4023" t="str">
        <f t="shared" si="313"/>
        <v/>
      </c>
      <c r="G4023" t="str">
        <f t="shared" si="314"/>
        <v/>
      </c>
    </row>
    <row r="4024" spans="1:7" x14ac:dyDescent="0.4">
      <c r="A4024" t="str">
        <f t="shared" si="310"/>
        <v/>
      </c>
      <c r="B4024" t="str">
        <f t="shared" si="311"/>
        <v/>
      </c>
      <c r="C4024" t="str">
        <f t="shared" si="312"/>
        <v/>
      </c>
      <c r="D4024" t="str">
        <f>IF(E4024="","",IF(COUNTIF($E$2:E4024,E4024)&gt;1,"",SUMIFS(tbl_input[필요수량],tbl_input[집계키_지청],E4024)))</f>
        <v/>
      </c>
      <c r="E4024" t="str">
        <f>IFERROR(INDEX(tbl_input[집계키_지청],ROW()-1),"")</f>
        <v/>
      </c>
      <c r="F4024" t="str">
        <f t="shared" si="313"/>
        <v/>
      </c>
      <c r="G4024" t="str">
        <f t="shared" si="314"/>
        <v/>
      </c>
    </row>
    <row r="4025" spans="1:7" x14ac:dyDescent="0.4">
      <c r="A4025" t="str">
        <f t="shared" si="310"/>
        <v/>
      </c>
      <c r="B4025" t="str">
        <f t="shared" si="311"/>
        <v/>
      </c>
      <c r="C4025" t="str">
        <f t="shared" si="312"/>
        <v/>
      </c>
      <c r="D4025" t="str">
        <f>IF(E4025="","",IF(COUNTIF($E$2:E4025,E4025)&gt;1,"",SUMIFS(tbl_input[필요수량],tbl_input[집계키_지청],E4025)))</f>
        <v/>
      </c>
      <c r="E4025" t="str">
        <f>IFERROR(INDEX(tbl_input[집계키_지청],ROW()-1),"")</f>
        <v/>
      </c>
      <c r="F4025" t="str">
        <f t="shared" si="313"/>
        <v/>
      </c>
      <c r="G4025" t="str">
        <f t="shared" si="314"/>
        <v/>
      </c>
    </row>
    <row r="4026" spans="1:7" x14ac:dyDescent="0.4">
      <c r="A4026" t="str">
        <f t="shared" si="310"/>
        <v/>
      </c>
      <c r="B4026" t="str">
        <f t="shared" si="311"/>
        <v/>
      </c>
      <c r="C4026" t="str">
        <f t="shared" si="312"/>
        <v/>
      </c>
      <c r="D4026" t="str">
        <f>IF(E4026="","",IF(COUNTIF($E$2:E4026,E4026)&gt;1,"",SUMIFS(tbl_input[필요수량],tbl_input[집계키_지청],E4026)))</f>
        <v/>
      </c>
      <c r="E4026" t="str">
        <f>IFERROR(INDEX(tbl_input[집계키_지청],ROW()-1),"")</f>
        <v/>
      </c>
      <c r="F4026" t="str">
        <f t="shared" si="313"/>
        <v/>
      </c>
      <c r="G4026" t="str">
        <f t="shared" si="314"/>
        <v/>
      </c>
    </row>
    <row r="4027" spans="1:7" x14ac:dyDescent="0.4">
      <c r="A4027" t="str">
        <f t="shared" si="310"/>
        <v/>
      </c>
      <c r="B4027" t="str">
        <f t="shared" si="311"/>
        <v/>
      </c>
      <c r="C4027" t="str">
        <f t="shared" si="312"/>
        <v/>
      </c>
      <c r="D4027" t="str">
        <f>IF(E4027="","",IF(COUNTIF($E$2:E4027,E4027)&gt;1,"",SUMIFS(tbl_input[필요수량],tbl_input[집계키_지청],E4027)))</f>
        <v/>
      </c>
      <c r="E4027" t="str">
        <f>IFERROR(INDEX(tbl_input[집계키_지청],ROW()-1),"")</f>
        <v/>
      </c>
      <c r="F4027" t="str">
        <f t="shared" si="313"/>
        <v/>
      </c>
      <c r="G4027" t="str">
        <f t="shared" si="314"/>
        <v/>
      </c>
    </row>
    <row r="4028" spans="1:7" x14ac:dyDescent="0.4">
      <c r="A4028" t="str">
        <f t="shared" si="310"/>
        <v/>
      </c>
      <c r="B4028" t="str">
        <f t="shared" si="311"/>
        <v/>
      </c>
      <c r="C4028" t="str">
        <f t="shared" si="312"/>
        <v/>
      </c>
      <c r="D4028" t="str">
        <f>IF(E4028="","",IF(COUNTIF($E$2:E4028,E4028)&gt;1,"",SUMIFS(tbl_input[필요수량],tbl_input[집계키_지청],E4028)))</f>
        <v/>
      </c>
      <c r="E4028" t="str">
        <f>IFERROR(INDEX(tbl_input[집계키_지청],ROW()-1),"")</f>
        <v/>
      </c>
      <c r="F4028" t="str">
        <f t="shared" si="313"/>
        <v/>
      </c>
      <c r="G4028" t="str">
        <f t="shared" si="314"/>
        <v/>
      </c>
    </row>
    <row r="4029" spans="1:7" x14ac:dyDescent="0.4">
      <c r="A4029" t="str">
        <f t="shared" si="310"/>
        <v/>
      </c>
      <c r="B4029" t="str">
        <f t="shared" si="311"/>
        <v/>
      </c>
      <c r="C4029" t="str">
        <f t="shared" si="312"/>
        <v/>
      </c>
      <c r="D4029" t="str">
        <f>IF(E4029="","",IF(COUNTIF($E$2:E4029,E4029)&gt;1,"",SUMIFS(tbl_input[필요수량],tbl_input[집계키_지청],E4029)))</f>
        <v/>
      </c>
      <c r="E4029" t="str">
        <f>IFERROR(INDEX(tbl_input[집계키_지청],ROW()-1),"")</f>
        <v/>
      </c>
      <c r="F4029" t="str">
        <f t="shared" si="313"/>
        <v/>
      </c>
      <c r="G4029" t="str">
        <f t="shared" si="314"/>
        <v/>
      </c>
    </row>
    <row r="4030" spans="1:7" x14ac:dyDescent="0.4">
      <c r="A4030" t="str">
        <f t="shared" si="310"/>
        <v/>
      </c>
      <c r="B4030" t="str">
        <f t="shared" si="311"/>
        <v/>
      </c>
      <c r="C4030" t="str">
        <f t="shared" si="312"/>
        <v/>
      </c>
      <c r="D4030" t="str">
        <f>IF(E4030="","",IF(COUNTIF($E$2:E4030,E4030)&gt;1,"",SUMIFS(tbl_input[필요수량],tbl_input[집계키_지청],E4030)))</f>
        <v/>
      </c>
      <c r="E4030" t="str">
        <f>IFERROR(INDEX(tbl_input[집계키_지청],ROW()-1),"")</f>
        <v/>
      </c>
      <c r="F4030" t="str">
        <f t="shared" si="313"/>
        <v/>
      </c>
      <c r="G4030" t="str">
        <f t="shared" si="314"/>
        <v/>
      </c>
    </row>
    <row r="4031" spans="1:7" x14ac:dyDescent="0.4">
      <c r="A4031" t="str">
        <f t="shared" si="310"/>
        <v/>
      </c>
      <c r="B4031" t="str">
        <f t="shared" si="311"/>
        <v/>
      </c>
      <c r="C4031" t="str">
        <f t="shared" si="312"/>
        <v/>
      </c>
      <c r="D4031" t="str">
        <f>IF(E4031="","",IF(COUNTIF($E$2:E4031,E4031)&gt;1,"",SUMIFS(tbl_input[필요수량],tbl_input[집계키_지청],E4031)))</f>
        <v/>
      </c>
      <c r="E4031" t="str">
        <f>IFERROR(INDEX(tbl_input[집계키_지청],ROW()-1),"")</f>
        <v/>
      </c>
      <c r="F4031" t="str">
        <f t="shared" si="313"/>
        <v/>
      </c>
      <c r="G4031" t="str">
        <f t="shared" si="314"/>
        <v/>
      </c>
    </row>
    <row r="4032" spans="1:7" x14ac:dyDescent="0.4">
      <c r="A4032" t="str">
        <f t="shared" si="310"/>
        <v/>
      </c>
      <c r="B4032" t="str">
        <f t="shared" si="311"/>
        <v/>
      </c>
      <c r="C4032" t="str">
        <f t="shared" si="312"/>
        <v/>
      </c>
      <c r="D4032" t="str">
        <f>IF(E4032="","",IF(COUNTIF($E$2:E4032,E4032)&gt;1,"",SUMIFS(tbl_input[필요수량],tbl_input[집계키_지청],E4032)))</f>
        <v/>
      </c>
      <c r="E4032" t="str">
        <f>IFERROR(INDEX(tbl_input[집계키_지청],ROW()-1),"")</f>
        <v/>
      </c>
      <c r="F4032" t="str">
        <f t="shared" si="313"/>
        <v/>
      </c>
      <c r="G4032" t="str">
        <f t="shared" si="314"/>
        <v/>
      </c>
    </row>
    <row r="4033" spans="1:7" x14ac:dyDescent="0.4">
      <c r="A4033" t="str">
        <f t="shared" si="310"/>
        <v/>
      </c>
      <c r="B4033" t="str">
        <f t="shared" si="311"/>
        <v/>
      </c>
      <c r="C4033" t="str">
        <f t="shared" si="312"/>
        <v/>
      </c>
      <c r="D4033" t="str">
        <f>IF(E4033="","",IF(COUNTIF($E$2:E4033,E4033)&gt;1,"",SUMIFS(tbl_input[필요수량],tbl_input[집계키_지청],E4033)))</f>
        <v/>
      </c>
      <c r="E4033" t="str">
        <f>IFERROR(INDEX(tbl_input[집계키_지청],ROW()-1),"")</f>
        <v/>
      </c>
      <c r="F4033" t="str">
        <f t="shared" si="313"/>
        <v/>
      </c>
      <c r="G4033" t="str">
        <f t="shared" si="314"/>
        <v/>
      </c>
    </row>
    <row r="4034" spans="1:7" x14ac:dyDescent="0.4">
      <c r="A4034" t="str">
        <f t="shared" ref="A4034:A4097" si="315">IF(E4034="","",LEFT(E4034,F4034-1))</f>
        <v/>
      </c>
      <c r="B4034" t="str">
        <f t="shared" ref="B4034:B4097" si="316">IF(E4034="","",MID(E4034,F4034+1,G4034-F4034-1))</f>
        <v/>
      </c>
      <c r="C4034" t="str">
        <f t="shared" ref="C4034:C4097" si="317">IF(E4034="","",MID(E4034,G4034+1,999))</f>
        <v/>
      </c>
      <c r="D4034" t="str">
        <f>IF(E4034="","",IF(COUNTIF($E$2:E4034,E4034)&gt;1,"",SUMIFS(tbl_input[필요수량],tbl_input[집계키_지청],E4034)))</f>
        <v/>
      </c>
      <c r="E4034" t="str">
        <f>IFERROR(INDEX(tbl_input[집계키_지청],ROW()-1),"")</f>
        <v/>
      </c>
      <c r="F4034" t="str">
        <f t="shared" ref="F4034:F4097" si="318">IF(E4034="","",FIND("♦",E4034))</f>
        <v/>
      </c>
      <c r="G4034" t="str">
        <f t="shared" ref="G4034:G4097" si="319">IF(E4034="","",FIND("♦",E4034,F4034+1))</f>
        <v/>
      </c>
    </row>
    <row r="4035" spans="1:7" x14ac:dyDescent="0.4">
      <c r="A4035" t="str">
        <f t="shared" si="315"/>
        <v/>
      </c>
      <c r="B4035" t="str">
        <f t="shared" si="316"/>
        <v/>
      </c>
      <c r="C4035" t="str">
        <f t="shared" si="317"/>
        <v/>
      </c>
      <c r="D4035" t="str">
        <f>IF(E4035="","",IF(COUNTIF($E$2:E4035,E4035)&gt;1,"",SUMIFS(tbl_input[필요수량],tbl_input[집계키_지청],E4035)))</f>
        <v/>
      </c>
      <c r="E4035" t="str">
        <f>IFERROR(INDEX(tbl_input[집계키_지청],ROW()-1),"")</f>
        <v/>
      </c>
      <c r="F4035" t="str">
        <f t="shared" si="318"/>
        <v/>
      </c>
      <c r="G4035" t="str">
        <f t="shared" si="319"/>
        <v/>
      </c>
    </row>
    <row r="4036" spans="1:7" x14ac:dyDescent="0.4">
      <c r="A4036" t="str">
        <f t="shared" si="315"/>
        <v/>
      </c>
      <c r="B4036" t="str">
        <f t="shared" si="316"/>
        <v/>
      </c>
      <c r="C4036" t="str">
        <f t="shared" si="317"/>
        <v/>
      </c>
      <c r="D4036" t="str">
        <f>IF(E4036="","",IF(COUNTIF($E$2:E4036,E4036)&gt;1,"",SUMIFS(tbl_input[필요수량],tbl_input[집계키_지청],E4036)))</f>
        <v/>
      </c>
      <c r="E4036" t="str">
        <f>IFERROR(INDEX(tbl_input[집계키_지청],ROW()-1),"")</f>
        <v/>
      </c>
      <c r="F4036" t="str">
        <f t="shared" si="318"/>
        <v/>
      </c>
      <c r="G4036" t="str">
        <f t="shared" si="319"/>
        <v/>
      </c>
    </row>
    <row r="4037" spans="1:7" x14ac:dyDescent="0.4">
      <c r="A4037" t="str">
        <f t="shared" si="315"/>
        <v/>
      </c>
      <c r="B4037" t="str">
        <f t="shared" si="316"/>
        <v/>
      </c>
      <c r="C4037" t="str">
        <f t="shared" si="317"/>
        <v/>
      </c>
      <c r="D4037" t="str">
        <f>IF(E4037="","",IF(COUNTIF($E$2:E4037,E4037)&gt;1,"",SUMIFS(tbl_input[필요수량],tbl_input[집계키_지청],E4037)))</f>
        <v/>
      </c>
      <c r="E4037" t="str">
        <f>IFERROR(INDEX(tbl_input[집계키_지청],ROW()-1),"")</f>
        <v/>
      </c>
      <c r="F4037" t="str">
        <f t="shared" si="318"/>
        <v/>
      </c>
      <c r="G4037" t="str">
        <f t="shared" si="319"/>
        <v/>
      </c>
    </row>
    <row r="4038" spans="1:7" x14ac:dyDescent="0.4">
      <c r="A4038" t="str">
        <f t="shared" si="315"/>
        <v/>
      </c>
      <c r="B4038" t="str">
        <f t="shared" si="316"/>
        <v/>
      </c>
      <c r="C4038" t="str">
        <f t="shared" si="317"/>
        <v/>
      </c>
      <c r="D4038" t="str">
        <f>IF(E4038="","",IF(COUNTIF($E$2:E4038,E4038)&gt;1,"",SUMIFS(tbl_input[필요수량],tbl_input[집계키_지청],E4038)))</f>
        <v/>
      </c>
      <c r="E4038" t="str">
        <f>IFERROR(INDEX(tbl_input[집계키_지청],ROW()-1),"")</f>
        <v/>
      </c>
      <c r="F4038" t="str">
        <f t="shared" si="318"/>
        <v/>
      </c>
      <c r="G4038" t="str">
        <f t="shared" si="319"/>
        <v/>
      </c>
    </row>
    <row r="4039" spans="1:7" x14ac:dyDescent="0.4">
      <c r="A4039" t="str">
        <f t="shared" si="315"/>
        <v/>
      </c>
      <c r="B4039" t="str">
        <f t="shared" si="316"/>
        <v/>
      </c>
      <c r="C4039" t="str">
        <f t="shared" si="317"/>
        <v/>
      </c>
      <c r="D4039" t="str">
        <f>IF(E4039="","",IF(COUNTIF($E$2:E4039,E4039)&gt;1,"",SUMIFS(tbl_input[필요수량],tbl_input[집계키_지청],E4039)))</f>
        <v/>
      </c>
      <c r="E4039" t="str">
        <f>IFERROR(INDEX(tbl_input[집계키_지청],ROW()-1),"")</f>
        <v/>
      </c>
      <c r="F4039" t="str">
        <f t="shared" si="318"/>
        <v/>
      </c>
      <c r="G4039" t="str">
        <f t="shared" si="319"/>
        <v/>
      </c>
    </row>
    <row r="4040" spans="1:7" x14ac:dyDescent="0.4">
      <c r="A4040" t="str">
        <f t="shared" si="315"/>
        <v/>
      </c>
      <c r="B4040" t="str">
        <f t="shared" si="316"/>
        <v/>
      </c>
      <c r="C4040" t="str">
        <f t="shared" si="317"/>
        <v/>
      </c>
      <c r="D4040" t="str">
        <f>IF(E4040="","",IF(COUNTIF($E$2:E4040,E4040)&gt;1,"",SUMIFS(tbl_input[필요수량],tbl_input[집계키_지청],E4040)))</f>
        <v/>
      </c>
      <c r="E4040" t="str">
        <f>IFERROR(INDEX(tbl_input[집계키_지청],ROW()-1),"")</f>
        <v/>
      </c>
      <c r="F4040" t="str">
        <f t="shared" si="318"/>
        <v/>
      </c>
      <c r="G4040" t="str">
        <f t="shared" si="319"/>
        <v/>
      </c>
    </row>
    <row r="4041" spans="1:7" x14ac:dyDescent="0.4">
      <c r="A4041" t="str">
        <f t="shared" si="315"/>
        <v/>
      </c>
      <c r="B4041" t="str">
        <f t="shared" si="316"/>
        <v/>
      </c>
      <c r="C4041" t="str">
        <f t="shared" si="317"/>
        <v/>
      </c>
      <c r="D4041" t="str">
        <f>IF(E4041="","",IF(COUNTIF($E$2:E4041,E4041)&gt;1,"",SUMIFS(tbl_input[필요수량],tbl_input[집계키_지청],E4041)))</f>
        <v/>
      </c>
      <c r="E4041" t="str">
        <f>IFERROR(INDEX(tbl_input[집계키_지청],ROW()-1),"")</f>
        <v/>
      </c>
      <c r="F4041" t="str">
        <f t="shared" si="318"/>
        <v/>
      </c>
      <c r="G4041" t="str">
        <f t="shared" si="319"/>
        <v/>
      </c>
    </row>
    <row r="4042" spans="1:7" x14ac:dyDescent="0.4">
      <c r="A4042" t="str">
        <f t="shared" si="315"/>
        <v/>
      </c>
      <c r="B4042" t="str">
        <f t="shared" si="316"/>
        <v/>
      </c>
      <c r="C4042" t="str">
        <f t="shared" si="317"/>
        <v/>
      </c>
      <c r="D4042" t="str">
        <f>IF(E4042="","",IF(COUNTIF($E$2:E4042,E4042)&gt;1,"",SUMIFS(tbl_input[필요수량],tbl_input[집계키_지청],E4042)))</f>
        <v/>
      </c>
      <c r="E4042" t="str">
        <f>IFERROR(INDEX(tbl_input[집계키_지청],ROW()-1),"")</f>
        <v/>
      </c>
      <c r="F4042" t="str">
        <f t="shared" si="318"/>
        <v/>
      </c>
      <c r="G4042" t="str">
        <f t="shared" si="319"/>
        <v/>
      </c>
    </row>
    <row r="4043" spans="1:7" x14ac:dyDescent="0.4">
      <c r="A4043" t="str">
        <f t="shared" si="315"/>
        <v/>
      </c>
      <c r="B4043" t="str">
        <f t="shared" si="316"/>
        <v/>
      </c>
      <c r="C4043" t="str">
        <f t="shared" si="317"/>
        <v/>
      </c>
      <c r="D4043" t="str">
        <f>IF(E4043="","",IF(COUNTIF($E$2:E4043,E4043)&gt;1,"",SUMIFS(tbl_input[필요수량],tbl_input[집계키_지청],E4043)))</f>
        <v/>
      </c>
      <c r="E4043" t="str">
        <f>IFERROR(INDEX(tbl_input[집계키_지청],ROW()-1),"")</f>
        <v/>
      </c>
      <c r="F4043" t="str">
        <f t="shared" si="318"/>
        <v/>
      </c>
      <c r="G4043" t="str">
        <f t="shared" si="319"/>
        <v/>
      </c>
    </row>
    <row r="4044" spans="1:7" x14ac:dyDescent="0.4">
      <c r="A4044" t="str">
        <f t="shared" si="315"/>
        <v/>
      </c>
      <c r="B4044" t="str">
        <f t="shared" si="316"/>
        <v/>
      </c>
      <c r="C4044" t="str">
        <f t="shared" si="317"/>
        <v/>
      </c>
      <c r="D4044" t="str">
        <f>IF(E4044="","",IF(COUNTIF($E$2:E4044,E4044)&gt;1,"",SUMIFS(tbl_input[필요수량],tbl_input[집계키_지청],E4044)))</f>
        <v/>
      </c>
      <c r="E4044" t="str">
        <f>IFERROR(INDEX(tbl_input[집계키_지청],ROW()-1),"")</f>
        <v/>
      </c>
      <c r="F4044" t="str">
        <f t="shared" si="318"/>
        <v/>
      </c>
      <c r="G4044" t="str">
        <f t="shared" si="319"/>
        <v/>
      </c>
    </row>
    <row r="4045" spans="1:7" x14ac:dyDescent="0.4">
      <c r="A4045" t="str">
        <f t="shared" si="315"/>
        <v/>
      </c>
      <c r="B4045" t="str">
        <f t="shared" si="316"/>
        <v/>
      </c>
      <c r="C4045" t="str">
        <f t="shared" si="317"/>
        <v/>
      </c>
      <c r="D4045" t="str">
        <f>IF(E4045="","",IF(COUNTIF($E$2:E4045,E4045)&gt;1,"",SUMIFS(tbl_input[필요수량],tbl_input[집계키_지청],E4045)))</f>
        <v/>
      </c>
      <c r="E4045" t="str">
        <f>IFERROR(INDEX(tbl_input[집계키_지청],ROW()-1),"")</f>
        <v/>
      </c>
      <c r="F4045" t="str">
        <f t="shared" si="318"/>
        <v/>
      </c>
      <c r="G4045" t="str">
        <f t="shared" si="319"/>
        <v/>
      </c>
    </row>
    <row r="4046" spans="1:7" x14ac:dyDescent="0.4">
      <c r="A4046" t="str">
        <f t="shared" si="315"/>
        <v/>
      </c>
      <c r="B4046" t="str">
        <f t="shared" si="316"/>
        <v/>
      </c>
      <c r="C4046" t="str">
        <f t="shared" si="317"/>
        <v/>
      </c>
      <c r="D4046" t="str">
        <f>IF(E4046="","",IF(COUNTIF($E$2:E4046,E4046)&gt;1,"",SUMIFS(tbl_input[필요수량],tbl_input[집계키_지청],E4046)))</f>
        <v/>
      </c>
      <c r="E4046" t="str">
        <f>IFERROR(INDEX(tbl_input[집계키_지청],ROW()-1),"")</f>
        <v/>
      </c>
      <c r="F4046" t="str">
        <f t="shared" si="318"/>
        <v/>
      </c>
      <c r="G4046" t="str">
        <f t="shared" si="319"/>
        <v/>
      </c>
    </row>
    <row r="4047" spans="1:7" x14ac:dyDescent="0.4">
      <c r="A4047" t="str">
        <f t="shared" si="315"/>
        <v/>
      </c>
      <c r="B4047" t="str">
        <f t="shared" si="316"/>
        <v/>
      </c>
      <c r="C4047" t="str">
        <f t="shared" si="317"/>
        <v/>
      </c>
      <c r="D4047" t="str">
        <f>IF(E4047="","",IF(COUNTIF($E$2:E4047,E4047)&gt;1,"",SUMIFS(tbl_input[필요수량],tbl_input[집계키_지청],E4047)))</f>
        <v/>
      </c>
      <c r="E4047" t="str">
        <f>IFERROR(INDEX(tbl_input[집계키_지청],ROW()-1),"")</f>
        <v/>
      </c>
      <c r="F4047" t="str">
        <f t="shared" si="318"/>
        <v/>
      </c>
      <c r="G4047" t="str">
        <f t="shared" si="319"/>
        <v/>
      </c>
    </row>
    <row r="4048" spans="1:7" x14ac:dyDescent="0.4">
      <c r="A4048" t="str">
        <f t="shared" si="315"/>
        <v/>
      </c>
      <c r="B4048" t="str">
        <f t="shared" si="316"/>
        <v/>
      </c>
      <c r="C4048" t="str">
        <f t="shared" si="317"/>
        <v/>
      </c>
      <c r="D4048" t="str">
        <f>IF(E4048="","",IF(COUNTIF($E$2:E4048,E4048)&gt;1,"",SUMIFS(tbl_input[필요수량],tbl_input[집계키_지청],E4048)))</f>
        <v/>
      </c>
      <c r="E4048" t="str">
        <f>IFERROR(INDEX(tbl_input[집계키_지청],ROW()-1),"")</f>
        <v/>
      </c>
      <c r="F4048" t="str">
        <f t="shared" si="318"/>
        <v/>
      </c>
      <c r="G4048" t="str">
        <f t="shared" si="319"/>
        <v/>
      </c>
    </row>
    <row r="4049" spans="1:7" x14ac:dyDescent="0.4">
      <c r="A4049" t="str">
        <f t="shared" si="315"/>
        <v/>
      </c>
      <c r="B4049" t="str">
        <f t="shared" si="316"/>
        <v/>
      </c>
      <c r="C4049" t="str">
        <f t="shared" si="317"/>
        <v/>
      </c>
      <c r="D4049" t="str">
        <f>IF(E4049="","",IF(COUNTIF($E$2:E4049,E4049)&gt;1,"",SUMIFS(tbl_input[필요수량],tbl_input[집계키_지청],E4049)))</f>
        <v/>
      </c>
      <c r="E4049" t="str">
        <f>IFERROR(INDEX(tbl_input[집계키_지청],ROW()-1),"")</f>
        <v/>
      </c>
      <c r="F4049" t="str">
        <f t="shared" si="318"/>
        <v/>
      </c>
      <c r="G4049" t="str">
        <f t="shared" si="319"/>
        <v/>
      </c>
    </row>
    <row r="4050" spans="1:7" x14ac:dyDescent="0.4">
      <c r="A4050" t="str">
        <f t="shared" si="315"/>
        <v/>
      </c>
      <c r="B4050" t="str">
        <f t="shared" si="316"/>
        <v/>
      </c>
      <c r="C4050" t="str">
        <f t="shared" si="317"/>
        <v/>
      </c>
      <c r="D4050" t="str">
        <f>IF(E4050="","",IF(COUNTIF($E$2:E4050,E4050)&gt;1,"",SUMIFS(tbl_input[필요수량],tbl_input[집계키_지청],E4050)))</f>
        <v/>
      </c>
      <c r="E4050" t="str">
        <f>IFERROR(INDEX(tbl_input[집계키_지청],ROW()-1),"")</f>
        <v/>
      </c>
      <c r="F4050" t="str">
        <f t="shared" si="318"/>
        <v/>
      </c>
      <c r="G4050" t="str">
        <f t="shared" si="319"/>
        <v/>
      </c>
    </row>
    <row r="4051" spans="1:7" x14ac:dyDescent="0.4">
      <c r="A4051" t="str">
        <f t="shared" si="315"/>
        <v/>
      </c>
      <c r="B4051" t="str">
        <f t="shared" si="316"/>
        <v/>
      </c>
      <c r="C4051" t="str">
        <f t="shared" si="317"/>
        <v/>
      </c>
      <c r="D4051" t="str">
        <f>IF(E4051="","",IF(COUNTIF($E$2:E4051,E4051)&gt;1,"",SUMIFS(tbl_input[필요수량],tbl_input[집계키_지청],E4051)))</f>
        <v/>
      </c>
      <c r="E4051" t="str">
        <f>IFERROR(INDEX(tbl_input[집계키_지청],ROW()-1),"")</f>
        <v/>
      </c>
      <c r="F4051" t="str">
        <f t="shared" si="318"/>
        <v/>
      </c>
      <c r="G4051" t="str">
        <f t="shared" si="319"/>
        <v/>
      </c>
    </row>
    <row r="4052" spans="1:7" x14ac:dyDescent="0.4">
      <c r="A4052" t="str">
        <f t="shared" si="315"/>
        <v/>
      </c>
      <c r="B4052" t="str">
        <f t="shared" si="316"/>
        <v/>
      </c>
      <c r="C4052" t="str">
        <f t="shared" si="317"/>
        <v/>
      </c>
      <c r="D4052" t="str">
        <f>IF(E4052="","",IF(COUNTIF($E$2:E4052,E4052)&gt;1,"",SUMIFS(tbl_input[필요수량],tbl_input[집계키_지청],E4052)))</f>
        <v/>
      </c>
      <c r="E4052" t="str">
        <f>IFERROR(INDEX(tbl_input[집계키_지청],ROW()-1),"")</f>
        <v/>
      </c>
      <c r="F4052" t="str">
        <f t="shared" si="318"/>
        <v/>
      </c>
      <c r="G4052" t="str">
        <f t="shared" si="319"/>
        <v/>
      </c>
    </row>
    <row r="4053" spans="1:7" x14ac:dyDescent="0.4">
      <c r="A4053" t="str">
        <f t="shared" si="315"/>
        <v/>
      </c>
      <c r="B4053" t="str">
        <f t="shared" si="316"/>
        <v/>
      </c>
      <c r="C4053" t="str">
        <f t="shared" si="317"/>
        <v/>
      </c>
      <c r="D4053" t="str">
        <f>IF(E4053="","",IF(COUNTIF($E$2:E4053,E4053)&gt;1,"",SUMIFS(tbl_input[필요수량],tbl_input[집계키_지청],E4053)))</f>
        <v/>
      </c>
      <c r="E4053" t="str">
        <f>IFERROR(INDEX(tbl_input[집계키_지청],ROW()-1),"")</f>
        <v/>
      </c>
      <c r="F4053" t="str">
        <f t="shared" si="318"/>
        <v/>
      </c>
      <c r="G4053" t="str">
        <f t="shared" si="319"/>
        <v/>
      </c>
    </row>
    <row r="4054" spans="1:7" x14ac:dyDescent="0.4">
      <c r="A4054" t="str">
        <f t="shared" si="315"/>
        <v/>
      </c>
      <c r="B4054" t="str">
        <f t="shared" si="316"/>
        <v/>
      </c>
      <c r="C4054" t="str">
        <f t="shared" si="317"/>
        <v/>
      </c>
      <c r="D4054" t="str">
        <f>IF(E4054="","",IF(COUNTIF($E$2:E4054,E4054)&gt;1,"",SUMIFS(tbl_input[필요수량],tbl_input[집계키_지청],E4054)))</f>
        <v/>
      </c>
      <c r="E4054" t="str">
        <f>IFERROR(INDEX(tbl_input[집계키_지청],ROW()-1),"")</f>
        <v/>
      </c>
      <c r="F4054" t="str">
        <f t="shared" si="318"/>
        <v/>
      </c>
      <c r="G4054" t="str">
        <f t="shared" si="319"/>
        <v/>
      </c>
    </row>
    <row r="4055" spans="1:7" x14ac:dyDescent="0.4">
      <c r="A4055" t="str">
        <f t="shared" si="315"/>
        <v/>
      </c>
      <c r="B4055" t="str">
        <f t="shared" si="316"/>
        <v/>
      </c>
      <c r="C4055" t="str">
        <f t="shared" si="317"/>
        <v/>
      </c>
      <c r="D4055" t="str">
        <f>IF(E4055="","",IF(COUNTIF($E$2:E4055,E4055)&gt;1,"",SUMIFS(tbl_input[필요수량],tbl_input[집계키_지청],E4055)))</f>
        <v/>
      </c>
      <c r="E4055" t="str">
        <f>IFERROR(INDEX(tbl_input[집계키_지청],ROW()-1),"")</f>
        <v/>
      </c>
      <c r="F4055" t="str">
        <f t="shared" si="318"/>
        <v/>
      </c>
      <c r="G4055" t="str">
        <f t="shared" si="319"/>
        <v/>
      </c>
    </row>
    <row r="4056" spans="1:7" x14ac:dyDescent="0.4">
      <c r="A4056" t="str">
        <f t="shared" si="315"/>
        <v/>
      </c>
      <c r="B4056" t="str">
        <f t="shared" si="316"/>
        <v/>
      </c>
      <c r="C4056" t="str">
        <f t="shared" si="317"/>
        <v/>
      </c>
      <c r="D4056" t="str">
        <f>IF(E4056="","",IF(COUNTIF($E$2:E4056,E4056)&gt;1,"",SUMIFS(tbl_input[필요수량],tbl_input[집계키_지청],E4056)))</f>
        <v/>
      </c>
      <c r="E4056" t="str">
        <f>IFERROR(INDEX(tbl_input[집계키_지청],ROW()-1),"")</f>
        <v/>
      </c>
      <c r="F4056" t="str">
        <f t="shared" si="318"/>
        <v/>
      </c>
      <c r="G4056" t="str">
        <f t="shared" si="319"/>
        <v/>
      </c>
    </row>
    <row r="4057" spans="1:7" x14ac:dyDescent="0.4">
      <c r="A4057" t="str">
        <f t="shared" si="315"/>
        <v/>
      </c>
      <c r="B4057" t="str">
        <f t="shared" si="316"/>
        <v/>
      </c>
      <c r="C4057" t="str">
        <f t="shared" si="317"/>
        <v/>
      </c>
      <c r="D4057" t="str">
        <f>IF(E4057="","",IF(COUNTIF($E$2:E4057,E4057)&gt;1,"",SUMIFS(tbl_input[필요수량],tbl_input[집계키_지청],E4057)))</f>
        <v/>
      </c>
      <c r="E4057" t="str">
        <f>IFERROR(INDEX(tbl_input[집계키_지청],ROW()-1),"")</f>
        <v/>
      </c>
      <c r="F4057" t="str">
        <f t="shared" si="318"/>
        <v/>
      </c>
      <c r="G4057" t="str">
        <f t="shared" si="319"/>
        <v/>
      </c>
    </row>
    <row r="4058" spans="1:7" x14ac:dyDescent="0.4">
      <c r="A4058" t="str">
        <f t="shared" si="315"/>
        <v/>
      </c>
      <c r="B4058" t="str">
        <f t="shared" si="316"/>
        <v/>
      </c>
      <c r="C4058" t="str">
        <f t="shared" si="317"/>
        <v/>
      </c>
      <c r="D4058" t="str">
        <f>IF(E4058="","",IF(COUNTIF($E$2:E4058,E4058)&gt;1,"",SUMIFS(tbl_input[필요수량],tbl_input[집계키_지청],E4058)))</f>
        <v/>
      </c>
      <c r="E4058" t="str">
        <f>IFERROR(INDEX(tbl_input[집계키_지청],ROW()-1),"")</f>
        <v/>
      </c>
      <c r="F4058" t="str">
        <f t="shared" si="318"/>
        <v/>
      </c>
      <c r="G4058" t="str">
        <f t="shared" si="319"/>
        <v/>
      </c>
    </row>
    <row r="4059" spans="1:7" x14ac:dyDescent="0.4">
      <c r="A4059" t="str">
        <f t="shared" si="315"/>
        <v/>
      </c>
      <c r="B4059" t="str">
        <f t="shared" si="316"/>
        <v/>
      </c>
      <c r="C4059" t="str">
        <f t="shared" si="317"/>
        <v/>
      </c>
      <c r="D4059" t="str">
        <f>IF(E4059="","",IF(COUNTIF($E$2:E4059,E4059)&gt;1,"",SUMIFS(tbl_input[필요수량],tbl_input[집계키_지청],E4059)))</f>
        <v/>
      </c>
      <c r="E4059" t="str">
        <f>IFERROR(INDEX(tbl_input[집계키_지청],ROW()-1),"")</f>
        <v/>
      </c>
      <c r="F4059" t="str">
        <f t="shared" si="318"/>
        <v/>
      </c>
      <c r="G4059" t="str">
        <f t="shared" si="319"/>
        <v/>
      </c>
    </row>
    <row r="4060" spans="1:7" x14ac:dyDescent="0.4">
      <c r="A4060" t="str">
        <f t="shared" si="315"/>
        <v/>
      </c>
      <c r="B4060" t="str">
        <f t="shared" si="316"/>
        <v/>
      </c>
      <c r="C4060" t="str">
        <f t="shared" si="317"/>
        <v/>
      </c>
      <c r="D4060" t="str">
        <f>IF(E4060="","",IF(COUNTIF($E$2:E4060,E4060)&gt;1,"",SUMIFS(tbl_input[필요수량],tbl_input[집계키_지청],E4060)))</f>
        <v/>
      </c>
      <c r="E4060" t="str">
        <f>IFERROR(INDEX(tbl_input[집계키_지청],ROW()-1),"")</f>
        <v/>
      </c>
      <c r="F4060" t="str">
        <f t="shared" si="318"/>
        <v/>
      </c>
      <c r="G4060" t="str">
        <f t="shared" si="319"/>
        <v/>
      </c>
    </row>
    <row r="4061" spans="1:7" x14ac:dyDescent="0.4">
      <c r="A4061" t="str">
        <f t="shared" si="315"/>
        <v/>
      </c>
      <c r="B4061" t="str">
        <f t="shared" si="316"/>
        <v/>
      </c>
      <c r="C4061" t="str">
        <f t="shared" si="317"/>
        <v/>
      </c>
      <c r="D4061" t="str">
        <f>IF(E4061="","",IF(COUNTIF($E$2:E4061,E4061)&gt;1,"",SUMIFS(tbl_input[필요수량],tbl_input[집계키_지청],E4061)))</f>
        <v/>
      </c>
      <c r="E4061" t="str">
        <f>IFERROR(INDEX(tbl_input[집계키_지청],ROW()-1),"")</f>
        <v/>
      </c>
      <c r="F4061" t="str">
        <f t="shared" si="318"/>
        <v/>
      </c>
      <c r="G4061" t="str">
        <f t="shared" si="319"/>
        <v/>
      </c>
    </row>
    <row r="4062" spans="1:7" x14ac:dyDescent="0.4">
      <c r="A4062" t="str">
        <f t="shared" si="315"/>
        <v/>
      </c>
      <c r="B4062" t="str">
        <f t="shared" si="316"/>
        <v/>
      </c>
      <c r="C4062" t="str">
        <f t="shared" si="317"/>
        <v/>
      </c>
      <c r="D4062" t="str">
        <f>IF(E4062="","",IF(COUNTIF($E$2:E4062,E4062)&gt;1,"",SUMIFS(tbl_input[필요수량],tbl_input[집계키_지청],E4062)))</f>
        <v/>
      </c>
      <c r="E4062" t="str">
        <f>IFERROR(INDEX(tbl_input[집계키_지청],ROW()-1),"")</f>
        <v/>
      </c>
      <c r="F4062" t="str">
        <f t="shared" si="318"/>
        <v/>
      </c>
      <c r="G4062" t="str">
        <f t="shared" si="319"/>
        <v/>
      </c>
    </row>
    <row r="4063" spans="1:7" x14ac:dyDescent="0.4">
      <c r="A4063" t="str">
        <f t="shared" si="315"/>
        <v/>
      </c>
      <c r="B4063" t="str">
        <f t="shared" si="316"/>
        <v/>
      </c>
      <c r="C4063" t="str">
        <f t="shared" si="317"/>
        <v/>
      </c>
      <c r="D4063" t="str">
        <f>IF(E4063="","",IF(COUNTIF($E$2:E4063,E4063)&gt;1,"",SUMIFS(tbl_input[필요수량],tbl_input[집계키_지청],E4063)))</f>
        <v/>
      </c>
      <c r="E4063" t="str">
        <f>IFERROR(INDEX(tbl_input[집계키_지청],ROW()-1),"")</f>
        <v/>
      </c>
      <c r="F4063" t="str">
        <f t="shared" si="318"/>
        <v/>
      </c>
      <c r="G4063" t="str">
        <f t="shared" si="319"/>
        <v/>
      </c>
    </row>
    <row r="4064" spans="1:7" x14ac:dyDescent="0.4">
      <c r="A4064" t="str">
        <f t="shared" si="315"/>
        <v/>
      </c>
      <c r="B4064" t="str">
        <f t="shared" si="316"/>
        <v/>
      </c>
      <c r="C4064" t="str">
        <f t="shared" si="317"/>
        <v/>
      </c>
      <c r="D4064" t="str">
        <f>IF(E4064="","",IF(COUNTIF($E$2:E4064,E4064)&gt;1,"",SUMIFS(tbl_input[필요수량],tbl_input[집계키_지청],E4064)))</f>
        <v/>
      </c>
      <c r="E4064" t="str">
        <f>IFERROR(INDEX(tbl_input[집계키_지청],ROW()-1),"")</f>
        <v/>
      </c>
      <c r="F4064" t="str">
        <f t="shared" si="318"/>
        <v/>
      </c>
      <c r="G4064" t="str">
        <f t="shared" si="319"/>
        <v/>
      </c>
    </row>
    <row r="4065" spans="1:7" x14ac:dyDescent="0.4">
      <c r="A4065" t="str">
        <f t="shared" si="315"/>
        <v/>
      </c>
      <c r="B4065" t="str">
        <f t="shared" si="316"/>
        <v/>
      </c>
      <c r="C4065" t="str">
        <f t="shared" si="317"/>
        <v/>
      </c>
      <c r="D4065" t="str">
        <f>IF(E4065="","",IF(COUNTIF($E$2:E4065,E4065)&gt;1,"",SUMIFS(tbl_input[필요수량],tbl_input[집계키_지청],E4065)))</f>
        <v/>
      </c>
      <c r="E4065" t="str">
        <f>IFERROR(INDEX(tbl_input[집계키_지청],ROW()-1),"")</f>
        <v/>
      </c>
      <c r="F4065" t="str">
        <f t="shared" si="318"/>
        <v/>
      </c>
      <c r="G4065" t="str">
        <f t="shared" si="319"/>
        <v/>
      </c>
    </row>
    <row r="4066" spans="1:7" x14ac:dyDescent="0.4">
      <c r="A4066" t="str">
        <f t="shared" si="315"/>
        <v/>
      </c>
      <c r="B4066" t="str">
        <f t="shared" si="316"/>
        <v/>
      </c>
      <c r="C4066" t="str">
        <f t="shared" si="317"/>
        <v/>
      </c>
      <c r="D4066" t="str">
        <f>IF(E4066="","",IF(COUNTIF($E$2:E4066,E4066)&gt;1,"",SUMIFS(tbl_input[필요수량],tbl_input[집계키_지청],E4066)))</f>
        <v/>
      </c>
      <c r="E4066" t="str">
        <f>IFERROR(INDEX(tbl_input[집계키_지청],ROW()-1),"")</f>
        <v/>
      </c>
      <c r="F4066" t="str">
        <f t="shared" si="318"/>
        <v/>
      </c>
      <c r="G4066" t="str">
        <f t="shared" si="319"/>
        <v/>
      </c>
    </row>
    <row r="4067" spans="1:7" x14ac:dyDescent="0.4">
      <c r="A4067" t="str">
        <f t="shared" si="315"/>
        <v/>
      </c>
      <c r="B4067" t="str">
        <f t="shared" si="316"/>
        <v/>
      </c>
      <c r="C4067" t="str">
        <f t="shared" si="317"/>
        <v/>
      </c>
      <c r="D4067" t="str">
        <f>IF(E4067="","",IF(COUNTIF($E$2:E4067,E4067)&gt;1,"",SUMIFS(tbl_input[필요수량],tbl_input[집계키_지청],E4067)))</f>
        <v/>
      </c>
      <c r="E4067" t="str">
        <f>IFERROR(INDEX(tbl_input[집계키_지청],ROW()-1),"")</f>
        <v/>
      </c>
      <c r="F4067" t="str">
        <f t="shared" si="318"/>
        <v/>
      </c>
      <c r="G4067" t="str">
        <f t="shared" si="319"/>
        <v/>
      </c>
    </row>
    <row r="4068" spans="1:7" x14ac:dyDescent="0.4">
      <c r="A4068" t="str">
        <f t="shared" si="315"/>
        <v/>
      </c>
      <c r="B4068" t="str">
        <f t="shared" si="316"/>
        <v/>
      </c>
      <c r="C4068" t="str">
        <f t="shared" si="317"/>
        <v/>
      </c>
      <c r="D4068" t="str">
        <f>IF(E4068="","",IF(COUNTIF($E$2:E4068,E4068)&gt;1,"",SUMIFS(tbl_input[필요수량],tbl_input[집계키_지청],E4068)))</f>
        <v/>
      </c>
      <c r="E4068" t="str">
        <f>IFERROR(INDEX(tbl_input[집계키_지청],ROW()-1),"")</f>
        <v/>
      </c>
      <c r="F4068" t="str">
        <f t="shared" si="318"/>
        <v/>
      </c>
      <c r="G4068" t="str">
        <f t="shared" si="319"/>
        <v/>
      </c>
    </row>
    <row r="4069" spans="1:7" x14ac:dyDescent="0.4">
      <c r="A4069" t="str">
        <f t="shared" si="315"/>
        <v/>
      </c>
      <c r="B4069" t="str">
        <f t="shared" si="316"/>
        <v/>
      </c>
      <c r="C4069" t="str">
        <f t="shared" si="317"/>
        <v/>
      </c>
      <c r="D4069" t="str">
        <f>IF(E4069="","",IF(COUNTIF($E$2:E4069,E4069)&gt;1,"",SUMIFS(tbl_input[필요수량],tbl_input[집계키_지청],E4069)))</f>
        <v/>
      </c>
      <c r="E4069" t="str">
        <f>IFERROR(INDEX(tbl_input[집계키_지청],ROW()-1),"")</f>
        <v/>
      </c>
      <c r="F4069" t="str">
        <f t="shared" si="318"/>
        <v/>
      </c>
      <c r="G4069" t="str">
        <f t="shared" si="319"/>
        <v/>
      </c>
    </row>
    <row r="4070" spans="1:7" x14ac:dyDescent="0.4">
      <c r="A4070" t="str">
        <f t="shared" si="315"/>
        <v/>
      </c>
      <c r="B4070" t="str">
        <f t="shared" si="316"/>
        <v/>
      </c>
      <c r="C4070" t="str">
        <f t="shared" si="317"/>
        <v/>
      </c>
      <c r="D4070" t="str">
        <f>IF(E4070="","",IF(COUNTIF($E$2:E4070,E4070)&gt;1,"",SUMIFS(tbl_input[필요수량],tbl_input[집계키_지청],E4070)))</f>
        <v/>
      </c>
      <c r="E4070" t="str">
        <f>IFERROR(INDEX(tbl_input[집계키_지청],ROW()-1),"")</f>
        <v/>
      </c>
      <c r="F4070" t="str">
        <f t="shared" si="318"/>
        <v/>
      </c>
      <c r="G4070" t="str">
        <f t="shared" si="319"/>
        <v/>
      </c>
    </row>
    <row r="4071" spans="1:7" x14ac:dyDescent="0.4">
      <c r="A4071" t="str">
        <f t="shared" si="315"/>
        <v/>
      </c>
      <c r="B4071" t="str">
        <f t="shared" si="316"/>
        <v/>
      </c>
      <c r="C4071" t="str">
        <f t="shared" si="317"/>
        <v/>
      </c>
      <c r="D4071" t="str">
        <f>IF(E4071="","",IF(COUNTIF($E$2:E4071,E4071)&gt;1,"",SUMIFS(tbl_input[필요수량],tbl_input[집계키_지청],E4071)))</f>
        <v/>
      </c>
      <c r="E4071" t="str">
        <f>IFERROR(INDEX(tbl_input[집계키_지청],ROW()-1),"")</f>
        <v/>
      </c>
      <c r="F4071" t="str">
        <f t="shared" si="318"/>
        <v/>
      </c>
      <c r="G4071" t="str">
        <f t="shared" si="319"/>
        <v/>
      </c>
    </row>
    <row r="4072" spans="1:7" x14ac:dyDescent="0.4">
      <c r="A4072" t="str">
        <f t="shared" si="315"/>
        <v/>
      </c>
      <c r="B4072" t="str">
        <f t="shared" si="316"/>
        <v/>
      </c>
      <c r="C4072" t="str">
        <f t="shared" si="317"/>
        <v/>
      </c>
      <c r="D4072" t="str">
        <f>IF(E4072="","",IF(COUNTIF($E$2:E4072,E4072)&gt;1,"",SUMIFS(tbl_input[필요수량],tbl_input[집계키_지청],E4072)))</f>
        <v/>
      </c>
      <c r="E4072" t="str">
        <f>IFERROR(INDEX(tbl_input[집계키_지청],ROW()-1),"")</f>
        <v/>
      </c>
      <c r="F4072" t="str">
        <f t="shared" si="318"/>
        <v/>
      </c>
      <c r="G4072" t="str">
        <f t="shared" si="319"/>
        <v/>
      </c>
    </row>
    <row r="4073" spans="1:7" x14ac:dyDescent="0.4">
      <c r="A4073" t="str">
        <f t="shared" si="315"/>
        <v/>
      </c>
      <c r="B4073" t="str">
        <f t="shared" si="316"/>
        <v/>
      </c>
      <c r="C4073" t="str">
        <f t="shared" si="317"/>
        <v/>
      </c>
      <c r="D4073" t="str">
        <f>IF(E4073="","",IF(COUNTIF($E$2:E4073,E4073)&gt;1,"",SUMIFS(tbl_input[필요수량],tbl_input[집계키_지청],E4073)))</f>
        <v/>
      </c>
      <c r="E4073" t="str">
        <f>IFERROR(INDEX(tbl_input[집계키_지청],ROW()-1),"")</f>
        <v/>
      </c>
      <c r="F4073" t="str">
        <f t="shared" si="318"/>
        <v/>
      </c>
      <c r="G4073" t="str">
        <f t="shared" si="319"/>
        <v/>
      </c>
    </row>
    <row r="4074" spans="1:7" x14ac:dyDescent="0.4">
      <c r="A4074" t="str">
        <f t="shared" si="315"/>
        <v/>
      </c>
      <c r="B4074" t="str">
        <f t="shared" si="316"/>
        <v/>
      </c>
      <c r="C4074" t="str">
        <f t="shared" si="317"/>
        <v/>
      </c>
      <c r="D4074" t="str">
        <f>IF(E4074="","",IF(COUNTIF($E$2:E4074,E4074)&gt;1,"",SUMIFS(tbl_input[필요수량],tbl_input[집계키_지청],E4074)))</f>
        <v/>
      </c>
      <c r="E4074" t="str">
        <f>IFERROR(INDEX(tbl_input[집계키_지청],ROW()-1),"")</f>
        <v/>
      </c>
      <c r="F4074" t="str">
        <f t="shared" si="318"/>
        <v/>
      </c>
      <c r="G4074" t="str">
        <f t="shared" si="319"/>
        <v/>
      </c>
    </row>
    <row r="4075" spans="1:7" x14ac:dyDescent="0.4">
      <c r="A4075" t="str">
        <f t="shared" si="315"/>
        <v/>
      </c>
      <c r="B4075" t="str">
        <f t="shared" si="316"/>
        <v/>
      </c>
      <c r="C4075" t="str">
        <f t="shared" si="317"/>
        <v/>
      </c>
      <c r="D4075" t="str">
        <f>IF(E4075="","",IF(COUNTIF($E$2:E4075,E4075)&gt;1,"",SUMIFS(tbl_input[필요수량],tbl_input[집계키_지청],E4075)))</f>
        <v/>
      </c>
      <c r="E4075" t="str">
        <f>IFERROR(INDEX(tbl_input[집계키_지청],ROW()-1),"")</f>
        <v/>
      </c>
      <c r="F4075" t="str">
        <f t="shared" si="318"/>
        <v/>
      </c>
      <c r="G4075" t="str">
        <f t="shared" si="319"/>
        <v/>
      </c>
    </row>
    <row r="4076" spans="1:7" x14ac:dyDescent="0.4">
      <c r="A4076" t="str">
        <f t="shared" si="315"/>
        <v/>
      </c>
      <c r="B4076" t="str">
        <f t="shared" si="316"/>
        <v/>
      </c>
      <c r="C4076" t="str">
        <f t="shared" si="317"/>
        <v/>
      </c>
      <c r="D4076" t="str">
        <f>IF(E4076="","",IF(COUNTIF($E$2:E4076,E4076)&gt;1,"",SUMIFS(tbl_input[필요수량],tbl_input[집계키_지청],E4076)))</f>
        <v/>
      </c>
      <c r="E4076" t="str">
        <f>IFERROR(INDEX(tbl_input[집계키_지청],ROW()-1),"")</f>
        <v/>
      </c>
      <c r="F4076" t="str">
        <f t="shared" si="318"/>
        <v/>
      </c>
      <c r="G4076" t="str">
        <f t="shared" si="319"/>
        <v/>
      </c>
    </row>
    <row r="4077" spans="1:7" x14ac:dyDescent="0.4">
      <c r="A4077" t="str">
        <f t="shared" si="315"/>
        <v/>
      </c>
      <c r="B4077" t="str">
        <f t="shared" si="316"/>
        <v/>
      </c>
      <c r="C4077" t="str">
        <f t="shared" si="317"/>
        <v/>
      </c>
      <c r="D4077" t="str">
        <f>IF(E4077="","",IF(COUNTIF($E$2:E4077,E4077)&gt;1,"",SUMIFS(tbl_input[필요수량],tbl_input[집계키_지청],E4077)))</f>
        <v/>
      </c>
      <c r="E4077" t="str">
        <f>IFERROR(INDEX(tbl_input[집계키_지청],ROW()-1),"")</f>
        <v/>
      </c>
      <c r="F4077" t="str">
        <f t="shared" si="318"/>
        <v/>
      </c>
      <c r="G4077" t="str">
        <f t="shared" si="319"/>
        <v/>
      </c>
    </row>
    <row r="4078" spans="1:7" x14ac:dyDescent="0.4">
      <c r="A4078" t="str">
        <f t="shared" si="315"/>
        <v/>
      </c>
      <c r="B4078" t="str">
        <f t="shared" si="316"/>
        <v/>
      </c>
      <c r="C4078" t="str">
        <f t="shared" si="317"/>
        <v/>
      </c>
      <c r="D4078" t="str">
        <f>IF(E4078="","",IF(COUNTIF($E$2:E4078,E4078)&gt;1,"",SUMIFS(tbl_input[필요수량],tbl_input[집계키_지청],E4078)))</f>
        <v/>
      </c>
      <c r="E4078" t="str">
        <f>IFERROR(INDEX(tbl_input[집계키_지청],ROW()-1),"")</f>
        <v/>
      </c>
      <c r="F4078" t="str">
        <f t="shared" si="318"/>
        <v/>
      </c>
      <c r="G4078" t="str">
        <f t="shared" si="319"/>
        <v/>
      </c>
    </row>
    <row r="4079" spans="1:7" x14ac:dyDescent="0.4">
      <c r="A4079" t="str">
        <f t="shared" si="315"/>
        <v/>
      </c>
      <c r="B4079" t="str">
        <f t="shared" si="316"/>
        <v/>
      </c>
      <c r="C4079" t="str">
        <f t="shared" si="317"/>
        <v/>
      </c>
      <c r="D4079" t="str">
        <f>IF(E4079="","",IF(COUNTIF($E$2:E4079,E4079)&gt;1,"",SUMIFS(tbl_input[필요수량],tbl_input[집계키_지청],E4079)))</f>
        <v/>
      </c>
      <c r="E4079" t="str">
        <f>IFERROR(INDEX(tbl_input[집계키_지청],ROW()-1),"")</f>
        <v/>
      </c>
      <c r="F4079" t="str">
        <f t="shared" si="318"/>
        <v/>
      </c>
      <c r="G4079" t="str">
        <f t="shared" si="319"/>
        <v/>
      </c>
    </row>
    <row r="4080" spans="1:7" x14ac:dyDescent="0.4">
      <c r="A4080" t="str">
        <f t="shared" si="315"/>
        <v/>
      </c>
      <c r="B4080" t="str">
        <f t="shared" si="316"/>
        <v/>
      </c>
      <c r="C4080" t="str">
        <f t="shared" si="317"/>
        <v/>
      </c>
      <c r="D4080" t="str">
        <f>IF(E4080="","",IF(COUNTIF($E$2:E4080,E4080)&gt;1,"",SUMIFS(tbl_input[필요수량],tbl_input[집계키_지청],E4080)))</f>
        <v/>
      </c>
      <c r="E4080" t="str">
        <f>IFERROR(INDEX(tbl_input[집계키_지청],ROW()-1),"")</f>
        <v/>
      </c>
      <c r="F4080" t="str">
        <f t="shared" si="318"/>
        <v/>
      </c>
      <c r="G4080" t="str">
        <f t="shared" si="319"/>
        <v/>
      </c>
    </row>
    <row r="4081" spans="1:7" x14ac:dyDescent="0.4">
      <c r="A4081" t="str">
        <f t="shared" si="315"/>
        <v/>
      </c>
      <c r="B4081" t="str">
        <f t="shared" si="316"/>
        <v/>
      </c>
      <c r="C4081" t="str">
        <f t="shared" si="317"/>
        <v/>
      </c>
      <c r="D4081" t="str">
        <f>IF(E4081="","",IF(COUNTIF($E$2:E4081,E4081)&gt;1,"",SUMIFS(tbl_input[필요수량],tbl_input[집계키_지청],E4081)))</f>
        <v/>
      </c>
      <c r="E4081" t="str">
        <f>IFERROR(INDEX(tbl_input[집계키_지청],ROW()-1),"")</f>
        <v/>
      </c>
      <c r="F4081" t="str">
        <f t="shared" si="318"/>
        <v/>
      </c>
      <c r="G4081" t="str">
        <f t="shared" si="319"/>
        <v/>
      </c>
    </row>
    <row r="4082" spans="1:7" x14ac:dyDescent="0.4">
      <c r="A4082" t="str">
        <f t="shared" si="315"/>
        <v/>
      </c>
      <c r="B4082" t="str">
        <f t="shared" si="316"/>
        <v/>
      </c>
      <c r="C4082" t="str">
        <f t="shared" si="317"/>
        <v/>
      </c>
      <c r="D4082" t="str">
        <f>IF(E4082="","",IF(COUNTIF($E$2:E4082,E4082)&gt;1,"",SUMIFS(tbl_input[필요수량],tbl_input[집계키_지청],E4082)))</f>
        <v/>
      </c>
      <c r="E4082" t="str">
        <f>IFERROR(INDEX(tbl_input[집계키_지청],ROW()-1),"")</f>
        <v/>
      </c>
      <c r="F4082" t="str">
        <f t="shared" si="318"/>
        <v/>
      </c>
      <c r="G4082" t="str">
        <f t="shared" si="319"/>
        <v/>
      </c>
    </row>
    <row r="4083" spans="1:7" x14ac:dyDescent="0.4">
      <c r="A4083" t="str">
        <f t="shared" si="315"/>
        <v/>
      </c>
      <c r="B4083" t="str">
        <f t="shared" si="316"/>
        <v/>
      </c>
      <c r="C4083" t="str">
        <f t="shared" si="317"/>
        <v/>
      </c>
      <c r="D4083" t="str">
        <f>IF(E4083="","",IF(COUNTIF($E$2:E4083,E4083)&gt;1,"",SUMIFS(tbl_input[필요수량],tbl_input[집계키_지청],E4083)))</f>
        <v/>
      </c>
      <c r="E4083" t="str">
        <f>IFERROR(INDEX(tbl_input[집계키_지청],ROW()-1),"")</f>
        <v/>
      </c>
      <c r="F4083" t="str">
        <f t="shared" si="318"/>
        <v/>
      </c>
      <c r="G4083" t="str">
        <f t="shared" si="319"/>
        <v/>
      </c>
    </row>
    <row r="4084" spans="1:7" x14ac:dyDescent="0.4">
      <c r="A4084" t="str">
        <f t="shared" si="315"/>
        <v/>
      </c>
      <c r="B4084" t="str">
        <f t="shared" si="316"/>
        <v/>
      </c>
      <c r="C4084" t="str">
        <f t="shared" si="317"/>
        <v/>
      </c>
      <c r="D4084" t="str">
        <f>IF(E4084="","",IF(COUNTIF($E$2:E4084,E4084)&gt;1,"",SUMIFS(tbl_input[필요수량],tbl_input[집계키_지청],E4084)))</f>
        <v/>
      </c>
      <c r="E4084" t="str">
        <f>IFERROR(INDEX(tbl_input[집계키_지청],ROW()-1),"")</f>
        <v/>
      </c>
      <c r="F4084" t="str">
        <f t="shared" si="318"/>
        <v/>
      </c>
      <c r="G4084" t="str">
        <f t="shared" si="319"/>
        <v/>
      </c>
    </row>
    <row r="4085" spans="1:7" x14ac:dyDescent="0.4">
      <c r="A4085" t="str">
        <f t="shared" si="315"/>
        <v/>
      </c>
      <c r="B4085" t="str">
        <f t="shared" si="316"/>
        <v/>
      </c>
      <c r="C4085" t="str">
        <f t="shared" si="317"/>
        <v/>
      </c>
      <c r="D4085" t="str">
        <f>IF(E4085="","",IF(COUNTIF($E$2:E4085,E4085)&gt;1,"",SUMIFS(tbl_input[필요수량],tbl_input[집계키_지청],E4085)))</f>
        <v/>
      </c>
      <c r="E4085" t="str">
        <f>IFERROR(INDEX(tbl_input[집계키_지청],ROW()-1),"")</f>
        <v/>
      </c>
      <c r="F4085" t="str">
        <f t="shared" si="318"/>
        <v/>
      </c>
      <c r="G4085" t="str">
        <f t="shared" si="319"/>
        <v/>
      </c>
    </row>
    <row r="4086" spans="1:7" x14ac:dyDescent="0.4">
      <c r="A4086" t="str">
        <f t="shared" si="315"/>
        <v/>
      </c>
      <c r="B4086" t="str">
        <f t="shared" si="316"/>
        <v/>
      </c>
      <c r="C4086" t="str">
        <f t="shared" si="317"/>
        <v/>
      </c>
      <c r="D4086" t="str">
        <f>IF(E4086="","",IF(COUNTIF($E$2:E4086,E4086)&gt;1,"",SUMIFS(tbl_input[필요수량],tbl_input[집계키_지청],E4086)))</f>
        <v/>
      </c>
      <c r="E4086" t="str">
        <f>IFERROR(INDEX(tbl_input[집계키_지청],ROW()-1),"")</f>
        <v/>
      </c>
      <c r="F4086" t="str">
        <f t="shared" si="318"/>
        <v/>
      </c>
      <c r="G4086" t="str">
        <f t="shared" si="319"/>
        <v/>
      </c>
    </row>
    <row r="4087" spans="1:7" x14ac:dyDescent="0.4">
      <c r="A4087" t="str">
        <f t="shared" si="315"/>
        <v/>
      </c>
      <c r="B4087" t="str">
        <f t="shared" si="316"/>
        <v/>
      </c>
      <c r="C4087" t="str">
        <f t="shared" si="317"/>
        <v/>
      </c>
      <c r="D4087" t="str">
        <f>IF(E4087="","",IF(COUNTIF($E$2:E4087,E4087)&gt;1,"",SUMIFS(tbl_input[필요수량],tbl_input[집계키_지청],E4087)))</f>
        <v/>
      </c>
      <c r="E4087" t="str">
        <f>IFERROR(INDEX(tbl_input[집계키_지청],ROW()-1),"")</f>
        <v/>
      </c>
      <c r="F4087" t="str">
        <f t="shared" si="318"/>
        <v/>
      </c>
      <c r="G4087" t="str">
        <f t="shared" si="319"/>
        <v/>
      </c>
    </row>
    <row r="4088" spans="1:7" x14ac:dyDescent="0.4">
      <c r="A4088" t="str">
        <f t="shared" si="315"/>
        <v/>
      </c>
      <c r="B4088" t="str">
        <f t="shared" si="316"/>
        <v/>
      </c>
      <c r="C4088" t="str">
        <f t="shared" si="317"/>
        <v/>
      </c>
      <c r="D4088" t="str">
        <f>IF(E4088="","",IF(COUNTIF($E$2:E4088,E4088)&gt;1,"",SUMIFS(tbl_input[필요수량],tbl_input[집계키_지청],E4088)))</f>
        <v/>
      </c>
      <c r="E4088" t="str">
        <f>IFERROR(INDEX(tbl_input[집계키_지청],ROW()-1),"")</f>
        <v/>
      </c>
      <c r="F4088" t="str">
        <f t="shared" si="318"/>
        <v/>
      </c>
      <c r="G4088" t="str">
        <f t="shared" si="319"/>
        <v/>
      </c>
    </row>
    <row r="4089" spans="1:7" x14ac:dyDescent="0.4">
      <c r="A4089" t="str">
        <f t="shared" si="315"/>
        <v/>
      </c>
      <c r="B4089" t="str">
        <f t="shared" si="316"/>
        <v/>
      </c>
      <c r="C4089" t="str">
        <f t="shared" si="317"/>
        <v/>
      </c>
      <c r="D4089" t="str">
        <f>IF(E4089="","",IF(COUNTIF($E$2:E4089,E4089)&gt;1,"",SUMIFS(tbl_input[필요수량],tbl_input[집계키_지청],E4089)))</f>
        <v/>
      </c>
      <c r="E4089" t="str">
        <f>IFERROR(INDEX(tbl_input[집계키_지청],ROW()-1),"")</f>
        <v/>
      </c>
      <c r="F4089" t="str">
        <f t="shared" si="318"/>
        <v/>
      </c>
      <c r="G4089" t="str">
        <f t="shared" si="319"/>
        <v/>
      </c>
    </row>
    <row r="4090" spans="1:7" x14ac:dyDescent="0.4">
      <c r="A4090" t="str">
        <f t="shared" si="315"/>
        <v/>
      </c>
      <c r="B4090" t="str">
        <f t="shared" si="316"/>
        <v/>
      </c>
      <c r="C4090" t="str">
        <f t="shared" si="317"/>
        <v/>
      </c>
      <c r="D4090" t="str">
        <f>IF(E4090="","",IF(COUNTIF($E$2:E4090,E4090)&gt;1,"",SUMIFS(tbl_input[필요수량],tbl_input[집계키_지청],E4090)))</f>
        <v/>
      </c>
      <c r="E4090" t="str">
        <f>IFERROR(INDEX(tbl_input[집계키_지청],ROW()-1),"")</f>
        <v/>
      </c>
      <c r="F4090" t="str">
        <f t="shared" si="318"/>
        <v/>
      </c>
      <c r="G4090" t="str">
        <f t="shared" si="319"/>
        <v/>
      </c>
    </row>
    <row r="4091" spans="1:7" x14ac:dyDescent="0.4">
      <c r="A4091" t="str">
        <f t="shared" si="315"/>
        <v/>
      </c>
      <c r="B4091" t="str">
        <f t="shared" si="316"/>
        <v/>
      </c>
      <c r="C4091" t="str">
        <f t="shared" si="317"/>
        <v/>
      </c>
      <c r="D4091" t="str">
        <f>IF(E4091="","",IF(COUNTIF($E$2:E4091,E4091)&gt;1,"",SUMIFS(tbl_input[필요수량],tbl_input[집계키_지청],E4091)))</f>
        <v/>
      </c>
      <c r="E4091" t="str">
        <f>IFERROR(INDEX(tbl_input[집계키_지청],ROW()-1),"")</f>
        <v/>
      </c>
      <c r="F4091" t="str">
        <f t="shared" si="318"/>
        <v/>
      </c>
      <c r="G4091" t="str">
        <f t="shared" si="319"/>
        <v/>
      </c>
    </row>
    <row r="4092" spans="1:7" x14ac:dyDescent="0.4">
      <c r="A4092" t="str">
        <f t="shared" si="315"/>
        <v/>
      </c>
      <c r="B4092" t="str">
        <f t="shared" si="316"/>
        <v/>
      </c>
      <c r="C4092" t="str">
        <f t="shared" si="317"/>
        <v/>
      </c>
      <c r="D4092" t="str">
        <f>IF(E4092="","",IF(COUNTIF($E$2:E4092,E4092)&gt;1,"",SUMIFS(tbl_input[필요수량],tbl_input[집계키_지청],E4092)))</f>
        <v/>
      </c>
      <c r="E4092" t="str">
        <f>IFERROR(INDEX(tbl_input[집계키_지청],ROW()-1),"")</f>
        <v/>
      </c>
      <c r="F4092" t="str">
        <f t="shared" si="318"/>
        <v/>
      </c>
      <c r="G4092" t="str">
        <f t="shared" si="319"/>
        <v/>
      </c>
    </row>
    <row r="4093" spans="1:7" x14ac:dyDescent="0.4">
      <c r="A4093" t="str">
        <f t="shared" si="315"/>
        <v/>
      </c>
      <c r="B4093" t="str">
        <f t="shared" si="316"/>
        <v/>
      </c>
      <c r="C4093" t="str">
        <f t="shared" si="317"/>
        <v/>
      </c>
      <c r="D4093" t="str">
        <f>IF(E4093="","",IF(COUNTIF($E$2:E4093,E4093)&gt;1,"",SUMIFS(tbl_input[필요수량],tbl_input[집계키_지청],E4093)))</f>
        <v/>
      </c>
      <c r="E4093" t="str">
        <f>IFERROR(INDEX(tbl_input[집계키_지청],ROW()-1),"")</f>
        <v/>
      </c>
      <c r="F4093" t="str">
        <f t="shared" si="318"/>
        <v/>
      </c>
      <c r="G4093" t="str">
        <f t="shared" si="319"/>
        <v/>
      </c>
    </row>
    <row r="4094" spans="1:7" x14ac:dyDescent="0.4">
      <c r="A4094" t="str">
        <f t="shared" si="315"/>
        <v/>
      </c>
      <c r="B4094" t="str">
        <f t="shared" si="316"/>
        <v/>
      </c>
      <c r="C4094" t="str">
        <f t="shared" si="317"/>
        <v/>
      </c>
      <c r="D4094" t="str">
        <f>IF(E4094="","",IF(COUNTIF($E$2:E4094,E4094)&gt;1,"",SUMIFS(tbl_input[필요수량],tbl_input[집계키_지청],E4094)))</f>
        <v/>
      </c>
      <c r="E4094" t="str">
        <f>IFERROR(INDEX(tbl_input[집계키_지청],ROW()-1),"")</f>
        <v/>
      </c>
      <c r="F4094" t="str">
        <f t="shared" si="318"/>
        <v/>
      </c>
      <c r="G4094" t="str">
        <f t="shared" si="319"/>
        <v/>
      </c>
    </row>
    <row r="4095" spans="1:7" x14ac:dyDescent="0.4">
      <c r="A4095" t="str">
        <f t="shared" si="315"/>
        <v/>
      </c>
      <c r="B4095" t="str">
        <f t="shared" si="316"/>
        <v/>
      </c>
      <c r="C4095" t="str">
        <f t="shared" si="317"/>
        <v/>
      </c>
      <c r="D4095" t="str">
        <f>IF(E4095="","",IF(COUNTIF($E$2:E4095,E4095)&gt;1,"",SUMIFS(tbl_input[필요수량],tbl_input[집계키_지청],E4095)))</f>
        <v/>
      </c>
      <c r="E4095" t="str">
        <f>IFERROR(INDEX(tbl_input[집계키_지청],ROW()-1),"")</f>
        <v/>
      </c>
      <c r="F4095" t="str">
        <f t="shared" si="318"/>
        <v/>
      </c>
      <c r="G4095" t="str">
        <f t="shared" si="319"/>
        <v/>
      </c>
    </row>
    <row r="4096" spans="1:7" x14ac:dyDescent="0.4">
      <c r="A4096" t="str">
        <f t="shared" si="315"/>
        <v/>
      </c>
      <c r="B4096" t="str">
        <f t="shared" si="316"/>
        <v/>
      </c>
      <c r="C4096" t="str">
        <f t="shared" si="317"/>
        <v/>
      </c>
      <c r="D4096" t="str">
        <f>IF(E4096="","",IF(COUNTIF($E$2:E4096,E4096)&gt;1,"",SUMIFS(tbl_input[필요수량],tbl_input[집계키_지청],E4096)))</f>
        <v/>
      </c>
      <c r="E4096" t="str">
        <f>IFERROR(INDEX(tbl_input[집계키_지청],ROW()-1),"")</f>
        <v/>
      </c>
      <c r="F4096" t="str">
        <f t="shared" si="318"/>
        <v/>
      </c>
      <c r="G4096" t="str">
        <f t="shared" si="319"/>
        <v/>
      </c>
    </row>
    <row r="4097" spans="1:7" x14ac:dyDescent="0.4">
      <c r="A4097" t="str">
        <f t="shared" si="315"/>
        <v/>
      </c>
      <c r="B4097" t="str">
        <f t="shared" si="316"/>
        <v/>
      </c>
      <c r="C4097" t="str">
        <f t="shared" si="317"/>
        <v/>
      </c>
      <c r="D4097" t="str">
        <f>IF(E4097="","",IF(COUNTIF($E$2:E4097,E4097)&gt;1,"",SUMIFS(tbl_input[필요수량],tbl_input[집계키_지청],E4097)))</f>
        <v/>
      </c>
      <c r="E4097" t="str">
        <f>IFERROR(INDEX(tbl_input[집계키_지청],ROW()-1),"")</f>
        <v/>
      </c>
      <c r="F4097" t="str">
        <f t="shared" si="318"/>
        <v/>
      </c>
      <c r="G4097" t="str">
        <f t="shared" si="319"/>
        <v/>
      </c>
    </row>
    <row r="4098" spans="1:7" x14ac:dyDescent="0.4">
      <c r="A4098" t="str">
        <f t="shared" ref="A4098:A4161" si="320">IF(E4098="","",LEFT(E4098,F4098-1))</f>
        <v/>
      </c>
      <c r="B4098" t="str">
        <f t="shared" ref="B4098:B4161" si="321">IF(E4098="","",MID(E4098,F4098+1,G4098-F4098-1))</f>
        <v/>
      </c>
      <c r="C4098" t="str">
        <f t="shared" ref="C4098:C4161" si="322">IF(E4098="","",MID(E4098,G4098+1,999))</f>
        <v/>
      </c>
      <c r="D4098" t="str">
        <f>IF(E4098="","",IF(COUNTIF($E$2:E4098,E4098)&gt;1,"",SUMIFS(tbl_input[필요수량],tbl_input[집계키_지청],E4098)))</f>
        <v/>
      </c>
      <c r="E4098" t="str">
        <f>IFERROR(INDEX(tbl_input[집계키_지청],ROW()-1),"")</f>
        <v/>
      </c>
      <c r="F4098" t="str">
        <f t="shared" ref="F4098:F4161" si="323">IF(E4098="","",FIND("♦",E4098))</f>
        <v/>
      </c>
      <c r="G4098" t="str">
        <f t="shared" ref="G4098:G4161" si="324">IF(E4098="","",FIND("♦",E4098,F4098+1))</f>
        <v/>
      </c>
    </row>
    <row r="4099" spans="1:7" x14ac:dyDescent="0.4">
      <c r="A4099" t="str">
        <f t="shared" si="320"/>
        <v/>
      </c>
      <c r="B4099" t="str">
        <f t="shared" si="321"/>
        <v/>
      </c>
      <c r="C4099" t="str">
        <f t="shared" si="322"/>
        <v/>
      </c>
      <c r="D4099" t="str">
        <f>IF(E4099="","",IF(COUNTIF($E$2:E4099,E4099)&gt;1,"",SUMIFS(tbl_input[필요수량],tbl_input[집계키_지청],E4099)))</f>
        <v/>
      </c>
      <c r="E4099" t="str">
        <f>IFERROR(INDEX(tbl_input[집계키_지청],ROW()-1),"")</f>
        <v/>
      </c>
      <c r="F4099" t="str">
        <f t="shared" si="323"/>
        <v/>
      </c>
      <c r="G4099" t="str">
        <f t="shared" si="324"/>
        <v/>
      </c>
    </row>
    <row r="4100" spans="1:7" x14ac:dyDescent="0.4">
      <c r="A4100" t="str">
        <f t="shared" si="320"/>
        <v/>
      </c>
      <c r="B4100" t="str">
        <f t="shared" si="321"/>
        <v/>
      </c>
      <c r="C4100" t="str">
        <f t="shared" si="322"/>
        <v/>
      </c>
      <c r="D4100" t="str">
        <f>IF(E4100="","",IF(COUNTIF($E$2:E4100,E4100)&gt;1,"",SUMIFS(tbl_input[필요수량],tbl_input[집계키_지청],E4100)))</f>
        <v/>
      </c>
      <c r="E4100" t="str">
        <f>IFERROR(INDEX(tbl_input[집계키_지청],ROW()-1),"")</f>
        <v/>
      </c>
      <c r="F4100" t="str">
        <f t="shared" si="323"/>
        <v/>
      </c>
      <c r="G4100" t="str">
        <f t="shared" si="324"/>
        <v/>
      </c>
    </row>
    <row r="4101" spans="1:7" x14ac:dyDescent="0.4">
      <c r="A4101" t="str">
        <f t="shared" si="320"/>
        <v/>
      </c>
      <c r="B4101" t="str">
        <f t="shared" si="321"/>
        <v/>
      </c>
      <c r="C4101" t="str">
        <f t="shared" si="322"/>
        <v/>
      </c>
      <c r="D4101" t="str">
        <f>IF(E4101="","",IF(COUNTIF($E$2:E4101,E4101)&gt;1,"",SUMIFS(tbl_input[필요수량],tbl_input[집계키_지청],E4101)))</f>
        <v/>
      </c>
      <c r="E4101" t="str">
        <f>IFERROR(INDEX(tbl_input[집계키_지청],ROW()-1),"")</f>
        <v/>
      </c>
      <c r="F4101" t="str">
        <f t="shared" si="323"/>
        <v/>
      </c>
      <c r="G4101" t="str">
        <f t="shared" si="324"/>
        <v/>
      </c>
    </row>
    <row r="4102" spans="1:7" x14ac:dyDescent="0.4">
      <c r="A4102" t="str">
        <f t="shared" si="320"/>
        <v/>
      </c>
      <c r="B4102" t="str">
        <f t="shared" si="321"/>
        <v/>
      </c>
      <c r="C4102" t="str">
        <f t="shared" si="322"/>
        <v/>
      </c>
      <c r="D4102" t="str">
        <f>IF(E4102="","",IF(COUNTIF($E$2:E4102,E4102)&gt;1,"",SUMIFS(tbl_input[필요수량],tbl_input[집계키_지청],E4102)))</f>
        <v/>
      </c>
      <c r="E4102" t="str">
        <f>IFERROR(INDEX(tbl_input[집계키_지청],ROW()-1),"")</f>
        <v/>
      </c>
      <c r="F4102" t="str">
        <f t="shared" si="323"/>
        <v/>
      </c>
      <c r="G4102" t="str">
        <f t="shared" si="324"/>
        <v/>
      </c>
    </row>
    <row r="4103" spans="1:7" x14ac:dyDescent="0.4">
      <c r="A4103" t="str">
        <f t="shared" si="320"/>
        <v/>
      </c>
      <c r="B4103" t="str">
        <f t="shared" si="321"/>
        <v/>
      </c>
      <c r="C4103" t="str">
        <f t="shared" si="322"/>
        <v/>
      </c>
      <c r="D4103" t="str">
        <f>IF(E4103="","",IF(COUNTIF($E$2:E4103,E4103)&gt;1,"",SUMIFS(tbl_input[필요수량],tbl_input[집계키_지청],E4103)))</f>
        <v/>
      </c>
      <c r="E4103" t="str">
        <f>IFERROR(INDEX(tbl_input[집계키_지청],ROW()-1),"")</f>
        <v/>
      </c>
      <c r="F4103" t="str">
        <f t="shared" si="323"/>
        <v/>
      </c>
      <c r="G4103" t="str">
        <f t="shared" si="324"/>
        <v/>
      </c>
    </row>
    <row r="4104" spans="1:7" x14ac:dyDescent="0.4">
      <c r="A4104" t="str">
        <f t="shared" si="320"/>
        <v/>
      </c>
      <c r="B4104" t="str">
        <f t="shared" si="321"/>
        <v/>
      </c>
      <c r="C4104" t="str">
        <f t="shared" si="322"/>
        <v/>
      </c>
      <c r="D4104" t="str">
        <f>IF(E4104="","",IF(COUNTIF($E$2:E4104,E4104)&gt;1,"",SUMIFS(tbl_input[필요수량],tbl_input[집계키_지청],E4104)))</f>
        <v/>
      </c>
      <c r="E4104" t="str">
        <f>IFERROR(INDEX(tbl_input[집계키_지청],ROW()-1),"")</f>
        <v/>
      </c>
      <c r="F4104" t="str">
        <f t="shared" si="323"/>
        <v/>
      </c>
      <c r="G4104" t="str">
        <f t="shared" si="324"/>
        <v/>
      </c>
    </row>
    <row r="4105" spans="1:7" x14ac:dyDescent="0.4">
      <c r="A4105" t="str">
        <f t="shared" si="320"/>
        <v/>
      </c>
      <c r="B4105" t="str">
        <f t="shared" si="321"/>
        <v/>
      </c>
      <c r="C4105" t="str">
        <f t="shared" si="322"/>
        <v/>
      </c>
      <c r="D4105" t="str">
        <f>IF(E4105="","",IF(COUNTIF($E$2:E4105,E4105)&gt;1,"",SUMIFS(tbl_input[필요수량],tbl_input[집계키_지청],E4105)))</f>
        <v/>
      </c>
      <c r="E4105" t="str">
        <f>IFERROR(INDEX(tbl_input[집계키_지청],ROW()-1),"")</f>
        <v/>
      </c>
      <c r="F4105" t="str">
        <f t="shared" si="323"/>
        <v/>
      </c>
      <c r="G4105" t="str">
        <f t="shared" si="324"/>
        <v/>
      </c>
    </row>
    <row r="4106" spans="1:7" x14ac:dyDescent="0.4">
      <c r="A4106" t="str">
        <f t="shared" si="320"/>
        <v/>
      </c>
      <c r="B4106" t="str">
        <f t="shared" si="321"/>
        <v/>
      </c>
      <c r="C4106" t="str">
        <f t="shared" si="322"/>
        <v/>
      </c>
      <c r="D4106" t="str">
        <f>IF(E4106="","",IF(COUNTIF($E$2:E4106,E4106)&gt;1,"",SUMIFS(tbl_input[필요수량],tbl_input[집계키_지청],E4106)))</f>
        <v/>
      </c>
      <c r="E4106" t="str">
        <f>IFERROR(INDEX(tbl_input[집계키_지청],ROW()-1),"")</f>
        <v/>
      </c>
      <c r="F4106" t="str">
        <f t="shared" si="323"/>
        <v/>
      </c>
      <c r="G4106" t="str">
        <f t="shared" si="324"/>
        <v/>
      </c>
    </row>
    <row r="4107" spans="1:7" x14ac:dyDescent="0.4">
      <c r="A4107" t="str">
        <f t="shared" si="320"/>
        <v/>
      </c>
      <c r="B4107" t="str">
        <f t="shared" si="321"/>
        <v/>
      </c>
      <c r="C4107" t="str">
        <f t="shared" si="322"/>
        <v/>
      </c>
      <c r="D4107" t="str">
        <f>IF(E4107="","",IF(COUNTIF($E$2:E4107,E4107)&gt;1,"",SUMIFS(tbl_input[필요수량],tbl_input[집계키_지청],E4107)))</f>
        <v/>
      </c>
      <c r="E4107" t="str">
        <f>IFERROR(INDEX(tbl_input[집계키_지청],ROW()-1),"")</f>
        <v/>
      </c>
      <c r="F4107" t="str">
        <f t="shared" si="323"/>
        <v/>
      </c>
      <c r="G4107" t="str">
        <f t="shared" si="324"/>
        <v/>
      </c>
    </row>
    <row r="4108" spans="1:7" x14ac:dyDescent="0.4">
      <c r="A4108" t="str">
        <f t="shared" si="320"/>
        <v/>
      </c>
      <c r="B4108" t="str">
        <f t="shared" si="321"/>
        <v/>
      </c>
      <c r="C4108" t="str">
        <f t="shared" si="322"/>
        <v/>
      </c>
      <c r="D4108" t="str">
        <f>IF(E4108="","",IF(COUNTIF($E$2:E4108,E4108)&gt;1,"",SUMIFS(tbl_input[필요수량],tbl_input[집계키_지청],E4108)))</f>
        <v/>
      </c>
      <c r="E4108" t="str">
        <f>IFERROR(INDEX(tbl_input[집계키_지청],ROW()-1),"")</f>
        <v/>
      </c>
      <c r="F4108" t="str">
        <f t="shared" si="323"/>
        <v/>
      </c>
      <c r="G4108" t="str">
        <f t="shared" si="324"/>
        <v/>
      </c>
    </row>
    <row r="4109" spans="1:7" x14ac:dyDescent="0.4">
      <c r="A4109" t="str">
        <f t="shared" si="320"/>
        <v/>
      </c>
      <c r="B4109" t="str">
        <f t="shared" si="321"/>
        <v/>
      </c>
      <c r="C4109" t="str">
        <f t="shared" si="322"/>
        <v/>
      </c>
      <c r="D4109" t="str">
        <f>IF(E4109="","",IF(COUNTIF($E$2:E4109,E4109)&gt;1,"",SUMIFS(tbl_input[필요수량],tbl_input[집계키_지청],E4109)))</f>
        <v/>
      </c>
      <c r="E4109" t="str">
        <f>IFERROR(INDEX(tbl_input[집계키_지청],ROW()-1),"")</f>
        <v/>
      </c>
      <c r="F4109" t="str">
        <f t="shared" si="323"/>
        <v/>
      </c>
      <c r="G4109" t="str">
        <f t="shared" si="324"/>
        <v/>
      </c>
    </row>
    <row r="4110" spans="1:7" x14ac:dyDescent="0.4">
      <c r="A4110" t="str">
        <f t="shared" si="320"/>
        <v/>
      </c>
      <c r="B4110" t="str">
        <f t="shared" si="321"/>
        <v/>
      </c>
      <c r="C4110" t="str">
        <f t="shared" si="322"/>
        <v/>
      </c>
      <c r="D4110" t="str">
        <f>IF(E4110="","",IF(COUNTIF($E$2:E4110,E4110)&gt;1,"",SUMIFS(tbl_input[필요수량],tbl_input[집계키_지청],E4110)))</f>
        <v/>
      </c>
      <c r="E4110" t="str">
        <f>IFERROR(INDEX(tbl_input[집계키_지청],ROW()-1),"")</f>
        <v/>
      </c>
      <c r="F4110" t="str">
        <f t="shared" si="323"/>
        <v/>
      </c>
      <c r="G4110" t="str">
        <f t="shared" si="324"/>
        <v/>
      </c>
    </row>
    <row r="4111" spans="1:7" x14ac:dyDescent="0.4">
      <c r="A4111" t="str">
        <f t="shared" si="320"/>
        <v/>
      </c>
      <c r="B4111" t="str">
        <f t="shared" si="321"/>
        <v/>
      </c>
      <c r="C4111" t="str">
        <f t="shared" si="322"/>
        <v/>
      </c>
      <c r="D4111" t="str">
        <f>IF(E4111="","",IF(COUNTIF($E$2:E4111,E4111)&gt;1,"",SUMIFS(tbl_input[필요수량],tbl_input[집계키_지청],E4111)))</f>
        <v/>
      </c>
      <c r="E4111" t="str">
        <f>IFERROR(INDEX(tbl_input[집계키_지청],ROW()-1),"")</f>
        <v/>
      </c>
      <c r="F4111" t="str">
        <f t="shared" si="323"/>
        <v/>
      </c>
      <c r="G4111" t="str">
        <f t="shared" si="324"/>
        <v/>
      </c>
    </row>
    <row r="4112" spans="1:7" x14ac:dyDescent="0.4">
      <c r="A4112" t="str">
        <f t="shared" si="320"/>
        <v/>
      </c>
      <c r="B4112" t="str">
        <f t="shared" si="321"/>
        <v/>
      </c>
      <c r="C4112" t="str">
        <f t="shared" si="322"/>
        <v/>
      </c>
      <c r="D4112" t="str">
        <f>IF(E4112="","",IF(COUNTIF($E$2:E4112,E4112)&gt;1,"",SUMIFS(tbl_input[필요수량],tbl_input[집계키_지청],E4112)))</f>
        <v/>
      </c>
      <c r="E4112" t="str">
        <f>IFERROR(INDEX(tbl_input[집계키_지청],ROW()-1),"")</f>
        <v/>
      </c>
      <c r="F4112" t="str">
        <f t="shared" si="323"/>
        <v/>
      </c>
      <c r="G4112" t="str">
        <f t="shared" si="324"/>
        <v/>
      </c>
    </row>
    <row r="4113" spans="1:7" x14ac:dyDescent="0.4">
      <c r="A4113" t="str">
        <f t="shared" si="320"/>
        <v/>
      </c>
      <c r="B4113" t="str">
        <f t="shared" si="321"/>
        <v/>
      </c>
      <c r="C4113" t="str">
        <f t="shared" si="322"/>
        <v/>
      </c>
      <c r="D4113" t="str">
        <f>IF(E4113="","",IF(COUNTIF($E$2:E4113,E4113)&gt;1,"",SUMIFS(tbl_input[필요수량],tbl_input[집계키_지청],E4113)))</f>
        <v/>
      </c>
      <c r="E4113" t="str">
        <f>IFERROR(INDEX(tbl_input[집계키_지청],ROW()-1),"")</f>
        <v/>
      </c>
      <c r="F4113" t="str">
        <f t="shared" si="323"/>
        <v/>
      </c>
      <c r="G4113" t="str">
        <f t="shared" si="324"/>
        <v/>
      </c>
    </row>
    <row r="4114" spans="1:7" x14ac:dyDescent="0.4">
      <c r="A4114" t="str">
        <f t="shared" si="320"/>
        <v/>
      </c>
      <c r="B4114" t="str">
        <f t="shared" si="321"/>
        <v/>
      </c>
      <c r="C4114" t="str">
        <f t="shared" si="322"/>
        <v/>
      </c>
      <c r="D4114" t="str">
        <f>IF(E4114="","",IF(COUNTIF($E$2:E4114,E4114)&gt;1,"",SUMIFS(tbl_input[필요수량],tbl_input[집계키_지청],E4114)))</f>
        <v/>
      </c>
      <c r="E4114" t="str">
        <f>IFERROR(INDEX(tbl_input[집계키_지청],ROW()-1),"")</f>
        <v/>
      </c>
      <c r="F4114" t="str">
        <f t="shared" si="323"/>
        <v/>
      </c>
      <c r="G4114" t="str">
        <f t="shared" si="324"/>
        <v/>
      </c>
    </row>
    <row r="4115" spans="1:7" x14ac:dyDescent="0.4">
      <c r="A4115" t="str">
        <f t="shared" si="320"/>
        <v/>
      </c>
      <c r="B4115" t="str">
        <f t="shared" si="321"/>
        <v/>
      </c>
      <c r="C4115" t="str">
        <f t="shared" si="322"/>
        <v/>
      </c>
      <c r="D4115" t="str">
        <f>IF(E4115="","",IF(COUNTIF($E$2:E4115,E4115)&gt;1,"",SUMIFS(tbl_input[필요수량],tbl_input[집계키_지청],E4115)))</f>
        <v/>
      </c>
      <c r="E4115" t="str">
        <f>IFERROR(INDEX(tbl_input[집계키_지청],ROW()-1),"")</f>
        <v/>
      </c>
      <c r="F4115" t="str">
        <f t="shared" si="323"/>
        <v/>
      </c>
      <c r="G4115" t="str">
        <f t="shared" si="324"/>
        <v/>
      </c>
    </row>
    <row r="4116" spans="1:7" x14ac:dyDescent="0.4">
      <c r="A4116" t="str">
        <f t="shared" si="320"/>
        <v/>
      </c>
      <c r="B4116" t="str">
        <f t="shared" si="321"/>
        <v/>
      </c>
      <c r="C4116" t="str">
        <f t="shared" si="322"/>
        <v/>
      </c>
      <c r="D4116" t="str">
        <f>IF(E4116="","",IF(COUNTIF($E$2:E4116,E4116)&gt;1,"",SUMIFS(tbl_input[필요수량],tbl_input[집계키_지청],E4116)))</f>
        <v/>
      </c>
      <c r="E4116" t="str">
        <f>IFERROR(INDEX(tbl_input[집계키_지청],ROW()-1),"")</f>
        <v/>
      </c>
      <c r="F4116" t="str">
        <f t="shared" si="323"/>
        <v/>
      </c>
      <c r="G4116" t="str">
        <f t="shared" si="324"/>
        <v/>
      </c>
    </row>
    <row r="4117" spans="1:7" x14ac:dyDescent="0.4">
      <c r="A4117" t="str">
        <f t="shared" si="320"/>
        <v/>
      </c>
      <c r="B4117" t="str">
        <f t="shared" si="321"/>
        <v/>
      </c>
      <c r="C4117" t="str">
        <f t="shared" si="322"/>
        <v/>
      </c>
      <c r="D4117" t="str">
        <f>IF(E4117="","",IF(COUNTIF($E$2:E4117,E4117)&gt;1,"",SUMIFS(tbl_input[필요수량],tbl_input[집계키_지청],E4117)))</f>
        <v/>
      </c>
      <c r="E4117" t="str">
        <f>IFERROR(INDEX(tbl_input[집계키_지청],ROW()-1),"")</f>
        <v/>
      </c>
      <c r="F4117" t="str">
        <f t="shared" si="323"/>
        <v/>
      </c>
      <c r="G4117" t="str">
        <f t="shared" si="324"/>
        <v/>
      </c>
    </row>
    <row r="4118" spans="1:7" x14ac:dyDescent="0.4">
      <c r="A4118" t="str">
        <f t="shared" si="320"/>
        <v/>
      </c>
      <c r="B4118" t="str">
        <f t="shared" si="321"/>
        <v/>
      </c>
      <c r="C4118" t="str">
        <f t="shared" si="322"/>
        <v/>
      </c>
      <c r="D4118" t="str">
        <f>IF(E4118="","",IF(COUNTIF($E$2:E4118,E4118)&gt;1,"",SUMIFS(tbl_input[필요수량],tbl_input[집계키_지청],E4118)))</f>
        <v/>
      </c>
      <c r="E4118" t="str">
        <f>IFERROR(INDEX(tbl_input[집계키_지청],ROW()-1),"")</f>
        <v/>
      </c>
      <c r="F4118" t="str">
        <f t="shared" si="323"/>
        <v/>
      </c>
      <c r="G4118" t="str">
        <f t="shared" si="324"/>
        <v/>
      </c>
    </row>
    <row r="4119" spans="1:7" x14ac:dyDescent="0.4">
      <c r="A4119" t="str">
        <f t="shared" si="320"/>
        <v/>
      </c>
      <c r="B4119" t="str">
        <f t="shared" si="321"/>
        <v/>
      </c>
      <c r="C4119" t="str">
        <f t="shared" si="322"/>
        <v/>
      </c>
      <c r="D4119" t="str">
        <f>IF(E4119="","",IF(COUNTIF($E$2:E4119,E4119)&gt;1,"",SUMIFS(tbl_input[필요수량],tbl_input[집계키_지청],E4119)))</f>
        <v/>
      </c>
      <c r="E4119" t="str">
        <f>IFERROR(INDEX(tbl_input[집계키_지청],ROW()-1),"")</f>
        <v/>
      </c>
      <c r="F4119" t="str">
        <f t="shared" si="323"/>
        <v/>
      </c>
      <c r="G4119" t="str">
        <f t="shared" si="324"/>
        <v/>
      </c>
    </row>
    <row r="4120" spans="1:7" x14ac:dyDescent="0.4">
      <c r="A4120" t="str">
        <f t="shared" si="320"/>
        <v/>
      </c>
      <c r="B4120" t="str">
        <f t="shared" si="321"/>
        <v/>
      </c>
      <c r="C4120" t="str">
        <f t="shared" si="322"/>
        <v/>
      </c>
      <c r="D4120" t="str">
        <f>IF(E4120="","",IF(COUNTIF($E$2:E4120,E4120)&gt;1,"",SUMIFS(tbl_input[필요수량],tbl_input[집계키_지청],E4120)))</f>
        <v/>
      </c>
      <c r="E4120" t="str">
        <f>IFERROR(INDEX(tbl_input[집계키_지청],ROW()-1),"")</f>
        <v/>
      </c>
      <c r="F4120" t="str">
        <f t="shared" si="323"/>
        <v/>
      </c>
      <c r="G4120" t="str">
        <f t="shared" si="324"/>
        <v/>
      </c>
    </row>
    <row r="4121" spans="1:7" x14ac:dyDescent="0.4">
      <c r="A4121" t="str">
        <f t="shared" si="320"/>
        <v/>
      </c>
      <c r="B4121" t="str">
        <f t="shared" si="321"/>
        <v/>
      </c>
      <c r="C4121" t="str">
        <f t="shared" si="322"/>
        <v/>
      </c>
      <c r="D4121" t="str">
        <f>IF(E4121="","",IF(COUNTIF($E$2:E4121,E4121)&gt;1,"",SUMIFS(tbl_input[필요수량],tbl_input[집계키_지청],E4121)))</f>
        <v/>
      </c>
      <c r="E4121" t="str">
        <f>IFERROR(INDEX(tbl_input[집계키_지청],ROW()-1),"")</f>
        <v/>
      </c>
      <c r="F4121" t="str">
        <f t="shared" si="323"/>
        <v/>
      </c>
      <c r="G4121" t="str">
        <f t="shared" si="324"/>
        <v/>
      </c>
    </row>
    <row r="4122" spans="1:7" x14ac:dyDescent="0.4">
      <c r="A4122" t="str">
        <f t="shared" si="320"/>
        <v/>
      </c>
      <c r="B4122" t="str">
        <f t="shared" si="321"/>
        <v/>
      </c>
      <c r="C4122" t="str">
        <f t="shared" si="322"/>
        <v/>
      </c>
      <c r="D4122" t="str">
        <f>IF(E4122="","",IF(COUNTIF($E$2:E4122,E4122)&gt;1,"",SUMIFS(tbl_input[필요수량],tbl_input[집계키_지청],E4122)))</f>
        <v/>
      </c>
      <c r="E4122" t="str">
        <f>IFERROR(INDEX(tbl_input[집계키_지청],ROW()-1),"")</f>
        <v/>
      </c>
      <c r="F4122" t="str">
        <f t="shared" si="323"/>
        <v/>
      </c>
      <c r="G4122" t="str">
        <f t="shared" si="324"/>
        <v/>
      </c>
    </row>
    <row r="4123" spans="1:7" x14ac:dyDescent="0.4">
      <c r="A4123" t="str">
        <f t="shared" si="320"/>
        <v/>
      </c>
      <c r="B4123" t="str">
        <f t="shared" si="321"/>
        <v/>
      </c>
      <c r="C4123" t="str">
        <f t="shared" si="322"/>
        <v/>
      </c>
      <c r="D4123" t="str">
        <f>IF(E4123="","",IF(COUNTIF($E$2:E4123,E4123)&gt;1,"",SUMIFS(tbl_input[필요수량],tbl_input[집계키_지청],E4123)))</f>
        <v/>
      </c>
      <c r="E4123" t="str">
        <f>IFERROR(INDEX(tbl_input[집계키_지청],ROW()-1),"")</f>
        <v/>
      </c>
      <c r="F4123" t="str">
        <f t="shared" si="323"/>
        <v/>
      </c>
      <c r="G4123" t="str">
        <f t="shared" si="324"/>
        <v/>
      </c>
    </row>
    <row r="4124" spans="1:7" x14ac:dyDescent="0.4">
      <c r="A4124" t="str">
        <f t="shared" si="320"/>
        <v/>
      </c>
      <c r="B4124" t="str">
        <f t="shared" si="321"/>
        <v/>
      </c>
      <c r="C4124" t="str">
        <f t="shared" si="322"/>
        <v/>
      </c>
      <c r="D4124" t="str">
        <f>IF(E4124="","",IF(COUNTIF($E$2:E4124,E4124)&gt;1,"",SUMIFS(tbl_input[필요수량],tbl_input[집계키_지청],E4124)))</f>
        <v/>
      </c>
      <c r="E4124" t="str">
        <f>IFERROR(INDEX(tbl_input[집계키_지청],ROW()-1),"")</f>
        <v/>
      </c>
      <c r="F4124" t="str">
        <f t="shared" si="323"/>
        <v/>
      </c>
      <c r="G4124" t="str">
        <f t="shared" si="324"/>
        <v/>
      </c>
    </row>
    <row r="4125" spans="1:7" x14ac:dyDescent="0.4">
      <c r="A4125" t="str">
        <f t="shared" si="320"/>
        <v/>
      </c>
      <c r="B4125" t="str">
        <f t="shared" si="321"/>
        <v/>
      </c>
      <c r="C4125" t="str">
        <f t="shared" si="322"/>
        <v/>
      </c>
      <c r="D4125" t="str">
        <f>IF(E4125="","",IF(COUNTIF($E$2:E4125,E4125)&gt;1,"",SUMIFS(tbl_input[필요수량],tbl_input[집계키_지청],E4125)))</f>
        <v/>
      </c>
      <c r="E4125" t="str">
        <f>IFERROR(INDEX(tbl_input[집계키_지청],ROW()-1),"")</f>
        <v/>
      </c>
      <c r="F4125" t="str">
        <f t="shared" si="323"/>
        <v/>
      </c>
      <c r="G4125" t="str">
        <f t="shared" si="324"/>
        <v/>
      </c>
    </row>
    <row r="4126" spans="1:7" x14ac:dyDescent="0.4">
      <c r="A4126" t="str">
        <f t="shared" si="320"/>
        <v/>
      </c>
      <c r="B4126" t="str">
        <f t="shared" si="321"/>
        <v/>
      </c>
      <c r="C4126" t="str">
        <f t="shared" si="322"/>
        <v/>
      </c>
      <c r="D4126" t="str">
        <f>IF(E4126="","",IF(COUNTIF($E$2:E4126,E4126)&gt;1,"",SUMIFS(tbl_input[필요수량],tbl_input[집계키_지청],E4126)))</f>
        <v/>
      </c>
      <c r="E4126" t="str">
        <f>IFERROR(INDEX(tbl_input[집계키_지청],ROW()-1),"")</f>
        <v/>
      </c>
      <c r="F4126" t="str">
        <f t="shared" si="323"/>
        <v/>
      </c>
      <c r="G4126" t="str">
        <f t="shared" si="324"/>
        <v/>
      </c>
    </row>
    <row r="4127" spans="1:7" x14ac:dyDescent="0.4">
      <c r="A4127" t="str">
        <f t="shared" si="320"/>
        <v/>
      </c>
      <c r="B4127" t="str">
        <f t="shared" si="321"/>
        <v/>
      </c>
      <c r="C4127" t="str">
        <f t="shared" si="322"/>
        <v/>
      </c>
      <c r="D4127" t="str">
        <f>IF(E4127="","",IF(COUNTIF($E$2:E4127,E4127)&gt;1,"",SUMIFS(tbl_input[필요수량],tbl_input[집계키_지청],E4127)))</f>
        <v/>
      </c>
      <c r="E4127" t="str">
        <f>IFERROR(INDEX(tbl_input[집계키_지청],ROW()-1),"")</f>
        <v/>
      </c>
      <c r="F4127" t="str">
        <f t="shared" si="323"/>
        <v/>
      </c>
      <c r="G4127" t="str">
        <f t="shared" si="324"/>
        <v/>
      </c>
    </row>
    <row r="4128" spans="1:7" x14ac:dyDescent="0.4">
      <c r="A4128" t="str">
        <f t="shared" si="320"/>
        <v/>
      </c>
      <c r="B4128" t="str">
        <f t="shared" si="321"/>
        <v/>
      </c>
      <c r="C4128" t="str">
        <f t="shared" si="322"/>
        <v/>
      </c>
      <c r="D4128" t="str">
        <f>IF(E4128="","",IF(COUNTIF($E$2:E4128,E4128)&gt;1,"",SUMIFS(tbl_input[필요수량],tbl_input[집계키_지청],E4128)))</f>
        <v/>
      </c>
      <c r="E4128" t="str">
        <f>IFERROR(INDEX(tbl_input[집계키_지청],ROW()-1),"")</f>
        <v/>
      </c>
      <c r="F4128" t="str">
        <f t="shared" si="323"/>
        <v/>
      </c>
      <c r="G4128" t="str">
        <f t="shared" si="324"/>
        <v/>
      </c>
    </row>
    <row r="4129" spans="1:7" x14ac:dyDescent="0.4">
      <c r="A4129" t="str">
        <f t="shared" si="320"/>
        <v/>
      </c>
      <c r="B4129" t="str">
        <f t="shared" si="321"/>
        <v/>
      </c>
      <c r="C4129" t="str">
        <f t="shared" si="322"/>
        <v/>
      </c>
      <c r="D4129" t="str">
        <f>IF(E4129="","",IF(COUNTIF($E$2:E4129,E4129)&gt;1,"",SUMIFS(tbl_input[필요수량],tbl_input[집계키_지청],E4129)))</f>
        <v/>
      </c>
      <c r="E4129" t="str">
        <f>IFERROR(INDEX(tbl_input[집계키_지청],ROW()-1),"")</f>
        <v/>
      </c>
      <c r="F4129" t="str">
        <f t="shared" si="323"/>
        <v/>
      </c>
      <c r="G4129" t="str">
        <f t="shared" si="324"/>
        <v/>
      </c>
    </row>
    <row r="4130" spans="1:7" x14ac:dyDescent="0.4">
      <c r="A4130" t="str">
        <f t="shared" si="320"/>
        <v/>
      </c>
      <c r="B4130" t="str">
        <f t="shared" si="321"/>
        <v/>
      </c>
      <c r="C4130" t="str">
        <f t="shared" si="322"/>
        <v/>
      </c>
      <c r="D4130" t="str">
        <f>IF(E4130="","",IF(COUNTIF($E$2:E4130,E4130)&gt;1,"",SUMIFS(tbl_input[필요수량],tbl_input[집계키_지청],E4130)))</f>
        <v/>
      </c>
      <c r="E4130" t="str">
        <f>IFERROR(INDEX(tbl_input[집계키_지청],ROW()-1),"")</f>
        <v/>
      </c>
      <c r="F4130" t="str">
        <f t="shared" si="323"/>
        <v/>
      </c>
      <c r="G4130" t="str">
        <f t="shared" si="324"/>
        <v/>
      </c>
    </row>
    <row r="4131" spans="1:7" x14ac:dyDescent="0.4">
      <c r="A4131" t="str">
        <f t="shared" si="320"/>
        <v/>
      </c>
      <c r="B4131" t="str">
        <f t="shared" si="321"/>
        <v/>
      </c>
      <c r="C4131" t="str">
        <f t="shared" si="322"/>
        <v/>
      </c>
      <c r="D4131" t="str">
        <f>IF(E4131="","",IF(COUNTIF($E$2:E4131,E4131)&gt;1,"",SUMIFS(tbl_input[필요수량],tbl_input[집계키_지청],E4131)))</f>
        <v/>
      </c>
      <c r="E4131" t="str">
        <f>IFERROR(INDEX(tbl_input[집계키_지청],ROW()-1),"")</f>
        <v/>
      </c>
      <c r="F4131" t="str">
        <f t="shared" si="323"/>
        <v/>
      </c>
      <c r="G4131" t="str">
        <f t="shared" si="324"/>
        <v/>
      </c>
    </row>
    <row r="4132" spans="1:7" x14ac:dyDescent="0.4">
      <c r="A4132" t="str">
        <f t="shared" si="320"/>
        <v/>
      </c>
      <c r="B4132" t="str">
        <f t="shared" si="321"/>
        <v/>
      </c>
      <c r="C4132" t="str">
        <f t="shared" si="322"/>
        <v/>
      </c>
      <c r="D4132" t="str">
        <f>IF(E4132="","",IF(COUNTIF($E$2:E4132,E4132)&gt;1,"",SUMIFS(tbl_input[필요수량],tbl_input[집계키_지청],E4132)))</f>
        <v/>
      </c>
      <c r="E4132" t="str">
        <f>IFERROR(INDEX(tbl_input[집계키_지청],ROW()-1),"")</f>
        <v/>
      </c>
      <c r="F4132" t="str">
        <f t="shared" si="323"/>
        <v/>
      </c>
      <c r="G4132" t="str">
        <f t="shared" si="324"/>
        <v/>
      </c>
    </row>
    <row r="4133" spans="1:7" x14ac:dyDescent="0.4">
      <c r="A4133" t="str">
        <f t="shared" si="320"/>
        <v/>
      </c>
      <c r="B4133" t="str">
        <f t="shared" si="321"/>
        <v/>
      </c>
      <c r="C4133" t="str">
        <f t="shared" si="322"/>
        <v/>
      </c>
      <c r="D4133" t="str">
        <f>IF(E4133="","",IF(COUNTIF($E$2:E4133,E4133)&gt;1,"",SUMIFS(tbl_input[필요수량],tbl_input[집계키_지청],E4133)))</f>
        <v/>
      </c>
      <c r="E4133" t="str">
        <f>IFERROR(INDEX(tbl_input[집계키_지청],ROW()-1),"")</f>
        <v/>
      </c>
      <c r="F4133" t="str">
        <f t="shared" si="323"/>
        <v/>
      </c>
      <c r="G4133" t="str">
        <f t="shared" si="324"/>
        <v/>
      </c>
    </row>
    <row r="4134" spans="1:7" x14ac:dyDescent="0.4">
      <c r="A4134" t="str">
        <f t="shared" si="320"/>
        <v/>
      </c>
      <c r="B4134" t="str">
        <f t="shared" si="321"/>
        <v/>
      </c>
      <c r="C4134" t="str">
        <f t="shared" si="322"/>
        <v/>
      </c>
      <c r="D4134" t="str">
        <f>IF(E4134="","",IF(COUNTIF($E$2:E4134,E4134)&gt;1,"",SUMIFS(tbl_input[필요수량],tbl_input[집계키_지청],E4134)))</f>
        <v/>
      </c>
      <c r="E4134" t="str">
        <f>IFERROR(INDEX(tbl_input[집계키_지청],ROW()-1),"")</f>
        <v/>
      </c>
      <c r="F4134" t="str">
        <f t="shared" si="323"/>
        <v/>
      </c>
      <c r="G4134" t="str">
        <f t="shared" si="324"/>
        <v/>
      </c>
    </row>
    <row r="4135" spans="1:7" x14ac:dyDescent="0.4">
      <c r="A4135" t="str">
        <f t="shared" si="320"/>
        <v/>
      </c>
      <c r="B4135" t="str">
        <f t="shared" si="321"/>
        <v/>
      </c>
      <c r="C4135" t="str">
        <f t="shared" si="322"/>
        <v/>
      </c>
      <c r="D4135" t="str">
        <f>IF(E4135="","",IF(COUNTIF($E$2:E4135,E4135)&gt;1,"",SUMIFS(tbl_input[필요수량],tbl_input[집계키_지청],E4135)))</f>
        <v/>
      </c>
      <c r="E4135" t="str">
        <f>IFERROR(INDEX(tbl_input[집계키_지청],ROW()-1),"")</f>
        <v/>
      </c>
      <c r="F4135" t="str">
        <f t="shared" si="323"/>
        <v/>
      </c>
      <c r="G4135" t="str">
        <f t="shared" si="324"/>
        <v/>
      </c>
    </row>
    <row r="4136" spans="1:7" x14ac:dyDescent="0.4">
      <c r="A4136" t="str">
        <f t="shared" si="320"/>
        <v/>
      </c>
      <c r="B4136" t="str">
        <f t="shared" si="321"/>
        <v/>
      </c>
      <c r="C4136" t="str">
        <f t="shared" si="322"/>
        <v/>
      </c>
      <c r="D4136" t="str">
        <f>IF(E4136="","",IF(COUNTIF($E$2:E4136,E4136)&gt;1,"",SUMIFS(tbl_input[필요수량],tbl_input[집계키_지청],E4136)))</f>
        <v/>
      </c>
      <c r="E4136" t="str">
        <f>IFERROR(INDEX(tbl_input[집계키_지청],ROW()-1),"")</f>
        <v/>
      </c>
      <c r="F4136" t="str">
        <f t="shared" si="323"/>
        <v/>
      </c>
      <c r="G4136" t="str">
        <f t="shared" si="324"/>
        <v/>
      </c>
    </row>
    <row r="4137" spans="1:7" x14ac:dyDescent="0.4">
      <c r="A4137" t="str">
        <f t="shared" si="320"/>
        <v/>
      </c>
      <c r="B4137" t="str">
        <f t="shared" si="321"/>
        <v/>
      </c>
      <c r="C4137" t="str">
        <f t="shared" si="322"/>
        <v/>
      </c>
      <c r="D4137" t="str">
        <f>IF(E4137="","",IF(COUNTIF($E$2:E4137,E4137)&gt;1,"",SUMIFS(tbl_input[필요수량],tbl_input[집계키_지청],E4137)))</f>
        <v/>
      </c>
      <c r="E4137" t="str">
        <f>IFERROR(INDEX(tbl_input[집계키_지청],ROW()-1),"")</f>
        <v/>
      </c>
      <c r="F4137" t="str">
        <f t="shared" si="323"/>
        <v/>
      </c>
      <c r="G4137" t="str">
        <f t="shared" si="324"/>
        <v/>
      </c>
    </row>
    <row r="4138" spans="1:7" x14ac:dyDescent="0.4">
      <c r="A4138" t="str">
        <f t="shared" si="320"/>
        <v/>
      </c>
      <c r="B4138" t="str">
        <f t="shared" si="321"/>
        <v/>
      </c>
      <c r="C4138" t="str">
        <f t="shared" si="322"/>
        <v/>
      </c>
      <c r="D4138" t="str">
        <f>IF(E4138="","",IF(COUNTIF($E$2:E4138,E4138)&gt;1,"",SUMIFS(tbl_input[필요수량],tbl_input[집계키_지청],E4138)))</f>
        <v/>
      </c>
      <c r="E4138" t="str">
        <f>IFERROR(INDEX(tbl_input[집계키_지청],ROW()-1),"")</f>
        <v/>
      </c>
      <c r="F4138" t="str">
        <f t="shared" si="323"/>
        <v/>
      </c>
      <c r="G4138" t="str">
        <f t="shared" si="324"/>
        <v/>
      </c>
    </row>
    <row r="4139" spans="1:7" x14ac:dyDescent="0.4">
      <c r="A4139" t="str">
        <f t="shared" si="320"/>
        <v/>
      </c>
      <c r="B4139" t="str">
        <f t="shared" si="321"/>
        <v/>
      </c>
      <c r="C4139" t="str">
        <f t="shared" si="322"/>
        <v/>
      </c>
      <c r="D4139" t="str">
        <f>IF(E4139="","",IF(COUNTIF($E$2:E4139,E4139)&gt;1,"",SUMIFS(tbl_input[필요수량],tbl_input[집계키_지청],E4139)))</f>
        <v/>
      </c>
      <c r="E4139" t="str">
        <f>IFERROR(INDEX(tbl_input[집계키_지청],ROW()-1),"")</f>
        <v/>
      </c>
      <c r="F4139" t="str">
        <f t="shared" si="323"/>
        <v/>
      </c>
      <c r="G4139" t="str">
        <f t="shared" si="324"/>
        <v/>
      </c>
    </row>
    <row r="4140" spans="1:7" x14ac:dyDescent="0.4">
      <c r="A4140" t="str">
        <f t="shared" si="320"/>
        <v/>
      </c>
      <c r="B4140" t="str">
        <f t="shared" si="321"/>
        <v/>
      </c>
      <c r="C4140" t="str">
        <f t="shared" si="322"/>
        <v/>
      </c>
      <c r="D4140" t="str">
        <f>IF(E4140="","",IF(COUNTIF($E$2:E4140,E4140)&gt;1,"",SUMIFS(tbl_input[필요수량],tbl_input[집계키_지청],E4140)))</f>
        <v/>
      </c>
      <c r="E4140" t="str">
        <f>IFERROR(INDEX(tbl_input[집계키_지청],ROW()-1),"")</f>
        <v/>
      </c>
      <c r="F4140" t="str">
        <f t="shared" si="323"/>
        <v/>
      </c>
      <c r="G4140" t="str">
        <f t="shared" si="324"/>
        <v/>
      </c>
    </row>
    <row r="4141" spans="1:7" x14ac:dyDescent="0.4">
      <c r="A4141" t="str">
        <f t="shared" si="320"/>
        <v/>
      </c>
      <c r="B4141" t="str">
        <f t="shared" si="321"/>
        <v/>
      </c>
      <c r="C4141" t="str">
        <f t="shared" si="322"/>
        <v/>
      </c>
      <c r="D4141" t="str">
        <f>IF(E4141="","",IF(COUNTIF($E$2:E4141,E4141)&gt;1,"",SUMIFS(tbl_input[필요수량],tbl_input[집계키_지청],E4141)))</f>
        <v/>
      </c>
      <c r="E4141" t="str">
        <f>IFERROR(INDEX(tbl_input[집계키_지청],ROW()-1),"")</f>
        <v/>
      </c>
      <c r="F4141" t="str">
        <f t="shared" si="323"/>
        <v/>
      </c>
      <c r="G4141" t="str">
        <f t="shared" si="324"/>
        <v/>
      </c>
    </row>
    <row r="4142" spans="1:7" x14ac:dyDescent="0.4">
      <c r="A4142" t="str">
        <f t="shared" si="320"/>
        <v/>
      </c>
      <c r="B4142" t="str">
        <f t="shared" si="321"/>
        <v/>
      </c>
      <c r="C4142" t="str">
        <f t="shared" si="322"/>
        <v/>
      </c>
      <c r="D4142" t="str">
        <f>IF(E4142="","",IF(COUNTIF($E$2:E4142,E4142)&gt;1,"",SUMIFS(tbl_input[필요수량],tbl_input[집계키_지청],E4142)))</f>
        <v/>
      </c>
      <c r="E4142" t="str">
        <f>IFERROR(INDEX(tbl_input[집계키_지청],ROW()-1),"")</f>
        <v/>
      </c>
      <c r="F4142" t="str">
        <f t="shared" si="323"/>
        <v/>
      </c>
      <c r="G4142" t="str">
        <f t="shared" si="324"/>
        <v/>
      </c>
    </row>
    <row r="4143" spans="1:7" x14ac:dyDescent="0.4">
      <c r="A4143" t="str">
        <f t="shared" si="320"/>
        <v/>
      </c>
      <c r="B4143" t="str">
        <f t="shared" si="321"/>
        <v/>
      </c>
      <c r="C4143" t="str">
        <f t="shared" si="322"/>
        <v/>
      </c>
      <c r="D4143" t="str">
        <f>IF(E4143="","",IF(COUNTIF($E$2:E4143,E4143)&gt;1,"",SUMIFS(tbl_input[필요수량],tbl_input[집계키_지청],E4143)))</f>
        <v/>
      </c>
      <c r="E4143" t="str">
        <f>IFERROR(INDEX(tbl_input[집계키_지청],ROW()-1),"")</f>
        <v/>
      </c>
      <c r="F4143" t="str">
        <f t="shared" si="323"/>
        <v/>
      </c>
      <c r="G4143" t="str">
        <f t="shared" si="324"/>
        <v/>
      </c>
    </row>
    <row r="4144" spans="1:7" x14ac:dyDescent="0.4">
      <c r="A4144" t="str">
        <f t="shared" si="320"/>
        <v/>
      </c>
      <c r="B4144" t="str">
        <f t="shared" si="321"/>
        <v/>
      </c>
      <c r="C4144" t="str">
        <f t="shared" si="322"/>
        <v/>
      </c>
      <c r="D4144" t="str">
        <f>IF(E4144="","",IF(COUNTIF($E$2:E4144,E4144)&gt;1,"",SUMIFS(tbl_input[필요수량],tbl_input[집계키_지청],E4144)))</f>
        <v/>
      </c>
      <c r="E4144" t="str">
        <f>IFERROR(INDEX(tbl_input[집계키_지청],ROW()-1),"")</f>
        <v/>
      </c>
      <c r="F4144" t="str">
        <f t="shared" si="323"/>
        <v/>
      </c>
      <c r="G4144" t="str">
        <f t="shared" si="324"/>
        <v/>
      </c>
    </row>
    <row r="4145" spans="1:7" x14ac:dyDescent="0.4">
      <c r="A4145" t="str">
        <f t="shared" si="320"/>
        <v/>
      </c>
      <c r="B4145" t="str">
        <f t="shared" si="321"/>
        <v/>
      </c>
      <c r="C4145" t="str">
        <f t="shared" si="322"/>
        <v/>
      </c>
      <c r="D4145" t="str">
        <f>IF(E4145="","",IF(COUNTIF($E$2:E4145,E4145)&gt;1,"",SUMIFS(tbl_input[필요수량],tbl_input[집계키_지청],E4145)))</f>
        <v/>
      </c>
      <c r="E4145" t="str">
        <f>IFERROR(INDEX(tbl_input[집계키_지청],ROW()-1),"")</f>
        <v/>
      </c>
      <c r="F4145" t="str">
        <f t="shared" si="323"/>
        <v/>
      </c>
      <c r="G4145" t="str">
        <f t="shared" si="324"/>
        <v/>
      </c>
    </row>
    <row r="4146" spans="1:7" x14ac:dyDescent="0.4">
      <c r="A4146" t="str">
        <f t="shared" si="320"/>
        <v/>
      </c>
      <c r="B4146" t="str">
        <f t="shared" si="321"/>
        <v/>
      </c>
      <c r="C4146" t="str">
        <f t="shared" si="322"/>
        <v/>
      </c>
      <c r="D4146" t="str">
        <f>IF(E4146="","",IF(COUNTIF($E$2:E4146,E4146)&gt;1,"",SUMIFS(tbl_input[필요수량],tbl_input[집계키_지청],E4146)))</f>
        <v/>
      </c>
      <c r="E4146" t="str">
        <f>IFERROR(INDEX(tbl_input[집계키_지청],ROW()-1),"")</f>
        <v/>
      </c>
      <c r="F4146" t="str">
        <f t="shared" si="323"/>
        <v/>
      </c>
      <c r="G4146" t="str">
        <f t="shared" si="324"/>
        <v/>
      </c>
    </row>
    <row r="4147" spans="1:7" x14ac:dyDescent="0.4">
      <c r="A4147" t="str">
        <f t="shared" si="320"/>
        <v/>
      </c>
      <c r="B4147" t="str">
        <f t="shared" si="321"/>
        <v/>
      </c>
      <c r="C4147" t="str">
        <f t="shared" si="322"/>
        <v/>
      </c>
      <c r="D4147" t="str">
        <f>IF(E4147="","",IF(COUNTIF($E$2:E4147,E4147)&gt;1,"",SUMIFS(tbl_input[필요수량],tbl_input[집계키_지청],E4147)))</f>
        <v/>
      </c>
      <c r="E4147" t="str">
        <f>IFERROR(INDEX(tbl_input[집계키_지청],ROW()-1),"")</f>
        <v/>
      </c>
      <c r="F4147" t="str">
        <f t="shared" si="323"/>
        <v/>
      </c>
      <c r="G4147" t="str">
        <f t="shared" si="324"/>
        <v/>
      </c>
    </row>
    <row r="4148" spans="1:7" x14ac:dyDescent="0.4">
      <c r="A4148" t="str">
        <f t="shared" si="320"/>
        <v/>
      </c>
      <c r="B4148" t="str">
        <f t="shared" si="321"/>
        <v/>
      </c>
      <c r="C4148" t="str">
        <f t="shared" si="322"/>
        <v/>
      </c>
      <c r="D4148" t="str">
        <f>IF(E4148="","",IF(COUNTIF($E$2:E4148,E4148)&gt;1,"",SUMIFS(tbl_input[필요수량],tbl_input[집계키_지청],E4148)))</f>
        <v/>
      </c>
      <c r="E4148" t="str">
        <f>IFERROR(INDEX(tbl_input[집계키_지청],ROW()-1),"")</f>
        <v/>
      </c>
      <c r="F4148" t="str">
        <f t="shared" si="323"/>
        <v/>
      </c>
      <c r="G4148" t="str">
        <f t="shared" si="324"/>
        <v/>
      </c>
    </row>
    <row r="4149" spans="1:7" x14ac:dyDescent="0.4">
      <c r="A4149" t="str">
        <f t="shared" si="320"/>
        <v/>
      </c>
      <c r="B4149" t="str">
        <f t="shared" si="321"/>
        <v/>
      </c>
      <c r="C4149" t="str">
        <f t="shared" si="322"/>
        <v/>
      </c>
      <c r="D4149" t="str">
        <f>IF(E4149="","",IF(COUNTIF($E$2:E4149,E4149)&gt;1,"",SUMIFS(tbl_input[필요수량],tbl_input[집계키_지청],E4149)))</f>
        <v/>
      </c>
      <c r="E4149" t="str">
        <f>IFERROR(INDEX(tbl_input[집계키_지청],ROW()-1),"")</f>
        <v/>
      </c>
      <c r="F4149" t="str">
        <f t="shared" si="323"/>
        <v/>
      </c>
      <c r="G4149" t="str">
        <f t="shared" si="324"/>
        <v/>
      </c>
    </row>
    <row r="4150" spans="1:7" x14ac:dyDescent="0.4">
      <c r="A4150" t="str">
        <f t="shared" si="320"/>
        <v/>
      </c>
      <c r="B4150" t="str">
        <f t="shared" si="321"/>
        <v/>
      </c>
      <c r="C4150" t="str">
        <f t="shared" si="322"/>
        <v/>
      </c>
      <c r="D4150" t="str">
        <f>IF(E4150="","",IF(COUNTIF($E$2:E4150,E4150)&gt;1,"",SUMIFS(tbl_input[필요수량],tbl_input[집계키_지청],E4150)))</f>
        <v/>
      </c>
      <c r="E4150" t="str">
        <f>IFERROR(INDEX(tbl_input[집계키_지청],ROW()-1),"")</f>
        <v/>
      </c>
      <c r="F4150" t="str">
        <f t="shared" si="323"/>
        <v/>
      </c>
      <c r="G4150" t="str">
        <f t="shared" si="324"/>
        <v/>
      </c>
    </row>
    <row r="4151" spans="1:7" x14ac:dyDescent="0.4">
      <c r="A4151" t="str">
        <f t="shared" si="320"/>
        <v/>
      </c>
      <c r="B4151" t="str">
        <f t="shared" si="321"/>
        <v/>
      </c>
      <c r="C4151" t="str">
        <f t="shared" si="322"/>
        <v/>
      </c>
      <c r="D4151" t="str">
        <f>IF(E4151="","",IF(COUNTIF($E$2:E4151,E4151)&gt;1,"",SUMIFS(tbl_input[필요수량],tbl_input[집계키_지청],E4151)))</f>
        <v/>
      </c>
      <c r="E4151" t="str">
        <f>IFERROR(INDEX(tbl_input[집계키_지청],ROW()-1),"")</f>
        <v/>
      </c>
      <c r="F4151" t="str">
        <f t="shared" si="323"/>
        <v/>
      </c>
      <c r="G4151" t="str">
        <f t="shared" si="324"/>
        <v/>
      </c>
    </row>
    <row r="4152" spans="1:7" x14ac:dyDescent="0.4">
      <c r="A4152" t="str">
        <f t="shared" si="320"/>
        <v/>
      </c>
      <c r="B4152" t="str">
        <f t="shared" si="321"/>
        <v/>
      </c>
      <c r="C4152" t="str">
        <f t="shared" si="322"/>
        <v/>
      </c>
      <c r="D4152" t="str">
        <f>IF(E4152="","",IF(COUNTIF($E$2:E4152,E4152)&gt;1,"",SUMIFS(tbl_input[필요수량],tbl_input[집계키_지청],E4152)))</f>
        <v/>
      </c>
      <c r="E4152" t="str">
        <f>IFERROR(INDEX(tbl_input[집계키_지청],ROW()-1),"")</f>
        <v/>
      </c>
      <c r="F4152" t="str">
        <f t="shared" si="323"/>
        <v/>
      </c>
      <c r="G4152" t="str">
        <f t="shared" si="324"/>
        <v/>
      </c>
    </row>
    <row r="4153" spans="1:7" x14ac:dyDescent="0.4">
      <c r="A4153" t="str">
        <f t="shared" si="320"/>
        <v/>
      </c>
      <c r="B4153" t="str">
        <f t="shared" si="321"/>
        <v/>
      </c>
      <c r="C4153" t="str">
        <f t="shared" si="322"/>
        <v/>
      </c>
      <c r="D4153" t="str">
        <f>IF(E4153="","",IF(COUNTIF($E$2:E4153,E4153)&gt;1,"",SUMIFS(tbl_input[필요수량],tbl_input[집계키_지청],E4153)))</f>
        <v/>
      </c>
      <c r="E4153" t="str">
        <f>IFERROR(INDEX(tbl_input[집계키_지청],ROW()-1),"")</f>
        <v/>
      </c>
      <c r="F4153" t="str">
        <f t="shared" si="323"/>
        <v/>
      </c>
      <c r="G4153" t="str">
        <f t="shared" si="324"/>
        <v/>
      </c>
    </row>
    <row r="4154" spans="1:7" x14ac:dyDescent="0.4">
      <c r="A4154" t="str">
        <f t="shared" si="320"/>
        <v/>
      </c>
      <c r="B4154" t="str">
        <f t="shared" si="321"/>
        <v/>
      </c>
      <c r="C4154" t="str">
        <f t="shared" si="322"/>
        <v/>
      </c>
      <c r="D4154" t="str">
        <f>IF(E4154="","",IF(COUNTIF($E$2:E4154,E4154)&gt;1,"",SUMIFS(tbl_input[필요수량],tbl_input[집계키_지청],E4154)))</f>
        <v/>
      </c>
      <c r="E4154" t="str">
        <f>IFERROR(INDEX(tbl_input[집계키_지청],ROW()-1),"")</f>
        <v/>
      </c>
      <c r="F4154" t="str">
        <f t="shared" si="323"/>
        <v/>
      </c>
      <c r="G4154" t="str">
        <f t="shared" si="324"/>
        <v/>
      </c>
    </row>
    <row r="4155" spans="1:7" x14ac:dyDescent="0.4">
      <c r="A4155" t="str">
        <f t="shared" si="320"/>
        <v/>
      </c>
      <c r="B4155" t="str">
        <f t="shared" si="321"/>
        <v/>
      </c>
      <c r="C4155" t="str">
        <f t="shared" si="322"/>
        <v/>
      </c>
      <c r="D4155" t="str">
        <f>IF(E4155="","",IF(COUNTIF($E$2:E4155,E4155)&gt;1,"",SUMIFS(tbl_input[필요수량],tbl_input[집계키_지청],E4155)))</f>
        <v/>
      </c>
      <c r="E4155" t="str">
        <f>IFERROR(INDEX(tbl_input[집계키_지청],ROW()-1),"")</f>
        <v/>
      </c>
      <c r="F4155" t="str">
        <f t="shared" si="323"/>
        <v/>
      </c>
      <c r="G4155" t="str">
        <f t="shared" si="324"/>
        <v/>
      </c>
    </row>
    <row r="4156" spans="1:7" x14ac:dyDescent="0.4">
      <c r="A4156" t="str">
        <f t="shared" si="320"/>
        <v/>
      </c>
      <c r="B4156" t="str">
        <f t="shared" si="321"/>
        <v/>
      </c>
      <c r="C4156" t="str">
        <f t="shared" si="322"/>
        <v/>
      </c>
      <c r="D4156" t="str">
        <f>IF(E4156="","",IF(COUNTIF($E$2:E4156,E4156)&gt;1,"",SUMIFS(tbl_input[필요수량],tbl_input[집계키_지청],E4156)))</f>
        <v/>
      </c>
      <c r="E4156" t="str">
        <f>IFERROR(INDEX(tbl_input[집계키_지청],ROW()-1),"")</f>
        <v/>
      </c>
      <c r="F4156" t="str">
        <f t="shared" si="323"/>
        <v/>
      </c>
      <c r="G4156" t="str">
        <f t="shared" si="324"/>
        <v/>
      </c>
    </row>
    <row r="4157" spans="1:7" x14ac:dyDescent="0.4">
      <c r="A4157" t="str">
        <f t="shared" si="320"/>
        <v/>
      </c>
      <c r="B4157" t="str">
        <f t="shared" si="321"/>
        <v/>
      </c>
      <c r="C4157" t="str">
        <f t="shared" si="322"/>
        <v/>
      </c>
      <c r="D4157" t="str">
        <f>IF(E4157="","",IF(COUNTIF($E$2:E4157,E4157)&gt;1,"",SUMIFS(tbl_input[필요수량],tbl_input[집계키_지청],E4157)))</f>
        <v/>
      </c>
      <c r="E4157" t="str">
        <f>IFERROR(INDEX(tbl_input[집계키_지청],ROW()-1),"")</f>
        <v/>
      </c>
      <c r="F4157" t="str">
        <f t="shared" si="323"/>
        <v/>
      </c>
      <c r="G4157" t="str">
        <f t="shared" si="324"/>
        <v/>
      </c>
    </row>
    <row r="4158" spans="1:7" x14ac:dyDescent="0.4">
      <c r="A4158" t="str">
        <f t="shared" si="320"/>
        <v/>
      </c>
      <c r="B4158" t="str">
        <f t="shared" si="321"/>
        <v/>
      </c>
      <c r="C4158" t="str">
        <f t="shared" si="322"/>
        <v/>
      </c>
      <c r="D4158" t="str">
        <f>IF(E4158="","",IF(COUNTIF($E$2:E4158,E4158)&gt;1,"",SUMIFS(tbl_input[필요수량],tbl_input[집계키_지청],E4158)))</f>
        <v/>
      </c>
      <c r="E4158" t="str">
        <f>IFERROR(INDEX(tbl_input[집계키_지청],ROW()-1),"")</f>
        <v/>
      </c>
      <c r="F4158" t="str">
        <f t="shared" si="323"/>
        <v/>
      </c>
      <c r="G4158" t="str">
        <f t="shared" si="324"/>
        <v/>
      </c>
    </row>
    <row r="4159" spans="1:7" x14ac:dyDescent="0.4">
      <c r="A4159" t="str">
        <f t="shared" si="320"/>
        <v/>
      </c>
      <c r="B4159" t="str">
        <f t="shared" si="321"/>
        <v/>
      </c>
      <c r="C4159" t="str">
        <f t="shared" si="322"/>
        <v/>
      </c>
      <c r="D4159" t="str">
        <f>IF(E4159="","",IF(COUNTIF($E$2:E4159,E4159)&gt;1,"",SUMIFS(tbl_input[필요수량],tbl_input[집계키_지청],E4159)))</f>
        <v/>
      </c>
      <c r="E4159" t="str">
        <f>IFERROR(INDEX(tbl_input[집계키_지청],ROW()-1),"")</f>
        <v/>
      </c>
      <c r="F4159" t="str">
        <f t="shared" si="323"/>
        <v/>
      </c>
      <c r="G4159" t="str">
        <f t="shared" si="324"/>
        <v/>
      </c>
    </row>
    <row r="4160" spans="1:7" x14ac:dyDescent="0.4">
      <c r="A4160" t="str">
        <f t="shared" si="320"/>
        <v/>
      </c>
      <c r="B4160" t="str">
        <f t="shared" si="321"/>
        <v/>
      </c>
      <c r="C4160" t="str">
        <f t="shared" si="322"/>
        <v/>
      </c>
      <c r="D4160" t="str">
        <f>IF(E4160="","",IF(COUNTIF($E$2:E4160,E4160)&gt;1,"",SUMIFS(tbl_input[필요수량],tbl_input[집계키_지청],E4160)))</f>
        <v/>
      </c>
      <c r="E4160" t="str">
        <f>IFERROR(INDEX(tbl_input[집계키_지청],ROW()-1),"")</f>
        <v/>
      </c>
      <c r="F4160" t="str">
        <f t="shared" si="323"/>
        <v/>
      </c>
      <c r="G4160" t="str">
        <f t="shared" si="324"/>
        <v/>
      </c>
    </row>
    <row r="4161" spans="1:7" x14ac:dyDescent="0.4">
      <c r="A4161" t="str">
        <f t="shared" si="320"/>
        <v/>
      </c>
      <c r="B4161" t="str">
        <f t="shared" si="321"/>
        <v/>
      </c>
      <c r="C4161" t="str">
        <f t="shared" si="322"/>
        <v/>
      </c>
      <c r="D4161" t="str">
        <f>IF(E4161="","",IF(COUNTIF($E$2:E4161,E4161)&gt;1,"",SUMIFS(tbl_input[필요수량],tbl_input[집계키_지청],E4161)))</f>
        <v/>
      </c>
      <c r="E4161" t="str">
        <f>IFERROR(INDEX(tbl_input[집계키_지청],ROW()-1),"")</f>
        <v/>
      </c>
      <c r="F4161" t="str">
        <f t="shared" si="323"/>
        <v/>
      </c>
      <c r="G4161" t="str">
        <f t="shared" si="324"/>
        <v/>
      </c>
    </row>
    <row r="4162" spans="1:7" x14ac:dyDescent="0.4">
      <c r="A4162" t="str">
        <f t="shared" ref="A4162:A4225" si="325">IF(E4162="","",LEFT(E4162,F4162-1))</f>
        <v/>
      </c>
      <c r="B4162" t="str">
        <f t="shared" ref="B4162:B4225" si="326">IF(E4162="","",MID(E4162,F4162+1,G4162-F4162-1))</f>
        <v/>
      </c>
      <c r="C4162" t="str">
        <f t="shared" ref="C4162:C4225" si="327">IF(E4162="","",MID(E4162,G4162+1,999))</f>
        <v/>
      </c>
      <c r="D4162" t="str">
        <f>IF(E4162="","",IF(COUNTIF($E$2:E4162,E4162)&gt;1,"",SUMIFS(tbl_input[필요수량],tbl_input[집계키_지청],E4162)))</f>
        <v/>
      </c>
      <c r="E4162" t="str">
        <f>IFERROR(INDEX(tbl_input[집계키_지청],ROW()-1),"")</f>
        <v/>
      </c>
      <c r="F4162" t="str">
        <f t="shared" ref="F4162:F4225" si="328">IF(E4162="","",FIND("♦",E4162))</f>
        <v/>
      </c>
      <c r="G4162" t="str">
        <f t="shared" ref="G4162:G4225" si="329">IF(E4162="","",FIND("♦",E4162,F4162+1))</f>
        <v/>
      </c>
    </row>
    <row r="4163" spans="1:7" x14ac:dyDescent="0.4">
      <c r="A4163" t="str">
        <f t="shared" si="325"/>
        <v/>
      </c>
      <c r="B4163" t="str">
        <f t="shared" si="326"/>
        <v/>
      </c>
      <c r="C4163" t="str">
        <f t="shared" si="327"/>
        <v/>
      </c>
      <c r="D4163" t="str">
        <f>IF(E4163="","",IF(COUNTIF($E$2:E4163,E4163)&gt;1,"",SUMIFS(tbl_input[필요수량],tbl_input[집계키_지청],E4163)))</f>
        <v/>
      </c>
      <c r="E4163" t="str">
        <f>IFERROR(INDEX(tbl_input[집계키_지청],ROW()-1),"")</f>
        <v/>
      </c>
      <c r="F4163" t="str">
        <f t="shared" si="328"/>
        <v/>
      </c>
      <c r="G4163" t="str">
        <f t="shared" si="329"/>
        <v/>
      </c>
    </row>
    <row r="4164" spans="1:7" x14ac:dyDescent="0.4">
      <c r="A4164" t="str">
        <f t="shared" si="325"/>
        <v/>
      </c>
      <c r="B4164" t="str">
        <f t="shared" si="326"/>
        <v/>
      </c>
      <c r="C4164" t="str">
        <f t="shared" si="327"/>
        <v/>
      </c>
      <c r="D4164" t="str">
        <f>IF(E4164="","",IF(COUNTIF($E$2:E4164,E4164)&gt;1,"",SUMIFS(tbl_input[필요수량],tbl_input[집계키_지청],E4164)))</f>
        <v/>
      </c>
      <c r="E4164" t="str">
        <f>IFERROR(INDEX(tbl_input[집계키_지청],ROW()-1),"")</f>
        <v/>
      </c>
      <c r="F4164" t="str">
        <f t="shared" si="328"/>
        <v/>
      </c>
      <c r="G4164" t="str">
        <f t="shared" si="329"/>
        <v/>
      </c>
    </row>
    <row r="4165" spans="1:7" x14ac:dyDescent="0.4">
      <c r="A4165" t="str">
        <f t="shared" si="325"/>
        <v/>
      </c>
      <c r="B4165" t="str">
        <f t="shared" si="326"/>
        <v/>
      </c>
      <c r="C4165" t="str">
        <f t="shared" si="327"/>
        <v/>
      </c>
      <c r="D4165" t="str">
        <f>IF(E4165="","",IF(COUNTIF($E$2:E4165,E4165)&gt;1,"",SUMIFS(tbl_input[필요수량],tbl_input[집계키_지청],E4165)))</f>
        <v/>
      </c>
      <c r="E4165" t="str">
        <f>IFERROR(INDEX(tbl_input[집계키_지청],ROW()-1),"")</f>
        <v/>
      </c>
      <c r="F4165" t="str">
        <f t="shared" si="328"/>
        <v/>
      </c>
      <c r="G4165" t="str">
        <f t="shared" si="329"/>
        <v/>
      </c>
    </row>
    <row r="4166" spans="1:7" x14ac:dyDescent="0.4">
      <c r="A4166" t="str">
        <f t="shared" si="325"/>
        <v/>
      </c>
      <c r="B4166" t="str">
        <f t="shared" si="326"/>
        <v/>
      </c>
      <c r="C4166" t="str">
        <f t="shared" si="327"/>
        <v/>
      </c>
      <c r="D4166" t="str">
        <f>IF(E4166="","",IF(COUNTIF($E$2:E4166,E4166)&gt;1,"",SUMIFS(tbl_input[필요수량],tbl_input[집계키_지청],E4166)))</f>
        <v/>
      </c>
      <c r="E4166" t="str">
        <f>IFERROR(INDEX(tbl_input[집계키_지청],ROW()-1),"")</f>
        <v/>
      </c>
      <c r="F4166" t="str">
        <f t="shared" si="328"/>
        <v/>
      </c>
      <c r="G4166" t="str">
        <f t="shared" si="329"/>
        <v/>
      </c>
    </row>
    <row r="4167" spans="1:7" x14ac:dyDescent="0.4">
      <c r="A4167" t="str">
        <f t="shared" si="325"/>
        <v/>
      </c>
      <c r="B4167" t="str">
        <f t="shared" si="326"/>
        <v/>
      </c>
      <c r="C4167" t="str">
        <f t="shared" si="327"/>
        <v/>
      </c>
      <c r="D4167" t="str">
        <f>IF(E4167="","",IF(COUNTIF($E$2:E4167,E4167)&gt;1,"",SUMIFS(tbl_input[필요수량],tbl_input[집계키_지청],E4167)))</f>
        <v/>
      </c>
      <c r="E4167" t="str">
        <f>IFERROR(INDEX(tbl_input[집계키_지청],ROW()-1),"")</f>
        <v/>
      </c>
      <c r="F4167" t="str">
        <f t="shared" si="328"/>
        <v/>
      </c>
      <c r="G4167" t="str">
        <f t="shared" si="329"/>
        <v/>
      </c>
    </row>
    <row r="4168" spans="1:7" x14ac:dyDescent="0.4">
      <c r="A4168" t="str">
        <f t="shared" si="325"/>
        <v/>
      </c>
      <c r="B4168" t="str">
        <f t="shared" si="326"/>
        <v/>
      </c>
      <c r="C4168" t="str">
        <f t="shared" si="327"/>
        <v/>
      </c>
      <c r="D4168" t="str">
        <f>IF(E4168="","",IF(COUNTIF($E$2:E4168,E4168)&gt;1,"",SUMIFS(tbl_input[필요수량],tbl_input[집계키_지청],E4168)))</f>
        <v/>
      </c>
      <c r="E4168" t="str">
        <f>IFERROR(INDEX(tbl_input[집계키_지청],ROW()-1),"")</f>
        <v/>
      </c>
      <c r="F4168" t="str">
        <f t="shared" si="328"/>
        <v/>
      </c>
      <c r="G4168" t="str">
        <f t="shared" si="329"/>
        <v/>
      </c>
    </row>
    <row r="4169" spans="1:7" x14ac:dyDescent="0.4">
      <c r="A4169" t="str">
        <f t="shared" si="325"/>
        <v/>
      </c>
      <c r="B4169" t="str">
        <f t="shared" si="326"/>
        <v/>
      </c>
      <c r="C4169" t="str">
        <f t="shared" si="327"/>
        <v/>
      </c>
      <c r="D4169" t="str">
        <f>IF(E4169="","",IF(COUNTIF($E$2:E4169,E4169)&gt;1,"",SUMIFS(tbl_input[필요수량],tbl_input[집계키_지청],E4169)))</f>
        <v/>
      </c>
      <c r="E4169" t="str">
        <f>IFERROR(INDEX(tbl_input[집계키_지청],ROW()-1),"")</f>
        <v/>
      </c>
      <c r="F4169" t="str">
        <f t="shared" si="328"/>
        <v/>
      </c>
      <c r="G4169" t="str">
        <f t="shared" si="329"/>
        <v/>
      </c>
    </row>
    <row r="4170" spans="1:7" x14ac:dyDescent="0.4">
      <c r="A4170" t="str">
        <f t="shared" si="325"/>
        <v/>
      </c>
      <c r="B4170" t="str">
        <f t="shared" si="326"/>
        <v/>
      </c>
      <c r="C4170" t="str">
        <f t="shared" si="327"/>
        <v/>
      </c>
      <c r="D4170" t="str">
        <f>IF(E4170="","",IF(COUNTIF($E$2:E4170,E4170)&gt;1,"",SUMIFS(tbl_input[필요수량],tbl_input[집계키_지청],E4170)))</f>
        <v/>
      </c>
      <c r="E4170" t="str">
        <f>IFERROR(INDEX(tbl_input[집계키_지청],ROW()-1),"")</f>
        <v/>
      </c>
      <c r="F4170" t="str">
        <f t="shared" si="328"/>
        <v/>
      </c>
      <c r="G4170" t="str">
        <f t="shared" si="329"/>
        <v/>
      </c>
    </row>
    <row r="4171" spans="1:7" x14ac:dyDescent="0.4">
      <c r="A4171" t="str">
        <f t="shared" si="325"/>
        <v/>
      </c>
      <c r="B4171" t="str">
        <f t="shared" si="326"/>
        <v/>
      </c>
      <c r="C4171" t="str">
        <f t="shared" si="327"/>
        <v/>
      </c>
      <c r="D4171" t="str">
        <f>IF(E4171="","",IF(COUNTIF($E$2:E4171,E4171)&gt;1,"",SUMIFS(tbl_input[필요수량],tbl_input[집계키_지청],E4171)))</f>
        <v/>
      </c>
      <c r="E4171" t="str">
        <f>IFERROR(INDEX(tbl_input[집계키_지청],ROW()-1),"")</f>
        <v/>
      </c>
      <c r="F4171" t="str">
        <f t="shared" si="328"/>
        <v/>
      </c>
      <c r="G4171" t="str">
        <f t="shared" si="329"/>
        <v/>
      </c>
    </row>
    <row r="4172" spans="1:7" x14ac:dyDescent="0.4">
      <c r="A4172" t="str">
        <f t="shared" si="325"/>
        <v/>
      </c>
      <c r="B4172" t="str">
        <f t="shared" si="326"/>
        <v/>
      </c>
      <c r="C4172" t="str">
        <f t="shared" si="327"/>
        <v/>
      </c>
      <c r="D4172" t="str">
        <f>IF(E4172="","",IF(COUNTIF($E$2:E4172,E4172)&gt;1,"",SUMIFS(tbl_input[필요수량],tbl_input[집계키_지청],E4172)))</f>
        <v/>
      </c>
      <c r="E4172" t="str">
        <f>IFERROR(INDEX(tbl_input[집계키_지청],ROW()-1),"")</f>
        <v/>
      </c>
      <c r="F4172" t="str">
        <f t="shared" si="328"/>
        <v/>
      </c>
      <c r="G4172" t="str">
        <f t="shared" si="329"/>
        <v/>
      </c>
    </row>
    <row r="4173" spans="1:7" x14ac:dyDescent="0.4">
      <c r="A4173" t="str">
        <f t="shared" si="325"/>
        <v/>
      </c>
      <c r="B4173" t="str">
        <f t="shared" si="326"/>
        <v/>
      </c>
      <c r="C4173" t="str">
        <f t="shared" si="327"/>
        <v/>
      </c>
      <c r="D4173" t="str">
        <f>IF(E4173="","",IF(COUNTIF($E$2:E4173,E4173)&gt;1,"",SUMIFS(tbl_input[필요수량],tbl_input[집계키_지청],E4173)))</f>
        <v/>
      </c>
      <c r="E4173" t="str">
        <f>IFERROR(INDEX(tbl_input[집계키_지청],ROW()-1),"")</f>
        <v/>
      </c>
      <c r="F4173" t="str">
        <f t="shared" si="328"/>
        <v/>
      </c>
      <c r="G4173" t="str">
        <f t="shared" si="329"/>
        <v/>
      </c>
    </row>
    <row r="4174" spans="1:7" x14ac:dyDescent="0.4">
      <c r="A4174" t="str">
        <f t="shared" si="325"/>
        <v/>
      </c>
      <c r="B4174" t="str">
        <f t="shared" si="326"/>
        <v/>
      </c>
      <c r="C4174" t="str">
        <f t="shared" si="327"/>
        <v/>
      </c>
      <c r="D4174" t="str">
        <f>IF(E4174="","",IF(COUNTIF($E$2:E4174,E4174)&gt;1,"",SUMIFS(tbl_input[필요수량],tbl_input[집계키_지청],E4174)))</f>
        <v/>
      </c>
      <c r="E4174" t="str">
        <f>IFERROR(INDEX(tbl_input[집계키_지청],ROW()-1),"")</f>
        <v/>
      </c>
      <c r="F4174" t="str">
        <f t="shared" si="328"/>
        <v/>
      </c>
      <c r="G4174" t="str">
        <f t="shared" si="329"/>
        <v/>
      </c>
    </row>
    <row r="4175" spans="1:7" x14ac:dyDescent="0.4">
      <c r="A4175" t="str">
        <f t="shared" si="325"/>
        <v/>
      </c>
      <c r="B4175" t="str">
        <f t="shared" si="326"/>
        <v/>
      </c>
      <c r="C4175" t="str">
        <f t="shared" si="327"/>
        <v/>
      </c>
      <c r="D4175" t="str">
        <f>IF(E4175="","",IF(COUNTIF($E$2:E4175,E4175)&gt;1,"",SUMIFS(tbl_input[필요수량],tbl_input[집계키_지청],E4175)))</f>
        <v/>
      </c>
      <c r="E4175" t="str">
        <f>IFERROR(INDEX(tbl_input[집계키_지청],ROW()-1),"")</f>
        <v/>
      </c>
      <c r="F4175" t="str">
        <f t="shared" si="328"/>
        <v/>
      </c>
      <c r="G4175" t="str">
        <f t="shared" si="329"/>
        <v/>
      </c>
    </row>
    <row r="4176" spans="1:7" x14ac:dyDescent="0.4">
      <c r="A4176" t="str">
        <f t="shared" si="325"/>
        <v/>
      </c>
      <c r="B4176" t="str">
        <f t="shared" si="326"/>
        <v/>
      </c>
      <c r="C4176" t="str">
        <f t="shared" si="327"/>
        <v/>
      </c>
      <c r="D4176" t="str">
        <f>IF(E4176="","",IF(COUNTIF($E$2:E4176,E4176)&gt;1,"",SUMIFS(tbl_input[필요수량],tbl_input[집계키_지청],E4176)))</f>
        <v/>
      </c>
      <c r="E4176" t="str">
        <f>IFERROR(INDEX(tbl_input[집계키_지청],ROW()-1),"")</f>
        <v/>
      </c>
      <c r="F4176" t="str">
        <f t="shared" si="328"/>
        <v/>
      </c>
      <c r="G4176" t="str">
        <f t="shared" si="329"/>
        <v/>
      </c>
    </row>
    <row r="4177" spans="1:7" x14ac:dyDescent="0.4">
      <c r="A4177" t="str">
        <f t="shared" si="325"/>
        <v/>
      </c>
      <c r="B4177" t="str">
        <f t="shared" si="326"/>
        <v/>
      </c>
      <c r="C4177" t="str">
        <f t="shared" si="327"/>
        <v/>
      </c>
      <c r="D4177" t="str">
        <f>IF(E4177="","",IF(COUNTIF($E$2:E4177,E4177)&gt;1,"",SUMIFS(tbl_input[필요수량],tbl_input[집계키_지청],E4177)))</f>
        <v/>
      </c>
      <c r="E4177" t="str">
        <f>IFERROR(INDEX(tbl_input[집계키_지청],ROW()-1),"")</f>
        <v/>
      </c>
      <c r="F4177" t="str">
        <f t="shared" si="328"/>
        <v/>
      </c>
      <c r="G4177" t="str">
        <f t="shared" si="329"/>
        <v/>
      </c>
    </row>
    <row r="4178" spans="1:7" x14ac:dyDescent="0.4">
      <c r="A4178" t="str">
        <f t="shared" si="325"/>
        <v/>
      </c>
      <c r="B4178" t="str">
        <f t="shared" si="326"/>
        <v/>
      </c>
      <c r="C4178" t="str">
        <f t="shared" si="327"/>
        <v/>
      </c>
      <c r="D4178" t="str">
        <f>IF(E4178="","",IF(COUNTIF($E$2:E4178,E4178)&gt;1,"",SUMIFS(tbl_input[필요수량],tbl_input[집계키_지청],E4178)))</f>
        <v/>
      </c>
      <c r="E4178" t="str">
        <f>IFERROR(INDEX(tbl_input[집계키_지청],ROW()-1),"")</f>
        <v/>
      </c>
      <c r="F4178" t="str">
        <f t="shared" si="328"/>
        <v/>
      </c>
      <c r="G4178" t="str">
        <f t="shared" si="329"/>
        <v/>
      </c>
    </row>
    <row r="4179" spans="1:7" x14ac:dyDescent="0.4">
      <c r="A4179" t="str">
        <f t="shared" si="325"/>
        <v/>
      </c>
      <c r="B4179" t="str">
        <f t="shared" si="326"/>
        <v/>
      </c>
      <c r="C4179" t="str">
        <f t="shared" si="327"/>
        <v/>
      </c>
      <c r="D4179" t="str">
        <f>IF(E4179="","",IF(COUNTIF($E$2:E4179,E4179)&gt;1,"",SUMIFS(tbl_input[필요수량],tbl_input[집계키_지청],E4179)))</f>
        <v/>
      </c>
      <c r="E4179" t="str">
        <f>IFERROR(INDEX(tbl_input[집계키_지청],ROW()-1),"")</f>
        <v/>
      </c>
      <c r="F4179" t="str">
        <f t="shared" si="328"/>
        <v/>
      </c>
      <c r="G4179" t="str">
        <f t="shared" si="329"/>
        <v/>
      </c>
    </row>
    <row r="4180" spans="1:7" x14ac:dyDescent="0.4">
      <c r="A4180" t="str">
        <f t="shared" si="325"/>
        <v/>
      </c>
      <c r="B4180" t="str">
        <f t="shared" si="326"/>
        <v/>
      </c>
      <c r="C4180" t="str">
        <f t="shared" si="327"/>
        <v/>
      </c>
      <c r="D4180" t="str">
        <f>IF(E4180="","",IF(COUNTIF($E$2:E4180,E4180)&gt;1,"",SUMIFS(tbl_input[필요수량],tbl_input[집계키_지청],E4180)))</f>
        <v/>
      </c>
      <c r="E4180" t="str">
        <f>IFERROR(INDEX(tbl_input[집계키_지청],ROW()-1),"")</f>
        <v/>
      </c>
      <c r="F4180" t="str">
        <f t="shared" si="328"/>
        <v/>
      </c>
      <c r="G4180" t="str">
        <f t="shared" si="329"/>
        <v/>
      </c>
    </row>
    <row r="4181" spans="1:7" x14ac:dyDescent="0.4">
      <c r="A4181" t="str">
        <f t="shared" si="325"/>
        <v/>
      </c>
      <c r="B4181" t="str">
        <f t="shared" si="326"/>
        <v/>
      </c>
      <c r="C4181" t="str">
        <f t="shared" si="327"/>
        <v/>
      </c>
      <c r="D4181" t="str">
        <f>IF(E4181="","",IF(COUNTIF($E$2:E4181,E4181)&gt;1,"",SUMIFS(tbl_input[필요수량],tbl_input[집계키_지청],E4181)))</f>
        <v/>
      </c>
      <c r="E4181" t="str">
        <f>IFERROR(INDEX(tbl_input[집계키_지청],ROW()-1),"")</f>
        <v/>
      </c>
      <c r="F4181" t="str">
        <f t="shared" si="328"/>
        <v/>
      </c>
      <c r="G4181" t="str">
        <f t="shared" si="329"/>
        <v/>
      </c>
    </row>
    <row r="4182" spans="1:7" x14ac:dyDescent="0.4">
      <c r="A4182" t="str">
        <f t="shared" si="325"/>
        <v/>
      </c>
      <c r="B4182" t="str">
        <f t="shared" si="326"/>
        <v/>
      </c>
      <c r="C4182" t="str">
        <f t="shared" si="327"/>
        <v/>
      </c>
      <c r="D4182" t="str">
        <f>IF(E4182="","",IF(COUNTIF($E$2:E4182,E4182)&gt;1,"",SUMIFS(tbl_input[필요수량],tbl_input[집계키_지청],E4182)))</f>
        <v/>
      </c>
      <c r="E4182" t="str">
        <f>IFERROR(INDEX(tbl_input[집계키_지청],ROW()-1),"")</f>
        <v/>
      </c>
      <c r="F4182" t="str">
        <f t="shared" si="328"/>
        <v/>
      </c>
      <c r="G4182" t="str">
        <f t="shared" si="329"/>
        <v/>
      </c>
    </row>
    <row r="4183" spans="1:7" x14ac:dyDescent="0.4">
      <c r="A4183" t="str">
        <f t="shared" si="325"/>
        <v/>
      </c>
      <c r="B4183" t="str">
        <f t="shared" si="326"/>
        <v/>
      </c>
      <c r="C4183" t="str">
        <f t="shared" si="327"/>
        <v/>
      </c>
      <c r="D4183" t="str">
        <f>IF(E4183="","",IF(COUNTIF($E$2:E4183,E4183)&gt;1,"",SUMIFS(tbl_input[필요수량],tbl_input[집계키_지청],E4183)))</f>
        <v/>
      </c>
      <c r="E4183" t="str">
        <f>IFERROR(INDEX(tbl_input[집계키_지청],ROW()-1),"")</f>
        <v/>
      </c>
      <c r="F4183" t="str">
        <f t="shared" si="328"/>
        <v/>
      </c>
      <c r="G4183" t="str">
        <f t="shared" si="329"/>
        <v/>
      </c>
    </row>
    <row r="4184" spans="1:7" x14ac:dyDescent="0.4">
      <c r="A4184" t="str">
        <f t="shared" si="325"/>
        <v/>
      </c>
      <c r="B4184" t="str">
        <f t="shared" si="326"/>
        <v/>
      </c>
      <c r="C4184" t="str">
        <f t="shared" si="327"/>
        <v/>
      </c>
      <c r="D4184" t="str">
        <f>IF(E4184="","",IF(COUNTIF($E$2:E4184,E4184)&gt;1,"",SUMIFS(tbl_input[필요수량],tbl_input[집계키_지청],E4184)))</f>
        <v/>
      </c>
      <c r="E4184" t="str">
        <f>IFERROR(INDEX(tbl_input[집계키_지청],ROW()-1),"")</f>
        <v/>
      </c>
      <c r="F4184" t="str">
        <f t="shared" si="328"/>
        <v/>
      </c>
      <c r="G4184" t="str">
        <f t="shared" si="329"/>
        <v/>
      </c>
    </row>
    <row r="4185" spans="1:7" x14ac:dyDescent="0.4">
      <c r="A4185" t="str">
        <f t="shared" si="325"/>
        <v/>
      </c>
      <c r="B4185" t="str">
        <f t="shared" si="326"/>
        <v/>
      </c>
      <c r="C4185" t="str">
        <f t="shared" si="327"/>
        <v/>
      </c>
      <c r="D4185" t="str">
        <f>IF(E4185="","",IF(COUNTIF($E$2:E4185,E4185)&gt;1,"",SUMIFS(tbl_input[필요수량],tbl_input[집계키_지청],E4185)))</f>
        <v/>
      </c>
      <c r="E4185" t="str">
        <f>IFERROR(INDEX(tbl_input[집계키_지청],ROW()-1),"")</f>
        <v/>
      </c>
      <c r="F4185" t="str">
        <f t="shared" si="328"/>
        <v/>
      </c>
      <c r="G4185" t="str">
        <f t="shared" si="329"/>
        <v/>
      </c>
    </row>
    <row r="4186" spans="1:7" x14ac:dyDescent="0.4">
      <c r="A4186" t="str">
        <f t="shared" si="325"/>
        <v/>
      </c>
      <c r="B4186" t="str">
        <f t="shared" si="326"/>
        <v/>
      </c>
      <c r="C4186" t="str">
        <f t="shared" si="327"/>
        <v/>
      </c>
      <c r="D4186" t="str">
        <f>IF(E4186="","",IF(COUNTIF($E$2:E4186,E4186)&gt;1,"",SUMIFS(tbl_input[필요수량],tbl_input[집계키_지청],E4186)))</f>
        <v/>
      </c>
      <c r="E4186" t="str">
        <f>IFERROR(INDEX(tbl_input[집계키_지청],ROW()-1),"")</f>
        <v/>
      </c>
      <c r="F4186" t="str">
        <f t="shared" si="328"/>
        <v/>
      </c>
      <c r="G4186" t="str">
        <f t="shared" si="329"/>
        <v/>
      </c>
    </row>
    <row r="4187" spans="1:7" x14ac:dyDescent="0.4">
      <c r="A4187" t="str">
        <f t="shared" si="325"/>
        <v/>
      </c>
      <c r="B4187" t="str">
        <f t="shared" si="326"/>
        <v/>
      </c>
      <c r="C4187" t="str">
        <f t="shared" si="327"/>
        <v/>
      </c>
      <c r="D4187" t="str">
        <f>IF(E4187="","",IF(COUNTIF($E$2:E4187,E4187)&gt;1,"",SUMIFS(tbl_input[필요수량],tbl_input[집계키_지청],E4187)))</f>
        <v/>
      </c>
      <c r="E4187" t="str">
        <f>IFERROR(INDEX(tbl_input[집계키_지청],ROW()-1),"")</f>
        <v/>
      </c>
      <c r="F4187" t="str">
        <f t="shared" si="328"/>
        <v/>
      </c>
      <c r="G4187" t="str">
        <f t="shared" si="329"/>
        <v/>
      </c>
    </row>
    <row r="4188" spans="1:7" x14ac:dyDescent="0.4">
      <c r="A4188" t="str">
        <f t="shared" si="325"/>
        <v/>
      </c>
      <c r="B4188" t="str">
        <f t="shared" si="326"/>
        <v/>
      </c>
      <c r="C4188" t="str">
        <f t="shared" si="327"/>
        <v/>
      </c>
      <c r="D4188" t="str">
        <f>IF(E4188="","",IF(COUNTIF($E$2:E4188,E4188)&gt;1,"",SUMIFS(tbl_input[필요수량],tbl_input[집계키_지청],E4188)))</f>
        <v/>
      </c>
      <c r="E4188" t="str">
        <f>IFERROR(INDEX(tbl_input[집계키_지청],ROW()-1),"")</f>
        <v/>
      </c>
      <c r="F4188" t="str">
        <f t="shared" si="328"/>
        <v/>
      </c>
      <c r="G4188" t="str">
        <f t="shared" si="329"/>
        <v/>
      </c>
    </row>
    <row r="4189" spans="1:7" x14ac:dyDescent="0.4">
      <c r="A4189" t="str">
        <f t="shared" si="325"/>
        <v/>
      </c>
      <c r="B4189" t="str">
        <f t="shared" si="326"/>
        <v/>
      </c>
      <c r="C4189" t="str">
        <f t="shared" si="327"/>
        <v/>
      </c>
      <c r="D4189" t="str">
        <f>IF(E4189="","",IF(COUNTIF($E$2:E4189,E4189)&gt;1,"",SUMIFS(tbl_input[필요수량],tbl_input[집계키_지청],E4189)))</f>
        <v/>
      </c>
      <c r="E4189" t="str">
        <f>IFERROR(INDEX(tbl_input[집계키_지청],ROW()-1),"")</f>
        <v/>
      </c>
      <c r="F4189" t="str">
        <f t="shared" si="328"/>
        <v/>
      </c>
      <c r="G4189" t="str">
        <f t="shared" si="329"/>
        <v/>
      </c>
    </row>
    <row r="4190" spans="1:7" x14ac:dyDescent="0.4">
      <c r="A4190" t="str">
        <f t="shared" si="325"/>
        <v/>
      </c>
      <c r="B4190" t="str">
        <f t="shared" si="326"/>
        <v/>
      </c>
      <c r="C4190" t="str">
        <f t="shared" si="327"/>
        <v/>
      </c>
      <c r="D4190" t="str">
        <f>IF(E4190="","",IF(COUNTIF($E$2:E4190,E4190)&gt;1,"",SUMIFS(tbl_input[필요수량],tbl_input[집계키_지청],E4190)))</f>
        <v/>
      </c>
      <c r="E4190" t="str">
        <f>IFERROR(INDEX(tbl_input[집계키_지청],ROW()-1),"")</f>
        <v/>
      </c>
      <c r="F4190" t="str">
        <f t="shared" si="328"/>
        <v/>
      </c>
      <c r="G4190" t="str">
        <f t="shared" si="329"/>
        <v/>
      </c>
    </row>
    <row r="4191" spans="1:7" x14ac:dyDescent="0.4">
      <c r="A4191" t="str">
        <f t="shared" si="325"/>
        <v/>
      </c>
      <c r="B4191" t="str">
        <f t="shared" si="326"/>
        <v/>
      </c>
      <c r="C4191" t="str">
        <f t="shared" si="327"/>
        <v/>
      </c>
      <c r="D4191" t="str">
        <f>IF(E4191="","",IF(COUNTIF($E$2:E4191,E4191)&gt;1,"",SUMIFS(tbl_input[필요수량],tbl_input[집계키_지청],E4191)))</f>
        <v/>
      </c>
      <c r="E4191" t="str">
        <f>IFERROR(INDEX(tbl_input[집계키_지청],ROW()-1),"")</f>
        <v/>
      </c>
      <c r="F4191" t="str">
        <f t="shared" si="328"/>
        <v/>
      </c>
      <c r="G4191" t="str">
        <f t="shared" si="329"/>
        <v/>
      </c>
    </row>
    <row r="4192" spans="1:7" x14ac:dyDescent="0.4">
      <c r="A4192" t="str">
        <f t="shared" si="325"/>
        <v/>
      </c>
      <c r="B4192" t="str">
        <f t="shared" si="326"/>
        <v/>
      </c>
      <c r="C4192" t="str">
        <f t="shared" si="327"/>
        <v/>
      </c>
      <c r="D4192" t="str">
        <f>IF(E4192="","",IF(COUNTIF($E$2:E4192,E4192)&gt;1,"",SUMIFS(tbl_input[필요수량],tbl_input[집계키_지청],E4192)))</f>
        <v/>
      </c>
      <c r="E4192" t="str">
        <f>IFERROR(INDEX(tbl_input[집계키_지청],ROW()-1),"")</f>
        <v/>
      </c>
      <c r="F4192" t="str">
        <f t="shared" si="328"/>
        <v/>
      </c>
      <c r="G4192" t="str">
        <f t="shared" si="329"/>
        <v/>
      </c>
    </row>
    <row r="4193" spans="1:7" x14ac:dyDescent="0.4">
      <c r="A4193" t="str">
        <f t="shared" si="325"/>
        <v/>
      </c>
      <c r="B4193" t="str">
        <f t="shared" si="326"/>
        <v/>
      </c>
      <c r="C4193" t="str">
        <f t="shared" si="327"/>
        <v/>
      </c>
      <c r="D4193" t="str">
        <f>IF(E4193="","",IF(COUNTIF($E$2:E4193,E4193)&gt;1,"",SUMIFS(tbl_input[필요수량],tbl_input[집계키_지청],E4193)))</f>
        <v/>
      </c>
      <c r="E4193" t="str">
        <f>IFERROR(INDEX(tbl_input[집계키_지청],ROW()-1),"")</f>
        <v/>
      </c>
      <c r="F4193" t="str">
        <f t="shared" si="328"/>
        <v/>
      </c>
      <c r="G4193" t="str">
        <f t="shared" si="329"/>
        <v/>
      </c>
    </row>
    <row r="4194" spans="1:7" x14ac:dyDescent="0.4">
      <c r="A4194" t="str">
        <f t="shared" si="325"/>
        <v/>
      </c>
      <c r="B4194" t="str">
        <f t="shared" si="326"/>
        <v/>
      </c>
      <c r="C4194" t="str">
        <f t="shared" si="327"/>
        <v/>
      </c>
      <c r="D4194" t="str">
        <f>IF(E4194="","",IF(COUNTIF($E$2:E4194,E4194)&gt;1,"",SUMIFS(tbl_input[필요수량],tbl_input[집계키_지청],E4194)))</f>
        <v/>
      </c>
      <c r="E4194" t="str">
        <f>IFERROR(INDEX(tbl_input[집계키_지청],ROW()-1),"")</f>
        <v/>
      </c>
      <c r="F4194" t="str">
        <f t="shared" si="328"/>
        <v/>
      </c>
      <c r="G4194" t="str">
        <f t="shared" si="329"/>
        <v/>
      </c>
    </row>
    <row r="4195" spans="1:7" x14ac:dyDescent="0.4">
      <c r="A4195" t="str">
        <f t="shared" si="325"/>
        <v/>
      </c>
      <c r="B4195" t="str">
        <f t="shared" si="326"/>
        <v/>
      </c>
      <c r="C4195" t="str">
        <f t="shared" si="327"/>
        <v/>
      </c>
      <c r="D4195" t="str">
        <f>IF(E4195="","",IF(COUNTIF($E$2:E4195,E4195)&gt;1,"",SUMIFS(tbl_input[필요수량],tbl_input[집계키_지청],E4195)))</f>
        <v/>
      </c>
      <c r="E4195" t="str">
        <f>IFERROR(INDEX(tbl_input[집계키_지청],ROW()-1),"")</f>
        <v/>
      </c>
      <c r="F4195" t="str">
        <f t="shared" si="328"/>
        <v/>
      </c>
      <c r="G4195" t="str">
        <f t="shared" si="329"/>
        <v/>
      </c>
    </row>
    <row r="4196" spans="1:7" x14ac:dyDescent="0.4">
      <c r="A4196" t="str">
        <f t="shared" si="325"/>
        <v/>
      </c>
      <c r="B4196" t="str">
        <f t="shared" si="326"/>
        <v/>
      </c>
      <c r="C4196" t="str">
        <f t="shared" si="327"/>
        <v/>
      </c>
      <c r="D4196" t="str">
        <f>IF(E4196="","",IF(COUNTIF($E$2:E4196,E4196)&gt;1,"",SUMIFS(tbl_input[필요수량],tbl_input[집계키_지청],E4196)))</f>
        <v/>
      </c>
      <c r="E4196" t="str">
        <f>IFERROR(INDEX(tbl_input[집계키_지청],ROW()-1),"")</f>
        <v/>
      </c>
      <c r="F4196" t="str">
        <f t="shared" si="328"/>
        <v/>
      </c>
      <c r="G4196" t="str">
        <f t="shared" si="329"/>
        <v/>
      </c>
    </row>
    <row r="4197" spans="1:7" x14ac:dyDescent="0.4">
      <c r="A4197" t="str">
        <f t="shared" si="325"/>
        <v/>
      </c>
      <c r="B4197" t="str">
        <f t="shared" si="326"/>
        <v/>
      </c>
      <c r="C4197" t="str">
        <f t="shared" si="327"/>
        <v/>
      </c>
      <c r="D4197" t="str">
        <f>IF(E4197="","",IF(COUNTIF($E$2:E4197,E4197)&gt;1,"",SUMIFS(tbl_input[필요수량],tbl_input[집계키_지청],E4197)))</f>
        <v/>
      </c>
      <c r="E4197" t="str">
        <f>IFERROR(INDEX(tbl_input[집계키_지청],ROW()-1),"")</f>
        <v/>
      </c>
      <c r="F4197" t="str">
        <f t="shared" si="328"/>
        <v/>
      </c>
      <c r="G4197" t="str">
        <f t="shared" si="329"/>
        <v/>
      </c>
    </row>
    <row r="4198" spans="1:7" x14ac:dyDescent="0.4">
      <c r="A4198" t="str">
        <f t="shared" si="325"/>
        <v/>
      </c>
      <c r="B4198" t="str">
        <f t="shared" si="326"/>
        <v/>
      </c>
      <c r="C4198" t="str">
        <f t="shared" si="327"/>
        <v/>
      </c>
      <c r="D4198" t="str">
        <f>IF(E4198="","",IF(COUNTIF($E$2:E4198,E4198)&gt;1,"",SUMIFS(tbl_input[필요수량],tbl_input[집계키_지청],E4198)))</f>
        <v/>
      </c>
      <c r="E4198" t="str">
        <f>IFERROR(INDEX(tbl_input[집계키_지청],ROW()-1),"")</f>
        <v/>
      </c>
      <c r="F4198" t="str">
        <f t="shared" si="328"/>
        <v/>
      </c>
      <c r="G4198" t="str">
        <f t="shared" si="329"/>
        <v/>
      </c>
    </row>
    <row r="4199" spans="1:7" x14ac:dyDescent="0.4">
      <c r="A4199" t="str">
        <f t="shared" si="325"/>
        <v/>
      </c>
      <c r="B4199" t="str">
        <f t="shared" si="326"/>
        <v/>
      </c>
      <c r="C4199" t="str">
        <f t="shared" si="327"/>
        <v/>
      </c>
      <c r="D4199" t="str">
        <f>IF(E4199="","",IF(COUNTIF($E$2:E4199,E4199)&gt;1,"",SUMIFS(tbl_input[필요수량],tbl_input[집계키_지청],E4199)))</f>
        <v/>
      </c>
      <c r="E4199" t="str">
        <f>IFERROR(INDEX(tbl_input[집계키_지청],ROW()-1),"")</f>
        <v/>
      </c>
      <c r="F4199" t="str">
        <f t="shared" si="328"/>
        <v/>
      </c>
      <c r="G4199" t="str">
        <f t="shared" si="329"/>
        <v/>
      </c>
    </row>
    <row r="4200" spans="1:7" x14ac:dyDescent="0.4">
      <c r="A4200" t="str">
        <f t="shared" si="325"/>
        <v/>
      </c>
      <c r="B4200" t="str">
        <f t="shared" si="326"/>
        <v/>
      </c>
      <c r="C4200" t="str">
        <f t="shared" si="327"/>
        <v/>
      </c>
      <c r="D4200" t="str">
        <f>IF(E4200="","",IF(COUNTIF($E$2:E4200,E4200)&gt;1,"",SUMIFS(tbl_input[필요수량],tbl_input[집계키_지청],E4200)))</f>
        <v/>
      </c>
      <c r="E4200" t="str">
        <f>IFERROR(INDEX(tbl_input[집계키_지청],ROW()-1),"")</f>
        <v/>
      </c>
      <c r="F4200" t="str">
        <f t="shared" si="328"/>
        <v/>
      </c>
      <c r="G4200" t="str">
        <f t="shared" si="329"/>
        <v/>
      </c>
    </row>
    <row r="4201" spans="1:7" x14ac:dyDescent="0.4">
      <c r="A4201" t="str">
        <f t="shared" si="325"/>
        <v/>
      </c>
      <c r="B4201" t="str">
        <f t="shared" si="326"/>
        <v/>
      </c>
      <c r="C4201" t="str">
        <f t="shared" si="327"/>
        <v/>
      </c>
      <c r="D4201" t="str">
        <f>IF(E4201="","",IF(COUNTIF($E$2:E4201,E4201)&gt;1,"",SUMIFS(tbl_input[필요수량],tbl_input[집계키_지청],E4201)))</f>
        <v/>
      </c>
      <c r="E4201" t="str">
        <f>IFERROR(INDEX(tbl_input[집계키_지청],ROW()-1),"")</f>
        <v/>
      </c>
      <c r="F4201" t="str">
        <f t="shared" si="328"/>
        <v/>
      </c>
      <c r="G4201" t="str">
        <f t="shared" si="329"/>
        <v/>
      </c>
    </row>
    <row r="4202" spans="1:7" x14ac:dyDescent="0.4">
      <c r="A4202" t="str">
        <f t="shared" si="325"/>
        <v/>
      </c>
      <c r="B4202" t="str">
        <f t="shared" si="326"/>
        <v/>
      </c>
      <c r="C4202" t="str">
        <f t="shared" si="327"/>
        <v/>
      </c>
      <c r="D4202" t="str">
        <f>IF(E4202="","",IF(COUNTIF($E$2:E4202,E4202)&gt;1,"",SUMIFS(tbl_input[필요수량],tbl_input[집계키_지청],E4202)))</f>
        <v/>
      </c>
      <c r="E4202" t="str">
        <f>IFERROR(INDEX(tbl_input[집계키_지청],ROW()-1),"")</f>
        <v/>
      </c>
      <c r="F4202" t="str">
        <f t="shared" si="328"/>
        <v/>
      </c>
      <c r="G4202" t="str">
        <f t="shared" si="329"/>
        <v/>
      </c>
    </row>
    <row r="4203" spans="1:7" x14ac:dyDescent="0.4">
      <c r="A4203" t="str">
        <f t="shared" si="325"/>
        <v/>
      </c>
      <c r="B4203" t="str">
        <f t="shared" si="326"/>
        <v/>
      </c>
      <c r="C4203" t="str">
        <f t="shared" si="327"/>
        <v/>
      </c>
      <c r="D4203" t="str">
        <f>IF(E4203="","",IF(COUNTIF($E$2:E4203,E4203)&gt;1,"",SUMIFS(tbl_input[필요수량],tbl_input[집계키_지청],E4203)))</f>
        <v/>
      </c>
      <c r="E4203" t="str">
        <f>IFERROR(INDEX(tbl_input[집계키_지청],ROW()-1),"")</f>
        <v/>
      </c>
      <c r="F4203" t="str">
        <f t="shared" si="328"/>
        <v/>
      </c>
      <c r="G4203" t="str">
        <f t="shared" si="329"/>
        <v/>
      </c>
    </row>
    <row r="4204" spans="1:7" x14ac:dyDescent="0.4">
      <c r="A4204" t="str">
        <f t="shared" si="325"/>
        <v/>
      </c>
      <c r="B4204" t="str">
        <f t="shared" si="326"/>
        <v/>
      </c>
      <c r="C4204" t="str">
        <f t="shared" si="327"/>
        <v/>
      </c>
      <c r="D4204" t="str">
        <f>IF(E4204="","",IF(COUNTIF($E$2:E4204,E4204)&gt;1,"",SUMIFS(tbl_input[필요수량],tbl_input[집계키_지청],E4204)))</f>
        <v/>
      </c>
      <c r="E4204" t="str">
        <f>IFERROR(INDEX(tbl_input[집계키_지청],ROW()-1),"")</f>
        <v/>
      </c>
      <c r="F4204" t="str">
        <f t="shared" si="328"/>
        <v/>
      </c>
      <c r="G4204" t="str">
        <f t="shared" si="329"/>
        <v/>
      </c>
    </row>
    <row r="4205" spans="1:7" x14ac:dyDescent="0.4">
      <c r="A4205" t="str">
        <f t="shared" si="325"/>
        <v/>
      </c>
      <c r="B4205" t="str">
        <f t="shared" si="326"/>
        <v/>
      </c>
      <c r="C4205" t="str">
        <f t="shared" si="327"/>
        <v/>
      </c>
      <c r="D4205" t="str">
        <f>IF(E4205="","",IF(COUNTIF($E$2:E4205,E4205)&gt;1,"",SUMIFS(tbl_input[필요수량],tbl_input[집계키_지청],E4205)))</f>
        <v/>
      </c>
      <c r="E4205" t="str">
        <f>IFERROR(INDEX(tbl_input[집계키_지청],ROW()-1),"")</f>
        <v/>
      </c>
      <c r="F4205" t="str">
        <f t="shared" si="328"/>
        <v/>
      </c>
      <c r="G4205" t="str">
        <f t="shared" si="329"/>
        <v/>
      </c>
    </row>
    <row r="4206" spans="1:7" x14ac:dyDescent="0.4">
      <c r="A4206" t="str">
        <f t="shared" si="325"/>
        <v/>
      </c>
      <c r="B4206" t="str">
        <f t="shared" si="326"/>
        <v/>
      </c>
      <c r="C4206" t="str">
        <f t="shared" si="327"/>
        <v/>
      </c>
      <c r="D4206" t="str">
        <f>IF(E4206="","",IF(COUNTIF($E$2:E4206,E4206)&gt;1,"",SUMIFS(tbl_input[필요수량],tbl_input[집계키_지청],E4206)))</f>
        <v/>
      </c>
      <c r="E4206" t="str">
        <f>IFERROR(INDEX(tbl_input[집계키_지청],ROW()-1),"")</f>
        <v/>
      </c>
      <c r="F4206" t="str">
        <f t="shared" si="328"/>
        <v/>
      </c>
      <c r="G4206" t="str">
        <f t="shared" si="329"/>
        <v/>
      </c>
    </row>
    <row r="4207" spans="1:7" x14ac:dyDescent="0.4">
      <c r="A4207" t="str">
        <f t="shared" si="325"/>
        <v/>
      </c>
      <c r="B4207" t="str">
        <f t="shared" si="326"/>
        <v/>
      </c>
      <c r="C4207" t="str">
        <f t="shared" si="327"/>
        <v/>
      </c>
      <c r="D4207" t="str">
        <f>IF(E4207="","",IF(COUNTIF($E$2:E4207,E4207)&gt;1,"",SUMIFS(tbl_input[필요수량],tbl_input[집계키_지청],E4207)))</f>
        <v/>
      </c>
      <c r="E4207" t="str">
        <f>IFERROR(INDEX(tbl_input[집계키_지청],ROW()-1),"")</f>
        <v/>
      </c>
      <c r="F4207" t="str">
        <f t="shared" si="328"/>
        <v/>
      </c>
      <c r="G4207" t="str">
        <f t="shared" si="329"/>
        <v/>
      </c>
    </row>
    <row r="4208" spans="1:7" x14ac:dyDescent="0.4">
      <c r="A4208" t="str">
        <f t="shared" si="325"/>
        <v/>
      </c>
      <c r="B4208" t="str">
        <f t="shared" si="326"/>
        <v/>
      </c>
      <c r="C4208" t="str">
        <f t="shared" si="327"/>
        <v/>
      </c>
      <c r="D4208" t="str">
        <f>IF(E4208="","",IF(COUNTIF($E$2:E4208,E4208)&gt;1,"",SUMIFS(tbl_input[필요수량],tbl_input[집계키_지청],E4208)))</f>
        <v/>
      </c>
      <c r="E4208" t="str">
        <f>IFERROR(INDEX(tbl_input[집계키_지청],ROW()-1),"")</f>
        <v/>
      </c>
      <c r="F4208" t="str">
        <f t="shared" si="328"/>
        <v/>
      </c>
      <c r="G4208" t="str">
        <f t="shared" si="329"/>
        <v/>
      </c>
    </row>
    <row r="4209" spans="1:7" x14ac:dyDescent="0.4">
      <c r="A4209" t="str">
        <f t="shared" si="325"/>
        <v/>
      </c>
      <c r="B4209" t="str">
        <f t="shared" si="326"/>
        <v/>
      </c>
      <c r="C4209" t="str">
        <f t="shared" si="327"/>
        <v/>
      </c>
      <c r="D4209" t="str">
        <f>IF(E4209="","",IF(COUNTIF($E$2:E4209,E4209)&gt;1,"",SUMIFS(tbl_input[필요수량],tbl_input[집계키_지청],E4209)))</f>
        <v/>
      </c>
      <c r="E4209" t="str">
        <f>IFERROR(INDEX(tbl_input[집계키_지청],ROW()-1),"")</f>
        <v/>
      </c>
      <c r="F4209" t="str">
        <f t="shared" si="328"/>
        <v/>
      </c>
      <c r="G4209" t="str">
        <f t="shared" si="329"/>
        <v/>
      </c>
    </row>
    <row r="4210" spans="1:7" x14ac:dyDescent="0.4">
      <c r="A4210" t="str">
        <f t="shared" si="325"/>
        <v/>
      </c>
      <c r="B4210" t="str">
        <f t="shared" si="326"/>
        <v/>
      </c>
      <c r="C4210" t="str">
        <f t="shared" si="327"/>
        <v/>
      </c>
      <c r="D4210" t="str">
        <f>IF(E4210="","",IF(COUNTIF($E$2:E4210,E4210)&gt;1,"",SUMIFS(tbl_input[필요수량],tbl_input[집계키_지청],E4210)))</f>
        <v/>
      </c>
      <c r="E4210" t="str">
        <f>IFERROR(INDEX(tbl_input[집계키_지청],ROW()-1),"")</f>
        <v/>
      </c>
      <c r="F4210" t="str">
        <f t="shared" si="328"/>
        <v/>
      </c>
      <c r="G4210" t="str">
        <f t="shared" si="329"/>
        <v/>
      </c>
    </row>
    <row r="4211" spans="1:7" x14ac:dyDescent="0.4">
      <c r="A4211" t="str">
        <f t="shared" si="325"/>
        <v/>
      </c>
      <c r="B4211" t="str">
        <f t="shared" si="326"/>
        <v/>
      </c>
      <c r="C4211" t="str">
        <f t="shared" si="327"/>
        <v/>
      </c>
      <c r="D4211" t="str">
        <f>IF(E4211="","",IF(COUNTIF($E$2:E4211,E4211)&gt;1,"",SUMIFS(tbl_input[필요수량],tbl_input[집계키_지청],E4211)))</f>
        <v/>
      </c>
      <c r="E4211" t="str">
        <f>IFERROR(INDEX(tbl_input[집계키_지청],ROW()-1),"")</f>
        <v/>
      </c>
      <c r="F4211" t="str">
        <f t="shared" si="328"/>
        <v/>
      </c>
      <c r="G4211" t="str">
        <f t="shared" si="329"/>
        <v/>
      </c>
    </row>
    <row r="4212" spans="1:7" x14ac:dyDescent="0.4">
      <c r="A4212" t="str">
        <f t="shared" si="325"/>
        <v/>
      </c>
      <c r="B4212" t="str">
        <f t="shared" si="326"/>
        <v/>
      </c>
      <c r="C4212" t="str">
        <f t="shared" si="327"/>
        <v/>
      </c>
      <c r="D4212" t="str">
        <f>IF(E4212="","",IF(COUNTIF($E$2:E4212,E4212)&gt;1,"",SUMIFS(tbl_input[필요수량],tbl_input[집계키_지청],E4212)))</f>
        <v/>
      </c>
      <c r="E4212" t="str">
        <f>IFERROR(INDEX(tbl_input[집계키_지청],ROW()-1),"")</f>
        <v/>
      </c>
      <c r="F4212" t="str">
        <f t="shared" si="328"/>
        <v/>
      </c>
      <c r="G4212" t="str">
        <f t="shared" si="329"/>
        <v/>
      </c>
    </row>
    <row r="4213" spans="1:7" x14ac:dyDescent="0.4">
      <c r="A4213" t="str">
        <f t="shared" si="325"/>
        <v/>
      </c>
      <c r="B4213" t="str">
        <f t="shared" si="326"/>
        <v/>
      </c>
      <c r="C4213" t="str">
        <f t="shared" si="327"/>
        <v/>
      </c>
      <c r="D4213" t="str">
        <f>IF(E4213="","",IF(COUNTIF($E$2:E4213,E4213)&gt;1,"",SUMIFS(tbl_input[필요수량],tbl_input[집계키_지청],E4213)))</f>
        <v/>
      </c>
      <c r="E4213" t="str">
        <f>IFERROR(INDEX(tbl_input[집계키_지청],ROW()-1),"")</f>
        <v/>
      </c>
      <c r="F4213" t="str">
        <f t="shared" si="328"/>
        <v/>
      </c>
      <c r="G4213" t="str">
        <f t="shared" si="329"/>
        <v/>
      </c>
    </row>
    <row r="4214" spans="1:7" x14ac:dyDescent="0.4">
      <c r="A4214" t="str">
        <f t="shared" si="325"/>
        <v/>
      </c>
      <c r="B4214" t="str">
        <f t="shared" si="326"/>
        <v/>
      </c>
      <c r="C4214" t="str">
        <f t="shared" si="327"/>
        <v/>
      </c>
      <c r="D4214" t="str">
        <f>IF(E4214="","",IF(COUNTIF($E$2:E4214,E4214)&gt;1,"",SUMIFS(tbl_input[필요수량],tbl_input[집계키_지청],E4214)))</f>
        <v/>
      </c>
      <c r="E4214" t="str">
        <f>IFERROR(INDEX(tbl_input[집계키_지청],ROW()-1),"")</f>
        <v/>
      </c>
      <c r="F4214" t="str">
        <f t="shared" si="328"/>
        <v/>
      </c>
      <c r="G4214" t="str">
        <f t="shared" si="329"/>
        <v/>
      </c>
    </row>
    <row r="4215" spans="1:7" x14ac:dyDescent="0.4">
      <c r="A4215" t="str">
        <f t="shared" si="325"/>
        <v/>
      </c>
      <c r="B4215" t="str">
        <f t="shared" si="326"/>
        <v/>
      </c>
      <c r="C4215" t="str">
        <f t="shared" si="327"/>
        <v/>
      </c>
      <c r="D4215" t="str">
        <f>IF(E4215="","",IF(COUNTIF($E$2:E4215,E4215)&gt;1,"",SUMIFS(tbl_input[필요수량],tbl_input[집계키_지청],E4215)))</f>
        <v/>
      </c>
      <c r="E4215" t="str">
        <f>IFERROR(INDEX(tbl_input[집계키_지청],ROW()-1),"")</f>
        <v/>
      </c>
      <c r="F4215" t="str">
        <f t="shared" si="328"/>
        <v/>
      </c>
      <c r="G4215" t="str">
        <f t="shared" si="329"/>
        <v/>
      </c>
    </row>
    <row r="4216" spans="1:7" x14ac:dyDescent="0.4">
      <c r="A4216" t="str">
        <f t="shared" si="325"/>
        <v/>
      </c>
      <c r="B4216" t="str">
        <f t="shared" si="326"/>
        <v/>
      </c>
      <c r="C4216" t="str">
        <f t="shared" si="327"/>
        <v/>
      </c>
      <c r="D4216" t="str">
        <f>IF(E4216="","",IF(COUNTIF($E$2:E4216,E4216)&gt;1,"",SUMIFS(tbl_input[필요수량],tbl_input[집계키_지청],E4216)))</f>
        <v/>
      </c>
      <c r="E4216" t="str">
        <f>IFERROR(INDEX(tbl_input[집계키_지청],ROW()-1),"")</f>
        <v/>
      </c>
      <c r="F4216" t="str">
        <f t="shared" si="328"/>
        <v/>
      </c>
      <c r="G4216" t="str">
        <f t="shared" si="329"/>
        <v/>
      </c>
    </row>
    <row r="4217" spans="1:7" x14ac:dyDescent="0.4">
      <c r="A4217" t="str">
        <f t="shared" si="325"/>
        <v/>
      </c>
      <c r="B4217" t="str">
        <f t="shared" si="326"/>
        <v/>
      </c>
      <c r="C4217" t="str">
        <f t="shared" si="327"/>
        <v/>
      </c>
      <c r="D4217" t="str">
        <f>IF(E4217="","",IF(COUNTIF($E$2:E4217,E4217)&gt;1,"",SUMIFS(tbl_input[필요수량],tbl_input[집계키_지청],E4217)))</f>
        <v/>
      </c>
      <c r="E4217" t="str">
        <f>IFERROR(INDEX(tbl_input[집계키_지청],ROW()-1),"")</f>
        <v/>
      </c>
      <c r="F4217" t="str">
        <f t="shared" si="328"/>
        <v/>
      </c>
      <c r="G4217" t="str">
        <f t="shared" si="329"/>
        <v/>
      </c>
    </row>
    <row r="4218" spans="1:7" x14ac:dyDescent="0.4">
      <c r="A4218" t="str">
        <f t="shared" si="325"/>
        <v/>
      </c>
      <c r="B4218" t="str">
        <f t="shared" si="326"/>
        <v/>
      </c>
      <c r="C4218" t="str">
        <f t="shared" si="327"/>
        <v/>
      </c>
      <c r="D4218" t="str">
        <f>IF(E4218="","",IF(COUNTIF($E$2:E4218,E4218)&gt;1,"",SUMIFS(tbl_input[필요수량],tbl_input[집계키_지청],E4218)))</f>
        <v/>
      </c>
      <c r="E4218" t="str">
        <f>IFERROR(INDEX(tbl_input[집계키_지청],ROW()-1),"")</f>
        <v/>
      </c>
      <c r="F4218" t="str">
        <f t="shared" si="328"/>
        <v/>
      </c>
      <c r="G4218" t="str">
        <f t="shared" si="329"/>
        <v/>
      </c>
    </row>
    <row r="4219" spans="1:7" x14ac:dyDescent="0.4">
      <c r="A4219" t="str">
        <f t="shared" si="325"/>
        <v/>
      </c>
      <c r="B4219" t="str">
        <f t="shared" si="326"/>
        <v/>
      </c>
      <c r="C4219" t="str">
        <f t="shared" si="327"/>
        <v/>
      </c>
      <c r="D4219" t="str">
        <f>IF(E4219="","",IF(COUNTIF($E$2:E4219,E4219)&gt;1,"",SUMIFS(tbl_input[필요수량],tbl_input[집계키_지청],E4219)))</f>
        <v/>
      </c>
      <c r="E4219" t="str">
        <f>IFERROR(INDEX(tbl_input[집계키_지청],ROW()-1),"")</f>
        <v/>
      </c>
      <c r="F4219" t="str">
        <f t="shared" si="328"/>
        <v/>
      </c>
      <c r="G4219" t="str">
        <f t="shared" si="329"/>
        <v/>
      </c>
    </row>
    <row r="4220" spans="1:7" x14ac:dyDescent="0.4">
      <c r="A4220" t="str">
        <f t="shared" si="325"/>
        <v/>
      </c>
      <c r="B4220" t="str">
        <f t="shared" si="326"/>
        <v/>
      </c>
      <c r="C4220" t="str">
        <f t="shared" si="327"/>
        <v/>
      </c>
      <c r="D4220" t="str">
        <f>IF(E4220="","",IF(COUNTIF($E$2:E4220,E4220)&gt;1,"",SUMIFS(tbl_input[필요수량],tbl_input[집계키_지청],E4220)))</f>
        <v/>
      </c>
      <c r="E4220" t="str">
        <f>IFERROR(INDEX(tbl_input[집계키_지청],ROW()-1),"")</f>
        <v/>
      </c>
      <c r="F4220" t="str">
        <f t="shared" si="328"/>
        <v/>
      </c>
      <c r="G4220" t="str">
        <f t="shared" si="329"/>
        <v/>
      </c>
    </row>
    <row r="4221" spans="1:7" x14ac:dyDescent="0.4">
      <c r="A4221" t="str">
        <f t="shared" si="325"/>
        <v/>
      </c>
      <c r="B4221" t="str">
        <f t="shared" si="326"/>
        <v/>
      </c>
      <c r="C4221" t="str">
        <f t="shared" si="327"/>
        <v/>
      </c>
      <c r="D4221" t="str">
        <f>IF(E4221="","",IF(COUNTIF($E$2:E4221,E4221)&gt;1,"",SUMIFS(tbl_input[필요수량],tbl_input[집계키_지청],E4221)))</f>
        <v/>
      </c>
      <c r="E4221" t="str">
        <f>IFERROR(INDEX(tbl_input[집계키_지청],ROW()-1),"")</f>
        <v/>
      </c>
      <c r="F4221" t="str">
        <f t="shared" si="328"/>
        <v/>
      </c>
      <c r="G4221" t="str">
        <f t="shared" si="329"/>
        <v/>
      </c>
    </row>
    <row r="4222" spans="1:7" x14ac:dyDescent="0.4">
      <c r="A4222" t="str">
        <f t="shared" si="325"/>
        <v/>
      </c>
      <c r="B4222" t="str">
        <f t="shared" si="326"/>
        <v/>
      </c>
      <c r="C4222" t="str">
        <f t="shared" si="327"/>
        <v/>
      </c>
      <c r="D4222" t="str">
        <f>IF(E4222="","",IF(COUNTIF($E$2:E4222,E4222)&gt;1,"",SUMIFS(tbl_input[필요수량],tbl_input[집계키_지청],E4222)))</f>
        <v/>
      </c>
      <c r="E4222" t="str">
        <f>IFERROR(INDEX(tbl_input[집계키_지청],ROW()-1),"")</f>
        <v/>
      </c>
      <c r="F4222" t="str">
        <f t="shared" si="328"/>
        <v/>
      </c>
      <c r="G4222" t="str">
        <f t="shared" si="329"/>
        <v/>
      </c>
    </row>
    <row r="4223" spans="1:7" x14ac:dyDescent="0.4">
      <c r="A4223" t="str">
        <f t="shared" si="325"/>
        <v/>
      </c>
      <c r="B4223" t="str">
        <f t="shared" si="326"/>
        <v/>
      </c>
      <c r="C4223" t="str">
        <f t="shared" si="327"/>
        <v/>
      </c>
      <c r="D4223" t="str">
        <f>IF(E4223="","",IF(COUNTIF($E$2:E4223,E4223)&gt;1,"",SUMIFS(tbl_input[필요수량],tbl_input[집계키_지청],E4223)))</f>
        <v/>
      </c>
      <c r="E4223" t="str">
        <f>IFERROR(INDEX(tbl_input[집계키_지청],ROW()-1),"")</f>
        <v/>
      </c>
      <c r="F4223" t="str">
        <f t="shared" si="328"/>
        <v/>
      </c>
      <c r="G4223" t="str">
        <f t="shared" si="329"/>
        <v/>
      </c>
    </row>
    <row r="4224" spans="1:7" x14ac:dyDescent="0.4">
      <c r="A4224" t="str">
        <f t="shared" si="325"/>
        <v/>
      </c>
      <c r="B4224" t="str">
        <f t="shared" si="326"/>
        <v/>
      </c>
      <c r="C4224" t="str">
        <f t="shared" si="327"/>
        <v/>
      </c>
      <c r="D4224" t="str">
        <f>IF(E4224="","",IF(COUNTIF($E$2:E4224,E4224)&gt;1,"",SUMIFS(tbl_input[필요수량],tbl_input[집계키_지청],E4224)))</f>
        <v/>
      </c>
      <c r="E4224" t="str">
        <f>IFERROR(INDEX(tbl_input[집계키_지청],ROW()-1),"")</f>
        <v/>
      </c>
      <c r="F4224" t="str">
        <f t="shared" si="328"/>
        <v/>
      </c>
      <c r="G4224" t="str">
        <f t="shared" si="329"/>
        <v/>
      </c>
    </row>
    <row r="4225" spans="1:7" x14ac:dyDescent="0.4">
      <c r="A4225" t="str">
        <f t="shared" si="325"/>
        <v/>
      </c>
      <c r="B4225" t="str">
        <f t="shared" si="326"/>
        <v/>
      </c>
      <c r="C4225" t="str">
        <f t="shared" si="327"/>
        <v/>
      </c>
      <c r="D4225" t="str">
        <f>IF(E4225="","",IF(COUNTIF($E$2:E4225,E4225)&gt;1,"",SUMIFS(tbl_input[필요수량],tbl_input[집계키_지청],E4225)))</f>
        <v/>
      </c>
      <c r="E4225" t="str">
        <f>IFERROR(INDEX(tbl_input[집계키_지청],ROW()-1),"")</f>
        <v/>
      </c>
      <c r="F4225" t="str">
        <f t="shared" si="328"/>
        <v/>
      </c>
      <c r="G4225" t="str">
        <f t="shared" si="329"/>
        <v/>
      </c>
    </row>
    <row r="4226" spans="1:7" x14ac:dyDescent="0.4">
      <c r="A4226" t="str">
        <f t="shared" ref="A4226:A4289" si="330">IF(E4226="","",LEFT(E4226,F4226-1))</f>
        <v/>
      </c>
      <c r="B4226" t="str">
        <f t="shared" ref="B4226:B4289" si="331">IF(E4226="","",MID(E4226,F4226+1,G4226-F4226-1))</f>
        <v/>
      </c>
      <c r="C4226" t="str">
        <f t="shared" ref="C4226:C4289" si="332">IF(E4226="","",MID(E4226,G4226+1,999))</f>
        <v/>
      </c>
      <c r="D4226" t="str">
        <f>IF(E4226="","",IF(COUNTIF($E$2:E4226,E4226)&gt;1,"",SUMIFS(tbl_input[필요수량],tbl_input[집계키_지청],E4226)))</f>
        <v/>
      </c>
      <c r="E4226" t="str">
        <f>IFERROR(INDEX(tbl_input[집계키_지청],ROW()-1),"")</f>
        <v/>
      </c>
      <c r="F4226" t="str">
        <f t="shared" ref="F4226:F4289" si="333">IF(E4226="","",FIND("♦",E4226))</f>
        <v/>
      </c>
      <c r="G4226" t="str">
        <f t="shared" ref="G4226:G4289" si="334">IF(E4226="","",FIND("♦",E4226,F4226+1))</f>
        <v/>
      </c>
    </row>
    <row r="4227" spans="1:7" x14ac:dyDescent="0.4">
      <c r="A4227" t="str">
        <f t="shared" si="330"/>
        <v/>
      </c>
      <c r="B4227" t="str">
        <f t="shared" si="331"/>
        <v/>
      </c>
      <c r="C4227" t="str">
        <f t="shared" si="332"/>
        <v/>
      </c>
      <c r="D4227" t="str">
        <f>IF(E4227="","",IF(COUNTIF($E$2:E4227,E4227)&gt;1,"",SUMIFS(tbl_input[필요수량],tbl_input[집계키_지청],E4227)))</f>
        <v/>
      </c>
      <c r="E4227" t="str">
        <f>IFERROR(INDEX(tbl_input[집계키_지청],ROW()-1),"")</f>
        <v/>
      </c>
      <c r="F4227" t="str">
        <f t="shared" si="333"/>
        <v/>
      </c>
      <c r="G4227" t="str">
        <f t="shared" si="334"/>
        <v/>
      </c>
    </row>
    <row r="4228" spans="1:7" x14ac:dyDescent="0.4">
      <c r="A4228" t="str">
        <f t="shared" si="330"/>
        <v/>
      </c>
      <c r="B4228" t="str">
        <f t="shared" si="331"/>
        <v/>
      </c>
      <c r="C4228" t="str">
        <f t="shared" si="332"/>
        <v/>
      </c>
      <c r="D4228" t="str">
        <f>IF(E4228="","",IF(COUNTIF($E$2:E4228,E4228)&gt;1,"",SUMIFS(tbl_input[필요수량],tbl_input[집계키_지청],E4228)))</f>
        <v/>
      </c>
      <c r="E4228" t="str">
        <f>IFERROR(INDEX(tbl_input[집계키_지청],ROW()-1),"")</f>
        <v/>
      </c>
      <c r="F4228" t="str">
        <f t="shared" si="333"/>
        <v/>
      </c>
      <c r="G4228" t="str">
        <f t="shared" si="334"/>
        <v/>
      </c>
    </row>
    <row r="4229" spans="1:7" x14ac:dyDescent="0.4">
      <c r="A4229" t="str">
        <f t="shared" si="330"/>
        <v/>
      </c>
      <c r="B4229" t="str">
        <f t="shared" si="331"/>
        <v/>
      </c>
      <c r="C4229" t="str">
        <f t="shared" si="332"/>
        <v/>
      </c>
      <c r="D4229" t="str">
        <f>IF(E4229="","",IF(COUNTIF($E$2:E4229,E4229)&gt;1,"",SUMIFS(tbl_input[필요수량],tbl_input[집계키_지청],E4229)))</f>
        <v/>
      </c>
      <c r="E4229" t="str">
        <f>IFERROR(INDEX(tbl_input[집계키_지청],ROW()-1),"")</f>
        <v/>
      </c>
      <c r="F4229" t="str">
        <f t="shared" si="333"/>
        <v/>
      </c>
      <c r="G4229" t="str">
        <f t="shared" si="334"/>
        <v/>
      </c>
    </row>
    <row r="4230" spans="1:7" x14ac:dyDescent="0.4">
      <c r="A4230" t="str">
        <f t="shared" si="330"/>
        <v/>
      </c>
      <c r="B4230" t="str">
        <f t="shared" si="331"/>
        <v/>
      </c>
      <c r="C4230" t="str">
        <f t="shared" si="332"/>
        <v/>
      </c>
      <c r="D4230" t="str">
        <f>IF(E4230="","",IF(COUNTIF($E$2:E4230,E4230)&gt;1,"",SUMIFS(tbl_input[필요수량],tbl_input[집계키_지청],E4230)))</f>
        <v/>
      </c>
      <c r="E4230" t="str">
        <f>IFERROR(INDEX(tbl_input[집계키_지청],ROW()-1),"")</f>
        <v/>
      </c>
      <c r="F4230" t="str">
        <f t="shared" si="333"/>
        <v/>
      </c>
      <c r="G4230" t="str">
        <f t="shared" si="334"/>
        <v/>
      </c>
    </row>
    <row r="4231" spans="1:7" x14ac:dyDescent="0.4">
      <c r="A4231" t="str">
        <f t="shared" si="330"/>
        <v/>
      </c>
      <c r="B4231" t="str">
        <f t="shared" si="331"/>
        <v/>
      </c>
      <c r="C4231" t="str">
        <f t="shared" si="332"/>
        <v/>
      </c>
      <c r="D4231" t="str">
        <f>IF(E4231="","",IF(COUNTIF($E$2:E4231,E4231)&gt;1,"",SUMIFS(tbl_input[필요수량],tbl_input[집계키_지청],E4231)))</f>
        <v/>
      </c>
      <c r="E4231" t="str">
        <f>IFERROR(INDEX(tbl_input[집계키_지청],ROW()-1),"")</f>
        <v/>
      </c>
      <c r="F4231" t="str">
        <f t="shared" si="333"/>
        <v/>
      </c>
      <c r="G4231" t="str">
        <f t="shared" si="334"/>
        <v/>
      </c>
    </row>
    <row r="4232" spans="1:7" x14ac:dyDescent="0.4">
      <c r="A4232" t="str">
        <f t="shared" si="330"/>
        <v/>
      </c>
      <c r="B4232" t="str">
        <f t="shared" si="331"/>
        <v/>
      </c>
      <c r="C4232" t="str">
        <f t="shared" si="332"/>
        <v/>
      </c>
      <c r="D4232" t="str">
        <f>IF(E4232="","",IF(COUNTIF($E$2:E4232,E4232)&gt;1,"",SUMIFS(tbl_input[필요수량],tbl_input[집계키_지청],E4232)))</f>
        <v/>
      </c>
      <c r="E4232" t="str">
        <f>IFERROR(INDEX(tbl_input[집계키_지청],ROW()-1),"")</f>
        <v/>
      </c>
      <c r="F4232" t="str">
        <f t="shared" si="333"/>
        <v/>
      </c>
      <c r="G4232" t="str">
        <f t="shared" si="334"/>
        <v/>
      </c>
    </row>
    <row r="4233" spans="1:7" x14ac:dyDescent="0.4">
      <c r="A4233" t="str">
        <f t="shared" si="330"/>
        <v/>
      </c>
      <c r="B4233" t="str">
        <f t="shared" si="331"/>
        <v/>
      </c>
      <c r="C4233" t="str">
        <f t="shared" si="332"/>
        <v/>
      </c>
      <c r="D4233" t="str">
        <f>IF(E4233="","",IF(COUNTIF($E$2:E4233,E4233)&gt;1,"",SUMIFS(tbl_input[필요수량],tbl_input[집계키_지청],E4233)))</f>
        <v/>
      </c>
      <c r="E4233" t="str">
        <f>IFERROR(INDEX(tbl_input[집계키_지청],ROW()-1),"")</f>
        <v/>
      </c>
      <c r="F4233" t="str">
        <f t="shared" si="333"/>
        <v/>
      </c>
      <c r="G4233" t="str">
        <f t="shared" si="334"/>
        <v/>
      </c>
    </row>
    <row r="4234" spans="1:7" x14ac:dyDescent="0.4">
      <c r="A4234" t="str">
        <f t="shared" si="330"/>
        <v/>
      </c>
      <c r="B4234" t="str">
        <f t="shared" si="331"/>
        <v/>
      </c>
      <c r="C4234" t="str">
        <f t="shared" si="332"/>
        <v/>
      </c>
      <c r="D4234" t="str">
        <f>IF(E4234="","",IF(COUNTIF($E$2:E4234,E4234)&gt;1,"",SUMIFS(tbl_input[필요수량],tbl_input[집계키_지청],E4234)))</f>
        <v/>
      </c>
      <c r="E4234" t="str">
        <f>IFERROR(INDEX(tbl_input[집계키_지청],ROW()-1),"")</f>
        <v/>
      </c>
      <c r="F4234" t="str">
        <f t="shared" si="333"/>
        <v/>
      </c>
      <c r="G4234" t="str">
        <f t="shared" si="334"/>
        <v/>
      </c>
    </row>
    <row r="4235" spans="1:7" x14ac:dyDescent="0.4">
      <c r="A4235" t="str">
        <f t="shared" si="330"/>
        <v/>
      </c>
      <c r="B4235" t="str">
        <f t="shared" si="331"/>
        <v/>
      </c>
      <c r="C4235" t="str">
        <f t="shared" si="332"/>
        <v/>
      </c>
      <c r="D4235" t="str">
        <f>IF(E4235="","",IF(COUNTIF($E$2:E4235,E4235)&gt;1,"",SUMIFS(tbl_input[필요수량],tbl_input[집계키_지청],E4235)))</f>
        <v/>
      </c>
      <c r="E4235" t="str">
        <f>IFERROR(INDEX(tbl_input[집계키_지청],ROW()-1),"")</f>
        <v/>
      </c>
      <c r="F4235" t="str">
        <f t="shared" si="333"/>
        <v/>
      </c>
      <c r="G4235" t="str">
        <f t="shared" si="334"/>
        <v/>
      </c>
    </row>
    <row r="4236" spans="1:7" x14ac:dyDescent="0.4">
      <c r="A4236" t="str">
        <f t="shared" si="330"/>
        <v/>
      </c>
      <c r="B4236" t="str">
        <f t="shared" si="331"/>
        <v/>
      </c>
      <c r="C4236" t="str">
        <f t="shared" si="332"/>
        <v/>
      </c>
      <c r="D4236" t="str">
        <f>IF(E4236="","",IF(COUNTIF($E$2:E4236,E4236)&gt;1,"",SUMIFS(tbl_input[필요수량],tbl_input[집계키_지청],E4236)))</f>
        <v/>
      </c>
      <c r="E4236" t="str">
        <f>IFERROR(INDEX(tbl_input[집계키_지청],ROW()-1),"")</f>
        <v/>
      </c>
      <c r="F4236" t="str">
        <f t="shared" si="333"/>
        <v/>
      </c>
      <c r="G4236" t="str">
        <f t="shared" si="334"/>
        <v/>
      </c>
    </row>
    <row r="4237" spans="1:7" x14ac:dyDescent="0.4">
      <c r="A4237" t="str">
        <f t="shared" si="330"/>
        <v/>
      </c>
      <c r="B4237" t="str">
        <f t="shared" si="331"/>
        <v/>
      </c>
      <c r="C4237" t="str">
        <f t="shared" si="332"/>
        <v/>
      </c>
      <c r="D4237" t="str">
        <f>IF(E4237="","",IF(COUNTIF($E$2:E4237,E4237)&gt;1,"",SUMIFS(tbl_input[필요수량],tbl_input[집계키_지청],E4237)))</f>
        <v/>
      </c>
      <c r="E4237" t="str">
        <f>IFERROR(INDEX(tbl_input[집계키_지청],ROW()-1),"")</f>
        <v/>
      </c>
      <c r="F4237" t="str">
        <f t="shared" si="333"/>
        <v/>
      </c>
      <c r="G4237" t="str">
        <f t="shared" si="334"/>
        <v/>
      </c>
    </row>
    <row r="4238" spans="1:7" x14ac:dyDescent="0.4">
      <c r="A4238" t="str">
        <f t="shared" si="330"/>
        <v/>
      </c>
      <c r="B4238" t="str">
        <f t="shared" si="331"/>
        <v/>
      </c>
      <c r="C4238" t="str">
        <f t="shared" si="332"/>
        <v/>
      </c>
      <c r="D4238" t="str">
        <f>IF(E4238="","",IF(COUNTIF($E$2:E4238,E4238)&gt;1,"",SUMIFS(tbl_input[필요수량],tbl_input[집계키_지청],E4238)))</f>
        <v/>
      </c>
      <c r="E4238" t="str">
        <f>IFERROR(INDEX(tbl_input[집계키_지청],ROW()-1),"")</f>
        <v/>
      </c>
      <c r="F4238" t="str">
        <f t="shared" si="333"/>
        <v/>
      </c>
      <c r="G4238" t="str">
        <f t="shared" si="334"/>
        <v/>
      </c>
    </row>
    <row r="4239" spans="1:7" x14ac:dyDescent="0.4">
      <c r="A4239" t="str">
        <f t="shared" si="330"/>
        <v/>
      </c>
      <c r="B4239" t="str">
        <f t="shared" si="331"/>
        <v/>
      </c>
      <c r="C4239" t="str">
        <f t="shared" si="332"/>
        <v/>
      </c>
      <c r="D4239" t="str">
        <f>IF(E4239="","",IF(COUNTIF($E$2:E4239,E4239)&gt;1,"",SUMIFS(tbl_input[필요수량],tbl_input[집계키_지청],E4239)))</f>
        <v/>
      </c>
      <c r="E4239" t="str">
        <f>IFERROR(INDEX(tbl_input[집계키_지청],ROW()-1),"")</f>
        <v/>
      </c>
      <c r="F4239" t="str">
        <f t="shared" si="333"/>
        <v/>
      </c>
      <c r="G4239" t="str">
        <f t="shared" si="334"/>
        <v/>
      </c>
    </row>
    <row r="4240" spans="1:7" x14ac:dyDescent="0.4">
      <c r="A4240" t="str">
        <f t="shared" si="330"/>
        <v/>
      </c>
      <c r="B4240" t="str">
        <f t="shared" si="331"/>
        <v/>
      </c>
      <c r="C4240" t="str">
        <f t="shared" si="332"/>
        <v/>
      </c>
      <c r="D4240" t="str">
        <f>IF(E4240="","",IF(COUNTIF($E$2:E4240,E4240)&gt;1,"",SUMIFS(tbl_input[필요수량],tbl_input[집계키_지청],E4240)))</f>
        <v/>
      </c>
      <c r="E4240" t="str">
        <f>IFERROR(INDEX(tbl_input[집계키_지청],ROW()-1),"")</f>
        <v/>
      </c>
      <c r="F4240" t="str">
        <f t="shared" si="333"/>
        <v/>
      </c>
      <c r="G4240" t="str">
        <f t="shared" si="334"/>
        <v/>
      </c>
    </row>
    <row r="4241" spans="1:7" x14ac:dyDescent="0.4">
      <c r="A4241" t="str">
        <f t="shared" si="330"/>
        <v/>
      </c>
      <c r="B4241" t="str">
        <f t="shared" si="331"/>
        <v/>
      </c>
      <c r="C4241" t="str">
        <f t="shared" si="332"/>
        <v/>
      </c>
      <c r="D4241" t="str">
        <f>IF(E4241="","",IF(COUNTIF($E$2:E4241,E4241)&gt;1,"",SUMIFS(tbl_input[필요수량],tbl_input[집계키_지청],E4241)))</f>
        <v/>
      </c>
      <c r="E4241" t="str">
        <f>IFERROR(INDEX(tbl_input[집계키_지청],ROW()-1),"")</f>
        <v/>
      </c>
      <c r="F4241" t="str">
        <f t="shared" si="333"/>
        <v/>
      </c>
      <c r="G4241" t="str">
        <f t="shared" si="334"/>
        <v/>
      </c>
    </row>
    <row r="4242" spans="1:7" x14ac:dyDescent="0.4">
      <c r="A4242" t="str">
        <f t="shared" si="330"/>
        <v/>
      </c>
      <c r="B4242" t="str">
        <f t="shared" si="331"/>
        <v/>
      </c>
      <c r="C4242" t="str">
        <f t="shared" si="332"/>
        <v/>
      </c>
      <c r="D4242" t="str">
        <f>IF(E4242="","",IF(COUNTIF($E$2:E4242,E4242)&gt;1,"",SUMIFS(tbl_input[필요수량],tbl_input[집계키_지청],E4242)))</f>
        <v/>
      </c>
      <c r="E4242" t="str">
        <f>IFERROR(INDEX(tbl_input[집계키_지청],ROW()-1),"")</f>
        <v/>
      </c>
      <c r="F4242" t="str">
        <f t="shared" si="333"/>
        <v/>
      </c>
      <c r="G4242" t="str">
        <f t="shared" si="334"/>
        <v/>
      </c>
    </row>
    <row r="4243" spans="1:7" x14ac:dyDescent="0.4">
      <c r="A4243" t="str">
        <f t="shared" si="330"/>
        <v/>
      </c>
      <c r="B4243" t="str">
        <f t="shared" si="331"/>
        <v/>
      </c>
      <c r="C4243" t="str">
        <f t="shared" si="332"/>
        <v/>
      </c>
      <c r="D4243" t="str">
        <f>IF(E4243="","",IF(COUNTIF($E$2:E4243,E4243)&gt;1,"",SUMIFS(tbl_input[필요수량],tbl_input[집계키_지청],E4243)))</f>
        <v/>
      </c>
      <c r="E4243" t="str">
        <f>IFERROR(INDEX(tbl_input[집계키_지청],ROW()-1),"")</f>
        <v/>
      </c>
      <c r="F4243" t="str">
        <f t="shared" si="333"/>
        <v/>
      </c>
      <c r="G4243" t="str">
        <f t="shared" si="334"/>
        <v/>
      </c>
    </row>
    <row r="4244" spans="1:7" x14ac:dyDescent="0.4">
      <c r="A4244" t="str">
        <f t="shared" si="330"/>
        <v/>
      </c>
      <c r="B4244" t="str">
        <f t="shared" si="331"/>
        <v/>
      </c>
      <c r="C4244" t="str">
        <f t="shared" si="332"/>
        <v/>
      </c>
      <c r="D4244" t="str">
        <f>IF(E4244="","",IF(COUNTIF($E$2:E4244,E4244)&gt;1,"",SUMIFS(tbl_input[필요수량],tbl_input[집계키_지청],E4244)))</f>
        <v/>
      </c>
      <c r="E4244" t="str">
        <f>IFERROR(INDEX(tbl_input[집계키_지청],ROW()-1),"")</f>
        <v/>
      </c>
      <c r="F4244" t="str">
        <f t="shared" si="333"/>
        <v/>
      </c>
      <c r="G4244" t="str">
        <f t="shared" si="334"/>
        <v/>
      </c>
    </row>
    <row r="4245" spans="1:7" x14ac:dyDescent="0.4">
      <c r="A4245" t="str">
        <f t="shared" si="330"/>
        <v/>
      </c>
      <c r="B4245" t="str">
        <f t="shared" si="331"/>
        <v/>
      </c>
      <c r="C4245" t="str">
        <f t="shared" si="332"/>
        <v/>
      </c>
      <c r="D4245" t="str">
        <f>IF(E4245="","",IF(COUNTIF($E$2:E4245,E4245)&gt;1,"",SUMIFS(tbl_input[필요수량],tbl_input[집계키_지청],E4245)))</f>
        <v/>
      </c>
      <c r="E4245" t="str">
        <f>IFERROR(INDEX(tbl_input[집계키_지청],ROW()-1),"")</f>
        <v/>
      </c>
      <c r="F4245" t="str">
        <f t="shared" si="333"/>
        <v/>
      </c>
      <c r="G4245" t="str">
        <f t="shared" si="334"/>
        <v/>
      </c>
    </row>
    <row r="4246" spans="1:7" x14ac:dyDescent="0.4">
      <c r="A4246" t="str">
        <f t="shared" si="330"/>
        <v/>
      </c>
      <c r="B4246" t="str">
        <f t="shared" si="331"/>
        <v/>
      </c>
      <c r="C4246" t="str">
        <f t="shared" si="332"/>
        <v/>
      </c>
      <c r="D4246" t="str">
        <f>IF(E4246="","",IF(COUNTIF($E$2:E4246,E4246)&gt;1,"",SUMIFS(tbl_input[필요수량],tbl_input[집계키_지청],E4246)))</f>
        <v/>
      </c>
      <c r="E4246" t="str">
        <f>IFERROR(INDEX(tbl_input[집계키_지청],ROW()-1),"")</f>
        <v/>
      </c>
      <c r="F4246" t="str">
        <f t="shared" si="333"/>
        <v/>
      </c>
      <c r="G4246" t="str">
        <f t="shared" si="334"/>
        <v/>
      </c>
    </row>
    <row r="4247" spans="1:7" x14ac:dyDescent="0.4">
      <c r="A4247" t="str">
        <f t="shared" si="330"/>
        <v/>
      </c>
      <c r="B4247" t="str">
        <f t="shared" si="331"/>
        <v/>
      </c>
      <c r="C4247" t="str">
        <f t="shared" si="332"/>
        <v/>
      </c>
      <c r="D4247" t="str">
        <f>IF(E4247="","",IF(COUNTIF($E$2:E4247,E4247)&gt;1,"",SUMIFS(tbl_input[필요수량],tbl_input[집계키_지청],E4247)))</f>
        <v/>
      </c>
      <c r="E4247" t="str">
        <f>IFERROR(INDEX(tbl_input[집계키_지청],ROW()-1),"")</f>
        <v/>
      </c>
      <c r="F4247" t="str">
        <f t="shared" si="333"/>
        <v/>
      </c>
      <c r="G4247" t="str">
        <f t="shared" si="334"/>
        <v/>
      </c>
    </row>
    <row r="4248" spans="1:7" x14ac:dyDescent="0.4">
      <c r="A4248" t="str">
        <f t="shared" si="330"/>
        <v/>
      </c>
      <c r="B4248" t="str">
        <f t="shared" si="331"/>
        <v/>
      </c>
      <c r="C4248" t="str">
        <f t="shared" si="332"/>
        <v/>
      </c>
      <c r="D4248" t="str">
        <f>IF(E4248="","",IF(COUNTIF($E$2:E4248,E4248)&gt;1,"",SUMIFS(tbl_input[필요수량],tbl_input[집계키_지청],E4248)))</f>
        <v/>
      </c>
      <c r="E4248" t="str">
        <f>IFERROR(INDEX(tbl_input[집계키_지청],ROW()-1),"")</f>
        <v/>
      </c>
      <c r="F4248" t="str">
        <f t="shared" si="333"/>
        <v/>
      </c>
      <c r="G4248" t="str">
        <f t="shared" si="334"/>
        <v/>
      </c>
    </row>
    <row r="4249" spans="1:7" x14ac:dyDescent="0.4">
      <c r="A4249" t="str">
        <f t="shared" si="330"/>
        <v/>
      </c>
      <c r="B4249" t="str">
        <f t="shared" si="331"/>
        <v/>
      </c>
      <c r="C4249" t="str">
        <f t="shared" si="332"/>
        <v/>
      </c>
      <c r="D4249" t="str">
        <f>IF(E4249="","",IF(COUNTIF($E$2:E4249,E4249)&gt;1,"",SUMIFS(tbl_input[필요수량],tbl_input[집계키_지청],E4249)))</f>
        <v/>
      </c>
      <c r="E4249" t="str">
        <f>IFERROR(INDEX(tbl_input[집계키_지청],ROW()-1),"")</f>
        <v/>
      </c>
      <c r="F4249" t="str">
        <f t="shared" si="333"/>
        <v/>
      </c>
      <c r="G4249" t="str">
        <f t="shared" si="334"/>
        <v/>
      </c>
    </row>
    <row r="4250" spans="1:7" x14ac:dyDescent="0.4">
      <c r="A4250" t="str">
        <f t="shared" si="330"/>
        <v/>
      </c>
      <c r="B4250" t="str">
        <f t="shared" si="331"/>
        <v/>
      </c>
      <c r="C4250" t="str">
        <f t="shared" si="332"/>
        <v/>
      </c>
      <c r="D4250" t="str">
        <f>IF(E4250="","",IF(COUNTIF($E$2:E4250,E4250)&gt;1,"",SUMIFS(tbl_input[필요수량],tbl_input[집계키_지청],E4250)))</f>
        <v/>
      </c>
      <c r="E4250" t="str">
        <f>IFERROR(INDEX(tbl_input[집계키_지청],ROW()-1),"")</f>
        <v/>
      </c>
      <c r="F4250" t="str">
        <f t="shared" si="333"/>
        <v/>
      </c>
      <c r="G4250" t="str">
        <f t="shared" si="334"/>
        <v/>
      </c>
    </row>
    <row r="4251" spans="1:7" x14ac:dyDescent="0.4">
      <c r="A4251" t="str">
        <f t="shared" si="330"/>
        <v/>
      </c>
      <c r="B4251" t="str">
        <f t="shared" si="331"/>
        <v/>
      </c>
      <c r="C4251" t="str">
        <f t="shared" si="332"/>
        <v/>
      </c>
      <c r="D4251" t="str">
        <f>IF(E4251="","",IF(COUNTIF($E$2:E4251,E4251)&gt;1,"",SUMIFS(tbl_input[필요수량],tbl_input[집계키_지청],E4251)))</f>
        <v/>
      </c>
      <c r="E4251" t="str">
        <f>IFERROR(INDEX(tbl_input[집계키_지청],ROW()-1),"")</f>
        <v/>
      </c>
      <c r="F4251" t="str">
        <f t="shared" si="333"/>
        <v/>
      </c>
      <c r="G4251" t="str">
        <f t="shared" si="334"/>
        <v/>
      </c>
    </row>
    <row r="4252" spans="1:7" x14ac:dyDescent="0.4">
      <c r="A4252" t="str">
        <f t="shared" si="330"/>
        <v/>
      </c>
      <c r="B4252" t="str">
        <f t="shared" si="331"/>
        <v/>
      </c>
      <c r="C4252" t="str">
        <f t="shared" si="332"/>
        <v/>
      </c>
      <c r="D4252" t="str">
        <f>IF(E4252="","",IF(COUNTIF($E$2:E4252,E4252)&gt;1,"",SUMIFS(tbl_input[필요수량],tbl_input[집계키_지청],E4252)))</f>
        <v/>
      </c>
      <c r="E4252" t="str">
        <f>IFERROR(INDEX(tbl_input[집계키_지청],ROW()-1),"")</f>
        <v/>
      </c>
      <c r="F4252" t="str">
        <f t="shared" si="333"/>
        <v/>
      </c>
      <c r="G4252" t="str">
        <f t="shared" si="334"/>
        <v/>
      </c>
    </row>
    <row r="4253" spans="1:7" x14ac:dyDescent="0.4">
      <c r="A4253" t="str">
        <f t="shared" si="330"/>
        <v/>
      </c>
      <c r="B4253" t="str">
        <f t="shared" si="331"/>
        <v/>
      </c>
      <c r="C4253" t="str">
        <f t="shared" si="332"/>
        <v/>
      </c>
      <c r="D4253" t="str">
        <f>IF(E4253="","",IF(COUNTIF($E$2:E4253,E4253)&gt;1,"",SUMIFS(tbl_input[필요수량],tbl_input[집계키_지청],E4253)))</f>
        <v/>
      </c>
      <c r="E4253" t="str">
        <f>IFERROR(INDEX(tbl_input[집계키_지청],ROW()-1),"")</f>
        <v/>
      </c>
      <c r="F4253" t="str">
        <f t="shared" si="333"/>
        <v/>
      </c>
      <c r="G4253" t="str">
        <f t="shared" si="334"/>
        <v/>
      </c>
    </row>
    <row r="4254" spans="1:7" x14ac:dyDescent="0.4">
      <c r="A4254" t="str">
        <f t="shared" si="330"/>
        <v/>
      </c>
      <c r="B4254" t="str">
        <f t="shared" si="331"/>
        <v/>
      </c>
      <c r="C4254" t="str">
        <f t="shared" si="332"/>
        <v/>
      </c>
      <c r="D4254" t="str">
        <f>IF(E4254="","",IF(COUNTIF($E$2:E4254,E4254)&gt;1,"",SUMIFS(tbl_input[필요수량],tbl_input[집계키_지청],E4254)))</f>
        <v/>
      </c>
      <c r="E4254" t="str">
        <f>IFERROR(INDEX(tbl_input[집계키_지청],ROW()-1),"")</f>
        <v/>
      </c>
      <c r="F4254" t="str">
        <f t="shared" si="333"/>
        <v/>
      </c>
      <c r="G4254" t="str">
        <f t="shared" si="334"/>
        <v/>
      </c>
    </row>
    <row r="4255" spans="1:7" x14ac:dyDescent="0.4">
      <c r="A4255" t="str">
        <f t="shared" si="330"/>
        <v/>
      </c>
      <c r="B4255" t="str">
        <f t="shared" si="331"/>
        <v/>
      </c>
      <c r="C4255" t="str">
        <f t="shared" si="332"/>
        <v/>
      </c>
      <c r="D4255" t="str">
        <f>IF(E4255="","",IF(COUNTIF($E$2:E4255,E4255)&gt;1,"",SUMIFS(tbl_input[필요수량],tbl_input[집계키_지청],E4255)))</f>
        <v/>
      </c>
      <c r="E4255" t="str">
        <f>IFERROR(INDEX(tbl_input[집계키_지청],ROW()-1),"")</f>
        <v/>
      </c>
      <c r="F4255" t="str">
        <f t="shared" si="333"/>
        <v/>
      </c>
      <c r="G4255" t="str">
        <f t="shared" si="334"/>
        <v/>
      </c>
    </row>
    <row r="4256" spans="1:7" x14ac:dyDescent="0.4">
      <c r="A4256" t="str">
        <f t="shared" si="330"/>
        <v/>
      </c>
      <c r="B4256" t="str">
        <f t="shared" si="331"/>
        <v/>
      </c>
      <c r="C4256" t="str">
        <f t="shared" si="332"/>
        <v/>
      </c>
      <c r="D4256" t="str">
        <f>IF(E4256="","",IF(COUNTIF($E$2:E4256,E4256)&gt;1,"",SUMIFS(tbl_input[필요수량],tbl_input[집계키_지청],E4256)))</f>
        <v/>
      </c>
      <c r="E4256" t="str">
        <f>IFERROR(INDEX(tbl_input[집계키_지청],ROW()-1),"")</f>
        <v/>
      </c>
      <c r="F4256" t="str">
        <f t="shared" si="333"/>
        <v/>
      </c>
      <c r="G4256" t="str">
        <f t="shared" si="334"/>
        <v/>
      </c>
    </row>
    <row r="4257" spans="1:7" x14ac:dyDescent="0.4">
      <c r="A4257" t="str">
        <f t="shared" si="330"/>
        <v/>
      </c>
      <c r="B4257" t="str">
        <f t="shared" si="331"/>
        <v/>
      </c>
      <c r="C4257" t="str">
        <f t="shared" si="332"/>
        <v/>
      </c>
      <c r="D4257" t="str">
        <f>IF(E4257="","",IF(COUNTIF($E$2:E4257,E4257)&gt;1,"",SUMIFS(tbl_input[필요수량],tbl_input[집계키_지청],E4257)))</f>
        <v/>
      </c>
      <c r="E4257" t="str">
        <f>IFERROR(INDEX(tbl_input[집계키_지청],ROW()-1),"")</f>
        <v/>
      </c>
      <c r="F4257" t="str">
        <f t="shared" si="333"/>
        <v/>
      </c>
      <c r="G4257" t="str">
        <f t="shared" si="334"/>
        <v/>
      </c>
    </row>
    <row r="4258" spans="1:7" x14ac:dyDescent="0.4">
      <c r="A4258" t="str">
        <f t="shared" si="330"/>
        <v/>
      </c>
      <c r="B4258" t="str">
        <f t="shared" si="331"/>
        <v/>
      </c>
      <c r="C4258" t="str">
        <f t="shared" si="332"/>
        <v/>
      </c>
      <c r="D4258" t="str">
        <f>IF(E4258="","",IF(COUNTIF($E$2:E4258,E4258)&gt;1,"",SUMIFS(tbl_input[필요수량],tbl_input[집계키_지청],E4258)))</f>
        <v/>
      </c>
      <c r="E4258" t="str">
        <f>IFERROR(INDEX(tbl_input[집계키_지청],ROW()-1),"")</f>
        <v/>
      </c>
      <c r="F4258" t="str">
        <f t="shared" si="333"/>
        <v/>
      </c>
      <c r="G4258" t="str">
        <f t="shared" si="334"/>
        <v/>
      </c>
    </row>
    <row r="4259" spans="1:7" x14ac:dyDescent="0.4">
      <c r="A4259" t="str">
        <f t="shared" si="330"/>
        <v/>
      </c>
      <c r="B4259" t="str">
        <f t="shared" si="331"/>
        <v/>
      </c>
      <c r="C4259" t="str">
        <f t="shared" si="332"/>
        <v/>
      </c>
      <c r="D4259" t="str">
        <f>IF(E4259="","",IF(COUNTIF($E$2:E4259,E4259)&gt;1,"",SUMIFS(tbl_input[필요수량],tbl_input[집계키_지청],E4259)))</f>
        <v/>
      </c>
      <c r="E4259" t="str">
        <f>IFERROR(INDEX(tbl_input[집계키_지청],ROW()-1),"")</f>
        <v/>
      </c>
      <c r="F4259" t="str">
        <f t="shared" si="333"/>
        <v/>
      </c>
      <c r="G4259" t="str">
        <f t="shared" si="334"/>
        <v/>
      </c>
    </row>
    <row r="4260" spans="1:7" x14ac:dyDescent="0.4">
      <c r="A4260" t="str">
        <f t="shared" si="330"/>
        <v/>
      </c>
      <c r="B4260" t="str">
        <f t="shared" si="331"/>
        <v/>
      </c>
      <c r="C4260" t="str">
        <f t="shared" si="332"/>
        <v/>
      </c>
      <c r="D4260" t="str">
        <f>IF(E4260="","",IF(COUNTIF($E$2:E4260,E4260)&gt;1,"",SUMIFS(tbl_input[필요수량],tbl_input[집계키_지청],E4260)))</f>
        <v/>
      </c>
      <c r="E4260" t="str">
        <f>IFERROR(INDEX(tbl_input[집계키_지청],ROW()-1),"")</f>
        <v/>
      </c>
      <c r="F4260" t="str">
        <f t="shared" si="333"/>
        <v/>
      </c>
      <c r="G4260" t="str">
        <f t="shared" si="334"/>
        <v/>
      </c>
    </row>
    <row r="4261" spans="1:7" x14ac:dyDescent="0.4">
      <c r="A4261" t="str">
        <f t="shared" si="330"/>
        <v/>
      </c>
      <c r="B4261" t="str">
        <f t="shared" si="331"/>
        <v/>
      </c>
      <c r="C4261" t="str">
        <f t="shared" si="332"/>
        <v/>
      </c>
      <c r="D4261" t="str">
        <f>IF(E4261="","",IF(COUNTIF($E$2:E4261,E4261)&gt;1,"",SUMIFS(tbl_input[필요수량],tbl_input[집계키_지청],E4261)))</f>
        <v/>
      </c>
      <c r="E4261" t="str">
        <f>IFERROR(INDEX(tbl_input[집계키_지청],ROW()-1),"")</f>
        <v/>
      </c>
      <c r="F4261" t="str">
        <f t="shared" si="333"/>
        <v/>
      </c>
      <c r="G4261" t="str">
        <f t="shared" si="334"/>
        <v/>
      </c>
    </row>
    <row r="4262" spans="1:7" x14ac:dyDescent="0.4">
      <c r="A4262" t="str">
        <f t="shared" si="330"/>
        <v/>
      </c>
      <c r="B4262" t="str">
        <f t="shared" si="331"/>
        <v/>
      </c>
      <c r="C4262" t="str">
        <f t="shared" si="332"/>
        <v/>
      </c>
      <c r="D4262" t="str">
        <f>IF(E4262="","",IF(COUNTIF($E$2:E4262,E4262)&gt;1,"",SUMIFS(tbl_input[필요수량],tbl_input[집계키_지청],E4262)))</f>
        <v/>
      </c>
      <c r="E4262" t="str">
        <f>IFERROR(INDEX(tbl_input[집계키_지청],ROW()-1),"")</f>
        <v/>
      </c>
      <c r="F4262" t="str">
        <f t="shared" si="333"/>
        <v/>
      </c>
      <c r="G4262" t="str">
        <f t="shared" si="334"/>
        <v/>
      </c>
    </row>
    <row r="4263" spans="1:7" x14ac:dyDescent="0.4">
      <c r="A4263" t="str">
        <f t="shared" si="330"/>
        <v/>
      </c>
      <c r="B4263" t="str">
        <f t="shared" si="331"/>
        <v/>
      </c>
      <c r="C4263" t="str">
        <f t="shared" si="332"/>
        <v/>
      </c>
      <c r="D4263" t="str">
        <f>IF(E4263="","",IF(COUNTIF($E$2:E4263,E4263)&gt;1,"",SUMIFS(tbl_input[필요수량],tbl_input[집계키_지청],E4263)))</f>
        <v/>
      </c>
      <c r="E4263" t="str">
        <f>IFERROR(INDEX(tbl_input[집계키_지청],ROW()-1),"")</f>
        <v/>
      </c>
      <c r="F4263" t="str">
        <f t="shared" si="333"/>
        <v/>
      </c>
      <c r="G4263" t="str">
        <f t="shared" si="334"/>
        <v/>
      </c>
    </row>
    <row r="4264" spans="1:7" x14ac:dyDescent="0.4">
      <c r="A4264" t="str">
        <f t="shared" si="330"/>
        <v/>
      </c>
      <c r="B4264" t="str">
        <f t="shared" si="331"/>
        <v/>
      </c>
      <c r="C4264" t="str">
        <f t="shared" si="332"/>
        <v/>
      </c>
      <c r="D4264" t="str">
        <f>IF(E4264="","",IF(COUNTIF($E$2:E4264,E4264)&gt;1,"",SUMIFS(tbl_input[필요수량],tbl_input[집계키_지청],E4264)))</f>
        <v/>
      </c>
      <c r="E4264" t="str">
        <f>IFERROR(INDEX(tbl_input[집계키_지청],ROW()-1),"")</f>
        <v/>
      </c>
      <c r="F4264" t="str">
        <f t="shared" si="333"/>
        <v/>
      </c>
      <c r="G4264" t="str">
        <f t="shared" si="334"/>
        <v/>
      </c>
    </row>
    <row r="4265" spans="1:7" x14ac:dyDescent="0.4">
      <c r="A4265" t="str">
        <f t="shared" si="330"/>
        <v/>
      </c>
      <c r="B4265" t="str">
        <f t="shared" si="331"/>
        <v/>
      </c>
      <c r="C4265" t="str">
        <f t="shared" si="332"/>
        <v/>
      </c>
      <c r="D4265" t="str">
        <f>IF(E4265="","",IF(COUNTIF($E$2:E4265,E4265)&gt;1,"",SUMIFS(tbl_input[필요수량],tbl_input[집계키_지청],E4265)))</f>
        <v/>
      </c>
      <c r="E4265" t="str">
        <f>IFERROR(INDEX(tbl_input[집계키_지청],ROW()-1),"")</f>
        <v/>
      </c>
      <c r="F4265" t="str">
        <f t="shared" si="333"/>
        <v/>
      </c>
      <c r="G4265" t="str">
        <f t="shared" si="334"/>
        <v/>
      </c>
    </row>
    <row r="4266" spans="1:7" x14ac:dyDescent="0.4">
      <c r="A4266" t="str">
        <f t="shared" si="330"/>
        <v/>
      </c>
      <c r="B4266" t="str">
        <f t="shared" si="331"/>
        <v/>
      </c>
      <c r="C4266" t="str">
        <f t="shared" si="332"/>
        <v/>
      </c>
      <c r="D4266" t="str">
        <f>IF(E4266="","",IF(COUNTIF($E$2:E4266,E4266)&gt;1,"",SUMIFS(tbl_input[필요수량],tbl_input[집계키_지청],E4266)))</f>
        <v/>
      </c>
      <c r="E4266" t="str">
        <f>IFERROR(INDEX(tbl_input[집계키_지청],ROW()-1),"")</f>
        <v/>
      </c>
      <c r="F4266" t="str">
        <f t="shared" si="333"/>
        <v/>
      </c>
      <c r="G4266" t="str">
        <f t="shared" si="334"/>
        <v/>
      </c>
    </row>
    <row r="4267" spans="1:7" x14ac:dyDescent="0.4">
      <c r="A4267" t="str">
        <f t="shared" si="330"/>
        <v/>
      </c>
      <c r="B4267" t="str">
        <f t="shared" si="331"/>
        <v/>
      </c>
      <c r="C4267" t="str">
        <f t="shared" si="332"/>
        <v/>
      </c>
      <c r="D4267" t="str">
        <f>IF(E4267="","",IF(COUNTIF($E$2:E4267,E4267)&gt;1,"",SUMIFS(tbl_input[필요수량],tbl_input[집계키_지청],E4267)))</f>
        <v/>
      </c>
      <c r="E4267" t="str">
        <f>IFERROR(INDEX(tbl_input[집계키_지청],ROW()-1),"")</f>
        <v/>
      </c>
      <c r="F4267" t="str">
        <f t="shared" si="333"/>
        <v/>
      </c>
      <c r="G4267" t="str">
        <f t="shared" si="334"/>
        <v/>
      </c>
    </row>
    <row r="4268" spans="1:7" x14ac:dyDescent="0.4">
      <c r="A4268" t="str">
        <f t="shared" si="330"/>
        <v/>
      </c>
      <c r="B4268" t="str">
        <f t="shared" si="331"/>
        <v/>
      </c>
      <c r="C4268" t="str">
        <f t="shared" si="332"/>
        <v/>
      </c>
      <c r="D4268" t="str">
        <f>IF(E4268="","",IF(COUNTIF($E$2:E4268,E4268)&gt;1,"",SUMIFS(tbl_input[필요수량],tbl_input[집계키_지청],E4268)))</f>
        <v/>
      </c>
      <c r="E4268" t="str">
        <f>IFERROR(INDEX(tbl_input[집계키_지청],ROW()-1),"")</f>
        <v/>
      </c>
      <c r="F4268" t="str">
        <f t="shared" si="333"/>
        <v/>
      </c>
      <c r="G4268" t="str">
        <f t="shared" si="334"/>
        <v/>
      </c>
    </row>
    <row r="4269" spans="1:7" x14ac:dyDescent="0.4">
      <c r="A4269" t="str">
        <f t="shared" si="330"/>
        <v/>
      </c>
      <c r="B4269" t="str">
        <f t="shared" si="331"/>
        <v/>
      </c>
      <c r="C4269" t="str">
        <f t="shared" si="332"/>
        <v/>
      </c>
      <c r="D4269" t="str">
        <f>IF(E4269="","",IF(COUNTIF($E$2:E4269,E4269)&gt;1,"",SUMIFS(tbl_input[필요수량],tbl_input[집계키_지청],E4269)))</f>
        <v/>
      </c>
      <c r="E4269" t="str">
        <f>IFERROR(INDEX(tbl_input[집계키_지청],ROW()-1),"")</f>
        <v/>
      </c>
      <c r="F4269" t="str">
        <f t="shared" si="333"/>
        <v/>
      </c>
      <c r="G4269" t="str">
        <f t="shared" si="334"/>
        <v/>
      </c>
    </row>
    <row r="4270" spans="1:7" x14ac:dyDescent="0.4">
      <c r="A4270" t="str">
        <f t="shared" si="330"/>
        <v/>
      </c>
      <c r="B4270" t="str">
        <f t="shared" si="331"/>
        <v/>
      </c>
      <c r="C4270" t="str">
        <f t="shared" si="332"/>
        <v/>
      </c>
      <c r="D4270" t="str">
        <f>IF(E4270="","",IF(COUNTIF($E$2:E4270,E4270)&gt;1,"",SUMIFS(tbl_input[필요수량],tbl_input[집계키_지청],E4270)))</f>
        <v/>
      </c>
      <c r="E4270" t="str">
        <f>IFERROR(INDEX(tbl_input[집계키_지청],ROW()-1),"")</f>
        <v/>
      </c>
      <c r="F4270" t="str">
        <f t="shared" si="333"/>
        <v/>
      </c>
      <c r="G4270" t="str">
        <f t="shared" si="334"/>
        <v/>
      </c>
    </row>
    <row r="4271" spans="1:7" x14ac:dyDescent="0.4">
      <c r="A4271" t="str">
        <f t="shared" si="330"/>
        <v/>
      </c>
      <c r="B4271" t="str">
        <f t="shared" si="331"/>
        <v/>
      </c>
      <c r="C4271" t="str">
        <f t="shared" si="332"/>
        <v/>
      </c>
      <c r="D4271" t="str">
        <f>IF(E4271="","",IF(COUNTIF($E$2:E4271,E4271)&gt;1,"",SUMIFS(tbl_input[필요수량],tbl_input[집계키_지청],E4271)))</f>
        <v/>
      </c>
      <c r="E4271" t="str">
        <f>IFERROR(INDEX(tbl_input[집계키_지청],ROW()-1),"")</f>
        <v/>
      </c>
      <c r="F4271" t="str">
        <f t="shared" si="333"/>
        <v/>
      </c>
      <c r="G4271" t="str">
        <f t="shared" si="334"/>
        <v/>
      </c>
    </row>
    <row r="4272" spans="1:7" x14ac:dyDescent="0.4">
      <c r="A4272" t="str">
        <f t="shared" si="330"/>
        <v/>
      </c>
      <c r="B4272" t="str">
        <f t="shared" si="331"/>
        <v/>
      </c>
      <c r="C4272" t="str">
        <f t="shared" si="332"/>
        <v/>
      </c>
      <c r="D4272" t="str">
        <f>IF(E4272="","",IF(COUNTIF($E$2:E4272,E4272)&gt;1,"",SUMIFS(tbl_input[필요수량],tbl_input[집계키_지청],E4272)))</f>
        <v/>
      </c>
      <c r="E4272" t="str">
        <f>IFERROR(INDEX(tbl_input[집계키_지청],ROW()-1),"")</f>
        <v/>
      </c>
      <c r="F4272" t="str">
        <f t="shared" si="333"/>
        <v/>
      </c>
      <c r="G4272" t="str">
        <f t="shared" si="334"/>
        <v/>
      </c>
    </row>
    <row r="4273" spans="1:7" x14ac:dyDescent="0.4">
      <c r="A4273" t="str">
        <f t="shared" si="330"/>
        <v/>
      </c>
      <c r="B4273" t="str">
        <f t="shared" si="331"/>
        <v/>
      </c>
      <c r="C4273" t="str">
        <f t="shared" si="332"/>
        <v/>
      </c>
      <c r="D4273" t="str">
        <f>IF(E4273="","",IF(COUNTIF($E$2:E4273,E4273)&gt;1,"",SUMIFS(tbl_input[필요수량],tbl_input[집계키_지청],E4273)))</f>
        <v/>
      </c>
      <c r="E4273" t="str">
        <f>IFERROR(INDEX(tbl_input[집계키_지청],ROW()-1),"")</f>
        <v/>
      </c>
      <c r="F4273" t="str">
        <f t="shared" si="333"/>
        <v/>
      </c>
      <c r="G4273" t="str">
        <f t="shared" si="334"/>
        <v/>
      </c>
    </row>
    <row r="4274" spans="1:7" x14ac:dyDescent="0.4">
      <c r="A4274" t="str">
        <f t="shared" si="330"/>
        <v/>
      </c>
      <c r="B4274" t="str">
        <f t="shared" si="331"/>
        <v/>
      </c>
      <c r="C4274" t="str">
        <f t="shared" si="332"/>
        <v/>
      </c>
      <c r="D4274" t="str">
        <f>IF(E4274="","",IF(COUNTIF($E$2:E4274,E4274)&gt;1,"",SUMIFS(tbl_input[필요수량],tbl_input[집계키_지청],E4274)))</f>
        <v/>
      </c>
      <c r="E4274" t="str">
        <f>IFERROR(INDEX(tbl_input[집계키_지청],ROW()-1),"")</f>
        <v/>
      </c>
      <c r="F4274" t="str">
        <f t="shared" si="333"/>
        <v/>
      </c>
      <c r="G4274" t="str">
        <f t="shared" si="334"/>
        <v/>
      </c>
    </row>
    <row r="4275" spans="1:7" x14ac:dyDescent="0.4">
      <c r="A4275" t="str">
        <f t="shared" si="330"/>
        <v/>
      </c>
      <c r="B4275" t="str">
        <f t="shared" si="331"/>
        <v/>
      </c>
      <c r="C4275" t="str">
        <f t="shared" si="332"/>
        <v/>
      </c>
      <c r="D4275" t="str">
        <f>IF(E4275="","",IF(COUNTIF($E$2:E4275,E4275)&gt;1,"",SUMIFS(tbl_input[필요수량],tbl_input[집계키_지청],E4275)))</f>
        <v/>
      </c>
      <c r="E4275" t="str">
        <f>IFERROR(INDEX(tbl_input[집계키_지청],ROW()-1),"")</f>
        <v/>
      </c>
      <c r="F4275" t="str">
        <f t="shared" si="333"/>
        <v/>
      </c>
      <c r="G4275" t="str">
        <f t="shared" si="334"/>
        <v/>
      </c>
    </row>
    <row r="4276" spans="1:7" x14ac:dyDescent="0.4">
      <c r="A4276" t="str">
        <f t="shared" si="330"/>
        <v/>
      </c>
      <c r="B4276" t="str">
        <f t="shared" si="331"/>
        <v/>
      </c>
      <c r="C4276" t="str">
        <f t="shared" si="332"/>
        <v/>
      </c>
      <c r="D4276" t="str">
        <f>IF(E4276="","",IF(COUNTIF($E$2:E4276,E4276)&gt;1,"",SUMIFS(tbl_input[필요수량],tbl_input[집계키_지청],E4276)))</f>
        <v/>
      </c>
      <c r="E4276" t="str">
        <f>IFERROR(INDEX(tbl_input[집계키_지청],ROW()-1),"")</f>
        <v/>
      </c>
      <c r="F4276" t="str">
        <f t="shared" si="333"/>
        <v/>
      </c>
      <c r="G4276" t="str">
        <f t="shared" si="334"/>
        <v/>
      </c>
    </row>
    <row r="4277" spans="1:7" x14ac:dyDescent="0.4">
      <c r="A4277" t="str">
        <f t="shared" si="330"/>
        <v/>
      </c>
      <c r="B4277" t="str">
        <f t="shared" si="331"/>
        <v/>
      </c>
      <c r="C4277" t="str">
        <f t="shared" si="332"/>
        <v/>
      </c>
      <c r="D4277" t="str">
        <f>IF(E4277="","",IF(COUNTIF($E$2:E4277,E4277)&gt;1,"",SUMIFS(tbl_input[필요수량],tbl_input[집계키_지청],E4277)))</f>
        <v/>
      </c>
      <c r="E4277" t="str">
        <f>IFERROR(INDEX(tbl_input[집계키_지청],ROW()-1),"")</f>
        <v/>
      </c>
      <c r="F4277" t="str">
        <f t="shared" si="333"/>
        <v/>
      </c>
      <c r="G4277" t="str">
        <f t="shared" si="334"/>
        <v/>
      </c>
    </row>
    <row r="4278" spans="1:7" x14ac:dyDescent="0.4">
      <c r="A4278" t="str">
        <f t="shared" si="330"/>
        <v/>
      </c>
      <c r="B4278" t="str">
        <f t="shared" si="331"/>
        <v/>
      </c>
      <c r="C4278" t="str">
        <f t="shared" si="332"/>
        <v/>
      </c>
      <c r="D4278" t="str">
        <f>IF(E4278="","",IF(COUNTIF($E$2:E4278,E4278)&gt;1,"",SUMIFS(tbl_input[필요수량],tbl_input[집계키_지청],E4278)))</f>
        <v/>
      </c>
      <c r="E4278" t="str">
        <f>IFERROR(INDEX(tbl_input[집계키_지청],ROW()-1),"")</f>
        <v/>
      </c>
      <c r="F4278" t="str">
        <f t="shared" si="333"/>
        <v/>
      </c>
      <c r="G4278" t="str">
        <f t="shared" si="334"/>
        <v/>
      </c>
    </row>
    <row r="4279" spans="1:7" x14ac:dyDescent="0.4">
      <c r="A4279" t="str">
        <f t="shared" si="330"/>
        <v/>
      </c>
      <c r="B4279" t="str">
        <f t="shared" si="331"/>
        <v/>
      </c>
      <c r="C4279" t="str">
        <f t="shared" si="332"/>
        <v/>
      </c>
      <c r="D4279" t="str">
        <f>IF(E4279="","",IF(COUNTIF($E$2:E4279,E4279)&gt;1,"",SUMIFS(tbl_input[필요수량],tbl_input[집계키_지청],E4279)))</f>
        <v/>
      </c>
      <c r="E4279" t="str">
        <f>IFERROR(INDEX(tbl_input[집계키_지청],ROW()-1),"")</f>
        <v/>
      </c>
      <c r="F4279" t="str">
        <f t="shared" si="333"/>
        <v/>
      </c>
      <c r="G4279" t="str">
        <f t="shared" si="334"/>
        <v/>
      </c>
    </row>
    <row r="4280" spans="1:7" x14ac:dyDescent="0.4">
      <c r="A4280" t="str">
        <f t="shared" si="330"/>
        <v/>
      </c>
      <c r="B4280" t="str">
        <f t="shared" si="331"/>
        <v/>
      </c>
      <c r="C4280" t="str">
        <f t="shared" si="332"/>
        <v/>
      </c>
      <c r="D4280" t="str">
        <f>IF(E4280="","",IF(COUNTIF($E$2:E4280,E4280)&gt;1,"",SUMIFS(tbl_input[필요수량],tbl_input[집계키_지청],E4280)))</f>
        <v/>
      </c>
      <c r="E4280" t="str">
        <f>IFERROR(INDEX(tbl_input[집계키_지청],ROW()-1),"")</f>
        <v/>
      </c>
      <c r="F4280" t="str">
        <f t="shared" si="333"/>
        <v/>
      </c>
      <c r="G4280" t="str">
        <f t="shared" si="334"/>
        <v/>
      </c>
    </row>
    <row r="4281" spans="1:7" x14ac:dyDescent="0.4">
      <c r="A4281" t="str">
        <f t="shared" si="330"/>
        <v/>
      </c>
      <c r="B4281" t="str">
        <f t="shared" si="331"/>
        <v/>
      </c>
      <c r="C4281" t="str">
        <f t="shared" si="332"/>
        <v/>
      </c>
      <c r="D4281" t="str">
        <f>IF(E4281="","",IF(COUNTIF($E$2:E4281,E4281)&gt;1,"",SUMIFS(tbl_input[필요수량],tbl_input[집계키_지청],E4281)))</f>
        <v/>
      </c>
      <c r="E4281" t="str">
        <f>IFERROR(INDEX(tbl_input[집계키_지청],ROW()-1),"")</f>
        <v/>
      </c>
      <c r="F4281" t="str">
        <f t="shared" si="333"/>
        <v/>
      </c>
      <c r="G4281" t="str">
        <f t="shared" si="334"/>
        <v/>
      </c>
    </row>
    <row r="4282" spans="1:7" x14ac:dyDescent="0.4">
      <c r="A4282" t="str">
        <f t="shared" si="330"/>
        <v/>
      </c>
      <c r="B4282" t="str">
        <f t="shared" si="331"/>
        <v/>
      </c>
      <c r="C4282" t="str">
        <f t="shared" si="332"/>
        <v/>
      </c>
      <c r="D4282" t="str">
        <f>IF(E4282="","",IF(COUNTIF($E$2:E4282,E4282)&gt;1,"",SUMIFS(tbl_input[필요수량],tbl_input[집계키_지청],E4282)))</f>
        <v/>
      </c>
      <c r="E4282" t="str">
        <f>IFERROR(INDEX(tbl_input[집계키_지청],ROW()-1),"")</f>
        <v/>
      </c>
      <c r="F4282" t="str">
        <f t="shared" si="333"/>
        <v/>
      </c>
      <c r="G4282" t="str">
        <f t="shared" si="334"/>
        <v/>
      </c>
    </row>
    <row r="4283" spans="1:7" x14ac:dyDescent="0.4">
      <c r="A4283" t="str">
        <f t="shared" si="330"/>
        <v/>
      </c>
      <c r="B4283" t="str">
        <f t="shared" si="331"/>
        <v/>
      </c>
      <c r="C4283" t="str">
        <f t="shared" si="332"/>
        <v/>
      </c>
      <c r="D4283" t="str">
        <f>IF(E4283="","",IF(COUNTIF($E$2:E4283,E4283)&gt;1,"",SUMIFS(tbl_input[필요수량],tbl_input[집계키_지청],E4283)))</f>
        <v/>
      </c>
      <c r="E4283" t="str">
        <f>IFERROR(INDEX(tbl_input[집계키_지청],ROW()-1),"")</f>
        <v/>
      </c>
      <c r="F4283" t="str">
        <f t="shared" si="333"/>
        <v/>
      </c>
      <c r="G4283" t="str">
        <f t="shared" si="334"/>
        <v/>
      </c>
    </row>
    <row r="4284" spans="1:7" x14ac:dyDescent="0.4">
      <c r="A4284" t="str">
        <f t="shared" si="330"/>
        <v/>
      </c>
      <c r="B4284" t="str">
        <f t="shared" si="331"/>
        <v/>
      </c>
      <c r="C4284" t="str">
        <f t="shared" si="332"/>
        <v/>
      </c>
      <c r="D4284" t="str">
        <f>IF(E4284="","",IF(COUNTIF($E$2:E4284,E4284)&gt;1,"",SUMIFS(tbl_input[필요수량],tbl_input[집계키_지청],E4284)))</f>
        <v/>
      </c>
      <c r="E4284" t="str">
        <f>IFERROR(INDEX(tbl_input[집계키_지청],ROW()-1),"")</f>
        <v/>
      </c>
      <c r="F4284" t="str">
        <f t="shared" si="333"/>
        <v/>
      </c>
      <c r="G4284" t="str">
        <f t="shared" si="334"/>
        <v/>
      </c>
    </row>
    <row r="4285" spans="1:7" x14ac:dyDescent="0.4">
      <c r="A4285" t="str">
        <f t="shared" si="330"/>
        <v/>
      </c>
      <c r="B4285" t="str">
        <f t="shared" si="331"/>
        <v/>
      </c>
      <c r="C4285" t="str">
        <f t="shared" si="332"/>
        <v/>
      </c>
      <c r="D4285" t="str">
        <f>IF(E4285="","",IF(COUNTIF($E$2:E4285,E4285)&gt;1,"",SUMIFS(tbl_input[필요수량],tbl_input[집계키_지청],E4285)))</f>
        <v/>
      </c>
      <c r="E4285" t="str">
        <f>IFERROR(INDEX(tbl_input[집계키_지청],ROW()-1),"")</f>
        <v/>
      </c>
      <c r="F4285" t="str">
        <f t="shared" si="333"/>
        <v/>
      </c>
      <c r="G4285" t="str">
        <f t="shared" si="334"/>
        <v/>
      </c>
    </row>
    <row r="4286" spans="1:7" x14ac:dyDescent="0.4">
      <c r="A4286" t="str">
        <f t="shared" si="330"/>
        <v/>
      </c>
      <c r="B4286" t="str">
        <f t="shared" si="331"/>
        <v/>
      </c>
      <c r="C4286" t="str">
        <f t="shared" si="332"/>
        <v/>
      </c>
      <c r="D4286" t="str">
        <f>IF(E4286="","",IF(COUNTIF($E$2:E4286,E4286)&gt;1,"",SUMIFS(tbl_input[필요수량],tbl_input[집계키_지청],E4286)))</f>
        <v/>
      </c>
      <c r="E4286" t="str">
        <f>IFERROR(INDEX(tbl_input[집계키_지청],ROW()-1),"")</f>
        <v/>
      </c>
      <c r="F4286" t="str">
        <f t="shared" si="333"/>
        <v/>
      </c>
      <c r="G4286" t="str">
        <f t="shared" si="334"/>
        <v/>
      </c>
    </row>
    <row r="4287" spans="1:7" x14ac:dyDescent="0.4">
      <c r="A4287" t="str">
        <f t="shared" si="330"/>
        <v/>
      </c>
      <c r="B4287" t="str">
        <f t="shared" si="331"/>
        <v/>
      </c>
      <c r="C4287" t="str">
        <f t="shared" si="332"/>
        <v/>
      </c>
      <c r="D4287" t="str">
        <f>IF(E4287="","",IF(COUNTIF($E$2:E4287,E4287)&gt;1,"",SUMIFS(tbl_input[필요수량],tbl_input[집계키_지청],E4287)))</f>
        <v/>
      </c>
      <c r="E4287" t="str">
        <f>IFERROR(INDEX(tbl_input[집계키_지청],ROW()-1),"")</f>
        <v/>
      </c>
      <c r="F4287" t="str">
        <f t="shared" si="333"/>
        <v/>
      </c>
      <c r="G4287" t="str">
        <f t="shared" si="334"/>
        <v/>
      </c>
    </row>
    <row r="4288" spans="1:7" x14ac:dyDescent="0.4">
      <c r="A4288" t="str">
        <f t="shared" si="330"/>
        <v/>
      </c>
      <c r="B4288" t="str">
        <f t="shared" si="331"/>
        <v/>
      </c>
      <c r="C4288" t="str">
        <f t="shared" si="332"/>
        <v/>
      </c>
      <c r="D4288" t="str">
        <f>IF(E4288="","",IF(COUNTIF($E$2:E4288,E4288)&gt;1,"",SUMIFS(tbl_input[필요수량],tbl_input[집계키_지청],E4288)))</f>
        <v/>
      </c>
      <c r="E4288" t="str">
        <f>IFERROR(INDEX(tbl_input[집계키_지청],ROW()-1),"")</f>
        <v/>
      </c>
      <c r="F4288" t="str">
        <f t="shared" si="333"/>
        <v/>
      </c>
      <c r="G4288" t="str">
        <f t="shared" si="334"/>
        <v/>
      </c>
    </row>
    <row r="4289" spans="1:7" x14ac:dyDescent="0.4">
      <c r="A4289" t="str">
        <f t="shared" si="330"/>
        <v/>
      </c>
      <c r="B4289" t="str">
        <f t="shared" si="331"/>
        <v/>
      </c>
      <c r="C4289" t="str">
        <f t="shared" si="332"/>
        <v/>
      </c>
      <c r="D4289" t="str">
        <f>IF(E4289="","",IF(COUNTIF($E$2:E4289,E4289)&gt;1,"",SUMIFS(tbl_input[필요수량],tbl_input[집계키_지청],E4289)))</f>
        <v/>
      </c>
      <c r="E4289" t="str">
        <f>IFERROR(INDEX(tbl_input[집계키_지청],ROW()-1),"")</f>
        <v/>
      </c>
      <c r="F4289" t="str">
        <f t="shared" si="333"/>
        <v/>
      </c>
      <c r="G4289" t="str">
        <f t="shared" si="334"/>
        <v/>
      </c>
    </row>
    <row r="4290" spans="1:7" x14ac:dyDescent="0.4">
      <c r="A4290" t="str">
        <f t="shared" ref="A4290:A4353" si="335">IF(E4290="","",LEFT(E4290,F4290-1))</f>
        <v/>
      </c>
      <c r="B4290" t="str">
        <f t="shared" ref="B4290:B4353" si="336">IF(E4290="","",MID(E4290,F4290+1,G4290-F4290-1))</f>
        <v/>
      </c>
      <c r="C4290" t="str">
        <f t="shared" ref="C4290:C4353" si="337">IF(E4290="","",MID(E4290,G4290+1,999))</f>
        <v/>
      </c>
      <c r="D4290" t="str">
        <f>IF(E4290="","",IF(COUNTIF($E$2:E4290,E4290)&gt;1,"",SUMIFS(tbl_input[필요수량],tbl_input[집계키_지청],E4290)))</f>
        <v/>
      </c>
      <c r="E4290" t="str">
        <f>IFERROR(INDEX(tbl_input[집계키_지청],ROW()-1),"")</f>
        <v/>
      </c>
      <c r="F4290" t="str">
        <f t="shared" ref="F4290:F4353" si="338">IF(E4290="","",FIND("♦",E4290))</f>
        <v/>
      </c>
      <c r="G4290" t="str">
        <f t="shared" ref="G4290:G4353" si="339">IF(E4290="","",FIND("♦",E4290,F4290+1))</f>
        <v/>
      </c>
    </row>
    <row r="4291" spans="1:7" x14ac:dyDescent="0.4">
      <c r="A4291" t="str">
        <f t="shared" si="335"/>
        <v/>
      </c>
      <c r="B4291" t="str">
        <f t="shared" si="336"/>
        <v/>
      </c>
      <c r="C4291" t="str">
        <f t="shared" si="337"/>
        <v/>
      </c>
      <c r="D4291" t="str">
        <f>IF(E4291="","",IF(COUNTIF($E$2:E4291,E4291)&gt;1,"",SUMIFS(tbl_input[필요수량],tbl_input[집계키_지청],E4291)))</f>
        <v/>
      </c>
      <c r="E4291" t="str">
        <f>IFERROR(INDEX(tbl_input[집계키_지청],ROW()-1),"")</f>
        <v/>
      </c>
      <c r="F4291" t="str">
        <f t="shared" si="338"/>
        <v/>
      </c>
      <c r="G4291" t="str">
        <f t="shared" si="339"/>
        <v/>
      </c>
    </row>
    <row r="4292" spans="1:7" x14ac:dyDescent="0.4">
      <c r="A4292" t="str">
        <f t="shared" si="335"/>
        <v/>
      </c>
      <c r="B4292" t="str">
        <f t="shared" si="336"/>
        <v/>
      </c>
      <c r="C4292" t="str">
        <f t="shared" si="337"/>
        <v/>
      </c>
      <c r="D4292" t="str">
        <f>IF(E4292="","",IF(COUNTIF($E$2:E4292,E4292)&gt;1,"",SUMIFS(tbl_input[필요수량],tbl_input[집계키_지청],E4292)))</f>
        <v/>
      </c>
      <c r="E4292" t="str">
        <f>IFERROR(INDEX(tbl_input[집계키_지청],ROW()-1),"")</f>
        <v/>
      </c>
      <c r="F4292" t="str">
        <f t="shared" si="338"/>
        <v/>
      </c>
      <c r="G4292" t="str">
        <f t="shared" si="339"/>
        <v/>
      </c>
    </row>
    <row r="4293" spans="1:7" x14ac:dyDescent="0.4">
      <c r="A4293" t="str">
        <f t="shared" si="335"/>
        <v/>
      </c>
      <c r="B4293" t="str">
        <f t="shared" si="336"/>
        <v/>
      </c>
      <c r="C4293" t="str">
        <f t="shared" si="337"/>
        <v/>
      </c>
      <c r="D4293" t="str">
        <f>IF(E4293="","",IF(COUNTIF($E$2:E4293,E4293)&gt;1,"",SUMIFS(tbl_input[필요수량],tbl_input[집계키_지청],E4293)))</f>
        <v/>
      </c>
      <c r="E4293" t="str">
        <f>IFERROR(INDEX(tbl_input[집계키_지청],ROW()-1),"")</f>
        <v/>
      </c>
      <c r="F4293" t="str">
        <f t="shared" si="338"/>
        <v/>
      </c>
      <c r="G4293" t="str">
        <f t="shared" si="339"/>
        <v/>
      </c>
    </row>
    <row r="4294" spans="1:7" x14ac:dyDescent="0.4">
      <c r="A4294" t="str">
        <f t="shared" si="335"/>
        <v/>
      </c>
      <c r="B4294" t="str">
        <f t="shared" si="336"/>
        <v/>
      </c>
      <c r="C4294" t="str">
        <f t="shared" si="337"/>
        <v/>
      </c>
      <c r="D4294" t="str">
        <f>IF(E4294="","",IF(COUNTIF($E$2:E4294,E4294)&gt;1,"",SUMIFS(tbl_input[필요수량],tbl_input[집계키_지청],E4294)))</f>
        <v/>
      </c>
      <c r="E4294" t="str">
        <f>IFERROR(INDEX(tbl_input[집계키_지청],ROW()-1),"")</f>
        <v/>
      </c>
      <c r="F4294" t="str">
        <f t="shared" si="338"/>
        <v/>
      </c>
      <c r="G4294" t="str">
        <f t="shared" si="339"/>
        <v/>
      </c>
    </row>
    <row r="4295" spans="1:7" x14ac:dyDescent="0.4">
      <c r="A4295" t="str">
        <f t="shared" si="335"/>
        <v/>
      </c>
      <c r="B4295" t="str">
        <f t="shared" si="336"/>
        <v/>
      </c>
      <c r="C4295" t="str">
        <f t="shared" si="337"/>
        <v/>
      </c>
      <c r="D4295" t="str">
        <f>IF(E4295="","",IF(COUNTIF($E$2:E4295,E4295)&gt;1,"",SUMIFS(tbl_input[필요수량],tbl_input[집계키_지청],E4295)))</f>
        <v/>
      </c>
      <c r="E4295" t="str">
        <f>IFERROR(INDEX(tbl_input[집계키_지청],ROW()-1),"")</f>
        <v/>
      </c>
      <c r="F4295" t="str">
        <f t="shared" si="338"/>
        <v/>
      </c>
      <c r="G4295" t="str">
        <f t="shared" si="339"/>
        <v/>
      </c>
    </row>
    <row r="4296" spans="1:7" x14ac:dyDescent="0.4">
      <c r="A4296" t="str">
        <f t="shared" si="335"/>
        <v/>
      </c>
      <c r="B4296" t="str">
        <f t="shared" si="336"/>
        <v/>
      </c>
      <c r="C4296" t="str">
        <f t="shared" si="337"/>
        <v/>
      </c>
      <c r="D4296" t="str">
        <f>IF(E4296="","",IF(COUNTIF($E$2:E4296,E4296)&gt;1,"",SUMIFS(tbl_input[필요수량],tbl_input[집계키_지청],E4296)))</f>
        <v/>
      </c>
      <c r="E4296" t="str">
        <f>IFERROR(INDEX(tbl_input[집계키_지청],ROW()-1),"")</f>
        <v/>
      </c>
      <c r="F4296" t="str">
        <f t="shared" si="338"/>
        <v/>
      </c>
      <c r="G4296" t="str">
        <f t="shared" si="339"/>
        <v/>
      </c>
    </row>
    <row r="4297" spans="1:7" x14ac:dyDescent="0.4">
      <c r="A4297" t="str">
        <f t="shared" si="335"/>
        <v/>
      </c>
      <c r="B4297" t="str">
        <f t="shared" si="336"/>
        <v/>
      </c>
      <c r="C4297" t="str">
        <f t="shared" si="337"/>
        <v/>
      </c>
      <c r="D4297" t="str">
        <f>IF(E4297="","",IF(COUNTIF($E$2:E4297,E4297)&gt;1,"",SUMIFS(tbl_input[필요수량],tbl_input[집계키_지청],E4297)))</f>
        <v/>
      </c>
      <c r="E4297" t="str">
        <f>IFERROR(INDEX(tbl_input[집계키_지청],ROW()-1),"")</f>
        <v/>
      </c>
      <c r="F4297" t="str">
        <f t="shared" si="338"/>
        <v/>
      </c>
      <c r="G4297" t="str">
        <f t="shared" si="339"/>
        <v/>
      </c>
    </row>
    <row r="4298" spans="1:7" x14ac:dyDescent="0.4">
      <c r="A4298" t="str">
        <f t="shared" si="335"/>
        <v/>
      </c>
      <c r="B4298" t="str">
        <f t="shared" si="336"/>
        <v/>
      </c>
      <c r="C4298" t="str">
        <f t="shared" si="337"/>
        <v/>
      </c>
      <c r="D4298" t="str">
        <f>IF(E4298="","",IF(COUNTIF($E$2:E4298,E4298)&gt;1,"",SUMIFS(tbl_input[필요수량],tbl_input[집계키_지청],E4298)))</f>
        <v/>
      </c>
      <c r="E4298" t="str">
        <f>IFERROR(INDEX(tbl_input[집계키_지청],ROW()-1),"")</f>
        <v/>
      </c>
      <c r="F4298" t="str">
        <f t="shared" si="338"/>
        <v/>
      </c>
      <c r="G4298" t="str">
        <f t="shared" si="339"/>
        <v/>
      </c>
    </row>
    <row r="4299" spans="1:7" x14ac:dyDescent="0.4">
      <c r="A4299" t="str">
        <f t="shared" si="335"/>
        <v/>
      </c>
      <c r="B4299" t="str">
        <f t="shared" si="336"/>
        <v/>
      </c>
      <c r="C4299" t="str">
        <f t="shared" si="337"/>
        <v/>
      </c>
      <c r="D4299" t="str">
        <f>IF(E4299="","",IF(COUNTIF($E$2:E4299,E4299)&gt;1,"",SUMIFS(tbl_input[필요수량],tbl_input[집계키_지청],E4299)))</f>
        <v/>
      </c>
      <c r="E4299" t="str">
        <f>IFERROR(INDEX(tbl_input[집계키_지청],ROW()-1),"")</f>
        <v/>
      </c>
      <c r="F4299" t="str">
        <f t="shared" si="338"/>
        <v/>
      </c>
      <c r="G4299" t="str">
        <f t="shared" si="339"/>
        <v/>
      </c>
    </row>
    <row r="4300" spans="1:7" x14ac:dyDescent="0.4">
      <c r="A4300" t="str">
        <f t="shared" si="335"/>
        <v/>
      </c>
      <c r="B4300" t="str">
        <f t="shared" si="336"/>
        <v/>
      </c>
      <c r="C4300" t="str">
        <f t="shared" si="337"/>
        <v/>
      </c>
      <c r="D4300" t="str">
        <f>IF(E4300="","",IF(COUNTIF($E$2:E4300,E4300)&gt;1,"",SUMIFS(tbl_input[필요수량],tbl_input[집계키_지청],E4300)))</f>
        <v/>
      </c>
      <c r="E4300" t="str">
        <f>IFERROR(INDEX(tbl_input[집계키_지청],ROW()-1),"")</f>
        <v/>
      </c>
      <c r="F4300" t="str">
        <f t="shared" si="338"/>
        <v/>
      </c>
      <c r="G4300" t="str">
        <f t="shared" si="339"/>
        <v/>
      </c>
    </row>
    <row r="4301" spans="1:7" x14ac:dyDescent="0.4">
      <c r="A4301" t="str">
        <f t="shared" si="335"/>
        <v/>
      </c>
      <c r="B4301" t="str">
        <f t="shared" si="336"/>
        <v/>
      </c>
      <c r="C4301" t="str">
        <f t="shared" si="337"/>
        <v/>
      </c>
      <c r="D4301" t="str">
        <f>IF(E4301="","",IF(COUNTIF($E$2:E4301,E4301)&gt;1,"",SUMIFS(tbl_input[필요수량],tbl_input[집계키_지청],E4301)))</f>
        <v/>
      </c>
      <c r="E4301" t="str">
        <f>IFERROR(INDEX(tbl_input[집계키_지청],ROW()-1),"")</f>
        <v/>
      </c>
      <c r="F4301" t="str">
        <f t="shared" si="338"/>
        <v/>
      </c>
      <c r="G4301" t="str">
        <f t="shared" si="339"/>
        <v/>
      </c>
    </row>
    <row r="4302" spans="1:7" x14ac:dyDescent="0.4">
      <c r="A4302" t="str">
        <f t="shared" si="335"/>
        <v/>
      </c>
      <c r="B4302" t="str">
        <f t="shared" si="336"/>
        <v/>
      </c>
      <c r="C4302" t="str">
        <f t="shared" si="337"/>
        <v/>
      </c>
      <c r="D4302" t="str">
        <f>IF(E4302="","",IF(COUNTIF($E$2:E4302,E4302)&gt;1,"",SUMIFS(tbl_input[필요수량],tbl_input[집계키_지청],E4302)))</f>
        <v/>
      </c>
      <c r="E4302" t="str">
        <f>IFERROR(INDEX(tbl_input[집계키_지청],ROW()-1),"")</f>
        <v/>
      </c>
      <c r="F4302" t="str">
        <f t="shared" si="338"/>
        <v/>
      </c>
      <c r="G4302" t="str">
        <f t="shared" si="339"/>
        <v/>
      </c>
    </row>
    <row r="4303" spans="1:7" x14ac:dyDescent="0.4">
      <c r="A4303" t="str">
        <f t="shared" si="335"/>
        <v/>
      </c>
      <c r="B4303" t="str">
        <f t="shared" si="336"/>
        <v/>
      </c>
      <c r="C4303" t="str">
        <f t="shared" si="337"/>
        <v/>
      </c>
      <c r="D4303" t="str">
        <f>IF(E4303="","",IF(COUNTIF($E$2:E4303,E4303)&gt;1,"",SUMIFS(tbl_input[필요수량],tbl_input[집계키_지청],E4303)))</f>
        <v/>
      </c>
      <c r="E4303" t="str">
        <f>IFERROR(INDEX(tbl_input[집계키_지청],ROW()-1),"")</f>
        <v/>
      </c>
      <c r="F4303" t="str">
        <f t="shared" si="338"/>
        <v/>
      </c>
      <c r="G4303" t="str">
        <f t="shared" si="339"/>
        <v/>
      </c>
    </row>
    <row r="4304" spans="1:7" x14ac:dyDescent="0.4">
      <c r="A4304" t="str">
        <f t="shared" si="335"/>
        <v/>
      </c>
      <c r="B4304" t="str">
        <f t="shared" si="336"/>
        <v/>
      </c>
      <c r="C4304" t="str">
        <f t="shared" si="337"/>
        <v/>
      </c>
      <c r="D4304" t="str">
        <f>IF(E4304="","",IF(COUNTIF($E$2:E4304,E4304)&gt;1,"",SUMIFS(tbl_input[필요수량],tbl_input[집계키_지청],E4304)))</f>
        <v/>
      </c>
      <c r="E4304" t="str">
        <f>IFERROR(INDEX(tbl_input[집계키_지청],ROW()-1),"")</f>
        <v/>
      </c>
      <c r="F4304" t="str">
        <f t="shared" si="338"/>
        <v/>
      </c>
      <c r="G4304" t="str">
        <f t="shared" si="339"/>
        <v/>
      </c>
    </row>
    <row r="4305" spans="1:7" x14ac:dyDescent="0.4">
      <c r="A4305" t="str">
        <f t="shared" si="335"/>
        <v/>
      </c>
      <c r="B4305" t="str">
        <f t="shared" si="336"/>
        <v/>
      </c>
      <c r="C4305" t="str">
        <f t="shared" si="337"/>
        <v/>
      </c>
      <c r="D4305" t="str">
        <f>IF(E4305="","",IF(COUNTIF($E$2:E4305,E4305)&gt;1,"",SUMIFS(tbl_input[필요수량],tbl_input[집계키_지청],E4305)))</f>
        <v/>
      </c>
      <c r="E4305" t="str">
        <f>IFERROR(INDEX(tbl_input[집계키_지청],ROW()-1),"")</f>
        <v/>
      </c>
      <c r="F4305" t="str">
        <f t="shared" si="338"/>
        <v/>
      </c>
      <c r="G4305" t="str">
        <f t="shared" si="339"/>
        <v/>
      </c>
    </row>
    <row r="4306" spans="1:7" x14ac:dyDescent="0.4">
      <c r="A4306" t="str">
        <f t="shared" si="335"/>
        <v/>
      </c>
      <c r="B4306" t="str">
        <f t="shared" si="336"/>
        <v/>
      </c>
      <c r="C4306" t="str">
        <f t="shared" si="337"/>
        <v/>
      </c>
      <c r="D4306" t="str">
        <f>IF(E4306="","",IF(COUNTIF($E$2:E4306,E4306)&gt;1,"",SUMIFS(tbl_input[필요수량],tbl_input[집계키_지청],E4306)))</f>
        <v/>
      </c>
      <c r="E4306" t="str">
        <f>IFERROR(INDEX(tbl_input[집계키_지청],ROW()-1),"")</f>
        <v/>
      </c>
      <c r="F4306" t="str">
        <f t="shared" si="338"/>
        <v/>
      </c>
      <c r="G4306" t="str">
        <f t="shared" si="339"/>
        <v/>
      </c>
    </row>
    <row r="4307" spans="1:7" x14ac:dyDescent="0.4">
      <c r="A4307" t="str">
        <f t="shared" si="335"/>
        <v/>
      </c>
      <c r="B4307" t="str">
        <f t="shared" si="336"/>
        <v/>
      </c>
      <c r="C4307" t="str">
        <f t="shared" si="337"/>
        <v/>
      </c>
      <c r="D4307" t="str">
        <f>IF(E4307="","",IF(COUNTIF($E$2:E4307,E4307)&gt;1,"",SUMIFS(tbl_input[필요수량],tbl_input[집계키_지청],E4307)))</f>
        <v/>
      </c>
      <c r="E4307" t="str">
        <f>IFERROR(INDEX(tbl_input[집계키_지청],ROW()-1),"")</f>
        <v/>
      </c>
      <c r="F4307" t="str">
        <f t="shared" si="338"/>
        <v/>
      </c>
      <c r="G4307" t="str">
        <f t="shared" si="339"/>
        <v/>
      </c>
    </row>
    <row r="4308" spans="1:7" x14ac:dyDescent="0.4">
      <c r="A4308" t="str">
        <f t="shared" si="335"/>
        <v/>
      </c>
      <c r="B4308" t="str">
        <f t="shared" si="336"/>
        <v/>
      </c>
      <c r="C4308" t="str">
        <f t="shared" si="337"/>
        <v/>
      </c>
      <c r="D4308" t="str">
        <f>IF(E4308="","",IF(COUNTIF($E$2:E4308,E4308)&gt;1,"",SUMIFS(tbl_input[필요수량],tbl_input[집계키_지청],E4308)))</f>
        <v/>
      </c>
      <c r="E4308" t="str">
        <f>IFERROR(INDEX(tbl_input[집계키_지청],ROW()-1),"")</f>
        <v/>
      </c>
      <c r="F4308" t="str">
        <f t="shared" si="338"/>
        <v/>
      </c>
      <c r="G4308" t="str">
        <f t="shared" si="339"/>
        <v/>
      </c>
    </row>
    <row r="4309" spans="1:7" x14ac:dyDescent="0.4">
      <c r="A4309" t="str">
        <f t="shared" si="335"/>
        <v/>
      </c>
      <c r="B4309" t="str">
        <f t="shared" si="336"/>
        <v/>
      </c>
      <c r="C4309" t="str">
        <f t="shared" si="337"/>
        <v/>
      </c>
      <c r="D4309" t="str">
        <f>IF(E4309="","",IF(COUNTIF($E$2:E4309,E4309)&gt;1,"",SUMIFS(tbl_input[필요수량],tbl_input[집계키_지청],E4309)))</f>
        <v/>
      </c>
      <c r="E4309" t="str">
        <f>IFERROR(INDEX(tbl_input[집계키_지청],ROW()-1),"")</f>
        <v/>
      </c>
      <c r="F4309" t="str">
        <f t="shared" si="338"/>
        <v/>
      </c>
      <c r="G4309" t="str">
        <f t="shared" si="339"/>
        <v/>
      </c>
    </row>
    <row r="4310" spans="1:7" x14ac:dyDescent="0.4">
      <c r="A4310" t="str">
        <f t="shared" si="335"/>
        <v/>
      </c>
      <c r="B4310" t="str">
        <f t="shared" si="336"/>
        <v/>
      </c>
      <c r="C4310" t="str">
        <f t="shared" si="337"/>
        <v/>
      </c>
      <c r="D4310" t="str">
        <f>IF(E4310="","",IF(COUNTIF($E$2:E4310,E4310)&gt;1,"",SUMIFS(tbl_input[필요수량],tbl_input[집계키_지청],E4310)))</f>
        <v/>
      </c>
      <c r="E4310" t="str">
        <f>IFERROR(INDEX(tbl_input[집계키_지청],ROW()-1),"")</f>
        <v/>
      </c>
      <c r="F4310" t="str">
        <f t="shared" si="338"/>
        <v/>
      </c>
      <c r="G4310" t="str">
        <f t="shared" si="339"/>
        <v/>
      </c>
    </row>
    <row r="4311" spans="1:7" x14ac:dyDescent="0.4">
      <c r="A4311" t="str">
        <f t="shared" si="335"/>
        <v/>
      </c>
      <c r="B4311" t="str">
        <f t="shared" si="336"/>
        <v/>
      </c>
      <c r="C4311" t="str">
        <f t="shared" si="337"/>
        <v/>
      </c>
      <c r="D4311" t="str">
        <f>IF(E4311="","",IF(COUNTIF($E$2:E4311,E4311)&gt;1,"",SUMIFS(tbl_input[필요수량],tbl_input[집계키_지청],E4311)))</f>
        <v/>
      </c>
      <c r="E4311" t="str">
        <f>IFERROR(INDEX(tbl_input[집계키_지청],ROW()-1),"")</f>
        <v/>
      </c>
      <c r="F4311" t="str">
        <f t="shared" si="338"/>
        <v/>
      </c>
      <c r="G4311" t="str">
        <f t="shared" si="339"/>
        <v/>
      </c>
    </row>
    <row r="4312" spans="1:7" x14ac:dyDescent="0.4">
      <c r="A4312" t="str">
        <f t="shared" si="335"/>
        <v/>
      </c>
      <c r="B4312" t="str">
        <f t="shared" si="336"/>
        <v/>
      </c>
      <c r="C4312" t="str">
        <f t="shared" si="337"/>
        <v/>
      </c>
      <c r="D4312" t="str">
        <f>IF(E4312="","",IF(COUNTIF($E$2:E4312,E4312)&gt;1,"",SUMIFS(tbl_input[필요수량],tbl_input[집계키_지청],E4312)))</f>
        <v/>
      </c>
      <c r="E4312" t="str">
        <f>IFERROR(INDEX(tbl_input[집계키_지청],ROW()-1),"")</f>
        <v/>
      </c>
      <c r="F4312" t="str">
        <f t="shared" si="338"/>
        <v/>
      </c>
      <c r="G4312" t="str">
        <f t="shared" si="339"/>
        <v/>
      </c>
    </row>
    <row r="4313" spans="1:7" x14ac:dyDescent="0.4">
      <c r="A4313" t="str">
        <f t="shared" si="335"/>
        <v/>
      </c>
      <c r="B4313" t="str">
        <f t="shared" si="336"/>
        <v/>
      </c>
      <c r="C4313" t="str">
        <f t="shared" si="337"/>
        <v/>
      </c>
      <c r="D4313" t="str">
        <f>IF(E4313="","",IF(COUNTIF($E$2:E4313,E4313)&gt;1,"",SUMIFS(tbl_input[필요수량],tbl_input[집계키_지청],E4313)))</f>
        <v/>
      </c>
      <c r="E4313" t="str">
        <f>IFERROR(INDEX(tbl_input[집계키_지청],ROW()-1),"")</f>
        <v/>
      </c>
      <c r="F4313" t="str">
        <f t="shared" si="338"/>
        <v/>
      </c>
      <c r="G4313" t="str">
        <f t="shared" si="339"/>
        <v/>
      </c>
    </row>
    <row r="4314" spans="1:7" x14ac:dyDescent="0.4">
      <c r="A4314" t="str">
        <f t="shared" si="335"/>
        <v/>
      </c>
      <c r="B4314" t="str">
        <f t="shared" si="336"/>
        <v/>
      </c>
      <c r="C4314" t="str">
        <f t="shared" si="337"/>
        <v/>
      </c>
      <c r="D4314" t="str">
        <f>IF(E4314="","",IF(COUNTIF($E$2:E4314,E4314)&gt;1,"",SUMIFS(tbl_input[필요수량],tbl_input[집계키_지청],E4314)))</f>
        <v/>
      </c>
      <c r="E4314" t="str">
        <f>IFERROR(INDEX(tbl_input[집계키_지청],ROW()-1),"")</f>
        <v/>
      </c>
      <c r="F4314" t="str">
        <f t="shared" si="338"/>
        <v/>
      </c>
      <c r="G4314" t="str">
        <f t="shared" si="339"/>
        <v/>
      </c>
    </row>
    <row r="4315" spans="1:7" x14ac:dyDescent="0.4">
      <c r="A4315" t="str">
        <f t="shared" si="335"/>
        <v/>
      </c>
      <c r="B4315" t="str">
        <f t="shared" si="336"/>
        <v/>
      </c>
      <c r="C4315" t="str">
        <f t="shared" si="337"/>
        <v/>
      </c>
      <c r="D4315" t="str">
        <f>IF(E4315="","",IF(COUNTIF($E$2:E4315,E4315)&gt;1,"",SUMIFS(tbl_input[필요수량],tbl_input[집계키_지청],E4315)))</f>
        <v/>
      </c>
      <c r="E4315" t="str">
        <f>IFERROR(INDEX(tbl_input[집계키_지청],ROW()-1),"")</f>
        <v/>
      </c>
      <c r="F4315" t="str">
        <f t="shared" si="338"/>
        <v/>
      </c>
      <c r="G4315" t="str">
        <f t="shared" si="339"/>
        <v/>
      </c>
    </row>
    <row r="4316" spans="1:7" x14ac:dyDescent="0.4">
      <c r="A4316" t="str">
        <f t="shared" si="335"/>
        <v/>
      </c>
      <c r="B4316" t="str">
        <f t="shared" si="336"/>
        <v/>
      </c>
      <c r="C4316" t="str">
        <f t="shared" si="337"/>
        <v/>
      </c>
      <c r="D4316" t="str">
        <f>IF(E4316="","",IF(COUNTIF($E$2:E4316,E4316)&gt;1,"",SUMIFS(tbl_input[필요수량],tbl_input[집계키_지청],E4316)))</f>
        <v/>
      </c>
      <c r="E4316" t="str">
        <f>IFERROR(INDEX(tbl_input[집계키_지청],ROW()-1),"")</f>
        <v/>
      </c>
      <c r="F4316" t="str">
        <f t="shared" si="338"/>
        <v/>
      </c>
      <c r="G4316" t="str">
        <f t="shared" si="339"/>
        <v/>
      </c>
    </row>
    <row r="4317" spans="1:7" x14ac:dyDescent="0.4">
      <c r="A4317" t="str">
        <f t="shared" si="335"/>
        <v/>
      </c>
      <c r="B4317" t="str">
        <f t="shared" si="336"/>
        <v/>
      </c>
      <c r="C4317" t="str">
        <f t="shared" si="337"/>
        <v/>
      </c>
      <c r="D4317" t="str">
        <f>IF(E4317="","",IF(COUNTIF($E$2:E4317,E4317)&gt;1,"",SUMIFS(tbl_input[필요수량],tbl_input[집계키_지청],E4317)))</f>
        <v/>
      </c>
      <c r="E4317" t="str">
        <f>IFERROR(INDEX(tbl_input[집계키_지청],ROW()-1),"")</f>
        <v/>
      </c>
      <c r="F4317" t="str">
        <f t="shared" si="338"/>
        <v/>
      </c>
      <c r="G4317" t="str">
        <f t="shared" si="339"/>
        <v/>
      </c>
    </row>
    <row r="4318" spans="1:7" x14ac:dyDescent="0.4">
      <c r="A4318" t="str">
        <f t="shared" si="335"/>
        <v/>
      </c>
      <c r="B4318" t="str">
        <f t="shared" si="336"/>
        <v/>
      </c>
      <c r="C4318" t="str">
        <f t="shared" si="337"/>
        <v/>
      </c>
      <c r="D4318" t="str">
        <f>IF(E4318="","",IF(COUNTIF($E$2:E4318,E4318)&gt;1,"",SUMIFS(tbl_input[필요수량],tbl_input[집계키_지청],E4318)))</f>
        <v/>
      </c>
      <c r="E4318" t="str">
        <f>IFERROR(INDEX(tbl_input[집계키_지청],ROW()-1),"")</f>
        <v/>
      </c>
      <c r="F4318" t="str">
        <f t="shared" si="338"/>
        <v/>
      </c>
      <c r="G4318" t="str">
        <f t="shared" si="339"/>
        <v/>
      </c>
    </row>
    <row r="4319" spans="1:7" x14ac:dyDescent="0.4">
      <c r="A4319" t="str">
        <f t="shared" si="335"/>
        <v/>
      </c>
      <c r="B4319" t="str">
        <f t="shared" si="336"/>
        <v/>
      </c>
      <c r="C4319" t="str">
        <f t="shared" si="337"/>
        <v/>
      </c>
      <c r="D4319" t="str">
        <f>IF(E4319="","",IF(COUNTIF($E$2:E4319,E4319)&gt;1,"",SUMIFS(tbl_input[필요수량],tbl_input[집계키_지청],E4319)))</f>
        <v/>
      </c>
      <c r="E4319" t="str">
        <f>IFERROR(INDEX(tbl_input[집계키_지청],ROW()-1),"")</f>
        <v/>
      </c>
      <c r="F4319" t="str">
        <f t="shared" si="338"/>
        <v/>
      </c>
      <c r="G4319" t="str">
        <f t="shared" si="339"/>
        <v/>
      </c>
    </row>
    <row r="4320" spans="1:7" x14ac:dyDescent="0.4">
      <c r="A4320" t="str">
        <f t="shared" si="335"/>
        <v/>
      </c>
      <c r="B4320" t="str">
        <f t="shared" si="336"/>
        <v/>
      </c>
      <c r="C4320" t="str">
        <f t="shared" si="337"/>
        <v/>
      </c>
      <c r="D4320" t="str">
        <f>IF(E4320="","",IF(COUNTIF($E$2:E4320,E4320)&gt;1,"",SUMIFS(tbl_input[필요수량],tbl_input[집계키_지청],E4320)))</f>
        <v/>
      </c>
      <c r="E4320" t="str">
        <f>IFERROR(INDEX(tbl_input[집계키_지청],ROW()-1),"")</f>
        <v/>
      </c>
      <c r="F4320" t="str">
        <f t="shared" si="338"/>
        <v/>
      </c>
      <c r="G4320" t="str">
        <f t="shared" si="339"/>
        <v/>
      </c>
    </row>
    <row r="4321" spans="1:7" x14ac:dyDescent="0.4">
      <c r="A4321" t="str">
        <f t="shared" si="335"/>
        <v/>
      </c>
      <c r="B4321" t="str">
        <f t="shared" si="336"/>
        <v/>
      </c>
      <c r="C4321" t="str">
        <f t="shared" si="337"/>
        <v/>
      </c>
      <c r="D4321" t="str">
        <f>IF(E4321="","",IF(COUNTIF($E$2:E4321,E4321)&gt;1,"",SUMIFS(tbl_input[필요수량],tbl_input[집계키_지청],E4321)))</f>
        <v/>
      </c>
      <c r="E4321" t="str">
        <f>IFERROR(INDEX(tbl_input[집계키_지청],ROW()-1),"")</f>
        <v/>
      </c>
      <c r="F4321" t="str">
        <f t="shared" si="338"/>
        <v/>
      </c>
      <c r="G4321" t="str">
        <f t="shared" si="339"/>
        <v/>
      </c>
    </row>
    <row r="4322" spans="1:7" x14ac:dyDescent="0.4">
      <c r="A4322" t="str">
        <f t="shared" si="335"/>
        <v/>
      </c>
      <c r="B4322" t="str">
        <f t="shared" si="336"/>
        <v/>
      </c>
      <c r="C4322" t="str">
        <f t="shared" si="337"/>
        <v/>
      </c>
      <c r="D4322" t="str">
        <f>IF(E4322="","",IF(COUNTIF($E$2:E4322,E4322)&gt;1,"",SUMIFS(tbl_input[필요수량],tbl_input[집계키_지청],E4322)))</f>
        <v/>
      </c>
      <c r="E4322" t="str">
        <f>IFERROR(INDEX(tbl_input[집계키_지청],ROW()-1),"")</f>
        <v/>
      </c>
      <c r="F4322" t="str">
        <f t="shared" si="338"/>
        <v/>
      </c>
      <c r="G4322" t="str">
        <f t="shared" si="339"/>
        <v/>
      </c>
    </row>
    <row r="4323" spans="1:7" x14ac:dyDescent="0.4">
      <c r="A4323" t="str">
        <f t="shared" si="335"/>
        <v/>
      </c>
      <c r="B4323" t="str">
        <f t="shared" si="336"/>
        <v/>
      </c>
      <c r="C4323" t="str">
        <f t="shared" si="337"/>
        <v/>
      </c>
      <c r="D4323" t="str">
        <f>IF(E4323="","",IF(COUNTIF($E$2:E4323,E4323)&gt;1,"",SUMIFS(tbl_input[필요수량],tbl_input[집계키_지청],E4323)))</f>
        <v/>
      </c>
      <c r="E4323" t="str">
        <f>IFERROR(INDEX(tbl_input[집계키_지청],ROW()-1),"")</f>
        <v/>
      </c>
      <c r="F4323" t="str">
        <f t="shared" si="338"/>
        <v/>
      </c>
      <c r="G4323" t="str">
        <f t="shared" si="339"/>
        <v/>
      </c>
    </row>
    <row r="4324" spans="1:7" x14ac:dyDescent="0.4">
      <c r="A4324" t="str">
        <f t="shared" si="335"/>
        <v/>
      </c>
      <c r="B4324" t="str">
        <f t="shared" si="336"/>
        <v/>
      </c>
      <c r="C4324" t="str">
        <f t="shared" si="337"/>
        <v/>
      </c>
      <c r="D4324" t="str">
        <f>IF(E4324="","",IF(COUNTIF($E$2:E4324,E4324)&gt;1,"",SUMIFS(tbl_input[필요수량],tbl_input[집계키_지청],E4324)))</f>
        <v/>
      </c>
      <c r="E4324" t="str">
        <f>IFERROR(INDEX(tbl_input[집계키_지청],ROW()-1),"")</f>
        <v/>
      </c>
      <c r="F4324" t="str">
        <f t="shared" si="338"/>
        <v/>
      </c>
      <c r="G4324" t="str">
        <f t="shared" si="339"/>
        <v/>
      </c>
    </row>
    <row r="4325" spans="1:7" x14ac:dyDescent="0.4">
      <c r="A4325" t="str">
        <f t="shared" si="335"/>
        <v/>
      </c>
      <c r="B4325" t="str">
        <f t="shared" si="336"/>
        <v/>
      </c>
      <c r="C4325" t="str">
        <f t="shared" si="337"/>
        <v/>
      </c>
      <c r="D4325" t="str">
        <f>IF(E4325="","",IF(COUNTIF($E$2:E4325,E4325)&gt;1,"",SUMIFS(tbl_input[필요수량],tbl_input[집계키_지청],E4325)))</f>
        <v/>
      </c>
      <c r="E4325" t="str">
        <f>IFERROR(INDEX(tbl_input[집계키_지청],ROW()-1),"")</f>
        <v/>
      </c>
      <c r="F4325" t="str">
        <f t="shared" si="338"/>
        <v/>
      </c>
      <c r="G4325" t="str">
        <f t="shared" si="339"/>
        <v/>
      </c>
    </row>
    <row r="4326" spans="1:7" x14ac:dyDescent="0.4">
      <c r="A4326" t="str">
        <f t="shared" si="335"/>
        <v/>
      </c>
      <c r="B4326" t="str">
        <f t="shared" si="336"/>
        <v/>
      </c>
      <c r="C4326" t="str">
        <f t="shared" si="337"/>
        <v/>
      </c>
      <c r="D4326" t="str">
        <f>IF(E4326="","",IF(COUNTIF($E$2:E4326,E4326)&gt;1,"",SUMIFS(tbl_input[필요수량],tbl_input[집계키_지청],E4326)))</f>
        <v/>
      </c>
      <c r="E4326" t="str">
        <f>IFERROR(INDEX(tbl_input[집계키_지청],ROW()-1),"")</f>
        <v/>
      </c>
      <c r="F4326" t="str">
        <f t="shared" si="338"/>
        <v/>
      </c>
      <c r="G4326" t="str">
        <f t="shared" si="339"/>
        <v/>
      </c>
    </row>
    <row r="4327" spans="1:7" x14ac:dyDescent="0.4">
      <c r="A4327" t="str">
        <f t="shared" si="335"/>
        <v/>
      </c>
      <c r="B4327" t="str">
        <f t="shared" si="336"/>
        <v/>
      </c>
      <c r="C4327" t="str">
        <f t="shared" si="337"/>
        <v/>
      </c>
      <c r="D4327" t="str">
        <f>IF(E4327="","",IF(COUNTIF($E$2:E4327,E4327)&gt;1,"",SUMIFS(tbl_input[필요수량],tbl_input[집계키_지청],E4327)))</f>
        <v/>
      </c>
      <c r="E4327" t="str">
        <f>IFERROR(INDEX(tbl_input[집계키_지청],ROW()-1),"")</f>
        <v/>
      </c>
      <c r="F4327" t="str">
        <f t="shared" si="338"/>
        <v/>
      </c>
      <c r="G4327" t="str">
        <f t="shared" si="339"/>
        <v/>
      </c>
    </row>
    <row r="4328" spans="1:7" x14ac:dyDescent="0.4">
      <c r="A4328" t="str">
        <f t="shared" si="335"/>
        <v/>
      </c>
      <c r="B4328" t="str">
        <f t="shared" si="336"/>
        <v/>
      </c>
      <c r="C4328" t="str">
        <f t="shared" si="337"/>
        <v/>
      </c>
      <c r="D4328" t="str">
        <f>IF(E4328="","",IF(COUNTIF($E$2:E4328,E4328)&gt;1,"",SUMIFS(tbl_input[필요수량],tbl_input[집계키_지청],E4328)))</f>
        <v/>
      </c>
      <c r="E4328" t="str">
        <f>IFERROR(INDEX(tbl_input[집계키_지청],ROW()-1),"")</f>
        <v/>
      </c>
      <c r="F4328" t="str">
        <f t="shared" si="338"/>
        <v/>
      </c>
      <c r="G4328" t="str">
        <f t="shared" si="339"/>
        <v/>
      </c>
    </row>
    <row r="4329" spans="1:7" x14ac:dyDescent="0.4">
      <c r="A4329" t="str">
        <f t="shared" si="335"/>
        <v/>
      </c>
      <c r="B4329" t="str">
        <f t="shared" si="336"/>
        <v/>
      </c>
      <c r="C4329" t="str">
        <f t="shared" si="337"/>
        <v/>
      </c>
      <c r="D4329" t="str">
        <f>IF(E4329="","",IF(COUNTIF($E$2:E4329,E4329)&gt;1,"",SUMIFS(tbl_input[필요수량],tbl_input[집계키_지청],E4329)))</f>
        <v/>
      </c>
      <c r="E4329" t="str">
        <f>IFERROR(INDEX(tbl_input[집계키_지청],ROW()-1),"")</f>
        <v/>
      </c>
      <c r="F4329" t="str">
        <f t="shared" si="338"/>
        <v/>
      </c>
      <c r="G4329" t="str">
        <f t="shared" si="339"/>
        <v/>
      </c>
    </row>
    <row r="4330" spans="1:7" x14ac:dyDescent="0.4">
      <c r="A4330" t="str">
        <f t="shared" si="335"/>
        <v/>
      </c>
      <c r="B4330" t="str">
        <f t="shared" si="336"/>
        <v/>
      </c>
      <c r="C4330" t="str">
        <f t="shared" si="337"/>
        <v/>
      </c>
      <c r="D4330" t="str">
        <f>IF(E4330="","",IF(COUNTIF($E$2:E4330,E4330)&gt;1,"",SUMIFS(tbl_input[필요수량],tbl_input[집계키_지청],E4330)))</f>
        <v/>
      </c>
      <c r="E4330" t="str">
        <f>IFERROR(INDEX(tbl_input[집계키_지청],ROW()-1),"")</f>
        <v/>
      </c>
      <c r="F4330" t="str">
        <f t="shared" si="338"/>
        <v/>
      </c>
      <c r="G4330" t="str">
        <f t="shared" si="339"/>
        <v/>
      </c>
    </row>
    <row r="4331" spans="1:7" x14ac:dyDescent="0.4">
      <c r="A4331" t="str">
        <f t="shared" si="335"/>
        <v/>
      </c>
      <c r="B4331" t="str">
        <f t="shared" si="336"/>
        <v/>
      </c>
      <c r="C4331" t="str">
        <f t="shared" si="337"/>
        <v/>
      </c>
      <c r="D4331" t="str">
        <f>IF(E4331="","",IF(COUNTIF($E$2:E4331,E4331)&gt;1,"",SUMIFS(tbl_input[필요수량],tbl_input[집계키_지청],E4331)))</f>
        <v/>
      </c>
      <c r="E4331" t="str">
        <f>IFERROR(INDEX(tbl_input[집계키_지청],ROW()-1),"")</f>
        <v/>
      </c>
      <c r="F4331" t="str">
        <f t="shared" si="338"/>
        <v/>
      </c>
      <c r="G4331" t="str">
        <f t="shared" si="339"/>
        <v/>
      </c>
    </row>
    <row r="4332" spans="1:7" x14ac:dyDescent="0.4">
      <c r="A4332" t="str">
        <f t="shared" si="335"/>
        <v/>
      </c>
      <c r="B4332" t="str">
        <f t="shared" si="336"/>
        <v/>
      </c>
      <c r="C4332" t="str">
        <f t="shared" si="337"/>
        <v/>
      </c>
      <c r="D4332" t="str">
        <f>IF(E4332="","",IF(COUNTIF($E$2:E4332,E4332)&gt;1,"",SUMIFS(tbl_input[필요수량],tbl_input[집계키_지청],E4332)))</f>
        <v/>
      </c>
      <c r="E4332" t="str">
        <f>IFERROR(INDEX(tbl_input[집계키_지청],ROW()-1),"")</f>
        <v/>
      </c>
      <c r="F4332" t="str">
        <f t="shared" si="338"/>
        <v/>
      </c>
      <c r="G4332" t="str">
        <f t="shared" si="339"/>
        <v/>
      </c>
    </row>
    <row r="4333" spans="1:7" x14ac:dyDescent="0.4">
      <c r="A4333" t="str">
        <f t="shared" si="335"/>
        <v/>
      </c>
      <c r="B4333" t="str">
        <f t="shared" si="336"/>
        <v/>
      </c>
      <c r="C4333" t="str">
        <f t="shared" si="337"/>
        <v/>
      </c>
      <c r="D4333" t="str">
        <f>IF(E4333="","",IF(COUNTIF($E$2:E4333,E4333)&gt;1,"",SUMIFS(tbl_input[필요수량],tbl_input[집계키_지청],E4333)))</f>
        <v/>
      </c>
      <c r="E4333" t="str">
        <f>IFERROR(INDEX(tbl_input[집계키_지청],ROW()-1),"")</f>
        <v/>
      </c>
      <c r="F4333" t="str">
        <f t="shared" si="338"/>
        <v/>
      </c>
      <c r="G4333" t="str">
        <f t="shared" si="339"/>
        <v/>
      </c>
    </row>
    <row r="4334" spans="1:7" x14ac:dyDescent="0.4">
      <c r="A4334" t="str">
        <f t="shared" si="335"/>
        <v/>
      </c>
      <c r="B4334" t="str">
        <f t="shared" si="336"/>
        <v/>
      </c>
      <c r="C4334" t="str">
        <f t="shared" si="337"/>
        <v/>
      </c>
      <c r="D4334" t="str">
        <f>IF(E4334="","",IF(COUNTIF($E$2:E4334,E4334)&gt;1,"",SUMIFS(tbl_input[필요수량],tbl_input[집계키_지청],E4334)))</f>
        <v/>
      </c>
      <c r="E4334" t="str">
        <f>IFERROR(INDEX(tbl_input[집계키_지청],ROW()-1),"")</f>
        <v/>
      </c>
      <c r="F4334" t="str">
        <f t="shared" si="338"/>
        <v/>
      </c>
      <c r="G4334" t="str">
        <f t="shared" si="339"/>
        <v/>
      </c>
    </row>
    <row r="4335" spans="1:7" x14ac:dyDescent="0.4">
      <c r="A4335" t="str">
        <f t="shared" si="335"/>
        <v/>
      </c>
      <c r="B4335" t="str">
        <f t="shared" si="336"/>
        <v/>
      </c>
      <c r="C4335" t="str">
        <f t="shared" si="337"/>
        <v/>
      </c>
      <c r="D4335" t="str">
        <f>IF(E4335="","",IF(COUNTIF($E$2:E4335,E4335)&gt;1,"",SUMIFS(tbl_input[필요수량],tbl_input[집계키_지청],E4335)))</f>
        <v/>
      </c>
      <c r="E4335" t="str">
        <f>IFERROR(INDEX(tbl_input[집계키_지청],ROW()-1),"")</f>
        <v/>
      </c>
      <c r="F4335" t="str">
        <f t="shared" si="338"/>
        <v/>
      </c>
      <c r="G4335" t="str">
        <f t="shared" si="339"/>
        <v/>
      </c>
    </row>
    <row r="4336" spans="1:7" x14ac:dyDescent="0.4">
      <c r="A4336" t="str">
        <f t="shared" si="335"/>
        <v/>
      </c>
      <c r="B4336" t="str">
        <f t="shared" si="336"/>
        <v/>
      </c>
      <c r="C4336" t="str">
        <f t="shared" si="337"/>
        <v/>
      </c>
      <c r="D4336" t="str">
        <f>IF(E4336="","",IF(COUNTIF($E$2:E4336,E4336)&gt;1,"",SUMIFS(tbl_input[필요수량],tbl_input[집계키_지청],E4336)))</f>
        <v/>
      </c>
      <c r="E4336" t="str">
        <f>IFERROR(INDEX(tbl_input[집계키_지청],ROW()-1),"")</f>
        <v/>
      </c>
      <c r="F4336" t="str">
        <f t="shared" si="338"/>
        <v/>
      </c>
      <c r="G4336" t="str">
        <f t="shared" si="339"/>
        <v/>
      </c>
    </row>
    <row r="4337" spans="1:7" x14ac:dyDescent="0.4">
      <c r="A4337" t="str">
        <f t="shared" si="335"/>
        <v/>
      </c>
      <c r="B4337" t="str">
        <f t="shared" si="336"/>
        <v/>
      </c>
      <c r="C4337" t="str">
        <f t="shared" si="337"/>
        <v/>
      </c>
      <c r="D4337" t="str">
        <f>IF(E4337="","",IF(COUNTIF($E$2:E4337,E4337)&gt;1,"",SUMIFS(tbl_input[필요수량],tbl_input[집계키_지청],E4337)))</f>
        <v/>
      </c>
      <c r="E4337" t="str">
        <f>IFERROR(INDEX(tbl_input[집계키_지청],ROW()-1),"")</f>
        <v/>
      </c>
      <c r="F4337" t="str">
        <f t="shared" si="338"/>
        <v/>
      </c>
      <c r="G4337" t="str">
        <f t="shared" si="339"/>
        <v/>
      </c>
    </row>
    <row r="4338" spans="1:7" x14ac:dyDescent="0.4">
      <c r="A4338" t="str">
        <f t="shared" si="335"/>
        <v/>
      </c>
      <c r="B4338" t="str">
        <f t="shared" si="336"/>
        <v/>
      </c>
      <c r="C4338" t="str">
        <f t="shared" si="337"/>
        <v/>
      </c>
      <c r="D4338" t="str">
        <f>IF(E4338="","",IF(COUNTIF($E$2:E4338,E4338)&gt;1,"",SUMIFS(tbl_input[필요수량],tbl_input[집계키_지청],E4338)))</f>
        <v/>
      </c>
      <c r="E4338" t="str">
        <f>IFERROR(INDEX(tbl_input[집계키_지청],ROW()-1),"")</f>
        <v/>
      </c>
      <c r="F4338" t="str">
        <f t="shared" si="338"/>
        <v/>
      </c>
      <c r="G4338" t="str">
        <f t="shared" si="339"/>
        <v/>
      </c>
    </row>
    <row r="4339" spans="1:7" x14ac:dyDescent="0.4">
      <c r="A4339" t="str">
        <f t="shared" si="335"/>
        <v/>
      </c>
      <c r="B4339" t="str">
        <f t="shared" si="336"/>
        <v/>
      </c>
      <c r="C4339" t="str">
        <f t="shared" si="337"/>
        <v/>
      </c>
      <c r="D4339" t="str">
        <f>IF(E4339="","",IF(COUNTIF($E$2:E4339,E4339)&gt;1,"",SUMIFS(tbl_input[필요수량],tbl_input[집계키_지청],E4339)))</f>
        <v/>
      </c>
      <c r="E4339" t="str">
        <f>IFERROR(INDEX(tbl_input[집계키_지청],ROW()-1),"")</f>
        <v/>
      </c>
      <c r="F4339" t="str">
        <f t="shared" si="338"/>
        <v/>
      </c>
      <c r="G4339" t="str">
        <f t="shared" si="339"/>
        <v/>
      </c>
    </row>
    <row r="4340" spans="1:7" x14ac:dyDescent="0.4">
      <c r="A4340" t="str">
        <f t="shared" si="335"/>
        <v/>
      </c>
      <c r="B4340" t="str">
        <f t="shared" si="336"/>
        <v/>
      </c>
      <c r="C4340" t="str">
        <f t="shared" si="337"/>
        <v/>
      </c>
      <c r="D4340" t="str">
        <f>IF(E4340="","",IF(COUNTIF($E$2:E4340,E4340)&gt;1,"",SUMIFS(tbl_input[필요수량],tbl_input[집계키_지청],E4340)))</f>
        <v/>
      </c>
      <c r="E4340" t="str">
        <f>IFERROR(INDEX(tbl_input[집계키_지청],ROW()-1),"")</f>
        <v/>
      </c>
      <c r="F4340" t="str">
        <f t="shared" si="338"/>
        <v/>
      </c>
      <c r="G4340" t="str">
        <f t="shared" si="339"/>
        <v/>
      </c>
    </row>
    <row r="4341" spans="1:7" x14ac:dyDescent="0.4">
      <c r="A4341" t="str">
        <f t="shared" si="335"/>
        <v/>
      </c>
      <c r="B4341" t="str">
        <f t="shared" si="336"/>
        <v/>
      </c>
      <c r="C4341" t="str">
        <f t="shared" si="337"/>
        <v/>
      </c>
      <c r="D4341" t="str">
        <f>IF(E4341="","",IF(COUNTIF($E$2:E4341,E4341)&gt;1,"",SUMIFS(tbl_input[필요수량],tbl_input[집계키_지청],E4341)))</f>
        <v/>
      </c>
      <c r="E4341" t="str">
        <f>IFERROR(INDEX(tbl_input[집계키_지청],ROW()-1),"")</f>
        <v/>
      </c>
      <c r="F4341" t="str">
        <f t="shared" si="338"/>
        <v/>
      </c>
      <c r="G4341" t="str">
        <f t="shared" si="339"/>
        <v/>
      </c>
    </row>
    <row r="4342" spans="1:7" x14ac:dyDescent="0.4">
      <c r="A4342" t="str">
        <f t="shared" si="335"/>
        <v/>
      </c>
      <c r="B4342" t="str">
        <f t="shared" si="336"/>
        <v/>
      </c>
      <c r="C4342" t="str">
        <f t="shared" si="337"/>
        <v/>
      </c>
      <c r="D4342" t="str">
        <f>IF(E4342="","",IF(COUNTIF($E$2:E4342,E4342)&gt;1,"",SUMIFS(tbl_input[필요수량],tbl_input[집계키_지청],E4342)))</f>
        <v/>
      </c>
      <c r="E4342" t="str">
        <f>IFERROR(INDEX(tbl_input[집계키_지청],ROW()-1),"")</f>
        <v/>
      </c>
      <c r="F4342" t="str">
        <f t="shared" si="338"/>
        <v/>
      </c>
      <c r="G4342" t="str">
        <f t="shared" si="339"/>
        <v/>
      </c>
    </row>
    <row r="4343" spans="1:7" x14ac:dyDescent="0.4">
      <c r="A4343" t="str">
        <f t="shared" si="335"/>
        <v/>
      </c>
      <c r="B4343" t="str">
        <f t="shared" si="336"/>
        <v/>
      </c>
      <c r="C4343" t="str">
        <f t="shared" si="337"/>
        <v/>
      </c>
      <c r="D4343" t="str">
        <f>IF(E4343="","",IF(COUNTIF($E$2:E4343,E4343)&gt;1,"",SUMIFS(tbl_input[필요수량],tbl_input[집계키_지청],E4343)))</f>
        <v/>
      </c>
      <c r="E4343" t="str">
        <f>IFERROR(INDEX(tbl_input[집계키_지청],ROW()-1),"")</f>
        <v/>
      </c>
      <c r="F4343" t="str">
        <f t="shared" si="338"/>
        <v/>
      </c>
      <c r="G4343" t="str">
        <f t="shared" si="339"/>
        <v/>
      </c>
    </row>
    <row r="4344" spans="1:7" x14ac:dyDescent="0.4">
      <c r="A4344" t="str">
        <f t="shared" si="335"/>
        <v/>
      </c>
      <c r="B4344" t="str">
        <f t="shared" si="336"/>
        <v/>
      </c>
      <c r="C4344" t="str">
        <f t="shared" si="337"/>
        <v/>
      </c>
      <c r="D4344" t="str">
        <f>IF(E4344="","",IF(COUNTIF($E$2:E4344,E4344)&gt;1,"",SUMIFS(tbl_input[필요수량],tbl_input[집계키_지청],E4344)))</f>
        <v/>
      </c>
      <c r="E4344" t="str">
        <f>IFERROR(INDEX(tbl_input[집계키_지청],ROW()-1),"")</f>
        <v/>
      </c>
      <c r="F4344" t="str">
        <f t="shared" si="338"/>
        <v/>
      </c>
      <c r="G4344" t="str">
        <f t="shared" si="339"/>
        <v/>
      </c>
    </row>
    <row r="4345" spans="1:7" x14ac:dyDescent="0.4">
      <c r="A4345" t="str">
        <f t="shared" si="335"/>
        <v/>
      </c>
      <c r="B4345" t="str">
        <f t="shared" si="336"/>
        <v/>
      </c>
      <c r="C4345" t="str">
        <f t="shared" si="337"/>
        <v/>
      </c>
      <c r="D4345" t="str">
        <f>IF(E4345="","",IF(COUNTIF($E$2:E4345,E4345)&gt;1,"",SUMIFS(tbl_input[필요수량],tbl_input[집계키_지청],E4345)))</f>
        <v/>
      </c>
      <c r="E4345" t="str">
        <f>IFERROR(INDEX(tbl_input[집계키_지청],ROW()-1),"")</f>
        <v/>
      </c>
      <c r="F4345" t="str">
        <f t="shared" si="338"/>
        <v/>
      </c>
      <c r="G4345" t="str">
        <f t="shared" si="339"/>
        <v/>
      </c>
    </row>
    <row r="4346" spans="1:7" x14ac:dyDescent="0.4">
      <c r="A4346" t="str">
        <f t="shared" si="335"/>
        <v/>
      </c>
      <c r="B4346" t="str">
        <f t="shared" si="336"/>
        <v/>
      </c>
      <c r="C4346" t="str">
        <f t="shared" si="337"/>
        <v/>
      </c>
      <c r="D4346" t="str">
        <f>IF(E4346="","",IF(COUNTIF($E$2:E4346,E4346)&gt;1,"",SUMIFS(tbl_input[필요수량],tbl_input[집계키_지청],E4346)))</f>
        <v/>
      </c>
      <c r="E4346" t="str">
        <f>IFERROR(INDEX(tbl_input[집계키_지청],ROW()-1),"")</f>
        <v/>
      </c>
      <c r="F4346" t="str">
        <f t="shared" si="338"/>
        <v/>
      </c>
      <c r="G4346" t="str">
        <f t="shared" si="339"/>
        <v/>
      </c>
    </row>
    <row r="4347" spans="1:7" x14ac:dyDescent="0.4">
      <c r="A4347" t="str">
        <f t="shared" si="335"/>
        <v/>
      </c>
      <c r="B4347" t="str">
        <f t="shared" si="336"/>
        <v/>
      </c>
      <c r="C4347" t="str">
        <f t="shared" si="337"/>
        <v/>
      </c>
      <c r="D4347" t="str">
        <f>IF(E4347="","",IF(COUNTIF($E$2:E4347,E4347)&gt;1,"",SUMIFS(tbl_input[필요수량],tbl_input[집계키_지청],E4347)))</f>
        <v/>
      </c>
      <c r="E4347" t="str">
        <f>IFERROR(INDEX(tbl_input[집계키_지청],ROW()-1),"")</f>
        <v/>
      </c>
      <c r="F4347" t="str">
        <f t="shared" si="338"/>
        <v/>
      </c>
      <c r="G4347" t="str">
        <f t="shared" si="339"/>
        <v/>
      </c>
    </row>
    <row r="4348" spans="1:7" x14ac:dyDescent="0.4">
      <c r="A4348" t="str">
        <f t="shared" si="335"/>
        <v/>
      </c>
      <c r="B4348" t="str">
        <f t="shared" si="336"/>
        <v/>
      </c>
      <c r="C4348" t="str">
        <f t="shared" si="337"/>
        <v/>
      </c>
      <c r="D4348" t="str">
        <f>IF(E4348="","",IF(COUNTIF($E$2:E4348,E4348)&gt;1,"",SUMIFS(tbl_input[필요수량],tbl_input[집계키_지청],E4348)))</f>
        <v/>
      </c>
      <c r="E4348" t="str">
        <f>IFERROR(INDEX(tbl_input[집계키_지청],ROW()-1),"")</f>
        <v/>
      </c>
      <c r="F4348" t="str">
        <f t="shared" si="338"/>
        <v/>
      </c>
      <c r="G4348" t="str">
        <f t="shared" si="339"/>
        <v/>
      </c>
    </row>
    <row r="4349" spans="1:7" x14ac:dyDescent="0.4">
      <c r="A4349" t="str">
        <f t="shared" si="335"/>
        <v/>
      </c>
      <c r="B4349" t="str">
        <f t="shared" si="336"/>
        <v/>
      </c>
      <c r="C4349" t="str">
        <f t="shared" si="337"/>
        <v/>
      </c>
      <c r="D4349" t="str">
        <f>IF(E4349="","",IF(COUNTIF($E$2:E4349,E4349)&gt;1,"",SUMIFS(tbl_input[필요수량],tbl_input[집계키_지청],E4349)))</f>
        <v/>
      </c>
      <c r="E4349" t="str">
        <f>IFERROR(INDEX(tbl_input[집계키_지청],ROW()-1),"")</f>
        <v/>
      </c>
      <c r="F4349" t="str">
        <f t="shared" si="338"/>
        <v/>
      </c>
      <c r="G4349" t="str">
        <f t="shared" si="339"/>
        <v/>
      </c>
    </row>
    <row r="4350" spans="1:7" x14ac:dyDescent="0.4">
      <c r="A4350" t="str">
        <f t="shared" si="335"/>
        <v/>
      </c>
      <c r="B4350" t="str">
        <f t="shared" si="336"/>
        <v/>
      </c>
      <c r="C4350" t="str">
        <f t="shared" si="337"/>
        <v/>
      </c>
      <c r="D4350" t="str">
        <f>IF(E4350="","",IF(COUNTIF($E$2:E4350,E4350)&gt;1,"",SUMIFS(tbl_input[필요수량],tbl_input[집계키_지청],E4350)))</f>
        <v/>
      </c>
      <c r="E4350" t="str">
        <f>IFERROR(INDEX(tbl_input[집계키_지청],ROW()-1),"")</f>
        <v/>
      </c>
      <c r="F4350" t="str">
        <f t="shared" si="338"/>
        <v/>
      </c>
      <c r="G4350" t="str">
        <f t="shared" si="339"/>
        <v/>
      </c>
    </row>
    <row r="4351" spans="1:7" x14ac:dyDescent="0.4">
      <c r="A4351" t="str">
        <f t="shared" si="335"/>
        <v/>
      </c>
      <c r="B4351" t="str">
        <f t="shared" si="336"/>
        <v/>
      </c>
      <c r="C4351" t="str">
        <f t="shared" si="337"/>
        <v/>
      </c>
      <c r="D4351" t="str">
        <f>IF(E4351="","",IF(COUNTIF($E$2:E4351,E4351)&gt;1,"",SUMIFS(tbl_input[필요수량],tbl_input[집계키_지청],E4351)))</f>
        <v/>
      </c>
      <c r="E4351" t="str">
        <f>IFERROR(INDEX(tbl_input[집계키_지청],ROW()-1),"")</f>
        <v/>
      </c>
      <c r="F4351" t="str">
        <f t="shared" si="338"/>
        <v/>
      </c>
      <c r="G4351" t="str">
        <f t="shared" si="339"/>
        <v/>
      </c>
    </row>
    <row r="4352" spans="1:7" x14ac:dyDescent="0.4">
      <c r="A4352" t="str">
        <f t="shared" si="335"/>
        <v/>
      </c>
      <c r="B4352" t="str">
        <f t="shared" si="336"/>
        <v/>
      </c>
      <c r="C4352" t="str">
        <f t="shared" si="337"/>
        <v/>
      </c>
      <c r="D4352" t="str">
        <f>IF(E4352="","",IF(COUNTIF($E$2:E4352,E4352)&gt;1,"",SUMIFS(tbl_input[필요수량],tbl_input[집계키_지청],E4352)))</f>
        <v/>
      </c>
      <c r="E4352" t="str">
        <f>IFERROR(INDEX(tbl_input[집계키_지청],ROW()-1),"")</f>
        <v/>
      </c>
      <c r="F4352" t="str">
        <f t="shared" si="338"/>
        <v/>
      </c>
      <c r="G4352" t="str">
        <f t="shared" si="339"/>
        <v/>
      </c>
    </row>
    <row r="4353" spans="1:7" x14ac:dyDescent="0.4">
      <c r="A4353" t="str">
        <f t="shared" si="335"/>
        <v/>
      </c>
      <c r="B4353" t="str">
        <f t="shared" si="336"/>
        <v/>
      </c>
      <c r="C4353" t="str">
        <f t="shared" si="337"/>
        <v/>
      </c>
      <c r="D4353" t="str">
        <f>IF(E4353="","",IF(COUNTIF($E$2:E4353,E4353)&gt;1,"",SUMIFS(tbl_input[필요수량],tbl_input[집계키_지청],E4353)))</f>
        <v/>
      </c>
      <c r="E4353" t="str">
        <f>IFERROR(INDEX(tbl_input[집계키_지청],ROW()-1),"")</f>
        <v/>
      </c>
      <c r="F4353" t="str">
        <f t="shared" si="338"/>
        <v/>
      </c>
      <c r="G4353" t="str">
        <f t="shared" si="339"/>
        <v/>
      </c>
    </row>
    <row r="4354" spans="1:7" x14ac:dyDescent="0.4">
      <c r="A4354" t="str">
        <f t="shared" ref="A4354:A4417" si="340">IF(E4354="","",LEFT(E4354,F4354-1))</f>
        <v/>
      </c>
      <c r="B4354" t="str">
        <f t="shared" ref="B4354:B4417" si="341">IF(E4354="","",MID(E4354,F4354+1,G4354-F4354-1))</f>
        <v/>
      </c>
      <c r="C4354" t="str">
        <f t="shared" ref="C4354:C4417" si="342">IF(E4354="","",MID(E4354,G4354+1,999))</f>
        <v/>
      </c>
      <c r="D4354" t="str">
        <f>IF(E4354="","",IF(COUNTIF($E$2:E4354,E4354)&gt;1,"",SUMIFS(tbl_input[필요수량],tbl_input[집계키_지청],E4354)))</f>
        <v/>
      </c>
      <c r="E4354" t="str">
        <f>IFERROR(INDEX(tbl_input[집계키_지청],ROW()-1),"")</f>
        <v/>
      </c>
      <c r="F4354" t="str">
        <f t="shared" ref="F4354:F4417" si="343">IF(E4354="","",FIND("♦",E4354))</f>
        <v/>
      </c>
      <c r="G4354" t="str">
        <f t="shared" ref="G4354:G4417" si="344">IF(E4354="","",FIND("♦",E4354,F4354+1))</f>
        <v/>
      </c>
    </row>
    <row r="4355" spans="1:7" x14ac:dyDescent="0.4">
      <c r="A4355" t="str">
        <f t="shared" si="340"/>
        <v/>
      </c>
      <c r="B4355" t="str">
        <f t="shared" si="341"/>
        <v/>
      </c>
      <c r="C4355" t="str">
        <f t="shared" si="342"/>
        <v/>
      </c>
      <c r="D4355" t="str">
        <f>IF(E4355="","",IF(COUNTIF($E$2:E4355,E4355)&gt;1,"",SUMIFS(tbl_input[필요수량],tbl_input[집계키_지청],E4355)))</f>
        <v/>
      </c>
      <c r="E4355" t="str">
        <f>IFERROR(INDEX(tbl_input[집계키_지청],ROW()-1),"")</f>
        <v/>
      </c>
      <c r="F4355" t="str">
        <f t="shared" si="343"/>
        <v/>
      </c>
      <c r="G4355" t="str">
        <f t="shared" si="344"/>
        <v/>
      </c>
    </row>
    <row r="4356" spans="1:7" x14ac:dyDescent="0.4">
      <c r="A4356" t="str">
        <f t="shared" si="340"/>
        <v/>
      </c>
      <c r="B4356" t="str">
        <f t="shared" si="341"/>
        <v/>
      </c>
      <c r="C4356" t="str">
        <f t="shared" si="342"/>
        <v/>
      </c>
      <c r="D4356" t="str">
        <f>IF(E4356="","",IF(COUNTIF($E$2:E4356,E4356)&gt;1,"",SUMIFS(tbl_input[필요수량],tbl_input[집계키_지청],E4356)))</f>
        <v/>
      </c>
      <c r="E4356" t="str">
        <f>IFERROR(INDEX(tbl_input[집계키_지청],ROW()-1),"")</f>
        <v/>
      </c>
      <c r="F4356" t="str">
        <f t="shared" si="343"/>
        <v/>
      </c>
      <c r="G4356" t="str">
        <f t="shared" si="344"/>
        <v/>
      </c>
    </row>
    <row r="4357" spans="1:7" x14ac:dyDescent="0.4">
      <c r="A4357" t="str">
        <f t="shared" si="340"/>
        <v/>
      </c>
      <c r="B4357" t="str">
        <f t="shared" si="341"/>
        <v/>
      </c>
      <c r="C4357" t="str">
        <f t="shared" si="342"/>
        <v/>
      </c>
      <c r="D4357" t="str">
        <f>IF(E4357="","",IF(COUNTIF($E$2:E4357,E4357)&gt;1,"",SUMIFS(tbl_input[필요수량],tbl_input[집계키_지청],E4357)))</f>
        <v/>
      </c>
      <c r="E4357" t="str">
        <f>IFERROR(INDEX(tbl_input[집계키_지청],ROW()-1),"")</f>
        <v/>
      </c>
      <c r="F4357" t="str">
        <f t="shared" si="343"/>
        <v/>
      </c>
      <c r="G4357" t="str">
        <f t="shared" si="344"/>
        <v/>
      </c>
    </row>
    <row r="4358" spans="1:7" x14ac:dyDescent="0.4">
      <c r="A4358" t="str">
        <f t="shared" si="340"/>
        <v/>
      </c>
      <c r="B4358" t="str">
        <f t="shared" si="341"/>
        <v/>
      </c>
      <c r="C4358" t="str">
        <f t="shared" si="342"/>
        <v/>
      </c>
      <c r="D4358" t="str">
        <f>IF(E4358="","",IF(COUNTIF($E$2:E4358,E4358)&gt;1,"",SUMIFS(tbl_input[필요수량],tbl_input[집계키_지청],E4358)))</f>
        <v/>
      </c>
      <c r="E4358" t="str">
        <f>IFERROR(INDEX(tbl_input[집계키_지청],ROW()-1),"")</f>
        <v/>
      </c>
      <c r="F4358" t="str">
        <f t="shared" si="343"/>
        <v/>
      </c>
      <c r="G4358" t="str">
        <f t="shared" si="344"/>
        <v/>
      </c>
    </row>
    <row r="4359" spans="1:7" x14ac:dyDescent="0.4">
      <c r="A4359" t="str">
        <f t="shared" si="340"/>
        <v/>
      </c>
      <c r="B4359" t="str">
        <f t="shared" si="341"/>
        <v/>
      </c>
      <c r="C4359" t="str">
        <f t="shared" si="342"/>
        <v/>
      </c>
      <c r="D4359" t="str">
        <f>IF(E4359="","",IF(COUNTIF($E$2:E4359,E4359)&gt;1,"",SUMIFS(tbl_input[필요수량],tbl_input[집계키_지청],E4359)))</f>
        <v/>
      </c>
      <c r="E4359" t="str">
        <f>IFERROR(INDEX(tbl_input[집계키_지청],ROW()-1),"")</f>
        <v/>
      </c>
      <c r="F4359" t="str">
        <f t="shared" si="343"/>
        <v/>
      </c>
      <c r="G4359" t="str">
        <f t="shared" si="344"/>
        <v/>
      </c>
    </row>
    <row r="4360" spans="1:7" x14ac:dyDescent="0.4">
      <c r="A4360" t="str">
        <f t="shared" si="340"/>
        <v/>
      </c>
      <c r="B4360" t="str">
        <f t="shared" si="341"/>
        <v/>
      </c>
      <c r="C4360" t="str">
        <f t="shared" si="342"/>
        <v/>
      </c>
      <c r="D4360" t="str">
        <f>IF(E4360="","",IF(COUNTIF($E$2:E4360,E4360)&gt;1,"",SUMIFS(tbl_input[필요수량],tbl_input[집계키_지청],E4360)))</f>
        <v/>
      </c>
      <c r="E4360" t="str">
        <f>IFERROR(INDEX(tbl_input[집계키_지청],ROW()-1),"")</f>
        <v/>
      </c>
      <c r="F4360" t="str">
        <f t="shared" si="343"/>
        <v/>
      </c>
      <c r="G4360" t="str">
        <f t="shared" si="344"/>
        <v/>
      </c>
    </row>
    <row r="4361" spans="1:7" x14ac:dyDescent="0.4">
      <c r="A4361" t="str">
        <f t="shared" si="340"/>
        <v/>
      </c>
      <c r="B4361" t="str">
        <f t="shared" si="341"/>
        <v/>
      </c>
      <c r="C4361" t="str">
        <f t="shared" si="342"/>
        <v/>
      </c>
      <c r="D4361" t="str">
        <f>IF(E4361="","",IF(COUNTIF($E$2:E4361,E4361)&gt;1,"",SUMIFS(tbl_input[필요수량],tbl_input[집계키_지청],E4361)))</f>
        <v/>
      </c>
      <c r="E4361" t="str">
        <f>IFERROR(INDEX(tbl_input[집계키_지청],ROW()-1),"")</f>
        <v/>
      </c>
      <c r="F4361" t="str">
        <f t="shared" si="343"/>
        <v/>
      </c>
      <c r="G4361" t="str">
        <f t="shared" si="344"/>
        <v/>
      </c>
    </row>
    <row r="4362" spans="1:7" x14ac:dyDescent="0.4">
      <c r="A4362" t="str">
        <f t="shared" si="340"/>
        <v/>
      </c>
      <c r="B4362" t="str">
        <f t="shared" si="341"/>
        <v/>
      </c>
      <c r="C4362" t="str">
        <f t="shared" si="342"/>
        <v/>
      </c>
      <c r="D4362" t="str">
        <f>IF(E4362="","",IF(COUNTIF($E$2:E4362,E4362)&gt;1,"",SUMIFS(tbl_input[필요수량],tbl_input[집계키_지청],E4362)))</f>
        <v/>
      </c>
      <c r="E4362" t="str">
        <f>IFERROR(INDEX(tbl_input[집계키_지청],ROW()-1),"")</f>
        <v/>
      </c>
      <c r="F4362" t="str">
        <f t="shared" si="343"/>
        <v/>
      </c>
      <c r="G4362" t="str">
        <f t="shared" si="344"/>
        <v/>
      </c>
    </row>
    <row r="4363" spans="1:7" x14ac:dyDescent="0.4">
      <c r="A4363" t="str">
        <f t="shared" si="340"/>
        <v/>
      </c>
      <c r="B4363" t="str">
        <f t="shared" si="341"/>
        <v/>
      </c>
      <c r="C4363" t="str">
        <f t="shared" si="342"/>
        <v/>
      </c>
      <c r="D4363" t="str">
        <f>IF(E4363="","",IF(COUNTIF($E$2:E4363,E4363)&gt;1,"",SUMIFS(tbl_input[필요수량],tbl_input[집계키_지청],E4363)))</f>
        <v/>
      </c>
      <c r="E4363" t="str">
        <f>IFERROR(INDEX(tbl_input[집계키_지청],ROW()-1),"")</f>
        <v/>
      </c>
      <c r="F4363" t="str">
        <f t="shared" si="343"/>
        <v/>
      </c>
      <c r="G4363" t="str">
        <f t="shared" si="344"/>
        <v/>
      </c>
    </row>
    <row r="4364" spans="1:7" x14ac:dyDescent="0.4">
      <c r="A4364" t="str">
        <f t="shared" si="340"/>
        <v/>
      </c>
      <c r="B4364" t="str">
        <f t="shared" si="341"/>
        <v/>
      </c>
      <c r="C4364" t="str">
        <f t="shared" si="342"/>
        <v/>
      </c>
      <c r="D4364" t="str">
        <f>IF(E4364="","",IF(COUNTIF($E$2:E4364,E4364)&gt;1,"",SUMIFS(tbl_input[필요수량],tbl_input[집계키_지청],E4364)))</f>
        <v/>
      </c>
      <c r="E4364" t="str">
        <f>IFERROR(INDEX(tbl_input[집계키_지청],ROW()-1),"")</f>
        <v/>
      </c>
      <c r="F4364" t="str">
        <f t="shared" si="343"/>
        <v/>
      </c>
      <c r="G4364" t="str">
        <f t="shared" si="344"/>
        <v/>
      </c>
    </row>
    <row r="4365" spans="1:7" x14ac:dyDescent="0.4">
      <c r="A4365" t="str">
        <f t="shared" si="340"/>
        <v/>
      </c>
      <c r="B4365" t="str">
        <f t="shared" si="341"/>
        <v/>
      </c>
      <c r="C4365" t="str">
        <f t="shared" si="342"/>
        <v/>
      </c>
      <c r="D4365" t="str">
        <f>IF(E4365="","",IF(COUNTIF($E$2:E4365,E4365)&gt;1,"",SUMIFS(tbl_input[필요수량],tbl_input[집계키_지청],E4365)))</f>
        <v/>
      </c>
      <c r="E4365" t="str">
        <f>IFERROR(INDEX(tbl_input[집계키_지청],ROW()-1),"")</f>
        <v/>
      </c>
      <c r="F4365" t="str">
        <f t="shared" si="343"/>
        <v/>
      </c>
      <c r="G4365" t="str">
        <f t="shared" si="344"/>
        <v/>
      </c>
    </row>
    <row r="4366" spans="1:7" x14ac:dyDescent="0.4">
      <c r="A4366" t="str">
        <f t="shared" si="340"/>
        <v/>
      </c>
      <c r="B4366" t="str">
        <f t="shared" si="341"/>
        <v/>
      </c>
      <c r="C4366" t="str">
        <f t="shared" si="342"/>
        <v/>
      </c>
      <c r="D4366" t="str">
        <f>IF(E4366="","",IF(COUNTIF($E$2:E4366,E4366)&gt;1,"",SUMIFS(tbl_input[필요수량],tbl_input[집계키_지청],E4366)))</f>
        <v/>
      </c>
      <c r="E4366" t="str">
        <f>IFERROR(INDEX(tbl_input[집계키_지청],ROW()-1),"")</f>
        <v/>
      </c>
      <c r="F4366" t="str">
        <f t="shared" si="343"/>
        <v/>
      </c>
      <c r="G4366" t="str">
        <f t="shared" si="344"/>
        <v/>
      </c>
    </row>
    <row r="4367" spans="1:7" x14ac:dyDescent="0.4">
      <c r="A4367" t="str">
        <f t="shared" si="340"/>
        <v/>
      </c>
      <c r="B4367" t="str">
        <f t="shared" si="341"/>
        <v/>
      </c>
      <c r="C4367" t="str">
        <f t="shared" si="342"/>
        <v/>
      </c>
      <c r="D4367" t="str">
        <f>IF(E4367="","",IF(COUNTIF($E$2:E4367,E4367)&gt;1,"",SUMIFS(tbl_input[필요수량],tbl_input[집계키_지청],E4367)))</f>
        <v/>
      </c>
      <c r="E4367" t="str">
        <f>IFERROR(INDEX(tbl_input[집계키_지청],ROW()-1),"")</f>
        <v/>
      </c>
      <c r="F4367" t="str">
        <f t="shared" si="343"/>
        <v/>
      </c>
      <c r="G4367" t="str">
        <f t="shared" si="344"/>
        <v/>
      </c>
    </row>
    <row r="4368" spans="1:7" x14ac:dyDescent="0.4">
      <c r="A4368" t="str">
        <f t="shared" si="340"/>
        <v/>
      </c>
      <c r="B4368" t="str">
        <f t="shared" si="341"/>
        <v/>
      </c>
      <c r="C4368" t="str">
        <f t="shared" si="342"/>
        <v/>
      </c>
      <c r="D4368" t="str">
        <f>IF(E4368="","",IF(COUNTIF($E$2:E4368,E4368)&gt;1,"",SUMIFS(tbl_input[필요수량],tbl_input[집계키_지청],E4368)))</f>
        <v/>
      </c>
      <c r="E4368" t="str">
        <f>IFERROR(INDEX(tbl_input[집계키_지청],ROW()-1),"")</f>
        <v/>
      </c>
      <c r="F4368" t="str">
        <f t="shared" si="343"/>
        <v/>
      </c>
      <c r="G4368" t="str">
        <f t="shared" si="344"/>
        <v/>
      </c>
    </row>
    <row r="4369" spans="1:7" x14ac:dyDescent="0.4">
      <c r="A4369" t="str">
        <f t="shared" si="340"/>
        <v/>
      </c>
      <c r="B4369" t="str">
        <f t="shared" si="341"/>
        <v/>
      </c>
      <c r="C4369" t="str">
        <f t="shared" si="342"/>
        <v/>
      </c>
      <c r="D4369" t="str">
        <f>IF(E4369="","",IF(COUNTIF($E$2:E4369,E4369)&gt;1,"",SUMIFS(tbl_input[필요수량],tbl_input[집계키_지청],E4369)))</f>
        <v/>
      </c>
      <c r="E4369" t="str">
        <f>IFERROR(INDEX(tbl_input[집계키_지청],ROW()-1),"")</f>
        <v/>
      </c>
      <c r="F4369" t="str">
        <f t="shared" si="343"/>
        <v/>
      </c>
      <c r="G4369" t="str">
        <f t="shared" si="344"/>
        <v/>
      </c>
    </row>
    <row r="4370" spans="1:7" x14ac:dyDescent="0.4">
      <c r="A4370" t="str">
        <f t="shared" si="340"/>
        <v/>
      </c>
      <c r="B4370" t="str">
        <f t="shared" si="341"/>
        <v/>
      </c>
      <c r="C4370" t="str">
        <f t="shared" si="342"/>
        <v/>
      </c>
      <c r="D4370" t="str">
        <f>IF(E4370="","",IF(COUNTIF($E$2:E4370,E4370)&gt;1,"",SUMIFS(tbl_input[필요수량],tbl_input[집계키_지청],E4370)))</f>
        <v/>
      </c>
      <c r="E4370" t="str">
        <f>IFERROR(INDEX(tbl_input[집계키_지청],ROW()-1),"")</f>
        <v/>
      </c>
      <c r="F4370" t="str">
        <f t="shared" si="343"/>
        <v/>
      </c>
      <c r="G4370" t="str">
        <f t="shared" si="344"/>
        <v/>
      </c>
    </row>
    <row r="4371" spans="1:7" x14ac:dyDescent="0.4">
      <c r="A4371" t="str">
        <f t="shared" si="340"/>
        <v/>
      </c>
      <c r="B4371" t="str">
        <f t="shared" si="341"/>
        <v/>
      </c>
      <c r="C4371" t="str">
        <f t="shared" si="342"/>
        <v/>
      </c>
      <c r="D4371" t="str">
        <f>IF(E4371="","",IF(COUNTIF($E$2:E4371,E4371)&gt;1,"",SUMIFS(tbl_input[필요수량],tbl_input[집계키_지청],E4371)))</f>
        <v/>
      </c>
      <c r="E4371" t="str">
        <f>IFERROR(INDEX(tbl_input[집계키_지청],ROW()-1),"")</f>
        <v/>
      </c>
      <c r="F4371" t="str">
        <f t="shared" si="343"/>
        <v/>
      </c>
      <c r="G4371" t="str">
        <f t="shared" si="344"/>
        <v/>
      </c>
    </row>
    <row r="4372" spans="1:7" x14ac:dyDescent="0.4">
      <c r="A4372" t="str">
        <f t="shared" si="340"/>
        <v/>
      </c>
      <c r="B4372" t="str">
        <f t="shared" si="341"/>
        <v/>
      </c>
      <c r="C4372" t="str">
        <f t="shared" si="342"/>
        <v/>
      </c>
      <c r="D4372" t="str">
        <f>IF(E4372="","",IF(COUNTIF($E$2:E4372,E4372)&gt;1,"",SUMIFS(tbl_input[필요수량],tbl_input[집계키_지청],E4372)))</f>
        <v/>
      </c>
      <c r="E4372" t="str">
        <f>IFERROR(INDEX(tbl_input[집계키_지청],ROW()-1),"")</f>
        <v/>
      </c>
      <c r="F4372" t="str">
        <f t="shared" si="343"/>
        <v/>
      </c>
      <c r="G4372" t="str">
        <f t="shared" si="344"/>
        <v/>
      </c>
    </row>
    <row r="4373" spans="1:7" x14ac:dyDescent="0.4">
      <c r="A4373" t="str">
        <f t="shared" si="340"/>
        <v/>
      </c>
      <c r="B4373" t="str">
        <f t="shared" si="341"/>
        <v/>
      </c>
      <c r="C4373" t="str">
        <f t="shared" si="342"/>
        <v/>
      </c>
      <c r="D4373" t="str">
        <f>IF(E4373="","",IF(COUNTIF($E$2:E4373,E4373)&gt;1,"",SUMIFS(tbl_input[필요수량],tbl_input[집계키_지청],E4373)))</f>
        <v/>
      </c>
      <c r="E4373" t="str">
        <f>IFERROR(INDEX(tbl_input[집계키_지청],ROW()-1),"")</f>
        <v/>
      </c>
      <c r="F4373" t="str">
        <f t="shared" si="343"/>
        <v/>
      </c>
      <c r="G4373" t="str">
        <f t="shared" si="344"/>
        <v/>
      </c>
    </row>
    <row r="4374" spans="1:7" x14ac:dyDescent="0.4">
      <c r="A4374" t="str">
        <f t="shared" si="340"/>
        <v/>
      </c>
      <c r="B4374" t="str">
        <f t="shared" si="341"/>
        <v/>
      </c>
      <c r="C4374" t="str">
        <f t="shared" si="342"/>
        <v/>
      </c>
      <c r="D4374" t="str">
        <f>IF(E4374="","",IF(COUNTIF($E$2:E4374,E4374)&gt;1,"",SUMIFS(tbl_input[필요수량],tbl_input[집계키_지청],E4374)))</f>
        <v/>
      </c>
      <c r="E4374" t="str">
        <f>IFERROR(INDEX(tbl_input[집계키_지청],ROW()-1),"")</f>
        <v/>
      </c>
      <c r="F4374" t="str">
        <f t="shared" si="343"/>
        <v/>
      </c>
      <c r="G4374" t="str">
        <f t="shared" si="344"/>
        <v/>
      </c>
    </row>
    <row r="4375" spans="1:7" x14ac:dyDescent="0.4">
      <c r="A4375" t="str">
        <f t="shared" si="340"/>
        <v/>
      </c>
      <c r="B4375" t="str">
        <f t="shared" si="341"/>
        <v/>
      </c>
      <c r="C4375" t="str">
        <f t="shared" si="342"/>
        <v/>
      </c>
      <c r="D4375" t="str">
        <f>IF(E4375="","",IF(COUNTIF($E$2:E4375,E4375)&gt;1,"",SUMIFS(tbl_input[필요수량],tbl_input[집계키_지청],E4375)))</f>
        <v/>
      </c>
      <c r="E4375" t="str">
        <f>IFERROR(INDEX(tbl_input[집계키_지청],ROW()-1),"")</f>
        <v/>
      </c>
      <c r="F4375" t="str">
        <f t="shared" si="343"/>
        <v/>
      </c>
      <c r="G4375" t="str">
        <f t="shared" si="344"/>
        <v/>
      </c>
    </row>
    <row r="4376" spans="1:7" x14ac:dyDescent="0.4">
      <c r="A4376" t="str">
        <f t="shared" si="340"/>
        <v/>
      </c>
      <c r="B4376" t="str">
        <f t="shared" si="341"/>
        <v/>
      </c>
      <c r="C4376" t="str">
        <f t="shared" si="342"/>
        <v/>
      </c>
      <c r="D4376" t="str">
        <f>IF(E4376="","",IF(COUNTIF($E$2:E4376,E4376)&gt;1,"",SUMIFS(tbl_input[필요수량],tbl_input[집계키_지청],E4376)))</f>
        <v/>
      </c>
      <c r="E4376" t="str">
        <f>IFERROR(INDEX(tbl_input[집계키_지청],ROW()-1),"")</f>
        <v/>
      </c>
      <c r="F4376" t="str">
        <f t="shared" si="343"/>
        <v/>
      </c>
      <c r="G4376" t="str">
        <f t="shared" si="344"/>
        <v/>
      </c>
    </row>
    <row r="4377" spans="1:7" x14ac:dyDescent="0.4">
      <c r="A4377" t="str">
        <f t="shared" si="340"/>
        <v/>
      </c>
      <c r="B4377" t="str">
        <f t="shared" si="341"/>
        <v/>
      </c>
      <c r="C4377" t="str">
        <f t="shared" si="342"/>
        <v/>
      </c>
      <c r="D4377" t="str">
        <f>IF(E4377="","",IF(COUNTIF($E$2:E4377,E4377)&gt;1,"",SUMIFS(tbl_input[필요수량],tbl_input[집계키_지청],E4377)))</f>
        <v/>
      </c>
      <c r="E4377" t="str">
        <f>IFERROR(INDEX(tbl_input[집계키_지청],ROW()-1),"")</f>
        <v/>
      </c>
      <c r="F4377" t="str">
        <f t="shared" si="343"/>
        <v/>
      </c>
      <c r="G4377" t="str">
        <f t="shared" si="344"/>
        <v/>
      </c>
    </row>
    <row r="4378" spans="1:7" x14ac:dyDescent="0.4">
      <c r="A4378" t="str">
        <f t="shared" si="340"/>
        <v/>
      </c>
      <c r="B4378" t="str">
        <f t="shared" si="341"/>
        <v/>
      </c>
      <c r="C4378" t="str">
        <f t="shared" si="342"/>
        <v/>
      </c>
      <c r="D4378" t="str">
        <f>IF(E4378="","",IF(COUNTIF($E$2:E4378,E4378)&gt;1,"",SUMIFS(tbl_input[필요수량],tbl_input[집계키_지청],E4378)))</f>
        <v/>
      </c>
      <c r="E4378" t="str">
        <f>IFERROR(INDEX(tbl_input[집계키_지청],ROW()-1),"")</f>
        <v/>
      </c>
      <c r="F4378" t="str">
        <f t="shared" si="343"/>
        <v/>
      </c>
      <c r="G4378" t="str">
        <f t="shared" si="344"/>
        <v/>
      </c>
    </row>
    <row r="4379" spans="1:7" x14ac:dyDescent="0.4">
      <c r="A4379" t="str">
        <f t="shared" si="340"/>
        <v/>
      </c>
      <c r="B4379" t="str">
        <f t="shared" si="341"/>
        <v/>
      </c>
      <c r="C4379" t="str">
        <f t="shared" si="342"/>
        <v/>
      </c>
      <c r="D4379" t="str">
        <f>IF(E4379="","",IF(COUNTIF($E$2:E4379,E4379)&gt;1,"",SUMIFS(tbl_input[필요수량],tbl_input[집계키_지청],E4379)))</f>
        <v/>
      </c>
      <c r="E4379" t="str">
        <f>IFERROR(INDEX(tbl_input[집계키_지청],ROW()-1),"")</f>
        <v/>
      </c>
      <c r="F4379" t="str">
        <f t="shared" si="343"/>
        <v/>
      </c>
      <c r="G4379" t="str">
        <f t="shared" si="344"/>
        <v/>
      </c>
    </row>
    <row r="4380" spans="1:7" x14ac:dyDescent="0.4">
      <c r="A4380" t="str">
        <f t="shared" si="340"/>
        <v/>
      </c>
      <c r="B4380" t="str">
        <f t="shared" si="341"/>
        <v/>
      </c>
      <c r="C4380" t="str">
        <f t="shared" si="342"/>
        <v/>
      </c>
      <c r="D4380" t="str">
        <f>IF(E4380="","",IF(COUNTIF($E$2:E4380,E4380)&gt;1,"",SUMIFS(tbl_input[필요수량],tbl_input[집계키_지청],E4380)))</f>
        <v/>
      </c>
      <c r="E4380" t="str">
        <f>IFERROR(INDEX(tbl_input[집계키_지청],ROW()-1),"")</f>
        <v/>
      </c>
      <c r="F4380" t="str">
        <f t="shared" si="343"/>
        <v/>
      </c>
      <c r="G4380" t="str">
        <f t="shared" si="344"/>
        <v/>
      </c>
    </row>
    <row r="4381" spans="1:7" x14ac:dyDescent="0.4">
      <c r="A4381" t="str">
        <f t="shared" si="340"/>
        <v/>
      </c>
      <c r="B4381" t="str">
        <f t="shared" si="341"/>
        <v/>
      </c>
      <c r="C4381" t="str">
        <f t="shared" si="342"/>
        <v/>
      </c>
      <c r="D4381" t="str">
        <f>IF(E4381="","",IF(COUNTIF($E$2:E4381,E4381)&gt;1,"",SUMIFS(tbl_input[필요수량],tbl_input[집계키_지청],E4381)))</f>
        <v/>
      </c>
      <c r="E4381" t="str">
        <f>IFERROR(INDEX(tbl_input[집계키_지청],ROW()-1),"")</f>
        <v/>
      </c>
      <c r="F4381" t="str">
        <f t="shared" si="343"/>
        <v/>
      </c>
      <c r="G4381" t="str">
        <f t="shared" si="344"/>
        <v/>
      </c>
    </row>
    <row r="4382" spans="1:7" x14ac:dyDescent="0.4">
      <c r="A4382" t="str">
        <f t="shared" si="340"/>
        <v/>
      </c>
      <c r="B4382" t="str">
        <f t="shared" si="341"/>
        <v/>
      </c>
      <c r="C4382" t="str">
        <f t="shared" si="342"/>
        <v/>
      </c>
      <c r="D4382" t="str">
        <f>IF(E4382="","",IF(COUNTIF($E$2:E4382,E4382)&gt;1,"",SUMIFS(tbl_input[필요수량],tbl_input[집계키_지청],E4382)))</f>
        <v/>
      </c>
      <c r="E4382" t="str">
        <f>IFERROR(INDEX(tbl_input[집계키_지청],ROW()-1),"")</f>
        <v/>
      </c>
      <c r="F4382" t="str">
        <f t="shared" si="343"/>
        <v/>
      </c>
      <c r="G4382" t="str">
        <f t="shared" si="344"/>
        <v/>
      </c>
    </row>
    <row r="4383" spans="1:7" x14ac:dyDescent="0.4">
      <c r="A4383" t="str">
        <f t="shared" si="340"/>
        <v/>
      </c>
      <c r="B4383" t="str">
        <f t="shared" si="341"/>
        <v/>
      </c>
      <c r="C4383" t="str">
        <f t="shared" si="342"/>
        <v/>
      </c>
      <c r="D4383" t="str">
        <f>IF(E4383="","",IF(COUNTIF($E$2:E4383,E4383)&gt;1,"",SUMIFS(tbl_input[필요수량],tbl_input[집계키_지청],E4383)))</f>
        <v/>
      </c>
      <c r="E4383" t="str">
        <f>IFERROR(INDEX(tbl_input[집계키_지청],ROW()-1),"")</f>
        <v/>
      </c>
      <c r="F4383" t="str">
        <f t="shared" si="343"/>
        <v/>
      </c>
      <c r="G4383" t="str">
        <f t="shared" si="344"/>
        <v/>
      </c>
    </row>
    <row r="4384" spans="1:7" x14ac:dyDescent="0.4">
      <c r="A4384" t="str">
        <f t="shared" si="340"/>
        <v/>
      </c>
      <c r="B4384" t="str">
        <f t="shared" si="341"/>
        <v/>
      </c>
      <c r="C4384" t="str">
        <f t="shared" si="342"/>
        <v/>
      </c>
      <c r="D4384" t="str">
        <f>IF(E4384="","",IF(COUNTIF($E$2:E4384,E4384)&gt;1,"",SUMIFS(tbl_input[필요수량],tbl_input[집계키_지청],E4384)))</f>
        <v/>
      </c>
      <c r="E4384" t="str">
        <f>IFERROR(INDEX(tbl_input[집계키_지청],ROW()-1),"")</f>
        <v/>
      </c>
      <c r="F4384" t="str">
        <f t="shared" si="343"/>
        <v/>
      </c>
      <c r="G4384" t="str">
        <f t="shared" si="344"/>
        <v/>
      </c>
    </row>
    <row r="4385" spans="1:7" x14ac:dyDescent="0.4">
      <c r="A4385" t="str">
        <f t="shared" si="340"/>
        <v/>
      </c>
      <c r="B4385" t="str">
        <f t="shared" si="341"/>
        <v/>
      </c>
      <c r="C4385" t="str">
        <f t="shared" si="342"/>
        <v/>
      </c>
      <c r="D4385" t="str">
        <f>IF(E4385="","",IF(COUNTIF($E$2:E4385,E4385)&gt;1,"",SUMIFS(tbl_input[필요수량],tbl_input[집계키_지청],E4385)))</f>
        <v/>
      </c>
      <c r="E4385" t="str">
        <f>IFERROR(INDEX(tbl_input[집계키_지청],ROW()-1),"")</f>
        <v/>
      </c>
      <c r="F4385" t="str">
        <f t="shared" si="343"/>
        <v/>
      </c>
      <c r="G4385" t="str">
        <f t="shared" si="344"/>
        <v/>
      </c>
    </row>
    <row r="4386" spans="1:7" x14ac:dyDescent="0.4">
      <c r="A4386" t="str">
        <f t="shared" si="340"/>
        <v/>
      </c>
      <c r="B4386" t="str">
        <f t="shared" si="341"/>
        <v/>
      </c>
      <c r="C4386" t="str">
        <f t="shared" si="342"/>
        <v/>
      </c>
      <c r="D4386" t="str">
        <f>IF(E4386="","",IF(COUNTIF($E$2:E4386,E4386)&gt;1,"",SUMIFS(tbl_input[필요수량],tbl_input[집계키_지청],E4386)))</f>
        <v/>
      </c>
      <c r="E4386" t="str">
        <f>IFERROR(INDEX(tbl_input[집계키_지청],ROW()-1),"")</f>
        <v/>
      </c>
      <c r="F4386" t="str">
        <f t="shared" si="343"/>
        <v/>
      </c>
      <c r="G4386" t="str">
        <f t="shared" si="344"/>
        <v/>
      </c>
    </row>
    <row r="4387" spans="1:7" x14ac:dyDescent="0.4">
      <c r="A4387" t="str">
        <f t="shared" si="340"/>
        <v/>
      </c>
      <c r="B4387" t="str">
        <f t="shared" si="341"/>
        <v/>
      </c>
      <c r="C4387" t="str">
        <f t="shared" si="342"/>
        <v/>
      </c>
      <c r="D4387" t="str">
        <f>IF(E4387="","",IF(COUNTIF($E$2:E4387,E4387)&gt;1,"",SUMIFS(tbl_input[필요수량],tbl_input[집계키_지청],E4387)))</f>
        <v/>
      </c>
      <c r="E4387" t="str">
        <f>IFERROR(INDEX(tbl_input[집계키_지청],ROW()-1),"")</f>
        <v/>
      </c>
      <c r="F4387" t="str">
        <f t="shared" si="343"/>
        <v/>
      </c>
      <c r="G4387" t="str">
        <f t="shared" si="344"/>
        <v/>
      </c>
    </row>
    <row r="4388" spans="1:7" x14ac:dyDescent="0.4">
      <c r="A4388" t="str">
        <f t="shared" si="340"/>
        <v/>
      </c>
      <c r="B4388" t="str">
        <f t="shared" si="341"/>
        <v/>
      </c>
      <c r="C4388" t="str">
        <f t="shared" si="342"/>
        <v/>
      </c>
      <c r="D4388" t="str">
        <f>IF(E4388="","",IF(COUNTIF($E$2:E4388,E4388)&gt;1,"",SUMIFS(tbl_input[필요수량],tbl_input[집계키_지청],E4388)))</f>
        <v/>
      </c>
      <c r="E4388" t="str">
        <f>IFERROR(INDEX(tbl_input[집계키_지청],ROW()-1),"")</f>
        <v/>
      </c>
      <c r="F4388" t="str">
        <f t="shared" si="343"/>
        <v/>
      </c>
      <c r="G4388" t="str">
        <f t="shared" si="344"/>
        <v/>
      </c>
    </row>
    <row r="4389" spans="1:7" x14ac:dyDescent="0.4">
      <c r="A4389" t="str">
        <f t="shared" si="340"/>
        <v/>
      </c>
      <c r="B4389" t="str">
        <f t="shared" si="341"/>
        <v/>
      </c>
      <c r="C4389" t="str">
        <f t="shared" si="342"/>
        <v/>
      </c>
      <c r="D4389" t="str">
        <f>IF(E4389="","",IF(COUNTIF($E$2:E4389,E4389)&gt;1,"",SUMIFS(tbl_input[필요수량],tbl_input[집계키_지청],E4389)))</f>
        <v/>
      </c>
      <c r="E4389" t="str">
        <f>IFERROR(INDEX(tbl_input[집계키_지청],ROW()-1),"")</f>
        <v/>
      </c>
      <c r="F4389" t="str">
        <f t="shared" si="343"/>
        <v/>
      </c>
      <c r="G4389" t="str">
        <f t="shared" si="344"/>
        <v/>
      </c>
    </row>
    <row r="4390" spans="1:7" x14ac:dyDescent="0.4">
      <c r="A4390" t="str">
        <f t="shared" si="340"/>
        <v/>
      </c>
      <c r="B4390" t="str">
        <f t="shared" si="341"/>
        <v/>
      </c>
      <c r="C4390" t="str">
        <f t="shared" si="342"/>
        <v/>
      </c>
      <c r="D4390" t="str">
        <f>IF(E4390="","",IF(COUNTIF($E$2:E4390,E4390)&gt;1,"",SUMIFS(tbl_input[필요수량],tbl_input[집계키_지청],E4390)))</f>
        <v/>
      </c>
      <c r="E4390" t="str">
        <f>IFERROR(INDEX(tbl_input[집계키_지청],ROW()-1),"")</f>
        <v/>
      </c>
      <c r="F4390" t="str">
        <f t="shared" si="343"/>
        <v/>
      </c>
      <c r="G4390" t="str">
        <f t="shared" si="344"/>
        <v/>
      </c>
    </row>
    <row r="4391" spans="1:7" x14ac:dyDescent="0.4">
      <c r="A4391" t="str">
        <f t="shared" si="340"/>
        <v/>
      </c>
      <c r="B4391" t="str">
        <f t="shared" si="341"/>
        <v/>
      </c>
      <c r="C4391" t="str">
        <f t="shared" si="342"/>
        <v/>
      </c>
      <c r="D4391" t="str">
        <f>IF(E4391="","",IF(COUNTIF($E$2:E4391,E4391)&gt;1,"",SUMIFS(tbl_input[필요수량],tbl_input[집계키_지청],E4391)))</f>
        <v/>
      </c>
      <c r="E4391" t="str">
        <f>IFERROR(INDEX(tbl_input[집계키_지청],ROW()-1),"")</f>
        <v/>
      </c>
      <c r="F4391" t="str">
        <f t="shared" si="343"/>
        <v/>
      </c>
      <c r="G4391" t="str">
        <f t="shared" si="344"/>
        <v/>
      </c>
    </row>
    <row r="4392" spans="1:7" x14ac:dyDescent="0.4">
      <c r="A4392" t="str">
        <f t="shared" si="340"/>
        <v/>
      </c>
      <c r="B4392" t="str">
        <f t="shared" si="341"/>
        <v/>
      </c>
      <c r="C4392" t="str">
        <f t="shared" si="342"/>
        <v/>
      </c>
      <c r="D4392" t="str">
        <f>IF(E4392="","",IF(COUNTIF($E$2:E4392,E4392)&gt;1,"",SUMIFS(tbl_input[필요수량],tbl_input[집계키_지청],E4392)))</f>
        <v/>
      </c>
      <c r="E4392" t="str">
        <f>IFERROR(INDEX(tbl_input[집계키_지청],ROW()-1),"")</f>
        <v/>
      </c>
      <c r="F4392" t="str">
        <f t="shared" si="343"/>
        <v/>
      </c>
      <c r="G4392" t="str">
        <f t="shared" si="344"/>
        <v/>
      </c>
    </row>
    <row r="4393" spans="1:7" x14ac:dyDescent="0.4">
      <c r="A4393" t="str">
        <f t="shared" si="340"/>
        <v/>
      </c>
      <c r="B4393" t="str">
        <f t="shared" si="341"/>
        <v/>
      </c>
      <c r="C4393" t="str">
        <f t="shared" si="342"/>
        <v/>
      </c>
      <c r="D4393" t="str">
        <f>IF(E4393="","",IF(COUNTIF($E$2:E4393,E4393)&gt;1,"",SUMIFS(tbl_input[필요수량],tbl_input[집계키_지청],E4393)))</f>
        <v/>
      </c>
      <c r="E4393" t="str">
        <f>IFERROR(INDEX(tbl_input[집계키_지청],ROW()-1),"")</f>
        <v/>
      </c>
      <c r="F4393" t="str">
        <f t="shared" si="343"/>
        <v/>
      </c>
      <c r="G4393" t="str">
        <f t="shared" si="344"/>
        <v/>
      </c>
    </row>
    <row r="4394" spans="1:7" x14ac:dyDescent="0.4">
      <c r="A4394" t="str">
        <f t="shared" si="340"/>
        <v/>
      </c>
      <c r="B4394" t="str">
        <f t="shared" si="341"/>
        <v/>
      </c>
      <c r="C4394" t="str">
        <f t="shared" si="342"/>
        <v/>
      </c>
      <c r="D4394" t="str">
        <f>IF(E4394="","",IF(COUNTIF($E$2:E4394,E4394)&gt;1,"",SUMIFS(tbl_input[필요수량],tbl_input[집계키_지청],E4394)))</f>
        <v/>
      </c>
      <c r="E4394" t="str">
        <f>IFERROR(INDEX(tbl_input[집계키_지청],ROW()-1),"")</f>
        <v/>
      </c>
      <c r="F4394" t="str">
        <f t="shared" si="343"/>
        <v/>
      </c>
      <c r="G4394" t="str">
        <f t="shared" si="344"/>
        <v/>
      </c>
    </row>
    <row r="4395" spans="1:7" x14ac:dyDescent="0.4">
      <c r="A4395" t="str">
        <f t="shared" si="340"/>
        <v/>
      </c>
      <c r="B4395" t="str">
        <f t="shared" si="341"/>
        <v/>
      </c>
      <c r="C4395" t="str">
        <f t="shared" si="342"/>
        <v/>
      </c>
      <c r="D4395" t="str">
        <f>IF(E4395="","",IF(COUNTIF($E$2:E4395,E4395)&gt;1,"",SUMIFS(tbl_input[필요수량],tbl_input[집계키_지청],E4395)))</f>
        <v/>
      </c>
      <c r="E4395" t="str">
        <f>IFERROR(INDEX(tbl_input[집계키_지청],ROW()-1),"")</f>
        <v/>
      </c>
      <c r="F4395" t="str">
        <f t="shared" si="343"/>
        <v/>
      </c>
      <c r="G4395" t="str">
        <f t="shared" si="344"/>
        <v/>
      </c>
    </row>
    <row r="4396" spans="1:7" x14ac:dyDescent="0.4">
      <c r="A4396" t="str">
        <f t="shared" si="340"/>
        <v/>
      </c>
      <c r="B4396" t="str">
        <f t="shared" si="341"/>
        <v/>
      </c>
      <c r="C4396" t="str">
        <f t="shared" si="342"/>
        <v/>
      </c>
      <c r="D4396" t="str">
        <f>IF(E4396="","",IF(COUNTIF($E$2:E4396,E4396)&gt;1,"",SUMIFS(tbl_input[필요수량],tbl_input[집계키_지청],E4396)))</f>
        <v/>
      </c>
      <c r="E4396" t="str">
        <f>IFERROR(INDEX(tbl_input[집계키_지청],ROW()-1),"")</f>
        <v/>
      </c>
      <c r="F4396" t="str">
        <f t="shared" si="343"/>
        <v/>
      </c>
      <c r="G4396" t="str">
        <f t="shared" si="344"/>
        <v/>
      </c>
    </row>
    <row r="4397" spans="1:7" x14ac:dyDescent="0.4">
      <c r="A4397" t="str">
        <f t="shared" si="340"/>
        <v/>
      </c>
      <c r="B4397" t="str">
        <f t="shared" si="341"/>
        <v/>
      </c>
      <c r="C4397" t="str">
        <f t="shared" si="342"/>
        <v/>
      </c>
      <c r="D4397" t="str">
        <f>IF(E4397="","",IF(COUNTIF($E$2:E4397,E4397)&gt;1,"",SUMIFS(tbl_input[필요수량],tbl_input[집계키_지청],E4397)))</f>
        <v/>
      </c>
      <c r="E4397" t="str">
        <f>IFERROR(INDEX(tbl_input[집계키_지청],ROW()-1),"")</f>
        <v/>
      </c>
      <c r="F4397" t="str">
        <f t="shared" si="343"/>
        <v/>
      </c>
      <c r="G4397" t="str">
        <f t="shared" si="344"/>
        <v/>
      </c>
    </row>
    <row r="4398" spans="1:7" x14ac:dyDescent="0.4">
      <c r="A4398" t="str">
        <f t="shared" si="340"/>
        <v/>
      </c>
      <c r="B4398" t="str">
        <f t="shared" si="341"/>
        <v/>
      </c>
      <c r="C4398" t="str">
        <f t="shared" si="342"/>
        <v/>
      </c>
      <c r="D4398" t="str">
        <f>IF(E4398="","",IF(COUNTIF($E$2:E4398,E4398)&gt;1,"",SUMIFS(tbl_input[필요수량],tbl_input[집계키_지청],E4398)))</f>
        <v/>
      </c>
      <c r="E4398" t="str">
        <f>IFERROR(INDEX(tbl_input[집계키_지청],ROW()-1),"")</f>
        <v/>
      </c>
      <c r="F4398" t="str">
        <f t="shared" si="343"/>
        <v/>
      </c>
      <c r="G4398" t="str">
        <f t="shared" si="344"/>
        <v/>
      </c>
    </row>
    <row r="4399" spans="1:7" x14ac:dyDescent="0.4">
      <c r="A4399" t="str">
        <f t="shared" si="340"/>
        <v/>
      </c>
      <c r="B4399" t="str">
        <f t="shared" si="341"/>
        <v/>
      </c>
      <c r="C4399" t="str">
        <f t="shared" si="342"/>
        <v/>
      </c>
      <c r="D4399" t="str">
        <f>IF(E4399="","",IF(COUNTIF($E$2:E4399,E4399)&gt;1,"",SUMIFS(tbl_input[필요수량],tbl_input[집계키_지청],E4399)))</f>
        <v/>
      </c>
      <c r="E4399" t="str">
        <f>IFERROR(INDEX(tbl_input[집계키_지청],ROW()-1),"")</f>
        <v/>
      </c>
      <c r="F4399" t="str">
        <f t="shared" si="343"/>
        <v/>
      </c>
      <c r="G4399" t="str">
        <f t="shared" si="344"/>
        <v/>
      </c>
    </row>
    <row r="4400" spans="1:7" x14ac:dyDescent="0.4">
      <c r="A4400" t="str">
        <f t="shared" si="340"/>
        <v/>
      </c>
      <c r="B4400" t="str">
        <f t="shared" si="341"/>
        <v/>
      </c>
      <c r="C4400" t="str">
        <f t="shared" si="342"/>
        <v/>
      </c>
      <c r="D4400" t="str">
        <f>IF(E4400="","",IF(COUNTIF($E$2:E4400,E4400)&gt;1,"",SUMIFS(tbl_input[필요수량],tbl_input[집계키_지청],E4400)))</f>
        <v/>
      </c>
      <c r="E4400" t="str">
        <f>IFERROR(INDEX(tbl_input[집계키_지청],ROW()-1),"")</f>
        <v/>
      </c>
      <c r="F4400" t="str">
        <f t="shared" si="343"/>
        <v/>
      </c>
      <c r="G4400" t="str">
        <f t="shared" si="344"/>
        <v/>
      </c>
    </row>
    <row r="4401" spans="1:7" x14ac:dyDescent="0.4">
      <c r="A4401" t="str">
        <f t="shared" si="340"/>
        <v/>
      </c>
      <c r="B4401" t="str">
        <f t="shared" si="341"/>
        <v/>
      </c>
      <c r="C4401" t="str">
        <f t="shared" si="342"/>
        <v/>
      </c>
      <c r="D4401" t="str">
        <f>IF(E4401="","",IF(COUNTIF($E$2:E4401,E4401)&gt;1,"",SUMIFS(tbl_input[필요수량],tbl_input[집계키_지청],E4401)))</f>
        <v/>
      </c>
      <c r="E4401" t="str">
        <f>IFERROR(INDEX(tbl_input[집계키_지청],ROW()-1),"")</f>
        <v/>
      </c>
      <c r="F4401" t="str">
        <f t="shared" si="343"/>
        <v/>
      </c>
      <c r="G4401" t="str">
        <f t="shared" si="344"/>
        <v/>
      </c>
    </row>
    <row r="4402" spans="1:7" x14ac:dyDescent="0.4">
      <c r="A4402" t="str">
        <f t="shared" si="340"/>
        <v/>
      </c>
      <c r="B4402" t="str">
        <f t="shared" si="341"/>
        <v/>
      </c>
      <c r="C4402" t="str">
        <f t="shared" si="342"/>
        <v/>
      </c>
      <c r="D4402" t="str">
        <f>IF(E4402="","",IF(COUNTIF($E$2:E4402,E4402)&gt;1,"",SUMIFS(tbl_input[필요수량],tbl_input[집계키_지청],E4402)))</f>
        <v/>
      </c>
      <c r="E4402" t="str">
        <f>IFERROR(INDEX(tbl_input[집계키_지청],ROW()-1),"")</f>
        <v/>
      </c>
      <c r="F4402" t="str">
        <f t="shared" si="343"/>
        <v/>
      </c>
      <c r="G4402" t="str">
        <f t="shared" si="344"/>
        <v/>
      </c>
    </row>
    <row r="4403" spans="1:7" x14ac:dyDescent="0.4">
      <c r="A4403" t="str">
        <f t="shared" si="340"/>
        <v/>
      </c>
      <c r="B4403" t="str">
        <f t="shared" si="341"/>
        <v/>
      </c>
      <c r="C4403" t="str">
        <f t="shared" si="342"/>
        <v/>
      </c>
      <c r="D4403" t="str">
        <f>IF(E4403="","",IF(COUNTIF($E$2:E4403,E4403)&gt;1,"",SUMIFS(tbl_input[필요수량],tbl_input[집계키_지청],E4403)))</f>
        <v/>
      </c>
      <c r="E4403" t="str">
        <f>IFERROR(INDEX(tbl_input[집계키_지청],ROW()-1),"")</f>
        <v/>
      </c>
      <c r="F4403" t="str">
        <f t="shared" si="343"/>
        <v/>
      </c>
      <c r="G4403" t="str">
        <f t="shared" si="344"/>
        <v/>
      </c>
    </row>
    <row r="4404" spans="1:7" x14ac:dyDescent="0.4">
      <c r="A4404" t="str">
        <f t="shared" si="340"/>
        <v/>
      </c>
      <c r="B4404" t="str">
        <f t="shared" si="341"/>
        <v/>
      </c>
      <c r="C4404" t="str">
        <f t="shared" si="342"/>
        <v/>
      </c>
      <c r="D4404" t="str">
        <f>IF(E4404="","",IF(COUNTIF($E$2:E4404,E4404)&gt;1,"",SUMIFS(tbl_input[필요수량],tbl_input[집계키_지청],E4404)))</f>
        <v/>
      </c>
      <c r="E4404" t="str">
        <f>IFERROR(INDEX(tbl_input[집계키_지청],ROW()-1),"")</f>
        <v/>
      </c>
      <c r="F4404" t="str">
        <f t="shared" si="343"/>
        <v/>
      </c>
      <c r="G4404" t="str">
        <f t="shared" si="344"/>
        <v/>
      </c>
    </row>
    <row r="4405" spans="1:7" x14ac:dyDescent="0.4">
      <c r="A4405" t="str">
        <f t="shared" si="340"/>
        <v/>
      </c>
      <c r="B4405" t="str">
        <f t="shared" si="341"/>
        <v/>
      </c>
      <c r="C4405" t="str">
        <f t="shared" si="342"/>
        <v/>
      </c>
      <c r="D4405" t="str">
        <f>IF(E4405="","",IF(COUNTIF($E$2:E4405,E4405)&gt;1,"",SUMIFS(tbl_input[필요수량],tbl_input[집계키_지청],E4405)))</f>
        <v/>
      </c>
      <c r="E4405" t="str">
        <f>IFERROR(INDEX(tbl_input[집계키_지청],ROW()-1),"")</f>
        <v/>
      </c>
      <c r="F4405" t="str">
        <f t="shared" si="343"/>
        <v/>
      </c>
      <c r="G4405" t="str">
        <f t="shared" si="344"/>
        <v/>
      </c>
    </row>
    <row r="4406" spans="1:7" x14ac:dyDescent="0.4">
      <c r="A4406" t="str">
        <f t="shared" si="340"/>
        <v/>
      </c>
      <c r="B4406" t="str">
        <f t="shared" si="341"/>
        <v/>
      </c>
      <c r="C4406" t="str">
        <f t="shared" si="342"/>
        <v/>
      </c>
      <c r="D4406" t="str">
        <f>IF(E4406="","",IF(COUNTIF($E$2:E4406,E4406)&gt;1,"",SUMIFS(tbl_input[필요수량],tbl_input[집계키_지청],E4406)))</f>
        <v/>
      </c>
      <c r="E4406" t="str">
        <f>IFERROR(INDEX(tbl_input[집계키_지청],ROW()-1),"")</f>
        <v/>
      </c>
      <c r="F4406" t="str">
        <f t="shared" si="343"/>
        <v/>
      </c>
      <c r="G4406" t="str">
        <f t="shared" si="344"/>
        <v/>
      </c>
    </row>
    <row r="4407" spans="1:7" x14ac:dyDescent="0.4">
      <c r="A4407" t="str">
        <f t="shared" si="340"/>
        <v/>
      </c>
      <c r="B4407" t="str">
        <f t="shared" si="341"/>
        <v/>
      </c>
      <c r="C4407" t="str">
        <f t="shared" si="342"/>
        <v/>
      </c>
      <c r="D4407" t="str">
        <f>IF(E4407="","",IF(COUNTIF($E$2:E4407,E4407)&gt;1,"",SUMIFS(tbl_input[필요수량],tbl_input[집계키_지청],E4407)))</f>
        <v/>
      </c>
      <c r="E4407" t="str">
        <f>IFERROR(INDEX(tbl_input[집계키_지청],ROW()-1),"")</f>
        <v/>
      </c>
      <c r="F4407" t="str">
        <f t="shared" si="343"/>
        <v/>
      </c>
      <c r="G4407" t="str">
        <f t="shared" si="344"/>
        <v/>
      </c>
    </row>
    <row r="4408" spans="1:7" x14ac:dyDescent="0.4">
      <c r="A4408" t="str">
        <f t="shared" si="340"/>
        <v/>
      </c>
      <c r="B4408" t="str">
        <f t="shared" si="341"/>
        <v/>
      </c>
      <c r="C4408" t="str">
        <f t="shared" si="342"/>
        <v/>
      </c>
      <c r="D4408" t="str">
        <f>IF(E4408="","",IF(COUNTIF($E$2:E4408,E4408)&gt;1,"",SUMIFS(tbl_input[필요수량],tbl_input[집계키_지청],E4408)))</f>
        <v/>
      </c>
      <c r="E4408" t="str">
        <f>IFERROR(INDEX(tbl_input[집계키_지청],ROW()-1),"")</f>
        <v/>
      </c>
      <c r="F4408" t="str">
        <f t="shared" si="343"/>
        <v/>
      </c>
      <c r="G4408" t="str">
        <f t="shared" si="344"/>
        <v/>
      </c>
    </row>
    <row r="4409" spans="1:7" x14ac:dyDescent="0.4">
      <c r="A4409" t="str">
        <f t="shared" si="340"/>
        <v/>
      </c>
      <c r="B4409" t="str">
        <f t="shared" si="341"/>
        <v/>
      </c>
      <c r="C4409" t="str">
        <f t="shared" si="342"/>
        <v/>
      </c>
      <c r="D4409" t="str">
        <f>IF(E4409="","",IF(COUNTIF($E$2:E4409,E4409)&gt;1,"",SUMIFS(tbl_input[필요수량],tbl_input[집계키_지청],E4409)))</f>
        <v/>
      </c>
      <c r="E4409" t="str">
        <f>IFERROR(INDEX(tbl_input[집계키_지청],ROW()-1),"")</f>
        <v/>
      </c>
      <c r="F4409" t="str">
        <f t="shared" si="343"/>
        <v/>
      </c>
      <c r="G4409" t="str">
        <f t="shared" si="344"/>
        <v/>
      </c>
    </row>
    <row r="4410" spans="1:7" x14ac:dyDescent="0.4">
      <c r="A4410" t="str">
        <f t="shared" si="340"/>
        <v/>
      </c>
      <c r="B4410" t="str">
        <f t="shared" si="341"/>
        <v/>
      </c>
      <c r="C4410" t="str">
        <f t="shared" si="342"/>
        <v/>
      </c>
      <c r="D4410" t="str">
        <f>IF(E4410="","",IF(COUNTIF($E$2:E4410,E4410)&gt;1,"",SUMIFS(tbl_input[필요수량],tbl_input[집계키_지청],E4410)))</f>
        <v/>
      </c>
      <c r="E4410" t="str">
        <f>IFERROR(INDEX(tbl_input[집계키_지청],ROW()-1),"")</f>
        <v/>
      </c>
      <c r="F4410" t="str">
        <f t="shared" si="343"/>
        <v/>
      </c>
      <c r="G4410" t="str">
        <f t="shared" si="344"/>
        <v/>
      </c>
    </row>
    <row r="4411" spans="1:7" x14ac:dyDescent="0.4">
      <c r="A4411" t="str">
        <f t="shared" si="340"/>
        <v/>
      </c>
      <c r="B4411" t="str">
        <f t="shared" si="341"/>
        <v/>
      </c>
      <c r="C4411" t="str">
        <f t="shared" si="342"/>
        <v/>
      </c>
      <c r="D4411" t="str">
        <f>IF(E4411="","",IF(COUNTIF($E$2:E4411,E4411)&gt;1,"",SUMIFS(tbl_input[필요수량],tbl_input[집계키_지청],E4411)))</f>
        <v/>
      </c>
      <c r="E4411" t="str">
        <f>IFERROR(INDEX(tbl_input[집계키_지청],ROW()-1),"")</f>
        <v/>
      </c>
      <c r="F4411" t="str">
        <f t="shared" si="343"/>
        <v/>
      </c>
      <c r="G4411" t="str">
        <f t="shared" si="344"/>
        <v/>
      </c>
    </row>
    <row r="4412" spans="1:7" x14ac:dyDescent="0.4">
      <c r="A4412" t="str">
        <f t="shared" si="340"/>
        <v/>
      </c>
      <c r="B4412" t="str">
        <f t="shared" si="341"/>
        <v/>
      </c>
      <c r="C4412" t="str">
        <f t="shared" si="342"/>
        <v/>
      </c>
      <c r="D4412" t="str">
        <f>IF(E4412="","",IF(COUNTIF($E$2:E4412,E4412)&gt;1,"",SUMIFS(tbl_input[필요수량],tbl_input[집계키_지청],E4412)))</f>
        <v/>
      </c>
      <c r="E4412" t="str">
        <f>IFERROR(INDEX(tbl_input[집계키_지청],ROW()-1),"")</f>
        <v/>
      </c>
      <c r="F4412" t="str">
        <f t="shared" si="343"/>
        <v/>
      </c>
      <c r="G4412" t="str">
        <f t="shared" si="344"/>
        <v/>
      </c>
    </row>
    <row r="4413" spans="1:7" x14ac:dyDescent="0.4">
      <c r="A4413" t="str">
        <f t="shared" si="340"/>
        <v/>
      </c>
      <c r="B4413" t="str">
        <f t="shared" si="341"/>
        <v/>
      </c>
      <c r="C4413" t="str">
        <f t="shared" si="342"/>
        <v/>
      </c>
      <c r="D4413" t="str">
        <f>IF(E4413="","",IF(COUNTIF($E$2:E4413,E4413)&gt;1,"",SUMIFS(tbl_input[필요수량],tbl_input[집계키_지청],E4413)))</f>
        <v/>
      </c>
      <c r="E4413" t="str">
        <f>IFERROR(INDEX(tbl_input[집계키_지청],ROW()-1),"")</f>
        <v/>
      </c>
      <c r="F4413" t="str">
        <f t="shared" si="343"/>
        <v/>
      </c>
      <c r="G4413" t="str">
        <f t="shared" si="344"/>
        <v/>
      </c>
    </row>
    <row r="4414" spans="1:7" x14ac:dyDescent="0.4">
      <c r="A4414" t="str">
        <f t="shared" si="340"/>
        <v/>
      </c>
      <c r="B4414" t="str">
        <f t="shared" si="341"/>
        <v/>
      </c>
      <c r="C4414" t="str">
        <f t="shared" si="342"/>
        <v/>
      </c>
      <c r="D4414" t="str">
        <f>IF(E4414="","",IF(COUNTIF($E$2:E4414,E4414)&gt;1,"",SUMIFS(tbl_input[필요수량],tbl_input[집계키_지청],E4414)))</f>
        <v/>
      </c>
      <c r="E4414" t="str">
        <f>IFERROR(INDEX(tbl_input[집계키_지청],ROW()-1),"")</f>
        <v/>
      </c>
      <c r="F4414" t="str">
        <f t="shared" si="343"/>
        <v/>
      </c>
      <c r="G4414" t="str">
        <f t="shared" si="344"/>
        <v/>
      </c>
    </row>
    <row r="4415" spans="1:7" x14ac:dyDescent="0.4">
      <c r="A4415" t="str">
        <f t="shared" si="340"/>
        <v/>
      </c>
      <c r="B4415" t="str">
        <f t="shared" si="341"/>
        <v/>
      </c>
      <c r="C4415" t="str">
        <f t="shared" si="342"/>
        <v/>
      </c>
      <c r="D4415" t="str">
        <f>IF(E4415="","",IF(COUNTIF($E$2:E4415,E4415)&gt;1,"",SUMIFS(tbl_input[필요수량],tbl_input[집계키_지청],E4415)))</f>
        <v/>
      </c>
      <c r="E4415" t="str">
        <f>IFERROR(INDEX(tbl_input[집계키_지청],ROW()-1),"")</f>
        <v/>
      </c>
      <c r="F4415" t="str">
        <f t="shared" si="343"/>
        <v/>
      </c>
      <c r="G4415" t="str">
        <f t="shared" si="344"/>
        <v/>
      </c>
    </row>
    <row r="4416" spans="1:7" x14ac:dyDescent="0.4">
      <c r="A4416" t="str">
        <f t="shared" si="340"/>
        <v/>
      </c>
      <c r="B4416" t="str">
        <f t="shared" si="341"/>
        <v/>
      </c>
      <c r="C4416" t="str">
        <f t="shared" si="342"/>
        <v/>
      </c>
      <c r="D4416" t="str">
        <f>IF(E4416="","",IF(COUNTIF($E$2:E4416,E4416)&gt;1,"",SUMIFS(tbl_input[필요수량],tbl_input[집계키_지청],E4416)))</f>
        <v/>
      </c>
      <c r="E4416" t="str">
        <f>IFERROR(INDEX(tbl_input[집계키_지청],ROW()-1),"")</f>
        <v/>
      </c>
      <c r="F4416" t="str">
        <f t="shared" si="343"/>
        <v/>
      </c>
      <c r="G4416" t="str">
        <f t="shared" si="344"/>
        <v/>
      </c>
    </row>
    <row r="4417" spans="1:7" x14ac:dyDescent="0.4">
      <c r="A4417" t="str">
        <f t="shared" si="340"/>
        <v/>
      </c>
      <c r="B4417" t="str">
        <f t="shared" si="341"/>
        <v/>
      </c>
      <c r="C4417" t="str">
        <f t="shared" si="342"/>
        <v/>
      </c>
      <c r="D4417" t="str">
        <f>IF(E4417="","",IF(COUNTIF($E$2:E4417,E4417)&gt;1,"",SUMIFS(tbl_input[필요수량],tbl_input[집계키_지청],E4417)))</f>
        <v/>
      </c>
      <c r="E4417" t="str">
        <f>IFERROR(INDEX(tbl_input[집계키_지청],ROW()-1),"")</f>
        <v/>
      </c>
      <c r="F4417" t="str">
        <f t="shared" si="343"/>
        <v/>
      </c>
      <c r="G4417" t="str">
        <f t="shared" si="344"/>
        <v/>
      </c>
    </row>
    <row r="4418" spans="1:7" x14ac:dyDescent="0.4">
      <c r="A4418" t="str">
        <f t="shared" ref="A4418:A4481" si="345">IF(E4418="","",LEFT(E4418,F4418-1))</f>
        <v/>
      </c>
      <c r="B4418" t="str">
        <f t="shared" ref="B4418:B4481" si="346">IF(E4418="","",MID(E4418,F4418+1,G4418-F4418-1))</f>
        <v/>
      </c>
      <c r="C4418" t="str">
        <f t="shared" ref="C4418:C4481" si="347">IF(E4418="","",MID(E4418,G4418+1,999))</f>
        <v/>
      </c>
      <c r="D4418" t="str">
        <f>IF(E4418="","",IF(COUNTIF($E$2:E4418,E4418)&gt;1,"",SUMIFS(tbl_input[필요수량],tbl_input[집계키_지청],E4418)))</f>
        <v/>
      </c>
      <c r="E4418" t="str">
        <f>IFERROR(INDEX(tbl_input[집계키_지청],ROW()-1),"")</f>
        <v/>
      </c>
      <c r="F4418" t="str">
        <f t="shared" ref="F4418:F4481" si="348">IF(E4418="","",FIND("♦",E4418))</f>
        <v/>
      </c>
      <c r="G4418" t="str">
        <f t="shared" ref="G4418:G4481" si="349">IF(E4418="","",FIND("♦",E4418,F4418+1))</f>
        <v/>
      </c>
    </row>
    <row r="4419" spans="1:7" x14ac:dyDescent="0.4">
      <c r="A4419" t="str">
        <f t="shared" si="345"/>
        <v/>
      </c>
      <c r="B4419" t="str">
        <f t="shared" si="346"/>
        <v/>
      </c>
      <c r="C4419" t="str">
        <f t="shared" si="347"/>
        <v/>
      </c>
      <c r="D4419" t="str">
        <f>IF(E4419="","",IF(COUNTIF($E$2:E4419,E4419)&gt;1,"",SUMIFS(tbl_input[필요수량],tbl_input[집계키_지청],E4419)))</f>
        <v/>
      </c>
      <c r="E4419" t="str">
        <f>IFERROR(INDEX(tbl_input[집계키_지청],ROW()-1),"")</f>
        <v/>
      </c>
      <c r="F4419" t="str">
        <f t="shared" si="348"/>
        <v/>
      </c>
      <c r="G4419" t="str">
        <f t="shared" si="349"/>
        <v/>
      </c>
    </row>
    <row r="4420" spans="1:7" x14ac:dyDescent="0.4">
      <c r="A4420" t="str">
        <f t="shared" si="345"/>
        <v/>
      </c>
      <c r="B4420" t="str">
        <f t="shared" si="346"/>
        <v/>
      </c>
      <c r="C4420" t="str">
        <f t="shared" si="347"/>
        <v/>
      </c>
      <c r="D4420" t="str">
        <f>IF(E4420="","",IF(COUNTIF($E$2:E4420,E4420)&gt;1,"",SUMIFS(tbl_input[필요수량],tbl_input[집계키_지청],E4420)))</f>
        <v/>
      </c>
      <c r="E4420" t="str">
        <f>IFERROR(INDEX(tbl_input[집계키_지청],ROW()-1),"")</f>
        <v/>
      </c>
      <c r="F4420" t="str">
        <f t="shared" si="348"/>
        <v/>
      </c>
      <c r="G4420" t="str">
        <f t="shared" si="349"/>
        <v/>
      </c>
    </row>
    <row r="4421" spans="1:7" x14ac:dyDescent="0.4">
      <c r="A4421" t="str">
        <f t="shared" si="345"/>
        <v/>
      </c>
      <c r="B4421" t="str">
        <f t="shared" si="346"/>
        <v/>
      </c>
      <c r="C4421" t="str">
        <f t="shared" si="347"/>
        <v/>
      </c>
      <c r="D4421" t="str">
        <f>IF(E4421="","",IF(COUNTIF($E$2:E4421,E4421)&gt;1,"",SUMIFS(tbl_input[필요수량],tbl_input[집계키_지청],E4421)))</f>
        <v/>
      </c>
      <c r="E4421" t="str">
        <f>IFERROR(INDEX(tbl_input[집계키_지청],ROW()-1),"")</f>
        <v/>
      </c>
      <c r="F4421" t="str">
        <f t="shared" si="348"/>
        <v/>
      </c>
      <c r="G4421" t="str">
        <f t="shared" si="349"/>
        <v/>
      </c>
    </row>
    <row r="4422" spans="1:7" x14ac:dyDescent="0.4">
      <c r="A4422" t="str">
        <f t="shared" si="345"/>
        <v/>
      </c>
      <c r="B4422" t="str">
        <f t="shared" si="346"/>
        <v/>
      </c>
      <c r="C4422" t="str">
        <f t="shared" si="347"/>
        <v/>
      </c>
      <c r="D4422" t="str">
        <f>IF(E4422="","",IF(COUNTIF($E$2:E4422,E4422)&gt;1,"",SUMIFS(tbl_input[필요수량],tbl_input[집계키_지청],E4422)))</f>
        <v/>
      </c>
      <c r="E4422" t="str">
        <f>IFERROR(INDEX(tbl_input[집계키_지청],ROW()-1),"")</f>
        <v/>
      </c>
      <c r="F4422" t="str">
        <f t="shared" si="348"/>
        <v/>
      </c>
      <c r="G4422" t="str">
        <f t="shared" si="349"/>
        <v/>
      </c>
    </row>
    <row r="4423" spans="1:7" x14ac:dyDescent="0.4">
      <c r="A4423" t="str">
        <f t="shared" si="345"/>
        <v/>
      </c>
      <c r="B4423" t="str">
        <f t="shared" si="346"/>
        <v/>
      </c>
      <c r="C4423" t="str">
        <f t="shared" si="347"/>
        <v/>
      </c>
      <c r="D4423" t="str">
        <f>IF(E4423="","",IF(COUNTIF($E$2:E4423,E4423)&gt;1,"",SUMIFS(tbl_input[필요수량],tbl_input[집계키_지청],E4423)))</f>
        <v/>
      </c>
      <c r="E4423" t="str">
        <f>IFERROR(INDEX(tbl_input[집계키_지청],ROW()-1),"")</f>
        <v/>
      </c>
      <c r="F4423" t="str">
        <f t="shared" si="348"/>
        <v/>
      </c>
      <c r="G4423" t="str">
        <f t="shared" si="349"/>
        <v/>
      </c>
    </row>
    <row r="4424" spans="1:7" x14ac:dyDescent="0.4">
      <c r="A4424" t="str">
        <f t="shared" si="345"/>
        <v/>
      </c>
      <c r="B4424" t="str">
        <f t="shared" si="346"/>
        <v/>
      </c>
      <c r="C4424" t="str">
        <f t="shared" si="347"/>
        <v/>
      </c>
      <c r="D4424" t="str">
        <f>IF(E4424="","",IF(COUNTIF($E$2:E4424,E4424)&gt;1,"",SUMIFS(tbl_input[필요수량],tbl_input[집계키_지청],E4424)))</f>
        <v/>
      </c>
      <c r="E4424" t="str">
        <f>IFERROR(INDEX(tbl_input[집계키_지청],ROW()-1),"")</f>
        <v/>
      </c>
      <c r="F4424" t="str">
        <f t="shared" si="348"/>
        <v/>
      </c>
      <c r="G4424" t="str">
        <f t="shared" si="349"/>
        <v/>
      </c>
    </row>
    <row r="4425" spans="1:7" x14ac:dyDescent="0.4">
      <c r="A4425" t="str">
        <f t="shared" si="345"/>
        <v/>
      </c>
      <c r="B4425" t="str">
        <f t="shared" si="346"/>
        <v/>
      </c>
      <c r="C4425" t="str">
        <f t="shared" si="347"/>
        <v/>
      </c>
      <c r="D4425" t="str">
        <f>IF(E4425="","",IF(COUNTIF($E$2:E4425,E4425)&gt;1,"",SUMIFS(tbl_input[필요수량],tbl_input[집계키_지청],E4425)))</f>
        <v/>
      </c>
      <c r="E4425" t="str">
        <f>IFERROR(INDEX(tbl_input[집계키_지청],ROW()-1),"")</f>
        <v/>
      </c>
      <c r="F4425" t="str">
        <f t="shared" si="348"/>
        <v/>
      </c>
      <c r="G4425" t="str">
        <f t="shared" si="349"/>
        <v/>
      </c>
    </row>
    <row r="4426" spans="1:7" x14ac:dyDescent="0.4">
      <c r="A4426" t="str">
        <f t="shared" si="345"/>
        <v/>
      </c>
      <c r="B4426" t="str">
        <f t="shared" si="346"/>
        <v/>
      </c>
      <c r="C4426" t="str">
        <f t="shared" si="347"/>
        <v/>
      </c>
      <c r="D4426" t="str">
        <f>IF(E4426="","",IF(COUNTIF($E$2:E4426,E4426)&gt;1,"",SUMIFS(tbl_input[필요수량],tbl_input[집계키_지청],E4426)))</f>
        <v/>
      </c>
      <c r="E4426" t="str">
        <f>IFERROR(INDEX(tbl_input[집계키_지청],ROW()-1),"")</f>
        <v/>
      </c>
      <c r="F4426" t="str">
        <f t="shared" si="348"/>
        <v/>
      </c>
      <c r="G4426" t="str">
        <f t="shared" si="349"/>
        <v/>
      </c>
    </row>
    <row r="4427" spans="1:7" x14ac:dyDescent="0.4">
      <c r="A4427" t="str">
        <f t="shared" si="345"/>
        <v/>
      </c>
      <c r="B4427" t="str">
        <f t="shared" si="346"/>
        <v/>
      </c>
      <c r="C4427" t="str">
        <f t="shared" si="347"/>
        <v/>
      </c>
      <c r="D4427" t="str">
        <f>IF(E4427="","",IF(COUNTIF($E$2:E4427,E4427)&gt;1,"",SUMIFS(tbl_input[필요수량],tbl_input[집계키_지청],E4427)))</f>
        <v/>
      </c>
      <c r="E4427" t="str">
        <f>IFERROR(INDEX(tbl_input[집계키_지청],ROW()-1),"")</f>
        <v/>
      </c>
      <c r="F4427" t="str">
        <f t="shared" si="348"/>
        <v/>
      </c>
      <c r="G4427" t="str">
        <f t="shared" si="349"/>
        <v/>
      </c>
    </row>
    <row r="4428" spans="1:7" x14ac:dyDescent="0.4">
      <c r="A4428" t="str">
        <f t="shared" si="345"/>
        <v/>
      </c>
      <c r="B4428" t="str">
        <f t="shared" si="346"/>
        <v/>
      </c>
      <c r="C4428" t="str">
        <f t="shared" si="347"/>
        <v/>
      </c>
      <c r="D4428" t="str">
        <f>IF(E4428="","",IF(COUNTIF($E$2:E4428,E4428)&gt;1,"",SUMIFS(tbl_input[필요수량],tbl_input[집계키_지청],E4428)))</f>
        <v/>
      </c>
      <c r="E4428" t="str">
        <f>IFERROR(INDEX(tbl_input[집계키_지청],ROW()-1),"")</f>
        <v/>
      </c>
      <c r="F4428" t="str">
        <f t="shared" si="348"/>
        <v/>
      </c>
      <c r="G4428" t="str">
        <f t="shared" si="349"/>
        <v/>
      </c>
    </row>
    <row r="4429" spans="1:7" x14ac:dyDescent="0.4">
      <c r="A4429" t="str">
        <f t="shared" si="345"/>
        <v/>
      </c>
      <c r="B4429" t="str">
        <f t="shared" si="346"/>
        <v/>
      </c>
      <c r="C4429" t="str">
        <f t="shared" si="347"/>
        <v/>
      </c>
      <c r="D4429" t="str">
        <f>IF(E4429="","",IF(COUNTIF($E$2:E4429,E4429)&gt;1,"",SUMIFS(tbl_input[필요수량],tbl_input[집계키_지청],E4429)))</f>
        <v/>
      </c>
      <c r="E4429" t="str">
        <f>IFERROR(INDEX(tbl_input[집계키_지청],ROW()-1),"")</f>
        <v/>
      </c>
      <c r="F4429" t="str">
        <f t="shared" si="348"/>
        <v/>
      </c>
      <c r="G4429" t="str">
        <f t="shared" si="349"/>
        <v/>
      </c>
    </row>
    <row r="4430" spans="1:7" x14ac:dyDescent="0.4">
      <c r="A4430" t="str">
        <f t="shared" si="345"/>
        <v/>
      </c>
      <c r="B4430" t="str">
        <f t="shared" si="346"/>
        <v/>
      </c>
      <c r="C4430" t="str">
        <f t="shared" si="347"/>
        <v/>
      </c>
      <c r="D4430" t="str">
        <f>IF(E4430="","",IF(COUNTIF($E$2:E4430,E4430)&gt;1,"",SUMIFS(tbl_input[필요수량],tbl_input[집계키_지청],E4430)))</f>
        <v/>
      </c>
      <c r="E4430" t="str">
        <f>IFERROR(INDEX(tbl_input[집계키_지청],ROW()-1),"")</f>
        <v/>
      </c>
      <c r="F4430" t="str">
        <f t="shared" si="348"/>
        <v/>
      </c>
      <c r="G4430" t="str">
        <f t="shared" si="349"/>
        <v/>
      </c>
    </row>
    <row r="4431" spans="1:7" x14ac:dyDescent="0.4">
      <c r="A4431" t="str">
        <f t="shared" si="345"/>
        <v/>
      </c>
      <c r="B4431" t="str">
        <f t="shared" si="346"/>
        <v/>
      </c>
      <c r="C4431" t="str">
        <f t="shared" si="347"/>
        <v/>
      </c>
      <c r="D4431" t="str">
        <f>IF(E4431="","",IF(COUNTIF($E$2:E4431,E4431)&gt;1,"",SUMIFS(tbl_input[필요수량],tbl_input[집계키_지청],E4431)))</f>
        <v/>
      </c>
      <c r="E4431" t="str">
        <f>IFERROR(INDEX(tbl_input[집계키_지청],ROW()-1),"")</f>
        <v/>
      </c>
      <c r="F4431" t="str">
        <f t="shared" si="348"/>
        <v/>
      </c>
      <c r="G4431" t="str">
        <f t="shared" si="349"/>
        <v/>
      </c>
    </row>
    <row r="4432" spans="1:7" x14ac:dyDescent="0.4">
      <c r="A4432" t="str">
        <f t="shared" si="345"/>
        <v/>
      </c>
      <c r="B4432" t="str">
        <f t="shared" si="346"/>
        <v/>
      </c>
      <c r="C4432" t="str">
        <f t="shared" si="347"/>
        <v/>
      </c>
      <c r="D4432" t="str">
        <f>IF(E4432="","",IF(COUNTIF($E$2:E4432,E4432)&gt;1,"",SUMIFS(tbl_input[필요수량],tbl_input[집계키_지청],E4432)))</f>
        <v/>
      </c>
      <c r="E4432" t="str">
        <f>IFERROR(INDEX(tbl_input[집계키_지청],ROW()-1),"")</f>
        <v/>
      </c>
      <c r="F4432" t="str">
        <f t="shared" si="348"/>
        <v/>
      </c>
      <c r="G4432" t="str">
        <f t="shared" si="349"/>
        <v/>
      </c>
    </row>
    <row r="4433" spans="1:7" x14ac:dyDescent="0.4">
      <c r="A4433" t="str">
        <f t="shared" si="345"/>
        <v/>
      </c>
      <c r="B4433" t="str">
        <f t="shared" si="346"/>
        <v/>
      </c>
      <c r="C4433" t="str">
        <f t="shared" si="347"/>
        <v/>
      </c>
      <c r="D4433" t="str">
        <f>IF(E4433="","",IF(COUNTIF($E$2:E4433,E4433)&gt;1,"",SUMIFS(tbl_input[필요수량],tbl_input[집계키_지청],E4433)))</f>
        <v/>
      </c>
      <c r="E4433" t="str">
        <f>IFERROR(INDEX(tbl_input[집계키_지청],ROW()-1),"")</f>
        <v/>
      </c>
      <c r="F4433" t="str">
        <f t="shared" si="348"/>
        <v/>
      </c>
      <c r="G4433" t="str">
        <f t="shared" si="349"/>
        <v/>
      </c>
    </row>
    <row r="4434" spans="1:7" x14ac:dyDescent="0.4">
      <c r="A4434" t="str">
        <f t="shared" si="345"/>
        <v/>
      </c>
      <c r="B4434" t="str">
        <f t="shared" si="346"/>
        <v/>
      </c>
      <c r="C4434" t="str">
        <f t="shared" si="347"/>
        <v/>
      </c>
      <c r="D4434" t="str">
        <f>IF(E4434="","",IF(COUNTIF($E$2:E4434,E4434)&gt;1,"",SUMIFS(tbl_input[필요수량],tbl_input[집계키_지청],E4434)))</f>
        <v/>
      </c>
      <c r="E4434" t="str">
        <f>IFERROR(INDEX(tbl_input[집계키_지청],ROW()-1),"")</f>
        <v/>
      </c>
      <c r="F4434" t="str">
        <f t="shared" si="348"/>
        <v/>
      </c>
      <c r="G4434" t="str">
        <f t="shared" si="349"/>
        <v/>
      </c>
    </row>
    <row r="4435" spans="1:7" x14ac:dyDescent="0.4">
      <c r="A4435" t="str">
        <f t="shared" si="345"/>
        <v/>
      </c>
      <c r="B4435" t="str">
        <f t="shared" si="346"/>
        <v/>
      </c>
      <c r="C4435" t="str">
        <f t="shared" si="347"/>
        <v/>
      </c>
      <c r="D4435" t="str">
        <f>IF(E4435="","",IF(COUNTIF($E$2:E4435,E4435)&gt;1,"",SUMIFS(tbl_input[필요수량],tbl_input[집계키_지청],E4435)))</f>
        <v/>
      </c>
      <c r="E4435" t="str">
        <f>IFERROR(INDEX(tbl_input[집계키_지청],ROW()-1),"")</f>
        <v/>
      </c>
      <c r="F4435" t="str">
        <f t="shared" si="348"/>
        <v/>
      </c>
      <c r="G4435" t="str">
        <f t="shared" si="349"/>
        <v/>
      </c>
    </row>
    <row r="4436" spans="1:7" x14ac:dyDescent="0.4">
      <c r="A4436" t="str">
        <f t="shared" si="345"/>
        <v/>
      </c>
      <c r="B4436" t="str">
        <f t="shared" si="346"/>
        <v/>
      </c>
      <c r="C4436" t="str">
        <f t="shared" si="347"/>
        <v/>
      </c>
      <c r="D4436" t="str">
        <f>IF(E4436="","",IF(COUNTIF($E$2:E4436,E4436)&gt;1,"",SUMIFS(tbl_input[필요수량],tbl_input[집계키_지청],E4436)))</f>
        <v/>
      </c>
      <c r="E4436" t="str">
        <f>IFERROR(INDEX(tbl_input[집계키_지청],ROW()-1),"")</f>
        <v/>
      </c>
      <c r="F4436" t="str">
        <f t="shared" si="348"/>
        <v/>
      </c>
      <c r="G4436" t="str">
        <f t="shared" si="349"/>
        <v/>
      </c>
    </row>
    <row r="4437" spans="1:7" x14ac:dyDescent="0.4">
      <c r="A4437" t="str">
        <f t="shared" si="345"/>
        <v/>
      </c>
      <c r="B4437" t="str">
        <f t="shared" si="346"/>
        <v/>
      </c>
      <c r="C4437" t="str">
        <f t="shared" si="347"/>
        <v/>
      </c>
      <c r="D4437" t="str">
        <f>IF(E4437="","",IF(COUNTIF($E$2:E4437,E4437)&gt;1,"",SUMIFS(tbl_input[필요수량],tbl_input[집계키_지청],E4437)))</f>
        <v/>
      </c>
      <c r="E4437" t="str">
        <f>IFERROR(INDEX(tbl_input[집계키_지청],ROW()-1),"")</f>
        <v/>
      </c>
      <c r="F4437" t="str">
        <f t="shared" si="348"/>
        <v/>
      </c>
      <c r="G4437" t="str">
        <f t="shared" si="349"/>
        <v/>
      </c>
    </row>
    <row r="4438" spans="1:7" x14ac:dyDescent="0.4">
      <c r="A4438" t="str">
        <f t="shared" si="345"/>
        <v/>
      </c>
      <c r="B4438" t="str">
        <f t="shared" si="346"/>
        <v/>
      </c>
      <c r="C4438" t="str">
        <f t="shared" si="347"/>
        <v/>
      </c>
      <c r="D4438" t="str">
        <f>IF(E4438="","",IF(COUNTIF($E$2:E4438,E4438)&gt;1,"",SUMIFS(tbl_input[필요수량],tbl_input[집계키_지청],E4438)))</f>
        <v/>
      </c>
      <c r="E4438" t="str">
        <f>IFERROR(INDEX(tbl_input[집계키_지청],ROW()-1),"")</f>
        <v/>
      </c>
      <c r="F4438" t="str">
        <f t="shared" si="348"/>
        <v/>
      </c>
      <c r="G4438" t="str">
        <f t="shared" si="349"/>
        <v/>
      </c>
    </row>
    <row r="4439" spans="1:7" x14ac:dyDescent="0.4">
      <c r="A4439" t="str">
        <f t="shared" si="345"/>
        <v/>
      </c>
      <c r="B4439" t="str">
        <f t="shared" si="346"/>
        <v/>
      </c>
      <c r="C4439" t="str">
        <f t="shared" si="347"/>
        <v/>
      </c>
      <c r="D4439" t="str">
        <f>IF(E4439="","",IF(COUNTIF($E$2:E4439,E4439)&gt;1,"",SUMIFS(tbl_input[필요수량],tbl_input[집계키_지청],E4439)))</f>
        <v/>
      </c>
      <c r="E4439" t="str">
        <f>IFERROR(INDEX(tbl_input[집계키_지청],ROW()-1),"")</f>
        <v/>
      </c>
      <c r="F4439" t="str">
        <f t="shared" si="348"/>
        <v/>
      </c>
      <c r="G4439" t="str">
        <f t="shared" si="349"/>
        <v/>
      </c>
    </row>
    <row r="4440" spans="1:7" x14ac:dyDescent="0.4">
      <c r="A4440" t="str">
        <f t="shared" si="345"/>
        <v/>
      </c>
      <c r="B4440" t="str">
        <f t="shared" si="346"/>
        <v/>
      </c>
      <c r="C4440" t="str">
        <f t="shared" si="347"/>
        <v/>
      </c>
      <c r="D4440" t="str">
        <f>IF(E4440="","",IF(COUNTIF($E$2:E4440,E4440)&gt;1,"",SUMIFS(tbl_input[필요수량],tbl_input[집계키_지청],E4440)))</f>
        <v/>
      </c>
      <c r="E4440" t="str">
        <f>IFERROR(INDEX(tbl_input[집계키_지청],ROW()-1),"")</f>
        <v/>
      </c>
      <c r="F4440" t="str">
        <f t="shared" si="348"/>
        <v/>
      </c>
      <c r="G4440" t="str">
        <f t="shared" si="349"/>
        <v/>
      </c>
    </row>
    <row r="4441" spans="1:7" x14ac:dyDescent="0.4">
      <c r="A4441" t="str">
        <f t="shared" si="345"/>
        <v/>
      </c>
      <c r="B4441" t="str">
        <f t="shared" si="346"/>
        <v/>
      </c>
      <c r="C4441" t="str">
        <f t="shared" si="347"/>
        <v/>
      </c>
      <c r="D4441" t="str">
        <f>IF(E4441="","",IF(COUNTIF($E$2:E4441,E4441)&gt;1,"",SUMIFS(tbl_input[필요수량],tbl_input[집계키_지청],E4441)))</f>
        <v/>
      </c>
      <c r="E4441" t="str">
        <f>IFERROR(INDEX(tbl_input[집계키_지청],ROW()-1),"")</f>
        <v/>
      </c>
      <c r="F4441" t="str">
        <f t="shared" si="348"/>
        <v/>
      </c>
      <c r="G4441" t="str">
        <f t="shared" si="349"/>
        <v/>
      </c>
    </row>
    <row r="4442" spans="1:7" x14ac:dyDescent="0.4">
      <c r="A4442" t="str">
        <f t="shared" si="345"/>
        <v/>
      </c>
      <c r="B4442" t="str">
        <f t="shared" si="346"/>
        <v/>
      </c>
      <c r="C4442" t="str">
        <f t="shared" si="347"/>
        <v/>
      </c>
      <c r="D4442" t="str">
        <f>IF(E4442="","",IF(COUNTIF($E$2:E4442,E4442)&gt;1,"",SUMIFS(tbl_input[필요수량],tbl_input[집계키_지청],E4442)))</f>
        <v/>
      </c>
      <c r="E4442" t="str">
        <f>IFERROR(INDEX(tbl_input[집계키_지청],ROW()-1),"")</f>
        <v/>
      </c>
      <c r="F4442" t="str">
        <f t="shared" si="348"/>
        <v/>
      </c>
      <c r="G4442" t="str">
        <f t="shared" si="349"/>
        <v/>
      </c>
    </row>
    <row r="4443" spans="1:7" x14ac:dyDescent="0.4">
      <c r="A4443" t="str">
        <f t="shared" si="345"/>
        <v/>
      </c>
      <c r="B4443" t="str">
        <f t="shared" si="346"/>
        <v/>
      </c>
      <c r="C4443" t="str">
        <f t="shared" si="347"/>
        <v/>
      </c>
      <c r="D4443" t="str">
        <f>IF(E4443="","",IF(COUNTIF($E$2:E4443,E4443)&gt;1,"",SUMIFS(tbl_input[필요수량],tbl_input[집계키_지청],E4443)))</f>
        <v/>
      </c>
      <c r="E4443" t="str">
        <f>IFERROR(INDEX(tbl_input[집계키_지청],ROW()-1),"")</f>
        <v/>
      </c>
      <c r="F4443" t="str">
        <f t="shared" si="348"/>
        <v/>
      </c>
      <c r="G4443" t="str">
        <f t="shared" si="349"/>
        <v/>
      </c>
    </row>
    <row r="4444" spans="1:7" x14ac:dyDescent="0.4">
      <c r="A4444" t="str">
        <f t="shared" si="345"/>
        <v/>
      </c>
      <c r="B4444" t="str">
        <f t="shared" si="346"/>
        <v/>
      </c>
      <c r="C4444" t="str">
        <f t="shared" si="347"/>
        <v/>
      </c>
      <c r="D4444" t="str">
        <f>IF(E4444="","",IF(COUNTIF($E$2:E4444,E4444)&gt;1,"",SUMIFS(tbl_input[필요수량],tbl_input[집계키_지청],E4444)))</f>
        <v/>
      </c>
      <c r="E4444" t="str">
        <f>IFERROR(INDEX(tbl_input[집계키_지청],ROW()-1),"")</f>
        <v/>
      </c>
      <c r="F4444" t="str">
        <f t="shared" si="348"/>
        <v/>
      </c>
      <c r="G4444" t="str">
        <f t="shared" si="349"/>
        <v/>
      </c>
    </row>
    <row r="4445" spans="1:7" x14ac:dyDescent="0.4">
      <c r="A4445" t="str">
        <f t="shared" si="345"/>
        <v/>
      </c>
      <c r="B4445" t="str">
        <f t="shared" si="346"/>
        <v/>
      </c>
      <c r="C4445" t="str">
        <f t="shared" si="347"/>
        <v/>
      </c>
      <c r="D4445" t="str">
        <f>IF(E4445="","",IF(COUNTIF($E$2:E4445,E4445)&gt;1,"",SUMIFS(tbl_input[필요수량],tbl_input[집계키_지청],E4445)))</f>
        <v/>
      </c>
      <c r="E4445" t="str">
        <f>IFERROR(INDEX(tbl_input[집계키_지청],ROW()-1),"")</f>
        <v/>
      </c>
      <c r="F4445" t="str">
        <f t="shared" si="348"/>
        <v/>
      </c>
      <c r="G4445" t="str">
        <f t="shared" si="349"/>
        <v/>
      </c>
    </row>
    <row r="4446" spans="1:7" x14ac:dyDescent="0.4">
      <c r="A4446" t="str">
        <f t="shared" si="345"/>
        <v/>
      </c>
      <c r="B4446" t="str">
        <f t="shared" si="346"/>
        <v/>
      </c>
      <c r="C4446" t="str">
        <f t="shared" si="347"/>
        <v/>
      </c>
      <c r="D4446" t="str">
        <f>IF(E4446="","",IF(COUNTIF($E$2:E4446,E4446)&gt;1,"",SUMIFS(tbl_input[필요수량],tbl_input[집계키_지청],E4446)))</f>
        <v/>
      </c>
      <c r="E4446" t="str">
        <f>IFERROR(INDEX(tbl_input[집계키_지청],ROW()-1),"")</f>
        <v/>
      </c>
      <c r="F4446" t="str">
        <f t="shared" si="348"/>
        <v/>
      </c>
      <c r="G4446" t="str">
        <f t="shared" si="349"/>
        <v/>
      </c>
    </row>
    <row r="4447" spans="1:7" x14ac:dyDescent="0.4">
      <c r="A4447" t="str">
        <f t="shared" si="345"/>
        <v/>
      </c>
      <c r="B4447" t="str">
        <f t="shared" si="346"/>
        <v/>
      </c>
      <c r="C4447" t="str">
        <f t="shared" si="347"/>
        <v/>
      </c>
      <c r="D4447" t="str">
        <f>IF(E4447="","",IF(COUNTIF($E$2:E4447,E4447)&gt;1,"",SUMIFS(tbl_input[필요수량],tbl_input[집계키_지청],E4447)))</f>
        <v/>
      </c>
      <c r="E4447" t="str">
        <f>IFERROR(INDEX(tbl_input[집계키_지청],ROW()-1),"")</f>
        <v/>
      </c>
      <c r="F4447" t="str">
        <f t="shared" si="348"/>
        <v/>
      </c>
      <c r="G4447" t="str">
        <f t="shared" si="349"/>
        <v/>
      </c>
    </row>
    <row r="4448" spans="1:7" x14ac:dyDescent="0.4">
      <c r="A4448" t="str">
        <f t="shared" si="345"/>
        <v/>
      </c>
      <c r="B4448" t="str">
        <f t="shared" si="346"/>
        <v/>
      </c>
      <c r="C4448" t="str">
        <f t="shared" si="347"/>
        <v/>
      </c>
      <c r="D4448" t="str">
        <f>IF(E4448="","",IF(COUNTIF($E$2:E4448,E4448)&gt;1,"",SUMIFS(tbl_input[필요수량],tbl_input[집계키_지청],E4448)))</f>
        <v/>
      </c>
      <c r="E4448" t="str">
        <f>IFERROR(INDEX(tbl_input[집계키_지청],ROW()-1),"")</f>
        <v/>
      </c>
      <c r="F4448" t="str">
        <f t="shared" si="348"/>
        <v/>
      </c>
      <c r="G4448" t="str">
        <f t="shared" si="349"/>
        <v/>
      </c>
    </row>
    <row r="4449" spans="1:7" x14ac:dyDescent="0.4">
      <c r="A4449" t="str">
        <f t="shared" si="345"/>
        <v/>
      </c>
      <c r="B4449" t="str">
        <f t="shared" si="346"/>
        <v/>
      </c>
      <c r="C4449" t="str">
        <f t="shared" si="347"/>
        <v/>
      </c>
      <c r="D4449" t="str">
        <f>IF(E4449="","",IF(COUNTIF($E$2:E4449,E4449)&gt;1,"",SUMIFS(tbl_input[필요수량],tbl_input[집계키_지청],E4449)))</f>
        <v/>
      </c>
      <c r="E4449" t="str">
        <f>IFERROR(INDEX(tbl_input[집계키_지청],ROW()-1),"")</f>
        <v/>
      </c>
      <c r="F4449" t="str">
        <f t="shared" si="348"/>
        <v/>
      </c>
      <c r="G4449" t="str">
        <f t="shared" si="349"/>
        <v/>
      </c>
    </row>
    <row r="4450" spans="1:7" x14ac:dyDescent="0.4">
      <c r="A4450" t="str">
        <f t="shared" si="345"/>
        <v/>
      </c>
      <c r="B4450" t="str">
        <f t="shared" si="346"/>
        <v/>
      </c>
      <c r="C4450" t="str">
        <f t="shared" si="347"/>
        <v/>
      </c>
      <c r="D4450" t="str">
        <f>IF(E4450="","",IF(COUNTIF($E$2:E4450,E4450)&gt;1,"",SUMIFS(tbl_input[필요수량],tbl_input[집계키_지청],E4450)))</f>
        <v/>
      </c>
      <c r="E4450" t="str">
        <f>IFERROR(INDEX(tbl_input[집계키_지청],ROW()-1),"")</f>
        <v/>
      </c>
      <c r="F4450" t="str">
        <f t="shared" si="348"/>
        <v/>
      </c>
      <c r="G4450" t="str">
        <f t="shared" si="349"/>
        <v/>
      </c>
    </row>
    <row r="4451" spans="1:7" x14ac:dyDescent="0.4">
      <c r="A4451" t="str">
        <f t="shared" si="345"/>
        <v/>
      </c>
      <c r="B4451" t="str">
        <f t="shared" si="346"/>
        <v/>
      </c>
      <c r="C4451" t="str">
        <f t="shared" si="347"/>
        <v/>
      </c>
      <c r="D4451" t="str">
        <f>IF(E4451="","",IF(COUNTIF($E$2:E4451,E4451)&gt;1,"",SUMIFS(tbl_input[필요수량],tbl_input[집계키_지청],E4451)))</f>
        <v/>
      </c>
      <c r="E4451" t="str">
        <f>IFERROR(INDEX(tbl_input[집계키_지청],ROW()-1),"")</f>
        <v/>
      </c>
      <c r="F4451" t="str">
        <f t="shared" si="348"/>
        <v/>
      </c>
      <c r="G4451" t="str">
        <f t="shared" si="349"/>
        <v/>
      </c>
    </row>
    <row r="4452" spans="1:7" x14ac:dyDescent="0.4">
      <c r="A4452" t="str">
        <f t="shared" si="345"/>
        <v/>
      </c>
      <c r="B4452" t="str">
        <f t="shared" si="346"/>
        <v/>
      </c>
      <c r="C4452" t="str">
        <f t="shared" si="347"/>
        <v/>
      </c>
      <c r="D4452" t="str">
        <f>IF(E4452="","",IF(COUNTIF($E$2:E4452,E4452)&gt;1,"",SUMIFS(tbl_input[필요수량],tbl_input[집계키_지청],E4452)))</f>
        <v/>
      </c>
      <c r="E4452" t="str">
        <f>IFERROR(INDEX(tbl_input[집계키_지청],ROW()-1),"")</f>
        <v/>
      </c>
      <c r="F4452" t="str">
        <f t="shared" si="348"/>
        <v/>
      </c>
      <c r="G4452" t="str">
        <f t="shared" si="349"/>
        <v/>
      </c>
    </row>
    <row r="4453" spans="1:7" x14ac:dyDescent="0.4">
      <c r="A4453" t="str">
        <f t="shared" si="345"/>
        <v/>
      </c>
      <c r="B4453" t="str">
        <f t="shared" si="346"/>
        <v/>
      </c>
      <c r="C4453" t="str">
        <f t="shared" si="347"/>
        <v/>
      </c>
      <c r="D4453" t="str">
        <f>IF(E4453="","",IF(COUNTIF($E$2:E4453,E4453)&gt;1,"",SUMIFS(tbl_input[필요수량],tbl_input[집계키_지청],E4453)))</f>
        <v/>
      </c>
      <c r="E4453" t="str">
        <f>IFERROR(INDEX(tbl_input[집계키_지청],ROW()-1),"")</f>
        <v/>
      </c>
      <c r="F4453" t="str">
        <f t="shared" si="348"/>
        <v/>
      </c>
      <c r="G4453" t="str">
        <f t="shared" si="349"/>
        <v/>
      </c>
    </row>
    <row r="4454" spans="1:7" x14ac:dyDescent="0.4">
      <c r="A4454" t="str">
        <f t="shared" si="345"/>
        <v/>
      </c>
      <c r="B4454" t="str">
        <f t="shared" si="346"/>
        <v/>
      </c>
      <c r="C4454" t="str">
        <f t="shared" si="347"/>
        <v/>
      </c>
      <c r="D4454" t="str">
        <f>IF(E4454="","",IF(COUNTIF($E$2:E4454,E4454)&gt;1,"",SUMIFS(tbl_input[필요수량],tbl_input[집계키_지청],E4454)))</f>
        <v/>
      </c>
      <c r="E4454" t="str">
        <f>IFERROR(INDEX(tbl_input[집계키_지청],ROW()-1),"")</f>
        <v/>
      </c>
      <c r="F4454" t="str">
        <f t="shared" si="348"/>
        <v/>
      </c>
      <c r="G4454" t="str">
        <f t="shared" si="349"/>
        <v/>
      </c>
    </row>
    <row r="4455" spans="1:7" x14ac:dyDescent="0.4">
      <c r="A4455" t="str">
        <f t="shared" si="345"/>
        <v/>
      </c>
      <c r="B4455" t="str">
        <f t="shared" si="346"/>
        <v/>
      </c>
      <c r="C4455" t="str">
        <f t="shared" si="347"/>
        <v/>
      </c>
      <c r="D4455" t="str">
        <f>IF(E4455="","",IF(COUNTIF($E$2:E4455,E4455)&gt;1,"",SUMIFS(tbl_input[필요수량],tbl_input[집계키_지청],E4455)))</f>
        <v/>
      </c>
      <c r="E4455" t="str">
        <f>IFERROR(INDEX(tbl_input[집계키_지청],ROW()-1),"")</f>
        <v/>
      </c>
      <c r="F4455" t="str">
        <f t="shared" si="348"/>
        <v/>
      </c>
      <c r="G4455" t="str">
        <f t="shared" si="349"/>
        <v/>
      </c>
    </row>
    <row r="4456" spans="1:7" x14ac:dyDescent="0.4">
      <c r="A4456" t="str">
        <f t="shared" si="345"/>
        <v/>
      </c>
      <c r="B4456" t="str">
        <f t="shared" si="346"/>
        <v/>
      </c>
      <c r="C4456" t="str">
        <f t="shared" si="347"/>
        <v/>
      </c>
      <c r="D4456" t="str">
        <f>IF(E4456="","",IF(COUNTIF($E$2:E4456,E4456)&gt;1,"",SUMIFS(tbl_input[필요수량],tbl_input[집계키_지청],E4456)))</f>
        <v/>
      </c>
      <c r="E4456" t="str">
        <f>IFERROR(INDEX(tbl_input[집계키_지청],ROW()-1),"")</f>
        <v/>
      </c>
      <c r="F4456" t="str">
        <f t="shared" si="348"/>
        <v/>
      </c>
      <c r="G4456" t="str">
        <f t="shared" si="349"/>
        <v/>
      </c>
    </row>
    <row r="4457" spans="1:7" x14ac:dyDescent="0.4">
      <c r="A4457" t="str">
        <f t="shared" si="345"/>
        <v/>
      </c>
      <c r="B4457" t="str">
        <f t="shared" si="346"/>
        <v/>
      </c>
      <c r="C4457" t="str">
        <f t="shared" si="347"/>
        <v/>
      </c>
      <c r="D4457" t="str">
        <f>IF(E4457="","",IF(COUNTIF($E$2:E4457,E4457)&gt;1,"",SUMIFS(tbl_input[필요수량],tbl_input[집계키_지청],E4457)))</f>
        <v/>
      </c>
      <c r="E4457" t="str">
        <f>IFERROR(INDEX(tbl_input[집계키_지청],ROW()-1),"")</f>
        <v/>
      </c>
      <c r="F4457" t="str">
        <f t="shared" si="348"/>
        <v/>
      </c>
      <c r="G4457" t="str">
        <f t="shared" si="349"/>
        <v/>
      </c>
    </row>
    <row r="4458" spans="1:7" x14ac:dyDescent="0.4">
      <c r="A4458" t="str">
        <f t="shared" si="345"/>
        <v/>
      </c>
      <c r="B4458" t="str">
        <f t="shared" si="346"/>
        <v/>
      </c>
      <c r="C4458" t="str">
        <f t="shared" si="347"/>
        <v/>
      </c>
      <c r="D4458" t="str">
        <f>IF(E4458="","",IF(COUNTIF($E$2:E4458,E4458)&gt;1,"",SUMIFS(tbl_input[필요수량],tbl_input[집계키_지청],E4458)))</f>
        <v/>
      </c>
      <c r="E4458" t="str">
        <f>IFERROR(INDEX(tbl_input[집계키_지청],ROW()-1),"")</f>
        <v/>
      </c>
      <c r="F4458" t="str">
        <f t="shared" si="348"/>
        <v/>
      </c>
      <c r="G4458" t="str">
        <f t="shared" si="349"/>
        <v/>
      </c>
    </row>
    <row r="4459" spans="1:7" x14ac:dyDescent="0.4">
      <c r="A4459" t="str">
        <f t="shared" si="345"/>
        <v/>
      </c>
      <c r="B4459" t="str">
        <f t="shared" si="346"/>
        <v/>
      </c>
      <c r="C4459" t="str">
        <f t="shared" si="347"/>
        <v/>
      </c>
      <c r="D4459" t="str">
        <f>IF(E4459="","",IF(COUNTIF($E$2:E4459,E4459)&gt;1,"",SUMIFS(tbl_input[필요수량],tbl_input[집계키_지청],E4459)))</f>
        <v/>
      </c>
      <c r="E4459" t="str">
        <f>IFERROR(INDEX(tbl_input[집계키_지청],ROW()-1),"")</f>
        <v/>
      </c>
      <c r="F4459" t="str">
        <f t="shared" si="348"/>
        <v/>
      </c>
      <c r="G4459" t="str">
        <f t="shared" si="349"/>
        <v/>
      </c>
    </row>
    <row r="4460" spans="1:7" x14ac:dyDescent="0.4">
      <c r="A4460" t="str">
        <f t="shared" si="345"/>
        <v/>
      </c>
      <c r="B4460" t="str">
        <f t="shared" si="346"/>
        <v/>
      </c>
      <c r="C4460" t="str">
        <f t="shared" si="347"/>
        <v/>
      </c>
      <c r="D4460" t="str">
        <f>IF(E4460="","",IF(COUNTIF($E$2:E4460,E4460)&gt;1,"",SUMIFS(tbl_input[필요수량],tbl_input[집계키_지청],E4460)))</f>
        <v/>
      </c>
      <c r="E4460" t="str">
        <f>IFERROR(INDEX(tbl_input[집계키_지청],ROW()-1),"")</f>
        <v/>
      </c>
      <c r="F4460" t="str">
        <f t="shared" si="348"/>
        <v/>
      </c>
      <c r="G4460" t="str">
        <f t="shared" si="349"/>
        <v/>
      </c>
    </row>
    <row r="4461" spans="1:7" x14ac:dyDescent="0.4">
      <c r="A4461" t="str">
        <f t="shared" si="345"/>
        <v/>
      </c>
      <c r="B4461" t="str">
        <f t="shared" si="346"/>
        <v/>
      </c>
      <c r="C4461" t="str">
        <f t="shared" si="347"/>
        <v/>
      </c>
      <c r="D4461" t="str">
        <f>IF(E4461="","",IF(COUNTIF($E$2:E4461,E4461)&gt;1,"",SUMIFS(tbl_input[필요수량],tbl_input[집계키_지청],E4461)))</f>
        <v/>
      </c>
      <c r="E4461" t="str">
        <f>IFERROR(INDEX(tbl_input[집계키_지청],ROW()-1),"")</f>
        <v/>
      </c>
      <c r="F4461" t="str">
        <f t="shared" si="348"/>
        <v/>
      </c>
      <c r="G4461" t="str">
        <f t="shared" si="349"/>
        <v/>
      </c>
    </row>
    <row r="4462" spans="1:7" x14ac:dyDescent="0.4">
      <c r="A4462" t="str">
        <f t="shared" si="345"/>
        <v/>
      </c>
      <c r="B4462" t="str">
        <f t="shared" si="346"/>
        <v/>
      </c>
      <c r="C4462" t="str">
        <f t="shared" si="347"/>
        <v/>
      </c>
      <c r="D4462" t="str">
        <f>IF(E4462="","",IF(COUNTIF($E$2:E4462,E4462)&gt;1,"",SUMIFS(tbl_input[필요수량],tbl_input[집계키_지청],E4462)))</f>
        <v/>
      </c>
      <c r="E4462" t="str">
        <f>IFERROR(INDEX(tbl_input[집계키_지청],ROW()-1),"")</f>
        <v/>
      </c>
      <c r="F4462" t="str">
        <f t="shared" si="348"/>
        <v/>
      </c>
      <c r="G4462" t="str">
        <f t="shared" si="349"/>
        <v/>
      </c>
    </row>
    <row r="4463" spans="1:7" x14ac:dyDescent="0.4">
      <c r="A4463" t="str">
        <f t="shared" si="345"/>
        <v/>
      </c>
      <c r="B4463" t="str">
        <f t="shared" si="346"/>
        <v/>
      </c>
      <c r="C4463" t="str">
        <f t="shared" si="347"/>
        <v/>
      </c>
      <c r="D4463" t="str">
        <f>IF(E4463="","",IF(COUNTIF($E$2:E4463,E4463)&gt;1,"",SUMIFS(tbl_input[필요수량],tbl_input[집계키_지청],E4463)))</f>
        <v/>
      </c>
      <c r="E4463" t="str">
        <f>IFERROR(INDEX(tbl_input[집계키_지청],ROW()-1),"")</f>
        <v/>
      </c>
      <c r="F4463" t="str">
        <f t="shared" si="348"/>
        <v/>
      </c>
      <c r="G4463" t="str">
        <f t="shared" si="349"/>
        <v/>
      </c>
    </row>
    <row r="4464" spans="1:7" x14ac:dyDescent="0.4">
      <c r="A4464" t="str">
        <f t="shared" si="345"/>
        <v/>
      </c>
      <c r="B4464" t="str">
        <f t="shared" si="346"/>
        <v/>
      </c>
      <c r="C4464" t="str">
        <f t="shared" si="347"/>
        <v/>
      </c>
      <c r="D4464" t="str">
        <f>IF(E4464="","",IF(COUNTIF($E$2:E4464,E4464)&gt;1,"",SUMIFS(tbl_input[필요수량],tbl_input[집계키_지청],E4464)))</f>
        <v/>
      </c>
      <c r="E4464" t="str">
        <f>IFERROR(INDEX(tbl_input[집계키_지청],ROW()-1),"")</f>
        <v/>
      </c>
      <c r="F4464" t="str">
        <f t="shared" si="348"/>
        <v/>
      </c>
      <c r="G4464" t="str">
        <f t="shared" si="349"/>
        <v/>
      </c>
    </row>
    <row r="4465" spans="1:7" x14ac:dyDescent="0.4">
      <c r="A4465" t="str">
        <f t="shared" si="345"/>
        <v/>
      </c>
      <c r="B4465" t="str">
        <f t="shared" si="346"/>
        <v/>
      </c>
      <c r="C4465" t="str">
        <f t="shared" si="347"/>
        <v/>
      </c>
      <c r="D4465" t="str">
        <f>IF(E4465="","",IF(COUNTIF($E$2:E4465,E4465)&gt;1,"",SUMIFS(tbl_input[필요수량],tbl_input[집계키_지청],E4465)))</f>
        <v/>
      </c>
      <c r="E4465" t="str">
        <f>IFERROR(INDEX(tbl_input[집계키_지청],ROW()-1),"")</f>
        <v/>
      </c>
      <c r="F4465" t="str">
        <f t="shared" si="348"/>
        <v/>
      </c>
      <c r="G4465" t="str">
        <f t="shared" si="349"/>
        <v/>
      </c>
    </row>
    <row r="4466" spans="1:7" x14ac:dyDescent="0.4">
      <c r="A4466" t="str">
        <f t="shared" si="345"/>
        <v/>
      </c>
      <c r="B4466" t="str">
        <f t="shared" si="346"/>
        <v/>
      </c>
      <c r="C4466" t="str">
        <f t="shared" si="347"/>
        <v/>
      </c>
      <c r="D4466" t="str">
        <f>IF(E4466="","",IF(COUNTIF($E$2:E4466,E4466)&gt;1,"",SUMIFS(tbl_input[필요수량],tbl_input[집계키_지청],E4466)))</f>
        <v/>
      </c>
      <c r="E4466" t="str">
        <f>IFERROR(INDEX(tbl_input[집계키_지청],ROW()-1),"")</f>
        <v/>
      </c>
      <c r="F4466" t="str">
        <f t="shared" si="348"/>
        <v/>
      </c>
      <c r="G4466" t="str">
        <f t="shared" si="349"/>
        <v/>
      </c>
    </row>
    <row r="4467" spans="1:7" x14ac:dyDescent="0.4">
      <c r="A4467" t="str">
        <f t="shared" si="345"/>
        <v/>
      </c>
      <c r="B4467" t="str">
        <f t="shared" si="346"/>
        <v/>
      </c>
      <c r="C4467" t="str">
        <f t="shared" si="347"/>
        <v/>
      </c>
      <c r="D4467" t="str">
        <f>IF(E4467="","",IF(COUNTIF($E$2:E4467,E4467)&gt;1,"",SUMIFS(tbl_input[필요수량],tbl_input[집계키_지청],E4467)))</f>
        <v/>
      </c>
      <c r="E4467" t="str">
        <f>IFERROR(INDEX(tbl_input[집계키_지청],ROW()-1),"")</f>
        <v/>
      </c>
      <c r="F4467" t="str">
        <f t="shared" si="348"/>
        <v/>
      </c>
      <c r="G4467" t="str">
        <f t="shared" si="349"/>
        <v/>
      </c>
    </row>
    <row r="4468" spans="1:7" x14ac:dyDescent="0.4">
      <c r="A4468" t="str">
        <f t="shared" si="345"/>
        <v/>
      </c>
      <c r="B4468" t="str">
        <f t="shared" si="346"/>
        <v/>
      </c>
      <c r="C4468" t="str">
        <f t="shared" si="347"/>
        <v/>
      </c>
      <c r="D4468" t="str">
        <f>IF(E4468="","",IF(COUNTIF($E$2:E4468,E4468)&gt;1,"",SUMIFS(tbl_input[필요수량],tbl_input[집계키_지청],E4468)))</f>
        <v/>
      </c>
      <c r="E4468" t="str">
        <f>IFERROR(INDEX(tbl_input[집계키_지청],ROW()-1),"")</f>
        <v/>
      </c>
      <c r="F4468" t="str">
        <f t="shared" si="348"/>
        <v/>
      </c>
      <c r="G4468" t="str">
        <f t="shared" si="349"/>
        <v/>
      </c>
    </row>
    <row r="4469" spans="1:7" x14ac:dyDescent="0.4">
      <c r="A4469" t="str">
        <f t="shared" si="345"/>
        <v/>
      </c>
      <c r="B4469" t="str">
        <f t="shared" si="346"/>
        <v/>
      </c>
      <c r="C4469" t="str">
        <f t="shared" si="347"/>
        <v/>
      </c>
      <c r="D4469" t="str">
        <f>IF(E4469="","",IF(COUNTIF($E$2:E4469,E4469)&gt;1,"",SUMIFS(tbl_input[필요수량],tbl_input[집계키_지청],E4469)))</f>
        <v/>
      </c>
      <c r="E4469" t="str">
        <f>IFERROR(INDEX(tbl_input[집계키_지청],ROW()-1),"")</f>
        <v/>
      </c>
      <c r="F4469" t="str">
        <f t="shared" si="348"/>
        <v/>
      </c>
      <c r="G4469" t="str">
        <f t="shared" si="349"/>
        <v/>
      </c>
    </row>
    <row r="4470" spans="1:7" x14ac:dyDescent="0.4">
      <c r="A4470" t="str">
        <f t="shared" si="345"/>
        <v/>
      </c>
      <c r="B4470" t="str">
        <f t="shared" si="346"/>
        <v/>
      </c>
      <c r="C4470" t="str">
        <f t="shared" si="347"/>
        <v/>
      </c>
      <c r="D4470" t="str">
        <f>IF(E4470="","",IF(COUNTIF($E$2:E4470,E4470)&gt;1,"",SUMIFS(tbl_input[필요수량],tbl_input[집계키_지청],E4470)))</f>
        <v/>
      </c>
      <c r="E4470" t="str">
        <f>IFERROR(INDEX(tbl_input[집계키_지청],ROW()-1),"")</f>
        <v/>
      </c>
      <c r="F4470" t="str">
        <f t="shared" si="348"/>
        <v/>
      </c>
      <c r="G4470" t="str">
        <f t="shared" si="349"/>
        <v/>
      </c>
    </row>
    <row r="4471" spans="1:7" x14ac:dyDescent="0.4">
      <c r="A4471" t="str">
        <f t="shared" si="345"/>
        <v/>
      </c>
      <c r="B4471" t="str">
        <f t="shared" si="346"/>
        <v/>
      </c>
      <c r="C4471" t="str">
        <f t="shared" si="347"/>
        <v/>
      </c>
      <c r="D4471" t="str">
        <f>IF(E4471="","",IF(COUNTIF($E$2:E4471,E4471)&gt;1,"",SUMIFS(tbl_input[필요수량],tbl_input[집계키_지청],E4471)))</f>
        <v/>
      </c>
      <c r="E4471" t="str">
        <f>IFERROR(INDEX(tbl_input[집계키_지청],ROW()-1),"")</f>
        <v/>
      </c>
      <c r="F4471" t="str">
        <f t="shared" si="348"/>
        <v/>
      </c>
      <c r="G4471" t="str">
        <f t="shared" si="349"/>
        <v/>
      </c>
    </row>
    <row r="4472" spans="1:7" x14ac:dyDescent="0.4">
      <c r="A4472" t="str">
        <f t="shared" si="345"/>
        <v/>
      </c>
      <c r="B4472" t="str">
        <f t="shared" si="346"/>
        <v/>
      </c>
      <c r="C4472" t="str">
        <f t="shared" si="347"/>
        <v/>
      </c>
      <c r="D4472" t="str">
        <f>IF(E4472="","",IF(COUNTIF($E$2:E4472,E4472)&gt;1,"",SUMIFS(tbl_input[필요수량],tbl_input[집계키_지청],E4472)))</f>
        <v/>
      </c>
      <c r="E4472" t="str">
        <f>IFERROR(INDEX(tbl_input[집계키_지청],ROW()-1),"")</f>
        <v/>
      </c>
      <c r="F4472" t="str">
        <f t="shared" si="348"/>
        <v/>
      </c>
      <c r="G4472" t="str">
        <f t="shared" si="349"/>
        <v/>
      </c>
    </row>
    <row r="4473" spans="1:7" x14ac:dyDescent="0.4">
      <c r="A4473" t="str">
        <f t="shared" si="345"/>
        <v/>
      </c>
      <c r="B4473" t="str">
        <f t="shared" si="346"/>
        <v/>
      </c>
      <c r="C4473" t="str">
        <f t="shared" si="347"/>
        <v/>
      </c>
      <c r="D4473" t="str">
        <f>IF(E4473="","",IF(COUNTIF($E$2:E4473,E4473)&gt;1,"",SUMIFS(tbl_input[필요수량],tbl_input[집계키_지청],E4473)))</f>
        <v/>
      </c>
      <c r="E4473" t="str">
        <f>IFERROR(INDEX(tbl_input[집계키_지청],ROW()-1),"")</f>
        <v/>
      </c>
      <c r="F4473" t="str">
        <f t="shared" si="348"/>
        <v/>
      </c>
      <c r="G4473" t="str">
        <f t="shared" si="349"/>
        <v/>
      </c>
    </row>
    <row r="4474" spans="1:7" x14ac:dyDescent="0.4">
      <c r="A4474" t="str">
        <f t="shared" si="345"/>
        <v/>
      </c>
      <c r="B4474" t="str">
        <f t="shared" si="346"/>
        <v/>
      </c>
      <c r="C4474" t="str">
        <f t="shared" si="347"/>
        <v/>
      </c>
      <c r="D4474" t="str">
        <f>IF(E4474="","",IF(COUNTIF($E$2:E4474,E4474)&gt;1,"",SUMIFS(tbl_input[필요수량],tbl_input[집계키_지청],E4474)))</f>
        <v/>
      </c>
      <c r="E4474" t="str">
        <f>IFERROR(INDEX(tbl_input[집계키_지청],ROW()-1),"")</f>
        <v/>
      </c>
      <c r="F4474" t="str">
        <f t="shared" si="348"/>
        <v/>
      </c>
      <c r="G4474" t="str">
        <f t="shared" si="349"/>
        <v/>
      </c>
    </row>
    <row r="4475" spans="1:7" x14ac:dyDescent="0.4">
      <c r="A4475" t="str">
        <f t="shared" si="345"/>
        <v/>
      </c>
      <c r="B4475" t="str">
        <f t="shared" si="346"/>
        <v/>
      </c>
      <c r="C4475" t="str">
        <f t="shared" si="347"/>
        <v/>
      </c>
      <c r="D4475" t="str">
        <f>IF(E4475="","",IF(COUNTIF($E$2:E4475,E4475)&gt;1,"",SUMIFS(tbl_input[필요수량],tbl_input[집계키_지청],E4475)))</f>
        <v/>
      </c>
      <c r="E4475" t="str">
        <f>IFERROR(INDEX(tbl_input[집계키_지청],ROW()-1),"")</f>
        <v/>
      </c>
      <c r="F4475" t="str">
        <f t="shared" si="348"/>
        <v/>
      </c>
      <c r="G4475" t="str">
        <f t="shared" si="349"/>
        <v/>
      </c>
    </row>
    <row r="4476" spans="1:7" x14ac:dyDescent="0.4">
      <c r="A4476" t="str">
        <f t="shared" si="345"/>
        <v/>
      </c>
      <c r="B4476" t="str">
        <f t="shared" si="346"/>
        <v/>
      </c>
      <c r="C4476" t="str">
        <f t="shared" si="347"/>
        <v/>
      </c>
      <c r="D4476" t="str">
        <f>IF(E4476="","",IF(COUNTIF($E$2:E4476,E4476)&gt;1,"",SUMIFS(tbl_input[필요수량],tbl_input[집계키_지청],E4476)))</f>
        <v/>
      </c>
      <c r="E4476" t="str">
        <f>IFERROR(INDEX(tbl_input[집계키_지청],ROW()-1),"")</f>
        <v/>
      </c>
      <c r="F4476" t="str">
        <f t="shared" si="348"/>
        <v/>
      </c>
      <c r="G4476" t="str">
        <f t="shared" si="349"/>
        <v/>
      </c>
    </row>
    <row r="4477" spans="1:7" x14ac:dyDescent="0.4">
      <c r="A4477" t="str">
        <f t="shared" si="345"/>
        <v/>
      </c>
      <c r="B4477" t="str">
        <f t="shared" si="346"/>
        <v/>
      </c>
      <c r="C4477" t="str">
        <f t="shared" si="347"/>
        <v/>
      </c>
      <c r="D4477" t="str">
        <f>IF(E4477="","",IF(COUNTIF($E$2:E4477,E4477)&gt;1,"",SUMIFS(tbl_input[필요수량],tbl_input[집계키_지청],E4477)))</f>
        <v/>
      </c>
      <c r="E4477" t="str">
        <f>IFERROR(INDEX(tbl_input[집계키_지청],ROW()-1),"")</f>
        <v/>
      </c>
      <c r="F4477" t="str">
        <f t="shared" si="348"/>
        <v/>
      </c>
      <c r="G4477" t="str">
        <f t="shared" si="349"/>
        <v/>
      </c>
    </row>
    <row r="4478" spans="1:7" x14ac:dyDescent="0.4">
      <c r="A4478" t="str">
        <f t="shared" si="345"/>
        <v/>
      </c>
      <c r="B4478" t="str">
        <f t="shared" si="346"/>
        <v/>
      </c>
      <c r="C4478" t="str">
        <f t="shared" si="347"/>
        <v/>
      </c>
      <c r="D4478" t="str">
        <f>IF(E4478="","",IF(COUNTIF($E$2:E4478,E4478)&gt;1,"",SUMIFS(tbl_input[필요수량],tbl_input[집계키_지청],E4478)))</f>
        <v/>
      </c>
      <c r="E4478" t="str">
        <f>IFERROR(INDEX(tbl_input[집계키_지청],ROW()-1),"")</f>
        <v/>
      </c>
      <c r="F4478" t="str">
        <f t="shared" si="348"/>
        <v/>
      </c>
      <c r="G4478" t="str">
        <f t="shared" si="349"/>
        <v/>
      </c>
    </row>
    <row r="4479" spans="1:7" x14ac:dyDescent="0.4">
      <c r="A4479" t="str">
        <f t="shared" si="345"/>
        <v/>
      </c>
      <c r="B4479" t="str">
        <f t="shared" si="346"/>
        <v/>
      </c>
      <c r="C4479" t="str">
        <f t="shared" si="347"/>
        <v/>
      </c>
      <c r="D4479" t="str">
        <f>IF(E4479="","",IF(COUNTIF($E$2:E4479,E4479)&gt;1,"",SUMIFS(tbl_input[필요수량],tbl_input[집계키_지청],E4479)))</f>
        <v/>
      </c>
      <c r="E4479" t="str">
        <f>IFERROR(INDEX(tbl_input[집계키_지청],ROW()-1),"")</f>
        <v/>
      </c>
      <c r="F4479" t="str">
        <f t="shared" si="348"/>
        <v/>
      </c>
      <c r="G4479" t="str">
        <f t="shared" si="349"/>
        <v/>
      </c>
    </row>
    <row r="4480" spans="1:7" x14ac:dyDescent="0.4">
      <c r="A4480" t="str">
        <f t="shared" si="345"/>
        <v/>
      </c>
      <c r="B4480" t="str">
        <f t="shared" si="346"/>
        <v/>
      </c>
      <c r="C4480" t="str">
        <f t="shared" si="347"/>
        <v/>
      </c>
      <c r="D4480" t="str">
        <f>IF(E4480="","",IF(COUNTIF($E$2:E4480,E4480)&gt;1,"",SUMIFS(tbl_input[필요수량],tbl_input[집계키_지청],E4480)))</f>
        <v/>
      </c>
      <c r="E4480" t="str">
        <f>IFERROR(INDEX(tbl_input[집계키_지청],ROW()-1),"")</f>
        <v/>
      </c>
      <c r="F4480" t="str">
        <f t="shared" si="348"/>
        <v/>
      </c>
      <c r="G4480" t="str">
        <f t="shared" si="349"/>
        <v/>
      </c>
    </row>
    <row r="4481" spans="1:7" x14ac:dyDescent="0.4">
      <c r="A4481" t="str">
        <f t="shared" si="345"/>
        <v/>
      </c>
      <c r="B4481" t="str">
        <f t="shared" si="346"/>
        <v/>
      </c>
      <c r="C4481" t="str">
        <f t="shared" si="347"/>
        <v/>
      </c>
      <c r="D4481" t="str">
        <f>IF(E4481="","",IF(COUNTIF($E$2:E4481,E4481)&gt;1,"",SUMIFS(tbl_input[필요수량],tbl_input[집계키_지청],E4481)))</f>
        <v/>
      </c>
      <c r="E4481" t="str">
        <f>IFERROR(INDEX(tbl_input[집계키_지청],ROW()-1),"")</f>
        <v/>
      </c>
      <c r="F4481" t="str">
        <f t="shared" si="348"/>
        <v/>
      </c>
      <c r="G4481" t="str">
        <f t="shared" si="349"/>
        <v/>
      </c>
    </row>
    <row r="4482" spans="1:7" x14ac:dyDescent="0.4">
      <c r="A4482" t="str">
        <f t="shared" ref="A4482:A4545" si="350">IF(E4482="","",LEFT(E4482,F4482-1))</f>
        <v/>
      </c>
      <c r="B4482" t="str">
        <f t="shared" ref="B4482:B4545" si="351">IF(E4482="","",MID(E4482,F4482+1,G4482-F4482-1))</f>
        <v/>
      </c>
      <c r="C4482" t="str">
        <f t="shared" ref="C4482:C4545" si="352">IF(E4482="","",MID(E4482,G4482+1,999))</f>
        <v/>
      </c>
      <c r="D4482" t="str">
        <f>IF(E4482="","",IF(COUNTIF($E$2:E4482,E4482)&gt;1,"",SUMIFS(tbl_input[필요수량],tbl_input[집계키_지청],E4482)))</f>
        <v/>
      </c>
      <c r="E4482" t="str">
        <f>IFERROR(INDEX(tbl_input[집계키_지청],ROW()-1),"")</f>
        <v/>
      </c>
      <c r="F4482" t="str">
        <f t="shared" ref="F4482:F4545" si="353">IF(E4482="","",FIND("♦",E4482))</f>
        <v/>
      </c>
      <c r="G4482" t="str">
        <f t="shared" ref="G4482:G4545" si="354">IF(E4482="","",FIND("♦",E4482,F4482+1))</f>
        <v/>
      </c>
    </row>
    <row r="4483" spans="1:7" x14ac:dyDescent="0.4">
      <c r="A4483" t="str">
        <f t="shared" si="350"/>
        <v/>
      </c>
      <c r="B4483" t="str">
        <f t="shared" si="351"/>
        <v/>
      </c>
      <c r="C4483" t="str">
        <f t="shared" si="352"/>
        <v/>
      </c>
      <c r="D4483" t="str">
        <f>IF(E4483="","",IF(COUNTIF($E$2:E4483,E4483)&gt;1,"",SUMIFS(tbl_input[필요수량],tbl_input[집계키_지청],E4483)))</f>
        <v/>
      </c>
      <c r="E4483" t="str">
        <f>IFERROR(INDEX(tbl_input[집계키_지청],ROW()-1),"")</f>
        <v/>
      </c>
      <c r="F4483" t="str">
        <f t="shared" si="353"/>
        <v/>
      </c>
      <c r="G4483" t="str">
        <f t="shared" si="354"/>
        <v/>
      </c>
    </row>
    <row r="4484" spans="1:7" x14ac:dyDescent="0.4">
      <c r="A4484" t="str">
        <f t="shared" si="350"/>
        <v/>
      </c>
      <c r="B4484" t="str">
        <f t="shared" si="351"/>
        <v/>
      </c>
      <c r="C4484" t="str">
        <f t="shared" si="352"/>
        <v/>
      </c>
      <c r="D4484" t="str">
        <f>IF(E4484="","",IF(COUNTIF($E$2:E4484,E4484)&gt;1,"",SUMIFS(tbl_input[필요수량],tbl_input[집계키_지청],E4484)))</f>
        <v/>
      </c>
      <c r="E4484" t="str">
        <f>IFERROR(INDEX(tbl_input[집계키_지청],ROW()-1),"")</f>
        <v/>
      </c>
      <c r="F4484" t="str">
        <f t="shared" si="353"/>
        <v/>
      </c>
      <c r="G4484" t="str">
        <f t="shared" si="354"/>
        <v/>
      </c>
    </row>
    <row r="4485" spans="1:7" x14ac:dyDescent="0.4">
      <c r="A4485" t="str">
        <f t="shared" si="350"/>
        <v/>
      </c>
      <c r="B4485" t="str">
        <f t="shared" si="351"/>
        <v/>
      </c>
      <c r="C4485" t="str">
        <f t="shared" si="352"/>
        <v/>
      </c>
      <c r="D4485" t="str">
        <f>IF(E4485="","",IF(COUNTIF($E$2:E4485,E4485)&gt;1,"",SUMIFS(tbl_input[필요수량],tbl_input[집계키_지청],E4485)))</f>
        <v/>
      </c>
      <c r="E4485" t="str">
        <f>IFERROR(INDEX(tbl_input[집계키_지청],ROW()-1),"")</f>
        <v/>
      </c>
      <c r="F4485" t="str">
        <f t="shared" si="353"/>
        <v/>
      </c>
      <c r="G4485" t="str">
        <f t="shared" si="354"/>
        <v/>
      </c>
    </row>
    <row r="4486" spans="1:7" x14ac:dyDescent="0.4">
      <c r="A4486" t="str">
        <f t="shared" si="350"/>
        <v/>
      </c>
      <c r="B4486" t="str">
        <f t="shared" si="351"/>
        <v/>
      </c>
      <c r="C4486" t="str">
        <f t="shared" si="352"/>
        <v/>
      </c>
      <c r="D4486" t="str">
        <f>IF(E4486="","",IF(COUNTIF($E$2:E4486,E4486)&gt;1,"",SUMIFS(tbl_input[필요수량],tbl_input[집계키_지청],E4486)))</f>
        <v/>
      </c>
      <c r="E4486" t="str">
        <f>IFERROR(INDEX(tbl_input[집계키_지청],ROW()-1),"")</f>
        <v/>
      </c>
      <c r="F4486" t="str">
        <f t="shared" si="353"/>
        <v/>
      </c>
      <c r="G4486" t="str">
        <f t="shared" si="354"/>
        <v/>
      </c>
    </row>
    <row r="4487" spans="1:7" x14ac:dyDescent="0.4">
      <c r="A4487" t="str">
        <f t="shared" si="350"/>
        <v/>
      </c>
      <c r="B4487" t="str">
        <f t="shared" si="351"/>
        <v/>
      </c>
      <c r="C4487" t="str">
        <f t="shared" si="352"/>
        <v/>
      </c>
      <c r="D4487" t="str">
        <f>IF(E4487="","",IF(COUNTIF($E$2:E4487,E4487)&gt;1,"",SUMIFS(tbl_input[필요수량],tbl_input[집계키_지청],E4487)))</f>
        <v/>
      </c>
      <c r="E4487" t="str">
        <f>IFERROR(INDEX(tbl_input[집계키_지청],ROW()-1),"")</f>
        <v/>
      </c>
      <c r="F4487" t="str">
        <f t="shared" si="353"/>
        <v/>
      </c>
      <c r="G4487" t="str">
        <f t="shared" si="354"/>
        <v/>
      </c>
    </row>
    <row r="4488" spans="1:7" x14ac:dyDescent="0.4">
      <c r="A4488" t="str">
        <f t="shared" si="350"/>
        <v/>
      </c>
      <c r="B4488" t="str">
        <f t="shared" si="351"/>
        <v/>
      </c>
      <c r="C4488" t="str">
        <f t="shared" si="352"/>
        <v/>
      </c>
      <c r="D4488" t="str">
        <f>IF(E4488="","",IF(COUNTIF($E$2:E4488,E4488)&gt;1,"",SUMIFS(tbl_input[필요수량],tbl_input[집계키_지청],E4488)))</f>
        <v/>
      </c>
      <c r="E4488" t="str">
        <f>IFERROR(INDEX(tbl_input[집계키_지청],ROW()-1),"")</f>
        <v/>
      </c>
      <c r="F4488" t="str">
        <f t="shared" si="353"/>
        <v/>
      </c>
      <c r="G4488" t="str">
        <f t="shared" si="354"/>
        <v/>
      </c>
    </row>
    <row r="4489" spans="1:7" x14ac:dyDescent="0.4">
      <c r="A4489" t="str">
        <f t="shared" si="350"/>
        <v/>
      </c>
      <c r="B4489" t="str">
        <f t="shared" si="351"/>
        <v/>
      </c>
      <c r="C4489" t="str">
        <f t="shared" si="352"/>
        <v/>
      </c>
      <c r="D4489" t="str">
        <f>IF(E4489="","",IF(COUNTIF($E$2:E4489,E4489)&gt;1,"",SUMIFS(tbl_input[필요수량],tbl_input[집계키_지청],E4489)))</f>
        <v/>
      </c>
      <c r="E4489" t="str">
        <f>IFERROR(INDEX(tbl_input[집계키_지청],ROW()-1),"")</f>
        <v/>
      </c>
      <c r="F4489" t="str">
        <f t="shared" si="353"/>
        <v/>
      </c>
      <c r="G4489" t="str">
        <f t="shared" si="354"/>
        <v/>
      </c>
    </row>
    <row r="4490" spans="1:7" x14ac:dyDescent="0.4">
      <c r="A4490" t="str">
        <f t="shared" si="350"/>
        <v/>
      </c>
      <c r="B4490" t="str">
        <f t="shared" si="351"/>
        <v/>
      </c>
      <c r="C4490" t="str">
        <f t="shared" si="352"/>
        <v/>
      </c>
      <c r="D4490" t="str">
        <f>IF(E4490="","",IF(COUNTIF($E$2:E4490,E4490)&gt;1,"",SUMIFS(tbl_input[필요수량],tbl_input[집계키_지청],E4490)))</f>
        <v/>
      </c>
      <c r="E4490" t="str">
        <f>IFERROR(INDEX(tbl_input[집계키_지청],ROW()-1),"")</f>
        <v/>
      </c>
      <c r="F4490" t="str">
        <f t="shared" si="353"/>
        <v/>
      </c>
      <c r="G4490" t="str">
        <f t="shared" si="354"/>
        <v/>
      </c>
    </row>
    <row r="4491" spans="1:7" x14ac:dyDescent="0.4">
      <c r="A4491" t="str">
        <f t="shared" si="350"/>
        <v/>
      </c>
      <c r="B4491" t="str">
        <f t="shared" si="351"/>
        <v/>
      </c>
      <c r="C4491" t="str">
        <f t="shared" si="352"/>
        <v/>
      </c>
      <c r="D4491" t="str">
        <f>IF(E4491="","",IF(COUNTIF($E$2:E4491,E4491)&gt;1,"",SUMIFS(tbl_input[필요수량],tbl_input[집계키_지청],E4491)))</f>
        <v/>
      </c>
      <c r="E4491" t="str">
        <f>IFERROR(INDEX(tbl_input[집계키_지청],ROW()-1),"")</f>
        <v/>
      </c>
      <c r="F4491" t="str">
        <f t="shared" si="353"/>
        <v/>
      </c>
      <c r="G4491" t="str">
        <f t="shared" si="354"/>
        <v/>
      </c>
    </row>
    <row r="4492" spans="1:7" x14ac:dyDescent="0.4">
      <c r="A4492" t="str">
        <f t="shared" si="350"/>
        <v/>
      </c>
      <c r="B4492" t="str">
        <f t="shared" si="351"/>
        <v/>
      </c>
      <c r="C4492" t="str">
        <f t="shared" si="352"/>
        <v/>
      </c>
      <c r="D4492" t="str">
        <f>IF(E4492="","",IF(COUNTIF($E$2:E4492,E4492)&gt;1,"",SUMIFS(tbl_input[필요수량],tbl_input[집계키_지청],E4492)))</f>
        <v/>
      </c>
      <c r="E4492" t="str">
        <f>IFERROR(INDEX(tbl_input[집계키_지청],ROW()-1),"")</f>
        <v/>
      </c>
      <c r="F4492" t="str">
        <f t="shared" si="353"/>
        <v/>
      </c>
      <c r="G4492" t="str">
        <f t="shared" si="354"/>
        <v/>
      </c>
    </row>
    <row r="4493" spans="1:7" x14ac:dyDescent="0.4">
      <c r="A4493" t="str">
        <f t="shared" si="350"/>
        <v/>
      </c>
      <c r="B4493" t="str">
        <f t="shared" si="351"/>
        <v/>
      </c>
      <c r="C4493" t="str">
        <f t="shared" si="352"/>
        <v/>
      </c>
      <c r="D4493" t="str">
        <f>IF(E4493="","",IF(COUNTIF($E$2:E4493,E4493)&gt;1,"",SUMIFS(tbl_input[필요수량],tbl_input[집계키_지청],E4493)))</f>
        <v/>
      </c>
      <c r="E4493" t="str">
        <f>IFERROR(INDEX(tbl_input[집계키_지청],ROW()-1),"")</f>
        <v/>
      </c>
      <c r="F4493" t="str">
        <f t="shared" si="353"/>
        <v/>
      </c>
      <c r="G4493" t="str">
        <f t="shared" si="354"/>
        <v/>
      </c>
    </row>
    <row r="4494" spans="1:7" x14ac:dyDescent="0.4">
      <c r="A4494" t="str">
        <f t="shared" si="350"/>
        <v/>
      </c>
      <c r="B4494" t="str">
        <f t="shared" si="351"/>
        <v/>
      </c>
      <c r="C4494" t="str">
        <f t="shared" si="352"/>
        <v/>
      </c>
      <c r="D4494" t="str">
        <f>IF(E4494="","",IF(COUNTIF($E$2:E4494,E4494)&gt;1,"",SUMIFS(tbl_input[필요수량],tbl_input[집계키_지청],E4494)))</f>
        <v/>
      </c>
      <c r="E4494" t="str">
        <f>IFERROR(INDEX(tbl_input[집계키_지청],ROW()-1),"")</f>
        <v/>
      </c>
      <c r="F4494" t="str">
        <f t="shared" si="353"/>
        <v/>
      </c>
      <c r="G4494" t="str">
        <f t="shared" si="354"/>
        <v/>
      </c>
    </row>
    <row r="4495" spans="1:7" x14ac:dyDescent="0.4">
      <c r="A4495" t="str">
        <f t="shared" si="350"/>
        <v/>
      </c>
      <c r="B4495" t="str">
        <f t="shared" si="351"/>
        <v/>
      </c>
      <c r="C4495" t="str">
        <f t="shared" si="352"/>
        <v/>
      </c>
      <c r="D4495" t="str">
        <f>IF(E4495="","",IF(COUNTIF($E$2:E4495,E4495)&gt;1,"",SUMIFS(tbl_input[필요수량],tbl_input[집계키_지청],E4495)))</f>
        <v/>
      </c>
      <c r="E4495" t="str">
        <f>IFERROR(INDEX(tbl_input[집계키_지청],ROW()-1),"")</f>
        <v/>
      </c>
      <c r="F4495" t="str">
        <f t="shared" si="353"/>
        <v/>
      </c>
      <c r="G4495" t="str">
        <f t="shared" si="354"/>
        <v/>
      </c>
    </row>
    <row r="4496" spans="1:7" x14ac:dyDescent="0.4">
      <c r="A4496" t="str">
        <f t="shared" si="350"/>
        <v/>
      </c>
      <c r="B4496" t="str">
        <f t="shared" si="351"/>
        <v/>
      </c>
      <c r="C4496" t="str">
        <f t="shared" si="352"/>
        <v/>
      </c>
      <c r="D4496" t="str">
        <f>IF(E4496="","",IF(COUNTIF($E$2:E4496,E4496)&gt;1,"",SUMIFS(tbl_input[필요수량],tbl_input[집계키_지청],E4496)))</f>
        <v/>
      </c>
      <c r="E4496" t="str">
        <f>IFERROR(INDEX(tbl_input[집계키_지청],ROW()-1),"")</f>
        <v/>
      </c>
      <c r="F4496" t="str">
        <f t="shared" si="353"/>
        <v/>
      </c>
      <c r="G4496" t="str">
        <f t="shared" si="354"/>
        <v/>
      </c>
    </row>
    <row r="4497" spans="1:7" x14ac:dyDescent="0.4">
      <c r="A4497" t="str">
        <f t="shared" si="350"/>
        <v/>
      </c>
      <c r="B4497" t="str">
        <f t="shared" si="351"/>
        <v/>
      </c>
      <c r="C4497" t="str">
        <f t="shared" si="352"/>
        <v/>
      </c>
      <c r="D4497" t="str">
        <f>IF(E4497="","",IF(COUNTIF($E$2:E4497,E4497)&gt;1,"",SUMIFS(tbl_input[필요수량],tbl_input[집계키_지청],E4497)))</f>
        <v/>
      </c>
      <c r="E4497" t="str">
        <f>IFERROR(INDEX(tbl_input[집계키_지청],ROW()-1),"")</f>
        <v/>
      </c>
      <c r="F4497" t="str">
        <f t="shared" si="353"/>
        <v/>
      </c>
      <c r="G4497" t="str">
        <f t="shared" si="354"/>
        <v/>
      </c>
    </row>
    <row r="4498" spans="1:7" x14ac:dyDescent="0.4">
      <c r="A4498" t="str">
        <f t="shared" si="350"/>
        <v/>
      </c>
      <c r="B4498" t="str">
        <f t="shared" si="351"/>
        <v/>
      </c>
      <c r="C4498" t="str">
        <f t="shared" si="352"/>
        <v/>
      </c>
      <c r="D4498" t="str">
        <f>IF(E4498="","",IF(COUNTIF($E$2:E4498,E4498)&gt;1,"",SUMIFS(tbl_input[필요수량],tbl_input[집계키_지청],E4498)))</f>
        <v/>
      </c>
      <c r="E4498" t="str">
        <f>IFERROR(INDEX(tbl_input[집계키_지청],ROW()-1),"")</f>
        <v/>
      </c>
      <c r="F4498" t="str">
        <f t="shared" si="353"/>
        <v/>
      </c>
      <c r="G4498" t="str">
        <f t="shared" si="354"/>
        <v/>
      </c>
    </row>
    <row r="4499" spans="1:7" x14ac:dyDescent="0.4">
      <c r="A4499" t="str">
        <f t="shared" si="350"/>
        <v/>
      </c>
      <c r="B4499" t="str">
        <f t="shared" si="351"/>
        <v/>
      </c>
      <c r="C4499" t="str">
        <f t="shared" si="352"/>
        <v/>
      </c>
      <c r="D4499" t="str">
        <f>IF(E4499="","",IF(COUNTIF($E$2:E4499,E4499)&gt;1,"",SUMIFS(tbl_input[필요수량],tbl_input[집계키_지청],E4499)))</f>
        <v/>
      </c>
      <c r="E4499" t="str">
        <f>IFERROR(INDEX(tbl_input[집계키_지청],ROW()-1),"")</f>
        <v/>
      </c>
      <c r="F4499" t="str">
        <f t="shared" si="353"/>
        <v/>
      </c>
      <c r="G4499" t="str">
        <f t="shared" si="354"/>
        <v/>
      </c>
    </row>
    <row r="4500" spans="1:7" x14ac:dyDescent="0.4">
      <c r="A4500" t="str">
        <f t="shared" si="350"/>
        <v/>
      </c>
      <c r="B4500" t="str">
        <f t="shared" si="351"/>
        <v/>
      </c>
      <c r="C4500" t="str">
        <f t="shared" si="352"/>
        <v/>
      </c>
      <c r="D4500" t="str">
        <f>IF(E4500="","",IF(COUNTIF($E$2:E4500,E4500)&gt;1,"",SUMIFS(tbl_input[필요수량],tbl_input[집계키_지청],E4500)))</f>
        <v/>
      </c>
      <c r="E4500" t="str">
        <f>IFERROR(INDEX(tbl_input[집계키_지청],ROW()-1),"")</f>
        <v/>
      </c>
      <c r="F4500" t="str">
        <f t="shared" si="353"/>
        <v/>
      </c>
      <c r="G4500" t="str">
        <f t="shared" si="354"/>
        <v/>
      </c>
    </row>
    <row r="4501" spans="1:7" x14ac:dyDescent="0.4">
      <c r="A4501" t="str">
        <f t="shared" si="350"/>
        <v/>
      </c>
      <c r="B4501" t="str">
        <f t="shared" si="351"/>
        <v/>
      </c>
      <c r="C4501" t="str">
        <f t="shared" si="352"/>
        <v/>
      </c>
      <c r="D4501" t="str">
        <f>IF(E4501="","",IF(COUNTIF($E$2:E4501,E4501)&gt;1,"",SUMIFS(tbl_input[필요수량],tbl_input[집계키_지청],E4501)))</f>
        <v/>
      </c>
      <c r="E4501" t="str">
        <f>IFERROR(INDEX(tbl_input[집계키_지청],ROW()-1),"")</f>
        <v/>
      </c>
      <c r="F4501" t="str">
        <f t="shared" si="353"/>
        <v/>
      </c>
      <c r="G4501" t="str">
        <f t="shared" si="354"/>
        <v/>
      </c>
    </row>
    <row r="4502" spans="1:7" x14ac:dyDescent="0.4">
      <c r="A4502" t="str">
        <f t="shared" si="350"/>
        <v/>
      </c>
      <c r="B4502" t="str">
        <f t="shared" si="351"/>
        <v/>
      </c>
      <c r="C4502" t="str">
        <f t="shared" si="352"/>
        <v/>
      </c>
      <c r="D4502" t="str">
        <f>IF(E4502="","",IF(COUNTIF($E$2:E4502,E4502)&gt;1,"",SUMIFS(tbl_input[필요수량],tbl_input[집계키_지청],E4502)))</f>
        <v/>
      </c>
      <c r="E4502" t="str">
        <f>IFERROR(INDEX(tbl_input[집계키_지청],ROW()-1),"")</f>
        <v/>
      </c>
      <c r="F4502" t="str">
        <f t="shared" si="353"/>
        <v/>
      </c>
      <c r="G4502" t="str">
        <f t="shared" si="354"/>
        <v/>
      </c>
    </row>
    <row r="4503" spans="1:7" x14ac:dyDescent="0.4">
      <c r="A4503" t="str">
        <f t="shared" si="350"/>
        <v/>
      </c>
      <c r="B4503" t="str">
        <f t="shared" si="351"/>
        <v/>
      </c>
      <c r="C4503" t="str">
        <f t="shared" si="352"/>
        <v/>
      </c>
      <c r="D4503" t="str">
        <f>IF(E4503="","",IF(COUNTIF($E$2:E4503,E4503)&gt;1,"",SUMIFS(tbl_input[필요수량],tbl_input[집계키_지청],E4503)))</f>
        <v/>
      </c>
      <c r="E4503" t="str">
        <f>IFERROR(INDEX(tbl_input[집계키_지청],ROW()-1),"")</f>
        <v/>
      </c>
      <c r="F4503" t="str">
        <f t="shared" si="353"/>
        <v/>
      </c>
      <c r="G4503" t="str">
        <f t="shared" si="354"/>
        <v/>
      </c>
    </row>
    <row r="4504" spans="1:7" x14ac:dyDescent="0.4">
      <c r="A4504" t="str">
        <f t="shared" si="350"/>
        <v/>
      </c>
      <c r="B4504" t="str">
        <f t="shared" si="351"/>
        <v/>
      </c>
      <c r="C4504" t="str">
        <f t="shared" si="352"/>
        <v/>
      </c>
      <c r="D4504" t="str">
        <f>IF(E4504="","",IF(COUNTIF($E$2:E4504,E4504)&gt;1,"",SUMIFS(tbl_input[필요수량],tbl_input[집계키_지청],E4504)))</f>
        <v/>
      </c>
      <c r="E4504" t="str">
        <f>IFERROR(INDEX(tbl_input[집계키_지청],ROW()-1),"")</f>
        <v/>
      </c>
      <c r="F4504" t="str">
        <f t="shared" si="353"/>
        <v/>
      </c>
      <c r="G4504" t="str">
        <f t="shared" si="354"/>
        <v/>
      </c>
    </row>
    <row r="4505" spans="1:7" x14ac:dyDescent="0.4">
      <c r="A4505" t="str">
        <f t="shared" si="350"/>
        <v/>
      </c>
      <c r="B4505" t="str">
        <f t="shared" si="351"/>
        <v/>
      </c>
      <c r="C4505" t="str">
        <f t="shared" si="352"/>
        <v/>
      </c>
      <c r="D4505" t="str">
        <f>IF(E4505="","",IF(COUNTIF($E$2:E4505,E4505)&gt;1,"",SUMIFS(tbl_input[필요수량],tbl_input[집계키_지청],E4505)))</f>
        <v/>
      </c>
      <c r="E4505" t="str">
        <f>IFERROR(INDEX(tbl_input[집계키_지청],ROW()-1),"")</f>
        <v/>
      </c>
      <c r="F4505" t="str">
        <f t="shared" si="353"/>
        <v/>
      </c>
      <c r="G4505" t="str">
        <f t="shared" si="354"/>
        <v/>
      </c>
    </row>
    <row r="4506" spans="1:7" x14ac:dyDescent="0.4">
      <c r="A4506" t="str">
        <f t="shared" si="350"/>
        <v/>
      </c>
      <c r="B4506" t="str">
        <f t="shared" si="351"/>
        <v/>
      </c>
      <c r="C4506" t="str">
        <f t="shared" si="352"/>
        <v/>
      </c>
      <c r="D4506" t="str">
        <f>IF(E4506="","",IF(COUNTIF($E$2:E4506,E4506)&gt;1,"",SUMIFS(tbl_input[필요수량],tbl_input[집계키_지청],E4506)))</f>
        <v/>
      </c>
      <c r="E4506" t="str">
        <f>IFERROR(INDEX(tbl_input[집계키_지청],ROW()-1),"")</f>
        <v/>
      </c>
      <c r="F4506" t="str">
        <f t="shared" si="353"/>
        <v/>
      </c>
      <c r="G4506" t="str">
        <f t="shared" si="354"/>
        <v/>
      </c>
    </row>
    <row r="4507" spans="1:7" x14ac:dyDescent="0.4">
      <c r="A4507" t="str">
        <f t="shared" si="350"/>
        <v/>
      </c>
      <c r="B4507" t="str">
        <f t="shared" si="351"/>
        <v/>
      </c>
      <c r="C4507" t="str">
        <f t="shared" si="352"/>
        <v/>
      </c>
      <c r="D4507" t="str">
        <f>IF(E4507="","",IF(COUNTIF($E$2:E4507,E4507)&gt;1,"",SUMIFS(tbl_input[필요수량],tbl_input[집계키_지청],E4507)))</f>
        <v/>
      </c>
      <c r="E4507" t="str">
        <f>IFERROR(INDEX(tbl_input[집계키_지청],ROW()-1),"")</f>
        <v/>
      </c>
      <c r="F4507" t="str">
        <f t="shared" si="353"/>
        <v/>
      </c>
      <c r="G4507" t="str">
        <f t="shared" si="354"/>
        <v/>
      </c>
    </row>
    <row r="4508" spans="1:7" x14ac:dyDescent="0.4">
      <c r="A4508" t="str">
        <f t="shared" si="350"/>
        <v/>
      </c>
      <c r="B4508" t="str">
        <f t="shared" si="351"/>
        <v/>
      </c>
      <c r="C4508" t="str">
        <f t="shared" si="352"/>
        <v/>
      </c>
      <c r="D4508" t="str">
        <f>IF(E4508="","",IF(COUNTIF($E$2:E4508,E4508)&gt;1,"",SUMIFS(tbl_input[필요수량],tbl_input[집계키_지청],E4508)))</f>
        <v/>
      </c>
      <c r="E4508" t="str">
        <f>IFERROR(INDEX(tbl_input[집계키_지청],ROW()-1),"")</f>
        <v/>
      </c>
      <c r="F4508" t="str">
        <f t="shared" si="353"/>
        <v/>
      </c>
      <c r="G4508" t="str">
        <f t="shared" si="354"/>
        <v/>
      </c>
    </row>
    <row r="4509" spans="1:7" x14ac:dyDescent="0.4">
      <c r="A4509" t="str">
        <f t="shared" si="350"/>
        <v/>
      </c>
      <c r="B4509" t="str">
        <f t="shared" si="351"/>
        <v/>
      </c>
      <c r="C4509" t="str">
        <f t="shared" si="352"/>
        <v/>
      </c>
      <c r="D4509" t="str">
        <f>IF(E4509="","",IF(COUNTIF($E$2:E4509,E4509)&gt;1,"",SUMIFS(tbl_input[필요수량],tbl_input[집계키_지청],E4509)))</f>
        <v/>
      </c>
      <c r="E4509" t="str">
        <f>IFERROR(INDEX(tbl_input[집계키_지청],ROW()-1),"")</f>
        <v/>
      </c>
      <c r="F4509" t="str">
        <f t="shared" si="353"/>
        <v/>
      </c>
      <c r="G4509" t="str">
        <f t="shared" si="354"/>
        <v/>
      </c>
    </row>
    <row r="4510" spans="1:7" x14ac:dyDescent="0.4">
      <c r="A4510" t="str">
        <f t="shared" si="350"/>
        <v/>
      </c>
      <c r="B4510" t="str">
        <f t="shared" si="351"/>
        <v/>
      </c>
      <c r="C4510" t="str">
        <f t="shared" si="352"/>
        <v/>
      </c>
      <c r="D4510" t="str">
        <f>IF(E4510="","",IF(COUNTIF($E$2:E4510,E4510)&gt;1,"",SUMIFS(tbl_input[필요수량],tbl_input[집계키_지청],E4510)))</f>
        <v/>
      </c>
      <c r="E4510" t="str">
        <f>IFERROR(INDEX(tbl_input[집계키_지청],ROW()-1),"")</f>
        <v/>
      </c>
      <c r="F4510" t="str">
        <f t="shared" si="353"/>
        <v/>
      </c>
      <c r="G4510" t="str">
        <f t="shared" si="354"/>
        <v/>
      </c>
    </row>
    <row r="4511" spans="1:7" x14ac:dyDescent="0.4">
      <c r="A4511" t="str">
        <f t="shared" si="350"/>
        <v/>
      </c>
      <c r="B4511" t="str">
        <f t="shared" si="351"/>
        <v/>
      </c>
      <c r="C4511" t="str">
        <f t="shared" si="352"/>
        <v/>
      </c>
      <c r="D4511" t="str">
        <f>IF(E4511="","",IF(COUNTIF($E$2:E4511,E4511)&gt;1,"",SUMIFS(tbl_input[필요수량],tbl_input[집계키_지청],E4511)))</f>
        <v/>
      </c>
      <c r="E4511" t="str">
        <f>IFERROR(INDEX(tbl_input[집계키_지청],ROW()-1),"")</f>
        <v/>
      </c>
      <c r="F4511" t="str">
        <f t="shared" si="353"/>
        <v/>
      </c>
      <c r="G4511" t="str">
        <f t="shared" si="354"/>
        <v/>
      </c>
    </row>
    <row r="4512" spans="1:7" x14ac:dyDescent="0.4">
      <c r="A4512" t="str">
        <f t="shared" si="350"/>
        <v/>
      </c>
      <c r="B4512" t="str">
        <f t="shared" si="351"/>
        <v/>
      </c>
      <c r="C4512" t="str">
        <f t="shared" si="352"/>
        <v/>
      </c>
      <c r="D4512" t="str">
        <f>IF(E4512="","",IF(COUNTIF($E$2:E4512,E4512)&gt;1,"",SUMIFS(tbl_input[필요수량],tbl_input[집계키_지청],E4512)))</f>
        <v/>
      </c>
      <c r="E4512" t="str">
        <f>IFERROR(INDEX(tbl_input[집계키_지청],ROW()-1),"")</f>
        <v/>
      </c>
      <c r="F4512" t="str">
        <f t="shared" si="353"/>
        <v/>
      </c>
      <c r="G4512" t="str">
        <f t="shared" si="354"/>
        <v/>
      </c>
    </row>
    <row r="4513" spans="1:7" x14ac:dyDescent="0.4">
      <c r="A4513" t="str">
        <f t="shared" si="350"/>
        <v/>
      </c>
      <c r="B4513" t="str">
        <f t="shared" si="351"/>
        <v/>
      </c>
      <c r="C4513" t="str">
        <f t="shared" si="352"/>
        <v/>
      </c>
      <c r="D4513" t="str">
        <f>IF(E4513="","",IF(COUNTIF($E$2:E4513,E4513)&gt;1,"",SUMIFS(tbl_input[필요수량],tbl_input[집계키_지청],E4513)))</f>
        <v/>
      </c>
      <c r="E4513" t="str">
        <f>IFERROR(INDEX(tbl_input[집계키_지청],ROW()-1),"")</f>
        <v/>
      </c>
      <c r="F4513" t="str">
        <f t="shared" si="353"/>
        <v/>
      </c>
      <c r="G4513" t="str">
        <f t="shared" si="354"/>
        <v/>
      </c>
    </row>
    <row r="4514" spans="1:7" x14ac:dyDescent="0.4">
      <c r="A4514" t="str">
        <f t="shared" si="350"/>
        <v/>
      </c>
      <c r="B4514" t="str">
        <f t="shared" si="351"/>
        <v/>
      </c>
      <c r="C4514" t="str">
        <f t="shared" si="352"/>
        <v/>
      </c>
      <c r="D4514" t="str">
        <f>IF(E4514="","",IF(COUNTIF($E$2:E4514,E4514)&gt;1,"",SUMIFS(tbl_input[필요수량],tbl_input[집계키_지청],E4514)))</f>
        <v/>
      </c>
      <c r="E4514" t="str">
        <f>IFERROR(INDEX(tbl_input[집계키_지청],ROW()-1),"")</f>
        <v/>
      </c>
      <c r="F4514" t="str">
        <f t="shared" si="353"/>
        <v/>
      </c>
      <c r="G4514" t="str">
        <f t="shared" si="354"/>
        <v/>
      </c>
    </row>
    <row r="4515" spans="1:7" x14ac:dyDescent="0.4">
      <c r="A4515" t="str">
        <f t="shared" si="350"/>
        <v/>
      </c>
      <c r="B4515" t="str">
        <f t="shared" si="351"/>
        <v/>
      </c>
      <c r="C4515" t="str">
        <f t="shared" si="352"/>
        <v/>
      </c>
      <c r="D4515" t="str">
        <f>IF(E4515="","",IF(COUNTIF($E$2:E4515,E4515)&gt;1,"",SUMIFS(tbl_input[필요수량],tbl_input[집계키_지청],E4515)))</f>
        <v/>
      </c>
      <c r="E4515" t="str">
        <f>IFERROR(INDEX(tbl_input[집계키_지청],ROW()-1),"")</f>
        <v/>
      </c>
      <c r="F4515" t="str">
        <f t="shared" si="353"/>
        <v/>
      </c>
      <c r="G4515" t="str">
        <f t="shared" si="354"/>
        <v/>
      </c>
    </row>
    <row r="4516" spans="1:7" x14ac:dyDescent="0.4">
      <c r="A4516" t="str">
        <f t="shared" si="350"/>
        <v/>
      </c>
      <c r="B4516" t="str">
        <f t="shared" si="351"/>
        <v/>
      </c>
      <c r="C4516" t="str">
        <f t="shared" si="352"/>
        <v/>
      </c>
      <c r="D4516" t="str">
        <f>IF(E4516="","",IF(COUNTIF($E$2:E4516,E4516)&gt;1,"",SUMIFS(tbl_input[필요수량],tbl_input[집계키_지청],E4516)))</f>
        <v/>
      </c>
      <c r="E4516" t="str">
        <f>IFERROR(INDEX(tbl_input[집계키_지청],ROW()-1),"")</f>
        <v/>
      </c>
      <c r="F4516" t="str">
        <f t="shared" si="353"/>
        <v/>
      </c>
      <c r="G4516" t="str">
        <f t="shared" si="354"/>
        <v/>
      </c>
    </row>
    <row r="4517" spans="1:7" x14ac:dyDescent="0.4">
      <c r="A4517" t="str">
        <f t="shared" si="350"/>
        <v/>
      </c>
      <c r="B4517" t="str">
        <f t="shared" si="351"/>
        <v/>
      </c>
      <c r="C4517" t="str">
        <f t="shared" si="352"/>
        <v/>
      </c>
      <c r="D4517" t="str">
        <f>IF(E4517="","",IF(COUNTIF($E$2:E4517,E4517)&gt;1,"",SUMIFS(tbl_input[필요수량],tbl_input[집계키_지청],E4517)))</f>
        <v/>
      </c>
      <c r="E4517" t="str">
        <f>IFERROR(INDEX(tbl_input[집계키_지청],ROW()-1),"")</f>
        <v/>
      </c>
      <c r="F4517" t="str">
        <f t="shared" si="353"/>
        <v/>
      </c>
      <c r="G4517" t="str">
        <f t="shared" si="354"/>
        <v/>
      </c>
    </row>
    <row r="4518" spans="1:7" x14ac:dyDescent="0.4">
      <c r="A4518" t="str">
        <f t="shared" si="350"/>
        <v/>
      </c>
      <c r="B4518" t="str">
        <f t="shared" si="351"/>
        <v/>
      </c>
      <c r="C4518" t="str">
        <f t="shared" si="352"/>
        <v/>
      </c>
      <c r="D4518" t="str">
        <f>IF(E4518="","",IF(COUNTIF($E$2:E4518,E4518)&gt;1,"",SUMIFS(tbl_input[필요수량],tbl_input[집계키_지청],E4518)))</f>
        <v/>
      </c>
      <c r="E4518" t="str">
        <f>IFERROR(INDEX(tbl_input[집계키_지청],ROW()-1),"")</f>
        <v/>
      </c>
      <c r="F4518" t="str">
        <f t="shared" si="353"/>
        <v/>
      </c>
      <c r="G4518" t="str">
        <f t="shared" si="354"/>
        <v/>
      </c>
    </row>
    <row r="4519" spans="1:7" x14ac:dyDescent="0.4">
      <c r="A4519" t="str">
        <f t="shared" si="350"/>
        <v/>
      </c>
      <c r="B4519" t="str">
        <f t="shared" si="351"/>
        <v/>
      </c>
      <c r="C4519" t="str">
        <f t="shared" si="352"/>
        <v/>
      </c>
      <c r="D4519" t="str">
        <f>IF(E4519="","",IF(COUNTIF($E$2:E4519,E4519)&gt;1,"",SUMIFS(tbl_input[필요수량],tbl_input[집계키_지청],E4519)))</f>
        <v/>
      </c>
      <c r="E4519" t="str">
        <f>IFERROR(INDEX(tbl_input[집계키_지청],ROW()-1),"")</f>
        <v/>
      </c>
      <c r="F4519" t="str">
        <f t="shared" si="353"/>
        <v/>
      </c>
      <c r="G4519" t="str">
        <f t="shared" si="354"/>
        <v/>
      </c>
    </row>
    <row r="4520" spans="1:7" x14ac:dyDescent="0.4">
      <c r="A4520" t="str">
        <f t="shared" si="350"/>
        <v/>
      </c>
      <c r="B4520" t="str">
        <f t="shared" si="351"/>
        <v/>
      </c>
      <c r="C4520" t="str">
        <f t="shared" si="352"/>
        <v/>
      </c>
      <c r="D4520" t="str">
        <f>IF(E4520="","",IF(COUNTIF($E$2:E4520,E4520)&gt;1,"",SUMIFS(tbl_input[필요수량],tbl_input[집계키_지청],E4520)))</f>
        <v/>
      </c>
      <c r="E4520" t="str">
        <f>IFERROR(INDEX(tbl_input[집계키_지청],ROW()-1),"")</f>
        <v/>
      </c>
      <c r="F4520" t="str">
        <f t="shared" si="353"/>
        <v/>
      </c>
      <c r="G4520" t="str">
        <f t="shared" si="354"/>
        <v/>
      </c>
    </row>
    <row r="4521" spans="1:7" x14ac:dyDescent="0.4">
      <c r="A4521" t="str">
        <f t="shared" si="350"/>
        <v/>
      </c>
      <c r="B4521" t="str">
        <f t="shared" si="351"/>
        <v/>
      </c>
      <c r="C4521" t="str">
        <f t="shared" si="352"/>
        <v/>
      </c>
      <c r="D4521" t="str">
        <f>IF(E4521="","",IF(COUNTIF($E$2:E4521,E4521)&gt;1,"",SUMIFS(tbl_input[필요수량],tbl_input[집계키_지청],E4521)))</f>
        <v/>
      </c>
      <c r="E4521" t="str">
        <f>IFERROR(INDEX(tbl_input[집계키_지청],ROW()-1),"")</f>
        <v/>
      </c>
      <c r="F4521" t="str">
        <f t="shared" si="353"/>
        <v/>
      </c>
      <c r="G4521" t="str">
        <f t="shared" si="354"/>
        <v/>
      </c>
    </row>
    <row r="4522" spans="1:7" x14ac:dyDescent="0.4">
      <c r="A4522" t="str">
        <f t="shared" si="350"/>
        <v/>
      </c>
      <c r="B4522" t="str">
        <f t="shared" si="351"/>
        <v/>
      </c>
      <c r="C4522" t="str">
        <f t="shared" si="352"/>
        <v/>
      </c>
      <c r="D4522" t="str">
        <f>IF(E4522="","",IF(COUNTIF($E$2:E4522,E4522)&gt;1,"",SUMIFS(tbl_input[필요수량],tbl_input[집계키_지청],E4522)))</f>
        <v/>
      </c>
      <c r="E4522" t="str">
        <f>IFERROR(INDEX(tbl_input[집계키_지청],ROW()-1),"")</f>
        <v/>
      </c>
      <c r="F4522" t="str">
        <f t="shared" si="353"/>
        <v/>
      </c>
      <c r="G4522" t="str">
        <f t="shared" si="354"/>
        <v/>
      </c>
    </row>
    <row r="4523" spans="1:7" x14ac:dyDescent="0.4">
      <c r="A4523" t="str">
        <f t="shared" si="350"/>
        <v/>
      </c>
      <c r="B4523" t="str">
        <f t="shared" si="351"/>
        <v/>
      </c>
      <c r="C4523" t="str">
        <f t="shared" si="352"/>
        <v/>
      </c>
      <c r="D4523" t="str">
        <f>IF(E4523="","",IF(COUNTIF($E$2:E4523,E4523)&gt;1,"",SUMIFS(tbl_input[필요수량],tbl_input[집계키_지청],E4523)))</f>
        <v/>
      </c>
      <c r="E4523" t="str">
        <f>IFERROR(INDEX(tbl_input[집계키_지청],ROW()-1),"")</f>
        <v/>
      </c>
      <c r="F4523" t="str">
        <f t="shared" si="353"/>
        <v/>
      </c>
      <c r="G4523" t="str">
        <f t="shared" si="354"/>
        <v/>
      </c>
    </row>
    <row r="4524" spans="1:7" x14ac:dyDescent="0.4">
      <c r="A4524" t="str">
        <f t="shared" si="350"/>
        <v/>
      </c>
      <c r="B4524" t="str">
        <f t="shared" si="351"/>
        <v/>
      </c>
      <c r="C4524" t="str">
        <f t="shared" si="352"/>
        <v/>
      </c>
      <c r="D4524" t="str">
        <f>IF(E4524="","",IF(COUNTIF($E$2:E4524,E4524)&gt;1,"",SUMIFS(tbl_input[필요수량],tbl_input[집계키_지청],E4524)))</f>
        <v/>
      </c>
      <c r="E4524" t="str">
        <f>IFERROR(INDEX(tbl_input[집계키_지청],ROW()-1),"")</f>
        <v/>
      </c>
      <c r="F4524" t="str">
        <f t="shared" si="353"/>
        <v/>
      </c>
      <c r="G4524" t="str">
        <f t="shared" si="354"/>
        <v/>
      </c>
    </row>
    <row r="4525" spans="1:7" x14ac:dyDescent="0.4">
      <c r="A4525" t="str">
        <f t="shared" si="350"/>
        <v/>
      </c>
      <c r="B4525" t="str">
        <f t="shared" si="351"/>
        <v/>
      </c>
      <c r="C4525" t="str">
        <f t="shared" si="352"/>
        <v/>
      </c>
      <c r="D4525" t="str">
        <f>IF(E4525="","",IF(COUNTIF($E$2:E4525,E4525)&gt;1,"",SUMIFS(tbl_input[필요수량],tbl_input[집계키_지청],E4525)))</f>
        <v/>
      </c>
      <c r="E4525" t="str">
        <f>IFERROR(INDEX(tbl_input[집계키_지청],ROW()-1),"")</f>
        <v/>
      </c>
      <c r="F4525" t="str">
        <f t="shared" si="353"/>
        <v/>
      </c>
      <c r="G4525" t="str">
        <f t="shared" si="354"/>
        <v/>
      </c>
    </row>
    <row r="4526" spans="1:7" x14ac:dyDescent="0.4">
      <c r="A4526" t="str">
        <f t="shared" si="350"/>
        <v/>
      </c>
      <c r="B4526" t="str">
        <f t="shared" si="351"/>
        <v/>
      </c>
      <c r="C4526" t="str">
        <f t="shared" si="352"/>
        <v/>
      </c>
      <c r="D4526" t="str">
        <f>IF(E4526="","",IF(COUNTIF($E$2:E4526,E4526)&gt;1,"",SUMIFS(tbl_input[필요수량],tbl_input[집계키_지청],E4526)))</f>
        <v/>
      </c>
      <c r="E4526" t="str">
        <f>IFERROR(INDEX(tbl_input[집계키_지청],ROW()-1),"")</f>
        <v/>
      </c>
      <c r="F4526" t="str">
        <f t="shared" si="353"/>
        <v/>
      </c>
      <c r="G4526" t="str">
        <f t="shared" si="354"/>
        <v/>
      </c>
    </row>
    <row r="4527" spans="1:7" x14ac:dyDescent="0.4">
      <c r="A4527" t="str">
        <f t="shared" si="350"/>
        <v/>
      </c>
      <c r="B4527" t="str">
        <f t="shared" si="351"/>
        <v/>
      </c>
      <c r="C4527" t="str">
        <f t="shared" si="352"/>
        <v/>
      </c>
      <c r="D4527" t="str">
        <f>IF(E4527="","",IF(COUNTIF($E$2:E4527,E4527)&gt;1,"",SUMIFS(tbl_input[필요수량],tbl_input[집계키_지청],E4527)))</f>
        <v/>
      </c>
      <c r="E4527" t="str">
        <f>IFERROR(INDEX(tbl_input[집계키_지청],ROW()-1),"")</f>
        <v/>
      </c>
      <c r="F4527" t="str">
        <f t="shared" si="353"/>
        <v/>
      </c>
      <c r="G4527" t="str">
        <f t="shared" si="354"/>
        <v/>
      </c>
    </row>
    <row r="4528" spans="1:7" x14ac:dyDescent="0.4">
      <c r="A4528" t="str">
        <f t="shared" si="350"/>
        <v/>
      </c>
      <c r="B4528" t="str">
        <f t="shared" si="351"/>
        <v/>
      </c>
      <c r="C4528" t="str">
        <f t="shared" si="352"/>
        <v/>
      </c>
      <c r="D4528" t="str">
        <f>IF(E4528="","",IF(COUNTIF($E$2:E4528,E4528)&gt;1,"",SUMIFS(tbl_input[필요수량],tbl_input[집계키_지청],E4528)))</f>
        <v/>
      </c>
      <c r="E4528" t="str">
        <f>IFERROR(INDEX(tbl_input[집계키_지청],ROW()-1),"")</f>
        <v/>
      </c>
      <c r="F4528" t="str">
        <f t="shared" si="353"/>
        <v/>
      </c>
      <c r="G4528" t="str">
        <f t="shared" si="354"/>
        <v/>
      </c>
    </row>
    <row r="4529" spans="1:7" x14ac:dyDescent="0.4">
      <c r="A4529" t="str">
        <f t="shared" si="350"/>
        <v/>
      </c>
      <c r="B4529" t="str">
        <f t="shared" si="351"/>
        <v/>
      </c>
      <c r="C4529" t="str">
        <f t="shared" si="352"/>
        <v/>
      </c>
      <c r="D4529" t="str">
        <f>IF(E4529="","",IF(COUNTIF($E$2:E4529,E4529)&gt;1,"",SUMIFS(tbl_input[필요수량],tbl_input[집계키_지청],E4529)))</f>
        <v/>
      </c>
      <c r="E4529" t="str">
        <f>IFERROR(INDEX(tbl_input[집계키_지청],ROW()-1),"")</f>
        <v/>
      </c>
      <c r="F4529" t="str">
        <f t="shared" si="353"/>
        <v/>
      </c>
      <c r="G4529" t="str">
        <f t="shared" si="354"/>
        <v/>
      </c>
    </row>
    <row r="4530" spans="1:7" x14ac:dyDescent="0.4">
      <c r="A4530" t="str">
        <f t="shared" si="350"/>
        <v/>
      </c>
      <c r="B4530" t="str">
        <f t="shared" si="351"/>
        <v/>
      </c>
      <c r="C4530" t="str">
        <f t="shared" si="352"/>
        <v/>
      </c>
      <c r="D4530" t="str">
        <f>IF(E4530="","",IF(COUNTIF($E$2:E4530,E4530)&gt;1,"",SUMIFS(tbl_input[필요수량],tbl_input[집계키_지청],E4530)))</f>
        <v/>
      </c>
      <c r="E4530" t="str">
        <f>IFERROR(INDEX(tbl_input[집계키_지청],ROW()-1),"")</f>
        <v/>
      </c>
      <c r="F4530" t="str">
        <f t="shared" si="353"/>
        <v/>
      </c>
      <c r="G4530" t="str">
        <f t="shared" si="354"/>
        <v/>
      </c>
    </row>
    <row r="4531" spans="1:7" x14ac:dyDescent="0.4">
      <c r="A4531" t="str">
        <f t="shared" si="350"/>
        <v/>
      </c>
      <c r="B4531" t="str">
        <f t="shared" si="351"/>
        <v/>
      </c>
      <c r="C4531" t="str">
        <f t="shared" si="352"/>
        <v/>
      </c>
      <c r="D4531" t="str">
        <f>IF(E4531="","",IF(COUNTIF($E$2:E4531,E4531)&gt;1,"",SUMIFS(tbl_input[필요수량],tbl_input[집계키_지청],E4531)))</f>
        <v/>
      </c>
      <c r="E4531" t="str">
        <f>IFERROR(INDEX(tbl_input[집계키_지청],ROW()-1),"")</f>
        <v/>
      </c>
      <c r="F4531" t="str">
        <f t="shared" si="353"/>
        <v/>
      </c>
      <c r="G4531" t="str">
        <f t="shared" si="354"/>
        <v/>
      </c>
    </row>
    <row r="4532" spans="1:7" x14ac:dyDescent="0.4">
      <c r="A4532" t="str">
        <f t="shared" si="350"/>
        <v/>
      </c>
      <c r="B4532" t="str">
        <f t="shared" si="351"/>
        <v/>
      </c>
      <c r="C4532" t="str">
        <f t="shared" si="352"/>
        <v/>
      </c>
      <c r="D4532" t="str">
        <f>IF(E4532="","",IF(COUNTIF($E$2:E4532,E4532)&gt;1,"",SUMIFS(tbl_input[필요수량],tbl_input[집계키_지청],E4532)))</f>
        <v/>
      </c>
      <c r="E4532" t="str">
        <f>IFERROR(INDEX(tbl_input[집계키_지청],ROW()-1),"")</f>
        <v/>
      </c>
      <c r="F4532" t="str">
        <f t="shared" si="353"/>
        <v/>
      </c>
      <c r="G4532" t="str">
        <f t="shared" si="354"/>
        <v/>
      </c>
    </row>
    <row r="4533" spans="1:7" x14ac:dyDescent="0.4">
      <c r="A4533" t="str">
        <f t="shared" si="350"/>
        <v/>
      </c>
      <c r="B4533" t="str">
        <f t="shared" si="351"/>
        <v/>
      </c>
      <c r="C4533" t="str">
        <f t="shared" si="352"/>
        <v/>
      </c>
      <c r="D4533" t="str">
        <f>IF(E4533="","",IF(COUNTIF($E$2:E4533,E4533)&gt;1,"",SUMIFS(tbl_input[필요수량],tbl_input[집계키_지청],E4533)))</f>
        <v/>
      </c>
      <c r="E4533" t="str">
        <f>IFERROR(INDEX(tbl_input[집계키_지청],ROW()-1),"")</f>
        <v/>
      </c>
      <c r="F4533" t="str">
        <f t="shared" si="353"/>
        <v/>
      </c>
      <c r="G4533" t="str">
        <f t="shared" si="354"/>
        <v/>
      </c>
    </row>
    <row r="4534" spans="1:7" x14ac:dyDescent="0.4">
      <c r="A4534" t="str">
        <f t="shared" si="350"/>
        <v/>
      </c>
      <c r="B4534" t="str">
        <f t="shared" si="351"/>
        <v/>
      </c>
      <c r="C4534" t="str">
        <f t="shared" si="352"/>
        <v/>
      </c>
      <c r="D4534" t="str">
        <f>IF(E4534="","",IF(COUNTIF($E$2:E4534,E4534)&gt;1,"",SUMIFS(tbl_input[필요수량],tbl_input[집계키_지청],E4534)))</f>
        <v/>
      </c>
      <c r="E4534" t="str">
        <f>IFERROR(INDEX(tbl_input[집계키_지청],ROW()-1),"")</f>
        <v/>
      </c>
      <c r="F4534" t="str">
        <f t="shared" si="353"/>
        <v/>
      </c>
      <c r="G4534" t="str">
        <f t="shared" si="354"/>
        <v/>
      </c>
    </row>
    <row r="4535" spans="1:7" x14ac:dyDescent="0.4">
      <c r="A4535" t="str">
        <f t="shared" si="350"/>
        <v/>
      </c>
      <c r="B4535" t="str">
        <f t="shared" si="351"/>
        <v/>
      </c>
      <c r="C4535" t="str">
        <f t="shared" si="352"/>
        <v/>
      </c>
      <c r="D4535" t="str">
        <f>IF(E4535="","",IF(COUNTIF($E$2:E4535,E4535)&gt;1,"",SUMIFS(tbl_input[필요수량],tbl_input[집계키_지청],E4535)))</f>
        <v/>
      </c>
      <c r="E4535" t="str">
        <f>IFERROR(INDEX(tbl_input[집계키_지청],ROW()-1),"")</f>
        <v/>
      </c>
      <c r="F4535" t="str">
        <f t="shared" si="353"/>
        <v/>
      </c>
      <c r="G4535" t="str">
        <f t="shared" si="354"/>
        <v/>
      </c>
    </row>
    <row r="4536" spans="1:7" x14ac:dyDescent="0.4">
      <c r="A4536" t="str">
        <f t="shared" si="350"/>
        <v/>
      </c>
      <c r="B4536" t="str">
        <f t="shared" si="351"/>
        <v/>
      </c>
      <c r="C4536" t="str">
        <f t="shared" si="352"/>
        <v/>
      </c>
      <c r="D4536" t="str">
        <f>IF(E4536="","",IF(COUNTIF($E$2:E4536,E4536)&gt;1,"",SUMIFS(tbl_input[필요수량],tbl_input[집계키_지청],E4536)))</f>
        <v/>
      </c>
      <c r="E4536" t="str">
        <f>IFERROR(INDEX(tbl_input[집계키_지청],ROW()-1),"")</f>
        <v/>
      </c>
      <c r="F4536" t="str">
        <f t="shared" si="353"/>
        <v/>
      </c>
      <c r="G4536" t="str">
        <f t="shared" si="354"/>
        <v/>
      </c>
    </row>
    <row r="4537" spans="1:7" x14ac:dyDescent="0.4">
      <c r="A4537" t="str">
        <f t="shared" si="350"/>
        <v/>
      </c>
      <c r="B4537" t="str">
        <f t="shared" si="351"/>
        <v/>
      </c>
      <c r="C4537" t="str">
        <f t="shared" si="352"/>
        <v/>
      </c>
      <c r="D4537" t="str">
        <f>IF(E4537="","",IF(COUNTIF($E$2:E4537,E4537)&gt;1,"",SUMIFS(tbl_input[필요수량],tbl_input[집계키_지청],E4537)))</f>
        <v/>
      </c>
      <c r="E4537" t="str">
        <f>IFERROR(INDEX(tbl_input[집계키_지청],ROW()-1),"")</f>
        <v/>
      </c>
      <c r="F4537" t="str">
        <f t="shared" si="353"/>
        <v/>
      </c>
      <c r="G4537" t="str">
        <f t="shared" si="354"/>
        <v/>
      </c>
    </row>
    <row r="4538" spans="1:7" x14ac:dyDescent="0.4">
      <c r="A4538" t="str">
        <f t="shared" si="350"/>
        <v/>
      </c>
      <c r="B4538" t="str">
        <f t="shared" si="351"/>
        <v/>
      </c>
      <c r="C4538" t="str">
        <f t="shared" si="352"/>
        <v/>
      </c>
      <c r="D4538" t="str">
        <f>IF(E4538="","",IF(COUNTIF($E$2:E4538,E4538)&gt;1,"",SUMIFS(tbl_input[필요수량],tbl_input[집계키_지청],E4538)))</f>
        <v/>
      </c>
      <c r="E4538" t="str">
        <f>IFERROR(INDEX(tbl_input[집계키_지청],ROW()-1),"")</f>
        <v/>
      </c>
      <c r="F4538" t="str">
        <f t="shared" si="353"/>
        <v/>
      </c>
      <c r="G4538" t="str">
        <f t="shared" si="354"/>
        <v/>
      </c>
    </row>
    <row r="4539" spans="1:7" x14ac:dyDescent="0.4">
      <c r="A4539" t="str">
        <f t="shared" si="350"/>
        <v/>
      </c>
      <c r="B4539" t="str">
        <f t="shared" si="351"/>
        <v/>
      </c>
      <c r="C4539" t="str">
        <f t="shared" si="352"/>
        <v/>
      </c>
      <c r="D4539" t="str">
        <f>IF(E4539="","",IF(COUNTIF($E$2:E4539,E4539)&gt;1,"",SUMIFS(tbl_input[필요수량],tbl_input[집계키_지청],E4539)))</f>
        <v/>
      </c>
      <c r="E4539" t="str">
        <f>IFERROR(INDEX(tbl_input[집계키_지청],ROW()-1),"")</f>
        <v/>
      </c>
      <c r="F4539" t="str">
        <f t="shared" si="353"/>
        <v/>
      </c>
      <c r="G4539" t="str">
        <f t="shared" si="354"/>
        <v/>
      </c>
    </row>
    <row r="4540" spans="1:7" x14ac:dyDescent="0.4">
      <c r="A4540" t="str">
        <f t="shared" si="350"/>
        <v/>
      </c>
      <c r="B4540" t="str">
        <f t="shared" si="351"/>
        <v/>
      </c>
      <c r="C4540" t="str">
        <f t="shared" si="352"/>
        <v/>
      </c>
      <c r="D4540" t="str">
        <f>IF(E4540="","",IF(COUNTIF($E$2:E4540,E4540)&gt;1,"",SUMIFS(tbl_input[필요수량],tbl_input[집계키_지청],E4540)))</f>
        <v/>
      </c>
      <c r="E4540" t="str">
        <f>IFERROR(INDEX(tbl_input[집계키_지청],ROW()-1),"")</f>
        <v/>
      </c>
      <c r="F4540" t="str">
        <f t="shared" si="353"/>
        <v/>
      </c>
      <c r="G4540" t="str">
        <f t="shared" si="354"/>
        <v/>
      </c>
    </row>
    <row r="4541" spans="1:7" x14ac:dyDescent="0.4">
      <c r="A4541" t="str">
        <f t="shared" si="350"/>
        <v/>
      </c>
      <c r="B4541" t="str">
        <f t="shared" si="351"/>
        <v/>
      </c>
      <c r="C4541" t="str">
        <f t="shared" si="352"/>
        <v/>
      </c>
      <c r="D4541" t="str">
        <f>IF(E4541="","",IF(COUNTIF($E$2:E4541,E4541)&gt;1,"",SUMIFS(tbl_input[필요수량],tbl_input[집계키_지청],E4541)))</f>
        <v/>
      </c>
      <c r="E4541" t="str">
        <f>IFERROR(INDEX(tbl_input[집계키_지청],ROW()-1),"")</f>
        <v/>
      </c>
      <c r="F4541" t="str">
        <f t="shared" si="353"/>
        <v/>
      </c>
      <c r="G4541" t="str">
        <f t="shared" si="354"/>
        <v/>
      </c>
    </row>
    <row r="4542" spans="1:7" x14ac:dyDescent="0.4">
      <c r="A4542" t="str">
        <f t="shared" si="350"/>
        <v/>
      </c>
      <c r="B4542" t="str">
        <f t="shared" si="351"/>
        <v/>
      </c>
      <c r="C4542" t="str">
        <f t="shared" si="352"/>
        <v/>
      </c>
      <c r="D4542" t="str">
        <f>IF(E4542="","",IF(COUNTIF($E$2:E4542,E4542)&gt;1,"",SUMIFS(tbl_input[필요수량],tbl_input[집계키_지청],E4542)))</f>
        <v/>
      </c>
      <c r="E4542" t="str">
        <f>IFERROR(INDEX(tbl_input[집계키_지청],ROW()-1),"")</f>
        <v/>
      </c>
      <c r="F4542" t="str">
        <f t="shared" si="353"/>
        <v/>
      </c>
      <c r="G4542" t="str">
        <f t="shared" si="354"/>
        <v/>
      </c>
    </row>
    <row r="4543" spans="1:7" x14ac:dyDescent="0.4">
      <c r="A4543" t="str">
        <f t="shared" si="350"/>
        <v/>
      </c>
      <c r="B4543" t="str">
        <f t="shared" si="351"/>
        <v/>
      </c>
      <c r="C4543" t="str">
        <f t="shared" si="352"/>
        <v/>
      </c>
      <c r="D4543" t="str">
        <f>IF(E4543="","",IF(COUNTIF($E$2:E4543,E4543)&gt;1,"",SUMIFS(tbl_input[필요수량],tbl_input[집계키_지청],E4543)))</f>
        <v/>
      </c>
      <c r="E4543" t="str">
        <f>IFERROR(INDEX(tbl_input[집계키_지청],ROW()-1),"")</f>
        <v/>
      </c>
      <c r="F4543" t="str">
        <f t="shared" si="353"/>
        <v/>
      </c>
      <c r="G4543" t="str">
        <f t="shared" si="354"/>
        <v/>
      </c>
    </row>
    <row r="4544" spans="1:7" x14ac:dyDescent="0.4">
      <c r="A4544" t="str">
        <f t="shared" si="350"/>
        <v/>
      </c>
      <c r="B4544" t="str">
        <f t="shared" si="351"/>
        <v/>
      </c>
      <c r="C4544" t="str">
        <f t="shared" si="352"/>
        <v/>
      </c>
      <c r="D4544" t="str">
        <f>IF(E4544="","",IF(COUNTIF($E$2:E4544,E4544)&gt;1,"",SUMIFS(tbl_input[필요수량],tbl_input[집계키_지청],E4544)))</f>
        <v/>
      </c>
      <c r="E4544" t="str">
        <f>IFERROR(INDEX(tbl_input[집계키_지청],ROW()-1),"")</f>
        <v/>
      </c>
      <c r="F4544" t="str">
        <f t="shared" si="353"/>
        <v/>
      </c>
      <c r="G4544" t="str">
        <f t="shared" si="354"/>
        <v/>
      </c>
    </row>
    <row r="4545" spans="1:7" x14ac:dyDescent="0.4">
      <c r="A4545" t="str">
        <f t="shared" si="350"/>
        <v/>
      </c>
      <c r="B4545" t="str">
        <f t="shared" si="351"/>
        <v/>
      </c>
      <c r="C4545" t="str">
        <f t="shared" si="352"/>
        <v/>
      </c>
      <c r="D4545" t="str">
        <f>IF(E4545="","",IF(COUNTIF($E$2:E4545,E4545)&gt;1,"",SUMIFS(tbl_input[필요수량],tbl_input[집계키_지청],E4545)))</f>
        <v/>
      </c>
      <c r="E4545" t="str">
        <f>IFERROR(INDEX(tbl_input[집계키_지청],ROW()-1),"")</f>
        <v/>
      </c>
      <c r="F4545" t="str">
        <f t="shared" si="353"/>
        <v/>
      </c>
      <c r="G4545" t="str">
        <f t="shared" si="354"/>
        <v/>
      </c>
    </row>
    <row r="4546" spans="1:7" x14ac:dyDescent="0.4">
      <c r="A4546" t="str">
        <f t="shared" ref="A4546:A4609" si="355">IF(E4546="","",LEFT(E4546,F4546-1))</f>
        <v/>
      </c>
      <c r="B4546" t="str">
        <f t="shared" ref="B4546:B4609" si="356">IF(E4546="","",MID(E4546,F4546+1,G4546-F4546-1))</f>
        <v/>
      </c>
      <c r="C4546" t="str">
        <f t="shared" ref="C4546:C4609" si="357">IF(E4546="","",MID(E4546,G4546+1,999))</f>
        <v/>
      </c>
      <c r="D4546" t="str">
        <f>IF(E4546="","",IF(COUNTIF($E$2:E4546,E4546)&gt;1,"",SUMIFS(tbl_input[필요수량],tbl_input[집계키_지청],E4546)))</f>
        <v/>
      </c>
      <c r="E4546" t="str">
        <f>IFERROR(INDEX(tbl_input[집계키_지청],ROW()-1),"")</f>
        <v/>
      </c>
      <c r="F4546" t="str">
        <f t="shared" ref="F4546:F4609" si="358">IF(E4546="","",FIND("♦",E4546))</f>
        <v/>
      </c>
      <c r="G4546" t="str">
        <f t="shared" ref="G4546:G4609" si="359">IF(E4546="","",FIND("♦",E4546,F4546+1))</f>
        <v/>
      </c>
    </row>
    <row r="4547" spans="1:7" x14ac:dyDescent="0.4">
      <c r="A4547" t="str">
        <f t="shared" si="355"/>
        <v/>
      </c>
      <c r="B4547" t="str">
        <f t="shared" si="356"/>
        <v/>
      </c>
      <c r="C4547" t="str">
        <f t="shared" si="357"/>
        <v/>
      </c>
      <c r="D4547" t="str">
        <f>IF(E4547="","",IF(COUNTIF($E$2:E4547,E4547)&gt;1,"",SUMIFS(tbl_input[필요수량],tbl_input[집계키_지청],E4547)))</f>
        <v/>
      </c>
      <c r="E4547" t="str">
        <f>IFERROR(INDEX(tbl_input[집계키_지청],ROW()-1),"")</f>
        <v/>
      </c>
      <c r="F4547" t="str">
        <f t="shared" si="358"/>
        <v/>
      </c>
      <c r="G4547" t="str">
        <f t="shared" si="359"/>
        <v/>
      </c>
    </row>
    <row r="4548" spans="1:7" x14ac:dyDescent="0.4">
      <c r="A4548" t="str">
        <f t="shared" si="355"/>
        <v/>
      </c>
      <c r="B4548" t="str">
        <f t="shared" si="356"/>
        <v/>
      </c>
      <c r="C4548" t="str">
        <f t="shared" si="357"/>
        <v/>
      </c>
      <c r="D4548" t="str">
        <f>IF(E4548="","",IF(COUNTIF($E$2:E4548,E4548)&gt;1,"",SUMIFS(tbl_input[필요수량],tbl_input[집계키_지청],E4548)))</f>
        <v/>
      </c>
      <c r="E4548" t="str">
        <f>IFERROR(INDEX(tbl_input[집계키_지청],ROW()-1),"")</f>
        <v/>
      </c>
      <c r="F4548" t="str">
        <f t="shared" si="358"/>
        <v/>
      </c>
      <c r="G4548" t="str">
        <f t="shared" si="359"/>
        <v/>
      </c>
    </row>
    <row r="4549" spans="1:7" x14ac:dyDescent="0.4">
      <c r="A4549" t="str">
        <f t="shared" si="355"/>
        <v/>
      </c>
      <c r="B4549" t="str">
        <f t="shared" si="356"/>
        <v/>
      </c>
      <c r="C4549" t="str">
        <f t="shared" si="357"/>
        <v/>
      </c>
      <c r="D4549" t="str">
        <f>IF(E4549="","",IF(COUNTIF($E$2:E4549,E4549)&gt;1,"",SUMIFS(tbl_input[필요수량],tbl_input[집계키_지청],E4549)))</f>
        <v/>
      </c>
      <c r="E4549" t="str">
        <f>IFERROR(INDEX(tbl_input[집계키_지청],ROW()-1),"")</f>
        <v/>
      </c>
      <c r="F4549" t="str">
        <f t="shared" si="358"/>
        <v/>
      </c>
      <c r="G4549" t="str">
        <f t="shared" si="359"/>
        <v/>
      </c>
    </row>
    <row r="4550" spans="1:7" x14ac:dyDescent="0.4">
      <c r="A4550" t="str">
        <f t="shared" si="355"/>
        <v/>
      </c>
      <c r="B4550" t="str">
        <f t="shared" si="356"/>
        <v/>
      </c>
      <c r="C4550" t="str">
        <f t="shared" si="357"/>
        <v/>
      </c>
      <c r="D4550" t="str">
        <f>IF(E4550="","",IF(COUNTIF($E$2:E4550,E4550)&gt;1,"",SUMIFS(tbl_input[필요수량],tbl_input[집계키_지청],E4550)))</f>
        <v/>
      </c>
      <c r="E4550" t="str">
        <f>IFERROR(INDEX(tbl_input[집계키_지청],ROW()-1),"")</f>
        <v/>
      </c>
      <c r="F4550" t="str">
        <f t="shared" si="358"/>
        <v/>
      </c>
      <c r="G4550" t="str">
        <f t="shared" si="359"/>
        <v/>
      </c>
    </row>
    <row r="4551" spans="1:7" x14ac:dyDescent="0.4">
      <c r="A4551" t="str">
        <f t="shared" si="355"/>
        <v/>
      </c>
      <c r="B4551" t="str">
        <f t="shared" si="356"/>
        <v/>
      </c>
      <c r="C4551" t="str">
        <f t="shared" si="357"/>
        <v/>
      </c>
      <c r="D4551" t="str">
        <f>IF(E4551="","",IF(COUNTIF($E$2:E4551,E4551)&gt;1,"",SUMIFS(tbl_input[필요수량],tbl_input[집계키_지청],E4551)))</f>
        <v/>
      </c>
      <c r="E4551" t="str">
        <f>IFERROR(INDEX(tbl_input[집계키_지청],ROW()-1),"")</f>
        <v/>
      </c>
      <c r="F4551" t="str">
        <f t="shared" si="358"/>
        <v/>
      </c>
      <c r="G4551" t="str">
        <f t="shared" si="359"/>
        <v/>
      </c>
    </row>
    <row r="4552" spans="1:7" x14ac:dyDescent="0.4">
      <c r="A4552" t="str">
        <f t="shared" si="355"/>
        <v/>
      </c>
      <c r="B4552" t="str">
        <f t="shared" si="356"/>
        <v/>
      </c>
      <c r="C4552" t="str">
        <f t="shared" si="357"/>
        <v/>
      </c>
      <c r="D4552" t="str">
        <f>IF(E4552="","",IF(COUNTIF($E$2:E4552,E4552)&gt;1,"",SUMIFS(tbl_input[필요수량],tbl_input[집계키_지청],E4552)))</f>
        <v/>
      </c>
      <c r="E4552" t="str">
        <f>IFERROR(INDEX(tbl_input[집계키_지청],ROW()-1),"")</f>
        <v/>
      </c>
      <c r="F4552" t="str">
        <f t="shared" si="358"/>
        <v/>
      </c>
      <c r="G4552" t="str">
        <f t="shared" si="359"/>
        <v/>
      </c>
    </row>
    <row r="4553" spans="1:7" x14ac:dyDescent="0.4">
      <c r="A4553" t="str">
        <f t="shared" si="355"/>
        <v/>
      </c>
      <c r="B4553" t="str">
        <f t="shared" si="356"/>
        <v/>
      </c>
      <c r="C4553" t="str">
        <f t="shared" si="357"/>
        <v/>
      </c>
      <c r="D4553" t="str">
        <f>IF(E4553="","",IF(COUNTIF($E$2:E4553,E4553)&gt;1,"",SUMIFS(tbl_input[필요수량],tbl_input[집계키_지청],E4553)))</f>
        <v/>
      </c>
      <c r="E4553" t="str">
        <f>IFERROR(INDEX(tbl_input[집계키_지청],ROW()-1),"")</f>
        <v/>
      </c>
      <c r="F4553" t="str">
        <f t="shared" si="358"/>
        <v/>
      </c>
      <c r="G4553" t="str">
        <f t="shared" si="359"/>
        <v/>
      </c>
    </row>
    <row r="4554" spans="1:7" x14ac:dyDescent="0.4">
      <c r="A4554" t="str">
        <f t="shared" si="355"/>
        <v/>
      </c>
      <c r="B4554" t="str">
        <f t="shared" si="356"/>
        <v/>
      </c>
      <c r="C4554" t="str">
        <f t="shared" si="357"/>
        <v/>
      </c>
      <c r="D4554" t="str">
        <f>IF(E4554="","",IF(COUNTIF($E$2:E4554,E4554)&gt;1,"",SUMIFS(tbl_input[필요수량],tbl_input[집계키_지청],E4554)))</f>
        <v/>
      </c>
      <c r="E4554" t="str">
        <f>IFERROR(INDEX(tbl_input[집계키_지청],ROW()-1),"")</f>
        <v/>
      </c>
      <c r="F4554" t="str">
        <f t="shared" si="358"/>
        <v/>
      </c>
      <c r="G4554" t="str">
        <f t="shared" si="359"/>
        <v/>
      </c>
    </row>
    <row r="4555" spans="1:7" x14ac:dyDescent="0.4">
      <c r="A4555" t="str">
        <f t="shared" si="355"/>
        <v/>
      </c>
      <c r="B4555" t="str">
        <f t="shared" si="356"/>
        <v/>
      </c>
      <c r="C4555" t="str">
        <f t="shared" si="357"/>
        <v/>
      </c>
      <c r="D4555" t="str">
        <f>IF(E4555="","",IF(COUNTIF($E$2:E4555,E4555)&gt;1,"",SUMIFS(tbl_input[필요수량],tbl_input[집계키_지청],E4555)))</f>
        <v/>
      </c>
      <c r="E4555" t="str">
        <f>IFERROR(INDEX(tbl_input[집계키_지청],ROW()-1),"")</f>
        <v/>
      </c>
      <c r="F4555" t="str">
        <f t="shared" si="358"/>
        <v/>
      </c>
      <c r="G4555" t="str">
        <f t="shared" si="359"/>
        <v/>
      </c>
    </row>
    <row r="4556" spans="1:7" x14ac:dyDescent="0.4">
      <c r="A4556" t="str">
        <f t="shared" si="355"/>
        <v/>
      </c>
      <c r="B4556" t="str">
        <f t="shared" si="356"/>
        <v/>
      </c>
      <c r="C4556" t="str">
        <f t="shared" si="357"/>
        <v/>
      </c>
      <c r="D4556" t="str">
        <f>IF(E4556="","",IF(COUNTIF($E$2:E4556,E4556)&gt;1,"",SUMIFS(tbl_input[필요수량],tbl_input[집계키_지청],E4556)))</f>
        <v/>
      </c>
      <c r="E4556" t="str">
        <f>IFERROR(INDEX(tbl_input[집계키_지청],ROW()-1),"")</f>
        <v/>
      </c>
      <c r="F4556" t="str">
        <f t="shared" si="358"/>
        <v/>
      </c>
      <c r="G4556" t="str">
        <f t="shared" si="359"/>
        <v/>
      </c>
    </row>
    <row r="4557" spans="1:7" x14ac:dyDescent="0.4">
      <c r="A4557" t="str">
        <f t="shared" si="355"/>
        <v/>
      </c>
      <c r="B4557" t="str">
        <f t="shared" si="356"/>
        <v/>
      </c>
      <c r="C4557" t="str">
        <f t="shared" si="357"/>
        <v/>
      </c>
      <c r="D4557" t="str">
        <f>IF(E4557="","",IF(COUNTIF($E$2:E4557,E4557)&gt;1,"",SUMIFS(tbl_input[필요수량],tbl_input[집계키_지청],E4557)))</f>
        <v/>
      </c>
      <c r="E4557" t="str">
        <f>IFERROR(INDEX(tbl_input[집계키_지청],ROW()-1),"")</f>
        <v/>
      </c>
      <c r="F4557" t="str">
        <f t="shared" si="358"/>
        <v/>
      </c>
      <c r="G4557" t="str">
        <f t="shared" si="359"/>
        <v/>
      </c>
    </row>
    <row r="4558" spans="1:7" x14ac:dyDescent="0.4">
      <c r="A4558" t="str">
        <f t="shared" si="355"/>
        <v/>
      </c>
      <c r="B4558" t="str">
        <f t="shared" si="356"/>
        <v/>
      </c>
      <c r="C4558" t="str">
        <f t="shared" si="357"/>
        <v/>
      </c>
      <c r="D4558" t="str">
        <f>IF(E4558="","",IF(COUNTIF($E$2:E4558,E4558)&gt;1,"",SUMIFS(tbl_input[필요수량],tbl_input[집계키_지청],E4558)))</f>
        <v/>
      </c>
      <c r="E4558" t="str">
        <f>IFERROR(INDEX(tbl_input[집계키_지청],ROW()-1),"")</f>
        <v/>
      </c>
      <c r="F4558" t="str">
        <f t="shared" si="358"/>
        <v/>
      </c>
      <c r="G4558" t="str">
        <f t="shared" si="359"/>
        <v/>
      </c>
    </row>
    <row r="4559" spans="1:7" x14ac:dyDescent="0.4">
      <c r="A4559" t="str">
        <f t="shared" si="355"/>
        <v/>
      </c>
      <c r="B4559" t="str">
        <f t="shared" si="356"/>
        <v/>
      </c>
      <c r="C4559" t="str">
        <f t="shared" si="357"/>
        <v/>
      </c>
      <c r="D4559" t="str">
        <f>IF(E4559="","",IF(COUNTIF($E$2:E4559,E4559)&gt;1,"",SUMIFS(tbl_input[필요수량],tbl_input[집계키_지청],E4559)))</f>
        <v/>
      </c>
      <c r="E4559" t="str">
        <f>IFERROR(INDEX(tbl_input[집계키_지청],ROW()-1),"")</f>
        <v/>
      </c>
      <c r="F4559" t="str">
        <f t="shared" si="358"/>
        <v/>
      </c>
      <c r="G4559" t="str">
        <f t="shared" si="359"/>
        <v/>
      </c>
    </row>
    <row r="4560" spans="1:7" x14ac:dyDescent="0.4">
      <c r="A4560" t="str">
        <f t="shared" si="355"/>
        <v/>
      </c>
      <c r="B4560" t="str">
        <f t="shared" si="356"/>
        <v/>
      </c>
      <c r="C4560" t="str">
        <f t="shared" si="357"/>
        <v/>
      </c>
      <c r="D4560" t="str">
        <f>IF(E4560="","",IF(COUNTIF($E$2:E4560,E4560)&gt;1,"",SUMIFS(tbl_input[필요수량],tbl_input[집계키_지청],E4560)))</f>
        <v/>
      </c>
      <c r="E4560" t="str">
        <f>IFERROR(INDEX(tbl_input[집계키_지청],ROW()-1),"")</f>
        <v/>
      </c>
      <c r="F4560" t="str">
        <f t="shared" si="358"/>
        <v/>
      </c>
      <c r="G4560" t="str">
        <f t="shared" si="359"/>
        <v/>
      </c>
    </row>
    <row r="4561" spans="1:7" x14ac:dyDescent="0.4">
      <c r="A4561" t="str">
        <f t="shared" si="355"/>
        <v/>
      </c>
      <c r="B4561" t="str">
        <f t="shared" si="356"/>
        <v/>
      </c>
      <c r="C4561" t="str">
        <f t="shared" si="357"/>
        <v/>
      </c>
      <c r="D4561" t="str">
        <f>IF(E4561="","",IF(COUNTIF($E$2:E4561,E4561)&gt;1,"",SUMIFS(tbl_input[필요수량],tbl_input[집계키_지청],E4561)))</f>
        <v/>
      </c>
      <c r="E4561" t="str">
        <f>IFERROR(INDEX(tbl_input[집계키_지청],ROW()-1),"")</f>
        <v/>
      </c>
      <c r="F4561" t="str">
        <f t="shared" si="358"/>
        <v/>
      </c>
      <c r="G4561" t="str">
        <f t="shared" si="359"/>
        <v/>
      </c>
    </row>
    <row r="4562" spans="1:7" x14ac:dyDescent="0.4">
      <c r="A4562" t="str">
        <f t="shared" si="355"/>
        <v/>
      </c>
      <c r="B4562" t="str">
        <f t="shared" si="356"/>
        <v/>
      </c>
      <c r="C4562" t="str">
        <f t="shared" si="357"/>
        <v/>
      </c>
      <c r="D4562" t="str">
        <f>IF(E4562="","",IF(COUNTIF($E$2:E4562,E4562)&gt;1,"",SUMIFS(tbl_input[필요수량],tbl_input[집계키_지청],E4562)))</f>
        <v/>
      </c>
      <c r="E4562" t="str">
        <f>IFERROR(INDEX(tbl_input[집계키_지청],ROW()-1),"")</f>
        <v/>
      </c>
      <c r="F4562" t="str">
        <f t="shared" si="358"/>
        <v/>
      </c>
      <c r="G4562" t="str">
        <f t="shared" si="359"/>
        <v/>
      </c>
    </row>
    <row r="4563" spans="1:7" x14ac:dyDescent="0.4">
      <c r="A4563" t="str">
        <f t="shared" si="355"/>
        <v/>
      </c>
      <c r="B4563" t="str">
        <f t="shared" si="356"/>
        <v/>
      </c>
      <c r="C4563" t="str">
        <f t="shared" si="357"/>
        <v/>
      </c>
      <c r="D4563" t="str">
        <f>IF(E4563="","",IF(COUNTIF($E$2:E4563,E4563)&gt;1,"",SUMIFS(tbl_input[필요수량],tbl_input[집계키_지청],E4563)))</f>
        <v/>
      </c>
      <c r="E4563" t="str">
        <f>IFERROR(INDEX(tbl_input[집계키_지청],ROW()-1),"")</f>
        <v/>
      </c>
      <c r="F4563" t="str">
        <f t="shared" si="358"/>
        <v/>
      </c>
      <c r="G4563" t="str">
        <f t="shared" si="359"/>
        <v/>
      </c>
    </row>
    <row r="4564" spans="1:7" x14ac:dyDescent="0.4">
      <c r="A4564" t="str">
        <f t="shared" si="355"/>
        <v/>
      </c>
      <c r="B4564" t="str">
        <f t="shared" si="356"/>
        <v/>
      </c>
      <c r="C4564" t="str">
        <f t="shared" si="357"/>
        <v/>
      </c>
      <c r="D4564" t="str">
        <f>IF(E4564="","",IF(COUNTIF($E$2:E4564,E4564)&gt;1,"",SUMIFS(tbl_input[필요수량],tbl_input[집계키_지청],E4564)))</f>
        <v/>
      </c>
      <c r="E4564" t="str">
        <f>IFERROR(INDEX(tbl_input[집계키_지청],ROW()-1),"")</f>
        <v/>
      </c>
      <c r="F4564" t="str">
        <f t="shared" si="358"/>
        <v/>
      </c>
      <c r="G4564" t="str">
        <f t="shared" si="359"/>
        <v/>
      </c>
    </row>
    <row r="4565" spans="1:7" x14ac:dyDescent="0.4">
      <c r="A4565" t="str">
        <f t="shared" si="355"/>
        <v/>
      </c>
      <c r="B4565" t="str">
        <f t="shared" si="356"/>
        <v/>
      </c>
      <c r="C4565" t="str">
        <f t="shared" si="357"/>
        <v/>
      </c>
      <c r="D4565" t="str">
        <f>IF(E4565="","",IF(COUNTIF($E$2:E4565,E4565)&gt;1,"",SUMIFS(tbl_input[필요수량],tbl_input[집계키_지청],E4565)))</f>
        <v/>
      </c>
      <c r="E4565" t="str">
        <f>IFERROR(INDEX(tbl_input[집계키_지청],ROW()-1),"")</f>
        <v/>
      </c>
      <c r="F4565" t="str">
        <f t="shared" si="358"/>
        <v/>
      </c>
      <c r="G4565" t="str">
        <f t="shared" si="359"/>
        <v/>
      </c>
    </row>
    <row r="4566" spans="1:7" x14ac:dyDescent="0.4">
      <c r="A4566" t="str">
        <f t="shared" si="355"/>
        <v/>
      </c>
      <c r="B4566" t="str">
        <f t="shared" si="356"/>
        <v/>
      </c>
      <c r="C4566" t="str">
        <f t="shared" si="357"/>
        <v/>
      </c>
      <c r="D4566" t="str">
        <f>IF(E4566="","",IF(COUNTIF($E$2:E4566,E4566)&gt;1,"",SUMIFS(tbl_input[필요수량],tbl_input[집계키_지청],E4566)))</f>
        <v/>
      </c>
      <c r="E4566" t="str">
        <f>IFERROR(INDEX(tbl_input[집계키_지청],ROW()-1),"")</f>
        <v/>
      </c>
      <c r="F4566" t="str">
        <f t="shared" si="358"/>
        <v/>
      </c>
      <c r="G4566" t="str">
        <f t="shared" si="359"/>
        <v/>
      </c>
    </row>
    <row r="4567" spans="1:7" x14ac:dyDescent="0.4">
      <c r="A4567" t="str">
        <f t="shared" si="355"/>
        <v/>
      </c>
      <c r="B4567" t="str">
        <f t="shared" si="356"/>
        <v/>
      </c>
      <c r="C4567" t="str">
        <f t="shared" si="357"/>
        <v/>
      </c>
      <c r="D4567" t="str">
        <f>IF(E4567="","",IF(COUNTIF($E$2:E4567,E4567)&gt;1,"",SUMIFS(tbl_input[필요수량],tbl_input[집계키_지청],E4567)))</f>
        <v/>
      </c>
      <c r="E4567" t="str">
        <f>IFERROR(INDEX(tbl_input[집계키_지청],ROW()-1),"")</f>
        <v/>
      </c>
      <c r="F4567" t="str">
        <f t="shared" si="358"/>
        <v/>
      </c>
      <c r="G4567" t="str">
        <f t="shared" si="359"/>
        <v/>
      </c>
    </row>
    <row r="4568" spans="1:7" x14ac:dyDescent="0.4">
      <c r="A4568" t="str">
        <f t="shared" si="355"/>
        <v/>
      </c>
      <c r="B4568" t="str">
        <f t="shared" si="356"/>
        <v/>
      </c>
      <c r="C4568" t="str">
        <f t="shared" si="357"/>
        <v/>
      </c>
      <c r="D4568" t="str">
        <f>IF(E4568="","",IF(COUNTIF($E$2:E4568,E4568)&gt;1,"",SUMIFS(tbl_input[필요수량],tbl_input[집계키_지청],E4568)))</f>
        <v/>
      </c>
      <c r="E4568" t="str">
        <f>IFERROR(INDEX(tbl_input[집계키_지청],ROW()-1),"")</f>
        <v/>
      </c>
      <c r="F4568" t="str">
        <f t="shared" si="358"/>
        <v/>
      </c>
      <c r="G4568" t="str">
        <f t="shared" si="359"/>
        <v/>
      </c>
    </row>
    <row r="4569" spans="1:7" x14ac:dyDescent="0.4">
      <c r="A4569" t="str">
        <f t="shared" si="355"/>
        <v/>
      </c>
      <c r="B4569" t="str">
        <f t="shared" si="356"/>
        <v/>
      </c>
      <c r="C4569" t="str">
        <f t="shared" si="357"/>
        <v/>
      </c>
      <c r="D4569" t="str">
        <f>IF(E4569="","",IF(COUNTIF($E$2:E4569,E4569)&gt;1,"",SUMIFS(tbl_input[필요수량],tbl_input[집계키_지청],E4569)))</f>
        <v/>
      </c>
      <c r="E4569" t="str">
        <f>IFERROR(INDEX(tbl_input[집계키_지청],ROW()-1),"")</f>
        <v/>
      </c>
      <c r="F4569" t="str">
        <f t="shared" si="358"/>
        <v/>
      </c>
      <c r="G4569" t="str">
        <f t="shared" si="359"/>
        <v/>
      </c>
    </row>
    <row r="4570" spans="1:7" x14ac:dyDescent="0.4">
      <c r="A4570" t="str">
        <f t="shared" si="355"/>
        <v/>
      </c>
      <c r="B4570" t="str">
        <f t="shared" si="356"/>
        <v/>
      </c>
      <c r="C4570" t="str">
        <f t="shared" si="357"/>
        <v/>
      </c>
      <c r="D4570" t="str">
        <f>IF(E4570="","",IF(COUNTIF($E$2:E4570,E4570)&gt;1,"",SUMIFS(tbl_input[필요수량],tbl_input[집계키_지청],E4570)))</f>
        <v/>
      </c>
      <c r="E4570" t="str">
        <f>IFERROR(INDEX(tbl_input[집계키_지청],ROW()-1),"")</f>
        <v/>
      </c>
      <c r="F4570" t="str">
        <f t="shared" si="358"/>
        <v/>
      </c>
      <c r="G4570" t="str">
        <f t="shared" si="359"/>
        <v/>
      </c>
    </row>
    <row r="4571" spans="1:7" x14ac:dyDescent="0.4">
      <c r="A4571" t="str">
        <f t="shared" si="355"/>
        <v/>
      </c>
      <c r="B4571" t="str">
        <f t="shared" si="356"/>
        <v/>
      </c>
      <c r="C4571" t="str">
        <f t="shared" si="357"/>
        <v/>
      </c>
      <c r="D4571" t="str">
        <f>IF(E4571="","",IF(COUNTIF($E$2:E4571,E4571)&gt;1,"",SUMIFS(tbl_input[필요수량],tbl_input[집계키_지청],E4571)))</f>
        <v/>
      </c>
      <c r="E4571" t="str">
        <f>IFERROR(INDEX(tbl_input[집계키_지청],ROW()-1),"")</f>
        <v/>
      </c>
      <c r="F4571" t="str">
        <f t="shared" si="358"/>
        <v/>
      </c>
      <c r="G4571" t="str">
        <f t="shared" si="359"/>
        <v/>
      </c>
    </row>
    <row r="4572" spans="1:7" x14ac:dyDescent="0.4">
      <c r="A4572" t="str">
        <f t="shared" si="355"/>
        <v/>
      </c>
      <c r="B4572" t="str">
        <f t="shared" si="356"/>
        <v/>
      </c>
      <c r="C4572" t="str">
        <f t="shared" si="357"/>
        <v/>
      </c>
      <c r="D4572" t="str">
        <f>IF(E4572="","",IF(COUNTIF($E$2:E4572,E4572)&gt;1,"",SUMIFS(tbl_input[필요수량],tbl_input[집계키_지청],E4572)))</f>
        <v/>
      </c>
      <c r="E4572" t="str">
        <f>IFERROR(INDEX(tbl_input[집계키_지청],ROW()-1),"")</f>
        <v/>
      </c>
      <c r="F4572" t="str">
        <f t="shared" si="358"/>
        <v/>
      </c>
      <c r="G4572" t="str">
        <f t="shared" si="359"/>
        <v/>
      </c>
    </row>
    <row r="4573" spans="1:7" x14ac:dyDescent="0.4">
      <c r="A4573" t="str">
        <f t="shared" si="355"/>
        <v/>
      </c>
      <c r="B4573" t="str">
        <f t="shared" si="356"/>
        <v/>
      </c>
      <c r="C4573" t="str">
        <f t="shared" si="357"/>
        <v/>
      </c>
      <c r="D4573" t="str">
        <f>IF(E4573="","",IF(COUNTIF($E$2:E4573,E4573)&gt;1,"",SUMIFS(tbl_input[필요수량],tbl_input[집계키_지청],E4573)))</f>
        <v/>
      </c>
      <c r="E4573" t="str">
        <f>IFERROR(INDEX(tbl_input[집계키_지청],ROW()-1),"")</f>
        <v/>
      </c>
      <c r="F4573" t="str">
        <f t="shared" si="358"/>
        <v/>
      </c>
      <c r="G4573" t="str">
        <f t="shared" si="359"/>
        <v/>
      </c>
    </row>
    <row r="4574" spans="1:7" x14ac:dyDescent="0.4">
      <c r="A4574" t="str">
        <f t="shared" si="355"/>
        <v/>
      </c>
      <c r="B4574" t="str">
        <f t="shared" si="356"/>
        <v/>
      </c>
      <c r="C4574" t="str">
        <f t="shared" si="357"/>
        <v/>
      </c>
      <c r="D4574" t="str">
        <f>IF(E4574="","",IF(COUNTIF($E$2:E4574,E4574)&gt;1,"",SUMIFS(tbl_input[필요수량],tbl_input[집계키_지청],E4574)))</f>
        <v/>
      </c>
      <c r="E4574" t="str">
        <f>IFERROR(INDEX(tbl_input[집계키_지청],ROW()-1),"")</f>
        <v/>
      </c>
      <c r="F4574" t="str">
        <f t="shared" si="358"/>
        <v/>
      </c>
      <c r="G4574" t="str">
        <f t="shared" si="359"/>
        <v/>
      </c>
    </row>
    <row r="4575" spans="1:7" x14ac:dyDescent="0.4">
      <c r="A4575" t="str">
        <f t="shared" si="355"/>
        <v/>
      </c>
      <c r="B4575" t="str">
        <f t="shared" si="356"/>
        <v/>
      </c>
      <c r="C4575" t="str">
        <f t="shared" si="357"/>
        <v/>
      </c>
      <c r="D4575" t="str">
        <f>IF(E4575="","",IF(COUNTIF($E$2:E4575,E4575)&gt;1,"",SUMIFS(tbl_input[필요수량],tbl_input[집계키_지청],E4575)))</f>
        <v/>
      </c>
      <c r="E4575" t="str">
        <f>IFERROR(INDEX(tbl_input[집계키_지청],ROW()-1),"")</f>
        <v/>
      </c>
      <c r="F4575" t="str">
        <f t="shared" si="358"/>
        <v/>
      </c>
      <c r="G4575" t="str">
        <f t="shared" si="359"/>
        <v/>
      </c>
    </row>
    <row r="4576" spans="1:7" x14ac:dyDescent="0.4">
      <c r="A4576" t="str">
        <f t="shared" si="355"/>
        <v/>
      </c>
      <c r="B4576" t="str">
        <f t="shared" si="356"/>
        <v/>
      </c>
      <c r="C4576" t="str">
        <f t="shared" si="357"/>
        <v/>
      </c>
      <c r="D4576" t="str">
        <f>IF(E4576="","",IF(COUNTIF($E$2:E4576,E4576)&gt;1,"",SUMIFS(tbl_input[필요수량],tbl_input[집계키_지청],E4576)))</f>
        <v/>
      </c>
      <c r="E4576" t="str">
        <f>IFERROR(INDEX(tbl_input[집계키_지청],ROW()-1),"")</f>
        <v/>
      </c>
      <c r="F4576" t="str">
        <f t="shared" si="358"/>
        <v/>
      </c>
      <c r="G4576" t="str">
        <f t="shared" si="359"/>
        <v/>
      </c>
    </row>
    <row r="4577" spans="1:7" x14ac:dyDescent="0.4">
      <c r="A4577" t="str">
        <f t="shared" si="355"/>
        <v/>
      </c>
      <c r="B4577" t="str">
        <f t="shared" si="356"/>
        <v/>
      </c>
      <c r="C4577" t="str">
        <f t="shared" si="357"/>
        <v/>
      </c>
      <c r="D4577" t="str">
        <f>IF(E4577="","",IF(COUNTIF($E$2:E4577,E4577)&gt;1,"",SUMIFS(tbl_input[필요수량],tbl_input[집계키_지청],E4577)))</f>
        <v/>
      </c>
      <c r="E4577" t="str">
        <f>IFERROR(INDEX(tbl_input[집계키_지청],ROW()-1),"")</f>
        <v/>
      </c>
      <c r="F4577" t="str">
        <f t="shared" si="358"/>
        <v/>
      </c>
      <c r="G4577" t="str">
        <f t="shared" si="359"/>
        <v/>
      </c>
    </row>
    <row r="4578" spans="1:7" x14ac:dyDescent="0.4">
      <c r="A4578" t="str">
        <f t="shared" si="355"/>
        <v/>
      </c>
      <c r="B4578" t="str">
        <f t="shared" si="356"/>
        <v/>
      </c>
      <c r="C4578" t="str">
        <f t="shared" si="357"/>
        <v/>
      </c>
      <c r="D4578" t="str">
        <f>IF(E4578="","",IF(COUNTIF($E$2:E4578,E4578)&gt;1,"",SUMIFS(tbl_input[필요수량],tbl_input[집계키_지청],E4578)))</f>
        <v/>
      </c>
      <c r="E4578" t="str">
        <f>IFERROR(INDEX(tbl_input[집계키_지청],ROW()-1),"")</f>
        <v/>
      </c>
      <c r="F4578" t="str">
        <f t="shared" si="358"/>
        <v/>
      </c>
      <c r="G4578" t="str">
        <f t="shared" si="359"/>
        <v/>
      </c>
    </row>
    <row r="4579" spans="1:7" x14ac:dyDescent="0.4">
      <c r="A4579" t="str">
        <f t="shared" si="355"/>
        <v/>
      </c>
      <c r="B4579" t="str">
        <f t="shared" si="356"/>
        <v/>
      </c>
      <c r="C4579" t="str">
        <f t="shared" si="357"/>
        <v/>
      </c>
      <c r="D4579" t="str">
        <f>IF(E4579="","",IF(COUNTIF($E$2:E4579,E4579)&gt;1,"",SUMIFS(tbl_input[필요수량],tbl_input[집계키_지청],E4579)))</f>
        <v/>
      </c>
      <c r="E4579" t="str">
        <f>IFERROR(INDEX(tbl_input[집계키_지청],ROW()-1),"")</f>
        <v/>
      </c>
      <c r="F4579" t="str">
        <f t="shared" si="358"/>
        <v/>
      </c>
      <c r="G4579" t="str">
        <f t="shared" si="359"/>
        <v/>
      </c>
    </row>
    <row r="4580" spans="1:7" x14ac:dyDescent="0.4">
      <c r="A4580" t="str">
        <f t="shared" si="355"/>
        <v/>
      </c>
      <c r="B4580" t="str">
        <f t="shared" si="356"/>
        <v/>
      </c>
      <c r="C4580" t="str">
        <f t="shared" si="357"/>
        <v/>
      </c>
      <c r="D4580" t="str">
        <f>IF(E4580="","",IF(COUNTIF($E$2:E4580,E4580)&gt;1,"",SUMIFS(tbl_input[필요수량],tbl_input[집계키_지청],E4580)))</f>
        <v/>
      </c>
      <c r="E4580" t="str">
        <f>IFERROR(INDEX(tbl_input[집계키_지청],ROW()-1),"")</f>
        <v/>
      </c>
      <c r="F4580" t="str">
        <f t="shared" si="358"/>
        <v/>
      </c>
      <c r="G4580" t="str">
        <f t="shared" si="359"/>
        <v/>
      </c>
    </row>
    <row r="4581" spans="1:7" x14ac:dyDescent="0.4">
      <c r="A4581" t="str">
        <f t="shared" si="355"/>
        <v/>
      </c>
      <c r="B4581" t="str">
        <f t="shared" si="356"/>
        <v/>
      </c>
      <c r="C4581" t="str">
        <f t="shared" si="357"/>
        <v/>
      </c>
      <c r="D4581" t="str">
        <f>IF(E4581="","",IF(COUNTIF($E$2:E4581,E4581)&gt;1,"",SUMIFS(tbl_input[필요수량],tbl_input[집계키_지청],E4581)))</f>
        <v/>
      </c>
      <c r="E4581" t="str">
        <f>IFERROR(INDEX(tbl_input[집계키_지청],ROW()-1),"")</f>
        <v/>
      </c>
      <c r="F4581" t="str">
        <f t="shared" si="358"/>
        <v/>
      </c>
      <c r="G4581" t="str">
        <f t="shared" si="359"/>
        <v/>
      </c>
    </row>
    <row r="4582" spans="1:7" x14ac:dyDescent="0.4">
      <c r="A4582" t="str">
        <f t="shared" si="355"/>
        <v/>
      </c>
      <c r="B4582" t="str">
        <f t="shared" si="356"/>
        <v/>
      </c>
      <c r="C4582" t="str">
        <f t="shared" si="357"/>
        <v/>
      </c>
      <c r="D4582" t="str">
        <f>IF(E4582="","",IF(COUNTIF($E$2:E4582,E4582)&gt;1,"",SUMIFS(tbl_input[필요수량],tbl_input[집계키_지청],E4582)))</f>
        <v/>
      </c>
      <c r="E4582" t="str">
        <f>IFERROR(INDEX(tbl_input[집계키_지청],ROW()-1),"")</f>
        <v/>
      </c>
      <c r="F4582" t="str">
        <f t="shared" si="358"/>
        <v/>
      </c>
      <c r="G4582" t="str">
        <f t="shared" si="359"/>
        <v/>
      </c>
    </row>
    <row r="4583" spans="1:7" x14ac:dyDescent="0.4">
      <c r="A4583" t="str">
        <f t="shared" si="355"/>
        <v/>
      </c>
      <c r="B4583" t="str">
        <f t="shared" si="356"/>
        <v/>
      </c>
      <c r="C4583" t="str">
        <f t="shared" si="357"/>
        <v/>
      </c>
      <c r="D4583" t="str">
        <f>IF(E4583="","",IF(COUNTIF($E$2:E4583,E4583)&gt;1,"",SUMIFS(tbl_input[필요수량],tbl_input[집계키_지청],E4583)))</f>
        <v/>
      </c>
      <c r="E4583" t="str">
        <f>IFERROR(INDEX(tbl_input[집계키_지청],ROW()-1),"")</f>
        <v/>
      </c>
      <c r="F4583" t="str">
        <f t="shared" si="358"/>
        <v/>
      </c>
      <c r="G4583" t="str">
        <f t="shared" si="359"/>
        <v/>
      </c>
    </row>
    <row r="4584" spans="1:7" x14ac:dyDescent="0.4">
      <c r="A4584" t="str">
        <f t="shared" si="355"/>
        <v/>
      </c>
      <c r="B4584" t="str">
        <f t="shared" si="356"/>
        <v/>
      </c>
      <c r="C4584" t="str">
        <f t="shared" si="357"/>
        <v/>
      </c>
      <c r="D4584" t="str">
        <f>IF(E4584="","",IF(COUNTIF($E$2:E4584,E4584)&gt;1,"",SUMIFS(tbl_input[필요수량],tbl_input[집계키_지청],E4584)))</f>
        <v/>
      </c>
      <c r="E4584" t="str">
        <f>IFERROR(INDEX(tbl_input[집계키_지청],ROW()-1),"")</f>
        <v/>
      </c>
      <c r="F4584" t="str">
        <f t="shared" si="358"/>
        <v/>
      </c>
      <c r="G4584" t="str">
        <f t="shared" si="359"/>
        <v/>
      </c>
    </row>
    <row r="4585" spans="1:7" x14ac:dyDescent="0.4">
      <c r="A4585" t="str">
        <f t="shared" si="355"/>
        <v/>
      </c>
      <c r="B4585" t="str">
        <f t="shared" si="356"/>
        <v/>
      </c>
      <c r="C4585" t="str">
        <f t="shared" si="357"/>
        <v/>
      </c>
      <c r="D4585" t="str">
        <f>IF(E4585="","",IF(COUNTIF($E$2:E4585,E4585)&gt;1,"",SUMIFS(tbl_input[필요수량],tbl_input[집계키_지청],E4585)))</f>
        <v/>
      </c>
      <c r="E4585" t="str">
        <f>IFERROR(INDEX(tbl_input[집계키_지청],ROW()-1),"")</f>
        <v/>
      </c>
      <c r="F4585" t="str">
        <f t="shared" si="358"/>
        <v/>
      </c>
      <c r="G4585" t="str">
        <f t="shared" si="359"/>
        <v/>
      </c>
    </row>
    <row r="4586" spans="1:7" x14ac:dyDescent="0.4">
      <c r="A4586" t="str">
        <f t="shared" si="355"/>
        <v/>
      </c>
      <c r="B4586" t="str">
        <f t="shared" si="356"/>
        <v/>
      </c>
      <c r="C4586" t="str">
        <f t="shared" si="357"/>
        <v/>
      </c>
      <c r="D4586" t="str">
        <f>IF(E4586="","",IF(COUNTIF($E$2:E4586,E4586)&gt;1,"",SUMIFS(tbl_input[필요수량],tbl_input[집계키_지청],E4586)))</f>
        <v/>
      </c>
      <c r="E4586" t="str">
        <f>IFERROR(INDEX(tbl_input[집계키_지청],ROW()-1),"")</f>
        <v/>
      </c>
      <c r="F4586" t="str">
        <f t="shared" si="358"/>
        <v/>
      </c>
      <c r="G4586" t="str">
        <f t="shared" si="359"/>
        <v/>
      </c>
    </row>
    <row r="4587" spans="1:7" x14ac:dyDescent="0.4">
      <c r="A4587" t="str">
        <f t="shared" si="355"/>
        <v/>
      </c>
      <c r="B4587" t="str">
        <f t="shared" si="356"/>
        <v/>
      </c>
      <c r="C4587" t="str">
        <f t="shared" si="357"/>
        <v/>
      </c>
      <c r="D4587" t="str">
        <f>IF(E4587="","",IF(COUNTIF($E$2:E4587,E4587)&gt;1,"",SUMIFS(tbl_input[필요수량],tbl_input[집계키_지청],E4587)))</f>
        <v/>
      </c>
      <c r="E4587" t="str">
        <f>IFERROR(INDEX(tbl_input[집계키_지청],ROW()-1),"")</f>
        <v/>
      </c>
      <c r="F4587" t="str">
        <f t="shared" si="358"/>
        <v/>
      </c>
      <c r="G4587" t="str">
        <f t="shared" si="359"/>
        <v/>
      </c>
    </row>
    <row r="4588" spans="1:7" x14ac:dyDescent="0.4">
      <c r="A4588" t="str">
        <f t="shared" si="355"/>
        <v/>
      </c>
      <c r="B4588" t="str">
        <f t="shared" si="356"/>
        <v/>
      </c>
      <c r="C4588" t="str">
        <f t="shared" si="357"/>
        <v/>
      </c>
      <c r="D4588" t="str">
        <f>IF(E4588="","",IF(COUNTIF($E$2:E4588,E4588)&gt;1,"",SUMIFS(tbl_input[필요수량],tbl_input[집계키_지청],E4588)))</f>
        <v/>
      </c>
      <c r="E4588" t="str">
        <f>IFERROR(INDEX(tbl_input[집계키_지청],ROW()-1),"")</f>
        <v/>
      </c>
      <c r="F4588" t="str">
        <f t="shared" si="358"/>
        <v/>
      </c>
      <c r="G4588" t="str">
        <f t="shared" si="359"/>
        <v/>
      </c>
    </row>
    <row r="4589" spans="1:7" x14ac:dyDescent="0.4">
      <c r="A4589" t="str">
        <f t="shared" si="355"/>
        <v/>
      </c>
      <c r="B4589" t="str">
        <f t="shared" si="356"/>
        <v/>
      </c>
      <c r="C4589" t="str">
        <f t="shared" si="357"/>
        <v/>
      </c>
      <c r="D4589" t="str">
        <f>IF(E4589="","",IF(COUNTIF($E$2:E4589,E4589)&gt;1,"",SUMIFS(tbl_input[필요수량],tbl_input[집계키_지청],E4589)))</f>
        <v/>
      </c>
      <c r="E4589" t="str">
        <f>IFERROR(INDEX(tbl_input[집계키_지청],ROW()-1),"")</f>
        <v/>
      </c>
      <c r="F4589" t="str">
        <f t="shared" si="358"/>
        <v/>
      </c>
      <c r="G4589" t="str">
        <f t="shared" si="359"/>
        <v/>
      </c>
    </row>
    <row r="4590" spans="1:7" x14ac:dyDescent="0.4">
      <c r="A4590" t="str">
        <f t="shared" si="355"/>
        <v/>
      </c>
      <c r="B4590" t="str">
        <f t="shared" si="356"/>
        <v/>
      </c>
      <c r="C4590" t="str">
        <f t="shared" si="357"/>
        <v/>
      </c>
      <c r="D4590" t="str">
        <f>IF(E4590="","",IF(COUNTIF($E$2:E4590,E4590)&gt;1,"",SUMIFS(tbl_input[필요수량],tbl_input[집계키_지청],E4590)))</f>
        <v/>
      </c>
      <c r="E4590" t="str">
        <f>IFERROR(INDEX(tbl_input[집계키_지청],ROW()-1),"")</f>
        <v/>
      </c>
      <c r="F4590" t="str">
        <f t="shared" si="358"/>
        <v/>
      </c>
      <c r="G4590" t="str">
        <f t="shared" si="359"/>
        <v/>
      </c>
    </row>
    <row r="4591" spans="1:7" x14ac:dyDescent="0.4">
      <c r="A4591" t="str">
        <f t="shared" si="355"/>
        <v/>
      </c>
      <c r="B4591" t="str">
        <f t="shared" si="356"/>
        <v/>
      </c>
      <c r="C4591" t="str">
        <f t="shared" si="357"/>
        <v/>
      </c>
      <c r="D4591" t="str">
        <f>IF(E4591="","",IF(COUNTIF($E$2:E4591,E4591)&gt;1,"",SUMIFS(tbl_input[필요수량],tbl_input[집계키_지청],E4591)))</f>
        <v/>
      </c>
      <c r="E4591" t="str">
        <f>IFERROR(INDEX(tbl_input[집계키_지청],ROW()-1),"")</f>
        <v/>
      </c>
      <c r="F4591" t="str">
        <f t="shared" si="358"/>
        <v/>
      </c>
      <c r="G4591" t="str">
        <f t="shared" si="359"/>
        <v/>
      </c>
    </row>
    <row r="4592" spans="1:7" x14ac:dyDescent="0.4">
      <c r="A4592" t="str">
        <f t="shared" si="355"/>
        <v/>
      </c>
      <c r="B4592" t="str">
        <f t="shared" si="356"/>
        <v/>
      </c>
      <c r="C4592" t="str">
        <f t="shared" si="357"/>
        <v/>
      </c>
      <c r="D4592" t="str">
        <f>IF(E4592="","",IF(COUNTIF($E$2:E4592,E4592)&gt;1,"",SUMIFS(tbl_input[필요수량],tbl_input[집계키_지청],E4592)))</f>
        <v/>
      </c>
      <c r="E4592" t="str">
        <f>IFERROR(INDEX(tbl_input[집계키_지청],ROW()-1),"")</f>
        <v/>
      </c>
      <c r="F4592" t="str">
        <f t="shared" si="358"/>
        <v/>
      </c>
      <c r="G4592" t="str">
        <f t="shared" si="359"/>
        <v/>
      </c>
    </row>
    <row r="4593" spans="1:7" x14ac:dyDescent="0.4">
      <c r="A4593" t="str">
        <f t="shared" si="355"/>
        <v/>
      </c>
      <c r="B4593" t="str">
        <f t="shared" si="356"/>
        <v/>
      </c>
      <c r="C4593" t="str">
        <f t="shared" si="357"/>
        <v/>
      </c>
      <c r="D4593" t="str">
        <f>IF(E4593="","",IF(COUNTIF($E$2:E4593,E4593)&gt;1,"",SUMIFS(tbl_input[필요수량],tbl_input[집계키_지청],E4593)))</f>
        <v/>
      </c>
      <c r="E4593" t="str">
        <f>IFERROR(INDEX(tbl_input[집계키_지청],ROW()-1),"")</f>
        <v/>
      </c>
      <c r="F4593" t="str">
        <f t="shared" si="358"/>
        <v/>
      </c>
      <c r="G4593" t="str">
        <f t="shared" si="359"/>
        <v/>
      </c>
    </row>
    <row r="4594" spans="1:7" x14ac:dyDescent="0.4">
      <c r="A4594" t="str">
        <f t="shared" si="355"/>
        <v/>
      </c>
      <c r="B4594" t="str">
        <f t="shared" si="356"/>
        <v/>
      </c>
      <c r="C4594" t="str">
        <f t="shared" si="357"/>
        <v/>
      </c>
      <c r="D4594" t="str">
        <f>IF(E4594="","",IF(COUNTIF($E$2:E4594,E4594)&gt;1,"",SUMIFS(tbl_input[필요수량],tbl_input[집계키_지청],E4594)))</f>
        <v/>
      </c>
      <c r="E4594" t="str">
        <f>IFERROR(INDEX(tbl_input[집계키_지청],ROW()-1),"")</f>
        <v/>
      </c>
      <c r="F4594" t="str">
        <f t="shared" si="358"/>
        <v/>
      </c>
      <c r="G4594" t="str">
        <f t="shared" si="359"/>
        <v/>
      </c>
    </row>
    <row r="4595" spans="1:7" x14ac:dyDescent="0.4">
      <c r="A4595" t="str">
        <f t="shared" si="355"/>
        <v/>
      </c>
      <c r="B4595" t="str">
        <f t="shared" si="356"/>
        <v/>
      </c>
      <c r="C4595" t="str">
        <f t="shared" si="357"/>
        <v/>
      </c>
      <c r="D4595" t="str">
        <f>IF(E4595="","",IF(COUNTIF($E$2:E4595,E4595)&gt;1,"",SUMIFS(tbl_input[필요수량],tbl_input[집계키_지청],E4595)))</f>
        <v/>
      </c>
      <c r="E4595" t="str">
        <f>IFERROR(INDEX(tbl_input[집계키_지청],ROW()-1),"")</f>
        <v/>
      </c>
      <c r="F4595" t="str">
        <f t="shared" si="358"/>
        <v/>
      </c>
      <c r="G4595" t="str">
        <f t="shared" si="359"/>
        <v/>
      </c>
    </row>
    <row r="4596" spans="1:7" x14ac:dyDescent="0.4">
      <c r="A4596" t="str">
        <f t="shared" si="355"/>
        <v/>
      </c>
      <c r="B4596" t="str">
        <f t="shared" si="356"/>
        <v/>
      </c>
      <c r="C4596" t="str">
        <f t="shared" si="357"/>
        <v/>
      </c>
      <c r="D4596" t="str">
        <f>IF(E4596="","",IF(COUNTIF($E$2:E4596,E4596)&gt;1,"",SUMIFS(tbl_input[필요수량],tbl_input[집계키_지청],E4596)))</f>
        <v/>
      </c>
      <c r="E4596" t="str">
        <f>IFERROR(INDEX(tbl_input[집계키_지청],ROW()-1),"")</f>
        <v/>
      </c>
      <c r="F4596" t="str">
        <f t="shared" si="358"/>
        <v/>
      </c>
      <c r="G4596" t="str">
        <f t="shared" si="359"/>
        <v/>
      </c>
    </row>
    <row r="4597" spans="1:7" x14ac:dyDescent="0.4">
      <c r="A4597" t="str">
        <f t="shared" si="355"/>
        <v/>
      </c>
      <c r="B4597" t="str">
        <f t="shared" si="356"/>
        <v/>
      </c>
      <c r="C4597" t="str">
        <f t="shared" si="357"/>
        <v/>
      </c>
      <c r="D4597" t="str">
        <f>IF(E4597="","",IF(COUNTIF($E$2:E4597,E4597)&gt;1,"",SUMIFS(tbl_input[필요수량],tbl_input[집계키_지청],E4597)))</f>
        <v/>
      </c>
      <c r="E4597" t="str">
        <f>IFERROR(INDEX(tbl_input[집계키_지청],ROW()-1),"")</f>
        <v/>
      </c>
      <c r="F4597" t="str">
        <f t="shared" si="358"/>
        <v/>
      </c>
      <c r="G4597" t="str">
        <f t="shared" si="359"/>
        <v/>
      </c>
    </row>
    <row r="4598" spans="1:7" x14ac:dyDescent="0.4">
      <c r="A4598" t="str">
        <f t="shared" si="355"/>
        <v/>
      </c>
      <c r="B4598" t="str">
        <f t="shared" si="356"/>
        <v/>
      </c>
      <c r="C4598" t="str">
        <f t="shared" si="357"/>
        <v/>
      </c>
      <c r="D4598" t="str">
        <f>IF(E4598="","",IF(COUNTIF($E$2:E4598,E4598)&gt;1,"",SUMIFS(tbl_input[필요수량],tbl_input[집계키_지청],E4598)))</f>
        <v/>
      </c>
      <c r="E4598" t="str">
        <f>IFERROR(INDEX(tbl_input[집계키_지청],ROW()-1),"")</f>
        <v/>
      </c>
      <c r="F4598" t="str">
        <f t="shared" si="358"/>
        <v/>
      </c>
      <c r="G4598" t="str">
        <f t="shared" si="359"/>
        <v/>
      </c>
    </row>
    <row r="4599" spans="1:7" x14ac:dyDescent="0.4">
      <c r="A4599" t="str">
        <f t="shared" si="355"/>
        <v/>
      </c>
      <c r="B4599" t="str">
        <f t="shared" si="356"/>
        <v/>
      </c>
      <c r="C4599" t="str">
        <f t="shared" si="357"/>
        <v/>
      </c>
      <c r="D4599" t="str">
        <f>IF(E4599="","",IF(COUNTIF($E$2:E4599,E4599)&gt;1,"",SUMIFS(tbl_input[필요수량],tbl_input[집계키_지청],E4599)))</f>
        <v/>
      </c>
      <c r="E4599" t="str">
        <f>IFERROR(INDEX(tbl_input[집계키_지청],ROW()-1),"")</f>
        <v/>
      </c>
      <c r="F4599" t="str">
        <f t="shared" si="358"/>
        <v/>
      </c>
      <c r="G4599" t="str">
        <f t="shared" si="359"/>
        <v/>
      </c>
    </row>
    <row r="4600" spans="1:7" x14ac:dyDescent="0.4">
      <c r="A4600" t="str">
        <f t="shared" si="355"/>
        <v/>
      </c>
      <c r="B4600" t="str">
        <f t="shared" si="356"/>
        <v/>
      </c>
      <c r="C4600" t="str">
        <f t="shared" si="357"/>
        <v/>
      </c>
      <c r="D4600" t="str">
        <f>IF(E4600="","",IF(COUNTIF($E$2:E4600,E4600)&gt;1,"",SUMIFS(tbl_input[필요수량],tbl_input[집계키_지청],E4600)))</f>
        <v/>
      </c>
      <c r="E4600" t="str">
        <f>IFERROR(INDEX(tbl_input[집계키_지청],ROW()-1),"")</f>
        <v/>
      </c>
      <c r="F4600" t="str">
        <f t="shared" si="358"/>
        <v/>
      </c>
      <c r="G4600" t="str">
        <f t="shared" si="359"/>
        <v/>
      </c>
    </row>
    <row r="4601" spans="1:7" x14ac:dyDescent="0.4">
      <c r="A4601" t="str">
        <f t="shared" si="355"/>
        <v/>
      </c>
      <c r="B4601" t="str">
        <f t="shared" si="356"/>
        <v/>
      </c>
      <c r="C4601" t="str">
        <f t="shared" si="357"/>
        <v/>
      </c>
      <c r="D4601" t="str">
        <f>IF(E4601="","",IF(COUNTIF($E$2:E4601,E4601)&gt;1,"",SUMIFS(tbl_input[필요수량],tbl_input[집계키_지청],E4601)))</f>
        <v/>
      </c>
      <c r="E4601" t="str">
        <f>IFERROR(INDEX(tbl_input[집계키_지청],ROW()-1),"")</f>
        <v/>
      </c>
      <c r="F4601" t="str">
        <f t="shared" si="358"/>
        <v/>
      </c>
      <c r="G4601" t="str">
        <f t="shared" si="359"/>
        <v/>
      </c>
    </row>
    <row r="4602" spans="1:7" x14ac:dyDescent="0.4">
      <c r="A4602" t="str">
        <f t="shared" si="355"/>
        <v/>
      </c>
      <c r="B4602" t="str">
        <f t="shared" si="356"/>
        <v/>
      </c>
      <c r="C4602" t="str">
        <f t="shared" si="357"/>
        <v/>
      </c>
      <c r="D4602" t="str">
        <f>IF(E4602="","",IF(COUNTIF($E$2:E4602,E4602)&gt;1,"",SUMIFS(tbl_input[필요수량],tbl_input[집계키_지청],E4602)))</f>
        <v/>
      </c>
      <c r="E4602" t="str">
        <f>IFERROR(INDEX(tbl_input[집계키_지청],ROW()-1),"")</f>
        <v/>
      </c>
      <c r="F4602" t="str">
        <f t="shared" si="358"/>
        <v/>
      </c>
      <c r="G4602" t="str">
        <f t="shared" si="359"/>
        <v/>
      </c>
    </row>
    <row r="4603" spans="1:7" x14ac:dyDescent="0.4">
      <c r="A4603" t="str">
        <f t="shared" si="355"/>
        <v/>
      </c>
      <c r="B4603" t="str">
        <f t="shared" si="356"/>
        <v/>
      </c>
      <c r="C4603" t="str">
        <f t="shared" si="357"/>
        <v/>
      </c>
      <c r="D4603" t="str">
        <f>IF(E4603="","",IF(COUNTIF($E$2:E4603,E4603)&gt;1,"",SUMIFS(tbl_input[필요수량],tbl_input[집계키_지청],E4603)))</f>
        <v/>
      </c>
      <c r="E4603" t="str">
        <f>IFERROR(INDEX(tbl_input[집계키_지청],ROW()-1),"")</f>
        <v/>
      </c>
      <c r="F4603" t="str">
        <f t="shared" si="358"/>
        <v/>
      </c>
      <c r="G4603" t="str">
        <f t="shared" si="359"/>
        <v/>
      </c>
    </row>
    <row r="4604" spans="1:7" x14ac:dyDescent="0.4">
      <c r="A4604" t="str">
        <f t="shared" si="355"/>
        <v/>
      </c>
      <c r="B4604" t="str">
        <f t="shared" si="356"/>
        <v/>
      </c>
      <c r="C4604" t="str">
        <f t="shared" si="357"/>
        <v/>
      </c>
      <c r="D4604" t="str">
        <f>IF(E4604="","",IF(COUNTIF($E$2:E4604,E4604)&gt;1,"",SUMIFS(tbl_input[필요수량],tbl_input[집계키_지청],E4604)))</f>
        <v/>
      </c>
      <c r="E4604" t="str">
        <f>IFERROR(INDEX(tbl_input[집계키_지청],ROW()-1),"")</f>
        <v/>
      </c>
      <c r="F4604" t="str">
        <f t="shared" si="358"/>
        <v/>
      </c>
      <c r="G4604" t="str">
        <f t="shared" si="359"/>
        <v/>
      </c>
    </row>
    <row r="4605" spans="1:7" x14ac:dyDescent="0.4">
      <c r="A4605" t="str">
        <f t="shared" si="355"/>
        <v/>
      </c>
      <c r="B4605" t="str">
        <f t="shared" si="356"/>
        <v/>
      </c>
      <c r="C4605" t="str">
        <f t="shared" si="357"/>
        <v/>
      </c>
      <c r="D4605" t="str">
        <f>IF(E4605="","",IF(COUNTIF($E$2:E4605,E4605)&gt;1,"",SUMIFS(tbl_input[필요수량],tbl_input[집계키_지청],E4605)))</f>
        <v/>
      </c>
      <c r="E4605" t="str">
        <f>IFERROR(INDEX(tbl_input[집계키_지청],ROW()-1),"")</f>
        <v/>
      </c>
      <c r="F4605" t="str">
        <f t="shared" si="358"/>
        <v/>
      </c>
      <c r="G4605" t="str">
        <f t="shared" si="359"/>
        <v/>
      </c>
    </row>
    <row r="4606" spans="1:7" x14ac:dyDescent="0.4">
      <c r="A4606" t="str">
        <f t="shared" si="355"/>
        <v/>
      </c>
      <c r="B4606" t="str">
        <f t="shared" si="356"/>
        <v/>
      </c>
      <c r="C4606" t="str">
        <f t="shared" si="357"/>
        <v/>
      </c>
      <c r="D4606" t="str">
        <f>IF(E4606="","",IF(COUNTIF($E$2:E4606,E4606)&gt;1,"",SUMIFS(tbl_input[필요수량],tbl_input[집계키_지청],E4606)))</f>
        <v/>
      </c>
      <c r="E4606" t="str">
        <f>IFERROR(INDEX(tbl_input[집계키_지청],ROW()-1),"")</f>
        <v/>
      </c>
      <c r="F4606" t="str">
        <f t="shared" si="358"/>
        <v/>
      </c>
      <c r="G4606" t="str">
        <f t="shared" si="359"/>
        <v/>
      </c>
    </row>
    <row r="4607" spans="1:7" x14ac:dyDescent="0.4">
      <c r="A4607" t="str">
        <f t="shared" si="355"/>
        <v/>
      </c>
      <c r="B4607" t="str">
        <f t="shared" si="356"/>
        <v/>
      </c>
      <c r="C4607" t="str">
        <f t="shared" si="357"/>
        <v/>
      </c>
      <c r="D4607" t="str">
        <f>IF(E4607="","",IF(COUNTIF($E$2:E4607,E4607)&gt;1,"",SUMIFS(tbl_input[필요수량],tbl_input[집계키_지청],E4607)))</f>
        <v/>
      </c>
      <c r="E4607" t="str">
        <f>IFERROR(INDEX(tbl_input[집계키_지청],ROW()-1),"")</f>
        <v/>
      </c>
      <c r="F4607" t="str">
        <f t="shared" si="358"/>
        <v/>
      </c>
      <c r="G4607" t="str">
        <f t="shared" si="359"/>
        <v/>
      </c>
    </row>
    <row r="4608" spans="1:7" x14ac:dyDescent="0.4">
      <c r="A4608" t="str">
        <f t="shared" si="355"/>
        <v/>
      </c>
      <c r="B4608" t="str">
        <f t="shared" si="356"/>
        <v/>
      </c>
      <c r="C4608" t="str">
        <f t="shared" si="357"/>
        <v/>
      </c>
      <c r="D4608" t="str">
        <f>IF(E4608="","",IF(COUNTIF($E$2:E4608,E4608)&gt;1,"",SUMIFS(tbl_input[필요수량],tbl_input[집계키_지청],E4608)))</f>
        <v/>
      </c>
      <c r="E4608" t="str">
        <f>IFERROR(INDEX(tbl_input[집계키_지청],ROW()-1),"")</f>
        <v/>
      </c>
      <c r="F4608" t="str">
        <f t="shared" si="358"/>
        <v/>
      </c>
      <c r="G4608" t="str">
        <f t="shared" si="359"/>
        <v/>
      </c>
    </row>
    <row r="4609" spans="1:7" x14ac:dyDescent="0.4">
      <c r="A4609" t="str">
        <f t="shared" si="355"/>
        <v/>
      </c>
      <c r="B4609" t="str">
        <f t="shared" si="356"/>
        <v/>
      </c>
      <c r="C4609" t="str">
        <f t="shared" si="357"/>
        <v/>
      </c>
      <c r="D4609" t="str">
        <f>IF(E4609="","",IF(COUNTIF($E$2:E4609,E4609)&gt;1,"",SUMIFS(tbl_input[필요수량],tbl_input[집계키_지청],E4609)))</f>
        <v/>
      </c>
      <c r="E4609" t="str">
        <f>IFERROR(INDEX(tbl_input[집계키_지청],ROW()-1),"")</f>
        <v/>
      </c>
      <c r="F4609" t="str">
        <f t="shared" si="358"/>
        <v/>
      </c>
      <c r="G4609" t="str">
        <f t="shared" si="359"/>
        <v/>
      </c>
    </row>
    <row r="4610" spans="1:7" x14ac:dyDescent="0.4">
      <c r="A4610" t="str">
        <f t="shared" ref="A4610:A4673" si="360">IF(E4610="","",LEFT(E4610,F4610-1))</f>
        <v/>
      </c>
      <c r="B4610" t="str">
        <f t="shared" ref="B4610:B4673" si="361">IF(E4610="","",MID(E4610,F4610+1,G4610-F4610-1))</f>
        <v/>
      </c>
      <c r="C4610" t="str">
        <f t="shared" ref="C4610:C4673" si="362">IF(E4610="","",MID(E4610,G4610+1,999))</f>
        <v/>
      </c>
      <c r="D4610" t="str">
        <f>IF(E4610="","",IF(COUNTIF($E$2:E4610,E4610)&gt;1,"",SUMIFS(tbl_input[필요수량],tbl_input[집계키_지청],E4610)))</f>
        <v/>
      </c>
      <c r="E4610" t="str">
        <f>IFERROR(INDEX(tbl_input[집계키_지청],ROW()-1),"")</f>
        <v/>
      </c>
      <c r="F4610" t="str">
        <f t="shared" ref="F4610:F4673" si="363">IF(E4610="","",FIND("♦",E4610))</f>
        <v/>
      </c>
      <c r="G4610" t="str">
        <f t="shared" ref="G4610:G4673" si="364">IF(E4610="","",FIND("♦",E4610,F4610+1))</f>
        <v/>
      </c>
    </row>
    <row r="4611" spans="1:7" x14ac:dyDescent="0.4">
      <c r="A4611" t="str">
        <f t="shared" si="360"/>
        <v/>
      </c>
      <c r="B4611" t="str">
        <f t="shared" si="361"/>
        <v/>
      </c>
      <c r="C4611" t="str">
        <f t="shared" si="362"/>
        <v/>
      </c>
      <c r="D4611" t="str">
        <f>IF(E4611="","",IF(COUNTIF($E$2:E4611,E4611)&gt;1,"",SUMIFS(tbl_input[필요수량],tbl_input[집계키_지청],E4611)))</f>
        <v/>
      </c>
      <c r="E4611" t="str">
        <f>IFERROR(INDEX(tbl_input[집계키_지청],ROW()-1),"")</f>
        <v/>
      </c>
      <c r="F4611" t="str">
        <f t="shared" si="363"/>
        <v/>
      </c>
      <c r="G4611" t="str">
        <f t="shared" si="364"/>
        <v/>
      </c>
    </row>
    <row r="4612" spans="1:7" x14ac:dyDescent="0.4">
      <c r="A4612" t="str">
        <f t="shared" si="360"/>
        <v/>
      </c>
      <c r="B4612" t="str">
        <f t="shared" si="361"/>
        <v/>
      </c>
      <c r="C4612" t="str">
        <f t="shared" si="362"/>
        <v/>
      </c>
      <c r="D4612" t="str">
        <f>IF(E4612="","",IF(COUNTIF($E$2:E4612,E4612)&gt;1,"",SUMIFS(tbl_input[필요수량],tbl_input[집계키_지청],E4612)))</f>
        <v/>
      </c>
      <c r="E4612" t="str">
        <f>IFERROR(INDEX(tbl_input[집계키_지청],ROW()-1),"")</f>
        <v/>
      </c>
      <c r="F4612" t="str">
        <f t="shared" si="363"/>
        <v/>
      </c>
      <c r="G4612" t="str">
        <f t="shared" si="364"/>
        <v/>
      </c>
    </row>
    <row r="4613" spans="1:7" x14ac:dyDescent="0.4">
      <c r="A4613" t="str">
        <f t="shared" si="360"/>
        <v/>
      </c>
      <c r="B4613" t="str">
        <f t="shared" si="361"/>
        <v/>
      </c>
      <c r="C4613" t="str">
        <f t="shared" si="362"/>
        <v/>
      </c>
      <c r="D4613" t="str">
        <f>IF(E4613="","",IF(COUNTIF($E$2:E4613,E4613)&gt;1,"",SUMIFS(tbl_input[필요수량],tbl_input[집계키_지청],E4613)))</f>
        <v/>
      </c>
      <c r="E4613" t="str">
        <f>IFERROR(INDEX(tbl_input[집계키_지청],ROW()-1),"")</f>
        <v/>
      </c>
      <c r="F4613" t="str">
        <f t="shared" si="363"/>
        <v/>
      </c>
      <c r="G4613" t="str">
        <f t="shared" si="364"/>
        <v/>
      </c>
    </row>
    <row r="4614" spans="1:7" x14ac:dyDescent="0.4">
      <c r="A4614" t="str">
        <f t="shared" si="360"/>
        <v/>
      </c>
      <c r="B4614" t="str">
        <f t="shared" si="361"/>
        <v/>
      </c>
      <c r="C4614" t="str">
        <f t="shared" si="362"/>
        <v/>
      </c>
      <c r="D4614" t="str">
        <f>IF(E4614="","",IF(COUNTIF($E$2:E4614,E4614)&gt;1,"",SUMIFS(tbl_input[필요수량],tbl_input[집계키_지청],E4614)))</f>
        <v/>
      </c>
      <c r="E4614" t="str">
        <f>IFERROR(INDEX(tbl_input[집계키_지청],ROW()-1),"")</f>
        <v/>
      </c>
      <c r="F4614" t="str">
        <f t="shared" si="363"/>
        <v/>
      </c>
      <c r="G4614" t="str">
        <f t="shared" si="364"/>
        <v/>
      </c>
    </row>
    <row r="4615" spans="1:7" x14ac:dyDescent="0.4">
      <c r="A4615" t="str">
        <f t="shared" si="360"/>
        <v/>
      </c>
      <c r="B4615" t="str">
        <f t="shared" si="361"/>
        <v/>
      </c>
      <c r="C4615" t="str">
        <f t="shared" si="362"/>
        <v/>
      </c>
      <c r="D4615" t="str">
        <f>IF(E4615="","",IF(COUNTIF($E$2:E4615,E4615)&gt;1,"",SUMIFS(tbl_input[필요수량],tbl_input[집계키_지청],E4615)))</f>
        <v/>
      </c>
      <c r="E4615" t="str">
        <f>IFERROR(INDEX(tbl_input[집계키_지청],ROW()-1),"")</f>
        <v/>
      </c>
      <c r="F4615" t="str">
        <f t="shared" si="363"/>
        <v/>
      </c>
      <c r="G4615" t="str">
        <f t="shared" si="364"/>
        <v/>
      </c>
    </row>
    <row r="4616" spans="1:7" x14ac:dyDescent="0.4">
      <c r="A4616" t="str">
        <f t="shared" si="360"/>
        <v/>
      </c>
      <c r="B4616" t="str">
        <f t="shared" si="361"/>
        <v/>
      </c>
      <c r="C4616" t="str">
        <f t="shared" si="362"/>
        <v/>
      </c>
      <c r="D4616" t="str">
        <f>IF(E4616="","",IF(COUNTIF($E$2:E4616,E4616)&gt;1,"",SUMIFS(tbl_input[필요수량],tbl_input[집계키_지청],E4616)))</f>
        <v/>
      </c>
      <c r="E4616" t="str">
        <f>IFERROR(INDEX(tbl_input[집계키_지청],ROW()-1),"")</f>
        <v/>
      </c>
      <c r="F4616" t="str">
        <f t="shared" si="363"/>
        <v/>
      </c>
      <c r="G4616" t="str">
        <f t="shared" si="364"/>
        <v/>
      </c>
    </row>
    <row r="4617" spans="1:7" x14ac:dyDescent="0.4">
      <c r="A4617" t="str">
        <f t="shared" si="360"/>
        <v/>
      </c>
      <c r="B4617" t="str">
        <f t="shared" si="361"/>
        <v/>
      </c>
      <c r="C4617" t="str">
        <f t="shared" si="362"/>
        <v/>
      </c>
      <c r="D4617" t="str">
        <f>IF(E4617="","",IF(COUNTIF($E$2:E4617,E4617)&gt;1,"",SUMIFS(tbl_input[필요수량],tbl_input[집계키_지청],E4617)))</f>
        <v/>
      </c>
      <c r="E4617" t="str">
        <f>IFERROR(INDEX(tbl_input[집계키_지청],ROW()-1),"")</f>
        <v/>
      </c>
      <c r="F4617" t="str">
        <f t="shared" si="363"/>
        <v/>
      </c>
      <c r="G4617" t="str">
        <f t="shared" si="364"/>
        <v/>
      </c>
    </row>
    <row r="4618" spans="1:7" x14ac:dyDescent="0.4">
      <c r="A4618" t="str">
        <f t="shared" si="360"/>
        <v/>
      </c>
      <c r="B4618" t="str">
        <f t="shared" si="361"/>
        <v/>
      </c>
      <c r="C4618" t="str">
        <f t="shared" si="362"/>
        <v/>
      </c>
      <c r="D4618" t="str">
        <f>IF(E4618="","",IF(COUNTIF($E$2:E4618,E4618)&gt;1,"",SUMIFS(tbl_input[필요수량],tbl_input[집계키_지청],E4618)))</f>
        <v/>
      </c>
      <c r="E4618" t="str">
        <f>IFERROR(INDEX(tbl_input[집계키_지청],ROW()-1),"")</f>
        <v/>
      </c>
      <c r="F4618" t="str">
        <f t="shared" si="363"/>
        <v/>
      </c>
      <c r="G4618" t="str">
        <f t="shared" si="364"/>
        <v/>
      </c>
    </row>
    <row r="4619" spans="1:7" x14ac:dyDescent="0.4">
      <c r="A4619" t="str">
        <f t="shared" si="360"/>
        <v/>
      </c>
      <c r="B4619" t="str">
        <f t="shared" si="361"/>
        <v/>
      </c>
      <c r="C4619" t="str">
        <f t="shared" si="362"/>
        <v/>
      </c>
      <c r="D4619" t="str">
        <f>IF(E4619="","",IF(COUNTIF($E$2:E4619,E4619)&gt;1,"",SUMIFS(tbl_input[필요수량],tbl_input[집계키_지청],E4619)))</f>
        <v/>
      </c>
      <c r="E4619" t="str">
        <f>IFERROR(INDEX(tbl_input[집계키_지청],ROW()-1),"")</f>
        <v/>
      </c>
      <c r="F4619" t="str">
        <f t="shared" si="363"/>
        <v/>
      </c>
      <c r="G4619" t="str">
        <f t="shared" si="364"/>
        <v/>
      </c>
    </row>
    <row r="4620" spans="1:7" x14ac:dyDescent="0.4">
      <c r="A4620" t="str">
        <f t="shared" si="360"/>
        <v/>
      </c>
      <c r="B4620" t="str">
        <f t="shared" si="361"/>
        <v/>
      </c>
      <c r="C4620" t="str">
        <f t="shared" si="362"/>
        <v/>
      </c>
      <c r="D4620" t="str">
        <f>IF(E4620="","",IF(COUNTIF($E$2:E4620,E4620)&gt;1,"",SUMIFS(tbl_input[필요수량],tbl_input[집계키_지청],E4620)))</f>
        <v/>
      </c>
      <c r="E4620" t="str">
        <f>IFERROR(INDEX(tbl_input[집계키_지청],ROW()-1),"")</f>
        <v/>
      </c>
      <c r="F4620" t="str">
        <f t="shared" si="363"/>
        <v/>
      </c>
      <c r="G4620" t="str">
        <f t="shared" si="364"/>
        <v/>
      </c>
    </row>
    <row r="4621" spans="1:7" x14ac:dyDescent="0.4">
      <c r="A4621" t="str">
        <f t="shared" si="360"/>
        <v/>
      </c>
      <c r="B4621" t="str">
        <f t="shared" si="361"/>
        <v/>
      </c>
      <c r="C4621" t="str">
        <f t="shared" si="362"/>
        <v/>
      </c>
      <c r="D4621" t="str">
        <f>IF(E4621="","",IF(COUNTIF($E$2:E4621,E4621)&gt;1,"",SUMIFS(tbl_input[필요수량],tbl_input[집계키_지청],E4621)))</f>
        <v/>
      </c>
      <c r="E4621" t="str">
        <f>IFERROR(INDEX(tbl_input[집계키_지청],ROW()-1),"")</f>
        <v/>
      </c>
      <c r="F4621" t="str">
        <f t="shared" si="363"/>
        <v/>
      </c>
      <c r="G4621" t="str">
        <f t="shared" si="364"/>
        <v/>
      </c>
    </row>
    <row r="4622" spans="1:7" x14ac:dyDescent="0.4">
      <c r="A4622" t="str">
        <f t="shared" si="360"/>
        <v/>
      </c>
      <c r="B4622" t="str">
        <f t="shared" si="361"/>
        <v/>
      </c>
      <c r="C4622" t="str">
        <f t="shared" si="362"/>
        <v/>
      </c>
      <c r="D4622" t="str">
        <f>IF(E4622="","",IF(COUNTIF($E$2:E4622,E4622)&gt;1,"",SUMIFS(tbl_input[필요수량],tbl_input[집계키_지청],E4622)))</f>
        <v/>
      </c>
      <c r="E4622" t="str">
        <f>IFERROR(INDEX(tbl_input[집계키_지청],ROW()-1),"")</f>
        <v/>
      </c>
      <c r="F4622" t="str">
        <f t="shared" si="363"/>
        <v/>
      </c>
      <c r="G4622" t="str">
        <f t="shared" si="364"/>
        <v/>
      </c>
    </row>
    <row r="4623" spans="1:7" x14ac:dyDescent="0.4">
      <c r="A4623" t="str">
        <f t="shared" si="360"/>
        <v/>
      </c>
      <c r="B4623" t="str">
        <f t="shared" si="361"/>
        <v/>
      </c>
      <c r="C4623" t="str">
        <f t="shared" si="362"/>
        <v/>
      </c>
      <c r="D4623" t="str">
        <f>IF(E4623="","",IF(COUNTIF($E$2:E4623,E4623)&gt;1,"",SUMIFS(tbl_input[필요수량],tbl_input[집계키_지청],E4623)))</f>
        <v/>
      </c>
      <c r="E4623" t="str">
        <f>IFERROR(INDEX(tbl_input[집계키_지청],ROW()-1),"")</f>
        <v/>
      </c>
      <c r="F4623" t="str">
        <f t="shared" si="363"/>
        <v/>
      </c>
      <c r="G4623" t="str">
        <f t="shared" si="364"/>
        <v/>
      </c>
    </row>
    <row r="4624" spans="1:7" x14ac:dyDescent="0.4">
      <c r="A4624" t="str">
        <f t="shared" si="360"/>
        <v/>
      </c>
      <c r="B4624" t="str">
        <f t="shared" si="361"/>
        <v/>
      </c>
      <c r="C4624" t="str">
        <f t="shared" si="362"/>
        <v/>
      </c>
      <c r="D4624" t="str">
        <f>IF(E4624="","",IF(COUNTIF($E$2:E4624,E4624)&gt;1,"",SUMIFS(tbl_input[필요수량],tbl_input[집계키_지청],E4624)))</f>
        <v/>
      </c>
      <c r="E4624" t="str">
        <f>IFERROR(INDEX(tbl_input[집계키_지청],ROW()-1),"")</f>
        <v/>
      </c>
      <c r="F4624" t="str">
        <f t="shared" si="363"/>
        <v/>
      </c>
      <c r="G4624" t="str">
        <f t="shared" si="364"/>
        <v/>
      </c>
    </row>
    <row r="4625" spans="1:7" x14ac:dyDescent="0.4">
      <c r="A4625" t="str">
        <f t="shared" si="360"/>
        <v/>
      </c>
      <c r="B4625" t="str">
        <f t="shared" si="361"/>
        <v/>
      </c>
      <c r="C4625" t="str">
        <f t="shared" si="362"/>
        <v/>
      </c>
      <c r="D4625" t="str">
        <f>IF(E4625="","",IF(COUNTIF($E$2:E4625,E4625)&gt;1,"",SUMIFS(tbl_input[필요수량],tbl_input[집계키_지청],E4625)))</f>
        <v/>
      </c>
      <c r="E4625" t="str">
        <f>IFERROR(INDEX(tbl_input[집계키_지청],ROW()-1),"")</f>
        <v/>
      </c>
      <c r="F4625" t="str">
        <f t="shared" si="363"/>
        <v/>
      </c>
      <c r="G4625" t="str">
        <f t="shared" si="364"/>
        <v/>
      </c>
    </row>
    <row r="4626" spans="1:7" x14ac:dyDescent="0.4">
      <c r="A4626" t="str">
        <f t="shared" si="360"/>
        <v/>
      </c>
      <c r="B4626" t="str">
        <f t="shared" si="361"/>
        <v/>
      </c>
      <c r="C4626" t="str">
        <f t="shared" si="362"/>
        <v/>
      </c>
      <c r="D4626" t="str">
        <f>IF(E4626="","",IF(COUNTIF($E$2:E4626,E4626)&gt;1,"",SUMIFS(tbl_input[필요수량],tbl_input[집계키_지청],E4626)))</f>
        <v/>
      </c>
      <c r="E4626" t="str">
        <f>IFERROR(INDEX(tbl_input[집계키_지청],ROW()-1),"")</f>
        <v/>
      </c>
      <c r="F4626" t="str">
        <f t="shared" si="363"/>
        <v/>
      </c>
      <c r="G4626" t="str">
        <f t="shared" si="364"/>
        <v/>
      </c>
    </row>
    <row r="4627" spans="1:7" x14ac:dyDescent="0.4">
      <c r="A4627" t="str">
        <f t="shared" si="360"/>
        <v/>
      </c>
      <c r="B4627" t="str">
        <f t="shared" si="361"/>
        <v/>
      </c>
      <c r="C4627" t="str">
        <f t="shared" si="362"/>
        <v/>
      </c>
      <c r="D4627" t="str">
        <f>IF(E4627="","",IF(COUNTIF($E$2:E4627,E4627)&gt;1,"",SUMIFS(tbl_input[필요수량],tbl_input[집계키_지청],E4627)))</f>
        <v/>
      </c>
      <c r="E4627" t="str">
        <f>IFERROR(INDEX(tbl_input[집계키_지청],ROW()-1),"")</f>
        <v/>
      </c>
      <c r="F4627" t="str">
        <f t="shared" si="363"/>
        <v/>
      </c>
      <c r="G4627" t="str">
        <f t="shared" si="364"/>
        <v/>
      </c>
    </row>
    <row r="4628" spans="1:7" x14ac:dyDescent="0.4">
      <c r="A4628" t="str">
        <f t="shared" si="360"/>
        <v/>
      </c>
      <c r="B4628" t="str">
        <f t="shared" si="361"/>
        <v/>
      </c>
      <c r="C4628" t="str">
        <f t="shared" si="362"/>
        <v/>
      </c>
      <c r="D4628" t="str">
        <f>IF(E4628="","",IF(COUNTIF($E$2:E4628,E4628)&gt;1,"",SUMIFS(tbl_input[필요수량],tbl_input[집계키_지청],E4628)))</f>
        <v/>
      </c>
      <c r="E4628" t="str">
        <f>IFERROR(INDEX(tbl_input[집계키_지청],ROW()-1),"")</f>
        <v/>
      </c>
      <c r="F4628" t="str">
        <f t="shared" si="363"/>
        <v/>
      </c>
      <c r="G4628" t="str">
        <f t="shared" si="364"/>
        <v/>
      </c>
    </row>
    <row r="4629" spans="1:7" x14ac:dyDescent="0.4">
      <c r="A4629" t="str">
        <f t="shared" si="360"/>
        <v/>
      </c>
      <c r="B4629" t="str">
        <f t="shared" si="361"/>
        <v/>
      </c>
      <c r="C4629" t="str">
        <f t="shared" si="362"/>
        <v/>
      </c>
      <c r="D4629" t="str">
        <f>IF(E4629="","",IF(COUNTIF($E$2:E4629,E4629)&gt;1,"",SUMIFS(tbl_input[필요수량],tbl_input[집계키_지청],E4629)))</f>
        <v/>
      </c>
      <c r="E4629" t="str">
        <f>IFERROR(INDEX(tbl_input[집계키_지청],ROW()-1),"")</f>
        <v/>
      </c>
      <c r="F4629" t="str">
        <f t="shared" si="363"/>
        <v/>
      </c>
      <c r="G4629" t="str">
        <f t="shared" si="364"/>
        <v/>
      </c>
    </row>
    <row r="4630" spans="1:7" x14ac:dyDescent="0.4">
      <c r="A4630" t="str">
        <f t="shared" si="360"/>
        <v/>
      </c>
      <c r="B4630" t="str">
        <f t="shared" si="361"/>
        <v/>
      </c>
      <c r="C4630" t="str">
        <f t="shared" si="362"/>
        <v/>
      </c>
      <c r="D4630" t="str">
        <f>IF(E4630="","",IF(COUNTIF($E$2:E4630,E4630)&gt;1,"",SUMIFS(tbl_input[필요수량],tbl_input[집계키_지청],E4630)))</f>
        <v/>
      </c>
      <c r="E4630" t="str">
        <f>IFERROR(INDEX(tbl_input[집계키_지청],ROW()-1),"")</f>
        <v/>
      </c>
      <c r="F4630" t="str">
        <f t="shared" si="363"/>
        <v/>
      </c>
      <c r="G4630" t="str">
        <f t="shared" si="364"/>
        <v/>
      </c>
    </row>
    <row r="4631" spans="1:7" x14ac:dyDescent="0.4">
      <c r="A4631" t="str">
        <f t="shared" si="360"/>
        <v/>
      </c>
      <c r="B4631" t="str">
        <f t="shared" si="361"/>
        <v/>
      </c>
      <c r="C4631" t="str">
        <f t="shared" si="362"/>
        <v/>
      </c>
      <c r="D4631" t="str">
        <f>IF(E4631="","",IF(COUNTIF($E$2:E4631,E4631)&gt;1,"",SUMIFS(tbl_input[필요수량],tbl_input[집계키_지청],E4631)))</f>
        <v/>
      </c>
      <c r="E4631" t="str">
        <f>IFERROR(INDEX(tbl_input[집계키_지청],ROW()-1),"")</f>
        <v/>
      </c>
      <c r="F4631" t="str">
        <f t="shared" si="363"/>
        <v/>
      </c>
      <c r="G4631" t="str">
        <f t="shared" si="364"/>
        <v/>
      </c>
    </row>
    <row r="4632" spans="1:7" x14ac:dyDescent="0.4">
      <c r="A4632" t="str">
        <f t="shared" si="360"/>
        <v/>
      </c>
      <c r="B4632" t="str">
        <f t="shared" si="361"/>
        <v/>
      </c>
      <c r="C4632" t="str">
        <f t="shared" si="362"/>
        <v/>
      </c>
      <c r="D4632" t="str">
        <f>IF(E4632="","",IF(COUNTIF($E$2:E4632,E4632)&gt;1,"",SUMIFS(tbl_input[필요수량],tbl_input[집계키_지청],E4632)))</f>
        <v/>
      </c>
      <c r="E4632" t="str">
        <f>IFERROR(INDEX(tbl_input[집계키_지청],ROW()-1),"")</f>
        <v/>
      </c>
      <c r="F4632" t="str">
        <f t="shared" si="363"/>
        <v/>
      </c>
      <c r="G4632" t="str">
        <f t="shared" si="364"/>
        <v/>
      </c>
    </row>
    <row r="4633" spans="1:7" x14ac:dyDescent="0.4">
      <c r="A4633" t="str">
        <f t="shared" si="360"/>
        <v/>
      </c>
      <c r="B4633" t="str">
        <f t="shared" si="361"/>
        <v/>
      </c>
      <c r="C4633" t="str">
        <f t="shared" si="362"/>
        <v/>
      </c>
      <c r="D4633" t="str">
        <f>IF(E4633="","",IF(COUNTIF($E$2:E4633,E4633)&gt;1,"",SUMIFS(tbl_input[필요수량],tbl_input[집계키_지청],E4633)))</f>
        <v/>
      </c>
      <c r="E4633" t="str">
        <f>IFERROR(INDEX(tbl_input[집계키_지청],ROW()-1),"")</f>
        <v/>
      </c>
      <c r="F4633" t="str">
        <f t="shared" si="363"/>
        <v/>
      </c>
      <c r="G4633" t="str">
        <f t="shared" si="364"/>
        <v/>
      </c>
    </row>
    <row r="4634" spans="1:7" x14ac:dyDescent="0.4">
      <c r="A4634" t="str">
        <f t="shared" si="360"/>
        <v/>
      </c>
      <c r="B4634" t="str">
        <f t="shared" si="361"/>
        <v/>
      </c>
      <c r="C4634" t="str">
        <f t="shared" si="362"/>
        <v/>
      </c>
      <c r="D4634" t="str">
        <f>IF(E4634="","",IF(COUNTIF($E$2:E4634,E4634)&gt;1,"",SUMIFS(tbl_input[필요수량],tbl_input[집계키_지청],E4634)))</f>
        <v/>
      </c>
      <c r="E4634" t="str">
        <f>IFERROR(INDEX(tbl_input[집계키_지청],ROW()-1),"")</f>
        <v/>
      </c>
      <c r="F4634" t="str">
        <f t="shared" si="363"/>
        <v/>
      </c>
      <c r="G4634" t="str">
        <f t="shared" si="364"/>
        <v/>
      </c>
    </row>
    <row r="4635" spans="1:7" x14ac:dyDescent="0.4">
      <c r="A4635" t="str">
        <f t="shared" si="360"/>
        <v/>
      </c>
      <c r="B4635" t="str">
        <f t="shared" si="361"/>
        <v/>
      </c>
      <c r="C4635" t="str">
        <f t="shared" si="362"/>
        <v/>
      </c>
      <c r="D4635" t="str">
        <f>IF(E4635="","",IF(COUNTIF($E$2:E4635,E4635)&gt;1,"",SUMIFS(tbl_input[필요수량],tbl_input[집계키_지청],E4635)))</f>
        <v/>
      </c>
      <c r="E4635" t="str">
        <f>IFERROR(INDEX(tbl_input[집계키_지청],ROW()-1),"")</f>
        <v/>
      </c>
      <c r="F4635" t="str">
        <f t="shared" si="363"/>
        <v/>
      </c>
      <c r="G4635" t="str">
        <f t="shared" si="364"/>
        <v/>
      </c>
    </row>
    <row r="4636" spans="1:7" x14ac:dyDescent="0.4">
      <c r="A4636" t="str">
        <f t="shared" si="360"/>
        <v/>
      </c>
      <c r="B4636" t="str">
        <f t="shared" si="361"/>
        <v/>
      </c>
      <c r="C4636" t="str">
        <f t="shared" si="362"/>
        <v/>
      </c>
      <c r="D4636" t="str">
        <f>IF(E4636="","",IF(COUNTIF($E$2:E4636,E4636)&gt;1,"",SUMIFS(tbl_input[필요수량],tbl_input[집계키_지청],E4636)))</f>
        <v/>
      </c>
      <c r="E4636" t="str">
        <f>IFERROR(INDEX(tbl_input[집계키_지청],ROW()-1),"")</f>
        <v/>
      </c>
      <c r="F4636" t="str">
        <f t="shared" si="363"/>
        <v/>
      </c>
      <c r="G4636" t="str">
        <f t="shared" si="364"/>
        <v/>
      </c>
    </row>
    <row r="4637" spans="1:7" x14ac:dyDescent="0.4">
      <c r="A4637" t="str">
        <f t="shared" si="360"/>
        <v/>
      </c>
      <c r="B4637" t="str">
        <f t="shared" si="361"/>
        <v/>
      </c>
      <c r="C4637" t="str">
        <f t="shared" si="362"/>
        <v/>
      </c>
      <c r="D4637" t="str">
        <f>IF(E4637="","",IF(COUNTIF($E$2:E4637,E4637)&gt;1,"",SUMIFS(tbl_input[필요수량],tbl_input[집계키_지청],E4637)))</f>
        <v/>
      </c>
      <c r="E4637" t="str">
        <f>IFERROR(INDEX(tbl_input[집계키_지청],ROW()-1),"")</f>
        <v/>
      </c>
      <c r="F4637" t="str">
        <f t="shared" si="363"/>
        <v/>
      </c>
      <c r="G4637" t="str">
        <f t="shared" si="364"/>
        <v/>
      </c>
    </row>
    <row r="4638" spans="1:7" x14ac:dyDescent="0.4">
      <c r="A4638" t="str">
        <f t="shared" si="360"/>
        <v/>
      </c>
      <c r="B4638" t="str">
        <f t="shared" si="361"/>
        <v/>
      </c>
      <c r="C4638" t="str">
        <f t="shared" si="362"/>
        <v/>
      </c>
      <c r="D4638" t="str">
        <f>IF(E4638="","",IF(COUNTIF($E$2:E4638,E4638)&gt;1,"",SUMIFS(tbl_input[필요수량],tbl_input[집계키_지청],E4638)))</f>
        <v/>
      </c>
      <c r="E4638" t="str">
        <f>IFERROR(INDEX(tbl_input[집계키_지청],ROW()-1),"")</f>
        <v/>
      </c>
      <c r="F4638" t="str">
        <f t="shared" si="363"/>
        <v/>
      </c>
      <c r="G4638" t="str">
        <f t="shared" si="364"/>
        <v/>
      </c>
    </row>
    <row r="4639" spans="1:7" x14ac:dyDescent="0.4">
      <c r="A4639" t="str">
        <f t="shared" si="360"/>
        <v/>
      </c>
      <c r="B4639" t="str">
        <f t="shared" si="361"/>
        <v/>
      </c>
      <c r="C4639" t="str">
        <f t="shared" si="362"/>
        <v/>
      </c>
      <c r="D4639" t="str">
        <f>IF(E4639="","",IF(COUNTIF($E$2:E4639,E4639)&gt;1,"",SUMIFS(tbl_input[필요수량],tbl_input[집계키_지청],E4639)))</f>
        <v/>
      </c>
      <c r="E4639" t="str">
        <f>IFERROR(INDEX(tbl_input[집계키_지청],ROW()-1),"")</f>
        <v/>
      </c>
      <c r="F4639" t="str">
        <f t="shared" si="363"/>
        <v/>
      </c>
      <c r="G4639" t="str">
        <f t="shared" si="364"/>
        <v/>
      </c>
    </row>
    <row r="4640" spans="1:7" x14ac:dyDescent="0.4">
      <c r="A4640" t="str">
        <f t="shared" si="360"/>
        <v/>
      </c>
      <c r="B4640" t="str">
        <f t="shared" si="361"/>
        <v/>
      </c>
      <c r="C4640" t="str">
        <f t="shared" si="362"/>
        <v/>
      </c>
      <c r="D4640" t="str">
        <f>IF(E4640="","",IF(COUNTIF($E$2:E4640,E4640)&gt;1,"",SUMIFS(tbl_input[필요수량],tbl_input[집계키_지청],E4640)))</f>
        <v/>
      </c>
      <c r="E4640" t="str">
        <f>IFERROR(INDEX(tbl_input[집계키_지청],ROW()-1),"")</f>
        <v/>
      </c>
      <c r="F4640" t="str">
        <f t="shared" si="363"/>
        <v/>
      </c>
      <c r="G4640" t="str">
        <f t="shared" si="364"/>
        <v/>
      </c>
    </row>
    <row r="4641" spans="1:7" x14ac:dyDescent="0.4">
      <c r="A4641" t="str">
        <f t="shared" si="360"/>
        <v/>
      </c>
      <c r="B4641" t="str">
        <f t="shared" si="361"/>
        <v/>
      </c>
      <c r="C4641" t="str">
        <f t="shared" si="362"/>
        <v/>
      </c>
      <c r="D4641" t="str">
        <f>IF(E4641="","",IF(COUNTIF($E$2:E4641,E4641)&gt;1,"",SUMIFS(tbl_input[필요수량],tbl_input[집계키_지청],E4641)))</f>
        <v/>
      </c>
      <c r="E4641" t="str">
        <f>IFERROR(INDEX(tbl_input[집계키_지청],ROW()-1),"")</f>
        <v/>
      </c>
      <c r="F4641" t="str">
        <f t="shared" si="363"/>
        <v/>
      </c>
      <c r="G4641" t="str">
        <f t="shared" si="364"/>
        <v/>
      </c>
    </row>
    <row r="4642" spans="1:7" x14ac:dyDescent="0.4">
      <c r="A4642" t="str">
        <f t="shared" si="360"/>
        <v/>
      </c>
      <c r="B4642" t="str">
        <f t="shared" si="361"/>
        <v/>
      </c>
      <c r="C4642" t="str">
        <f t="shared" si="362"/>
        <v/>
      </c>
      <c r="D4642" t="str">
        <f>IF(E4642="","",IF(COUNTIF($E$2:E4642,E4642)&gt;1,"",SUMIFS(tbl_input[필요수량],tbl_input[집계키_지청],E4642)))</f>
        <v/>
      </c>
      <c r="E4642" t="str">
        <f>IFERROR(INDEX(tbl_input[집계키_지청],ROW()-1),"")</f>
        <v/>
      </c>
      <c r="F4642" t="str">
        <f t="shared" si="363"/>
        <v/>
      </c>
      <c r="G4642" t="str">
        <f t="shared" si="364"/>
        <v/>
      </c>
    </row>
    <row r="4643" spans="1:7" x14ac:dyDescent="0.4">
      <c r="A4643" t="str">
        <f t="shared" si="360"/>
        <v/>
      </c>
      <c r="B4643" t="str">
        <f t="shared" si="361"/>
        <v/>
      </c>
      <c r="C4643" t="str">
        <f t="shared" si="362"/>
        <v/>
      </c>
      <c r="D4643" t="str">
        <f>IF(E4643="","",IF(COUNTIF($E$2:E4643,E4643)&gt;1,"",SUMIFS(tbl_input[필요수량],tbl_input[집계키_지청],E4643)))</f>
        <v/>
      </c>
      <c r="E4643" t="str">
        <f>IFERROR(INDEX(tbl_input[집계키_지청],ROW()-1),"")</f>
        <v/>
      </c>
      <c r="F4643" t="str">
        <f t="shared" si="363"/>
        <v/>
      </c>
      <c r="G4643" t="str">
        <f t="shared" si="364"/>
        <v/>
      </c>
    </row>
    <row r="4644" spans="1:7" x14ac:dyDescent="0.4">
      <c r="A4644" t="str">
        <f t="shared" si="360"/>
        <v/>
      </c>
      <c r="B4644" t="str">
        <f t="shared" si="361"/>
        <v/>
      </c>
      <c r="C4644" t="str">
        <f t="shared" si="362"/>
        <v/>
      </c>
      <c r="D4644" t="str">
        <f>IF(E4644="","",IF(COUNTIF($E$2:E4644,E4644)&gt;1,"",SUMIFS(tbl_input[필요수량],tbl_input[집계키_지청],E4644)))</f>
        <v/>
      </c>
      <c r="E4644" t="str">
        <f>IFERROR(INDEX(tbl_input[집계키_지청],ROW()-1),"")</f>
        <v/>
      </c>
      <c r="F4644" t="str">
        <f t="shared" si="363"/>
        <v/>
      </c>
      <c r="G4644" t="str">
        <f t="shared" si="364"/>
        <v/>
      </c>
    </row>
    <row r="4645" spans="1:7" x14ac:dyDescent="0.4">
      <c r="A4645" t="str">
        <f t="shared" si="360"/>
        <v/>
      </c>
      <c r="B4645" t="str">
        <f t="shared" si="361"/>
        <v/>
      </c>
      <c r="C4645" t="str">
        <f t="shared" si="362"/>
        <v/>
      </c>
      <c r="D4645" t="str">
        <f>IF(E4645="","",IF(COUNTIF($E$2:E4645,E4645)&gt;1,"",SUMIFS(tbl_input[필요수량],tbl_input[집계키_지청],E4645)))</f>
        <v/>
      </c>
      <c r="E4645" t="str">
        <f>IFERROR(INDEX(tbl_input[집계키_지청],ROW()-1),"")</f>
        <v/>
      </c>
      <c r="F4645" t="str">
        <f t="shared" si="363"/>
        <v/>
      </c>
      <c r="G4645" t="str">
        <f t="shared" si="364"/>
        <v/>
      </c>
    </row>
    <row r="4646" spans="1:7" x14ac:dyDescent="0.4">
      <c r="A4646" t="str">
        <f t="shared" si="360"/>
        <v/>
      </c>
      <c r="B4646" t="str">
        <f t="shared" si="361"/>
        <v/>
      </c>
      <c r="C4646" t="str">
        <f t="shared" si="362"/>
        <v/>
      </c>
      <c r="D4646" t="str">
        <f>IF(E4646="","",IF(COUNTIF($E$2:E4646,E4646)&gt;1,"",SUMIFS(tbl_input[필요수량],tbl_input[집계키_지청],E4646)))</f>
        <v/>
      </c>
      <c r="E4646" t="str">
        <f>IFERROR(INDEX(tbl_input[집계키_지청],ROW()-1),"")</f>
        <v/>
      </c>
      <c r="F4646" t="str">
        <f t="shared" si="363"/>
        <v/>
      </c>
      <c r="G4646" t="str">
        <f t="shared" si="364"/>
        <v/>
      </c>
    </row>
    <row r="4647" spans="1:7" x14ac:dyDescent="0.4">
      <c r="A4647" t="str">
        <f t="shared" si="360"/>
        <v/>
      </c>
      <c r="B4647" t="str">
        <f t="shared" si="361"/>
        <v/>
      </c>
      <c r="C4647" t="str">
        <f t="shared" si="362"/>
        <v/>
      </c>
      <c r="D4647" t="str">
        <f>IF(E4647="","",IF(COUNTIF($E$2:E4647,E4647)&gt;1,"",SUMIFS(tbl_input[필요수량],tbl_input[집계키_지청],E4647)))</f>
        <v/>
      </c>
      <c r="E4647" t="str">
        <f>IFERROR(INDEX(tbl_input[집계키_지청],ROW()-1),"")</f>
        <v/>
      </c>
      <c r="F4647" t="str">
        <f t="shared" si="363"/>
        <v/>
      </c>
      <c r="G4647" t="str">
        <f t="shared" si="364"/>
        <v/>
      </c>
    </row>
    <row r="4648" spans="1:7" x14ac:dyDescent="0.4">
      <c r="A4648" t="str">
        <f t="shared" si="360"/>
        <v/>
      </c>
      <c r="B4648" t="str">
        <f t="shared" si="361"/>
        <v/>
      </c>
      <c r="C4648" t="str">
        <f t="shared" si="362"/>
        <v/>
      </c>
      <c r="D4648" t="str">
        <f>IF(E4648="","",IF(COUNTIF($E$2:E4648,E4648)&gt;1,"",SUMIFS(tbl_input[필요수량],tbl_input[집계키_지청],E4648)))</f>
        <v/>
      </c>
      <c r="E4648" t="str">
        <f>IFERROR(INDEX(tbl_input[집계키_지청],ROW()-1),"")</f>
        <v/>
      </c>
      <c r="F4648" t="str">
        <f t="shared" si="363"/>
        <v/>
      </c>
      <c r="G4648" t="str">
        <f t="shared" si="364"/>
        <v/>
      </c>
    </row>
    <row r="4649" spans="1:7" x14ac:dyDescent="0.4">
      <c r="A4649" t="str">
        <f t="shared" si="360"/>
        <v/>
      </c>
      <c r="B4649" t="str">
        <f t="shared" si="361"/>
        <v/>
      </c>
      <c r="C4649" t="str">
        <f t="shared" si="362"/>
        <v/>
      </c>
      <c r="D4649" t="str">
        <f>IF(E4649="","",IF(COUNTIF($E$2:E4649,E4649)&gt;1,"",SUMIFS(tbl_input[필요수량],tbl_input[집계키_지청],E4649)))</f>
        <v/>
      </c>
      <c r="E4649" t="str">
        <f>IFERROR(INDEX(tbl_input[집계키_지청],ROW()-1),"")</f>
        <v/>
      </c>
      <c r="F4649" t="str">
        <f t="shared" si="363"/>
        <v/>
      </c>
      <c r="G4649" t="str">
        <f t="shared" si="364"/>
        <v/>
      </c>
    </row>
    <row r="4650" spans="1:7" x14ac:dyDescent="0.4">
      <c r="A4650" t="str">
        <f t="shared" si="360"/>
        <v/>
      </c>
      <c r="B4650" t="str">
        <f t="shared" si="361"/>
        <v/>
      </c>
      <c r="C4650" t="str">
        <f t="shared" si="362"/>
        <v/>
      </c>
      <c r="D4650" t="str">
        <f>IF(E4650="","",IF(COUNTIF($E$2:E4650,E4650)&gt;1,"",SUMIFS(tbl_input[필요수량],tbl_input[집계키_지청],E4650)))</f>
        <v/>
      </c>
      <c r="E4650" t="str">
        <f>IFERROR(INDEX(tbl_input[집계키_지청],ROW()-1),"")</f>
        <v/>
      </c>
      <c r="F4650" t="str">
        <f t="shared" si="363"/>
        <v/>
      </c>
      <c r="G4650" t="str">
        <f t="shared" si="364"/>
        <v/>
      </c>
    </row>
    <row r="4651" spans="1:7" x14ac:dyDescent="0.4">
      <c r="A4651" t="str">
        <f t="shared" si="360"/>
        <v/>
      </c>
      <c r="B4651" t="str">
        <f t="shared" si="361"/>
        <v/>
      </c>
      <c r="C4651" t="str">
        <f t="shared" si="362"/>
        <v/>
      </c>
      <c r="D4651" t="str">
        <f>IF(E4651="","",IF(COUNTIF($E$2:E4651,E4651)&gt;1,"",SUMIFS(tbl_input[필요수량],tbl_input[집계키_지청],E4651)))</f>
        <v/>
      </c>
      <c r="E4651" t="str">
        <f>IFERROR(INDEX(tbl_input[집계키_지청],ROW()-1),"")</f>
        <v/>
      </c>
      <c r="F4651" t="str">
        <f t="shared" si="363"/>
        <v/>
      </c>
      <c r="G4651" t="str">
        <f t="shared" si="364"/>
        <v/>
      </c>
    </row>
    <row r="4652" spans="1:7" x14ac:dyDescent="0.4">
      <c r="A4652" t="str">
        <f t="shared" si="360"/>
        <v/>
      </c>
      <c r="B4652" t="str">
        <f t="shared" si="361"/>
        <v/>
      </c>
      <c r="C4652" t="str">
        <f t="shared" si="362"/>
        <v/>
      </c>
      <c r="D4652" t="str">
        <f>IF(E4652="","",IF(COUNTIF($E$2:E4652,E4652)&gt;1,"",SUMIFS(tbl_input[필요수량],tbl_input[집계키_지청],E4652)))</f>
        <v/>
      </c>
      <c r="E4652" t="str">
        <f>IFERROR(INDEX(tbl_input[집계키_지청],ROW()-1),"")</f>
        <v/>
      </c>
      <c r="F4652" t="str">
        <f t="shared" si="363"/>
        <v/>
      </c>
      <c r="G4652" t="str">
        <f t="shared" si="364"/>
        <v/>
      </c>
    </row>
    <row r="4653" spans="1:7" x14ac:dyDescent="0.4">
      <c r="A4653" t="str">
        <f t="shared" si="360"/>
        <v/>
      </c>
      <c r="B4653" t="str">
        <f t="shared" si="361"/>
        <v/>
      </c>
      <c r="C4653" t="str">
        <f t="shared" si="362"/>
        <v/>
      </c>
      <c r="D4653" t="str">
        <f>IF(E4653="","",IF(COUNTIF($E$2:E4653,E4653)&gt;1,"",SUMIFS(tbl_input[필요수량],tbl_input[집계키_지청],E4653)))</f>
        <v/>
      </c>
      <c r="E4653" t="str">
        <f>IFERROR(INDEX(tbl_input[집계키_지청],ROW()-1),"")</f>
        <v/>
      </c>
      <c r="F4653" t="str">
        <f t="shared" si="363"/>
        <v/>
      </c>
      <c r="G4653" t="str">
        <f t="shared" si="364"/>
        <v/>
      </c>
    </row>
    <row r="4654" spans="1:7" x14ac:dyDescent="0.4">
      <c r="A4654" t="str">
        <f t="shared" si="360"/>
        <v/>
      </c>
      <c r="B4654" t="str">
        <f t="shared" si="361"/>
        <v/>
      </c>
      <c r="C4654" t="str">
        <f t="shared" si="362"/>
        <v/>
      </c>
      <c r="D4654" t="str">
        <f>IF(E4654="","",IF(COUNTIF($E$2:E4654,E4654)&gt;1,"",SUMIFS(tbl_input[필요수량],tbl_input[집계키_지청],E4654)))</f>
        <v/>
      </c>
      <c r="E4654" t="str">
        <f>IFERROR(INDEX(tbl_input[집계키_지청],ROW()-1),"")</f>
        <v/>
      </c>
      <c r="F4654" t="str">
        <f t="shared" si="363"/>
        <v/>
      </c>
      <c r="G4654" t="str">
        <f t="shared" si="364"/>
        <v/>
      </c>
    </row>
    <row r="4655" spans="1:7" x14ac:dyDescent="0.4">
      <c r="A4655" t="str">
        <f t="shared" si="360"/>
        <v/>
      </c>
      <c r="B4655" t="str">
        <f t="shared" si="361"/>
        <v/>
      </c>
      <c r="C4655" t="str">
        <f t="shared" si="362"/>
        <v/>
      </c>
      <c r="D4655" t="str">
        <f>IF(E4655="","",IF(COUNTIF($E$2:E4655,E4655)&gt;1,"",SUMIFS(tbl_input[필요수량],tbl_input[집계키_지청],E4655)))</f>
        <v/>
      </c>
      <c r="E4655" t="str">
        <f>IFERROR(INDEX(tbl_input[집계키_지청],ROW()-1),"")</f>
        <v/>
      </c>
      <c r="F4655" t="str">
        <f t="shared" si="363"/>
        <v/>
      </c>
      <c r="G4655" t="str">
        <f t="shared" si="364"/>
        <v/>
      </c>
    </row>
    <row r="4656" spans="1:7" x14ac:dyDescent="0.4">
      <c r="A4656" t="str">
        <f t="shared" si="360"/>
        <v/>
      </c>
      <c r="B4656" t="str">
        <f t="shared" si="361"/>
        <v/>
      </c>
      <c r="C4656" t="str">
        <f t="shared" si="362"/>
        <v/>
      </c>
      <c r="D4656" t="str">
        <f>IF(E4656="","",IF(COUNTIF($E$2:E4656,E4656)&gt;1,"",SUMIFS(tbl_input[필요수량],tbl_input[집계키_지청],E4656)))</f>
        <v/>
      </c>
      <c r="E4656" t="str">
        <f>IFERROR(INDEX(tbl_input[집계키_지청],ROW()-1),"")</f>
        <v/>
      </c>
      <c r="F4656" t="str">
        <f t="shared" si="363"/>
        <v/>
      </c>
      <c r="G4656" t="str">
        <f t="shared" si="364"/>
        <v/>
      </c>
    </row>
    <row r="4657" spans="1:7" x14ac:dyDescent="0.4">
      <c r="A4657" t="str">
        <f t="shared" si="360"/>
        <v/>
      </c>
      <c r="B4657" t="str">
        <f t="shared" si="361"/>
        <v/>
      </c>
      <c r="C4657" t="str">
        <f t="shared" si="362"/>
        <v/>
      </c>
      <c r="D4657" t="str">
        <f>IF(E4657="","",IF(COUNTIF($E$2:E4657,E4657)&gt;1,"",SUMIFS(tbl_input[필요수량],tbl_input[집계키_지청],E4657)))</f>
        <v/>
      </c>
      <c r="E4657" t="str">
        <f>IFERROR(INDEX(tbl_input[집계키_지청],ROW()-1),"")</f>
        <v/>
      </c>
      <c r="F4657" t="str">
        <f t="shared" si="363"/>
        <v/>
      </c>
      <c r="G4657" t="str">
        <f t="shared" si="364"/>
        <v/>
      </c>
    </row>
    <row r="4658" spans="1:7" x14ac:dyDescent="0.4">
      <c r="A4658" t="str">
        <f t="shared" si="360"/>
        <v/>
      </c>
      <c r="B4658" t="str">
        <f t="shared" si="361"/>
        <v/>
      </c>
      <c r="C4658" t="str">
        <f t="shared" si="362"/>
        <v/>
      </c>
      <c r="D4658" t="str">
        <f>IF(E4658="","",IF(COUNTIF($E$2:E4658,E4658)&gt;1,"",SUMIFS(tbl_input[필요수량],tbl_input[집계키_지청],E4658)))</f>
        <v/>
      </c>
      <c r="E4658" t="str">
        <f>IFERROR(INDEX(tbl_input[집계키_지청],ROW()-1),"")</f>
        <v/>
      </c>
      <c r="F4658" t="str">
        <f t="shared" si="363"/>
        <v/>
      </c>
      <c r="G4658" t="str">
        <f t="shared" si="364"/>
        <v/>
      </c>
    </row>
    <row r="4659" spans="1:7" x14ac:dyDescent="0.4">
      <c r="A4659" t="str">
        <f t="shared" si="360"/>
        <v/>
      </c>
      <c r="B4659" t="str">
        <f t="shared" si="361"/>
        <v/>
      </c>
      <c r="C4659" t="str">
        <f t="shared" si="362"/>
        <v/>
      </c>
      <c r="D4659" t="str">
        <f>IF(E4659="","",IF(COUNTIF($E$2:E4659,E4659)&gt;1,"",SUMIFS(tbl_input[필요수량],tbl_input[집계키_지청],E4659)))</f>
        <v/>
      </c>
      <c r="E4659" t="str">
        <f>IFERROR(INDEX(tbl_input[집계키_지청],ROW()-1),"")</f>
        <v/>
      </c>
      <c r="F4659" t="str">
        <f t="shared" si="363"/>
        <v/>
      </c>
      <c r="G4659" t="str">
        <f t="shared" si="364"/>
        <v/>
      </c>
    </row>
    <row r="4660" spans="1:7" x14ac:dyDescent="0.4">
      <c r="A4660" t="str">
        <f t="shared" si="360"/>
        <v/>
      </c>
      <c r="B4660" t="str">
        <f t="shared" si="361"/>
        <v/>
      </c>
      <c r="C4660" t="str">
        <f t="shared" si="362"/>
        <v/>
      </c>
      <c r="D4660" t="str">
        <f>IF(E4660="","",IF(COUNTIF($E$2:E4660,E4660)&gt;1,"",SUMIFS(tbl_input[필요수량],tbl_input[집계키_지청],E4660)))</f>
        <v/>
      </c>
      <c r="E4660" t="str">
        <f>IFERROR(INDEX(tbl_input[집계키_지청],ROW()-1),"")</f>
        <v/>
      </c>
      <c r="F4660" t="str">
        <f t="shared" si="363"/>
        <v/>
      </c>
      <c r="G4660" t="str">
        <f t="shared" si="364"/>
        <v/>
      </c>
    </row>
    <row r="4661" spans="1:7" x14ac:dyDescent="0.4">
      <c r="A4661" t="str">
        <f t="shared" si="360"/>
        <v/>
      </c>
      <c r="B4661" t="str">
        <f t="shared" si="361"/>
        <v/>
      </c>
      <c r="C4661" t="str">
        <f t="shared" si="362"/>
        <v/>
      </c>
      <c r="D4661" t="str">
        <f>IF(E4661="","",IF(COUNTIF($E$2:E4661,E4661)&gt;1,"",SUMIFS(tbl_input[필요수량],tbl_input[집계키_지청],E4661)))</f>
        <v/>
      </c>
      <c r="E4661" t="str">
        <f>IFERROR(INDEX(tbl_input[집계키_지청],ROW()-1),"")</f>
        <v/>
      </c>
      <c r="F4661" t="str">
        <f t="shared" si="363"/>
        <v/>
      </c>
      <c r="G4661" t="str">
        <f t="shared" si="364"/>
        <v/>
      </c>
    </row>
    <row r="4662" spans="1:7" x14ac:dyDescent="0.4">
      <c r="A4662" t="str">
        <f t="shared" si="360"/>
        <v/>
      </c>
      <c r="B4662" t="str">
        <f t="shared" si="361"/>
        <v/>
      </c>
      <c r="C4662" t="str">
        <f t="shared" si="362"/>
        <v/>
      </c>
      <c r="D4662" t="str">
        <f>IF(E4662="","",IF(COUNTIF($E$2:E4662,E4662)&gt;1,"",SUMIFS(tbl_input[필요수량],tbl_input[집계키_지청],E4662)))</f>
        <v/>
      </c>
      <c r="E4662" t="str">
        <f>IFERROR(INDEX(tbl_input[집계키_지청],ROW()-1),"")</f>
        <v/>
      </c>
      <c r="F4662" t="str">
        <f t="shared" si="363"/>
        <v/>
      </c>
      <c r="G4662" t="str">
        <f t="shared" si="364"/>
        <v/>
      </c>
    </row>
    <row r="4663" spans="1:7" x14ac:dyDescent="0.4">
      <c r="A4663" t="str">
        <f t="shared" si="360"/>
        <v/>
      </c>
      <c r="B4663" t="str">
        <f t="shared" si="361"/>
        <v/>
      </c>
      <c r="C4663" t="str">
        <f t="shared" si="362"/>
        <v/>
      </c>
      <c r="D4663" t="str">
        <f>IF(E4663="","",IF(COUNTIF($E$2:E4663,E4663)&gt;1,"",SUMIFS(tbl_input[필요수량],tbl_input[집계키_지청],E4663)))</f>
        <v/>
      </c>
      <c r="E4663" t="str">
        <f>IFERROR(INDEX(tbl_input[집계키_지청],ROW()-1),"")</f>
        <v/>
      </c>
      <c r="F4663" t="str">
        <f t="shared" si="363"/>
        <v/>
      </c>
      <c r="G4663" t="str">
        <f t="shared" si="364"/>
        <v/>
      </c>
    </row>
    <row r="4664" spans="1:7" x14ac:dyDescent="0.4">
      <c r="A4664" t="str">
        <f t="shared" si="360"/>
        <v/>
      </c>
      <c r="B4664" t="str">
        <f t="shared" si="361"/>
        <v/>
      </c>
      <c r="C4664" t="str">
        <f t="shared" si="362"/>
        <v/>
      </c>
      <c r="D4664" t="str">
        <f>IF(E4664="","",IF(COUNTIF($E$2:E4664,E4664)&gt;1,"",SUMIFS(tbl_input[필요수량],tbl_input[집계키_지청],E4664)))</f>
        <v/>
      </c>
      <c r="E4664" t="str">
        <f>IFERROR(INDEX(tbl_input[집계키_지청],ROW()-1),"")</f>
        <v/>
      </c>
      <c r="F4664" t="str">
        <f t="shared" si="363"/>
        <v/>
      </c>
      <c r="G4664" t="str">
        <f t="shared" si="364"/>
        <v/>
      </c>
    </row>
    <row r="4665" spans="1:7" x14ac:dyDescent="0.4">
      <c r="A4665" t="str">
        <f t="shared" si="360"/>
        <v/>
      </c>
      <c r="B4665" t="str">
        <f t="shared" si="361"/>
        <v/>
      </c>
      <c r="C4665" t="str">
        <f t="shared" si="362"/>
        <v/>
      </c>
      <c r="D4665" t="str">
        <f>IF(E4665="","",IF(COUNTIF($E$2:E4665,E4665)&gt;1,"",SUMIFS(tbl_input[필요수량],tbl_input[집계키_지청],E4665)))</f>
        <v/>
      </c>
      <c r="E4665" t="str">
        <f>IFERROR(INDEX(tbl_input[집계키_지청],ROW()-1),"")</f>
        <v/>
      </c>
      <c r="F4665" t="str">
        <f t="shared" si="363"/>
        <v/>
      </c>
      <c r="G4665" t="str">
        <f t="shared" si="364"/>
        <v/>
      </c>
    </row>
    <row r="4666" spans="1:7" x14ac:dyDescent="0.4">
      <c r="A4666" t="str">
        <f t="shared" si="360"/>
        <v/>
      </c>
      <c r="B4666" t="str">
        <f t="shared" si="361"/>
        <v/>
      </c>
      <c r="C4666" t="str">
        <f t="shared" si="362"/>
        <v/>
      </c>
      <c r="D4666" t="str">
        <f>IF(E4666="","",IF(COUNTIF($E$2:E4666,E4666)&gt;1,"",SUMIFS(tbl_input[필요수량],tbl_input[집계키_지청],E4666)))</f>
        <v/>
      </c>
      <c r="E4666" t="str">
        <f>IFERROR(INDEX(tbl_input[집계키_지청],ROW()-1),"")</f>
        <v/>
      </c>
      <c r="F4666" t="str">
        <f t="shared" si="363"/>
        <v/>
      </c>
      <c r="G4666" t="str">
        <f t="shared" si="364"/>
        <v/>
      </c>
    </row>
    <row r="4667" spans="1:7" x14ac:dyDescent="0.4">
      <c r="A4667" t="str">
        <f t="shared" si="360"/>
        <v/>
      </c>
      <c r="B4667" t="str">
        <f t="shared" si="361"/>
        <v/>
      </c>
      <c r="C4667" t="str">
        <f t="shared" si="362"/>
        <v/>
      </c>
      <c r="D4667" t="str">
        <f>IF(E4667="","",IF(COUNTIF($E$2:E4667,E4667)&gt;1,"",SUMIFS(tbl_input[필요수량],tbl_input[집계키_지청],E4667)))</f>
        <v/>
      </c>
      <c r="E4667" t="str">
        <f>IFERROR(INDEX(tbl_input[집계키_지청],ROW()-1),"")</f>
        <v/>
      </c>
      <c r="F4667" t="str">
        <f t="shared" si="363"/>
        <v/>
      </c>
      <c r="G4667" t="str">
        <f t="shared" si="364"/>
        <v/>
      </c>
    </row>
    <row r="4668" spans="1:7" x14ac:dyDescent="0.4">
      <c r="A4668" t="str">
        <f t="shared" si="360"/>
        <v/>
      </c>
      <c r="B4668" t="str">
        <f t="shared" si="361"/>
        <v/>
      </c>
      <c r="C4668" t="str">
        <f t="shared" si="362"/>
        <v/>
      </c>
      <c r="D4668" t="str">
        <f>IF(E4668="","",IF(COUNTIF($E$2:E4668,E4668)&gt;1,"",SUMIFS(tbl_input[필요수량],tbl_input[집계키_지청],E4668)))</f>
        <v/>
      </c>
      <c r="E4668" t="str">
        <f>IFERROR(INDEX(tbl_input[집계키_지청],ROW()-1),"")</f>
        <v/>
      </c>
      <c r="F4668" t="str">
        <f t="shared" si="363"/>
        <v/>
      </c>
      <c r="G4668" t="str">
        <f t="shared" si="364"/>
        <v/>
      </c>
    </row>
    <row r="4669" spans="1:7" x14ac:dyDescent="0.4">
      <c r="A4669" t="str">
        <f t="shared" si="360"/>
        <v/>
      </c>
      <c r="B4669" t="str">
        <f t="shared" si="361"/>
        <v/>
      </c>
      <c r="C4669" t="str">
        <f t="shared" si="362"/>
        <v/>
      </c>
      <c r="D4669" t="str">
        <f>IF(E4669="","",IF(COUNTIF($E$2:E4669,E4669)&gt;1,"",SUMIFS(tbl_input[필요수량],tbl_input[집계키_지청],E4669)))</f>
        <v/>
      </c>
      <c r="E4669" t="str">
        <f>IFERROR(INDEX(tbl_input[집계키_지청],ROW()-1),"")</f>
        <v/>
      </c>
      <c r="F4669" t="str">
        <f t="shared" si="363"/>
        <v/>
      </c>
      <c r="G4669" t="str">
        <f t="shared" si="364"/>
        <v/>
      </c>
    </row>
    <row r="4670" spans="1:7" x14ac:dyDescent="0.4">
      <c r="A4670" t="str">
        <f t="shared" si="360"/>
        <v/>
      </c>
      <c r="B4670" t="str">
        <f t="shared" si="361"/>
        <v/>
      </c>
      <c r="C4670" t="str">
        <f t="shared" si="362"/>
        <v/>
      </c>
      <c r="D4670" t="str">
        <f>IF(E4670="","",IF(COUNTIF($E$2:E4670,E4670)&gt;1,"",SUMIFS(tbl_input[필요수량],tbl_input[집계키_지청],E4670)))</f>
        <v/>
      </c>
      <c r="E4670" t="str">
        <f>IFERROR(INDEX(tbl_input[집계키_지청],ROW()-1),"")</f>
        <v/>
      </c>
      <c r="F4670" t="str">
        <f t="shared" si="363"/>
        <v/>
      </c>
      <c r="G4670" t="str">
        <f t="shared" si="364"/>
        <v/>
      </c>
    </row>
    <row r="4671" spans="1:7" x14ac:dyDescent="0.4">
      <c r="A4671" t="str">
        <f t="shared" si="360"/>
        <v/>
      </c>
      <c r="B4671" t="str">
        <f t="shared" si="361"/>
        <v/>
      </c>
      <c r="C4671" t="str">
        <f t="shared" si="362"/>
        <v/>
      </c>
      <c r="D4671" t="str">
        <f>IF(E4671="","",IF(COUNTIF($E$2:E4671,E4671)&gt;1,"",SUMIFS(tbl_input[필요수량],tbl_input[집계키_지청],E4671)))</f>
        <v/>
      </c>
      <c r="E4671" t="str">
        <f>IFERROR(INDEX(tbl_input[집계키_지청],ROW()-1),"")</f>
        <v/>
      </c>
      <c r="F4671" t="str">
        <f t="shared" si="363"/>
        <v/>
      </c>
      <c r="G4671" t="str">
        <f t="shared" si="364"/>
        <v/>
      </c>
    </row>
    <row r="4672" spans="1:7" x14ac:dyDescent="0.4">
      <c r="A4672" t="str">
        <f t="shared" si="360"/>
        <v/>
      </c>
      <c r="B4672" t="str">
        <f t="shared" si="361"/>
        <v/>
      </c>
      <c r="C4672" t="str">
        <f t="shared" si="362"/>
        <v/>
      </c>
      <c r="D4672" t="str">
        <f>IF(E4672="","",IF(COUNTIF($E$2:E4672,E4672)&gt;1,"",SUMIFS(tbl_input[필요수량],tbl_input[집계키_지청],E4672)))</f>
        <v/>
      </c>
      <c r="E4672" t="str">
        <f>IFERROR(INDEX(tbl_input[집계키_지청],ROW()-1),"")</f>
        <v/>
      </c>
      <c r="F4672" t="str">
        <f t="shared" si="363"/>
        <v/>
      </c>
      <c r="G4672" t="str">
        <f t="shared" si="364"/>
        <v/>
      </c>
    </row>
    <row r="4673" spans="1:7" x14ac:dyDescent="0.4">
      <c r="A4673" t="str">
        <f t="shared" si="360"/>
        <v/>
      </c>
      <c r="B4673" t="str">
        <f t="shared" si="361"/>
        <v/>
      </c>
      <c r="C4673" t="str">
        <f t="shared" si="362"/>
        <v/>
      </c>
      <c r="D4673" t="str">
        <f>IF(E4673="","",IF(COUNTIF($E$2:E4673,E4673)&gt;1,"",SUMIFS(tbl_input[필요수량],tbl_input[집계키_지청],E4673)))</f>
        <v/>
      </c>
      <c r="E4673" t="str">
        <f>IFERROR(INDEX(tbl_input[집계키_지청],ROW()-1),"")</f>
        <v/>
      </c>
      <c r="F4673" t="str">
        <f t="shared" si="363"/>
        <v/>
      </c>
      <c r="G4673" t="str">
        <f t="shared" si="364"/>
        <v/>
      </c>
    </row>
    <row r="4674" spans="1:7" x14ac:dyDescent="0.4">
      <c r="A4674" t="str">
        <f t="shared" ref="A4674:A4737" si="365">IF(E4674="","",LEFT(E4674,F4674-1))</f>
        <v/>
      </c>
      <c r="B4674" t="str">
        <f t="shared" ref="B4674:B4737" si="366">IF(E4674="","",MID(E4674,F4674+1,G4674-F4674-1))</f>
        <v/>
      </c>
      <c r="C4674" t="str">
        <f t="shared" ref="C4674:C4737" si="367">IF(E4674="","",MID(E4674,G4674+1,999))</f>
        <v/>
      </c>
      <c r="D4674" t="str">
        <f>IF(E4674="","",IF(COUNTIF($E$2:E4674,E4674)&gt;1,"",SUMIFS(tbl_input[필요수량],tbl_input[집계키_지청],E4674)))</f>
        <v/>
      </c>
      <c r="E4674" t="str">
        <f>IFERROR(INDEX(tbl_input[집계키_지청],ROW()-1),"")</f>
        <v/>
      </c>
      <c r="F4674" t="str">
        <f t="shared" ref="F4674:F4737" si="368">IF(E4674="","",FIND("♦",E4674))</f>
        <v/>
      </c>
      <c r="G4674" t="str">
        <f t="shared" ref="G4674:G4737" si="369">IF(E4674="","",FIND("♦",E4674,F4674+1))</f>
        <v/>
      </c>
    </row>
    <row r="4675" spans="1:7" x14ac:dyDescent="0.4">
      <c r="A4675" t="str">
        <f t="shared" si="365"/>
        <v/>
      </c>
      <c r="B4675" t="str">
        <f t="shared" si="366"/>
        <v/>
      </c>
      <c r="C4675" t="str">
        <f t="shared" si="367"/>
        <v/>
      </c>
      <c r="D4675" t="str">
        <f>IF(E4675="","",IF(COUNTIF($E$2:E4675,E4675)&gt;1,"",SUMIFS(tbl_input[필요수량],tbl_input[집계키_지청],E4675)))</f>
        <v/>
      </c>
      <c r="E4675" t="str">
        <f>IFERROR(INDEX(tbl_input[집계키_지청],ROW()-1),"")</f>
        <v/>
      </c>
      <c r="F4675" t="str">
        <f t="shared" si="368"/>
        <v/>
      </c>
      <c r="G4675" t="str">
        <f t="shared" si="369"/>
        <v/>
      </c>
    </row>
    <row r="4676" spans="1:7" x14ac:dyDescent="0.4">
      <c r="A4676" t="str">
        <f t="shared" si="365"/>
        <v/>
      </c>
      <c r="B4676" t="str">
        <f t="shared" si="366"/>
        <v/>
      </c>
      <c r="C4676" t="str">
        <f t="shared" si="367"/>
        <v/>
      </c>
      <c r="D4676" t="str">
        <f>IF(E4676="","",IF(COUNTIF($E$2:E4676,E4676)&gt;1,"",SUMIFS(tbl_input[필요수량],tbl_input[집계키_지청],E4676)))</f>
        <v/>
      </c>
      <c r="E4676" t="str">
        <f>IFERROR(INDEX(tbl_input[집계키_지청],ROW()-1),"")</f>
        <v/>
      </c>
      <c r="F4676" t="str">
        <f t="shared" si="368"/>
        <v/>
      </c>
      <c r="G4676" t="str">
        <f t="shared" si="369"/>
        <v/>
      </c>
    </row>
    <row r="4677" spans="1:7" x14ac:dyDescent="0.4">
      <c r="A4677" t="str">
        <f t="shared" si="365"/>
        <v/>
      </c>
      <c r="B4677" t="str">
        <f t="shared" si="366"/>
        <v/>
      </c>
      <c r="C4677" t="str">
        <f t="shared" si="367"/>
        <v/>
      </c>
      <c r="D4677" t="str">
        <f>IF(E4677="","",IF(COUNTIF($E$2:E4677,E4677)&gt;1,"",SUMIFS(tbl_input[필요수량],tbl_input[집계키_지청],E4677)))</f>
        <v/>
      </c>
      <c r="E4677" t="str">
        <f>IFERROR(INDEX(tbl_input[집계키_지청],ROW()-1),"")</f>
        <v/>
      </c>
      <c r="F4677" t="str">
        <f t="shared" si="368"/>
        <v/>
      </c>
      <c r="G4677" t="str">
        <f t="shared" si="369"/>
        <v/>
      </c>
    </row>
    <row r="4678" spans="1:7" x14ac:dyDescent="0.4">
      <c r="A4678" t="str">
        <f t="shared" si="365"/>
        <v/>
      </c>
      <c r="B4678" t="str">
        <f t="shared" si="366"/>
        <v/>
      </c>
      <c r="C4678" t="str">
        <f t="shared" si="367"/>
        <v/>
      </c>
      <c r="D4678" t="str">
        <f>IF(E4678="","",IF(COUNTIF($E$2:E4678,E4678)&gt;1,"",SUMIFS(tbl_input[필요수량],tbl_input[집계키_지청],E4678)))</f>
        <v/>
      </c>
      <c r="E4678" t="str">
        <f>IFERROR(INDEX(tbl_input[집계키_지청],ROW()-1),"")</f>
        <v/>
      </c>
      <c r="F4678" t="str">
        <f t="shared" si="368"/>
        <v/>
      </c>
      <c r="G4678" t="str">
        <f t="shared" si="369"/>
        <v/>
      </c>
    </row>
    <row r="4679" spans="1:7" x14ac:dyDescent="0.4">
      <c r="A4679" t="str">
        <f t="shared" si="365"/>
        <v/>
      </c>
      <c r="B4679" t="str">
        <f t="shared" si="366"/>
        <v/>
      </c>
      <c r="C4679" t="str">
        <f t="shared" si="367"/>
        <v/>
      </c>
      <c r="D4679" t="str">
        <f>IF(E4679="","",IF(COUNTIF($E$2:E4679,E4679)&gt;1,"",SUMIFS(tbl_input[필요수량],tbl_input[집계키_지청],E4679)))</f>
        <v/>
      </c>
      <c r="E4679" t="str">
        <f>IFERROR(INDEX(tbl_input[집계키_지청],ROW()-1),"")</f>
        <v/>
      </c>
      <c r="F4679" t="str">
        <f t="shared" si="368"/>
        <v/>
      </c>
      <c r="G4679" t="str">
        <f t="shared" si="369"/>
        <v/>
      </c>
    </row>
    <row r="4680" spans="1:7" x14ac:dyDescent="0.4">
      <c r="A4680" t="str">
        <f t="shared" si="365"/>
        <v/>
      </c>
      <c r="B4680" t="str">
        <f t="shared" si="366"/>
        <v/>
      </c>
      <c r="C4680" t="str">
        <f t="shared" si="367"/>
        <v/>
      </c>
      <c r="D4680" t="str">
        <f>IF(E4680="","",IF(COUNTIF($E$2:E4680,E4680)&gt;1,"",SUMIFS(tbl_input[필요수량],tbl_input[집계키_지청],E4680)))</f>
        <v/>
      </c>
      <c r="E4680" t="str">
        <f>IFERROR(INDEX(tbl_input[집계키_지청],ROW()-1),"")</f>
        <v/>
      </c>
      <c r="F4680" t="str">
        <f t="shared" si="368"/>
        <v/>
      </c>
      <c r="G4680" t="str">
        <f t="shared" si="369"/>
        <v/>
      </c>
    </row>
    <row r="4681" spans="1:7" x14ac:dyDescent="0.4">
      <c r="A4681" t="str">
        <f t="shared" si="365"/>
        <v/>
      </c>
      <c r="B4681" t="str">
        <f t="shared" si="366"/>
        <v/>
      </c>
      <c r="C4681" t="str">
        <f t="shared" si="367"/>
        <v/>
      </c>
      <c r="D4681" t="str">
        <f>IF(E4681="","",IF(COUNTIF($E$2:E4681,E4681)&gt;1,"",SUMIFS(tbl_input[필요수량],tbl_input[집계키_지청],E4681)))</f>
        <v/>
      </c>
      <c r="E4681" t="str">
        <f>IFERROR(INDEX(tbl_input[집계키_지청],ROW()-1),"")</f>
        <v/>
      </c>
      <c r="F4681" t="str">
        <f t="shared" si="368"/>
        <v/>
      </c>
      <c r="G4681" t="str">
        <f t="shared" si="369"/>
        <v/>
      </c>
    </row>
    <row r="4682" spans="1:7" x14ac:dyDescent="0.4">
      <c r="A4682" t="str">
        <f t="shared" si="365"/>
        <v/>
      </c>
      <c r="B4682" t="str">
        <f t="shared" si="366"/>
        <v/>
      </c>
      <c r="C4682" t="str">
        <f t="shared" si="367"/>
        <v/>
      </c>
      <c r="D4682" t="str">
        <f>IF(E4682="","",IF(COUNTIF($E$2:E4682,E4682)&gt;1,"",SUMIFS(tbl_input[필요수량],tbl_input[집계키_지청],E4682)))</f>
        <v/>
      </c>
      <c r="E4682" t="str">
        <f>IFERROR(INDEX(tbl_input[집계키_지청],ROW()-1),"")</f>
        <v/>
      </c>
      <c r="F4682" t="str">
        <f t="shared" si="368"/>
        <v/>
      </c>
      <c r="G4682" t="str">
        <f t="shared" si="369"/>
        <v/>
      </c>
    </row>
    <row r="4683" spans="1:7" x14ac:dyDescent="0.4">
      <c r="A4683" t="str">
        <f t="shared" si="365"/>
        <v/>
      </c>
      <c r="B4683" t="str">
        <f t="shared" si="366"/>
        <v/>
      </c>
      <c r="C4683" t="str">
        <f t="shared" si="367"/>
        <v/>
      </c>
      <c r="D4683" t="str">
        <f>IF(E4683="","",IF(COUNTIF($E$2:E4683,E4683)&gt;1,"",SUMIFS(tbl_input[필요수량],tbl_input[집계키_지청],E4683)))</f>
        <v/>
      </c>
      <c r="E4683" t="str">
        <f>IFERROR(INDEX(tbl_input[집계키_지청],ROW()-1),"")</f>
        <v/>
      </c>
      <c r="F4683" t="str">
        <f t="shared" si="368"/>
        <v/>
      </c>
      <c r="G4683" t="str">
        <f t="shared" si="369"/>
        <v/>
      </c>
    </row>
    <row r="4684" spans="1:7" x14ac:dyDescent="0.4">
      <c r="A4684" t="str">
        <f t="shared" si="365"/>
        <v/>
      </c>
      <c r="B4684" t="str">
        <f t="shared" si="366"/>
        <v/>
      </c>
      <c r="C4684" t="str">
        <f t="shared" si="367"/>
        <v/>
      </c>
      <c r="D4684" t="str">
        <f>IF(E4684="","",IF(COUNTIF($E$2:E4684,E4684)&gt;1,"",SUMIFS(tbl_input[필요수량],tbl_input[집계키_지청],E4684)))</f>
        <v/>
      </c>
      <c r="E4684" t="str">
        <f>IFERROR(INDEX(tbl_input[집계키_지청],ROW()-1),"")</f>
        <v/>
      </c>
      <c r="F4684" t="str">
        <f t="shared" si="368"/>
        <v/>
      </c>
      <c r="G4684" t="str">
        <f t="shared" si="369"/>
        <v/>
      </c>
    </row>
    <row r="4685" spans="1:7" x14ac:dyDescent="0.4">
      <c r="A4685" t="str">
        <f t="shared" si="365"/>
        <v/>
      </c>
      <c r="B4685" t="str">
        <f t="shared" si="366"/>
        <v/>
      </c>
      <c r="C4685" t="str">
        <f t="shared" si="367"/>
        <v/>
      </c>
      <c r="D4685" t="str">
        <f>IF(E4685="","",IF(COUNTIF($E$2:E4685,E4685)&gt;1,"",SUMIFS(tbl_input[필요수량],tbl_input[집계키_지청],E4685)))</f>
        <v/>
      </c>
      <c r="E4685" t="str">
        <f>IFERROR(INDEX(tbl_input[집계키_지청],ROW()-1),"")</f>
        <v/>
      </c>
      <c r="F4685" t="str">
        <f t="shared" si="368"/>
        <v/>
      </c>
      <c r="G4685" t="str">
        <f t="shared" si="369"/>
        <v/>
      </c>
    </row>
    <row r="4686" spans="1:7" x14ac:dyDescent="0.4">
      <c r="A4686" t="str">
        <f t="shared" si="365"/>
        <v/>
      </c>
      <c r="B4686" t="str">
        <f t="shared" si="366"/>
        <v/>
      </c>
      <c r="C4686" t="str">
        <f t="shared" si="367"/>
        <v/>
      </c>
      <c r="D4686" t="str">
        <f>IF(E4686="","",IF(COUNTIF($E$2:E4686,E4686)&gt;1,"",SUMIFS(tbl_input[필요수량],tbl_input[집계키_지청],E4686)))</f>
        <v/>
      </c>
      <c r="E4686" t="str">
        <f>IFERROR(INDEX(tbl_input[집계키_지청],ROW()-1),"")</f>
        <v/>
      </c>
      <c r="F4686" t="str">
        <f t="shared" si="368"/>
        <v/>
      </c>
      <c r="G4686" t="str">
        <f t="shared" si="369"/>
        <v/>
      </c>
    </row>
    <row r="4687" spans="1:7" x14ac:dyDescent="0.4">
      <c r="A4687" t="str">
        <f t="shared" si="365"/>
        <v/>
      </c>
      <c r="B4687" t="str">
        <f t="shared" si="366"/>
        <v/>
      </c>
      <c r="C4687" t="str">
        <f t="shared" si="367"/>
        <v/>
      </c>
      <c r="D4687" t="str">
        <f>IF(E4687="","",IF(COUNTIF($E$2:E4687,E4687)&gt;1,"",SUMIFS(tbl_input[필요수량],tbl_input[집계키_지청],E4687)))</f>
        <v/>
      </c>
      <c r="E4687" t="str">
        <f>IFERROR(INDEX(tbl_input[집계키_지청],ROW()-1),"")</f>
        <v/>
      </c>
      <c r="F4687" t="str">
        <f t="shared" si="368"/>
        <v/>
      </c>
      <c r="G4687" t="str">
        <f t="shared" si="369"/>
        <v/>
      </c>
    </row>
    <row r="4688" spans="1:7" x14ac:dyDescent="0.4">
      <c r="A4688" t="str">
        <f t="shared" si="365"/>
        <v/>
      </c>
      <c r="B4688" t="str">
        <f t="shared" si="366"/>
        <v/>
      </c>
      <c r="C4688" t="str">
        <f t="shared" si="367"/>
        <v/>
      </c>
      <c r="D4688" t="str">
        <f>IF(E4688="","",IF(COUNTIF($E$2:E4688,E4688)&gt;1,"",SUMIFS(tbl_input[필요수량],tbl_input[집계키_지청],E4688)))</f>
        <v/>
      </c>
      <c r="E4688" t="str">
        <f>IFERROR(INDEX(tbl_input[집계키_지청],ROW()-1),"")</f>
        <v/>
      </c>
      <c r="F4688" t="str">
        <f t="shared" si="368"/>
        <v/>
      </c>
      <c r="G4688" t="str">
        <f t="shared" si="369"/>
        <v/>
      </c>
    </row>
    <row r="4689" spans="1:7" x14ac:dyDescent="0.4">
      <c r="A4689" t="str">
        <f t="shared" si="365"/>
        <v/>
      </c>
      <c r="B4689" t="str">
        <f t="shared" si="366"/>
        <v/>
      </c>
      <c r="C4689" t="str">
        <f t="shared" si="367"/>
        <v/>
      </c>
      <c r="D4689" t="str">
        <f>IF(E4689="","",IF(COUNTIF($E$2:E4689,E4689)&gt;1,"",SUMIFS(tbl_input[필요수량],tbl_input[집계키_지청],E4689)))</f>
        <v/>
      </c>
      <c r="E4689" t="str">
        <f>IFERROR(INDEX(tbl_input[집계키_지청],ROW()-1),"")</f>
        <v/>
      </c>
      <c r="F4689" t="str">
        <f t="shared" si="368"/>
        <v/>
      </c>
      <c r="G4689" t="str">
        <f t="shared" si="369"/>
        <v/>
      </c>
    </row>
    <row r="4690" spans="1:7" x14ac:dyDescent="0.4">
      <c r="A4690" t="str">
        <f t="shared" si="365"/>
        <v/>
      </c>
      <c r="B4690" t="str">
        <f t="shared" si="366"/>
        <v/>
      </c>
      <c r="C4690" t="str">
        <f t="shared" si="367"/>
        <v/>
      </c>
      <c r="D4690" t="str">
        <f>IF(E4690="","",IF(COUNTIF($E$2:E4690,E4690)&gt;1,"",SUMIFS(tbl_input[필요수량],tbl_input[집계키_지청],E4690)))</f>
        <v/>
      </c>
      <c r="E4690" t="str">
        <f>IFERROR(INDEX(tbl_input[집계키_지청],ROW()-1),"")</f>
        <v/>
      </c>
      <c r="F4690" t="str">
        <f t="shared" si="368"/>
        <v/>
      </c>
      <c r="G4690" t="str">
        <f t="shared" si="369"/>
        <v/>
      </c>
    </row>
    <row r="4691" spans="1:7" x14ac:dyDescent="0.4">
      <c r="A4691" t="str">
        <f t="shared" si="365"/>
        <v/>
      </c>
      <c r="B4691" t="str">
        <f t="shared" si="366"/>
        <v/>
      </c>
      <c r="C4691" t="str">
        <f t="shared" si="367"/>
        <v/>
      </c>
      <c r="D4691" t="str">
        <f>IF(E4691="","",IF(COUNTIF($E$2:E4691,E4691)&gt;1,"",SUMIFS(tbl_input[필요수량],tbl_input[집계키_지청],E4691)))</f>
        <v/>
      </c>
      <c r="E4691" t="str">
        <f>IFERROR(INDEX(tbl_input[집계키_지청],ROW()-1),"")</f>
        <v/>
      </c>
      <c r="F4691" t="str">
        <f t="shared" si="368"/>
        <v/>
      </c>
      <c r="G4691" t="str">
        <f t="shared" si="369"/>
        <v/>
      </c>
    </row>
    <row r="4692" spans="1:7" x14ac:dyDescent="0.4">
      <c r="A4692" t="str">
        <f t="shared" si="365"/>
        <v/>
      </c>
      <c r="B4692" t="str">
        <f t="shared" si="366"/>
        <v/>
      </c>
      <c r="C4692" t="str">
        <f t="shared" si="367"/>
        <v/>
      </c>
      <c r="D4692" t="str">
        <f>IF(E4692="","",IF(COUNTIF($E$2:E4692,E4692)&gt;1,"",SUMIFS(tbl_input[필요수량],tbl_input[집계키_지청],E4692)))</f>
        <v/>
      </c>
      <c r="E4692" t="str">
        <f>IFERROR(INDEX(tbl_input[집계키_지청],ROW()-1),"")</f>
        <v/>
      </c>
      <c r="F4692" t="str">
        <f t="shared" si="368"/>
        <v/>
      </c>
      <c r="G4692" t="str">
        <f t="shared" si="369"/>
        <v/>
      </c>
    </row>
    <row r="4693" spans="1:7" x14ac:dyDescent="0.4">
      <c r="A4693" t="str">
        <f t="shared" si="365"/>
        <v/>
      </c>
      <c r="B4693" t="str">
        <f t="shared" si="366"/>
        <v/>
      </c>
      <c r="C4693" t="str">
        <f t="shared" si="367"/>
        <v/>
      </c>
      <c r="D4693" t="str">
        <f>IF(E4693="","",IF(COUNTIF($E$2:E4693,E4693)&gt;1,"",SUMIFS(tbl_input[필요수량],tbl_input[집계키_지청],E4693)))</f>
        <v/>
      </c>
      <c r="E4693" t="str">
        <f>IFERROR(INDEX(tbl_input[집계키_지청],ROW()-1),"")</f>
        <v/>
      </c>
      <c r="F4693" t="str">
        <f t="shared" si="368"/>
        <v/>
      </c>
      <c r="G4693" t="str">
        <f t="shared" si="369"/>
        <v/>
      </c>
    </row>
    <row r="4694" spans="1:7" x14ac:dyDescent="0.4">
      <c r="A4694" t="str">
        <f t="shared" si="365"/>
        <v/>
      </c>
      <c r="B4694" t="str">
        <f t="shared" si="366"/>
        <v/>
      </c>
      <c r="C4694" t="str">
        <f t="shared" si="367"/>
        <v/>
      </c>
      <c r="D4694" t="str">
        <f>IF(E4694="","",IF(COUNTIF($E$2:E4694,E4694)&gt;1,"",SUMIFS(tbl_input[필요수량],tbl_input[집계키_지청],E4694)))</f>
        <v/>
      </c>
      <c r="E4694" t="str">
        <f>IFERROR(INDEX(tbl_input[집계키_지청],ROW()-1),"")</f>
        <v/>
      </c>
      <c r="F4694" t="str">
        <f t="shared" si="368"/>
        <v/>
      </c>
      <c r="G4694" t="str">
        <f t="shared" si="369"/>
        <v/>
      </c>
    </row>
    <row r="4695" spans="1:7" x14ac:dyDescent="0.4">
      <c r="A4695" t="str">
        <f t="shared" si="365"/>
        <v/>
      </c>
      <c r="B4695" t="str">
        <f t="shared" si="366"/>
        <v/>
      </c>
      <c r="C4695" t="str">
        <f t="shared" si="367"/>
        <v/>
      </c>
      <c r="D4695" t="str">
        <f>IF(E4695="","",IF(COUNTIF($E$2:E4695,E4695)&gt;1,"",SUMIFS(tbl_input[필요수량],tbl_input[집계키_지청],E4695)))</f>
        <v/>
      </c>
      <c r="E4695" t="str">
        <f>IFERROR(INDEX(tbl_input[집계키_지청],ROW()-1),"")</f>
        <v/>
      </c>
      <c r="F4695" t="str">
        <f t="shared" si="368"/>
        <v/>
      </c>
      <c r="G4695" t="str">
        <f t="shared" si="369"/>
        <v/>
      </c>
    </row>
    <row r="4696" spans="1:7" x14ac:dyDescent="0.4">
      <c r="A4696" t="str">
        <f t="shared" si="365"/>
        <v/>
      </c>
      <c r="B4696" t="str">
        <f t="shared" si="366"/>
        <v/>
      </c>
      <c r="C4696" t="str">
        <f t="shared" si="367"/>
        <v/>
      </c>
      <c r="D4696" t="str">
        <f>IF(E4696="","",IF(COUNTIF($E$2:E4696,E4696)&gt;1,"",SUMIFS(tbl_input[필요수량],tbl_input[집계키_지청],E4696)))</f>
        <v/>
      </c>
      <c r="E4696" t="str">
        <f>IFERROR(INDEX(tbl_input[집계키_지청],ROW()-1),"")</f>
        <v/>
      </c>
      <c r="F4696" t="str">
        <f t="shared" si="368"/>
        <v/>
      </c>
      <c r="G4696" t="str">
        <f t="shared" si="369"/>
        <v/>
      </c>
    </row>
    <row r="4697" spans="1:7" x14ac:dyDescent="0.4">
      <c r="A4697" t="str">
        <f t="shared" si="365"/>
        <v/>
      </c>
      <c r="B4697" t="str">
        <f t="shared" si="366"/>
        <v/>
      </c>
      <c r="C4697" t="str">
        <f t="shared" si="367"/>
        <v/>
      </c>
      <c r="D4697" t="str">
        <f>IF(E4697="","",IF(COUNTIF($E$2:E4697,E4697)&gt;1,"",SUMIFS(tbl_input[필요수량],tbl_input[집계키_지청],E4697)))</f>
        <v/>
      </c>
      <c r="E4697" t="str">
        <f>IFERROR(INDEX(tbl_input[집계키_지청],ROW()-1),"")</f>
        <v/>
      </c>
      <c r="F4697" t="str">
        <f t="shared" si="368"/>
        <v/>
      </c>
      <c r="G4697" t="str">
        <f t="shared" si="369"/>
        <v/>
      </c>
    </row>
    <row r="4698" spans="1:7" x14ac:dyDescent="0.4">
      <c r="A4698" t="str">
        <f t="shared" si="365"/>
        <v/>
      </c>
      <c r="B4698" t="str">
        <f t="shared" si="366"/>
        <v/>
      </c>
      <c r="C4698" t="str">
        <f t="shared" si="367"/>
        <v/>
      </c>
      <c r="D4698" t="str">
        <f>IF(E4698="","",IF(COUNTIF($E$2:E4698,E4698)&gt;1,"",SUMIFS(tbl_input[필요수량],tbl_input[집계키_지청],E4698)))</f>
        <v/>
      </c>
      <c r="E4698" t="str">
        <f>IFERROR(INDEX(tbl_input[집계키_지청],ROW()-1),"")</f>
        <v/>
      </c>
      <c r="F4698" t="str">
        <f t="shared" si="368"/>
        <v/>
      </c>
      <c r="G4698" t="str">
        <f t="shared" si="369"/>
        <v/>
      </c>
    </row>
    <row r="4699" spans="1:7" x14ac:dyDescent="0.4">
      <c r="A4699" t="str">
        <f t="shared" si="365"/>
        <v/>
      </c>
      <c r="B4699" t="str">
        <f t="shared" si="366"/>
        <v/>
      </c>
      <c r="C4699" t="str">
        <f t="shared" si="367"/>
        <v/>
      </c>
      <c r="D4699" t="str">
        <f>IF(E4699="","",IF(COUNTIF($E$2:E4699,E4699)&gt;1,"",SUMIFS(tbl_input[필요수량],tbl_input[집계키_지청],E4699)))</f>
        <v/>
      </c>
      <c r="E4699" t="str">
        <f>IFERROR(INDEX(tbl_input[집계키_지청],ROW()-1),"")</f>
        <v/>
      </c>
      <c r="F4699" t="str">
        <f t="shared" si="368"/>
        <v/>
      </c>
      <c r="G4699" t="str">
        <f t="shared" si="369"/>
        <v/>
      </c>
    </row>
    <row r="4700" spans="1:7" x14ac:dyDescent="0.4">
      <c r="A4700" t="str">
        <f t="shared" si="365"/>
        <v/>
      </c>
      <c r="B4700" t="str">
        <f t="shared" si="366"/>
        <v/>
      </c>
      <c r="C4700" t="str">
        <f t="shared" si="367"/>
        <v/>
      </c>
      <c r="D4700" t="str">
        <f>IF(E4700="","",IF(COUNTIF($E$2:E4700,E4700)&gt;1,"",SUMIFS(tbl_input[필요수량],tbl_input[집계키_지청],E4700)))</f>
        <v/>
      </c>
      <c r="E4700" t="str">
        <f>IFERROR(INDEX(tbl_input[집계키_지청],ROW()-1),"")</f>
        <v/>
      </c>
      <c r="F4700" t="str">
        <f t="shared" si="368"/>
        <v/>
      </c>
      <c r="G4700" t="str">
        <f t="shared" si="369"/>
        <v/>
      </c>
    </row>
    <row r="4701" spans="1:7" x14ac:dyDescent="0.4">
      <c r="A4701" t="str">
        <f t="shared" si="365"/>
        <v/>
      </c>
      <c r="B4701" t="str">
        <f t="shared" si="366"/>
        <v/>
      </c>
      <c r="C4701" t="str">
        <f t="shared" si="367"/>
        <v/>
      </c>
      <c r="D4701" t="str">
        <f>IF(E4701="","",IF(COUNTIF($E$2:E4701,E4701)&gt;1,"",SUMIFS(tbl_input[필요수량],tbl_input[집계키_지청],E4701)))</f>
        <v/>
      </c>
      <c r="E4701" t="str">
        <f>IFERROR(INDEX(tbl_input[집계키_지청],ROW()-1),"")</f>
        <v/>
      </c>
      <c r="F4701" t="str">
        <f t="shared" si="368"/>
        <v/>
      </c>
      <c r="G4701" t="str">
        <f t="shared" si="369"/>
        <v/>
      </c>
    </row>
    <row r="4702" spans="1:7" x14ac:dyDescent="0.4">
      <c r="A4702" t="str">
        <f t="shared" si="365"/>
        <v/>
      </c>
      <c r="B4702" t="str">
        <f t="shared" si="366"/>
        <v/>
      </c>
      <c r="C4702" t="str">
        <f t="shared" si="367"/>
        <v/>
      </c>
      <c r="D4702" t="str">
        <f>IF(E4702="","",IF(COUNTIF($E$2:E4702,E4702)&gt;1,"",SUMIFS(tbl_input[필요수량],tbl_input[집계키_지청],E4702)))</f>
        <v/>
      </c>
      <c r="E4702" t="str">
        <f>IFERROR(INDEX(tbl_input[집계키_지청],ROW()-1),"")</f>
        <v/>
      </c>
      <c r="F4702" t="str">
        <f t="shared" si="368"/>
        <v/>
      </c>
      <c r="G4702" t="str">
        <f t="shared" si="369"/>
        <v/>
      </c>
    </row>
    <row r="4703" spans="1:7" x14ac:dyDescent="0.4">
      <c r="A4703" t="str">
        <f t="shared" si="365"/>
        <v/>
      </c>
      <c r="B4703" t="str">
        <f t="shared" si="366"/>
        <v/>
      </c>
      <c r="C4703" t="str">
        <f t="shared" si="367"/>
        <v/>
      </c>
      <c r="D4703" t="str">
        <f>IF(E4703="","",IF(COUNTIF($E$2:E4703,E4703)&gt;1,"",SUMIFS(tbl_input[필요수량],tbl_input[집계키_지청],E4703)))</f>
        <v/>
      </c>
      <c r="E4703" t="str">
        <f>IFERROR(INDEX(tbl_input[집계키_지청],ROW()-1),"")</f>
        <v/>
      </c>
      <c r="F4703" t="str">
        <f t="shared" si="368"/>
        <v/>
      </c>
      <c r="G4703" t="str">
        <f t="shared" si="369"/>
        <v/>
      </c>
    </row>
    <row r="4704" spans="1:7" x14ac:dyDescent="0.4">
      <c r="A4704" t="str">
        <f t="shared" si="365"/>
        <v/>
      </c>
      <c r="B4704" t="str">
        <f t="shared" si="366"/>
        <v/>
      </c>
      <c r="C4704" t="str">
        <f t="shared" si="367"/>
        <v/>
      </c>
      <c r="D4704" t="str">
        <f>IF(E4704="","",IF(COUNTIF($E$2:E4704,E4704)&gt;1,"",SUMIFS(tbl_input[필요수량],tbl_input[집계키_지청],E4704)))</f>
        <v/>
      </c>
      <c r="E4704" t="str">
        <f>IFERROR(INDEX(tbl_input[집계키_지청],ROW()-1),"")</f>
        <v/>
      </c>
      <c r="F4704" t="str">
        <f t="shared" si="368"/>
        <v/>
      </c>
      <c r="G4704" t="str">
        <f t="shared" si="369"/>
        <v/>
      </c>
    </row>
    <row r="4705" spans="1:7" x14ac:dyDescent="0.4">
      <c r="A4705" t="str">
        <f t="shared" si="365"/>
        <v/>
      </c>
      <c r="B4705" t="str">
        <f t="shared" si="366"/>
        <v/>
      </c>
      <c r="C4705" t="str">
        <f t="shared" si="367"/>
        <v/>
      </c>
      <c r="D4705" t="str">
        <f>IF(E4705="","",IF(COUNTIF($E$2:E4705,E4705)&gt;1,"",SUMIFS(tbl_input[필요수량],tbl_input[집계키_지청],E4705)))</f>
        <v/>
      </c>
      <c r="E4705" t="str">
        <f>IFERROR(INDEX(tbl_input[집계키_지청],ROW()-1),"")</f>
        <v/>
      </c>
      <c r="F4705" t="str">
        <f t="shared" si="368"/>
        <v/>
      </c>
      <c r="G4705" t="str">
        <f t="shared" si="369"/>
        <v/>
      </c>
    </row>
    <row r="4706" spans="1:7" x14ac:dyDescent="0.4">
      <c r="A4706" t="str">
        <f t="shared" si="365"/>
        <v/>
      </c>
      <c r="B4706" t="str">
        <f t="shared" si="366"/>
        <v/>
      </c>
      <c r="C4706" t="str">
        <f t="shared" si="367"/>
        <v/>
      </c>
      <c r="D4706" t="str">
        <f>IF(E4706="","",IF(COUNTIF($E$2:E4706,E4706)&gt;1,"",SUMIFS(tbl_input[필요수량],tbl_input[집계키_지청],E4706)))</f>
        <v/>
      </c>
      <c r="E4706" t="str">
        <f>IFERROR(INDEX(tbl_input[집계키_지청],ROW()-1),"")</f>
        <v/>
      </c>
      <c r="F4706" t="str">
        <f t="shared" si="368"/>
        <v/>
      </c>
      <c r="G4706" t="str">
        <f t="shared" si="369"/>
        <v/>
      </c>
    </row>
    <row r="4707" spans="1:7" x14ac:dyDescent="0.4">
      <c r="A4707" t="str">
        <f t="shared" si="365"/>
        <v/>
      </c>
      <c r="B4707" t="str">
        <f t="shared" si="366"/>
        <v/>
      </c>
      <c r="C4707" t="str">
        <f t="shared" si="367"/>
        <v/>
      </c>
      <c r="D4707" t="str">
        <f>IF(E4707="","",IF(COUNTIF($E$2:E4707,E4707)&gt;1,"",SUMIFS(tbl_input[필요수량],tbl_input[집계키_지청],E4707)))</f>
        <v/>
      </c>
      <c r="E4707" t="str">
        <f>IFERROR(INDEX(tbl_input[집계키_지청],ROW()-1),"")</f>
        <v/>
      </c>
      <c r="F4707" t="str">
        <f t="shared" si="368"/>
        <v/>
      </c>
      <c r="G4707" t="str">
        <f t="shared" si="369"/>
        <v/>
      </c>
    </row>
    <row r="4708" spans="1:7" x14ac:dyDescent="0.4">
      <c r="A4708" t="str">
        <f t="shared" si="365"/>
        <v/>
      </c>
      <c r="B4708" t="str">
        <f t="shared" si="366"/>
        <v/>
      </c>
      <c r="C4708" t="str">
        <f t="shared" si="367"/>
        <v/>
      </c>
      <c r="D4708" t="str">
        <f>IF(E4708="","",IF(COUNTIF($E$2:E4708,E4708)&gt;1,"",SUMIFS(tbl_input[필요수량],tbl_input[집계키_지청],E4708)))</f>
        <v/>
      </c>
      <c r="E4708" t="str">
        <f>IFERROR(INDEX(tbl_input[집계키_지청],ROW()-1),"")</f>
        <v/>
      </c>
      <c r="F4708" t="str">
        <f t="shared" si="368"/>
        <v/>
      </c>
      <c r="G4708" t="str">
        <f t="shared" si="369"/>
        <v/>
      </c>
    </row>
    <row r="4709" spans="1:7" x14ac:dyDescent="0.4">
      <c r="A4709" t="str">
        <f t="shared" si="365"/>
        <v/>
      </c>
      <c r="B4709" t="str">
        <f t="shared" si="366"/>
        <v/>
      </c>
      <c r="C4709" t="str">
        <f t="shared" si="367"/>
        <v/>
      </c>
      <c r="D4709" t="str">
        <f>IF(E4709="","",IF(COUNTIF($E$2:E4709,E4709)&gt;1,"",SUMIFS(tbl_input[필요수량],tbl_input[집계키_지청],E4709)))</f>
        <v/>
      </c>
      <c r="E4709" t="str">
        <f>IFERROR(INDEX(tbl_input[집계키_지청],ROW()-1),"")</f>
        <v/>
      </c>
      <c r="F4709" t="str">
        <f t="shared" si="368"/>
        <v/>
      </c>
      <c r="G4709" t="str">
        <f t="shared" si="369"/>
        <v/>
      </c>
    </row>
    <row r="4710" spans="1:7" x14ac:dyDescent="0.4">
      <c r="A4710" t="str">
        <f t="shared" si="365"/>
        <v/>
      </c>
      <c r="B4710" t="str">
        <f t="shared" si="366"/>
        <v/>
      </c>
      <c r="C4710" t="str">
        <f t="shared" si="367"/>
        <v/>
      </c>
      <c r="D4710" t="str">
        <f>IF(E4710="","",IF(COUNTIF($E$2:E4710,E4710)&gt;1,"",SUMIFS(tbl_input[필요수량],tbl_input[집계키_지청],E4710)))</f>
        <v/>
      </c>
      <c r="E4710" t="str">
        <f>IFERROR(INDEX(tbl_input[집계키_지청],ROW()-1),"")</f>
        <v/>
      </c>
      <c r="F4710" t="str">
        <f t="shared" si="368"/>
        <v/>
      </c>
      <c r="G4710" t="str">
        <f t="shared" si="369"/>
        <v/>
      </c>
    </row>
    <row r="4711" spans="1:7" x14ac:dyDescent="0.4">
      <c r="A4711" t="str">
        <f t="shared" si="365"/>
        <v/>
      </c>
      <c r="B4711" t="str">
        <f t="shared" si="366"/>
        <v/>
      </c>
      <c r="C4711" t="str">
        <f t="shared" si="367"/>
        <v/>
      </c>
      <c r="D4711" t="str">
        <f>IF(E4711="","",IF(COUNTIF($E$2:E4711,E4711)&gt;1,"",SUMIFS(tbl_input[필요수량],tbl_input[집계키_지청],E4711)))</f>
        <v/>
      </c>
      <c r="E4711" t="str">
        <f>IFERROR(INDEX(tbl_input[집계키_지청],ROW()-1),"")</f>
        <v/>
      </c>
      <c r="F4711" t="str">
        <f t="shared" si="368"/>
        <v/>
      </c>
      <c r="G4711" t="str">
        <f t="shared" si="369"/>
        <v/>
      </c>
    </row>
    <row r="4712" spans="1:7" x14ac:dyDescent="0.4">
      <c r="A4712" t="str">
        <f t="shared" si="365"/>
        <v/>
      </c>
      <c r="B4712" t="str">
        <f t="shared" si="366"/>
        <v/>
      </c>
      <c r="C4712" t="str">
        <f t="shared" si="367"/>
        <v/>
      </c>
      <c r="D4712" t="str">
        <f>IF(E4712="","",IF(COUNTIF($E$2:E4712,E4712)&gt;1,"",SUMIFS(tbl_input[필요수량],tbl_input[집계키_지청],E4712)))</f>
        <v/>
      </c>
      <c r="E4712" t="str">
        <f>IFERROR(INDEX(tbl_input[집계키_지청],ROW()-1),"")</f>
        <v/>
      </c>
      <c r="F4712" t="str">
        <f t="shared" si="368"/>
        <v/>
      </c>
      <c r="G4712" t="str">
        <f t="shared" si="369"/>
        <v/>
      </c>
    </row>
    <row r="4713" spans="1:7" x14ac:dyDescent="0.4">
      <c r="A4713" t="str">
        <f t="shared" si="365"/>
        <v/>
      </c>
      <c r="B4713" t="str">
        <f t="shared" si="366"/>
        <v/>
      </c>
      <c r="C4713" t="str">
        <f t="shared" si="367"/>
        <v/>
      </c>
      <c r="D4713" t="str">
        <f>IF(E4713="","",IF(COUNTIF($E$2:E4713,E4713)&gt;1,"",SUMIFS(tbl_input[필요수량],tbl_input[집계키_지청],E4713)))</f>
        <v/>
      </c>
      <c r="E4713" t="str">
        <f>IFERROR(INDEX(tbl_input[집계키_지청],ROW()-1),"")</f>
        <v/>
      </c>
      <c r="F4713" t="str">
        <f t="shared" si="368"/>
        <v/>
      </c>
      <c r="G4713" t="str">
        <f t="shared" si="369"/>
        <v/>
      </c>
    </row>
    <row r="4714" spans="1:7" x14ac:dyDescent="0.4">
      <c r="A4714" t="str">
        <f t="shared" si="365"/>
        <v/>
      </c>
      <c r="B4714" t="str">
        <f t="shared" si="366"/>
        <v/>
      </c>
      <c r="C4714" t="str">
        <f t="shared" si="367"/>
        <v/>
      </c>
      <c r="D4714" t="str">
        <f>IF(E4714="","",IF(COUNTIF($E$2:E4714,E4714)&gt;1,"",SUMIFS(tbl_input[필요수량],tbl_input[집계키_지청],E4714)))</f>
        <v/>
      </c>
      <c r="E4714" t="str">
        <f>IFERROR(INDEX(tbl_input[집계키_지청],ROW()-1),"")</f>
        <v/>
      </c>
      <c r="F4714" t="str">
        <f t="shared" si="368"/>
        <v/>
      </c>
      <c r="G4714" t="str">
        <f t="shared" si="369"/>
        <v/>
      </c>
    </row>
    <row r="4715" spans="1:7" x14ac:dyDescent="0.4">
      <c r="A4715" t="str">
        <f t="shared" si="365"/>
        <v/>
      </c>
      <c r="B4715" t="str">
        <f t="shared" si="366"/>
        <v/>
      </c>
      <c r="C4715" t="str">
        <f t="shared" si="367"/>
        <v/>
      </c>
      <c r="D4715" t="str">
        <f>IF(E4715="","",IF(COUNTIF($E$2:E4715,E4715)&gt;1,"",SUMIFS(tbl_input[필요수량],tbl_input[집계키_지청],E4715)))</f>
        <v/>
      </c>
      <c r="E4715" t="str">
        <f>IFERROR(INDEX(tbl_input[집계키_지청],ROW()-1),"")</f>
        <v/>
      </c>
      <c r="F4715" t="str">
        <f t="shared" si="368"/>
        <v/>
      </c>
      <c r="G4715" t="str">
        <f t="shared" si="369"/>
        <v/>
      </c>
    </row>
    <row r="4716" spans="1:7" x14ac:dyDescent="0.4">
      <c r="A4716" t="str">
        <f t="shared" si="365"/>
        <v/>
      </c>
      <c r="B4716" t="str">
        <f t="shared" si="366"/>
        <v/>
      </c>
      <c r="C4716" t="str">
        <f t="shared" si="367"/>
        <v/>
      </c>
      <c r="D4716" t="str">
        <f>IF(E4716="","",IF(COUNTIF($E$2:E4716,E4716)&gt;1,"",SUMIFS(tbl_input[필요수량],tbl_input[집계키_지청],E4716)))</f>
        <v/>
      </c>
      <c r="E4716" t="str">
        <f>IFERROR(INDEX(tbl_input[집계키_지청],ROW()-1),"")</f>
        <v/>
      </c>
      <c r="F4716" t="str">
        <f t="shared" si="368"/>
        <v/>
      </c>
      <c r="G4716" t="str">
        <f t="shared" si="369"/>
        <v/>
      </c>
    </row>
    <row r="4717" spans="1:7" x14ac:dyDescent="0.4">
      <c r="A4717" t="str">
        <f t="shared" si="365"/>
        <v/>
      </c>
      <c r="B4717" t="str">
        <f t="shared" si="366"/>
        <v/>
      </c>
      <c r="C4717" t="str">
        <f t="shared" si="367"/>
        <v/>
      </c>
      <c r="D4717" t="str">
        <f>IF(E4717="","",IF(COUNTIF($E$2:E4717,E4717)&gt;1,"",SUMIFS(tbl_input[필요수량],tbl_input[집계키_지청],E4717)))</f>
        <v/>
      </c>
      <c r="E4717" t="str">
        <f>IFERROR(INDEX(tbl_input[집계키_지청],ROW()-1),"")</f>
        <v/>
      </c>
      <c r="F4717" t="str">
        <f t="shared" si="368"/>
        <v/>
      </c>
      <c r="G4717" t="str">
        <f t="shared" si="369"/>
        <v/>
      </c>
    </row>
    <row r="4718" spans="1:7" x14ac:dyDescent="0.4">
      <c r="A4718" t="str">
        <f t="shared" si="365"/>
        <v/>
      </c>
      <c r="B4718" t="str">
        <f t="shared" si="366"/>
        <v/>
      </c>
      <c r="C4718" t="str">
        <f t="shared" si="367"/>
        <v/>
      </c>
      <c r="D4718" t="str">
        <f>IF(E4718="","",IF(COUNTIF($E$2:E4718,E4718)&gt;1,"",SUMIFS(tbl_input[필요수량],tbl_input[집계키_지청],E4718)))</f>
        <v/>
      </c>
      <c r="E4718" t="str">
        <f>IFERROR(INDEX(tbl_input[집계키_지청],ROW()-1),"")</f>
        <v/>
      </c>
      <c r="F4718" t="str">
        <f t="shared" si="368"/>
        <v/>
      </c>
      <c r="G4718" t="str">
        <f t="shared" si="369"/>
        <v/>
      </c>
    </row>
    <row r="4719" spans="1:7" x14ac:dyDescent="0.4">
      <c r="A4719" t="str">
        <f t="shared" si="365"/>
        <v/>
      </c>
      <c r="B4719" t="str">
        <f t="shared" si="366"/>
        <v/>
      </c>
      <c r="C4719" t="str">
        <f t="shared" si="367"/>
        <v/>
      </c>
      <c r="D4719" t="str">
        <f>IF(E4719="","",IF(COUNTIF($E$2:E4719,E4719)&gt;1,"",SUMIFS(tbl_input[필요수량],tbl_input[집계키_지청],E4719)))</f>
        <v/>
      </c>
      <c r="E4719" t="str">
        <f>IFERROR(INDEX(tbl_input[집계키_지청],ROW()-1),"")</f>
        <v/>
      </c>
      <c r="F4719" t="str">
        <f t="shared" si="368"/>
        <v/>
      </c>
      <c r="G4719" t="str">
        <f t="shared" si="369"/>
        <v/>
      </c>
    </row>
    <row r="4720" spans="1:7" x14ac:dyDescent="0.4">
      <c r="A4720" t="str">
        <f t="shared" si="365"/>
        <v/>
      </c>
      <c r="B4720" t="str">
        <f t="shared" si="366"/>
        <v/>
      </c>
      <c r="C4720" t="str">
        <f t="shared" si="367"/>
        <v/>
      </c>
      <c r="D4720" t="str">
        <f>IF(E4720="","",IF(COUNTIF($E$2:E4720,E4720)&gt;1,"",SUMIFS(tbl_input[필요수량],tbl_input[집계키_지청],E4720)))</f>
        <v/>
      </c>
      <c r="E4720" t="str">
        <f>IFERROR(INDEX(tbl_input[집계키_지청],ROW()-1),"")</f>
        <v/>
      </c>
      <c r="F4720" t="str">
        <f t="shared" si="368"/>
        <v/>
      </c>
      <c r="G4720" t="str">
        <f t="shared" si="369"/>
        <v/>
      </c>
    </row>
    <row r="4721" spans="1:7" x14ac:dyDescent="0.4">
      <c r="A4721" t="str">
        <f t="shared" si="365"/>
        <v/>
      </c>
      <c r="B4721" t="str">
        <f t="shared" si="366"/>
        <v/>
      </c>
      <c r="C4721" t="str">
        <f t="shared" si="367"/>
        <v/>
      </c>
      <c r="D4721" t="str">
        <f>IF(E4721="","",IF(COUNTIF($E$2:E4721,E4721)&gt;1,"",SUMIFS(tbl_input[필요수량],tbl_input[집계키_지청],E4721)))</f>
        <v/>
      </c>
      <c r="E4721" t="str">
        <f>IFERROR(INDEX(tbl_input[집계키_지청],ROW()-1),"")</f>
        <v/>
      </c>
      <c r="F4721" t="str">
        <f t="shared" si="368"/>
        <v/>
      </c>
      <c r="G4721" t="str">
        <f t="shared" si="369"/>
        <v/>
      </c>
    </row>
    <row r="4722" spans="1:7" x14ac:dyDescent="0.4">
      <c r="A4722" t="str">
        <f t="shared" si="365"/>
        <v/>
      </c>
      <c r="B4722" t="str">
        <f t="shared" si="366"/>
        <v/>
      </c>
      <c r="C4722" t="str">
        <f t="shared" si="367"/>
        <v/>
      </c>
      <c r="D4722" t="str">
        <f>IF(E4722="","",IF(COUNTIF($E$2:E4722,E4722)&gt;1,"",SUMIFS(tbl_input[필요수량],tbl_input[집계키_지청],E4722)))</f>
        <v/>
      </c>
      <c r="E4722" t="str">
        <f>IFERROR(INDEX(tbl_input[집계키_지청],ROW()-1),"")</f>
        <v/>
      </c>
      <c r="F4722" t="str">
        <f t="shared" si="368"/>
        <v/>
      </c>
      <c r="G4722" t="str">
        <f t="shared" si="369"/>
        <v/>
      </c>
    </row>
    <row r="4723" spans="1:7" x14ac:dyDescent="0.4">
      <c r="A4723" t="str">
        <f t="shared" si="365"/>
        <v/>
      </c>
      <c r="B4723" t="str">
        <f t="shared" si="366"/>
        <v/>
      </c>
      <c r="C4723" t="str">
        <f t="shared" si="367"/>
        <v/>
      </c>
      <c r="D4723" t="str">
        <f>IF(E4723="","",IF(COUNTIF($E$2:E4723,E4723)&gt;1,"",SUMIFS(tbl_input[필요수량],tbl_input[집계키_지청],E4723)))</f>
        <v/>
      </c>
      <c r="E4723" t="str">
        <f>IFERROR(INDEX(tbl_input[집계키_지청],ROW()-1),"")</f>
        <v/>
      </c>
      <c r="F4723" t="str">
        <f t="shared" si="368"/>
        <v/>
      </c>
      <c r="G4723" t="str">
        <f t="shared" si="369"/>
        <v/>
      </c>
    </row>
    <row r="4724" spans="1:7" x14ac:dyDescent="0.4">
      <c r="A4724" t="str">
        <f t="shared" si="365"/>
        <v/>
      </c>
      <c r="B4724" t="str">
        <f t="shared" si="366"/>
        <v/>
      </c>
      <c r="C4724" t="str">
        <f t="shared" si="367"/>
        <v/>
      </c>
      <c r="D4724" t="str">
        <f>IF(E4724="","",IF(COUNTIF($E$2:E4724,E4724)&gt;1,"",SUMIFS(tbl_input[필요수량],tbl_input[집계키_지청],E4724)))</f>
        <v/>
      </c>
      <c r="E4724" t="str">
        <f>IFERROR(INDEX(tbl_input[집계키_지청],ROW()-1),"")</f>
        <v/>
      </c>
      <c r="F4724" t="str">
        <f t="shared" si="368"/>
        <v/>
      </c>
      <c r="G4724" t="str">
        <f t="shared" si="369"/>
        <v/>
      </c>
    </row>
    <row r="4725" spans="1:7" x14ac:dyDescent="0.4">
      <c r="A4725" t="str">
        <f t="shared" si="365"/>
        <v/>
      </c>
      <c r="B4725" t="str">
        <f t="shared" si="366"/>
        <v/>
      </c>
      <c r="C4725" t="str">
        <f t="shared" si="367"/>
        <v/>
      </c>
      <c r="D4725" t="str">
        <f>IF(E4725="","",IF(COUNTIF($E$2:E4725,E4725)&gt;1,"",SUMIFS(tbl_input[필요수량],tbl_input[집계키_지청],E4725)))</f>
        <v/>
      </c>
      <c r="E4725" t="str">
        <f>IFERROR(INDEX(tbl_input[집계키_지청],ROW()-1),"")</f>
        <v/>
      </c>
      <c r="F4725" t="str">
        <f t="shared" si="368"/>
        <v/>
      </c>
      <c r="G4725" t="str">
        <f t="shared" si="369"/>
        <v/>
      </c>
    </row>
    <row r="4726" spans="1:7" x14ac:dyDescent="0.4">
      <c r="A4726" t="str">
        <f t="shared" si="365"/>
        <v/>
      </c>
      <c r="B4726" t="str">
        <f t="shared" si="366"/>
        <v/>
      </c>
      <c r="C4726" t="str">
        <f t="shared" si="367"/>
        <v/>
      </c>
      <c r="D4726" t="str">
        <f>IF(E4726="","",IF(COUNTIF($E$2:E4726,E4726)&gt;1,"",SUMIFS(tbl_input[필요수량],tbl_input[집계키_지청],E4726)))</f>
        <v/>
      </c>
      <c r="E4726" t="str">
        <f>IFERROR(INDEX(tbl_input[집계키_지청],ROW()-1),"")</f>
        <v/>
      </c>
      <c r="F4726" t="str">
        <f t="shared" si="368"/>
        <v/>
      </c>
      <c r="G4726" t="str">
        <f t="shared" si="369"/>
        <v/>
      </c>
    </row>
    <row r="4727" spans="1:7" x14ac:dyDescent="0.4">
      <c r="A4727" t="str">
        <f t="shared" si="365"/>
        <v/>
      </c>
      <c r="B4727" t="str">
        <f t="shared" si="366"/>
        <v/>
      </c>
      <c r="C4727" t="str">
        <f t="shared" si="367"/>
        <v/>
      </c>
      <c r="D4727" t="str">
        <f>IF(E4727="","",IF(COUNTIF($E$2:E4727,E4727)&gt;1,"",SUMIFS(tbl_input[필요수량],tbl_input[집계키_지청],E4727)))</f>
        <v/>
      </c>
      <c r="E4727" t="str">
        <f>IFERROR(INDEX(tbl_input[집계키_지청],ROW()-1),"")</f>
        <v/>
      </c>
      <c r="F4727" t="str">
        <f t="shared" si="368"/>
        <v/>
      </c>
      <c r="G4727" t="str">
        <f t="shared" si="369"/>
        <v/>
      </c>
    </row>
    <row r="4728" spans="1:7" x14ac:dyDescent="0.4">
      <c r="A4728" t="str">
        <f t="shared" si="365"/>
        <v/>
      </c>
      <c r="B4728" t="str">
        <f t="shared" si="366"/>
        <v/>
      </c>
      <c r="C4728" t="str">
        <f t="shared" si="367"/>
        <v/>
      </c>
      <c r="D4728" t="str">
        <f>IF(E4728="","",IF(COUNTIF($E$2:E4728,E4728)&gt;1,"",SUMIFS(tbl_input[필요수량],tbl_input[집계키_지청],E4728)))</f>
        <v/>
      </c>
      <c r="E4728" t="str">
        <f>IFERROR(INDEX(tbl_input[집계키_지청],ROW()-1),"")</f>
        <v/>
      </c>
      <c r="F4728" t="str">
        <f t="shared" si="368"/>
        <v/>
      </c>
      <c r="G4728" t="str">
        <f t="shared" si="369"/>
        <v/>
      </c>
    </row>
    <row r="4729" spans="1:7" x14ac:dyDescent="0.4">
      <c r="A4729" t="str">
        <f t="shared" si="365"/>
        <v/>
      </c>
      <c r="B4729" t="str">
        <f t="shared" si="366"/>
        <v/>
      </c>
      <c r="C4729" t="str">
        <f t="shared" si="367"/>
        <v/>
      </c>
      <c r="D4729" t="str">
        <f>IF(E4729="","",IF(COUNTIF($E$2:E4729,E4729)&gt;1,"",SUMIFS(tbl_input[필요수량],tbl_input[집계키_지청],E4729)))</f>
        <v/>
      </c>
      <c r="E4729" t="str">
        <f>IFERROR(INDEX(tbl_input[집계키_지청],ROW()-1),"")</f>
        <v/>
      </c>
      <c r="F4729" t="str">
        <f t="shared" si="368"/>
        <v/>
      </c>
      <c r="G4729" t="str">
        <f t="shared" si="369"/>
        <v/>
      </c>
    </row>
    <row r="4730" spans="1:7" x14ac:dyDescent="0.4">
      <c r="A4730" t="str">
        <f t="shared" si="365"/>
        <v/>
      </c>
      <c r="B4730" t="str">
        <f t="shared" si="366"/>
        <v/>
      </c>
      <c r="C4730" t="str">
        <f t="shared" si="367"/>
        <v/>
      </c>
      <c r="D4730" t="str">
        <f>IF(E4730="","",IF(COUNTIF($E$2:E4730,E4730)&gt;1,"",SUMIFS(tbl_input[필요수량],tbl_input[집계키_지청],E4730)))</f>
        <v/>
      </c>
      <c r="E4730" t="str">
        <f>IFERROR(INDEX(tbl_input[집계키_지청],ROW()-1),"")</f>
        <v/>
      </c>
      <c r="F4730" t="str">
        <f t="shared" si="368"/>
        <v/>
      </c>
      <c r="G4730" t="str">
        <f t="shared" si="369"/>
        <v/>
      </c>
    </row>
    <row r="4731" spans="1:7" x14ac:dyDescent="0.4">
      <c r="A4731" t="str">
        <f t="shared" si="365"/>
        <v/>
      </c>
      <c r="B4731" t="str">
        <f t="shared" si="366"/>
        <v/>
      </c>
      <c r="C4731" t="str">
        <f t="shared" si="367"/>
        <v/>
      </c>
      <c r="D4731" t="str">
        <f>IF(E4731="","",IF(COUNTIF($E$2:E4731,E4731)&gt;1,"",SUMIFS(tbl_input[필요수량],tbl_input[집계키_지청],E4731)))</f>
        <v/>
      </c>
      <c r="E4731" t="str">
        <f>IFERROR(INDEX(tbl_input[집계키_지청],ROW()-1),"")</f>
        <v/>
      </c>
      <c r="F4731" t="str">
        <f t="shared" si="368"/>
        <v/>
      </c>
      <c r="G4731" t="str">
        <f t="shared" si="369"/>
        <v/>
      </c>
    </row>
    <row r="4732" spans="1:7" x14ac:dyDescent="0.4">
      <c r="A4732" t="str">
        <f t="shared" si="365"/>
        <v/>
      </c>
      <c r="B4732" t="str">
        <f t="shared" si="366"/>
        <v/>
      </c>
      <c r="C4732" t="str">
        <f t="shared" si="367"/>
        <v/>
      </c>
      <c r="D4732" t="str">
        <f>IF(E4732="","",IF(COUNTIF($E$2:E4732,E4732)&gt;1,"",SUMIFS(tbl_input[필요수량],tbl_input[집계키_지청],E4732)))</f>
        <v/>
      </c>
      <c r="E4732" t="str">
        <f>IFERROR(INDEX(tbl_input[집계키_지청],ROW()-1),"")</f>
        <v/>
      </c>
      <c r="F4732" t="str">
        <f t="shared" si="368"/>
        <v/>
      </c>
      <c r="G4732" t="str">
        <f t="shared" si="369"/>
        <v/>
      </c>
    </row>
    <row r="4733" spans="1:7" x14ac:dyDescent="0.4">
      <c r="A4733" t="str">
        <f t="shared" si="365"/>
        <v/>
      </c>
      <c r="B4733" t="str">
        <f t="shared" si="366"/>
        <v/>
      </c>
      <c r="C4733" t="str">
        <f t="shared" si="367"/>
        <v/>
      </c>
      <c r="D4733" t="str">
        <f>IF(E4733="","",IF(COUNTIF($E$2:E4733,E4733)&gt;1,"",SUMIFS(tbl_input[필요수량],tbl_input[집계키_지청],E4733)))</f>
        <v/>
      </c>
      <c r="E4733" t="str">
        <f>IFERROR(INDEX(tbl_input[집계키_지청],ROW()-1),"")</f>
        <v/>
      </c>
      <c r="F4733" t="str">
        <f t="shared" si="368"/>
        <v/>
      </c>
      <c r="G4733" t="str">
        <f t="shared" si="369"/>
        <v/>
      </c>
    </row>
    <row r="4734" spans="1:7" x14ac:dyDescent="0.4">
      <c r="A4734" t="str">
        <f t="shared" si="365"/>
        <v/>
      </c>
      <c r="B4734" t="str">
        <f t="shared" si="366"/>
        <v/>
      </c>
      <c r="C4734" t="str">
        <f t="shared" si="367"/>
        <v/>
      </c>
      <c r="D4734" t="str">
        <f>IF(E4734="","",IF(COUNTIF($E$2:E4734,E4734)&gt;1,"",SUMIFS(tbl_input[필요수량],tbl_input[집계키_지청],E4734)))</f>
        <v/>
      </c>
      <c r="E4734" t="str">
        <f>IFERROR(INDEX(tbl_input[집계키_지청],ROW()-1),"")</f>
        <v/>
      </c>
      <c r="F4734" t="str">
        <f t="shared" si="368"/>
        <v/>
      </c>
      <c r="G4734" t="str">
        <f t="shared" si="369"/>
        <v/>
      </c>
    </row>
    <row r="4735" spans="1:7" x14ac:dyDescent="0.4">
      <c r="A4735" t="str">
        <f t="shared" si="365"/>
        <v/>
      </c>
      <c r="B4735" t="str">
        <f t="shared" si="366"/>
        <v/>
      </c>
      <c r="C4735" t="str">
        <f t="shared" si="367"/>
        <v/>
      </c>
      <c r="D4735" t="str">
        <f>IF(E4735="","",IF(COUNTIF($E$2:E4735,E4735)&gt;1,"",SUMIFS(tbl_input[필요수량],tbl_input[집계키_지청],E4735)))</f>
        <v/>
      </c>
      <c r="E4735" t="str">
        <f>IFERROR(INDEX(tbl_input[집계키_지청],ROW()-1),"")</f>
        <v/>
      </c>
      <c r="F4735" t="str">
        <f t="shared" si="368"/>
        <v/>
      </c>
      <c r="G4735" t="str">
        <f t="shared" si="369"/>
        <v/>
      </c>
    </row>
    <row r="4736" spans="1:7" x14ac:dyDescent="0.4">
      <c r="A4736" t="str">
        <f t="shared" si="365"/>
        <v/>
      </c>
      <c r="B4736" t="str">
        <f t="shared" si="366"/>
        <v/>
      </c>
      <c r="C4736" t="str">
        <f t="shared" si="367"/>
        <v/>
      </c>
      <c r="D4736" t="str">
        <f>IF(E4736="","",IF(COUNTIF($E$2:E4736,E4736)&gt;1,"",SUMIFS(tbl_input[필요수량],tbl_input[집계키_지청],E4736)))</f>
        <v/>
      </c>
      <c r="E4736" t="str">
        <f>IFERROR(INDEX(tbl_input[집계키_지청],ROW()-1),"")</f>
        <v/>
      </c>
      <c r="F4736" t="str">
        <f t="shared" si="368"/>
        <v/>
      </c>
      <c r="G4736" t="str">
        <f t="shared" si="369"/>
        <v/>
      </c>
    </row>
    <row r="4737" spans="1:7" x14ac:dyDescent="0.4">
      <c r="A4737" t="str">
        <f t="shared" si="365"/>
        <v/>
      </c>
      <c r="B4737" t="str">
        <f t="shared" si="366"/>
        <v/>
      </c>
      <c r="C4737" t="str">
        <f t="shared" si="367"/>
        <v/>
      </c>
      <c r="D4737" t="str">
        <f>IF(E4737="","",IF(COUNTIF($E$2:E4737,E4737)&gt;1,"",SUMIFS(tbl_input[필요수량],tbl_input[집계키_지청],E4737)))</f>
        <v/>
      </c>
      <c r="E4737" t="str">
        <f>IFERROR(INDEX(tbl_input[집계키_지청],ROW()-1),"")</f>
        <v/>
      </c>
      <c r="F4737" t="str">
        <f t="shared" si="368"/>
        <v/>
      </c>
      <c r="G4737" t="str">
        <f t="shared" si="369"/>
        <v/>
      </c>
    </row>
    <row r="4738" spans="1:7" x14ac:dyDescent="0.4">
      <c r="A4738" t="str">
        <f t="shared" ref="A4738:A4801" si="370">IF(E4738="","",LEFT(E4738,F4738-1))</f>
        <v/>
      </c>
      <c r="B4738" t="str">
        <f t="shared" ref="B4738:B4801" si="371">IF(E4738="","",MID(E4738,F4738+1,G4738-F4738-1))</f>
        <v/>
      </c>
      <c r="C4738" t="str">
        <f t="shared" ref="C4738:C4801" si="372">IF(E4738="","",MID(E4738,G4738+1,999))</f>
        <v/>
      </c>
      <c r="D4738" t="str">
        <f>IF(E4738="","",IF(COUNTIF($E$2:E4738,E4738)&gt;1,"",SUMIFS(tbl_input[필요수량],tbl_input[집계키_지청],E4738)))</f>
        <v/>
      </c>
      <c r="E4738" t="str">
        <f>IFERROR(INDEX(tbl_input[집계키_지청],ROW()-1),"")</f>
        <v/>
      </c>
      <c r="F4738" t="str">
        <f t="shared" ref="F4738:F4801" si="373">IF(E4738="","",FIND("♦",E4738))</f>
        <v/>
      </c>
      <c r="G4738" t="str">
        <f t="shared" ref="G4738:G4801" si="374">IF(E4738="","",FIND("♦",E4738,F4738+1))</f>
        <v/>
      </c>
    </row>
    <row r="4739" spans="1:7" x14ac:dyDescent="0.4">
      <c r="A4739" t="str">
        <f t="shared" si="370"/>
        <v/>
      </c>
      <c r="B4739" t="str">
        <f t="shared" si="371"/>
        <v/>
      </c>
      <c r="C4739" t="str">
        <f t="shared" si="372"/>
        <v/>
      </c>
      <c r="D4739" t="str">
        <f>IF(E4739="","",IF(COUNTIF($E$2:E4739,E4739)&gt;1,"",SUMIFS(tbl_input[필요수량],tbl_input[집계키_지청],E4739)))</f>
        <v/>
      </c>
      <c r="E4739" t="str">
        <f>IFERROR(INDEX(tbl_input[집계키_지청],ROW()-1),"")</f>
        <v/>
      </c>
      <c r="F4739" t="str">
        <f t="shared" si="373"/>
        <v/>
      </c>
      <c r="G4739" t="str">
        <f t="shared" si="374"/>
        <v/>
      </c>
    </row>
    <row r="4740" spans="1:7" x14ac:dyDescent="0.4">
      <c r="A4740" t="str">
        <f t="shared" si="370"/>
        <v/>
      </c>
      <c r="B4740" t="str">
        <f t="shared" si="371"/>
        <v/>
      </c>
      <c r="C4740" t="str">
        <f t="shared" si="372"/>
        <v/>
      </c>
      <c r="D4740" t="str">
        <f>IF(E4740="","",IF(COUNTIF($E$2:E4740,E4740)&gt;1,"",SUMIFS(tbl_input[필요수량],tbl_input[집계키_지청],E4740)))</f>
        <v/>
      </c>
      <c r="E4740" t="str">
        <f>IFERROR(INDEX(tbl_input[집계키_지청],ROW()-1),"")</f>
        <v/>
      </c>
      <c r="F4740" t="str">
        <f t="shared" si="373"/>
        <v/>
      </c>
      <c r="G4740" t="str">
        <f t="shared" si="374"/>
        <v/>
      </c>
    </row>
    <row r="4741" spans="1:7" x14ac:dyDescent="0.4">
      <c r="A4741" t="str">
        <f t="shared" si="370"/>
        <v/>
      </c>
      <c r="B4741" t="str">
        <f t="shared" si="371"/>
        <v/>
      </c>
      <c r="C4741" t="str">
        <f t="shared" si="372"/>
        <v/>
      </c>
      <c r="D4741" t="str">
        <f>IF(E4741="","",IF(COUNTIF($E$2:E4741,E4741)&gt;1,"",SUMIFS(tbl_input[필요수량],tbl_input[집계키_지청],E4741)))</f>
        <v/>
      </c>
      <c r="E4741" t="str">
        <f>IFERROR(INDEX(tbl_input[집계키_지청],ROW()-1),"")</f>
        <v/>
      </c>
      <c r="F4741" t="str">
        <f t="shared" si="373"/>
        <v/>
      </c>
      <c r="G4741" t="str">
        <f t="shared" si="374"/>
        <v/>
      </c>
    </row>
    <row r="4742" spans="1:7" x14ac:dyDescent="0.4">
      <c r="A4742" t="str">
        <f t="shared" si="370"/>
        <v/>
      </c>
      <c r="B4742" t="str">
        <f t="shared" si="371"/>
        <v/>
      </c>
      <c r="C4742" t="str">
        <f t="shared" si="372"/>
        <v/>
      </c>
      <c r="D4742" t="str">
        <f>IF(E4742="","",IF(COUNTIF($E$2:E4742,E4742)&gt;1,"",SUMIFS(tbl_input[필요수량],tbl_input[집계키_지청],E4742)))</f>
        <v/>
      </c>
      <c r="E4742" t="str">
        <f>IFERROR(INDEX(tbl_input[집계키_지청],ROW()-1),"")</f>
        <v/>
      </c>
      <c r="F4742" t="str">
        <f t="shared" si="373"/>
        <v/>
      </c>
      <c r="G4742" t="str">
        <f t="shared" si="374"/>
        <v/>
      </c>
    </row>
    <row r="4743" spans="1:7" x14ac:dyDescent="0.4">
      <c r="A4743" t="str">
        <f t="shared" si="370"/>
        <v/>
      </c>
      <c r="B4743" t="str">
        <f t="shared" si="371"/>
        <v/>
      </c>
      <c r="C4743" t="str">
        <f t="shared" si="372"/>
        <v/>
      </c>
      <c r="D4743" t="str">
        <f>IF(E4743="","",IF(COUNTIF($E$2:E4743,E4743)&gt;1,"",SUMIFS(tbl_input[필요수량],tbl_input[집계키_지청],E4743)))</f>
        <v/>
      </c>
      <c r="E4743" t="str">
        <f>IFERROR(INDEX(tbl_input[집계키_지청],ROW()-1),"")</f>
        <v/>
      </c>
      <c r="F4743" t="str">
        <f t="shared" si="373"/>
        <v/>
      </c>
      <c r="G4743" t="str">
        <f t="shared" si="374"/>
        <v/>
      </c>
    </row>
    <row r="4744" spans="1:7" x14ac:dyDescent="0.4">
      <c r="A4744" t="str">
        <f t="shared" si="370"/>
        <v/>
      </c>
      <c r="B4744" t="str">
        <f t="shared" si="371"/>
        <v/>
      </c>
      <c r="C4744" t="str">
        <f t="shared" si="372"/>
        <v/>
      </c>
      <c r="D4744" t="str">
        <f>IF(E4744="","",IF(COUNTIF($E$2:E4744,E4744)&gt;1,"",SUMIFS(tbl_input[필요수량],tbl_input[집계키_지청],E4744)))</f>
        <v/>
      </c>
      <c r="E4744" t="str">
        <f>IFERROR(INDEX(tbl_input[집계키_지청],ROW()-1),"")</f>
        <v/>
      </c>
      <c r="F4744" t="str">
        <f t="shared" si="373"/>
        <v/>
      </c>
      <c r="G4744" t="str">
        <f t="shared" si="374"/>
        <v/>
      </c>
    </row>
    <row r="4745" spans="1:7" x14ac:dyDescent="0.4">
      <c r="A4745" t="str">
        <f t="shared" si="370"/>
        <v/>
      </c>
      <c r="B4745" t="str">
        <f t="shared" si="371"/>
        <v/>
      </c>
      <c r="C4745" t="str">
        <f t="shared" si="372"/>
        <v/>
      </c>
      <c r="D4745" t="str">
        <f>IF(E4745="","",IF(COUNTIF($E$2:E4745,E4745)&gt;1,"",SUMIFS(tbl_input[필요수량],tbl_input[집계키_지청],E4745)))</f>
        <v/>
      </c>
      <c r="E4745" t="str">
        <f>IFERROR(INDEX(tbl_input[집계키_지청],ROW()-1),"")</f>
        <v/>
      </c>
      <c r="F4745" t="str">
        <f t="shared" si="373"/>
        <v/>
      </c>
      <c r="G4745" t="str">
        <f t="shared" si="374"/>
        <v/>
      </c>
    </row>
    <row r="4746" spans="1:7" x14ac:dyDescent="0.4">
      <c r="A4746" t="str">
        <f t="shared" si="370"/>
        <v/>
      </c>
      <c r="B4746" t="str">
        <f t="shared" si="371"/>
        <v/>
      </c>
      <c r="C4746" t="str">
        <f t="shared" si="372"/>
        <v/>
      </c>
      <c r="D4746" t="str">
        <f>IF(E4746="","",IF(COUNTIF($E$2:E4746,E4746)&gt;1,"",SUMIFS(tbl_input[필요수량],tbl_input[집계키_지청],E4746)))</f>
        <v/>
      </c>
      <c r="E4746" t="str">
        <f>IFERROR(INDEX(tbl_input[집계키_지청],ROW()-1),"")</f>
        <v/>
      </c>
      <c r="F4746" t="str">
        <f t="shared" si="373"/>
        <v/>
      </c>
      <c r="G4746" t="str">
        <f t="shared" si="374"/>
        <v/>
      </c>
    </row>
    <row r="4747" spans="1:7" x14ac:dyDescent="0.4">
      <c r="A4747" t="str">
        <f t="shared" si="370"/>
        <v/>
      </c>
      <c r="B4747" t="str">
        <f t="shared" si="371"/>
        <v/>
      </c>
      <c r="C4747" t="str">
        <f t="shared" si="372"/>
        <v/>
      </c>
      <c r="D4747" t="str">
        <f>IF(E4747="","",IF(COUNTIF($E$2:E4747,E4747)&gt;1,"",SUMIFS(tbl_input[필요수량],tbl_input[집계키_지청],E4747)))</f>
        <v/>
      </c>
      <c r="E4747" t="str">
        <f>IFERROR(INDEX(tbl_input[집계키_지청],ROW()-1),"")</f>
        <v/>
      </c>
      <c r="F4747" t="str">
        <f t="shared" si="373"/>
        <v/>
      </c>
      <c r="G4747" t="str">
        <f t="shared" si="374"/>
        <v/>
      </c>
    </row>
    <row r="4748" spans="1:7" x14ac:dyDescent="0.4">
      <c r="A4748" t="str">
        <f t="shared" si="370"/>
        <v/>
      </c>
      <c r="B4748" t="str">
        <f t="shared" si="371"/>
        <v/>
      </c>
      <c r="C4748" t="str">
        <f t="shared" si="372"/>
        <v/>
      </c>
      <c r="D4748" t="str">
        <f>IF(E4748="","",IF(COUNTIF($E$2:E4748,E4748)&gt;1,"",SUMIFS(tbl_input[필요수량],tbl_input[집계키_지청],E4748)))</f>
        <v/>
      </c>
      <c r="E4748" t="str">
        <f>IFERROR(INDEX(tbl_input[집계키_지청],ROW()-1),"")</f>
        <v/>
      </c>
      <c r="F4748" t="str">
        <f t="shared" si="373"/>
        <v/>
      </c>
      <c r="G4748" t="str">
        <f t="shared" si="374"/>
        <v/>
      </c>
    </row>
    <row r="4749" spans="1:7" x14ac:dyDescent="0.4">
      <c r="A4749" t="str">
        <f t="shared" si="370"/>
        <v/>
      </c>
      <c r="B4749" t="str">
        <f t="shared" si="371"/>
        <v/>
      </c>
      <c r="C4749" t="str">
        <f t="shared" si="372"/>
        <v/>
      </c>
      <c r="D4749" t="str">
        <f>IF(E4749="","",IF(COUNTIF($E$2:E4749,E4749)&gt;1,"",SUMIFS(tbl_input[필요수량],tbl_input[집계키_지청],E4749)))</f>
        <v/>
      </c>
      <c r="E4749" t="str">
        <f>IFERROR(INDEX(tbl_input[집계키_지청],ROW()-1),"")</f>
        <v/>
      </c>
      <c r="F4749" t="str">
        <f t="shared" si="373"/>
        <v/>
      </c>
      <c r="G4749" t="str">
        <f t="shared" si="374"/>
        <v/>
      </c>
    </row>
    <row r="4750" spans="1:7" x14ac:dyDescent="0.4">
      <c r="A4750" t="str">
        <f t="shared" si="370"/>
        <v/>
      </c>
      <c r="B4750" t="str">
        <f t="shared" si="371"/>
        <v/>
      </c>
      <c r="C4750" t="str">
        <f t="shared" si="372"/>
        <v/>
      </c>
      <c r="D4750" t="str">
        <f>IF(E4750="","",IF(COUNTIF($E$2:E4750,E4750)&gt;1,"",SUMIFS(tbl_input[필요수량],tbl_input[집계키_지청],E4750)))</f>
        <v/>
      </c>
      <c r="E4750" t="str">
        <f>IFERROR(INDEX(tbl_input[집계키_지청],ROW()-1),"")</f>
        <v/>
      </c>
      <c r="F4750" t="str">
        <f t="shared" si="373"/>
        <v/>
      </c>
      <c r="G4750" t="str">
        <f t="shared" si="374"/>
        <v/>
      </c>
    </row>
    <row r="4751" spans="1:7" x14ac:dyDescent="0.4">
      <c r="A4751" t="str">
        <f t="shared" si="370"/>
        <v/>
      </c>
      <c r="B4751" t="str">
        <f t="shared" si="371"/>
        <v/>
      </c>
      <c r="C4751" t="str">
        <f t="shared" si="372"/>
        <v/>
      </c>
      <c r="D4751" t="str">
        <f>IF(E4751="","",IF(COUNTIF($E$2:E4751,E4751)&gt;1,"",SUMIFS(tbl_input[필요수량],tbl_input[집계키_지청],E4751)))</f>
        <v/>
      </c>
      <c r="E4751" t="str">
        <f>IFERROR(INDEX(tbl_input[집계키_지청],ROW()-1),"")</f>
        <v/>
      </c>
      <c r="F4751" t="str">
        <f t="shared" si="373"/>
        <v/>
      </c>
      <c r="G4751" t="str">
        <f t="shared" si="374"/>
        <v/>
      </c>
    </row>
    <row r="4752" spans="1:7" x14ac:dyDescent="0.4">
      <c r="A4752" t="str">
        <f t="shared" si="370"/>
        <v/>
      </c>
      <c r="B4752" t="str">
        <f t="shared" si="371"/>
        <v/>
      </c>
      <c r="C4752" t="str">
        <f t="shared" si="372"/>
        <v/>
      </c>
      <c r="D4752" t="str">
        <f>IF(E4752="","",IF(COUNTIF($E$2:E4752,E4752)&gt;1,"",SUMIFS(tbl_input[필요수량],tbl_input[집계키_지청],E4752)))</f>
        <v/>
      </c>
      <c r="E4752" t="str">
        <f>IFERROR(INDEX(tbl_input[집계키_지청],ROW()-1),"")</f>
        <v/>
      </c>
      <c r="F4752" t="str">
        <f t="shared" si="373"/>
        <v/>
      </c>
      <c r="G4752" t="str">
        <f t="shared" si="374"/>
        <v/>
      </c>
    </row>
    <row r="4753" spans="1:7" x14ac:dyDescent="0.4">
      <c r="A4753" t="str">
        <f t="shared" si="370"/>
        <v/>
      </c>
      <c r="B4753" t="str">
        <f t="shared" si="371"/>
        <v/>
      </c>
      <c r="C4753" t="str">
        <f t="shared" si="372"/>
        <v/>
      </c>
      <c r="D4753" t="str">
        <f>IF(E4753="","",IF(COUNTIF($E$2:E4753,E4753)&gt;1,"",SUMIFS(tbl_input[필요수량],tbl_input[집계키_지청],E4753)))</f>
        <v/>
      </c>
      <c r="E4753" t="str">
        <f>IFERROR(INDEX(tbl_input[집계키_지청],ROW()-1),"")</f>
        <v/>
      </c>
      <c r="F4753" t="str">
        <f t="shared" si="373"/>
        <v/>
      </c>
      <c r="G4753" t="str">
        <f t="shared" si="374"/>
        <v/>
      </c>
    </row>
    <row r="4754" spans="1:7" x14ac:dyDescent="0.4">
      <c r="A4754" t="str">
        <f t="shared" si="370"/>
        <v/>
      </c>
      <c r="B4754" t="str">
        <f t="shared" si="371"/>
        <v/>
      </c>
      <c r="C4754" t="str">
        <f t="shared" si="372"/>
        <v/>
      </c>
      <c r="D4754" t="str">
        <f>IF(E4754="","",IF(COUNTIF($E$2:E4754,E4754)&gt;1,"",SUMIFS(tbl_input[필요수량],tbl_input[집계키_지청],E4754)))</f>
        <v/>
      </c>
      <c r="E4754" t="str">
        <f>IFERROR(INDEX(tbl_input[집계키_지청],ROW()-1),"")</f>
        <v/>
      </c>
      <c r="F4754" t="str">
        <f t="shared" si="373"/>
        <v/>
      </c>
      <c r="G4754" t="str">
        <f t="shared" si="374"/>
        <v/>
      </c>
    </row>
    <row r="4755" spans="1:7" x14ac:dyDescent="0.4">
      <c r="A4755" t="str">
        <f t="shared" si="370"/>
        <v/>
      </c>
      <c r="B4755" t="str">
        <f t="shared" si="371"/>
        <v/>
      </c>
      <c r="C4755" t="str">
        <f t="shared" si="372"/>
        <v/>
      </c>
      <c r="D4755" t="str">
        <f>IF(E4755="","",IF(COUNTIF($E$2:E4755,E4755)&gt;1,"",SUMIFS(tbl_input[필요수량],tbl_input[집계키_지청],E4755)))</f>
        <v/>
      </c>
      <c r="E4755" t="str">
        <f>IFERROR(INDEX(tbl_input[집계키_지청],ROW()-1),"")</f>
        <v/>
      </c>
      <c r="F4755" t="str">
        <f t="shared" si="373"/>
        <v/>
      </c>
      <c r="G4755" t="str">
        <f t="shared" si="374"/>
        <v/>
      </c>
    </row>
    <row r="4756" spans="1:7" x14ac:dyDescent="0.4">
      <c r="A4756" t="str">
        <f t="shared" si="370"/>
        <v/>
      </c>
      <c r="B4756" t="str">
        <f t="shared" si="371"/>
        <v/>
      </c>
      <c r="C4756" t="str">
        <f t="shared" si="372"/>
        <v/>
      </c>
      <c r="D4756" t="str">
        <f>IF(E4756="","",IF(COUNTIF($E$2:E4756,E4756)&gt;1,"",SUMIFS(tbl_input[필요수량],tbl_input[집계키_지청],E4756)))</f>
        <v/>
      </c>
      <c r="E4756" t="str">
        <f>IFERROR(INDEX(tbl_input[집계키_지청],ROW()-1),"")</f>
        <v/>
      </c>
      <c r="F4756" t="str">
        <f t="shared" si="373"/>
        <v/>
      </c>
      <c r="G4756" t="str">
        <f t="shared" si="374"/>
        <v/>
      </c>
    </row>
    <row r="4757" spans="1:7" x14ac:dyDescent="0.4">
      <c r="A4757" t="str">
        <f t="shared" si="370"/>
        <v/>
      </c>
      <c r="B4757" t="str">
        <f t="shared" si="371"/>
        <v/>
      </c>
      <c r="C4757" t="str">
        <f t="shared" si="372"/>
        <v/>
      </c>
      <c r="D4757" t="str">
        <f>IF(E4757="","",IF(COUNTIF($E$2:E4757,E4757)&gt;1,"",SUMIFS(tbl_input[필요수량],tbl_input[집계키_지청],E4757)))</f>
        <v/>
      </c>
      <c r="E4757" t="str">
        <f>IFERROR(INDEX(tbl_input[집계키_지청],ROW()-1),"")</f>
        <v/>
      </c>
      <c r="F4757" t="str">
        <f t="shared" si="373"/>
        <v/>
      </c>
      <c r="G4757" t="str">
        <f t="shared" si="374"/>
        <v/>
      </c>
    </row>
    <row r="4758" spans="1:7" x14ac:dyDescent="0.4">
      <c r="A4758" t="str">
        <f t="shared" si="370"/>
        <v/>
      </c>
      <c r="B4758" t="str">
        <f t="shared" si="371"/>
        <v/>
      </c>
      <c r="C4758" t="str">
        <f t="shared" si="372"/>
        <v/>
      </c>
      <c r="D4758" t="str">
        <f>IF(E4758="","",IF(COUNTIF($E$2:E4758,E4758)&gt;1,"",SUMIFS(tbl_input[필요수량],tbl_input[집계키_지청],E4758)))</f>
        <v/>
      </c>
      <c r="E4758" t="str">
        <f>IFERROR(INDEX(tbl_input[집계키_지청],ROW()-1),"")</f>
        <v/>
      </c>
      <c r="F4758" t="str">
        <f t="shared" si="373"/>
        <v/>
      </c>
      <c r="G4758" t="str">
        <f t="shared" si="374"/>
        <v/>
      </c>
    </row>
    <row r="4759" spans="1:7" x14ac:dyDescent="0.4">
      <c r="A4759" t="str">
        <f t="shared" si="370"/>
        <v/>
      </c>
      <c r="B4759" t="str">
        <f t="shared" si="371"/>
        <v/>
      </c>
      <c r="C4759" t="str">
        <f t="shared" si="372"/>
        <v/>
      </c>
      <c r="D4759" t="str">
        <f>IF(E4759="","",IF(COUNTIF($E$2:E4759,E4759)&gt;1,"",SUMIFS(tbl_input[필요수량],tbl_input[집계키_지청],E4759)))</f>
        <v/>
      </c>
      <c r="E4759" t="str">
        <f>IFERROR(INDEX(tbl_input[집계키_지청],ROW()-1),"")</f>
        <v/>
      </c>
      <c r="F4759" t="str">
        <f t="shared" si="373"/>
        <v/>
      </c>
      <c r="G4759" t="str">
        <f t="shared" si="374"/>
        <v/>
      </c>
    </row>
    <row r="4760" spans="1:7" x14ac:dyDescent="0.4">
      <c r="A4760" t="str">
        <f t="shared" si="370"/>
        <v/>
      </c>
      <c r="B4760" t="str">
        <f t="shared" si="371"/>
        <v/>
      </c>
      <c r="C4760" t="str">
        <f t="shared" si="372"/>
        <v/>
      </c>
      <c r="D4760" t="str">
        <f>IF(E4760="","",IF(COUNTIF($E$2:E4760,E4760)&gt;1,"",SUMIFS(tbl_input[필요수량],tbl_input[집계키_지청],E4760)))</f>
        <v/>
      </c>
      <c r="E4760" t="str">
        <f>IFERROR(INDEX(tbl_input[집계키_지청],ROW()-1),"")</f>
        <v/>
      </c>
      <c r="F4760" t="str">
        <f t="shared" si="373"/>
        <v/>
      </c>
      <c r="G4760" t="str">
        <f t="shared" si="374"/>
        <v/>
      </c>
    </row>
    <row r="4761" spans="1:7" x14ac:dyDescent="0.4">
      <c r="A4761" t="str">
        <f t="shared" si="370"/>
        <v/>
      </c>
      <c r="B4761" t="str">
        <f t="shared" si="371"/>
        <v/>
      </c>
      <c r="C4761" t="str">
        <f t="shared" si="372"/>
        <v/>
      </c>
      <c r="D4761" t="str">
        <f>IF(E4761="","",IF(COUNTIF($E$2:E4761,E4761)&gt;1,"",SUMIFS(tbl_input[필요수량],tbl_input[집계키_지청],E4761)))</f>
        <v/>
      </c>
      <c r="E4761" t="str">
        <f>IFERROR(INDEX(tbl_input[집계키_지청],ROW()-1),"")</f>
        <v/>
      </c>
      <c r="F4761" t="str">
        <f t="shared" si="373"/>
        <v/>
      </c>
      <c r="G4761" t="str">
        <f t="shared" si="374"/>
        <v/>
      </c>
    </row>
    <row r="4762" spans="1:7" x14ac:dyDescent="0.4">
      <c r="A4762" t="str">
        <f t="shared" si="370"/>
        <v/>
      </c>
      <c r="B4762" t="str">
        <f t="shared" si="371"/>
        <v/>
      </c>
      <c r="C4762" t="str">
        <f t="shared" si="372"/>
        <v/>
      </c>
      <c r="D4762" t="str">
        <f>IF(E4762="","",IF(COUNTIF($E$2:E4762,E4762)&gt;1,"",SUMIFS(tbl_input[필요수량],tbl_input[집계키_지청],E4762)))</f>
        <v/>
      </c>
      <c r="E4762" t="str">
        <f>IFERROR(INDEX(tbl_input[집계키_지청],ROW()-1),"")</f>
        <v/>
      </c>
      <c r="F4762" t="str">
        <f t="shared" si="373"/>
        <v/>
      </c>
      <c r="G4762" t="str">
        <f t="shared" si="374"/>
        <v/>
      </c>
    </row>
    <row r="4763" spans="1:7" x14ac:dyDescent="0.4">
      <c r="A4763" t="str">
        <f t="shared" si="370"/>
        <v/>
      </c>
      <c r="B4763" t="str">
        <f t="shared" si="371"/>
        <v/>
      </c>
      <c r="C4763" t="str">
        <f t="shared" si="372"/>
        <v/>
      </c>
      <c r="D4763" t="str">
        <f>IF(E4763="","",IF(COUNTIF($E$2:E4763,E4763)&gt;1,"",SUMIFS(tbl_input[필요수량],tbl_input[집계키_지청],E4763)))</f>
        <v/>
      </c>
      <c r="E4763" t="str">
        <f>IFERROR(INDEX(tbl_input[집계키_지청],ROW()-1),"")</f>
        <v/>
      </c>
      <c r="F4763" t="str">
        <f t="shared" si="373"/>
        <v/>
      </c>
      <c r="G4763" t="str">
        <f t="shared" si="374"/>
        <v/>
      </c>
    </row>
    <row r="4764" spans="1:7" x14ac:dyDescent="0.4">
      <c r="A4764" t="str">
        <f t="shared" si="370"/>
        <v/>
      </c>
      <c r="B4764" t="str">
        <f t="shared" si="371"/>
        <v/>
      </c>
      <c r="C4764" t="str">
        <f t="shared" si="372"/>
        <v/>
      </c>
      <c r="D4764" t="str">
        <f>IF(E4764="","",IF(COUNTIF($E$2:E4764,E4764)&gt;1,"",SUMIFS(tbl_input[필요수량],tbl_input[집계키_지청],E4764)))</f>
        <v/>
      </c>
      <c r="E4764" t="str">
        <f>IFERROR(INDEX(tbl_input[집계키_지청],ROW()-1),"")</f>
        <v/>
      </c>
      <c r="F4764" t="str">
        <f t="shared" si="373"/>
        <v/>
      </c>
      <c r="G4764" t="str">
        <f t="shared" si="374"/>
        <v/>
      </c>
    </row>
    <row r="4765" spans="1:7" x14ac:dyDescent="0.4">
      <c r="A4765" t="str">
        <f t="shared" si="370"/>
        <v/>
      </c>
      <c r="B4765" t="str">
        <f t="shared" si="371"/>
        <v/>
      </c>
      <c r="C4765" t="str">
        <f t="shared" si="372"/>
        <v/>
      </c>
      <c r="D4765" t="str">
        <f>IF(E4765="","",IF(COUNTIF($E$2:E4765,E4765)&gt;1,"",SUMIFS(tbl_input[필요수량],tbl_input[집계키_지청],E4765)))</f>
        <v/>
      </c>
      <c r="E4765" t="str">
        <f>IFERROR(INDEX(tbl_input[집계키_지청],ROW()-1),"")</f>
        <v/>
      </c>
      <c r="F4765" t="str">
        <f t="shared" si="373"/>
        <v/>
      </c>
      <c r="G4765" t="str">
        <f t="shared" si="374"/>
        <v/>
      </c>
    </row>
    <row r="4766" spans="1:7" x14ac:dyDescent="0.4">
      <c r="A4766" t="str">
        <f t="shared" si="370"/>
        <v/>
      </c>
      <c r="B4766" t="str">
        <f t="shared" si="371"/>
        <v/>
      </c>
      <c r="C4766" t="str">
        <f t="shared" si="372"/>
        <v/>
      </c>
      <c r="D4766" t="str">
        <f>IF(E4766="","",IF(COUNTIF($E$2:E4766,E4766)&gt;1,"",SUMIFS(tbl_input[필요수량],tbl_input[집계키_지청],E4766)))</f>
        <v/>
      </c>
      <c r="E4766" t="str">
        <f>IFERROR(INDEX(tbl_input[집계키_지청],ROW()-1),"")</f>
        <v/>
      </c>
      <c r="F4766" t="str">
        <f t="shared" si="373"/>
        <v/>
      </c>
      <c r="G4766" t="str">
        <f t="shared" si="374"/>
        <v/>
      </c>
    </row>
    <row r="4767" spans="1:7" x14ac:dyDescent="0.4">
      <c r="A4767" t="str">
        <f t="shared" si="370"/>
        <v/>
      </c>
      <c r="B4767" t="str">
        <f t="shared" si="371"/>
        <v/>
      </c>
      <c r="C4767" t="str">
        <f t="shared" si="372"/>
        <v/>
      </c>
      <c r="D4767" t="str">
        <f>IF(E4767="","",IF(COUNTIF($E$2:E4767,E4767)&gt;1,"",SUMIFS(tbl_input[필요수량],tbl_input[집계키_지청],E4767)))</f>
        <v/>
      </c>
      <c r="E4767" t="str">
        <f>IFERROR(INDEX(tbl_input[집계키_지청],ROW()-1),"")</f>
        <v/>
      </c>
      <c r="F4767" t="str">
        <f t="shared" si="373"/>
        <v/>
      </c>
      <c r="G4767" t="str">
        <f t="shared" si="374"/>
        <v/>
      </c>
    </row>
    <row r="4768" spans="1:7" x14ac:dyDescent="0.4">
      <c r="A4768" t="str">
        <f t="shared" si="370"/>
        <v/>
      </c>
      <c r="B4768" t="str">
        <f t="shared" si="371"/>
        <v/>
      </c>
      <c r="C4768" t="str">
        <f t="shared" si="372"/>
        <v/>
      </c>
      <c r="D4768" t="str">
        <f>IF(E4768="","",IF(COUNTIF($E$2:E4768,E4768)&gt;1,"",SUMIFS(tbl_input[필요수량],tbl_input[집계키_지청],E4768)))</f>
        <v/>
      </c>
      <c r="E4768" t="str">
        <f>IFERROR(INDEX(tbl_input[집계키_지청],ROW()-1),"")</f>
        <v/>
      </c>
      <c r="F4768" t="str">
        <f t="shared" si="373"/>
        <v/>
      </c>
      <c r="G4768" t="str">
        <f t="shared" si="374"/>
        <v/>
      </c>
    </row>
    <row r="4769" spans="1:7" x14ac:dyDescent="0.4">
      <c r="A4769" t="str">
        <f t="shared" si="370"/>
        <v/>
      </c>
      <c r="B4769" t="str">
        <f t="shared" si="371"/>
        <v/>
      </c>
      <c r="C4769" t="str">
        <f t="shared" si="372"/>
        <v/>
      </c>
      <c r="D4769" t="str">
        <f>IF(E4769="","",IF(COUNTIF($E$2:E4769,E4769)&gt;1,"",SUMIFS(tbl_input[필요수량],tbl_input[집계키_지청],E4769)))</f>
        <v/>
      </c>
      <c r="E4769" t="str">
        <f>IFERROR(INDEX(tbl_input[집계키_지청],ROW()-1),"")</f>
        <v/>
      </c>
      <c r="F4769" t="str">
        <f t="shared" si="373"/>
        <v/>
      </c>
      <c r="G4769" t="str">
        <f t="shared" si="374"/>
        <v/>
      </c>
    </row>
    <row r="4770" spans="1:7" x14ac:dyDescent="0.4">
      <c r="A4770" t="str">
        <f t="shared" si="370"/>
        <v/>
      </c>
      <c r="B4770" t="str">
        <f t="shared" si="371"/>
        <v/>
      </c>
      <c r="C4770" t="str">
        <f t="shared" si="372"/>
        <v/>
      </c>
      <c r="D4770" t="str">
        <f>IF(E4770="","",IF(COUNTIF($E$2:E4770,E4770)&gt;1,"",SUMIFS(tbl_input[필요수량],tbl_input[집계키_지청],E4770)))</f>
        <v/>
      </c>
      <c r="E4770" t="str">
        <f>IFERROR(INDEX(tbl_input[집계키_지청],ROW()-1),"")</f>
        <v/>
      </c>
      <c r="F4770" t="str">
        <f t="shared" si="373"/>
        <v/>
      </c>
      <c r="G4770" t="str">
        <f t="shared" si="374"/>
        <v/>
      </c>
    </row>
    <row r="4771" spans="1:7" x14ac:dyDescent="0.4">
      <c r="A4771" t="str">
        <f t="shared" si="370"/>
        <v/>
      </c>
      <c r="B4771" t="str">
        <f t="shared" si="371"/>
        <v/>
      </c>
      <c r="C4771" t="str">
        <f t="shared" si="372"/>
        <v/>
      </c>
      <c r="D4771" t="str">
        <f>IF(E4771="","",IF(COUNTIF($E$2:E4771,E4771)&gt;1,"",SUMIFS(tbl_input[필요수량],tbl_input[집계키_지청],E4771)))</f>
        <v/>
      </c>
      <c r="E4771" t="str">
        <f>IFERROR(INDEX(tbl_input[집계키_지청],ROW()-1),"")</f>
        <v/>
      </c>
      <c r="F4771" t="str">
        <f t="shared" si="373"/>
        <v/>
      </c>
      <c r="G4771" t="str">
        <f t="shared" si="374"/>
        <v/>
      </c>
    </row>
    <row r="4772" spans="1:7" x14ac:dyDescent="0.4">
      <c r="A4772" t="str">
        <f t="shared" si="370"/>
        <v/>
      </c>
      <c r="B4772" t="str">
        <f t="shared" si="371"/>
        <v/>
      </c>
      <c r="C4772" t="str">
        <f t="shared" si="372"/>
        <v/>
      </c>
      <c r="D4772" t="str">
        <f>IF(E4772="","",IF(COUNTIF($E$2:E4772,E4772)&gt;1,"",SUMIFS(tbl_input[필요수량],tbl_input[집계키_지청],E4772)))</f>
        <v/>
      </c>
      <c r="E4772" t="str">
        <f>IFERROR(INDEX(tbl_input[집계키_지청],ROW()-1),"")</f>
        <v/>
      </c>
      <c r="F4772" t="str">
        <f t="shared" si="373"/>
        <v/>
      </c>
      <c r="G4772" t="str">
        <f t="shared" si="374"/>
        <v/>
      </c>
    </row>
    <row r="4773" spans="1:7" x14ac:dyDescent="0.4">
      <c r="A4773" t="str">
        <f t="shared" si="370"/>
        <v/>
      </c>
      <c r="B4773" t="str">
        <f t="shared" si="371"/>
        <v/>
      </c>
      <c r="C4773" t="str">
        <f t="shared" si="372"/>
        <v/>
      </c>
      <c r="D4773" t="str">
        <f>IF(E4773="","",IF(COUNTIF($E$2:E4773,E4773)&gt;1,"",SUMIFS(tbl_input[필요수량],tbl_input[집계키_지청],E4773)))</f>
        <v/>
      </c>
      <c r="E4773" t="str">
        <f>IFERROR(INDEX(tbl_input[집계키_지청],ROW()-1),"")</f>
        <v/>
      </c>
      <c r="F4773" t="str">
        <f t="shared" si="373"/>
        <v/>
      </c>
      <c r="G4773" t="str">
        <f t="shared" si="374"/>
        <v/>
      </c>
    </row>
    <row r="4774" spans="1:7" x14ac:dyDescent="0.4">
      <c r="A4774" t="str">
        <f t="shared" si="370"/>
        <v/>
      </c>
      <c r="B4774" t="str">
        <f t="shared" si="371"/>
        <v/>
      </c>
      <c r="C4774" t="str">
        <f t="shared" si="372"/>
        <v/>
      </c>
      <c r="D4774" t="str">
        <f>IF(E4774="","",IF(COUNTIF($E$2:E4774,E4774)&gt;1,"",SUMIFS(tbl_input[필요수량],tbl_input[집계키_지청],E4774)))</f>
        <v/>
      </c>
      <c r="E4774" t="str">
        <f>IFERROR(INDEX(tbl_input[집계키_지청],ROW()-1),"")</f>
        <v/>
      </c>
      <c r="F4774" t="str">
        <f t="shared" si="373"/>
        <v/>
      </c>
      <c r="G4774" t="str">
        <f t="shared" si="374"/>
        <v/>
      </c>
    </row>
    <row r="4775" spans="1:7" x14ac:dyDescent="0.4">
      <c r="A4775" t="str">
        <f t="shared" si="370"/>
        <v/>
      </c>
      <c r="B4775" t="str">
        <f t="shared" si="371"/>
        <v/>
      </c>
      <c r="C4775" t="str">
        <f t="shared" si="372"/>
        <v/>
      </c>
      <c r="D4775" t="str">
        <f>IF(E4775="","",IF(COUNTIF($E$2:E4775,E4775)&gt;1,"",SUMIFS(tbl_input[필요수량],tbl_input[집계키_지청],E4775)))</f>
        <v/>
      </c>
      <c r="E4775" t="str">
        <f>IFERROR(INDEX(tbl_input[집계키_지청],ROW()-1),"")</f>
        <v/>
      </c>
      <c r="F4775" t="str">
        <f t="shared" si="373"/>
        <v/>
      </c>
      <c r="G4775" t="str">
        <f t="shared" si="374"/>
        <v/>
      </c>
    </row>
    <row r="4776" spans="1:7" x14ac:dyDescent="0.4">
      <c r="A4776" t="str">
        <f t="shared" si="370"/>
        <v/>
      </c>
      <c r="B4776" t="str">
        <f t="shared" si="371"/>
        <v/>
      </c>
      <c r="C4776" t="str">
        <f t="shared" si="372"/>
        <v/>
      </c>
      <c r="D4776" t="str">
        <f>IF(E4776="","",IF(COUNTIF($E$2:E4776,E4776)&gt;1,"",SUMIFS(tbl_input[필요수량],tbl_input[집계키_지청],E4776)))</f>
        <v/>
      </c>
      <c r="E4776" t="str">
        <f>IFERROR(INDEX(tbl_input[집계키_지청],ROW()-1),"")</f>
        <v/>
      </c>
      <c r="F4776" t="str">
        <f t="shared" si="373"/>
        <v/>
      </c>
      <c r="G4776" t="str">
        <f t="shared" si="374"/>
        <v/>
      </c>
    </row>
    <row r="4777" spans="1:7" x14ac:dyDescent="0.4">
      <c r="A4777" t="str">
        <f t="shared" si="370"/>
        <v/>
      </c>
      <c r="B4777" t="str">
        <f t="shared" si="371"/>
        <v/>
      </c>
      <c r="C4777" t="str">
        <f t="shared" si="372"/>
        <v/>
      </c>
      <c r="D4777" t="str">
        <f>IF(E4777="","",IF(COUNTIF($E$2:E4777,E4777)&gt;1,"",SUMIFS(tbl_input[필요수량],tbl_input[집계키_지청],E4777)))</f>
        <v/>
      </c>
      <c r="E4777" t="str">
        <f>IFERROR(INDEX(tbl_input[집계키_지청],ROW()-1),"")</f>
        <v/>
      </c>
      <c r="F4777" t="str">
        <f t="shared" si="373"/>
        <v/>
      </c>
      <c r="G4777" t="str">
        <f t="shared" si="374"/>
        <v/>
      </c>
    </row>
    <row r="4778" spans="1:7" x14ac:dyDescent="0.4">
      <c r="A4778" t="str">
        <f t="shared" si="370"/>
        <v/>
      </c>
      <c r="B4778" t="str">
        <f t="shared" si="371"/>
        <v/>
      </c>
      <c r="C4778" t="str">
        <f t="shared" si="372"/>
        <v/>
      </c>
      <c r="D4778" t="str">
        <f>IF(E4778="","",IF(COUNTIF($E$2:E4778,E4778)&gt;1,"",SUMIFS(tbl_input[필요수량],tbl_input[집계키_지청],E4778)))</f>
        <v/>
      </c>
      <c r="E4778" t="str">
        <f>IFERROR(INDEX(tbl_input[집계키_지청],ROW()-1),"")</f>
        <v/>
      </c>
      <c r="F4778" t="str">
        <f t="shared" si="373"/>
        <v/>
      </c>
      <c r="G4778" t="str">
        <f t="shared" si="374"/>
        <v/>
      </c>
    </row>
    <row r="4779" spans="1:7" x14ac:dyDescent="0.4">
      <c r="A4779" t="str">
        <f t="shared" si="370"/>
        <v/>
      </c>
      <c r="B4779" t="str">
        <f t="shared" si="371"/>
        <v/>
      </c>
      <c r="C4779" t="str">
        <f t="shared" si="372"/>
        <v/>
      </c>
      <c r="D4779" t="str">
        <f>IF(E4779="","",IF(COUNTIF($E$2:E4779,E4779)&gt;1,"",SUMIFS(tbl_input[필요수량],tbl_input[집계키_지청],E4779)))</f>
        <v/>
      </c>
      <c r="E4779" t="str">
        <f>IFERROR(INDEX(tbl_input[집계키_지청],ROW()-1),"")</f>
        <v/>
      </c>
      <c r="F4779" t="str">
        <f t="shared" si="373"/>
        <v/>
      </c>
      <c r="G4779" t="str">
        <f t="shared" si="374"/>
        <v/>
      </c>
    </row>
    <row r="4780" spans="1:7" x14ac:dyDescent="0.4">
      <c r="A4780" t="str">
        <f t="shared" si="370"/>
        <v/>
      </c>
      <c r="B4780" t="str">
        <f t="shared" si="371"/>
        <v/>
      </c>
      <c r="C4780" t="str">
        <f t="shared" si="372"/>
        <v/>
      </c>
      <c r="D4780" t="str">
        <f>IF(E4780="","",IF(COUNTIF($E$2:E4780,E4780)&gt;1,"",SUMIFS(tbl_input[필요수량],tbl_input[집계키_지청],E4780)))</f>
        <v/>
      </c>
      <c r="E4780" t="str">
        <f>IFERROR(INDEX(tbl_input[집계키_지청],ROW()-1),"")</f>
        <v/>
      </c>
      <c r="F4780" t="str">
        <f t="shared" si="373"/>
        <v/>
      </c>
      <c r="G4780" t="str">
        <f t="shared" si="374"/>
        <v/>
      </c>
    </row>
    <row r="4781" spans="1:7" x14ac:dyDescent="0.4">
      <c r="A4781" t="str">
        <f t="shared" si="370"/>
        <v/>
      </c>
      <c r="B4781" t="str">
        <f t="shared" si="371"/>
        <v/>
      </c>
      <c r="C4781" t="str">
        <f t="shared" si="372"/>
        <v/>
      </c>
      <c r="D4781" t="str">
        <f>IF(E4781="","",IF(COUNTIF($E$2:E4781,E4781)&gt;1,"",SUMIFS(tbl_input[필요수량],tbl_input[집계키_지청],E4781)))</f>
        <v/>
      </c>
      <c r="E4781" t="str">
        <f>IFERROR(INDEX(tbl_input[집계키_지청],ROW()-1),"")</f>
        <v/>
      </c>
      <c r="F4781" t="str">
        <f t="shared" si="373"/>
        <v/>
      </c>
      <c r="G4781" t="str">
        <f t="shared" si="374"/>
        <v/>
      </c>
    </row>
    <row r="4782" spans="1:7" x14ac:dyDescent="0.4">
      <c r="A4782" t="str">
        <f t="shared" si="370"/>
        <v/>
      </c>
      <c r="B4782" t="str">
        <f t="shared" si="371"/>
        <v/>
      </c>
      <c r="C4782" t="str">
        <f t="shared" si="372"/>
        <v/>
      </c>
      <c r="D4782" t="str">
        <f>IF(E4782="","",IF(COUNTIF($E$2:E4782,E4782)&gt;1,"",SUMIFS(tbl_input[필요수량],tbl_input[집계키_지청],E4782)))</f>
        <v/>
      </c>
      <c r="E4782" t="str">
        <f>IFERROR(INDEX(tbl_input[집계키_지청],ROW()-1),"")</f>
        <v/>
      </c>
      <c r="F4782" t="str">
        <f t="shared" si="373"/>
        <v/>
      </c>
      <c r="G4782" t="str">
        <f t="shared" si="374"/>
        <v/>
      </c>
    </row>
    <row r="4783" spans="1:7" x14ac:dyDescent="0.4">
      <c r="A4783" t="str">
        <f t="shared" si="370"/>
        <v/>
      </c>
      <c r="B4783" t="str">
        <f t="shared" si="371"/>
        <v/>
      </c>
      <c r="C4783" t="str">
        <f t="shared" si="372"/>
        <v/>
      </c>
      <c r="D4783" t="str">
        <f>IF(E4783="","",IF(COUNTIF($E$2:E4783,E4783)&gt;1,"",SUMIFS(tbl_input[필요수량],tbl_input[집계키_지청],E4783)))</f>
        <v/>
      </c>
      <c r="E4783" t="str">
        <f>IFERROR(INDEX(tbl_input[집계키_지청],ROW()-1),"")</f>
        <v/>
      </c>
      <c r="F4783" t="str">
        <f t="shared" si="373"/>
        <v/>
      </c>
      <c r="G4783" t="str">
        <f t="shared" si="374"/>
        <v/>
      </c>
    </row>
    <row r="4784" spans="1:7" x14ac:dyDescent="0.4">
      <c r="A4784" t="str">
        <f t="shared" si="370"/>
        <v/>
      </c>
      <c r="B4784" t="str">
        <f t="shared" si="371"/>
        <v/>
      </c>
      <c r="C4784" t="str">
        <f t="shared" si="372"/>
        <v/>
      </c>
      <c r="D4784" t="str">
        <f>IF(E4784="","",IF(COUNTIF($E$2:E4784,E4784)&gt;1,"",SUMIFS(tbl_input[필요수량],tbl_input[집계키_지청],E4784)))</f>
        <v/>
      </c>
      <c r="E4784" t="str">
        <f>IFERROR(INDEX(tbl_input[집계키_지청],ROW()-1),"")</f>
        <v/>
      </c>
      <c r="F4784" t="str">
        <f t="shared" si="373"/>
        <v/>
      </c>
      <c r="G4784" t="str">
        <f t="shared" si="374"/>
        <v/>
      </c>
    </row>
    <row r="4785" spans="1:7" x14ac:dyDescent="0.4">
      <c r="A4785" t="str">
        <f t="shared" si="370"/>
        <v/>
      </c>
      <c r="B4785" t="str">
        <f t="shared" si="371"/>
        <v/>
      </c>
      <c r="C4785" t="str">
        <f t="shared" si="372"/>
        <v/>
      </c>
      <c r="D4785" t="str">
        <f>IF(E4785="","",IF(COUNTIF($E$2:E4785,E4785)&gt;1,"",SUMIFS(tbl_input[필요수량],tbl_input[집계키_지청],E4785)))</f>
        <v/>
      </c>
      <c r="E4785" t="str">
        <f>IFERROR(INDEX(tbl_input[집계키_지청],ROW()-1),"")</f>
        <v/>
      </c>
      <c r="F4785" t="str">
        <f t="shared" si="373"/>
        <v/>
      </c>
      <c r="G4785" t="str">
        <f t="shared" si="374"/>
        <v/>
      </c>
    </row>
    <row r="4786" spans="1:7" x14ac:dyDescent="0.4">
      <c r="A4786" t="str">
        <f t="shared" si="370"/>
        <v/>
      </c>
      <c r="B4786" t="str">
        <f t="shared" si="371"/>
        <v/>
      </c>
      <c r="C4786" t="str">
        <f t="shared" si="372"/>
        <v/>
      </c>
      <c r="D4786" t="str">
        <f>IF(E4786="","",IF(COUNTIF($E$2:E4786,E4786)&gt;1,"",SUMIFS(tbl_input[필요수량],tbl_input[집계키_지청],E4786)))</f>
        <v/>
      </c>
      <c r="E4786" t="str">
        <f>IFERROR(INDEX(tbl_input[집계키_지청],ROW()-1),"")</f>
        <v/>
      </c>
      <c r="F4786" t="str">
        <f t="shared" si="373"/>
        <v/>
      </c>
      <c r="G4786" t="str">
        <f t="shared" si="374"/>
        <v/>
      </c>
    </row>
    <row r="4787" spans="1:7" x14ac:dyDescent="0.4">
      <c r="A4787" t="str">
        <f t="shared" si="370"/>
        <v/>
      </c>
      <c r="B4787" t="str">
        <f t="shared" si="371"/>
        <v/>
      </c>
      <c r="C4787" t="str">
        <f t="shared" si="372"/>
        <v/>
      </c>
      <c r="D4787" t="str">
        <f>IF(E4787="","",IF(COUNTIF($E$2:E4787,E4787)&gt;1,"",SUMIFS(tbl_input[필요수량],tbl_input[집계키_지청],E4787)))</f>
        <v/>
      </c>
      <c r="E4787" t="str">
        <f>IFERROR(INDEX(tbl_input[집계키_지청],ROW()-1),"")</f>
        <v/>
      </c>
      <c r="F4787" t="str">
        <f t="shared" si="373"/>
        <v/>
      </c>
      <c r="G4787" t="str">
        <f t="shared" si="374"/>
        <v/>
      </c>
    </row>
    <row r="4788" spans="1:7" x14ac:dyDescent="0.4">
      <c r="A4788" t="str">
        <f t="shared" si="370"/>
        <v/>
      </c>
      <c r="B4788" t="str">
        <f t="shared" si="371"/>
        <v/>
      </c>
      <c r="C4788" t="str">
        <f t="shared" si="372"/>
        <v/>
      </c>
      <c r="D4788" t="str">
        <f>IF(E4788="","",IF(COUNTIF($E$2:E4788,E4788)&gt;1,"",SUMIFS(tbl_input[필요수량],tbl_input[집계키_지청],E4788)))</f>
        <v/>
      </c>
      <c r="E4788" t="str">
        <f>IFERROR(INDEX(tbl_input[집계키_지청],ROW()-1),"")</f>
        <v/>
      </c>
      <c r="F4788" t="str">
        <f t="shared" si="373"/>
        <v/>
      </c>
      <c r="G4788" t="str">
        <f t="shared" si="374"/>
        <v/>
      </c>
    </row>
    <row r="4789" spans="1:7" x14ac:dyDescent="0.4">
      <c r="A4789" t="str">
        <f t="shared" si="370"/>
        <v/>
      </c>
      <c r="B4789" t="str">
        <f t="shared" si="371"/>
        <v/>
      </c>
      <c r="C4789" t="str">
        <f t="shared" si="372"/>
        <v/>
      </c>
      <c r="D4789" t="str">
        <f>IF(E4789="","",IF(COUNTIF($E$2:E4789,E4789)&gt;1,"",SUMIFS(tbl_input[필요수량],tbl_input[집계키_지청],E4789)))</f>
        <v/>
      </c>
      <c r="E4789" t="str">
        <f>IFERROR(INDEX(tbl_input[집계키_지청],ROW()-1),"")</f>
        <v/>
      </c>
      <c r="F4789" t="str">
        <f t="shared" si="373"/>
        <v/>
      </c>
      <c r="G4789" t="str">
        <f t="shared" si="374"/>
        <v/>
      </c>
    </row>
    <row r="4790" spans="1:7" x14ac:dyDescent="0.4">
      <c r="A4790" t="str">
        <f t="shared" si="370"/>
        <v/>
      </c>
      <c r="B4790" t="str">
        <f t="shared" si="371"/>
        <v/>
      </c>
      <c r="C4790" t="str">
        <f t="shared" si="372"/>
        <v/>
      </c>
      <c r="D4790" t="str">
        <f>IF(E4790="","",IF(COUNTIF($E$2:E4790,E4790)&gt;1,"",SUMIFS(tbl_input[필요수량],tbl_input[집계키_지청],E4790)))</f>
        <v/>
      </c>
      <c r="E4790" t="str">
        <f>IFERROR(INDEX(tbl_input[집계키_지청],ROW()-1),"")</f>
        <v/>
      </c>
      <c r="F4790" t="str">
        <f t="shared" si="373"/>
        <v/>
      </c>
      <c r="G4790" t="str">
        <f t="shared" si="374"/>
        <v/>
      </c>
    </row>
    <row r="4791" spans="1:7" x14ac:dyDescent="0.4">
      <c r="A4791" t="str">
        <f t="shared" si="370"/>
        <v/>
      </c>
      <c r="B4791" t="str">
        <f t="shared" si="371"/>
        <v/>
      </c>
      <c r="C4791" t="str">
        <f t="shared" si="372"/>
        <v/>
      </c>
      <c r="D4791" t="str">
        <f>IF(E4791="","",IF(COUNTIF($E$2:E4791,E4791)&gt;1,"",SUMIFS(tbl_input[필요수량],tbl_input[집계키_지청],E4791)))</f>
        <v/>
      </c>
      <c r="E4791" t="str">
        <f>IFERROR(INDEX(tbl_input[집계키_지청],ROW()-1),"")</f>
        <v/>
      </c>
      <c r="F4791" t="str">
        <f t="shared" si="373"/>
        <v/>
      </c>
      <c r="G4791" t="str">
        <f t="shared" si="374"/>
        <v/>
      </c>
    </row>
    <row r="4792" spans="1:7" x14ac:dyDescent="0.4">
      <c r="A4792" t="str">
        <f t="shared" si="370"/>
        <v/>
      </c>
      <c r="B4792" t="str">
        <f t="shared" si="371"/>
        <v/>
      </c>
      <c r="C4792" t="str">
        <f t="shared" si="372"/>
        <v/>
      </c>
      <c r="D4792" t="str">
        <f>IF(E4792="","",IF(COUNTIF($E$2:E4792,E4792)&gt;1,"",SUMIFS(tbl_input[필요수량],tbl_input[집계키_지청],E4792)))</f>
        <v/>
      </c>
      <c r="E4792" t="str">
        <f>IFERROR(INDEX(tbl_input[집계키_지청],ROW()-1),"")</f>
        <v/>
      </c>
      <c r="F4792" t="str">
        <f t="shared" si="373"/>
        <v/>
      </c>
      <c r="G4792" t="str">
        <f t="shared" si="374"/>
        <v/>
      </c>
    </row>
    <row r="4793" spans="1:7" x14ac:dyDescent="0.4">
      <c r="A4793" t="str">
        <f t="shared" si="370"/>
        <v/>
      </c>
      <c r="B4793" t="str">
        <f t="shared" si="371"/>
        <v/>
      </c>
      <c r="C4793" t="str">
        <f t="shared" si="372"/>
        <v/>
      </c>
      <c r="D4793" t="str">
        <f>IF(E4793="","",IF(COUNTIF($E$2:E4793,E4793)&gt;1,"",SUMIFS(tbl_input[필요수량],tbl_input[집계키_지청],E4793)))</f>
        <v/>
      </c>
      <c r="E4793" t="str">
        <f>IFERROR(INDEX(tbl_input[집계키_지청],ROW()-1),"")</f>
        <v/>
      </c>
      <c r="F4793" t="str">
        <f t="shared" si="373"/>
        <v/>
      </c>
      <c r="G4793" t="str">
        <f t="shared" si="374"/>
        <v/>
      </c>
    </row>
    <row r="4794" spans="1:7" x14ac:dyDescent="0.4">
      <c r="A4794" t="str">
        <f t="shared" si="370"/>
        <v/>
      </c>
      <c r="B4794" t="str">
        <f t="shared" si="371"/>
        <v/>
      </c>
      <c r="C4794" t="str">
        <f t="shared" si="372"/>
        <v/>
      </c>
      <c r="D4794" t="str">
        <f>IF(E4794="","",IF(COUNTIF($E$2:E4794,E4794)&gt;1,"",SUMIFS(tbl_input[필요수량],tbl_input[집계키_지청],E4794)))</f>
        <v/>
      </c>
      <c r="E4794" t="str">
        <f>IFERROR(INDEX(tbl_input[집계키_지청],ROW()-1),"")</f>
        <v/>
      </c>
      <c r="F4794" t="str">
        <f t="shared" si="373"/>
        <v/>
      </c>
      <c r="G4794" t="str">
        <f t="shared" si="374"/>
        <v/>
      </c>
    </row>
    <row r="4795" spans="1:7" x14ac:dyDescent="0.4">
      <c r="A4795" t="str">
        <f t="shared" si="370"/>
        <v/>
      </c>
      <c r="B4795" t="str">
        <f t="shared" si="371"/>
        <v/>
      </c>
      <c r="C4795" t="str">
        <f t="shared" si="372"/>
        <v/>
      </c>
      <c r="D4795" t="str">
        <f>IF(E4795="","",IF(COUNTIF($E$2:E4795,E4795)&gt;1,"",SUMIFS(tbl_input[필요수량],tbl_input[집계키_지청],E4795)))</f>
        <v/>
      </c>
      <c r="E4795" t="str">
        <f>IFERROR(INDEX(tbl_input[집계키_지청],ROW()-1),"")</f>
        <v/>
      </c>
      <c r="F4795" t="str">
        <f t="shared" si="373"/>
        <v/>
      </c>
      <c r="G4795" t="str">
        <f t="shared" si="374"/>
        <v/>
      </c>
    </row>
    <row r="4796" spans="1:7" x14ac:dyDescent="0.4">
      <c r="A4796" t="str">
        <f t="shared" si="370"/>
        <v/>
      </c>
      <c r="B4796" t="str">
        <f t="shared" si="371"/>
        <v/>
      </c>
      <c r="C4796" t="str">
        <f t="shared" si="372"/>
        <v/>
      </c>
      <c r="D4796" t="str">
        <f>IF(E4796="","",IF(COUNTIF($E$2:E4796,E4796)&gt;1,"",SUMIFS(tbl_input[필요수량],tbl_input[집계키_지청],E4796)))</f>
        <v/>
      </c>
      <c r="E4796" t="str">
        <f>IFERROR(INDEX(tbl_input[집계키_지청],ROW()-1),"")</f>
        <v/>
      </c>
      <c r="F4796" t="str">
        <f t="shared" si="373"/>
        <v/>
      </c>
      <c r="G4796" t="str">
        <f t="shared" si="374"/>
        <v/>
      </c>
    </row>
    <row r="4797" spans="1:7" x14ac:dyDescent="0.4">
      <c r="A4797" t="str">
        <f t="shared" si="370"/>
        <v/>
      </c>
      <c r="B4797" t="str">
        <f t="shared" si="371"/>
        <v/>
      </c>
      <c r="C4797" t="str">
        <f t="shared" si="372"/>
        <v/>
      </c>
      <c r="D4797" t="str">
        <f>IF(E4797="","",IF(COUNTIF($E$2:E4797,E4797)&gt;1,"",SUMIFS(tbl_input[필요수량],tbl_input[집계키_지청],E4797)))</f>
        <v/>
      </c>
      <c r="E4797" t="str">
        <f>IFERROR(INDEX(tbl_input[집계키_지청],ROW()-1),"")</f>
        <v/>
      </c>
      <c r="F4797" t="str">
        <f t="shared" si="373"/>
        <v/>
      </c>
      <c r="G4797" t="str">
        <f t="shared" si="374"/>
        <v/>
      </c>
    </row>
    <row r="4798" spans="1:7" x14ac:dyDescent="0.4">
      <c r="A4798" t="str">
        <f t="shared" si="370"/>
        <v/>
      </c>
      <c r="B4798" t="str">
        <f t="shared" si="371"/>
        <v/>
      </c>
      <c r="C4798" t="str">
        <f t="shared" si="372"/>
        <v/>
      </c>
      <c r="D4798" t="str">
        <f>IF(E4798="","",IF(COUNTIF($E$2:E4798,E4798)&gt;1,"",SUMIFS(tbl_input[필요수량],tbl_input[집계키_지청],E4798)))</f>
        <v/>
      </c>
      <c r="E4798" t="str">
        <f>IFERROR(INDEX(tbl_input[집계키_지청],ROW()-1),"")</f>
        <v/>
      </c>
      <c r="F4798" t="str">
        <f t="shared" si="373"/>
        <v/>
      </c>
      <c r="G4798" t="str">
        <f t="shared" si="374"/>
        <v/>
      </c>
    </row>
    <row r="4799" spans="1:7" x14ac:dyDescent="0.4">
      <c r="A4799" t="str">
        <f t="shared" si="370"/>
        <v/>
      </c>
      <c r="B4799" t="str">
        <f t="shared" si="371"/>
        <v/>
      </c>
      <c r="C4799" t="str">
        <f t="shared" si="372"/>
        <v/>
      </c>
      <c r="D4799" t="str">
        <f>IF(E4799="","",IF(COUNTIF($E$2:E4799,E4799)&gt;1,"",SUMIFS(tbl_input[필요수량],tbl_input[집계키_지청],E4799)))</f>
        <v/>
      </c>
      <c r="E4799" t="str">
        <f>IFERROR(INDEX(tbl_input[집계키_지청],ROW()-1),"")</f>
        <v/>
      </c>
      <c r="F4799" t="str">
        <f t="shared" si="373"/>
        <v/>
      </c>
      <c r="G4799" t="str">
        <f t="shared" si="374"/>
        <v/>
      </c>
    </row>
    <row r="4800" spans="1:7" x14ac:dyDescent="0.4">
      <c r="A4800" t="str">
        <f t="shared" si="370"/>
        <v/>
      </c>
      <c r="B4800" t="str">
        <f t="shared" si="371"/>
        <v/>
      </c>
      <c r="C4800" t="str">
        <f t="shared" si="372"/>
        <v/>
      </c>
      <c r="D4800" t="str">
        <f>IF(E4800="","",IF(COUNTIF($E$2:E4800,E4800)&gt;1,"",SUMIFS(tbl_input[필요수량],tbl_input[집계키_지청],E4800)))</f>
        <v/>
      </c>
      <c r="E4800" t="str">
        <f>IFERROR(INDEX(tbl_input[집계키_지청],ROW()-1),"")</f>
        <v/>
      </c>
      <c r="F4800" t="str">
        <f t="shared" si="373"/>
        <v/>
      </c>
      <c r="G4800" t="str">
        <f t="shared" si="374"/>
        <v/>
      </c>
    </row>
    <row r="4801" spans="1:7" x14ac:dyDescent="0.4">
      <c r="A4801" t="str">
        <f t="shared" si="370"/>
        <v/>
      </c>
      <c r="B4801" t="str">
        <f t="shared" si="371"/>
        <v/>
      </c>
      <c r="C4801" t="str">
        <f t="shared" si="372"/>
        <v/>
      </c>
      <c r="D4801" t="str">
        <f>IF(E4801="","",IF(COUNTIF($E$2:E4801,E4801)&gt;1,"",SUMIFS(tbl_input[필요수량],tbl_input[집계키_지청],E4801)))</f>
        <v/>
      </c>
      <c r="E4801" t="str">
        <f>IFERROR(INDEX(tbl_input[집계키_지청],ROW()-1),"")</f>
        <v/>
      </c>
      <c r="F4801" t="str">
        <f t="shared" si="373"/>
        <v/>
      </c>
      <c r="G4801" t="str">
        <f t="shared" si="374"/>
        <v/>
      </c>
    </row>
    <row r="4802" spans="1:7" x14ac:dyDescent="0.4">
      <c r="A4802" t="str">
        <f t="shared" ref="A4802:A4865" si="375">IF(E4802="","",LEFT(E4802,F4802-1))</f>
        <v/>
      </c>
      <c r="B4802" t="str">
        <f t="shared" ref="B4802:B4865" si="376">IF(E4802="","",MID(E4802,F4802+1,G4802-F4802-1))</f>
        <v/>
      </c>
      <c r="C4802" t="str">
        <f t="shared" ref="C4802:C4865" si="377">IF(E4802="","",MID(E4802,G4802+1,999))</f>
        <v/>
      </c>
      <c r="D4802" t="str">
        <f>IF(E4802="","",IF(COUNTIF($E$2:E4802,E4802)&gt;1,"",SUMIFS(tbl_input[필요수량],tbl_input[집계키_지청],E4802)))</f>
        <v/>
      </c>
      <c r="E4802" t="str">
        <f>IFERROR(INDEX(tbl_input[집계키_지청],ROW()-1),"")</f>
        <v/>
      </c>
      <c r="F4802" t="str">
        <f t="shared" ref="F4802:F4865" si="378">IF(E4802="","",FIND("♦",E4802))</f>
        <v/>
      </c>
      <c r="G4802" t="str">
        <f t="shared" ref="G4802:G4865" si="379">IF(E4802="","",FIND("♦",E4802,F4802+1))</f>
        <v/>
      </c>
    </row>
    <row r="4803" spans="1:7" x14ac:dyDescent="0.4">
      <c r="A4803" t="str">
        <f t="shared" si="375"/>
        <v/>
      </c>
      <c r="B4803" t="str">
        <f t="shared" si="376"/>
        <v/>
      </c>
      <c r="C4803" t="str">
        <f t="shared" si="377"/>
        <v/>
      </c>
      <c r="D4803" t="str">
        <f>IF(E4803="","",IF(COUNTIF($E$2:E4803,E4803)&gt;1,"",SUMIFS(tbl_input[필요수량],tbl_input[집계키_지청],E4803)))</f>
        <v/>
      </c>
      <c r="E4803" t="str">
        <f>IFERROR(INDEX(tbl_input[집계키_지청],ROW()-1),"")</f>
        <v/>
      </c>
      <c r="F4803" t="str">
        <f t="shared" si="378"/>
        <v/>
      </c>
      <c r="G4803" t="str">
        <f t="shared" si="379"/>
        <v/>
      </c>
    </row>
    <row r="4804" spans="1:7" x14ac:dyDescent="0.4">
      <c r="A4804" t="str">
        <f t="shared" si="375"/>
        <v/>
      </c>
      <c r="B4804" t="str">
        <f t="shared" si="376"/>
        <v/>
      </c>
      <c r="C4804" t="str">
        <f t="shared" si="377"/>
        <v/>
      </c>
      <c r="D4804" t="str">
        <f>IF(E4804="","",IF(COUNTIF($E$2:E4804,E4804)&gt;1,"",SUMIFS(tbl_input[필요수량],tbl_input[집계키_지청],E4804)))</f>
        <v/>
      </c>
      <c r="E4804" t="str">
        <f>IFERROR(INDEX(tbl_input[집계키_지청],ROW()-1),"")</f>
        <v/>
      </c>
      <c r="F4804" t="str">
        <f t="shared" si="378"/>
        <v/>
      </c>
      <c r="G4804" t="str">
        <f t="shared" si="379"/>
        <v/>
      </c>
    </row>
    <row r="4805" spans="1:7" x14ac:dyDescent="0.4">
      <c r="A4805" t="str">
        <f t="shared" si="375"/>
        <v/>
      </c>
      <c r="B4805" t="str">
        <f t="shared" si="376"/>
        <v/>
      </c>
      <c r="C4805" t="str">
        <f t="shared" si="377"/>
        <v/>
      </c>
      <c r="D4805" t="str">
        <f>IF(E4805="","",IF(COUNTIF($E$2:E4805,E4805)&gt;1,"",SUMIFS(tbl_input[필요수량],tbl_input[집계키_지청],E4805)))</f>
        <v/>
      </c>
      <c r="E4805" t="str">
        <f>IFERROR(INDEX(tbl_input[집계키_지청],ROW()-1),"")</f>
        <v/>
      </c>
      <c r="F4805" t="str">
        <f t="shared" si="378"/>
        <v/>
      </c>
      <c r="G4805" t="str">
        <f t="shared" si="379"/>
        <v/>
      </c>
    </row>
    <row r="4806" spans="1:7" x14ac:dyDescent="0.4">
      <c r="A4806" t="str">
        <f t="shared" si="375"/>
        <v/>
      </c>
      <c r="B4806" t="str">
        <f t="shared" si="376"/>
        <v/>
      </c>
      <c r="C4806" t="str">
        <f t="shared" si="377"/>
        <v/>
      </c>
      <c r="D4806" t="str">
        <f>IF(E4806="","",IF(COUNTIF($E$2:E4806,E4806)&gt;1,"",SUMIFS(tbl_input[필요수량],tbl_input[집계키_지청],E4806)))</f>
        <v/>
      </c>
      <c r="E4806" t="str">
        <f>IFERROR(INDEX(tbl_input[집계키_지청],ROW()-1),"")</f>
        <v/>
      </c>
      <c r="F4806" t="str">
        <f t="shared" si="378"/>
        <v/>
      </c>
      <c r="G4806" t="str">
        <f t="shared" si="379"/>
        <v/>
      </c>
    </row>
    <row r="4807" spans="1:7" x14ac:dyDescent="0.4">
      <c r="A4807" t="str">
        <f t="shared" si="375"/>
        <v/>
      </c>
      <c r="B4807" t="str">
        <f t="shared" si="376"/>
        <v/>
      </c>
      <c r="C4807" t="str">
        <f t="shared" si="377"/>
        <v/>
      </c>
      <c r="D4807" t="str">
        <f>IF(E4807="","",IF(COUNTIF($E$2:E4807,E4807)&gt;1,"",SUMIFS(tbl_input[필요수량],tbl_input[집계키_지청],E4807)))</f>
        <v/>
      </c>
      <c r="E4807" t="str">
        <f>IFERROR(INDEX(tbl_input[집계키_지청],ROW()-1),"")</f>
        <v/>
      </c>
      <c r="F4807" t="str">
        <f t="shared" si="378"/>
        <v/>
      </c>
      <c r="G4807" t="str">
        <f t="shared" si="379"/>
        <v/>
      </c>
    </row>
    <row r="4808" spans="1:7" x14ac:dyDescent="0.4">
      <c r="A4808" t="str">
        <f t="shared" si="375"/>
        <v/>
      </c>
      <c r="B4808" t="str">
        <f t="shared" si="376"/>
        <v/>
      </c>
      <c r="C4808" t="str">
        <f t="shared" si="377"/>
        <v/>
      </c>
      <c r="D4808" t="str">
        <f>IF(E4808="","",IF(COUNTIF($E$2:E4808,E4808)&gt;1,"",SUMIFS(tbl_input[필요수량],tbl_input[집계키_지청],E4808)))</f>
        <v/>
      </c>
      <c r="E4808" t="str">
        <f>IFERROR(INDEX(tbl_input[집계키_지청],ROW()-1),"")</f>
        <v/>
      </c>
      <c r="F4808" t="str">
        <f t="shared" si="378"/>
        <v/>
      </c>
      <c r="G4808" t="str">
        <f t="shared" si="379"/>
        <v/>
      </c>
    </row>
    <row r="4809" spans="1:7" x14ac:dyDescent="0.4">
      <c r="A4809" t="str">
        <f t="shared" si="375"/>
        <v/>
      </c>
      <c r="B4809" t="str">
        <f t="shared" si="376"/>
        <v/>
      </c>
      <c r="C4809" t="str">
        <f t="shared" si="377"/>
        <v/>
      </c>
      <c r="D4809" t="str">
        <f>IF(E4809="","",IF(COUNTIF($E$2:E4809,E4809)&gt;1,"",SUMIFS(tbl_input[필요수량],tbl_input[집계키_지청],E4809)))</f>
        <v/>
      </c>
      <c r="E4809" t="str">
        <f>IFERROR(INDEX(tbl_input[집계키_지청],ROW()-1),"")</f>
        <v/>
      </c>
      <c r="F4809" t="str">
        <f t="shared" si="378"/>
        <v/>
      </c>
      <c r="G4809" t="str">
        <f t="shared" si="379"/>
        <v/>
      </c>
    </row>
    <row r="4810" spans="1:7" x14ac:dyDescent="0.4">
      <c r="A4810" t="str">
        <f t="shared" si="375"/>
        <v/>
      </c>
      <c r="B4810" t="str">
        <f t="shared" si="376"/>
        <v/>
      </c>
      <c r="C4810" t="str">
        <f t="shared" si="377"/>
        <v/>
      </c>
      <c r="D4810" t="str">
        <f>IF(E4810="","",IF(COUNTIF($E$2:E4810,E4810)&gt;1,"",SUMIFS(tbl_input[필요수량],tbl_input[집계키_지청],E4810)))</f>
        <v/>
      </c>
      <c r="E4810" t="str">
        <f>IFERROR(INDEX(tbl_input[집계키_지청],ROW()-1),"")</f>
        <v/>
      </c>
      <c r="F4810" t="str">
        <f t="shared" si="378"/>
        <v/>
      </c>
      <c r="G4810" t="str">
        <f t="shared" si="379"/>
        <v/>
      </c>
    </row>
    <row r="4811" spans="1:7" x14ac:dyDescent="0.4">
      <c r="A4811" t="str">
        <f t="shared" si="375"/>
        <v/>
      </c>
      <c r="B4811" t="str">
        <f t="shared" si="376"/>
        <v/>
      </c>
      <c r="C4811" t="str">
        <f t="shared" si="377"/>
        <v/>
      </c>
      <c r="D4811" t="str">
        <f>IF(E4811="","",IF(COUNTIF($E$2:E4811,E4811)&gt;1,"",SUMIFS(tbl_input[필요수량],tbl_input[집계키_지청],E4811)))</f>
        <v/>
      </c>
      <c r="E4811" t="str">
        <f>IFERROR(INDEX(tbl_input[집계키_지청],ROW()-1),"")</f>
        <v/>
      </c>
      <c r="F4811" t="str">
        <f t="shared" si="378"/>
        <v/>
      </c>
      <c r="G4811" t="str">
        <f t="shared" si="379"/>
        <v/>
      </c>
    </row>
    <row r="4812" spans="1:7" x14ac:dyDescent="0.4">
      <c r="A4812" t="str">
        <f t="shared" si="375"/>
        <v/>
      </c>
      <c r="B4812" t="str">
        <f t="shared" si="376"/>
        <v/>
      </c>
      <c r="C4812" t="str">
        <f t="shared" si="377"/>
        <v/>
      </c>
      <c r="D4812" t="str">
        <f>IF(E4812="","",IF(COUNTIF($E$2:E4812,E4812)&gt;1,"",SUMIFS(tbl_input[필요수량],tbl_input[집계키_지청],E4812)))</f>
        <v/>
      </c>
      <c r="E4812" t="str">
        <f>IFERROR(INDEX(tbl_input[집계키_지청],ROW()-1),"")</f>
        <v/>
      </c>
      <c r="F4812" t="str">
        <f t="shared" si="378"/>
        <v/>
      </c>
      <c r="G4812" t="str">
        <f t="shared" si="379"/>
        <v/>
      </c>
    </row>
    <row r="4813" spans="1:7" x14ac:dyDescent="0.4">
      <c r="A4813" t="str">
        <f t="shared" si="375"/>
        <v/>
      </c>
      <c r="B4813" t="str">
        <f t="shared" si="376"/>
        <v/>
      </c>
      <c r="C4813" t="str">
        <f t="shared" si="377"/>
        <v/>
      </c>
      <c r="D4813" t="str">
        <f>IF(E4813="","",IF(COUNTIF($E$2:E4813,E4813)&gt;1,"",SUMIFS(tbl_input[필요수량],tbl_input[집계키_지청],E4813)))</f>
        <v/>
      </c>
      <c r="E4813" t="str">
        <f>IFERROR(INDEX(tbl_input[집계키_지청],ROW()-1),"")</f>
        <v/>
      </c>
      <c r="F4813" t="str">
        <f t="shared" si="378"/>
        <v/>
      </c>
      <c r="G4813" t="str">
        <f t="shared" si="379"/>
        <v/>
      </c>
    </row>
    <row r="4814" spans="1:7" x14ac:dyDescent="0.4">
      <c r="A4814" t="str">
        <f t="shared" si="375"/>
        <v/>
      </c>
      <c r="B4814" t="str">
        <f t="shared" si="376"/>
        <v/>
      </c>
      <c r="C4814" t="str">
        <f t="shared" si="377"/>
        <v/>
      </c>
      <c r="D4814" t="str">
        <f>IF(E4814="","",IF(COUNTIF($E$2:E4814,E4814)&gt;1,"",SUMIFS(tbl_input[필요수량],tbl_input[집계키_지청],E4814)))</f>
        <v/>
      </c>
      <c r="E4814" t="str">
        <f>IFERROR(INDEX(tbl_input[집계키_지청],ROW()-1),"")</f>
        <v/>
      </c>
      <c r="F4814" t="str">
        <f t="shared" si="378"/>
        <v/>
      </c>
      <c r="G4814" t="str">
        <f t="shared" si="379"/>
        <v/>
      </c>
    </row>
    <row r="4815" spans="1:7" x14ac:dyDescent="0.4">
      <c r="A4815" t="str">
        <f t="shared" si="375"/>
        <v/>
      </c>
      <c r="B4815" t="str">
        <f t="shared" si="376"/>
        <v/>
      </c>
      <c r="C4815" t="str">
        <f t="shared" si="377"/>
        <v/>
      </c>
      <c r="D4815" t="str">
        <f>IF(E4815="","",IF(COUNTIF($E$2:E4815,E4815)&gt;1,"",SUMIFS(tbl_input[필요수량],tbl_input[집계키_지청],E4815)))</f>
        <v/>
      </c>
      <c r="E4815" t="str">
        <f>IFERROR(INDEX(tbl_input[집계키_지청],ROW()-1),"")</f>
        <v/>
      </c>
      <c r="F4815" t="str">
        <f t="shared" si="378"/>
        <v/>
      </c>
      <c r="G4815" t="str">
        <f t="shared" si="379"/>
        <v/>
      </c>
    </row>
    <row r="4816" spans="1:7" x14ac:dyDescent="0.4">
      <c r="A4816" t="str">
        <f t="shared" si="375"/>
        <v/>
      </c>
      <c r="B4816" t="str">
        <f t="shared" si="376"/>
        <v/>
      </c>
      <c r="C4816" t="str">
        <f t="shared" si="377"/>
        <v/>
      </c>
      <c r="D4816" t="str">
        <f>IF(E4816="","",IF(COUNTIF($E$2:E4816,E4816)&gt;1,"",SUMIFS(tbl_input[필요수량],tbl_input[집계키_지청],E4816)))</f>
        <v/>
      </c>
      <c r="E4816" t="str">
        <f>IFERROR(INDEX(tbl_input[집계키_지청],ROW()-1),"")</f>
        <v/>
      </c>
      <c r="F4816" t="str">
        <f t="shared" si="378"/>
        <v/>
      </c>
      <c r="G4816" t="str">
        <f t="shared" si="379"/>
        <v/>
      </c>
    </row>
    <row r="4817" spans="1:7" x14ac:dyDescent="0.4">
      <c r="A4817" t="str">
        <f t="shared" si="375"/>
        <v/>
      </c>
      <c r="B4817" t="str">
        <f t="shared" si="376"/>
        <v/>
      </c>
      <c r="C4817" t="str">
        <f t="shared" si="377"/>
        <v/>
      </c>
      <c r="D4817" t="str">
        <f>IF(E4817="","",IF(COUNTIF($E$2:E4817,E4817)&gt;1,"",SUMIFS(tbl_input[필요수량],tbl_input[집계키_지청],E4817)))</f>
        <v/>
      </c>
      <c r="E4817" t="str">
        <f>IFERROR(INDEX(tbl_input[집계키_지청],ROW()-1),"")</f>
        <v/>
      </c>
      <c r="F4817" t="str">
        <f t="shared" si="378"/>
        <v/>
      </c>
      <c r="G4817" t="str">
        <f t="shared" si="379"/>
        <v/>
      </c>
    </row>
    <row r="4818" spans="1:7" x14ac:dyDescent="0.4">
      <c r="A4818" t="str">
        <f t="shared" si="375"/>
        <v/>
      </c>
      <c r="B4818" t="str">
        <f t="shared" si="376"/>
        <v/>
      </c>
      <c r="C4818" t="str">
        <f t="shared" si="377"/>
        <v/>
      </c>
      <c r="D4818" t="str">
        <f>IF(E4818="","",IF(COUNTIF($E$2:E4818,E4818)&gt;1,"",SUMIFS(tbl_input[필요수량],tbl_input[집계키_지청],E4818)))</f>
        <v/>
      </c>
      <c r="E4818" t="str">
        <f>IFERROR(INDEX(tbl_input[집계키_지청],ROW()-1),"")</f>
        <v/>
      </c>
      <c r="F4818" t="str">
        <f t="shared" si="378"/>
        <v/>
      </c>
      <c r="G4818" t="str">
        <f t="shared" si="379"/>
        <v/>
      </c>
    </row>
    <row r="4819" spans="1:7" x14ac:dyDescent="0.4">
      <c r="A4819" t="str">
        <f t="shared" si="375"/>
        <v/>
      </c>
      <c r="B4819" t="str">
        <f t="shared" si="376"/>
        <v/>
      </c>
      <c r="C4819" t="str">
        <f t="shared" si="377"/>
        <v/>
      </c>
      <c r="D4819" t="str">
        <f>IF(E4819="","",IF(COUNTIF($E$2:E4819,E4819)&gt;1,"",SUMIFS(tbl_input[필요수량],tbl_input[집계키_지청],E4819)))</f>
        <v/>
      </c>
      <c r="E4819" t="str">
        <f>IFERROR(INDEX(tbl_input[집계키_지청],ROW()-1),"")</f>
        <v/>
      </c>
      <c r="F4819" t="str">
        <f t="shared" si="378"/>
        <v/>
      </c>
      <c r="G4819" t="str">
        <f t="shared" si="379"/>
        <v/>
      </c>
    </row>
    <row r="4820" spans="1:7" x14ac:dyDescent="0.4">
      <c r="A4820" t="str">
        <f t="shared" si="375"/>
        <v/>
      </c>
      <c r="B4820" t="str">
        <f t="shared" si="376"/>
        <v/>
      </c>
      <c r="C4820" t="str">
        <f t="shared" si="377"/>
        <v/>
      </c>
      <c r="D4820" t="str">
        <f>IF(E4820="","",IF(COUNTIF($E$2:E4820,E4820)&gt;1,"",SUMIFS(tbl_input[필요수량],tbl_input[집계키_지청],E4820)))</f>
        <v/>
      </c>
      <c r="E4820" t="str">
        <f>IFERROR(INDEX(tbl_input[집계키_지청],ROW()-1),"")</f>
        <v/>
      </c>
      <c r="F4820" t="str">
        <f t="shared" si="378"/>
        <v/>
      </c>
      <c r="G4820" t="str">
        <f t="shared" si="379"/>
        <v/>
      </c>
    </row>
    <row r="4821" spans="1:7" x14ac:dyDescent="0.4">
      <c r="A4821" t="str">
        <f t="shared" si="375"/>
        <v/>
      </c>
      <c r="B4821" t="str">
        <f t="shared" si="376"/>
        <v/>
      </c>
      <c r="C4821" t="str">
        <f t="shared" si="377"/>
        <v/>
      </c>
      <c r="D4821" t="str">
        <f>IF(E4821="","",IF(COUNTIF($E$2:E4821,E4821)&gt;1,"",SUMIFS(tbl_input[필요수량],tbl_input[집계키_지청],E4821)))</f>
        <v/>
      </c>
      <c r="E4821" t="str">
        <f>IFERROR(INDEX(tbl_input[집계키_지청],ROW()-1),"")</f>
        <v/>
      </c>
      <c r="F4821" t="str">
        <f t="shared" si="378"/>
        <v/>
      </c>
      <c r="G4821" t="str">
        <f t="shared" si="379"/>
        <v/>
      </c>
    </row>
    <row r="4822" spans="1:7" x14ac:dyDescent="0.4">
      <c r="A4822" t="str">
        <f t="shared" si="375"/>
        <v/>
      </c>
      <c r="B4822" t="str">
        <f t="shared" si="376"/>
        <v/>
      </c>
      <c r="C4822" t="str">
        <f t="shared" si="377"/>
        <v/>
      </c>
      <c r="D4822" t="str">
        <f>IF(E4822="","",IF(COUNTIF($E$2:E4822,E4822)&gt;1,"",SUMIFS(tbl_input[필요수량],tbl_input[집계키_지청],E4822)))</f>
        <v/>
      </c>
      <c r="E4822" t="str">
        <f>IFERROR(INDEX(tbl_input[집계키_지청],ROW()-1),"")</f>
        <v/>
      </c>
      <c r="F4822" t="str">
        <f t="shared" si="378"/>
        <v/>
      </c>
      <c r="G4822" t="str">
        <f t="shared" si="379"/>
        <v/>
      </c>
    </row>
    <row r="4823" spans="1:7" x14ac:dyDescent="0.4">
      <c r="A4823" t="str">
        <f t="shared" si="375"/>
        <v/>
      </c>
      <c r="B4823" t="str">
        <f t="shared" si="376"/>
        <v/>
      </c>
      <c r="C4823" t="str">
        <f t="shared" si="377"/>
        <v/>
      </c>
      <c r="D4823" t="str">
        <f>IF(E4823="","",IF(COUNTIF($E$2:E4823,E4823)&gt;1,"",SUMIFS(tbl_input[필요수량],tbl_input[집계키_지청],E4823)))</f>
        <v/>
      </c>
      <c r="E4823" t="str">
        <f>IFERROR(INDEX(tbl_input[집계키_지청],ROW()-1),"")</f>
        <v/>
      </c>
      <c r="F4823" t="str">
        <f t="shared" si="378"/>
        <v/>
      </c>
      <c r="G4823" t="str">
        <f t="shared" si="379"/>
        <v/>
      </c>
    </row>
    <row r="4824" spans="1:7" x14ac:dyDescent="0.4">
      <c r="A4824" t="str">
        <f t="shared" si="375"/>
        <v/>
      </c>
      <c r="B4824" t="str">
        <f t="shared" si="376"/>
        <v/>
      </c>
      <c r="C4824" t="str">
        <f t="shared" si="377"/>
        <v/>
      </c>
      <c r="D4824" t="str">
        <f>IF(E4824="","",IF(COUNTIF($E$2:E4824,E4824)&gt;1,"",SUMIFS(tbl_input[필요수량],tbl_input[집계키_지청],E4824)))</f>
        <v/>
      </c>
      <c r="E4824" t="str">
        <f>IFERROR(INDEX(tbl_input[집계키_지청],ROW()-1),"")</f>
        <v/>
      </c>
      <c r="F4824" t="str">
        <f t="shared" si="378"/>
        <v/>
      </c>
      <c r="G4824" t="str">
        <f t="shared" si="379"/>
        <v/>
      </c>
    </row>
    <row r="4825" spans="1:7" x14ac:dyDescent="0.4">
      <c r="A4825" t="str">
        <f t="shared" si="375"/>
        <v/>
      </c>
      <c r="B4825" t="str">
        <f t="shared" si="376"/>
        <v/>
      </c>
      <c r="C4825" t="str">
        <f t="shared" si="377"/>
        <v/>
      </c>
      <c r="D4825" t="str">
        <f>IF(E4825="","",IF(COUNTIF($E$2:E4825,E4825)&gt;1,"",SUMIFS(tbl_input[필요수량],tbl_input[집계키_지청],E4825)))</f>
        <v/>
      </c>
      <c r="E4825" t="str">
        <f>IFERROR(INDEX(tbl_input[집계키_지청],ROW()-1),"")</f>
        <v/>
      </c>
      <c r="F4825" t="str">
        <f t="shared" si="378"/>
        <v/>
      </c>
      <c r="G4825" t="str">
        <f t="shared" si="379"/>
        <v/>
      </c>
    </row>
    <row r="4826" spans="1:7" x14ac:dyDescent="0.4">
      <c r="A4826" t="str">
        <f t="shared" si="375"/>
        <v/>
      </c>
      <c r="B4826" t="str">
        <f t="shared" si="376"/>
        <v/>
      </c>
      <c r="C4826" t="str">
        <f t="shared" si="377"/>
        <v/>
      </c>
      <c r="D4826" t="str">
        <f>IF(E4826="","",IF(COUNTIF($E$2:E4826,E4826)&gt;1,"",SUMIFS(tbl_input[필요수량],tbl_input[집계키_지청],E4826)))</f>
        <v/>
      </c>
      <c r="E4826" t="str">
        <f>IFERROR(INDEX(tbl_input[집계키_지청],ROW()-1),"")</f>
        <v/>
      </c>
      <c r="F4826" t="str">
        <f t="shared" si="378"/>
        <v/>
      </c>
      <c r="G4826" t="str">
        <f t="shared" si="379"/>
        <v/>
      </c>
    </row>
    <row r="4827" spans="1:7" x14ac:dyDescent="0.4">
      <c r="A4827" t="str">
        <f t="shared" si="375"/>
        <v/>
      </c>
      <c r="B4827" t="str">
        <f t="shared" si="376"/>
        <v/>
      </c>
      <c r="C4827" t="str">
        <f t="shared" si="377"/>
        <v/>
      </c>
      <c r="D4827" t="str">
        <f>IF(E4827="","",IF(COUNTIF($E$2:E4827,E4827)&gt;1,"",SUMIFS(tbl_input[필요수량],tbl_input[집계키_지청],E4827)))</f>
        <v/>
      </c>
      <c r="E4827" t="str">
        <f>IFERROR(INDEX(tbl_input[집계키_지청],ROW()-1),"")</f>
        <v/>
      </c>
      <c r="F4827" t="str">
        <f t="shared" si="378"/>
        <v/>
      </c>
      <c r="G4827" t="str">
        <f t="shared" si="379"/>
        <v/>
      </c>
    </row>
    <row r="4828" spans="1:7" x14ac:dyDescent="0.4">
      <c r="A4828" t="str">
        <f t="shared" si="375"/>
        <v/>
      </c>
      <c r="B4828" t="str">
        <f t="shared" si="376"/>
        <v/>
      </c>
      <c r="C4828" t="str">
        <f t="shared" si="377"/>
        <v/>
      </c>
      <c r="D4828" t="str">
        <f>IF(E4828="","",IF(COUNTIF($E$2:E4828,E4828)&gt;1,"",SUMIFS(tbl_input[필요수량],tbl_input[집계키_지청],E4828)))</f>
        <v/>
      </c>
      <c r="E4828" t="str">
        <f>IFERROR(INDEX(tbl_input[집계키_지청],ROW()-1),"")</f>
        <v/>
      </c>
      <c r="F4828" t="str">
        <f t="shared" si="378"/>
        <v/>
      </c>
      <c r="G4828" t="str">
        <f t="shared" si="379"/>
        <v/>
      </c>
    </row>
    <row r="4829" spans="1:7" x14ac:dyDescent="0.4">
      <c r="A4829" t="str">
        <f t="shared" si="375"/>
        <v/>
      </c>
      <c r="B4829" t="str">
        <f t="shared" si="376"/>
        <v/>
      </c>
      <c r="C4829" t="str">
        <f t="shared" si="377"/>
        <v/>
      </c>
      <c r="D4829" t="str">
        <f>IF(E4829="","",IF(COUNTIF($E$2:E4829,E4829)&gt;1,"",SUMIFS(tbl_input[필요수량],tbl_input[집계키_지청],E4829)))</f>
        <v/>
      </c>
      <c r="E4829" t="str">
        <f>IFERROR(INDEX(tbl_input[집계키_지청],ROW()-1),"")</f>
        <v/>
      </c>
      <c r="F4829" t="str">
        <f t="shared" si="378"/>
        <v/>
      </c>
      <c r="G4829" t="str">
        <f t="shared" si="379"/>
        <v/>
      </c>
    </row>
    <row r="4830" spans="1:7" x14ac:dyDescent="0.4">
      <c r="A4830" t="str">
        <f t="shared" si="375"/>
        <v/>
      </c>
      <c r="B4830" t="str">
        <f t="shared" si="376"/>
        <v/>
      </c>
      <c r="C4830" t="str">
        <f t="shared" si="377"/>
        <v/>
      </c>
      <c r="D4830" t="str">
        <f>IF(E4830="","",IF(COUNTIF($E$2:E4830,E4830)&gt;1,"",SUMIFS(tbl_input[필요수량],tbl_input[집계키_지청],E4830)))</f>
        <v/>
      </c>
      <c r="E4830" t="str">
        <f>IFERROR(INDEX(tbl_input[집계키_지청],ROW()-1),"")</f>
        <v/>
      </c>
      <c r="F4830" t="str">
        <f t="shared" si="378"/>
        <v/>
      </c>
      <c r="G4830" t="str">
        <f t="shared" si="379"/>
        <v/>
      </c>
    </row>
    <row r="4831" spans="1:7" x14ac:dyDescent="0.4">
      <c r="A4831" t="str">
        <f t="shared" si="375"/>
        <v/>
      </c>
      <c r="B4831" t="str">
        <f t="shared" si="376"/>
        <v/>
      </c>
      <c r="C4831" t="str">
        <f t="shared" si="377"/>
        <v/>
      </c>
      <c r="D4831" t="str">
        <f>IF(E4831="","",IF(COUNTIF($E$2:E4831,E4831)&gt;1,"",SUMIFS(tbl_input[필요수량],tbl_input[집계키_지청],E4831)))</f>
        <v/>
      </c>
      <c r="E4831" t="str">
        <f>IFERROR(INDEX(tbl_input[집계키_지청],ROW()-1),"")</f>
        <v/>
      </c>
      <c r="F4831" t="str">
        <f t="shared" si="378"/>
        <v/>
      </c>
      <c r="G4831" t="str">
        <f t="shared" si="379"/>
        <v/>
      </c>
    </row>
    <row r="4832" spans="1:7" x14ac:dyDescent="0.4">
      <c r="A4832" t="str">
        <f t="shared" si="375"/>
        <v/>
      </c>
      <c r="B4832" t="str">
        <f t="shared" si="376"/>
        <v/>
      </c>
      <c r="C4832" t="str">
        <f t="shared" si="377"/>
        <v/>
      </c>
      <c r="D4832" t="str">
        <f>IF(E4832="","",IF(COUNTIF($E$2:E4832,E4832)&gt;1,"",SUMIFS(tbl_input[필요수량],tbl_input[집계키_지청],E4832)))</f>
        <v/>
      </c>
      <c r="E4832" t="str">
        <f>IFERROR(INDEX(tbl_input[집계키_지청],ROW()-1),"")</f>
        <v/>
      </c>
      <c r="F4832" t="str">
        <f t="shared" si="378"/>
        <v/>
      </c>
      <c r="G4832" t="str">
        <f t="shared" si="379"/>
        <v/>
      </c>
    </row>
    <row r="4833" spans="1:7" x14ac:dyDescent="0.4">
      <c r="A4833" t="str">
        <f t="shared" si="375"/>
        <v/>
      </c>
      <c r="B4833" t="str">
        <f t="shared" si="376"/>
        <v/>
      </c>
      <c r="C4833" t="str">
        <f t="shared" si="377"/>
        <v/>
      </c>
      <c r="D4833" t="str">
        <f>IF(E4833="","",IF(COUNTIF($E$2:E4833,E4833)&gt;1,"",SUMIFS(tbl_input[필요수량],tbl_input[집계키_지청],E4833)))</f>
        <v/>
      </c>
      <c r="E4833" t="str">
        <f>IFERROR(INDEX(tbl_input[집계키_지청],ROW()-1),"")</f>
        <v/>
      </c>
      <c r="F4833" t="str">
        <f t="shared" si="378"/>
        <v/>
      </c>
      <c r="G4833" t="str">
        <f t="shared" si="379"/>
        <v/>
      </c>
    </row>
    <row r="4834" spans="1:7" x14ac:dyDescent="0.4">
      <c r="A4834" t="str">
        <f t="shared" si="375"/>
        <v/>
      </c>
      <c r="B4834" t="str">
        <f t="shared" si="376"/>
        <v/>
      </c>
      <c r="C4834" t="str">
        <f t="shared" si="377"/>
        <v/>
      </c>
      <c r="D4834" t="str">
        <f>IF(E4834="","",IF(COUNTIF($E$2:E4834,E4834)&gt;1,"",SUMIFS(tbl_input[필요수량],tbl_input[집계키_지청],E4834)))</f>
        <v/>
      </c>
      <c r="E4834" t="str">
        <f>IFERROR(INDEX(tbl_input[집계키_지청],ROW()-1),"")</f>
        <v/>
      </c>
      <c r="F4834" t="str">
        <f t="shared" si="378"/>
        <v/>
      </c>
      <c r="G4834" t="str">
        <f t="shared" si="379"/>
        <v/>
      </c>
    </row>
    <row r="4835" spans="1:7" x14ac:dyDescent="0.4">
      <c r="A4835" t="str">
        <f t="shared" si="375"/>
        <v/>
      </c>
      <c r="B4835" t="str">
        <f t="shared" si="376"/>
        <v/>
      </c>
      <c r="C4835" t="str">
        <f t="shared" si="377"/>
        <v/>
      </c>
      <c r="D4835" t="str">
        <f>IF(E4835="","",IF(COUNTIF($E$2:E4835,E4835)&gt;1,"",SUMIFS(tbl_input[필요수량],tbl_input[집계키_지청],E4835)))</f>
        <v/>
      </c>
      <c r="E4835" t="str">
        <f>IFERROR(INDEX(tbl_input[집계키_지청],ROW()-1),"")</f>
        <v/>
      </c>
      <c r="F4835" t="str">
        <f t="shared" si="378"/>
        <v/>
      </c>
      <c r="G4835" t="str">
        <f t="shared" si="379"/>
        <v/>
      </c>
    </row>
    <row r="4836" spans="1:7" x14ac:dyDescent="0.4">
      <c r="A4836" t="str">
        <f t="shared" si="375"/>
        <v/>
      </c>
      <c r="B4836" t="str">
        <f t="shared" si="376"/>
        <v/>
      </c>
      <c r="C4836" t="str">
        <f t="shared" si="377"/>
        <v/>
      </c>
      <c r="D4836" t="str">
        <f>IF(E4836="","",IF(COUNTIF($E$2:E4836,E4836)&gt;1,"",SUMIFS(tbl_input[필요수량],tbl_input[집계키_지청],E4836)))</f>
        <v/>
      </c>
      <c r="E4836" t="str">
        <f>IFERROR(INDEX(tbl_input[집계키_지청],ROW()-1),"")</f>
        <v/>
      </c>
      <c r="F4836" t="str">
        <f t="shared" si="378"/>
        <v/>
      </c>
      <c r="G4836" t="str">
        <f t="shared" si="379"/>
        <v/>
      </c>
    </row>
    <row r="4837" spans="1:7" x14ac:dyDescent="0.4">
      <c r="A4837" t="str">
        <f t="shared" si="375"/>
        <v/>
      </c>
      <c r="B4837" t="str">
        <f t="shared" si="376"/>
        <v/>
      </c>
      <c r="C4837" t="str">
        <f t="shared" si="377"/>
        <v/>
      </c>
      <c r="D4837" t="str">
        <f>IF(E4837="","",IF(COUNTIF($E$2:E4837,E4837)&gt;1,"",SUMIFS(tbl_input[필요수량],tbl_input[집계키_지청],E4837)))</f>
        <v/>
      </c>
      <c r="E4837" t="str">
        <f>IFERROR(INDEX(tbl_input[집계키_지청],ROW()-1),"")</f>
        <v/>
      </c>
      <c r="F4837" t="str">
        <f t="shared" si="378"/>
        <v/>
      </c>
      <c r="G4837" t="str">
        <f t="shared" si="379"/>
        <v/>
      </c>
    </row>
    <row r="4838" spans="1:7" x14ac:dyDescent="0.4">
      <c r="A4838" t="str">
        <f t="shared" si="375"/>
        <v/>
      </c>
      <c r="B4838" t="str">
        <f t="shared" si="376"/>
        <v/>
      </c>
      <c r="C4838" t="str">
        <f t="shared" si="377"/>
        <v/>
      </c>
      <c r="D4838" t="str">
        <f>IF(E4838="","",IF(COUNTIF($E$2:E4838,E4838)&gt;1,"",SUMIFS(tbl_input[필요수량],tbl_input[집계키_지청],E4838)))</f>
        <v/>
      </c>
      <c r="E4838" t="str">
        <f>IFERROR(INDEX(tbl_input[집계키_지청],ROW()-1),"")</f>
        <v/>
      </c>
      <c r="F4838" t="str">
        <f t="shared" si="378"/>
        <v/>
      </c>
      <c r="G4838" t="str">
        <f t="shared" si="379"/>
        <v/>
      </c>
    </row>
    <row r="4839" spans="1:7" x14ac:dyDescent="0.4">
      <c r="A4839" t="str">
        <f t="shared" si="375"/>
        <v/>
      </c>
      <c r="B4839" t="str">
        <f t="shared" si="376"/>
        <v/>
      </c>
      <c r="C4839" t="str">
        <f t="shared" si="377"/>
        <v/>
      </c>
      <c r="D4839" t="str">
        <f>IF(E4839="","",IF(COUNTIF($E$2:E4839,E4839)&gt;1,"",SUMIFS(tbl_input[필요수량],tbl_input[집계키_지청],E4839)))</f>
        <v/>
      </c>
      <c r="E4839" t="str">
        <f>IFERROR(INDEX(tbl_input[집계키_지청],ROW()-1),"")</f>
        <v/>
      </c>
      <c r="F4839" t="str">
        <f t="shared" si="378"/>
        <v/>
      </c>
      <c r="G4839" t="str">
        <f t="shared" si="379"/>
        <v/>
      </c>
    </row>
    <row r="4840" spans="1:7" x14ac:dyDescent="0.4">
      <c r="A4840" t="str">
        <f t="shared" si="375"/>
        <v/>
      </c>
      <c r="B4840" t="str">
        <f t="shared" si="376"/>
        <v/>
      </c>
      <c r="C4840" t="str">
        <f t="shared" si="377"/>
        <v/>
      </c>
      <c r="D4840" t="str">
        <f>IF(E4840="","",IF(COUNTIF($E$2:E4840,E4840)&gt;1,"",SUMIFS(tbl_input[필요수량],tbl_input[집계키_지청],E4840)))</f>
        <v/>
      </c>
      <c r="E4840" t="str">
        <f>IFERROR(INDEX(tbl_input[집계키_지청],ROW()-1),"")</f>
        <v/>
      </c>
      <c r="F4840" t="str">
        <f t="shared" si="378"/>
        <v/>
      </c>
      <c r="G4840" t="str">
        <f t="shared" si="379"/>
        <v/>
      </c>
    </row>
    <row r="4841" spans="1:7" x14ac:dyDescent="0.4">
      <c r="A4841" t="str">
        <f t="shared" si="375"/>
        <v/>
      </c>
      <c r="B4841" t="str">
        <f t="shared" si="376"/>
        <v/>
      </c>
      <c r="C4841" t="str">
        <f t="shared" si="377"/>
        <v/>
      </c>
      <c r="D4841" t="str">
        <f>IF(E4841="","",IF(COUNTIF($E$2:E4841,E4841)&gt;1,"",SUMIFS(tbl_input[필요수량],tbl_input[집계키_지청],E4841)))</f>
        <v/>
      </c>
      <c r="E4841" t="str">
        <f>IFERROR(INDEX(tbl_input[집계키_지청],ROW()-1),"")</f>
        <v/>
      </c>
      <c r="F4841" t="str">
        <f t="shared" si="378"/>
        <v/>
      </c>
      <c r="G4841" t="str">
        <f t="shared" si="379"/>
        <v/>
      </c>
    </row>
    <row r="4842" spans="1:7" x14ac:dyDescent="0.4">
      <c r="A4842" t="str">
        <f t="shared" si="375"/>
        <v/>
      </c>
      <c r="B4842" t="str">
        <f t="shared" si="376"/>
        <v/>
      </c>
      <c r="C4842" t="str">
        <f t="shared" si="377"/>
        <v/>
      </c>
      <c r="D4842" t="str">
        <f>IF(E4842="","",IF(COUNTIF($E$2:E4842,E4842)&gt;1,"",SUMIFS(tbl_input[필요수량],tbl_input[집계키_지청],E4842)))</f>
        <v/>
      </c>
      <c r="E4842" t="str">
        <f>IFERROR(INDEX(tbl_input[집계키_지청],ROW()-1),"")</f>
        <v/>
      </c>
      <c r="F4842" t="str">
        <f t="shared" si="378"/>
        <v/>
      </c>
      <c r="G4842" t="str">
        <f t="shared" si="379"/>
        <v/>
      </c>
    </row>
    <row r="4843" spans="1:7" x14ac:dyDescent="0.4">
      <c r="A4843" t="str">
        <f t="shared" si="375"/>
        <v/>
      </c>
      <c r="B4843" t="str">
        <f t="shared" si="376"/>
        <v/>
      </c>
      <c r="C4843" t="str">
        <f t="shared" si="377"/>
        <v/>
      </c>
      <c r="D4843" t="str">
        <f>IF(E4843="","",IF(COUNTIF($E$2:E4843,E4843)&gt;1,"",SUMIFS(tbl_input[필요수량],tbl_input[집계키_지청],E4843)))</f>
        <v/>
      </c>
      <c r="E4843" t="str">
        <f>IFERROR(INDEX(tbl_input[집계키_지청],ROW()-1),"")</f>
        <v/>
      </c>
      <c r="F4843" t="str">
        <f t="shared" si="378"/>
        <v/>
      </c>
      <c r="G4843" t="str">
        <f t="shared" si="379"/>
        <v/>
      </c>
    </row>
    <row r="4844" spans="1:7" x14ac:dyDescent="0.4">
      <c r="A4844" t="str">
        <f t="shared" si="375"/>
        <v/>
      </c>
      <c r="B4844" t="str">
        <f t="shared" si="376"/>
        <v/>
      </c>
      <c r="C4844" t="str">
        <f t="shared" si="377"/>
        <v/>
      </c>
      <c r="D4844" t="str">
        <f>IF(E4844="","",IF(COUNTIF($E$2:E4844,E4844)&gt;1,"",SUMIFS(tbl_input[필요수량],tbl_input[집계키_지청],E4844)))</f>
        <v/>
      </c>
      <c r="E4844" t="str">
        <f>IFERROR(INDEX(tbl_input[집계키_지청],ROW()-1),"")</f>
        <v/>
      </c>
      <c r="F4844" t="str">
        <f t="shared" si="378"/>
        <v/>
      </c>
      <c r="G4844" t="str">
        <f t="shared" si="379"/>
        <v/>
      </c>
    </row>
    <row r="4845" spans="1:7" x14ac:dyDescent="0.4">
      <c r="A4845" t="str">
        <f t="shared" si="375"/>
        <v/>
      </c>
      <c r="B4845" t="str">
        <f t="shared" si="376"/>
        <v/>
      </c>
      <c r="C4845" t="str">
        <f t="shared" si="377"/>
        <v/>
      </c>
      <c r="D4845" t="str">
        <f>IF(E4845="","",IF(COUNTIF($E$2:E4845,E4845)&gt;1,"",SUMIFS(tbl_input[필요수량],tbl_input[집계키_지청],E4845)))</f>
        <v/>
      </c>
      <c r="E4845" t="str">
        <f>IFERROR(INDEX(tbl_input[집계키_지청],ROW()-1),"")</f>
        <v/>
      </c>
      <c r="F4845" t="str">
        <f t="shared" si="378"/>
        <v/>
      </c>
      <c r="G4845" t="str">
        <f t="shared" si="379"/>
        <v/>
      </c>
    </row>
    <row r="4846" spans="1:7" x14ac:dyDescent="0.4">
      <c r="A4846" t="str">
        <f t="shared" si="375"/>
        <v/>
      </c>
      <c r="B4846" t="str">
        <f t="shared" si="376"/>
        <v/>
      </c>
      <c r="C4846" t="str">
        <f t="shared" si="377"/>
        <v/>
      </c>
      <c r="D4846" t="str">
        <f>IF(E4846="","",IF(COUNTIF($E$2:E4846,E4846)&gt;1,"",SUMIFS(tbl_input[필요수량],tbl_input[집계키_지청],E4846)))</f>
        <v/>
      </c>
      <c r="E4846" t="str">
        <f>IFERROR(INDEX(tbl_input[집계키_지청],ROW()-1),"")</f>
        <v/>
      </c>
      <c r="F4846" t="str">
        <f t="shared" si="378"/>
        <v/>
      </c>
      <c r="G4846" t="str">
        <f t="shared" si="379"/>
        <v/>
      </c>
    </row>
    <row r="4847" spans="1:7" x14ac:dyDescent="0.4">
      <c r="A4847" t="str">
        <f t="shared" si="375"/>
        <v/>
      </c>
      <c r="B4847" t="str">
        <f t="shared" si="376"/>
        <v/>
      </c>
      <c r="C4847" t="str">
        <f t="shared" si="377"/>
        <v/>
      </c>
      <c r="D4847" t="str">
        <f>IF(E4847="","",IF(COUNTIF($E$2:E4847,E4847)&gt;1,"",SUMIFS(tbl_input[필요수량],tbl_input[집계키_지청],E4847)))</f>
        <v/>
      </c>
      <c r="E4847" t="str">
        <f>IFERROR(INDEX(tbl_input[집계키_지청],ROW()-1),"")</f>
        <v/>
      </c>
      <c r="F4847" t="str">
        <f t="shared" si="378"/>
        <v/>
      </c>
      <c r="G4847" t="str">
        <f t="shared" si="379"/>
        <v/>
      </c>
    </row>
    <row r="4848" spans="1:7" x14ac:dyDescent="0.4">
      <c r="A4848" t="str">
        <f t="shared" si="375"/>
        <v/>
      </c>
      <c r="B4848" t="str">
        <f t="shared" si="376"/>
        <v/>
      </c>
      <c r="C4848" t="str">
        <f t="shared" si="377"/>
        <v/>
      </c>
      <c r="D4848" t="str">
        <f>IF(E4848="","",IF(COUNTIF($E$2:E4848,E4848)&gt;1,"",SUMIFS(tbl_input[필요수량],tbl_input[집계키_지청],E4848)))</f>
        <v/>
      </c>
      <c r="E4848" t="str">
        <f>IFERROR(INDEX(tbl_input[집계키_지청],ROW()-1),"")</f>
        <v/>
      </c>
      <c r="F4848" t="str">
        <f t="shared" si="378"/>
        <v/>
      </c>
      <c r="G4848" t="str">
        <f t="shared" si="379"/>
        <v/>
      </c>
    </row>
    <row r="4849" spans="1:7" x14ac:dyDescent="0.4">
      <c r="A4849" t="str">
        <f t="shared" si="375"/>
        <v/>
      </c>
      <c r="B4849" t="str">
        <f t="shared" si="376"/>
        <v/>
      </c>
      <c r="C4849" t="str">
        <f t="shared" si="377"/>
        <v/>
      </c>
      <c r="D4849" t="str">
        <f>IF(E4849="","",IF(COUNTIF($E$2:E4849,E4849)&gt;1,"",SUMIFS(tbl_input[필요수량],tbl_input[집계키_지청],E4849)))</f>
        <v/>
      </c>
      <c r="E4849" t="str">
        <f>IFERROR(INDEX(tbl_input[집계키_지청],ROW()-1),"")</f>
        <v/>
      </c>
      <c r="F4849" t="str">
        <f t="shared" si="378"/>
        <v/>
      </c>
      <c r="G4849" t="str">
        <f t="shared" si="379"/>
        <v/>
      </c>
    </row>
    <row r="4850" spans="1:7" x14ac:dyDescent="0.4">
      <c r="A4850" t="str">
        <f t="shared" si="375"/>
        <v/>
      </c>
      <c r="B4850" t="str">
        <f t="shared" si="376"/>
        <v/>
      </c>
      <c r="C4850" t="str">
        <f t="shared" si="377"/>
        <v/>
      </c>
      <c r="D4850" t="str">
        <f>IF(E4850="","",IF(COUNTIF($E$2:E4850,E4850)&gt;1,"",SUMIFS(tbl_input[필요수량],tbl_input[집계키_지청],E4850)))</f>
        <v/>
      </c>
      <c r="E4850" t="str">
        <f>IFERROR(INDEX(tbl_input[집계키_지청],ROW()-1),"")</f>
        <v/>
      </c>
      <c r="F4850" t="str">
        <f t="shared" si="378"/>
        <v/>
      </c>
      <c r="G4850" t="str">
        <f t="shared" si="379"/>
        <v/>
      </c>
    </row>
    <row r="4851" spans="1:7" x14ac:dyDescent="0.4">
      <c r="A4851" t="str">
        <f t="shared" si="375"/>
        <v/>
      </c>
      <c r="B4851" t="str">
        <f t="shared" si="376"/>
        <v/>
      </c>
      <c r="C4851" t="str">
        <f t="shared" si="377"/>
        <v/>
      </c>
      <c r="D4851" t="str">
        <f>IF(E4851="","",IF(COUNTIF($E$2:E4851,E4851)&gt;1,"",SUMIFS(tbl_input[필요수량],tbl_input[집계키_지청],E4851)))</f>
        <v/>
      </c>
      <c r="E4851" t="str">
        <f>IFERROR(INDEX(tbl_input[집계키_지청],ROW()-1),"")</f>
        <v/>
      </c>
      <c r="F4851" t="str">
        <f t="shared" si="378"/>
        <v/>
      </c>
      <c r="G4851" t="str">
        <f t="shared" si="379"/>
        <v/>
      </c>
    </row>
    <row r="4852" spans="1:7" x14ac:dyDescent="0.4">
      <c r="A4852" t="str">
        <f t="shared" si="375"/>
        <v/>
      </c>
      <c r="B4852" t="str">
        <f t="shared" si="376"/>
        <v/>
      </c>
      <c r="C4852" t="str">
        <f t="shared" si="377"/>
        <v/>
      </c>
      <c r="D4852" t="str">
        <f>IF(E4852="","",IF(COUNTIF($E$2:E4852,E4852)&gt;1,"",SUMIFS(tbl_input[필요수량],tbl_input[집계키_지청],E4852)))</f>
        <v/>
      </c>
      <c r="E4852" t="str">
        <f>IFERROR(INDEX(tbl_input[집계키_지청],ROW()-1),"")</f>
        <v/>
      </c>
      <c r="F4852" t="str">
        <f t="shared" si="378"/>
        <v/>
      </c>
      <c r="G4852" t="str">
        <f t="shared" si="379"/>
        <v/>
      </c>
    </row>
    <row r="4853" spans="1:7" x14ac:dyDescent="0.4">
      <c r="A4853" t="str">
        <f t="shared" si="375"/>
        <v/>
      </c>
      <c r="B4853" t="str">
        <f t="shared" si="376"/>
        <v/>
      </c>
      <c r="C4853" t="str">
        <f t="shared" si="377"/>
        <v/>
      </c>
      <c r="D4853" t="str">
        <f>IF(E4853="","",IF(COUNTIF($E$2:E4853,E4853)&gt;1,"",SUMIFS(tbl_input[필요수량],tbl_input[집계키_지청],E4853)))</f>
        <v/>
      </c>
      <c r="E4853" t="str">
        <f>IFERROR(INDEX(tbl_input[집계키_지청],ROW()-1),"")</f>
        <v/>
      </c>
      <c r="F4853" t="str">
        <f t="shared" si="378"/>
        <v/>
      </c>
      <c r="G4853" t="str">
        <f t="shared" si="379"/>
        <v/>
      </c>
    </row>
    <row r="4854" spans="1:7" x14ac:dyDescent="0.4">
      <c r="A4854" t="str">
        <f t="shared" si="375"/>
        <v/>
      </c>
      <c r="B4854" t="str">
        <f t="shared" si="376"/>
        <v/>
      </c>
      <c r="C4854" t="str">
        <f t="shared" si="377"/>
        <v/>
      </c>
      <c r="D4854" t="str">
        <f>IF(E4854="","",IF(COUNTIF($E$2:E4854,E4854)&gt;1,"",SUMIFS(tbl_input[필요수량],tbl_input[집계키_지청],E4854)))</f>
        <v/>
      </c>
      <c r="E4854" t="str">
        <f>IFERROR(INDEX(tbl_input[집계키_지청],ROW()-1),"")</f>
        <v/>
      </c>
      <c r="F4854" t="str">
        <f t="shared" si="378"/>
        <v/>
      </c>
      <c r="G4854" t="str">
        <f t="shared" si="379"/>
        <v/>
      </c>
    </row>
    <row r="4855" spans="1:7" x14ac:dyDescent="0.4">
      <c r="A4855" t="str">
        <f t="shared" si="375"/>
        <v/>
      </c>
      <c r="B4855" t="str">
        <f t="shared" si="376"/>
        <v/>
      </c>
      <c r="C4855" t="str">
        <f t="shared" si="377"/>
        <v/>
      </c>
      <c r="D4855" t="str">
        <f>IF(E4855="","",IF(COUNTIF($E$2:E4855,E4855)&gt;1,"",SUMIFS(tbl_input[필요수량],tbl_input[집계키_지청],E4855)))</f>
        <v/>
      </c>
      <c r="E4855" t="str">
        <f>IFERROR(INDEX(tbl_input[집계키_지청],ROW()-1),"")</f>
        <v/>
      </c>
      <c r="F4855" t="str">
        <f t="shared" si="378"/>
        <v/>
      </c>
      <c r="G4855" t="str">
        <f t="shared" si="379"/>
        <v/>
      </c>
    </row>
    <row r="4856" spans="1:7" x14ac:dyDescent="0.4">
      <c r="A4856" t="str">
        <f t="shared" si="375"/>
        <v/>
      </c>
      <c r="B4856" t="str">
        <f t="shared" si="376"/>
        <v/>
      </c>
      <c r="C4856" t="str">
        <f t="shared" si="377"/>
        <v/>
      </c>
      <c r="D4856" t="str">
        <f>IF(E4856="","",IF(COUNTIF($E$2:E4856,E4856)&gt;1,"",SUMIFS(tbl_input[필요수량],tbl_input[집계키_지청],E4856)))</f>
        <v/>
      </c>
      <c r="E4856" t="str">
        <f>IFERROR(INDEX(tbl_input[집계키_지청],ROW()-1),"")</f>
        <v/>
      </c>
      <c r="F4856" t="str">
        <f t="shared" si="378"/>
        <v/>
      </c>
      <c r="G4856" t="str">
        <f t="shared" si="379"/>
        <v/>
      </c>
    </row>
    <row r="4857" spans="1:7" x14ac:dyDescent="0.4">
      <c r="A4857" t="str">
        <f t="shared" si="375"/>
        <v/>
      </c>
      <c r="B4857" t="str">
        <f t="shared" si="376"/>
        <v/>
      </c>
      <c r="C4857" t="str">
        <f t="shared" si="377"/>
        <v/>
      </c>
      <c r="D4857" t="str">
        <f>IF(E4857="","",IF(COUNTIF($E$2:E4857,E4857)&gt;1,"",SUMIFS(tbl_input[필요수량],tbl_input[집계키_지청],E4857)))</f>
        <v/>
      </c>
      <c r="E4857" t="str">
        <f>IFERROR(INDEX(tbl_input[집계키_지청],ROW()-1),"")</f>
        <v/>
      </c>
      <c r="F4857" t="str">
        <f t="shared" si="378"/>
        <v/>
      </c>
      <c r="G4857" t="str">
        <f t="shared" si="379"/>
        <v/>
      </c>
    </row>
    <row r="4858" spans="1:7" x14ac:dyDescent="0.4">
      <c r="A4858" t="str">
        <f t="shared" si="375"/>
        <v/>
      </c>
      <c r="B4858" t="str">
        <f t="shared" si="376"/>
        <v/>
      </c>
      <c r="C4858" t="str">
        <f t="shared" si="377"/>
        <v/>
      </c>
      <c r="D4858" t="str">
        <f>IF(E4858="","",IF(COUNTIF($E$2:E4858,E4858)&gt;1,"",SUMIFS(tbl_input[필요수량],tbl_input[집계키_지청],E4858)))</f>
        <v/>
      </c>
      <c r="E4858" t="str">
        <f>IFERROR(INDEX(tbl_input[집계키_지청],ROW()-1),"")</f>
        <v/>
      </c>
      <c r="F4858" t="str">
        <f t="shared" si="378"/>
        <v/>
      </c>
      <c r="G4858" t="str">
        <f t="shared" si="379"/>
        <v/>
      </c>
    </row>
    <row r="4859" spans="1:7" x14ac:dyDescent="0.4">
      <c r="A4859" t="str">
        <f t="shared" si="375"/>
        <v/>
      </c>
      <c r="B4859" t="str">
        <f t="shared" si="376"/>
        <v/>
      </c>
      <c r="C4859" t="str">
        <f t="shared" si="377"/>
        <v/>
      </c>
      <c r="D4859" t="str">
        <f>IF(E4859="","",IF(COUNTIF($E$2:E4859,E4859)&gt;1,"",SUMIFS(tbl_input[필요수량],tbl_input[집계키_지청],E4859)))</f>
        <v/>
      </c>
      <c r="E4859" t="str">
        <f>IFERROR(INDEX(tbl_input[집계키_지청],ROW()-1),"")</f>
        <v/>
      </c>
      <c r="F4859" t="str">
        <f t="shared" si="378"/>
        <v/>
      </c>
      <c r="G4859" t="str">
        <f t="shared" si="379"/>
        <v/>
      </c>
    </row>
    <row r="4860" spans="1:7" x14ac:dyDescent="0.4">
      <c r="A4860" t="str">
        <f t="shared" si="375"/>
        <v/>
      </c>
      <c r="B4860" t="str">
        <f t="shared" si="376"/>
        <v/>
      </c>
      <c r="C4860" t="str">
        <f t="shared" si="377"/>
        <v/>
      </c>
      <c r="D4860" t="str">
        <f>IF(E4860="","",IF(COUNTIF($E$2:E4860,E4860)&gt;1,"",SUMIFS(tbl_input[필요수량],tbl_input[집계키_지청],E4860)))</f>
        <v/>
      </c>
      <c r="E4860" t="str">
        <f>IFERROR(INDEX(tbl_input[집계키_지청],ROW()-1),"")</f>
        <v/>
      </c>
      <c r="F4860" t="str">
        <f t="shared" si="378"/>
        <v/>
      </c>
      <c r="G4860" t="str">
        <f t="shared" si="379"/>
        <v/>
      </c>
    </row>
    <row r="4861" spans="1:7" x14ac:dyDescent="0.4">
      <c r="A4861" t="str">
        <f t="shared" si="375"/>
        <v/>
      </c>
      <c r="B4861" t="str">
        <f t="shared" si="376"/>
        <v/>
      </c>
      <c r="C4861" t="str">
        <f t="shared" si="377"/>
        <v/>
      </c>
      <c r="D4861" t="str">
        <f>IF(E4861="","",IF(COUNTIF($E$2:E4861,E4861)&gt;1,"",SUMIFS(tbl_input[필요수량],tbl_input[집계키_지청],E4861)))</f>
        <v/>
      </c>
      <c r="E4861" t="str">
        <f>IFERROR(INDEX(tbl_input[집계키_지청],ROW()-1),"")</f>
        <v/>
      </c>
      <c r="F4861" t="str">
        <f t="shared" si="378"/>
        <v/>
      </c>
      <c r="G4861" t="str">
        <f t="shared" si="379"/>
        <v/>
      </c>
    </row>
    <row r="4862" spans="1:7" x14ac:dyDescent="0.4">
      <c r="A4862" t="str">
        <f t="shared" si="375"/>
        <v/>
      </c>
      <c r="B4862" t="str">
        <f t="shared" si="376"/>
        <v/>
      </c>
      <c r="C4862" t="str">
        <f t="shared" si="377"/>
        <v/>
      </c>
      <c r="D4862" t="str">
        <f>IF(E4862="","",IF(COUNTIF($E$2:E4862,E4862)&gt;1,"",SUMIFS(tbl_input[필요수량],tbl_input[집계키_지청],E4862)))</f>
        <v/>
      </c>
      <c r="E4862" t="str">
        <f>IFERROR(INDEX(tbl_input[집계키_지청],ROW()-1),"")</f>
        <v/>
      </c>
      <c r="F4862" t="str">
        <f t="shared" si="378"/>
        <v/>
      </c>
      <c r="G4862" t="str">
        <f t="shared" si="379"/>
        <v/>
      </c>
    </row>
    <row r="4863" spans="1:7" x14ac:dyDescent="0.4">
      <c r="A4863" t="str">
        <f t="shared" si="375"/>
        <v/>
      </c>
      <c r="B4863" t="str">
        <f t="shared" si="376"/>
        <v/>
      </c>
      <c r="C4863" t="str">
        <f t="shared" si="377"/>
        <v/>
      </c>
      <c r="D4863" t="str">
        <f>IF(E4863="","",IF(COUNTIF($E$2:E4863,E4863)&gt;1,"",SUMIFS(tbl_input[필요수량],tbl_input[집계키_지청],E4863)))</f>
        <v/>
      </c>
      <c r="E4863" t="str">
        <f>IFERROR(INDEX(tbl_input[집계키_지청],ROW()-1),"")</f>
        <v/>
      </c>
      <c r="F4863" t="str">
        <f t="shared" si="378"/>
        <v/>
      </c>
      <c r="G4863" t="str">
        <f t="shared" si="379"/>
        <v/>
      </c>
    </row>
    <row r="4864" spans="1:7" x14ac:dyDescent="0.4">
      <c r="A4864" t="str">
        <f t="shared" si="375"/>
        <v/>
      </c>
      <c r="B4864" t="str">
        <f t="shared" si="376"/>
        <v/>
      </c>
      <c r="C4864" t="str">
        <f t="shared" si="377"/>
        <v/>
      </c>
      <c r="D4864" t="str">
        <f>IF(E4864="","",IF(COUNTIF($E$2:E4864,E4864)&gt;1,"",SUMIFS(tbl_input[필요수량],tbl_input[집계키_지청],E4864)))</f>
        <v/>
      </c>
      <c r="E4864" t="str">
        <f>IFERROR(INDEX(tbl_input[집계키_지청],ROW()-1),"")</f>
        <v/>
      </c>
      <c r="F4864" t="str">
        <f t="shared" si="378"/>
        <v/>
      </c>
      <c r="G4864" t="str">
        <f t="shared" si="379"/>
        <v/>
      </c>
    </row>
    <row r="4865" spans="1:7" x14ac:dyDescent="0.4">
      <c r="A4865" t="str">
        <f t="shared" si="375"/>
        <v/>
      </c>
      <c r="B4865" t="str">
        <f t="shared" si="376"/>
        <v/>
      </c>
      <c r="C4865" t="str">
        <f t="shared" si="377"/>
        <v/>
      </c>
      <c r="D4865" t="str">
        <f>IF(E4865="","",IF(COUNTIF($E$2:E4865,E4865)&gt;1,"",SUMIFS(tbl_input[필요수량],tbl_input[집계키_지청],E4865)))</f>
        <v/>
      </c>
      <c r="E4865" t="str">
        <f>IFERROR(INDEX(tbl_input[집계키_지청],ROW()-1),"")</f>
        <v/>
      </c>
      <c r="F4865" t="str">
        <f t="shared" si="378"/>
        <v/>
      </c>
      <c r="G4865" t="str">
        <f t="shared" si="379"/>
        <v/>
      </c>
    </row>
    <row r="4866" spans="1:7" x14ac:dyDescent="0.4">
      <c r="A4866" t="str">
        <f t="shared" ref="A4866:A4929" si="380">IF(E4866="","",LEFT(E4866,F4866-1))</f>
        <v/>
      </c>
      <c r="B4866" t="str">
        <f t="shared" ref="B4866:B4929" si="381">IF(E4866="","",MID(E4866,F4866+1,G4866-F4866-1))</f>
        <v/>
      </c>
      <c r="C4866" t="str">
        <f t="shared" ref="C4866:C4929" si="382">IF(E4866="","",MID(E4866,G4866+1,999))</f>
        <v/>
      </c>
      <c r="D4866" t="str">
        <f>IF(E4866="","",IF(COUNTIF($E$2:E4866,E4866)&gt;1,"",SUMIFS(tbl_input[필요수량],tbl_input[집계키_지청],E4866)))</f>
        <v/>
      </c>
      <c r="E4866" t="str">
        <f>IFERROR(INDEX(tbl_input[집계키_지청],ROW()-1),"")</f>
        <v/>
      </c>
      <c r="F4866" t="str">
        <f t="shared" ref="F4866:F4929" si="383">IF(E4866="","",FIND("♦",E4866))</f>
        <v/>
      </c>
      <c r="G4866" t="str">
        <f t="shared" ref="G4866:G4929" si="384">IF(E4866="","",FIND("♦",E4866,F4866+1))</f>
        <v/>
      </c>
    </row>
    <row r="4867" spans="1:7" x14ac:dyDescent="0.4">
      <c r="A4867" t="str">
        <f t="shared" si="380"/>
        <v/>
      </c>
      <c r="B4867" t="str">
        <f t="shared" si="381"/>
        <v/>
      </c>
      <c r="C4867" t="str">
        <f t="shared" si="382"/>
        <v/>
      </c>
      <c r="D4867" t="str">
        <f>IF(E4867="","",IF(COUNTIF($E$2:E4867,E4867)&gt;1,"",SUMIFS(tbl_input[필요수량],tbl_input[집계키_지청],E4867)))</f>
        <v/>
      </c>
      <c r="E4867" t="str">
        <f>IFERROR(INDEX(tbl_input[집계키_지청],ROW()-1),"")</f>
        <v/>
      </c>
      <c r="F4867" t="str">
        <f t="shared" si="383"/>
        <v/>
      </c>
      <c r="G4867" t="str">
        <f t="shared" si="384"/>
        <v/>
      </c>
    </row>
    <row r="4868" spans="1:7" x14ac:dyDescent="0.4">
      <c r="A4868" t="str">
        <f t="shared" si="380"/>
        <v/>
      </c>
      <c r="B4868" t="str">
        <f t="shared" si="381"/>
        <v/>
      </c>
      <c r="C4868" t="str">
        <f t="shared" si="382"/>
        <v/>
      </c>
      <c r="D4868" t="str">
        <f>IF(E4868="","",IF(COUNTIF($E$2:E4868,E4868)&gt;1,"",SUMIFS(tbl_input[필요수량],tbl_input[집계키_지청],E4868)))</f>
        <v/>
      </c>
      <c r="E4868" t="str">
        <f>IFERROR(INDEX(tbl_input[집계키_지청],ROW()-1),"")</f>
        <v/>
      </c>
      <c r="F4868" t="str">
        <f t="shared" si="383"/>
        <v/>
      </c>
      <c r="G4868" t="str">
        <f t="shared" si="384"/>
        <v/>
      </c>
    </row>
    <row r="4869" spans="1:7" x14ac:dyDescent="0.4">
      <c r="A4869" t="str">
        <f t="shared" si="380"/>
        <v/>
      </c>
      <c r="B4869" t="str">
        <f t="shared" si="381"/>
        <v/>
      </c>
      <c r="C4869" t="str">
        <f t="shared" si="382"/>
        <v/>
      </c>
      <c r="D4869" t="str">
        <f>IF(E4869="","",IF(COUNTIF($E$2:E4869,E4869)&gt;1,"",SUMIFS(tbl_input[필요수량],tbl_input[집계키_지청],E4869)))</f>
        <v/>
      </c>
      <c r="E4869" t="str">
        <f>IFERROR(INDEX(tbl_input[집계키_지청],ROW()-1),"")</f>
        <v/>
      </c>
      <c r="F4869" t="str">
        <f t="shared" si="383"/>
        <v/>
      </c>
      <c r="G4869" t="str">
        <f t="shared" si="384"/>
        <v/>
      </c>
    </row>
    <row r="4870" spans="1:7" x14ac:dyDescent="0.4">
      <c r="A4870" t="str">
        <f t="shared" si="380"/>
        <v/>
      </c>
      <c r="B4870" t="str">
        <f t="shared" si="381"/>
        <v/>
      </c>
      <c r="C4870" t="str">
        <f t="shared" si="382"/>
        <v/>
      </c>
      <c r="D4870" t="str">
        <f>IF(E4870="","",IF(COUNTIF($E$2:E4870,E4870)&gt;1,"",SUMIFS(tbl_input[필요수량],tbl_input[집계키_지청],E4870)))</f>
        <v/>
      </c>
      <c r="E4870" t="str">
        <f>IFERROR(INDEX(tbl_input[집계키_지청],ROW()-1),"")</f>
        <v/>
      </c>
      <c r="F4870" t="str">
        <f t="shared" si="383"/>
        <v/>
      </c>
      <c r="G4870" t="str">
        <f t="shared" si="384"/>
        <v/>
      </c>
    </row>
    <row r="4871" spans="1:7" x14ac:dyDescent="0.4">
      <c r="A4871" t="str">
        <f t="shared" si="380"/>
        <v/>
      </c>
      <c r="B4871" t="str">
        <f t="shared" si="381"/>
        <v/>
      </c>
      <c r="C4871" t="str">
        <f t="shared" si="382"/>
        <v/>
      </c>
      <c r="D4871" t="str">
        <f>IF(E4871="","",IF(COUNTIF($E$2:E4871,E4871)&gt;1,"",SUMIFS(tbl_input[필요수량],tbl_input[집계키_지청],E4871)))</f>
        <v/>
      </c>
      <c r="E4871" t="str">
        <f>IFERROR(INDEX(tbl_input[집계키_지청],ROW()-1),"")</f>
        <v/>
      </c>
      <c r="F4871" t="str">
        <f t="shared" si="383"/>
        <v/>
      </c>
      <c r="G4871" t="str">
        <f t="shared" si="384"/>
        <v/>
      </c>
    </row>
    <row r="4872" spans="1:7" x14ac:dyDescent="0.4">
      <c r="A4872" t="str">
        <f t="shared" si="380"/>
        <v/>
      </c>
      <c r="B4872" t="str">
        <f t="shared" si="381"/>
        <v/>
      </c>
      <c r="C4872" t="str">
        <f t="shared" si="382"/>
        <v/>
      </c>
      <c r="D4872" t="str">
        <f>IF(E4872="","",IF(COUNTIF($E$2:E4872,E4872)&gt;1,"",SUMIFS(tbl_input[필요수량],tbl_input[집계키_지청],E4872)))</f>
        <v/>
      </c>
      <c r="E4872" t="str">
        <f>IFERROR(INDEX(tbl_input[집계키_지청],ROW()-1),"")</f>
        <v/>
      </c>
      <c r="F4872" t="str">
        <f t="shared" si="383"/>
        <v/>
      </c>
      <c r="G4872" t="str">
        <f t="shared" si="384"/>
        <v/>
      </c>
    </row>
    <row r="4873" spans="1:7" x14ac:dyDescent="0.4">
      <c r="A4873" t="str">
        <f t="shared" si="380"/>
        <v/>
      </c>
      <c r="B4873" t="str">
        <f t="shared" si="381"/>
        <v/>
      </c>
      <c r="C4873" t="str">
        <f t="shared" si="382"/>
        <v/>
      </c>
      <c r="D4873" t="str">
        <f>IF(E4873="","",IF(COUNTIF($E$2:E4873,E4873)&gt;1,"",SUMIFS(tbl_input[필요수량],tbl_input[집계키_지청],E4873)))</f>
        <v/>
      </c>
      <c r="E4873" t="str">
        <f>IFERROR(INDEX(tbl_input[집계키_지청],ROW()-1),"")</f>
        <v/>
      </c>
      <c r="F4873" t="str">
        <f t="shared" si="383"/>
        <v/>
      </c>
      <c r="G4873" t="str">
        <f t="shared" si="384"/>
        <v/>
      </c>
    </row>
    <row r="4874" spans="1:7" x14ac:dyDescent="0.4">
      <c r="A4874" t="str">
        <f t="shared" si="380"/>
        <v/>
      </c>
      <c r="B4874" t="str">
        <f t="shared" si="381"/>
        <v/>
      </c>
      <c r="C4874" t="str">
        <f t="shared" si="382"/>
        <v/>
      </c>
      <c r="D4874" t="str">
        <f>IF(E4874="","",IF(COUNTIF($E$2:E4874,E4874)&gt;1,"",SUMIFS(tbl_input[필요수량],tbl_input[집계키_지청],E4874)))</f>
        <v/>
      </c>
      <c r="E4874" t="str">
        <f>IFERROR(INDEX(tbl_input[집계키_지청],ROW()-1),"")</f>
        <v/>
      </c>
      <c r="F4874" t="str">
        <f t="shared" si="383"/>
        <v/>
      </c>
      <c r="G4874" t="str">
        <f t="shared" si="384"/>
        <v/>
      </c>
    </row>
    <row r="4875" spans="1:7" x14ac:dyDescent="0.4">
      <c r="A4875" t="str">
        <f t="shared" si="380"/>
        <v/>
      </c>
      <c r="B4875" t="str">
        <f t="shared" si="381"/>
        <v/>
      </c>
      <c r="C4875" t="str">
        <f t="shared" si="382"/>
        <v/>
      </c>
      <c r="D4875" t="str">
        <f>IF(E4875="","",IF(COUNTIF($E$2:E4875,E4875)&gt;1,"",SUMIFS(tbl_input[필요수량],tbl_input[집계키_지청],E4875)))</f>
        <v/>
      </c>
      <c r="E4875" t="str">
        <f>IFERROR(INDEX(tbl_input[집계키_지청],ROW()-1),"")</f>
        <v/>
      </c>
      <c r="F4875" t="str">
        <f t="shared" si="383"/>
        <v/>
      </c>
      <c r="G4875" t="str">
        <f t="shared" si="384"/>
        <v/>
      </c>
    </row>
    <row r="4876" spans="1:7" x14ac:dyDescent="0.4">
      <c r="A4876" t="str">
        <f t="shared" si="380"/>
        <v/>
      </c>
      <c r="B4876" t="str">
        <f t="shared" si="381"/>
        <v/>
      </c>
      <c r="C4876" t="str">
        <f t="shared" si="382"/>
        <v/>
      </c>
      <c r="D4876" t="str">
        <f>IF(E4876="","",IF(COUNTIF($E$2:E4876,E4876)&gt;1,"",SUMIFS(tbl_input[필요수량],tbl_input[집계키_지청],E4876)))</f>
        <v/>
      </c>
      <c r="E4876" t="str">
        <f>IFERROR(INDEX(tbl_input[집계키_지청],ROW()-1),"")</f>
        <v/>
      </c>
      <c r="F4876" t="str">
        <f t="shared" si="383"/>
        <v/>
      </c>
      <c r="G4876" t="str">
        <f t="shared" si="384"/>
        <v/>
      </c>
    </row>
    <row r="4877" spans="1:7" x14ac:dyDescent="0.4">
      <c r="A4877" t="str">
        <f t="shared" si="380"/>
        <v/>
      </c>
      <c r="B4877" t="str">
        <f t="shared" si="381"/>
        <v/>
      </c>
      <c r="C4877" t="str">
        <f t="shared" si="382"/>
        <v/>
      </c>
      <c r="D4877" t="str">
        <f>IF(E4877="","",IF(COUNTIF($E$2:E4877,E4877)&gt;1,"",SUMIFS(tbl_input[필요수량],tbl_input[집계키_지청],E4877)))</f>
        <v/>
      </c>
      <c r="E4877" t="str">
        <f>IFERROR(INDEX(tbl_input[집계키_지청],ROW()-1),"")</f>
        <v/>
      </c>
      <c r="F4877" t="str">
        <f t="shared" si="383"/>
        <v/>
      </c>
      <c r="G4877" t="str">
        <f t="shared" si="384"/>
        <v/>
      </c>
    </row>
    <row r="4878" spans="1:7" x14ac:dyDescent="0.4">
      <c r="A4878" t="str">
        <f t="shared" si="380"/>
        <v/>
      </c>
      <c r="B4878" t="str">
        <f t="shared" si="381"/>
        <v/>
      </c>
      <c r="C4878" t="str">
        <f t="shared" si="382"/>
        <v/>
      </c>
      <c r="D4878" t="str">
        <f>IF(E4878="","",IF(COUNTIF($E$2:E4878,E4878)&gt;1,"",SUMIFS(tbl_input[필요수량],tbl_input[집계키_지청],E4878)))</f>
        <v/>
      </c>
      <c r="E4878" t="str">
        <f>IFERROR(INDEX(tbl_input[집계키_지청],ROW()-1),"")</f>
        <v/>
      </c>
      <c r="F4878" t="str">
        <f t="shared" si="383"/>
        <v/>
      </c>
      <c r="G4878" t="str">
        <f t="shared" si="384"/>
        <v/>
      </c>
    </row>
    <row r="4879" spans="1:7" x14ac:dyDescent="0.4">
      <c r="A4879" t="str">
        <f t="shared" si="380"/>
        <v/>
      </c>
      <c r="B4879" t="str">
        <f t="shared" si="381"/>
        <v/>
      </c>
      <c r="C4879" t="str">
        <f t="shared" si="382"/>
        <v/>
      </c>
      <c r="D4879" t="str">
        <f>IF(E4879="","",IF(COUNTIF($E$2:E4879,E4879)&gt;1,"",SUMIFS(tbl_input[필요수량],tbl_input[집계키_지청],E4879)))</f>
        <v/>
      </c>
      <c r="E4879" t="str">
        <f>IFERROR(INDEX(tbl_input[집계키_지청],ROW()-1),"")</f>
        <v/>
      </c>
      <c r="F4879" t="str">
        <f t="shared" si="383"/>
        <v/>
      </c>
      <c r="G4879" t="str">
        <f t="shared" si="384"/>
        <v/>
      </c>
    </row>
    <row r="4880" spans="1:7" x14ac:dyDescent="0.4">
      <c r="A4880" t="str">
        <f t="shared" si="380"/>
        <v/>
      </c>
      <c r="B4880" t="str">
        <f t="shared" si="381"/>
        <v/>
      </c>
      <c r="C4880" t="str">
        <f t="shared" si="382"/>
        <v/>
      </c>
      <c r="D4880" t="str">
        <f>IF(E4880="","",IF(COUNTIF($E$2:E4880,E4880)&gt;1,"",SUMIFS(tbl_input[필요수량],tbl_input[집계키_지청],E4880)))</f>
        <v/>
      </c>
      <c r="E4880" t="str">
        <f>IFERROR(INDEX(tbl_input[집계키_지청],ROW()-1),"")</f>
        <v/>
      </c>
      <c r="F4880" t="str">
        <f t="shared" si="383"/>
        <v/>
      </c>
      <c r="G4880" t="str">
        <f t="shared" si="384"/>
        <v/>
      </c>
    </row>
    <row r="4881" spans="1:7" x14ac:dyDescent="0.4">
      <c r="A4881" t="str">
        <f t="shared" si="380"/>
        <v/>
      </c>
      <c r="B4881" t="str">
        <f t="shared" si="381"/>
        <v/>
      </c>
      <c r="C4881" t="str">
        <f t="shared" si="382"/>
        <v/>
      </c>
      <c r="D4881" t="str">
        <f>IF(E4881="","",IF(COUNTIF($E$2:E4881,E4881)&gt;1,"",SUMIFS(tbl_input[필요수량],tbl_input[집계키_지청],E4881)))</f>
        <v/>
      </c>
      <c r="E4881" t="str">
        <f>IFERROR(INDEX(tbl_input[집계키_지청],ROW()-1),"")</f>
        <v/>
      </c>
      <c r="F4881" t="str">
        <f t="shared" si="383"/>
        <v/>
      </c>
      <c r="G4881" t="str">
        <f t="shared" si="384"/>
        <v/>
      </c>
    </row>
    <row r="4882" spans="1:7" x14ac:dyDescent="0.4">
      <c r="A4882" t="str">
        <f t="shared" si="380"/>
        <v/>
      </c>
      <c r="B4882" t="str">
        <f t="shared" si="381"/>
        <v/>
      </c>
      <c r="C4882" t="str">
        <f t="shared" si="382"/>
        <v/>
      </c>
      <c r="D4882" t="str">
        <f>IF(E4882="","",IF(COUNTIF($E$2:E4882,E4882)&gt;1,"",SUMIFS(tbl_input[필요수량],tbl_input[집계키_지청],E4882)))</f>
        <v/>
      </c>
      <c r="E4882" t="str">
        <f>IFERROR(INDEX(tbl_input[집계키_지청],ROW()-1),"")</f>
        <v/>
      </c>
      <c r="F4882" t="str">
        <f t="shared" si="383"/>
        <v/>
      </c>
      <c r="G4882" t="str">
        <f t="shared" si="384"/>
        <v/>
      </c>
    </row>
    <row r="4883" spans="1:7" x14ac:dyDescent="0.4">
      <c r="A4883" t="str">
        <f t="shared" si="380"/>
        <v/>
      </c>
      <c r="B4883" t="str">
        <f t="shared" si="381"/>
        <v/>
      </c>
      <c r="C4883" t="str">
        <f t="shared" si="382"/>
        <v/>
      </c>
      <c r="D4883" t="str">
        <f>IF(E4883="","",IF(COUNTIF($E$2:E4883,E4883)&gt;1,"",SUMIFS(tbl_input[필요수량],tbl_input[집계키_지청],E4883)))</f>
        <v/>
      </c>
      <c r="E4883" t="str">
        <f>IFERROR(INDEX(tbl_input[집계키_지청],ROW()-1),"")</f>
        <v/>
      </c>
      <c r="F4883" t="str">
        <f t="shared" si="383"/>
        <v/>
      </c>
      <c r="G4883" t="str">
        <f t="shared" si="384"/>
        <v/>
      </c>
    </row>
    <row r="4884" spans="1:7" x14ac:dyDescent="0.4">
      <c r="A4884" t="str">
        <f t="shared" si="380"/>
        <v/>
      </c>
      <c r="B4884" t="str">
        <f t="shared" si="381"/>
        <v/>
      </c>
      <c r="C4884" t="str">
        <f t="shared" si="382"/>
        <v/>
      </c>
      <c r="D4884" t="str">
        <f>IF(E4884="","",IF(COUNTIF($E$2:E4884,E4884)&gt;1,"",SUMIFS(tbl_input[필요수량],tbl_input[집계키_지청],E4884)))</f>
        <v/>
      </c>
      <c r="E4884" t="str">
        <f>IFERROR(INDEX(tbl_input[집계키_지청],ROW()-1),"")</f>
        <v/>
      </c>
      <c r="F4884" t="str">
        <f t="shared" si="383"/>
        <v/>
      </c>
      <c r="G4884" t="str">
        <f t="shared" si="384"/>
        <v/>
      </c>
    </row>
    <row r="4885" spans="1:7" x14ac:dyDescent="0.4">
      <c r="A4885" t="str">
        <f t="shared" si="380"/>
        <v/>
      </c>
      <c r="B4885" t="str">
        <f t="shared" si="381"/>
        <v/>
      </c>
      <c r="C4885" t="str">
        <f t="shared" si="382"/>
        <v/>
      </c>
      <c r="D4885" t="str">
        <f>IF(E4885="","",IF(COUNTIF($E$2:E4885,E4885)&gt;1,"",SUMIFS(tbl_input[필요수량],tbl_input[집계키_지청],E4885)))</f>
        <v/>
      </c>
      <c r="E4885" t="str">
        <f>IFERROR(INDEX(tbl_input[집계키_지청],ROW()-1),"")</f>
        <v/>
      </c>
      <c r="F4885" t="str">
        <f t="shared" si="383"/>
        <v/>
      </c>
      <c r="G4885" t="str">
        <f t="shared" si="384"/>
        <v/>
      </c>
    </row>
    <row r="4886" spans="1:7" x14ac:dyDescent="0.4">
      <c r="A4886" t="str">
        <f t="shared" si="380"/>
        <v/>
      </c>
      <c r="B4886" t="str">
        <f t="shared" si="381"/>
        <v/>
      </c>
      <c r="C4886" t="str">
        <f t="shared" si="382"/>
        <v/>
      </c>
      <c r="D4886" t="str">
        <f>IF(E4886="","",IF(COUNTIF($E$2:E4886,E4886)&gt;1,"",SUMIFS(tbl_input[필요수량],tbl_input[집계키_지청],E4886)))</f>
        <v/>
      </c>
      <c r="E4886" t="str">
        <f>IFERROR(INDEX(tbl_input[집계키_지청],ROW()-1),"")</f>
        <v/>
      </c>
      <c r="F4886" t="str">
        <f t="shared" si="383"/>
        <v/>
      </c>
      <c r="G4886" t="str">
        <f t="shared" si="384"/>
        <v/>
      </c>
    </row>
    <row r="4887" spans="1:7" x14ac:dyDescent="0.4">
      <c r="A4887" t="str">
        <f t="shared" si="380"/>
        <v/>
      </c>
      <c r="B4887" t="str">
        <f t="shared" si="381"/>
        <v/>
      </c>
      <c r="C4887" t="str">
        <f t="shared" si="382"/>
        <v/>
      </c>
      <c r="D4887" t="str">
        <f>IF(E4887="","",IF(COUNTIF($E$2:E4887,E4887)&gt;1,"",SUMIFS(tbl_input[필요수량],tbl_input[집계키_지청],E4887)))</f>
        <v/>
      </c>
      <c r="E4887" t="str">
        <f>IFERROR(INDEX(tbl_input[집계키_지청],ROW()-1),"")</f>
        <v/>
      </c>
      <c r="F4887" t="str">
        <f t="shared" si="383"/>
        <v/>
      </c>
      <c r="G4887" t="str">
        <f t="shared" si="384"/>
        <v/>
      </c>
    </row>
    <row r="4888" spans="1:7" x14ac:dyDescent="0.4">
      <c r="A4888" t="str">
        <f t="shared" si="380"/>
        <v/>
      </c>
      <c r="B4888" t="str">
        <f t="shared" si="381"/>
        <v/>
      </c>
      <c r="C4888" t="str">
        <f t="shared" si="382"/>
        <v/>
      </c>
      <c r="D4888" t="str">
        <f>IF(E4888="","",IF(COUNTIF($E$2:E4888,E4888)&gt;1,"",SUMIFS(tbl_input[필요수량],tbl_input[집계키_지청],E4888)))</f>
        <v/>
      </c>
      <c r="E4888" t="str">
        <f>IFERROR(INDEX(tbl_input[집계키_지청],ROW()-1),"")</f>
        <v/>
      </c>
      <c r="F4888" t="str">
        <f t="shared" si="383"/>
        <v/>
      </c>
      <c r="G4888" t="str">
        <f t="shared" si="384"/>
        <v/>
      </c>
    </row>
    <row r="4889" spans="1:7" x14ac:dyDescent="0.4">
      <c r="A4889" t="str">
        <f t="shared" si="380"/>
        <v/>
      </c>
      <c r="B4889" t="str">
        <f t="shared" si="381"/>
        <v/>
      </c>
      <c r="C4889" t="str">
        <f t="shared" si="382"/>
        <v/>
      </c>
      <c r="D4889" t="str">
        <f>IF(E4889="","",IF(COUNTIF($E$2:E4889,E4889)&gt;1,"",SUMIFS(tbl_input[필요수량],tbl_input[집계키_지청],E4889)))</f>
        <v/>
      </c>
      <c r="E4889" t="str">
        <f>IFERROR(INDEX(tbl_input[집계키_지청],ROW()-1),"")</f>
        <v/>
      </c>
      <c r="F4889" t="str">
        <f t="shared" si="383"/>
        <v/>
      </c>
      <c r="G4889" t="str">
        <f t="shared" si="384"/>
        <v/>
      </c>
    </row>
    <row r="4890" spans="1:7" x14ac:dyDescent="0.4">
      <c r="A4890" t="str">
        <f t="shared" si="380"/>
        <v/>
      </c>
      <c r="B4890" t="str">
        <f t="shared" si="381"/>
        <v/>
      </c>
      <c r="C4890" t="str">
        <f t="shared" si="382"/>
        <v/>
      </c>
      <c r="D4890" t="str">
        <f>IF(E4890="","",IF(COUNTIF($E$2:E4890,E4890)&gt;1,"",SUMIFS(tbl_input[필요수량],tbl_input[집계키_지청],E4890)))</f>
        <v/>
      </c>
      <c r="E4890" t="str">
        <f>IFERROR(INDEX(tbl_input[집계키_지청],ROW()-1),"")</f>
        <v/>
      </c>
      <c r="F4890" t="str">
        <f t="shared" si="383"/>
        <v/>
      </c>
      <c r="G4890" t="str">
        <f t="shared" si="384"/>
        <v/>
      </c>
    </row>
    <row r="4891" spans="1:7" x14ac:dyDescent="0.4">
      <c r="A4891" t="str">
        <f t="shared" si="380"/>
        <v/>
      </c>
      <c r="B4891" t="str">
        <f t="shared" si="381"/>
        <v/>
      </c>
      <c r="C4891" t="str">
        <f t="shared" si="382"/>
        <v/>
      </c>
      <c r="D4891" t="str">
        <f>IF(E4891="","",IF(COUNTIF($E$2:E4891,E4891)&gt;1,"",SUMIFS(tbl_input[필요수량],tbl_input[집계키_지청],E4891)))</f>
        <v/>
      </c>
      <c r="E4891" t="str">
        <f>IFERROR(INDEX(tbl_input[집계키_지청],ROW()-1),"")</f>
        <v/>
      </c>
      <c r="F4891" t="str">
        <f t="shared" si="383"/>
        <v/>
      </c>
      <c r="G4891" t="str">
        <f t="shared" si="384"/>
        <v/>
      </c>
    </row>
    <row r="4892" spans="1:7" x14ac:dyDescent="0.4">
      <c r="A4892" t="str">
        <f t="shared" si="380"/>
        <v/>
      </c>
      <c r="B4892" t="str">
        <f t="shared" si="381"/>
        <v/>
      </c>
      <c r="C4892" t="str">
        <f t="shared" si="382"/>
        <v/>
      </c>
      <c r="D4892" t="str">
        <f>IF(E4892="","",IF(COUNTIF($E$2:E4892,E4892)&gt;1,"",SUMIFS(tbl_input[필요수량],tbl_input[집계키_지청],E4892)))</f>
        <v/>
      </c>
      <c r="E4892" t="str">
        <f>IFERROR(INDEX(tbl_input[집계키_지청],ROW()-1),"")</f>
        <v/>
      </c>
      <c r="F4892" t="str">
        <f t="shared" si="383"/>
        <v/>
      </c>
      <c r="G4892" t="str">
        <f t="shared" si="384"/>
        <v/>
      </c>
    </row>
    <row r="4893" spans="1:7" x14ac:dyDescent="0.4">
      <c r="A4893" t="str">
        <f t="shared" si="380"/>
        <v/>
      </c>
      <c r="B4893" t="str">
        <f t="shared" si="381"/>
        <v/>
      </c>
      <c r="C4893" t="str">
        <f t="shared" si="382"/>
        <v/>
      </c>
      <c r="D4893" t="str">
        <f>IF(E4893="","",IF(COUNTIF($E$2:E4893,E4893)&gt;1,"",SUMIFS(tbl_input[필요수량],tbl_input[집계키_지청],E4893)))</f>
        <v/>
      </c>
      <c r="E4893" t="str">
        <f>IFERROR(INDEX(tbl_input[집계키_지청],ROW()-1),"")</f>
        <v/>
      </c>
      <c r="F4893" t="str">
        <f t="shared" si="383"/>
        <v/>
      </c>
      <c r="G4893" t="str">
        <f t="shared" si="384"/>
        <v/>
      </c>
    </row>
    <row r="4894" spans="1:7" x14ac:dyDescent="0.4">
      <c r="A4894" t="str">
        <f t="shared" si="380"/>
        <v/>
      </c>
      <c r="B4894" t="str">
        <f t="shared" si="381"/>
        <v/>
      </c>
      <c r="C4894" t="str">
        <f t="shared" si="382"/>
        <v/>
      </c>
      <c r="D4894" t="str">
        <f>IF(E4894="","",IF(COUNTIF($E$2:E4894,E4894)&gt;1,"",SUMIFS(tbl_input[필요수량],tbl_input[집계키_지청],E4894)))</f>
        <v/>
      </c>
      <c r="E4894" t="str">
        <f>IFERROR(INDEX(tbl_input[집계키_지청],ROW()-1),"")</f>
        <v/>
      </c>
      <c r="F4894" t="str">
        <f t="shared" si="383"/>
        <v/>
      </c>
      <c r="G4894" t="str">
        <f t="shared" si="384"/>
        <v/>
      </c>
    </row>
    <row r="4895" spans="1:7" x14ac:dyDescent="0.4">
      <c r="A4895" t="str">
        <f t="shared" si="380"/>
        <v/>
      </c>
      <c r="B4895" t="str">
        <f t="shared" si="381"/>
        <v/>
      </c>
      <c r="C4895" t="str">
        <f t="shared" si="382"/>
        <v/>
      </c>
      <c r="D4895" t="str">
        <f>IF(E4895="","",IF(COUNTIF($E$2:E4895,E4895)&gt;1,"",SUMIFS(tbl_input[필요수량],tbl_input[집계키_지청],E4895)))</f>
        <v/>
      </c>
      <c r="E4895" t="str">
        <f>IFERROR(INDEX(tbl_input[집계키_지청],ROW()-1),"")</f>
        <v/>
      </c>
      <c r="F4895" t="str">
        <f t="shared" si="383"/>
        <v/>
      </c>
      <c r="G4895" t="str">
        <f t="shared" si="384"/>
        <v/>
      </c>
    </row>
    <row r="4896" spans="1:7" x14ac:dyDescent="0.4">
      <c r="A4896" t="str">
        <f t="shared" si="380"/>
        <v/>
      </c>
      <c r="B4896" t="str">
        <f t="shared" si="381"/>
        <v/>
      </c>
      <c r="C4896" t="str">
        <f t="shared" si="382"/>
        <v/>
      </c>
      <c r="D4896" t="str">
        <f>IF(E4896="","",IF(COUNTIF($E$2:E4896,E4896)&gt;1,"",SUMIFS(tbl_input[필요수량],tbl_input[집계키_지청],E4896)))</f>
        <v/>
      </c>
      <c r="E4896" t="str">
        <f>IFERROR(INDEX(tbl_input[집계키_지청],ROW()-1),"")</f>
        <v/>
      </c>
      <c r="F4896" t="str">
        <f t="shared" si="383"/>
        <v/>
      </c>
      <c r="G4896" t="str">
        <f t="shared" si="384"/>
        <v/>
      </c>
    </row>
    <row r="4897" spans="1:7" x14ac:dyDescent="0.4">
      <c r="A4897" t="str">
        <f t="shared" si="380"/>
        <v/>
      </c>
      <c r="B4897" t="str">
        <f t="shared" si="381"/>
        <v/>
      </c>
      <c r="C4897" t="str">
        <f t="shared" si="382"/>
        <v/>
      </c>
      <c r="D4897" t="str">
        <f>IF(E4897="","",IF(COUNTIF($E$2:E4897,E4897)&gt;1,"",SUMIFS(tbl_input[필요수량],tbl_input[집계키_지청],E4897)))</f>
        <v/>
      </c>
      <c r="E4897" t="str">
        <f>IFERROR(INDEX(tbl_input[집계키_지청],ROW()-1),"")</f>
        <v/>
      </c>
      <c r="F4897" t="str">
        <f t="shared" si="383"/>
        <v/>
      </c>
      <c r="G4897" t="str">
        <f t="shared" si="384"/>
        <v/>
      </c>
    </row>
    <row r="4898" spans="1:7" x14ac:dyDescent="0.4">
      <c r="A4898" t="str">
        <f t="shared" si="380"/>
        <v/>
      </c>
      <c r="B4898" t="str">
        <f t="shared" si="381"/>
        <v/>
      </c>
      <c r="C4898" t="str">
        <f t="shared" si="382"/>
        <v/>
      </c>
      <c r="D4898" t="str">
        <f>IF(E4898="","",IF(COUNTIF($E$2:E4898,E4898)&gt;1,"",SUMIFS(tbl_input[필요수량],tbl_input[집계키_지청],E4898)))</f>
        <v/>
      </c>
      <c r="E4898" t="str">
        <f>IFERROR(INDEX(tbl_input[집계키_지청],ROW()-1),"")</f>
        <v/>
      </c>
      <c r="F4898" t="str">
        <f t="shared" si="383"/>
        <v/>
      </c>
      <c r="G4898" t="str">
        <f t="shared" si="384"/>
        <v/>
      </c>
    </row>
    <row r="4899" spans="1:7" x14ac:dyDescent="0.4">
      <c r="A4899" t="str">
        <f t="shared" si="380"/>
        <v/>
      </c>
      <c r="B4899" t="str">
        <f t="shared" si="381"/>
        <v/>
      </c>
      <c r="C4899" t="str">
        <f t="shared" si="382"/>
        <v/>
      </c>
      <c r="D4899" t="str">
        <f>IF(E4899="","",IF(COUNTIF($E$2:E4899,E4899)&gt;1,"",SUMIFS(tbl_input[필요수량],tbl_input[집계키_지청],E4899)))</f>
        <v/>
      </c>
      <c r="E4899" t="str">
        <f>IFERROR(INDEX(tbl_input[집계키_지청],ROW()-1),"")</f>
        <v/>
      </c>
      <c r="F4899" t="str">
        <f t="shared" si="383"/>
        <v/>
      </c>
      <c r="G4899" t="str">
        <f t="shared" si="384"/>
        <v/>
      </c>
    </row>
    <row r="4900" spans="1:7" x14ac:dyDescent="0.4">
      <c r="A4900" t="str">
        <f t="shared" si="380"/>
        <v/>
      </c>
      <c r="B4900" t="str">
        <f t="shared" si="381"/>
        <v/>
      </c>
      <c r="C4900" t="str">
        <f t="shared" si="382"/>
        <v/>
      </c>
      <c r="D4900" t="str">
        <f>IF(E4900="","",IF(COUNTIF($E$2:E4900,E4900)&gt;1,"",SUMIFS(tbl_input[필요수량],tbl_input[집계키_지청],E4900)))</f>
        <v/>
      </c>
      <c r="E4900" t="str">
        <f>IFERROR(INDEX(tbl_input[집계키_지청],ROW()-1),"")</f>
        <v/>
      </c>
      <c r="F4900" t="str">
        <f t="shared" si="383"/>
        <v/>
      </c>
      <c r="G4900" t="str">
        <f t="shared" si="384"/>
        <v/>
      </c>
    </row>
    <row r="4901" spans="1:7" x14ac:dyDescent="0.4">
      <c r="A4901" t="str">
        <f t="shared" si="380"/>
        <v/>
      </c>
      <c r="B4901" t="str">
        <f t="shared" si="381"/>
        <v/>
      </c>
      <c r="C4901" t="str">
        <f t="shared" si="382"/>
        <v/>
      </c>
      <c r="D4901" t="str">
        <f>IF(E4901="","",IF(COUNTIF($E$2:E4901,E4901)&gt;1,"",SUMIFS(tbl_input[필요수량],tbl_input[집계키_지청],E4901)))</f>
        <v/>
      </c>
      <c r="E4901" t="str">
        <f>IFERROR(INDEX(tbl_input[집계키_지청],ROW()-1),"")</f>
        <v/>
      </c>
      <c r="F4901" t="str">
        <f t="shared" si="383"/>
        <v/>
      </c>
      <c r="G4901" t="str">
        <f t="shared" si="384"/>
        <v/>
      </c>
    </row>
    <row r="4902" spans="1:7" x14ac:dyDescent="0.4">
      <c r="A4902" t="str">
        <f t="shared" si="380"/>
        <v/>
      </c>
      <c r="B4902" t="str">
        <f t="shared" si="381"/>
        <v/>
      </c>
      <c r="C4902" t="str">
        <f t="shared" si="382"/>
        <v/>
      </c>
      <c r="D4902" t="str">
        <f>IF(E4902="","",IF(COUNTIF($E$2:E4902,E4902)&gt;1,"",SUMIFS(tbl_input[필요수량],tbl_input[집계키_지청],E4902)))</f>
        <v/>
      </c>
      <c r="E4902" t="str">
        <f>IFERROR(INDEX(tbl_input[집계키_지청],ROW()-1),"")</f>
        <v/>
      </c>
      <c r="F4902" t="str">
        <f t="shared" si="383"/>
        <v/>
      </c>
      <c r="G4902" t="str">
        <f t="shared" si="384"/>
        <v/>
      </c>
    </row>
    <row r="4903" spans="1:7" x14ac:dyDescent="0.4">
      <c r="A4903" t="str">
        <f t="shared" si="380"/>
        <v/>
      </c>
      <c r="B4903" t="str">
        <f t="shared" si="381"/>
        <v/>
      </c>
      <c r="C4903" t="str">
        <f t="shared" si="382"/>
        <v/>
      </c>
      <c r="D4903" t="str">
        <f>IF(E4903="","",IF(COUNTIF($E$2:E4903,E4903)&gt;1,"",SUMIFS(tbl_input[필요수량],tbl_input[집계키_지청],E4903)))</f>
        <v/>
      </c>
      <c r="E4903" t="str">
        <f>IFERROR(INDEX(tbl_input[집계키_지청],ROW()-1),"")</f>
        <v/>
      </c>
      <c r="F4903" t="str">
        <f t="shared" si="383"/>
        <v/>
      </c>
      <c r="G4903" t="str">
        <f t="shared" si="384"/>
        <v/>
      </c>
    </row>
    <row r="4904" spans="1:7" x14ac:dyDescent="0.4">
      <c r="A4904" t="str">
        <f t="shared" si="380"/>
        <v/>
      </c>
      <c r="B4904" t="str">
        <f t="shared" si="381"/>
        <v/>
      </c>
      <c r="C4904" t="str">
        <f t="shared" si="382"/>
        <v/>
      </c>
      <c r="D4904" t="str">
        <f>IF(E4904="","",IF(COUNTIF($E$2:E4904,E4904)&gt;1,"",SUMIFS(tbl_input[필요수량],tbl_input[집계키_지청],E4904)))</f>
        <v/>
      </c>
      <c r="E4904" t="str">
        <f>IFERROR(INDEX(tbl_input[집계키_지청],ROW()-1),"")</f>
        <v/>
      </c>
      <c r="F4904" t="str">
        <f t="shared" si="383"/>
        <v/>
      </c>
      <c r="G4904" t="str">
        <f t="shared" si="384"/>
        <v/>
      </c>
    </row>
    <row r="4905" spans="1:7" x14ac:dyDescent="0.4">
      <c r="A4905" t="str">
        <f t="shared" si="380"/>
        <v/>
      </c>
      <c r="B4905" t="str">
        <f t="shared" si="381"/>
        <v/>
      </c>
      <c r="C4905" t="str">
        <f t="shared" si="382"/>
        <v/>
      </c>
      <c r="D4905" t="str">
        <f>IF(E4905="","",IF(COUNTIF($E$2:E4905,E4905)&gt;1,"",SUMIFS(tbl_input[필요수량],tbl_input[집계키_지청],E4905)))</f>
        <v/>
      </c>
      <c r="E4905" t="str">
        <f>IFERROR(INDEX(tbl_input[집계키_지청],ROW()-1),"")</f>
        <v/>
      </c>
      <c r="F4905" t="str">
        <f t="shared" si="383"/>
        <v/>
      </c>
      <c r="G4905" t="str">
        <f t="shared" si="384"/>
        <v/>
      </c>
    </row>
    <row r="4906" spans="1:7" x14ac:dyDescent="0.4">
      <c r="A4906" t="str">
        <f t="shared" si="380"/>
        <v/>
      </c>
      <c r="B4906" t="str">
        <f t="shared" si="381"/>
        <v/>
      </c>
      <c r="C4906" t="str">
        <f t="shared" si="382"/>
        <v/>
      </c>
      <c r="D4906" t="str">
        <f>IF(E4906="","",IF(COUNTIF($E$2:E4906,E4906)&gt;1,"",SUMIFS(tbl_input[필요수량],tbl_input[집계키_지청],E4906)))</f>
        <v/>
      </c>
      <c r="E4906" t="str">
        <f>IFERROR(INDEX(tbl_input[집계키_지청],ROW()-1),"")</f>
        <v/>
      </c>
      <c r="F4906" t="str">
        <f t="shared" si="383"/>
        <v/>
      </c>
      <c r="G4906" t="str">
        <f t="shared" si="384"/>
        <v/>
      </c>
    </row>
    <row r="4907" spans="1:7" x14ac:dyDescent="0.4">
      <c r="A4907" t="str">
        <f t="shared" si="380"/>
        <v/>
      </c>
      <c r="B4907" t="str">
        <f t="shared" si="381"/>
        <v/>
      </c>
      <c r="C4907" t="str">
        <f t="shared" si="382"/>
        <v/>
      </c>
      <c r="D4907" t="str">
        <f>IF(E4907="","",IF(COUNTIF($E$2:E4907,E4907)&gt;1,"",SUMIFS(tbl_input[필요수량],tbl_input[집계키_지청],E4907)))</f>
        <v/>
      </c>
      <c r="E4907" t="str">
        <f>IFERROR(INDEX(tbl_input[집계키_지청],ROW()-1),"")</f>
        <v/>
      </c>
      <c r="F4907" t="str">
        <f t="shared" si="383"/>
        <v/>
      </c>
      <c r="G4907" t="str">
        <f t="shared" si="384"/>
        <v/>
      </c>
    </row>
    <row r="4908" spans="1:7" x14ac:dyDescent="0.4">
      <c r="A4908" t="str">
        <f t="shared" si="380"/>
        <v/>
      </c>
      <c r="B4908" t="str">
        <f t="shared" si="381"/>
        <v/>
      </c>
      <c r="C4908" t="str">
        <f t="shared" si="382"/>
        <v/>
      </c>
      <c r="D4908" t="str">
        <f>IF(E4908="","",IF(COUNTIF($E$2:E4908,E4908)&gt;1,"",SUMIFS(tbl_input[필요수량],tbl_input[집계키_지청],E4908)))</f>
        <v/>
      </c>
      <c r="E4908" t="str">
        <f>IFERROR(INDEX(tbl_input[집계키_지청],ROW()-1),"")</f>
        <v/>
      </c>
      <c r="F4908" t="str">
        <f t="shared" si="383"/>
        <v/>
      </c>
      <c r="G4908" t="str">
        <f t="shared" si="384"/>
        <v/>
      </c>
    </row>
    <row r="4909" spans="1:7" x14ac:dyDescent="0.4">
      <c r="A4909" t="str">
        <f t="shared" si="380"/>
        <v/>
      </c>
      <c r="B4909" t="str">
        <f t="shared" si="381"/>
        <v/>
      </c>
      <c r="C4909" t="str">
        <f t="shared" si="382"/>
        <v/>
      </c>
      <c r="D4909" t="str">
        <f>IF(E4909="","",IF(COUNTIF($E$2:E4909,E4909)&gt;1,"",SUMIFS(tbl_input[필요수량],tbl_input[집계키_지청],E4909)))</f>
        <v/>
      </c>
      <c r="E4909" t="str">
        <f>IFERROR(INDEX(tbl_input[집계키_지청],ROW()-1),"")</f>
        <v/>
      </c>
      <c r="F4909" t="str">
        <f t="shared" si="383"/>
        <v/>
      </c>
      <c r="G4909" t="str">
        <f t="shared" si="384"/>
        <v/>
      </c>
    </row>
    <row r="4910" spans="1:7" x14ac:dyDescent="0.4">
      <c r="A4910" t="str">
        <f t="shared" si="380"/>
        <v/>
      </c>
      <c r="B4910" t="str">
        <f t="shared" si="381"/>
        <v/>
      </c>
      <c r="C4910" t="str">
        <f t="shared" si="382"/>
        <v/>
      </c>
      <c r="D4910" t="str">
        <f>IF(E4910="","",IF(COUNTIF($E$2:E4910,E4910)&gt;1,"",SUMIFS(tbl_input[필요수량],tbl_input[집계키_지청],E4910)))</f>
        <v/>
      </c>
      <c r="E4910" t="str">
        <f>IFERROR(INDEX(tbl_input[집계키_지청],ROW()-1),"")</f>
        <v/>
      </c>
      <c r="F4910" t="str">
        <f t="shared" si="383"/>
        <v/>
      </c>
      <c r="G4910" t="str">
        <f t="shared" si="384"/>
        <v/>
      </c>
    </row>
    <row r="4911" spans="1:7" x14ac:dyDescent="0.4">
      <c r="A4911" t="str">
        <f t="shared" si="380"/>
        <v/>
      </c>
      <c r="B4911" t="str">
        <f t="shared" si="381"/>
        <v/>
      </c>
      <c r="C4911" t="str">
        <f t="shared" si="382"/>
        <v/>
      </c>
      <c r="D4911" t="str">
        <f>IF(E4911="","",IF(COUNTIF($E$2:E4911,E4911)&gt;1,"",SUMIFS(tbl_input[필요수량],tbl_input[집계키_지청],E4911)))</f>
        <v/>
      </c>
      <c r="E4911" t="str">
        <f>IFERROR(INDEX(tbl_input[집계키_지청],ROW()-1),"")</f>
        <v/>
      </c>
      <c r="F4911" t="str">
        <f t="shared" si="383"/>
        <v/>
      </c>
      <c r="G4911" t="str">
        <f t="shared" si="384"/>
        <v/>
      </c>
    </row>
    <row r="4912" spans="1:7" x14ac:dyDescent="0.4">
      <c r="A4912" t="str">
        <f t="shared" si="380"/>
        <v/>
      </c>
      <c r="B4912" t="str">
        <f t="shared" si="381"/>
        <v/>
      </c>
      <c r="C4912" t="str">
        <f t="shared" si="382"/>
        <v/>
      </c>
      <c r="D4912" t="str">
        <f>IF(E4912="","",IF(COUNTIF($E$2:E4912,E4912)&gt;1,"",SUMIFS(tbl_input[필요수량],tbl_input[집계키_지청],E4912)))</f>
        <v/>
      </c>
      <c r="E4912" t="str">
        <f>IFERROR(INDEX(tbl_input[집계키_지청],ROW()-1),"")</f>
        <v/>
      </c>
      <c r="F4912" t="str">
        <f t="shared" si="383"/>
        <v/>
      </c>
      <c r="G4912" t="str">
        <f t="shared" si="384"/>
        <v/>
      </c>
    </row>
    <row r="4913" spans="1:7" x14ac:dyDescent="0.4">
      <c r="A4913" t="str">
        <f t="shared" si="380"/>
        <v/>
      </c>
      <c r="B4913" t="str">
        <f t="shared" si="381"/>
        <v/>
      </c>
      <c r="C4913" t="str">
        <f t="shared" si="382"/>
        <v/>
      </c>
      <c r="D4913" t="str">
        <f>IF(E4913="","",IF(COUNTIF($E$2:E4913,E4913)&gt;1,"",SUMIFS(tbl_input[필요수량],tbl_input[집계키_지청],E4913)))</f>
        <v/>
      </c>
      <c r="E4913" t="str">
        <f>IFERROR(INDEX(tbl_input[집계키_지청],ROW()-1),"")</f>
        <v/>
      </c>
      <c r="F4913" t="str">
        <f t="shared" si="383"/>
        <v/>
      </c>
      <c r="G4913" t="str">
        <f t="shared" si="384"/>
        <v/>
      </c>
    </row>
    <row r="4914" spans="1:7" x14ac:dyDescent="0.4">
      <c r="A4914" t="str">
        <f t="shared" si="380"/>
        <v/>
      </c>
      <c r="B4914" t="str">
        <f t="shared" si="381"/>
        <v/>
      </c>
      <c r="C4914" t="str">
        <f t="shared" si="382"/>
        <v/>
      </c>
      <c r="D4914" t="str">
        <f>IF(E4914="","",IF(COUNTIF($E$2:E4914,E4914)&gt;1,"",SUMIFS(tbl_input[필요수량],tbl_input[집계키_지청],E4914)))</f>
        <v/>
      </c>
      <c r="E4914" t="str">
        <f>IFERROR(INDEX(tbl_input[집계키_지청],ROW()-1),"")</f>
        <v/>
      </c>
      <c r="F4914" t="str">
        <f t="shared" si="383"/>
        <v/>
      </c>
      <c r="G4914" t="str">
        <f t="shared" si="384"/>
        <v/>
      </c>
    </row>
    <row r="4915" spans="1:7" x14ac:dyDescent="0.4">
      <c r="A4915" t="str">
        <f t="shared" si="380"/>
        <v/>
      </c>
      <c r="B4915" t="str">
        <f t="shared" si="381"/>
        <v/>
      </c>
      <c r="C4915" t="str">
        <f t="shared" si="382"/>
        <v/>
      </c>
      <c r="D4915" t="str">
        <f>IF(E4915="","",IF(COUNTIF($E$2:E4915,E4915)&gt;1,"",SUMIFS(tbl_input[필요수량],tbl_input[집계키_지청],E4915)))</f>
        <v/>
      </c>
      <c r="E4915" t="str">
        <f>IFERROR(INDEX(tbl_input[집계키_지청],ROW()-1),"")</f>
        <v/>
      </c>
      <c r="F4915" t="str">
        <f t="shared" si="383"/>
        <v/>
      </c>
      <c r="G4915" t="str">
        <f t="shared" si="384"/>
        <v/>
      </c>
    </row>
    <row r="4916" spans="1:7" x14ac:dyDescent="0.4">
      <c r="A4916" t="str">
        <f t="shared" si="380"/>
        <v/>
      </c>
      <c r="B4916" t="str">
        <f t="shared" si="381"/>
        <v/>
      </c>
      <c r="C4916" t="str">
        <f t="shared" si="382"/>
        <v/>
      </c>
      <c r="D4916" t="str">
        <f>IF(E4916="","",IF(COUNTIF($E$2:E4916,E4916)&gt;1,"",SUMIFS(tbl_input[필요수량],tbl_input[집계키_지청],E4916)))</f>
        <v/>
      </c>
      <c r="E4916" t="str">
        <f>IFERROR(INDEX(tbl_input[집계키_지청],ROW()-1),"")</f>
        <v/>
      </c>
      <c r="F4916" t="str">
        <f t="shared" si="383"/>
        <v/>
      </c>
      <c r="G4916" t="str">
        <f t="shared" si="384"/>
        <v/>
      </c>
    </row>
    <row r="4917" spans="1:7" x14ac:dyDescent="0.4">
      <c r="A4917" t="str">
        <f t="shared" si="380"/>
        <v/>
      </c>
      <c r="B4917" t="str">
        <f t="shared" si="381"/>
        <v/>
      </c>
      <c r="C4917" t="str">
        <f t="shared" si="382"/>
        <v/>
      </c>
      <c r="D4917" t="str">
        <f>IF(E4917="","",IF(COUNTIF($E$2:E4917,E4917)&gt;1,"",SUMIFS(tbl_input[필요수량],tbl_input[집계키_지청],E4917)))</f>
        <v/>
      </c>
      <c r="E4917" t="str">
        <f>IFERROR(INDEX(tbl_input[집계키_지청],ROW()-1),"")</f>
        <v/>
      </c>
      <c r="F4917" t="str">
        <f t="shared" si="383"/>
        <v/>
      </c>
      <c r="G4917" t="str">
        <f t="shared" si="384"/>
        <v/>
      </c>
    </row>
    <row r="4918" spans="1:7" x14ac:dyDescent="0.4">
      <c r="A4918" t="str">
        <f t="shared" si="380"/>
        <v/>
      </c>
      <c r="B4918" t="str">
        <f t="shared" si="381"/>
        <v/>
      </c>
      <c r="C4918" t="str">
        <f t="shared" si="382"/>
        <v/>
      </c>
      <c r="D4918" t="str">
        <f>IF(E4918="","",IF(COUNTIF($E$2:E4918,E4918)&gt;1,"",SUMIFS(tbl_input[필요수량],tbl_input[집계키_지청],E4918)))</f>
        <v/>
      </c>
      <c r="E4918" t="str">
        <f>IFERROR(INDEX(tbl_input[집계키_지청],ROW()-1),"")</f>
        <v/>
      </c>
      <c r="F4918" t="str">
        <f t="shared" si="383"/>
        <v/>
      </c>
      <c r="G4918" t="str">
        <f t="shared" si="384"/>
        <v/>
      </c>
    </row>
    <row r="4919" spans="1:7" x14ac:dyDescent="0.4">
      <c r="A4919" t="str">
        <f t="shared" si="380"/>
        <v/>
      </c>
      <c r="B4919" t="str">
        <f t="shared" si="381"/>
        <v/>
      </c>
      <c r="C4919" t="str">
        <f t="shared" si="382"/>
        <v/>
      </c>
      <c r="D4919" t="str">
        <f>IF(E4919="","",IF(COUNTIF($E$2:E4919,E4919)&gt;1,"",SUMIFS(tbl_input[필요수량],tbl_input[집계키_지청],E4919)))</f>
        <v/>
      </c>
      <c r="E4919" t="str">
        <f>IFERROR(INDEX(tbl_input[집계키_지청],ROW()-1),"")</f>
        <v/>
      </c>
      <c r="F4919" t="str">
        <f t="shared" si="383"/>
        <v/>
      </c>
      <c r="G4919" t="str">
        <f t="shared" si="384"/>
        <v/>
      </c>
    </row>
    <row r="4920" spans="1:7" x14ac:dyDescent="0.4">
      <c r="A4920" t="str">
        <f t="shared" si="380"/>
        <v/>
      </c>
      <c r="B4920" t="str">
        <f t="shared" si="381"/>
        <v/>
      </c>
      <c r="C4920" t="str">
        <f t="shared" si="382"/>
        <v/>
      </c>
      <c r="D4920" t="str">
        <f>IF(E4920="","",IF(COUNTIF($E$2:E4920,E4920)&gt;1,"",SUMIFS(tbl_input[필요수량],tbl_input[집계키_지청],E4920)))</f>
        <v/>
      </c>
      <c r="E4920" t="str">
        <f>IFERROR(INDEX(tbl_input[집계키_지청],ROW()-1),"")</f>
        <v/>
      </c>
      <c r="F4920" t="str">
        <f t="shared" si="383"/>
        <v/>
      </c>
      <c r="G4920" t="str">
        <f t="shared" si="384"/>
        <v/>
      </c>
    </row>
    <row r="4921" spans="1:7" x14ac:dyDescent="0.4">
      <c r="A4921" t="str">
        <f t="shared" si="380"/>
        <v/>
      </c>
      <c r="B4921" t="str">
        <f t="shared" si="381"/>
        <v/>
      </c>
      <c r="C4921" t="str">
        <f t="shared" si="382"/>
        <v/>
      </c>
      <c r="D4921" t="str">
        <f>IF(E4921="","",IF(COUNTIF($E$2:E4921,E4921)&gt;1,"",SUMIFS(tbl_input[필요수량],tbl_input[집계키_지청],E4921)))</f>
        <v/>
      </c>
      <c r="E4921" t="str">
        <f>IFERROR(INDEX(tbl_input[집계키_지청],ROW()-1),"")</f>
        <v/>
      </c>
      <c r="F4921" t="str">
        <f t="shared" si="383"/>
        <v/>
      </c>
      <c r="G4921" t="str">
        <f t="shared" si="384"/>
        <v/>
      </c>
    </row>
    <row r="4922" spans="1:7" x14ac:dyDescent="0.4">
      <c r="A4922" t="str">
        <f t="shared" si="380"/>
        <v/>
      </c>
      <c r="B4922" t="str">
        <f t="shared" si="381"/>
        <v/>
      </c>
      <c r="C4922" t="str">
        <f t="shared" si="382"/>
        <v/>
      </c>
      <c r="D4922" t="str">
        <f>IF(E4922="","",IF(COUNTIF($E$2:E4922,E4922)&gt;1,"",SUMIFS(tbl_input[필요수량],tbl_input[집계키_지청],E4922)))</f>
        <v/>
      </c>
      <c r="E4922" t="str">
        <f>IFERROR(INDEX(tbl_input[집계키_지청],ROW()-1),"")</f>
        <v/>
      </c>
      <c r="F4922" t="str">
        <f t="shared" si="383"/>
        <v/>
      </c>
      <c r="G4922" t="str">
        <f t="shared" si="384"/>
        <v/>
      </c>
    </row>
    <row r="4923" spans="1:7" x14ac:dyDescent="0.4">
      <c r="A4923" t="str">
        <f t="shared" si="380"/>
        <v/>
      </c>
      <c r="B4923" t="str">
        <f t="shared" si="381"/>
        <v/>
      </c>
      <c r="C4923" t="str">
        <f t="shared" si="382"/>
        <v/>
      </c>
      <c r="D4923" t="str">
        <f>IF(E4923="","",IF(COUNTIF($E$2:E4923,E4923)&gt;1,"",SUMIFS(tbl_input[필요수량],tbl_input[집계키_지청],E4923)))</f>
        <v/>
      </c>
      <c r="E4923" t="str">
        <f>IFERROR(INDEX(tbl_input[집계키_지청],ROW()-1),"")</f>
        <v/>
      </c>
      <c r="F4923" t="str">
        <f t="shared" si="383"/>
        <v/>
      </c>
      <c r="G4923" t="str">
        <f t="shared" si="384"/>
        <v/>
      </c>
    </row>
    <row r="4924" spans="1:7" x14ac:dyDescent="0.4">
      <c r="A4924" t="str">
        <f t="shared" si="380"/>
        <v/>
      </c>
      <c r="B4924" t="str">
        <f t="shared" si="381"/>
        <v/>
      </c>
      <c r="C4924" t="str">
        <f t="shared" si="382"/>
        <v/>
      </c>
      <c r="D4924" t="str">
        <f>IF(E4924="","",IF(COUNTIF($E$2:E4924,E4924)&gt;1,"",SUMIFS(tbl_input[필요수량],tbl_input[집계키_지청],E4924)))</f>
        <v/>
      </c>
      <c r="E4924" t="str">
        <f>IFERROR(INDEX(tbl_input[집계키_지청],ROW()-1),"")</f>
        <v/>
      </c>
      <c r="F4924" t="str">
        <f t="shared" si="383"/>
        <v/>
      </c>
      <c r="G4924" t="str">
        <f t="shared" si="384"/>
        <v/>
      </c>
    </row>
    <row r="4925" spans="1:7" x14ac:dyDescent="0.4">
      <c r="A4925" t="str">
        <f t="shared" si="380"/>
        <v/>
      </c>
      <c r="B4925" t="str">
        <f t="shared" si="381"/>
        <v/>
      </c>
      <c r="C4925" t="str">
        <f t="shared" si="382"/>
        <v/>
      </c>
      <c r="D4925" t="str">
        <f>IF(E4925="","",IF(COUNTIF($E$2:E4925,E4925)&gt;1,"",SUMIFS(tbl_input[필요수량],tbl_input[집계키_지청],E4925)))</f>
        <v/>
      </c>
      <c r="E4925" t="str">
        <f>IFERROR(INDEX(tbl_input[집계키_지청],ROW()-1),"")</f>
        <v/>
      </c>
      <c r="F4925" t="str">
        <f t="shared" si="383"/>
        <v/>
      </c>
      <c r="G4925" t="str">
        <f t="shared" si="384"/>
        <v/>
      </c>
    </row>
    <row r="4926" spans="1:7" x14ac:dyDescent="0.4">
      <c r="A4926" t="str">
        <f t="shared" si="380"/>
        <v/>
      </c>
      <c r="B4926" t="str">
        <f t="shared" si="381"/>
        <v/>
      </c>
      <c r="C4926" t="str">
        <f t="shared" si="382"/>
        <v/>
      </c>
      <c r="D4926" t="str">
        <f>IF(E4926="","",IF(COUNTIF($E$2:E4926,E4926)&gt;1,"",SUMIFS(tbl_input[필요수량],tbl_input[집계키_지청],E4926)))</f>
        <v/>
      </c>
      <c r="E4926" t="str">
        <f>IFERROR(INDEX(tbl_input[집계키_지청],ROW()-1),"")</f>
        <v/>
      </c>
      <c r="F4926" t="str">
        <f t="shared" si="383"/>
        <v/>
      </c>
      <c r="G4926" t="str">
        <f t="shared" si="384"/>
        <v/>
      </c>
    </row>
    <row r="4927" spans="1:7" x14ac:dyDescent="0.4">
      <c r="A4927" t="str">
        <f t="shared" si="380"/>
        <v/>
      </c>
      <c r="B4927" t="str">
        <f t="shared" si="381"/>
        <v/>
      </c>
      <c r="C4927" t="str">
        <f t="shared" si="382"/>
        <v/>
      </c>
      <c r="D4927" t="str">
        <f>IF(E4927="","",IF(COUNTIF($E$2:E4927,E4927)&gt;1,"",SUMIFS(tbl_input[필요수량],tbl_input[집계키_지청],E4927)))</f>
        <v/>
      </c>
      <c r="E4927" t="str">
        <f>IFERROR(INDEX(tbl_input[집계키_지청],ROW()-1),"")</f>
        <v/>
      </c>
      <c r="F4927" t="str">
        <f t="shared" si="383"/>
        <v/>
      </c>
      <c r="G4927" t="str">
        <f t="shared" si="384"/>
        <v/>
      </c>
    </row>
    <row r="4928" spans="1:7" x14ac:dyDescent="0.4">
      <c r="A4928" t="str">
        <f t="shared" si="380"/>
        <v/>
      </c>
      <c r="B4928" t="str">
        <f t="shared" si="381"/>
        <v/>
      </c>
      <c r="C4928" t="str">
        <f t="shared" si="382"/>
        <v/>
      </c>
      <c r="D4928" t="str">
        <f>IF(E4928="","",IF(COUNTIF($E$2:E4928,E4928)&gt;1,"",SUMIFS(tbl_input[필요수량],tbl_input[집계키_지청],E4928)))</f>
        <v/>
      </c>
      <c r="E4928" t="str">
        <f>IFERROR(INDEX(tbl_input[집계키_지청],ROW()-1),"")</f>
        <v/>
      </c>
      <c r="F4928" t="str">
        <f t="shared" si="383"/>
        <v/>
      </c>
      <c r="G4928" t="str">
        <f t="shared" si="384"/>
        <v/>
      </c>
    </row>
    <row r="4929" spans="1:7" x14ac:dyDescent="0.4">
      <c r="A4929" t="str">
        <f t="shared" si="380"/>
        <v/>
      </c>
      <c r="B4929" t="str">
        <f t="shared" si="381"/>
        <v/>
      </c>
      <c r="C4929" t="str">
        <f t="shared" si="382"/>
        <v/>
      </c>
      <c r="D4929" t="str">
        <f>IF(E4929="","",IF(COUNTIF($E$2:E4929,E4929)&gt;1,"",SUMIFS(tbl_input[필요수량],tbl_input[집계키_지청],E4929)))</f>
        <v/>
      </c>
      <c r="E4929" t="str">
        <f>IFERROR(INDEX(tbl_input[집계키_지청],ROW()-1),"")</f>
        <v/>
      </c>
      <c r="F4929" t="str">
        <f t="shared" si="383"/>
        <v/>
      </c>
      <c r="G4929" t="str">
        <f t="shared" si="384"/>
        <v/>
      </c>
    </row>
    <row r="4930" spans="1:7" x14ac:dyDescent="0.4">
      <c r="A4930" t="str">
        <f t="shared" ref="A4930:A4993" si="385">IF(E4930="","",LEFT(E4930,F4930-1))</f>
        <v/>
      </c>
      <c r="B4930" t="str">
        <f t="shared" ref="B4930:B4993" si="386">IF(E4930="","",MID(E4930,F4930+1,G4930-F4930-1))</f>
        <v/>
      </c>
      <c r="C4930" t="str">
        <f t="shared" ref="C4930:C4993" si="387">IF(E4930="","",MID(E4930,G4930+1,999))</f>
        <v/>
      </c>
      <c r="D4930" t="str">
        <f>IF(E4930="","",IF(COUNTIF($E$2:E4930,E4930)&gt;1,"",SUMIFS(tbl_input[필요수량],tbl_input[집계키_지청],E4930)))</f>
        <v/>
      </c>
      <c r="E4930" t="str">
        <f>IFERROR(INDEX(tbl_input[집계키_지청],ROW()-1),"")</f>
        <v/>
      </c>
      <c r="F4930" t="str">
        <f t="shared" ref="F4930:F4993" si="388">IF(E4930="","",FIND("♦",E4930))</f>
        <v/>
      </c>
      <c r="G4930" t="str">
        <f t="shared" ref="G4930:G4993" si="389">IF(E4930="","",FIND("♦",E4930,F4930+1))</f>
        <v/>
      </c>
    </row>
    <row r="4931" spans="1:7" x14ac:dyDescent="0.4">
      <c r="A4931" t="str">
        <f t="shared" si="385"/>
        <v/>
      </c>
      <c r="B4931" t="str">
        <f t="shared" si="386"/>
        <v/>
      </c>
      <c r="C4931" t="str">
        <f t="shared" si="387"/>
        <v/>
      </c>
      <c r="D4931" t="str">
        <f>IF(E4931="","",IF(COUNTIF($E$2:E4931,E4931)&gt;1,"",SUMIFS(tbl_input[필요수량],tbl_input[집계키_지청],E4931)))</f>
        <v/>
      </c>
      <c r="E4931" t="str">
        <f>IFERROR(INDEX(tbl_input[집계키_지청],ROW()-1),"")</f>
        <v/>
      </c>
      <c r="F4931" t="str">
        <f t="shared" si="388"/>
        <v/>
      </c>
      <c r="G4931" t="str">
        <f t="shared" si="389"/>
        <v/>
      </c>
    </row>
    <row r="4932" spans="1:7" x14ac:dyDescent="0.4">
      <c r="A4932" t="str">
        <f t="shared" si="385"/>
        <v/>
      </c>
      <c r="B4932" t="str">
        <f t="shared" si="386"/>
        <v/>
      </c>
      <c r="C4932" t="str">
        <f t="shared" si="387"/>
        <v/>
      </c>
      <c r="D4932" t="str">
        <f>IF(E4932="","",IF(COUNTIF($E$2:E4932,E4932)&gt;1,"",SUMIFS(tbl_input[필요수량],tbl_input[집계키_지청],E4932)))</f>
        <v/>
      </c>
      <c r="E4932" t="str">
        <f>IFERROR(INDEX(tbl_input[집계키_지청],ROW()-1),"")</f>
        <v/>
      </c>
      <c r="F4932" t="str">
        <f t="shared" si="388"/>
        <v/>
      </c>
      <c r="G4932" t="str">
        <f t="shared" si="389"/>
        <v/>
      </c>
    </row>
    <row r="4933" spans="1:7" x14ac:dyDescent="0.4">
      <c r="A4933" t="str">
        <f t="shared" si="385"/>
        <v/>
      </c>
      <c r="B4933" t="str">
        <f t="shared" si="386"/>
        <v/>
      </c>
      <c r="C4933" t="str">
        <f t="shared" si="387"/>
        <v/>
      </c>
      <c r="D4933" t="str">
        <f>IF(E4933="","",IF(COUNTIF($E$2:E4933,E4933)&gt;1,"",SUMIFS(tbl_input[필요수량],tbl_input[집계키_지청],E4933)))</f>
        <v/>
      </c>
      <c r="E4933" t="str">
        <f>IFERROR(INDEX(tbl_input[집계키_지청],ROW()-1),"")</f>
        <v/>
      </c>
      <c r="F4933" t="str">
        <f t="shared" si="388"/>
        <v/>
      </c>
      <c r="G4933" t="str">
        <f t="shared" si="389"/>
        <v/>
      </c>
    </row>
    <row r="4934" spans="1:7" x14ac:dyDescent="0.4">
      <c r="A4934" t="str">
        <f t="shared" si="385"/>
        <v/>
      </c>
      <c r="B4934" t="str">
        <f t="shared" si="386"/>
        <v/>
      </c>
      <c r="C4934" t="str">
        <f t="shared" si="387"/>
        <v/>
      </c>
      <c r="D4934" t="str">
        <f>IF(E4934="","",IF(COUNTIF($E$2:E4934,E4934)&gt;1,"",SUMIFS(tbl_input[필요수량],tbl_input[집계키_지청],E4934)))</f>
        <v/>
      </c>
      <c r="E4934" t="str">
        <f>IFERROR(INDEX(tbl_input[집계키_지청],ROW()-1),"")</f>
        <v/>
      </c>
      <c r="F4934" t="str">
        <f t="shared" si="388"/>
        <v/>
      </c>
      <c r="G4934" t="str">
        <f t="shared" si="389"/>
        <v/>
      </c>
    </row>
    <row r="4935" spans="1:7" x14ac:dyDescent="0.4">
      <c r="A4935" t="str">
        <f t="shared" si="385"/>
        <v/>
      </c>
      <c r="B4935" t="str">
        <f t="shared" si="386"/>
        <v/>
      </c>
      <c r="C4935" t="str">
        <f t="shared" si="387"/>
        <v/>
      </c>
      <c r="D4935" t="str">
        <f>IF(E4935="","",IF(COUNTIF($E$2:E4935,E4935)&gt;1,"",SUMIFS(tbl_input[필요수량],tbl_input[집계키_지청],E4935)))</f>
        <v/>
      </c>
      <c r="E4935" t="str">
        <f>IFERROR(INDEX(tbl_input[집계키_지청],ROW()-1),"")</f>
        <v/>
      </c>
      <c r="F4935" t="str">
        <f t="shared" si="388"/>
        <v/>
      </c>
      <c r="G4935" t="str">
        <f t="shared" si="389"/>
        <v/>
      </c>
    </row>
    <row r="4936" spans="1:7" x14ac:dyDescent="0.4">
      <c r="A4936" t="str">
        <f t="shared" si="385"/>
        <v/>
      </c>
      <c r="B4936" t="str">
        <f t="shared" si="386"/>
        <v/>
      </c>
      <c r="C4936" t="str">
        <f t="shared" si="387"/>
        <v/>
      </c>
      <c r="D4936" t="str">
        <f>IF(E4936="","",IF(COUNTIF($E$2:E4936,E4936)&gt;1,"",SUMIFS(tbl_input[필요수량],tbl_input[집계키_지청],E4936)))</f>
        <v/>
      </c>
      <c r="E4936" t="str">
        <f>IFERROR(INDEX(tbl_input[집계키_지청],ROW()-1),"")</f>
        <v/>
      </c>
      <c r="F4936" t="str">
        <f t="shared" si="388"/>
        <v/>
      </c>
      <c r="G4936" t="str">
        <f t="shared" si="389"/>
        <v/>
      </c>
    </row>
    <row r="4937" spans="1:7" x14ac:dyDescent="0.4">
      <c r="A4937" t="str">
        <f t="shared" si="385"/>
        <v/>
      </c>
      <c r="B4937" t="str">
        <f t="shared" si="386"/>
        <v/>
      </c>
      <c r="C4937" t="str">
        <f t="shared" si="387"/>
        <v/>
      </c>
      <c r="D4937" t="str">
        <f>IF(E4937="","",IF(COUNTIF($E$2:E4937,E4937)&gt;1,"",SUMIFS(tbl_input[필요수량],tbl_input[집계키_지청],E4937)))</f>
        <v/>
      </c>
      <c r="E4937" t="str">
        <f>IFERROR(INDEX(tbl_input[집계키_지청],ROW()-1),"")</f>
        <v/>
      </c>
      <c r="F4937" t="str">
        <f t="shared" si="388"/>
        <v/>
      </c>
      <c r="G4937" t="str">
        <f t="shared" si="389"/>
        <v/>
      </c>
    </row>
    <row r="4938" spans="1:7" x14ac:dyDescent="0.4">
      <c r="A4938" t="str">
        <f t="shared" si="385"/>
        <v/>
      </c>
      <c r="B4938" t="str">
        <f t="shared" si="386"/>
        <v/>
      </c>
      <c r="C4938" t="str">
        <f t="shared" si="387"/>
        <v/>
      </c>
      <c r="D4938" t="str">
        <f>IF(E4938="","",IF(COUNTIF($E$2:E4938,E4938)&gt;1,"",SUMIFS(tbl_input[필요수량],tbl_input[집계키_지청],E4938)))</f>
        <v/>
      </c>
      <c r="E4938" t="str">
        <f>IFERROR(INDEX(tbl_input[집계키_지청],ROW()-1),"")</f>
        <v/>
      </c>
      <c r="F4938" t="str">
        <f t="shared" si="388"/>
        <v/>
      </c>
      <c r="G4938" t="str">
        <f t="shared" si="389"/>
        <v/>
      </c>
    </row>
    <row r="4939" spans="1:7" x14ac:dyDescent="0.4">
      <c r="A4939" t="str">
        <f t="shared" si="385"/>
        <v/>
      </c>
      <c r="B4939" t="str">
        <f t="shared" si="386"/>
        <v/>
      </c>
      <c r="C4939" t="str">
        <f t="shared" si="387"/>
        <v/>
      </c>
      <c r="D4939" t="str">
        <f>IF(E4939="","",IF(COUNTIF($E$2:E4939,E4939)&gt;1,"",SUMIFS(tbl_input[필요수량],tbl_input[집계키_지청],E4939)))</f>
        <v/>
      </c>
      <c r="E4939" t="str">
        <f>IFERROR(INDEX(tbl_input[집계키_지청],ROW()-1),"")</f>
        <v/>
      </c>
      <c r="F4939" t="str">
        <f t="shared" si="388"/>
        <v/>
      </c>
      <c r="G4939" t="str">
        <f t="shared" si="389"/>
        <v/>
      </c>
    </row>
    <row r="4940" spans="1:7" x14ac:dyDescent="0.4">
      <c r="A4940" t="str">
        <f t="shared" si="385"/>
        <v/>
      </c>
      <c r="B4940" t="str">
        <f t="shared" si="386"/>
        <v/>
      </c>
      <c r="C4940" t="str">
        <f t="shared" si="387"/>
        <v/>
      </c>
      <c r="D4940" t="str">
        <f>IF(E4940="","",IF(COUNTIF($E$2:E4940,E4940)&gt;1,"",SUMIFS(tbl_input[필요수량],tbl_input[집계키_지청],E4940)))</f>
        <v/>
      </c>
      <c r="E4940" t="str">
        <f>IFERROR(INDEX(tbl_input[집계키_지청],ROW()-1),"")</f>
        <v/>
      </c>
      <c r="F4940" t="str">
        <f t="shared" si="388"/>
        <v/>
      </c>
      <c r="G4940" t="str">
        <f t="shared" si="389"/>
        <v/>
      </c>
    </row>
    <row r="4941" spans="1:7" x14ac:dyDescent="0.4">
      <c r="A4941" t="str">
        <f t="shared" si="385"/>
        <v/>
      </c>
      <c r="B4941" t="str">
        <f t="shared" si="386"/>
        <v/>
      </c>
      <c r="C4941" t="str">
        <f t="shared" si="387"/>
        <v/>
      </c>
      <c r="D4941" t="str">
        <f>IF(E4941="","",IF(COUNTIF($E$2:E4941,E4941)&gt;1,"",SUMIFS(tbl_input[필요수량],tbl_input[집계키_지청],E4941)))</f>
        <v/>
      </c>
      <c r="E4941" t="str">
        <f>IFERROR(INDEX(tbl_input[집계키_지청],ROW()-1),"")</f>
        <v/>
      </c>
      <c r="F4941" t="str">
        <f t="shared" si="388"/>
        <v/>
      </c>
      <c r="G4941" t="str">
        <f t="shared" si="389"/>
        <v/>
      </c>
    </row>
    <row r="4942" spans="1:7" x14ac:dyDescent="0.4">
      <c r="A4942" t="str">
        <f t="shared" si="385"/>
        <v/>
      </c>
      <c r="B4942" t="str">
        <f t="shared" si="386"/>
        <v/>
      </c>
      <c r="C4942" t="str">
        <f t="shared" si="387"/>
        <v/>
      </c>
      <c r="D4942" t="str">
        <f>IF(E4942="","",IF(COUNTIF($E$2:E4942,E4942)&gt;1,"",SUMIFS(tbl_input[필요수량],tbl_input[집계키_지청],E4942)))</f>
        <v/>
      </c>
      <c r="E4942" t="str">
        <f>IFERROR(INDEX(tbl_input[집계키_지청],ROW()-1),"")</f>
        <v/>
      </c>
      <c r="F4942" t="str">
        <f t="shared" si="388"/>
        <v/>
      </c>
      <c r="G4942" t="str">
        <f t="shared" si="389"/>
        <v/>
      </c>
    </row>
    <row r="4943" spans="1:7" x14ac:dyDescent="0.4">
      <c r="A4943" t="str">
        <f t="shared" si="385"/>
        <v/>
      </c>
      <c r="B4943" t="str">
        <f t="shared" si="386"/>
        <v/>
      </c>
      <c r="C4943" t="str">
        <f t="shared" si="387"/>
        <v/>
      </c>
      <c r="D4943" t="str">
        <f>IF(E4943="","",IF(COUNTIF($E$2:E4943,E4943)&gt;1,"",SUMIFS(tbl_input[필요수량],tbl_input[집계키_지청],E4943)))</f>
        <v/>
      </c>
      <c r="E4943" t="str">
        <f>IFERROR(INDEX(tbl_input[집계키_지청],ROW()-1),"")</f>
        <v/>
      </c>
      <c r="F4943" t="str">
        <f t="shared" si="388"/>
        <v/>
      </c>
      <c r="G4943" t="str">
        <f t="shared" si="389"/>
        <v/>
      </c>
    </row>
    <row r="4944" spans="1:7" x14ac:dyDescent="0.4">
      <c r="A4944" t="str">
        <f t="shared" si="385"/>
        <v/>
      </c>
      <c r="B4944" t="str">
        <f t="shared" si="386"/>
        <v/>
      </c>
      <c r="C4944" t="str">
        <f t="shared" si="387"/>
        <v/>
      </c>
      <c r="D4944" t="str">
        <f>IF(E4944="","",IF(COUNTIF($E$2:E4944,E4944)&gt;1,"",SUMIFS(tbl_input[필요수량],tbl_input[집계키_지청],E4944)))</f>
        <v/>
      </c>
      <c r="E4944" t="str">
        <f>IFERROR(INDEX(tbl_input[집계키_지청],ROW()-1),"")</f>
        <v/>
      </c>
      <c r="F4944" t="str">
        <f t="shared" si="388"/>
        <v/>
      </c>
      <c r="G4944" t="str">
        <f t="shared" si="389"/>
        <v/>
      </c>
    </row>
    <row r="4945" spans="1:7" x14ac:dyDescent="0.4">
      <c r="A4945" t="str">
        <f t="shared" si="385"/>
        <v/>
      </c>
      <c r="B4945" t="str">
        <f t="shared" si="386"/>
        <v/>
      </c>
      <c r="C4945" t="str">
        <f t="shared" si="387"/>
        <v/>
      </c>
      <c r="D4945" t="str">
        <f>IF(E4945="","",IF(COUNTIF($E$2:E4945,E4945)&gt;1,"",SUMIFS(tbl_input[필요수량],tbl_input[집계키_지청],E4945)))</f>
        <v/>
      </c>
      <c r="E4945" t="str">
        <f>IFERROR(INDEX(tbl_input[집계키_지청],ROW()-1),"")</f>
        <v/>
      </c>
      <c r="F4945" t="str">
        <f t="shared" si="388"/>
        <v/>
      </c>
      <c r="G4945" t="str">
        <f t="shared" si="389"/>
        <v/>
      </c>
    </row>
    <row r="4946" spans="1:7" x14ac:dyDescent="0.4">
      <c r="A4946" t="str">
        <f t="shared" si="385"/>
        <v/>
      </c>
      <c r="B4946" t="str">
        <f t="shared" si="386"/>
        <v/>
      </c>
      <c r="C4946" t="str">
        <f t="shared" si="387"/>
        <v/>
      </c>
      <c r="D4946" t="str">
        <f>IF(E4946="","",IF(COUNTIF($E$2:E4946,E4946)&gt;1,"",SUMIFS(tbl_input[필요수량],tbl_input[집계키_지청],E4946)))</f>
        <v/>
      </c>
      <c r="E4946" t="str">
        <f>IFERROR(INDEX(tbl_input[집계키_지청],ROW()-1),"")</f>
        <v/>
      </c>
      <c r="F4946" t="str">
        <f t="shared" si="388"/>
        <v/>
      </c>
      <c r="G4946" t="str">
        <f t="shared" si="389"/>
        <v/>
      </c>
    </row>
    <row r="4947" spans="1:7" x14ac:dyDescent="0.4">
      <c r="A4947" t="str">
        <f t="shared" si="385"/>
        <v/>
      </c>
      <c r="B4947" t="str">
        <f t="shared" si="386"/>
        <v/>
      </c>
      <c r="C4947" t="str">
        <f t="shared" si="387"/>
        <v/>
      </c>
      <c r="D4947" t="str">
        <f>IF(E4947="","",IF(COUNTIF($E$2:E4947,E4947)&gt;1,"",SUMIFS(tbl_input[필요수량],tbl_input[집계키_지청],E4947)))</f>
        <v/>
      </c>
      <c r="E4947" t="str">
        <f>IFERROR(INDEX(tbl_input[집계키_지청],ROW()-1),"")</f>
        <v/>
      </c>
      <c r="F4947" t="str">
        <f t="shared" si="388"/>
        <v/>
      </c>
      <c r="G4947" t="str">
        <f t="shared" si="389"/>
        <v/>
      </c>
    </row>
    <row r="4948" spans="1:7" x14ac:dyDescent="0.4">
      <c r="A4948" t="str">
        <f t="shared" si="385"/>
        <v/>
      </c>
      <c r="B4948" t="str">
        <f t="shared" si="386"/>
        <v/>
      </c>
      <c r="C4948" t="str">
        <f t="shared" si="387"/>
        <v/>
      </c>
      <c r="D4948" t="str">
        <f>IF(E4948="","",IF(COUNTIF($E$2:E4948,E4948)&gt;1,"",SUMIFS(tbl_input[필요수량],tbl_input[집계키_지청],E4948)))</f>
        <v/>
      </c>
      <c r="E4948" t="str">
        <f>IFERROR(INDEX(tbl_input[집계키_지청],ROW()-1),"")</f>
        <v/>
      </c>
      <c r="F4948" t="str">
        <f t="shared" si="388"/>
        <v/>
      </c>
      <c r="G4948" t="str">
        <f t="shared" si="389"/>
        <v/>
      </c>
    </row>
    <row r="4949" spans="1:7" x14ac:dyDescent="0.4">
      <c r="A4949" t="str">
        <f t="shared" si="385"/>
        <v/>
      </c>
      <c r="B4949" t="str">
        <f t="shared" si="386"/>
        <v/>
      </c>
      <c r="C4949" t="str">
        <f t="shared" si="387"/>
        <v/>
      </c>
      <c r="D4949" t="str">
        <f>IF(E4949="","",IF(COUNTIF($E$2:E4949,E4949)&gt;1,"",SUMIFS(tbl_input[필요수량],tbl_input[집계키_지청],E4949)))</f>
        <v/>
      </c>
      <c r="E4949" t="str">
        <f>IFERROR(INDEX(tbl_input[집계키_지청],ROW()-1),"")</f>
        <v/>
      </c>
      <c r="F4949" t="str">
        <f t="shared" si="388"/>
        <v/>
      </c>
      <c r="G4949" t="str">
        <f t="shared" si="389"/>
        <v/>
      </c>
    </row>
    <row r="4950" spans="1:7" x14ac:dyDescent="0.4">
      <c r="A4950" t="str">
        <f t="shared" si="385"/>
        <v/>
      </c>
      <c r="B4950" t="str">
        <f t="shared" si="386"/>
        <v/>
      </c>
      <c r="C4950" t="str">
        <f t="shared" si="387"/>
        <v/>
      </c>
      <c r="D4950" t="str">
        <f>IF(E4950="","",IF(COUNTIF($E$2:E4950,E4950)&gt;1,"",SUMIFS(tbl_input[필요수량],tbl_input[집계키_지청],E4950)))</f>
        <v/>
      </c>
      <c r="E4950" t="str">
        <f>IFERROR(INDEX(tbl_input[집계키_지청],ROW()-1),"")</f>
        <v/>
      </c>
      <c r="F4950" t="str">
        <f t="shared" si="388"/>
        <v/>
      </c>
      <c r="G4950" t="str">
        <f t="shared" si="389"/>
        <v/>
      </c>
    </row>
    <row r="4951" spans="1:7" x14ac:dyDescent="0.4">
      <c r="A4951" t="str">
        <f t="shared" si="385"/>
        <v/>
      </c>
      <c r="B4951" t="str">
        <f t="shared" si="386"/>
        <v/>
      </c>
      <c r="C4951" t="str">
        <f t="shared" si="387"/>
        <v/>
      </c>
      <c r="D4951" t="str">
        <f>IF(E4951="","",IF(COUNTIF($E$2:E4951,E4951)&gt;1,"",SUMIFS(tbl_input[필요수량],tbl_input[집계키_지청],E4951)))</f>
        <v/>
      </c>
      <c r="E4951" t="str">
        <f>IFERROR(INDEX(tbl_input[집계키_지청],ROW()-1),"")</f>
        <v/>
      </c>
      <c r="F4951" t="str">
        <f t="shared" si="388"/>
        <v/>
      </c>
      <c r="G4951" t="str">
        <f t="shared" si="389"/>
        <v/>
      </c>
    </row>
    <row r="4952" spans="1:7" x14ac:dyDescent="0.4">
      <c r="A4952" t="str">
        <f t="shared" si="385"/>
        <v/>
      </c>
      <c r="B4952" t="str">
        <f t="shared" si="386"/>
        <v/>
      </c>
      <c r="C4952" t="str">
        <f t="shared" si="387"/>
        <v/>
      </c>
      <c r="D4952" t="str">
        <f>IF(E4952="","",IF(COUNTIF($E$2:E4952,E4952)&gt;1,"",SUMIFS(tbl_input[필요수량],tbl_input[집계키_지청],E4952)))</f>
        <v/>
      </c>
      <c r="E4952" t="str">
        <f>IFERROR(INDEX(tbl_input[집계키_지청],ROW()-1),"")</f>
        <v/>
      </c>
      <c r="F4952" t="str">
        <f t="shared" si="388"/>
        <v/>
      </c>
      <c r="G4952" t="str">
        <f t="shared" si="389"/>
        <v/>
      </c>
    </row>
    <row r="4953" spans="1:7" x14ac:dyDescent="0.4">
      <c r="A4953" t="str">
        <f t="shared" si="385"/>
        <v/>
      </c>
      <c r="B4953" t="str">
        <f t="shared" si="386"/>
        <v/>
      </c>
      <c r="C4953" t="str">
        <f t="shared" si="387"/>
        <v/>
      </c>
      <c r="D4953" t="str">
        <f>IF(E4953="","",IF(COUNTIF($E$2:E4953,E4953)&gt;1,"",SUMIFS(tbl_input[필요수량],tbl_input[집계키_지청],E4953)))</f>
        <v/>
      </c>
      <c r="E4953" t="str">
        <f>IFERROR(INDEX(tbl_input[집계키_지청],ROW()-1),"")</f>
        <v/>
      </c>
      <c r="F4953" t="str">
        <f t="shared" si="388"/>
        <v/>
      </c>
      <c r="G4953" t="str">
        <f t="shared" si="389"/>
        <v/>
      </c>
    </row>
    <row r="4954" spans="1:7" x14ac:dyDescent="0.4">
      <c r="A4954" t="str">
        <f t="shared" si="385"/>
        <v/>
      </c>
      <c r="B4954" t="str">
        <f t="shared" si="386"/>
        <v/>
      </c>
      <c r="C4954" t="str">
        <f t="shared" si="387"/>
        <v/>
      </c>
      <c r="D4954" t="str">
        <f>IF(E4954="","",IF(COUNTIF($E$2:E4954,E4954)&gt;1,"",SUMIFS(tbl_input[필요수량],tbl_input[집계키_지청],E4954)))</f>
        <v/>
      </c>
      <c r="E4954" t="str">
        <f>IFERROR(INDEX(tbl_input[집계키_지청],ROW()-1),"")</f>
        <v/>
      </c>
      <c r="F4954" t="str">
        <f t="shared" si="388"/>
        <v/>
      </c>
      <c r="G4954" t="str">
        <f t="shared" si="389"/>
        <v/>
      </c>
    </row>
    <row r="4955" spans="1:7" x14ac:dyDescent="0.4">
      <c r="A4955" t="str">
        <f t="shared" si="385"/>
        <v/>
      </c>
      <c r="B4955" t="str">
        <f t="shared" si="386"/>
        <v/>
      </c>
      <c r="C4955" t="str">
        <f t="shared" si="387"/>
        <v/>
      </c>
      <c r="D4955" t="str">
        <f>IF(E4955="","",IF(COUNTIF($E$2:E4955,E4955)&gt;1,"",SUMIFS(tbl_input[필요수량],tbl_input[집계키_지청],E4955)))</f>
        <v/>
      </c>
      <c r="E4955" t="str">
        <f>IFERROR(INDEX(tbl_input[집계키_지청],ROW()-1),"")</f>
        <v/>
      </c>
      <c r="F4955" t="str">
        <f t="shared" si="388"/>
        <v/>
      </c>
      <c r="G4955" t="str">
        <f t="shared" si="389"/>
        <v/>
      </c>
    </row>
    <row r="4956" spans="1:7" x14ac:dyDescent="0.4">
      <c r="A4956" t="str">
        <f t="shared" si="385"/>
        <v/>
      </c>
      <c r="B4956" t="str">
        <f t="shared" si="386"/>
        <v/>
      </c>
      <c r="C4956" t="str">
        <f t="shared" si="387"/>
        <v/>
      </c>
      <c r="D4956" t="str">
        <f>IF(E4956="","",IF(COUNTIF($E$2:E4956,E4956)&gt;1,"",SUMIFS(tbl_input[필요수량],tbl_input[집계키_지청],E4956)))</f>
        <v/>
      </c>
      <c r="E4956" t="str">
        <f>IFERROR(INDEX(tbl_input[집계키_지청],ROW()-1),"")</f>
        <v/>
      </c>
      <c r="F4956" t="str">
        <f t="shared" si="388"/>
        <v/>
      </c>
      <c r="G4956" t="str">
        <f t="shared" si="389"/>
        <v/>
      </c>
    </row>
    <row r="4957" spans="1:7" x14ac:dyDescent="0.4">
      <c r="A4957" t="str">
        <f t="shared" si="385"/>
        <v/>
      </c>
      <c r="B4957" t="str">
        <f t="shared" si="386"/>
        <v/>
      </c>
      <c r="C4957" t="str">
        <f t="shared" si="387"/>
        <v/>
      </c>
      <c r="D4957" t="str">
        <f>IF(E4957="","",IF(COUNTIF($E$2:E4957,E4957)&gt;1,"",SUMIFS(tbl_input[필요수량],tbl_input[집계키_지청],E4957)))</f>
        <v/>
      </c>
      <c r="E4957" t="str">
        <f>IFERROR(INDEX(tbl_input[집계키_지청],ROW()-1),"")</f>
        <v/>
      </c>
      <c r="F4957" t="str">
        <f t="shared" si="388"/>
        <v/>
      </c>
      <c r="G4957" t="str">
        <f t="shared" si="389"/>
        <v/>
      </c>
    </row>
    <row r="4958" spans="1:7" x14ac:dyDescent="0.4">
      <c r="A4958" t="str">
        <f t="shared" si="385"/>
        <v/>
      </c>
      <c r="B4958" t="str">
        <f t="shared" si="386"/>
        <v/>
      </c>
      <c r="C4958" t="str">
        <f t="shared" si="387"/>
        <v/>
      </c>
      <c r="D4958" t="str">
        <f>IF(E4958="","",IF(COUNTIF($E$2:E4958,E4958)&gt;1,"",SUMIFS(tbl_input[필요수량],tbl_input[집계키_지청],E4958)))</f>
        <v/>
      </c>
      <c r="E4958" t="str">
        <f>IFERROR(INDEX(tbl_input[집계키_지청],ROW()-1),"")</f>
        <v/>
      </c>
      <c r="F4958" t="str">
        <f t="shared" si="388"/>
        <v/>
      </c>
      <c r="G4958" t="str">
        <f t="shared" si="389"/>
        <v/>
      </c>
    </row>
    <row r="4959" spans="1:7" x14ac:dyDescent="0.4">
      <c r="A4959" t="str">
        <f t="shared" si="385"/>
        <v/>
      </c>
      <c r="B4959" t="str">
        <f t="shared" si="386"/>
        <v/>
      </c>
      <c r="C4959" t="str">
        <f t="shared" si="387"/>
        <v/>
      </c>
      <c r="D4959" t="str">
        <f>IF(E4959="","",IF(COUNTIF($E$2:E4959,E4959)&gt;1,"",SUMIFS(tbl_input[필요수량],tbl_input[집계키_지청],E4959)))</f>
        <v/>
      </c>
      <c r="E4959" t="str">
        <f>IFERROR(INDEX(tbl_input[집계키_지청],ROW()-1),"")</f>
        <v/>
      </c>
      <c r="F4959" t="str">
        <f t="shared" si="388"/>
        <v/>
      </c>
      <c r="G4959" t="str">
        <f t="shared" si="389"/>
        <v/>
      </c>
    </row>
    <row r="4960" spans="1:7" x14ac:dyDescent="0.4">
      <c r="A4960" t="str">
        <f t="shared" si="385"/>
        <v/>
      </c>
      <c r="B4960" t="str">
        <f t="shared" si="386"/>
        <v/>
      </c>
      <c r="C4960" t="str">
        <f t="shared" si="387"/>
        <v/>
      </c>
      <c r="D4960" t="str">
        <f>IF(E4960="","",IF(COUNTIF($E$2:E4960,E4960)&gt;1,"",SUMIFS(tbl_input[필요수량],tbl_input[집계키_지청],E4960)))</f>
        <v/>
      </c>
      <c r="E4960" t="str">
        <f>IFERROR(INDEX(tbl_input[집계키_지청],ROW()-1),"")</f>
        <v/>
      </c>
      <c r="F4960" t="str">
        <f t="shared" si="388"/>
        <v/>
      </c>
      <c r="G4960" t="str">
        <f t="shared" si="389"/>
        <v/>
      </c>
    </row>
    <row r="4961" spans="1:7" x14ac:dyDescent="0.4">
      <c r="A4961" t="str">
        <f t="shared" si="385"/>
        <v/>
      </c>
      <c r="B4961" t="str">
        <f t="shared" si="386"/>
        <v/>
      </c>
      <c r="C4961" t="str">
        <f t="shared" si="387"/>
        <v/>
      </c>
      <c r="D4961" t="str">
        <f>IF(E4961="","",IF(COUNTIF($E$2:E4961,E4961)&gt;1,"",SUMIFS(tbl_input[필요수량],tbl_input[집계키_지청],E4961)))</f>
        <v/>
      </c>
      <c r="E4961" t="str">
        <f>IFERROR(INDEX(tbl_input[집계키_지청],ROW()-1),"")</f>
        <v/>
      </c>
      <c r="F4961" t="str">
        <f t="shared" si="388"/>
        <v/>
      </c>
      <c r="G4961" t="str">
        <f t="shared" si="389"/>
        <v/>
      </c>
    </row>
    <row r="4962" spans="1:7" x14ac:dyDescent="0.4">
      <c r="A4962" t="str">
        <f t="shared" si="385"/>
        <v/>
      </c>
      <c r="B4962" t="str">
        <f t="shared" si="386"/>
        <v/>
      </c>
      <c r="C4962" t="str">
        <f t="shared" si="387"/>
        <v/>
      </c>
      <c r="D4962" t="str">
        <f>IF(E4962="","",IF(COUNTIF($E$2:E4962,E4962)&gt;1,"",SUMIFS(tbl_input[필요수량],tbl_input[집계키_지청],E4962)))</f>
        <v/>
      </c>
      <c r="E4962" t="str">
        <f>IFERROR(INDEX(tbl_input[집계키_지청],ROW()-1),"")</f>
        <v/>
      </c>
      <c r="F4962" t="str">
        <f t="shared" si="388"/>
        <v/>
      </c>
      <c r="G4962" t="str">
        <f t="shared" si="389"/>
        <v/>
      </c>
    </row>
    <row r="4963" spans="1:7" x14ac:dyDescent="0.4">
      <c r="A4963" t="str">
        <f t="shared" si="385"/>
        <v/>
      </c>
      <c r="B4963" t="str">
        <f t="shared" si="386"/>
        <v/>
      </c>
      <c r="C4963" t="str">
        <f t="shared" si="387"/>
        <v/>
      </c>
      <c r="D4963" t="str">
        <f>IF(E4963="","",IF(COUNTIF($E$2:E4963,E4963)&gt;1,"",SUMIFS(tbl_input[필요수량],tbl_input[집계키_지청],E4963)))</f>
        <v/>
      </c>
      <c r="E4963" t="str">
        <f>IFERROR(INDEX(tbl_input[집계키_지청],ROW()-1),"")</f>
        <v/>
      </c>
      <c r="F4963" t="str">
        <f t="shared" si="388"/>
        <v/>
      </c>
      <c r="G4963" t="str">
        <f t="shared" si="389"/>
        <v/>
      </c>
    </row>
    <row r="4964" spans="1:7" x14ac:dyDescent="0.4">
      <c r="A4964" t="str">
        <f t="shared" si="385"/>
        <v/>
      </c>
      <c r="B4964" t="str">
        <f t="shared" si="386"/>
        <v/>
      </c>
      <c r="C4964" t="str">
        <f t="shared" si="387"/>
        <v/>
      </c>
      <c r="D4964" t="str">
        <f>IF(E4964="","",IF(COUNTIF($E$2:E4964,E4964)&gt;1,"",SUMIFS(tbl_input[필요수량],tbl_input[집계키_지청],E4964)))</f>
        <v/>
      </c>
      <c r="E4964" t="str">
        <f>IFERROR(INDEX(tbl_input[집계키_지청],ROW()-1),"")</f>
        <v/>
      </c>
      <c r="F4964" t="str">
        <f t="shared" si="388"/>
        <v/>
      </c>
      <c r="G4964" t="str">
        <f t="shared" si="389"/>
        <v/>
      </c>
    </row>
    <row r="4965" spans="1:7" x14ac:dyDescent="0.4">
      <c r="A4965" t="str">
        <f t="shared" si="385"/>
        <v/>
      </c>
      <c r="B4965" t="str">
        <f t="shared" si="386"/>
        <v/>
      </c>
      <c r="C4965" t="str">
        <f t="shared" si="387"/>
        <v/>
      </c>
      <c r="D4965" t="str">
        <f>IF(E4965="","",IF(COUNTIF($E$2:E4965,E4965)&gt;1,"",SUMIFS(tbl_input[필요수량],tbl_input[집계키_지청],E4965)))</f>
        <v/>
      </c>
      <c r="E4965" t="str">
        <f>IFERROR(INDEX(tbl_input[집계키_지청],ROW()-1),"")</f>
        <v/>
      </c>
      <c r="F4965" t="str">
        <f t="shared" si="388"/>
        <v/>
      </c>
      <c r="G4965" t="str">
        <f t="shared" si="389"/>
        <v/>
      </c>
    </row>
    <row r="4966" spans="1:7" x14ac:dyDescent="0.4">
      <c r="A4966" t="str">
        <f t="shared" si="385"/>
        <v/>
      </c>
      <c r="B4966" t="str">
        <f t="shared" si="386"/>
        <v/>
      </c>
      <c r="C4966" t="str">
        <f t="shared" si="387"/>
        <v/>
      </c>
      <c r="D4966" t="str">
        <f>IF(E4966="","",IF(COUNTIF($E$2:E4966,E4966)&gt;1,"",SUMIFS(tbl_input[필요수량],tbl_input[집계키_지청],E4966)))</f>
        <v/>
      </c>
      <c r="E4966" t="str">
        <f>IFERROR(INDEX(tbl_input[집계키_지청],ROW()-1),"")</f>
        <v/>
      </c>
      <c r="F4966" t="str">
        <f t="shared" si="388"/>
        <v/>
      </c>
      <c r="G4966" t="str">
        <f t="shared" si="389"/>
        <v/>
      </c>
    </row>
    <row r="4967" spans="1:7" x14ac:dyDescent="0.4">
      <c r="A4967" t="str">
        <f t="shared" si="385"/>
        <v/>
      </c>
      <c r="B4967" t="str">
        <f t="shared" si="386"/>
        <v/>
      </c>
      <c r="C4967" t="str">
        <f t="shared" si="387"/>
        <v/>
      </c>
      <c r="D4967" t="str">
        <f>IF(E4967="","",IF(COUNTIF($E$2:E4967,E4967)&gt;1,"",SUMIFS(tbl_input[필요수량],tbl_input[집계키_지청],E4967)))</f>
        <v/>
      </c>
      <c r="E4967" t="str">
        <f>IFERROR(INDEX(tbl_input[집계키_지청],ROW()-1),"")</f>
        <v/>
      </c>
      <c r="F4967" t="str">
        <f t="shared" si="388"/>
        <v/>
      </c>
      <c r="G4967" t="str">
        <f t="shared" si="389"/>
        <v/>
      </c>
    </row>
    <row r="4968" spans="1:7" x14ac:dyDescent="0.4">
      <c r="A4968" t="str">
        <f t="shared" si="385"/>
        <v/>
      </c>
      <c r="B4968" t="str">
        <f t="shared" si="386"/>
        <v/>
      </c>
      <c r="C4968" t="str">
        <f t="shared" si="387"/>
        <v/>
      </c>
      <c r="D4968" t="str">
        <f>IF(E4968="","",IF(COUNTIF($E$2:E4968,E4968)&gt;1,"",SUMIFS(tbl_input[필요수량],tbl_input[집계키_지청],E4968)))</f>
        <v/>
      </c>
      <c r="E4968" t="str">
        <f>IFERROR(INDEX(tbl_input[집계키_지청],ROW()-1),"")</f>
        <v/>
      </c>
      <c r="F4968" t="str">
        <f t="shared" si="388"/>
        <v/>
      </c>
      <c r="G4968" t="str">
        <f t="shared" si="389"/>
        <v/>
      </c>
    </row>
    <row r="4969" spans="1:7" x14ac:dyDescent="0.4">
      <c r="A4969" t="str">
        <f t="shared" si="385"/>
        <v/>
      </c>
      <c r="B4969" t="str">
        <f t="shared" si="386"/>
        <v/>
      </c>
      <c r="C4969" t="str">
        <f t="shared" si="387"/>
        <v/>
      </c>
      <c r="D4969" t="str">
        <f>IF(E4969="","",IF(COUNTIF($E$2:E4969,E4969)&gt;1,"",SUMIFS(tbl_input[필요수량],tbl_input[집계키_지청],E4969)))</f>
        <v/>
      </c>
      <c r="E4969" t="str">
        <f>IFERROR(INDEX(tbl_input[집계키_지청],ROW()-1),"")</f>
        <v/>
      </c>
      <c r="F4969" t="str">
        <f t="shared" si="388"/>
        <v/>
      </c>
      <c r="G4969" t="str">
        <f t="shared" si="389"/>
        <v/>
      </c>
    </row>
    <row r="4970" spans="1:7" x14ac:dyDescent="0.4">
      <c r="A4970" t="str">
        <f t="shared" si="385"/>
        <v/>
      </c>
      <c r="B4970" t="str">
        <f t="shared" si="386"/>
        <v/>
      </c>
      <c r="C4970" t="str">
        <f t="shared" si="387"/>
        <v/>
      </c>
      <c r="D4970" t="str">
        <f>IF(E4970="","",IF(COUNTIF($E$2:E4970,E4970)&gt;1,"",SUMIFS(tbl_input[필요수량],tbl_input[집계키_지청],E4970)))</f>
        <v/>
      </c>
      <c r="E4970" t="str">
        <f>IFERROR(INDEX(tbl_input[집계키_지청],ROW()-1),"")</f>
        <v/>
      </c>
      <c r="F4970" t="str">
        <f t="shared" si="388"/>
        <v/>
      </c>
      <c r="G4970" t="str">
        <f t="shared" si="389"/>
        <v/>
      </c>
    </row>
    <row r="4971" spans="1:7" x14ac:dyDescent="0.4">
      <c r="A4971" t="str">
        <f t="shared" si="385"/>
        <v/>
      </c>
      <c r="B4971" t="str">
        <f t="shared" si="386"/>
        <v/>
      </c>
      <c r="C4971" t="str">
        <f t="shared" si="387"/>
        <v/>
      </c>
      <c r="D4971" t="str">
        <f>IF(E4971="","",IF(COUNTIF($E$2:E4971,E4971)&gt;1,"",SUMIFS(tbl_input[필요수량],tbl_input[집계키_지청],E4971)))</f>
        <v/>
      </c>
      <c r="E4971" t="str">
        <f>IFERROR(INDEX(tbl_input[집계키_지청],ROW()-1),"")</f>
        <v/>
      </c>
      <c r="F4971" t="str">
        <f t="shared" si="388"/>
        <v/>
      </c>
      <c r="G4971" t="str">
        <f t="shared" si="389"/>
        <v/>
      </c>
    </row>
    <row r="4972" spans="1:7" x14ac:dyDescent="0.4">
      <c r="A4972" t="str">
        <f t="shared" si="385"/>
        <v/>
      </c>
      <c r="B4972" t="str">
        <f t="shared" si="386"/>
        <v/>
      </c>
      <c r="C4972" t="str">
        <f t="shared" si="387"/>
        <v/>
      </c>
      <c r="D4972" t="str">
        <f>IF(E4972="","",IF(COUNTIF($E$2:E4972,E4972)&gt;1,"",SUMIFS(tbl_input[필요수량],tbl_input[집계키_지청],E4972)))</f>
        <v/>
      </c>
      <c r="E4972" t="str">
        <f>IFERROR(INDEX(tbl_input[집계키_지청],ROW()-1),"")</f>
        <v/>
      </c>
      <c r="F4972" t="str">
        <f t="shared" si="388"/>
        <v/>
      </c>
      <c r="G4972" t="str">
        <f t="shared" si="389"/>
        <v/>
      </c>
    </row>
    <row r="4973" spans="1:7" x14ac:dyDescent="0.4">
      <c r="A4973" t="str">
        <f t="shared" si="385"/>
        <v/>
      </c>
      <c r="B4973" t="str">
        <f t="shared" si="386"/>
        <v/>
      </c>
      <c r="C4973" t="str">
        <f t="shared" si="387"/>
        <v/>
      </c>
      <c r="D4973" t="str">
        <f>IF(E4973="","",IF(COUNTIF($E$2:E4973,E4973)&gt;1,"",SUMIFS(tbl_input[필요수량],tbl_input[집계키_지청],E4973)))</f>
        <v/>
      </c>
      <c r="E4973" t="str">
        <f>IFERROR(INDEX(tbl_input[집계키_지청],ROW()-1),"")</f>
        <v/>
      </c>
      <c r="F4973" t="str">
        <f t="shared" si="388"/>
        <v/>
      </c>
      <c r="G4973" t="str">
        <f t="shared" si="389"/>
        <v/>
      </c>
    </row>
    <row r="4974" spans="1:7" x14ac:dyDescent="0.4">
      <c r="A4974" t="str">
        <f t="shared" si="385"/>
        <v/>
      </c>
      <c r="B4974" t="str">
        <f t="shared" si="386"/>
        <v/>
      </c>
      <c r="C4974" t="str">
        <f t="shared" si="387"/>
        <v/>
      </c>
      <c r="D4974" t="str">
        <f>IF(E4974="","",IF(COUNTIF($E$2:E4974,E4974)&gt;1,"",SUMIFS(tbl_input[필요수량],tbl_input[집계키_지청],E4974)))</f>
        <v/>
      </c>
      <c r="E4974" t="str">
        <f>IFERROR(INDEX(tbl_input[집계키_지청],ROW()-1),"")</f>
        <v/>
      </c>
      <c r="F4974" t="str">
        <f t="shared" si="388"/>
        <v/>
      </c>
      <c r="G4974" t="str">
        <f t="shared" si="389"/>
        <v/>
      </c>
    </row>
    <row r="4975" spans="1:7" x14ac:dyDescent="0.4">
      <c r="A4975" t="str">
        <f t="shared" si="385"/>
        <v/>
      </c>
      <c r="B4975" t="str">
        <f t="shared" si="386"/>
        <v/>
      </c>
      <c r="C4975" t="str">
        <f t="shared" si="387"/>
        <v/>
      </c>
      <c r="D4975" t="str">
        <f>IF(E4975="","",IF(COUNTIF($E$2:E4975,E4975)&gt;1,"",SUMIFS(tbl_input[필요수량],tbl_input[집계키_지청],E4975)))</f>
        <v/>
      </c>
      <c r="E4975" t="str">
        <f>IFERROR(INDEX(tbl_input[집계키_지청],ROW()-1),"")</f>
        <v/>
      </c>
      <c r="F4975" t="str">
        <f t="shared" si="388"/>
        <v/>
      </c>
      <c r="G4975" t="str">
        <f t="shared" si="389"/>
        <v/>
      </c>
    </row>
    <row r="4976" spans="1:7" x14ac:dyDescent="0.4">
      <c r="A4976" t="str">
        <f t="shared" si="385"/>
        <v/>
      </c>
      <c r="B4976" t="str">
        <f t="shared" si="386"/>
        <v/>
      </c>
      <c r="C4976" t="str">
        <f t="shared" si="387"/>
        <v/>
      </c>
      <c r="D4976" t="str">
        <f>IF(E4976="","",IF(COUNTIF($E$2:E4976,E4976)&gt;1,"",SUMIFS(tbl_input[필요수량],tbl_input[집계키_지청],E4976)))</f>
        <v/>
      </c>
      <c r="E4976" t="str">
        <f>IFERROR(INDEX(tbl_input[집계키_지청],ROW()-1),"")</f>
        <v/>
      </c>
      <c r="F4976" t="str">
        <f t="shared" si="388"/>
        <v/>
      </c>
      <c r="G4976" t="str">
        <f t="shared" si="389"/>
        <v/>
      </c>
    </row>
    <row r="4977" spans="1:7" x14ac:dyDescent="0.4">
      <c r="A4977" t="str">
        <f t="shared" si="385"/>
        <v/>
      </c>
      <c r="B4977" t="str">
        <f t="shared" si="386"/>
        <v/>
      </c>
      <c r="C4977" t="str">
        <f t="shared" si="387"/>
        <v/>
      </c>
      <c r="D4977" t="str">
        <f>IF(E4977="","",IF(COUNTIF($E$2:E4977,E4977)&gt;1,"",SUMIFS(tbl_input[필요수량],tbl_input[집계키_지청],E4977)))</f>
        <v/>
      </c>
      <c r="E4977" t="str">
        <f>IFERROR(INDEX(tbl_input[집계키_지청],ROW()-1),"")</f>
        <v/>
      </c>
      <c r="F4977" t="str">
        <f t="shared" si="388"/>
        <v/>
      </c>
      <c r="G4977" t="str">
        <f t="shared" si="389"/>
        <v/>
      </c>
    </row>
    <row r="4978" spans="1:7" x14ac:dyDescent="0.4">
      <c r="A4978" t="str">
        <f t="shared" si="385"/>
        <v/>
      </c>
      <c r="B4978" t="str">
        <f t="shared" si="386"/>
        <v/>
      </c>
      <c r="C4978" t="str">
        <f t="shared" si="387"/>
        <v/>
      </c>
      <c r="D4978" t="str">
        <f>IF(E4978="","",IF(COUNTIF($E$2:E4978,E4978)&gt;1,"",SUMIFS(tbl_input[필요수량],tbl_input[집계키_지청],E4978)))</f>
        <v/>
      </c>
      <c r="E4978" t="str">
        <f>IFERROR(INDEX(tbl_input[집계키_지청],ROW()-1),"")</f>
        <v/>
      </c>
      <c r="F4978" t="str">
        <f t="shared" si="388"/>
        <v/>
      </c>
      <c r="G4978" t="str">
        <f t="shared" si="389"/>
        <v/>
      </c>
    </row>
    <row r="4979" spans="1:7" x14ac:dyDescent="0.4">
      <c r="A4979" t="str">
        <f t="shared" si="385"/>
        <v/>
      </c>
      <c r="B4979" t="str">
        <f t="shared" si="386"/>
        <v/>
      </c>
      <c r="C4979" t="str">
        <f t="shared" si="387"/>
        <v/>
      </c>
      <c r="D4979" t="str">
        <f>IF(E4979="","",IF(COUNTIF($E$2:E4979,E4979)&gt;1,"",SUMIFS(tbl_input[필요수량],tbl_input[집계키_지청],E4979)))</f>
        <v/>
      </c>
      <c r="E4979" t="str">
        <f>IFERROR(INDEX(tbl_input[집계키_지청],ROW()-1),"")</f>
        <v/>
      </c>
      <c r="F4979" t="str">
        <f t="shared" si="388"/>
        <v/>
      </c>
      <c r="G4979" t="str">
        <f t="shared" si="389"/>
        <v/>
      </c>
    </row>
    <row r="4980" spans="1:7" x14ac:dyDescent="0.4">
      <c r="A4980" t="str">
        <f t="shared" si="385"/>
        <v/>
      </c>
      <c r="B4980" t="str">
        <f t="shared" si="386"/>
        <v/>
      </c>
      <c r="C4980" t="str">
        <f t="shared" si="387"/>
        <v/>
      </c>
      <c r="D4980" t="str">
        <f>IF(E4980="","",IF(COUNTIF($E$2:E4980,E4980)&gt;1,"",SUMIFS(tbl_input[필요수량],tbl_input[집계키_지청],E4980)))</f>
        <v/>
      </c>
      <c r="E4980" t="str">
        <f>IFERROR(INDEX(tbl_input[집계키_지청],ROW()-1),"")</f>
        <v/>
      </c>
      <c r="F4980" t="str">
        <f t="shared" si="388"/>
        <v/>
      </c>
      <c r="G4980" t="str">
        <f t="shared" si="389"/>
        <v/>
      </c>
    </row>
    <row r="4981" spans="1:7" x14ac:dyDescent="0.4">
      <c r="A4981" t="str">
        <f t="shared" si="385"/>
        <v/>
      </c>
      <c r="B4981" t="str">
        <f t="shared" si="386"/>
        <v/>
      </c>
      <c r="C4981" t="str">
        <f t="shared" si="387"/>
        <v/>
      </c>
      <c r="D4981" t="str">
        <f>IF(E4981="","",IF(COUNTIF($E$2:E4981,E4981)&gt;1,"",SUMIFS(tbl_input[필요수량],tbl_input[집계키_지청],E4981)))</f>
        <v/>
      </c>
      <c r="E4981" t="str">
        <f>IFERROR(INDEX(tbl_input[집계키_지청],ROW()-1),"")</f>
        <v/>
      </c>
      <c r="F4981" t="str">
        <f t="shared" si="388"/>
        <v/>
      </c>
      <c r="G4981" t="str">
        <f t="shared" si="389"/>
        <v/>
      </c>
    </row>
    <row r="4982" spans="1:7" x14ac:dyDescent="0.4">
      <c r="A4982" t="str">
        <f t="shared" si="385"/>
        <v/>
      </c>
      <c r="B4982" t="str">
        <f t="shared" si="386"/>
        <v/>
      </c>
      <c r="C4982" t="str">
        <f t="shared" si="387"/>
        <v/>
      </c>
      <c r="D4982" t="str">
        <f>IF(E4982="","",IF(COUNTIF($E$2:E4982,E4982)&gt;1,"",SUMIFS(tbl_input[필요수량],tbl_input[집계키_지청],E4982)))</f>
        <v/>
      </c>
      <c r="E4982" t="str">
        <f>IFERROR(INDEX(tbl_input[집계키_지청],ROW()-1),"")</f>
        <v/>
      </c>
      <c r="F4982" t="str">
        <f t="shared" si="388"/>
        <v/>
      </c>
      <c r="G4982" t="str">
        <f t="shared" si="389"/>
        <v/>
      </c>
    </row>
    <row r="4983" spans="1:7" x14ac:dyDescent="0.4">
      <c r="A4983" t="str">
        <f t="shared" si="385"/>
        <v/>
      </c>
      <c r="B4983" t="str">
        <f t="shared" si="386"/>
        <v/>
      </c>
      <c r="C4983" t="str">
        <f t="shared" si="387"/>
        <v/>
      </c>
      <c r="D4983" t="str">
        <f>IF(E4983="","",IF(COUNTIF($E$2:E4983,E4983)&gt;1,"",SUMIFS(tbl_input[필요수량],tbl_input[집계키_지청],E4983)))</f>
        <v/>
      </c>
      <c r="E4983" t="str">
        <f>IFERROR(INDEX(tbl_input[집계키_지청],ROW()-1),"")</f>
        <v/>
      </c>
      <c r="F4983" t="str">
        <f t="shared" si="388"/>
        <v/>
      </c>
      <c r="G4983" t="str">
        <f t="shared" si="389"/>
        <v/>
      </c>
    </row>
    <row r="4984" spans="1:7" x14ac:dyDescent="0.4">
      <c r="A4984" t="str">
        <f t="shared" si="385"/>
        <v/>
      </c>
      <c r="B4984" t="str">
        <f t="shared" si="386"/>
        <v/>
      </c>
      <c r="C4984" t="str">
        <f t="shared" si="387"/>
        <v/>
      </c>
      <c r="D4984" t="str">
        <f>IF(E4984="","",IF(COUNTIF($E$2:E4984,E4984)&gt;1,"",SUMIFS(tbl_input[필요수량],tbl_input[집계키_지청],E4984)))</f>
        <v/>
      </c>
      <c r="E4984" t="str">
        <f>IFERROR(INDEX(tbl_input[집계키_지청],ROW()-1),"")</f>
        <v/>
      </c>
      <c r="F4984" t="str">
        <f t="shared" si="388"/>
        <v/>
      </c>
      <c r="G4984" t="str">
        <f t="shared" si="389"/>
        <v/>
      </c>
    </row>
    <row r="4985" spans="1:7" x14ac:dyDescent="0.4">
      <c r="A4985" t="str">
        <f t="shared" si="385"/>
        <v/>
      </c>
      <c r="B4985" t="str">
        <f t="shared" si="386"/>
        <v/>
      </c>
      <c r="C4985" t="str">
        <f t="shared" si="387"/>
        <v/>
      </c>
      <c r="D4985" t="str">
        <f>IF(E4985="","",IF(COUNTIF($E$2:E4985,E4985)&gt;1,"",SUMIFS(tbl_input[필요수량],tbl_input[집계키_지청],E4985)))</f>
        <v/>
      </c>
      <c r="E4985" t="str">
        <f>IFERROR(INDEX(tbl_input[집계키_지청],ROW()-1),"")</f>
        <v/>
      </c>
      <c r="F4985" t="str">
        <f t="shared" si="388"/>
        <v/>
      </c>
      <c r="G4985" t="str">
        <f t="shared" si="389"/>
        <v/>
      </c>
    </row>
    <row r="4986" spans="1:7" x14ac:dyDescent="0.4">
      <c r="A4986" t="str">
        <f t="shared" si="385"/>
        <v/>
      </c>
      <c r="B4986" t="str">
        <f t="shared" si="386"/>
        <v/>
      </c>
      <c r="C4986" t="str">
        <f t="shared" si="387"/>
        <v/>
      </c>
      <c r="D4986" t="str">
        <f>IF(E4986="","",IF(COUNTIF($E$2:E4986,E4986)&gt;1,"",SUMIFS(tbl_input[필요수량],tbl_input[집계키_지청],E4986)))</f>
        <v/>
      </c>
      <c r="E4986" t="str">
        <f>IFERROR(INDEX(tbl_input[집계키_지청],ROW()-1),"")</f>
        <v/>
      </c>
      <c r="F4986" t="str">
        <f t="shared" si="388"/>
        <v/>
      </c>
      <c r="G4986" t="str">
        <f t="shared" si="389"/>
        <v/>
      </c>
    </row>
    <row r="4987" spans="1:7" x14ac:dyDescent="0.4">
      <c r="A4987" t="str">
        <f t="shared" si="385"/>
        <v/>
      </c>
      <c r="B4987" t="str">
        <f t="shared" si="386"/>
        <v/>
      </c>
      <c r="C4987" t="str">
        <f t="shared" si="387"/>
        <v/>
      </c>
      <c r="D4987" t="str">
        <f>IF(E4987="","",IF(COUNTIF($E$2:E4987,E4987)&gt;1,"",SUMIFS(tbl_input[필요수량],tbl_input[집계키_지청],E4987)))</f>
        <v/>
      </c>
      <c r="E4987" t="str">
        <f>IFERROR(INDEX(tbl_input[집계키_지청],ROW()-1),"")</f>
        <v/>
      </c>
      <c r="F4987" t="str">
        <f t="shared" si="388"/>
        <v/>
      </c>
      <c r="G4987" t="str">
        <f t="shared" si="389"/>
        <v/>
      </c>
    </row>
    <row r="4988" spans="1:7" x14ac:dyDescent="0.4">
      <c r="A4988" t="str">
        <f t="shared" si="385"/>
        <v/>
      </c>
      <c r="B4988" t="str">
        <f t="shared" si="386"/>
        <v/>
      </c>
      <c r="C4988" t="str">
        <f t="shared" si="387"/>
        <v/>
      </c>
      <c r="D4988" t="str">
        <f>IF(E4988="","",IF(COUNTIF($E$2:E4988,E4988)&gt;1,"",SUMIFS(tbl_input[필요수량],tbl_input[집계키_지청],E4988)))</f>
        <v/>
      </c>
      <c r="E4988" t="str">
        <f>IFERROR(INDEX(tbl_input[집계키_지청],ROW()-1),"")</f>
        <v/>
      </c>
      <c r="F4988" t="str">
        <f t="shared" si="388"/>
        <v/>
      </c>
      <c r="G4988" t="str">
        <f t="shared" si="389"/>
        <v/>
      </c>
    </row>
    <row r="4989" spans="1:7" x14ac:dyDescent="0.4">
      <c r="A4989" t="str">
        <f t="shared" si="385"/>
        <v/>
      </c>
      <c r="B4989" t="str">
        <f t="shared" si="386"/>
        <v/>
      </c>
      <c r="C4989" t="str">
        <f t="shared" si="387"/>
        <v/>
      </c>
      <c r="D4989" t="str">
        <f>IF(E4989="","",IF(COUNTIF($E$2:E4989,E4989)&gt;1,"",SUMIFS(tbl_input[필요수량],tbl_input[집계키_지청],E4989)))</f>
        <v/>
      </c>
      <c r="E4989" t="str">
        <f>IFERROR(INDEX(tbl_input[집계키_지청],ROW()-1),"")</f>
        <v/>
      </c>
      <c r="F4989" t="str">
        <f t="shared" si="388"/>
        <v/>
      </c>
      <c r="G4989" t="str">
        <f t="shared" si="389"/>
        <v/>
      </c>
    </row>
    <row r="4990" spans="1:7" x14ac:dyDescent="0.4">
      <c r="A4990" t="str">
        <f t="shared" si="385"/>
        <v/>
      </c>
      <c r="B4990" t="str">
        <f t="shared" si="386"/>
        <v/>
      </c>
      <c r="C4990" t="str">
        <f t="shared" si="387"/>
        <v/>
      </c>
      <c r="D4990" t="str">
        <f>IF(E4990="","",IF(COUNTIF($E$2:E4990,E4990)&gt;1,"",SUMIFS(tbl_input[필요수량],tbl_input[집계키_지청],E4990)))</f>
        <v/>
      </c>
      <c r="E4990" t="str">
        <f>IFERROR(INDEX(tbl_input[집계키_지청],ROW()-1),"")</f>
        <v/>
      </c>
      <c r="F4990" t="str">
        <f t="shared" si="388"/>
        <v/>
      </c>
      <c r="G4990" t="str">
        <f t="shared" si="389"/>
        <v/>
      </c>
    </row>
    <row r="4991" spans="1:7" x14ac:dyDescent="0.4">
      <c r="A4991" t="str">
        <f t="shared" si="385"/>
        <v/>
      </c>
      <c r="B4991" t="str">
        <f t="shared" si="386"/>
        <v/>
      </c>
      <c r="C4991" t="str">
        <f t="shared" si="387"/>
        <v/>
      </c>
      <c r="D4991" t="str">
        <f>IF(E4991="","",IF(COUNTIF($E$2:E4991,E4991)&gt;1,"",SUMIFS(tbl_input[필요수량],tbl_input[집계키_지청],E4991)))</f>
        <v/>
      </c>
      <c r="E4991" t="str">
        <f>IFERROR(INDEX(tbl_input[집계키_지청],ROW()-1),"")</f>
        <v/>
      </c>
      <c r="F4991" t="str">
        <f t="shared" si="388"/>
        <v/>
      </c>
      <c r="G4991" t="str">
        <f t="shared" si="389"/>
        <v/>
      </c>
    </row>
    <row r="4992" spans="1:7" x14ac:dyDescent="0.4">
      <c r="A4992" t="str">
        <f t="shared" si="385"/>
        <v/>
      </c>
      <c r="B4992" t="str">
        <f t="shared" si="386"/>
        <v/>
      </c>
      <c r="C4992" t="str">
        <f t="shared" si="387"/>
        <v/>
      </c>
      <c r="D4992" t="str">
        <f>IF(E4992="","",IF(COUNTIF($E$2:E4992,E4992)&gt;1,"",SUMIFS(tbl_input[필요수량],tbl_input[집계키_지청],E4992)))</f>
        <v/>
      </c>
      <c r="E4992" t="str">
        <f>IFERROR(INDEX(tbl_input[집계키_지청],ROW()-1),"")</f>
        <v/>
      </c>
      <c r="F4992" t="str">
        <f t="shared" si="388"/>
        <v/>
      </c>
      <c r="G4992" t="str">
        <f t="shared" si="389"/>
        <v/>
      </c>
    </row>
    <row r="4993" spans="1:7" x14ac:dyDescent="0.4">
      <c r="A4993" t="str">
        <f t="shared" si="385"/>
        <v/>
      </c>
      <c r="B4993" t="str">
        <f t="shared" si="386"/>
        <v/>
      </c>
      <c r="C4993" t="str">
        <f t="shared" si="387"/>
        <v/>
      </c>
      <c r="D4993" t="str">
        <f>IF(E4993="","",IF(COUNTIF($E$2:E4993,E4993)&gt;1,"",SUMIFS(tbl_input[필요수량],tbl_input[집계키_지청],E4993)))</f>
        <v/>
      </c>
      <c r="E4993" t="str">
        <f>IFERROR(INDEX(tbl_input[집계키_지청],ROW()-1),"")</f>
        <v/>
      </c>
      <c r="F4993" t="str">
        <f t="shared" si="388"/>
        <v/>
      </c>
      <c r="G4993" t="str">
        <f t="shared" si="389"/>
        <v/>
      </c>
    </row>
    <row r="4994" spans="1:7" x14ac:dyDescent="0.4">
      <c r="A4994" t="str">
        <f t="shared" ref="A4994:A5000" si="390">IF(E4994="","",LEFT(E4994,F4994-1))</f>
        <v/>
      </c>
      <c r="B4994" t="str">
        <f t="shared" ref="B4994:B5000" si="391">IF(E4994="","",MID(E4994,F4994+1,G4994-F4994-1))</f>
        <v/>
      </c>
      <c r="C4994" t="str">
        <f t="shared" ref="C4994:C5000" si="392">IF(E4994="","",MID(E4994,G4994+1,999))</f>
        <v/>
      </c>
      <c r="D4994" t="str">
        <f>IF(E4994="","",IF(COUNTIF($E$2:E4994,E4994)&gt;1,"",SUMIFS(tbl_input[필요수량],tbl_input[집계키_지청],E4994)))</f>
        <v/>
      </c>
      <c r="E4994" t="str">
        <f>IFERROR(INDEX(tbl_input[집계키_지청],ROW()-1),"")</f>
        <v/>
      </c>
      <c r="F4994" t="str">
        <f t="shared" ref="F4994:F5057" si="393">IF(E4994="","",FIND("♦",E4994))</f>
        <v/>
      </c>
      <c r="G4994" t="str">
        <f t="shared" ref="G4994:G5057" si="394">IF(E4994="","",FIND("♦",E4994,F4994+1))</f>
        <v/>
      </c>
    </row>
    <row r="4995" spans="1:7" x14ac:dyDescent="0.4">
      <c r="A4995" t="str">
        <f t="shared" si="390"/>
        <v/>
      </c>
      <c r="B4995" t="str">
        <f t="shared" si="391"/>
        <v/>
      </c>
      <c r="C4995" t="str">
        <f t="shared" si="392"/>
        <v/>
      </c>
      <c r="D4995" t="str">
        <f>IF(E4995="","",IF(COUNTIF($E$2:E4995,E4995)&gt;1,"",SUMIFS(tbl_input[필요수량],tbl_input[집계키_지청],E4995)))</f>
        <v/>
      </c>
      <c r="E4995" t="str">
        <f>IFERROR(INDEX(tbl_input[집계키_지청],ROW()-1),"")</f>
        <v/>
      </c>
      <c r="F4995" t="str">
        <f t="shared" si="393"/>
        <v/>
      </c>
      <c r="G4995" t="str">
        <f t="shared" si="394"/>
        <v/>
      </c>
    </row>
    <row r="4996" spans="1:7" x14ac:dyDescent="0.4">
      <c r="A4996" t="str">
        <f t="shared" si="390"/>
        <v/>
      </c>
      <c r="B4996" t="str">
        <f t="shared" si="391"/>
        <v/>
      </c>
      <c r="C4996" t="str">
        <f t="shared" si="392"/>
        <v/>
      </c>
      <c r="D4996" t="str">
        <f>IF(E4996="","",IF(COUNTIF($E$2:E4996,E4996)&gt;1,"",SUMIFS(tbl_input[필요수량],tbl_input[집계키_지청],E4996)))</f>
        <v/>
      </c>
      <c r="E4996" t="str">
        <f>IFERROR(INDEX(tbl_input[집계키_지청],ROW()-1),"")</f>
        <v/>
      </c>
      <c r="F4996" t="str">
        <f t="shared" si="393"/>
        <v/>
      </c>
      <c r="G4996" t="str">
        <f t="shared" si="394"/>
        <v/>
      </c>
    </row>
    <row r="4997" spans="1:7" x14ac:dyDescent="0.4">
      <c r="A4997" t="str">
        <f t="shared" si="390"/>
        <v/>
      </c>
      <c r="B4997" t="str">
        <f t="shared" si="391"/>
        <v/>
      </c>
      <c r="C4997" t="str">
        <f t="shared" si="392"/>
        <v/>
      </c>
      <c r="D4997" t="str">
        <f>IF(E4997="","",IF(COUNTIF($E$2:E4997,E4997)&gt;1,"",SUMIFS(tbl_input[필요수량],tbl_input[집계키_지청],E4997)))</f>
        <v/>
      </c>
      <c r="E4997" t="str">
        <f>IFERROR(INDEX(tbl_input[집계키_지청],ROW()-1),"")</f>
        <v/>
      </c>
      <c r="F4997" t="str">
        <f t="shared" si="393"/>
        <v/>
      </c>
      <c r="G4997" t="str">
        <f t="shared" si="394"/>
        <v/>
      </c>
    </row>
    <row r="4998" spans="1:7" x14ac:dyDescent="0.4">
      <c r="A4998" t="str">
        <f t="shared" si="390"/>
        <v/>
      </c>
      <c r="B4998" t="str">
        <f t="shared" si="391"/>
        <v/>
      </c>
      <c r="C4998" t="str">
        <f t="shared" si="392"/>
        <v/>
      </c>
      <c r="D4998" t="str">
        <f>IF(E4998="","",IF(COUNTIF($E$2:E4998,E4998)&gt;1,"",SUMIFS(tbl_input[필요수량],tbl_input[집계키_지청],E4998)))</f>
        <v/>
      </c>
      <c r="E4998" t="str">
        <f>IFERROR(INDEX(tbl_input[집계키_지청],ROW()-1),"")</f>
        <v/>
      </c>
      <c r="F4998" t="str">
        <f t="shared" si="393"/>
        <v/>
      </c>
      <c r="G4998" t="str">
        <f t="shared" si="394"/>
        <v/>
      </c>
    </row>
    <row r="4999" spans="1:7" x14ac:dyDescent="0.4">
      <c r="A4999" t="str">
        <f t="shared" si="390"/>
        <v/>
      </c>
      <c r="B4999" t="str">
        <f t="shared" si="391"/>
        <v/>
      </c>
      <c r="C4999" t="str">
        <f t="shared" si="392"/>
        <v/>
      </c>
      <c r="D4999" t="str">
        <f>IF(E4999="","",IF(COUNTIF($E$2:E4999,E4999)&gt;1,"",SUMIFS(tbl_input[필요수량],tbl_input[집계키_지청],E4999)))</f>
        <v/>
      </c>
      <c r="E4999" t="str">
        <f>IFERROR(INDEX(tbl_input[집계키_지청],ROW()-1),"")</f>
        <v/>
      </c>
      <c r="F4999" t="str">
        <f t="shared" si="393"/>
        <v/>
      </c>
      <c r="G4999" t="str">
        <f t="shared" si="394"/>
        <v/>
      </c>
    </row>
    <row r="5000" spans="1:7" x14ac:dyDescent="0.4">
      <c r="A5000" t="str">
        <f t="shared" si="390"/>
        <v/>
      </c>
      <c r="B5000" t="str">
        <f t="shared" si="391"/>
        <v/>
      </c>
      <c r="C5000" t="str">
        <f t="shared" si="392"/>
        <v/>
      </c>
      <c r="D5000" t="str">
        <f>IF(E5000="","",IF(COUNTIF($E$2:E5000,E5000)&gt;1,"",SUMIFS(tbl_input[필요수량],tbl_input[집계키_지청],E5000)))</f>
        <v/>
      </c>
      <c r="E5000" t="str">
        <f>IFERROR(INDEX(tbl_input[집계키_지청],ROW()-1),"")</f>
        <v/>
      </c>
      <c r="F5000" t="str">
        <f t="shared" si="393"/>
        <v/>
      </c>
      <c r="G5000" t="str">
        <f t="shared" si="394"/>
        <v/>
      </c>
    </row>
  </sheetData>
  <sheetProtection sheet="1" objects="1" scenarios="1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53117-908E-442F-BB8F-73A25546D125}">
  <dimension ref="A1:D5000"/>
  <sheetViews>
    <sheetView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8.59765625" bestFit="1" customWidth="1"/>
    <col min="2" max="2" width="6.796875" bestFit="1" customWidth="1"/>
    <col min="3" max="3" width="12.3984375" bestFit="1" customWidth="1"/>
    <col min="4" max="4" width="0" hidden="1" customWidth="1"/>
  </cols>
  <sheetData>
    <row r="1" spans="1:4" x14ac:dyDescent="0.4">
      <c r="A1" s="1" t="s">
        <v>3</v>
      </c>
      <c r="B1" s="1" t="s">
        <v>4</v>
      </c>
      <c r="C1" s="1" t="s">
        <v>10</v>
      </c>
      <c r="D1" s="1" t="s">
        <v>11</v>
      </c>
    </row>
    <row r="2" spans="1:4" x14ac:dyDescent="0.4">
      <c r="A2" t="str">
        <f t="shared" ref="A2:A65" si="0">IF(D2="","",LEFT(D2,FIND("♦",D2)-1))</f>
        <v/>
      </c>
      <c r="B2" t="str">
        <f t="shared" ref="B2:B65" si="1">IF(D2="","",MID(D2,FIND("♦",D2)+1,999))</f>
        <v/>
      </c>
      <c r="C2">
        <f>IF(D2="","",IF(COUNTIF($D$2:D2,D2)&gt;1,"",SUMIFS(tbl_input[필요수량],tbl_input[집계키_청],D2)))</f>
        <v>0</v>
      </c>
      <c r="D2" t="str">
        <f>IFERROR(INDEX(tbl_input[집계키_청],ROW()-1),"")</f>
        <v>♦</v>
      </c>
    </row>
    <row r="3" spans="1:4" x14ac:dyDescent="0.4">
      <c r="A3" t="str">
        <f t="shared" si="0"/>
        <v/>
      </c>
      <c r="B3" t="str">
        <f t="shared" si="1"/>
        <v/>
      </c>
      <c r="C3" t="str">
        <f>IF(D3="","",IF(COUNTIF($D$2:D3,D3)&gt;1,"",SUMIFS(tbl_input[필요수량],tbl_input[집계키_청],D3)))</f>
        <v/>
      </c>
      <c r="D3" t="str">
        <f>IFERROR(INDEX(tbl_input[집계키_청],ROW()-1),"")</f>
        <v/>
      </c>
    </row>
    <row r="4" spans="1:4" x14ac:dyDescent="0.4">
      <c r="A4" t="str">
        <f t="shared" si="0"/>
        <v/>
      </c>
      <c r="B4" t="str">
        <f t="shared" si="1"/>
        <v/>
      </c>
      <c r="C4" t="str">
        <f>IF(D4="","",IF(COUNTIF($D$2:D4,D4)&gt;1,"",SUMIFS(tbl_input[필요수량],tbl_input[집계키_청],D4)))</f>
        <v/>
      </c>
      <c r="D4" t="str">
        <f>IFERROR(INDEX(tbl_input[집계키_청],ROW()-1),"")</f>
        <v/>
      </c>
    </row>
    <row r="5" spans="1:4" x14ac:dyDescent="0.4">
      <c r="A5" t="str">
        <f t="shared" si="0"/>
        <v/>
      </c>
      <c r="B5" t="str">
        <f t="shared" si="1"/>
        <v/>
      </c>
      <c r="C5" t="str">
        <f>IF(D5="","",IF(COUNTIF($D$2:D5,D5)&gt;1,"",SUMIFS(tbl_input[필요수량],tbl_input[집계키_청],D5)))</f>
        <v/>
      </c>
      <c r="D5" t="str">
        <f>IFERROR(INDEX(tbl_input[집계키_청],ROW()-1),"")</f>
        <v/>
      </c>
    </row>
    <row r="6" spans="1:4" x14ac:dyDescent="0.4">
      <c r="A6" t="str">
        <f t="shared" si="0"/>
        <v/>
      </c>
      <c r="B6" t="str">
        <f t="shared" si="1"/>
        <v/>
      </c>
      <c r="C6" t="str">
        <f>IF(D6="","",IF(COUNTIF($D$2:D6,D6)&gt;1,"",SUMIFS(tbl_input[필요수량],tbl_input[집계키_청],D6)))</f>
        <v/>
      </c>
      <c r="D6" t="str">
        <f>IFERROR(INDEX(tbl_input[집계키_청],ROW()-1),"")</f>
        <v/>
      </c>
    </row>
    <row r="7" spans="1:4" x14ac:dyDescent="0.4">
      <c r="A7" t="str">
        <f t="shared" si="0"/>
        <v/>
      </c>
      <c r="B7" t="str">
        <f t="shared" si="1"/>
        <v/>
      </c>
      <c r="C7" t="str">
        <f>IF(D7="","",IF(COUNTIF($D$2:D7,D7)&gt;1,"",SUMIFS(tbl_input[필요수량],tbl_input[집계키_청],D7)))</f>
        <v/>
      </c>
      <c r="D7" t="str">
        <f>IFERROR(INDEX(tbl_input[집계키_청],ROW()-1),"")</f>
        <v/>
      </c>
    </row>
    <row r="8" spans="1:4" x14ac:dyDescent="0.4">
      <c r="A8" t="str">
        <f t="shared" si="0"/>
        <v/>
      </c>
      <c r="B8" t="str">
        <f t="shared" si="1"/>
        <v/>
      </c>
      <c r="C8" t="str">
        <f>IF(D8="","",IF(COUNTIF($D$2:D8,D8)&gt;1,"",SUMIFS(tbl_input[필요수량],tbl_input[집계키_청],D8)))</f>
        <v/>
      </c>
      <c r="D8" t="str">
        <f>IFERROR(INDEX(tbl_input[집계키_청],ROW()-1),"")</f>
        <v/>
      </c>
    </row>
    <row r="9" spans="1:4" x14ac:dyDescent="0.4">
      <c r="A9" t="str">
        <f t="shared" si="0"/>
        <v/>
      </c>
      <c r="B9" t="str">
        <f t="shared" si="1"/>
        <v/>
      </c>
      <c r="C9" t="str">
        <f>IF(D9="","",IF(COUNTIF($D$2:D9,D9)&gt;1,"",SUMIFS(tbl_input[필요수량],tbl_input[집계키_청],D9)))</f>
        <v/>
      </c>
      <c r="D9" t="str">
        <f>IFERROR(INDEX(tbl_input[집계키_청],ROW()-1),"")</f>
        <v/>
      </c>
    </row>
    <row r="10" spans="1:4" x14ac:dyDescent="0.4">
      <c r="A10" t="str">
        <f t="shared" si="0"/>
        <v/>
      </c>
      <c r="B10" t="str">
        <f t="shared" si="1"/>
        <v/>
      </c>
      <c r="C10" t="str">
        <f>IF(D10="","",IF(COUNTIF($D$2:D10,D10)&gt;1,"",SUMIFS(tbl_input[필요수량],tbl_input[집계키_청],D10)))</f>
        <v/>
      </c>
      <c r="D10" t="str">
        <f>IFERROR(INDEX(tbl_input[집계키_청],ROW()-1),"")</f>
        <v/>
      </c>
    </row>
    <row r="11" spans="1:4" x14ac:dyDescent="0.4">
      <c r="A11" t="str">
        <f t="shared" si="0"/>
        <v/>
      </c>
      <c r="B11" t="str">
        <f t="shared" si="1"/>
        <v/>
      </c>
      <c r="C11" t="str">
        <f>IF(D11="","",IF(COUNTIF($D$2:D11,D11)&gt;1,"",SUMIFS(tbl_input[필요수량],tbl_input[집계키_청],D11)))</f>
        <v/>
      </c>
      <c r="D11" t="str">
        <f>IFERROR(INDEX(tbl_input[집계키_청],ROW()-1),"")</f>
        <v/>
      </c>
    </row>
    <row r="12" spans="1:4" x14ac:dyDescent="0.4">
      <c r="A12" t="str">
        <f t="shared" si="0"/>
        <v/>
      </c>
      <c r="B12" t="str">
        <f t="shared" si="1"/>
        <v/>
      </c>
      <c r="C12" t="str">
        <f>IF(D12="","",IF(COUNTIF($D$2:D12,D12)&gt;1,"",SUMIFS(tbl_input[필요수량],tbl_input[집계키_청],D12)))</f>
        <v/>
      </c>
      <c r="D12" t="str">
        <f>IFERROR(INDEX(tbl_input[집계키_청],ROW()-1),"")</f>
        <v/>
      </c>
    </row>
    <row r="13" spans="1:4" x14ac:dyDescent="0.4">
      <c r="A13" t="str">
        <f t="shared" si="0"/>
        <v/>
      </c>
      <c r="B13" t="str">
        <f t="shared" si="1"/>
        <v/>
      </c>
      <c r="C13" t="str">
        <f>IF(D13="","",IF(COUNTIF($D$2:D13,D13)&gt;1,"",SUMIFS(tbl_input[필요수량],tbl_input[집계키_청],D13)))</f>
        <v/>
      </c>
      <c r="D13" t="str">
        <f>IFERROR(INDEX(tbl_input[집계키_청],ROW()-1),"")</f>
        <v/>
      </c>
    </row>
    <row r="14" spans="1:4" x14ac:dyDescent="0.4">
      <c r="A14" t="str">
        <f t="shared" si="0"/>
        <v/>
      </c>
      <c r="B14" t="str">
        <f t="shared" si="1"/>
        <v/>
      </c>
      <c r="C14" t="str">
        <f>IF(D14="","",IF(COUNTIF($D$2:D14,D14)&gt;1,"",SUMIFS(tbl_input[필요수량],tbl_input[집계키_청],D14)))</f>
        <v/>
      </c>
      <c r="D14" t="str">
        <f>IFERROR(INDEX(tbl_input[집계키_청],ROW()-1),"")</f>
        <v/>
      </c>
    </row>
    <row r="15" spans="1:4" x14ac:dyDescent="0.4">
      <c r="A15" t="str">
        <f t="shared" si="0"/>
        <v/>
      </c>
      <c r="B15" t="str">
        <f t="shared" si="1"/>
        <v/>
      </c>
      <c r="C15" t="str">
        <f>IF(D15="","",IF(COUNTIF($D$2:D15,D15)&gt;1,"",SUMIFS(tbl_input[필요수량],tbl_input[집계키_청],D15)))</f>
        <v/>
      </c>
      <c r="D15" t="str">
        <f>IFERROR(INDEX(tbl_input[집계키_청],ROW()-1),"")</f>
        <v/>
      </c>
    </row>
    <row r="16" spans="1:4" x14ac:dyDescent="0.4">
      <c r="A16" t="str">
        <f t="shared" si="0"/>
        <v/>
      </c>
      <c r="B16" t="str">
        <f t="shared" si="1"/>
        <v/>
      </c>
      <c r="C16" t="str">
        <f>IF(D16="","",IF(COUNTIF($D$2:D16,D16)&gt;1,"",SUMIFS(tbl_input[필요수량],tbl_input[집계키_청],D16)))</f>
        <v/>
      </c>
      <c r="D16" t="str">
        <f>IFERROR(INDEX(tbl_input[집계키_청],ROW()-1),"")</f>
        <v/>
      </c>
    </row>
    <row r="17" spans="1:4" x14ac:dyDescent="0.4">
      <c r="A17" t="str">
        <f t="shared" si="0"/>
        <v/>
      </c>
      <c r="B17" t="str">
        <f t="shared" si="1"/>
        <v/>
      </c>
      <c r="C17" t="str">
        <f>IF(D17="","",IF(COUNTIF($D$2:D17,D17)&gt;1,"",SUMIFS(tbl_input[필요수량],tbl_input[집계키_청],D17)))</f>
        <v/>
      </c>
      <c r="D17" t="str">
        <f>IFERROR(INDEX(tbl_input[집계키_청],ROW()-1),"")</f>
        <v/>
      </c>
    </row>
    <row r="18" spans="1:4" x14ac:dyDescent="0.4">
      <c r="A18" t="str">
        <f t="shared" si="0"/>
        <v/>
      </c>
      <c r="B18" t="str">
        <f t="shared" si="1"/>
        <v/>
      </c>
      <c r="C18" t="str">
        <f>IF(D18="","",IF(COUNTIF($D$2:D18,D18)&gt;1,"",SUMIFS(tbl_input[필요수량],tbl_input[집계키_청],D18)))</f>
        <v/>
      </c>
      <c r="D18" t="str">
        <f>IFERROR(INDEX(tbl_input[집계키_청],ROW()-1),"")</f>
        <v/>
      </c>
    </row>
    <row r="19" spans="1:4" x14ac:dyDescent="0.4">
      <c r="A19" t="str">
        <f t="shared" si="0"/>
        <v/>
      </c>
      <c r="B19" t="str">
        <f t="shared" si="1"/>
        <v/>
      </c>
      <c r="C19" t="str">
        <f>IF(D19="","",IF(COUNTIF($D$2:D19,D19)&gt;1,"",SUMIFS(tbl_input[필요수량],tbl_input[집계키_청],D19)))</f>
        <v/>
      </c>
      <c r="D19" t="str">
        <f>IFERROR(INDEX(tbl_input[집계키_청],ROW()-1),"")</f>
        <v/>
      </c>
    </row>
    <row r="20" spans="1:4" x14ac:dyDescent="0.4">
      <c r="A20" t="str">
        <f t="shared" si="0"/>
        <v/>
      </c>
      <c r="B20" t="str">
        <f t="shared" si="1"/>
        <v/>
      </c>
      <c r="C20" t="str">
        <f>IF(D20="","",IF(COUNTIF($D$2:D20,D20)&gt;1,"",SUMIFS(tbl_input[필요수량],tbl_input[집계키_청],D20)))</f>
        <v/>
      </c>
      <c r="D20" t="str">
        <f>IFERROR(INDEX(tbl_input[집계키_청],ROW()-1),"")</f>
        <v/>
      </c>
    </row>
    <row r="21" spans="1:4" x14ac:dyDescent="0.4">
      <c r="A21" t="str">
        <f t="shared" si="0"/>
        <v/>
      </c>
      <c r="B21" t="str">
        <f t="shared" si="1"/>
        <v/>
      </c>
      <c r="C21" t="str">
        <f>IF(D21="","",IF(COUNTIF($D$2:D21,D21)&gt;1,"",SUMIFS(tbl_input[필요수량],tbl_input[집계키_청],D21)))</f>
        <v/>
      </c>
      <c r="D21" t="str">
        <f>IFERROR(INDEX(tbl_input[집계키_청],ROW()-1),"")</f>
        <v/>
      </c>
    </row>
    <row r="22" spans="1:4" x14ac:dyDescent="0.4">
      <c r="A22" t="str">
        <f t="shared" si="0"/>
        <v/>
      </c>
      <c r="B22" t="str">
        <f t="shared" si="1"/>
        <v/>
      </c>
      <c r="C22" t="str">
        <f>IF(D22="","",IF(COUNTIF($D$2:D22,D22)&gt;1,"",SUMIFS(tbl_input[필요수량],tbl_input[집계키_청],D22)))</f>
        <v/>
      </c>
      <c r="D22" t="str">
        <f>IFERROR(INDEX(tbl_input[집계키_청],ROW()-1),"")</f>
        <v/>
      </c>
    </row>
    <row r="23" spans="1:4" x14ac:dyDescent="0.4">
      <c r="A23" t="str">
        <f t="shared" si="0"/>
        <v/>
      </c>
      <c r="B23" t="str">
        <f t="shared" si="1"/>
        <v/>
      </c>
      <c r="C23" t="str">
        <f>IF(D23="","",IF(COUNTIF($D$2:D23,D23)&gt;1,"",SUMIFS(tbl_input[필요수량],tbl_input[집계키_청],D23)))</f>
        <v/>
      </c>
      <c r="D23" t="str">
        <f>IFERROR(INDEX(tbl_input[집계키_청],ROW()-1),"")</f>
        <v/>
      </c>
    </row>
    <row r="24" spans="1:4" x14ac:dyDescent="0.4">
      <c r="A24" t="str">
        <f t="shared" si="0"/>
        <v/>
      </c>
      <c r="B24" t="str">
        <f t="shared" si="1"/>
        <v/>
      </c>
      <c r="C24" t="str">
        <f>IF(D24="","",IF(COUNTIF($D$2:D24,D24)&gt;1,"",SUMIFS(tbl_input[필요수량],tbl_input[집계키_청],D24)))</f>
        <v/>
      </c>
      <c r="D24" t="str">
        <f>IFERROR(INDEX(tbl_input[집계키_청],ROW()-1),"")</f>
        <v/>
      </c>
    </row>
    <row r="25" spans="1:4" x14ac:dyDescent="0.4">
      <c r="A25" t="str">
        <f t="shared" si="0"/>
        <v/>
      </c>
      <c r="B25" t="str">
        <f t="shared" si="1"/>
        <v/>
      </c>
      <c r="C25" t="str">
        <f>IF(D25="","",IF(COUNTIF($D$2:D25,D25)&gt;1,"",SUMIFS(tbl_input[필요수량],tbl_input[집계키_청],D25)))</f>
        <v/>
      </c>
      <c r="D25" t="str">
        <f>IFERROR(INDEX(tbl_input[집계키_청],ROW()-1),"")</f>
        <v/>
      </c>
    </row>
    <row r="26" spans="1:4" x14ac:dyDescent="0.4">
      <c r="A26" t="str">
        <f t="shared" si="0"/>
        <v/>
      </c>
      <c r="B26" t="str">
        <f t="shared" si="1"/>
        <v/>
      </c>
      <c r="C26" t="str">
        <f>IF(D26="","",IF(COUNTIF($D$2:D26,D26)&gt;1,"",SUMIFS(tbl_input[필요수량],tbl_input[집계키_청],D26)))</f>
        <v/>
      </c>
      <c r="D26" t="str">
        <f>IFERROR(INDEX(tbl_input[집계키_청],ROW()-1),"")</f>
        <v/>
      </c>
    </row>
    <row r="27" spans="1:4" x14ac:dyDescent="0.4">
      <c r="A27" t="str">
        <f t="shared" si="0"/>
        <v/>
      </c>
      <c r="B27" t="str">
        <f t="shared" si="1"/>
        <v/>
      </c>
      <c r="C27" t="str">
        <f>IF(D27="","",IF(COUNTIF($D$2:D27,D27)&gt;1,"",SUMIFS(tbl_input[필요수량],tbl_input[집계키_청],D27)))</f>
        <v/>
      </c>
      <c r="D27" t="str">
        <f>IFERROR(INDEX(tbl_input[집계키_청],ROW()-1),"")</f>
        <v/>
      </c>
    </row>
    <row r="28" spans="1:4" x14ac:dyDescent="0.4">
      <c r="A28" t="str">
        <f t="shared" si="0"/>
        <v/>
      </c>
      <c r="B28" t="str">
        <f t="shared" si="1"/>
        <v/>
      </c>
      <c r="C28" t="str">
        <f>IF(D28="","",IF(COUNTIF($D$2:D28,D28)&gt;1,"",SUMIFS(tbl_input[필요수량],tbl_input[집계키_청],D28)))</f>
        <v/>
      </c>
      <c r="D28" t="str">
        <f>IFERROR(INDEX(tbl_input[집계키_청],ROW()-1),"")</f>
        <v/>
      </c>
    </row>
    <row r="29" spans="1:4" x14ac:dyDescent="0.4">
      <c r="A29" t="str">
        <f t="shared" si="0"/>
        <v/>
      </c>
      <c r="B29" t="str">
        <f t="shared" si="1"/>
        <v/>
      </c>
      <c r="C29" t="str">
        <f>IF(D29="","",IF(COUNTIF($D$2:D29,D29)&gt;1,"",SUMIFS(tbl_input[필요수량],tbl_input[집계키_청],D29)))</f>
        <v/>
      </c>
      <c r="D29" t="str">
        <f>IFERROR(INDEX(tbl_input[집계키_청],ROW()-1),"")</f>
        <v/>
      </c>
    </row>
    <row r="30" spans="1:4" x14ac:dyDescent="0.4">
      <c r="A30" t="str">
        <f t="shared" si="0"/>
        <v/>
      </c>
      <c r="B30" t="str">
        <f t="shared" si="1"/>
        <v/>
      </c>
      <c r="C30" t="str">
        <f>IF(D30="","",IF(COUNTIF($D$2:D30,D30)&gt;1,"",SUMIFS(tbl_input[필요수량],tbl_input[집계키_청],D30)))</f>
        <v/>
      </c>
      <c r="D30" t="str">
        <f>IFERROR(INDEX(tbl_input[집계키_청],ROW()-1),"")</f>
        <v/>
      </c>
    </row>
    <row r="31" spans="1:4" x14ac:dyDescent="0.4">
      <c r="A31" t="str">
        <f t="shared" si="0"/>
        <v/>
      </c>
      <c r="B31" t="str">
        <f t="shared" si="1"/>
        <v/>
      </c>
      <c r="C31" t="str">
        <f>IF(D31="","",IF(COUNTIF($D$2:D31,D31)&gt;1,"",SUMIFS(tbl_input[필요수량],tbl_input[집계키_청],D31)))</f>
        <v/>
      </c>
      <c r="D31" t="str">
        <f>IFERROR(INDEX(tbl_input[집계키_청],ROW()-1),"")</f>
        <v/>
      </c>
    </row>
    <row r="32" spans="1:4" x14ac:dyDescent="0.4">
      <c r="A32" t="str">
        <f t="shared" si="0"/>
        <v/>
      </c>
      <c r="B32" t="str">
        <f t="shared" si="1"/>
        <v/>
      </c>
      <c r="C32" t="str">
        <f>IF(D32="","",IF(COUNTIF($D$2:D32,D32)&gt;1,"",SUMIFS(tbl_input[필요수량],tbl_input[집계키_청],D32)))</f>
        <v/>
      </c>
      <c r="D32" t="str">
        <f>IFERROR(INDEX(tbl_input[집계키_청],ROW()-1),"")</f>
        <v/>
      </c>
    </row>
    <row r="33" spans="1:4" x14ac:dyDescent="0.4">
      <c r="A33" t="str">
        <f t="shared" si="0"/>
        <v/>
      </c>
      <c r="B33" t="str">
        <f t="shared" si="1"/>
        <v/>
      </c>
      <c r="C33" t="str">
        <f>IF(D33="","",IF(COUNTIF($D$2:D33,D33)&gt;1,"",SUMIFS(tbl_input[필요수량],tbl_input[집계키_청],D33)))</f>
        <v/>
      </c>
      <c r="D33" t="str">
        <f>IFERROR(INDEX(tbl_input[집계키_청],ROW()-1),"")</f>
        <v/>
      </c>
    </row>
    <row r="34" spans="1:4" x14ac:dyDescent="0.4">
      <c r="A34" t="str">
        <f t="shared" si="0"/>
        <v/>
      </c>
      <c r="B34" t="str">
        <f t="shared" si="1"/>
        <v/>
      </c>
      <c r="C34" t="str">
        <f>IF(D34="","",IF(COUNTIF($D$2:D34,D34)&gt;1,"",SUMIFS(tbl_input[필요수량],tbl_input[집계키_청],D34)))</f>
        <v/>
      </c>
      <c r="D34" t="str">
        <f>IFERROR(INDEX(tbl_input[집계키_청],ROW()-1),"")</f>
        <v/>
      </c>
    </row>
    <row r="35" spans="1:4" x14ac:dyDescent="0.4">
      <c r="A35" t="str">
        <f t="shared" si="0"/>
        <v/>
      </c>
      <c r="B35" t="str">
        <f t="shared" si="1"/>
        <v/>
      </c>
      <c r="C35" t="str">
        <f>IF(D35="","",IF(COUNTIF($D$2:D35,D35)&gt;1,"",SUMIFS(tbl_input[필요수량],tbl_input[집계키_청],D35)))</f>
        <v/>
      </c>
      <c r="D35" t="str">
        <f>IFERROR(INDEX(tbl_input[집계키_청],ROW()-1),"")</f>
        <v/>
      </c>
    </row>
    <row r="36" spans="1:4" x14ac:dyDescent="0.4">
      <c r="A36" t="str">
        <f t="shared" si="0"/>
        <v/>
      </c>
      <c r="B36" t="str">
        <f t="shared" si="1"/>
        <v/>
      </c>
      <c r="C36" t="str">
        <f>IF(D36="","",IF(COUNTIF($D$2:D36,D36)&gt;1,"",SUMIFS(tbl_input[필요수량],tbl_input[집계키_청],D36)))</f>
        <v/>
      </c>
      <c r="D36" t="str">
        <f>IFERROR(INDEX(tbl_input[집계키_청],ROW()-1),"")</f>
        <v/>
      </c>
    </row>
    <row r="37" spans="1:4" x14ac:dyDescent="0.4">
      <c r="A37" t="str">
        <f t="shared" si="0"/>
        <v/>
      </c>
      <c r="B37" t="str">
        <f t="shared" si="1"/>
        <v/>
      </c>
      <c r="C37" t="str">
        <f>IF(D37="","",IF(COUNTIF($D$2:D37,D37)&gt;1,"",SUMIFS(tbl_input[필요수량],tbl_input[집계키_청],D37)))</f>
        <v/>
      </c>
      <c r="D37" t="str">
        <f>IFERROR(INDEX(tbl_input[집계키_청],ROW()-1),"")</f>
        <v/>
      </c>
    </row>
    <row r="38" spans="1:4" x14ac:dyDescent="0.4">
      <c r="A38" t="str">
        <f t="shared" si="0"/>
        <v/>
      </c>
      <c r="B38" t="str">
        <f t="shared" si="1"/>
        <v/>
      </c>
      <c r="C38" t="str">
        <f>IF(D38="","",IF(COUNTIF($D$2:D38,D38)&gt;1,"",SUMIFS(tbl_input[필요수량],tbl_input[집계키_청],D38)))</f>
        <v/>
      </c>
      <c r="D38" t="str">
        <f>IFERROR(INDEX(tbl_input[집계키_청],ROW()-1),"")</f>
        <v/>
      </c>
    </row>
    <row r="39" spans="1:4" x14ac:dyDescent="0.4">
      <c r="A39" t="str">
        <f t="shared" si="0"/>
        <v/>
      </c>
      <c r="B39" t="str">
        <f t="shared" si="1"/>
        <v/>
      </c>
      <c r="C39" t="str">
        <f>IF(D39="","",IF(COUNTIF($D$2:D39,D39)&gt;1,"",SUMIFS(tbl_input[필요수량],tbl_input[집계키_청],D39)))</f>
        <v/>
      </c>
      <c r="D39" t="str">
        <f>IFERROR(INDEX(tbl_input[집계키_청],ROW()-1),"")</f>
        <v/>
      </c>
    </row>
    <row r="40" spans="1:4" x14ac:dyDescent="0.4">
      <c r="A40" t="str">
        <f t="shared" si="0"/>
        <v/>
      </c>
      <c r="B40" t="str">
        <f t="shared" si="1"/>
        <v/>
      </c>
      <c r="C40" t="str">
        <f>IF(D40="","",IF(COUNTIF($D$2:D40,D40)&gt;1,"",SUMIFS(tbl_input[필요수량],tbl_input[집계키_청],D40)))</f>
        <v/>
      </c>
      <c r="D40" t="str">
        <f>IFERROR(INDEX(tbl_input[집계키_청],ROW()-1),"")</f>
        <v/>
      </c>
    </row>
    <row r="41" spans="1:4" x14ac:dyDescent="0.4">
      <c r="A41" t="str">
        <f t="shared" si="0"/>
        <v/>
      </c>
      <c r="B41" t="str">
        <f t="shared" si="1"/>
        <v/>
      </c>
      <c r="C41" t="str">
        <f>IF(D41="","",IF(COUNTIF($D$2:D41,D41)&gt;1,"",SUMIFS(tbl_input[필요수량],tbl_input[집계키_청],D41)))</f>
        <v/>
      </c>
      <c r="D41" t="str">
        <f>IFERROR(INDEX(tbl_input[집계키_청],ROW()-1),"")</f>
        <v/>
      </c>
    </row>
    <row r="42" spans="1:4" x14ac:dyDescent="0.4">
      <c r="A42" t="str">
        <f t="shared" si="0"/>
        <v/>
      </c>
      <c r="B42" t="str">
        <f t="shared" si="1"/>
        <v/>
      </c>
      <c r="C42" t="str">
        <f>IF(D42="","",IF(COUNTIF($D$2:D42,D42)&gt;1,"",SUMIFS(tbl_input[필요수량],tbl_input[집계키_청],D42)))</f>
        <v/>
      </c>
      <c r="D42" t="str">
        <f>IFERROR(INDEX(tbl_input[집계키_청],ROW()-1),"")</f>
        <v/>
      </c>
    </row>
    <row r="43" spans="1:4" x14ac:dyDescent="0.4">
      <c r="A43" t="str">
        <f t="shared" si="0"/>
        <v/>
      </c>
      <c r="B43" t="str">
        <f t="shared" si="1"/>
        <v/>
      </c>
      <c r="C43" t="str">
        <f>IF(D43="","",IF(COUNTIF($D$2:D43,D43)&gt;1,"",SUMIFS(tbl_input[필요수량],tbl_input[집계키_청],D43)))</f>
        <v/>
      </c>
      <c r="D43" t="str">
        <f>IFERROR(INDEX(tbl_input[집계키_청],ROW()-1),"")</f>
        <v/>
      </c>
    </row>
    <row r="44" spans="1:4" x14ac:dyDescent="0.4">
      <c r="A44" t="str">
        <f t="shared" si="0"/>
        <v/>
      </c>
      <c r="B44" t="str">
        <f t="shared" si="1"/>
        <v/>
      </c>
      <c r="C44" t="str">
        <f>IF(D44="","",IF(COUNTIF($D$2:D44,D44)&gt;1,"",SUMIFS(tbl_input[필요수량],tbl_input[집계키_청],D44)))</f>
        <v/>
      </c>
      <c r="D44" t="str">
        <f>IFERROR(INDEX(tbl_input[집계키_청],ROW()-1),"")</f>
        <v/>
      </c>
    </row>
    <row r="45" spans="1:4" x14ac:dyDescent="0.4">
      <c r="A45" t="str">
        <f t="shared" si="0"/>
        <v/>
      </c>
      <c r="B45" t="str">
        <f t="shared" si="1"/>
        <v/>
      </c>
      <c r="C45" t="str">
        <f>IF(D45="","",IF(COUNTIF($D$2:D45,D45)&gt;1,"",SUMIFS(tbl_input[필요수량],tbl_input[집계키_청],D45)))</f>
        <v/>
      </c>
      <c r="D45" t="str">
        <f>IFERROR(INDEX(tbl_input[집계키_청],ROW()-1),"")</f>
        <v/>
      </c>
    </row>
    <row r="46" spans="1:4" x14ac:dyDescent="0.4">
      <c r="A46" t="str">
        <f t="shared" si="0"/>
        <v/>
      </c>
      <c r="B46" t="str">
        <f t="shared" si="1"/>
        <v/>
      </c>
      <c r="C46" t="str">
        <f>IF(D46="","",IF(COUNTIF($D$2:D46,D46)&gt;1,"",SUMIFS(tbl_input[필요수량],tbl_input[집계키_청],D46)))</f>
        <v/>
      </c>
      <c r="D46" t="str">
        <f>IFERROR(INDEX(tbl_input[집계키_청],ROW()-1),"")</f>
        <v/>
      </c>
    </row>
    <row r="47" spans="1:4" x14ac:dyDescent="0.4">
      <c r="A47" t="str">
        <f t="shared" si="0"/>
        <v/>
      </c>
      <c r="B47" t="str">
        <f t="shared" si="1"/>
        <v/>
      </c>
      <c r="C47" t="str">
        <f>IF(D47="","",IF(COUNTIF($D$2:D47,D47)&gt;1,"",SUMIFS(tbl_input[필요수량],tbl_input[집계키_청],D47)))</f>
        <v/>
      </c>
      <c r="D47" t="str">
        <f>IFERROR(INDEX(tbl_input[집계키_청],ROW()-1),"")</f>
        <v/>
      </c>
    </row>
    <row r="48" spans="1:4" x14ac:dyDescent="0.4">
      <c r="A48" t="str">
        <f t="shared" si="0"/>
        <v/>
      </c>
      <c r="B48" t="str">
        <f t="shared" si="1"/>
        <v/>
      </c>
      <c r="C48" t="str">
        <f>IF(D48="","",IF(COUNTIF($D$2:D48,D48)&gt;1,"",SUMIFS(tbl_input[필요수량],tbl_input[집계키_청],D48)))</f>
        <v/>
      </c>
      <c r="D48" t="str">
        <f>IFERROR(INDEX(tbl_input[집계키_청],ROW()-1),"")</f>
        <v/>
      </c>
    </row>
    <row r="49" spans="1:4" x14ac:dyDescent="0.4">
      <c r="A49" t="str">
        <f t="shared" si="0"/>
        <v/>
      </c>
      <c r="B49" t="str">
        <f t="shared" si="1"/>
        <v/>
      </c>
      <c r="C49" t="str">
        <f>IF(D49="","",IF(COUNTIF($D$2:D49,D49)&gt;1,"",SUMIFS(tbl_input[필요수량],tbl_input[집계키_청],D49)))</f>
        <v/>
      </c>
      <c r="D49" t="str">
        <f>IFERROR(INDEX(tbl_input[집계키_청],ROW()-1),"")</f>
        <v/>
      </c>
    </row>
    <row r="50" spans="1:4" x14ac:dyDescent="0.4">
      <c r="A50" t="str">
        <f t="shared" si="0"/>
        <v/>
      </c>
      <c r="B50" t="str">
        <f t="shared" si="1"/>
        <v/>
      </c>
      <c r="C50" t="str">
        <f>IF(D50="","",IF(COUNTIF($D$2:D50,D50)&gt;1,"",SUMIFS(tbl_input[필요수량],tbl_input[집계키_청],D50)))</f>
        <v/>
      </c>
      <c r="D50" t="str">
        <f>IFERROR(INDEX(tbl_input[집계키_청],ROW()-1),"")</f>
        <v/>
      </c>
    </row>
    <row r="51" spans="1:4" x14ac:dyDescent="0.4">
      <c r="A51" t="str">
        <f t="shared" si="0"/>
        <v/>
      </c>
      <c r="B51" t="str">
        <f t="shared" si="1"/>
        <v/>
      </c>
      <c r="C51" t="str">
        <f>IF(D51="","",IF(COUNTIF($D$2:D51,D51)&gt;1,"",SUMIFS(tbl_input[필요수량],tbl_input[집계키_청],D51)))</f>
        <v/>
      </c>
      <c r="D51" t="str">
        <f>IFERROR(INDEX(tbl_input[집계키_청],ROW()-1),"")</f>
        <v/>
      </c>
    </row>
    <row r="52" spans="1:4" x14ac:dyDescent="0.4">
      <c r="A52" t="str">
        <f t="shared" si="0"/>
        <v/>
      </c>
      <c r="B52" t="str">
        <f t="shared" si="1"/>
        <v/>
      </c>
      <c r="C52" t="str">
        <f>IF(D52="","",IF(COUNTIF($D$2:D52,D52)&gt;1,"",SUMIFS(tbl_input[필요수량],tbl_input[집계키_청],D52)))</f>
        <v/>
      </c>
      <c r="D52" t="str">
        <f>IFERROR(INDEX(tbl_input[집계키_청],ROW()-1),"")</f>
        <v/>
      </c>
    </row>
    <row r="53" spans="1:4" x14ac:dyDescent="0.4">
      <c r="A53" t="str">
        <f t="shared" si="0"/>
        <v/>
      </c>
      <c r="B53" t="str">
        <f t="shared" si="1"/>
        <v/>
      </c>
      <c r="C53" t="str">
        <f>IF(D53="","",IF(COUNTIF($D$2:D53,D53)&gt;1,"",SUMIFS(tbl_input[필요수량],tbl_input[집계키_청],D53)))</f>
        <v/>
      </c>
      <c r="D53" t="str">
        <f>IFERROR(INDEX(tbl_input[집계키_청],ROW()-1),"")</f>
        <v/>
      </c>
    </row>
    <row r="54" spans="1:4" x14ac:dyDescent="0.4">
      <c r="A54" t="str">
        <f t="shared" si="0"/>
        <v/>
      </c>
      <c r="B54" t="str">
        <f t="shared" si="1"/>
        <v/>
      </c>
      <c r="C54" t="str">
        <f>IF(D54="","",IF(COUNTIF($D$2:D54,D54)&gt;1,"",SUMIFS(tbl_input[필요수량],tbl_input[집계키_청],D54)))</f>
        <v/>
      </c>
      <c r="D54" t="str">
        <f>IFERROR(INDEX(tbl_input[집계키_청],ROW()-1),"")</f>
        <v/>
      </c>
    </row>
    <row r="55" spans="1:4" x14ac:dyDescent="0.4">
      <c r="A55" t="str">
        <f t="shared" si="0"/>
        <v/>
      </c>
      <c r="B55" t="str">
        <f t="shared" si="1"/>
        <v/>
      </c>
      <c r="C55" t="str">
        <f>IF(D55="","",IF(COUNTIF($D$2:D55,D55)&gt;1,"",SUMIFS(tbl_input[필요수량],tbl_input[집계키_청],D55)))</f>
        <v/>
      </c>
      <c r="D55" t="str">
        <f>IFERROR(INDEX(tbl_input[집계키_청],ROW()-1),"")</f>
        <v/>
      </c>
    </row>
    <row r="56" spans="1:4" x14ac:dyDescent="0.4">
      <c r="A56" t="str">
        <f t="shared" si="0"/>
        <v/>
      </c>
      <c r="B56" t="str">
        <f t="shared" si="1"/>
        <v/>
      </c>
      <c r="C56" t="str">
        <f>IF(D56="","",IF(COUNTIF($D$2:D56,D56)&gt;1,"",SUMIFS(tbl_input[필요수량],tbl_input[집계키_청],D56)))</f>
        <v/>
      </c>
      <c r="D56" t="str">
        <f>IFERROR(INDEX(tbl_input[집계키_청],ROW()-1),"")</f>
        <v/>
      </c>
    </row>
    <row r="57" spans="1:4" x14ac:dyDescent="0.4">
      <c r="A57" t="str">
        <f t="shared" si="0"/>
        <v/>
      </c>
      <c r="B57" t="str">
        <f t="shared" si="1"/>
        <v/>
      </c>
      <c r="C57" t="str">
        <f>IF(D57="","",IF(COUNTIF($D$2:D57,D57)&gt;1,"",SUMIFS(tbl_input[필요수량],tbl_input[집계키_청],D57)))</f>
        <v/>
      </c>
      <c r="D57" t="str">
        <f>IFERROR(INDEX(tbl_input[집계키_청],ROW()-1),"")</f>
        <v/>
      </c>
    </row>
    <row r="58" spans="1:4" x14ac:dyDescent="0.4">
      <c r="A58" t="str">
        <f t="shared" si="0"/>
        <v/>
      </c>
      <c r="B58" t="str">
        <f t="shared" si="1"/>
        <v/>
      </c>
      <c r="C58" t="str">
        <f>IF(D58="","",IF(COUNTIF($D$2:D58,D58)&gt;1,"",SUMIFS(tbl_input[필요수량],tbl_input[집계키_청],D58)))</f>
        <v/>
      </c>
      <c r="D58" t="str">
        <f>IFERROR(INDEX(tbl_input[집계키_청],ROW()-1),"")</f>
        <v/>
      </c>
    </row>
    <row r="59" spans="1:4" x14ac:dyDescent="0.4">
      <c r="A59" t="str">
        <f t="shared" si="0"/>
        <v/>
      </c>
      <c r="B59" t="str">
        <f t="shared" si="1"/>
        <v/>
      </c>
      <c r="C59" t="str">
        <f>IF(D59="","",IF(COUNTIF($D$2:D59,D59)&gt;1,"",SUMIFS(tbl_input[필요수량],tbl_input[집계키_청],D59)))</f>
        <v/>
      </c>
      <c r="D59" t="str">
        <f>IFERROR(INDEX(tbl_input[집계키_청],ROW()-1),"")</f>
        <v/>
      </c>
    </row>
    <row r="60" spans="1:4" x14ac:dyDescent="0.4">
      <c r="A60" t="str">
        <f t="shared" si="0"/>
        <v/>
      </c>
      <c r="B60" t="str">
        <f t="shared" si="1"/>
        <v/>
      </c>
      <c r="C60" t="str">
        <f>IF(D60="","",IF(COUNTIF($D$2:D60,D60)&gt;1,"",SUMIFS(tbl_input[필요수량],tbl_input[집계키_청],D60)))</f>
        <v/>
      </c>
      <c r="D60" t="str">
        <f>IFERROR(INDEX(tbl_input[집계키_청],ROW()-1),"")</f>
        <v/>
      </c>
    </row>
    <row r="61" spans="1:4" x14ac:dyDescent="0.4">
      <c r="A61" t="str">
        <f t="shared" si="0"/>
        <v/>
      </c>
      <c r="B61" t="str">
        <f t="shared" si="1"/>
        <v/>
      </c>
      <c r="C61" t="str">
        <f>IF(D61="","",IF(COUNTIF($D$2:D61,D61)&gt;1,"",SUMIFS(tbl_input[필요수량],tbl_input[집계키_청],D61)))</f>
        <v/>
      </c>
      <c r="D61" t="str">
        <f>IFERROR(INDEX(tbl_input[집계키_청],ROW()-1),"")</f>
        <v/>
      </c>
    </row>
    <row r="62" spans="1:4" x14ac:dyDescent="0.4">
      <c r="A62" t="str">
        <f t="shared" si="0"/>
        <v/>
      </c>
      <c r="B62" t="str">
        <f t="shared" si="1"/>
        <v/>
      </c>
      <c r="C62" t="str">
        <f>IF(D62="","",IF(COUNTIF($D$2:D62,D62)&gt;1,"",SUMIFS(tbl_input[필요수량],tbl_input[집계키_청],D62)))</f>
        <v/>
      </c>
      <c r="D62" t="str">
        <f>IFERROR(INDEX(tbl_input[집계키_청],ROW()-1),"")</f>
        <v/>
      </c>
    </row>
    <row r="63" spans="1:4" x14ac:dyDescent="0.4">
      <c r="A63" t="str">
        <f t="shared" si="0"/>
        <v/>
      </c>
      <c r="B63" t="str">
        <f t="shared" si="1"/>
        <v/>
      </c>
      <c r="C63" t="str">
        <f>IF(D63="","",IF(COUNTIF($D$2:D63,D63)&gt;1,"",SUMIFS(tbl_input[필요수량],tbl_input[집계키_청],D63)))</f>
        <v/>
      </c>
      <c r="D63" t="str">
        <f>IFERROR(INDEX(tbl_input[집계키_청],ROW()-1),"")</f>
        <v/>
      </c>
    </row>
    <row r="64" spans="1:4" x14ac:dyDescent="0.4">
      <c r="A64" t="str">
        <f t="shared" si="0"/>
        <v/>
      </c>
      <c r="B64" t="str">
        <f t="shared" si="1"/>
        <v/>
      </c>
      <c r="C64" t="str">
        <f>IF(D64="","",IF(COUNTIF($D$2:D64,D64)&gt;1,"",SUMIFS(tbl_input[필요수량],tbl_input[집계키_청],D64)))</f>
        <v/>
      </c>
      <c r="D64" t="str">
        <f>IFERROR(INDEX(tbl_input[집계키_청],ROW()-1),"")</f>
        <v/>
      </c>
    </row>
    <row r="65" spans="1:4" x14ac:dyDescent="0.4">
      <c r="A65" t="str">
        <f t="shared" si="0"/>
        <v/>
      </c>
      <c r="B65" t="str">
        <f t="shared" si="1"/>
        <v/>
      </c>
      <c r="C65" t="str">
        <f>IF(D65="","",IF(COUNTIF($D$2:D65,D65)&gt;1,"",SUMIFS(tbl_input[필요수량],tbl_input[집계키_청],D65)))</f>
        <v/>
      </c>
      <c r="D65" t="str">
        <f>IFERROR(INDEX(tbl_input[집계키_청],ROW()-1),"")</f>
        <v/>
      </c>
    </row>
    <row r="66" spans="1:4" x14ac:dyDescent="0.4">
      <c r="A66" t="str">
        <f t="shared" ref="A66:A129" si="2">IF(D66="","",LEFT(D66,FIND("♦",D66)-1))</f>
        <v/>
      </c>
      <c r="B66" t="str">
        <f t="shared" ref="B66:B129" si="3">IF(D66="","",MID(D66,FIND("♦",D66)+1,999))</f>
        <v/>
      </c>
      <c r="C66" t="str">
        <f>IF(D66="","",IF(COUNTIF($D$2:D66,D66)&gt;1,"",SUMIFS(tbl_input[필요수량],tbl_input[집계키_청],D66)))</f>
        <v/>
      </c>
      <c r="D66" t="str">
        <f>IFERROR(INDEX(tbl_input[집계키_청],ROW()-1),"")</f>
        <v/>
      </c>
    </row>
    <row r="67" spans="1:4" x14ac:dyDescent="0.4">
      <c r="A67" t="str">
        <f t="shared" si="2"/>
        <v/>
      </c>
      <c r="B67" t="str">
        <f t="shared" si="3"/>
        <v/>
      </c>
      <c r="C67" t="str">
        <f>IF(D67="","",IF(COUNTIF($D$2:D67,D67)&gt;1,"",SUMIFS(tbl_input[필요수량],tbl_input[집계키_청],D67)))</f>
        <v/>
      </c>
      <c r="D67" t="str">
        <f>IFERROR(INDEX(tbl_input[집계키_청],ROW()-1),"")</f>
        <v/>
      </c>
    </row>
    <row r="68" spans="1:4" x14ac:dyDescent="0.4">
      <c r="A68" t="str">
        <f t="shared" si="2"/>
        <v/>
      </c>
      <c r="B68" t="str">
        <f t="shared" si="3"/>
        <v/>
      </c>
      <c r="C68" t="str">
        <f>IF(D68="","",IF(COUNTIF($D$2:D68,D68)&gt;1,"",SUMIFS(tbl_input[필요수량],tbl_input[집계키_청],D68)))</f>
        <v/>
      </c>
      <c r="D68" t="str">
        <f>IFERROR(INDEX(tbl_input[집계키_청],ROW()-1),"")</f>
        <v/>
      </c>
    </row>
    <row r="69" spans="1:4" x14ac:dyDescent="0.4">
      <c r="A69" t="str">
        <f t="shared" si="2"/>
        <v/>
      </c>
      <c r="B69" t="str">
        <f t="shared" si="3"/>
        <v/>
      </c>
      <c r="C69" t="str">
        <f>IF(D69="","",IF(COUNTIF($D$2:D69,D69)&gt;1,"",SUMIFS(tbl_input[필요수량],tbl_input[집계키_청],D69)))</f>
        <v/>
      </c>
      <c r="D69" t="str">
        <f>IFERROR(INDEX(tbl_input[집계키_청],ROW()-1),"")</f>
        <v/>
      </c>
    </row>
    <row r="70" spans="1:4" x14ac:dyDescent="0.4">
      <c r="A70" t="str">
        <f t="shared" si="2"/>
        <v/>
      </c>
      <c r="B70" t="str">
        <f t="shared" si="3"/>
        <v/>
      </c>
      <c r="C70" t="str">
        <f>IF(D70="","",IF(COUNTIF($D$2:D70,D70)&gt;1,"",SUMIFS(tbl_input[필요수량],tbl_input[집계키_청],D70)))</f>
        <v/>
      </c>
      <c r="D70" t="str">
        <f>IFERROR(INDEX(tbl_input[집계키_청],ROW()-1),"")</f>
        <v/>
      </c>
    </row>
    <row r="71" spans="1:4" x14ac:dyDescent="0.4">
      <c r="A71" t="str">
        <f t="shared" si="2"/>
        <v/>
      </c>
      <c r="B71" t="str">
        <f t="shared" si="3"/>
        <v/>
      </c>
      <c r="C71" t="str">
        <f>IF(D71="","",IF(COUNTIF($D$2:D71,D71)&gt;1,"",SUMIFS(tbl_input[필요수량],tbl_input[집계키_청],D71)))</f>
        <v/>
      </c>
      <c r="D71" t="str">
        <f>IFERROR(INDEX(tbl_input[집계키_청],ROW()-1),"")</f>
        <v/>
      </c>
    </row>
    <row r="72" spans="1:4" x14ac:dyDescent="0.4">
      <c r="A72" t="str">
        <f t="shared" si="2"/>
        <v/>
      </c>
      <c r="B72" t="str">
        <f t="shared" si="3"/>
        <v/>
      </c>
      <c r="C72" t="str">
        <f>IF(D72="","",IF(COUNTIF($D$2:D72,D72)&gt;1,"",SUMIFS(tbl_input[필요수량],tbl_input[집계키_청],D72)))</f>
        <v/>
      </c>
      <c r="D72" t="str">
        <f>IFERROR(INDEX(tbl_input[집계키_청],ROW()-1),"")</f>
        <v/>
      </c>
    </row>
    <row r="73" spans="1:4" x14ac:dyDescent="0.4">
      <c r="A73" t="str">
        <f t="shared" si="2"/>
        <v/>
      </c>
      <c r="B73" t="str">
        <f t="shared" si="3"/>
        <v/>
      </c>
      <c r="C73" t="str">
        <f>IF(D73="","",IF(COUNTIF($D$2:D73,D73)&gt;1,"",SUMIFS(tbl_input[필요수량],tbl_input[집계키_청],D73)))</f>
        <v/>
      </c>
      <c r="D73" t="str">
        <f>IFERROR(INDEX(tbl_input[집계키_청],ROW()-1),"")</f>
        <v/>
      </c>
    </row>
    <row r="74" spans="1:4" x14ac:dyDescent="0.4">
      <c r="A74" t="str">
        <f t="shared" si="2"/>
        <v/>
      </c>
      <c r="B74" t="str">
        <f t="shared" si="3"/>
        <v/>
      </c>
      <c r="C74" t="str">
        <f>IF(D74="","",IF(COUNTIF($D$2:D74,D74)&gt;1,"",SUMIFS(tbl_input[필요수량],tbl_input[집계키_청],D74)))</f>
        <v/>
      </c>
      <c r="D74" t="str">
        <f>IFERROR(INDEX(tbl_input[집계키_청],ROW()-1),"")</f>
        <v/>
      </c>
    </row>
    <row r="75" spans="1:4" x14ac:dyDescent="0.4">
      <c r="A75" t="str">
        <f t="shared" si="2"/>
        <v/>
      </c>
      <c r="B75" t="str">
        <f t="shared" si="3"/>
        <v/>
      </c>
      <c r="C75" t="str">
        <f>IF(D75="","",IF(COUNTIF($D$2:D75,D75)&gt;1,"",SUMIFS(tbl_input[필요수량],tbl_input[집계키_청],D75)))</f>
        <v/>
      </c>
      <c r="D75" t="str">
        <f>IFERROR(INDEX(tbl_input[집계키_청],ROW()-1),"")</f>
        <v/>
      </c>
    </row>
    <row r="76" spans="1:4" x14ac:dyDescent="0.4">
      <c r="A76" t="str">
        <f t="shared" si="2"/>
        <v/>
      </c>
      <c r="B76" t="str">
        <f t="shared" si="3"/>
        <v/>
      </c>
      <c r="C76" t="str">
        <f>IF(D76="","",IF(COUNTIF($D$2:D76,D76)&gt;1,"",SUMIFS(tbl_input[필요수량],tbl_input[집계키_청],D76)))</f>
        <v/>
      </c>
      <c r="D76" t="str">
        <f>IFERROR(INDEX(tbl_input[집계키_청],ROW()-1),"")</f>
        <v/>
      </c>
    </row>
    <row r="77" spans="1:4" x14ac:dyDescent="0.4">
      <c r="A77" t="str">
        <f t="shared" si="2"/>
        <v/>
      </c>
      <c r="B77" t="str">
        <f t="shared" si="3"/>
        <v/>
      </c>
      <c r="C77" t="str">
        <f>IF(D77="","",IF(COUNTIF($D$2:D77,D77)&gt;1,"",SUMIFS(tbl_input[필요수량],tbl_input[집계키_청],D77)))</f>
        <v/>
      </c>
      <c r="D77" t="str">
        <f>IFERROR(INDEX(tbl_input[집계키_청],ROW()-1),"")</f>
        <v/>
      </c>
    </row>
    <row r="78" spans="1:4" x14ac:dyDescent="0.4">
      <c r="A78" t="str">
        <f t="shared" si="2"/>
        <v/>
      </c>
      <c r="B78" t="str">
        <f t="shared" si="3"/>
        <v/>
      </c>
      <c r="C78" t="str">
        <f>IF(D78="","",IF(COUNTIF($D$2:D78,D78)&gt;1,"",SUMIFS(tbl_input[필요수량],tbl_input[집계키_청],D78)))</f>
        <v/>
      </c>
      <c r="D78" t="str">
        <f>IFERROR(INDEX(tbl_input[집계키_청],ROW()-1),"")</f>
        <v/>
      </c>
    </row>
    <row r="79" spans="1:4" x14ac:dyDescent="0.4">
      <c r="A79" t="str">
        <f t="shared" si="2"/>
        <v/>
      </c>
      <c r="B79" t="str">
        <f t="shared" si="3"/>
        <v/>
      </c>
      <c r="C79" t="str">
        <f>IF(D79="","",IF(COUNTIF($D$2:D79,D79)&gt;1,"",SUMIFS(tbl_input[필요수량],tbl_input[집계키_청],D79)))</f>
        <v/>
      </c>
      <c r="D79" t="str">
        <f>IFERROR(INDEX(tbl_input[집계키_청],ROW()-1),"")</f>
        <v/>
      </c>
    </row>
    <row r="80" spans="1:4" x14ac:dyDescent="0.4">
      <c r="A80" t="str">
        <f t="shared" si="2"/>
        <v/>
      </c>
      <c r="B80" t="str">
        <f t="shared" si="3"/>
        <v/>
      </c>
      <c r="C80" t="str">
        <f>IF(D80="","",IF(COUNTIF($D$2:D80,D80)&gt;1,"",SUMIFS(tbl_input[필요수량],tbl_input[집계키_청],D80)))</f>
        <v/>
      </c>
      <c r="D80" t="str">
        <f>IFERROR(INDEX(tbl_input[집계키_청],ROW()-1),"")</f>
        <v/>
      </c>
    </row>
    <row r="81" spans="1:4" x14ac:dyDescent="0.4">
      <c r="A81" t="str">
        <f t="shared" si="2"/>
        <v/>
      </c>
      <c r="B81" t="str">
        <f t="shared" si="3"/>
        <v/>
      </c>
      <c r="C81" t="str">
        <f>IF(D81="","",IF(COUNTIF($D$2:D81,D81)&gt;1,"",SUMIFS(tbl_input[필요수량],tbl_input[집계키_청],D81)))</f>
        <v/>
      </c>
      <c r="D81" t="str">
        <f>IFERROR(INDEX(tbl_input[집계키_청],ROW()-1),"")</f>
        <v/>
      </c>
    </row>
    <row r="82" spans="1:4" x14ac:dyDescent="0.4">
      <c r="A82" t="str">
        <f t="shared" si="2"/>
        <v/>
      </c>
      <c r="B82" t="str">
        <f t="shared" si="3"/>
        <v/>
      </c>
      <c r="C82" t="str">
        <f>IF(D82="","",IF(COUNTIF($D$2:D82,D82)&gt;1,"",SUMIFS(tbl_input[필요수량],tbl_input[집계키_청],D82)))</f>
        <v/>
      </c>
      <c r="D82" t="str">
        <f>IFERROR(INDEX(tbl_input[집계키_청],ROW()-1),"")</f>
        <v/>
      </c>
    </row>
    <row r="83" spans="1:4" x14ac:dyDescent="0.4">
      <c r="A83" t="str">
        <f t="shared" si="2"/>
        <v/>
      </c>
      <c r="B83" t="str">
        <f t="shared" si="3"/>
        <v/>
      </c>
      <c r="C83" t="str">
        <f>IF(D83="","",IF(COUNTIF($D$2:D83,D83)&gt;1,"",SUMIFS(tbl_input[필요수량],tbl_input[집계키_청],D83)))</f>
        <v/>
      </c>
      <c r="D83" t="str">
        <f>IFERROR(INDEX(tbl_input[집계키_청],ROW()-1),"")</f>
        <v/>
      </c>
    </row>
    <row r="84" spans="1:4" x14ac:dyDescent="0.4">
      <c r="A84" t="str">
        <f t="shared" si="2"/>
        <v/>
      </c>
      <c r="B84" t="str">
        <f t="shared" si="3"/>
        <v/>
      </c>
      <c r="C84" t="str">
        <f>IF(D84="","",IF(COUNTIF($D$2:D84,D84)&gt;1,"",SUMIFS(tbl_input[필요수량],tbl_input[집계키_청],D84)))</f>
        <v/>
      </c>
      <c r="D84" t="str">
        <f>IFERROR(INDEX(tbl_input[집계키_청],ROW()-1),"")</f>
        <v/>
      </c>
    </row>
    <row r="85" spans="1:4" x14ac:dyDescent="0.4">
      <c r="A85" t="str">
        <f t="shared" si="2"/>
        <v/>
      </c>
      <c r="B85" t="str">
        <f t="shared" si="3"/>
        <v/>
      </c>
      <c r="C85" t="str">
        <f>IF(D85="","",IF(COUNTIF($D$2:D85,D85)&gt;1,"",SUMIFS(tbl_input[필요수량],tbl_input[집계키_청],D85)))</f>
        <v/>
      </c>
      <c r="D85" t="str">
        <f>IFERROR(INDEX(tbl_input[집계키_청],ROW()-1),"")</f>
        <v/>
      </c>
    </row>
    <row r="86" spans="1:4" x14ac:dyDescent="0.4">
      <c r="A86" t="str">
        <f t="shared" si="2"/>
        <v/>
      </c>
      <c r="B86" t="str">
        <f t="shared" si="3"/>
        <v/>
      </c>
      <c r="C86" t="str">
        <f>IF(D86="","",IF(COUNTIF($D$2:D86,D86)&gt;1,"",SUMIFS(tbl_input[필요수량],tbl_input[집계키_청],D86)))</f>
        <v/>
      </c>
      <c r="D86" t="str">
        <f>IFERROR(INDEX(tbl_input[집계키_청],ROW()-1),"")</f>
        <v/>
      </c>
    </row>
    <row r="87" spans="1:4" x14ac:dyDescent="0.4">
      <c r="A87" t="str">
        <f t="shared" si="2"/>
        <v/>
      </c>
      <c r="B87" t="str">
        <f t="shared" si="3"/>
        <v/>
      </c>
      <c r="C87" t="str">
        <f>IF(D87="","",IF(COUNTIF($D$2:D87,D87)&gt;1,"",SUMIFS(tbl_input[필요수량],tbl_input[집계키_청],D87)))</f>
        <v/>
      </c>
      <c r="D87" t="str">
        <f>IFERROR(INDEX(tbl_input[집계키_청],ROW()-1),"")</f>
        <v/>
      </c>
    </row>
    <row r="88" spans="1:4" x14ac:dyDescent="0.4">
      <c r="A88" t="str">
        <f t="shared" si="2"/>
        <v/>
      </c>
      <c r="B88" t="str">
        <f t="shared" si="3"/>
        <v/>
      </c>
      <c r="C88" t="str">
        <f>IF(D88="","",IF(COUNTIF($D$2:D88,D88)&gt;1,"",SUMIFS(tbl_input[필요수량],tbl_input[집계키_청],D88)))</f>
        <v/>
      </c>
      <c r="D88" t="str">
        <f>IFERROR(INDEX(tbl_input[집계키_청],ROW()-1),"")</f>
        <v/>
      </c>
    </row>
    <row r="89" spans="1:4" x14ac:dyDescent="0.4">
      <c r="A89" t="str">
        <f t="shared" si="2"/>
        <v/>
      </c>
      <c r="B89" t="str">
        <f t="shared" si="3"/>
        <v/>
      </c>
      <c r="C89" t="str">
        <f>IF(D89="","",IF(COUNTIF($D$2:D89,D89)&gt;1,"",SUMIFS(tbl_input[필요수량],tbl_input[집계키_청],D89)))</f>
        <v/>
      </c>
      <c r="D89" t="str">
        <f>IFERROR(INDEX(tbl_input[집계키_청],ROW()-1),"")</f>
        <v/>
      </c>
    </row>
    <row r="90" spans="1:4" x14ac:dyDescent="0.4">
      <c r="A90" t="str">
        <f t="shared" si="2"/>
        <v/>
      </c>
      <c r="B90" t="str">
        <f t="shared" si="3"/>
        <v/>
      </c>
      <c r="C90" t="str">
        <f>IF(D90="","",IF(COUNTIF($D$2:D90,D90)&gt;1,"",SUMIFS(tbl_input[필요수량],tbl_input[집계키_청],D90)))</f>
        <v/>
      </c>
      <c r="D90" t="str">
        <f>IFERROR(INDEX(tbl_input[집계키_청],ROW()-1),"")</f>
        <v/>
      </c>
    </row>
    <row r="91" spans="1:4" x14ac:dyDescent="0.4">
      <c r="A91" t="str">
        <f t="shared" si="2"/>
        <v/>
      </c>
      <c r="B91" t="str">
        <f t="shared" si="3"/>
        <v/>
      </c>
      <c r="C91" t="str">
        <f>IF(D91="","",IF(COUNTIF($D$2:D91,D91)&gt;1,"",SUMIFS(tbl_input[필요수량],tbl_input[집계키_청],D91)))</f>
        <v/>
      </c>
      <c r="D91" t="str">
        <f>IFERROR(INDEX(tbl_input[집계키_청],ROW()-1),"")</f>
        <v/>
      </c>
    </row>
    <row r="92" spans="1:4" x14ac:dyDescent="0.4">
      <c r="A92" t="str">
        <f t="shared" si="2"/>
        <v/>
      </c>
      <c r="B92" t="str">
        <f t="shared" si="3"/>
        <v/>
      </c>
      <c r="C92" t="str">
        <f>IF(D92="","",IF(COUNTIF($D$2:D92,D92)&gt;1,"",SUMIFS(tbl_input[필요수량],tbl_input[집계키_청],D92)))</f>
        <v/>
      </c>
      <c r="D92" t="str">
        <f>IFERROR(INDEX(tbl_input[집계키_청],ROW()-1),"")</f>
        <v/>
      </c>
    </row>
    <row r="93" spans="1:4" x14ac:dyDescent="0.4">
      <c r="A93" t="str">
        <f t="shared" si="2"/>
        <v/>
      </c>
      <c r="B93" t="str">
        <f t="shared" si="3"/>
        <v/>
      </c>
      <c r="C93" t="str">
        <f>IF(D93="","",IF(COUNTIF($D$2:D93,D93)&gt;1,"",SUMIFS(tbl_input[필요수량],tbl_input[집계키_청],D93)))</f>
        <v/>
      </c>
      <c r="D93" t="str">
        <f>IFERROR(INDEX(tbl_input[집계키_청],ROW()-1),"")</f>
        <v/>
      </c>
    </row>
    <row r="94" spans="1:4" x14ac:dyDescent="0.4">
      <c r="A94" t="str">
        <f t="shared" si="2"/>
        <v/>
      </c>
      <c r="B94" t="str">
        <f t="shared" si="3"/>
        <v/>
      </c>
      <c r="C94" t="str">
        <f>IF(D94="","",IF(COUNTIF($D$2:D94,D94)&gt;1,"",SUMIFS(tbl_input[필요수량],tbl_input[집계키_청],D94)))</f>
        <v/>
      </c>
      <c r="D94" t="str">
        <f>IFERROR(INDEX(tbl_input[집계키_청],ROW()-1),"")</f>
        <v/>
      </c>
    </row>
    <row r="95" spans="1:4" x14ac:dyDescent="0.4">
      <c r="A95" t="str">
        <f t="shared" si="2"/>
        <v/>
      </c>
      <c r="B95" t="str">
        <f t="shared" si="3"/>
        <v/>
      </c>
      <c r="C95" t="str">
        <f>IF(D95="","",IF(COUNTIF($D$2:D95,D95)&gt;1,"",SUMIFS(tbl_input[필요수량],tbl_input[집계키_청],D95)))</f>
        <v/>
      </c>
      <c r="D95" t="str">
        <f>IFERROR(INDEX(tbl_input[집계키_청],ROW()-1),"")</f>
        <v/>
      </c>
    </row>
    <row r="96" spans="1:4" x14ac:dyDescent="0.4">
      <c r="A96" t="str">
        <f t="shared" si="2"/>
        <v/>
      </c>
      <c r="B96" t="str">
        <f t="shared" si="3"/>
        <v/>
      </c>
      <c r="C96" t="str">
        <f>IF(D96="","",IF(COUNTIF($D$2:D96,D96)&gt;1,"",SUMIFS(tbl_input[필요수량],tbl_input[집계키_청],D96)))</f>
        <v/>
      </c>
      <c r="D96" t="str">
        <f>IFERROR(INDEX(tbl_input[집계키_청],ROW()-1),"")</f>
        <v/>
      </c>
    </row>
    <row r="97" spans="1:4" x14ac:dyDescent="0.4">
      <c r="A97" t="str">
        <f t="shared" si="2"/>
        <v/>
      </c>
      <c r="B97" t="str">
        <f t="shared" si="3"/>
        <v/>
      </c>
      <c r="C97" t="str">
        <f>IF(D97="","",IF(COUNTIF($D$2:D97,D97)&gt;1,"",SUMIFS(tbl_input[필요수량],tbl_input[집계키_청],D97)))</f>
        <v/>
      </c>
      <c r="D97" t="str">
        <f>IFERROR(INDEX(tbl_input[집계키_청],ROW()-1),"")</f>
        <v/>
      </c>
    </row>
    <row r="98" spans="1:4" x14ac:dyDescent="0.4">
      <c r="A98" t="str">
        <f t="shared" si="2"/>
        <v/>
      </c>
      <c r="B98" t="str">
        <f t="shared" si="3"/>
        <v/>
      </c>
      <c r="C98" t="str">
        <f>IF(D98="","",IF(COUNTIF($D$2:D98,D98)&gt;1,"",SUMIFS(tbl_input[필요수량],tbl_input[집계키_청],D98)))</f>
        <v/>
      </c>
      <c r="D98" t="str">
        <f>IFERROR(INDEX(tbl_input[집계키_청],ROW()-1),"")</f>
        <v/>
      </c>
    </row>
    <row r="99" spans="1:4" x14ac:dyDescent="0.4">
      <c r="A99" t="str">
        <f t="shared" si="2"/>
        <v/>
      </c>
      <c r="B99" t="str">
        <f t="shared" si="3"/>
        <v/>
      </c>
      <c r="C99" t="str">
        <f>IF(D99="","",IF(COUNTIF($D$2:D99,D99)&gt;1,"",SUMIFS(tbl_input[필요수량],tbl_input[집계키_청],D99)))</f>
        <v/>
      </c>
      <c r="D99" t="str">
        <f>IFERROR(INDEX(tbl_input[집계키_청],ROW()-1),"")</f>
        <v/>
      </c>
    </row>
    <row r="100" spans="1:4" x14ac:dyDescent="0.4">
      <c r="A100" t="str">
        <f t="shared" si="2"/>
        <v/>
      </c>
      <c r="B100" t="str">
        <f t="shared" si="3"/>
        <v/>
      </c>
      <c r="C100" t="str">
        <f>IF(D100="","",IF(COUNTIF($D$2:D100,D100)&gt;1,"",SUMIFS(tbl_input[필요수량],tbl_input[집계키_청],D100)))</f>
        <v/>
      </c>
      <c r="D100" t="str">
        <f>IFERROR(INDEX(tbl_input[집계키_청],ROW()-1),"")</f>
        <v/>
      </c>
    </row>
    <row r="101" spans="1:4" x14ac:dyDescent="0.4">
      <c r="A101" t="str">
        <f t="shared" si="2"/>
        <v/>
      </c>
      <c r="B101" t="str">
        <f t="shared" si="3"/>
        <v/>
      </c>
      <c r="C101" t="str">
        <f>IF(D101="","",IF(COUNTIF($D$2:D101,D101)&gt;1,"",SUMIFS(tbl_input[필요수량],tbl_input[집계키_청],D101)))</f>
        <v/>
      </c>
      <c r="D101" t="str">
        <f>IFERROR(INDEX(tbl_input[집계키_청],ROW()-1),"")</f>
        <v/>
      </c>
    </row>
    <row r="102" spans="1:4" x14ac:dyDescent="0.4">
      <c r="A102" t="str">
        <f t="shared" si="2"/>
        <v/>
      </c>
      <c r="B102" t="str">
        <f t="shared" si="3"/>
        <v/>
      </c>
      <c r="C102" t="str">
        <f>IF(D102="","",IF(COUNTIF($D$2:D102,D102)&gt;1,"",SUMIFS(tbl_input[필요수량],tbl_input[집계키_청],D102)))</f>
        <v/>
      </c>
      <c r="D102" t="str">
        <f>IFERROR(INDEX(tbl_input[집계키_청],ROW()-1),"")</f>
        <v/>
      </c>
    </row>
    <row r="103" spans="1:4" x14ac:dyDescent="0.4">
      <c r="A103" t="str">
        <f t="shared" si="2"/>
        <v/>
      </c>
      <c r="B103" t="str">
        <f t="shared" si="3"/>
        <v/>
      </c>
      <c r="C103" t="str">
        <f>IF(D103="","",IF(COUNTIF($D$2:D103,D103)&gt;1,"",SUMIFS(tbl_input[필요수량],tbl_input[집계키_청],D103)))</f>
        <v/>
      </c>
      <c r="D103" t="str">
        <f>IFERROR(INDEX(tbl_input[집계키_청],ROW()-1),"")</f>
        <v/>
      </c>
    </row>
    <row r="104" spans="1:4" x14ac:dyDescent="0.4">
      <c r="A104" t="str">
        <f t="shared" si="2"/>
        <v/>
      </c>
      <c r="B104" t="str">
        <f t="shared" si="3"/>
        <v/>
      </c>
      <c r="C104" t="str">
        <f>IF(D104="","",IF(COUNTIF($D$2:D104,D104)&gt;1,"",SUMIFS(tbl_input[필요수량],tbl_input[집계키_청],D104)))</f>
        <v/>
      </c>
      <c r="D104" t="str">
        <f>IFERROR(INDEX(tbl_input[집계키_청],ROW()-1),"")</f>
        <v/>
      </c>
    </row>
    <row r="105" spans="1:4" x14ac:dyDescent="0.4">
      <c r="A105" t="str">
        <f t="shared" si="2"/>
        <v/>
      </c>
      <c r="B105" t="str">
        <f t="shared" si="3"/>
        <v/>
      </c>
      <c r="C105" t="str">
        <f>IF(D105="","",IF(COUNTIF($D$2:D105,D105)&gt;1,"",SUMIFS(tbl_input[필요수량],tbl_input[집계키_청],D105)))</f>
        <v/>
      </c>
      <c r="D105" t="str">
        <f>IFERROR(INDEX(tbl_input[집계키_청],ROW()-1),"")</f>
        <v/>
      </c>
    </row>
    <row r="106" spans="1:4" x14ac:dyDescent="0.4">
      <c r="A106" t="str">
        <f t="shared" si="2"/>
        <v/>
      </c>
      <c r="B106" t="str">
        <f t="shared" si="3"/>
        <v/>
      </c>
      <c r="C106" t="str">
        <f>IF(D106="","",IF(COUNTIF($D$2:D106,D106)&gt;1,"",SUMIFS(tbl_input[필요수량],tbl_input[집계키_청],D106)))</f>
        <v/>
      </c>
      <c r="D106" t="str">
        <f>IFERROR(INDEX(tbl_input[집계키_청],ROW()-1),"")</f>
        <v/>
      </c>
    </row>
    <row r="107" spans="1:4" x14ac:dyDescent="0.4">
      <c r="A107" t="str">
        <f t="shared" si="2"/>
        <v/>
      </c>
      <c r="B107" t="str">
        <f t="shared" si="3"/>
        <v/>
      </c>
      <c r="C107" t="str">
        <f>IF(D107="","",IF(COUNTIF($D$2:D107,D107)&gt;1,"",SUMIFS(tbl_input[필요수량],tbl_input[집계키_청],D107)))</f>
        <v/>
      </c>
      <c r="D107" t="str">
        <f>IFERROR(INDEX(tbl_input[집계키_청],ROW()-1),"")</f>
        <v/>
      </c>
    </row>
    <row r="108" spans="1:4" x14ac:dyDescent="0.4">
      <c r="A108" t="str">
        <f t="shared" si="2"/>
        <v/>
      </c>
      <c r="B108" t="str">
        <f t="shared" si="3"/>
        <v/>
      </c>
      <c r="C108" t="str">
        <f>IF(D108="","",IF(COUNTIF($D$2:D108,D108)&gt;1,"",SUMIFS(tbl_input[필요수량],tbl_input[집계키_청],D108)))</f>
        <v/>
      </c>
      <c r="D108" t="str">
        <f>IFERROR(INDEX(tbl_input[집계키_청],ROW()-1),"")</f>
        <v/>
      </c>
    </row>
    <row r="109" spans="1:4" x14ac:dyDescent="0.4">
      <c r="A109" t="str">
        <f t="shared" si="2"/>
        <v/>
      </c>
      <c r="B109" t="str">
        <f t="shared" si="3"/>
        <v/>
      </c>
      <c r="C109" t="str">
        <f>IF(D109="","",IF(COUNTIF($D$2:D109,D109)&gt;1,"",SUMIFS(tbl_input[필요수량],tbl_input[집계키_청],D109)))</f>
        <v/>
      </c>
      <c r="D109" t="str">
        <f>IFERROR(INDEX(tbl_input[집계키_청],ROW()-1),"")</f>
        <v/>
      </c>
    </row>
    <row r="110" spans="1:4" x14ac:dyDescent="0.4">
      <c r="A110" t="str">
        <f t="shared" si="2"/>
        <v/>
      </c>
      <c r="B110" t="str">
        <f t="shared" si="3"/>
        <v/>
      </c>
      <c r="C110" t="str">
        <f>IF(D110="","",IF(COUNTIF($D$2:D110,D110)&gt;1,"",SUMIFS(tbl_input[필요수량],tbl_input[집계키_청],D110)))</f>
        <v/>
      </c>
      <c r="D110" t="str">
        <f>IFERROR(INDEX(tbl_input[집계키_청],ROW()-1),"")</f>
        <v/>
      </c>
    </row>
    <row r="111" spans="1:4" x14ac:dyDescent="0.4">
      <c r="A111" t="str">
        <f t="shared" si="2"/>
        <v/>
      </c>
      <c r="B111" t="str">
        <f t="shared" si="3"/>
        <v/>
      </c>
      <c r="C111" t="str">
        <f>IF(D111="","",IF(COUNTIF($D$2:D111,D111)&gt;1,"",SUMIFS(tbl_input[필요수량],tbl_input[집계키_청],D111)))</f>
        <v/>
      </c>
      <c r="D111" t="str">
        <f>IFERROR(INDEX(tbl_input[집계키_청],ROW()-1),"")</f>
        <v/>
      </c>
    </row>
    <row r="112" spans="1:4" x14ac:dyDescent="0.4">
      <c r="A112" t="str">
        <f t="shared" si="2"/>
        <v/>
      </c>
      <c r="B112" t="str">
        <f t="shared" si="3"/>
        <v/>
      </c>
      <c r="C112" t="str">
        <f>IF(D112="","",IF(COUNTIF($D$2:D112,D112)&gt;1,"",SUMIFS(tbl_input[필요수량],tbl_input[집계키_청],D112)))</f>
        <v/>
      </c>
      <c r="D112" t="str">
        <f>IFERROR(INDEX(tbl_input[집계키_청],ROW()-1),"")</f>
        <v/>
      </c>
    </row>
    <row r="113" spans="1:4" x14ac:dyDescent="0.4">
      <c r="A113" t="str">
        <f t="shared" si="2"/>
        <v/>
      </c>
      <c r="B113" t="str">
        <f t="shared" si="3"/>
        <v/>
      </c>
      <c r="C113" t="str">
        <f>IF(D113="","",IF(COUNTIF($D$2:D113,D113)&gt;1,"",SUMIFS(tbl_input[필요수량],tbl_input[집계키_청],D113)))</f>
        <v/>
      </c>
      <c r="D113" t="str">
        <f>IFERROR(INDEX(tbl_input[집계키_청],ROW()-1),"")</f>
        <v/>
      </c>
    </row>
    <row r="114" spans="1:4" x14ac:dyDescent="0.4">
      <c r="A114" t="str">
        <f t="shared" si="2"/>
        <v/>
      </c>
      <c r="B114" t="str">
        <f t="shared" si="3"/>
        <v/>
      </c>
      <c r="C114" t="str">
        <f>IF(D114="","",IF(COUNTIF($D$2:D114,D114)&gt;1,"",SUMIFS(tbl_input[필요수량],tbl_input[집계키_청],D114)))</f>
        <v/>
      </c>
      <c r="D114" t="str">
        <f>IFERROR(INDEX(tbl_input[집계키_청],ROW()-1),"")</f>
        <v/>
      </c>
    </row>
    <row r="115" spans="1:4" x14ac:dyDescent="0.4">
      <c r="A115" t="str">
        <f t="shared" si="2"/>
        <v/>
      </c>
      <c r="B115" t="str">
        <f t="shared" si="3"/>
        <v/>
      </c>
      <c r="C115" t="str">
        <f>IF(D115="","",IF(COUNTIF($D$2:D115,D115)&gt;1,"",SUMIFS(tbl_input[필요수량],tbl_input[집계키_청],D115)))</f>
        <v/>
      </c>
      <c r="D115" t="str">
        <f>IFERROR(INDEX(tbl_input[집계키_청],ROW()-1),"")</f>
        <v/>
      </c>
    </row>
    <row r="116" spans="1:4" x14ac:dyDescent="0.4">
      <c r="A116" t="str">
        <f t="shared" si="2"/>
        <v/>
      </c>
      <c r="B116" t="str">
        <f t="shared" si="3"/>
        <v/>
      </c>
      <c r="C116" t="str">
        <f>IF(D116="","",IF(COUNTIF($D$2:D116,D116)&gt;1,"",SUMIFS(tbl_input[필요수량],tbl_input[집계키_청],D116)))</f>
        <v/>
      </c>
      <c r="D116" t="str">
        <f>IFERROR(INDEX(tbl_input[집계키_청],ROW()-1),"")</f>
        <v/>
      </c>
    </row>
    <row r="117" spans="1:4" x14ac:dyDescent="0.4">
      <c r="A117" t="str">
        <f t="shared" si="2"/>
        <v/>
      </c>
      <c r="B117" t="str">
        <f t="shared" si="3"/>
        <v/>
      </c>
      <c r="C117" t="str">
        <f>IF(D117="","",IF(COUNTIF($D$2:D117,D117)&gt;1,"",SUMIFS(tbl_input[필요수량],tbl_input[집계키_청],D117)))</f>
        <v/>
      </c>
      <c r="D117" t="str">
        <f>IFERROR(INDEX(tbl_input[집계키_청],ROW()-1),"")</f>
        <v/>
      </c>
    </row>
    <row r="118" spans="1:4" x14ac:dyDescent="0.4">
      <c r="A118" t="str">
        <f t="shared" si="2"/>
        <v/>
      </c>
      <c r="B118" t="str">
        <f t="shared" si="3"/>
        <v/>
      </c>
      <c r="C118" t="str">
        <f>IF(D118="","",IF(COUNTIF($D$2:D118,D118)&gt;1,"",SUMIFS(tbl_input[필요수량],tbl_input[집계키_청],D118)))</f>
        <v/>
      </c>
      <c r="D118" t="str">
        <f>IFERROR(INDEX(tbl_input[집계키_청],ROW()-1),"")</f>
        <v/>
      </c>
    </row>
    <row r="119" spans="1:4" x14ac:dyDescent="0.4">
      <c r="A119" t="str">
        <f t="shared" si="2"/>
        <v/>
      </c>
      <c r="B119" t="str">
        <f t="shared" si="3"/>
        <v/>
      </c>
      <c r="C119" t="str">
        <f>IF(D119="","",IF(COUNTIF($D$2:D119,D119)&gt;1,"",SUMIFS(tbl_input[필요수량],tbl_input[집계키_청],D119)))</f>
        <v/>
      </c>
      <c r="D119" t="str">
        <f>IFERROR(INDEX(tbl_input[집계키_청],ROW()-1),"")</f>
        <v/>
      </c>
    </row>
    <row r="120" spans="1:4" x14ac:dyDescent="0.4">
      <c r="A120" t="str">
        <f t="shared" si="2"/>
        <v/>
      </c>
      <c r="B120" t="str">
        <f t="shared" si="3"/>
        <v/>
      </c>
      <c r="C120" t="str">
        <f>IF(D120="","",IF(COUNTIF($D$2:D120,D120)&gt;1,"",SUMIFS(tbl_input[필요수량],tbl_input[집계키_청],D120)))</f>
        <v/>
      </c>
      <c r="D120" t="str">
        <f>IFERROR(INDEX(tbl_input[집계키_청],ROW()-1),"")</f>
        <v/>
      </c>
    </row>
    <row r="121" spans="1:4" x14ac:dyDescent="0.4">
      <c r="A121" t="str">
        <f t="shared" si="2"/>
        <v/>
      </c>
      <c r="B121" t="str">
        <f t="shared" si="3"/>
        <v/>
      </c>
      <c r="C121" t="str">
        <f>IF(D121="","",IF(COUNTIF($D$2:D121,D121)&gt;1,"",SUMIFS(tbl_input[필요수량],tbl_input[집계키_청],D121)))</f>
        <v/>
      </c>
      <c r="D121" t="str">
        <f>IFERROR(INDEX(tbl_input[집계키_청],ROW()-1),"")</f>
        <v/>
      </c>
    </row>
    <row r="122" spans="1:4" x14ac:dyDescent="0.4">
      <c r="A122" t="str">
        <f t="shared" si="2"/>
        <v/>
      </c>
      <c r="B122" t="str">
        <f t="shared" si="3"/>
        <v/>
      </c>
      <c r="C122" t="str">
        <f>IF(D122="","",IF(COUNTIF($D$2:D122,D122)&gt;1,"",SUMIFS(tbl_input[필요수량],tbl_input[집계키_청],D122)))</f>
        <v/>
      </c>
      <c r="D122" t="str">
        <f>IFERROR(INDEX(tbl_input[집계키_청],ROW()-1),"")</f>
        <v/>
      </c>
    </row>
    <row r="123" spans="1:4" x14ac:dyDescent="0.4">
      <c r="A123" t="str">
        <f t="shared" si="2"/>
        <v/>
      </c>
      <c r="B123" t="str">
        <f t="shared" si="3"/>
        <v/>
      </c>
      <c r="C123" t="str">
        <f>IF(D123="","",IF(COUNTIF($D$2:D123,D123)&gt;1,"",SUMIFS(tbl_input[필요수량],tbl_input[집계키_청],D123)))</f>
        <v/>
      </c>
      <c r="D123" t="str">
        <f>IFERROR(INDEX(tbl_input[집계키_청],ROW()-1),"")</f>
        <v/>
      </c>
    </row>
    <row r="124" spans="1:4" x14ac:dyDescent="0.4">
      <c r="A124" t="str">
        <f t="shared" si="2"/>
        <v/>
      </c>
      <c r="B124" t="str">
        <f t="shared" si="3"/>
        <v/>
      </c>
      <c r="C124" t="str">
        <f>IF(D124="","",IF(COUNTIF($D$2:D124,D124)&gt;1,"",SUMIFS(tbl_input[필요수량],tbl_input[집계키_청],D124)))</f>
        <v/>
      </c>
      <c r="D124" t="str">
        <f>IFERROR(INDEX(tbl_input[집계키_청],ROW()-1),"")</f>
        <v/>
      </c>
    </row>
    <row r="125" spans="1:4" x14ac:dyDescent="0.4">
      <c r="A125" t="str">
        <f t="shared" si="2"/>
        <v/>
      </c>
      <c r="B125" t="str">
        <f t="shared" si="3"/>
        <v/>
      </c>
      <c r="C125" t="str">
        <f>IF(D125="","",IF(COUNTIF($D$2:D125,D125)&gt;1,"",SUMIFS(tbl_input[필요수량],tbl_input[집계키_청],D125)))</f>
        <v/>
      </c>
      <c r="D125" t="str">
        <f>IFERROR(INDEX(tbl_input[집계키_청],ROW()-1),"")</f>
        <v/>
      </c>
    </row>
    <row r="126" spans="1:4" x14ac:dyDescent="0.4">
      <c r="A126" t="str">
        <f t="shared" si="2"/>
        <v/>
      </c>
      <c r="B126" t="str">
        <f t="shared" si="3"/>
        <v/>
      </c>
      <c r="C126" t="str">
        <f>IF(D126="","",IF(COUNTIF($D$2:D126,D126)&gt;1,"",SUMIFS(tbl_input[필요수량],tbl_input[집계키_청],D126)))</f>
        <v/>
      </c>
      <c r="D126" t="str">
        <f>IFERROR(INDEX(tbl_input[집계키_청],ROW()-1),"")</f>
        <v/>
      </c>
    </row>
    <row r="127" spans="1:4" x14ac:dyDescent="0.4">
      <c r="A127" t="str">
        <f t="shared" si="2"/>
        <v/>
      </c>
      <c r="B127" t="str">
        <f t="shared" si="3"/>
        <v/>
      </c>
      <c r="C127" t="str">
        <f>IF(D127="","",IF(COUNTIF($D$2:D127,D127)&gt;1,"",SUMIFS(tbl_input[필요수량],tbl_input[집계키_청],D127)))</f>
        <v/>
      </c>
      <c r="D127" t="str">
        <f>IFERROR(INDEX(tbl_input[집계키_청],ROW()-1),"")</f>
        <v/>
      </c>
    </row>
    <row r="128" spans="1:4" x14ac:dyDescent="0.4">
      <c r="A128" t="str">
        <f t="shared" si="2"/>
        <v/>
      </c>
      <c r="B128" t="str">
        <f t="shared" si="3"/>
        <v/>
      </c>
      <c r="C128" t="str">
        <f>IF(D128="","",IF(COUNTIF($D$2:D128,D128)&gt;1,"",SUMIFS(tbl_input[필요수량],tbl_input[집계키_청],D128)))</f>
        <v/>
      </c>
      <c r="D128" t="str">
        <f>IFERROR(INDEX(tbl_input[집계키_청],ROW()-1),"")</f>
        <v/>
      </c>
    </row>
    <row r="129" spans="1:4" x14ac:dyDescent="0.4">
      <c r="A129" t="str">
        <f t="shared" si="2"/>
        <v/>
      </c>
      <c r="B129" t="str">
        <f t="shared" si="3"/>
        <v/>
      </c>
      <c r="C129" t="str">
        <f>IF(D129="","",IF(COUNTIF($D$2:D129,D129)&gt;1,"",SUMIFS(tbl_input[필요수량],tbl_input[집계키_청],D129)))</f>
        <v/>
      </c>
      <c r="D129" t="str">
        <f>IFERROR(INDEX(tbl_input[집계키_청],ROW()-1),"")</f>
        <v/>
      </c>
    </row>
    <row r="130" spans="1:4" x14ac:dyDescent="0.4">
      <c r="A130" t="str">
        <f t="shared" ref="A130:A193" si="4">IF(D130="","",LEFT(D130,FIND("♦",D130)-1))</f>
        <v/>
      </c>
      <c r="B130" t="str">
        <f t="shared" ref="B130:B193" si="5">IF(D130="","",MID(D130,FIND("♦",D130)+1,999))</f>
        <v/>
      </c>
      <c r="C130" t="str">
        <f>IF(D130="","",IF(COUNTIF($D$2:D130,D130)&gt;1,"",SUMIFS(tbl_input[필요수량],tbl_input[집계키_청],D130)))</f>
        <v/>
      </c>
      <c r="D130" t="str">
        <f>IFERROR(INDEX(tbl_input[집계키_청],ROW()-1),"")</f>
        <v/>
      </c>
    </row>
    <row r="131" spans="1:4" x14ac:dyDescent="0.4">
      <c r="A131" t="str">
        <f t="shared" si="4"/>
        <v/>
      </c>
      <c r="B131" t="str">
        <f t="shared" si="5"/>
        <v/>
      </c>
      <c r="C131" t="str">
        <f>IF(D131="","",IF(COUNTIF($D$2:D131,D131)&gt;1,"",SUMIFS(tbl_input[필요수량],tbl_input[집계키_청],D131)))</f>
        <v/>
      </c>
      <c r="D131" t="str">
        <f>IFERROR(INDEX(tbl_input[집계키_청],ROW()-1),"")</f>
        <v/>
      </c>
    </row>
    <row r="132" spans="1:4" x14ac:dyDescent="0.4">
      <c r="A132" t="str">
        <f t="shared" si="4"/>
        <v/>
      </c>
      <c r="B132" t="str">
        <f t="shared" si="5"/>
        <v/>
      </c>
      <c r="C132" t="str">
        <f>IF(D132="","",IF(COUNTIF($D$2:D132,D132)&gt;1,"",SUMIFS(tbl_input[필요수량],tbl_input[집계키_청],D132)))</f>
        <v/>
      </c>
      <c r="D132" t="str">
        <f>IFERROR(INDEX(tbl_input[집계키_청],ROW()-1),"")</f>
        <v/>
      </c>
    </row>
    <row r="133" spans="1:4" x14ac:dyDescent="0.4">
      <c r="A133" t="str">
        <f t="shared" si="4"/>
        <v/>
      </c>
      <c r="B133" t="str">
        <f t="shared" si="5"/>
        <v/>
      </c>
      <c r="C133" t="str">
        <f>IF(D133="","",IF(COUNTIF($D$2:D133,D133)&gt;1,"",SUMIFS(tbl_input[필요수량],tbl_input[집계키_청],D133)))</f>
        <v/>
      </c>
      <c r="D133" t="str">
        <f>IFERROR(INDEX(tbl_input[집계키_청],ROW()-1),"")</f>
        <v/>
      </c>
    </row>
    <row r="134" spans="1:4" x14ac:dyDescent="0.4">
      <c r="A134" t="str">
        <f t="shared" si="4"/>
        <v/>
      </c>
      <c r="B134" t="str">
        <f t="shared" si="5"/>
        <v/>
      </c>
      <c r="C134" t="str">
        <f>IF(D134="","",IF(COUNTIF($D$2:D134,D134)&gt;1,"",SUMIFS(tbl_input[필요수량],tbl_input[집계키_청],D134)))</f>
        <v/>
      </c>
      <c r="D134" t="str">
        <f>IFERROR(INDEX(tbl_input[집계키_청],ROW()-1),"")</f>
        <v/>
      </c>
    </row>
    <row r="135" spans="1:4" x14ac:dyDescent="0.4">
      <c r="A135" t="str">
        <f t="shared" si="4"/>
        <v/>
      </c>
      <c r="B135" t="str">
        <f t="shared" si="5"/>
        <v/>
      </c>
      <c r="C135" t="str">
        <f>IF(D135="","",IF(COUNTIF($D$2:D135,D135)&gt;1,"",SUMIFS(tbl_input[필요수량],tbl_input[집계키_청],D135)))</f>
        <v/>
      </c>
      <c r="D135" t="str">
        <f>IFERROR(INDEX(tbl_input[집계키_청],ROW()-1),"")</f>
        <v/>
      </c>
    </row>
    <row r="136" spans="1:4" x14ac:dyDescent="0.4">
      <c r="A136" t="str">
        <f t="shared" si="4"/>
        <v/>
      </c>
      <c r="B136" t="str">
        <f t="shared" si="5"/>
        <v/>
      </c>
      <c r="C136" t="str">
        <f>IF(D136="","",IF(COUNTIF($D$2:D136,D136)&gt;1,"",SUMIFS(tbl_input[필요수량],tbl_input[집계키_청],D136)))</f>
        <v/>
      </c>
      <c r="D136" t="str">
        <f>IFERROR(INDEX(tbl_input[집계키_청],ROW()-1),"")</f>
        <v/>
      </c>
    </row>
    <row r="137" spans="1:4" x14ac:dyDescent="0.4">
      <c r="A137" t="str">
        <f t="shared" si="4"/>
        <v/>
      </c>
      <c r="B137" t="str">
        <f t="shared" si="5"/>
        <v/>
      </c>
      <c r="C137" t="str">
        <f>IF(D137="","",IF(COUNTIF($D$2:D137,D137)&gt;1,"",SUMIFS(tbl_input[필요수량],tbl_input[집계키_청],D137)))</f>
        <v/>
      </c>
      <c r="D137" t="str">
        <f>IFERROR(INDEX(tbl_input[집계키_청],ROW()-1),"")</f>
        <v/>
      </c>
    </row>
    <row r="138" spans="1:4" x14ac:dyDescent="0.4">
      <c r="A138" t="str">
        <f t="shared" si="4"/>
        <v/>
      </c>
      <c r="B138" t="str">
        <f t="shared" si="5"/>
        <v/>
      </c>
      <c r="C138" t="str">
        <f>IF(D138="","",IF(COUNTIF($D$2:D138,D138)&gt;1,"",SUMIFS(tbl_input[필요수량],tbl_input[집계키_청],D138)))</f>
        <v/>
      </c>
      <c r="D138" t="str">
        <f>IFERROR(INDEX(tbl_input[집계키_청],ROW()-1),"")</f>
        <v/>
      </c>
    </row>
    <row r="139" spans="1:4" x14ac:dyDescent="0.4">
      <c r="A139" t="str">
        <f t="shared" si="4"/>
        <v/>
      </c>
      <c r="B139" t="str">
        <f t="shared" si="5"/>
        <v/>
      </c>
      <c r="C139" t="str">
        <f>IF(D139="","",IF(COUNTIF($D$2:D139,D139)&gt;1,"",SUMIFS(tbl_input[필요수량],tbl_input[집계키_청],D139)))</f>
        <v/>
      </c>
      <c r="D139" t="str">
        <f>IFERROR(INDEX(tbl_input[집계키_청],ROW()-1),"")</f>
        <v/>
      </c>
    </row>
    <row r="140" spans="1:4" x14ac:dyDescent="0.4">
      <c r="A140" t="str">
        <f t="shared" si="4"/>
        <v/>
      </c>
      <c r="B140" t="str">
        <f t="shared" si="5"/>
        <v/>
      </c>
      <c r="C140" t="str">
        <f>IF(D140="","",IF(COUNTIF($D$2:D140,D140)&gt;1,"",SUMIFS(tbl_input[필요수량],tbl_input[집계키_청],D140)))</f>
        <v/>
      </c>
      <c r="D140" t="str">
        <f>IFERROR(INDEX(tbl_input[집계키_청],ROW()-1),"")</f>
        <v/>
      </c>
    </row>
    <row r="141" spans="1:4" x14ac:dyDescent="0.4">
      <c r="A141" t="str">
        <f t="shared" si="4"/>
        <v/>
      </c>
      <c r="B141" t="str">
        <f t="shared" si="5"/>
        <v/>
      </c>
      <c r="C141" t="str">
        <f>IF(D141="","",IF(COUNTIF($D$2:D141,D141)&gt;1,"",SUMIFS(tbl_input[필요수량],tbl_input[집계키_청],D141)))</f>
        <v/>
      </c>
      <c r="D141" t="str">
        <f>IFERROR(INDEX(tbl_input[집계키_청],ROW()-1),"")</f>
        <v/>
      </c>
    </row>
    <row r="142" spans="1:4" x14ac:dyDescent="0.4">
      <c r="A142" t="str">
        <f t="shared" si="4"/>
        <v/>
      </c>
      <c r="B142" t="str">
        <f t="shared" si="5"/>
        <v/>
      </c>
      <c r="C142" t="str">
        <f>IF(D142="","",IF(COUNTIF($D$2:D142,D142)&gt;1,"",SUMIFS(tbl_input[필요수량],tbl_input[집계키_청],D142)))</f>
        <v/>
      </c>
      <c r="D142" t="str">
        <f>IFERROR(INDEX(tbl_input[집계키_청],ROW()-1),"")</f>
        <v/>
      </c>
    </row>
    <row r="143" spans="1:4" x14ac:dyDescent="0.4">
      <c r="A143" t="str">
        <f t="shared" si="4"/>
        <v/>
      </c>
      <c r="B143" t="str">
        <f t="shared" si="5"/>
        <v/>
      </c>
      <c r="C143" t="str">
        <f>IF(D143="","",IF(COUNTIF($D$2:D143,D143)&gt;1,"",SUMIFS(tbl_input[필요수량],tbl_input[집계키_청],D143)))</f>
        <v/>
      </c>
      <c r="D143" t="str">
        <f>IFERROR(INDEX(tbl_input[집계키_청],ROW()-1),"")</f>
        <v/>
      </c>
    </row>
    <row r="144" spans="1:4" x14ac:dyDescent="0.4">
      <c r="A144" t="str">
        <f t="shared" si="4"/>
        <v/>
      </c>
      <c r="B144" t="str">
        <f t="shared" si="5"/>
        <v/>
      </c>
      <c r="C144" t="str">
        <f>IF(D144="","",IF(COUNTIF($D$2:D144,D144)&gt;1,"",SUMIFS(tbl_input[필요수량],tbl_input[집계키_청],D144)))</f>
        <v/>
      </c>
      <c r="D144" t="str">
        <f>IFERROR(INDEX(tbl_input[집계키_청],ROW()-1),"")</f>
        <v/>
      </c>
    </row>
    <row r="145" spans="1:4" x14ac:dyDescent="0.4">
      <c r="A145" t="str">
        <f t="shared" si="4"/>
        <v/>
      </c>
      <c r="B145" t="str">
        <f t="shared" si="5"/>
        <v/>
      </c>
      <c r="C145" t="str">
        <f>IF(D145="","",IF(COUNTIF($D$2:D145,D145)&gt;1,"",SUMIFS(tbl_input[필요수량],tbl_input[집계키_청],D145)))</f>
        <v/>
      </c>
      <c r="D145" t="str">
        <f>IFERROR(INDEX(tbl_input[집계키_청],ROW()-1),"")</f>
        <v/>
      </c>
    </row>
    <row r="146" spans="1:4" x14ac:dyDescent="0.4">
      <c r="A146" t="str">
        <f t="shared" si="4"/>
        <v/>
      </c>
      <c r="B146" t="str">
        <f t="shared" si="5"/>
        <v/>
      </c>
      <c r="C146" t="str">
        <f>IF(D146="","",IF(COUNTIF($D$2:D146,D146)&gt;1,"",SUMIFS(tbl_input[필요수량],tbl_input[집계키_청],D146)))</f>
        <v/>
      </c>
      <c r="D146" t="str">
        <f>IFERROR(INDEX(tbl_input[집계키_청],ROW()-1),"")</f>
        <v/>
      </c>
    </row>
    <row r="147" spans="1:4" x14ac:dyDescent="0.4">
      <c r="A147" t="str">
        <f t="shared" si="4"/>
        <v/>
      </c>
      <c r="B147" t="str">
        <f t="shared" si="5"/>
        <v/>
      </c>
      <c r="C147" t="str">
        <f>IF(D147="","",IF(COUNTIF($D$2:D147,D147)&gt;1,"",SUMIFS(tbl_input[필요수량],tbl_input[집계키_청],D147)))</f>
        <v/>
      </c>
      <c r="D147" t="str">
        <f>IFERROR(INDEX(tbl_input[집계키_청],ROW()-1),"")</f>
        <v/>
      </c>
    </row>
    <row r="148" spans="1:4" x14ac:dyDescent="0.4">
      <c r="A148" t="str">
        <f t="shared" si="4"/>
        <v/>
      </c>
      <c r="B148" t="str">
        <f t="shared" si="5"/>
        <v/>
      </c>
      <c r="C148" t="str">
        <f>IF(D148="","",IF(COUNTIF($D$2:D148,D148)&gt;1,"",SUMIFS(tbl_input[필요수량],tbl_input[집계키_청],D148)))</f>
        <v/>
      </c>
      <c r="D148" t="str">
        <f>IFERROR(INDEX(tbl_input[집계키_청],ROW()-1),"")</f>
        <v/>
      </c>
    </row>
    <row r="149" spans="1:4" x14ac:dyDescent="0.4">
      <c r="A149" t="str">
        <f t="shared" si="4"/>
        <v/>
      </c>
      <c r="B149" t="str">
        <f t="shared" si="5"/>
        <v/>
      </c>
      <c r="C149" t="str">
        <f>IF(D149="","",IF(COUNTIF($D$2:D149,D149)&gt;1,"",SUMIFS(tbl_input[필요수량],tbl_input[집계키_청],D149)))</f>
        <v/>
      </c>
      <c r="D149" t="str">
        <f>IFERROR(INDEX(tbl_input[집계키_청],ROW()-1),"")</f>
        <v/>
      </c>
    </row>
    <row r="150" spans="1:4" x14ac:dyDescent="0.4">
      <c r="A150" t="str">
        <f t="shared" si="4"/>
        <v/>
      </c>
      <c r="B150" t="str">
        <f t="shared" si="5"/>
        <v/>
      </c>
      <c r="C150" t="str">
        <f>IF(D150="","",IF(COUNTIF($D$2:D150,D150)&gt;1,"",SUMIFS(tbl_input[필요수량],tbl_input[집계키_청],D150)))</f>
        <v/>
      </c>
      <c r="D150" t="str">
        <f>IFERROR(INDEX(tbl_input[집계키_청],ROW()-1),"")</f>
        <v/>
      </c>
    </row>
    <row r="151" spans="1:4" x14ac:dyDescent="0.4">
      <c r="A151" t="str">
        <f t="shared" si="4"/>
        <v/>
      </c>
      <c r="B151" t="str">
        <f t="shared" si="5"/>
        <v/>
      </c>
      <c r="C151" t="str">
        <f>IF(D151="","",IF(COUNTIF($D$2:D151,D151)&gt;1,"",SUMIFS(tbl_input[필요수량],tbl_input[집계키_청],D151)))</f>
        <v/>
      </c>
      <c r="D151" t="str">
        <f>IFERROR(INDEX(tbl_input[집계키_청],ROW()-1),"")</f>
        <v/>
      </c>
    </row>
    <row r="152" spans="1:4" x14ac:dyDescent="0.4">
      <c r="A152" t="str">
        <f t="shared" si="4"/>
        <v/>
      </c>
      <c r="B152" t="str">
        <f t="shared" si="5"/>
        <v/>
      </c>
      <c r="C152" t="str">
        <f>IF(D152="","",IF(COUNTIF($D$2:D152,D152)&gt;1,"",SUMIFS(tbl_input[필요수량],tbl_input[집계키_청],D152)))</f>
        <v/>
      </c>
      <c r="D152" t="str">
        <f>IFERROR(INDEX(tbl_input[집계키_청],ROW()-1),"")</f>
        <v/>
      </c>
    </row>
    <row r="153" spans="1:4" x14ac:dyDescent="0.4">
      <c r="A153" t="str">
        <f t="shared" si="4"/>
        <v/>
      </c>
      <c r="B153" t="str">
        <f t="shared" si="5"/>
        <v/>
      </c>
      <c r="C153" t="str">
        <f>IF(D153="","",IF(COUNTIF($D$2:D153,D153)&gt;1,"",SUMIFS(tbl_input[필요수량],tbl_input[집계키_청],D153)))</f>
        <v/>
      </c>
      <c r="D153" t="str">
        <f>IFERROR(INDEX(tbl_input[집계키_청],ROW()-1),"")</f>
        <v/>
      </c>
    </row>
    <row r="154" spans="1:4" x14ac:dyDescent="0.4">
      <c r="A154" t="str">
        <f t="shared" si="4"/>
        <v/>
      </c>
      <c r="B154" t="str">
        <f t="shared" si="5"/>
        <v/>
      </c>
      <c r="C154" t="str">
        <f>IF(D154="","",IF(COUNTIF($D$2:D154,D154)&gt;1,"",SUMIFS(tbl_input[필요수량],tbl_input[집계키_청],D154)))</f>
        <v/>
      </c>
      <c r="D154" t="str">
        <f>IFERROR(INDEX(tbl_input[집계키_청],ROW()-1),"")</f>
        <v/>
      </c>
    </row>
    <row r="155" spans="1:4" x14ac:dyDescent="0.4">
      <c r="A155" t="str">
        <f t="shared" si="4"/>
        <v/>
      </c>
      <c r="B155" t="str">
        <f t="shared" si="5"/>
        <v/>
      </c>
      <c r="C155" t="str">
        <f>IF(D155="","",IF(COUNTIF($D$2:D155,D155)&gt;1,"",SUMIFS(tbl_input[필요수량],tbl_input[집계키_청],D155)))</f>
        <v/>
      </c>
      <c r="D155" t="str">
        <f>IFERROR(INDEX(tbl_input[집계키_청],ROW()-1),"")</f>
        <v/>
      </c>
    </row>
    <row r="156" spans="1:4" x14ac:dyDescent="0.4">
      <c r="A156" t="str">
        <f t="shared" si="4"/>
        <v/>
      </c>
      <c r="B156" t="str">
        <f t="shared" si="5"/>
        <v/>
      </c>
      <c r="C156" t="str">
        <f>IF(D156="","",IF(COUNTIF($D$2:D156,D156)&gt;1,"",SUMIFS(tbl_input[필요수량],tbl_input[집계키_청],D156)))</f>
        <v/>
      </c>
      <c r="D156" t="str">
        <f>IFERROR(INDEX(tbl_input[집계키_청],ROW()-1),"")</f>
        <v/>
      </c>
    </row>
    <row r="157" spans="1:4" x14ac:dyDescent="0.4">
      <c r="A157" t="str">
        <f t="shared" si="4"/>
        <v/>
      </c>
      <c r="B157" t="str">
        <f t="shared" si="5"/>
        <v/>
      </c>
      <c r="C157" t="str">
        <f>IF(D157="","",IF(COUNTIF($D$2:D157,D157)&gt;1,"",SUMIFS(tbl_input[필요수량],tbl_input[집계키_청],D157)))</f>
        <v/>
      </c>
      <c r="D157" t="str">
        <f>IFERROR(INDEX(tbl_input[집계키_청],ROW()-1),"")</f>
        <v/>
      </c>
    </row>
    <row r="158" spans="1:4" x14ac:dyDescent="0.4">
      <c r="A158" t="str">
        <f t="shared" si="4"/>
        <v/>
      </c>
      <c r="B158" t="str">
        <f t="shared" si="5"/>
        <v/>
      </c>
      <c r="C158" t="str">
        <f>IF(D158="","",IF(COUNTIF($D$2:D158,D158)&gt;1,"",SUMIFS(tbl_input[필요수량],tbl_input[집계키_청],D158)))</f>
        <v/>
      </c>
      <c r="D158" t="str">
        <f>IFERROR(INDEX(tbl_input[집계키_청],ROW()-1),"")</f>
        <v/>
      </c>
    </row>
    <row r="159" spans="1:4" x14ac:dyDescent="0.4">
      <c r="A159" t="str">
        <f t="shared" si="4"/>
        <v/>
      </c>
      <c r="B159" t="str">
        <f t="shared" si="5"/>
        <v/>
      </c>
      <c r="C159" t="str">
        <f>IF(D159="","",IF(COUNTIF($D$2:D159,D159)&gt;1,"",SUMIFS(tbl_input[필요수량],tbl_input[집계키_청],D159)))</f>
        <v/>
      </c>
      <c r="D159" t="str">
        <f>IFERROR(INDEX(tbl_input[집계키_청],ROW()-1),"")</f>
        <v/>
      </c>
    </row>
    <row r="160" spans="1:4" x14ac:dyDescent="0.4">
      <c r="A160" t="str">
        <f t="shared" si="4"/>
        <v/>
      </c>
      <c r="B160" t="str">
        <f t="shared" si="5"/>
        <v/>
      </c>
      <c r="C160" t="str">
        <f>IF(D160="","",IF(COUNTIF($D$2:D160,D160)&gt;1,"",SUMIFS(tbl_input[필요수량],tbl_input[집계키_청],D160)))</f>
        <v/>
      </c>
      <c r="D160" t="str">
        <f>IFERROR(INDEX(tbl_input[집계키_청],ROW()-1),"")</f>
        <v/>
      </c>
    </row>
    <row r="161" spans="1:4" x14ac:dyDescent="0.4">
      <c r="A161" t="str">
        <f t="shared" si="4"/>
        <v/>
      </c>
      <c r="B161" t="str">
        <f t="shared" si="5"/>
        <v/>
      </c>
      <c r="C161" t="str">
        <f>IF(D161="","",IF(COUNTIF($D$2:D161,D161)&gt;1,"",SUMIFS(tbl_input[필요수량],tbl_input[집계키_청],D161)))</f>
        <v/>
      </c>
      <c r="D161" t="str">
        <f>IFERROR(INDEX(tbl_input[집계키_청],ROW()-1),"")</f>
        <v/>
      </c>
    </row>
    <row r="162" spans="1:4" x14ac:dyDescent="0.4">
      <c r="A162" t="str">
        <f t="shared" si="4"/>
        <v/>
      </c>
      <c r="B162" t="str">
        <f t="shared" si="5"/>
        <v/>
      </c>
      <c r="C162" t="str">
        <f>IF(D162="","",IF(COUNTIF($D$2:D162,D162)&gt;1,"",SUMIFS(tbl_input[필요수량],tbl_input[집계키_청],D162)))</f>
        <v/>
      </c>
      <c r="D162" t="str">
        <f>IFERROR(INDEX(tbl_input[집계키_청],ROW()-1),"")</f>
        <v/>
      </c>
    </row>
    <row r="163" spans="1:4" x14ac:dyDescent="0.4">
      <c r="A163" t="str">
        <f t="shared" si="4"/>
        <v/>
      </c>
      <c r="B163" t="str">
        <f t="shared" si="5"/>
        <v/>
      </c>
      <c r="C163" t="str">
        <f>IF(D163="","",IF(COUNTIF($D$2:D163,D163)&gt;1,"",SUMIFS(tbl_input[필요수량],tbl_input[집계키_청],D163)))</f>
        <v/>
      </c>
      <c r="D163" t="str">
        <f>IFERROR(INDEX(tbl_input[집계키_청],ROW()-1),"")</f>
        <v/>
      </c>
    </row>
    <row r="164" spans="1:4" x14ac:dyDescent="0.4">
      <c r="A164" t="str">
        <f t="shared" si="4"/>
        <v/>
      </c>
      <c r="B164" t="str">
        <f t="shared" si="5"/>
        <v/>
      </c>
      <c r="C164" t="str">
        <f>IF(D164="","",IF(COUNTIF($D$2:D164,D164)&gt;1,"",SUMIFS(tbl_input[필요수량],tbl_input[집계키_청],D164)))</f>
        <v/>
      </c>
      <c r="D164" t="str">
        <f>IFERROR(INDEX(tbl_input[집계키_청],ROW()-1),"")</f>
        <v/>
      </c>
    </row>
    <row r="165" spans="1:4" x14ac:dyDescent="0.4">
      <c r="A165" t="str">
        <f t="shared" si="4"/>
        <v/>
      </c>
      <c r="B165" t="str">
        <f t="shared" si="5"/>
        <v/>
      </c>
      <c r="C165" t="str">
        <f>IF(D165="","",IF(COUNTIF($D$2:D165,D165)&gt;1,"",SUMIFS(tbl_input[필요수량],tbl_input[집계키_청],D165)))</f>
        <v/>
      </c>
      <c r="D165" t="str">
        <f>IFERROR(INDEX(tbl_input[집계키_청],ROW()-1),"")</f>
        <v/>
      </c>
    </row>
    <row r="166" spans="1:4" x14ac:dyDescent="0.4">
      <c r="A166" t="str">
        <f t="shared" si="4"/>
        <v/>
      </c>
      <c r="B166" t="str">
        <f t="shared" si="5"/>
        <v/>
      </c>
      <c r="C166" t="str">
        <f>IF(D166="","",IF(COUNTIF($D$2:D166,D166)&gt;1,"",SUMIFS(tbl_input[필요수량],tbl_input[집계키_청],D166)))</f>
        <v/>
      </c>
      <c r="D166" t="str">
        <f>IFERROR(INDEX(tbl_input[집계키_청],ROW()-1),"")</f>
        <v/>
      </c>
    </row>
    <row r="167" spans="1:4" x14ac:dyDescent="0.4">
      <c r="A167" t="str">
        <f t="shared" si="4"/>
        <v/>
      </c>
      <c r="B167" t="str">
        <f t="shared" si="5"/>
        <v/>
      </c>
      <c r="C167" t="str">
        <f>IF(D167="","",IF(COUNTIF($D$2:D167,D167)&gt;1,"",SUMIFS(tbl_input[필요수량],tbl_input[집계키_청],D167)))</f>
        <v/>
      </c>
      <c r="D167" t="str">
        <f>IFERROR(INDEX(tbl_input[집계키_청],ROW()-1),"")</f>
        <v/>
      </c>
    </row>
    <row r="168" spans="1:4" x14ac:dyDescent="0.4">
      <c r="A168" t="str">
        <f t="shared" si="4"/>
        <v/>
      </c>
      <c r="B168" t="str">
        <f t="shared" si="5"/>
        <v/>
      </c>
      <c r="C168" t="str">
        <f>IF(D168="","",IF(COUNTIF($D$2:D168,D168)&gt;1,"",SUMIFS(tbl_input[필요수량],tbl_input[집계키_청],D168)))</f>
        <v/>
      </c>
      <c r="D168" t="str">
        <f>IFERROR(INDEX(tbl_input[집계키_청],ROW()-1),"")</f>
        <v/>
      </c>
    </row>
    <row r="169" spans="1:4" x14ac:dyDescent="0.4">
      <c r="A169" t="str">
        <f t="shared" si="4"/>
        <v/>
      </c>
      <c r="B169" t="str">
        <f t="shared" si="5"/>
        <v/>
      </c>
      <c r="C169" t="str">
        <f>IF(D169="","",IF(COUNTIF($D$2:D169,D169)&gt;1,"",SUMIFS(tbl_input[필요수량],tbl_input[집계키_청],D169)))</f>
        <v/>
      </c>
      <c r="D169" t="str">
        <f>IFERROR(INDEX(tbl_input[집계키_청],ROW()-1),"")</f>
        <v/>
      </c>
    </row>
    <row r="170" spans="1:4" x14ac:dyDescent="0.4">
      <c r="A170" t="str">
        <f t="shared" si="4"/>
        <v/>
      </c>
      <c r="B170" t="str">
        <f t="shared" si="5"/>
        <v/>
      </c>
      <c r="C170" t="str">
        <f>IF(D170="","",IF(COUNTIF($D$2:D170,D170)&gt;1,"",SUMIFS(tbl_input[필요수량],tbl_input[집계키_청],D170)))</f>
        <v/>
      </c>
      <c r="D170" t="str">
        <f>IFERROR(INDEX(tbl_input[집계키_청],ROW()-1),"")</f>
        <v/>
      </c>
    </row>
    <row r="171" spans="1:4" x14ac:dyDescent="0.4">
      <c r="A171" t="str">
        <f t="shared" si="4"/>
        <v/>
      </c>
      <c r="B171" t="str">
        <f t="shared" si="5"/>
        <v/>
      </c>
      <c r="C171" t="str">
        <f>IF(D171="","",IF(COUNTIF($D$2:D171,D171)&gt;1,"",SUMIFS(tbl_input[필요수량],tbl_input[집계키_청],D171)))</f>
        <v/>
      </c>
      <c r="D171" t="str">
        <f>IFERROR(INDEX(tbl_input[집계키_청],ROW()-1),"")</f>
        <v/>
      </c>
    </row>
    <row r="172" spans="1:4" x14ac:dyDescent="0.4">
      <c r="A172" t="str">
        <f t="shared" si="4"/>
        <v/>
      </c>
      <c r="B172" t="str">
        <f t="shared" si="5"/>
        <v/>
      </c>
      <c r="C172" t="str">
        <f>IF(D172="","",IF(COUNTIF($D$2:D172,D172)&gt;1,"",SUMIFS(tbl_input[필요수량],tbl_input[집계키_청],D172)))</f>
        <v/>
      </c>
      <c r="D172" t="str">
        <f>IFERROR(INDEX(tbl_input[집계키_청],ROW()-1),"")</f>
        <v/>
      </c>
    </row>
    <row r="173" spans="1:4" x14ac:dyDescent="0.4">
      <c r="A173" t="str">
        <f t="shared" si="4"/>
        <v/>
      </c>
      <c r="B173" t="str">
        <f t="shared" si="5"/>
        <v/>
      </c>
      <c r="C173" t="str">
        <f>IF(D173="","",IF(COUNTIF($D$2:D173,D173)&gt;1,"",SUMIFS(tbl_input[필요수량],tbl_input[집계키_청],D173)))</f>
        <v/>
      </c>
      <c r="D173" t="str">
        <f>IFERROR(INDEX(tbl_input[집계키_청],ROW()-1),"")</f>
        <v/>
      </c>
    </row>
    <row r="174" spans="1:4" x14ac:dyDescent="0.4">
      <c r="A174" t="str">
        <f t="shared" si="4"/>
        <v/>
      </c>
      <c r="B174" t="str">
        <f t="shared" si="5"/>
        <v/>
      </c>
      <c r="C174" t="str">
        <f>IF(D174="","",IF(COUNTIF($D$2:D174,D174)&gt;1,"",SUMIFS(tbl_input[필요수량],tbl_input[집계키_청],D174)))</f>
        <v/>
      </c>
      <c r="D174" t="str">
        <f>IFERROR(INDEX(tbl_input[집계키_청],ROW()-1),"")</f>
        <v/>
      </c>
    </row>
    <row r="175" spans="1:4" x14ac:dyDescent="0.4">
      <c r="A175" t="str">
        <f t="shared" si="4"/>
        <v/>
      </c>
      <c r="B175" t="str">
        <f t="shared" si="5"/>
        <v/>
      </c>
      <c r="C175" t="str">
        <f>IF(D175="","",IF(COUNTIF($D$2:D175,D175)&gt;1,"",SUMIFS(tbl_input[필요수량],tbl_input[집계키_청],D175)))</f>
        <v/>
      </c>
      <c r="D175" t="str">
        <f>IFERROR(INDEX(tbl_input[집계키_청],ROW()-1),"")</f>
        <v/>
      </c>
    </row>
    <row r="176" spans="1:4" x14ac:dyDescent="0.4">
      <c r="A176" t="str">
        <f t="shared" si="4"/>
        <v/>
      </c>
      <c r="B176" t="str">
        <f t="shared" si="5"/>
        <v/>
      </c>
      <c r="C176" t="str">
        <f>IF(D176="","",IF(COUNTIF($D$2:D176,D176)&gt;1,"",SUMIFS(tbl_input[필요수량],tbl_input[집계키_청],D176)))</f>
        <v/>
      </c>
      <c r="D176" t="str">
        <f>IFERROR(INDEX(tbl_input[집계키_청],ROW()-1),"")</f>
        <v/>
      </c>
    </row>
    <row r="177" spans="1:4" x14ac:dyDescent="0.4">
      <c r="A177" t="str">
        <f t="shared" si="4"/>
        <v/>
      </c>
      <c r="B177" t="str">
        <f t="shared" si="5"/>
        <v/>
      </c>
      <c r="C177" t="str">
        <f>IF(D177="","",IF(COUNTIF($D$2:D177,D177)&gt;1,"",SUMIFS(tbl_input[필요수량],tbl_input[집계키_청],D177)))</f>
        <v/>
      </c>
      <c r="D177" t="str">
        <f>IFERROR(INDEX(tbl_input[집계키_청],ROW()-1),"")</f>
        <v/>
      </c>
    </row>
    <row r="178" spans="1:4" x14ac:dyDescent="0.4">
      <c r="A178" t="str">
        <f t="shared" si="4"/>
        <v/>
      </c>
      <c r="B178" t="str">
        <f t="shared" si="5"/>
        <v/>
      </c>
      <c r="C178" t="str">
        <f>IF(D178="","",IF(COUNTIF($D$2:D178,D178)&gt;1,"",SUMIFS(tbl_input[필요수량],tbl_input[집계키_청],D178)))</f>
        <v/>
      </c>
      <c r="D178" t="str">
        <f>IFERROR(INDEX(tbl_input[집계키_청],ROW()-1),"")</f>
        <v/>
      </c>
    </row>
    <row r="179" spans="1:4" x14ac:dyDescent="0.4">
      <c r="A179" t="str">
        <f t="shared" si="4"/>
        <v/>
      </c>
      <c r="B179" t="str">
        <f t="shared" si="5"/>
        <v/>
      </c>
      <c r="C179" t="str">
        <f>IF(D179="","",IF(COUNTIF($D$2:D179,D179)&gt;1,"",SUMIFS(tbl_input[필요수량],tbl_input[집계키_청],D179)))</f>
        <v/>
      </c>
      <c r="D179" t="str">
        <f>IFERROR(INDEX(tbl_input[집계키_청],ROW()-1),"")</f>
        <v/>
      </c>
    </row>
    <row r="180" spans="1:4" x14ac:dyDescent="0.4">
      <c r="A180" t="str">
        <f t="shared" si="4"/>
        <v/>
      </c>
      <c r="B180" t="str">
        <f t="shared" si="5"/>
        <v/>
      </c>
      <c r="C180" t="str">
        <f>IF(D180="","",IF(COUNTIF($D$2:D180,D180)&gt;1,"",SUMIFS(tbl_input[필요수량],tbl_input[집계키_청],D180)))</f>
        <v/>
      </c>
      <c r="D180" t="str">
        <f>IFERROR(INDEX(tbl_input[집계키_청],ROW()-1),"")</f>
        <v/>
      </c>
    </row>
    <row r="181" spans="1:4" x14ac:dyDescent="0.4">
      <c r="A181" t="str">
        <f t="shared" si="4"/>
        <v/>
      </c>
      <c r="B181" t="str">
        <f t="shared" si="5"/>
        <v/>
      </c>
      <c r="C181" t="str">
        <f>IF(D181="","",IF(COUNTIF($D$2:D181,D181)&gt;1,"",SUMIFS(tbl_input[필요수량],tbl_input[집계키_청],D181)))</f>
        <v/>
      </c>
      <c r="D181" t="str">
        <f>IFERROR(INDEX(tbl_input[집계키_청],ROW()-1),"")</f>
        <v/>
      </c>
    </row>
    <row r="182" spans="1:4" x14ac:dyDescent="0.4">
      <c r="A182" t="str">
        <f t="shared" si="4"/>
        <v/>
      </c>
      <c r="B182" t="str">
        <f t="shared" si="5"/>
        <v/>
      </c>
      <c r="C182" t="str">
        <f>IF(D182="","",IF(COUNTIF($D$2:D182,D182)&gt;1,"",SUMIFS(tbl_input[필요수량],tbl_input[집계키_청],D182)))</f>
        <v/>
      </c>
      <c r="D182" t="str">
        <f>IFERROR(INDEX(tbl_input[집계키_청],ROW()-1),"")</f>
        <v/>
      </c>
    </row>
    <row r="183" spans="1:4" x14ac:dyDescent="0.4">
      <c r="A183" t="str">
        <f t="shared" si="4"/>
        <v/>
      </c>
      <c r="B183" t="str">
        <f t="shared" si="5"/>
        <v/>
      </c>
      <c r="C183" t="str">
        <f>IF(D183="","",IF(COUNTIF($D$2:D183,D183)&gt;1,"",SUMIFS(tbl_input[필요수량],tbl_input[집계키_청],D183)))</f>
        <v/>
      </c>
      <c r="D183" t="str">
        <f>IFERROR(INDEX(tbl_input[집계키_청],ROW()-1),"")</f>
        <v/>
      </c>
    </row>
    <row r="184" spans="1:4" x14ac:dyDescent="0.4">
      <c r="A184" t="str">
        <f t="shared" si="4"/>
        <v/>
      </c>
      <c r="B184" t="str">
        <f t="shared" si="5"/>
        <v/>
      </c>
      <c r="C184" t="str">
        <f>IF(D184="","",IF(COUNTIF($D$2:D184,D184)&gt;1,"",SUMIFS(tbl_input[필요수량],tbl_input[집계키_청],D184)))</f>
        <v/>
      </c>
      <c r="D184" t="str">
        <f>IFERROR(INDEX(tbl_input[집계키_청],ROW()-1),"")</f>
        <v/>
      </c>
    </row>
    <row r="185" spans="1:4" x14ac:dyDescent="0.4">
      <c r="A185" t="str">
        <f t="shared" si="4"/>
        <v/>
      </c>
      <c r="B185" t="str">
        <f t="shared" si="5"/>
        <v/>
      </c>
      <c r="C185" t="str">
        <f>IF(D185="","",IF(COUNTIF($D$2:D185,D185)&gt;1,"",SUMIFS(tbl_input[필요수량],tbl_input[집계키_청],D185)))</f>
        <v/>
      </c>
      <c r="D185" t="str">
        <f>IFERROR(INDEX(tbl_input[집계키_청],ROW()-1),"")</f>
        <v/>
      </c>
    </row>
    <row r="186" spans="1:4" x14ac:dyDescent="0.4">
      <c r="A186" t="str">
        <f t="shared" si="4"/>
        <v/>
      </c>
      <c r="B186" t="str">
        <f t="shared" si="5"/>
        <v/>
      </c>
      <c r="C186" t="str">
        <f>IF(D186="","",IF(COUNTIF($D$2:D186,D186)&gt;1,"",SUMIFS(tbl_input[필요수량],tbl_input[집계키_청],D186)))</f>
        <v/>
      </c>
      <c r="D186" t="str">
        <f>IFERROR(INDEX(tbl_input[집계키_청],ROW()-1),"")</f>
        <v/>
      </c>
    </row>
    <row r="187" spans="1:4" x14ac:dyDescent="0.4">
      <c r="A187" t="str">
        <f t="shared" si="4"/>
        <v/>
      </c>
      <c r="B187" t="str">
        <f t="shared" si="5"/>
        <v/>
      </c>
      <c r="C187" t="str">
        <f>IF(D187="","",IF(COUNTIF($D$2:D187,D187)&gt;1,"",SUMIFS(tbl_input[필요수량],tbl_input[집계키_청],D187)))</f>
        <v/>
      </c>
      <c r="D187" t="str">
        <f>IFERROR(INDEX(tbl_input[집계키_청],ROW()-1),"")</f>
        <v/>
      </c>
    </row>
    <row r="188" spans="1:4" x14ac:dyDescent="0.4">
      <c r="A188" t="str">
        <f t="shared" si="4"/>
        <v/>
      </c>
      <c r="B188" t="str">
        <f t="shared" si="5"/>
        <v/>
      </c>
      <c r="C188" t="str">
        <f>IF(D188="","",IF(COUNTIF($D$2:D188,D188)&gt;1,"",SUMIFS(tbl_input[필요수량],tbl_input[집계키_청],D188)))</f>
        <v/>
      </c>
      <c r="D188" t="str">
        <f>IFERROR(INDEX(tbl_input[집계키_청],ROW()-1),"")</f>
        <v/>
      </c>
    </row>
    <row r="189" spans="1:4" x14ac:dyDescent="0.4">
      <c r="A189" t="str">
        <f t="shared" si="4"/>
        <v/>
      </c>
      <c r="B189" t="str">
        <f t="shared" si="5"/>
        <v/>
      </c>
      <c r="C189" t="str">
        <f>IF(D189="","",IF(COUNTIF($D$2:D189,D189)&gt;1,"",SUMIFS(tbl_input[필요수량],tbl_input[집계키_청],D189)))</f>
        <v/>
      </c>
      <c r="D189" t="str">
        <f>IFERROR(INDEX(tbl_input[집계키_청],ROW()-1),"")</f>
        <v/>
      </c>
    </row>
    <row r="190" spans="1:4" x14ac:dyDescent="0.4">
      <c r="A190" t="str">
        <f t="shared" si="4"/>
        <v/>
      </c>
      <c r="B190" t="str">
        <f t="shared" si="5"/>
        <v/>
      </c>
      <c r="C190" t="str">
        <f>IF(D190="","",IF(COUNTIF($D$2:D190,D190)&gt;1,"",SUMIFS(tbl_input[필요수량],tbl_input[집계키_청],D190)))</f>
        <v/>
      </c>
      <c r="D190" t="str">
        <f>IFERROR(INDEX(tbl_input[집계키_청],ROW()-1),"")</f>
        <v/>
      </c>
    </row>
    <row r="191" spans="1:4" x14ac:dyDescent="0.4">
      <c r="A191" t="str">
        <f t="shared" si="4"/>
        <v/>
      </c>
      <c r="B191" t="str">
        <f t="shared" si="5"/>
        <v/>
      </c>
      <c r="C191" t="str">
        <f>IF(D191="","",IF(COUNTIF($D$2:D191,D191)&gt;1,"",SUMIFS(tbl_input[필요수량],tbl_input[집계키_청],D191)))</f>
        <v/>
      </c>
      <c r="D191" t="str">
        <f>IFERROR(INDEX(tbl_input[집계키_청],ROW()-1),"")</f>
        <v/>
      </c>
    </row>
    <row r="192" spans="1:4" x14ac:dyDescent="0.4">
      <c r="A192" t="str">
        <f t="shared" si="4"/>
        <v/>
      </c>
      <c r="B192" t="str">
        <f t="shared" si="5"/>
        <v/>
      </c>
      <c r="C192" t="str">
        <f>IF(D192="","",IF(COUNTIF($D$2:D192,D192)&gt;1,"",SUMIFS(tbl_input[필요수량],tbl_input[집계키_청],D192)))</f>
        <v/>
      </c>
      <c r="D192" t="str">
        <f>IFERROR(INDEX(tbl_input[집계키_청],ROW()-1),"")</f>
        <v/>
      </c>
    </row>
    <row r="193" spans="1:4" x14ac:dyDescent="0.4">
      <c r="A193" t="str">
        <f t="shared" si="4"/>
        <v/>
      </c>
      <c r="B193" t="str">
        <f t="shared" si="5"/>
        <v/>
      </c>
      <c r="C193" t="str">
        <f>IF(D193="","",IF(COUNTIF($D$2:D193,D193)&gt;1,"",SUMIFS(tbl_input[필요수량],tbl_input[집계키_청],D193)))</f>
        <v/>
      </c>
      <c r="D193" t="str">
        <f>IFERROR(INDEX(tbl_input[집계키_청],ROW()-1),"")</f>
        <v/>
      </c>
    </row>
    <row r="194" spans="1:4" x14ac:dyDescent="0.4">
      <c r="A194" t="str">
        <f t="shared" ref="A194:A257" si="6">IF(D194="","",LEFT(D194,FIND("♦",D194)-1))</f>
        <v/>
      </c>
      <c r="B194" t="str">
        <f t="shared" ref="B194:B257" si="7">IF(D194="","",MID(D194,FIND("♦",D194)+1,999))</f>
        <v/>
      </c>
      <c r="C194" t="str">
        <f>IF(D194="","",IF(COUNTIF($D$2:D194,D194)&gt;1,"",SUMIFS(tbl_input[필요수량],tbl_input[집계키_청],D194)))</f>
        <v/>
      </c>
      <c r="D194" t="str">
        <f>IFERROR(INDEX(tbl_input[집계키_청],ROW()-1),"")</f>
        <v/>
      </c>
    </row>
    <row r="195" spans="1:4" x14ac:dyDescent="0.4">
      <c r="A195" t="str">
        <f t="shared" si="6"/>
        <v/>
      </c>
      <c r="B195" t="str">
        <f t="shared" si="7"/>
        <v/>
      </c>
      <c r="C195" t="str">
        <f>IF(D195="","",IF(COUNTIF($D$2:D195,D195)&gt;1,"",SUMIFS(tbl_input[필요수량],tbl_input[집계키_청],D195)))</f>
        <v/>
      </c>
      <c r="D195" t="str">
        <f>IFERROR(INDEX(tbl_input[집계키_청],ROW()-1),"")</f>
        <v/>
      </c>
    </row>
    <row r="196" spans="1:4" x14ac:dyDescent="0.4">
      <c r="A196" t="str">
        <f t="shared" si="6"/>
        <v/>
      </c>
      <c r="B196" t="str">
        <f t="shared" si="7"/>
        <v/>
      </c>
      <c r="C196" t="str">
        <f>IF(D196="","",IF(COUNTIF($D$2:D196,D196)&gt;1,"",SUMIFS(tbl_input[필요수량],tbl_input[집계키_청],D196)))</f>
        <v/>
      </c>
      <c r="D196" t="str">
        <f>IFERROR(INDEX(tbl_input[집계키_청],ROW()-1),"")</f>
        <v/>
      </c>
    </row>
    <row r="197" spans="1:4" x14ac:dyDescent="0.4">
      <c r="A197" t="str">
        <f t="shared" si="6"/>
        <v/>
      </c>
      <c r="B197" t="str">
        <f t="shared" si="7"/>
        <v/>
      </c>
      <c r="C197" t="str">
        <f>IF(D197="","",IF(COUNTIF($D$2:D197,D197)&gt;1,"",SUMIFS(tbl_input[필요수량],tbl_input[집계키_청],D197)))</f>
        <v/>
      </c>
      <c r="D197" t="str">
        <f>IFERROR(INDEX(tbl_input[집계키_청],ROW()-1),"")</f>
        <v/>
      </c>
    </row>
    <row r="198" spans="1:4" x14ac:dyDescent="0.4">
      <c r="A198" t="str">
        <f t="shared" si="6"/>
        <v/>
      </c>
      <c r="B198" t="str">
        <f t="shared" si="7"/>
        <v/>
      </c>
      <c r="C198" t="str">
        <f>IF(D198="","",IF(COUNTIF($D$2:D198,D198)&gt;1,"",SUMIFS(tbl_input[필요수량],tbl_input[집계키_청],D198)))</f>
        <v/>
      </c>
      <c r="D198" t="str">
        <f>IFERROR(INDEX(tbl_input[집계키_청],ROW()-1),"")</f>
        <v/>
      </c>
    </row>
    <row r="199" spans="1:4" x14ac:dyDescent="0.4">
      <c r="A199" t="str">
        <f t="shared" si="6"/>
        <v/>
      </c>
      <c r="B199" t="str">
        <f t="shared" si="7"/>
        <v/>
      </c>
      <c r="C199" t="str">
        <f>IF(D199="","",IF(COUNTIF($D$2:D199,D199)&gt;1,"",SUMIFS(tbl_input[필요수량],tbl_input[집계키_청],D199)))</f>
        <v/>
      </c>
      <c r="D199" t="str">
        <f>IFERROR(INDEX(tbl_input[집계키_청],ROW()-1),"")</f>
        <v/>
      </c>
    </row>
    <row r="200" spans="1:4" x14ac:dyDescent="0.4">
      <c r="A200" t="str">
        <f t="shared" si="6"/>
        <v/>
      </c>
      <c r="B200" t="str">
        <f t="shared" si="7"/>
        <v/>
      </c>
      <c r="C200" t="str">
        <f>IF(D200="","",IF(COUNTIF($D$2:D200,D200)&gt;1,"",SUMIFS(tbl_input[필요수량],tbl_input[집계키_청],D200)))</f>
        <v/>
      </c>
      <c r="D200" t="str">
        <f>IFERROR(INDEX(tbl_input[집계키_청],ROW()-1),"")</f>
        <v/>
      </c>
    </row>
    <row r="201" spans="1:4" x14ac:dyDescent="0.4">
      <c r="A201" t="str">
        <f t="shared" si="6"/>
        <v/>
      </c>
      <c r="B201" t="str">
        <f t="shared" si="7"/>
        <v/>
      </c>
      <c r="C201" t="str">
        <f>IF(D201="","",IF(COUNTIF($D$2:D201,D201)&gt;1,"",SUMIFS(tbl_input[필요수량],tbl_input[집계키_청],D201)))</f>
        <v/>
      </c>
      <c r="D201" t="str">
        <f>IFERROR(INDEX(tbl_input[집계키_청],ROW()-1),"")</f>
        <v/>
      </c>
    </row>
    <row r="202" spans="1:4" x14ac:dyDescent="0.4">
      <c r="A202" t="str">
        <f t="shared" si="6"/>
        <v/>
      </c>
      <c r="B202" t="str">
        <f t="shared" si="7"/>
        <v/>
      </c>
      <c r="C202" t="str">
        <f>IF(D202="","",IF(COUNTIF($D$2:D202,D202)&gt;1,"",SUMIFS(tbl_input[필요수량],tbl_input[집계키_청],D202)))</f>
        <v/>
      </c>
      <c r="D202" t="str">
        <f>IFERROR(INDEX(tbl_input[집계키_청],ROW()-1),"")</f>
        <v/>
      </c>
    </row>
    <row r="203" spans="1:4" x14ac:dyDescent="0.4">
      <c r="A203" t="str">
        <f t="shared" si="6"/>
        <v/>
      </c>
      <c r="B203" t="str">
        <f t="shared" si="7"/>
        <v/>
      </c>
      <c r="C203" t="str">
        <f>IF(D203="","",IF(COUNTIF($D$2:D203,D203)&gt;1,"",SUMIFS(tbl_input[필요수량],tbl_input[집계키_청],D203)))</f>
        <v/>
      </c>
      <c r="D203" t="str">
        <f>IFERROR(INDEX(tbl_input[집계키_청],ROW()-1),"")</f>
        <v/>
      </c>
    </row>
    <row r="204" spans="1:4" x14ac:dyDescent="0.4">
      <c r="A204" t="str">
        <f t="shared" si="6"/>
        <v/>
      </c>
      <c r="B204" t="str">
        <f t="shared" si="7"/>
        <v/>
      </c>
      <c r="C204" t="str">
        <f>IF(D204="","",IF(COUNTIF($D$2:D204,D204)&gt;1,"",SUMIFS(tbl_input[필요수량],tbl_input[집계키_청],D204)))</f>
        <v/>
      </c>
      <c r="D204" t="str">
        <f>IFERROR(INDEX(tbl_input[집계키_청],ROW()-1),"")</f>
        <v/>
      </c>
    </row>
    <row r="205" spans="1:4" x14ac:dyDescent="0.4">
      <c r="A205" t="str">
        <f t="shared" si="6"/>
        <v/>
      </c>
      <c r="B205" t="str">
        <f t="shared" si="7"/>
        <v/>
      </c>
      <c r="C205" t="str">
        <f>IF(D205="","",IF(COUNTIF($D$2:D205,D205)&gt;1,"",SUMIFS(tbl_input[필요수량],tbl_input[집계키_청],D205)))</f>
        <v/>
      </c>
      <c r="D205" t="str">
        <f>IFERROR(INDEX(tbl_input[집계키_청],ROW()-1),"")</f>
        <v/>
      </c>
    </row>
    <row r="206" spans="1:4" x14ac:dyDescent="0.4">
      <c r="A206" t="str">
        <f t="shared" si="6"/>
        <v/>
      </c>
      <c r="B206" t="str">
        <f t="shared" si="7"/>
        <v/>
      </c>
      <c r="C206" t="str">
        <f>IF(D206="","",IF(COUNTIF($D$2:D206,D206)&gt;1,"",SUMIFS(tbl_input[필요수량],tbl_input[집계키_청],D206)))</f>
        <v/>
      </c>
      <c r="D206" t="str">
        <f>IFERROR(INDEX(tbl_input[집계키_청],ROW()-1),"")</f>
        <v/>
      </c>
    </row>
    <row r="207" spans="1:4" x14ac:dyDescent="0.4">
      <c r="A207" t="str">
        <f t="shared" si="6"/>
        <v/>
      </c>
      <c r="B207" t="str">
        <f t="shared" si="7"/>
        <v/>
      </c>
      <c r="C207" t="str">
        <f>IF(D207="","",IF(COUNTIF($D$2:D207,D207)&gt;1,"",SUMIFS(tbl_input[필요수량],tbl_input[집계키_청],D207)))</f>
        <v/>
      </c>
      <c r="D207" t="str">
        <f>IFERROR(INDEX(tbl_input[집계키_청],ROW()-1),"")</f>
        <v/>
      </c>
    </row>
    <row r="208" spans="1:4" x14ac:dyDescent="0.4">
      <c r="A208" t="str">
        <f t="shared" si="6"/>
        <v/>
      </c>
      <c r="B208" t="str">
        <f t="shared" si="7"/>
        <v/>
      </c>
      <c r="C208" t="str">
        <f>IF(D208="","",IF(COUNTIF($D$2:D208,D208)&gt;1,"",SUMIFS(tbl_input[필요수량],tbl_input[집계키_청],D208)))</f>
        <v/>
      </c>
      <c r="D208" t="str">
        <f>IFERROR(INDEX(tbl_input[집계키_청],ROW()-1),"")</f>
        <v/>
      </c>
    </row>
    <row r="209" spans="1:4" x14ac:dyDescent="0.4">
      <c r="A209" t="str">
        <f t="shared" si="6"/>
        <v/>
      </c>
      <c r="B209" t="str">
        <f t="shared" si="7"/>
        <v/>
      </c>
      <c r="C209" t="str">
        <f>IF(D209="","",IF(COUNTIF($D$2:D209,D209)&gt;1,"",SUMIFS(tbl_input[필요수량],tbl_input[집계키_청],D209)))</f>
        <v/>
      </c>
      <c r="D209" t="str">
        <f>IFERROR(INDEX(tbl_input[집계키_청],ROW()-1),"")</f>
        <v/>
      </c>
    </row>
    <row r="210" spans="1:4" x14ac:dyDescent="0.4">
      <c r="A210" t="str">
        <f t="shared" si="6"/>
        <v/>
      </c>
      <c r="B210" t="str">
        <f t="shared" si="7"/>
        <v/>
      </c>
      <c r="C210" t="str">
        <f>IF(D210="","",IF(COUNTIF($D$2:D210,D210)&gt;1,"",SUMIFS(tbl_input[필요수량],tbl_input[집계키_청],D210)))</f>
        <v/>
      </c>
      <c r="D210" t="str">
        <f>IFERROR(INDEX(tbl_input[집계키_청],ROW()-1),"")</f>
        <v/>
      </c>
    </row>
    <row r="211" spans="1:4" x14ac:dyDescent="0.4">
      <c r="A211" t="str">
        <f t="shared" si="6"/>
        <v/>
      </c>
      <c r="B211" t="str">
        <f t="shared" si="7"/>
        <v/>
      </c>
      <c r="C211" t="str">
        <f>IF(D211="","",IF(COUNTIF($D$2:D211,D211)&gt;1,"",SUMIFS(tbl_input[필요수량],tbl_input[집계키_청],D211)))</f>
        <v/>
      </c>
      <c r="D211" t="str">
        <f>IFERROR(INDEX(tbl_input[집계키_청],ROW()-1),"")</f>
        <v/>
      </c>
    </row>
    <row r="212" spans="1:4" x14ac:dyDescent="0.4">
      <c r="A212" t="str">
        <f t="shared" si="6"/>
        <v/>
      </c>
      <c r="B212" t="str">
        <f t="shared" si="7"/>
        <v/>
      </c>
      <c r="C212" t="str">
        <f>IF(D212="","",IF(COUNTIF($D$2:D212,D212)&gt;1,"",SUMIFS(tbl_input[필요수량],tbl_input[집계키_청],D212)))</f>
        <v/>
      </c>
      <c r="D212" t="str">
        <f>IFERROR(INDEX(tbl_input[집계키_청],ROW()-1),"")</f>
        <v/>
      </c>
    </row>
    <row r="213" spans="1:4" x14ac:dyDescent="0.4">
      <c r="A213" t="str">
        <f t="shared" si="6"/>
        <v/>
      </c>
      <c r="B213" t="str">
        <f t="shared" si="7"/>
        <v/>
      </c>
      <c r="C213" t="str">
        <f>IF(D213="","",IF(COUNTIF($D$2:D213,D213)&gt;1,"",SUMIFS(tbl_input[필요수량],tbl_input[집계키_청],D213)))</f>
        <v/>
      </c>
      <c r="D213" t="str">
        <f>IFERROR(INDEX(tbl_input[집계키_청],ROW()-1),"")</f>
        <v/>
      </c>
    </row>
    <row r="214" spans="1:4" x14ac:dyDescent="0.4">
      <c r="A214" t="str">
        <f t="shared" si="6"/>
        <v/>
      </c>
      <c r="B214" t="str">
        <f t="shared" si="7"/>
        <v/>
      </c>
      <c r="C214" t="str">
        <f>IF(D214="","",IF(COUNTIF($D$2:D214,D214)&gt;1,"",SUMIFS(tbl_input[필요수량],tbl_input[집계키_청],D214)))</f>
        <v/>
      </c>
      <c r="D214" t="str">
        <f>IFERROR(INDEX(tbl_input[집계키_청],ROW()-1),"")</f>
        <v/>
      </c>
    </row>
    <row r="215" spans="1:4" x14ac:dyDescent="0.4">
      <c r="A215" t="str">
        <f t="shared" si="6"/>
        <v/>
      </c>
      <c r="B215" t="str">
        <f t="shared" si="7"/>
        <v/>
      </c>
      <c r="C215" t="str">
        <f>IF(D215="","",IF(COUNTIF($D$2:D215,D215)&gt;1,"",SUMIFS(tbl_input[필요수량],tbl_input[집계키_청],D215)))</f>
        <v/>
      </c>
      <c r="D215" t="str">
        <f>IFERROR(INDEX(tbl_input[집계키_청],ROW()-1),"")</f>
        <v/>
      </c>
    </row>
    <row r="216" spans="1:4" x14ac:dyDescent="0.4">
      <c r="A216" t="str">
        <f t="shared" si="6"/>
        <v/>
      </c>
      <c r="B216" t="str">
        <f t="shared" si="7"/>
        <v/>
      </c>
      <c r="C216" t="str">
        <f>IF(D216="","",IF(COUNTIF($D$2:D216,D216)&gt;1,"",SUMIFS(tbl_input[필요수량],tbl_input[집계키_청],D216)))</f>
        <v/>
      </c>
      <c r="D216" t="str">
        <f>IFERROR(INDEX(tbl_input[집계키_청],ROW()-1),"")</f>
        <v/>
      </c>
    </row>
    <row r="217" spans="1:4" x14ac:dyDescent="0.4">
      <c r="A217" t="str">
        <f t="shared" si="6"/>
        <v/>
      </c>
      <c r="B217" t="str">
        <f t="shared" si="7"/>
        <v/>
      </c>
      <c r="C217" t="str">
        <f>IF(D217="","",IF(COUNTIF($D$2:D217,D217)&gt;1,"",SUMIFS(tbl_input[필요수량],tbl_input[집계키_청],D217)))</f>
        <v/>
      </c>
      <c r="D217" t="str">
        <f>IFERROR(INDEX(tbl_input[집계키_청],ROW()-1),"")</f>
        <v/>
      </c>
    </row>
    <row r="218" spans="1:4" x14ac:dyDescent="0.4">
      <c r="A218" t="str">
        <f t="shared" si="6"/>
        <v/>
      </c>
      <c r="B218" t="str">
        <f t="shared" si="7"/>
        <v/>
      </c>
      <c r="C218" t="str">
        <f>IF(D218="","",IF(COUNTIF($D$2:D218,D218)&gt;1,"",SUMIFS(tbl_input[필요수량],tbl_input[집계키_청],D218)))</f>
        <v/>
      </c>
      <c r="D218" t="str">
        <f>IFERROR(INDEX(tbl_input[집계키_청],ROW()-1),"")</f>
        <v/>
      </c>
    </row>
    <row r="219" spans="1:4" x14ac:dyDescent="0.4">
      <c r="A219" t="str">
        <f t="shared" si="6"/>
        <v/>
      </c>
      <c r="B219" t="str">
        <f t="shared" si="7"/>
        <v/>
      </c>
      <c r="C219" t="str">
        <f>IF(D219="","",IF(COUNTIF($D$2:D219,D219)&gt;1,"",SUMIFS(tbl_input[필요수량],tbl_input[집계키_청],D219)))</f>
        <v/>
      </c>
      <c r="D219" t="str">
        <f>IFERROR(INDEX(tbl_input[집계키_청],ROW()-1),"")</f>
        <v/>
      </c>
    </row>
    <row r="220" spans="1:4" x14ac:dyDescent="0.4">
      <c r="A220" t="str">
        <f t="shared" si="6"/>
        <v/>
      </c>
      <c r="B220" t="str">
        <f t="shared" si="7"/>
        <v/>
      </c>
      <c r="C220" t="str">
        <f>IF(D220="","",IF(COUNTIF($D$2:D220,D220)&gt;1,"",SUMIFS(tbl_input[필요수량],tbl_input[집계키_청],D220)))</f>
        <v/>
      </c>
      <c r="D220" t="str">
        <f>IFERROR(INDEX(tbl_input[집계키_청],ROW()-1),"")</f>
        <v/>
      </c>
    </row>
    <row r="221" spans="1:4" x14ac:dyDescent="0.4">
      <c r="A221" t="str">
        <f t="shared" si="6"/>
        <v/>
      </c>
      <c r="B221" t="str">
        <f t="shared" si="7"/>
        <v/>
      </c>
      <c r="C221" t="str">
        <f>IF(D221="","",IF(COUNTIF($D$2:D221,D221)&gt;1,"",SUMIFS(tbl_input[필요수량],tbl_input[집계키_청],D221)))</f>
        <v/>
      </c>
      <c r="D221" t="str">
        <f>IFERROR(INDEX(tbl_input[집계키_청],ROW()-1),"")</f>
        <v/>
      </c>
    </row>
    <row r="222" spans="1:4" x14ac:dyDescent="0.4">
      <c r="A222" t="str">
        <f t="shared" si="6"/>
        <v/>
      </c>
      <c r="B222" t="str">
        <f t="shared" si="7"/>
        <v/>
      </c>
      <c r="C222" t="str">
        <f>IF(D222="","",IF(COUNTIF($D$2:D222,D222)&gt;1,"",SUMIFS(tbl_input[필요수량],tbl_input[집계키_청],D222)))</f>
        <v/>
      </c>
      <c r="D222" t="str">
        <f>IFERROR(INDEX(tbl_input[집계키_청],ROW()-1),"")</f>
        <v/>
      </c>
    </row>
    <row r="223" spans="1:4" x14ac:dyDescent="0.4">
      <c r="A223" t="str">
        <f t="shared" si="6"/>
        <v/>
      </c>
      <c r="B223" t="str">
        <f t="shared" si="7"/>
        <v/>
      </c>
      <c r="C223" t="str">
        <f>IF(D223="","",IF(COUNTIF($D$2:D223,D223)&gt;1,"",SUMIFS(tbl_input[필요수량],tbl_input[집계키_청],D223)))</f>
        <v/>
      </c>
      <c r="D223" t="str">
        <f>IFERROR(INDEX(tbl_input[집계키_청],ROW()-1),"")</f>
        <v/>
      </c>
    </row>
    <row r="224" spans="1:4" x14ac:dyDescent="0.4">
      <c r="A224" t="str">
        <f t="shared" si="6"/>
        <v/>
      </c>
      <c r="B224" t="str">
        <f t="shared" si="7"/>
        <v/>
      </c>
      <c r="C224" t="str">
        <f>IF(D224="","",IF(COUNTIF($D$2:D224,D224)&gt;1,"",SUMIFS(tbl_input[필요수량],tbl_input[집계키_청],D224)))</f>
        <v/>
      </c>
      <c r="D224" t="str">
        <f>IFERROR(INDEX(tbl_input[집계키_청],ROW()-1),"")</f>
        <v/>
      </c>
    </row>
    <row r="225" spans="1:4" x14ac:dyDescent="0.4">
      <c r="A225" t="str">
        <f t="shared" si="6"/>
        <v/>
      </c>
      <c r="B225" t="str">
        <f t="shared" si="7"/>
        <v/>
      </c>
      <c r="C225" t="str">
        <f>IF(D225="","",IF(COUNTIF($D$2:D225,D225)&gt;1,"",SUMIFS(tbl_input[필요수량],tbl_input[집계키_청],D225)))</f>
        <v/>
      </c>
      <c r="D225" t="str">
        <f>IFERROR(INDEX(tbl_input[집계키_청],ROW()-1),"")</f>
        <v/>
      </c>
    </row>
    <row r="226" spans="1:4" x14ac:dyDescent="0.4">
      <c r="A226" t="str">
        <f t="shared" si="6"/>
        <v/>
      </c>
      <c r="B226" t="str">
        <f t="shared" si="7"/>
        <v/>
      </c>
      <c r="C226" t="str">
        <f>IF(D226="","",IF(COUNTIF($D$2:D226,D226)&gt;1,"",SUMIFS(tbl_input[필요수량],tbl_input[집계키_청],D226)))</f>
        <v/>
      </c>
      <c r="D226" t="str">
        <f>IFERROR(INDEX(tbl_input[집계키_청],ROW()-1),"")</f>
        <v/>
      </c>
    </row>
    <row r="227" spans="1:4" x14ac:dyDescent="0.4">
      <c r="A227" t="str">
        <f t="shared" si="6"/>
        <v/>
      </c>
      <c r="B227" t="str">
        <f t="shared" si="7"/>
        <v/>
      </c>
      <c r="C227" t="str">
        <f>IF(D227="","",IF(COUNTIF($D$2:D227,D227)&gt;1,"",SUMIFS(tbl_input[필요수량],tbl_input[집계키_청],D227)))</f>
        <v/>
      </c>
      <c r="D227" t="str">
        <f>IFERROR(INDEX(tbl_input[집계키_청],ROW()-1),"")</f>
        <v/>
      </c>
    </row>
    <row r="228" spans="1:4" x14ac:dyDescent="0.4">
      <c r="A228" t="str">
        <f t="shared" si="6"/>
        <v/>
      </c>
      <c r="B228" t="str">
        <f t="shared" si="7"/>
        <v/>
      </c>
      <c r="C228" t="str">
        <f>IF(D228="","",IF(COUNTIF($D$2:D228,D228)&gt;1,"",SUMIFS(tbl_input[필요수량],tbl_input[집계키_청],D228)))</f>
        <v/>
      </c>
      <c r="D228" t="str">
        <f>IFERROR(INDEX(tbl_input[집계키_청],ROW()-1),"")</f>
        <v/>
      </c>
    </row>
    <row r="229" spans="1:4" x14ac:dyDescent="0.4">
      <c r="A229" t="str">
        <f t="shared" si="6"/>
        <v/>
      </c>
      <c r="B229" t="str">
        <f t="shared" si="7"/>
        <v/>
      </c>
      <c r="C229" t="str">
        <f>IF(D229="","",IF(COUNTIF($D$2:D229,D229)&gt;1,"",SUMIFS(tbl_input[필요수량],tbl_input[집계키_청],D229)))</f>
        <v/>
      </c>
      <c r="D229" t="str">
        <f>IFERROR(INDEX(tbl_input[집계키_청],ROW()-1),"")</f>
        <v/>
      </c>
    </row>
    <row r="230" spans="1:4" x14ac:dyDescent="0.4">
      <c r="A230" t="str">
        <f t="shared" si="6"/>
        <v/>
      </c>
      <c r="B230" t="str">
        <f t="shared" si="7"/>
        <v/>
      </c>
      <c r="C230" t="str">
        <f>IF(D230="","",IF(COUNTIF($D$2:D230,D230)&gt;1,"",SUMIFS(tbl_input[필요수량],tbl_input[집계키_청],D230)))</f>
        <v/>
      </c>
      <c r="D230" t="str">
        <f>IFERROR(INDEX(tbl_input[집계키_청],ROW()-1),"")</f>
        <v/>
      </c>
    </row>
    <row r="231" spans="1:4" x14ac:dyDescent="0.4">
      <c r="A231" t="str">
        <f t="shared" si="6"/>
        <v/>
      </c>
      <c r="B231" t="str">
        <f t="shared" si="7"/>
        <v/>
      </c>
      <c r="C231" t="str">
        <f>IF(D231="","",IF(COUNTIF($D$2:D231,D231)&gt;1,"",SUMIFS(tbl_input[필요수량],tbl_input[집계키_청],D231)))</f>
        <v/>
      </c>
      <c r="D231" t="str">
        <f>IFERROR(INDEX(tbl_input[집계키_청],ROW()-1),"")</f>
        <v/>
      </c>
    </row>
    <row r="232" spans="1:4" x14ac:dyDescent="0.4">
      <c r="A232" t="str">
        <f t="shared" si="6"/>
        <v/>
      </c>
      <c r="B232" t="str">
        <f t="shared" si="7"/>
        <v/>
      </c>
      <c r="C232" t="str">
        <f>IF(D232="","",IF(COUNTIF($D$2:D232,D232)&gt;1,"",SUMIFS(tbl_input[필요수량],tbl_input[집계키_청],D232)))</f>
        <v/>
      </c>
      <c r="D232" t="str">
        <f>IFERROR(INDEX(tbl_input[집계키_청],ROW()-1),"")</f>
        <v/>
      </c>
    </row>
    <row r="233" spans="1:4" x14ac:dyDescent="0.4">
      <c r="A233" t="str">
        <f t="shared" si="6"/>
        <v/>
      </c>
      <c r="B233" t="str">
        <f t="shared" si="7"/>
        <v/>
      </c>
      <c r="C233" t="str">
        <f>IF(D233="","",IF(COUNTIF($D$2:D233,D233)&gt;1,"",SUMIFS(tbl_input[필요수량],tbl_input[집계키_청],D233)))</f>
        <v/>
      </c>
      <c r="D233" t="str">
        <f>IFERROR(INDEX(tbl_input[집계키_청],ROW()-1),"")</f>
        <v/>
      </c>
    </row>
    <row r="234" spans="1:4" x14ac:dyDescent="0.4">
      <c r="A234" t="str">
        <f t="shared" si="6"/>
        <v/>
      </c>
      <c r="B234" t="str">
        <f t="shared" si="7"/>
        <v/>
      </c>
      <c r="C234" t="str">
        <f>IF(D234="","",IF(COUNTIF($D$2:D234,D234)&gt;1,"",SUMIFS(tbl_input[필요수량],tbl_input[집계키_청],D234)))</f>
        <v/>
      </c>
      <c r="D234" t="str">
        <f>IFERROR(INDEX(tbl_input[집계키_청],ROW()-1),"")</f>
        <v/>
      </c>
    </row>
    <row r="235" spans="1:4" x14ac:dyDescent="0.4">
      <c r="A235" t="str">
        <f t="shared" si="6"/>
        <v/>
      </c>
      <c r="B235" t="str">
        <f t="shared" si="7"/>
        <v/>
      </c>
      <c r="C235" t="str">
        <f>IF(D235="","",IF(COUNTIF($D$2:D235,D235)&gt;1,"",SUMIFS(tbl_input[필요수량],tbl_input[집계키_청],D235)))</f>
        <v/>
      </c>
      <c r="D235" t="str">
        <f>IFERROR(INDEX(tbl_input[집계키_청],ROW()-1),"")</f>
        <v/>
      </c>
    </row>
    <row r="236" spans="1:4" x14ac:dyDescent="0.4">
      <c r="A236" t="str">
        <f t="shared" si="6"/>
        <v/>
      </c>
      <c r="B236" t="str">
        <f t="shared" si="7"/>
        <v/>
      </c>
      <c r="C236" t="str">
        <f>IF(D236="","",IF(COUNTIF($D$2:D236,D236)&gt;1,"",SUMIFS(tbl_input[필요수량],tbl_input[집계키_청],D236)))</f>
        <v/>
      </c>
      <c r="D236" t="str">
        <f>IFERROR(INDEX(tbl_input[집계키_청],ROW()-1),"")</f>
        <v/>
      </c>
    </row>
    <row r="237" spans="1:4" x14ac:dyDescent="0.4">
      <c r="A237" t="str">
        <f t="shared" si="6"/>
        <v/>
      </c>
      <c r="B237" t="str">
        <f t="shared" si="7"/>
        <v/>
      </c>
      <c r="C237" t="str">
        <f>IF(D237="","",IF(COUNTIF($D$2:D237,D237)&gt;1,"",SUMIFS(tbl_input[필요수량],tbl_input[집계키_청],D237)))</f>
        <v/>
      </c>
      <c r="D237" t="str">
        <f>IFERROR(INDEX(tbl_input[집계키_청],ROW()-1),"")</f>
        <v/>
      </c>
    </row>
    <row r="238" spans="1:4" x14ac:dyDescent="0.4">
      <c r="A238" t="str">
        <f t="shared" si="6"/>
        <v/>
      </c>
      <c r="B238" t="str">
        <f t="shared" si="7"/>
        <v/>
      </c>
      <c r="C238" t="str">
        <f>IF(D238="","",IF(COUNTIF($D$2:D238,D238)&gt;1,"",SUMIFS(tbl_input[필요수량],tbl_input[집계키_청],D238)))</f>
        <v/>
      </c>
      <c r="D238" t="str">
        <f>IFERROR(INDEX(tbl_input[집계키_청],ROW()-1),"")</f>
        <v/>
      </c>
    </row>
    <row r="239" spans="1:4" x14ac:dyDescent="0.4">
      <c r="A239" t="str">
        <f t="shared" si="6"/>
        <v/>
      </c>
      <c r="B239" t="str">
        <f t="shared" si="7"/>
        <v/>
      </c>
      <c r="C239" t="str">
        <f>IF(D239="","",IF(COUNTIF($D$2:D239,D239)&gt;1,"",SUMIFS(tbl_input[필요수량],tbl_input[집계키_청],D239)))</f>
        <v/>
      </c>
      <c r="D239" t="str">
        <f>IFERROR(INDEX(tbl_input[집계키_청],ROW()-1),"")</f>
        <v/>
      </c>
    </row>
    <row r="240" spans="1:4" x14ac:dyDescent="0.4">
      <c r="A240" t="str">
        <f t="shared" si="6"/>
        <v/>
      </c>
      <c r="B240" t="str">
        <f t="shared" si="7"/>
        <v/>
      </c>
      <c r="C240" t="str">
        <f>IF(D240="","",IF(COUNTIF($D$2:D240,D240)&gt;1,"",SUMIFS(tbl_input[필요수량],tbl_input[집계키_청],D240)))</f>
        <v/>
      </c>
      <c r="D240" t="str">
        <f>IFERROR(INDEX(tbl_input[집계키_청],ROW()-1),"")</f>
        <v/>
      </c>
    </row>
    <row r="241" spans="1:4" x14ac:dyDescent="0.4">
      <c r="A241" t="str">
        <f t="shared" si="6"/>
        <v/>
      </c>
      <c r="B241" t="str">
        <f t="shared" si="7"/>
        <v/>
      </c>
      <c r="C241" t="str">
        <f>IF(D241="","",IF(COUNTIF($D$2:D241,D241)&gt;1,"",SUMIFS(tbl_input[필요수량],tbl_input[집계키_청],D241)))</f>
        <v/>
      </c>
      <c r="D241" t="str">
        <f>IFERROR(INDEX(tbl_input[집계키_청],ROW()-1),"")</f>
        <v/>
      </c>
    </row>
    <row r="242" spans="1:4" x14ac:dyDescent="0.4">
      <c r="A242" t="str">
        <f t="shared" si="6"/>
        <v/>
      </c>
      <c r="B242" t="str">
        <f t="shared" si="7"/>
        <v/>
      </c>
      <c r="C242" t="str">
        <f>IF(D242="","",IF(COUNTIF($D$2:D242,D242)&gt;1,"",SUMIFS(tbl_input[필요수량],tbl_input[집계키_청],D242)))</f>
        <v/>
      </c>
      <c r="D242" t="str">
        <f>IFERROR(INDEX(tbl_input[집계키_청],ROW()-1),"")</f>
        <v/>
      </c>
    </row>
    <row r="243" spans="1:4" x14ac:dyDescent="0.4">
      <c r="A243" t="str">
        <f t="shared" si="6"/>
        <v/>
      </c>
      <c r="B243" t="str">
        <f t="shared" si="7"/>
        <v/>
      </c>
      <c r="C243" t="str">
        <f>IF(D243="","",IF(COUNTIF($D$2:D243,D243)&gt;1,"",SUMIFS(tbl_input[필요수량],tbl_input[집계키_청],D243)))</f>
        <v/>
      </c>
      <c r="D243" t="str">
        <f>IFERROR(INDEX(tbl_input[집계키_청],ROW()-1),"")</f>
        <v/>
      </c>
    </row>
    <row r="244" spans="1:4" x14ac:dyDescent="0.4">
      <c r="A244" t="str">
        <f t="shared" si="6"/>
        <v/>
      </c>
      <c r="B244" t="str">
        <f t="shared" si="7"/>
        <v/>
      </c>
      <c r="C244" t="str">
        <f>IF(D244="","",IF(COUNTIF($D$2:D244,D244)&gt;1,"",SUMIFS(tbl_input[필요수량],tbl_input[집계키_청],D244)))</f>
        <v/>
      </c>
      <c r="D244" t="str">
        <f>IFERROR(INDEX(tbl_input[집계키_청],ROW()-1),"")</f>
        <v/>
      </c>
    </row>
    <row r="245" spans="1:4" x14ac:dyDescent="0.4">
      <c r="A245" t="str">
        <f t="shared" si="6"/>
        <v/>
      </c>
      <c r="B245" t="str">
        <f t="shared" si="7"/>
        <v/>
      </c>
      <c r="C245" t="str">
        <f>IF(D245="","",IF(COUNTIF($D$2:D245,D245)&gt;1,"",SUMIFS(tbl_input[필요수량],tbl_input[집계키_청],D245)))</f>
        <v/>
      </c>
      <c r="D245" t="str">
        <f>IFERROR(INDEX(tbl_input[집계키_청],ROW()-1),"")</f>
        <v/>
      </c>
    </row>
    <row r="246" spans="1:4" x14ac:dyDescent="0.4">
      <c r="A246" t="str">
        <f t="shared" si="6"/>
        <v/>
      </c>
      <c r="B246" t="str">
        <f t="shared" si="7"/>
        <v/>
      </c>
      <c r="C246" t="str">
        <f>IF(D246="","",IF(COUNTIF($D$2:D246,D246)&gt;1,"",SUMIFS(tbl_input[필요수량],tbl_input[집계키_청],D246)))</f>
        <v/>
      </c>
      <c r="D246" t="str">
        <f>IFERROR(INDEX(tbl_input[집계키_청],ROW()-1),"")</f>
        <v/>
      </c>
    </row>
    <row r="247" spans="1:4" x14ac:dyDescent="0.4">
      <c r="A247" t="str">
        <f t="shared" si="6"/>
        <v/>
      </c>
      <c r="B247" t="str">
        <f t="shared" si="7"/>
        <v/>
      </c>
      <c r="C247" t="str">
        <f>IF(D247="","",IF(COUNTIF($D$2:D247,D247)&gt;1,"",SUMIFS(tbl_input[필요수량],tbl_input[집계키_청],D247)))</f>
        <v/>
      </c>
      <c r="D247" t="str">
        <f>IFERROR(INDEX(tbl_input[집계키_청],ROW()-1),"")</f>
        <v/>
      </c>
    </row>
    <row r="248" spans="1:4" x14ac:dyDescent="0.4">
      <c r="A248" t="str">
        <f t="shared" si="6"/>
        <v/>
      </c>
      <c r="B248" t="str">
        <f t="shared" si="7"/>
        <v/>
      </c>
      <c r="C248" t="str">
        <f>IF(D248="","",IF(COUNTIF($D$2:D248,D248)&gt;1,"",SUMIFS(tbl_input[필요수량],tbl_input[집계키_청],D248)))</f>
        <v/>
      </c>
      <c r="D248" t="str">
        <f>IFERROR(INDEX(tbl_input[집계키_청],ROW()-1),"")</f>
        <v/>
      </c>
    </row>
    <row r="249" spans="1:4" x14ac:dyDescent="0.4">
      <c r="A249" t="str">
        <f t="shared" si="6"/>
        <v/>
      </c>
      <c r="B249" t="str">
        <f t="shared" si="7"/>
        <v/>
      </c>
      <c r="C249" t="str">
        <f>IF(D249="","",IF(COUNTIF($D$2:D249,D249)&gt;1,"",SUMIFS(tbl_input[필요수량],tbl_input[집계키_청],D249)))</f>
        <v/>
      </c>
      <c r="D249" t="str">
        <f>IFERROR(INDEX(tbl_input[집계키_청],ROW()-1),"")</f>
        <v/>
      </c>
    </row>
    <row r="250" spans="1:4" x14ac:dyDescent="0.4">
      <c r="A250" t="str">
        <f t="shared" si="6"/>
        <v/>
      </c>
      <c r="B250" t="str">
        <f t="shared" si="7"/>
        <v/>
      </c>
      <c r="C250" t="str">
        <f>IF(D250="","",IF(COUNTIF($D$2:D250,D250)&gt;1,"",SUMIFS(tbl_input[필요수량],tbl_input[집계키_청],D250)))</f>
        <v/>
      </c>
      <c r="D250" t="str">
        <f>IFERROR(INDEX(tbl_input[집계키_청],ROW()-1),"")</f>
        <v/>
      </c>
    </row>
    <row r="251" spans="1:4" x14ac:dyDescent="0.4">
      <c r="A251" t="str">
        <f t="shared" si="6"/>
        <v/>
      </c>
      <c r="B251" t="str">
        <f t="shared" si="7"/>
        <v/>
      </c>
      <c r="C251" t="str">
        <f>IF(D251="","",IF(COUNTIF($D$2:D251,D251)&gt;1,"",SUMIFS(tbl_input[필요수량],tbl_input[집계키_청],D251)))</f>
        <v/>
      </c>
      <c r="D251" t="str">
        <f>IFERROR(INDEX(tbl_input[집계키_청],ROW()-1),"")</f>
        <v/>
      </c>
    </row>
    <row r="252" spans="1:4" x14ac:dyDescent="0.4">
      <c r="A252" t="str">
        <f t="shared" si="6"/>
        <v/>
      </c>
      <c r="B252" t="str">
        <f t="shared" si="7"/>
        <v/>
      </c>
      <c r="C252" t="str">
        <f>IF(D252="","",IF(COUNTIF($D$2:D252,D252)&gt;1,"",SUMIFS(tbl_input[필요수량],tbl_input[집계키_청],D252)))</f>
        <v/>
      </c>
      <c r="D252" t="str">
        <f>IFERROR(INDEX(tbl_input[집계키_청],ROW()-1),"")</f>
        <v/>
      </c>
    </row>
    <row r="253" spans="1:4" x14ac:dyDescent="0.4">
      <c r="A253" t="str">
        <f t="shared" si="6"/>
        <v/>
      </c>
      <c r="B253" t="str">
        <f t="shared" si="7"/>
        <v/>
      </c>
      <c r="C253" t="str">
        <f>IF(D253="","",IF(COUNTIF($D$2:D253,D253)&gt;1,"",SUMIFS(tbl_input[필요수량],tbl_input[집계키_청],D253)))</f>
        <v/>
      </c>
      <c r="D253" t="str">
        <f>IFERROR(INDEX(tbl_input[집계키_청],ROW()-1),"")</f>
        <v/>
      </c>
    </row>
    <row r="254" spans="1:4" x14ac:dyDescent="0.4">
      <c r="A254" t="str">
        <f t="shared" si="6"/>
        <v/>
      </c>
      <c r="B254" t="str">
        <f t="shared" si="7"/>
        <v/>
      </c>
      <c r="C254" t="str">
        <f>IF(D254="","",IF(COUNTIF($D$2:D254,D254)&gt;1,"",SUMIFS(tbl_input[필요수량],tbl_input[집계키_청],D254)))</f>
        <v/>
      </c>
      <c r="D254" t="str">
        <f>IFERROR(INDEX(tbl_input[집계키_청],ROW()-1),"")</f>
        <v/>
      </c>
    </row>
    <row r="255" spans="1:4" x14ac:dyDescent="0.4">
      <c r="A255" t="str">
        <f t="shared" si="6"/>
        <v/>
      </c>
      <c r="B255" t="str">
        <f t="shared" si="7"/>
        <v/>
      </c>
      <c r="C255" t="str">
        <f>IF(D255="","",IF(COUNTIF($D$2:D255,D255)&gt;1,"",SUMIFS(tbl_input[필요수량],tbl_input[집계키_청],D255)))</f>
        <v/>
      </c>
      <c r="D255" t="str">
        <f>IFERROR(INDEX(tbl_input[집계키_청],ROW()-1),"")</f>
        <v/>
      </c>
    </row>
    <row r="256" spans="1:4" x14ac:dyDescent="0.4">
      <c r="A256" t="str">
        <f t="shared" si="6"/>
        <v/>
      </c>
      <c r="B256" t="str">
        <f t="shared" si="7"/>
        <v/>
      </c>
      <c r="C256" t="str">
        <f>IF(D256="","",IF(COUNTIF($D$2:D256,D256)&gt;1,"",SUMIFS(tbl_input[필요수량],tbl_input[집계키_청],D256)))</f>
        <v/>
      </c>
      <c r="D256" t="str">
        <f>IFERROR(INDEX(tbl_input[집계키_청],ROW()-1),"")</f>
        <v/>
      </c>
    </row>
    <row r="257" spans="1:4" x14ac:dyDescent="0.4">
      <c r="A257" t="str">
        <f t="shared" si="6"/>
        <v/>
      </c>
      <c r="B257" t="str">
        <f t="shared" si="7"/>
        <v/>
      </c>
      <c r="C257" t="str">
        <f>IF(D257="","",IF(COUNTIF($D$2:D257,D257)&gt;1,"",SUMIFS(tbl_input[필요수량],tbl_input[집계키_청],D257)))</f>
        <v/>
      </c>
      <c r="D257" t="str">
        <f>IFERROR(INDEX(tbl_input[집계키_청],ROW()-1),"")</f>
        <v/>
      </c>
    </row>
    <row r="258" spans="1:4" x14ac:dyDescent="0.4">
      <c r="A258" t="str">
        <f t="shared" ref="A258:A321" si="8">IF(D258="","",LEFT(D258,FIND("♦",D258)-1))</f>
        <v/>
      </c>
      <c r="B258" t="str">
        <f t="shared" ref="B258:B321" si="9">IF(D258="","",MID(D258,FIND("♦",D258)+1,999))</f>
        <v/>
      </c>
      <c r="C258" t="str">
        <f>IF(D258="","",IF(COUNTIF($D$2:D258,D258)&gt;1,"",SUMIFS(tbl_input[필요수량],tbl_input[집계키_청],D258)))</f>
        <v/>
      </c>
      <c r="D258" t="str">
        <f>IFERROR(INDEX(tbl_input[집계키_청],ROW()-1),"")</f>
        <v/>
      </c>
    </row>
    <row r="259" spans="1:4" x14ac:dyDescent="0.4">
      <c r="A259" t="str">
        <f t="shared" si="8"/>
        <v/>
      </c>
      <c r="B259" t="str">
        <f t="shared" si="9"/>
        <v/>
      </c>
      <c r="C259" t="str">
        <f>IF(D259="","",IF(COUNTIF($D$2:D259,D259)&gt;1,"",SUMIFS(tbl_input[필요수량],tbl_input[집계키_청],D259)))</f>
        <v/>
      </c>
      <c r="D259" t="str">
        <f>IFERROR(INDEX(tbl_input[집계키_청],ROW()-1),"")</f>
        <v/>
      </c>
    </row>
    <row r="260" spans="1:4" x14ac:dyDescent="0.4">
      <c r="A260" t="str">
        <f t="shared" si="8"/>
        <v/>
      </c>
      <c r="B260" t="str">
        <f t="shared" si="9"/>
        <v/>
      </c>
      <c r="C260" t="str">
        <f>IF(D260="","",IF(COUNTIF($D$2:D260,D260)&gt;1,"",SUMIFS(tbl_input[필요수량],tbl_input[집계키_청],D260)))</f>
        <v/>
      </c>
      <c r="D260" t="str">
        <f>IFERROR(INDEX(tbl_input[집계키_청],ROW()-1),"")</f>
        <v/>
      </c>
    </row>
    <row r="261" spans="1:4" x14ac:dyDescent="0.4">
      <c r="A261" t="str">
        <f t="shared" si="8"/>
        <v/>
      </c>
      <c r="B261" t="str">
        <f t="shared" si="9"/>
        <v/>
      </c>
      <c r="C261" t="str">
        <f>IF(D261="","",IF(COUNTIF($D$2:D261,D261)&gt;1,"",SUMIFS(tbl_input[필요수량],tbl_input[집계키_청],D261)))</f>
        <v/>
      </c>
      <c r="D261" t="str">
        <f>IFERROR(INDEX(tbl_input[집계키_청],ROW()-1),"")</f>
        <v/>
      </c>
    </row>
    <row r="262" spans="1:4" x14ac:dyDescent="0.4">
      <c r="A262" t="str">
        <f t="shared" si="8"/>
        <v/>
      </c>
      <c r="B262" t="str">
        <f t="shared" si="9"/>
        <v/>
      </c>
      <c r="C262" t="str">
        <f>IF(D262="","",IF(COUNTIF($D$2:D262,D262)&gt;1,"",SUMIFS(tbl_input[필요수량],tbl_input[집계키_청],D262)))</f>
        <v/>
      </c>
      <c r="D262" t="str">
        <f>IFERROR(INDEX(tbl_input[집계키_청],ROW()-1),"")</f>
        <v/>
      </c>
    </row>
    <row r="263" spans="1:4" x14ac:dyDescent="0.4">
      <c r="A263" t="str">
        <f t="shared" si="8"/>
        <v/>
      </c>
      <c r="B263" t="str">
        <f t="shared" si="9"/>
        <v/>
      </c>
      <c r="C263" t="str">
        <f>IF(D263="","",IF(COUNTIF($D$2:D263,D263)&gt;1,"",SUMIFS(tbl_input[필요수량],tbl_input[집계키_청],D263)))</f>
        <v/>
      </c>
      <c r="D263" t="str">
        <f>IFERROR(INDEX(tbl_input[집계키_청],ROW()-1),"")</f>
        <v/>
      </c>
    </row>
    <row r="264" spans="1:4" x14ac:dyDescent="0.4">
      <c r="A264" t="str">
        <f t="shared" si="8"/>
        <v/>
      </c>
      <c r="B264" t="str">
        <f t="shared" si="9"/>
        <v/>
      </c>
      <c r="C264" t="str">
        <f>IF(D264="","",IF(COUNTIF($D$2:D264,D264)&gt;1,"",SUMIFS(tbl_input[필요수량],tbl_input[집계키_청],D264)))</f>
        <v/>
      </c>
      <c r="D264" t="str">
        <f>IFERROR(INDEX(tbl_input[집계키_청],ROW()-1),"")</f>
        <v/>
      </c>
    </row>
    <row r="265" spans="1:4" x14ac:dyDescent="0.4">
      <c r="A265" t="str">
        <f t="shared" si="8"/>
        <v/>
      </c>
      <c r="B265" t="str">
        <f t="shared" si="9"/>
        <v/>
      </c>
      <c r="C265" t="str">
        <f>IF(D265="","",IF(COUNTIF($D$2:D265,D265)&gt;1,"",SUMIFS(tbl_input[필요수량],tbl_input[집계키_청],D265)))</f>
        <v/>
      </c>
      <c r="D265" t="str">
        <f>IFERROR(INDEX(tbl_input[집계키_청],ROW()-1),"")</f>
        <v/>
      </c>
    </row>
    <row r="266" spans="1:4" x14ac:dyDescent="0.4">
      <c r="A266" t="str">
        <f t="shared" si="8"/>
        <v/>
      </c>
      <c r="B266" t="str">
        <f t="shared" si="9"/>
        <v/>
      </c>
      <c r="C266" t="str">
        <f>IF(D266="","",IF(COUNTIF($D$2:D266,D266)&gt;1,"",SUMIFS(tbl_input[필요수량],tbl_input[집계키_청],D266)))</f>
        <v/>
      </c>
      <c r="D266" t="str">
        <f>IFERROR(INDEX(tbl_input[집계키_청],ROW()-1),"")</f>
        <v/>
      </c>
    </row>
    <row r="267" spans="1:4" x14ac:dyDescent="0.4">
      <c r="A267" t="str">
        <f t="shared" si="8"/>
        <v/>
      </c>
      <c r="B267" t="str">
        <f t="shared" si="9"/>
        <v/>
      </c>
      <c r="C267" t="str">
        <f>IF(D267="","",IF(COUNTIF($D$2:D267,D267)&gt;1,"",SUMIFS(tbl_input[필요수량],tbl_input[집계키_청],D267)))</f>
        <v/>
      </c>
      <c r="D267" t="str">
        <f>IFERROR(INDEX(tbl_input[집계키_청],ROW()-1),"")</f>
        <v/>
      </c>
    </row>
    <row r="268" spans="1:4" x14ac:dyDescent="0.4">
      <c r="A268" t="str">
        <f t="shared" si="8"/>
        <v/>
      </c>
      <c r="B268" t="str">
        <f t="shared" si="9"/>
        <v/>
      </c>
      <c r="C268" t="str">
        <f>IF(D268="","",IF(COUNTIF($D$2:D268,D268)&gt;1,"",SUMIFS(tbl_input[필요수량],tbl_input[집계키_청],D268)))</f>
        <v/>
      </c>
      <c r="D268" t="str">
        <f>IFERROR(INDEX(tbl_input[집계키_청],ROW()-1),"")</f>
        <v/>
      </c>
    </row>
    <row r="269" spans="1:4" x14ac:dyDescent="0.4">
      <c r="A269" t="str">
        <f t="shared" si="8"/>
        <v/>
      </c>
      <c r="B269" t="str">
        <f t="shared" si="9"/>
        <v/>
      </c>
      <c r="C269" t="str">
        <f>IF(D269="","",IF(COUNTIF($D$2:D269,D269)&gt;1,"",SUMIFS(tbl_input[필요수량],tbl_input[집계키_청],D269)))</f>
        <v/>
      </c>
      <c r="D269" t="str">
        <f>IFERROR(INDEX(tbl_input[집계키_청],ROW()-1),"")</f>
        <v/>
      </c>
    </row>
    <row r="270" spans="1:4" x14ac:dyDescent="0.4">
      <c r="A270" t="str">
        <f t="shared" si="8"/>
        <v/>
      </c>
      <c r="B270" t="str">
        <f t="shared" si="9"/>
        <v/>
      </c>
      <c r="C270" t="str">
        <f>IF(D270="","",IF(COUNTIF($D$2:D270,D270)&gt;1,"",SUMIFS(tbl_input[필요수량],tbl_input[집계키_청],D270)))</f>
        <v/>
      </c>
      <c r="D270" t="str">
        <f>IFERROR(INDEX(tbl_input[집계키_청],ROW()-1),"")</f>
        <v/>
      </c>
    </row>
    <row r="271" spans="1:4" x14ac:dyDescent="0.4">
      <c r="A271" t="str">
        <f t="shared" si="8"/>
        <v/>
      </c>
      <c r="B271" t="str">
        <f t="shared" si="9"/>
        <v/>
      </c>
      <c r="C271" t="str">
        <f>IF(D271="","",IF(COUNTIF($D$2:D271,D271)&gt;1,"",SUMIFS(tbl_input[필요수량],tbl_input[집계키_청],D271)))</f>
        <v/>
      </c>
      <c r="D271" t="str">
        <f>IFERROR(INDEX(tbl_input[집계키_청],ROW()-1),"")</f>
        <v/>
      </c>
    </row>
    <row r="272" spans="1:4" x14ac:dyDescent="0.4">
      <c r="A272" t="str">
        <f t="shared" si="8"/>
        <v/>
      </c>
      <c r="B272" t="str">
        <f t="shared" si="9"/>
        <v/>
      </c>
      <c r="C272" t="str">
        <f>IF(D272="","",IF(COUNTIF($D$2:D272,D272)&gt;1,"",SUMIFS(tbl_input[필요수량],tbl_input[집계키_청],D272)))</f>
        <v/>
      </c>
      <c r="D272" t="str">
        <f>IFERROR(INDEX(tbl_input[집계키_청],ROW()-1),"")</f>
        <v/>
      </c>
    </row>
    <row r="273" spans="1:4" x14ac:dyDescent="0.4">
      <c r="A273" t="str">
        <f t="shared" si="8"/>
        <v/>
      </c>
      <c r="B273" t="str">
        <f t="shared" si="9"/>
        <v/>
      </c>
      <c r="C273" t="str">
        <f>IF(D273="","",IF(COUNTIF($D$2:D273,D273)&gt;1,"",SUMIFS(tbl_input[필요수량],tbl_input[집계키_청],D273)))</f>
        <v/>
      </c>
      <c r="D273" t="str">
        <f>IFERROR(INDEX(tbl_input[집계키_청],ROW()-1),"")</f>
        <v/>
      </c>
    </row>
    <row r="274" spans="1:4" x14ac:dyDescent="0.4">
      <c r="A274" t="str">
        <f t="shared" si="8"/>
        <v/>
      </c>
      <c r="B274" t="str">
        <f t="shared" si="9"/>
        <v/>
      </c>
      <c r="C274" t="str">
        <f>IF(D274="","",IF(COUNTIF($D$2:D274,D274)&gt;1,"",SUMIFS(tbl_input[필요수량],tbl_input[집계키_청],D274)))</f>
        <v/>
      </c>
      <c r="D274" t="str">
        <f>IFERROR(INDEX(tbl_input[집계키_청],ROW()-1),"")</f>
        <v/>
      </c>
    </row>
    <row r="275" spans="1:4" x14ac:dyDescent="0.4">
      <c r="A275" t="str">
        <f t="shared" si="8"/>
        <v/>
      </c>
      <c r="B275" t="str">
        <f t="shared" si="9"/>
        <v/>
      </c>
      <c r="C275" t="str">
        <f>IF(D275="","",IF(COUNTIF($D$2:D275,D275)&gt;1,"",SUMIFS(tbl_input[필요수량],tbl_input[집계키_청],D275)))</f>
        <v/>
      </c>
      <c r="D275" t="str">
        <f>IFERROR(INDEX(tbl_input[집계키_청],ROW()-1),"")</f>
        <v/>
      </c>
    </row>
    <row r="276" spans="1:4" x14ac:dyDescent="0.4">
      <c r="A276" t="str">
        <f t="shared" si="8"/>
        <v/>
      </c>
      <c r="B276" t="str">
        <f t="shared" si="9"/>
        <v/>
      </c>
      <c r="C276" t="str">
        <f>IF(D276="","",IF(COUNTIF($D$2:D276,D276)&gt;1,"",SUMIFS(tbl_input[필요수량],tbl_input[집계키_청],D276)))</f>
        <v/>
      </c>
      <c r="D276" t="str">
        <f>IFERROR(INDEX(tbl_input[집계키_청],ROW()-1),"")</f>
        <v/>
      </c>
    </row>
    <row r="277" spans="1:4" x14ac:dyDescent="0.4">
      <c r="A277" t="str">
        <f t="shared" si="8"/>
        <v/>
      </c>
      <c r="B277" t="str">
        <f t="shared" si="9"/>
        <v/>
      </c>
      <c r="C277" t="str">
        <f>IF(D277="","",IF(COUNTIF($D$2:D277,D277)&gt;1,"",SUMIFS(tbl_input[필요수량],tbl_input[집계키_청],D277)))</f>
        <v/>
      </c>
      <c r="D277" t="str">
        <f>IFERROR(INDEX(tbl_input[집계키_청],ROW()-1),"")</f>
        <v/>
      </c>
    </row>
    <row r="278" spans="1:4" x14ac:dyDescent="0.4">
      <c r="A278" t="str">
        <f t="shared" si="8"/>
        <v/>
      </c>
      <c r="B278" t="str">
        <f t="shared" si="9"/>
        <v/>
      </c>
      <c r="C278" t="str">
        <f>IF(D278="","",IF(COUNTIF($D$2:D278,D278)&gt;1,"",SUMIFS(tbl_input[필요수량],tbl_input[집계키_청],D278)))</f>
        <v/>
      </c>
      <c r="D278" t="str">
        <f>IFERROR(INDEX(tbl_input[집계키_청],ROW()-1),"")</f>
        <v/>
      </c>
    </row>
    <row r="279" spans="1:4" x14ac:dyDescent="0.4">
      <c r="A279" t="str">
        <f t="shared" si="8"/>
        <v/>
      </c>
      <c r="B279" t="str">
        <f t="shared" si="9"/>
        <v/>
      </c>
      <c r="C279" t="str">
        <f>IF(D279="","",IF(COUNTIF($D$2:D279,D279)&gt;1,"",SUMIFS(tbl_input[필요수량],tbl_input[집계키_청],D279)))</f>
        <v/>
      </c>
      <c r="D279" t="str">
        <f>IFERROR(INDEX(tbl_input[집계키_청],ROW()-1),"")</f>
        <v/>
      </c>
    </row>
    <row r="280" spans="1:4" x14ac:dyDescent="0.4">
      <c r="A280" t="str">
        <f t="shared" si="8"/>
        <v/>
      </c>
      <c r="B280" t="str">
        <f t="shared" si="9"/>
        <v/>
      </c>
      <c r="C280" t="str">
        <f>IF(D280="","",IF(COUNTIF($D$2:D280,D280)&gt;1,"",SUMIFS(tbl_input[필요수량],tbl_input[집계키_청],D280)))</f>
        <v/>
      </c>
      <c r="D280" t="str">
        <f>IFERROR(INDEX(tbl_input[집계키_청],ROW()-1),"")</f>
        <v/>
      </c>
    </row>
    <row r="281" spans="1:4" x14ac:dyDescent="0.4">
      <c r="A281" t="str">
        <f t="shared" si="8"/>
        <v/>
      </c>
      <c r="B281" t="str">
        <f t="shared" si="9"/>
        <v/>
      </c>
      <c r="C281" t="str">
        <f>IF(D281="","",IF(COUNTIF($D$2:D281,D281)&gt;1,"",SUMIFS(tbl_input[필요수량],tbl_input[집계키_청],D281)))</f>
        <v/>
      </c>
      <c r="D281" t="str">
        <f>IFERROR(INDEX(tbl_input[집계키_청],ROW()-1),"")</f>
        <v/>
      </c>
    </row>
    <row r="282" spans="1:4" x14ac:dyDescent="0.4">
      <c r="A282" t="str">
        <f t="shared" si="8"/>
        <v/>
      </c>
      <c r="B282" t="str">
        <f t="shared" si="9"/>
        <v/>
      </c>
      <c r="C282" t="str">
        <f>IF(D282="","",IF(COUNTIF($D$2:D282,D282)&gt;1,"",SUMIFS(tbl_input[필요수량],tbl_input[집계키_청],D282)))</f>
        <v/>
      </c>
      <c r="D282" t="str">
        <f>IFERROR(INDEX(tbl_input[집계키_청],ROW()-1),"")</f>
        <v/>
      </c>
    </row>
    <row r="283" spans="1:4" x14ac:dyDescent="0.4">
      <c r="A283" t="str">
        <f t="shared" si="8"/>
        <v/>
      </c>
      <c r="B283" t="str">
        <f t="shared" si="9"/>
        <v/>
      </c>
      <c r="C283" t="str">
        <f>IF(D283="","",IF(COUNTIF($D$2:D283,D283)&gt;1,"",SUMIFS(tbl_input[필요수량],tbl_input[집계키_청],D283)))</f>
        <v/>
      </c>
      <c r="D283" t="str">
        <f>IFERROR(INDEX(tbl_input[집계키_청],ROW()-1),"")</f>
        <v/>
      </c>
    </row>
    <row r="284" spans="1:4" x14ac:dyDescent="0.4">
      <c r="A284" t="str">
        <f t="shared" si="8"/>
        <v/>
      </c>
      <c r="B284" t="str">
        <f t="shared" si="9"/>
        <v/>
      </c>
      <c r="C284" t="str">
        <f>IF(D284="","",IF(COUNTIF($D$2:D284,D284)&gt;1,"",SUMIFS(tbl_input[필요수량],tbl_input[집계키_청],D284)))</f>
        <v/>
      </c>
      <c r="D284" t="str">
        <f>IFERROR(INDEX(tbl_input[집계키_청],ROW()-1),"")</f>
        <v/>
      </c>
    </row>
    <row r="285" spans="1:4" x14ac:dyDescent="0.4">
      <c r="A285" t="str">
        <f t="shared" si="8"/>
        <v/>
      </c>
      <c r="B285" t="str">
        <f t="shared" si="9"/>
        <v/>
      </c>
      <c r="C285" t="str">
        <f>IF(D285="","",IF(COUNTIF($D$2:D285,D285)&gt;1,"",SUMIFS(tbl_input[필요수량],tbl_input[집계키_청],D285)))</f>
        <v/>
      </c>
      <c r="D285" t="str">
        <f>IFERROR(INDEX(tbl_input[집계키_청],ROW()-1),"")</f>
        <v/>
      </c>
    </row>
    <row r="286" spans="1:4" x14ac:dyDescent="0.4">
      <c r="A286" t="str">
        <f t="shared" si="8"/>
        <v/>
      </c>
      <c r="B286" t="str">
        <f t="shared" si="9"/>
        <v/>
      </c>
      <c r="C286" t="str">
        <f>IF(D286="","",IF(COUNTIF($D$2:D286,D286)&gt;1,"",SUMIFS(tbl_input[필요수량],tbl_input[집계키_청],D286)))</f>
        <v/>
      </c>
      <c r="D286" t="str">
        <f>IFERROR(INDEX(tbl_input[집계키_청],ROW()-1),"")</f>
        <v/>
      </c>
    </row>
    <row r="287" spans="1:4" x14ac:dyDescent="0.4">
      <c r="A287" t="str">
        <f t="shared" si="8"/>
        <v/>
      </c>
      <c r="B287" t="str">
        <f t="shared" si="9"/>
        <v/>
      </c>
      <c r="C287" t="str">
        <f>IF(D287="","",IF(COUNTIF($D$2:D287,D287)&gt;1,"",SUMIFS(tbl_input[필요수량],tbl_input[집계키_청],D287)))</f>
        <v/>
      </c>
      <c r="D287" t="str">
        <f>IFERROR(INDEX(tbl_input[집계키_청],ROW()-1),"")</f>
        <v/>
      </c>
    </row>
    <row r="288" spans="1:4" x14ac:dyDescent="0.4">
      <c r="A288" t="str">
        <f t="shared" si="8"/>
        <v/>
      </c>
      <c r="B288" t="str">
        <f t="shared" si="9"/>
        <v/>
      </c>
      <c r="C288" t="str">
        <f>IF(D288="","",IF(COUNTIF($D$2:D288,D288)&gt;1,"",SUMIFS(tbl_input[필요수량],tbl_input[집계키_청],D288)))</f>
        <v/>
      </c>
      <c r="D288" t="str">
        <f>IFERROR(INDEX(tbl_input[집계키_청],ROW()-1),"")</f>
        <v/>
      </c>
    </row>
    <row r="289" spans="1:4" x14ac:dyDescent="0.4">
      <c r="A289" t="str">
        <f t="shared" si="8"/>
        <v/>
      </c>
      <c r="B289" t="str">
        <f t="shared" si="9"/>
        <v/>
      </c>
      <c r="C289" t="str">
        <f>IF(D289="","",IF(COUNTIF($D$2:D289,D289)&gt;1,"",SUMIFS(tbl_input[필요수량],tbl_input[집계키_청],D289)))</f>
        <v/>
      </c>
      <c r="D289" t="str">
        <f>IFERROR(INDEX(tbl_input[집계키_청],ROW()-1),"")</f>
        <v/>
      </c>
    </row>
    <row r="290" spans="1:4" x14ac:dyDescent="0.4">
      <c r="A290" t="str">
        <f t="shared" si="8"/>
        <v/>
      </c>
      <c r="B290" t="str">
        <f t="shared" si="9"/>
        <v/>
      </c>
      <c r="C290" t="str">
        <f>IF(D290="","",IF(COUNTIF($D$2:D290,D290)&gt;1,"",SUMIFS(tbl_input[필요수량],tbl_input[집계키_청],D290)))</f>
        <v/>
      </c>
      <c r="D290" t="str">
        <f>IFERROR(INDEX(tbl_input[집계키_청],ROW()-1),"")</f>
        <v/>
      </c>
    </row>
    <row r="291" spans="1:4" x14ac:dyDescent="0.4">
      <c r="A291" t="str">
        <f t="shared" si="8"/>
        <v/>
      </c>
      <c r="B291" t="str">
        <f t="shared" si="9"/>
        <v/>
      </c>
      <c r="C291" t="str">
        <f>IF(D291="","",IF(COUNTIF($D$2:D291,D291)&gt;1,"",SUMIFS(tbl_input[필요수량],tbl_input[집계키_청],D291)))</f>
        <v/>
      </c>
      <c r="D291" t="str">
        <f>IFERROR(INDEX(tbl_input[집계키_청],ROW()-1),"")</f>
        <v/>
      </c>
    </row>
    <row r="292" spans="1:4" x14ac:dyDescent="0.4">
      <c r="A292" t="str">
        <f t="shared" si="8"/>
        <v/>
      </c>
      <c r="B292" t="str">
        <f t="shared" si="9"/>
        <v/>
      </c>
      <c r="C292" t="str">
        <f>IF(D292="","",IF(COUNTIF($D$2:D292,D292)&gt;1,"",SUMIFS(tbl_input[필요수량],tbl_input[집계키_청],D292)))</f>
        <v/>
      </c>
      <c r="D292" t="str">
        <f>IFERROR(INDEX(tbl_input[집계키_청],ROW()-1),"")</f>
        <v/>
      </c>
    </row>
    <row r="293" spans="1:4" x14ac:dyDescent="0.4">
      <c r="A293" t="str">
        <f t="shared" si="8"/>
        <v/>
      </c>
      <c r="B293" t="str">
        <f t="shared" si="9"/>
        <v/>
      </c>
      <c r="C293" t="str">
        <f>IF(D293="","",IF(COUNTIF($D$2:D293,D293)&gt;1,"",SUMIFS(tbl_input[필요수량],tbl_input[집계키_청],D293)))</f>
        <v/>
      </c>
      <c r="D293" t="str">
        <f>IFERROR(INDEX(tbl_input[집계키_청],ROW()-1),"")</f>
        <v/>
      </c>
    </row>
    <row r="294" spans="1:4" x14ac:dyDescent="0.4">
      <c r="A294" t="str">
        <f t="shared" si="8"/>
        <v/>
      </c>
      <c r="B294" t="str">
        <f t="shared" si="9"/>
        <v/>
      </c>
      <c r="C294" t="str">
        <f>IF(D294="","",IF(COUNTIF($D$2:D294,D294)&gt;1,"",SUMIFS(tbl_input[필요수량],tbl_input[집계키_청],D294)))</f>
        <v/>
      </c>
      <c r="D294" t="str">
        <f>IFERROR(INDEX(tbl_input[집계키_청],ROW()-1),"")</f>
        <v/>
      </c>
    </row>
    <row r="295" spans="1:4" x14ac:dyDescent="0.4">
      <c r="A295" t="str">
        <f t="shared" si="8"/>
        <v/>
      </c>
      <c r="B295" t="str">
        <f t="shared" si="9"/>
        <v/>
      </c>
      <c r="C295" t="str">
        <f>IF(D295="","",IF(COUNTIF($D$2:D295,D295)&gt;1,"",SUMIFS(tbl_input[필요수량],tbl_input[집계키_청],D295)))</f>
        <v/>
      </c>
      <c r="D295" t="str">
        <f>IFERROR(INDEX(tbl_input[집계키_청],ROW()-1),"")</f>
        <v/>
      </c>
    </row>
    <row r="296" spans="1:4" x14ac:dyDescent="0.4">
      <c r="A296" t="str">
        <f t="shared" si="8"/>
        <v/>
      </c>
      <c r="B296" t="str">
        <f t="shared" si="9"/>
        <v/>
      </c>
      <c r="C296" t="str">
        <f>IF(D296="","",IF(COUNTIF($D$2:D296,D296)&gt;1,"",SUMIFS(tbl_input[필요수량],tbl_input[집계키_청],D296)))</f>
        <v/>
      </c>
      <c r="D296" t="str">
        <f>IFERROR(INDEX(tbl_input[집계키_청],ROW()-1),"")</f>
        <v/>
      </c>
    </row>
    <row r="297" spans="1:4" x14ac:dyDescent="0.4">
      <c r="A297" t="str">
        <f t="shared" si="8"/>
        <v/>
      </c>
      <c r="B297" t="str">
        <f t="shared" si="9"/>
        <v/>
      </c>
      <c r="C297" t="str">
        <f>IF(D297="","",IF(COUNTIF($D$2:D297,D297)&gt;1,"",SUMIFS(tbl_input[필요수량],tbl_input[집계키_청],D297)))</f>
        <v/>
      </c>
      <c r="D297" t="str">
        <f>IFERROR(INDEX(tbl_input[집계키_청],ROW()-1),"")</f>
        <v/>
      </c>
    </row>
    <row r="298" spans="1:4" x14ac:dyDescent="0.4">
      <c r="A298" t="str">
        <f t="shared" si="8"/>
        <v/>
      </c>
      <c r="B298" t="str">
        <f t="shared" si="9"/>
        <v/>
      </c>
      <c r="C298" t="str">
        <f>IF(D298="","",IF(COUNTIF($D$2:D298,D298)&gt;1,"",SUMIFS(tbl_input[필요수량],tbl_input[집계키_청],D298)))</f>
        <v/>
      </c>
      <c r="D298" t="str">
        <f>IFERROR(INDEX(tbl_input[집계키_청],ROW()-1),"")</f>
        <v/>
      </c>
    </row>
    <row r="299" spans="1:4" x14ac:dyDescent="0.4">
      <c r="A299" t="str">
        <f t="shared" si="8"/>
        <v/>
      </c>
      <c r="B299" t="str">
        <f t="shared" si="9"/>
        <v/>
      </c>
      <c r="C299" t="str">
        <f>IF(D299="","",IF(COUNTIF($D$2:D299,D299)&gt;1,"",SUMIFS(tbl_input[필요수량],tbl_input[집계키_청],D299)))</f>
        <v/>
      </c>
      <c r="D299" t="str">
        <f>IFERROR(INDEX(tbl_input[집계키_청],ROW()-1),"")</f>
        <v/>
      </c>
    </row>
    <row r="300" spans="1:4" x14ac:dyDescent="0.4">
      <c r="A300" t="str">
        <f t="shared" si="8"/>
        <v/>
      </c>
      <c r="B300" t="str">
        <f t="shared" si="9"/>
        <v/>
      </c>
      <c r="C300" t="str">
        <f>IF(D300="","",IF(COUNTIF($D$2:D300,D300)&gt;1,"",SUMIFS(tbl_input[필요수량],tbl_input[집계키_청],D300)))</f>
        <v/>
      </c>
      <c r="D300" t="str">
        <f>IFERROR(INDEX(tbl_input[집계키_청],ROW()-1),"")</f>
        <v/>
      </c>
    </row>
    <row r="301" spans="1:4" x14ac:dyDescent="0.4">
      <c r="A301" t="str">
        <f t="shared" si="8"/>
        <v/>
      </c>
      <c r="B301" t="str">
        <f t="shared" si="9"/>
        <v/>
      </c>
      <c r="C301" t="str">
        <f>IF(D301="","",IF(COUNTIF($D$2:D301,D301)&gt;1,"",SUMIFS(tbl_input[필요수량],tbl_input[집계키_청],D301)))</f>
        <v/>
      </c>
      <c r="D301" t="str">
        <f>IFERROR(INDEX(tbl_input[집계키_청],ROW()-1),"")</f>
        <v/>
      </c>
    </row>
    <row r="302" spans="1:4" x14ac:dyDescent="0.4">
      <c r="A302" t="str">
        <f t="shared" si="8"/>
        <v/>
      </c>
      <c r="B302" t="str">
        <f t="shared" si="9"/>
        <v/>
      </c>
      <c r="C302" t="str">
        <f>IF(D302="","",IF(COUNTIF($D$2:D302,D302)&gt;1,"",SUMIFS(tbl_input[필요수량],tbl_input[집계키_청],D302)))</f>
        <v/>
      </c>
      <c r="D302" t="str">
        <f>IFERROR(INDEX(tbl_input[집계키_청],ROW()-1),"")</f>
        <v/>
      </c>
    </row>
    <row r="303" spans="1:4" x14ac:dyDescent="0.4">
      <c r="A303" t="str">
        <f t="shared" si="8"/>
        <v/>
      </c>
      <c r="B303" t="str">
        <f t="shared" si="9"/>
        <v/>
      </c>
      <c r="C303" t="str">
        <f>IF(D303="","",IF(COUNTIF($D$2:D303,D303)&gt;1,"",SUMIFS(tbl_input[필요수량],tbl_input[집계키_청],D303)))</f>
        <v/>
      </c>
      <c r="D303" t="str">
        <f>IFERROR(INDEX(tbl_input[집계키_청],ROW()-1),"")</f>
        <v/>
      </c>
    </row>
    <row r="304" spans="1:4" x14ac:dyDescent="0.4">
      <c r="A304" t="str">
        <f t="shared" si="8"/>
        <v/>
      </c>
      <c r="B304" t="str">
        <f t="shared" si="9"/>
        <v/>
      </c>
      <c r="C304" t="str">
        <f>IF(D304="","",IF(COUNTIF($D$2:D304,D304)&gt;1,"",SUMIFS(tbl_input[필요수량],tbl_input[집계키_청],D304)))</f>
        <v/>
      </c>
      <c r="D304" t="str">
        <f>IFERROR(INDEX(tbl_input[집계키_청],ROW()-1),"")</f>
        <v/>
      </c>
    </row>
    <row r="305" spans="1:4" x14ac:dyDescent="0.4">
      <c r="A305" t="str">
        <f t="shared" si="8"/>
        <v/>
      </c>
      <c r="B305" t="str">
        <f t="shared" si="9"/>
        <v/>
      </c>
      <c r="C305" t="str">
        <f>IF(D305="","",IF(COUNTIF($D$2:D305,D305)&gt;1,"",SUMIFS(tbl_input[필요수량],tbl_input[집계키_청],D305)))</f>
        <v/>
      </c>
      <c r="D305" t="str">
        <f>IFERROR(INDEX(tbl_input[집계키_청],ROW()-1),"")</f>
        <v/>
      </c>
    </row>
    <row r="306" spans="1:4" x14ac:dyDescent="0.4">
      <c r="A306" t="str">
        <f t="shared" si="8"/>
        <v/>
      </c>
      <c r="B306" t="str">
        <f t="shared" si="9"/>
        <v/>
      </c>
      <c r="C306" t="str">
        <f>IF(D306="","",IF(COUNTIF($D$2:D306,D306)&gt;1,"",SUMIFS(tbl_input[필요수량],tbl_input[집계키_청],D306)))</f>
        <v/>
      </c>
      <c r="D306" t="str">
        <f>IFERROR(INDEX(tbl_input[집계키_청],ROW()-1),"")</f>
        <v/>
      </c>
    </row>
    <row r="307" spans="1:4" x14ac:dyDescent="0.4">
      <c r="A307" t="str">
        <f t="shared" si="8"/>
        <v/>
      </c>
      <c r="B307" t="str">
        <f t="shared" si="9"/>
        <v/>
      </c>
      <c r="C307" t="str">
        <f>IF(D307="","",IF(COUNTIF($D$2:D307,D307)&gt;1,"",SUMIFS(tbl_input[필요수량],tbl_input[집계키_청],D307)))</f>
        <v/>
      </c>
      <c r="D307" t="str">
        <f>IFERROR(INDEX(tbl_input[집계키_청],ROW()-1),"")</f>
        <v/>
      </c>
    </row>
    <row r="308" spans="1:4" x14ac:dyDescent="0.4">
      <c r="A308" t="str">
        <f t="shared" si="8"/>
        <v/>
      </c>
      <c r="B308" t="str">
        <f t="shared" si="9"/>
        <v/>
      </c>
      <c r="C308" t="str">
        <f>IF(D308="","",IF(COUNTIF($D$2:D308,D308)&gt;1,"",SUMIFS(tbl_input[필요수량],tbl_input[집계키_청],D308)))</f>
        <v/>
      </c>
      <c r="D308" t="str">
        <f>IFERROR(INDEX(tbl_input[집계키_청],ROW()-1),"")</f>
        <v/>
      </c>
    </row>
    <row r="309" spans="1:4" x14ac:dyDescent="0.4">
      <c r="A309" t="str">
        <f t="shared" si="8"/>
        <v/>
      </c>
      <c r="B309" t="str">
        <f t="shared" si="9"/>
        <v/>
      </c>
      <c r="C309" t="str">
        <f>IF(D309="","",IF(COUNTIF($D$2:D309,D309)&gt;1,"",SUMIFS(tbl_input[필요수량],tbl_input[집계키_청],D309)))</f>
        <v/>
      </c>
      <c r="D309" t="str">
        <f>IFERROR(INDEX(tbl_input[집계키_청],ROW()-1),"")</f>
        <v/>
      </c>
    </row>
    <row r="310" spans="1:4" x14ac:dyDescent="0.4">
      <c r="A310" t="str">
        <f t="shared" si="8"/>
        <v/>
      </c>
      <c r="B310" t="str">
        <f t="shared" si="9"/>
        <v/>
      </c>
      <c r="C310" t="str">
        <f>IF(D310="","",IF(COUNTIF($D$2:D310,D310)&gt;1,"",SUMIFS(tbl_input[필요수량],tbl_input[집계키_청],D310)))</f>
        <v/>
      </c>
      <c r="D310" t="str">
        <f>IFERROR(INDEX(tbl_input[집계키_청],ROW()-1),"")</f>
        <v/>
      </c>
    </row>
    <row r="311" spans="1:4" x14ac:dyDescent="0.4">
      <c r="A311" t="str">
        <f t="shared" si="8"/>
        <v/>
      </c>
      <c r="B311" t="str">
        <f t="shared" si="9"/>
        <v/>
      </c>
      <c r="C311" t="str">
        <f>IF(D311="","",IF(COUNTIF($D$2:D311,D311)&gt;1,"",SUMIFS(tbl_input[필요수량],tbl_input[집계키_청],D311)))</f>
        <v/>
      </c>
      <c r="D311" t="str">
        <f>IFERROR(INDEX(tbl_input[집계키_청],ROW()-1),"")</f>
        <v/>
      </c>
    </row>
    <row r="312" spans="1:4" x14ac:dyDescent="0.4">
      <c r="A312" t="str">
        <f t="shared" si="8"/>
        <v/>
      </c>
      <c r="B312" t="str">
        <f t="shared" si="9"/>
        <v/>
      </c>
      <c r="C312" t="str">
        <f>IF(D312="","",IF(COUNTIF($D$2:D312,D312)&gt;1,"",SUMIFS(tbl_input[필요수량],tbl_input[집계키_청],D312)))</f>
        <v/>
      </c>
      <c r="D312" t="str">
        <f>IFERROR(INDEX(tbl_input[집계키_청],ROW()-1),"")</f>
        <v/>
      </c>
    </row>
    <row r="313" spans="1:4" x14ac:dyDescent="0.4">
      <c r="A313" t="str">
        <f t="shared" si="8"/>
        <v/>
      </c>
      <c r="B313" t="str">
        <f t="shared" si="9"/>
        <v/>
      </c>
      <c r="C313" t="str">
        <f>IF(D313="","",IF(COUNTIF($D$2:D313,D313)&gt;1,"",SUMIFS(tbl_input[필요수량],tbl_input[집계키_청],D313)))</f>
        <v/>
      </c>
      <c r="D313" t="str">
        <f>IFERROR(INDEX(tbl_input[집계키_청],ROW()-1),"")</f>
        <v/>
      </c>
    </row>
    <row r="314" spans="1:4" x14ac:dyDescent="0.4">
      <c r="A314" t="str">
        <f t="shared" si="8"/>
        <v/>
      </c>
      <c r="B314" t="str">
        <f t="shared" si="9"/>
        <v/>
      </c>
      <c r="C314" t="str">
        <f>IF(D314="","",IF(COUNTIF($D$2:D314,D314)&gt;1,"",SUMIFS(tbl_input[필요수량],tbl_input[집계키_청],D314)))</f>
        <v/>
      </c>
      <c r="D314" t="str">
        <f>IFERROR(INDEX(tbl_input[집계키_청],ROW()-1),"")</f>
        <v/>
      </c>
    </row>
    <row r="315" spans="1:4" x14ac:dyDescent="0.4">
      <c r="A315" t="str">
        <f t="shared" si="8"/>
        <v/>
      </c>
      <c r="B315" t="str">
        <f t="shared" si="9"/>
        <v/>
      </c>
      <c r="C315" t="str">
        <f>IF(D315="","",IF(COUNTIF($D$2:D315,D315)&gt;1,"",SUMIFS(tbl_input[필요수량],tbl_input[집계키_청],D315)))</f>
        <v/>
      </c>
      <c r="D315" t="str">
        <f>IFERROR(INDEX(tbl_input[집계키_청],ROW()-1),"")</f>
        <v/>
      </c>
    </row>
    <row r="316" spans="1:4" x14ac:dyDescent="0.4">
      <c r="A316" t="str">
        <f t="shared" si="8"/>
        <v/>
      </c>
      <c r="B316" t="str">
        <f t="shared" si="9"/>
        <v/>
      </c>
      <c r="C316" t="str">
        <f>IF(D316="","",IF(COUNTIF($D$2:D316,D316)&gt;1,"",SUMIFS(tbl_input[필요수량],tbl_input[집계키_청],D316)))</f>
        <v/>
      </c>
      <c r="D316" t="str">
        <f>IFERROR(INDEX(tbl_input[집계키_청],ROW()-1),"")</f>
        <v/>
      </c>
    </row>
    <row r="317" spans="1:4" x14ac:dyDescent="0.4">
      <c r="A317" t="str">
        <f t="shared" si="8"/>
        <v/>
      </c>
      <c r="B317" t="str">
        <f t="shared" si="9"/>
        <v/>
      </c>
      <c r="C317" t="str">
        <f>IF(D317="","",IF(COUNTIF($D$2:D317,D317)&gt;1,"",SUMIFS(tbl_input[필요수량],tbl_input[집계키_청],D317)))</f>
        <v/>
      </c>
      <c r="D317" t="str">
        <f>IFERROR(INDEX(tbl_input[집계키_청],ROW()-1),"")</f>
        <v/>
      </c>
    </row>
    <row r="318" spans="1:4" x14ac:dyDescent="0.4">
      <c r="A318" t="str">
        <f t="shared" si="8"/>
        <v/>
      </c>
      <c r="B318" t="str">
        <f t="shared" si="9"/>
        <v/>
      </c>
      <c r="C318" t="str">
        <f>IF(D318="","",IF(COUNTIF($D$2:D318,D318)&gt;1,"",SUMIFS(tbl_input[필요수량],tbl_input[집계키_청],D318)))</f>
        <v/>
      </c>
      <c r="D318" t="str">
        <f>IFERROR(INDEX(tbl_input[집계키_청],ROW()-1),"")</f>
        <v/>
      </c>
    </row>
    <row r="319" spans="1:4" x14ac:dyDescent="0.4">
      <c r="A319" t="str">
        <f t="shared" si="8"/>
        <v/>
      </c>
      <c r="B319" t="str">
        <f t="shared" si="9"/>
        <v/>
      </c>
      <c r="C319" t="str">
        <f>IF(D319="","",IF(COUNTIF($D$2:D319,D319)&gt;1,"",SUMIFS(tbl_input[필요수량],tbl_input[집계키_청],D319)))</f>
        <v/>
      </c>
      <c r="D319" t="str">
        <f>IFERROR(INDEX(tbl_input[집계키_청],ROW()-1),"")</f>
        <v/>
      </c>
    </row>
    <row r="320" spans="1:4" x14ac:dyDescent="0.4">
      <c r="A320" t="str">
        <f t="shared" si="8"/>
        <v/>
      </c>
      <c r="B320" t="str">
        <f t="shared" si="9"/>
        <v/>
      </c>
      <c r="C320" t="str">
        <f>IF(D320="","",IF(COUNTIF($D$2:D320,D320)&gt;1,"",SUMIFS(tbl_input[필요수량],tbl_input[집계키_청],D320)))</f>
        <v/>
      </c>
      <c r="D320" t="str">
        <f>IFERROR(INDEX(tbl_input[집계키_청],ROW()-1),"")</f>
        <v/>
      </c>
    </row>
    <row r="321" spans="1:4" x14ac:dyDescent="0.4">
      <c r="A321" t="str">
        <f t="shared" si="8"/>
        <v/>
      </c>
      <c r="B321" t="str">
        <f t="shared" si="9"/>
        <v/>
      </c>
      <c r="C321" t="str">
        <f>IF(D321="","",IF(COUNTIF($D$2:D321,D321)&gt;1,"",SUMIFS(tbl_input[필요수량],tbl_input[집계키_청],D321)))</f>
        <v/>
      </c>
      <c r="D321" t="str">
        <f>IFERROR(INDEX(tbl_input[집계키_청],ROW()-1),"")</f>
        <v/>
      </c>
    </row>
    <row r="322" spans="1:4" x14ac:dyDescent="0.4">
      <c r="A322" t="str">
        <f t="shared" ref="A322:A385" si="10">IF(D322="","",LEFT(D322,FIND("♦",D322)-1))</f>
        <v/>
      </c>
      <c r="B322" t="str">
        <f t="shared" ref="B322:B385" si="11">IF(D322="","",MID(D322,FIND("♦",D322)+1,999))</f>
        <v/>
      </c>
      <c r="C322" t="str">
        <f>IF(D322="","",IF(COUNTIF($D$2:D322,D322)&gt;1,"",SUMIFS(tbl_input[필요수량],tbl_input[집계키_청],D322)))</f>
        <v/>
      </c>
      <c r="D322" t="str">
        <f>IFERROR(INDEX(tbl_input[집계키_청],ROW()-1),"")</f>
        <v/>
      </c>
    </row>
    <row r="323" spans="1:4" x14ac:dyDescent="0.4">
      <c r="A323" t="str">
        <f t="shared" si="10"/>
        <v/>
      </c>
      <c r="B323" t="str">
        <f t="shared" si="11"/>
        <v/>
      </c>
      <c r="C323" t="str">
        <f>IF(D323="","",IF(COUNTIF($D$2:D323,D323)&gt;1,"",SUMIFS(tbl_input[필요수량],tbl_input[집계키_청],D323)))</f>
        <v/>
      </c>
      <c r="D323" t="str">
        <f>IFERROR(INDEX(tbl_input[집계키_청],ROW()-1),"")</f>
        <v/>
      </c>
    </row>
    <row r="324" spans="1:4" x14ac:dyDescent="0.4">
      <c r="A324" t="str">
        <f t="shared" si="10"/>
        <v/>
      </c>
      <c r="B324" t="str">
        <f t="shared" si="11"/>
        <v/>
      </c>
      <c r="C324" t="str">
        <f>IF(D324="","",IF(COUNTIF($D$2:D324,D324)&gt;1,"",SUMIFS(tbl_input[필요수량],tbl_input[집계키_청],D324)))</f>
        <v/>
      </c>
      <c r="D324" t="str">
        <f>IFERROR(INDEX(tbl_input[집계키_청],ROW()-1),"")</f>
        <v/>
      </c>
    </row>
    <row r="325" spans="1:4" x14ac:dyDescent="0.4">
      <c r="A325" t="str">
        <f t="shared" si="10"/>
        <v/>
      </c>
      <c r="B325" t="str">
        <f t="shared" si="11"/>
        <v/>
      </c>
      <c r="C325" t="str">
        <f>IF(D325="","",IF(COUNTIF($D$2:D325,D325)&gt;1,"",SUMIFS(tbl_input[필요수량],tbl_input[집계키_청],D325)))</f>
        <v/>
      </c>
      <c r="D325" t="str">
        <f>IFERROR(INDEX(tbl_input[집계키_청],ROW()-1),"")</f>
        <v/>
      </c>
    </row>
    <row r="326" spans="1:4" x14ac:dyDescent="0.4">
      <c r="A326" t="str">
        <f t="shared" si="10"/>
        <v/>
      </c>
      <c r="B326" t="str">
        <f t="shared" si="11"/>
        <v/>
      </c>
      <c r="C326" t="str">
        <f>IF(D326="","",IF(COUNTIF($D$2:D326,D326)&gt;1,"",SUMIFS(tbl_input[필요수량],tbl_input[집계키_청],D326)))</f>
        <v/>
      </c>
      <c r="D326" t="str">
        <f>IFERROR(INDEX(tbl_input[집계키_청],ROW()-1),"")</f>
        <v/>
      </c>
    </row>
    <row r="327" spans="1:4" x14ac:dyDescent="0.4">
      <c r="A327" t="str">
        <f t="shared" si="10"/>
        <v/>
      </c>
      <c r="B327" t="str">
        <f t="shared" si="11"/>
        <v/>
      </c>
      <c r="C327" t="str">
        <f>IF(D327="","",IF(COUNTIF($D$2:D327,D327)&gt;1,"",SUMIFS(tbl_input[필요수량],tbl_input[집계키_청],D327)))</f>
        <v/>
      </c>
      <c r="D327" t="str">
        <f>IFERROR(INDEX(tbl_input[집계키_청],ROW()-1),"")</f>
        <v/>
      </c>
    </row>
    <row r="328" spans="1:4" x14ac:dyDescent="0.4">
      <c r="A328" t="str">
        <f t="shared" si="10"/>
        <v/>
      </c>
      <c r="B328" t="str">
        <f t="shared" si="11"/>
        <v/>
      </c>
      <c r="C328" t="str">
        <f>IF(D328="","",IF(COUNTIF($D$2:D328,D328)&gt;1,"",SUMIFS(tbl_input[필요수량],tbl_input[집계키_청],D328)))</f>
        <v/>
      </c>
      <c r="D328" t="str">
        <f>IFERROR(INDEX(tbl_input[집계키_청],ROW()-1),"")</f>
        <v/>
      </c>
    </row>
    <row r="329" spans="1:4" x14ac:dyDescent="0.4">
      <c r="A329" t="str">
        <f t="shared" si="10"/>
        <v/>
      </c>
      <c r="B329" t="str">
        <f t="shared" si="11"/>
        <v/>
      </c>
      <c r="C329" t="str">
        <f>IF(D329="","",IF(COUNTIF($D$2:D329,D329)&gt;1,"",SUMIFS(tbl_input[필요수량],tbl_input[집계키_청],D329)))</f>
        <v/>
      </c>
      <c r="D329" t="str">
        <f>IFERROR(INDEX(tbl_input[집계키_청],ROW()-1),"")</f>
        <v/>
      </c>
    </row>
    <row r="330" spans="1:4" x14ac:dyDescent="0.4">
      <c r="A330" t="str">
        <f t="shared" si="10"/>
        <v/>
      </c>
      <c r="B330" t="str">
        <f t="shared" si="11"/>
        <v/>
      </c>
      <c r="C330" t="str">
        <f>IF(D330="","",IF(COUNTIF($D$2:D330,D330)&gt;1,"",SUMIFS(tbl_input[필요수량],tbl_input[집계키_청],D330)))</f>
        <v/>
      </c>
      <c r="D330" t="str">
        <f>IFERROR(INDEX(tbl_input[집계키_청],ROW()-1),"")</f>
        <v/>
      </c>
    </row>
    <row r="331" spans="1:4" x14ac:dyDescent="0.4">
      <c r="A331" t="str">
        <f t="shared" si="10"/>
        <v/>
      </c>
      <c r="B331" t="str">
        <f t="shared" si="11"/>
        <v/>
      </c>
      <c r="C331" t="str">
        <f>IF(D331="","",IF(COUNTIF($D$2:D331,D331)&gt;1,"",SUMIFS(tbl_input[필요수량],tbl_input[집계키_청],D331)))</f>
        <v/>
      </c>
      <c r="D331" t="str">
        <f>IFERROR(INDEX(tbl_input[집계키_청],ROW()-1),"")</f>
        <v/>
      </c>
    </row>
    <row r="332" spans="1:4" x14ac:dyDescent="0.4">
      <c r="A332" t="str">
        <f t="shared" si="10"/>
        <v/>
      </c>
      <c r="B332" t="str">
        <f t="shared" si="11"/>
        <v/>
      </c>
      <c r="C332" t="str">
        <f>IF(D332="","",IF(COUNTIF($D$2:D332,D332)&gt;1,"",SUMIFS(tbl_input[필요수량],tbl_input[집계키_청],D332)))</f>
        <v/>
      </c>
      <c r="D332" t="str">
        <f>IFERROR(INDEX(tbl_input[집계키_청],ROW()-1),"")</f>
        <v/>
      </c>
    </row>
    <row r="333" spans="1:4" x14ac:dyDescent="0.4">
      <c r="A333" t="str">
        <f t="shared" si="10"/>
        <v/>
      </c>
      <c r="B333" t="str">
        <f t="shared" si="11"/>
        <v/>
      </c>
      <c r="C333" t="str">
        <f>IF(D333="","",IF(COUNTIF($D$2:D333,D333)&gt;1,"",SUMIFS(tbl_input[필요수량],tbl_input[집계키_청],D333)))</f>
        <v/>
      </c>
      <c r="D333" t="str">
        <f>IFERROR(INDEX(tbl_input[집계키_청],ROW()-1),"")</f>
        <v/>
      </c>
    </row>
    <row r="334" spans="1:4" x14ac:dyDescent="0.4">
      <c r="A334" t="str">
        <f t="shared" si="10"/>
        <v/>
      </c>
      <c r="B334" t="str">
        <f t="shared" si="11"/>
        <v/>
      </c>
      <c r="C334" t="str">
        <f>IF(D334="","",IF(COUNTIF($D$2:D334,D334)&gt;1,"",SUMIFS(tbl_input[필요수량],tbl_input[집계키_청],D334)))</f>
        <v/>
      </c>
      <c r="D334" t="str">
        <f>IFERROR(INDEX(tbl_input[집계키_청],ROW()-1),"")</f>
        <v/>
      </c>
    </row>
    <row r="335" spans="1:4" x14ac:dyDescent="0.4">
      <c r="A335" t="str">
        <f t="shared" si="10"/>
        <v/>
      </c>
      <c r="B335" t="str">
        <f t="shared" si="11"/>
        <v/>
      </c>
      <c r="C335" t="str">
        <f>IF(D335="","",IF(COUNTIF($D$2:D335,D335)&gt;1,"",SUMIFS(tbl_input[필요수량],tbl_input[집계키_청],D335)))</f>
        <v/>
      </c>
      <c r="D335" t="str">
        <f>IFERROR(INDEX(tbl_input[집계키_청],ROW()-1),"")</f>
        <v/>
      </c>
    </row>
    <row r="336" spans="1:4" x14ac:dyDescent="0.4">
      <c r="A336" t="str">
        <f t="shared" si="10"/>
        <v/>
      </c>
      <c r="B336" t="str">
        <f t="shared" si="11"/>
        <v/>
      </c>
      <c r="C336" t="str">
        <f>IF(D336="","",IF(COUNTIF($D$2:D336,D336)&gt;1,"",SUMIFS(tbl_input[필요수량],tbl_input[집계키_청],D336)))</f>
        <v/>
      </c>
      <c r="D336" t="str">
        <f>IFERROR(INDEX(tbl_input[집계키_청],ROW()-1),"")</f>
        <v/>
      </c>
    </row>
    <row r="337" spans="1:4" x14ac:dyDescent="0.4">
      <c r="A337" t="str">
        <f t="shared" si="10"/>
        <v/>
      </c>
      <c r="B337" t="str">
        <f t="shared" si="11"/>
        <v/>
      </c>
      <c r="C337" t="str">
        <f>IF(D337="","",IF(COUNTIF($D$2:D337,D337)&gt;1,"",SUMIFS(tbl_input[필요수량],tbl_input[집계키_청],D337)))</f>
        <v/>
      </c>
      <c r="D337" t="str">
        <f>IFERROR(INDEX(tbl_input[집계키_청],ROW()-1),"")</f>
        <v/>
      </c>
    </row>
    <row r="338" spans="1:4" x14ac:dyDescent="0.4">
      <c r="A338" t="str">
        <f t="shared" si="10"/>
        <v/>
      </c>
      <c r="B338" t="str">
        <f t="shared" si="11"/>
        <v/>
      </c>
      <c r="C338" t="str">
        <f>IF(D338="","",IF(COUNTIF($D$2:D338,D338)&gt;1,"",SUMIFS(tbl_input[필요수량],tbl_input[집계키_청],D338)))</f>
        <v/>
      </c>
      <c r="D338" t="str">
        <f>IFERROR(INDEX(tbl_input[집계키_청],ROW()-1),"")</f>
        <v/>
      </c>
    </row>
    <row r="339" spans="1:4" x14ac:dyDescent="0.4">
      <c r="A339" t="str">
        <f t="shared" si="10"/>
        <v/>
      </c>
      <c r="B339" t="str">
        <f t="shared" si="11"/>
        <v/>
      </c>
      <c r="C339" t="str">
        <f>IF(D339="","",IF(COUNTIF($D$2:D339,D339)&gt;1,"",SUMIFS(tbl_input[필요수량],tbl_input[집계키_청],D339)))</f>
        <v/>
      </c>
      <c r="D339" t="str">
        <f>IFERROR(INDEX(tbl_input[집계키_청],ROW()-1),"")</f>
        <v/>
      </c>
    </row>
    <row r="340" spans="1:4" x14ac:dyDescent="0.4">
      <c r="A340" t="str">
        <f t="shared" si="10"/>
        <v/>
      </c>
      <c r="B340" t="str">
        <f t="shared" si="11"/>
        <v/>
      </c>
      <c r="C340" t="str">
        <f>IF(D340="","",IF(COUNTIF($D$2:D340,D340)&gt;1,"",SUMIFS(tbl_input[필요수량],tbl_input[집계키_청],D340)))</f>
        <v/>
      </c>
      <c r="D340" t="str">
        <f>IFERROR(INDEX(tbl_input[집계키_청],ROW()-1),"")</f>
        <v/>
      </c>
    </row>
    <row r="341" spans="1:4" x14ac:dyDescent="0.4">
      <c r="A341" t="str">
        <f t="shared" si="10"/>
        <v/>
      </c>
      <c r="B341" t="str">
        <f t="shared" si="11"/>
        <v/>
      </c>
      <c r="C341" t="str">
        <f>IF(D341="","",IF(COUNTIF($D$2:D341,D341)&gt;1,"",SUMIFS(tbl_input[필요수량],tbl_input[집계키_청],D341)))</f>
        <v/>
      </c>
      <c r="D341" t="str">
        <f>IFERROR(INDEX(tbl_input[집계키_청],ROW()-1),"")</f>
        <v/>
      </c>
    </row>
    <row r="342" spans="1:4" x14ac:dyDescent="0.4">
      <c r="A342" t="str">
        <f t="shared" si="10"/>
        <v/>
      </c>
      <c r="B342" t="str">
        <f t="shared" si="11"/>
        <v/>
      </c>
      <c r="C342" t="str">
        <f>IF(D342="","",IF(COUNTIF($D$2:D342,D342)&gt;1,"",SUMIFS(tbl_input[필요수량],tbl_input[집계키_청],D342)))</f>
        <v/>
      </c>
      <c r="D342" t="str">
        <f>IFERROR(INDEX(tbl_input[집계키_청],ROW()-1),"")</f>
        <v/>
      </c>
    </row>
    <row r="343" spans="1:4" x14ac:dyDescent="0.4">
      <c r="A343" t="str">
        <f t="shared" si="10"/>
        <v/>
      </c>
      <c r="B343" t="str">
        <f t="shared" si="11"/>
        <v/>
      </c>
      <c r="C343" t="str">
        <f>IF(D343="","",IF(COUNTIF($D$2:D343,D343)&gt;1,"",SUMIFS(tbl_input[필요수량],tbl_input[집계키_청],D343)))</f>
        <v/>
      </c>
      <c r="D343" t="str">
        <f>IFERROR(INDEX(tbl_input[집계키_청],ROW()-1),"")</f>
        <v/>
      </c>
    </row>
    <row r="344" spans="1:4" x14ac:dyDescent="0.4">
      <c r="A344" t="str">
        <f t="shared" si="10"/>
        <v/>
      </c>
      <c r="B344" t="str">
        <f t="shared" si="11"/>
        <v/>
      </c>
      <c r="C344" t="str">
        <f>IF(D344="","",IF(COUNTIF($D$2:D344,D344)&gt;1,"",SUMIFS(tbl_input[필요수량],tbl_input[집계키_청],D344)))</f>
        <v/>
      </c>
      <c r="D344" t="str">
        <f>IFERROR(INDEX(tbl_input[집계키_청],ROW()-1),"")</f>
        <v/>
      </c>
    </row>
    <row r="345" spans="1:4" x14ac:dyDescent="0.4">
      <c r="A345" t="str">
        <f t="shared" si="10"/>
        <v/>
      </c>
      <c r="B345" t="str">
        <f t="shared" si="11"/>
        <v/>
      </c>
      <c r="C345" t="str">
        <f>IF(D345="","",IF(COUNTIF($D$2:D345,D345)&gt;1,"",SUMIFS(tbl_input[필요수량],tbl_input[집계키_청],D345)))</f>
        <v/>
      </c>
      <c r="D345" t="str">
        <f>IFERROR(INDEX(tbl_input[집계키_청],ROW()-1),"")</f>
        <v/>
      </c>
    </row>
    <row r="346" spans="1:4" x14ac:dyDescent="0.4">
      <c r="A346" t="str">
        <f t="shared" si="10"/>
        <v/>
      </c>
      <c r="B346" t="str">
        <f t="shared" si="11"/>
        <v/>
      </c>
      <c r="C346" t="str">
        <f>IF(D346="","",IF(COUNTIF($D$2:D346,D346)&gt;1,"",SUMIFS(tbl_input[필요수량],tbl_input[집계키_청],D346)))</f>
        <v/>
      </c>
      <c r="D346" t="str">
        <f>IFERROR(INDEX(tbl_input[집계키_청],ROW()-1),"")</f>
        <v/>
      </c>
    </row>
    <row r="347" spans="1:4" x14ac:dyDescent="0.4">
      <c r="A347" t="str">
        <f t="shared" si="10"/>
        <v/>
      </c>
      <c r="B347" t="str">
        <f t="shared" si="11"/>
        <v/>
      </c>
      <c r="C347" t="str">
        <f>IF(D347="","",IF(COUNTIF($D$2:D347,D347)&gt;1,"",SUMIFS(tbl_input[필요수량],tbl_input[집계키_청],D347)))</f>
        <v/>
      </c>
      <c r="D347" t="str">
        <f>IFERROR(INDEX(tbl_input[집계키_청],ROW()-1),"")</f>
        <v/>
      </c>
    </row>
    <row r="348" spans="1:4" x14ac:dyDescent="0.4">
      <c r="A348" t="str">
        <f t="shared" si="10"/>
        <v/>
      </c>
      <c r="B348" t="str">
        <f t="shared" si="11"/>
        <v/>
      </c>
      <c r="C348" t="str">
        <f>IF(D348="","",IF(COUNTIF($D$2:D348,D348)&gt;1,"",SUMIFS(tbl_input[필요수량],tbl_input[집계키_청],D348)))</f>
        <v/>
      </c>
      <c r="D348" t="str">
        <f>IFERROR(INDEX(tbl_input[집계키_청],ROW()-1),"")</f>
        <v/>
      </c>
    </row>
    <row r="349" spans="1:4" x14ac:dyDescent="0.4">
      <c r="A349" t="str">
        <f t="shared" si="10"/>
        <v/>
      </c>
      <c r="B349" t="str">
        <f t="shared" si="11"/>
        <v/>
      </c>
      <c r="C349" t="str">
        <f>IF(D349="","",IF(COUNTIF($D$2:D349,D349)&gt;1,"",SUMIFS(tbl_input[필요수량],tbl_input[집계키_청],D349)))</f>
        <v/>
      </c>
      <c r="D349" t="str">
        <f>IFERROR(INDEX(tbl_input[집계키_청],ROW()-1),"")</f>
        <v/>
      </c>
    </row>
    <row r="350" spans="1:4" x14ac:dyDescent="0.4">
      <c r="A350" t="str">
        <f t="shared" si="10"/>
        <v/>
      </c>
      <c r="B350" t="str">
        <f t="shared" si="11"/>
        <v/>
      </c>
      <c r="C350" t="str">
        <f>IF(D350="","",IF(COUNTIF($D$2:D350,D350)&gt;1,"",SUMIFS(tbl_input[필요수량],tbl_input[집계키_청],D350)))</f>
        <v/>
      </c>
      <c r="D350" t="str">
        <f>IFERROR(INDEX(tbl_input[집계키_청],ROW()-1),"")</f>
        <v/>
      </c>
    </row>
    <row r="351" spans="1:4" x14ac:dyDescent="0.4">
      <c r="A351" t="str">
        <f t="shared" si="10"/>
        <v/>
      </c>
      <c r="B351" t="str">
        <f t="shared" si="11"/>
        <v/>
      </c>
      <c r="C351" t="str">
        <f>IF(D351="","",IF(COUNTIF($D$2:D351,D351)&gt;1,"",SUMIFS(tbl_input[필요수량],tbl_input[집계키_청],D351)))</f>
        <v/>
      </c>
      <c r="D351" t="str">
        <f>IFERROR(INDEX(tbl_input[집계키_청],ROW()-1),"")</f>
        <v/>
      </c>
    </row>
    <row r="352" spans="1:4" x14ac:dyDescent="0.4">
      <c r="A352" t="str">
        <f t="shared" si="10"/>
        <v/>
      </c>
      <c r="B352" t="str">
        <f t="shared" si="11"/>
        <v/>
      </c>
      <c r="C352" t="str">
        <f>IF(D352="","",IF(COUNTIF($D$2:D352,D352)&gt;1,"",SUMIFS(tbl_input[필요수량],tbl_input[집계키_청],D352)))</f>
        <v/>
      </c>
      <c r="D352" t="str">
        <f>IFERROR(INDEX(tbl_input[집계키_청],ROW()-1),"")</f>
        <v/>
      </c>
    </row>
    <row r="353" spans="1:4" x14ac:dyDescent="0.4">
      <c r="A353" t="str">
        <f t="shared" si="10"/>
        <v/>
      </c>
      <c r="B353" t="str">
        <f t="shared" si="11"/>
        <v/>
      </c>
      <c r="C353" t="str">
        <f>IF(D353="","",IF(COUNTIF($D$2:D353,D353)&gt;1,"",SUMIFS(tbl_input[필요수량],tbl_input[집계키_청],D353)))</f>
        <v/>
      </c>
      <c r="D353" t="str">
        <f>IFERROR(INDEX(tbl_input[집계키_청],ROW()-1),"")</f>
        <v/>
      </c>
    </row>
    <row r="354" spans="1:4" x14ac:dyDescent="0.4">
      <c r="A354" t="str">
        <f t="shared" si="10"/>
        <v/>
      </c>
      <c r="B354" t="str">
        <f t="shared" si="11"/>
        <v/>
      </c>
      <c r="C354" t="str">
        <f>IF(D354="","",IF(COUNTIF($D$2:D354,D354)&gt;1,"",SUMIFS(tbl_input[필요수량],tbl_input[집계키_청],D354)))</f>
        <v/>
      </c>
      <c r="D354" t="str">
        <f>IFERROR(INDEX(tbl_input[집계키_청],ROW()-1),"")</f>
        <v/>
      </c>
    </row>
    <row r="355" spans="1:4" x14ac:dyDescent="0.4">
      <c r="A355" t="str">
        <f t="shared" si="10"/>
        <v/>
      </c>
      <c r="B355" t="str">
        <f t="shared" si="11"/>
        <v/>
      </c>
      <c r="C355" t="str">
        <f>IF(D355="","",IF(COUNTIF($D$2:D355,D355)&gt;1,"",SUMIFS(tbl_input[필요수량],tbl_input[집계키_청],D355)))</f>
        <v/>
      </c>
      <c r="D355" t="str">
        <f>IFERROR(INDEX(tbl_input[집계키_청],ROW()-1),"")</f>
        <v/>
      </c>
    </row>
    <row r="356" spans="1:4" x14ac:dyDescent="0.4">
      <c r="A356" t="str">
        <f t="shared" si="10"/>
        <v/>
      </c>
      <c r="B356" t="str">
        <f t="shared" si="11"/>
        <v/>
      </c>
      <c r="C356" t="str">
        <f>IF(D356="","",IF(COUNTIF($D$2:D356,D356)&gt;1,"",SUMIFS(tbl_input[필요수량],tbl_input[집계키_청],D356)))</f>
        <v/>
      </c>
      <c r="D356" t="str">
        <f>IFERROR(INDEX(tbl_input[집계키_청],ROW()-1),"")</f>
        <v/>
      </c>
    </row>
    <row r="357" spans="1:4" x14ac:dyDescent="0.4">
      <c r="A357" t="str">
        <f t="shared" si="10"/>
        <v/>
      </c>
      <c r="B357" t="str">
        <f t="shared" si="11"/>
        <v/>
      </c>
      <c r="C357" t="str">
        <f>IF(D357="","",IF(COUNTIF($D$2:D357,D357)&gt;1,"",SUMIFS(tbl_input[필요수량],tbl_input[집계키_청],D357)))</f>
        <v/>
      </c>
      <c r="D357" t="str">
        <f>IFERROR(INDEX(tbl_input[집계키_청],ROW()-1),"")</f>
        <v/>
      </c>
    </row>
    <row r="358" spans="1:4" x14ac:dyDescent="0.4">
      <c r="A358" t="str">
        <f t="shared" si="10"/>
        <v/>
      </c>
      <c r="B358" t="str">
        <f t="shared" si="11"/>
        <v/>
      </c>
      <c r="C358" t="str">
        <f>IF(D358="","",IF(COUNTIF($D$2:D358,D358)&gt;1,"",SUMIFS(tbl_input[필요수량],tbl_input[집계키_청],D358)))</f>
        <v/>
      </c>
      <c r="D358" t="str">
        <f>IFERROR(INDEX(tbl_input[집계키_청],ROW()-1),"")</f>
        <v/>
      </c>
    </row>
    <row r="359" spans="1:4" x14ac:dyDescent="0.4">
      <c r="A359" t="str">
        <f t="shared" si="10"/>
        <v/>
      </c>
      <c r="B359" t="str">
        <f t="shared" si="11"/>
        <v/>
      </c>
      <c r="C359" t="str">
        <f>IF(D359="","",IF(COUNTIF($D$2:D359,D359)&gt;1,"",SUMIFS(tbl_input[필요수량],tbl_input[집계키_청],D359)))</f>
        <v/>
      </c>
      <c r="D359" t="str">
        <f>IFERROR(INDEX(tbl_input[집계키_청],ROW()-1),"")</f>
        <v/>
      </c>
    </row>
    <row r="360" spans="1:4" x14ac:dyDescent="0.4">
      <c r="A360" t="str">
        <f t="shared" si="10"/>
        <v/>
      </c>
      <c r="B360" t="str">
        <f t="shared" si="11"/>
        <v/>
      </c>
      <c r="C360" t="str">
        <f>IF(D360="","",IF(COUNTIF($D$2:D360,D360)&gt;1,"",SUMIFS(tbl_input[필요수량],tbl_input[집계키_청],D360)))</f>
        <v/>
      </c>
      <c r="D360" t="str">
        <f>IFERROR(INDEX(tbl_input[집계키_청],ROW()-1),"")</f>
        <v/>
      </c>
    </row>
    <row r="361" spans="1:4" x14ac:dyDescent="0.4">
      <c r="A361" t="str">
        <f t="shared" si="10"/>
        <v/>
      </c>
      <c r="B361" t="str">
        <f t="shared" si="11"/>
        <v/>
      </c>
      <c r="C361" t="str">
        <f>IF(D361="","",IF(COUNTIF($D$2:D361,D361)&gt;1,"",SUMIFS(tbl_input[필요수량],tbl_input[집계키_청],D361)))</f>
        <v/>
      </c>
      <c r="D361" t="str">
        <f>IFERROR(INDEX(tbl_input[집계키_청],ROW()-1),"")</f>
        <v/>
      </c>
    </row>
    <row r="362" spans="1:4" x14ac:dyDescent="0.4">
      <c r="A362" t="str">
        <f t="shared" si="10"/>
        <v/>
      </c>
      <c r="B362" t="str">
        <f t="shared" si="11"/>
        <v/>
      </c>
      <c r="C362" t="str">
        <f>IF(D362="","",IF(COUNTIF($D$2:D362,D362)&gt;1,"",SUMIFS(tbl_input[필요수량],tbl_input[집계키_청],D362)))</f>
        <v/>
      </c>
      <c r="D362" t="str">
        <f>IFERROR(INDEX(tbl_input[집계키_청],ROW()-1),"")</f>
        <v/>
      </c>
    </row>
    <row r="363" spans="1:4" x14ac:dyDescent="0.4">
      <c r="A363" t="str">
        <f t="shared" si="10"/>
        <v/>
      </c>
      <c r="B363" t="str">
        <f t="shared" si="11"/>
        <v/>
      </c>
      <c r="C363" t="str">
        <f>IF(D363="","",IF(COUNTIF($D$2:D363,D363)&gt;1,"",SUMIFS(tbl_input[필요수량],tbl_input[집계키_청],D363)))</f>
        <v/>
      </c>
      <c r="D363" t="str">
        <f>IFERROR(INDEX(tbl_input[집계키_청],ROW()-1),"")</f>
        <v/>
      </c>
    </row>
    <row r="364" spans="1:4" x14ac:dyDescent="0.4">
      <c r="A364" t="str">
        <f t="shared" si="10"/>
        <v/>
      </c>
      <c r="B364" t="str">
        <f t="shared" si="11"/>
        <v/>
      </c>
      <c r="C364" t="str">
        <f>IF(D364="","",IF(COUNTIF($D$2:D364,D364)&gt;1,"",SUMIFS(tbl_input[필요수량],tbl_input[집계키_청],D364)))</f>
        <v/>
      </c>
      <c r="D364" t="str">
        <f>IFERROR(INDEX(tbl_input[집계키_청],ROW()-1),"")</f>
        <v/>
      </c>
    </row>
    <row r="365" spans="1:4" x14ac:dyDescent="0.4">
      <c r="A365" t="str">
        <f t="shared" si="10"/>
        <v/>
      </c>
      <c r="B365" t="str">
        <f t="shared" si="11"/>
        <v/>
      </c>
      <c r="C365" t="str">
        <f>IF(D365="","",IF(COUNTIF($D$2:D365,D365)&gt;1,"",SUMIFS(tbl_input[필요수량],tbl_input[집계키_청],D365)))</f>
        <v/>
      </c>
      <c r="D365" t="str">
        <f>IFERROR(INDEX(tbl_input[집계키_청],ROW()-1),"")</f>
        <v/>
      </c>
    </row>
    <row r="366" spans="1:4" x14ac:dyDescent="0.4">
      <c r="A366" t="str">
        <f t="shared" si="10"/>
        <v/>
      </c>
      <c r="B366" t="str">
        <f t="shared" si="11"/>
        <v/>
      </c>
      <c r="C366" t="str">
        <f>IF(D366="","",IF(COUNTIF($D$2:D366,D366)&gt;1,"",SUMIFS(tbl_input[필요수량],tbl_input[집계키_청],D366)))</f>
        <v/>
      </c>
      <c r="D366" t="str">
        <f>IFERROR(INDEX(tbl_input[집계키_청],ROW()-1),"")</f>
        <v/>
      </c>
    </row>
    <row r="367" spans="1:4" x14ac:dyDescent="0.4">
      <c r="A367" t="str">
        <f t="shared" si="10"/>
        <v/>
      </c>
      <c r="B367" t="str">
        <f t="shared" si="11"/>
        <v/>
      </c>
      <c r="C367" t="str">
        <f>IF(D367="","",IF(COUNTIF($D$2:D367,D367)&gt;1,"",SUMIFS(tbl_input[필요수량],tbl_input[집계키_청],D367)))</f>
        <v/>
      </c>
      <c r="D367" t="str">
        <f>IFERROR(INDEX(tbl_input[집계키_청],ROW()-1),"")</f>
        <v/>
      </c>
    </row>
    <row r="368" spans="1:4" x14ac:dyDescent="0.4">
      <c r="A368" t="str">
        <f t="shared" si="10"/>
        <v/>
      </c>
      <c r="B368" t="str">
        <f t="shared" si="11"/>
        <v/>
      </c>
      <c r="C368" t="str">
        <f>IF(D368="","",IF(COUNTIF($D$2:D368,D368)&gt;1,"",SUMIFS(tbl_input[필요수량],tbl_input[집계키_청],D368)))</f>
        <v/>
      </c>
      <c r="D368" t="str">
        <f>IFERROR(INDEX(tbl_input[집계키_청],ROW()-1),"")</f>
        <v/>
      </c>
    </row>
    <row r="369" spans="1:4" x14ac:dyDescent="0.4">
      <c r="A369" t="str">
        <f t="shared" si="10"/>
        <v/>
      </c>
      <c r="B369" t="str">
        <f t="shared" si="11"/>
        <v/>
      </c>
      <c r="C369" t="str">
        <f>IF(D369="","",IF(COUNTIF($D$2:D369,D369)&gt;1,"",SUMIFS(tbl_input[필요수량],tbl_input[집계키_청],D369)))</f>
        <v/>
      </c>
      <c r="D369" t="str">
        <f>IFERROR(INDEX(tbl_input[집계키_청],ROW()-1),"")</f>
        <v/>
      </c>
    </row>
    <row r="370" spans="1:4" x14ac:dyDescent="0.4">
      <c r="A370" t="str">
        <f t="shared" si="10"/>
        <v/>
      </c>
      <c r="B370" t="str">
        <f t="shared" si="11"/>
        <v/>
      </c>
      <c r="C370" t="str">
        <f>IF(D370="","",IF(COUNTIF($D$2:D370,D370)&gt;1,"",SUMIFS(tbl_input[필요수량],tbl_input[집계키_청],D370)))</f>
        <v/>
      </c>
      <c r="D370" t="str">
        <f>IFERROR(INDEX(tbl_input[집계키_청],ROW()-1),"")</f>
        <v/>
      </c>
    </row>
    <row r="371" spans="1:4" x14ac:dyDescent="0.4">
      <c r="A371" t="str">
        <f t="shared" si="10"/>
        <v/>
      </c>
      <c r="B371" t="str">
        <f t="shared" si="11"/>
        <v/>
      </c>
      <c r="C371" t="str">
        <f>IF(D371="","",IF(COUNTIF($D$2:D371,D371)&gt;1,"",SUMIFS(tbl_input[필요수량],tbl_input[집계키_청],D371)))</f>
        <v/>
      </c>
      <c r="D371" t="str">
        <f>IFERROR(INDEX(tbl_input[집계키_청],ROW()-1),"")</f>
        <v/>
      </c>
    </row>
    <row r="372" spans="1:4" x14ac:dyDescent="0.4">
      <c r="A372" t="str">
        <f t="shared" si="10"/>
        <v/>
      </c>
      <c r="B372" t="str">
        <f t="shared" si="11"/>
        <v/>
      </c>
      <c r="C372" t="str">
        <f>IF(D372="","",IF(COUNTIF($D$2:D372,D372)&gt;1,"",SUMIFS(tbl_input[필요수량],tbl_input[집계키_청],D372)))</f>
        <v/>
      </c>
      <c r="D372" t="str">
        <f>IFERROR(INDEX(tbl_input[집계키_청],ROW()-1),"")</f>
        <v/>
      </c>
    </row>
    <row r="373" spans="1:4" x14ac:dyDescent="0.4">
      <c r="A373" t="str">
        <f t="shared" si="10"/>
        <v/>
      </c>
      <c r="B373" t="str">
        <f t="shared" si="11"/>
        <v/>
      </c>
      <c r="C373" t="str">
        <f>IF(D373="","",IF(COUNTIF($D$2:D373,D373)&gt;1,"",SUMIFS(tbl_input[필요수량],tbl_input[집계키_청],D373)))</f>
        <v/>
      </c>
      <c r="D373" t="str">
        <f>IFERROR(INDEX(tbl_input[집계키_청],ROW()-1),"")</f>
        <v/>
      </c>
    </row>
    <row r="374" spans="1:4" x14ac:dyDescent="0.4">
      <c r="A374" t="str">
        <f t="shared" si="10"/>
        <v/>
      </c>
      <c r="B374" t="str">
        <f t="shared" si="11"/>
        <v/>
      </c>
      <c r="C374" t="str">
        <f>IF(D374="","",IF(COUNTIF($D$2:D374,D374)&gt;1,"",SUMIFS(tbl_input[필요수량],tbl_input[집계키_청],D374)))</f>
        <v/>
      </c>
      <c r="D374" t="str">
        <f>IFERROR(INDEX(tbl_input[집계키_청],ROW()-1),"")</f>
        <v/>
      </c>
    </row>
    <row r="375" spans="1:4" x14ac:dyDescent="0.4">
      <c r="A375" t="str">
        <f t="shared" si="10"/>
        <v/>
      </c>
      <c r="B375" t="str">
        <f t="shared" si="11"/>
        <v/>
      </c>
      <c r="C375" t="str">
        <f>IF(D375="","",IF(COUNTIF($D$2:D375,D375)&gt;1,"",SUMIFS(tbl_input[필요수량],tbl_input[집계키_청],D375)))</f>
        <v/>
      </c>
      <c r="D375" t="str">
        <f>IFERROR(INDEX(tbl_input[집계키_청],ROW()-1),"")</f>
        <v/>
      </c>
    </row>
    <row r="376" spans="1:4" x14ac:dyDescent="0.4">
      <c r="A376" t="str">
        <f t="shared" si="10"/>
        <v/>
      </c>
      <c r="B376" t="str">
        <f t="shared" si="11"/>
        <v/>
      </c>
      <c r="C376" t="str">
        <f>IF(D376="","",IF(COUNTIF($D$2:D376,D376)&gt;1,"",SUMIFS(tbl_input[필요수량],tbl_input[집계키_청],D376)))</f>
        <v/>
      </c>
      <c r="D376" t="str">
        <f>IFERROR(INDEX(tbl_input[집계키_청],ROW()-1),"")</f>
        <v/>
      </c>
    </row>
    <row r="377" spans="1:4" x14ac:dyDescent="0.4">
      <c r="A377" t="str">
        <f t="shared" si="10"/>
        <v/>
      </c>
      <c r="B377" t="str">
        <f t="shared" si="11"/>
        <v/>
      </c>
      <c r="C377" t="str">
        <f>IF(D377="","",IF(COUNTIF($D$2:D377,D377)&gt;1,"",SUMIFS(tbl_input[필요수량],tbl_input[집계키_청],D377)))</f>
        <v/>
      </c>
      <c r="D377" t="str">
        <f>IFERROR(INDEX(tbl_input[집계키_청],ROW()-1),"")</f>
        <v/>
      </c>
    </row>
    <row r="378" spans="1:4" x14ac:dyDescent="0.4">
      <c r="A378" t="str">
        <f t="shared" si="10"/>
        <v/>
      </c>
      <c r="B378" t="str">
        <f t="shared" si="11"/>
        <v/>
      </c>
      <c r="C378" t="str">
        <f>IF(D378="","",IF(COUNTIF($D$2:D378,D378)&gt;1,"",SUMIFS(tbl_input[필요수량],tbl_input[집계키_청],D378)))</f>
        <v/>
      </c>
      <c r="D378" t="str">
        <f>IFERROR(INDEX(tbl_input[집계키_청],ROW()-1),"")</f>
        <v/>
      </c>
    </row>
    <row r="379" spans="1:4" x14ac:dyDescent="0.4">
      <c r="A379" t="str">
        <f t="shared" si="10"/>
        <v/>
      </c>
      <c r="B379" t="str">
        <f t="shared" si="11"/>
        <v/>
      </c>
      <c r="C379" t="str">
        <f>IF(D379="","",IF(COUNTIF($D$2:D379,D379)&gt;1,"",SUMIFS(tbl_input[필요수량],tbl_input[집계키_청],D379)))</f>
        <v/>
      </c>
      <c r="D379" t="str">
        <f>IFERROR(INDEX(tbl_input[집계키_청],ROW()-1),"")</f>
        <v/>
      </c>
    </row>
    <row r="380" spans="1:4" x14ac:dyDescent="0.4">
      <c r="A380" t="str">
        <f t="shared" si="10"/>
        <v/>
      </c>
      <c r="B380" t="str">
        <f t="shared" si="11"/>
        <v/>
      </c>
      <c r="C380" t="str">
        <f>IF(D380="","",IF(COUNTIF($D$2:D380,D380)&gt;1,"",SUMIFS(tbl_input[필요수량],tbl_input[집계키_청],D380)))</f>
        <v/>
      </c>
      <c r="D380" t="str">
        <f>IFERROR(INDEX(tbl_input[집계키_청],ROW()-1),"")</f>
        <v/>
      </c>
    </row>
    <row r="381" spans="1:4" x14ac:dyDescent="0.4">
      <c r="A381" t="str">
        <f t="shared" si="10"/>
        <v/>
      </c>
      <c r="B381" t="str">
        <f t="shared" si="11"/>
        <v/>
      </c>
      <c r="C381" t="str">
        <f>IF(D381="","",IF(COUNTIF($D$2:D381,D381)&gt;1,"",SUMIFS(tbl_input[필요수량],tbl_input[집계키_청],D381)))</f>
        <v/>
      </c>
      <c r="D381" t="str">
        <f>IFERROR(INDEX(tbl_input[집계키_청],ROW()-1),"")</f>
        <v/>
      </c>
    </row>
    <row r="382" spans="1:4" x14ac:dyDescent="0.4">
      <c r="A382" t="str">
        <f t="shared" si="10"/>
        <v/>
      </c>
      <c r="B382" t="str">
        <f t="shared" si="11"/>
        <v/>
      </c>
      <c r="C382" t="str">
        <f>IF(D382="","",IF(COUNTIF($D$2:D382,D382)&gt;1,"",SUMIFS(tbl_input[필요수량],tbl_input[집계키_청],D382)))</f>
        <v/>
      </c>
      <c r="D382" t="str">
        <f>IFERROR(INDEX(tbl_input[집계키_청],ROW()-1),"")</f>
        <v/>
      </c>
    </row>
    <row r="383" spans="1:4" x14ac:dyDescent="0.4">
      <c r="A383" t="str">
        <f t="shared" si="10"/>
        <v/>
      </c>
      <c r="B383" t="str">
        <f t="shared" si="11"/>
        <v/>
      </c>
      <c r="C383" t="str">
        <f>IF(D383="","",IF(COUNTIF($D$2:D383,D383)&gt;1,"",SUMIFS(tbl_input[필요수량],tbl_input[집계키_청],D383)))</f>
        <v/>
      </c>
      <c r="D383" t="str">
        <f>IFERROR(INDEX(tbl_input[집계키_청],ROW()-1),"")</f>
        <v/>
      </c>
    </row>
    <row r="384" spans="1:4" x14ac:dyDescent="0.4">
      <c r="A384" t="str">
        <f t="shared" si="10"/>
        <v/>
      </c>
      <c r="B384" t="str">
        <f t="shared" si="11"/>
        <v/>
      </c>
      <c r="C384" t="str">
        <f>IF(D384="","",IF(COUNTIF($D$2:D384,D384)&gt;1,"",SUMIFS(tbl_input[필요수량],tbl_input[집계키_청],D384)))</f>
        <v/>
      </c>
      <c r="D384" t="str">
        <f>IFERROR(INDEX(tbl_input[집계키_청],ROW()-1),"")</f>
        <v/>
      </c>
    </row>
    <row r="385" spans="1:4" x14ac:dyDescent="0.4">
      <c r="A385" t="str">
        <f t="shared" si="10"/>
        <v/>
      </c>
      <c r="B385" t="str">
        <f t="shared" si="11"/>
        <v/>
      </c>
      <c r="C385" t="str">
        <f>IF(D385="","",IF(COUNTIF($D$2:D385,D385)&gt;1,"",SUMIFS(tbl_input[필요수량],tbl_input[집계키_청],D385)))</f>
        <v/>
      </c>
      <c r="D385" t="str">
        <f>IFERROR(INDEX(tbl_input[집계키_청],ROW()-1),"")</f>
        <v/>
      </c>
    </row>
    <row r="386" spans="1:4" x14ac:dyDescent="0.4">
      <c r="A386" t="str">
        <f t="shared" ref="A386:A449" si="12">IF(D386="","",LEFT(D386,FIND("♦",D386)-1))</f>
        <v/>
      </c>
      <c r="B386" t="str">
        <f t="shared" ref="B386:B449" si="13">IF(D386="","",MID(D386,FIND("♦",D386)+1,999))</f>
        <v/>
      </c>
      <c r="C386" t="str">
        <f>IF(D386="","",IF(COUNTIF($D$2:D386,D386)&gt;1,"",SUMIFS(tbl_input[필요수량],tbl_input[집계키_청],D386)))</f>
        <v/>
      </c>
      <c r="D386" t="str">
        <f>IFERROR(INDEX(tbl_input[집계키_청],ROW()-1),"")</f>
        <v/>
      </c>
    </row>
    <row r="387" spans="1:4" x14ac:dyDescent="0.4">
      <c r="A387" t="str">
        <f t="shared" si="12"/>
        <v/>
      </c>
      <c r="B387" t="str">
        <f t="shared" si="13"/>
        <v/>
      </c>
      <c r="C387" t="str">
        <f>IF(D387="","",IF(COUNTIF($D$2:D387,D387)&gt;1,"",SUMIFS(tbl_input[필요수량],tbl_input[집계키_청],D387)))</f>
        <v/>
      </c>
      <c r="D387" t="str">
        <f>IFERROR(INDEX(tbl_input[집계키_청],ROW()-1),"")</f>
        <v/>
      </c>
    </row>
    <row r="388" spans="1:4" x14ac:dyDescent="0.4">
      <c r="A388" t="str">
        <f t="shared" si="12"/>
        <v/>
      </c>
      <c r="B388" t="str">
        <f t="shared" si="13"/>
        <v/>
      </c>
      <c r="C388" t="str">
        <f>IF(D388="","",IF(COUNTIF($D$2:D388,D388)&gt;1,"",SUMIFS(tbl_input[필요수량],tbl_input[집계키_청],D388)))</f>
        <v/>
      </c>
      <c r="D388" t="str">
        <f>IFERROR(INDEX(tbl_input[집계키_청],ROW()-1),"")</f>
        <v/>
      </c>
    </row>
    <row r="389" spans="1:4" x14ac:dyDescent="0.4">
      <c r="A389" t="str">
        <f t="shared" si="12"/>
        <v/>
      </c>
      <c r="B389" t="str">
        <f t="shared" si="13"/>
        <v/>
      </c>
      <c r="C389" t="str">
        <f>IF(D389="","",IF(COUNTIF($D$2:D389,D389)&gt;1,"",SUMIFS(tbl_input[필요수량],tbl_input[집계키_청],D389)))</f>
        <v/>
      </c>
      <c r="D389" t="str">
        <f>IFERROR(INDEX(tbl_input[집계키_청],ROW()-1),"")</f>
        <v/>
      </c>
    </row>
    <row r="390" spans="1:4" x14ac:dyDescent="0.4">
      <c r="A390" t="str">
        <f t="shared" si="12"/>
        <v/>
      </c>
      <c r="B390" t="str">
        <f t="shared" si="13"/>
        <v/>
      </c>
      <c r="C390" t="str">
        <f>IF(D390="","",IF(COUNTIF($D$2:D390,D390)&gt;1,"",SUMIFS(tbl_input[필요수량],tbl_input[집계키_청],D390)))</f>
        <v/>
      </c>
      <c r="D390" t="str">
        <f>IFERROR(INDEX(tbl_input[집계키_청],ROW()-1),"")</f>
        <v/>
      </c>
    </row>
    <row r="391" spans="1:4" x14ac:dyDescent="0.4">
      <c r="A391" t="str">
        <f t="shared" si="12"/>
        <v/>
      </c>
      <c r="B391" t="str">
        <f t="shared" si="13"/>
        <v/>
      </c>
      <c r="C391" t="str">
        <f>IF(D391="","",IF(COUNTIF($D$2:D391,D391)&gt;1,"",SUMIFS(tbl_input[필요수량],tbl_input[집계키_청],D391)))</f>
        <v/>
      </c>
      <c r="D391" t="str">
        <f>IFERROR(INDEX(tbl_input[집계키_청],ROW()-1),"")</f>
        <v/>
      </c>
    </row>
    <row r="392" spans="1:4" x14ac:dyDescent="0.4">
      <c r="A392" t="str">
        <f t="shared" si="12"/>
        <v/>
      </c>
      <c r="B392" t="str">
        <f t="shared" si="13"/>
        <v/>
      </c>
      <c r="C392" t="str">
        <f>IF(D392="","",IF(COUNTIF($D$2:D392,D392)&gt;1,"",SUMIFS(tbl_input[필요수량],tbl_input[집계키_청],D392)))</f>
        <v/>
      </c>
      <c r="D392" t="str">
        <f>IFERROR(INDEX(tbl_input[집계키_청],ROW()-1),"")</f>
        <v/>
      </c>
    </row>
    <row r="393" spans="1:4" x14ac:dyDescent="0.4">
      <c r="A393" t="str">
        <f t="shared" si="12"/>
        <v/>
      </c>
      <c r="B393" t="str">
        <f t="shared" si="13"/>
        <v/>
      </c>
      <c r="C393" t="str">
        <f>IF(D393="","",IF(COUNTIF($D$2:D393,D393)&gt;1,"",SUMIFS(tbl_input[필요수량],tbl_input[집계키_청],D393)))</f>
        <v/>
      </c>
      <c r="D393" t="str">
        <f>IFERROR(INDEX(tbl_input[집계키_청],ROW()-1),"")</f>
        <v/>
      </c>
    </row>
    <row r="394" spans="1:4" x14ac:dyDescent="0.4">
      <c r="A394" t="str">
        <f t="shared" si="12"/>
        <v/>
      </c>
      <c r="B394" t="str">
        <f t="shared" si="13"/>
        <v/>
      </c>
      <c r="C394" t="str">
        <f>IF(D394="","",IF(COUNTIF($D$2:D394,D394)&gt;1,"",SUMIFS(tbl_input[필요수량],tbl_input[집계키_청],D394)))</f>
        <v/>
      </c>
      <c r="D394" t="str">
        <f>IFERROR(INDEX(tbl_input[집계키_청],ROW()-1),"")</f>
        <v/>
      </c>
    </row>
    <row r="395" spans="1:4" x14ac:dyDescent="0.4">
      <c r="A395" t="str">
        <f t="shared" si="12"/>
        <v/>
      </c>
      <c r="B395" t="str">
        <f t="shared" si="13"/>
        <v/>
      </c>
      <c r="C395" t="str">
        <f>IF(D395="","",IF(COUNTIF($D$2:D395,D395)&gt;1,"",SUMIFS(tbl_input[필요수량],tbl_input[집계키_청],D395)))</f>
        <v/>
      </c>
      <c r="D395" t="str">
        <f>IFERROR(INDEX(tbl_input[집계키_청],ROW()-1),"")</f>
        <v/>
      </c>
    </row>
    <row r="396" spans="1:4" x14ac:dyDescent="0.4">
      <c r="A396" t="str">
        <f t="shared" si="12"/>
        <v/>
      </c>
      <c r="B396" t="str">
        <f t="shared" si="13"/>
        <v/>
      </c>
      <c r="C396" t="str">
        <f>IF(D396="","",IF(COUNTIF($D$2:D396,D396)&gt;1,"",SUMIFS(tbl_input[필요수량],tbl_input[집계키_청],D396)))</f>
        <v/>
      </c>
      <c r="D396" t="str">
        <f>IFERROR(INDEX(tbl_input[집계키_청],ROW()-1),"")</f>
        <v/>
      </c>
    </row>
    <row r="397" spans="1:4" x14ac:dyDescent="0.4">
      <c r="A397" t="str">
        <f t="shared" si="12"/>
        <v/>
      </c>
      <c r="B397" t="str">
        <f t="shared" si="13"/>
        <v/>
      </c>
      <c r="C397" t="str">
        <f>IF(D397="","",IF(COUNTIF($D$2:D397,D397)&gt;1,"",SUMIFS(tbl_input[필요수량],tbl_input[집계키_청],D397)))</f>
        <v/>
      </c>
      <c r="D397" t="str">
        <f>IFERROR(INDEX(tbl_input[집계키_청],ROW()-1),"")</f>
        <v/>
      </c>
    </row>
    <row r="398" spans="1:4" x14ac:dyDescent="0.4">
      <c r="A398" t="str">
        <f t="shared" si="12"/>
        <v/>
      </c>
      <c r="B398" t="str">
        <f t="shared" si="13"/>
        <v/>
      </c>
      <c r="C398" t="str">
        <f>IF(D398="","",IF(COUNTIF($D$2:D398,D398)&gt;1,"",SUMIFS(tbl_input[필요수량],tbl_input[집계키_청],D398)))</f>
        <v/>
      </c>
      <c r="D398" t="str">
        <f>IFERROR(INDEX(tbl_input[집계키_청],ROW()-1),"")</f>
        <v/>
      </c>
    </row>
    <row r="399" spans="1:4" x14ac:dyDescent="0.4">
      <c r="A399" t="str">
        <f t="shared" si="12"/>
        <v/>
      </c>
      <c r="B399" t="str">
        <f t="shared" si="13"/>
        <v/>
      </c>
      <c r="C399" t="str">
        <f>IF(D399="","",IF(COUNTIF($D$2:D399,D399)&gt;1,"",SUMIFS(tbl_input[필요수량],tbl_input[집계키_청],D399)))</f>
        <v/>
      </c>
      <c r="D399" t="str">
        <f>IFERROR(INDEX(tbl_input[집계키_청],ROW()-1),"")</f>
        <v/>
      </c>
    </row>
    <row r="400" spans="1:4" x14ac:dyDescent="0.4">
      <c r="A400" t="str">
        <f t="shared" si="12"/>
        <v/>
      </c>
      <c r="B400" t="str">
        <f t="shared" si="13"/>
        <v/>
      </c>
      <c r="C400" t="str">
        <f>IF(D400="","",IF(COUNTIF($D$2:D400,D400)&gt;1,"",SUMIFS(tbl_input[필요수량],tbl_input[집계키_청],D400)))</f>
        <v/>
      </c>
      <c r="D400" t="str">
        <f>IFERROR(INDEX(tbl_input[집계키_청],ROW()-1),"")</f>
        <v/>
      </c>
    </row>
    <row r="401" spans="1:4" x14ac:dyDescent="0.4">
      <c r="A401" t="str">
        <f t="shared" si="12"/>
        <v/>
      </c>
      <c r="B401" t="str">
        <f t="shared" si="13"/>
        <v/>
      </c>
      <c r="C401" t="str">
        <f>IF(D401="","",IF(COUNTIF($D$2:D401,D401)&gt;1,"",SUMIFS(tbl_input[필요수량],tbl_input[집계키_청],D401)))</f>
        <v/>
      </c>
      <c r="D401" t="str">
        <f>IFERROR(INDEX(tbl_input[집계키_청],ROW()-1),"")</f>
        <v/>
      </c>
    </row>
    <row r="402" spans="1:4" x14ac:dyDescent="0.4">
      <c r="A402" t="str">
        <f t="shared" si="12"/>
        <v/>
      </c>
      <c r="B402" t="str">
        <f t="shared" si="13"/>
        <v/>
      </c>
      <c r="C402" t="str">
        <f>IF(D402="","",IF(COUNTIF($D$2:D402,D402)&gt;1,"",SUMIFS(tbl_input[필요수량],tbl_input[집계키_청],D402)))</f>
        <v/>
      </c>
      <c r="D402" t="str">
        <f>IFERROR(INDEX(tbl_input[집계키_청],ROW()-1),"")</f>
        <v/>
      </c>
    </row>
    <row r="403" spans="1:4" x14ac:dyDescent="0.4">
      <c r="A403" t="str">
        <f t="shared" si="12"/>
        <v/>
      </c>
      <c r="B403" t="str">
        <f t="shared" si="13"/>
        <v/>
      </c>
      <c r="C403" t="str">
        <f>IF(D403="","",IF(COUNTIF($D$2:D403,D403)&gt;1,"",SUMIFS(tbl_input[필요수량],tbl_input[집계키_청],D403)))</f>
        <v/>
      </c>
      <c r="D403" t="str">
        <f>IFERROR(INDEX(tbl_input[집계키_청],ROW()-1),"")</f>
        <v/>
      </c>
    </row>
    <row r="404" spans="1:4" x14ac:dyDescent="0.4">
      <c r="A404" t="str">
        <f t="shared" si="12"/>
        <v/>
      </c>
      <c r="B404" t="str">
        <f t="shared" si="13"/>
        <v/>
      </c>
      <c r="C404" t="str">
        <f>IF(D404="","",IF(COUNTIF($D$2:D404,D404)&gt;1,"",SUMIFS(tbl_input[필요수량],tbl_input[집계키_청],D404)))</f>
        <v/>
      </c>
      <c r="D404" t="str">
        <f>IFERROR(INDEX(tbl_input[집계키_청],ROW()-1),"")</f>
        <v/>
      </c>
    </row>
    <row r="405" spans="1:4" x14ac:dyDescent="0.4">
      <c r="A405" t="str">
        <f t="shared" si="12"/>
        <v/>
      </c>
      <c r="B405" t="str">
        <f t="shared" si="13"/>
        <v/>
      </c>
      <c r="C405" t="str">
        <f>IF(D405="","",IF(COUNTIF($D$2:D405,D405)&gt;1,"",SUMIFS(tbl_input[필요수량],tbl_input[집계키_청],D405)))</f>
        <v/>
      </c>
      <c r="D405" t="str">
        <f>IFERROR(INDEX(tbl_input[집계키_청],ROW()-1),"")</f>
        <v/>
      </c>
    </row>
    <row r="406" spans="1:4" x14ac:dyDescent="0.4">
      <c r="A406" t="str">
        <f t="shared" si="12"/>
        <v/>
      </c>
      <c r="B406" t="str">
        <f t="shared" si="13"/>
        <v/>
      </c>
      <c r="C406" t="str">
        <f>IF(D406="","",IF(COUNTIF($D$2:D406,D406)&gt;1,"",SUMIFS(tbl_input[필요수량],tbl_input[집계키_청],D406)))</f>
        <v/>
      </c>
      <c r="D406" t="str">
        <f>IFERROR(INDEX(tbl_input[집계키_청],ROW()-1),"")</f>
        <v/>
      </c>
    </row>
    <row r="407" spans="1:4" x14ac:dyDescent="0.4">
      <c r="A407" t="str">
        <f t="shared" si="12"/>
        <v/>
      </c>
      <c r="B407" t="str">
        <f t="shared" si="13"/>
        <v/>
      </c>
      <c r="C407" t="str">
        <f>IF(D407="","",IF(COUNTIF($D$2:D407,D407)&gt;1,"",SUMIFS(tbl_input[필요수량],tbl_input[집계키_청],D407)))</f>
        <v/>
      </c>
      <c r="D407" t="str">
        <f>IFERROR(INDEX(tbl_input[집계키_청],ROW()-1),"")</f>
        <v/>
      </c>
    </row>
    <row r="408" spans="1:4" x14ac:dyDescent="0.4">
      <c r="A408" t="str">
        <f t="shared" si="12"/>
        <v/>
      </c>
      <c r="B408" t="str">
        <f t="shared" si="13"/>
        <v/>
      </c>
      <c r="C408" t="str">
        <f>IF(D408="","",IF(COUNTIF($D$2:D408,D408)&gt;1,"",SUMIFS(tbl_input[필요수량],tbl_input[집계키_청],D408)))</f>
        <v/>
      </c>
      <c r="D408" t="str">
        <f>IFERROR(INDEX(tbl_input[집계키_청],ROW()-1),"")</f>
        <v/>
      </c>
    </row>
    <row r="409" spans="1:4" x14ac:dyDescent="0.4">
      <c r="A409" t="str">
        <f t="shared" si="12"/>
        <v/>
      </c>
      <c r="B409" t="str">
        <f t="shared" si="13"/>
        <v/>
      </c>
      <c r="C409" t="str">
        <f>IF(D409="","",IF(COUNTIF($D$2:D409,D409)&gt;1,"",SUMIFS(tbl_input[필요수량],tbl_input[집계키_청],D409)))</f>
        <v/>
      </c>
      <c r="D409" t="str">
        <f>IFERROR(INDEX(tbl_input[집계키_청],ROW()-1),"")</f>
        <v/>
      </c>
    </row>
    <row r="410" spans="1:4" x14ac:dyDescent="0.4">
      <c r="A410" t="str">
        <f t="shared" si="12"/>
        <v/>
      </c>
      <c r="B410" t="str">
        <f t="shared" si="13"/>
        <v/>
      </c>
      <c r="C410" t="str">
        <f>IF(D410="","",IF(COUNTIF($D$2:D410,D410)&gt;1,"",SUMIFS(tbl_input[필요수량],tbl_input[집계키_청],D410)))</f>
        <v/>
      </c>
      <c r="D410" t="str">
        <f>IFERROR(INDEX(tbl_input[집계키_청],ROW()-1),"")</f>
        <v/>
      </c>
    </row>
    <row r="411" spans="1:4" x14ac:dyDescent="0.4">
      <c r="A411" t="str">
        <f t="shared" si="12"/>
        <v/>
      </c>
      <c r="B411" t="str">
        <f t="shared" si="13"/>
        <v/>
      </c>
      <c r="C411" t="str">
        <f>IF(D411="","",IF(COUNTIF($D$2:D411,D411)&gt;1,"",SUMIFS(tbl_input[필요수량],tbl_input[집계키_청],D411)))</f>
        <v/>
      </c>
      <c r="D411" t="str">
        <f>IFERROR(INDEX(tbl_input[집계키_청],ROW()-1),"")</f>
        <v/>
      </c>
    </row>
    <row r="412" spans="1:4" x14ac:dyDescent="0.4">
      <c r="A412" t="str">
        <f t="shared" si="12"/>
        <v/>
      </c>
      <c r="B412" t="str">
        <f t="shared" si="13"/>
        <v/>
      </c>
      <c r="C412" t="str">
        <f>IF(D412="","",IF(COUNTIF($D$2:D412,D412)&gt;1,"",SUMIFS(tbl_input[필요수량],tbl_input[집계키_청],D412)))</f>
        <v/>
      </c>
      <c r="D412" t="str">
        <f>IFERROR(INDEX(tbl_input[집계키_청],ROW()-1),"")</f>
        <v/>
      </c>
    </row>
    <row r="413" spans="1:4" x14ac:dyDescent="0.4">
      <c r="A413" t="str">
        <f t="shared" si="12"/>
        <v/>
      </c>
      <c r="B413" t="str">
        <f t="shared" si="13"/>
        <v/>
      </c>
      <c r="C413" t="str">
        <f>IF(D413="","",IF(COUNTIF($D$2:D413,D413)&gt;1,"",SUMIFS(tbl_input[필요수량],tbl_input[집계키_청],D413)))</f>
        <v/>
      </c>
      <c r="D413" t="str">
        <f>IFERROR(INDEX(tbl_input[집계키_청],ROW()-1),"")</f>
        <v/>
      </c>
    </row>
    <row r="414" spans="1:4" x14ac:dyDescent="0.4">
      <c r="A414" t="str">
        <f t="shared" si="12"/>
        <v/>
      </c>
      <c r="B414" t="str">
        <f t="shared" si="13"/>
        <v/>
      </c>
      <c r="C414" t="str">
        <f>IF(D414="","",IF(COUNTIF($D$2:D414,D414)&gt;1,"",SUMIFS(tbl_input[필요수량],tbl_input[집계키_청],D414)))</f>
        <v/>
      </c>
      <c r="D414" t="str">
        <f>IFERROR(INDEX(tbl_input[집계키_청],ROW()-1),"")</f>
        <v/>
      </c>
    </row>
    <row r="415" spans="1:4" x14ac:dyDescent="0.4">
      <c r="A415" t="str">
        <f t="shared" si="12"/>
        <v/>
      </c>
      <c r="B415" t="str">
        <f t="shared" si="13"/>
        <v/>
      </c>
      <c r="C415" t="str">
        <f>IF(D415="","",IF(COUNTIF($D$2:D415,D415)&gt;1,"",SUMIFS(tbl_input[필요수량],tbl_input[집계키_청],D415)))</f>
        <v/>
      </c>
      <c r="D415" t="str">
        <f>IFERROR(INDEX(tbl_input[집계키_청],ROW()-1),"")</f>
        <v/>
      </c>
    </row>
    <row r="416" spans="1:4" x14ac:dyDescent="0.4">
      <c r="A416" t="str">
        <f t="shared" si="12"/>
        <v/>
      </c>
      <c r="B416" t="str">
        <f t="shared" si="13"/>
        <v/>
      </c>
      <c r="C416" t="str">
        <f>IF(D416="","",IF(COUNTIF($D$2:D416,D416)&gt;1,"",SUMIFS(tbl_input[필요수량],tbl_input[집계키_청],D416)))</f>
        <v/>
      </c>
      <c r="D416" t="str">
        <f>IFERROR(INDEX(tbl_input[집계키_청],ROW()-1),"")</f>
        <v/>
      </c>
    </row>
    <row r="417" spans="1:4" x14ac:dyDescent="0.4">
      <c r="A417" t="str">
        <f t="shared" si="12"/>
        <v/>
      </c>
      <c r="B417" t="str">
        <f t="shared" si="13"/>
        <v/>
      </c>
      <c r="C417" t="str">
        <f>IF(D417="","",IF(COUNTIF($D$2:D417,D417)&gt;1,"",SUMIFS(tbl_input[필요수량],tbl_input[집계키_청],D417)))</f>
        <v/>
      </c>
      <c r="D417" t="str">
        <f>IFERROR(INDEX(tbl_input[집계키_청],ROW()-1),"")</f>
        <v/>
      </c>
    </row>
    <row r="418" spans="1:4" x14ac:dyDescent="0.4">
      <c r="A418" t="str">
        <f t="shared" si="12"/>
        <v/>
      </c>
      <c r="B418" t="str">
        <f t="shared" si="13"/>
        <v/>
      </c>
      <c r="C418" t="str">
        <f>IF(D418="","",IF(COUNTIF($D$2:D418,D418)&gt;1,"",SUMIFS(tbl_input[필요수량],tbl_input[집계키_청],D418)))</f>
        <v/>
      </c>
      <c r="D418" t="str">
        <f>IFERROR(INDEX(tbl_input[집계키_청],ROW()-1),"")</f>
        <v/>
      </c>
    </row>
    <row r="419" spans="1:4" x14ac:dyDescent="0.4">
      <c r="A419" t="str">
        <f t="shared" si="12"/>
        <v/>
      </c>
      <c r="B419" t="str">
        <f t="shared" si="13"/>
        <v/>
      </c>
      <c r="C419" t="str">
        <f>IF(D419="","",IF(COUNTIF($D$2:D419,D419)&gt;1,"",SUMIFS(tbl_input[필요수량],tbl_input[집계키_청],D419)))</f>
        <v/>
      </c>
      <c r="D419" t="str">
        <f>IFERROR(INDEX(tbl_input[집계키_청],ROW()-1),"")</f>
        <v/>
      </c>
    </row>
    <row r="420" spans="1:4" x14ac:dyDescent="0.4">
      <c r="A420" t="str">
        <f t="shared" si="12"/>
        <v/>
      </c>
      <c r="B420" t="str">
        <f t="shared" si="13"/>
        <v/>
      </c>
      <c r="C420" t="str">
        <f>IF(D420="","",IF(COUNTIF($D$2:D420,D420)&gt;1,"",SUMIFS(tbl_input[필요수량],tbl_input[집계키_청],D420)))</f>
        <v/>
      </c>
      <c r="D420" t="str">
        <f>IFERROR(INDEX(tbl_input[집계키_청],ROW()-1),"")</f>
        <v/>
      </c>
    </row>
    <row r="421" spans="1:4" x14ac:dyDescent="0.4">
      <c r="A421" t="str">
        <f t="shared" si="12"/>
        <v/>
      </c>
      <c r="B421" t="str">
        <f t="shared" si="13"/>
        <v/>
      </c>
      <c r="C421" t="str">
        <f>IF(D421="","",IF(COUNTIF($D$2:D421,D421)&gt;1,"",SUMIFS(tbl_input[필요수량],tbl_input[집계키_청],D421)))</f>
        <v/>
      </c>
      <c r="D421" t="str">
        <f>IFERROR(INDEX(tbl_input[집계키_청],ROW()-1),"")</f>
        <v/>
      </c>
    </row>
    <row r="422" spans="1:4" x14ac:dyDescent="0.4">
      <c r="A422" t="str">
        <f t="shared" si="12"/>
        <v/>
      </c>
      <c r="B422" t="str">
        <f t="shared" si="13"/>
        <v/>
      </c>
      <c r="C422" t="str">
        <f>IF(D422="","",IF(COUNTIF($D$2:D422,D422)&gt;1,"",SUMIFS(tbl_input[필요수량],tbl_input[집계키_청],D422)))</f>
        <v/>
      </c>
      <c r="D422" t="str">
        <f>IFERROR(INDEX(tbl_input[집계키_청],ROW()-1),"")</f>
        <v/>
      </c>
    </row>
    <row r="423" spans="1:4" x14ac:dyDescent="0.4">
      <c r="A423" t="str">
        <f t="shared" si="12"/>
        <v/>
      </c>
      <c r="B423" t="str">
        <f t="shared" si="13"/>
        <v/>
      </c>
      <c r="C423" t="str">
        <f>IF(D423="","",IF(COUNTIF($D$2:D423,D423)&gt;1,"",SUMIFS(tbl_input[필요수량],tbl_input[집계키_청],D423)))</f>
        <v/>
      </c>
      <c r="D423" t="str">
        <f>IFERROR(INDEX(tbl_input[집계키_청],ROW()-1),"")</f>
        <v/>
      </c>
    </row>
    <row r="424" spans="1:4" x14ac:dyDescent="0.4">
      <c r="A424" t="str">
        <f t="shared" si="12"/>
        <v/>
      </c>
      <c r="B424" t="str">
        <f t="shared" si="13"/>
        <v/>
      </c>
      <c r="C424" t="str">
        <f>IF(D424="","",IF(COUNTIF($D$2:D424,D424)&gt;1,"",SUMIFS(tbl_input[필요수량],tbl_input[집계키_청],D424)))</f>
        <v/>
      </c>
      <c r="D424" t="str">
        <f>IFERROR(INDEX(tbl_input[집계키_청],ROW()-1),"")</f>
        <v/>
      </c>
    </row>
    <row r="425" spans="1:4" x14ac:dyDescent="0.4">
      <c r="A425" t="str">
        <f t="shared" si="12"/>
        <v/>
      </c>
      <c r="B425" t="str">
        <f t="shared" si="13"/>
        <v/>
      </c>
      <c r="C425" t="str">
        <f>IF(D425="","",IF(COUNTIF($D$2:D425,D425)&gt;1,"",SUMIFS(tbl_input[필요수량],tbl_input[집계키_청],D425)))</f>
        <v/>
      </c>
      <c r="D425" t="str">
        <f>IFERROR(INDEX(tbl_input[집계키_청],ROW()-1),"")</f>
        <v/>
      </c>
    </row>
    <row r="426" spans="1:4" x14ac:dyDescent="0.4">
      <c r="A426" t="str">
        <f t="shared" si="12"/>
        <v/>
      </c>
      <c r="B426" t="str">
        <f t="shared" si="13"/>
        <v/>
      </c>
      <c r="C426" t="str">
        <f>IF(D426="","",IF(COUNTIF($D$2:D426,D426)&gt;1,"",SUMIFS(tbl_input[필요수량],tbl_input[집계키_청],D426)))</f>
        <v/>
      </c>
      <c r="D426" t="str">
        <f>IFERROR(INDEX(tbl_input[집계키_청],ROW()-1),"")</f>
        <v/>
      </c>
    </row>
    <row r="427" spans="1:4" x14ac:dyDescent="0.4">
      <c r="A427" t="str">
        <f t="shared" si="12"/>
        <v/>
      </c>
      <c r="B427" t="str">
        <f t="shared" si="13"/>
        <v/>
      </c>
      <c r="C427" t="str">
        <f>IF(D427="","",IF(COUNTIF($D$2:D427,D427)&gt;1,"",SUMIFS(tbl_input[필요수량],tbl_input[집계키_청],D427)))</f>
        <v/>
      </c>
      <c r="D427" t="str">
        <f>IFERROR(INDEX(tbl_input[집계키_청],ROW()-1),"")</f>
        <v/>
      </c>
    </row>
    <row r="428" spans="1:4" x14ac:dyDescent="0.4">
      <c r="A428" t="str">
        <f t="shared" si="12"/>
        <v/>
      </c>
      <c r="B428" t="str">
        <f t="shared" si="13"/>
        <v/>
      </c>
      <c r="C428" t="str">
        <f>IF(D428="","",IF(COUNTIF($D$2:D428,D428)&gt;1,"",SUMIFS(tbl_input[필요수량],tbl_input[집계키_청],D428)))</f>
        <v/>
      </c>
      <c r="D428" t="str">
        <f>IFERROR(INDEX(tbl_input[집계키_청],ROW()-1),"")</f>
        <v/>
      </c>
    </row>
    <row r="429" spans="1:4" x14ac:dyDescent="0.4">
      <c r="A429" t="str">
        <f t="shared" si="12"/>
        <v/>
      </c>
      <c r="B429" t="str">
        <f t="shared" si="13"/>
        <v/>
      </c>
      <c r="C429" t="str">
        <f>IF(D429="","",IF(COUNTIF($D$2:D429,D429)&gt;1,"",SUMIFS(tbl_input[필요수량],tbl_input[집계키_청],D429)))</f>
        <v/>
      </c>
      <c r="D429" t="str">
        <f>IFERROR(INDEX(tbl_input[집계키_청],ROW()-1),"")</f>
        <v/>
      </c>
    </row>
    <row r="430" spans="1:4" x14ac:dyDescent="0.4">
      <c r="A430" t="str">
        <f t="shared" si="12"/>
        <v/>
      </c>
      <c r="B430" t="str">
        <f t="shared" si="13"/>
        <v/>
      </c>
      <c r="C430" t="str">
        <f>IF(D430="","",IF(COUNTIF($D$2:D430,D430)&gt;1,"",SUMIFS(tbl_input[필요수량],tbl_input[집계키_청],D430)))</f>
        <v/>
      </c>
      <c r="D430" t="str">
        <f>IFERROR(INDEX(tbl_input[집계키_청],ROW()-1),"")</f>
        <v/>
      </c>
    </row>
    <row r="431" spans="1:4" x14ac:dyDescent="0.4">
      <c r="A431" t="str">
        <f t="shared" si="12"/>
        <v/>
      </c>
      <c r="B431" t="str">
        <f t="shared" si="13"/>
        <v/>
      </c>
      <c r="C431" t="str">
        <f>IF(D431="","",IF(COUNTIF($D$2:D431,D431)&gt;1,"",SUMIFS(tbl_input[필요수량],tbl_input[집계키_청],D431)))</f>
        <v/>
      </c>
      <c r="D431" t="str">
        <f>IFERROR(INDEX(tbl_input[집계키_청],ROW()-1),"")</f>
        <v/>
      </c>
    </row>
    <row r="432" spans="1:4" x14ac:dyDescent="0.4">
      <c r="A432" t="str">
        <f t="shared" si="12"/>
        <v/>
      </c>
      <c r="B432" t="str">
        <f t="shared" si="13"/>
        <v/>
      </c>
      <c r="C432" t="str">
        <f>IF(D432="","",IF(COUNTIF($D$2:D432,D432)&gt;1,"",SUMIFS(tbl_input[필요수량],tbl_input[집계키_청],D432)))</f>
        <v/>
      </c>
      <c r="D432" t="str">
        <f>IFERROR(INDEX(tbl_input[집계키_청],ROW()-1),"")</f>
        <v/>
      </c>
    </row>
    <row r="433" spans="1:4" x14ac:dyDescent="0.4">
      <c r="A433" t="str">
        <f t="shared" si="12"/>
        <v/>
      </c>
      <c r="B433" t="str">
        <f t="shared" si="13"/>
        <v/>
      </c>
      <c r="C433" t="str">
        <f>IF(D433="","",IF(COUNTIF($D$2:D433,D433)&gt;1,"",SUMIFS(tbl_input[필요수량],tbl_input[집계키_청],D433)))</f>
        <v/>
      </c>
      <c r="D433" t="str">
        <f>IFERROR(INDEX(tbl_input[집계키_청],ROW()-1),"")</f>
        <v/>
      </c>
    </row>
    <row r="434" spans="1:4" x14ac:dyDescent="0.4">
      <c r="A434" t="str">
        <f t="shared" si="12"/>
        <v/>
      </c>
      <c r="B434" t="str">
        <f t="shared" si="13"/>
        <v/>
      </c>
      <c r="C434" t="str">
        <f>IF(D434="","",IF(COUNTIF($D$2:D434,D434)&gt;1,"",SUMIFS(tbl_input[필요수량],tbl_input[집계키_청],D434)))</f>
        <v/>
      </c>
      <c r="D434" t="str">
        <f>IFERROR(INDEX(tbl_input[집계키_청],ROW()-1),"")</f>
        <v/>
      </c>
    </row>
    <row r="435" spans="1:4" x14ac:dyDescent="0.4">
      <c r="A435" t="str">
        <f t="shared" si="12"/>
        <v/>
      </c>
      <c r="B435" t="str">
        <f t="shared" si="13"/>
        <v/>
      </c>
      <c r="C435" t="str">
        <f>IF(D435="","",IF(COUNTIF($D$2:D435,D435)&gt;1,"",SUMIFS(tbl_input[필요수량],tbl_input[집계키_청],D435)))</f>
        <v/>
      </c>
      <c r="D435" t="str">
        <f>IFERROR(INDEX(tbl_input[집계키_청],ROW()-1),"")</f>
        <v/>
      </c>
    </row>
    <row r="436" spans="1:4" x14ac:dyDescent="0.4">
      <c r="A436" t="str">
        <f t="shared" si="12"/>
        <v/>
      </c>
      <c r="B436" t="str">
        <f t="shared" si="13"/>
        <v/>
      </c>
      <c r="C436" t="str">
        <f>IF(D436="","",IF(COUNTIF($D$2:D436,D436)&gt;1,"",SUMIFS(tbl_input[필요수량],tbl_input[집계키_청],D436)))</f>
        <v/>
      </c>
      <c r="D436" t="str">
        <f>IFERROR(INDEX(tbl_input[집계키_청],ROW()-1),"")</f>
        <v/>
      </c>
    </row>
    <row r="437" spans="1:4" x14ac:dyDescent="0.4">
      <c r="A437" t="str">
        <f t="shared" si="12"/>
        <v/>
      </c>
      <c r="B437" t="str">
        <f t="shared" si="13"/>
        <v/>
      </c>
      <c r="C437" t="str">
        <f>IF(D437="","",IF(COUNTIF($D$2:D437,D437)&gt;1,"",SUMIFS(tbl_input[필요수량],tbl_input[집계키_청],D437)))</f>
        <v/>
      </c>
      <c r="D437" t="str">
        <f>IFERROR(INDEX(tbl_input[집계키_청],ROW()-1),"")</f>
        <v/>
      </c>
    </row>
    <row r="438" spans="1:4" x14ac:dyDescent="0.4">
      <c r="A438" t="str">
        <f t="shared" si="12"/>
        <v/>
      </c>
      <c r="B438" t="str">
        <f t="shared" si="13"/>
        <v/>
      </c>
      <c r="C438" t="str">
        <f>IF(D438="","",IF(COUNTIF($D$2:D438,D438)&gt;1,"",SUMIFS(tbl_input[필요수량],tbl_input[집계키_청],D438)))</f>
        <v/>
      </c>
      <c r="D438" t="str">
        <f>IFERROR(INDEX(tbl_input[집계키_청],ROW()-1),"")</f>
        <v/>
      </c>
    </row>
    <row r="439" spans="1:4" x14ac:dyDescent="0.4">
      <c r="A439" t="str">
        <f t="shared" si="12"/>
        <v/>
      </c>
      <c r="B439" t="str">
        <f t="shared" si="13"/>
        <v/>
      </c>
      <c r="C439" t="str">
        <f>IF(D439="","",IF(COUNTIF($D$2:D439,D439)&gt;1,"",SUMIFS(tbl_input[필요수량],tbl_input[집계키_청],D439)))</f>
        <v/>
      </c>
      <c r="D439" t="str">
        <f>IFERROR(INDEX(tbl_input[집계키_청],ROW()-1),"")</f>
        <v/>
      </c>
    </row>
    <row r="440" spans="1:4" x14ac:dyDescent="0.4">
      <c r="A440" t="str">
        <f t="shared" si="12"/>
        <v/>
      </c>
      <c r="B440" t="str">
        <f t="shared" si="13"/>
        <v/>
      </c>
      <c r="C440" t="str">
        <f>IF(D440="","",IF(COUNTIF($D$2:D440,D440)&gt;1,"",SUMIFS(tbl_input[필요수량],tbl_input[집계키_청],D440)))</f>
        <v/>
      </c>
      <c r="D440" t="str">
        <f>IFERROR(INDEX(tbl_input[집계키_청],ROW()-1),"")</f>
        <v/>
      </c>
    </row>
    <row r="441" spans="1:4" x14ac:dyDescent="0.4">
      <c r="A441" t="str">
        <f t="shared" si="12"/>
        <v/>
      </c>
      <c r="B441" t="str">
        <f t="shared" si="13"/>
        <v/>
      </c>
      <c r="C441" t="str">
        <f>IF(D441="","",IF(COUNTIF($D$2:D441,D441)&gt;1,"",SUMIFS(tbl_input[필요수량],tbl_input[집계키_청],D441)))</f>
        <v/>
      </c>
      <c r="D441" t="str">
        <f>IFERROR(INDEX(tbl_input[집계키_청],ROW()-1),"")</f>
        <v/>
      </c>
    </row>
    <row r="442" spans="1:4" x14ac:dyDescent="0.4">
      <c r="A442" t="str">
        <f t="shared" si="12"/>
        <v/>
      </c>
      <c r="B442" t="str">
        <f t="shared" si="13"/>
        <v/>
      </c>
      <c r="C442" t="str">
        <f>IF(D442="","",IF(COUNTIF($D$2:D442,D442)&gt;1,"",SUMIFS(tbl_input[필요수량],tbl_input[집계키_청],D442)))</f>
        <v/>
      </c>
      <c r="D442" t="str">
        <f>IFERROR(INDEX(tbl_input[집계키_청],ROW()-1),"")</f>
        <v/>
      </c>
    </row>
    <row r="443" spans="1:4" x14ac:dyDescent="0.4">
      <c r="A443" t="str">
        <f t="shared" si="12"/>
        <v/>
      </c>
      <c r="B443" t="str">
        <f t="shared" si="13"/>
        <v/>
      </c>
      <c r="C443" t="str">
        <f>IF(D443="","",IF(COUNTIF($D$2:D443,D443)&gt;1,"",SUMIFS(tbl_input[필요수량],tbl_input[집계키_청],D443)))</f>
        <v/>
      </c>
      <c r="D443" t="str">
        <f>IFERROR(INDEX(tbl_input[집계키_청],ROW()-1),"")</f>
        <v/>
      </c>
    </row>
    <row r="444" spans="1:4" x14ac:dyDescent="0.4">
      <c r="A444" t="str">
        <f t="shared" si="12"/>
        <v/>
      </c>
      <c r="B444" t="str">
        <f t="shared" si="13"/>
        <v/>
      </c>
      <c r="C444" t="str">
        <f>IF(D444="","",IF(COUNTIF($D$2:D444,D444)&gt;1,"",SUMIFS(tbl_input[필요수량],tbl_input[집계키_청],D444)))</f>
        <v/>
      </c>
      <c r="D444" t="str">
        <f>IFERROR(INDEX(tbl_input[집계키_청],ROW()-1),"")</f>
        <v/>
      </c>
    </row>
    <row r="445" spans="1:4" x14ac:dyDescent="0.4">
      <c r="A445" t="str">
        <f t="shared" si="12"/>
        <v/>
      </c>
      <c r="B445" t="str">
        <f t="shared" si="13"/>
        <v/>
      </c>
      <c r="C445" t="str">
        <f>IF(D445="","",IF(COUNTIF($D$2:D445,D445)&gt;1,"",SUMIFS(tbl_input[필요수량],tbl_input[집계키_청],D445)))</f>
        <v/>
      </c>
      <c r="D445" t="str">
        <f>IFERROR(INDEX(tbl_input[집계키_청],ROW()-1),"")</f>
        <v/>
      </c>
    </row>
    <row r="446" spans="1:4" x14ac:dyDescent="0.4">
      <c r="A446" t="str">
        <f t="shared" si="12"/>
        <v/>
      </c>
      <c r="B446" t="str">
        <f t="shared" si="13"/>
        <v/>
      </c>
      <c r="C446" t="str">
        <f>IF(D446="","",IF(COUNTIF($D$2:D446,D446)&gt;1,"",SUMIFS(tbl_input[필요수량],tbl_input[집계키_청],D446)))</f>
        <v/>
      </c>
      <c r="D446" t="str">
        <f>IFERROR(INDEX(tbl_input[집계키_청],ROW()-1),"")</f>
        <v/>
      </c>
    </row>
    <row r="447" spans="1:4" x14ac:dyDescent="0.4">
      <c r="A447" t="str">
        <f t="shared" si="12"/>
        <v/>
      </c>
      <c r="B447" t="str">
        <f t="shared" si="13"/>
        <v/>
      </c>
      <c r="C447" t="str">
        <f>IF(D447="","",IF(COUNTIF($D$2:D447,D447)&gt;1,"",SUMIFS(tbl_input[필요수량],tbl_input[집계키_청],D447)))</f>
        <v/>
      </c>
      <c r="D447" t="str">
        <f>IFERROR(INDEX(tbl_input[집계키_청],ROW()-1),"")</f>
        <v/>
      </c>
    </row>
    <row r="448" spans="1:4" x14ac:dyDescent="0.4">
      <c r="A448" t="str">
        <f t="shared" si="12"/>
        <v/>
      </c>
      <c r="B448" t="str">
        <f t="shared" si="13"/>
        <v/>
      </c>
      <c r="C448" t="str">
        <f>IF(D448="","",IF(COUNTIF($D$2:D448,D448)&gt;1,"",SUMIFS(tbl_input[필요수량],tbl_input[집계키_청],D448)))</f>
        <v/>
      </c>
      <c r="D448" t="str">
        <f>IFERROR(INDEX(tbl_input[집계키_청],ROW()-1),"")</f>
        <v/>
      </c>
    </row>
    <row r="449" spans="1:4" x14ac:dyDescent="0.4">
      <c r="A449" t="str">
        <f t="shared" si="12"/>
        <v/>
      </c>
      <c r="B449" t="str">
        <f t="shared" si="13"/>
        <v/>
      </c>
      <c r="C449" t="str">
        <f>IF(D449="","",IF(COUNTIF($D$2:D449,D449)&gt;1,"",SUMIFS(tbl_input[필요수량],tbl_input[집계키_청],D449)))</f>
        <v/>
      </c>
      <c r="D449" t="str">
        <f>IFERROR(INDEX(tbl_input[집계키_청],ROW()-1),"")</f>
        <v/>
      </c>
    </row>
    <row r="450" spans="1:4" x14ac:dyDescent="0.4">
      <c r="A450" t="str">
        <f t="shared" ref="A450:A513" si="14">IF(D450="","",LEFT(D450,FIND("♦",D450)-1))</f>
        <v/>
      </c>
      <c r="B450" t="str">
        <f t="shared" ref="B450:B513" si="15">IF(D450="","",MID(D450,FIND("♦",D450)+1,999))</f>
        <v/>
      </c>
      <c r="C450" t="str">
        <f>IF(D450="","",IF(COUNTIF($D$2:D450,D450)&gt;1,"",SUMIFS(tbl_input[필요수량],tbl_input[집계키_청],D450)))</f>
        <v/>
      </c>
      <c r="D450" t="str">
        <f>IFERROR(INDEX(tbl_input[집계키_청],ROW()-1),"")</f>
        <v/>
      </c>
    </row>
    <row r="451" spans="1:4" x14ac:dyDescent="0.4">
      <c r="A451" t="str">
        <f t="shared" si="14"/>
        <v/>
      </c>
      <c r="B451" t="str">
        <f t="shared" si="15"/>
        <v/>
      </c>
      <c r="C451" t="str">
        <f>IF(D451="","",IF(COUNTIF($D$2:D451,D451)&gt;1,"",SUMIFS(tbl_input[필요수량],tbl_input[집계키_청],D451)))</f>
        <v/>
      </c>
      <c r="D451" t="str">
        <f>IFERROR(INDEX(tbl_input[집계키_청],ROW()-1),"")</f>
        <v/>
      </c>
    </row>
    <row r="452" spans="1:4" x14ac:dyDescent="0.4">
      <c r="A452" t="str">
        <f t="shared" si="14"/>
        <v/>
      </c>
      <c r="B452" t="str">
        <f t="shared" si="15"/>
        <v/>
      </c>
      <c r="C452" t="str">
        <f>IF(D452="","",IF(COUNTIF($D$2:D452,D452)&gt;1,"",SUMIFS(tbl_input[필요수량],tbl_input[집계키_청],D452)))</f>
        <v/>
      </c>
      <c r="D452" t="str">
        <f>IFERROR(INDEX(tbl_input[집계키_청],ROW()-1),"")</f>
        <v/>
      </c>
    </row>
    <row r="453" spans="1:4" x14ac:dyDescent="0.4">
      <c r="A453" t="str">
        <f t="shared" si="14"/>
        <v/>
      </c>
      <c r="B453" t="str">
        <f t="shared" si="15"/>
        <v/>
      </c>
      <c r="C453" t="str">
        <f>IF(D453="","",IF(COUNTIF($D$2:D453,D453)&gt;1,"",SUMIFS(tbl_input[필요수량],tbl_input[집계키_청],D453)))</f>
        <v/>
      </c>
      <c r="D453" t="str">
        <f>IFERROR(INDEX(tbl_input[집계키_청],ROW()-1),"")</f>
        <v/>
      </c>
    </row>
    <row r="454" spans="1:4" x14ac:dyDescent="0.4">
      <c r="A454" t="str">
        <f t="shared" si="14"/>
        <v/>
      </c>
      <c r="B454" t="str">
        <f t="shared" si="15"/>
        <v/>
      </c>
      <c r="C454" t="str">
        <f>IF(D454="","",IF(COUNTIF($D$2:D454,D454)&gt;1,"",SUMIFS(tbl_input[필요수량],tbl_input[집계키_청],D454)))</f>
        <v/>
      </c>
      <c r="D454" t="str">
        <f>IFERROR(INDEX(tbl_input[집계키_청],ROW()-1),"")</f>
        <v/>
      </c>
    </row>
    <row r="455" spans="1:4" x14ac:dyDescent="0.4">
      <c r="A455" t="str">
        <f t="shared" si="14"/>
        <v/>
      </c>
      <c r="B455" t="str">
        <f t="shared" si="15"/>
        <v/>
      </c>
      <c r="C455" t="str">
        <f>IF(D455="","",IF(COUNTIF($D$2:D455,D455)&gt;1,"",SUMIFS(tbl_input[필요수량],tbl_input[집계키_청],D455)))</f>
        <v/>
      </c>
      <c r="D455" t="str">
        <f>IFERROR(INDEX(tbl_input[집계키_청],ROW()-1),"")</f>
        <v/>
      </c>
    </row>
    <row r="456" spans="1:4" x14ac:dyDescent="0.4">
      <c r="A456" t="str">
        <f t="shared" si="14"/>
        <v/>
      </c>
      <c r="B456" t="str">
        <f t="shared" si="15"/>
        <v/>
      </c>
      <c r="C456" t="str">
        <f>IF(D456="","",IF(COUNTIF($D$2:D456,D456)&gt;1,"",SUMIFS(tbl_input[필요수량],tbl_input[집계키_청],D456)))</f>
        <v/>
      </c>
      <c r="D456" t="str">
        <f>IFERROR(INDEX(tbl_input[집계키_청],ROW()-1),"")</f>
        <v/>
      </c>
    </row>
    <row r="457" spans="1:4" x14ac:dyDescent="0.4">
      <c r="A457" t="str">
        <f t="shared" si="14"/>
        <v/>
      </c>
      <c r="B457" t="str">
        <f t="shared" si="15"/>
        <v/>
      </c>
      <c r="C457" t="str">
        <f>IF(D457="","",IF(COUNTIF($D$2:D457,D457)&gt;1,"",SUMIFS(tbl_input[필요수량],tbl_input[집계키_청],D457)))</f>
        <v/>
      </c>
      <c r="D457" t="str">
        <f>IFERROR(INDEX(tbl_input[집계키_청],ROW()-1),"")</f>
        <v/>
      </c>
    </row>
    <row r="458" spans="1:4" x14ac:dyDescent="0.4">
      <c r="A458" t="str">
        <f t="shared" si="14"/>
        <v/>
      </c>
      <c r="B458" t="str">
        <f t="shared" si="15"/>
        <v/>
      </c>
      <c r="C458" t="str">
        <f>IF(D458="","",IF(COUNTIF($D$2:D458,D458)&gt;1,"",SUMIFS(tbl_input[필요수량],tbl_input[집계키_청],D458)))</f>
        <v/>
      </c>
      <c r="D458" t="str">
        <f>IFERROR(INDEX(tbl_input[집계키_청],ROW()-1),"")</f>
        <v/>
      </c>
    </row>
    <row r="459" spans="1:4" x14ac:dyDescent="0.4">
      <c r="A459" t="str">
        <f t="shared" si="14"/>
        <v/>
      </c>
      <c r="B459" t="str">
        <f t="shared" si="15"/>
        <v/>
      </c>
      <c r="C459" t="str">
        <f>IF(D459="","",IF(COUNTIF($D$2:D459,D459)&gt;1,"",SUMIFS(tbl_input[필요수량],tbl_input[집계키_청],D459)))</f>
        <v/>
      </c>
      <c r="D459" t="str">
        <f>IFERROR(INDEX(tbl_input[집계키_청],ROW()-1),"")</f>
        <v/>
      </c>
    </row>
    <row r="460" spans="1:4" x14ac:dyDescent="0.4">
      <c r="A460" t="str">
        <f t="shared" si="14"/>
        <v/>
      </c>
      <c r="B460" t="str">
        <f t="shared" si="15"/>
        <v/>
      </c>
      <c r="C460" t="str">
        <f>IF(D460="","",IF(COUNTIF($D$2:D460,D460)&gt;1,"",SUMIFS(tbl_input[필요수량],tbl_input[집계키_청],D460)))</f>
        <v/>
      </c>
      <c r="D460" t="str">
        <f>IFERROR(INDEX(tbl_input[집계키_청],ROW()-1),"")</f>
        <v/>
      </c>
    </row>
    <row r="461" spans="1:4" x14ac:dyDescent="0.4">
      <c r="A461" t="str">
        <f t="shared" si="14"/>
        <v/>
      </c>
      <c r="B461" t="str">
        <f t="shared" si="15"/>
        <v/>
      </c>
      <c r="C461" t="str">
        <f>IF(D461="","",IF(COUNTIF($D$2:D461,D461)&gt;1,"",SUMIFS(tbl_input[필요수량],tbl_input[집계키_청],D461)))</f>
        <v/>
      </c>
      <c r="D461" t="str">
        <f>IFERROR(INDEX(tbl_input[집계키_청],ROW()-1),"")</f>
        <v/>
      </c>
    </row>
    <row r="462" spans="1:4" x14ac:dyDescent="0.4">
      <c r="A462" t="str">
        <f t="shared" si="14"/>
        <v/>
      </c>
      <c r="B462" t="str">
        <f t="shared" si="15"/>
        <v/>
      </c>
      <c r="C462" t="str">
        <f>IF(D462="","",IF(COUNTIF($D$2:D462,D462)&gt;1,"",SUMIFS(tbl_input[필요수량],tbl_input[집계키_청],D462)))</f>
        <v/>
      </c>
      <c r="D462" t="str">
        <f>IFERROR(INDEX(tbl_input[집계키_청],ROW()-1),"")</f>
        <v/>
      </c>
    </row>
    <row r="463" spans="1:4" x14ac:dyDescent="0.4">
      <c r="A463" t="str">
        <f t="shared" si="14"/>
        <v/>
      </c>
      <c r="B463" t="str">
        <f t="shared" si="15"/>
        <v/>
      </c>
      <c r="C463" t="str">
        <f>IF(D463="","",IF(COUNTIF($D$2:D463,D463)&gt;1,"",SUMIFS(tbl_input[필요수량],tbl_input[집계키_청],D463)))</f>
        <v/>
      </c>
      <c r="D463" t="str">
        <f>IFERROR(INDEX(tbl_input[집계키_청],ROW()-1),"")</f>
        <v/>
      </c>
    </row>
    <row r="464" spans="1:4" x14ac:dyDescent="0.4">
      <c r="A464" t="str">
        <f t="shared" si="14"/>
        <v/>
      </c>
      <c r="B464" t="str">
        <f t="shared" si="15"/>
        <v/>
      </c>
      <c r="C464" t="str">
        <f>IF(D464="","",IF(COUNTIF($D$2:D464,D464)&gt;1,"",SUMIFS(tbl_input[필요수량],tbl_input[집계키_청],D464)))</f>
        <v/>
      </c>
      <c r="D464" t="str">
        <f>IFERROR(INDEX(tbl_input[집계키_청],ROW()-1),"")</f>
        <v/>
      </c>
    </row>
    <row r="465" spans="1:4" x14ac:dyDescent="0.4">
      <c r="A465" t="str">
        <f t="shared" si="14"/>
        <v/>
      </c>
      <c r="B465" t="str">
        <f t="shared" si="15"/>
        <v/>
      </c>
      <c r="C465" t="str">
        <f>IF(D465="","",IF(COUNTIF($D$2:D465,D465)&gt;1,"",SUMIFS(tbl_input[필요수량],tbl_input[집계키_청],D465)))</f>
        <v/>
      </c>
      <c r="D465" t="str">
        <f>IFERROR(INDEX(tbl_input[집계키_청],ROW()-1),"")</f>
        <v/>
      </c>
    </row>
    <row r="466" spans="1:4" x14ac:dyDescent="0.4">
      <c r="A466" t="str">
        <f t="shared" si="14"/>
        <v/>
      </c>
      <c r="B466" t="str">
        <f t="shared" si="15"/>
        <v/>
      </c>
      <c r="C466" t="str">
        <f>IF(D466="","",IF(COUNTIF($D$2:D466,D466)&gt;1,"",SUMIFS(tbl_input[필요수량],tbl_input[집계키_청],D466)))</f>
        <v/>
      </c>
      <c r="D466" t="str">
        <f>IFERROR(INDEX(tbl_input[집계키_청],ROW()-1),"")</f>
        <v/>
      </c>
    </row>
    <row r="467" spans="1:4" x14ac:dyDescent="0.4">
      <c r="A467" t="str">
        <f t="shared" si="14"/>
        <v/>
      </c>
      <c r="B467" t="str">
        <f t="shared" si="15"/>
        <v/>
      </c>
      <c r="C467" t="str">
        <f>IF(D467="","",IF(COUNTIF($D$2:D467,D467)&gt;1,"",SUMIFS(tbl_input[필요수량],tbl_input[집계키_청],D467)))</f>
        <v/>
      </c>
      <c r="D467" t="str">
        <f>IFERROR(INDEX(tbl_input[집계키_청],ROW()-1),"")</f>
        <v/>
      </c>
    </row>
    <row r="468" spans="1:4" x14ac:dyDescent="0.4">
      <c r="A468" t="str">
        <f t="shared" si="14"/>
        <v/>
      </c>
      <c r="B468" t="str">
        <f t="shared" si="15"/>
        <v/>
      </c>
      <c r="C468" t="str">
        <f>IF(D468="","",IF(COUNTIF($D$2:D468,D468)&gt;1,"",SUMIFS(tbl_input[필요수량],tbl_input[집계키_청],D468)))</f>
        <v/>
      </c>
      <c r="D468" t="str">
        <f>IFERROR(INDEX(tbl_input[집계키_청],ROW()-1),"")</f>
        <v/>
      </c>
    </row>
    <row r="469" spans="1:4" x14ac:dyDescent="0.4">
      <c r="A469" t="str">
        <f t="shared" si="14"/>
        <v/>
      </c>
      <c r="B469" t="str">
        <f t="shared" si="15"/>
        <v/>
      </c>
      <c r="C469" t="str">
        <f>IF(D469="","",IF(COUNTIF($D$2:D469,D469)&gt;1,"",SUMIFS(tbl_input[필요수량],tbl_input[집계키_청],D469)))</f>
        <v/>
      </c>
      <c r="D469" t="str">
        <f>IFERROR(INDEX(tbl_input[집계키_청],ROW()-1),"")</f>
        <v/>
      </c>
    </row>
    <row r="470" spans="1:4" x14ac:dyDescent="0.4">
      <c r="A470" t="str">
        <f t="shared" si="14"/>
        <v/>
      </c>
      <c r="B470" t="str">
        <f t="shared" si="15"/>
        <v/>
      </c>
      <c r="C470" t="str">
        <f>IF(D470="","",IF(COUNTIF($D$2:D470,D470)&gt;1,"",SUMIFS(tbl_input[필요수량],tbl_input[집계키_청],D470)))</f>
        <v/>
      </c>
      <c r="D470" t="str">
        <f>IFERROR(INDEX(tbl_input[집계키_청],ROW()-1),"")</f>
        <v/>
      </c>
    </row>
    <row r="471" spans="1:4" x14ac:dyDescent="0.4">
      <c r="A471" t="str">
        <f t="shared" si="14"/>
        <v/>
      </c>
      <c r="B471" t="str">
        <f t="shared" si="15"/>
        <v/>
      </c>
      <c r="C471" t="str">
        <f>IF(D471="","",IF(COUNTIF($D$2:D471,D471)&gt;1,"",SUMIFS(tbl_input[필요수량],tbl_input[집계키_청],D471)))</f>
        <v/>
      </c>
      <c r="D471" t="str">
        <f>IFERROR(INDEX(tbl_input[집계키_청],ROW()-1),"")</f>
        <v/>
      </c>
    </row>
    <row r="472" spans="1:4" x14ac:dyDescent="0.4">
      <c r="A472" t="str">
        <f t="shared" si="14"/>
        <v/>
      </c>
      <c r="B472" t="str">
        <f t="shared" si="15"/>
        <v/>
      </c>
      <c r="C472" t="str">
        <f>IF(D472="","",IF(COUNTIF($D$2:D472,D472)&gt;1,"",SUMIFS(tbl_input[필요수량],tbl_input[집계키_청],D472)))</f>
        <v/>
      </c>
      <c r="D472" t="str">
        <f>IFERROR(INDEX(tbl_input[집계키_청],ROW()-1),"")</f>
        <v/>
      </c>
    </row>
    <row r="473" spans="1:4" x14ac:dyDescent="0.4">
      <c r="A473" t="str">
        <f t="shared" si="14"/>
        <v/>
      </c>
      <c r="B473" t="str">
        <f t="shared" si="15"/>
        <v/>
      </c>
      <c r="C473" t="str">
        <f>IF(D473="","",IF(COUNTIF($D$2:D473,D473)&gt;1,"",SUMIFS(tbl_input[필요수량],tbl_input[집계키_청],D473)))</f>
        <v/>
      </c>
      <c r="D473" t="str">
        <f>IFERROR(INDEX(tbl_input[집계키_청],ROW()-1),"")</f>
        <v/>
      </c>
    </row>
    <row r="474" spans="1:4" x14ac:dyDescent="0.4">
      <c r="A474" t="str">
        <f t="shared" si="14"/>
        <v/>
      </c>
      <c r="B474" t="str">
        <f t="shared" si="15"/>
        <v/>
      </c>
      <c r="C474" t="str">
        <f>IF(D474="","",IF(COUNTIF($D$2:D474,D474)&gt;1,"",SUMIFS(tbl_input[필요수량],tbl_input[집계키_청],D474)))</f>
        <v/>
      </c>
      <c r="D474" t="str">
        <f>IFERROR(INDEX(tbl_input[집계키_청],ROW()-1),"")</f>
        <v/>
      </c>
    </row>
    <row r="475" spans="1:4" x14ac:dyDescent="0.4">
      <c r="A475" t="str">
        <f t="shared" si="14"/>
        <v/>
      </c>
      <c r="B475" t="str">
        <f t="shared" si="15"/>
        <v/>
      </c>
      <c r="C475" t="str">
        <f>IF(D475="","",IF(COUNTIF($D$2:D475,D475)&gt;1,"",SUMIFS(tbl_input[필요수량],tbl_input[집계키_청],D475)))</f>
        <v/>
      </c>
      <c r="D475" t="str">
        <f>IFERROR(INDEX(tbl_input[집계키_청],ROW()-1),"")</f>
        <v/>
      </c>
    </row>
    <row r="476" spans="1:4" x14ac:dyDescent="0.4">
      <c r="A476" t="str">
        <f t="shared" si="14"/>
        <v/>
      </c>
      <c r="B476" t="str">
        <f t="shared" si="15"/>
        <v/>
      </c>
      <c r="C476" t="str">
        <f>IF(D476="","",IF(COUNTIF($D$2:D476,D476)&gt;1,"",SUMIFS(tbl_input[필요수량],tbl_input[집계키_청],D476)))</f>
        <v/>
      </c>
      <c r="D476" t="str">
        <f>IFERROR(INDEX(tbl_input[집계키_청],ROW()-1),"")</f>
        <v/>
      </c>
    </row>
    <row r="477" spans="1:4" x14ac:dyDescent="0.4">
      <c r="A477" t="str">
        <f t="shared" si="14"/>
        <v/>
      </c>
      <c r="B477" t="str">
        <f t="shared" si="15"/>
        <v/>
      </c>
      <c r="C477" t="str">
        <f>IF(D477="","",IF(COUNTIF($D$2:D477,D477)&gt;1,"",SUMIFS(tbl_input[필요수량],tbl_input[집계키_청],D477)))</f>
        <v/>
      </c>
      <c r="D477" t="str">
        <f>IFERROR(INDEX(tbl_input[집계키_청],ROW()-1),"")</f>
        <v/>
      </c>
    </row>
    <row r="478" spans="1:4" x14ac:dyDescent="0.4">
      <c r="A478" t="str">
        <f t="shared" si="14"/>
        <v/>
      </c>
      <c r="B478" t="str">
        <f t="shared" si="15"/>
        <v/>
      </c>
      <c r="C478" t="str">
        <f>IF(D478="","",IF(COUNTIF($D$2:D478,D478)&gt;1,"",SUMIFS(tbl_input[필요수량],tbl_input[집계키_청],D478)))</f>
        <v/>
      </c>
      <c r="D478" t="str">
        <f>IFERROR(INDEX(tbl_input[집계키_청],ROW()-1),"")</f>
        <v/>
      </c>
    </row>
    <row r="479" spans="1:4" x14ac:dyDescent="0.4">
      <c r="A479" t="str">
        <f t="shared" si="14"/>
        <v/>
      </c>
      <c r="B479" t="str">
        <f t="shared" si="15"/>
        <v/>
      </c>
      <c r="C479" t="str">
        <f>IF(D479="","",IF(COUNTIF($D$2:D479,D479)&gt;1,"",SUMIFS(tbl_input[필요수량],tbl_input[집계키_청],D479)))</f>
        <v/>
      </c>
      <c r="D479" t="str">
        <f>IFERROR(INDEX(tbl_input[집계키_청],ROW()-1),"")</f>
        <v/>
      </c>
    </row>
    <row r="480" spans="1:4" x14ac:dyDescent="0.4">
      <c r="A480" t="str">
        <f t="shared" si="14"/>
        <v/>
      </c>
      <c r="B480" t="str">
        <f t="shared" si="15"/>
        <v/>
      </c>
      <c r="C480" t="str">
        <f>IF(D480="","",IF(COUNTIF($D$2:D480,D480)&gt;1,"",SUMIFS(tbl_input[필요수량],tbl_input[집계키_청],D480)))</f>
        <v/>
      </c>
      <c r="D480" t="str">
        <f>IFERROR(INDEX(tbl_input[집계키_청],ROW()-1),"")</f>
        <v/>
      </c>
    </row>
    <row r="481" spans="1:4" x14ac:dyDescent="0.4">
      <c r="A481" t="str">
        <f t="shared" si="14"/>
        <v/>
      </c>
      <c r="B481" t="str">
        <f t="shared" si="15"/>
        <v/>
      </c>
      <c r="C481" t="str">
        <f>IF(D481="","",IF(COUNTIF($D$2:D481,D481)&gt;1,"",SUMIFS(tbl_input[필요수량],tbl_input[집계키_청],D481)))</f>
        <v/>
      </c>
      <c r="D481" t="str">
        <f>IFERROR(INDEX(tbl_input[집계키_청],ROW()-1),"")</f>
        <v/>
      </c>
    </row>
    <row r="482" spans="1:4" x14ac:dyDescent="0.4">
      <c r="A482" t="str">
        <f t="shared" si="14"/>
        <v/>
      </c>
      <c r="B482" t="str">
        <f t="shared" si="15"/>
        <v/>
      </c>
      <c r="C482" t="str">
        <f>IF(D482="","",IF(COUNTIF($D$2:D482,D482)&gt;1,"",SUMIFS(tbl_input[필요수량],tbl_input[집계키_청],D482)))</f>
        <v/>
      </c>
      <c r="D482" t="str">
        <f>IFERROR(INDEX(tbl_input[집계키_청],ROW()-1),"")</f>
        <v/>
      </c>
    </row>
    <row r="483" spans="1:4" x14ac:dyDescent="0.4">
      <c r="A483" t="str">
        <f t="shared" si="14"/>
        <v/>
      </c>
      <c r="B483" t="str">
        <f t="shared" si="15"/>
        <v/>
      </c>
      <c r="C483" t="str">
        <f>IF(D483="","",IF(COUNTIF($D$2:D483,D483)&gt;1,"",SUMIFS(tbl_input[필요수량],tbl_input[집계키_청],D483)))</f>
        <v/>
      </c>
      <c r="D483" t="str">
        <f>IFERROR(INDEX(tbl_input[집계키_청],ROW()-1),"")</f>
        <v/>
      </c>
    </row>
    <row r="484" spans="1:4" x14ac:dyDescent="0.4">
      <c r="A484" t="str">
        <f t="shared" si="14"/>
        <v/>
      </c>
      <c r="B484" t="str">
        <f t="shared" si="15"/>
        <v/>
      </c>
      <c r="C484" t="str">
        <f>IF(D484="","",IF(COUNTIF($D$2:D484,D484)&gt;1,"",SUMIFS(tbl_input[필요수량],tbl_input[집계키_청],D484)))</f>
        <v/>
      </c>
      <c r="D484" t="str">
        <f>IFERROR(INDEX(tbl_input[집계키_청],ROW()-1),"")</f>
        <v/>
      </c>
    </row>
    <row r="485" spans="1:4" x14ac:dyDescent="0.4">
      <c r="A485" t="str">
        <f t="shared" si="14"/>
        <v/>
      </c>
      <c r="B485" t="str">
        <f t="shared" si="15"/>
        <v/>
      </c>
      <c r="C485" t="str">
        <f>IF(D485="","",IF(COUNTIF($D$2:D485,D485)&gt;1,"",SUMIFS(tbl_input[필요수량],tbl_input[집계키_청],D485)))</f>
        <v/>
      </c>
      <c r="D485" t="str">
        <f>IFERROR(INDEX(tbl_input[집계키_청],ROW()-1),"")</f>
        <v/>
      </c>
    </row>
    <row r="486" spans="1:4" x14ac:dyDescent="0.4">
      <c r="A486" t="str">
        <f t="shared" si="14"/>
        <v/>
      </c>
      <c r="B486" t="str">
        <f t="shared" si="15"/>
        <v/>
      </c>
      <c r="C486" t="str">
        <f>IF(D486="","",IF(COUNTIF($D$2:D486,D486)&gt;1,"",SUMIFS(tbl_input[필요수량],tbl_input[집계키_청],D486)))</f>
        <v/>
      </c>
      <c r="D486" t="str">
        <f>IFERROR(INDEX(tbl_input[집계키_청],ROW()-1),"")</f>
        <v/>
      </c>
    </row>
    <row r="487" spans="1:4" x14ac:dyDescent="0.4">
      <c r="A487" t="str">
        <f t="shared" si="14"/>
        <v/>
      </c>
      <c r="B487" t="str">
        <f t="shared" si="15"/>
        <v/>
      </c>
      <c r="C487" t="str">
        <f>IF(D487="","",IF(COUNTIF($D$2:D487,D487)&gt;1,"",SUMIFS(tbl_input[필요수량],tbl_input[집계키_청],D487)))</f>
        <v/>
      </c>
      <c r="D487" t="str">
        <f>IFERROR(INDEX(tbl_input[집계키_청],ROW()-1),"")</f>
        <v/>
      </c>
    </row>
    <row r="488" spans="1:4" x14ac:dyDescent="0.4">
      <c r="A488" t="str">
        <f t="shared" si="14"/>
        <v/>
      </c>
      <c r="B488" t="str">
        <f t="shared" si="15"/>
        <v/>
      </c>
      <c r="C488" t="str">
        <f>IF(D488="","",IF(COUNTIF($D$2:D488,D488)&gt;1,"",SUMIFS(tbl_input[필요수량],tbl_input[집계키_청],D488)))</f>
        <v/>
      </c>
      <c r="D488" t="str">
        <f>IFERROR(INDEX(tbl_input[집계키_청],ROW()-1),"")</f>
        <v/>
      </c>
    </row>
    <row r="489" spans="1:4" x14ac:dyDescent="0.4">
      <c r="A489" t="str">
        <f t="shared" si="14"/>
        <v/>
      </c>
      <c r="B489" t="str">
        <f t="shared" si="15"/>
        <v/>
      </c>
      <c r="C489" t="str">
        <f>IF(D489="","",IF(COUNTIF($D$2:D489,D489)&gt;1,"",SUMIFS(tbl_input[필요수량],tbl_input[집계키_청],D489)))</f>
        <v/>
      </c>
      <c r="D489" t="str">
        <f>IFERROR(INDEX(tbl_input[집계키_청],ROW()-1),"")</f>
        <v/>
      </c>
    </row>
    <row r="490" spans="1:4" x14ac:dyDescent="0.4">
      <c r="A490" t="str">
        <f t="shared" si="14"/>
        <v/>
      </c>
      <c r="B490" t="str">
        <f t="shared" si="15"/>
        <v/>
      </c>
      <c r="C490" t="str">
        <f>IF(D490="","",IF(COUNTIF($D$2:D490,D490)&gt;1,"",SUMIFS(tbl_input[필요수량],tbl_input[집계키_청],D490)))</f>
        <v/>
      </c>
      <c r="D490" t="str">
        <f>IFERROR(INDEX(tbl_input[집계키_청],ROW()-1),"")</f>
        <v/>
      </c>
    </row>
    <row r="491" spans="1:4" x14ac:dyDescent="0.4">
      <c r="A491" t="str">
        <f t="shared" si="14"/>
        <v/>
      </c>
      <c r="B491" t="str">
        <f t="shared" si="15"/>
        <v/>
      </c>
      <c r="C491" t="str">
        <f>IF(D491="","",IF(COUNTIF($D$2:D491,D491)&gt;1,"",SUMIFS(tbl_input[필요수량],tbl_input[집계키_청],D491)))</f>
        <v/>
      </c>
      <c r="D491" t="str">
        <f>IFERROR(INDEX(tbl_input[집계키_청],ROW()-1),"")</f>
        <v/>
      </c>
    </row>
    <row r="492" spans="1:4" x14ac:dyDescent="0.4">
      <c r="A492" t="str">
        <f t="shared" si="14"/>
        <v/>
      </c>
      <c r="B492" t="str">
        <f t="shared" si="15"/>
        <v/>
      </c>
      <c r="C492" t="str">
        <f>IF(D492="","",IF(COUNTIF($D$2:D492,D492)&gt;1,"",SUMIFS(tbl_input[필요수량],tbl_input[집계키_청],D492)))</f>
        <v/>
      </c>
      <c r="D492" t="str">
        <f>IFERROR(INDEX(tbl_input[집계키_청],ROW()-1),"")</f>
        <v/>
      </c>
    </row>
    <row r="493" spans="1:4" x14ac:dyDescent="0.4">
      <c r="A493" t="str">
        <f t="shared" si="14"/>
        <v/>
      </c>
      <c r="B493" t="str">
        <f t="shared" si="15"/>
        <v/>
      </c>
      <c r="C493" t="str">
        <f>IF(D493="","",IF(COUNTIF($D$2:D493,D493)&gt;1,"",SUMIFS(tbl_input[필요수량],tbl_input[집계키_청],D493)))</f>
        <v/>
      </c>
      <c r="D493" t="str">
        <f>IFERROR(INDEX(tbl_input[집계키_청],ROW()-1),"")</f>
        <v/>
      </c>
    </row>
    <row r="494" spans="1:4" x14ac:dyDescent="0.4">
      <c r="A494" t="str">
        <f t="shared" si="14"/>
        <v/>
      </c>
      <c r="B494" t="str">
        <f t="shared" si="15"/>
        <v/>
      </c>
      <c r="C494" t="str">
        <f>IF(D494="","",IF(COUNTIF($D$2:D494,D494)&gt;1,"",SUMIFS(tbl_input[필요수량],tbl_input[집계키_청],D494)))</f>
        <v/>
      </c>
      <c r="D494" t="str">
        <f>IFERROR(INDEX(tbl_input[집계키_청],ROW()-1),"")</f>
        <v/>
      </c>
    </row>
    <row r="495" spans="1:4" x14ac:dyDescent="0.4">
      <c r="A495" t="str">
        <f t="shared" si="14"/>
        <v/>
      </c>
      <c r="B495" t="str">
        <f t="shared" si="15"/>
        <v/>
      </c>
      <c r="C495" t="str">
        <f>IF(D495="","",IF(COUNTIF($D$2:D495,D495)&gt;1,"",SUMIFS(tbl_input[필요수량],tbl_input[집계키_청],D495)))</f>
        <v/>
      </c>
      <c r="D495" t="str">
        <f>IFERROR(INDEX(tbl_input[집계키_청],ROW()-1),"")</f>
        <v/>
      </c>
    </row>
    <row r="496" spans="1:4" x14ac:dyDescent="0.4">
      <c r="A496" t="str">
        <f t="shared" si="14"/>
        <v/>
      </c>
      <c r="B496" t="str">
        <f t="shared" si="15"/>
        <v/>
      </c>
      <c r="C496" t="str">
        <f>IF(D496="","",IF(COUNTIF($D$2:D496,D496)&gt;1,"",SUMIFS(tbl_input[필요수량],tbl_input[집계키_청],D496)))</f>
        <v/>
      </c>
      <c r="D496" t="str">
        <f>IFERROR(INDEX(tbl_input[집계키_청],ROW()-1),"")</f>
        <v/>
      </c>
    </row>
    <row r="497" spans="1:4" x14ac:dyDescent="0.4">
      <c r="A497" t="str">
        <f t="shared" si="14"/>
        <v/>
      </c>
      <c r="B497" t="str">
        <f t="shared" si="15"/>
        <v/>
      </c>
      <c r="C497" t="str">
        <f>IF(D497="","",IF(COUNTIF($D$2:D497,D497)&gt;1,"",SUMIFS(tbl_input[필요수량],tbl_input[집계키_청],D497)))</f>
        <v/>
      </c>
      <c r="D497" t="str">
        <f>IFERROR(INDEX(tbl_input[집계키_청],ROW()-1),"")</f>
        <v/>
      </c>
    </row>
    <row r="498" spans="1:4" x14ac:dyDescent="0.4">
      <c r="A498" t="str">
        <f t="shared" si="14"/>
        <v/>
      </c>
      <c r="B498" t="str">
        <f t="shared" si="15"/>
        <v/>
      </c>
      <c r="C498" t="str">
        <f>IF(D498="","",IF(COUNTIF($D$2:D498,D498)&gt;1,"",SUMIFS(tbl_input[필요수량],tbl_input[집계키_청],D498)))</f>
        <v/>
      </c>
      <c r="D498" t="str">
        <f>IFERROR(INDEX(tbl_input[집계키_청],ROW()-1),"")</f>
        <v/>
      </c>
    </row>
    <row r="499" spans="1:4" x14ac:dyDescent="0.4">
      <c r="A499" t="str">
        <f t="shared" si="14"/>
        <v/>
      </c>
      <c r="B499" t="str">
        <f t="shared" si="15"/>
        <v/>
      </c>
      <c r="C499" t="str">
        <f>IF(D499="","",IF(COUNTIF($D$2:D499,D499)&gt;1,"",SUMIFS(tbl_input[필요수량],tbl_input[집계키_청],D499)))</f>
        <v/>
      </c>
      <c r="D499" t="str">
        <f>IFERROR(INDEX(tbl_input[집계키_청],ROW()-1),"")</f>
        <v/>
      </c>
    </row>
    <row r="500" spans="1:4" x14ac:dyDescent="0.4">
      <c r="A500" t="str">
        <f t="shared" si="14"/>
        <v/>
      </c>
      <c r="B500" t="str">
        <f t="shared" si="15"/>
        <v/>
      </c>
      <c r="C500" t="str">
        <f>IF(D500="","",IF(COUNTIF($D$2:D500,D500)&gt;1,"",SUMIFS(tbl_input[필요수량],tbl_input[집계키_청],D500)))</f>
        <v/>
      </c>
      <c r="D500" t="str">
        <f>IFERROR(INDEX(tbl_input[집계키_청],ROW()-1),"")</f>
        <v/>
      </c>
    </row>
    <row r="501" spans="1:4" x14ac:dyDescent="0.4">
      <c r="A501" t="str">
        <f t="shared" si="14"/>
        <v/>
      </c>
      <c r="B501" t="str">
        <f t="shared" si="15"/>
        <v/>
      </c>
      <c r="C501" t="str">
        <f>IF(D501="","",IF(COUNTIF($D$2:D501,D501)&gt;1,"",SUMIFS(tbl_input[필요수량],tbl_input[집계키_청],D501)))</f>
        <v/>
      </c>
      <c r="D501" t="str">
        <f>IFERROR(INDEX(tbl_input[집계키_청],ROW()-1),"")</f>
        <v/>
      </c>
    </row>
    <row r="502" spans="1:4" x14ac:dyDescent="0.4">
      <c r="A502" t="str">
        <f t="shared" si="14"/>
        <v/>
      </c>
      <c r="B502" t="str">
        <f t="shared" si="15"/>
        <v/>
      </c>
      <c r="C502" t="str">
        <f>IF(D502="","",IF(COUNTIF($D$2:D502,D502)&gt;1,"",SUMIFS(tbl_input[필요수량],tbl_input[집계키_청],D502)))</f>
        <v/>
      </c>
      <c r="D502" t="str">
        <f>IFERROR(INDEX(tbl_input[집계키_청],ROW()-1),"")</f>
        <v/>
      </c>
    </row>
    <row r="503" spans="1:4" x14ac:dyDescent="0.4">
      <c r="A503" t="str">
        <f t="shared" si="14"/>
        <v/>
      </c>
      <c r="B503" t="str">
        <f t="shared" si="15"/>
        <v/>
      </c>
      <c r="C503" t="str">
        <f>IF(D503="","",IF(COUNTIF($D$2:D503,D503)&gt;1,"",SUMIFS(tbl_input[필요수량],tbl_input[집계키_청],D503)))</f>
        <v/>
      </c>
      <c r="D503" t="str">
        <f>IFERROR(INDEX(tbl_input[집계키_청],ROW()-1),"")</f>
        <v/>
      </c>
    </row>
    <row r="504" spans="1:4" x14ac:dyDescent="0.4">
      <c r="A504" t="str">
        <f t="shared" si="14"/>
        <v/>
      </c>
      <c r="B504" t="str">
        <f t="shared" si="15"/>
        <v/>
      </c>
      <c r="C504" t="str">
        <f>IF(D504="","",IF(COUNTIF($D$2:D504,D504)&gt;1,"",SUMIFS(tbl_input[필요수량],tbl_input[집계키_청],D504)))</f>
        <v/>
      </c>
      <c r="D504" t="str">
        <f>IFERROR(INDEX(tbl_input[집계키_청],ROW()-1),"")</f>
        <v/>
      </c>
    </row>
    <row r="505" spans="1:4" x14ac:dyDescent="0.4">
      <c r="A505" t="str">
        <f t="shared" si="14"/>
        <v/>
      </c>
      <c r="B505" t="str">
        <f t="shared" si="15"/>
        <v/>
      </c>
      <c r="C505" t="str">
        <f>IF(D505="","",IF(COUNTIF($D$2:D505,D505)&gt;1,"",SUMIFS(tbl_input[필요수량],tbl_input[집계키_청],D505)))</f>
        <v/>
      </c>
      <c r="D505" t="str">
        <f>IFERROR(INDEX(tbl_input[집계키_청],ROW()-1),"")</f>
        <v/>
      </c>
    </row>
    <row r="506" spans="1:4" x14ac:dyDescent="0.4">
      <c r="A506" t="str">
        <f t="shared" si="14"/>
        <v/>
      </c>
      <c r="B506" t="str">
        <f t="shared" si="15"/>
        <v/>
      </c>
      <c r="C506" t="str">
        <f>IF(D506="","",IF(COUNTIF($D$2:D506,D506)&gt;1,"",SUMIFS(tbl_input[필요수량],tbl_input[집계키_청],D506)))</f>
        <v/>
      </c>
      <c r="D506" t="str">
        <f>IFERROR(INDEX(tbl_input[집계키_청],ROW()-1),"")</f>
        <v/>
      </c>
    </row>
    <row r="507" spans="1:4" x14ac:dyDescent="0.4">
      <c r="A507" t="str">
        <f t="shared" si="14"/>
        <v/>
      </c>
      <c r="B507" t="str">
        <f t="shared" si="15"/>
        <v/>
      </c>
      <c r="C507" t="str">
        <f>IF(D507="","",IF(COUNTIF($D$2:D507,D507)&gt;1,"",SUMIFS(tbl_input[필요수량],tbl_input[집계키_청],D507)))</f>
        <v/>
      </c>
      <c r="D507" t="str">
        <f>IFERROR(INDEX(tbl_input[집계키_청],ROW()-1),"")</f>
        <v/>
      </c>
    </row>
    <row r="508" spans="1:4" x14ac:dyDescent="0.4">
      <c r="A508" t="str">
        <f t="shared" si="14"/>
        <v/>
      </c>
      <c r="B508" t="str">
        <f t="shared" si="15"/>
        <v/>
      </c>
      <c r="C508" t="str">
        <f>IF(D508="","",IF(COUNTIF($D$2:D508,D508)&gt;1,"",SUMIFS(tbl_input[필요수량],tbl_input[집계키_청],D508)))</f>
        <v/>
      </c>
      <c r="D508" t="str">
        <f>IFERROR(INDEX(tbl_input[집계키_청],ROW()-1),"")</f>
        <v/>
      </c>
    </row>
    <row r="509" spans="1:4" x14ac:dyDescent="0.4">
      <c r="A509" t="str">
        <f t="shared" si="14"/>
        <v/>
      </c>
      <c r="B509" t="str">
        <f t="shared" si="15"/>
        <v/>
      </c>
      <c r="C509" t="str">
        <f>IF(D509="","",IF(COUNTIF($D$2:D509,D509)&gt;1,"",SUMIFS(tbl_input[필요수량],tbl_input[집계키_청],D509)))</f>
        <v/>
      </c>
      <c r="D509" t="str">
        <f>IFERROR(INDEX(tbl_input[집계키_청],ROW()-1),"")</f>
        <v/>
      </c>
    </row>
    <row r="510" spans="1:4" x14ac:dyDescent="0.4">
      <c r="A510" t="str">
        <f t="shared" si="14"/>
        <v/>
      </c>
      <c r="B510" t="str">
        <f t="shared" si="15"/>
        <v/>
      </c>
      <c r="C510" t="str">
        <f>IF(D510="","",IF(COUNTIF($D$2:D510,D510)&gt;1,"",SUMIFS(tbl_input[필요수량],tbl_input[집계키_청],D510)))</f>
        <v/>
      </c>
      <c r="D510" t="str">
        <f>IFERROR(INDEX(tbl_input[집계키_청],ROW()-1),"")</f>
        <v/>
      </c>
    </row>
    <row r="511" spans="1:4" x14ac:dyDescent="0.4">
      <c r="A511" t="str">
        <f t="shared" si="14"/>
        <v/>
      </c>
      <c r="B511" t="str">
        <f t="shared" si="15"/>
        <v/>
      </c>
      <c r="C511" t="str">
        <f>IF(D511="","",IF(COUNTIF($D$2:D511,D511)&gt;1,"",SUMIFS(tbl_input[필요수량],tbl_input[집계키_청],D511)))</f>
        <v/>
      </c>
      <c r="D511" t="str">
        <f>IFERROR(INDEX(tbl_input[집계키_청],ROW()-1),"")</f>
        <v/>
      </c>
    </row>
    <row r="512" spans="1:4" x14ac:dyDescent="0.4">
      <c r="A512" t="str">
        <f t="shared" si="14"/>
        <v/>
      </c>
      <c r="B512" t="str">
        <f t="shared" si="15"/>
        <v/>
      </c>
      <c r="C512" t="str">
        <f>IF(D512="","",IF(COUNTIF($D$2:D512,D512)&gt;1,"",SUMIFS(tbl_input[필요수량],tbl_input[집계키_청],D512)))</f>
        <v/>
      </c>
      <c r="D512" t="str">
        <f>IFERROR(INDEX(tbl_input[집계키_청],ROW()-1),"")</f>
        <v/>
      </c>
    </row>
    <row r="513" spans="1:4" x14ac:dyDescent="0.4">
      <c r="A513" t="str">
        <f t="shared" si="14"/>
        <v/>
      </c>
      <c r="B513" t="str">
        <f t="shared" si="15"/>
        <v/>
      </c>
      <c r="C513" t="str">
        <f>IF(D513="","",IF(COUNTIF($D$2:D513,D513)&gt;1,"",SUMIFS(tbl_input[필요수량],tbl_input[집계키_청],D513)))</f>
        <v/>
      </c>
      <c r="D513" t="str">
        <f>IFERROR(INDEX(tbl_input[집계키_청],ROW()-1),"")</f>
        <v/>
      </c>
    </row>
    <row r="514" spans="1:4" x14ac:dyDescent="0.4">
      <c r="A514" t="str">
        <f t="shared" ref="A514:A577" si="16">IF(D514="","",LEFT(D514,FIND("♦",D514)-1))</f>
        <v/>
      </c>
      <c r="B514" t="str">
        <f t="shared" ref="B514:B577" si="17">IF(D514="","",MID(D514,FIND("♦",D514)+1,999))</f>
        <v/>
      </c>
      <c r="C514" t="str">
        <f>IF(D514="","",IF(COUNTIF($D$2:D514,D514)&gt;1,"",SUMIFS(tbl_input[필요수량],tbl_input[집계키_청],D514)))</f>
        <v/>
      </c>
      <c r="D514" t="str">
        <f>IFERROR(INDEX(tbl_input[집계키_청],ROW()-1),"")</f>
        <v/>
      </c>
    </row>
    <row r="515" spans="1:4" x14ac:dyDescent="0.4">
      <c r="A515" t="str">
        <f t="shared" si="16"/>
        <v/>
      </c>
      <c r="B515" t="str">
        <f t="shared" si="17"/>
        <v/>
      </c>
      <c r="C515" t="str">
        <f>IF(D515="","",IF(COUNTIF($D$2:D515,D515)&gt;1,"",SUMIFS(tbl_input[필요수량],tbl_input[집계키_청],D515)))</f>
        <v/>
      </c>
      <c r="D515" t="str">
        <f>IFERROR(INDEX(tbl_input[집계키_청],ROW()-1),"")</f>
        <v/>
      </c>
    </row>
    <row r="516" spans="1:4" x14ac:dyDescent="0.4">
      <c r="A516" t="str">
        <f t="shared" si="16"/>
        <v/>
      </c>
      <c r="B516" t="str">
        <f t="shared" si="17"/>
        <v/>
      </c>
      <c r="C516" t="str">
        <f>IF(D516="","",IF(COUNTIF($D$2:D516,D516)&gt;1,"",SUMIFS(tbl_input[필요수량],tbl_input[집계키_청],D516)))</f>
        <v/>
      </c>
      <c r="D516" t="str">
        <f>IFERROR(INDEX(tbl_input[집계키_청],ROW()-1),"")</f>
        <v/>
      </c>
    </row>
    <row r="517" spans="1:4" x14ac:dyDescent="0.4">
      <c r="A517" t="str">
        <f t="shared" si="16"/>
        <v/>
      </c>
      <c r="B517" t="str">
        <f t="shared" si="17"/>
        <v/>
      </c>
      <c r="C517" t="str">
        <f>IF(D517="","",IF(COUNTIF($D$2:D517,D517)&gt;1,"",SUMIFS(tbl_input[필요수량],tbl_input[집계키_청],D517)))</f>
        <v/>
      </c>
      <c r="D517" t="str">
        <f>IFERROR(INDEX(tbl_input[집계키_청],ROW()-1),"")</f>
        <v/>
      </c>
    </row>
    <row r="518" spans="1:4" x14ac:dyDescent="0.4">
      <c r="A518" t="str">
        <f t="shared" si="16"/>
        <v/>
      </c>
      <c r="B518" t="str">
        <f t="shared" si="17"/>
        <v/>
      </c>
      <c r="C518" t="str">
        <f>IF(D518="","",IF(COUNTIF($D$2:D518,D518)&gt;1,"",SUMIFS(tbl_input[필요수량],tbl_input[집계키_청],D518)))</f>
        <v/>
      </c>
      <c r="D518" t="str">
        <f>IFERROR(INDEX(tbl_input[집계키_청],ROW()-1),"")</f>
        <v/>
      </c>
    </row>
    <row r="519" spans="1:4" x14ac:dyDescent="0.4">
      <c r="A519" t="str">
        <f t="shared" si="16"/>
        <v/>
      </c>
      <c r="B519" t="str">
        <f t="shared" si="17"/>
        <v/>
      </c>
      <c r="C519" t="str">
        <f>IF(D519="","",IF(COUNTIF($D$2:D519,D519)&gt;1,"",SUMIFS(tbl_input[필요수량],tbl_input[집계키_청],D519)))</f>
        <v/>
      </c>
      <c r="D519" t="str">
        <f>IFERROR(INDEX(tbl_input[집계키_청],ROW()-1),"")</f>
        <v/>
      </c>
    </row>
    <row r="520" spans="1:4" x14ac:dyDescent="0.4">
      <c r="A520" t="str">
        <f t="shared" si="16"/>
        <v/>
      </c>
      <c r="B520" t="str">
        <f t="shared" si="17"/>
        <v/>
      </c>
      <c r="C520" t="str">
        <f>IF(D520="","",IF(COUNTIF($D$2:D520,D520)&gt;1,"",SUMIFS(tbl_input[필요수량],tbl_input[집계키_청],D520)))</f>
        <v/>
      </c>
      <c r="D520" t="str">
        <f>IFERROR(INDEX(tbl_input[집계키_청],ROW()-1),"")</f>
        <v/>
      </c>
    </row>
    <row r="521" spans="1:4" x14ac:dyDescent="0.4">
      <c r="A521" t="str">
        <f t="shared" si="16"/>
        <v/>
      </c>
      <c r="B521" t="str">
        <f t="shared" si="17"/>
        <v/>
      </c>
      <c r="C521" t="str">
        <f>IF(D521="","",IF(COUNTIF($D$2:D521,D521)&gt;1,"",SUMIFS(tbl_input[필요수량],tbl_input[집계키_청],D521)))</f>
        <v/>
      </c>
      <c r="D521" t="str">
        <f>IFERROR(INDEX(tbl_input[집계키_청],ROW()-1),"")</f>
        <v/>
      </c>
    </row>
    <row r="522" spans="1:4" x14ac:dyDescent="0.4">
      <c r="A522" t="str">
        <f t="shared" si="16"/>
        <v/>
      </c>
      <c r="B522" t="str">
        <f t="shared" si="17"/>
        <v/>
      </c>
      <c r="C522" t="str">
        <f>IF(D522="","",IF(COUNTIF($D$2:D522,D522)&gt;1,"",SUMIFS(tbl_input[필요수량],tbl_input[집계키_청],D522)))</f>
        <v/>
      </c>
      <c r="D522" t="str">
        <f>IFERROR(INDEX(tbl_input[집계키_청],ROW()-1),"")</f>
        <v/>
      </c>
    </row>
    <row r="523" spans="1:4" x14ac:dyDescent="0.4">
      <c r="A523" t="str">
        <f t="shared" si="16"/>
        <v/>
      </c>
      <c r="B523" t="str">
        <f t="shared" si="17"/>
        <v/>
      </c>
      <c r="C523" t="str">
        <f>IF(D523="","",IF(COUNTIF($D$2:D523,D523)&gt;1,"",SUMIFS(tbl_input[필요수량],tbl_input[집계키_청],D523)))</f>
        <v/>
      </c>
      <c r="D523" t="str">
        <f>IFERROR(INDEX(tbl_input[집계키_청],ROW()-1),"")</f>
        <v/>
      </c>
    </row>
    <row r="524" spans="1:4" x14ac:dyDescent="0.4">
      <c r="A524" t="str">
        <f t="shared" si="16"/>
        <v/>
      </c>
      <c r="B524" t="str">
        <f t="shared" si="17"/>
        <v/>
      </c>
      <c r="C524" t="str">
        <f>IF(D524="","",IF(COUNTIF($D$2:D524,D524)&gt;1,"",SUMIFS(tbl_input[필요수량],tbl_input[집계키_청],D524)))</f>
        <v/>
      </c>
      <c r="D524" t="str">
        <f>IFERROR(INDEX(tbl_input[집계키_청],ROW()-1),"")</f>
        <v/>
      </c>
    </row>
    <row r="525" spans="1:4" x14ac:dyDescent="0.4">
      <c r="A525" t="str">
        <f t="shared" si="16"/>
        <v/>
      </c>
      <c r="B525" t="str">
        <f t="shared" si="17"/>
        <v/>
      </c>
      <c r="C525" t="str">
        <f>IF(D525="","",IF(COUNTIF($D$2:D525,D525)&gt;1,"",SUMIFS(tbl_input[필요수량],tbl_input[집계키_청],D525)))</f>
        <v/>
      </c>
      <c r="D525" t="str">
        <f>IFERROR(INDEX(tbl_input[집계키_청],ROW()-1),"")</f>
        <v/>
      </c>
    </row>
    <row r="526" spans="1:4" x14ac:dyDescent="0.4">
      <c r="A526" t="str">
        <f t="shared" si="16"/>
        <v/>
      </c>
      <c r="B526" t="str">
        <f t="shared" si="17"/>
        <v/>
      </c>
      <c r="C526" t="str">
        <f>IF(D526="","",IF(COUNTIF($D$2:D526,D526)&gt;1,"",SUMIFS(tbl_input[필요수량],tbl_input[집계키_청],D526)))</f>
        <v/>
      </c>
      <c r="D526" t="str">
        <f>IFERROR(INDEX(tbl_input[집계키_청],ROW()-1),"")</f>
        <v/>
      </c>
    </row>
    <row r="527" spans="1:4" x14ac:dyDescent="0.4">
      <c r="A527" t="str">
        <f t="shared" si="16"/>
        <v/>
      </c>
      <c r="B527" t="str">
        <f t="shared" si="17"/>
        <v/>
      </c>
      <c r="C527" t="str">
        <f>IF(D527="","",IF(COUNTIF($D$2:D527,D527)&gt;1,"",SUMIFS(tbl_input[필요수량],tbl_input[집계키_청],D527)))</f>
        <v/>
      </c>
      <c r="D527" t="str">
        <f>IFERROR(INDEX(tbl_input[집계키_청],ROW()-1),"")</f>
        <v/>
      </c>
    </row>
    <row r="528" spans="1:4" x14ac:dyDescent="0.4">
      <c r="A528" t="str">
        <f t="shared" si="16"/>
        <v/>
      </c>
      <c r="B528" t="str">
        <f t="shared" si="17"/>
        <v/>
      </c>
      <c r="C528" t="str">
        <f>IF(D528="","",IF(COUNTIF($D$2:D528,D528)&gt;1,"",SUMIFS(tbl_input[필요수량],tbl_input[집계키_청],D528)))</f>
        <v/>
      </c>
      <c r="D528" t="str">
        <f>IFERROR(INDEX(tbl_input[집계키_청],ROW()-1),"")</f>
        <v/>
      </c>
    </row>
    <row r="529" spans="1:4" x14ac:dyDescent="0.4">
      <c r="A529" t="str">
        <f t="shared" si="16"/>
        <v/>
      </c>
      <c r="B529" t="str">
        <f t="shared" si="17"/>
        <v/>
      </c>
      <c r="C529" t="str">
        <f>IF(D529="","",IF(COUNTIF($D$2:D529,D529)&gt;1,"",SUMIFS(tbl_input[필요수량],tbl_input[집계키_청],D529)))</f>
        <v/>
      </c>
      <c r="D529" t="str">
        <f>IFERROR(INDEX(tbl_input[집계키_청],ROW()-1),"")</f>
        <v/>
      </c>
    </row>
    <row r="530" spans="1:4" x14ac:dyDescent="0.4">
      <c r="A530" t="str">
        <f t="shared" si="16"/>
        <v/>
      </c>
      <c r="B530" t="str">
        <f t="shared" si="17"/>
        <v/>
      </c>
      <c r="C530" t="str">
        <f>IF(D530="","",IF(COUNTIF($D$2:D530,D530)&gt;1,"",SUMIFS(tbl_input[필요수량],tbl_input[집계키_청],D530)))</f>
        <v/>
      </c>
      <c r="D530" t="str">
        <f>IFERROR(INDEX(tbl_input[집계키_청],ROW()-1),"")</f>
        <v/>
      </c>
    </row>
    <row r="531" spans="1:4" x14ac:dyDescent="0.4">
      <c r="A531" t="str">
        <f t="shared" si="16"/>
        <v/>
      </c>
      <c r="B531" t="str">
        <f t="shared" si="17"/>
        <v/>
      </c>
      <c r="C531" t="str">
        <f>IF(D531="","",IF(COUNTIF($D$2:D531,D531)&gt;1,"",SUMIFS(tbl_input[필요수량],tbl_input[집계키_청],D531)))</f>
        <v/>
      </c>
      <c r="D531" t="str">
        <f>IFERROR(INDEX(tbl_input[집계키_청],ROW()-1),"")</f>
        <v/>
      </c>
    </row>
    <row r="532" spans="1:4" x14ac:dyDescent="0.4">
      <c r="A532" t="str">
        <f t="shared" si="16"/>
        <v/>
      </c>
      <c r="B532" t="str">
        <f t="shared" si="17"/>
        <v/>
      </c>
      <c r="C532" t="str">
        <f>IF(D532="","",IF(COUNTIF($D$2:D532,D532)&gt;1,"",SUMIFS(tbl_input[필요수량],tbl_input[집계키_청],D532)))</f>
        <v/>
      </c>
      <c r="D532" t="str">
        <f>IFERROR(INDEX(tbl_input[집계키_청],ROW()-1),"")</f>
        <v/>
      </c>
    </row>
    <row r="533" spans="1:4" x14ac:dyDescent="0.4">
      <c r="A533" t="str">
        <f t="shared" si="16"/>
        <v/>
      </c>
      <c r="B533" t="str">
        <f t="shared" si="17"/>
        <v/>
      </c>
      <c r="C533" t="str">
        <f>IF(D533="","",IF(COUNTIF($D$2:D533,D533)&gt;1,"",SUMIFS(tbl_input[필요수량],tbl_input[집계키_청],D533)))</f>
        <v/>
      </c>
      <c r="D533" t="str">
        <f>IFERROR(INDEX(tbl_input[집계키_청],ROW()-1),"")</f>
        <v/>
      </c>
    </row>
    <row r="534" spans="1:4" x14ac:dyDescent="0.4">
      <c r="A534" t="str">
        <f t="shared" si="16"/>
        <v/>
      </c>
      <c r="B534" t="str">
        <f t="shared" si="17"/>
        <v/>
      </c>
      <c r="C534" t="str">
        <f>IF(D534="","",IF(COUNTIF($D$2:D534,D534)&gt;1,"",SUMIFS(tbl_input[필요수량],tbl_input[집계키_청],D534)))</f>
        <v/>
      </c>
      <c r="D534" t="str">
        <f>IFERROR(INDEX(tbl_input[집계키_청],ROW()-1),"")</f>
        <v/>
      </c>
    </row>
    <row r="535" spans="1:4" x14ac:dyDescent="0.4">
      <c r="A535" t="str">
        <f t="shared" si="16"/>
        <v/>
      </c>
      <c r="B535" t="str">
        <f t="shared" si="17"/>
        <v/>
      </c>
      <c r="C535" t="str">
        <f>IF(D535="","",IF(COUNTIF($D$2:D535,D535)&gt;1,"",SUMIFS(tbl_input[필요수량],tbl_input[집계키_청],D535)))</f>
        <v/>
      </c>
      <c r="D535" t="str">
        <f>IFERROR(INDEX(tbl_input[집계키_청],ROW()-1),"")</f>
        <v/>
      </c>
    </row>
    <row r="536" spans="1:4" x14ac:dyDescent="0.4">
      <c r="A536" t="str">
        <f t="shared" si="16"/>
        <v/>
      </c>
      <c r="B536" t="str">
        <f t="shared" si="17"/>
        <v/>
      </c>
      <c r="C536" t="str">
        <f>IF(D536="","",IF(COUNTIF($D$2:D536,D536)&gt;1,"",SUMIFS(tbl_input[필요수량],tbl_input[집계키_청],D536)))</f>
        <v/>
      </c>
      <c r="D536" t="str">
        <f>IFERROR(INDEX(tbl_input[집계키_청],ROW()-1),"")</f>
        <v/>
      </c>
    </row>
    <row r="537" spans="1:4" x14ac:dyDescent="0.4">
      <c r="A537" t="str">
        <f t="shared" si="16"/>
        <v/>
      </c>
      <c r="B537" t="str">
        <f t="shared" si="17"/>
        <v/>
      </c>
      <c r="C537" t="str">
        <f>IF(D537="","",IF(COUNTIF($D$2:D537,D537)&gt;1,"",SUMIFS(tbl_input[필요수량],tbl_input[집계키_청],D537)))</f>
        <v/>
      </c>
      <c r="D537" t="str">
        <f>IFERROR(INDEX(tbl_input[집계키_청],ROW()-1),"")</f>
        <v/>
      </c>
    </row>
    <row r="538" spans="1:4" x14ac:dyDescent="0.4">
      <c r="A538" t="str">
        <f t="shared" si="16"/>
        <v/>
      </c>
      <c r="B538" t="str">
        <f t="shared" si="17"/>
        <v/>
      </c>
      <c r="C538" t="str">
        <f>IF(D538="","",IF(COUNTIF($D$2:D538,D538)&gt;1,"",SUMIFS(tbl_input[필요수량],tbl_input[집계키_청],D538)))</f>
        <v/>
      </c>
      <c r="D538" t="str">
        <f>IFERROR(INDEX(tbl_input[집계키_청],ROW()-1),"")</f>
        <v/>
      </c>
    </row>
    <row r="539" spans="1:4" x14ac:dyDescent="0.4">
      <c r="A539" t="str">
        <f t="shared" si="16"/>
        <v/>
      </c>
      <c r="B539" t="str">
        <f t="shared" si="17"/>
        <v/>
      </c>
      <c r="C539" t="str">
        <f>IF(D539="","",IF(COUNTIF($D$2:D539,D539)&gt;1,"",SUMIFS(tbl_input[필요수량],tbl_input[집계키_청],D539)))</f>
        <v/>
      </c>
      <c r="D539" t="str">
        <f>IFERROR(INDEX(tbl_input[집계키_청],ROW()-1),"")</f>
        <v/>
      </c>
    </row>
    <row r="540" spans="1:4" x14ac:dyDescent="0.4">
      <c r="A540" t="str">
        <f t="shared" si="16"/>
        <v/>
      </c>
      <c r="B540" t="str">
        <f t="shared" si="17"/>
        <v/>
      </c>
      <c r="C540" t="str">
        <f>IF(D540="","",IF(COUNTIF($D$2:D540,D540)&gt;1,"",SUMIFS(tbl_input[필요수량],tbl_input[집계키_청],D540)))</f>
        <v/>
      </c>
      <c r="D540" t="str">
        <f>IFERROR(INDEX(tbl_input[집계키_청],ROW()-1),"")</f>
        <v/>
      </c>
    </row>
    <row r="541" spans="1:4" x14ac:dyDescent="0.4">
      <c r="A541" t="str">
        <f t="shared" si="16"/>
        <v/>
      </c>
      <c r="B541" t="str">
        <f t="shared" si="17"/>
        <v/>
      </c>
      <c r="C541" t="str">
        <f>IF(D541="","",IF(COUNTIF($D$2:D541,D541)&gt;1,"",SUMIFS(tbl_input[필요수량],tbl_input[집계키_청],D541)))</f>
        <v/>
      </c>
      <c r="D541" t="str">
        <f>IFERROR(INDEX(tbl_input[집계키_청],ROW()-1),"")</f>
        <v/>
      </c>
    </row>
    <row r="542" spans="1:4" x14ac:dyDescent="0.4">
      <c r="A542" t="str">
        <f t="shared" si="16"/>
        <v/>
      </c>
      <c r="B542" t="str">
        <f t="shared" si="17"/>
        <v/>
      </c>
      <c r="C542" t="str">
        <f>IF(D542="","",IF(COUNTIF($D$2:D542,D542)&gt;1,"",SUMIFS(tbl_input[필요수량],tbl_input[집계키_청],D542)))</f>
        <v/>
      </c>
      <c r="D542" t="str">
        <f>IFERROR(INDEX(tbl_input[집계키_청],ROW()-1),"")</f>
        <v/>
      </c>
    </row>
    <row r="543" spans="1:4" x14ac:dyDescent="0.4">
      <c r="A543" t="str">
        <f t="shared" si="16"/>
        <v/>
      </c>
      <c r="B543" t="str">
        <f t="shared" si="17"/>
        <v/>
      </c>
      <c r="C543" t="str">
        <f>IF(D543="","",IF(COUNTIF($D$2:D543,D543)&gt;1,"",SUMIFS(tbl_input[필요수량],tbl_input[집계키_청],D543)))</f>
        <v/>
      </c>
      <c r="D543" t="str">
        <f>IFERROR(INDEX(tbl_input[집계키_청],ROW()-1),"")</f>
        <v/>
      </c>
    </row>
    <row r="544" spans="1:4" x14ac:dyDescent="0.4">
      <c r="A544" t="str">
        <f t="shared" si="16"/>
        <v/>
      </c>
      <c r="B544" t="str">
        <f t="shared" si="17"/>
        <v/>
      </c>
      <c r="C544" t="str">
        <f>IF(D544="","",IF(COUNTIF($D$2:D544,D544)&gt;1,"",SUMIFS(tbl_input[필요수량],tbl_input[집계키_청],D544)))</f>
        <v/>
      </c>
      <c r="D544" t="str">
        <f>IFERROR(INDEX(tbl_input[집계키_청],ROW()-1),"")</f>
        <v/>
      </c>
    </row>
    <row r="545" spans="1:4" x14ac:dyDescent="0.4">
      <c r="A545" t="str">
        <f t="shared" si="16"/>
        <v/>
      </c>
      <c r="B545" t="str">
        <f t="shared" si="17"/>
        <v/>
      </c>
      <c r="C545" t="str">
        <f>IF(D545="","",IF(COUNTIF($D$2:D545,D545)&gt;1,"",SUMIFS(tbl_input[필요수량],tbl_input[집계키_청],D545)))</f>
        <v/>
      </c>
      <c r="D545" t="str">
        <f>IFERROR(INDEX(tbl_input[집계키_청],ROW()-1),"")</f>
        <v/>
      </c>
    </row>
    <row r="546" spans="1:4" x14ac:dyDescent="0.4">
      <c r="A546" t="str">
        <f t="shared" si="16"/>
        <v/>
      </c>
      <c r="B546" t="str">
        <f t="shared" si="17"/>
        <v/>
      </c>
      <c r="C546" t="str">
        <f>IF(D546="","",IF(COUNTIF($D$2:D546,D546)&gt;1,"",SUMIFS(tbl_input[필요수량],tbl_input[집계키_청],D546)))</f>
        <v/>
      </c>
      <c r="D546" t="str">
        <f>IFERROR(INDEX(tbl_input[집계키_청],ROW()-1),"")</f>
        <v/>
      </c>
    </row>
    <row r="547" spans="1:4" x14ac:dyDescent="0.4">
      <c r="A547" t="str">
        <f t="shared" si="16"/>
        <v/>
      </c>
      <c r="B547" t="str">
        <f t="shared" si="17"/>
        <v/>
      </c>
      <c r="C547" t="str">
        <f>IF(D547="","",IF(COUNTIF($D$2:D547,D547)&gt;1,"",SUMIFS(tbl_input[필요수량],tbl_input[집계키_청],D547)))</f>
        <v/>
      </c>
      <c r="D547" t="str">
        <f>IFERROR(INDEX(tbl_input[집계키_청],ROW()-1),"")</f>
        <v/>
      </c>
    </row>
    <row r="548" spans="1:4" x14ac:dyDescent="0.4">
      <c r="A548" t="str">
        <f t="shared" si="16"/>
        <v/>
      </c>
      <c r="B548" t="str">
        <f t="shared" si="17"/>
        <v/>
      </c>
      <c r="C548" t="str">
        <f>IF(D548="","",IF(COUNTIF($D$2:D548,D548)&gt;1,"",SUMIFS(tbl_input[필요수량],tbl_input[집계키_청],D548)))</f>
        <v/>
      </c>
      <c r="D548" t="str">
        <f>IFERROR(INDEX(tbl_input[집계키_청],ROW()-1),"")</f>
        <v/>
      </c>
    </row>
    <row r="549" spans="1:4" x14ac:dyDescent="0.4">
      <c r="A549" t="str">
        <f t="shared" si="16"/>
        <v/>
      </c>
      <c r="B549" t="str">
        <f t="shared" si="17"/>
        <v/>
      </c>
      <c r="C549" t="str">
        <f>IF(D549="","",IF(COUNTIF($D$2:D549,D549)&gt;1,"",SUMIFS(tbl_input[필요수량],tbl_input[집계키_청],D549)))</f>
        <v/>
      </c>
      <c r="D549" t="str">
        <f>IFERROR(INDEX(tbl_input[집계키_청],ROW()-1),"")</f>
        <v/>
      </c>
    </row>
    <row r="550" spans="1:4" x14ac:dyDescent="0.4">
      <c r="A550" t="str">
        <f t="shared" si="16"/>
        <v/>
      </c>
      <c r="B550" t="str">
        <f t="shared" si="17"/>
        <v/>
      </c>
      <c r="C550" t="str">
        <f>IF(D550="","",IF(COUNTIF($D$2:D550,D550)&gt;1,"",SUMIFS(tbl_input[필요수량],tbl_input[집계키_청],D550)))</f>
        <v/>
      </c>
      <c r="D550" t="str">
        <f>IFERROR(INDEX(tbl_input[집계키_청],ROW()-1),"")</f>
        <v/>
      </c>
    </row>
    <row r="551" spans="1:4" x14ac:dyDescent="0.4">
      <c r="A551" t="str">
        <f t="shared" si="16"/>
        <v/>
      </c>
      <c r="B551" t="str">
        <f t="shared" si="17"/>
        <v/>
      </c>
      <c r="C551" t="str">
        <f>IF(D551="","",IF(COUNTIF($D$2:D551,D551)&gt;1,"",SUMIFS(tbl_input[필요수량],tbl_input[집계키_청],D551)))</f>
        <v/>
      </c>
      <c r="D551" t="str">
        <f>IFERROR(INDEX(tbl_input[집계키_청],ROW()-1),"")</f>
        <v/>
      </c>
    </row>
    <row r="552" spans="1:4" x14ac:dyDescent="0.4">
      <c r="A552" t="str">
        <f t="shared" si="16"/>
        <v/>
      </c>
      <c r="B552" t="str">
        <f t="shared" si="17"/>
        <v/>
      </c>
      <c r="C552" t="str">
        <f>IF(D552="","",IF(COUNTIF($D$2:D552,D552)&gt;1,"",SUMIFS(tbl_input[필요수량],tbl_input[집계키_청],D552)))</f>
        <v/>
      </c>
      <c r="D552" t="str">
        <f>IFERROR(INDEX(tbl_input[집계키_청],ROW()-1),"")</f>
        <v/>
      </c>
    </row>
    <row r="553" spans="1:4" x14ac:dyDescent="0.4">
      <c r="A553" t="str">
        <f t="shared" si="16"/>
        <v/>
      </c>
      <c r="B553" t="str">
        <f t="shared" si="17"/>
        <v/>
      </c>
      <c r="C553" t="str">
        <f>IF(D553="","",IF(COUNTIF($D$2:D553,D553)&gt;1,"",SUMIFS(tbl_input[필요수량],tbl_input[집계키_청],D553)))</f>
        <v/>
      </c>
      <c r="D553" t="str">
        <f>IFERROR(INDEX(tbl_input[집계키_청],ROW()-1),"")</f>
        <v/>
      </c>
    </row>
    <row r="554" spans="1:4" x14ac:dyDescent="0.4">
      <c r="A554" t="str">
        <f t="shared" si="16"/>
        <v/>
      </c>
      <c r="B554" t="str">
        <f t="shared" si="17"/>
        <v/>
      </c>
      <c r="C554" t="str">
        <f>IF(D554="","",IF(COUNTIF($D$2:D554,D554)&gt;1,"",SUMIFS(tbl_input[필요수량],tbl_input[집계키_청],D554)))</f>
        <v/>
      </c>
      <c r="D554" t="str">
        <f>IFERROR(INDEX(tbl_input[집계키_청],ROW()-1),"")</f>
        <v/>
      </c>
    </row>
    <row r="555" spans="1:4" x14ac:dyDescent="0.4">
      <c r="A555" t="str">
        <f t="shared" si="16"/>
        <v/>
      </c>
      <c r="B555" t="str">
        <f t="shared" si="17"/>
        <v/>
      </c>
      <c r="C555" t="str">
        <f>IF(D555="","",IF(COUNTIF($D$2:D555,D555)&gt;1,"",SUMIFS(tbl_input[필요수량],tbl_input[집계키_청],D555)))</f>
        <v/>
      </c>
      <c r="D555" t="str">
        <f>IFERROR(INDEX(tbl_input[집계키_청],ROW()-1),"")</f>
        <v/>
      </c>
    </row>
    <row r="556" spans="1:4" x14ac:dyDescent="0.4">
      <c r="A556" t="str">
        <f t="shared" si="16"/>
        <v/>
      </c>
      <c r="B556" t="str">
        <f t="shared" si="17"/>
        <v/>
      </c>
      <c r="C556" t="str">
        <f>IF(D556="","",IF(COUNTIF($D$2:D556,D556)&gt;1,"",SUMIFS(tbl_input[필요수량],tbl_input[집계키_청],D556)))</f>
        <v/>
      </c>
      <c r="D556" t="str">
        <f>IFERROR(INDEX(tbl_input[집계키_청],ROW()-1),"")</f>
        <v/>
      </c>
    </row>
    <row r="557" spans="1:4" x14ac:dyDescent="0.4">
      <c r="A557" t="str">
        <f t="shared" si="16"/>
        <v/>
      </c>
      <c r="B557" t="str">
        <f t="shared" si="17"/>
        <v/>
      </c>
      <c r="C557" t="str">
        <f>IF(D557="","",IF(COUNTIF($D$2:D557,D557)&gt;1,"",SUMIFS(tbl_input[필요수량],tbl_input[집계키_청],D557)))</f>
        <v/>
      </c>
      <c r="D557" t="str">
        <f>IFERROR(INDEX(tbl_input[집계키_청],ROW()-1),"")</f>
        <v/>
      </c>
    </row>
    <row r="558" spans="1:4" x14ac:dyDescent="0.4">
      <c r="A558" t="str">
        <f t="shared" si="16"/>
        <v/>
      </c>
      <c r="B558" t="str">
        <f t="shared" si="17"/>
        <v/>
      </c>
      <c r="C558" t="str">
        <f>IF(D558="","",IF(COUNTIF($D$2:D558,D558)&gt;1,"",SUMIFS(tbl_input[필요수량],tbl_input[집계키_청],D558)))</f>
        <v/>
      </c>
      <c r="D558" t="str">
        <f>IFERROR(INDEX(tbl_input[집계키_청],ROW()-1),"")</f>
        <v/>
      </c>
    </row>
    <row r="559" spans="1:4" x14ac:dyDescent="0.4">
      <c r="A559" t="str">
        <f t="shared" si="16"/>
        <v/>
      </c>
      <c r="B559" t="str">
        <f t="shared" si="17"/>
        <v/>
      </c>
      <c r="C559" t="str">
        <f>IF(D559="","",IF(COUNTIF($D$2:D559,D559)&gt;1,"",SUMIFS(tbl_input[필요수량],tbl_input[집계키_청],D559)))</f>
        <v/>
      </c>
      <c r="D559" t="str">
        <f>IFERROR(INDEX(tbl_input[집계키_청],ROW()-1),"")</f>
        <v/>
      </c>
    </row>
    <row r="560" spans="1:4" x14ac:dyDescent="0.4">
      <c r="A560" t="str">
        <f t="shared" si="16"/>
        <v/>
      </c>
      <c r="B560" t="str">
        <f t="shared" si="17"/>
        <v/>
      </c>
      <c r="C560" t="str">
        <f>IF(D560="","",IF(COUNTIF($D$2:D560,D560)&gt;1,"",SUMIFS(tbl_input[필요수량],tbl_input[집계키_청],D560)))</f>
        <v/>
      </c>
      <c r="D560" t="str">
        <f>IFERROR(INDEX(tbl_input[집계키_청],ROW()-1),"")</f>
        <v/>
      </c>
    </row>
    <row r="561" spans="1:4" x14ac:dyDescent="0.4">
      <c r="A561" t="str">
        <f t="shared" si="16"/>
        <v/>
      </c>
      <c r="B561" t="str">
        <f t="shared" si="17"/>
        <v/>
      </c>
      <c r="C561" t="str">
        <f>IF(D561="","",IF(COUNTIF($D$2:D561,D561)&gt;1,"",SUMIFS(tbl_input[필요수량],tbl_input[집계키_청],D561)))</f>
        <v/>
      </c>
      <c r="D561" t="str">
        <f>IFERROR(INDEX(tbl_input[집계키_청],ROW()-1),"")</f>
        <v/>
      </c>
    </row>
    <row r="562" spans="1:4" x14ac:dyDescent="0.4">
      <c r="A562" t="str">
        <f t="shared" si="16"/>
        <v/>
      </c>
      <c r="B562" t="str">
        <f t="shared" si="17"/>
        <v/>
      </c>
      <c r="C562" t="str">
        <f>IF(D562="","",IF(COUNTIF($D$2:D562,D562)&gt;1,"",SUMIFS(tbl_input[필요수량],tbl_input[집계키_청],D562)))</f>
        <v/>
      </c>
      <c r="D562" t="str">
        <f>IFERROR(INDEX(tbl_input[집계키_청],ROW()-1),"")</f>
        <v/>
      </c>
    </row>
    <row r="563" spans="1:4" x14ac:dyDescent="0.4">
      <c r="A563" t="str">
        <f t="shared" si="16"/>
        <v/>
      </c>
      <c r="B563" t="str">
        <f t="shared" si="17"/>
        <v/>
      </c>
      <c r="C563" t="str">
        <f>IF(D563="","",IF(COUNTIF($D$2:D563,D563)&gt;1,"",SUMIFS(tbl_input[필요수량],tbl_input[집계키_청],D563)))</f>
        <v/>
      </c>
      <c r="D563" t="str">
        <f>IFERROR(INDEX(tbl_input[집계키_청],ROW()-1),"")</f>
        <v/>
      </c>
    </row>
    <row r="564" spans="1:4" x14ac:dyDescent="0.4">
      <c r="A564" t="str">
        <f t="shared" si="16"/>
        <v/>
      </c>
      <c r="B564" t="str">
        <f t="shared" si="17"/>
        <v/>
      </c>
      <c r="C564" t="str">
        <f>IF(D564="","",IF(COUNTIF($D$2:D564,D564)&gt;1,"",SUMIFS(tbl_input[필요수량],tbl_input[집계키_청],D564)))</f>
        <v/>
      </c>
      <c r="D564" t="str">
        <f>IFERROR(INDEX(tbl_input[집계키_청],ROW()-1),"")</f>
        <v/>
      </c>
    </row>
    <row r="565" spans="1:4" x14ac:dyDescent="0.4">
      <c r="A565" t="str">
        <f t="shared" si="16"/>
        <v/>
      </c>
      <c r="B565" t="str">
        <f t="shared" si="17"/>
        <v/>
      </c>
      <c r="C565" t="str">
        <f>IF(D565="","",IF(COUNTIF($D$2:D565,D565)&gt;1,"",SUMIFS(tbl_input[필요수량],tbl_input[집계키_청],D565)))</f>
        <v/>
      </c>
      <c r="D565" t="str">
        <f>IFERROR(INDEX(tbl_input[집계키_청],ROW()-1),"")</f>
        <v/>
      </c>
    </row>
    <row r="566" spans="1:4" x14ac:dyDescent="0.4">
      <c r="A566" t="str">
        <f t="shared" si="16"/>
        <v/>
      </c>
      <c r="B566" t="str">
        <f t="shared" si="17"/>
        <v/>
      </c>
      <c r="C566" t="str">
        <f>IF(D566="","",IF(COUNTIF($D$2:D566,D566)&gt;1,"",SUMIFS(tbl_input[필요수량],tbl_input[집계키_청],D566)))</f>
        <v/>
      </c>
      <c r="D566" t="str">
        <f>IFERROR(INDEX(tbl_input[집계키_청],ROW()-1),"")</f>
        <v/>
      </c>
    </row>
    <row r="567" spans="1:4" x14ac:dyDescent="0.4">
      <c r="A567" t="str">
        <f t="shared" si="16"/>
        <v/>
      </c>
      <c r="B567" t="str">
        <f t="shared" si="17"/>
        <v/>
      </c>
      <c r="C567" t="str">
        <f>IF(D567="","",IF(COUNTIF($D$2:D567,D567)&gt;1,"",SUMIFS(tbl_input[필요수량],tbl_input[집계키_청],D567)))</f>
        <v/>
      </c>
      <c r="D567" t="str">
        <f>IFERROR(INDEX(tbl_input[집계키_청],ROW()-1),"")</f>
        <v/>
      </c>
    </row>
    <row r="568" spans="1:4" x14ac:dyDescent="0.4">
      <c r="A568" t="str">
        <f t="shared" si="16"/>
        <v/>
      </c>
      <c r="B568" t="str">
        <f t="shared" si="17"/>
        <v/>
      </c>
      <c r="C568" t="str">
        <f>IF(D568="","",IF(COUNTIF($D$2:D568,D568)&gt;1,"",SUMIFS(tbl_input[필요수량],tbl_input[집계키_청],D568)))</f>
        <v/>
      </c>
      <c r="D568" t="str">
        <f>IFERROR(INDEX(tbl_input[집계키_청],ROW()-1),"")</f>
        <v/>
      </c>
    </row>
    <row r="569" spans="1:4" x14ac:dyDescent="0.4">
      <c r="A569" t="str">
        <f t="shared" si="16"/>
        <v/>
      </c>
      <c r="B569" t="str">
        <f t="shared" si="17"/>
        <v/>
      </c>
      <c r="C569" t="str">
        <f>IF(D569="","",IF(COUNTIF($D$2:D569,D569)&gt;1,"",SUMIFS(tbl_input[필요수량],tbl_input[집계키_청],D569)))</f>
        <v/>
      </c>
      <c r="D569" t="str">
        <f>IFERROR(INDEX(tbl_input[집계키_청],ROW()-1),"")</f>
        <v/>
      </c>
    </row>
    <row r="570" spans="1:4" x14ac:dyDescent="0.4">
      <c r="A570" t="str">
        <f t="shared" si="16"/>
        <v/>
      </c>
      <c r="B570" t="str">
        <f t="shared" si="17"/>
        <v/>
      </c>
      <c r="C570" t="str">
        <f>IF(D570="","",IF(COUNTIF($D$2:D570,D570)&gt;1,"",SUMIFS(tbl_input[필요수량],tbl_input[집계키_청],D570)))</f>
        <v/>
      </c>
      <c r="D570" t="str">
        <f>IFERROR(INDEX(tbl_input[집계키_청],ROW()-1),"")</f>
        <v/>
      </c>
    </row>
    <row r="571" spans="1:4" x14ac:dyDescent="0.4">
      <c r="A571" t="str">
        <f t="shared" si="16"/>
        <v/>
      </c>
      <c r="B571" t="str">
        <f t="shared" si="17"/>
        <v/>
      </c>
      <c r="C571" t="str">
        <f>IF(D571="","",IF(COUNTIF($D$2:D571,D571)&gt;1,"",SUMIFS(tbl_input[필요수량],tbl_input[집계키_청],D571)))</f>
        <v/>
      </c>
      <c r="D571" t="str">
        <f>IFERROR(INDEX(tbl_input[집계키_청],ROW()-1),"")</f>
        <v/>
      </c>
    </row>
    <row r="572" spans="1:4" x14ac:dyDescent="0.4">
      <c r="A572" t="str">
        <f t="shared" si="16"/>
        <v/>
      </c>
      <c r="B572" t="str">
        <f t="shared" si="17"/>
        <v/>
      </c>
      <c r="C572" t="str">
        <f>IF(D572="","",IF(COUNTIF($D$2:D572,D572)&gt;1,"",SUMIFS(tbl_input[필요수량],tbl_input[집계키_청],D572)))</f>
        <v/>
      </c>
      <c r="D572" t="str">
        <f>IFERROR(INDEX(tbl_input[집계키_청],ROW()-1),"")</f>
        <v/>
      </c>
    </row>
    <row r="573" spans="1:4" x14ac:dyDescent="0.4">
      <c r="A573" t="str">
        <f t="shared" si="16"/>
        <v/>
      </c>
      <c r="B573" t="str">
        <f t="shared" si="17"/>
        <v/>
      </c>
      <c r="C573" t="str">
        <f>IF(D573="","",IF(COUNTIF($D$2:D573,D573)&gt;1,"",SUMIFS(tbl_input[필요수량],tbl_input[집계키_청],D573)))</f>
        <v/>
      </c>
      <c r="D573" t="str">
        <f>IFERROR(INDEX(tbl_input[집계키_청],ROW()-1),"")</f>
        <v/>
      </c>
    </row>
    <row r="574" spans="1:4" x14ac:dyDescent="0.4">
      <c r="A574" t="str">
        <f t="shared" si="16"/>
        <v/>
      </c>
      <c r="B574" t="str">
        <f t="shared" si="17"/>
        <v/>
      </c>
      <c r="C574" t="str">
        <f>IF(D574="","",IF(COUNTIF($D$2:D574,D574)&gt;1,"",SUMIFS(tbl_input[필요수량],tbl_input[집계키_청],D574)))</f>
        <v/>
      </c>
      <c r="D574" t="str">
        <f>IFERROR(INDEX(tbl_input[집계키_청],ROW()-1),"")</f>
        <v/>
      </c>
    </row>
    <row r="575" spans="1:4" x14ac:dyDescent="0.4">
      <c r="A575" t="str">
        <f t="shared" si="16"/>
        <v/>
      </c>
      <c r="B575" t="str">
        <f t="shared" si="17"/>
        <v/>
      </c>
      <c r="C575" t="str">
        <f>IF(D575="","",IF(COUNTIF($D$2:D575,D575)&gt;1,"",SUMIFS(tbl_input[필요수량],tbl_input[집계키_청],D575)))</f>
        <v/>
      </c>
      <c r="D575" t="str">
        <f>IFERROR(INDEX(tbl_input[집계키_청],ROW()-1),"")</f>
        <v/>
      </c>
    </row>
    <row r="576" spans="1:4" x14ac:dyDescent="0.4">
      <c r="A576" t="str">
        <f t="shared" si="16"/>
        <v/>
      </c>
      <c r="B576" t="str">
        <f t="shared" si="17"/>
        <v/>
      </c>
      <c r="C576" t="str">
        <f>IF(D576="","",IF(COUNTIF($D$2:D576,D576)&gt;1,"",SUMIFS(tbl_input[필요수량],tbl_input[집계키_청],D576)))</f>
        <v/>
      </c>
      <c r="D576" t="str">
        <f>IFERROR(INDEX(tbl_input[집계키_청],ROW()-1),"")</f>
        <v/>
      </c>
    </row>
    <row r="577" spans="1:4" x14ac:dyDescent="0.4">
      <c r="A577" t="str">
        <f t="shared" si="16"/>
        <v/>
      </c>
      <c r="B577" t="str">
        <f t="shared" si="17"/>
        <v/>
      </c>
      <c r="C577" t="str">
        <f>IF(D577="","",IF(COUNTIF($D$2:D577,D577)&gt;1,"",SUMIFS(tbl_input[필요수량],tbl_input[집계키_청],D577)))</f>
        <v/>
      </c>
      <c r="D577" t="str">
        <f>IFERROR(INDEX(tbl_input[집계키_청],ROW()-1),"")</f>
        <v/>
      </c>
    </row>
    <row r="578" spans="1:4" x14ac:dyDescent="0.4">
      <c r="A578" t="str">
        <f t="shared" ref="A578:A641" si="18">IF(D578="","",LEFT(D578,FIND("♦",D578)-1))</f>
        <v/>
      </c>
      <c r="B578" t="str">
        <f t="shared" ref="B578:B641" si="19">IF(D578="","",MID(D578,FIND("♦",D578)+1,999))</f>
        <v/>
      </c>
      <c r="C578" t="str">
        <f>IF(D578="","",IF(COUNTIF($D$2:D578,D578)&gt;1,"",SUMIFS(tbl_input[필요수량],tbl_input[집계키_청],D578)))</f>
        <v/>
      </c>
      <c r="D578" t="str">
        <f>IFERROR(INDEX(tbl_input[집계키_청],ROW()-1),"")</f>
        <v/>
      </c>
    </row>
    <row r="579" spans="1:4" x14ac:dyDescent="0.4">
      <c r="A579" t="str">
        <f t="shared" si="18"/>
        <v/>
      </c>
      <c r="B579" t="str">
        <f t="shared" si="19"/>
        <v/>
      </c>
      <c r="C579" t="str">
        <f>IF(D579="","",IF(COUNTIF($D$2:D579,D579)&gt;1,"",SUMIFS(tbl_input[필요수량],tbl_input[집계키_청],D579)))</f>
        <v/>
      </c>
      <c r="D579" t="str">
        <f>IFERROR(INDEX(tbl_input[집계키_청],ROW()-1),"")</f>
        <v/>
      </c>
    </row>
    <row r="580" spans="1:4" x14ac:dyDescent="0.4">
      <c r="A580" t="str">
        <f t="shared" si="18"/>
        <v/>
      </c>
      <c r="B580" t="str">
        <f t="shared" si="19"/>
        <v/>
      </c>
      <c r="C580" t="str">
        <f>IF(D580="","",IF(COUNTIF($D$2:D580,D580)&gt;1,"",SUMIFS(tbl_input[필요수량],tbl_input[집계키_청],D580)))</f>
        <v/>
      </c>
      <c r="D580" t="str">
        <f>IFERROR(INDEX(tbl_input[집계키_청],ROW()-1),"")</f>
        <v/>
      </c>
    </row>
    <row r="581" spans="1:4" x14ac:dyDescent="0.4">
      <c r="A581" t="str">
        <f t="shared" si="18"/>
        <v/>
      </c>
      <c r="B581" t="str">
        <f t="shared" si="19"/>
        <v/>
      </c>
      <c r="C581" t="str">
        <f>IF(D581="","",IF(COUNTIF($D$2:D581,D581)&gt;1,"",SUMIFS(tbl_input[필요수량],tbl_input[집계키_청],D581)))</f>
        <v/>
      </c>
      <c r="D581" t="str">
        <f>IFERROR(INDEX(tbl_input[집계키_청],ROW()-1),"")</f>
        <v/>
      </c>
    </row>
    <row r="582" spans="1:4" x14ac:dyDescent="0.4">
      <c r="A582" t="str">
        <f t="shared" si="18"/>
        <v/>
      </c>
      <c r="B582" t="str">
        <f t="shared" si="19"/>
        <v/>
      </c>
      <c r="C582" t="str">
        <f>IF(D582="","",IF(COUNTIF($D$2:D582,D582)&gt;1,"",SUMIFS(tbl_input[필요수량],tbl_input[집계키_청],D582)))</f>
        <v/>
      </c>
      <c r="D582" t="str">
        <f>IFERROR(INDEX(tbl_input[집계키_청],ROW()-1),"")</f>
        <v/>
      </c>
    </row>
    <row r="583" spans="1:4" x14ac:dyDescent="0.4">
      <c r="A583" t="str">
        <f t="shared" si="18"/>
        <v/>
      </c>
      <c r="B583" t="str">
        <f t="shared" si="19"/>
        <v/>
      </c>
      <c r="C583" t="str">
        <f>IF(D583="","",IF(COUNTIF($D$2:D583,D583)&gt;1,"",SUMIFS(tbl_input[필요수량],tbl_input[집계키_청],D583)))</f>
        <v/>
      </c>
      <c r="D583" t="str">
        <f>IFERROR(INDEX(tbl_input[집계키_청],ROW()-1),"")</f>
        <v/>
      </c>
    </row>
    <row r="584" spans="1:4" x14ac:dyDescent="0.4">
      <c r="A584" t="str">
        <f t="shared" si="18"/>
        <v/>
      </c>
      <c r="B584" t="str">
        <f t="shared" si="19"/>
        <v/>
      </c>
      <c r="C584" t="str">
        <f>IF(D584="","",IF(COUNTIF($D$2:D584,D584)&gt;1,"",SUMIFS(tbl_input[필요수량],tbl_input[집계키_청],D584)))</f>
        <v/>
      </c>
      <c r="D584" t="str">
        <f>IFERROR(INDEX(tbl_input[집계키_청],ROW()-1),"")</f>
        <v/>
      </c>
    </row>
    <row r="585" spans="1:4" x14ac:dyDescent="0.4">
      <c r="A585" t="str">
        <f t="shared" si="18"/>
        <v/>
      </c>
      <c r="B585" t="str">
        <f t="shared" si="19"/>
        <v/>
      </c>
      <c r="C585" t="str">
        <f>IF(D585="","",IF(COUNTIF($D$2:D585,D585)&gt;1,"",SUMIFS(tbl_input[필요수량],tbl_input[집계키_청],D585)))</f>
        <v/>
      </c>
      <c r="D585" t="str">
        <f>IFERROR(INDEX(tbl_input[집계키_청],ROW()-1),"")</f>
        <v/>
      </c>
    </row>
    <row r="586" spans="1:4" x14ac:dyDescent="0.4">
      <c r="A586" t="str">
        <f t="shared" si="18"/>
        <v/>
      </c>
      <c r="B586" t="str">
        <f t="shared" si="19"/>
        <v/>
      </c>
      <c r="C586" t="str">
        <f>IF(D586="","",IF(COUNTIF($D$2:D586,D586)&gt;1,"",SUMIFS(tbl_input[필요수량],tbl_input[집계키_청],D586)))</f>
        <v/>
      </c>
      <c r="D586" t="str">
        <f>IFERROR(INDEX(tbl_input[집계키_청],ROW()-1),"")</f>
        <v/>
      </c>
    </row>
    <row r="587" spans="1:4" x14ac:dyDescent="0.4">
      <c r="A587" t="str">
        <f t="shared" si="18"/>
        <v/>
      </c>
      <c r="B587" t="str">
        <f t="shared" si="19"/>
        <v/>
      </c>
      <c r="C587" t="str">
        <f>IF(D587="","",IF(COUNTIF($D$2:D587,D587)&gt;1,"",SUMIFS(tbl_input[필요수량],tbl_input[집계키_청],D587)))</f>
        <v/>
      </c>
      <c r="D587" t="str">
        <f>IFERROR(INDEX(tbl_input[집계키_청],ROW()-1),"")</f>
        <v/>
      </c>
    </row>
    <row r="588" spans="1:4" x14ac:dyDescent="0.4">
      <c r="A588" t="str">
        <f t="shared" si="18"/>
        <v/>
      </c>
      <c r="B588" t="str">
        <f t="shared" si="19"/>
        <v/>
      </c>
      <c r="C588" t="str">
        <f>IF(D588="","",IF(COUNTIF($D$2:D588,D588)&gt;1,"",SUMIFS(tbl_input[필요수량],tbl_input[집계키_청],D588)))</f>
        <v/>
      </c>
      <c r="D588" t="str">
        <f>IFERROR(INDEX(tbl_input[집계키_청],ROW()-1),"")</f>
        <v/>
      </c>
    </row>
    <row r="589" spans="1:4" x14ac:dyDescent="0.4">
      <c r="A589" t="str">
        <f t="shared" si="18"/>
        <v/>
      </c>
      <c r="B589" t="str">
        <f t="shared" si="19"/>
        <v/>
      </c>
      <c r="C589" t="str">
        <f>IF(D589="","",IF(COUNTIF($D$2:D589,D589)&gt;1,"",SUMIFS(tbl_input[필요수량],tbl_input[집계키_청],D589)))</f>
        <v/>
      </c>
      <c r="D589" t="str">
        <f>IFERROR(INDEX(tbl_input[집계키_청],ROW()-1),"")</f>
        <v/>
      </c>
    </row>
    <row r="590" spans="1:4" x14ac:dyDescent="0.4">
      <c r="A590" t="str">
        <f t="shared" si="18"/>
        <v/>
      </c>
      <c r="B590" t="str">
        <f t="shared" si="19"/>
        <v/>
      </c>
      <c r="C590" t="str">
        <f>IF(D590="","",IF(COUNTIF($D$2:D590,D590)&gt;1,"",SUMIFS(tbl_input[필요수량],tbl_input[집계키_청],D590)))</f>
        <v/>
      </c>
      <c r="D590" t="str">
        <f>IFERROR(INDEX(tbl_input[집계키_청],ROW()-1),"")</f>
        <v/>
      </c>
    </row>
    <row r="591" spans="1:4" x14ac:dyDescent="0.4">
      <c r="A591" t="str">
        <f t="shared" si="18"/>
        <v/>
      </c>
      <c r="B591" t="str">
        <f t="shared" si="19"/>
        <v/>
      </c>
      <c r="C591" t="str">
        <f>IF(D591="","",IF(COUNTIF($D$2:D591,D591)&gt;1,"",SUMIFS(tbl_input[필요수량],tbl_input[집계키_청],D591)))</f>
        <v/>
      </c>
      <c r="D591" t="str">
        <f>IFERROR(INDEX(tbl_input[집계키_청],ROW()-1),"")</f>
        <v/>
      </c>
    </row>
    <row r="592" spans="1:4" x14ac:dyDescent="0.4">
      <c r="A592" t="str">
        <f t="shared" si="18"/>
        <v/>
      </c>
      <c r="B592" t="str">
        <f t="shared" si="19"/>
        <v/>
      </c>
      <c r="C592" t="str">
        <f>IF(D592="","",IF(COUNTIF($D$2:D592,D592)&gt;1,"",SUMIFS(tbl_input[필요수량],tbl_input[집계키_청],D592)))</f>
        <v/>
      </c>
      <c r="D592" t="str">
        <f>IFERROR(INDEX(tbl_input[집계키_청],ROW()-1),"")</f>
        <v/>
      </c>
    </row>
    <row r="593" spans="1:4" x14ac:dyDescent="0.4">
      <c r="A593" t="str">
        <f t="shared" si="18"/>
        <v/>
      </c>
      <c r="B593" t="str">
        <f t="shared" si="19"/>
        <v/>
      </c>
      <c r="C593" t="str">
        <f>IF(D593="","",IF(COUNTIF($D$2:D593,D593)&gt;1,"",SUMIFS(tbl_input[필요수량],tbl_input[집계키_청],D593)))</f>
        <v/>
      </c>
      <c r="D593" t="str">
        <f>IFERROR(INDEX(tbl_input[집계키_청],ROW()-1),"")</f>
        <v/>
      </c>
    </row>
    <row r="594" spans="1:4" x14ac:dyDescent="0.4">
      <c r="A594" t="str">
        <f t="shared" si="18"/>
        <v/>
      </c>
      <c r="B594" t="str">
        <f t="shared" si="19"/>
        <v/>
      </c>
      <c r="C594" t="str">
        <f>IF(D594="","",IF(COUNTIF($D$2:D594,D594)&gt;1,"",SUMIFS(tbl_input[필요수량],tbl_input[집계키_청],D594)))</f>
        <v/>
      </c>
      <c r="D594" t="str">
        <f>IFERROR(INDEX(tbl_input[집계키_청],ROW()-1),"")</f>
        <v/>
      </c>
    </row>
    <row r="595" spans="1:4" x14ac:dyDescent="0.4">
      <c r="A595" t="str">
        <f t="shared" si="18"/>
        <v/>
      </c>
      <c r="B595" t="str">
        <f t="shared" si="19"/>
        <v/>
      </c>
      <c r="C595" t="str">
        <f>IF(D595="","",IF(COUNTIF($D$2:D595,D595)&gt;1,"",SUMIFS(tbl_input[필요수량],tbl_input[집계키_청],D595)))</f>
        <v/>
      </c>
      <c r="D595" t="str">
        <f>IFERROR(INDEX(tbl_input[집계키_청],ROW()-1),"")</f>
        <v/>
      </c>
    </row>
    <row r="596" spans="1:4" x14ac:dyDescent="0.4">
      <c r="A596" t="str">
        <f t="shared" si="18"/>
        <v/>
      </c>
      <c r="B596" t="str">
        <f t="shared" si="19"/>
        <v/>
      </c>
      <c r="C596" t="str">
        <f>IF(D596="","",IF(COUNTIF($D$2:D596,D596)&gt;1,"",SUMIFS(tbl_input[필요수량],tbl_input[집계키_청],D596)))</f>
        <v/>
      </c>
      <c r="D596" t="str">
        <f>IFERROR(INDEX(tbl_input[집계키_청],ROW()-1),"")</f>
        <v/>
      </c>
    </row>
    <row r="597" spans="1:4" x14ac:dyDescent="0.4">
      <c r="A597" t="str">
        <f t="shared" si="18"/>
        <v/>
      </c>
      <c r="B597" t="str">
        <f t="shared" si="19"/>
        <v/>
      </c>
      <c r="C597" t="str">
        <f>IF(D597="","",IF(COUNTIF($D$2:D597,D597)&gt;1,"",SUMIFS(tbl_input[필요수량],tbl_input[집계키_청],D597)))</f>
        <v/>
      </c>
      <c r="D597" t="str">
        <f>IFERROR(INDEX(tbl_input[집계키_청],ROW()-1),"")</f>
        <v/>
      </c>
    </row>
    <row r="598" spans="1:4" x14ac:dyDescent="0.4">
      <c r="A598" t="str">
        <f t="shared" si="18"/>
        <v/>
      </c>
      <c r="B598" t="str">
        <f t="shared" si="19"/>
        <v/>
      </c>
      <c r="C598" t="str">
        <f>IF(D598="","",IF(COUNTIF($D$2:D598,D598)&gt;1,"",SUMIFS(tbl_input[필요수량],tbl_input[집계키_청],D598)))</f>
        <v/>
      </c>
      <c r="D598" t="str">
        <f>IFERROR(INDEX(tbl_input[집계키_청],ROW()-1),"")</f>
        <v/>
      </c>
    </row>
    <row r="599" spans="1:4" x14ac:dyDescent="0.4">
      <c r="A599" t="str">
        <f t="shared" si="18"/>
        <v/>
      </c>
      <c r="B599" t="str">
        <f t="shared" si="19"/>
        <v/>
      </c>
      <c r="C599" t="str">
        <f>IF(D599="","",IF(COUNTIF($D$2:D599,D599)&gt;1,"",SUMIFS(tbl_input[필요수량],tbl_input[집계키_청],D599)))</f>
        <v/>
      </c>
      <c r="D599" t="str">
        <f>IFERROR(INDEX(tbl_input[집계키_청],ROW()-1),"")</f>
        <v/>
      </c>
    </row>
    <row r="600" spans="1:4" x14ac:dyDescent="0.4">
      <c r="A600" t="str">
        <f t="shared" si="18"/>
        <v/>
      </c>
      <c r="B600" t="str">
        <f t="shared" si="19"/>
        <v/>
      </c>
      <c r="C600" t="str">
        <f>IF(D600="","",IF(COUNTIF($D$2:D600,D600)&gt;1,"",SUMIFS(tbl_input[필요수량],tbl_input[집계키_청],D600)))</f>
        <v/>
      </c>
      <c r="D600" t="str">
        <f>IFERROR(INDEX(tbl_input[집계키_청],ROW()-1),"")</f>
        <v/>
      </c>
    </row>
    <row r="601" spans="1:4" x14ac:dyDescent="0.4">
      <c r="A601" t="str">
        <f t="shared" si="18"/>
        <v/>
      </c>
      <c r="B601" t="str">
        <f t="shared" si="19"/>
        <v/>
      </c>
      <c r="C601" t="str">
        <f>IF(D601="","",IF(COUNTIF($D$2:D601,D601)&gt;1,"",SUMIFS(tbl_input[필요수량],tbl_input[집계키_청],D601)))</f>
        <v/>
      </c>
      <c r="D601" t="str">
        <f>IFERROR(INDEX(tbl_input[집계키_청],ROW()-1),"")</f>
        <v/>
      </c>
    </row>
    <row r="602" spans="1:4" x14ac:dyDescent="0.4">
      <c r="A602" t="str">
        <f t="shared" si="18"/>
        <v/>
      </c>
      <c r="B602" t="str">
        <f t="shared" si="19"/>
        <v/>
      </c>
      <c r="C602" t="str">
        <f>IF(D602="","",IF(COUNTIF($D$2:D602,D602)&gt;1,"",SUMIFS(tbl_input[필요수량],tbl_input[집계키_청],D602)))</f>
        <v/>
      </c>
      <c r="D602" t="str">
        <f>IFERROR(INDEX(tbl_input[집계키_청],ROW()-1),"")</f>
        <v/>
      </c>
    </row>
    <row r="603" spans="1:4" x14ac:dyDescent="0.4">
      <c r="A603" t="str">
        <f t="shared" si="18"/>
        <v/>
      </c>
      <c r="B603" t="str">
        <f t="shared" si="19"/>
        <v/>
      </c>
      <c r="C603" t="str">
        <f>IF(D603="","",IF(COUNTIF($D$2:D603,D603)&gt;1,"",SUMIFS(tbl_input[필요수량],tbl_input[집계키_청],D603)))</f>
        <v/>
      </c>
      <c r="D603" t="str">
        <f>IFERROR(INDEX(tbl_input[집계키_청],ROW()-1),"")</f>
        <v/>
      </c>
    </row>
    <row r="604" spans="1:4" x14ac:dyDescent="0.4">
      <c r="A604" t="str">
        <f t="shared" si="18"/>
        <v/>
      </c>
      <c r="B604" t="str">
        <f t="shared" si="19"/>
        <v/>
      </c>
      <c r="C604" t="str">
        <f>IF(D604="","",IF(COUNTIF($D$2:D604,D604)&gt;1,"",SUMIFS(tbl_input[필요수량],tbl_input[집계키_청],D604)))</f>
        <v/>
      </c>
      <c r="D604" t="str">
        <f>IFERROR(INDEX(tbl_input[집계키_청],ROW()-1),"")</f>
        <v/>
      </c>
    </row>
    <row r="605" spans="1:4" x14ac:dyDescent="0.4">
      <c r="A605" t="str">
        <f t="shared" si="18"/>
        <v/>
      </c>
      <c r="B605" t="str">
        <f t="shared" si="19"/>
        <v/>
      </c>
      <c r="C605" t="str">
        <f>IF(D605="","",IF(COUNTIF($D$2:D605,D605)&gt;1,"",SUMIFS(tbl_input[필요수량],tbl_input[집계키_청],D605)))</f>
        <v/>
      </c>
      <c r="D605" t="str">
        <f>IFERROR(INDEX(tbl_input[집계키_청],ROW()-1),"")</f>
        <v/>
      </c>
    </row>
    <row r="606" spans="1:4" x14ac:dyDescent="0.4">
      <c r="A606" t="str">
        <f t="shared" si="18"/>
        <v/>
      </c>
      <c r="B606" t="str">
        <f t="shared" si="19"/>
        <v/>
      </c>
      <c r="C606" t="str">
        <f>IF(D606="","",IF(COUNTIF($D$2:D606,D606)&gt;1,"",SUMIFS(tbl_input[필요수량],tbl_input[집계키_청],D606)))</f>
        <v/>
      </c>
      <c r="D606" t="str">
        <f>IFERROR(INDEX(tbl_input[집계키_청],ROW()-1),"")</f>
        <v/>
      </c>
    </row>
    <row r="607" spans="1:4" x14ac:dyDescent="0.4">
      <c r="A607" t="str">
        <f t="shared" si="18"/>
        <v/>
      </c>
      <c r="B607" t="str">
        <f t="shared" si="19"/>
        <v/>
      </c>
      <c r="C607" t="str">
        <f>IF(D607="","",IF(COUNTIF($D$2:D607,D607)&gt;1,"",SUMIFS(tbl_input[필요수량],tbl_input[집계키_청],D607)))</f>
        <v/>
      </c>
      <c r="D607" t="str">
        <f>IFERROR(INDEX(tbl_input[집계키_청],ROW()-1),"")</f>
        <v/>
      </c>
    </row>
    <row r="608" spans="1:4" x14ac:dyDescent="0.4">
      <c r="A608" t="str">
        <f t="shared" si="18"/>
        <v/>
      </c>
      <c r="B608" t="str">
        <f t="shared" si="19"/>
        <v/>
      </c>
      <c r="C608" t="str">
        <f>IF(D608="","",IF(COUNTIF($D$2:D608,D608)&gt;1,"",SUMIFS(tbl_input[필요수량],tbl_input[집계키_청],D608)))</f>
        <v/>
      </c>
      <c r="D608" t="str">
        <f>IFERROR(INDEX(tbl_input[집계키_청],ROW()-1),"")</f>
        <v/>
      </c>
    </row>
    <row r="609" spans="1:4" x14ac:dyDescent="0.4">
      <c r="A609" t="str">
        <f t="shared" si="18"/>
        <v/>
      </c>
      <c r="B609" t="str">
        <f t="shared" si="19"/>
        <v/>
      </c>
      <c r="C609" t="str">
        <f>IF(D609="","",IF(COUNTIF($D$2:D609,D609)&gt;1,"",SUMIFS(tbl_input[필요수량],tbl_input[집계키_청],D609)))</f>
        <v/>
      </c>
      <c r="D609" t="str">
        <f>IFERROR(INDEX(tbl_input[집계키_청],ROW()-1),"")</f>
        <v/>
      </c>
    </row>
    <row r="610" spans="1:4" x14ac:dyDescent="0.4">
      <c r="A610" t="str">
        <f t="shared" si="18"/>
        <v/>
      </c>
      <c r="B610" t="str">
        <f t="shared" si="19"/>
        <v/>
      </c>
      <c r="C610" t="str">
        <f>IF(D610="","",IF(COUNTIF($D$2:D610,D610)&gt;1,"",SUMIFS(tbl_input[필요수량],tbl_input[집계키_청],D610)))</f>
        <v/>
      </c>
      <c r="D610" t="str">
        <f>IFERROR(INDEX(tbl_input[집계키_청],ROW()-1),"")</f>
        <v/>
      </c>
    </row>
    <row r="611" spans="1:4" x14ac:dyDescent="0.4">
      <c r="A611" t="str">
        <f t="shared" si="18"/>
        <v/>
      </c>
      <c r="B611" t="str">
        <f t="shared" si="19"/>
        <v/>
      </c>
      <c r="C611" t="str">
        <f>IF(D611="","",IF(COUNTIF($D$2:D611,D611)&gt;1,"",SUMIFS(tbl_input[필요수량],tbl_input[집계키_청],D611)))</f>
        <v/>
      </c>
      <c r="D611" t="str">
        <f>IFERROR(INDEX(tbl_input[집계키_청],ROW()-1),"")</f>
        <v/>
      </c>
    </row>
    <row r="612" spans="1:4" x14ac:dyDescent="0.4">
      <c r="A612" t="str">
        <f t="shared" si="18"/>
        <v/>
      </c>
      <c r="B612" t="str">
        <f t="shared" si="19"/>
        <v/>
      </c>
      <c r="C612" t="str">
        <f>IF(D612="","",IF(COUNTIF($D$2:D612,D612)&gt;1,"",SUMIFS(tbl_input[필요수량],tbl_input[집계키_청],D612)))</f>
        <v/>
      </c>
      <c r="D612" t="str">
        <f>IFERROR(INDEX(tbl_input[집계키_청],ROW()-1),"")</f>
        <v/>
      </c>
    </row>
    <row r="613" spans="1:4" x14ac:dyDescent="0.4">
      <c r="A613" t="str">
        <f t="shared" si="18"/>
        <v/>
      </c>
      <c r="B613" t="str">
        <f t="shared" si="19"/>
        <v/>
      </c>
      <c r="C613" t="str">
        <f>IF(D613="","",IF(COUNTIF($D$2:D613,D613)&gt;1,"",SUMIFS(tbl_input[필요수량],tbl_input[집계키_청],D613)))</f>
        <v/>
      </c>
      <c r="D613" t="str">
        <f>IFERROR(INDEX(tbl_input[집계키_청],ROW()-1),"")</f>
        <v/>
      </c>
    </row>
    <row r="614" spans="1:4" x14ac:dyDescent="0.4">
      <c r="A614" t="str">
        <f t="shared" si="18"/>
        <v/>
      </c>
      <c r="B614" t="str">
        <f t="shared" si="19"/>
        <v/>
      </c>
      <c r="C614" t="str">
        <f>IF(D614="","",IF(COUNTIF($D$2:D614,D614)&gt;1,"",SUMIFS(tbl_input[필요수량],tbl_input[집계키_청],D614)))</f>
        <v/>
      </c>
      <c r="D614" t="str">
        <f>IFERROR(INDEX(tbl_input[집계키_청],ROW()-1),"")</f>
        <v/>
      </c>
    </row>
    <row r="615" spans="1:4" x14ac:dyDescent="0.4">
      <c r="A615" t="str">
        <f t="shared" si="18"/>
        <v/>
      </c>
      <c r="B615" t="str">
        <f t="shared" si="19"/>
        <v/>
      </c>
      <c r="C615" t="str">
        <f>IF(D615="","",IF(COUNTIF($D$2:D615,D615)&gt;1,"",SUMIFS(tbl_input[필요수량],tbl_input[집계키_청],D615)))</f>
        <v/>
      </c>
      <c r="D615" t="str">
        <f>IFERROR(INDEX(tbl_input[집계키_청],ROW()-1),"")</f>
        <v/>
      </c>
    </row>
    <row r="616" spans="1:4" x14ac:dyDescent="0.4">
      <c r="A616" t="str">
        <f t="shared" si="18"/>
        <v/>
      </c>
      <c r="B616" t="str">
        <f t="shared" si="19"/>
        <v/>
      </c>
      <c r="C616" t="str">
        <f>IF(D616="","",IF(COUNTIF($D$2:D616,D616)&gt;1,"",SUMIFS(tbl_input[필요수량],tbl_input[집계키_청],D616)))</f>
        <v/>
      </c>
      <c r="D616" t="str">
        <f>IFERROR(INDEX(tbl_input[집계키_청],ROW()-1),"")</f>
        <v/>
      </c>
    </row>
    <row r="617" spans="1:4" x14ac:dyDescent="0.4">
      <c r="A617" t="str">
        <f t="shared" si="18"/>
        <v/>
      </c>
      <c r="B617" t="str">
        <f t="shared" si="19"/>
        <v/>
      </c>
      <c r="C617" t="str">
        <f>IF(D617="","",IF(COUNTIF($D$2:D617,D617)&gt;1,"",SUMIFS(tbl_input[필요수량],tbl_input[집계키_청],D617)))</f>
        <v/>
      </c>
      <c r="D617" t="str">
        <f>IFERROR(INDEX(tbl_input[집계키_청],ROW()-1),"")</f>
        <v/>
      </c>
    </row>
    <row r="618" spans="1:4" x14ac:dyDescent="0.4">
      <c r="A618" t="str">
        <f t="shared" si="18"/>
        <v/>
      </c>
      <c r="B618" t="str">
        <f t="shared" si="19"/>
        <v/>
      </c>
      <c r="C618" t="str">
        <f>IF(D618="","",IF(COUNTIF($D$2:D618,D618)&gt;1,"",SUMIFS(tbl_input[필요수량],tbl_input[집계키_청],D618)))</f>
        <v/>
      </c>
      <c r="D618" t="str">
        <f>IFERROR(INDEX(tbl_input[집계키_청],ROW()-1),"")</f>
        <v/>
      </c>
    </row>
    <row r="619" spans="1:4" x14ac:dyDescent="0.4">
      <c r="A619" t="str">
        <f t="shared" si="18"/>
        <v/>
      </c>
      <c r="B619" t="str">
        <f t="shared" si="19"/>
        <v/>
      </c>
      <c r="C619" t="str">
        <f>IF(D619="","",IF(COUNTIF($D$2:D619,D619)&gt;1,"",SUMIFS(tbl_input[필요수량],tbl_input[집계키_청],D619)))</f>
        <v/>
      </c>
      <c r="D619" t="str">
        <f>IFERROR(INDEX(tbl_input[집계키_청],ROW()-1),"")</f>
        <v/>
      </c>
    </row>
    <row r="620" spans="1:4" x14ac:dyDescent="0.4">
      <c r="A620" t="str">
        <f t="shared" si="18"/>
        <v/>
      </c>
      <c r="B620" t="str">
        <f t="shared" si="19"/>
        <v/>
      </c>
      <c r="C620" t="str">
        <f>IF(D620="","",IF(COUNTIF($D$2:D620,D620)&gt;1,"",SUMIFS(tbl_input[필요수량],tbl_input[집계키_청],D620)))</f>
        <v/>
      </c>
      <c r="D620" t="str">
        <f>IFERROR(INDEX(tbl_input[집계키_청],ROW()-1),"")</f>
        <v/>
      </c>
    </row>
    <row r="621" spans="1:4" x14ac:dyDescent="0.4">
      <c r="A621" t="str">
        <f t="shared" si="18"/>
        <v/>
      </c>
      <c r="B621" t="str">
        <f t="shared" si="19"/>
        <v/>
      </c>
      <c r="C621" t="str">
        <f>IF(D621="","",IF(COUNTIF($D$2:D621,D621)&gt;1,"",SUMIFS(tbl_input[필요수량],tbl_input[집계키_청],D621)))</f>
        <v/>
      </c>
      <c r="D621" t="str">
        <f>IFERROR(INDEX(tbl_input[집계키_청],ROW()-1),"")</f>
        <v/>
      </c>
    </row>
    <row r="622" spans="1:4" x14ac:dyDescent="0.4">
      <c r="A622" t="str">
        <f t="shared" si="18"/>
        <v/>
      </c>
      <c r="B622" t="str">
        <f t="shared" si="19"/>
        <v/>
      </c>
      <c r="C622" t="str">
        <f>IF(D622="","",IF(COUNTIF($D$2:D622,D622)&gt;1,"",SUMIFS(tbl_input[필요수량],tbl_input[집계키_청],D622)))</f>
        <v/>
      </c>
      <c r="D622" t="str">
        <f>IFERROR(INDEX(tbl_input[집계키_청],ROW()-1),"")</f>
        <v/>
      </c>
    </row>
    <row r="623" spans="1:4" x14ac:dyDescent="0.4">
      <c r="A623" t="str">
        <f t="shared" si="18"/>
        <v/>
      </c>
      <c r="B623" t="str">
        <f t="shared" si="19"/>
        <v/>
      </c>
      <c r="C623" t="str">
        <f>IF(D623="","",IF(COUNTIF($D$2:D623,D623)&gt;1,"",SUMIFS(tbl_input[필요수량],tbl_input[집계키_청],D623)))</f>
        <v/>
      </c>
      <c r="D623" t="str">
        <f>IFERROR(INDEX(tbl_input[집계키_청],ROW()-1),"")</f>
        <v/>
      </c>
    </row>
    <row r="624" spans="1:4" x14ac:dyDescent="0.4">
      <c r="A624" t="str">
        <f t="shared" si="18"/>
        <v/>
      </c>
      <c r="B624" t="str">
        <f t="shared" si="19"/>
        <v/>
      </c>
      <c r="C624" t="str">
        <f>IF(D624="","",IF(COUNTIF($D$2:D624,D624)&gt;1,"",SUMIFS(tbl_input[필요수량],tbl_input[집계키_청],D624)))</f>
        <v/>
      </c>
      <c r="D624" t="str">
        <f>IFERROR(INDEX(tbl_input[집계키_청],ROW()-1),"")</f>
        <v/>
      </c>
    </row>
    <row r="625" spans="1:4" x14ac:dyDescent="0.4">
      <c r="A625" t="str">
        <f t="shared" si="18"/>
        <v/>
      </c>
      <c r="B625" t="str">
        <f t="shared" si="19"/>
        <v/>
      </c>
      <c r="C625" t="str">
        <f>IF(D625="","",IF(COUNTIF($D$2:D625,D625)&gt;1,"",SUMIFS(tbl_input[필요수량],tbl_input[집계키_청],D625)))</f>
        <v/>
      </c>
      <c r="D625" t="str">
        <f>IFERROR(INDEX(tbl_input[집계키_청],ROW()-1),"")</f>
        <v/>
      </c>
    </row>
    <row r="626" spans="1:4" x14ac:dyDescent="0.4">
      <c r="A626" t="str">
        <f t="shared" si="18"/>
        <v/>
      </c>
      <c r="B626" t="str">
        <f t="shared" si="19"/>
        <v/>
      </c>
      <c r="C626" t="str">
        <f>IF(D626="","",IF(COUNTIF($D$2:D626,D626)&gt;1,"",SUMIFS(tbl_input[필요수량],tbl_input[집계키_청],D626)))</f>
        <v/>
      </c>
      <c r="D626" t="str">
        <f>IFERROR(INDEX(tbl_input[집계키_청],ROW()-1),"")</f>
        <v/>
      </c>
    </row>
    <row r="627" spans="1:4" x14ac:dyDescent="0.4">
      <c r="A627" t="str">
        <f t="shared" si="18"/>
        <v/>
      </c>
      <c r="B627" t="str">
        <f t="shared" si="19"/>
        <v/>
      </c>
      <c r="C627" t="str">
        <f>IF(D627="","",IF(COUNTIF($D$2:D627,D627)&gt;1,"",SUMIFS(tbl_input[필요수량],tbl_input[집계키_청],D627)))</f>
        <v/>
      </c>
      <c r="D627" t="str">
        <f>IFERROR(INDEX(tbl_input[집계키_청],ROW()-1),"")</f>
        <v/>
      </c>
    </row>
    <row r="628" spans="1:4" x14ac:dyDescent="0.4">
      <c r="A628" t="str">
        <f t="shared" si="18"/>
        <v/>
      </c>
      <c r="B628" t="str">
        <f t="shared" si="19"/>
        <v/>
      </c>
      <c r="C628" t="str">
        <f>IF(D628="","",IF(COUNTIF($D$2:D628,D628)&gt;1,"",SUMIFS(tbl_input[필요수량],tbl_input[집계키_청],D628)))</f>
        <v/>
      </c>
      <c r="D628" t="str">
        <f>IFERROR(INDEX(tbl_input[집계키_청],ROW()-1),"")</f>
        <v/>
      </c>
    </row>
    <row r="629" spans="1:4" x14ac:dyDescent="0.4">
      <c r="A629" t="str">
        <f t="shared" si="18"/>
        <v/>
      </c>
      <c r="B629" t="str">
        <f t="shared" si="19"/>
        <v/>
      </c>
      <c r="C629" t="str">
        <f>IF(D629="","",IF(COUNTIF($D$2:D629,D629)&gt;1,"",SUMIFS(tbl_input[필요수량],tbl_input[집계키_청],D629)))</f>
        <v/>
      </c>
      <c r="D629" t="str">
        <f>IFERROR(INDEX(tbl_input[집계키_청],ROW()-1),"")</f>
        <v/>
      </c>
    </row>
    <row r="630" spans="1:4" x14ac:dyDescent="0.4">
      <c r="A630" t="str">
        <f t="shared" si="18"/>
        <v/>
      </c>
      <c r="B630" t="str">
        <f t="shared" si="19"/>
        <v/>
      </c>
      <c r="C630" t="str">
        <f>IF(D630="","",IF(COUNTIF($D$2:D630,D630)&gt;1,"",SUMIFS(tbl_input[필요수량],tbl_input[집계키_청],D630)))</f>
        <v/>
      </c>
      <c r="D630" t="str">
        <f>IFERROR(INDEX(tbl_input[집계키_청],ROW()-1),"")</f>
        <v/>
      </c>
    </row>
    <row r="631" spans="1:4" x14ac:dyDescent="0.4">
      <c r="A631" t="str">
        <f t="shared" si="18"/>
        <v/>
      </c>
      <c r="B631" t="str">
        <f t="shared" si="19"/>
        <v/>
      </c>
      <c r="C631" t="str">
        <f>IF(D631="","",IF(COUNTIF($D$2:D631,D631)&gt;1,"",SUMIFS(tbl_input[필요수량],tbl_input[집계키_청],D631)))</f>
        <v/>
      </c>
      <c r="D631" t="str">
        <f>IFERROR(INDEX(tbl_input[집계키_청],ROW()-1),"")</f>
        <v/>
      </c>
    </row>
    <row r="632" spans="1:4" x14ac:dyDescent="0.4">
      <c r="A632" t="str">
        <f t="shared" si="18"/>
        <v/>
      </c>
      <c r="B632" t="str">
        <f t="shared" si="19"/>
        <v/>
      </c>
      <c r="C632" t="str">
        <f>IF(D632="","",IF(COUNTIF($D$2:D632,D632)&gt;1,"",SUMIFS(tbl_input[필요수량],tbl_input[집계키_청],D632)))</f>
        <v/>
      </c>
      <c r="D632" t="str">
        <f>IFERROR(INDEX(tbl_input[집계키_청],ROW()-1),"")</f>
        <v/>
      </c>
    </row>
    <row r="633" spans="1:4" x14ac:dyDescent="0.4">
      <c r="A633" t="str">
        <f t="shared" si="18"/>
        <v/>
      </c>
      <c r="B633" t="str">
        <f t="shared" si="19"/>
        <v/>
      </c>
      <c r="C633" t="str">
        <f>IF(D633="","",IF(COUNTIF($D$2:D633,D633)&gt;1,"",SUMIFS(tbl_input[필요수량],tbl_input[집계키_청],D633)))</f>
        <v/>
      </c>
      <c r="D633" t="str">
        <f>IFERROR(INDEX(tbl_input[집계키_청],ROW()-1),"")</f>
        <v/>
      </c>
    </row>
    <row r="634" spans="1:4" x14ac:dyDescent="0.4">
      <c r="A634" t="str">
        <f t="shared" si="18"/>
        <v/>
      </c>
      <c r="B634" t="str">
        <f t="shared" si="19"/>
        <v/>
      </c>
      <c r="C634" t="str">
        <f>IF(D634="","",IF(COUNTIF($D$2:D634,D634)&gt;1,"",SUMIFS(tbl_input[필요수량],tbl_input[집계키_청],D634)))</f>
        <v/>
      </c>
      <c r="D634" t="str">
        <f>IFERROR(INDEX(tbl_input[집계키_청],ROW()-1),"")</f>
        <v/>
      </c>
    </row>
    <row r="635" spans="1:4" x14ac:dyDescent="0.4">
      <c r="A635" t="str">
        <f t="shared" si="18"/>
        <v/>
      </c>
      <c r="B635" t="str">
        <f t="shared" si="19"/>
        <v/>
      </c>
      <c r="C635" t="str">
        <f>IF(D635="","",IF(COUNTIF($D$2:D635,D635)&gt;1,"",SUMIFS(tbl_input[필요수량],tbl_input[집계키_청],D635)))</f>
        <v/>
      </c>
      <c r="D635" t="str">
        <f>IFERROR(INDEX(tbl_input[집계키_청],ROW()-1),"")</f>
        <v/>
      </c>
    </row>
    <row r="636" spans="1:4" x14ac:dyDescent="0.4">
      <c r="A636" t="str">
        <f t="shared" si="18"/>
        <v/>
      </c>
      <c r="B636" t="str">
        <f t="shared" si="19"/>
        <v/>
      </c>
      <c r="C636" t="str">
        <f>IF(D636="","",IF(COUNTIF($D$2:D636,D636)&gt;1,"",SUMIFS(tbl_input[필요수량],tbl_input[집계키_청],D636)))</f>
        <v/>
      </c>
      <c r="D636" t="str">
        <f>IFERROR(INDEX(tbl_input[집계키_청],ROW()-1),"")</f>
        <v/>
      </c>
    </row>
    <row r="637" spans="1:4" x14ac:dyDescent="0.4">
      <c r="A637" t="str">
        <f t="shared" si="18"/>
        <v/>
      </c>
      <c r="B637" t="str">
        <f t="shared" si="19"/>
        <v/>
      </c>
      <c r="C637" t="str">
        <f>IF(D637="","",IF(COUNTIF($D$2:D637,D637)&gt;1,"",SUMIFS(tbl_input[필요수량],tbl_input[집계키_청],D637)))</f>
        <v/>
      </c>
      <c r="D637" t="str">
        <f>IFERROR(INDEX(tbl_input[집계키_청],ROW()-1),"")</f>
        <v/>
      </c>
    </row>
    <row r="638" spans="1:4" x14ac:dyDescent="0.4">
      <c r="A638" t="str">
        <f t="shared" si="18"/>
        <v/>
      </c>
      <c r="B638" t="str">
        <f t="shared" si="19"/>
        <v/>
      </c>
      <c r="C638" t="str">
        <f>IF(D638="","",IF(COUNTIF($D$2:D638,D638)&gt;1,"",SUMIFS(tbl_input[필요수량],tbl_input[집계키_청],D638)))</f>
        <v/>
      </c>
      <c r="D638" t="str">
        <f>IFERROR(INDEX(tbl_input[집계키_청],ROW()-1),"")</f>
        <v/>
      </c>
    </row>
    <row r="639" spans="1:4" x14ac:dyDescent="0.4">
      <c r="A639" t="str">
        <f t="shared" si="18"/>
        <v/>
      </c>
      <c r="B639" t="str">
        <f t="shared" si="19"/>
        <v/>
      </c>
      <c r="C639" t="str">
        <f>IF(D639="","",IF(COUNTIF($D$2:D639,D639)&gt;1,"",SUMIFS(tbl_input[필요수량],tbl_input[집계키_청],D639)))</f>
        <v/>
      </c>
      <c r="D639" t="str">
        <f>IFERROR(INDEX(tbl_input[집계키_청],ROW()-1),"")</f>
        <v/>
      </c>
    </row>
    <row r="640" spans="1:4" x14ac:dyDescent="0.4">
      <c r="A640" t="str">
        <f t="shared" si="18"/>
        <v/>
      </c>
      <c r="B640" t="str">
        <f t="shared" si="19"/>
        <v/>
      </c>
      <c r="C640" t="str">
        <f>IF(D640="","",IF(COUNTIF($D$2:D640,D640)&gt;1,"",SUMIFS(tbl_input[필요수량],tbl_input[집계키_청],D640)))</f>
        <v/>
      </c>
      <c r="D640" t="str">
        <f>IFERROR(INDEX(tbl_input[집계키_청],ROW()-1),"")</f>
        <v/>
      </c>
    </row>
    <row r="641" spans="1:4" x14ac:dyDescent="0.4">
      <c r="A641" t="str">
        <f t="shared" si="18"/>
        <v/>
      </c>
      <c r="B641" t="str">
        <f t="shared" si="19"/>
        <v/>
      </c>
      <c r="C641" t="str">
        <f>IF(D641="","",IF(COUNTIF($D$2:D641,D641)&gt;1,"",SUMIFS(tbl_input[필요수량],tbl_input[집계키_청],D641)))</f>
        <v/>
      </c>
      <c r="D641" t="str">
        <f>IFERROR(INDEX(tbl_input[집계키_청],ROW()-1),"")</f>
        <v/>
      </c>
    </row>
    <row r="642" spans="1:4" x14ac:dyDescent="0.4">
      <c r="A642" t="str">
        <f t="shared" ref="A642:A705" si="20">IF(D642="","",LEFT(D642,FIND("♦",D642)-1))</f>
        <v/>
      </c>
      <c r="B642" t="str">
        <f t="shared" ref="B642:B705" si="21">IF(D642="","",MID(D642,FIND("♦",D642)+1,999))</f>
        <v/>
      </c>
      <c r="C642" t="str">
        <f>IF(D642="","",IF(COUNTIF($D$2:D642,D642)&gt;1,"",SUMIFS(tbl_input[필요수량],tbl_input[집계키_청],D642)))</f>
        <v/>
      </c>
      <c r="D642" t="str">
        <f>IFERROR(INDEX(tbl_input[집계키_청],ROW()-1),"")</f>
        <v/>
      </c>
    </row>
    <row r="643" spans="1:4" x14ac:dyDescent="0.4">
      <c r="A643" t="str">
        <f t="shared" si="20"/>
        <v/>
      </c>
      <c r="B643" t="str">
        <f t="shared" si="21"/>
        <v/>
      </c>
      <c r="C643" t="str">
        <f>IF(D643="","",IF(COUNTIF($D$2:D643,D643)&gt;1,"",SUMIFS(tbl_input[필요수량],tbl_input[집계키_청],D643)))</f>
        <v/>
      </c>
      <c r="D643" t="str">
        <f>IFERROR(INDEX(tbl_input[집계키_청],ROW()-1),"")</f>
        <v/>
      </c>
    </row>
    <row r="644" spans="1:4" x14ac:dyDescent="0.4">
      <c r="A644" t="str">
        <f t="shared" si="20"/>
        <v/>
      </c>
      <c r="B644" t="str">
        <f t="shared" si="21"/>
        <v/>
      </c>
      <c r="C644" t="str">
        <f>IF(D644="","",IF(COUNTIF($D$2:D644,D644)&gt;1,"",SUMIFS(tbl_input[필요수량],tbl_input[집계키_청],D644)))</f>
        <v/>
      </c>
      <c r="D644" t="str">
        <f>IFERROR(INDEX(tbl_input[집계키_청],ROW()-1),"")</f>
        <v/>
      </c>
    </row>
    <row r="645" spans="1:4" x14ac:dyDescent="0.4">
      <c r="A645" t="str">
        <f t="shared" si="20"/>
        <v/>
      </c>
      <c r="B645" t="str">
        <f t="shared" si="21"/>
        <v/>
      </c>
      <c r="C645" t="str">
        <f>IF(D645="","",IF(COUNTIF($D$2:D645,D645)&gt;1,"",SUMIFS(tbl_input[필요수량],tbl_input[집계키_청],D645)))</f>
        <v/>
      </c>
      <c r="D645" t="str">
        <f>IFERROR(INDEX(tbl_input[집계키_청],ROW()-1),"")</f>
        <v/>
      </c>
    </row>
    <row r="646" spans="1:4" x14ac:dyDescent="0.4">
      <c r="A646" t="str">
        <f t="shared" si="20"/>
        <v/>
      </c>
      <c r="B646" t="str">
        <f t="shared" si="21"/>
        <v/>
      </c>
      <c r="C646" t="str">
        <f>IF(D646="","",IF(COUNTIF($D$2:D646,D646)&gt;1,"",SUMIFS(tbl_input[필요수량],tbl_input[집계키_청],D646)))</f>
        <v/>
      </c>
      <c r="D646" t="str">
        <f>IFERROR(INDEX(tbl_input[집계키_청],ROW()-1),"")</f>
        <v/>
      </c>
    </row>
    <row r="647" spans="1:4" x14ac:dyDescent="0.4">
      <c r="A647" t="str">
        <f t="shared" si="20"/>
        <v/>
      </c>
      <c r="B647" t="str">
        <f t="shared" si="21"/>
        <v/>
      </c>
      <c r="C647" t="str">
        <f>IF(D647="","",IF(COUNTIF($D$2:D647,D647)&gt;1,"",SUMIFS(tbl_input[필요수량],tbl_input[집계키_청],D647)))</f>
        <v/>
      </c>
      <c r="D647" t="str">
        <f>IFERROR(INDEX(tbl_input[집계키_청],ROW()-1),"")</f>
        <v/>
      </c>
    </row>
    <row r="648" spans="1:4" x14ac:dyDescent="0.4">
      <c r="A648" t="str">
        <f t="shared" si="20"/>
        <v/>
      </c>
      <c r="B648" t="str">
        <f t="shared" si="21"/>
        <v/>
      </c>
      <c r="C648" t="str">
        <f>IF(D648="","",IF(COUNTIF($D$2:D648,D648)&gt;1,"",SUMIFS(tbl_input[필요수량],tbl_input[집계키_청],D648)))</f>
        <v/>
      </c>
      <c r="D648" t="str">
        <f>IFERROR(INDEX(tbl_input[집계키_청],ROW()-1),"")</f>
        <v/>
      </c>
    </row>
    <row r="649" spans="1:4" x14ac:dyDescent="0.4">
      <c r="A649" t="str">
        <f t="shared" si="20"/>
        <v/>
      </c>
      <c r="B649" t="str">
        <f t="shared" si="21"/>
        <v/>
      </c>
      <c r="C649" t="str">
        <f>IF(D649="","",IF(COUNTIF($D$2:D649,D649)&gt;1,"",SUMIFS(tbl_input[필요수량],tbl_input[집계키_청],D649)))</f>
        <v/>
      </c>
      <c r="D649" t="str">
        <f>IFERROR(INDEX(tbl_input[집계키_청],ROW()-1),"")</f>
        <v/>
      </c>
    </row>
    <row r="650" spans="1:4" x14ac:dyDescent="0.4">
      <c r="A650" t="str">
        <f t="shared" si="20"/>
        <v/>
      </c>
      <c r="B650" t="str">
        <f t="shared" si="21"/>
        <v/>
      </c>
      <c r="C650" t="str">
        <f>IF(D650="","",IF(COUNTIF($D$2:D650,D650)&gt;1,"",SUMIFS(tbl_input[필요수량],tbl_input[집계키_청],D650)))</f>
        <v/>
      </c>
      <c r="D650" t="str">
        <f>IFERROR(INDEX(tbl_input[집계키_청],ROW()-1),"")</f>
        <v/>
      </c>
    </row>
    <row r="651" spans="1:4" x14ac:dyDescent="0.4">
      <c r="A651" t="str">
        <f t="shared" si="20"/>
        <v/>
      </c>
      <c r="B651" t="str">
        <f t="shared" si="21"/>
        <v/>
      </c>
      <c r="C651" t="str">
        <f>IF(D651="","",IF(COUNTIF($D$2:D651,D651)&gt;1,"",SUMIFS(tbl_input[필요수량],tbl_input[집계키_청],D651)))</f>
        <v/>
      </c>
      <c r="D651" t="str">
        <f>IFERROR(INDEX(tbl_input[집계키_청],ROW()-1),"")</f>
        <v/>
      </c>
    </row>
    <row r="652" spans="1:4" x14ac:dyDescent="0.4">
      <c r="A652" t="str">
        <f t="shared" si="20"/>
        <v/>
      </c>
      <c r="B652" t="str">
        <f t="shared" si="21"/>
        <v/>
      </c>
      <c r="C652" t="str">
        <f>IF(D652="","",IF(COUNTIF($D$2:D652,D652)&gt;1,"",SUMIFS(tbl_input[필요수량],tbl_input[집계키_청],D652)))</f>
        <v/>
      </c>
      <c r="D652" t="str">
        <f>IFERROR(INDEX(tbl_input[집계키_청],ROW()-1),"")</f>
        <v/>
      </c>
    </row>
    <row r="653" spans="1:4" x14ac:dyDescent="0.4">
      <c r="A653" t="str">
        <f t="shared" si="20"/>
        <v/>
      </c>
      <c r="B653" t="str">
        <f t="shared" si="21"/>
        <v/>
      </c>
      <c r="C653" t="str">
        <f>IF(D653="","",IF(COUNTIF($D$2:D653,D653)&gt;1,"",SUMIFS(tbl_input[필요수량],tbl_input[집계키_청],D653)))</f>
        <v/>
      </c>
      <c r="D653" t="str">
        <f>IFERROR(INDEX(tbl_input[집계키_청],ROW()-1),"")</f>
        <v/>
      </c>
    </row>
    <row r="654" spans="1:4" x14ac:dyDescent="0.4">
      <c r="A654" t="str">
        <f t="shared" si="20"/>
        <v/>
      </c>
      <c r="B654" t="str">
        <f t="shared" si="21"/>
        <v/>
      </c>
      <c r="C654" t="str">
        <f>IF(D654="","",IF(COUNTIF($D$2:D654,D654)&gt;1,"",SUMIFS(tbl_input[필요수량],tbl_input[집계키_청],D654)))</f>
        <v/>
      </c>
      <c r="D654" t="str">
        <f>IFERROR(INDEX(tbl_input[집계키_청],ROW()-1),"")</f>
        <v/>
      </c>
    </row>
    <row r="655" spans="1:4" x14ac:dyDescent="0.4">
      <c r="A655" t="str">
        <f t="shared" si="20"/>
        <v/>
      </c>
      <c r="B655" t="str">
        <f t="shared" si="21"/>
        <v/>
      </c>
      <c r="C655" t="str">
        <f>IF(D655="","",IF(COUNTIF($D$2:D655,D655)&gt;1,"",SUMIFS(tbl_input[필요수량],tbl_input[집계키_청],D655)))</f>
        <v/>
      </c>
      <c r="D655" t="str">
        <f>IFERROR(INDEX(tbl_input[집계키_청],ROW()-1),"")</f>
        <v/>
      </c>
    </row>
    <row r="656" spans="1:4" x14ac:dyDescent="0.4">
      <c r="A656" t="str">
        <f t="shared" si="20"/>
        <v/>
      </c>
      <c r="B656" t="str">
        <f t="shared" si="21"/>
        <v/>
      </c>
      <c r="C656" t="str">
        <f>IF(D656="","",IF(COUNTIF($D$2:D656,D656)&gt;1,"",SUMIFS(tbl_input[필요수량],tbl_input[집계키_청],D656)))</f>
        <v/>
      </c>
      <c r="D656" t="str">
        <f>IFERROR(INDEX(tbl_input[집계키_청],ROW()-1),"")</f>
        <v/>
      </c>
    </row>
    <row r="657" spans="1:4" x14ac:dyDescent="0.4">
      <c r="A657" t="str">
        <f t="shared" si="20"/>
        <v/>
      </c>
      <c r="B657" t="str">
        <f t="shared" si="21"/>
        <v/>
      </c>
      <c r="C657" t="str">
        <f>IF(D657="","",IF(COUNTIF($D$2:D657,D657)&gt;1,"",SUMIFS(tbl_input[필요수량],tbl_input[집계키_청],D657)))</f>
        <v/>
      </c>
      <c r="D657" t="str">
        <f>IFERROR(INDEX(tbl_input[집계키_청],ROW()-1),"")</f>
        <v/>
      </c>
    </row>
    <row r="658" spans="1:4" x14ac:dyDescent="0.4">
      <c r="A658" t="str">
        <f t="shared" si="20"/>
        <v/>
      </c>
      <c r="B658" t="str">
        <f t="shared" si="21"/>
        <v/>
      </c>
      <c r="C658" t="str">
        <f>IF(D658="","",IF(COUNTIF($D$2:D658,D658)&gt;1,"",SUMIFS(tbl_input[필요수량],tbl_input[집계키_청],D658)))</f>
        <v/>
      </c>
      <c r="D658" t="str">
        <f>IFERROR(INDEX(tbl_input[집계키_청],ROW()-1),"")</f>
        <v/>
      </c>
    </row>
    <row r="659" spans="1:4" x14ac:dyDescent="0.4">
      <c r="A659" t="str">
        <f t="shared" si="20"/>
        <v/>
      </c>
      <c r="B659" t="str">
        <f t="shared" si="21"/>
        <v/>
      </c>
      <c r="C659" t="str">
        <f>IF(D659="","",IF(COUNTIF($D$2:D659,D659)&gt;1,"",SUMIFS(tbl_input[필요수량],tbl_input[집계키_청],D659)))</f>
        <v/>
      </c>
      <c r="D659" t="str">
        <f>IFERROR(INDEX(tbl_input[집계키_청],ROW()-1),"")</f>
        <v/>
      </c>
    </row>
    <row r="660" spans="1:4" x14ac:dyDescent="0.4">
      <c r="A660" t="str">
        <f t="shared" si="20"/>
        <v/>
      </c>
      <c r="B660" t="str">
        <f t="shared" si="21"/>
        <v/>
      </c>
      <c r="C660" t="str">
        <f>IF(D660="","",IF(COUNTIF($D$2:D660,D660)&gt;1,"",SUMIFS(tbl_input[필요수량],tbl_input[집계키_청],D660)))</f>
        <v/>
      </c>
      <c r="D660" t="str">
        <f>IFERROR(INDEX(tbl_input[집계키_청],ROW()-1),"")</f>
        <v/>
      </c>
    </row>
    <row r="661" spans="1:4" x14ac:dyDescent="0.4">
      <c r="A661" t="str">
        <f t="shared" si="20"/>
        <v/>
      </c>
      <c r="B661" t="str">
        <f t="shared" si="21"/>
        <v/>
      </c>
      <c r="C661" t="str">
        <f>IF(D661="","",IF(COUNTIF($D$2:D661,D661)&gt;1,"",SUMIFS(tbl_input[필요수량],tbl_input[집계키_청],D661)))</f>
        <v/>
      </c>
      <c r="D661" t="str">
        <f>IFERROR(INDEX(tbl_input[집계키_청],ROW()-1),"")</f>
        <v/>
      </c>
    </row>
    <row r="662" spans="1:4" x14ac:dyDescent="0.4">
      <c r="A662" t="str">
        <f t="shared" si="20"/>
        <v/>
      </c>
      <c r="B662" t="str">
        <f t="shared" si="21"/>
        <v/>
      </c>
      <c r="C662" t="str">
        <f>IF(D662="","",IF(COUNTIF($D$2:D662,D662)&gt;1,"",SUMIFS(tbl_input[필요수량],tbl_input[집계키_청],D662)))</f>
        <v/>
      </c>
      <c r="D662" t="str">
        <f>IFERROR(INDEX(tbl_input[집계키_청],ROW()-1),"")</f>
        <v/>
      </c>
    </row>
    <row r="663" spans="1:4" x14ac:dyDescent="0.4">
      <c r="A663" t="str">
        <f t="shared" si="20"/>
        <v/>
      </c>
      <c r="B663" t="str">
        <f t="shared" si="21"/>
        <v/>
      </c>
      <c r="C663" t="str">
        <f>IF(D663="","",IF(COUNTIF($D$2:D663,D663)&gt;1,"",SUMIFS(tbl_input[필요수량],tbl_input[집계키_청],D663)))</f>
        <v/>
      </c>
      <c r="D663" t="str">
        <f>IFERROR(INDEX(tbl_input[집계키_청],ROW()-1),"")</f>
        <v/>
      </c>
    </row>
    <row r="664" spans="1:4" x14ac:dyDescent="0.4">
      <c r="A664" t="str">
        <f t="shared" si="20"/>
        <v/>
      </c>
      <c r="B664" t="str">
        <f t="shared" si="21"/>
        <v/>
      </c>
      <c r="C664" t="str">
        <f>IF(D664="","",IF(COUNTIF($D$2:D664,D664)&gt;1,"",SUMIFS(tbl_input[필요수량],tbl_input[집계키_청],D664)))</f>
        <v/>
      </c>
      <c r="D664" t="str">
        <f>IFERROR(INDEX(tbl_input[집계키_청],ROW()-1),"")</f>
        <v/>
      </c>
    </row>
    <row r="665" spans="1:4" x14ac:dyDescent="0.4">
      <c r="A665" t="str">
        <f t="shared" si="20"/>
        <v/>
      </c>
      <c r="B665" t="str">
        <f t="shared" si="21"/>
        <v/>
      </c>
      <c r="C665" t="str">
        <f>IF(D665="","",IF(COUNTIF($D$2:D665,D665)&gt;1,"",SUMIFS(tbl_input[필요수량],tbl_input[집계키_청],D665)))</f>
        <v/>
      </c>
      <c r="D665" t="str">
        <f>IFERROR(INDEX(tbl_input[집계키_청],ROW()-1),"")</f>
        <v/>
      </c>
    </row>
    <row r="666" spans="1:4" x14ac:dyDescent="0.4">
      <c r="A666" t="str">
        <f t="shared" si="20"/>
        <v/>
      </c>
      <c r="B666" t="str">
        <f t="shared" si="21"/>
        <v/>
      </c>
      <c r="C666" t="str">
        <f>IF(D666="","",IF(COUNTIF($D$2:D666,D666)&gt;1,"",SUMIFS(tbl_input[필요수량],tbl_input[집계키_청],D666)))</f>
        <v/>
      </c>
      <c r="D666" t="str">
        <f>IFERROR(INDEX(tbl_input[집계키_청],ROW()-1),"")</f>
        <v/>
      </c>
    </row>
    <row r="667" spans="1:4" x14ac:dyDescent="0.4">
      <c r="A667" t="str">
        <f t="shared" si="20"/>
        <v/>
      </c>
      <c r="B667" t="str">
        <f t="shared" si="21"/>
        <v/>
      </c>
      <c r="C667" t="str">
        <f>IF(D667="","",IF(COUNTIF($D$2:D667,D667)&gt;1,"",SUMIFS(tbl_input[필요수량],tbl_input[집계키_청],D667)))</f>
        <v/>
      </c>
      <c r="D667" t="str">
        <f>IFERROR(INDEX(tbl_input[집계키_청],ROW()-1),"")</f>
        <v/>
      </c>
    </row>
    <row r="668" spans="1:4" x14ac:dyDescent="0.4">
      <c r="A668" t="str">
        <f t="shared" si="20"/>
        <v/>
      </c>
      <c r="B668" t="str">
        <f t="shared" si="21"/>
        <v/>
      </c>
      <c r="C668" t="str">
        <f>IF(D668="","",IF(COUNTIF($D$2:D668,D668)&gt;1,"",SUMIFS(tbl_input[필요수량],tbl_input[집계키_청],D668)))</f>
        <v/>
      </c>
      <c r="D668" t="str">
        <f>IFERROR(INDEX(tbl_input[집계키_청],ROW()-1),"")</f>
        <v/>
      </c>
    </row>
    <row r="669" spans="1:4" x14ac:dyDescent="0.4">
      <c r="A669" t="str">
        <f t="shared" si="20"/>
        <v/>
      </c>
      <c r="B669" t="str">
        <f t="shared" si="21"/>
        <v/>
      </c>
      <c r="C669" t="str">
        <f>IF(D669="","",IF(COUNTIF($D$2:D669,D669)&gt;1,"",SUMIFS(tbl_input[필요수량],tbl_input[집계키_청],D669)))</f>
        <v/>
      </c>
      <c r="D669" t="str">
        <f>IFERROR(INDEX(tbl_input[집계키_청],ROW()-1),"")</f>
        <v/>
      </c>
    </row>
    <row r="670" spans="1:4" x14ac:dyDescent="0.4">
      <c r="A670" t="str">
        <f t="shared" si="20"/>
        <v/>
      </c>
      <c r="B670" t="str">
        <f t="shared" si="21"/>
        <v/>
      </c>
      <c r="C670" t="str">
        <f>IF(D670="","",IF(COUNTIF($D$2:D670,D670)&gt;1,"",SUMIFS(tbl_input[필요수량],tbl_input[집계키_청],D670)))</f>
        <v/>
      </c>
      <c r="D670" t="str">
        <f>IFERROR(INDEX(tbl_input[집계키_청],ROW()-1),"")</f>
        <v/>
      </c>
    </row>
    <row r="671" spans="1:4" x14ac:dyDescent="0.4">
      <c r="A671" t="str">
        <f t="shared" si="20"/>
        <v/>
      </c>
      <c r="B671" t="str">
        <f t="shared" si="21"/>
        <v/>
      </c>
      <c r="C671" t="str">
        <f>IF(D671="","",IF(COUNTIF($D$2:D671,D671)&gt;1,"",SUMIFS(tbl_input[필요수량],tbl_input[집계키_청],D671)))</f>
        <v/>
      </c>
      <c r="D671" t="str">
        <f>IFERROR(INDEX(tbl_input[집계키_청],ROW()-1),"")</f>
        <v/>
      </c>
    </row>
    <row r="672" spans="1:4" x14ac:dyDescent="0.4">
      <c r="A672" t="str">
        <f t="shared" si="20"/>
        <v/>
      </c>
      <c r="B672" t="str">
        <f t="shared" si="21"/>
        <v/>
      </c>
      <c r="C672" t="str">
        <f>IF(D672="","",IF(COUNTIF($D$2:D672,D672)&gt;1,"",SUMIFS(tbl_input[필요수량],tbl_input[집계키_청],D672)))</f>
        <v/>
      </c>
      <c r="D672" t="str">
        <f>IFERROR(INDEX(tbl_input[집계키_청],ROW()-1),"")</f>
        <v/>
      </c>
    </row>
    <row r="673" spans="1:4" x14ac:dyDescent="0.4">
      <c r="A673" t="str">
        <f t="shared" si="20"/>
        <v/>
      </c>
      <c r="B673" t="str">
        <f t="shared" si="21"/>
        <v/>
      </c>
      <c r="C673" t="str">
        <f>IF(D673="","",IF(COUNTIF($D$2:D673,D673)&gt;1,"",SUMIFS(tbl_input[필요수량],tbl_input[집계키_청],D673)))</f>
        <v/>
      </c>
      <c r="D673" t="str">
        <f>IFERROR(INDEX(tbl_input[집계키_청],ROW()-1),"")</f>
        <v/>
      </c>
    </row>
    <row r="674" spans="1:4" x14ac:dyDescent="0.4">
      <c r="A674" t="str">
        <f t="shared" si="20"/>
        <v/>
      </c>
      <c r="B674" t="str">
        <f t="shared" si="21"/>
        <v/>
      </c>
      <c r="C674" t="str">
        <f>IF(D674="","",IF(COUNTIF($D$2:D674,D674)&gt;1,"",SUMIFS(tbl_input[필요수량],tbl_input[집계키_청],D674)))</f>
        <v/>
      </c>
      <c r="D674" t="str">
        <f>IFERROR(INDEX(tbl_input[집계키_청],ROW()-1),"")</f>
        <v/>
      </c>
    </row>
    <row r="675" spans="1:4" x14ac:dyDescent="0.4">
      <c r="A675" t="str">
        <f t="shared" si="20"/>
        <v/>
      </c>
      <c r="B675" t="str">
        <f t="shared" si="21"/>
        <v/>
      </c>
      <c r="C675" t="str">
        <f>IF(D675="","",IF(COUNTIF($D$2:D675,D675)&gt;1,"",SUMIFS(tbl_input[필요수량],tbl_input[집계키_청],D675)))</f>
        <v/>
      </c>
      <c r="D675" t="str">
        <f>IFERROR(INDEX(tbl_input[집계키_청],ROW()-1),"")</f>
        <v/>
      </c>
    </row>
    <row r="676" spans="1:4" x14ac:dyDescent="0.4">
      <c r="A676" t="str">
        <f t="shared" si="20"/>
        <v/>
      </c>
      <c r="B676" t="str">
        <f t="shared" si="21"/>
        <v/>
      </c>
      <c r="C676" t="str">
        <f>IF(D676="","",IF(COUNTIF($D$2:D676,D676)&gt;1,"",SUMIFS(tbl_input[필요수량],tbl_input[집계키_청],D676)))</f>
        <v/>
      </c>
      <c r="D676" t="str">
        <f>IFERROR(INDEX(tbl_input[집계키_청],ROW()-1),"")</f>
        <v/>
      </c>
    </row>
    <row r="677" spans="1:4" x14ac:dyDescent="0.4">
      <c r="A677" t="str">
        <f t="shared" si="20"/>
        <v/>
      </c>
      <c r="B677" t="str">
        <f t="shared" si="21"/>
        <v/>
      </c>
      <c r="C677" t="str">
        <f>IF(D677="","",IF(COUNTIF($D$2:D677,D677)&gt;1,"",SUMIFS(tbl_input[필요수량],tbl_input[집계키_청],D677)))</f>
        <v/>
      </c>
      <c r="D677" t="str">
        <f>IFERROR(INDEX(tbl_input[집계키_청],ROW()-1),"")</f>
        <v/>
      </c>
    </row>
    <row r="678" spans="1:4" x14ac:dyDescent="0.4">
      <c r="A678" t="str">
        <f t="shared" si="20"/>
        <v/>
      </c>
      <c r="B678" t="str">
        <f t="shared" si="21"/>
        <v/>
      </c>
      <c r="C678" t="str">
        <f>IF(D678="","",IF(COUNTIF($D$2:D678,D678)&gt;1,"",SUMIFS(tbl_input[필요수량],tbl_input[집계키_청],D678)))</f>
        <v/>
      </c>
      <c r="D678" t="str">
        <f>IFERROR(INDEX(tbl_input[집계키_청],ROW()-1),"")</f>
        <v/>
      </c>
    </row>
    <row r="679" spans="1:4" x14ac:dyDescent="0.4">
      <c r="A679" t="str">
        <f t="shared" si="20"/>
        <v/>
      </c>
      <c r="B679" t="str">
        <f t="shared" si="21"/>
        <v/>
      </c>
      <c r="C679" t="str">
        <f>IF(D679="","",IF(COUNTIF($D$2:D679,D679)&gt;1,"",SUMIFS(tbl_input[필요수량],tbl_input[집계키_청],D679)))</f>
        <v/>
      </c>
      <c r="D679" t="str">
        <f>IFERROR(INDEX(tbl_input[집계키_청],ROW()-1),"")</f>
        <v/>
      </c>
    </row>
    <row r="680" spans="1:4" x14ac:dyDescent="0.4">
      <c r="A680" t="str">
        <f t="shared" si="20"/>
        <v/>
      </c>
      <c r="B680" t="str">
        <f t="shared" si="21"/>
        <v/>
      </c>
      <c r="C680" t="str">
        <f>IF(D680="","",IF(COUNTIF($D$2:D680,D680)&gt;1,"",SUMIFS(tbl_input[필요수량],tbl_input[집계키_청],D680)))</f>
        <v/>
      </c>
      <c r="D680" t="str">
        <f>IFERROR(INDEX(tbl_input[집계키_청],ROW()-1),"")</f>
        <v/>
      </c>
    </row>
    <row r="681" spans="1:4" x14ac:dyDescent="0.4">
      <c r="A681" t="str">
        <f t="shared" si="20"/>
        <v/>
      </c>
      <c r="B681" t="str">
        <f t="shared" si="21"/>
        <v/>
      </c>
      <c r="C681" t="str">
        <f>IF(D681="","",IF(COUNTIF($D$2:D681,D681)&gt;1,"",SUMIFS(tbl_input[필요수량],tbl_input[집계키_청],D681)))</f>
        <v/>
      </c>
      <c r="D681" t="str">
        <f>IFERROR(INDEX(tbl_input[집계키_청],ROW()-1),"")</f>
        <v/>
      </c>
    </row>
    <row r="682" spans="1:4" x14ac:dyDescent="0.4">
      <c r="A682" t="str">
        <f t="shared" si="20"/>
        <v/>
      </c>
      <c r="B682" t="str">
        <f t="shared" si="21"/>
        <v/>
      </c>
      <c r="C682" t="str">
        <f>IF(D682="","",IF(COUNTIF($D$2:D682,D682)&gt;1,"",SUMIFS(tbl_input[필요수량],tbl_input[집계키_청],D682)))</f>
        <v/>
      </c>
      <c r="D682" t="str">
        <f>IFERROR(INDEX(tbl_input[집계키_청],ROW()-1),"")</f>
        <v/>
      </c>
    </row>
    <row r="683" spans="1:4" x14ac:dyDescent="0.4">
      <c r="A683" t="str">
        <f t="shared" si="20"/>
        <v/>
      </c>
      <c r="B683" t="str">
        <f t="shared" si="21"/>
        <v/>
      </c>
      <c r="C683" t="str">
        <f>IF(D683="","",IF(COUNTIF($D$2:D683,D683)&gt;1,"",SUMIFS(tbl_input[필요수량],tbl_input[집계키_청],D683)))</f>
        <v/>
      </c>
      <c r="D683" t="str">
        <f>IFERROR(INDEX(tbl_input[집계키_청],ROW()-1),"")</f>
        <v/>
      </c>
    </row>
    <row r="684" spans="1:4" x14ac:dyDescent="0.4">
      <c r="A684" t="str">
        <f t="shared" si="20"/>
        <v/>
      </c>
      <c r="B684" t="str">
        <f t="shared" si="21"/>
        <v/>
      </c>
      <c r="C684" t="str">
        <f>IF(D684="","",IF(COUNTIF($D$2:D684,D684)&gt;1,"",SUMIFS(tbl_input[필요수량],tbl_input[집계키_청],D684)))</f>
        <v/>
      </c>
      <c r="D684" t="str">
        <f>IFERROR(INDEX(tbl_input[집계키_청],ROW()-1),"")</f>
        <v/>
      </c>
    </row>
    <row r="685" spans="1:4" x14ac:dyDescent="0.4">
      <c r="A685" t="str">
        <f t="shared" si="20"/>
        <v/>
      </c>
      <c r="B685" t="str">
        <f t="shared" si="21"/>
        <v/>
      </c>
      <c r="C685" t="str">
        <f>IF(D685="","",IF(COUNTIF($D$2:D685,D685)&gt;1,"",SUMIFS(tbl_input[필요수량],tbl_input[집계키_청],D685)))</f>
        <v/>
      </c>
      <c r="D685" t="str">
        <f>IFERROR(INDEX(tbl_input[집계키_청],ROW()-1),"")</f>
        <v/>
      </c>
    </row>
    <row r="686" spans="1:4" x14ac:dyDescent="0.4">
      <c r="A686" t="str">
        <f t="shared" si="20"/>
        <v/>
      </c>
      <c r="B686" t="str">
        <f t="shared" si="21"/>
        <v/>
      </c>
      <c r="C686" t="str">
        <f>IF(D686="","",IF(COUNTIF($D$2:D686,D686)&gt;1,"",SUMIFS(tbl_input[필요수량],tbl_input[집계키_청],D686)))</f>
        <v/>
      </c>
      <c r="D686" t="str">
        <f>IFERROR(INDEX(tbl_input[집계키_청],ROW()-1),"")</f>
        <v/>
      </c>
    </row>
    <row r="687" spans="1:4" x14ac:dyDescent="0.4">
      <c r="A687" t="str">
        <f t="shared" si="20"/>
        <v/>
      </c>
      <c r="B687" t="str">
        <f t="shared" si="21"/>
        <v/>
      </c>
      <c r="C687" t="str">
        <f>IF(D687="","",IF(COUNTIF($D$2:D687,D687)&gt;1,"",SUMIFS(tbl_input[필요수량],tbl_input[집계키_청],D687)))</f>
        <v/>
      </c>
      <c r="D687" t="str">
        <f>IFERROR(INDEX(tbl_input[집계키_청],ROW()-1),"")</f>
        <v/>
      </c>
    </row>
    <row r="688" spans="1:4" x14ac:dyDescent="0.4">
      <c r="A688" t="str">
        <f t="shared" si="20"/>
        <v/>
      </c>
      <c r="B688" t="str">
        <f t="shared" si="21"/>
        <v/>
      </c>
      <c r="C688" t="str">
        <f>IF(D688="","",IF(COUNTIF($D$2:D688,D688)&gt;1,"",SUMIFS(tbl_input[필요수량],tbl_input[집계키_청],D688)))</f>
        <v/>
      </c>
      <c r="D688" t="str">
        <f>IFERROR(INDEX(tbl_input[집계키_청],ROW()-1),"")</f>
        <v/>
      </c>
    </row>
    <row r="689" spans="1:4" x14ac:dyDescent="0.4">
      <c r="A689" t="str">
        <f t="shared" si="20"/>
        <v/>
      </c>
      <c r="B689" t="str">
        <f t="shared" si="21"/>
        <v/>
      </c>
      <c r="C689" t="str">
        <f>IF(D689="","",IF(COUNTIF($D$2:D689,D689)&gt;1,"",SUMIFS(tbl_input[필요수량],tbl_input[집계키_청],D689)))</f>
        <v/>
      </c>
      <c r="D689" t="str">
        <f>IFERROR(INDEX(tbl_input[집계키_청],ROW()-1),"")</f>
        <v/>
      </c>
    </row>
    <row r="690" spans="1:4" x14ac:dyDescent="0.4">
      <c r="A690" t="str">
        <f t="shared" si="20"/>
        <v/>
      </c>
      <c r="B690" t="str">
        <f t="shared" si="21"/>
        <v/>
      </c>
      <c r="C690" t="str">
        <f>IF(D690="","",IF(COUNTIF($D$2:D690,D690)&gt;1,"",SUMIFS(tbl_input[필요수량],tbl_input[집계키_청],D690)))</f>
        <v/>
      </c>
      <c r="D690" t="str">
        <f>IFERROR(INDEX(tbl_input[집계키_청],ROW()-1),"")</f>
        <v/>
      </c>
    </row>
    <row r="691" spans="1:4" x14ac:dyDescent="0.4">
      <c r="A691" t="str">
        <f t="shared" si="20"/>
        <v/>
      </c>
      <c r="B691" t="str">
        <f t="shared" si="21"/>
        <v/>
      </c>
      <c r="C691" t="str">
        <f>IF(D691="","",IF(COUNTIF($D$2:D691,D691)&gt;1,"",SUMIFS(tbl_input[필요수량],tbl_input[집계키_청],D691)))</f>
        <v/>
      </c>
      <c r="D691" t="str">
        <f>IFERROR(INDEX(tbl_input[집계키_청],ROW()-1),"")</f>
        <v/>
      </c>
    </row>
    <row r="692" spans="1:4" x14ac:dyDescent="0.4">
      <c r="A692" t="str">
        <f t="shared" si="20"/>
        <v/>
      </c>
      <c r="B692" t="str">
        <f t="shared" si="21"/>
        <v/>
      </c>
      <c r="C692" t="str">
        <f>IF(D692="","",IF(COUNTIF($D$2:D692,D692)&gt;1,"",SUMIFS(tbl_input[필요수량],tbl_input[집계키_청],D692)))</f>
        <v/>
      </c>
      <c r="D692" t="str">
        <f>IFERROR(INDEX(tbl_input[집계키_청],ROW()-1),"")</f>
        <v/>
      </c>
    </row>
    <row r="693" spans="1:4" x14ac:dyDescent="0.4">
      <c r="A693" t="str">
        <f t="shared" si="20"/>
        <v/>
      </c>
      <c r="B693" t="str">
        <f t="shared" si="21"/>
        <v/>
      </c>
      <c r="C693" t="str">
        <f>IF(D693="","",IF(COUNTIF($D$2:D693,D693)&gt;1,"",SUMIFS(tbl_input[필요수량],tbl_input[집계키_청],D693)))</f>
        <v/>
      </c>
      <c r="D693" t="str">
        <f>IFERROR(INDEX(tbl_input[집계키_청],ROW()-1),"")</f>
        <v/>
      </c>
    </row>
    <row r="694" spans="1:4" x14ac:dyDescent="0.4">
      <c r="A694" t="str">
        <f t="shared" si="20"/>
        <v/>
      </c>
      <c r="B694" t="str">
        <f t="shared" si="21"/>
        <v/>
      </c>
      <c r="C694" t="str">
        <f>IF(D694="","",IF(COUNTIF($D$2:D694,D694)&gt;1,"",SUMIFS(tbl_input[필요수량],tbl_input[집계키_청],D694)))</f>
        <v/>
      </c>
      <c r="D694" t="str">
        <f>IFERROR(INDEX(tbl_input[집계키_청],ROW()-1),"")</f>
        <v/>
      </c>
    </row>
    <row r="695" spans="1:4" x14ac:dyDescent="0.4">
      <c r="A695" t="str">
        <f t="shared" si="20"/>
        <v/>
      </c>
      <c r="B695" t="str">
        <f t="shared" si="21"/>
        <v/>
      </c>
      <c r="C695" t="str">
        <f>IF(D695="","",IF(COUNTIF($D$2:D695,D695)&gt;1,"",SUMIFS(tbl_input[필요수량],tbl_input[집계키_청],D695)))</f>
        <v/>
      </c>
      <c r="D695" t="str">
        <f>IFERROR(INDEX(tbl_input[집계키_청],ROW()-1),"")</f>
        <v/>
      </c>
    </row>
    <row r="696" spans="1:4" x14ac:dyDescent="0.4">
      <c r="A696" t="str">
        <f t="shared" si="20"/>
        <v/>
      </c>
      <c r="B696" t="str">
        <f t="shared" si="21"/>
        <v/>
      </c>
      <c r="C696" t="str">
        <f>IF(D696="","",IF(COUNTIF($D$2:D696,D696)&gt;1,"",SUMIFS(tbl_input[필요수량],tbl_input[집계키_청],D696)))</f>
        <v/>
      </c>
      <c r="D696" t="str">
        <f>IFERROR(INDEX(tbl_input[집계키_청],ROW()-1),"")</f>
        <v/>
      </c>
    </row>
    <row r="697" spans="1:4" x14ac:dyDescent="0.4">
      <c r="A697" t="str">
        <f t="shared" si="20"/>
        <v/>
      </c>
      <c r="B697" t="str">
        <f t="shared" si="21"/>
        <v/>
      </c>
      <c r="C697" t="str">
        <f>IF(D697="","",IF(COUNTIF($D$2:D697,D697)&gt;1,"",SUMIFS(tbl_input[필요수량],tbl_input[집계키_청],D697)))</f>
        <v/>
      </c>
      <c r="D697" t="str">
        <f>IFERROR(INDEX(tbl_input[집계키_청],ROW()-1),"")</f>
        <v/>
      </c>
    </row>
    <row r="698" spans="1:4" x14ac:dyDescent="0.4">
      <c r="A698" t="str">
        <f t="shared" si="20"/>
        <v/>
      </c>
      <c r="B698" t="str">
        <f t="shared" si="21"/>
        <v/>
      </c>
      <c r="C698" t="str">
        <f>IF(D698="","",IF(COUNTIF($D$2:D698,D698)&gt;1,"",SUMIFS(tbl_input[필요수량],tbl_input[집계키_청],D698)))</f>
        <v/>
      </c>
      <c r="D698" t="str">
        <f>IFERROR(INDEX(tbl_input[집계키_청],ROW()-1),"")</f>
        <v/>
      </c>
    </row>
    <row r="699" spans="1:4" x14ac:dyDescent="0.4">
      <c r="A699" t="str">
        <f t="shared" si="20"/>
        <v/>
      </c>
      <c r="B699" t="str">
        <f t="shared" si="21"/>
        <v/>
      </c>
      <c r="C699" t="str">
        <f>IF(D699="","",IF(COUNTIF($D$2:D699,D699)&gt;1,"",SUMIFS(tbl_input[필요수량],tbl_input[집계키_청],D699)))</f>
        <v/>
      </c>
      <c r="D699" t="str">
        <f>IFERROR(INDEX(tbl_input[집계키_청],ROW()-1),"")</f>
        <v/>
      </c>
    </row>
    <row r="700" spans="1:4" x14ac:dyDescent="0.4">
      <c r="A700" t="str">
        <f t="shared" si="20"/>
        <v/>
      </c>
      <c r="B700" t="str">
        <f t="shared" si="21"/>
        <v/>
      </c>
      <c r="C700" t="str">
        <f>IF(D700="","",IF(COUNTIF($D$2:D700,D700)&gt;1,"",SUMIFS(tbl_input[필요수량],tbl_input[집계키_청],D700)))</f>
        <v/>
      </c>
      <c r="D700" t="str">
        <f>IFERROR(INDEX(tbl_input[집계키_청],ROW()-1),"")</f>
        <v/>
      </c>
    </row>
    <row r="701" spans="1:4" x14ac:dyDescent="0.4">
      <c r="A701" t="str">
        <f t="shared" si="20"/>
        <v/>
      </c>
      <c r="B701" t="str">
        <f t="shared" si="21"/>
        <v/>
      </c>
      <c r="C701" t="str">
        <f>IF(D701="","",IF(COUNTIF($D$2:D701,D701)&gt;1,"",SUMIFS(tbl_input[필요수량],tbl_input[집계키_청],D701)))</f>
        <v/>
      </c>
      <c r="D701" t="str">
        <f>IFERROR(INDEX(tbl_input[집계키_청],ROW()-1),"")</f>
        <v/>
      </c>
    </row>
    <row r="702" spans="1:4" x14ac:dyDescent="0.4">
      <c r="A702" t="str">
        <f t="shared" si="20"/>
        <v/>
      </c>
      <c r="B702" t="str">
        <f t="shared" si="21"/>
        <v/>
      </c>
      <c r="C702" t="str">
        <f>IF(D702="","",IF(COUNTIF($D$2:D702,D702)&gt;1,"",SUMIFS(tbl_input[필요수량],tbl_input[집계키_청],D702)))</f>
        <v/>
      </c>
      <c r="D702" t="str">
        <f>IFERROR(INDEX(tbl_input[집계키_청],ROW()-1),"")</f>
        <v/>
      </c>
    </row>
    <row r="703" spans="1:4" x14ac:dyDescent="0.4">
      <c r="A703" t="str">
        <f t="shared" si="20"/>
        <v/>
      </c>
      <c r="B703" t="str">
        <f t="shared" si="21"/>
        <v/>
      </c>
      <c r="C703" t="str">
        <f>IF(D703="","",IF(COUNTIF($D$2:D703,D703)&gt;1,"",SUMIFS(tbl_input[필요수량],tbl_input[집계키_청],D703)))</f>
        <v/>
      </c>
      <c r="D703" t="str">
        <f>IFERROR(INDEX(tbl_input[집계키_청],ROW()-1),"")</f>
        <v/>
      </c>
    </row>
    <row r="704" spans="1:4" x14ac:dyDescent="0.4">
      <c r="A704" t="str">
        <f t="shared" si="20"/>
        <v/>
      </c>
      <c r="B704" t="str">
        <f t="shared" si="21"/>
        <v/>
      </c>
      <c r="C704" t="str">
        <f>IF(D704="","",IF(COUNTIF($D$2:D704,D704)&gt;1,"",SUMIFS(tbl_input[필요수량],tbl_input[집계키_청],D704)))</f>
        <v/>
      </c>
      <c r="D704" t="str">
        <f>IFERROR(INDEX(tbl_input[집계키_청],ROW()-1),"")</f>
        <v/>
      </c>
    </row>
    <row r="705" spans="1:4" x14ac:dyDescent="0.4">
      <c r="A705" t="str">
        <f t="shared" si="20"/>
        <v/>
      </c>
      <c r="B705" t="str">
        <f t="shared" si="21"/>
        <v/>
      </c>
      <c r="C705" t="str">
        <f>IF(D705="","",IF(COUNTIF($D$2:D705,D705)&gt;1,"",SUMIFS(tbl_input[필요수량],tbl_input[집계키_청],D705)))</f>
        <v/>
      </c>
      <c r="D705" t="str">
        <f>IFERROR(INDEX(tbl_input[집계키_청],ROW()-1),"")</f>
        <v/>
      </c>
    </row>
    <row r="706" spans="1:4" x14ac:dyDescent="0.4">
      <c r="A706" t="str">
        <f t="shared" ref="A706:A769" si="22">IF(D706="","",LEFT(D706,FIND("♦",D706)-1))</f>
        <v/>
      </c>
      <c r="B706" t="str">
        <f t="shared" ref="B706:B769" si="23">IF(D706="","",MID(D706,FIND("♦",D706)+1,999))</f>
        <v/>
      </c>
      <c r="C706" t="str">
        <f>IF(D706="","",IF(COUNTIF($D$2:D706,D706)&gt;1,"",SUMIFS(tbl_input[필요수량],tbl_input[집계키_청],D706)))</f>
        <v/>
      </c>
      <c r="D706" t="str">
        <f>IFERROR(INDEX(tbl_input[집계키_청],ROW()-1),"")</f>
        <v/>
      </c>
    </row>
    <row r="707" spans="1:4" x14ac:dyDescent="0.4">
      <c r="A707" t="str">
        <f t="shared" si="22"/>
        <v/>
      </c>
      <c r="B707" t="str">
        <f t="shared" si="23"/>
        <v/>
      </c>
      <c r="C707" t="str">
        <f>IF(D707="","",IF(COUNTIF($D$2:D707,D707)&gt;1,"",SUMIFS(tbl_input[필요수량],tbl_input[집계키_청],D707)))</f>
        <v/>
      </c>
      <c r="D707" t="str">
        <f>IFERROR(INDEX(tbl_input[집계키_청],ROW()-1),"")</f>
        <v/>
      </c>
    </row>
    <row r="708" spans="1:4" x14ac:dyDescent="0.4">
      <c r="A708" t="str">
        <f t="shared" si="22"/>
        <v/>
      </c>
      <c r="B708" t="str">
        <f t="shared" si="23"/>
        <v/>
      </c>
      <c r="C708" t="str">
        <f>IF(D708="","",IF(COUNTIF($D$2:D708,D708)&gt;1,"",SUMIFS(tbl_input[필요수량],tbl_input[집계키_청],D708)))</f>
        <v/>
      </c>
      <c r="D708" t="str">
        <f>IFERROR(INDEX(tbl_input[집계키_청],ROW()-1),"")</f>
        <v/>
      </c>
    </row>
    <row r="709" spans="1:4" x14ac:dyDescent="0.4">
      <c r="A709" t="str">
        <f t="shared" si="22"/>
        <v/>
      </c>
      <c r="B709" t="str">
        <f t="shared" si="23"/>
        <v/>
      </c>
      <c r="C709" t="str">
        <f>IF(D709="","",IF(COUNTIF($D$2:D709,D709)&gt;1,"",SUMIFS(tbl_input[필요수량],tbl_input[집계키_청],D709)))</f>
        <v/>
      </c>
      <c r="D709" t="str">
        <f>IFERROR(INDEX(tbl_input[집계키_청],ROW()-1),"")</f>
        <v/>
      </c>
    </row>
    <row r="710" spans="1:4" x14ac:dyDescent="0.4">
      <c r="A710" t="str">
        <f t="shared" si="22"/>
        <v/>
      </c>
      <c r="B710" t="str">
        <f t="shared" si="23"/>
        <v/>
      </c>
      <c r="C710" t="str">
        <f>IF(D710="","",IF(COUNTIF($D$2:D710,D710)&gt;1,"",SUMIFS(tbl_input[필요수량],tbl_input[집계키_청],D710)))</f>
        <v/>
      </c>
      <c r="D710" t="str">
        <f>IFERROR(INDEX(tbl_input[집계키_청],ROW()-1),"")</f>
        <v/>
      </c>
    </row>
    <row r="711" spans="1:4" x14ac:dyDescent="0.4">
      <c r="A711" t="str">
        <f t="shared" si="22"/>
        <v/>
      </c>
      <c r="B711" t="str">
        <f t="shared" si="23"/>
        <v/>
      </c>
      <c r="C711" t="str">
        <f>IF(D711="","",IF(COUNTIF($D$2:D711,D711)&gt;1,"",SUMIFS(tbl_input[필요수량],tbl_input[집계키_청],D711)))</f>
        <v/>
      </c>
      <c r="D711" t="str">
        <f>IFERROR(INDEX(tbl_input[집계키_청],ROW()-1),"")</f>
        <v/>
      </c>
    </row>
    <row r="712" spans="1:4" x14ac:dyDescent="0.4">
      <c r="A712" t="str">
        <f t="shared" si="22"/>
        <v/>
      </c>
      <c r="B712" t="str">
        <f t="shared" si="23"/>
        <v/>
      </c>
      <c r="C712" t="str">
        <f>IF(D712="","",IF(COUNTIF($D$2:D712,D712)&gt;1,"",SUMIFS(tbl_input[필요수량],tbl_input[집계키_청],D712)))</f>
        <v/>
      </c>
      <c r="D712" t="str">
        <f>IFERROR(INDEX(tbl_input[집계키_청],ROW()-1),"")</f>
        <v/>
      </c>
    </row>
    <row r="713" spans="1:4" x14ac:dyDescent="0.4">
      <c r="A713" t="str">
        <f t="shared" si="22"/>
        <v/>
      </c>
      <c r="B713" t="str">
        <f t="shared" si="23"/>
        <v/>
      </c>
      <c r="C713" t="str">
        <f>IF(D713="","",IF(COUNTIF($D$2:D713,D713)&gt;1,"",SUMIFS(tbl_input[필요수량],tbl_input[집계키_청],D713)))</f>
        <v/>
      </c>
      <c r="D713" t="str">
        <f>IFERROR(INDEX(tbl_input[집계키_청],ROW()-1),"")</f>
        <v/>
      </c>
    </row>
    <row r="714" spans="1:4" x14ac:dyDescent="0.4">
      <c r="A714" t="str">
        <f t="shared" si="22"/>
        <v/>
      </c>
      <c r="B714" t="str">
        <f t="shared" si="23"/>
        <v/>
      </c>
      <c r="C714" t="str">
        <f>IF(D714="","",IF(COUNTIF($D$2:D714,D714)&gt;1,"",SUMIFS(tbl_input[필요수량],tbl_input[집계키_청],D714)))</f>
        <v/>
      </c>
      <c r="D714" t="str">
        <f>IFERROR(INDEX(tbl_input[집계키_청],ROW()-1),"")</f>
        <v/>
      </c>
    </row>
    <row r="715" spans="1:4" x14ac:dyDescent="0.4">
      <c r="A715" t="str">
        <f t="shared" si="22"/>
        <v/>
      </c>
      <c r="B715" t="str">
        <f t="shared" si="23"/>
        <v/>
      </c>
      <c r="C715" t="str">
        <f>IF(D715="","",IF(COUNTIF($D$2:D715,D715)&gt;1,"",SUMIFS(tbl_input[필요수량],tbl_input[집계키_청],D715)))</f>
        <v/>
      </c>
      <c r="D715" t="str">
        <f>IFERROR(INDEX(tbl_input[집계키_청],ROW()-1),"")</f>
        <v/>
      </c>
    </row>
    <row r="716" spans="1:4" x14ac:dyDescent="0.4">
      <c r="A716" t="str">
        <f t="shared" si="22"/>
        <v/>
      </c>
      <c r="B716" t="str">
        <f t="shared" si="23"/>
        <v/>
      </c>
      <c r="C716" t="str">
        <f>IF(D716="","",IF(COUNTIF($D$2:D716,D716)&gt;1,"",SUMIFS(tbl_input[필요수량],tbl_input[집계키_청],D716)))</f>
        <v/>
      </c>
      <c r="D716" t="str">
        <f>IFERROR(INDEX(tbl_input[집계키_청],ROW()-1),"")</f>
        <v/>
      </c>
    </row>
    <row r="717" spans="1:4" x14ac:dyDescent="0.4">
      <c r="A717" t="str">
        <f t="shared" si="22"/>
        <v/>
      </c>
      <c r="B717" t="str">
        <f t="shared" si="23"/>
        <v/>
      </c>
      <c r="C717" t="str">
        <f>IF(D717="","",IF(COUNTIF($D$2:D717,D717)&gt;1,"",SUMIFS(tbl_input[필요수량],tbl_input[집계키_청],D717)))</f>
        <v/>
      </c>
      <c r="D717" t="str">
        <f>IFERROR(INDEX(tbl_input[집계키_청],ROW()-1),"")</f>
        <v/>
      </c>
    </row>
    <row r="718" spans="1:4" x14ac:dyDescent="0.4">
      <c r="A718" t="str">
        <f t="shared" si="22"/>
        <v/>
      </c>
      <c r="B718" t="str">
        <f t="shared" si="23"/>
        <v/>
      </c>
      <c r="C718" t="str">
        <f>IF(D718="","",IF(COUNTIF($D$2:D718,D718)&gt;1,"",SUMIFS(tbl_input[필요수량],tbl_input[집계키_청],D718)))</f>
        <v/>
      </c>
      <c r="D718" t="str">
        <f>IFERROR(INDEX(tbl_input[집계키_청],ROW()-1),"")</f>
        <v/>
      </c>
    </row>
    <row r="719" spans="1:4" x14ac:dyDescent="0.4">
      <c r="A719" t="str">
        <f t="shared" si="22"/>
        <v/>
      </c>
      <c r="B719" t="str">
        <f t="shared" si="23"/>
        <v/>
      </c>
      <c r="C719" t="str">
        <f>IF(D719="","",IF(COUNTIF($D$2:D719,D719)&gt;1,"",SUMIFS(tbl_input[필요수량],tbl_input[집계키_청],D719)))</f>
        <v/>
      </c>
      <c r="D719" t="str">
        <f>IFERROR(INDEX(tbl_input[집계키_청],ROW()-1),"")</f>
        <v/>
      </c>
    </row>
    <row r="720" spans="1:4" x14ac:dyDescent="0.4">
      <c r="A720" t="str">
        <f t="shared" si="22"/>
        <v/>
      </c>
      <c r="B720" t="str">
        <f t="shared" si="23"/>
        <v/>
      </c>
      <c r="C720" t="str">
        <f>IF(D720="","",IF(COUNTIF($D$2:D720,D720)&gt;1,"",SUMIFS(tbl_input[필요수량],tbl_input[집계키_청],D720)))</f>
        <v/>
      </c>
      <c r="D720" t="str">
        <f>IFERROR(INDEX(tbl_input[집계키_청],ROW()-1),"")</f>
        <v/>
      </c>
    </row>
    <row r="721" spans="1:4" x14ac:dyDescent="0.4">
      <c r="A721" t="str">
        <f t="shared" si="22"/>
        <v/>
      </c>
      <c r="B721" t="str">
        <f t="shared" si="23"/>
        <v/>
      </c>
      <c r="C721" t="str">
        <f>IF(D721="","",IF(COUNTIF($D$2:D721,D721)&gt;1,"",SUMIFS(tbl_input[필요수량],tbl_input[집계키_청],D721)))</f>
        <v/>
      </c>
      <c r="D721" t="str">
        <f>IFERROR(INDEX(tbl_input[집계키_청],ROW()-1),"")</f>
        <v/>
      </c>
    </row>
    <row r="722" spans="1:4" x14ac:dyDescent="0.4">
      <c r="A722" t="str">
        <f t="shared" si="22"/>
        <v/>
      </c>
      <c r="B722" t="str">
        <f t="shared" si="23"/>
        <v/>
      </c>
      <c r="C722" t="str">
        <f>IF(D722="","",IF(COUNTIF($D$2:D722,D722)&gt;1,"",SUMIFS(tbl_input[필요수량],tbl_input[집계키_청],D722)))</f>
        <v/>
      </c>
      <c r="D722" t="str">
        <f>IFERROR(INDEX(tbl_input[집계키_청],ROW()-1),"")</f>
        <v/>
      </c>
    </row>
    <row r="723" spans="1:4" x14ac:dyDescent="0.4">
      <c r="A723" t="str">
        <f t="shared" si="22"/>
        <v/>
      </c>
      <c r="B723" t="str">
        <f t="shared" si="23"/>
        <v/>
      </c>
      <c r="C723" t="str">
        <f>IF(D723="","",IF(COUNTIF($D$2:D723,D723)&gt;1,"",SUMIFS(tbl_input[필요수량],tbl_input[집계키_청],D723)))</f>
        <v/>
      </c>
      <c r="D723" t="str">
        <f>IFERROR(INDEX(tbl_input[집계키_청],ROW()-1),"")</f>
        <v/>
      </c>
    </row>
    <row r="724" spans="1:4" x14ac:dyDescent="0.4">
      <c r="A724" t="str">
        <f t="shared" si="22"/>
        <v/>
      </c>
      <c r="B724" t="str">
        <f t="shared" si="23"/>
        <v/>
      </c>
      <c r="C724" t="str">
        <f>IF(D724="","",IF(COUNTIF($D$2:D724,D724)&gt;1,"",SUMIFS(tbl_input[필요수량],tbl_input[집계키_청],D724)))</f>
        <v/>
      </c>
      <c r="D724" t="str">
        <f>IFERROR(INDEX(tbl_input[집계키_청],ROW()-1),"")</f>
        <v/>
      </c>
    </row>
    <row r="725" spans="1:4" x14ac:dyDescent="0.4">
      <c r="A725" t="str">
        <f t="shared" si="22"/>
        <v/>
      </c>
      <c r="B725" t="str">
        <f t="shared" si="23"/>
        <v/>
      </c>
      <c r="C725" t="str">
        <f>IF(D725="","",IF(COUNTIF($D$2:D725,D725)&gt;1,"",SUMIFS(tbl_input[필요수량],tbl_input[집계키_청],D725)))</f>
        <v/>
      </c>
      <c r="D725" t="str">
        <f>IFERROR(INDEX(tbl_input[집계키_청],ROW()-1),"")</f>
        <v/>
      </c>
    </row>
    <row r="726" spans="1:4" x14ac:dyDescent="0.4">
      <c r="A726" t="str">
        <f t="shared" si="22"/>
        <v/>
      </c>
      <c r="B726" t="str">
        <f t="shared" si="23"/>
        <v/>
      </c>
      <c r="C726" t="str">
        <f>IF(D726="","",IF(COUNTIF($D$2:D726,D726)&gt;1,"",SUMIFS(tbl_input[필요수량],tbl_input[집계키_청],D726)))</f>
        <v/>
      </c>
      <c r="D726" t="str">
        <f>IFERROR(INDEX(tbl_input[집계키_청],ROW()-1),"")</f>
        <v/>
      </c>
    </row>
    <row r="727" spans="1:4" x14ac:dyDescent="0.4">
      <c r="A727" t="str">
        <f t="shared" si="22"/>
        <v/>
      </c>
      <c r="B727" t="str">
        <f t="shared" si="23"/>
        <v/>
      </c>
      <c r="C727" t="str">
        <f>IF(D727="","",IF(COUNTIF($D$2:D727,D727)&gt;1,"",SUMIFS(tbl_input[필요수량],tbl_input[집계키_청],D727)))</f>
        <v/>
      </c>
      <c r="D727" t="str">
        <f>IFERROR(INDEX(tbl_input[집계키_청],ROW()-1),"")</f>
        <v/>
      </c>
    </row>
    <row r="728" spans="1:4" x14ac:dyDescent="0.4">
      <c r="A728" t="str">
        <f t="shared" si="22"/>
        <v/>
      </c>
      <c r="B728" t="str">
        <f t="shared" si="23"/>
        <v/>
      </c>
      <c r="C728" t="str">
        <f>IF(D728="","",IF(COUNTIF($D$2:D728,D728)&gt;1,"",SUMIFS(tbl_input[필요수량],tbl_input[집계키_청],D728)))</f>
        <v/>
      </c>
      <c r="D728" t="str">
        <f>IFERROR(INDEX(tbl_input[집계키_청],ROW()-1),"")</f>
        <v/>
      </c>
    </row>
    <row r="729" spans="1:4" x14ac:dyDescent="0.4">
      <c r="A729" t="str">
        <f t="shared" si="22"/>
        <v/>
      </c>
      <c r="B729" t="str">
        <f t="shared" si="23"/>
        <v/>
      </c>
      <c r="C729" t="str">
        <f>IF(D729="","",IF(COUNTIF($D$2:D729,D729)&gt;1,"",SUMIFS(tbl_input[필요수량],tbl_input[집계키_청],D729)))</f>
        <v/>
      </c>
      <c r="D729" t="str">
        <f>IFERROR(INDEX(tbl_input[집계키_청],ROW()-1),"")</f>
        <v/>
      </c>
    </row>
    <row r="730" spans="1:4" x14ac:dyDescent="0.4">
      <c r="A730" t="str">
        <f t="shared" si="22"/>
        <v/>
      </c>
      <c r="B730" t="str">
        <f t="shared" si="23"/>
        <v/>
      </c>
      <c r="C730" t="str">
        <f>IF(D730="","",IF(COUNTIF($D$2:D730,D730)&gt;1,"",SUMIFS(tbl_input[필요수량],tbl_input[집계키_청],D730)))</f>
        <v/>
      </c>
      <c r="D730" t="str">
        <f>IFERROR(INDEX(tbl_input[집계키_청],ROW()-1),"")</f>
        <v/>
      </c>
    </row>
    <row r="731" spans="1:4" x14ac:dyDescent="0.4">
      <c r="A731" t="str">
        <f t="shared" si="22"/>
        <v/>
      </c>
      <c r="B731" t="str">
        <f t="shared" si="23"/>
        <v/>
      </c>
      <c r="C731" t="str">
        <f>IF(D731="","",IF(COUNTIF($D$2:D731,D731)&gt;1,"",SUMIFS(tbl_input[필요수량],tbl_input[집계키_청],D731)))</f>
        <v/>
      </c>
      <c r="D731" t="str">
        <f>IFERROR(INDEX(tbl_input[집계키_청],ROW()-1),"")</f>
        <v/>
      </c>
    </row>
    <row r="732" spans="1:4" x14ac:dyDescent="0.4">
      <c r="A732" t="str">
        <f t="shared" si="22"/>
        <v/>
      </c>
      <c r="B732" t="str">
        <f t="shared" si="23"/>
        <v/>
      </c>
      <c r="C732" t="str">
        <f>IF(D732="","",IF(COUNTIF($D$2:D732,D732)&gt;1,"",SUMIFS(tbl_input[필요수량],tbl_input[집계키_청],D732)))</f>
        <v/>
      </c>
      <c r="D732" t="str">
        <f>IFERROR(INDEX(tbl_input[집계키_청],ROW()-1),"")</f>
        <v/>
      </c>
    </row>
    <row r="733" spans="1:4" x14ac:dyDescent="0.4">
      <c r="A733" t="str">
        <f t="shared" si="22"/>
        <v/>
      </c>
      <c r="B733" t="str">
        <f t="shared" si="23"/>
        <v/>
      </c>
      <c r="C733" t="str">
        <f>IF(D733="","",IF(COUNTIF($D$2:D733,D733)&gt;1,"",SUMIFS(tbl_input[필요수량],tbl_input[집계키_청],D733)))</f>
        <v/>
      </c>
      <c r="D733" t="str">
        <f>IFERROR(INDEX(tbl_input[집계키_청],ROW()-1),"")</f>
        <v/>
      </c>
    </row>
    <row r="734" spans="1:4" x14ac:dyDescent="0.4">
      <c r="A734" t="str">
        <f t="shared" si="22"/>
        <v/>
      </c>
      <c r="B734" t="str">
        <f t="shared" si="23"/>
        <v/>
      </c>
      <c r="C734" t="str">
        <f>IF(D734="","",IF(COUNTIF($D$2:D734,D734)&gt;1,"",SUMIFS(tbl_input[필요수량],tbl_input[집계키_청],D734)))</f>
        <v/>
      </c>
      <c r="D734" t="str">
        <f>IFERROR(INDEX(tbl_input[집계키_청],ROW()-1),"")</f>
        <v/>
      </c>
    </row>
    <row r="735" spans="1:4" x14ac:dyDescent="0.4">
      <c r="A735" t="str">
        <f t="shared" si="22"/>
        <v/>
      </c>
      <c r="B735" t="str">
        <f t="shared" si="23"/>
        <v/>
      </c>
      <c r="C735" t="str">
        <f>IF(D735="","",IF(COUNTIF($D$2:D735,D735)&gt;1,"",SUMIFS(tbl_input[필요수량],tbl_input[집계키_청],D735)))</f>
        <v/>
      </c>
      <c r="D735" t="str">
        <f>IFERROR(INDEX(tbl_input[집계키_청],ROW()-1),"")</f>
        <v/>
      </c>
    </row>
    <row r="736" spans="1:4" x14ac:dyDescent="0.4">
      <c r="A736" t="str">
        <f t="shared" si="22"/>
        <v/>
      </c>
      <c r="B736" t="str">
        <f t="shared" si="23"/>
        <v/>
      </c>
      <c r="C736" t="str">
        <f>IF(D736="","",IF(COUNTIF($D$2:D736,D736)&gt;1,"",SUMIFS(tbl_input[필요수량],tbl_input[집계키_청],D736)))</f>
        <v/>
      </c>
      <c r="D736" t="str">
        <f>IFERROR(INDEX(tbl_input[집계키_청],ROW()-1),"")</f>
        <v/>
      </c>
    </row>
    <row r="737" spans="1:4" x14ac:dyDescent="0.4">
      <c r="A737" t="str">
        <f t="shared" si="22"/>
        <v/>
      </c>
      <c r="B737" t="str">
        <f t="shared" si="23"/>
        <v/>
      </c>
      <c r="C737" t="str">
        <f>IF(D737="","",IF(COUNTIF($D$2:D737,D737)&gt;1,"",SUMIFS(tbl_input[필요수량],tbl_input[집계키_청],D737)))</f>
        <v/>
      </c>
      <c r="D737" t="str">
        <f>IFERROR(INDEX(tbl_input[집계키_청],ROW()-1),"")</f>
        <v/>
      </c>
    </row>
    <row r="738" spans="1:4" x14ac:dyDescent="0.4">
      <c r="A738" t="str">
        <f t="shared" si="22"/>
        <v/>
      </c>
      <c r="B738" t="str">
        <f t="shared" si="23"/>
        <v/>
      </c>
      <c r="C738" t="str">
        <f>IF(D738="","",IF(COUNTIF($D$2:D738,D738)&gt;1,"",SUMIFS(tbl_input[필요수량],tbl_input[집계키_청],D738)))</f>
        <v/>
      </c>
      <c r="D738" t="str">
        <f>IFERROR(INDEX(tbl_input[집계키_청],ROW()-1),"")</f>
        <v/>
      </c>
    </row>
    <row r="739" spans="1:4" x14ac:dyDescent="0.4">
      <c r="A739" t="str">
        <f t="shared" si="22"/>
        <v/>
      </c>
      <c r="B739" t="str">
        <f t="shared" si="23"/>
        <v/>
      </c>
      <c r="C739" t="str">
        <f>IF(D739="","",IF(COUNTIF($D$2:D739,D739)&gt;1,"",SUMIFS(tbl_input[필요수량],tbl_input[집계키_청],D739)))</f>
        <v/>
      </c>
      <c r="D739" t="str">
        <f>IFERROR(INDEX(tbl_input[집계키_청],ROW()-1),"")</f>
        <v/>
      </c>
    </row>
    <row r="740" spans="1:4" x14ac:dyDescent="0.4">
      <c r="A740" t="str">
        <f t="shared" si="22"/>
        <v/>
      </c>
      <c r="B740" t="str">
        <f t="shared" si="23"/>
        <v/>
      </c>
      <c r="C740" t="str">
        <f>IF(D740="","",IF(COUNTIF($D$2:D740,D740)&gt;1,"",SUMIFS(tbl_input[필요수량],tbl_input[집계키_청],D740)))</f>
        <v/>
      </c>
      <c r="D740" t="str">
        <f>IFERROR(INDEX(tbl_input[집계키_청],ROW()-1),"")</f>
        <v/>
      </c>
    </row>
    <row r="741" spans="1:4" x14ac:dyDescent="0.4">
      <c r="A741" t="str">
        <f t="shared" si="22"/>
        <v/>
      </c>
      <c r="B741" t="str">
        <f t="shared" si="23"/>
        <v/>
      </c>
      <c r="C741" t="str">
        <f>IF(D741="","",IF(COUNTIF($D$2:D741,D741)&gt;1,"",SUMIFS(tbl_input[필요수량],tbl_input[집계키_청],D741)))</f>
        <v/>
      </c>
      <c r="D741" t="str">
        <f>IFERROR(INDEX(tbl_input[집계키_청],ROW()-1),"")</f>
        <v/>
      </c>
    </row>
    <row r="742" spans="1:4" x14ac:dyDescent="0.4">
      <c r="A742" t="str">
        <f t="shared" si="22"/>
        <v/>
      </c>
      <c r="B742" t="str">
        <f t="shared" si="23"/>
        <v/>
      </c>
      <c r="C742" t="str">
        <f>IF(D742="","",IF(COUNTIF($D$2:D742,D742)&gt;1,"",SUMIFS(tbl_input[필요수량],tbl_input[집계키_청],D742)))</f>
        <v/>
      </c>
      <c r="D742" t="str">
        <f>IFERROR(INDEX(tbl_input[집계키_청],ROW()-1),"")</f>
        <v/>
      </c>
    </row>
    <row r="743" spans="1:4" x14ac:dyDescent="0.4">
      <c r="A743" t="str">
        <f t="shared" si="22"/>
        <v/>
      </c>
      <c r="B743" t="str">
        <f t="shared" si="23"/>
        <v/>
      </c>
      <c r="C743" t="str">
        <f>IF(D743="","",IF(COUNTIF($D$2:D743,D743)&gt;1,"",SUMIFS(tbl_input[필요수량],tbl_input[집계키_청],D743)))</f>
        <v/>
      </c>
      <c r="D743" t="str">
        <f>IFERROR(INDEX(tbl_input[집계키_청],ROW()-1),"")</f>
        <v/>
      </c>
    </row>
    <row r="744" spans="1:4" x14ac:dyDescent="0.4">
      <c r="A744" t="str">
        <f t="shared" si="22"/>
        <v/>
      </c>
      <c r="B744" t="str">
        <f t="shared" si="23"/>
        <v/>
      </c>
      <c r="C744" t="str">
        <f>IF(D744="","",IF(COUNTIF($D$2:D744,D744)&gt;1,"",SUMIFS(tbl_input[필요수량],tbl_input[집계키_청],D744)))</f>
        <v/>
      </c>
      <c r="D744" t="str">
        <f>IFERROR(INDEX(tbl_input[집계키_청],ROW()-1),"")</f>
        <v/>
      </c>
    </row>
    <row r="745" spans="1:4" x14ac:dyDescent="0.4">
      <c r="A745" t="str">
        <f t="shared" si="22"/>
        <v/>
      </c>
      <c r="B745" t="str">
        <f t="shared" si="23"/>
        <v/>
      </c>
      <c r="C745" t="str">
        <f>IF(D745="","",IF(COUNTIF($D$2:D745,D745)&gt;1,"",SUMIFS(tbl_input[필요수량],tbl_input[집계키_청],D745)))</f>
        <v/>
      </c>
      <c r="D745" t="str">
        <f>IFERROR(INDEX(tbl_input[집계키_청],ROW()-1),"")</f>
        <v/>
      </c>
    </row>
    <row r="746" spans="1:4" x14ac:dyDescent="0.4">
      <c r="A746" t="str">
        <f t="shared" si="22"/>
        <v/>
      </c>
      <c r="B746" t="str">
        <f t="shared" si="23"/>
        <v/>
      </c>
      <c r="C746" t="str">
        <f>IF(D746="","",IF(COUNTIF($D$2:D746,D746)&gt;1,"",SUMIFS(tbl_input[필요수량],tbl_input[집계키_청],D746)))</f>
        <v/>
      </c>
      <c r="D746" t="str">
        <f>IFERROR(INDEX(tbl_input[집계키_청],ROW()-1),"")</f>
        <v/>
      </c>
    </row>
    <row r="747" spans="1:4" x14ac:dyDescent="0.4">
      <c r="A747" t="str">
        <f t="shared" si="22"/>
        <v/>
      </c>
      <c r="B747" t="str">
        <f t="shared" si="23"/>
        <v/>
      </c>
      <c r="C747" t="str">
        <f>IF(D747="","",IF(COUNTIF($D$2:D747,D747)&gt;1,"",SUMIFS(tbl_input[필요수량],tbl_input[집계키_청],D747)))</f>
        <v/>
      </c>
      <c r="D747" t="str">
        <f>IFERROR(INDEX(tbl_input[집계키_청],ROW()-1),"")</f>
        <v/>
      </c>
    </row>
    <row r="748" spans="1:4" x14ac:dyDescent="0.4">
      <c r="A748" t="str">
        <f t="shared" si="22"/>
        <v/>
      </c>
      <c r="B748" t="str">
        <f t="shared" si="23"/>
        <v/>
      </c>
      <c r="C748" t="str">
        <f>IF(D748="","",IF(COUNTIF($D$2:D748,D748)&gt;1,"",SUMIFS(tbl_input[필요수량],tbl_input[집계키_청],D748)))</f>
        <v/>
      </c>
      <c r="D748" t="str">
        <f>IFERROR(INDEX(tbl_input[집계키_청],ROW()-1),"")</f>
        <v/>
      </c>
    </row>
    <row r="749" spans="1:4" x14ac:dyDescent="0.4">
      <c r="A749" t="str">
        <f t="shared" si="22"/>
        <v/>
      </c>
      <c r="B749" t="str">
        <f t="shared" si="23"/>
        <v/>
      </c>
      <c r="C749" t="str">
        <f>IF(D749="","",IF(COUNTIF($D$2:D749,D749)&gt;1,"",SUMIFS(tbl_input[필요수량],tbl_input[집계키_청],D749)))</f>
        <v/>
      </c>
      <c r="D749" t="str">
        <f>IFERROR(INDEX(tbl_input[집계키_청],ROW()-1),"")</f>
        <v/>
      </c>
    </row>
    <row r="750" spans="1:4" x14ac:dyDescent="0.4">
      <c r="A750" t="str">
        <f t="shared" si="22"/>
        <v/>
      </c>
      <c r="B750" t="str">
        <f t="shared" si="23"/>
        <v/>
      </c>
      <c r="C750" t="str">
        <f>IF(D750="","",IF(COUNTIF($D$2:D750,D750)&gt;1,"",SUMIFS(tbl_input[필요수량],tbl_input[집계키_청],D750)))</f>
        <v/>
      </c>
      <c r="D750" t="str">
        <f>IFERROR(INDEX(tbl_input[집계키_청],ROW()-1),"")</f>
        <v/>
      </c>
    </row>
    <row r="751" spans="1:4" x14ac:dyDescent="0.4">
      <c r="A751" t="str">
        <f t="shared" si="22"/>
        <v/>
      </c>
      <c r="B751" t="str">
        <f t="shared" si="23"/>
        <v/>
      </c>
      <c r="C751" t="str">
        <f>IF(D751="","",IF(COUNTIF($D$2:D751,D751)&gt;1,"",SUMIFS(tbl_input[필요수량],tbl_input[집계키_청],D751)))</f>
        <v/>
      </c>
      <c r="D751" t="str">
        <f>IFERROR(INDEX(tbl_input[집계키_청],ROW()-1),"")</f>
        <v/>
      </c>
    </row>
    <row r="752" spans="1:4" x14ac:dyDescent="0.4">
      <c r="A752" t="str">
        <f t="shared" si="22"/>
        <v/>
      </c>
      <c r="B752" t="str">
        <f t="shared" si="23"/>
        <v/>
      </c>
      <c r="C752" t="str">
        <f>IF(D752="","",IF(COUNTIF($D$2:D752,D752)&gt;1,"",SUMIFS(tbl_input[필요수량],tbl_input[집계키_청],D752)))</f>
        <v/>
      </c>
      <c r="D752" t="str">
        <f>IFERROR(INDEX(tbl_input[집계키_청],ROW()-1),"")</f>
        <v/>
      </c>
    </row>
    <row r="753" spans="1:4" x14ac:dyDescent="0.4">
      <c r="A753" t="str">
        <f t="shared" si="22"/>
        <v/>
      </c>
      <c r="B753" t="str">
        <f t="shared" si="23"/>
        <v/>
      </c>
      <c r="C753" t="str">
        <f>IF(D753="","",IF(COUNTIF($D$2:D753,D753)&gt;1,"",SUMIFS(tbl_input[필요수량],tbl_input[집계키_청],D753)))</f>
        <v/>
      </c>
      <c r="D753" t="str">
        <f>IFERROR(INDEX(tbl_input[집계키_청],ROW()-1),"")</f>
        <v/>
      </c>
    </row>
    <row r="754" spans="1:4" x14ac:dyDescent="0.4">
      <c r="A754" t="str">
        <f t="shared" si="22"/>
        <v/>
      </c>
      <c r="B754" t="str">
        <f t="shared" si="23"/>
        <v/>
      </c>
      <c r="C754" t="str">
        <f>IF(D754="","",IF(COUNTIF($D$2:D754,D754)&gt;1,"",SUMIFS(tbl_input[필요수량],tbl_input[집계키_청],D754)))</f>
        <v/>
      </c>
      <c r="D754" t="str">
        <f>IFERROR(INDEX(tbl_input[집계키_청],ROW()-1),"")</f>
        <v/>
      </c>
    </row>
    <row r="755" spans="1:4" x14ac:dyDescent="0.4">
      <c r="A755" t="str">
        <f t="shared" si="22"/>
        <v/>
      </c>
      <c r="B755" t="str">
        <f t="shared" si="23"/>
        <v/>
      </c>
      <c r="C755" t="str">
        <f>IF(D755="","",IF(COUNTIF($D$2:D755,D755)&gt;1,"",SUMIFS(tbl_input[필요수량],tbl_input[집계키_청],D755)))</f>
        <v/>
      </c>
      <c r="D755" t="str">
        <f>IFERROR(INDEX(tbl_input[집계키_청],ROW()-1),"")</f>
        <v/>
      </c>
    </row>
    <row r="756" spans="1:4" x14ac:dyDescent="0.4">
      <c r="A756" t="str">
        <f t="shared" si="22"/>
        <v/>
      </c>
      <c r="B756" t="str">
        <f t="shared" si="23"/>
        <v/>
      </c>
      <c r="C756" t="str">
        <f>IF(D756="","",IF(COUNTIF($D$2:D756,D756)&gt;1,"",SUMIFS(tbl_input[필요수량],tbl_input[집계키_청],D756)))</f>
        <v/>
      </c>
      <c r="D756" t="str">
        <f>IFERROR(INDEX(tbl_input[집계키_청],ROW()-1),"")</f>
        <v/>
      </c>
    </row>
    <row r="757" spans="1:4" x14ac:dyDescent="0.4">
      <c r="A757" t="str">
        <f t="shared" si="22"/>
        <v/>
      </c>
      <c r="B757" t="str">
        <f t="shared" si="23"/>
        <v/>
      </c>
      <c r="C757" t="str">
        <f>IF(D757="","",IF(COUNTIF($D$2:D757,D757)&gt;1,"",SUMIFS(tbl_input[필요수량],tbl_input[집계키_청],D757)))</f>
        <v/>
      </c>
      <c r="D757" t="str">
        <f>IFERROR(INDEX(tbl_input[집계키_청],ROW()-1),"")</f>
        <v/>
      </c>
    </row>
    <row r="758" spans="1:4" x14ac:dyDescent="0.4">
      <c r="A758" t="str">
        <f t="shared" si="22"/>
        <v/>
      </c>
      <c r="B758" t="str">
        <f t="shared" si="23"/>
        <v/>
      </c>
      <c r="C758" t="str">
        <f>IF(D758="","",IF(COUNTIF($D$2:D758,D758)&gt;1,"",SUMIFS(tbl_input[필요수량],tbl_input[집계키_청],D758)))</f>
        <v/>
      </c>
      <c r="D758" t="str">
        <f>IFERROR(INDEX(tbl_input[집계키_청],ROW()-1),"")</f>
        <v/>
      </c>
    </row>
    <row r="759" spans="1:4" x14ac:dyDescent="0.4">
      <c r="A759" t="str">
        <f t="shared" si="22"/>
        <v/>
      </c>
      <c r="B759" t="str">
        <f t="shared" si="23"/>
        <v/>
      </c>
      <c r="C759" t="str">
        <f>IF(D759="","",IF(COUNTIF($D$2:D759,D759)&gt;1,"",SUMIFS(tbl_input[필요수량],tbl_input[집계키_청],D759)))</f>
        <v/>
      </c>
      <c r="D759" t="str">
        <f>IFERROR(INDEX(tbl_input[집계키_청],ROW()-1),"")</f>
        <v/>
      </c>
    </row>
    <row r="760" spans="1:4" x14ac:dyDescent="0.4">
      <c r="A760" t="str">
        <f t="shared" si="22"/>
        <v/>
      </c>
      <c r="B760" t="str">
        <f t="shared" si="23"/>
        <v/>
      </c>
      <c r="C760" t="str">
        <f>IF(D760="","",IF(COUNTIF($D$2:D760,D760)&gt;1,"",SUMIFS(tbl_input[필요수량],tbl_input[집계키_청],D760)))</f>
        <v/>
      </c>
      <c r="D760" t="str">
        <f>IFERROR(INDEX(tbl_input[집계키_청],ROW()-1),"")</f>
        <v/>
      </c>
    </row>
    <row r="761" spans="1:4" x14ac:dyDescent="0.4">
      <c r="A761" t="str">
        <f t="shared" si="22"/>
        <v/>
      </c>
      <c r="B761" t="str">
        <f t="shared" si="23"/>
        <v/>
      </c>
      <c r="C761" t="str">
        <f>IF(D761="","",IF(COUNTIF($D$2:D761,D761)&gt;1,"",SUMIFS(tbl_input[필요수량],tbl_input[집계키_청],D761)))</f>
        <v/>
      </c>
      <c r="D761" t="str">
        <f>IFERROR(INDEX(tbl_input[집계키_청],ROW()-1),"")</f>
        <v/>
      </c>
    </row>
    <row r="762" spans="1:4" x14ac:dyDescent="0.4">
      <c r="A762" t="str">
        <f t="shared" si="22"/>
        <v/>
      </c>
      <c r="B762" t="str">
        <f t="shared" si="23"/>
        <v/>
      </c>
      <c r="C762" t="str">
        <f>IF(D762="","",IF(COUNTIF($D$2:D762,D762)&gt;1,"",SUMIFS(tbl_input[필요수량],tbl_input[집계키_청],D762)))</f>
        <v/>
      </c>
      <c r="D762" t="str">
        <f>IFERROR(INDEX(tbl_input[집계키_청],ROW()-1),"")</f>
        <v/>
      </c>
    </row>
    <row r="763" spans="1:4" x14ac:dyDescent="0.4">
      <c r="A763" t="str">
        <f t="shared" si="22"/>
        <v/>
      </c>
      <c r="B763" t="str">
        <f t="shared" si="23"/>
        <v/>
      </c>
      <c r="C763" t="str">
        <f>IF(D763="","",IF(COUNTIF($D$2:D763,D763)&gt;1,"",SUMIFS(tbl_input[필요수량],tbl_input[집계키_청],D763)))</f>
        <v/>
      </c>
      <c r="D763" t="str">
        <f>IFERROR(INDEX(tbl_input[집계키_청],ROW()-1),"")</f>
        <v/>
      </c>
    </row>
    <row r="764" spans="1:4" x14ac:dyDescent="0.4">
      <c r="A764" t="str">
        <f t="shared" si="22"/>
        <v/>
      </c>
      <c r="B764" t="str">
        <f t="shared" si="23"/>
        <v/>
      </c>
      <c r="C764" t="str">
        <f>IF(D764="","",IF(COUNTIF($D$2:D764,D764)&gt;1,"",SUMIFS(tbl_input[필요수량],tbl_input[집계키_청],D764)))</f>
        <v/>
      </c>
      <c r="D764" t="str">
        <f>IFERROR(INDEX(tbl_input[집계키_청],ROW()-1),"")</f>
        <v/>
      </c>
    </row>
    <row r="765" spans="1:4" x14ac:dyDescent="0.4">
      <c r="A765" t="str">
        <f t="shared" si="22"/>
        <v/>
      </c>
      <c r="B765" t="str">
        <f t="shared" si="23"/>
        <v/>
      </c>
      <c r="C765" t="str">
        <f>IF(D765="","",IF(COUNTIF($D$2:D765,D765)&gt;1,"",SUMIFS(tbl_input[필요수량],tbl_input[집계키_청],D765)))</f>
        <v/>
      </c>
      <c r="D765" t="str">
        <f>IFERROR(INDEX(tbl_input[집계키_청],ROW()-1),"")</f>
        <v/>
      </c>
    </row>
    <row r="766" spans="1:4" x14ac:dyDescent="0.4">
      <c r="A766" t="str">
        <f t="shared" si="22"/>
        <v/>
      </c>
      <c r="B766" t="str">
        <f t="shared" si="23"/>
        <v/>
      </c>
      <c r="C766" t="str">
        <f>IF(D766="","",IF(COUNTIF($D$2:D766,D766)&gt;1,"",SUMIFS(tbl_input[필요수량],tbl_input[집계키_청],D766)))</f>
        <v/>
      </c>
      <c r="D766" t="str">
        <f>IFERROR(INDEX(tbl_input[집계키_청],ROW()-1),"")</f>
        <v/>
      </c>
    </row>
    <row r="767" spans="1:4" x14ac:dyDescent="0.4">
      <c r="A767" t="str">
        <f t="shared" si="22"/>
        <v/>
      </c>
      <c r="B767" t="str">
        <f t="shared" si="23"/>
        <v/>
      </c>
      <c r="C767" t="str">
        <f>IF(D767="","",IF(COUNTIF($D$2:D767,D767)&gt;1,"",SUMIFS(tbl_input[필요수량],tbl_input[집계키_청],D767)))</f>
        <v/>
      </c>
      <c r="D767" t="str">
        <f>IFERROR(INDEX(tbl_input[집계키_청],ROW()-1),"")</f>
        <v/>
      </c>
    </row>
    <row r="768" spans="1:4" x14ac:dyDescent="0.4">
      <c r="A768" t="str">
        <f t="shared" si="22"/>
        <v/>
      </c>
      <c r="B768" t="str">
        <f t="shared" si="23"/>
        <v/>
      </c>
      <c r="C768" t="str">
        <f>IF(D768="","",IF(COUNTIF($D$2:D768,D768)&gt;1,"",SUMIFS(tbl_input[필요수량],tbl_input[집계키_청],D768)))</f>
        <v/>
      </c>
      <c r="D768" t="str">
        <f>IFERROR(INDEX(tbl_input[집계키_청],ROW()-1),"")</f>
        <v/>
      </c>
    </row>
    <row r="769" spans="1:4" x14ac:dyDescent="0.4">
      <c r="A769" t="str">
        <f t="shared" si="22"/>
        <v/>
      </c>
      <c r="B769" t="str">
        <f t="shared" si="23"/>
        <v/>
      </c>
      <c r="C769" t="str">
        <f>IF(D769="","",IF(COUNTIF($D$2:D769,D769)&gt;1,"",SUMIFS(tbl_input[필요수량],tbl_input[집계키_청],D769)))</f>
        <v/>
      </c>
      <c r="D769" t="str">
        <f>IFERROR(INDEX(tbl_input[집계키_청],ROW()-1),"")</f>
        <v/>
      </c>
    </row>
    <row r="770" spans="1:4" x14ac:dyDescent="0.4">
      <c r="A770" t="str">
        <f t="shared" ref="A770:A833" si="24">IF(D770="","",LEFT(D770,FIND("♦",D770)-1))</f>
        <v/>
      </c>
      <c r="B770" t="str">
        <f t="shared" ref="B770:B833" si="25">IF(D770="","",MID(D770,FIND("♦",D770)+1,999))</f>
        <v/>
      </c>
      <c r="C770" t="str">
        <f>IF(D770="","",IF(COUNTIF($D$2:D770,D770)&gt;1,"",SUMIFS(tbl_input[필요수량],tbl_input[집계키_청],D770)))</f>
        <v/>
      </c>
      <c r="D770" t="str">
        <f>IFERROR(INDEX(tbl_input[집계키_청],ROW()-1),"")</f>
        <v/>
      </c>
    </row>
    <row r="771" spans="1:4" x14ac:dyDescent="0.4">
      <c r="A771" t="str">
        <f t="shared" si="24"/>
        <v/>
      </c>
      <c r="B771" t="str">
        <f t="shared" si="25"/>
        <v/>
      </c>
      <c r="C771" t="str">
        <f>IF(D771="","",IF(COUNTIF($D$2:D771,D771)&gt;1,"",SUMIFS(tbl_input[필요수량],tbl_input[집계키_청],D771)))</f>
        <v/>
      </c>
      <c r="D771" t="str">
        <f>IFERROR(INDEX(tbl_input[집계키_청],ROW()-1),"")</f>
        <v/>
      </c>
    </row>
    <row r="772" spans="1:4" x14ac:dyDescent="0.4">
      <c r="A772" t="str">
        <f t="shared" si="24"/>
        <v/>
      </c>
      <c r="B772" t="str">
        <f t="shared" si="25"/>
        <v/>
      </c>
      <c r="C772" t="str">
        <f>IF(D772="","",IF(COUNTIF($D$2:D772,D772)&gt;1,"",SUMIFS(tbl_input[필요수량],tbl_input[집계키_청],D772)))</f>
        <v/>
      </c>
      <c r="D772" t="str">
        <f>IFERROR(INDEX(tbl_input[집계키_청],ROW()-1),"")</f>
        <v/>
      </c>
    </row>
    <row r="773" spans="1:4" x14ac:dyDescent="0.4">
      <c r="A773" t="str">
        <f t="shared" si="24"/>
        <v/>
      </c>
      <c r="B773" t="str">
        <f t="shared" si="25"/>
        <v/>
      </c>
      <c r="C773" t="str">
        <f>IF(D773="","",IF(COUNTIF($D$2:D773,D773)&gt;1,"",SUMIFS(tbl_input[필요수량],tbl_input[집계키_청],D773)))</f>
        <v/>
      </c>
      <c r="D773" t="str">
        <f>IFERROR(INDEX(tbl_input[집계키_청],ROW()-1),"")</f>
        <v/>
      </c>
    </row>
    <row r="774" spans="1:4" x14ac:dyDescent="0.4">
      <c r="A774" t="str">
        <f t="shared" si="24"/>
        <v/>
      </c>
      <c r="B774" t="str">
        <f t="shared" si="25"/>
        <v/>
      </c>
      <c r="C774" t="str">
        <f>IF(D774="","",IF(COUNTIF($D$2:D774,D774)&gt;1,"",SUMIFS(tbl_input[필요수량],tbl_input[집계키_청],D774)))</f>
        <v/>
      </c>
      <c r="D774" t="str">
        <f>IFERROR(INDEX(tbl_input[집계키_청],ROW()-1),"")</f>
        <v/>
      </c>
    </row>
    <row r="775" spans="1:4" x14ac:dyDescent="0.4">
      <c r="A775" t="str">
        <f t="shared" si="24"/>
        <v/>
      </c>
      <c r="B775" t="str">
        <f t="shared" si="25"/>
        <v/>
      </c>
      <c r="C775" t="str">
        <f>IF(D775="","",IF(COUNTIF($D$2:D775,D775)&gt;1,"",SUMIFS(tbl_input[필요수량],tbl_input[집계키_청],D775)))</f>
        <v/>
      </c>
      <c r="D775" t="str">
        <f>IFERROR(INDEX(tbl_input[집계키_청],ROW()-1),"")</f>
        <v/>
      </c>
    </row>
    <row r="776" spans="1:4" x14ac:dyDescent="0.4">
      <c r="A776" t="str">
        <f t="shared" si="24"/>
        <v/>
      </c>
      <c r="B776" t="str">
        <f t="shared" si="25"/>
        <v/>
      </c>
      <c r="C776" t="str">
        <f>IF(D776="","",IF(COUNTIF($D$2:D776,D776)&gt;1,"",SUMIFS(tbl_input[필요수량],tbl_input[집계키_청],D776)))</f>
        <v/>
      </c>
      <c r="D776" t="str">
        <f>IFERROR(INDEX(tbl_input[집계키_청],ROW()-1),"")</f>
        <v/>
      </c>
    </row>
    <row r="777" spans="1:4" x14ac:dyDescent="0.4">
      <c r="A777" t="str">
        <f t="shared" si="24"/>
        <v/>
      </c>
      <c r="B777" t="str">
        <f t="shared" si="25"/>
        <v/>
      </c>
      <c r="C777" t="str">
        <f>IF(D777="","",IF(COUNTIF($D$2:D777,D777)&gt;1,"",SUMIFS(tbl_input[필요수량],tbl_input[집계키_청],D777)))</f>
        <v/>
      </c>
      <c r="D777" t="str">
        <f>IFERROR(INDEX(tbl_input[집계키_청],ROW()-1),"")</f>
        <v/>
      </c>
    </row>
    <row r="778" spans="1:4" x14ac:dyDescent="0.4">
      <c r="A778" t="str">
        <f t="shared" si="24"/>
        <v/>
      </c>
      <c r="B778" t="str">
        <f t="shared" si="25"/>
        <v/>
      </c>
      <c r="C778" t="str">
        <f>IF(D778="","",IF(COUNTIF($D$2:D778,D778)&gt;1,"",SUMIFS(tbl_input[필요수량],tbl_input[집계키_청],D778)))</f>
        <v/>
      </c>
      <c r="D778" t="str">
        <f>IFERROR(INDEX(tbl_input[집계키_청],ROW()-1),"")</f>
        <v/>
      </c>
    </row>
    <row r="779" spans="1:4" x14ac:dyDescent="0.4">
      <c r="A779" t="str">
        <f t="shared" si="24"/>
        <v/>
      </c>
      <c r="B779" t="str">
        <f t="shared" si="25"/>
        <v/>
      </c>
      <c r="C779" t="str">
        <f>IF(D779="","",IF(COUNTIF($D$2:D779,D779)&gt;1,"",SUMIFS(tbl_input[필요수량],tbl_input[집계키_청],D779)))</f>
        <v/>
      </c>
      <c r="D779" t="str">
        <f>IFERROR(INDEX(tbl_input[집계키_청],ROW()-1),"")</f>
        <v/>
      </c>
    </row>
    <row r="780" spans="1:4" x14ac:dyDescent="0.4">
      <c r="A780" t="str">
        <f t="shared" si="24"/>
        <v/>
      </c>
      <c r="B780" t="str">
        <f t="shared" si="25"/>
        <v/>
      </c>
      <c r="C780" t="str">
        <f>IF(D780="","",IF(COUNTIF($D$2:D780,D780)&gt;1,"",SUMIFS(tbl_input[필요수량],tbl_input[집계키_청],D780)))</f>
        <v/>
      </c>
      <c r="D780" t="str">
        <f>IFERROR(INDEX(tbl_input[집계키_청],ROW()-1),"")</f>
        <v/>
      </c>
    </row>
    <row r="781" spans="1:4" x14ac:dyDescent="0.4">
      <c r="A781" t="str">
        <f t="shared" si="24"/>
        <v/>
      </c>
      <c r="B781" t="str">
        <f t="shared" si="25"/>
        <v/>
      </c>
      <c r="C781" t="str">
        <f>IF(D781="","",IF(COUNTIF($D$2:D781,D781)&gt;1,"",SUMIFS(tbl_input[필요수량],tbl_input[집계키_청],D781)))</f>
        <v/>
      </c>
      <c r="D781" t="str">
        <f>IFERROR(INDEX(tbl_input[집계키_청],ROW()-1),"")</f>
        <v/>
      </c>
    </row>
    <row r="782" spans="1:4" x14ac:dyDescent="0.4">
      <c r="A782" t="str">
        <f t="shared" si="24"/>
        <v/>
      </c>
      <c r="B782" t="str">
        <f t="shared" si="25"/>
        <v/>
      </c>
      <c r="C782" t="str">
        <f>IF(D782="","",IF(COUNTIF($D$2:D782,D782)&gt;1,"",SUMIFS(tbl_input[필요수량],tbl_input[집계키_청],D782)))</f>
        <v/>
      </c>
      <c r="D782" t="str">
        <f>IFERROR(INDEX(tbl_input[집계키_청],ROW()-1),"")</f>
        <v/>
      </c>
    </row>
    <row r="783" spans="1:4" x14ac:dyDescent="0.4">
      <c r="A783" t="str">
        <f t="shared" si="24"/>
        <v/>
      </c>
      <c r="B783" t="str">
        <f t="shared" si="25"/>
        <v/>
      </c>
      <c r="C783" t="str">
        <f>IF(D783="","",IF(COUNTIF($D$2:D783,D783)&gt;1,"",SUMIFS(tbl_input[필요수량],tbl_input[집계키_청],D783)))</f>
        <v/>
      </c>
      <c r="D783" t="str">
        <f>IFERROR(INDEX(tbl_input[집계키_청],ROW()-1),"")</f>
        <v/>
      </c>
    </row>
    <row r="784" spans="1:4" x14ac:dyDescent="0.4">
      <c r="A784" t="str">
        <f t="shared" si="24"/>
        <v/>
      </c>
      <c r="B784" t="str">
        <f t="shared" si="25"/>
        <v/>
      </c>
      <c r="C784" t="str">
        <f>IF(D784="","",IF(COUNTIF($D$2:D784,D784)&gt;1,"",SUMIFS(tbl_input[필요수량],tbl_input[집계키_청],D784)))</f>
        <v/>
      </c>
      <c r="D784" t="str">
        <f>IFERROR(INDEX(tbl_input[집계키_청],ROW()-1),"")</f>
        <v/>
      </c>
    </row>
    <row r="785" spans="1:4" x14ac:dyDescent="0.4">
      <c r="A785" t="str">
        <f t="shared" si="24"/>
        <v/>
      </c>
      <c r="B785" t="str">
        <f t="shared" si="25"/>
        <v/>
      </c>
      <c r="C785" t="str">
        <f>IF(D785="","",IF(COUNTIF($D$2:D785,D785)&gt;1,"",SUMIFS(tbl_input[필요수량],tbl_input[집계키_청],D785)))</f>
        <v/>
      </c>
      <c r="D785" t="str">
        <f>IFERROR(INDEX(tbl_input[집계키_청],ROW()-1),"")</f>
        <v/>
      </c>
    </row>
    <row r="786" spans="1:4" x14ac:dyDescent="0.4">
      <c r="A786" t="str">
        <f t="shared" si="24"/>
        <v/>
      </c>
      <c r="B786" t="str">
        <f t="shared" si="25"/>
        <v/>
      </c>
      <c r="C786" t="str">
        <f>IF(D786="","",IF(COUNTIF($D$2:D786,D786)&gt;1,"",SUMIFS(tbl_input[필요수량],tbl_input[집계키_청],D786)))</f>
        <v/>
      </c>
      <c r="D786" t="str">
        <f>IFERROR(INDEX(tbl_input[집계키_청],ROW()-1),"")</f>
        <v/>
      </c>
    </row>
    <row r="787" spans="1:4" x14ac:dyDescent="0.4">
      <c r="A787" t="str">
        <f t="shared" si="24"/>
        <v/>
      </c>
      <c r="B787" t="str">
        <f t="shared" si="25"/>
        <v/>
      </c>
      <c r="C787" t="str">
        <f>IF(D787="","",IF(COUNTIF($D$2:D787,D787)&gt;1,"",SUMIFS(tbl_input[필요수량],tbl_input[집계키_청],D787)))</f>
        <v/>
      </c>
      <c r="D787" t="str">
        <f>IFERROR(INDEX(tbl_input[집계키_청],ROW()-1),"")</f>
        <v/>
      </c>
    </row>
    <row r="788" spans="1:4" x14ac:dyDescent="0.4">
      <c r="A788" t="str">
        <f t="shared" si="24"/>
        <v/>
      </c>
      <c r="B788" t="str">
        <f t="shared" si="25"/>
        <v/>
      </c>
      <c r="C788" t="str">
        <f>IF(D788="","",IF(COUNTIF($D$2:D788,D788)&gt;1,"",SUMIFS(tbl_input[필요수량],tbl_input[집계키_청],D788)))</f>
        <v/>
      </c>
      <c r="D788" t="str">
        <f>IFERROR(INDEX(tbl_input[집계키_청],ROW()-1),"")</f>
        <v/>
      </c>
    </row>
    <row r="789" spans="1:4" x14ac:dyDescent="0.4">
      <c r="A789" t="str">
        <f t="shared" si="24"/>
        <v/>
      </c>
      <c r="B789" t="str">
        <f t="shared" si="25"/>
        <v/>
      </c>
      <c r="C789" t="str">
        <f>IF(D789="","",IF(COUNTIF($D$2:D789,D789)&gt;1,"",SUMIFS(tbl_input[필요수량],tbl_input[집계키_청],D789)))</f>
        <v/>
      </c>
      <c r="D789" t="str">
        <f>IFERROR(INDEX(tbl_input[집계키_청],ROW()-1),"")</f>
        <v/>
      </c>
    </row>
    <row r="790" spans="1:4" x14ac:dyDescent="0.4">
      <c r="A790" t="str">
        <f t="shared" si="24"/>
        <v/>
      </c>
      <c r="B790" t="str">
        <f t="shared" si="25"/>
        <v/>
      </c>
      <c r="C790" t="str">
        <f>IF(D790="","",IF(COUNTIF($D$2:D790,D790)&gt;1,"",SUMIFS(tbl_input[필요수량],tbl_input[집계키_청],D790)))</f>
        <v/>
      </c>
      <c r="D790" t="str">
        <f>IFERROR(INDEX(tbl_input[집계키_청],ROW()-1),"")</f>
        <v/>
      </c>
    </row>
    <row r="791" spans="1:4" x14ac:dyDescent="0.4">
      <c r="A791" t="str">
        <f t="shared" si="24"/>
        <v/>
      </c>
      <c r="B791" t="str">
        <f t="shared" si="25"/>
        <v/>
      </c>
      <c r="C791" t="str">
        <f>IF(D791="","",IF(COUNTIF($D$2:D791,D791)&gt;1,"",SUMIFS(tbl_input[필요수량],tbl_input[집계키_청],D791)))</f>
        <v/>
      </c>
      <c r="D791" t="str">
        <f>IFERROR(INDEX(tbl_input[집계키_청],ROW()-1),"")</f>
        <v/>
      </c>
    </row>
    <row r="792" spans="1:4" x14ac:dyDescent="0.4">
      <c r="A792" t="str">
        <f t="shared" si="24"/>
        <v/>
      </c>
      <c r="B792" t="str">
        <f t="shared" si="25"/>
        <v/>
      </c>
      <c r="C792" t="str">
        <f>IF(D792="","",IF(COUNTIF($D$2:D792,D792)&gt;1,"",SUMIFS(tbl_input[필요수량],tbl_input[집계키_청],D792)))</f>
        <v/>
      </c>
      <c r="D792" t="str">
        <f>IFERROR(INDEX(tbl_input[집계키_청],ROW()-1),"")</f>
        <v/>
      </c>
    </row>
    <row r="793" spans="1:4" x14ac:dyDescent="0.4">
      <c r="A793" t="str">
        <f t="shared" si="24"/>
        <v/>
      </c>
      <c r="B793" t="str">
        <f t="shared" si="25"/>
        <v/>
      </c>
      <c r="C793" t="str">
        <f>IF(D793="","",IF(COUNTIF($D$2:D793,D793)&gt;1,"",SUMIFS(tbl_input[필요수량],tbl_input[집계키_청],D793)))</f>
        <v/>
      </c>
      <c r="D793" t="str">
        <f>IFERROR(INDEX(tbl_input[집계키_청],ROW()-1),"")</f>
        <v/>
      </c>
    </row>
    <row r="794" spans="1:4" x14ac:dyDescent="0.4">
      <c r="A794" t="str">
        <f t="shared" si="24"/>
        <v/>
      </c>
      <c r="B794" t="str">
        <f t="shared" si="25"/>
        <v/>
      </c>
      <c r="C794" t="str">
        <f>IF(D794="","",IF(COUNTIF($D$2:D794,D794)&gt;1,"",SUMIFS(tbl_input[필요수량],tbl_input[집계키_청],D794)))</f>
        <v/>
      </c>
      <c r="D794" t="str">
        <f>IFERROR(INDEX(tbl_input[집계키_청],ROW()-1),"")</f>
        <v/>
      </c>
    </row>
    <row r="795" spans="1:4" x14ac:dyDescent="0.4">
      <c r="A795" t="str">
        <f t="shared" si="24"/>
        <v/>
      </c>
      <c r="B795" t="str">
        <f t="shared" si="25"/>
        <v/>
      </c>
      <c r="C795" t="str">
        <f>IF(D795="","",IF(COUNTIF($D$2:D795,D795)&gt;1,"",SUMIFS(tbl_input[필요수량],tbl_input[집계키_청],D795)))</f>
        <v/>
      </c>
      <c r="D795" t="str">
        <f>IFERROR(INDEX(tbl_input[집계키_청],ROW()-1),"")</f>
        <v/>
      </c>
    </row>
    <row r="796" spans="1:4" x14ac:dyDescent="0.4">
      <c r="A796" t="str">
        <f t="shared" si="24"/>
        <v/>
      </c>
      <c r="B796" t="str">
        <f t="shared" si="25"/>
        <v/>
      </c>
      <c r="C796" t="str">
        <f>IF(D796="","",IF(COUNTIF($D$2:D796,D796)&gt;1,"",SUMIFS(tbl_input[필요수량],tbl_input[집계키_청],D796)))</f>
        <v/>
      </c>
      <c r="D796" t="str">
        <f>IFERROR(INDEX(tbl_input[집계키_청],ROW()-1),"")</f>
        <v/>
      </c>
    </row>
    <row r="797" spans="1:4" x14ac:dyDescent="0.4">
      <c r="A797" t="str">
        <f t="shared" si="24"/>
        <v/>
      </c>
      <c r="B797" t="str">
        <f t="shared" si="25"/>
        <v/>
      </c>
      <c r="C797" t="str">
        <f>IF(D797="","",IF(COUNTIF($D$2:D797,D797)&gt;1,"",SUMIFS(tbl_input[필요수량],tbl_input[집계키_청],D797)))</f>
        <v/>
      </c>
      <c r="D797" t="str">
        <f>IFERROR(INDEX(tbl_input[집계키_청],ROW()-1),"")</f>
        <v/>
      </c>
    </row>
    <row r="798" spans="1:4" x14ac:dyDescent="0.4">
      <c r="A798" t="str">
        <f t="shared" si="24"/>
        <v/>
      </c>
      <c r="B798" t="str">
        <f t="shared" si="25"/>
        <v/>
      </c>
      <c r="C798" t="str">
        <f>IF(D798="","",IF(COUNTIF($D$2:D798,D798)&gt;1,"",SUMIFS(tbl_input[필요수량],tbl_input[집계키_청],D798)))</f>
        <v/>
      </c>
      <c r="D798" t="str">
        <f>IFERROR(INDEX(tbl_input[집계키_청],ROW()-1),"")</f>
        <v/>
      </c>
    </row>
    <row r="799" spans="1:4" x14ac:dyDescent="0.4">
      <c r="A799" t="str">
        <f t="shared" si="24"/>
        <v/>
      </c>
      <c r="B799" t="str">
        <f t="shared" si="25"/>
        <v/>
      </c>
      <c r="C799" t="str">
        <f>IF(D799="","",IF(COUNTIF($D$2:D799,D799)&gt;1,"",SUMIFS(tbl_input[필요수량],tbl_input[집계키_청],D799)))</f>
        <v/>
      </c>
      <c r="D799" t="str">
        <f>IFERROR(INDEX(tbl_input[집계키_청],ROW()-1),"")</f>
        <v/>
      </c>
    </row>
    <row r="800" spans="1:4" x14ac:dyDescent="0.4">
      <c r="A800" t="str">
        <f t="shared" si="24"/>
        <v/>
      </c>
      <c r="B800" t="str">
        <f t="shared" si="25"/>
        <v/>
      </c>
      <c r="C800" t="str">
        <f>IF(D800="","",IF(COUNTIF($D$2:D800,D800)&gt;1,"",SUMIFS(tbl_input[필요수량],tbl_input[집계키_청],D800)))</f>
        <v/>
      </c>
      <c r="D800" t="str">
        <f>IFERROR(INDEX(tbl_input[집계키_청],ROW()-1),"")</f>
        <v/>
      </c>
    </row>
    <row r="801" spans="1:4" x14ac:dyDescent="0.4">
      <c r="A801" t="str">
        <f t="shared" si="24"/>
        <v/>
      </c>
      <c r="B801" t="str">
        <f t="shared" si="25"/>
        <v/>
      </c>
      <c r="C801" t="str">
        <f>IF(D801="","",IF(COUNTIF($D$2:D801,D801)&gt;1,"",SUMIFS(tbl_input[필요수량],tbl_input[집계키_청],D801)))</f>
        <v/>
      </c>
      <c r="D801" t="str">
        <f>IFERROR(INDEX(tbl_input[집계키_청],ROW()-1),"")</f>
        <v/>
      </c>
    </row>
    <row r="802" spans="1:4" x14ac:dyDescent="0.4">
      <c r="A802" t="str">
        <f t="shared" si="24"/>
        <v/>
      </c>
      <c r="B802" t="str">
        <f t="shared" si="25"/>
        <v/>
      </c>
      <c r="C802" t="str">
        <f>IF(D802="","",IF(COUNTIF($D$2:D802,D802)&gt;1,"",SUMIFS(tbl_input[필요수량],tbl_input[집계키_청],D802)))</f>
        <v/>
      </c>
      <c r="D802" t="str">
        <f>IFERROR(INDEX(tbl_input[집계키_청],ROW()-1),"")</f>
        <v/>
      </c>
    </row>
    <row r="803" spans="1:4" x14ac:dyDescent="0.4">
      <c r="A803" t="str">
        <f t="shared" si="24"/>
        <v/>
      </c>
      <c r="B803" t="str">
        <f t="shared" si="25"/>
        <v/>
      </c>
      <c r="C803" t="str">
        <f>IF(D803="","",IF(COUNTIF($D$2:D803,D803)&gt;1,"",SUMIFS(tbl_input[필요수량],tbl_input[집계키_청],D803)))</f>
        <v/>
      </c>
      <c r="D803" t="str">
        <f>IFERROR(INDEX(tbl_input[집계키_청],ROW()-1),"")</f>
        <v/>
      </c>
    </row>
    <row r="804" spans="1:4" x14ac:dyDescent="0.4">
      <c r="A804" t="str">
        <f t="shared" si="24"/>
        <v/>
      </c>
      <c r="B804" t="str">
        <f t="shared" si="25"/>
        <v/>
      </c>
      <c r="C804" t="str">
        <f>IF(D804="","",IF(COUNTIF($D$2:D804,D804)&gt;1,"",SUMIFS(tbl_input[필요수량],tbl_input[집계키_청],D804)))</f>
        <v/>
      </c>
      <c r="D804" t="str">
        <f>IFERROR(INDEX(tbl_input[집계키_청],ROW()-1),"")</f>
        <v/>
      </c>
    </row>
    <row r="805" spans="1:4" x14ac:dyDescent="0.4">
      <c r="A805" t="str">
        <f t="shared" si="24"/>
        <v/>
      </c>
      <c r="B805" t="str">
        <f t="shared" si="25"/>
        <v/>
      </c>
      <c r="C805" t="str">
        <f>IF(D805="","",IF(COUNTIF($D$2:D805,D805)&gt;1,"",SUMIFS(tbl_input[필요수량],tbl_input[집계키_청],D805)))</f>
        <v/>
      </c>
      <c r="D805" t="str">
        <f>IFERROR(INDEX(tbl_input[집계키_청],ROW()-1),"")</f>
        <v/>
      </c>
    </row>
    <row r="806" spans="1:4" x14ac:dyDescent="0.4">
      <c r="A806" t="str">
        <f t="shared" si="24"/>
        <v/>
      </c>
      <c r="B806" t="str">
        <f t="shared" si="25"/>
        <v/>
      </c>
      <c r="C806" t="str">
        <f>IF(D806="","",IF(COUNTIF($D$2:D806,D806)&gt;1,"",SUMIFS(tbl_input[필요수량],tbl_input[집계키_청],D806)))</f>
        <v/>
      </c>
      <c r="D806" t="str">
        <f>IFERROR(INDEX(tbl_input[집계키_청],ROW()-1),"")</f>
        <v/>
      </c>
    </row>
    <row r="807" spans="1:4" x14ac:dyDescent="0.4">
      <c r="A807" t="str">
        <f t="shared" si="24"/>
        <v/>
      </c>
      <c r="B807" t="str">
        <f t="shared" si="25"/>
        <v/>
      </c>
      <c r="C807" t="str">
        <f>IF(D807="","",IF(COUNTIF($D$2:D807,D807)&gt;1,"",SUMIFS(tbl_input[필요수량],tbl_input[집계키_청],D807)))</f>
        <v/>
      </c>
      <c r="D807" t="str">
        <f>IFERROR(INDEX(tbl_input[집계키_청],ROW()-1),"")</f>
        <v/>
      </c>
    </row>
    <row r="808" spans="1:4" x14ac:dyDescent="0.4">
      <c r="A808" t="str">
        <f t="shared" si="24"/>
        <v/>
      </c>
      <c r="B808" t="str">
        <f t="shared" si="25"/>
        <v/>
      </c>
      <c r="C808" t="str">
        <f>IF(D808="","",IF(COUNTIF($D$2:D808,D808)&gt;1,"",SUMIFS(tbl_input[필요수량],tbl_input[집계키_청],D808)))</f>
        <v/>
      </c>
      <c r="D808" t="str">
        <f>IFERROR(INDEX(tbl_input[집계키_청],ROW()-1),"")</f>
        <v/>
      </c>
    </row>
    <row r="809" spans="1:4" x14ac:dyDescent="0.4">
      <c r="A809" t="str">
        <f t="shared" si="24"/>
        <v/>
      </c>
      <c r="B809" t="str">
        <f t="shared" si="25"/>
        <v/>
      </c>
      <c r="C809" t="str">
        <f>IF(D809="","",IF(COUNTIF($D$2:D809,D809)&gt;1,"",SUMIFS(tbl_input[필요수량],tbl_input[집계키_청],D809)))</f>
        <v/>
      </c>
      <c r="D809" t="str">
        <f>IFERROR(INDEX(tbl_input[집계키_청],ROW()-1),"")</f>
        <v/>
      </c>
    </row>
    <row r="810" spans="1:4" x14ac:dyDescent="0.4">
      <c r="A810" t="str">
        <f t="shared" si="24"/>
        <v/>
      </c>
      <c r="B810" t="str">
        <f t="shared" si="25"/>
        <v/>
      </c>
      <c r="C810" t="str">
        <f>IF(D810="","",IF(COUNTIF($D$2:D810,D810)&gt;1,"",SUMIFS(tbl_input[필요수량],tbl_input[집계키_청],D810)))</f>
        <v/>
      </c>
      <c r="D810" t="str">
        <f>IFERROR(INDEX(tbl_input[집계키_청],ROW()-1),"")</f>
        <v/>
      </c>
    </row>
    <row r="811" spans="1:4" x14ac:dyDescent="0.4">
      <c r="A811" t="str">
        <f t="shared" si="24"/>
        <v/>
      </c>
      <c r="B811" t="str">
        <f t="shared" si="25"/>
        <v/>
      </c>
      <c r="C811" t="str">
        <f>IF(D811="","",IF(COUNTIF($D$2:D811,D811)&gt;1,"",SUMIFS(tbl_input[필요수량],tbl_input[집계키_청],D811)))</f>
        <v/>
      </c>
      <c r="D811" t="str">
        <f>IFERROR(INDEX(tbl_input[집계키_청],ROW()-1),"")</f>
        <v/>
      </c>
    </row>
    <row r="812" spans="1:4" x14ac:dyDescent="0.4">
      <c r="A812" t="str">
        <f t="shared" si="24"/>
        <v/>
      </c>
      <c r="B812" t="str">
        <f t="shared" si="25"/>
        <v/>
      </c>
      <c r="C812" t="str">
        <f>IF(D812="","",IF(COUNTIF($D$2:D812,D812)&gt;1,"",SUMIFS(tbl_input[필요수량],tbl_input[집계키_청],D812)))</f>
        <v/>
      </c>
      <c r="D812" t="str">
        <f>IFERROR(INDEX(tbl_input[집계키_청],ROW()-1),"")</f>
        <v/>
      </c>
    </row>
    <row r="813" spans="1:4" x14ac:dyDescent="0.4">
      <c r="A813" t="str">
        <f t="shared" si="24"/>
        <v/>
      </c>
      <c r="B813" t="str">
        <f t="shared" si="25"/>
        <v/>
      </c>
      <c r="C813" t="str">
        <f>IF(D813="","",IF(COUNTIF($D$2:D813,D813)&gt;1,"",SUMIFS(tbl_input[필요수량],tbl_input[집계키_청],D813)))</f>
        <v/>
      </c>
      <c r="D813" t="str">
        <f>IFERROR(INDEX(tbl_input[집계키_청],ROW()-1),"")</f>
        <v/>
      </c>
    </row>
    <row r="814" spans="1:4" x14ac:dyDescent="0.4">
      <c r="A814" t="str">
        <f t="shared" si="24"/>
        <v/>
      </c>
      <c r="B814" t="str">
        <f t="shared" si="25"/>
        <v/>
      </c>
      <c r="C814" t="str">
        <f>IF(D814="","",IF(COUNTIF($D$2:D814,D814)&gt;1,"",SUMIFS(tbl_input[필요수량],tbl_input[집계키_청],D814)))</f>
        <v/>
      </c>
      <c r="D814" t="str">
        <f>IFERROR(INDEX(tbl_input[집계키_청],ROW()-1),"")</f>
        <v/>
      </c>
    </row>
    <row r="815" spans="1:4" x14ac:dyDescent="0.4">
      <c r="A815" t="str">
        <f t="shared" si="24"/>
        <v/>
      </c>
      <c r="B815" t="str">
        <f t="shared" si="25"/>
        <v/>
      </c>
      <c r="C815" t="str">
        <f>IF(D815="","",IF(COUNTIF($D$2:D815,D815)&gt;1,"",SUMIFS(tbl_input[필요수량],tbl_input[집계키_청],D815)))</f>
        <v/>
      </c>
      <c r="D815" t="str">
        <f>IFERROR(INDEX(tbl_input[집계키_청],ROW()-1),"")</f>
        <v/>
      </c>
    </row>
    <row r="816" spans="1:4" x14ac:dyDescent="0.4">
      <c r="A816" t="str">
        <f t="shared" si="24"/>
        <v/>
      </c>
      <c r="B816" t="str">
        <f t="shared" si="25"/>
        <v/>
      </c>
      <c r="C816" t="str">
        <f>IF(D816="","",IF(COUNTIF($D$2:D816,D816)&gt;1,"",SUMIFS(tbl_input[필요수량],tbl_input[집계키_청],D816)))</f>
        <v/>
      </c>
      <c r="D816" t="str">
        <f>IFERROR(INDEX(tbl_input[집계키_청],ROW()-1),"")</f>
        <v/>
      </c>
    </row>
    <row r="817" spans="1:4" x14ac:dyDescent="0.4">
      <c r="A817" t="str">
        <f t="shared" si="24"/>
        <v/>
      </c>
      <c r="B817" t="str">
        <f t="shared" si="25"/>
        <v/>
      </c>
      <c r="C817" t="str">
        <f>IF(D817="","",IF(COUNTIF($D$2:D817,D817)&gt;1,"",SUMIFS(tbl_input[필요수량],tbl_input[집계키_청],D817)))</f>
        <v/>
      </c>
      <c r="D817" t="str">
        <f>IFERROR(INDEX(tbl_input[집계키_청],ROW()-1),"")</f>
        <v/>
      </c>
    </row>
    <row r="818" spans="1:4" x14ac:dyDescent="0.4">
      <c r="A818" t="str">
        <f t="shared" si="24"/>
        <v/>
      </c>
      <c r="B818" t="str">
        <f t="shared" si="25"/>
        <v/>
      </c>
      <c r="C818" t="str">
        <f>IF(D818="","",IF(COUNTIF($D$2:D818,D818)&gt;1,"",SUMIFS(tbl_input[필요수량],tbl_input[집계키_청],D818)))</f>
        <v/>
      </c>
      <c r="D818" t="str">
        <f>IFERROR(INDEX(tbl_input[집계키_청],ROW()-1),"")</f>
        <v/>
      </c>
    </row>
    <row r="819" spans="1:4" x14ac:dyDescent="0.4">
      <c r="A819" t="str">
        <f t="shared" si="24"/>
        <v/>
      </c>
      <c r="B819" t="str">
        <f t="shared" si="25"/>
        <v/>
      </c>
      <c r="C819" t="str">
        <f>IF(D819="","",IF(COUNTIF($D$2:D819,D819)&gt;1,"",SUMIFS(tbl_input[필요수량],tbl_input[집계키_청],D819)))</f>
        <v/>
      </c>
      <c r="D819" t="str">
        <f>IFERROR(INDEX(tbl_input[집계키_청],ROW()-1),"")</f>
        <v/>
      </c>
    </row>
    <row r="820" spans="1:4" x14ac:dyDescent="0.4">
      <c r="A820" t="str">
        <f t="shared" si="24"/>
        <v/>
      </c>
      <c r="B820" t="str">
        <f t="shared" si="25"/>
        <v/>
      </c>
      <c r="C820" t="str">
        <f>IF(D820="","",IF(COUNTIF($D$2:D820,D820)&gt;1,"",SUMIFS(tbl_input[필요수량],tbl_input[집계키_청],D820)))</f>
        <v/>
      </c>
      <c r="D820" t="str">
        <f>IFERROR(INDEX(tbl_input[집계키_청],ROW()-1),"")</f>
        <v/>
      </c>
    </row>
    <row r="821" spans="1:4" x14ac:dyDescent="0.4">
      <c r="A821" t="str">
        <f t="shared" si="24"/>
        <v/>
      </c>
      <c r="B821" t="str">
        <f t="shared" si="25"/>
        <v/>
      </c>
      <c r="C821" t="str">
        <f>IF(D821="","",IF(COUNTIF($D$2:D821,D821)&gt;1,"",SUMIFS(tbl_input[필요수량],tbl_input[집계키_청],D821)))</f>
        <v/>
      </c>
      <c r="D821" t="str">
        <f>IFERROR(INDEX(tbl_input[집계키_청],ROW()-1),"")</f>
        <v/>
      </c>
    </row>
    <row r="822" spans="1:4" x14ac:dyDescent="0.4">
      <c r="A822" t="str">
        <f t="shared" si="24"/>
        <v/>
      </c>
      <c r="B822" t="str">
        <f t="shared" si="25"/>
        <v/>
      </c>
      <c r="C822" t="str">
        <f>IF(D822="","",IF(COUNTIF($D$2:D822,D822)&gt;1,"",SUMIFS(tbl_input[필요수량],tbl_input[집계키_청],D822)))</f>
        <v/>
      </c>
      <c r="D822" t="str">
        <f>IFERROR(INDEX(tbl_input[집계키_청],ROW()-1),"")</f>
        <v/>
      </c>
    </row>
    <row r="823" spans="1:4" x14ac:dyDescent="0.4">
      <c r="A823" t="str">
        <f t="shared" si="24"/>
        <v/>
      </c>
      <c r="B823" t="str">
        <f t="shared" si="25"/>
        <v/>
      </c>
      <c r="C823" t="str">
        <f>IF(D823="","",IF(COUNTIF($D$2:D823,D823)&gt;1,"",SUMIFS(tbl_input[필요수량],tbl_input[집계키_청],D823)))</f>
        <v/>
      </c>
      <c r="D823" t="str">
        <f>IFERROR(INDEX(tbl_input[집계키_청],ROW()-1),"")</f>
        <v/>
      </c>
    </row>
    <row r="824" spans="1:4" x14ac:dyDescent="0.4">
      <c r="A824" t="str">
        <f t="shared" si="24"/>
        <v/>
      </c>
      <c r="B824" t="str">
        <f t="shared" si="25"/>
        <v/>
      </c>
      <c r="C824" t="str">
        <f>IF(D824="","",IF(COUNTIF($D$2:D824,D824)&gt;1,"",SUMIFS(tbl_input[필요수량],tbl_input[집계키_청],D824)))</f>
        <v/>
      </c>
      <c r="D824" t="str">
        <f>IFERROR(INDEX(tbl_input[집계키_청],ROW()-1),"")</f>
        <v/>
      </c>
    </row>
    <row r="825" spans="1:4" x14ac:dyDescent="0.4">
      <c r="A825" t="str">
        <f t="shared" si="24"/>
        <v/>
      </c>
      <c r="B825" t="str">
        <f t="shared" si="25"/>
        <v/>
      </c>
      <c r="C825" t="str">
        <f>IF(D825="","",IF(COUNTIF($D$2:D825,D825)&gt;1,"",SUMIFS(tbl_input[필요수량],tbl_input[집계키_청],D825)))</f>
        <v/>
      </c>
      <c r="D825" t="str">
        <f>IFERROR(INDEX(tbl_input[집계키_청],ROW()-1),"")</f>
        <v/>
      </c>
    </row>
    <row r="826" spans="1:4" x14ac:dyDescent="0.4">
      <c r="A826" t="str">
        <f t="shared" si="24"/>
        <v/>
      </c>
      <c r="B826" t="str">
        <f t="shared" si="25"/>
        <v/>
      </c>
      <c r="C826" t="str">
        <f>IF(D826="","",IF(COUNTIF($D$2:D826,D826)&gt;1,"",SUMIFS(tbl_input[필요수량],tbl_input[집계키_청],D826)))</f>
        <v/>
      </c>
      <c r="D826" t="str">
        <f>IFERROR(INDEX(tbl_input[집계키_청],ROW()-1),"")</f>
        <v/>
      </c>
    </row>
    <row r="827" spans="1:4" x14ac:dyDescent="0.4">
      <c r="A827" t="str">
        <f t="shared" si="24"/>
        <v/>
      </c>
      <c r="B827" t="str">
        <f t="shared" si="25"/>
        <v/>
      </c>
      <c r="C827" t="str">
        <f>IF(D827="","",IF(COUNTIF($D$2:D827,D827)&gt;1,"",SUMIFS(tbl_input[필요수량],tbl_input[집계키_청],D827)))</f>
        <v/>
      </c>
      <c r="D827" t="str">
        <f>IFERROR(INDEX(tbl_input[집계키_청],ROW()-1),"")</f>
        <v/>
      </c>
    </row>
    <row r="828" spans="1:4" x14ac:dyDescent="0.4">
      <c r="A828" t="str">
        <f t="shared" si="24"/>
        <v/>
      </c>
      <c r="B828" t="str">
        <f t="shared" si="25"/>
        <v/>
      </c>
      <c r="C828" t="str">
        <f>IF(D828="","",IF(COUNTIF($D$2:D828,D828)&gt;1,"",SUMIFS(tbl_input[필요수량],tbl_input[집계키_청],D828)))</f>
        <v/>
      </c>
      <c r="D828" t="str">
        <f>IFERROR(INDEX(tbl_input[집계키_청],ROW()-1),"")</f>
        <v/>
      </c>
    </row>
    <row r="829" spans="1:4" x14ac:dyDescent="0.4">
      <c r="A829" t="str">
        <f t="shared" si="24"/>
        <v/>
      </c>
      <c r="B829" t="str">
        <f t="shared" si="25"/>
        <v/>
      </c>
      <c r="C829" t="str">
        <f>IF(D829="","",IF(COUNTIF($D$2:D829,D829)&gt;1,"",SUMIFS(tbl_input[필요수량],tbl_input[집계키_청],D829)))</f>
        <v/>
      </c>
      <c r="D829" t="str">
        <f>IFERROR(INDEX(tbl_input[집계키_청],ROW()-1),"")</f>
        <v/>
      </c>
    </row>
    <row r="830" spans="1:4" x14ac:dyDescent="0.4">
      <c r="A830" t="str">
        <f t="shared" si="24"/>
        <v/>
      </c>
      <c r="B830" t="str">
        <f t="shared" si="25"/>
        <v/>
      </c>
      <c r="C830" t="str">
        <f>IF(D830="","",IF(COUNTIF($D$2:D830,D830)&gt;1,"",SUMIFS(tbl_input[필요수량],tbl_input[집계키_청],D830)))</f>
        <v/>
      </c>
      <c r="D830" t="str">
        <f>IFERROR(INDEX(tbl_input[집계키_청],ROW()-1),"")</f>
        <v/>
      </c>
    </row>
    <row r="831" spans="1:4" x14ac:dyDescent="0.4">
      <c r="A831" t="str">
        <f t="shared" si="24"/>
        <v/>
      </c>
      <c r="B831" t="str">
        <f t="shared" si="25"/>
        <v/>
      </c>
      <c r="C831" t="str">
        <f>IF(D831="","",IF(COUNTIF($D$2:D831,D831)&gt;1,"",SUMIFS(tbl_input[필요수량],tbl_input[집계키_청],D831)))</f>
        <v/>
      </c>
      <c r="D831" t="str">
        <f>IFERROR(INDEX(tbl_input[집계키_청],ROW()-1),"")</f>
        <v/>
      </c>
    </row>
    <row r="832" spans="1:4" x14ac:dyDescent="0.4">
      <c r="A832" t="str">
        <f t="shared" si="24"/>
        <v/>
      </c>
      <c r="B832" t="str">
        <f t="shared" si="25"/>
        <v/>
      </c>
      <c r="C832" t="str">
        <f>IF(D832="","",IF(COUNTIF($D$2:D832,D832)&gt;1,"",SUMIFS(tbl_input[필요수량],tbl_input[집계키_청],D832)))</f>
        <v/>
      </c>
      <c r="D832" t="str">
        <f>IFERROR(INDEX(tbl_input[집계키_청],ROW()-1),"")</f>
        <v/>
      </c>
    </row>
    <row r="833" spans="1:4" x14ac:dyDescent="0.4">
      <c r="A833" t="str">
        <f t="shared" si="24"/>
        <v/>
      </c>
      <c r="B833" t="str">
        <f t="shared" si="25"/>
        <v/>
      </c>
      <c r="C833" t="str">
        <f>IF(D833="","",IF(COUNTIF($D$2:D833,D833)&gt;1,"",SUMIFS(tbl_input[필요수량],tbl_input[집계키_청],D833)))</f>
        <v/>
      </c>
      <c r="D833" t="str">
        <f>IFERROR(INDEX(tbl_input[집계키_청],ROW()-1),"")</f>
        <v/>
      </c>
    </row>
    <row r="834" spans="1:4" x14ac:dyDescent="0.4">
      <c r="A834" t="str">
        <f t="shared" ref="A834:A897" si="26">IF(D834="","",LEFT(D834,FIND("♦",D834)-1))</f>
        <v/>
      </c>
      <c r="B834" t="str">
        <f t="shared" ref="B834:B897" si="27">IF(D834="","",MID(D834,FIND("♦",D834)+1,999))</f>
        <v/>
      </c>
      <c r="C834" t="str">
        <f>IF(D834="","",IF(COUNTIF($D$2:D834,D834)&gt;1,"",SUMIFS(tbl_input[필요수량],tbl_input[집계키_청],D834)))</f>
        <v/>
      </c>
      <c r="D834" t="str">
        <f>IFERROR(INDEX(tbl_input[집계키_청],ROW()-1),"")</f>
        <v/>
      </c>
    </row>
    <row r="835" spans="1:4" x14ac:dyDescent="0.4">
      <c r="A835" t="str">
        <f t="shared" si="26"/>
        <v/>
      </c>
      <c r="B835" t="str">
        <f t="shared" si="27"/>
        <v/>
      </c>
      <c r="C835" t="str">
        <f>IF(D835="","",IF(COUNTIF($D$2:D835,D835)&gt;1,"",SUMIFS(tbl_input[필요수량],tbl_input[집계키_청],D835)))</f>
        <v/>
      </c>
      <c r="D835" t="str">
        <f>IFERROR(INDEX(tbl_input[집계키_청],ROW()-1),"")</f>
        <v/>
      </c>
    </row>
    <row r="836" spans="1:4" x14ac:dyDescent="0.4">
      <c r="A836" t="str">
        <f t="shared" si="26"/>
        <v/>
      </c>
      <c r="B836" t="str">
        <f t="shared" si="27"/>
        <v/>
      </c>
      <c r="C836" t="str">
        <f>IF(D836="","",IF(COUNTIF($D$2:D836,D836)&gt;1,"",SUMIFS(tbl_input[필요수량],tbl_input[집계키_청],D836)))</f>
        <v/>
      </c>
      <c r="D836" t="str">
        <f>IFERROR(INDEX(tbl_input[집계키_청],ROW()-1),"")</f>
        <v/>
      </c>
    </row>
    <row r="837" spans="1:4" x14ac:dyDescent="0.4">
      <c r="A837" t="str">
        <f t="shared" si="26"/>
        <v/>
      </c>
      <c r="B837" t="str">
        <f t="shared" si="27"/>
        <v/>
      </c>
      <c r="C837" t="str">
        <f>IF(D837="","",IF(COUNTIF($D$2:D837,D837)&gt;1,"",SUMIFS(tbl_input[필요수량],tbl_input[집계키_청],D837)))</f>
        <v/>
      </c>
      <c r="D837" t="str">
        <f>IFERROR(INDEX(tbl_input[집계키_청],ROW()-1),"")</f>
        <v/>
      </c>
    </row>
    <row r="838" spans="1:4" x14ac:dyDescent="0.4">
      <c r="A838" t="str">
        <f t="shared" si="26"/>
        <v/>
      </c>
      <c r="B838" t="str">
        <f t="shared" si="27"/>
        <v/>
      </c>
      <c r="C838" t="str">
        <f>IF(D838="","",IF(COUNTIF($D$2:D838,D838)&gt;1,"",SUMIFS(tbl_input[필요수량],tbl_input[집계키_청],D838)))</f>
        <v/>
      </c>
      <c r="D838" t="str">
        <f>IFERROR(INDEX(tbl_input[집계키_청],ROW()-1),"")</f>
        <v/>
      </c>
    </row>
    <row r="839" spans="1:4" x14ac:dyDescent="0.4">
      <c r="A839" t="str">
        <f t="shared" si="26"/>
        <v/>
      </c>
      <c r="B839" t="str">
        <f t="shared" si="27"/>
        <v/>
      </c>
      <c r="C839" t="str">
        <f>IF(D839="","",IF(COUNTIF($D$2:D839,D839)&gt;1,"",SUMIFS(tbl_input[필요수량],tbl_input[집계키_청],D839)))</f>
        <v/>
      </c>
      <c r="D839" t="str">
        <f>IFERROR(INDEX(tbl_input[집계키_청],ROW()-1),"")</f>
        <v/>
      </c>
    </row>
    <row r="840" spans="1:4" x14ac:dyDescent="0.4">
      <c r="A840" t="str">
        <f t="shared" si="26"/>
        <v/>
      </c>
      <c r="B840" t="str">
        <f t="shared" si="27"/>
        <v/>
      </c>
      <c r="C840" t="str">
        <f>IF(D840="","",IF(COUNTIF($D$2:D840,D840)&gt;1,"",SUMIFS(tbl_input[필요수량],tbl_input[집계키_청],D840)))</f>
        <v/>
      </c>
      <c r="D840" t="str">
        <f>IFERROR(INDEX(tbl_input[집계키_청],ROW()-1),"")</f>
        <v/>
      </c>
    </row>
    <row r="841" spans="1:4" x14ac:dyDescent="0.4">
      <c r="A841" t="str">
        <f t="shared" si="26"/>
        <v/>
      </c>
      <c r="B841" t="str">
        <f t="shared" si="27"/>
        <v/>
      </c>
      <c r="C841" t="str">
        <f>IF(D841="","",IF(COUNTIF($D$2:D841,D841)&gt;1,"",SUMIFS(tbl_input[필요수량],tbl_input[집계키_청],D841)))</f>
        <v/>
      </c>
      <c r="D841" t="str">
        <f>IFERROR(INDEX(tbl_input[집계키_청],ROW()-1),"")</f>
        <v/>
      </c>
    </row>
    <row r="842" spans="1:4" x14ac:dyDescent="0.4">
      <c r="A842" t="str">
        <f t="shared" si="26"/>
        <v/>
      </c>
      <c r="B842" t="str">
        <f t="shared" si="27"/>
        <v/>
      </c>
      <c r="C842" t="str">
        <f>IF(D842="","",IF(COUNTIF($D$2:D842,D842)&gt;1,"",SUMIFS(tbl_input[필요수량],tbl_input[집계키_청],D842)))</f>
        <v/>
      </c>
      <c r="D842" t="str">
        <f>IFERROR(INDEX(tbl_input[집계키_청],ROW()-1),"")</f>
        <v/>
      </c>
    </row>
    <row r="843" spans="1:4" x14ac:dyDescent="0.4">
      <c r="A843" t="str">
        <f t="shared" si="26"/>
        <v/>
      </c>
      <c r="B843" t="str">
        <f t="shared" si="27"/>
        <v/>
      </c>
      <c r="C843" t="str">
        <f>IF(D843="","",IF(COUNTIF($D$2:D843,D843)&gt;1,"",SUMIFS(tbl_input[필요수량],tbl_input[집계키_청],D843)))</f>
        <v/>
      </c>
      <c r="D843" t="str">
        <f>IFERROR(INDEX(tbl_input[집계키_청],ROW()-1),"")</f>
        <v/>
      </c>
    </row>
    <row r="844" spans="1:4" x14ac:dyDescent="0.4">
      <c r="A844" t="str">
        <f t="shared" si="26"/>
        <v/>
      </c>
      <c r="B844" t="str">
        <f t="shared" si="27"/>
        <v/>
      </c>
      <c r="C844" t="str">
        <f>IF(D844="","",IF(COUNTIF($D$2:D844,D844)&gt;1,"",SUMIFS(tbl_input[필요수량],tbl_input[집계키_청],D844)))</f>
        <v/>
      </c>
      <c r="D844" t="str">
        <f>IFERROR(INDEX(tbl_input[집계키_청],ROW()-1),"")</f>
        <v/>
      </c>
    </row>
    <row r="845" spans="1:4" x14ac:dyDescent="0.4">
      <c r="A845" t="str">
        <f t="shared" si="26"/>
        <v/>
      </c>
      <c r="B845" t="str">
        <f t="shared" si="27"/>
        <v/>
      </c>
      <c r="C845" t="str">
        <f>IF(D845="","",IF(COUNTIF($D$2:D845,D845)&gt;1,"",SUMIFS(tbl_input[필요수량],tbl_input[집계키_청],D845)))</f>
        <v/>
      </c>
      <c r="D845" t="str">
        <f>IFERROR(INDEX(tbl_input[집계키_청],ROW()-1),"")</f>
        <v/>
      </c>
    </row>
    <row r="846" spans="1:4" x14ac:dyDescent="0.4">
      <c r="A846" t="str">
        <f t="shared" si="26"/>
        <v/>
      </c>
      <c r="B846" t="str">
        <f t="shared" si="27"/>
        <v/>
      </c>
      <c r="C846" t="str">
        <f>IF(D846="","",IF(COUNTIF($D$2:D846,D846)&gt;1,"",SUMIFS(tbl_input[필요수량],tbl_input[집계키_청],D846)))</f>
        <v/>
      </c>
      <c r="D846" t="str">
        <f>IFERROR(INDEX(tbl_input[집계키_청],ROW()-1),"")</f>
        <v/>
      </c>
    </row>
    <row r="847" spans="1:4" x14ac:dyDescent="0.4">
      <c r="A847" t="str">
        <f t="shared" si="26"/>
        <v/>
      </c>
      <c r="B847" t="str">
        <f t="shared" si="27"/>
        <v/>
      </c>
      <c r="C847" t="str">
        <f>IF(D847="","",IF(COUNTIF($D$2:D847,D847)&gt;1,"",SUMIFS(tbl_input[필요수량],tbl_input[집계키_청],D847)))</f>
        <v/>
      </c>
      <c r="D847" t="str">
        <f>IFERROR(INDEX(tbl_input[집계키_청],ROW()-1),"")</f>
        <v/>
      </c>
    </row>
    <row r="848" spans="1:4" x14ac:dyDescent="0.4">
      <c r="A848" t="str">
        <f t="shared" si="26"/>
        <v/>
      </c>
      <c r="B848" t="str">
        <f t="shared" si="27"/>
        <v/>
      </c>
      <c r="C848" t="str">
        <f>IF(D848="","",IF(COUNTIF($D$2:D848,D848)&gt;1,"",SUMIFS(tbl_input[필요수량],tbl_input[집계키_청],D848)))</f>
        <v/>
      </c>
      <c r="D848" t="str">
        <f>IFERROR(INDEX(tbl_input[집계키_청],ROW()-1),"")</f>
        <v/>
      </c>
    </row>
    <row r="849" spans="1:4" x14ac:dyDescent="0.4">
      <c r="A849" t="str">
        <f t="shared" si="26"/>
        <v/>
      </c>
      <c r="B849" t="str">
        <f t="shared" si="27"/>
        <v/>
      </c>
      <c r="C849" t="str">
        <f>IF(D849="","",IF(COUNTIF($D$2:D849,D849)&gt;1,"",SUMIFS(tbl_input[필요수량],tbl_input[집계키_청],D849)))</f>
        <v/>
      </c>
      <c r="D849" t="str">
        <f>IFERROR(INDEX(tbl_input[집계키_청],ROW()-1),"")</f>
        <v/>
      </c>
    </row>
    <row r="850" spans="1:4" x14ac:dyDescent="0.4">
      <c r="A850" t="str">
        <f t="shared" si="26"/>
        <v/>
      </c>
      <c r="B850" t="str">
        <f t="shared" si="27"/>
        <v/>
      </c>
      <c r="C850" t="str">
        <f>IF(D850="","",IF(COUNTIF($D$2:D850,D850)&gt;1,"",SUMIFS(tbl_input[필요수량],tbl_input[집계키_청],D850)))</f>
        <v/>
      </c>
      <c r="D850" t="str">
        <f>IFERROR(INDEX(tbl_input[집계키_청],ROW()-1),"")</f>
        <v/>
      </c>
    </row>
    <row r="851" spans="1:4" x14ac:dyDescent="0.4">
      <c r="A851" t="str">
        <f t="shared" si="26"/>
        <v/>
      </c>
      <c r="B851" t="str">
        <f t="shared" si="27"/>
        <v/>
      </c>
      <c r="C851" t="str">
        <f>IF(D851="","",IF(COUNTIF($D$2:D851,D851)&gt;1,"",SUMIFS(tbl_input[필요수량],tbl_input[집계키_청],D851)))</f>
        <v/>
      </c>
      <c r="D851" t="str">
        <f>IFERROR(INDEX(tbl_input[집계키_청],ROW()-1),"")</f>
        <v/>
      </c>
    </row>
    <row r="852" spans="1:4" x14ac:dyDescent="0.4">
      <c r="A852" t="str">
        <f t="shared" si="26"/>
        <v/>
      </c>
      <c r="B852" t="str">
        <f t="shared" si="27"/>
        <v/>
      </c>
      <c r="C852" t="str">
        <f>IF(D852="","",IF(COUNTIF($D$2:D852,D852)&gt;1,"",SUMIFS(tbl_input[필요수량],tbl_input[집계키_청],D852)))</f>
        <v/>
      </c>
      <c r="D852" t="str">
        <f>IFERROR(INDEX(tbl_input[집계키_청],ROW()-1),"")</f>
        <v/>
      </c>
    </row>
    <row r="853" spans="1:4" x14ac:dyDescent="0.4">
      <c r="A853" t="str">
        <f t="shared" si="26"/>
        <v/>
      </c>
      <c r="B853" t="str">
        <f t="shared" si="27"/>
        <v/>
      </c>
      <c r="C853" t="str">
        <f>IF(D853="","",IF(COUNTIF($D$2:D853,D853)&gt;1,"",SUMIFS(tbl_input[필요수량],tbl_input[집계키_청],D853)))</f>
        <v/>
      </c>
      <c r="D853" t="str">
        <f>IFERROR(INDEX(tbl_input[집계키_청],ROW()-1),"")</f>
        <v/>
      </c>
    </row>
    <row r="854" spans="1:4" x14ac:dyDescent="0.4">
      <c r="A854" t="str">
        <f t="shared" si="26"/>
        <v/>
      </c>
      <c r="B854" t="str">
        <f t="shared" si="27"/>
        <v/>
      </c>
      <c r="C854" t="str">
        <f>IF(D854="","",IF(COUNTIF($D$2:D854,D854)&gt;1,"",SUMIFS(tbl_input[필요수량],tbl_input[집계키_청],D854)))</f>
        <v/>
      </c>
      <c r="D854" t="str">
        <f>IFERROR(INDEX(tbl_input[집계키_청],ROW()-1),"")</f>
        <v/>
      </c>
    </row>
    <row r="855" spans="1:4" x14ac:dyDescent="0.4">
      <c r="A855" t="str">
        <f t="shared" si="26"/>
        <v/>
      </c>
      <c r="B855" t="str">
        <f t="shared" si="27"/>
        <v/>
      </c>
      <c r="C855" t="str">
        <f>IF(D855="","",IF(COUNTIF($D$2:D855,D855)&gt;1,"",SUMIFS(tbl_input[필요수량],tbl_input[집계키_청],D855)))</f>
        <v/>
      </c>
      <c r="D855" t="str">
        <f>IFERROR(INDEX(tbl_input[집계키_청],ROW()-1),"")</f>
        <v/>
      </c>
    </row>
    <row r="856" spans="1:4" x14ac:dyDescent="0.4">
      <c r="A856" t="str">
        <f t="shared" si="26"/>
        <v/>
      </c>
      <c r="B856" t="str">
        <f t="shared" si="27"/>
        <v/>
      </c>
      <c r="C856" t="str">
        <f>IF(D856="","",IF(COUNTIF($D$2:D856,D856)&gt;1,"",SUMIFS(tbl_input[필요수량],tbl_input[집계키_청],D856)))</f>
        <v/>
      </c>
      <c r="D856" t="str">
        <f>IFERROR(INDEX(tbl_input[집계키_청],ROW()-1),"")</f>
        <v/>
      </c>
    </row>
    <row r="857" spans="1:4" x14ac:dyDescent="0.4">
      <c r="A857" t="str">
        <f t="shared" si="26"/>
        <v/>
      </c>
      <c r="B857" t="str">
        <f t="shared" si="27"/>
        <v/>
      </c>
      <c r="C857" t="str">
        <f>IF(D857="","",IF(COUNTIF($D$2:D857,D857)&gt;1,"",SUMIFS(tbl_input[필요수량],tbl_input[집계키_청],D857)))</f>
        <v/>
      </c>
      <c r="D857" t="str">
        <f>IFERROR(INDEX(tbl_input[집계키_청],ROW()-1),"")</f>
        <v/>
      </c>
    </row>
    <row r="858" spans="1:4" x14ac:dyDescent="0.4">
      <c r="A858" t="str">
        <f t="shared" si="26"/>
        <v/>
      </c>
      <c r="B858" t="str">
        <f t="shared" si="27"/>
        <v/>
      </c>
      <c r="C858" t="str">
        <f>IF(D858="","",IF(COUNTIF($D$2:D858,D858)&gt;1,"",SUMIFS(tbl_input[필요수량],tbl_input[집계키_청],D858)))</f>
        <v/>
      </c>
      <c r="D858" t="str">
        <f>IFERROR(INDEX(tbl_input[집계키_청],ROW()-1),"")</f>
        <v/>
      </c>
    </row>
    <row r="859" spans="1:4" x14ac:dyDescent="0.4">
      <c r="A859" t="str">
        <f t="shared" si="26"/>
        <v/>
      </c>
      <c r="B859" t="str">
        <f t="shared" si="27"/>
        <v/>
      </c>
      <c r="C859" t="str">
        <f>IF(D859="","",IF(COUNTIF($D$2:D859,D859)&gt;1,"",SUMIFS(tbl_input[필요수량],tbl_input[집계키_청],D859)))</f>
        <v/>
      </c>
      <c r="D859" t="str">
        <f>IFERROR(INDEX(tbl_input[집계키_청],ROW()-1),"")</f>
        <v/>
      </c>
    </row>
    <row r="860" spans="1:4" x14ac:dyDescent="0.4">
      <c r="A860" t="str">
        <f t="shared" si="26"/>
        <v/>
      </c>
      <c r="B860" t="str">
        <f t="shared" si="27"/>
        <v/>
      </c>
      <c r="C860" t="str">
        <f>IF(D860="","",IF(COUNTIF($D$2:D860,D860)&gt;1,"",SUMIFS(tbl_input[필요수량],tbl_input[집계키_청],D860)))</f>
        <v/>
      </c>
      <c r="D860" t="str">
        <f>IFERROR(INDEX(tbl_input[집계키_청],ROW()-1),"")</f>
        <v/>
      </c>
    </row>
    <row r="861" spans="1:4" x14ac:dyDescent="0.4">
      <c r="A861" t="str">
        <f t="shared" si="26"/>
        <v/>
      </c>
      <c r="B861" t="str">
        <f t="shared" si="27"/>
        <v/>
      </c>
      <c r="C861" t="str">
        <f>IF(D861="","",IF(COUNTIF($D$2:D861,D861)&gt;1,"",SUMIFS(tbl_input[필요수량],tbl_input[집계키_청],D861)))</f>
        <v/>
      </c>
      <c r="D861" t="str">
        <f>IFERROR(INDEX(tbl_input[집계키_청],ROW()-1),"")</f>
        <v/>
      </c>
    </row>
    <row r="862" spans="1:4" x14ac:dyDescent="0.4">
      <c r="A862" t="str">
        <f t="shared" si="26"/>
        <v/>
      </c>
      <c r="B862" t="str">
        <f t="shared" si="27"/>
        <v/>
      </c>
      <c r="C862" t="str">
        <f>IF(D862="","",IF(COUNTIF($D$2:D862,D862)&gt;1,"",SUMIFS(tbl_input[필요수량],tbl_input[집계키_청],D862)))</f>
        <v/>
      </c>
      <c r="D862" t="str">
        <f>IFERROR(INDEX(tbl_input[집계키_청],ROW()-1),"")</f>
        <v/>
      </c>
    </row>
    <row r="863" spans="1:4" x14ac:dyDescent="0.4">
      <c r="A863" t="str">
        <f t="shared" si="26"/>
        <v/>
      </c>
      <c r="B863" t="str">
        <f t="shared" si="27"/>
        <v/>
      </c>
      <c r="C863" t="str">
        <f>IF(D863="","",IF(COUNTIF($D$2:D863,D863)&gt;1,"",SUMIFS(tbl_input[필요수량],tbl_input[집계키_청],D863)))</f>
        <v/>
      </c>
      <c r="D863" t="str">
        <f>IFERROR(INDEX(tbl_input[집계키_청],ROW()-1),"")</f>
        <v/>
      </c>
    </row>
    <row r="864" spans="1:4" x14ac:dyDescent="0.4">
      <c r="A864" t="str">
        <f t="shared" si="26"/>
        <v/>
      </c>
      <c r="B864" t="str">
        <f t="shared" si="27"/>
        <v/>
      </c>
      <c r="C864" t="str">
        <f>IF(D864="","",IF(COUNTIF($D$2:D864,D864)&gt;1,"",SUMIFS(tbl_input[필요수량],tbl_input[집계키_청],D864)))</f>
        <v/>
      </c>
      <c r="D864" t="str">
        <f>IFERROR(INDEX(tbl_input[집계키_청],ROW()-1),"")</f>
        <v/>
      </c>
    </row>
    <row r="865" spans="1:4" x14ac:dyDescent="0.4">
      <c r="A865" t="str">
        <f t="shared" si="26"/>
        <v/>
      </c>
      <c r="B865" t="str">
        <f t="shared" si="27"/>
        <v/>
      </c>
      <c r="C865" t="str">
        <f>IF(D865="","",IF(COUNTIF($D$2:D865,D865)&gt;1,"",SUMIFS(tbl_input[필요수량],tbl_input[집계키_청],D865)))</f>
        <v/>
      </c>
      <c r="D865" t="str">
        <f>IFERROR(INDEX(tbl_input[집계키_청],ROW()-1),"")</f>
        <v/>
      </c>
    </row>
    <row r="866" spans="1:4" x14ac:dyDescent="0.4">
      <c r="A866" t="str">
        <f t="shared" si="26"/>
        <v/>
      </c>
      <c r="B866" t="str">
        <f t="shared" si="27"/>
        <v/>
      </c>
      <c r="C866" t="str">
        <f>IF(D866="","",IF(COUNTIF($D$2:D866,D866)&gt;1,"",SUMIFS(tbl_input[필요수량],tbl_input[집계키_청],D866)))</f>
        <v/>
      </c>
      <c r="D866" t="str">
        <f>IFERROR(INDEX(tbl_input[집계키_청],ROW()-1),"")</f>
        <v/>
      </c>
    </row>
    <row r="867" spans="1:4" x14ac:dyDescent="0.4">
      <c r="A867" t="str">
        <f t="shared" si="26"/>
        <v/>
      </c>
      <c r="B867" t="str">
        <f t="shared" si="27"/>
        <v/>
      </c>
      <c r="C867" t="str">
        <f>IF(D867="","",IF(COUNTIF($D$2:D867,D867)&gt;1,"",SUMIFS(tbl_input[필요수량],tbl_input[집계키_청],D867)))</f>
        <v/>
      </c>
      <c r="D867" t="str">
        <f>IFERROR(INDEX(tbl_input[집계키_청],ROW()-1),"")</f>
        <v/>
      </c>
    </row>
    <row r="868" spans="1:4" x14ac:dyDescent="0.4">
      <c r="A868" t="str">
        <f t="shared" si="26"/>
        <v/>
      </c>
      <c r="B868" t="str">
        <f t="shared" si="27"/>
        <v/>
      </c>
      <c r="C868" t="str">
        <f>IF(D868="","",IF(COUNTIF($D$2:D868,D868)&gt;1,"",SUMIFS(tbl_input[필요수량],tbl_input[집계키_청],D868)))</f>
        <v/>
      </c>
      <c r="D868" t="str">
        <f>IFERROR(INDEX(tbl_input[집계키_청],ROW()-1),"")</f>
        <v/>
      </c>
    </row>
    <row r="869" spans="1:4" x14ac:dyDescent="0.4">
      <c r="A869" t="str">
        <f t="shared" si="26"/>
        <v/>
      </c>
      <c r="B869" t="str">
        <f t="shared" si="27"/>
        <v/>
      </c>
      <c r="C869" t="str">
        <f>IF(D869="","",IF(COUNTIF($D$2:D869,D869)&gt;1,"",SUMIFS(tbl_input[필요수량],tbl_input[집계키_청],D869)))</f>
        <v/>
      </c>
      <c r="D869" t="str">
        <f>IFERROR(INDEX(tbl_input[집계키_청],ROW()-1),"")</f>
        <v/>
      </c>
    </row>
    <row r="870" spans="1:4" x14ac:dyDescent="0.4">
      <c r="A870" t="str">
        <f t="shared" si="26"/>
        <v/>
      </c>
      <c r="B870" t="str">
        <f t="shared" si="27"/>
        <v/>
      </c>
      <c r="C870" t="str">
        <f>IF(D870="","",IF(COUNTIF($D$2:D870,D870)&gt;1,"",SUMIFS(tbl_input[필요수량],tbl_input[집계키_청],D870)))</f>
        <v/>
      </c>
      <c r="D870" t="str">
        <f>IFERROR(INDEX(tbl_input[집계키_청],ROW()-1),"")</f>
        <v/>
      </c>
    </row>
    <row r="871" spans="1:4" x14ac:dyDescent="0.4">
      <c r="A871" t="str">
        <f t="shared" si="26"/>
        <v/>
      </c>
      <c r="B871" t="str">
        <f t="shared" si="27"/>
        <v/>
      </c>
      <c r="C871" t="str">
        <f>IF(D871="","",IF(COUNTIF($D$2:D871,D871)&gt;1,"",SUMIFS(tbl_input[필요수량],tbl_input[집계키_청],D871)))</f>
        <v/>
      </c>
      <c r="D871" t="str">
        <f>IFERROR(INDEX(tbl_input[집계키_청],ROW()-1),"")</f>
        <v/>
      </c>
    </row>
    <row r="872" spans="1:4" x14ac:dyDescent="0.4">
      <c r="A872" t="str">
        <f t="shared" si="26"/>
        <v/>
      </c>
      <c r="B872" t="str">
        <f t="shared" si="27"/>
        <v/>
      </c>
      <c r="C872" t="str">
        <f>IF(D872="","",IF(COUNTIF($D$2:D872,D872)&gt;1,"",SUMIFS(tbl_input[필요수량],tbl_input[집계키_청],D872)))</f>
        <v/>
      </c>
      <c r="D872" t="str">
        <f>IFERROR(INDEX(tbl_input[집계키_청],ROW()-1),"")</f>
        <v/>
      </c>
    </row>
    <row r="873" spans="1:4" x14ac:dyDescent="0.4">
      <c r="A873" t="str">
        <f t="shared" si="26"/>
        <v/>
      </c>
      <c r="B873" t="str">
        <f t="shared" si="27"/>
        <v/>
      </c>
      <c r="C873" t="str">
        <f>IF(D873="","",IF(COUNTIF($D$2:D873,D873)&gt;1,"",SUMIFS(tbl_input[필요수량],tbl_input[집계키_청],D873)))</f>
        <v/>
      </c>
      <c r="D873" t="str">
        <f>IFERROR(INDEX(tbl_input[집계키_청],ROW()-1),"")</f>
        <v/>
      </c>
    </row>
    <row r="874" spans="1:4" x14ac:dyDescent="0.4">
      <c r="A874" t="str">
        <f t="shared" si="26"/>
        <v/>
      </c>
      <c r="B874" t="str">
        <f t="shared" si="27"/>
        <v/>
      </c>
      <c r="C874" t="str">
        <f>IF(D874="","",IF(COUNTIF($D$2:D874,D874)&gt;1,"",SUMIFS(tbl_input[필요수량],tbl_input[집계키_청],D874)))</f>
        <v/>
      </c>
      <c r="D874" t="str">
        <f>IFERROR(INDEX(tbl_input[집계키_청],ROW()-1),"")</f>
        <v/>
      </c>
    </row>
    <row r="875" spans="1:4" x14ac:dyDescent="0.4">
      <c r="A875" t="str">
        <f t="shared" si="26"/>
        <v/>
      </c>
      <c r="B875" t="str">
        <f t="shared" si="27"/>
        <v/>
      </c>
      <c r="C875" t="str">
        <f>IF(D875="","",IF(COUNTIF($D$2:D875,D875)&gt;1,"",SUMIFS(tbl_input[필요수량],tbl_input[집계키_청],D875)))</f>
        <v/>
      </c>
      <c r="D875" t="str">
        <f>IFERROR(INDEX(tbl_input[집계키_청],ROW()-1),"")</f>
        <v/>
      </c>
    </row>
    <row r="876" spans="1:4" x14ac:dyDescent="0.4">
      <c r="A876" t="str">
        <f t="shared" si="26"/>
        <v/>
      </c>
      <c r="B876" t="str">
        <f t="shared" si="27"/>
        <v/>
      </c>
      <c r="C876" t="str">
        <f>IF(D876="","",IF(COUNTIF($D$2:D876,D876)&gt;1,"",SUMIFS(tbl_input[필요수량],tbl_input[집계키_청],D876)))</f>
        <v/>
      </c>
      <c r="D876" t="str">
        <f>IFERROR(INDEX(tbl_input[집계키_청],ROW()-1),"")</f>
        <v/>
      </c>
    </row>
    <row r="877" spans="1:4" x14ac:dyDescent="0.4">
      <c r="A877" t="str">
        <f t="shared" si="26"/>
        <v/>
      </c>
      <c r="B877" t="str">
        <f t="shared" si="27"/>
        <v/>
      </c>
      <c r="C877" t="str">
        <f>IF(D877="","",IF(COUNTIF($D$2:D877,D877)&gt;1,"",SUMIFS(tbl_input[필요수량],tbl_input[집계키_청],D877)))</f>
        <v/>
      </c>
      <c r="D877" t="str">
        <f>IFERROR(INDEX(tbl_input[집계키_청],ROW()-1),"")</f>
        <v/>
      </c>
    </row>
    <row r="878" spans="1:4" x14ac:dyDescent="0.4">
      <c r="A878" t="str">
        <f t="shared" si="26"/>
        <v/>
      </c>
      <c r="B878" t="str">
        <f t="shared" si="27"/>
        <v/>
      </c>
      <c r="C878" t="str">
        <f>IF(D878="","",IF(COUNTIF($D$2:D878,D878)&gt;1,"",SUMIFS(tbl_input[필요수량],tbl_input[집계키_청],D878)))</f>
        <v/>
      </c>
      <c r="D878" t="str">
        <f>IFERROR(INDEX(tbl_input[집계키_청],ROW()-1),"")</f>
        <v/>
      </c>
    </row>
    <row r="879" spans="1:4" x14ac:dyDescent="0.4">
      <c r="A879" t="str">
        <f t="shared" si="26"/>
        <v/>
      </c>
      <c r="B879" t="str">
        <f t="shared" si="27"/>
        <v/>
      </c>
      <c r="C879" t="str">
        <f>IF(D879="","",IF(COUNTIF($D$2:D879,D879)&gt;1,"",SUMIFS(tbl_input[필요수량],tbl_input[집계키_청],D879)))</f>
        <v/>
      </c>
      <c r="D879" t="str">
        <f>IFERROR(INDEX(tbl_input[집계키_청],ROW()-1),"")</f>
        <v/>
      </c>
    </row>
    <row r="880" spans="1:4" x14ac:dyDescent="0.4">
      <c r="A880" t="str">
        <f t="shared" si="26"/>
        <v/>
      </c>
      <c r="B880" t="str">
        <f t="shared" si="27"/>
        <v/>
      </c>
      <c r="C880" t="str">
        <f>IF(D880="","",IF(COUNTIF($D$2:D880,D880)&gt;1,"",SUMIFS(tbl_input[필요수량],tbl_input[집계키_청],D880)))</f>
        <v/>
      </c>
      <c r="D880" t="str">
        <f>IFERROR(INDEX(tbl_input[집계키_청],ROW()-1),"")</f>
        <v/>
      </c>
    </row>
    <row r="881" spans="1:4" x14ac:dyDescent="0.4">
      <c r="A881" t="str">
        <f t="shared" si="26"/>
        <v/>
      </c>
      <c r="B881" t="str">
        <f t="shared" si="27"/>
        <v/>
      </c>
      <c r="C881" t="str">
        <f>IF(D881="","",IF(COUNTIF($D$2:D881,D881)&gt;1,"",SUMIFS(tbl_input[필요수량],tbl_input[집계키_청],D881)))</f>
        <v/>
      </c>
      <c r="D881" t="str">
        <f>IFERROR(INDEX(tbl_input[집계키_청],ROW()-1),"")</f>
        <v/>
      </c>
    </row>
    <row r="882" spans="1:4" x14ac:dyDescent="0.4">
      <c r="A882" t="str">
        <f t="shared" si="26"/>
        <v/>
      </c>
      <c r="B882" t="str">
        <f t="shared" si="27"/>
        <v/>
      </c>
      <c r="C882" t="str">
        <f>IF(D882="","",IF(COUNTIF($D$2:D882,D882)&gt;1,"",SUMIFS(tbl_input[필요수량],tbl_input[집계키_청],D882)))</f>
        <v/>
      </c>
      <c r="D882" t="str">
        <f>IFERROR(INDEX(tbl_input[집계키_청],ROW()-1),"")</f>
        <v/>
      </c>
    </row>
    <row r="883" spans="1:4" x14ac:dyDescent="0.4">
      <c r="A883" t="str">
        <f t="shared" si="26"/>
        <v/>
      </c>
      <c r="B883" t="str">
        <f t="shared" si="27"/>
        <v/>
      </c>
      <c r="C883" t="str">
        <f>IF(D883="","",IF(COUNTIF($D$2:D883,D883)&gt;1,"",SUMIFS(tbl_input[필요수량],tbl_input[집계키_청],D883)))</f>
        <v/>
      </c>
      <c r="D883" t="str">
        <f>IFERROR(INDEX(tbl_input[집계키_청],ROW()-1),"")</f>
        <v/>
      </c>
    </row>
    <row r="884" spans="1:4" x14ac:dyDescent="0.4">
      <c r="A884" t="str">
        <f t="shared" si="26"/>
        <v/>
      </c>
      <c r="B884" t="str">
        <f t="shared" si="27"/>
        <v/>
      </c>
      <c r="C884" t="str">
        <f>IF(D884="","",IF(COUNTIF($D$2:D884,D884)&gt;1,"",SUMIFS(tbl_input[필요수량],tbl_input[집계키_청],D884)))</f>
        <v/>
      </c>
      <c r="D884" t="str">
        <f>IFERROR(INDEX(tbl_input[집계키_청],ROW()-1),"")</f>
        <v/>
      </c>
    </row>
    <row r="885" spans="1:4" x14ac:dyDescent="0.4">
      <c r="A885" t="str">
        <f t="shared" si="26"/>
        <v/>
      </c>
      <c r="B885" t="str">
        <f t="shared" si="27"/>
        <v/>
      </c>
      <c r="C885" t="str">
        <f>IF(D885="","",IF(COUNTIF($D$2:D885,D885)&gt;1,"",SUMIFS(tbl_input[필요수량],tbl_input[집계키_청],D885)))</f>
        <v/>
      </c>
      <c r="D885" t="str">
        <f>IFERROR(INDEX(tbl_input[집계키_청],ROW()-1),"")</f>
        <v/>
      </c>
    </row>
    <row r="886" spans="1:4" x14ac:dyDescent="0.4">
      <c r="A886" t="str">
        <f t="shared" si="26"/>
        <v/>
      </c>
      <c r="B886" t="str">
        <f t="shared" si="27"/>
        <v/>
      </c>
      <c r="C886" t="str">
        <f>IF(D886="","",IF(COUNTIF($D$2:D886,D886)&gt;1,"",SUMIFS(tbl_input[필요수량],tbl_input[집계키_청],D886)))</f>
        <v/>
      </c>
      <c r="D886" t="str">
        <f>IFERROR(INDEX(tbl_input[집계키_청],ROW()-1),"")</f>
        <v/>
      </c>
    </row>
    <row r="887" spans="1:4" x14ac:dyDescent="0.4">
      <c r="A887" t="str">
        <f t="shared" si="26"/>
        <v/>
      </c>
      <c r="B887" t="str">
        <f t="shared" si="27"/>
        <v/>
      </c>
      <c r="C887" t="str">
        <f>IF(D887="","",IF(COUNTIF($D$2:D887,D887)&gt;1,"",SUMIFS(tbl_input[필요수량],tbl_input[집계키_청],D887)))</f>
        <v/>
      </c>
      <c r="D887" t="str">
        <f>IFERROR(INDEX(tbl_input[집계키_청],ROW()-1),"")</f>
        <v/>
      </c>
    </row>
    <row r="888" spans="1:4" x14ac:dyDescent="0.4">
      <c r="A888" t="str">
        <f t="shared" si="26"/>
        <v/>
      </c>
      <c r="B888" t="str">
        <f t="shared" si="27"/>
        <v/>
      </c>
      <c r="C888" t="str">
        <f>IF(D888="","",IF(COUNTIF($D$2:D888,D888)&gt;1,"",SUMIFS(tbl_input[필요수량],tbl_input[집계키_청],D888)))</f>
        <v/>
      </c>
      <c r="D888" t="str">
        <f>IFERROR(INDEX(tbl_input[집계키_청],ROW()-1),"")</f>
        <v/>
      </c>
    </row>
    <row r="889" spans="1:4" x14ac:dyDescent="0.4">
      <c r="A889" t="str">
        <f t="shared" si="26"/>
        <v/>
      </c>
      <c r="B889" t="str">
        <f t="shared" si="27"/>
        <v/>
      </c>
      <c r="C889" t="str">
        <f>IF(D889="","",IF(COUNTIF($D$2:D889,D889)&gt;1,"",SUMIFS(tbl_input[필요수량],tbl_input[집계키_청],D889)))</f>
        <v/>
      </c>
      <c r="D889" t="str">
        <f>IFERROR(INDEX(tbl_input[집계키_청],ROW()-1),"")</f>
        <v/>
      </c>
    </row>
    <row r="890" spans="1:4" x14ac:dyDescent="0.4">
      <c r="A890" t="str">
        <f t="shared" si="26"/>
        <v/>
      </c>
      <c r="B890" t="str">
        <f t="shared" si="27"/>
        <v/>
      </c>
      <c r="C890" t="str">
        <f>IF(D890="","",IF(COUNTIF($D$2:D890,D890)&gt;1,"",SUMIFS(tbl_input[필요수량],tbl_input[집계키_청],D890)))</f>
        <v/>
      </c>
      <c r="D890" t="str">
        <f>IFERROR(INDEX(tbl_input[집계키_청],ROW()-1),"")</f>
        <v/>
      </c>
    </row>
    <row r="891" spans="1:4" x14ac:dyDescent="0.4">
      <c r="A891" t="str">
        <f t="shared" si="26"/>
        <v/>
      </c>
      <c r="B891" t="str">
        <f t="shared" si="27"/>
        <v/>
      </c>
      <c r="C891" t="str">
        <f>IF(D891="","",IF(COUNTIF($D$2:D891,D891)&gt;1,"",SUMIFS(tbl_input[필요수량],tbl_input[집계키_청],D891)))</f>
        <v/>
      </c>
      <c r="D891" t="str">
        <f>IFERROR(INDEX(tbl_input[집계키_청],ROW()-1),"")</f>
        <v/>
      </c>
    </row>
    <row r="892" spans="1:4" x14ac:dyDescent="0.4">
      <c r="A892" t="str">
        <f t="shared" si="26"/>
        <v/>
      </c>
      <c r="B892" t="str">
        <f t="shared" si="27"/>
        <v/>
      </c>
      <c r="C892" t="str">
        <f>IF(D892="","",IF(COUNTIF($D$2:D892,D892)&gt;1,"",SUMIFS(tbl_input[필요수량],tbl_input[집계키_청],D892)))</f>
        <v/>
      </c>
      <c r="D892" t="str">
        <f>IFERROR(INDEX(tbl_input[집계키_청],ROW()-1),"")</f>
        <v/>
      </c>
    </row>
    <row r="893" spans="1:4" x14ac:dyDescent="0.4">
      <c r="A893" t="str">
        <f t="shared" si="26"/>
        <v/>
      </c>
      <c r="B893" t="str">
        <f t="shared" si="27"/>
        <v/>
      </c>
      <c r="C893" t="str">
        <f>IF(D893="","",IF(COUNTIF($D$2:D893,D893)&gt;1,"",SUMIFS(tbl_input[필요수량],tbl_input[집계키_청],D893)))</f>
        <v/>
      </c>
      <c r="D893" t="str">
        <f>IFERROR(INDEX(tbl_input[집계키_청],ROW()-1),"")</f>
        <v/>
      </c>
    </row>
    <row r="894" spans="1:4" x14ac:dyDescent="0.4">
      <c r="A894" t="str">
        <f t="shared" si="26"/>
        <v/>
      </c>
      <c r="B894" t="str">
        <f t="shared" si="27"/>
        <v/>
      </c>
      <c r="C894" t="str">
        <f>IF(D894="","",IF(COUNTIF($D$2:D894,D894)&gt;1,"",SUMIFS(tbl_input[필요수량],tbl_input[집계키_청],D894)))</f>
        <v/>
      </c>
      <c r="D894" t="str">
        <f>IFERROR(INDEX(tbl_input[집계키_청],ROW()-1),"")</f>
        <v/>
      </c>
    </row>
    <row r="895" spans="1:4" x14ac:dyDescent="0.4">
      <c r="A895" t="str">
        <f t="shared" si="26"/>
        <v/>
      </c>
      <c r="B895" t="str">
        <f t="shared" si="27"/>
        <v/>
      </c>
      <c r="C895" t="str">
        <f>IF(D895="","",IF(COUNTIF($D$2:D895,D895)&gt;1,"",SUMIFS(tbl_input[필요수량],tbl_input[집계키_청],D895)))</f>
        <v/>
      </c>
      <c r="D895" t="str">
        <f>IFERROR(INDEX(tbl_input[집계키_청],ROW()-1),"")</f>
        <v/>
      </c>
    </row>
    <row r="896" spans="1:4" x14ac:dyDescent="0.4">
      <c r="A896" t="str">
        <f t="shared" si="26"/>
        <v/>
      </c>
      <c r="B896" t="str">
        <f t="shared" si="27"/>
        <v/>
      </c>
      <c r="C896" t="str">
        <f>IF(D896="","",IF(COUNTIF($D$2:D896,D896)&gt;1,"",SUMIFS(tbl_input[필요수량],tbl_input[집계키_청],D896)))</f>
        <v/>
      </c>
      <c r="D896" t="str">
        <f>IFERROR(INDEX(tbl_input[집계키_청],ROW()-1),"")</f>
        <v/>
      </c>
    </row>
    <row r="897" spans="1:4" x14ac:dyDescent="0.4">
      <c r="A897" t="str">
        <f t="shared" si="26"/>
        <v/>
      </c>
      <c r="B897" t="str">
        <f t="shared" si="27"/>
        <v/>
      </c>
      <c r="C897" t="str">
        <f>IF(D897="","",IF(COUNTIF($D$2:D897,D897)&gt;1,"",SUMIFS(tbl_input[필요수량],tbl_input[집계키_청],D897)))</f>
        <v/>
      </c>
      <c r="D897" t="str">
        <f>IFERROR(INDEX(tbl_input[집계키_청],ROW()-1),"")</f>
        <v/>
      </c>
    </row>
    <row r="898" spans="1:4" x14ac:dyDescent="0.4">
      <c r="A898" t="str">
        <f t="shared" ref="A898:A961" si="28">IF(D898="","",LEFT(D898,FIND("♦",D898)-1))</f>
        <v/>
      </c>
      <c r="B898" t="str">
        <f t="shared" ref="B898:B961" si="29">IF(D898="","",MID(D898,FIND("♦",D898)+1,999))</f>
        <v/>
      </c>
      <c r="C898" t="str">
        <f>IF(D898="","",IF(COUNTIF($D$2:D898,D898)&gt;1,"",SUMIFS(tbl_input[필요수량],tbl_input[집계키_청],D898)))</f>
        <v/>
      </c>
      <c r="D898" t="str">
        <f>IFERROR(INDEX(tbl_input[집계키_청],ROW()-1),"")</f>
        <v/>
      </c>
    </row>
    <row r="899" spans="1:4" x14ac:dyDescent="0.4">
      <c r="A899" t="str">
        <f t="shared" si="28"/>
        <v/>
      </c>
      <c r="B899" t="str">
        <f t="shared" si="29"/>
        <v/>
      </c>
      <c r="C899" t="str">
        <f>IF(D899="","",IF(COUNTIF($D$2:D899,D899)&gt;1,"",SUMIFS(tbl_input[필요수량],tbl_input[집계키_청],D899)))</f>
        <v/>
      </c>
      <c r="D899" t="str">
        <f>IFERROR(INDEX(tbl_input[집계키_청],ROW()-1),"")</f>
        <v/>
      </c>
    </row>
    <row r="900" spans="1:4" x14ac:dyDescent="0.4">
      <c r="A900" t="str">
        <f t="shared" si="28"/>
        <v/>
      </c>
      <c r="B900" t="str">
        <f t="shared" si="29"/>
        <v/>
      </c>
      <c r="C900" t="str">
        <f>IF(D900="","",IF(COUNTIF($D$2:D900,D900)&gt;1,"",SUMIFS(tbl_input[필요수량],tbl_input[집계키_청],D900)))</f>
        <v/>
      </c>
      <c r="D900" t="str">
        <f>IFERROR(INDEX(tbl_input[집계키_청],ROW()-1),"")</f>
        <v/>
      </c>
    </row>
    <row r="901" spans="1:4" x14ac:dyDescent="0.4">
      <c r="A901" t="str">
        <f t="shared" si="28"/>
        <v/>
      </c>
      <c r="B901" t="str">
        <f t="shared" si="29"/>
        <v/>
      </c>
      <c r="C901" t="str">
        <f>IF(D901="","",IF(COUNTIF($D$2:D901,D901)&gt;1,"",SUMIFS(tbl_input[필요수량],tbl_input[집계키_청],D901)))</f>
        <v/>
      </c>
      <c r="D901" t="str">
        <f>IFERROR(INDEX(tbl_input[집계키_청],ROW()-1),"")</f>
        <v/>
      </c>
    </row>
    <row r="902" spans="1:4" x14ac:dyDescent="0.4">
      <c r="A902" t="str">
        <f t="shared" si="28"/>
        <v/>
      </c>
      <c r="B902" t="str">
        <f t="shared" si="29"/>
        <v/>
      </c>
      <c r="C902" t="str">
        <f>IF(D902="","",IF(COUNTIF($D$2:D902,D902)&gt;1,"",SUMIFS(tbl_input[필요수량],tbl_input[집계키_청],D902)))</f>
        <v/>
      </c>
      <c r="D902" t="str">
        <f>IFERROR(INDEX(tbl_input[집계키_청],ROW()-1),"")</f>
        <v/>
      </c>
    </row>
    <row r="903" spans="1:4" x14ac:dyDescent="0.4">
      <c r="A903" t="str">
        <f t="shared" si="28"/>
        <v/>
      </c>
      <c r="B903" t="str">
        <f t="shared" si="29"/>
        <v/>
      </c>
      <c r="C903" t="str">
        <f>IF(D903="","",IF(COUNTIF($D$2:D903,D903)&gt;1,"",SUMIFS(tbl_input[필요수량],tbl_input[집계키_청],D903)))</f>
        <v/>
      </c>
      <c r="D903" t="str">
        <f>IFERROR(INDEX(tbl_input[집계키_청],ROW()-1),"")</f>
        <v/>
      </c>
    </row>
    <row r="904" spans="1:4" x14ac:dyDescent="0.4">
      <c r="A904" t="str">
        <f t="shared" si="28"/>
        <v/>
      </c>
      <c r="B904" t="str">
        <f t="shared" si="29"/>
        <v/>
      </c>
      <c r="C904" t="str">
        <f>IF(D904="","",IF(COUNTIF($D$2:D904,D904)&gt;1,"",SUMIFS(tbl_input[필요수량],tbl_input[집계키_청],D904)))</f>
        <v/>
      </c>
      <c r="D904" t="str">
        <f>IFERROR(INDEX(tbl_input[집계키_청],ROW()-1),"")</f>
        <v/>
      </c>
    </row>
    <row r="905" spans="1:4" x14ac:dyDescent="0.4">
      <c r="A905" t="str">
        <f t="shared" si="28"/>
        <v/>
      </c>
      <c r="B905" t="str">
        <f t="shared" si="29"/>
        <v/>
      </c>
      <c r="C905" t="str">
        <f>IF(D905="","",IF(COUNTIF($D$2:D905,D905)&gt;1,"",SUMIFS(tbl_input[필요수량],tbl_input[집계키_청],D905)))</f>
        <v/>
      </c>
      <c r="D905" t="str">
        <f>IFERROR(INDEX(tbl_input[집계키_청],ROW()-1),"")</f>
        <v/>
      </c>
    </row>
    <row r="906" spans="1:4" x14ac:dyDescent="0.4">
      <c r="A906" t="str">
        <f t="shared" si="28"/>
        <v/>
      </c>
      <c r="B906" t="str">
        <f t="shared" si="29"/>
        <v/>
      </c>
      <c r="C906" t="str">
        <f>IF(D906="","",IF(COUNTIF($D$2:D906,D906)&gt;1,"",SUMIFS(tbl_input[필요수량],tbl_input[집계키_청],D906)))</f>
        <v/>
      </c>
      <c r="D906" t="str">
        <f>IFERROR(INDEX(tbl_input[집계키_청],ROW()-1),"")</f>
        <v/>
      </c>
    </row>
    <row r="907" spans="1:4" x14ac:dyDescent="0.4">
      <c r="A907" t="str">
        <f t="shared" si="28"/>
        <v/>
      </c>
      <c r="B907" t="str">
        <f t="shared" si="29"/>
        <v/>
      </c>
      <c r="C907" t="str">
        <f>IF(D907="","",IF(COUNTIF($D$2:D907,D907)&gt;1,"",SUMIFS(tbl_input[필요수량],tbl_input[집계키_청],D907)))</f>
        <v/>
      </c>
      <c r="D907" t="str">
        <f>IFERROR(INDEX(tbl_input[집계키_청],ROW()-1),"")</f>
        <v/>
      </c>
    </row>
    <row r="908" spans="1:4" x14ac:dyDescent="0.4">
      <c r="A908" t="str">
        <f t="shared" si="28"/>
        <v/>
      </c>
      <c r="B908" t="str">
        <f t="shared" si="29"/>
        <v/>
      </c>
      <c r="C908" t="str">
        <f>IF(D908="","",IF(COUNTIF($D$2:D908,D908)&gt;1,"",SUMIFS(tbl_input[필요수량],tbl_input[집계키_청],D908)))</f>
        <v/>
      </c>
      <c r="D908" t="str">
        <f>IFERROR(INDEX(tbl_input[집계키_청],ROW()-1),"")</f>
        <v/>
      </c>
    </row>
    <row r="909" spans="1:4" x14ac:dyDescent="0.4">
      <c r="A909" t="str">
        <f t="shared" si="28"/>
        <v/>
      </c>
      <c r="B909" t="str">
        <f t="shared" si="29"/>
        <v/>
      </c>
      <c r="C909" t="str">
        <f>IF(D909="","",IF(COUNTIF($D$2:D909,D909)&gt;1,"",SUMIFS(tbl_input[필요수량],tbl_input[집계키_청],D909)))</f>
        <v/>
      </c>
      <c r="D909" t="str">
        <f>IFERROR(INDEX(tbl_input[집계키_청],ROW()-1),"")</f>
        <v/>
      </c>
    </row>
    <row r="910" spans="1:4" x14ac:dyDescent="0.4">
      <c r="A910" t="str">
        <f t="shared" si="28"/>
        <v/>
      </c>
      <c r="B910" t="str">
        <f t="shared" si="29"/>
        <v/>
      </c>
      <c r="C910" t="str">
        <f>IF(D910="","",IF(COUNTIF($D$2:D910,D910)&gt;1,"",SUMIFS(tbl_input[필요수량],tbl_input[집계키_청],D910)))</f>
        <v/>
      </c>
      <c r="D910" t="str">
        <f>IFERROR(INDEX(tbl_input[집계키_청],ROW()-1),"")</f>
        <v/>
      </c>
    </row>
    <row r="911" spans="1:4" x14ac:dyDescent="0.4">
      <c r="A911" t="str">
        <f t="shared" si="28"/>
        <v/>
      </c>
      <c r="B911" t="str">
        <f t="shared" si="29"/>
        <v/>
      </c>
      <c r="C911" t="str">
        <f>IF(D911="","",IF(COUNTIF($D$2:D911,D911)&gt;1,"",SUMIFS(tbl_input[필요수량],tbl_input[집계키_청],D911)))</f>
        <v/>
      </c>
      <c r="D911" t="str">
        <f>IFERROR(INDEX(tbl_input[집계키_청],ROW()-1),"")</f>
        <v/>
      </c>
    </row>
    <row r="912" spans="1:4" x14ac:dyDescent="0.4">
      <c r="A912" t="str">
        <f t="shared" si="28"/>
        <v/>
      </c>
      <c r="B912" t="str">
        <f t="shared" si="29"/>
        <v/>
      </c>
      <c r="C912" t="str">
        <f>IF(D912="","",IF(COUNTIF($D$2:D912,D912)&gt;1,"",SUMIFS(tbl_input[필요수량],tbl_input[집계키_청],D912)))</f>
        <v/>
      </c>
      <c r="D912" t="str">
        <f>IFERROR(INDEX(tbl_input[집계키_청],ROW()-1),"")</f>
        <v/>
      </c>
    </row>
    <row r="913" spans="1:4" x14ac:dyDescent="0.4">
      <c r="A913" t="str">
        <f t="shared" si="28"/>
        <v/>
      </c>
      <c r="B913" t="str">
        <f t="shared" si="29"/>
        <v/>
      </c>
      <c r="C913" t="str">
        <f>IF(D913="","",IF(COUNTIF($D$2:D913,D913)&gt;1,"",SUMIFS(tbl_input[필요수량],tbl_input[집계키_청],D913)))</f>
        <v/>
      </c>
      <c r="D913" t="str">
        <f>IFERROR(INDEX(tbl_input[집계키_청],ROW()-1),"")</f>
        <v/>
      </c>
    </row>
    <row r="914" spans="1:4" x14ac:dyDescent="0.4">
      <c r="A914" t="str">
        <f t="shared" si="28"/>
        <v/>
      </c>
      <c r="B914" t="str">
        <f t="shared" si="29"/>
        <v/>
      </c>
      <c r="C914" t="str">
        <f>IF(D914="","",IF(COUNTIF($D$2:D914,D914)&gt;1,"",SUMIFS(tbl_input[필요수량],tbl_input[집계키_청],D914)))</f>
        <v/>
      </c>
      <c r="D914" t="str">
        <f>IFERROR(INDEX(tbl_input[집계키_청],ROW()-1),"")</f>
        <v/>
      </c>
    </row>
    <row r="915" spans="1:4" x14ac:dyDescent="0.4">
      <c r="A915" t="str">
        <f t="shared" si="28"/>
        <v/>
      </c>
      <c r="B915" t="str">
        <f t="shared" si="29"/>
        <v/>
      </c>
      <c r="C915" t="str">
        <f>IF(D915="","",IF(COUNTIF($D$2:D915,D915)&gt;1,"",SUMIFS(tbl_input[필요수량],tbl_input[집계키_청],D915)))</f>
        <v/>
      </c>
      <c r="D915" t="str">
        <f>IFERROR(INDEX(tbl_input[집계키_청],ROW()-1),"")</f>
        <v/>
      </c>
    </row>
    <row r="916" spans="1:4" x14ac:dyDescent="0.4">
      <c r="A916" t="str">
        <f t="shared" si="28"/>
        <v/>
      </c>
      <c r="B916" t="str">
        <f t="shared" si="29"/>
        <v/>
      </c>
      <c r="C916" t="str">
        <f>IF(D916="","",IF(COUNTIF($D$2:D916,D916)&gt;1,"",SUMIFS(tbl_input[필요수량],tbl_input[집계키_청],D916)))</f>
        <v/>
      </c>
      <c r="D916" t="str">
        <f>IFERROR(INDEX(tbl_input[집계키_청],ROW()-1),"")</f>
        <v/>
      </c>
    </row>
    <row r="917" spans="1:4" x14ac:dyDescent="0.4">
      <c r="A917" t="str">
        <f t="shared" si="28"/>
        <v/>
      </c>
      <c r="B917" t="str">
        <f t="shared" si="29"/>
        <v/>
      </c>
      <c r="C917" t="str">
        <f>IF(D917="","",IF(COUNTIF($D$2:D917,D917)&gt;1,"",SUMIFS(tbl_input[필요수량],tbl_input[집계키_청],D917)))</f>
        <v/>
      </c>
      <c r="D917" t="str">
        <f>IFERROR(INDEX(tbl_input[집계키_청],ROW()-1),"")</f>
        <v/>
      </c>
    </row>
    <row r="918" spans="1:4" x14ac:dyDescent="0.4">
      <c r="A918" t="str">
        <f t="shared" si="28"/>
        <v/>
      </c>
      <c r="B918" t="str">
        <f t="shared" si="29"/>
        <v/>
      </c>
      <c r="C918" t="str">
        <f>IF(D918="","",IF(COUNTIF($D$2:D918,D918)&gt;1,"",SUMIFS(tbl_input[필요수량],tbl_input[집계키_청],D918)))</f>
        <v/>
      </c>
      <c r="D918" t="str">
        <f>IFERROR(INDEX(tbl_input[집계키_청],ROW()-1),"")</f>
        <v/>
      </c>
    </row>
    <row r="919" spans="1:4" x14ac:dyDescent="0.4">
      <c r="A919" t="str">
        <f t="shared" si="28"/>
        <v/>
      </c>
      <c r="B919" t="str">
        <f t="shared" si="29"/>
        <v/>
      </c>
      <c r="C919" t="str">
        <f>IF(D919="","",IF(COUNTIF($D$2:D919,D919)&gt;1,"",SUMIFS(tbl_input[필요수량],tbl_input[집계키_청],D919)))</f>
        <v/>
      </c>
      <c r="D919" t="str">
        <f>IFERROR(INDEX(tbl_input[집계키_청],ROW()-1),"")</f>
        <v/>
      </c>
    </row>
    <row r="920" spans="1:4" x14ac:dyDescent="0.4">
      <c r="A920" t="str">
        <f t="shared" si="28"/>
        <v/>
      </c>
      <c r="B920" t="str">
        <f t="shared" si="29"/>
        <v/>
      </c>
      <c r="C920" t="str">
        <f>IF(D920="","",IF(COUNTIF($D$2:D920,D920)&gt;1,"",SUMIFS(tbl_input[필요수량],tbl_input[집계키_청],D920)))</f>
        <v/>
      </c>
      <c r="D920" t="str">
        <f>IFERROR(INDEX(tbl_input[집계키_청],ROW()-1),"")</f>
        <v/>
      </c>
    </row>
    <row r="921" spans="1:4" x14ac:dyDescent="0.4">
      <c r="A921" t="str">
        <f t="shared" si="28"/>
        <v/>
      </c>
      <c r="B921" t="str">
        <f t="shared" si="29"/>
        <v/>
      </c>
      <c r="C921" t="str">
        <f>IF(D921="","",IF(COUNTIF($D$2:D921,D921)&gt;1,"",SUMIFS(tbl_input[필요수량],tbl_input[집계키_청],D921)))</f>
        <v/>
      </c>
      <c r="D921" t="str">
        <f>IFERROR(INDEX(tbl_input[집계키_청],ROW()-1),"")</f>
        <v/>
      </c>
    </row>
    <row r="922" spans="1:4" x14ac:dyDescent="0.4">
      <c r="A922" t="str">
        <f t="shared" si="28"/>
        <v/>
      </c>
      <c r="B922" t="str">
        <f t="shared" si="29"/>
        <v/>
      </c>
      <c r="C922" t="str">
        <f>IF(D922="","",IF(COUNTIF($D$2:D922,D922)&gt;1,"",SUMIFS(tbl_input[필요수량],tbl_input[집계키_청],D922)))</f>
        <v/>
      </c>
      <c r="D922" t="str">
        <f>IFERROR(INDEX(tbl_input[집계키_청],ROW()-1),"")</f>
        <v/>
      </c>
    </row>
    <row r="923" spans="1:4" x14ac:dyDescent="0.4">
      <c r="A923" t="str">
        <f t="shared" si="28"/>
        <v/>
      </c>
      <c r="B923" t="str">
        <f t="shared" si="29"/>
        <v/>
      </c>
      <c r="C923" t="str">
        <f>IF(D923="","",IF(COUNTIF($D$2:D923,D923)&gt;1,"",SUMIFS(tbl_input[필요수량],tbl_input[집계키_청],D923)))</f>
        <v/>
      </c>
      <c r="D923" t="str">
        <f>IFERROR(INDEX(tbl_input[집계키_청],ROW()-1),"")</f>
        <v/>
      </c>
    </row>
    <row r="924" spans="1:4" x14ac:dyDescent="0.4">
      <c r="A924" t="str">
        <f t="shared" si="28"/>
        <v/>
      </c>
      <c r="B924" t="str">
        <f t="shared" si="29"/>
        <v/>
      </c>
      <c r="C924" t="str">
        <f>IF(D924="","",IF(COUNTIF($D$2:D924,D924)&gt;1,"",SUMIFS(tbl_input[필요수량],tbl_input[집계키_청],D924)))</f>
        <v/>
      </c>
      <c r="D924" t="str">
        <f>IFERROR(INDEX(tbl_input[집계키_청],ROW()-1),"")</f>
        <v/>
      </c>
    </row>
    <row r="925" spans="1:4" x14ac:dyDescent="0.4">
      <c r="A925" t="str">
        <f t="shared" si="28"/>
        <v/>
      </c>
      <c r="B925" t="str">
        <f t="shared" si="29"/>
        <v/>
      </c>
      <c r="C925" t="str">
        <f>IF(D925="","",IF(COUNTIF($D$2:D925,D925)&gt;1,"",SUMIFS(tbl_input[필요수량],tbl_input[집계키_청],D925)))</f>
        <v/>
      </c>
      <c r="D925" t="str">
        <f>IFERROR(INDEX(tbl_input[집계키_청],ROW()-1),"")</f>
        <v/>
      </c>
    </row>
    <row r="926" spans="1:4" x14ac:dyDescent="0.4">
      <c r="A926" t="str">
        <f t="shared" si="28"/>
        <v/>
      </c>
      <c r="B926" t="str">
        <f t="shared" si="29"/>
        <v/>
      </c>
      <c r="C926" t="str">
        <f>IF(D926="","",IF(COUNTIF($D$2:D926,D926)&gt;1,"",SUMIFS(tbl_input[필요수량],tbl_input[집계키_청],D926)))</f>
        <v/>
      </c>
      <c r="D926" t="str">
        <f>IFERROR(INDEX(tbl_input[집계키_청],ROW()-1),"")</f>
        <v/>
      </c>
    </row>
    <row r="927" spans="1:4" x14ac:dyDescent="0.4">
      <c r="A927" t="str">
        <f t="shared" si="28"/>
        <v/>
      </c>
      <c r="B927" t="str">
        <f t="shared" si="29"/>
        <v/>
      </c>
      <c r="C927" t="str">
        <f>IF(D927="","",IF(COUNTIF($D$2:D927,D927)&gt;1,"",SUMIFS(tbl_input[필요수량],tbl_input[집계키_청],D927)))</f>
        <v/>
      </c>
      <c r="D927" t="str">
        <f>IFERROR(INDEX(tbl_input[집계키_청],ROW()-1),"")</f>
        <v/>
      </c>
    </row>
    <row r="928" spans="1:4" x14ac:dyDescent="0.4">
      <c r="A928" t="str">
        <f t="shared" si="28"/>
        <v/>
      </c>
      <c r="B928" t="str">
        <f t="shared" si="29"/>
        <v/>
      </c>
      <c r="C928" t="str">
        <f>IF(D928="","",IF(COUNTIF($D$2:D928,D928)&gt;1,"",SUMIFS(tbl_input[필요수량],tbl_input[집계키_청],D928)))</f>
        <v/>
      </c>
      <c r="D928" t="str">
        <f>IFERROR(INDEX(tbl_input[집계키_청],ROW()-1),"")</f>
        <v/>
      </c>
    </row>
    <row r="929" spans="1:4" x14ac:dyDescent="0.4">
      <c r="A929" t="str">
        <f t="shared" si="28"/>
        <v/>
      </c>
      <c r="B929" t="str">
        <f t="shared" si="29"/>
        <v/>
      </c>
      <c r="C929" t="str">
        <f>IF(D929="","",IF(COUNTIF($D$2:D929,D929)&gt;1,"",SUMIFS(tbl_input[필요수량],tbl_input[집계키_청],D929)))</f>
        <v/>
      </c>
      <c r="D929" t="str">
        <f>IFERROR(INDEX(tbl_input[집계키_청],ROW()-1),"")</f>
        <v/>
      </c>
    </row>
    <row r="930" spans="1:4" x14ac:dyDescent="0.4">
      <c r="A930" t="str">
        <f t="shared" si="28"/>
        <v/>
      </c>
      <c r="B930" t="str">
        <f t="shared" si="29"/>
        <v/>
      </c>
      <c r="C930" t="str">
        <f>IF(D930="","",IF(COUNTIF($D$2:D930,D930)&gt;1,"",SUMIFS(tbl_input[필요수량],tbl_input[집계키_청],D930)))</f>
        <v/>
      </c>
      <c r="D930" t="str">
        <f>IFERROR(INDEX(tbl_input[집계키_청],ROW()-1),"")</f>
        <v/>
      </c>
    </row>
    <row r="931" spans="1:4" x14ac:dyDescent="0.4">
      <c r="A931" t="str">
        <f t="shared" si="28"/>
        <v/>
      </c>
      <c r="B931" t="str">
        <f t="shared" si="29"/>
        <v/>
      </c>
      <c r="C931" t="str">
        <f>IF(D931="","",IF(COUNTIF($D$2:D931,D931)&gt;1,"",SUMIFS(tbl_input[필요수량],tbl_input[집계키_청],D931)))</f>
        <v/>
      </c>
      <c r="D931" t="str">
        <f>IFERROR(INDEX(tbl_input[집계키_청],ROW()-1),"")</f>
        <v/>
      </c>
    </row>
    <row r="932" spans="1:4" x14ac:dyDescent="0.4">
      <c r="A932" t="str">
        <f t="shared" si="28"/>
        <v/>
      </c>
      <c r="B932" t="str">
        <f t="shared" si="29"/>
        <v/>
      </c>
      <c r="C932" t="str">
        <f>IF(D932="","",IF(COUNTIF($D$2:D932,D932)&gt;1,"",SUMIFS(tbl_input[필요수량],tbl_input[집계키_청],D932)))</f>
        <v/>
      </c>
      <c r="D932" t="str">
        <f>IFERROR(INDEX(tbl_input[집계키_청],ROW()-1),"")</f>
        <v/>
      </c>
    </row>
    <row r="933" spans="1:4" x14ac:dyDescent="0.4">
      <c r="A933" t="str">
        <f t="shared" si="28"/>
        <v/>
      </c>
      <c r="B933" t="str">
        <f t="shared" si="29"/>
        <v/>
      </c>
      <c r="C933" t="str">
        <f>IF(D933="","",IF(COUNTIF($D$2:D933,D933)&gt;1,"",SUMIFS(tbl_input[필요수량],tbl_input[집계키_청],D933)))</f>
        <v/>
      </c>
      <c r="D933" t="str">
        <f>IFERROR(INDEX(tbl_input[집계키_청],ROW()-1),"")</f>
        <v/>
      </c>
    </row>
    <row r="934" spans="1:4" x14ac:dyDescent="0.4">
      <c r="A934" t="str">
        <f t="shared" si="28"/>
        <v/>
      </c>
      <c r="B934" t="str">
        <f t="shared" si="29"/>
        <v/>
      </c>
      <c r="C934" t="str">
        <f>IF(D934="","",IF(COUNTIF($D$2:D934,D934)&gt;1,"",SUMIFS(tbl_input[필요수량],tbl_input[집계키_청],D934)))</f>
        <v/>
      </c>
      <c r="D934" t="str">
        <f>IFERROR(INDEX(tbl_input[집계키_청],ROW()-1),"")</f>
        <v/>
      </c>
    </row>
    <row r="935" spans="1:4" x14ac:dyDescent="0.4">
      <c r="A935" t="str">
        <f t="shared" si="28"/>
        <v/>
      </c>
      <c r="B935" t="str">
        <f t="shared" si="29"/>
        <v/>
      </c>
      <c r="C935" t="str">
        <f>IF(D935="","",IF(COUNTIF($D$2:D935,D935)&gt;1,"",SUMIFS(tbl_input[필요수량],tbl_input[집계키_청],D935)))</f>
        <v/>
      </c>
      <c r="D935" t="str">
        <f>IFERROR(INDEX(tbl_input[집계키_청],ROW()-1),"")</f>
        <v/>
      </c>
    </row>
    <row r="936" spans="1:4" x14ac:dyDescent="0.4">
      <c r="A936" t="str">
        <f t="shared" si="28"/>
        <v/>
      </c>
      <c r="B936" t="str">
        <f t="shared" si="29"/>
        <v/>
      </c>
      <c r="C936" t="str">
        <f>IF(D936="","",IF(COUNTIF($D$2:D936,D936)&gt;1,"",SUMIFS(tbl_input[필요수량],tbl_input[집계키_청],D936)))</f>
        <v/>
      </c>
      <c r="D936" t="str">
        <f>IFERROR(INDEX(tbl_input[집계키_청],ROW()-1),"")</f>
        <v/>
      </c>
    </row>
    <row r="937" spans="1:4" x14ac:dyDescent="0.4">
      <c r="A937" t="str">
        <f t="shared" si="28"/>
        <v/>
      </c>
      <c r="B937" t="str">
        <f t="shared" si="29"/>
        <v/>
      </c>
      <c r="C937" t="str">
        <f>IF(D937="","",IF(COUNTIF($D$2:D937,D937)&gt;1,"",SUMIFS(tbl_input[필요수량],tbl_input[집계키_청],D937)))</f>
        <v/>
      </c>
      <c r="D937" t="str">
        <f>IFERROR(INDEX(tbl_input[집계키_청],ROW()-1),"")</f>
        <v/>
      </c>
    </row>
    <row r="938" spans="1:4" x14ac:dyDescent="0.4">
      <c r="A938" t="str">
        <f t="shared" si="28"/>
        <v/>
      </c>
      <c r="B938" t="str">
        <f t="shared" si="29"/>
        <v/>
      </c>
      <c r="C938" t="str">
        <f>IF(D938="","",IF(COUNTIF($D$2:D938,D938)&gt;1,"",SUMIFS(tbl_input[필요수량],tbl_input[집계키_청],D938)))</f>
        <v/>
      </c>
      <c r="D938" t="str">
        <f>IFERROR(INDEX(tbl_input[집계키_청],ROW()-1),"")</f>
        <v/>
      </c>
    </row>
    <row r="939" spans="1:4" x14ac:dyDescent="0.4">
      <c r="A939" t="str">
        <f t="shared" si="28"/>
        <v/>
      </c>
      <c r="B939" t="str">
        <f t="shared" si="29"/>
        <v/>
      </c>
      <c r="C939" t="str">
        <f>IF(D939="","",IF(COUNTIF($D$2:D939,D939)&gt;1,"",SUMIFS(tbl_input[필요수량],tbl_input[집계키_청],D939)))</f>
        <v/>
      </c>
      <c r="D939" t="str">
        <f>IFERROR(INDEX(tbl_input[집계키_청],ROW()-1),"")</f>
        <v/>
      </c>
    </row>
    <row r="940" spans="1:4" x14ac:dyDescent="0.4">
      <c r="A940" t="str">
        <f t="shared" si="28"/>
        <v/>
      </c>
      <c r="B940" t="str">
        <f t="shared" si="29"/>
        <v/>
      </c>
      <c r="C940" t="str">
        <f>IF(D940="","",IF(COUNTIF($D$2:D940,D940)&gt;1,"",SUMIFS(tbl_input[필요수량],tbl_input[집계키_청],D940)))</f>
        <v/>
      </c>
      <c r="D940" t="str">
        <f>IFERROR(INDEX(tbl_input[집계키_청],ROW()-1),"")</f>
        <v/>
      </c>
    </row>
    <row r="941" spans="1:4" x14ac:dyDescent="0.4">
      <c r="A941" t="str">
        <f t="shared" si="28"/>
        <v/>
      </c>
      <c r="B941" t="str">
        <f t="shared" si="29"/>
        <v/>
      </c>
      <c r="C941" t="str">
        <f>IF(D941="","",IF(COUNTIF($D$2:D941,D941)&gt;1,"",SUMIFS(tbl_input[필요수량],tbl_input[집계키_청],D941)))</f>
        <v/>
      </c>
      <c r="D941" t="str">
        <f>IFERROR(INDEX(tbl_input[집계키_청],ROW()-1),"")</f>
        <v/>
      </c>
    </row>
    <row r="942" spans="1:4" x14ac:dyDescent="0.4">
      <c r="A942" t="str">
        <f t="shared" si="28"/>
        <v/>
      </c>
      <c r="B942" t="str">
        <f t="shared" si="29"/>
        <v/>
      </c>
      <c r="C942" t="str">
        <f>IF(D942="","",IF(COUNTIF($D$2:D942,D942)&gt;1,"",SUMIFS(tbl_input[필요수량],tbl_input[집계키_청],D942)))</f>
        <v/>
      </c>
      <c r="D942" t="str">
        <f>IFERROR(INDEX(tbl_input[집계키_청],ROW()-1),"")</f>
        <v/>
      </c>
    </row>
    <row r="943" spans="1:4" x14ac:dyDescent="0.4">
      <c r="A943" t="str">
        <f t="shared" si="28"/>
        <v/>
      </c>
      <c r="B943" t="str">
        <f t="shared" si="29"/>
        <v/>
      </c>
      <c r="C943" t="str">
        <f>IF(D943="","",IF(COUNTIF($D$2:D943,D943)&gt;1,"",SUMIFS(tbl_input[필요수량],tbl_input[집계키_청],D943)))</f>
        <v/>
      </c>
      <c r="D943" t="str">
        <f>IFERROR(INDEX(tbl_input[집계키_청],ROW()-1),"")</f>
        <v/>
      </c>
    </row>
    <row r="944" spans="1:4" x14ac:dyDescent="0.4">
      <c r="A944" t="str">
        <f t="shared" si="28"/>
        <v/>
      </c>
      <c r="B944" t="str">
        <f t="shared" si="29"/>
        <v/>
      </c>
      <c r="C944" t="str">
        <f>IF(D944="","",IF(COUNTIF($D$2:D944,D944)&gt;1,"",SUMIFS(tbl_input[필요수량],tbl_input[집계키_청],D944)))</f>
        <v/>
      </c>
      <c r="D944" t="str">
        <f>IFERROR(INDEX(tbl_input[집계키_청],ROW()-1),"")</f>
        <v/>
      </c>
    </row>
    <row r="945" spans="1:4" x14ac:dyDescent="0.4">
      <c r="A945" t="str">
        <f t="shared" si="28"/>
        <v/>
      </c>
      <c r="B945" t="str">
        <f t="shared" si="29"/>
        <v/>
      </c>
      <c r="C945" t="str">
        <f>IF(D945="","",IF(COUNTIF($D$2:D945,D945)&gt;1,"",SUMIFS(tbl_input[필요수량],tbl_input[집계키_청],D945)))</f>
        <v/>
      </c>
      <c r="D945" t="str">
        <f>IFERROR(INDEX(tbl_input[집계키_청],ROW()-1),"")</f>
        <v/>
      </c>
    </row>
    <row r="946" spans="1:4" x14ac:dyDescent="0.4">
      <c r="A946" t="str">
        <f t="shared" si="28"/>
        <v/>
      </c>
      <c r="B946" t="str">
        <f t="shared" si="29"/>
        <v/>
      </c>
      <c r="C946" t="str">
        <f>IF(D946="","",IF(COUNTIF($D$2:D946,D946)&gt;1,"",SUMIFS(tbl_input[필요수량],tbl_input[집계키_청],D946)))</f>
        <v/>
      </c>
      <c r="D946" t="str">
        <f>IFERROR(INDEX(tbl_input[집계키_청],ROW()-1),"")</f>
        <v/>
      </c>
    </row>
    <row r="947" spans="1:4" x14ac:dyDescent="0.4">
      <c r="A947" t="str">
        <f t="shared" si="28"/>
        <v/>
      </c>
      <c r="B947" t="str">
        <f t="shared" si="29"/>
        <v/>
      </c>
      <c r="C947" t="str">
        <f>IF(D947="","",IF(COUNTIF($D$2:D947,D947)&gt;1,"",SUMIFS(tbl_input[필요수량],tbl_input[집계키_청],D947)))</f>
        <v/>
      </c>
      <c r="D947" t="str">
        <f>IFERROR(INDEX(tbl_input[집계키_청],ROW()-1),"")</f>
        <v/>
      </c>
    </row>
    <row r="948" spans="1:4" x14ac:dyDescent="0.4">
      <c r="A948" t="str">
        <f t="shared" si="28"/>
        <v/>
      </c>
      <c r="B948" t="str">
        <f t="shared" si="29"/>
        <v/>
      </c>
      <c r="C948" t="str">
        <f>IF(D948="","",IF(COUNTIF($D$2:D948,D948)&gt;1,"",SUMIFS(tbl_input[필요수량],tbl_input[집계키_청],D948)))</f>
        <v/>
      </c>
      <c r="D948" t="str">
        <f>IFERROR(INDEX(tbl_input[집계키_청],ROW()-1),"")</f>
        <v/>
      </c>
    </row>
    <row r="949" spans="1:4" x14ac:dyDescent="0.4">
      <c r="A949" t="str">
        <f t="shared" si="28"/>
        <v/>
      </c>
      <c r="B949" t="str">
        <f t="shared" si="29"/>
        <v/>
      </c>
      <c r="C949" t="str">
        <f>IF(D949="","",IF(COUNTIF($D$2:D949,D949)&gt;1,"",SUMIFS(tbl_input[필요수량],tbl_input[집계키_청],D949)))</f>
        <v/>
      </c>
      <c r="D949" t="str">
        <f>IFERROR(INDEX(tbl_input[집계키_청],ROW()-1),"")</f>
        <v/>
      </c>
    </row>
    <row r="950" spans="1:4" x14ac:dyDescent="0.4">
      <c r="A950" t="str">
        <f t="shared" si="28"/>
        <v/>
      </c>
      <c r="B950" t="str">
        <f t="shared" si="29"/>
        <v/>
      </c>
      <c r="C950" t="str">
        <f>IF(D950="","",IF(COUNTIF($D$2:D950,D950)&gt;1,"",SUMIFS(tbl_input[필요수량],tbl_input[집계키_청],D950)))</f>
        <v/>
      </c>
      <c r="D950" t="str">
        <f>IFERROR(INDEX(tbl_input[집계키_청],ROW()-1),"")</f>
        <v/>
      </c>
    </row>
    <row r="951" spans="1:4" x14ac:dyDescent="0.4">
      <c r="A951" t="str">
        <f t="shared" si="28"/>
        <v/>
      </c>
      <c r="B951" t="str">
        <f t="shared" si="29"/>
        <v/>
      </c>
      <c r="C951" t="str">
        <f>IF(D951="","",IF(COUNTIF($D$2:D951,D951)&gt;1,"",SUMIFS(tbl_input[필요수량],tbl_input[집계키_청],D951)))</f>
        <v/>
      </c>
      <c r="D951" t="str">
        <f>IFERROR(INDEX(tbl_input[집계키_청],ROW()-1),"")</f>
        <v/>
      </c>
    </row>
    <row r="952" spans="1:4" x14ac:dyDescent="0.4">
      <c r="A952" t="str">
        <f t="shared" si="28"/>
        <v/>
      </c>
      <c r="B952" t="str">
        <f t="shared" si="29"/>
        <v/>
      </c>
      <c r="C952" t="str">
        <f>IF(D952="","",IF(COUNTIF($D$2:D952,D952)&gt;1,"",SUMIFS(tbl_input[필요수량],tbl_input[집계키_청],D952)))</f>
        <v/>
      </c>
      <c r="D952" t="str">
        <f>IFERROR(INDEX(tbl_input[집계키_청],ROW()-1),"")</f>
        <v/>
      </c>
    </row>
    <row r="953" spans="1:4" x14ac:dyDescent="0.4">
      <c r="A953" t="str">
        <f t="shared" si="28"/>
        <v/>
      </c>
      <c r="B953" t="str">
        <f t="shared" si="29"/>
        <v/>
      </c>
      <c r="C953" t="str">
        <f>IF(D953="","",IF(COUNTIF($D$2:D953,D953)&gt;1,"",SUMIFS(tbl_input[필요수량],tbl_input[집계키_청],D953)))</f>
        <v/>
      </c>
      <c r="D953" t="str">
        <f>IFERROR(INDEX(tbl_input[집계키_청],ROW()-1),"")</f>
        <v/>
      </c>
    </row>
    <row r="954" spans="1:4" x14ac:dyDescent="0.4">
      <c r="A954" t="str">
        <f t="shared" si="28"/>
        <v/>
      </c>
      <c r="B954" t="str">
        <f t="shared" si="29"/>
        <v/>
      </c>
      <c r="C954" t="str">
        <f>IF(D954="","",IF(COUNTIF($D$2:D954,D954)&gt;1,"",SUMIFS(tbl_input[필요수량],tbl_input[집계키_청],D954)))</f>
        <v/>
      </c>
      <c r="D954" t="str">
        <f>IFERROR(INDEX(tbl_input[집계키_청],ROW()-1),"")</f>
        <v/>
      </c>
    </row>
    <row r="955" spans="1:4" x14ac:dyDescent="0.4">
      <c r="A955" t="str">
        <f t="shared" si="28"/>
        <v/>
      </c>
      <c r="B955" t="str">
        <f t="shared" si="29"/>
        <v/>
      </c>
      <c r="C955" t="str">
        <f>IF(D955="","",IF(COUNTIF($D$2:D955,D955)&gt;1,"",SUMIFS(tbl_input[필요수량],tbl_input[집계키_청],D955)))</f>
        <v/>
      </c>
      <c r="D955" t="str">
        <f>IFERROR(INDEX(tbl_input[집계키_청],ROW()-1),"")</f>
        <v/>
      </c>
    </row>
    <row r="956" spans="1:4" x14ac:dyDescent="0.4">
      <c r="A956" t="str">
        <f t="shared" si="28"/>
        <v/>
      </c>
      <c r="B956" t="str">
        <f t="shared" si="29"/>
        <v/>
      </c>
      <c r="C956" t="str">
        <f>IF(D956="","",IF(COUNTIF($D$2:D956,D956)&gt;1,"",SUMIFS(tbl_input[필요수량],tbl_input[집계키_청],D956)))</f>
        <v/>
      </c>
      <c r="D956" t="str">
        <f>IFERROR(INDEX(tbl_input[집계키_청],ROW()-1),"")</f>
        <v/>
      </c>
    </row>
    <row r="957" spans="1:4" x14ac:dyDescent="0.4">
      <c r="A957" t="str">
        <f t="shared" si="28"/>
        <v/>
      </c>
      <c r="B957" t="str">
        <f t="shared" si="29"/>
        <v/>
      </c>
      <c r="C957" t="str">
        <f>IF(D957="","",IF(COUNTIF($D$2:D957,D957)&gt;1,"",SUMIFS(tbl_input[필요수량],tbl_input[집계키_청],D957)))</f>
        <v/>
      </c>
      <c r="D957" t="str">
        <f>IFERROR(INDEX(tbl_input[집계키_청],ROW()-1),"")</f>
        <v/>
      </c>
    </row>
    <row r="958" spans="1:4" x14ac:dyDescent="0.4">
      <c r="A958" t="str">
        <f t="shared" si="28"/>
        <v/>
      </c>
      <c r="B958" t="str">
        <f t="shared" si="29"/>
        <v/>
      </c>
      <c r="C958" t="str">
        <f>IF(D958="","",IF(COUNTIF($D$2:D958,D958)&gt;1,"",SUMIFS(tbl_input[필요수량],tbl_input[집계키_청],D958)))</f>
        <v/>
      </c>
      <c r="D958" t="str">
        <f>IFERROR(INDEX(tbl_input[집계키_청],ROW()-1),"")</f>
        <v/>
      </c>
    </row>
    <row r="959" spans="1:4" x14ac:dyDescent="0.4">
      <c r="A959" t="str">
        <f t="shared" si="28"/>
        <v/>
      </c>
      <c r="B959" t="str">
        <f t="shared" si="29"/>
        <v/>
      </c>
      <c r="C959" t="str">
        <f>IF(D959="","",IF(COUNTIF($D$2:D959,D959)&gt;1,"",SUMIFS(tbl_input[필요수량],tbl_input[집계키_청],D959)))</f>
        <v/>
      </c>
      <c r="D959" t="str">
        <f>IFERROR(INDEX(tbl_input[집계키_청],ROW()-1),"")</f>
        <v/>
      </c>
    </row>
    <row r="960" spans="1:4" x14ac:dyDescent="0.4">
      <c r="A960" t="str">
        <f t="shared" si="28"/>
        <v/>
      </c>
      <c r="B960" t="str">
        <f t="shared" si="29"/>
        <v/>
      </c>
      <c r="C960" t="str">
        <f>IF(D960="","",IF(COUNTIF($D$2:D960,D960)&gt;1,"",SUMIFS(tbl_input[필요수량],tbl_input[집계키_청],D960)))</f>
        <v/>
      </c>
      <c r="D960" t="str">
        <f>IFERROR(INDEX(tbl_input[집계키_청],ROW()-1),"")</f>
        <v/>
      </c>
    </row>
    <row r="961" spans="1:4" x14ac:dyDescent="0.4">
      <c r="A961" t="str">
        <f t="shared" si="28"/>
        <v/>
      </c>
      <c r="B961" t="str">
        <f t="shared" si="29"/>
        <v/>
      </c>
      <c r="C961" t="str">
        <f>IF(D961="","",IF(COUNTIF($D$2:D961,D961)&gt;1,"",SUMIFS(tbl_input[필요수량],tbl_input[집계키_청],D961)))</f>
        <v/>
      </c>
      <c r="D961" t="str">
        <f>IFERROR(INDEX(tbl_input[집계키_청],ROW()-1),"")</f>
        <v/>
      </c>
    </row>
    <row r="962" spans="1:4" x14ac:dyDescent="0.4">
      <c r="A962" t="str">
        <f t="shared" ref="A962:A1025" si="30">IF(D962="","",LEFT(D962,FIND("♦",D962)-1))</f>
        <v/>
      </c>
      <c r="B962" t="str">
        <f t="shared" ref="B962:B1025" si="31">IF(D962="","",MID(D962,FIND("♦",D962)+1,999))</f>
        <v/>
      </c>
      <c r="C962" t="str">
        <f>IF(D962="","",IF(COUNTIF($D$2:D962,D962)&gt;1,"",SUMIFS(tbl_input[필요수량],tbl_input[집계키_청],D962)))</f>
        <v/>
      </c>
      <c r="D962" t="str">
        <f>IFERROR(INDEX(tbl_input[집계키_청],ROW()-1),"")</f>
        <v/>
      </c>
    </row>
    <row r="963" spans="1:4" x14ac:dyDescent="0.4">
      <c r="A963" t="str">
        <f t="shared" si="30"/>
        <v/>
      </c>
      <c r="B963" t="str">
        <f t="shared" si="31"/>
        <v/>
      </c>
      <c r="C963" t="str">
        <f>IF(D963="","",IF(COUNTIF($D$2:D963,D963)&gt;1,"",SUMIFS(tbl_input[필요수량],tbl_input[집계키_청],D963)))</f>
        <v/>
      </c>
      <c r="D963" t="str">
        <f>IFERROR(INDEX(tbl_input[집계키_청],ROW()-1),"")</f>
        <v/>
      </c>
    </row>
    <row r="964" spans="1:4" x14ac:dyDescent="0.4">
      <c r="A964" t="str">
        <f t="shared" si="30"/>
        <v/>
      </c>
      <c r="B964" t="str">
        <f t="shared" si="31"/>
        <v/>
      </c>
      <c r="C964" t="str">
        <f>IF(D964="","",IF(COUNTIF($D$2:D964,D964)&gt;1,"",SUMIFS(tbl_input[필요수량],tbl_input[집계키_청],D964)))</f>
        <v/>
      </c>
      <c r="D964" t="str">
        <f>IFERROR(INDEX(tbl_input[집계키_청],ROW()-1),"")</f>
        <v/>
      </c>
    </row>
    <row r="965" spans="1:4" x14ac:dyDescent="0.4">
      <c r="A965" t="str">
        <f t="shared" si="30"/>
        <v/>
      </c>
      <c r="B965" t="str">
        <f t="shared" si="31"/>
        <v/>
      </c>
      <c r="C965" t="str">
        <f>IF(D965="","",IF(COUNTIF($D$2:D965,D965)&gt;1,"",SUMIFS(tbl_input[필요수량],tbl_input[집계키_청],D965)))</f>
        <v/>
      </c>
      <c r="D965" t="str">
        <f>IFERROR(INDEX(tbl_input[집계키_청],ROW()-1),"")</f>
        <v/>
      </c>
    </row>
    <row r="966" spans="1:4" x14ac:dyDescent="0.4">
      <c r="A966" t="str">
        <f t="shared" si="30"/>
        <v/>
      </c>
      <c r="B966" t="str">
        <f t="shared" si="31"/>
        <v/>
      </c>
      <c r="C966" t="str">
        <f>IF(D966="","",IF(COUNTIF($D$2:D966,D966)&gt;1,"",SUMIFS(tbl_input[필요수량],tbl_input[집계키_청],D966)))</f>
        <v/>
      </c>
      <c r="D966" t="str">
        <f>IFERROR(INDEX(tbl_input[집계키_청],ROW()-1),"")</f>
        <v/>
      </c>
    </row>
    <row r="967" spans="1:4" x14ac:dyDescent="0.4">
      <c r="A967" t="str">
        <f t="shared" si="30"/>
        <v/>
      </c>
      <c r="B967" t="str">
        <f t="shared" si="31"/>
        <v/>
      </c>
      <c r="C967" t="str">
        <f>IF(D967="","",IF(COUNTIF($D$2:D967,D967)&gt;1,"",SUMIFS(tbl_input[필요수량],tbl_input[집계키_청],D967)))</f>
        <v/>
      </c>
      <c r="D967" t="str">
        <f>IFERROR(INDEX(tbl_input[집계키_청],ROW()-1),"")</f>
        <v/>
      </c>
    </row>
    <row r="968" spans="1:4" x14ac:dyDescent="0.4">
      <c r="A968" t="str">
        <f t="shared" si="30"/>
        <v/>
      </c>
      <c r="B968" t="str">
        <f t="shared" si="31"/>
        <v/>
      </c>
      <c r="C968" t="str">
        <f>IF(D968="","",IF(COUNTIF($D$2:D968,D968)&gt;1,"",SUMIFS(tbl_input[필요수량],tbl_input[집계키_청],D968)))</f>
        <v/>
      </c>
      <c r="D968" t="str">
        <f>IFERROR(INDEX(tbl_input[집계키_청],ROW()-1),"")</f>
        <v/>
      </c>
    </row>
    <row r="969" spans="1:4" x14ac:dyDescent="0.4">
      <c r="A969" t="str">
        <f t="shared" si="30"/>
        <v/>
      </c>
      <c r="B969" t="str">
        <f t="shared" si="31"/>
        <v/>
      </c>
      <c r="C969" t="str">
        <f>IF(D969="","",IF(COUNTIF($D$2:D969,D969)&gt;1,"",SUMIFS(tbl_input[필요수량],tbl_input[집계키_청],D969)))</f>
        <v/>
      </c>
      <c r="D969" t="str">
        <f>IFERROR(INDEX(tbl_input[집계키_청],ROW()-1),"")</f>
        <v/>
      </c>
    </row>
    <row r="970" spans="1:4" x14ac:dyDescent="0.4">
      <c r="A970" t="str">
        <f t="shared" si="30"/>
        <v/>
      </c>
      <c r="B970" t="str">
        <f t="shared" si="31"/>
        <v/>
      </c>
      <c r="C970" t="str">
        <f>IF(D970="","",IF(COUNTIF($D$2:D970,D970)&gt;1,"",SUMIFS(tbl_input[필요수량],tbl_input[집계키_청],D970)))</f>
        <v/>
      </c>
      <c r="D970" t="str">
        <f>IFERROR(INDEX(tbl_input[집계키_청],ROW()-1),"")</f>
        <v/>
      </c>
    </row>
    <row r="971" spans="1:4" x14ac:dyDescent="0.4">
      <c r="A971" t="str">
        <f t="shared" si="30"/>
        <v/>
      </c>
      <c r="B971" t="str">
        <f t="shared" si="31"/>
        <v/>
      </c>
      <c r="C971" t="str">
        <f>IF(D971="","",IF(COUNTIF($D$2:D971,D971)&gt;1,"",SUMIFS(tbl_input[필요수량],tbl_input[집계키_청],D971)))</f>
        <v/>
      </c>
      <c r="D971" t="str">
        <f>IFERROR(INDEX(tbl_input[집계키_청],ROW()-1),"")</f>
        <v/>
      </c>
    </row>
    <row r="972" spans="1:4" x14ac:dyDescent="0.4">
      <c r="A972" t="str">
        <f t="shared" si="30"/>
        <v/>
      </c>
      <c r="B972" t="str">
        <f t="shared" si="31"/>
        <v/>
      </c>
      <c r="C972" t="str">
        <f>IF(D972="","",IF(COUNTIF($D$2:D972,D972)&gt;1,"",SUMIFS(tbl_input[필요수량],tbl_input[집계키_청],D972)))</f>
        <v/>
      </c>
      <c r="D972" t="str">
        <f>IFERROR(INDEX(tbl_input[집계키_청],ROW()-1),"")</f>
        <v/>
      </c>
    </row>
    <row r="973" spans="1:4" x14ac:dyDescent="0.4">
      <c r="A973" t="str">
        <f t="shared" si="30"/>
        <v/>
      </c>
      <c r="B973" t="str">
        <f t="shared" si="31"/>
        <v/>
      </c>
      <c r="C973" t="str">
        <f>IF(D973="","",IF(COUNTIF($D$2:D973,D973)&gt;1,"",SUMIFS(tbl_input[필요수량],tbl_input[집계키_청],D973)))</f>
        <v/>
      </c>
      <c r="D973" t="str">
        <f>IFERROR(INDEX(tbl_input[집계키_청],ROW()-1),"")</f>
        <v/>
      </c>
    </row>
    <row r="974" spans="1:4" x14ac:dyDescent="0.4">
      <c r="A974" t="str">
        <f t="shared" si="30"/>
        <v/>
      </c>
      <c r="B974" t="str">
        <f t="shared" si="31"/>
        <v/>
      </c>
      <c r="C974" t="str">
        <f>IF(D974="","",IF(COUNTIF($D$2:D974,D974)&gt;1,"",SUMIFS(tbl_input[필요수량],tbl_input[집계키_청],D974)))</f>
        <v/>
      </c>
      <c r="D974" t="str">
        <f>IFERROR(INDEX(tbl_input[집계키_청],ROW()-1),"")</f>
        <v/>
      </c>
    </row>
    <row r="975" spans="1:4" x14ac:dyDescent="0.4">
      <c r="A975" t="str">
        <f t="shared" si="30"/>
        <v/>
      </c>
      <c r="B975" t="str">
        <f t="shared" si="31"/>
        <v/>
      </c>
      <c r="C975" t="str">
        <f>IF(D975="","",IF(COUNTIF($D$2:D975,D975)&gt;1,"",SUMIFS(tbl_input[필요수량],tbl_input[집계키_청],D975)))</f>
        <v/>
      </c>
      <c r="D975" t="str">
        <f>IFERROR(INDEX(tbl_input[집계키_청],ROW()-1),"")</f>
        <v/>
      </c>
    </row>
    <row r="976" spans="1:4" x14ac:dyDescent="0.4">
      <c r="A976" t="str">
        <f t="shared" si="30"/>
        <v/>
      </c>
      <c r="B976" t="str">
        <f t="shared" si="31"/>
        <v/>
      </c>
      <c r="C976" t="str">
        <f>IF(D976="","",IF(COUNTIF($D$2:D976,D976)&gt;1,"",SUMIFS(tbl_input[필요수량],tbl_input[집계키_청],D976)))</f>
        <v/>
      </c>
      <c r="D976" t="str">
        <f>IFERROR(INDEX(tbl_input[집계키_청],ROW()-1),"")</f>
        <v/>
      </c>
    </row>
    <row r="977" spans="1:4" x14ac:dyDescent="0.4">
      <c r="A977" t="str">
        <f t="shared" si="30"/>
        <v/>
      </c>
      <c r="B977" t="str">
        <f t="shared" si="31"/>
        <v/>
      </c>
      <c r="C977" t="str">
        <f>IF(D977="","",IF(COUNTIF($D$2:D977,D977)&gt;1,"",SUMIFS(tbl_input[필요수량],tbl_input[집계키_청],D977)))</f>
        <v/>
      </c>
      <c r="D977" t="str">
        <f>IFERROR(INDEX(tbl_input[집계키_청],ROW()-1),"")</f>
        <v/>
      </c>
    </row>
    <row r="978" spans="1:4" x14ac:dyDescent="0.4">
      <c r="A978" t="str">
        <f t="shared" si="30"/>
        <v/>
      </c>
      <c r="B978" t="str">
        <f t="shared" si="31"/>
        <v/>
      </c>
      <c r="C978" t="str">
        <f>IF(D978="","",IF(COUNTIF($D$2:D978,D978)&gt;1,"",SUMIFS(tbl_input[필요수량],tbl_input[집계키_청],D978)))</f>
        <v/>
      </c>
      <c r="D978" t="str">
        <f>IFERROR(INDEX(tbl_input[집계키_청],ROW()-1),"")</f>
        <v/>
      </c>
    </row>
    <row r="979" spans="1:4" x14ac:dyDescent="0.4">
      <c r="A979" t="str">
        <f t="shared" si="30"/>
        <v/>
      </c>
      <c r="B979" t="str">
        <f t="shared" si="31"/>
        <v/>
      </c>
      <c r="C979" t="str">
        <f>IF(D979="","",IF(COUNTIF($D$2:D979,D979)&gt;1,"",SUMIFS(tbl_input[필요수량],tbl_input[집계키_청],D979)))</f>
        <v/>
      </c>
      <c r="D979" t="str">
        <f>IFERROR(INDEX(tbl_input[집계키_청],ROW()-1),"")</f>
        <v/>
      </c>
    </row>
    <row r="980" spans="1:4" x14ac:dyDescent="0.4">
      <c r="A980" t="str">
        <f t="shared" si="30"/>
        <v/>
      </c>
      <c r="B980" t="str">
        <f t="shared" si="31"/>
        <v/>
      </c>
      <c r="C980" t="str">
        <f>IF(D980="","",IF(COUNTIF($D$2:D980,D980)&gt;1,"",SUMIFS(tbl_input[필요수량],tbl_input[집계키_청],D980)))</f>
        <v/>
      </c>
      <c r="D980" t="str">
        <f>IFERROR(INDEX(tbl_input[집계키_청],ROW()-1),"")</f>
        <v/>
      </c>
    </row>
    <row r="981" spans="1:4" x14ac:dyDescent="0.4">
      <c r="A981" t="str">
        <f t="shared" si="30"/>
        <v/>
      </c>
      <c r="B981" t="str">
        <f t="shared" si="31"/>
        <v/>
      </c>
      <c r="C981" t="str">
        <f>IF(D981="","",IF(COUNTIF($D$2:D981,D981)&gt;1,"",SUMIFS(tbl_input[필요수량],tbl_input[집계키_청],D981)))</f>
        <v/>
      </c>
      <c r="D981" t="str">
        <f>IFERROR(INDEX(tbl_input[집계키_청],ROW()-1),"")</f>
        <v/>
      </c>
    </row>
    <row r="982" spans="1:4" x14ac:dyDescent="0.4">
      <c r="A982" t="str">
        <f t="shared" si="30"/>
        <v/>
      </c>
      <c r="B982" t="str">
        <f t="shared" si="31"/>
        <v/>
      </c>
      <c r="C982" t="str">
        <f>IF(D982="","",IF(COUNTIF($D$2:D982,D982)&gt;1,"",SUMIFS(tbl_input[필요수량],tbl_input[집계키_청],D982)))</f>
        <v/>
      </c>
      <c r="D982" t="str">
        <f>IFERROR(INDEX(tbl_input[집계키_청],ROW()-1),"")</f>
        <v/>
      </c>
    </row>
    <row r="983" spans="1:4" x14ac:dyDescent="0.4">
      <c r="A983" t="str">
        <f t="shared" si="30"/>
        <v/>
      </c>
      <c r="B983" t="str">
        <f t="shared" si="31"/>
        <v/>
      </c>
      <c r="C983" t="str">
        <f>IF(D983="","",IF(COUNTIF($D$2:D983,D983)&gt;1,"",SUMIFS(tbl_input[필요수량],tbl_input[집계키_청],D983)))</f>
        <v/>
      </c>
      <c r="D983" t="str">
        <f>IFERROR(INDEX(tbl_input[집계키_청],ROW()-1),"")</f>
        <v/>
      </c>
    </row>
    <row r="984" spans="1:4" x14ac:dyDescent="0.4">
      <c r="A984" t="str">
        <f t="shared" si="30"/>
        <v/>
      </c>
      <c r="B984" t="str">
        <f t="shared" si="31"/>
        <v/>
      </c>
      <c r="C984" t="str">
        <f>IF(D984="","",IF(COUNTIF($D$2:D984,D984)&gt;1,"",SUMIFS(tbl_input[필요수량],tbl_input[집계키_청],D984)))</f>
        <v/>
      </c>
      <c r="D984" t="str">
        <f>IFERROR(INDEX(tbl_input[집계키_청],ROW()-1),"")</f>
        <v/>
      </c>
    </row>
    <row r="985" spans="1:4" x14ac:dyDescent="0.4">
      <c r="A985" t="str">
        <f t="shared" si="30"/>
        <v/>
      </c>
      <c r="B985" t="str">
        <f t="shared" si="31"/>
        <v/>
      </c>
      <c r="C985" t="str">
        <f>IF(D985="","",IF(COUNTIF($D$2:D985,D985)&gt;1,"",SUMIFS(tbl_input[필요수량],tbl_input[집계키_청],D985)))</f>
        <v/>
      </c>
      <c r="D985" t="str">
        <f>IFERROR(INDEX(tbl_input[집계키_청],ROW()-1),"")</f>
        <v/>
      </c>
    </row>
    <row r="986" spans="1:4" x14ac:dyDescent="0.4">
      <c r="A986" t="str">
        <f t="shared" si="30"/>
        <v/>
      </c>
      <c r="B986" t="str">
        <f t="shared" si="31"/>
        <v/>
      </c>
      <c r="C986" t="str">
        <f>IF(D986="","",IF(COUNTIF($D$2:D986,D986)&gt;1,"",SUMIFS(tbl_input[필요수량],tbl_input[집계키_청],D986)))</f>
        <v/>
      </c>
      <c r="D986" t="str">
        <f>IFERROR(INDEX(tbl_input[집계키_청],ROW()-1),"")</f>
        <v/>
      </c>
    </row>
    <row r="987" spans="1:4" x14ac:dyDescent="0.4">
      <c r="A987" t="str">
        <f t="shared" si="30"/>
        <v/>
      </c>
      <c r="B987" t="str">
        <f t="shared" si="31"/>
        <v/>
      </c>
      <c r="C987" t="str">
        <f>IF(D987="","",IF(COUNTIF($D$2:D987,D987)&gt;1,"",SUMIFS(tbl_input[필요수량],tbl_input[집계키_청],D987)))</f>
        <v/>
      </c>
      <c r="D987" t="str">
        <f>IFERROR(INDEX(tbl_input[집계키_청],ROW()-1),"")</f>
        <v/>
      </c>
    </row>
    <row r="988" spans="1:4" x14ac:dyDescent="0.4">
      <c r="A988" t="str">
        <f t="shared" si="30"/>
        <v/>
      </c>
      <c r="B988" t="str">
        <f t="shared" si="31"/>
        <v/>
      </c>
      <c r="C988" t="str">
        <f>IF(D988="","",IF(COUNTIF($D$2:D988,D988)&gt;1,"",SUMIFS(tbl_input[필요수량],tbl_input[집계키_청],D988)))</f>
        <v/>
      </c>
      <c r="D988" t="str">
        <f>IFERROR(INDEX(tbl_input[집계키_청],ROW()-1),"")</f>
        <v/>
      </c>
    </row>
    <row r="989" spans="1:4" x14ac:dyDescent="0.4">
      <c r="A989" t="str">
        <f t="shared" si="30"/>
        <v/>
      </c>
      <c r="B989" t="str">
        <f t="shared" si="31"/>
        <v/>
      </c>
      <c r="C989" t="str">
        <f>IF(D989="","",IF(COUNTIF($D$2:D989,D989)&gt;1,"",SUMIFS(tbl_input[필요수량],tbl_input[집계키_청],D989)))</f>
        <v/>
      </c>
      <c r="D989" t="str">
        <f>IFERROR(INDEX(tbl_input[집계키_청],ROW()-1),"")</f>
        <v/>
      </c>
    </row>
    <row r="990" spans="1:4" x14ac:dyDescent="0.4">
      <c r="A990" t="str">
        <f t="shared" si="30"/>
        <v/>
      </c>
      <c r="B990" t="str">
        <f t="shared" si="31"/>
        <v/>
      </c>
      <c r="C990" t="str">
        <f>IF(D990="","",IF(COUNTIF($D$2:D990,D990)&gt;1,"",SUMIFS(tbl_input[필요수량],tbl_input[집계키_청],D990)))</f>
        <v/>
      </c>
      <c r="D990" t="str">
        <f>IFERROR(INDEX(tbl_input[집계키_청],ROW()-1),"")</f>
        <v/>
      </c>
    </row>
    <row r="991" spans="1:4" x14ac:dyDescent="0.4">
      <c r="A991" t="str">
        <f t="shared" si="30"/>
        <v/>
      </c>
      <c r="B991" t="str">
        <f t="shared" si="31"/>
        <v/>
      </c>
      <c r="C991" t="str">
        <f>IF(D991="","",IF(COUNTIF($D$2:D991,D991)&gt;1,"",SUMIFS(tbl_input[필요수량],tbl_input[집계키_청],D991)))</f>
        <v/>
      </c>
      <c r="D991" t="str">
        <f>IFERROR(INDEX(tbl_input[집계키_청],ROW()-1),"")</f>
        <v/>
      </c>
    </row>
    <row r="992" spans="1:4" x14ac:dyDescent="0.4">
      <c r="A992" t="str">
        <f t="shared" si="30"/>
        <v/>
      </c>
      <c r="B992" t="str">
        <f t="shared" si="31"/>
        <v/>
      </c>
      <c r="C992" t="str">
        <f>IF(D992="","",IF(COUNTIF($D$2:D992,D992)&gt;1,"",SUMIFS(tbl_input[필요수량],tbl_input[집계키_청],D992)))</f>
        <v/>
      </c>
      <c r="D992" t="str">
        <f>IFERROR(INDEX(tbl_input[집계키_청],ROW()-1),"")</f>
        <v/>
      </c>
    </row>
    <row r="993" spans="1:4" x14ac:dyDescent="0.4">
      <c r="A993" t="str">
        <f t="shared" si="30"/>
        <v/>
      </c>
      <c r="B993" t="str">
        <f t="shared" si="31"/>
        <v/>
      </c>
      <c r="C993" t="str">
        <f>IF(D993="","",IF(COUNTIF($D$2:D993,D993)&gt;1,"",SUMIFS(tbl_input[필요수량],tbl_input[집계키_청],D993)))</f>
        <v/>
      </c>
      <c r="D993" t="str">
        <f>IFERROR(INDEX(tbl_input[집계키_청],ROW()-1),"")</f>
        <v/>
      </c>
    </row>
    <row r="994" spans="1:4" x14ac:dyDescent="0.4">
      <c r="A994" t="str">
        <f t="shared" si="30"/>
        <v/>
      </c>
      <c r="B994" t="str">
        <f t="shared" si="31"/>
        <v/>
      </c>
      <c r="C994" t="str">
        <f>IF(D994="","",IF(COUNTIF($D$2:D994,D994)&gt;1,"",SUMIFS(tbl_input[필요수량],tbl_input[집계키_청],D994)))</f>
        <v/>
      </c>
      <c r="D994" t="str">
        <f>IFERROR(INDEX(tbl_input[집계키_청],ROW()-1),"")</f>
        <v/>
      </c>
    </row>
    <row r="995" spans="1:4" x14ac:dyDescent="0.4">
      <c r="A995" t="str">
        <f t="shared" si="30"/>
        <v/>
      </c>
      <c r="B995" t="str">
        <f t="shared" si="31"/>
        <v/>
      </c>
      <c r="C995" t="str">
        <f>IF(D995="","",IF(COUNTIF($D$2:D995,D995)&gt;1,"",SUMIFS(tbl_input[필요수량],tbl_input[집계키_청],D995)))</f>
        <v/>
      </c>
      <c r="D995" t="str">
        <f>IFERROR(INDEX(tbl_input[집계키_청],ROW()-1),"")</f>
        <v/>
      </c>
    </row>
    <row r="996" spans="1:4" x14ac:dyDescent="0.4">
      <c r="A996" t="str">
        <f t="shared" si="30"/>
        <v/>
      </c>
      <c r="B996" t="str">
        <f t="shared" si="31"/>
        <v/>
      </c>
      <c r="C996" t="str">
        <f>IF(D996="","",IF(COUNTIF($D$2:D996,D996)&gt;1,"",SUMIFS(tbl_input[필요수량],tbl_input[집계키_청],D996)))</f>
        <v/>
      </c>
      <c r="D996" t="str">
        <f>IFERROR(INDEX(tbl_input[집계키_청],ROW()-1),"")</f>
        <v/>
      </c>
    </row>
    <row r="997" spans="1:4" x14ac:dyDescent="0.4">
      <c r="A997" t="str">
        <f t="shared" si="30"/>
        <v/>
      </c>
      <c r="B997" t="str">
        <f t="shared" si="31"/>
        <v/>
      </c>
      <c r="C997" t="str">
        <f>IF(D997="","",IF(COUNTIF($D$2:D997,D997)&gt;1,"",SUMIFS(tbl_input[필요수량],tbl_input[집계키_청],D997)))</f>
        <v/>
      </c>
      <c r="D997" t="str">
        <f>IFERROR(INDEX(tbl_input[집계키_청],ROW()-1),"")</f>
        <v/>
      </c>
    </row>
    <row r="998" spans="1:4" x14ac:dyDescent="0.4">
      <c r="A998" t="str">
        <f t="shared" si="30"/>
        <v/>
      </c>
      <c r="B998" t="str">
        <f t="shared" si="31"/>
        <v/>
      </c>
      <c r="C998" t="str">
        <f>IF(D998="","",IF(COUNTIF($D$2:D998,D998)&gt;1,"",SUMIFS(tbl_input[필요수량],tbl_input[집계키_청],D998)))</f>
        <v/>
      </c>
      <c r="D998" t="str">
        <f>IFERROR(INDEX(tbl_input[집계키_청],ROW()-1),"")</f>
        <v/>
      </c>
    </row>
    <row r="999" spans="1:4" x14ac:dyDescent="0.4">
      <c r="A999" t="str">
        <f t="shared" si="30"/>
        <v/>
      </c>
      <c r="B999" t="str">
        <f t="shared" si="31"/>
        <v/>
      </c>
      <c r="C999" t="str">
        <f>IF(D999="","",IF(COUNTIF($D$2:D999,D999)&gt;1,"",SUMIFS(tbl_input[필요수량],tbl_input[집계키_청],D999)))</f>
        <v/>
      </c>
      <c r="D999" t="str">
        <f>IFERROR(INDEX(tbl_input[집계키_청],ROW()-1),"")</f>
        <v/>
      </c>
    </row>
    <row r="1000" spans="1:4" x14ac:dyDescent="0.4">
      <c r="A1000" t="str">
        <f t="shared" si="30"/>
        <v/>
      </c>
      <c r="B1000" t="str">
        <f t="shared" si="31"/>
        <v/>
      </c>
      <c r="C1000" t="str">
        <f>IF(D1000="","",IF(COUNTIF($D$2:D1000,D1000)&gt;1,"",SUMIFS(tbl_input[필요수량],tbl_input[집계키_청],D1000)))</f>
        <v/>
      </c>
      <c r="D1000" t="str">
        <f>IFERROR(INDEX(tbl_input[집계키_청],ROW()-1),"")</f>
        <v/>
      </c>
    </row>
    <row r="1001" spans="1:4" x14ac:dyDescent="0.4">
      <c r="A1001" t="str">
        <f t="shared" si="30"/>
        <v/>
      </c>
      <c r="B1001" t="str">
        <f t="shared" si="31"/>
        <v/>
      </c>
      <c r="C1001" t="str">
        <f>IF(D1001="","",IF(COUNTIF($D$2:D1001,D1001)&gt;1,"",SUMIFS(tbl_input[필요수량],tbl_input[집계키_청],D1001)))</f>
        <v/>
      </c>
      <c r="D1001" t="str">
        <f>IFERROR(INDEX(tbl_input[집계키_청],ROW()-1),"")</f>
        <v/>
      </c>
    </row>
    <row r="1002" spans="1:4" x14ac:dyDescent="0.4">
      <c r="A1002" t="str">
        <f t="shared" si="30"/>
        <v/>
      </c>
      <c r="B1002" t="str">
        <f t="shared" si="31"/>
        <v/>
      </c>
      <c r="C1002" t="str">
        <f>IF(D1002="","",IF(COUNTIF($D$2:D1002,D1002)&gt;1,"",SUMIFS(tbl_input[필요수량],tbl_input[집계키_청],D1002)))</f>
        <v/>
      </c>
      <c r="D1002" t="str">
        <f>IFERROR(INDEX(tbl_input[집계키_청],ROW()-1),"")</f>
        <v/>
      </c>
    </row>
    <row r="1003" spans="1:4" x14ac:dyDescent="0.4">
      <c r="A1003" t="str">
        <f t="shared" si="30"/>
        <v/>
      </c>
      <c r="B1003" t="str">
        <f t="shared" si="31"/>
        <v/>
      </c>
      <c r="C1003" t="str">
        <f>IF(D1003="","",IF(COUNTIF($D$2:D1003,D1003)&gt;1,"",SUMIFS(tbl_input[필요수량],tbl_input[집계키_청],D1003)))</f>
        <v/>
      </c>
      <c r="D1003" t="str">
        <f>IFERROR(INDEX(tbl_input[집계키_청],ROW()-1),"")</f>
        <v/>
      </c>
    </row>
    <row r="1004" spans="1:4" x14ac:dyDescent="0.4">
      <c r="A1004" t="str">
        <f t="shared" si="30"/>
        <v/>
      </c>
      <c r="B1004" t="str">
        <f t="shared" si="31"/>
        <v/>
      </c>
      <c r="C1004" t="str">
        <f>IF(D1004="","",IF(COUNTIF($D$2:D1004,D1004)&gt;1,"",SUMIFS(tbl_input[필요수량],tbl_input[집계키_청],D1004)))</f>
        <v/>
      </c>
      <c r="D1004" t="str">
        <f>IFERROR(INDEX(tbl_input[집계키_청],ROW()-1),"")</f>
        <v/>
      </c>
    </row>
    <row r="1005" spans="1:4" x14ac:dyDescent="0.4">
      <c r="A1005" t="str">
        <f t="shared" si="30"/>
        <v/>
      </c>
      <c r="B1005" t="str">
        <f t="shared" si="31"/>
        <v/>
      </c>
      <c r="C1005" t="str">
        <f>IF(D1005="","",IF(COUNTIF($D$2:D1005,D1005)&gt;1,"",SUMIFS(tbl_input[필요수량],tbl_input[집계키_청],D1005)))</f>
        <v/>
      </c>
      <c r="D1005" t="str">
        <f>IFERROR(INDEX(tbl_input[집계키_청],ROW()-1),"")</f>
        <v/>
      </c>
    </row>
    <row r="1006" spans="1:4" x14ac:dyDescent="0.4">
      <c r="A1006" t="str">
        <f t="shared" si="30"/>
        <v/>
      </c>
      <c r="B1006" t="str">
        <f t="shared" si="31"/>
        <v/>
      </c>
      <c r="C1006" t="str">
        <f>IF(D1006="","",IF(COUNTIF($D$2:D1006,D1006)&gt;1,"",SUMIFS(tbl_input[필요수량],tbl_input[집계키_청],D1006)))</f>
        <v/>
      </c>
      <c r="D1006" t="str">
        <f>IFERROR(INDEX(tbl_input[집계키_청],ROW()-1),"")</f>
        <v/>
      </c>
    </row>
    <row r="1007" spans="1:4" x14ac:dyDescent="0.4">
      <c r="A1007" t="str">
        <f t="shared" si="30"/>
        <v/>
      </c>
      <c r="B1007" t="str">
        <f t="shared" si="31"/>
        <v/>
      </c>
      <c r="C1007" t="str">
        <f>IF(D1007="","",IF(COUNTIF($D$2:D1007,D1007)&gt;1,"",SUMIFS(tbl_input[필요수량],tbl_input[집계키_청],D1007)))</f>
        <v/>
      </c>
      <c r="D1007" t="str">
        <f>IFERROR(INDEX(tbl_input[집계키_청],ROW()-1),"")</f>
        <v/>
      </c>
    </row>
    <row r="1008" spans="1:4" x14ac:dyDescent="0.4">
      <c r="A1008" t="str">
        <f t="shared" si="30"/>
        <v/>
      </c>
      <c r="B1008" t="str">
        <f t="shared" si="31"/>
        <v/>
      </c>
      <c r="C1008" t="str">
        <f>IF(D1008="","",IF(COUNTIF($D$2:D1008,D1008)&gt;1,"",SUMIFS(tbl_input[필요수량],tbl_input[집계키_청],D1008)))</f>
        <v/>
      </c>
      <c r="D1008" t="str">
        <f>IFERROR(INDEX(tbl_input[집계키_청],ROW()-1),"")</f>
        <v/>
      </c>
    </row>
    <row r="1009" spans="1:4" x14ac:dyDescent="0.4">
      <c r="A1009" t="str">
        <f t="shared" si="30"/>
        <v/>
      </c>
      <c r="B1009" t="str">
        <f t="shared" si="31"/>
        <v/>
      </c>
      <c r="C1009" t="str">
        <f>IF(D1009="","",IF(COUNTIF($D$2:D1009,D1009)&gt;1,"",SUMIFS(tbl_input[필요수량],tbl_input[집계키_청],D1009)))</f>
        <v/>
      </c>
      <c r="D1009" t="str">
        <f>IFERROR(INDEX(tbl_input[집계키_청],ROW()-1),"")</f>
        <v/>
      </c>
    </row>
    <row r="1010" spans="1:4" x14ac:dyDescent="0.4">
      <c r="A1010" t="str">
        <f t="shared" si="30"/>
        <v/>
      </c>
      <c r="B1010" t="str">
        <f t="shared" si="31"/>
        <v/>
      </c>
      <c r="C1010" t="str">
        <f>IF(D1010="","",IF(COUNTIF($D$2:D1010,D1010)&gt;1,"",SUMIFS(tbl_input[필요수량],tbl_input[집계키_청],D1010)))</f>
        <v/>
      </c>
      <c r="D1010" t="str">
        <f>IFERROR(INDEX(tbl_input[집계키_청],ROW()-1),"")</f>
        <v/>
      </c>
    </row>
    <row r="1011" spans="1:4" x14ac:dyDescent="0.4">
      <c r="A1011" t="str">
        <f t="shared" si="30"/>
        <v/>
      </c>
      <c r="B1011" t="str">
        <f t="shared" si="31"/>
        <v/>
      </c>
      <c r="C1011" t="str">
        <f>IF(D1011="","",IF(COUNTIF($D$2:D1011,D1011)&gt;1,"",SUMIFS(tbl_input[필요수량],tbl_input[집계키_청],D1011)))</f>
        <v/>
      </c>
      <c r="D1011" t="str">
        <f>IFERROR(INDEX(tbl_input[집계키_청],ROW()-1),"")</f>
        <v/>
      </c>
    </row>
    <row r="1012" spans="1:4" x14ac:dyDescent="0.4">
      <c r="A1012" t="str">
        <f t="shared" si="30"/>
        <v/>
      </c>
      <c r="B1012" t="str">
        <f t="shared" si="31"/>
        <v/>
      </c>
      <c r="C1012" t="str">
        <f>IF(D1012="","",IF(COUNTIF($D$2:D1012,D1012)&gt;1,"",SUMIFS(tbl_input[필요수량],tbl_input[집계키_청],D1012)))</f>
        <v/>
      </c>
      <c r="D1012" t="str">
        <f>IFERROR(INDEX(tbl_input[집계키_청],ROW()-1),"")</f>
        <v/>
      </c>
    </row>
    <row r="1013" spans="1:4" x14ac:dyDescent="0.4">
      <c r="A1013" t="str">
        <f t="shared" si="30"/>
        <v/>
      </c>
      <c r="B1013" t="str">
        <f t="shared" si="31"/>
        <v/>
      </c>
      <c r="C1013" t="str">
        <f>IF(D1013="","",IF(COUNTIF($D$2:D1013,D1013)&gt;1,"",SUMIFS(tbl_input[필요수량],tbl_input[집계키_청],D1013)))</f>
        <v/>
      </c>
      <c r="D1013" t="str">
        <f>IFERROR(INDEX(tbl_input[집계키_청],ROW()-1),"")</f>
        <v/>
      </c>
    </row>
    <row r="1014" spans="1:4" x14ac:dyDescent="0.4">
      <c r="A1014" t="str">
        <f t="shared" si="30"/>
        <v/>
      </c>
      <c r="B1014" t="str">
        <f t="shared" si="31"/>
        <v/>
      </c>
      <c r="C1014" t="str">
        <f>IF(D1014="","",IF(COUNTIF($D$2:D1014,D1014)&gt;1,"",SUMIFS(tbl_input[필요수량],tbl_input[집계키_청],D1014)))</f>
        <v/>
      </c>
      <c r="D1014" t="str">
        <f>IFERROR(INDEX(tbl_input[집계키_청],ROW()-1),"")</f>
        <v/>
      </c>
    </row>
    <row r="1015" spans="1:4" x14ac:dyDescent="0.4">
      <c r="A1015" t="str">
        <f t="shared" si="30"/>
        <v/>
      </c>
      <c r="B1015" t="str">
        <f t="shared" si="31"/>
        <v/>
      </c>
      <c r="C1015" t="str">
        <f>IF(D1015="","",IF(COUNTIF($D$2:D1015,D1015)&gt;1,"",SUMIFS(tbl_input[필요수량],tbl_input[집계키_청],D1015)))</f>
        <v/>
      </c>
      <c r="D1015" t="str">
        <f>IFERROR(INDEX(tbl_input[집계키_청],ROW()-1),"")</f>
        <v/>
      </c>
    </row>
    <row r="1016" spans="1:4" x14ac:dyDescent="0.4">
      <c r="A1016" t="str">
        <f t="shared" si="30"/>
        <v/>
      </c>
      <c r="B1016" t="str">
        <f t="shared" si="31"/>
        <v/>
      </c>
      <c r="C1016" t="str">
        <f>IF(D1016="","",IF(COUNTIF($D$2:D1016,D1016)&gt;1,"",SUMIFS(tbl_input[필요수량],tbl_input[집계키_청],D1016)))</f>
        <v/>
      </c>
      <c r="D1016" t="str">
        <f>IFERROR(INDEX(tbl_input[집계키_청],ROW()-1),"")</f>
        <v/>
      </c>
    </row>
    <row r="1017" spans="1:4" x14ac:dyDescent="0.4">
      <c r="A1017" t="str">
        <f t="shared" si="30"/>
        <v/>
      </c>
      <c r="B1017" t="str">
        <f t="shared" si="31"/>
        <v/>
      </c>
      <c r="C1017" t="str">
        <f>IF(D1017="","",IF(COUNTIF($D$2:D1017,D1017)&gt;1,"",SUMIFS(tbl_input[필요수량],tbl_input[집계키_청],D1017)))</f>
        <v/>
      </c>
      <c r="D1017" t="str">
        <f>IFERROR(INDEX(tbl_input[집계키_청],ROW()-1),"")</f>
        <v/>
      </c>
    </row>
    <row r="1018" spans="1:4" x14ac:dyDescent="0.4">
      <c r="A1018" t="str">
        <f t="shared" si="30"/>
        <v/>
      </c>
      <c r="B1018" t="str">
        <f t="shared" si="31"/>
        <v/>
      </c>
      <c r="C1018" t="str">
        <f>IF(D1018="","",IF(COUNTIF($D$2:D1018,D1018)&gt;1,"",SUMIFS(tbl_input[필요수량],tbl_input[집계키_청],D1018)))</f>
        <v/>
      </c>
      <c r="D1018" t="str">
        <f>IFERROR(INDEX(tbl_input[집계키_청],ROW()-1),"")</f>
        <v/>
      </c>
    </row>
    <row r="1019" spans="1:4" x14ac:dyDescent="0.4">
      <c r="A1019" t="str">
        <f t="shared" si="30"/>
        <v/>
      </c>
      <c r="B1019" t="str">
        <f t="shared" si="31"/>
        <v/>
      </c>
      <c r="C1019" t="str">
        <f>IF(D1019="","",IF(COUNTIF($D$2:D1019,D1019)&gt;1,"",SUMIFS(tbl_input[필요수량],tbl_input[집계키_청],D1019)))</f>
        <v/>
      </c>
      <c r="D1019" t="str">
        <f>IFERROR(INDEX(tbl_input[집계키_청],ROW()-1),"")</f>
        <v/>
      </c>
    </row>
    <row r="1020" spans="1:4" x14ac:dyDescent="0.4">
      <c r="A1020" t="str">
        <f t="shared" si="30"/>
        <v/>
      </c>
      <c r="B1020" t="str">
        <f t="shared" si="31"/>
        <v/>
      </c>
      <c r="C1020" t="str">
        <f>IF(D1020="","",IF(COUNTIF($D$2:D1020,D1020)&gt;1,"",SUMIFS(tbl_input[필요수량],tbl_input[집계키_청],D1020)))</f>
        <v/>
      </c>
      <c r="D1020" t="str">
        <f>IFERROR(INDEX(tbl_input[집계키_청],ROW()-1),"")</f>
        <v/>
      </c>
    </row>
    <row r="1021" spans="1:4" x14ac:dyDescent="0.4">
      <c r="A1021" t="str">
        <f t="shared" si="30"/>
        <v/>
      </c>
      <c r="B1021" t="str">
        <f t="shared" si="31"/>
        <v/>
      </c>
      <c r="C1021" t="str">
        <f>IF(D1021="","",IF(COUNTIF($D$2:D1021,D1021)&gt;1,"",SUMIFS(tbl_input[필요수량],tbl_input[집계키_청],D1021)))</f>
        <v/>
      </c>
      <c r="D1021" t="str">
        <f>IFERROR(INDEX(tbl_input[집계키_청],ROW()-1),"")</f>
        <v/>
      </c>
    </row>
    <row r="1022" spans="1:4" x14ac:dyDescent="0.4">
      <c r="A1022" t="str">
        <f t="shared" si="30"/>
        <v/>
      </c>
      <c r="B1022" t="str">
        <f t="shared" si="31"/>
        <v/>
      </c>
      <c r="C1022" t="str">
        <f>IF(D1022="","",IF(COUNTIF($D$2:D1022,D1022)&gt;1,"",SUMIFS(tbl_input[필요수량],tbl_input[집계키_청],D1022)))</f>
        <v/>
      </c>
      <c r="D1022" t="str">
        <f>IFERROR(INDEX(tbl_input[집계키_청],ROW()-1),"")</f>
        <v/>
      </c>
    </row>
    <row r="1023" spans="1:4" x14ac:dyDescent="0.4">
      <c r="A1023" t="str">
        <f t="shared" si="30"/>
        <v/>
      </c>
      <c r="B1023" t="str">
        <f t="shared" si="31"/>
        <v/>
      </c>
      <c r="C1023" t="str">
        <f>IF(D1023="","",IF(COUNTIF($D$2:D1023,D1023)&gt;1,"",SUMIFS(tbl_input[필요수량],tbl_input[집계키_청],D1023)))</f>
        <v/>
      </c>
      <c r="D1023" t="str">
        <f>IFERROR(INDEX(tbl_input[집계키_청],ROW()-1),"")</f>
        <v/>
      </c>
    </row>
    <row r="1024" spans="1:4" x14ac:dyDescent="0.4">
      <c r="A1024" t="str">
        <f t="shared" si="30"/>
        <v/>
      </c>
      <c r="B1024" t="str">
        <f t="shared" si="31"/>
        <v/>
      </c>
      <c r="C1024" t="str">
        <f>IF(D1024="","",IF(COUNTIF($D$2:D1024,D1024)&gt;1,"",SUMIFS(tbl_input[필요수량],tbl_input[집계키_청],D1024)))</f>
        <v/>
      </c>
      <c r="D1024" t="str">
        <f>IFERROR(INDEX(tbl_input[집계키_청],ROW()-1),"")</f>
        <v/>
      </c>
    </row>
    <row r="1025" spans="1:4" x14ac:dyDescent="0.4">
      <c r="A1025" t="str">
        <f t="shared" si="30"/>
        <v/>
      </c>
      <c r="B1025" t="str">
        <f t="shared" si="31"/>
        <v/>
      </c>
      <c r="C1025" t="str">
        <f>IF(D1025="","",IF(COUNTIF($D$2:D1025,D1025)&gt;1,"",SUMIFS(tbl_input[필요수량],tbl_input[집계키_청],D1025)))</f>
        <v/>
      </c>
      <c r="D1025" t="str">
        <f>IFERROR(INDEX(tbl_input[집계키_청],ROW()-1),"")</f>
        <v/>
      </c>
    </row>
    <row r="1026" spans="1:4" x14ac:dyDescent="0.4">
      <c r="A1026" t="str">
        <f t="shared" ref="A1026:A1089" si="32">IF(D1026="","",LEFT(D1026,FIND("♦",D1026)-1))</f>
        <v/>
      </c>
      <c r="B1026" t="str">
        <f t="shared" ref="B1026:B1089" si="33">IF(D1026="","",MID(D1026,FIND("♦",D1026)+1,999))</f>
        <v/>
      </c>
      <c r="C1026" t="str">
        <f>IF(D1026="","",IF(COUNTIF($D$2:D1026,D1026)&gt;1,"",SUMIFS(tbl_input[필요수량],tbl_input[집계키_청],D1026)))</f>
        <v/>
      </c>
      <c r="D1026" t="str">
        <f>IFERROR(INDEX(tbl_input[집계키_청],ROW()-1),"")</f>
        <v/>
      </c>
    </row>
    <row r="1027" spans="1:4" x14ac:dyDescent="0.4">
      <c r="A1027" t="str">
        <f t="shared" si="32"/>
        <v/>
      </c>
      <c r="B1027" t="str">
        <f t="shared" si="33"/>
        <v/>
      </c>
      <c r="C1027" t="str">
        <f>IF(D1027="","",IF(COUNTIF($D$2:D1027,D1027)&gt;1,"",SUMIFS(tbl_input[필요수량],tbl_input[집계키_청],D1027)))</f>
        <v/>
      </c>
      <c r="D1027" t="str">
        <f>IFERROR(INDEX(tbl_input[집계키_청],ROW()-1),"")</f>
        <v/>
      </c>
    </row>
    <row r="1028" spans="1:4" x14ac:dyDescent="0.4">
      <c r="A1028" t="str">
        <f t="shared" si="32"/>
        <v/>
      </c>
      <c r="B1028" t="str">
        <f t="shared" si="33"/>
        <v/>
      </c>
      <c r="C1028" t="str">
        <f>IF(D1028="","",IF(COUNTIF($D$2:D1028,D1028)&gt;1,"",SUMIFS(tbl_input[필요수량],tbl_input[집계키_청],D1028)))</f>
        <v/>
      </c>
      <c r="D1028" t="str">
        <f>IFERROR(INDEX(tbl_input[집계키_청],ROW()-1),"")</f>
        <v/>
      </c>
    </row>
    <row r="1029" spans="1:4" x14ac:dyDescent="0.4">
      <c r="A1029" t="str">
        <f t="shared" si="32"/>
        <v/>
      </c>
      <c r="B1029" t="str">
        <f t="shared" si="33"/>
        <v/>
      </c>
      <c r="C1029" t="str">
        <f>IF(D1029="","",IF(COUNTIF($D$2:D1029,D1029)&gt;1,"",SUMIFS(tbl_input[필요수량],tbl_input[집계키_청],D1029)))</f>
        <v/>
      </c>
      <c r="D1029" t="str">
        <f>IFERROR(INDEX(tbl_input[집계키_청],ROW()-1),"")</f>
        <v/>
      </c>
    </row>
    <row r="1030" spans="1:4" x14ac:dyDescent="0.4">
      <c r="A1030" t="str">
        <f t="shared" si="32"/>
        <v/>
      </c>
      <c r="B1030" t="str">
        <f t="shared" si="33"/>
        <v/>
      </c>
      <c r="C1030" t="str">
        <f>IF(D1030="","",IF(COUNTIF($D$2:D1030,D1030)&gt;1,"",SUMIFS(tbl_input[필요수량],tbl_input[집계키_청],D1030)))</f>
        <v/>
      </c>
      <c r="D1030" t="str">
        <f>IFERROR(INDEX(tbl_input[집계키_청],ROW()-1),"")</f>
        <v/>
      </c>
    </row>
    <row r="1031" spans="1:4" x14ac:dyDescent="0.4">
      <c r="A1031" t="str">
        <f t="shared" si="32"/>
        <v/>
      </c>
      <c r="B1031" t="str">
        <f t="shared" si="33"/>
        <v/>
      </c>
      <c r="C1031" t="str">
        <f>IF(D1031="","",IF(COUNTIF($D$2:D1031,D1031)&gt;1,"",SUMIFS(tbl_input[필요수량],tbl_input[집계키_청],D1031)))</f>
        <v/>
      </c>
      <c r="D1031" t="str">
        <f>IFERROR(INDEX(tbl_input[집계키_청],ROW()-1),"")</f>
        <v/>
      </c>
    </row>
    <row r="1032" spans="1:4" x14ac:dyDescent="0.4">
      <c r="A1032" t="str">
        <f t="shared" si="32"/>
        <v/>
      </c>
      <c r="B1032" t="str">
        <f t="shared" si="33"/>
        <v/>
      </c>
      <c r="C1032" t="str">
        <f>IF(D1032="","",IF(COUNTIF($D$2:D1032,D1032)&gt;1,"",SUMIFS(tbl_input[필요수량],tbl_input[집계키_청],D1032)))</f>
        <v/>
      </c>
      <c r="D1032" t="str">
        <f>IFERROR(INDEX(tbl_input[집계키_청],ROW()-1),"")</f>
        <v/>
      </c>
    </row>
    <row r="1033" spans="1:4" x14ac:dyDescent="0.4">
      <c r="A1033" t="str">
        <f t="shared" si="32"/>
        <v/>
      </c>
      <c r="B1033" t="str">
        <f t="shared" si="33"/>
        <v/>
      </c>
      <c r="C1033" t="str">
        <f>IF(D1033="","",IF(COUNTIF($D$2:D1033,D1033)&gt;1,"",SUMIFS(tbl_input[필요수량],tbl_input[집계키_청],D1033)))</f>
        <v/>
      </c>
      <c r="D1033" t="str">
        <f>IFERROR(INDEX(tbl_input[집계키_청],ROW()-1),"")</f>
        <v/>
      </c>
    </row>
    <row r="1034" spans="1:4" x14ac:dyDescent="0.4">
      <c r="A1034" t="str">
        <f t="shared" si="32"/>
        <v/>
      </c>
      <c r="B1034" t="str">
        <f t="shared" si="33"/>
        <v/>
      </c>
      <c r="C1034" t="str">
        <f>IF(D1034="","",IF(COUNTIF($D$2:D1034,D1034)&gt;1,"",SUMIFS(tbl_input[필요수량],tbl_input[집계키_청],D1034)))</f>
        <v/>
      </c>
      <c r="D1034" t="str">
        <f>IFERROR(INDEX(tbl_input[집계키_청],ROW()-1),"")</f>
        <v/>
      </c>
    </row>
    <row r="1035" spans="1:4" x14ac:dyDescent="0.4">
      <c r="A1035" t="str">
        <f t="shared" si="32"/>
        <v/>
      </c>
      <c r="B1035" t="str">
        <f t="shared" si="33"/>
        <v/>
      </c>
      <c r="C1035" t="str">
        <f>IF(D1035="","",IF(COUNTIF($D$2:D1035,D1035)&gt;1,"",SUMIFS(tbl_input[필요수량],tbl_input[집계키_청],D1035)))</f>
        <v/>
      </c>
      <c r="D1035" t="str">
        <f>IFERROR(INDEX(tbl_input[집계키_청],ROW()-1),"")</f>
        <v/>
      </c>
    </row>
    <row r="1036" spans="1:4" x14ac:dyDescent="0.4">
      <c r="A1036" t="str">
        <f t="shared" si="32"/>
        <v/>
      </c>
      <c r="B1036" t="str">
        <f t="shared" si="33"/>
        <v/>
      </c>
      <c r="C1036" t="str">
        <f>IF(D1036="","",IF(COUNTIF($D$2:D1036,D1036)&gt;1,"",SUMIFS(tbl_input[필요수량],tbl_input[집계키_청],D1036)))</f>
        <v/>
      </c>
      <c r="D1036" t="str">
        <f>IFERROR(INDEX(tbl_input[집계키_청],ROW()-1),"")</f>
        <v/>
      </c>
    </row>
    <row r="1037" spans="1:4" x14ac:dyDescent="0.4">
      <c r="A1037" t="str">
        <f t="shared" si="32"/>
        <v/>
      </c>
      <c r="B1037" t="str">
        <f t="shared" si="33"/>
        <v/>
      </c>
      <c r="C1037" t="str">
        <f>IF(D1037="","",IF(COUNTIF($D$2:D1037,D1037)&gt;1,"",SUMIFS(tbl_input[필요수량],tbl_input[집계키_청],D1037)))</f>
        <v/>
      </c>
      <c r="D1037" t="str">
        <f>IFERROR(INDEX(tbl_input[집계키_청],ROW()-1),"")</f>
        <v/>
      </c>
    </row>
    <row r="1038" spans="1:4" x14ac:dyDescent="0.4">
      <c r="A1038" t="str">
        <f t="shared" si="32"/>
        <v/>
      </c>
      <c r="B1038" t="str">
        <f t="shared" si="33"/>
        <v/>
      </c>
      <c r="C1038" t="str">
        <f>IF(D1038="","",IF(COUNTIF($D$2:D1038,D1038)&gt;1,"",SUMIFS(tbl_input[필요수량],tbl_input[집계키_청],D1038)))</f>
        <v/>
      </c>
      <c r="D1038" t="str">
        <f>IFERROR(INDEX(tbl_input[집계키_청],ROW()-1),"")</f>
        <v/>
      </c>
    </row>
    <row r="1039" spans="1:4" x14ac:dyDescent="0.4">
      <c r="A1039" t="str">
        <f t="shared" si="32"/>
        <v/>
      </c>
      <c r="B1039" t="str">
        <f t="shared" si="33"/>
        <v/>
      </c>
      <c r="C1039" t="str">
        <f>IF(D1039="","",IF(COUNTIF($D$2:D1039,D1039)&gt;1,"",SUMIFS(tbl_input[필요수량],tbl_input[집계키_청],D1039)))</f>
        <v/>
      </c>
      <c r="D1039" t="str">
        <f>IFERROR(INDEX(tbl_input[집계키_청],ROW()-1),"")</f>
        <v/>
      </c>
    </row>
    <row r="1040" spans="1:4" x14ac:dyDescent="0.4">
      <c r="A1040" t="str">
        <f t="shared" si="32"/>
        <v/>
      </c>
      <c r="B1040" t="str">
        <f t="shared" si="33"/>
        <v/>
      </c>
      <c r="C1040" t="str">
        <f>IF(D1040="","",IF(COUNTIF($D$2:D1040,D1040)&gt;1,"",SUMIFS(tbl_input[필요수량],tbl_input[집계키_청],D1040)))</f>
        <v/>
      </c>
      <c r="D1040" t="str">
        <f>IFERROR(INDEX(tbl_input[집계키_청],ROW()-1),"")</f>
        <v/>
      </c>
    </row>
    <row r="1041" spans="1:4" x14ac:dyDescent="0.4">
      <c r="A1041" t="str">
        <f t="shared" si="32"/>
        <v/>
      </c>
      <c r="B1041" t="str">
        <f t="shared" si="33"/>
        <v/>
      </c>
      <c r="C1041" t="str">
        <f>IF(D1041="","",IF(COUNTIF($D$2:D1041,D1041)&gt;1,"",SUMIFS(tbl_input[필요수량],tbl_input[집계키_청],D1041)))</f>
        <v/>
      </c>
      <c r="D1041" t="str">
        <f>IFERROR(INDEX(tbl_input[집계키_청],ROW()-1),"")</f>
        <v/>
      </c>
    </row>
    <row r="1042" spans="1:4" x14ac:dyDescent="0.4">
      <c r="A1042" t="str">
        <f t="shared" si="32"/>
        <v/>
      </c>
      <c r="B1042" t="str">
        <f t="shared" si="33"/>
        <v/>
      </c>
      <c r="C1042" t="str">
        <f>IF(D1042="","",IF(COUNTIF($D$2:D1042,D1042)&gt;1,"",SUMIFS(tbl_input[필요수량],tbl_input[집계키_청],D1042)))</f>
        <v/>
      </c>
      <c r="D1042" t="str">
        <f>IFERROR(INDEX(tbl_input[집계키_청],ROW()-1),"")</f>
        <v/>
      </c>
    </row>
    <row r="1043" spans="1:4" x14ac:dyDescent="0.4">
      <c r="A1043" t="str">
        <f t="shared" si="32"/>
        <v/>
      </c>
      <c r="B1043" t="str">
        <f t="shared" si="33"/>
        <v/>
      </c>
      <c r="C1043" t="str">
        <f>IF(D1043="","",IF(COUNTIF($D$2:D1043,D1043)&gt;1,"",SUMIFS(tbl_input[필요수량],tbl_input[집계키_청],D1043)))</f>
        <v/>
      </c>
      <c r="D1043" t="str">
        <f>IFERROR(INDEX(tbl_input[집계키_청],ROW()-1),"")</f>
        <v/>
      </c>
    </row>
    <row r="1044" spans="1:4" x14ac:dyDescent="0.4">
      <c r="A1044" t="str">
        <f t="shared" si="32"/>
        <v/>
      </c>
      <c r="B1044" t="str">
        <f t="shared" si="33"/>
        <v/>
      </c>
      <c r="C1044" t="str">
        <f>IF(D1044="","",IF(COUNTIF($D$2:D1044,D1044)&gt;1,"",SUMIFS(tbl_input[필요수량],tbl_input[집계키_청],D1044)))</f>
        <v/>
      </c>
      <c r="D1044" t="str">
        <f>IFERROR(INDEX(tbl_input[집계키_청],ROW()-1),"")</f>
        <v/>
      </c>
    </row>
    <row r="1045" spans="1:4" x14ac:dyDescent="0.4">
      <c r="A1045" t="str">
        <f t="shared" si="32"/>
        <v/>
      </c>
      <c r="B1045" t="str">
        <f t="shared" si="33"/>
        <v/>
      </c>
      <c r="C1045" t="str">
        <f>IF(D1045="","",IF(COUNTIF($D$2:D1045,D1045)&gt;1,"",SUMIFS(tbl_input[필요수량],tbl_input[집계키_청],D1045)))</f>
        <v/>
      </c>
      <c r="D1045" t="str">
        <f>IFERROR(INDEX(tbl_input[집계키_청],ROW()-1),"")</f>
        <v/>
      </c>
    </row>
    <row r="1046" spans="1:4" x14ac:dyDescent="0.4">
      <c r="A1046" t="str">
        <f t="shared" si="32"/>
        <v/>
      </c>
      <c r="B1046" t="str">
        <f t="shared" si="33"/>
        <v/>
      </c>
      <c r="C1046" t="str">
        <f>IF(D1046="","",IF(COUNTIF($D$2:D1046,D1046)&gt;1,"",SUMIFS(tbl_input[필요수량],tbl_input[집계키_청],D1046)))</f>
        <v/>
      </c>
      <c r="D1046" t="str">
        <f>IFERROR(INDEX(tbl_input[집계키_청],ROW()-1),"")</f>
        <v/>
      </c>
    </row>
    <row r="1047" spans="1:4" x14ac:dyDescent="0.4">
      <c r="A1047" t="str">
        <f t="shared" si="32"/>
        <v/>
      </c>
      <c r="B1047" t="str">
        <f t="shared" si="33"/>
        <v/>
      </c>
      <c r="C1047" t="str">
        <f>IF(D1047="","",IF(COUNTIF($D$2:D1047,D1047)&gt;1,"",SUMIFS(tbl_input[필요수량],tbl_input[집계키_청],D1047)))</f>
        <v/>
      </c>
      <c r="D1047" t="str">
        <f>IFERROR(INDEX(tbl_input[집계키_청],ROW()-1),"")</f>
        <v/>
      </c>
    </row>
    <row r="1048" spans="1:4" x14ac:dyDescent="0.4">
      <c r="A1048" t="str">
        <f t="shared" si="32"/>
        <v/>
      </c>
      <c r="B1048" t="str">
        <f t="shared" si="33"/>
        <v/>
      </c>
      <c r="C1048" t="str">
        <f>IF(D1048="","",IF(COUNTIF($D$2:D1048,D1048)&gt;1,"",SUMIFS(tbl_input[필요수량],tbl_input[집계키_청],D1048)))</f>
        <v/>
      </c>
      <c r="D1048" t="str">
        <f>IFERROR(INDEX(tbl_input[집계키_청],ROW()-1),"")</f>
        <v/>
      </c>
    </row>
    <row r="1049" spans="1:4" x14ac:dyDescent="0.4">
      <c r="A1049" t="str">
        <f t="shared" si="32"/>
        <v/>
      </c>
      <c r="B1049" t="str">
        <f t="shared" si="33"/>
        <v/>
      </c>
      <c r="C1049" t="str">
        <f>IF(D1049="","",IF(COUNTIF($D$2:D1049,D1049)&gt;1,"",SUMIFS(tbl_input[필요수량],tbl_input[집계키_청],D1049)))</f>
        <v/>
      </c>
      <c r="D1049" t="str">
        <f>IFERROR(INDEX(tbl_input[집계키_청],ROW()-1),"")</f>
        <v/>
      </c>
    </row>
    <row r="1050" spans="1:4" x14ac:dyDescent="0.4">
      <c r="A1050" t="str">
        <f t="shared" si="32"/>
        <v/>
      </c>
      <c r="B1050" t="str">
        <f t="shared" si="33"/>
        <v/>
      </c>
      <c r="C1050" t="str">
        <f>IF(D1050="","",IF(COUNTIF($D$2:D1050,D1050)&gt;1,"",SUMIFS(tbl_input[필요수량],tbl_input[집계키_청],D1050)))</f>
        <v/>
      </c>
      <c r="D1050" t="str">
        <f>IFERROR(INDEX(tbl_input[집계키_청],ROW()-1),"")</f>
        <v/>
      </c>
    </row>
    <row r="1051" spans="1:4" x14ac:dyDescent="0.4">
      <c r="A1051" t="str">
        <f t="shared" si="32"/>
        <v/>
      </c>
      <c r="B1051" t="str">
        <f t="shared" si="33"/>
        <v/>
      </c>
      <c r="C1051" t="str">
        <f>IF(D1051="","",IF(COUNTIF($D$2:D1051,D1051)&gt;1,"",SUMIFS(tbl_input[필요수량],tbl_input[집계키_청],D1051)))</f>
        <v/>
      </c>
      <c r="D1051" t="str">
        <f>IFERROR(INDEX(tbl_input[집계키_청],ROW()-1),"")</f>
        <v/>
      </c>
    </row>
    <row r="1052" spans="1:4" x14ac:dyDescent="0.4">
      <c r="A1052" t="str">
        <f t="shared" si="32"/>
        <v/>
      </c>
      <c r="B1052" t="str">
        <f t="shared" si="33"/>
        <v/>
      </c>
      <c r="C1052" t="str">
        <f>IF(D1052="","",IF(COUNTIF($D$2:D1052,D1052)&gt;1,"",SUMIFS(tbl_input[필요수량],tbl_input[집계키_청],D1052)))</f>
        <v/>
      </c>
      <c r="D1052" t="str">
        <f>IFERROR(INDEX(tbl_input[집계키_청],ROW()-1),"")</f>
        <v/>
      </c>
    </row>
    <row r="1053" spans="1:4" x14ac:dyDescent="0.4">
      <c r="A1053" t="str">
        <f t="shared" si="32"/>
        <v/>
      </c>
      <c r="B1053" t="str">
        <f t="shared" si="33"/>
        <v/>
      </c>
      <c r="C1053" t="str">
        <f>IF(D1053="","",IF(COUNTIF($D$2:D1053,D1053)&gt;1,"",SUMIFS(tbl_input[필요수량],tbl_input[집계키_청],D1053)))</f>
        <v/>
      </c>
      <c r="D1053" t="str">
        <f>IFERROR(INDEX(tbl_input[집계키_청],ROW()-1),"")</f>
        <v/>
      </c>
    </row>
    <row r="1054" spans="1:4" x14ac:dyDescent="0.4">
      <c r="A1054" t="str">
        <f t="shared" si="32"/>
        <v/>
      </c>
      <c r="B1054" t="str">
        <f t="shared" si="33"/>
        <v/>
      </c>
      <c r="C1054" t="str">
        <f>IF(D1054="","",IF(COUNTIF($D$2:D1054,D1054)&gt;1,"",SUMIFS(tbl_input[필요수량],tbl_input[집계키_청],D1054)))</f>
        <v/>
      </c>
      <c r="D1054" t="str">
        <f>IFERROR(INDEX(tbl_input[집계키_청],ROW()-1),"")</f>
        <v/>
      </c>
    </row>
    <row r="1055" spans="1:4" x14ac:dyDescent="0.4">
      <c r="A1055" t="str">
        <f t="shared" si="32"/>
        <v/>
      </c>
      <c r="B1055" t="str">
        <f t="shared" si="33"/>
        <v/>
      </c>
      <c r="C1055" t="str">
        <f>IF(D1055="","",IF(COUNTIF($D$2:D1055,D1055)&gt;1,"",SUMIFS(tbl_input[필요수량],tbl_input[집계키_청],D1055)))</f>
        <v/>
      </c>
      <c r="D1055" t="str">
        <f>IFERROR(INDEX(tbl_input[집계키_청],ROW()-1),"")</f>
        <v/>
      </c>
    </row>
    <row r="1056" spans="1:4" x14ac:dyDescent="0.4">
      <c r="A1056" t="str">
        <f t="shared" si="32"/>
        <v/>
      </c>
      <c r="B1056" t="str">
        <f t="shared" si="33"/>
        <v/>
      </c>
      <c r="C1056" t="str">
        <f>IF(D1056="","",IF(COUNTIF($D$2:D1056,D1056)&gt;1,"",SUMIFS(tbl_input[필요수량],tbl_input[집계키_청],D1056)))</f>
        <v/>
      </c>
      <c r="D1056" t="str">
        <f>IFERROR(INDEX(tbl_input[집계키_청],ROW()-1),"")</f>
        <v/>
      </c>
    </row>
    <row r="1057" spans="1:4" x14ac:dyDescent="0.4">
      <c r="A1057" t="str">
        <f t="shared" si="32"/>
        <v/>
      </c>
      <c r="B1057" t="str">
        <f t="shared" si="33"/>
        <v/>
      </c>
      <c r="C1057" t="str">
        <f>IF(D1057="","",IF(COUNTIF($D$2:D1057,D1057)&gt;1,"",SUMIFS(tbl_input[필요수량],tbl_input[집계키_청],D1057)))</f>
        <v/>
      </c>
      <c r="D1057" t="str">
        <f>IFERROR(INDEX(tbl_input[집계키_청],ROW()-1),"")</f>
        <v/>
      </c>
    </row>
    <row r="1058" spans="1:4" x14ac:dyDescent="0.4">
      <c r="A1058" t="str">
        <f t="shared" si="32"/>
        <v/>
      </c>
      <c r="B1058" t="str">
        <f t="shared" si="33"/>
        <v/>
      </c>
      <c r="C1058" t="str">
        <f>IF(D1058="","",IF(COUNTIF($D$2:D1058,D1058)&gt;1,"",SUMIFS(tbl_input[필요수량],tbl_input[집계키_청],D1058)))</f>
        <v/>
      </c>
      <c r="D1058" t="str">
        <f>IFERROR(INDEX(tbl_input[집계키_청],ROW()-1),"")</f>
        <v/>
      </c>
    </row>
    <row r="1059" spans="1:4" x14ac:dyDescent="0.4">
      <c r="A1059" t="str">
        <f t="shared" si="32"/>
        <v/>
      </c>
      <c r="B1059" t="str">
        <f t="shared" si="33"/>
        <v/>
      </c>
      <c r="C1059" t="str">
        <f>IF(D1059="","",IF(COUNTIF($D$2:D1059,D1059)&gt;1,"",SUMIFS(tbl_input[필요수량],tbl_input[집계키_청],D1059)))</f>
        <v/>
      </c>
      <c r="D1059" t="str">
        <f>IFERROR(INDEX(tbl_input[집계키_청],ROW()-1),"")</f>
        <v/>
      </c>
    </row>
    <row r="1060" spans="1:4" x14ac:dyDescent="0.4">
      <c r="A1060" t="str">
        <f t="shared" si="32"/>
        <v/>
      </c>
      <c r="B1060" t="str">
        <f t="shared" si="33"/>
        <v/>
      </c>
      <c r="C1060" t="str">
        <f>IF(D1060="","",IF(COUNTIF($D$2:D1060,D1060)&gt;1,"",SUMIFS(tbl_input[필요수량],tbl_input[집계키_청],D1060)))</f>
        <v/>
      </c>
      <c r="D1060" t="str">
        <f>IFERROR(INDEX(tbl_input[집계키_청],ROW()-1),"")</f>
        <v/>
      </c>
    </row>
    <row r="1061" spans="1:4" x14ac:dyDescent="0.4">
      <c r="A1061" t="str">
        <f t="shared" si="32"/>
        <v/>
      </c>
      <c r="B1061" t="str">
        <f t="shared" si="33"/>
        <v/>
      </c>
      <c r="C1061" t="str">
        <f>IF(D1061="","",IF(COUNTIF($D$2:D1061,D1061)&gt;1,"",SUMIFS(tbl_input[필요수량],tbl_input[집계키_청],D1061)))</f>
        <v/>
      </c>
      <c r="D1061" t="str">
        <f>IFERROR(INDEX(tbl_input[집계키_청],ROW()-1),"")</f>
        <v/>
      </c>
    </row>
    <row r="1062" spans="1:4" x14ac:dyDescent="0.4">
      <c r="A1062" t="str">
        <f t="shared" si="32"/>
        <v/>
      </c>
      <c r="B1062" t="str">
        <f t="shared" si="33"/>
        <v/>
      </c>
      <c r="C1062" t="str">
        <f>IF(D1062="","",IF(COUNTIF($D$2:D1062,D1062)&gt;1,"",SUMIFS(tbl_input[필요수량],tbl_input[집계키_청],D1062)))</f>
        <v/>
      </c>
      <c r="D1062" t="str">
        <f>IFERROR(INDEX(tbl_input[집계키_청],ROW()-1),"")</f>
        <v/>
      </c>
    </row>
    <row r="1063" spans="1:4" x14ac:dyDescent="0.4">
      <c r="A1063" t="str">
        <f t="shared" si="32"/>
        <v/>
      </c>
      <c r="B1063" t="str">
        <f t="shared" si="33"/>
        <v/>
      </c>
      <c r="C1063" t="str">
        <f>IF(D1063="","",IF(COUNTIF($D$2:D1063,D1063)&gt;1,"",SUMIFS(tbl_input[필요수량],tbl_input[집계키_청],D1063)))</f>
        <v/>
      </c>
      <c r="D1063" t="str">
        <f>IFERROR(INDEX(tbl_input[집계키_청],ROW()-1),"")</f>
        <v/>
      </c>
    </row>
    <row r="1064" spans="1:4" x14ac:dyDescent="0.4">
      <c r="A1064" t="str">
        <f t="shared" si="32"/>
        <v/>
      </c>
      <c r="B1064" t="str">
        <f t="shared" si="33"/>
        <v/>
      </c>
      <c r="C1064" t="str">
        <f>IF(D1064="","",IF(COUNTIF($D$2:D1064,D1064)&gt;1,"",SUMIFS(tbl_input[필요수량],tbl_input[집계키_청],D1064)))</f>
        <v/>
      </c>
      <c r="D1064" t="str">
        <f>IFERROR(INDEX(tbl_input[집계키_청],ROW()-1),"")</f>
        <v/>
      </c>
    </row>
    <row r="1065" spans="1:4" x14ac:dyDescent="0.4">
      <c r="A1065" t="str">
        <f t="shared" si="32"/>
        <v/>
      </c>
      <c r="B1065" t="str">
        <f t="shared" si="33"/>
        <v/>
      </c>
      <c r="C1065" t="str">
        <f>IF(D1065="","",IF(COUNTIF($D$2:D1065,D1065)&gt;1,"",SUMIFS(tbl_input[필요수량],tbl_input[집계키_청],D1065)))</f>
        <v/>
      </c>
      <c r="D1065" t="str">
        <f>IFERROR(INDEX(tbl_input[집계키_청],ROW()-1),"")</f>
        <v/>
      </c>
    </row>
    <row r="1066" spans="1:4" x14ac:dyDescent="0.4">
      <c r="A1066" t="str">
        <f t="shared" si="32"/>
        <v/>
      </c>
      <c r="B1066" t="str">
        <f t="shared" si="33"/>
        <v/>
      </c>
      <c r="C1066" t="str">
        <f>IF(D1066="","",IF(COUNTIF($D$2:D1066,D1066)&gt;1,"",SUMIFS(tbl_input[필요수량],tbl_input[집계키_청],D1066)))</f>
        <v/>
      </c>
      <c r="D1066" t="str">
        <f>IFERROR(INDEX(tbl_input[집계키_청],ROW()-1),"")</f>
        <v/>
      </c>
    </row>
    <row r="1067" spans="1:4" x14ac:dyDescent="0.4">
      <c r="A1067" t="str">
        <f t="shared" si="32"/>
        <v/>
      </c>
      <c r="B1067" t="str">
        <f t="shared" si="33"/>
        <v/>
      </c>
      <c r="C1067" t="str">
        <f>IF(D1067="","",IF(COUNTIF($D$2:D1067,D1067)&gt;1,"",SUMIFS(tbl_input[필요수량],tbl_input[집계키_청],D1067)))</f>
        <v/>
      </c>
      <c r="D1067" t="str">
        <f>IFERROR(INDEX(tbl_input[집계키_청],ROW()-1),"")</f>
        <v/>
      </c>
    </row>
    <row r="1068" spans="1:4" x14ac:dyDescent="0.4">
      <c r="A1068" t="str">
        <f t="shared" si="32"/>
        <v/>
      </c>
      <c r="B1068" t="str">
        <f t="shared" si="33"/>
        <v/>
      </c>
      <c r="C1068" t="str">
        <f>IF(D1068="","",IF(COUNTIF($D$2:D1068,D1068)&gt;1,"",SUMIFS(tbl_input[필요수량],tbl_input[집계키_청],D1068)))</f>
        <v/>
      </c>
      <c r="D1068" t="str">
        <f>IFERROR(INDEX(tbl_input[집계키_청],ROW()-1),"")</f>
        <v/>
      </c>
    </row>
    <row r="1069" spans="1:4" x14ac:dyDescent="0.4">
      <c r="A1069" t="str">
        <f t="shared" si="32"/>
        <v/>
      </c>
      <c r="B1069" t="str">
        <f t="shared" si="33"/>
        <v/>
      </c>
      <c r="C1069" t="str">
        <f>IF(D1069="","",IF(COUNTIF($D$2:D1069,D1069)&gt;1,"",SUMIFS(tbl_input[필요수량],tbl_input[집계키_청],D1069)))</f>
        <v/>
      </c>
      <c r="D1069" t="str">
        <f>IFERROR(INDEX(tbl_input[집계키_청],ROW()-1),"")</f>
        <v/>
      </c>
    </row>
    <row r="1070" spans="1:4" x14ac:dyDescent="0.4">
      <c r="A1070" t="str">
        <f t="shared" si="32"/>
        <v/>
      </c>
      <c r="B1070" t="str">
        <f t="shared" si="33"/>
        <v/>
      </c>
      <c r="C1070" t="str">
        <f>IF(D1070="","",IF(COUNTIF($D$2:D1070,D1070)&gt;1,"",SUMIFS(tbl_input[필요수량],tbl_input[집계키_청],D1070)))</f>
        <v/>
      </c>
      <c r="D1070" t="str">
        <f>IFERROR(INDEX(tbl_input[집계키_청],ROW()-1),"")</f>
        <v/>
      </c>
    </row>
    <row r="1071" spans="1:4" x14ac:dyDescent="0.4">
      <c r="A1071" t="str">
        <f t="shared" si="32"/>
        <v/>
      </c>
      <c r="B1071" t="str">
        <f t="shared" si="33"/>
        <v/>
      </c>
      <c r="C1071" t="str">
        <f>IF(D1071="","",IF(COUNTIF($D$2:D1071,D1071)&gt;1,"",SUMIFS(tbl_input[필요수량],tbl_input[집계키_청],D1071)))</f>
        <v/>
      </c>
      <c r="D1071" t="str">
        <f>IFERROR(INDEX(tbl_input[집계키_청],ROW()-1),"")</f>
        <v/>
      </c>
    </row>
    <row r="1072" spans="1:4" x14ac:dyDescent="0.4">
      <c r="A1072" t="str">
        <f t="shared" si="32"/>
        <v/>
      </c>
      <c r="B1072" t="str">
        <f t="shared" si="33"/>
        <v/>
      </c>
      <c r="C1072" t="str">
        <f>IF(D1072="","",IF(COUNTIF($D$2:D1072,D1072)&gt;1,"",SUMIFS(tbl_input[필요수량],tbl_input[집계키_청],D1072)))</f>
        <v/>
      </c>
      <c r="D1072" t="str">
        <f>IFERROR(INDEX(tbl_input[집계키_청],ROW()-1),"")</f>
        <v/>
      </c>
    </row>
    <row r="1073" spans="1:4" x14ac:dyDescent="0.4">
      <c r="A1073" t="str">
        <f t="shared" si="32"/>
        <v/>
      </c>
      <c r="B1073" t="str">
        <f t="shared" si="33"/>
        <v/>
      </c>
      <c r="C1073" t="str">
        <f>IF(D1073="","",IF(COUNTIF($D$2:D1073,D1073)&gt;1,"",SUMIFS(tbl_input[필요수량],tbl_input[집계키_청],D1073)))</f>
        <v/>
      </c>
      <c r="D1073" t="str">
        <f>IFERROR(INDEX(tbl_input[집계키_청],ROW()-1),"")</f>
        <v/>
      </c>
    </row>
    <row r="1074" spans="1:4" x14ac:dyDescent="0.4">
      <c r="A1074" t="str">
        <f t="shared" si="32"/>
        <v/>
      </c>
      <c r="B1074" t="str">
        <f t="shared" si="33"/>
        <v/>
      </c>
      <c r="C1074" t="str">
        <f>IF(D1074="","",IF(COUNTIF($D$2:D1074,D1074)&gt;1,"",SUMIFS(tbl_input[필요수량],tbl_input[집계키_청],D1074)))</f>
        <v/>
      </c>
      <c r="D1074" t="str">
        <f>IFERROR(INDEX(tbl_input[집계키_청],ROW()-1),"")</f>
        <v/>
      </c>
    </row>
    <row r="1075" spans="1:4" x14ac:dyDescent="0.4">
      <c r="A1075" t="str">
        <f t="shared" si="32"/>
        <v/>
      </c>
      <c r="B1075" t="str">
        <f t="shared" si="33"/>
        <v/>
      </c>
      <c r="C1075" t="str">
        <f>IF(D1075="","",IF(COUNTIF($D$2:D1075,D1075)&gt;1,"",SUMIFS(tbl_input[필요수량],tbl_input[집계키_청],D1075)))</f>
        <v/>
      </c>
      <c r="D1075" t="str">
        <f>IFERROR(INDEX(tbl_input[집계키_청],ROW()-1),"")</f>
        <v/>
      </c>
    </row>
    <row r="1076" spans="1:4" x14ac:dyDescent="0.4">
      <c r="A1076" t="str">
        <f t="shared" si="32"/>
        <v/>
      </c>
      <c r="B1076" t="str">
        <f t="shared" si="33"/>
        <v/>
      </c>
      <c r="C1076" t="str">
        <f>IF(D1076="","",IF(COUNTIF($D$2:D1076,D1076)&gt;1,"",SUMIFS(tbl_input[필요수량],tbl_input[집계키_청],D1076)))</f>
        <v/>
      </c>
      <c r="D1076" t="str">
        <f>IFERROR(INDEX(tbl_input[집계키_청],ROW()-1),"")</f>
        <v/>
      </c>
    </row>
    <row r="1077" spans="1:4" x14ac:dyDescent="0.4">
      <c r="A1077" t="str">
        <f t="shared" si="32"/>
        <v/>
      </c>
      <c r="B1077" t="str">
        <f t="shared" si="33"/>
        <v/>
      </c>
      <c r="C1077" t="str">
        <f>IF(D1077="","",IF(COUNTIF($D$2:D1077,D1077)&gt;1,"",SUMIFS(tbl_input[필요수량],tbl_input[집계키_청],D1077)))</f>
        <v/>
      </c>
      <c r="D1077" t="str">
        <f>IFERROR(INDEX(tbl_input[집계키_청],ROW()-1),"")</f>
        <v/>
      </c>
    </row>
    <row r="1078" spans="1:4" x14ac:dyDescent="0.4">
      <c r="A1078" t="str">
        <f t="shared" si="32"/>
        <v/>
      </c>
      <c r="B1078" t="str">
        <f t="shared" si="33"/>
        <v/>
      </c>
      <c r="C1078" t="str">
        <f>IF(D1078="","",IF(COUNTIF($D$2:D1078,D1078)&gt;1,"",SUMIFS(tbl_input[필요수량],tbl_input[집계키_청],D1078)))</f>
        <v/>
      </c>
      <c r="D1078" t="str">
        <f>IFERROR(INDEX(tbl_input[집계키_청],ROW()-1),"")</f>
        <v/>
      </c>
    </row>
    <row r="1079" spans="1:4" x14ac:dyDescent="0.4">
      <c r="A1079" t="str">
        <f t="shared" si="32"/>
        <v/>
      </c>
      <c r="B1079" t="str">
        <f t="shared" si="33"/>
        <v/>
      </c>
      <c r="C1079" t="str">
        <f>IF(D1079="","",IF(COUNTIF($D$2:D1079,D1079)&gt;1,"",SUMIFS(tbl_input[필요수량],tbl_input[집계키_청],D1079)))</f>
        <v/>
      </c>
      <c r="D1079" t="str">
        <f>IFERROR(INDEX(tbl_input[집계키_청],ROW()-1),"")</f>
        <v/>
      </c>
    </row>
    <row r="1080" spans="1:4" x14ac:dyDescent="0.4">
      <c r="A1080" t="str">
        <f t="shared" si="32"/>
        <v/>
      </c>
      <c r="B1080" t="str">
        <f t="shared" si="33"/>
        <v/>
      </c>
      <c r="C1080" t="str">
        <f>IF(D1080="","",IF(COUNTIF($D$2:D1080,D1080)&gt;1,"",SUMIFS(tbl_input[필요수량],tbl_input[집계키_청],D1080)))</f>
        <v/>
      </c>
      <c r="D1080" t="str">
        <f>IFERROR(INDEX(tbl_input[집계키_청],ROW()-1),"")</f>
        <v/>
      </c>
    </row>
    <row r="1081" spans="1:4" x14ac:dyDescent="0.4">
      <c r="A1081" t="str">
        <f t="shared" si="32"/>
        <v/>
      </c>
      <c r="B1081" t="str">
        <f t="shared" si="33"/>
        <v/>
      </c>
      <c r="C1081" t="str">
        <f>IF(D1081="","",IF(COUNTIF($D$2:D1081,D1081)&gt;1,"",SUMIFS(tbl_input[필요수량],tbl_input[집계키_청],D1081)))</f>
        <v/>
      </c>
      <c r="D1081" t="str">
        <f>IFERROR(INDEX(tbl_input[집계키_청],ROW()-1),"")</f>
        <v/>
      </c>
    </row>
    <row r="1082" spans="1:4" x14ac:dyDescent="0.4">
      <c r="A1082" t="str">
        <f t="shared" si="32"/>
        <v/>
      </c>
      <c r="B1082" t="str">
        <f t="shared" si="33"/>
        <v/>
      </c>
      <c r="C1082" t="str">
        <f>IF(D1082="","",IF(COUNTIF($D$2:D1082,D1082)&gt;1,"",SUMIFS(tbl_input[필요수량],tbl_input[집계키_청],D1082)))</f>
        <v/>
      </c>
      <c r="D1082" t="str">
        <f>IFERROR(INDEX(tbl_input[집계키_청],ROW()-1),"")</f>
        <v/>
      </c>
    </row>
    <row r="1083" spans="1:4" x14ac:dyDescent="0.4">
      <c r="A1083" t="str">
        <f t="shared" si="32"/>
        <v/>
      </c>
      <c r="B1083" t="str">
        <f t="shared" si="33"/>
        <v/>
      </c>
      <c r="C1083" t="str">
        <f>IF(D1083="","",IF(COUNTIF($D$2:D1083,D1083)&gt;1,"",SUMIFS(tbl_input[필요수량],tbl_input[집계키_청],D1083)))</f>
        <v/>
      </c>
      <c r="D1083" t="str">
        <f>IFERROR(INDEX(tbl_input[집계키_청],ROW()-1),"")</f>
        <v/>
      </c>
    </row>
    <row r="1084" spans="1:4" x14ac:dyDescent="0.4">
      <c r="A1084" t="str">
        <f t="shared" si="32"/>
        <v/>
      </c>
      <c r="B1084" t="str">
        <f t="shared" si="33"/>
        <v/>
      </c>
      <c r="C1084" t="str">
        <f>IF(D1084="","",IF(COUNTIF($D$2:D1084,D1084)&gt;1,"",SUMIFS(tbl_input[필요수량],tbl_input[집계키_청],D1084)))</f>
        <v/>
      </c>
      <c r="D1084" t="str">
        <f>IFERROR(INDEX(tbl_input[집계키_청],ROW()-1),"")</f>
        <v/>
      </c>
    </row>
    <row r="1085" spans="1:4" x14ac:dyDescent="0.4">
      <c r="A1085" t="str">
        <f t="shared" si="32"/>
        <v/>
      </c>
      <c r="B1085" t="str">
        <f t="shared" si="33"/>
        <v/>
      </c>
      <c r="C1085" t="str">
        <f>IF(D1085="","",IF(COUNTIF($D$2:D1085,D1085)&gt;1,"",SUMIFS(tbl_input[필요수량],tbl_input[집계키_청],D1085)))</f>
        <v/>
      </c>
      <c r="D1085" t="str">
        <f>IFERROR(INDEX(tbl_input[집계키_청],ROW()-1),"")</f>
        <v/>
      </c>
    </row>
    <row r="1086" spans="1:4" x14ac:dyDescent="0.4">
      <c r="A1086" t="str">
        <f t="shared" si="32"/>
        <v/>
      </c>
      <c r="B1086" t="str">
        <f t="shared" si="33"/>
        <v/>
      </c>
      <c r="C1086" t="str">
        <f>IF(D1086="","",IF(COUNTIF($D$2:D1086,D1086)&gt;1,"",SUMIFS(tbl_input[필요수량],tbl_input[집계키_청],D1086)))</f>
        <v/>
      </c>
      <c r="D1086" t="str">
        <f>IFERROR(INDEX(tbl_input[집계키_청],ROW()-1),"")</f>
        <v/>
      </c>
    </row>
    <row r="1087" spans="1:4" x14ac:dyDescent="0.4">
      <c r="A1087" t="str">
        <f t="shared" si="32"/>
        <v/>
      </c>
      <c r="B1087" t="str">
        <f t="shared" si="33"/>
        <v/>
      </c>
      <c r="C1087" t="str">
        <f>IF(D1087="","",IF(COUNTIF($D$2:D1087,D1087)&gt;1,"",SUMIFS(tbl_input[필요수량],tbl_input[집계키_청],D1087)))</f>
        <v/>
      </c>
      <c r="D1087" t="str">
        <f>IFERROR(INDEX(tbl_input[집계키_청],ROW()-1),"")</f>
        <v/>
      </c>
    </row>
    <row r="1088" spans="1:4" x14ac:dyDescent="0.4">
      <c r="A1088" t="str">
        <f t="shared" si="32"/>
        <v/>
      </c>
      <c r="B1088" t="str">
        <f t="shared" si="33"/>
        <v/>
      </c>
      <c r="C1088" t="str">
        <f>IF(D1088="","",IF(COUNTIF($D$2:D1088,D1088)&gt;1,"",SUMIFS(tbl_input[필요수량],tbl_input[집계키_청],D1088)))</f>
        <v/>
      </c>
      <c r="D1088" t="str">
        <f>IFERROR(INDEX(tbl_input[집계키_청],ROW()-1),"")</f>
        <v/>
      </c>
    </row>
    <row r="1089" spans="1:4" x14ac:dyDescent="0.4">
      <c r="A1089" t="str">
        <f t="shared" si="32"/>
        <v/>
      </c>
      <c r="B1089" t="str">
        <f t="shared" si="33"/>
        <v/>
      </c>
      <c r="C1089" t="str">
        <f>IF(D1089="","",IF(COUNTIF($D$2:D1089,D1089)&gt;1,"",SUMIFS(tbl_input[필요수량],tbl_input[집계키_청],D1089)))</f>
        <v/>
      </c>
      <c r="D1089" t="str">
        <f>IFERROR(INDEX(tbl_input[집계키_청],ROW()-1),"")</f>
        <v/>
      </c>
    </row>
    <row r="1090" spans="1:4" x14ac:dyDescent="0.4">
      <c r="A1090" t="str">
        <f t="shared" ref="A1090:A1153" si="34">IF(D1090="","",LEFT(D1090,FIND("♦",D1090)-1))</f>
        <v/>
      </c>
      <c r="B1090" t="str">
        <f t="shared" ref="B1090:B1153" si="35">IF(D1090="","",MID(D1090,FIND("♦",D1090)+1,999))</f>
        <v/>
      </c>
      <c r="C1090" t="str">
        <f>IF(D1090="","",IF(COUNTIF($D$2:D1090,D1090)&gt;1,"",SUMIFS(tbl_input[필요수량],tbl_input[집계키_청],D1090)))</f>
        <v/>
      </c>
      <c r="D1090" t="str">
        <f>IFERROR(INDEX(tbl_input[집계키_청],ROW()-1),"")</f>
        <v/>
      </c>
    </row>
    <row r="1091" spans="1:4" x14ac:dyDescent="0.4">
      <c r="A1091" t="str">
        <f t="shared" si="34"/>
        <v/>
      </c>
      <c r="B1091" t="str">
        <f t="shared" si="35"/>
        <v/>
      </c>
      <c r="C1091" t="str">
        <f>IF(D1091="","",IF(COUNTIF($D$2:D1091,D1091)&gt;1,"",SUMIFS(tbl_input[필요수량],tbl_input[집계키_청],D1091)))</f>
        <v/>
      </c>
      <c r="D1091" t="str">
        <f>IFERROR(INDEX(tbl_input[집계키_청],ROW()-1),"")</f>
        <v/>
      </c>
    </row>
    <row r="1092" spans="1:4" x14ac:dyDescent="0.4">
      <c r="A1092" t="str">
        <f t="shared" si="34"/>
        <v/>
      </c>
      <c r="B1092" t="str">
        <f t="shared" si="35"/>
        <v/>
      </c>
      <c r="C1092" t="str">
        <f>IF(D1092="","",IF(COUNTIF($D$2:D1092,D1092)&gt;1,"",SUMIFS(tbl_input[필요수량],tbl_input[집계키_청],D1092)))</f>
        <v/>
      </c>
      <c r="D1092" t="str">
        <f>IFERROR(INDEX(tbl_input[집계키_청],ROW()-1),"")</f>
        <v/>
      </c>
    </row>
    <row r="1093" spans="1:4" x14ac:dyDescent="0.4">
      <c r="A1093" t="str">
        <f t="shared" si="34"/>
        <v/>
      </c>
      <c r="B1093" t="str">
        <f t="shared" si="35"/>
        <v/>
      </c>
      <c r="C1093" t="str">
        <f>IF(D1093="","",IF(COUNTIF($D$2:D1093,D1093)&gt;1,"",SUMIFS(tbl_input[필요수량],tbl_input[집계키_청],D1093)))</f>
        <v/>
      </c>
      <c r="D1093" t="str">
        <f>IFERROR(INDEX(tbl_input[집계키_청],ROW()-1),"")</f>
        <v/>
      </c>
    </row>
    <row r="1094" spans="1:4" x14ac:dyDescent="0.4">
      <c r="A1094" t="str">
        <f t="shared" si="34"/>
        <v/>
      </c>
      <c r="B1094" t="str">
        <f t="shared" si="35"/>
        <v/>
      </c>
      <c r="C1094" t="str">
        <f>IF(D1094="","",IF(COUNTIF($D$2:D1094,D1094)&gt;1,"",SUMIFS(tbl_input[필요수량],tbl_input[집계키_청],D1094)))</f>
        <v/>
      </c>
      <c r="D1094" t="str">
        <f>IFERROR(INDEX(tbl_input[집계키_청],ROW()-1),"")</f>
        <v/>
      </c>
    </row>
    <row r="1095" spans="1:4" x14ac:dyDescent="0.4">
      <c r="A1095" t="str">
        <f t="shared" si="34"/>
        <v/>
      </c>
      <c r="B1095" t="str">
        <f t="shared" si="35"/>
        <v/>
      </c>
      <c r="C1095" t="str">
        <f>IF(D1095="","",IF(COUNTIF($D$2:D1095,D1095)&gt;1,"",SUMIFS(tbl_input[필요수량],tbl_input[집계키_청],D1095)))</f>
        <v/>
      </c>
      <c r="D1095" t="str">
        <f>IFERROR(INDEX(tbl_input[집계키_청],ROW()-1),"")</f>
        <v/>
      </c>
    </row>
    <row r="1096" spans="1:4" x14ac:dyDescent="0.4">
      <c r="A1096" t="str">
        <f t="shared" si="34"/>
        <v/>
      </c>
      <c r="B1096" t="str">
        <f t="shared" si="35"/>
        <v/>
      </c>
      <c r="C1096" t="str">
        <f>IF(D1096="","",IF(COUNTIF($D$2:D1096,D1096)&gt;1,"",SUMIFS(tbl_input[필요수량],tbl_input[집계키_청],D1096)))</f>
        <v/>
      </c>
      <c r="D1096" t="str">
        <f>IFERROR(INDEX(tbl_input[집계키_청],ROW()-1),"")</f>
        <v/>
      </c>
    </row>
    <row r="1097" spans="1:4" x14ac:dyDescent="0.4">
      <c r="A1097" t="str">
        <f t="shared" si="34"/>
        <v/>
      </c>
      <c r="B1097" t="str">
        <f t="shared" si="35"/>
        <v/>
      </c>
      <c r="C1097" t="str">
        <f>IF(D1097="","",IF(COUNTIF($D$2:D1097,D1097)&gt;1,"",SUMIFS(tbl_input[필요수량],tbl_input[집계키_청],D1097)))</f>
        <v/>
      </c>
      <c r="D1097" t="str">
        <f>IFERROR(INDEX(tbl_input[집계키_청],ROW()-1),"")</f>
        <v/>
      </c>
    </row>
    <row r="1098" spans="1:4" x14ac:dyDescent="0.4">
      <c r="A1098" t="str">
        <f t="shared" si="34"/>
        <v/>
      </c>
      <c r="B1098" t="str">
        <f t="shared" si="35"/>
        <v/>
      </c>
      <c r="C1098" t="str">
        <f>IF(D1098="","",IF(COUNTIF($D$2:D1098,D1098)&gt;1,"",SUMIFS(tbl_input[필요수량],tbl_input[집계키_청],D1098)))</f>
        <v/>
      </c>
      <c r="D1098" t="str">
        <f>IFERROR(INDEX(tbl_input[집계키_청],ROW()-1),"")</f>
        <v/>
      </c>
    </row>
    <row r="1099" spans="1:4" x14ac:dyDescent="0.4">
      <c r="A1099" t="str">
        <f t="shared" si="34"/>
        <v/>
      </c>
      <c r="B1099" t="str">
        <f t="shared" si="35"/>
        <v/>
      </c>
      <c r="C1099" t="str">
        <f>IF(D1099="","",IF(COUNTIF($D$2:D1099,D1099)&gt;1,"",SUMIFS(tbl_input[필요수량],tbl_input[집계키_청],D1099)))</f>
        <v/>
      </c>
      <c r="D1099" t="str">
        <f>IFERROR(INDEX(tbl_input[집계키_청],ROW()-1),"")</f>
        <v/>
      </c>
    </row>
    <row r="1100" spans="1:4" x14ac:dyDescent="0.4">
      <c r="A1100" t="str">
        <f t="shared" si="34"/>
        <v/>
      </c>
      <c r="B1100" t="str">
        <f t="shared" si="35"/>
        <v/>
      </c>
      <c r="C1100" t="str">
        <f>IF(D1100="","",IF(COUNTIF($D$2:D1100,D1100)&gt;1,"",SUMIFS(tbl_input[필요수량],tbl_input[집계키_청],D1100)))</f>
        <v/>
      </c>
      <c r="D1100" t="str">
        <f>IFERROR(INDEX(tbl_input[집계키_청],ROW()-1),"")</f>
        <v/>
      </c>
    </row>
    <row r="1101" spans="1:4" x14ac:dyDescent="0.4">
      <c r="A1101" t="str">
        <f t="shared" si="34"/>
        <v/>
      </c>
      <c r="B1101" t="str">
        <f t="shared" si="35"/>
        <v/>
      </c>
      <c r="C1101" t="str">
        <f>IF(D1101="","",IF(COUNTIF($D$2:D1101,D1101)&gt;1,"",SUMIFS(tbl_input[필요수량],tbl_input[집계키_청],D1101)))</f>
        <v/>
      </c>
      <c r="D1101" t="str">
        <f>IFERROR(INDEX(tbl_input[집계키_청],ROW()-1),"")</f>
        <v/>
      </c>
    </row>
    <row r="1102" spans="1:4" x14ac:dyDescent="0.4">
      <c r="A1102" t="str">
        <f t="shared" si="34"/>
        <v/>
      </c>
      <c r="B1102" t="str">
        <f t="shared" si="35"/>
        <v/>
      </c>
      <c r="C1102" t="str">
        <f>IF(D1102="","",IF(COUNTIF($D$2:D1102,D1102)&gt;1,"",SUMIFS(tbl_input[필요수량],tbl_input[집계키_청],D1102)))</f>
        <v/>
      </c>
      <c r="D1102" t="str">
        <f>IFERROR(INDEX(tbl_input[집계키_청],ROW()-1),"")</f>
        <v/>
      </c>
    </row>
    <row r="1103" spans="1:4" x14ac:dyDescent="0.4">
      <c r="A1103" t="str">
        <f t="shared" si="34"/>
        <v/>
      </c>
      <c r="B1103" t="str">
        <f t="shared" si="35"/>
        <v/>
      </c>
      <c r="C1103" t="str">
        <f>IF(D1103="","",IF(COUNTIF($D$2:D1103,D1103)&gt;1,"",SUMIFS(tbl_input[필요수량],tbl_input[집계키_청],D1103)))</f>
        <v/>
      </c>
      <c r="D1103" t="str">
        <f>IFERROR(INDEX(tbl_input[집계키_청],ROW()-1),"")</f>
        <v/>
      </c>
    </row>
    <row r="1104" spans="1:4" x14ac:dyDescent="0.4">
      <c r="A1104" t="str">
        <f t="shared" si="34"/>
        <v/>
      </c>
      <c r="B1104" t="str">
        <f t="shared" si="35"/>
        <v/>
      </c>
      <c r="C1104" t="str">
        <f>IF(D1104="","",IF(COUNTIF($D$2:D1104,D1104)&gt;1,"",SUMIFS(tbl_input[필요수량],tbl_input[집계키_청],D1104)))</f>
        <v/>
      </c>
      <c r="D1104" t="str">
        <f>IFERROR(INDEX(tbl_input[집계키_청],ROW()-1),"")</f>
        <v/>
      </c>
    </row>
    <row r="1105" spans="1:4" x14ac:dyDescent="0.4">
      <c r="A1105" t="str">
        <f t="shared" si="34"/>
        <v/>
      </c>
      <c r="B1105" t="str">
        <f t="shared" si="35"/>
        <v/>
      </c>
      <c r="C1105" t="str">
        <f>IF(D1105="","",IF(COUNTIF($D$2:D1105,D1105)&gt;1,"",SUMIFS(tbl_input[필요수량],tbl_input[집계키_청],D1105)))</f>
        <v/>
      </c>
      <c r="D1105" t="str">
        <f>IFERROR(INDEX(tbl_input[집계키_청],ROW()-1),"")</f>
        <v/>
      </c>
    </row>
    <row r="1106" spans="1:4" x14ac:dyDescent="0.4">
      <c r="A1106" t="str">
        <f t="shared" si="34"/>
        <v/>
      </c>
      <c r="B1106" t="str">
        <f t="shared" si="35"/>
        <v/>
      </c>
      <c r="C1106" t="str">
        <f>IF(D1106="","",IF(COUNTIF($D$2:D1106,D1106)&gt;1,"",SUMIFS(tbl_input[필요수량],tbl_input[집계키_청],D1106)))</f>
        <v/>
      </c>
      <c r="D1106" t="str">
        <f>IFERROR(INDEX(tbl_input[집계키_청],ROW()-1),"")</f>
        <v/>
      </c>
    </row>
    <row r="1107" spans="1:4" x14ac:dyDescent="0.4">
      <c r="A1107" t="str">
        <f t="shared" si="34"/>
        <v/>
      </c>
      <c r="B1107" t="str">
        <f t="shared" si="35"/>
        <v/>
      </c>
      <c r="C1107" t="str">
        <f>IF(D1107="","",IF(COUNTIF($D$2:D1107,D1107)&gt;1,"",SUMIFS(tbl_input[필요수량],tbl_input[집계키_청],D1107)))</f>
        <v/>
      </c>
      <c r="D1107" t="str">
        <f>IFERROR(INDEX(tbl_input[집계키_청],ROW()-1),"")</f>
        <v/>
      </c>
    </row>
    <row r="1108" spans="1:4" x14ac:dyDescent="0.4">
      <c r="A1108" t="str">
        <f t="shared" si="34"/>
        <v/>
      </c>
      <c r="B1108" t="str">
        <f t="shared" si="35"/>
        <v/>
      </c>
      <c r="C1108" t="str">
        <f>IF(D1108="","",IF(COUNTIF($D$2:D1108,D1108)&gt;1,"",SUMIFS(tbl_input[필요수량],tbl_input[집계키_청],D1108)))</f>
        <v/>
      </c>
      <c r="D1108" t="str">
        <f>IFERROR(INDEX(tbl_input[집계키_청],ROW()-1),"")</f>
        <v/>
      </c>
    </row>
    <row r="1109" spans="1:4" x14ac:dyDescent="0.4">
      <c r="A1109" t="str">
        <f t="shared" si="34"/>
        <v/>
      </c>
      <c r="B1109" t="str">
        <f t="shared" si="35"/>
        <v/>
      </c>
      <c r="C1109" t="str">
        <f>IF(D1109="","",IF(COUNTIF($D$2:D1109,D1109)&gt;1,"",SUMIFS(tbl_input[필요수량],tbl_input[집계키_청],D1109)))</f>
        <v/>
      </c>
      <c r="D1109" t="str">
        <f>IFERROR(INDEX(tbl_input[집계키_청],ROW()-1),"")</f>
        <v/>
      </c>
    </row>
    <row r="1110" spans="1:4" x14ac:dyDescent="0.4">
      <c r="A1110" t="str">
        <f t="shared" si="34"/>
        <v/>
      </c>
      <c r="B1110" t="str">
        <f t="shared" si="35"/>
        <v/>
      </c>
      <c r="C1110" t="str">
        <f>IF(D1110="","",IF(COUNTIF($D$2:D1110,D1110)&gt;1,"",SUMIFS(tbl_input[필요수량],tbl_input[집계키_청],D1110)))</f>
        <v/>
      </c>
      <c r="D1110" t="str">
        <f>IFERROR(INDEX(tbl_input[집계키_청],ROW()-1),"")</f>
        <v/>
      </c>
    </row>
    <row r="1111" spans="1:4" x14ac:dyDescent="0.4">
      <c r="A1111" t="str">
        <f t="shared" si="34"/>
        <v/>
      </c>
      <c r="B1111" t="str">
        <f t="shared" si="35"/>
        <v/>
      </c>
      <c r="C1111" t="str">
        <f>IF(D1111="","",IF(COUNTIF($D$2:D1111,D1111)&gt;1,"",SUMIFS(tbl_input[필요수량],tbl_input[집계키_청],D1111)))</f>
        <v/>
      </c>
      <c r="D1111" t="str">
        <f>IFERROR(INDEX(tbl_input[집계키_청],ROW()-1),"")</f>
        <v/>
      </c>
    </row>
    <row r="1112" spans="1:4" x14ac:dyDescent="0.4">
      <c r="A1112" t="str">
        <f t="shared" si="34"/>
        <v/>
      </c>
      <c r="B1112" t="str">
        <f t="shared" si="35"/>
        <v/>
      </c>
      <c r="C1112" t="str">
        <f>IF(D1112="","",IF(COUNTIF($D$2:D1112,D1112)&gt;1,"",SUMIFS(tbl_input[필요수량],tbl_input[집계키_청],D1112)))</f>
        <v/>
      </c>
      <c r="D1112" t="str">
        <f>IFERROR(INDEX(tbl_input[집계키_청],ROW()-1),"")</f>
        <v/>
      </c>
    </row>
    <row r="1113" spans="1:4" x14ac:dyDescent="0.4">
      <c r="A1113" t="str">
        <f t="shared" si="34"/>
        <v/>
      </c>
      <c r="B1113" t="str">
        <f t="shared" si="35"/>
        <v/>
      </c>
      <c r="C1113" t="str">
        <f>IF(D1113="","",IF(COUNTIF($D$2:D1113,D1113)&gt;1,"",SUMIFS(tbl_input[필요수량],tbl_input[집계키_청],D1113)))</f>
        <v/>
      </c>
      <c r="D1113" t="str">
        <f>IFERROR(INDEX(tbl_input[집계키_청],ROW()-1),"")</f>
        <v/>
      </c>
    </row>
    <row r="1114" spans="1:4" x14ac:dyDescent="0.4">
      <c r="A1114" t="str">
        <f t="shared" si="34"/>
        <v/>
      </c>
      <c r="B1114" t="str">
        <f t="shared" si="35"/>
        <v/>
      </c>
      <c r="C1114" t="str">
        <f>IF(D1114="","",IF(COUNTIF($D$2:D1114,D1114)&gt;1,"",SUMIFS(tbl_input[필요수량],tbl_input[집계키_청],D1114)))</f>
        <v/>
      </c>
      <c r="D1114" t="str">
        <f>IFERROR(INDEX(tbl_input[집계키_청],ROW()-1),"")</f>
        <v/>
      </c>
    </row>
    <row r="1115" spans="1:4" x14ac:dyDescent="0.4">
      <c r="A1115" t="str">
        <f t="shared" si="34"/>
        <v/>
      </c>
      <c r="B1115" t="str">
        <f t="shared" si="35"/>
        <v/>
      </c>
      <c r="C1115" t="str">
        <f>IF(D1115="","",IF(COUNTIF($D$2:D1115,D1115)&gt;1,"",SUMIFS(tbl_input[필요수량],tbl_input[집계키_청],D1115)))</f>
        <v/>
      </c>
      <c r="D1115" t="str">
        <f>IFERROR(INDEX(tbl_input[집계키_청],ROW()-1),"")</f>
        <v/>
      </c>
    </row>
    <row r="1116" spans="1:4" x14ac:dyDescent="0.4">
      <c r="A1116" t="str">
        <f t="shared" si="34"/>
        <v/>
      </c>
      <c r="B1116" t="str">
        <f t="shared" si="35"/>
        <v/>
      </c>
      <c r="C1116" t="str">
        <f>IF(D1116="","",IF(COUNTIF($D$2:D1116,D1116)&gt;1,"",SUMIFS(tbl_input[필요수량],tbl_input[집계키_청],D1116)))</f>
        <v/>
      </c>
      <c r="D1116" t="str">
        <f>IFERROR(INDEX(tbl_input[집계키_청],ROW()-1),"")</f>
        <v/>
      </c>
    </row>
    <row r="1117" spans="1:4" x14ac:dyDescent="0.4">
      <c r="A1117" t="str">
        <f t="shared" si="34"/>
        <v/>
      </c>
      <c r="B1117" t="str">
        <f t="shared" si="35"/>
        <v/>
      </c>
      <c r="C1117" t="str">
        <f>IF(D1117="","",IF(COUNTIF($D$2:D1117,D1117)&gt;1,"",SUMIFS(tbl_input[필요수량],tbl_input[집계키_청],D1117)))</f>
        <v/>
      </c>
      <c r="D1117" t="str">
        <f>IFERROR(INDEX(tbl_input[집계키_청],ROW()-1),"")</f>
        <v/>
      </c>
    </row>
    <row r="1118" spans="1:4" x14ac:dyDescent="0.4">
      <c r="A1118" t="str">
        <f t="shared" si="34"/>
        <v/>
      </c>
      <c r="B1118" t="str">
        <f t="shared" si="35"/>
        <v/>
      </c>
      <c r="C1118" t="str">
        <f>IF(D1118="","",IF(COUNTIF($D$2:D1118,D1118)&gt;1,"",SUMIFS(tbl_input[필요수량],tbl_input[집계키_청],D1118)))</f>
        <v/>
      </c>
      <c r="D1118" t="str">
        <f>IFERROR(INDEX(tbl_input[집계키_청],ROW()-1),"")</f>
        <v/>
      </c>
    </row>
    <row r="1119" spans="1:4" x14ac:dyDescent="0.4">
      <c r="A1119" t="str">
        <f t="shared" si="34"/>
        <v/>
      </c>
      <c r="B1119" t="str">
        <f t="shared" si="35"/>
        <v/>
      </c>
      <c r="C1119" t="str">
        <f>IF(D1119="","",IF(COUNTIF($D$2:D1119,D1119)&gt;1,"",SUMIFS(tbl_input[필요수량],tbl_input[집계키_청],D1119)))</f>
        <v/>
      </c>
      <c r="D1119" t="str">
        <f>IFERROR(INDEX(tbl_input[집계키_청],ROW()-1),"")</f>
        <v/>
      </c>
    </row>
    <row r="1120" spans="1:4" x14ac:dyDescent="0.4">
      <c r="A1120" t="str">
        <f t="shared" si="34"/>
        <v/>
      </c>
      <c r="B1120" t="str">
        <f t="shared" si="35"/>
        <v/>
      </c>
      <c r="C1120" t="str">
        <f>IF(D1120="","",IF(COUNTIF($D$2:D1120,D1120)&gt;1,"",SUMIFS(tbl_input[필요수량],tbl_input[집계키_청],D1120)))</f>
        <v/>
      </c>
      <c r="D1120" t="str">
        <f>IFERROR(INDEX(tbl_input[집계키_청],ROW()-1),"")</f>
        <v/>
      </c>
    </row>
    <row r="1121" spans="1:4" x14ac:dyDescent="0.4">
      <c r="A1121" t="str">
        <f t="shared" si="34"/>
        <v/>
      </c>
      <c r="B1121" t="str">
        <f t="shared" si="35"/>
        <v/>
      </c>
      <c r="C1121" t="str">
        <f>IF(D1121="","",IF(COUNTIF($D$2:D1121,D1121)&gt;1,"",SUMIFS(tbl_input[필요수량],tbl_input[집계키_청],D1121)))</f>
        <v/>
      </c>
      <c r="D1121" t="str">
        <f>IFERROR(INDEX(tbl_input[집계키_청],ROW()-1),"")</f>
        <v/>
      </c>
    </row>
    <row r="1122" spans="1:4" x14ac:dyDescent="0.4">
      <c r="A1122" t="str">
        <f t="shared" si="34"/>
        <v/>
      </c>
      <c r="B1122" t="str">
        <f t="shared" si="35"/>
        <v/>
      </c>
      <c r="C1122" t="str">
        <f>IF(D1122="","",IF(COUNTIF($D$2:D1122,D1122)&gt;1,"",SUMIFS(tbl_input[필요수량],tbl_input[집계키_청],D1122)))</f>
        <v/>
      </c>
      <c r="D1122" t="str">
        <f>IFERROR(INDEX(tbl_input[집계키_청],ROW()-1),"")</f>
        <v/>
      </c>
    </row>
    <row r="1123" spans="1:4" x14ac:dyDescent="0.4">
      <c r="A1123" t="str">
        <f t="shared" si="34"/>
        <v/>
      </c>
      <c r="B1123" t="str">
        <f t="shared" si="35"/>
        <v/>
      </c>
      <c r="C1123" t="str">
        <f>IF(D1123="","",IF(COUNTIF($D$2:D1123,D1123)&gt;1,"",SUMIFS(tbl_input[필요수량],tbl_input[집계키_청],D1123)))</f>
        <v/>
      </c>
      <c r="D1123" t="str">
        <f>IFERROR(INDEX(tbl_input[집계키_청],ROW()-1),"")</f>
        <v/>
      </c>
    </row>
    <row r="1124" spans="1:4" x14ac:dyDescent="0.4">
      <c r="A1124" t="str">
        <f t="shared" si="34"/>
        <v/>
      </c>
      <c r="B1124" t="str">
        <f t="shared" si="35"/>
        <v/>
      </c>
      <c r="C1124" t="str">
        <f>IF(D1124="","",IF(COUNTIF($D$2:D1124,D1124)&gt;1,"",SUMIFS(tbl_input[필요수량],tbl_input[집계키_청],D1124)))</f>
        <v/>
      </c>
      <c r="D1124" t="str">
        <f>IFERROR(INDEX(tbl_input[집계키_청],ROW()-1),"")</f>
        <v/>
      </c>
    </row>
    <row r="1125" spans="1:4" x14ac:dyDescent="0.4">
      <c r="A1125" t="str">
        <f t="shared" si="34"/>
        <v/>
      </c>
      <c r="B1125" t="str">
        <f t="shared" si="35"/>
        <v/>
      </c>
      <c r="C1125" t="str">
        <f>IF(D1125="","",IF(COUNTIF($D$2:D1125,D1125)&gt;1,"",SUMIFS(tbl_input[필요수량],tbl_input[집계키_청],D1125)))</f>
        <v/>
      </c>
      <c r="D1125" t="str">
        <f>IFERROR(INDEX(tbl_input[집계키_청],ROW()-1),"")</f>
        <v/>
      </c>
    </row>
    <row r="1126" spans="1:4" x14ac:dyDescent="0.4">
      <c r="A1126" t="str">
        <f t="shared" si="34"/>
        <v/>
      </c>
      <c r="B1126" t="str">
        <f t="shared" si="35"/>
        <v/>
      </c>
      <c r="C1126" t="str">
        <f>IF(D1126="","",IF(COUNTIF($D$2:D1126,D1126)&gt;1,"",SUMIFS(tbl_input[필요수량],tbl_input[집계키_청],D1126)))</f>
        <v/>
      </c>
      <c r="D1126" t="str">
        <f>IFERROR(INDEX(tbl_input[집계키_청],ROW()-1),"")</f>
        <v/>
      </c>
    </row>
    <row r="1127" spans="1:4" x14ac:dyDescent="0.4">
      <c r="A1127" t="str">
        <f t="shared" si="34"/>
        <v/>
      </c>
      <c r="B1127" t="str">
        <f t="shared" si="35"/>
        <v/>
      </c>
      <c r="C1127" t="str">
        <f>IF(D1127="","",IF(COUNTIF($D$2:D1127,D1127)&gt;1,"",SUMIFS(tbl_input[필요수량],tbl_input[집계키_청],D1127)))</f>
        <v/>
      </c>
      <c r="D1127" t="str">
        <f>IFERROR(INDEX(tbl_input[집계키_청],ROW()-1),"")</f>
        <v/>
      </c>
    </row>
    <row r="1128" spans="1:4" x14ac:dyDescent="0.4">
      <c r="A1128" t="str">
        <f t="shared" si="34"/>
        <v/>
      </c>
      <c r="B1128" t="str">
        <f t="shared" si="35"/>
        <v/>
      </c>
      <c r="C1128" t="str">
        <f>IF(D1128="","",IF(COUNTIF($D$2:D1128,D1128)&gt;1,"",SUMIFS(tbl_input[필요수량],tbl_input[집계키_청],D1128)))</f>
        <v/>
      </c>
      <c r="D1128" t="str">
        <f>IFERROR(INDEX(tbl_input[집계키_청],ROW()-1),"")</f>
        <v/>
      </c>
    </row>
    <row r="1129" spans="1:4" x14ac:dyDescent="0.4">
      <c r="A1129" t="str">
        <f t="shared" si="34"/>
        <v/>
      </c>
      <c r="B1129" t="str">
        <f t="shared" si="35"/>
        <v/>
      </c>
      <c r="C1129" t="str">
        <f>IF(D1129="","",IF(COUNTIF($D$2:D1129,D1129)&gt;1,"",SUMIFS(tbl_input[필요수량],tbl_input[집계키_청],D1129)))</f>
        <v/>
      </c>
      <c r="D1129" t="str">
        <f>IFERROR(INDEX(tbl_input[집계키_청],ROW()-1),"")</f>
        <v/>
      </c>
    </row>
    <row r="1130" spans="1:4" x14ac:dyDescent="0.4">
      <c r="A1130" t="str">
        <f t="shared" si="34"/>
        <v/>
      </c>
      <c r="B1130" t="str">
        <f t="shared" si="35"/>
        <v/>
      </c>
      <c r="C1130" t="str">
        <f>IF(D1130="","",IF(COUNTIF($D$2:D1130,D1130)&gt;1,"",SUMIFS(tbl_input[필요수량],tbl_input[집계키_청],D1130)))</f>
        <v/>
      </c>
      <c r="D1130" t="str">
        <f>IFERROR(INDEX(tbl_input[집계키_청],ROW()-1),"")</f>
        <v/>
      </c>
    </row>
    <row r="1131" spans="1:4" x14ac:dyDescent="0.4">
      <c r="A1131" t="str">
        <f t="shared" si="34"/>
        <v/>
      </c>
      <c r="B1131" t="str">
        <f t="shared" si="35"/>
        <v/>
      </c>
      <c r="C1131" t="str">
        <f>IF(D1131="","",IF(COUNTIF($D$2:D1131,D1131)&gt;1,"",SUMIFS(tbl_input[필요수량],tbl_input[집계키_청],D1131)))</f>
        <v/>
      </c>
      <c r="D1131" t="str">
        <f>IFERROR(INDEX(tbl_input[집계키_청],ROW()-1),"")</f>
        <v/>
      </c>
    </row>
    <row r="1132" spans="1:4" x14ac:dyDescent="0.4">
      <c r="A1132" t="str">
        <f t="shared" si="34"/>
        <v/>
      </c>
      <c r="B1132" t="str">
        <f t="shared" si="35"/>
        <v/>
      </c>
      <c r="C1132" t="str">
        <f>IF(D1132="","",IF(COUNTIF($D$2:D1132,D1132)&gt;1,"",SUMIFS(tbl_input[필요수량],tbl_input[집계키_청],D1132)))</f>
        <v/>
      </c>
      <c r="D1132" t="str">
        <f>IFERROR(INDEX(tbl_input[집계키_청],ROW()-1),"")</f>
        <v/>
      </c>
    </row>
    <row r="1133" spans="1:4" x14ac:dyDescent="0.4">
      <c r="A1133" t="str">
        <f t="shared" si="34"/>
        <v/>
      </c>
      <c r="B1133" t="str">
        <f t="shared" si="35"/>
        <v/>
      </c>
      <c r="C1133" t="str">
        <f>IF(D1133="","",IF(COUNTIF($D$2:D1133,D1133)&gt;1,"",SUMIFS(tbl_input[필요수량],tbl_input[집계키_청],D1133)))</f>
        <v/>
      </c>
      <c r="D1133" t="str">
        <f>IFERROR(INDEX(tbl_input[집계키_청],ROW()-1),"")</f>
        <v/>
      </c>
    </row>
    <row r="1134" spans="1:4" x14ac:dyDescent="0.4">
      <c r="A1134" t="str">
        <f t="shared" si="34"/>
        <v/>
      </c>
      <c r="B1134" t="str">
        <f t="shared" si="35"/>
        <v/>
      </c>
      <c r="C1134" t="str">
        <f>IF(D1134="","",IF(COUNTIF($D$2:D1134,D1134)&gt;1,"",SUMIFS(tbl_input[필요수량],tbl_input[집계키_청],D1134)))</f>
        <v/>
      </c>
      <c r="D1134" t="str">
        <f>IFERROR(INDEX(tbl_input[집계키_청],ROW()-1),"")</f>
        <v/>
      </c>
    </row>
    <row r="1135" spans="1:4" x14ac:dyDescent="0.4">
      <c r="A1135" t="str">
        <f t="shared" si="34"/>
        <v/>
      </c>
      <c r="B1135" t="str">
        <f t="shared" si="35"/>
        <v/>
      </c>
      <c r="C1135" t="str">
        <f>IF(D1135="","",IF(COUNTIF($D$2:D1135,D1135)&gt;1,"",SUMIFS(tbl_input[필요수량],tbl_input[집계키_청],D1135)))</f>
        <v/>
      </c>
      <c r="D1135" t="str">
        <f>IFERROR(INDEX(tbl_input[집계키_청],ROW()-1),"")</f>
        <v/>
      </c>
    </row>
    <row r="1136" spans="1:4" x14ac:dyDescent="0.4">
      <c r="A1136" t="str">
        <f t="shared" si="34"/>
        <v/>
      </c>
      <c r="B1136" t="str">
        <f t="shared" si="35"/>
        <v/>
      </c>
      <c r="C1136" t="str">
        <f>IF(D1136="","",IF(COUNTIF($D$2:D1136,D1136)&gt;1,"",SUMIFS(tbl_input[필요수량],tbl_input[집계키_청],D1136)))</f>
        <v/>
      </c>
      <c r="D1136" t="str">
        <f>IFERROR(INDEX(tbl_input[집계키_청],ROW()-1),"")</f>
        <v/>
      </c>
    </row>
    <row r="1137" spans="1:4" x14ac:dyDescent="0.4">
      <c r="A1137" t="str">
        <f t="shared" si="34"/>
        <v/>
      </c>
      <c r="B1137" t="str">
        <f t="shared" si="35"/>
        <v/>
      </c>
      <c r="C1137" t="str">
        <f>IF(D1137="","",IF(COUNTIF($D$2:D1137,D1137)&gt;1,"",SUMIFS(tbl_input[필요수량],tbl_input[집계키_청],D1137)))</f>
        <v/>
      </c>
      <c r="D1137" t="str">
        <f>IFERROR(INDEX(tbl_input[집계키_청],ROW()-1),"")</f>
        <v/>
      </c>
    </row>
    <row r="1138" spans="1:4" x14ac:dyDescent="0.4">
      <c r="A1138" t="str">
        <f t="shared" si="34"/>
        <v/>
      </c>
      <c r="B1138" t="str">
        <f t="shared" si="35"/>
        <v/>
      </c>
      <c r="C1138" t="str">
        <f>IF(D1138="","",IF(COUNTIF($D$2:D1138,D1138)&gt;1,"",SUMIFS(tbl_input[필요수량],tbl_input[집계키_청],D1138)))</f>
        <v/>
      </c>
      <c r="D1138" t="str">
        <f>IFERROR(INDEX(tbl_input[집계키_청],ROW()-1),"")</f>
        <v/>
      </c>
    </row>
    <row r="1139" spans="1:4" x14ac:dyDescent="0.4">
      <c r="A1139" t="str">
        <f t="shared" si="34"/>
        <v/>
      </c>
      <c r="B1139" t="str">
        <f t="shared" si="35"/>
        <v/>
      </c>
      <c r="C1139" t="str">
        <f>IF(D1139="","",IF(COUNTIF($D$2:D1139,D1139)&gt;1,"",SUMIFS(tbl_input[필요수량],tbl_input[집계키_청],D1139)))</f>
        <v/>
      </c>
      <c r="D1139" t="str">
        <f>IFERROR(INDEX(tbl_input[집계키_청],ROW()-1),"")</f>
        <v/>
      </c>
    </row>
    <row r="1140" spans="1:4" x14ac:dyDescent="0.4">
      <c r="A1140" t="str">
        <f t="shared" si="34"/>
        <v/>
      </c>
      <c r="B1140" t="str">
        <f t="shared" si="35"/>
        <v/>
      </c>
      <c r="C1140" t="str">
        <f>IF(D1140="","",IF(COUNTIF($D$2:D1140,D1140)&gt;1,"",SUMIFS(tbl_input[필요수량],tbl_input[집계키_청],D1140)))</f>
        <v/>
      </c>
      <c r="D1140" t="str">
        <f>IFERROR(INDEX(tbl_input[집계키_청],ROW()-1),"")</f>
        <v/>
      </c>
    </row>
    <row r="1141" spans="1:4" x14ac:dyDescent="0.4">
      <c r="A1141" t="str">
        <f t="shared" si="34"/>
        <v/>
      </c>
      <c r="B1141" t="str">
        <f t="shared" si="35"/>
        <v/>
      </c>
      <c r="C1141" t="str">
        <f>IF(D1141="","",IF(COUNTIF($D$2:D1141,D1141)&gt;1,"",SUMIFS(tbl_input[필요수량],tbl_input[집계키_청],D1141)))</f>
        <v/>
      </c>
      <c r="D1141" t="str">
        <f>IFERROR(INDEX(tbl_input[집계키_청],ROW()-1),"")</f>
        <v/>
      </c>
    </row>
    <row r="1142" spans="1:4" x14ac:dyDescent="0.4">
      <c r="A1142" t="str">
        <f t="shared" si="34"/>
        <v/>
      </c>
      <c r="B1142" t="str">
        <f t="shared" si="35"/>
        <v/>
      </c>
      <c r="C1142" t="str">
        <f>IF(D1142="","",IF(COUNTIF($D$2:D1142,D1142)&gt;1,"",SUMIFS(tbl_input[필요수량],tbl_input[집계키_청],D1142)))</f>
        <v/>
      </c>
      <c r="D1142" t="str">
        <f>IFERROR(INDEX(tbl_input[집계키_청],ROW()-1),"")</f>
        <v/>
      </c>
    </row>
    <row r="1143" spans="1:4" x14ac:dyDescent="0.4">
      <c r="A1143" t="str">
        <f t="shared" si="34"/>
        <v/>
      </c>
      <c r="B1143" t="str">
        <f t="shared" si="35"/>
        <v/>
      </c>
      <c r="C1143" t="str">
        <f>IF(D1143="","",IF(COUNTIF($D$2:D1143,D1143)&gt;1,"",SUMIFS(tbl_input[필요수량],tbl_input[집계키_청],D1143)))</f>
        <v/>
      </c>
      <c r="D1143" t="str">
        <f>IFERROR(INDEX(tbl_input[집계키_청],ROW()-1),"")</f>
        <v/>
      </c>
    </row>
    <row r="1144" spans="1:4" x14ac:dyDescent="0.4">
      <c r="A1144" t="str">
        <f t="shared" si="34"/>
        <v/>
      </c>
      <c r="B1144" t="str">
        <f t="shared" si="35"/>
        <v/>
      </c>
      <c r="C1144" t="str">
        <f>IF(D1144="","",IF(COUNTIF($D$2:D1144,D1144)&gt;1,"",SUMIFS(tbl_input[필요수량],tbl_input[집계키_청],D1144)))</f>
        <v/>
      </c>
      <c r="D1144" t="str">
        <f>IFERROR(INDEX(tbl_input[집계키_청],ROW()-1),"")</f>
        <v/>
      </c>
    </row>
    <row r="1145" spans="1:4" x14ac:dyDescent="0.4">
      <c r="A1145" t="str">
        <f t="shared" si="34"/>
        <v/>
      </c>
      <c r="B1145" t="str">
        <f t="shared" si="35"/>
        <v/>
      </c>
      <c r="C1145" t="str">
        <f>IF(D1145="","",IF(COUNTIF($D$2:D1145,D1145)&gt;1,"",SUMIFS(tbl_input[필요수량],tbl_input[집계키_청],D1145)))</f>
        <v/>
      </c>
      <c r="D1145" t="str">
        <f>IFERROR(INDEX(tbl_input[집계키_청],ROW()-1),"")</f>
        <v/>
      </c>
    </row>
    <row r="1146" spans="1:4" x14ac:dyDescent="0.4">
      <c r="A1146" t="str">
        <f t="shared" si="34"/>
        <v/>
      </c>
      <c r="B1146" t="str">
        <f t="shared" si="35"/>
        <v/>
      </c>
      <c r="C1146" t="str">
        <f>IF(D1146="","",IF(COUNTIF($D$2:D1146,D1146)&gt;1,"",SUMIFS(tbl_input[필요수량],tbl_input[집계키_청],D1146)))</f>
        <v/>
      </c>
      <c r="D1146" t="str">
        <f>IFERROR(INDEX(tbl_input[집계키_청],ROW()-1),"")</f>
        <v/>
      </c>
    </row>
    <row r="1147" spans="1:4" x14ac:dyDescent="0.4">
      <c r="A1147" t="str">
        <f t="shared" si="34"/>
        <v/>
      </c>
      <c r="B1147" t="str">
        <f t="shared" si="35"/>
        <v/>
      </c>
      <c r="C1147" t="str">
        <f>IF(D1147="","",IF(COUNTIF($D$2:D1147,D1147)&gt;1,"",SUMIFS(tbl_input[필요수량],tbl_input[집계키_청],D1147)))</f>
        <v/>
      </c>
      <c r="D1147" t="str">
        <f>IFERROR(INDEX(tbl_input[집계키_청],ROW()-1),"")</f>
        <v/>
      </c>
    </row>
    <row r="1148" spans="1:4" x14ac:dyDescent="0.4">
      <c r="A1148" t="str">
        <f t="shared" si="34"/>
        <v/>
      </c>
      <c r="B1148" t="str">
        <f t="shared" si="35"/>
        <v/>
      </c>
      <c r="C1148" t="str">
        <f>IF(D1148="","",IF(COUNTIF($D$2:D1148,D1148)&gt;1,"",SUMIFS(tbl_input[필요수량],tbl_input[집계키_청],D1148)))</f>
        <v/>
      </c>
      <c r="D1148" t="str">
        <f>IFERROR(INDEX(tbl_input[집계키_청],ROW()-1),"")</f>
        <v/>
      </c>
    </row>
    <row r="1149" spans="1:4" x14ac:dyDescent="0.4">
      <c r="A1149" t="str">
        <f t="shared" si="34"/>
        <v/>
      </c>
      <c r="B1149" t="str">
        <f t="shared" si="35"/>
        <v/>
      </c>
      <c r="C1149" t="str">
        <f>IF(D1149="","",IF(COUNTIF($D$2:D1149,D1149)&gt;1,"",SUMIFS(tbl_input[필요수량],tbl_input[집계키_청],D1149)))</f>
        <v/>
      </c>
      <c r="D1149" t="str">
        <f>IFERROR(INDEX(tbl_input[집계키_청],ROW()-1),"")</f>
        <v/>
      </c>
    </row>
    <row r="1150" spans="1:4" x14ac:dyDescent="0.4">
      <c r="A1150" t="str">
        <f t="shared" si="34"/>
        <v/>
      </c>
      <c r="B1150" t="str">
        <f t="shared" si="35"/>
        <v/>
      </c>
      <c r="C1150" t="str">
        <f>IF(D1150="","",IF(COUNTIF($D$2:D1150,D1150)&gt;1,"",SUMIFS(tbl_input[필요수량],tbl_input[집계키_청],D1150)))</f>
        <v/>
      </c>
      <c r="D1150" t="str">
        <f>IFERROR(INDEX(tbl_input[집계키_청],ROW()-1),"")</f>
        <v/>
      </c>
    </row>
    <row r="1151" spans="1:4" x14ac:dyDescent="0.4">
      <c r="A1151" t="str">
        <f t="shared" si="34"/>
        <v/>
      </c>
      <c r="B1151" t="str">
        <f t="shared" si="35"/>
        <v/>
      </c>
      <c r="C1151" t="str">
        <f>IF(D1151="","",IF(COUNTIF($D$2:D1151,D1151)&gt;1,"",SUMIFS(tbl_input[필요수량],tbl_input[집계키_청],D1151)))</f>
        <v/>
      </c>
      <c r="D1151" t="str">
        <f>IFERROR(INDEX(tbl_input[집계키_청],ROW()-1),"")</f>
        <v/>
      </c>
    </row>
    <row r="1152" spans="1:4" x14ac:dyDescent="0.4">
      <c r="A1152" t="str">
        <f t="shared" si="34"/>
        <v/>
      </c>
      <c r="B1152" t="str">
        <f t="shared" si="35"/>
        <v/>
      </c>
      <c r="C1152" t="str">
        <f>IF(D1152="","",IF(COUNTIF($D$2:D1152,D1152)&gt;1,"",SUMIFS(tbl_input[필요수량],tbl_input[집계키_청],D1152)))</f>
        <v/>
      </c>
      <c r="D1152" t="str">
        <f>IFERROR(INDEX(tbl_input[집계키_청],ROW()-1),"")</f>
        <v/>
      </c>
    </row>
    <row r="1153" spans="1:4" x14ac:dyDescent="0.4">
      <c r="A1153" t="str">
        <f t="shared" si="34"/>
        <v/>
      </c>
      <c r="B1153" t="str">
        <f t="shared" si="35"/>
        <v/>
      </c>
      <c r="C1153" t="str">
        <f>IF(D1153="","",IF(COUNTIF($D$2:D1153,D1153)&gt;1,"",SUMIFS(tbl_input[필요수량],tbl_input[집계키_청],D1153)))</f>
        <v/>
      </c>
      <c r="D1153" t="str">
        <f>IFERROR(INDEX(tbl_input[집계키_청],ROW()-1),"")</f>
        <v/>
      </c>
    </row>
    <row r="1154" spans="1:4" x14ac:dyDescent="0.4">
      <c r="A1154" t="str">
        <f t="shared" ref="A1154:A1217" si="36">IF(D1154="","",LEFT(D1154,FIND("♦",D1154)-1))</f>
        <v/>
      </c>
      <c r="B1154" t="str">
        <f t="shared" ref="B1154:B1217" si="37">IF(D1154="","",MID(D1154,FIND("♦",D1154)+1,999))</f>
        <v/>
      </c>
      <c r="C1154" t="str">
        <f>IF(D1154="","",IF(COUNTIF($D$2:D1154,D1154)&gt;1,"",SUMIFS(tbl_input[필요수량],tbl_input[집계키_청],D1154)))</f>
        <v/>
      </c>
      <c r="D1154" t="str">
        <f>IFERROR(INDEX(tbl_input[집계키_청],ROW()-1),"")</f>
        <v/>
      </c>
    </row>
    <row r="1155" spans="1:4" x14ac:dyDescent="0.4">
      <c r="A1155" t="str">
        <f t="shared" si="36"/>
        <v/>
      </c>
      <c r="B1155" t="str">
        <f t="shared" si="37"/>
        <v/>
      </c>
      <c r="C1155" t="str">
        <f>IF(D1155="","",IF(COUNTIF($D$2:D1155,D1155)&gt;1,"",SUMIFS(tbl_input[필요수량],tbl_input[집계키_청],D1155)))</f>
        <v/>
      </c>
      <c r="D1155" t="str">
        <f>IFERROR(INDEX(tbl_input[집계키_청],ROW()-1),"")</f>
        <v/>
      </c>
    </row>
    <row r="1156" spans="1:4" x14ac:dyDescent="0.4">
      <c r="A1156" t="str">
        <f t="shared" si="36"/>
        <v/>
      </c>
      <c r="B1156" t="str">
        <f t="shared" si="37"/>
        <v/>
      </c>
      <c r="C1156" t="str">
        <f>IF(D1156="","",IF(COUNTIF($D$2:D1156,D1156)&gt;1,"",SUMIFS(tbl_input[필요수량],tbl_input[집계키_청],D1156)))</f>
        <v/>
      </c>
      <c r="D1156" t="str">
        <f>IFERROR(INDEX(tbl_input[집계키_청],ROW()-1),"")</f>
        <v/>
      </c>
    </row>
    <row r="1157" spans="1:4" x14ac:dyDescent="0.4">
      <c r="A1157" t="str">
        <f t="shared" si="36"/>
        <v/>
      </c>
      <c r="B1157" t="str">
        <f t="shared" si="37"/>
        <v/>
      </c>
      <c r="C1157" t="str">
        <f>IF(D1157="","",IF(COUNTIF($D$2:D1157,D1157)&gt;1,"",SUMIFS(tbl_input[필요수량],tbl_input[집계키_청],D1157)))</f>
        <v/>
      </c>
      <c r="D1157" t="str">
        <f>IFERROR(INDEX(tbl_input[집계키_청],ROW()-1),"")</f>
        <v/>
      </c>
    </row>
    <row r="1158" spans="1:4" x14ac:dyDescent="0.4">
      <c r="A1158" t="str">
        <f t="shared" si="36"/>
        <v/>
      </c>
      <c r="B1158" t="str">
        <f t="shared" si="37"/>
        <v/>
      </c>
      <c r="C1158" t="str">
        <f>IF(D1158="","",IF(COUNTIF($D$2:D1158,D1158)&gt;1,"",SUMIFS(tbl_input[필요수량],tbl_input[집계키_청],D1158)))</f>
        <v/>
      </c>
      <c r="D1158" t="str">
        <f>IFERROR(INDEX(tbl_input[집계키_청],ROW()-1),"")</f>
        <v/>
      </c>
    </row>
    <row r="1159" spans="1:4" x14ac:dyDescent="0.4">
      <c r="A1159" t="str">
        <f t="shared" si="36"/>
        <v/>
      </c>
      <c r="B1159" t="str">
        <f t="shared" si="37"/>
        <v/>
      </c>
      <c r="C1159" t="str">
        <f>IF(D1159="","",IF(COUNTIF($D$2:D1159,D1159)&gt;1,"",SUMIFS(tbl_input[필요수량],tbl_input[집계키_청],D1159)))</f>
        <v/>
      </c>
      <c r="D1159" t="str">
        <f>IFERROR(INDEX(tbl_input[집계키_청],ROW()-1),"")</f>
        <v/>
      </c>
    </row>
    <row r="1160" spans="1:4" x14ac:dyDescent="0.4">
      <c r="A1160" t="str">
        <f t="shared" si="36"/>
        <v/>
      </c>
      <c r="B1160" t="str">
        <f t="shared" si="37"/>
        <v/>
      </c>
      <c r="C1160" t="str">
        <f>IF(D1160="","",IF(COUNTIF($D$2:D1160,D1160)&gt;1,"",SUMIFS(tbl_input[필요수량],tbl_input[집계키_청],D1160)))</f>
        <v/>
      </c>
      <c r="D1160" t="str">
        <f>IFERROR(INDEX(tbl_input[집계키_청],ROW()-1),"")</f>
        <v/>
      </c>
    </row>
    <row r="1161" spans="1:4" x14ac:dyDescent="0.4">
      <c r="A1161" t="str">
        <f t="shared" si="36"/>
        <v/>
      </c>
      <c r="B1161" t="str">
        <f t="shared" si="37"/>
        <v/>
      </c>
      <c r="C1161" t="str">
        <f>IF(D1161="","",IF(COUNTIF($D$2:D1161,D1161)&gt;1,"",SUMIFS(tbl_input[필요수량],tbl_input[집계키_청],D1161)))</f>
        <v/>
      </c>
      <c r="D1161" t="str">
        <f>IFERROR(INDEX(tbl_input[집계키_청],ROW()-1),"")</f>
        <v/>
      </c>
    </row>
    <row r="1162" spans="1:4" x14ac:dyDescent="0.4">
      <c r="A1162" t="str">
        <f t="shared" si="36"/>
        <v/>
      </c>
      <c r="B1162" t="str">
        <f t="shared" si="37"/>
        <v/>
      </c>
      <c r="C1162" t="str">
        <f>IF(D1162="","",IF(COUNTIF($D$2:D1162,D1162)&gt;1,"",SUMIFS(tbl_input[필요수량],tbl_input[집계키_청],D1162)))</f>
        <v/>
      </c>
      <c r="D1162" t="str">
        <f>IFERROR(INDEX(tbl_input[집계키_청],ROW()-1),"")</f>
        <v/>
      </c>
    </row>
    <row r="1163" spans="1:4" x14ac:dyDescent="0.4">
      <c r="A1163" t="str">
        <f t="shared" si="36"/>
        <v/>
      </c>
      <c r="B1163" t="str">
        <f t="shared" si="37"/>
        <v/>
      </c>
      <c r="C1163" t="str">
        <f>IF(D1163="","",IF(COUNTIF($D$2:D1163,D1163)&gt;1,"",SUMIFS(tbl_input[필요수량],tbl_input[집계키_청],D1163)))</f>
        <v/>
      </c>
      <c r="D1163" t="str">
        <f>IFERROR(INDEX(tbl_input[집계키_청],ROW()-1),"")</f>
        <v/>
      </c>
    </row>
    <row r="1164" spans="1:4" x14ac:dyDescent="0.4">
      <c r="A1164" t="str">
        <f t="shared" si="36"/>
        <v/>
      </c>
      <c r="B1164" t="str">
        <f t="shared" si="37"/>
        <v/>
      </c>
      <c r="C1164" t="str">
        <f>IF(D1164="","",IF(COUNTIF($D$2:D1164,D1164)&gt;1,"",SUMIFS(tbl_input[필요수량],tbl_input[집계키_청],D1164)))</f>
        <v/>
      </c>
      <c r="D1164" t="str">
        <f>IFERROR(INDEX(tbl_input[집계키_청],ROW()-1),"")</f>
        <v/>
      </c>
    </row>
    <row r="1165" spans="1:4" x14ac:dyDescent="0.4">
      <c r="A1165" t="str">
        <f t="shared" si="36"/>
        <v/>
      </c>
      <c r="B1165" t="str">
        <f t="shared" si="37"/>
        <v/>
      </c>
      <c r="C1165" t="str">
        <f>IF(D1165="","",IF(COUNTIF($D$2:D1165,D1165)&gt;1,"",SUMIFS(tbl_input[필요수량],tbl_input[집계키_청],D1165)))</f>
        <v/>
      </c>
      <c r="D1165" t="str">
        <f>IFERROR(INDEX(tbl_input[집계키_청],ROW()-1),"")</f>
        <v/>
      </c>
    </row>
    <row r="1166" spans="1:4" x14ac:dyDescent="0.4">
      <c r="A1166" t="str">
        <f t="shared" si="36"/>
        <v/>
      </c>
      <c r="B1166" t="str">
        <f t="shared" si="37"/>
        <v/>
      </c>
      <c r="C1166" t="str">
        <f>IF(D1166="","",IF(COUNTIF($D$2:D1166,D1166)&gt;1,"",SUMIFS(tbl_input[필요수량],tbl_input[집계키_청],D1166)))</f>
        <v/>
      </c>
      <c r="D1166" t="str">
        <f>IFERROR(INDEX(tbl_input[집계키_청],ROW()-1),"")</f>
        <v/>
      </c>
    </row>
    <row r="1167" spans="1:4" x14ac:dyDescent="0.4">
      <c r="A1167" t="str">
        <f t="shared" si="36"/>
        <v/>
      </c>
      <c r="B1167" t="str">
        <f t="shared" si="37"/>
        <v/>
      </c>
      <c r="C1167" t="str">
        <f>IF(D1167="","",IF(COUNTIF($D$2:D1167,D1167)&gt;1,"",SUMIFS(tbl_input[필요수량],tbl_input[집계키_청],D1167)))</f>
        <v/>
      </c>
      <c r="D1167" t="str">
        <f>IFERROR(INDEX(tbl_input[집계키_청],ROW()-1),"")</f>
        <v/>
      </c>
    </row>
    <row r="1168" spans="1:4" x14ac:dyDescent="0.4">
      <c r="A1168" t="str">
        <f t="shared" si="36"/>
        <v/>
      </c>
      <c r="B1168" t="str">
        <f t="shared" si="37"/>
        <v/>
      </c>
      <c r="C1168" t="str">
        <f>IF(D1168="","",IF(COUNTIF($D$2:D1168,D1168)&gt;1,"",SUMIFS(tbl_input[필요수량],tbl_input[집계키_청],D1168)))</f>
        <v/>
      </c>
      <c r="D1168" t="str">
        <f>IFERROR(INDEX(tbl_input[집계키_청],ROW()-1),"")</f>
        <v/>
      </c>
    </row>
    <row r="1169" spans="1:4" x14ac:dyDescent="0.4">
      <c r="A1169" t="str">
        <f t="shared" si="36"/>
        <v/>
      </c>
      <c r="B1169" t="str">
        <f t="shared" si="37"/>
        <v/>
      </c>
      <c r="C1169" t="str">
        <f>IF(D1169="","",IF(COUNTIF($D$2:D1169,D1169)&gt;1,"",SUMIFS(tbl_input[필요수량],tbl_input[집계키_청],D1169)))</f>
        <v/>
      </c>
      <c r="D1169" t="str">
        <f>IFERROR(INDEX(tbl_input[집계키_청],ROW()-1),"")</f>
        <v/>
      </c>
    </row>
    <row r="1170" spans="1:4" x14ac:dyDescent="0.4">
      <c r="A1170" t="str">
        <f t="shared" si="36"/>
        <v/>
      </c>
      <c r="B1170" t="str">
        <f t="shared" si="37"/>
        <v/>
      </c>
      <c r="C1170" t="str">
        <f>IF(D1170="","",IF(COUNTIF($D$2:D1170,D1170)&gt;1,"",SUMIFS(tbl_input[필요수량],tbl_input[집계키_청],D1170)))</f>
        <v/>
      </c>
      <c r="D1170" t="str">
        <f>IFERROR(INDEX(tbl_input[집계키_청],ROW()-1),"")</f>
        <v/>
      </c>
    </row>
    <row r="1171" spans="1:4" x14ac:dyDescent="0.4">
      <c r="A1171" t="str">
        <f t="shared" si="36"/>
        <v/>
      </c>
      <c r="B1171" t="str">
        <f t="shared" si="37"/>
        <v/>
      </c>
      <c r="C1171" t="str">
        <f>IF(D1171="","",IF(COUNTIF($D$2:D1171,D1171)&gt;1,"",SUMIFS(tbl_input[필요수량],tbl_input[집계키_청],D1171)))</f>
        <v/>
      </c>
      <c r="D1171" t="str">
        <f>IFERROR(INDEX(tbl_input[집계키_청],ROW()-1),"")</f>
        <v/>
      </c>
    </row>
    <row r="1172" spans="1:4" x14ac:dyDescent="0.4">
      <c r="A1172" t="str">
        <f t="shared" si="36"/>
        <v/>
      </c>
      <c r="B1172" t="str">
        <f t="shared" si="37"/>
        <v/>
      </c>
      <c r="C1172" t="str">
        <f>IF(D1172="","",IF(COUNTIF($D$2:D1172,D1172)&gt;1,"",SUMIFS(tbl_input[필요수량],tbl_input[집계키_청],D1172)))</f>
        <v/>
      </c>
      <c r="D1172" t="str">
        <f>IFERROR(INDEX(tbl_input[집계키_청],ROW()-1),"")</f>
        <v/>
      </c>
    </row>
    <row r="1173" spans="1:4" x14ac:dyDescent="0.4">
      <c r="A1173" t="str">
        <f t="shared" si="36"/>
        <v/>
      </c>
      <c r="B1173" t="str">
        <f t="shared" si="37"/>
        <v/>
      </c>
      <c r="C1173" t="str">
        <f>IF(D1173="","",IF(COUNTIF($D$2:D1173,D1173)&gt;1,"",SUMIFS(tbl_input[필요수량],tbl_input[집계키_청],D1173)))</f>
        <v/>
      </c>
      <c r="D1173" t="str">
        <f>IFERROR(INDEX(tbl_input[집계키_청],ROW()-1),"")</f>
        <v/>
      </c>
    </row>
    <row r="1174" spans="1:4" x14ac:dyDescent="0.4">
      <c r="A1174" t="str">
        <f t="shared" si="36"/>
        <v/>
      </c>
      <c r="B1174" t="str">
        <f t="shared" si="37"/>
        <v/>
      </c>
      <c r="C1174" t="str">
        <f>IF(D1174="","",IF(COUNTIF($D$2:D1174,D1174)&gt;1,"",SUMIFS(tbl_input[필요수량],tbl_input[집계키_청],D1174)))</f>
        <v/>
      </c>
      <c r="D1174" t="str">
        <f>IFERROR(INDEX(tbl_input[집계키_청],ROW()-1),"")</f>
        <v/>
      </c>
    </row>
    <row r="1175" spans="1:4" x14ac:dyDescent="0.4">
      <c r="A1175" t="str">
        <f t="shared" si="36"/>
        <v/>
      </c>
      <c r="B1175" t="str">
        <f t="shared" si="37"/>
        <v/>
      </c>
      <c r="C1175" t="str">
        <f>IF(D1175="","",IF(COUNTIF($D$2:D1175,D1175)&gt;1,"",SUMIFS(tbl_input[필요수량],tbl_input[집계키_청],D1175)))</f>
        <v/>
      </c>
      <c r="D1175" t="str">
        <f>IFERROR(INDEX(tbl_input[집계키_청],ROW()-1),"")</f>
        <v/>
      </c>
    </row>
    <row r="1176" spans="1:4" x14ac:dyDescent="0.4">
      <c r="A1176" t="str">
        <f t="shared" si="36"/>
        <v/>
      </c>
      <c r="B1176" t="str">
        <f t="shared" si="37"/>
        <v/>
      </c>
      <c r="C1176" t="str">
        <f>IF(D1176="","",IF(COUNTIF($D$2:D1176,D1176)&gt;1,"",SUMIFS(tbl_input[필요수량],tbl_input[집계키_청],D1176)))</f>
        <v/>
      </c>
      <c r="D1176" t="str">
        <f>IFERROR(INDEX(tbl_input[집계키_청],ROW()-1),"")</f>
        <v/>
      </c>
    </row>
    <row r="1177" spans="1:4" x14ac:dyDescent="0.4">
      <c r="A1177" t="str">
        <f t="shared" si="36"/>
        <v/>
      </c>
      <c r="B1177" t="str">
        <f t="shared" si="37"/>
        <v/>
      </c>
      <c r="C1177" t="str">
        <f>IF(D1177="","",IF(COUNTIF($D$2:D1177,D1177)&gt;1,"",SUMIFS(tbl_input[필요수량],tbl_input[집계키_청],D1177)))</f>
        <v/>
      </c>
      <c r="D1177" t="str">
        <f>IFERROR(INDEX(tbl_input[집계키_청],ROW()-1),"")</f>
        <v/>
      </c>
    </row>
    <row r="1178" spans="1:4" x14ac:dyDescent="0.4">
      <c r="A1178" t="str">
        <f t="shared" si="36"/>
        <v/>
      </c>
      <c r="B1178" t="str">
        <f t="shared" si="37"/>
        <v/>
      </c>
      <c r="C1178" t="str">
        <f>IF(D1178="","",IF(COUNTIF($D$2:D1178,D1178)&gt;1,"",SUMIFS(tbl_input[필요수량],tbl_input[집계키_청],D1178)))</f>
        <v/>
      </c>
      <c r="D1178" t="str">
        <f>IFERROR(INDEX(tbl_input[집계키_청],ROW()-1),"")</f>
        <v/>
      </c>
    </row>
    <row r="1179" spans="1:4" x14ac:dyDescent="0.4">
      <c r="A1179" t="str">
        <f t="shared" si="36"/>
        <v/>
      </c>
      <c r="B1179" t="str">
        <f t="shared" si="37"/>
        <v/>
      </c>
      <c r="C1179" t="str">
        <f>IF(D1179="","",IF(COUNTIF($D$2:D1179,D1179)&gt;1,"",SUMIFS(tbl_input[필요수량],tbl_input[집계키_청],D1179)))</f>
        <v/>
      </c>
      <c r="D1179" t="str">
        <f>IFERROR(INDEX(tbl_input[집계키_청],ROW()-1),"")</f>
        <v/>
      </c>
    </row>
    <row r="1180" spans="1:4" x14ac:dyDescent="0.4">
      <c r="A1180" t="str">
        <f t="shared" si="36"/>
        <v/>
      </c>
      <c r="B1180" t="str">
        <f t="shared" si="37"/>
        <v/>
      </c>
      <c r="C1180" t="str">
        <f>IF(D1180="","",IF(COUNTIF($D$2:D1180,D1180)&gt;1,"",SUMIFS(tbl_input[필요수량],tbl_input[집계키_청],D1180)))</f>
        <v/>
      </c>
      <c r="D1180" t="str">
        <f>IFERROR(INDEX(tbl_input[집계키_청],ROW()-1),"")</f>
        <v/>
      </c>
    </row>
    <row r="1181" spans="1:4" x14ac:dyDescent="0.4">
      <c r="A1181" t="str">
        <f t="shared" si="36"/>
        <v/>
      </c>
      <c r="B1181" t="str">
        <f t="shared" si="37"/>
        <v/>
      </c>
      <c r="C1181" t="str">
        <f>IF(D1181="","",IF(COUNTIF($D$2:D1181,D1181)&gt;1,"",SUMIFS(tbl_input[필요수량],tbl_input[집계키_청],D1181)))</f>
        <v/>
      </c>
      <c r="D1181" t="str">
        <f>IFERROR(INDEX(tbl_input[집계키_청],ROW()-1),"")</f>
        <v/>
      </c>
    </row>
    <row r="1182" spans="1:4" x14ac:dyDescent="0.4">
      <c r="A1182" t="str">
        <f t="shared" si="36"/>
        <v/>
      </c>
      <c r="B1182" t="str">
        <f t="shared" si="37"/>
        <v/>
      </c>
      <c r="C1182" t="str">
        <f>IF(D1182="","",IF(COUNTIF($D$2:D1182,D1182)&gt;1,"",SUMIFS(tbl_input[필요수량],tbl_input[집계키_청],D1182)))</f>
        <v/>
      </c>
      <c r="D1182" t="str">
        <f>IFERROR(INDEX(tbl_input[집계키_청],ROW()-1),"")</f>
        <v/>
      </c>
    </row>
    <row r="1183" spans="1:4" x14ac:dyDescent="0.4">
      <c r="A1183" t="str">
        <f t="shared" si="36"/>
        <v/>
      </c>
      <c r="B1183" t="str">
        <f t="shared" si="37"/>
        <v/>
      </c>
      <c r="C1183" t="str">
        <f>IF(D1183="","",IF(COUNTIF($D$2:D1183,D1183)&gt;1,"",SUMIFS(tbl_input[필요수량],tbl_input[집계키_청],D1183)))</f>
        <v/>
      </c>
      <c r="D1183" t="str">
        <f>IFERROR(INDEX(tbl_input[집계키_청],ROW()-1),"")</f>
        <v/>
      </c>
    </row>
    <row r="1184" spans="1:4" x14ac:dyDescent="0.4">
      <c r="A1184" t="str">
        <f t="shared" si="36"/>
        <v/>
      </c>
      <c r="B1184" t="str">
        <f t="shared" si="37"/>
        <v/>
      </c>
      <c r="C1184" t="str">
        <f>IF(D1184="","",IF(COUNTIF($D$2:D1184,D1184)&gt;1,"",SUMIFS(tbl_input[필요수량],tbl_input[집계키_청],D1184)))</f>
        <v/>
      </c>
      <c r="D1184" t="str">
        <f>IFERROR(INDEX(tbl_input[집계키_청],ROW()-1),"")</f>
        <v/>
      </c>
    </row>
    <row r="1185" spans="1:4" x14ac:dyDescent="0.4">
      <c r="A1185" t="str">
        <f t="shared" si="36"/>
        <v/>
      </c>
      <c r="B1185" t="str">
        <f t="shared" si="37"/>
        <v/>
      </c>
      <c r="C1185" t="str">
        <f>IF(D1185="","",IF(COUNTIF($D$2:D1185,D1185)&gt;1,"",SUMIFS(tbl_input[필요수량],tbl_input[집계키_청],D1185)))</f>
        <v/>
      </c>
      <c r="D1185" t="str">
        <f>IFERROR(INDEX(tbl_input[집계키_청],ROW()-1),"")</f>
        <v/>
      </c>
    </row>
    <row r="1186" spans="1:4" x14ac:dyDescent="0.4">
      <c r="A1186" t="str">
        <f t="shared" si="36"/>
        <v/>
      </c>
      <c r="B1186" t="str">
        <f t="shared" si="37"/>
        <v/>
      </c>
      <c r="C1186" t="str">
        <f>IF(D1186="","",IF(COUNTIF($D$2:D1186,D1186)&gt;1,"",SUMIFS(tbl_input[필요수량],tbl_input[집계키_청],D1186)))</f>
        <v/>
      </c>
      <c r="D1186" t="str">
        <f>IFERROR(INDEX(tbl_input[집계키_청],ROW()-1),"")</f>
        <v/>
      </c>
    </row>
    <row r="1187" spans="1:4" x14ac:dyDescent="0.4">
      <c r="A1187" t="str">
        <f t="shared" si="36"/>
        <v/>
      </c>
      <c r="B1187" t="str">
        <f t="shared" si="37"/>
        <v/>
      </c>
      <c r="C1187" t="str">
        <f>IF(D1187="","",IF(COUNTIF($D$2:D1187,D1187)&gt;1,"",SUMIFS(tbl_input[필요수량],tbl_input[집계키_청],D1187)))</f>
        <v/>
      </c>
      <c r="D1187" t="str">
        <f>IFERROR(INDEX(tbl_input[집계키_청],ROW()-1),"")</f>
        <v/>
      </c>
    </row>
    <row r="1188" spans="1:4" x14ac:dyDescent="0.4">
      <c r="A1188" t="str">
        <f t="shared" si="36"/>
        <v/>
      </c>
      <c r="B1188" t="str">
        <f t="shared" si="37"/>
        <v/>
      </c>
      <c r="C1188" t="str">
        <f>IF(D1188="","",IF(COUNTIF($D$2:D1188,D1188)&gt;1,"",SUMIFS(tbl_input[필요수량],tbl_input[집계키_청],D1188)))</f>
        <v/>
      </c>
      <c r="D1188" t="str">
        <f>IFERROR(INDEX(tbl_input[집계키_청],ROW()-1),"")</f>
        <v/>
      </c>
    </row>
    <row r="1189" spans="1:4" x14ac:dyDescent="0.4">
      <c r="A1189" t="str">
        <f t="shared" si="36"/>
        <v/>
      </c>
      <c r="B1189" t="str">
        <f t="shared" si="37"/>
        <v/>
      </c>
      <c r="C1189" t="str">
        <f>IF(D1189="","",IF(COUNTIF($D$2:D1189,D1189)&gt;1,"",SUMIFS(tbl_input[필요수량],tbl_input[집계키_청],D1189)))</f>
        <v/>
      </c>
      <c r="D1189" t="str">
        <f>IFERROR(INDEX(tbl_input[집계키_청],ROW()-1),"")</f>
        <v/>
      </c>
    </row>
    <row r="1190" spans="1:4" x14ac:dyDescent="0.4">
      <c r="A1190" t="str">
        <f t="shared" si="36"/>
        <v/>
      </c>
      <c r="B1190" t="str">
        <f t="shared" si="37"/>
        <v/>
      </c>
      <c r="C1190" t="str">
        <f>IF(D1190="","",IF(COUNTIF($D$2:D1190,D1190)&gt;1,"",SUMIFS(tbl_input[필요수량],tbl_input[집계키_청],D1190)))</f>
        <v/>
      </c>
      <c r="D1190" t="str">
        <f>IFERROR(INDEX(tbl_input[집계키_청],ROW()-1),"")</f>
        <v/>
      </c>
    </row>
    <row r="1191" spans="1:4" x14ac:dyDescent="0.4">
      <c r="A1191" t="str">
        <f t="shared" si="36"/>
        <v/>
      </c>
      <c r="B1191" t="str">
        <f t="shared" si="37"/>
        <v/>
      </c>
      <c r="C1191" t="str">
        <f>IF(D1191="","",IF(COUNTIF($D$2:D1191,D1191)&gt;1,"",SUMIFS(tbl_input[필요수량],tbl_input[집계키_청],D1191)))</f>
        <v/>
      </c>
      <c r="D1191" t="str">
        <f>IFERROR(INDEX(tbl_input[집계키_청],ROW()-1),"")</f>
        <v/>
      </c>
    </row>
    <row r="1192" spans="1:4" x14ac:dyDescent="0.4">
      <c r="A1192" t="str">
        <f t="shared" si="36"/>
        <v/>
      </c>
      <c r="B1192" t="str">
        <f t="shared" si="37"/>
        <v/>
      </c>
      <c r="C1192" t="str">
        <f>IF(D1192="","",IF(COUNTIF($D$2:D1192,D1192)&gt;1,"",SUMIFS(tbl_input[필요수량],tbl_input[집계키_청],D1192)))</f>
        <v/>
      </c>
      <c r="D1192" t="str">
        <f>IFERROR(INDEX(tbl_input[집계키_청],ROW()-1),"")</f>
        <v/>
      </c>
    </row>
    <row r="1193" spans="1:4" x14ac:dyDescent="0.4">
      <c r="A1193" t="str">
        <f t="shared" si="36"/>
        <v/>
      </c>
      <c r="B1193" t="str">
        <f t="shared" si="37"/>
        <v/>
      </c>
      <c r="C1193" t="str">
        <f>IF(D1193="","",IF(COUNTIF($D$2:D1193,D1193)&gt;1,"",SUMIFS(tbl_input[필요수량],tbl_input[집계키_청],D1193)))</f>
        <v/>
      </c>
      <c r="D1193" t="str">
        <f>IFERROR(INDEX(tbl_input[집계키_청],ROW()-1),"")</f>
        <v/>
      </c>
    </row>
    <row r="1194" spans="1:4" x14ac:dyDescent="0.4">
      <c r="A1194" t="str">
        <f t="shared" si="36"/>
        <v/>
      </c>
      <c r="B1194" t="str">
        <f t="shared" si="37"/>
        <v/>
      </c>
      <c r="C1194" t="str">
        <f>IF(D1194="","",IF(COUNTIF($D$2:D1194,D1194)&gt;1,"",SUMIFS(tbl_input[필요수량],tbl_input[집계키_청],D1194)))</f>
        <v/>
      </c>
      <c r="D1194" t="str">
        <f>IFERROR(INDEX(tbl_input[집계키_청],ROW()-1),"")</f>
        <v/>
      </c>
    </row>
    <row r="1195" spans="1:4" x14ac:dyDescent="0.4">
      <c r="A1195" t="str">
        <f t="shared" si="36"/>
        <v/>
      </c>
      <c r="B1195" t="str">
        <f t="shared" si="37"/>
        <v/>
      </c>
      <c r="C1195" t="str">
        <f>IF(D1195="","",IF(COUNTIF($D$2:D1195,D1195)&gt;1,"",SUMIFS(tbl_input[필요수량],tbl_input[집계키_청],D1195)))</f>
        <v/>
      </c>
      <c r="D1195" t="str">
        <f>IFERROR(INDEX(tbl_input[집계키_청],ROW()-1),"")</f>
        <v/>
      </c>
    </row>
    <row r="1196" spans="1:4" x14ac:dyDescent="0.4">
      <c r="A1196" t="str">
        <f t="shared" si="36"/>
        <v/>
      </c>
      <c r="B1196" t="str">
        <f t="shared" si="37"/>
        <v/>
      </c>
      <c r="C1196" t="str">
        <f>IF(D1196="","",IF(COUNTIF($D$2:D1196,D1196)&gt;1,"",SUMIFS(tbl_input[필요수량],tbl_input[집계키_청],D1196)))</f>
        <v/>
      </c>
      <c r="D1196" t="str">
        <f>IFERROR(INDEX(tbl_input[집계키_청],ROW()-1),"")</f>
        <v/>
      </c>
    </row>
    <row r="1197" spans="1:4" x14ac:dyDescent="0.4">
      <c r="A1197" t="str">
        <f t="shared" si="36"/>
        <v/>
      </c>
      <c r="B1197" t="str">
        <f t="shared" si="37"/>
        <v/>
      </c>
      <c r="C1197" t="str">
        <f>IF(D1197="","",IF(COUNTIF($D$2:D1197,D1197)&gt;1,"",SUMIFS(tbl_input[필요수량],tbl_input[집계키_청],D1197)))</f>
        <v/>
      </c>
      <c r="D1197" t="str">
        <f>IFERROR(INDEX(tbl_input[집계키_청],ROW()-1),"")</f>
        <v/>
      </c>
    </row>
    <row r="1198" spans="1:4" x14ac:dyDescent="0.4">
      <c r="A1198" t="str">
        <f t="shared" si="36"/>
        <v/>
      </c>
      <c r="B1198" t="str">
        <f t="shared" si="37"/>
        <v/>
      </c>
      <c r="C1198" t="str">
        <f>IF(D1198="","",IF(COUNTIF($D$2:D1198,D1198)&gt;1,"",SUMIFS(tbl_input[필요수량],tbl_input[집계키_청],D1198)))</f>
        <v/>
      </c>
      <c r="D1198" t="str">
        <f>IFERROR(INDEX(tbl_input[집계키_청],ROW()-1),"")</f>
        <v/>
      </c>
    </row>
    <row r="1199" spans="1:4" x14ac:dyDescent="0.4">
      <c r="A1199" t="str">
        <f t="shared" si="36"/>
        <v/>
      </c>
      <c r="B1199" t="str">
        <f t="shared" si="37"/>
        <v/>
      </c>
      <c r="C1199" t="str">
        <f>IF(D1199="","",IF(COUNTIF($D$2:D1199,D1199)&gt;1,"",SUMIFS(tbl_input[필요수량],tbl_input[집계키_청],D1199)))</f>
        <v/>
      </c>
      <c r="D1199" t="str">
        <f>IFERROR(INDEX(tbl_input[집계키_청],ROW()-1),"")</f>
        <v/>
      </c>
    </row>
    <row r="1200" spans="1:4" x14ac:dyDescent="0.4">
      <c r="A1200" t="str">
        <f t="shared" si="36"/>
        <v/>
      </c>
      <c r="B1200" t="str">
        <f t="shared" si="37"/>
        <v/>
      </c>
      <c r="C1200" t="str">
        <f>IF(D1200="","",IF(COUNTIF($D$2:D1200,D1200)&gt;1,"",SUMIFS(tbl_input[필요수량],tbl_input[집계키_청],D1200)))</f>
        <v/>
      </c>
      <c r="D1200" t="str">
        <f>IFERROR(INDEX(tbl_input[집계키_청],ROW()-1),"")</f>
        <v/>
      </c>
    </row>
    <row r="1201" spans="1:4" x14ac:dyDescent="0.4">
      <c r="A1201" t="str">
        <f t="shared" si="36"/>
        <v/>
      </c>
      <c r="B1201" t="str">
        <f t="shared" si="37"/>
        <v/>
      </c>
      <c r="C1201" t="str">
        <f>IF(D1201="","",IF(COUNTIF($D$2:D1201,D1201)&gt;1,"",SUMIFS(tbl_input[필요수량],tbl_input[집계키_청],D1201)))</f>
        <v/>
      </c>
      <c r="D1201" t="str">
        <f>IFERROR(INDEX(tbl_input[집계키_청],ROW()-1),"")</f>
        <v/>
      </c>
    </row>
    <row r="1202" spans="1:4" x14ac:dyDescent="0.4">
      <c r="A1202" t="str">
        <f t="shared" si="36"/>
        <v/>
      </c>
      <c r="B1202" t="str">
        <f t="shared" si="37"/>
        <v/>
      </c>
      <c r="C1202" t="str">
        <f>IF(D1202="","",IF(COUNTIF($D$2:D1202,D1202)&gt;1,"",SUMIFS(tbl_input[필요수량],tbl_input[집계키_청],D1202)))</f>
        <v/>
      </c>
      <c r="D1202" t="str">
        <f>IFERROR(INDEX(tbl_input[집계키_청],ROW()-1),"")</f>
        <v/>
      </c>
    </row>
    <row r="1203" spans="1:4" x14ac:dyDescent="0.4">
      <c r="A1203" t="str">
        <f t="shared" si="36"/>
        <v/>
      </c>
      <c r="B1203" t="str">
        <f t="shared" si="37"/>
        <v/>
      </c>
      <c r="C1203" t="str">
        <f>IF(D1203="","",IF(COUNTIF($D$2:D1203,D1203)&gt;1,"",SUMIFS(tbl_input[필요수량],tbl_input[집계키_청],D1203)))</f>
        <v/>
      </c>
      <c r="D1203" t="str">
        <f>IFERROR(INDEX(tbl_input[집계키_청],ROW()-1),"")</f>
        <v/>
      </c>
    </row>
    <row r="1204" spans="1:4" x14ac:dyDescent="0.4">
      <c r="A1204" t="str">
        <f t="shared" si="36"/>
        <v/>
      </c>
      <c r="B1204" t="str">
        <f t="shared" si="37"/>
        <v/>
      </c>
      <c r="C1204" t="str">
        <f>IF(D1204="","",IF(COUNTIF($D$2:D1204,D1204)&gt;1,"",SUMIFS(tbl_input[필요수량],tbl_input[집계키_청],D1204)))</f>
        <v/>
      </c>
      <c r="D1204" t="str">
        <f>IFERROR(INDEX(tbl_input[집계키_청],ROW()-1),"")</f>
        <v/>
      </c>
    </row>
    <row r="1205" spans="1:4" x14ac:dyDescent="0.4">
      <c r="A1205" t="str">
        <f t="shared" si="36"/>
        <v/>
      </c>
      <c r="B1205" t="str">
        <f t="shared" si="37"/>
        <v/>
      </c>
      <c r="C1205" t="str">
        <f>IF(D1205="","",IF(COUNTIF($D$2:D1205,D1205)&gt;1,"",SUMIFS(tbl_input[필요수량],tbl_input[집계키_청],D1205)))</f>
        <v/>
      </c>
      <c r="D1205" t="str">
        <f>IFERROR(INDEX(tbl_input[집계키_청],ROW()-1),"")</f>
        <v/>
      </c>
    </row>
    <row r="1206" spans="1:4" x14ac:dyDescent="0.4">
      <c r="A1206" t="str">
        <f t="shared" si="36"/>
        <v/>
      </c>
      <c r="B1206" t="str">
        <f t="shared" si="37"/>
        <v/>
      </c>
      <c r="C1206" t="str">
        <f>IF(D1206="","",IF(COUNTIF($D$2:D1206,D1206)&gt;1,"",SUMIFS(tbl_input[필요수량],tbl_input[집계키_청],D1206)))</f>
        <v/>
      </c>
      <c r="D1206" t="str">
        <f>IFERROR(INDEX(tbl_input[집계키_청],ROW()-1),"")</f>
        <v/>
      </c>
    </row>
    <row r="1207" spans="1:4" x14ac:dyDescent="0.4">
      <c r="A1207" t="str">
        <f t="shared" si="36"/>
        <v/>
      </c>
      <c r="B1207" t="str">
        <f t="shared" si="37"/>
        <v/>
      </c>
      <c r="C1207" t="str">
        <f>IF(D1207="","",IF(COUNTIF($D$2:D1207,D1207)&gt;1,"",SUMIFS(tbl_input[필요수량],tbl_input[집계키_청],D1207)))</f>
        <v/>
      </c>
      <c r="D1207" t="str">
        <f>IFERROR(INDEX(tbl_input[집계키_청],ROW()-1),"")</f>
        <v/>
      </c>
    </row>
    <row r="1208" spans="1:4" x14ac:dyDescent="0.4">
      <c r="A1208" t="str">
        <f t="shared" si="36"/>
        <v/>
      </c>
      <c r="B1208" t="str">
        <f t="shared" si="37"/>
        <v/>
      </c>
      <c r="C1208" t="str">
        <f>IF(D1208="","",IF(COUNTIF($D$2:D1208,D1208)&gt;1,"",SUMIFS(tbl_input[필요수량],tbl_input[집계키_청],D1208)))</f>
        <v/>
      </c>
      <c r="D1208" t="str">
        <f>IFERROR(INDEX(tbl_input[집계키_청],ROW()-1),"")</f>
        <v/>
      </c>
    </row>
    <row r="1209" spans="1:4" x14ac:dyDescent="0.4">
      <c r="A1209" t="str">
        <f t="shared" si="36"/>
        <v/>
      </c>
      <c r="B1209" t="str">
        <f t="shared" si="37"/>
        <v/>
      </c>
      <c r="C1209" t="str">
        <f>IF(D1209="","",IF(COUNTIF($D$2:D1209,D1209)&gt;1,"",SUMIFS(tbl_input[필요수량],tbl_input[집계키_청],D1209)))</f>
        <v/>
      </c>
      <c r="D1209" t="str">
        <f>IFERROR(INDEX(tbl_input[집계키_청],ROW()-1),"")</f>
        <v/>
      </c>
    </row>
    <row r="1210" spans="1:4" x14ac:dyDescent="0.4">
      <c r="A1210" t="str">
        <f t="shared" si="36"/>
        <v/>
      </c>
      <c r="B1210" t="str">
        <f t="shared" si="37"/>
        <v/>
      </c>
      <c r="C1210" t="str">
        <f>IF(D1210="","",IF(COUNTIF($D$2:D1210,D1210)&gt;1,"",SUMIFS(tbl_input[필요수량],tbl_input[집계키_청],D1210)))</f>
        <v/>
      </c>
      <c r="D1210" t="str">
        <f>IFERROR(INDEX(tbl_input[집계키_청],ROW()-1),"")</f>
        <v/>
      </c>
    </row>
    <row r="1211" spans="1:4" x14ac:dyDescent="0.4">
      <c r="A1211" t="str">
        <f t="shared" si="36"/>
        <v/>
      </c>
      <c r="B1211" t="str">
        <f t="shared" si="37"/>
        <v/>
      </c>
      <c r="C1211" t="str">
        <f>IF(D1211="","",IF(COUNTIF($D$2:D1211,D1211)&gt;1,"",SUMIFS(tbl_input[필요수량],tbl_input[집계키_청],D1211)))</f>
        <v/>
      </c>
      <c r="D1211" t="str">
        <f>IFERROR(INDEX(tbl_input[집계키_청],ROW()-1),"")</f>
        <v/>
      </c>
    </row>
    <row r="1212" spans="1:4" x14ac:dyDescent="0.4">
      <c r="A1212" t="str">
        <f t="shared" si="36"/>
        <v/>
      </c>
      <c r="B1212" t="str">
        <f t="shared" si="37"/>
        <v/>
      </c>
      <c r="C1212" t="str">
        <f>IF(D1212="","",IF(COUNTIF($D$2:D1212,D1212)&gt;1,"",SUMIFS(tbl_input[필요수량],tbl_input[집계키_청],D1212)))</f>
        <v/>
      </c>
      <c r="D1212" t="str">
        <f>IFERROR(INDEX(tbl_input[집계키_청],ROW()-1),"")</f>
        <v/>
      </c>
    </row>
    <row r="1213" spans="1:4" x14ac:dyDescent="0.4">
      <c r="A1213" t="str">
        <f t="shared" si="36"/>
        <v/>
      </c>
      <c r="B1213" t="str">
        <f t="shared" si="37"/>
        <v/>
      </c>
      <c r="C1213" t="str">
        <f>IF(D1213="","",IF(COUNTIF($D$2:D1213,D1213)&gt;1,"",SUMIFS(tbl_input[필요수량],tbl_input[집계키_청],D1213)))</f>
        <v/>
      </c>
      <c r="D1213" t="str">
        <f>IFERROR(INDEX(tbl_input[집계키_청],ROW()-1),"")</f>
        <v/>
      </c>
    </row>
    <row r="1214" spans="1:4" x14ac:dyDescent="0.4">
      <c r="A1214" t="str">
        <f t="shared" si="36"/>
        <v/>
      </c>
      <c r="B1214" t="str">
        <f t="shared" si="37"/>
        <v/>
      </c>
      <c r="C1214" t="str">
        <f>IF(D1214="","",IF(COUNTIF($D$2:D1214,D1214)&gt;1,"",SUMIFS(tbl_input[필요수량],tbl_input[집계키_청],D1214)))</f>
        <v/>
      </c>
      <c r="D1214" t="str">
        <f>IFERROR(INDEX(tbl_input[집계키_청],ROW()-1),"")</f>
        <v/>
      </c>
    </row>
    <row r="1215" spans="1:4" x14ac:dyDescent="0.4">
      <c r="A1215" t="str">
        <f t="shared" si="36"/>
        <v/>
      </c>
      <c r="B1215" t="str">
        <f t="shared" si="37"/>
        <v/>
      </c>
      <c r="C1215" t="str">
        <f>IF(D1215="","",IF(COUNTIF($D$2:D1215,D1215)&gt;1,"",SUMIFS(tbl_input[필요수량],tbl_input[집계키_청],D1215)))</f>
        <v/>
      </c>
      <c r="D1215" t="str">
        <f>IFERROR(INDEX(tbl_input[집계키_청],ROW()-1),"")</f>
        <v/>
      </c>
    </row>
    <row r="1216" spans="1:4" x14ac:dyDescent="0.4">
      <c r="A1216" t="str">
        <f t="shared" si="36"/>
        <v/>
      </c>
      <c r="B1216" t="str">
        <f t="shared" si="37"/>
        <v/>
      </c>
      <c r="C1216" t="str">
        <f>IF(D1216="","",IF(COUNTIF($D$2:D1216,D1216)&gt;1,"",SUMIFS(tbl_input[필요수량],tbl_input[집계키_청],D1216)))</f>
        <v/>
      </c>
      <c r="D1216" t="str">
        <f>IFERROR(INDEX(tbl_input[집계키_청],ROW()-1),"")</f>
        <v/>
      </c>
    </row>
    <row r="1217" spans="1:4" x14ac:dyDescent="0.4">
      <c r="A1217" t="str">
        <f t="shared" si="36"/>
        <v/>
      </c>
      <c r="B1217" t="str">
        <f t="shared" si="37"/>
        <v/>
      </c>
      <c r="C1217" t="str">
        <f>IF(D1217="","",IF(COUNTIF($D$2:D1217,D1217)&gt;1,"",SUMIFS(tbl_input[필요수량],tbl_input[집계키_청],D1217)))</f>
        <v/>
      </c>
      <c r="D1217" t="str">
        <f>IFERROR(INDEX(tbl_input[집계키_청],ROW()-1),"")</f>
        <v/>
      </c>
    </row>
    <row r="1218" spans="1:4" x14ac:dyDescent="0.4">
      <c r="A1218" t="str">
        <f t="shared" ref="A1218:A1281" si="38">IF(D1218="","",LEFT(D1218,FIND("♦",D1218)-1))</f>
        <v/>
      </c>
      <c r="B1218" t="str">
        <f t="shared" ref="B1218:B1281" si="39">IF(D1218="","",MID(D1218,FIND("♦",D1218)+1,999))</f>
        <v/>
      </c>
      <c r="C1218" t="str">
        <f>IF(D1218="","",IF(COUNTIF($D$2:D1218,D1218)&gt;1,"",SUMIFS(tbl_input[필요수량],tbl_input[집계키_청],D1218)))</f>
        <v/>
      </c>
      <c r="D1218" t="str">
        <f>IFERROR(INDEX(tbl_input[집계키_청],ROW()-1),"")</f>
        <v/>
      </c>
    </row>
    <row r="1219" spans="1:4" x14ac:dyDescent="0.4">
      <c r="A1219" t="str">
        <f t="shared" si="38"/>
        <v/>
      </c>
      <c r="B1219" t="str">
        <f t="shared" si="39"/>
        <v/>
      </c>
      <c r="C1219" t="str">
        <f>IF(D1219="","",IF(COUNTIF($D$2:D1219,D1219)&gt;1,"",SUMIFS(tbl_input[필요수량],tbl_input[집계키_청],D1219)))</f>
        <v/>
      </c>
      <c r="D1219" t="str">
        <f>IFERROR(INDEX(tbl_input[집계키_청],ROW()-1),"")</f>
        <v/>
      </c>
    </row>
    <row r="1220" spans="1:4" x14ac:dyDescent="0.4">
      <c r="A1220" t="str">
        <f t="shared" si="38"/>
        <v/>
      </c>
      <c r="B1220" t="str">
        <f t="shared" si="39"/>
        <v/>
      </c>
      <c r="C1220" t="str">
        <f>IF(D1220="","",IF(COUNTIF($D$2:D1220,D1220)&gt;1,"",SUMIFS(tbl_input[필요수량],tbl_input[집계키_청],D1220)))</f>
        <v/>
      </c>
      <c r="D1220" t="str">
        <f>IFERROR(INDEX(tbl_input[집계키_청],ROW()-1),"")</f>
        <v/>
      </c>
    </row>
    <row r="1221" spans="1:4" x14ac:dyDescent="0.4">
      <c r="A1221" t="str">
        <f t="shared" si="38"/>
        <v/>
      </c>
      <c r="B1221" t="str">
        <f t="shared" si="39"/>
        <v/>
      </c>
      <c r="C1221" t="str">
        <f>IF(D1221="","",IF(COUNTIF($D$2:D1221,D1221)&gt;1,"",SUMIFS(tbl_input[필요수량],tbl_input[집계키_청],D1221)))</f>
        <v/>
      </c>
      <c r="D1221" t="str">
        <f>IFERROR(INDEX(tbl_input[집계키_청],ROW()-1),"")</f>
        <v/>
      </c>
    </row>
    <row r="1222" spans="1:4" x14ac:dyDescent="0.4">
      <c r="A1222" t="str">
        <f t="shared" si="38"/>
        <v/>
      </c>
      <c r="B1222" t="str">
        <f t="shared" si="39"/>
        <v/>
      </c>
      <c r="C1222" t="str">
        <f>IF(D1222="","",IF(COUNTIF($D$2:D1222,D1222)&gt;1,"",SUMIFS(tbl_input[필요수량],tbl_input[집계키_청],D1222)))</f>
        <v/>
      </c>
      <c r="D1222" t="str">
        <f>IFERROR(INDEX(tbl_input[집계키_청],ROW()-1),"")</f>
        <v/>
      </c>
    </row>
    <row r="1223" spans="1:4" x14ac:dyDescent="0.4">
      <c r="A1223" t="str">
        <f t="shared" si="38"/>
        <v/>
      </c>
      <c r="B1223" t="str">
        <f t="shared" si="39"/>
        <v/>
      </c>
      <c r="C1223" t="str">
        <f>IF(D1223="","",IF(COUNTIF($D$2:D1223,D1223)&gt;1,"",SUMIFS(tbl_input[필요수량],tbl_input[집계키_청],D1223)))</f>
        <v/>
      </c>
      <c r="D1223" t="str">
        <f>IFERROR(INDEX(tbl_input[집계키_청],ROW()-1),"")</f>
        <v/>
      </c>
    </row>
    <row r="1224" spans="1:4" x14ac:dyDescent="0.4">
      <c r="A1224" t="str">
        <f t="shared" si="38"/>
        <v/>
      </c>
      <c r="B1224" t="str">
        <f t="shared" si="39"/>
        <v/>
      </c>
      <c r="C1224" t="str">
        <f>IF(D1224="","",IF(COUNTIF($D$2:D1224,D1224)&gt;1,"",SUMIFS(tbl_input[필요수량],tbl_input[집계키_청],D1224)))</f>
        <v/>
      </c>
      <c r="D1224" t="str">
        <f>IFERROR(INDEX(tbl_input[집계키_청],ROW()-1),"")</f>
        <v/>
      </c>
    </row>
    <row r="1225" spans="1:4" x14ac:dyDescent="0.4">
      <c r="A1225" t="str">
        <f t="shared" si="38"/>
        <v/>
      </c>
      <c r="B1225" t="str">
        <f t="shared" si="39"/>
        <v/>
      </c>
      <c r="C1225" t="str">
        <f>IF(D1225="","",IF(COUNTIF($D$2:D1225,D1225)&gt;1,"",SUMIFS(tbl_input[필요수량],tbl_input[집계키_청],D1225)))</f>
        <v/>
      </c>
      <c r="D1225" t="str">
        <f>IFERROR(INDEX(tbl_input[집계키_청],ROW()-1),"")</f>
        <v/>
      </c>
    </row>
    <row r="1226" spans="1:4" x14ac:dyDescent="0.4">
      <c r="A1226" t="str">
        <f t="shared" si="38"/>
        <v/>
      </c>
      <c r="B1226" t="str">
        <f t="shared" si="39"/>
        <v/>
      </c>
      <c r="C1226" t="str">
        <f>IF(D1226="","",IF(COUNTIF($D$2:D1226,D1226)&gt;1,"",SUMIFS(tbl_input[필요수량],tbl_input[집계키_청],D1226)))</f>
        <v/>
      </c>
      <c r="D1226" t="str">
        <f>IFERROR(INDEX(tbl_input[집계키_청],ROW()-1),"")</f>
        <v/>
      </c>
    </row>
    <row r="1227" spans="1:4" x14ac:dyDescent="0.4">
      <c r="A1227" t="str">
        <f t="shared" si="38"/>
        <v/>
      </c>
      <c r="B1227" t="str">
        <f t="shared" si="39"/>
        <v/>
      </c>
      <c r="C1227" t="str">
        <f>IF(D1227="","",IF(COUNTIF($D$2:D1227,D1227)&gt;1,"",SUMIFS(tbl_input[필요수량],tbl_input[집계키_청],D1227)))</f>
        <v/>
      </c>
      <c r="D1227" t="str">
        <f>IFERROR(INDEX(tbl_input[집계키_청],ROW()-1),"")</f>
        <v/>
      </c>
    </row>
    <row r="1228" spans="1:4" x14ac:dyDescent="0.4">
      <c r="A1228" t="str">
        <f t="shared" si="38"/>
        <v/>
      </c>
      <c r="B1228" t="str">
        <f t="shared" si="39"/>
        <v/>
      </c>
      <c r="C1228" t="str">
        <f>IF(D1228="","",IF(COUNTIF($D$2:D1228,D1228)&gt;1,"",SUMIFS(tbl_input[필요수량],tbl_input[집계키_청],D1228)))</f>
        <v/>
      </c>
      <c r="D1228" t="str">
        <f>IFERROR(INDEX(tbl_input[집계키_청],ROW()-1),"")</f>
        <v/>
      </c>
    </row>
    <row r="1229" spans="1:4" x14ac:dyDescent="0.4">
      <c r="A1229" t="str">
        <f t="shared" si="38"/>
        <v/>
      </c>
      <c r="B1229" t="str">
        <f t="shared" si="39"/>
        <v/>
      </c>
      <c r="C1229" t="str">
        <f>IF(D1229="","",IF(COUNTIF($D$2:D1229,D1229)&gt;1,"",SUMIFS(tbl_input[필요수량],tbl_input[집계키_청],D1229)))</f>
        <v/>
      </c>
      <c r="D1229" t="str">
        <f>IFERROR(INDEX(tbl_input[집계키_청],ROW()-1),"")</f>
        <v/>
      </c>
    </row>
    <row r="1230" spans="1:4" x14ac:dyDescent="0.4">
      <c r="A1230" t="str">
        <f t="shared" si="38"/>
        <v/>
      </c>
      <c r="B1230" t="str">
        <f t="shared" si="39"/>
        <v/>
      </c>
      <c r="C1230" t="str">
        <f>IF(D1230="","",IF(COUNTIF($D$2:D1230,D1230)&gt;1,"",SUMIFS(tbl_input[필요수량],tbl_input[집계키_청],D1230)))</f>
        <v/>
      </c>
      <c r="D1230" t="str">
        <f>IFERROR(INDEX(tbl_input[집계키_청],ROW()-1),"")</f>
        <v/>
      </c>
    </row>
    <row r="1231" spans="1:4" x14ac:dyDescent="0.4">
      <c r="A1231" t="str">
        <f t="shared" si="38"/>
        <v/>
      </c>
      <c r="B1231" t="str">
        <f t="shared" si="39"/>
        <v/>
      </c>
      <c r="C1231" t="str">
        <f>IF(D1231="","",IF(COUNTIF($D$2:D1231,D1231)&gt;1,"",SUMIFS(tbl_input[필요수량],tbl_input[집계키_청],D1231)))</f>
        <v/>
      </c>
      <c r="D1231" t="str">
        <f>IFERROR(INDEX(tbl_input[집계키_청],ROW()-1),"")</f>
        <v/>
      </c>
    </row>
    <row r="1232" spans="1:4" x14ac:dyDescent="0.4">
      <c r="A1232" t="str">
        <f t="shared" si="38"/>
        <v/>
      </c>
      <c r="B1232" t="str">
        <f t="shared" si="39"/>
        <v/>
      </c>
      <c r="C1232" t="str">
        <f>IF(D1232="","",IF(COUNTIF($D$2:D1232,D1232)&gt;1,"",SUMIFS(tbl_input[필요수량],tbl_input[집계키_청],D1232)))</f>
        <v/>
      </c>
      <c r="D1232" t="str">
        <f>IFERROR(INDEX(tbl_input[집계키_청],ROW()-1),"")</f>
        <v/>
      </c>
    </row>
    <row r="1233" spans="1:4" x14ac:dyDescent="0.4">
      <c r="A1233" t="str">
        <f t="shared" si="38"/>
        <v/>
      </c>
      <c r="B1233" t="str">
        <f t="shared" si="39"/>
        <v/>
      </c>
      <c r="C1233" t="str">
        <f>IF(D1233="","",IF(COUNTIF($D$2:D1233,D1233)&gt;1,"",SUMIFS(tbl_input[필요수량],tbl_input[집계키_청],D1233)))</f>
        <v/>
      </c>
      <c r="D1233" t="str">
        <f>IFERROR(INDEX(tbl_input[집계키_청],ROW()-1),"")</f>
        <v/>
      </c>
    </row>
    <row r="1234" spans="1:4" x14ac:dyDescent="0.4">
      <c r="A1234" t="str">
        <f t="shared" si="38"/>
        <v/>
      </c>
      <c r="B1234" t="str">
        <f t="shared" si="39"/>
        <v/>
      </c>
      <c r="C1234" t="str">
        <f>IF(D1234="","",IF(COUNTIF($D$2:D1234,D1234)&gt;1,"",SUMIFS(tbl_input[필요수량],tbl_input[집계키_청],D1234)))</f>
        <v/>
      </c>
      <c r="D1234" t="str">
        <f>IFERROR(INDEX(tbl_input[집계키_청],ROW()-1),"")</f>
        <v/>
      </c>
    </row>
    <row r="1235" spans="1:4" x14ac:dyDescent="0.4">
      <c r="A1235" t="str">
        <f t="shared" si="38"/>
        <v/>
      </c>
      <c r="B1235" t="str">
        <f t="shared" si="39"/>
        <v/>
      </c>
      <c r="C1235" t="str">
        <f>IF(D1235="","",IF(COUNTIF($D$2:D1235,D1235)&gt;1,"",SUMIFS(tbl_input[필요수량],tbl_input[집계키_청],D1235)))</f>
        <v/>
      </c>
      <c r="D1235" t="str">
        <f>IFERROR(INDEX(tbl_input[집계키_청],ROW()-1),"")</f>
        <v/>
      </c>
    </row>
    <row r="1236" spans="1:4" x14ac:dyDescent="0.4">
      <c r="A1236" t="str">
        <f t="shared" si="38"/>
        <v/>
      </c>
      <c r="B1236" t="str">
        <f t="shared" si="39"/>
        <v/>
      </c>
      <c r="C1236" t="str">
        <f>IF(D1236="","",IF(COUNTIF($D$2:D1236,D1236)&gt;1,"",SUMIFS(tbl_input[필요수량],tbl_input[집계키_청],D1236)))</f>
        <v/>
      </c>
      <c r="D1236" t="str">
        <f>IFERROR(INDEX(tbl_input[집계키_청],ROW()-1),"")</f>
        <v/>
      </c>
    </row>
    <row r="1237" spans="1:4" x14ac:dyDescent="0.4">
      <c r="A1237" t="str">
        <f t="shared" si="38"/>
        <v/>
      </c>
      <c r="B1237" t="str">
        <f t="shared" si="39"/>
        <v/>
      </c>
      <c r="C1237" t="str">
        <f>IF(D1237="","",IF(COUNTIF($D$2:D1237,D1237)&gt;1,"",SUMIFS(tbl_input[필요수량],tbl_input[집계키_청],D1237)))</f>
        <v/>
      </c>
      <c r="D1237" t="str">
        <f>IFERROR(INDEX(tbl_input[집계키_청],ROW()-1),"")</f>
        <v/>
      </c>
    </row>
    <row r="1238" spans="1:4" x14ac:dyDescent="0.4">
      <c r="A1238" t="str">
        <f t="shared" si="38"/>
        <v/>
      </c>
      <c r="B1238" t="str">
        <f t="shared" si="39"/>
        <v/>
      </c>
      <c r="C1238" t="str">
        <f>IF(D1238="","",IF(COUNTIF($D$2:D1238,D1238)&gt;1,"",SUMIFS(tbl_input[필요수량],tbl_input[집계키_청],D1238)))</f>
        <v/>
      </c>
      <c r="D1238" t="str">
        <f>IFERROR(INDEX(tbl_input[집계키_청],ROW()-1),"")</f>
        <v/>
      </c>
    </row>
    <row r="1239" spans="1:4" x14ac:dyDescent="0.4">
      <c r="A1239" t="str">
        <f t="shared" si="38"/>
        <v/>
      </c>
      <c r="B1239" t="str">
        <f t="shared" si="39"/>
        <v/>
      </c>
      <c r="C1239" t="str">
        <f>IF(D1239="","",IF(COUNTIF($D$2:D1239,D1239)&gt;1,"",SUMIFS(tbl_input[필요수량],tbl_input[집계키_청],D1239)))</f>
        <v/>
      </c>
      <c r="D1239" t="str">
        <f>IFERROR(INDEX(tbl_input[집계키_청],ROW()-1),"")</f>
        <v/>
      </c>
    </row>
    <row r="1240" spans="1:4" x14ac:dyDescent="0.4">
      <c r="A1240" t="str">
        <f t="shared" si="38"/>
        <v/>
      </c>
      <c r="B1240" t="str">
        <f t="shared" si="39"/>
        <v/>
      </c>
      <c r="C1240" t="str">
        <f>IF(D1240="","",IF(COUNTIF($D$2:D1240,D1240)&gt;1,"",SUMIFS(tbl_input[필요수량],tbl_input[집계키_청],D1240)))</f>
        <v/>
      </c>
      <c r="D1240" t="str">
        <f>IFERROR(INDEX(tbl_input[집계키_청],ROW()-1),"")</f>
        <v/>
      </c>
    </row>
    <row r="1241" spans="1:4" x14ac:dyDescent="0.4">
      <c r="A1241" t="str">
        <f t="shared" si="38"/>
        <v/>
      </c>
      <c r="B1241" t="str">
        <f t="shared" si="39"/>
        <v/>
      </c>
      <c r="C1241" t="str">
        <f>IF(D1241="","",IF(COUNTIF($D$2:D1241,D1241)&gt;1,"",SUMIFS(tbl_input[필요수량],tbl_input[집계키_청],D1241)))</f>
        <v/>
      </c>
      <c r="D1241" t="str">
        <f>IFERROR(INDEX(tbl_input[집계키_청],ROW()-1),"")</f>
        <v/>
      </c>
    </row>
    <row r="1242" spans="1:4" x14ac:dyDescent="0.4">
      <c r="A1242" t="str">
        <f t="shared" si="38"/>
        <v/>
      </c>
      <c r="B1242" t="str">
        <f t="shared" si="39"/>
        <v/>
      </c>
      <c r="C1242" t="str">
        <f>IF(D1242="","",IF(COUNTIF($D$2:D1242,D1242)&gt;1,"",SUMIFS(tbl_input[필요수량],tbl_input[집계키_청],D1242)))</f>
        <v/>
      </c>
      <c r="D1242" t="str">
        <f>IFERROR(INDEX(tbl_input[집계키_청],ROW()-1),"")</f>
        <v/>
      </c>
    </row>
    <row r="1243" spans="1:4" x14ac:dyDescent="0.4">
      <c r="A1243" t="str">
        <f t="shared" si="38"/>
        <v/>
      </c>
      <c r="B1243" t="str">
        <f t="shared" si="39"/>
        <v/>
      </c>
      <c r="C1243" t="str">
        <f>IF(D1243="","",IF(COUNTIF($D$2:D1243,D1243)&gt;1,"",SUMIFS(tbl_input[필요수량],tbl_input[집계키_청],D1243)))</f>
        <v/>
      </c>
      <c r="D1243" t="str">
        <f>IFERROR(INDEX(tbl_input[집계키_청],ROW()-1),"")</f>
        <v/>
      </c>
    </row>
    <row r="1244" spans="1:4" x14ac:dyDescent="0.4">
      <c r="A1244" t="str">
        <f t="shared" si="38"/>
        <v/>
      </c>
      <c r="B1244" t="str">
        <f t="shared" si="39"/>
        <v/>
      </c>
      <c r="C1244" t="str">
        <f>IF(D1244="","",IF(COUNTIF($D$2:D1244,D1244)&gt;1,"",SUMIFS(tbl_input[필요수량],tbl_input[집계키_청],D1244)))</f>
        <v/>
      </c>
      <c r="D1244" t="str">
        <f>IFERROR(INDEX(tbl_input[집계키_청],ROW()-1),"")</f>
        <v/>
      </c>
    </row>
    <row r="1245" spans="1:4" x14ac:dyDescent="0.4">
      <c r="A1245" t="str">
        <f t="shared" si="38"/>
        <v/>
      </c>
      <c r="B1245" t="str">
        <f t="shared" si="39"/>
        <v/>
      </c>
      <c r="C1245" t="str">
        <f>IF(D1245="","",IF(COUNTIF($D$2:D1245,D1245)&gt;1,"",SUMIFS(tbl_input[필요수량],tbl_input[집계키_청],D1245)))</f>
        <v/>
      </c>
      <c r="D1245" t="str">
        <f>IFERROR(INDEX(tbl_input[집계키_청],ROW()-1),"")</f>
        <v/>
      </c>
    </row>
    <row r="1246" spans="1:4" x14ac:dyDescent="0.4">
      <c r="A1246" t="str">
        <f t="shared" si="38"/>
        <v/>
      </c>
      <c r="B1246" t="str">
        <f t="shared" si="39"/>
        <v/>
      </c>
      <c r="C1246" t="str">
        <f>IF(D1246="","",IF(COUNTIF($D$2:D1246,D1246)&gt;1,"",SUMIFS(tbl_input[필요수량],tbl_input[집계키_청],D1246)))</f>
        <v/>
      </c>
      <c r="D1246" t="str">
        <f>IFERROR(INDEX(tbl_input[집계키_청],ROW()-1),"")</f>
        <v/>
      </c>
    </row>
    <row r="1247" spans="1:4" x14ac:dyDescent="0.4">
      <c r="A1247" t="str">
        <f t="shared" si="38"/>
        <v/>
      </c>
      <c r="B1247" t="str">
        <f t="shared" si="39"/>
        <v/>
      </c>
      <c r="C1247" t="str">
        <f>IF(D1247="","",IF(COUNTIF($D$2:D1247,D1247)&gt;1,"",SUMIFS(tbl_input[필요수량],tbl_input[집계키_청],D1247)))</f>
        <v/>
      </c>
      <c r="D1247" t="str">
        <f>IFERROR(INDEX(tbl_input[집계키_청],ROW()-1),"")</f>
        <v/>
      </c>
    </row>
    <row r="1248" spans="1:4" x14ac:dyDescent="0.4">
      <c r="A1248" t="str">
        <f t="shared" si="38"/>
        <v/>
      </c>
      <c r="B1248" t="str">
        <f t="shared" si="39"/>
        <v/>
      </c>
      <c r="C1248" t="str">
        <f>IF(D1248="","",IF(COUNTIF($D$2:D1248,D1248)&gt;1,"",SUMIFS(tbl_input[필요수량],tbl_input[집계키_청],D1248)))</f>
        <v/>
      </c>
      <c r="D1248" t="str">
        <f>IFERROR(INDEX(tbl_input[집계키_청],ROW()-1),"")</f>
        <v/>
      </c>
    </row>
    <row r="1249" spans="1:4" x14ac:dyDescent="0.4">
      <c r="A1249" t="str">
        <f t="shared" si="38"/>
        <v/>
      </c>
      <c r="B1249" t="str">
        <f t="shared" si="39"/>
        <v/>
      </c>
      <c r="C1249" t="str">
        <f>IF(D1249="","",IF(COUNTIF($D$2:D1249,D1249)&gt;1,"",SUMIFS(tbl_input[필요수량],tbl_input[집계키_청],D1249)))</f>
        <v/>
      </c>
      <c r="D1249" t="str">
        <f>IFERROR(INDEX(tbl_input[집계키_청],ROW()-1),"")</f>
        <v/>
      </c>
    </row>
    <row r="1250" spans="1:4" x14ac:dyDescent="0.4">
      <c r="A1250" t="str">
        <f t="shared" si="38"/>
        <v/>
      </c>
      <c r="B1250" t="str">
        <f t="shared" si="39"/>
        <v/>
      </c>
      <c r="C1250" t="str">
        <f>IF(D1250="","",IF(COUNTIF($D$2:D1250,D1250)&gt;1,"",SUMIFS(tbl_input[필요수량],tbl_input[집계키_청],D1250)))</f>
        <v/>
      </c>
      <c r="D1250" t="str">
        <f>IFERROR(INDEX(tbl_input[집계키_청],ROW()-1),"")</f>
        <v/>
      </c>
    </row>
    <row r="1251" spans="1:4" x14ac:dyDescent="0.4">
      <c r="A1251" t="str">
        <f t="shared" si="38"/>
        <v/>
      </c>
      <c r="B1251" t="str">
        <f t="shared" si="39"/>
        <v/>
      </c>
      <c r="C1251" t="str">
        <f>IF(D1251="","",IF(COUNTIF($D$2:D1251,D1251)&gt;1,"",SUMIFS(tbl_input[필요수량],tbl_input[집계키_청],D1251)))</f>
        <v/>
      </c>
      <c r="D1251" t="str">
        <f>IFERROR(INDEX(tbl_input[집계키_청],ROW()-1),"")</f>
        <v/>
      </c>
    </row>
    <row r="1252" spans="1:4" x14ac:dyDescent="0.4">
      <c r="A1252" t="str">
        <f t="shared" si="38"/>
        <v/>
      </c>
      <c r="B1252" t="str">
        <f t="shared" si="39"/>
        <v/>
      </c>
      <c r="C1252" t="str">
        <f>IF(D1252="","",IF(COUNTIF($D$2:D1252,D1252)&gt;1,"",SUMIFS(tbl_input[필요수량],tbl_input[집계키_청],D1252)))</f>
        <v/>
      </c>
      <c r="D1252" t="str">
        <f>IFERROR(INDEX(tbl_input[집계키_청],ROW()-1),"")</f>
        <v/>
      </c>
    </row>
    <row r="1253" spans="1:4" x14ac:dyDescent="0.4">
      <c r="A1253" t="str">
        <f t="shared" si="38"/>
        <v/>
      </c>
      <c r="B1253" t="str">
        <f t="shared" si="39"/>
        <v/>
      </c>
      <c r="C1253" t="str">
        <f>IF(D1253="","",IF(COUNTIF($D$2:D1253,D1253)&gt;1,"",SUMIFS(tbl_input[필요수량],tbl_input[집계키_청],D1253)))</f>
        <v/>
      </c>
      <c r="D1253" t="str">
        <f>IFERROR(INDEX(tbl_input[집계키_청],ROW()-1),"")</f>
        <v/>
      </c>
    </row>
    <row r="1254" spans="1:4" x14ac:dyDescent="0.4">
      <c r="A1254" t="str">
        <f t="shared" si="38"/>
        <v/>
      </c>
      <c r="B1254" t="str">
        <f t="shared" si="39"/>
        <v/>
      </c>
      <c r="C1254" t="str">
        <f>IF(D1254="","",IF(COUNTIF($D$2:D1254,D1254)&gt;1,"",SUMIFS(tbl_input[필요수량],tbl_input[집계키_청],D1254)))</f>
        <v/>
      </c>
      <c r="D1254" t="str">
        <f>IFERROR(INDEX(tbl_input[집계키_청],ROW()-1),"")</f>
        <v/>
      </c>
    </row>
    <row r="1255" spans="1:4" x14ac:dyDescent="0.4">
      <c r="A1255" t="str">
        <f t="shared" si="38"/>
        <v/>
      </c>
      <c r="B1255" t="str">
        <f t="shared" si="39"/>
        <v/>
      </c>
      <c r="C1255" t="str">
        <f>IF(D1255="","",IF(COUNTIF($D$2:D1255,D1255)&gt;1,"",SUMIFS(tbl_input[필요수량],tbl_input[집계키_청],D1255)))</f>
        <v/>
      </c>
      <c r="D1255" t="str">
        <f>IFERROR(INDEX(tbl_input[집계키_청],ROW()-1),"")</f>
        <v/>
      </c>
    </row>
    <row r="1256" spans="1:4" x14ac:dyDescent="0.4">
      <c r="A1256" t="str">
        <f t="shared" si="38"/>
        <v/>
      </c>
      <c r="B1256" t="str">
        <f t="shared" si="39"/>
        <v/>
      </c>
      <c r="C1256" t="str">
        <f>IF(D1256="","",IF(COUNTIF($D$2:D1256,D1256)&gt;1,"",SUMIFS(tbl_input[필요수량],tbl_input[집계키_청],D1256)))</f>
        <v/>
      </c>
      <c r="D1256" t="str">
        <f>IFERROR(INDEX(tbl_input[집계키_청],ROW()-1),"")</f>
        <v/>
      </c>
    </row>
    <row r="1257" spans="1:4" x14ac:dyDescent="0.4">
      <c r="A1257" t="str">
        <f t="shared" si="38"/>
        <v/>
      </c>
      <c r="B1257" t="str">
        <f t="shared" si="39"/>
        <v/>
      </c>
      <c r="C1257" t="str">
        <f>IF(D1257="","",IF(COUNTIF($D$2:D1257,D1257)&gt;1,"",SUMIFS(tbl_input[필요수량],tbl_input[집계키_청],D1257)))</f>
        <v/>
      </c>
      <c r="D1257" t="str">
        <f>IFERROR(INDEX(tbl_input[집계키_청],ROW()-1),"")</f>
        <v/>
      </c>
    </row>
    <row r="1258" spans="1:4" x14ac:dyDescent="0.4">
      <c r="A1258" t="str">
        <f t="shared" si="38"/>
        <v/>
      </c>
      <c r="B1258" t="str">
        <f t="shared" si="39"/>
        <v/>
      </c>
      <c r="C1258" t="str">
        <f>IF(D1258="","",IF(COUNTIF($D$2:D1258,D1258)&gt;1,"",SUMIFS(tbl_input[필요수량],tbl_input[집계키_청],D1258)))</f>
        <v/>
      </c>
      <c r="D1258" t="str">
        <f>IFERROR(INDEX(tbl_input[집계키_청],ROW()-1),"")</f>
        <v/>
      </c>
    </row>
    <row r="1259" spans="1:4" x14ac:dyDescent="0.4">
      <c r="A1259" t="str">
        <f t="shared" si="38"/>
        <v/>
      </c>
      <c r="B1259" t="str">
        <f t="shared" si="39"/>
        <v/>
      </c>
      <c r="C1259" t="str">
        <f>IF(D1259="","",IF(COUNTIF($D$2:D1259,D1259)&gt;1,"",SUMIFS(tbl_input[필요수량],tbl_input[집계키_청],D1259)))</f>
        <v/>
      </c>
      <c r="D1259" t="str">
        <f>IFERROR(INDEX(tbl_input[집계키_청],ROW()-1),"")</f>
        <v/>
      </c>
    </row>
    <row r="1260" spans="1:4" x14ac:dyDescent="0.4">
      <c r="A1260" t="str">
        <f t="shared" si="38"/>
        <v/>
      </c>
      <c r="B1260" t="str">
        <f t="shared" si="39"/>
        <v/>
      </c>
      <c r="C1260" t="str">
        <f>IF(D1260="","",IF(COUNTIF($D$2:D1260,D1260)&gt;1,"",SUMIFS(tbl_input[필요수량],tbl_input[집계키_청],D1260)))</f>
        <v/>
      </c>
      <c r="D1260" t="str">
        <f>IFERROR(INDEX(tbl_input[집계키_청],ROW()-1),"")</f>
        <v/>
      </c>
    </row>
    <row r="1261" spans="1:4" x14ac:dyDescent="0.4">
      <c r="A1261" t="str">
        <f t="shared" si="38"/>
        <v/>
      </c>
      <c r="B1261" t="str">
        <f t="shared" si="39"/>
        <v/>
      </c>
      <c r="C1261" t="str">
        <f>IF(D1261="","",IF(COUNTIF($D$2:D1261,D1261)&gt;1,"",SUMIFS(tbl_input[필요수량],tbl_input[집계키_청],D1261)))</f>
        <v/>
      </c>
      <c r="D1261" t="str">
        <f>IFERROR(INDEX(tbl_input[집계키_청],ROW()-1),"")</f>
        <v/>
      </c>
    </row>
    <row r="1262" spans="1:4" x14ac:dyDescent="0.4">
      <c r="A1262" t="str">
        <f t="shared" si="38"/>
        <v/>
      </c>
      <c r="B1262" t="str">
        <f t="shared" si="39"/>
        <v/>
      </c>
      <c r="C1262" t="str">
        <f>IF(D1262="","",IF(COUNTIF($D$2:D1262,D1262)&gt;1,"",SUMIFS(tbl_input[필요수량],tbl_input[집계키_청],D1262)))</f>
        <v/>
      </c>
      <c r="D1262" t="str">
        <f>IFERROR(INDEX(tbl_input[집계키_청],ROW()-1),"")</f>
        <v/>
      </c>
    </row>
    <row r="1263" spans="1:4" x14ac:dyDescent="0.4">
      <c r="A1263" t="str">
        <f t="shared" si="38"/>
        <v/>
      </c>
      <c r="B1263" t="str">
        <f t="shared" si="39"/>
        <v/>
      </c>
      <c r="C1263" t="str">
        <f>IF(D1263="","",IF(COUNTIF($D$2:D1263,D1263)&gt;1,"",SUMIFS(tbl_input[필요수량],tbl_input[집계키_청],D1263)))</f>
        <v/>
      </c>
      <c r="D1263" t="str">
        <f>IFERROR(INDEX(tbl_input[집계키_청],ROW()-1),"")</f>
        <v/>
      </c>
    </row>
    <row r="1264" spans="1:4" x14ac:dyDescent="0.4">
      <c r="A1264" t="str">
        <f t="shared" si="38"/>
        <v/>
      </c>
      <c r="B1264" t="str">
        <f t="shared" si="39"/>
        <v/>
      </c>
      <c r="C1264" t="str">
        <f>IF(D1264="","",IF(COUNTIF($D$2:D1264,D1264)&gt;1,"",SUMIFS(tbl_input[필요수량],tbl_input[집계키_청],D1264)))</f>
        <v/>
      </c>
      <c r="D1264" t="str">
        <f>IFERROR(INDEX(tbl_input[집계키_청],ROW()-1),"")</f>
        <v/>
      </c>
    </row>
    <row r="1265" spans="1:4" x14ac:dyDescent="0.4">
      <c r="A1265" t="str">
        <f t="shared" si="38"/>
        <v/>
      </c>
      <c r="B1265" t="str">
        <f t="shared" si="39"/>
        <v/>
      </c>
      <c r="C1265" t="str">
        <f>IF(D1265="","",IF(COUNTIF($D$2:D1265,D1265)&gt;1,"",SUMIFS(tbl_input[필요수량],tbl_input[집계키_청],D1265)))</f>
        <v/>
      </c>
      <c r="D1265" t="str">
        <f>IFERROR(INDEX(tbl_input[집계키_청],ROW()-1),"")</f>
        <v/>
      </c>
    </row>
    <row r="1266" spans="1:4" x14ac:dyDescent="0.4">
      <c r="A1266" t="str">
        <f t="shared" si="38"/>
        <v/>
      </c>
      <c r="B1266" t="str">
        <f t="shared" si="39"/>
        <v/>
      </c>
      <c r="C1266" t="str">
        <f>IF(D1266="","",IF(COUNTIF($D$2:D1266,D1266)&gt;1,"",SUMIFS(tbl_input[필요수량],tbl_input[집계키_청],D1266)))</f>
        <v/>
      </c>
      <c r="D1266" t="str">
        <f>IFERROR(INDEX(tbl_input[집계키_청],ROW()-1),"")</f>
        <v/>
      </c>
    </row>
    <row r="1267" spans="1:4" x14ac:dyDescent="0.4">
      <c r="A1267" t="str">
        <f t="shared" si="38"/>
        <v/>
      </c>
      <c r="B1267" t="str">
        <f t="shared" si="39"/>
        <v/>
      </c>
      <c r="C1267" t="str">
        <f>IF(D1267="","",IF(COUNTIF($D$2:D1267,D1267)&gt;1,"",SUMIFS(tbl_input[필요수량],tbl_input[집계키_청],D1267)))</f>
        <v/>
      </c>
      <c r="D1267" t="str">
        <f>IFERROR(INDEX(tbl_input[집계키_청],ROW()-1),"")</f>
        <v/>
      </c>
    </row>
    <row r="1268" spans="1:4" x14ac:dyDescent="0.4">
      <c r="A1268" t="str">
        <f t="shared" si="38"/>
        <v/>
      </c>
      <c r="B1268" t="str">
        <f t="shared" si="39"/>
        <v/>
      </c>
      <c r="C1268" t="str">
        <f>IF(D1268="","",IF(COUNTIF($D$2:D1268,D1268)&gt;1,"",SUMIFS(tbl_input[필요수량],tbl_input[집계키_청],D1268)))</f>
        <v/>
      </c>
      <c r="D1268" t="str">
        <f>IFERROR(INDEX(tbl_input[집계키_청],ROW()-1),"")</f>
        <v/>
      </c>
    </row>
    <row r="1269" spans="1:4" x14ac:dyDescent="0.4">
      <c r="A1269" t="str">
        <f t="shared" si="38"/>
        <v/>
      </c>
      <c r="B1269" t="str">
        <f t="shared" si="39"/>
        <v/>
      </c>
      <c r="C1269" t="str">
        <f>IF(D1269="","",IF(COUNTIF($D$2:D1269,D1269)&gt;1,"",SUMIFS(tbl_input[필요수량],tbl_input[집계키_청],D1269)))</f>
        <v/>
      </c>
      <c r="D1269" t="str">
        <f>IFERROR(INDEX(tbl_input[집계키_청],ROW()-1),"")</f>
        <v/>
      </c>
    </row>
    <row r="1270" spans="1:4" x14ac:dyDescent="0.4">
      <c r="A1270" t="str">
        <f t="shared" si="38"/>
        <v/>
      </c>
      <c r="B1270" t="str">
        <f t="shared" si="39"/>
        <v/>
      </c>
      <c r="C1270" t="str">
        <f>IF(D1270="","",IF(COUNTIF($D$2:D1270,D1270)&gt;1,"",SUMIFS(tbl_input[필요수량],tbl_input[집계키_청],D1270)))</f>
        <v/>
      </c>
      <c r="D1270" t="str">
        <f>IFERROR(INDEX(tbl_input[집계키_청],ROW()-1),"")</f>
        <v/>
      </c>
    </row>
    <row r="1271" spans="1:4" x14ac:dyDescent="0.4">
      <c r="A1271" t="str">
        <f t="shared" si="38"/>
        <v/>
      </c>
      <c r="B1271" t="str">
        <f t="shared" si="39"/>
        <v/>
      </c>
      <c r="C1271" t="str">
        <f>IF(D1271="","",IF(COUNTIF($D$2:D1271,D1271)&gt;1,"",SUMIFS(tbl_input[필요수량],tbl_input[집계키_청],D1271)))</f>
        <v/>
      </c>
      <c r="D1271" t="str">
        <f>IFERROR(INDEX(tbl_input[집계키_청],ROW()-1),"")</f>
        <v/>
      </c>
    </row>
    <row r="1272" spans="1:4" x14ac:dyDescent="0.4">
      <c r="A1272" t="str">
        <f t="shared" si="38"/>
        <v/>
      </c>
      <c r="B1272" t="str">
        <f t="shared" si="39"/>
        <v/>
      </c>
      <c r="C1272" t="str">
        <f>IF(D1272="","",IF(COUNTIF($D$2:D1272,D1272)&gt;1,"",SUMIFS(tbl_input[필요수량],tbl_input[집계키_청],D1272)))</f>
        <v/>
      </c>
      <c r="D1272" t="str">
        <f>IFERROR(INDEX(tbl_input[집계키_청],ROW()-1),"")</f>
        <v/>
      </c>
    </row>
    <row r="1273" spans="1:4" x14ac:dyDescent="0.4">
      <c r="A1273" t="str">
        <f t="shared" si="38"/>
        <v/>
      </c>
      <c r="B1273" t="str">
        <f t="shared" si="39"/>
        <v/>
      </c>
      <c r="C1273" t="str">
        <f>IF(D1273="","",IF(COUNTIF($D$2:D1273,D1273)&gt;1,"",SUMIFS(tbl_input[필요수량],tbl_input[집계키_청],D1273)))</f>
        <v/>
      </c>
      <c r="D1273" t="str">
        <f>IFERROR(INDEX(tbl_input[집계키_청],ROW()-1),"")</f>
        <v/>
      </c>
    </row>
    <row r="1274" spans="1:4" x14ac:dyDescent="0.4">
      <c r="A1274" t="str">
        <f t="shared" si="38"/>
        <v/>
      </c>
      <c r="B1274" t="str">
        <f t="shared" si="39"/>
        <v/>
      </c>
      <c r="C1274" t="str">
        <f>IF(D1274="","",IF(COUNTIF($D$2:D1274,D1274)&gt;1,"",SUMIFS(tbl_input[필요수량],tbl_input[집계키_청],D1274)))</f>
        <v/>
      </c>
      <c r="D1274" t="str">
        <f>IFERROR(INDEX(tbl_input[집계키_청],ROW()-1),"")</f>
        <v/>
      </c>
    </row>
    <row r="1275" spans="1:4" x14ac:dyDescent="0.4">
      <c r="A1275" t="str">
        <f t="shared" si="38"/>
        <v/>
      </c>
      <c r="B1275" t="str">
        <f t="shared" si="39"/>
        <v/>
      </c>
      <c r="C1275" t="str">
        <f>IF(D1275="","",IF(COUNTIF($D$2:D1275,D1275)&gt;1,"",SUMIFS(tbl_input[필요수량],tbl_input[집계키_청],D1275)))</f>
        <v/>
      </c>
      <c r="D1275" t="str">
        <f>IFERROR(INDEX(tbl_input[집계키_청],ROW()-1),"")</f>
        <v/>
      </c>
    </row>
    <row r="1276" spans="1:4" x14ac:dyDescent="0.4">
      <c r="A1276" t="str">
        <f t="shared" si="38"/>
        <v/>
      </c>
      <c r="B1276" t="str">
        <f t="shared" si="39"/>
        <v/>
      </c>
      <c r="C1276" t="str">
        <f>IF(D1276="","",IF(COUNTIF($D$2:D1276,D1276)&gt;1,"",SUMIFS(tbl_input[필요수량],tbl_input[집계키_청],D1276)))</f>
        <v/>
      </c>
      <c r="D1276" t="str">
        <f>IFERROR(INDEX(tbl_input[집계키_청],ROW()-1),"")</f>
        <v/>
      </c>
    </row>
    <row r="1277" spans="1:4" x14ac:dyDescent="0.4">
      <c r="A1277" t="str">
        <f t="shared" si="38"/>
        <v/>
      </c>
      <c r="B1277" t="str">
        <f t="shared" si="39"/>
        <v/>
      </c>
      <c r="C1277" t="str">
        <f>IF(D1277="","",IF(COUNTIF($D$2:D1277,D1277)&gt;1,"",SUMIFS(tbl_input[필요수량],tbl_input[집계키_청],D1277)))</f>
        <v/>
      </c>
      <c r="D1277" t="str">
        <f>IFERROR(INDEX(tbl_input[집계키_청],ROW()-1),"")</f>
        <v/>
      </c>
    </row>
    <row r="1278" spans="1:4" x14ac:dyDescent="0.4">
      <c r="A1278" t="str">
        <f t="shared" si="38"/>
        <v/>
      </c>
      <c r="B1278" t="str">
        <f t="shared" si="39"/>
        <v/>
      </c>
      <c r="C1278" t="str">
        <f>IF(D1278="","",IF(COUNTIF($D$2:D1278,D1278)&gt;1,"",SUMIFS(tbl_input[필요수량],tbl_input[집계키_청],D1278)))</f>
        <v/>
      </c>
      <c r="D1278" t="str">
        <f>IFERROR(INDEX(tbl_input[집계키_청],ROW()-1),"")</f>
        <v/>
      </c>
    </row>
    <row r="1279" spans="1:4" x14ac:dyDescent="0.4">
      <c r="A1279" t="str">
        <f t="shared" si="38"/>
        <v/>
      </c>
      <c r="B1279" t="str">
        <f t="shared" si="39"/>
        <v/>
      </c>
      <c r="C1279" t="str">
        <f>IF(D1279="","",IF(COUNTIF($D$2:D1279,D1279)&gt;1,"",SUMIFS(tbl_input[필요수량],tbl_input[집계키_청],D1279)))</f>
        <v/>
      </c>
      <c r="D1279" t="str">
        <f>IFERROR(INDEX(tbl_input[집계키_청],ROW()-1),"")</f>
        <v/>
      </c>
    </row>
    <row r="1280" spans="1:4" x14ac:dyDescent="0.4">
      <c r="A1280" t="str">
        <f t="shared" si="38"/>
        <v/>
      </c>
      <c r="B1280" t="str">
        <f t="shared" si="39"/>
        <v/>
      </c>
      <c r="C1280" t="str">
        <f>IF(D1280="","",IF(COUNTIF($D$2:D1280,D1280)&gt;1,"",SUMIFS(tbl_input[필요수량],tbl_input[집계키_청],D1280)))</f>
        <v/>
      </c>
      <c r="D1280" t="str">
        <f>IFERROR(INDEX(tbl_input[집계키_청],ROW()-1),"")</f>
        <v/>
      </c>
    </row>
    <row r="1281" spans="1:4" x14ac:dyDescent="0.4">
      <c r="A1281" t="str">
        <f t="shared" si="38"/>
        <v/>
      </c>
      <c r="B1281" t="str">
        <f t="shared" si="39"/>
        <v/>
      </c>
      <c r="C1281" t="str">
        <f>IF(D1281="","",IF(COUNTIF($D$2:D1281,D1281)&gt;1,"",SUMIFS(tbl_input[필요수량],tbl_input[집계키_청],D1281)))</f>
        <v/>
      </c>
      <c r="D1281" t="str">
        <f>IFERROR(INDEX(tbl_input[집계키_청],ROW()-1),"")</f>
        <v/>
      </c>
    </row>
    <row r="1282" spans="1:4" x14ac:dyDescent="0.4">
      <c r="A1282" t="str">
        <f t="shared" ref="A1282:A1345" si="40">IF(D1282="","",LEFT(D1282,FIND("♦",D1282)-1))</f>
        <v/>
      </c>
      <c r="B1282" t="str">
        <f t="shared" ref="B1282:B1345" si="41">IF(D1282="","",MID(D1282,FIND("♦",D1282)+1,999))</f>
        <v/>
      </c>
      <c r="C1282" t="str">
        <f>IF(D1282="","",IF(COUNTIF($D$2:D1282,D1282)&gt;1,"",SUMIFS(tbl_input[필요수량],tbl_input[집계키_청],D1282)))</f>
        <v/>
      </c>
      <c r="D1282" t="str">
        <f>IFERROR(INDEX(tbl_input[집계키_청],ROW()-1),"")</f>
        <v/>
      </c>
    </row>
    <row r="1283" spans="1:4" x14ac:dyDescent="0.4">
      <c r="A1283" t="str">
        <f t="shared" si="40"/>
        <v/>
      </c>
      <c r="B1283" t="str">
        <f t="shared" si="41"/>
        <v/>
      </c>
      <c r="C1283" t="str">
        <f>IF(D1283="","",IF(COUNTIF($D$2:D1283,D1283)&gt;1,"",SUMIFS(tbl_input[필요수량],tbl_input[집계키_청],D1283)))</f>
        <v/>
      </c>
      <c r="D1283" t="str">
        <f>IFERROR(INDEX(tbl_input[집계키_청],ROW()-1),"")</f>
        <v/>
      </c>
    </row>
    <row r="1284" spans="1:4" x14ac:dyDescent="0.4">
      <c r="A1284" t="str">
        <f t="shared" si="40"/>
        <v/>
      </c>
      <c r="B1284" t="str">
        <f t="shared" si="41"/>
        <v/>
      </c>
      <c r="C1284" t="str">
        <f>IF(D1284="","",IF(COUNTIF($D$2:D1284,D1284)&gt;1,"",SUMIFS(tbl_input[필요수량],tbl_input[집계키_청],D1284)))</f>
        <v/>
      </c>
      <c r="D1284" t="str">
        <f>IFERROR(INDEX(tbl_input[집계키_청],ROW()-1),"")</f>
        <v/>
      </c>
    </row>
    <row r="1285" spans="1:4" x14ac:dyDescent="0.4">
      <c r="A1285" t="str">
        <f t="shared" si="40"/>
        <v/>
      </c>
      <c r="B1285" t="str">
        <f t="shared" si="41"/>
        <v/>
      </c>
      <c r="C1285" t="str">
        <f>IF(D1285="","",IF(COUNTIF($D$2:D1285,D1285)&gt;1,"",SUMIFS(tbl_input[필요수량],tbl_input[집계키_청],D1285)))</f>
        <v/>
      </c>
      <c r="D1285" t="str">
        <f>IFERROR(INDEX(tbl_input[집계키_청],ROW()-1),"")</f>
        <v/>
      </c>
    </row>
    <row r="1286" spans="1:4" x14ac:dyDescent="0.4">
      <c r="A1286" t="str">
        <f t="shared" si="40"/>
        <v/>
      </c>
      <c r="B1286" t="str">
        <f t="shared" si="41"/>
        <v/>
      </c>
      <c r="C1286" t="str">
        <f>IF(D1286="","",IF(COUNTIF($D$2:D1286,D1286)&gt;1,"",SUMIFS(tbl_input[필요수량],tbl_input[집계키_청],D1286)))</f>
        <v/>
      </c>
      <c r="D1286" t="str">
        <f>IFERROR(INDEX(tbl_input[집계키_청],ROW()-1),"")</f>
        <v/>
      </c>
    </row>
    <row r="1287" spans="1:4" x14ac:dyDescent="0.4">
      <c r="A1287" t="str">
        <f t="shared" si="40"/>
        <v/>
      </c>
      <c r="B1287" t="str">
        <f t="shared" si="41"/>
        <v/>
      </c>
      <c r="C1287" t="str">
        <f>IF(D1287="","",IF(COUNTIF($D$2:D1287,D1287)&gt;1,"",SUMIFS(tbl_input[필요수량],tbl_input[집계키_청],D1287)))</f>
        <v/>
      </c>
      <c r="D1287" t="str">
        <f>IFERROR(INDEX(tbl_input[집계키_청],ROW()-1),"")</f>
        <v/>
      </c>
    </row>
    <row r="1288" spans="1:4" x14ac:dyDescent="0.4">
      <c r="A1288" t="str">
        <f t="shared" si="40"/>
        <v/>
      </c>
      <c r="B1288" t="str">
        <f t="shared" si="41"/>
        <v/>
      </c>
      <c r="C1288" t="str">
        <f>IF(D1288="","",IF(COUNTIF($D$2:D1288,D1288)&gt;1,"",SUMIFS(tbl_input[필요수량],tbl_input[집계키_청],D1288)))</f>
        <v/>
      </c>
      <c r="D1288" t="str">
        <f>IFERROR(INDEX(tbl_input[집계키_청],ROW()-1),"")</f>
        <v/>
      </c>
    </row>
    <row r="1289" spans="1:4" x14ac:dyDescent="0.4">
      <c r="A1289" t="str">
        <f t="shared" si="40"/>
        <v/>
      </c>
      <c r="B1289" t="str">
        <f t="shared" si="41"/>
        <v/>
      </c>
      <c r="C1289" t="str">
        <f>IF(D1289="","",IF(COUNTIF($D$2:D1289,D1289)&gt;1,"",SUMIFS(tbl_input[필요수량],tbl_input[집계키_청],D1289)))</f>
        <v/>
      </c>
      <c r="D1289" t="str">
        <f>IFERROR(INDEX(tbl_input[집계키_청],ROW()-1),"")</f>
        <v/>
      </c>
    </row>
    <row r="1290" spans="1:4" x14ac:dyDescent="0.4">
      <c r="A1290" t="str">
        <f t="shared" si="40"/>
        <v/>
      </c>
      <c r="B1290" t="str">
        <f t="shared" si="41"/>
        <v/>
      </c>
      <c r="C1290" t="str">
        <f>IF(D1290="","",IF(COUNTIF($D$2:D1290,D1290)&gt;1,"",SUMIFS(tbl_input[필요수량],tbl_input[집계키_청],D1290)))</f>
        <v/>
      </c>
      <c r="D1290" t="str">
        <f>IFERROR(INDEX(tbl_input[집계키_청],ROW()-1),"")</f>
        <v/>
      </c>
    </row>
    <row r="1291" spans="1:4" x14ac:dyDescent="0.4">
      <c r="A1291" t="str">
        <f t="shared" si="40"/>
        <v/>
      </c>
      <c r="B1291" t="str">
        <f t="shared" si="41"/>
        <v/>
      </c>
      <c r="C1291" t="str">
        <f>IF(D1291="","",IF(COUNTIF($D$2:D1291,D1291)&gt;1,"",SUMIFS(tbl_input[필요수량],tbl_input[집계키_청],D1291)))</f>
        <v/>
      </c>
      <c r="D1291" t="str">
        <f>IFERROR(INDEX(tbl_input[집계키_청],ROW()-1),"")</f>
        <v/>
      </c>
    </row>
    <row r="1292" spans="1:4" x14ac:dyDescent="0.4">
      <c r="A1292" t="str">
        <f t="shared" si="40"/>
        <v/>
      </c>
      <c r="B1292" t="str">
        <f t="shared" si="41"/>
        <v/>
      </c>
      <c r="C1292" t="str">
        <f>IF(D1292="","",IF(COUNTIF($D$2:D1292,D1292)&gt;1,"",SUMIFS(tbl_input[필요수량],tbl_input[집계키_청],D1292)))</f>
        <v/>
      </c>
      <c r="D1292" t="str">
        <f>IFERROR(INDEX(tbl_input[집계키_청],ROW()-1),"")</f>
        <v/>
      </c>
    </row>
    <row r="1293" spans="1:4" x14ac:dyDescent="0.4">
      <c r="A1293" t="str">
        <f t="shared" si="40"/>
        <v/>
      </c>
      <c r="B1293" t="str">
        <f t="shared" si="41"/>
        <v/>
      </c>
      <c r="C1293" t="str">
        <f>IF(D1293="","",IF(COUNTIF($D$2:D1293,D1293)&gt;1,"",SUMIFS(tbl_input[필요수량],tbl_input[집계키_청],D1293)))</f>
        <v/>
      </c>
      <c r="D1293" t="str">
        <f>IFERROR(INDEX(tbl_input[집계키_청],ROW()-1),"")</f>
        <v/>
      </c>
    </row>
    <row r="1294" spans="1:4" x14ac:dyDescent="0.4">
      <c r="A1294" t="str">
        <f t="shared" si="40"/>
        <v/>
      </c>
      <c r="B1294" t="str">
        <f t="shared" si="41"/>
        <v/>
      </c>
      <c r="C1294" t="str">
        <f>IF(D1294="","",IF(COUNTIF($D$2:D1294,D1294)&gt;1,"",SUMIFS(tbl_input[필요수량],tbl_input[집계키_청],D1294)))</f>
        <v/>
      </c>
      <c r="D1294" t="str">
        <f>IFERROR(INDEX(tbl_input[집계키_청],ROW()-1),"")</f>
        <v/>
      </c>
    </row>
    <row r="1295" spans="1:4" x14ac:dyDescent="0.4">
      <c r="A1295" t="str">
        <f t="shared" si="40"/>
        <v/>
      </c>
      <c r="B1295" t="str">
        <f t="shared" si="41"/>
        <v/>
      </c>
      <c r="C1295" t="str">
        <f>IF(D1295="","",IF(COUNTIF($D$2:D1295,D1295)&gt;1,"",SUMIFS(tbl_input[필요수량],tbl_input[집계키_청],D1295)))</f>
        <v/>
      </c>
      <c r="D1295" t="str">
        <f>IFERROR(INDEX(tbl_input[집계키_청],ROW()-1),"")</f>
        <v/>
      </c>
    </row>
    <row r="1296" spans="1:4" x14ac:dyDescent="0.4">
      <c r="A1296" t="str">
        <f t="shared" si="40"/>
        <v/>
      </c>
      <c r="B1296" t="str">
        <f t="shared" si="41"/>
        <v/>
      </c>
      <c r="C1296" t="str">
        <f>IF(D1296="","",IF(COUNTIF($D$2:D1296,D1296)&gt;1,"",SUMIFS(tbl_input[필요수량],tbl_input[집계키_청],D1296)))</f>
        <v/>
      </c>
      <c r="D1296" t="str">
        <f>IFERROR(INDEX(tbl_input[집계키_청],ROW()-1),"")</f>
        <v/>
      </c>
    </row>
    <row r="1297" spans="1:4" x14ac:dyDescent="0.4">
      <c r="A1297" t="str">
        <f t="shared" si="40"/>
        <v/>
      </c>
      <c r="B1297" t="str">
        <f t="shared" si="41"/>
        <v/>
      </c>
      <c r="C1297" t="str">
        <f>IF(D1297="","",IF(COUNTIF($D$2:D1297,D1297)&gt;1,"",SUMIFS(tbl_input[필요수량],tbl_input[집계키_청],D1297)))</f>
        <v/>
      </c>
      <c r="D1297" t="str">
        <f>IFERROR(INDEX(tbl_input[집계키_청],ROW()-1),"")</f>
        <v/>
      </c>
    </row>
    <row r="1298" spans="1:4" x14ac:dyDescent="0.4">
      <c r="A1298" t="str">
        <f t="shared" si="40"/>
        <v/>
      </c>
      <c r="B1298" t="str">
        <f t="shared" si="41"/>
        <v/>
      </c>
      <c r="C1298" t="str">
        <f>IF(D1298="","",IF(COUNTIF($D$2:D1298,D1298)&gt;1,"",SUMIFS(tbl_input[필요수량],tbl_input[집계키_청],D1298)))</f>
        <v/>
      </c>
      <c r="D1298" t="str">
        <f>IFERROR(INDEX(tbl_input[집계키_청],ROW()-1),"")</f>
        <v/>
      </c>
    </row>
    <row r="1299" spans="1:4" x14ac:dyDescent="0.4">
      <c r="A1299" t="str">
        <f t="shared" si="40"/>
        <v/>
      </c>
      <c r="B1299" t="str">
        <f t="shared" si="41"/>
        <v/>
      </c>
      <c r="C1299" t="str">
        <f>IF(D1299="","",IF(COUNTIF($D$2:D1299,D1299)&gt;1,"",SUMIFS(tbl_input[필요수량],tbl_input[집계키_청],D1299)))</f>
        <v/>
      </c>
      <c r="D1299" t="str">
        <f>IFERROR(INDEX(tbl_input[집계키_청],ROW()-1),"")</f>
        <v/>
      </c>
    </row>
    <row r="1300" spans="1:4" x14ac:dyDescent="0.4">
      <c r="A1300" t="str">
        <f t="shared" si="40"/>
        <v/>
      </c>
      <c r="B1300" t="str">
        <f t="shared" si="41"/>
        <v/>
      </c>
      <c r="C1300" t="str">
        <f>IF(D1300="","",IF(COUNTIF($D$2:D1300,D1300)&gt;1,"",SUMIFS(tbl_input[필요수량],tbl_input[집계키_청],D1300)))</f>
        <v/>
      </c>
      <c r="D1300" t="str">
        <f>IFERROR(INDEX(tbl_input[집계키_청],ROW()-1),"")</f>
        <v/>
      </c>
    </row>
    <row r="1301" spans="1:4" x14ac:dyDescent="0.4">
      <c r="A1301" t="str">
        <f t="shared" si="40"/>
        <v/>
      </c>
      <c r="B1301" t="str">
        <f t="shared" si="41"/>
        <v/>
      </c>
      <c r="C1301" t="str">
        <f>IF(D1301="","",IF(COUNTIF($D$2:D1301,D1301)&gt;1,"",SUMIFS(tbl_input[필요수량],tbl_input[집계키_청],D1301)))</f>
        <v/>
      </c>
      <c r="D1301" t="str">
        <f>IFERROR(INDEX(tbl_input[집계키_청],ROW()-1),"")</f>
        <v/>
      </c>
    </row>
    <row r="1302" spans="1:4" x14ac:dyDescent="0.4">
      <c r="A1302" t="str">
        <f t="shared" si="40"/>
        <v/>
      </c>
      <c r="B1302" t="str">
        <f t="shared" si="41"/>
        <v/>
      </c>
      <c r="C1302" t="str">
        <f>IF(D1302="","",IF(COUNTIF($D$2:D1302,D1302)&gt;1,"",SUMIFS(tbl_input[필요수량],tbl_input[집계키_청],D1302)))</f>
        <v/>
      </c>
      <c r="D1302" t="str">
        <f>IFERROR(INDEX(tbl_input[집계키_청],ROW()-1),"")</f>
        <v/>
      </c>
    </row>
    <row r="1303" spans="1:4" x14ac:dyDescent="0.4">
      <c r="A1303" t="str">
        <f t="shared" si="40"/>
        <v/>
      </c>
      <c r="B1303" t="str">
        <f t="shared" si="41"/>
        <v/>
      </c>
      <c r="C1303" t="str">
        <f>IF(D1303="","",IF(COUNTIF($D$2:D1303,D1303)&gt;1,"",SUMIFS(tbl_input[필요수량],tbl_input[집계키_청],D1303)))</f>
        <v/>
      </c>
      <c r="D1303" t="str">
        <f>IFERROR(INDEX(tbl_input[집계키_청],ROW()-1),"")</f>
        <v/>
      </c>
    </row>
    <row r="1304" spans="1:4" x14ac:dyDescent="0.4">
      <c r="A1304" t="str">
        <f t="shared" si="40"/>
        <v/>
      </c>
      <c r="B1304" t="str">
        <f t="shared" si="41"/>
        <v/>
      </c>
      <c r="C1304" t="str">
        <f>IF(D1304="","",IF(COUNTIF($D$2:D1304,D1304)&gt;1,"",SUMIFS(tbl_input[필요수량],tbl_input[집계키_청],D1304)))</f>
        <v/>
      </c>
      <c r="D1304" t="str">
        <f>IFERROR(INDEX(tbl_input[집계키_청],ROW()-1),"")</f>
        <v/>
      </c>
    </row>
    <row r="1305" spans="1:4" x14ac:dyDescent="0.4">
      <c r="A1305" t="str">
        <f t="shared" si="40"/>
        <v/>
      </c>
      <c r="B1305" t="str">
        <f t="shared" si="41"/>
        <v/>
      </c>
      <c r="C1305" t="str">
        <f>IF(D1305="","",IF(COUNTIF($D$2:D1305,D1305)&gt;1,"",SUMIFS(tbl_input[필요수량],tbl_input[집계키_청],D1305)))</f>
        <v/>
      </c>
      <c r="D1305" t="str">
        <f>IFERROR(INDEX(tbl_input[집계키_청],ROW()-1),"")</f>
        <v/>
      </c>
    </row>
    <row r="1306" spans="1:4" x14ac:dyDescent="0.4">
      <c r="A1306" t="str">
        <f t="shared" si="40"/>
        <v/>
      </c>
      <c r="B1306" t="str">
        <f t="shared" si="41"/>
        <v/>
      </c>
      <c r="C1306" t="str">
        <f>IF(D1306="","",IF(COUNTIF($D$2:D1306,D1306)&gt;1,"",SUMIFS(tbl_input[필요수량],tbl_input[집계키_청],D1306)))</f>
        <v/>
      </c>
      <c r="D1306" t="str">
        <f>IFERROR(INDEX(tbl_input[집계키_청],ROW()-1),"")</f>
        <v/>
      </c>
    </row>
    <row r="1307" spans="1:4" x14ac:dyDescent="0.4">
      <c r="A1307" t="str">
        <f t="shared" si="40"/>
        <v/>
      </c>
      <c r="B1307" t="str">
        <f t="shared" si="41"/>
        <v/>
      </c>
      <c r="C1307" t="str">
        <f>IF(D1307="","",IF(COUNTIF($D$2:D1307,D1307)&gt;1,"",SUMIFS(tbl_input[필요수량],tbl_input[집계키_청],D1307)))</f>
        <v/>
      </c>
      <c r="D1307" t="str">
        <f>IFERROR(INDEX(tbl_input[집계키_청],ROW()-1),"")</f>
        <v/>
      </c>
    </row>
    <row r="1308" spans="1:4" x14ac:dyDescent="0.4">
      <c r="A1308" t="str">
        <f t="shared" si="40"/>
        <v/>
      </c>
      <c r="B1308" t="str">
        <f t="shared" si="41"/>
        <v/>
      </c>
      <c r="C1308" t="str">
        <f>IF(D1308="","",IF(COUNTIF($D$2:D1308,D1308)&gt;1,"",SUMIFS(tbl_input[필요수량],tbl_input[집계키_청],D1308)))</f>
        <v/>
      </c>
      <c r="D1308" t="str">
        <f>IFERROR(INDEX(tbl_input[집계키_청],ROW()-1),"")</f>
        <v/>
      </c>
    </row>
    <row r="1309" spans="1:4" x14ac:dyDescent="0.4">
      <c r="A1309" t="str">
        <f t="shared" si="40"/>
        <v/>
      </c>
      <c r="B1309" t="str">
        <f t="shared" si="41"/>
        <v/>
      </c>
      <c r="C1309" t="str">
        <f>IF(D1309="","",IF(COUNTIF($D$2:D1309,D1309)&gt;1,"",SUMIFS(tbl_input[필요수량],tbl_input[집계키_청],D1309)))</f>
        <v/>
      </c>
      <c r="D1309" t="str">
        <f>IFERROR(INDEX(tbl_input[집계키_청],ROW()-1),"")</f>
        <v/>
      </c>
    </row>
    <row r="1310" spans="1:4" x14ac:dyDescent="0.4">
      <c r="A1310" t="str">
        <f t="shared" si="40"/>
        <v/>
      </c>
      <c r="B1310" t="str">
        <f t="shared" si="41"/>
        <v/>
      </c>
      <c r="C1310" t="str">
        <f>IF(D1310="","",IF(COUNTIF($D$2:D1310,D1310)&gt;1,"",SUMIFS(tbl_input[필요수량],tbl_input[집계키_청],D1310)))</f>
        <v/>
      </c>
      <c r="D1310" t="str">
        <f>IFERROR(INDEX(tbl_input[집계키_청],ROW()-1),"")</f>
        <v/>
      </c>
    </row>
    <row r="1311" spans="1:4" x14ac:dyDescent="0.4">
      <c r="A1311" t="str">
        <f t="shared" si="40"/>
        <v/>
      </c>
      <c r="B1311" t="str">
        <f t="shared" si="41"/>
        <v/>
      </c>
      <c r="C1311" t="str">
        <f>IF(D1311="","",IF(COUNTIF($D$2:D1311,D1311)&gt;1,"",SUMIFS(tbl_input[필요수량],tbl_input[집계키_청],D1311)))</f>
        <v/>
      </c>
      <c r="D1311" t="str">
        <f>IFERROR(INDEX(tbl_input[집계키_청],ROW()-1),"")</f>
        <v/>
      </c>
    </row>
    <row r="1312" spans="1:4" x14ac:dyDescent="0.4">
      <c r="A1312" t="str">
        <f t="shared" si="40"/>
        <v/>
      </c>
      <c r="B1312" t="str">
        <f t="shared" si="41"/>
        <v/>
      </c>
      <c r="C1312" t="str">
        <f>IF(D1312="","",IF(COUNTIF($D$2:D1312,D1312)&gt;1,"",SUMIFS(tbl_input[필요수량],tbl_input[집계키_청],D1312)))</f>
        <v/>
      </c>
      <c r="D1312" t="str">
        <f>IFERROR(INDEX(tbl_input[집계키_청],ROW()-1),"")</f>
        <v/>
      </c>
    </row>
    <row r="1313" spans="1:4" x14ac:dyDescent="0.4">
      <c r="A1313" t="str">
        <f t="shared" si="40"/>
        <v/>
      </c>
      <c r="B1313" t="str">
        <f t="shared" si="41"/>
        <v/>
      </c>
      <c r="C1313" t="str">
        <f>IF(D1313="","",IF(COUNTIF($D$2:D1313,D1313)&gt;1,"",SUMIFS(tbl_input[필요수량],tbl_input[집계키_청],D1313)))</f>
        <v/>
      </c>
      <c r="D1313" t="str">
        <f>IFERROR(INDEX(tbl_input[집계키_청],ROW()-1),"")</f>
        <v/>
      </c>
    </row>
    <row r="1314" spans="1:4" x14ac:dyDescent="0.4">
      <c r="A1314" t="str">
        <f t="shared" si="40"/>
        <v/>
      </c>
      <c r="B1314" t="str">
        <f t="shared" si="41"/>
        <v/>
      </c>
      <c r="C1314" t="str">
        <f>IF(D1314="","",IF(COUNTIF($D$2:D1314,D1314)&gt;1,"",SUMIFS(tbl_input[필요수량],tbl_input[집계키_청],D1314)))</f>
        <v/>
      </c>
      <c r="D1314" t="str">
        <f>IFERROR(INDEX(tbl_input[집계키_청],ROW()-1),"")</f>
        <v/>
      </c>
    </row>
    <row r="1315" spans="1:4" x14ac:dyDescent="0.4">
      <c r="A1315" t="str">
        <f t="shared" si="40"/>
        <v/>
      </c>
      <c r="B1315" t="str">
        <f t="shared" si="41"/>
        <v/>
      </c>
      <c r="C1315" t="str">
        <f>IF(D1315="","",IF(COUNTIF($D$2:D1315,D1315)&gt;1,"",SUMIFS(tbl_input[필요수량],tbl_input[집계키_청],D1315)))</f>
        <v/>
      </c>
      <c r="D1315" t="str">
        <f>IFERROR(INDEX(tbl_input[집계키_청],ROW()-1),"")</f>
        <v/>
      </c>
    </row>
    <row r="1316" spans="1:4" x14ac:dyDescent="0.4">
      <c r="A1316" t="str">
        <f t="shared" si="40"/>
        <v/>
      </c>
      <c r="B1316" t="str">
        <f t="shared" si="41"/>
        <v/>
      </c>
      <c r="C1316" t="str">
        <f>IF(D1316="","",IF(COUNTIF($D$2:D1316,D1316)&gt;1,"",SUMIFS(tbl_input[필요수량],tbl_input[집계키_청],D1316)))</f>
        <v/>
      </c>
      <c r="D1316" t="str">
        <f>IFERROR(INDEX(tbl_input[집계키_청],ROW()-1),"")</f>
        <v/>
      </c>
    </row>
    <row r="1317" spans="1:4" x14ac:dyDescent="0.4">
      <c r="A1317" t="str">
        <f t="shared" si="40"/>
        <v/>
      </c>
      <c r="B1317" t="str">
        <f t="shared" si="41"/>
        <v/>
      </c>
      <c r="C1317" t="str">
        <f>IF(D1317="","",IF(COUNTIF($D$2:D1317,D1317)&gt;1,"",SUMIFS(tbl_input[필요수량],tbl_input[집계키_청],D1317)))</f>
        <v/>
      </c>
      <c r="D1317" t="str">
        <f>IFERROR(INDEX(tbl_input[집계키_청],ROW()-1),"")</f>
        <v/>
      </c>
    </row>
    <row r="1318" spans="1:4" x14ac:dyDescent="0.4">
      <c r="A1318" t="str">
        <f t="shared" si="40"/>
        <v/>
      </c>
      <c r="B1318" t="str">
        <f t="shared" si="41"/>
        <v/>
      </c>
      <c r="C1318" t="str">
        <f>IF(D1318="","",IF(COUNTIF($D$2:D1318,D1318)&gt;1,"",SUMIFS(tbl_input[필요수량],tbl_input[집계키_청],D1318)))</f>
        <v/>
      </c>
      <c r="D1318" t="str">
        <f>IFERROR(INDEX(tbl_input[집계키_청],ROW()-1),"")</f>
        <v/>
      </c>
    </row>
    <row r="1319" spans="1:4" x14ac:dyDescent="0.4">
      <c r="A1319" t="str">
        <f t="shared" si="40"/>
        <v/>
      </c>
      <c r="B1319" t="str">
        <f t="shared" si="41"/>
        <v/>
      </c>
      <c r="C1319" t="str">
        <f>IF(D1319="","",IF(COUNTIF($D$2:D1319,D1319)&gt;1,"",SUMIFS(tbl_input[필요수량],tbl_input[집계키_청],D1319)))</f>
        <v/>
      </c>
      <c r="D1319" t="str">
        <f>IFERROR(INDEX(tbl_input[집계키_청],ROW()-1),"")</f>
        <v/>
      </c>
    </row>
    <row r="1320" spans="1:4" x14ac:dyDescent="0.4">
      <c r="A1320" t="str">
        <f t="shared" si="40"/>
        <v/>
      </c>
      <c r="B1320" t="str">
        <f t="shared" si="41"/>
        <v/>
      </c>
      <c r="C1320" t="str">
        <f>IF(D1320="","",IF(COUNTIF($D$2:D1320,D1320)&gt;1,"",SUMIFS(tbl_input[필요수량],tbl_input[집계키_청],D1320)))</f>
        <v/>
      </c>
      <c r="D1320" t="str">
        <f>IFERROR(INDEX(tbl_input[집계키_청],ROW()-1),"")</f>
        <v/>
      </c>
    </row>
    <row r="1321" spans="1:4" x14ac:dyDescent="0.4">
      <c r="A1321" t="str">
        <f t="shared" si="40"/>
        <v/>
      </c>
      <c r="B1321" t="str">
        <f t="shared" si="41"/>
        <v/>
      </c>
      <c r="C1321" t="str">
        <f>IF(D1321="","",IF(COUNTIF($D$2:D1321,D1321)&gt;1,"",SUMIFS(tbl_input[필요수량],tbl_input[집계키_청],D1321)))</f>
        <v/>
      </c>
      <c r="D1321" t="str">
        <f>IFERROR(INDEX(tbl_input[집계키_청],ROW()-1),"")</f>
        <v/>
      </c>
    </row>
    <row r="1322" spans="1:4" x14ac:dyDescent="0.4">
      <c r="A1322" t="str">
        <f t="shared" si="40"/>
        <v/>
      </c>
      <c r="B1322" t="str">
        <f t="shared" si="41"/>
        <v/>
      </c>
      <c r="C1322" t="str">
        <f>IF(D1322="","",IF(COUNTIF($D$2:D1322,D1322)&gt;1,"",SUMIFS(tbl_input[필요수량],tbl_input[집계키_청],D1322)))</f>
        <v/>
      </c>
      <c r="D1322" t="str">
        <f>IFERROR(INDEX(tbl_input[집계키_청],ROW()-1),"")</f>
        <v/>
      </c>
    </row>
    <row r="1323" spans="1:4" x14ac:dyDescent="0.4">
      <c r="A1323" t="str">
        <f t="shared" si="40"/>
        <v/>
      </c>
      <c r="B1323" t="str">
        <f t="shared" si="41"/>
        <v/>
      </c>
      <c r="C1323" t="str">
        <f>IF(D1323="","",IF(COUNTIF($D$2:D1323,D1323)&gt;1,"",SUMIFS(tbl_input[필요수량],tbl_input[집계키_청],D1323)))</f>
        <v/>
      </c>
      <c r="D1323" t="str">
        <f>IFERROR(INDEX(tbl_input[집계키_청],ROW()-1),"")</f>
        <v/>
      </c>
    </row>
    <row r="1324" spans="1:4" x14ac:dyDescent="0.4">
      <c r="A1324" t="str">
        <f t="shared" si="40"/>
        <v/>
      </c>
      <c r="B1324" t="str">
        <f t="shared" si="41"/>
        <v/>
      </c>
      <c r="C1324" t="str">
        <f>IF(D1324="","",IF(COUNTIF($D$2:D1324,D1324)&gt;1,"",SUMIFS(tbl_input[필요수량],tbl_input[집계키_청],D1324)))</f>
        <v/>
      </c>
      <c r="D1324" t="str">
        <f>IFERROR(INDEX(tbl_input[집계키_청],ROW()-1),"")</f>
        <v/>
      </c>
    </row>
    <row r="1325" spans="1:4" x14ac:dyDescent="0.4">
      <c r="A1325" t="str">
        <f t="shared" si="40"/>
        <v/>
      </c>
      <c r="B1325" t="str">
        <f t="shared" si="41"/>
        <v/>
      </c>
      <c r="C1325" t="str">
        <f>IF(D1325="","",IF(COUNTIF($D$2:D1325,D1325)&gt;1,"",SUMIFS(tbl_input[필요수량],tbl_input[집계키_청],D1325)))</f>
        <v/>
      </c>
      <c r="D1325" t="str">
        <f>IFERROR(INDEX(tbl_input[집계키_청],ROW()-1),"")</f>
        <v/>
      </c>
    </row>
    <row r="1326" spans="1:4" x14ac:dyDescent="0.4">
      <c r="A1326" t="str">
        <f t="shared" si="40"/>
        <v/>
      </c>
      <c r="B1326" t="str">
        <f t="shared" si="41"/>
        <v/>
      </c>
      <c r="C1326" t="str">
        <f>IF(D1326="","",IF(COUNTIF($D$2:D1326,D1326)&gt;1,"",SUMIFS(tbl_input[필요수량],tbl_input[집계키_청],D1326)))</f>
        <v/>
      </c>
      <c r="D1326" t="str">
        <f>IFERROR(INDEX(tbl_input[집계키_청],ROW()-1),"")</f>
        <v/>
      </c>
    </row>
    <row r="1327" spans="1:4" x14ac:dyDescent="0.4">
      <c r="A1327" t="str">
        <f t="shared" si="40"/>
        <v/>
      </c>
      <c r="B1327" t="str">
        <f t="shared" si="41"/>
        <v/>
      </c>
      <c r="C1327" t="str">
        <f>IF(D1327="","",IF(COUNTIF($D$2:D1327,D1327)&gt;1,"",SUMIFS(tbl_input[필요수량],tbl_input[집계키_청],D1327)))</f>
        <v/>
      </c>
      <c r="D1327" t="str">
        <f>IFERROR(INDEX(tbl_input[집계키_청],ROW()-1),"")</f>
        <v/>
      </c>
    </row>
    <row r="1328" spans="1:4" x14ac:dyDescent="0.4">
      <c r="A1328" t="str">
        <f t="shared" si="40"/>
        <v/>
      </c>
      <c r="B1328" t="str">
        <f t="shared" si="41"/>
        <v/>
      </c>
      <c r="C1328" t="str">
        <f>IF(D1328="","",IF(COUNTIF($D$2:D1328,D1328)&gt;1,"",SUMIFS(tbl_input[필요수량],tbl_input[집계키_청],D1328)))</f>
        <v/>
      </c>
      <c r="D1328" t="str">
        <f>IFERROR(INDEX(tbl_input[집계키_청],ROW()-1),"")</f>
        <v/>
      </c>
    </row>
    <row r="1329" spans="1:4" x14ac:dyDescent="0.4">
      <c r="A1329" t="str">
        <f t="shared" si="40"/>
        <v/>
      </c>
      <c r="B1329" t="str">
        <f t="shared" si="41"/>
        <v/>
      </c>
      <c r="C1329" t="str">
        <f>IF(D1329="","",IF(COUNTIF($D$2:D1329,D1329)&gt;1,"",SUMIFS(tbl_input[필요수량],tbl_input[집계키_청],D1329)))</f>
        <v/>
      </c>
      <c r="D1329" t="str">
        <f>IFERROR(INDEX(tbl_input[집계키_청],ROW()-1),"")</f>
        <v/>
      </c>
    </row>
    <row r="1330" spans="1:4" x14ac:dyDescent="0.4">
      <c r="A1330" t="str">
        <f t="shared" si="40"/>
        <v/>
      </c>
      <c r="B1330" t="str">
        <f t="shared" si="41"/>
        <v/>
      </c>
      <c r="C1330" t="str">
        <f>IF(D1330="","",IF(COUNTIF($D$2:D1330,D1330)&gt;1,"",SUMIFS(tbl_input[필요수량],tbl_input[집계키_청],D1330)))</f>
        <v/>
      </c>
      <c r="D1330" t="str">
        <f>IFERROR(INDEX(tbl_input[집계키_청],ROW()-1),"")</f>
        <v/>
      </c>
    </row>
    <row r="1331" spans="1:4" x14ac:dyDescent="0.4">
      <c r="A1331" t="str">
        <f t="shared" si="40"/>
        <v/>
      </c>
      <c r="B1331" t="str">
        <f t="shared" si="41"/>
        <v/>
      </c>
      <c r="C1331" t="str">
        <f>IF(D1331="","",IF(COUNTIF($D$2:D1331,D1331)&gt;1,"",SUMIFS(tbl_input[필요수량],tbl_input[집계키_청],D1331)))</f>
        <v/>
      </c>
      <c r="D1331" t="str">
        <f>IFERROR(INDEX(tbl_input[집계키_청],ROW()-1),"")</f>
        <v/>
      </c>
    </row>
    <row r="1332" spans="1:4" x14ac:dyDescent="0.4">
      <c r="A1332" t="str">
        <f t="shared" si="40"/>
        <v/>
      </c>
      <c r="B1332" t="str">
        <f t="shared" si="41"/>
        <v/>
      </c>
      <c r="C1332" t="str">
        <f>IF(D1332="","",IF(COUNTIF($D$2:D1332,D1332)&gt;1,"",SUMIFS(tbl_input[필요수량],tbl_input[집계키_청],D1332)))</f>
        <v/>
      </c>
      <c r="D1332" t="str">
        <f>IFERROR(INDEX(tbl_input[집계키_청],ROW()-1),"")</f>
        <v/>
      </c>
    </row>
    <row r="1333" spans="1:4" x14ac:dyDescent="0.4">
      <c r="A1333" t="str">
        <f t="shared" si="40"/>
        <v/>
      </c>
      <c r="B1333" t="str">
        <f t="shared" si="41"/>
        <v/>
      </c>
      <c r="C1333" t="str">
        <f>IF(D1333="","",IF(COUNTIF($D$2:D1333,D1333)&gt;1,"",SUMIFS(tbl_input[필요수량],tbl_input[집계키_청],D1333)))</f>
        <v/>
      </c>
      <c r="D1333" t="str">
        <f>IFERROR(INDEX(tbl_input[집계키_청],ROW()-1),"")</f>
        <v/>
      </c>
    </row>
    <row r="1334" spans="1:4" x14ac:dyDescent="0.4">
      <c r="A1334" t="str">
        <f t="shared" si="40"/>
        <v/>
      </c>
      <c r="B1334" t="str">
        <f t="shared" si="41"/>
        <v/>
      </c>
      <c r="C1334" t="str">
        <f>IF(D1334="","",IF(COUNTIF($D$2:D1334,D1334)&gt;1,"",SUMIFS(tbl_input[필요수량],tbl_input[집계키_청],D1334)))</f>
        <v/>
      </c>
      <c r="D1334" t="str">
        <f>IFERROR(INDEX(tbl_input[집계키_청],ROW()-1),"")</f>
        <v/>
      </c>
    </row>
    <row r="1335" spans="1:4" x14ac:dyDescent="0.4">
      <c r="A1335" t="str">
        <f t="shared" si="40"/>
        <v/>
      </c>
      <c r="B1335" t="str">
        <f t="shared" si="41"/>
        <v/>
      </c>
      <c r="C1335" t="str">
        <f>IF(D1335="","",IF(COUNTIF($D$2:D1335,D1335)&gt;1,"",SUMIFS(tbl_input[필요수량],tbl_input[집계키_청],D1335)))</f>
        <v/>
      </c>
      <c r="D1335" t="str">
        <f>IFERROR(INDEX(tbl_input[집계키_청],ROW()-1),"")</f>
        <v/>
      </c>
    </row>
    <row r="1336" spans="1:4" x14ac:dyDescent="0.4">
      <c r="A1336" t="str">
        <f t="shared" si="40"/>
        <v/>
      </c>
      <c r="B1336" t="str">
        <f t="shared" si="41"/>
        <v/>
      </c>
      <c r="C1336" t="str">
        <f>IF(D1336="","",IF(COUNTIF($D$2:D1336,D1336)&gt;1,"",SUMIFS(tbl_input[필요수량],tbl_input[집계키_청],D1336)))</f>
        <v/>
      </c>
      <c r="D1336" t="str">
        <f>IFERROR(INDEX(tbl_input[집계키_청],ROW()-1),"")</f>
        <v/>
      </c>
    </row>
    <row r="1337" spans="1:4" x14ac:dyDescent="0.4">
      <c r="A1337" t="str">
        <f t="shared" si="40"/>
        <v/>
      </c>
      <c r="B1337" t="str">
        <f t="shared" si="41"/>
        <v/>
      </c>
      <c r="C1337" t="str">
        <f>IF(D1337="","",IF(COUNTIF($D$2:D1337,D1337)&gt;1,"",SUMIFS(tbl_input[필요수량],tbl_input[집계키_청],D1337)))</f>
        <v/>
      </c>
      <c r="D1337" t="str">
        <f>IFERROR(INDEX(tbl_input[집계키_청],ROW()-1),"")</f>
        <v/>
      </c>
    </row>
    <row r="1338" spans="1:4" x14ac:dyDescent="0.4">
      <c r="A1338" t="str">
        <f t="shared" si="40"/>
        <v/>
      </c>
      <c r="B1338" t="str">
        <f t="shared" si="41"/>
        <v/>
      </c>
      <c r="C1338" t="str">
        <f>IF(D1338="","",IF(COUNTIF($D$2:D1338,D1338)&gt;1,"",SUMIFS(tbl_input[필요수량],tbl_input[집계키_청],D1338)))</f>
        <v/>
      </c>
      <c r="D1338" t="str">
        <f>IFERROR(INDEX(tbl_input[집계키_청],ROW()-1),"")</f>
        <v/>
      </c>
    </row>
    <row r="1339" spans="1:4" x14ac:dyDescent="0.4">
      <c r="A1339" t="str">
        <f t="shared" si="40"/>
        <v/>
      </c>
      <c r="B1339" t="str">
        <f t="shared" si="41"/>
        <v/>
      </c>
      <c r="C1339" t="str">
        <f>IF(D1339="","",IF(COUNTIF($D$2:D1339,D1339)&gt;1,"",SUMIFS(tbl_input[필요수량],tbl_input[집계키_청],D1339)))</f>
        <v/>
      </c>
      <c r="D1339" t="str">
        <f>IFERROR(INDEX(tbl_input[집계키_청],ROW()-1),"")</f>
        <v/>
      </c>
    </row>
    <row r="1340" spans="1:4" x14ac:dyDescent="0.4">
      <c r="A1340" t="str">
        <f t="shared" si="40"/>
        <v/>
      </c>
      <c r="B1340" t="str">
        <f t="shared" si="41"/>
        <v/>
      </c>
      <c r="C1340" t="str">
        <f>IF(D1340="","",IF(COUNTIF($D$2:D1340,D1340)&gt;1,"",SUMIFS(tbl_input[필요수량],tbl_input[집계키_청],D1340)))</f>
        <v/>
      </c>
      <c r="D1340" t="str">
        <f>IFERROR(INDEX(tbl_input[집계키_청],ROW()-1),"")</f>
        <v/>
      </c>
    </row>
    <row r="1341" spans="1:4" x14ac:dyDescent="0.4">
      <c r="A1341" t="str">
        <f t="shared" si="40"/>
        <v/>
      </c>
      <c r="B1341" t="str">
        <f t="shared" si="41"/>
        <v/>
      </c>
      <c r="C1341" t="str">
        <f>IF(D1341="","",IF(COUNTIF($D$2:D1341,D1341)&gt;1,"",SUMIFS(tbl_input[필요수량],tbl_input[집계키_청],D1341)))</f>
        <v/>
      </c>
      <c r="D1341" t="str">
        <f>IFERROR(INDEX(tbl_input[집계키_청],ROW()-1),"")</f>
        <v/>
      </c>
    </row>
    <row r="1342" spans="1:4" x14ac:dyDescent="0.4">
      <c r="A1342" t="str">
        <f t="shared" si="40"/>
        <v/>
      </c>
      <c r="B1342" t="str">
        <f t="shared" si="41"/>
        <v/>
      </c>
      <c r="C1342" t="str">
        <f>IF(D1342="","",IF(COUNTIF($D$2:D1342,D1342)&gt;1,"",SUMIFS(tbl_input[필요수량],tbl_input[집계키_청],D1342)))</f>
        <v/>
      </c>
      <c r="D1342" t="str">
        <f>IFERROR(INDEX(tbl_input[집계키_청],ROW()-1),"")</f>
        <v/>
      </c>
    </row>
    <row r="1343" spans="1:4" x14ac:dyDescent="0.4">
      <c r="A1343" t="str">
        <f t="shared" si="40"/>
        <v/>
      </c>
      <c r="B1343" t="str">
        <f t="shared" si="41"/>
        <v/>
      </c>
      <c r="C1343" t="str">
        <f>IF(D1343="","",IF(COUNTIF($D$2:D1343,D1343)&gt;1,"",SUMIFS(tbl_input[필요수량],tbl_input[집계키_청],D1343)))</f>
        <v/>
      </c>
      <c r="D1343" t="str">
        <f>IFERROR(INDEX(tbl_input[집계키_청],ROW()-1),"")</f>
        <v/>
      </c>
    </row>
    <row r="1344" spans="1:4" x14ac:dyDescent="0.4">
      <c r="A1344" t="str">
        <f t="shared" si="40"/>
        <v/>
      </c>
      <c r="B1344" t="str">
        <f t="shared" si="41"/>
        <v/>
      </c>
      <c r="C1344" t="str">
        <f>IF(D1344="","",IF(COUNTIF($D$2:D1344,D1344)&gt;1,"",SUMIFS(tbl_input[필요수량],tbl_input[집계키_청],D1344)))</f>
        <v/>
      </c>
      <c r="D1344" t="str">
        <f>IFERROR(INDEX(tbl_input[집계키_청],ROW()-1),"")</f>
        <v/>
      </c>
    </row>
    <row r="1345" spans="1:4" x14ac:dyDescent="0.4">
      <c r="A1345" t="str">
        <f t="shared" si="40"/>
        <v/>
      </c>
      <c r="B1345" t="str">
        <f t="shared" si="41"/>
        <v/>
      </c>
      <c r="C1345" t="str">
        <f>IF(D1345="","",IF(COUNTIF($D$2:D1345,D1345)&gt;1,"",SUMIFS(tbl_input[필요수량],tbl_input[집계키_청],D1345)))</f>
        <v/>
      </c>
      <c r="D1345" t="str">
        <f>IFERROR(INDEX(tbl_input[집계키_청],ROW()-1),"")</f>
        <v/>
      </c>
    </row>
    <row r="1346" spans="1:4" x14ac:dyDescent="0.4">
      <c r="A1346" t="str">
        <f t="shared" ref="A1346:A1409" si="42">IF(D1346="","",LEFT(D1346,FIND("♦",D1346)-1))</f>
        <v/>
      </c>
      <c r="B1346" t="str">
        <f t="shared" ref="B1346:B1409" si="43">IF(D1346="","",MID(D1346,FIND("♦",D1346)+1,999))</f>
        <v/>
      </c>
      <c r="C1346" t="str">
        <f>IF(D1346="","",IF(COUNTIF($D$2:D1346,D1346)&gt;1,"",SUMIFS(tbl_input[필요수량],tbl_input[집계키_청],D1346)))</f>
        <v/>
      </c>
      <c r="D1346" t="str">
        <f>IFERROR(INDEX(tbl_input[집계키_청],ROW()-1),"")</f>
        <v/>
      </c>
    </row>
    <row r="1347" spans="1:4" x14ac:dyDescent="0.4">
      <c r="A1347" t="str">
        <f t="shared" si="42"/>
        <v/>
      </c>
      <c r="B1347" t="str">
        <f t="shared" si="43"/>
        <v/>
      </c>
      <c r="C1347" t="str">
        <f>IF(D1347="","",IF(COUNTIF($D$2:D1347,D1347)&gt;1,"",SUMIFS(tbl_input[필요수량],tbl_input[집계키_청],D1347)))</f>
        <v/>
      </c>
      <c r="D1347" t="str">
        <f>IFERROR(INDEX(tbl_input[집계키_청],ROW()-1),"")</f>
        <v/>
      </c>
    </row>
    <row r="1348" spans="1:4" x14ac:dyDescent="0.4">
      <c r="A1348" t="str">
        <f t="shared" si="42"/>
        <v/>
      </c>
      <c r="B1348" t="str">
        <f t="shared" si="43"/>
        <v/>
      </c>
      <c r="C1348" t="str">
        <f>IF(D1348="","",IF(COUNTIF($D$2:D1348,D1348)&gt;1,"",SUMIFS(tbl_input[필요수량],tbl_input[집계키_청],D1348)))</f>
        <v/>
      </c>
      <c r="D1348" t="str">
        <f>IFERROR(INDEX(tbl_input[집계키_청],ROW()-1),"")</f>
        <v/>
      </c>
    </row>
    <row r="1349" spans="1:4" x14ac:dyDescent="0.4">
      <c r="A1349" t="str">
        <f t="shared" si="42"/>
        <v/>
      </c>
      <c r="B1349" t="str">
        <f t="shared" si="43"/>
        <v/>
      </c>
      <c r="C1349" t="str">
        <f>IF(D1349="","",IF(COUNTIF($D$2:D1349,D1349)&gt;1,"",SUMIFS(tbl_input[필요수량],tbl_input[집계키_청],D1349)))</f>
        <v/>
      </c>
      <c r="D1349" t="str">
        <f>IFERROR(INDEX(tbl_input[집계키_청],ROW()-1),"")</f>
        <v/>
      </c>
    </row>
    <row r="1350" spans="1:4" x14ac:dyDescent="0.4">
      <c r="A1350" t="str">
        <f t="shared" si="42"/>
        <v/>
      </c>
      <c r="B1350" t="str">
        <f t="shared" si="43"/>
        <v/>
      </c>
      <c r="C1350" t="str">
        <f>IF(D1350="","",IF(COUNTIF($D$2:D1350,D1350)&gt;1,"",SUMIFS(tbl_input[필요수량],tbl_input[집계키_청],D1350)))</f>
        <v/>
      </c>
      <c r="D1350" t="str">
        <f>IFERROR(INDEX(tbl_input[집계키_청],ROW()-1),"")</f>
        <v/>
      </c>
    </row>
    <row r="1351" spans="1:4" x14ac:dyDescent="0.4">
      <c r="A1351" t="str">
        <f t="shared" si="42"/>
        <v/>
      </c>
      <c r="B1351" t="str">
        <f t="shared" si="43"/>
        <v/>
      </c>
      <c r="C1351" t="str">
        <f>IF(D1351="","",IF(COUNTIF($D$2:D1351,D1351)&gt;1,"",SUMIFS(tbl_input[필요수량],tbl_input[집계키_청],D1351)))</f>
        <v/>
      </c>
      <c r="D1351" t="str">
        <f>IFERROR(INDEX(tbl_input[집계키_청],ROW()-1),"")</f>
        <v/>
      </c>
    </row>
    <row r="1352" spans="1:4" x14ac:dyDescent="0.4">
      <c r="A1352" t="str">
        <f t="shared" si="42"/>
        <v/>
      </c>
      <c r="B1352" t="str">
        <f t="shared" si="43"/>
        <v/>
      </c>
      <c r="C1352" t="str">
        <f>IF(D1352="","",IF(COUNTIF($D$2:D1352,D1352)&gt;1,"",SUMIFS(tbl_input[필요수량],tbl_input[집계키_청],D1352)))</f>
        <v/>
      </c>
      <c r="D1352" t="str">
        <f>IFERROR(INDEX(tbl_input[집계키_청],ROW()-1),"")</f>
        <v/>
      </c>
    </row>
    <row r="1353" spans="1:4" x14ac:dyDescent="0.4">
      <c r="A1353" t="str">
        <f t="shared" si="42"/>
        <v/>
      </c>
      <c r="B1353" t="str">
        <f t="shared" si="43"/>
        <v/>
      </c>
      <c r="C1353" t="str">
        <f>IF(D1353="","",IF(COUNTIF($D$2:D1353,D1353)&gt;1,"",SUMIFS(tbl_input[필요수량],tbl_input[집계키_청],D1353)))</f>
        <v/>
      </c>
      <c r="D1353" t="str">
        <f>IFERROR(INDEX(tbl_input[집계키_청],ROW()-1),"")</f>
        <v/>
      </c>
    </row>
    <row r="1354" spans="1:4" x14ac:dyDescent="0.4">
      <c r="A1354" t="str">
        <f t="shared" si="42"/>
        <v/>
      </c>
      <c r="B1354" t="str">
        <f t="shared" si="43"/>
        <v/>
      </c>
      <c r="C1354" t="str">
        <f>IF(D1354="","",IF(COUNTIF($D$2:D1354,D1354)&gt;1,"",SUMIFS(tbl_input[필요수량],tbl_input[집계키_청],D1354)))</f>
        <v/>
      </c>
      <c r="D1354" t="str">
        <f>IFERROR(INDEX(tbl_input[집계키_청],ROW()-1),"")</f>
        <v/>
      </c>
    </row>
    <row r="1355" spans="1:4" x14ac:dyDescent="0.4">
      <c r="A1355" t="str">
        <f t="shared" si="42"/>
        <v/>
      </c>
      <c r="B1355" t="str">
        <f t="shared" si="43"/>
        <v/>
      </c>
      <c r="C1355" t="str">
        <f>IF(D1355="","",IF(COUNTIF($D$2:D1355,D1355)&gt;1,"",SUMIFS(tbl_input[필요수량],tbl_input[집계키_청],D1355)))</f>
        <v/>
      </c>
      <c r="D1355" t="str">
        <f>IFERROR(INDEX(tbl_input[집계키_청],ROW()-1),"")</f>
        <v/>
      </c>
    </row>
    <row r="1356" spans="1:4" x14ac:dyDescent="0.4">
      <c r="A1356" t="str">
        <f t="shared" si="42"/>
        <v/>
      </c>
      <c r="B1356" t="str">
        <f t="shared" si="43"/>
        <v/>
      </c>
      <c r="C1356" t="str">
        <f>IF(D1356="","",IF(COUNTIF($D$2:D1356,D1356)&gt;1,"",SUMIFS(tbl_input[필요수량],tbl_input[집계키_청],D1356)))</f>
        <v/>
      </c>
      <c r="D1356" t="str">
        <f>IFERROR(INDEX(tbl_input[집계키_청],ROW()-1),"")</f>
        <v/>
      </c>
    </row>
    <row r="1357" spans="1:4" x14ac:dyDescent="0.4">
      <c r="A1357" t="str">
        <f t="shared" si="42"/>
        <v/>
      </c>
      <c r="B1357" t="str">
        <f t="shared" si="43"/>
        <v/>
      </c>
      <c r="C1357" t="str">
        <f>IF(D1357="","",IF(COUNTIF($D$2:D1357,D1357)&gt;1,"",SUMIFS(tbl_input[필요수량],tbl_input[집계키_청],D1357)))</f>
        <v/>
      </c>
      <c r="D1357" t="str">
        <f>IFERROR(INDEX(tbl_input[집계키_청],ROW()-1),"")</f>
        <v/>
      </c>
    </row>
    <row r="1358" spans="1:4" x14ac:dyDescent="0.4">
      <c r="A1358" t="str">
        <f t="shared" si="42"/>
        <v/>
      </c>
      <c r="B1358" t="str">
        <f t="shared" si="43"/>
        <v/>
      </c>
      <c r="C1358" t="str">
        <f>IF(D1358="","",IF(COUNTIF($D$2:D1358,D1358)&gt;1,"",SUMIFS(tbl_input[필요수량],tbl_input[집계키_청],D1358)))</f>
        <v/>
      </c>
      <c r="D1358" t="str">
        <f>IFERROR(INDEX(tbl_input[집계키_청],ROW()-1),"")</f>
        <v/>
      </c>
    </row>
    <row r="1359" spans="1:4" x14ac:dyDescent="0.4">
      <c r="A1359" t="str">
        <f t="shared" si="42"/>
        <v/>
      </c>
      <c r="B1359" t="str">
        <f t="shared" si="43"/>
        <v/>
      </c>
      <c r="C1359" t="str">
        <f>IF(D1359="","",IF(COUNTIF($D$2:D1359,D1359)&gt;1,"",SUMIFS(tbl_input[필요수량],tbl_input[집계키_청],D1359)))</f>
        <v/>
      </c>
      <c r="D1359" t="str">
        <f>IFERROR(INDEX(tbl_input[집계키_청],ROW()-1),"")</f>
        <v/>
      </c>
    </row>
    <row r="1360" spans="1:4" x14ac:dyDescent="0.4">
      <c r="A1360" t="str">
        <f t="shared" si="42"/>
        <v/>
      </c>
      <c r="B1360" t="str">
        <f t="shared" si="43"/>
        <v/>
      </c>
      <c r="C1360" t="str">
        <f>IF(D1360="","",IF(COUNTIF($D$2:D1360,D1360)&gt;1,"",SUMIFS(tbl_input[필요수량],tbl_input[집계키_청],D1360)))</f>
        <v/>
      </c>
      <c r="D1360" t="str">
        <f>IFERROR(INDEX(tbl_input[집계키_청],ROW()-1),"")</f>
        <v/>
      </c>
    </row>
    <row r="1361" spans="1:4" x14ac:dyDescent="0.4">
      <c r="A1361" t="str">
        <f t="shared" si="42"/>
        <v/>
      </c>
      <c r="B1361" t="str">
        <f t="shared" si="43"/>
        <v/>
      </c>
      <c r="C1361" t="str">
        <f>IF(D1361="","",IF(COUNTIF($D$2:D1361,D1361)&gt;1,"",SUMIFS(tbl_input[필요수량],tbl_input[집계키_청],D1361)))</f>
        <v/>
      </c>
      <c r="D1361" t="str">
        <f>IFERROR(INDEX(tbl_input[집계키_청],ROW()-1),"")</f>
        <v/>
      </c>
    </row>
    <row r="1362" spans="1:4" x14ac:dyDescent="0.4">
      <c r="A1362" t="str">
        <f t="shared" si="42"/>
        <v/>
      </c>
      <c r="B1362" t="str">
        <f t="shared" si="43"/>
        <v/>
      </c>
      <c r="C1362" t="str">
        <f>IF(D1362="","",IF(COUNTIF($D$2:D1362,D1362)&gt;1,"",SUMIFS(tbl_input[필요수량],tbl_input[집계키_청],D1362)))</f>
        <v/>
      </c>
      <c r="D1362" t="str">
        <f>IFERROR(INDEX(tbl_input[집계키_청],ROW()-1),"")</f>
        <v/>
      </c>
    </row>
    <row r="1363" spans="1:4" x14ac:dyDescent="0.4">
      <c r="A1363" t="str">
        <f t="shared" si="42"/>
        <v/>
      </c>
      <c r="B1363" t="str">
        <f t="shared" si="43"/>
        <v/>
      </c>
      <c r="C1363" t="str">
        <f>IF(D1363="","",IF(COUNTIF($D$2:D1363,D1363)&gt;1,"",SUMIFS(tbl_input[필요수량],tbl_input[집계키_청],D1363)))</f>
        <v/>
      </c>
      <c r="D1363" t="str">
        <f>IFERROR(INDEX(tbl_input[집계키_청],ROW()-1),"")</f>
        <v/>
      </c>
    </row>
    <row r="1364" spans="1:4" x14ac:dyDescent="0.4">
      <c r="A1364" t="str">
        <f t="shared" si="42"/>
        <v/>
      </c>
      <c r="B1364" t="str">
        <f t="shared" si="43"/>
        <v/>
      </c>
      <c r="C1364" t="str">
        <f>IF(D1364="","",IF(COUNTIF($D$2:D1364,D1364)&gt;1,"",SUMIFS(tbl_input[필요수량],tbl_input[집계키_청],D1364)))</f>
        <v/>
      </c>
      <c r="D1364" t="str">
        <f>IFERROR(INDEX(tbl_input[집계키_청],ROW()-1),"")</f>
        <v/>
      </c>
    </row>
    <row r="1365" spans="1:4" x14ac:dyDescent="0.4">
      <c r="A1365" t="str">
        <f t="shared" si="42"/>
        <v/>
      </c>
      <c r="B1365" t="str">
        <f t="shared" si="43"/>
        <v/>
      </c>
      <c r="C1365" t="str">
        <f>IF(D1365="","",IF(COUNTIF($D$2:D1365,D1365)&gt;1,"",SUMIFS(tbl_input[필요수량],tbl_input[집계키_청],D1365)))</f>
        <v/>
      </c>
      <c r="D1365" t="str">
        <f>IFERROR(INDEX(tbl_input[집계키_청],ROW()-1),"")</f>
        <v/>
      </c>
    </row>
    <row r="1366" spans="1:4" x14ac:dyDescent="0.4">
      <c r="A1366" t="str">
        <f t="shared" si="42"/>
        <v/>
      </c>
      <c r="B1366" t="str">
        <f t="shared" si="43"/>
        <v/>
      </c>
      <c r="C1366" t="str">
        <f>IF(D1366="","",IF(COUNTIF($D$2:D1366,D1366)&gt;1,"",SUMIFS(tbl_input[필요수량],tbl_input[집계키_청],D1366)))</f>
        <v/>
      </c>
      <c r="D1366" t="str">
        <f>IFERROR(INDEX(tbl_input[집계키_청],ROW()-1),"")</f>
        <v/>
      </c>
    </row>
    <row r="1367" spans="1:4" x14ac:dyDescent="0.4">
      <c r="A1367" t="str">
        <f t="shared" si="42"/>
        <v/>
      </c>
      <c r="B1367" t="str">
        <f t="shared" si="43"/>
        <v/>
      </c>
      <c r="C1367" t="str">
        <f>IF(D1367="","",IF(COUNTIF($D$2:D1367,D1367)&gt;1,"",SUMIFS(tbl_input[필요수량],tbl_input[집계키_청],D1367)))</f>
        <v/>
      </c>
      <c r="D1367" t="str">
        <f>IFERROR(INDEX(tbl_input[집계키_청],ROW()-1),"")</f>
        <v/>
      </c>
    </row>
    <row r="1368" spans="1:4" x14ac:dyDescent="0.4">
      <c r="A1368" t="str">
        <f t="shared" si="42"/>
        <v/>
      </c>
      <c r="B1368" t="str">
        <f t="shared" si="43"/>
        <v/>
      </c>
      <c r="C1368" t="str">
        <f>IF(D1368="","",IF(COUNTIF($D$2:D1368,D1368)&gt;1,"",SUMIFS(tbl_input[필요수량],tbl_input[집계키_청],D1368)))</f>
        <v/>
      </c>
      <c r="D1368" t="str">
        <f>IFERROR(INDEX(tbl_input[집계키_청],ROW()-1),"")</f>
        <v/>
      </c>
    </row>
    <row r="1369" spans="1:4" x14ac:dyDescent="0.4">
      <c r="A1369" t="str">
        <f t="shared" si="42"/>
        <v/>
      </c>
      <c r="B1369" t="str">
        <f t="shared" si="43"/>
        <v/>
      </c>
      <c r="C1369" t="str">
        <f>IF(D1369="","",IF(COUNTIF($D$2:D1369,D1369)&gt;1,"",SUMIFS(tbl_input[필요수량],tbl_input[집계키_청],D1369)))</f>
        <v/>
      </c>
      <c r="D1369" t="str">
        <f>IFERROR(INDEX(tbl_input[집계키_청],ROW()-1),"")</f>
        <v/>
      </c>
    </row>
    <row r="1370" spans="1:4" x14ac:dyDescent="0.4">
      <c r="A1370" t="str">
        <f t="shared" si="42"/>
        <v/>
      </c>
      <c r="B1370" t="str">
        <f t="shared" si="43"/>
        <v/>
      </c>
      <c r="C1370" t="str">
        <f>IF(D1370="","",IF(COUNTIF($D$2:D1370,D1370)&gt;1,"",SUMIFS(tbl_input[필요수량],tbl_input[집계키_청],D1370)))</f>
        <v/>
      </c>
      <c r="D1370" t="str">
        <f>IFERROR(INDEX(tbl_input[집계키_청],ROW()-1),"")</f>
        <v/>
      </c>
    </row>
    <row r="1371" spans="1:4" x14ac:dyDescent="0.4">
      <c r="A1371" t="str">
        <f t="shared" si="42"/>
        <v/>
      </c>
      <c r="B1371" t="str">
        <f t="shared" si="43"/>
        <v/>
      </c>
      <c r="C1371" t="str">
        <f>IF(D1371="","",IF(COUNTIF($D$2:D1371,D1371)&gt;1,"",SUMIFS(tbl_input[필요수량],tbl_input[집계키_청],D1371)))</f>
        <v/>
      </c>
      <c r="D1371" t="str">
        <f>IFERROR(INDEX(tbl_input[집계키_청],ROW()-1),"")</f>
        <v/>
      </c>
    </row>
    <row r="1372" spans="1:4" x14ac:dyDescent="0.4">
      <c r="A1372" t="str">
        <f t="shared" si="42"/>
        <v/>
      </c>
      <c r="B1372" t="str">
        <f t="shared" si="43"/>
        <v/>
      </c>
      <c r="C1372" t="str">
        <f>IF(D1372="","",IF(COUNTIF($D$2:D1372,D1372)&gt;1,"",SUMIFS(tbl_input[필요수량],tbl_input[집계키_청],D1372)))</f>
        <v/>
      </c>
      <c r="D1372" t="str">
        <f>IFERROR(INDEX(tbl_input[집계키_청],ROW()-1),"")</f>
        <v/>
      </c>
    </row>
    <row r="1373" spans="1:4" x14ac:dyDescent="0.4">
      <c r="A1373" t="str">
        <f t="shared" si="42"/>
        <v/>
      </c>
      <c r="B1373" t="str">
        <f t="shared" si="43"/>
        <v/>
      </c>
      <c r="C1373" t="str">
        <f>IF(D1373="","",IF(COUNTIF($D$2:D1373,D1373)&gt;1,"",SUMIFS(tbl_input[필요수량],tbl_input[집계키_청],D1373)))</f>
        <v/>
      </c>
      <c r="D1373" t="str">
        <f>IFERROR(INDEX(tbl_input[집계키_청],ROW()-1),"")</f>
        <v/>
      </c>
    </row>
    <row r="1374" spans="1:4" x14ac:dyDescent="0.4">
      <c r="A1374" t="str">
        <f t="shared" si="42"/>
        <v/>
      </c>
      <c r="B1374" t="str">
        <f t="shared" si="43"/>
        <v/>
      </c>
      <c r="C1374" t="str">
        <f>IF(D1374="","",IF(COUNTIF($D$2:D1374,D1374)&gt;1,"",SUMIFS(tbl_input[필요수량],tbl_input[집계키_청],D1374)))</f>
        <v/>
      </c>
      <c r="D1374" t="str">
        <f>IFERROR(INDEX(tbl_input[집계키_청],ROW()-1),"")</f>
        <v/>
      </c>
    </row>
    <row r="1375" spans="1:4" x14ac:dyDescent="0.4">
      <c r="A1375" t="str">
        <f t="shared" si="42"/>
        <v/>
      </c>
      <c r="B1375" t="str">
        <f t="shared" si="43"/>
        <v/>
      </c>
      <c r="C1375" t="str">
        <f>IF(D1375="","",IF(COUNTIF($D$2:D1375,D1375)&gt;1,"",SUMIFS(tbl_input[필요수량],tbl_input[집계키_청],D1375)))</f>
        <v/>
      </c>
      <c r="D1375" t="str">
        <f>IFERROR(INDEX(tbl_input[집계키_청],ROW()-1),"")</f>
        <v/>
      </c>
    </row>
    <row r="1376" spans="1:4" x14ac:dyDescent="0.4">
      <c r="A1376" t="str">
        <f t="shared" si="42"/>
        <v/>
      </c>
      <c r="B1376" t="str">
        <f t="shared" si="43"/>
        <v/>
      </c>
      <c r="C1376" t="str">
        <f>IF(D1376="","",IF(COUNTIF($D$2:D1376,D1376)&gt;1,"",SUMIFS(tbl_input[필요수량],tbl_input[집계키_청],D1376)))</f>
        <v/>
      </c>
      <c r="D1376" t="str">
        <f>IFERROR(INDEX(tbl_input[집계키_청],ROW()-1),"")</f>
        <v/>
      </c>
    </row>
    <row r="1377" spans="1:4" x14ac:dyDescent="0.4">
      <c r="A1377" t="str">
        <f t="shared" si="42"/>
        <v/>
      </c>
      <c r="B1377" t="str">
        <f t="shared" si="43"/>
        <v/>
      </c>
      <c r="C1377" t="str">
        <f>IF(D1377="","",IF(COUNTIF($D$2:D1377,D1377)&gt;1,"",SUMIFS(tbl_input[필요수량],tbl_input[집계키_청],D1377)))</f>
        <v/>
      </c>
      <c r="D1377" t="str">
        <f>IFERROR(INDEX(tbl_input[집계키_청],ROW()-1),"")</f>
        <v/>
      </c>
    </row>
    <row r="1378" spans="1:4" x14ac:dyDescent="0.4">
      <c r="A1378" t="str">
        <f t="shared" si="42"/>
        <v/>
      </c>
      <c r="B1378" t="str">
        <f t="shared" si="43"/>
        <v/>
      </c>
      <c r="C1378" t="str">
        <f>IF(D1378="","",IF(COUNTIF($D$2:D1378,D1378)&gt;1,"",SUMIFS(tbl_input[필요수량],tbl_input[집계키_청],D1378)))</f>
        <v/>
      </c>
      <c r="D1378" t="str">
        <f>IFERROR(INDEX(tbl_input[집계키_청],ROW()-1),"")</f>
        <v/>
      </c>
    </row>
    <row r="1379" spans="1:4" x14ac:dyDescent="0.4">
      <c r="A1379" t="str">
        <f t="shared" si="42"/>
        <v/>
      </c>
      <c r="B1379" t="str">
        <f t="shared" si="43"/>
        <v/>
      </c>
      <c r="C1379" t="str">
        <f>IF(D1379="","",IF(COUNTIF($D$2:D1379,D1379)&gt;1,"",SUMIFS(tbl_input[필요수량],tbl_input[집계키_청],D1379)))</f>
        <v/>
      </c>
      <c r="D1379" t="str">
        <f>IFERROR(INDEX(tbl_input[집계키_청],ROW()-1),"")</f>
        <v/>
      </c>
    </row>
    <row r="1380" spans="1:4" x14ac:dyDescent="0.4">
      <c r="A1380" t="str">
        <f t="shared" si="42"/>
        <v/>
      </c>
      <c r="B1380" t="str">
        <f t="shared" si="43"/>
        <v/>
      </c>
      <c r="C1380" t="str">
        <f>IF(D1380="","",IF(COUNTIF($D$2:D1380,D1380)&gt;1,"",SUMIFS(tbl_input[필요수량],tbl_input[집계키_청],D1380)))</f>
        <v/>
      </c>
      <c r="D1380" t="str">
        <f>IFERROR(INDEX(tbl_input[집계키_청],ROW()-1),"")</f>
        <v/>
      </c>
    </row>
    <row r="1381" spans="1:4" x14ac:dyDescent="0.4">
      <c r="A1381" t="str">
        <f t="shared" si="42"/>
        <v/>
      </c>
      <c r="B1381" t="str">
        <f t="shared" si="43"/>
        <v/>
      </c>
      <c r="C1381" t="str">
        <f>IF(D1381="","",IF(COUNTIF($D$2:D1381,D1381)&gt;1,"",SUMIFS(tbl_input[필요수량],tbl_input[집계키_청],D1381)))</f>
        <v/>
      </c>
      <c r="D1381" t="str">
        <f>IFERROR(INDEX(tbl_input[집계키_청],ROW()-1),"")</f>
        <v/>
      </c>
    </row>
    <row r="1382" spans="1:4" x14ac:dyDescent="0.4">
      <c r="A1382" t="str">
        <f t="shared" si="42"/>
        <v/>
      </c>
      <c r="B1382" t="str">
        <f t="shared" si="43"/>
        <v/>
      </c>
      <c r="C1382" t="str">
        <f>IF(D1382="","",IF(COUNTIF($D$2:D1382,D1382)&gt;1,"",SUMIFS(tbl_input[필요수량],tbl_input[집계키_청],D1382)))</f>
        <v/>
      </c>
      <c r="D1382" t="str">
        <f>IFERROR(INDEX(tbl_input[집계키_청],ROW()-1),"")</f>
        <v/>
      </c>
    </row>
    <row r="1383" spans="1:4" x14ac:dyDescent="0.4">
      <c r="A1383" t="str">
        <f t="shared" si="42"/>
        <v/>
      </c>
      <c r="B1383" t="str">
        <f t="shared" si="43"/>
        <v/>
      </c>
      <c r="C1383" t="str">
        <f>IF(D1383="","",IF(COUNTIF($D$2:D1383,D1383)&gt;1,"",SUMIFS(tbl_input[필요수량],tbl_input[집계키_청],D1383)))</f>
        <v/>
      </c>
      <c r="D1383" t="str">
        <f>IFERROR(INDEX(tbl_input[집계키_청],ROW()-1),"")</f>
        <v/>
      </c>
    </row>
    <row r="1384" spans="1:4" x14ac:dyDescent="0.4">
      <c r="A1384" t="str">
        <f t="shared" si="42"/>
        <v/>
      </c>
      <c r="B1384" t="str">
        <f t="shared" si="43"/>
        <v/>
      </c>
      <c r="C1384" t="str">
        <f>IF(D1384="","",IF(COUNTIF($D$2:D1384,D1384)&gt;1,"",SUMIFS(tbl_input[필요수량],tbl_input[집계키_청],D1384)))</f>
        <v/>
      </c>
      <c r="D1384" t="str">
        <f>IFERROR(INDEX(tbl_input[집계키_청],ROW()-1),"")</f>
        <v/>
      </c>
    </row>
    <row r="1385" spans="1:4" x14ac:dyDescent="0.4">
      <c r="A1385" t="str">
        <f t="shared" si="42"/>
        <v/>
      </c>
      <c r="B1385" t="str">
        <f t="shared" si="43"/>
        <v/>
      </c>
      <c r="C1385" t="str">
        <f>IF(D1385="","",IF(COUNTIF($D$2:D1385,D1385)&gt;1,"",SUMIFS(tbl_input[필요수량],tbl_input[집계키_청],D1385)))</f>
        <v/>
      </c>
      <c r="D1385" t="str">
        <f>IFERROR(INDEX(tbl_input[집계키_청],ROW()-1),"")</f>
        <v/>
      </c>
    </row>
    <row r="1386" spans="1:4" x14ac:dyDescent="0.4">
      <c r="A1386" t="str">
        <f t="shared" si="42"/>
        <v/>
      </c>
      <c r="B1386" t="str">
        <f t="shared" si="43"/>
        <v/>
      </c>
      <c r="C1386" t="str">
        <f>IF(D1386="","",IF(COUNTIF($D$2:D1386,D1386)&gt;1,"",SUMIFS(tbl_input[필요수량],tbl_input[집계키_청],D1386)))</f>
        <v/>
      </c>
      <c r="D1386" t="str">
        <f>IFERROR(INDEX(tbl_input[집계키_청],ROW()-1),"")</f>
        <v/>
      </c>
    </row>
    <row r="1387" spans="1:4" x14ac:dyDescent="0.4">
      <c r="A1387" t="str">
        <f t="shared" si="42"/>
        <v/>
      </c>
      <c r="B1387" t="str">
        <f t="shared" si="43"/>
        <v/>
      </c>
      <c r="C1387" t="str">
        <f>IF(D1387="","",IF(COUNTIF($D$2:D1387,D1387)&gt;1,"",SUMIFS(tbl_input[필요수량],tbl_input[집계키_청],D1387)))</f>
        <v/>
      </c>
      <c r="D1387" t="str">
        <f>IFERROR(INDEX(tbl_input[집계키_청],ROW()-1),"")</f>
        <v/>
      </c>
    </row>
    <row r="1388" spans="1:4" x14ac:dyDescent="0.4">
      <c r="A1388" t="str">
        <f t="shared" si="42"/>
        <v/>
      </c>
      <c r="B1388" t="str">
        <f t="shared" si="43"/>
        <v/>
      </c>
      <c r="C1388" t="str">
        <f>IF(D1388="","",IF(COUNTIF($D$2:D1388,D1388)&gt;1,"",SUMIFS(tbl_input[필요수량],tbl_input[집계키_청],D1388)))</f>
        <v/>
      </c>
      <c r="D1388" t="str">
        <f>IFERROR(INDEX(tbl_input[집계키_청],ROW()-1),"")</f>
        <v/>
      </c>
    </row>
    <row r="1389" spans="1:4" x14ac:dyDescent="0.4">
      <c r="A1389" t="str">
        <f t="shared" si="42"/>
        <v/>
      </c>
      <c r="B1389" t="str">
        <f t="shared" si="43"/>
        <v/>
      </c>
      <c r="C1389" t="str">
        <f>IF(D1389="","",IF(COUNTIF($D$2:D1389,D1389)&gt;1,"",SUMIFS(tbl_input[필요수량],tbl_input[집계키_청],D1389)))</f>
        <v/>
      </c>
      <c r="D1389" t="str">
        <f>IFERROR(INDEX(tbl_input[집계키_청],ROW()-1),"")</f>
        <v/>
      </c>
    </row>
    <row r="1390" spans="1:4" x14ac:dyDescent="0.4">
      <c r="A1390" t="str">
        <f t="shared" si="42"/>
        <v/>
      </c>
      <c r="B1390" t="str">
        <f t="shared" si="43"/>
        <v/>
      </c>
      <c r="C1390" t="str">
        <f>IF(D1390="","",IF(COUNTIF($D$2:D1390,D1390)&gt;1,"",SUMIFS(tbl_input[필요수량],tbl_input[집계키_청],D1390)))</f>
        <v/>
      </c>
      <c r="D1390" t="str">
        <f>IFERROR(INDEX(tbl_input[집계키_청],ROW()-1),"")</f>
        <v/>
      </c>
    </row>
    <row r="1391" spans="1:4" x14ac:dyDescent="0.4">
      <c r="A1391" t="str">
        <f t="shared" si="42"/>
        <v/>
      </c>
      <c r="B1391" t="str">
        <f t="shared" si="43"/>
        <v/>
      </c>
      <c r="C1391" t="str">
        <f>IF(D1391="","",IF(COUNTIF($D$2:D1391,D1391)&gt;1,"",SUMIFS(tbl_input[필요수량],tbl_input[집계키_청],D1391)))</f>
        <v/>
      </c>
      <c r="D1391" t="str">
        <f>IFERROR(INDEX(tbl_input[집계키_청],ROW()-1),"")</f>
        <v/>
      </c>
    </row>
    <row r="1392" spans="1:4" x14ac:dyDescent="0.4">
      <c r="A1392" t="str">
        <f t="shared" si="42"/>
        <v/>
      </c>
      <c r="B1392" t="str">
        <f t="shared" si="43"/>
        <v/>
      </c>
      <c r="C1392" t="str">
        <f>IF(D1392="","",IF(COUNTIF($D$2:D1392,D1392)&gt;1,"",SUMIFS(tbl_input[필요수량],tbl_input[집계키_청],D1392)))</f>
        <v/>
      </c>
      <c r="D1392" t="str">
        <f>IFERROR(INDEX(tbl_input[집계키_청],ROW()-1),"")</f>
        <v/>
      </c>
    </row>
    <row r="1393" spans="1:4" x14ac:dyDescent="0.4">
      <c r="A1393" t="str">
        <f t="shared" si="42"/>
        <v/>
      </c>
      <c r="B1393" t="str">
        <f t="shared" si="43"/>
        <v/>
      </c>
      <c r="C1393" t="str">
        <f>IF(D1393="","",IF(COUNTIF($D$2:D1393,D1393)&gt;1,"",SUMIFS(tbl_input[필요수량],tbl_input[집계키_청],D1393)))</f>
        <v/>
      </c>
      <c r="D1393" t="str">
        <f>IFERROR(INDEX(tbl_input[집계키_청],ROW()-1),"")</f>
        <v/>
      </c>
    </row>
    <row r="1394" spans="1:4" x14ac:dyDescent="0.4">
      <c r="A1394" t="str">
        <f t="shared" si="42"/>
        <v/>
      </c>
      <c r="B1394" t="str">
        <f t="shared" si="43"/>
        <v/>
      </c>
      <c r="C1394" t="str">
        <f>IF(D1394="","",IF(COUNTIF($D$2:D1394,D1394)&gt;1,"",SUMIFS(tbl_input[필요수량],tbl_input[집계키_청],D1394)))</f>
        <v/>
      </c>
      <c r="D1394" t="str">
        <f>IFERROR(INDEX(tbl_input[집계키_청],ROW()-1),"")</f>
        <v/>
      </c>
    </row>
    <row r="1395" spans="1:4" x14ac:dyDescent="0.4">
      <c r="A1395" t="str">
        <f t="shared" si="42"/>
        <v/>
      </c>
      <c r="B1395" t="str">
        <f t="shared" si="43"/>
        <v/>
      </c>
      <c r="C1395" t="str">
        <f>IF(D1395="","",IF(COUNTIF($D$2:D1395,D1395)&gt;1,"",SUMIFS(tbl_input[필요수량],tbl_input[집계키_청],D1395)))</f>
        <v/>
      </c>
      <c r="D1395" t="str">
        <f>IFERROR(INDEX(tbl_input[집계키_청],ROW()-1),"")</f>
        <v/>
      </c>
    </row>
    <row r="1396" spans="1:4" x14ac:dyDescent="0.4">
      <c r="A1396" t="str">
        <f t="shared" si="42"/>
        <v/>
      </c>
      <c r="B1396" t="str">
        <f t="shared" si="43"/>
        <v/>
      </c>
      <c r="C1396" t="str">
        <f>IF(D1396="","",IF(COUNTIF($D$2:D1396,D1396)&gt;1,"",SUMIFS(tbl_input[필요수량],tbl_input[집계키_청],D1396)))</f>
        <v/>
      </c>
      <c r="D1396" t="str">
        <f>IFERROR(INDEX(tbl_input[집계키_청],ROW()-1),"")</f>
        <v/>
      </c>
    </row>
    <row r="1397" spans="1:4" x14ac:dyDescent="0.4">
      <c r="A1397" t="str">
        <f t="shared" si="42"/>
        <v/>
      </c>
      <c r="B1397" t="str">
        <f t="shared" si="43"/>
        <v/>
      </c>
      <c r="C1397" t="str">
        <f>IF(D1397="","",IF(COUNTIF($D$2:D1397,D1397)&gt;1,"",SUMIFS(tbl_input[필요수량],tbl_input[집계키_청],D1397)))</f>
        <v/>
      </c>
      <c r="D1397" t="str">
        <f>IFERROR(INDEX(tbl_input[집계키_청],ROW()-1),"")</f>
        <v/>
      </c>
    </row>
    <row r="1398" spans="1:4" x14ac:dyDescent="0.4">
      <c r="A1398" t="str">
        <f t="shared" si="42"/>
        <v/>
      </c>
      <c r="B1398" t="str">
        <f t="shared" si="43"/>
        <v/>
      </c>
      <c r="C1398" t="str">
        <f>IF(D1398="","",IF(COUNTIF($D$2:D1398,D1398)&gt;1,"",SUMIFS(tbl_input[필요수량],tbl_input[집계키_청],D1398)))</f>
        <v/>
      </c>
      <c r="D1398" t="str">
        <f>IFERROR(INDEX(tbl_input[집계키_청],ROW()-1),"")</f>
        <v/>
      </c>
    </row>
    <row r="1399" spans="1:4" x14ac:dyDescent="0.4">
      <c r="A1399" t="str">
        <f t="shared" si="42"/>
        <v/>
      </c>
      <c r="B1399" t="str">
        <f t="shared" si="43"/>
        <v/>
      </c>
      <c r="C1399" t="str">
        <f>IF(D1399="","",IF(COUNTIF($D$2:D1399,D1399)&gt;1,"",SUMIFS(tbl_input[필요수량],tbl_input[집계키_청],D1399)))</f>
        <v/>
      </c>
      <c r="D1399" t="str">
        <f>IFERROR(INDEX(tbl_input[집계키_청],ROW()-1),"")</f>
        <v/>
      </c>
    </row>
    <row r="1400" spans="1:4" x14ac:dyDescent="0.4">
      <c r="A1400" t="str">
        <f t="shared" si="42"/>
        <v/>
      </c>
      <c r="B1400" t="str">
        <f t="shared" si="43"/>
        <v/>
      </c>
      <c r="C1400" t="str">
        <f>IF(D1400="","",IF(COUNTIF($D$2:D1400,D1400)&gt;1,"",SUMIFS(tbl_input[필요수량],tbl_input[집계키_청],D1400)))</f>
        <v/>
      </c>
      <c r="D1400" t="str">
        <f>IFERROR(INDEX(tbl_input[집계키_청],ROW()-1),"")</f>
        <v/>
      </c>
    </row>
    <row r="1401" spans="1:4" x14ac:dyDescent="0.4">
      <c r="A1401" t="str">
        <f t="shared" si="42"/>
        <v/>
      </c>
      <c r="B1401" t="str">
        <f t="shared" si="43"/>
        <v/>
      </c>
      <c r="C1401" t="str">
        <f>IF(D1401="","",IF(COUNTIF($D$2:D1401,D1401)&gt;1,"",SUMIFS(tbl_input[필요수량],tbl_input[집계키_청],D1401)))</f>
        <v/>
      </c>
      <c r="D1401" t="str">
        <f>IFERROR(INDEX(tbl_input[집계키_청],ROW()-1),"")</f>
        <v/>
      </c>
    </row>
    <row r="1402" spans="1:4" x14ac:dyDescent="0.4">
      <c r="A1402" t="str">
        <f t="shared" si="42"/>
        <v/>
      </c>
      <c r="B1402" t="str">
        <f t="shared" si="43"/>
        <v/>
      </c>
      <c r="C1402" t="str">
        <f>IF(D1402="","",IF(COUNTIF($D$2:D1402,D1402)&gt;1,"",SUMIFS(tbl_input[필요수량],tbl_input[집계키_청],D1402)))</f>
        <v/>
      </c>
      <c r="D1402" t="str">
        <f>IFERROR(INDEX(tbl_input[집계키_청],ROW()-1),"")</f>
        <v/>
      </c>
    </row>
    <row r="1403" spans="1:4" x14ac:dyDescent="0.4">
      <c r="A1403" t="str">
        <f t="shared" si="42"/>
        <v/>
      </c>
      <c r="B1403" t="str">
        <f t="shared" si="43"/>
        <v/>
      </c>
      <c r="C1403" t="str">
        <f>IF(D1403="","",IF(COUNTIF($D$2:D1403,D1403)&gt;1,"",SUMIFS(tbl_input[필요수량],tbl_input[집계키_청],D1403)))</f>
        <v/>
      </c>
      <c r="D1403" t="str">
        <f>IFERROR(INDEX(tbl_input[집계키_청],ROW()-1),"")</f>
        <v/>
      </c>
    </row>
    <row r="1404" spans="1:4" x14ac:dyDescent="0.4">
      <c r="A1404" t="str">
        <f t="shared" si="42"/>
        <v/>
      </c>
      <c r="B1404" t="str">
        <f t="shared" si="43"/>
        <v/>
      </c>
      <c r="C1404" t="str">
        <f>IF(D1404="","",IF(COUNTIF($D$2:D1404,D1404)&gt;1,"",SUMIFS(tbl_input[필요수량],tbl_input[집계키_청],D1404)))</f>
        <v/>
      </c>
      <c r="D1404" t="str">
        <f>IFERROR(INDEX(tbl_input[집계키_청],ROW()-1),"")</f>
        <v/>
      </c>
    </row>
    <row r="1405" spans="1:4" x14ac:dyDescent="0.4">
      <c r="A1405" t="str">
        <f t="shared" si="42"/>
        <v/>
      </c>
      <c r="B1405" t="str">
        <f t="shared" si="43"/>
        <v/>
      </c>
      <c r="C1405" t="str">
        <f>IF(D1405="","",IF(COUNTIF($D$2:D1405,D1405)&gt;1,"",SUMIFS(tbl_input[필요수량],tbl_input[집계키_청],D1405)))</f>
        <v/>
      </c>
      <c r="D1405" t="str">
        <f>IFERROR(INDEX(tbl_input[집계키_청],ROW()-1),"")</f>
        <v/>
      </c>
    </row>
    <row r="1406" spans="1:4" x14ac:dyDescent="0.4">
      <c r="A1406" t="str">
        <f t="shared" si="42"/>
        <v/>
      </c>
      <c r="B1406" t="str">
        <f t="shared" si="43"/>
        <v/>
      </c>
      <c r="C1406" t="str">
        <f>IF(D1406="","",IF(COUNTIF($D$2:D1406,D1406)&gt;1,"",SUMIFS(tbl_input[필요수량],tbl_input[집계키_청],D1406)))</f>
        <v/>
      </c>
      <c r="D1406" t="str">
        <f>IFERROR(INDEX(tbl_input[집계키_청],ROW()-1),"")</f>
        <v/>
      </c>
    </row>
    <row r="1407" spans="1:4" x14ac:dyDescent="0.4">
      <c r="A1407" t="str">
        <f t="shared" si="42"/>
        <v/>
      </c>
      <c r="B1407" t="str">
        <f t="shared" si="43"/>
        <v/>
      </c>
      <c r="C1407" t="str">
        <f>IF(D1407="","",IF(COUNTIF($D$2:D1407,D1407)&gt;1,"",SUMIFS(tbl_input[필요수량],tbl_input[집계키_청],D1407)))</f>
        <v/>
      </c>
      <c r="D1407" t="str">
        <f>IFERROR(INDEX(tbl_input[집계키_청],ROW()-1),"")</f>
        <v/>
      </c>
    </row>
    <row r="1408" spans="1:4" x14ac:dyDescent="0.4">
      <c r="A1408" t="str">
        <f t="shared" si="42"/>
        <v/>
      </c>
      <c r="B1408" t="str">
        <f t="shared" si="43"/>
        <v/>
      </c>
      <c r="C1408" t="str">
        <f>IF(D1408="","",IF(COUNTIF($D$2:D1408,D1408)&gt;1,"",SUMIFS(tbl_input[필요수량],tbl_input[집계키_청],D1408)))</f>
        <v/>
      </c>
      <c r="D1408" t="str">
        <f>IFERROR(INDEX(tbl_input[집계키_청],ROW()-1),"")</f>
        <v/>
      </c>
    </row>
    <row r="1409" spans="1:4" x14ac:dyDescent="0.4">
      <c r="A1409" t="str">
        <f t="shared" si="42"/>
        <v/>
      </c>
      <c r="B1409" t="str">
        <f t="shared" si="43"/>
        <v/>
      </c>
      <c r="C1409" t="str">
        <f>IF(D1409="","",IF(COUNTIF($D$2:D1409,D1409)&gt;1,"",SUMIFS(tbl_input[필요수량],tbl_input[집계키_청],D1409)))</f>
        <v/>
      </c>
      <c r="D1409" t="str">
        <f>IFERROR(INDEX(tbl_input[집계키_청],ROW()-1),"")</f>
        <v/>
      </c>
    </row>
    <row r="1410" spans="1:4" x14ac:dyDescent="0.4">
      <c r="A1410" t="str">
        <f t="shared" ref="A1410:A1473" si="44">IF(D1410="","",LEFT(D1410,FIND("♦",D1410)-1))</f>
        <v/>
      </c>
      <c r="B1410" t="str">
        <f t="shared" ref="B1410:B1473" si="45">IF(D1410="","",MID(D1410,FIND("♦",D1410)+1,999))</f>
        <v/>
      </c>
      <c r="C1410" t="str">
        <f>IF(D1410="","",IF(COUNTIF($D$2:D1410,D1410)&gt;1,"",SUMIFS(tbl_input[필요수량],tbl_input[집계키_청],D1410)))</f>
        <v/>
      </c>
      <c r="D1410" t="str">
        <f>IFERROR(INDEX(tbl_input[집계키_청],ROW()-1),"")</f>
        <v/>
      </c>
    </row>
    <row r="1411" spans="1:4" x14ac:dyDescent="0.4">
      <c r="A1411" t="str">
        <f t="shared" si="44"/>
        <v/>
      </c>
      <c r="B1411" t="str">
        <f t="shared" si="45"/>
        <v/>
      </c>
      <c r="C1411" t="str">
        <f>IF(D1411="","",IF(COUNTIF($D$2:D1411,D1411)&gt;1,"",SUMIFS(tbl_input[필요수량],tbl_input[집계키_청],D1411)))</f>
        <v/>
      </c>
      <c r="D1411" t="str">
        <f>IFERROR(INDEX(tbl_input[집계키_청],ROW()-1),"")</f>
        <v/>
      </c>
    </row>
    <row r="1412" spans="1:4" x14ac:dyDescent="0.4">
      <c r="A1412" t="str">
        <f t="shared" si="44"/>
        <v/>
      </c>
      <c r="B1412" t="str">
        <f t="shared" si="45"/>
        <v/>
      </c>
      <c r="C1412" t="str">
        <f>IF(D1412="","",IF(COUNTIF($D$2:D1412,D1412)&gt;1,"",SUMIFS(tbl_input[필요수량],tbl_input[집계키_청],D1412)))</f>
        <v/>
      </c>
      <c r="D1412" t="str">
        <f>IFERROR(INDEX(tbl_input[집계키_청],ROW()-1),"")</f>
        <v/>
      </c>
    </row>
    <row r="1413" spans="1:4" x14ac:dyDescent="0.4">
      <c r="A1413" t="str">
        <f t="shared" si="44"/>
        <v/>
      </c>
      <c r="B1413" t="str">
        <f t="shared" si="45"/>
        <v/>
      </c>
      <c r="C1413" t="str">
        <f>IF(D1413="","",IF(COUNTIF($D$2:D1413,D1413)&gt;1,"",SUMIFS(tbl_input[필요수량],tbl_input[집계키_청],D1413)))</f>
        <v/>
      </c>
      <c r="D1413" t="str">
        <f>IFERROR(INDEX(tbl_input[집계키_청],ROW()-1),"")</f>
        <v/>
      </c>
    </row>
    <row r="1414" spans="1:4" x14ac:dyDescent="0.4">
      <c r="A1414" t="str">
        <f t="shared" si="44"/>
        <v/>
      </c>
      <c r="B1414" t="str">
        <f t="shared" si="45"/>
        <v/>
      </c>
      <c r="C1414" t="str">
        <f>IF(D1414="","",IF(COUNTIF($D$2:D1414,D1414)&gt;1,"",SUMIFS(tbl_input[필요수량],tbl_input[집계키_청],D1414)))</f>
        <v/>
      </c>
      <c r="D1414" t="str">
        <f>IFERROR(INDEX(tbl_input[집계키_청],ROW()-1),"")</f>
        <v/>
      </c>
    </row>
    <row r="1415" spans="1:4" x14ac:dyDescent="0.4">
      <c r="A1415" t="str">
        <f t="shared" si="44"/>
        <v/>
      </c>
      <c r="B1415" t="str">
        <f t="shared" si="45"/>
        <v/>
      </c>
      <c r="C1415" t="str">
        <f>IF(D1415="","",IF(COUNTIF($D$2:D1415,D1415)&gt;1,"",SUMIFS(tbl_input[필요수량],tbl_input[집계키_청],D1415)))</f>
        <v/>
      </c>
      <c r="D1415" t="str">
        <f>IFERROR(INDEX(tbl_input[집계키_청],ROW()-1),"")</f>
        <v/>
      </c>
    </row>
    <row r="1416" spans="1:4" x14ac:dyDescent="0.4">
      <c r="A1416" t="str">
        <f t="shared" si="44"/>
        <v/>
      </c>
      <c r="B1416" t="str">
        <f t="shared" si="45"/>
        <v/>
      </c>
      <c r="C1416" t="str">
        <f>IF(D1416="","",IF(COUNTIF($D$2:D1416,D1416)&gt;1,"",SUMIFS(tbl_input[필요수량],tbl_input[집계키_청],D1416)))</f>
        <v/>
      </c>
      <c r="D1416" t="str">
        <f>IFERROR(INDEX(tbl_input[집계키_청],ROW()-1),"")</f>
        <v/>
      </c>
    </row>
    <row r="1417" spans="1:4" x14ac:dyDescent="0.4">
      <c r="A1417" t="str">
        <f t="shared" si="44"/>
        <v/>
      </c>
      <c r="B1417" t="str">
        <f t="shared" si="45"/>
        <v/>
      </c>
      <c r="C1417" t="str">
        <f>IF(D1417="","",IF(COUNTIF($D$2:D1417,D1417)&gt;1,"",SUMIFS(tbl_input[필요수량],tbl_input[집계키_청],D1417)))</f>
        <v/>
      </c>
      <c r="D1417" t="str">
        <f>IFERROR(INDEX(tbl_input[집계키_청],ROW()-1),"")</f>
        <v/>
      </c>
    </row>
    <row r="1418" spans="1:4" x14ac:dyDescent="0.4">
      <c r="A1418" t="str">
        <f t="shared" si="44"/>
        <v/>
      </c>
      <c r="B1418" t="str">
        <f t="shared" si="45"/>
        <v/>
      </c>
      <c r="C1418" t="str">
        <f>IF(D1418="","",IF(COUNTIF($D$2:D1418,D1418)&gt;1,"",SUMIFS(tbl_input[필요수량],tbl_input[집계키_청],D1418)))</f>
        <v/>
      </c>
      <c r="D1418" t="str">
        <f>IFERROR(INDEX(tbl_input[집계키_청],ROW()-1),"")</f>
        <v/>
      </c>
    </row>
    <row r="1419" spans="1:4" x14ac:dyDescent="0.4">
      <c r="A1419" t="str">
        <f t="shared" si="44"/>
        <v/>
      </c>
      <c r="B1419" t="str">
        <f t="shared" si="45"/>
        <v/>
      </c>
      <c r="C1419" t="str">
        <f>IF(D1419="","",IF(COUNTIF($D$2:D1419,D1419)&gt;1,"",SUMIFS(tbl_input[필요수량],tbl_input[집계키_청],D1419)))</f>
        <v/>
      </c>
      <c r="D1419" t="str">
        <f>IFERROR(INDEX(tbl_input[집계키_청],ROW()-1),"")</f>
        <v/>
      </c>
    </row>
    <row r="1420" spans="1:4" x14ac:dyDescent="0.4">
      <c r="A1420" t="str">
        <f t="shared" si="44"/>
        <v/>
      </c>
      <c r="B1420" t="str">
        <f t="shared" si="45"/>
        <v/>
      </c>
      <c r="C1420" t="str">
        <f>IF(D1420="","",IF(COUNTIF($D$2:D1420,D1420)&gt;1,"",SUMIFS(tbl_input[필요수량],tbl_input[집계키_청],D1420)))</f>
        <v/>
      </c>
      <c r="D1420" t="str">
        <f>IFERROR(INDEX(tbl_input[집계키_청],ROW()-1),"")</f>
        <v/>
      </c>
    </row>
    <row r="1421" spans="1:4" x14ac:dyDescent="0.4">
      <c r="A1421" t="str">
        <f t="shared" si="44"/>
        <v/>
      </c>
      <c r="B1421" t="str">
        <f t="shared" si="45"/>
        <v/>
      </c>
      <c r="C1421" t="str">
        <f>IF(D1421="","",IF(COUNTIF($D$2:D1421,D1421)&gt;1,"",SUMIFS(tbl_input[필요수량],tbl_input[집계키_청],D1421)))</f>
        <v/>
      </c>
      <c r="D1421" t="str">
        <f>IFERROR(INDEX(tbl_input[집계키_청],ROW()-1),"")</f>
        <v/>
      </c>
    </row>
    <row r="1422" spans="1:4" x14ac:dyDescent="0.4">
      <c r="A1422" t="str">
        <f t="shared" si="44"/>
        <v/>
      </c>
      <c r="B1422" t="str">
        <f t="shared" si="45"/>
        <v/>
      </c>
      <c r="C1422" t="str">
        <f>IF(D1422="","",IF(COUNTIF($D$2:D1422,D1422)&gt;1,"",SUMIFS(tbl_input[필요수량],tbl_input[집계키_청],D1422)))</f>
        <v/>
      </c>
      <c r="D1422" t="str">
        <f>IFERROR(INDEX(tbl_input[집계키_청],ROW()-1),"")</f>
        <v/>
      </c>
    </row>
    <row r="1423" spans="1:4" x14ac:dyDescent="0.4">
      <c r="A1423" t="str">
        <f t="shared" si="44"/>
        <v/>
      </c>
      <c r="B1423" t="str">
        <f t="shared" si="45"/>
        <v/>
      </c>
      <c r="C1423" t="str">
        <f>IF(D1423="","",IF(COUNTIF($D$2:D1423,D1423)&gt;1,"",SUMIFS(tbl_input[필요수량],tbl_input[집계키_청],D1423)))</f>
        <v/>
      </c>
      <c r="D1423" t="str">
        <f>IFERROR(INDEX(tbl_input[집계키_청],ROW()-1),"")</f>
        <v/>
      </c>
    </row>
    <row r="1424" spans="1:4" x14ac:dyDescent="0.4">
      <c r="A1424" t="str">
        <f t="shared" si="44"/>
        <v/>
      </c>
      <c r="B1424" t="str">
        <f t="shared" si="45"/>
        <v/>
      </c>
      <c r="C1424" t="str">
        <f>IF(D1424="","",IF(COUNTIF($D$2:D1424,D1424)&gt;1,"",SUMIFS(tbl_input[필요수량],tbl_input[집계키_청],D1424)))</f>
        <v/>
      </c>
      <c r="D1424" t="str">
        <f>IFERROR(INDEX(tbl_input[집계키_청],ROW()-1),"")</f>
        <v/>
      </c>
    </row>
    <row r="1425" spans="1:4" x14ac:dyDescent="0.4">
      <c r="A1425" t="str">
        <f t="shared" si="44"/>
        <v/>
      </c>
      <c r="B1425" t="str">
        <f t="shared" si="45"/>
        <v/>
      </c>
      <c r="C1425" t="str">
        <f>IF(D1425="","",IF(COUNTIF($D$2:D1425,D1425)&gt;1,"",SUMIFS(tbl_input[필요수량],tbl_input[집계키_청],D1425)))</f>
        <v/>
      </c>
      <c r="D1425" t="str">
        <f>IFERROR(INDEX(tbl_input[집계키_청],ROW()-1),"")</f>
        <v/>
      </c>
    </row>
    <row r="1426" spans="1:4" x14ac:dyDescent="0.4">
      <c r="A1426" t="str">
        <f t="shared" si="44"/>
        <v/>
      </c>
      <c r="B1426" t="str">
        <f t="shared" si="45"/>
        <v/>
      </c>
      <c r="C1426" t="str">
        <f>IF(D1426="","",IF(COUNTIF($D$2:D1426,D1426)&gt;1,"",SUMIFS(tbl_input[필요수량],tbl_input[집계키_청],D1426)))</f>
        <v/>
      </c>
      <c r="D1426" t="str">
        <f>IFERROR(INDEX(tbl_input[집계키_청],ROW()-1),"")</f>
        <v/>
      </c>
    </row>
    <row r="1427" spans="1:4" x14ac:dyDescent="0.4">
      <c r="A1427" t="str">
        <f t="shared" si="44"/>
        <v/>
      </c>
      <c r="B1427" t="str">
        <f t="shared" si="45"/>
        <v/>
      </c>
      <c r="C1427" t="str">
        <f>IF(D1427="","",IF(COUNTIF($D$2:D1427,D1427)&gt;1,"",SUMIFS(tbl_input[필요수량],tbl_input[집계키_청],D1427)))</f>
        <v/>
      </c>
      <c r="D1427" t="str">
        <f>IFERROR(INDEX(tbl_input[집계키_청],ROW()-1),"")</f>
        <v/>
      </c>
    </row>
    <row r="1428" spans="1:4" x14ac:dyDescent="0.4">
      <c r="A1428" t="str">
        <f t="shared" si="44"/>
        <v/>
      </c>
      <c r="B1428" t="str">
        <f t="shared" si="45"/>
        <v/>
      </c>
      <c r="C1428" t="str">
        <f>IF(D1428="","",IF(COUNTIF($D$2:D1428,D1428)&gt;1,"",SUMIFS(tbl_input[필요수량],tbl_input[집계키_청],D1428)))</f>
        <v/>
      </c>
      <c r="D1428" t="str">
        <f>IFERROR(INDEX(tbl_input[집계키_청],ROW()-1),"")</f>
        <v/>
      </c>
    </row>
    <row r="1429" spans="1:4" x14ac:dyDescent="0.4">
      <c r="A1429" t="str">
        <f t="shared" si="44"/>
        <v/>
      </c>
      <c r="B1429" t="str">
        <f t="shared" si="45"/>
        <v/>
      </c>
      <c r="C1429" t="str">
        <f>IF(D1429="","",IF(COUNTIF($D$2:D1429,D1429)&gt;1,"",SUMIFS(tbl_input[필요수량],tbl_input[집계키_청],D1429)))</f>
        <v/>
      </c>
      <c r="D1429" t="str">
        <f>IFERROR(INDEX(tbl_input[집계키_청],ROW()-1),"")</f>
        <v/>
      </c>
    </row>
    <row r="1430" spans="1:4" x14ac:dyDescent="0.4">
      <c r="A1430" t="str">
        <f t="shared" si="44"/>
        <v/>
      </c>
      <c r="B1430" t="str">
        <f t="shared" si="45"/>
        <v/>
      </c>
      <c r="C1430" t="str">
        <f>IF(D1430="","",IF(COUNTIF($D$2:D1430,D1430)&gt;1,"",SUMIFS(tbl_input[필요수량],tbl_input[집계키_청],D1430)))</f>
        <v/>
      </c>
      <c r="D1430" t="str">
        <f>IFERROR(INDEX(tbl_input[집계키_청],ROW()-1),"")</f>
        <v/>
      </c>
    </row>
    <row r="1431" spans="1:4" x14ac:dyDescent="0.4">
      <c r="A1431" t="str">
        <f t="shared" si="44"/>
        <v/>
      </c>
      <c r="B1431" t="str">
        <f t="shared" si="45"/>
        <v/>
      </c>
      <c r="C1431" t="str">
        <f>IF(D1431="","",IF(COUNTIF($D$2:D1431,D1431)&gt;1,"",SUMIFS(tbl_input[필요수량],tbl_input[집계키_청],D1431)))</f>
        <v/>
      </c>
      <c r="D1431" t="str">
        <f>IFERROR(INDEX(tbl_input[집계키_청],ROW()-1),"")</f>
        <v/>
      </c>
    </row>
    <row r="1432" spans="1:4" x14ac:dyDescent="0.4">
      <c r="A1432" t="str">
        <f t="shared" si="44"/>
        <v/>
      </c>
      <c r="B1432" t="str">
        <f t="shared" si="45"/>
        <v/>
      </c>
      <c r="C1432" t="str">
        <f>IF(D1432="","",IF(COUNTIF($D$2:D1432,D1432)&gt;1,"",SUMIFS(tbl_input[필요수량],tbl_input[집계키_청],D1432)))</f>
        <v/>
      </c>
      <c r="D1432" t="str">
        <f>IFERROR(INDEX(tbl_input[집계키_청],ROW()-1),"")</f>
        <v/>
      </c>
    </row>
    <row r="1433" spans="1:4" x14ac:dyDescent="0.4">
      <c r="A1433" t="str">
        <f t="shared" si="44"/>
        <v/>
      </c>
      <c r="B1433" t="str">
        <f t="shared" si="45"/>
        <v/>
      </c>
      <c r="C1433" t="str">
        <f>IF(D1433="","",IF(COUNTIF($D$2:D1433,D1433)&gt;1,"",SUMIFS(tbl_input[필요수량],tbl_input[집계키_청],D1433)))</f>
        <v/>
      </c>
      <c r="D1433" t="str">
        <f>IFERROR(INDEX(tbl_input[집계키_청],ROW()-1),"")</f>
        <v/>
      </c>
    </row>
    <row r="1434" spans="1:4" x14ac:dyDescent="0.4">
      <c r="A1434" t="str">
        <f t="shared" si="44"/>
        <v/>
      </c>
      <c r="B1434" t="str">
        <f t="shared" si="45"/>
        <v/>
      </c>
      <c r="C1434" t="str">
        <f>IF(D1434="","",IF(COUNTIF($D$2:D1434,D1434)&gt;1,"",SUMIFS(tbl_input[필요수량],tbl_input[집계키_청],D1434)))</f>
        <v/>
      </c>
      <c r="D1434" t="str">
        <f>IFERROR(INDEX(tbl_input[집계키_청],ROW()-1),"")</f>
        <v/>
      </c>
    </row>
    <row r="1435" spans="1:4" x14ac:dyDescent="0.4">
      <c r="A1435" t="str">
        <f t="shared" si="44"/>
        <v/>
      </c>
      <c r="B1435" t="str">
        <f t="shared" si="45"/>
        <v/>
      </c>
      <c r="C1435" t="str">
        <f>IF(D1435="","",IF(COUNTIF($D$2:D1435,D1435)&gt;1,"",SUMIFS(tbl_input[필요수량],tbl_input[집계키_청],D1435)))</f>
        <v/>
      </c>
      <c r="D1435" t="str">
        <f>IFERROR(INDEX(tbl_input[집계키_청],ROW()-1),"")</f>
        <v/>
      </c>
    </row>
    <row r="1436" spans="1:4" x14ac:dyDescent="0.4">
      <c r="A1436" t="str">
        <f t="shared" si="44"/>
        <v/>
      </c>
      <c r="B1436" t="str">
        <f t="shared" si="45"/>
        <v/>
      </c>
      <c r="C1436" t="str">
        <f>IF(D1436="","",IF(COUNTIF($D$2:D1436,D1436)&gt;1,"",SUMIFS(tbl_input[필요수량],tbl_input[집계키_청],D1436)))</f>
        <v/>
      </c>
      <c r="D1436" t="str">
        <f>IFERROR(INDEX(tbl_input[집계키_청],ROW()-1),"")</f>
        <v/>
      </c>
    </row>
    <row r="1437" spans="1:4" x14ac:dyDescent="0.4">
      <c r="A1437" t="str">
        <f t="shared" si="44"/>
        <v/>
      </c>
      <c r="B1437" t="str">
        <f t="shared" si="45"/>
        <v/>
      </c>
      <c r="C1437" t="str">
        <f>IF(D1437="","",IF(COUNTIF($D$2:D1437,D1437)&gt;1,"",SUMIFS(tbl_input[필요수량],tbl_input[집계키_청],D1437)))</f>
        <v/>
      </c>
      <c r="D1437" t="str">
        <f>IFERROR(INDEX(tbl_input[집계키_청],ROW()-1),"")</f>
        <v/>
      </c>
    </row>
    <row r="1438" spans="1:4" x14ac:dyDescent="0.4">
      <c r="A1438" t="str">
        <f t="shared" si="44"/>
        <v/>
      </c>
      <c r="B1438" t="str">
        <f t="shared" si="45"/>
        <v/>
      </c>
      <c r="C1438" t="str">
        <f>IF(D1438="","",IF(COUNTIF($D$2:D1438,D1438)&gt;1,"",SUMIFS(tbl_input[필요수량],tbl_input[집계키_청],D1438)))</f>
        <v/>
      </c>
      <c r="D1438" t="str">
        <f>IFERROR(INDEX(tbl_input[집계키_청],ROW()-1),"")</f>
        <v/>
      </c>
    </row>
    <row r="1439" spans="1:4" x14ac:dyDescent="0.4">
      <c r="A1439" t="str">
        <f t="shared" si="44"/>
        <v/>
      </c>
      <c r="B1439" t="str">
        <f t="shared" si="45"/>
        <v/>
      </c>
      <c r="C1439" t="str">
        <f>IF(D1439="","",IF(COUNTIF($D$2:D1439,D1439)&gt;1,"",SUMIFS(tbl_input[필요수량],tbl_input[집계키_청],D1439)))</f>
        <v/>
      </c>
      <c r="D1439" t="str">
        <f>IFERROR(INDEX(tbl_input[집계키_청],ROW()-1),"")</f>
        <v/>
      </c>
    </row>
    <row r="1440" spans="1:4" x14ac:dyDescent="0.4">
      <c r="A1440" t="str">
        <f t="shared" si="44"/>
        <v/>
      </c>
      <c r="B1440" t="str">
        <f t="shared" si="45"/>
        <v/>
      </c>
      <c r="C1440" t="str">
        <f>IF(D1440="","",IF(COUNTIF($D$2:D1440,D1440)&gt;1,"",SUMIFS(tbl_input[필요수량],tbl_input[집계키_청],D1440)))</f>
        <v/>
      </c>
      <c r="D1440" t="str">
        <f>IFERROR(INDEX(tbl_input[집계키_청],ROW()-1),"")</f>
        <v/>
      </c>
    </row>
    <row r="1441" spans="1:4" x14ac:dyDescent="0.4">
      <c r="A1441" t="str">
        <f t="shared" si="44"/>
        <v/>
      </c>
      <c r="B1441" t="str">
        <f t="shared" si="45"/>
        <v/>
      </c>
      <c r="C1441" t="str">
        <f>IF(D1441="","",IF(COUNTIF($D$2:D1441,D1441)&gt;1,"",SUMIFS(tbl_input[필요수량],tbl_input[집계키_청],D1441)))</f>
        <v/>
      </c>
      <c r="D1441" t="str">
        <f>IFERROR(INDEX(tbl_input[집계키_청],ROW()-1),"")</f>
        <v/>
      </c>
    </row>
    <row r="1442" spans="1:4" x14ac:dyDescent="0.4">
      <c r="A1442" t="str">
        <f t="shared" si="44"/>
        <v/>
      </c>
      <c r="B1442" t="str">
        <f t="shared" si="45"/>
        <v/>
      </c>
      <c r="C1442" t="str">
        <f>IF(D1442="","",IF(COUNTIF($D$2:D1442,D1442)&gt;1,"",SUMIFS(tbl_input[필요수량],tbl_input[집계키_청],D1442)))</f>
        <v/>
      </c>
      <c r="D1442" t="str">
        <f>IFERROR(INDEX(tbl_input[집계키_청],ROW()-1),"")</f>
        <v/>
      </c>
    </row>
    <row r="1443" spans="1:4" x14ac:dyDescent="0.4">
      <c r="A1443" t="str">
        <f t="shared" si="44"/>
        <v/>
      </c>
      <c r="B1443" t="str">
        <f t="shared" si="45"/>
        <v/>
      </c>
      <c r="C1443" t="str">
        <f>IF(D1443="","",IF(COUNTIF($D$2:D1443,D1443)&gt;1,"",SUMIFS(tbl_input[필요수량],tbl_input[집계키_청],D1443)))</f>
        <v/>
      </c>
      <c r="D1443" t="str">
        <f>IFERROR(INDEX(tbl_input[집계키_청],ROW()-1),"")</f>
        <v/>
      </c>
    </row>
    <row r="1444" spans="1:4" x14ac:dyDescent="0.4">
      <c r="A1444" t="str">
        <f t="shared" si="44"/>
        <v/>
      </c>
      <c r="B1444" t="str">
        <f t="shared" si="45"/>
        <v/>
      </c>
      <c r="C1444" t="str">
        <f>IF(D1444="","",IF(COUNTIF($D$2:D1444,D1444)&gt;1,"",SUMIFS(tbl_input[필요수량],tbl_input[집계키_청],D1444)))</f>
        <v/>
      </c>
      <c r="D1444" t="str">
        <f>IFERROR(INDEX(tbl_input[집계키_청],ROW()-1),"")</f>
        <v/>
      </c>
    </row>
    <row r="1445" spans="1:4" x14ac:dyDescent="0.4">
      <c r="A1445" t="str">
        <f t="shared" si="44"/>
        <v/>
      </c>
      <c r="B1445" t="str">
        <f t="shared" si="45"/>
        <v/>
      </c>
      <c r="C1445" t="str">
        <f>IF(D1445="","",IF(COUNTIF($D$2:D1445,D1445)&gt;1,"",SUMIFS(tbl_input[필요수량],tbl_input[집계키_청],D1445)))</f>
        <v/>
      </c>
      <c r="D1445" t="str">
        <f>IFERROR(INDEX(tbl_input[집계키_청],ROW()-1),"")</f>
        <v/>
      </c>
    </row>
    <row r="1446" spans="1:4" x14ac:dyDescent="0.4">
      <c r="A1446" t="str">
        <f t="shared" si="44"/>
        <v/>
      </c>
      <c r="B1446" t="str">
        <f t="shared" si="45"/>
        <v/>
      </c>
      <c r="C1446" t="str">
        <f>IF(D1446="","",IF(COUNTIF($D$2:D1446,D1446)&gt;1,"",SUMIFS(tbl_input[필요수량],tbl_input[집계키_청],D1446)))</f>
        <v/>
      </c>
      <c r="D1446" t="str">
        <f>IFERROR(INDEX(tbl_input[집계키_청],ROW()-1),"")</f>
        <v/>
      </c>
    </row>
    <row r="1447" spans="1:4" x14ac:dyDescent="0.4">
      <c r="A1447" t="str">
        <f t="shared" si="44"/>
        <v/>
      </c>
      <c r="B1447" t="str">
        <f t="shared" si="45"/>
        <v/>
      </c>
      <c r="C1447" t="str">
        <f>IF(D1447="","",IF(COUNTIF($D$2:D1447,D1447)&gt;1,"",SUMIFS(tbl_input[필요수량],tbl_input[집계키_청],D1447)))</f>
        <v/>
      </c>
      <c r="D1447" t="str">
        <f>IFERROR(INDEX(tbl_input[집계키_청],ROW()-1),"")</f>
        <v/>
      </c>
    </row>
    <row r="1448" spans="1:4" x14ac:dyDescent="0.4">
      <c r="A1448" t="str">
        <f t="shared" si="44"/>
        <v/>
      </c>
      <c r="B1448" t="str">
        <f t="shared" si="45"/>
        <v/>
      </c>
      <c r="C1448" t="str">
        <f>IF(D1448="","",IF(COUNTIF($D$2:D1448,D1448)&gt;1,"",SUMIFS(tbl_input[필요수량],tbl_input[집계키_청],D1448)))</f>
        <v/>
      </c>
      <c r="D1448" t="str">
        <f>IFERROR(INDEX(tbl_input[집계키_청],ROW()-1),"")</f>
        <v/>
      </c>
    </row>
    <row r="1449" spans="1:4" x14ac:dyDescent="0.4">
      <c r="A1449" t="str">
        <f t="shared" si="44"/>
        <v/>
      </c>
      <c r="B1449" t="str">
        <f t="shared" si="45"/>
        <v/>
      </c>
      <c r="C1449" t="str">
        <f>IF(D1449="","",IF(COUNTIF($D$2:D1449,D1449)&gt;1,"",SUMIFS(tbl_input[필요수량],tbl_input[집계키_청],D1449)))</f>
        <v/>
      </c>
      <c r="D1449" t="str">
        <f>IFERROR(INDEX(tbl_input[집계키_청],ROW()-1),"")</f>
        <v/>
      </c>
    </row>
    <row r="1450" spans="1:4" x14ac:dyDescent="0.4">
      <c r="A1450" t="str">
        <f t="shared" si="44"/>
        <v/>
      </c>
      <c r="B1450" t="str">
        <f t="shared" si="45"/>
        <v/>
      </c>
      <c r="C1450" t="str">
        <f>IF(D1450="","",IF(COUNTIF($D$2:D1450,D1450)&gt;1,"",SUMIFS(tbl_input[필요수량],tbl_input[집계키_청],D1450)))</f>
        <v/>
      </c>
      <c r="D1450" t="str">
        <f>IFERROR(INDEX(tbl_input[집계키_청],ROW()-1),"")</f>
        <v/>
      </c>
    </row>
    <row r="1451" spans="1:4" x14ac:dyDescent="0.4">
      <c r="A1451" t="str">
        <f t="shared" si="44"/>
        <v/>
      </c>
      <c r="B1451" t="str">
        <f t="shared" si="45"/>
        <v/>
      </c>
      <c r="C1451" t="str">
        <f>IF(D1451="","",IF(COUNTIF($D$2:D1451,D1451)&gt;1,"",SUMIFS(tbl_input[필요수량],tbl_input[집계키_청],D1451)))</f>
        <v/>
      </c>
      <c r="D1451" t="str">
        <f>IFERROR(INDEX(tbl_input[집계키_청],ROW()-1),"")</f>
        <v/>
      </c>
    </row>
    <row r="1452" spans="1:4" x14ac:dyDescent="0.4">
      <c r="A1452" t="str">
        <f t="shared" si="44"/>
        <v/>
      </c>
      <c r="B1452" t="str">
        <f t="shared" si="45"/>
        <v/>
      </c>
      <c r="C1452" t="str">
        <f>IF(D1452="","",IF(COUNTIF($D$2:D1452,D1452)&gt;1,"",SUMIFS(tbl_input[필요수량],tbl_input[집계키_청],D1452)))</f>
        <v/>
      </c>
      <c r="D1452" t="str">
        <f>IFERROR(INDEX(tbl_input[집계키_청],ROW()-1),"")</f>
        <v/>
      </c>
    </row>
    <row r="1453" spans="1:4" x14ac:dyDescent="0.4">
      <c r="A1453" t="str">
        <f t="shared" si="44"/>
        <v/>
      </c>
      <c r="B1453" t="str">
        <f t="shared" si="45"/>
        <v/>
      </c>
      <c r="C1453" t="str">
        <f>IF(D1453="","",IF(COUNTIF($D$2:D1453,D1453)&gt;1,"",SUMIFS(tbl_input[필요수량],tbl_input[집계키_청],D1453)))</f>
        <v/>
      </c>
      <c r="D1453" t="str">
        <f>IFERROR(INDEX(tbl_input[집계키_청],ROW()-1),"")</f>
        <v/>
      </c>
    </row>
    <row r="1454" spans="1:4" x14ac:dyDescent="0.4">
      <c r="A1454" t="str">
        <f t="shared" si="44"/>
        <v/>
      </c>
      <c r="B1454" t="str">
        <f t="shared" si="45"/>
        <v/>
      </c>
      <c r="C1454" t="str">
        <f>IF(D1454="","",IF(COUNTIF($D$2:D1454,D1454)&gt;1,"",SUMIFS(tbl_input[필요수량],tbl_input[집계키_청],D1454)))</f>
        <v/>
      </c>
      <c r="D1454" t="str">
        <f>IFERROR(INDEX(tbl_input[집계키_청],ROW()-1),"")</f>
        <v/>
      </c>
    </row>
    <row r="1455" spans="1:4" x14ac:dyDescent="0.4">
      <c r="A1455" t="str">
        <f t="shared" si="44"/>
        <v/>
      </c>
      <c r="B1455" t="str">
        <f t="shared" si="45"/>
        <v/>
      </c>
      <c r="C1455" t="str">
        <f>IF(D1455="","",IF(COUNTIF($D$2:D1455,D1455)&gt;1,"",SUMIFS(tbl_input[필요수량],tbl_input[집계키_청],D1455)))</f>
        <v/>
      </c>
      <c r="D1455" t="str">
        <f>IFERROR(INDEX(tbl_input[집계키_청],ROW()-1),"")</f>
        <v/>
      </c>
    </row>
    <row r="1456" spans="1:4" x14ac:dyDescent="0.4">
      <c r="A1456" t="str">
        <f t="shared" si="44"/>
        <v/>
      </c>
      <c r="B1456" t="str">
        <f t="shared" si="45"/>
        <v/>
      </c>
      <c r="C1456" t="str">
        <f>IF(D1456="","",IF(COUNTIF($D$2:D1456,D1456)&gt;1,"",SUMIFS(tbl_input[필요수량],tbl_input[집계키_청],D1456)))</f>
        <v/>
      </c>
      <c r="D1456" t="str">
        <f>IFERROR(INDEX(tbl_input[집계키_청],ROW()-1),"")</f>
        <v/>
      </c>
    </row>
    <row r="1457" spans="1:4" x14ac:dyDescent="0.4">
      <c r="A1457" t="str">
        <f t="shared" si="44"/>
        <v/>
      </c>
      <c r="B1457" t="str">
        <f t="shared" si="45"/>
        <v/>
      </c>
      <c r="C1457" t="str">
        <f>IF(D1457="","",IF(COUNTIF($D$2:D1457,D1457)&gt;1,"",SUMIFS(tbl_input[필요수량],tbl_input[집계키_청],D1457)))</f>
        <v/>
      </c>
      <c r="D1457" t="str">
        <f>IFERROR(INDEX(tbl_input[집계키_청],ROW()-1),"")</f>
        <v/>
      </c>
    </row>
    <row r="1458" spans="1:4" x14ac:dyDescent="0.4">
      <c r="A1458" t="str">
        <f t="shared" si="44"/>
        <v/>
      </c>
      <c r="B1458" t="str">
        <f t="shared" si="45"/>
        <v/>
      </c>
      <c r="C1458" t="str">
        <f>IF(D1458="","",IF(COUNTIF($D$2:D1458,D1458)&gt;1,"",SUMIFS(tbl_input[필요수량],tbl_input[집계키_청],D1458)))</f>
        <v/>
      </c>
      <c r="D1458" t="str">
        <f>IFERROR(INDEX(tbl_input[집계키_청],ROW()-1),"")</f>
        <v/>
      </c>
    </row>
    <row r="1459" spans="1:4" x14ac:dyDescent="0.4">
      <c r="A1459" t="str">
        <f t="shared" si="44"/>
        <v/>
      </c>
      <c r="B1459" t="str">
        <f t="shared" si="45"/>
        <v/>
      </c>
      <c r="C1459" t="str">
        <f>IF(D1459="","",IF(COUNTIF($D$2:D1459,D1459)&gt;1,"",SUMIFS(tbl_input[필요수량],tbl_input[집계키_청],D1459)))</f>
        <v/>
      </c>
      <c r="D1459" t="str">
        <f>IFERROR(INDEX(tbl_input[집계키_청],ROW()-1),"")</f>
        <v/>
      </c>
    </row>
    <row r="1460" spans="1:4" x14ac:dyDescent="0.4">
      <c r="A1460" t="str">
        <f t="shared" si="44"/>
        <v/>
      </c>
      <c r="B1460" t="str">
        <f t="shared" si="45"/>
        <v/>
      </c>
      <c r="C1460" t="str">
        <f>IF(D1460="","",IF(COUNTIF($D$2:D1460,D1460)&gt;1,"",SUMIFS(tbl_input[필요수량],tbl_input[집계키_청],D1460)))</f>
        <v/>
      </c>
      <c r="D1460" t="str">
        <f>IFERROR(INDEX(tbl_input[집계키_청],ROW()-1),"")</f>
        <v/>
      </c>
    </row>
    <row r="1461" spans="1:4" x14ac:dyDescent="0.4">
      <c r="A1461" t="str">
        <f t="shared" si="44"/>
        <v/>
      </c>
      <c r="B1461" t="str">
        <f t="shared" si="45"/>
        <v/>
      </c>
      <c r="C1461" t="str">
        <f>IF(D1461="","",IF(COUNTIF($D$2:D1461,D1461)&gt;1,"",SUMIFS(tbl_input[필요수량],tbl_input[집계키_청],D1461)))</f>
        <v/>
      </c>
      <c r="D1461" t="str">
        <f>IFERROR(INDEX(tbl_input[집계키_청],ROW()-1),"")</f>
        <v/>
      </c>
    </row>
    <row r="1462" spans="1:4" x14ac:dyDescent="0.4">
      <c r="A1462" t="str">
        <f t="shared" si="44"/>
        <v/>
      </c>
      <c r="B1462" t="str">
        <f t="shared" si="45"/>
        <v/>
      </c>
      <c r="C1462" t="str">
        <f>IF(D1462="","",IF(COUNTIF($D$2:D1462,D1462)&gt;1,"",SUMIFS(tbl_input[필요수량],tbl_input[집계키_청],D1462)))</f>
        <v/>
      </c>
      <c r="D1462" t="str">
        <f>IFERROR(INDEX(tbl_input[집계키_청],ROW()-1),"")</f>
        <v/>
      </c>
    </row>
    <row r="1463" spans="1:4" x14ac:dyDescent="0.4">
      <c r="A1463" t="str">
        <f t="shared" si="44"/>
        <v/>
      </c>
      <c r="B1463" t="str">
        <f t="shared" si="45"/>
        <v/>
      </c>
      <c r="C1463" t="str">
        <f>IF(D1463="","",IF(COUNTIF($D$2:D1463,D1463)&gt;1,"",SUMIFS(tbl_input[필요수량],tbl_input[집계키_청],D1463)))</f>
        <v/>
      </c>
      <c r="D1463" t="str">
        <f>IFERROR(INDEX(tbl_input[집계키_청],ROW()-1),"")</f>
        <v/>
      </c>
    </row>
    <row r="1464" spans="1:4" x14ac:dyDescent="0.4">
      <c r="A1464" t="str">
        <f t="shared" si="44"/>
        <v/>
      </c>
      <c r="B1464" t="str">
        <f t="shared" si="45"/>
        <v/>
      </c>
      <c r="C1464" t="str">
        <f>IF(D1464="","",IF(COUNTIF($D$2:D1464,D1464)&gt;1,"",SUMIFS(tbl_input[필요수량],tbl_input[집계키_청],D1464)))</f>
        <v/>
      </c>
      <c r="D1464" t="str">
        <f>IFERROR(INDEX(tbl_input[집계키_청],ROW()-1),"")</f>
        <v/>
      </c>
    </row>
    <row r="1465" spans="1:4" x14ac:dyDescent="0.4">
      <c r="A1465" t="str">
        <f t="shared" si="44"/>
        <v/>
      </c>
      <c r="B1465" t="str">
        <f t="shared" si="45"/>
        <v/>
      </c>
      <c r="C1465" t="str">
        <f>IF(D1465="","",IF(COUNTIF($D$2:D1465,D1465)&gt;1,"",SUMIFS(tbl_input[필요수량],tbl_input[집계키_청],D1465)))</f>
        <v/>
      </c>
      <c r="D1465" t="str">
        <f>IFERROR(INDEX(tbl_input[집계키_청],ROW()-1),"")</f>
        <v/>
      </c>
    </row>
    <row r="1466" spans="1:4" x14ac:dyDescent="0.4">
      <c r="A1466" t="str">
        <f t="shared" si="44"/>
        <v/>
      </c>
      <c r="B1466" t="str">
        <f t="shared" si="45"/>
        <v/>
      </c>
      <c r="C1466" t="str">
        <f>IF(D1466="","",IF(COUNTIF($D$2:D1466,D1466)&gt;1,"",SUMIFS(tbl_input[필요수량],tbl_input[집계키_청],D1466)))</f>
        <v/>
      </c>
      <c r="D1466" t="str">
        <f>IFERROR(INDEX(tbl_input[집계키_청],ROW()-1),"")</f>
        <v/>
      </c>
    </row>
    <row r="1467" spans="1:4" x14ac:dyDescent="0.4">
      <c r="A1467" t="str">
        <f t="shared" si="44"/>
        <v/>
      </c>
      <c r="B1467" t="str">
        <f t="shared" si="45"/>
        <v/>
      </c>
      <c r="C1467" t="str">
        <f>IF(D1467="","",IF(COUNTIF($D$2:D1467,D1467)&gt;1,"",SUMIFS(tbl_input[필요수량],tbl_input[집계키_청],D1467)))</f>
        <v/>
      </c>
      <c r="D1467" t="str">
        <f>IFERROR(INDEX(tbl_input[집계키_청],ROW()-1),"")</f>
        <v/>
      </c>
    </row>
    <row r="1468" spans="1:4" x14ac:dyDescent="0.4">
      <c r="A1468" t="str">
        <f t="shared" si="44"/>
        <v/>
      </c>
      <c r="B1468" t="str">
        <f t="shared" si="45"/>
        <v/>
      </c>
      <c r="C1468" t="str">
        <f>IF(D1468="","",IF(COUNTIF($D$2:D1468,D1468)&gt;1,"",SUMIFS(tbl_input[필요수량],tbl_input[집계키_청],D1468)))</f>
        <v/>
      </c>
      <c r="D1468" t="str">
        <f>IFERROR(INDEX(tbl_input[집계키_청],ROW()-1),"")</f>
        <v/>
      </c>
    </row>
    <row r="1469" spans="1:4" x14ac:dyDescent="0.4">
      <c r="A1469" t="str">
        <f t="shared" si="44"/>
        <v/>
      </c>
      <c r="B1469" t="str">
        <f t="shared" si="45"/>
        <v/>
      </c>
      <c r="C1469" t="str">
        <f>IF(D1469="","",IF(COUNTIF($D$2:D1469,D1469)&gt;1,"",SUMIFS(tbl_input[필요수량],tbl_input[집계키_청],D1469)))</f>
        <v/>
      </c>
      <c r="D1469" t="str">
        <f>IFERROR(INDEX(tbl_input[집계키_청],ROW()-1),"")</f>
        <v/>
      </c>
    </row>
    <row r="1470" spans="1:4" x14ac:dyDescent="0.4">
      <c r="A1470" t="str">
        <f t="shared" si="44"/>
        <v/>
      </c>
      <c r="B1470" t="str">
        <f t="shared" si="45"/>
        <v/>
      </c>
      <c r="C1470" t="str">
        <f>IF(D1470="","",IF(COUNTIF($D$2:D1470,D1470)&gt;1,"",SUMIFS(tbl_input[필요수량],tbl_input[집계키_청],D1470)))</f>
        <v/>
      </c>
      <c r="D1470" t="str">
        <f>IFERROR(INDEX(tbl_input[집계키_청],ROW()-1),"")</f>
        <v/>
      </c>
    </row>
    <row r="1471" spans="1:4" x14ac:dyDescent="0.4">
      <c r="A1471" t="str">
        <f t="shared" si="44"/>
        <v/>
      </c>
      <c r="B1471" t="str">
        <f t="shared" si="45"/>
        <v/>
      </c>
      <c r="C1471" t="str">
        <f>IF(D1471="","",IF(COUNTIF($D$2:D1471,D1471)&gt;1,"",SUMIFS(tbl_input[필요수량],tbl_input[집계키_청],D1471)))</f>
        <v/>
      </c>
      <c r="D1471" t="str">
        <f>IFERROR(INDEX(tbl_input[집계키_청],ROW()-1),"")</f>
        <v/>
      </c>
    </row>
    <row r="1472" spans="1:4" x14ac:dyDescent="0.4">
      <c r="A1472" t="str">
        <f t="shared" si="44"/>
        <v/>
      </c>
      <c r="B1472" t="str">
        <f t="shared" si="45"/>
        <v/>
      </c>
      <c r="C1472" t="str">
        <f>IF(D1472="","",IF(COUNTIF($D$2:D1472,D1472)&gt;1,"",SUMIFS(tbl_input[필요수량],tbl_input[집계키_청],D1472)))</f>
        <v/>
      </c>
      <c r="D1472" t="str">
        <f>IFERROR(INDEX(tbl_input[집계키_청],ROW()-1),"")</f>
        <v/>
      </c>
    </row>
    <row r="1473" spans="1:4" x14ac:dyDescent="0.4">
      <c r="A1473" t="str">
        <f t="shared" si="44"/>
        <v/>
      </c>
      <c r="B1473" t="str">
        <f t="shared" si="45"/>
        <v/>
      </c>
      <c r="C1473" t="str">
        <f>IF(D1473="","",IF(COUNTIF($D$2:D1473,D1473)&gt;1,"",SUMIFS(tbl_input[필요수량],tbl_input[집계키_청],D1473)))</f>
        <v/>
      </c>
      <c r="D1473" t="str">
        <f>IFERROR(INDEX(tbl_input[집계키_청],ROW()-1),"")</f>
        <v/>
      </c>
    </row>
    <row r="1474" spans="1:4" x14ac:dyDescent="0.4">
      <c r="A1474" t="str">
        <f t="shared" ref="A1474:A1537" si="46">IF(D1474="","",LEFT(D1474,FIND("♦",D1474)-1))</f>
        <v/>
      </c>
      <c r="B1474" t="str">
        <f t="shared" ref="B1474:B1537" si="47">IF(D1474="","",MID(D1474,FIND("♦",D1474)+1,999))</f>
        <v/>
      </c>
      <c r="C1474" t="str">
        <f>IF(D1474="","",IF(COUNTIF($D$2:D1474,D1474)&gt;1,"",SUMIFS(tbl_input[필요수량],tbl_input[집계키_청],D1474)))</f>
        <v/>
      </c>
      <c r="D1474" t="str">
        <f>IFERROR(INDEX(tbl_input[집계키_청],ROW()-1),"")</f>
        <v/>
      </c>
    </row>
    <row r="1475" spans="1:4" x14ac:dyDescent="0.4">
      <c r="A1475" t="str">
        <f t="shared" si="46"/>
        <v/>
      </c>
      <c r="B1475" t="str">
        <f t="shared" si="47"/>
        <v/>
      </c>
      <c r="C1475" t="str">
        <f>IF(D1475="","",IF(COUNTIF($D$2:D1475,D1475)&gt;1,"",SUMIFS(tbl_input[필요수량],tbl_input[집계키_청],D1475)))</f>
        <v/>
      </c>
      <c r="D1475" t="str">
        <f>IFERROR(INDEX(tbl_input[집계키_청],ROW()-1),"")</f>
        <v/>
      </c>
    </row>
    <row r="1476" spans="1:4" x14ac:dyDescent="0.4">
      <c r="A1476" t="str">
        <f t="shared" si="46"/>
        <v/>
      </c>
      <c r="B1476" t="str">
        <f t="shared" si="47"/>
        <v/>
      </c>
      <c r="C1476" t="str">
        <f>IF(D1476="","",IF(COUNTIF($D$2:D1476,D1476)&gt;1,"",SUMIFS(tbl_input[필요수량],tbl_input[집계키_청],D1476)))</f>
        <v/>
      </c>
      <c r="D1476" t="str">
        <f>IFERROR(INDEX(tbl_input[집계키_청],ROW()-1),"")</f>
        <v/>
      </c>
    </row>
    <row r="1477" spans="1:4" x14ac:dyDescent="0.4">
      <c r="A1477" t="str">
        <f t="shared" si="46"/>
        <v/>
      </c>
      <c r="B1477" t="str">
        <f t="shared" si="47"/>
        <v/>
      </c>
      <c r="C1477" t="str">
        <f>IF(D1477="","",IF(COUNTIF($D$2:D1477,D1477)&gt;1,"",SUMIFS(tbl_input[필요수량],tbl_input[집계키_청],D1477)))</f>
        <v/>
      </c>
      <c r="D1477" t="str">
        <f>IFERROR(INDEX(tbl_input[집계키_청],ROW()-1),"")</f>
        <v/>
      </c>
    </row>
    <row r="1478" spans="1:4" x14ac:dyDescent="0.4">
      <c r="A1478" t="str">
        <f t="shared" si="46"/>
        <v/>
      </c>
      <c r="B1478" t="str">
        <f t="shared" si="47"/>
        <v/>
      </c>
      <c r="C1478" t="str">
        <f>IF(D1478="","",IF(COUNTIF($D$2:D1478,D1478)&gt;1,"",SUMIFS(tbl_input[필요수량],tbl_input[집계키_청],D1478)))</f>
        <v/>
      </c>
      <c r="D1478" t="str">
        <f>IFERROR(INDEX(tbl_input[집계키_청],ROW()-1),"")</f>
        <v/>
      </c>
    </row>
    <row r="1479" spans="1:4" x14ac:dyDescent="0.4">
      <c r="A1479" t="str">
        <f t="shared" si="46"/>
        <v/>
      </c>
      <c r="B1479" t="str">
        <f t="shared" si="47"/>
        <v/>
      </c>
      <c r="C1479" t="str">
        <f>IF(D1479="","",IF(COUNTIF($D$2:D1479,D1479)&gt;1,"",SUMIFS(tbl_input[필요수량],tbl_input[집계키_청],D1479)))</f>
        <v/>
      </c>
      <c r="D1479" t="str">
        <f>IFERROR(INDEX(tbl_input[집계키_청],ROW()-1),"")</f>
        <v/>
      </c>
    </row>
    <row r="1480" spans="1:4" x14ac:dyDescent="0.4">
      <c r="A1480" t="str">
        <f t="shared" si="46"/>
        <v/>
      </c>
      <c r="B1480" t="str">
        <f t="shared" si="47"/>
        <v/>
      </c>
      <c r="C1480" t="str">
        <f>IF(D1480="","",IF(COUNTIF($D$2:D1480,D1480)&gt;1,"",SUMIFS(tbl_input[필요수량],tbl_input[집계키_청],D1480)))</f>
        <v/>
      </c>
      <c r="D1480" t="str">
        <f>IFERROR(INDEX(tbl_input[집계키_청],ROW()-1),"")</f>
        <v/>
      </c>
    </row>
    <row r="1481" spans="1:4" x14ac:dyDescent="0.4">
      <c r="A1481" t="str">
        <f t="shared" si="46"/>
        <v/>
      </c>
      <c r="B1481" t="str">
        <f t="shared" si="47"/>
        <v/>
      </c>
      <c r="C1481" t="str">
        <f>IF(D1481="","",IF(COUNTIF($D$2:D1481,D1481)&gt;1,"",SUMIFS(tbl_input[필요수량],tbl_input[집계키_청],D1481)))</f>
        <v/>
      </c>
      <c r="D1481" t="str">
        <f>IFERROR(INDEX(tbl_input[집계키_청],ROW()-1),"")</f>
        <v/>
      </c>
    </row>
    <row r="1482" spans="1:4" x14ac:dyDescent="0.4">
      <c r="A1482" t="str">
        <f t="shared" si="46"/>
        <v/>
      </c>
      <c r="B1482" t="str">
        <f t="shared" si="47"/>
        <v/>
      </c>
      <c r="C1482" t="str">
        <f>IF(D1482="","",IF(COUNTIF($D$2:D1482,D1482)&gt;1,"",SUMIFS(tbl_input[필요수량],tbl_input[집계키_청],D1482)))</f>
        <v/>
      </c>
      <c r="D1482" t="str">
        <f>IFERROR(INDEX(tbl_input[집계키_청],ROW()-1),"")</f>
        <v/>
      </c>
    </row>
    <row r="1483" spans="1:4" x14ac:dyDescent="0.4">
      <c r="A1483" t="str">
        <f t="shared" si="46"/>
        <v/>
      </c>
      <c r="B1483" t="str">
        <f t="shared" si="47"/>
        <v/>
      </c>
      <c r="C1483" t="str">
        <f>IF(D1483="","",IF(COUNTIF($D$2:D1483,D1483)&gt;1,"",SUMIFS(tbl_input[필요수량],tbl_input[집계키_청],D1483)))</f>
        <v/>
      </c>
      <c r="D1483" t="str">
        <f>IFERROR(INDEX(tbl_input[집계키_청],ROW()-1),"")</f>
        <v/>
      </c>
    </row>
    <row r="1484" spans="1:4" x14ac:dyDescent="0.4">
      <c r="A1484" t="str">
        <f t="shared" si="46"/>
        <v/>
      </c>
      <c r="B1484" t="str">
        <f t="shared" si="47"/>
        <v/>
      </c>
      <c r="C1484" t="str">
        <f>IF(D1484="","",IF(COUNTIF($D$2:D1484,D1484)&gt;1,"",SUMIFS(tbl_input[필요수량],tbl_input[집계키_청],D1484)))</f>
        <v/>
      </c>
      <c r="D1484" t="str">
        <f>IFERROR(INDEX(tbl_input[집계키_청],ROW()-1),"")</f>
        <v/>
      </c>
    </row>
    <row r="1485" spans="1:4" x14ac:dyDescent="0.4">
      <c r="A1485" t="str">
        <f t="shared" si="46"/>
        <v/>
      </c>
      <c r="B1485" t="str">
        <f t="shared" si="47"/>
        <v/>
      </c>
      <c r="C1485" t="str">
        <f>IF(D1485="","",IF(COUNTIF($D$2:D1485,D1485)&gt;1,"",SUMIFS(tbl_input[필요수량],tbl_input[집계키_청],D1485)))</f>
        <v/>
      </c>
      <c r="D1485" t="str">
        <f>IFERROR(INDEX(tbl_input[집계키_청],ROW()-1),"")</f>
        <v/>
      </c>
    </row>
    <row r="1486" spans="1:4" x14ac:dyDescent="0.4">
      <c r="A1486" t="str">
        <f t="shared" si="46"/>
        <v/>
      </c>
      <c r="B1486" t="str">
        <f t="shared" si="47"/>
        <v/>
      </c>
      <c r="C1486" t="str">
        <f>IF(D1486="","",IF(COUNTIF($D$2:D1486,D1486)&gt;1,"",SUMIFS(tbl_input[필요수량],tbl_input[집계키_청],D1486)))</f>
        <v/>
      </c>
      <c r="D1486" t="str">
        <f>IFERROR(INDEX(tbl_input[집계키_청],ROW()-1),"")</f>
        <v/>
      </c>
    </row>
    <row r="1487" spans="1:4" x14ac:dyDescent="0.4">
      <c r="A1487" t="str">
        <f t="shared" si="46"/>
        <v/>
      </c>
      <c r="B1487" t="str">
        <f t="shared" si="47"/>
        <v/>
      </c>
      <c r="C1487" t="str">
        <f>IF(D1487="","",IF(COUNTIF($D$2:D1487,D1487)&gt;1,"",SUMIFS(tbl_input[필요수량],tbl_input[집계키_청],D1487)))</f>
        <v/>
      </c>
      <c r="D1487" t="str">
        <f>IFERROR(INDEX(tbl_input[집계키_청],ROW()-1),"")</f>
        <v/>
      </c>
    </row>
    <row r="1488" spans="1:4" x14ac:dyDescent="0.4">
      <c r="A1488" t="str">
        <f t="shared" si="46"/>
        <v/>
      </c>
      <c r="B1488" t="str">
        <f t="shared" si="47"/>
        <v/>
      </c>
      <c r="C1488" t="str">
        <f>IF(D1488="","",IF(COUNTIF($D$2:D1488,D1488)&gt;1,"",SUMIFS(tbl_input[필요수량],tbl_input[집계키_청],D1488)))</f>
        <v/>
      </c>
      <c r="D1488" t="str">
        <f>IFERROR(INDEX(tbl_input[집계키_청],ROW()-1),"")</f>
        <v/>
      </c>
    </row>
    <row r="1489" spans="1:4" x14ac:dyDescent="0.4">
      <c r="A1489" t="str">
        <f t="shared" si="46"/>
        <v/>
      </c>
      <c r="B1489" t="str">
        <f t="shared" si="47"/>
        <v/>
      </c>
      <c r="C1489" t="str">
        <f>IF(D1489="","",IF(COUNTIF($D$2:D1489,D1489)&gt;1,"",SUMIFS(tbl_input[필요수량],tbl_input[집계키_청],D1489)))</f>
        <v/>
      </c>
      <c r="D1489" t="str">
        <f>IFERROR(INDEX(tbl_input[집계키_청],ROW()-1),"")</f>
        <v/>
      </c>
    </row>
    <row r="1490" spans="1:4" x14ac:dyDescent="0.4">
      <c r="A1490" t="str">
        <f t="shared" si="46"/>
        <v/>
      </c>
      <c r="B1490" t="str">
        <f t="shared" si="47"/>
        <v/>
      </c>
      <c r="C1490" t="str">
        <f>IF(D1490="","",IF(COUNTIF($D$2:D1490,D1490)&gt;1,"",SUMIFS(tbl_input[필요수량],tbl_input[집계키_청],D1490)))</f>
        <v/>
      </c>
      <c r="D1490" t="str">
        <f>IFERROR(INDEX(tbl_input[집계키_청],ROW()-1),"")</f>
        <v/>
      </c>
    </row>
    <row r="1491" spans="1:4" x14ac:dyDescent="0.4">
      <c r="A1491" t="str">
        <f t="shared" si="46"/>
        <v/>
      </c>
      <c r="B1491" t="str">
        <f t="shared" si="47"/>
        <v/>
      </c>
      <c r="C1491" t="str">
        <f>IF(D1491="","",IF(COUNTIF($D$2:D1491,D1491)&gt;1,"",SUMIFS(tbl_input[필요수량],tbl_input[집계키_청],D1491)))</f>
        <v/>
      </c>
      <c r="D1491" t="str">
        <f>IFERROR(INDEX(tbl_input[집계키_청],ROW()-1),"")</f>
        <v/>
      </c>
    </row>
    <row r="1492" spans="1:4" x14ac:dyDescent="0.4">
      <c r="A1492" t="str">
        <f t="shared" si="46"/>
        <v/>
      </c>
      <c r="B1492" t="str">
        <f t="shared" si="47"/>
        <v/>
      </c>
      <c r="C1492" t="str">
        <f>IF(D1492="","",IF(COUNTIF($D$2:D1492,D1492)&gt;1,"",SUMIFS(tbl_input[필요수량],tbl_input[집계키_청],D1492)))</f>
        <v/>
      </c>
      <c r="D1492" t="str">
        <f>IFERROR(INDEX(tbl_input[집계키_청],ROW()-1),"")</f>
        <v/>
      </c>
    </row>
    <row r="1493" spans="1:4" x14ac:dyDescent="0.4">
      <c r="A1493" t="str">
        <f t="shared" si="46"/>
        <v/>
      </c>
      <c r="B1493" t="str">
        <f t="shared" si="47"/>
        <v/>
      </c>
      <c r="C1493" t="str">
        <f>IF(D1493="","",IF(COUNTIF($D$2:D1493,D1493)&gt;1,"",SUMIFS(tbl_input[필요수량],tbl_input[집계키_청],D1493)))</f>
        <v/>
      </c>
      <c r="D1493" t="str">
        <f>IFERROR(INDEX(tbl_input[집계키_청],ROW()-1),"")</f>
        <v/>
      </c>
    </row>
    <row r="1494" spans="1:4" x14ac:dyDescent="0.4">
      <c r="A1494" t="str">
        <f t="shared" si="46"/>
        <v/>
      </c>
      <c r="B1494" t="str">
        <f t="shared" si="47"/>
        <v/>
      </c>
      <c r="C1494" t="str">
        <f>IF(D1494="","",IF(COUNTIF($D$2:D1494,D1494)&gt;1,"",SUMIFS(tbl_input[필요수량],tbl_input[집계키_청],D1494)))</f>
        <v/>
      </c>
      <c r="D1494" t="str">
        <f>IFERROR(INDEX(tbl_input[집계키_청],ROW()-1),"")</f>
        <v/>
      </c>
    </row>
    <row r="1495" spans="1:4" x14ac:dyDescent="0.4">
      <c r="A1495" t="str">
        <f t="shared" si="46"/>
        <v/>
      </c>
      <c r="B1495" t="str">
        <f t="shared" si="47"/>
        <v/>
      </c>
      <c r="C1495" t="str">
        <f>IF(D1495="","",IF(COUNTIF($D$2:D1495,D1495)&gt;1,"",SUMIFS(tbl_input[필요수량],tbl_input[집계키_청],D1495)))</f>
        <v/>
      </c>
      <c r="D1495" t="str">
        <f>IFERROR(INDEX(tbl_input[집계키_청],ROW()-1),"")</f>
        <v/>
      </c>
    </row>
    <row r="1496" spans="1:4" x14ac:dyDescent="0.4">
      <c r="A1496" t="str">
        <f t="shared" si="46"/>
        <v/>
      </c>
      <c r="B1496" t="str">
        <f t="shared" si="47"/>
        <v/>
      </c>
      <c r="C1496" t="str">
        <f>IF(D1496="","",IF(COUNTIF($D$2:D1496,D1496)&gt;1,"",SUMIFS(tbl_input[필요수량],tbl_input[집계키_청],D1496)))</f>
        <v/>
      </c>
      <c r="D1496" t="str">
        <f>IFERROR(INDEX(tbl_input[집계키_청],ROW()-1),"")</f>
        <v/>
      </c>
    </row>
    <row r="1497" spans="1:4" x14ac:dyDescent="0.4">
      <c r="A1497" t="str">
        <f t="shared" si="46"/>
        <v/>
      </c>
      <c r="B1497" t="str">
        <f t="shared" si="47"/>
        <v/>
      </c>
      <c r="C1497" t="str">
        <f>IF(D1497="","",IF(COUNTIF($D$2:D1497,D1497)&gt;1,"",SUMIFS(tbl_input[필요수량],tbl_input[집계키_청],D1497)))</f>
        <v/>
      </c>
      <c r="D1497" t="str">
        <f>IFERROR(INDEX(tbl_input[집계키_청],ROW()-1),"")</f>
        <v/>
      </c>
    </row>
    <row r="1498" spans="1:4" x14ac:dyDescent="0.4">
      <c r="A1498" t="str">
        <f t="shared" si="46"/>
        <v/>
      </c>
      <c r="B1498" t="str">
        <f t="shared" si="47"/>
        <v/>
      </c>
      <c r="C1498" t="str">
        <f>IF(D1498="","",IF(COUNTIF($D$2:D1498,D1498)&gt;1,"",SUMIFS(tbl_input[필요수량],tbl_input[집계키_청],D1498)))</f>
        <v/>
      </c>
      <c r="D1498" t="str">
        <f>IFERROR(INDEX(tbl_input[집계키_청],ROW()-1),"")</f>
        <v/>
      </c>
    </row>
    <row r="1499" spans="1:4" x14ac:dyDescent="0.4">
      <c r="A1499" t="str">
        <f t="shared" si="46"/>
        <v/>
      </c>
      <c r="B1499" t="str">
        <f t="shared" si="47"/>
        <v/>
      </c>
      <c r="C1499" t="str">
        <f>IF(D1499="","",IF(COUNTIF($D$2:D1499,D1499)&gt;1,"",SUMIFS(tbl_input[필요수량],tbl_input[집계키_청],D1499)))</f>
        <v/>
      </c>
      <c r="D1499" t="str">
        <f>IFERROR(INDEX(tbl_input[집계키_청],ROW()-1),"")</f>
        <v/>
      </c>
    </row>
    <row r="1500" spans="1:4" x14ac:dyDescent="0.4">
      <c r="A1500" t="str">
        <f t="shared" si="46"/>
        <v/>
      </c>
      <c r="B1500" t="str">
        <f t="shared" si="47"/>
        <v/>
      </c>
      <c r="C1500" t="str">
        <f>IF(D1500="","",IF(COUNTIF($D$2:D1500,D1500)&gt;1,"",SUMIFS(tbl_input[필요수량],tbl_input[집계키_청],D1500)))</f>
        <v/>
      </c>
      <c r="D1500" t="str">
        <f>IFERROR(INDEX(tbl_input[집계키_청],ROW()-1),"")</f>
        <v/>
      </c>
    </row>
    <row r="1501" spans="1:4" x14ac:dyDescent="0.4">
      <c r="A1501" t="str">
        <f t="shared" si="46"/>
        <v/>
      </c>
      <c r="B1501" t="str">
        <f t="shared" si="47"/>
        <v/>
      </c>
      <c r="C1501" t="str">
        <f>IF(D1501="","",IF(COUNTIF($D$2:D1501,D1501)&gt;1,"",SUMIFS(tbl_input[필요수량],tbl_input[집계키_청],D1501)))</f>
        <v/>
      </c>
      <c r="D1501" t="str">
        <f>IFERROR(INDEX(tbl_input[집계키_청],ROW()-1),"")</f>
        <v/>
      </c>
    </row>
    <row r="1502" spans="1:4" x14ac:dyDescent="0.4">
      <c r="A1502" t="str">
        <f t="shared" si="46"/>
        <v/>
      </c>
      <c r="B1502" t="str">
        <f t="shared" si="47"/>
        <v/>
      </c>
      <c r="C1502" t="str">
        <f>IF(D1502="","",IF(COUNTIF($D$2:D1502,D1502)&gt;1,"",SUMIFS(tbl_input[필요수량],tbl_input[집계키_청],D1502)))</f>
        <v/>
      </c>
      <c r="D1502" t="str">
        <f>IFERROR(INDEX(tbl_input[집계키_청],ROW()-1),"")</f>
        <v/>
      </c>
    </row>
    <row r="1503" spans="1:4" x14ac:dyDescent="0.4">
      <c r="A1503" t="str">
        <f t="shared" si="46"/>
        <v/>
      </c>
      <c r="B1503" t="str">
        <f t="shared" si="47"/>
        <v/>
      </c>
      <c r="C1503" t="str">
        <f>IF(D1503="","",IF(COUNTIF($D$2:D1503,D1503)&gt;1,"",SUMIFS(tbl_input[필요수량],tbl_input[집계키_청],D1503)))</f>
        <v/>
      </c>
      <c r="D1503" t="str">
        <f>IFERROR(INDEX(tbl_input[집계키_청],ROW()-1),"")</f>
        <v/>
      </c>
    </row>
    <row r="1504" spans="1:4" x14ac:dyDescent="0.4">
      <c r="A1504" t="str">
        <f t="shared" si="46"/>
        <v/>
      </c>
      <c r="B1504" t="str">
        <f t="shared" si="47"/>
        <v/>
      </c>
      <c r="C1504" t="str">
        <f>IF(D1504="","",IF(COUNTIF($D$2:D1504,D1504)&gt;1,"",SUMIFS(tbl_input[필요수량],tbl_input[집계키_청],D1504)))</f>
        <v/>
      </c>
      <c r="D1504" t="str">
        <f>IFERROR(INDEX(tbl_input[집계키_청],ROW()-1),"")</f>
        <v/>
      </c>
    </row>
    <row r="1505" spans="1:4" x14ac:dyDescent="0.4">
      <c r="A1505" t="str">
        <f t="shared" si="46"/>
        <v/>
      </c>
      <c r="B1505" t="str">
        <f t="shared" si="47"/>
        <v/>
      </c>
      <c r="C1505" t="str">
        <f>IF(D1505="","",IF(COUNTIF($D$2:D1505,D1505)&gt;1,"",SUMIFS(tbl_input[필요수량],tbl_input[집계키_청],D1505)))</f>
        <v/>
      </c>
      <c r="D1505" t="str">
        <f>IFERROR(INDEX(tbl_input[집계키_청],ROW()-1),"")</f>
        <v/>
      </c>
    </row>
    <row r="1506" spans="1:4" x14ac:dyDescent="0.4">
      <c r="A1506" t="str">
        <f t="shared" si="46"/>
        <v/>
      </c>
      <c r="B1506" t="str">
        <f t="shared" si="47"/>
        <v/>
      </c>
      <c r="C1506" t="str">
        <f>IF(D1506="","",IF(COUNTIF($D$2:D1506,D1506)&gt;1,"",SUMIFS(tbl_input[필요수량],tbl_input[집계키_청],D1506)))</f>
        <v/>
      </c>
      <c r="D1506" t="str">
        <f>IFERROR(INDEX(tbl_input[집계키_청],ROW()-1),"")</f>
        <v/>
      </c>
    </row>
    <row r="1507" spans="1:4" x14ac:dyDescent="0.4">
      <c r="A1507" t="str">
        <f t="shared" si="46"/>
        <v/>
      </c>
      <c r="B1507" t="str">
        <f t="shared" si="47"/>
        <v/>
      </c>
      <c r="C1507" t="str">
        <f>IF(D1507="","",IF(COUNTIF($D$2:D1507,D1507)&gt;1,"",SUMIFS(tbl_input[필요수량],tbl_input[집계키_청],D1507)))</f>
        <v/>
      </c>
      <c r="D1507" t="str">
        <f>IFERROR(INDEX(tbl_input[집계키_청],ROW()-1),"")</f>
        <v/>
      </c>
    </row>
    <row r="1508" spans="1:4" x14ac:dyDescent="0.4">
      <c r="A1508" t="str">
        <f t="shared" si="46"/>
        <v/>
      </c>
      <c r="B1508" t="str">
        <f t="shared" si="47"/>
        <v/>
      </c>
      <c r="C1508" t="str">
        <f>IF(D1508="","",IF(COUNTIF($D$2:D1508,D1508)&gt;1,"",SUMIFS(tbl_input[필요수량],tbl_input[집계키_청],D1508)))</f>
        <v/>
      </c>
      <c r="D1508" t="str">
        <f>IFERROR(INDEX(tbl_input[집계키_청],ROW()-1),"")</f>
        <v/>
      </c>
    </row>
    <row r="1509" spans="1:4" x14ac:dyDescent="0.4">
      <c r="A1509" t="str">
        <f t="shared" si="46"/>
        <v/>
      </c>
      <c r="B1509" t="str">
        <f t="shared" si="47"/>
        <v/>
      </c>
      <c r="C1509" t="str">
        <f>IF(D1509="","",IF(COUNTIF($D$2:D1509,D1509)&gt;1,"",SUMIFS(tbl_input[필요수량],tbl_input[집계키_청],D1509)))</f>
        <v/>
      </c>
      <c r="D1509" t="str">
        <f>IFERROR(INDEX(tbl_input[집계키_청],ROW()-1),"")</f>
        <v/>
      </c>
    </row>
    <row r="1510" spans="1:4" x14ac:dyDescent="0.4">
      <c r="A1510" t="str">
        <f t="shared" si="46"/>
        <v/>
      </c>
      <c r="B1510" t="str">
        <f t="shared" si="47"/>
        <v/>
      </c>
      <c r="C1510" t="str">
        <f>IF(D1510="","",IF(COUNTIF($D$2:D1510,D1510)&gt;1,"",SUMIFS(tbl_input[필요수량],tbl_input[집계키_청],D1510)))</f>
        <v/>
      </c>
      <c r="D1510" t="str">
        <f>IFERROR(INDEX(tbl_input[집계키_청],ROW()-1),"")</f>
        <v/>
      </c>
    </row>
    <row r="1511" spans="1:4" x14ac:dyDescent="0.4">
      <c r="A1511" t="str">
        <f t="shared" si="46"/>
        <v/>
      </c>
      <c r="B1511" t="str">
        <f t="shared" si="47"/>
        <v/>
      </c>
      <c r="C1511" t="str">
        <f>IF(D1511="","",IF(COUNTIF($D$2:D1511,D1511)&gt;1,"",SUMIFS(tbl_input[필요수량],tbl_input[집계키_청],D1511)))</f>
        <v/>
      </c>
      <c r="D1511" t="str">
        <f>IFERROR(INDEX(tbl_input[집계키_청],ROW()-1),"")</f>
        <v/>
      </c>
    </row>
    <row r="1512" spans="1:4" x14ac:dyDescent="0.4">
      <c r="A1512" t="str">
        <f t="shared" si="46"/>
        <v/>
      </c>
      <c r="B1512" t="str">
        <f t="shared" si="47"/>
        <v/>
      </c>
      <c r="C1512" t="str">
        <f>IF(D1512="","",IF(COUNTIF($D$2:D1512,D1512)&gt;1,"",SUMIFS(tbl_input[필요수량],tbl_input[집계키_청],D1512)))</f>
        <v/>
      </c>
      <c r="D1512" t="str">
        <f>IFERROR(INDEX(tbl_input[집계키_청],ROW()-1),"")</f>
        <v/>
      </c>
    </row>
    <row r="1513" spans="1:4" x14ac:dyDescent="0.4">
      <c r="A1513" t="str">
        <f t="shared" si="46"/>
        <v/>
      </c>
      <c r="B1513" t="str">
        <f t="shared" si="47"/>
        <v/>
      </c>
      <c r="C1513" t="str">
        <f>IF(D1513="","",IF(COUNTIF($D$2:D1513,D1513)&gt;1,"",SUMIFS(tbl_input[필요수량],tbl_input[집계키_청],D1513)))</f>
        <v/>
      </c>
      <c r="D1513" t="str">
        <f>IFERROR(INDEX(tbl_input[집계키_청],ROW()-1),"")</f>
        <v/>
      </c>
    </row>
    <row r="1514" spans="1:4" x14ac:dyDescent="0.4">
      <c r="A1514" t="str">
        <f t="shared" si="46"/>
        <v/>
      </c>
      <c r="B1514" t="str">
        <f t="shared" si="47"/>
        <v/>
      </c>
      <c r="C1514" t="str">
        <f>IF(D1514="","",IF(COUNTIF($D$2:D1514,D1514)&gt;1,"",SUMIFS(tbl_input[필요수량],tbl_input[집계키_청],D1514)))</f>
        <v/>
      </c>
      <c r="D1514" t="str">
        <f>IFERROR(INDEX(tbl_input[집계키_청],ROW()-1),"")</f>
        <v/>
      </c>
    </row>
    <row r="1515" spans="1:4" x14ac:dyDescent="0.4">
      <c r="A1515" t="str">
        <f t="shared" si="46"/>
        <v/>
      </c>
      <c r="B1515" t="str">
        <f t="shared" si="47"/>
        <v/>
      </c>
      <c r="C1515" t="str">
        <f>IF(D1515="","",IF(COUNTIF($D$2:D1515,D1515)&gt;1,"",SUMIFS(tbl_input[필요수량],tbl_input[집계키_청],D1515)))</f>
        <v/>
      </c>
      <c r="D1515" t="str">
        <f>IFERROR(INDEX(tbl_input[집계키_청],ROW()-1),"")</f>
        <v/>
      </c>
    </row>
    <row r="1516" spans="1:4" x14ac:dyDescent="0.4">
      <c r="A1516" t="str">
        <f t="shared" si="46"/>
        <v/>
      </c>
      <c r="B1516" t="str">
        <f t="shared" si="47"/>
        <v/>
      </c>
      <c r="C1516" t="str">
        <f>IF(D1516="","",IF(COUNTIF($D$2:D1516,D1516)&gt;1,"",SUMIFS(tbl_input[필요수량],tbl_input[집계키_청],D1516)))</f>
        <v/>
      </c>
      <c r="D1516" t="str">
        <f>IFERROR(INDEX(tbl_input[집계키_청],ROW()-1),"")</f>
        <v/>
      </c>
    </row>
    <row r="1517" spans="1:4" x14ac:dyDescent="0.4">
      <c r="A1517" t="str">
        <f t="shared" si="46"/>
        <v/>
      </c>
      <c r="B1517" t="str">
        <f t="shared" si="47"/>
        <v/>
      </c>
      <c r="C1517" t="str">
        <f>IF(D1517="","",IF(COUNTIF($D$2:D1517,D1517)&gt;1,"",SUMIFS(tbl_input[필요수량],tbl_input[집계키_청],D1517)))</f>
        <v/>
      </c>
      <c r="D1517" t="str">
        <f>IFERROR(INDEX(tbl_input[집계키_청],ROW()-1),"")</f>
        <v/>
      </c>
    </row>
    <row r="1518" spans="1:4" x14ac:dyDescent="0.4">
      <c r="A1518" t="str">
        <f t="shared" si="46"/>
        <v/>
      </c>
      <c r="B1518" t="str">
        <f t="shared" si="47"/>
        <v/>
      </c>
      <c r="C1518" t="str">
        <f>IF(D1518="","",IF(COUNTIF($D$2:D1518,D1518)&gt;1,"",SUMIFS(tbl_input[필요수량],tbl_input[집계키_청],D1518)))</f>
        <v/>
      </c>
      <c r="D1518" t="str">
        <f>IFERROR(INDEX(tbl_input[집계키_청],ROW()-1),"")</f>
        <v/>
      </c>
    </row>
    <row r="1519" spans="1:4" x14ac:dyDescent="0.4">
      <c r="A1519" t="str">
        <f t="shared" si="46"/>
        <v/>
      </c>
      <c r="B1519" t="str">
        <f t="shared" si="47"/>
        <v/>
      </c>
      <c r="C1519" t="str">
        <f>IF(D1519="","",IF(COUNTIF($D$2:D1519,D1519)&gt;1,"",SUMIFS(tbl_input[필요수량],tbl_input[집계키_청],D1519)))</f>
        <v/>
      </c>
      <c r="D1519" t="str">
        <f>IFERROR(INDEX(tbl_input[집계키_청],ROW()-1),"")</f>
        <v/>
      </c>
    </row>
    <row r="1520" spans="1:4" x14ac:dyDescent="0.4">
      <c r="A1520" t="str">
        <f t="shared" si="46"/>
        <v/>
      </c>
      <c r="B1520" t="str">
        <f t="shared" si="47"/>
        <v/>
      </c>
      <c r="C1520" t="str">
        <f>IF(D1520="","",IF(COUNTIF($D$2:D1520,D1520)&gt;1,"",SUMIFS(tbl_input[필요수량],tbl_input[집계키_청],D1520)))</f>
        <v/>
      </c>
      <c r="D1520" t="str">
        <f>IFERROR(INDEX(tbl_input[집계키_청],ROW()-1),"")</f>
        <v/>
      </c>
    </row>
    <row r="1521" spans="1:4" x14ac:dyDescent="0.4">
      <c r="A1521" t="str">
        <f t="shared" si="46"/>
        <v/>
      </c>
      <c r="B1521" t="str">
        <f t="shared" si="47"/>
        <v/>
      </c>
      <c r="C1521" t="str">
        <f>IF(D1521="","",IF(COUNTIF($D$2:D1521,D1521)&gt;1,"",SUMIFS(tbl_input[필요수량],tbl_input[집계키_청],D1521)))</f>
        <v/>
      </c>
      <c r="D1521" t="str">
        <f>IFERROR(INDEX(tbl_input[집계키_청],ROW()-1),"")</f>
        <v/>
      </c>
    </row>
    <row r="1522" spans="1:4" x14ac:dyDescent="0.4">
      <c r="A1522" t="str">
        <f t="shared" si="46"/>
        <v/>
      </c>
      <c r="B1522" t="str">
        <f t="shared" si="47"/>
        <v/>
      </c>
      <c r="C1522" t="str">
        <f>IF(D1522="","",IF(COUNTIF($D$2:D1522,D1522)&gt;1,"",SUMIFS(tbl_input[필요수량],tbl_input[집계키_청],D1522)))</f>
        <v/>
      </c>
      <c r="D1522" t="str">
        <f>IFERROR(INDEX(tbl_input[집계키_청],ROW()-1),"")</f>
        <v/>
      </c>
    </row>
    <row r="1523" spans="1:4" x14ac:dyDescent="0.4">
      <c r="A1523" t="str">
        <f t="shared" si="46"/>
        <v/>
      </c>
      <c r="B1523" t="str">
        <f t="shared" si="47"/>
        <v/>
      </c>
      <c r="C1523" t="str">
        <f>IF(D1523="","",IF(COUNTIF($D$2:D1523,D1523)&gt;1,"",SUMIFS(tbl_input[필요수량],tbl_input[집계키_청],D1523)))</f>
        <v/>
      </c>
      <c r="D1523" t="str">
        <f>IFERROR(INDEX(tbl_input[집계키_청],ROW()-1),"")</f>
        <v/>
      </c>
    </row>
    <row r="1524" spans="1:4" x14ac:dyDescent="0.4">
      <c r="A1524" t="str">
        <f t="shared" si="46"/>
        <v/>
      </c>
      <c r="B1524" t="str">
        <f t="shared" si="47"/>
        <v/>
      </c>
      <c r="C1524" t="str">
        <f>IF(D1524="","",IF(COUNTIF($D$2:D1524,D1524)&gt;1,"",SUMIFS(tbl_input[필요수량],tbl_input[집계키_청],D1524)))</f>
        <v/>
      </c>
      <c r="D1524" t="str">
        <f>IFERROR(INDEX(tbl_input[집계키_청],ROW()-1),"")</f>
        <v/>
      </c>
    </row>
    <row r="1525" spans="1:4" x14ac:dyDescent="0.4">
      <c r="A1525" t="str">
        <f t="shared" si="46"/>
        <v/>
      </c>
      <c r="B1525" t="str">
        <f t="shared" si="47"/>
        <v/>
      </c>
      <c r="C1525" t="str">
        <f>IF(D1525="","",IF(COUNTIF($D$2:D1525,D1525)&gt;1,"",SUMIFS(tbl_input[필요수량],tbl_input[집계키_청],D1525)))</f>
        <v/>
      </c>
      <c r="D1525" t="str">
        <f>IFERROR(INDEX(tbl_input[집계키_청],ROW()-1),"")</f>
        <v/>
      </c>
    </row>
    <row r="1526" spans="1:4" x14ac:dyDescent="0.4">
      <c r="A1526" t="str">
        <f t="shared" si="46"/>
        <v/>
      </c>
      <c r="B1526" t="str">
        <f t="shared" si="47"/>
        <v/>
      </c>
      <c r="C1526" t="str">
        <f>IF(D1526="","",IF(COUNTIF($D$2:D1526,D1526)&gt;1,"",SUMIFS(tbl_input[필요수량],tbl_input[집계키_청],D1526)))</f>
        <v/>
      </c>
      <c r="D1526" t="str">
        <f>IFERROR(INDEX(tbl_input[집계키_청],ROW()-1),"")</f>
        <v/>
      </c>
    </row>
    <row r="1527" spans="1:4" x14ac:dyDescent="0.4">
      <c r="A1527" t="str">
        <f t="shared" si="46"/>
        <v/>
      </c>
      <c r="B1527" t="str">
        <f t="shared" si="47"/>
        <v/>
      </c>
      <c r="C1527" t="str">
        <f>IF(D1527="","",IF(COUNTIF($D$2:D1527,D1527)&gt;1,"",SUMIFS(tbl_input[필요수량],tbl_input[집계키_청],D1527)))</f>
        <v/>
      </c>
      <c r="D1527" t="str">
        <f>IFERROR(INDEX(tbl_input[집계키_청],ROW()-1),"")</f>
        <v/>
      </c>
    </row>
    <row r="1528" spans="1:4" x14ac:dyDescent="0.4">
      <c r="A1528" t="str">
        <f t="shared" si="46"/>
        <v/>
      </c>
      <c r="B1528" t="str">
        <f t="shared" si="47"/>
        <v/>
      </c>
      <c r="C1528" t="str">
        <f>IF(D1528="","",IF(COUNTIF($D$2:D1528,D1528)&gt;1,"",SUMIFS(tbl_input[필요수량],tbl_input[집계키_청],D1528)))</f>
        <v/>
      </c>
      <c r="D1528" t="str">
        <f>IFERROR(INDEX(tbl_input[집계키_청],ROW()-1),"")</f>
        <v/>
      </c>
    </row>
    <row r="1529" spans="1:4" x14ac:dyDescent="0.4">
      <c r="A1529" t="str">
        <f t="shared" si="46"/>
        <v/>
      </c>
      <c r="B1529" t="str">
        <f t="shared" si="47"/>
        <v/>
      </c>
      <c r="C1529" t="str">
        <f>IF(D1529="","",IF(COUNTIF($D$2:D1529,D1529)&gt;1,"",SUMIFS(tbl_input[필요수량],tbl_input[집계키_청],D1529)))</f>
        <v/>
      </c>
      <c r="D1529" t="str">
        <f>IFERROR(INDEX(tbl_input[집계키_청],ROW()-1),"")</f>
        <v/>
      </c>
    </row>
    <row r="1530" spans="1:4" x14ac:dyDescent="0.4">
      <c r="A1530" t="str">
        <f t="shared" si="46"/>
        <v/>
      </c>
      <c r="B1530" t="str">
        <f t="shared" si="47"/>
        <v/>
      </c>
      <c r="C1530" t="str">
        <f>IF(D1530="","",IF(COUNTIF($D$2:D1530,D1530)&gt;1,"",SUMIFS(tbl_input[필요수량],tbl_input[집계키_청],D1530)))</f>
        <v/>
      </c>
      <c r="D1530" t="str">
        <f>IFERROR(INDEX(tbl_input[집계키_청],ROW()-1),"")</f>
        <v/>
      </c>
    </row>
    <row r="1531" spans="1:4" x14ac:dyDescent="0.4">
      <c r="A1531" t="str">
        <f t="shared" si="46"/>
        <v/>
      </c>
      <c r="B1531" t="str">
        <f t="shared" si="47"/>
        <v/>
      </c>
      <c r="C1531" t="str">
        <f>IF(D1531="","",IF(COUNTIF($D$2:D1531,D1531)&gt;1,"",SUMIFS(tbl_input[필요수량],tbl_input[집계키_청],D1531)))</f>
        <v/>
      </c>
      <c r="D1531" t="str">
        <f>IFERROR(INDEX(tbl_input[집계키_청],ROW()-1),"")</f>
        <v/>
      </c>
    </row>
    <row r="1532" spans="1:4" x14ac:dyDescent="0.4">
      <c r="A1532" t="str">
        <f t="shared" si="46"/>
        <v/>
      </c>
      <c r="B1532" t="str">
        <f t="shared" si="47"/>
        <v/>
      </c>
      <c r="C1532" t="str">
        <f>IF(D1532="","",IF(COUNTIF($D$2:D1532,D1532)&gt;1,"",SUMIFS(tbl_input[필요수량],tbl_input[집계키_청],D1532)))</f>
        <v/>
      </c>
      <c r="D1532" t="str">
        <f>IFERROR(INDEX(tbl_input[집계키_청],ROW()-1),"")</f>
        <v/>
      </c>
    </row>
    <row r="1533" spans="1:4" x14ac:dyDescent="0.4">
      <c r="A1533" t="str">
        <f t="shared" si="46"/>
        <v/>
      </c>
      <c r="B1533" t="str">
        <f t="shared" si="47"/>
        <v/>
      </c>
      <c r="C1533" t="str">
        <f>IF(D1533="","",IF(COUNTIF($D$2:D1533,D1533)&gt;1,"",SUMIFS(tbl_input[필요수량],tbl_input[집계키_청],D1533)))</f>
        <v/>
      </c>
      <c r="D1533" t="str">
        <f>IFERROR(INDEX(tbl_input[집계키_청],ROW()-1),"")</f>
        <v/>
      </c>
    </row>
    <row r="1534" spans="1:4" x14ac:dyDescent="0.4">
      <c r="A1534" t="str">
        <f t="shared" si="46"/>
        <v/>
      </c>
      <c r="B1534" t="str">
        <f t="shared" si="47"/>
        <v/>
      </c>
      <c r="C1534" t="str">
        <f>IF(D1534="","",IF(COUNTIF($D$2:D1534,D1534)&gt;1,"",SUMIFS(tbl_input[필요수량],tbl_input[집계키_청],D1534)))</f>
        <v/>
      </c>
      <c r="D1534" t="str">
        <f>IFERROR(INDEX(tbl_input[집계키_청],ROW()-1),"")</f>
        <v/>
      </c>
    </row>
    <row r="1535" spans="1:4" x14ac:dyDescent="0.4">
      <c r="A1535" t="str">
        <f t="shared" si="46"/>
        <v/>
      </c>
      <c r="B1535" t="str">
        <f t="shared" si="47"/>
        <v/>
      </c>
      <c r="C1535" t="str">
        <f>IF(D1535="","",IF(COUNTIF($D$2:D1535,D1535)&gt;1,"",SUMIFS(tbl_input[필요수량],tbl_input[집계키_청],D1535)))</f>
        <v/>
      </c>
      <c r="D1535" t="str">
        <f>IFERROR(INDEX(tbl_input[집계키_청],ROW()-1),"")</f>
        <v/>
      </c>
    </row>
    <row r="1536" spans="1:4" x14ac:dyDescent="0.4">
      <c r="A1536" t="str">
        <f t="shared" si="46"/>
        <v/>
      </c>
      <c r="B1536" t="str">
        <f t="shared" si="47"/>
        <v/>
      </c>
      <c r="C1536" t="str">
        <f>IF(D1536="","",IF(COUNTIF($D$2:D1536,D1536)&gt;1,"",SUMIFS(tbl_input[필요수량],tbl_input[집계키_청],D1536)))</f>
        <v/>
      </c>
      <c r="D1536" t="str">
        <f>IFERROR(INDEX(tbl_input[집계키_청],ROW()-1),"")</f>
        <v/>
      </c>
    </row>
    <row r="1537" spans="1:4" x14ac:dyDescent="0.4">
      <c r="A1537" t="str">
        <f t="shared" si="46"/>
        <v/>
      </c>
      <c r="B1537" t="str">
        <f t="shared" si="47"/>
        <v/>
      </c>
      <c r="C1537" t="str">
        <f>IF(D1537="","",IF(COUNTIF($D$2:D1537,D1537)&gt;1,"",SUMIFS(tbl_input[필요수량],tbl_input[집계키_청],D1537)))</f>
        <v/>
      </c>
      <c r="D1537" t="str">
        <f>IFERROR(INDEX(tbl_input[집계키_청],ROW()-1),"")</f>
        <v/>
      </c>
    </row>
    <row r="1538" spans="1:4" x14ac:dyDescent="0.4">
      <c r="A1538" t="str">
        <f t="shared" ref="A1538:A1601" si="48">IF(D1538="","",LEFT(D1538,FIND("♦",D1538)-1))</f>
        <v/>
      </c>
      <c r="B1538" t="str">
        <f t="shared" ref="B1538:B1601" si="49">IF(D1538="","",MID(D1538,FIND("♦",D1538)+1,999))</f>
        <v/>
      </c>
      <c r="C1538" t="str">
        <f>IF(D1538="","",IF(COUNTIF($D$2:D1538,D1538)&gt;1,"",SUMIFS(tbl_input[필요수량],tbl_input[집계키_청],D1538)))</f>
        <v/>
      </c>
      <c r="D1538" t="str">
        <f>IFERROR(INDEX(tbl_input[집계키_청],ROW()-1),"")</f>
        <v/>
      </c>
    </row>
    <row r="1539" spans="1:4" x14ac:dyDescent="0.4">
      <c r="A1539" t="str">
        <f t="shared" si="48"/>
        <v/>
      </c>
      <c r="B1539" t="str">
        <f t="shared" si="49"/>
        <v/>
      </c>
      <c r="C1539" t="str">
        <f>IF(D1539="","",IF(COUNTIF($D$2:D1539,D1539)&gt;1,"",SUMIFS(tbl_input[필요수량],tbl_input[집계키_청],D1539)))</f>
        <v/>
      </c>
      <c r="D1539" t="str">
        <f>IFERROR(INDEX(tbl_input[집계키_청],ROW()-1),"")</f>
        <v/>
      </c>
    </row>
    <row r="1540" spans="1:4" x14ac:dyDescent="0.4">
      <c r="A1540" t="str">
        <f t="shared" si="48"/>
        <v/>
      </c>
      <c r="B1540" t="str">
        <f t="shared" si="49"/>
        <v/>
      </c>
      <c r="C1540" t="str">
        <f>IF(D1540="","",IF(COUNTIF($D$2:D1540,D1540)&gt;1,"",SUMIFS(tbl_input[필요수량],tbl_input[집계키_청],D1540)))</f>
        <v/>
      </c>
      <c r="D1540" t="str">
        <f>IFERROR(INDEX(tbl_input[집계키_청],ROW()-1),"")</f>
        <v/>
      </c>
    </row>
    <row r="1541" spans="1:4" x14ac:dyDescent="0.4">
      <c r="A1541" t="str">
        <f t="shared" si="48"/>
        <v/>
      </c>
      <c r="B1541" t="str">
        <f t="shared" si="49"/>
        <v/>
      </c>
      <c r="C1541" t="str">
        <f>IF(D1541="","",IF(COUNTIF($D$2:D1541,D1541)&gt;1,"",SUMIFS(tbl_input[필요수량],tbl_input[집계키_청],D1541)))</f>
        <v/>
      </c>
      <c r="D1541" t="str">
        <f>IFERROR(INDEX(tbl_input[집계키_청],ROW()-1),"")</f>
        <v/>
      </c>
    </row>
    <row r="1542" spans="1:4" x14ac:dyDescent="0.4">
      <c r="A1542" t="str">
        <f t="shared" si="48"/>
        <v/>
      </c>
      <c r="B1542" t="str">
        <f t="shared" si="49"/>
        <v/>
      </c>
      <c r="C1542" t="str">
        <f>IF(D1542="","",IF(COUNTIF($D$2:D1542,D1542)&gt;1,"",SUMIFS(tbl_input[필요수량],tbl_input[집계키_청],D1542)))</f>
        <v/>
      </c>
      <c r="D1542" t="str">
        <f>IFERROR(INDEX(tbl_input[집계키_청],ROW()-1),"")</f>
        <v/>
      </c>
    </row>
    <row r="1543" spans="1:4" x14ac:dyDescent="0.4">
      <c r="A1543" t="str">
        <f t="shared" si="48"/>
        <v/>
      </c>
      <c r="B1543" t="str">
        <f t="shared" si="49"/>
        <v/>
      </c>
      <c r="C1543" t="str">
        <f>IF(D1543="","",IF(COUNTIF($D$2:D1543,D1543)&gt;1,"",SUMIFS(tbl_input[필요수량],tbl_input[집계키_청],D1543)))</f>
        <v/>
      </c>
      <c r="D1543" t="str">
        <f>IFERROR(INDEX(tbl_input[집계키_청],ROW()-1),"")</f>
        <v/>
      </c>
    </row>
    <row r="1544" spans="1:4" x14ac:dyDescent="0.4">
      <c r="A1544" t="str">
        <f t="shared" si="48"/>
        <v/>
      </c>
      <c r="B1544" t="str">
        <f t="shared" si="49"/>
        <v/>
      </c>
      <c r="C1544" t="str">
        <f>IF(D1544="","",IF(COUNTIF($D$2:D1544,D1544)&gt;1,"",SUMIFS(tbl_input[필요수량],tbl_input[집계키_청],D1544)))</f>
        <v/>
      </c>
      <c r="D1544" t="str">
        <f>IFERROR(INDEX(tbl_input[집계키_청],ROW()-1),"")</f>
        <v/>
      </c>
    </row>
    <row r="1545" spans="1:4" x14ac:dyDescent="0.4">
      <c r="A1545" t="str">
        <f t="shared" si="48"/>
        <v/>
      </c>
      <c r="B1545" t="str">
        <f t="shared" si="49"/>
        <v/>
      </c>
      <c r="C1545" t="str">
        <f>IF(D1545="","",IF(COUNTIF($D$2:D1545,D1545)&gt;1,"",SUMIFS(tbl_input[필요수량],tbl_input[집계키_청],D1545)))</f>
        <v/>
      </c>
      <c r="D1545" t="str">
        <f>IFERROR(INDEX(tbl_input[집계키_청],ROW()-1),"")</f>
        <v/>
      </c>
    </row>
    <row r="1546" spans="1:4" x14ac:dyDescent="0.4">
      <c r="A1546" t="str">
        <f t="shared" si="48"/>
        <v/>
      </c>
      <c r="B1546" t="str">
        <f t="shared" si="49"/>
        <v/>
      </c>
      <c r="C1546" t="str">
        <f>IF(D1546="","",IF(COUNTIF($D$2:D1546,D1546)&gt;1,"",SUMIFS(tbl_input[필요수량],tbl_input[집계키_청],D1546)))</f>
        <v/>
      </c>
      <c r="D1546" t="str">
        <f>IFERROR(INDEX(tbl_input[집계키_청],ROW()-1),"")</f>
        <v/>
      </c>
    </row>
    <row r="1547" spans="1:4" x14ac:dyDescent="0.4">
      <c r="A1547" t="str">
        <f t="shared" si="48"/>
        <v/>
      </c>
      <c r="B1547" t="str">
        <f t="shared" si="49"/>
        <v/>
      </c>
      <c r="C1547" t="str">
        <f>IF(D1547="","",IF(COUNTIF($D$2:D1547,D1547)&gt;1,"",SUMIFS(tbl_input[필요수량],tbl_input[집계키_청],D1547)))</f>
        <v/>
      </c>
      <c r="D1547" t="str">
        <f>IFERROR(INDEX(tbl_input[집계키_청],ROW()-1),"")</f>
        <v/>
      </c>
    </row>
    <row r="1548" spans="1:4" x14ac:dyDescent="0.4">
      <c r="A1548" t="str">
        <f t="shared" si="48"/>
        <v/>
      </c>
      <c r="B1548" t="str">
        <f t="shared" si="49"/>
        <v/>
      </c>
      <c r="C1548" t="str">
        <f>IF(D1548="","",IF(COUNTIF($D$2:D1548,D1548)&gt;1,"",SUMIFS(tbl_input[필요수량],tbl_input[집계키_청],D1548)))</f>
        <v/>
      </c>
      <c r="D1548" t="str">
        <f>IFERROR(INDEX(tbl_input[집계키_청],ROW()-1),"")</f>
        <v/>
      </c>
    </row>
    <row r="1549" spans="1:4" x14ac:dyDescent="0.4">
      <c r="A1549" t="str">
        <f t="shared" si="48"/>
        <v/>
      </c>
      <c r="B1549" t="str">
        <f t="shared" si="49"/>
        <v/>
      </c>
      <c r="C1549" t="str">
        <f>IF(D1549="","",IF(COUNTIF($D$2:D1549,D1549)&gt;1,"",SUMIFS(tbl_input[필요수량],tbl_input[집계키_청],D1549)))</f>
        <v/>
      </c>
      <c r="D1549" t="str">
        <f>IFERROR(INDEX(tbl_input[집계키_청],ROW()-1),"")</f>
        <v/>
      </c>
    </row>
    <row r="1550" spans="1:4" x14ac:dyDescent="0.4">
      <c r="A1550" t="str">
        <f t="shared" si="48"/>
        <v/>
      </c>
      <c r="B1550" t="str">
        <f t="shared" si="49"/>
        <v/>
      </c>
      <c r="C1550" t="str">
        <f>IF(D1550="","",IF(COUNTIF($D$2:D1550,D1550)&gt;1,"",SUMIFS(tbl_input[필요수량],tbl_input[집계키_청],D1550)))</f>
        <v/>
      </c>
      <c r="D1550" t="str">
        <f>IFERROR(INDEX(tbl_input[집계키_청],ROW()-1),"")</f>
        <v/>
      </c>
    </row>
    <row r="1551" spans="1:4" x14ac:dyDescent="0.4">
      <c r="A1551" t="str">
        <f t="shared" si="48"/>
        <v/>
      </c>
      <c r="B1551" t="str">
        <f t="shared" si="49"/>
        <v/>
      </c>
      <c r="C1551" t="str">
        <f>IF(D1551="","",IF(COUNTIF($D$2:D1551,D1551)&gt;1,"",SUMIFS(tbl_input[필요수량],tbl_input[집계키_청],D1551)))</f>
        <v/>
      </c>
      <c r="D1551" t="str">
        <f>IFERROR(INDEX(tbl_input[집계키_청],ROW()-1),"")</f>
        <v/>
      </c>
    </row>
    <row r="1552" spans="1:4" x14ac:dyDescent="0.4">
      <c r="A1552" t="str">
        <f t="shared" si="48"/>
        <v/>
      </c>
      <c r="B1552" t="str">
        <f t="shared" si="49"/>
        <v/>
      </c>
      <c r="C1552" t="str">
        <f>IF(D1552="","",IF(COUNTIF($D$2:D1552,D1552)&gt;1,"",SUMIFS(tbl_input[필요수량],tbl_input[집계키_청],D1552)))</f>
        <v/>
      </c>
      <c r="D1552" t="str">
        <f>IFERROR(INDEX(tbl_input[집계키_청],ROW()-1),"")</f>
        <v/>
      </c>
    </row>
    <row r="1553" spans="1:4" x14ac:dyDescent="0.4">
      <c r="A1553" t="str">
        <f t="shared" si="48"/>
        <v/>
      </c>
      <c r="B1553" t="str">
        <f t="shared" si="49"/>
        <v/>
      </c>
      <c r="C1553" t="str">
        <f>IF(D1553="","",IF(COUNTIF($D$2:D1553,D1553)&gt;1,"",SUMIFS(tbl_input[필요수량],tbl_input[집계키_청],D1553)))</f>
        <v/>
      </c>
      <c r="D1553" t="str">
        <f>IFERROR(INDEX(tbl_input[집계키_청],ROW()-1),"")</f>
        <v/>
      </c>
    </row>
    <row r="1554" spans="1:4" x14ac:dyDescent="0.4">
      <c r="A1554" t="str">
        <f t="shared" si="48"/>
        <v/>
      </c>
      <c r="B1554" t="str">
        <f t="shared" si="49"/>
        <v/>
      </c>
      <c r="C1554" t="str">
        <f>IF(D1554="","",IF(COUNTIF($D$2:D1554,D1554)&gt;1,"",SUMIFS(tbl_input[필요수량],tbl_input[집계키_청],D1554)))</f>
        <v/>
      </c>
      <c r="D1554" t="str">
        <f>IFERROR(INDEX(tbl_input[집계키_청],ROW()-1),"")</f>
        <v/>
      </c>
    </row>
    <row r="1555" spans="1:4" x14ac:dyDescent="0.4">
      <c r="A1555" t="str">
        <f t="shared" si="48"/>
        <v/>
      </c>
      <c r="B1555" t="str">
        <f t="shared" si="49"/>
        <v/>
      </c>
      <c r="C1555" t="str">
        <f>IF(D1555="","",IF(COUNTIF($D$2:D1555,D1555)&gt;1,"",SUMIFS(tbl_input[필요수량],tbl_input[집계키_청],D1555)))</f>
        <v/>
      </c>
      <c r="D1555" t="str">
        <f>IFERROR(INDEX(tbl_input[집계키_청],ROW()-1),"")</f>
        <v/>
      </c>
    </row>
    <row r="1556" spans="1:4" x14ac:dyDescent="0.4">
      <c r="A1556" t="str">
        <f t="shared" si="48"/>
        <v/>
      </c>
      <c r="B1556" t="str">
        <f t="shared" si="49"/>
        <v/>
      </c>
      <c r="C1556" t="str">
        <f>IF(D1556="","",IF(COUNTIF($D$2:D1556,D1556)&gt;1,"",SUMIFS(tbl_input[필요수량],tbl_input[집계키_청],D1556)))</f>
        <v/>
      </c>
      <c r="D1556" t="str">
        <f>IFERROR(INDEX(tbl_input[집계키_청],ROW()-1),"")</f>
        <v/>
      </c>
    </row>
    <row r="1557" spans="1:4" x14ac:dyDescent="0.4">
      <c r="A1557" t="str">
        <f t="shared" si="48"/>
        <v/>
      </c>
      <c r="B1557" t="str">
        <f t="shared" si="49"/>
        <v/>
      </c>
      <c r="C1557" t="str">
        <f>IF(D1557="","",IF(COUNTIF($D$2:D1557,D1557)&gt;1,"",SUMIFS(tbl_input[필요수량],tbl_input[집계키_청],D1557)))</f>
        <v/>
      </c>
      <c r="D1557" t="str">
        <f>IFERROR(INDEX(tbl_input[집계키_청],ROW()-1),"")</f>
        <v/>
      </c>
    </row>
    <row r="1558" spans="1:4" x14ac:dyDescent="0.4">
      <c r="A1558" t="str">
        <f t="shared" si="48"/>
        <v/>
      </c>
      <c r="B1558" t="str">
        <f t="shared" si="49"/>
        <v/>
      </c>
      <c r="C1558" t="str">
        <f>IF(D1558="","",IF(COUNTIF($D$2:D1558,D1558)&gt;1,"",SUMIFS(tbl_input[필요수량],tbl_input[집계키_청],D1558)))</f>
        <v/>
      </c>
      <c r="D1558" t="str">
        <f>IFERROR(INDEX(tbl_input[집계키_청],ROW()-1),"")</f>
        <v/>
      </c>
    </row>
    <row r="1559" spans="1:4" x14ac:dyDescent="0.4">
      <c r="A1559" t="str">
        <f t="shared" si="48"/>
        <v/>
      </c>
      <c r="B1559" t="str">
        <f t="shared" si="49"/>
        <v/>
      </c>
      <c r="C1559" t="str">
        <f>IF(D1559="","",IF(COUNTIF($D$2:D1559,D1559)&gt;1,"",SUMIFS(tbl_input[필요수량],tbl_input[집계키_청],D1559)))</f>
        <v/>
      </c>
      <c r="D1559" t="str">
        <f>IFERROR(INDEX(tbl_input[집계키_청],ROW()-1),"")</f>
        <v/>
      </c>
    </row>
    <row r="1560" spans="1:4" x14ac:dyDescent="0.4">
      <c r="A1560" t="str">
        <f t="shared" si="48"/>
        <v/>
      </c>
      <c r="B1560" t="str">
        <f t="shared" si="49"/>
        <v/>
      </c>
      <c r="C1560" t="str">
        <f>IF(D1560="","",IF(COUNTIF($D$2:D1560,D1560)&gt;1,"",SUMIFS(tbl_input[필요수량],tbl_input[집계키_청],D1560)))</f>
        <v/>
      </c>
      <c r="D1560" t="str">
        <f>IFERROR(INDEX(tbl_input[집계키_청],ROW()-1),"")</f>
        <v/>
      </c>
    </row>
    <row r="1561" spans="1:4" x14ac:dyDescent="0.4">
      <c r="A1561" t="str">
        <f t="shared" si="48"/>
        <v/>
      </c>
      <c r="B1561" t="str">
        <f t="shared" si="49"/>
        <v/>
      </c>
      <c r="C1561" t="str">
        <f>IF(D1561="","",IF(COUNTIF($D$2:D1561,D1561)&gt;1,"",SUMIFS(tbl_input[필요수량],tbl_input[집계키_청],D1561)))</f>
        <v/>
      </c>
      <c r="D1561" t="str">
        <f>IFERROR(INDEX(tbl_input[집계키_청],ROW()-1),"")</f>
        <v/>
      </c>
    </row>
    <row r="1562" spans="1:4" x14ac:dyDescent="0.4">
      <c r="A1562" t="str">
        <f t="shared" si="48"/>
        <v/>
      </c>
      <c r="B1562" t="str">
        <f t="shared" si="49"/>
        <v/>
      </c>
      <c r="C1562" t="str">
        <f>IF(D1562="","",IF(COUNTIF($D$2:D1562,D1562)&gt;1,"",SUMIFS(tbl_input[필요수량],tbl_input[집계키_청],D1562)))</f>
        <v/>
      </c>
      <c r="D1562" t="str">
        <f>IFERROR(INDEX(tbl_input[집계키_청],ROW()-1),"")</f>
        <v/>
      </c>
    </row>
    <row r="1563" spans="1:4" x14ac:dyDescent="0.4">
      <c r="A1563" t="str">
        <f t="shared" si="48"/>
        <v/>
      </c>
      <c r="B1563" t="str">
        <f t="shared" si="49"/>
        <v/>
      </c>
      <c r="C1563" t="str">
        <f>IF(D1563="","",IF(COUNTIF($D$2:D1563,D1563)&gt;1,"",SUMIFS(tbl_input[필요수량],tbl_input[집계키_청],D1563)))</f>
        <v/>
      </c>
      <c r="D1563" t="str">
        <f>IFERROR(INDEX(tbl_input[집계키_청],ROW()-1),"")</f>
        <v/>
      </c>
    </row>
    <row r="1564" spans="1:4" x14ac:dyDescent="0.4">
      <c r="A1564" t="str">
        <f t="shared" si="48"/>
        <v/>
      </c>
      <c r="B1564" t="str">
        <f t="shared" si="49"/>
        <v/>
      </c>
      <c r="C1564" t="str">
        <f>IF(D1564="","",IF(COUNTIF($D$2:D1564,D1564)&gt;1,"",SUMIFS(tbl_input[필요수량],tbl_input[집계키_청],D1564)))</f>
        <v/>
      </c>
      <c r="D1564" t="str">
        <f>IFERROR(INDEX(tbl_input[집계키_청],ROW()-1),"")</f>
        <v/>
      </c>
    </row>
    <row r="1565" spans="1:4" x14ac:dyDescent="0.4">
      <c r="A1565" t="str">
        <f t="shared" si="48"/>
        <v/>
      </c>
      <c r="B1565" t="str">
        <f t="shared" si="49"/>
        <v/>
      </c>
      <c r="C1565" t="str">
        <f>IF(D1565="","",IF(COUNTIF($D$2:D1565,D1565)&gt;1,"",SUMIFS(tbl_input[필요수량],tbl_input[집계키_청],D1565)))</f>
        <v/>
      </c>
      <c r="D1565" t="str">
        <f>IFERROR(INDEX(tbl_input[집계키_청],ROW()-1),"")</f>
        <v/>
      </c>
    </row>
    <row r="1566" spans="1:4" x14ac:dyDescent="0.4">
      <c r="A1566" t="str">
        <f t="shared" si="48"/>
        <v/>
      </c>
      <c r="B1566" t="str">
        <f t="shared" si="49"/>
        <v/>
      </c>
      <c r="C1566" t="str">
        <f>IF(D1566="","",IF(COUNTIF($D$2:D1566,D1566)&gt;1,"",SUMIFS(tbl_input[필요수량],tbl_input[집계키_청],D1566)))</f>
        <v/>
      </c>
      <c r="D1566" t="str">
        <f>IFERROR(INDEX(tbl_input[집계키_청],ROW()-1),"")</f>
        <v/>
      </c>
    </row>
    <row r="1567" spans="1:4" x14ac:dyDescent="0.4">
      <c r="A1567" t="str">
        <f t="shared" si="48"/>
        <v/>
      </c>
      <c r="B1567" t="str">
        <f t="shared" si="49"/>
        <v/>
      </c>
      <c r="C1567" t="str">
        <f>IF(D1567="","",IF(COUNTIF($D$2:D1567,D1567)&gt;1,"",SUMIFS(tbl_input[필요수량],tbl_input[집계키_청],D1567)))</f>
        <v/>
      </c>
      <c r="D1567" t="str">
        <f>IFERROR(INDEX(tbl_input[집계키_청],ROW()-1),"")</f>
        <v/>
      </c>
    </row>
    <row r="1568" spans="1:4" x14ac:dyDescent="0.4">
      <c r="A1568" t="str">
        <f t="shared" si="48"/>
        <v/>
      </c>
      <c r="B1568" t="str">
        <f t="shared" si="49"/>
        <v/>
      </c>
      <c r="C1568" t="str">
        <f>IF(D1568="","",IF(COUNTIF($D$2:D1568,D1568)&gt;1,"",SUMIFS(tbl_input[필요수량],tbl_input[집계키_청],D1568)))</f>
        <v/>
      </c>
      <c r="D1568" t="str">
        <f>IFERROR(INDEX(tbl_input[집계키_청],ROW()-1),"")</f>
        <v/>
      </c>
    </row>
    <row r="1569" spans="1:4" x14ac:dyDescent="0.4">
      <c r="A1569" t="str">
        <f t="shared" si="48"/>
        <v/>
      </c>
      <c r="B1569" t="str">
        <f t="shared" si="49"/>
        <v/>
      </c>
      <c r="C1569" t="str">
        <f>IF(D1569="","",IF(COUNTIF($D$2:D1569,D1569)&gt;1,"",SUMIFS(tbl_input[필요수량],tbl_input[집계키_청],D1569)))</f>
        <v/>
      </c>
      <c r="D1569" t="str">
        <f>IFERROR(INDEX(tbl_input[집계키_청],ROW()-1),"")</f>
        <v/>
      </c>
    </row>
    <row r="1570" spans="1:4" x14ac:dyDescent="0.4">
      <c r="A1570" t="str">
        <f t="shared" si="48"/>
        <v/>
      </c>
      <c r="B1570" t="str">
        <f t="shared" si="49"/>
        <v/>
      </c>
      <c r="C1570" t="str">
        <f>IF(D1570="","",IF(COUNTIF($D$2:D1570,D1570)&gt;1,"",SUMIFS(tbl_input[필요수량],tbl_input[집계키_청],D1570)))</f>
        <v/>
      </c>
      <c r="D1570" t="str">
        <f>IFERROR(INDEX(tbl_input[집계키_청],ROW()-1),"")</f>
        <v/>
      </c>
    </row>
    <row r="1571" spans="1:4" x14ac:dyDescent="0.4">
      <c r="A1571" t="str">
        <f t="shared" si="48"/>
        <v/>
      </c>
      <c r="B1571" t="str">
        <f t="shared" si="49"/>
        <v/>
      </c>
      <c r="C1571" t="str">
        <f>IF(D1571="","",IF(COUNTIF($D$2:D1571,D1571)&gt;1,"",SUMIFS(tbl_input[필요수량],tbl_input[집계키_청],D1571)))</f>
        <v/>
      </c>
      <c r="D1571" t="str">
        <f>IFERROR(INDEX(tbl_input[집계키_청],ROW()-1),"")</f>
        <v/>
      </c>
    </row>
    <row r="1572" spans="1:4" x14ac:dyDescent="0.4">
      <c r="A1572" t="str">
        <f t="shared" si="48"/>
        <v/>
      </c>
      <c r="B1572" t="str">
        <f t="shared" si="49"/>
        <v/>
      </c>
      <c r="C1572" t="str">
        <f>IF(D1572="","",IF(COUNTIF($D$2:D1572,D1572)&gt;1,"",SUMIFS(tbl_input[필요수량],tbl_input[집계키_청],D1572)))</f>
        <v/>
      </c>
      <c r="D1572" t="str">
        <f>IFERROR(INDEX(tbl_input[집계키_청],ROW()-1),"")</f>
        <v/>
      </c>
    </row>
    <row r="1573" spans="1:4" x14ac:dyDescent="0.4">
      <c r="A1573" t="str">
        <f t="shared" si="48"/>
        <v/>
      </c>
      <c r="B1573" t="str">
        <f t="shared" si="49"/>
        <v/>
      </c>
      <c r="C1573" t="str">
        <f>IF(D1573="","",IF(COUNTIF($D$2:D1573,D1573)&gt;1,"",SUMIFS(tbl_input[필요수량],tbl_input[집계키_청],D1573)))</f>
        <v/>
      </c>
      <c r="D1573" t="str">
        <f>IFERROR(INDEX(tbl_input[집계키_청],ROW()-1),"")</f>
        <v/>
      </c>
    </row>
    <row r="1574" spans="1:4" x14ac:dyDescent="0.4">
      <c r="A1574" t="str">
        <f t="shared" si="48"/>
        <v/>
      </c>
      <c r="B1574" t="str">
        <f t="shared" si="49"/>
        <v/>
      </c>
      <c r="C1574" t="str">
        <f>IF(D1574="","",IF(COUNTIF($D$2:D1574,D1574)&gt;1,"",SUMIFS(tbl_input[필요수량],tbl_input[집계키_청],D1574)))</f>
        <v/>
      </c>
      <c r="D1574" t="str">
        <f>IFERROR(INDEX(tbl_input[집계키_청],ROW()-1),"")</f>
        <v/>
      </c>
    </row>
    <row r="1575" spans="1:4" x14ac:dyDescent="0.4">
      <c r="A1575" t="str">
        <f t="shared" si="48"/>
        <v/>
      </c>
      <c r="B1575" t="str">
        <f t="shared" si="49"/>
        <v/>
      </c>
      <c r="C1575" t="str">
        <f>IF(D1575="","",IF(COUNTIF($D$2:D1575,D1575)&gt;1,"",SUMIFS(tbl_input[필요수량],tbl_input[집계키_청],D1575)))</f>
        <v/>
      </c>
      <c r="D1575" t="str">
        <f>IFERROR(INDEX(tbl_input[집계키_청],ROW()-1),"")</f>
        <v/>
      </c>
    </row>
    <row r="1576" spans="1:4" x14ac:dyDescent="0.4">
      <c r="A1576" t="str">
        <f t="shared" si="48"/>
        <v/>
      </c>
      <c r="B1576" t="str">
        <f t="shared" si="49"/>
        <v/>
      </c>
      <c r="C1576" t="str">
        <f>IF(D1576="","",IF(COUNTIF($D$2:D1576,D1576)&gt;1,"",SUMIFS(tbl_input[필요수량],tbl_input[집계키_청],D1576)))</f>
        <v/>
      </c>
      <c r="D1576" t="str">
        <f>IFERROR(INDEX(tbl_input[집계키_청],ROW()-1),"")</f>
        <v/>
      </c>
    </row>
    <row r="1577" spans="1:4" x14ac:dyDescent="0.4">
      <c r="A1577" t="str">
        <f t="shared" si="48"/>
        <v/>
      </c>
      <c r="B1577" t="str">
        <f t="shared" si="49"/>
        <v/>
      </c>
      <c r="C1577" t="str">
        <f>IF(D1577="","",IF(COUNTIF($D$2:D1577,D1577)&gt;1,"",SUMIFS(tbl_input[필요수량],tbl_input[집계키_청],D1577)))</f>
        <v/>
      </c>
      <c r="D1577" t="str">
        <f>IFERROR(INDEX(tbl_input[집계키_청],ROW()-1),"")</f>
        <v/>
      </c>
    </row>
    <row r="1578" spans="1:4" x14ac:dyDescent="0.4">
      <c r="A1578" t="str">
        <f t="shared" si="48"/>
        <v/>
      </c>
      <c r="B1578" t="str">
        <f t="shared" si="49"/>
        <v/>
      </c>
      <c r="C1578" t="str">
        <f>IF(D1578="","",IF(COUNTIF($D$2:D1578,D1578)&gt;1,"",SUMIFS(tbl_input[필요수량],tbl_input[집계키_청],D1578)))</f>
        <v/>
      </c>
      <c r="D1578" t="str">
        <f>IFERROR(INDEX(tbl_input[집계키_청],ROW()-1),"")</f>
        <v/>
      </c>
    </row>
    <row r="1579" spans="1:4" x14ac:dyDescent="0.4">
      <c r="A1579" t="str">
        <f t="shared" si="48"/>
        <v/>
      </c>
      <c r="B1579" t="str">
        <f t="shared" si="49"/>
        <v/>
      </c>
      <c r="C1579" t="str">
        <f>IF(D1579="","",IF(COUNTIF($D$2:D1579,D1579)&gt;1,"",SUMIFS(tbl_input[필요수량],tbl_input[집계키_청],D1579)))</f>
        <v/>
      </c>
      <c r="D1579" t="str">
        <f>IFERROR(INDEX(tbl_input[집계키_청],ROW()-1),"")</f>
        <v/>
      </c>
    </row>
    <row r="1580" spans="1:4" x14ac:dyDescent="0.4">
      <c r="A1580" t="str">
        <f t="shared" si="48"/>
        <v/>
      </c>
      <c r="B1580" t="str">
        <f t="shared" si="49"/>
        <v/>
      </c>
      <c r="C1580" t="str">
        <f>IF(D1580="","",IF(COUNTIF($D$2:D1580,D1580)&gt;1,"",SUMIFS(tbl_input[필요수량],tbl_input[집계키_청],D1580)))</f>
        <v/>
      </c>
      <c r="D1580" t="str">
        <f>IFERROR(INDEX(tbl_input[집계키_청],ROW()-1),"")</f>
        <v/>
      </c>
    </row>
    <row r="1581" spans="1:4" x14ac:dyDescent="0.4">
      <c r="A1581" t="str">
        <f t="shared" si="48"/>
        <v/>
      </c>
      <c r="B1581" t="str">
        <f t="shared" si="49"/>
        <v/>
      </c>
      <c r="C1581" t="str">
        <f>IF(D1581="","",IF(COUNTIF($D$2:D1581,D1581)&gt;1,"",SUMIFS(tbl_input[필요수량],tbl_input[집계키_청],D1581)))</f>
        <v/>
      </c>
      <c r="D1581" t="str">
        <f>IFERROR(INDEX(tbl_input[집계키_청],ROW()-1),"")</f>
        <v/>
      </c>
    </row>
    <row r="1582" spans="1:4" x14ac:dyDescent="0.4">
      <c r="A1582" t="str">
        <f t="shared" si="48"/>
        <v/>
      </c>
      <c r="B1582" t="str">
        <f t="shared" si="49"/>
        <v/>
      </c>
      <c r="C1582" t="str">
        <f>IF(D1582="","",IF(COUNTIF($D$2:D1582,D1582)&gt;1,"",SUMIFS(tbl_input[필요수량],tbl_input[집계키_청],D1582)))</f>
        <v/>
      </c>
      <c r="D1582" t="str">
        <f>IFERROR(INDEX(tbl_input[집계키_청],ROW()-1),"")</f>
        <v/>
      </c>
    </row>
    <row r="1583" spans="1:4" x14ac:dyDescent="0.4">
      <c r="A1583" t="str">
        <f t="shared" si="48"/>
        <v/>
      </c>
      <c r="B1583" t="str">
        <f t="shared" si="49"/>
        <v/>
      </c>
      <c r="C1583" t="str">
        <f>IF(D1583="","",IF(COUNTIF($D$2:D1583,D1583)&gt;1,"",SUMIFS(tbl_input[필요수량],tbl_input[집계키_청],D1583)))</f>
        <v/>
      </c>
      <c r="D1583" t="str">
        <f>IFERROR(INDEX(tbl_input[집계키_청],ROW()-1),"")</f>
        <v/>
      </c>
    </row>
    <row r="1584" spans="1:4" x14ac:dyDescent="0.4">
      <c r="A1584" t="str">
        <f t="shared" si="48"/>
        <v/>
      </c>
      <c r="B1584" t="str">
        <f t="shared" si="49"/>
        <v/>
      </c>
      <c r="C1584" t="str">
        <f>IF(D1584="","",IF(COUNTIF($D$2:D1584,D1584)&gt;1,"",SUMIFS(tbl_input[필요수량],tbl_input[집계키_청],D1584)))</f>
        <v/>
      </c>
      <c r="D1584" t="str">
        <f>IFERROR(INDEX(tbl_input[집계키_청],ROW()-1),"")</f>
        <v/>
      </c>
    </row>
    <row r="1585" spans="1:4" x14ac:dyDescent="0.4">
      <c r="A1585" t="str">
        <f t="shared" si="48"/>
        <v/>
      </c>
      <c r="B1585" t="str">
        <f t="shared" si="49"/>
        <v/>
      </c>
      <c r="C1585" t="str">
        <f>IF(D1585="","",IF(COUNTIF($D$2:D1585,D1585)&gt;1,"",SUMIFS(tbl_input[필요수량],tbl_input[집계키_청],D1585)))</f>
        <v/>
      </c>
      <c r="D1585" t="str">
        <f>IFERROR(INDEX(tbl_input[집계키_청],ROW()-1),"")</f>
        <v/>
      </c>
    </row>
    <row r="1586" spans="1:4" x14ac:dyDescent="0.4">
      <c r="A1586" t="str">
        <f t="shared" si="48"/>
        <v/>
      </c>
      <c r="B1586" t="str">
        <f t="shared" si="49"/>
        <v/>
      </c>
      <c r="C1586" t="str">
        <f>IF(D1586="","",IF(COUNTIF($D$2:D1586,D1586)&gt;1,"",SUMIFS(tbl_input[필요수량],tbl_input[집계키_청],D1586)))</f>
        <v/>
      </c>
      <c r="D1586" t="str">
        <f>IFERROR(INDEX(tbl_input[집계키_청],ROW()-1),"")</f>
        <v/>
      </c>
    </row>
    <row r="1587" spans="1:4" x14ac:dyDescent="0.4">
      <c r="A1587" t="str">
        <f t="shared" si="48"/>
        <v/>
      </c>
      <c r="B1587" t="str">
        <f t="shared" si="49"/>
        <v/>
      </c>
      <c r="C1587" t="str">
        <f>IF(D1587="","",IF(COUNTIF($D$2:D1587,D1587)&gt;1,"",SUMIFS(tbl_input[필요수량],tbl_input[집계키_청],D1587)))</f>
        <v/>
      </c>
      <c r="D1587" t="str">
        <f>IFERROR(INDEX(tbl_input[집계키_청],ROW()-1),"")</f>
        <v/>
      </c>
    </row>
    <row r="1588" spans="1:4" x14ac:dyDescent="0.4">
      <c r="A1588" t="str">
        <f t="shared" si="48"/>
        <v/>
      </c>
      <c r="B1588" t="str">
        <f t="shared" si="49"/>
        <v/>
      </c>
      <c r="C1588" t="str">
        <f>IF(D1588="","",IF(COUNTIF($D$2:D1588,D1588)&gt;1,"",SUMIFS(tbl_input[필요수량],tbl_input[집계키_청],D1588)))</f>
        <v/>
      </c>
      <c r="D1588" t="str">
        <f>IFERROR(INDEX(tbl_input[집계키_청],ROW()-1),"")</f>
        <v/>
      </c>
    </row>
    <row r="1589" spans="1:4" x14ac:dyDescent="0.4">
      <c r="A1589" t="str">
        <f t="shared" si="48"/>
        <v/>
      </c>
      <c r="B1589" t="str">
        <f t="shared" si="49"/>
        <v/>
      </c>
      <c r="C1589" t="str">
        <f>IF(D1589="","",IF(COUNTIF($D$2:D1589,D1589)&gt;1,"",SUMIFS(tbl_input[필요수량],tbl_input[집계키_청],D1589)))</f>
        <v/>
      </c>
      <c r="D1589" t="str">
        <f>IFERROR(INDEX(tbl_input[집계키_청],ROW()-1),"")</f>
        <v/>
      </c>
    </row>
    <row r="1590" spans="1:4" x14ac:dyDescent="0.4">
      <c r="A1590" t="str">
        <f t="shared" si="48"/>
        <v/>
      </c>
      <c r="B1590" t="str">
        <f t="shared" si="49"/>
        <v/>
      </c>
      <c r="C1590" t="str">
        <f>IF(D1590="","",IF(COUNTIF($D$2:D1590,D1590)&gt;1,"",SUMIFS(tbl_input[필요수량],tbl_input[집계키_청],D1590)))</f>
        <v/>
      </c>
      <c r="D1590" t="str">
        <f>IFERROR(INDEX(tbl_input[집계키_청],ROW()-1),"")</f>
        <v/>
      </c>
    </row>
    <row r="1591" spans="1:4" x14ac:dyDescent="0.4">
      <c r="A1591" t="str">
        <f t="shared" si="48"/>
        <v/>
      </c>
      <c r="B1591" t="str">
        <f t="shared" si="49"/>
        <v/>
      </c>
      <c r="C1591" t="str">
        <f>IF(D1591="","",IF(COUNTIF($D$2:D1591,D1591)&gt;1,"",SUMIFS(tbl_input[필요수량],tbl_input[집계키_청],D1591)))</f>
        <v/>
      </c>
      <c r="D1591" t="str">
        <f>IFERROR(INDEX(tbl_input[집계키_청],ROW()-1),"")</f>
        <v/>
      </c>
    </row>
    <row r="1592" spans="1:4" x14ac:dyDescent="0.4">
      <c r="A1592" t="str">
        <f t="shared" si="48"/>
        <v/>
      </c>
      <c r="B1592" t="str">
        <f t="shared" si="49"/>
        <v/>
      </c>
      <c r="C1592" t="str">
        <f>IF(D1592="","",IF(COUNTIF($D$2:D1592,D1592)&gt;1,"",SUMIFS(tbl_input[필요수량],tbl_input[집계키_청],D1592)))</f>
        <v/>
      </c>
      <c r="D1592" t="str">
        <f>IFERROR(INDEX(tbl_input[집계키_청],ROW()-1),"")</f>
        <v/>
      </c>
    </row>
    <row r="1593" spans="1:4" x14ac:dyDescent="0.4">
      <c r="A1593" t="str">
        <f t="shared" si="48"/>
        <v/>
      </c>
      <c r="B1593" t="str">
        <f t="shared" si="49"/>
        <v/>
      </c>
      <c r="C1593" t="str">
        <f>IF(D1593="","",IF(COUNTIF($D$2:D1593,D1593)&gt;1,"",SUMIFS(tbl_input[필요수량],tbl_input[집계키_청],D1593)))</f>
        <v/>
      </c>
      <c r="D1593" t="str">
        <f>IFERROR(INDEX(tbl_input[집계키_청],ROW()-1),"")</f>
        <v/>
      </c>
    </row>
    <row r="1594" spans="1:4" x14ac:dyDescent="0.4">
      <c r="A1594" t="str">
        <f t="shared" si="48"/>
        <v/>
      </c>
      <c r="B1594" t="str">
        <f t="shared" si="49"/>
        <v/>
      </c>
      <c r="C1594" t="str">
        <f>IF(D1594="","",IF(COUNTIF($D$2:D1594,D1594)&gt;1,"",SUMIFS(tbl_input[필요수량],tbl_input[집계키_청],D1594)))</f>
        <v/>
      </c>
      <c r="D1594" t="str">
        <f>IFERROR(INDEX(tbl_input[집계키_청],ROW()-1),"")</f>
        <v/>
      </c>
    </row>
    <row r="1595" spans="1:4" x14ac:dyDescent="0.4">
      <c r="A1595" t="str">
        <f t="shared" si="48"/>
        <v/>
      </c>
      <c r="B1595" t="str">
        <f t="shared" si="49"/>
        <v/>
      </c>
      <c r="C1595" t="str">
        <f>IF(D1595="","",IF(COUNTIF($D$2:D1595,D1595)&gt;1,"",SUMIFS(tbl_input[필요수량],tbl_input[집계키_청],D1595)))</f>
        <v/>
      </c>
      <c r="D1595" t="str">
        <f>IFERROR(INDEX(tbl_input[집계키_청],ROW()-1),"")</f>
        <v/>
      </c>
    </row>
    <row r="1596" spans="1:4" x14ac:dyDescent="0.4">
      <c r="A1596" t="str">
        <f t="shared" si="48"/>
        <v/>
      </c>
      <c r="B1596" t="str">
        <f t="shared" si="49"/>
        <v/>
      </c>
      <c r="C1596" t="str">
        <f>IF(D1596="","",IF(COUNTIF($D$2:D1596,D1596)&gt;1,"",SUMIFS(tbl_input[필요수량],tbl_input[집계키_청],D1596)))</f>
        <v/>
      </c>
      <c r="D1596" t="str">
        <f>IFERROR(INDEX(tbl_input[집계키_청],ROW()-1),"")</f>
        <v/>
      </c>
    </row>
    <row r="1597" spans="1:4" x14ac:dyDescent="0.4">
      <c r="A1597" t="str">
        <f t="shared" si="48"/>
        <v/>
      </c>
      <c r="B1597" t="str">
        <f t="shared" si="49"/>
        <v/>
      </c>
      <c r="C1597" t="str">
        <f>IF(D1597="","",IF(COUNTIF($D$2:D1597,D1597)&gt;1,"",SUMIFS(tbl_input[필요수량],tbl_input[집계키_청],D1597)))</f>
        <v/>
      </c>
      <c r="D1597" t="str">
        <f>IFERROR(INDEX(tbl_input[집계키_청],ROW()-1),"")</f>
        <v/>
      </c>
    </row>
    <row r="1598" spans="1:4" x14ac:dyDescent="0.4">
      <c r="A1598" t="str">
        <f t="shared" si="48"/>
        <v/>
      </c>
      <c r="B1598" t="str">
        <f t="shared" si="49"/>
        <v/>
      </c>
      <c r="C1598" t="str">
        <f>IF(D1598="","",IF(COUNTIF($D$2:D1598,D1598)&gt;1,"",SUMIFS(tbl_input[필요수량],tbl_input[집계키_청],D1598)))</f>
        <v/>
      </c>
      <c r="D1598" t="str">
        <f>IFERROR(INDEX(tbl_input[집계키_청],ROW()-1),"")</f>
        <v/>
      </c>
    </row>
    <row r="1599" spans="1:4" x14ac:dyDescent="0.4">
      <c r="A1599" t="str">
        <f t="shared" si="48"/>
        <v/>
      </c>
      <c r="B1599" t="str">
        <f t="shared" si="49"/>
        <v/>
      </c>
      <c r="C1599" t="str">
        <f>IF(D1599="","",IF(COUNTIF($D$2:D1599,D1599)&gt;1,"",SUMIFS(tbl_input[필요수량],tbl_input[집계키_청],D1599)))</f>
        <v/>
      </c>
      <c r="D1599" t="str">
        <f>IFERROR(INDEX(tbl_input[집계키_청],ROW()-1),"")</f>
        <v/>
      </c>
    </row>
    <row r="1600" spans="1:4" x14ac:dyDescent="0.4">
      <c r="A1600" t="str">
        <f t="shared" si="48"/>
        <v/>
      </c>
      <c r="B1600" t="str">
        <f t="shared" si="49"/>
        <v/>
      </c>
      <c r="C1600" t="str">
        <f>IF(D1600="","",IF(COUNTIF($D$2:D1600,D1600)&gt;1,"",SUMIFS(tbl_input[필요수량],tbl_input[집계키_청],D1600)))</f>
        <v/>
      </c>
      <c r="D1600" t="str">
        <f>IFERROR(INDEX(tbl_input[집계키_청],ROW()-1),"")</f>
        <v/>
      </c>
    </row>
    <row r="1601" spans="1:4" x14ac:dyDescent="0.4">
      <c r="A1601" t="str">
        <f t="shared" si="48"/>
        <v/>
      </c>
      <c r="B1601" t="str">
        <f t="shared" si="49"/>
        <v/>
      </c>
      <c r="C1601" t="str">
        <f>IF(D1601="","",IF(COUNTIF($D$2:D1601,D1601)&gt;1,"",SUMIFS(tbl_input[필요수량],tbl_input[집계키_청],D1601)))</f>
        <v/>
      </c>
      <c r="D1601" t="str">
        <f>IFERROR(INDEX(tbl_input[집계키_청],ROW()-1),"")</f>
        <v/>
      </c>
    </row>
    <row r="1602" spans="1:4" x14ac:dyDescent="0.4">
      <c r="A1602" t="str">
        <f t="shared" ref="A1602:A1665" si="50">IF(D1602="","",LEFT(D1602,FIND("♦",D1602)-1))</f>
        <v/>
      </c>
      <c r="B1602" t="str">
        <f t="shared" ref="B1602:B1665" si="51">IF(D1602="","",MID(D1602,FIND("♦",D1602)+1,999))</f>
        <v/>
      </c>
      <c r="C1602" t="str">
        <f>IF(D1602="","",IF(COUNTIF($D$2:D1602,D1602)&gt;1,"",SUMIFS(tbl_input[필요수량],tbl_input[집계키_청],D1602)))</f>
        <v/>
      </c>
      <c r="D1602" t="str">
        <f>IFERROR(INDEX(tbl_input[집계키_청],ROW()-1),"")</f>
        <v/>
      </c>
    </row>
    <row r="1603" spans="1:4" x14ac:dyDescent="0.4">
      <c r="A1603" t="str">
        <f t="shared" si="50"/>
        <v/>
      </c>
      <c r="B1603" t="str">
        <f t="shared" si="51"/>
        <v/>
      </c>
      <c r="C1603" t="str">
        <f>IF(D1603="","",IF(COUNTIF($D$2:D1603,D1603)&gt;1,"",SUMIFS(tbl_input[필요수량],tbl_input[집계키_청],D1603)))</f>
        <v/>
      </c>
      <c r="D1603" t="str">
        <f>IFERROR(INDEX(tbl_input[집계키_청],ROW()-1),"")</f>
        <v/>
      </c>
    </row>
    <row r="1604" spans="1:4" x14ac:dyDescent="0.4">
      <c r="A1604" t="str">
        <f t="shared" si="50"/>
        <v/>
      </c>
      <c r="B1604" t="str">
        <f t="shared" si="51"/>
        <v/>
      </c>
      <c r="C1604" t="str">
        <f>IF(D1604="","",IF(COUNTIF($D$2:D1604,D1604)&gt;1,"",SUMIFS(tbl_input[필요수량],tbl_input[집계키_청],D1604)))</f>
        <v/>
      </c>
      <c r="D1604" t="str">
        <f>IFERROR(INDEX(tbl_input[집계키_청],ROW()-1),"")</f>
        <v/>
      </c>
    </row>
    <row r="1605" spans="1:4" x14ac:dyDescent="0.4">
      <c r="A1605" t="str">
        <f t="shared" si="50"/>
        <v/>
      </c>
      <c r="B1605" t="str">
        <f t="shared" si="51"/>
        <v/>
      </c>
      <c r="C1605" t="str">
        <f>IF(D1605="","",IF(COUNTIF($D$2:D1605,D1605)&gt;1,"",SUMIFS(tbl_input[필요수량],tbl_input[집계키_청],D1605)))</f>
        <v/>
      </c>
      <c r="D1605" t="str">
        <f>IFERROR(INDEX(tbl_input[집계키_청],ROW()-1),"")</f>
        <v/>
      </c>
    </row>
    <row r="1606" spans="1:4" x14ac:dyDescent="0.4">
      <c r="A1606" t="str">
        <f t="shared" si="50"/>
        <v/>
      </c>
      <c r="B1606" t="str">
        <f t="shared" si="51"/>
        <v/>
      </c>
      <c r="C1606" t="str">
        <f>IF(D1606="","",IF(COUNTIF($D$2:D1606,D1606)&gt;1,"",SUMIFS(tbl_input[필요수량],tbl_input[집계키_청],D1606)))</f>
        <v/>
      </c>
      <c r="D1606" t="str">
        <f>IFERROR(INDEX(tbl_input[집계키_청],ROW()-1),"")</f>
        <v/>
      </c>
    </row>
    <row r="1607" spans="1:4" x14ac:dyDescent="0.4">
      <c r="A1607" t="str">
        <f t="shared" si="50"/>
        <v/>
      </c>
      <c r="B1607" t="str">
        <f t="shared" si="51"/>
        <v/>
      </c>
      <c r="C1607" t="str">
        <f>IF(D1607="","",IF(COUNTIF($D$2:D1607,D1607)&gt;1,"",SUMIFS(tbl_input[필요수량],tbl_input[집계키_청],D1607)))</f>
        <v/>
      </c>
      <c r="D1607" t="str">
        <f>IFERROR(INDEX(tbl_input[집계키_청],ROW()-1),"")</f>
        <v/>
      </c>
    </row>
    <row r="1608" spans="1:4" x14ac:dyDescent="0.4">
      <c r="A1608" t="str">
        <f t="shared" si="50"/>
        <v/>
      </c>
      <c r="B1608" t="str">
        <f t="shared" si="51"/>
        <v/>
      </c>
      <c r="C1608" t="str">
        <f>IF(D1608="","",IF(COUNTIF($D$2:D1608,D1608)&gt;1,"",SUMIFS(tbl_input[필요수량],tbl_input[집계키_청],D1608)))</f>
        <v/>
      </c>
      <c r="D1608" t="str">
        <f>IFERROR(INDEX(tbl_input[집계키_청],ROW()-1),"")</f>
        <v/>
      </c>
    </row>
    <row r="1609" spans="1:4" x14ac:dyDescent="0.4">
      <c r="A1609" t="str">
        <f t="shared" si="50"/>
        <v/>
      </c>
      <c r="B1609" t="str">
        <f t="shared" si="51"/>
        <v/>
      </c>
      <c r="C1609" t="str">
        <f>IF(D1609="","",IF(COUNTIF($D$2:D1609,D1609)&gt;1,"",SUMIFS(tbl_input[필요수량],tbl_input[집계키_청],D1609)))</f>
        <v/>
      </c>
      <c r="D1609" t="str">
        <f>IFERROR(INDEX(tbl_input[집계키_청],ROW()-1),"")</f>
        <v/>
      </c>
    </row>
    <row r="1610" spans="1:4" x14ac:dyDescent="0.4">
      <c r="A1610" t="str">
        <f t="shared" si="50"/>
        <v/>
      </c>
      <c r="B1610" t="str">
        <f t="shared" si="51"/>
        <v/>
      </c>
      <c r="C1610" t="str">
        <f>IF(D1610="","",IF(COUNTIF($D$2:D1610,D1610)&gt;1,"",SUMIFS(tbl_input[필요수량],tbl_input[집계키_청],D1610)))</f>
        <v/>
      </c>
      <c r="D1610" t="str">
        <f>IFERROR(INDEX(tbl_input[집계키_청],ROW()-1),"")</f>
        <v/>
      </c>
    </row>
    <row r="1611" spans="1:4" x14ac:dyDescent="0.4">
      <c r="A1611" t="str">
        <f t="shared" si="50"/>
        <v/>
      </c>
      <c r="B1611" t="str">
        <f t="shared" si="51"/>
        <v/>
      </c>
      <c r="C1611" t="str">
        <f>IF(D1611="","",IF(COUNTIF($D$2:D1611,D1611)&gt;1,"",SUMIFS(tbl_input[필요수량],tbl_input[집계키_청],D1611)))</f>
        <v/>
      </c>
      <c r="D1611" t="str">
        <f>IFERROR(INDEX(tbl_input[집계키_청],ROW()-1),"")</f>
        <v/>
      </c>
    </row>
    <row r="1612" spans="1:4" x14ac:dyDescent="0.4">
      <c r="A1612" t="str">
        <f t="shared" si="50"/>
        <v/>
      </c>
      <c r="B1612" t="str">
        <f t="shared" si="51"/>
        <v/>
      </c>
      <c r="C1612" t="str">
        <f>IF(D1612="","",IF(COUNTIF($D$2:D1612,D1612)&gt;1,"",SUMIFS(tbl_input[필요수량],tbl_input[집계키_청],D1612)))</f>
        <v/>
      </c>
      <c r="D1612" t="str">
        <f>IFERROR(INDEX(tbl_input[집계키_청],ROW()-1),"")</f>
        <v/>
      </c>
    </row>
    <row r="1613" spans="1:4" x14ac:dyDescent="0.4">
      <c r="A1613" t="str">
        <f t="shared" si="50"/>
        <v/>
      </c>
      <c r="B1613" t="str">
        <f t="shared" si="51"/>
        <v/>
      </c>
      <c r="C1613" t="str">
        <f>IF(D1613="","",IF(COUNTIF($D$2:D1613,D1613)&gt;1,"",SUMIFS(tbl_input[필요수량],tbl_input[집계키_청],D1613)))</f>
        <v/>
      </c>
      <c r="D1613" t="str">
        <f>IFERROR(INDEX(tbl_input[집계키_청],ROW()-1),"")</f>
        <v/>
      </c>
    </row>
    <row r="1614" spans="1:4" x14ac:dyDescent="0.4">
      <c r="A1614" t="str">
        <f t="shared" si="50"/>
        <v/>
      </c>
      <c r="B1614" t="str">
        <f t="shared" si="51"/>
        <v/>
      </c>
      <c r="C1614" t="str">
        <f>IF(D1614="","",IF(COUNTIF($D$2:D1614,D1614)&gt;1,"",SUMIFS(tbl_input[필요수량],tbl_input[집계키_청],D1614)))</f>
        <v/>
      </c>
      <c r="D1614" t="str">
        <f>IFERROR(INDEX(tbl_input[집계키_청],ROW()-1),"")</f>
        <v/>
      </c>
    </row>
    <row r="1615" spans="1:4" x14ac:dyDescent="0.4">
      <c r="A1615" t="str">
        <f t="shared" si="50"/>
        <v/>
      </c>
      <c r="B1615" t="str">
        <f t="shared" si="51"/>
        <v/>
      </c>
      <c r="C1615" t="str">
        <f>IF(D1615="","",IF(COUNTIF($D$2:D1615,D1615)&gt;1,"",SUMIFS(tbl_input[필요수량],tbl_input[집계키_청],D1615)))</f>
        <v/>
      </c>
      <c r="D1615" t="str">
        <f>IFERROR(INDEX(tbl_input[집계키_청],ROW()-1),"")</f>
        <v/>
      </c>
    </row>
    <row r="1616" spans="1:4" x14ac:dyDescent="0.4">
      <c r="A1616" t="str">
        <f t="shared" si="50"/>
        <v/>
      </c>
      <c r="B1616" t="str">
        <f t="shared" si="51"/>
        <v/>
      </c>
      <c r="C1616" t="str">
        <f>IF(D1616="","",IF(COUNTIF($D$2:D1616,D1616)&gt;1,"",SUMIFS(tbl_input[필요수량],tbl_input[집계키_청],D1616)))</f>
        <v/>
      </c>
      <c r="D1616" t="str">
        <f>IFERROR(INDEX(tbl_input[집계키_청],ROW()-1),"")</f>
        <v/>
      </c>
    </row>
    <row r="1617" spans="1:4" x14ac:dyDescent="0.4">
      <c r="A1617" t="str">
        <f t="shared" si="50"/>
        <v/>
      </c>
      <c r="B1617" t="str">
        <f t="shared" si="51"/>
        <v/>
      </c>
      <c r="C1617" t="str">
        <f>IF(D1617="","",IF(COUNTIF($D$2:D1617,D1617)&gt;1,"",SUMIFS(tbl_input[필요수량],tbl_input[집계키_청],D1617)))</f>
        <v/>
      </c>
      <c r="D1617" t="str">
        <f>IFERROR(INDEX(tbl_input[집계키_청],ROW()-1),"")</f>
        <v/>
      </c>
    </row>
    <row r="1618" spans="1:4" x14ac:dyDescent="0.4">
      <c r="A1618" t="str">
        <f t="shared" si="50"/>
        <v/>
      </c>
      <c r="B1618" t="str">
        <f t="shared" si="51"/>
        <v/>
      </c>
      <c r="C1618" t="str">
        <f>IF(D1618="","",IF(COUNTIF($D$2:D1618,D1618)&gt;1,"",SUMIFS(tbl_input[필요수량],tbl_input[집계키_청],D1618)))</f>
        <v/>
      </c>
      <c r="D1618" t="str">
        <f>IFERROR(INDEX(tbl_input[집계키_청],ROW()-1),"")</f>
        <v/>
      </c>
    </row>
    <row r="1619" spans="1:4" x14ac:dyDescent="0.4">
      <c r="A1619" t="str">
        <f t="shared" si="50"/>
        <v/>
      </c>
      <c r="B1619" t="str">
        <f t="shared" si="51"/>
        <v/>
      </c>
      <c r="C1619" t="str">
        <f>IF(D1619="","",IF(COUNTIF($D$2:D1619,D1619)&gt;1,"",SUMIFS(tbl_input[필요수량],tbl_input[집계키_청],D1619)))</f>
        <v/>
      </c>
      <c r="D1619" t="str">
        <f>IFERROR(INDEX(tbl_input[집계키_청],ROW()-1),"")</f>
        <v/>
      </c>
    </row>
    <row r="1620" spans="1:4" x14ac:dyDescent="0.4">
      <c r="A1620" t="str">
        <f t="shared" si="50"/>
        <v/>
      </c>
      <c r="B1620" t="str">
        <f t="shared" si="51"/>
        <v/>
      </c>
      <c r="C1620" t="str">
        <f>IF(D1620="","",IF(COUNTIF($D$2:D1620,D1620)&gt;1,"",SUMIFS(tbl_input[필요수량],tbl_input[집계키_청],D1620)))</f>
        <v/>
      </c>
      <c r="D1620" t="str">
        <f>IFERROR(INDEX(tbl_input[집계키_청],ROW()-1),"")</f>
        <v/>
      </c>
    </row>
    <row r="1621" spans="1:4" x14ac:dyDescent="0.4">
      <c r="A1621" t="str">
        <f t="shared" si="50"/>
        <v/>
      </c>
      <c r="B1621" t="str">
        <f t="shared" si="51"/>
        <v/>
      </c>
      <c r="C1621" t="str">
        <f>IF(D1621="","",IF(COUNTIF($D$2:D1621,D1621)&gt;1,"",SUMIFS(tbl_input[필요수량],tbl_input[집계키_청],D1621)))</f>
        <v/>
      </c>
      <c r="D1621" t="str">
        <f>IFERROR(INDEX(tbl_input[집계키_청],ROW()-1),"")</f>
        <v/>
      </c>
    </row>
    <row r="1622" spans="1:4" x14ac:dyDescent="0.4">
      <c r="A1622" t="str">
        <f t="shared" si="50"/>
        <v/>
      </c>
      <c r="B1622" t="str">
        <f t="shared" si="51"/>
        <v/>
      </c>
      <c r="C1622" t="str">
        <f>IF(D1622="","",IF(COUNTIF($D$2:D1622,D1622)&gt;1,"",SUMIFS(tbl_input[필요수량],tbl_input[집계키_청],D1622)))</f>
        <v/>
      </c>
      <c r="D1622" t="str">
        <f>IFERROR(INDEX(tbl_input[집계키_청],ROW()-1),"")</f>
        <v/>
      </c>
    </row>
    <row r="1623" spans="1:4" x14ac:dyDescent="0.4">
      <c r="A1623" t="str">
        <f t="shared" si="50"/>
        <v/>
      </c>
      <c r="B1623" t="str">
        <f t="shared" si="51"/>
        <v/>
      </c>
      <c r="C1623" t="str">
        <f>IF(D1623="","",IF(COUNTIF($D$2:D1623,D1623)&gt;1,"",SUMIFS(tbl_input[필요수량],tbl_input[집계키_청],D1623)))</f>
        <v/>
      </c>
      <c r="D1623" t="str">
        <f>IFERROR(INDEX(tbl_input[집계키_청],ROW()-1),"")</f>
        <v/>
      </c>
    </row>
    <row r="1624" spans="1:4" x14ac:dyDescent="0.4">
      <c r="A1624" t="str">
        <f t="shared" si="50"/>
        <v/>
      </c>
      <c r="B1624" t="str">
        <f t="shared" si="51"/>
        <v/>
      </c>
      <c r="C1624" t="str">
        <f>IF(D1624="","",IF(COUNTIF($D$2:D1624,D1624)&gt;1,"",SUMIFS(tbl_input[필요수량],tbl_input[집계키_청],D1624)))</f>
        <v/>
      </c>
      <c r="D1624" t="str">
        <f>IFERROR(INDEX(tbl_input[집계키_청],ROW()-1),"")</f>
        <v/>
      </c>
    </row>
    <row r="1625" spans="1:4" x14ac:dyDescent="0.4">
      <c r="A1625" t="str">
        <f t="shared" si="50"/>
        <v/>
      </c>
      <c r="B1625" t="str">
        <f t="shared" si="51"/>
        <v/>
      </c>
      <c r="C1625" t="str">
        <f>IF(D1625="","",IF(COUNTIF($D$2:D1625,D1625)&gt;1,"",SUMIFS(tbl_input[필요수량],tbl_input[집계키_청],D1625)))</f>
        <v/>
      </c>
      <c r="D1625" t="str">
        <f>IFERROR(INDEX(tbl_input[집계키_청],ROW()-1),"")</f>
        <v/>
      </c>
    </row>
    <row r="1626" spans="1:4" x14ac:dyDescent="0.4">
      <c r="A1626" t="str">
        <f t="shared" si="50"/>
        <v/>
      </c>
      <c r="B1626" t="str">
        <f t="shared" si="51"/>
        <v/>
      </c>
      <c r="C1626" t="str">
        <f>IF(D1626="","",IF(COUNTIF($D$2:D1626,D1626)&gt;1,"",SUMIFS(tbl_input[필요수량],tbl_input[집계키_청],D1626)))</f>
        <v/>
      </c>
      <c r="D1626" t="str">
        <f>IFERROR(INDEX(tbl_input[집계키_청],ROW()-1),"")</f>
        <v/>
      </c>
    </row>
    <row r="1627" spans="1:4" x14ac:dyDescent="0.4">
      <c r="A1627" t="str">
        <f t="shared" si="50"/>
        <v/>
      </c>
      <c r="B1627" t="str">
        <f t="shared" si="51"/>
        <v/>
      </c>
      <c r="C1627" t="str">
        <f>IF(D1627="","",IF(COUNTIF($D$2:D1627,D1627)&gt;1,"",SUMIFS(tbl_input[필요수량],tbl_input[집계키_청],D1627)))</f>
        <v/>
      </c>
      <c r="D1627" t="str">
        <f>IFERROR(INDEX(tbl_input[집계키_청],ROW()-1),"")</f>
        <v/>
      </c>
    </row>
    <row r="1628" spans="1:4" x14ac:dyDescent="0.4">
      <c r="A1628" t="str">
        <f t="shared" si="50"/>
        <v/>
      </c>
      <c r="B1628" t="str">
        <f t="shared" si="51"/>
        <v/>
      </c>
      <c r="C1628" t="str">
        <f>IF(D1628="","",IF(COUNTIF($D$2:D1628,D1628)&gt;1,"",SUMIFS(tbl_input[필요수량],tbl_input[집계키_청],D1628)))</f>
        <v/>
      </c>
      <c r="D1628" t="str">
        <f>IFERROR(INDEX(tbl_input[집계키_청],ROW()-1),"")</f>
        <v/>
      </c>
    </row>
    <row r="1629" spans="1:4" x14ac:dyDescent="0.4">
      <c r="A1629" t="str">
        <f t="shared" si="50"/>
        <v/>
      </c>
      <c r="B1629" t="str">
        <f t="shared" si="51"/>
        <v/>
      </c>
      <c r="C1629" t="str">
        <f>IF(D1629="","",IF(COUNTIF($D$2:D1629,D1629)&gt;1,"",SUMIFS(tbl_input[필요수량],tbl_input[집계키_청],D1629)))</f>
        <v/>
      </c>
      <c r="D1629" t="str">
        <f>IFERROR(INDEX(tbl_input[집계키_청],ROW()-1),"")</f>
        <v/>
      </c>
    </row>
    <row r="1630" spans="1:4" x14ac:dyDescent="0.4">
      <c r="A1630" t="str">
        <f t="shared" si="50"/>
        <v/>
      </c>
      <c r="B1630" t="str">
        <f t="shared" si="51"/>
        <v/>
      </c>
      <c r="C1630" t="str">
        <f>IF(D1630="","",IF(COUNTIF($D$2:D1630,D1630)&gt;1,"",SUMIFS(tbl_input[필요수량],tbl_input[집계키_청],D1630)))</f>
        <v/>
      </c>
      <c r="D1630" t="str">
        <f>IFERROR(INDEX(tbl_input[집계키_청],ROW()-1),"")</f>
        <v/>
      </c>
    </row>
    <row r="1631" spans="1:4" x14ac:dyDescent="0.4">
      <c r="A1631" t="str">
        <f t="shared" si="50"/>
        <v/>
      </c>
      <c r="B1631" t="str">
        <f t="shared" si="51"/>
        <v/>
      </c>
      <c r="C1631" t="str">
        <f>IF(D1631="","",IF(COUNTIF($D$2:D1631,D1631)&gt;1,"",SUMIFS(tbl_input[필요수량],tbl_input[집계키_청],D1631)))</f>
        <v/>
      </c>
      <c r="D1631" t="str">
        <f>IFERROR(INDEX(tbl_input[집계키_청],ROW()-1),"")</f>
        <v/>
      </c>
    </row>
    <row r="1632" spans="1:4" x14ac:dyDescent="0.4">
      <c r="A1632" t="str">
        <f t="shared" si="50"/>
        <v/>
      </c>
      <c r="B1632" t="str">
        <f t="shared" si="51"/>
        <v/>
      </c>
      <c r="C1632" t="str">
        <f>IF(D1632="","",IF(COUNTIF($D$2:D1632,D1632)&gt;1,"",SUMIFS(tbl_input[필요수량],tbl_input[집계키_청],D1632)))</f>
        <v/>
      </c>
      <c r="D1632" t="str">
        <f>IFERROR(INDEX(tbl_input[집계키_청],ROW()-1),"")</f>
        <v/>
      </c>
    </row>
    <row r="1633" spans="1:4" x14ac:dyDescent="0.4">
      <c r="A1633" t="str">
        <f t="shared" si="50"/>
        <v/>
      </c>
      <c r="B1633" t="str">
        <f t="shared" si="51"/>
        <v/>
      </c>
      <c r="C1633" t="str">
        <f>IF(D1633="","",IF(COUNTIF($D$2:D1633,D1633)&gt;1,"",SUMIFS(tbl_input[필요수량],tbl_input[집계키_청],D1633)))</f>
        <v/>
      </c>
      <c r="D1633" t="str">
        <f>IFERROR(INDEX(tbl_input[집계키_청],ROW()-1),"")</f>
        <v/>
      </c>
    </row>
    <row r="1634" spans="1:4" x14ac:dyDescent="0.4">
      <c r="A1634" t="str">
        <f t="shared" si="50"/>
        <v/>
      </c>
      <c r="B1634" t="str">
        <f t="shared" si="51"/>
        <v/>
      </c>
      <c r="C1634" t="str">
        <f>IF(D1634="","",IF(COUNTIF($D$2:D1634,D1634)&gt;1,"",SUMIFS(tbl_input[필요수량],tbl_input[집계키_청],D1634)))</f>
        <v/>
      </c>
      <c r="D1634" t="str">
        <f>IFERROR(INDEX(tbl_input[집계키_청],ROW()-1),"")</f>
        <v/>
      </c>
    </row>
    <row r="1635" spans="1:4" x14ac:dyDescent="0.4">
      <c r="A1635" t="str">
        <f t="shared" si="50"/>
        <v/>
      </c>
      <c r="B1635" t="str">
        <f t="shared" si="51"/>
        <v/>
      </c>
      <c r="C1635" t="str">
        <f>IF(D1635="","",IF(COUNTIF($D$2:D1635,D1635)&gt;1,"",SUMIFS(tbl_input[필요수량],tbl_input[집계키_청],D1635)))</f>
        <v/>
      </c>
      <c r="D1635" t="str">
        <f>IFERROR(INDEX(tbl_input[집계키_청],ROW()-1),"")</f>
        <v/>
      </c>
    </row>
    <row r="1636" spans="1:4" x14ac:dyDescent="0.4">
      <c r="A1636" t="str">
        <f t="shared" si="50"/>
        <v/>
      </c>
      <c r="B1636" t="str">
        <f t="shared" si="51"/>
        <v/>
      </c>
      <c r="C1636" t="str">
        <f>IF(D1636="","",IF(COUNTIF($D$2:D1636,D1636)&gt;1,"",SUMIFS(tbl_input[필요수량],tbl_input[집계키_청],D1636)))</f>
        <v/>
      </c>
      <c r="D1636" t="str">
        <f>IFERROR(INDEX(tbl_input[집계키_청],ROW()-1),"")</f>
        <v/>
      </c>
    </row>
    <row r="1637" spans="1:4" x14ac:dyDescent="0.4">
      <c r="A1637" t="str">
        <f t="shared" si="50"/>
        <v/>
      </c>
      <c r="B1637" t="str">
        <f t="shared" si="51"/>
        <v/>
      </c>
      <c r="C1637" t="str">
        <f>IF(D1637="","",IF(COUNTIF($D$2:D1637,D1637)&gt;1,"",SUMIFS(tbl_input[필요수량],tbl_input[집계키_청],D1637)))</f>
        <v/>
      </c>
      <c r="D1637" t="str">
        <f>IFERROR(INDEX(tbl_input[집계키_청],ROW()-1),"")</f>
        <v/>
      </c>
    </row>
    <row r="1638" spans="1:4" x14ac:dyDescent="0.4">
      <c r="A1638" t="str">
        <f t="shared" si="50"/>
        <v/>
      </c>
      <c r="B1638" t="str">
        <f t="shared" si="51"/>
        <v/>
      </c>
      <c r="C1638" t="str">
        <f>IF(D1638="","",IF(COUNTIF($D$2:D1638,D1638)&gt;1,"",SUMIFS(tbl_input[필요수량],tbl_input[집계키_청],D1638)))</f>
        <v/>
      </c>
      <c r="D1638" t="str">
        <f>IFERROR(INDEX(tbl_input[집계키_청],ROW()-1),"")</f>
        <v/>
      </c>
    </row>
    <row r="1639" spans="1:4" x14ac:dyDescent="0.4">
      <c r="A1639" t="str">
        <f t="shared" si="50"/>
        <v/>
      </c>
      <c r="B1639" t="str">
        <f t="shared" si="51"/>
        <v/>
      </c>
      <c r="C1639" t="str">
        <f>IF(D1639="","",IF(COUNTIF($D$2:D1639,D1639)&gt;1,"",SUMIFS(tbl_input[필요수량],tbl_input[집계키_청],D1639)))</f>
        <v/>
      </c>
      <c r="D1639" t="str">
        <f>IFERROR(INDEX(tbl_input[집계키_청],ROW()-1),"")</f>
        <v/>
      </c>
    </row>
    <row r="1640" spans="1:4" x14ac:dyDescent="0.4">
      <c r="A1640" t="str">
        <f t="shared" si="50"/>
        <v/>
      </c>
      <c r="B1640" t="str">
        <f t="shared" si="51"/>
        <v/>
      </c>
      <c r="C1640" t="str">
        <f>IF(D1640="","",IF(COUNTIF($D$2:D1640,D1640)&gt;1,"",SUMIFS(tbl_input[필요수량],tbl_input[집계키_청],D1640)))</f>
        <v/>
      </c>
      <c r="D1640" t="str">
        <f>IFERROR(INDEX(tbl_input[집계키_청],ROW()-1),"")</f>
        <v/>
      </c>
    </row>
    <row r="1641" spans="1:4" x14ac:dyDescent="0.4">
      <c r="A1641" t="str">
        <f t="shared" si="50"/>
        <v/>
      </c>
      <c r="B1641" t="str">
        <f t="shared" si="51"/>
        <v/>
      </c>
      <c r="C1641" t="str">
        <f>IF(D1641="","",IF(COUNTIF($D$2:D1641,D1641)&gt;1,"",SUMIFS(tbl_input[필요수량],tbl_input[집계키_청],D1641)))</f>
        <v/>
      </c>
      <c r="D1641" t="str">
        <f>IFERROR(INDEX(tbl_input[집계키_청],ROW()-1),"")</f>
        <v/>
      </c>
    </row>
    <row r="1642" spans="1:4" x14ac:dyDescent="0.4">
      <c r="A1642" t="str">
        <f t="shared" si="50"/>
        <v/>
      </c>
      <c r="B1642" t="str">
        <f t="shared" si="51"/>
        <v/>
      </c>
      <c r="C1642" t="str">
        <f>IF(D1642="","",IF(COUNTIF($D$2:D1642,D1642)&gt;1,"",SUMIFS(tbl_input[필요수량],tbl_input[집계키_청],D1642)))</f>
        <v/>
      </c>
      <c r="D1642" t="str">
        <f>IFERROR(INDEX(tbl_input[집계키_청],ROW()-1),"")</f>
        <v/>
      </c>
    </row>
    <row r="1643" spans="1:4" x14ac:dyDescent="0.4">
      <c r="A1643" t="str">
        <f t="shared" si="50"/>
        <v/>
      </c>
      <c r="B1643" t="str">
        <f t="shared" si="51"/>
        <v/>
      </c>
      <c r="C1643" t="str">
        <f>IF(D1643="","",IF(COUNTIF($D$2:D1643,D1643)&gt;1,"",SUMIFS(tbl_input[필요수량],tbl_input[집계키_청],D1643)))</f>
        <v/>
      </c>
      <c r="D1643" t="str">
        <f>IFERROR(INDEX(tbl_input[집계키_청],ROW()-1),"")</f>
        <v/>
      </c>
    </row>
    <row r="1644" spans="1:4" x14ac:dyDescent="0.4">
      <c r="A1644" t="str">
        <f t="shared" si="50"/>
        <v/>
      </c>
      <c r="B1644" t="str">
        <f t="shared" si="51"/>
        <v/>
      </c>
      <c r="C1644" t="str">
        <f>IF(D1644="","",IF(COUNTIF($D$2:D1644,D1644)&gt;1,"",SUMIFS(tbl_input[필요수량],tbl_input[집계키_청],D1644)))</f>
        <v/>
      </c>
      <c r="D1644" t="str">
        <f>IFERROR(INDEX(tbl_input[집계키_청],ROW()-1),"")</f>
        <v/>
      </c>
    </row>
    <row r="1645" spans="1:4" x14ac:dyDescent="0.4">
      <c r="A1645" t="str">
        <f t="shared" si="50"/>
        <v/>
      </c>
      <c r="B1645" t="str">
        <f t="shared" si="51"/>
        <v/>
      </c>
      <c r="C1645" t="str">
        <f>IF(D1645="","",IF(COUNTIF($D$2:D1645,D1645)&gt;1,"",SUMIFS(tbl_input[필요수량],tbl_input[집계키_청],D1645)))</f>
        <v/>
      </c>
      <c r="D1645" t="str">
        <f>IFERROR(INDEX(tbl_input[집계키_청],ROW()-1),"")</f>
        <v/>
      </c>
    </row>
    <row r="1646" spans="1:4" x14ac:dyDescent="0.4">
      <c r="A1646" t="str">
        <f t="shared" si="50"/>
        <v/>
      </c>
      <c r="B1646" t="str">
        <f t="shared" si="51"/>
        <v/>
      </c>
      <c r="C1646" t="str">
        <f>IF(D1646="","",IF(COUNTIF($D$2:D1646,D1646)&gt;1,"",SUMIFS(tbl_input[필요수량],tbl_input[집계키_청],D1646)))</f>
        <v/>
      </c>
      <c r="D1646" t="str">
        <f>IFERROR(INDEX(tbl_input[집계키_청],ROW()-1),"")</f>
        <v/>
      </c>
    </row>
    <row r="1647" spans="1:4" x14ac:dyDescent="0.4">
      <c r="A1647" t="str">
        <f t="shared" si="50"/>
        <v/>
      </c>
      <c r="B1647" t="str">
        <f t="shared" si="51"/>
        <v/>
      </c>
      <c r="C1647" t="str">
        <f>IF(D1647="","",IF(COUNTIF($D$2:D1647,D1647)&gt;1,"",SUMIFS(tbl_input[필요수량],tbl_input[집계키_청],D1647)))</f>
        <v/>
      </c>
      <c r="D1647" t="str">
        <f>IFERROR(INDEX(tbl_input[집계키_청],ROW()-1),"")</f>
        <v/>
      </c>
    </row>
    <row r="1648" spans="1:4" x14ac:dyDescent="0.4">
      <c r="A1648" t="str">
        <f t="shared" si="50"/>
        <v/>
      </c>
      <c r="B1648" t="str">
        <f t="shared" si="51"/>
        <v/>
      </c>
      <c r="C1648" t="str">
        <f>IF(D1648="","",IF(COUNTIF($D$2:D1648,D1648)&gt;1,"",SUMIFS(tbl_input[필요수량],tbl_input[집계키_청],D1648)))</f>
        <v/>
      </c>
      <c r="D1648" t="str">
        <f>IFERROR(INDEX(tbl_input[집계키_청],ROW()-1),"")</f>
        <v/>
      </c>
    </row>
    <row r="1649" spans="1:4" x14ac:dyDescent="0.4">
      <c r="A1649" t="str">
        <f t="shared" si="50"/>
        <v/>
      </c>
      <c r="B1649" t="str">
        <f t="shared" si="51"/>
        <v/>
      </c>
      <c r="C1649" t="str">
        <f>IF(D1649="","",IF(COUNTIF($D$2:D1649,D1649)&gt;1,"",SUMIFS(tbl_input[필요수량],tbl_input[집계키_청],D1649)))</f>
        <v/>
      </c>
      <c r="D1649" t="str">
        <f>IFERROR(INDEX(tbl_input[집계키_청],ROW()-1),"")</f>
        <v/>
      </c>
    </row>
    <row r="1650" spans="1:4" x14ac:dyDescent="0.4">
      <c r="A1650" t="str">
        <f t="shared" si="50"/>
        <v/>
      </c>
      <c r="B1650" t="str">
        <f t="shared" si="51"/>
        <v/>
      </c>
      <c r="C1650" t="str">
        <f>IF(D1650="","",IF(COUNTIF($D$2:D1650,D1650)&gt;1,"",SUMIFS(tbl_input[필요수량],tbl_input[집계키_청],D1650)))</f>
        <v/>
      </c>
      <c r="D1650" t="str">
        <f>IFERROR(INDEX(tbl_input[집계키_청],ROW()-1),"")</f>
        <v/>
      </c>
    </row>
    <row r="1651" spans="1:4" x14ac:dyDescent="0.4">
      <c r="A1651" t="str">
        <f t="shared" si="50"/>
        <v/>
      </c>
      <c r="B1651" t="str">
        <f t="shared" si="51"/>
        <v/>
      </c>
      <c r="C1651" t="str">
        <f>IF(D1651="","",IF(COUNTIF($D$2:D1651,D1651)&gt;1,"",SUMIFS(tbl_input[필요수량],tbl_input[집계키_청],D1651)))</f>
        <v/>
      </c>
      <c r="D1651" t="str">
        <f>IFERROR(INDEX(tbl_input[집계키_청],ROW()-1),"")</f>
        <v/>
      </c>
    </row>
    <row r="1652" spans="1:4" x14ac:dyDescent="0.4">
      <c r="A1652" t="str">
        <f t="shared" si="50"/>
        <v/>
      </c>
      <c r="B1652" t="str">
        <f t="shared" si="51"/>
        <v/>
      </c>
      <c r="C1652" t="str">
        <f>IF(D1652="","",IF(COUNTIF($D$2:D1652,D1652)&gt;1,"",SUMIFS(tbl_input[필요수량],tbl_input[집계키_청],D1652)))</f>
        <v/>
      </c>
      <c r="D1652" t="str">
        <f>IFERROR(INDEX(tbl_input[집계키_청],ROW()-1),"")</f>
        <v/>
      </c>
    </row>
    <row r="1653" spans="1:4" x14ac:dyDescent="0.4">
      <c r="A1653" t="str">
        <f t="shared" si="50"/>
        <v/>
      </c>
      <c r="B1653" t="str">
        <f t="shared" si="51"/>
        <v/>
      </c>
      <c r="C1653" t="str">
        <f>IF(D1653="","",IF(COUNTIF($D$2:D1653,D1653)&gt;1,"",SUMIFS(tbl_input[필요수량],tbl_input[집계키_청],D1653)))</f>
        <v/>
      </c>
      <c r="D1653" t="str">
        <f>IFERROR(INDEX(tbl_input[집계키_청],ROW()-1),"")</f>
        <v/>
      </c>
    </row>
    <row r="1654" spans="1:4" x14ac:dyDescent="0.4">
      <c r="A1654" t="str">
        <f t="shared" si="50"/>
        <v/>
      </c>
      <c r="B1654" t="str">
        <f t="shared" si="51"/>
        <v/>
      </c>
      <c r="C1654" t="str">
        <f>IF(D1654="","",IF(COUNTIF($D$2:D1654,D1654)&gt;1,"",SUMIFS(tbl_input[필요수량],tbl_input[집계키_청],D1654)))</f>
        <v/>
      </c>
      <c r="D1654" t="str">
        <f>IFERROR(INDEX(tbl_input[집계키_청],ROW()-1),"")</f>
        <v/>
      </c>
    </row>
    <row r="1655" spans="1:4" x14ac:dyDescent="0.4">
      <c r="A1655" t="str">
        <f t="shared" si="50"/>
        <v/>
      </c>
      <c r="B1655" t="str">
        <f t="shared" si="51"/>
        <v/>
      </c>
      <c r="C1655" t="str">
        <f>IF(D1655="","",IF(COUNTIF($D$2:D1655,D1655)&gt;1,"",SUMIFS(tbl_input[필요수량],tbl_input[집계키_청],D1655)))</f>
        <v/>
      </c>
      <c r="D1655" t="str">
        <f>IFERROR(INDEX(tbl_input[집계키_청],ROW()-1),"")</f>
        <v/>
      </c>
    </row>
    <row r="1656" spans="1:4" x14ac:dyDescent="0.4">
      <c r="A1656" t="str">
        <f t="shared" si="50"/>
        <v/>
      </c>
      <c r="B1656" t="str">
        <f t="shared" si="51"/>
        <v/>
      </c>
      <c r="C1656" t="str">
        <f>IF(D1656="","",IF(COUNTIF($D$2:D1656,D1656)&gt;1,"",SUMIFS(tbl_input[필요수량],tbl_input[집계키_청],D1656)))</f>
        <v/>
      </c>
      <c r="D1656" t="str">
        <f>IFERROR(INDEX(tbl_input[집계키_청],ROW()-1),"")</f>
        <v/>
      </c>
    </row>
    <row r="1657" spans="1:4" x14ac:dyDescent="0.4">
      <c r="A1657" t="str">
        <f t="shared" si="50"/>
        <v/>
      </c>
      <c r="B1657" t="str">
        <f t="shared" si="51"/>
        <v/>
      </c>
      <c r="C1657" t="str">
        <f>IF(D1657="","",IF(COUNTIF($D$2:D1657,D1657)&gt;1,"",SUMIFS(tbl_input[필요수량],tbl_input[집계키_청],D1657)))</f>
        <v/>
      </c>
      <c r="D1657" t="str">
        <f>IFERROR(INDEX(tbl_input[집계키_청],ROW()-1),"")</f>
        <v/>
      </c>
    </row>
    <row r="1658" spans="1:4" x14ac:dyDescent="0.4">
      <c r="A1658" t="str">
        <f t="shared" si="50"/>
        <v/>
      </c>
      <c r="B1658" t="str">
        <f t="shared" si="51"/>
        <v/>
      </c>
      <c r="C1658" t="str">
        <f>IF(D1658="","",IF(COUNTIF($D$2:D1658,D1658)&gt;1,"",SUMIFS(tbl_input[필요수량],tbl_input[집계키_청],D1658)))</f>
        <v/>
      </c>
      <c r="D1658" t="str">
        <f>IFERROR(INDEX(tbl_input[집계키_청],ROW()-1),"")</f>
        <v/>
      </c>
    </row>
    <row r="1659" spans="1:4" x14ac:dyDescent="0.4">
      <c r="A1659" t="str">
        <f t="shared" si="50"/>
        <v/>
      </c>
      <c r="B1659" t="str">
        <f t="shared" si="51"/>
        <v/>
      </c>
      <c r="C1659" t="str">
        <f>IF(D1659="","",IF(COUNTIF($D$2:D1659,D1659)&gt;1,"",SUMIFS(tbl_input[필요수량],tbl_input[집계키_청],D1659)))</f>
        <v/>
      </c>
      <c r="D1659" t="str">
        <f>IFERROR(INDEX(tbl_input[집계키_청],ROW()-1),"")</f>
        <v/>
      </c>
    </row>
    <row r="1660" spans="1:4" x14ac:dyDescent="0.4">
      <c r="A1660" t="str">
        <f t="shared" si="50"/>
        <v/>
      </c>
      <c r="B1660" t="str">
        <f t="shared" si="51"/>
        <v/>
      </c>
      <c r="C1660" t="str">
        <f>IF(D1660="","",IF(COUNTIF($D$2:D1660,D1660)&gt;1,"",SUMIFS(tbl_input[필요수량],tbl_input[집계키_청],D1660)))</f>
        <v/>
      </c>
      <c r="D1660" t="str">
        <f>IFERROR(INDEX(tbl_input[집계키_청],ROW()-1),"")</f>
        <v/>
      </c>
    </row>
    <row r="1661" spans="1:4" x14ac:dyDescent="0.4">
      <c r="A1661" t="str">
        <f t="shared" si="50"/>
        <v/>
      </c>
      <c r="B1661" t="str">
        <f t="shared" si="51"/>
        <v/>
      </c>
      <c r="C1661" t="str">
        <f>IF(D1661="","",IF(COUNTIF($D$2:D1661,D1661)&gt;1,"",SUMIFS(tbl_input[필요수량],tbl_input[집계키_청],D1661)))</f>
        <v/>
      </c>
      <c r="D1661" t="str">
        <f>IFERROR(INDEX(tbl_input[집계키_청],ROW()-1),"")</f>
        <v/>
      </c>
    </row>
    <row r="1662" spans="1:4" x14ac:dyDescent="0.4">
      <c r="A1662" t="str">
        <f t="shared" si="50"/>
        <v/>
      </c>
      <c r="B1662" t="str">
        <f t="shared" si="51"/>
        <v/>
      </c>
      <c r="C1662" t="str">
        <f>IF(D1662="","",IF(COUNTIF($D$2:D1662,D1662)&gt;1,"",SUMIFS(tbl_input[필요수량],tbl_input[집계키_청],D1662)))</f>
        <v/>
      </c>
      <c r="D1662" t="str">
        <f>IFERROR(INDEX(tbl_input[집계키_청],ROW()-1),"")</f>
        <v/>
      </c>
    </row>
    <row r="1663" spans="1:4" x14ac:dyDescent="0.4">
      <c r="A1663" t="str">
        <f t="shared" si="50"/>
        <v/>
      </c>
      <c r="B1663" t="str">
        <f t="shared" si="51"/>
        <v/>
      </c>
      <c r="C1663" t="str">
        <f>IF(D1663="","",IF(COUNTIF($D$2:D1663,D1663)&gt;1,"",SUMIFS(tbl_input[필요수량],tbl_input[집계키_청],D1663)))</f>
        <v/>
      </c>
      <c r="D1663" t="str">
        <f>IFERROR(INDEX(tbl_input[집계키_청],ROW()-1),"")</f>
        <v/>
      </c>
    </row>
    <row r="1664" spans="1:4" x14ac:dyDescent="0.4">
      <c r="A1664" t="str">
        <f t="shared" si="50"/>
        <v/>
      </c>
      <c r="B1664" t="str">
        <f t="shared" si="51"/>
        <v/>
      </c>
      <c r="C1664" t="str">
        <f>IF(D1664="","",IF(COUNTIF($D$2:D1664,D1664)&gt;1,"",SUMIFS(tbl_input[필요수량],tbl_input[집계키_청],D1664)))</f>
        <v/>
      </c>
      <c r="D1664" t="str">
        <f>IFERROR(INDEX(tbl_input[집계키_청],ROW()-1),"")</f>
        <v/>
      </c>
    </row>
    <row r="1665" spans="1:4" x14ac:dyDescent="0.4">
      <c r="A1665" t="str">
        <f t="shared" si="50"/>
        <v/>
      </c>
      <c r="B1665" t="str">
        <f t="shared" si="51"/>
        <v/>
      </c>
      <c r="C1665" t="str">
        <f>IF(D1665="","",IF(COUNTIF($D$2:D1665,D1665)&gt;1,"",SUMIFS(tbl_input[필요수량],tbl_input[집계키_청],D1665)))</f>
        <v/>
      </c>
      <c r="D1665" t="str">
        <f>IFERROR(INDEX(tbl_input[집계키_청],ROW()-1),"")</f>
        <v/>
      </c>
    </row>
    <row r="1666" spans="1:4" x14ac:dyDescent="0.4">
      <c r="A1666" t="str">
        <f t="shared" ref="A1666:A1729" si="52">IF(D1666="","",LEFT(D1666,FIND("♦",D1666)-1))</f>
        <v/>
      </c>
      <c r="B1666" t="str">
        <f t="shared" ref="B1666:B1729" si="53">IF(D1666="","",MID(D1666,FIND("♦",D1666)+1,999))</f>
        <v/>
      </c>
      <c r="C1666" t="str">
        <f>IF(D1666="","",IF(COUNTIF($D$2:D1666,D1666)&gt;1,"",SUMIFS(tbl_input[필요수량],tbl_input[집계키_청],D1666)))</f>
        <v/>
      </c>
      <c r="D1666" t="str">
        <f>IFERROR(INDEX(tbl_input[집계키_청],ROW()-1),"")</f>
        <v/>
      </c>
    </row>
    <row r="1667" spans="1:4" x14ac:dyDescent="0.4">
      <c r="A1667" t="str">
        <f t="shared" si="52"/>
        <v/>
      </c>
      <c r="B1667" t="str">
        <f t="shared" si="53"/>
        <v/>
      </c>
      <c r="C1667" t="str">
        <f>IF(D1667="","",IF(COUNTIF($D$2:D1667,D1667)&gt;1,"",SUMIFS(tbl_input[필요수량],tbl_input[집계키_청],D1667)))</f>
        <v/>
      </c>
      <c r="D1667" t="str">
        <f>IFERROR(INDEX(tbl_input[집계키_청],ROW()-1),"")</f>
        <v/>
      </c>
    </row>
    <row r="1668" spans="1:4" x14ac:dyDescent="0.4">
      <c r="A1668" t="str">
        <f t="shared" si="52"/>
        <v/>
      </c>
      <c r="B1668" t="str">
        <f t="shared" si="53"/>
        <v/>
      </c>
      <c r="C1668" t="str">
        <f>IF(D1668="","",IF(COUNTIF($D$2:D1668,D1668)&gt;1,"",SUMIFS(tbl_input[필요수량],tbl_input[집계키_청],D1668)))</f>
        <v/>
      </c>
      <c r="D1668" t="str">
        <f>IFERROR(INDEX(tbl_input[집계키_청],ROW()-1),"")</f>
        <v/>
      </c>
    </row>
    <row r="1669" spans="1:4" x14ac:dyDescent="0.4">
      <c r="A1669" t="str">
        <f t="shared" si="52"/>
        <v/>
      </c>
      <c r="B1669" t="str">
        <f t="shared" si="53"/>
        <v/>
      </c>
      <c r="C1669" t="str">
        <f>IF(D1669="","",IF(COUNTIF($D$2:D1669,D1669)&gt;1,"",SUMIFS(tbl_input[필요수량],tbl_input[집계키_청],D1669)))</f>
        <v/>
      </c>
      <c r="D1669" t="str">
        <f>IFERROR(INDEX(tbl_input[집계키_청],ROW()-1),"")</f>
        <v/>
      </c>
    </row>
    <row r="1670" spans="1:4" x14ac:dyDescent="0.4">
      <c r="A1670" t="str">
        <f t="shared" si="52"/>
        <v/>
      </c>
      <c r="B1670" t="str">
        <f t="shared" si="53"/>
        <v/>
      </c>
      <c r="C1670" t="str">
        <f>IF(D1670="","",IF(COUNTIF($D$2:D1670,D1670)&gt;1,"",SUMIFS(tbl_input[필요수량],tbl_input[집계키_청],D1670)))</f>
        <v/>
      </c>
      <c r="D1670" t="str">
        <f>IFERROR(INDEX(tbl_input[집계키_청],ROW()-1),"")</f>
        <v/>
      </c>
    </row>
    <row r="1671" spans="1:4" x14ac:dyDescent="0.4">
      <c r="A1671" t="str">
        <f t="shared" si="52"/>
        <v/>
      </c>
      <c r="B1671" t="str">
        <f t="shared" si="53"/>
        <v/>
      </c>
      <c r="C1671" t="str">
        <f>IF(D1671="","",IF(COUNTIF($D$2:D1671,D1671)&gt;1,"",SUMIFS(tbl_input[필요수량],tbl_input[집계키_청],D1671)))</f>
        <v/>
      </c>
      <c r="D1671" t="str">
        <f>IFERROR(INDEX(tbl_input[집계키_청],ROW()-1),"")</f>
        <v/>
      </c>
    </row>
    <row r="1672" spans="1:4" x14ac:dyDescent="0.4">
      <c r="A1672" t="str">
        <f t="shared" si="52"/>
        <v/>
      </c>
      <c r="B1672" t="str">
        <f t="shared" si="53"/>
        <v/>
      </c>
      <c r="C1672" t="str">
        <f>IF(D1672="","",IF(COUNTIF($D$2:D1672,D1672)&gt;1,"",SUMIFS(tbl_input[필요수량],tbl_input[집계키_청],D1672)))</f>
        <v/>
      </c>
      <c r="D1672" t="str">
        <f>IFERROR(INDEX(tbl_input[집계키_청],ROW()-1),"")</f>
        <v/>
      </c>
    </row>
    <row r="1673" spans="1:4" x14ac:dyDescent="0.4">
      <c r="A1673" t="str">
        <f t="shared" si="52"/>
        <v/>
      </c>
      <c r="B1673" t="str">
        <f t="shared" si="53"/>
        <v/>
      </c>
      <c r="C1673" t="str">
        <f>IF(D1673="","",IF(COUNTIF($D$2:D1673,D1673)&gt;1,"",SUMIFS(tbl_input[필요수량],tbl_input[집계키_청],D1673)))</f>
        <v/>
      </c>
      <c r="D1673" t="str">
        <f>IFERROR(INDEX(tbl_input[집계키_청],ROW()-1),"")</f>
        <v/>
      </c>
    </row>
    <row r="1674" spans="1:4" x14ac:dyDescent="0.4">
      <c r="A1674" t="str">
        <f t="shared" si="52"/>
        <v/>
      </c>
      <c r="B1674" t="str">
        <f t="shared" si="53"/>
        <v/>
      </c>
      <c r="C1674" t="str">
        <f>IF(D1674="","",IF(COUNTIF($D$2:D1674,D1674)&gt;1,"",SUMIFS(tbl_input[필요수량],tbl_input[집계키_청],D1674)))</f>
        <v/>
      </c>
      <c r="D1674" t="str">
        <f>IFERROR(INDEX(tbl_input[집계키_청],ROW()-1),"")</f>
        <v/>
      </c>
    </row>
    <row r="1675" spans="1:4" x14ac:dyDescent="0.4">
      <c r="A1675" t="str">
        <f t="shared" si="52"/>
        <v/>
      </c>
      <c r="B1675" t="str">
        <f t="shared" si="53"/>
        <v/>
      </c>
      <c r="C1675" t="str">
        <f>IF(D1675="","",IF(COUNTIF($D$2:D1675,D1675)&gt;1,"",SUMIFS(tbl_input[필요수량],tbl_input[집계키_청],D1675)))</f>
        <v/>
      </c>
      <c r="D1675" t="str">
        <f>IFERROR(INDEX(tbl_input[집계키_청],ROW()-1),"")</f>
        <v/>
      </c>
    </row>
    <row r="1676" spans="1:4" x14ac:dyDescent="0.4">
      <c r="A1676" t="str">
        <f t="shared" si="52"/>
        <v/>
      </c>
      <c r="B1676" t="str">
        <f t="shared" si="53"/>
        <v/>
      </c>
      <c r="C1676" t="str">
        <f>IF(D1676="","",IF(COUNTIF($D$2:D1676,D1676)&gt;1,"",SUMIFS(tbl_input[필요수량],tbl_input[집계키_청],D1676)))</f>
        <v/>
      </c>
      <c r="D1676" t="str">
        <f>IFERROR(INDEX(tbl_input[집계키_청],ROW()-1),"")</f>
        <v/>
      </c>
    </row>
    <row r="1677" spans="1:4" x14ac:dyDescent="0.4">
      <c r="A1677" t="str">
        <f t="shared" si="52"/>
        <v/>
      </c>
      <c r="B1677" t="str">
        <f t="shared" si="53"/>
        <v/>
      </c>
      <c r="C1677" t="str">
        <f>IF(D1677="","",IF(COUNTIF($D$2:D1677,D1677)&gt;1,"",SUMIFS(tbl_input[필요수량],tbl_input[집계키_청],D1677)))</f>
        <v/>
      </c>
      <c r="D1677" t="str">
        <f>IFERROR(INDEX(tbl_input[집계키_청],ROW()-1),"")</f>
        <v/>
      </c>
    </row>
    <row r="1678" spans="1:4" x14ac:dyDescent="0.4">
      <c r="A1678" t="str">
        <f t="shared" si="52"/>
        <v/>
      </c>
      <c r="B1678" t="str">
        <f t="shared" si="53"/>
        <v/>
      </c>
      <c r="C1678" t="str">
        <f>IF(D1678="","",IF(COUNTIF($D$2:D1678,D1678)&gt;1,"",SUMIFS(tbl_input[필요수량],tbl_input[집계키_청],D1678)))</f>
        <v/>
      </c>
      <c r="D1678" t="str">
        <f>IFERROR(INDEX(tbl_input[집계키_청],ROW()-1),"")</f>
        <v/>
      </c>
    </row>
    <row r="1679" spans="1:4" x14ac:dyDescent="0.4">
      <c r="A1679" t="str">
        <f t="shared" si="52"/>
        <v/>
      </c>
      <c r="B1679" t="str">
        <f t="shared" si="53"/>
        <v/>
      </c>
      <c r="C1679" t="str">
        <f>IF(D1679="","",IF(COUNTIF($D$2:D1679,D1679)&gt;1,"",SUMIFS(tbl_input[필요수량],tbl_input[집계키_청],D1679)))</f>
        <v/>
      </c>
      <c r="D1679" t="str">
        <f>IFERROR(INDEX(tbl_input[집계키_청],ROW()-1),"")</f>
        <v/>
      </c>
    </row>
    <row r="1680" spans="1:4" x14ac:dyDescent="0.4">
      <c r="A1680" t="str">
        <f t="shared" si="52"/>
        <v/>
      </c>
      <c r="B1680" t="str">
        <f t="shared" si="53"/>
        <v/>
      </c>
      <c r="C1680" t="str">
        <f>IF(D1680="","",IF(COUNTIF($D$2:D1680,D1680)&gt;1,"",SUMIFS(tbl_input[필요수량],tbl_input[집계키_청],D1680)))</f>
        <v/>
      </c>
      <c r="D1680" t="str">
        <f>IFERROR(INDEX(tbl_input[집계키_청],ROW()-1),"")</f>
        <v/>
      </c>
    </row>
    <row r="1681" spans="1:4" x14ac:dyDescent="0.4">
      <c r="A1681" t="str">
        <f t="shared" si="52"/>
        <v/>
      </c>
      <c r="B1681" t="str">
        <f t="shared" si="53"/>
        <v/>
      </c>
      <c r="C1681" t="str">
        <f>IF(D1681="","",IF(COUNTIF($D$2:D1681,D1681)&gt;1,"",SUMIFS(tbl_input[필요수량],tbl_input[집계키_청],D1681)))</f>
        <v/>
      </c>
      <c r="D1681" t="str">
        <f>IFERROR(INDEX(tbl_input[집계키_청],ROW()-1),"")</f>
        <v/>
      </c>
    </row>
    <row r="1682" spans="1:4" x14ac:dyDescent="0.4">
      <c r="A1682" t="str">
        <f t="shared" si="52"/>
        <v/>
      </c>
      <c r="B1682" t="str">
        <f t="shared" si="53"/>
        <v/>
      </c>
      <c r="C1682" t="str">
        <f>IF(D1682="","",IF(COUNTIF($D$2:D1682,D1682)&gt;1,"",SUMIFS(tbl_input[필요수량],tbl_input[집계키_청],D1682)))</f>
        <v/>
      </c>
      <c r="D1682" t="str">
        <f>IFERROR(INDEX(tbl_input[집계키_청],ROW()-1),"")</f>
        <v/>
      </c>
    </row>
    <row r="1683" spans="1:4" x14ac:dyDescent="0.4">
      <c r="A1683" t="str">
        <f t="shared" si="52"/>
        <v/>
      </c>
      <c r="B1683" t="str">
        <f t="shared" si="53"/>
        <v/>
      </c>
      <c r="C1683" t="str">
        <f>IF(D1683="","",IF(COUNTIF($D$2:D1683,D1683)&gt;1,"",SUMIFS(tbl_input[필요수량],tbl_input[집계키_청],D1683)))</f>
        <v/>
      </c>
      <c r="D1683" t="str">
        <f>IFERROR(INDEX(tbl_input[집계키_청],ROW()-1),"")</f>
        <v/>
      </c>
    </row>
    <row r="1684" spans="1:4" x14ac:dyDescent="0.4">
      <c r="A1684" t="str">
        <f t="shared" si="52"/>
        <v/>
      </c>
      <c r="B1684" t="str">
        <f t="shared" si="53"/>
        <v/>
      </c>
      <c r="C1684" t="str">
        <f>IF(D1684="","",IF(COUNTIF($D$2:D1684,D1684)&gt;1,"",SUMIFS(tbl_input[필요수량],tbl_input[집계키_청],D1684)))</f>
        <v/>
      </c>
      <c r="D1684" t="str">
        <f>IFERROR(INDEX(tbl_input[집계키_청],ROW()-1),"")</f>
        <v/>
      </c>
    </row>
    <row r="1685" spans="1:4" x14ac:dyDescent="0.4">
      <c r="A1685" t="str">
        <f t="shared" si="52"/>
        <v/>
      </c>
      <c r="B1685" t="str">
        <f t="shared" si="53"/>
        <v/>
      </c>
      <c r="C1685" t="str">
        <f>IF(D1685="","",IF(COUNTIF($D$2:D1685,D1685)&gt;1,"",SUMIFS(tbl_input[필요수량],tbl_input[집계키_청],D1685)))</f>
        <v/>
      </c>
      <c r="D1685" t="str">
        <f>IFERROR(INDEX(tbl_input[집계키_청],ROW()-1),"")</f>
        <v/>
      </c>
    </row>
    <row r="1686" spans="1:4" x14ac:dyDescent="0.4">
      <c r="A1686" t="str">
        <f t="shared" si="52"/>
        <v/>
      </c>
      <c r="B1686" t="str">
        <f t="shared" si="53"/>
        <v/>
      </c>
      <c r="C1686" t="str">
        <f>IF(D1686="","",IF(COUNTIF($D$2:D1686,D1686)&gt;1,"",SUMIFS(tbl_input[필요수량],tbl_input[집계키_청],D1686)))</f>
        <v/>
      </c>
      <c r="D1686" t="str">
        <f>IFERROR(INDEX(tbl_input[집계키_청],ROW()-1),"")</f>
        <v/>
      </c>
    </row>
    <row r="1687" spans="1:4" x14ac:dyDescent="0.4">
      <c r="A1687" t="str">
        <f t="shared" si="52"/>
        <v/>
      </c>
      <c r="B1687" t="str">
        <f t="shared" si="53"/>
        <v/>
      </c>
      <c r="C1687" t="str">
        <f>IF(D1687="","",IF(COUNTIF($D$2:D1687,D1687)&gt;1,"",SUMIFS(tbl_input[필요수량],tbl_input[집계키_청],D1687)))</f>
        <v/>
      </c>
      <c r="D1687" t="str">
        <f>IFERROR(INDEX(tbl_input[집계키_청],ROW()-1),"")</f>
        <v/>
      </c>
    </row>
    <row r="1688" spans="1:4" x14ac:dyDescent="0.4">
      <c r="A1688" t="str">
        <f t="shared" si="52"/>
        <v/>
      </c>
      <c r="B1688" t="str">
        <f t="shared" si="53"/>
        <v/>
      </c>
      <c r="C1688" t="str">
        <f>IF(D1688="","",IF(COUNTIF($D$2:D1688,D1688)&gt;1,"",SUMIFS(tbl_input[필요수량],tbl_input[집계키_청],D1688)))</f>
        <v/>
      </c>
      <c r="D1688" t="str">
        <f>IFERROR(INDEX(tbl_input[집계키_청],ROW()-1),"")</f>
        <v/>
      </c>
    </row>
    <row r="1689" spans="1:4" x14ac:dyDescent="0.4">
      <c r="A1689" t="str">
        <f t="shared" si="52"/>
        <v/>
      </c>
      <c r="B1689" t="str">
        <f t="shared" si="53"/>
        <v/>
      </c>
      <c r="C1689" t="str">
        <f>IF(D1689="","",IF(COUNTIF($D$2:D1689,D1689)&gt;1,"",SUMIFS(tbl_input[필요수량],tbl_input[집계키_청],D1689)))</f>
        <v/>
      </c>
      <c r="D1689" t="str">
        <f>IFERROR(INDEX(tbl_input[집계키_청],ROW()-1),"")</f>
        <v/>
      </c>
    </row>
    <row r="1690" spans="1:4" x14ac:dyDescent="0.4">
      <c r="A1690" t="str">
        <f t="shared" si="52"/>
        <v/>
      </c>
      <c r="B1690" t="str">
        <f t="shared" si="53"/>
        <v/>
      </c>
      <c r="C1690" t="str">
        <f>IF(D1690="","",IF(COUNTIF($D$2:D1690,D1690)&gt;1,"",SUMIFS(tbl_input[필요수량],tbl_input[집계키_청],D1690)))</f>
        <v/>
      </c>
      <c r="D1690" t="str">
        <f>IFERROR(INDEX(tbl_input[집계키_청],ROW()-1),"")</f>
        <v/>
      </c>
    </row>
    <row r="1691" spans="1:4" x14ac:dyDescent="0.4">
      <c r="A1691" t="str">
        <f t="shared" si="52"/>
        <v/>
      </c>
      <c r="B1691" t="str">
        <f t="shared" si="53"/>
        <v/>
      </c>
      <c r="C1691" t="str">
        <f>IF(D1691="","",IF(COUNTIF($D$2:D1691,D1691)&gt;1,"",SUMIFS(tbl_input[필요수량],tbl_input[집계키_청],D1691)))</f>
        <v/>
      </c>
      <c r="D1691" t="str">
        <f>IFERROR(INDEX(tbl_input[집계키_청],ROW()-1),"")</f>
        <v/>
      </c>
    </row>
    <row r="1692" spans="1:4" x14ac:dyDescent="0.4">
      <c r="A1692" t="str">
        <f t="shared" si="52"/>
        <v/>
      </c>
      <c r="B1692" t="str">
        <f t="shared" si="53"/>
        <v/>
      </c>
      <c r="C1692" t="str">
        <f>IF(D1692="","",IF(COUNTIF($D$2:D1692,D1692)&gt;1,"",SUMIFS(tbl_input[필요수량],tbl_input[집계키_청],D1692)))</f>
        <v/>
      </c>
      <c r="D1692" t="str">
        <f>IFERROR(INDEX(tbl_input[집계키_청],ROW()-1),"")</f>
        <v/>
      </c>
    </row>
    <row r="1693" spans="1:4" x14ac:dyDescent="0.4">
      <c r="A1693" t="str">
        <f t="shared" si="52"/>
        <v/>
      </c>
      <c r="B1693" t="str">
        <f t="shared" si="53"/>
        <v/>
      </c>
      <c r="C1693" t="str">
        <f>IF(D1693="","",IF(COUNTIF($D$2:D1693,D1693)&gt;1,"",SUMIFS(tbl_input[필요수량],tbl_input[집계키_청],D1693)))</f>
        <v/>
      </c>
      <c r="D1693" t="str">
        <f>IFERROR(INDEX(tbl_input[집계키_청],ROW()-1),"")</f>
        <v/>
      </c>
    </row>
    <row r="1694" spans="1:4" x14ac:dyDescent="0.4">
      <c r="A1694" t="str">
        <f t="shared" si="52"/>
        <v/>
      </c>
      <c r="B1694" t="str">
        <f t="shared" si="53"/>
        <v/>
      </c>
      <c r="C1694" t="str">
        <f>IF(D1694="","",IF(COUNTIF($D$2:D1694,D1694)&gt;1,"",SUMIFS(tbl_input[필요수량],tbl_input[집계키_청],D1694)))</f>
        <v/>
      </c>
      <c r="D1694" t="str">
        <f>IFERROR(INDEX(tbl_input[집계키_청],ROW()-1),"")</f>
        <v/>
      </c>
    </row>
    <row r="1695" spans="1:4" x14ac:dyDescent="0.4">
      <c r="A1695" t="str">
        <f t="shared" si="52"/>
        <v/>
      </c>
      <c r="B1695" t="str">
        <f t="shared" si="53"/>
        <v/>
      </c>
      <c r="C1695" t="str">
        <f>IF(D1695="","",IF(COUNTIF($D$2:D1695,D1695)&gt;1,"",SUMIFS(tbl_input[필요수량],tbl_input[집계키_청],D1695)))</f>
        <v/>
      </c>
      <c r="D1695" t="str">
        <f>IFERROR(INDEX(tbl_input[집계키_청],ROW()-1),"")</f>
        <v/>
      </c>
    </row>
    <row r="1696" spans="1:4" x14ac:dyDescent="0.4">
      <c r="A1696" t="str">
        <f t="shared" si="52"/>
        <v/>
      </c>
      <c r="B1696" t="str">
        <f t="shared" si="53"/>
        <v/>
      </c>
      <c r="C1696" t="str">
        <f>IF(D1696="","",IF(COUNTIF($D$2:D1696,D1696)&gt;1,"",SUMIFS(tbl_input[필요수량],tbl_input[집계키_청],D1696)))</f>
        <v/>
      </c>
      <c r="D1696" t="str">
        <f>IFERROR(INDEX(tbl_input[집계키_청],ROW()-1),"")</f>
        <v/>
      </c>
    </row>
    <row r="1697" spans="1:4" x14ac:dyDescent="0.4">
      <c r="A1697" t="str">
        <f t="shared" si="52"/>
        <v/>
      </c>
      <c r="B1697" t="str">
        <f t="shared" si="53"/>
        <v/>
      </c>
      <c r="C1697" t="str">
        <f>IF(D1697="","",IF(COUNTIF($D$2:D1697,D1697)&gt;1,"",SUMIFS(tbl_input[필요수량],tbl_input[집계키_청],D1697)))</f>
        <v/>
      </c>
      <c r="D1697" t="str">
        <f>IFERROR(INDEX(tbl_input[집계키_청],ROW()-1),"")</f>
        <v/>
      </c>
    </row>
    <row r="1698" spans="1:4" x14ac:dyDescent="0.4">
      <c r="A1698" t="str">
        <f t="shared" si="52"/>
        <v/>
      </c>
      <c r="B1698" t="str">
        <f t="shared" si="53"/>
        <v/>
      </c>
      <c r="C1698" t="str">
        <f>IF(D1698="","",IF(COUNTIF($D$2:D1698,D1698)&gt;1,"",SUMIFS(tbl_input[필요수량],tbl_input[집계키_청],D1698)))</f>
        <v/>
      </c>
      <c r="D1698" t="str">
        <f>IFERROR(INDEX(tbl_input[집계키_청],ROW()-1),"")</f>
        <v/>
      </c>
    </row>
    <row r="1699" spans="1:4" x14ac:dyDescent="0.4">
      <c r="A1699" t="str">
        <f t="shared" si="52"/>
        <v/>
      </c>
      <c r="B1699" t="str">
        <f t="shared" si="53"/>
        <v/>
      </c>
      <c r="C1699" t="str">
        <f>IF(D1699="","",IF(COUNTIF($D$2:D1699,D1699)&gt;1,"",SUMIFS(tbl_input[필요수량],tbl_input[집계키_청],D1699)))</f>
        <v/>
      </c>
      <c r="D1699" t="str">
        <f>IFERROR(INDEX(tbl_input[집계키_청],ROW()-1),"")</f>
        <v/>
      </c>
    </row>
    <row r="1700" spans="1:4" x14ac:dyDescent="0.4">
      <c r="A1700" t="str">
        <f t="shared" si="52"/>
        <v/>
      </c>
      <c r="B1700" t="str">
        <f t="shared" si="53"/>
        <v/>
      </c>
      <c r="C1700" t="str">
        <f>IF(D1700="","",IF(COUNTIF($D$2:D1700,D1700)&gt;1,"",SUMIFS(tbl_input[필요수량],tbl_input[집계키_청],D1700)))</f>
        <v/>
      </c>
      <c r="D1700" t="str">
        <f>IFERROR(INDEX(tbl_input[집계키_청],ROW()-1),"")</f>
        <v/>
      </c>
    </row>
    <row r="1701" spans="1:4" x14ac:dyDescent="0.4">
      <c r="A1701" t="str">
        <f t="shared" si="52"/>
        <v/>
      </c>
      <c r="B1701" t="str">
        <f t="shared" si="53"/>
        <v/>
      </c>
      <c r="C1701" t="str">
        <f>IF(D1701="","",IF(COUNTIF($D$2:D1701,D1701)&gt;1,"",SUMIFS(tbl_input[필요수량],tbl_input[집계키_청],D1701)))</f>
        <v/>
      </c>
      <c r="D1701" t="str">
        <f>IFERROR(INDEX(tbl_input[집계키_청],ROW()-1),"")</f>
        <v/>
      </c>
    </row>
    <row r="1702" spans="1:4" x14ac:dyDescent="0.4">
      <c r="A1702" t="str">
        <f t="shared" si="52"/>
        <v/>
      </c>
      <c r="B1702" t="str">
        <f t="shared" si="53"/>
        <v/>
      </c>
      <c r="C1702" t="str">
        <f>IF(D1702="","",IF(COUNTIF($D$2:D1702,D1702)&gt;1,"",SUMIFS(tbl_input[필요수량],tbl_input[집계키_청],D1702)))</f>
        <v/>
      </c>
      <c r="D1702" t="str">
        <f>IFERROR(INDEX(tbl_input[집계키_청],ROW()-1),"")</f>
        <v/>
      </c>
    </row>
    <row r="1703" spans="1:4" x14ac:dyDescent="0.4">
      <c r="A1703" t="str">
        <f t="shared" si="52"/>
        <v/>
      </c>
      <c r="B1703" t="str">
        <f t="shared" si="53"/>
        <v/>
      </c>
      <c r="C1703" t="str">
        <f>IF(D1703="","",IF(COUNTIF($D$2:D1703,D1703)&gt;1,"",SUMIFS(tbl_input[필요수량],tbl_input[집계키_청],D1703)))</f>
        <v/>
      </c>
      <c r="D1703" t="str">
        <f>IFERROR(INDEX(tbl_input[집계키_청],ROW()-1),"")</f>
        <v/>
      </c>
    </row>
    <row r="1704" spans="1:4" x14ac:dyDescent="0.4">
      <c r="A1704" t="str">
        <f t="shared" si="52"/>
        <v/>
      </c>
      <c r="B1704" t="str">
        <f t="shared" si="53"/>
        <v/>
      </c>
      <c r="C1704" t="str">
        <f>IF(D1704="","",IF(COUNTIF($D$2:D1704,D1704)&gt;1,"",SUMIFS(tbl_input[필요수량],tbl_input[집계키_청],D1704)))</f>
        <v/>
      </c>
      <c r="D1704" t="str">
        <f>IFERROR(INDEX(tbl_input[집계키_청],ROW()-1),"")</f>
        <v/>
      </c>
    </row>
    <row r="1705" spans="1:4" x14ac:dyDescent="0.4">
      <c r="A1705" t="str">
        <f t="shared" si="52"/>
        <v/>
      </c>
      <c r="B1705" t="str">
        <f t="shared" si="53"/>
        <v/>
      </c>
      <c r="C1705" t="str">
        <f>IF(D1705="","",IF(COUNTIF($D$2:D1705,D1705)&gt;1,"",SUMIFS(tbl_input[필요수량],tbl_input[집계키_청],D1705)))</f>
        <v/>
      </c>
      <c r="D1705" t="str">
        <f>IFERROR(INDEX(tbl_input[집계키_청],ROW()-1),"")</f>
        <v/>
      </c>
    </row>
    <row r="1706" spans="1:4" x14ac:dyDescent="0.4">
      <c r="A1706" t="str">
        <f t="shared" si="52"/>
        <v/>
      </c>
      <c r="B1706" t="str">
        <f t="shared" si="53"/>
        <v/>
      </c>
      <c r="C1706" t="str">
        <f>IF(D1706="","",IF(COUNTIF($D$2:D1706,D1706)&gt;1,"",SUMIFS(tbl_input[필요수량],tbl_input[집계키_청],D1706)))</f>
        <v/>
      </c>
      <c r="D1706" t="str">
        <f>IFERROR(INDEX(tbl_input[집계키_청],ROW()-1),"")</f>
        <v/>
      </c>
    </row>
    <row r="1707" spans="1:4" x14ac:dyDescent="0.4">
      <c r="A1707" t="str">
        <f t="shared" si="52"/>
        <v/>
      </c>
      <c r="B1707" t="str">
        <f t="shared" si="53"/>
        <v/>
      </c>
      <c r="C1707" t="str">
        <f>IF(D1707="","",IF(COUNTIF($D$2:D1707,D1707)&gt;1,"",SUMIFS(tbl_input[필요수량],tbl_input[집계키_청],D1707)))</f>
        <v/>
      </c>
      <c r="D1707" t="str">
        <f>IFERROR(INDEX(tbl_input[집계키_청],ROW()-1),"")</f>
        <v/>
      </c>
    </row>
    <row r="1708" spans="1:4" x14ac:dyDescent="0.4">
      <c r="A1708" t="str">
        <f t="shared" si="52"/>
        <v/>
      </c>
      <c r="B1708" t="str">
        <f t="shared" si="53"/>
        <v/>
      </c>
      <c r="C1708" t="str">
        <f>IF(D1708="","",IF(COUNTIF($D$2:D1708,D1708)&gt;1,"",SUMIFS(tbl_input[필요수량],tbl_input[집계키_청],D1708)))</f>
        <v/>
      </c>
      <c r="D1708" t="str">
        <f>IFERROR(INDEX(tbl_input[집계키_청],ROW()-1),"")</f>
        <v/>
      </c>
    </row>
    <row r="1709" spans="1:4" x14ac:dyDescent="0.4">
      <c r="A1709" t="str">
        <f t="shared" si="52"/>
        <v/>
      </c>
      <c r="B1709" t="str">
        <f t="shared" si="53"/>
        <v/>
      </c>
      <c r="C1709" t="str">
        <f>IF(D1709="","",IF(COUNTIF($D$2:D1709,D1709)&gt;1,"",SUMIFS(tbl_input[필요수량],tbl_input[집계키_청],D1709)))</f>
        <v/>
      </c>
      <c r="D1709" t="str">
        <f>IFERROR(INDEX(tbl_input[집계키_청],ROW()-1),"")</f>
        <v/>
      </c>
    </row>
    <row r="1710" spans="1:4" x14ac:dyDescent="0.4">
      <c r="A1710" t="str">
        <f t="shared" si="52"/>
        <v/>
      </c>
      <c r="B1710" t="str">
        <f t="shared" si="53"/>
        <v/>
      </c>
      <c r="C1710" t="str">
        <f>IF(D1710="","",IF(COUNTIF($D$2:D1710,D1710)&gt;1,"",SUMIFS(tbl_input[필요수량],tbl_input[집계키_청],D1710)))</f>
        <v/>
      </c>
      <c r="D1710" t="str">
        <f>IFERROR(INDEX(tbl_input[집계키_청],ROW()-1),"")</f>
        <v/>
      </c>
    </row>
    <row r="1711" spans="1:4" x14ac:dyDescent="0.4">
      <c r="A1711" t="str">
        <f t="shared" si="52"/>
        <v/>
      </c>
      <c r="B1711" t="str">
        <f t="shared" si="53"/>
        <v/>
      </c>
      <c r="C1711" t="str">
        <f>IF(D1711="","",IF(COUNTIF($D$2:D1711,D1711)&gt;1,"",SUMIFS(tbl_input[필요수량],tbl_input[집계키_청],D1711)))</f>
        <v/>
      </c>
      <c r="D1711" t="str">
        <f>IFERROR(INDEX(tbl_input[집계키_청],ROW()-1),"")</f>
        <v/>
      </c>
    </row>
    <row r="1712" spans="1:4" x14ac:dyDescent="0.4">
      <c r="A1712" t="str">
        <f t="shared" si="52"/>
        <v/>
      </c>
      <c r="B1712" t="str">
        <f t="shared" si="53"/>
        <v/>
      </c>
      <c r="C1712" t="str">
        <f>IF(D1712="","",IF(COUNTIF($D$2:D1712,D1712)&gt;1,"",SUMIFS(tbl_input[필요수량],tbl_input[집계키_청],D1712)))</f>
        <v/>
      </c>
      <c r="D1712" t="str">
        <f>IFERROR(INDEX(tbl_input[집계키_청],ROW()-1),"")</f>
        <v/>
      </c>
    </row>
    <row r="1713" spans="1:4" x14ac:dyDescent="0.4">
      <c r="A1713" t="str">
        <f t="shared" si="52"/>
        <v/>
      </c>
      <c r="B1713" t="str">
        <f t="shared" si="53"/>
        <v/>
      </c>
      <c r="C1713" t="str">
        <f>IF(D1713="","",IF(COUNTIF($D$2:D1713,D1713)&gt;1,"",SUMIFS(tbl_input[필요수량],tbl_input[집계키_청],D1713)))</f>
        <v/>
      </c>
      <c r="D1713" t="str">
        <f>IFERROR(INDEX(tbl_input[집계키_청],ROW()-1),"")</f>
        <v/>
      </c>
    </row>
    <row r="1714" spans="1:4" x14ac:dyDescent="0.4">
      <c r="A1714" t="str">
        <f t="shared" si="52"/>
        <v/>
      </c>
      <c r="B1714" t="str">
        <f t="shared" si="53"/>
        <v/>
      </c>
      <c r="C1714" t="str">
        <f>IF(D1714="","",IF(COUNTIF($D$2:D1714,D1714)&gt;1,"",SUMIFS(tbl_input[필요수량],tbl_input[집계키_청],D1714)))</f>
        <v/>
      </c>
      <c r="D1714" t="str">
        <f>IFERROR(INDEX(tbl_input[집계키_청],ROW()-1),"")</f>
        <v/>
      </c>
    </row>
    <row r="1715" spans="1:4" x14ac:dyDescent="0.4">
      <c r="A1715" t="str">
        <f t="shared" si="52"/>
        <v/>
      </c>
      <c r="B1715" t="str">
        <f t="shared" si="53"/>
        <v/>
      </c>
      <c r="C1715" t="str">
        <f>IF(D1715="","",IF(COUNTIF($D$2:D1715,D1715)&gt;1,"",SUMIFS(tbl_input[필요수량],tbl_input[집계키_청],D1715)))</f>
        <v/>
      </c>
      <c r="D1715" t="str">
        <f>IFERROR(INDEX(tbl_input[집계키_청],ROW()-1),"")</f>
        <v/>
      </c>
    </row>
    <row r="1716" spans="1:4" x14ac:dyDescent="0.4">
      <c r="A1716" t="str">
        <f t="shared" si="52"/>
        <v/>
      </c>
      <c r="B1716" t="str">
        <f t="shared" si="53"/>
        <v/>
      </c>
      <c r="C1716" t="str">
        <f>IF(D1716="","",IF(COUNTIF($D$2:D1716,D1716)&gt;1,"",SUMIFS(tbl_input[필요수량],tbl_input[집계키_청],D1716)))</f>
        <v/>
      </c>
      <c r="D1716" t="str">
        <f>IFERROR(INDEX(tbl_input[집계키_청],ROW()-1),"")</f>
        <v/>
      </c>
    </row>
    <row r="1717" spans="1:4" x14ac:dyDescent="0.4">
      <c r="A1717" t="str">
        <f t="shared" si="52"/>
        <v/>
      </c>
      <c r="B1717" t="str">
        <f t="shared" si="53"/>
        <v/>
      </c>
      <c r="C1717" t="str">
        <f>IF(D1717="","",IF(COUNTIF($D$2:D1717,D1717)&gt;1,"",SUMIFS(tbl_input[필요수량],tbl_input[집계키_청],D1717)))</f>
        <v/>
      </c>
      <c r="D1717" t="str">
        <f>IFERROR(INDEX(tbl_input[집계키_청],ROW()-1),"")</f>
        <v/>
      </c>
    </row>
    <row r="1718" spans="1:4" x14ac:dyDescent="0.4">
      <c r="A1718" t="str">
        <f t="shared" si="52"/>
        <v/>
      </c>
      <c r="B1718" t="str">
        <f t="shared" si="53"/>
        <v/>
      </c>
      <c r="C1718" t="str">
        <f>IF(D1718="","",IF(COUNTIF($D$2:D1718,D1718)&gt;1,"",SUMIFS(tbl_input[필요수량],tbl_input[집계키_청],D1718)))</f>
        <v/>
      </c>
      <c r="D1718" t="str">
        <f>IFERROR(INDEX(tbl_input[집계키_청],ROW()-1),"")</f>
        <v/>
      </c>
    </row>
    <row r="1719" spans="1:4" x14ac:dyDescent="0.4">
      <c r="A1719" t="str">
        <f t="shared" si="52"/>
        <v/>
      </c>
      <c r="B1719" t="str">
        <f t="shared" si="53"/>
        <v/>
      </c>
      <c r="C1719" t="str">
        <f>IF(D1719="","",IF(COUNTIF($D$2:D1719,D1719)&gt;1,"",SUMIFS(tbl_input[필요수량],tbl_input[집계키_청],D1719)))</f>
        <v/>
      </c>
      <c r="D1719" t="str">
        <f>IFERROR(INDEX(tbl_input[집계키_청],ROW()-1),"")</f>
        <v/>
      </c>
    </row>
    <row r="1720" spans="1:4" x14ac:dyDescent="0.4">
      <c r="A1720" t="str">
        <f t="shared" si="52"/>
        <v/>
      </c>
      <c r="B1720" t="str">
        <f t="shared" si="53"/>
        <v/>
      </c>
      <c r="C1720" t="str">
        <f>IF(D1720="","",IF(COUNTIF($D$2:D1720,D1720)&gt;1,"",SUMIFS(tbl_input[필요수량],tbl_input[집계키_청],D1720)))</f>
        <v/>
      </c>
      <c r="D1720" t="str">
        <f>IFERROR(INDEX(tbl_input[집계키_청],ROW()-1),"")</f>
        <v/>
      </c>
    </row>
    <row r="1721" spans="1:4" x14ac:dyDescent="0.4">
      <c r="A1721" t="str">
        <f t="shared" si="52"/>
        <v/>
      </c>
      <c r="B1721" t="str">
        <f t="shared" si="53"/>
        <v/>
      </c>
      <c r="C1721" t="str">
        <f>IF(D1721="","",IF(COUNTIF($D$2:D1721,D1721)&gt;1,"",SUMIFS(tbl_input[필요수량],tbl_input[집계키_청],D1721)))</f>
        <v/>
      </c>
      <c r="D1721" t="str">
        <f>IFERROR(INDEX(tbl_input[집계키_청],ROW()-1),"")</f>
        <v/>
      </c>
    </row>
    <row r="1722" spans="1:4" x14ac:dyDescent="0.4">
      <c r="A1722" t="str">
        <f t="shared" si="52"/>
        <v/>
      </c>
      <c r="B1722" t="str">
        <f t="shared" si="53"/>
        <v/>
      </c>
      <c r="C1722" t="str">
        <f>IF(D1722="","",IF(COUNTIF($D$2:D1722,D1722)&gt;1,"",SUMIFS(tbl_input[필요수량],tbl_input[집계키_청],D1722)))</f>
        <v/>
      </c>
      <c r="D1722" t="str">
        <f>IFERROR(INDEX(tbl_input[집계키_청],ROW()-1),"")</f>
        <v/>
      </c>
    </row>
    <row r="1723" spans="1:4" x14ac:dyDescent="0.4">
      <c r="A1723" t="str">
        <f t="shared" si="52"/>
        <v/>
      </c>
      <c r="B1723" t="str">
        <f t="shared" si="53"/>
        <v/>
      </c>
      <c r="C1723" t="str">
        <f>IF(D1723="","",IF(COUNTIF($D$2:D1723,D1723)&gt;1,"",SUMIFS(tbl_input[필요수량],tbl_input[집계키_청],D1723)))</f>
        <v/>
      </c>
      <c r="D1723" t="str">
        <f>IFERROR(INDEX(tbl_input[집계키_청],ROW()-1),"")</f>
        <v/>
      </c>
    </row>
    <row r="1724" spans="1:4" x14ac:dyDescent="0.4">
      <c r="A1724" t="str">
        <f t="shared" si="52"/>
        <v/>
      </c>
      <c r="B1724" t="str">
        <f t="shared" si="53"/>
        <v/>
      </c>
      <c r="C1724" t="str">
        <f>IF(D1724="","",IF(COUNTIF($D$2:D1724,D1724)&gt;1,"",SUMIFS(tbl_input[필요수량],tbl_input[집계키_청],D1724)))</f>
        <v/>
      </c>
      <c r="D1724" t="str">
        <f>IFERROR(INDEX(tbl_input[집계키_청],ROW()-1),"")</f>
        <v/>
      </c>
    </row>
    <row r="1725" spans="1:4" x14ac:dyDescent="0.4">
      <c r="A1725" t="str">
        <f t="shared" si="52"/>
        <v/>
      </c>
      <c r="B1725" t="str">
        <f t="shared" si="53"/>
        <v/>
      </c>
      <c r="C1725" t="str">
        <f>IF(D1725="","",IF(COUNTIF($D$2:D1725,D1725)&gt;1,"",SUMIFS(tbl_input[필요수량],tbl_input[집계키_청],D1725)))</f>
        <v/>
      </c>
      <c r="D1725" t="str">
        <f>IFERROR(INDEX(tbl_input[집계키_청],ROW()-1),"")</f>
        <v/>
      </c>
    </row>
    <row r="1726" spans="1:4" x14ac:dyDescent="0.4">
      <c r="A1726" t="str">
        <f t="shared" si="52"/>
        <v/>
      </c>
      <c r="B1726" t="str">
        <f t="shared" si="53"/>
        <v/>
      </c>
      <c r="C1726" t="str">
        <f>IF(D1726="","",IF(COUNTIF($D$2:D1726,D1726)&gt;1,"",SUMIFS(tbl_input[필요수량],tbl_input[집계키_청],D1726)))</f>
        <v/>
      </c>
      <c r="D1726" t="str">
        <f>IFERROR(INDEX(tbl_input[집계키_청],ROW()-1),"")</f>
        <v/>
      </c>
    </row>
    <row r="1727" spans="1:4" x14ac:dyDescent="0.4">
      <c r="A1727" t="str">
        <f t="shared" si="52"/>
        <v/>
      </c>
      <c r="B1727" t="str">
        <f t="shared" si="53"/>
        <v/>
      </c>
      <c r="C1727" t="str">
        <f>IF(D1727="","",IF(COUNTIF($D$2:D1727,D1727)&gt;1,"",SUMIFS(tbl_input[필요수량],tbl_input[집계키_청],D1727)))</f>
        <v/>
      </c>
      <c r="D1727" t="str">
        <f>IFERROR(INDEX(tbl_input[집계키_청],ROW()-1),"")</f>
        <v/>
      </c>
    </row>
    <row r="1728" spans="1:4" x14ac:dyDescent="0.4">
      <c r="A1728" t="str">
        <f t="shared" si="52"/>
        <v/>
      </c>
      <c r="B1728" t="str">
        <f t="shared" si="53"/>
        <v/>
      </c>
      <c r="C1728" t="str">
        <f>IF(D1728="","",IF(COUNTIF($D$2:D1728,D1728)&gt;1,"",SUMIFS(tbl_input[필요수량],tbl_input[집계키_청],D1728)))</f>
        <v/>
      </c>
      <c r="D1728" t="str">
        <f>IFERROR(INDEX(tbl_input[집계키_청],ROW()-1),"")</f>
        <v/>
      </c>
    </row>
    <row r="1729" spans="1:4" x14ac:dyDescent="0.4">
      <c r="A1729" t="str">
        <f t="shared" si="52"/>
        <v/>
      </c>
      <c r="B1729" t="str">
        <f t="shared" si="53"/>
        <v/>
      </c>
      <c r="C1729" t="str">
        <f>IF(D1729="","",IF(COUNTIF($D$2:D1729,D1729)&gt;1,"",SUMIFS(tbl_input[필요수량],tbl_input[집계키_청],D1729)))</f>
        <v/>
      </c>
      <c r="D1729" t="str">
        <f>IFERROR(INDEX(tbl_input[집계키_청],ROW()-1),"")</f>
        <v/>
      </c>
    </row>
    <row r="1730" spans="1:4" x14ac:dyDescent="0.4">
      <c r="A1730" t="str">
        <f t="shared" ref="A1730:A1793" si="54">IF(D1730="","",LEFT(D1730,FIND("♦",D1730)-1))</f>
        <v/>
      </c>
      <c r="B1730" t="str">
        <f t="shared" ref="B1730:B1793" si="55">IF(D1730="","",MID(D1730,FIND("♦",D1730)+1,999))</f>
        <v/>
      </c>
      <c r="C1730" t="str">
        <f>IF(D1730="","",IF(COUNTIF($D$2:D1730,D1730)&gt;1,"",SUMIFS(tbl_input[필요수량],tbl_input[집계키_청],D1730)))</f>
        <v/>
      </c>
      <c r="D1730" t="str">
        <f>IFERROR(INDEX(tbl_input[집계키_청],ROW()-1),"")</f>
        <v/>
      </c>
    </row>
    <row r="1731" spans="1:4" x14ac:dyDescent="0.4">
      <c r="A1731" t="str">
        <f t="shared" si="54"/>
        <v/>
      </c>
      <c r="B1731" t="str">
        <f t="shared" si="55"/>
        <v/>
      </c>
      <c r="C1731" t="str">
        <f>IF(D1731="","",IF(COUNTIF($D$2:D1731,D1731)&gt;1,"",SUMIFS(tbl_input[필요수량],tbl_input[집계키_청],D1731)))</f>
        <v/>
      </c>
      <c r="D1731" t="str">
        <f>IFERROR(INDEX(tbl_input[집계키_청],ROW()-1),"")</f>
        <v/>
      </c>
    </row>
    <row r="1732" spans="1:4" x14ac:dyDescent="0.4">
      <c r="A1732" t="str">
        <f t="shared" si="54"/>
        <v/>
      </c>
      <c r="B1732" t="str">
        <f t="shared" si="55"/>
        <v/>
      </c>
      <c r="C1732" t="str">
        <f>IF(D1732="","",IF(COUNTIF($D$2:D1732,D1732)&gt;1,"",SUMIFS(tbl_input[필요수량],tbl_input[집계키_청],D1732)))</f>
        <v/>
      </c>
      <c r="D1732" t="str">
        <f>IFERROR(INDEX(tbl_input[집계키_청],ROW()-1),"")</f>
        <v/>
      </c>
    </row>
    <row r="1733" spans="1:4" x14ac:dyDescent="0.4">
      <c r="A1733" t="str">
        <f t="shared" si="54"/>
        <v/>
      </c>
      <c r="B1733" t="str">
        <f t="shared" si="55"/>
        <v/>
      </c>
      <c r="C1733" t="str">
        <f>IF(D1733="","",IF(COUNTIF($D$2:D1733,D1733)&gt;1,"",SUMIFS(tbl_input[필요수량],tbl_input[집계키_청],D1733)))</f>
        <v/>
      </c>
      <c r="D1733" t="str">
        <f>IFERROR(INDEX(tbl_input[집계키_청],ROW()-1),"")</f>
        <v/>
      </c>
    </row>
    <row r="1734" spans="1:4" x14ac:dyDescent="0.4">
      <c r="A1734" t="str">
        <f t="shared" si="54"/>
        <v/>
      </c>
      <c r="B1734" t="str">
        <f t="shared" si="55"/>
        <v/>
      </c>
      <c r="C1734" t="str">
        <f>IF(D1734="","",IF(COUNTIF($D$2:D1734,D1734)&gt;1,"",SUMIFS(tbl_input[필요수량],tbl_input[집계키_청],D1734)))</f>
        <v/>
      </c>
      <c r="D1734" t="str">
        <f>IFERROR(INDEX(tbl_input[집계키_청],ROW()-1),"")</f>
        <v/>
      </c>
    </row>
    <row r="1735" spans="1:4" x14ac:dyDescent="0.4">
      <c r="A1735" t="str">
        <f t="shared" si="54"/>
        <v/>
      </c>
      <c r="B1735" t="str">
        <f t="shared" si="55"/>
        <v/>
      </c>
      <c r="C1735" t="str">
        <f>IF(D1735="","",IF(COUNTIF($D$2:D1735,D1735)&gt;1,"",SUMIFS(tbl_input[필요수량],tbl_input[집계키_청],D1735)))</f>
        <v/>
      </c>
      <c r="D1735" t="str">
        <f>IFERROR(INDEX(tbl_input[집계키_청],ROW()-1),"")</f>
        <v/>
      </c>
    </row>
    <row r="1736" spans="1:4" x14ac:dyDescent="0.4">
      <c r="A1736" t="str">
        <f t="shared" si="54"/>
        <v/>
      </c>
      <c r="B1736" t="str">
        <f t="shared" si="55"/>
        <v/>
      </c>
      <c r="C1736" t="str">
        <f>IF(D1736="","",IF(COUNTIF($D$2:D1736,D1736)&gt;1,"",SUMIFS(tbl_input[필요수량],tbl_input[집계키_청],D1736)))</f>
        <v/>
      </c>
      <c r="D1736" t="str">
        <f>IFERROR(INDEX(tbl_input[집계키_청],ROW()-1),"")</f>
        <v/>
      </c>
    </row>
    <row r="1737" spans="1:4" x14ac:dyDescent="0.4">
      <c r="A1737" t="str">
        <f t="shared" si="54"/>
        <v/>
      </c>
      <c r="B1737" t="str">
        <f t="shared" si="55"/>
        <v/>
      </c>
      <c r="C1737" t="str">
        <f>IF(D1737="","",IF(COUNTIF($D$2:D1737,D1737)&gt;1,"",SUMIFS(tbl_input[필요수량],tbl_input[집계키_청],D1737)))</f>
        <v/>
      </c>
      <c r="D1737" t="str">
        <f>IFERROR(INDEX(tbl_input[집계키_청],ROW()-1),"")</f>
        <v/>
      </c>
    </row>
    <row r="1738" spans="1:4" x14ac:dyDescent="0.4">
      <c r="A1738" t="str">
        <f t="shared" si="54"/>
        <v/>
      </c>
      <c r="B1738" t="str">
        <f t="shared" si="55"/>
        <v/>
      </c>
      <c r="C1738" t="str">
        <f>IF(D1738="","",IF(COUNTIF($D$2:D1738,D1738)&gt;1,"",SUMIFS(tbl_input[필요수량],tbl_input[집계키_청],D1738)))</f>
        <v/>
      </c>
      <c r="D1738" t="str">
        <f>IFERROR(INDEX(tbl_input[집계키_청],ROW()-1),"")</f>
        <v/>
      </c>
    </row>
    <row r="1739" spans="1:4" x14ac:dyDescent="0.4">
      <c r="A1739" t="str">
        <f t="shared" si="54"/>
        <v/>
      </c>
      <c r="B1739" t="str">
        <f t="shared" si="55"/>
        <v/>
      </c>
      <c r="C1739" t="str">
        <f>IF(D1739="","",IF(COUNTIF($D$2:D1739,D1739)&gt;1,"",SUMIFS(tbl_input[필요수량],tbl_input[집계키_청],D1739)))</f>
        <v/>
      </c>
      <c r="D1739" t="str">
        <f>IFERROR(INDEX(tbl_input[집계키_청],ROW()-1),"")</f>
        <v/>
      </c>
    </row>
    <row r="1740" spans="1:4" x14ac:dyDescent="0.4">
      <c r="A1740" t="str">
        <f t="shared" si="54"/>
        <v/>
      </c>
      <c r="B1740" t="str">
        <f t="shared" si="55"/>
        <v/>
      </c>
      <c r="C1740" t="str">
        <f>IF(D1740="","",IF(COUNTIF($D$2:D1740,D1740)&gt;1,"",SUMIFS(tbl_input[필요수량],tbl_input[집계키_청],D1740)))</f>
        <v/>
      </c>
      <c r="D1740" t="str">
        <f>IFERROR(INDEX(tbl_input[집계키_청],ROW()-1),"")</f>
        <v/>
      </c>
    </row>
    <row r="1741" spans="1:4" x14ac:dyDescent="0.4">
      <c r="A1741" t="str">
        <f t="shared" si="54"/>
        <v/>
      </c>
      <c r="B1741" t="str">
        <f t="shared" si="55"/>
        <v/>
      </c>
      <c r="C1741" t="str">
        <f>IF(D1741="","",IF(COUNTIF($D$2:D1741,D1741)&gt;1,"",SUMIFS(tbl_input[필요수량],tbl_input[집계키_청],D1741)))</f>
        <v/>
      </c>
      <c r="D1741" t="str">
        <f>IFERROR(INDEX(tbl_input[집계키_청],ROW()-1),"")</f>
        <v/>
      </c>
    </row>
    <row r="1742" spans="1:4" x14ac:dyDescent="0.4">
      <c r="A1742" t="str">
        <f t="shared" si="54"/>
        <v/>
      </c>
      <c r="B1742" t="str">
        <f t="shared" si="55"/>
        <v/>
      </c>
      <c r="C1742" t="str">
        <f>IF(D1742="","",IF(COUNTIF($D$2:D1742,D1742)&gt;1,"",SUMIFS(tbl_input[필요수량],tbl_input[집계키_청],D1742)))</f>
        <v/>
      </c>
      <c r="D1742" t="str">
        <f>IFERROR(INDEX(tbl_input[집계키_청],ROW()-1),"")</f>
        <v/>
      </c>
    </row>
    <row r="1743" spans="1:4" x14ac:dyDescent="0.4">
      <c r="A1743" t="str">
        <f t="shared" si="54"/>
        <v/>
      </c>
      <c r="B1743" t="str">
        <f t="shared" si="55"/>
        <v/>
      </c>
      <c r="C1743" t="str">
        <f>IF(D1743="","",IF(COUNTIF($D$2:D1743,D1743)&gt;1,"",SUMIFS(tbl_input[필요수량],tbl_input[집계키_청],D1743)))</f>
        <v/>
      </c>
      <c r="D1743" t="str">
        <f>IFERROR(INDEX(tbl_input[집계키_청],ROW()-1),"")</f>
        <v/>
      </c>
    </row>
    <row r="1744" spans="1:4" x14ac:dyDescent="0.4">
      <c r="A1744" t="str">
        <f t="shared" si="54"/>
        <v/>
      </c>
      <c r="B1744" t="str">
        <f t="shared" si="55"/>
        <v/>
      </c>
      <c r="C1744" t="str">
        <f>IF(D1744="","",IF(COUNTIF($D$2:D1744,D1744)&gt;1,"",SUMIFS(tbl_input[필요수량],tbl_input[집계키_청],D1744)))</f>
        <v/>
      </c>
      <c r="D1744" t="str">
        <f>IFERROR(INDEX(tbl_input[집계키_청],ROW()-1),"")</f>
        <v/>
      </c>
    </row>
    <row r="1745" spans="1:4" x14ac:dyDescent="0.4">
      <c r="A1745" t="str">
        <f t="shared" si="54"/>
        <v/>
      </c>
      <c r="B1745" t="str">
        <f t="shared" si="55"/>
        <v/>
      </c>
      <c r="C1745" t="str">
        <f>IF(D1745="","",IF(COUNTIF($D$2:D1745,D1745)&gt;1,"",SUMIFS(tbl_input[필요수량],tbl_input[집계키_청],D1745)))</f>
        <v/>
      </c>
      <c r="D1745" t="str">
        <f>IFERROR(INDEX(tbl_input[집계키_청],ROW()-1),"")</f>
        <v/>
      </c>
    </row>
    <row r="1746" spans="1:4" x14ac:dyDescent="0.4">
      <c r="A1746" t="str">
        <f t="shared" si="54"/>
        <v/>
      </c>
      <c r="B1746" t="str">
        <f t="shared" si="55"/>
        <v/>
      </c>
      <c r="C1746" t="str">
        <f>IF(D1746="","",IF(COUNTIF($D$2:D1746,D1746)&gt;1,"",SUMIFS(tbl_input[필요수량],tbl_input[집계키_청],D1746)))</f>
        <v/>
      </c>
      <c r="D1746" t="str">
        <f>IFERROR(INDEX(tbl_input[집계키_청],ROW()-1),"")</f>
        <v/>
      </c>
    </row>
    <row r="1747" spans="1:4" x14ac:dyDescent="0.4">
      <c r="A1747" t="str">
        <f t="shared" si="54"/>
        <v/>
      </c>
      <c r="B1747" t="str">
        <f t="shared" si="55"/>
        <v/>
      </c>
      <c r="C1747" t="str">
        <f>IF(D1747="","",IF(COUNTIF($D$2:D1747,D1747)&gt;1,"",SUMIFS(tbl_input[필요수량],tbl_input[집계키_청],D1747)))</f>
        <v/>
      </c>
      <c r="D1747" t="str">
        <f>IFERROR(INDEX(tbl_input[집계키_청],ROW()-1),"")</f>
        <v/>
      </c>
    </row>
    <row r="1748" spans="1:4" x14ac:dyDescent="0.4">
      <c r="A1748" t="str">
        <f t="shared" si="54"/>
        <v/>
      </c>
      <c r="B1748" t="str">
        <f t="shared" si="55"/>
        <v/>
      </c>
      <c r="C1748" t="str">
        <f>IF(D1748="","",IF(COUNTIF($D$2:D1748,D1748)&gt;1,"",SUMIFS(tbl_input[필요수량],tbl_input[집계키_청],D1748)))</f>
        <v/>
      </c>
      <c r="D1748" t="str">
        <f>IFERROR(INDEX(tbl_input[집계키_청],ROW()-1),"")</f>
        <v/>
      </c>
    </row>
    <row r="1749" spans="1:4" x14ac:dyDescent="0.4">
      <c r="A1749" t="str">
        <f t="shared" si="54"/>
        <v/>
      </c>
      <c r="B1749" t="str">
        <f t="shared" si="55"/>
        <v/>
      </c>
      <c r="C1749" t="str">
        <f>IF(D1749="","",IF(COUNTIF($D$2:D1749,D1749)&gt;1,"",SUMIFS(tbl_input[필요수량],tbl_input[집계키_청],D1749)))</f>
        <v/>
      </c>
      <c r="D1749" t="str">
        <f>IFERROR(INDEX(tbl_input[집계키_청],ROW()-1),"")</f>
        <v/>
      </c>
    </row>
    <row r="1750" spans="1:4" x14ac:dyDescent="0.4">
      <c r="A1750" t="str">
        <f t="shared" si="54"/>
        <v/>
      </c>
      <c r="B1750" t="str">
        <f t="shared" si="55"/>
        <v/>
      </c>
      <c r="C1750" t="str">
        <f>IF(D1750="","",IF(COUNTIF($D$2:D1750,D1750)&gt;1,"",SUMIFS(tbl_input[필요수량],tbl_input[집계키_청],D1750)))</f>
        <v/>
      </c>
      <c r="D1750" t="str">
        <f>IFERROR(INDEX(tbl_input[집계키_청],ROW()-1),"")</f>
        <v/>
      </c>
    </row>
    <row r="1751" spans="1:4" x14ac:dyDescent="0.4">
      <c r="A1751" t="str">
        <f t="shared" si="54"/>
        <v/>
      </c>
      <c r="B1751" t="str">
        <f t="shared" si="55"/>
        <v/>
      </c>
      <c r="C1751" t="str">
        <f>IF(D1751="","",IF(COUNTIF($D$2:D1751,D1751)&gt;1,"",SUMIFS(tbl_input[필요수량],tbl_input[집계키_청],D1751)))</f>
        <v/>
      </c>
      <c r="D1751" t="str">
        <f>IFERROR(INDEX(tbl_input[집계키_청],ROW()-1),"")</f>
        <v/>
      </c>
    </row>
    <row r="1752" spans="1:4" x14ac:dyDescent="0.4">
      <c r="A1752" t="str">
        <f t="shared" si="54"/>
        <v/>
      </c>
      <c r="B1752" t="str">
        <f t="shared" si="55"/>
        <v/>
      </c>
      <c r="C1752" t="str">
        <f>IF(D1752="","",IF(COUNTIF($D$2:D1752,D1752)&gt;1,"",SUMIFS(tbl_input[필요수량],tbl_input[집계키_청],D1752)))</f>
        <v/>
      </c>
      <c r="D1752" t="str">
        <f>IFERROR(INDEX(tbl_input[집계키_청],ROW()-1),"")</f>
        <v/>
      </c>
    </row>
    <row r="1753" spans="1:4" x14ac:dyDescent="0.4">
      <c r="A1753" t="str">
        <f t="shared" si="54"/>
        <v/>
      </c>
      <c r="B1753" t="str">
        <f t="shared" si="55"/>
        <v/>
      </c>
      <c r="C1753" t="str">
        <f>IF(D1753="","",IF(COUNTIF($D$2:D1753,D1753)&gt;1,"",SUMIFS(tbl_input[필요수량],tbl_input[집계키_청],D1753)))</f>
        <v/>
      </c>
      <c r="D1753" t="str">
        <f>IFERROR(INDEX(tbl_input[집계키_청],ROW()-1),"")</f>
        <v/>
      </c>
    </row>
    <row r="1754" spans="1:4" x14ac:dyDescent="0.4">
      <c r="A1754" t="str">
        <f t="shared" si="54"/>
        <v/>
      </c>
      <c r="B1754" t="str">
        <f t="shared" si="55"/>
        <v/>
      </c>
      <c r="C1754" t="str">
        <f>IF(D1754="","",IF(COUNTIF($D$2:D1754,D1754)&gt;1,"",SUMIFS(tbl_input[필요수량],tbl_input[집계키_청],D1754)))</f>
        <v/>
      </c>
      <c r="D1754" t="str">
        <f>IFERROR(INDEX(tbl_input[집계키_청],ROW()-1),"")</f>
        <v/>
      </c>
    </row>
    <row r="1755" spans="1:4" x14ac:dyDescent="0.4">
      <c r="A1755" t="str">
        <f t="shared" si="54"/>
        <v/>
      </c>
      <c r="B1755" t="str">
        <f t="shared" si="55"/>
        <v/>
      </c>
      <c r="C1755" t="str">
        <f>IF(D1755="","",IF(COUNTIF($D$2:D1755,D1755)&gt;1,"",SUMIFS(tbl_input[필요수량],tbl_input[집계키_청],D1755)))</f>
        <v/>
      </c>
      <c r="D1755" t="str">
        <f>IFERROR(INDEX(tbl_input[집계키_청],ROW()-1),"")</f>
        <v/>
      </c>
    </row>
    <row r="1756" spans="1:4" x14ac:dyDescent="0.4">
      <c r="A1756" t="str">
        <f t="shared" si="54"/>
        <v/>
      </c>
      <c r="B1756" t="str">
        <f t="shared" si="55"/>
        <v/>
      </c>
      <c r="C1756" t="str">
        <f>IF(D1756="","",IF(COUNTIF($D$2:D1756,D1756)&gt;1,"",SUMIFS(tbl_input[필요수량],tbl_input[집계키_청],D1756)))</f>
        <v/>
      </c>
      <c r="D1756" t="str">
        <f>IFERROR(INDEX(tbl_input[집계키_청],ROW()-1),"")</f>
        <v/>
      </c>
    </row>
    <row r="1757" spans="1:4" x14ac:dyDescent="0.4">
      <c r="A1757" t="str">
        <f t="shared" si="54"/>
        <v/>
      </c>
      <c r="B1757" t="str">
        <f t="shared" si="55"/>
        <v/>
      </c>
      <c r="C1757" t="str">
        <f>IF(D1757="","",IF(COUNTIF($D$2:D1757,D1757)&gt;1,"",SUMIFS(tbl_input[필요수량],tbl_input[집계키_청],D1757)))</f>
        <v/>
      </c>
      <c r="D1757" t="str">
        <f>IFERROR(INDEX(tbl_input[집계키_청],ROW()-1),"")</f>
        <v/>
      </c>
    </row>
    <row r="1758" spans="1:4" x14ac:dyDescent="0.4">
      <c r="A1758" t="str">
        <f t="shared" si="54"/>
        <v/>
      </c>
      <c r="B1758" t="str">
        <f t="shared" si="55"/>
        <v/>
      </c>
      <c r="C1758" t="str">
        <f>IF(D1758="","",IF(COUNTIF($D$2:D1758,D1758)&gt;1,"",SUMIFS(tbl_input[필요수량],tbl_input[집계키_청],D1758)))</f>
        <v/>
      </c>
      <c r="D1758" t="str">
        <f>IFERROR(INDEX(tbl_input[집계키_청],ROW()-1),"")</f>
        <v/>
      </c>
    </row>
    <row r="1759" spans="1:4" x14ac:dyDescent="0.4">
      <c r="A1759" t="str">
        <f t="shared" si="54"/>
        <v/>
      </c>
      <c r="B1759" t="str">
        <f t="shared" si="55"/>
        <v/>
      </c>
      <c r="C1759" t="str">
        <f>IF(D1759="","",IF(COUNTIF($D$2:D1759,D1759)&gt;1,"",SUMIFS(tbl_input[필요수량],tbl_input[집계키_청],D1759)))</f>
        <v/>
      </c>
      <c r="D1759" t="str">
        <f>IFERROR(INDEX(tbl_input[집계키_청],ROW()-1),"")</f>
        <v/>
      </c>
    </row>
    <row r="1760" spans="1:4" x14ac:dyDescent="0.4">
      <c r="A1760" t="str">
        <f t="shared" si="54"/>
        <v/>
      </c>
      <c r="B1760" t="str">
        <f t="shared" si="55"/>
        <v/>
      </c>
      <c r="C1760" t="str">
        <f>IF(D1760="","",IF(COUNTIF($D$2:D1760,D1760)&gt;1,"",SUMIFS(tbl_input[필요수량],tbl_input[집계키_청],D1760)))</f>
        <v/>
      </c>
      <c r="D1760" t="str">
        <f>IFERROR(INDEX(tbl_input[집계키_청],ROW()-1),"")</f>
        <v/>
      </c>
    </row>
    <row r="1761" spans="1:4" x14ac:dyDescent="0.4">
      <c r="A1761" t="str">
        <f t="shared" si="54"/>
        <v/>
      </c>
      <c r="B1761" t="str">
        <f t="shared" si="55"/>
        <v/>
      </c>
      <c r="C1761" t="str">
        <f>IF(D1761="","",IF(COUNTIF($D$2:D1761,D1761)&gt;1,"",SUMIFS(tbl_input[필요수량],tbl_input[집계키_청],D1761)))</f>
        <v/>
      </c>
      <c r="D1761" t="str">
        <f>IFERROR(INDEX(tbl_input[집계키_청],ROW()-1),"")</f>
        <v/>
      </c>
    </row>
    <row r="1762" spans="1:4" x14ac:dyDescent="0.4">
      <c r="A1762" t="str">
        <f t="shared" si="54"/>
        <v/>
      </c>
      <c r="B1762" t="str">
        <f t="shared" si="55"/>
        <v/>
      </c>
      <c r="C1762" t="str">
        <f>IF(D1762="","",IF(COUNTIF($D$2:D1762,D1762)&gt;1,"",SUMIFS(tbl_input[필요수량],tbl_input[집계키_청],D1762)))</f>
        <v/>
      </c>
      <c r="D1762" t="str">
        <f>IFERROR(INDEX(tbl_input[집계키_청],ROW()-1),"")</f>
        <v/>
      </c>
    </row>
    <row r="1763" spans="1:4" x14ac:dyDescent="0.4">
      <c r="A1763" t="str">
        <f t="shared" si="54"/>
        <v/>
      </c>
      <c r="B1763" t="str">
        <f t="shared" si="55"/>
        <v/>
      </c>
      <c r="C1763" t="str">
        <f>IF(D1763="","",IF(COUNTIF($D$2:D1763,D1763)&gt;1,"",SUMIFS(tbl_input[필요수량],tbl_input[집계키_청],D1763)))</f>
        <v/>
      </c>
      <c r="D1763" t="str">
        <f>IFERROR(INDEX(tbl_input[집계키_청],ROW()-1),"")</f>
        <v/>
      </c>
    </row>
    <row r="1764" spans="1:4" x14ac:dyDescent="0.4">
      <c r="A1764" t="str">
        <f t="shared" si="54"/>
        <v/>
      </c>
      <c r="B1764" t="str">
        <f t="shared" si="55"/>
        <v/>
      </c>
      <c r="C1764" t="str">
        <f>IF(D1764="","",IF(COUNTIF($D$2:D1764,D1764)&gt;1,"",SUMIFS(tbl_input[필요수량],tbl_input[집계키_청],D1764)))</f>
        <v/>
      </c>
      <c r="D1764" t="str">
        <f>IFERROR(INDEX(tbl_input[집계키_청],ROW()-1),"")</f>
        <v/>
      </c>
    </row>
    <row r="1765" spans="1:4" x14ac:dyDescent="0.4">
      <c r="A1765" t="str">
        <f t="shared" si="54"/>
        <v/>
      </c>
      <c r="B1765" t="str">
        <f t="shared" si="55"/>
        <v/>
      </c>
      <c r="C1765" t="str">
        <f>IF(D1765="","",IF(COUNTIF($D$2:D1765,D1765)&gt;1,"",SUMIFS(tbl_input[필요수량],tbl_input[집계키_청],D1765)))</f>
        <v/>
      </c>
      <c r="D1765" t="str">
        <f>IFERROR(INDEX(tbl_input[집계키_청],ROW()-1),"")</f>
        <v/>
      </c>
    </row>
    <row r="1766" spans="1:4" x14ac:dyDescent="0.4">
      <c r="A1766" t="str">
        <f t="shared" si="54"/>
        <v/>
      </c>
      <c r="B1766" t="str">
        <f t="shared" si="55"/>
        <v/>
      </c>
      <c r="C1766" t="str">
        <f>IF(D1766="","",IF(COUNTIF($D$2:D1766,D1766)&gt;1,"",SUMIFS(tbl_input[필요수량],tbl_input[집계키_청],D1766)))</f>
        <v/>
      </c>
      <c r="D1766" t="str">
        <f>IFERROR(INDEX(tbl_input[집계키_청],ROW()-1),"")</f>
        <v/>
      </c>
    </row>
    <row r="1767" spans="1:4" x14ac:dyDescent="0.4">
      <c r="A1767" t="str">
        <f t="shared" si="54"/>
        <v/>
      </c>
      <c r="B1767" t="str">
        <f t="shared" si="55"/>
        <v/>
      </c>
      <c r="C1767" t="str">
        <f>IF(D1767="","",IF(COUNTIF($D$2:D1767,D1767)&gt;1,"",SUMIFS(tbl_input[필요수량],tbl_input[집계키_청],D1767)))</f>
        <v/>
      </c>
      <c r="D1767" t="str">
        <f>IFERROR(INDEX(tbl_input[집계키_청],ROW()-1),"")</f>
        <v/>
      </c>
    </row>
    <row r="1768" spans="1:4" x14ac:dyDescent="0.4">
      <c r="A1768" t="str">
        <f t="shared" si="54"/>
        <v/>
      </c>
      <c r="B1768" t="str">
        <f t="shared" si="55"/>
        <v/>
      </c>
      <c r="C1768" t="str">
        <f>IF(D1768="","",IF(COUNTIF($D$2:D1768,D1768)&gt;1,"",SUMIFS(tbl_input[필요수량],tbl_input[집계키_청],D1768)))</f>
        <v/>
      </c>
      <c r="D1768" t="str">
        <f>IFERROR(INDEX(tbl_input[집계키_청],ROW()-1),"")</f>
        <v/>
      </c>
    </row>
    <row r="1769" spans="1:4" x14ac:dyDescent="0.4">
      <c r="A1769" t="str">
        <f t="shared" si="54"/>
        <v/>
      </c>
      <c r="B1769" t="str">
        <f t="shared" si="55"/>
        <v/>
      </c>
      <c r="C1769" t="str">
        <f>IF(D1769="","",IF(COUNTIF($D$2:D1769,D1769)&gt;1,"",SUMIFS(tbl_input[필요수량],tbl_input[집계키_청],D1769)))</f>
        <v/>
      </c>
      <c r="D1769" t="str">
        <f>IFERROR(INDEX(tbl_input[집계키_청],ROW()-1),"")</f>
        <v/>
      </c>
    </row>
    <row r="1770" spans="1:4" x14ac:dyDescent="0.4">
      <c r="A1770" t="str">
        <f t="shared" si="54"/>
        <v/>
      </c>
      <c r="B1770" t="str">
        <f t="shared" si="55"/>
        <v/>
      </c>
      <c r="C1770" t="str">
        <f>IF(D1770="","",IF(COUNTIF($D$2:D1770,D1770)&gt;1,"",SUMIFS(tbl_input[필요수량],tbl_input[집계키_청],D1770)))</f>
        <v/>
      </c>
      <c r="D1770" t="str">
        <f>IFERROR(INDEX(tbl_input[집계키_청],ROW()-1),"")</f>
        <v/>
      </c>
    </row>
    <row r="1771" spans="1:4" x14ac:dyDescent="0.4">
      <c r="A1771" t="str">
        <f t="shared" si="54"/>
        <v/>
      </c>
      <c r="B1771" t="str">
        <f t="shared" si="55"/>
        <v/>
      </c>
      <c r="C1771" t="str">
        <f>IF(D1771="","",IF(COUNTIF($D$2:D1771,D1771)&gt;1,"",SUMIFS(tbl_input[필요수량],tbl_input[집계키_청],D1771)))</f>
        <v/>
      </c>
      <c r="D1771" t="str">
        <f>IFERROR(INDEX(tbl_input[집계키_청],ROW()-1),"")</f>
        <v/>
      </c>
    </row>
    <row r="1772" spans="1:4" x14ac:dyDescent="0.4">
      <c r="A1772" t="str">
        <f t="shared" si="54"/>
        <v/>
      </c>
      <c r="B1772" t="str">
        <f t="shared" si="55"/>
        <v/>
      </c>
      <c r="C1772" t="str">
        <f>IF(D1772="","",IF(COUNTIF($D$2:D1772,D1772)&gt;1,"",SUMIFS(tbl_input[필요수량],tbl_input[집계키_청],D1772)))</f>
        <v/>
      </c>
      <c r="D1772" t="str">
        <f>IFERROR(INDEX(tbl_input[집계키_청],ROW()-1),"")</f>
        <v/>
      </c>
    </row>
    <row r="1773" spans="1:4" x14ac:dyDescent="0.4">
      <c r="A1773" t="str">
        <f t="shared" si="54"/>
        <v/>
      </c>
      <c r="B1773" t="str">
        <f t="shared" si="55"/>
        <v/>
      </c>
      <c r="C1773" t="str">
        <f>IF(D1773="","",IF(COUNTIF($D$2:D1773,D1773)&gt;1,"",SUMIFS(tbl_input[필요수량],tbl_input[집계키_청],D1773)))</f>
        <v/>
      </c>
      <c r="D1773" t="str">
        <f>IFERROR(INDEX(tbl_input[집계키_청],ROW()-1),"")</f>
        <v/>
      </c>
    </row>
    <row r="1774" spans="1:4" x14ac:dyDescent="0.4">
      <c r="A1774" t="str">
        <f t="shared" si="54"/>
        <v/>
      </c>
      <c r="B1774" t="str">
        <f t="shared" si="55"/>
        <v/>
      </c>
      <c r="C1774" t="str">
        <f>IF(D1774="","",IF(COUNTIF($D$2:D1774,D1774)&gt;1,"",SUMIFS(tbl_input[필요수량],tbl_input[집계키_청],D1774)))</f>
        <v/>
      </c>
      <c r="D1774" t="str">
        <f>IFERROR(INDEX(tbl_input[집계키_청],ROW()-1),"")</f>
        <v/>
      </c>
    </row>
    <row r="1775" spans="1:4" x14ac:dyDescent="0.4">
      <c r="A1775" t="str">
        <f t="shared" si="54"/>
        <v/>
      </c>
      <c r="B1775" t="str">
        <f t="shared" si="55"/>
        <v/>
      </c>
      <c r="C1775" t="str">
        <f>IF(D1775="","",IF(COUNTIF($D$2:D1775,D1775)&gt;1,"",SUMIFS(tbl_input[필요수량],tbl_input[집계키_청],D1775)))</f>
        <v/>
      </c>
      <c r="D1775" t="str">
        <f>IFERROR(INDEX(tbl_input[집계키_청],ROW()-1),"")</f>
        <v/>
      </c>
    </row>
    <row r="1776" spans="1:4" x14ac:dyDescent="0.4">
      <c r="A1776" t="str">
        <f t="shared" si="54"/>
        <v/>
      </c>
      <c r="B1776" t="str">
        <f t="shared" si="55"/>
        <v/>
      </c>
      <c r="C1776" t="str">
        <f>IF(D1776="","",IF(COUNTIF($D$2:D1776,D1776)&gt;1,"",SUMIFS(tbl_input[필요수량],tbl_input[집계키_청],D1776)))</f>
        <v/>
      </c>
      <c r="D1776" t="str">
        <f>IFERROR(INDEX(tbl_input[집계키_청],ROW()-1),"")</f>
        <v/>
      </c>
    </row>
    <row r="1777" spans="1:4" x14ac:dyDescent="0.4">
      <c r="A1777" t="str">
        <f t="shared" si="54"/>
        <v/>
      </c>
      <c r="B1777" t="str">
        <f t="shared" si="55"/>
        <v/>
      </c>
      <c r="C1777" t="str">
        <f>IF(D1777="","",IF(COUNTIF($D$2:D1777,D1777)&gt;1,"",SUMIFS(tbl_input[필요수량],tbl_input[집계키_청],D1777)))</f>
        <v/>
      </c>
      <c r="D1777" t="str">
        <f>IFERROR(INDEX(tbl_input[집계키_청],ROW()-1),"")</f>
        <v/>
      </c>
    </row>
    <row r="1778" spans="1:4" x14ac:dyDescent="0.4">
      <c r="A1778" t="str">
        <f t="shared" si="54"/>
        <v/>
      </c>
      <c r="B1778" t="str">
        <f t="shared" si="55"/>
        <v/>
      </c>
      <c r="C1778" t="str">
        <f>IF(D1778="","",IF(COUNTIF($D$2:D1778,D1778)&gt;1,"",SUMIFS(tbl_input[필요수량],tbl_input[집계키_청],D1778)))</f>
        <v/>
      </c>
      <c r="D1778" t="str">
        <f>IFERROR(INDEX(tbl_input[집계키_청],ROW()-1),"")</f>
        <v/>
      </c>
    </row>
    <row r="1779" spans="1:4" x14ac:dyDescent="0.4">
      <c r="A1779" t="str">
        <f t="shared" si="54"/>
        <v/>
      </c>
      <c r="B1779" t="str">
        <f t="shared" si="55"/>
        <v/>
      </c>
      <c r="C1779" t="str">
        <f>IF(D1779="","",IF(COUNTIF($D$2:D1779,D1779)&gt;1,"",SUMIFS(tbl_input[필요수량],tbl_input[집계키_청],D1779)))</f>
        <v/>
      </c>
      <c r="D1779" t="str">
        <f>IFERROR(INDEX(tbl_input[집계키_청],ROW()-1),"")</f>
        <v/>
      </c>
    </row>
    <row r="1780" spans="1:4" x14ac:dyDescent="0.4">
      <c r="A1780" t="str">
        <f t="shared" si="54"/>
        <v/>
      </c>
      <c r="B1780" t="str">
        <f t="shared" si="55"/>
        <v/>
      </c>
      <c r="C1780" t="str">
        <f>IF(D1780="","",IF(COUNTIF($D$2:D1780,D1780)&gt;1,"",SUMIFS(tbl_input[필요수량],tbl_input[집계키_청],D1780)))</f>
        <v/>
      </c>
      <c r="D1780" t="str">
        <f>IFERROR(INDEX(tbl_input[집계키_청],ROW()-1),"")</f>
        <v/>
      </c>
    </row>
    <row r="1781" spans="1:4" x14ac:dyDescent="0.4">
      <c r="A1781" t="str">
        <f t="shared" si="54"/>
        <v/>
      </c>
      <c r="B1781" t="str">
        <f t="shared" si="55"/>
        <v/>
      </c>
      <c r="C1781" t="str">
        <f>IF(D1781="","",IF(COUNTIF($D$2:D1781,D1781)&gt;1,"",SUMIFS(tbl_input[필요수량],tbl_input[집계키_청],D1781)))</f>
        <v/>
      </c>
      <c r="D1781" t="str">
        <f>IFERROR(INDEX(tbl_input[집계키_청],ROW()-1),"")</f>
        <v/>
      </c>
    </row>
    <row r="1782" spans="1:4" x14ac:dyDescent="0.4">
      <c r="A1782" t="str">
        <f t="shared" si="54"/>
        <v/>
      </c>
      <c r="B1782" t="str">
        <f t="shared" si="55"/>
        <v/>
      </c>
      <c r="C1782" t="str">
        <f>IF(D1782="","",IF(COUNTIF($D$2:D1782,D1782)&gt;1,"",SUMIFS(tbl_input[필요수량],tbl_input[집계키_청],D1782)))</f>
        <v/>
      </c>
      <c r="D1782" t="str">
        <f>IFERROR(INDEX(tbl_input[집계키_청],ROW()-1),"")</f>
        <v/>
      </c>
    </row>
    <row r="1783" spans="1:4" x14ac:dyDescent="0.4">
      <c r="A1783" t="str">
        <f t="shared" si="54"/>
        <v/>
      </c>
      <c r="B1783" t="str">
        <f t="shared" si="55"/>
        <v/>
      </c>
      <c r="C1783" t="str">
        <f>IF(D1783="","",IF(COUNTIF($D$2:D1783,D1783)&gt;1,"",SUMIFS(tbl_input[필요수량],tbl_input[집계키_청],D1783)))</f>
        <v/>
      </c>
      <c r="D1783" t="str">
        <f>IFERROR(INDEX(tbl_input[집계키_청],ROW()-1),"")</f>
        <v/>
      </c>
    </row>
    <row r="1784" spans="1:4" x14ac:dyDescent="0.4">
      <c r="A1784" t="str">
        <f t="shared" si="54"/>
        <v/>
      </c>
      <c r="B1784" t="str">
        <f t="shared" si="55"/>
        <v/>
      </c>
      <c r="C1784" t="str">
        <f>IF(D1784="","",IF(COUNTIF($D$2:D1784,D1784)&gt;1,"",SUMIFS(tbl_input[필요수량],tbl_input[집계키_청],D1784)))</f>
        <v/>
      </c>
      <c r="D1784" t="str">
        <f>IFERROR(INDEX(tbl_input[집계키_청],ROW()-1),"")</f>
        <v/>
      </c>
    </row>
    <row r="1785" spans="1:4" x14ac:dyDescent="0.4">
      <c r="A1785" t="str">
        <f t="shared" si="54"/>
        <v/>
      </c>
      <c r="B1785" t="str">
        <f t="shared" si="55"/>
        <v/>
      </c>
      <c r="C1785" t="str">
        <f>IF(D1785="","",IF(COUNTIF($D$2:D1785,D1785)&gt;1,"",SUMIFS(tbl_input[필요수량],tbl_input[집계키_청],D1785)))</f>
        <v/>
      </c>
      <c r="D1785" t="str">
        <f>IFERROR(INDEX(tbl_input[집계키_청],ROW()-1),"")</f>
        <v/>
      </c>
    </row>
    <row r="1786" spans="1:4" x14ac:dyDescent="0.4">
      <c r="A1786" t="str">
        <f t="shared" si="54"/>
        <v/>
      </c>
      <c r="B1786" t="str">
        <f t="shared" si="55"/>
        <v/>
      </c>
      <c r="C1786" t="str">
        <f>IF(D1786="","",IF(COUNTIF($D$2:D1786,D1786)&gt;1,"",SUMIFS(tbl_input[필요수량],tbl_input[집계키_청],D1786)))</f>
        <v/>
      </c>
      <c r="D1786" t="str">
        <f>IFERROR(INDEX(tbl_input[집계키_청],ROW()-1),"")</f>
        <v/>
      </c>
    </row>
    <row r="1787" spans="1:4" x14ac:dyDescent="0.4">
      <c r="A1787" t="str">
        <f t="shared" si="54"/>
        <v/>
      </c>
      <c r="B1787" t="str">
        <f t="shared" si="55"/>
        <v/>
      </c>
      <c r="C1787" t="str">
        <f>IF(D1787="","",IF(COUNTIF($D$2:D1787,D1787)&gt;1,"",SUMIFS(tbl_input[필요수량],tbl_input[집계키_청],D1787)))</f>
        <v/>
      </c>
      <c r="D1787" t="str">
        <f>IFERROR(INDEX(tbl_input[집계키_청],ROW()-1),"")</f>
        <v/>
      </c>
    </row>
    <row r="1788" spans="1:4" x14ac:dyDescent="0.4">
      <c r="A1788" t="str">
        <f t="shared" si="54"/>
        <v/>
      </c>
      <c r="B1788" t="str">
        <f t="shared" si="55"/>
        <v/>
      </c>
      <c r="C1788" t="str">
        <f>IF(D1788="","",IF(COUNTIF($D$2:D1788,D1788)&gt;1,"",SUMIFS(tbl_input[필요수량],tbl_input[집계키_청],D1788)))</f>
        <v/>
      </c>
      <c r="D1788" t="str">
        <f>IFERROR(INDEX(tbl_input[집계키_청],ROW()-1),"")</f>
        <v/>
      </c>
    </row>
    <row r="1789" spans="1:4" x14ac:dyDescent="0.4">
      <c r="A1789" t="str">
        <f t="shared" si="54"/>
        <v/>
      </c>
      <c r="B1789" t="str">
        <f t="shared" si="55"/>
        <v/>
      </c>
      <c r="C1789" t="str">
        <f>IF(D1789="","",IF(COUNTIF($D$2:D1789,D1789)&gt;1,"",SUMIFS(tbl_input[필요수량],tbl_input[집계키_청],D1789)))</f>
        <v/>
      </c>
      <c r="D1789" t="str">
        <f>IFERROR(INDEX(tbl_input[집계키_청],ROW()-1),"")</f>
        <v/>
      </c>
    </row>
    <row r="1790" spans="1:4" x14ac:dyDescent="0.4">
      <c r="A1790" t="str">
        <f t="shared" si="54"/>
        <v/>
      </c>
      <c r="B1790" t="str">
        <f t="shared" si="55"/>
        <v/>
      </c>
      <c r="C1790" t="str">
        <f>IF(D1790="","",IF(COUNTIF($D$2:D1790,D1790)&gt;1,"",SUMIFS(tbl_input[필요수량],tbl_input[집계키_청],D1790)))</f>
        <v/>
      </c>
      <c r="D1790" t="str">
        <f>IFERROR(INDEX(tbl_input[집계키_청],ROW()-1),"")</f>
        <v/>
      </c>
    </row>
    <row r="1791" spans="1:4" x14ac:dyDescent="0.4">
      <c r="A1791" t="str">
        <f t="shared" si="54"/>
        <v/>
      </c>
      <c r="B1791" t="str">
        <f t="shared" si="55"/>
        <v/>
      </c>
      <c r="C1791" t="str">
        <f>IF(D1791="","",IF(COUNTIF($D$2:D1791,D1791)&gt;1,"",SUMIFS(tbl_input[필요수량],tbl_input[집계키_청],D1791)))</f>
        <v/>
      </c>
      <c r="D1791" t="str">
        <f>IFERROR(INDEX(tbl_input[집계키_청],ROW()-1),"")</f>
        <v/>
      </c>
    </row>
    <row r="1792" spans="1:4" x14ac:dyDescent="0.4">
      <c r="A1792" t="str">
        <f t="shared" si="54"/>
        <v/>
      </c>
      <c r="B1792" t="str">
        <f t="shared" si="55"/>
        <v/>
      </c>
      <c r="C1792" t="str">
        <f>IF(D1792="","",IF(COUNTIF($D$2:D1792,D1792)&gt;1,"",SUMIFS(tbl_input[필요수량],tbl_input[집계키_청],D1792)))</f>
        <v/>
      </c>
      <c r="D1792" t="str">
        <f>IFERROR(INDEX(tbl_input[집계키_청],ROW()-1),"")</f>
        <v/>
      </c>
    </row>
    <row r="1793" spans="1:4" x14ac:dyDescent="0.4">
      <c r="A1793" t="str">
        <f t="shared" si="54"/>
        <v/>
      </c>
      <c r="B1793" t="str">
        <f t="shared" si="55"/>
        <v/>
      </c>
      <c r="C1793" t="str">
        <f>IF(D1793="","",IF(COUNTIF($D$2:D1793,D1793)&gt;1,"",SUMIFS(tbl_input[필요수량],tbl_input[집계키_청],D1793)))</f>
        <v/>
      </c>
      <c r="D1793" t="str">
        <f>IFERROR(INDEX(tbl_input[집계키_청],ROW()-1),"")</f>
        <v/>
      </c>
    </row>
    <row r="1794" spans="1:4" x14ac:dyDescent="0.4">
      <c r="A1794" t="str">
        <f t="shared" ref="A1794:A1857" si="56">IF(D1794="","",LEFT(D1794,FIND("♦",D1794)-1))</f>
        <v/>
      </c>
      <c r="B1794" t="str">
        <f t="shared" ref="B1794:B1857" si="57">IF(D1794="","",MID(D1794,FIND("♦",D1794)+1,999))</f>
        <v/>
      </c>
      <c r="C1794" t="str">
        <f>IF(D1794="","",IF(COUNTIF($D$2:D1794,D1794)&gt;1,"",SUMIFS(tbl_input[필요수량],tbl_input[집계키_청],D1794)))</f>
        <v/>
      </c>
      <c r="D1794" t="str">
        <f>IFERROR(INDEX(tbl_input[집계키_청],ROW()-1),"")</f>
        <v/>
      </c>
    </row>
    <row r="1795" spans="1:4" x14ac:dyDescent="0.4">
      <c r="A1795" t="str">
        <f t="shared" si="56"/>
        <v/>
      </c>
      <c r="B1795" t="str">
        <f t="shared" si="57"/>
        <v/>
      </c>
      <c r="C1795" t="str">
        <f>IF(D1795="","",IF(COUNTIF($D$2:D1795,D1795)&gt;1,"",SUMIFS(tbl_input[필요수량],tbl_input[집계키_청],D1795)))</f>
        <v/>
      </c>
      <c r="D1795" t="str">
        <f>IFERROR(INDEX(tbl_input[집계키_청],ROW()-1),"")</f>
        <v/>
      </c>
    </row>
    <row r="1796" spans="1:4" x14ac:dyDescent="0.4">
      <c r="A1796" t="str">
        <f t="shared" si="56"/>
        <v/>
      </c>
      <c r="B1796" t="str">
        <f t="shared" si="57"/>
        <v/>
      </c>
      <c r="C1796" t="str">
        <f>IF(D1796="","",IF(COUNTIF($D$2:D1796,D1796)&gt;1,"",SUMIFS(tbl_input[필요수량],tbl_input[집계키_청],D1796)))</f>
        <v/>
      </c>
      <c r="D1796" t="str">
        <f>IFERROR(INDEX(tbl_input[집계키_청],ROW()-1),"")</f>
        <v/>
      </c>
    </row>
    <row r="1797" spans="1:4" x14ac:dyDescent="0.4">
      <c r="A1797" t="str">
        <f t="shared" si="56"/>
        <v/>
      </c>
      <c r="B1797" t="str">
        <f t="shared" si="57"/>
        <v/>
      </c>
      <c r="C1797" t="str">
        <f>IF(D1797="","",IF(COUNTIF($D$2:D1797,D1797)&gt;1,"",SUMIFS(tbl_input[필요수량],tbl_input[집계키_청],D1797)))</f>
        <v/>
      </c>
      <c r="D1797" t="str">
        <f>IFERROR(INDEX(tbl_input[집계키_청],ROW()-1),"")</f>
        <v/>
      </c>
    </row>
    <row r="1798" spans="1:4" x14ac:dyDescent="0.4">
      <c r="A1798" t="str">
        <f t="shared" si="56"/>
        <v/>
      </c>
      <c r="B1798" t="str">
        <f t="shared" si="57"/>
        <v/>
      </c>
      <c r="C1798" t="str">
        <f>IF(D1798="","",IF(COUNTIF($D$2:D1798,D1798)&gt;1,"",SUMIFS(tbl_input[필요수량],tbl_input[집계키_청],D1798)))</f>
        <v/>
      </c>
      <c r="D1798" t="str">
        <f>IFERROR(INDEX(tbl_input[집계키_청],ROW()-1),"")</f>
        <v/>
      </c>
    </row>
    <row r="1799" spans="1:4" x14ac:dyDescent="0.4">
      <c r="A1799" t="str">
        <f t="shared" si="56"/>
        <v/>
      </c>
      <c r="B1799" t="str">
        <f t="shared" si="57"/>
        <v/>
      </c>
      <c r="C1799" t="str">
        <f>IF(D1799="","",IF(COUNTIF($D$2:D1799,D1799)&gt;1,"",SUMIFS(tbl_input[필요수량],tbl_input[집계키_청],D1799)))</f>
        <v/>
      </c>
      <c r="D1799" t="str">
        <f>IFERROR(INDEX(tbl_input[집계키_청],ROW()-1),"")</f>
        <v/>
      </c>
    </row>
    <row r="1800" spans="1:4" x14ac:dyDescent="0.4">
      <c r="A1800" t="str">
        <f t="shared" si="56"/>
        <v/>
      </c>
      <c r="B1800" t="str">
        <f t="shared" si="57"/>
        <v/>
      </c>
      <c r="C1800" t="str">
        <f>IF(D1800="","",IF(COUNTIF($D$2:D1800,D1800)&gt;1,"",SUMIFS(tbl_input[필요수량],tbl_input[집계키_청],D1800)))</f>
        <v/>
      </c>
      <c r="D1800" t="str">
        <f>IFERROR(INDEX(tbl_input[집계키_청],ROW()-1),"")</f>
        <v/>
      </c>
    </row>
    <row r="1801" spans="1:4" x14ac:dyDescent="0.4">
      <c r="A1801" t="str">
        <f t="shared" si="56"/>
        <v/>
      </c>
      <c r="B1801" t="str">
        <f t="shared" si="57"/>
        <v/>
      </c>
      <c r="C1801" t="str">
        <f>IF(D1801="","",IF(COUNTIF($D$2:D1801,D1801)&gt;1,"",SUMIFS(tbl_input[필요수량],tbl_input[집계키_청],D1801)))</f>
        <v/>
      </c>
      <c r="D1801" t="str">
        <f>IFERROR(INDEX(tbl_input[집계키_청],ROW()-1),"")</f>
        <v/>
      </c>
    </row>
    <row r="1802" spans="1:4" x14ac:dyDescent="0.4">
      <c r="A1802" t="str">
        <f t="shared" si="56"/>
        <v/>
      </c>
      <c r="B1802" t="str">
        <f t="shared" si="57"/>
        <v/>
      </c>
      <c r="C1802" t="str">
        <f>IF(D1802="","",IF(COUNTIF($D$2:D1802,D1802)&gt;1,"",SUMIFS(tbl_input[필요수량],tbl_input[집계키_청],D1802)))</f>
        <v/>
      </c>
      <c r="D1802" t="str">
        <f>IFERROR(INDEX(tbl_input[집계키_청],ROW()-1),"")</f>
        <v/>
      </c>
    </row>
    <row r="1803" spans="1:4" x14ac:dyDescent="0.4">
      <c r="A1803" t="str">
        <f t="shared" si="56"/>
        <v/>
      </c>
      <c r="B1803" t="str">
        <f t="shared" si="57"/>
        <v/>
      </c>
      <c r="C1803" t="str">
        <f>IF(D1803="","",IF(COUNTIF($D$2:D1803,D1803)&gt;1,"",SUMIFS(tbl_input[필요수량],tbl_input[집계키_청],D1803)))</f>
        <v/>
      </c>
      <c r="D1803" t="str">
        <f>IFERROR(INDEX(tbl_input[집계키_청],ROW()-1),"")</f>
        <v/>
      </c>
    </row>
    <row r="1804" spans="1:4" x14ac:dyDescent="0.4">
      <c r="A1804" t="str">
        <f t="shared" si="56"/>
        <v/>
      </c>
      <c r="B1804" t="str">
        <f t="shared" si="57"/>
        <v/>
      </c>
      <c r="C1804" t="str">
        <f>IF(D1804="","",IF(COUNTIF($D$2:D1804,D1804)&gt;1,"",SUMIFS(tbl_input[필요수량],tbl_input[집계키_청],D1804)))</f>
        <v/>
      </c>
      <c r="D1804" t="str">
        <f>IFERROR(INDEX(tbl_input[집계키_청],ROW()-1),"")</f>
        <v/>
      </c>
    </row>
    <row r="1805" spans="1:4" x14ac:dyDescent="0.4">
      <c r="A1805" t="str">
        <f t="shared" si="56"/>
        <v/>
      </c>
      <c r="B1805" t="str">
        <f t="shared" si="57"/>
        <v/>
      </c>
      <c r="C1805" t="str">
        <f>IF(D1805="","",IF(COUNTIF($D$2:D1805,D1805)&gt;1,"",SUMIFS(tbl_input[필요수량],tbl_input[집계키_청],D1805)))</f>
        <v/>
      </c>
      <c r="D1805" t="str">
        <f>IFERROR(INDEX(tbl_input[집계키_청],ROW()-1),"")</f>
        <v/>
      </c>
    </row>
    <row r="1806" spans="1:4" x14ac:dyDescent="0.4">
      <c r="A1806" t="str">
        <f t="shared" si="56"/>
        <v/>
      </c>
      <c r="B1806" t="str">
        <f t="shared" si="57"/>
        <v/>
      </c>
      <c r="C1806" t="str">
        <f>IF(D1806="","",IF(COUNTIF($D$2:D1806,D1806)&gt;1,"",SUMIFS(tbl_input[필요수량],tbl_input[집계키_청],D1806)))</f>
        <v/>
      </c>
      <c r="D1806" t="str">
        <f>IFERROR(INDEX(tbl_input[집계키_청],ROW()-1),"")</f>
        <v/>
      </c>
    </row>
    <row r="1807" spans="1:4" x14ac:dyDescent="0.4">
      <c r="A1807" t="str">
        <f t="shared" si="56"/>
        <v/>
      </c>
      <c r="B1807" t="str">
        <f t="shared" si="57"/>
        <v/>
      </c>
      <c r="C1807" t="str">
        <f>IF(D1807="","",IF(COUNTIF($D$2:D1807,D1807)&gt;1,"",SUMIFS(tbl_input[필요수량],tbl_input[집계키_청],D1807)))</f>
        <v/>
      </c>
      <c r="D1807" t="str">
        <f>IFERROR(INDEX(tbl_input[집계키_청],ROW()-1),"")</f>
        <v/>
      </c>
    </row>
    <row r="1808" spans="1:4" x14ac:dyDescent="0.4">
      <c r="A1808" t="str">
        <f t="shared" si="56"/>
        <v/>
      </c>
      <c r="B1808" t="str">
        <f t="shared" si="57"/>
        <v/>
      </c>
      <c r="C1808" t="str">
        <f>IF(D1808="","",IF(COUNTIF($D$2:D1808,D1808)&gt;1,"",SUMIFS(tbl_input[필요수량],tbl_input[집계키_청],D1808)))</f>
        <v/>
      </c>
      <c r="D1808" t="str">
        <f>IFERROR(INDEX(tbl_input[집계키_청],ROW()-1),"")</f>
        <v/>
      </c>
    </row>
    <row r="1809" spans="1:4" x14ac:dyDescent="0.4">
      <c r="A1809" t="str">
        <f t="shared" si="56"/>
        <v/>
      </c>
      <c r="B1809" t="str">
        <f t="shared" si="57"/>
        <v/>
      </c>
      <c r="C1809" t="str">
        <f>IF(D1809="","",IF(COUNTIF($D$2:D1809,D1809)&gt;1,"",SUMIFS(tbl_input[필요수량],tbl_input[집계키_청],D1809)))</f>
        <v/>
      </c>
      <c r="D1809" t="str">
        <f>IFERROR(INDEX(tbl_input[집계키_청],ROW()-1),"")</f>
        <v/>
      </c>
    </row>
    <row r="1810" spans="1:4" x14ac:dyDescent="0.4">
      <c r="A1810" t="str">
        <f t="shared" si="56"/>
        <v/>
      </c>
      <c r="B1810" t="str">
        <f t="shared" si="57"/>
        <v/>
      </c>
      <c r="C1810" t="str">
        <f>IF(D1810="","",IF(COUNTIF($D$2:D1810,D1810)&gt;1,"",SUMIFS(tbl_input[필요수량],tbl_input[집계키_청],D1810)))</f>
        <v/>
      </c>
      <c r="D1810" t="str">
        <f>IFERROR(INDEX(tbl_input[집계키_청],ROW()-1),"")</f>
        <v/>
      </c>
    </row>
    <row r="1811" spans="1:4" x14ac:dyDescent="0.4">
      <c r="A1811" t="str">
        <f t="shared" si="56"/>
        <v/>
      </c>
      <c r="B1811" t="str">
        <f t="shared" si="57"/>
        <v/>
      </c>
      <c r="C1811" t="str">
        <f>IF(D1811="","",IF(COUNTIF($D$2:D1811,D1811)&gt;1,"",SUMIFS(tbl_input[필요수량],tbl_input[집계키_청],D1811)))</f>
        <v/>
      </c>
      <c r="D1811" t="str">
        <f>IFERROR(INDEX(tbl_input[집계키_청],ROW()-1),"")</f>
        <v/>
      </c>
    </row>
    <row r="1812" spans="1:4" x14ac:dyDescent="0.4">
      <c r="A1812" t="str">
        <f t="shared" si="56"/>
        <v/>
      </c>
      <c r="B1812" t="str">
        <f t="shared" si="57"/>
        <v/>
      </c>
      <c r="C1812" t="str">
        <f>IF(D1812="","",IF(COUNTIF($D$2:D1812,D1812)&gt;1,"",SUMIFS(tbl_input[필요수량],tbl_input[집계키_청],D1812)))</f>
        <v/>
      </c>
      <c r="D1812" t="str">
        <f>IFERROR(INDEX(tbl_input[집계키_청],ROW()-1),"")</f>
        <v/>
      </c>
    </row>
    <row r="1813" spans="1:4" x14ac:dyDescent="0.4">
      <c r="A1813" t="str">
        <f t="shared" si="56"/>
        <v/>
      </c>
      <c r="B1813" t="str">
        <f t="shared" si="57"/>
        <v/>
      </c>
      <c r="C1813" t="str">
        <f>IF(D1813="","",IF(COUNTIF($D$2:D1813,D1813)&gt;1,"",SUMIFS(tbl_input[필요수량],tbl_input[집계키_청],D1813)))</f>
        <v/>
      </c>
      <c r="D1813" t="str">
        <f>IFERROR(INDEX(tbl_input[집계키_청],ROW()-1),"")</f>
        <v/>
      </c>
    </row>
    <row r="1814" spans="1:4" x14ac:dyDescent="0.4">
      <c r="A1814" t="str">
        <f t="shared" si="56"/>
        <v/>
      </c>
      <c r="B1814" t="str">
        <f t="shared" si="57"/>
        <v/>
      </c>
      <c r="C1814" t="str">
        <f>IF(D1814="","",IF(COUNTIF($D$2:D1814,D1814)&gt;1,"",SUMIFS(tbl_input[필요수량],tbl_input[집계키_청],D1814)))</f>
        <v/>
      </c>
      <c r="D1814" t="str">
        <f>IFERROR(INDEX(tbl_input[집계키_청],ROW()-1),"")</f>
        <v/>
      </c>
    </row>
    <row r="1815" spans="1:4" x14ac:dyDescent="0.4">
      <c r="A1815" t="str">
        <f t="shared" si="56"/>
        <v/>
      </c>
      <c r="B1815" t="str">
        <f t="shared" si="57"/>
        <v/>
      </c>
      <c r="C1815" t="str">
        <f>IF(D1815="","",IF(COUNTIF($D$2:D1815,D1815)&gt;1,"",SUMIFS(tbl_input[필요수량],tbl_input[집계키_청],D1815)))</f>
        <v/>
      </c>
      <c r="D1815" t="str">
        <f>IFERROR(INDEX(tbl_input[집계키_청],ROW()-1),"")</f>
        <v/>
      </c>
    </row>
    <row r="1816" spans="1:4" x14ac:dyDescent="0.4">
      <c r="A1816" t="str">
        <f t="shared" si="56"/>
        <v/>
      </c>
      <c r="B1816" t="str">
        <f t="shared" si="57"/>
        <v/>
      </c>
      <c r="C1816" t="str">
        <f>IF(D1816="","",IF(COUNTIF($D$2:D1816,D1816)&gt;1,"",SUMIFS(tbl_input[필요수량],tbl_input[집계키_청],D1816)))</f>
        <v/>
      </c>
      <c r="D1816" t="str">
        <f>IFERROR(INDEX(tbl_input[집계키_청],ROW()-1),"")</f>
        <v/>
      </c>
    </row>
    <row r="1817" spans="1:4" x14ac:dyDescent="0.4">
      <c r="A1817" t="str">
        <f t="shared" si="56"/>
        <v/>
      </c>
      <c r="B1817" t="str">
        <f t="shared" si="57"/>
        <v/>
      </c>
      <c r="C1817" t="str">
        <f>IF(D1817="","",IF(COUNTIF($D$2:D1817,D1817)&gt;1,"",SUMIFS(tbl_input[필요수량],tbl_input[집계키_청],D1817)))</f>
        <v/>
      </c>
      <c r="D1817" t="str">
        <f>IFERROR(INDEX(tbl_input[집계키_청],ROW()-1),"")</f>
        <v/>
      </c>
    </row>
    <row r="1818" spans="1:4" x14ac:dyDescent="0.4">
      <c r="A1818" t="str">
        <f t="shared" si="56"/>
        <v/>
      </c>
      <c r="B1818" t="str">
        <f t="shared" si="57"/>
        <v/>
      </c>
      <c r="C1818" t="str">
        <f>IF(D1818="","",IF(COUNTIF($D$2:D1818,D1818)&gt;1,"",SUMIFS(tbl_input[필요수량],tbl_input[집계키_청],D1818)))</f>
        <v/>
      </c>
      <c r="D1818" t="str">
        <f>IFERROR(INDEX(tbl_input[집계키_청],ROW()-1),"")</f>
        <v/>
      </c>
    </row>
    <row r="1819" spans="1:4" x14ac:dyDescent="0.4">
      <c r="A1819" t="str">
        <f t="shared" si="56"/>
        <v/>
      </c>
      <c r="B1819" t="str">
        <f t="shared" si="57"/>
        <v/>
      </c>
      <c r="C1819" t="str">
        <f>IF(D1819="","",IF(COUNTIF($D$2:D1819,D1819)&gt;1,"",SUMIFS(tbl_input[필요수량],tbl_input[집계키_청],D1819)))</f>
        <v/>
      </c>
      <c r="D1819" t="str">
        <f>IFERROR(INDEX(tbl_input[집계키_청],ROW()-1),"")</f>
        <v/>
      </c>
    </row>
    <row r="1820" spans="1:4" x14ac:dyDescent="0.4">
      <c r="A1820" t="str">
        <f t="shared" si="56"/>
        <v/>
      </c>
      <c r="B1820" t="str">
        <f t="shared" si="57"/>
        <v/>
      </c>
      <c r="C1820" t="str">
        <f>IF(D1820="","",IF(COUNTIF($D$2:D1820,D1820)&gt;1,"",SUMIFS(tbl_input[필요수량],tbl_input[집계키_청],D1820)))</f>
        <v/>
      </c>
      <c r="D1820" t="str">
        <f>IFERROR(INDEX(tbl_input[집계키_청],ROW()-1),"")</f>
        <v/>
      </c>
    </row>
    <row r="1821" spans="1:4" x14ac:dyDescent="0.4">
      <c r="A1821" t="str">
        <f t="shared" si="56"/>
        <v/>
      </c>
      <c r="B1821" t="str">
        <f t="shared" si="57"/>
        <v/>
      </c>
      <c r="C1821" t="str">
        <f>IF(D1821="","",IF(COUNTIF($D$2:D1821,D1821)&gt;1,"",SUMIFS(tbl_input[필요수량],tbl_input[집계키_청],D1821)))</f>
        <v/>
      </c>
      <c r="D1821" t="str">
        <f>IFERROR(INDEX(tbl_input[집계키_청],ROW()-1),"")</f>
        <v/>
      </c>
    </row>
    <row r="1822" spans="1:4" x14ac:dyDescent="0.4">
      <c r="A1822" t="str">
        <f t="shared" si="56"/>
        <v/>
      </c>
      <c r="B1822" t="str">
        <f t="shared" si="57"/>
        <v/>
      </c>
      <c r="C1822" t="str">
        <f>IF(D1822="","",IF(COUNTIF($D$2:D1822,D1822)&gt;1,"",SUMIFS(tbl_input[필요수량],tbl_input[집계키_청],D1822)))</f>
        <v/>
      </c>
      <c r="D1822" t="str">
        <f>IFERROR(INDEX(tbl_input[집계키_청],ROW()-1),"")</f>
        <v/>
      </c>
    </row>
    <row r="1823" spans="1:4" x14ac:dyDescent="0.4">
      <c r="A1823" t="str">
        <f t="shared" si="56"/>
        <v/>
      </c>
      <c r="B1823" t="str">
        <f t="shared" si="57"/>
        <v/>
      </c>
      <c r="C1823" t="str">
        <f>IF(D1823="","",IF(COUNTIF($D$2:D1823,D1823)&gt;1,"",SUMIFS(tbl_input[필요수량],tbl_input[집계키_청],D1823)))</f>
        <v/>
      </c>
      <c r="D1823" t="str">
        <f>IFERROR(INDEX(tbl_input[집계키_청],ROW()-1),"")</f>
        <v/>
      </c>
    </row>
    <row r="1824" spans="1:4" x14ac:dyDescent="0.4">
      <c r="A1824" t="str">
        <f t="shared" si="56"/>
        <v/>
      </c>
      <c r="B1824" t="str">
        <f t="shared" si="57"/>
        <v/>
      </c>
      <c r="C1824" t="str">
        <f>IF(D1824="","",IF(COUNTIF($D$2:D1824,D1824)&gt;1,"",SUMIFS(tbl_input[필요수량],tbl_input[집계키_청],D1824)))</f>
        <v/>
      </c>
      <c r="D1824" t="str">
        <f>IFERROR(INDEX(tbl_input[집계키_청],ROW()-1),"")</f>
        <v/>
      </c>
    </row>
    <row r="1825" spans="1:4" x14ac:dyDescent="0.4">
      <c r="A1825" t="str">
        <f t="shared" si="56"/>
        <v/>
      </c>
      <c r="B1825" t="str">
        <f t="shared" si="57"/>
        <v/>
      </c>
      <c r="C1825" t="str">
        <f>IF(D1825="","",IF(COUNTIF($D$2:D1825,D1825)&gt;1,"",SUMIFS(tbl_input[필요수량],tbl_input[집계키_청],D1825)))</f>
        <v/>
      </c>
      <c r="D1825" t="str">
        <f>IFERROR(INDEX(tbl_input[집계키_청],ROW()-1),"")</f>
        <v/>
      </c>
    </row>
    <row r="1826" spans="1:4" x14ac:dyDescent="0.4">
      <c r="A1826" t="str">
        <f t="shared" si="56"/>
        <v/>
      </c>
      <c r="B1826" t="str">
        <f t="shared" si="57"/>
        <v/>
      </c>
      <c r="C1826" t="str">
        <f>IF(D1826="","",IF(COUNTIF($D$2:D1826,D1826)&gt;1,"",SUMIFS(tbl_input[필요수량],tbl_input[집계키_청],D1826)))</f>
        <v/>
      </c>
      <c r="D1826" t="str">
        <f>IFERROR(INDEX(tbl_input[집계키_청],ROW()-1),"")</f>
        <v/>
      </c>
    </row>
    <row r="1827" spans="1:4" x14ac:dyDescent="0.4">
      <c r="A1827" t="str">
        <f t="shared" si="56"/>
        <v/>
      </c>
      <c r="B1827" t="str">
        <f t="shared" si="57"/>
        <v/>
      </c>
      <c r="C1827" t="str">
        <f>IF(D1827="","",IF(COUNTIF($D$2:D1827,D1827)&gt;1,"",SUMIFS(tbl_input[필요수량],tbl_input[집계키_청],D1827)))</f>
        <v/>
      </c>
      <c r="D1827" t="str">
        <f>IFERROR(INDEX(tbl_input[집계키_청],ROW()-1),"")</f>
        <v/>
      </c>
    </row>
    <row r="1828" spans="1:4" x14ac:dyDescent="0.4">
      <c r="A1828" t="str">
        <f t="shared" si="56"/>
        <v/>
      </c>
      <c r="B1828" t="str">
        <f t="shared" si="57"/>
        <v/>
      </c>
      <c r="C1828" t="str">
        <f>IF(D1828="","",IF(COUNTIF($D$2:D1828,D1828)&gt;1,"",SUMIFS(tbl_input[필요수량],tbl_input[집계키_청],D1828)))</f>
        <v/>
      </c>
      <c r="D1828" t="str">
        <f>IFERROR(INDEX(tbl_input[집계키_청],ROW()-1),"")</f>
        <v/>
      </c>
    </row>
    <row r="1829" spans="1:4" x14ac:dyDescent="0.4">
      <c r="A1829" t="str">
        <f t="shared" si="56"/>
        <v/>
      </c>
      <c r="B1829" t="str">
        <f t="shared" si="57"/>
        <v/>
      </c>
      <c r="C1829" t="str">
        <f>IF(D1829="","",IF(COUNTIF($D$2:D1829,D1829)&gt;1,"",SUMIFS(tbl_input[필요수량],tbl_input[집계키_청],D1829)))</f>
        <v/>
      </c>
      <c r="D1829" t="str">
        <f>IFERROR(INDEX(tbl_input[집계키_청],ROW()-1),"")</f>
        <v/>
      </c>
    </row>
    <row r="1830" spans="1:4" x14ac:dyDescent="0.4">
      <c r="A1830" t="str">
        <f t="shared" si="56"/>
        <v/>
      </c>
      <c r="B1830" t="str">
        <f t="shared" si="57"/>
        <v/>
      </c>
      <c r="C1830" t="str">
        <f>IF(D1830="","",IF(COUNTIF($D$2:D1830,D1830)&gt;1,"",SUMIFS(tbl_input[필요수량],tbl_input[집계키_청],D1830)))</f>
        <v/>
      </c>
      <c r="D1830" t="str">
        <f>IFERROR(INDEX(tbl_input[집계키_청],ROW()-1),"")</f>
        <v/>
      </c>
    </row>
    <row r="1831" spans="1:4" x14ac:dyDescent="0.4">
      <c r="A1831" t="str">
        <f t="shared" si="56"/>
        <v/>
      </c>
      <c r="B1831" t="str">
        <f t="shared" si="57"/>
        <v/>
      </c>
      <c r="C1831" t="str">
        <f>IF(D1831="","",IF(COUNTIF($D$2:D1831,D1831)&gt;1,"",SUMIFS(tbl_input[필요수량],tbl_input[집계키_청],D1831)))</f>
        <v/>
      </c>
      <c r="D1831" t="str">
        <f>IFERROR(INDEX(tbl_input[집계키_청],ROW()-1),"")</f>
        <v/>
      </c>
    </row>
    <row r="1832" spans="1:4" x14ac:dyDescent="0.4">
      <c r="A1832" t="str">
        <f t="shared" si="56"/>
        <v/>
      </c>
      <c r="B1832" t="str">
        <f t="shared" si="57"/>
        <v/>
      </c>
      <c r="C1832" t="str">
        <f>IF(D1832="","",IF(COUNTIF($D$2:D1832,D1832)&gt;1,"",SUMIFS(tbl_input[필요수량],tbl_input[집계키_청],D1832)))</f>
        <v/>
      </c>
      <c r="D1832" t="str">
        <f>IFERROR(INDEX(tbl_input[집계키_청],ROW()-1),"")</f>
        <v/>
      </c>
    </row>
    <row r="1833" spans="1:4" x14ac:dyDescent="0.4">
      <c r="A1833" t="str">
        <f t="shared" si="56"/>
        <v/>
      </c>
      <c r="B1833" t="str">
        <f t="shared" si="57"/>
        <v/>
      </c>
      <c r="C1833" t="str">
        <f>IF(D1833="","",IF(COUNTIF($D$2:D1833,D1833)&gt;1,"",SUMIFS(tbl_input[필요수량],tbl_input[집계키_청],D1833)))</f>
        <v/>
      </c>
      <c r="D1833" t="str">
        <f>IFERROR(INDEX(tbl_input[집계키_청],ROW()-1),"")</f>
        <v/>
      </c>
    </row>
    <row r="1834" spans="1:4" x14ac:dyDescent="0.4">
      <c r="A1834" t="str">
        <f t="shared" si="56"/>
        <v/>
      </c>
      <c r="B1834" t="str">
        <f t="shared" si="57"/>
        <v/>
      </c>
      <c r="C1834" t="str">
        <f>IF(D1834="","",IF(COUNTIF($D$2:D1834,D1834)&gt;1,"",SUMIFS(tbl_input[필요수량],tbl_input[집계키_청],D1834)))</f>
        <v/>
      </c>
      <c r="D1834" t="str">
        <f>IFERROR(INDEX(tbl_input[집계키_청],ROW()-1),"")</f>
        <v/>
      </c>
    </row>
    <row r="1835" spans="1:4" x14ac:dyDescent="0.4">
      <c r="A1835" t="str">
        <f t="shared" si="56"/>
        <v/>
      </c>
      <c r="B1835" t="str">
        <f t="shared" si="57"/>
        <v/>
      </c>
      <c r="C1835" t="str">
        <f>IF(D1835="","",IF(COUNTIF($D$2:D1835,D1835)&gt;1,"",SUMIFS(tbl_input[필요수량],tbl_input[집계키_청],D1835)))</f>
        <v/>
      </c>
      <c r="D1835" t="str">
        <f>IFERROR(INDEX(tbl_input[집계키_청],ROW()-1),"")</f>
        <v/>
      </c>
    </row>
    <row r="1836" spans="1:4" x14ac:dyDescent="0.4">
      <c r="A1836" t="str">
        <f t="shared" si="56"/>
        <v/>
      </c>
      <c r="B1836" t="str">
        <f t="shared" si="57"/>
        <v/>
      </c>
      <c r="C1836" t="str">
        <f>IF(D1836="","",IF(COUNTIF($D$2:D1836,D1836)&gt;1,"",SUMIFS(tbl_input[필요수량],tbl_input[집계키_청],D1836)))</f>
        <v/>
      </c>
      <c r="D1836" t="str">
        <f>IFERROR(INDEX(tbl_input[집계키_청],ROW()-1),"")</f>
        <v/>
      </c>
    </row>
    <row r="1837" spans="1:4" x14ac:dyDescent="0.4">
      <c r="A1837" t="str">
        <f t="shared" si="56"/>
        <v/>
      </c>
      <c r="B1837" t="str">
        <f t="shared" si="57"/>
        <v/>
      </c>
      <c r="C1837" t="str">
        <f>IF(D1837="","",IF(COUNTIF($D$2:D1837,D1837)&gt;1,"",SUMIFS(tbl_input[필요수량],tbl_input[집계키_청],D1837)))</f>
        <v/>
      </c>
      <c r="D1837" t="str">
        <f>IFERROR(INDEX(tbl_input[집계키_청],ROW()-1),"")</f>
        <v/>
      </c>
    </row>
    <row r="1838" spans="1:4" x14ac:dyDescent="0.4">
      <c r="A1838" t="str">
        <f t="shared" si="56"/>
        <v/>
      </c>
      <c r="B1838" t="str">
        <f t="shared" si="57"/>
        <v/>
      </c>
      <c r="C1838" t="str">
        <f>IF(D1838="","",IF(COUNTIF($D$2:D1838,D1838)&gt;1,"",SUMIFS(tbl_input[필요수량],tbl_input[집계키_청],D1838)))</f>
        <v/>
      </c>
      <c r="D1838" t="str">
        <f>IFERROR(INDEX(tbl_input[집계키_청],ROW()-1),"")</f>
        <v/>
      </c>
    </row>
    <row r="1839" spans="1:4" x14ac:dyDescent="0.4">
      <c r="A1839" t="str">
        <f t="shared" si="56"/>
        <v/>
      </c>
      <c r="B1839" t="str">
        <f t="shared" si="57"/>
        <v/>
      </c>
      <c r="C1839" t="str">
        <f>IF(D1839="","",IF(COUNTIF($D$2:D1839,D1839)&gt;1,"",SUMIFS(tbl_input[필요수량],tbl_input[집계키_청],D1839)))</f>
        <v/>
      </c>
      <c r="D1839" t="str">
        <f>IFERROR(INDEX(tbl_input[집계키_청],ROW()-1),"")</f>
        <v/>
      </c>
    </row>
    <row r="1840" spans="1:4" x14ac:dyDescent="0.4">
      <c r="A1840" t="str">
        <f t="shared" si="56"/>
        <v/>
      </c>
      <c r="B1840" t="str">
        <f t="shared" si="57"/>
        <v/>
      </c>
      <c r="C1840" t="str">
        <f>IF(D1840="","",IF(COUNTIF($D$2:D1840,D1840)&gt;1,"",SUMIFS(tbl_input[필요수량],tbl_input[집계키_청],D1840)))</f>
        <v/>
      </c>
      <c r="D1840" t="str">
        <f>IFERROR(INDEX(tbl_input[집계키_청],ROW()-1),"")</f>
        <v/>
      </c>
    </row>
    <row r="1841" spans="1:4" x14ac:dyDescent="0.4">
      <c r="A1841" t="str">
        <f t="shared" si="56"/>
        <v/>
      </c>
      <c r="B1841" t="str">
        <f t="shared" si="57"/>
        <v/>
      </c>
      <c r="C1841" t="str">
        <f>IF(D1841="","",IF(COUNTIF($D$2:D1841,D1841)&gt;1,"",SUMIFS(tbl_input[필요수량],tbl_input[집계키_청],D1841)))</f>
        <v/>
      </c>
      <c r="D1841" t="str">
        <f>IFERROR(INDEX(tbl_input[집계키_청],ROW()-1),"")</f>
        <v/>
      </c>
    </row>
    <row r="1842" spans="1:4" x14ac:dyDescent="0.4">
      <c r="A1842" t="str">
        <f t="shared" si="56"/>
        <v/>
      </c>
      <c r="B1842" t="str">
        <f t="shared" si="57"/>
        <v/>
      </c>
      <c r="C1842" t="str">
        <f>IF(D1842="","",IF(COUNTIF($D$2:D1842,D1842)&gt;1,"",SUMIFS(tbl_input[필요수량],tbl_input[집계키_청],D1842)))</f>
        <v/>
      </c>
      <c r="D1842" t="str">
        <f>IFERROR(INDEX(tbl_input[집계키_청],ROW()-1),"")</f>
        <v/>
      </c>
    </row>
    <row r="1843" spans="1:4" x14ac:dyDescent="0.4">
      <c r="A1843" t="str">
        <f t="shared" si="56"/>
        <v/>
      </c>
      <c r="B1843" t="str">
        <f t="shared" si="57"/>
        <v/>
      </c>
      <c r="C1843" t="str">
        <f>IF(D1843="","",IF(COUNTIF($D$2:D1843,D1843)&gt;1,"",SUMIFS(tbl_input[필요수량],tbl_input[집계키_청],D1843)))</f>
        <v/>
      </c>
      <c r="D1843" t="str">
        <f>IFERROR(INDEX(tbl_input[집계키_청],ROW()-1),"")</f>
        <v/>
      </c>
    </row>
    <row r="1844" spans="1:4" x14ac:dyDescent="0.4">
      <c r="A1844" t="str">
        <f t="shared" si="56"/>
        <v/>
      </c>
      <c r="B1844" t="str">
        <f t="shared" si="57"/>
        <v/>
      </c>
      <c r="C1844" t="str">
        <f>IF(D1844="","",IF(COUNTIF($D$2:D1844,D1844)&gt;1,"",SUMIFS(tbl_input[필요수량],tbl_input[집계키_청],D1844)))</f>
        <v/>
      </c>
      <c r="D1844" t="str">
        <f>IFERROR(INDEX(tbl_input[집계키_청],ROW()-1),"")</f>
        <v/>
      </c>
    </row>
    <row r="1845" spans="1:4" x14ac:dyDescent="0.4">
      <c r="A1845" t="str">
        <f t="shared" si="56"/>
        <v/>
      </c>
      <c r="B1845" t="str">
        <f t="shared" si="57"/>
        <v/>
      </c>
      <c r="C1845" t="str">
        <f>IF(D1845="","",IF(COUNTIF($D$2:D1845,D1845)&gt;1,"",SUMIFS(tbl_input[필요수량],tbl_input[집계키_청],D1845)))</f>
        <v/>
      </c>
      <c r="D1845" t="str">
        <f>IFERROR(INDEX(tbl_input[집계키_청],ROW()-1),"")</f>
        <v/>
      </c>
    </row>
    <row r="1846" spans="1:4" x14ac:dyDescent="0.4">
      <c r="A1846" t="str">
        <f t="shared" si="56"/>
        <v/>
      </c>
      <c r="B1846" t="str">
        <f t="shared" si="57"/>
        <v/>
      </c>
      <c r="C1846" t="str">
        <f>IF(D1846="","",IF(COUNTIF($D$2:D1846,D1846)&gt;1,"",SUMIFS(tbl_input[필요수량],tbl_input[집계키_청],D1846)))</f>
        <v/>
      </c>
      <c r="D1846" t="str">
        <f>IFERROR(INDEX(tbl_input[집계키_청],ROW()-1),"")</f>
        <v/>
      </c>
    </row>
    <row r="1847" spans="1:4" x14ac:dyDescent="0.4">
      <c r="A1847" t="str">
        <f t="shared" si="56"/>
        <v/>
      </c>
      <c r="B1847" t="str">
        <f t="shared" si="57"/>
        <v/>
      </c>
      <c r="C1847" t="str">
        <f>IF(D1847="","",IF(COUNTIF($D$2:D1847,D1847)&gt;1,"",SUMIFS(tbl_input[필요수량],tbl_input[집계키_청],D1847)))</f>
        <v/>
      </c>
      <c r="D1847" t="str">
        <f>IFERROR(INDEX(tbl_input[집계키_청],ROW()-1),"")</f>
        <v/>
      </c>
    </row>
    <row r="1848" spans="1:4" x14ac:dyDescent="0.4">
      <c r="A1848" t="str">
        <f t="shared" si="56"/>
        <v/>
      </c>
      <c r="B1848" t="str">
        <f t="shared" si="57"/>
        <v/>
      </c>
      <c r="C1848" t="str">
        <f>IF(D1848="","",IF(COUNTIF($D$2:D1848,D1848)&gt;1,"",SUMIFS(tbl_input[필요수량],tbl_input[집계키_청],D1848)))</f>
        <v/>
      </c>
      <c r="D1848" t="str">
        <f>IFERROR(INDEX(tbl_input[집계키_청],ROW()-1),"")</f>
        <v/>
      </c>
    </row>
    <row r="1849" spans="1:4" x14ac:dyDescent="0.4">
      <c r="A1849" t="str">
        <f t="shared" si="56"/>
        <v/>
      </c>
      <c r="B1849" t="str">
        <f t="shared" si="57"/>
        <v/>
      </c>
      <c r="C1849" t="str">
        <f>IF(D1849="","",IF(COUNTIF($D$2:D1849,D1849)&gt;1,"",SUMIFS(tbl_input[필요수량],tbl_input[집계키_청],D1849)))</f>
        <v/>
      </c>
      <c r="D1849" t="str">
        <f>IFERROR(INDEX(tbl_input[집계키_청],ROW()-1),"")</f>
        <v/>
      </c>
    </row>
    <row r="1850" spans="1:4" x14ac:dyDescent="0.4">
      <c r="A1850" t="str">
        <f t="shared" si="56"/>
        <v/>
      </c>
      <c r="B1850" t="str">
        <f t="shared" si="57"/>
        <v/>
      </c>
      <c r="C1850" t="str">
        <f>IF(D1850="","",IF(COUNTIF($D$2:D1850,D1850)&gt;1,"",SUMIFS(tbl_input[필요수량],tbl_input[집계키_청],D1850)))</f>
        <v/>
      </c>
      <c r="D1850" t="str">
        <f>IFERROR(INDEX(tbl_input[집계키_청],ROW()-1),"")</f>
        <v/>
      </c>
    </row>
    <row r="1851" spans="1:4" x14ac:dyDescent="0.4">
      <c r="A1851" t="str">
        <f t="shared" si="56"/>
        <v/>
      </c>
      <c r="B1851" t="str">
        <f t="shared" si="57"/>
        <v/>
      </c>
      <c r="C1851" t="str">
        <f>IF(D1851="","",IF(COUNTIF($D$2:D1851,D1851)&gt;1,"",SUMIFS(tbl_input[필요수량],tbl_input[집계키_청],D1851)))</f>
        <v/>
      </c>
      <c r="D1851" t="str">
        <f>IFERROR(INDEX(tbl_input[집계키_청],ROW()-1),"")</f>
        <v/>
      </c>
    </row>
    <row r="1852" spans="1:4" x14ac:dyDescent="0.4">
      <c r="A1852" t="str">
        <f t="shared" si="56"/>
        <v/>
      </c>
      <c r="B1852" t="str">
        <f t="shared" si="57"/>
        <v/>
      </c>
      <c r="C1852" t="str">
        <f>IF(D1852="","",IF(COUNTIF($D$2:D1852,D1852)&gt;1,"",SUMIFS(tbl_input[필요수량],tbl_input[집계키_청],D1852)))</f>
        <v/>
      </c>
      <c r="D1852" t="str">
        <f>IFERROR(INDEX(tbl_input[집계키_청],ROW()-1),"")</f>
        <v/>
      </c>
    </row>
    <row r="1853" spans="1:4" x14ac:dyDescent="0.4">
      <c r="A1853" t="str">
        <f t="shared" si="56"/>
        <v/>
      </c>
      <c r="B1853" t="str">
        <f t="shared" si="57"/>
        <v/>
      </c>
      <c r="C1853" t="str">
        <f>IF(D1853="","",IF(COUNTIF($D$2:D1853,D1853)&gt;1,"",SUMIFS(tbl_input[필요수량],tbl_input[집계키_청],D1853)))</f>
        <v/>
      </c>
      <c r="D1853" t="str">
        <f>IFERROR(INDEX(tbl_input[집계키_청],ROW()-1),"")</f>
        <v/>
      </c>
    </row>
    <row r="1854" spans="1:4" x14ac:dyDescent="0.4">
      <c r="A1854" t="str">
        <f t="shared" si="56"/>
        <v/>
      </c>
      <c r="B1854" t="str">
        <f t="shared" si="57"/>
        <v/>
      </c>
      <c r="C1854" t="str">
        <f>IF(D1854="","",IF(COUNTIF($D$2:D1854,D1854)&gt;1,"",SUMIFS(tbl_input[필요수량],tbl_input[집계키_청],D1854)))</f>
        <v/>
      </c>
      <c r="D1854" t="str">
        <f>IFERROR(INDEX(tbl_input[집계키_청],ROW()-1),"")</f>
        <v/>
      </c>
    </row>
    <row r="1855" spans="1:4" x14ac:dyDescent="0.4">
      <c r="A1855" t="str">
        <f t="shared" si="56"/>
        <v/>
      </c>
      <c r="B1855" t="str">
        <f t="shared" si="57"/>
        <v/>
      </c>
      <c r="C1855" t="str">
        <f>IF(D1855="","",IF(COUNTIF($D$2:D1855,D1855)&gt;1,"",SUMIFS(tbl_input[필요수량],tbl_input[집계키_청],D1855)))</f>
        <v/>
      </c>
      <c r="D1855" t="str">
        <f>IFERROR(INDEX(tbl_input[집계키_청],ROW()-1),"")</f>
        <v/>
      </c>
    </row>
    <row r="1856" spans="1:4" x14ac:dyDescent="0.4">
      <c r="A1856" t="str">
        <f t="shared" si="56"/>
        <v/>
      </c>
      <c r="B1856" t="str">
        <f t="shared" si="57"/>
        <v/>
      </c>
      <c r="C1856" t="str">
        <f>IF(D1856="","",IF(COUNTIF($D$2:D1856,D1856)&gt;1,"",SUMIFS(tbl_input[필요수량],tbl_input[집계키_청],D1856)))</f>
        <v/>
      </c>
      <c r="D1856" t="str">
        <f>IFERROR(INDEX(tbl_input[집계키_청],ROW()-1),"")</f>
        <v/>
      </c>
    </row>
    <row r="1857" spans="1:4" x14ac:dyDescent="0.4">
      <c r="A1857" t="str">
        <f t="shared" si="56"/>
        <v/>
      </c>
      <c r="B1857" t="str">
        <f t="shared" si="57"/>
        <v/>
      </c>
      <c r="C1857" t="str">
        <f>IF(D1857="","",IF(COUNTIF($D$2:D1857,D1857)&gt;1,"",SUMIFS(tbl_input[필요수량],tbl_input[집계키_청],D1857)))</f>
        <v/>
      </c>
      <c r="D1857" t="str">
        <f>IFERROR(INDEX(tbl_input[집계키_청],ROW()-1),"")</f>
        <v/>
      </c>
    </row>
    <row r="1858" spans="1:4" x14ac:dyDescent="0.4">
      <c r="A1858" t="str">
        <f t="shared" ref="A1858:A1921" si="58">IF(D1858="","",LEFT(D1858,FIND("♦",D1858)-1))</f>
        <v/>
      </c>
      <c r="B1858" t="str">
        <f t="shared" ref="B1858:B1921" si="59">IF(D1858="","",MID(D1858,FIND("♦",D1858)+1,999))</f>
        <v/>
      </c>
      <c r="C1858" t="str">
        <f>IF(D1858="","",IF(COUNTIF($D$2:D1858,D1858)&gt;1,"",SUMIFS(tbl_input[필요수량],tbl_input[집계키_청],D1858)))</f>
        <v/>
      </c>
      <c r="D1858" t="str">
        <f>IFERROR(INDEX(tbl_input[집계키_청],ROW()-1),"")</f>
        <v/>
      </c>
    </row>
    <row r="1859" spans="1:4" x14ac:dyDescent="0.4">
      <c r="A1859" t="str">
        <f t="shared" si="58"/>
        <v/>
      </c>
      <c r="B1859" t="str">
        <f t="shared" si="59"/>
        <v/>
      </c>
      <c r="C1859" t="str">
        <f>IF(D1859="","",IF(COUNTIF($D$2:D1859,D1859)&gt;1,"",SUMIFS(tbl_input[필요수량],tbl_input[집계키_청],D1859)))</f>
        <v/>
      </c>
      <c r="D1859" t="str">
        <f>IFERROR(INDEX(tbl_input[집계키_청],ROW()-1),"")</f>
        <v/>
      </c>
    </row>
    <row r="1860" spans="1:4" x14ac:dyDescent="0.4">
      <c r="A1860" t="str">
        <f t="shared" si="58"/>
        <v/>
      </c>
      <c r="B1860" t="str">
        <f t="shared" si="59"/>
        <v/>
      </c>
      <c r="C1860" t="str">
        <f>IF(D1860="","",IF(COUNTIF($D$2:D1860,D1860)&gt;1,"",SUMIFS(tbl_input[필요수량],tbl_input[집계키_청],D1860)))</f>
        <v/>
      </c>
      <c r="D1860" t="str">
        <f>IFERROR(INDEX(tbl_input[집계키_청],ROW()-1),"")</f>
        <v/>
      </c>
    </row>
    <row r="1861" spans="1:4" x14ac:dyDescent="0.4">
      <c r="A1861" t="str">
        <f t="shared" si="58"/>
        <v/>
      </c>
      <c r="B1861" t="str">
        <f t="shared" si="59"/>
        <v/>
      </c>
      <c r="C1861" t="str">
        <f>IF(D1861="","",IF(COUNTIF($D$2:D1861,D1861)&gt;1,"",SUMIFS(tbl_input[필요수량],tbl_input[집계키_청],D1861)))</f>
        <v/>
      </c>
      <c r="D1861" t="str">
        <f>IFERROR(INDEX(tbl_input[집계키_청],ROW()-1),"")</f>
        <v/>
      </c>
    </row>
    <row r="1862" spans="1:4" x14ac:dyDescent="0.4">
      <c r="A1862" t="str">
        <f t="shared" si="58"/>
        <v/>
      </c>
      <c r="B1862" t="str">
        <f t="shared" si="59"/>
        <v/>
      </c>
      <c r="C1862" t="str">
        <f>IF(D1862="","",IF(COUNTIF($D$2:D1862,D1862)&gt;1,"",SUMIFS(tbl_input[필요수량],tbl_input[집계키_청],D1862)))</f>
        <v/>
      </c>
      <c r="D1862" t="str">
        <f>IFERROR(INDEX(tbl_input[집계키_청],ROW()-1),"")</f>
        <v/>
      </c>
    </row>
    <row r="1863" spans="1:4" x14ac:dyDescent="0.4">
      <c r="A1863" t="str">
        <f t="shared" si="58"/>
        <v/>
      </c>
      <c r="B1863" t="str">
        <f t="shared" si="59"/>
        <v/>
      </c>
      <c r="C1863" t="str">
        <f>IF(D1863="","",IF(COUNTIF($D$2:D1863,D1863)&gt;1,"",SUMIFS(tbl_input[필요수량],tbl_input[집계키_청],D1863)))</f>
        <v/>
      </c>
      <c r="D1863" t="str">
        <f>IFERROR(INDEX(tbl_input[집계키_청],ROW()-1),"")</f>
        <v/>
      </c>
    </row>
    <row r="1864" spans="1:4" x14ac:dyDescent="0.4">
      <c r="A1864" t="str">
        <f t="shared" si="58"/>
        <v/>
      </c>
      <c r="B1864" t="str">
        <f t="shared" si="59"/>
        <v/>
      </c>
      <c r="C1864" t="str">
        <f>IF(D1864="","",IF(COUNTIF($D$2:D1864,D1864)&gt;1,"",SUMIFS(tbl_input[필요수량],tbl_input[집계키_청],D1864)))</f>
        <v/>
      </c>
      <c r="D1864" t="str">
        <f>IFERROR(INDEX(tbl_input[집계키_청],ROW()-1),"")</f>
        <v/>
      </c>
    </row>
    <row r="1865" spans="1:4" x14ac:dyDescent="0.4">
      <c r="A1865" t="str">
        <f t="shared" si="58"/>
        <v/>
      </c>
      <c r="B1865" t="str">
        <f t="shared" si="59"/>
        <v/>
      </c>
      <c r="C1865" t="str">
        <f>IF(D1865="","",IF(COUNTIF($D$2:D1865,D1865)&gt;1,"",SUMIFS(tbl_input[필요수량],tbl_input[집계키_청],D1865)))</f>
        <v/>
      </c>
      <c r="D1865" t="str">
        <f>IFERROR(INDEX(tbl_input[집계키_청],ROW()-1),"")</f>
        <v/>
      </c>
    </row>
    <row r="1866" spans="1:4" x14ac:dyDescent="0.4">
      <c r="A1866" t="str">
        <f t="shared" si="58"/>
        <v/>
      </c>
      <c r="B1866" t="str">
        <f t="shared" si="59"/>
        <v/>
      </c>
      <c r="C1866" t="str">
        <f>IF(D1866="","",IF(COUNTIF($D$2:D1866,D1866)&gt;1,"",SUMIFS(tbl_input[필요수량],tbl_input[집계키_청],D1866)))</f>
        <v/>
      </c>
      <c r="D1866" t="str">
        <f>IFERROR(INDEX(tbl_input[집계키_청],ROW()-1),"")</f>
        <v/>
      </c>
    </row>
    <row r="1867" spans="1:4" x14ac:dyDescent="0.4">
      <c r="A1867" t="str">
        <f t="shared" si="58"/>
        <v/>
      </c>
      <c r="B1867" t="str">
        <f t="shared" si="59"/>
        <v/>
      </c>
      <c r="C1867" t="str">
        <f>IF(D1867="","",IF(COUNTIF($D$2:D1867,D1867)&gt;1,"",SUMIFS(tbl_input[필요수량],tbl_input[집계키_청],D1867)))</f>
        <v/>
      </c>
      <c r="D1867" t="str">
        <f>IFERROR(INDEX(tbl_input[집계키_청],ROW()-1),"")</f>
        <v/>
      </c>
    </row>
    <row r="1868" spans="1:4" x14ac:dyDescent="0.4">
      <c r="A1868" t="str">
        <f t="shared" si="58"/>
        <v/>
      </c>
      <c r="B1868" t="str">
        <f t="shared" si="59"/>
        <v/>
      </c>
      <c r="C1868" t="str">
        <f>IF(D1868="","",IF(COUNTIF($D$2:D1868,D1868)&gt;1,"",SUMIFS(tbl_input[필요수량],tbl_input[집계키_청],D1868)))</f>
        <v/>
      </c>
      <c r="D1868" t="str">
        <f>IFERROR(INDEX(tbl_input[집계키_청],ROW()-1),"")</f>
        <v/>
      </c>
    </row>
    <row r="1869" spans="1:4" x14ac:dyDescent="0.4">
      <c r="A1869" t="str">
        <f t="shared" si="58"/>
        <v/>
      </c>
      <c r="B1869" t="str">
        <f t="shared" si="59"/>
        <v/>
      </c>
      <c r="C1869" t="str">
        <f>IF(D1869="","",IF(COUNTIF($D$2:D1869,D1869)&gt;1,"",SUMIFS(tbl_input[필요수량],tbl_input[집계키_청],D1869)))</f>
        <v/>
      </c>
      <c r="D1869" t="str">
        <f>IFERROR(INDEX(tbl_input[집계키_청],ROW()-1),"")</f>
        <v/>
      </c>
    </row>
    <row r="1870" spans="1:4" x14ac:dyDescent="0.4">
      <c r="A1870" t="str">
        <f t="shared" si="58"/>
        <v/>
      </c>
      <c r="B1870" t="str">
        <f t="shared" si="59"/>
        <v/>
      </c>
      <c r="C1870" t="str">
        <f>IF(D1870="","",IF(COUNTIF($D$2:D1870,D1870)&gt;1,"",SUMIFS(tbl_input[필요수량],tbl_input[집계키_청],D1870)))</f>
        <v/>
      </c>
      <c r="D1870" t="str">
        <f>IFERROR(INDEX(tbl_input[집계키_청],ROW()-1),"")</f>
        <v/>
      </c>
    </row>
    <row r="1871" spans="1:4" x14ac:dyDescent="0.4">
      <c r="A1871" t="str">
        <f t="shared" si="58"/>
        <v/>
      </c>
      <c r="B1871" t="str">
        <f t="shared" si="59"/>
        <v/>
      </c>
      <c r="C1871" t="str">
        <f>IF(D1871="","",IF(COUNTIF($D$2:D1871,D1871)&gt;1,"",SUMIFS(tbl_input[필요수량],tbl_input[집계키_청],D1871)))</f>
        <v/>
      </c>
      <c r="D1871" t="str">
        <f>IFERROR(INDEX(tbl_input[집계키_청],ROW()-1),"")</f>
        <v/>
      </c>
    </row>
    <row r="1872" spans="1:4" x14ac:dyDescent="0.4">
      <c r="A1872" t="str">
        <f t="shared" si="58"/>
        <v/>
      </c>
      <c r="B1872" t="str">
        <f t="shared" si="59"/>
        <v/>
      </c>
      <c r="C1872" t="str">
        <f>IF(D1872="","",IF(COUNTIF($D$2:D1872,D1872)&gt;1,"",SUMIFS(tbl_input[필요수량],tbl_input[집계키_청],D1872)))</f>
        <v/>
      </c>
      <c r="D1872" t="str">
        <f>IFERROR(INDEX(tbl_input[집계키_청],ROW()-1),"")</f>
        <v/>
      </c>
    </row>
    <row r="1873" spans="1:4" x14ac:dyDescent="0.4">
      <c r="A1873" t="str">
        <f t="shared" si="58"/>
        <v/>
      </c>
      <c r="B1873" t="str">
        <f t="shared" si="59"/>
        <v/>
      </c>
      <c r="C1873" t="str">
        <f>IF(D1873="","",IF(COUNTIF($D$2:D1873,D1873)&gt;1,"",SUMIFS(tbl_input[필요수량],tbl_input[집계키_청],D1873)))</f>
        <v/>
      </c>
      <c r="D1873" t="str">
        <f>IFERROR(INDEX(tbl_input[집계키_청],ROW()-1),"")</f>
        <v/>
      </c>
    </row>
    <row r="1874" spans="1:4" x14ac:dyDescent="0.4">
      <c r="A1874" t="str">
        <f t="shared" si="58"/>
        <v/>
      </c>
      <c r="B1874" t="str">
        <f t="shared" si="59"/>
        <v/>
      </c>
      <c r="C1874" t="str">
        <f>IF(D1874="","",IF(COUNTIF($D$2:D1874,D1874)&gt;1,"",SUMIFS(tbl_input[필요수량],tbl_input[집계키_청],D1874)))</f>
        <v/>
      </c>
      <c r="D1874" t="str">
        <f>IFERROR(INDEX(tbl_input[집계키_청],ROW()-1),"")</f>
        <v/>
      </c>
    </row>
    <row r="1875" spans="1:4" x14ac:dyDescent="0.4">
      <c r="A1875" t="str">
        <f t="shared" si="58"/>
        <v/>
      </c>
      <c r="B1875" t="str">
        <f t="shared" si="59"/>
        <v/>
      </c>
      <c r="C1875" t="str">
        <f>IF(D1875="","",IF(COUNTIF($D$2:D1875,D1875)&gt;1,"",SUMIFS(tbl_input[필요수량],tbl_input[집계키_청],D1875)))</f>
        <v/>
      </c>
      <c r="D1875" t="str">
        <f>IFERROR(INDEX(tbl_input[집계키_청],ROW()-1),"")</f>
        <v/>
      </c>
    </row>
    <row r="1876" spans="1:4" x14ac:dyDescent="0.4">
      <c r="A1876" t="str">
        <f t="shared" si="58"/>
        <v/>
      </c>
      <c r="B1876" t="str">
        <f t="shared" si="59"/>
        <v/>
      </c>
      <c r="C1876" t="str">
        <f>IF(D1876="","",IF(COUNTIF($D$2:D1876,D1876)&gt;1,"",SUMIFS(tbl_input[필요수량],tbl_input[집계키_청],D1876)))</f>
        <v/>
      </c>
      <c r="D1876" t="str">
        <f>IFERROR(INDEX(tbl_input[집계키_청],ROW()-1),"")</f>
        <v/>
      </c>
    </row>
    <row r="1877" spans="1:4" x14ac:dyDescent="0.4">
      <c r="A1877" t="str">
        <f t="shared" si="58"/>
        <v/>
      </c>
      <c r="B1877" t="str">
        <f t="shared" si="59"/>
        <v/>
      </c>
      <c r="C1877" t="str">
        <f>IF(D1877="","",IF(COUNTIF($D$2:D1877,D1877)&gt;1,"",SUMIFS(tbl_input[필요수량],tbl_input[집계키_청],D1877)))</f>
        <v/>
      </c>
      <c r="D1877" t="str">
        <f>IFERROR(INDEX(tbl_input[집계키_청],ROW()-1),"")</f>
        <v/>
      </c>
    </row>
    <row r="1878" spans="1:4" x14ac:dyDescent="0.4">
      <c r="A1878" t="str">
        <f t="shared" si="58"/>
        <v/>
      </c>
      <c r="B1878" t="str">
        <f t="shared" si="59"/>
        <v/>
      </c>
      <c r="C1878" t="str">
        <f>IF(D1878="","",IF(COUNTIF($D$2:D1878,D1878)&gt;1,"",SUMIFS(tbl_input[필요수량],tbl_input[집계키_청],D1878)))</f>
        <v/>
      </c>
      <c r="D1878" t="str">
        <f>IFERROR(INDEX(tbl_input[집계키_청],ROW()-1),"")</f>
        <v/>
      </c>
    </row>
    <row r="1879" spans="1:4" x14ac:dyDescent="0.4">
      <c r="A1879" t="str">
        <f t="shared" si="58"/>
        <v/>
      </c>
      <c r="B1879" t="str">
        <f t="shared" si="59"/>
        <v/>
      </c>
      <c r="C1879" t="str">
        <f>IF(D1879="","",IF(COUNTIF($D$2:D1879,D1879)&gt;1,"",SUMIFS(tbl_input[필요수량],tbl_input[집계키_청],D1879)))</f>
        <v/>
      </c>
      <c r="D1879" t="str">
        <f>IFERROR(INDEX(tbl_input[집계키_청],ROW()-1),"")</f>
        <v/>
      </c>
    </row>
    <row r="1880" spans="1:4" x14ac:dyDescent="0.4">
      <c r="A1880" t="str">
        <f t="shared" si="58"/>
        <v/>
      </c>
      <c r="B1880" t="str">
        <f t="shared" si="59"/>
        <v/>
      </c>
      <c r="C1880" t="str">
        <f>IF(D1880="","",IF(COUNTIF($D$2:D1880,D1880)&gt;1,"",SUMIFS(tbl_input[필요수량],tbl_input[집계키_청],D1880)))</f>
        <v/>
      </c>
      <c r="D1880" t="str">
        <f>IFERROR(INDEX(tbl_input[집계키_청],ROW()-1),"")</f>
        <v/>
      </c>
    </row>
    <row r="1881" spans="1:4" x14ac:dyDescent="0.4">
      <c r="A1881" t="str">
        <f t="shared" si="58"/>
        <v/>
      </c>
      <c r="B1881" t="str">
        <f t="shared" si="59"/>
        <v/>
      </c>
      <c r="C1881" t="str">
        <f>IF(D1881="","",IF(COUNTIF($D$2:D1881,D1881)&gt;1,"",SUMIFS(tbl_input[필요수량],tbl_input[집계키_청],D1881)))</f>
        <v/>
      </c>
      <c r="D1881" t="str">
        <f>IFERROR(INDEX(tbl_input[집계키_청],ROW()-1),"")</f>
        <v/>
      </c>
    </row>
    <row r="1882" spans="1:4" x14ac:dyDescent="0.4">
      <c r="A1882" t="str">
        <f t="shared" si="58"/>
        <v/>
      </c>
      <c r="B1882" t="str">
        <f t="shared" si="59"/>
        <v/>
      </c>
      <c r="C1882" t="str">
        <f>IF(D1882="","",IF(COUNTIF($D$2:D1882,D1882)&gt;1,"",SUMIFS(tbl_input[필요수량],tbl_input[집계키_청],D1882)))</f>
        <v/>
      </c>
      <c r="D1882" t="str">
        <f>IFERROR(INDEX(tbl_input[집계키_청],ROW()-1),"")</f>
        <v/>
      </c>
    </row>
    <row r="1883" spans="1:4" x14ac:dyDescent="0.4">
      <c r="A1883" t="str">
        <f t="shared" si="58"/>
        <v/>
      </c>
      <c r="B1883" t="str">
        <f t="shared" si="59"/>
        <v/>
      </c>
      <c r="C1883" t="str">
        <f>IF(D1883="","",IF(COUNTIF($D$2:D1883,D1883)&gt;1,"",SUMIFS(tbl_input[필요수량],tbl_input[집계키_청],D1883)))</f>
        <v/>
      </c>
      <c r="D1883" t="str">
        <f>IFERROR(INDEX(tbl_input[집계키_청],ROW()-1),"")</f>
        <v/>
      </c>
    </row>
    <row r="1884" spans="1:4" x14ac:dyDescent="0.4">
      <c r="A1884" t="str">
        <f t="shared" si="58"/>
        <v/>
      </c>
      <c r="B1884" t="str">
        <f t="shared" si="59"/>
        <v/>
      </c>
      <c r="C1884" t="str">
        <f>IF(D1884="","",IF(COUNTIF($D$2:D1884,D1884)&gt;1,"",SUMIFS(tbl_input[필요수량],tbl_input[집계키_청],D1884)))</f>
        <v/>
      </c>
      <c r="D1884" t="str">
        <f>IFERROR(INDEX(tbl_input[집계키_청],ROW()-1),"")</f>
        <v/>
      </c>
    </row>
    <row r="1885" spans="1:4" x14ac:dyDescent="0.4">
      <c r="A1885" t="str">
        <f t="shared" si="58"/>
        <v/>
      </c>
      <c r="B1885" t="str">
        <f t="shared" si="59"/>
        <v/>
      </c>
      <c r="C1885" t="str">
        <f>IF(D1885="","",IF(COUNTIF($D$2:D1885,D1885)&gt;1,"",SUMIFS(tbl_input[필요수량],tbl_input[집계키_청],D1885)))</f>
        <v/>
      </c>
      <c r="D1885" t="str">
        <f>IFERROR(INDEX(tbl_input[집계키_청],ROW()-1),"")</f>
        <v/>
      </c>
    </row>
    <row r="1886" spans="1:4" x14ac:dyDescent="0.4">
      <c r="A1886" t="str">
        <f t="shared" si="58"/>
        <v/>
      </c>
      <c r="B1886" t="str">
        <f t="shared" si="59"/>
        <v/>
      </c>
      <c r="C1886" t="str">
        <f>IF(D1886="","",IF(COUNTIF($D$2:D1886,D1886)&gt;1,"",SUMIFS(tbl_input[필요수량],tbl_input[집계키_청],D1886)))</f>
        <v/>
      </c>
      <c r="D1886" t="str">
        <f>IFERROR(INDEX(tbl_input[집계키_청],ROW()-1),"")</f>
        <v/>
      </c>
    </row>
    <row r="1887" spans="1:4" x14ac:dyDescent="0.4">
      <c r="A1887" t="str">
        <f t="shared" si="58"/>
        <v/>
      </c>
      <c r="B1887" t="str">
        <f t="shared" si="59"/>
        <v/>
      </c>
      <c r="C1887" t="str">
        <f>IF(D1887="","",IF(COUNTIF($D$2:D1887,D1887)&gt;1,"",SUMIFS(tbl_input[필요수량],tbl_input[집계키_청],D1887)))</f>
        <v/>
      </c>
      <c r="D1887" t="str">
        <f>IFERROR(INDEX(tbl_input[집계키_청],ROW()-1),"")</f>
        <v/>
      </c>
    </row>
    <row r="1888" spans="1:4" x14ac:dyDescent="0.4">
      <c r="A1888" t="str">
        <f t="shared" si="58"/>
        <v/>
      </c>
      <c r="B1888" t="str">
        <f t="shared" si="59"/>
        <v/>
      </c>
      <c r="C1888" t="str">
        <f>IF(D1888="","",IF(COUNTIF($D$2:D1888,D1888)&gt;1,"",SUMIFS(tbl_input[필요수량],tbl_input[집계키_청],D1888)))</f>
        <v/>
      </c>
      <c r="D1888" t="str">
        <f>IFERROR(INDEX(tbl_input[집계키_청],ROW()-1),"")</f>
        <v/>
      </c>
    </row>
    <row r="1889" spans="1:4" x14ac:dyDescent="0.4">
      <c r="A1889" t="str">
        <f t="shared" si="58"/>
        <v/>
      </c>
      <c r="B1889" t="str">
        <f t="shared" si="59"/>
        <v/>
      </c>
      <c r="C1889" t="str">
        <f>IF(D1889="","",IF(COUNTIF($D$2:D1889,D1889)&gt;1,"",SUMIFS(tbl_input[필요수량],tbl_input[집계키_청],D1889)))</f>
        <v/>
      </c>
      <c r="D1889" t="str">
        <f>IFERROR(INDEX(tbl_input[집계키_청],ROW()-1),"")</f>
        <v/>
      </c>
    </row>
    <row r="1890" spans="1:4" x14ac:dyDescent="0.4">
      <c r="A1890" t="str">
        <f t="shared" si="58"/>
        <v/>
      </c>
      <c r="B1890" t="str">
        <f t="shared" si="59"/>
        <v/>
      </c>
      <c r="C1890" t="str">
        <f>IF(D1890="","",IF(COUNTIF($D$2:D1890,D1890)&gt;1,"",SUMIFS(tbl_input[필요수량],tbl_input[집계키_청],D1890)))</f>
        <v/>
      </c>
      <c r="D1890" t="str">
        <f>IFERROR(INDEX(tbl_input[집계키_청],ROW()-1),"")</f>
        <v/>
      </c>
    </row>
    <row r="1891" spans="1:4" x14ac:dyDescent="0.4">
      <c r="A1891" t="str">
        <f t="shared" si="58"/>
        <v/>
      </c>
      <c r="B1891" t="str">
        <f t="shared" si="59"/>
        <v/>
      </c>
      <c r="C1891" t="str">
        <f>IF(D1891="","",IF(COUNTIF($D$2:D1891,D1891)&gt;1,"",SUMIFS(tbl_input[필요수량],tbl_input[집계키_청],D1891)))</f>
        <v/>
      </c>
      <c r="D1891" t="str">
        <f>IFERROR(INDEX(tbl_input[집계키_청],ROW()-1),"")</f>
        <v/>
      </c>
    </row>
    <row r="1892" spans="1:4" x14ac:dyDescent="0.4">
      <c r="A1892" t="str">
        <f t="shared" si="58"/>
        <v/>
      </c>
      <c r="B1892" t="str">
        <f t="shared" si="59"/>
        <v/>
      </c>
      <c r="C1892" t="str">
        <f>IF(D1892="","",IF(COUNTIF($D$2:D1892,D1892)&gt;1,"",SUMIFS(tbl_input[필요수량],tbl_input[집계키_청],D1892)))</f>
        <v/>
      </c>
      <c r="D1892" t="str">
        <f>IFERROR(INDEX(tbl_input[집계키_청],ROW()-1),"")</f>
        <v/>
      </c>
    </row>
    <row r="1893" spans="1:4" x14ac:dyDescent="0.4">
      <c r="A1893" t="str">
        <f t="shared" si="58"/>
        <v/>
      </c>
      <c r="B1893" t="str">
        <f t="shared" si="59"/>
        <v/>
      </c>
      <c r="C1893" t="str">
        <f>IF(D1893="","",IF(COUNTIF($D$2:D1893,D1893)&gt;1,"",SUMIFS(tbl_input[필요수량],tbl_input[집계키_청],D1893)))</f>
        <v/>
      </c>
      <c r="D1893" t="str">
        <f>IFERROR(INDEX(tbl_input[집계키_청],ROW()-1),"")</f>
        <v/>
      </c>
    </row>
    <row r="1894" spans="1:4" x14ac:dyDescent="0.4">
      <c r="A1894" t="str">
        <f t="shared" si="58"/>
        <v/>
      </c>
      <c r="B1894" t="str">
        <f t="shared" si="59"/>
        <v/>
      </c>
      <c r="C1894" t="str">
        <f>IF(D1894="","",IF(COUNTIF($D$2:D1894,D1894)&gt;1,"",SUMIFS(tbl_input[필요수량],tbl_input[집계키_청],D1894)))</f>
        <v/>
      </c>
      <c r="D1894" t="str">
        <f>IFERROR(INDEX(tbl_input[집계키_청],ROW()-1),"")</f>
        <v/>
      </c>
    </row>
    <row r="1895" spans="1:4" x14ac:dyDescent="0.4">
      <c r="A1895" t="str">
        <f t="shared" si="58"/>
        <v/>
      </c>
      <c r="B1895" t="str">
        <f t="shared" si="59"/>
        <v/>
      </c>
      <c r="C1895" t="str">
        <f>IF(D1895="","",IF(COUNTIF($D$2:D1895,D1895)&gt;1,"",SUMIFS(tbl_input[필요수량],tbl_input[집계키_청],D1895)))</f>
        <v/>
      </c>
      <c r="D1895" t="str">
        <f>IFERROR(INDEX(tbl_input[집계키_청],ROW()-1),"")</f>
        <v/>
      </c>
    </row>
    <row r="1896" spans="1:4" x14ac:dyDescent="0.4">
      <c r="A1896" t="str">
        <f t="shared" si="58"/>
        <v/>
      </c>
      <c r="B1896" t="str">
        <f t="shared" si="59"/>
        <v/>
      </c>
      <c r="C1896" t="str">
        <f>IF(D1896="","",IF(COUNTIF($D$2:D1896,D1896)&gt;1,"",SUMIFS(tbl_input[필요수량],tbl_input[집계키_청],D1896)))</f>
        <v/>
      </c>
      <c r="D1896" t="str">
        <f>IFERROR(INDEX(tbl_input[집계키_청],ROW()-1),"")</f>
        <v/>
      </c>
    </row>
    <row r="1897" spans="1:4" x14ac:dyDescent="0.4">
      <c r="A1897" t="str">
        <f t="shared" si="58"/>
        <v/>
      </c>
      <c r="B1897" t="str">
        <f t="shared" si="59"/>
        <v/>
      </c>
      <c r="C1897" t="str">
        <f>IF(D1897="","",IF(COUNTIF($D$2:D1897,D1897)&gt;1,"",SUMIFS(tbl_input[필요수량],tbl_input[집계키_청],D1897)))</f>
        <v/>
      </c>
      <c r="D1897" t="str">
        <f>IFERROR(INDEX(tbl_input[집계키_청],ROW()-1),"")</f>
        <v/>
      </c>
    </row>
    <row r="1898" spans="1:4" x14ac:dyDescent="0.4">
      <c r="A1898" t="str">
        <f t="shared" si="58"/>
        <v/>
      </c>
      <c r="B1898" t="str">
        <f t="shared" si="59"/>
        <v/>
      </c>
      <c r="C1898" t="str">
        <f>IF(D1898="","",IF(COUNTIF($D$2:D1898,D1898)&gt;1,"",SUMIFS(tbl_input[필요수량],tbl_input[집계키_청],D1898)))</f>
        <v/>
      </c>
      <c r="D1898" t="str">
        <f>IFERROR(INDEX(tbl_input[집계키_청],ROW()-1),"")</f>
        <v/>
      </c>
    </row>
    <row r="1899" spans="1:4" x14ac:dyDescent="0.4">
      <c r="A1899" t="str">
        <f t="shared" si="58"/>
        <v/>
      </c>
      <c r="B1899" t="str">
        <f t="shared" si="59"/>
        <v/>
      </c>
      <c r="C1899" t="str">
        <f>IF(D1899="","",IF(COUNTIF($D$2:D1899,D1899)&gt;1,"",SUMIFS(tbl_input[필요수량],tbl_input[집계키_청],D1899)))</f>
        <v/>
      </c>
      <c r="D1899" t="str">
        <f>IFERROR(INDEX(tbl_input[집계키_청],ROW()-1),"")</f>
        <v/>
      </c>
    </row>
    <row r="1900" spans="1:4" x14ac:dyDescent="0.4">
      <c r="A1900" t="str">
        <f t="shared" si="58"/>
        <v/>
      </c>
      <c r="B1900" t="str">
        <f t="shared" si="59"/>
        <v/>
      </c>
      <c r="C1900" t="str">
        <f>IF(D1900="","",IF(COUNTIF($D$2:D1900,D1900)&gt;1,"",SUMIFS(tbl_input[필요수량],tbl_input[집계키_청],D1900)))</f>
        <v/>
      </c>
      <c r="D1900" t="str">
        <f>IFERROR(INDEX(tbl_input[집계키_청],ROW()-1),"")</f>
        <v/>
      </c>
    </row>
    <row r="1901" spans="1:4" x14ac:dyDescent="0.4">
      <c r="A1901" t="str">
        <f t="shared" si="58"/>
        <v/>
      </c>
      <c r="B1901" t="str">
        <f t="shared" si="59"/>
        <v/>
      </c>
      <c r="C1901" t="str">
        <f>IF(D1901="","",IF(COUNTIF($D$2:D1901,D1901)&gt;1,"",SUMIFS(tbl_input[필요수량],tbl_input[집계키_청],D1901)))</f>
        <v/>
      </c>
      <c r="D1901" t="str">
        <f>IFERROR(INDEX(tbl_input[집계키_청],ROW()-1),"")</f>
        <v/>
      </c>
    </row>
    <row r="1902" spans="1:4" x14ac:dyDescent="0.4">
      <c r="A1902" t="str">
        <f t="shared" si="58"/>
        <v/>
      </c>
      <c r="B1902" t="str">
        <f t="shared" si="59"/>
        <v/>
      </c>
      <c r="C1902" t="str">
        <f>IF(D1902="","",IF(COUNTIF($D$2:D1902,D1902)&gt;1,"",SUMIFS(tbl_input[필요수량],tbl_input[집계키_청],D1902)))</f>
        <v/>
      </c>
      <c r="D1902" t="str">
        <f>IFERROR(INDEX(tbl_input[집계키_청],ROW()-1),"")</f>
        <v/>
      </c>
    </row>
    <row r="1903" spans="1:4" x14ac:dyDescent="0.4">
      <c r="A1903" t="str">
        <f t="shared" si="58"/>
        <v/>
      </c>
      <c r="B1903" t="str">
        <f t="shared" si="59"/>
        <v/>
      </c>
      <c r="C1903" t="str">
        <f>IF(D1903="","",IF(COUNTIF($D$2:D1903,D1903)&gt;1,"",SUMIFS(tbl_input[필요수량],tbl_input[집계키_청],D1903)))</f>
        <v/>
      </c>
      <c r="D1903" t="str">
        <f>IFERROR(INDEX(tbl_input[집계키_청],ROW()-1),"")</f>
        <v/>
      </c>
    </row>
    <row r="1904" spans="1:4" x14ac:dyDescent="0.4">
      <c r="A1904" t="str">
        <f t="shared" si="58"/>
        <v/>
      </c>
      <c r="B1904" t="str">
        <f t="shared" si="59"/>
        <v/>
      </c>
      <c r="C1904" t="str">
        <f>IF(D1904="","",IF(COUNTIF($D$2:D1904,D1904)&gt;1,"",SUMIFS(tbl_input[필요수량],tbl_input[집계키_청],D1904)))</f>
        <v/>
      </c>
      <c r="D1904" t="str">
        <f>IFERROR(INDEX(tbl_input[집계키_청],ROW()-1),"")</f>
        <v/>
      </c>
    </row>
    <row r="1905" spans="1:4" x14ac:dyDescent="0.4">
      <c r="A1905" t="str">
        <f t="shared" si="58"/>
        <v/>
      </c>
      <c r="B1905" t="str">
        <f t="shared" si="59"/>
        <v/>
      </c>
      <c r="C1905" t="str">
        <f>IF(D1905="","",IF(COUNTIF($D$2:D1905,D1905)&gt;1,"",SUMIFS(tbl_input[필요수량],tbl_input[집계키_청],D1905)))</f>
        <v/>
      </c>
      <c r="D1905" t="str">
        <f>IFERROR(INDEX(tbl_input[집계키_청],ROW()-1),"")</f>
        <v/>
      </c>
    </row>
    <row r="1906" spans="1:4" x14ac:dyDescent="0.4">
      <c r="A1906" t="str">
        <f t="shared" si="58"/>
        <v/>
      </c>
      <c r="B1906" t="str">
        <f t="shared" si="59"/>
        <v/>
      </c>
      <c r="C1906" t="str">
        <f>IF(D1906="","",IF(COUNTIF($D$2:D1906,D1906)&gt;1,"",SUMIFS(tbl_input[필요수량],tbl_input[집계키_청],D1906)))</f>
        <v/>
      </c>
      <c r="D1906" t="str">
        <f>IFERROR(INDEX(tbl_input[집계키_청],ROW()-1),"")</f>
        <v/>
      </c>
    </row>
    <row r="1907" spans="1:4" x14ac:dyDescent="0.4">
      <c r="A1907" t="str">
        <f t="shared" si="58"/>
        <v/>
      </c>
      <c r="B1907" t="str">
        <f t="shared" si="59"/>
        <v/>
      </c>
      <c r="C1907" t="str">
        <f>IF(D1907="","",IF(COUNTIF($D$2:D1907,D1907)&gt;1,"",SUMIFS(tbl_input[필요수량],tbl_input[집계키_청],D1907)))</f>
        <v/>
      </c>
      <c r="D1907" t="str">
        <f>IFERROR(INDEX(tbl_input[집계키_청],ROW()-1),"")</f>
        <v/>
      </c>
    </row>
    <row r="1908" spans="1:4" x14ac:dyDescent="0.4">
      <c r="A1908" t="str">
        <f t="shared" si="58"/>
        <v/>
      </c>
      <c r="B1908" t="str">
        <f t="shared" si="59"/>
        <v/>
      </c>
      <c r="C1908" t="str">
        <f>IF(D1908="","",IF(COUNTIF($D$2:D1908,D1908)&gt;1,"",SUMIFS(tbl_input[필요수량],tbl_input[집계키_청],D1908)))</f>
        <v/>
      </c>
      <c r="D1908" t="str">
        <f>IFERROR(INDEX(tbl_input[집계키_청],ROW()-1),"")</f>
        <v/>
      </c>
    </row>
    <row r="1909" spans="1:4" x14ac:dyDescent="0.4">
      <c r="A1909" t="str">
        <f t="shared" si="58"/>
        <v/>
      </c>
      <c r="B1909" t="str">
        <f t="shared" si="59"/>
        <v/>
      </c>
      <c r="C1909" t="str">
        <f>IF(D1909="","",IF(COUNTIF($D$2:D1909,D1909)&gt;1,"",SUMIFS(tbl_input[필요수량],tbl_input[집계키_청],D1909)))</f>
        <v/>
      </c>
      <c r="D1909" t="str">
        <f>IFERROR(INDEX(tbl_input[집계키_청],ROW()-1),"")</f>
        <v/>
      </c>
    </row>
    <row r="1910" spans="1:4" x14ac:dyDescent="0.4">
      <c r="A1910" t="str">
        <f t="shared" si="58"/>
        <v/>
      </c>
      <c r="B1910" t="str">
        <f t="shared" si="59"/>
        <v/>
      </c>
      <c r="C1910" t="str">
        <f>IF(D1910="","",IF(COUNTIF($D$2:D1910,D1910)&gt;1,"",SUMIFS(tbl_input[필요수량],tbl_input[집계키_청],D1910)))</f>
        <v/>
      </c>
      <c r="D1910" t="str">
        <f>IFERROR(INDEX(tbl_input[집계키_청],ROW()-1),"")</f>
        <v/>
      </c>
    </row>
    <row r="1911" spans="1:4" x14ac:dyDescent="0.4">
      <c r="A1911" t="str">
        <f t="shared" si="58"/>
        <v/>
      </c>
      <c r="B1911" t="str">
        <f t="shared" si="59"/>
        <v/>
      </c>
      <c r="C1911" t="str">
        <f>IF(D1911="","",IF(COUNTIF($D$2:D1911,D1911)&gt;1,"",SUMIFS(tbl_input[필요수량],tbl_input[집계키_청],D1911)))</f>
        <v/>
      </c>
      <c r="D1911" t="str">
        <f>IFERROR(INDEX(tbl_input[집계키_청],ROW()-1),"")</f>
        <v/>
      </c>
    </row>
    <row r="1912" spans="1:4" x14ac:dyDescent="0.4">
      <c r="A1912" t="str">
        <f t="shared" si="58"/>
        <v/>
      </c>
      <c r="B1912" t="str">
        <f t="shared" si="59"/>
        <v/>
      </c>
      <c r="C1912" t="str">
        <f>IF(D1912="","",IF(COUNTIF($D$2:D1912,D1912)&gt;1,"",SUMIFS(tbl_input[필요수량],tbl_input[집계키_청],D1912)))</f>
        <v/>
      </c>
      <c r="D1912" t="str">
        <f>IFERROR(INDEX(tbl_input[집계키_청],ROW()-1),"")</f>
        <v/>
      </c>
    </row>
    <row r="1913" spans="1:4" x14ac:dyDescent="0.4">
      <c r="A1913" t="str">
        <f t="shared" si="58"/>
        <v/>
      </c>
      <c r="B1913" t="str">
        <f t="shared" si="59"/>
        <v/>
      </c>
      <c r="C1913" t="str">
        <f>IF(D1913="","",IF(COUNTIF($D$2:D1913,D1913)&gt;1,"",SUMIFS(tbl_input[필요수량],tbl_input[집계키_청],D1913)))</f>
        <v/>
      </c>
      <c r="D1913" t="str">
        <f>IFERROR(INDEX(tbl_input[집계키_청],ROW()-1),"")</f>
        <v/>
      </c>
    </row>
    <row r="1914" spans="1:4" x14ac:dyDescent="0.4">
      <c r="A1914" t="str">
        <f t="shared" si="58"/>
        <v/>
      </c>
      <c r="B1914" t="str">
        <f t="shared" si="59"/>
        <v/>
      </c>
      <c r="C1914" t="str">
        <f>IF(D1914="","",IF(COUNTIF($D$2:D1914,D1914)&gt;1,"",SUMIFS(tbl_input[필요수량],tbl_input[집계키_청],D1914)))</f>
        <v/>
      </c>
      <c r="D1914" t="str">
        <f>IFERROR(INDEX(tbl_input[집계키_청],ROW()-1),"")</f>
        <v/>
      </c>
    </row>
    <row r="1915" spans="1:4" x14ac:dyDescent="0.4">
      <c r="A1915" t="str">
        <f t="shared" si="58"/>
        <v/>
      </c>
      <c r="B1915" t="str">
        <f t="shared" si="59"/>
        <v/>
      </c>
      <c r="C1915" t="str">
        <f>IF(D1915="","",IF(COUNTIF($D$2:D1915,D1915)&gt;1,"",SUMIFS(tbl_input[필요수량],tbl_input[집계키_청],D1915)))</f>
        <v/>
      </c>
      <c r="D1915" t="str">
        <f>IFERROR(INDEX(tbl_input[집계키_청],ROW()-1),"")</f>
        <v/>
      </c>
    </row>
    <row r="1916" spans="1:4" x14ac:dyDescent="0.4">
      <c r="A1916" t="str">
        <f t="shared" si="58"/>
        <v/>
      </c>
      <c r="B1916" t="str">
        <f t="shared" si="59"/>
        <v/>
      </c>
      <c r="C1916" t="str">
        <f>IF(D1916="","",IF(COUNTIF($D$2:D1916,D1916)&gt;1,"",SUMIFS(tbl_input[필요수량],tbl_input[집계키_청],D1916)))</f>
        <v/>
      </c>
      <c r="D1916" t="str">
        <f>IFERROR(INDEX(tbl_input[집계키_청],ROW()-1),"")</f>
        <v/>
      </c>
    </row>
    <row r="1917" spans="1:4" x14ac:dyDescent="0.4">
      <c r="A1917" t="str">
        <f t="shared" si="58"/>
        <v/>
      </c>
      <c r="B1917" t="str">
        <f t="shared" si="59"/>
        <v/>
      </c>
      <c r="C1917" t="str">
        <f>IF(D1917="","",IF(COUNTIF($D$2:D1917,D1917)&gt;1,"",SUMIFS(tbl_input[필요수량],tbl_input[집계키_청],D1917)))</f>
        <v/>
      </c>
      <c r="D1917" t="str">
        <f>IFERROR(INDEX(tbl_input[집계키_청],ROW()-1),"")</f>
        <v/>
      </c>
    </row>
    <row r="1918" spans="1:4" x14ac:dyDescent="0.4">
      <c r="A1918" t="str">
        <f t="shared" si="58"/>
        <v/>
      </c>
      <c r="B1918" t="str">
        <f t="shared" si="59"/>
        <v/>
      </c>
      <c r="C1918" t="str">
        <f>IF(D1918="","",IF(COUNTIF($D$2:D1918,D1918)&gt;1,"",SUMIFS(tbl_input[필요수량],tbl_input[집계키_청],D1918)))</f>
        <v/>
      </c>
      <c r="D1918" t="str">
        <f>IFERROR(INDEX(tbl_input[집계키_청],ROW()-1),"")</f>
        <v/>
      </c>
    </row>
    <row r="1919" spans="1:4" x14ac:dyDescent="0.4">
      <c r="A1919" t="str">
        <f t="shared" si="58"/>
        <v/>
      </c>
      <c r="B1919" t="str">
        <f t="shared" si="59"/>
        <v/>
      </c>
      <c r="C1919" t="str">
        <f>IF(D1919="","",IF(COUNTIF($D$2:D1919,D1919)&gt;1,"",SUMIFS(tbl_input[필요수량],tbl_input[집계키_청],D1919)))</f>
        <v/>
      </c>
      <c r="D1919" t="str">
        <f>IFERROR(INDEX(tbl_input[집계키_청],ROW()-1),"")</f>
        <v/>
      </c>
    </row>
    <row r="1920" spans="1:4" x14ac:dyDescent="0.4">
      <c r="A1920" t="str">
        <f t="shared" si="58"/>
        <v/>
      </c>
      <c r="B1920" t="str">
        <f t="shared" si="59"/>
        <v/>
      </c>
      <c r="C1920" t="str">
        <f>IF(D1920="","",IF(COUNTIF($D$2:D1920,D1920)&gt;1,"",SUMIFS(tbl_input[필요수량],tbl_input[집계키_청],D1920)))</f>
        <v/>
      </c>
      <c r="D1920" t="str">
        <f>IFERROR(INDEX(tbl_input[집계키_청],ROW()-1),"")</f>
        <v/>
      </c>
    </row>
    <row r="1921" spans="1:4" x14ac:dyDescent="0.4">
      <c r="A1921" t="str">
        <f t="shared" si="58"/>
        <v/>
      </c>
      <c r="B1921" t="str">
        <f t="shared" si="59"/>
        <v/>
      </c>
      <c r="C1921" t="str">
        <f>IF(D1921="","",IF(COUNTIF($D$2:D1921,D1921)&gt;1,"",SUMIFS(tbl_input[필요수량],tbl_input[집계키_청],D1921)))</f>
        <v/>
      </c>
      <c r="D1921" t="str">
        <f>IFERROR(INDEX(tbl_input[집계키_청],ROW()-1),"")</f>
        <v/>
      </c>
    </row>
    <row r="1922" spans="1:4" x14ac:dyDescent="0.4">
      <c r="A1922" t="str">
        <f t="shared" ref="A1922:A1985" si="60">IF(D1922="","",LEFT(D1922,FIND("♦",D1922)-1))</f>
        <v/>
      </c>
      <c r="B1922" t="str">
        <f t="shared" ref="B1922:B1985" si="61">IF(D1922="","",MID(D1922,FIND("♦",D1922)+1,999))</f>
        <v/>
      </c>
      <c r="C1922" t="str">
        <f>IF(D1922="","",IF(COUNTIF($D$2:D1922,D1922)&gt;1,"",SUMIFS(tbl_input[필요수량],tbl_input[집계키_청],D1922)))</f>
        <v/>
      </c>
      <c r="D1922" t="str">
        <f>IFERROR(INDEX(tbl_input[집계키_청],ROW()-1),"")</f>
        <v/>
      </c>
    </row>
    <row r="1923" spans="1:4" x14ac:dyDescent="0.4">
      <c r="A1923" t="str">
        <f t="shared" si="60"/>
        <v/>
      </c>
      <c r="B1923" t="str">
        <f t="shared" si="61"/>
        <v/>
      </c>
      <c r="C1923" t="str">
        <f>IF(D1923="","",IF(COUNTIF($D$2:D1923,D1923)&gt;1,"",SUMIFS(tbl_input[필요수량],tbl_input[집계키_청],D1923)))</f>
        <v/>
      </c>
      <c r="D1923" t="str">
        <f>IFERROR(INDEX(tbl_input[집계키_청],ROW()-1),"")</f>
        <v/>
      </c>
    </row>
    <row r="1924" spans="1:4" x14ac:dyDescent="0.4">
      <c r="A1924" t="str">
        <f t="shared" si="60"/>
        <v/>
      </c>
      <c r="B1924" t="str">
        <f t="shared" si="61"/>
        <v/>
      </c>
      <c r="C1924" t="str">
        <f>IF(D1924="","",IF(COUNTIF($D$2:D1924,D1924)&gt;1,"",SUMIFS(tbl_input[필요수량],tbl_input[집계키_청],D1924)))</f>
        <v/>
      </c>
      <c r="D1924" t="str">
        <f>IFERROR(INDEX(tbl_input[집계키_청],ROW()-1),"")</f>
        <v/>
      </c>
    </row>
    <row r="1925" spans="1:4" x14ac:dyDescent="0.4">
      <c r="A1925" t="str">
        <f t="shared" si="60"/>
        <v/>
      </c>
      <c r="B1925" t="str">
        <f t="shared" si="61"/>
        <v/>
      </c>
      <c r="C1925" t="str">
        <f>IF(D1925="","",IF(COUNTIF($D$2:D1925,D1925)&gt;1,"",SUMIFS(tbl_input[필요수량],tbl_input[집계키_청],D1925)))</f>
        <v/>
      </c>
      <c r="D1925" t="str">
        <f>IFERROR(INDEX(tbl_input[집계키_청],ROW()-1),"")</f>
        <v/>
      </c>
    </row>
    <row r="1926" spans="1:4" x14ac:dyDescent="0.4">
      <c r="A1926" t="str">
        <f t="shared" si="60"/>
        <v/>
      </c>
      <c r="B1926" t="str">
        <f t="shared" si="61"/>
        <v/>
      </c>
      <c r="C1926" t="str">
        <f>IF(D1926="","",IF(COUNTIF($D$2:D1926,D1926)&gt;1,"",SUMIFS(tbl_input[필요수량],tbl_input[집계키_청],D1926)))</f>
        <v/>
      </c>
      <c r="D1926" t="str">
        <f>IFERROR(INDEX(tbl_input[집계키_청],ROW()-1),"")</f>
        <v/>
      </c>
    </row>
    <row r="1927" spans="1:4" x14ac:dyDescent="0.4">
      <c r="A1927" t="str">
        <f t="shared" si="60"/>
        <v/>
      </c>
      <c r="B1927" t="str">
        <f t="shared" si="61"/>
        <v/>
      </c>
      <c r="C1927" t="str">
        <f>IF(D1927="","",IF(COUNTIF($D$2:D1927,D1927)&gt;1,"",SUMIFS(tbl_input[필요수량],tbl_input[집계키_청],D1927)))</f>
        <v/>
      </c>
      <c r="D1927" t="str">
        <f>IFERROR(INDEX(tbl_input[집계키_청],ROW()-1),"")</f>
        <v/>
      </c>
    </row>
    <row r="1928" spans="1:4" x14ac:dyDescent="0.4">
      <c r="A1928" t="str">
        <f t="shared" si="60"/>
        <v/>
      </c>
      <c r="B1928" t="str">
        <f t="shared" si="61"/>
        <v/>
      </c>
      <c r="C1928" t="str">
        <f>IF(D1928="","",IF(COUNTIF($D$2:D1928,D1928)&gt;1,"",SUMIFS(tbl_input[필요수량],tbl_input[집계키_청],D1928)))</f>
        <v/>
      </c>
      <c r="D1928" t="str">
        <f>IFERROR(INDEX(tbl_input[집계키_청],ROW()-1),"")</f>
        <v/>
      </c>
    </row>
    <row r="1929" spans="1:4" x14ac:dyDescent="0.4">
      <c r="A1929" t="str">
        <f t="shared" si="60"/>
        <v/>
      </c>
      <c r="B1929" t="str">
        <f t="shared" si="61"/>
        <v/>
      </c>
      <c r="C1929" t="str">
        <f>IF(D1929="","",IF(COUNTIF($D$2:D1929,D1929)&gt;1,"",SUMIFS(tbl_input[필요수량],tbl_input[집계키_청],D1929)))</f>
        <v/>
      </c>
      <c r="D1929" t="str">
        <f>IFERROR(INDEX(tbl_input[집계키_청],ROW()-1),"")</f>
        <v/>
      </c>
    </row>
    <row r="1930" spans="1:4" x14ac:dyDescent="0.4">
      <c r="A1930" t="str">
        <f t="shared" si="60"/>
        <v/>
      </c>
      <c r="B1930" t="str">
        <f t="shared" si="61"/>
        <v/>
      </c>
      <c r="C1930" t="str">
        <f>IF(D1930="","",IF(COUNTIF($D$2:D1930,D1930)&gt;1,"",SUMIFS(tbl_input[필요수량],tbl_input[집계키_청],D1930)))</f>
        <v/>
      </c>
      <c r="D1930" t="str">
        <f>IFERROR(INDEX(tbl_input[집계키_청],ROW()-1),"")</f>
        <v/>
      </c>
    </row>
    <row r="1931" spans="1:4" x14ac:dyDescent="0.4">
      <c r="A1931" t="str">
        <f t="shared" si="60"/>
        <v/>
      </c>
      <c r="B1931" t="str">
        <f t="shared" si="61"/>
        <v/>
      </c>
      <c r="C1931" t="str">
        <f>IF(D1931="","",IF(COUNTIF($D$2:D1931,D1931)&gt;1,"",SUMIFS(tbl_input[필요수량],tbl_input[집계키_청],D1931)))</f>
        <v/>
      </c>
      <c r="D1931" t="str">
        <f>IFERROR(INDEX(tbl_input[집계키_청],ROW()-1),"")</f>
        <v/>
      </c>
    </row>
    <row r="1932" spans="1:4" x14ac:dyDescent="0.4">
      <c r="A1932" t="str">
        <f t="shared" si="60"/>
        <v/>
      </c>
      <c r="B1932" t="str">
        <f t="shared" si="61"/>
        <v/>
      </c>
      <c r="C1932" t="str">
        <f>IF(D1932="","",IF(COUNTIF($D$2:D1932,D1932)&gt;1,"",SUMIFS(tbl_input[필요수량],tbl_input[집계키_청],D1932)))</f>
        <v/>
      </c>
      <c r="D1932" t="str">
        <f>IFERROR(INDEX(tbl_input[집계키_청],ROW()-1),"")</f>
        <v/>
      </c>
    </row>
    <row r="1933" spans="1:4" x14ac:dyDescent="0.4">
      <c r="A1933" t="str">
        <f t="shared" si="60"/>
        <v/>
      </c>
      <c r="B1933" t="str">
        <f t="shared" si="61"/>
        <v/>
      </c>
      <c r="C1933" t="str">
        <f>IF(D1933="","",IF(COUNTIF($D$2:D1933,D1933)&gt;1,"",SUMIFS(tbl_input[필요수량],tbl_input[집계키_청],D1933)))</f>
        <v/>
      </c>
      <c r="D1933" t="str">
        <f>IFERROR(INDEX(tbl_input[집계키_청],ROW()-1),"")</f>
        <v/>
      </c>
    </row>
    <row r="1934" spans="1:4" x14ac:dyDescent="0.4">
      <c r="A1934" t="str">
        <f t="shared" si="60"/>
        <v/>
      </c>
      <c r="B1934" t="str">
        <f t="shared" si="61"/>
        <v/>
      </c>
      <c r="C1934" t="str">
        <f>IF(D1934="","",IF(COUNTIF($D$2:D1934,D1934)&gt;1,"",SUMIFS(tbl_input[필요수량],tbl_input[집계키_청],D1934)))</f>
        <v/>
      </c>
      <c r="D1934" t="str">
        <f>IFERROR(INDEX(tbl_input[집계키_청],ROW()-1),"")</f>
        <v/>
      </c>
    </row>
    <row r="1935" spans="1:4" x14ac:dyDescent="0.4">
      <c r="A1935" t="str">
        <f t="shared" si="60"/>
        <v/>
      </c>
      <c r="B1935" t="str">
        <f t="shared" si="61"/>
        <v/>
      </c>
      <c r="C1935" t="str">
        <f>IF(D1935="","",IF(COUNTIF($D$2:D1935,D1935)&gt;1,"",SUMIFS(tbl_input[필요수량],tbl_input[집계키_청],D1935)))</f>
        <v/>
      </c>
      <c r="D1935" t="str">
        <f>IFERROR(INDEX(tbl_input[집계키_청],ROW()-1),"")</f>
        <v/>
      </c>
    </row>
    <row r="1936" spans="1:4" x14ac:dyDescent="0.4">
      <c r="A1936" t="str">
        <f t="shared" si="60"/>
        <v/>
      </c>
      <c r="B1936" t="str">
        <f t="shared" si="61"/>
        <v/>
      </c>
      <c r="C1936" t="str">
        <f>IF(D1936="","",IF(COUNTIF($D$2:D1936,D1936)&gt;1,"",SUMIFS(tbl_input[필요수량],tbl_input[집계키_청],D1936)))</f>
        <v/>
      </c>
      <c r="D1936" t="str">
        <f>IFERROR(INDEX(tbl_input[집계키_청],ROW()-1),"")</f>
        <v/>
      </c>
    </row>
    <row r="1937" spans="1:4" x14ac:dyDescent="0.4">
      <c r="A1937" t="str">
        <f t="shared" si="60"/>
        <v/>
      </c>
      <c r="B1937" t="str">
        <f t="shared" si="61"/>
        <v/>
      </c>
      <c r="C1937" t="str">
        <f>IF(D1937="","",IF(COUNTIF($D$2:D1937,D1937)&gt;1,"",SUMIFS(tbl_input[필요수량],tbl_input[집계키_청],D1937)))</f>
        <v/>
      </c>
      <c r="D1937" t="str">
        <f>IFERROR(INDEX(tbl_input[집계키_청],ROW()-1),"")</f>
        <v/>
      </c>
    </row>
    <row r="1938" spans="1:4" x14ac:dyDescent="0.4">
      <c r="A1938" t="str">
        <f t="shared" si="60"/>
        <v/>
      </c>
      <c r="B1938" t="str">
        <f t="shared" si="61"/>
        <v/>
      </c>
      <c r="C1938" t="str">
        <f>IF(D1938="","",IF(COUNTIF($D$2:D1938,D1938)&gt;1,"",SUMIFS(tbl_input[필요수량],tbl_input[집계키_청],D1938)))</f>
        <v/>
      </c>
      <c r="D1938" t="str">
        <f>IFERROR(INDEX(tbl_input[집계키_청],ROW()-1),"")</f>
        <v/>
      </c>
    </row>
    <row r="1939" spans="1:4" x14ac:dyDescent="0.4">
      <c r="A1939" t="str">
        <f t="shared" si="60"/>
        <v/>
      </c>
      <c r="B1939" t="str">
        <f t="shared" si="61"/>
        <v/>
      </c>
      <c r="C1939" t="str">
        <f>IF(D1939="","",IF(COUNTIF($D$2:D1939,D1939)&gt;1,"",SUMIFS(tbl_input[필요수량],tbl_input[집계키_청],D1939)))</f>
        <v/>
      </c>
      <c r="D1939" t="str">
        <f>IFERROR(INDEX(tbl_input[집계키_청],ROW()-1),"")</f>
        <v/>
      </c>
    </row>
    <row r="1940" spans="1:4" x14ac:dyDescent="0.4">
      <c r="A1940" t="str">
        <f t="shared" si="60"/>
        <v/>
      </c>
      <c r="B1940" t="str">
        <f t="shared" si="61"/>
        <v/>
      </c>
      <c r="C1940" t="str">
        <f>IF(D1940="","",IF(COUNTIF($D$2:D1940,D1940)&gt;1,"",SUMIFS(tbl_input[필요수량],tbl_input[집계키_청],D1940)))</f>
        <v/>
      </c>
      <c r="D1940" t="str">
        <f>IFERROR(INDEX(tbl_input[집계키_청],ROW()-1),"")</f>
        <v/>
      </c>
    </row>
    <row r="1941" spans="1:4" x14ac:dyDescent="0.4">
      <c r="A1941" t="str">
        <f t="shared" si="60"/>
        <v/>
      </c>
      <c r="B1941" t="str">
        <f t="shared" si="61"/>
        <v/>
      </c>
      <c r="C1941" t="str">
        <f>IF(D1941="","",IF(COUNTIF($D$2:D1941,D1941)&gt;1,"",SUMIFS(tbl_input[필요수량],tbl_input[집계키_청],D1941)))</f>
        <v/>
      </c>
      <c r="D1941" t="str">
        <f>IFERROR(INDEX(tbl_input[집계키_청],ROW()-1),"")</f>
        <v/>
      </c>
    </row>
    <row r="1942" spans="1:4" x14ac:dyDescent="0.4">
      <c r="A1942" t="str">
        <f t="shared" si="60"/>
        <v/>
      </c>
      <c r="B1942" t="str">
        <f t="shared" si="61"/>
        <v/>
      </c>
      <c r="C1942" t="str">
        <f>IF(D1942="","",IF(COUNTIF($D$2:D1942,D1942)&gt;1,"",SUMIFS(tbl_input[필요수량],tbl_input[집계키_청],D1942)))</f>
        <v/>
      </c>
      <c r="D1942" t="str">
        <f>IFERROR(INDEX(tbl_input[집계키_청],ROW()-1),"")</f>
        <v/>
      </c>
    </row>
    <row r="1943" spans="1:4" x14ac:dyDescent="0.4">
      <c r="A1943" t="str">
        <f t="shared" si="60"/>
        <v/>
      </c>
      <c r="B1943" t="str">
        <f t="shared" si="61"/>
        <v/>
      </c>
      <c r="C1943" t="str">
        <f>IF(D1943="","",IF(COUNTIF($D$2:D1943,D1943)&gt;1,"",SUMIFS(tbl_input[필요수량],tbl_input[집계키_청],D1943)))</f>
        <v/>
      </c>
      <c r="D1943" t="str">
        <f>IFERROR(INDEX(tbl_input[집계키_청],ROW()-1),"")</f>
        <v/>
      </c>
    </row>
    <row r="1944" spans="1:4" x14ac:dyDescent="0.4">
      <c r="A1944" t="str">
        <f t="shared" si="60"/>
        <v/>
      </c>
      <c r="B1944" t="str">
        <f t="shared" si="61"/>
        <v/>
      </c>
      <c r="C1944" t="str">
        <f>IF(D1944="","",IF(COUNTIF($D$2:D1944,D1944)&gt;1,"",SUMIFS(tbl_input[필요수량],tbl_input[집계키_청],D1944)))</f>
        <v/>
      </c>
      <c r="D1944" t="str">
        <f>IFERROR(INDEX(tbl_input[집계키_청],ROW()-1),"")</f>
        <v/>
      </c>
    </row>
    <row r="1945" spans="1:4" x14ac:dyDescent="0.4">
      <c r="A1945" t="str">
        <f t="shared" si="60"/>
        <v/>
      </c>
      <c r="B1945" t="str">
        <f t="shared" si="61"/>
        <v/>
      </c>
      <c r="C1945" t="str">
        <f>IF(D1945="","",IF(COUNTIF($D$2:D1945,D1945)&gt;1,"",SUMIFS(tbl_input[필요수량],tbl_input[집계키_청],D1945)))</f>
        <v/>
      </c>
      <c r="D1945" t="str">
        <f>IFERROR(INDEX(tbl_input[집계키_청],ROW()-1),"")</f>
        <v/>
      </c>
    </row>
    <row r="1946" spans="1:4" x14ac:dyDescent="0.4">
      <c r="A1946" t="str">
        <f t="shared" si="60"/>
        <v/>
      </c>
      <c r="B1946" t="str">
        <f t="shared" si="61"/>
        <v/>
      </c>
      <c r="C1946" t="str">
        <f>IF(D1946="","",IF(COUNTIF($D$2:D1946,D1946)&gt;1,"",SUMIFS(tbl_input[필요수량],tbl_input[집계키_청],D1946)))</f>
        <v/>
      </c>
      <c r="D1946" t="str">
        <f>IFERROR(INDEX(tbl_input[집계키_청],ROW()-1),"")</f>
        <v/>
      </c>
    </row>
    <row r="1947" spans="1:4" x14ac:dyDescent="0.4">
      <c r="A1947" t="str">
        <f t="shared" si="60"/>
        <v/>
      </c>
      <c r="B1947" t="str">
        <f t="shared" si="61"/>
        <v/>
      </c>
      <c r="C1947" t="str">
        <f>IF(D1947="","",IF(COUNTIF($D$2:D1947,D1947)&gt;1,"",SUMIFS(tbl_input[필요수량],tbl_input[집계키_청],D1947)))</f>
        <v/>
      </c>
      <c r="D1947" t="str">
        <f>IFERROR(INDEX(tbl_input[집계키_청],ROW()-1),"")</f>
        <v/>
      </c>
    </row>
    <row r="1948" spans="1:4" x14ac:dyDescent="0.4">
      <c r="A1948" t="str">
        <f t="shared" si="60"/>
        <v/>
      </c>
      <c r="B1948" t="str">
        <f t="shared" si="61"/>
        <v/>
      </c>
      <c r="C1948" t="str">
        <f>IF(D1948="","",IF(COUNTIF($D$2:D1948,D1948)&gt;1,"",SUMIFS(tbl_input[필요수량],tbl_input[집계키_청],D1948)))</f>
        <v/>
      </c>
      <c r="D1948" t="str">
        <f>IFERROR(INDEX(tbl_input[집계키_청],ROW()-1),"")</f>
        <v/>
      </c>
    </row>
    <row r="1949" spans="1:4" x14ac:dyDescent="0.4">
      <c r="A1949" t="str">
        <f t="shared" si="60"/>
        <v/>
      </c>
      <c r="B1949" t="str">
        <f t="shared" si="61"/>
        <v/>
      </c>
      <c r="C1949" t="str">
        <f>IF(D1949="","",IF(COUNTIF($D$2:D1949,D1949)&gt;1,"",SUMIFS(tbl_input[필요수량],tbl_input[집계키_청],D1949)))</f>
        <v/>
      </c>
      <c r="D1949" t="str">
        <f>IFERROR(INDEX(tbl_input[집계키_청],ROW()-1),"")</f>
        <v/>
      </c>
    </row>
    <row r="1950" spans="1:4" x14ac:dyDescent="0.4">
      <c r="A1950" t="str">
        <f t="shared" si="60"/>
        <v/>
      </c>
      <c r="B1950" t="str">
        <f t="shared" si="61"/>
        <v/>
      </c>
      <c r="C1950" t="str">
        <f>IF(D1950="","",IF(COUNTIF($D$2:D1950,D1950)&gt;1,"",SUMIFS(tbl_input[필요수량],tbl_input[집계키_청],D1950)))</f>
        <v/>
      </c>
      <c r="D1950" t="str">
        <f>IFERROR(INDEX(tbl_input[집계키_청],ROW()-1),"")</f>
        <v/>
      </c>
    </row>
    <row r="1951" spans="1:4" x14ac:dyDescent="0.4">
      <c r="A1951" t="str">
        <f t="shared" si="60"/>
        <v/>
      </c>
      <c r="B1951" t="str">
        <f t="shared" si="61"/>
        <v/>
      </c>
      <c r="C1951" t="str">
        <f>IF(D1951="","",IF(COUNTIF($D$2:D1951,D1951)&gt;1,"",SUMIFS(tbl_input[필요수량],tbl_input[집계키_청],D1951)))</f>
        <v/>
      </c>
      <c r="D1951" t="str">
        <f>IFERROR(INDEX(tbl_input[집계키_청],ROW()-1),"")</f>
        <v/>
      </c>
    </row>
    <row r="1952" spans="1:4" x14ac:dyDescent="0.4">
      <c r="A1952" t="str">
        <f t="shared" si="60"/>
        <v/>
      </c>
      <c r="B1952" t="str">
        <f t="shared" si="61"/>
        <v/>
      </c>
      <c r="C1952" t="str">
        <f>IF(D1952="","",IF(COUNTIF($D$2:D1952,D1952)&gt;1,"",SUMIFS(tbl_input[필요수량],tbl_input[집계키_청],D1952)))</f>
        <v/>
      </c>
      <c r="D1952" t="str">
        <f>IFERROR(INDEX(tbl_input[집계키_청],ROW()-1),"")</f>
        <v/>
      </c>
    </row>
    <row r="1953" spans="1:4" x14ac:dyDescent="0.4">
      <c r="A1953" t="str">
        <f t="shared" si="60"/>
        <v/>
      </c>
      <c r="B1953" t="str">
        <f t="shared" si="61"/>
        <v/>
      </c>
      <c r="C1953" t="str">
        <f>IF(D1953="","",IF(COUNTIF($D$2:D1953,D1953)&gt;1,"",SUMIFS(tbl_input[필요수량],tbl_input[집계키_청],D1953)))</f>
        <v/>
      </c>
      <c r="D1953" t="str">
        <f>IFERROR(INDEX(tbl_input[집계키_청],ROW()-1),"")</f>
        <v/>
      </c>
    </row>
    <row r="1954" spans="1:4" x14ac:dyDescent="0.4">
      <c r="A1954" t="str">
        <f t="shared" si="60"/>
        <v/>
      </c>
      <c r="B1954" t="str">
        <f t="shared" si="61"/>
        <v/>
      </c>
      <c r="C1954" t="str">
        <f>IF(D1954="","",IF(COUNTIF($D$2:D1954,D1954)&gt;1,"",SUMIFS(tbl_input[필요수량],tbl_input[집계키_청],D1954)))</f>
        <v/>
      </c>
      <c r="D1954" t="str">
        <f>IFERROR(INDEX(tbl_input[집계키_청],ROW()-1),"")</f>
        <v/>
      </c>
    </row>
    <row r="1955" spans="1:4" x14ac:dyDescent="0.4">
      <c r="A1955" t="str">
        <f t="shared" si="60"/>
        <v/>
      </c>
      <c r="B1955" t="str">
        <f t="shared" si="61"/>
        <v/>
      </c>
      <c r="C1955" t="str">
        <f>IF(D1955="","",IF(COUNTIF($D$2:D1955,D1955)&gt;1,"",SUMIFS(tbl_input[필요수량],tbl_input[집계키_청],D1955)))</f>
        <v/>
      </c>
      <c r="D1955" t="str">
        <f>IFERROR(INDEX(tbl_input[집계키_청],ROW()-1),"")</f>
        <v/>
      </c>
    </row>
    <row r="1956" spans="1:4" x14ac:dyDescent="0.4">
      <c r="A1956" t="str">
        <f t="shared" si="60"/>
        <v/>
      </c>
      <c r="B1956" t="str">
        <f t="shared" si="61"/>
        <v/>
      </c>
      <c r="C1956" t="str">
        <f>IF(D1956="","",IF(COUNTIF($D$2:D1956,D1956)&gt;1,"",SUMIFS(tbl_input[필요수량],tbl_input[집계키_청],D1956)))</f>
        <v/>
      </c>
      <c r="D1956" t="str">
        <f>IFERROR(INDEX(tbl_input[집계키_청],ROW()-1),"")</f>
        <v/>
      </c>
    </row>
    <row r="1957" spans="1:4" x14ac:dyDescent="0.4">
      <c r="A1957" t="str">
        <f t="shared" si="60"/>
        <v/>
      </c>
      <c r="B1957" t="str">
        <f t="shared" si="61"/>
        <v/>
      </c>
      <c r="C1957" t="str">
        <f>IF(D1957="","",IF(COUNTIF($D$2:D1957,D1957)&gt;1,"",SUMIFS(tbl_input[필요수량],tbl_input[집계키_청],D1957)))</f>
        <v/>
      </c>
      <c r="D1957" t="str">
        <f>IFERROR(INDEX(tbl_input[집계키_청],ROW()-1),"")</f>
        <v/>
      </c>
    </row>
    <row r="1958" spans="1:4" x14ac:dyDescent="0.4">
      <c r="A1958" t="str">
        <f t="shared" si="60"/>
        <v/>
      </c>
      <c r="B1958" t="str">
        <f t="shared" si="61"/>
        <v/>
      </c>
      <c r="C1958" t="str">
        <f>IF(D1958="","",IF(COUNTIF($D$2:D1958,D1958)&gt;1,"",SUMIFS(tbl_input[필요수량],tbl_input[집계키_청],D1958)))</f>
        <v/>
      </c>
      <c r="D1958" t="str">
        <f>IFERROR(INDEX(tbl_input[집계키_청],ROW()-1),"")</f>
        <v/>
      </c>
    </row>
    <row r="1959" spans="1:4" x14ac:dyDescent="0.4">
      <c r="A1959" t="str">
        <f t="shared" si="60"/>
        <v/>
      </c>
      <c r="B1959" t="str">
        <f t="shared" si="61"/>
        <v/>
      </c>
      <c r="C1959" t="str">
        <f>IF(D1959="","",IF(COUNTIF($D$2:D1959,D1959)&gt;1,"",SUMIFS(tbl_input[필요수량],tbl_input[집계키_청],D1959)))</f>
        <v/>
      </c>
      <c r="D1959" t="str">
        <f>IFERROR(INDEX(tbl_input[집계키_청],ROW()-1),"")</f>
        <v/>
      </c>
    </row>
    <row r="1960" spans="1:4" x14ac:dyDescent="0.4">
      <c r="A1960" t="str">
        <f t="shared" si="60"/>
        <v/>
      </c>
      <c r="B1960" t="str">
        <f t="shared" si="61"/>
        <v/>
      </c>
      <c r="C1960" t="str">
        <f>IF(D1960="","",IF(COUNTIF($D$2:D1960,D1960)&gt;1,"",SUMIFS(tbl_input[필요수량],tbl_input[집계키_청],D1960)))</f>
        <v/>
      </c>
      <c r="D1960" t="str">
        <f>IFERROR(INDEX(tbl_input[집계키_청],ROW()-1),"")</f>
        <v/>
      </c>
    </row>
    <row r="1961" spans="1:4" x14ac:dyDescent="0.4">
      <c r="A1961" t="str">
        <f t="shared" si="60"/>
        <v/>
      </c>
      <c r="B1961" t="str">
        <f t="shared" si="61"/>
        <v/>
      </c>
      <c r="C1961" t="str">
        <f>IF(D1961="","",IF(COUNTIF($D$2:D1961,D1961)&gt;1,"",SUMIFS(tbl_input[필요수량],tbl_input[집계키_청],D1961)))</f>
        <v/>
      </c>
      <c r="D1961" t="str">
        <f>IFERROR(INDEX(tbl_input[집계키_청],ROW()-1),"")</f>
        <v/>
      </c>
    </row>
    <row r="1962" spans="1:4" x14ac:dyDescent="0.4">
      <c r="A1962" t="str">
        <f t="shared" si="60"/>
        <v/>
      </c>
      <c r="B1962" t="str">
        <f t="shared" si="61"/>
        <v/>
      </c>
      <c r="C1962" t="str">
        <f>IF(D1962="","",IF(COUNTIF($D$2:D1962,D1962)&gt;1,"",SUMIFS(tbl_input[필요수량],tbl_input[집계키_청],D1962)))</f>
        <v/>
      </c>
      <c r="D1962" t="str">
        <f>IFERROR(INDEX(tbl_input[집계키_청],ROW()-1),"")</f>
        <v/>
      </c>
    </row>
    <row r="1963" spans="1:4" x14ac:dyDescent="0.4">
      <c r="A1963" t="str">
        <f t="shared" si="60"/>
        <v/>
      </c>
      <c r="B1963" t="str">
        <f t="shared" si="61"/>
        <v/>
      </c>
      <c r="C1963" t="str">
        <f>IF(D1963="","",IF(COUNTIF($D$2:D1963,D1963)&gt;1,"",SUMIFS(tbl_input[필요수량],tbl_input[집계키_청],D1963)))</f>
        <v/>
      </c>
      <c r="D1963" t="str">
        <f>IFERROR(INDEX(tbl_input[집계키_청],ROW()-1),"")</f>
        <v/>
      </c>
    </row>
    <row r="1964" spans="1:4" x14ac:dyDescent="0.4">
      <c r="A1964" t="str">
        <f t="shared" si="60"/>
        <v/>
      </c>
      <c r="B1964" t="str">
        <f t="shared" si="61"/>
        <v/>
      </c>
      <c r="C1964" t="str">
        <f>IF(D1964="","",IF(COUNTIF($D$2:D1964,D1964)&gt;1,"",SUMIFS(tbl_input[필요수량],tbl_input[집계키_청],D1964)))</f>
        <v/>
      </c>
      <c r="D1964" t="str">
        <f>IFERROR(INDEX(tbl_input[집계키_청],ROW()-1),"")</f>
        <v/>
      </c>
    </row>
    <row r="1965" spans="1:4" x14ac:dyDescent="0.4">
      <c r="A1965" t="str">
        <f t="shared" si="60"/>
        <v/>
      </c>
      <c r="B1965" t="str">
        <f t="shared" si="61"/>
        <v/>
      </c>
      <c r="C1965" t="str">
        <f>IF(D1965="","",IF(COUNTIF($D$2:D1965,D1965)&gt;1,"",SUMIFS(tbl_input[필요수량],tbl_input[집계키_청],D1965)))</f>
        <v/>
      </c>
      <c r="D1965" t="str">
        <f>IFERROR(INDEX(tbl_input[집계키_청],ROW()-1),"")</f>
        <v/>
      </c>
    </row>
    <row r="1966" spans="1:4" x14ac:dyDescent="0.4">
      <c r="A1966" t="str">
        <f t="shared" si="60"/>
        <v/>
      </c>
      <c r="B1966" t="str">
        <f t="shared" si="61"/>
        <v/>
      </c>
      <c r="C1966" t="str">
        <f>IF(D1966="","",IF(COUNTIF($D$2:D1966,D1966)&gt;1,"",SUMIFS(tbl_input[필요수량],tbl_input[집계키_청],D1966)))</f>
        <v/>
      </c>
      <c r="D1966" t="str">
        <f>IFERROR(INDEX(tbl_input[집계키_청],ROW()-1),"")</f>
        <v/>
      </c>
    </row>
    <row r="1967" spans="1:4" x14ac:dyDescent="0.4">
      <c r="A1967" t="str">
        <f t="shared" si="60"/>
        <v/>
      </c>
      <c r="B1967" t="str">
        <f t="shared" si="61"/>
        <v/>
      </c>
      <c r="C1967" t="str">
        <f>IF(D1967="","",IF(COUNTIF($D$2:D1967,D1967)&gt;1,"",SUMIFS(tbl_input[필요수량],tbl_input[집계키_청],D1967)))</f>
        <v/>
      </c>
      <c r="D1967" t="str">
        <f>IFERROR(INDEX(tbl_input[집계키_청],ROW()-1),"")</f>
        <v/>
      </c>
    </row>
    <row r="1968" spans="1:4" x14ac:dyDescent="0.4">
      <c r="A1968" t="str">
        <f t="shared" si="60"/>
        <v/>
      </c>
      <c r="B1968" t="str">
        <f t="shared" si="61"/>
        <v/>
      </c>
      <c r="C1968" t="str">
        <f>IF(D1968="","",IF(COUNTIF($D$2:D1968,D1968)&gt;1,"",SUMIFS(tbl_input[필요수량],tbl_input[집계키_청],D1968)))</f>
        <v/>
      </c>
      <c r="D1968" t="str">
        <f>IFERROR(INDEX(tbl_input[집계키_청],ROW()-1),"")</f>
        <v/>
      </c>
    </row>
    <row r="1969" spans="1:4" x14ac:dyDescent="0.4">
      <c r="A1969" t="str">
        <f t="shared" si="60"/>
        <v/>
      </c>
      <c r="B1969" t="str">
        <f t="shared" si="61"/>
        <v/>
      </c>
      <c r="C1969" t="str">
        <f>IF(D1969="","",IF(COUNTIF($D$2:D1969,D1969)&gt;1,"",SUMIFS(tbl_input[필요수량],tbl_input[집계키_청],D1969)))</f>
        <v/>
      </c>
      <c r="D1969" t="str">
        <f>IFERROR(INDEX(tbl_input[집계키_청],ROW()-1),"")</f>
        <v/>
      </c>
    </row>
    <row r="1970" spans="1:4" x14ac:dyDescent="0.4">
      <c r="A1970" t="str">
        <f t="shared" si="60"/>
        <v/>
      </c>
      <c r="B1970" t="str">
        <f t="shared" si="61"/>
        <v/>
      </c>
      <c r="C1970" t="str">
        <f>IF(D1970="","",IF(COUNTIF($D$2:D1970,D1970)&gt;1,"",SUMIFS(tbl_input[필요수량],tbl_input[집계키_청],D1970)))</f>
        <v/>
      </c>
      <c r="D1970" t="str">
        <f>IFERROR(INDEX(tbl_input[집계키_청],ROW()-1),"")</f>
        <v/>
      </c>
    </row>
    <row r="1971" spans="1:4" x14ac:dyDescent="0.4">
      <c r="A1971" t="str">
        <f t="shared" si="60"/>
        <v/>
      </c>
      <c r="B1971" t="str">
        <f t="shared" si="61"/>
        <v/>
      </c>
      <c r="C1971" t="str">
        <f>IF(D1971="","",IF(COUNTIF($D$2:D1971,D1971)&gt;1,"",SUMIFS(tbl_input[필요수량],tbl_input[집계키_청],D1971)))</f>
        <v/>
      </c>
      <c r="D1971" t="str">
        <f>IFERROR(INDEX(tbl_input[집계키_청],ROW()-1),"")</f>
        <v/>
      </c>
    </row>
    <row r="1972" spans="1:4" x14ac:dyDescent="0.4">
      <c r="A1972" t="str">
        <f t="shared" si="60"/>
        <v/>
      </c>
      <c r="B1972" t="str">
        <f t="shared" si="61"/>
        <v/>
      </c>
      <c r="C1972" t="str">
        <f>IF(D1972="","",IF(COUNTIF($D$2:D1972,D1972)&gt;1,"",SUMIFS(tbl_input[필요수량],tbl_input[집계키_청],D1972)))</f>
        <v/>
      </c>
      <c r="D1972" t="str">
        <f>IFERROR(INDEX(tbl_input[집계키_청],ROW()-1),"")</f>
        <v/>
      </c>
    </row>
    <row r="1973" spans="1:4" x14ac:dyDescent="0.4">
      <c r="A1973" t="str">
        <f t="shared" si="60"/>
        <v/>
      </c>
      <c r="B1973" t="str">
        <f t="shared" si="61"/>
        <v/>
      </c>
      <c r="C1973" t="str">
        <f>IF(D1973="","",IF(COUNTIF($D$2:D1973,D1973)&gt;1,"",SUMIFS(tbl_input[필요수량],tbl_input[집계키_청],D1973)))</f>
        <v/>
      </c>
      <c r="D1973" t="str">
        <f>IFERROR(INDEX(tbl_input[집계키_청],ROW()-1),"")</f>
        <v/>
      </c>
    </row>
    <row r="1974" spans="1:4" x14ac:dyDescent="0.4">
      <c r="A1974" t="str">
        <f t="shared" si="60"/>
        <v/>
      </c>
      <c r="B1974" t="str">
        <f t="shared" si="61"/>
        <v/>
      </c>
      <c r="C1974" t="str">
        <f>IF(D1974="","",IF(COUNTIF($D$2:D1974,D1974)&gt;1,"",SUMIFS(tbl_input[필요수량],tbl_input[집계키_청],D1974)))</f>
        <v/>
      </c>
      <c r="D1974" t="str">
        <f>IFERROR(INDEX(tbl_input[집계키_청],ROW()-1),"")</f>
        <v/>
      </c>
    </row>
    <row r="1975" spans="1:4" x14ac:dyDescent="0.4">
      <c r="A1975" t="str">
        <f t="shared" si="60"/>
        <v/>
      </c>
      <c r="B1975" t="str">
        <f t="shared" si="61"/>
        <v/>
      </c>
      <c r="C1975" t="str">
        <f>IF(D1975="","",IF(COUNTIF($D$2:D1975,D1975)&gt;1,"",SUMIFS(tbl_input[필요수량],tbl_input[집계키_청],D1975)))</f>
        <v/>
      </c>
      <c r="D1975" t="str">
        <f>IFERROR(INDEX(tbl_input[집계키_청],ROW()-1),"")</f>
        <v/>
      </c>
    </row>
    <row r="1976" spans="1:4" x14ac:dyDescent="0.4">
      <c r="A1976" t="str">
        <f t="shared" si="60"/>
        <v/>
      </c>
      <c r="B1976" t="str">
        <f t="shared" si="61"/>
        <v/>
      </c>
      <c r="C1976" t="str">
        <f>IF(D1976="","",IF(COUNTIF($D$2:D1976,D1976)&gt;1,"",SUMIFS(tbl_input[필요수량],tbl_input[집계키_청],D1976)))</f>
        <v/>
      </c>
      <c r="D1976" t="str">
        <f>IFERROR(INDEX(tbl_input[집계키_청],ROW()-1),"")</f>
        <v/>
      </c>
    </row>
    <row r="1977" spans="1:4" x14ac:dyDescent="0.4">
      <c r="A1977" t="str">
        <f t="shared" si="60"/>
        <v/>
      </c>
      <c r="B1977" t="str">
        <f t="shared" si="61"/>
        <v/>
      </c>
      <c r="C1977" t="str">
        <f>IF(D1977="","",IF(COUNTIF($D$2:D1977,D1977)&gt;1,"",SUMIFS(tbl_input[필요수량],tbl_input[집계키_청],D1977)))</f>
        <v/>
      </c>
      <c r="D1977" t="str">
        <f>IFERROR(INDEX(tbl_input[집계키_청],ROW()-1),"")</f>
        <v/>
      </c>
    </row>
    <row r="1978" spans="1:4" x14ac:dyDescent="0.4">
      <c r="A1978" t="str">
        <f t="shared" si="60"/>
        <v/>
      </c>
      <c r="B1978" t="str">
        <f t="shared" si="61"/>
        <v/>
      </c>
      <c r="C1978" t="str">
        <f>IF(D1978="","",IF(COUNTIF($D$2:D1978,D1978)&gt;1,"",SUMIFS(tbl_input[필요수량],tbl_input[집계키_청],D1978)))</f>
        <v/>
      </c>
      <c r="D1978" t="str">
        <f>IFERROR(INDEX(tbl_input[집계키_청],ROW()-1),"")</f>
        <v/>
      </c>
    </row>
    <row r="1979" spans="1:4" x14ac:dyDescent="0.4">
      <c r="A1979" t="str">
        <f t="shared" si="60"/>
        <v/>
      </c>
      <c r="B1979" t="str">
        <f t="shared" si="61"/>
        <v/>
      </c>
      <c r="C1979" t="str">
        <f>IF(D1979="","",IF(COUNTIF($D$2:D1979,D1979)&gt;1,"",SUMIFS(tbl_input[필요수량],tbl_input[집계키_청],D1979)))</f>
        <v/>
      </c>
      <c r="D1979" t="str">
        <f>IFERROR(INDEX(tbl_input[집계키_청],ROW()-1),"")</f>
        <v/>
      </c>
    </row>
    <row r="1980" spans="1:4" x14ac:dyDescent="0.4">
      <c r="A1980" t="str">
        <f t="shared" si="60"/>
        <v/>
      </c>
      <c r="B1980" t="str">
        <f t="shared" si="61"/>
        <v/>
      </c>
      <c r="C1980" t="str">
        <f>IF(D1980="","",IF(COUNTIF($D$2:D1980,D1980)&gt;1,"",SUMIFS(tbl_input[필요수량],tbl_input[집계키_청],D1980)))</f>
        <v/>
      </c>
      <c r="D1980" t="str">
        <f>IFERROR(INDEX(tbl_input[집계키_청],ROW()-1),"")</f>
        <v/>
      </c>
    </row>
    <row r="1981" spans="1:4" x14ac:dyDescent="0.4">
      <c r="A1981" t="str">
        <f t="shared" si="60"/>
        <v/>
      </c>
      <c r="B1981" t="str">
        <f t="shared" si="61"/>
        <v/>
      </c>
      <c r="C1981" t="str">
        <f>IF(D1981="","",IF(COUNTIF($D$2:D1981,D1981)&gt;1,"",SUMIFS(tbl_input[필요수량],tbl_input[집계키_청],D1981)))</f>
        <v/>
      </c>
      <c r="D1981" t="str">
        <f>IFERROR(INDEX(tbl_input[집계키_청],ROW()-1),"")</f>
        <v/>
      </c>
    </row>
    <row r="1982" spans="1:4" x14ac:dyDescent="0.4">
      <c r="A1982" t="str">
        <f t="shared" si="60"/>
        <v/>
      </c>
      <c r="B1982" t="str">
        <f t="shared" si="61"/>
        <v/>
      </c>
      <c r="C1982" t="str">
        <f>IF(D1982="","",IF(COUNTIF($D$2:D1982,D1982)&gt;1,"",SUMIFS(tbl_input[필요수량],tbl_input[집계키_청],D1982)))</f>
        <v/>
      </c>
      <c r="D1982" t="str">
        <f>IFERROR(INDEX(tbl_input[집계키_청],ROW()-1),"")</f>
        <v/>
      </c>
    </row>
    <row r="1983" spans="1:4" x14ac:dyDescent="0.4">
      <c r="A1983" t="str">
        <f t="shared" si="60"/>
        <v/>
      </c>
      <c r="B1983" t="str">
        <f t="shared" si="61"/>
        <v/>
      </c>
      <c r="C1983" t="str">
        <f>IF(D1983="","",IF(COUNTIF($D$2:D1983,D1983)&gt;1,"",SUMIFS(tbl_input[필요수량],tbl_input[집계키_청],D1983)))</f>
        <v/>
      </c>
      <c r="D1983" t="str">
        <f>IFERROR(INDEX(tbl_input[집계키_청],ROW()-1),"")</f>
        <v/>
      </c>
    </row>
    <row r="1984" spans="1:4" x14ac:dyDescent="0.4">
      <c r="A1984" t="str">
        <f t="shared" si="60"/>
        <v/>
      </c>
      <c r="B1984" t="str">
        <f t="shared" si="61"/>
        <v/>
      </c>
      <c r="C1984" t="str">
        <f>IF(D1984="","",IF(COUNTIF($D$2:D1984,D1984)&gt;1,"",SUMIFS(tbl_input[필요수량],tbl_input[집계키_청],D1984)))</f>
        <v/>
      </c>
      <c r="D1984" t="str">
        <f>IFERROR(INDEX(tbl_input[집계키_청],ROW()-1),"")</f>
        <v/>
      </c>
    </row>
    <row r="1985" spans="1:4" x14ac:dyDescent="0.4">
      <c r="A1985" t="str">
        <f t="shared" si="60"/>
        <v/>
      </c>
      <c r="B1985" t="str">
        <f t="shared" si="61"/>
        <v/>
      </c>
      <c r="C1985" t="str">
        <f>IF(D1985="","",IF(COUNTIF($D$2:D1985,D1985)&gt;1,"",SUMIFS(tbl_input[필요수량],tbl_input[집계키_청],D1985)))</f>
        <v/>
      </c>
      <c r="D1985" t="str">
        <f>IFERROR(INDEX(tbl_input[집계키_청],ROW()-1),"")</f>
        <v/>
      </c>
    </row>
    <row r="1986" spans="1:4" x14ac:dyDescent="0.4">
      <c r="A1986" t="str">
        <f t="shared" ref="A1986:A2049" si="62">IF(D1986="","",LEFT(D1986,FIND("♦",D1986)-1))</f>
        <v/>
      </c>
      <c r="B1986" t="str">
        <f t="shared" ref="B1986:B2049" si="63">IF(D1986="","",MID(D1986,FIND("♦",D1986)+1,999))</f>
        <v/>
      </c>
      <c r="C1986" t="str">
        <f>IF(D1986="","",IF(COUNTIF($D$2:D1986,D1986)&gt;1,"",SUMIFS(tbl_input[필요수량],tbl_input[집계키_청],D1986)))</f>
        <v/>
      </c>
      <c r="D1986" t="str">
        <f>IFERROR(INDEX(tbl_input[집계키_청],ROW()-1),"")</f>
        <v/>
      </c>
    </row>
    <row r="1987" spans="1:4" x14ac:dyDescent="0.4">
      <c r="A1987" t="str">
        <f t="shared" si="62"/>
        <v/>
      </c>
      <c r="B1987" t="str">
        <f t="shared" si="63"/>
        <v/>
      </c>
      <c r="C1987" t="str">
        <f>IF(D1987="","",IF(COUNTIF($D$2:D1987,D1987)&gt;1,"",SUMIFS(tbl_input[필요수량],tbl_input[집계키_청],D1987)))</f>
        <v/>
      </c>
      <c r="D1987" t="str">
        <f>IFERROR(INDEX(tbl_input[집계키_청],ROW()-1),"")</f>
        <v/>
      </c>
    </row>
    <row r="1988" spans="1:4" x14ac:dyDescent="0.4">
      <c r="A1988" t="str">
        <f t="shared" si="62"/>
        <v/>
      </c>
      <c r="B1988" t="str">
        <f t="shared" si="63"/>
        <v/>
      </c>
      <c r="C1988" t="str">
        <f>IF(D1988="","",IF(COUNTIF($D$2:D1988,D1988)&gt;1,"",SUMIFS(tbl_input[필요수량],tbl_input[집계키_청],D1988)))</f>
        <v/>
      </c>
      <c r="D1988" t="str">
        <f>IFERROR(INDEX(tbl_input[집계키_청],ROW()-1),"")</f>
        <v/>
      </c>
    </row>
    <row r="1989" spans="1:4" x14ac:dyDescent="0.4">
      <c r="A1989" t="str">
        <f t="shared" si="62"/>
        <v/>
      </c>
      <c r="B1989" t="str">
        <f t="shared" si="63"/>
        <v/>
      </c>
      <c r="C1989" t="str">
        <f>IF(D1989="","",IF(COUNTIF($D$2:D1989,D1989)&gt;1,"",SUMIFS(tbl_input[필요수량],tbl_input[집계키_청],D1989)))</f>
        <v/>
      </c>
      <c r="D1989" t="str">
        <f>IFERROR(INDEX(tbl_input[집계키_청],ROW()-1),"")</f>
        <v/>
      </c>
    </row>
    <row r="1990" spans="1:4" x14ac:dyDescent="0.4">
      <c r="A1990" t="str">
        <f t="shared" si="62"/>
        <v/>
      </c>
      <c r="B1990" t="str">
        <f t="shared" si="63"/>
        <v/>
      </c>
      <c r="C1990" t="str">
        <f>IF(D1990="","",IF(COUNTIF($D$2:D1990,D1990)&gt;1,"",SUMIFS(tbl_input[필요수량],tbl_input[집계키_청],D1990)))</f>
        <v/>
      </c>
      <c r="D1990" t="str">
        <f>IFERROR(INDEX(tbl_input[집계키_청],ROW()-1),"")</f>
        <v/>
      </c>
    </row>
    <row r="1991" spans="1:4" x14ac:dyDescent="0.4">
      <c r="A1991" t="str">
        <f t="shared" si="62"/>
        <v/>
      </c>
      <c r="B1991" t="str">
        <f t="shared" si="63"/>
        <v/>
      </c>
      <c r="C1991" t="str">
        <f>IF(D1991="","",IF(COUNTIF($D$2:D1991,D1991)&gt;1,"",SUMIFS(tbl_input[필요수량],tbl_input[집계키_청],D1991)))</f>
        <v/>
      </c>
      <c r="D1991" t="str">
        <f>IFERROR(INDEX(tbl_input[집계키_청],ROW()-1),"")</f>
        <v/>
      </c>
    </row>
    <row r="1992" spans="1:4" x14ac:dyDescent="0.4">
      <c r="A1992" t="str">
        <f t="shared" si="62"/>
        <v/>
      </c>
      <c r="B1992" t="str">
        <f t="shared" si="63"/>
        <v/>
      </c>
      <c r="C1992" t="str">
        <f>IF(D1992="","",IF(COUNTIF($D$2:D1992,D1992)&gt;1,"",SUMIFS(tbl_input[필요수량],tbl_input[집계키_청],D1992)))</f>
        <v/>
      </c>
      <c r="D1992" t="str">
        <f>IFERROR(INDEX(tbl_input[집계키_청],ROW()-1),"")</f>
        <v/>
      </c>
    </row>
    <row r="1993" spans="1:4" x14ac:dyDescent="0.4">
      <c r="A1993" t="str">
        <f t="shared" si="62"/>
        <v/>
      </c>
      <c r="B1993" t="str">
        <f t="shared" si="63"/>
        <v/>
      </c>
      <c r="C1993" t="str">
        <f>IF(D1993="","",IF(COUNTIF($D$2:D1993,D1993)&gt;1,"",SUMIFS(tbl_input[필요수량],tbl_input[집계키_청],D1993)))</f>
        <v/>
      </c>
      <c r="D1993" t="str">
        <f>IFERROR(INDEX(tbl_input[집계키_청],ROW()-1),"")</f>
        <v/>
      </c>
    </row>
    <row r="1994" spans="1:4" x14ac:dyDescent="0.4">
      <c r="A1994" t="str">
        <f t="shared" si="62"/>
        <v/>
      </c>
      <c r="B1994" t="str">
        <f t="shared" si="63"/>
        <v/>
      </c>
      <c r="C1994" t="str">
        <f>IF(D1994="","",IF(COUNTIF($D$2:D1994,D1994)&gt;1,"",SUMIFS(tbl_input[필요수량],tbl_input[집계키_청],D1994)))</f>
        <v/>
      </c>
      <c r="D1994" t="str">
        <f>IFERROR(INDEX(tbl_input[집계키_청],ROW()-1),"")</f>
        <v/>
      </c>
    </row>
    <row r="1995" spans="1:4" x14ac:dyDescent="0.4">
      <c r="A1995" t="str">
        <f t="shared" si="62"/>
        <v/>
      </c>
      <c r="B1995" t="str">
        <f t="shared" si="63"/>
        <v/>
      </c>
      <c r="C1995" t="str">
        <f>IF(D1995="","",IF(COUNTIF($D$2:D1995,D1995)&gt;1,"",SUMIFS(tbl_input[필요수량],tbl_input[집계키_청],D1995)))</f>
        <v/>
      </c>
      <c r="D1995" t="str">
        <f>IFERROR(INDEX(tbl_input[집계키_청],ROW()-1),"")</f>
        <v/>
      </c>
    </row>
    <row r="1996" spans="1:4" x14ac:dyDescent="0.4">
      <c r="A1996" t="str">
        <f t="shared" si="62"/>
        <v/>
      </c>
      <c r="B1996" t="str">
        <f t="shared" si="63"/>
        <v/>
      </c>
      <c r="C1996" t="str">
        <f>IF(D1996="","",IF(COUNTIF($D$2:D1996,D1996)&gt;1,"",SUMIFS(tbl_input[필요수량],tbl_input[집계키_청],D1996)))</f>
        <v/>
      </c>
      <c r="D1996" t="str">
        <f>IFERROR(INDEX(tbl_input[집계키_청],ROW()-1),"")</f>
        <v/>
      </c>
    </row>
    <row r="1997" spans="1:4" x14ac:dyDescent="0.4">
      <c r="A1997" t="str">
        <f t="shared" si="62"/>
        <v/>
      </c>
      <c r="B1997" t="str">
        <f t="shared" si="63"/>
        <v/>
      </c>
      <c r="C1997" t="str">
        <f>IF(D1997="","",IF(COUNTIF($D$2:D1997,D1997)&gt;1,"",SUMIFS(tbl_input[필요수량],tbl_input[집계키_청],D1997)))</f>
        <v/>
      </c>
      <c r="D1997" t="str">
        <f>IFERROR(INDEX(tbl_input[집계키_청],ROW()-1),"")</f>
        <v/>
      </c>
    </row>
    <row r="1998" spans="1:4" x14ac:dyDescent="0.4">
      <c r="A1998" t="str">
        <f t="shared" si="62"/>
        <v/>
      </c>
      <c r="B1998" t="str">
        <f t="shared" si="63"/>
        <v/>
      </c>
      <c r="C1998" t="str">
        <f>IF(D1998="","",IF(COUNTIF($D$2:D1998,D1998)&gt;1,"",SUMIFS(tbl_input[필요수량],tbl_input[집계키_청],D1998)))</f>
        <v/>
      </c>
      <c r="D1998" t="str">
        <f>IFERROR(INDEX(tbl_input[집계키_청],ROW()-1),"")</f>
        <v/>
      </c>
    </row>
    <row r="1999" spans="1:4" x14ac:dyDescent="0.4">
      <c r="A1999" t="str">
        <f t="shared" si="62"/>
        <v/>
      </c>
      <c r="B1999" t="str">
        <f t="shared" si="63"/>
        <v/>
      </c>
      <c r="C1999" t="str">
        <f>IF(D1999="","",IF(COUNTIF($D$2:D1999,D1999)&gt;1,"",SUMIFS(tbl_input[필요수량],tbl_input[집계키_청],D1999)))</f>
        <v/>
      </c>
      <c r="D1999" t="str">
        <f>IFERROR(INDEX(tbl_input[집계키_청],ROW()-1),"")</f>
        <v/>
      </c>
    </row>
    <row r="2000" spans="1:4" x14ac:dyDescent="0.4">
      <c r="A2000" t="str">
        <f t="shared" si="62"/>
        <v/>
      </c>
      <c r="B2000" t="str">
        <f t="shared" si="63"/>
        <v/>
      </c>
      <c r="C2000" t="str">
        <f>IF(D2000="","",IF(COUNTIF($D$2:D2000,D2000)&gt;1,"",SUMIFS(tbl_input[필요수량],tbl_input[집계키_청],D2000)))</f>
        <v/>
      </c>
      <c r="D2000" t="str">
        <f>IFERROR(INDEX(tbl_input[집계키_청],ROW()-1),"")</f>
        <v/>
      </c>
    </row>
    <row r="2001" spans="1:4" x14ac:dyDescent="0.4">
      <c r="A2001" t="str">
        <f t="shared" si="62"/>
        <v/>
      </c>
      <c r="B2001" t="str">
        <f t="shared" si="63"/>
        <v/>
      </c>
      <c r="C2001" t="str">
        <f>IF(D2001="","",IF(COUNTIF($D$2:D2001,D2001)&gt;1,"",SUMIFS(tbl_input[필요수량],tbl_input[집계키_청],D2001)))</f>
        <v/>
      </c>
      <c r="D2001" t="str">
        <f>IFERROR(INDEX(tbl_input[집계키_청],ROW()-1),"")</f>
        <v/>
      </c>
    </row>
    <row r="2002" spans="1:4" x14ac:dyDescent="0.4">
      <c r="A2002" t="str">
        <f t="shared" si="62"/>
        <v/>
      </c>
      <c r="B2002" t="str">
        <f t="shared" si="63"/>
        <v/>
      </c>
      <c r="C2002" t="str">
        <f>IF(D2002="","",IF(COUNTIF($D$2:D2002,D2002)&gt;1,"",SUMIFS(tbl_input[필요수량],tbl_input[집계키_청],D2002)))</f>
        <v/>
      </c>
      <c r="D2002" t="str">
        <f>IFERROR(INDEX(tbl_input[집계키_청],ROW()-1),"")</f>
        <v/>
      </c>
    </row>
    <row r="2003" spans="1:4" x14ac:dyDescent="0.4">
      <c r="A2003" t="str">
        <f t="shared" si="62"/>
        <v/>
      </c>
      <c r="B2003" t="str">
        <f t="shared" si="63"/>
        <v/>
      </c>
      <c r="C2003" t="str">
        <f>IF(D2003="","",IF(COUNTIF($D$2:D2003,D2003)&gt;1,"",SUMIFS(tbl_input[필요수량],tbl_input[집계키_청],D2003)))</f>
        <v/>
      </c>
      <c r="D2003" t="str">
        <f>IFERROR(INDEX(tbl_input[집계키_청],ROW()-1),"")</f>
        <v/>
      </c>
    </row>
    <row r="2004" spans="1:4" x14ac:dyDescent="0.4">
      <c r="A2004" t="str">
        <f t="shared" si="62"/>
        <v/>
      </c>
      <c r="B2004" t="str">
        <f t="shared" si="63"/>
        <v/>
      </c>
      <c r="C2004" t="str">
        <f>IF(D2004="","",IF(COUNTIF($D$2:D2004,D2004)&gt;1,"",SUMIFS(tbl_input[필요수량],tbl_input[집계키_청],D2004)))</f>
        <v/>
      </c>
      <c r="D2004" t="str">
        <f>IFERROR(INDEX(tbl_input[집계키_청],ROW()-1),"")</f>
        <v/>
      </c>
    </row>
    <row r="2005" spans="1:4" x14ac:dyDescent="0.4">
      <c r="A2005" t="str">
        <f t="shared" si="62"/>
        <v/>
      </c>
      <c r="B2005" t="str">
        <f t="shared" si="63"/>
        <v/>
      </c>
      <c r="C2005" t="str">
        <f>IF(D2005="","",IF(COUNTIF($D$2:D2005,D2005)&gt;1,"",SUMIFS(tbl_input[필요수량],tbl_input[집계키_청],D2005)))</f>
        <v/>
      </c>
      <c r="D2005" t="str">
        <f>IFERROR(INDEX(tbl_input[집계키_청],ROW()-1),"")</f>
        <v/>
      </c>
    </row>
    <row r="2006" spans="1:4" x14ac:dyDescent="0.4">
      <c r="A2006" t="str">
        <f t="shared" si="62"/>
        <v/>
      </c>
      <c r="B2006" t="str">
        <f t="shared" si="63"/>
        <v/>
      </c>
      <c r="C2006" t="str">
        <f>IF(D2006="","",IF(COUNTIF($D$2:D2006,D2006)&gt;1,"",SUMIFS(tbl_input[필요수량],tbl_input[집계키_청],D2006)))</f>
        <v/>
      </c>
      <c r="D2006" t="str">
        <f>IFERROR(INDEX(tbl_input[집계키_청],ROW()-1),"")</f>
        <v/>
      </c>
    </row>
    <row r="2007" spans="1:4" x14ac:dyDescent="0.4">
      <c r="A2007" t="str">
        <f t="shared" si="62"/>
        <v/>
      </c>
      <c r="B2007" t="str">
        <f t="shared" si="63"/>
        <v/>
      </c>
      <c r="C2007" t="str">
        <f>IF(D2007="","",IF(COUNTIF($D$2:D2007,D2007)&gt;1,"",SUMIFS(tbl_input[필요수량],tbl_input[집계키_청],D2007)))</f>
        <v/>
      </c>
      <c r="D2007" t="str">
        <f>IFERROR(INDEX(tbl_input[집계키_청],ROW()-1),"")</f>
        <v/>
      </c>
    </row>
    <row r="2008" spans="1:4" x14ac:dyDescent="0.4">
      <c r="A2008" t="str">
        <f t="shared" si="62"/>
        <v/>
      </c>
      <c r="B2008" t="str">
        <f t="shared" si="63"/>
        <v/>
      </c>
      <c r="C2008" t="str">
        <f>IF(D2008="","",IF(COUNTIF($D$2:D2008,D2008)&gt;1,"",SUMIFS(tbl_input[필요수량],tbl_input[집계키_청],D2008)))</f>
        <v/>
      </c>
      <c r="D2008" t="str">
        <f>IFERROR(INDEX(tbl_input[집계키_청],ROW()-1),"")</f>
        <v/>
      </c>
    </row>
    <row r="2009" spans="1:4" x14ac:dyDescent="0.4">
      <c r="A2009" t="str">
        <f t="shared" si="62"/>
        <v/>
      </c>
      <c r="B2009" t="str">
        <f t="shared" si="63"/>
        <v/>
      </c>
      <c r="C2009" t="str">
        <f>IF(D2009="","",IF(COUNTIF($D$2:D2009,D2009)&gt;1,"",SUMIFS(tbl_input[필요수량],tbl_input[집계키_청],D2009)))</f>
        <v/>
      </c>
      <c r="D2009" t="str">
        <f>IFERROR(INDEX(tbl_input[집계키_청],ROW()-1),"")</f>
        <v/>
      </c>
    </row>
    <row r="2010" spans="1:4" x14ac:dyDescent="0.4">
      <c r="A2010" t="str">
        <f t="shared" si="62"/>
        <v/>
      </c>
      <c r="B2010" t="str">
        <f t="shared" si="63"/>
        <v/>
      </c>
      <c r="C2010" t="str">
        <f>IF(D2010="","",IF(COUNTIF($D$2:D2010,D2010)&gt;1,"",SUMIFS(tbl_input[필요수량],tbl_input[집계키_청],D2010)))</f>
        <v/>
      </c>
      <c r="D2010" t="str">
        <f>IFERROR(INDEX(tbl_input[집계키_청],ROW()-1),"")</f>
        <v/>
      </c>
    </row>
    <row r="2011" spans="1:4" x14ac:dyDescent="0.4">
      <c r="A2011" t="str">
        <f t="shared" si="62"/>
        <v/>
      </c>
      <c r="B2011" t="str">
        <f t="shared" si="63"/>
        <v/>
      </c>
      <c r="C2011" t="str">
        <f>IF(D2011="","",IF(COUNTIF($D$2:D2011,D2011)&gt;1,"",SUMIFS(tbl_input[필요수량],tbl_input[집계키_청],D2011)))</f>
        <v/>
      </c>
      <c r="D2011" t="str">
        <f>IFERROR(INDEX(tbl_input[집계키_청],ROW()-1),"")</f>
        <v/>
      </c>
    </row>
    <row r="2012" spans="1:4" x14ac:dyDescent="0.4">
      <c r="A2012" t="str">
        <f t="shared" si="62"/>
        <v/>
      </c>
      <c r="B2012" t="str">
        <f t="shared" si="63"/>
        <v/>
      </c>
      <c r="C2012" t="str">
        <f>IF(D2012="","",IF(COUNTIF($D$2:D2012,D2012)&gt;1,"",SUMIFS(tbl_input[필요수량],tbl_input[집계키_청],D2012)))</f>
        <v/>
      </c>
      <c r="D2012" t="str">
        <f>IFERROR(INDEX(tbl_input[집계키_청],ROW()-1),"")</f>
        <v/>
      </c>
    </row>
    <row r="2013" spans="1:4" x14ac:dyDescent="0.4">
      <c r="A2013" t="str">
        <f t="shared" si="62"/>
        <v/>
      </c>
      <c r="B2013" t="str">
        <f t="shared" si="63"/>
        <v/>
      </c>
      <c r="C2013" t="str">
        <f>IF(D2013="","",IF(COUNTIF($D$2:D2013,D2013)&gt;1,"",SUMIFS(tbl_input[필요수량],tbl_input[집계키_청],D2013)))</f>
        <v/>
      </c>
      <c r="D2013" t="str">
        <f>IFERROR(INDEX(tbl_input[집계키_청],ROW()-1),"")</f>
        <v/>
      </c>
    </row>
    <row r="2014" spans="1:4" x14ac:dyDescent="0.4">
      <c r="A2014" t="str">
        <f t="shared" si="62"/>
        <v/>
      </c>
      <c r="B2014" t="str">
        <f t="shared" si="63"/>
        <v/>
      </c>
      <c r="C2014" t="str">
        <f>IF(D2014="","",IF(COUNTIF($D$2:D2014,D2014)&gt;1,"",SUMIFS(tbl_input[필요수량],tbl_input[집계키_청],D2014)))</f>
        <v/>
      </c>
      <c r="D2014" t="str">
        <f>IFERROR(INDEX(tbl_input[집계키_청],ROW()-1),"")</f>
        <v/>
      </c>
    </row>
    <row r="2015" spans="1:4" x14ac:dyDescent="0.4">
      <c r="A2015" t="str">
        <f t="shared" si="62"/>
        <v/>
      </c>
      <c r="B2015" t="str">
        <f t="shared" si="63"/>
        <v/>
      </c>
      <c r="C2015" t="str">
        <f>IF(D2015="","",IF(COUNTIF($D$2:D2015,D2015)&gt;1,"",SUMIFS(tbl_input[필요수량],tbl_input[집계키_청],D2015)))</f>
        <v/>
      </c>
      <c r="D2015" t="str">
        <f>IFERROR(INDEX(tbl_input[집계키_청],ROW()-1),"")</f>
        <v/>
      </c>
    </row>
    <row r="2016" spans="1:4" x14ac:dyDescent="0.4">
      <c r="A2016" t="str">
        <f t="shared" si="62"/>
        <v/>
      </c>
      <c r="B2016" t="str">
        <f t="shared" si="63"/>
        <v/>
      </c>
      <c r="C2016" t="str">
        <f>IF(D2016="","",IF(COUNTIF($D$2:D2016,D2016)&gt;1,"",SUMIFS(tbl_input[필요수량],tbl_input[집계키_청],D2016)))</f>
        <v/>
      </c>
      <c r="D2016" t="str">
        <f>IFERROR(INDEX(tbl_input[집계키_청],ROW()-1),"")</f>
        <v/>
      </c>
    </row>
    <row r="2017" spans="1:4" x14ac:dyDescent="0.4">
      <c r="A2017" t="str">
        <f t="shared" si="62"/>
        <v/>
      </c>
      <c r="B2017" t="str">
        <f t="shared" si="63"/>
        <v/>
      </c>
      <c r="C2017" t="str">
        <f>IF(D2017="","",IF(COUNTIF($D$2:D2017,D2017)&gt;1,"",SUMIFS(tbl_input[필요수량],tbl_input[집계키_청],D2017)))</f>
        <v/>
      </c>
      <c r="D2017" t="str">
        <f>IFERROR(INDEX(tbl_input[집계키_청],ROW()-1),"")</f>
        <v/>
      </c>
    </row>
    <row r="2018" spans="1:4" x14ac:dyDescent="0.4">
      <c r="A2018" t="str">
        <f t="shared" si="62"/>
        <v/>
      </c>
      <c r="B2018" t="str">
        <f t="shared" si="63"/>
        <v/>
      </c>
      <c r="C2018" t="str">
        <f>IF(D2018="","",IF(COUNTIF($D$2:D2018,D2018)&gt;1,"",SUMIFS(tbl_input[필요수량],tbl_input[집계키_청],D2018)))</f>
        <v/>
      </c>
      <c r="D2018" t="str">
        <f>IFERROR(INDEX(tbl_input[집계키_청],ROW()-1),"")</f>
        <v/>
      </c>
    </row>
    <row r="2019" spans="1:4" x14ac:dyDescent="0.4">
      <c r="A2019" t="str">
        <f t="shared" si="62"/>
        <v/>
      </c>
      <c r="B2019" t="str">
        <f t="shared" si="63"/>
        <v/>
      </c>
      <c r="C2019" t="str">
        <f>IF(D2019="","",IF(COUNTIF($D$2:D2019,D2019)&gt;1,"",SUMIFS(tbl_input[필요수량],tbl_input[집계키_청],D2019)))</f>
        <v/>
      </c>
      <c r="D2019" t="str">
        <f>IFERROR(INDEX(tbl_input[집계키_청],ROW()-1),"")</f>
        <v/>
      </c>
    </row>
    <row r="2020" spans="1:4" x14ac:dyDescent="0.4">
      <c r="A2020" t="str">
        <f t="shared" si="62"/>
        <v/>
      </c>
      <c r="B2020" t="str">
        <f t="shared" si="63"/>
        <v/>
      </c>
      <c r="C2020" t="str">
        <f>IF(D2020="","",IF(COUNTIF($D$2:D2020,D2020)&gt;1,"",SUMIFS(tbl_input[필요수량],tbl_input[집계키_청],D2020)))</f>
        <v/>
      </c>
      <c r="D2020" t="str">
        <f>IFERROR(INDEX(tbl_input[집계키_청],ROW()-1),"")</f>
        <v/>
      </c>
    </row>
    <row r="2021" spans="1:4" x14ac:dyDescent="0.4">
      <c r="A2021" t="str">
        <f t="shared" si="62"/>
        <v/>
      </c>
      <c r="B2021" t="str">
        <f t="shared" si="63"/>
        <v/>
      </c>
      <c r="C2021" t="str">
        <f>IF(D2021="","",IF(COUNTIF($D$2:D2021,D2021)&gt;1,"",SUMIFS(tbl_input[필요수량],tbl_input[집계키_청],D2021)))</f>
        <v/>
      </c>
      <c r="D2021" t="str">
        <f>IFERROR(INDEX(tbl_input[집계키_청],ROW()-1),"")</f>
        <v/>
      </c>
    </row>
    <row r="2022" spans="1:4" x14ac:dyDescent="0.4">
      <c r="A2022" t="str">
        <f t="shared" si="62"/>
        <v/>
      </c>
      <c r="B2022" t="str">
        <f t="shared" si="63"/>
        <v/>
      </c>
      <c r="C2022" t="str">
        <f>IF(D2022="","",IF(COUNTIF($D$2:D2022,D2022)&gt;1,"",SUMIFS(tbl_input[필요수량],tbl_input[집계키_청],D2022)))</f>
        <v/>
      </c>
      <c r="D2022" t="str">
        <f>IFERROR(INDEX(tbl_input[집계키_청],ROW()-1),"")</f>
        <v/>
      </c>
    </row>
    <row r="2023" spans="1:4" x14ac:dyDescent="0.4">
      <c r="A2023" t="str">
        <f t="shared" si="62"/>
        <v/>
      </c>
      <c r="B2023" t="str">
        <f t="shared" si="63"/>
        <v/>
      </c>
      <c r="C2023" t="str">
        <f>IF(D2023="","",IF(COUNTIF($D$2:D2023,D2023)&gt;1,"",SUMIFS(tbl_input[필요수량],tbl_input[집계키_청],D2023)))</f>
        <v/>
      </c>
      <c r="D2023" t="str">
        <f>IFERROR(INDEX(tbl_input[집계키_청],ROW()-1),"")</f>
        <v/>
      </c>
    </row>
    <row r="2024" spans="1:4" x14ac:dyDescent="0.4">
      <c r="A2024" t="str">
        <f t="shared" si="62"/>
        <v/>
      </c>
      <c r="B2024" t="str">
        <f t="shared" si="63"/>
        <v/>
      </c>
      <c r="C2024" t="str">
        <f>IF(D2024="","",IF(COUNTIF($D$2:D2024,D2024)&gt;1,"",SUMIFS(tbl_input[필요수량],tbl_input[집계키_청],D2024)))</f>
        <v/>
      </c>
      <c r="D2024" t="str">
        <f>IFERROR(INDEX(tbl_input[집계키_청],ROW()-1),"")</f>
        <v/>
      </c>
    </row>
    <row r="2025" spans="1:4" x14ac:dyDescent="0.4">
      <c r="A2025" t="str">
        <f t="shared" si="62"/>
        <v/>
      </c>
      <c r="B2025" t="str">
        <f t="shared" si="63"/>
        <v/>
      </c>
      <c r="C2025" t="str">
        <f>IF(D2025="","",IF(COUNTIF($D$2:D2025,D2025)&gt;1,"",SUMIFS(tbl_input[필요수량],tbl_input[집계키_청],D2025)))</f>
        <v/>
      </c>
      <c r="D2025" t="str">
        <f>IFERROR(INDEX(tbl_input[집계키_청],ROW()-1),"")</f>
        <v/>
      </c>
    </row>
    <row r="2026" spans="1:4" x14ac:dyDescent="0.4">
      <c r="A2026" t="str">
        <f t="shared" si="62"/>
        <v/>
      </c>
      <c r="B2026" t="str">
        <f t="shared" si="63"/>
        <v/>
      </c>
      <c r="C2026" t="str">
        <f>IF(D2026="","",IF(COUNTIF($D$2:D2026,D2026)&gt;1,"",SUMIFS(tbl_input[필요수량],tbl_input[집계키_청],D2026)))</f>
        <v/>
      </c>
      <c r="D2026" t="str">
        <f>IFERROR(INDEX(tbl_input[집계키_청],ROW()-1),"")</f>
        <v/>
      </c>
    </row>
    <row r="2027" spans="1:4" x14ac:dyDescent="0.4">
      <c r="A2027" t="str">
        <f t="shared" si="62"/>
        <v/>
      </c>
      <c r="B2027" t="str">
        <f t="shared" si="63"/>
        <v/>
      </c>
      <c r="C2027" t="str">
        <f>IF(D2027="","",IF(COUNTIF($D$2:D2027,D2027)&gt;1,"",SUMIFS(tbl_input[필요수량],tbl_input[집계키_청],D2027)))</f>
        <v/>
      </c>
      <c r="D2027" t="str">
        <f>IFERROR(INDEX(tbl_input[집계키_청],ROW()-1),"")</f>
        <v/>
      </c>
    </row>
    <row r="2028" spans="1:4" x14ac:dyDescent="0.4">
      <c r="A2028" t="str">
        <f t="shared" si="62"/>
        <v/>
      </c>
      <c r="B2028" t="str">
        <f t="shared" si="63"/>
        <v/>
      </c>
      <c r="C2028" t="str">
        <f>IF(D2028="","",IF(COUNTIF($D$2:D2028,D2028)&gt;1,"",SUMIFS(tbl_input[필요수량],tbl_input[집계키_청],D2028)))</f>
        <v/>
      </c>
      <c r="D2028" t="str">
        <f>IFERROR(INDEX(tbl_input[집계키_청],ROW()-1),"")</f>
        <v/>
      </c>
    </row>
    <row r="2029" spans="1:4" x14ac:dyDescent="0.4">
      <c r="A2029" t="str">
        <f t="shared" si="62"/>
        <v/>
      </c>
      <c r="B2029" t="str">
        <f t="shared" si="63"/>
        <v/>
      </c>
      <c r="C2029" t="str">
        <f>IF(D2029="","",IF(COUNTIF($D$2:D2029,D2029)&gt;1,"",SUMIFS(tbl_input[필요수량],tbl_input[집계키_청],D2029)))</f>
        <v/>
      </c>
      <c r="D2029" t="str">
        <f>IFERROR(INDEX(tbl_input[집계키_청],ROW()-1),"")</f>
        <v/>
      </c>
    </row>
    <row r="2030" spans="1:4" x14ac:dyDescent="0.4">
      <c r="A2030" t="str">
        <f t="shared" si="62"/>
        <v/>
      </c>
      <c r="B2030" t="str">
        <f t="shared" si="63"/>
        <v/>
      </c>
      <c r="C2030" t="str">
        <f>IF(D2030="","",IF(COUNTIF($D$2:D2030,D2030)&gt;1,"",SUMIFS(tbl_input[필요수량],tbl_input[집계키_청],D2030)))</f>
        <v/>
      </c>
      <c r="D2030" t="str">
        <f>IFERROR(INDEX(tbl_input[집계키_청],ROW()-1),"")</f>
        <v/>
      </c>
    </row>
    <row r="2031" spans="1:4" x14ac:dyDescent="0.4">
      <c r="A2031" t="str">
        <f t="shared" si="62"/>
        <v/>
      </c>
      <c r="B2031" t="str">
        <f t="shared" si="63"/>
        <v/>
      </c>
      <c r="C2031" t="str">
        <f>IF(D2031="","",IF(COUNTIF($D$2:D2031,D2031)&gt;1,"",SUMIFS(tbl_input[필요수량],tbl_input[집계키_청],D2031)))</f>
        <v/>
      </c>
      <c r="D2031" t="str">
        <f>IFERROR(INDEX(tbl_input[집계키_청],ROW()-1),"")</f>
        <v/>
      </c>
    </row>
    <row r="2032" spans="1:4" x14ac:dyDescent="0.4">
      <c r="A2032" t="str">
        <f t="shared" si="62"/>
        <v/>
      </c>
      <c r="B2032" t="str">
        <f t="shared" si="63"/>
        <v/>
      </c>
      <c r="C2032" t="str">
        <f>IF(D2032="","",IF(COUNTIF($D$2:D2032,D2032)&gt;1,"",SUMIFS(tbl_input[필요수량],tbl_input[집계키_청],D2032)))</f>
        <v/>
      </c>
      <c r="D2032" t="str">
        <f>IFERROR(INDEX(tbl_input[집계키_청],ROW()-1),"")</f>
        <v/>
      </c>
    </row>
    <row r="2033" spans="1:4" x14ac:dyDescent="0.4">
      <c r="A2033" t="str">
        <f t="shared" si="62"/>
        <v/>
      </c>
      <c r="B2033" t="str">
        <f t="shared" si="63"/>
        <v/>
      </c>
      <c r="C2033" t="str">
        <f>IF(D2033="","",IF(COUNTIF($D$2:D2033,D2033)&gt;1,"",SUMIFS(tbl_input[필요수량],tbl_input[집계키_청],D2033)))</f>
        <v/>
      </c>
      <c r="D2033" t="str">
        <f>IFERROR(INDEX(tbl_input[집계키_청],ROW()-1),"")</f>
        <v/>
      </c>
    </row>
    <row r="2034" spans="1:4" x14ac:dyDescent="0.4">
      <c r="A2034" t="str">
        <f t="shared" si="62"/>
        <v/>
      </c>
      <c r="B2034" t="str">
        <f t="shared" si="63"/>
        <v/>
      </c>
      <c r="C2034" t="str">
        <f>IF(D2034="","",IF(COUNTIF($D$2:D2034,D2034)&gt;1,"",SUMIFS(tbl_input[필요수량],tbl_input[집계키_청],D2034)))</f>
        <v/>
      </c>
      <c r="D2034" t="str">
        <f>IFERROR(INDEX(tbl_input[집계키_청],ROW()-1),"")</f>
        <v/>
      </c>
    </row>
    <row r="2035" spans="1:4" x14ac:dyDescent="0.4">
      <c r="A2035" t="str">
        <f t="shared" si="62"/>
        <v/>
      </c>
      <c r="B2035" t="str">
        <f t="shared" si="63"/>
        <v/>
      </c>
      <c r="C2035" t="str">
        <f>IF(D2035="","",IF(COUNTIF($D$2:D2035,D2035)&gt;1,"",SUMIFS(tbl_input[필요수량],tbl_input[집계키_청],D2035)))</f>
        <v/>
      </c>
      <c r="D2035" t="str">
        <f>IFERROR(INDEX(tbl_input[집계키_청],ROW()-1),"")</f>
        <v/>
      </c>
    </row>
    <row r="2036" spans="1:4" x14ac:dyDescent="0.4">
      <c r="A2036" t="str">
        <f t="shared" si="62"/>
        <v/>
      </c>
      <c r="B2036" t="str">
        <f t="shared" si="63"/>
        <v/>
      </c>
      <c r="C2036" t="str">
        <f>IF(D2036="","",IF(COUNTIF($D$2:D2036,D2036)&gt;1,"",SUMIFS(tbl_input[필요수량],tbl_input[집계키_청],D2036)))</f>
        <v/>
      </c>
      <c r="D2036" t="str">
        <f>IFERROR(INDEX(tbl_input[집계키_청],ROW()-1),"")</f>
        <v/>
      </c>
    </row>
    <row r="2037" spans="1:4" x14ac:dyDescent="0.4">
      <c r="A2037" t="str">
        <f t="shared" si="62"/>
        <v/>
      </c>
      <c r="B2037" t="str">
        <f t="shared" si="63"/>
        <v/>
      </c>
      <c r="C2037" t="str">
        <f>IF(D2037="","",IF(COUNTIF($D$2:D2037,D2037)&gt;1,"",SUMIFS(tbl_input[필요수량],tbl_input[집계키_청],D2037)))</f>
        <v/>
      </c>
      <c r="D2037" t="str">
        <f>IFERROR(INDEX(tbl_input[집계키_청],ROW()-1),"")</f>
        <v/>
      </c>
    </row>
    <row r="2038" spans="1:4" x14ac:dyDescent="0.4">
      <c r="A2038" t="str">
        <f t="shared" si="62"/>
        <v/>
      </c>
      <c r="B2038" t="str">
        <f t="shared" si="63"/>
        <v/>
      </c>
      <c r="C2038" t="str">
        <f>IF(D2038="","",IF(COUNTIF($D$2:D2038,D2038)&gt;1,"",SUMIFS(tbl_input[필요수량],tbl_input[집계키_청],D2038)))</f>
        <v/>
      </c>
      <c r="D2038" t="str">
        <f>IFERROR(INDEX(tbl_input[집계키_청],ROW()-1),"")</f>
        <v/>
      </c>
    </row>
    <row r="2039" spans="1:4" x14ac:dyDescent="0.4">
      <c r="A2039" t="str">
        <f t="shared" si="62"/>
        <v/>
      </c>
      <c r="B2039" t="str">
        <f t="shared" si="63"/>
        <v/>
      </c>
      <c r="C2039" t="str">
        <f>IF(D2039="","",IF(COUNTIF($D$2:D2039,D2039)&gt;1,"",SUMIFS(tbl_input[필요수량],tbl_input[집계키_청],D2039)))</f>
        <v/>
      </c>
      <c r="D2039" t="str">
        <f>IFERROR(INDEX(tbl_input[집계키_청],ROW()-1),"")</f>
        <v/>
      </c>
    </row>
    <row r="2040" spans="1:4" x14ac:dyDescent="0.4">
      <c r="A2040" t="str">
        <f t="shared" si="62"/>
        <v/>
      </c>
      <c r="B2040" t="str">
        <f t="shared" si="63"/>
        <v/>
      </c>
      <c r="C2040" t="str">
        <f>IF(D2040="","",IF(COUNTIF($D$2:D2040,D2040)&gt;1,"",SUMIFS(tbl_input[필요수량],tbl_input[집계키_청],D2040)))</f>
        <v/>
      </c>
      <c r="D2040" t="str">
        <f>IFERROR(INDEX(tbl_input[집계키_청],ROW()-1),"")</f>
        <v/>
      </c>
    </row>
    <row r="2041" spans="1:4" x14ac:dyDescent="0.4">
      <c r="A2041" t="str">
        <f t="shared" si="62"/>
        <v/>
      </c>
      <c r="B2041" t="str">
        <f t="shared" si="63"/>
        <v/>
      </c>
      <c r="C2041" t="str">
        <f>IF(D2041="","",IF(COUNTIF($D$2:D2041,D2041)&gt;1,"",SUMIFS(tbl_input[필요수량],tbl_input[집계키_청],D2041)))</f>
        <v/>
      </c>
      <c r="D2041" t="str">
        <f>IFERROR(INDEX(tbl_input[집계키_청],ROW()-1),"")</f>
        <v/>
      </c>
    </row>
    <row r="2042" spans="1:4" x14ac:dyDescent="0.4">
      <c r="A2042" t="str">
        <f t="shared" si="62"/>
        <v/>
      </c>
      <c r="B2042" t="str">
        <f t="shared" si="63"/>
        <v/>
      </c>
      <c r="C2042" t="str">
        <f>IF(D2042="","",IF(COUNTIF($D$2:D2042,D2042)&gt;1,"",SUMIFS(tbl_input[필요수량],tbl_input[집계키_청],D2042)))</f>
        <v/>
      </c>
      <c r="D2042" t="str">
        <f>IFERROR(INDEX(tbl_input[집계키_청],ROW()-1),"")</f>
        <v/>
      </c>
    </row>
    <row r="2043" spans="1:4" x14ac:dyDescent="0.4">
      <c r="A2043" t="str">
        <f t="shared" si="62"/>
        <v/>
      </c>
      <c r="B2043" t="str">
        <f t="shared" si="63"/>
        <v/>
      </c>
      <c r="C2043" t="str">
        <f>IF(D2043="","",IF(COUNTIF($D$2:D2043,D2043)&gt;1,"",SUMIFS(tbl_input[필요수량],tbl_input[집계키_청],D2043)))</f>
        <v/>
      </c>
      <c r="D2043" t="str">
        <f>IFERROR(INDEX(tbl_input[집계키_청],ROW()-1),"")</f>
        <v/>
      </c>
    </row>
    <row r="2044" spans="1:4" x14ac:dyDescent="0.4">
      <c r="A2044" t="str">
        <f t="shared" si="62"/>
        <v/>
      </c>
      <c r="B2044" t="str">
        <f t="shared" si="63"/>
        <v/>
      </c>
      <c r="C2044" t="str">
        <f>IF(D2044="","",IF(COUNTIF($D$2:D2044,D2044)&gt;1,"",SUMIFS(tbl_input[필요수량],tbl_input[집계키_청],D2044)))</f>
        <v/>
      </c>
      <c r="D2044" t="str">
        <f>IFERROR(INDEX(tbl_input[집계키_청],ROW()-1),"")</f>
        <v/>
      </c>
    </row>
    <row r="2045" spans="1:4" x14ac:dyDescent="0.4">
      <c r="A2045" t="str">
        <f t="shared" si="62"/>
        <v/>
      </c>
      <c r="B2045" t="str">
        <f t="shared" si="63"/>
        <v/>
      </c>
      <c r="C2045" t="str">
        <f>IF(D2045="","",IF(COUNTIF($D$2:D2045,D2045)&gt;1,"",SUMIFS(tbl_input[필요수량],tbl_input[집계키_청],D2045)))</f>
        <v/>
      </c>
      <c r="D2045" t="str">
        <f>IFERROR(INDEX(tbl_input[집계키_청],ROW()-1),"")</f>
        <v/>
      </c>
    </row>
    <row r="2046" spans="1:4" x14ac:dyDescent="0.4">
      <c r="A2046" t="str">
        <f t="shared" si="62"/>
        <v/>
      </c>
      <c r="B2046" t="str">
        <f t="shared" si="63"/>
        <v/>
      </c>
      <c r="C2046" t="str">
        <f>IF(D2046="","",IF(COUNTIF($D$2:D2046,D2046)&gt;1,"",SUMIFS(tbl_input[필요수량],tbl_input[집계키_청],D2046)))</f>
        <v/>
      </c>
      <c r="D2046" t="str">
        <f>IFERROR(INDEX(tbl_input[집계키_청],ROW()-1),"")</f>
        <v/>
      </c>
    </row>
    <row r="2047" spans="1:4" x14ac:dyDescent="0.4">
      <c r="A2047" t="str">
        <f t="shared" si="62"/>
        <v/>
      </c>
      <c r="B2047" t="str">
        <f t="shared" si="63"/>
        <v/>
      </c>
      <c r="C2047" t="str">
        <f>IF(D2047="","",IF(COUNTIF($D$2:D2047,D2047)&gt;1,"",SUMIFS(tbl_input[필요수량],tbl_input[집계키_청],D2047)))</f>
        <v/>
      </c>
      <c r="D2047" t="str">
        <f>IFERROR(INDEX(tbl_input[집계키_청],ROW()-1),"")</f>
        <v/>
      </c>
    </row>
    <row r="2048" spans="1:4" x14ac:dyDescent="0.4">
      <c r="A2048" t="str">
        <f t="shared" si="62"/>
        <v/>
      </c>
      <c r="B2048" t="str">
        <f t="shared" si="63"/>
        <v/>
      </c>
      <c r="C2048" t="str">
        <f>IF(D2048="","",IF(COUNTIF($D$2:D2048,D2048)&gt;1,"",SUMIFS(tbl_input[필요수량],tbl_input[집계키_청],D2048)))</f>
        <v/>
      </c>
      <c r="D2048" t="str">
        <f>IFERROR(INDEX(tbl_input[집계키_청],ROW()-1),"")</f>
        <v/>
      </c>
    </row>
    <row r="2049" spans="1:4" x14ac:dyDescent="0.4">
      <c r="A2049" t="str">
        <f t="shared" si="62"/>
        <v/>
      </c>
      <c r="B2049" t="str">
        <f t="shared" si="63"/>
        <v/>
      </c>
      <c r="C2049" t="str">
        <f>IF(D2049="","",IF(COUNTIF($D$2:D2049,D2049)&gt;1,"",SUMIFS(tbl_input[필요수량],tbl_input[집계키_청],D2049)))</f>
        <v/>
      </c>
      <c r="D2049" t="str">
        <f>IFERROR(INDEX(tbl_input[집계키_청],ROW()-1),"")</f>
        <v/>
      </c>
    </row>
    <row r="2050" spans="1:4" x14ac:dyDescent="0.4">
      <c r="A2050" t="str">
        <f t="shared" ref="A2050:A2113" si="64">IF(D2050="","",LEFT(D2050,FIND("♦",D2050)-1))</f>
        <v/>
      </c>
      <c r="B2050" t="str">
        <f t="shared" ref="B2050:B2113" si="65">IF(D2050="","",MID(D2050,FIND("♦",D2050)+1,999))</f>
        <v/>
      </c>
      <c r="C2050" t="str">
        <f>IF(D2050="","",IF(COUNTIF($D$2:D2050,D2050)&gt;1,"",SUMIFS(tbl_input[필요수량],tbl_input[집계키_청],D2050)))</f>
        <v/>
      </c>
      <c r="D2050" t="str">
        <f>IFERROR(INDEX(tbl_input[집계키_청],ROW()-1),"")</f>
        <v/>
      </c>
    </row>
    <row r="2051" spans="1:4" x14ac:dyDescent="0.4">
      <c r="A2051" t="str">
        <f t="shared" si="64"/>
        <v/>
      </c>
      <c r="B2051" t="str">
        <f t="shared" si="65"/>
        <v/>
      </c>
      <c r="C2051" t="str">
        <f>IF(D2051="","",IF(COUNTIF($D$2:D2051,D2051)&gt;1,"",SUMIFS(tbl_input[필요수량],tbl_input[집계키_청],D2051)))</f>
        <v/>
      </c>
      <c r="D2051" t="str">
        <f>IFERROR(INDEX(tbl_input[집계키_청],ROW()-1),"")</f>
        <v/>
      </c>
    </row>
    <row r="2052" spans="1:4" x14ac:dyDescent="0.4">
      <c r="A2052" t="str">
        <f t="shared" si="64"/>
        <v/>
      </c>
      <c r="B2052" t="str">
        <f t="shared" si="65"/>
        <v/>
      </c>
      <c r="C2052" t="str">
        <f>IF(D2052="","",IF(COUNTIF($D$2:D2052,D2052)&gt;1,"",SUMIFS(tbl_input[필요수량],tbl_input[집계키_청],D2052)))</f>
        <v/>
      </c>
      <c r="D2052" t="str">
        <f>IFERROR(INDEX(tbl_input[집계키_청],ROW()-1),"")</f>
        <v/>
      </c>
    </row>
    <row r="2053" spans="1:4" x14ac:dyDescent="0.4">
      <c r="A2053" t="str">
        <f t="shared" si="64"/>
        <v/>
      </c>
      <c r="B2053" t="str">
        <f t="shared" si="65"/>
        <v/>
      </c>
      <c r="C2053" t="str">
        <f>IF(D2053="","",IF(COUNTIF($D$2:D2053,D2053)&gt;1,"",SUMIFS(tbl_input[필요수량],tbl_input[집계키_청],D2053)))</f>
        <v/>
      </c>
      <c r="D2053" t="str">
        <f>IFERROR(INDEX(tbl_input[집계키_청],ROW()-1),"")</f>
        <v/>
      </c>
    </row>
    <row r="2054" spans="1:4" x14ac:dyDescent="0.4">
      <c r="A2054" t="str">
        <f t="shared" si="64"/>
        <v/>
      </c>
      <c r="B2054" t="str">
        <f t="shared" si="65"/>
        <v/>
      </c>
      <c r="C2054" t="str">
        <f>IF(D2054="","",IF(COUNTIF($D$2:D2054,D2054)&gt;1,"",SUMIFS(tbl_input[필요수량],tbl_input[집계키_청],D2054)))</f>
        <v/>
      </c>
      <c r="D2054" t="str">
        <f>IFERROR(INDEX(tbl_input[집계키_청],ROW()-1),"")</f>
        <v/>
      </c>
    </row>
    <row r="2055" spans="1:4" x14ac:dyDescent="0.4">
      <c r="A2055" t="str">
        <f t="shared" si="64"/>
        <v/>
      </c>
      <c r="B2055" t="str">
        <f t="shared" si="65"/>
        <v/>
      </c>
      <c r="C2055" t="str">
        <f>IF(D2055="","",IF(COUNTIF($D$2:D2055,D2055)&gt;1,"",SUMIFS(tbl_input[필요수량],tbl_input[집계키_청],D2055)))</f>
        <v/>
      </c>
      <c r="D2055" t="str">
        <f>IFERROR(INDEX(tbl_input[집계키_청],ROW()-1),"")</f>
        <v/>
      </c>
    </row>
    <row r="2056" spans="1:4" x14ac:dyDescent="0.4">
      <c r="A2056" t="str">
        <f t="shared" si="64"/>
        <v/>
      </c>
      <c r="B2056" t="str">
        <f t="shared" si="65"/>
        <v/>
      </c>
      <c r="C2056" t="str">
        <f>IF(D2056="","",IF(COUNTIF($D$2:D2056,D2056)&gt;1,"",SUMIFS(tbl_input[필요수량],tbl_input[집계키_청],D2056)))</f>
        <v/>
      </c>
      <c r="D2056" t="str">
        <f>IFERROR(INDEX(tbl_input[집계키_청],ROW()-1),"")</f>
        <v/>
      </c>
    </row>
    <row r="2057" spans="1:4" x14ac:dyDescent="0.4">
      <c r="A2057" t="str">
        <f t="shared" si="64"/>
        <v/>
      </c>
      <c r="B2057" t="str">
        <f t="shared" si="65"/>
        <v/>
      </c>
      <c r="C2057" t="str">
        <f>IF(D2057="","",IF(COUNTIF($D$2:D2057,D2057)&gt;1,"",SUMIFS(tbl_input[필요수량],tbl_input[집계키_청],D2057)))</f>
        <v/>
      </c>
      <c r="D2057" t="str">
        <f>IFERROR(INDEX(tbl_input[집계키_청],ROW()-1),"")</f>
        <v/>
      </c>
    </row>
    <row r="2058" spans="1:4" x14ac:dyDescent="0.4">
      <c r="A2058" t="str">
        <f t="shared" si="64"/>
        <v/>
      </c>
      <c r="B2058" t="str">
        <f t="shared" si="65"/>
        <v/>
      </c>
      <c r="C2058" t="str">
        <f>IF(D2058="","",IF(COUNTIF($D$2:D2058,D2058)&gt;1,"",SUMIFS(tbl_input[필요수량],tbl_input[집계키_청],D2058)))</f>
        <v/>
      </c>
      <c r="D2058" t="str">
        <f>IFERROR(INDEX(tbl_input[집계키_청],ROW()-1),"")</f>
        <v/>
      </c>
    </row>
    <row r="2059" spans="1:4" x14ac:dyDescent="0.4">
      <c r="A2059" t="str">
        <f t="shared" si="64"/>
        <v/>
      </c>
      <c r="B2059" t="str">
        <f t="shared" si="65"/>
        <v/>
      </c>
      <c r="C2059" t="str">
        <f>IF(D2059="","",IF(COUNTIF($D$2:D2059,D2059)&gt;1,"",SUMIFS(tbl_input[필요수량],tbl_input[집계키_청],D2059)))</f>
        <v/>
      </c>
      <c r="D2059" t="str">
        <f>IFERROR(INDEX(tbl_input[집계키_청],ROW()-1),"")</f>
        <v/>
      </c>
    </row>
    <row r="2060" spans="1:4" x14ac:dyDescent="0.4">
      <c r="A2060" t="str">
        <f t="shared" si="64"/>
        <v/>
      </c>
      <c r="B2060" t="str">
        <f t="shared" si="65"/>
        <v/>
      </c>
      <c r="C2060" t="str">
        <f>IF(D2060="","",IF(COUNTIF($D$2:D2060,D2060)&gt;1,"",SUMIFS(tbl_input[필요수량],tbl_input[집계키_청],D2060)))</f>
        <v/>
      </c>
      <c r="D2060" t="str">
        <f>IFERROR(INDEX(tbl_input[집계키_청],ROW()-1),"")</f>
        <v/>
      </c>
    </row>
    <row r="2061" spans="1:4" x14ac:dyDescent="0.4">
      <c r="A2061" t="str">
        <f t="shared" si="64"/>
        <v/>
      </c>
      <c r="B2061" t="str">
        <f t="shared" si="65"/>
        <v/>
      </c>
      <c r="C2061" t="str">
        <f>IF(D2061="","",IF(COUNTIF($D$2:D2061,D2061)&gt;1,"",SUMIFS(tbl_input[필요수량],tbl_input[집계키_청],D2061)))</f>
        <v/>
      </c>
      <c r="D2061" t="str">
        <f>IFERROR(INDEX(tbl_input[집계키_청],ROW()-1),"")</f>
        <v/>
      </c>
    </row>
    <row r="2062" spans="1:4" x14ac:dyDescent="0.4">
      <c r="A2062" t="str">
        <f t="shared" si="64"/>
        <v/>
      </c>
      <c r="B2062" t="str">
        <f t="shared" si="65"/>
        <v/>
      </c>
      <c r="C2062" t="str">
        <f>IF(D2062="","",IF(COUNTIF($D$2:D2062,D2062)&gt;1,"",SUMIFS(tbl_input[필요수량],tbl_input[집계키_청],D2062)))</f>
        <v/>
      </c>
      <c r="D2062" t="str">
        <f>IFERROR(INDEX(tbl_input[집계키_청],ROW()-1),"")</f>
        <v/>
      </c>
    </row>
    <row r="2063" spans="1:4" x14ac:dyDescent="0.4">
      <c r="A2063" t="str">
        <f t="shared" si="64"/>
        <v/>
      </c>
      <c r="B2063" t="str">
        <f t="shared" si="65"/>
        <v/>
      </c>
      <c r="C2063" t="str">
        <f>IF(D2063="","",IF(COUNTIF($D$2:D2063,D2063)&gt;1,"",SUMIFS(tbl_input[필요수량],tbl_input[집계키_청],D2063)))</f>
        <v/>
      </c>
      <c r="D2063" t="str">
        <f>IFERROR(INDEX(tbl_input[집계키_청],ROW()-1),"")</f>
        <v/>
      </c>
    </row>
    <row r="2064" spans="1:4" x14ac:dyDescent="0.4">
      <c r="A2064" t="str">
        <f t="shared" si="64"/>
        <v/>
      </c>
      <c r="B2064" t="str">
        <f t="shared" si="65"/>
        <v/>
      </c>
      <c r="C2064" t="str">
        <f>IF(D2064="","",IF(COUNTIF($D$2:D2064,D2064)&gt;1,"",SUMIFS(tbl_input[필요수량],tbl_input[집계키_청],D2064)))</f>
        <v/>
      </c>
      <c r="D2064" t="str">
        <f>IFERROR(INDEX(tbl_input[집계키_청],ROW()-1),"")</f>
        <v/>
      </c>
    </row>
    <row r="2065" spans="1:4" x14ac:dyDescent="0.4">
      <c r="A2065" t="str">
        <f t="shared" si="64"/>
        <v/>
      </c>
      <c r="B2065" t="str">
        <f t="shared" si="65"/>
        <v/>
      </c>
      <c r="C2065" t="str">
        <f>IF(D2065="","",IF(COUNTIF($D$2:D2065,D2065)&gt;1,"",SUMIFS(tbl_input[필요수량],tbl_input[집계키_청],D2065)))</f>
        <v/>
      </c>
      <c r="D2065" t="str">
        <f>IFERROR(INDEX(tbl_input[집계키_청],ROW()-1),"")</f>
        <v/>
      </c>
    </row>
    <row r="2066" spans="1:4" x14ac:dyDescent="0.4">
      <c r="A2066" t="str">
        <f t="shared" si="64"/>
        <v/>
      </c>
      <c r="B2066" t="str">
        <f t="shared" si="65"/>
        <v/>
      </c>
      <c r="C2066" t="str">
        <f>IF(D2066="","",IF(COUNTIF($D$2:D2066,D2066)&gt;1,"",SUMIFS(tbl_input[필요수량],tbl_input[집계키_청],D2066)))</f>
        <v/>
      </c>
      <c r="D2066" t="str">
        <f>IFERROR(INDEX(tbl_input[집계키_청],ROW()-1),"")</f>
        <v/>
      </c>
    </row>
    <row r="2067" spans="1:4" x14ac:dyDescent="0.4">
      <c r="A2067" t="str">
        <f t="shared" si="64"/>
        <v/>
      </c>
      <c r="B2067" t="str">
        <f t="shared" si="65"/>
        <v/>
      </c>
      <c r="C2067" t="str">
        <f>IF(D2067="","",IF(COUNTIF($D$2:D2067,D2067)&gt;1,"",SUMIFS(tbl_input[필요수량],tbl_input[집계키_청],D2067)))</f>
        <v/>
      </c>
      <c r="D2067" t="str">
        <f>IFERROR(INDEX(tbl_input[집계키_청],ROW()-1),"")</f>
        <v/>
      </c>
    </row>
    <row r="2068" spans="1:4" x14ac:dyDescent="0.4">
      <c r="A2068" t="str">
        <f t="shared" si="64"/>
        <v/>
      </c>
      <c r="B2068" t="str">
        <f t="shared" si="65"/>
        <v/>
      </c>
      <c r="C2068" t="str">
        <f>IF(D2068="","",IF(COUNTIF($D$2:D2068,D2068)&gt;1,"",SUMIFS(tbl_input[필요수량],tbl_input[집계키_청],D2068)))</f>
        <v/>
      </c>
      <c r="D2068" t="str">
        <f>IFERROR(INDEX(tbl_input[집계키_청],ROW()-1),"")</f>
        <v/>
      </c>
    </row>
    <row r="2069" spans="1:4" x14ac:dyDescent="0.4">
      <c r="A2069" t="str">
        <f t="shared" si="64"/>
        <v/>
      </c>
      <c r="B2069" t="str">
        <f t="shared" si="65"/>
        <v/>
      </c>
      <c r="C2069" t="str">
        <f>IF(D2069="","",IF(COUNTIF($D$2:D2069,D2069)&gt;1,"",SUMIFS(tbl_input[필요수량],tbl_input[집계키_청],D2069)))</f>
        <v/>
      </c>
      <c r="D2069" t="str">
        <f>IFERROR(INDEX(tbl_input[집계키_청],ROW()-1),"")</f>
        <v/>
      </c>
    </row>
    <row r="2070" spans="1:4" x14ac:dyDescent="0.4">
      <c r="A2070" t="str">
        <f t="shared" si="64"/>
        <v/>
      </c>
      <c r="B2070" t="str">
        <f t="shared" si="65"/>
        <v/>
      </c>
      <c r="C2070" t="str">
        <f>IF(D2070="","",IF(COUNTIF($D$2:D2070,D2070)&gt;1,"",SUMIFS(tbl_input[필요수량],tbl_input[집계키_청],D2070)))</f>
        <v/>
      </c>
      <c r="D2070" t="str">
        <f>IFERROR(INDEX(tbl_input[집계키_청],ROW()-1),"")</f>
        <v/>
      </c>
    </row>
    <row r="2071" spans="1:4" x14ac:dyDescent="0.4">
      <c r="A2071" t="str">
        <f t="shared" si="64"/>
        <v/>
      </c>
      <c r="B2071" t="str">
        <f t="shared" si="65"/>
        <v/>
      </c>
      <c r="C2071" t="str">
        <f>IF(D2071="","",IF(COUNTIF($D$2:D2071,D2071)&gt;1,"",SUMIFS(tbl_input[필요수량],tbl_input[집계키_청],D2071)))</f>
        <v/>
      </c>
      <c r="D2071" t="str">
        <f>IFERROR(INDEX(tbl_input[집계키_청],ROW()-1),"")</f>
        <v/>
      </c>
    </row>
    <row r="2072" spans="1:4" x14ac:dyDescent="0.4">
      <c r="A2072" t="str">
        <f t="shared" si="64"/>
        <v/>
      </c>
      <c r="B2072" t="str">
        <f t="shared" si="65"/>
        <v/>
      </c>
      <c r="C2072" t="str">
        <f>IF(D2072="","",IF(COUNTIF($D$2:D2072,D2072)&gt;1,"",SUMIFS(tbl_input[필요수량],tbl_input[집계키_청],D2072)))</f>
        <v/>
      </c>
      <c r="D2072" t="str">
        <f>IFERROR(INDEX(tbl_input[집계키_청],ROW()-1),"")</f>
        <v/>
      </c>
    </row>
    <row r="2073" spans="1:4" x14ac:dyDescent="0.4">
      <c r="A2073" t="str">
        <f t="shared" si="64"/>
        <v/>
      </c>
      <c r="B2073" t="str">
        <f t="shared" si="65"/>
        <v/>
      </c>
      <c r="C2073" t="str">
        <f>IF(D2073="","",IF(COUNTIF($D$2:D2073,D2073)&gt;1,"",SUMIFS(tbl_input[필요수량],tbl_input[집계키_청],D2073)))</f>
        <v/>
      </c>
      <c r="D2073" t="str">
        <f>IFERROR(INDEX(tbl_input[집계키_청],ROW()-1),"")</f>
        <v/>
      </c>
    </row>
    <row r="2074" spans="1:4" x14ac:dyDescent="0.4">
      <c r="A2074" t="str">
        <f t="shared" si="64"/>
        <v/>
      </c>
      <c r="B2074" t="str">
        <f t="shared" si="65"/>
        <v/>
      </c>
      <c r="C2074" t="str">
        <f>IF(D2074="","",IF(COUNTIF($D$2:D2074,D2074)&gt;1,"",SUMIFS(tbl_input[필요수량],tbl_input[집계키_청],D2074)))</f>
        <v/>
      </c>
      <c r="D2074" t="str">
        <f>IFERROR(INDEX(tbl_input[집계키_청],ROW()-1),"")</f>
        <v/>
      </c>
    </row>
    <row r="2075" spans="1:4" x14ac:dyDescent="0.4">
      <c r="A2075" t="str">
        <f t="shared" si="64"/>
        <v/>
      </c>
      <c r="B2075" t="str">
        <f t="shared" si="65"/>
        <v/>
      </c>
      <c r="C2075" t="str">
        <f>IF(D2075="","",IF(COUNTIF($D$2:D2075,D2075)&gt;1,"",SUMIFS(tbl_input[필요수량],tbl_input[집계키_청],D2075)))</f>
        <v/>
      </c>
      <c r="D2075" t="str">
        <f>IFERROR(INDEX(tbl_input[집계키_청],ROW()-1),"")</f>
        <v/>
      </c>
    </row>
    <row r="2076" spans="1:4" x14ac:dyDescent="0.4">
      <c r="A2076" t="str">
        <f t="shared" si="64"/>
        <v/>
      </c>
      <c r="B2076" t="str">
        <f t="shared" si="65"/>
        <v/>
      </c>
      <c r="C2076" t="str">
        <f>IF(D2076="","",IF(COUNTIF($D$2:D2076,D2076)&gt;1,"",SUMIFS(tbl_input[필요수량],tbl_input[집계키_청],D2076)))</f>
        <v/>
      </c>
      <c r="D2076" t="str">
        <f>IFERROR(INDEX(tbl_input[집계키_청],ROW()-1),"")</f>
        <v/>
      </c>
    </row>
    <row r="2077" spans="1:4" x14ac:dyDescent="0.4">
      <c r="A2077" t="str">
        <f t="shared" si="64"/>
        <v/>
      </c>
      <c r="B2077" t="str">
        <f t="shared" si="65"/>
        <v/>
      </c>
      <c r="C2077" t="str">
        <f>IF(D2077="","",IF(COUNTIF($D$2:D2077,D2077)&gt;1,"",SUMIFS(tbl_input[필요수량],tbl_input[집계키_청],D2077)))</f>
        <v/>
      </c>
      <c r="D2077" t="str">
        <f>IFERROR(INDEX(tbl_input[집계키_청],ROW()-1),"")</f>
        <v/>
      </c>
    </row>
    <row r="2078" spans="1:4" x14ac:dyDescent="0.4">
      <c r="A2078" t="str">
        <f t="shared" si="64"/>
        <v/>
      </c>
      <c r="B2078" t="str">
        <f t="shared" si="65"/>
        <v/>
      </c>
      <c r="C2078" t="str">
        <f>IF(D2078="","",IF(COUNTIF($D$2:D2078,D2078)&gt;1,"",SUMIFS(tbl_input[필요수량],tbl_input[집계키_청],D2078)))</f>
        <v/>
      </c>
      <c r="D2078" t="str">
        <f>IFERROR(INDEX(tbl_input[집계키_청],ROW()-1),"")</f>
        <v/>
      </c>
    </row>
    <row r="2079" spans="1:4" x14ac:dyDescent="0.4">
      <c r="A2079" t="str">
        <f t="shared" si="64"/>
        <v/>
      </c>
      <c r="B2079" t="str">
        <f t="shared" si="65"/>
        <v/>
      </c>
      <c r="C2079" t="str">
        <f>IF(D2079="","",IF(COUNTIF($D$2:D2079,D2079)&gt;1,"",SUMIFS(tbl_input[필요수량],tbl_input[집계키_청],D2079)))</f>
        <v/>
      </c>
      <c r="D2079" t="str">
        <f>IFERROR(INDEX(tbl_input[집계키_청],ROW()-1),"")</f>
        <v/>
      </c>
    </row>
    <row r="2080" spans="1:4" x14ac:dyDescent="0.4">
      <c r="A2080" t="str">
        <f t="shared" si="64"/>
        <v/>
      </c>
      <c r="B2080" t="str">
        <f t="shared" si="65"/>
        <v/>
      </c>
      <c r="C2080" t="str">
        <f>IF(D2080="","",IF(COUNTIF($D$2:D2080,D2080)&gt;1,"",SUMIFS(tbl_input[필요수량],tbl_input[집계키_청],D2080)))</f>
        <v/>
      </c>
      <c r="D2080" t="str">
        <f>IFERROR(INDEX(tbl_input[집계키_청],ROW()-1),"")</f>
        <v/>
      </c>
    </row>
    <row r="2081" spans="1:4" x14ac:dyDescent="0.4">
      <c r="A2081" t="str">
        <f t="shared" si="64"/>
        <v/>
      </c>
      <c r="B2081" t="str">
        <f t="shared" si="65"/>
        <v/>
      </c>
      <c r="C2081" t="str">
        <f>IF(D2081="","",IF(COUNTIF($D$2:D2081,D2081)&gt;1,"",SUMIFS(tbl_input[필요수량],tbl_input[집계키_청],D2081)))</f>
        <v/>
      </c>
      <c r="D2081" t="str">
        <f>IFERROR(INDEX(tbl_input[집계키_청],ROW()-1),"")</f>
        <v/>
      </c>
    </row>
    <row r="2082" spans="1:4" x14ac:dyDescent="0.4">
      <c r="A2082" t="str">
        <f t="shared" si="64"/>
        <v/>
      </c>
      <c r="B2082" t="str">
        <f t="shared" si="65"/>
        <v/>
      </c>
      <c r="C2082" t="str">
        <f>IF(D2082="","",IF(COUNTIF($D$2:D2082,D2082)&gt;1,"",SUMIFS(tbl_input[필요수량],tbl_input[집계키_청],D2082)))</f>
        <v/>
      </c>
      <c r="D2082" t="str">
        <f>IFERROR(INDEX(tbl_input[집계키_청],ROW()-1),"")</f>
        <v/>
      </c>
    </row>
    <row r="2083" spans="1:4" x14ac:dyDescent="0.4">
      <c r="A2083" t="str">
        <f t="shared" si="64"/>
        <v/>
      </c>
      <c r="B2083" t="str">
        <f t="shared" si="65"/>
        <v/>
      </c>
      <c r="C2083" t="str">
        <f>IF(D2083="","",IF(COUNTIF($D$2:D2083,D2083)&gt;1,"",SUMIFS(tbl_input[필요수량],tbl_input[집계키_청],D2083)))</f>
        <v/>
      </c>
      <c r="D2083" t="str">
        <f>IFERROR(INDEX(tbl_input[집계키_청],ROW()-1),"")</f>
        <v/>
      </c>
    </row>
    <row r="2084" spans="1:4" x14ac:dyDescent="0.4">
      <c r="A2084" t="str">
        <f t="shared" si="64"/>
        <v/>
      </c>
      <c r="B2084" t="str">
        <f t="shared" si="65"/>
        <v/>
      </c>
      <c r="C2084" t="str">
        <f>IF(D2084="","",IF(COUNTIF($D$2:D2084,D2084)&gt;1,"",SUMIFS(tbl_input[필요수량],tbl_input[집계키_청],D2084)))</f>
        <v/>
      </c>
      <c r="D2084" t="str">
        <f>IFERROR(INDEX(tbl_input[집계키_청],ROW()-1),"")</f>
        <v/>
      </c>
    </row>
    <row r="2085" spans="1:4" x14ac:dyDescent="0.4">
      <c r="A2085" t="str">
        <f t="shared" si="64"/>
        <v/>
      </c>
      <c r="B2085" t="str">
        <f t="shared" si="65"/>
        <v/>
      </c>
      <c r="C2085" t="str">
        <f>IF(D2085="","",IF(COUNTIF($D$2:D2085,D2085)&gt;1,"",SUMIFS(tbl_input[필요수량],tbl_input[집계키_청],D2085)))</f>
        <v/>
      </c>
      <c r="D2085" t="str">
        <f>IFERROR(INDEX(tbl_input[집계키_청],ROW()-1),"")</f>
        <v/>
      </c>
    </row>
    <row r="2086" spans="1:4" x14ac:dyDescent="0.4">
      <c r="A2086" t="str">
        <f t="shared" si="64"/>
        <v/>
      </c>
      <c r="B2086" t="str">
        <f t="shared" si="65"/>
        <v/>
      </c>
      <c r="C2086" t="str">
        <f>IF(D2086="","",IF(COUNTIF($D$2:D2086,D2086)&gt;1,"",SUMIFS(tbl_input[필요수량],tbl_input[집계키_청],D2086)))</f>
        <v/>
      </c>
      <c r="D2086" t="str">
        <f>IFERROR(INDEX(tbl_input[집계키_청],ROW()-1),"")</f>
        <v/>
      </c>
    </row>
    <row r="2087" spans="1:4" x14ac:dyDescent="0.4">
      <c r="A2087" t="str">
        <f t="shared" si="64"/>
        <v/>
      </c>
      <c r="B2087" t="str">
        <f t="shared" si="65"/>
        <v/>
      </c>
      <c r="C2087" t="str">
        <f>IF(D2087="","",IF(COUNTIF($D$2:D2087,D2087)&gt;1,"",SUMIFS(tbl_input[필요수량],tbl_input[집계키_청],D2087)))</f>
        <v/>
      </c>
      <c r="D2087" t="str">
        <f>IFERROR(INDEX(tbl_input[집계키_청],ROW()-1),"")</f>
        <v/>
      </c>
    </row>
    <row r="2088" spans="1:4" x14ac:dyDescent="0.4">
      <c r="A2088" t="str">
        <f t="shared" si="64"/>
        <v/>
      </c>
      <c r="B2088" t="str">
        <f t="shared" si="65"/>
        <v/>
      </c>
      <c r="C2088" t="str">
        <f>IF(D2088="","",IF(COUNTIF($D$2:D2088,D2088)&gt;1,"",SUMIFS(tbl_input[필요수량],tbl_input[집계키_청],D2088)))</f>
        <v/>
      </c>
      <c r="D2088" t="str">
        <f>IFERROR(INDEX(tbl_input[집계키_청],ROW()-1),"")</f>
        <v/>
      </c>
    </row>
    <row r="2089" spans="1:4" x14ac:dyDescent="0.4">
      <c r="A2089" t="str">
        <f t="shared" si="64"/>
        <v/>
      </c>
      <c r="B2089" t="str">
        <f t="shared" si="65"/>
        <v/>
      </c>
      <c r="C2089" t="str">
        <f>IF(D2089="","",IF(COUNTIF($D$2:D2089,D2089)&gt;1,"",SUMIFS(tbl_input[필요수량],tbl_input[집계키_청],D2089)))</f>
        <v/>
      </c>
      <c r="D2089" t="str">
        <f>IFERROR(INDEX(tbl_input[집계키_청],ROW()-1),"")</f>
        <v/>
      </c>
    </row>
    <row r="2090" spans="1:4" x14ac:dyDescent="0.4">
      <c r="A2090" t="str">
        <f t="shared" si="64"/>
        <v/>
      </c>
      <c r="B2090" t="str">
        <f t="shared" si="65"/>
        <v/>
      </c>
      <c r="C2090" t="str">
        <f>IF(D2090="","",IF(COUNTIF($D$2:D2090,D2090)&gt;1,"",SUMIFS(tbl_input[필요수량],tbl_input[집계키_청],D2090)))</f>
        <v/>
      </c>
      <c r="D2090" t="str">
        <f>IFERROR(INDEX(tbl_input[집계키_청],ROW()-1),"")</f>
        <v/>
      </c>
    </row>
    <row r="2091" spans="1:4" x14ac:dyDescent="0.4">
      <c r="A2091" t="str">
        <f t="shared" si="64"/>
        <v/>
      </c>
      <c r="B2091" t="str">
        <f t="shared" si="65"/>
        <v/>
      </c>
      <c r="C2091" t="str">
        <f>IF(D2091="","",IF(COUNTIF($D$2:D2091,D2091)&gt;1,"",SUMIFS(tbl_input[필요수량],tbl_input[집계키_청],D2091)))</f>
        <v/>
      </c>
      <c r="D2091" t="str">
        <f>IFERROR(INDEX(tbl_input[집계키_청],ROW()-1),"")</f>
        <v/>
      </c>
    </row>
    <row r="2092" spans="1:4" x14ac:dyDescent="0.4">
      <c r="A2092" t="str">
        <f t="shared" si="64"/>
        <v/>
      </c>
      <c r="B2092" t="str">
        <f t="shared" si="65"/>
        <v/>
      </c>
      <c r="C2092" t="str">
        <f>IF(D2092="","",IF(COUNTIF($D$2:D2092,D2092)&gt;1,"",SUMIFS(tbl_input[필요수량],tbl_input[집계키_청],D2092)))</f>
        <v/>
      </c>
      <c r="D2092" t="str">
        <f>IFERROR(INDEX(tbl_input[집계키_청],ROW()-1),"")</f>
        <v/>
      </c>
    </row>
    <row r="2093" spans="1:4" x14ac:dyDescent="0.4">
      <c r="A2093" t="str">
        <f t="shared" si="64"/>
        <v/>
      </c>
      <c r="B2093" t="str">
        <f t="shared" si="65"/>
        <v/>
      </c>
      <c r="C2093" t="str">
        <f>IF(D2093="","",IF(COUNTIF($D$2:D2093,D2093)&gt;1,"",SUMIFS(tbl_input[필요수량],tbl_input[집계키_청],D2093)))</f>
        <v/>
      </c>
      <c r="D2093" t="str">
        <f>IFERROR(INDEX(tbl_input[집계키_청],ROW()-1),"")</f>
        <v/>
      </c>
    </row>
    <row r="2094" spans="1:4" x14ac:dyDescent="0.4">
      <c r="A2094" t="str">
        <f t="shared" si="64"/>
        <v/>
      </c>
      <c r="B2094" t="str">
        <f t="shared" si="65"/>
        <v/>
      </c>
      <c r="C2094" t="str">
        <f>IF(D2094="","",IF(COUNTIF($D$2:D2094,D2094)&gt;1,"",SUMIFS(tbl_input[필요수량],tbl_input[집계키_청],D2094)))</f>
        <v/>
      </c>
      <c r="D2094" t="str">
        <f>IFERROR(INDEX(tbl_input[집계키_청],ROW()-1),"")</f>
        <v/>
      </c>
    </row>
    <row r="2095" spans="1:4" x14ac:dyDescent="0.4">
      <c r="A2095" t="str">
        <f t="shared" si="64"/>
        <v/>
      </c>
      <c r="B2095" t="str">
        <f t="shared" si="65"/>
        <v/>
      </c>
      <c r="C2095" t="str">
        <f>IF(D2095="","",IF(COUNTIF($D$2:D2095,D2095)&gt;1,"",SUMIFS(tbl_input[필요수량],tbl_input[집계키_청],D2095)))</f>
        <v/>
      </c>
      <c r="D2095" t="str">
        <f>IFERROR(INDEX(tbl_input[집계키_청],ROW()-1),"")</f>
        <v/>
      </c>
    </row>
    <row r="2096" spans="1:4" x14ac:dyDescent="0.4">
      <c r="A2096" t="str">
        <f t="shared" si="64"/>
        <v/>
      </c>
      <c r="B2096" t="str">
        <f t="shared" si="65"/>
        <v/>
      </c>
      <c r="C2096" t="str">
        <f>IF(D2096="","",IF(COUNTIF($D$2:D2096,D2096)&gt;1,"",SUMIFS(tbl_input[필요수량],tbl_input[집계키_청],D2096)))</f>
        <v/>
      </c>
      <c r="D2096" t="str">
        <f>IFERROR(INDEX(tbl_input[집계키_청],ROW()-1),"")</f>
        <v/>
      </c>
    </row>
    <row r="2097" spans="1:4" x14ac:dyDescent="0.4">
      <c r="A2097" t="str">
        <f t="shared" si="64"/>
        <v/>
      </c>
      <c r="B2097" t="str">
        <f t="shared" si="65"/>
        <v/>
      </c>
      <c r="C2097" t="str">
        <f>IF(D2097="","",IF(COUNTIF($D$2:D2097,D2097)&gt;1,"",SUMIFS(tbl_input[필요수량],tbl_input[집계키_청],D2097)))</f>
        <v/>
      </c>
      <c r="D2097" t="str">
        <f>IFERROR(INDEX(tbl_input[집계키_청],ROW()-1),"")</f>
        <v/>
      </c>
    </row>
    <row r="2098" spans="1:4" x14ac:dyDescent="0.4">
      <c r="A2098" t="str">
        <f t="shared" si="64"/>
        <v/>
      </c>
      <c r="B2098" t="str">
        <f t="shared" si="65"/>
        <v/>
      </c>
      <c r="C2098" t="str">
        <f>IF(D2098="","",IF(COUNTIF($D$2:D2098,D2098)&gt;1,"",SUMIFS(tbl_input[필요수량],tbl_input[집계키_청],D2098)))</f>
        <v/>
      </c>
      <c r="D2098" t="str">
        <f>IFERROR(INDEX(tbl_input[집계키_청],ROW()-1),"")</f>
        <v/>
      </c>
    </row>
    <row r="2099" spans="1:4" x14ac:dyDescent="0.4">
      <c r="A2099" t="str">
        <f t="shared" si="64"/>
        <v/>
      </c>
      <c r="B2099" t="str">
        <f t="shared" si="65"/>
        <v/>
      </c>
      <c r="C2099" t="str">
        <f>IF(D2099="","",IF(COUNTIF($D$2:D2099,D2099)&gt;1,"",SUMIFS(tbl_input[필요수량],tbl_input[집계키_청],D2099)))</f>
        <v/>
      </c>
      <c r="D2099" t="str">
        <f>IFERROR(INDEX(tbl_input[집계키_청],ROW()-1),"")</f>
        <v/>
      </c>
    </row>
    <row r="2100" spans="1:4" x14ac:dyDescent="0.4">
      <c r="A2100" t="str">
        <f t="shared" si="64"/>
        <v/>
      </c>
      <c r="B2100" t="str">
        <f t="shared" si="65"/>
        <v/>
      </c>
      <c r="C2100" t="str">
        <f>IF(D2100="","",IF(COUNTIF($D$2:D2100,D2100)&gt;1,"",SUMIFS(tbl_input[필요수량],tbl_input[집계키_청],D2100)))</f>
        <v/>
      </c>
      <c r="D2100" t="str">
        <f>IFERROR(INDEX(tbl_input[집계키_청],ROW()-1),"")</f>
        <v/>
      </c>
    </row>
    <row r="2101" spans="1:4" x14ac:dyDescent="0.4">
      <c r="A2101" t="str">
        <f t="shared" si="64"/>
        <v/>
      </c>
      <c r="B2101" t="str">
        <f t="shared" si="65"/>
        <v/>
      </c>
      <c r="C2101" t="str">
        <f>IF(D2101="","",IF(COUNTIF($D$2:D2101,D2101)&gt;1,"",SUMIFS(tbl_input[필요수량],tbl_input[집계키_청],D2101)))</f>
        <v/>
      </c>
      <c r="D2101" t="str">
        <f>IFERROR(INDEX(tbl_input[집계키_청],ROW()-1),"")</f>
        <v/>
      </c>
    </row>
    <row r="2102" spans="1:4" x14ac:dyDescent="0.4">
      <c r="A2102" t="str">
        <f t="shared" si="64"/>
        <v/>
      </c>
      <c r="B2102" t="str">
        <f t="shared" si="65"/>
        <v/>
      </c>
      <c r="C2102" t="str">
        <f>IF(D2102="","",IF(COUNTIF($D$2:D2102,D2102)&gt;1,"",SUMIFS(tbl_input[필요수량],tbl_input[집계키_청],D2102)))</f>
        <v/>
      </c>
      <c r="D2102" t="str">
        <f>IFERROR(INDEX(tbl_input[집계키_청],ROW()-1),"")</f>
        <v/>
      </c>
    </row>
    <row r="2103" spans="1:4" x14ac:dyDescent="0.4">
      <c r="A2103" t="str">
        <f t="shared" si="64"/>
        <v/>
      </c>
      <c r="B2103" t="str">
        <f t="shared" si="65"/>
        <v/>
      </c>
      <c r="C2103" t="str">
        <f>IF(D2103="","",IF(COUNTIF($D$2:D2103,D2103)&gt;1,"",SUMIFS(tbl_input[필요수량],tbl_input[집계키_청],D2103)))</f>
        <v/>
      </c>
      <c r="D2103" t="str">
        <f>IFERROR(INDEX(tbl_input[집계키_청],ROW()-1),"")</f>
        <v/>
      </c>
    </row>
    <row r="2104" spans="1:4" x14ac:dyDescent="0.4">
      <c r="A2104" t="str">
        <f t="shared" si="64"/>
        <v/>
      </c>
      <c r="B2104" t="str">
        <f t="shared" si="65"/>
        <v/>
      </c>
      <c r="C2104" t="str">
        <f>IF(D2104="","",IF(COUNTIF($D$2:D2104,D2104)&gt;1,"",SUMIFS(tbl_input[필요수량],tbl_input[집계키_청],D2104)))</f>
        <v/>
      </c>
      <c r="D2104" t="str">
        <f>IFERROR(INDEX(tbl_input[집계키_청],ROW()-1),"")</f>
        <v/>
      </c>
    </row>
    <row r="2105" spans="1:4" x14ac:dyDescent="0.4">
      <c r="A2105" t="str">
        <f t="shared" si="64"/>
        <v/>
      </c>
      <c r="B2105" t="str">
        <f t="shared" si="65"/>
        <v/>
      </c>
      <c r="C2105" t="str">
        <f>IF(D2105="","",IF(COUNTIF($D$2:D2105,D2105)&gt;1,"",SUMIFS(tbl_input[필요수량],tbl_input[집계키_청],D2105)))</f>
        <v/>
      </c>
      <c r="D2105" t="str">
        <f>IFERROR(INDEX(tbl_input[집계키_청],ROW()-1),"")</f>
        <v/>
      </c>
    </row>
    <row r="2106" spans="1:4" x14ac:dyDescent="0.4">
      <c r="A2106" t="str">
        <f t="shared" si="64"/>
        <v/>
      </c>
      <c r="B2106" t="str">
        <f t="shared" si="65"/>
        <v/>
      </c>
      <c r="C2106" t="str">
        <f>IF(D2106="","",IF(COUNTIF($D$2:D2106,D2106)&gt;1,"",SUMIFS(tbl_input[필요수량],tbl_input[집계키_청],D2106)))</f>
        <v/>
      </c>
      <c r="D2106" t="str">
        <f>IFERROR(INDEX(tbl_input[집계키_청],ROW()-1),"")</f>
        <v/>
      </c>
    </row>
    <row r="2107" spans="1:4" x14ac:dyDescent="0.4">
      <c r="A2107" t="str">
        <f t="shared" si="64"/>
        <v/>
      </c>
      <c r="B2107" t="str">
        <f t="shared" si="65"/>
        <v/>
      </c>
      <c r="C2107" t="str">
        <f>IF(D2107="","",IF(COUNTIF($D$2:D2107,D2107)&gt;1,"",SUMIFS(tbl_input[필요수량],tbl_input[집계키_청],D2107)))</f>
        <v/>
      </c>
      <c r="D2107" t="str">
        <f>IFERROR(INDEX(tbl_input[집계키_청],ROW()-1),"")</f>
        <v/>
      </c>
    </row>
    <row r="2108" spans="1:4" x14ac:dyDescent="0.4">
      <c r="A2108" t="str">
        <f t="shared" si="64"/>
        <v/>
      </c>
      <c r="B2108" t="str">
        <f t="shared" si="65"/>
        <v/>
      </c>
      <c r="C2108" t="str">
        <f>IF(D2108="","",IF(COUNTIF($D$2:D2108,D2108)&gt;1,"",SUMIFS(tbl_input[필요수량],tbl_input[집계키_청],D2108)))</f>
        <v/>
      </c>
      <c r="D2108" t="str">
        <f>IFERROR(INDEX(tbl_input[집계키_청],ROW()-1),"")</f>
        <v/>
      </c>
    </row>
    <row r="2109" spans="1:4" x14ac:dyDescent="0.4">
      <c r="A2109" t="str">
        <f t="shared" si="64"/>
        <v/>
      </c>
      <c r="B2109" t="str">
        <f t="shared" si="65"/>
        <v/>
      </c>
      <c r="C2109" t="str">
        <f>IF(D2109="","",IF(COUNTIF($D$2:D2109,D2109)&gt;1,"",SUMIFS(tbl_input[필요수량],tbl_input[집계키_청],D2109)))</f>
        <v/>
      </c>
      <c r="D2109" t="str">
        <f>IFERROR(INDEX(tbl_input[집계키_청],ROW()-1),"")</f>
        <v/>
      </c>
    </row>
    <row r="2110" spans="1:4" x14ac:dyDescent="0.4">
      <c r="A2110" t="str">
        <f t="shared" si="64"/>
        <v/>
      </c>
      <c r="B2110" t="str">
        <f t="shared" si="65"/>
        <v/>
      </c>
      <c r="C2110" t="str">
        <f>IF(D2110="","",IF(COUNTIF($D$2:D2110,D2110)&gt;1,"",SUMIFS(tbl_input[필요수량],tbl_input[집계키_청],D2110)))</f>
        <v/>
      </c>
      <c r="D2110" t="str">
        <f>IFERROR(INDEX(tbl_input[집계키_청],ROW()-1),"")</f>
        <v/>
      </c>
    </row>
    <row r="2111" spans="1:4" x14ac:dyDescent="0.4">
      <c r="A2111" t="str">
        <f t="shared" si="64"/>
        <v/>
      </c>
      <c r="B2111" t="str">
        <f t="shared" si="65"/>
        <v/>
      </c>
      <c r="C2111" t="str">
        <f>IF(D2111="","",IF(COUNTIF($D$2:D2111,D2111)&gt;1,"",SUMIFS(tbl_input[필요수량],tbl_input[집계키_청],D2111)))</f>
        <v/>
      </c>
      <c r="D2111" t="str">
        <f>IFERROR(INDEX(tbl_input[집계키_청],ROW()-1),"")</f>
        <v/>
      </c>
    </row>
    <row r="2112" spans="1:4" x14ac:dyDescent="0.4">
      <c r="A2112" t="str">
        <f t="shared" si="64"/>
        <v/>
      </c>
      <c r="B2112" t="str">
        <f t="shared" si="65"/>
        <v/>
      </c>
      <c r="C2112" t="str">
        <f>IF(D2112="","",IF(COUNTIF($D$2:D2112,D2112)&gt;1,"",SUMIFS(tbl_input[필요수량],tbl_input[집계키_청],D2112)))</f>
        <v/>
      </c>
      <c r="D2112" t="str">
        <f>IFERROR(INDEX(tbl_input[집계키_청],ROW()-1),"")</f>
        <v/>
      </c>
    </row>
    <row r="2113" spans="1:4" x14ac:dyDescent="0.4">
      <c r="A2113" t="str">
        <f t="shared" si="64"/>
        <v/>
      </c>
      <c r="B2113" t="str">
        <f t="shared" si="65"/>
        <v/>
      </c>
      <c r="C2113" t="str">
        <f>IF(D2113="","",IF(COUNTIF($D$2:D2113,D2113)&gt;1,"",SUMIFS(tbl_input[필요수량],tbl_input[집계키_청],D2113)))</f>
        <v/>
      </c>
      <c r="D2113" t="str">
        <f>IFERROR(INDEX(tbl_input[집계키_청],ROW()-1),"")</f>
        <v/>
      </c>
    </row>
    <row r="2114" spans="1:4" x14ac:dyDescent="0.4">
      <c r="A2114" t="str">
        <f t="shared" ref="A2114:A2177" si="66">IF(D2114="","",LEFT(D2114,FIND("♦",D2114)-1))</f>
        <v/>
      </c>
      <c r="B2114" t="str">
        <f t="shared" ref="B2114:B2177" si="67">IF(D2114="","",MID(D2114,FIND("♦",D2114)+1,999))</f>
        <v/>
      </c>
      <c r="C2114" t="str">
        <f>IF(D2114="","",IF(COUNTIF($D$2:D2114,D2114)&gt;1,"",SUMIFS(tbl_input[필요수량],tbl_input[집계키_청],D2114)))</f>
        <v/>
      </c>
      <c r="D2114" t="str">
        <f>IFERROR(INDEX(tbl_input[집계키_청],ROW()-1),"")</f>
        <v/>
      </c>
    </row>
    <row r="2115" spans="1:4" x14ac:dyDescent="0.4">
      <c r="A2115" t="str">
        <f t="shared" si="66"/>
        <v/>
      </c>
      <c r="B2115" t="str">
        <f t="shared" si="67"/>
        <v/>
      </c>
      <c r="C2115" t="str">
        <f>IF(D2115="","",IF(COUNTIF($D$2:D2115,D2115)&gt;1,"",SUMIFS(tbl_input[필요수량],tbl_input[집계키_청],D2115)))</f>
        <v/>
      </c>
      <c r="D2115" t="str">
        <f>IFERROR(INDEX(tbl_input[집계키_청],ROW()-1),"")</f>
        <v/>
      </c>
    </row>
    <row r="2116" spans="1:4" x14ac:dyDescent="0.4">
      <c r="A2116" t="str">
        <f t="shared" si="66"/>
        <v/>
      </c>
      <c r="B2116" t="str">
        <f t="shared" si="67"/>
        <v/>
      </c>
      <c r="C2116" t="str">
        <f>IF(D2116="","",IF(COUNTIF($D$2:D2116,D2116)&gt;1,"",SUMIFS(tbl_input[필요수량],tbl_input[집계키_청],D2116)))</f>
        <v/>
      </c>
      <c r="D2116" t="str">
        <f>IFERROR(INDEX(tbl_input[집계키_청],ROW()-1),"")</f>
        <v/>
      </c>
    </row>
    <row r="2117" spans="1:4" x14ac:dyDescent="0.4">
      <c r="A2117" t="str">
        <f t="shared" si="66"/>
        <v/>
      </c>
      <c r="B2117" t="str">
        <f t="shared" si="67"/>
        <v/>
      </c>
      <c r="C2117" t="str">
        <f>IF(D2117="","",IF(COUNTIF($D$2:D2117,D2117)&gt;1,"",SUMIFS(tbl_input[필요수량],tbl_input[집계키_청],D2117)))</f>
        <v/>
      </c>
      <c r="D2117" t="str">
        <f>IFERROR(INDEX(tbl_input[집계키_청],ROW()-1),"")</f>
        <v/>
      </c>
    </row>
    <row r="2118" spans="1:4" x14ac:dyDescent="0.4">
      <c r="A2118" t="str">
        <f t="shared" si="66"/>
        <v/>
      </c>
      <c r="B2118" t="str">
        <f t="shared" si="67"/>
        <v/>
      </c>
      <c r="C2118" t="str">
        <f>IF(D2118="","",IF(COUNTIF($D$2:D2118,D2118)&gt;1,"",SUMIFS(tbl_input[필요수량],tbl_input[집계키_청],D2118)))</f>
        <v/>
      </c>
      <c r="D2118" t="str">
        <f>IFERROR(INDEX(tbl_input[집계키_청],ROW()-1),"")</f>
        <v/>
      </c>
    </row>
    <row r="2119" spans="1:4" x14ac:dyDescent="0.4">
      <c r="A2119" t="str">
        <f t="shared" si="66"/>
        <v/>
      </c>
      <c r="B2119" t="str">
        <f t="shared" si="67"/>
        <v/>
      </c>
      <c r="C2119" t="str">
        <f>IF(D2119="","",IF(COUNTIF($D$2:D2119,D2119)&gt;1,"",SUMIFS(tbl_input[필요수량],tbl_input[집계키_청],D2119)))</f>
        <v/>
      </c>
      <c r="D2119" t="str">
        <f>IFERROR(INDEX(tbl_input[집계키_청],ROW()-1),"")</f>
        <v/>
      </c>
    </row>
    <row r="2120" spans="1:4" x14ac:dyDescent="0.4">
      <c r="A2120" t="str">
        <f t="shared" si="66"/>
        <v/>
      </c>
      <c r="B2120" t="str">
        <f t="shared" si="67"/>
        <v/>
      </c>
      <c r="C2120" t="str">
        <f>IF(D2120="","",IF(COUNTIF($D$2:D2120,D2120)&gt;1,"",SUMIFS(tbl_input[필요수량],tbl_input[집계키_청],D2120)))</f>
        <v/>
      </c>
      <c r="D2120" t="str">
        <f>IFERROR(INDEX(tbl_input[집계키_청],ROW()-1),"")</f>
        <v/>
      </c>
    </row>
    <row r="2121" spans="1:4" x14ac:dyDescent="0.4">
      <c r="A2121" t="str">
        <f t="shared" si="66"/>
        <v/>
      </c>
      <c r="B2121" t="str">
        <f t="shared" si="67"/>
        <v/>
      </c>
      <c r="C2121" t="str">
        <f>IF(D2121="","",IF(COUNTIF($D$2:D2121,D2121)&gt;1,"",SUMIFS(tbl_input[필요수량],tbl_input[집계키_청],D2121)))</f>
        <v/>
      </c>
      <c r="D2121" t="str">
        <f>IFERROR(INDEX(tbl_input[집계키_청],ROW()-1),"")</f>
        <v/>
      </c>
    </row>
    <row r="2122" spans="1:4" x14ac:dyDescent="0.4">
      <c r="A2122" t="str">
        <f t="shared" si="66"/>
        <v/>
      </c>
      <c r="B2122" t="str">
        <f t="shared" si="67"/>
        <v/>
      </c>
      <c r="C2122" t="str">
        <f>IF(D2122="","",IF(COUNTIF($D$2:D2122,D2122)&gt;1,"",SUMIFS(tbl_input[필요수량],tbl_input[집계키_청],D2122)))</f>
        <v/>
      </c>
      <c r="D2122" t="str">
        <f>IFERROR(INDEX(tbl_input[집계키_청],ROW()-1),"")</f>
        <v/>
      </c>
    </row>
    <row r="2123" spans="1:4" x14ac:dyDescent="0.4">
      <c r="A2123" t="str">
        <f t="shared" si="66"/>
        <v/>
      </c>
      <c r="B2123" t="str">
        <f t="shared" si="67"/>
        <v/>
      </c>
      <c r="C2123" t="str">
        <f>IF(D2123="","",IF(COUNTIF($D$2:D2123,D2123)&gt;1,"",SUMIFS(tbl_input[필요수량],tbl_input[집계키_청],D2123)))</f>
        <v/>
      </c>
      <c r="D2123" t="str">
        <f>IFERROR(INDEX(tbl_input[집계키_청],ROW()-1),"")</f>
        <v/>
      </c>
    </row>
    <row r="2124" spans="1:4" x14ac:dyDescent="0.4">
      <c r="A2124" t="str">
        <f t="shared" si="66"/>
        <v/>
      </c>
      <c r="B2124" t="str">
        <f t="shared" si="67"/>
        <v/>
      </c>
      <c r="C2124" t="str">
        <f>IF(D2124="","",IF(COUNTIF($D$2:D2124,D2124)&gt;1,"",SUMIFS(tbl_input[필요수량],tbl_input[집계키_청],D2124)))</f>
        <v/>
      </c>
      <c r="D2124" t="str">
        <f>IFERROR(INDEX(tbl_input[집계키_청],ROW()-1),"")</f>
        <v/>
      </c>
    </row>
    <row r="2125" spans="1:4" x14ac:dyDescent="0.4">
      <c r="A2125" t="str">
        <f t="shared" si="66"/>
        <v/>
      </c>
      <c r="B2125" t="str">
        <f t="shared" si="67"/>
        <v/>
      </c>
      <c r="C2125" t="str">
        <f>IF(D2125="","",IF(COUNTIF($D$2:D2125,D2125)&gt;1,"",SUMIFS(tbl_input[필요수량],tbl_input[집계키_청],D2125)))</f>
        <v/>
      </c>
      <c r="D2125" t="str">
        <f>IFERROR(INDEX(tbl_input[집계키_청],ROW()-1),"")</f>
        <v/>
      </c>
    </row>
    <row r="2126" spans="1:4" x14ac:dyDescent="0.4">
      <c r="A2126" t="str">
        <f t="shared" si="66"/>
        <v/>
      </c>
      <c r="B2126" t="str">
        <f t="shared" si="67"/>
        <v/>
      </c>
      <c r="C2126" t="str">
        <f>IF(D2126="","",IF(COUNTIF($D$2:D2126,D2126)&gt;1,"",SUMIFS(tbl_input[필요수량],tbl_input[집계키_청],D2126)))</f>
        <v/>
      </c>
      <c r="D2126" t="str">
        <f>IFERROR(INDEX(tbl_input[집계키_청],ROW()-1),"")</f>
        <v/>
      </c>
    </row>
    <row r="2127" spans="1:4" x14ac:dyDescent="0.4">
      <c r="A2127" t="str">
        <f t="shared" si="66"/>
        <v/>
      </c>
      <c r="B2127" t="str">
        <f t="shared" si="67"/>
        <v/>
      </c>
      <c r="C2127" t="str">
        <f>IF(D2127="","",IF(COUNTIF($D$2:D2127,D2127)&gt;1,"",SUMIFS(tbl_input[필요수량],tbl_input[집계키_청],D2127)))</f>
        <v/>
      </c>
      <c r="D2127" t="str">
        <f>IFERROR(INDEX(tbl_input[집계키_청],ROW()-1),"")</f>
        <v/>
      </c>
    </row>
    <row r="2128" spans="1:4" x14ac:dyDescent="0.4">
      <c r="A2128" t="str">
        <f t="shared" si="66"/>
        <v/>
      </c>
      <c r="B2128" t="str">
        <f t="shared" si="67"/>
        <v/>
      </c>
      <c r="C2128" t="str">
        <f>IF(D2128="","",IF(COUNTIF($D$2:D2128,D2128)&gt;1,"",SUMIFS(tbl_input[필요수량],tbl_input[집계키_청],D2128)))</f>
        <v/>
      </c>
      <c r="D2128" t="str">
        <f>IFERROR(INDEX(tbl_input[집계키_청],ROW()-1),"")</f>
        <v/>
      </c>
    </row>
    <row r="2129" spans="1:4" x14ac:dyDescent="0.4">
      <c r="A2129" t="str">
        <f t="shared" si="66"/>
        <v/>
      </c>
      <c r="B2129" t="str">
        <f t="shared" si="67"/>
        <v/>
      </c>
      <c r="C2129" t="str">
        <f>IF(D2129="","",IF(COUNTIF($D$2:D2129,D2129)&gt;1,"",SUMIFS(tbl_input[필요수량],tbl_input[집계키_청],D2129)))</f>
        <v/>
      </c>
      <c r="D2129" t="str">
        <f>IFERROR(INDEX(tbl_input[집계키_청],ROW()-1),"")</f>
        <v/>
      </c>
    </row>
    <row r="2130" spans="1:4" x14ac:dyDescent="0.4">
      <c r="A2130" t="str">
        <f t="shared" si="66"/>
        <v/>
      </c>
      <c r="B2130" t="str">
        <f t="shared" si="67"/>
        <v/>
      </c>
      <c r="C2130" t="str">
        <f>IF(D2130="","",IF(COUNTIF($D$2:D2130,D2130)&gt;1,"",SUMIFS(tbl_input[필요수량],tbl_input[집계키_청],D2130)))</f>
        <v/>
      </c>
      <c r="D2130" t="str">
        <f>IFERROR(INDEX(tbl_input[집계키_청],ROW()-1),"")</f>
        <v/>
      </c>
    </row>
    <row r="2131" spans="1:4" x14ac:dyDescent="0.4">
      <c r="A2131" t="str">
        <f t="shared" si="66"/>
        <v/>
      </c>
      <c r="B2131" t="str">
        <f t="shared" si="67"/>
        <v/>
      </c>
      <c r="C2131" t="str">
        <f>IF(D2131="","",IF(COUNTIF($D$2:D2131,D2131)&gt;1,"",SUMIFS(tbl_input[필요수량],tbl_input[집계키_청],D2131)))</f>
        <v/>
      </c>
      <c r="D2131" t="str">
        <f>IFERROR(INDEX(tbl_input[집계키_청],ROW()-1),"")</f>
        <v/>
      </c>
    </row>
    <row r="2132" spans="1:4" x14ac:dyDescent="0.4">
      <c r="A2132" t="str">
        <f t="shared" si="66"/>
        <v/>
      </c>
      <c r="B2132" t="str">
        <f t="shared" si="67"/>
        <v/>
      </c>
      <c r="C2132" t="str">
        <f>IF(D2132="","",IF(COUNTIF($D$2:D2132,D2132)&gt;1,"",SUMIFS(tbl_input[필요수량],tbl_input[집계키_청],D2132)))</f>
        <v/>
      </c>
      <c r="D2132" t="str">
        <f>IFERROR(INDEX(tbl_input[집계키_청],ROW()-1),"")</f>
        <v/>
      </c>
    </row>
    <row r="2133" spans="1:4" x14ac:dyDescent="0.4">
      <c r="A2133" t="str">
        <f t="shared" si="66"/>
        <v/>
      </c>
      <c r="B2133" t="str">
        <f t="shared" si="67"/>
        <v/>
      </c>
      <c r="C2133" t="str">
        <f>IF(D2133="","",IF(COUNTIF($D$2:D2133,D2133)&gt;1,"",SUMIFS(tbl_input[필요수량],tbl_input[집계키_청],D2133)))</f>
        <v/>
      </c>
      <c r="D2133" t="str">
        <f>IFERROR(INDEX(tbl_input[집계키_청],ROW()-1),"")</f>
        <v/>
      </c>
    </row>
    <row r="2134" spans="1:4" x14ac:dyDescent="0.4">
      <c r="A2134" t="str">
        <f t="shared" si="66"/>
        <v/>
      </c>
      <c r="B2134" t="str">
        <f t="shared" si="67"/>
        <v/>
      </c>
      <c r="C2134" t="str">
        <f>IF(D2134="","",IF(COUNTIF($D$2:D2134,D2134)&gt;1,"",SUMIFS(tbl_input[필요수량],tbl_input[집계키_청],D2134)))</f>
        <v/>
      </c>
      <c r="D2134" t="str">
        <f>IFERROR(INDEX(tbl_input[집계키_청],ROW()-1),"")</f>
        <v/>
      </c>
    </row>
    <row r="2135" spans="1:4" x14ac:dyDescent="0.4">
      <c r="A2135" t="str">
        <f t="shared" si="66"/>
        <v/>
      </c>
      <c r="B2135" t="str">
        <f t="shared" si="67"/>
        <v/>
      </c>
      <c r="C2135" t="str">
        <f>IF(D2135="","",IF(COUNTIF($D$2:D2135,D2135)&gt;1,"",SUMIFS(tbl_input[필요수량],tbl_input[집계키_청],D2135)))</f>
        <v/>
      </c>
      <c r="D2135" t="str">
        <f>IFERROR(INDEX(tbl_input[집계키_청],ROW()-1),"")</f>
        <v/>
      </c>
    </row>
    <row r="2136" spans="1:4" x14ac:dyDescent="0.4">
      <c r="A2136" t="str">
        <f t="shared" si="66"/>
        <v/>
      </c>
      <c r="B2136" t="str">
        <f t="shared" si="67"/>
        <v/>
      </c>
      <c r="C2136" t="str">
        <f>IF(D2136="","",IF(COUNTIF($D$2:D2136,D2136)&gt;1,"",SUMIFS(tbl_input[필요수량],tbl_input[집계키_청],D2136)))</f>
        <v/>
      </c>
      <c r="D2136" t="str">
        <f>IFERROR(INDEX(tbl_input[집계키_청],ROW()-1),"")</f>
        <v/>
      </c>
    </row>
    <row r="2137" spans="1:4" x14ac:dyDescent="0.4">
      <c r="A2137" t="str">
        <f t="shared" si="66"/>
        <v/>
      </c>
      <c r="B2137" t="str">
        <f t="shared" si="67"/>
        <v/>
      </c>
      <c r="C2137" t="str">
        <f>IF(D2137="","",IF(COUNTIF($D$2:D2137,D2137)&gt;1,"",SUMIFS(tbl_input[필요수량],tbl_input[집계키_청],D2137)))</f>
        <v/>
      </c>
      <c r="D2137" t="str">
        <f>IFERROR(INDEX(tbl_input[집계키_청],ROW()-1),"")</f>
        <v/>
      </c>
    </row>
    <row r="2138" spans="1:4" x14ac:dyDescent="0.4">
      <c r="A2138" t="str">
        <f t="shared" si="66"/>
        <v/>
      </c>
      <c r="B2138" t="str">
        <f t="shared" si="67"/>
        <v/>
      </c>
      <c r="C2138" t="str">
        <f>IF(D2138="","",IF(COUNTIF($D$2:D2138,D2138)&gt;1,"",SUMIFS(tbl_input[필요수량],tbl_input[집계키_청],D2138)))</f>
        <v/>
      </c>
      <c r="D2138" t="str">
        <f>IFERROR(INDEX(tbl_input[집계키_청],ROW()-1),"")</f>
        <v/>
      </c>
    </row>
    <row r="2139" spans="1:4" x14ac:dyDescent="0.4">
      <c r="A2139" t="str">
        <f t="shared" si="66"/>
        <v/>
      </c>
      <c r="B2139" t="str">
        <f t="shared" si="67"/>
        <v/>
      </c>
      <c r="C2139" t="str">
        <f>IF(D2139="","",IF(COUNTIF($D$2:D2139,D2139)&gt;1,"",SUMIFS(tbl_input[필요수량],tbl_input[집계키_청],D2139)))</f>
        <v/>
      </c>
      <c r="D2139" t="str">
        <f>IFERROR(INDEX(tbl_input[집계키_청],ROW()-1),"")</f>
        <v/>
      </c>
    </row>
    <row r="2140" spans="1:4" x14ac:dyDescent="0.4">
      <c r="A2140" t="str">
        <f t="shared" si="66"/>
        <v/>
      </c>
      <c r="B2140" t="str">
        <f t="shared" si="67"/>
        <v/>
      </c>
      <c r="C2140" t="str">
        <f>IF(D2140="","",IF(COUNTIF($D$2:D2140,D2140)&gt;1,"",SUMIFS(tbl_input[필요수량],tbl_input[집계키_청],D2140)))</f>
        <v/>
      </c>
      <c r="D2140" t="str">
        <f>IFERROR(INDEX(tbl_input[집계키_청],ROW()-1),"")</f>
        <v/>
      </c>
    </row>
    <row r="2141" spans="1:4" x14ac:dyDescent="0.4">
      <c r="A2141" t="str">
        <f t="shared" si="66"/>
        <v/>
      </c>
      <c r="B2141" t="str">
        <f t="shared" si="67"/>
        <v/>
      </c>
      <c r="C2141" t="str">
        <f>IF(D2141="","",IF(COUNTIF($D$2:D2141,D2141)&gt;1,"",SUMIFS(tbl_input[필요수량],tbl_input[집계키_청],D2141)))</f>
        <v/>
      </c>
      <c r="D2141" t="str">
        <f>IFERROR(INDEX(tbl_input[집계키_청],ROW()-1),"")</f>
        <v/>
      </c>
    </row>
    <row r="2142" spans="1:4" x14ac:dyDescent="0.4">
      <c r="A2142" t="str">
        <f t="shared" si="66"/>
        <v/>
      </c>
      <c r="B2142" t="str">
        <f t="shared" si="67"/>
        <v/>
      </c>
      <c r="C2142" t="str">
        <f>IF(D2142="","",IF(COUNTIF($D$2:D2142,D2142)&gt;1,"",SUMIFS(tbl_input[필요수량],tbl_input[집계키_청],D2142)))</f>
        <v/>
      </c>
      <c r="D2142" t="str">
        <f>IFERROR(INDEX(tbl_input[집계키_청],ROW()-1),"")</f>
        <v/>
      </c>
    </row>
    <row r="2143" spans="1:4" x14ac:dyDescent="0.4">
      <c r="A2143" t="str">
        <f t="shared" si="66"/>
        <v/>
      </c>
      <c r="B2143" t="str">
        <f t="shared" si="67"/>
        <v/>
      </c>
      <c r="C2143" t="str">
        <f>IF(D2143="","",IF(COUNTIF($D$2:D2143,D2143)&gt;1,"",SUMIFS(tbl_input[필요수량],tbl_input[집계키_청],D2143)))</f>
        <v/>
      </c>
      <c r="D2143" t="str">
        <f>IFERROR(INDEX(tbl_input[집계키_청],ROW()-1),"")</f>
        <v/>
      </c>
    </row>
    <row r="2144" spans="1:4" x14ac:dyDescent="0.4">
      <c r="A2144" t="str">
        <f t="shared" si="66"/>
        <v/>
      </c>
      <c r="B2144" t="str">
        <f t="shared" si="67"/>
        <v/>
      </c>
      <c r="C2144" t="str">
        <f>IF(D2144="","",IF(COUNTIF($D$2:D2144,D2144)&gt;1,"",SUMIFS(tbl_input[필요수량],tbl_input[집계키_청],D2144)))</f>
        <v/>
      </c>
      <c r="D2144" t="str">
        <f>IFERROR(INDEX(tbl_input[집계키_청],ROW()-1),"")</f>
        <v/>
      </c>
    </row>
    <row r="2145" spans="1:4" x14ac:dyDescent="0.4">
      <c r="A2145" t="str">
        <f t="shared" si="66"/>
        <v/>
      </c>
      <c r="B2145" t="str">
        <f t="shared" si="67"/>
        <v/>
      </c>
      <c r="C2145" t="str">
        <f>IF(D2145="","",IF(COUNTIF($D$2:D2145,D2145)&gt;1,"",SUMIFS(tbl_input[필요수량],tbl_input[집계키_청],D2145)))</f>
        <v/>
      </c>
      <c r="D2145" t="str">
        <f>IFERROR(INDEX(tbl_input[집계키_청],ROW()-1),"")</f>
        <v/>
      </c>
    </row>
    <row r="2146" spans="1:4" x14ac:dyDescent="0.4">
      <c r="A2146" t="str">
        <f t="shared" si="66"/>
        <v/>
      </c>
      <c r="B2146" t="str">
        <f t="shared" si="67"/>
        <v/>
      </c>
      <c r="C2146" t="str">
        <f>IF(D2146="","",IF(COUNTIF($D$2:D2146,D2146)&gt;1,"",SUMIFS(tbl_input[필요수량],tbl_input[집계키_청],D2146)))</f>
        <v/>
      </c>
      <c r="D2146" t="str">
        <f>IFERROR(INDEX(tbl_input[집계키_청],ROW()-1),"")</f>
        <v/>
      </c>
    </row>
    <row r="2147" spans="1:4" x14ac:dyDescent="0.4">
      <c r="A2147" t="str">
        <f t="shared" si="66"/>
        <v/>
      </c>
      <c r="B2147" t="str">
        <f t="shared" si="67"/>
        <v/>
      </c>
      <c r="C2147" t="str">
        <f>IF(D2147="","",IF(COUNTIF($D$2:D2147,D2147)&gt;1,"",SUMIFS(tbl_input[필요수량],tbl_input[집계키_청],D2147)))</f>
        <v/>
      </c>
      <c r="D2147" t="str">
        <f>IFERROR(INDEX(tbl_input[집계키_청],ROW()-1),"")</f>
        <v/>
      </c>
    </row>
    <row r="2148" spans="1:4" x14ac:dyDescent="0.4">
      <c r="A2148" t="str">
        <f t="shared" si="66"/>
        <v/>
      </c>
      <c r="B2148" t="str">
        <f t="shared" si="67"/>
        <v/>
      </c>
      <c r="C2148" t="str">
        <f>IF(D2148="","",IF(COUNTIF($D$2:D2148,D2148)&gt;1,"",SUMIFS(tbl_input[필요수량],tbl_input[집계키_청],D2148)))</f>
        <v/>
      </c>
      <c r="D2148" t="str">
        <f>IFERROR(INDEX(tbl_input[집계키_청],ROW()-1),"")</f>
        <v/>
      </c>
    </row>
    <row r="2149" spans="1:4" x14ac:dyDescent="0.4">
      <c r="A2149" t="str">
        <f t="shared" si="66"/>
        <v/>
      </c>
      <c r="B2149" t="str">
        <f t="shared" si="67"/>
        <v/>
      </c>
      <c r="C2149" t="str">
        <f>IF(D2149="","",IF(COUNTIF($D$2:D2149,D2149)&gt;1,"",SUMIFS(tbl_input[필요수량],tbl_input[집계키_청],D2149)))</f>
        <v/>
      </c>
      <c r="D2149" t="str">
        <f>IFERROR(INDEX(tbl_input[집계키_청],ROW()-1),"")</f>
        <v/>
      </c>
    </row>
    <row r="2150" spans="1:4" x14ac:dyDescent="0.4">
      <c r="A2150" t="str">
        <f t="shared" si="66"/>
        <v/>
      </c>
      <c r="B2150" t="str">
        <f t="shared" si="67"/>
        <v/>
      </c>
      <c r="C2150" t="str">
        <f>IF(D2150="","",IF(COUNTIF($D$2:D2150,D2150)&gt;1,"",SUMIFS(tbl_input[필요수량],tbl_input[집계키_청],D2150)))</f>
        <v/>
      </c>
      <c r="D2150" t="str">
        <f>IFERROR(INDEX(tbl_input[집계키_청],ROW()-1),"")</f>
        <v/>
      </c>
    </row>
    <row r="2151" spans="1:4" x14ac:dyDescent="0.4">
      <c r="A2151" t="str">
        <f t="shared" si="66"/>
        <v/>
      </c>
      <c r="B2151" t="str">
        <f t="shared" si="67"/>
        <v/>
      </c>
      <c r="C2151" t="str">
        <f>IF(D2151="","",IF(COUNTIF($D$2:D2151,D2151)&gt;1,"",SUMIFS(tbl_input[필요수량],tbl_input[집계키_청],D2151)))</f>
        <v/>
      </c>
      <c r="D2151" t="str">
        <f>IFERROR(INDEX(tbl_input[집계키_청],ROW()-1),"")</f>
        <v/>
      </c>
    </row>
    <row r="2152" spans="1:4" x14ac:dyDescent="0.4">
      <c r="A2152" t="str">
        <f t="shared" si="66"/>
        <v/>
      </c>
      <c r="B2152" t="str">
        <f t="shared" si="67"/>
        <v/>
      </c>
      <c r="C2152" t="str">
        <f>IF(D2152="","",IF(COUNTIF($D$2:D2152,D2152)&gt;1,"",SUMIFS(tbl_input[필요수량],tbl_input[집계키_청],D2152)))</f>
        <v/>
      </c>
      <c r="D2152" t="str">
        <f>IFERROR(INDEX(tbl_input[집계키_청],ROW()-1),"")</f>
        <v/>
      </c>
    </row>
    <row r="2153" spans="1:4" x14ac:dyDescent="0.4">
      <c r="A2153" t="str">
        <f t="shared" si="66"/>
        <v/>
      </c>
      <c r="B2153" t="str">
        <f t="shared" si="67"/>
        <v/>
      </c>
      <c r="C2153" t="str">
        <f>IF(D2153="","",IF(COUNTIF($D$2:D2153,D2153)&gt;1,"",SUMIFS(tbl_input[필요수량],tbl_input[집계키_청],D2153)))</f>
        <v/>
      </c>
      <c r="D2153" t="str">
        <f>IFERROR(INDEX(tbl_input[집계키_청],ROW()-1),"")</f>
        <v/>
      </c>
    </row>
    <row r="2154" spans="1:4" x14ac:dyDescent="0.4">
      <c r="A2154" t="str">
        <f t="shared" si="66"/>
        <v/>
      </c>
      <c r="B2154" t="str">
        <f t="shared" si="67"/>
        <v/>
      </c>
      <c r="C2154" t="str">
        <f>IF(D2154="","",IF(COUNTIF($D$2:D2154,D2154)&gt;1,"",SUMIFS(tbl_input[필요수량],tbl_input[집계키_청],D2154)))</f>
        <v/>
      </c>
      <c r="D2154" t="str">
        <f>IFERROR(INDEX(tbl_input[집계키_청],ROW()-1),"")</f>
        <v/>
      </c>
    </row>
    <row r="2155" spans="1:4" x14ac:dyDescent="0.4">
      <c r="A2155" t="str">
        <f t="shared" si="66"/>
        <v/>
      </c>
      <c r="B2155" t="str">
        <f t="shared" si="67"/>
        <v/>
      </c>
      <c r="C2155" t="str">
        <f>IF(D2155="","",IF(COUNTIF($D$2:D2155,D2155)&gt;1,"",SUMIFS(tbl_input[필요수량],tbl_input[집계키_청],D2155)))</f>
        <v/>
      </c>
      <c r="D2155" t="str">
        <f>IFERROR(INDEX(tbl_input[집계키_청],ROW()-1),"")</f>
        <v/>
      </c>
    </row>
    <row r="2156" spans="1:4" x14ac:dyDescent="0.4">
      <c r="A2156" t="str">
        <f t="shared" si="66"/>
        <v/>
      </c>
      <c r="B2156" t="str">
        <f t="shared" si="67"/>
        <v/>
      </c>
      <c r="C2156" t="str">
        <f>IF(D2156="","",IF(COUNTIF($D$2:D2156,D2156)&gt;1,"",SUMIFS(tbl_input[필요수량],tbl_input[집계키_청],D2156)))</f>
        <v/>
      </c>
      <c r="D2156" t="str">
        <f>IFERROR(INDEX(tbl_input[집계키_청],ROW()-1),"")</f>
        <v/>
      </c>
    </row>
    <row r="2157" spans="1:4" x14ac:dyDescent="0.4">
      <c r="A2157" t="str">
        <f t="shared" si="66"/>
        <v/>
      </c>
      <c r="B2157" t="str">
        <f t="shared" si="67"/>
        <v/>
      </c>
      <c r="C2157" t="str">
        <f>IF(D2157="","",IF(COUNTIF($D$2:D2157,D2157)&gt;1,"",SUMIFS(tbl_input[필요수량],tbl_input[집계키_청],D2157)))</f>
        <v/>
      </c>
      <c r="D2157" t="str">
        <f>IFERROR(INDEX(tbl_input[집계키_청],ROW()-1),"")</f>
        <v/>
      </c>
    </row>
    <row r="2158" spans="1:4" x14ac:dyDescent="0.4">
      <c r="A2158" t="str">
        <f t="shared" si="66"/>
        <v/>
      </c>
      <c r="B2158" t="str">
        <f t="shared" si="67"/>
        <v/>
      </c>
      <c r="C2158" t="str">
        <f>IF(D2158="","",IF(COUNTIF($D$2:D2158,D2158)&gt;1,"",SUMIFS(tbl_input[필요수량],tbl_input[집계키_청],D2158)))</f>
        <v/>
      </c>
      <c r="D2158" t="str">
        <f>IFERROR(INDEX(tbl_input[집계키_청],ROW()-1),"")</f>
        <v/>
      </c>
    </row>
    <row r="2159" spans="1:4" x14ac:dyDescent="0.4">
      <c r="A2159" t="str">
        <f t="shared" si="66"/>
        <v/>
      </c>
      <c r="B2159" t="str">
        <f t="shared" si="67"/>
        <v/>
      </c>
      <c r="C2159" t="str">
        <f>IF(D2159="","",IF(COUNTIF($D$2:D2159,D2159)&gt;1,"",SUMIFS(tbl_input[필요수량],tbl_input[집계키_청],D2159)))</f>
        <v/>
      </c>
      <c r="D2159" t="str">
        <f>IFERROR(INDEX(tbl_input[집계키_청],ROW()-1),"")</f>
        <v/>
      </c>
    </row>
    <row r="2160" spans="1:4" x14ac:dyDescent="0.4">
      <c r="A2160" t="str">
        <f t="shared" si="66"/>
        <v/>
      </c>
      <c r="B2160" t="str">
        <f t="shared" si="67"/>
        <v/>
      </c>
      <c r="C2160" t="str">
        <f>IF(D2160="","",IF(COUNTIF($D$2:D2160,D2160)&gt;1,"",SUMIFS(tbl_input[필요수량],tbl_input[집계키_청],D2160)))</f>
        <v/>
      </c>
      <c r="D2160" t="str">
        <f>IFERROR(INDEX(tbl_input[집계키_청],ROW()-1),"")</f>
        <v/>
      </c>
    </row>
    <row r="2161" spans="1:4" x14ac:dyDescent="0.4">
      <c r="A2161" t="str">
        <f t="shared" si="66"/>
        <v/>
      </c>
      <c r="B2161" t="str">
        <f t="shared" si="67"/>
        <v/>
      </c>
      <c r="C2161" t="str">
        <f>IF(D2161="","",IF(COUNTIF($D$2:D2161,D2161)&gt;1,"",SUMIFS(tbl_input[필요수량],tbl_input[집계키_청],D2161)))</f>
        <v/>
      </c>
      <c r="D2161" t="str">
        <f>IFERROR(INDEX(tbl_input[집계키_청],ROW()-1),"")</f>
        <v/>
      </c>
    </row>
    <row r="2162" spans="1:4" x14ac:dyDescent="0.4">
      <c r="A2162" t="str">
        <f t="shared" si="66"/>
        <v/>
      </c>
      <c r="B2162" t="str">
        <f t="shared" si="67"/>
        <v/>
      </c>
      <c r="C2162" t="str">
        <f>IF(D2162="","",IF(COUNTIF($D$2:D2162,D2162)&gt;1,"",SUMIFS(tbl_input[필요수량],tbl_input[집계키_청],D2162)))</f>
        <v/>
      </c>
      <c r="D2162" t="str">
        <f>IFERROR(INDEX(tbl_input[집계키_청],ROW()-1),"")</f>
        <v/>
      </c>
    </row>
    <row r="2163" spans="1:4" x14ac:dyDescent="0.4">
      <c r="A2163" t="str">
        <f t="shared" si="66"/>
        <v/>
      </c>
      <c r="B2163" t="str">
        <f t="shared" si="67"/>
        <v/>
      </c>
      <c r="C2163" t="str">
        <f>IF(D2163="","",IF(COUNTIF($D$2:D2163,D2163)&gt;1,"",SUMIFS(tbl_input[필요수량],tbl_input[집계키_청],D2163)))</f>
        <v/>
      </c>
      <c r="D2163" t="str">
        <f>IFERROR(INDEX(tbl_input[집계키_청],ROW()-1),"")</f>
        <v/>
      </c>
    </row>
    <row r="2164" spans="1:4" x14ac:dyDescent="0.4">
      <c r="A2164" t="str">
        <f t="shared" si="66"/>
        <v/>
      </c>
      <c r="B2164" t="str">
        <f t="shared" si="67"/>
        <v/>
      </c>
      <c r="C2164" t="str">
        <f>IF(D2164="","",IF(COUNTIF($D$2:D2164,D2164)&gt;1,"",SUMIFS(tbl_input[필요수량],tbl_input[집계키_청],D2164)))</f>
        <v/>
      </c>
      <c r="D2164" t="str">
        <f>IFERROR(INDEX(tbl_input[집계키_청],ROW()-1),"")</f>
        <v/>
      </c>
    </row>
    <row r="2165" spans="1:4" x14ac:dyDescent="0.4">
      <c r="A2165" t="str">
        <f t="shared" si="66"/>
        <v/>
      </c>
      <c r="B2165" t="str">
        <f t="shared" si="67"/>
        <v/>
      </c>
      <c r="C2165" t="str">
        <f>IF(D2165="","",IF(COUNTIF($D$2:D2165,D2165)&gt;1,"",SUMIFS(tbl_input[필요수량],tbl_input[집계키_청],D2165)))</f>
        <v/>
      </c>
      <c r="D2165" t="str">
        <f>IFERROR(INDEX(tbl_input[집계키_청],ROW()-1),"")</f>
        <v/>
      </c>
    </row>
    <row r="2166" spans="1:4" x14ac:dyDescent="0.4">
      <c r="A2166" t="str">
        <f t="shared" si="66"/>
        <v/>
      </c>
      <c r="B2166" t="str">
        <f t="shared" si="67"/>
        <v/>
      </c>
      <c r="C2166" t="str">
        <f>IF(D2166="","",IF(COUNTIF($D$2:D2166,D2166)&gt;1,"",SUMIFS(tbl_input[필요수량],tbl_input[집계키_청],D2166)))</f>
        <v/>
      </c>
      <c r="D2166" t="str">
        <f>IFERROR(INDEX(tbl_input[집계키_청],ROW()-1),"")</f>
        <v/>
      </c>
    </row>
    <row r="2167" spans="1:4" x14ac:dyDescent="0.4">
      <c r="A2167" t="str">
        <f t="shared" si="66"/>
        <v/>
      </c>
      <c r="B2167" t="str">
        <f t="shared" si="67"/>
        <v/>
      </c>
      <c r="C2167" t="str">
        <f>IF(D2167="","",IF(COUNTIF($D$2:D2167,D2167)&gt;1,"",SUMIFS(tbl_input[필요수량],tbl_input[집계키_청],D2167)))</f>
        <v/>
      </c>
      <c r="D2167" t="str">
        <f>IFERROR(INDEX(tbl_input[집계키_청],ROW()-1),"")</f>
        <v/>
      </c>
    </row>
    <row r="2168" spans="1:4" x14ac:dyDescent="0.4">
      <c r="A2168" t="str">
        <f t="shared" si="66"/>
        <v/>
      </c>
      <c r="B2168" t="str">
        <f t="shared" si="67"/>
        <v/>
      </c>
      <c r="C2168" t="str">
        <f>IF(D2168="","",IF(COUNTIF($D$2:D2168,D2168)&gt;1,"",SUMIFS(tbl_input[필요수량],tbl_input[집계키_청],D2168)))</f>
        <v/>
      </c>
      <c r="D2168" t="str">
        <f>IFERROR(INDEX(tbl_input[집계키_청],ROW()-1),"")</f>
        <v/>
      </c>
    </row>
    <row r="2169" spans="1:4" x14ac:dyDescent="0.4">
      <c r="A2169" t="str">
        <f t="shared" si="66"/>
        <v/>
      </c>
      <c r="B2169" t="str">
        <f t="shared" si="67"/>
        <v/>
      </c>
      <c r="C2169" t="str">
        <f>IF(D2169="","",IF(COUNTIF($D$2:D2169,D2169)&gt;1,"",SUMIFS(tbl_input[필요수량],tbl_input[집계키_청],D2169)))</f>
        <v/>
      </c>
      <c r="D2169" t="str">
        <f>IFERROR(INDEX(tbl_input[집계키_청],ROW()-1),"")</f>
        <v/>
      </c>
    </row>
    <row r="2170" spans="1:4" x14ac:dyDescent="0.4">
      <c r="A2170" t="str">
        <f t="shared" si="66"/>
        <v/>
      </c>
      <c r="B2170" t="str">
        <f t="shared" si="67"/>
        <v/>
      </c>
      <c r="C2170" t="str">
        <f>IF(D2170="","",IF(COUNTIF($D$2:D2170,D2170)&gt;1,"",SUMIFS(tbl_input[필요수량],tbl_input[집계키_청],D2170)))</f>
        <v/>
      </c>
      <c r="D2170" t="str">
        <f>IFERROR(INDEX(tbl_input[집계키_청],ROW()-1),"")</f>
        <v/>
      </c>
    </row>
    <row r="2171" spans="1:4" x14ac:dyDescent="0.4">
      <c r="A2171" t="str">
        <f t="shared" si="66"/>
        <v/>
      </c>
      <c r="B2171" t="str">
        <f t="shared" si="67"/>
        <v/>
      </c>
      <c r="C2171" t="str">
        <f>IF(D2171="","",IF(COUNTIF($D$2:D2171,D2171)&gt;1,"",SUMIFS(tbl_input[필요수량],tbl_input[집계키_청],D2171)))</f>
        <v/>
      </c>
      <c r="D2171" t="str">
        <f>IFERROR(INDEX(tbl_input[집계키_청],ROW()-1),"")</f>
        <v/>
      </c>
    </row>
    <row r="2172" spans="1:4" x14ac:dyDescent="0.4">
      <c r="A2172" t="str">
        <f t="shared" si="66"/>
        <v/>
      </c>
      <c r="B2172" t="str">
        <f t="shared" si="67"/>
        <v/>
      </c>
      <c r="C2172" t="str">
        <f>IF(D2172="","",IF(COUNTIF($D$2:D2172,D2172)&gt;1,"",SUMIFS(tbl_input[필요수량],tbl_input[집계키_청],D2172)))</f>
        <v/>
      </c>
      <c r="D2172" t="str">
        <f>IFERROR(INDEX(tbl_input[집계키_청],ROW()-1),"")</f>
        <v/>
      </c>
    </row>
    <row r="2173" spans="1:4" x14ac:dyDescent="0.4">
      <c r="A2173" t="str">
        <f t="shared" si="66"/>
        <v/>
      </c>
      <c r="B2173" t="str">
        <f t="shared" si="67"/>
        <v/>
      </c>
      <c r="C2173" t="str">
        <f>IF(D2173="","",IF(COUNTIF($D$2:D2173,D2173)&gt;1,"",SUMIFS(tbl_input[필요수량],tbl_input[집계키_청],D2173)))</f>
        <v/>
      </c>
      <c r="D2173" t="str">
        <f>IFERROR(INDEX(tbl_input[집계키_청],ROW()-1),"")</f>
        <v/>
      </c>
    </row>
    <row r="2174" spans="1:4" x14ac:dyDescent="0.4">
      <c r="A2174" t="str">
        <f t="shared" si="66"/>
        <v/>
      </c>
      <c r="B2174" t="str">
        <f t="shared" si="67"/>
        <v/>
      </c>
      <c r="C2174" t="str">
        <f>IF(D2174="","",IF(COUNTIF($D$2:D2174,D2174)&gt;1,"",SUMIFS(tbl_input[필요수량],tbl_input[집계키_청],D2174)))</f>
        <v/>
      </c>
      <c r="D2174" t="str">
        <f>IFERROR(INDEX(tbl_input[집계키_청],ROW()-1),"")</f>
        <v/>
      </c>
    </row>
    <row r="2175" spans="1:4" x14ac:dyDescent="0.4">
      <c r="A2175" t="str">
        <f t="shared" si="66"/>
        <v/>
      </c>
      <c r="B2175" t="str">
        <f t="shared" si="67"/>
        <v/>
      </c>
      <c r="C2175" t="str">
        <f>IF(D2175="","",IF(COUNTIF($D$2:D2175,D2175)&gt;1,"",SUMIFS(tbl_input[필요수량],tbl_input[집계키_청],D2175)))</f>
        <v/>
      </c>
      <c r="D2175" t="str">
        <f>IFERROR(INDEX(tbl_input[집계키_청],ROW()-1),"")</f>
        <v/>
      </c>
    </row>
    <row r="2176" spans="1:4" x14ac:dyDescent="0.4">
      <c r="A2176" t="str">
        <f t="shared" si="66"/>
        <v/>
      </c>
      <c r="B2176" t="str">
        <f t="shared" si="67"/>
        <v/>
      </c>
      <c r="C2176" t="str">
        <f>IF(D2176="","",IF(COUNTIF($D$2:D2176,D2176)&gt;1,"",SUMIFS(tbl_input[필요수량],tbl_input[집계키_청],D2176)))</f>
        <v/>
      </c>
      <c r="D2176" t="str">
        <f>IFERROR(INDEX(tbl_input[집계키_청],ROW()-1),"")</f>
        <v/>
      </c>
    </row>
    <row r="2177" spans="1:4" x14ac:dyDescent="0.4">
      <c r="A2177" t="str">
        <f t="shared" si="66"/>
        <v/>
      </c>
      <c r="B2177" t="str">
        <f t="shared" si="67"/>
        <v/>
      </c>
      <c r="C2177" t="str">
        <f>IF(D2177="","",IF(COUNTIF($D$2:D2177,D2177)&gt;1,"",SUMIFS(tbl_input[필요수량],tbl_input[집계키_청],D2177)))</f>
        <v/>
      </c>
      <c r="D2177" t="str">
        <f>IFERROR(INDEX(tbl_input[집계키_청],ROW()-1),"")</f>
        <v/>
      </c>
    </row>
    <row r="2178" spans="1:4" x14ac:dyDescent="0.4">
      <c r="A2178" t="str">
        <f t="shared" ref="A2178:A2241" si="68">IF(D2178="","",LEFT(D2178,FIND("♦",D2178)-1))</f>
        <v/>
      </c>
      <c r="B2178" t="str">
        <f t="shared" ref="B2178:B2241" si="69">IF(D2178="","",MID(D2178,FIND("♦",D2178)+1,999))</f>
        <v/>
      </c>
      <c r="C2178" t="str">
        <f>IF(D2178="","",IF(COUNTIF($D$2:D2178,D2178)&gt;1,"",SUMIFS(tbl_input[필요수량],tbl_input[집계키_청],D2178)))</f>
        <v/>
      </c>
      <c r="D2178" t="str">
        <f>IFERROR(INDEX(tbl_input[집계키_청],ROW()-1),"")</f>
        <v/>
      </c>
    </row>
    <row r="2179" spans="1:4" x14ac:dyDescent="0.4">
      <c r="A2179" t="str">
        <f t="shared" si="68"/>
        <v/>
      </c>
      <c r="B2179" t="str">
        <f t="shared" si="69"/>
        <v/>
      </c>
      <c r="C2179" t="str">
        <f>IF(D2179="","",IF(COUNTIF($D$2:D2179,D2179)&gt;1,"",SUMIFS(tbl_input[필요수량],tbl_input[집계키_청],D2179)))</f>
        <v/>
      </c>
      <c r="D2179" t="str">
        <f>IFERROR(INDEX(tbl_input[집계키_청],ROW()-1),"")</f>
        <v/>
      </c>
    </row>
    <row r="2180" spans="1:4" x14ac:dyDescent="0.4">
      <c r="A2180" t="str">
        <f t="shared" si="68"/>
        <v/>
      </c>
      <c r="B2180" t="str">
        <f t="shared" si="69"/>
        <v/>
      </c>
      <c r="C2180" t="str">
        <f>IF(D2180="","",IF(COUNTIF($D$2:D2180,D2180)&gt;1,"",SUMIFS(tbl_input[필요수량],tbl_input[집계키_청],D2180)))</f>
        <v/>
      </c>
      <c r="D2180" t="str">
        <f>IFERROR(INDEX(tbl_input[집계키_청],ROW()-1),"")</f>
        <v/>
      </c>
    </row>
    <row r="2181" spans="1:4" x14ac:dyDescent="0.4">
      <c r="A2181" t="str">
        <f t="shared" si="68"/>
        <v/>
      </c>
      <c r="B2181" t="str">
        <f t="shared" si="69"/>
        <v/>
      </c>
      <c r="C2181" t="str">
        <f>IF(D2181="","",IF(COUNTIF($D$2:D2181,D2181)&gt;1,"",SUMIFS(tbl_input[필요수량],tbl_input[집계키_청],D2181)))</f>
        <v/>
      </c>
      <c r="D2181" t="str">
        <f>IFERROR(INDEX(tbl_input[집계키_청],ROW()-1),"")</f>
        <v/>
      </c>
    </row>
    <row r="2182" spans="1:4" x14ac:dyDescent="0.4">
      <c r="A2182" t="str">
        <f t="shared" si="68"/>
        <v/>
      </c>
      <c r="B2182" t="str">
        <f t="shared" si="69"/>
        <v/>
      </c>
      <c r="C2182" t="str">
        <f>IF(D2182="","",IF(COUNTIF($D$2:D2182,D2182)&gt;1,"",SUMIFS(tbl_input[필요수량],tbl_input[집계키_청],D2182)))</f>
        <v/>
      </c>
      <c r="D2182" t="str">
        <f>IFERROR(INDEX(tbl_input[집계키_청],ROW()-1),"")</f>
        <v/>
      </c>
    </row>
    <row r="2183" spans="1:4" x14ac:dyDescent="0.4">
      <c r="A2183" t="str">
        <f t="shared" si="68"/>
        <v/>
      </c>
      <c r="B2183" t="str">
        <f t="shared" si="69"/>
        <v/>
      </c>
      <c r="C2183" t="str">
        <f>IF(D2183="","",IF(COUNTIF($D$2:D2183,D2183)&gt;1,"",SUMIFS(tbl_input[필요수량],tbl_input[집계키_청],D2183)))</f>
        <v/>
      </c>
      <c r="D2183" t="str">
        <f>IFERROR(INDEX(tbl_input[집계키_청],ROW()-1),"")</f>
        <v/>
      </c>
    </row>
    <row r="2184" spans="1:4" x14ac:dyDescent="0.4">
      <c r="A2184" t="str">
        <f t="shared" si="68"/>
        <v/>
      </c>
      <c r="B2184" t="str">
        <f t="shared" si="69"/>
        <v/>
      </c>
      <c r="C2184" t="str">
        <f>IF(D2184="","",IF(COUNTIF($D$2:D2184,D2184)&gt;1,"",SUMIFS(tbl_input[필요수량],tbl_input[집계키_청],D2184)))</f>
        <v/>
      </c>
      <c r="D2184" t="str">
        <f>IFERROR(INDEX(tbl_input[집계키_청],ROW()-1),"")</f>
        <v/>
      </c>
    </row>
    <row r="2185" spans="1:4" x14ac:dyDescent="0.4">
      <c r="A2185" t="str">
        <f t="shared" si="68"/>
        <v/>
      </c>
      <c r="B2185" t="str">
        <f t="shared" si="69"/>
        <v/>
      </c>
      <c r="C2185" t="str">
        <f>IF(D2185="","",IF(COUNTIF($D$2:D2185,D2185)&gt;1,"",SUMIFS(tbl_input[필요수량],tbl_input[집계키_청],D2185)))</f>
        <v/>
      </c>
      <c r="D2185" t="str">
        <f>IFERROR(INDEX(tbl_input[집계키_청],ROW()-1),"")</f>
        <v/>
      </c>
    </row>
    <row r="2186" spans="1:4" x14ac:dyDescent="0.4">
      <c r="A2186" t="str">
        <f t="shared" si="68"/>
        <v/>
      </c>
      <c r="B2186" t="str">
        <f t="shared" si="69"/>
        <v/>
      </c>
      <c r="C2186" t="str">
        <f>IF(D2186="","",IF(COUNTIF($D$2:D2186,D2186)&gt;1,"",SUMIFS(tbl_input[필요수량],tbl_input[집계키_청],D2186)))</f>
        <v/>
      </c>
      <c r="D2186" t="str">
        <f>IFERROR(INDEX(tbl_input[집계키_청],ROW()-1),"")</f>
        <v/>
      </c>
    </row>
    <row r="2187" spans="1:4" x14ac:dyDescent="0.4">
      <c r="A2187" t="str">
        <f t="shared" si="68"/>
        <v/>
      </c>
      <c r="B2187" t="str">
        <f t="shared" si="69"/>
        <v/>
      </c>
      <c r="C2187" t="str">
        <f>IF(D2187="","",IF(COUNTIF($D$2:D2187,D2187)&gt;1,"",SUMIFS(tbl_input[필요수량],tbl_input[집계키_청],D2187)))</f>
        <v/>
      </c>
      <c r="D2187" t="str">
        <f>IFERROR(INDEX(tbl_input[집계키_청],ROW()-1),"")</f>
        <v/>
      </c>
    </row>
    <row r="2188" spans="1:4" x14ac:dyDescent="0.4">
      <c r="A2188" t="str">
        <f t="shared" si="68"/>
        <v/>
      </c>
      <c r="B2188" t="str">
        <f t="shared" si="69"/>
        <v/>
      </c>
      <c r="C2188" t="str">
        <f>IF(D2188="","",IF(COUNTIF($D$2:D2188,D2188)&gt;1,"",SUMIFS(tbl_input[필요수량],tbl_input[집계키_청],D2188)))</f>
        <v/>
      </c>
      <c r="D2188" t="str">
        <f>IFERROR(INDEX(tbl_input[집계키_청],ROW()-1),"")</f>
        <v/>
      </c>
    </row>
    <row r="2189" spans="1:4" x14ac:dyDescent="0.4">
      <c r="A2189" t="str">
        <f t="shared" si="68"/>
        <v/>
      </c>
      <c r="B2189" t="str">
        <f t="shared" si="69"/>
        <v/>
      </c>
      <c r="C2189" t="str">
        <f>IF(D2189="","",IF(COUNTIF($D$2:D2189,D2189)&gt;1,"",SUMIFS(tbl_input[필요수량],tbl_input[집계키_청],D2189)))</f>
        <v/>
      </c>
      <c r="D2189" t="str">
        <f>IFERROR(INDEX(tbl_input[집계키_청],ROW()-1),"")</f>
        <v/>
      </c>
    </row>
    <row r="2190" spans="1:4" x14ac:dyDescent="0.4">
      <c r="A2190" t="str">
        <f t="shared" si="68"/>
        <v/>
      </c>
      <c r="B2190" t="str">
        <f t="shared" si="69"/>
        <v/>
      </c>
      <c r="C2190" t="str">
        <f>IF(D2190="","",IF(COUNTIF($D$2:D2190,D2190)&gt;1,"",SUMIFS(tbl_input[필요수량],tbl_input[집계키_청],D2190)))</f>
        <v/>
      </c>
      <c r="D2190" t="str">
        <f>IFERROR(INDEX(tbl_input[집계키_청],ROW()-1),"")</f>
        <v/>
      </c>
    </row>
    <row r="2191" spans="1:4" x14ac:dyDescent="0.4">
      <c r="A2191" t="str">
        <f t="shared" si="68"/>
        <v/>
      </c>
      <c r="B2191" t="str">
        <f t="shared" si="69"/>
        <v/>
      </c>
      <c r="C2191" t="str">
        <f>IF(D2191="","",IF(COUNTIF($D$2:D2191,D2191)&gt;1,"",SUMIFS(tbl_input[필요수량],tbl_input[집계키_청],D2191)))</f>
        <v/>
      </c>
      <c r="D2191" t="str">
        <f>IFERROR(INDEX(tbl_input[집계키_청],ROW()-1),"")</f>
        <v/>
      </c>
    </row>
    <row r="2192" spans="1:4" x14ac:dyDescent="0.4">
      <c r="A2192" t="str">
        <f t="shared" si="68"/>
        <v/>
      </c>
      <c r="B2192" t="str">
        <f t="shared" si="69"/>
        <v/>
      </c>
      <c r="C2192" t="str">
        <f>IF(D2192="","",IF(COUNTIF($D$2:D2192,D2192)&gt;1,"",SUMIFS(tbl_input[필요수량],tbl_input[집계키_청],D2192)))</f>
        <v/>
      </c>
      <c r="D2192" t="str">
        <f>IFERROR(INDEX(tbl_input[집계키_청],ROW()-1),"")</f>
        <v/>
      </c>
    </row>
    <row r="2193" spans="1:4" x14ac:dyDescent="0.4">
      <c r="A2193" t="str">
        <f t="shared" si="68"/>
        <v/>
      </c>
      <c r="B2193" t="str">
        <f t="shared" si="69"/>
        <v/>
      </c>
      <c r="C2193" t="str">
        <f>IF(D2193="","",IF(COUNTIF($D$2:D2193,D2193)&gt;1,"",SUMIFS(tbl_input[필요수량],tbl_input[집계키_청],D2193)))</f>
        <v/>
      </c>
      <c r="D2193" t="str">
        <f>IFERROR(INDEX(tbl_input[집계키_청],ROW()-1),"")</f>
        <v/>
      </c>
    </row>
    <row r="2194" spans="1:4" x14ac:dyDescent="0.4">
      <c r="A2194" t="str">
        <f t="shared" si="68"/>
        <v/>
      </c>
      <c r="B2194" t="str">
        <f t="shared" si="69"/>
        <v/>
      </c>
      <c r="C2194" t="str">
        <f>IF(D2194="","",IF(COUNTIF($D$2:D2194,D2194)&gt;1,"",SUMIFS(tbl_input[필요수량],tbl_input[집계키_청],D2194)))</f>
        <v/>
      </c>
      <c r="D2194" t="str">
        <f>IFERROR(INDEX(tbl_input[집계키_청],ROW()-1),"")</f>
        <v/>
      </c>
    </row>
    <row r="2195" spans="1:4" x14ac:dyDescent="0.4">
      <c r="A2195" t="str">
        <f t="shared" si="68"/>
        <v/>
      </c>
      <c r="B2195" t="str">
        <f t="shared" si="69"/>
        <v/>
      </c>
      <c r="C2195" t="str">
        <f>IF(D2195="","",IF(COUNTIF($D$2:D2195,D2195)&gt;1,"",SUMIFS(tbl_input[필요수량],tbl_input[집계키_청],D2195)))</f>
        <v/>
      </c>
      <c r="D2195" t="str">
        <f>IFERROR(INDEX(tbl_input[집계키_청],ROW()-1),"")</f>
        <v/>
      </c>
    </row>
    <row r="2196" spans="1:4" x14ac:dyDescent="0.4">
      <c r="A2196" t="str">
        <f t="shared" si="68"/>
        <v/>
      </c>
      <c r="B2196" t="str">
        <f t="shared" si="69"/>
        <v/>
      </c>
      <c r="C2196" t="str">
        <f>IF(D2196="","",IF(COUNTIF($D$2:D2196,D2196)&gt;1,"",SUMIFS(tbl_input[필요수량],tbl_input[집계키_청],D2196)))</f>
        <v/>
      </c>
      <c r="D2196" t="str">
        <f>IFERROR(INDEX(tbl_input[집계키_청],ROW()-1),"")</f>
        <v/>
      </c>
    </row>
    <row r="2197" spans="1:4" x14ac:dyDescent="0.4">
      <c r="A2197" t="str">
        <f t="shared" si="68"/>
        <v/>
      </c>
      <c r="B2197" t="str">
        <f t="shared" si="69"/>
        <v/>
      </c>
      <c r="C2197" t="str">
        <f>IF(D2197="","",IF(COUNTIF($D$2:D2197,D2197)&gt;1,"",SUMIFS(tbl_input[필요수량],tbl_input[집계키_청],D2197)))</f>
        <v/>
      </c>
      <c r="D2197" t="str">
        <f>IFERROR(INDEX(tbl_input[집계키_청],ROW()-1),"")</f>
        <v/>
      </c>
    </row>
    <row r="2198" spans="1:4" x14ac:dyDescent="0.4">
      <c r="A2198" t="str">
        <f t="shared" si="68"/>
        <v/>
      </c>
      <c r="B2198" t="str">
        <f t="shared" si="69"/>
        <v/>
      </c>
      <c r="C2198" t="str">
        <f>IF(D2198="","",IF(COUNTIF($D$2:D2198,D2198)&gt;1,"",SUMIFS(tbl_input[필요수량],tbl_input[집계키_청],D2198)))</f>
        <v/>
      </c>
      <c r="D2198" t="str">
        <f>IFERROR(INDEX(tbl_input[집계키_청],ROW()-1),"")</f>
        <v/>
      </c>
    </row>
    <row r="2199" spans="1:4" x14ac:dyDescent="0.4">
      <c r="A2199" t="str">
        <f t="shared" si="68"/>
        <v/>
      </c>
      <c r="B2199" t="str">
        <f t="shared" si="69"/>
        <v/>
      </c>
      <c r="C2199" t="str">
        <f>IF(D2199="","",IF(COUNTIF($D$2:D2199,D2199)&gt;1,"",SUMIFS(tbl_input[필요수량],tbl_input[집계키_청],D2199)))</f>
        <v/>
      </c>
      <c r="D2199" t="str">
        <f>IFERROR(INDEX(tbl_input[집계키_청],ROW()-1),"")</f>
        <v/>
      </c>
    </row>
    <row r="2200" spans="1:4" x14ac:dyDescent="0.4">
      <c r="A2200" t="str">
        <f t="shared" si="68"/>
        <v/>
      </c>
      <c r="B2200" t="str">
        <f t="shared" si="69"/>
        <v/>
      </c>
      <c r="C2200" t="str">
        <f>IF(D2200="","",IF(COUNTIF($D$2:D2200,D2200)&gt;1,"",SUMIFS(tbl_input[필요수량],tbl_input[집계키_청],D2200)))</f>
        <v/>
      </c>
      <c r="D2200" t="str">
        <f>IFERROR(INDEX(tbl_input[집계키_청],ROW()-1),"")</f>
        <v/>
      </c>
    </row>
    <row r="2201" spans="1:4" x14ac:dyDescent="0.4">
      <c r="A2201" t="str">
        <f t="shared" si="68"/>
        <v/>
      </c>
      <c r="B2201" t="str">
        <f t="shared" si="69"/>
        <v/>
      </c>
      <c r="C2201" t="str">
        <f>IF(D2201="","",IF(COUNTIF($D$2:D2201,D2201)&gt;1,"",SUMIFS(tbl_input[필요수량],tbl_input[집계키_청],D2201)))</f>
        <v/>
      </c>
      <c r="D2201" t="str">
        <f>IFERROR(INDEX(tbl_input[집계키_청],ROW()-1),"")</f>
        <v/>
      </c>
    </row>
    <row r="2202" spans="1:4" x14ac:dyDescent="0.4">
      <c r="A2202" t="str">
        <f t="shared" si="68"/>
        <v/>
      </c>
      <c r="B2202" t="str">
        <f t="shared" si="69"/>
        <v/>
      </c>
      <c r="C2202" t="str">
        <f>IF(D2202="","",IF(COUNTIF($D$2:D2202,D2202)&gt;1,"",SUMIFS(tbl_input[필요수량],tbl_input[집계키_청],D2202)))</f>
        <v/>
      </c>
      <c r="D2202" t="str">
        <f>IFERROR(INDEX(tbl_input[집계키_청],ROW()-1),"")</f>
        <v/>
      </c>
    </row>
    <row r="2203" spans="1:4" x14ac:dyDescent="0.4">
      <c r="A2203" t="str">
        <f t="shared" si="68"/>
        <v/>
      </c>
      <c r="B2203" t="str">
        <f t="shared" si="69"/>
        <v/>
      </c>
      <c r="C2203" t="str">
        <f>IF(D2203="","",IF(COUNTIF($D$2:D2203,D2203)&gt;1,"",SUMIFS(tbl_input[필요수량],tbl_input[집계키_청],D2203)))</f>
        <v/>
      </c>
      <c r="D2203" t="str">
        <f>IFERROR(INDEX(tbl_input[집계키_청],ROW()-1),"")</f>
        <v/>
      </c>
    </row>
    <row r="2204" spans="1:4" x14ac:dyDescent="0.4">
      <c r="A2204" t="str">
        <f t="shared" si="68"/>
        <v/>
      </c>
      <c r="B2204" t="str">
        <f t="shared" si="69"/>
        <v/>
      </c>
      <c r="C2204" t="str">
        <f>IF(D2204="","",IF(COUNTIF($D$2:D2204,D2204)&gt;1,"",SUMIFS(tbl_input[필요수량],tbl_input[집계키_청],D2204)))</f>
        <v/>
      </c>
      <c r="D2204" t="str">
        <f>IFERROR(INDEX(tbl_input[집계키_청],ROW()-1),"")</f>
        <v/>
      </c>
    </row>
    <row r="2205" spans="1:4" x14ac:dyDescent="0.4">
      <c r="A2205" t="str">
        <f t="shared" si="68"/>
        <v/>
      </c>
      <c r="B2205" t="str">
        <f t="shared" si="69"/>
        <v/>
      </c>
      <c r="C2205" t="str">
        <f>IF(D2205="","",IF(COUNTIF($D$2:D2205,D2205)&gt;1,"",SUMIFS(tbl_input[필요수량],tbl_input[집계키_청],D2205)))</f>
        <v/>
      </c>
      <c r="D2205" t="str">
        <f>IFERROR(INDEX(tbl_input[집계키_청],ROW()-1),"")</f>
        <v/>
      </c>
    </row>
    <row r="2206" spans="1:4" x14ac:dyDescent="0.4">
      <c r="A2206" t="str">
        <f t="shared" si="68"/>
        <v/>
      </c>
      <c r="B2206" t="str">
        <f t="shared" si="69"/>
        <v/>
      </c>
      <c r="C2206" t="str">
        <f>IF(D2206="","",IF(COUNTIF($D$2:D2206,D2206)&gt;1,"",SUMIFS(tbl_input[필요수량],tbl_input[집계키_청],D2206)))</f>
        <v/>
      </c>
      <c r="D2206" t="str">
        <f>IFERROR(INDEX(tbl_input[집계키_청],ROW()-1),"")</f>
        <v/>
      </c>
    </row>
    <row r="2207" spans="1:4" x14ac:dyDescent="0.4">
      <c r="A2207" t="str">
        <f t="shared" si="68"/>
        <v/>
      </c>
      <c r="B2207" t="str">
        <f t="shared" si="69"/>
        <v/>
      </c>
      <c r="C2207" t="str">
        <f>IF(D2207="","",IF(COUNTIF($D$2:D2207,D2207)&gt;1,"",SUMIFS(tbl_input[필요수량],tbl_input[집계키_청],D2207)))</f>
        <v/>
      </c>
      <c r="D2207" t="str">
        <f>IFERROR(INDEX(tbl_input[집계키_청],ROW()-1),"")</f>
        <v/>
      </c>
    </row>
    <row r="2208" spans="1:4" x14ac:dyDescent="0.4">
      <c r="A2208" t="str">
        <f t="shared" si="68"/>
        <v/>
      </c>
      <c r="B2208" t="str">
        <f t="shared" si="69"/>
        <v/>
      </c>
      <c r="C2208" t="str">
        <f>IF(D2208="","",IF(COUNTIF($D$2:D2208,D2208)&gt;1,"",SUMIFS(tbl_input[필요수량],tbl_input[집계키_청],D2208)))</f>
        <v/>
      </c>
      <c r="D2208" t="str">
        <f>IFERROR(INDEX(tbl_input[집계키_청],ROW()-1),"")</f>
        <v/>
      </c>
    </row>
    <row r="2209" spans="1:4" x14ac:dyDescent="0.4">
      <c r="A2209" t="str">
        <f t="shared" si="68"/>
        <v/>
      </c>
      <c r="B2209" t="str">
        <f t="shared" si="69"/>
        <v/>
      </c>
      <c r="C2209" t="str">
        <f>IF(D2209="","",IF(COUNTIF($D$2:D2209,D2209)&gt;1,"",SUMIFS(tbl_input[필요수량],tbl_input[집계키_청],D2209)))</f>
        <v/>
      </c>
      <c r="D2209" t="str">
        <f>IFERROR(INDEX(tbl_input[집계키_청],ROW()-1),"")</f>
        <v/>
      </c>
    </row>
    <row r="2210" spans="1:4" x14ac:dyDescent="0.4">
      <c r="A2210" t="str">
        <f t="shared" si="68"/>
        <v/>
      </c>
      <c r="B2210" t="str">
        <f t="shared" si="69"/>
        <v/>
      </c>
      <c r="C2210" t="str">
        <f>IF(D2210="","",IF(COUNTIF($D$2:D2210,D2210)&gt;1,"",SUMIFS(tbl_input[필요수량],tbl_input[집계키_청],D2210)))</f>
        <v/>
      </c>
      <c r="D2210" t="str">
        <f>IFERROR(INDEX(tbl_input[집계키_청],ROW()-1),"")</f>
        <v/>
      </c>
    </row>
    <row r="2211" spans="1:4" x14ac:dyDescent="0.4">
      <c r="A2211" t="str">
        <f t="shared" si="68"/>
        <v/>
      </c>
      <c r="B2211" t="str">
        <f t="shared" si="69"/>
        <v/>
      </c>
      <c r="C2211" t="str">
        <f>IF(D2211="","",IF(COUNTIF($D$2:D2211,D2211)&gt;1,"",SUMIFS(tbl_input[필요수량],tbl_input[집계키_청],D2211)))</f>
        <v/>
      </c>
      <c r="D2211" t="str">
        <f>IFERROR(INDEX(tbl_input[집계키_청],ROW()-1),"")</f>
        <v/>
      </c>
    </row>
    <row r="2212" spans="1:4" x14ac:dyDescent="0.4">
      <c r="A2212" t="str">
        <f t="shared" si="68"/>
        <v/>
      </c>
      <c r="B2212" t="str">
        <f t="shared" si="69"/>
        <v/>
      </c>
      <c r="C2212" t="str">
        <f>IF(D2212="","",IF(COUNTIF($D$2:D2212,D2212)&gt;1,"",SUMIFS(tbl_input[필요수량],tbl_input[집계키_청],D2212)))</f>
        <v/>
      </c>
      <c r="D2212" t="str">
        <f>IFERROR(INDEX(tbl_input[집계키_청],ROW()-1),"")</f>
        <v/>
      </c>
    </row>
    <row r="2213" spans="1:4" x14ac:dyDescent="0.4">
      <c r="A2213" t="str">
        <f t="shared" si="68"/>
        <v/>
      </c>
      <c r="B2213" t="str">
        <f t="shared" si="69"/>
        <v/>
      </c>
      <c r="C2213" t="str">
        <f>IF(D2213="","",IF(COUNTIF($D$2:D2213,D2213)&gt;1,"",SUMIFS(tbl_input[필요수량],tbl_input[집계키_청],D2213)))</f>
        <v/>
      </c>
      <c r="D2213" t="str">
        <f>IFERROR(INDEX(tbl_input[집계키_청],ROW()-1),"")</f>
        <v/>
      </c>
    </row>
    <row r="2214" spans="1:4" x14ac:dyDescent="0.4">
      <c r="A2214" t="str">
        <f t="shared" si="68"/>
        <v/>
      </c>
      <c r="B2214" t="str">
        <f t="shared" si="69"/>
        <v/>
      </c>
      <c r="C2214" t="str">
        <f>IF(D2214="","",IF(COUNTIF($D$2:D2214,D2214)&gt;1,"",SUMIFS(tbl_input[필요수량],tbl_input[집계키_청],D2214)))</f>
        <v/>
      </c>
      <c r="D2214" t="str">
        <f>IFERROR(INDEX(tbl_input[집계키_청],ROW()-1),"")</f>
        <v/>
      </c>
    </row>
    <row r="2215" spans="1:4" x14ac:dyDescent="0.4">
      <c r="A2215" t="str">
        <f t="shared" si="68"/>
        <v/>
      </c>
      <c r="B2215" t="str">
        <f t="shared" si="69"/>
        <v/>
      </c>
      <c r="C2215" t="str">
        <f>IF(D2215="","",IF(COUNTIF($D$2:D2215,D2215)&gt;1,"",SUMIFS(tbl_input[필요수량],tbl_input[집계키_청],D2215)))</f>
        <v/>
      </c>
      <c r="D2215" t="str">
        <f>IFERROR(INDEX(tbl_input[집계키_청],ROW()-1),"")</f>
        <v/>
      </c>
    </row>
    <row r="2216" spans="1:4" x14ac:dyDescent="0.4">
      <c r="A2216" t="str">
        <f t="shared" si="68"/>
        <v/>
      </c>
      <c r="B2216" t="str">
        <f t="shared" si="69"/>
        <v/>
      </c>
      <c r="C2216" t="str">
        <f>IF(D2216="","",IF(COUNTIF($D$2:D2216,D2216)&gt;1,"",SUMIFS(tbl_input[필요수량],tbl_input[집계키_청],D2216)))</f>
        <v/>
      </c>
      <c r="D2216" t="str">
        <f>IFERROR(INDEX(tbl_input[집계키_청],ROW()-1),"")</f>
        <v/>
      </c>
    </row>
    <row r="2217" spans="1:4" x14ac:dyDescent="0.4">
      <c r="A2217" t="str">
        <f t="shared" si="68"/>
        <v/>
      </c>
      <c r="B2217" t="str">
        <f t="shared" si="69"/>
        <v/>
      </c>
      <c r="C2217" t="str">
        <f>IF(D2217="","",IF(COUNTIF($D$2:D2217,D2217)&gt;1,"",SUMIFS(tbl_input[필요수량],tbl_input[집계키_청],D2217)))</f>
        <v/>
      </c>
      <c r="D2217" t="str">
        <f>IFERROR(INDEX(tbl_input[집계키_청],ROW()-1),"")</f>
        <v/>
      </c>
    </row>
    <row r="2218" spans="1:4" x14ac:dyDescent="0.4">
      <c r="A2218" t="str">
        <f t="shared" si="68"/>
        <v/>
      </c>
      <c r="B2218" t="str">
        <f t="shared" si="69"/>
        <v/>
      </c>
      <c r="C2218" t="str">
        <f>IF(D2218="","",IF(COUNTIF($D$2:D2218,D2218)&gt;1,"",SUMIFS(tbl_input[필요수량],tbl_input[집계키_청],D2218)))</f>
        <v/>
      </c>
      <c r="D2218" t="str">
        <f>IFERROR(INDEX(tbl_input[집계키_청],ROW()-1),"")</f>
        <v/>
      </c>
    </row>
    <row r="2219" spans="1:4" x14ac:dyDescent="0.4">
      <c r="A2219" t="str">
        <f t="shared" si="68"/>
        <v/>
      </c>
      <c r="B2219" t="str">
        <f t="shared" si="69"/>
        <v/>
      </c>
      <c r="C2219" t="str">
        <f>IF(D2219="","",IF(COUNTIF($D$2:D2219,D2219)&gt;1,"",SUMIFS(tbl_input[필요수량],tbl_input[집계키_청],D2219)))</f>
        <v/>
      </c>
      <c r="D2219" t="str">
        <f>IFERROR(INDEX(tbl_input[집계키_청],ROW()-1),"")</f>
        <v/>
      </c>
    </row>
    <row r="2220" spans="1:4" x14ac:dyDescent="0.4">
      <c r="A2220" t="str">
        <f t="shared" si="68"/>
        <v/>
      </c>
      <c r="B2220" t="str">
        <f t="shared" si="69"/>
        <v/>
      </c>
      <c r="C2220" t="str">
        <f>IF(D2220="","",IF(COUNTIF($D$2:D2220,D2220)&gt;1,"",SUMIFS(tbl_input[필요수량],tbl_input[집계키_청],D2220)))</f>
        <v/>
      </c>
      <c r="D2220" t="str">
        <f>IFERROR(INDEX(tbl_input[집계키_청],ROW()-1),"")</f>
        <v/>
      </c>
    </row>
    <row r="2221" spans="1:4" x14ac:dyDescent="0.4">
      <c r="A2221" t="str">
        <f t="shared" si="68"/>
        <v/>
      </c>
      <c r="B2221" t="str">
        <f t="shared" si="69"/>
        <v/>
      </c>
      <c r="C2221" t="str">
        <f>IF(D2221="","",IF(COUNTIF($D$2:D2221,D2221)&gt;1,"",SUMIFS(tbl_input[필요수량],tbl_input[집계키_청],D2221)))</f>
        <v/>
      </c>
      <c r="D2221" t="str">
        <f>IFERROR(INDEX(tbl_input[집계키_청],ROW()-1),"")</f>
        <v/>
      </c>
    </row>
    <row r="2222" spans="1:4" x14ac:dyDescent="0.4">
      <c r="A2222" t="str">
        <f t="shared" si="68"/>
        <v/>
      </c>
      <c r="B2222" t="str">
        <f t="shared" si="69"/>
        <v/>
      </c>
      <c r="C2222" t="str">
        <f>IF(D2222="","",IF(COUNTIF($D$2:D2222,D2222)&gt;1,"",SUMIFS(tbl_input[필요수량],tbl_input[집계키_청],D2222)))</f>
        <v/>
      </c>
      <c r="D2222" t="str">
        <f>IFERROR(INDEX(tbl_input[집계키_청],ROW()-1),"")</f>
        <v/>
      </c>
    </row>
    <row r="2223" spans="1:4" x14ac:dyDescent="0.4">
      <c r="A2223" t="str">
        <f t="shared" si="68"/>
        <v/>
      </c>
      <c r="B2223" t="str">
        <f t="shared" si="69"/>
        <v/>
      </c>
      <c r="C2223" t="str">
        <f>IF(D2223="","",IF(COUNTIF($D$2:D2223,D2223)&gt;1,"",SUMIFS(tbl_input[필요수량],tbl_input[집계키_청],D2223)))</f>
        <v/>
      </c>
      <c r="D2223" t="str">
        <f>IFERROR(INDEX(tbl_input[집계키_청],ROW()-1),"")</f>
        <v/>
      </c>
    </row>
    <row r="2224" spans="1:4" x14ac:dyDescent="0.4">
      <c r="A2224" t="str">
        <f t="shared" si="68"/>
        <v/>
      </c>
      <c r="B2224" t="str">
        <f t="shared" si="69"/>
        <v/>
      </c>
      <c r="C2224" t="str">
        <f>IF(D2224="","",IF(COUNTIF($D$2:D2224,D2224)&gt;1,"",SUMIFS(tbl_input[필요수량],tbl_input[집계키_청],D2224)))</f>
        <v/>
      </c>
      <c r="D2224" t="str">
        <f>IFERROR(INDEX(tbl_input[집계키_청],ROW()-1),"")</f>
        <v/>
      </c>
    </row>
    <row r="2225" spans="1:4" x14ac:dyDescent="0.4">
      <c r="A2225" t="str">
        <f t="shared" si="68"/>
        <v/>
      </c>
      <c r="B2225" t="str">
        <f t="shared" si="69"/>
        <v/>
      </c>
      <c r="C2225" t="str">
        <f>IF(D2225="","",IF(COUNTIF($D$2:D2225,D2225)&gt;1,"",SUMIFS(tbl_input[필요수량],tbl_input[집계키_청],D2225)))</f>
        <v/>
      </c>
      <c r="D2225" t="str">
        <f>IFERROR(INDEX(tbl_input[집계키_청],ROW()-1),"")</f>
        <v/>
      </c>
    </row>
    <row r="2226" spans="1:4" x14ac:dyDescent="0.4">
      <c r="A2226" t="str">
        <f t="shared" si="68"/>
        <v/>
      </c>
      <c r="B2226" t="str">
        <f t="shared" si="69"/>
        <v/>
      </c>
      <c r="C2226" t="str">
        <f>IF(D2226="","",IF(COUNTIF($D$2:D2226,D2226)&gt;1,"",SUMIFS(tbl_input[필요수량],tbl_input[집계키_청],D2226)))</f>
        <v/>
      </c>
      <c r="D2226" t="str">
        <f>IFERROR(INDEX(tbl_input[집계키_청],ROW()-1),"")</f>
        <v/>
      </c>
    </row>
    <row r="2227" spans="1:4" x14ac:dyDescent="0.4">
      <c r="A2227" t="str">
        <f t="shared" si="68"/>
        <v/>
      </c>
      <c r="B2227" t="str">
        <f t="shared" si="69"/>
        <v/>
      </c>
      <c r="C2227" t="str">
        <f>IF(D2227="","",IF(COUNTIF($D$2:D2227,D2227)&gt;1,"",SUMIFS(tbl_input[필요수량],tbl_input[집계키_청],D2227)))</f>
        <v/>
      </c>
      <c r="D2227" t="str">
        <f>IFERROR(INDEX(tbl_input[집계키_청],ROW()-1),"")</f>
        <v/>
      </c>
    </row>
    <row r="2228" spans="1:4" x14ac:dyDescent="0.4">
      <c r="A2228" t="str">
        <f t="shared" si="68"/>
        <v/>
      </c>
      <c r="B2228" t="str">
        <f t="shared" si="69"/>
        <v/>
      </c>
      <c r="C2228" t="str">
        <f>IF(D2228="","",IF(COUNTIF($D$2:D2228,D2228)&gt;1,"",SUMIFS(tbl_input[필요수량],tbl_input[집계키_청],D2228)))</f>
        <v/>
      </c>
      <c r="D2228" t="str">
        <f>IFERROR(INDEX(tbl_input[집계키_청],ROW()-1),"")</f>
        <v/>
      </c>
    </row>
    <row r="2229" spans="1:4" x14ac:dyDescent="0.4">
      <c r="A2229" t="str">
        <f t="shared" si="68"/>
        <v/>
      </c>
      <c r="B2229" t="str">
        <f t="shared" si="69"/>
        <v/>
      </c>
      <c r="C2229" t="str">
        <f>IF(D2229="","",IF(COUNTIF($D$2:D2229,D2229)&gt;1,"",SUMIFS(tbl_input[필요수량],tbl_input[집계키_청],D2229)))</f>
        <v/>
      </c>
      <c r="D2229" t="str">
        <f>IFERROR(INDEX(tbl_input[집계키_청],ROW()-1),"")</f>
        <v/>
      </c>
    </row>
    <row r="2230" spans="1:4" x14ac:dyDescent="0.4">
      <c r="A2230" t="str">
        <f t="shared" si="68"/>
        <v/>
      </c>
      <c r="B2230" t="str">
        <f t="shared" si="69"/>
        <v/>
      </c>
      <c r="C2230" t="str">
        <f>IF(D2230="","",IF(COUNTIF($D$2:D2230,D2230)&gt;1,"",SUMIFS(tbl_input[필요수량],tbl_input[집계키_청],D2230)))</f>
        <v/>
      </c>
      <c r="D2230" t="str">
        <f>IFERROR(INDEX(tbl_input[집계키_청],ROW()-1),"")</f>
        <v/>
      </c>
    </row>
    <row r="2231" spans="1:4" x14ac:dyDescent="0.4">
      <c r="A2231" t="str">
        <f t="shared" si="68"/>
        <v/>
      </c>
      <c r="B2231" t="str">
        <f t="shared" si="69"/>
        <v/>
      </c>
      <c r="C2231" t="str">
        <f>IF(D2231="","",IF(COUNTIF($D$2:D2231,D2231)&gt;1,"",SUMIFS(tbl_input[필요수량],tbl_input[집계키_청],D2231)))</f>
        <v/>
      </c>
      <c r="D2231" t="str">
        <f>IFERROR(INDEX(tbl_input[집계키_청],ROW()-1),"")</f>
        <v/>
      </c>
    </row>
    <row r="2232" spans="1:4" x14ac:dyDescent="0.4">
      <c r="A2232" t="str">
        <f t="shared" si="68"/>
        <v/>
      </c>
      <c r="B2232" t="str">
        <f t="shared" si="69"/>
        <v/>
      </c>
      <c r="C2232" t="str">
        <f>IF(D2232="","",IF(COUNTIF($D$2:D2232,D2232)&gt;1,"",SUMIFS(tbl_input[필요수량],tbl_input[집계키_청],D2232)))</f>
        <v/>
      </c>
      <c r="D2232" t="str">
        <f>IFERROR(INDEX(tbl_input[집계키_청],ROW()-1),"")</f>
        <v/>
      </c>
    </row>
    <row r="2233" spans="1:4" x14ac:dyDescent="0.4">
      <c r="A2233" t="str">
        <f t="shared" si="68"/>
        <v/>
      </c>
      <c r="B2233" t="str">
        <f t="shared" si="69"/>
        <v/>
      </c>
      <c r="C2233" t="str">
        <f>IF(D2233="","",IF(COUNTIF($D$2:D2233,D2233)&gt;1,"",SUMIFS(tbl_input[필요수량],tbl_input[집계키_청],D2233)))</f>
        <v/>
      </c>
      <c r="D2233" t="str">
        <f>IFERROR(INDEX(tbl_input[집계키_청],ROW()-1),"")</f>
        <v/>
      </c>
    </row>
    <row r="2234" spans="1:4" x14ac:dyDescent="0.4">
      <c r="A2234" t="str">
        <f t="shared" si="68"/>
        <v/>
      </c>
      <c r="B2234" t="str">
        <f t="shared" si="69"/>
        <v/>
      </c>
      <c r="C2234" t="str">
        <f>IF(D2234="","",IF(COUNTIF($D$2:D2234,D2234)&gt;1,"",SUMIFS(tbl_input[필요수량],tbl_input[집계키_청],D2234)))</f>
        <v/>
      </c>
      <c r="D2234" t="str">
        <f>IFERROR(INDEX(tbl_input[집계키_청],ROW()-1),"")</f>
        <v/>
      </c>
    </row>
    <row r="2235" spans="1:4" x14ac:dyDescent="0.4">
      <c r="A2235" t="str">
        <f t="shared" si="68"/>
        <v/>
      </c>
      <c r="B2235" t="str">
        <f t="shared" si="69"/>
        <v/>
      </c>
      <c r="C2235" t="str">
        <f>IF(D2235="","",IF(COUNTIF($D$2:D2235,D2235)&gt;1,"",SUMIFS(tbl_input[필요수량],tbl_input[집계키_청],D2235)))</f>
        <v/>
      </c>
      <c r="D2235" t="str">
        <f>IFERROR(INDEX(tbl_input[집계키_청],ROW()-1),"")</f>
        <v/>
      </c>
    </row>
    <row r="2236" spans="1:4" x14ac:dyDescent="0.4">
      <c r="A2236" t="str">
        <f t="shared" si="68"/>
        <v/>
      </c>
      <c r="B2236" t="str">
        <f t="shared" si="69"/>
        <v/>
      </c>
      <c r="C2236" t="str">
        <f>IF(D2236="","",IF(COUNTIF($D$2:D2236,D2236)&gt;1,"",SUMIFS(tbl_input[필요수량],tbl_input[집계키_청],D2236)))</f>
        <v/>
      </c>
      <c r="D2236" t="str">
        <f>IFERROR(INDEX(tbl_input[집계키_청],ROW()-1),"")</f>
        <v/>
      </c>
    </row>
    <row r="2237" spans="1:4" x14ac:dyDescent="0.4">
      <c r="A2237" t="str">
        <f t="shared" si="68"/>
        <v/>
      </c>
      <c r="B2237" t="str">
        <f t="shared" si="69"/>
        <v/>
      </c>
      <c r="C2237" t="str">
        <f>IF(D2237="","",IF(COUNTIF($D$2:D2237,D2237)&gt;1,"",SUMIFS(tbl_input[필요수량],tbl_input[집계키_청],D2237)))</f>
        <v/>
      </c>
      <c r="D2237" t="str">
        <f>IFERROR(INDEX(tbl_input[집계키_청],ROW()-1),"")</f>
        <v/>
      </c>
    </row>
    <row r="2238" spans="1:4" x14ac:dyDescent="0.4">
      <c r="A2238" t="str">
        <f t="shared" si="68"/>
        <v/>
      </c>
      <c r="B2238" t="str">
        <f t="shared" si="69"/>
        <v/>
      </c>
      <c r="C2238" t="str">
        <f>IF(D2238="","",IF(COUNTIF($D$2:D2238,D2238)&gt;1,"",SUMIFS(tbl_input[필요수량],tbl_input[집계키_청],D2238)))</f>
        <v/>
      </c>
      <c r="D2238" t="str">
        <f>IFERROR(INDEX(tbl_input[집계키_청],ROW()-1),"")</f>
        <v/>
      </c>
    </row>
    <row r="2239" spans="1:4" x14ac:dyDescent="0.4">
      <c r="A2239" t="str">
        <f t="shared" si="68"/>
        <v/>
      </c>
      <c r="B2239" t="str">
        <f t="shared" si="69"/>
        <v/>
      </c>
      <c r="C2239" t="str">
        <f>IF(D2239="","",IF(COUNTIF($D$2:D2239,D2239)&gt;1,"",SUMIFS(tbl_input[필요수량],tbl_input[집계키_청],D2239)))</f>
        <v/>
      </c>
      <c r="D2239" t="str">
        <f>IFERROR(INDEX(tbl_input[집계키_청],ROW()-1),"")</f>
        <v/>
      </c>
    </row>
    <row r="2240" spans="1:4" x14ac:dyDescent="0.4">
      <c r="A2240" t="str">
        <f t="shared" si="68"/>
        <v/>
      </c>
      <c r="B2240" t="str">
        <f t="shared" si="69"/>
        <v/>
      </c>
      <c r="C2240" t="str">
        <f>IF(D2240="","",IF(COUNTIF($D$2:D2240,D2240)&gt;1,"",SUMIFS(tbl_input[필요수량],tbl_input[집계키_청],D2240)))</f>
        <v/>
      </c>
      <c r="D2240" t="str">
        <f>IFERROR(INDEX(tbl_input[집계키_청],ROW()-1),"")</f>
        <v/>
      </c>
    </row>
    <row r="2241" spans="1:4" x14ac:dyDescent="0.4">
      <c r="A2241" t="str">
        <f t="shared" si="68"/>
        <v/>
      </c>
      <c r="B2241" t="str">
        <f t="shared" si="69"/>
        <v/>
      </c>
      <c r="C2241" t="str">
        <f>IF(D2241="","",IF(COUNTIF($D$2:D2241,D2241)&gt;1,"",SUMIFS(tbl_input[필요수량],tbl_input[집계키_청],D2241)))</f>
        <v/>
      </c>
      <c r="D2241" t="str">
        <f>IFERROR(INDEX(tbl_input[집계키_청],ROW()-1),"")</f>
        <v/>
      </c>
    </row>
    <row r="2242" spans="1:4" x14ac:dyDescent="0.4">
      <c r="A2242" t="str">
        <f t="shared" ref="A2242:A2305" si="70">IF(D2242="","",LEFT(D2242,FIND("♦",D2242)-1))</f>
        <v/>
      </c>
      <c r="B2242" t="str">
        <f t="shared" ref="B2242:B2305" si="71">IF(D2242="","",MID(D2242,FIND("♦",D2242)+1,999))</f>
        <v/>
      </c>
      <c r="C2242" t="str">
        <f>IF(D2242="","",IF(COUNTIF($D$2:D2242,D2242)&gt;1,"",SUMIFS(tbl_input[필요수량],tbl_input[집계키_청],D2242)))</f>
        <v/>
      </c>
      <c r="D2242" t="str">
        <f>IFERROR(INDEX(tbl_input[집계키_청],ROW()-1),"")</f>
        <v/>
      </c>
    </row>
    <row r="2243" spans="1:4" x14ac:dyDescent="0.4">
      <c r="A2243" t="str">
        <f t="shared" si="70"/>
        <v/>
      </c>
      <c r="B2243" t="str">
        <f t="shared" si="71"/>
        <v/>
      </c>
      <c r="C2243" t="str">
        <f>IF(D2243="","",IF(COUNTIF($D$2:D2243,D2243)&gt;1,"",SUMIFS(tbl_input[필요수량],tbl_input[집계키_청],D2243)))</f>
        <v/>
      </c>
      <c r="D2243" t="str">
        <f>IFERROR(INDEX(tbl_input[집계키_청],ROW()-1),"")</f>
        <v/>
      </c>
    </row>
    <row r="2244" spans="1:4" x14ac:dyDescent="0.4">
      <c r="A2244" t="str">
        <f t="shared" si="70"/>
        <v/>
      </c>
      <c r="B2244" t="str">
        <f t="shared" si="71"/>
        <v/>
      </c>
      <c r="C2244" t="str">
        <f>IF(D2244="","",IF(COUNTIF($D$2:D2244,D2244)&gt;1,"",SUMIFS(tbl_input[필요수량],tbl_input[집계키_청],D2244)))</f>
        <v/>
      </c>
      <c r="D2244" t="str">
        <f>IFERROR(INDEX(tbl_input[집계키_청],ROW()-1),"")</f>
        <v/>
      </c>
    </row>
    <row r="2245" spans="1:4" x14ac:dyDescent="0.4">
      <c r="A2245" t="str">
        <f t="shared" si="70"/>
        <v/>
      </c>
      <c r="B2245" t="str">
        <f t="shared" si="71"/>
        <v/>
      </c>
      <c r="C2245" t="str">
        <f>IF(D2245="","",IF(COUNTIF($D$2:D2245,D2245)&gt;1,"",SUMIFS(tbl_input[필요수량],tbl_input[집계키_청],D2245)))</f>
        <v/>
      </c>
      <c r="D2245" t="str">
        <f>IFERROR(INDEX(tbl_input[집계키_청],ROW()-1),"")</f>
        <v/>
      </c>
    </row>
    <row r="2246" spans="1:4" x14ac:dyDescent="0.4">
      <c r="A2246" t="str">
        <f t="shared" si="70"/>
        <v/>
      </c>
      <c r="B2246" t="str">
        <f t="shared" si="71"/>
        <v/>
      </c>
      <c r="C2246" t="str">
        <f>IF(D2246="","",IF(COUNTIF($D$2:D2246,D2246)&gt;1,"",SUMIFS(tbl_input[필요수량],tbl_input[집계키_청],D2246)))</f>
        <v/>
      </c>
      <c r="D2246" t="str">
        <f>IFERROR(INDEX(tbl_input[집계키_청],ROW()-1),"")</f>
        <v/>
      </c>
    </row>
    <row r="2247" spans="1:4" x14ac:dyDescent="0.4">
      <c r="A2247" t="str">
        <f t="shared" si="70"/>
        <v/>
      </c>
      <c r="B2247" t="str">
        <f t="shared" si="71"/>
        <v/>
      </c>
      <c r="C2247" t="str">
        <f>IF(D2247="","",IF(COUNTIF($D$2:D2247,D2247)&gt;1,"",SUMIFS(tbl_input[필요수량],tbl_input[집계키_청],D2247)))</f>
        <v/>
      </c>
      <c r="D2247" t="str">
        <f>IFERROR(INDEX(tbl_input[집계키_청],ROW()-1),"")</f>
        <v/>
      </c>
    </row>
    <row r="2248" spans="1:4" x14ac:dyDescent="0.4">
      <c r="A2248" t="str">
        <f t="shared" si="70"/>
        <v/>
      </c>
      <c r="B2248" t="str">
        <f t="shared" si="71"/>
        <v/>
      </c>
      <c r="C2248" t="str">
        <f>IF(D2248="","",IF(COUNTIF($D$2:D2248,D2248)&gt;1,"",SUMIFS(tbl_input[필요수량],tbl_input[집계키_청],D2248)))</f>
        <v/>
      </c>
      <c r="D2248" t="str">
        <f>IFERROR(INDEX(tbl_input[집계키_청],ROW()-1),"")</f>
        <v/>
      </c>
    </row>
    <row r="2249" spans="1:4" x14ac:dyDescent="0.4">
      <c r="A2249" t="str">
        <f t="shared" si="70"/>
        <v/>
      </c>
      <c r="B2249" t="str">
        <f t="shared" si="71"/>
        <v/>
      </c>
      <c r="C2249" t="str">
        <f>IF(D2249="","",IF(COUNTIF($D$2:D2249,D2249)&gt;1,"",SUMIFS(tbl_input[필요수량],tbl_input[집계키_청],D2249)))</f>
        <v/>
      </c>
      <c r="D2249" t="str">
        <f>IFERROR(INDEX(tbl_input[집계키_청],ROW()-1),"")</f>
        <v/>
      </c>
    </row>
    <row r="2250" spans="1:4" x14ac:dyDescent="0.4">
      <c r="A2250" t="str">
        <f t="shared" si="70"/>
        <v/>
      </c>
      <c r="B2250" t="str">
        <f t="shared" si="71"/>
        <v/>
      </c>
      <c r="C2250" t="str">
        <f>IF(D2250="","",IF(COUNTIF($D$2:D2250,D2250)&gt;1,"",SUMIFS(tbl_input[필요수량],tbl_input[집계키_청],D2250)))</f>
        <v/>
      </c>
      <c r="D2250" t="str">
        <f>IFERROR(INDEX(tbl_input[집계키_청],ROW()-1),"")</f>
        <v/>
      </c>
    </row>
    <row r="2251" spans="1:4" x14ac:dyDescent="0.4">
      <c r="A2251" t="str">
        <f t="shared" si="70"/>
        <v/>
      </c>
      <c r="B2251" t="str">
        <f t="shared" si="71"/>
        <v/>
      </c>
      <c r="C2251" t="str">
        <f>IF(D2251="","",IF(COUNTIF($D$2:D2251,D2251)&gt;1,"",SUMIFS(tbl_input[필요수량],tbl_input[집계키_청],D2251)))</f>
        <v/>
      </c>
      <c r="D2251" t="str">
        <f>IFERROR(INDEX(tbl_input[집계키_청],ROW()-1),"")</f>
        <v/>
      </c>
    </row>
    <row r="2252" spans="1:4" x14ac:dyDescent="0.4">
      <c r="A2252" t="str">
        <f t="shared" si="70"/>
        <v/>
      </c>
      <c r="B2252" t="str">
        <f t="shared" si="71"/>
        <v/>
      </c>
      <c r="C2252" t="str">
        <f>IF(D2252="","",IF(COUNTIF($D$2:D2252,D2252)&gt;1,"",SUMIFS(tbl_input[필요수량],tbl_input[집계키_청],D2252)))</f>
        <v/>
      </c>
      <c r="D2252" t="str">
        <f>IFERROR(INDEX(tbl_input[집계키_청],ROW()-1),"")</f>
        <v/>
      </c>
    </row>
    <row r="2253" spans="1:4" x14ac:dyDescent="0.4">
      <c r="A2253" t="str">
        <f t="shared" si="70"/>
        <v/>
      </c>
      <c r="B2253" t="str">
        <f t="shared" si="71"/>
        <v/>
      </c>
      <c r="C2253" t="str">
        <f>IF(D2253="","",IF(COUNTIF($D$2:D2253,D2253)&gt;1,"",SUMIFS(tbl_input[필요수량],tbl_input[집계키_청],D2253)))</f>
        <v/>
      </c>
      <c r="D2253" t="str">
        <f>IFERROR(INDEX(tbl_input[집계키_청],ROW()-1),"")</f>
        <v/>
      </c>
    </row>
    <row r="2254" spans="1:4" x14ac:dyDescent="0.4">
      <c r="A2254" t="str">
        <f t="shared" si="70"/>
        <v/>
      </c>
      <c r="B2254" t="str">
        <f t="shared" si="71"/>
        <v/>
      </c>
      <c r="C2254" t="str">
        <f>IF(D2254="","",IF(COUNTIF($D$2:D2254,D2254)&gt;1,"",SUMIFS(tbl_input[필요수량],tbl_input[집계키_청],D2254)))</f>
        <v/>
      </c>
      <c r="D2254" t="str">
        <f>IFERROR(INDEX(tbl_input[집계키_청],ROW()-1),"")</f>
        <v/>
      </c>
    </row>
    <row r="2255" spans="1:4" x14ac:dyDescent="0.4">
      <c r="A2255" t="str">
        <f t="shared" si="70"/>
        <v/>
      </c>
      <c r="B2255" t="str">
        <f t="shared" si="71"/>
        <v/>
      </c>
      <c r="C2255" t="str">
        <f>IF(D2255="","",IF(COUNTIF($D$2:D2255,D2255)&gt;1,"",SUMIFS(tbl_input[필요수량],tbl_input[집계키_청],D2255)))</f>
        <v/>
      </c>
      <c r="D2255" t="str">
        <f>IFERROR(INDEX(tbl_input[집계키_청],ROW()-1),"")</f>
        <v/>
      </c>
    </row>
    <row r="2256" spans="1:4" x14ac:dyDescent="0.4">
      <c r="A2256" t="str">
        <f t="shared" si="70"/>
        <v/>
      </c>
      <c r="B2256" t="str">
        <f t="shared" si="71"/>
        <v/>
      </c>
      <c r="C2256" t="str">
        <f>IF(D2256="","",IF(COUNTIF($D$2:D2256,D2256)&gt;1,"",SUMIFS(tbl_input[필요수량],tbl_input[집계키_청],D2256)))</f>
        <v/>
      </c>
      <c r="D2256" t="str">
        <f>IFERROR(INDEX(tbl_input[집계키_청],ROW()-1),"")</f>
        <v/>
      </c>
    </row>
    <row r="2257" spans="1:4" x14ac:dyDescent="0.4">
      <c r="A2257" t="str">
        <f t="shared" si="70"/>
        <v/>
      </c>
      <c r="B2257" t="str">
        <f t="shared" si="71"/>
        <v/>
      </c>
      <c r="C2257" t="str">
        <f>IF(D2257="","",IF(COUNTIF($D$2:D2257,D2257)&gt;1,"",SUMIFS(tbl_input[필요수량],tbl_input[집계키_청],D2257)))</f>
        <v/>
      </c>
      <c r="D2257" t="str">
        <f>IFERROR(INDEX(tbl_input[집계키_청],ROW()-1),"")</f>
        <v/>
      </c>
    </row>
    <row r="2258" spans="1:4" x14ac:dyDescent="0.4">
      <c r="A2258" t="str">
        <f t="shared" si="70"/>
        <v/>
      </c>
      <c r="B2258" t="str">
        <f t="shared" si="71"/>
        <v/>
      </c>
      <c r="C2258" t="str">
        <f>IF(D2258="","",IF(COUNTIF($D$2:D2258,D2258)&gt;1,"",SUMIFS(tbl_input[필요수량],tbl_input[집계키_청],D2258)))</f>
        <v/>
      </c>
      <c r="D2258" t="str">
        <f>IFERROR(INDEX(tbl_input[집계키_청],ROW()-1),"")</f>
        <v/>
      </c>
    </row>
    <row r="2259" spans="1:4" x14ac:dyDescent="0.4">
      <c r="A2259" t="str">
        <f t="shared" si="70"/>
        <v/>
      </c>
      <c r="B2259" t="str">
        <f t="shared" si="71"/>
        <v/>
      </c>
      <c r="C2259" t="str">
        <f>IF(D2259="","",IF(COUNTIF($D$2:D2259,D2259)&gt;1,"",SUMIFS(tbl_input[필요수량],tbl_input[집계키_청],D2259)))</f>
        <v/>
      </c>
      <c r="D2259" t="str">
        <f>IFERROR(INDEX(tbl_input[집계키_청],ROW()-1),"")</f>
        <v/>
      </c>
    </row>
    <row r="2260" spans="1:4" x14ac:dyDescent="0.4">
      <c r="A2260" t="str">
        <f t="shared" si="70"/>
        <v/>
      </c>
      <c r="B2260" t="str">
        <f t="shared" si="71"/>
        <v/>
      </c>
      <c r="C2260" t="str">
        <f>IF(D2260="","",IF(COUNTIF($D$2:D2260,D2260)&gt;1,"",SUMIFS(tbl_input[필요수량],tbl_input[집계키_청],D2260)))</f>
        <v/>
      </c>
      <c r="D2260" t="str">
        <f>IFERROR(INDEX(tbl_input[집계키_청],ROW()-1),"")</f>
        <v/>
      </c>
    </row>
    <row r="2261" spans="1:4" x14ac:dyDescent="0.4">
      <c r="A2261" t="str">
        <f t="shared" si="70"/>
        <v/>
      </c>
      <c r="B2261" t="str">
        <f t="shared" si="71"/>
        <v/>
      </c>
      <c r="C2261" t="str">
        <f>IF(D2261="","",IF(COUNTIF($D$2:D2261,D2261)&gt;1,"",SUMIFS(tbl_input[필요수량],tbl_input[집계키_청],D2261)))</f>
        <v/>
      </c>
      <c r="D2261" t="str">
        <f>IFERROR(INDEX(tbl_input[집계키_청],ROW()-1),"")</f>
        <v/>
      </c>
    </row>
    <row r="2262" spans="1:4" x14ac:dyDescent="0.4">
      <c r="A2262" t="str">
        <f t="shared" si="70"/>
        <v/>
      </c>
      <c r="B2262" t="str">
        <f t="shared" si="71"/>
        <v/>
      </c>
      <c r="C2262" t="str">
        <f>IF(D2262="","",IF(COUNTIF($D$2:D2262,D2262)&gt;1,"",SUMIFS(tbl_input[필요수량],tbl_input[집계키_청],D2262)))</f>
        <v/>
      </c>
      <c r="D2262" t="str">
        <f>IFERROR(INDEX(tbl_input[집계키_청],ROW()-1),"")</f>
        <v/>
      </c>
    </row>
    <row r="2263" spans="1:4" x14ac:dyDescent="0.4">
      <c r="A2263" t="str">
        <f t="shared" si="70"/>
        <v/>
      </c>
      <c r="B2263" t="str">
        <f t="shared" si="71"/>
        <v/>
      </c>
      <c r="C2263" t="str">
        <f>IF(D2263="","",IF(COUNTIF($D$2:D2263,D2263)&gt;1,"",SUMIFS(tbl_input[필요수량],tbl_input[집계키_청],D2263)))</f>
        <v/>
      </c>
      <c r="D2263" t="str">
        <f>IFERROR(INDEX(tbl_input[집계키_청],ROW()-1),"")</f>
        <v/>
      </c>
    </row>
    <row r="2264" spans="1:4" x14ac:dyDescent="0.4">
      <c r="A2264" t="str">
        <f t="shared" si="70"/>
        <v/>
      </c>
      <c r="B2264" t="str">
        <f t="shared" si="71"/>
        <v/>
      </c>
      <c r="C2264" t="str">
        <f>IF(D2264="","",IF(COUNTIF($D$2:D2264,D2264)&gt;1,"",SUMIFS(tbl_input[필요수량],tbl_input[집계키_청],D2264)))</f>
        <v/>
      </c>
      <c r="D2264" t="str">
        <f>IFERROR(INDEX(tbl_input[집계키_청],ROW()-1),"")</f>
        <v/>
      </c>
    </row>
    <row r="2265" spans="1:4" x14ac:dyDescent="0.4">
      <c r="A2265" t="str">
        <f t="shared" si="70"/>
        <v/>
      </c>
      <c r="B2265" t="str">
        <f t="shared" si="71"/>
        <v/>
      </c>
      <c r="C2265" t="str">
        <f>IF(D2265="","",IF(COUNTIF($D$2:D2265,D2265)&gt;1,"",SUMIFS(tbl_input[필요수량],tbl_input[집계키_청],D2265)))</f>
        <v/>
      </c>
      <c r="D2265" t="str">
        <f>IFERROR(INDEX(tbl_input[집계키_청],ROW()-1),"")</f>
        <v/>
      </c>
    </row>
    <row r="2266" spans="1:4" x14ac:dyDescent="0.4">
      <c r="A2266" t="str">
        <f t="shared" si="70"/>
        <v/>
      </c>
      <c r="B2266" t="str">
        <f t="shared" si="71"/>
        <v/>
      </c>
      <c r="C2266" t="str">
        <f>IF(D2266="","",IF(COUNTIF($D$2:D2266,D2266)&gt;1,"",SUMIFS(tbl_input[필요수량],tbl_input[집계키_청],D2266)))</f>
        <v/>
      </c>
      <c r="D2266" t="str">
        <f>IFERROR(INDEX(tbl_input[집계키_청],ROW()-1),"")</f>
        <v/>
      </c>
    </row>
    <row r="2267" spans="1:4" x14ac:dyDescent="0.4">
      <c r="A2267" t="str">
        <f t="shared" si="70"/>
        <v/>
      </c>
      <c r="B2267" t="str">
        <f t="shared" si="71"/>
        <v/>
      </c>
      <c r="C2267" t="str">
        <f>IF(D2267="","",IF(COUNTIF($D$2:D2267,D2267)&gt;1,"",SUMIFS(tbl_input[필요수량],tbl_input[집계키_청],D2267)))</f>
        <v/>
      </c>
      <c r="D2267" t="str">
        <f>IFERROR(INDEX(tbl_input[집계키_청],ROW()-1),"")</f>
        <v/>
      </c>
    </row>
    <row r="2268" spans="1:4" x14ac:dyDescent="0.4">
      <c r="A2268" t="str">
        <f t="shared" si="70"/>
        <v/>
      </c>
      <c r="B2268" t="str">
        <f t="shared" si="71"/>
        <v/>
      </c>
      <c r="C2268" t="str">
        <f>IF(D2268="","",IF(COUNTIF($D$2:D2268,D2268)&gt;1,"",SUMIFS(tbl_input[필요수량],tbl_input[집계키_청],D2268)))</f>
        <v/>
      </c>
      <c r="D2268" t="str">
        <f>IFERROR(INDEX(tbl_input[집계키_청],ROW()-1),"")</f>
        <v/>
      </c>
    </row>
    <row r="2269" spans="1:4" x14ac:dyDescent="0.4">
      <c r="A2269" t="str">
        <f t="shared" si="70"/>
        <v/>
      </c>
      <c r="B2269" t="str">
        <f t="shared" si="71"/>
        <v/>
      </c>
      <c r="C2269" t="str">
        <f>IF(D2269="","",IF(COUNTIF($D$2:D2269,D2269)&gt;1,"",SUMIFS(tbl_input[필요수량],tbl_input[집계키_청],D2269)))</f>
        <v/>
      </c>
      <c r="D2269" t="str">
        <f>IFERROR(INDEX(tbl_input[집계키_청],ROW()-1),"")</f>
        <v/>
      </c>
    </row>
    <row r="2270" spans="1:4" x14ac:dyDescent="0.4">
      <c r="A2270" t="str">
        <f t="shared" si="70"/>
        <v/>
      </c>
      <c r="B2270" t="str">
        <f t="shared" si="71"/>
        <v/>
      </c>
      <c r="C2270" t="str">
        <f>IF(D2270="","",IF(COUNTIF($D$2:D2270,D2270)&gt;1,"",SUMIFS(tbl_input[필요수량],tbl_input[집계키_청],D2270)))</f>
        <v/>
      </c>
      <c r="D2270" t="str">
        <f>IFERROR(INDEX(tbl_input[집계키_청],ROW()-1),"")</f>
        <v/>
      </c>
    </row>
    <row r="2271" spans="1:4" x14ac:dyDescent="0.4">
      <c r="A2271" t="str">
        <f t="shared" si="70"/>
        <v/>
      </c>
      <c r="B2271" t="str">
        <f t="shared" si="71"/>
        <v/>
      </c>
      <c r="C2271" t="str">
        <f>IF(D2271="","",IF(COUNTIF($D$2:D2271,D2271)&gt;1,"",SUMIFS(tbl_input[필요수량],tbl_input[집계키_청],D2271)))</f>
        <v/>
      </c>
      <c r="D2271" t="str">
        <f>IFERROR(INDEX(tbl_input[집계키_청],ROW()-1),"")</f>
        <v/>
      </c>
    </row>
    <row r="2272" spans="1:4" x14ac:dyDescent="0.4">
      <c r="A2272" t="str">
        <f t="shared" si="70"/>
        <v/>
      </c>
      <c r="B2272" t="str">
        <f t="shared" si="71"/>
        <v/>
      </c>
      <c r="C2272" t="str">
        <f>IF(D2272="","",IF(COUNTIF($D$2:D2272,D2272)&gt;1,"",SUMIFS(tbl_input[필요수량],tbl_input[집계키_청],D2272)))</f>
        <v/>
      </c>
      <c r="D2272" t="str">
        <f>IFERROR(INDEX(tbl_input[집계키_청],ROW()-1),"")</f>
        <v/>
      </c>
    </row>
    <row r="2273" spans="1:4" x14ac:dyDescent="0.4">
      <c r="A2273" t="str">
        <f t="shared" si="70"/>
        <v/>
      </c>
      <c r="B2273" t="str">
        <f t="shared" si="71"/>
        <v/>
      </c>
      <c r="C2273" t="str">
        <f>IF(D2273="","",IF(COUNTIF($D$2:D2273,D2273)&gt;1,"",SUMIFS(tbl_input[필요수량],tbl_input[집계키_청],D2273)))</f>
        <v/>
      </c>
      <c r="D2273" t="str">
        <f>IFERROR(INDEX(tbl_input[집계키_청],ROW()-1),"")</f>
        <v/>
      </c>
    </row>
    <row r="2274" spans="1:4" x14ac:dyDescent="0.4">
      <c r="A2274" t="str">
        <f t="shared" si="70"/>
        <v/>
      </c>
      <c r="B2274" t="str">
        <f t="shared" si="71"/>
        <v/>
      </c>
      <c r="C2274" t="str">
        <f>IF(D2274="","",IF(COUNTIF($D$2:D2274,D2274)&gt;1,"",SUMIFS(tbl_input[필요수량],tbl_input[집계키_청],D2274)))</f>
        <v/>
      </c>
      <c r="D2274" t="str">
        <f>IFERROR(INDEX(tbl_input[집계키_청],ROW()-1),"")</f>
        <v/>
      </c>
    </row>
    <row r="2275" spans="1:4" x14ac:dyDescent="0.4">
      <c r="A2275" t="str">
        <f t="shared" si="70"/>
        <v/>
      </c>
      <c r="B2275" t="str">
        <f t="shared" si="71"/>
        <v/>
      </c>
      <c r="C2275" t="str">
        <f>IF(D2275="","",IF(COUNTIF($D$2:D2275,D2275)&gt;1,"",SUMIFS(tbl_input[필요수량],tbl_input[집계키_청],D2275)))</f>
        <v/>
      </c>
      <c r="D2275" t="str">
        <f>IFERROR(INDEX(tbl_input[집계키_청],ROW()-1),"")</f>
        <v/>
      </c>
    </row>
    <row r="2276" spans="1:4" x14ac:dyDescent="0.4">
      <c r="A2276" t="str">
        <f t="shared" si="70"/>
        <v/>
      </c>
      <c r="B2276" t="str">
        <f t="shared" si="71"/>
        <v/>
      </c>
      <c r="C2276" t="str">
        <f>IF(D2276="","",IF(COUNTIF($D$2:D2276,D2276)&gt;1,"",SUMIFS(tbl_input[필요수량],tbl_input[집계키_청],D2276)))</f>
        <v/>
      </c>
      <c r="D2276" t="str">
        <f>IFERROR(INDEX(tbl_input[집계키_청],ROW()-1),"")</f>
        <v/>
      </c>
    </row>
    <row r="2277" spans="1:4" x14ac:dyDescent="0.4">
      <c r="A2277" t="str">
        <f t="shared" si="70"/>
        <v/>
      </c>
      <c r="B2277" t="str">
        <f t="shared" si="71"/>
        <v/>
      </c>
      <c r="C2277" t="str">
        <f>IF(D2277="","",IF(COUNTIF($D$2:D2277,D2277)&gt;1,"",SUMIFS(tbl_input[필요수량],tbl_input[집계키_청],D2277)))</f>
        <v/>
      </c>
      <c r="D2277" t="str">
        <f>IFERROR(INDEX(tbl_input[집계키_청],ROW()-1),"")</f>
        <v/>
      </c>
    </row>
    <row r="2278" spans="1:4" x14ac:dyDescent="0.4">
      <c r="A2278" t="str">
        <f t="shared" si="70"/>
        <v/>
      </c>
      <c r="B2278" t="str">
        <f t="shared" si="71"/>
        <v/>
      </c>
      <c r="C2278" t="str">
        <f>IF(D2278="","",IF(COUNTIF($D$2:D2278,D2278)&gt;1,"",SUMIFS(tbl_input[필요수량],tbl_input[집계키_청],D2278)))</f>
        <v/>
      </c>
      <c r="D2278" t="str">
        <f>IFERROR(INDEX(tbl_input[집계키_청],ROW()-1),"")</f>
        <v/>
      </c>
    </row>
    <row r="2279" spans="1:4" x14ac:dyDescent="0.4">
      <c r="A2279" t="str">
        <f t="shared" si="70"/>
        <v/>
      </c>
      <c r="B2279" t="str">
        <f t="shared" si="71"/>
        <v/>
      </c>
      <c r="C2279" t="str">
        <f>IF(D2279="","",IF(COUNTIF($D$2:D2279,D2279)&gt;1,"",SUMIFS(tbl_input[필요수량],tbl_input[집계키_청],D2279)))</f>
        <v/>
      </c>
      <c r="D2279" t="str">
        <f>IFERROR(INDEX(tbl_input[집계키_청],ROW()-1),"")</f>
        <v/>
      </c>
    </row>
    <row r="2280" spans="1:4" x14ac:dyDescent="0.4">
      <c r="A2280" t="str">
        <f t="shared" si="70"/>
        <v/>
      </c>
      <c r="B2280" t="str">
        <f t="shared" si="71"/>
        <v/>
      </c>
      <c r="C2280" t="str">
        <f>IF(D2280="","",IF(COUNTIF($D$2:D2280,D2280)&gt;1,"",SUMIFS(tbl_input[필요수량],tbl_input[집계키_청],D2280)))</f>
        <v/>
      </c>
      <c r="D2280" t="str">
        <f>IFERROR(INDEX(tbl_input[집계키_청],ROW()-1),"")</f>
        <v/>
      </c>
    </row>
    <row r="2281" spans="1:4" x14ac:dyDescent="0.4">
      <c r="A2281" t="str">
        <f t="shared" si="70"/>
        <v/>
      </c>
      <c r="B2281" t="str">
        <f t="shared" si="71"/>
        <v/>
      </c>
      <c r="C2281" t="str">
        <f>IF(D2281="","",IF(COUNTIF($D$2:D2281,D2281)&gt;1,"",SUMIFS(tbl_input[필요수량],tbl_input[집계키_청],D2281)))</f>
        <v/>
      </c>
      <c r="D2281" t="str">
        <f>IFERROR(INDEX(tbl_input[집계키_청],ROW()-1),"")</f>
        <v/>
      </c>
    </row>
    <row r="2282" spans="1:4" x14ac:dyDescent="0.4">
      <c r="A2282" t="str">
        <f t="shared" si="70"/>
        <v/>
      </c>
      <c r="B2282" t="str">
        <f t="shared" si="71"/>
        <v/>
      </c>
      <c r="C2282" t="str">
        <f>IF(D2282="","",IF(COUNTIF($D$2:D2282,D2282)&gt;1,"",SUMIFS(tbl_input[필요수량],tbl_input[집계키_청],D2282)))</f>
        <v/>
      </c>
      <c r="D2282" t="str">
        <f>IFERROR(INDEX(tbl_input[집계키_청],ROW()-1),"")</f>
        <v/>
      </c>
    </row>
    <row r="2283" spans="1:4" x14ac:dyDescent="0.4">
      <c r="A2283" t="str">
        <f t="shared" si="70"/>
        <v/>
      </c>
      <c r="B2283" t="str">
        <f t="shared" si="71"/>
        <v/>
      </c>
      <c r="C2283" t="str">
        <f>IF(D2283="","",IF(COUNTIF($D$2:D2283,D2283)&gt;1,"",SUMIFS(tbl_input[필요수량],tbl_input[집계키_청],D2283)))</f>
        <v/>
      </c>
      <c r="D2283" t="str">
        <f>IFERROR(INDEX(tbl_input[집계키_청],ROW()-1),"")</f>
        <v/>
      </c>
    </row>
    <row r="2284" spans="1:4" x14ac:dyDescent="0.4">
      <c r="A2284" t="str">
        <f t="shared" si="70"/>
        <v/>
      </c>
      <c r="B2284" t="str">
        <f t="shared" si="71"/>
        <v/>
      </c>
      <c r="C2284" t="str">
        <f>IF(D2284="","",IF(COUNTIF($D$2:D2284,D2284)&gt;1,"",SUMIFS(tbl_input[필요수량],tbl_input[집계키_청],D2284)))</f>
        <v/>
      </c>
      <c r="D2284" t="str">
        <f>IFERROR(INDEX(tbl_input[집계키_청],ROW()-1),"")</f>
        <v/>
      </c>
    </row>
    <row r="2285" spans="1:4" x14ac:dyDescent="0.4">
      <c r="A2285" t="str">
        <f t="shared" si="70"/>
        <v/>
      </c>
      <c r="B2285" t="str">
        <f t="shared" si="71"/>
        <v/>
      </c>
      <c r="C2285" t="str">
        <f>IF(D2285="","",IF(COUNTIF($D$2:D2285,D2285)&gt;1,"",SUMIFS(tbl_input[필요수량],tbl_input[집계키_청],D2285)))</f>
        <v/>
      </c>
      <c r="D2285" t="str">
        <f>IFERROR(INDEX(tbl_input[집계키_청],ROW()-1),"")</f>
        <v/>
      </c>
    </row>
    <row r="2286" spans="1:4" x14ac:dyDescent="0.4">
      <c r="A2286" t="str">
        <f t="shared" si="70"/>
        <v/>
      </c>
      <c r="B2286" t="str">
        <f t="shared" si="71"/>
        <v/>
      </c>
      <c r="C2286" t="str">
        <f>IF(D2286="","",IF(COUNTIF($D$2:D2286,D2286)&gt;1,"",SUMIFS(tbl_input[필요수량],tbl_input[집계키_청],D2286)))</f>
        <v/>
      </c>
      <c r="D2286" t="str">
        <f>IFERROR(INDEX(tbl_input[집계키_청],ROW()-1),"")</f>
        <v/>
      </c>
    </row>
    <row r="2287" spans="1:4" x14ac:dyDescent="0.4">
      <c r="A2287" t="str">
        <f t="shared" si="70"/>
        <v/>
      </c>
      <c r="B2287" t="str">
        <f t="shared" si="71"/>
        <v/>
      </c>
      <c r="C2287" t="str">
        <f>IF(D2287="","",IF(COUNTIF($D$2:D2287,D2287)&gt;1,"",SUMIFS(tbl_input[필요수량],tbl_input[집계키_청],D2287)))</f>
        <v/>
      </c>
      <c r="D2287" t="str">
        <f>IFERROR(INDEX(tbl_input[집계키_청],ROW()-1),"")</f>
        <v/>
      </c>
    </row>
    <row r="2288" spans="1:4" x14ac:dyDescent="0.4">
      <c r="A2288" t="str">
        <f t="shared" si="70"/>
        <v/>
      </c>
      <c r="B2288" t="str">
        <f t="shared" si="71"/>
        <v/>
      </c>
      <c r="C2288" t="str">
        <f>IF(D2288="","",IF(COUNTIF($D$2:D2288,D2288)&gt;1,"",SUMIFS(tbl_input[필요수량],tbl_input[집계키_청],D2288)))</f>
        <v/>
      </c>
      <c r="D2288" t="str">
        <f>IFERROR(INDEX(tbl_input[집계키_청],ROW()-1),"")</f>
        <v/>
      </c>
    </row>
    <row r="2289" spans="1:4" x14ac:dyDescent="0.4">
      <c r="A2289" t="str">
        <f t="shared" si="70"/>
        <v/>
      </c>
      <c r="B2289" t="str">
        <f t="shared" si="71"/>
        <v/>
      </c>
      <c r="C2289" t="str">
        <f>IF(D2289="","",IF(COUNTIF($D$2:D2289,D2289)&gt;1,"",SUMIFS(tbl_input[필요수량],tbl_input[집계키_청],D2289)))</f>
        <v/>
      </c>
      <c r="D2289" t="str">
        <f>IFERROR(INDEX(tbl_input[집계키_청],ROW()-1),"")</f>
        <v/>
      </c>
    </row>
    <row r="2290" spans="1:4" x14ac:dyDescent="0.4">
      <c r="A2290" t="str">
        <f t="shared" si="70"/>
        <v/>
      </c>
      <c r="B2290" t="str">
        <f t="shared" si="71"/>
        <v/>
      </c>
      <c r="C2290" t="str">
        <f>IF(D2290="","",IF(COUNTIF($D$2:D2290,D2290)&gt;1,"",SUMIFS(tbl_input[필요수량],tbl_input[집계키_청],D2290)))</f>
        <v/>
      </c>
      <c r="D2290" t="str">
        <f>IFERROR(INDEX(tbl_input[집계키_청],ROW()-1),"")</f>
        <v/>
      </c>
    </row>
    <row r="2291" spans="1:4" x14ac:dyDescent="0.4">
      <c r="A2291" t="str">
        <f t="shared" si="70"/>
        <v/>
      </c>
      <c r="B2291" t="str">
        <f t="shared" si="71"/>
        <v/>
      </c>
      <c r="C2291" t="str">
        <f>IF(D2291="","",IF(COUNTIF($D$2:D2291,D2291)&gt;1,"",SUMIFS(tbl_input[필요수량],tbl_input[집계키_청],D2291)))</f>
        <v/>
      </c>
      <c r="D2291" t="str">
        <f>IFERROR(INDEX(tbl_input[집계키_청],ROW()-1),"")</f>
        <v/>
      </c>
    </row>
    <row r="2292" spans="1:4" x14ac:dyDescent="0.4">
      <c r="A2292" t="str">
        <f t="shared" si="70"/>
        <v/>
      </c>
      <c r="B2292" t="str">
        <f t="shared" si="71"/>
        <v/>
      </c>
      <c r="C2292" t="str">
        <f>IF(D2292="","",IF(COUNTIF($D$2:D2292,D2292)&gt;1,"",SUMIFS(tbl_input[필요수량],tbl_input[집계키_청],D2292)))</f>
        <v/>
      </c>
      <c r="D2292" t="str">
        <f>IFERROR(INDEX(tbl_input[집계키_청],ROW()-1),"")</f>
        <v/>
      </c>
    </row>
    <row r="2293" spans="1:4" x14ac:dyDescent="0.4">
      <c r="A2293" t="str">
        <f t="shared" si="70"/>
        <v/>
      </c>
      <c r="B2293" t="str">
        <f t="shared" si="71"/>
        <v/>
      </c>
      <c r="C2293" t="str">
        <f>IF(D2293="","",IF(COUNTIF($D$2:D2293,D2293)&gt;1,"",SUMIFS(tbl_input[필요수량],tbl_input[집계키_청],D2293)))</f>
        <v/>
      </c>
      <c r="D2293" t="str">
        <f>IFERROR(INDEX(tbl_input[집계키_청],ROW()-1),"")</f>
        <v/>
      </c>
    </row>
    <row r="2294" spans="1:4" x14ac:dyDescent="0.4">
      <c r="A2294" t="str">
        <f t="shared" si="70"/>
        <v/>
      </c>
      <c r="B2294" t="str">
        <f t="shared" si="71"/>
        <v/>
      </c>
      <c r="C2294" t="str">
        <f>IF(D2294="","",IF(COUNTIF($D$2:D2294,D2294)&gt;1,"",SUMIFS(tbl_input[필요수량],tbl_input[집계키_청],D2294)))</f>
        <v/>
      </c>
      <c r="D2294" t="str">
        <f>IFERROR(INDEX(tbl_input[집계키_청],ROW()-1),"")</f>
        <v/>
      </c>
    </row>
    <row r="2295" spans="1:4" x14ac:dyDescent="0.4">
      <c r="A2295" t="str">
        <f t="shared" si="70"/>
        <v/>
      </c>
      <c r="B2295" t="str">
        <f t="shared" si="71"/>
        <v/>
      </c>
      <c r="C2295" t="str">
        <f>IF(D2295="","",IF(COUNTIF($D$2:D2295,D2295)&gt;1,"",SUMIFS(tbl_input[필요수량],tbl_input[집계키_청],D2295)))</f>
        <v/>
      </c>
      <c r="D2295" t="str">
        <f>IFERROR(INDEX(tbl_input[집계키_청],ROW()-1),"")</f>
        <v/>
      </c>
    </row>
    <row r="2296" spans="1:4" x14ac:dyDescent="0.4">
      <c r="A2296" t="str">
        <f t="shared" si="70"/>
        <v/>
      </c>
      <c r="B2296" t="str">
        <f t="shared" si="71"/>
        <v/>
      </c>
      <c r="C2296" t="str">
        <f>IF(D2296="","",IF(COUNTIF($D$2:D2296,D2296)&gt;1,"",SUMIFS(tbl_input[필요수량],tbl_input[집계키_청],D2296)))</f>
        <v/>
      </c>
      <c r="D2296" t="str">
        <f>IFERROR(INDEX(tbl_input[집계키_청],ROW()-1),"")</f>
        <v/>
      </c>
    </row>
    <row r="2297" spans="1:4" x14ac:dyDescent="0.4">
      <c r="A2297" t="str">
        <f t="shared" si="70"/>
        <v/>
      </c>
      <c r="B2297" t="str">
        <f t="shared" si="71"/>
        <v/>
      </c>
      <c r="C2297" t="str">
        <f>IF(D2297="","",IF(COUNTIF($D$2:D2297,D2297)&gt;1,"",SUMIFS(tbl_input[필요수량],tbl_input[집계키_청],D2297)))</f>
        <v/>
      </c>
      <c r="D2297" t="str">
        <f>IFERROR(INDEX(tbl_input[집계키_청],ROW()-1),"")</f>
        <v/>
      </c>
    </row>
    <row r="2298" spans="1:4" x14ac:dyDescent="0.4">
      <c r="A2298" t="str">
        <f t="shared" si="70"/>
        <v/>
      </c>
      <c r="B2298" t="str">
        <f t="shared" si="71"/>
        <v/>
      </c>
      <c r="C2298" t="str">
        <f>IF(D2298="","",IF(COUNTIF($D$2:D2298,D2298)&gt;1,"",SUMIFS(tbl_input[필요수량],tbl_input[집계키_청],D2298)))</f>
        <v/>
      </c>
      <c r="D2298" t="str">
        <f>IFERROR(INDEX(tbl_input[집계키_청],ROW()-1),"")</f>
        <v/>
      </c>
    </row>
    <row r="2299" spans="1:4" x14ac:dyDescent="0.4">
      <c r="A2299" t="str">
        <f t="shared" si="70"/>
        <v/>
      </c>
      <c r="B2299" t="str">
        <f t="shared" si="71"/>
        <v/>
      </c>
      <c r="C2299" t="str">
        <f>IF(D2299="","",IF(COUNTIF($D$2:D2299,D2299)&gt;1,"",SUMIFS(tbl_input[필요수량],tbl_input[집계키_청],D2299)))</f>
        <v/>
      </c>
      <c r="D2299" t="str">
        <f>IFERROR(INDEX(tbl_input[집계키_청],ROW()-1),"")</f>
        <v/>
      </c>
    </row>
    <row r="2300" spans="1:4" x14ac:dyDescent="0.4">
      <c r="A2300" t="str">
        <f t="shared" si="70"/>
        <v/>
      </c>
      <c r="B2300" t="str">
        <f t="shared" si="71"/>
        <v/>
      </c>
      <c r="C2300" t="str">
        <f>IF(D2300="","",IF(COUNTIF($D$2:D2300,D2300)&gt;1,"",SUMIFS(tbl_input[필요수량],tbl_input[집계키_청],D2300)))</f>
        <v/>
      </c>
      <c r="D2300" t="str">
        <f>IFERROR(INDEX(tbl_input[집계키_청],ROW()-1),"")</f>
        <v/>
      </c>
    </row>
    <row r="2301" spans="1:4" x14ac:dyDescent="0.4">
      <c r="A2301" t="str">
        <f t="shared" si="70"/>
        <v/>
      </c>
      <c r="B2301" t="str">
        <f t="shared" si="71"/>
        <v/>
      </c>
      <c r="C2301" t="str">
        <f>IF(D2301="","",IF(COUNTIF($D$2:D2301,D2301)&gt;1,"",SUMIFS(tbl_input[필요수량],tbl_input[집계키_청],D2301)))</f>
        <v/>
      </c>
      <c r="D2301" t="str">
        <f>IFERROR(INDEX(tbl_input[집계키_청],ROW()-1),"")</f>
        <v/>
      </c>
    </row>
    <row r="2302" spans="1:4" x14ac:dyDescent="0.4">
      <c r="A2302" t="str">
        <f t="shared" si="70"/>
        <v/>
      </c>
      <c r="B2302" t="str">
        <f t="shared" si="71"/>
        <v/>
      </c>
      <c r="C2302" t="str">
        <f>IF(D2302="","",IF(COUNTIF($D$2:D2302,D2302)&gt;1,"",SUMIFS(tbl_input[필요수량],tbl_input[집계키_청],D2302)))</f>
        <v/>
      </c>
      <c r="D2302" t="str">
        <f>IFERROR(INDEX(tbl_input[집계키_청],ROW()-1),"")</f>
        <v/>
      </c>
    </row>
    <row r="2303" spans="1:4" x14ac:dyDescent="0.4">
      <c r="A2303" t="str">
        <f t="shared" si="70"/>
        <v/>
      </c>
      <c r="B2303" t="str">
        <f t="shared" si="71"/>
        <v/>
      </c>
      <c r="C2303" t="str">
        <f>IF(D2303="","",IF(COUNTIF($D$2:D2303,D2303)&gt;1,"",SUMIFS(tbl_input[필요수량],tbl_input[집계키_청],D2303)))</f>
        <v/>
      </c>
      <c r="D2303" t="str">
        <f>IFERROR(INDEX(tbl_input[집계키_청],ROW()-1),"")</f>
        <v/>
      </c>
    </row>
    <row r="2304" spans="1:4" x14ac:dyDescent="0.4">
      <c r="A2304" t="str">
        <f t="shared" si="70"/>
        <v/>
      </c>
      <c r="B2304" t="str">
        <f t="shared" si="71"/>
        <v/>
      </c>
      <c r="C2304" t="str">
        <f>IF(D2304="","",IF(COUNTIF($D$2:D2304,D2304)&gt;1,"",SUMIFS(tbl_input[필요수량],tbl_input[집계키_청],D2304)))</f>
        <v/>
      </c>
      <c r="D2304" t="str">
        <f>IFERROR(INDEX(tbl_input[집계키_청],ROW()-1),"")</f>
        <v/>
      </c>
    </row>
    <row r="2305" spans="1:4" x14ac:dyDescent="0.4">
      <c r="A2305" t="str">
        <f t="shared" si="70"/>
        <v/>
      </c>
      <c r="B2305" t="str">
        <f t="shared" si="71"/>
        <v/>
      </c>
      <c r="C2305" t="str">
        <f>IF(D2305="","",IF(COUNTIF($D$2:D2305,D2305)&gt;1,"",SUMIFS(tbl_input[필요수량],tbl_input[집계키_청],D2305)))</f>
        <v/>
      </c>
      <c r="D2305" t="str">
        <f>IFERROR(INDEX(tbl_input[집계키_청],ROW()-1),"")</f>
        <v/>
      </c>
    </row>
    <row r="2306" spans="1:4" x14ac:dyDescent="0.4">
      <c r="A2306" t="str">
        <f t="shared" ref="A2306:A2369" si="72">IF(D2306="","",LEFT(D2306,FIND("♦",D2306)-1))</f>
        <v/>
      </c>
      <c r="B2306" t="str">
        <f t="shared" ref="B2306:B2369" si="73">IF(D2306="","",MID(D2306,FIND("♦",D2306)+1,999))</f>
        <v/>
      </c>
      <c r="C2306" t="str">
        <f>IF(D2306="","",IF(COUNTIF($D$2:D2306,D2306)&gt;1,"",SUMIFS(tbl_input[필요수량],tbl_input[집계키_청],D2306)))</f>
        <v/>
      </c>
      <c r="D2306" t="str">
        <f>IFERROR(INDEX(tbl_input[집계키_청],ROW()-1),"")</f>
        <v/>
      </c>
    </row>
    <row r="2307" spans="1:4" x14ac:dyDescent="0.4">
      <c r="A2307" t="str">
        <f t="shared" si="72"/>
        <v/>
      </c>
      <c r="B2307" t="str">
        <f t="shared" si="73"/>
        <v/>
      </c>
      <c r="C2307" t="str">
        <f>IF(D2307="","",IF(COUNTIF($D$2:D2307,D2307)&gt;1,"",SUMIFS(tbl_input[필요수량],tbl_input[집계키_청],D2307)))</f>
        <v/>
      </c>
      <c r="D2307" t="str">
        <f>IFERROR(INDEX(tbl_input[집계키_청],ROW()-1),"")</f>
        <v/>
      </c>
    </row>
    <row r="2308" spans="1:4" x14ac:dyDescent="0.4">
      <c r="A2308" t="str">
        <f t="shared" si="72"/>
        <v/>
      </c>
      <c r="B2308" t="str">
        <f t="shared" si="73"/>
        <v/>
      </c>
      <c r="C2308" t="str">
        <f>IF(D2308="","",IF(COUNTIF($D$2:D2308,D2308)&gt;1,"",SUMIFS(tbl_input[필요수량],tbl_input[집계키_청],D2308)))</f>
        <v/>
      </c>
      <c r="D2308" t="str">
        <f>IFERROR(INDEX(tbl_input[집계키_청],ROW()-1),"")</f>
        <v/>
      </c>
    </row>
    <row r="2309" spans="1:4" x14ac:dyDescent="0.4">
      <c r="A2309" t="str">
        <f t="shared" si="72"/>
        <v/>
      </c>
      <c r="B2309" t="str">
        <f t="shared" si="73"/>
        <v/>
      </c>
      <c r="C2309" t="str">
        <f>IF(D2309="","",IF(COUNTIF($D$2:D2309,D2309)&gt;1,"",SUMIFS(tbl_input[필요수량],tbl_input[집계키_청],D2309)))</f>
        <v/>
      </c>
      <c r="D2309" t="str">
        <f>IFERROR(INDEX(tbl_input[집계키_청],ROW()-1),"")</f>
        <v/>
      </c>
    </row>
    <row r="2310" spans="1:4" x14ac:dyDescent="0.4">
      <c r="A2310" t="str">
        <f t="shared" si="72"/>
        <v/>
      </c>
      <c r="B2310" t="str">
        <f t="shared" si="73"/>
        <v/>
      </c>
      <c r="C2310" t="str">
        <f>IF(D2310="","",IF(COUNTIF($D$2:D2310,D2310)&gt;1,"",SUMIFS(tbl_input[필요수량],tbl_input[집계키_청],D2310)))</f>
        <v/>
      </c>
      <c r="D2310" t="str">
        <f>IFERROR(INDEX(tbl_input[집계키_청],ROW()-1),"")</f>
        <v/>
      </c>
    </row>
    <row r="2311" spans="1:4" x14ac:dyDescent="0.4">
      <c r="A2311" t="str">
        <f t="shared" si="72"/>
        <v/>
      </c>
      <c r="B2311" t="str">
        <f t="shared" si="73"/>
        <v/>
      </c>
      <c r="C2311" t="str">
        <f>IF(D2311="","",IF(COUNTIF($D$2:D2311,D2311)&gt;1,"",SUMIFS(tbl_input[필요수량],tbl_input[집계키_청],D2311)))</f>
        <v/>
      </c>
      <c r="D2311" t="str">
        <f>IFERROR(INDEX(tbl_input[집계키_청],ROW()-1),"")</f>
        <v/>
      </c>
    </row>
    <row r="2312" spans="1:4" x14ac:dyDescent="0.4">
      <c r="A2312" t="str">
        <f t="shared" si="72"/>
        <v/>
      </c>
      <c r="B2312" t="str">
        <f t="shared" si="73"/>
        <v/>
      </c>
      <c r="C2312" t="str">
        <f>IF(D2312="","",IF(COUNTIF($D$2:D2312,D2312)&gt;1,"",SUMIFS(tbl_input[필요수량],tbl_input[집계키_청],D2312)))</f>
        <v/>
      </c>
      <c r="D2312" t="str">
        <f>IFERROR(INDEX(tbl_input[집계키_청],ROW()-1),"")</f>
        <v/>
      </c>
    </row>
    <row r="2313" spans="1:4" x14ac:dyDescent="0.4">
      <c r="A2313" t="str">
        <f t="shared" si="72"/>
        <v/>
      </c>
      <c r="B2313" t="str">
        <f t="shared" si="73"/>
        <v/>
      </c>
      <c r="C2313" t="str">
        <f>IF(D2313="","",IF(COUNTIF($D$2:D2313,D2313)&gt;1,"",SUMIFS(tbl_input[필요수량],tbl_input[집계키_청],D2313)))</f>
        <v/>
      </c>
      <c r="D2313" t="str">
        <f>IFERROR(INDEX(tbl_input[집계키_청],ROW()-1),"")</f>
        <v/>
      </c>
    </row>
    <row r="2314" spans="1:4" x14ac:dyDescent="0.4">
      <c r="A2314" t="str">
        <f t="shared" si="72"/>
        <v/>
      </c>
      <c r="B2314" t="str">
        <f t="shared" si="73"/>
        <v/>
      </c>
      <c r="C2314" t="str">
        <f>IF(D2314="","",IF(COUNTIF($D$2:D2314,D2314)&gt;1,"",SUMIFS(tbl_input[필요수량],tbl_input[집계키_청],D2314)))</f>
        <v/>
      </c>
      <c r="D2314" t="str">
        <f>IFERROR(INDEX(tbl_input[집계키_청],ROW()-1),"")</f>
        <v/>
      </c>
    </row>
    <row r="2315" spans="1:4" x14ac:dyDescent="0.4">
      <c r="A2315" t="str">
        <f t="shared" si="72"/>
        <v/>
      </c>
      <c r="B2315" t="str">
        <f t="shared" si="73"/>
        <v/>
      </c>
      <c r="C2315" t="str">
        <f>IF(D2315="","",IF(COUNTIF($D$2:D2315,D2315)&gt;1,"",SUMIFS(tbl_input[필요수량],tbl_input[집계키_청],D2315)))</f>
        <v/>
      </c>
      <c r="D2315" t="str">
        <f>IFERROR(INDEX(tbl_input[집계키_청],ROW()-1),"")</f>
        <v/>
      </c>
    </row>
    <row r="2316" spans="1:4" x14ac:dyDescent="0.4">
      <c r="A2316" t="str">
        <f t="shared" si="72"/>
        <v/>
      </c>
      <c r="B2316" t="str">
        <f t="shared" si="73"/>
        <v/>
      </c>
      <c r="C2316" t="str">
        <f>IF(D2316="","",IF(COUNTIF($D$2:D2316,D2316)&gt;1,"",SUMIFS(tbl_input[필요수량],tbl_input[집계키_청],D2316)))</f>
        <v/>
      </c>
      <c r="D2316" t="str">
        <f>IFERROR(INDEX(tbl_input[집계키_청],ROW()-1),"")</f>
        <v/>
      </c>
    </row>
    <row r="2317" spans="1:4" x14ac:dyDescent="0.4">
      <c r="A2317" t="str">
        <f t="shared" si="72"/>
        <v/>
      </c>
      <c r="B2317" t="str">
        <f t="shared" si="73"/>
        <v/>
      </c>
      <c r="C2317" t="str">
        <f>IF(D2317="","",IF(COUNTIF($D$2:D2317,D2317)&gt;1,"",SUMIFS(tbl_input[필요수량],tbl_input[집계키_청],D2317)))</f>
        <v/>
      </c>
      <c r="D2317" t="str">
        <f>IFERROR(INDEX(tbl_input[집계키_청],ROW()-1),"")</f>
        <v/>
      </c>
    </row>
    <row r="2318" spans="1:4" x14ac:dyDescent="0.4">
      <c r="A2318" t="str">
        <f t="shared" si="72"/>
        <v/>
      </c>
      <c r="B2318" t="str">
        <f t="shared" si="73"/>
        <v/>
      </c>
      <c r="C2318" t="str">
        <f>IF(D2318="","",IF(COUNTIF($D$2:D2318,D2318)&gt;1,"",SUMIFS(tbl_input[필요수량],tbl_input[집계키_청],D2318)))</f>
        <v/>
      </c>
      <c r="D2318" t="str">
        <f>IFERROR(INDEX(tbl_input[집계키_청],ROW()-1),"")</f>
        <v/>
      </c>
    </row>
    <row r="2319" spans="1:4" x14ac:dyDescent="0.4">
      <c r="A2319" t="str">
        <f t="shared" si="72"/>
        <v/>
      </c>
      <c r="B2319" t="str">
        <f t="shared" si="73"/>
        <v/>
      </c>
      <c r="C2319" t="str">
        <f>IF(D2319="","",IF(COUNTIF($D$2:D2319,D2319)&gt;1,"",SUMIFS(tbl_input[필요수량],tbl_input[집계키_청],D2319)))</f>
        <v/>
      </c>
      <c r="D2319" t="str">
        <f>IFERROR(INDEX(tbl_input[집계키_청],ROW()-1),"")</f>
        <v/>
      </c>
    </row>
    <row r="2320" spans="1:4" x14ac:dyDescent="0.4">
      <c r="A2320" t="str">
        <f t="shared" si="72"/>
        <v/>
      </c>
      <c r="B2320" t="str">
        <f t="shared" si="73"/>
        <v/>
      </c>
      <c r="C2320" t="str">
        <f>IF(D2320="","",IF(COUNTIF($D$2:D2320,D2320)&gt;1,"",SUMIFS(tbl_input[필요수량],tbl_input[집계키_청],D2320)))</f>
        <v/>
      </c>
      <c r="D2320" t="str">
        <f>IFERROR(INDEX(tbl_input[집계키_청],ROW()-1),"")</f>
        <v/>
      </c>
    </row>
    <row r="2321" spans="1:4" x14ac:dyDescent="0.4">
      <c r="A2321" t="str">
        <f t="shared" si="72"/>
        <v/>
      </c>
      <c r="B2321" t="str">
        <f t="shared" si="73"/>
        <v/>
      </c>
      <c r="C2321" t="str">
        <f>IF(D2321="","",IF(COUNTIF($D$2:D2321,D2321)&gt;1,"",SUMIFS(tbl_input[필요수량],tbl_input[집계키_청],D2321)))</f>
        <v/>
      </c>
      <c r="D2321" t="str">
        <f>IFERROR(INDEX(tbl_input[집계키_청],ROW()-1),"")</f>
        <v/>
      </c>
    </row>
    <row r="2322" spans="1:4" x14ac:dyDescent="0.4">
      <c r="A2322" t="str">
        <f t="shared" si="72"/>
        <v/>
      </c>
      <c r="B2322" t="str">
        <f t="shared" si="73"/>
        <v/>
      </c>
      <c r="C2322" t="str">
        <f>IF(D2322="","",IF(COUNTIF($D$2:D2322,D2322)&gt;1,"",SUMIFS(tbl_input[필요수량],tbl_input[집계키_청],D2322)))</f>
        <v/>
      </c>
      <c r="D2322" t="str">
        <f>IFERROR(INDEX(tbl_input[집계키_청],ROW()-1),"")</f>
        <v/>
      </c>
    </row>
    <row r="2323" spans="1:4" x14ac:dyDescent="0.4">
      <c r="A2323" t="str">
        <f t="shared" si="72"/>
        <v/>
      </c>
      <c r="B2323" t="str">
        <f t="shared" si="73"/>
        <v/>
      </c>
      <c r="C2323" t="str">
        <f>IF(D2323="","",IF(COUNTIF($D$2:D2323,D2323)&gt;1,"",SUMIFS(tbl_input[필요수량],tbl_input[집계키_청],D2323)))</f>
        <v/>
      </c>
      <c r="D2323" t="str">
        <f>IFERROR(INDEX(tbl_input[집계키_청],ROW()-1),"")</f>
        <v/>
      </c>
    </row>
    <row r="2324" spans="1:4" x14ac:dyDescent="0.4">
      <c r="A2324" t="str">
        <f t="shared" si="72"/>
        <v/>
      </c>
      <c r="B2324" t="str">
        <f t="shared" si="73"/>
        <v/>
      </c>
      <c r="C2324" t="str">
        <f>IF(D2324="","",IF(COUNTIF($D$2:D2324,D2324)&gt;1,"",SUMIFS(tbl_input[필요수량],tbl_input[집계키_청],D2324)))</f>
        <v/>
      </c>
      <c r="D2324" t="str">
        <f>IFERROR(INDEX(tbl_input[집계키_청],ROW()-1),"")</f>
        <v/>
      </c>
    </row>
    <row r="2325" spans="1:4" x14ac:dyDescent="0.4">
      <c r="A2325" t="str">
        <f t="shared" si="72"/>
        <v/>
      </c>
      <c r="B2325" t="str">
        <f t="shared" si="73"/>
        <v/>
      </c>
      <c r="C2325" t="str">
        <f>IF(D2325="","",IF(COUNTIF($D$2:D2325,D2325)&gt;1,"",SUMIFS(tbl_input[필요수량],tbl_input[집계키_청],D2325)))</f>
        <v/>
      </c>
      <c r="D2325" t="str">
        <f>IFERROR(INDEX(tbl_input[집계키_청],ROW()-1),"")</f>
        <v/>
      </c>
    </row>
    <row r="2326" spans="1:4" x14ac:dyDescent="0.4">
      <c r="A2326" t="str">
        <f t="shared" si="72"/>
        <v/>
      </c>
      <c r="B2326" t="str">
        <f t="shared" si="73"/>
        <v/>
      </c>
      <c r="C2326" t="str">
        <f>IF(D2326="","",IF(COUNTIF($D$2:D2326,D2326)&gt;1,"",SUMIFS(tbl_input[필요수량],tbl_input[집계키_청],D2326)))</f>
        <v/>
      </c>
      <c r="D2326" t="str">
        <f>IFERROR(INDEX(tbl_input[집계키_청],ROW()-1),"")</f>
        <v/>
      </c>
    </row>
    <row r="2327" spans="1:4" x14ac:dyDescent="0.4">
      <c r="A2327" t="str">
        <f t="shared" si="72"/>
        <v/>
      </c>
      <c r="B2327" t="str">
        <f t="shared" si="73"/>
        <v/>
      </c>
      <c r="C2327" t="str">
        <f>IF(D2327="","",IF(COUNTIF($D$2:D2327,D2327)&gt;1,"",SUMIFS(tbl_input[필요수량],tbl_input[집계키_청],D2327)))</f>
        <v/>
      </c>
      <c r="D2327" t="str">
        <f>IFERROR(INDEX(tbl_input[집계키_청],ROW()-1),"")</f>
        <v/>
      </c>
    </row>
    <row r="2328" spans="1:4" x14ac:dyDescent="0.4">
      <c r="A2328" t="str">
        <f t="shared" si="72"/>
        <v/>
      </c>
      <c r="B2328" t="str">
        <f t="shared" si="73"/>
        <v/>
      </c>
      <c r="C2328" t="str">
        <f>IF(D2328="","",IF(COUNTIF($D$2:D2328,D2328)&gt;1,"",SUMIFS(tbl_input[필요수량],tbl_input[집계키_청],D2328)))</f>
        <v/>
      </c>
      <c r="D2328" t="str">
        <f>IFERROR(INDEX(tbl_input[집계키_청],ROW()-1),"")</f>
        <v/>
      </c>
    </row>
    <row r="2329" spans="1:4" x14ac:dyDescent="0.4">
      <c r="A2329" t="str">
        <f t="shared" si="72"/>
        <v/>
      </c>
      <c r="B2329" t="str">
        <f t="shared" si="73"/>
        <v/>
      </c>
      <c r="C2329" t="str">
        <f>IF(D2329="","",IF(COUNTIF($D$2:D2329,D2329)&gt;1,"",SUMIFS(tbl_input[필요수량],tbl_input[집계키_청],D2329)))</f>
        <v/>
      </c>
      <c r="D2329" t="str">
        <f>IFERROR(INDEX(tbl_input[집계키_청],ROW()-1),"")</f>
        <v/>
      </c>
    </row>
    <row r="2330" spans="1:4" x14ac:dyDescent="0.4">
      <c r="A2330" t="str">
        <f t="shared" si="72"/>
        <v/>
      </c>
      <c r="B2330" t="str">
        <f t="shared" si="73"/>
        <v/>
      </c>
      <c r="C2330" t="str">
        <f>IF(D2330="","",IF(COUNTIF($D$2:D2330,D2330)&gt;1,"",SUMIFS(tbl_input[필요수량],tbl_input[집계키_청],D2330)))</f>
        <v/>
      </c>
      <c r="D2330" t="str">
        <f>IFERROR(INDEX(tbl_input[집계키_청],ROW()-1),"")</f>
        <v/>
      </c>
    </row>
    <row r="2331" spans="1:4" x14ac:dyDescent="0.4">
      <c r="A2331" t="str">
        <f t="shared" si="72"/>
        <v/>
      </c>
      <c r="B2331" t="str">
        <f t="shared" si="73"/>
        <v/>
      </c>
      <c r="C2331" t="str">
        <f>IF(D2331="","",IF(COUNTIF($D$2:D2331,D2331)&gt;1,"",SUMIFS(tbl_input[필요수량],tbl_input[집계키_청],D2331)))</f>
        <v/>
      </c>
      <c r="D2331" t="str">
        <f>IFERROR(INDEX(tbl_input[집계키_청],ROW()-1),"")</f>
        <v/>
      </c>
    </row>
    <row r="2332" spans="1:4" x14ac:dyDescent="0.4">
      <c r="A2332" t="str">
        <f t="shared" si="72"/>
        <v/>
      </c>
      <c r="B2332" t="str">
        <f t="shared" si="73"/>
        <v/>
      </c>
      <c r="C2332" t="str">
        <f>IF(D2332="","",IF(COUNTIF($D$2:D2332,D2332)&gt;1,"",SUMIFS(tbl_input[필요수량],tbl_input[집계키_청],D2332)))</f>
        <v/>
      </c>
      <c r="D2332" t="str">
        <f>IFERROR(INDEX(tbl_input[집계키_청],ROW()-1),"")</f>
        <v/>
      </c>
    </row>
    <row r="2333" spans="1:4" x14ac:dyDescent="0.4">
      <c r="A2333" t="str">
        <f t="shared" si="72"/>
        <v/>
      </c>
      <c r="B2333" t="str">
        <f t="shared" si="73"/>
        <v/>
      </c>
      <c r="C2333" t="str">
        <f>IF(D2333="","",IF(COUNTIF($D$2:D2333,D2333)&gt;1,"",SUMIFS(tbl_input[필요수량],tbl_input[집계키_청],D2333)))</f>
        <v/>
      </c>
      <c r="D2333" t="str">
        <f>IFERROR(INDEX(tbl_input[집계키_청],ROW()-1),"")</f>
        <v/>
      </c>
    </row>
    <row r="2334" spans="1:4" x14ac:dyDescent="0.4">
      <c r="A2334" t="str">
        <f t="shared" si="72"/>
        <v/>
      </c>
      <c r="B2334" t="str">
        <f t="shared" si="73"/>
        <v/>
      </c>
      <c r="C2334" t="str">
        <f>IF(D2334="","",IF(COUNTIF($D$2:D2334,D2334)&gt;1,"",SUMIFS(tbl_input[필요수량],tbl_input[집계키_청],D2334)))</f>
        <v/>
      </c>
      <c r="D2334" t="str">
        <f>IFERROR(INDEX(tbl_input[집계키_청],ROW()-1),"")</f>
        <v/>
      </c>
    </row>
    <row r="2335" spans="1:4" x14ac:dyDescent="0.4">
      <c r="A2335" t="str">
        <f t="shared" si="72"/>
        <v/>
      </c>
      <c r="B2335" t="str">
        <f t="shared" si="73"/>
        <v/>
      </c>
      <c r="C2335" t="str">
        <f>IF(D2335="","",IF(COUNTIF($D$2:D2335,D2335)&gt;1,"",SUMIFS(tbl_input[필요수량],tbl_input[집계키_청],D2335)))</f>
        <v/>
      </c>
      <c r="D2335" t="str">
        <f>IFERROR(INDEX(tbl_input[집계키_청],ROW()-1),"")</f>
        <v/>
      </c>
    </row>
    <row r="2336" spans="1:4" x14ac:dyDescent="0.4">
      <c r="A2336" t="str">
        <f t="shared" si="72"/>
        <v/>
      </c>
      <c r="B2336" t="str">
        <f t="shared" si="73"/>
        <v/>
      </c>
      <c r="C2336" t="str">
        <f>IF(D2336="","",IF(COUNTIF($D$2:D2336,D2336)&gt;1,"",SUMIFS(tbl_input[필요수량],tbl_input[집계키_청],D2336)))</f>
        <v/>
      </c>
      <c r="D2336" t="str">
        <f>IFERROR(INDEX(tbl_input[집계키_청],ROW()-1),"")</f>
        <v/>
      </c>
    </row>
    <row r="2337" spans="1:4" x14ac:dyDescent="0.4">
      <c r="A2337" t="str">
        <f t="shared" si="72"/>
        <v/>
      </c>
      <c r="B2337" t="str">
        <f t="shared" si="73"/>
        <v/>
      </c>
      <c r="C2337" t="str">
        <f>IF(D2337="","",IF(COUNTIF($D$2:D2337,D2337)&gt;1,"",SUMIFS(tbl_input[필요수량],tbl_input[집계키_청],D2337)))</f>
        <v/>
      </c>
      <c r="D2337" t="str">
        <f>IFERROR(INDEX(tbl_input[집계키_청],ROW()-1),"")</f>
        <v/>
      </c>
    </row>
    <row r="2338" spans="1:4" x14ac:dyDescent="0.4">
      <c r="A2338" t="str">
        <f t="shared" si="72"/>
        <v/>
      </c>
      <c r="B2338" t="str">
        <f t="shared" si="73"/>
        <v/>
      </c>
      <c r="C2338" t="str">
        <f>IF(D2338="","",IF(COUNTIF($D$2:D2338,D2338)&gt;1,"",SUMIFS(tbl_input[필요수량],tbl_input[집계키_청],D2338)))</f>
        <v/>
      </c>
      <c r="D2338" t="str">
        <f>IFERROR(INDEX(tbl_input[집계키_청],ROW()-1),"")</f>
        <v/>
      </c>
    </row>
    <row r="2339" spans="1:4" x14ac:dyDescent="0.4">
      <c r="A2339" t="str">
        <f t="shared" si="72"/>
        <v/>
      </c>
      <c r="B2339" t="str">
        <f t="shared" si="73"/>
        <v/>
      </c>
      <c r="C2339" t="str">
        <f>IF(D2339="","",IF(COUNTIF($D$2:D2339,D2339)&gt;1,"",SUMIFS(tbl_input[필요수량],tbl_input[집계키_청],D2339)))</f>
        <v/>
      </c>
      <c r="D2339" t="str">
        <f>IFERROR(INDEX(tbl_input[집계키_청],ROW()-1),"")</f>
        <v/>
      </c>
    </row>
    <row r="2340" spans="1:4" x14ac:dyDescent="0.4">
      <c r="A2340" t="str">
        <f t="shared" si="72"/>
        <v/>
      </c>
      <c r="B2340" t="str">
        <f t="shared" si="73"/>
        <v/>
      </c>
      <c r="C2340" t="str">
        <f>IF(D2340="","",IF(COUNTIF($D$2:D2340,D2340)&gt;1,"",SUMIFS(tbl_input[필요수량],tbl_input[집계키_청],D2340)))</f>
        <v/>
      </c>
      <c r="D2340" t="str">
        <f>IFERROR(INDEX(tbl_input[집계키_청],ROW()-1),"")</f>
        <v/>
      </c>
    </row>
    <row r="2341" spans="1:4" x14ac:dyDescent="0.4">
      <c r="A2341" t="str">
        <f t="shared" si="72"/>
        <v/>
      </c>
      <c r="B2341" t="str">
        <f t="shared" si="73"/>
        <v/>
      </c>
      <c r="C2341" t="str">
        <f>IF(D2341="","",IF(COUNTIF($D$2:D2341,D2341)&gt;1,"",SUMIFS(tbl_input[필요수량],tbl_input[집계키_청],D2341)))</f>
        <v/>
      </c>
      <c r="D2341" t="str">
        <f>IFERROR(INDEX(tbl_input[집계키_청],ROW()-1),"")</f>
        <v/>
      </c>
    </row>
    <row r="2342" spans="1:4" x14ac:dyDescent="0.4">
      <c r="A2342" t="str">
        <f t="shared" si="72"/>
        <v/>
      </c>
      <c r="B2342" t="str">
        <f t="shared" si="73"/>
        <v/>
      </c>
      <c r="C2342" t="str">
        <f>IF(D2342="","",IF(COUNTIF($D$2:D2342,D2342)&gt;1,"",SUMIFS(tbl_input[필요수량],tbl_input[집계키_청],D2342)))</f>
        <v/>
      </c>
      <c r="D2342" t="str">
        <f>IFERROR(INDEX(tbl_input[집계키_청],ROW()-1),"")</f>
        <v/>
      </c>
    </row>
    <row r="2343" spans="1:4" x14ac:dyDescent="0.4">
      <c r="A2343" t="str">
        <f t="shared" si="72"/>
        <v/>
      </c>
      <c r="B2343" t="str">
        <f t="shared" si="73"/>
        <v/>
      </c>
      <c r="C2343" t="str">
        <f>IF(D2343="","",IF(COUNTIF($D$2:D2343,D2343)&gt;1,"",SUMIFS(tbl_input[필요수량],tbl_input[집계키_청],D2343)))</f>
        <v/>
      </c>
      <c r="D2343" t="str">
        <f>IFERROR(INDEX(tbl_input[집계키_청],ROW()-1),"")</f>
        <v/>
      </c>
    </row>
    <row r="2344" spans="1:4" x14ac:dyDescent="0.4">
      <c r="A2344" t="str">
        <f t="shared" si="72"/>
        <v/>
      </c>
      <c r="B2344" t="str">
        <f t="shared" si="73"/>
        <v/>
      </c>
      <c r="C2344" t="str">
        <f>IF(D2344="","",IF(COUNTIF($D$2:D2344,D2344)&gt;1,"",SUMIFS(tbl_input[필요수량],tbl_input[집계키_청],D2344)))</f>
        <v/>
      </c>
      <c r="D2344" t="str">
        <f>IFERROR(INDEX(tbl_input[집계키_청],ROW()-1),"")</f>
        <v/>
      </c>
    </row>
    <row r="2345" spans="1:4" x14ac:dyDescent="0.4">
      <c r="A2345" t="str">
        <f t="shared" si="72"/>
        <v/>
      </c>
      <c r="B2345" t="str">
        <f t="shared" si="73"/>
        <v/>
      </c>
      <c r="C2345" t="str">
        <f>IF(D2345="","",IF(COUNTIF($D$2:D2345,D2345)&gt;1,"",SUMIFS(tbl_input[필요수량],tbl_input[집계키_청],D2345)))</f>
        <v/>
      </c>
      <c r="D2345" t="str">
        <f>IFERROR(INDEX(tbl_input[집계키_청],ROW()-1),"")</f>
        <v/>
      </c>
    </row>
    <row r="2346" spans="1:4" x14ac:dyDescent="0.4">
      <c r="A2346" t="str">
        <f t="shared" si="72"/>
        <v/>
      </c>
      <c r="B2346" t="str">
        <f t="shared" si="73"/>
        <v/>
      </c>
      <c r="C2346" t="str">
        <f>IF(D2346="","",IF(COUNTIF($D$2:D2346,D2346)&gt;1,"",SUMIFS(tbl_input[필요수량],tbl_input[집계키_청],D2346)))</f>
        <v/>
      </c>
      <c r="D2346" t="str">
        <f>IFERROR(INDEX(tbl_input[집계키_청],ROW()-1),"")</f>
        <v/>
      </c>
    </row>
    <row r="2347" spans="1:4" x14ac:dyDescent="0.4">
      <c r="A2347" t="str">
        <f t="shared" si="72"/>
        <v/>
      </c>
      <c r="B2347" t="str">
        <f t="shared" si="73"/>
        <v/>
      </c>
      <c r="C2347" t="str">
        <f>IF(D2347="","",IF(COUNTIF($D$2:D2347,D2347)&gt;1,"",SUMIFS(tbl_input[필요수량],tbl_input[집계키_청],D2347)))</f>
        <v/>
      </c>
      <c r="D2347" t="str">
        <f>IFERROR(INDEX(tbl_input[집계키_청],ROW()-1),"")</f>
        <v/>
      </c>
    </row>
    <row r="2348" spans="1:4" x14ac:dyDescent="0.4">
      <c r="A2348" t="str">
        <f t="shared" si="72"/>
        <v/>
      </c>
      <c r="B2348" t="str">
        <f t="shared" si="73"/>
        <v/>
      </c>
      <c r="C2348" t="str">
        <f>IF(D2348="","",IF(COUNTIF($D$2:D2348,D2348)&gt;1,"",SUMIFS(tbl_input[필요수량],tbl_input[집계키_청],D2348)))</f>
        <v/>
      </c>
      <c r="D2348" t="str">
        <f>IFERROR(INDEX(tbl_input[집계키_청],ROW()-1),"")</f>
        <v/>
      </c>
    </row>
    <row r="2349" spans="1:4" x14ac:dyDescent="0.4">
      <c r="A2349" t="str">
        <f t="shared" si="72"/>
        <v/>
      </c>
      <c r="B2349" t="str">
        <f t="shared" si="73"/>
        <v/>
      </c>
      <c r="C2349" t="str">
        <f>IF(D2349="","",IF(COUNTIF($D$2:D2349,D2349)&gt;1,"",SUMIFS(tbl_input[필요수량],tbl_input[집계키_청],D2349)))</f>
        <v/>
      </c>
      <c r="D2349" t="str">
        <f>IFERROR(INDEX(tbl_input[집계키_청],ROW()-1),"")</f>
        <v/>
      </c>
    </row>
    <row r="2350" spans="1:4" x14ac:dyDescent="0.4">
      <c r="A2350" t="str">
        <f t="shared" si="72"/>
        <v/>
      </c>
      <c r="B2350" t="str">
        <f t="shared" si="73"/>
        <v/>
      </c>
      <c r="C2350" t="str">
        <f>IF(D2350="","",IF(COUNTIF($D$2:D2350,D2350)&gt;1,"",SUMIFS(tbl_input[필요수량],tbl_input[집계키_청],D2350)))</f>
        <v/>
      </c>
      <c r="D2350" t="str">
        <f>IFERROR(INDEX(tbl_input[집계키_청],ROW()-1),"")</f>
        <v/>
      </c>
    </row>
    <row r="2351" spans="1:4" x14ac:dyDescent="0.4">
      <c r="A2351" t="str">
        <f t="shared" si="72"/>
        <v/>
      </c>
      <c r="B2351" t="str">
        <f t="shared" si="73"/>
        <v/>
      </c>
      <c r="C2351" t="str">
        <f>IF(D2351="","",IF(COUNTIF($D$2:D2351,D2351)&gt;1,"",SUMIFS(tbl_input[필요수량],tbl_input[집계키_청],D2351)))</f>
        <v/>
      </c>
      <c r="D2351" t="str">
        <f>IFERROR(INDEX(tbl_input[집계키_청],ROW()-1),"")</f>
        <v/>
      </c>
    </row>
    <row r="2352" spans="1:4" x14ac:dyDescent="0.4">
      <c r="A2352" t="str">
        <f t="shared" si="72"/>
        <v/>
      </c>
      <c r="B2352" t="str">
        <f t="shared" si="73"/>
        <v/>
      </c>
      <c r="C2352" t="str">
        <f>IF(D2352="","",IF(COUNTIF($D$2:D2352,D2352)&gt;1,"",SUMIFS(tbl_input[필요수량],tbl_input[집계키_청],D2352)))</f>
        <v/>
      </c>
      <c r="D2352" t="str">
        <f>IFERROR(INDEX(tbl_input[집계키_청],ROW()-1),"")</f>
        <v/>
      </c>
    </row>
    <row r="2353" spans="1:4" x14ac:dyDescent="0.4">
      <c r="A2353" t="str">
        <f t="shared" si="72"/>
        <v/>
      </c>
      <c r="B2353" t="str">
        <f t="shared" si="73"/>
        <v/>
      </c>
      <c r="C2353" t="str">
        <f>IF(D2353="","",IF(COUNTIF($D$2:D2353,D2353)&gt;1,"",SUMIFS(tbl_input[필요수량],tbl_input[집계키_청],D2353)))</f>
        <v/>
      </c>
      <c r="D2353" t="str">
        <f>IFERROR(INDEX(tbl_input[집계키_청],ROW()-1),"")</f>
        <v/>
      </c>
    </row>
    <row r="2354" spans="1:4" x14ac:dyDescent="0.4">
      <c r="A2354" t="str">
        <f t="shared" si="72"/>
        <v/>
      </c>
      <c r="B2354" t="str">
        <f t="shared" si="73"/>
        <v/>
      </c>
      <c r="C2354" t="str">
        <f>IF(D2354="","",IF(COUNTIF($D$2:D2354,D2354)&gt;1,"",SUMIFS(tbl_input[필요수량],tbl_input[집계키_청],D2354)))</f>
        <v/>
      </c>
      <c r="D2354" t="str">
        <f>IFERROR(INDEX(tbl_input[집계키_청],ROW()-1),"")</f>
        <v/>
      </c>
    </row>
    <row r="2355" spans="1:4" x14ac:dyDescent="0.4">
      <c r="A2355" t="str">
        <f t="shared" si="72"/>
        <v/>
      </c>
      <c r="B2355" t="str">
        <f t="shared" si="73"/>
        <v/>
      </c>
      <c r="C2355" t="str">
        <f>IF(D2355="","",IF(COUNTIF($D$2:D2355,D2355)&gt;1,"",SUMIFS(tbl_input[필요수량],tbl_input[집계키_청],D2355)))</f>
        <v/>
      </c>
      <c r="D2355" t="str">
        <f>IFERROR(INDEX(tbl_input[집계키_청],ROW()-1),"")</f>
        <v/>
      </c>
    </row>
    <row r="2356" spans="1:4" x14ac:dyDescent="0.4">
      <c r="A2356" t="str">
        <f t="shared" si="72"/>
        <v/>
      </c>
      <c r="B2356" t="str">
        <f t="shared" si="73"/>
        <v/>
      </c>
      <c r="C2356" t="str">
        <f>IF(D2356="","",IF(COUNTIF($D$2:D2356,D2356)&gt;1,"",SUMIFS(tbl_input[필요수량],tbl_input[집계키_청],D2356)))</f>
        <v/>
      </c>
      <c r="D2356" t="str">
        <f>IFERROR(INDEX(tbl_input[집계키_청],ROW()-1),"")</f>
        <v/>
      </c>
    </row>
    <row r="2357" spans="1:4" x14ac:dyDescent="0.4">
      <c r="A2357" t="str">
        <f t="shared" si="72"/>
        <v/>
      </c>
      <c r="B2357" t="str">
        <f t="shared" si="73"/>
        <v/>
      </c>
      <c r="C2357" t="str">
        <f>IF(D2357="","",IF(COUNTIF($D$2:D2357,D2357)&gt;1,"",SUMIFS(tbl_input[필요수량],tbl_input[집계키_청],D2357)))</f>
        <v/>
      </c>
      <c r="D2357" t="str">
        <f>IFERROR(INDEX(tbl_input[집계키_청],ROW()-1),"")</f>
        <v/>
      </c>
    </row>
    <row r="2358" spans="1:4" x14ac:dyDescent="0.4">
      <c r="A2358" t="str">
        <f t="shared" si="72"/>
        <v/>
      </c>
      <c r="B2358" t="str">
        <f t="shared" si="73"/>
        <v/>
      </c>
      <c r="C2358" t="str">
        <f>IF(D2358="","",IF(COUNTIF($D$2:D2358,D2358)&gt;1,"",SUMIFS(tbl_input[필요수량],tbl_input[집계키_청],D2358)))</f>
        <v/>
      </c>
      <c r="D2358" t="str">
        <f>IFERROR(INDEX(tbl_input[집계키_청],ROW()-1),"")</f>
        <v/>
      </c>
    </row>
    <row r="2359" spans="1:4" x14ac:dyDescent="0.4">
      <c r="A2359" t="str">
        <f t="shared" si="72"/>
        <v/>
      </c>
      <c r="B2359" t="str">
        <f t="shared" si="73"/>
        <v/>
      </c>
      <c r="C2359" t="str">
        <f>IF(D2359="","",IF(COUNTIF($D$2:D2359,D2359)&gt;1,"",SUMIFS(tbl_input[필요수량],tbl_input[집계키_청],D2359)))</f>
        <v/>
      </c>
      <c r="D2359" t="str">
        <f>IFERROR(INDEX(tbl_input[집계키_청],ROW()-1),"")</f>
        <v/>
      </c>
    </row>
    <row r="2360" spans="1:4" x14ac:dyDescent="0.4">
      <c r="A2360" t="str">
        <f t="shared" si="72"/>
        <v/>
      </c>
      <c r="B2360" t="str">
        <f t="shared" si="73"/>
        <v/>
      </c>
      <c r="C2360" t="str">
        <f>IF(D2360="","",IF(COUNTIF($D$2:D2360,D2360)&gt;1,"",SUMIFS(tbl_input[필요수량],tbl_input[집계키_청],D2360)))</f>
        <v/>
      </c>
      <c r="D2360" t="str">
        <f>IFERROR(INDEX(tbl_input[집계키_청],ROW()-1),"")</f>
        <v/>
      </c>
    </row>
    <row r="2361" spans="1:4" x14ac:dyDescent="0.4">
      <c r="A2361" t="str">
        <f t="shared" si="72"/>
        <v/>
      </c>
      <c r="B2361" t="str">
        <f t="shared" si="73"/>
        <v/>
      </c>
      <c r="C2361" t="str">
        <f>IF(D2361="","",IF(COUNTIF($D$2:D2361,D2361)&gt;1,"",SUMIFS(tbl_input[필요수량],tbl_input[집계키_청],D2361)))</f>
        <v/>
      </c>
      <c r="D2361" t="str">
        <f>IFERROR(INDEX(tbl_input[집계키_청],ROW()-1),"")</f>
        <v/>
      </c>
    </row>
    <row r="2362" spans="1:4" x14ac:dyDescent="0.4">
      <c r="A2362" t="str">
        <f t="shared" si="72"/>
        <v/>
      </c>
      <c r="B2362" t="str">
        <f t="shared" si="73"/>
        <v/>
      </c>
      <c r="C2362" t="str">
        <f>IF(D2362="","",IF(COUNTIF($D$2:D2362,D2362)&gt;1,"",SUMIFS(tbl_input[필요수량],tbl_input[집계키_청],D2362)))</f>
        <v/>
      </c>
      <c r="D2362" t="str">
        <f>IFERROR(INDEX(tbl_input[집계키_청],ROW()-1),"")</f>
        <v/>
      </c>
    </row>
    <row r="2363" spans="1:4" x14ac:dyDescent="0.4">
      <c r="A2363" t="str">
        <f t="shared" si="72"/>
        <v/>
      </c>
      <c r="B2363" t="str">
        <f t="shared" si="73"/>
        <v/>
      </c>
      <c r="C2363" t="str">
        <f>IF(D2363="","",IF(COUNTIF($D$2:D2363,D2363)&gt;1,"",SUMIFS(tbl_input[필요수량],tbl_input[집계키_청],D2363)))</f>
        <v/>
      </c>
      <c r="D2363" t="str">
        <f>IFERROR(INDEX(tbl_input[집계키_청],ROW()-1),"")</f>
        <v/>
      </c>
    </row>
    <row r="2364" spans="1:4" x14ac:dyDescent="0.4">
      <c r="A2364" t="str">
        <f t="shared" si="72"/>
        <v/>
      </c>
      <c r="B2364" t="str">
        <f t="shared" si="73"/>
        <v/>
      </c>
      <c r="C2364" t="str">
        <f>IF(D2364="","",IF(COUNTIF($D$2:D2364,D2364)&gt;1,"",SUMIFS(tbl_input[필요수량],tbl_input[집계키_청],D2364)))</f>
        <v/>
      </c>
      <c r="D2364" t="str">
        <f>IFERROR(INDEX(tbl_input[집계키_청],ROW()-1),"")</f>
        <v/>
      </c>
    </row>
    <row r="2365" spans="1:4" x14ac:dyDescent="0.4">
      <c r="A2365" t="str">
        <f t="shared" si="72"/>
        <v/>
      </c>
      <c r="B2365" t="str">
        <f t="shared" si="73"/>
        <v/>
      </c>
      <c r="C2365" t="str">
        <f>IF(D2365="","",IF(COUNTIF($D$2:D2365,D2365)&gt;1,"",SUMIFS(tbl_input[필요수량],tbl_input[집계키_청],D2365)))</f>
        <v/>
      </c>
      <c r="D2365" t="str">
        <f>IFERROR(INDEX(tbl_input[집계키_청],ROW()-1),"")</f>
        <v/>
      </c>
    </row>
    <row r="2366" spans="1:4" x14ac:dyDescent="0.4">
      <c r="A2366" t="str">
        <f t="shared" si="72"/>
        <v/>
      </c>
      <c r="B2366" t="str">
        <f t="shared" si="73"/>
        <v/>
      </c>
      <c r="C2366" t="str">
        <f>IF(D2366="","",IF(COUNTIF($D$2:D2366,D2366)&gt;1,"",SUMIFS(tbl_input[필요수량],tbl_input[집계키_청],D2366)))</f>
        <v/>
      </c>
      <c r="D2366" t="str">
        <f>IFERROR(INDEX(tbl_input[집계키_청],ROW()-1),"")</f>
        <v/>
      </c>
    </row>
    <row r="2367" spans="1:4" x14ac:dyDescent="0.4">
      <c r="A2367" t="str">
        <f t="shared" si="72"/>
        <v/>
      </c>
      <c r="B2367" t="str">
        <f t="shared" si="73"/>
        <v/>
      </c>
      <c r="C2367" t="str">
        <f>IF(D2367="","",IF(COUNTIF($D$2:D2367,D2367)&gt;1,"",SUMIFS(tbl_input[필요수량],tbl_input[집계키_청],D2367)))</f>
        <v/>
      </c>
      <c r="D2367" t="str">
        <f>IFERROR(INDEX(tbl_input[집계키_청],ROW()-1),"")</f>
        <v/>
      </c>
    </row>
    <row r="2368" spans="1:4" x14ac:dyDescent="0.4">
      <c r="A2368" t="str">
        <f t="shared" si="72"/>
        <v/>
      </c>
      <c r="B2368" t="str">
        <f t="shared" si="73"/>
        <v/>
      </c>
      <c r="C2368" t="str">
        <f>IF(D2368="","",IF(COUNTIF($D$2:D2368,D2368)&gt;1,"",SUMIFS(tbl_input[필요수량],tbl_input[집계키_청],D2368)))</f>
        <v/>
      </c>
      <c r="D2368" t="str">
        <f>IFERROR(INDEX(tbl_input[집계키_청],ROW()-1),"")</f>
        <v/>
      </c>
    </row>
    <row r="2369" spans="1:4" x14ac:dyDescent="0.4">
      <c r="A2369" t="str">
        <f t="shared" si="72"/>
        <v/>
      </c>
      <c r="B2369" t="str">
        <f t="shared" si="73"/>
        <v/>
      </c>
      <c r="C2369" t="str">
        <f>IF(D2369="","",IF(COUNTIF($D$2:D2369,D2369)&gt;1,"",SUMIFS(tbl_input[필요수량],tbl_input[집계키_청],D2369)))</f>
        <v/>
      </c>
      <c r="D2369" t="str">
        <f>IFERROR(INDEX(tbl_input[집계키_청],ROW()-1),"")</f>
        <v/>
      </c>
    </row>
    <row r="2370" spans="1:4" x14ac:dyDescent="0.4">
      <c r="A2370" t="str">
        <f t="shared" ref="A2370:A2433" si="74">IF(D2370="","",LEFT(D2370,FIND("♦",D2370)-1))</f>
        <v/>
      </c>
      <c r="B2370" t="str">
        <f t="shared" ref="B2370:B2433" si="75">IF(D2370="","",MID(D2370,FIND("♦",D2370)+1,999))</f>
        <v/>
      </c>
      <c r="C2370" t="str">
        <f>IF(D2370="","",IF(COUNTIF($D$2:D2370,D2370)&gt;1,"",SUMIFS(tbl_input[필요수량],tbl_input[집계키_청],D2370)))</f>
        <v/>
      </c>
      <c r="D2370" t="str">
        <f>IFERROR(INDEX(tbl_input[집계키_청],ROW()-1),"")</f>
        <v/>
      </c>
    </row>
    <row r="2371" spans="1:4" x14ac:dyDescent="0.4">
      <c r="A2371" t="str">
        <f t="shared" si="74"/>
        <v/>
      </c>
      <c r="B2371" t="str">
        <f t="shared" si="75"/>
        <v/>
      </c>
      <c r="C2371" t="str">
        <f>IF(D2371="","",IF(COUNTIF($D$2:D2371,D2371)&gt;1,"",SUMIFS(tbl_input[필요수량],tbl_input[집계키_청],D2371)))</f>
        <v/>
      </c>
      <c r="D2371" t="str">
        <f>IFERROR(INDEX(tbl_input[집계키_청],ROW()-1),"")</f>
        <v/>
      </c>
    </row>
    <row r="2372" spans="1:4" x14ac:dyDescent="0.4">
      <c r="A2372" t="str">
        <f t="shared" si="74"/>
        <v/>
      </c>
      <c r="B2372" t="str">
        <f t="shared" si="75"/>
        <v/>
      </c>
      <c r="C2372" t="str">
        <f>IF(D2372="","",IF(COUNTIF($D$2:D2372,D2372)&gt;1,"",SUMIFS(tbl_input[필요수량],tbl_input[집계키_청],D2372)))</f>
        <v/>
      </c>
      <c r="D2372" t="str">
        <f>IFERROR(INDEX(tbl_input[집계키_청],ROW()-1),"")</f>
        <v/>
      </c>
    </row>
    <row r="2373" spans="1:4" x14ac:dyDescent="0.4">
      <c r="A2373" t="str">
        <f t="shared" si="74"/>
        <v/>
      </c>
      <c r="B2373" t="str">
        <f t="shared" si="75"/>
        <v/>
      </c>
      <c r="C2373" t="str">
        <f>IF(D2373="","",IF(COUNTIF($D$2:D2373,D2373)&gt;1,"",SUMIFS(tbl_input[필요수량],tbl_input[집계키_청],D2373)))</f>
        <v/>
      </c>
      <c r="D2373" t="str">
        <f>IFERROR(INDEX(tbl_input[집계키_청],ROW()-1),"")</f>
        <v/>
      </c>
    </row>
    <row r="2374" spans="1:4" x14ac:dyDescent="0.4">
      <c r="A2374" t="str">
        <f t="shared" si="74"/>
        <v/>
      </c>
      <c r="B2374" t="str">
        <f t="shared" si="75"/>
        <v/>
      </c>
      <c r="C2374" t="str">
        <f>IF(D2374="","",IF(COUNTIF($D$2:D2374,D2374)&gt;1,"",SUMIFS(tbl_input[필요수량],tbl_input[집계키_청],D2374)))</f>
        <v/>
      </c>
      <c r="D2374" t="str">
        <f>IFERROR(INDEX(tbl_input[집계키_청],ROW()-1),"")</f>
        <v/>
      </c>
    </row>
    <row r="2375" spans="1:4" x14ac:dyDescent="0.4">
      <c r="A2375" t="str">
        <f t="shared" si="74"/>
        <v/>
      </c>
      <c r="B2375" t="str">
        <f t="shared" si="75"/>
        <v/>
      </c>
      <c r="C2375" t="str">
        <f>IF(D2375="","",IF(COUNTIF($D$2:D2375,D2375)&gt;1,"",SUMIFS(tbl_input[필요수량],tbl_input[집계키_청],D2375)))</f>
        <v/>
      </c>
      <c r="D2375" t="str">
        <f>IFERROR(INDEX(tbl_input[집계키_청],ROW()-1),"")</f>
        <v/>
      </c>
    </row>
    <row r="2376" spans="1:4" x14ac:dyDescent="0.4">
      <c r="A2376" t="str">
        <f t="shared" si="74"/>
        <v/>
      </c>
      <c r="B2376" t="str">
        <f t="shared" si="75"/>
        <v/>
      </c>
      <c r="C2376" t="str">
        <f>IF(D2376="","",IF(COUNTIF($D$2:D2376,D2376)&gt;1,"",SUMIFS(tbl_input[필요수량],tbl_input[집계키_청],D2376)))</f>
        <v/>
      </c>
      <c r="D2376" t="str">
        <f>IFERROR(INDEX(tbl_input[집계키_청],ROW()-1),"")</f>
        <v/>
      </c>
    </row>
    <row r="2377" spans="1:4" x14ac:dyDescent="0.4">
      <c r="A2377" t="str">
        <f t="shared" si="74"/>
        <v/>
      </c>
      <c r="B2377" t="str">
        <f t="shared" si="75"/>
        <v/>
      </c>
      <c r="C2377" t="str">
        <f>IF(D2377="","",IF(COUNTIF($D$2:D2377,D2377)&gt;1,"",SUMIFS(tbl_input[필요수량],tbl_input[집계키_청],D2377)))</f>
        <v/>
      </c>
      <c r="D2377" t="str">
        <f>IFERROR(INDEX(tbl_input[집계키_청],ROW()-1),"")</f>
        <v/>
      </c>
    </row>
    <row r="2378" spans="1:4" x14ac:dyDescent="0.4">
      <c r="A2378" t="str">
        <f t="shared" si="74"/>
        <v/>
      </c>
      <c r="B2378" t="str">
        <f t="shared" si="75"/>
        <v/>
      </c>
      <c r="C2378" t="str">
        <f>IF(D2378="","",IF(COUNTIF($D$2:D2378,D2378)&gt;1,"",SUMIFS(tbl_input[필요수량],tbl_input[집계키_청],D2378)))</f>
        <v/>
      </c>
      <c r="D2378" t="str">
        <f>IFERROR(INDEX(tbl_input[집계키_청],ROW()-1),"")</f>
        <v/>
      </c>
    </row>
    <row r="2379" spans="1:4" x14ac:dyDescent="0.4">
      <c r="A2379" t="str">
        <f t="shared" si="74"/>
        <v/>
      </c>
      <c r="B2379" t="str">
        <f t="shared" si="75"/>
        <v/>
      </c>
      <c r="C2379" t="str">
        <f>IF(D2379="","",IF(COUNTIF($D$2:D2379,D2379)&gt;1,"",SUMIFS(tbl_input[필요수량],tbl_input[집계키_청],D2379)))</f>
        <v/>
      </c>
      <c r="D2379" t="str">
        <f>IFERROR(INDEX(tbl_input[집계키_청],ROW()-1),"")</f>
        <v/>
      </c>
    </row>
    <row r="2380" spans="1:4" x14ac:dyDescent="0.4">
      <c r="A2380" t="str">
        <f t="shared" si="74"/>
        <v/>
      </c>
      <c r="B2380" t="str">
        <f t="shared" si="75"/>
        <v/>
      </c>
      <c r="C2380" t="str">
        <f>IF(D2380="","",IF(COUNTIF($D$2:D2380,D2380)&gt;1,"",SUMIFS(tbl_input[필요수량],tbl_input[집계키_청],D2380)))</f>
        <v/>
      </c>
      <c r="D2380" t="str">
        <f>IFERROR(INDEX(tbl_input[집계키_청],ROW()-1),"")</f>
        <v/>
      </c>
    </row>
    <row r="2381" spans="1:4" x14ac:dyDescent="0.4">
      <c r="A2381" t="str">
        <f t="shared" si="74"/>
        <v/>
      </c>
      <c r="B2381" t="str">
        <f t="shared" si="75"/>
        <v/>
      </c>
      <c r="C2381" t="str">
        <f>IF(D2381="","",IF(COUNTIF($D$2:D2381,D2381)&gt;1,"",SUMIFS(tbl_input[필요수량],tbl_input[집계키_청],D2381)))</f>
        <v/>
      </c>
      <c r="D2381" t="str">
        <f>IFERROR(INDEX(tbl_input[집계키_청],ROW()-1),"")</f>
        <v/>
      </c>
    </row>
    <row r="2382" spans="1:4" x14ac:dyDescent="0.4">
      <c r="A2382" t="str">
        <f t="shared" si="74"/>
        <v/>
      </c>
      <c r="B2382" t="str">
        <f t="shared" si="75"/>
        <v/>
      </c>
      <c r="C2382" t="str">
        <f>IF(D2382="","",IF(COUNTIF($D$2:D2382,D2382)&gt;1,"",SUMIFS(tbl_input[필요수량],tbl_input[집계키_청],D2382)))</f>
        <v/>
      </c>
      <c r="D2382" t="str">
        <f>IFERROR(INDEX(tbl_input[집계키_청],ROW()-1),"")</f>
        <v/>
      </c>
    </row>
    <row r="2383" spans="1:4" x14ac:dyDescent="0.4">
      <c r="A2383" t="str">
        <f t="shared" si="74"/>
        <v/>
      </c>
      <c r="B2383" t="str">
        <f t="shared" si="75"/>
        <v/>
      </c>
      <c r="C2383" t="str">
        <f>IF(D2383="","",IF(COUNTIF($D$2:D2383,D2383)&gt;1,"",SUMIFS(tbl_input[필요수량],tbl_input[집계키_청],D2383)))</f>
        <v/>
      </c>
      <c r="D2383" t="str">
        <f>IFERROR(INDEX(tbl_input[집계키_청],ROW()-1),"")</f>
        <v/>
      </c>
    </row>
    <row r="2384" spans="1:4" x14ac:dyDescent="0.4">
      <c r="A2384" t="str">
        <f t="shared" si="74"/>
        <v/>
      </c>
      <c r="B2384" t="str">
        <f t="shared" si="75"/>
        <v/>
      </c>
      <c r="C2384" t="str">
        <f>IF(D2384="","",IF(COUNTIF($D$2:D2384,D2384)&gt;1,"",SUMIFS(tbl_input[필요수량],tbl_input[집계키_청],D2384)))</f>
        <v/>
      </c>
      <c r="D2384" t="str">
        <f>IFERROR(INDEX(tbl_input[집계키_청],ROW()-1),"")</f>
        <v/>
      </c>
    </row>
    <row r="2385" spans="1:4" x14ac:dyDescent="0.4">
      <c r="A2385" t="str">
        <f t="shared" si="74"/>
        <v/>
      </c>
      <c r="B2385" t="str">
        <f t="shared" si="75"/>
        <v/>
      </c>
      <c r="C2385" t="str">
        <f>IF(D2385="","",IF(COUNTIF($D$2:D2385,D2385)&gt;1,"",SUMIFS(tbl_input[필요수량],tbl_input[집계키_청],D2385)))</f>
        <v/>
      </c>
      <c r="D2385" t="str">
        <f>IFERROR(INDEX(tbl_input[집계키_청],ROW()-1),"")</f>
        <v/>
      </c>
    </row>
    <row r="2386" spans="1:4" x14ac:dyDescent="0.4">
      <c r="A2386" t="str">
        <f t="shared" si="74"/>
        <v/>
      </c>
      <c r="B2386" t="str">
        <f t="shared" si="75"/>
        <v/>
      </c>
      <c r="C2386" t="str">
        <f>IF(D2386="","",IF(COUNTIF($D$2:D2386,D2386)&gt;1,"",SUMIFS(tbl_input[필요수량],tbl_input[집계키_청],D2386)))</f>
        <v/>
      </c>
      <c r="D2386" t="str">
        <f>IFERROR(INDEX(tbl_input[집계키_청],ROW()-1),"")</f>
        <v/>
      </c>
    </row>
    <row r="2387" spans="1:4" x14ac:dyDescent="0.4">
      <c r="A2387" t="str">
        <f t="shared" si="74"/>
        <v/>
      </c>
      <c r="B2387" t="str">
        <f t="shared" si="75"/>
        <v/>
      </c>
      <c r="C2387" t="str">
        <f>IF(D2387="","",IF(COUNTIF($D$2:D2387,D2387)&gt;1,"",SUMIFS(tbl_input[필요수량],tbl_input[집계키_청],D2387)))</f>
        <v/>
      </c>
      <c r="D2387" t="str">
        <f>IFERROR(INDEX(tbl_input[집계키_청],ROW()-1),"")</f>
        <v/>
      </c>
    </row>
    <row r="2388" spans="1:4" x14ac:dyDescent="0.4">
      <c r="A2388" t="str">
        <f t="shared" si="74"/>
        <v/>
      </c>
      <c r="B2388" t="str">
        <f t="shared" si="75"/>
        <v/>
      </c>
      <c r="C2388" t="str">
        <f>IF(D2388="","",IF(COUNTIF($D$2:D2388,D2388)&gt;1,"",SUMIFS(tbl_input[필요수량],tbl_input[집계키_청],D2388)))</f>
        <v/>
      </c>
      <c r="D2388" t="str">
        <f>IFERROR(INDEX(tbl_input[집계키_청],ROW()-1),"")</f>
        <v/>
      </c>
    </row>
    <row r="2389" spans="1:4" x14ac:dyDescent="0.4">
      <c r="A2389" t="str">
        <f t="shared" si="74"/>
        <v/>
      </c>
      <c r="B2389" t="str">
        <f t="shared" si="75"/>
        <v/>
      </c>
      <c r="C2389" t="str">
        <f>IF(D2389="","",IF(COUNTIF($D$2:D2389,D2389)&gt;1,"",SUMIFS(tbl_input[필요수량],tbl_input[집계키_청],D2389)))</f>
        <v/>
      </c>
      <c r="D2389" t="str">
        <f>IFERROR(INDEX(tbl_input[집계키_청],ROW()-1),"")</f>
        <v/>
      </c>
    </row>
    <row r="2390" spans="1:4" x14ac:dyDescent="0.4">
      <c r="A2390" t="str">
        <f t="shared" si="74"/>
        <v/>
      </c>
      <c r="B2390" t="str">
        <f t="shared" si="75"/>
        <v/>
      </c>
      <c r="C2390" t="str">
        <f>IF(D2390="","",IF(COUNTIF($D$2:D2390,D2390)&gt;1,"",SUMIFS(tbl_input[필요수량],tbl_input[집계키_청],D2390)))</f>
        <v/>
      </c>
      <c r="D2390" t="str">
        <f>IFERROR(INDEX(tbl_input[집계키_청],ROW()-1),"")</f>
        <v/>
      </c>
    </row>
    <row r="2391" spans="1:4" x14ac:dyDescent="0.4">
      <c r="A2391" t="str">
        <f t="shared" si="74"/>
        <v/>
      </c>
      <c r="B2391" t="str">
        <f t="shared" si="75"/>
        <v/>
      </c>
      <c r="C2391" t="str">
        <f>IF(D2391="","",IF(COUNTIF($D$2:D2391,D2391)&gt;1,"",SUMIFS(tbl_input[필요수량],tbl_input[집계키_청],D2391)))</f>
        <v/>
      </c>
      <c r="D2391" t="str">
        <f>IFERROR(INDEX(tbl_input[집계키_청],ROW()-1),"")</f>
        <v/>
      </c>
    </row>
    <row r="2392" spans="1:4" x14ac:dyDescent="0.4">
      <c r="A2392" t="str">
        <f t="shared" si="74"/>
        <v/>
      </c>
      <c r="B2392" t="str">
        <f t="shared" si="75"/>
        <v/>
      </c>
      <c r="C2392" t="str">
        <f>IF(D2392="","",IF(COUNTIF($D$2:D2392,D2392)&gt;1,"",SUMIFS(tbl_input[필요수량],tbl_input[집계키_청],D2392)))</f>
        <v/>
      </c>
      <c r="D2392" t="str">
        <f>IFERROR(INDEX(tbl_input[집계키_청],ROW()-1),"")</f>
        <v/>
      </c>
    </row>
    <row r="2393" spans="1:4" x14ac:dyDescent="0.4">
      <c r="A2393" t="str">
        <f t="shared" si="74"/>
        <v/>
      </c>
      <c r="B2393" t="str">
        <f t="shared" si="75"/>
        <v/>
      </c>
      <c r="C2393" t="str">
        <f>IF(D2393="","",IF(COUNTIF($D$2:D2393,D2393)&gt;1,"",SUMIFS(tbl_input[필요수량],tbl_input[집계키_청],D2393)))</f>
        <v/>
      </c>
      <c r="D2393" t="str">
        <f>IFERROR(INDEX(tbl_input[집계키_청],ROW()-1),"")</f>
        <v/>
      </c>
    </row>
    <row r="2394" spans="1:4" x14ac:dyDescent="0.4">
      <c r="A2394" t="str">
        <f t="shared" si="74"/>
        <v/>
      </c>
      <c r="B2394" t="str">
        <f t="shared" si="75"/>
        <v/>
      </c>
      <c r="C2394" t="str">
        <f>IF(D2394="","",IF(COUNTIF($D$2:D2394,D2394)&gt;1,"",SUMIFS(tbl_input[필요수량],tbl_input[집계키_청],D2394)))</f>
        <v/>
      </c>
      <c r="D2394" t="str">
        <f>IFERROR(INDEX(tbl_input[집계키_청],ROW()-1),"")</f>
        <v/>
      </c>
    </row>
    <row r="2395" spans="1:4" x14ac:dyDescent="0.4">
      <c r="A2395" t="str">
        <f t="shared" si="74"/>
        <v/>
      </c>
      <c r="B2395" t="str">
        <f t="shared" si="75"/>
        <v/>
      </c>
      <c r="C2395" t="str">
        <f>IF(D2395="","",IF(COUNTIF($D$2:D2395,D2395)&gt;1,"",SUMIFS(tbl_input[필요수량],tbl_input[집계키_청],D2395)))</f>
        <v/>
      </c>
      <c r="D2395" t="str">
        <f>IFERROR(INDEX(tbl_input[집계키_청],ROW()-1),"")</f>
        <v/>
      </c>
    </row>
    <row r="2396" spans="1:4" x14ac:dyDescent="0.4">
      <c r="A2396" t="str">
        <f t="shared" si="74"/>
        <v/>
      </c>
      <c r="B2396" t="str">
        <f t="shared" si="75"/>
        <v/>
      </c>
      <c r="C2396" t="str">
        <f>IF(D2396="","",IF(COUNTIF($D$2:D2396,D2396)&gt;1,"",SUMIFS(tbl_input[필요수량],tbl_input[집계키_청],D2396)))</f>
        <v/>
      </c>
      <c r="D2396" t="str">
        <f>IFERROR(INDEX(tbl_input[집계키_청],ROW()-1),"")</f>
        <v/>
      </c>
    </row>
    <row r="2397" spans="1:4" x14ac:dyDescent="0.4">
      <c r="A2397" t="str">
        <f t="shared" si="74"/>
        <v/>
      </c>
      <c r="B2397" t="str">
        <f t="shared" si="75"/>
        <v/>
      </c>
      <c r="C2397" t="str">
        <f>IF(D2397="","",IF(COUNTIF($D$2:D2397,D2397)&gt;1,"",SUMIFS(tbl_input[필요수량],tbl_input[집계키_청],D2397)))</f>
        <v/>
      </c>
      <c r="D2397" t="str">
        <f>IFERROR(INDEX(tbl_input[집계키_청],ROW()-1),"")</f>
        <v/>
      </c>
    </row>
    <row r="2398" spans="1:4" x14ac:dyDescent="0.4">
      <c r="A2398" t="str">
        <f t="shared" si="74"/>
        <v/>
      </c>
      <c r="B2398" t="str">
        <f t="shared" si="75"/>
        <v/>
      </c>
      <c r="C2398" t="str">
        <f>IF(D2398="","",IF(COUNTIF($D$2:D2398,D2398)&gt;1,"",SUMIFS(tbl_input[필요수량],tbl_input[집계키_청],D2398)))</f>
        <v/>
      </c>
      <c r="D2398" t="str">
        <f>IFERROR(INDEX(tbl_input[집계키_청],ROW()-1),"")</f>
        <v/>
      </c>
    </row>
    <row r="2399" spans="1:4" x14ac:dyDescent="0.4">
      <c r="A2399" t="str">
        <f t="shared" si="74"/>
        <v/>
      </c>
      <c r="B2399" t="str">
        <f t="shared" si="75"/>
        <v/>
      </c>
      <c r="C2399" t="str">
        <f>IF(D2399="","",IF(COUNTIF($D$2:D2399,D2399)&gt;1,"",SUMIFS(tbl_input[필요수량],tbl_input[집계키_청],D2399)))</f>
        <v/>
      </c>
      <c r="D2399" t="str">
        <f>IFERROR(INDEX(tbl_input[집계키_청],ROW()-1),"")</f>
        <v/>
      </c>
    </row>
    <row r="2400" spans="1:4" x14ac:dyDescent="0.4">
      <c r="A2400" t="str">
        <f t="shared" si="74"/>
        <v/>
      </c>
      <c r="B2400" t="str">
        <f t="shared" si="75"/>
        <v/>
      </c>
      <c r="C2400" t="str">
        <f>IF(D2400="","",IF(COUNTIF($D$2:D2400,D2400)&gt;1,"",SUMIFS(tbl_input[필요수량],tbl_input[집계키_청],D2400)))</f>
        <v/>
      </c>
      <c r="D2400" t="str">
        <f>IFERROR(INDEX(tbl_input[집계키_청],ROW()-1),"")</f>
        <v/>
      </c>
    </row>
    <row r="2401" spans="1:4" x14ac:dyDescent="0.4">
      <c r="A2401" t="str">
        <f t="shared" si="74"/>
        <v/>
      </c>
      <c r="B2401" t="str">
        <f t="shared" si="75"/>
        <v/>
      </c>
      <c r="C2401" t="str">
        <f>IF(D2401="","",IF(COUNTIF($D$2:D2401,D2401)&gt;1,"",SUMIFS(tbl_input[필요수량],tbl_input[집계키_청],D2401)))</f>
        <v/>
      </c>
      <c r="D2401" t="str">
        <f>IFERROR(INDEX(tbl_input[집계키_청],ROW()-1),"")</f>
        <v/>
      </c>
    </row>
    <row r="2402" spans="1:4" x14ac:dyDescent="0.4">
      <c r="A2402" t="str">
        <f t="shared" si="74"/>
        <v/>
      </c>
      <c r="B2402" t="str">
        <f t="shared" si="75"/>
        <v/>
      </c>
      <c r="C2402" t="str">
        <f>IF(D2402="","",IF(COUNTIF($D$2:D2402,D2402)&gt;1,"",SUMIFS(tbl_input[필요수량],tbl_input[집계키_청],D2402)))</f>
        <v/>
      </c>
      <c r="D2402" t="str">
        <f>IFERROR(INDEX(tbl_input[집계키_청],ROW()-1),"")</f>
        <v/>
      </c>
    </row>
    <row r="2403" spans="1:4" x14ac:dyDescent="0.4">
      <c r="A2403" t="str">
        <f t="shared" si="74"/>
        <v/>
      </c>
      <c r="B2403" t="str">
        <f t="shared" si="75"/>
        <v/>
      </c>
      <c r="C2403" t="str">
        <f>IF(D2403="","",IF(COUNTIF($D$2:D2403,D2403)&gt;1,"",SUMIFS(tbl_input[필요수량],tbl_input[집계키_청],D2403)))</f>
        <v/>
      </c>
      <c r="D2403" t="str">
        <f>IFERROR(INDEX(tbl_input[집계키_청],ROW()-1),"")</f>
        <v/>
      </c>
    </row>
    <row r="2404" spans="1:4" x14ac:dyDescent="0.4">
      <c r="A2404" t="str">
        <f t="shared" si="74"/>
        <v/>
      </c>
      <c r="B2404" t="str">
        <f t="shared" si="75"/>
        <v/>
      </c>
      <c r="C2404" t="str">
        <f>IF(D2404="","",IF(COUNTIF($D$2:D2404,D2404)&gt;1,"",SUMIFS(tbl_input[필요수량],tbl_input[집계키_청],D2404)))</f>
        <v/>
      </c>
      <c r="D2404" t="str">
        <f>IFERROR(INDEX(tbl_input[집계키_청],ROW()-1),"")</f>
        <v/>
      </c>
    </row>
    <row r="2405" spans="1:4" x14ac:dyDescent="0.4">
      <c r="A2405" t="str">
        <f t="shared" si="74"/>
        <v/>
      </c>
      <c r="B2405" t="str">
        <f t="shared" si="75"/>
        <v/>
      </c>
      <c r="C2405" t="str">
        <f>IF(D2405="","",IF(COUNTIF($D$2:D2405,D2405)&gt;1,"",SUMIFS(tbl_input[필요수량],tbl_input[집계키_청],D2405)))</f>
        <v/>
      </c>
      <c r="D2405" t="str">
        <f>IFERROR(INDEX(tbl_input[집계키_청],ROW()-1),"")</f>
        <v/>
      </c>
    </row>
    <row r="2406" spans="1:4" x14ac:dyDescent="0.4">
      <c r="A2406" t="str">
        <f t="shared" si="74"/>
        <v/>
      </c>
      <c r="B2406" t="str">
        <f t="shared" si="75"/>
        <v/>
      </c>
      <c r="C2406" t="str">
        <f>IF(D2406="","",IF(COUNTIF($D$2:D2406,D2406)&gt;1,"",SUMIFS(tbl_input[필요수량],tbl_input[집계키_청],D2406)))</f>
        <v/>
      </c>
      <c r="D2406" t="str">
        <f>IFERROR(INDEX(tbl_input[집계키_청],ROW()-1),"")</f>
        <v/>
      </c>
    </row>
    <row r="2407" spans="1:4" x14ac:dyDescent="0.4">
      <c r="A2407" t="str">
        <f t="shared" si="74"/>
        <v/>
      </c>
      <c r="B2407" t="str">
        <f t="shared" si="75"/>
        <v/>
      </c>
      <c r="C2407" t="str">
        <f>IF(D2407="","",IF(COUNTIF($D$2:D2407,D2407)&gt;1,"",SUMIFS(tbl_input[필요수량],tbl_input[집계키_청],D2407)))</f>
        <v/>
      </c>
      <c r="D2407" t="str">
        <f>IFERROR(INDEX(tbl_input[집계키_청],ROW()-1),"")</f>
        <v/>
      </c>
    </row>
    <row r="2408" spans="1:4" x14ac:dyDescent="0.4">
      <c r="A2408" t="str">
        <f t="shared" si="74"/>
        <v/>
      </c>
      <c r="B2408" t="str">
        <f t="shared" si="75"/>
        <v/>
      </c>
      <c r="C2408" t="str">
        <f>IF(D2408="","",IF(COUNTIF($D$2:D2408,D2408)&gt;1,"",SUMIFS(tbl_input[필요수량],tbl_input[집계키_청],D2408)))</f>
        <v/>
      </c>
      <c r="D2408" t="str">
        <f>IFERROR(INDEX(tbl_input[집계키_청],ROW()-1),"")</f>
        <v/>
      </c>
    </row>
    <row r="2409" spans="1:4" x14ac:dyDescent="0.4">
      <c r="A2409" t="str">
        <f t="shared" si="74"/>
        <v/>
      </c>
      <c r="B2409" t="str">
        <f t="shared" si="75"/>
        <v/>
      </c>
      <c r="C2409" t="str">
        <f>IF(D2409="","",IF(COUNTIF($D$2:D2409,D2409)&gt;1,"",SUMIFS(tbl_input[필요수량],tbl_input[집계키_청],D2409)))</f>
        <v/>
      </c>
      <c r="D2409" t="str">
        <f>IFERROR(INDEX(tbl_input[집계키_청],ROW()-1),"")</f>
        <v/>
      </c>
    </row>
    <row r="2410" spans="1:4" x14ac:dyDescent="0.4">
      <c r="A2410" t="str">
        <f t="shared" si="74"/>
        <v/>
      </c>
      <c r="B2410" t="str">
        <f t="shared" si="75"/>
        <v/>
      </c>
      <c r="C2410" t="str">
        <f>IF(D2410="","",IF(COUNTIF($D$2:D2410,D2410)&gt;1,"",SUMIFS(tbl_input[필요수량],tbl_input[집계키_청],D2410)))</f>
        <v/>
      </c>
      <c r="D2410" t="str">
        <f>IFERROR(INDEX(tbl_input[집계키_청],ROW()-1),"")</f>
        <v/>
      </c>
    </row>
    <row r="2411" spans="1:4" x14ac:dyDescent="0.4">
      <c r="A2411" t="str">
        <f t="shared" si="74"/>
        <v/>
      </c>
      <c r="B2411" t="str">
        <f t="shared" si="75"/>
        <v/>
      </c>
      <c r="C2411" t="str">
        <f>IF(D2411="","",IF(COUNTIF($D$2:D2411,D2411)&gt;1,"",SUMIFS(tbl_input[필요수량],tbl_input[집계키_청],D2411)))</f>
        <v/>
      </c>
      <c r="D2411" t="str">
        <f>IFERROR(INDEX(tbl_input[집계키_청],ROW()-1),"")</f>
        <v/>
      </c>
    </row>
    <row r="2412" spans="1:4" x14ac:dyDescent="0.4">
      <c r="A2412" t="str">
        <f t="shared" si="74"/>
        <v/>
      </c>
      <c r="B2412" t="str">
        <f t="shared" si="75"/>
        <v/>
      </c>
      <c r="C2412" t="str">
        <f>IF(D2412="","",IF(COUNTIF($D$2:D2412,D2412)&gt;1,"",SUMIFS(tbl_input[필요수량],tbl_input[집계키_청],D2412)))</f>
        <v/>
      </c>
      <c r="D2412" t="str">
        <f>IFERROR(INDEX(tbl_input[집계키_청],ROW()-1),"")</f>
        <v/>
      </c>
    </row>
    <row r="2413" spans="1:4" x14ac:dyDescent="0.4">
      <c r="A2413" t="str">
        <f t="shared" si="74"/>
        <v/>
      </c>
      <c r="B2413" t="str">
        <f t="shared" si="75"/>
        <v/>
      </c>
      <c r="C2413" t="str">
        <f>IF(D2413="","",IF(COUNTIF($D$2:D2413,D2413)&gt;1,"",SUMIFS(tbl_input[필요수량],tbl_input[집계키_청],D2413)))</f>
        <v/>
      </c>
      <c r="D2413" t="str">
        <f>IFERROR(INDEX(tbl_input[집계키_청],ROW()-1),"")</f>
        <v/>
      </c>
    </row>
    <row r="2414" spans="1:4" x14ac:dyDescent="0.4">
      <c r="A2414" t="str">
        <f t="shared" si="74"/>
        <v/>
      </c>
      <c r="B2414" t="str">
        <f t="shared" si="75"/>
        <v/>
      </c>
      <c r="C2414" t="str">
        <f>IF(D2414="","",IF(COUNTIF($D$2:D2414,D2414)&gt;1,"",SUMIFS(tbl_input[필요수량],tbl_input[집계키_청],D2414)))</f>
        <v/>
      </c>
      <c r="D2414" t="str">
        <f>IFERROR(INDEX(tbl_input[집계키_청],ROW()-1),"")</f>
        <v/>
      </c>
    </row>
    <row r="2415" spans="1:4" x14ac:dyDescent="0.4">
      <c r="A2415" t="str">
        <f t="shared" si="74"/>
        <v/>
      </c>
      <c r="B2415" t="str">
        <f t="shared" si="75"/>
        <v/>
      </c>
      <c r="C2415" t="str">
        <f>IF(D2415="","",IF(COUNTIF($D$2:D2415,D2415)&gt;1,"",SUMIFS(tbl_input[필요수량],tbl_input[집계키_청],D2415)))</f>
        <v/>
      </c>
      <c r="D2415" t="str">
        <f>IFERROR(INDEX(tbl_input[집계키_청],ROW()-1),"")</f>
        <v/>
      </c>
    </row>
    <row r="2416" spans="1:4" x14ac:dyDescent="0.4">
      <c r="A2416" t="str">
        <f t="shared" si="74"/>
        <v/>
      </c>
      <c r="B2416" t="str">
        <f t="shared" si="75"/>
        <v/>
      </c>
      <c r="C2416" t="str">
        <f>IF(D2416="","",IF(COUNTIF($D$2:D2416,D2416)&gt;1,"",SUMIFS(tbl_input[필요수량],tbl_input[집계키_청],D2416)))</f>
        <v/>
      </c>
      <c r="D2416" t="str">
        <f>IFERROR(INDEX(tbl_input[집계키_청],ROW()-1),"")</f>
        <v/>
      </c>
    </row>
    <row r="2417" spans="1:4" x14ac:dyDescent="0.4">
      <c r="A2417" t="str">
        <f t="shared" si="74"/>
        <v/>
      </c>
      <c r="B2417" t="str">
        <f t="shared" si="75"/>
        <v/>
      </c>
      <c r="C2417" t="str">
        <f>IF(D2417="","",IF(COUNTIF($D$2:D2417,D2417)&gt;1,"",SUMIFS(tbl_input[필요수량],tbl_input[집계키_청],D2417)))</f>
        <v/>
      </c>
      <c r="D2417" t="str">
        <f>IFERROR(INDEX(tbl_input[집계키_청],ROW()-1),"")</f>
        <v/>
      </c>
    </row>
    <row r="2418" spans="1:4" x14ac:dyDescent="0.4">
      <c r="A2418" t="str">
        <f t="shared" si="74"/>
        <v/>
      </c>
      <c r="B2418" t="str">
        <f t="shared" si="75"/>
        <v/>
      </c>
      <c r="C2418" t="str">
        <f>IF(D2418="","",IF(COUNTIF($D$2:D2418,D2418)&gt;1,"",SUMIFS(tbl_input[필요수량],tbl_input[집계키_청],D2418)))</f>
        <v/>
      </c>
      <c r="D2418" t="str">
        <f>IFERROR(INDEX(tbl_input[집계키_청],ROW()-1),"")</f>
        <v/>
      </c>
    </row>
    <row r="2419" spans="1:4" x14ac:dyDescent="0.4">
      <c r="A2419" t="str">
        <f t="shared" si="74"/>
        <v/>
      </c>
      <c r="B2419" t="str">
        <f t="shared" si="75"/>
        <v/>
      </c>
      <c r="C2419" t="str">
        <f>IF(D2419="","",IF(COUNTIF($D$2:D2419,D2419)&gt;1,"",SUMIFS(tbl_input[필요수량],tbl_input[집계키_청],D2419)))</f>
        <v/>
      </c>
      <c r="D2419" t="str">
        <f>IFERROR(INDEX(tbl_input[집계키_청],ROW()-1),"")</f>
        <v/>
      </c>
    </row>
    <row r="2420" spans="1:4" x14ac:dyDescent="0.4">
      <c r="A2420" t="str">
        <f t="shared" si="74"/>
        <v/>
      </c>
      <c r="B2420" t="str">
        <f t="shared" si="75"/>
        <v/>
      </c>
      <c r="C2420" t="str">
        <f>IF(D2420="","",IF(COUNTIF($D$2:D2420,D2420)&gt;1,"",SUMIFS(tbl_input[필요수량],tbl_input[집계키_청],D2420)))</f>
        <v/>
      </c>
      <c r="D2420" t="str">
        <f>IFERROR(INDEX(tbl_input[집계키_청],ROW()-1),"")</f>
        <v/>
      </c>
    </row>
    <row r="2421" spans="1:4" x14ac:dyDescent="0.4">
      <c r="A2421" t="str">
        <f t="shared" si="74"/>
        <v/>
      </c>
      <c r="B2421" t="str">
        <f t="shared" si="75"/>
        <v/>
      </c>
      <c r="C2421" t="str">
        <f>IF(D2421="","",IF(COUNTIF($D$2:D2421,D2421)&gt;1,"",SUMIFS(tbl_input[필요수량],tbl_input[집계키_청],D2421)))</f>
        <v/>
      </c>
      <c r="D2421" t="str">
        <f>IFERROR(INDEX(tbl_input[집계키_청],ROW()-1),"")</f>
        <v/>
      </c>
    </row>
    <row r="2422" spans="1:4" x14ac:dyDescent="0.4">
      <c r="A2422" t="str">
        <f t="shared" si="74"/>
        <v/>
      </c>
      <c r="B2422" t="str">
        <f t="shared" si="75"/>
        <v/>
      </c>
      <c r="C2422" t="str">
        <f>IF(D2422="","",IF(COUNTIF($D$2:D2422,D2422)&gt;1,"",SUMIFS(tbl_input[필요수량],tbl_input[집계키_청],D2422)))</f>
        <v/>
      </c>
      <c r="D2422" t="str">
        <f>IFERROR(INDEX(tbl_input[집계키_청],ROW()-1),"")</f>
        <v/>
      </c>
    </row>
    <row r="2423" spans="1:4" x14ac:dyDescent="0.4">
      <c r="A2423" t="str">
        <f t="shared" si="74"/>
        <v/>
      </c>
      <c r="B2423" t="str">
        <f t="shared" si="75"/>
        <v/>
      </c>
      <c r="C2423" t="str">
        <f>IF(D2423="","",IF(COUNTIF($D$2:D2423,D2423)&gt;1,"",SUMIFS(tbl_input[필요수량],tbl_input[집계키_청],D2423)))</f>
        <v/>
      </c>
      <c r="D2423" t="str">
        <f>IFERROR(INDEX(tbl_input[집계키_청],ROW()-1),"")</f>
        <v/>
      </c>
    </row>
    <row r="2424" spans="1:4" x14ac:dyDescent="0.4">
      <c r="A2424" t="str">
        <f t="shared" si="74"/>
        <v/>
      </c>
      <c r="B2424" t="str">
        <f t="shared" si="75"/>
        <v/>
      </c>
      <c r="C2424" t="str">
        <f>IF(D2424="","",IF(COUNTIF($D$2:D2424,D2424)&gt;1,"",SUMIFS(tbl_input[필요수량],tbl_input[집계키_청],D2424)))</f>
        <v/>
      </c>
      <c r="D2424" t="str">
        <f>IFERROR(INDEX(tbl_input[집계키_청],ROW()-1),"")</f>
        <v/>
      </c>
    </row>
    <row r="2425" spans="1:4" x14ac:dyDescent="0.4">
      <c r="A2425" t="str">
        <f t="shared" si="74"/>
        <v/>
      </c>
      <c r="B2425" t="str">
        <f t="shared" si="75"/>
        <v/>
      </c>
      <c r="C2425" t="str">
        <f>IF(D2425="","",IF(COUNTIF($D$2:D2425,D2425)&gt;1,"",SUMIFS(tbl_input[필요수량],tbl_input[집계키_청],D2425)))</f>
        <v/>
      </c>
      <c r="D2425" t="str">
        <f>IFERROR(INDEX(tbl_input[집계키_청],ROW()-1),"")</f>
        <v/>
      </c>
    </row>
    <row r="2426" spans="1:4" x14ac:dyDescent="0.4">
      <c r="A2426" t="str">
        <f t="shared" si="74"/>
        <v/>
      </c>
      <c r="B2426" t="str">
        <f t="shared" si="75"/>
        <v/>
      </c>
      <c r="C2426" t="str">
        <f>IF(D2426="","",IF(COUNTIF($D$2:D2426,D2426)&gt;1,"",SUMIFS(tbl_input[필요수량],tbl_input[집계키_청],D2426)))</f>
        <v/>
      </c>
      <c r="D2426" t="str">
        <f>IFERROR(INDEX(tbl_input[집계키_청],ROW()-1),"")</f>
        <v/>
      </c>
    </row>
    <row r="2427" spans="1:4" x14ac:dyDescent="0.4">
      <c r="A2427" t="str">
        <f t="shared" si="74"/>
        <v/>
      </c>
      <c r="B2427" t="str">
        <f t="shared" si="75"/>
        <v/>
      </c>
      <c r="C2427" t="str">
        <f>IF(D2427="","",IF(COUNTIF($D$2:D2427,D2427)&gt;1,"",SUMIFS(tbl_input[필요수량],tbl_input[집계키_청],D2427)))</f>
        <v/>
      </c>
      <c r="D2427" t="str">
        <f>IFERROR(INDEX(tbl_input[집계키_청],ROW()-1),"")</f>
        <v/>
      </c>
    </row>
    <row r="2428" spans="1:4" x14ac:dyDescent="0.4">
      <c r="A2428" t="str">
        <f t="shared" si="74"/>
        <v/>
      </c>
      <c r="B2428" t="str">
        <f t="shared" si="75"/>
        <v/>
      </c>
      <c r="C2428" t="str">
        <f>IF(D2428="","",IF(COUNTIF($D$2:D2428,D2428)&gt;1,"",SUMIFS(tbl_input[필요수량],tbl_input[집계키_청],D2428)))</f>
        <v/>
      </c>
      <c r="D2428" t="str">
        <f>IFERROR(INDEX(tbl_input[집계키_청],ROW()-1),"")</f>
        <v/>
      </c>
    </row>
    <row r="2429" spans="1:4" x14ac:dyDescent="0.4">
      <c r="A2429" t="str">
        <f t="shared" si="74"/>
        <v/>
      </c>
      <c r="B2429" t="str">
        <f t="shared" si="75"/>
        <v/>
      </c>
      <c r="C2429" t="str">
        <f>IF(D2429="","",IF(COUNTIF($D$2:D2429,D2429)&gt;1,"",SUMIFS(tbl_input[필요수량],tbl_input[집계키_청],D2429)))</f>
        <v/>
      </c>
      <c r="D2429" t="str">
        <f>IFERROR(INDEX(tbl_input[집계키_청],ROW()-1),"")</f>
        <v/>
      </c>
    </row>
    <row r="2430" spans="1:4" x14ac:dyDescent="0.4">
      <c r="A2430" t="str">
        <f t="shared" si="74"/>
        <v/>
      </c>
      <c r="B2430" t="str">
        <f t="shared" si="75"/>
        <v/>
      </c>
      <c r="C2430" t="str">
        <f>IF(D2430="","",IF(COUNTIF($D$2:D2430,D2430)&gt;1,"",SUMIFS(tbl_input[필요수량],tbl_input[집계키_청],D2430)))</f>
        <v/>
      </c>
      <c r="D2430" t="str">
        <f>IFERROR(INDEX(tbl_input[집계키_청],ROW()-1),"")</f>
        <v/>
      </c>
    </row>
    <row r="2431" spans="1:4" x14ac:dyDescent="0.4">
      <c r="A2431" t="str">
        <f t="shared" si="74"/>
        <v/>
      </c>
      <c r="B2431" t="str">
        <f t="shared" si="75"/>
        <v/>
      </c>
      <c r="C2431" t="str">
        <f>IF(D2431="","",IF(COUNTIF($D$2:D2431,D2431)&gt;1,"",SUMIFS(tbl_input[필요수량],tbl_input[집계키_청],D2431)))</f>
        <v/>
      </c>
      <c r="D2431" t="str">
        <f>IFERROR(INDEX(tbl_input[집계키_청],ROW()-1),"")</f>
        <v/>
      </c>
    </row>
    <row r="2432" spans="1:4" x14ac:dyDescent="0.4">
      <c r="A2432" t="str">
        <f t="shared" si="74"/>
        <v/>
      </c>
      <c r="B2432" t="str">
        <f t="shared" si="75"/>
        <v/>
      </c>
      <c r="C2432" t="str">
        <f>IF(D2432="","",IF(COUNTIF($D$2:D2432,D2432)&gt;1,"",SUMIFS(tbl_input[필요수량],tbl_input[집계키_청],D2432)))</f>
        <v/>
      </c>
      <c r="D2432" t="str">
        <f>IFERROR(INDEX(tbl_input[집계키_청],ROW()-1),"")</f>
        <v/>
      </c>
    </row>
    <row r="2433" spans="1:4" x14ac:dyDescent="0.4">
      <c r="A2433" t="str">
        <f t="shared" si="74"/>
        <v/>
      </c>
      <c r="B2433" t="str">
        <f t="shared" si="75"/>
        <v/>
      </c>
      <c r="C2433" t="str">
        <f>IF(D2433="","",IF(COUNTIF($D$2:D2433,D2433)&gt;1,"",SUMIFS(tbl_input[필요수량],tbl_input[집계키_청],D2433)))</f>
        <v/>
      </c>
      <c r="D2433" t="str">
        <f>IFERROR(INDEX(tbl_input[집계키_청],ROW()-1),"")</f>
        <v/>
      </c>
    </row>
    <row r="2434" spans="1:4" x14ac:dyDescent="0.4">
      <c r="A2434" t="str">
        <f t="shared" ref="A2434:A2497" si="76">IF(D2434="","",LEFT(D2434,FIND("♦",D2434)-1))</f>
        <v/>
      </c>
      <c r="B2434" t="str">
        <f t="shared" ref="B2434:B2497" si="77">IF(D2434="","",MID(D2434,FIND("♦",D2434)+1,999))</f>
        <v/>
      </c>
      <c r="C2434" t="str">
        <f>IF(D2434="","",IF(COUNTIF($D$2:D2434,D2434)&gt;1,"",SUMIFS(tbl_input[필요수량],tbl_input[집계키_청],D2434)))</f>
        <v/>
      </c>
      <c r="D2434" t="str">
        <f>IFERROR(INDEX(tbl_input[집계키_청],ROW()-1),"")</f>
        <v/>
      </c>
    </row>
    <row r="2435" spans="1:4" x14ac:dyDescent="0.4">
      <c r="A2435" t="str">
        <f t="shared" si="76"/>
        <v/>
      </c>
      <c r="B2435" t="str">
        <f t="shared" si="77"/>
        <v/>
      </c>
      <c r="C2435" t="str">
        <f>IF(D2435="","",IF(COUNTIF($D$2:D2435,D2435)&gt;1,"",SUMIFS(tbl_input[필요수량],tbl_input[집계키_청],D2435)))</f>
        <v/>
      </c>
      <c r="D2435" t="str">
        <f>IFERROR(INDEX(tbl_input[집계키_청],ROW()-1),"")</f>
        <v/>
      </c>
    </row>
    <row r="2436" spans="1:4" x14ac:dyDescent="0.4">
      <c r="A2436" t="str">
        <f t="shared" si="76"/>
        <v/>
      </c>
      <c r="B2436" t="str">
        <f t="shared" si="77"/>
        <v/>
      </c>
      <c r="C2436" t="str">
        <f>IF(D2436="","",IF(COUNTIF($D$2:D2436,D2436)&gt;1,"",SUMIFS(tbl_input[필요수량],tbl_input[집계키_청],D2436)))</f>
        <v/>
      </c>
      <c r="D2436" t="str">
        <f>IFERROR(INDEX(tbl_input[집계키_청],ROW()-1),"")</f>
        <v/>
      </c>
    </row>
    <row r="2437" spans="1:4" x14ac:dyDescent="0.4">
      <c r="A2437" t="str">
        <f t="shared" si="76"/>
        <v/>
      </c>
      <c r="B2437" t="str">
        <f t="shared" si="77"/>
        <v/>
      </c>
      <c r="C2437" t="str">
        <f>IF(D2437="","",IF(COUNTIF($D$2:D2437,D2437)&gt;1,"",SUMIFS(tbl_input[필요수량],tbl_input[집계키_청],D2437)))</f>
        <v/>
      </c>
      <c r="D2437" t="str">
        <f>IFERROR(INDEX(tbl_input[집계키_청],ROW()-1),"")</f>
        <v/>
      </c>
    </row>
    <row r="2438" spans="1:4" x14ac:dyDescent="0.4">
      <c r="A2438" t="str">
        <f t="shared" si="76"/>
        <v/>
      </c>
      <c r="B2438" t="str">
        <f t="shared" si="77"/>
        <v/>
      </c>
      <c r="C2438" t="str">
        <f>IF(D2438="","",IF(COUNTIF($D$2:D2438,D2438)&gt;1,"",SUMIFS(tbl_input[필요수량],tbl_input[집계키_청],D2438)))</f>
        <v/>
      </c>
      <c r="D2438" t="str">
        <f>IFERROR(INDEX(tbl_input[집계키_청],ROW()-1),"")</f>
        <v/>
      </c>
    </row>
    <row r="2439" spans="1:4" x14ac:dyDescent="0.4">
      <c r="A2439" t="str">
        <f t="shared" si="76"/>
        <v/>
      </c>
      <c r="B2439" t="str">
        <f t="shared" si="77"/>
        <v/>
      </c>
      <c r="C2439" t="str">
        <f>IF(D2439="","",IF(COUNTIF($D$2:D2439,D2439)&gt;1,"",SUMIFS(tbl_input[필요수량],tbl_input[집계키_청],D2439)))</f>
        <v/>
      </c>
      <c r="D2439" t="str">
        <f>IFERROR(INDEX(tbl_input[집계키_청],ROW()-1),"")</f>
        <v/>
      </c>
    </row>
    <row r="2440" spans="1:4" x14ac:dyDescent="0.4">
      <c r="A2440" t="str">
        <f t="shared" si="76"/>
        <v/>
      </c>
      <c r="B2440" t="str">
        <f t="shared" si="77"/>
        <v/>
      </c>
      <c r="C2440" t="str">
        <f>IF(D2440="","",IF(COUNTIF($D$2:D2440,D2440)&gt;1,"",SUMIFS(tbl_input[필요수량],tbl_input[집계키_청],D2440)))</f>
        <v/>
      </c>
      <c r="D2440" t="str">
        <f>IFERROR(INDEX(tbl_input[집계키_청],ROW()-1),"")</f>
        <v/>
      </c>
    </row>
    <row r="2441" spans="1:4" x14ac:dyDescent="0.4">
      <c r="A2441" t="str">
        <f t="shared" si="76"/>
        <v/>
      </c>
      <c r="B2441" t="str">
        <f t="shared" si="77"/>
        <v/>
      </c>
      <c r="C2441" t="str">
        <f>IF(D2441="","",IF(COUNTIF($D$2:D2441,D2441)&gt;1,"",SUMIFS(tbl_input[필요수량],tbl_input[집계키_청],D2441)))</f>
        <v/>
      </c>
      <c r="D2441" t="str">
        <f>IFERROR(INDEX(tbl_input[집계키_청],ROW()-1),"")</f>
        <v/>
      </c>
    </row>
    <row r="2442" spans="1:4" x14ac:dyDescent="0.4">
      <c r="A2442" t="str">
        <f t="shared" si="76"/>
        <v/>
      </c>
      <c r="B2442" t="str">
        <f t="shared" si="77"/>
        <v/>
      </c>
      <c r="C2442" t="str">
        <f>IF(D2442="","",IF(COUNTIF($D$2:D2442,D2442)&gt;1,"",SUMIFS(tbl_input[필요수량],tbl_input[집계키_청],D2442)))</f>
        <v/>
      </c>
      <c r="D2442" t="str">
        <f>IFERROR(INDEX(tbl_input[집계키_청],ROW()-1),"")</f>
        <v/>
      </c>
    </row>
    <row r="2443" spans="1:4" x14ac:dyDescent="0.4">
      <c r="A2443" t="str">
        <f t="shared" si="76"/>
        <v/>
      </c>
      <c r="B2443" t="str">
        <f t="shared" si="77"/>
        <v/>
      </c>
      <c r="C2443" t="str">
        <f>IF(D2443="","",IF(COUNTIF($D$2:D2443,D2443)&gt;1,"",SUMIFS(tbl_input[필요수량],tbl_input[집계키_청],D2443)))</f>
        <v/>
      </c>
      <c r="D2443" t="str">
        <f>IFERROR(INDEX(tbl_input[집계키_청],ROW()-1),"")</f>
        <v/>
      </c>
    </row>
    <row r="2444" spans="1:4" x14ac:dyDescent="0.4">
      <c r="A2444" t="str">
        <f t="shared" si="76"/>
        <v/>
      </c>
      <c r="B2444" t="str">
        <f t="shared" si="77"/>
        <v/>
      </c>
      <c r="C2444" t="str">
        <f>IF(D2444="","",IF(COUNTIF($D$2:D2444,D2444)&gt;1,"",SUMIFS(tbl_input[필요수량],tbl_input[집계키_청],D2444)))</f>
        <v/>
      </c>
      <c r="D2444" t="str">
        <f>IFERROR(INDEX(tbl_input[집계키_청],ROW()-1),"")</f>
        <v/>
      </c>
    </row>
    <row r="2445" spans="1:4" x14ac:dyDescent="0.4">
      <c r="A2445" t="str">
        <f t="shared" si="76"/>
        <v/>
      </c>
      <c r="B2445" t="str">
        <f t="shared" si="77"/>
        <v/>
      </c>
      <c r="C2445" t="str">
        <f>IF(D2445="","",IF(COUNTIF($D$2:D2445,D2445)&gt;1,"",SUMIFS(tbl_input[필요수량],tbl_input[집계키_청],D2445)))</f>
        <v/>
      </c>
      <c r="D2445" t="str">
        <f>IFERROR(INDEX(tbl_input[집계키_청],ROW()-1),"")</f>
        <v/>
      </c>
    </row>
    <row r="2446" spans="1:4" x14ac:dyDescent="0.4">
      <c r="A2446" t="str">
        <f t="shared" si="76"/>
        <v/>
      </c>
      <c r="B2446" t="str">
        <f t="shared" si="77"/>
        <v/>
      </c>
      <c r="C2446" t="str">
        <f>IF(D2446="","",IF(COUNTIF($D$2:D2446,D2446)&gt;1,"",SUMIFS(tbl_input[필요수량],tbl_input[집계키_청],D2446)))</f>
        <v/>
      </c>
      <c r="D2446" t="str">
        <f>IFERROR(INDEX(tbl_input[집계키_청],ROW()-1),"")</f>
        <v/>
      </c>
    </row>
    <row r="2447" spans="1:4" x14ac:dyDescent="0.4">
      <c r="A2447" t="str">
        <f t="shared" si="76"/>
        <v/>
      </c>
      <c r="B2447" t="str">
        <f t="shared" si="77"/>
        <v/>
      </c>
      <c r="C2447" t="str">
        <f>IF(D2447="","",IF(COUNTIF($D$2:D2447,D2447)&gt;1,"",SUMIFS(tbl_input[필요수량],tbl_input[집계키_청],D2447)))</f>
        <v/>
      </c>
      <c r="D2447" t="str">
        <f>IFERROR(INDEX(tbl_input[집계키_청],ROW()-1),"")</f>
        <v/>
      </c>
    </row>
    <row r="2448" spans="1:4" x14ac:dyDescent="0.4">
      <c r="A2448" t="str">
        <f t="shared" si="76"/>
        <v/>
      </c>
      <c r="B2448" t="str">
        <f t="shared" si="77"/>
        <v/>
      </c>
      <c r="C2448" t="str">
        <f>IF(D2448="","",IF(COUNTIF($D$2:D2448,D2448)&gt;1,"",SUMIFS(tbl_input[필요수량],tbl_input[집계키_청],D2448)))</f>
        <v/>
      </c>
      <c r="D2448" t="str">
        <f>IFERROR(INDEX(tbl_input[집계키_청],ROW()-1),"")</f>
        <v/>
      </c>
    </row>
    <row r="2449" spans="1:4" x14ac:dyDescent="0.4">
      <c r="A2449" t="str">
        <f t="shared" si="76"/>
        <v/>
      </c>
      <c r="B2449" t="str">
        <f t="shared" si="77"/>
        <v/>
      </c>
      <c r="C2449" t="str">
        <f>IF(D2449="","",IF(COUNTIF($D$2:D2449,D2449)&gt;1,"",SUMIFS(tbl_input[필요수량],tbl_input[집계키_청],D2449)))</f>
        <v/>
      </c>
      <c r="D2449" t="str">
        <f>IFERROR(INDEX(tbl_input[집계키_청],ROW()-1),"")</f>
        <v/>
      </c>
    </row>
    <row r="2450" spans="1:4" x14ac:dyDescent="0.4">
      <c r="A2450" t="str">
        <f t="shared" si="76"/>
        <v/>
      </c>
      <c r="B2450" t="str">
        <f t="shared" si="77"/>
        <v/>
      </c>
      <c r="C2450" t="str">
        <f>IF(D2450="","",IF(COUNTIF($D$2:D2450,D2450)&gt;1,"",SUMIFS(tbl_input[필요수량],tbl_input[집계키_청],D2450)))</f>
        <v/>
      </c>
      <c r="D2450" t="str">
        <f>IFERROR(INDEX(tbl_input[집계키_청],ROW()-1),"")</f>
        <v/>
      </c>
    </row>
    <row r="2451" spans="1:4" x14ac:dyDescent="0.4">
      <c r="A2451" t="str">
        <f t="shared" si="76"/>
        <v/>
      </c>
      <c r="B2451" t="str">
        <f t="shared" si="77"/>
        <v/>
      </c>
      <c r="C2451" t="str">
        <f>IF(D2451="","",IF(COUNTIF($D$2:D2451,D2451)&gt;1,"",SUMIFS(tbl_input[필요수량],tbl_input[집계키_청],D2451)))</f>
        <v/>
      </c>
      <c r="D2451" t="str">
        <f>IFERROR(INDEX(tbl_input[집계키_청],ROW()-1),"")</f>
        <v/>
      </c>
    </row>
    <row r="2452" spans="1:4" x14ac:dyDescent="0.4">
      <c r="A2452" t="str">
        <f t="shared" si="76"/>
        <v/>
      </c>
      <c r="B2452" t="str">
        <f t="shared" si="77"/>
        <v/>
      </c>
      <c r="C2452" t="str">
        <f>IF(D2452="","",IF(COUNTIF($D$2:D2452,D2452)&gt;1,"",SUMIFS(tbl_input[필요수량],tbl_input[집계키_청],D2452)))</f>
        <v/>
      </c>
      <c r="D2452" t="str">
        <f>IFERROR(INDEX(tbl_input[집계키_청],ROW()-1),"")</f>
        <v/>
      </c>
    </row>
    <row r="2453" spans="1:4" x14ac:dyDescent="0.4">
      <c r="A2453" t="str">
        <f t="shared" si="76"/>
        <v/>
      </c>
      <c r="B2453" t="str">
        <f t="shared" si="77"/>
        <v/>
      </c>
      <c r="C2453" t="str">
        <f>IF(D2453="","",IF(COUNTIF($D$2:D2453,D2453)&gt;1,"",SUMIFS(tbl_input[필요수량],tbl_input[집계키_청],D2453)))</f>
        <v/>
      </c>
      <c r="D2453" t="str">
        <f>IFERROR(INDEX(tbl_input[집계키_청],ROW()-1),"")</f>
        <v/>
      </c>
    </row>
    <row r="2454" spans="1:4" x14ac:dyDescent="0.4">
      <c r="A2454" t="str">
        <f t="shared" si="76"/>
        <v/>
      </c>
      <c r="B2454" t="str">
        <f t="shared" si="77"/>
        <v/>
      </c>
      <c r="C2454" t="str">
        <f>IF(D2454="","",IF(COUNTIF($D$2:D2454,D2454)&gt;1,"",SUMIFS(tbl_input[필요수량],tbl_input[집계키_청],D2454)))</f>
        <v/>
      </c>
      <c r="D2454" t="str">
        <f>IFERROR(INDEX(tbl_input[집계키_청],ROW()-1),"")</f>
        <v/>
      </c>
    </row>
    <row r="2455" spans="1:4" x14ac:dyDescent="0.4">
      <c r="A2455" t="str">
        <f t="shared" si="76"/>
        <v/>
      </c>
      <c r="B2455" t="str">
        <f t="shared" si="77"/>
        <v/>
      </c>
      <c r="C2455" t="str">
        <f>IF(D2455="","",IF(COUNTIF($D$2:D2455,D2455)&gt;1,"",SUMIFS(tbl_input[필요수량],tbl_input[집계키_청],D2455)))</f>
        <v/>
      </c>
      <c r="D2455" t="str">
        <f>IFERROR(INDEX(tbl_input[집계키_청],ROW()-1),"")</f>
        <v/>
      </c>
    </row>
    <row r="2456" spans="1:4" x14ac:dyDescent="0.4">
      <c r="A2456" t="str">
        <f t="shared" si="76"/>
        <v/>
      </c>
      <c r="B2456" t="str">
        <f t="shared" si="77"/>
        <v/>
      </c>
      <c r="C2456" t="str">
        <f>IF(D2456="","",IF(COUNTIF($D$2:D2456,D2456)&gt;1,"",SUMIFS(tbl_input[필요수량],tbl_input[집계키_청],D2456)))</f>
        <v/>
      </c>
      <c r="D2456" t="str">
        <f>IFERROR(INDEX(tbl_input[집계키_청],ROW()-1),"")</f>
        <v/>
      </c>
    </row>
    <row r="2457" spans="1:4" x14ac:dyDescent="0.4">
      <c r="A2457" t="str">
        <f t="shared" si="76"/>
        <v/>
      </c>
      <c r="B2457" t="str">
        <f t="shared" si="77"/>
        <v/>
      </c>
      <c r="C2457" t="str">
        <f>IF(D2457="","",IF(COUNTIF($D$2:D2457,D2457)&gt;1,"",SUMIFS(tbl_input[필요수량],tbl_input[집계키_청],D2457)))</f>
        <v/>
      </c>
      <c r="D2457" t="str">
        <f>IFERROR(INDEX(tbl_input[집계키_청],ROW()-1),"")</f>
        <v/>
      </c>
    </row>
    <row r="2458" spans="1:4" x14ac:dyDescent="0.4">
      <c r="A2458" t="str">
        <f t="shared" si="76"/>
        <v/>
      </c>
      <c r="B2458" t="str">
        <f t="shared" si="77"/>
        <v/>
      </c>
      <c r="C2458" t="str">
        <f>IF(D2458="","",IF(COUNTIF($D$2:D2458,D2458)&gt;1,"",SUMIFS(tbl_input[필요수량],tbl_input[집계키_청],D2458)))</f>
        <v/>
      </c>
      <c r="D2458" t="str">
        <f>IFERROR(INDEX(tbl_input[집계키_청],ROW()-1),"")</f>
        <v/>
      </c>
    </row>
    <row r="2459" spans="1:4" x14ac:dyDescent="0.4">
      <c r="A2459" t="str">
        <f t="shared" si="76"/>
        <v/>
      </c>
      <c r="B2459" t="str">
        <f t="shared" si="77"/>
        <v/>
      </c>
      <c r="C2459" t="str">
        <f>IF(D2459="","",IF(COUNTIF($D$2:D2459,D2459)&gt;1,"",SUMIFS(tbl_input[필요수량],tbl_input[집계키_청],D2459)))</f>
        <v/>
      </c>
      <c r="D2459" t="str">
        <f>IFERROR(INDEX(tbl_input[집계키_청],ROW()-1),"")</f>
        <v/>
      </c>
    </row>
    <row r="2460" spans="1:4" x14ac:dyDescent="0.4">
      <c r="A2460" t="str">
        <f t="shared" si="76"/>
        <v/>
      </c>
      <c r="B2460" t="str">
        <f t="shared" si="77"/>
        <v/>
      </c>
      <c r="C2460" t="str">
        <f>IF(D2460="","",IF(COUNTIF($D$2:D2460,D2460)&gt;1,"",SUMIFS(tbl_input[필요수량],tbl_input[집계키_청],D2460)))</f>
        <v/>
      </c>
      <c r="D2460" t="str">
        <f>IFERROR(INDEX(tbl_input[집계키_청],ROW()-1),"")</f>
        <v/>
      </c>
    </row>
    <row r="2461" spans="1:4" x14ac:dyDescent="0.4">
      <c r="A2461" t="str">
        <f t="shared" si="76"/>
        <v/>
      </c>
      <c r="B2461" t="str">
        <f t="shared" si="77"/>
        <v/>
      </c>
      <c r="C2461" t="str">
        <f>IF(D2461="","",IF(COUNTIF($D$2:D2461,D2461)&gt;1,"",SUMIFS(tbl_input[필요수량],tbl_input[집계키_청],D2461)))</f>
        <v/>
      </c>
      <c r="D2461" t="str">
        <f>IFERROR(INDEX(tbl_input[집계키_청],ROW()-1),"")</f>
        <v/>
      </c>
    </row>
    <row r="2462" spans="1:4" x14ac:dyDescent="0.4">
      <c r="A2462" t="str">
        <f t="shared" si="76"/>
        <v/>
      </c>
      <c r="B2462" t="str">
        <f t="shared" si="77"/>
        <v/>
      </c>
      <c r="C2462" t="str">
        <f>IF(D2462="","",IF(COUNTIF($D$2:D2462,D2462)&gt;1,"",SUMIFS(tbl_input[필요수량],tbl_input[집계키_청],D2462)))</f>
        <v/>
      </c>
      <c r="D2462" t="str">
        <f>IFERROR(INDEX(tbl_input[집계키_청],ROW()-1),"")</f>
        <v/>
      </c>
    </row>
    <row r="2463" spans="1:4" x14ac:dyDescent="0.4">
      <c r="A2463" t="str">
        <f t="shared" si="76"/>
        <v/>
      </c>
      <c r="B2463" t="str">
        <f t="shared" si="77"/>
        <v/>
      </c>
      <c r="C2463" t="str">
        <f>IF(D2463="","",IF(COUNTIF($D$2:D2463,D2463)&gt;1,"",SUMIFS(tbl_input[필요수량],tbl_input[집계키_청],D2463)))</f>
        <v/>
      </c>
      <c r="D2463" t="str">
        <f>IFERROR(INDEX(tbl_input[집계키_청],ROW()-1),"")</f>
        <v/>
      </c>
    </row>
    <row r="2464" spans="1:4" x14ac:dyDescent="0.4">
      <c r="A2464" t="str">
        <f t="shared" si="76"/>
        <v/>
      </c>
      <c r="B2464" t="str">
        <f t="shared" si="77"/>
        <v/>
      </c>
      <c r="C2464" t="str">
        <f>IF(D2464="","",IF(COUNTIF($D$2:D2464,D2464)&gt;1,"",SUMIFS(tbl_input[필요수량],tbl_input[집계키_청],D2464)))</f>
        <v/>
      </c>
      <c r="D2464" t="str">
        <f>IFERROR(INDEX(tbl_input[집계키_청],ROW()-1),"")</f>
        <v/>
      </c>
    </row>
    <row r="2465" spans="1:4" x14ac:dyDescent="0.4">
      <c r="A2465" t="str">
        <f t="shared" si="76"/>
        <v/>
      </c>
      <c r="B2465" t="str">
        <f t="shared" si="77"/>
        <v/>
      </c>
      <c r="C2465" t="str">
        <f>IF(D2465="","",IF(COUNTIF($D$2:D2465,D2465)&gt;1,"",SUMIFS(tbl_input[필요수량],tbl_input[집계키_청],D2465)))</f>
        <v/>
      </c>
      <c r="D2465" t="str">
        <f>IFERROR(INDEX(tbl_input[집계키_청],ROW()-1),"")</f>
        <v/>
      </c>
    </row>
    <row r="2466" spans="1:4" x14ac:dyDescent="0.4">
      <c r="A2466" t="str">
        <f t="shared" si="76"/>
        <v/>
      </c>
      <c r="B2466" t="str">
        <f t="shared" si="77"/>
        <v/>
      </c>
      <c r="C2466" t="str">
        <f>IF(D2466="","",IF(COUNTIF($D$2:D2466,D2466)&gt;1,"",SUMIFS(tbl_input[필요수량],tbl_input[집계키_청],D2466)))</f>
        <v/>
      </c>
      <c r="D2466" t="str">
        <f>IFERROR(INDEX(tbl_input[집계키_청],ROW()-1),"")</f>
        <v/>
      </c>
    </row>
    <row r="2467" spans="1:4" x14ac:dyDescent="0.4">
      <c r="A2467" t="str">
        <f t="shared" si="76"/>
        <v/>
      </c>
      <c r="B2467" t="str">
        <f t="shared" si="77"/>
        <v/>
      </c>
      <c r="C2467" t="str">
        <f>IF(D2467="","",IF(COUNTIF($D$2:D2467,D2467)&gt;1,"",SUMIFS(tbl_input[필요수량],tbl_input[집계키_청],D2467)))</f>
        <v/>
      </c>
      <c r="D2467" t="str">
        <f>IFERROR(INDEX(tbl_input[집계키_청],ROW()-1),"")</f>
        <v/>
      </c>
    </row>
    <row r="2468" spans="1:4" x14ac:dyDescent="0.4">
      <c r="A2468" t="str">
        <f t="shared" si="76"/>
        <v/>
      </c>
      <c r="B2468" t="str">
        <f t="shared" si="77"/>
        <v/>
      </c>
      <c r="C2468" t="str">
        <f>IF(D2468="","",IF(COUNTIF($D$2:D2468,D2468)&gt;1,"",SUMIFS(tbl_input[필요수량],tbl_input[집계키_청],D2468)))</f>
        <v/>
      </c>
      <c r="D2468" t="str">
        <f>IFERROR(INDEX(tbl_input[집계키_청],ROW()-1),"")</f>
        <v/>
      </c>
    </row>
    <row r="2469" spans="1:4" x14ac:dyDescent="0.4">
      <c r="A2469" t="str">
        <f t="shared" si="76"/>
        <v/>
      </c>
      <c r="B2469" t="str">
        <f t="shared" si="77"/>
        <v/>
      </c>
      <c r="C2469" t="str">
        <f>IF(D2469="","",IF(COUNTIF($D$2:D2469,D2469)&gt;1,"",SUMIFS(tbl_input[필요수량],tbl_input[집계키_청],D2469)))</f>
        <v/>
      </c>
      <c r="D2469" t="str">
        <f>IFERROR(INDEX(tbl_input[집계키_청],ROW()-1),"")</f>
        <v/>
      </c>
    </row>
    <row r="2470" spans="1:4" x14ac:dyDescent="0.4">
      <c r="A2470" t="str">
        <f t="shared" si="76"/>
        <v/>
      </c>
      <c r="B2470" t="str">
        <f t="shared" si="77"/>
        <v/>
      </c>
      <c r="C2470" t="str">
        <f>IF(D2470="","",IF(COUNTIF($D$2:D2470,D2470)&gt;1,"",SUMIFS(tbl_input[필요수량],tbl_input[집계키_청],D2470)))</f>
        <v/>
      </c>
      <c r="D2470" t="str">
        <f>IFERROR(INDEX(tbl_input[집계키_청],ROW()-1),"")</f>
        <v/>
      </c>
    </row>
    <row r="2471" spans="1:4" x14ac:dyDescent="0.4">
      <c r="A2471" t="str">
        <f t="shared" si="76"/>
        <v/>
      </c>
      <c r="B2471" t="str">
        <f t="shared" si="77"/>
        <v/>
      </c>
      <c r="C2471" t="str">
        <f>IF(D2471="","",IF(COUNTIF($D$2:D2471,D2471)&gt;1,"",SUMIFS(tbl_input[필요수량],tbl_input[집계키_청],D2471)))</f>
        <v/>
      </c>
      <c r="D2471" t="str">
        <f>IFERROR(INDEX(tbl_input[집계키_청],ROW()-1),"")</f>
        <v/>
      </c>
    </row>
    <row r="2472" spans="1:4" x14ac:dyDescent="0.4">
      <c r="A2472" t="str">
        <f t="shared" si="76"/>
        <v/>
      </c>
      <c r="B2472" t="str">
        <f t="shared" si="77"/>
        <v/>
      </c>
      <c r="C2472" t="str">
        <f>IF(D2472="","",IF(COUNTIF($D$2:D2472,D2472)&gt;1,"",SUMIFS(tbl_input[필요수량],tbl_input[집계키_청],D2472)))</f>
        <v/>
      </c>
      <c r="D2472" t="str">
        <f>IFERROR(INDEX(tbl_input[집계키_청],ROW()-1),"")</f>
        <v/>
      </c>
    </row>
    <row r="2473" spans="1:4" x14ac:dyDescent="0.4">
      <c r="A2473" t="str">
        <f t="shared" si="76"/>
        <v/>
      </c>
      <c r="B2473" t="str">
        <f t="shared" si="77"/>
        <v/>
      </c>
      <c r="C2473" t="str">
        <f>IF(D2473="","",IF(COUNTIF($D$2:D2473,D2473)&gt;1,"",SUMIFS(tbl_input[필요수량],tbl_input[집계키_청],D2473)))</f>
        <v/>
      </c>
      <c r="D2473" t="str">
        <f>IFERROR(INDEX(tbl_input[집계키_청],ROW()-1),"")</f>
        <v/>
      </c>
    </row>
    <row r="2474" spans="1:4" x14ac:dyDescent="0.4">
      <c r="A2474" t="str">
        <f t="shared" si="76"/>
        <v/>
      </c>
      <c r="B2474" t="str">
        <f t="shared" si="77"/>
        <v/>
      </c>
      <c r="C2474" t="str">
        <f>IF(D2474="","",IF(COUNTIF($D$2:D2474,D2474)&gt;1,"",SUMIFS(tbl_input[필요수량],tbl_input[집계키_청],D2474)))</f>
        <v/>
      </c>
      <c r="D2474" t="str">
        <f>IFERROR(INDEX(tbl_input[집계키_청],ROW()-1),"")</f>
        <v/>
      </c>
    </row>
    <row r="2475" spans="1:4" x14ac:dyDescent="0.4">
      <c r="A2475" t="str">
        <f t="shared" si="76"/>
        <v/>
      </c>
      <c r="B2475" t="str">
        <f t="shared" si="77"/>
        <v/>
      </c>
      <c r="C2475" t="str">
        <f>IF(D2475="","",IF(COUNTIF($D$2:D2475,D2475)&gt;1,"",SUMIFS(tbl_input[필요수량],tbl_input[집계키_청],D2475)))</f>
        <v/>
      </c>
      <c r="D2475" t="str">
        <f>IFERROR(INDEX(tbl_input[집계키_청],ROW()-1),"")</f>
        <v/>
      </c>
    </row>
    <row r="2476" spans="1:4" x14ac:dyDescent="0.4">
      <c r="A2476" t="str">
        <f t="shared" si="76"/>
        <v/>
      </c>
      <c r="B2476" t="str">
        <f t="shared" si="77"/>
        <v/>
      </c>
      <c r="C2476" t="str">
        <f>IF(D2476="","",IF(COUNTIF($D$2:D2476,D2476)&gt;1,"",SUMIFS(tbl_input[필요수량],tbl_input[집계키_청],D2476)))</f>
        <v/>
      </c>
      <c r="D2476" t="str">
        <f>IFERROR(INDEX(tbl_input[집계키_청],ROW()-1),"")</f>
        <v/>
      </c>
    </row>
    <row r="2477" spans="1:4" x14ac:dyDescent="0.4">
      <c r="A2477" t="str">
        <f t="shared" si="76"/>
        <v/>
      </c>
      <c r="B2477" t="str">
        <f t="shared" si="77"/>
        <v/>
      </c>
      <c r="C2477" t="str">
        <f>IF(D2477="","",IF(COUNTIF($D$2:D2477,D2477)&gt;1,"",SUMIFS(tbl_input[필요수량],tbl_input[집계키_청],D2477)))</f>
        <v/>
      </c>
      <c r="D2477" t="str">
        <f>IFERROR(INDEX(tbl_input[집계키_청],ROW()-1),"")</f>
        <v/>
      </c>
    </row>
    <row r="2478" spans="1:4" x14ac:dyDescent="0.4">
      <c r="A2478" t="str">
        <f t="shared" si="76"/>
        <v/>
      </c>
      <c r="B2478" t="str">
        <f t="shared" si="77"/>
        <v/>
      </c>
      <c r="C2478" t="str">
        <f>IF(D2478="","",IF(COUNTIF($D$2:D2478,D2478)&gt;1,"",SUMIFS(tbl_input[필요수량],tbl_input[집계키_청],D2478)))</f>
        <v/>
      </c>
      <c r="D2478" t="str">
        <f>IFERROR(INDEX(tbl_input[집계키_청],ROW()-1),"")</f>
        <v/>
      </c>
    </row>
    <row r="2479" spans="1:4" x14ac:dyDescent="0.4">
      <c r="A2479" t="str">
        <f t="shared" si="76"/>
        <v/>
      </c>
      <c r="B2479" t="str">
        <f t="shared" si="77"/>
        <v/>
      </c>
      <c r="C2479" t="str">
        <f>IF(D2479="","",IF(COUNTIF($D$2:D2479,D2479)&gt;1,"",SUMIFS(tbl_input[필요수량],tbl_input[집계키_청],D2479)))</f>
        <v/>
      </c>
      <c r="D2479" t="str">
        <f>IFERROR(INDEX(tbl_input[집계키_청],ROW()-1),"")</f>
        <v/>
      </c>
    </row>
    <row r="2480" spans="1:4" x14ac:dyDescent="0.4">
      <c r="A2480" t="str">
        <f t="shared" si="76"/>
        <v/>
      </c>
      <c r="B2480" t="str">
        <f t="shared" si="77"/>
        <v/>
      </c>
      <c r="C2480" t="str">
        <f>IF(D2480="","",IF(COUNTIF($D$2:D2480,D2480)&gt;1,"",SUMIFS(tbl_input[필요수량],tbl_input[집계키_청],D2480)))</f>
        <v/>
      </c>
      <c r="D2480" t="str">
        <f>IFERROR(INDEX(tbl_input[집계키_청],ROW()-1),"")</f>
        <v/>
      </c>
    </row>
    <row r="2481" spans="1:4" x14ac:dyDescent="0.4">
      <c r="A2481" t="str">
        <f t="shared" si="76"/>
        <v/>
      </c>
      <c r="B2481" t="str">
        <f t="shared" si="77"/>
        <v/>
      </c>
      <c r="C2481" t="str">
        <f>IF(D2481="","",IF(COUNTIF($D$2:D2481,D2481)&gt;1,"",SUMIFS(tbl_input[필요수량],tbl_input[집계키_청],D2481)))</f>
        <v/>
      </c>
      <c r="D2481" t="str">
        <f>IFERROR(INDEX(tbl_input[집계키_청],ROW()-1),"")</f>
        <v/>
      </c>
    </row>
    <row r="2482" spans="1:4" x14ac:dyDescent="0.4">
      <c r="A2482" t="str">
        <f t="shared" si="76"/>
        <v/>
      </c>
      <c r="B2482" t="str">
        <f t="shared" si="77"/>
        <v/>
      </c>
      <c r="C2482" t="str">
        <f>IF(D2482="","",IF(COUNTIF($D$2:D2482,D2482)&gt;1,"",SUMIFS(tbl_input[필요수량],tbl_input[집계키_청],D2482)))</f>
        <v/>
      </c>
      <c r="D2482" t="str">
        <f>IFERROR(INDEX(tbl_input[집계키_청],ROW()-1),"")</f>
        <v/>
      </c>
    </row>
    <row r="2483" spans="1:4" x14ac:dyDescent="0.4">
      <c r="A2483" t="str">
        <f t="shared" si="76"/>
        <v/>
      </c>
      <c r="B2483" t="str">
        <f t="shared" si="77"/>
        <v/>
      </c>
      <c r="C2483" t="str">
        <f>IF(D2483="","",IF(COUNTIF($D$2:D2483,D2483)&gt;1,"",SUMIFS(tbl_input[필요수량],tbl_input[집계키_청],D2483)))</f>
        <v/>
      </c>
      <c r="D2483" t="str">
        <f>IFERROR(INDEX(tbl_input[집계키_청],ROW()-1),"")</f>
        <v/>
      </c>
    </row>
    <row r="2484" spans="1:4" x14ac:dyDescent="0.4">
      <c r="A2484" t="str">
        <f t="shared" si="76"/>
        <v/>
      </c>
      <c r="B2484" t="str">
        <f t="shared" si="77"/>
        <v/>
      </c>
      <c r="C2484" t="str">
        <f>IF(D2484="","",IF(COUNTIF($D$2:D2484,D2484)&gt;1,"",SUMIFS(tbl_input[필요수량],tbl_input[집계키_청],D2484)))</f>
        <v/>
      </c>
      <c r="D2484" t="str">
        <f>IFERROR(INDEX(tbl_input[집계키_청],ROW()-1),"")</f>
        <v/>
      </c>
    </row>
    <row r="2485" spans="1:4" x14ac:dyDescent="0.4">
      <c r="A2485" t="str">
        <f t="shared" si="76"/>
        <v/>
      </c>
      <c r="B2485" t="str">
        <f t="shared" si="77"/>
        <v/>
      </c>
      <c r="C2485" t="str">
        <f>IF(D2485="","",IF(COUNTIF($D$2:D2485,D2485)&gt;1,"",SUMIFS(tbl_input[필요수량],tbl_input[집계키_청],D2485)))</f>
        <v/>
      </c>
      <c r="D2485" t="str">
        <f>IFERROR(INDEX(tbl_input[집계키_청],ROW()-1),"")</f>
        <v/>
      </c>
    </row>
    <row r="2486" spans="1:4" x14ac:dyDescent="0.4">
      <c r="A2486" t="str">
        <f t="shared" si="76"/>
        <v/>
      </c>
      <c r="B2486" t="str">
        <f t="shared" si="77"/>
        <v/>
      </c>
      <c r="C2486" t="str">
        <f>IF(D2486="","",IF(COUNTIF($D$2:D2486,D2486)&gt;1,"",SUMIFS(tbl_input[필요수량],tbl_input[집계키_청],D2486)))</f>
        <v/>
      </c>
      <c r="D2486" t="str">
        <f>IFERROR(INDEX(tbl_input[집계키_청],ROW()-1),"")</f>
        <v/>
      </c>
    </row>
    <row r="2487" spans="1:4" x14ac:dyDescent="0.4">
      <c r="A2487" t="str">
        <f t="shared" si="76"/>
        <v/>
      </c>
      <c r="B2487" t="str">
        <f t="shared" si="77"/>
        <v/>
      </c>
      <c r="C2487" t="str">
        <f>IF(D2487="","",IF(COUNTIF($D$2:D2487,D2487)&gt;1,"",SUMIFS(tbl_input[필요수량],tbl_input[집계키_청],D2487)))</f>
        <v/>
      </c>
      <c r="D2487" t="str">
        <f>IFERROR(INDEX(tbl_input[집계키_청],ROW()-1),"")</f>
        <v/>
      </c>
    </row>
    <row r="2488" spans="1:4" x14ac:dyDescent="0.4">
      <c r="A2488" t="str">
        <f t="shared" si="76"/>
        <v/>
      </c>
      <c r="B2488" t="str">
        <f t="shared" si="77"/>
        <v/>
      </c>
      <c r="C2488" t="str">
        <f>IF(D2488="","",IF(COUNTIF($D$2:D2488,D2488)&gt;1,"",SUMIFS(tbl_input[필요수량],tbl_input[집계키_청],D2488)))</f>
        <v/>
      </c>
      <c r="D2488" t="str">
        <f>IFERROR(INDEX(tbl_input[집계키_청],ROW()-1),"")</f>
        <v/>
      </c>
    </row>
    <row r="2489" spans="1:4" x14ac:dyDescent="0.4">
      <c r="A2489" t="str">
        <f t="shared" si="76"/>
        <v/>
      </c>
      <c r="B2489" t="str">
        <f t="shared" si="77"/>
        <v/>
      </c>
      <c r="C2489" t="str">
        <f>IF(D2489="","",IF(COUNTIF($D$2:D2489,D2489)&gt;1,"",SUMIFS(tbl_input[필요수량],tbl_input[집계키_청],D2489)))</f>
        <v/>
      </c>
      <c r="D2489" t="str">
        <f>IFERROR(INDEX(tbl_input[집계키_청],ROW()-1),"")</f>
        <v/>
      </c>
    </row>
    <row r="2490" spans="1:4" x14ac:dyDescent="0.4">
      <c r="A2490" t="str">
        <f t="shared" si="76"/>
        <v/>
      </c>
      <c r="B2490" t="str">
        <f t="shared" si="77"/>
        <v/>
      </c>
      <c r="C2490" t="str">
        <f>IF(D2490="","",IF(COUNTIF($D$2:D2490,D2490)&gt;1,"",SUMIFS(tbl_input[필요수량],tbl_input[집계키_청],D2490)))</f>
        <v/>
      </c>
      <c r="D2490" t="str">
        <f>IFERROR(INDEX(tbl_input[집계키_청],ROW()-1),"")</f>
        <v/>
      </c>
    </row>
    <row r="2491" spans="1:4" x14ac:dyDescent="0.4">
      <c r="A2491" t="str">
        <f t="shared" si="76"/>
        <v/>
      </c>
      <c r="B2491" t="str">
        <f t="shared" si="77"/>
        <v/>
      </c>
      <c r="C2491" t="str">
        <f>IF(D2491="","",IF(COUNTIF($D$2:D2491,D2491)&gt;1,"",SUMIFS(tbl_input[필요수량],tbl_input[집계키_청],D2491)))</f>
        <v/>
      </c>
      <c r="D2491" t="str">
        <f>IFERROR(INDEX(tbl_input[집계키_청],ROW()-1),"")</f>
        <v/>
      </c>
    </row>
    <row r="2492" spans="1:4" x14ac:dyDescent="0.4">
      <c r="A2492" t="str">
        <f t="shared" si="76"/>
        <v/>
      </c>
      <c r="B2492" t="str">
        <f t="shared" si="77"/>
        <v/>
      </c>
      <c r="C2492" t="str">
        <f>IF(D2492="","",IF(COUNTIF($D$2:D2492,D2492)&gt;1,"",SUMIFS(tbl_input[필요수량],tbl_input[집계키_청],D2492)))</f>
        <v/>
      </c>
      <c r="D2492" t="str">
        <f>IFERROR(INDEX(tbl_input[집계키_청],ROW()-1),"")</f>
        <v/>
      </c>
    </row>
    <row r="2493" spans="1:4" x14ac:dyDescent="0.4">
      <c r="A2493" t="str">
        <f t="shared" si="76"/>
        <v/>
      </c>
      <c r="B2493" t="str">
        <f t="shared" si="77"/>
        <v/>
      </c>
      <c r="C2493" t="str">
        <f>IF(D2493="","",IF(COUNTIF($D$2:D2493,D2493)&gt;1,"",SUMIFS(tbl_input[필요수량],tbl_input[집계키_청],D2493)))</f>
        <v/>
      </c>
      <c r="D2493" t="str">
        <f>IFERROR(INDEX(tbl_input[집계키_청],ROW()-1),"")</f>
        <v/>
      </c>
    </row>
    <row r="2494" spans="1:4" x14ac:dyDescent="0.4">
      <c r="A2494" t="str">
        <f t="shared" si="76"/>
        <v/>
      </c>
      <c r="B2494" t="str">
        <f t="shared" si="77"/>
        <v/>
      </c>
      <c r="C2494" t="str">
        <f>IF(D2494="","",IF(COUNTIF($D$2:D2494,D2494)&gt;1,"",SUMIFS(tbl_input[필요수량],tbl_input[집계키_청],D2494)))</f>
        <v/>
      </c>
      <c r="D2494" t="str">
        <f>IFERROR(INDEX(tbl_input[집계키_청],ROW()-1),"")</f>
        <v/>
      </c>
    </row>
    <row r="2495" spans="1:4" x14ac:dyDescent="0.4">
      <c r="A2495" t="str">
        <f t="shared" si="76"/>
        <v/>
      </c>
      <c r="B2495" t="str">
        <f t="shared" si="77"/>
        <v/>
      </c>
      <c r="C2495" t="str">
        <f>IF(D2495="","",IF(COUNTIF($D$2:D2495,D2495)&gt;1,"",SUMIFS(tbl_input[필요수량],tbl_input[집계키_청],D2495)))</f>
        <v/>
      </c>
      <c r="D2495" t="str">
        <f>IFERROR(INDEX(tbl_input[집계키_청],ROW()-1),"")</f>
        <v/>
      </c>
    </row>
    <row r="2496" spans="1:4" x14ac:dyDescent="0.4">
      <c r="A2496" t="str">
        <f t="shared" si="76"/>
        <v/>
      </c>
      <c r="B2496" t="str">
        <f t="shared" si="77"/>
        <v/>
      </c>
      <c r="C2496" t="str">
        <f>IF(D2496="","",IF(COUNTIF($D$2:D2496,D2496)&gt;1,"",SUMIFS(tbl_input[필요수량],tbl_input[집계키_청],D2496)))</f>
        <v/>
      </c>
      <c r="D2496" t="str">
        <f>IFERROR(INDEX(tbl_input[집계키_청],ROW()-1),"")</f>
        <v/>
      </c>
    </row>
    <row r="2497" spans="1:4" x14ac:dyDescent="0.4">
      <c r="A2497" t="str">
        <f t="shared" si="76"/>
        <v/>
      </c>
      <c r="B2497" t="str">
        <f t="shared" si="77"/>
        <v/>
      </c>
      <c r="C2497" t="str">
        <f>IF(D2497="","",IF(COUNTIF($D$2:D2497,D2497)&gt;1,"",SUMIFS(tbl_input[필요수량],tbl_input[집계키_청],D2497)))</f>
        <v/>
      </c>
      <c r="D2497" t="str">
        <f>IFERROR(INDEX(tbl_input[집계키_청],ROW()-1),"")</f>
        <v/>
      </c>
    </row>
    <row r="2498" spans="1:4" x14ac:dyDescent="0.4">
      <c r="A2498" t="str">
        <f t="shared" ref="A2498:A2561" si="78">IF(D2498="","",LEFT(D2498,FIND("♦",D2498)-1))</f>
        <v/>
      </c>
      <c r="B2498" t="str">
        <f t="shared" ref="B2498:B2561" si="79">IF(D2498="","",MID(D2498,FIND("♦",D2498)+1,999))</f>
        <v/>
      </c>
      <c r="C2498" t="str">
        <f>IF(D2498="","",IF(COUNTIF($D$2:D2498,D2498)&gt;1,"",SUMIFS(tbl_input[필요수량],tbl_input[집계키_청],D2498)))</f>
        <v/>
      </c>
      <c r="D2498" t="str">
        <f>IFERROR(INDEX(tbl_input[집계키_청],ROW()-1),"")</f>
        <v/>
      </c>
    </row>
    <row r="2499" spans="1:4" x14ac:dyDescent="0.4">
      <c r="A2499" t="str">
        <f t="shared" si="78"/>
        <v/>
      </c>
      <c r="B2499" t="str">
        <f t="shared" si="79"/>
        <v/>
      </c>
      <c r="C2499" t="str">
        <f>IF(D2499="","",IF(COUNTIF($D$2:D2499,D2499)&gt;1,"",SUMIFS(tbl_input[필요수량],tbl_input[집계키_청],D2499)))</f>
        <v/>
      </c>
      <c r="D2499" t="str">
        <f>IFERROR(INDEX(tbl_input[집계키_청],ROW()-1),"")</f>
        <v/>
      </c>
    </row>
    <row r="2500" spans="1:4" x14ac:dyDescent="0.4">
      <c r="A2500" t="str">
        <f t="shared" si="78"/>
        <v/>
      </c>
      <c r="B2500" t="str">
        <f t="shared" si="79"/>
        <v/>
      </c>
      <c r="C2500" t="str">
        <f>IF(D2500="","",IF(COUNTIF($D$2:D2500,D2500)&gt;1,"",SUMIFS(tbl_input[필요수량],tbl_input[집계키_청],D2500)))</f>
        <v/>
      </c>
      <c r="D2500" t="str">
        <f>IFERROR(INDEX(tbl_input[집계키_청],ROW()-1),"")</f>
        <v/>
      </c>
    </row>
    <row r="2501" spans="1:4" x14ac:dyDescent="0.4">
      <c r="A2501" t="str">
        <f t="shared" si="78"/>
        <v/>
      </c>
      <c r="B2501" t="str">
        <f t="shared" si="79"/>
        <v/>
      </c>
      <c r="C2501" t="str">
        <f>IF(D2501="","",IF(COUNTIF($D$2:D2501,D2501)&gt;1,"",SUMIFS(tbl_input[필요수량],tbl_input[집계키_청],D2501)))</f>
        <v/>
      </c>
      <c r="D2501" t="str">
        <f>IFERROR(INDEX(tbl_input[집계키_청],ROW()-1),"")</f>
        <v/>
      </c>
    </row>
    <row r="2502" spans="1:4" x14ac:dyDescent="0.4">
      <c r="A2502" t="str">
        <f t="shared" si="78"/>
        <v/>
      </c>
      <c r="B2502" t="str">
        <f t="shared" si="79"/>
        <v/>
      </c>
      <c r="C2502" t="str">
        <f>IF(D2502="","",IF(COUNTIF($D$2:D2502,D2502)&gt;1,"",SUMIFS(tbl_input[필요수량],tbl_input[집계키_청],D2502)))</f>
        <v/>
      </c>
      <c r="D2502" t="str">
        <f>IFERROR(INDEX(tbl_input[집계키_청],ROW()-1),"")</f>
        <v/>
      </c>
    </row>
    <row r="2503" spans="1:4" x14ac:dyDescent="0.4">
      <c r="A2503" t="str">
        <f t="shared" si="78"/>
        <v/>
      </c>
      <c r="B2503" t="str">
        <f t="shared" si="79"/>
        <v/>
      </c>
      <c r="C2503" t="str">
        <f>IF(D2503="","",IF(COUNTIF($D$2:D2503,D2503)&gt;1,"",SUMIFS(tbl_input[필요수량],tbl_input[집계키_청],D2503)))</f>
        <v/>
      </c>
      <c r="D2503" t="str">
        <f>IFERROR(INDEX(tbl_input[집계키_청],ROW()-1),"")</f>
        <v/>
      </c>
    </row>
    <row r="2504" spans="1:4" x14ac:dyDescent="0.4">
      <c r="A2504" t="str">
        <f t="shared" si="78"/>
        <v/>
      </c>
      <c r="B2504" t="str">
        <f t="shared" si="79"/>
        <v/>
      </c>
      <c r="C2504" t="str">
        <f>IF(D2504="","",IF(COUNTIF($D$2:D2504,D2504)&gt;1,"",SUMIFS(tbl_input[필요수량],tbl_input[집계키_청],D2504)))</f>
        <v/>
      </c>
      <c r="D2504" t="str">
        <f>IFERROR(INDEX(tbl_input[집계키_청],ROW()-1),"")</f>
        <v/>
      </c>
    </row>
    <row r="2505" spans="1:4" x14ac:dyDescent="0.4">
      <c r="A2505" t="str">
        <f t="shared" si="78"/>
        <v/>
      </c>
      <c r="B2505" t="str">
        <f t="shared" si="79"/>
        <v/>
      </c>
      <c r="C2505" t="str">
        <f>IF(D2505="","",IF(COUNTIF($D$2:D2505,D2505)&gt;1,"",SUMIFS(tbl_input[필요수량],tbl_input[집계키_청],D2505)))</f>
        <v/>
      </c>
      <c r="D2505" t="str">
        <f>IFERROR(INDEX(tbl_input[집계키_청],ROW()-1),"")</f>
        <v/>
      </c>
    </row>
    <row r="2506" spans="1:4" x14ac:dyDescent="0.4">
      <c r="A2506" t="str">
        <f t="shared" si="78"/>
        <v/>
      </c>
      <c r="B2506" t="str">
        <f t="shared" si="79"/>
        <v/>
      </c>
      <c r="C2506" t="str">
        <f>IF(D2506="","",IF(COUNTIF($D$2:D2506,D2506)&gt;1,"",SUMIFS(tbl_input[필요수량],tbl_input[집계키_청],D2506)))</f>
        <v/>
      </c>
      <c r="D2506" t="str">
        <f>IFERROR(INDEX(tbl_input[집계키_청],ROW()-1),"")</f>
        <v/>
      </c>
    </row>
    <row r="2507" spans="1:4" x14ac:dyDescent="0.4">
      <c r="A2507" t="str">
        <f t="shared" si="78"/>
        <v/>
      </c>
      <c r="B2507" t="str">
        <f t="shared" si="79"/>
        <v/>
      </c>
      <c r="C2507" t="str">
        <f>IF(D2507="","",IF(COUNTIF($D$2:D2507,D2507)&gt;1,"",SUMIFS(tbl_input[필요수량],tbl_input[집계키_청],D2507)))</f>
        <v/>
      </c>
      <c r="D2507" t="str">
        <f>IFERROR(INDEX(tbl_input[집계키_청],ROW()-1),"")</f>
        <v/>
      </c>
    </row>
    <row r="2508" spans="1:4" x14ac:dyDescent="0.4">
      <c r="A2508" t="str">
        <f t="shared" si="78"/>
        <v/>
      </c>
      <c r="B2508" t="str">
        <f t="shared" si="79"/>
        <v/>
      </c>
      <c r="C2508" t="str">
        <f>IF(D2508="","",IF(COUNTIF($D$2:D2508,D2508)&gt;1,"",SUMIFS(tbl_input[필요수량],tbl_input[집계키_청],D2508)))</f>
        <v/>
      </c>
      <c r="D2508" t="str">
        <f>IFERROR(INDEX(tbl_input[집계키_청],ROW()-1),"")</f>
        <v/>
      </c>
    </row>
    <row r="2509" spans="1:4" x14ac:dyDescent="0.4">
      <c r="A2509" t="str">
        <f t="shared" si="78"/>
        <v/>
      </c>
      <c r="B2509" t="str">
        <f t="shared" si="79"/>
        <v/>
      </c>
      <c r="C2509" t="str">
        <f>IF(D2509="","",IF(COUNTIF($D$2:D2509,D2509)&gt;1,"",SUMIFS(tbl_input[필요수량],tbl_input[집계키_청],D2509)))</f>
        <v/>
      </c>
      <c r="D2509" t="str">
        <f>IFERROR(INDEX(tbl_input[집계키_청],ROW()-1),"")</f>
        <v/>
      </c>
    </row>
    <row r="2510" spans="1:4" x14ac:dyDescent="0.4">
      <c r="A2510" t="str">
        <f t="shared" si="78"/>
        <v/>
      </c>
      <c r="B2510" t="str">
        <f t="shared" si="79"/>
        <v/>
      </c>
      <c r="C2510" t="str">
        <f>IF(D2510="","",IF(COUNTIF($D$2:D2510,D2510)&gt;1,"",SUMIFS(tbl_input[필요수량],tbl_input[집계키_청],D2510)))</f>
        <v/>
      </c>
      <c r="D2510" t="str">
        <f>IFERROR(INDEX(tbl_input[집계키_청],ROW()-1),"")</f>
        <v/>
      </c>
    </row>
    <row r="2511" spans="1:4" x14ac:dyDescent="0.4">
      <c r="A2511" t="str">
        <f t="shared" si="78"/>
        <v/>
      </c>
      <c r="B2511" t="str">
        <f t="shared" si="79"/>
        <v/>
      </c>
      <c r="C2511" t="str">
        <f>IF(D2511="","",IF(COUNTIF($D$2:D2511,D2511)&gt;1,"",SUMIFS(tbl_input[필요수량],tbl_input[집계키_청],D2511)))</f>
        <v/>
      </c>
      <c r="D2511" t="str">
        <f>IFERROR(INDEX(tbl_input[집계키_청],ROW()-1),"")</f>
        <v/>
      </c>
    </row>
    <row r="2512" spans="1:4" x14ac:dyDescent="0.4">
      <c r="A2512" t="str">
        <f t="shared" si="78"/>
        <v/>
      </c>
      <c r="B2512" t="str">
        <f t="shared" si="79"/>
        <v/>
      </c>
      <c r="C2512" t="str">
        <f>IF(D2512="","",IF(COUNTIF($D$2:D2512,D2512)&gt;1,"",SUMIFS(tbl_input[필요수량],tbl_input[집계키_청],D2512)))</f>
        <v/>
      </c>
      <c r="D2512" t="str">
        <f>IFERROR(INDEX(tbl_input[집계키_청],ROW()-1),"")</f>
        <v/>
      </c>
    </row>
    <row r="2513" spans="1:4" x14ac:dyDescent="0.4">
      <c r="A2513" t="str">
        <f t="shared" si="78"/>
        <v/>
      </c>
      <c r="B2513" t="str">
        <f t="shared" si="79"/>
        <v/>
      </c>
      <c r="C2513" t="str">
        <f>IF(D2513="","",IF(COUNTIF($D$2:D2513,D2513)&gt;1,"",SUMIFS(tbl_input[필요수량],tbl_input[집계키_청],D2513)))</f>
        <v/>
      </c>
      <c r="D2513" t="str">
        <f>IFERROR(INDEX(tbl_input[집계키_청],ROW()-1),"")</f>
        <v/>
      </c>
    </row>
    <row r="2514" spans="1:4" x14ac:dyDescent="0.4">
      <c r="A2514" t="str">
        <f t="shared" si="78"/>
        <v/>
      </c>
      <c r="B2514" t="str">
        <f t="shared" si="79"/>
        <v/>
      </c>
      <c r="C2514" t="str">
        <f>IF(D2514="","",IF(COUNTIF($D$2:D2514,D2514)&gt;1,"",SUMIFS(tbl_input[필요수량],tbl_input[집계키_청],D2514)))</f>
        <v/>
      </c>
      <c r="D2514" t="str">
        <f>IFERROR(INDEX(tbl_input[집계키_청],ROW()-1),"")</f>
        <v/>
      </c>
    </row>
    <row r="2515" spans="1:4" x14ac:dyDescent="0.4">
      <c r="A2515" t="str">
        <f t="shared" si="78"/>
        <v/>
      </c>
      <c r="B2515" t="str">
        <f t="shared" si="79"/>
        <v/>
      </c>
      <c r="C2515" t="str">
        <f>IF(D2515="","",IF(COUNTIF($D$2:D2515,D2515)&gt;1,"",SUMIFS(tbl_input[필요수량],tbl_input[집계키_청],D2515)))</f>
        <v/>
      </c>
      <c r="D2515" t="str">
        <f>IFERROR(INDEX(tbl_input[집계키_청],ROW()-1),"")</f>
        <v/>
      </c>
    </row>
    <row r="2516" spans="1:4" x14ac:dyDescent="0.4">
      <c r="A2516" t="str">
        <f t="shared" si="78"/>
        <v/>
      </c>
      <c r="B2516" t="str">
        <f t="shared" si="79"/>
        <v/>
      </c>
      <c r="C2516" t="str">
        <f>IF(D2516="","",IF(COUNTIF($D$2:D2516,D2516)&gt;1,"",SUMIFS(tbl_input[필요수량],tbl_input[집계키_청],D2516)))</f>
        <v/>
      </c>
      <c r="D2516" t="str">
        <f>IFERROR(INDEX(tbl_input[집계키_청],ROW()-1),"")</f>
        <v/>
      </c>
    </row>
    <row r="2517" spans="1:4" x14ac:dyDescent="0.4">
      <c r="A2517" t="str">
        <f t="shared" si="78"/>
        <v/>
      </c>
      <c r="B2517" t="str">
        <f t="shared" si="79"/>
        <v/>
      </c>
      <c r="C2517" t="str">
        <f>IF(D2517="","",IF(COUNTIF($D$2:D2517,D2517)&gt;1,"",SUMIFS(tbl_input[필요수량],tbl_input[집계키_청],D2517)))</f>
        <v/>
      </c>
      <c r="D2517" t="str">
        <f>IFERROR(INDEX(tbl_input[집계키_청],ROW()-1),"")</f>
        <v/>
      </c>
    </row>
    <row r="2518" spans="1:4" x14ac:dyDescent="0.4">
      <c r="A2518" t="str">
        <f t="shared" si="78"/>
        <v/>
      </c>
      <c r="B2518" t="str">
        <f t="shared" si="79"/>
        <v/>
      </c>
      <c r="C2518" t="str">
        <f>IF(D2518="","",IF(COUNTIF($D$2:D2518,D2518)&gt;1,"",SUMIFS(tbl_input[필요수량],tbl_input[집계키_청],D2518)))</f>
        <v/>
      </c>
      <c r="D2518" t="str">
        <f>IFERROR(INDEX(tbl_input[집계키_청],ROW()-1),"")</f>
        <v/>
      </c>
    </row>
    <row r="2519" spans="1:4" x14ac:dyDescent="0.4">
      <c r="A2519" t="str">
        <f t="shared" si="78"/>
        <v/>
      </c>
      <c r="B2519" t="str">
        <f t="shared" si="79"/>
        <v/>
      </c>
      <c r="C2519" t="str">
        <f>IF(D2519="","",IF(COUNTIF($D$2:D2519,D2519)&gt;1,"",SUMIFS(tbl_input[필요수량],tbl_input[집계키_청],D2519)))</f>
        <v/>
      </c>
      <c r="D2519" t="str">
        <f>IFERROR(INDEX(tbl_input[집계키_청],ROW()-1),"")</f>
        <v/>
      </c>
    </row>
    <row r="2520" spans="1:4" x14ac:dyDescent="0.4">
      <c r="A2520" t="str">
        <f t="shared" si="78"/>
        <v/>
      </c>
      <c r="B2520" t="str">
        <f t="shared" si="79"/>
        <v/>
      </c>
      <c r="C2520" t="str">
        <f>IF(D2520="","",IF(COUNTIF($D$2:D2520,D2520)&gt;1,"",SUMIFS(tbl_input[필요수량],tbl_input[집계키_청],D2520)))</f>
        <v/>
      </c>
      <c r="D2520" t="str">
        <f>IFERROR(INDEX(tbl_input[집계키_청],ROW()-1),"")</f>
        <v/>
      </c>
    </row>
    <row r="2521" spans="1:4" x14ac:dyDescent="0.4">
      <c r="A2521" t="str">
        <f t="shared" si="78"/>
        <v/>
      </c>
      <c r="B2521" t="str">
        <f t="shared" si="79"/>
        <v/>
      </c>
      <c r="C2521" t="str">
        <f>IF(D2521="","",IF(COUNTIF($D$2:D2521,D2521)&gt;1,"",SUMIFS(tbl_input[필요수량],tbl_input[집계키_청],D2521)))</f>
        <v/>
      </c>
      <c r="D2521" t="str">
        <f>IFERROR(INDEX(tbl_input[집계키_청],ROW()-1),"")</f>
        <v/>
      </c>
    </row>
    <row r="2522" spans="1:4" x14ac:dyDescent="0.4">
      <c r="A2522" t="str">
        <f t="shared" si="78"/>
        <v/>
      </c>
      <c r="B2522" t="str">
        <f t="shared" si="79"/>
        <v/>
      </c>
      <c r="C2522" t="str">
        <f>IF(D2522="","",IF(COUNTIF($D$2:D2522,D2522)&gt;1,"",SUMIFS(tbl_input[필요수량],tbl_input[집계키_청],D2522)))</f>
        <v/>
      </c>
      <c r="D2522" t="str">
        <f>IFERROR(INDEX(tbl_input[집계키_청],ROW()-1),"")</f>
        <v/>
      </c>
    </row>
    <row r="2523" spans="1:4" x14ac:dyDescent="0.4">
      <c r="A2523" t="str">
        <f t="shared" si="78"/>
        <v/>
      </c>
      <c r="B2523" t="str">
        <f t="shared" si="79"/>
        <v/>
      </c>
      <c r="C2523" t="str">
        <f>IF(D2523="","",IF(COUNTIF($D$2:D2523,D2523)&gt;1,"",SUMIFS(tbl_input[필요수량],tbl_input[집계키_청],D2523)))</f>
        <v/>
      </c>
      <c r="D2523" t="str">
        <f>IFERROR(INDEX(tbl_input[집계키_청],ROW()-1),"")</f>
        <v/>
      </c>
    </row>
    <row r="2524" spans="1:4" x14ac:dyDescent="0.4">
      <c r="A2524" t="str">
        <f t="shared" si="78"/>
        <v/>
      </c>
      <c r="B2524" t="str">
        <f t="shared" si="79"/>
        <v/>
      </c>
      <c r="C2524" t="str">
        <f>IF(D2524="","",IF(COUNTIF($D$2:D2524,D2524)&gt;1,"",SUMIFS(tbl_input[필요수량],tbl_input[집계키_청],D2524)))</f>
        <v/>
      </c>
      <c r="D2524" t="str">
        <f>IFERROR(INDEX(tbl_input[집계키_청],ROW()-1),"")</f>
        <v/>
      </c>
    </row>
    <row r="2525" spans="1:4" x14ac:dyDescent="0.4">
      <c r="A2525" t="str">
        <f t="shared" si="78"/>
        <v/>
      </c>
      <c r="B2525" t="str">
        <f t="shared" si="79"/>
        <v/>
      </c>
      <c r="C2525" t="str">
        <f>IF(D2525="","",IF(COUNTIF($D$2:D2525,D2525)&gt;1,"",SUMIFS(tbl_input[필요수량],tbl_input[집계키_청],D2525)))</f>
        <v/>
      </c>
      <c r="D2525" t="str">
        <f>IFERROR(INDEX(tbl_input[집계키_청],ROW()-1),"")</f>
        <v/>
      </c>
    </row>
    <row r="2526" spans="1:4" x14ac:dyDescent="0.4">
      <c r="A2526" t="str">
        <f t="shared" si="78"/>
        <v/>
      </c>
      <c r="B2526" t="str">
        <f t="shared" si="79"/>
        <v/>
      </c>
      <c r="C2526" t="str">
        <f>IF(D2526="","",IF(COUNTIF($D$2:D2526,D2526)&gt;1,"",SUMIFS(tbl_input[필요수량],tbl_input[집계키_청],D2526)))</f>
        <v/>
      </c>
      <c r="D2526" t="str">
        <f>IFERROR(INDEX(tbl_input[집계키_청],ROW()-1),"")</f>
        <v/>
      </c>
    </row>
    <row r="2527" spans="1:4" x14ac:dyDescent="0.4">
      <c r="A2527" t="str">
        <f t="shared" si="78"/>
        <v/>
      </c>
      <c r="B2527" t="str">
        <f t="shared" si="79"/>
        <v/>
      </c>
      <c r="C2527" t="str">
        <f>IF(D2527="","",IF(COUNTIF($D$2:D2527,D2527)&gt;1,"",SUMIFS(tbl_input[필요수량],tbl_input[집계키_청],D2527)))</f>
        <v/>
      </c>
      <c r="D2527" t="str">
        <f>IFERROR(INDEX(tbl_input[집계키_청],ROW()-1),"")</f>
        <v/>
      </c>
    </row>
    <row r="2528" spans="1:4" x14ac:dyDescent="0.4">
      <c r="A2528" t="str">
        <f t="shared" si="78"/>
        <v/>
      </c>
      <c r="B2528" t="str">
        <f t="shared" si="79"/>
        <v/>
      </c>
      <c r="C2528" t="str">
        <f>IF(D2528="","",IF(COUNTIF($D$2:D2528,D2528)&gt;1,"",SUMIFS(tbl_input[필요수량],tbl_input[집계키_청],D2528)))</f>
        <v/>
      </c>
      <c r="D2528" t="str">
        <f>IFERROR(INDEX(tbl_input[집계키_청],ROW()-1),"")</f>
        <v/>
      </c>
    </row>
    <row r="2529" spans="1:4" x14ac:dyDescent="0.4">
      <c r="A2529" t="str">
        <f t="shared" si="78"/>
        <v/>
      </c>
      <c r="B2529" t="str">
        <f t="shared" si="79"/>
        <v/>
      </c>
      <c r="C2529" t="str">
        <f>IF(D2529="","",IF(COUNTIF($D$2:D2529,D2529)&gt;1,"",SUMIFS(tbl_input[필요수량],tbl_input[집계키_청],D2529)))</f>
        <v/>
      </c>
      <c r="D2529" t="str">
        <f>IFERROR(INDEX(tbl_input[집계키_청],ROW()-1),"")</f>
        <v/>
      </c>
    </row>
    <row r="2530" spans="1:4" x14ac:dyDescent="0.4">
      <c r="A2530" t="str">
        <f t="shared" si="78"/>
        <v/>
      </c>
      <c r="B2530" t="str">
        <f t="shared" si="79"/>
        <v/>
      </c>
      <c r="C2530" t="str">
        <f>IF(D2530="","",IF(COUNTIF($D$2:D2530,D2530)&gt;1,"",SUMIFS(tbl_input[필요수량],tbl_input[집계키_청],D2530)))</f>
        <v/>
      </c>
      <c r="D2530" t="str">
        <f>IFERROR(INDEX(tbl_input[집계키_청],ROW()-1),"")</f>
        <v/>
      </c>
    </row>
    <row r="2531" spans="1:4" x14ac:dyDescent="0.4">
      <c r="A2531" t="str">
        <f t="shared" si="78"/>
        <v/>
      </c>
      <c r="B2531" t="str">
        <f t="shared" si="79"/>
        <v/>
      </c>
      <c r="C2531" t="str">
        <f>IF(D2531="","",IF(COUNTIF($D$2:D2531,D2531)&gt;1,"",SUMIFS(tbl_input[필요수량],tbl_input[집계키_청],D2531)))</f>
        <v/>
      </c>
      <c r="D2531" t="str">
        <f>IFERROR(INDEX(tbl_input[집계키_청],ROW()-1),"")</f>
        <v/>
      </c>
    </row>
    <row r="2532" spans="1:4" x14ac:dyDescent="0.4">
      <c r="A2532" t="str">
        <f t="shared" si="78"/>
        <v/>
      </c>
      <c r="B2532" t="str">
        <f t="shared" si="79"/>
        <v/>
      </c>
      <c r="C2532" t="str">
        <f>IF(D2532="","",IF(COUNTIF($D$2:D2532,D2532)&gt;1,"",SUMIFS(tbl_input[필요수량],tbl_input[집계키_청],D2532)))</f>
        <v/>
      </c>
      <c r="D2532" t="str">
        <f>IFERROR(INDEX(tbl_input[집계키_청],ROW()-1),"")</f>
        <v/>
      </c>
    </row>
    <row r="2533" spans="1:4" x14ac:dyDescent="0.4">
      <c r="A2533" t="str">
        <f t="shared" si="78"/>
        <v/>
      </c>
      <c r="B2533" t="str">
        <f t="shared" si="79"/>
        <v/>
      </c>
      <c r="C2533" t="str">
        <f>IF(D2533="","",IF(COUNTIF($D$2:D2533,D2533)&gt;1,"",SUMIFS(tbl_input[필요수량],tbl_input[집계키_청],D2533)))</f>
        <v/>
      </c>
      <c r="D2533" t="str">
        <f>IFERROR(INDEX(tbl_input[집계키_청],ROW()-1),"")</f>
        <v/>
      </c>
    </row>
    <row r="2534" spans="1:4" x14ac:dyDescent="0.4">
      <c r="A2534" t="str">
        <f t="shared" si="78"/>
        <v/>
      </c>
      <c r="B2534" t="str">
        <f t="shared" si="79"/>
        <v/>
      </c>
      <c r="C2534" t="str">
        <f>IF(D2534="","",IF(COUNTIF($D$2:D2534,D2534)&gt;1,"",SUMIFS(tbl_input[필요수량],tbl_input[집계키_청],D2534)))</f>
        <v/>
      </c>
      <c r="D2534" t="str">
        <f>IFERROR(INDEX(tbl_input[집계키_청],ROW()-1),"")</f>
        <v/>
      </c>
    </row>
    <row r="2535" spans="1:4" x14ac:dyDescent="0.4">
      <c r="A2535" t="str">
        <f t="shared" si="78"/>
        <v/>
      </c>
      <c r="B2535" t="str">
        <f t="shared" si="79"/>
        <v/>
      </c>
      <c r="C2535" t="str">
        <f>IF(D2535="","",IF(COUNTIF($D$2:D2535,D2535)&gt;1,"",SUMIFS(tbl_input[필요수량],tbl_input[집계키_청],D2535)))</f>
        <v/>
      </c>
      <c r="D2535" t="str">
        <f>IFERROR(INDEX(tbl_input[집계키_청],ROW()-1),"")</f>
        <v/>
      </c>
    </row>
    <row r="2536" spans="1:4" x14ac:dyDescent="0.4">
      <c r="A2536" t="str">
        <f t="shared" si="78"/>
        <v/>
      </c>
      <c r="B2536" t="str">
        <f t="shared" si="79"/>
        <v/>
      </c>
      <c r="C2536" t="str">
        <f>IF(D2536="","",IF(COUNTIF($D$2:D2536,D2536)&gt;1,"",SUMIFS(tbl_input[필요수량],tbl_input[집계키_청],D2536)))</f>
        <v/>
      </c>
      <c r="D2536" t="str">
        <f>IFERROR(INDEX(tbl_input[집계키_청],ROW()-1),"")</f>
        <v/>
      </c>
    </row>
    <row r="2537" spans="1:4" x14ac:dyDescent="0.4">
      <c r="A2537" t="str">
        <f t="shared" si="78"/>
        <v/>
      </c>
      <c r="B2537" t="str">
        <f t="shared" si="79"/>
        <v/>
      </c>
      <c r="C2537" t="str">
        <f>IF(D2537="","",IF(COUNTIF($D$2:D2537,D2537)&gt;1,"",SUMIFS(tbl_input[필요수량],tbl_input[집계키_청],D2537)))</f>
        <v/>
      </c>
      <c r="D2537" t="str">
        <f>IFERROR(INDEX(tbl_input[집계키_청],ROW()-1),"")</f>
        <v/>
      </c>
    </row>
    <row r="2538" spans="1:4" x14ac:dyDescent="0.4">
      <c r="A2538" t="str">
        <f t="shared" si="78"/>
        <v/>
      </c>
      <c r="B2538" t="str">
        <f t="shared" si="79"/>
        <v/>
      </c>
      <c r="C2538" t="str">
        <f>IF(D2538="","",IF(COUNTIF($D$2:D2538,D2538)&gt;1,"",SUMIFS(tbl_input[필요수량],tbl_input[집계키_청],D2538)))</f>
        <v/>
      </c>
      <c r="D2538" t="str">
        <f>IFERROR(INDEX(tbl_input[집계키_청],ROW()-1),"")</f>
        <v/>
      </c>
    </row>
    <row r="2539" spans="1:4" x14ac:dyDescent="0.4">
      <c r="A2539" t="str">
        <f t="shared" si="78"/>
        <v/>
      </c>
      <c r="B2539" t="str">
        <f t="shared" si="79"/>
        <v/>
      </c>
      <c r="C2539" t="str">
        <f>IF(D2539="","",IF(COUNTIF($D$2:D2539,D2539)&gt;1,"",SUMIFS(tbl_input[필요수량],tbl_input[집계키_청],D2539)))</f>
        <v/>
      </c>
      <c r="D2539" t="str">
        <f>IFERROR(INDEX(tbl_input[집계키_청],ROW()-1),"")</f>
        <v/>
      </c>
    </row>
    <row r="2540" spans="1:4" x14ac:dyDescent="0.4">
      <c r="A2540" t="str">
        <f t="shared" si="78"/>
        <v/>
      </c>
      <c r="B2540" t="str">
        <f t="shared" si="79"/>
        <v/>
      </c>
      <c r="C2540" t="str">
        <f>IF(D2540="","",IF(COUNTIF($D$2:D2540,D2540)&gt;1,"",SUMIFS(tbl_input[필요수량],tbl_input[집계키_청],D2540)))</f>
        <v/>
      </c>
      <c r="D2540" t="str">
        <f>IFERROR(INDEX(tbl_input[집계키_청],ROW()-1),"")</f>
        <v/>
      </c>
    </row>
    <row r="2541" spans="1:4" x14ac:dyDescent="0.4">
      <c r="A2541" t="str">
        <f t="shared" si="78"/>
        <v/>
      </c>
      <c r="B2541" t="str">
        <f t="shared" si="79"/>
        <v/>
      </c>
      <c r="C2541" t="str">
        <f>IF(D2541="","",IF(COUNTIF($D$2:D2541,D2541)&gt;1,"",SUMIFS(tbl_input[필요수량],tbl_input[집계키_청],D2541)))</f>
        <v/>
      </c>
      <c r="D2541" t="str">
        <f>IFERROR(INDEX(tbl_input[집계키_청],ROW()-1),"")</f>
        <v/>
      </c>
    </row>
    <row r="2542" spans="1:4" x14ac:dyDescent="0.4">
      <c r="A2542" t="str">
        <f t="shared" si="78"/>
        <v/>
      </c>
      <c r="B2542" t="str">
        <f t="shared" si="79"/>
        <v/>
      </c>
      <c r="C2542" t="str">
        <f>IF(D2542="","",IF(COUNTIF($D$2:D2542,D2542)&gt;1,"",SUMIFS(tbl_input[필요수량],tbl_input[집계키_청],D2542)))</f>
        <v/>
      </c>
      <c r="D2542" t="str">
        <f>IFERROR(INDEX(tbl_input[집계키_청],ROW()-1),"")</f>
        <v/>
      </c>
    </row>
    <row r="2543" spans="1:4" x14ac:dyDescent="0.4">
      <c r="A2543" t="str">
        <f t="shared" si="78"/>
        <v/>
      </c>
      <c r="B2543" t="str">
        <f t="shared" si="79"/>
        <v/>
      </c>
      <c r="C2543" t="str">
        <f>IF(D2543="","",IF(COUNTIF($D$2:D2543,D2543)&gt;1,"",SUMIFS(tbl_input[필요수량],tbl_input[집계키_청],D2543)))</f>
        <v/>
      </c>
      <c r="D2543" t="str">
        <f>IFERROR(INDEX(tbl_input[집계키_청],ROW()-1),"")</f>
        <v/>
      </c>
    </row>
    <row r="2544" spans="1:4" x14ac:dyDescent="0.4">
      <c r="A2544" t="str">
        <f t="shared" si="78"/>
        <v/>
      </c>
      <c r="B2544" t="str">
        <f t="shared" si="79"/>
        <v/>
      </c>
      <c r="C2544" t="str">
        <f>IF(D2544="","",IF(COUNTIF($D$2:D2544,D2544)&gt;1,"",SUMIFS(tbl_input[필요수량],tbl_input[집계키_청],D2544)))</f>
        <v/>
      </c>
      <c r="D2544" t="str">
        <f>IFERROR(INDEX(tbl_input[집계키_청],ROW()-1),"")</f>
        <v/>
      </c>
    </row>
    <row r="2545" spans="1:4" x14ac:dyDescent="0.4">
      <c r="A2545" t="str">
        <f t="shared" si="78"/>
        <v/>
      </c>
      <c r="B2545" t="str">
        <f t="shared" si="79"/>
        <v/>
      </c>
      <c r="C2545" t="str">
        <f>IF(D2545="","",IF(COUNTIF($D$2:D2545,D2545)&gt;1,"",SUMIFS(tbl_input[필요수량],tbl_input[집계키_청],D2545)))</f>
        <v/>
      </c>
      <c r="D2545" t="str">
        <f>IFERROR(INDEX(tbl_input[집계키_청],ROW()-1),"")</f>
        <v/>
      </c>
    </row>
    <row r="2546" spans="1:4" x14ac:dyDescent="0.4">
      <c r="A2546" t="str">
        <f t="shared" si="78"/>
        <v/>
      </c>
      <c r="B2546" t="str">
        <f t="shared" si="79"/>
        <v/>
      </c>
      <c r="C2546" t="str">
        <f>IF(D2546="","",IF(COUNTIF($D$2:D2546,D2546)&gt;1,"",SUMIFS(tbl_input[필요수량],tbl_input[집계키_청],D2546)))</f>
        <v/>
      </c>
      <c r="D2546" t="str">
        <f>IFERROR(INDEX(tbl_input[집계키_청],ROW()-1),"")</f>
        <v/>
      </c>
    </row>
    <row r="2547" spans="1:4" x14ac:dyDescent="0.4">
      <c r="A2547" t="str">
        <f t="shared" si="78"/>
        <v/>
      </c>
      <c r="B2547" t="str">
        <f t="shared" si="79"/>
        <v/>
      </c>
      <c r="C2547" t="str">
        <f>IF(D2547="","",IF(COUNTIF($D$2:D2547,D2547)&gt;1,"",SUMIFS(tbl_input[필요수량],tbl_input[집계키_청],D2547)))</f>
        <v/>
      </c>
      <c r="D2547" t="str">
        <f>IFERROR(INDEX(tbl_input[집계키_청],ROW()-1),"")</f>
        <v/>
      </c>
    </row>
    <row r="2548" spans="1:4" x14ac:dyDescent="0.4">
      <c r="A2548" t="str">
        <f t="shared" si="78"/>
        <v/>
      </c>
      <c r="B2548" t="str">
        <f t="shared" si="79"/>
        <v/>
      </c>
      <c r="C2548" t="str">
        <f>IF(D2548="","",IF(COUNTIF($D$2:D2548,D2548)&gt;1,"",SUMIFS(tbl_input[필요수량],tbl_input[집계키_청],D2548)))</f>
        <v/>
      </c>
      <c r="D2548" t="str">
        <f>IFERROR(INDEX(tbl_input[집계키_청],ROW()-1),"")</f>
        <v/>
      </c>
    </row>
    <row r="2549" spans="1:4" x14ac:dyDescent="0.4">
      <c r="A2549" t="str">
        <f t="shared" si="78"/>
        <v/>
      </c>
      <c r="B2549" t="str">
        <f t="shared" si="79"/>
        <v/>
      </c>
      <c r="C2549" t="str">
        <f>IF(D2549="","",IF(COUNTIF($D$2:D2549,D2549)&gt;1,"",SUMIFS(tbl_input[필요수량],tbl_input[집계키_청],D2549)))</f>
        <v/>
      </c>
      <c r="D2549" t="str">
        <f>IFERROR(INDEX(tbl_input[집계키_청],ROW()-1),"")</f>
        <v/>
      </c>
    </row>
    <row r="2550" spans="1:4" x14ac:dyDescent="0.4">
      <c r="A2550" t="str">
        <f t="shared" si="78"/>
        <v/>
      </c>
      <c r="B2550" t="str">
        <f t="shared" si="79"/>
        <v/>
      </c>
      <c r="C2550" t="str">
        <f>IF(D2550="","",IF(COUNTIF($D$2:D2550,D2550)&gt;1,"",SUMIFS(tbl_input[필요수량],tbl_input[집계키_청],D2550)))</f>
        <v/>
      </c>
      <c r="D2550" t="str">
        <f>IFERROR(INDEX(tbl_input[집계키_청],ROW()-1),"")</f>
        <v/>
      </c>
    </row>
    <row r="2551" spans="1:4" x14ac:dyDescent="0.4">
      <c r="A2551" t="str">
        <f t="shared" si="78"/>
        <v/>
      </c>
      <c r="B2551" t="str">
        <f t="shared" si="79"/>
        <v/>
      </c>
      <c r="C2551" t="str">
        <f>IF(D2551="","",IF(COUNTIF($D$2:D2551,D2551)&gt;1,"",SUMIFS(tbl_input[필요수량],tbl_input[집계키_청],D2551)))</f>
        <v/>
      </c>
      <c r="D2551" t="str">
        <f>IFERROR(INDEX(tbl_input[집계키_청],ROW()-1),"")</f>
        <v/>
      </c>
    </row>
    <row r="2552" spans="1:4" x14ac:dyDescent="0.4">
      <c r="A2552" t="str">
        <f t="shared" si="78"/>
        <v/>
      </c>
      <c r="B2552" t="str">
        <f t="shared" si="79"/>
        <v/>
      </c>
      <c r="C2552" t="str">
        <f>IF(D2552="","",IF(COUNTIF($D$2:D2552,D2552)&gt;1,"",SUMIFS(tbl_input[필요수량],tbl_input[집계키_청],D2552)))</f>
        <v/>
      </c>
      <c r="D2552" t="str">
        <f>IFERROR(INDEX(tbl_input[집계키_청],ROW()-1),"")</f>
        <v/>
      </c>
    </row>
    <row r="2553" spans="1:4" x14ac:dyDescent="0.4">
      <c r="A2553" t="str">
        <f t="shared" si="78"/>
        <v/>
      </c>
      <c r="B2553" t="str">
        <f t="shared" si="79"/>
        <v/>
      </c>
      <c r="C2553" t="str">
        <f>IF(D2553="","",IF(COUNTIF($D$2:D2553,D2553)&gt;1,"",SUMIFS(tbl_input[필요수량],tbl_input[집계키_청],D2553)))</f>
        <v/>
      </c>
      <c r="D2553" t="str">
        <f>IFERROR(INDEX(tbl_input[집계키_청],ROW()-1),"")</f>
        <v/>
      </c>
    </row>
    <row r="2554" spans="1:4" x14ac:dyDescent="0.4">
      <c r="A2554" t="str">
        <f t="shared" si="78"/>
        <v/>
      </c>
      <c r="B2554" t="str">
        <f t="shared" si="79"/>
        <v/>
      </c>
      <c r="C2554" t="str">
        <f>IF(D2554="","",IF(COUNTIF($D$2:D2554,D2554)&gt;1,"",SUMIFS(tbl_input[필요수량],tbl_input[집계키_청],D2554)))</f>
        <v/>
      </c>
      <c r="D2554" t="str">
        <f>IFERROR(INDEX(tbl_input[집계키_청],ROW()-1),"")</f>
        <v/>
      </c>
    </row>
    <row r="2555" spans="1:4" x14ac:dyDescent="0.4">
      <c r="A2555" t="str">
        <f t="shared" si="78"/>
        <v/>
      </c>
      <c r="B2555" t="str">
        <f t="shared" si="79"/>
        <v/>
      </c>
      <c r="C2555" t="str">
        <f>IF(D2555="","",IF(COUNTIF($D$2:D2555,D2555)&gt;1,"",SUMIFS(tbl_input[필요수량],tbl_input[집계키_청],D2555)))</f>
        <v/>
      </c>
      <c r="D2555" t="str">
        <f>IFERROR(INDEX(tbl_input[집계키_청],ROW()-1),"")</f>
        <v/>
      </c>
    </row>
    <row r="2556" spans="1:4" x14ac:dyDescent="0.4">
      <c r="A2556" t="str">
        <f t="shared" si="78"/>
        <v/>
      </c>
      <c r="B2556" t="str">
        <f t="shared" si="79"/>
        <v/>
      </c>
      <c r="C2556" t="str">
        <f>IF(D2556="","",IF(COUNTIF($D$2:D2556,D2556)&gt;1,"",SUMIFS(tbl_input[필요수량],tbl_input[집계키_청],D2556)))</f>
        <v/>
      </c>
      <c r="D2556" t="str">
        <f>IFERROR(INDEX(tbl_input[집계키_청],ROW()-1),"")</f>
        <v/>
      </c>
    </row>
    <row r="2557" spans="1:4" x14ac:dyDescent="0.4">
      <c r="A2557" t="str">
        <f t="shared" si="78"/>
        <v/>
      </c>
      <c r="B2557" t="str">
        <f t="shared" si="79"/>
        <v/>
      </c>
      <c r="C2557" t="str">
        <f>IF(D2557="","",IF(COUNTIF($D$2:D2557,D2557)&gt;1,"",SUMIFS(tbl_input[필요수량],tbl_input[집계키_청],D2557)))</f>
        <v/>
      </c>
      <c r="D2557" t="str">
        <f>IFERROR(INDEX(tbl_input[집계키_청],ROW()-1),"")</f>
        <v/>
      </c>
    </row>
    <row r="2558" spans="1:4" x14ac:dyDescent="0.4">
      <c r="A2558" t="str">
        <f t="shared" si="78"/>
        <v/>
      </c>
      <c r="B2558" t="str">
        <f t="shared" si="79"/>
        <v/>
      </c>
      <c r="C2558" t="str">
        <f>IF(D2558="","",IF(COUNTIF($D$2:D2558,D2558)&gt;1,"",SUMIFS(tbl_input[필요수량],tbl_input[집계키_청],D2558)))</f>
        <v/>
      </c>
      <c r="D2558" t="str">
        <f>IFERROR(INDEX(tbl_input[집계키_청],ROW()-1),"")</f>
        <v/>
      </c>
    </row>
    <row r="2559" spans="1:4" x14ac:dyDescent="0.4">
      <c r="A2559" t="str">
        <f t="shared" si="78"/>
        <v/>
      </c>
      <c r="B2559" t="str">
        <f t="shared" si="79"/>
        <v/>
      </c>
      <c r="C2559" t="str">
        <f>IF(D2559="","",IF(COUNTIF($D$2:D2559,D2559)&gt;1,"",SUMIFS(tbl_input[필요수량],tbl_input[집계키_청],D2559)))</f>
        <v/>
      </c>
      <c r="D2559" t="str">
        <f>IFERROR(INDEX(tbl_input[집계키_청],ROW()-1),"")</f>
        <v/>
      </c>
    </row>
    <row r="2560" spans="1:4" x14ac:dyDescent="0.4">
      <c r="A2560" t="str">
        <f t="shared" si="78"/>
        <v/>
      </c>
      <c r="B2560" t="str">
        <f t="shared" si="79"/>
        <v/>
      </c>
      <c r="C2560" t="str">
        <f>IF(D2560="","",IF(COUNTIF($D$2:D2560,D2560)&gt;1,"",SUMIFS(tbl_input[필요수량],tbl_input[집계키_청],D2560)))</f>
        <v/>
      </c>
      <c r="D2560" t="str">
        <f>IFERROR(INDEX(tbl_input[집계키_청],ROW()-1),"")</f>
        <v/>
      </c>
    </row>
    <row r="2561" spans="1:4" x14ac:dyDescent="0.4">
      <c r="A2561" t="str">
        <f t="shared" si="78"/>
        <v/>
      </c>
      <c r="B2561" t="str">
        <f t="shared" si="79"/>
        <v/>
      </c>
      <c r="C2561" t="str">
        <f>IF(D2561="","",IF(COUNTIF($D$2:D2561,D2561)&gt;1,"",SUMIFS(tbl_input[필요수량],tbl_input[집계키_청],D2561)))</f>
        <v/>
      </c>
      <c r="D2561" t="str">
        <f>IFERROR(INDEX(tbl_input[집계키_청],ROW()-1),"")</f>
        <v/>
      </c>
    </row>
    <row r="2562" spans="1:4" x14ac:dyDescent="0.4">
      <c r="A2562" t="str">
        <f t="shared" ref="A2562:A2625" si="80">IF(D2562="","",LEFT(D2562,FIND("♦",D2562)-1))</f>
        <v/>
      </c>
      <c r="B2562" t="str">
        <f t="shared" ref="B2562:B2625" si="81">IF(D2562="","",MID(D2562,FIND("♦",D2562)+1,999))</f>
        <v/>
      </c>
      <c r="C2562" t="str">
        <f>IF(D2562="","",IF(COUNTIF($D$2:D2562,D2562)&gt;1,"",SUMIFS(tbl_input[필요수량],tbl_input[집계키_청],D2562)))</f>
        <v/>
      </c>
      <c r="D2562" t="str">
        <f>IFERROR(INDEX(tbl_input[집계키_청],ROW()-1),"")</f>
        <v/>
      </c>
    </row>
    <row r="2563" spans="1:4" x14ac:dyDescent="0.4">
      <c r="A2563" t="str">
        <f t="shared" si="80"/>
        <v/>
      </c>
      <c r="B2563" t="str">
        <f t="shared" si="81"/>
        <v/>
      </c>
      <c r="C2563" t="str">
        <f>IF(D2563="","",IF(COUNTIF($D$2:D2563,D2563)&gt;1,"",SUMIFS(tbl_input[필요수량],tbl_input[집계키_청],D2563)))</f>
        <v/>
      </c>
      <c r="D2563" t="str">
        <f>IFERROR(INDEX(tbl_input[집계키_청],ROW()-1),"")</f>
        <v/>
      </c>
    </row>
    <row r="2564" spans="1:4" x14ac:dyDescent="0.4">
      <c r="A2564" t="str">
        <f t="shared" si="80"/>
        <v/>
      </c>
      <c r="B2564" t="str">
        <f t="shared" si="81"/>
        <v/>
      </c>
      <c r="C2564" t="str">
        <f>IF(D2564="","",IF(COUNTIF($D$2:D2564,D2564)&gt;1,"",SUMIFS(tbl_input[필요수량],tbl_input[집계키_청],D2564)))</f>
        <v/>
      </c>
      <c r="D2564" t="str">
        <f>IFERROR(INDEX(tbl_input[집계키_청],ROW()-1),"")</f>
        <v/>
      </c>
    </row>
    <row r="2565" spans="1:4" x14ac:dyDescent="0.4">
      <c r="A2565" t="str">
        <f t="shared" si="80"/>
        <v/>
      </c>
      <c r="B2565" t="str">
        <f t="shared" si="81"/>
        <v/>
      </c>
      <c r="C2565" t="str">
        <f>IF(D2565="","",IF(COUNTIF($D$2:D2565,D2565)&gt;1,"",SUMIFS(tbl_input[필요수량],tbl_input[집계키_청],D2565)))</f>
        <v/>
      </c>
      <c r="D2565" t="str">
        <f>IFERROR(INDEX(tbl_input[집계키_청],ROW()-1),"")</f>
        <v/>
      </c>
    </row>
    <row r="2566" spans="1:4" x14ac:dyDescent="0.4">
      <c r="A2566" t="str">
        <f t="shared" si="80"/>
        <v/>
      </c>
      <c r="B2566" t="str">
        <f t="shared" si="81"/>
        <v/>
      </c>
      <c r="C2566" t="str">
        <f>IF(D2566="","",IF(COUNTIF($D$2:D2566,D2566)&gt;1,"",SUMIFS(tbl_input[필요수량],tbl_input[집계키_청],D2566)))</f>
        <v/>
      </c>
      <c r="D2566" t="str">
        <f>IFERROR(INDEX(tbl_input[집계키_청],ROW()-1),"")</f>
        <v/>
      </c>
    </row>
    <row r="2567" spans="1:4" x14ac:dyDescent="0.4">
      <c r="A2567" t="str">
        <f t="shared" si="80"/>
        <v/>
      </c>
      <c r="B2567" t="str">
        <f t="shared" si="81"/>
        <v/>
      </c>
      <c r="C2567" t="str">
        <f>IF(D2567="","",IF(COUNTIF($D$2:D2567,D2567)&gt;1,"",SUMIFS(tbl_input[필요수량],tbl_input[집계키_청],D2567)))</f>
        <v/>
      </c>
      <c r="D2567" t="str">
        <f>IFERROR(INDEX(tbl_input[집계키_청],ROW()-1),"")</f>
        <v/>
      </c>
    </row>
    <row r="2568" spans="1:4" x14ac:dyDescent="0.4">
      <c r="A2568" t="str">
        <f t="shared" si="80"/>
        <v/>
      </c>
      <c r="B2568" t="str">
        <f t="shared" si="81"/>
        <v/>
      </c>
      <c r="C2568" t="str">
        <f>IF(D2568="","",IF(COUNTIF($D$2:D2568,D2568)&gt;1,"",SUMIFS(tbl_input[필요수량],tbl_input[집계키_청],D2568)))</f>
        <v/>
      </c>
      <c r="D2568" t="str">
        <f>IFERROR(INDEX(tbl_input[집계키_청],ROW()-1),"")</f>
        <v/>
      </c>
    </row>
    <row r="2569" spans="1:4" x14ac:dyDescent="0.4">
      <c r="A2569" t="str">
        <f t="shared" si="80"/>
        <v/>
      </c>
      <c r="B2569" t="str">
        <f t="shared" si="81"/>
        <v/>
      </c>
      <c r="C2569" t="str">
        <f>IF(D2569="","",IF(COUNTIF($D$2:D2569,D2569)&gt;1,"",SUMIFS(tbl_input[필요수량],tbl_input[집계키_청],D2569)))</f>
        <v/>
      </c>
      <c r="D2569" t="str">
        <f>IFERROR(INDEX(tbl_input[집계키_청],ROW()-1),"")</f>
        <v/>
      </c>
    </row>
    <row r="2570" spans="1:4" x14ac:dyDescent="0.4">
      <c r="A2570" t="str">
        <f t="shared" si="80"/>
        <v/>
      </c>
      <c r="B2570" t="str">
        <f t="shared" si="81"/>
        <v/>
      </c>
      <c r="C2570" t="str">
        <f>IF(D2570="","",IF(COUNTIF($D$2:D2570,D2570)&gt;1,"",SUMIFS(tbl_input[필요수량],tbl_input[집계키_청],D2570)))</f>
        <v/>
      </c>
      <c r="D2570" t="str">
        <f>IFERROR(INDEX(tbl_input[집계키_청],ROW()-1),"")</f>
        <v/>
      </c>
    </row>
    <row r="2571" spans="1:4" x14ac:dyDescent="0.4">
      <c r="A2571" t="str">
        <f t="shared" si="80"/>
        <v/>
      </c>
      <c r="B2571" t="str">
        <f t="shared" si="81"/>
        <v/>
      </c>
      <c r="C2571" t="str">
        <f>IF(D2571="","",IF(COUNTIF($D$2:D2571,D2571)&gt;1,"",SUMIFS(tbl_input[필요수량],tbl_input[집계키_청],D2571)))</f>
        <v/>
      </c>
      <c r="D2571" t="str">
        <f>IFERROR(INDEX(tbl_input[집계키_청],ROW()-1),"")</f>
        <v/>
      </c>
    </row>
    <row r="2572" spans="1:4" x14ac:dyDescent="0.4">
      <c r="A2572" t="str">
        <f t="shared" si="80"/>
        <v/>
      </c>
      <c r="B2572" t="str">
        <f t="shared" si="81"/>
        <v/>
      </c>
      <c r="C2572" t="str">
        <f>IF(D2572="","",IF(COUNTIF($D$2:D2572,D2572)&gt;1,"",SUMIFS(tbl_input[필요수량],tbl_input[집계키_청],D2572)))</f>
        <v/>
      </c>
      <c r="D2572" t="str">
        <f>IFERROR(INDEX(tbl_input[집계키_청],ROW()-1),"")</f>
        <v/>
      </c>
    </row>
    <row r="2573" spans="1:4" x14ac:dyDescent="0.4">
      <c r="A2573" t="str">
        <f t="shared" si="80"/>
        <v/>
      </c>
      <c r="B2573" t="str">
        <f t="shared" si="81"/>
        <v/>
      </c>
      <c r="C2573" t="str">
        <f>IF(D2573="","",IF(COUNTIF($D$2:D2573,D2573)&gt;1,"",SUMIFS(tbl_input[필요수량],tbl_input[집계키_청],D2573)))</f>
        <v/>
      </c>
      <c r="D2573" t="str">
        <f>IFERROR(INDEX(tbl_input[집계키_청],ROW()-1),"")</f>
        <v/>
      </c>
    </row>
    <row r="2574" spans="1:4" x14ac:dyDescent="0.4">
      <c r="A2574" t="str">
        <f t="shared" si="80"/>
        <v/>
      </c>
      <c r="B2574" t="str">
        <f t="shared" si="81"/>
        <v/>
      </c>
      <c r="C2574" t="str">
        <f>IF(D2574="","",IF(COUNTIF($D$2:D2574,D2574)&gt;1,"",SUMIFS(tbl_input[필요수량],tbl_input[집계키_청],D2574)))</f>
        <v/>
      </c>
      <c r="D2574" t="str">
        <f>IFERROR(INDEX(tbl_input[집계키_청],ROW()-1),"")</f>
        <v/>
      </c>
    </row>
    <row r="2575" spans="1:4" x14ac:dyDescent="0.4">
      <c r="A2575" t="str">
        <f t="shared" si="80"/>
        <v/>
      </c>
      <c r="B2575" t="str">
        <f t="shared" si="81"/>
        <v/>
      </c>
      <c r="C2575" t="str">
        <f>IF(D2575="","",IF(COUNTIF($D$2:D2575,D2575)&gt;1,"",SUMIFS(tbl_input[필요수량],tbl_input[집계키_청],D2575)))</f>
        <v/>
      </c>
      <c r="D2575" t="str">
        <f>IFERROR(INDEX(tbl_input[집계키_청],ROW()-1),"")</f>
        <v/>
      </c>
    </row>
    <row r="2576" spans="1:4" x14ac:dyDescent="0.4">
      <c r="A2576" t="str">
        <f t="shared" si="80"/>
        <v/>
      </c>
      <c r="B2576" t="str">
        <f t="shared" si="81"/>
        <v/>
      </c>
      <c r="C2576" t="str">
        <f>IF(D2576="","",IF(COUNTIF($D$2:D2576,D2576)&gt;1,"",SUMIFS(tbl_input[필요수량],tbl_input[집계키_청],D2576)))</f>
        <v/>
      </c>
      <c r="D2576" t="str">
        <f>IFERROR(INDEX(tbl_input[집계키_청],ROW()-1),"")</f>
        <v/>
      </c>
    </row>
    <row r="2577" spans="1:4" x14ac:dyDescent="0.4">
      <c r="A2577" t="str">
        <f t="shared" si="80"/>
        <v/>
      </c>
      <c r="B2577" t="str">
        <f t="shared" si="81"/>
        <v/>
      </c>
      <c r="C2577" t="str">
        <f>IF(D2577="","",IF(COUNTIF($D$2:D2577,D2577)&gt;1,"",SUMIFS(tbl_input[필요수량],tbl_input[집계키_청],D2577)))</f>
        <v/>
      </c>
      <c r="D2577" t="str">
        <f>IFERROR(INDEX(tbl_input[집계키_청],ROW()-1),"")</f>
        <v/>
      </c>
    </row>
    <row r="2578" spans="1:4" x14ac:dyDescent="0.4">
      <c r="A2578" t="str">
        <f t="shared" si="80"/>
        <v/>
      </c>
      <c r="B2578" t="str">
        <f t="shared" si="81"/>
        <v/>
      </c>
      <c r="C2578" t="str">
        <f>IF(D2578="","",IF(COUNTIF($D$2:D2578,D2578)&gt;1,"",SUMIFS(tbl_input[필요수량],tbl_input[집계키_청],D2578)))</f>
        <v/>
      </c>
      <c r="D2578" t="str">
        <f>IFERROR(INDEX(tbl_input[집계키_청],ROW()-1),"")</f>
        <v/>
      </c>
    </row>
    <row r="2579" spans="1:4" x14ac:dyDescent="0.4">
      <c r="A2579" t="str">
        <f t="shared" si="80"/>
        <v/>
      </c>
      <c r="B2579" t="str">
        <f t="shared" si="81"/>
        <v/>
      </c>
      <c r="C2579" t="str">
        <f>IF(D2579="","",IF(COUNTIF($D$2:D2579,D2579)&gt;1,"",SUMIFS(tbl_input[필요수량],tbl_input[집계키_청],D2579)))</f>
        <v/>
      </c>
      <c r="D2579" t="str">
        <f>IFERROR(INDEX(tbl_input[집계키_청],ROW()-1),"")</f>
        <v/>
      </c>
    </row>
    <row r="2580" spans="1:4" x14ac:dyDescent="0.4">
      <c r="A2580" t="str">
        <f t="shared" si="80"/>
        <v/>
      </c>
      <c r="B2580" t="str">
        <f t="shared" si="81"/>
        <v/>
      </c>
      <c r="C2580" t="str">
        <f>IF(D2580="","",IF(COUNTIF($D$2:D2580,D2580)&gt;1,"",SUMIFS(tbl_input[필요수량],tbl_input[집계키_청],D2580)))</f>
        <v/>
      </c>
      <c r="D2580" t="str">
        <f>IFERROR(INDEX(tbl_input[집계키_청],ROW()-1),"")</f>
        <v/>
      </c>
    </row>
    <row r="2581" spans="1:4" x14ac:dyDescent="0.4">
      <c r="A2581" t="str">
        <f t="shared" si="80"/>
        <v/>
      </c>
      <c r="B2581" t="str">
        <f t="shared" si="81"/>
        <v/>
      </c>
      <c r="C2581" t="str">
        <f>IF(D2581="","",IF(COUNTIF($D$2:D2581,D2581)&gt;1,"",SUMIFS(tbl_input[필요수량],tbl_input[집계키_청],D2581)))</f>
        <v/>
      </c>
      <c r="D2581" t="str">
        <f>IFERROR(INDEX(tbl_input[집계키_청],ROW()-1),"")</f>
        <v/>
      </c>
    </row>
    <row r="2582" spans="1:4" x14ac:dyDescent="0.4">
      <c r="A2582" t="str">
        <f t="shared" si="80"/>
        <v/>
      </c>
      <c r="B2582" t="str">
        <f t="shared" si="81"/>
        <v/>
      </c>
      <c r="C2582" t="str">
        <f>IF(D2582="","",IF(COUNTIF($D$2:D2582,D2582)&gt;1,"",SUMIFS(tbl_input[필요수량],tbl_input[집계키_청],D2582)))</f>
        <v/>
      </c>
      <c r="D2582" t="str">
        <f>IFERROR(INDEX(tbl_input[집계키_청],ROW()-1),"")</f>
        <v/>
      </c>
    </row>
    <row r="2583" spans="1:4" x14ac:dyDescent="0.4">
      <c r="A2583" t="str">
        <f t="shared" si="80"/>
        <v/>
      </c>
      <c r="B2583" t="str">
        <f t="shared" si="81"/>
        <v/>
      </c>
      <c r="C2583" t="str">
        <f>IF(D2583="","",IF(COUNTIF($D$2:D2583,D2583)&gt;1,"",SUMIFS(tbl_input[필요수량],tbl_input[집계키_청],D2583)))</f>
        <v/>
      </c>
      <c r="D2583" t="str">
        <f>IFERROR(INDEX(tbl_input[집계키_청],ROW()-1),"")</f>
        <v/>
      </c>
    </row>
    <row r="2584" spans="1:4" x14ac:dyDescent="0.4">
      <c r="A2584" t="str">
        <f t="shared" si="80"/>
        <v/>
      </c>
      <c r="B2584" t="str">
        <f t="shared" si="81"/>
        <v/>
      </c>
      <c r="C2584" t="str">
        <f>IF(D2584="","",IF(COUNTIF($D$2:D2584,D2584)&gt;1,"",SUMIFS(tbl_input[필요수량],tbl_input[집계키_청],D2584)))</f>
        <v/>
      </c>
      <c r="D2584" t="str">
        <f>IFERROR(INDEX(tbl_input[집계키_청],ROW()-1),"")</f>
        <v/>
      </c>
    </row>
    <row r="2585" spans="1:4" x14ac:dyDescent="0.4">
      <c r="A2585" t="str">
        <f t="shared" si="80"/>
        <v/>
      </c>
      <c r="B2585" t="str">
        <f t="shared" si="81"/>
        <v/>
      </c>
      <c r="C2585" t="str">
        <f>IF(D2585="","",IF(COUNTIF($D$2:D2585,D2585)&gt;1,"",SUMIFS(tbl_input[필요수량],tbl_input[집계키_청],D2585)))</f>
        <v/>
      </c>
      <c r="D2585" t="str">
        <f>IFERROR(INDEX(tbl_input[집계키_청],ROW()-1),"")</f>
        <v/>
      </c>
    </row>
    <row r="2586" spans="1:4" x14ac:dyDescent="0.4">
      <c r="A2586" t="str">
        <f t="shared" si="80"/>
        <v/>
      </c>
      <c r="B2586" t="str">
        <f t="shared" si="81"/>
        <v/>
      </c>
      <c r="C2586" t="str">
        <f>IF(D2586="","",IF(COUNTIF($D$2:D2586,D2586)&gt;1,"",SUMIFS(tbl_input[필요수량],tbl_input[집계키_청],D2586)))</f>
        <v/>
      </c>
      <c r="D2586" t="str">
        <f>IFERROR(INDEX(tbl_input[집계키_청],ROW()-1),"")</f>
        <v/>
      </c>
    </row>
    <row r="2587" spans="1:4" x14ac:dyDescent="0.4">
      <c r="A2587" t="str">
        <f t="shared" si="80"/>
        <v/>
      </c>
      <c r="B2587" t="str">
        <f t="shared" si="81"/>
        <v/>
      </c>
      <c r="C2587" t="str">
        <f>IF(D2587="","",IF(COUNTIF($D$2:D2587,D2587)&gt;1,"",SUMIFS(tbl_input[필요수량],tbl_input[집계키_청],D2587)))</f>
        <v/>
      </c>
      <c r="D2587" t="str">
        <f>IFERROR(INDEX(tbl_input[집계키_청],ROW()-1),"")</f>
        <v/>
      </c>
    </row>
    <row r="2588" spans="1:4" x14ac:dyDescent="0.4">
      <c r="A2588" t="str">
        <f t="shared" si="80"/>
        <v/>
      </c>
      <c r="B2588" t="str">
        <f t="shared" si="81"/>
        <v/>
      </c>
      <c r="C2588" t="str">
        <f>IF(D2588="","",IF(COUNTIF($D$2:D2588,D2588)&gt;1,"",SUMIFS(tbl_input[필요수량],tbl_input[집계키_청],D2588)))</f>
        <v/>
      </c>
      <c r="D2588" t="str">
        <f>IFERROR(INDEX(tbl_input[집계키_청],ROW()-1),"")</f>
        <v/>
      </c>
    </row>
    <row r="2589" spans="1:4" x14ac:dyDescent="0.4">
      <c r="A2589" t="str">
        <f t="shared" si="80"/>
        <v/>
      </c>
      <c r="B2589" t="str">
        <f t="shared" si="81"/>
        <v/>
      </c>
      <c r="C2589" t="str">
        <f>IF(D2589="","",IF(COUNTIF($D$2:D2589,D2589)&gt;1,"",SUMIFS(tbl_input[필요수량],tbl_input[집계키_청],D2589)))</f>
        <v/>
      </c>
      <c r="D2589" t="str">
        <f>IFERROR(INDEX(tbl_input[집계키_청],ROW()-1),"")</f>
        <v/>
      </c>
    </row>
    <row r="2590" spans="1:4" x14ac:dyDescent="0.4">
      <c r="A2590" t="str">
        <f t="shared" si="80"/>
        <v/>
      </c>
      <c r="B2590" t="str">
        <f t="shared" si="81"/>
        <v/>
      </c>
      <c r="C2590" t="str">
        <f>IF(D2590="","",IF(COUNTIF($D$2:D2590,D2590)&gt;1,"",SUMIFS(tbl_input[필요수량],tbl_input[집계키_청],D2590)))</f>
        <v/>
      </c>
      <c r="D2590" t="str">
        <f>IFERROR(INDEX(tbl_input[집계키_청],ROW()-1),"")</f>
        <v/>
      </c>
    </row>
    <row r="2591" spans="1:4" x14ac:dyDescent="0.4">
      <c r="A2591" t="str">
        <f t="shared" si="80"/>
        <v/>
      </c>
      <c r="B2591" t="str">
        <f t="shared" si="81"/>
        <v/>
      </c>
      <c r="C2591" t="str">
        <f>IF(D2591="","",IF(COUNTIF($D$2:D2591,D2591)&gt;1,"",SUMIFS(tbl_input[필요수량],tbl_input[집계키_청],D2591)))</f>
        <v/>
      </c>
      <c r="D2591" t="str">
        <f>IFERROR(INDEX(tbl_input[집계키_청],ROW()-1),"")</f>
        <v/>
      </c>
    </row>
    <row r="2592" spans="1:4" x14ac:dyDescent="0.4">
      <c r="A2592" t="str">
        <f t="shared" si="80"/>
        <v/>
      </c>
      <c r="B2592" t="str">
        <f t="shared" si="81"/>
        <v/>
      </c>
      <c r="C2592" t="str">
        <f>IF(D2592="","",IF(COUNTIF($D$2:D2592,D2592)&gt;1,"",SUMIFS(tbl_input[필요수량],tbl_input[집계키_청],D2592)))</f>
        <v/>
      </c>
      <c r="D2592" t="str">
        <f>IFERROR(INDEX(tbl_input[집계키_청],ROW()-1),"")</f>
        <v/>
      </c>
    </row>
    <row r="2593" spans="1:4" x14ac:dyDescent="0.4">
      <c r="A2593" t="str">
        <f t="shared" si="80"/>
        <v/>
      </c>
      <c r="B2593" t="str">
        <f t="shared" si="81"/>
        <v/>
      </c>
      <c r="C2593" t="str">
        <f>IF(D2593="","",IF(COUNTIF($D$2:D2593,D2593)&gt;1,"",SUMIFS(tbl_input[필요수량],tbl_input[집계키_청],D2593)))</f>
        <v/>
      </c>
      <c r="D2593" t="str">
        <f>IFERROR(INDEX(tbl_input[집계키_청],ROW()-1),"")</f>
        <v/>
      </c>
    </row>
    <row r="2594" spans="1:4" x14ac:dyDescent="0.4">
      <c r="A2594" t="str">
        <f t="shared" si="80"/>
        <v/>
      </c>
      <c r="B2594" t="str">
        <f t="shared" si="81"/>
        <v/>
      </c>
      <c r="C2594" t="str">
        <f>IF(D2594="","",IF(COUNTIF($D$2:D2594,D2594)&gt;1,"",SUMIFS(tbl_input[필요수량],tbl_input[집계키_청],D2594)))</f>
        <v/>
      </c>
      <c r="D2594" t="str">
        <f>IFERROR(INDEX(tbl_input[집계키_청],ROW()-1),"")</f>
        <v/>
      </c>
    </row>
    <row r="2595" spans="1:4" x14ac:dyDescent="0.4">
      <c r="A2595" t="str">
        <f t="shared" si="80"/>
        <v/>
      </c>
      <c r="B2595" t="str">
        <f t="shared" si="81"/>
        <v/>
      </c>
      <c r="C2595" t="str">
        <f>IF(D2595="","",IF(COUNTIF($D$2:D2595,D2595)&gt;1,"",SUMIFS(tbl_input[필요수량],tbl_input[집계키_청],D2595)))</f>
        <v/>
      </c>
      <c r="D2595" t="str">
        <f>IFERROR(INDEX(tbl_input[집계키_청],ROW()-1),"")</f>
        <v/>
      </c>
    </row>
    <row r="2596" spans="1:4" x14ac:dyDescent="0.4">
      <c r="A2596" t="str">
        <f t="shared" si="80"/>
        <v/>
      </c>
      <c r="B2596" t="str">
        <f t="shared" si="81"/>
        <v/>
      </c>
      <c r="C2596" t="str">
        <f>IF(D2596="","",IF(COUNTIF($D$2:D2596,D2596)&gt;1,"",SUMIFS(tbl_input[필요수량],tbl_input[집계키_청],D2596)))</f>
        <v/>
      </c>
      <c r="D2596" t="str">
        <f>IFERROR(INDEX(tbl_input[집계키_청],ROW()-1),"")</f>
        <v/>
      </c>
    </row>
    <row r="2597" spans="1:4" x14ac:dyDescent="0.4">
      <c r="A2597" t="str">
        <f t="shared" si="80"/>
        <v/>
      </c>
      <c r="B2597" t="str">
        <f t="shared" si="81"/>
        <v/>
      </c>
      <c r="C2597" t="str">
        <f>IF(D2597="","",IF(COUNTIF($D$2:D2597,D2597)&gt;1,"",SUMIFS(tbl_input[필요수량],tbl_input[집계키_청],D2597)))</f>
        <v/>
      </c>
      <c r="D2597" t="str">
        <f>IFERROR(INDEX(tbl_input[집계키_청],ROW()-1),"")</f>
        <v/>
      </c>
    </row>
    <row r="2598" spans="1:4" x14ac:dyDescent="0.4">
      <c r="A2598" t="str">
        <f t="shared" si="80"/>
        <v/>
      </c>
      <c r="B2598" t="str">
        <f t="shared" si="81"/>
        <v/>
      </c>
      <c r="C2598" t="str">
        <f>IF(D2598="","",IF(COUNTIF($D$2:D2598,D2598)&gt;1,"",SUMIFS(tbl_input[필요수량],tbl_input[집계키_청],D2598)))</f>
        <v/>
      </c>
      <c r="D2598" t="str">
        <f>IFERROR(INDEX(tbl_input[집계키_청],ROW()-1),"")</f>
        <v/>
      </c>
    </row>
    <row r="2599" spans="1:4" x14ac:dyDescent="0.4">
      <c r="A2599" t="str">
        <f t="shared" si="80"/>
        <v/>
      </c>
      <c r="B2599" t="str">
        <f t="shared" si="81"/>
        <v/>
      </c>
      <c r="C2599" t="str">
        <f>IF(D2599="","",IF(COUNTIF($D$2:D2599,D2599)&gt;1,"",SUMIFS(tbl_input[필요수량],tbl_input[집계키_청],D2599)))</f>
        <v/>
      </c>
      <c r="D2599" t="str">
        <f>IFERROR(INDEX(tbl_input[집계키_청],ROW()-1),"")</f>
        <v/>
      </c>
    </row>
    <row r="2600" spans="1:4" x14ac:dyDescent="0.4">
      <c r="A2600" t="str">
        <f t="shared" si="80"/>
        <v/>
      </c>
      <c r="B2600" t="str">
        <f t="shared" si="81"/>
        <v/>
      </c>
      <c r="C2600" t="str">
        <f>IF(D2600="","",IF(COUNTIF($D$2:D2600,D2600)&gt;1,"",SUMIFS(tbl_input[필요수량],tbl_input[집계키_청],D2600)))</f>
        <v/>
      </c>
      <c r="D2600" t="str">
        <f>IFERROR(INDEX(tbl_input[집계키_청],ROW()-1),"")</f>
        <v/>
      </c>
    </row>
    <row r="2601" spans="1:4" x14ac:dyDescent="0.4">
      <c r="A2601" t="str">
        <f t="shared" si="80"/>
        <v/>
      </c>
      <c r="B2601" t="str">
        <f t="shared" si="81"/>
        <v/>
      </c>
      <c r="C2601" t="str">
        <f>IF(D2601="","",IF(COUNTIF($D$2:D2601,D2601)&gt;1,"",SUMIFS(tbl_input[필요수량],tbl_input[집계키_청],D2601)))</f>
        <v/>
      </c>
      <c r="D2601" t="str">
        <f>IFERROR(INDEX(tbl_input[집계키_청],ROW()-1),"")</f>
        <v/>
      </c>
    </row>
    <row r="2602" spans="1:4" x14ac:dyDescent="0.4">
      <c r="A2602" t="str">
        <f t="shared" si="80"/>
        <v/>
      </c>
      <c r="B2602" t="str">
        <f t="shared" si="81"/>
        <v/>
      </c>
      <c r="C2602" t="str">
        <f>IF(D2602="","",IF(COUNTIF($D$2:D2602,D2602)&gt;1,"",SUMIFS(tbl_input[필요수량],tbl_input[집계키_청],D2602)))</f>
        <v/>
      </c>
      <c r="D2602" t="str">
        <f>IFERROR(INDEX(tbl_input[집계키_청],ROW()-1),"")</f>
        <v/>
      </c>
    </row>
    <row r="2603" spans="1:4" x14ac:dyDescent="0.4">
      <c r="A2603" t="str">
        <f t="shared" si="80"/>
        <v/>
      </c>
      <c r="B2603" t="str">
        <f t="shared" si="81"/>
        <v/>
      </c>
      <c r="C2603" t="str">
        <f>IF(D2603="","",IF(COUNTIF($D$2:D2603,D2603)&gt;1,"",SUMIFS(tbl_input[필요수량],tbl_input[집계키_청],D2603)))</f>
        <v/>
      </c>
      <c r="D2603" t="str">
        <f>IFERROR(INDEX(tbl_input[집계키_청],ROW()-1),"")</f>
        <v/>
      </c>
    </row>
    <row r="2604" spans="1:4" x14ac:dyDescent="0.4">
      <c r="A2604" t="str">
        <f t="shared" si="80"/>
        <v/>
      </c>
      <c r="B2604" t="str">
        <f t="shared" si="81"/>
        <v/>
      </c>
      <c r="C2604" t="str">
        <f>IF(D2604="","",IF(COUNTIF($D$2:D2604,D2604)&gt;1,"",SUMIFS(tbl_input[필요수량],tbl_input[집계키_청],D2604)))</f>
        <v/>
      </c>
      <c r="D2604" t="str">
        <f>IFERROR(INDEX(tbl_input[집계키_청],ROW()-1),"")</f>
        <v/>
      </c>
    </row>
    <row r="2605" spans="1:4" x14ac:dyDescent="0.4">
      <c r="A2605" t="str">
        <f t="shared" si="80"/>
        <v/>
      </c>
      <c r="B2605" t="str">
        <f t="shared" si="81"/>
        <v/>
      </c>
      <c r="C2605" t="str">
        <f>IF(D2605="","",IF(COUNTIF($D$2:D2605,D2605)&gt;1,"",SUMIFS(tbl_input[필요수량],tbl_input[집계키_청],D2605)))</f>
        <v/>
      </c>
      <c r="D2605" t="str">
        <f>IFERROR(INDEX(tbl_input[집계키_청],ROW()-1),"")</f>
        <v/>
      </c>
    </row>
    <row r="2606" spans="1:4" x14ac:dyDescent="0.4">
      <c r="A2606" t="str">
        <f t="shared" si="80"/>
        <v/>
      </c>
      <c r="B2606" t="str">
        <f t="shared" si="81"/>
        <v/>
      </c>
      <c r="C2606" t="str">
        <f>IF(D2606="","",IF(COUNTIF($D$2:D2606,D2606)&gt;1,"",SUMIFS(tbl_input[필요수량],tbl_input[집계키_청],D2606)))</f>
        <v/>
      </c>
      <c r="D2606" t="str">
        <f>IFERROR(INDEX(tbl_input[집계키_청],ROW()-1),"")</f>
        <v/>
      </c>
    </row>
    <row r="2607" spans="1:4" x14ac:dyDescent="0.4">
      <c r="A2607" t="str">
        <f t="shared" si="80"/>
        <v/>
      </c>
      <c r="B2607" t="str">
        <f t="shared" si="81"/>
        <v/>
      </c>
      <c r="C2607" t="str">
        <f>IF(D2607="","",IF(COUNTIF($D$2:D2607,D2607)&gt;1,"",SUMIFS(tbl_input[필요수량],tbl_input[집계키_청],D2607)))</f>
        <v/>
      </c>
      <c r="D2607" t="str">
        <f>IFERROR(INDEX(tbl_input[집계키_청],ROW()-1),"")</f>
        <v/>
      </c>
    </row>
    <row r="2608" spans="1:4" x14ac:dyDescent="0.4">
      <c r="A2608" t="str">
        <f t="shared" si="80"/>
        <v/>
      </c>
      <c r="B2608" t="str">
        <f t="shared" si="81"/>
        <v/>
      </c>
      <c r="C2608" t="str">
        <f>IF(D2608="","",IF(COUNTIF($D$2:D2608,D2608)&gt;1,"",SUMIFS(tbl_input[필요수량],tbl_input[집계키_청],D2608)))</f>
        <v/>
      </c>
      <c r="D2608" t="str">
        <f>IFERROR(INDEX(tbl_input[집계키_청],ROW()-1),"")</f>
        <v/>
      </c>
    </row>
    <row r="2609" spans="1:4" x14ac:dyDescent="0.4">
      <c r="A2609" t="str">
        <f t="shared" si="80"/>
        <v/>
      </c>
      <c r="B2609" t="str">
        <f t="shared" si="81"/>
        <v/>
      </c>
      <c r="C2609" t="str">
        <f>IF(D2609="","",IF(COUNTIF($D$2:D2609,D2609)&gt;1,"",SUMIFS(tbl_input[필요수량],tbl_input[집계키_청],D2609)))</f>
        <v/>
      </c>
      <c r="D2609" t="str">
        <f>IFERROR(INDEX(tbl_input[집계키_청],ROW()-1),"")</f>
        <v/>
      </c>
    </row>
    <row r="2610" spans="1:4" x14ac:dyDescent="0.4">
      <c r="A2610" t="str">
        <f t="shared" si="80"/>
        <v/>
      </c>
      <c r="B2610" t="str">
        <f t="shared" si="81"/>
        <v/>
      </c>
      <c r="C2610" t="str">
        <f>IF(D2610="","",IF(COUNTIF($D$2:D2610,D2610)&gt;1,"",SUMIFS(tbl_input[필요수량],tbl_input[집계키_청],D2610)))</f>
        <v/>
      </c>
      <c r="D2610" t="str">
        <f>IFERROR(INDEX(tbl_input[집계키_청],ROW()-1),"")</f>
        <v/>
      </c>
    </row>
    <row r="2611" spans="1:4" x14ac:dyDescent="0.4">
      <c r="A2611" t="str">
        <f t="shared" si="80"/>
        <v/>
      </c>
      <c r="B2611" t="str">
        <f t="shared" si="81"/>
        <v/>
      </c>
      <c r="C2611" t="str">
        <f>IF(D2611="","",IF(COUNTIF($D$2:D2611,D2611)&gt;1,"",SUMIFS(tbl_input[필요수량],tbl_input[집계키_청],D2611)))</f>
        <v/>
      </c>
      <c r="D2611" t="str">
        <f>IFERROR(INDEX(tbl_input[집계키_청],ROW()-1),"")</f>
        <v/>
      </c>
    </row>
    <row r="2612" spans="1:4" x14ac:dyDescent="0.4">
      <c r="A2612" t="str">
        <f t="shared" si="80"/>
        <v/>
      </c>
      <c r="B2612" t="str">
        <f t="shared" si="81"/>
        <v/>
      </c>
      <c r="C2612" t="str">
        <f>IF(D2612="","",IF(COUNTIF($D$2:D2612,D2612)&gt;1,"",SUMIFS(tbl_input[필요수량],tbl_input[집계키_청],D2612)))</f>
        <v/>
      </c>
      <c r="D2612" t="str">
        <f>IFERROR(INDEX(tbl_input[집계키_청],ROW()-1),"")</f>
        <v/>
      </c>
    </row>
    <row r="2613" spans="1:4" x14ac:dyDescent="0.4">
      <c r="A2613" t="str">
        <f t="shared" si="80"/>
        <v/>
      </c>
      <c r="B2613" t="str">
        <f t="shared" si="81"/>
        <v/>
      </c>
      <c r="C2613" t="str">
        <f>IF(D2613="","",IF(COUNTIF($D$2:D2613,D2613)&gt;1,"",SUMIFS(tbl_input[필요수량],tbl_input[집계키_청],D2613)))</f>
        <v/>
      </c>
      <c r="D2613" t="str">
        <f>IFERROR(INDEX(tbl_input[집계키_청],ROW()-1),"")</f>
        <v/>
      </c>
    </row>
    <row r="2614" spans="1:4" x14ac:dyDescent="0.4">
      <c r="A2614" t="str">
        <f t="shared" si="80"/>
        <v/>
      </c>
      <c r="B2614" t="str">
        <f t="shared" si="81"/>
        <v/>
      </c>
      <c r="C2614" t="str">
        <f>IF(D2614="","",IF(COUNTIF($D$2:D2614,D2614)&gt;1,"",SUMIFS(tbl_input[필요수량],tbl_input[집계키_청],D2614)))</f>
        <v/>
      </c>
      <c r="D2614" t="str">
        <f>IFERROR(INDEX(tbl_input[집계키_청],ROW()-1),"")</f>
        <v/>
      </c>
    </row>
    <row r="2615" spans="1:4" x14ac:dyDescent="0.4">
      <c r="A2615" t="str">
        <f t="shared" si="80"/>
        <v/>
      </c>
      <c r="B2615" t="str">
        <f t="shared" si="81"/>
        <v/>
      </c>
      <c r="C2615" t="str">
        <f>IF(D2615="","",IF(COUNTIF($D$2:D2615,D2615)&gt;1,"",SUMIFS(tbl_input[필요수량],tbl_input[집계키_청],D2615)))</f>
        <v/>
      </c>
      <c r="D2615" t="str">
        <f>IFERROR(INDEX(tbl_input[집계키_청],ROW()-1),"")</f>
        <v/>
      </c>
    </row>
    <row r="2616" spans="1:4" x14ac:dyDescent="0.4">
      <c r="A2616" t="str">
        <f t="shared" si="80"/>
        <v/>
      </c>
      <c r="B2616" t="str">
        <f t="shared" si="81"/>
        <v/>
      </c>
      <c r="C2616" t="str">
        <f>IF(D2616="","",IF(COUNTIF($D$2:D2616,D2616)&gt;1,"",SUMIFS(tbl_input[필요수량],tbl_input[집계키_청],D2616)))</f>
        <v/>
      </c>
      <c r="D2616" t="str">
        <f>IFERROR(INDEX(tbl_input[집계키_청],ROW()-1),"")</f>
        <v/>
      </c>
    </row>
    <row r="2617" spans="1:4" x14ac:dyDescent="0.4">
      <c r="A2617" t="str">
        <f t="shared" si="80"/>
        <v/>
      </c>
      <c r="B2617" t="str">
        <f t="shared" si="81"/>
        <v/>
      </c>
      <c r="C2617" t="str">
        <f>IF(D2617="","",IF(COUNTIF($D$2:D2617,D2617)&gt;1,"",SUMIFS(tbl_input[필요수량],tbl_input[집계키_청],D2617)))</f>
        <v/>
      </c>
      <c r="D2617" t="str">
        <f>IFERROR(INDEX(tbl_input[집계키_청],ROW()-1),"")</f>
        <v/>
      </c>
    </row>
    <row r="2618" spans="1:4" x14ac:dyDescent="0.4">
      <c r="A2618" t="str">
        <f t="shared" si="80"/>
        <v/>
      </c>
      <c r="B2618" t="str">
        <f t="shared" si="81"/>
        <v/>
      </c>
      <c r="C2618" t="str">
        <f>IF(D2618="","",IF(COUNTIF($D$2:D2618,D2618)&gt;1,"",SUMIFS(tbl_input[필요수량],tbl_input[집계키_청],D2618)))</f>
        <v/>
      </c>
      <c r="D2618" t="str">
        <f>IFERROR(INDEX(tbl_input[집계키_청],ROW()-1),"")</f>
        <v/>
      </c>
    </row>
    <row r="2619" spans="1:4" x14ac:dyDescent="0.4">
      <c r="A2619" t="str">
        <f t="shared" si="80"/>
        <v/>
      </c>
      <c r="B2619" t="str">
        <f t="shared" si="81"/>
        <v/>
      </c>
      <c r="C2619" t="str">
        <f>IF(D2619="","",IF(COUNTIF($D$2:D2619,D2619)&gt;1,"",SUMIFS(tbl_input[필요수량],tbl_input[집계키_청],D2619)))</f>
        <v/>
      </c>
      <c r="D2619" t="str">
        <f>IFERROR(INDEX(tbl_input[집계키_청],ROW()-1),"")</f>
        <v/>
      </c>
    </row>
    <row r="2620" spans="1:4" x14ac:dyDescent="0.4">
      <c r="A2620" t="str">
        <f t="shared" si="80"/>
        <v/>
      </c>
      <c r="B2620" t="str">
        <f t="shared" si="81"/>
        <v/>
      </c>
      <c r="C2620" t="str">
        <f>IF(D2620="","",IF(COUNTIF($D$2:D2620,D2620)&gt;1,"",SUMIFS(tbl_input[필요수량],tbl_input[집계키_청],D2620)))</f>
        <v/>
      </c>
      <c r="D2620" t="str">
        <f>IFERROR(INDEX(tbl_input[집계키_청],ROW()-1),"")</f>
        <v/>
      </c>
    </row>
    <row r="2621" spans="1:4" x14ac:dyDescent="0.4">
      <c r="A2621" t="str">
        <f t="shared" si="80"/>
        <v/>
      </c>
      <c r="B2621" t="str">
        <f t="shared" si="81"/>
        <v/>
      </c>
      <c r="C2621" t="str">
        <f>IF(D2621="","",IF(COUNTIF($D$2:D2621,D2621)&gt;1,"",SUMIFS(tbl_input[필요수량],tbl_input[집계키_청],D2621)))</f>
        <v/>
      </c>
      <c r="D2621" t="str">
        <f>IFERROR(INDEX(tbl_input[집계키_청],ROW()-1),"")</f>
        <v/>
      </c>
    </row>
    <row r="2622" spans="1:4" x14ac:dyDescent="0.4">
      <c r="A2622" t="str">
        <f t="shared" si="80"/>
        <v/>
      </c>
      <c r="B2622" t="str">
        <f t="shared" si="81"/>
        <v/>
      </c>
      <c r="C2622" t="str">
        <f>IF(D2622="","",IF(COUNTIF($D$2:D2622,D2622)&gt;1,"",SUMIFS(tbl_input[필요수량],tbl_input[집계키_청],D2622)))</f>
        <v/>
      </c>
      <c r="D2622" t="str">
        <f>IFERROR(INDEX(tbl_input[집계키_청],ROW()-1),"")</f>
        <v/>
      </c>
    </row>
    <row r="2623" spans="1:4" x14ac:dyDescent="0.4">
      <c r="A2623" t="str">
        <f t="shared" si="80"/>
        <v/>
      </c>
      <c r="B2623" t="str">
        <f t="shared" si="81"/>
        <v/>
      </c>
      <c r="C2623" t="str">
        <f>IF(D2623="","",IF(COUNTIF($D$2:D2623,D2623)&gt;1,"",SUMIFS(tbl_input[필요수량],tbl_input[집계키_청],D2623)))</f>
        <v/>
      </c>
      <c r="D2623" t="str">
        <f>IFERROR(INDEX(tbl_input[집계키_청],ROW()-1),"")</f>
        <v/>
      </c>
    </row>
    <row r="2624" spans="1:4" x14ac:dyDescent="0.4">
      <c r="A2624" t="str">
        <f t="shared" si="80"/>
        <v/>
      </c>
      <c r="B2624" t="str">
        <f t="shared" si="81"/>
        <v/>
      </c>
      <c r="C2624" t="str">
        <f>IF(D2624="","",IF(COUNTIF($D$2:D2624,D2624)&gt;1,"",SUMIFS(tbl_input[필요수량],tbl_input[집계키_청],D2624)))</f>
        <v/>
      </c>
      <c r="D2624" t="str">
        <f>IFERROR(INDEX(tbl_input[집계키_청],ROW()-1),"")</f>
        <v/>
      </c>
    </row>
    <row r="2625" spans="1:4" x14ac:dyDescent="0.4">
      <c r="A2625" t="str">
        <f t="shared" si="80"/>
        <v/>
      </c>
      <c r="B2625" t="str">
        <f t="shared" si="81"/>
        <v/>
      </c>
      <c r="C2625" t="str">
        <f>IF(D2625="","",IF(COUNTIF($D$2:D2625,D2625)&gt;1,"",SUMIFS(tbl_input[필요수량],tbl_input[집계키_청],D2625)))</f>
        <v/>
      </c>
      <c r="D2625" t="str">
        <f>IFERROR(INDEX(tbl_input[집계키_청],ROW()-1),"")</f>
        <v/>
      </c>
    </row>
    <row r="2626" spans="1:4" x14ac:dyDescent="0.4">
      <c r="A2626" t="str">
        <f t="shared" ref="A2626:A2689" si="82">IF(D2626="","",LEFT(D2626,FIND("♦",D2626)-1))</f>
        <v/>
      </c>
      <c r="B2626" t="str">
        <f t="shared" ref="B2626:B2689" si="83">IF(D2626="","",MID(D2626,FIND("♦",D2626)+1,999))</f>
        <v/>
      </c>
      <c r="C2626" t="str">
        <f>IF(D2626="","",IF(COUNTIF($D$2:D2626,D2626)&gt;1,"",SUMIFS(tbl_input[필요수량],tbl_input[집계키_청],D2626)))</f>
        <v/>
      </c>
      <c r="D2626" t="str">
        <f>IFERROR(INDEX(tbl_input[집계키_청],ROW()-1),"")</f>
        <v/>
      </c>
    </row>
    <row r="2627" spans="1:4" x14ac:dyDescent="0.4">
      <c r="A2627" t="str">
        <f t="shared" si="82"/>
        <v/>
      </c>
      <c r="B2627" t="str">
        <f t="shared" si="83"/>
        <v/>
      </c>
      <c r="C2627" t="str">
        <f>IF(D2627="","",IF(COUNTIF($D$2:D2627,D2627)&gt;1,"",SUMIFS(tbl_input[필요수량],tbl_input[집계키_청],D2627)))</f>
        <v/>
      </c>
      <c r="D2627" t="str">
        <f>IFERROR(INDEX(tbl_input[집계키_청],ROW()-1),"")</f>
        <v/>
      </c>
    </row>
    <row r="2628" spans="1:4" x14ac:dyDescent="0.4">
      <c r="A2628" t="str">
        <f t="shared" si="82"/>
        <v/>
      </c>
      <c r="B2628" t="str">
        <f t="shared" si="83"/>
        <v/>
      </c>
      <c r="C2628" t="str">
        <f>IF(D2628="","",IF(COUNTIF($D$2:D2628,D2628)&gt;1,"",SUMIFS(tbl_input[필요수량],tbl_input[집계키_청],D2628)))</f>
        <v/>
      </c>
      <c r="D2628" t="str">
        <f>IFERROR(INDEX(tbl_input[집계키_청],ROW()-1),"")</f>
        <v/>
      </c>
    </row>
    <row r="2629" spans="1:4" x14ac:dyDescent="0.4">
      <c r="A2629" t="str">
        <f t="shared" si="82"/>
        <v/>
      </c>
      <c r="B2629" t="str">
        <f t="shared" si="83"/>
        <v/>
      </c>
      <c r="C2629" t="str">
        <f>IF(D2629="","",IF(COUNTIF($D$2:D2629,D2629)&gt;1,"",SUMIFS(tbl_input[필요수량],tbl_input[집계키_청],D2629)))</f>
        <v/>
      </c>
      <c r="D2629" t="str">
        <f>IFERROR(INDEX(tbl_input[집계키_청],ROW()-1),"")</f>
        <v/>
      </c>
    </row>
    <row r="2630" spans="1:4" x14ac:dyDescent="0.4">
      <c r="A2630" t="str">
        <f t="shared" si="82"/>
        <v/>
      </c>
      <c r="B2630" t="str">
        <f t="shared" si="83"/>
        <v/>
      </c>
      <c r="C2630" t="str">
        <f>IF(D2630="","",IF(COUNTIF($D$2:D2630,D2630)&gt;1,"",SUMIFS(tbl_input[필요수량],tbl_input[집계키_청],D2630)))</f>
        <v/>
      </c>
      <c r="D2630" t="str">
        <f>IFERROR(INDEX(tbl_input[집계키_청],ROW()-1),"")</f>
        <v/>
      </c>
    </row>
    <row r="2631" spans="1:4" x14ac:dyDescent="0.4">
      <c r="A2631" t="str">
        <f t="shared" si="82"/>
        <v/>
      </c>
      <c r="B2631" t="str">
        <f t="shared" si="83"/>
        <v/>
      </c>
      <c r="C2631" t="str">
        <f>IF(D2631="","",IF(COUNTIF($D$2:D2631,D2631)&gt;1,"",SUMIFS(tbl_input[필요수량],tbl_input[집계키_청],D2631)))</f>
        <v/>
      </c>
      <c r="D2631" t="str">
        <f>IFERROR(INDEX(tbl_input[집계키_청],ROW()-1),"")</f>
        <v/>
      </c>
    </row>
    <row r="2632" spans="1:4" x14ac:dyDescent="0.4">
      <c r="A2632" t="str">
        <f t="shared" si="82"/>
        <v/>
      </c>
      <c r="B2632" t="str">
        <f t="shared" si="83"/>
        <v/>
      </c>
      <c r="C2632" t="str">
        <f>IF(D2632="","",IF(COUNTIF($D$2:D2632,D2632)&gt;1,"",SUMIFS(tbl_input[필요수량],tbl_input[집계키_청],D2632)))</f>
        <v/>
      </c>
      <c r="D2632" t="str">
        <f>IFERROR(INDEX(tbl_input[집계키_청],ROW()-1),"")</f>
        <v/>
      </c>
    </row>
    <row r="2633" spans="1:4" x14ac:dyDescent="0.4">
      <c r="A2633" t="str">
        <f t="shared" si="82"/>
        <v/>
      </c>
      <c r="B2633" t="str">
        <f t="shared" si="83"/>
        <v/>
      </c>
      <c r="C2633" t="str">
        <f>IF(D2633="","",IF(COUNTIF($D$2:D2633,D2633)&gt;1,"",SUMIFS(tbl_input[필요수량],tbl_input[집계키_청],D2633)))</f>
        <v/>
      </c>
      <c r="D2633" t="str">
        <f>IFERROR(INDEX(tbl_input[집계키_청],ROW()-1),"")</f>
        <v/>
      </c>
    </row>
    <row r="2634" spans="1:4" x14ac:dyDescent="0.4">
      <c r="A2634" t="str">
        <f t="shared" si="82"/>
        <v/>
      </c>
      <c r="B2634" t="str">
        <f t="shared" si="83"/>
        <v/>
      </c>
      <c r="C2634" t="str">
        <f>IF(D2634="","",IF(COUNTIF($D$2:D2634,D2634)&gt;1,"",SUMIFS(tbl_input[필요수량],tbl_input[집계키_청],D2634)))</f>
        <v/>
      </c>
      <c r="D2634" t="str">
        <f>IFERROR(INDEX(tbl_input[집계키_청],ROW()-1),"")</f>
        <v/>
      </c>
    </row>
    <row r="2635" spans="1:4" x14ac:dyDescent="0.4">
      <c r="A2635" t="str">
        <f t="shared" si="82"/>
        <v/>
      </c>
      <c r="B2635" t="str">
        <f t="shared" si="83"/>
        <v/>
      </c>
      <c r="C2635" t="str">
        <f>IF(D2635="","",IF(COUNTIF($D$2:D2635,D2635)&gt;1,"",SUMIFS(tbl_input[필요수량],tbl_input[집계키_청],D2635)))</f>
        <v/>
      </c>
      <c r="D2635" t="str">
        <f>IFERROR(INDEX(tbl_input[집계키_청],ROW()-1),"")</f>
        <v/>
      </c>
    </row>
    <row r="2636" spans="1:4" x14ac:dyDescent="0.4">
      <c r="A2636" t="str">
        <f t="shared" si="82"/>
        <v/>
      </c>
      <c r="B2636" t="str">
        <f t="shared" si="83"/>
        <v/>
      </c>
      <c r="C2636" t="str">
        <f>IF(D2636="","",IF(COUNTIF($D$2:D2636,D2636)&gt;1,"",SUMIFS(tbl_input[필요수량],tbl_input[집계키_청],D2636)))</f>
        <v/>
      </c>
      <c r="D2636" t="str">
        <f>IFERROR(INDEX(tbl_input[집계키_청],ROW()-1),"")</f>
        <v/>
      </c>
    </row>
    <row r="2637" spans="1:4" x14ac:dyDescent="0.4">
      <c r="A2637" t="str">
        <f t="shared" si="82"/>
        <v/>
      </c>
      <c r="B2637" t="str">
        <f t="shared" si="83"/>
        <v/>
      </c>
      <c r="C2637" t="str">
        <f>IF(D2637="","",IF(COUNTIF($D$2:D2637,D2637)&gt;1,"",SUMIFS(tbl_input[필요수량],tbl_input[집계키_청],D2637)))</f>
        <v/>
      </c>
      <c r="D2637" t="str">
        <f>IFERROR(INDEX(tbl_input[집계키_청],ROW()-1),"")</f>
        <v/>
      </c>
    </row>
    <row r="2638" spans="1:4" x14ac:dyDescent="0.4">
      <c r="A2638" t="str">
        <f t="shared" si="82"/>
        <v/>
      </c>
      <c r="B2638" t="str">
        <f t="shared" si="83"/>
        <v/>
      </c>
      <c r="C2638" t="str">
        <f>IF(D2638="","",IF(COUNTIF($D$2:D2638,D2638)&gt;1,"",SUMIFS(tbl_input[필요수량],tbl_input[집계키_청],D2638)))</f>
        <v/>
      </c>
      <c r="D2638" t="str">
        <f>IFERROR(INDEX(tbl_input[집계키_청],ROW()-1),"")</f>
        <v/>
      </c>
    </row>
    <row r="2639" spans="1:4" x14ac:dyDescent="0.4">
      <c r="A2639" t="str">
        <f t="shared" si="82"/>
        <v/>
      </c>
      <c r="B2639" t="str">
        <f t="shared" si="83"/>
        <v/>
      </c>
      <c r="C2639" t="str">
        <f>IF(D2639="","",IF(COUNTIF($D$2:D2639,D2639)&gt;1,"",SUMIFS(tbl_input[필요수량],tbl_input[집계키_청],D2639)))</f>
        <v/>
      </c>
      <c r="D2639" t="str">
        <f>IFERROR(INDEX(tbl_input[집계키_청],ROW()-1),"")</f>
        <v/>
      </c>
    </row>
    <row r="2640" spans="1:4" x14ac:dyDescent="0.4">
      <c r="A2640" t="str">
        <f t="shared" si="82"/>
        <v/>
      </c>
      <c r="B2640" t="str">
        <f t="shared" si="83"/>
        <v/>
      </c>
      <c r="C2640" t="str">
        <f>IF(D2640="","",IF(COUNTIF($D$2:D2640,D2640)&gt;1,"",SUMIFS(tbl_input[필요수량],tbl_input[집계키_청],D2640)))</f>
        <v/>
      </c>
      <c r="D2640" t="str">
        <f>IFERROR(INDEX(tbl_input[집계키_청],ROW()-1),"")</f>
        <v/>
      </c>
    </row>
    <row r="2641" spans="1:4" x14ac:dyDescent="0.4">
      <c r="A2641" t="str">
        <f t="shared" si="82"/>
        <v/>
      </c>
      <c r="B2641" t="str">
        <f t="shared" si="83"/>
        <v/>
      </c>
      <c r="C2641" t="str">
        <f>IF(D2641="","",IF(COUNTIF($D$2:D2641,D2641)&gt;1,"",SUMIFS(tbl_input[필요수량],tbl_input[집계키_청],D2641)))</f>
        <v/>
      </c>
      <c r="D2641" t="str">
        <f>IFERROR(INDEX(tbl_input[집계키_청],ROW()-1),"")</f>
        <v/>
      </c>
    </row>
    <row r="2642" spans="1:4" x14ac:dyDescent="0.4">
      <c r="A2642" t="str">
        <f t="shared" si="82"/>
        <v/>
      </c>
      <c r="B2642" t="str">
        <f t="shared" si="83"/>
        <v/>
      </c>
      <c r="C2642" t="str">
        <f>IF(D2642="","",IF(COUNTIF($D$2:D2642,D2642)&gt;1,"",SUMIFS(tbl_input[필요수량],tbl_input[집계키_청],D2642)))</f>
        <v/>
      </c>
      <c r="D2642" t="str">
        <f>IFERROR(INDEX(tbl_input[집계키_청],ROW()-1),"")</f>
        <v/>
      </c>
    </row>
    <row r="2643" spans="1:4" x14ac:dyDescent="0.4">
      <c r="A2643" t="str">
        <f t="shared" si="82"/>
        <v/>
      </c>
      <c r="B2643" t="str">
        <f t="shared" si="83"/>
        <v/>
      </c>
      <c r="C2643" t="str">
        <f>IF(D2643="","",IF(COUNTIF($D$2:D2643,D2643)&gt;1,"",SUMIFS(tbl_input[필요수량],tbl_input[집계키_청],D2643)))</f>
        <v/>
      </c>
      <c r="D2643" t="str">
        <f>IFERROR(INDEX(tbl_input[집계키_청],ROW()-1),"")</f>
        <v/>
      </c>
    </row>
    <row r="2644" spans="1:4" x14ac:dyDescent="0.4">
      <c r="A2644" t="str">
        <f t="shared" si="82"/>
        <v/>
      </c>
      <c r="B2644" t="str">
        <f t="shared" si="83"/>
        <v/>
      </c>
      <c r="C2644" t="str">
        <f>IF(D2644="","",IF(COUNTIF($D$2:D2644,D2644)&gt;1,"",SUMIFS(tbl_input[필요수량],tbl_input[집계키_청],D2644)))</f>
        <v/>
      </c>
      <c r="D2644" t="str">
        <f>IFERROR(INDEX(tbl_input[집계키_청],ROW()-1),"")</f>
        <v/>
      </c>
    </row>
    <row r="2645" spans="1:4" x14ac:dyDescent="0.4">
      <c r="A2645" t="str">
        <f t="shared" si="82"/>
        <v/>
      </c>
      <c r="B2645" t="str">
        <f t="shared" si="83"/>
        <v/>
      </c>
      <c r="C2645" t="str">
        <f>IF(D2645="","",IF(COUNTIF($D$2:D2645,D2645)&gt;1,"",SUMIFS(tbl_input[필요수량],tbl_input[집계키_청],D2645)))</f>
        <v/>
      </c>
      <c r="D2645" t="str">
        <f>IFERROR(INDEX(tbl_input[집계키_청],ROW()-1),"")</f>
        <v/>
      </c>
    </row>
    <row r="2646" spans="1:4" x14ac:dyDescent="0.4">
      <c r="A2646" t="str">
        <f t="shared" si="82"/>
        <v/>
      </c>
      <c r="B2646" t="str">
        <f t="shared" si="83"/>
        <v/>
      </c>
      <c r="C2646" t="str">
        <f>IF(D2646="","",IF(COUNTIF($D$2:D2646,D2646)&gt;1,"",SUMIFS(tbl_input[필요수량],tbl_input[집계키_청],D2646)))</f>
        <v/>
      </c>
      <c r="D2646" t="str">
        <f>IFERROR(INDEX(tbl_input[집계키_청],ROW()-1),"")</f>
        <v/>
      </c>
    </row>
    <row r="2647" spans="1:4" x14ac:dyDescent="0.4">
      <c r="A2647" t="str">
        <f t="shared" si="82"/>
        <v/>
      </c>
      <c r="B2647" t="str">
        <f t="shared" si="83"/>
        <v/>
      </c>
      <c r="C2647" t="str">
        <f>IF(D2647="","",IF(COUNTIF($D$2:D2647,D2647)&gt;1,"",SUMIFS(tbl_input[필요수량],tbl_input[집계키_청],D2647)))</f>
        <v/>
      </c>
      <c r="D2647" t="str">
        <f>IFERROR(INDEX(tbl_input[집계키_청],ROW()-1),"")</f>
        <v/>
      </c>
    </row>
    <row r="2648" spans="1:4" x14ac:dyDescent="0.4">
      <c r="A2648" t="str">
        <f t="shared" si="82"/>
        <v/>
      </c>
      <c r="B2648" t="str">
        <f t="shared" si="83"/>
        <v/>
      </c>
      <c r="C2648" t="str">
        <f>IF(D2648="","",IF(COUNTIF($D$2:D2648,D2648)&gt;1,"",SUMIFS(tbl_input[필요수량],tbl_input[집계키_청],D2648)))</f>
        <v/>
      </c>
      <c r="D2648" t="str">
        <f>IFERROR(INDEX(tbl_input[집계키_청],ROW()-1),"")</f>
        <v/>
      </c>
    </row>
    <row r="2649" spans="1:4" x14ac:dyDescent="0.4">
      <c r="A2649" t="str">
        <f t="shared" si="82"/>
        <v/>
      </c>
      <c r="B2649" t="str">
        <f t="shared" si="83"/>
        <v/>
      </c>
      <c r="C2649" t="str">
        <f>IF(D2649="","",IF(COUNTIF($D$2:D2649,D2649)&gt;1,"",SUMIFS(tbl_input[필요수량],tbl_input[집계키_청],D2649)))</f>
        <v/>
      </c>
      <c r="D2649" t="str">
        <f>IFERROR(INDEX(tbl_input[집계키_청],ROW()-1),"")</f>
        <v/>
      </c>
    </row>
    <row r="2650" spans="1:4" x14ac:dyDescent="0.4">
      <c r="A2650" t="str">
        <f t="shared" si="82"/>
        <v/>
      </c>
      <c r="B2650" t="str">
        <f t="shared" si="83"/>
        <v/>
      </c>
      <c r="C2650" t="str">
        <f>IF(D2650="","",IF(COUNTIF($D$2:D2650,D2650)&gt;1,"",SUMIFS(tbl_input[필요수량],tbl_input[집계키_청],D2650)))</f>
        <v/>
      </c>
      <c r="D2650" t="str">
        <f>IFERROR(INDEX(tbl_input[집계키_청],ROW()-1),"")</f>
        <v/>
      </c>
    </row>
    <row r="2651" spans="1:4" x14ac:dyDescent="0.4">
      <c r="A2651" t="str">
        <f t="shared" si="82"/>
        <v/>
      </c>
      <c r="B2651" t="str">
        <f t="shared" si="83"/>
        <v/>
      </c>
      <c r="C2651" t="str">
        <f>IF(D2651="","",IF(COUNTIF($D$2:D2651,D2651)&gt;1,"",SUMIFS(tbl_input[필요수량],tbl_input[집계키_청],D2651)))</f>
        <v/>
      </c>
      <c r="D2651" t="str">
        <f>IFERROR(INDEX(tbl_input[집계키_청],ROW()-1),"")</f>
        <v/>
      </c>
    </row>
    <row r="2652" spans="1:4" x14ac:dyDescent="0.4">
      <c r="A2652" t="str">
        <f t="shared" si="82"/>
        <v/>
      </c>
      <c r="B2652" t="str">
        <f t="shared" si="83"/>
        <v/>
      </c>
      <c r="C2652" t="str">
        <f>IF(D2652="","",IF(COUNTIF($D$2:D2652,D2652)&gt;1,"",SUMIFS(tbl_input[필요수량],tbl_input[집계키_청],D2652)))</f>
        <v/>
      </c>
      <c r="D2652" t="str">
        <f>IFERROR(INDEX(tbl_input[집계키_청],ROW()-1),"")</f>
        <v/>
      </c>
    </row>
    <row r="2653" spans="1:4" x14ac:dyDescent="0.4">
      <c r="A2653" t="str">
        <f t="shared" si="82"/>
        <v/>
      </c>
      <c r="B2653" t="str">
        <f t="shared" si="83"/>
        <v/>
      </c>
      <c r="C2653" t="str">
        <f>IF(D2653="","",IF(COUNTIF($D$2:D2653,D2653)&gt;1,"",SUMIFS(tbl_input[필요수량],tbl_input[집계키_청],D2653)))</f>
        <v/>
      </c>
      <c r="D2653" t="str">
        <f>IFERROR(INDEX(tbl_input[집계키_청],ROW()-1),"")</f>
        <v/>
      </c>
    </row>
    <row r="2654" spans="1:4" x14ac:dyDescent="0.4">
      <c r="A2654" t="str">
        <f t="shared" si="82"/>
        <v/>
      </c>
      <c r="B2654" t="str">
        <f t="shared" si="83"/>
        <v/>
      </c>
      <c r="C2654" t="str">
        <f>IF(D2654="","",IF(COUNTIF($D$2:D2654,D2654)&gt;1,"",SUMIFS(tbl_input[필요수량],tbl_input[집계키_청],D2654)))</f>
        <v/>
      </c>
      <c r="D2654" t="str">
        <f>IFERROR(INDEX(tbl_input[집계키_청],ROW()-1),"")</f>
        <v/>
      </c>
    </row>
    <row r="2655" spans="1:4" x14ac:dyDescent="0.4">
      <c r="A2655" t="str">
        <f t="shared" si="82"/>
        <v/>
      </c>
      <c r="B2655" t="str">
        <f t="shared" si="83"/>
        <v/>
      </c>
      <c r="C2655" t="str">
        <f>IF(D2655="","",IF(COUNTIF($D$2:D2655,D2655)&gt;1,"",SUMIFS(tbl_input[필요수량],tbl_input[집계키_청],D2655)))</f>
        <v/>
      </c>
      <c r="D2655" t="str">
        <f>IFERROR(INDEX(tbl_input[집계키_청],ROW()-1),"")</f>
        <v/>
      </c>
    </row>
    <row r="2656" spans="1:4" x14ac:dyDescent="0.4">
      <c r="A2656" t="str">
        <f t="shared" si="82"/>
        <v/>
      </c>
      <c r="B2656" t="str">
        <f t="shared" si="83"/>
        <v/>
      </c>
      <c r="C2656" t="str">
        <f>IF(D2656="","",IF(COUNTIF($D$2:D2656,D2656)&gt;1,"",SUMIFS(tbl_input[필요수량],tbl_input[집계키_청],D2656)))</f>
        <v/>
      </c>
      <c r="D2656" t="str">
        <f>IFERROR(INDEX(tbl_input[집계키_청],ROW()-1),"")</f>
        <v/>
      </c>
    </row>
    <row r="2657" spans="1:4" x14ac:dyDescent="0.4">
      <c r="A2657" t="str">
        <f t="shared" si="82"/>
        <v/>
      </c>
      <c r="B2657" t="str">
        <f t="shared" si="83"/>
        <v/>
      </c>
      <c r="C2657" t="str">
        <f>IF(D2657="","",IF(COUNTIF($D$2:D2657,D2657)&gt;1,"",SUMIFS(tbl_input[필요수량],tbl_input[집계키_청],D2657)))</f>
        <v/>
      </c>
      <c r="D2657" t="str">
        <f>IFERROR(INDEX(tbl_input[집계키_청],ROW()-1),"")</f>
        <v/>
      </c>
    </row>
    <row r="2658" spans="1:4" x14ac:dyDescent="0.4">
      <c r="A2658" t="str">
        <f t="shared" si="82"/>
        <v/>
      </c>
      <c r="B2658" t="str">
        <f t="shared" si="83"/>
        <v/>
      </c>
      <c r="C2658" t="str">
        <f>IF(D2658="","",IF(COUNTIF($D$2:D2658,D2658)&gt;1,"",SUMIFS(tbl_input[필요수량],tbl_input[집계키_청],D2658)))</f>
        <v/>
      </c>
      <c r="D2658" t="str">
        <f>IFERROR(INDEX(tbl_input[집계키_청],ROW()-1),"")</f>
        <v/>
      </c>
    </row>
    <row r="2659" spans="1:4" x14ac:dyDescent="0.4">
      <c r="A2659" t="str">
        <f t="shared" si="82"/>
        <v/>
      </c>
      <c r="B2659" t="str">
        <f t="shared" si="83"/>
        <v/>
      </c>
      <c r="C2659" t="str">
        <f>IF(D2659="","",IF(COUNTIF($D$2:D2659,D2659)&gt;1,"",SUMIFS(tbl_input[필요수량],tbl_input[집계키_청],D2659)))</f>
        <v/>
      </c>
      <c r="D2659" t="str">
        <f>IFERROR(INDEX(tbl_input[집계키_청],ROW()-1),"")</f>
        <v/>
      </c>
    </row>
    <row r="2660" spans="1:4" x14ac:dyDescent="0.4">
      <c r="A2660" t="str">
        <f t="shared" si="82"/>
        <v/>
      </c>
      <c r="B2660" t="str">
        <f t="shared" si="83"/>
        <v/>
      </c>
      <c r="C2660" t="str">
        <f>IF(D2660="","",IF(COUNTIF($D$2:D2660,D2660)&gt;1,"",SUMIFS(tbl_input[필요수량],tbl_input[집계키_청],D2660)))</f>
        <v/>
      </c>
      <c r="D2660" t="str">
        <f>IFERROR(INDEX(tbl_input[집계키_청],ROW()-1),"")</f>
        <v/>
      </c>
    </row>
    <row r="2661" spans="1:4" x14ac:dyDescent="0.4">
      <c r="A2661" t="str">
        <f t="shared" si="82"/>
        <v/>
      </c>
      <c r="B2661" t="str">
        <f t="shared" si="83"/>
        <v/>
      </c>
      <c r="C2661" t="str">
        <f>IF(D2661="","",IF(COUNTIF($D$2:D2661,D2661)&gt;1,"",SUMIFS(tbl_input[필요수량],tbl_input[집계키_청],D2661)))</f>
        <v/>
      </c>
      <c r="D2661" t="str">
        <f>IFERROR(INDEX(tbl_input[집계키_청],ROW()-1),"")</f>
        <v/>
      </c>
    </row>
    <row r="2662" spans="1:4" x14ac:dyDescent="0.4">
      <c r="A2662" t="str">
        <f t="shared" si="82"/>
        <v/>
      </c>
      <c r="B2662" t="str">
        <f t="shared" si="83"/>
        <v/>
      </c>
      <c r="C2662" t="str">
        <f>IF(D2662="","",IF(COUNTIF($D$2:D2662,D2662)&gt;1,"",SUMIFS(tbl_input[필요수량],tbl_input[집계키_청],D2662)))</f>
        <v/>
      </c>
      <c r="D2662" t="str">
        <f>IFERROR(INDEX(tbl_input[집계키_청],ROW()-1),"")</f>
        <v/>
      </c>
    </row>
    <row r="2663" spans="1:4" x14ac:dyDescent="0.4">
      <c r="A2663" t="str">
        <f t="shared" si="82"/>
        <v/>
      </c>
      <c r="B2663" t="str">
        <f t="shared" si="83"/>
        <v/>
      </c>
      <c r="C2663" t="str">
        <f>IF(D2663="","",IF(COUNTIF($D$2:D2663,D2663)&gt;1,"",SUMIFS(tbl_input[필요수량],tbl_input[집계키_청],D2663)))</f>
        <v/>
      </c>
      <c r="D2663" t="str">
        <f>IFERROR(INDEX(tbl_input[집계키_청],ROW()-1),"")</f>
        <v/>
      </c>
    </row>
    <row r="2664" spans="1:4" x14ac:dyDescent="0.4">
      <c r="A2664" t="str">
        <f t="shared" si="82"/>
        <v/>
      </c>
      <c r="B2664" t="str">
        <f t="shared" si="83"/>
        <v/>
      </c>
      <c r="C2664" t="str">
        <f>IF(D2664="","",IF(COUNTIF($D$2:D2664,D2664)&gt;1,"",SUMIFS(tbl_input[필요수량],tbl_input[집계키_청],D2664)))</f>
        <v/>
      </c>
      <c r="D2664" t="str">
        <f>IFERROR(INDEX(tbl_input[집계키_청],ROW()-1),"")</f>
        <v/>
      </c>
    </row>
    <row r="2665" spans="1:4" x14ac:dyDescent="0.4">
      <c r="A2665" t="str">
        <f t="shared" si="82"/>
        <v/>
      </c>
      <c r="B2665" t="str">
        <f t="shared" si="83"/>
        <v/>
      </c>
      <c r="C2665" t="str">
        <f>IF(D2665="","",IF(COUNTIF($D$2:D2665,D2665)&gt;1,"",SUMIFS(tbl_input[필요수량],tbl_input[집계키_청],D2665)))</f>
        <v/>
      </c>
      <c r="D2665" t="str">
        <f>IFERROR(INDEX(tbl_input[집계키_청],ROW()-1),"")</f>
        <v/>
      </c>
    </row>
    <row r="2666" spans="1:4" x14ac:dyDescent="0.4">
      <c r="A2666" t="str">
        <f t="shared" si="82"/>
        <v/>
      </c>
      <c r="B2666" t="str">
        <f t="shared" si="83"/>
        <v/>
      </c>
      <c r="C2666" t="str">
        <f>IF(D2666="","",IF(COUNTIF($D$2:D2666,D2666)&gt;1,"",SUMIFS(tbl_input[필요수량],tbl_input[집계키_청],D2666)))</f>
        <v/>
      </c>
      <c r="D2666" t="str">
        <f>IFERROR(INDEX(tbl_input[집계키_청],ROW()-1),"")</f>
        <v/>
      </c>
    </row>
    <row r="2667" spans="1:4" x14ac:dyDescent="0.4">
      <c r="A2667" t="str">
        <f t="shared" si="82"/>
        <v/>
      </c>
      <c r="B2667" t="str">
        <f t="shared" si="83"/>
        <v/>
      </c>
      <c r="C2667" t="str">
        <f>IF(D2667="","",IF(COUNTIF($D$2:D2667,D2667)&gt;1,"",SUMIFS(tbl_input[필요수량],tbl_input[집계키_청],D2667)))</f>
        <v/>
      </c>
      <c r="D2667" t="str">
        <f>IFERROR(INDEX(tbl_input[집계키_청],ROW()-1),"")</f>
        <v/>
      </c>
    </row>
    <row r="2668" spans="1:4" x14ac:dyDescent="0.4">
      <c r="A2668" t="str">
        <f t="shared" si="82"/>
        <v/>
      </c>
      <c r="B2668" t="str">
        <f t="shared" si="83"/>
        <v/>
      </c>
      <c r="C2668" t="str">
        <f>IF(D2668="","",IF(COUNTIF($D$2:D2668,D2668)&gt;1,"",SUMIFS(tbl_input[필요수량],tbl_input[집계키_청],D2668)))</f>
        <v/>
      </c>
      <c r="D2668" t="str">
        <f>IFERROR(INDEX(tbl_input[집계키_청],ROW()-1),"")</f>
        <v/>
      </c>
    </row>
    <row r="2669" spans="1:4" x14ac:dyDescent="0.4">
      <c r="A2669" t="str">
        <f t="shared" si="82"/>
        <v/>
      </c>
      <c r="B2669" t="str">
        <f t="shared" si="83"/>
        <v/>
      </c>
      <c r="C2669" t="str">
        <f>IF(D2669="","",IF(COUNTIF($D$2:D2669,D2669)&gt;1,"",SUMIFS(tbl_input[필요수량],tbl_input[집계키_청],D2669)))</f>
        <v/>
      </c>
      <c r="D2669" t="str">
        <f>IFERROR(INDEX(tbl_input[집계키_청],ROW()-1),"")</f>
        <v/>
      </c>
    </row>
    <row r="2670" spans="1:4" x14ac:dyDescent="0.4">
      <c r="A2670" t="str">
        <f t="shared" si="82"/>
        <v/>
      </c>
      <c r="B2670" t="str">
        <f t="shared" si="83"/>
        <v/>
      </c>
      <c r="C2670" t="str">
        <f>IF(D2670="","",IF(COUNTIF($D$2:D2670,D2670)&gt;1,"",SUMIFS(tbl_input[필요수량],tbl_input[집계키_청],D2670)))</f>
        <v/>
      </c>
      <c r="D2670" t="str">
        <f>IFERROR(INDEX(tbl_input[집계키_청],ROW()-1),"")</f>
        <v/>
      </c>
    </row>
    <row r="2671" spans="1:4" x14ac:dyDescent="0.4">
      <c r="A2671" t="str">
        <f t="shared" si="82"/>
        <v/>
      </c>
      <c r="B2671" t="str">
        <f t="shared" si="83"/>
        <v/>
      </c>
      <c r="C2671" t="str">
        <f>IF(D2671="","",IF(COUNTIF($D$2:D2671,D2671)&gt;1,"",SUMIFS(tbl_input[필요수량],tbl_input[집계키_청],D2671)))</f>
        <v/>
      </c>
      <c r="D2671" t="str">
        <f>IFERROR(INDEX(tbl_input[집계키_청],ROW()-1),"")</f>
        <v/>
      </c>
    </row>
    <row r="2672" spans="1:4" x14ac:dyDescent="0.4">
      <c r="A2672" t="str">
        <f t="shared" si="82"/>
        <v/>
      </c>
      <c r="B2672" t="str">
        <f t="shared" si="83"/>
        <v/>
      </c>
      <c r="C2672" t="str">
        <f>IF(D2672="","",IF(COUNTIF($D$2:D2672,D2672)&gt;1,"",SUMIFS(tbl_input[필요수량],tbl_input[집계키_청],D2672)))</f>
        <v/>
      </c>
      <c r="D2672" t="str">
        <f>IFERROR(INDEX(tbl_input[집계키_청],ROW()-1),"")</f>
        <v/>
      </c>
    </row>
    <row r="2673" spans="1:4" x14ac:dyDescent="0.4">
      <c r="A2673" t="str">
        <f t="shared" si="82"/>
        <v/>
      </c>
      <c r="B2673" t="str">
        <f t="shared" si="83"/>
        <v/>
      </c>
      <c r="C2673" t="str">
        <f>IF(D2673="","",IF(COUNTIF($D$2:D2673,D2673)&gt;1,"",SUMIFS(tbl_input[필요수량],tbl_input[집계키_청],D2673)))</f>
        <v/>
      </c>
      <c r="D2673" t="str">
        <f>IFERROR(INDEX(tbl_input[집계키_청],ROW()-1),"")</f>
        <v/>
      </c>
    </row>
    <row r="2674" spans="1:4" x14ac:dyDescent="0.4">
      <c r="A2674" t="str">
        <f t="shared" si="82"/>
        <v/>
      </c>
      <c r="B2674" t="str">
        <f t="shared" si="83"/>
        <v/>
      </c>
      <c r="C2674" t="str">
        <f>IF(D2674="","",IF(COUNTIF($D$2:D2674,D2674)&gt;1,"",SUMIFS(tbl_input[필요수량],tbl_input[집계키_청],D2674)))</f>
        <v/>
      </c>
      <c r="D2674" t="str">
        <f>IFERROR(INDEX(tbl_input[집계키_청],ROW()-1),"")</f>
        <v/>
      </c>
    </row>
    <row r="2675" spans="1:4" x14ac:dyDescent="0.4">
      <c r="A2675" t="str">
        <f t="shared" si="82"/>
        <v/>
      </c>
      <c r="B2675" t="str">
        <f t="shared" si="83"/>
        <v/>
      </c>
      <c r="C2675" t="str">
        <f>IF(D2675="","",IF(COUNTIF($D$2:D2675,D2675)&gt;1,"",SUMIFS(tbl_input[필요수량],tbl_input[집계키_청],D2675)))</f>
        <v/>
      </c>
      <c r="D2675" t="str">
        <f>IFERROR(INDEX(tbl_input[집계키_청],ROW()-1),"")</f>
        <v/>
      </c>
    </row>
    <row r="2676" spans="1:4" x14ac:dyDescent="0.4">
      <c r="A2676" t="str">
        <f t="shared" si="82"/>
        <v/>
      </c>
      <c r="B2676" t="str">
        <f t="shared" si="83"/>
        <v/>
      </c>
      <c r="C2676" t="str">
        <f>IF(D2676="","",IF(COUNTIF($D$2:D2676,D2676)&gt;1,"",SUMIFS(tbl_input[필요수량],tbl_input[집계키_청],D2676)))</f>
        <v/>
      </c>
      <c r="D2676" t="str">
        <f>IFERROR(INDEX(tbl_input[집계키_청],ROW()-1),"")</f>
        <v/>
      </c>
    </row>
    <row r="2677" spans="1:4" x14ac:dyDescent="0.4">
      <c r="A2677" t="str">
        <f t="shared" si="82"/>
        <v/>
      </c>
      <c r="B2677" t="str">
        <f t="shared" si="83"/>
        <v/>
      </c>
      <c r="C2677" t="str">
        <f>IF(D2677="","",IF(COUNTIF($D$2:D2677,D2677)&gt;1,"",SUMIFS(tbl_input[필요수량],tbl_input[집계키_청],D2677)))</f>
        <v/>
      </c>
      <c r="D2677" t="str">
        <f>IFERROR(INDEX(tbl_input[집계키_청],ROW()-1),"")</f>
        <v/>
      </c>
    </row>
    <row r="2678" spans="1:4" x14ac:dyDescent="0.4">
      <c r="A2678" t="str">
        <f t="shared" si="82"/>
        <v/>
      </c>
      <c r="B2678" t="str">
        <f t="shared" si="83"/>
        <v/>
      </c>
      <c r="C2678" t="str">
        <f>IF(D2678="","",IF(COUNTIF($D$2:D2678,D2678)&gt;1,"",SUMIFS(tbl_input[필요수량],tbl_input[집계키_청],D2678)))</f>
        <v/>
      </c>
      <c r="D2678" t="str">
        <f>IFERROR(INDEX(tbl_input[집계키_청],ROW()-1),"")</f>
        <v/>
      </c>
    </row>
    <row r="2679" spans="1:4" x14ac:dyDescent="0.4">
      <c r="A2679" t="str">
        <f t="shared" si="82"/>
        <v/>
      </c>
      <c r="B2679" t="str">
        <f t="shared" si="83"/>
        <v/>
      </c>
      <c r="C2679" t="str">
        <f>IF(D2679="","",IF(COUNTIF($D$2:D2679,D2679)&gt;1,"",SUMIFS(tbl_input[필요수량],tbl_input[집계키_청],D2679)))</f>
        <v/>
      </c>
      <c r="D2679" t="str">
        <f>IFERROR(INDEX(tbl_input[집계키_청],ROW()-1),"")</f>
        <v/>
      </c>
    </row>
    <row r="2680" spans="1:4" x14ac:dyDescent="0.4">
      <c r="A2680" t="str">
        <f t="shared" si="82"/>
        <v/>
      </c>
      <c r="B2680" t="str">
        <f t="shared" si="83"/>
        <v/>
      </c>
      <c r="C2680" t="str">
        <f>IF(D2680="","",IF(COUNTIF($D$2:D2680,D2680)&gt;1,"",SUMIFS(tbl_input[필요수량],tbl_input[집계키_청],D2680)))</f>
        <v/>
      </c>
      <c r="D2680" t="str">
        <f>IFERROR(INDEX(tbl_input[집계키_청],ROW()-1),"")</f>
        <v/>
      </c>
    </row>
    <row r="2681" spans="1:4" x14ac:dyDescent="0.4">
      <c r="A2681" t="str">
        <f t="shared" si="82"/>
        <v/>
      </c>
      <c r="B2681" t="str">
        <f t="shared" si="83"/>
        <v/>
      </c>
      <c r="C2681" t="str">
        <f>IF(D2681="","",IF(COUNTIF($D$2:D2681,D2681)&gt;1,"",SUMIFS(tbl_input[필요수량],tbl_input[집계키_청],D2681)))</f>
        <v/>
      </c>
      <c r="D2681" t="str">
        <f>IFERROR(INDEX(tbl_input[집계키_청],ROW()-1),"")</f>
        <v/>
      </c>
    </row>
    <row r="2682" spans="1:4" x14ac:dyDescent="0.4">
      <c r="A2682" t="str">
        <f t="shared" si="82"/>
        <v/>
      </c>
      <c r="B2682" t="str">
        <f t="shared" si="83"/>
        <v/>
      </c>
      <c r="C2682" t="str">
        <f>IF(D2682="","",IF(COUNTIF($D$2:D2682,D2682)&gt;1,"",SUMIFS(tbl_input[필요수량],tbl_input[집계키_청],D2682)))</f>
        <v/>
      </c>
      <c r="D2682" t="str">
        <f>IFERROR(INDEX(tbl_input[집계키_청],ROW()-1),"")</f>
        <v/>
      </c>
    </row>
    <row r="2683" spans="1:4" x14ac:dyDescent="0.4">
      <c r="A2683" t="str">
        <f t="shared" si="82"/>
        <v/>
      </c>
      <c r="B2683" t="str">
        <f t="shared" si="83"/>
        <v/>
      </c>
      <c r="C2683" t="str">
        <f>IF(D2683="","",IF(COUNTIF($D$2:D2683,D2683)&gt;1,"",SUMIFS(tbl_input[필요수량],tbl_input[집계키_청],D2683)))</f>
        <v/>
      </c>
      <c r="D2683" t="str">
        <f>IFERROR(INDEX(tbl_input[집계키_청],ROW()-1),"")</f>
        <v/>
      </c>
    </row>
    <row r="2684" spans="1:4" x14ac:dyDescent="0.4">
      <c r="A2684" t="str">
        <f t="shared" si="82"/>
        <v/>
      </c>
      <c r="B2684" t="str">
        <f t="shared" si="83"/>
        <v/>
      </c>
      <c r="C2684" t="str">
        <f>IF(D2684="","",IF(COUNTIF($D$2:D2684,D2684)&gt;1,"",SUMIFS(tbl_input[필요수량],tbl_input[집계키_청],D2684)))</f>
        <v/>
      </c>
      <c r="D2684" t="str">
        <f>IFERROR(INDEX(tbl_input[집계키_청],ROW()-1),"")</f>
        <v/>
      </c>
    </row>
    <row r="2685" spans="1:4" x14ac:dyDescent="0.4">
      <c r="A2685" t="str">
        <f t="shared" si="82"/>
        <v/>
      </c>
      <c r="B2685" t="str">
        <f t="shared" si="83"/>
        <v/>
      </c>
      <c r="C2685" t="str">
        <f>IF(D2685="","",IF(COUNTIF($D$2:D2685,D2685)&gt;1,"",SUMIFS(tbl_input[필요수량],tbl_input[집계키_청],D2685)))</f>
        <v/>
      </c>
      <c r="D2685" t="str">
        <f>IFERROR(INDEX(tbl_input[집계키_청],ROW()-1),"")</f>
        <v/>
      </c>
    </row>
    <row r="2686" spans="1:4" x14ac:dyDescent="0.4">
      <c r="A2686" t="str">
        <f t="shared" si="82"/>
        <v/>
      </c>
      <c r="B2686" t="str">
        <f t="shared" si="83"/>
        <v/>
      </c>
      <c r="C2686" t="str">
        <f>IF(D2686="","",IF(COUNTIF($D$2:D2686,D2686)&gt;1,"",SUMIFS(tbl_input[필요수량],tbl_input[집계키_청],D2686)))</f>
        <v/>
      </c>
      <c r="D2686" t="str">
        <f>IFERROR(INDEX(tbl_input[집계키_청],ROW()-1),"")</f>
        <v/>
      </c>
    </row>
    <row r="2687" spans="1:4" x14ac:dyDescent="0.4">
      <c r="A2687" t="str">
        <f t="shared" si="82"/>
        <v/>
      </c>
      <c r="B2687" t="str">
        <f t="shared" si="83"/>
        <v/>
      </c>
      <c r="C2687" t="str">
        <f>IF(D2687="","",IF(COUNTIF($D$2:D2687,D2687)&gt;1,"",SUMIFS(tbl_input[필요수량],tbl_input[집계키_청],D2687)))</f>
        <v/>
      </c>
      <c r="D2687" t="str">
        <f>IFERROR(INDEX(tbl_input[집계키_청],ROW()-1),"")</f>
        <v/>
      </c>
    </row>
    <row r="2688" spans="1:4" x14ac:dyDescent="0.4">
      <c r="A2688" t="str">
        <f t="shared" si="82"/>
        <v/>
      </c>
      <c r="B2688" t="str">
        <f t="shared" si="83"/>
        <v/>
      </c>
      <c r="C2688" t="str">
        <f>IF(D2688="","",IF(COUNTIF($D$2:D2688,D2688)&gt;1,"",SUMIFS(tbl_input[필요수량],tbl_input[집계키_청],D2688)))</f>
        <v/>
      </c>
      <c r="D2688" t="str">
        <f>IFERROR(INDEX(tbl_input[집계키_청],ROW()-1),"")</f>
        <v/>
      </c>
    </row>
    <row r="2689" spans="1:4" x14ac:dyDescent="0.4">
      <c r="A2689" t="str">
        <f t="shared" si="82"/>
        <v/>
      </c>
      <c r="B2689" t="str">
        <f t="shared" si="83"/>
        <v/>
      </c>
      <c r="C2689" t="str">
        <f>IF(D2689="","",IF(COUNTIF($D$2:D2689,D2689)&gt;1,"",SUMIFS(tbl_input[필요수량],tbl_input[집계키_청],D2689)))</f>
        <v/>
      </c>
      <c r="D2689" t="str">
        <f>IFERROR(INDEX(tbl_input[집계키_청],ROW()-1),"")</f>
        <v/>
      </c>
    </row>
    <row r="2690" spans="1:4" x14ac:dyDescent="0.4">
      <c r="A2690" t="str">
        <f t="shared" ref="A2690:A2753" si="84">IF(D2690="","",LEFT(D2690,FIND("♦",D2690)-1))</f>
        <v/>
      </c>
      <c r="B2690" t="str">
        <f t="shared" ref="B2690:B2753" si="85">IF(D2690="","",MID(D2690,FIND("♦",D2690)+1,999))</f>
        <v/>
      </c>
      <c r="C2690" t="str">
        <f>IF(D2690="","",IF(COUNTIF($D$2:D2690,D2690)&gt;1,"",SUMIFS(tbl_input[필요수량],tbl_input[집계키_청],D2690)))</f>
        <v/>
      </c>
      <c r="D2690" t="str">
        <f>IFERROR(INDEX(tbl_input[집계키_청],ROW()-1),"")</f>
        <v/>
      </c>
    </row>
    <row r="2691" spans="1:4" x14ac:dyDescent="0.4">
      <c r="A2691" t="str">
        <f t="shared" si="84"/>
        <v/>
      </c>
      <c r="B2691" t="str">
        <f t="shared" si="85"/>
        <v/>
      </c>
      <c r="C2691" t="str">
        <f>IF(D2691="","",IF(COUNTIF($D$2:D2691,D2691)&gt;1,"",SUMIFS(tbl_input[필요수량],tbl_input[집계키_청],D2691)))</f>
        <v/>
      </c>
      <c r="D2691" t="str">
        <f>IFERROR(INDEX(tbl_input[집계키_청],ROW()-1),"")</f>
        <v/>
      </c>
    </row>
    <row r="2692" spans="1:4" x14ac:dyDescent="0.4">
      <c r="A2692" t="str">
        <f t="shared" si="84"/>
        <v/>
      </c>
      <c r="B2692" t="str">
        <f t="shared" si="85"/>
        <v/>
      </c>
      <c r="C2692" t="str">
        <f>IF(D2692="","",IF(COUNTIF($D$2:D2692,D2692)&gt;1,"",SUMIFS(tbl_input[필요수량],tbl_input[집계키_청],D2692)))</f>
        <v/>
      </c>
      <c r="D2692" t="str">
        <f>IFERROR(INDEX(tbl_input[집계키_청],ROW()-1),"")</f>
        <v/>
      </c>
    </row>
    <row r="2693" spans="1:4" x14ac:dyDescent="0.4">
      <c r="A2693" t="str">
        <f t="shared" si="84"/>
        <v/>
      </c>
      <c r="B2693" t="str">
        <f t="shared" si="85"/>
        <v/>
      </c>
      <c r="C2693" t="str">
        <f>IF(D2693="","",IF(COUNTIF($D$2:D2693,D2693)&gt;1,"",SUMIFS(tbl_input[필요수량],tbl_input[집계키_청],D2693)))</f>
        <v/>
      </c>
      <c r="D2693" t="str">
        <f>IFERROR(INDEX(tbl_input[집계키_청],ROW()-1),"")</f>
        <v/>
      </c>
    </row>
    <row r="2694" spans="1:4" x14ac:dyDescent="0.4">
      <c r="A2694" t="str">
        <f t="shared" si="84"/>
        <v/>
      </c>
      <c r="B2694" t="str">
        <f t="shared" si="85"/>
        <v/>
      </c>
      <c r="C2694" t="str">
        <f>IF(D2694="","",IF(COUNTIF($D$2:D2694,D2694)&gt;1,"",SUMIFS(tbl_input[필요수량],tbl_input[집계키_청],D2694)))</f>
        <v/>
      </c>
      <c r="D2694" t="str">
        <f>IFERROR(INDEX(tbl_input[집계키_청],ROW()-1),"")</f>
        <v/>
      </c>
    </row>
    <row r="2695" spans="1:4" x14ac:dyDescent="0.4">
      <c r="A2695" t="str">
        <f t="shared" si="84"/>
        <v/>
      </c>
      <c r="B2695" t="str">
        <f t="shared" si="85"/>
        <v/>
      </c>
      <c r="C2695" t="str">
        <f>IF(D2695="","",IF(COUNTIF($D$2:D2695,D2695)&gt;1,"",SUMIFS(tbl_input[필요수량],tbl_input[집계키_청],D2695)))</f>
        <v/>
      </c>
      <c r="D2695" t="str">
        <f>IFERROR(INDEX(tbl_input[집계키_청],ROW()-1),"")</f>
        <v/>
      </c>
    </row>
    <row r="2696" spans="1:4" x14ac:dyDescent="0.4">
      <c r="A2696" t="str">
        <f t="shared" si="84"/>
        <v/>
      </c>
      <c r="B2696" t="str">
        <f t="shared" si="85"/>
        <v/>
      </c>
      <c r="C2696" t="str">
        <f>IF(D2696="","",IF(COUNTIF($D$2:D2696,D2696)&gt;1,"",SUMIFS(tbl_input[필요수량],tbl_input[집계키_청],D2696)))</f>
        <v/>
      </c>
      <c r="D2696" t="str">
        <f>IFERROR(INDEX(tbl_input[집계키_청],ROW()-1),"")</f>
        <v/>
      </c>
    </row>
    <row r="2697" spans="1:4" x14ac:dyDescent="0.4">
      <c r="A2697" t="str">
        <f t="shared" si="84"/>
        <v/>
      </c>
      <c r="B2697" t="str">
        <f t="shared" si="85"/>
        <v/>
      </c>
      <c r="C2697" t="str">
        <f>IF(D2697="","",IF(COUNTIF($D$2:D2697,D2697)&gt;1,"",SUMIFS(tbl_input[필요수량],tbl_input[집계키_청],D2697)))</f>
        <v/>
      </c>
      <c r="D2697" t="str">
        <f>IFERROR(INDEX(tbl_input[집계키_청],ROW()-1),"")</f>
        <v/>
      </c>
    </row>
    <row r="2698" spans="1:4" x14ac:dyDescent="0.4">
      <c r="A2698" t="str">
        <f t="shared" si="84"/>
        <v/>
      </c>
      <c r="B2698" t="str">
        <f t="shared" si="85"/>
        <v/>
      </c>
      <c r="C2698" t="str">
        <f>IF(D2698="","",IF(COUNTIF($D$2:D2698,D2698)&gt;1,"",SUMIFS(tbl_input[필요수량],tbl_input[집계키_청],D2698)))</f>
        <v/>
      </c>
      <c r="D2698" t="str">
        <f>IFERROR(INDEX(tbl_input[집계키_청],ROW()-1),"")</f>
        <v/>
      </c>
    </row>
    <row r="2699" spans="1:4" x14ac:dyDescent="0.4">
      <c r="A2699" t="str">
        <f t="shared" si="84"/>
        <v/>
      </c>
      <c r="B2699" t="str">
        <f t="shared" si="85"/>
        <v/>
      </c>
      <c r="C2699" t="str">
        <f>IF(D2699="","",IF(COUNTIF($D$2:D2699,D2699)&gt;1,"",SUMIFS(tbl_input[필요수량],tbl_input[집계키_청],D2699)))</f>
        <v/>
      </c>
      <c r="D2699" t="str">
        <f>IFERROR(INDEX(tbl_input[집계키_청],ROW()-1),"")</f>
        <v/>
      </c>
    </row>
    <row r="2700" spans="1:4" x14ac:dyDescent="0.4">
      <c r="A2700" t="str">
        <f t="shared" si="84"/>
        <v/>
      </c>
      <c r="B2700" t="str">
        <f t="shared" si="85"/>
        <v/>
      </c>
      <c r="C2700" t="str">
        <f>IF(D2700="","",IF(COUNTIF($D$2:D2700,D2700)&gt;1,"",SUMIFS(tbl_input[필요수량],tbl_input[집계키_청],D2700)))</f>
        <v/>
      </c>
      <c r="D2700" t="str">
        <f>IFERROR(INDEX(tbl_input[집계키_청],ROW()-1),"")</f>
        <v/>
      </c>
    </row>
    <row r="2701" spans="1:4" x14ac:dyDescent="0.4">
      <c r="A2701" t="str">
        <f t="shared" si="84"/>
        <v/>
      </c>
      <c r="B2701" t="str">
        <f t="shared" si="85"/>
        <v/>
      </c>
      <c r="C2701" t="str">
        <f>IF(D2701="","",IF(COUNTIF($D$2:D2701,D2701)&gt;1,"",SUMIFS(tbl_input[필요수량],tbl_input[집계키_청],D2701)))</f>
        <v/>
      </c>
      <c r="D2701" t="str">
        <f>IFERROR(INDEX(tbl_input[집계키_청],ROW()-1),"")</f>
        <v/>
      </c>
    </row>
    <row r="2702" spans="1:4" x14ac:dyDescent="0.4">
      <c r="A2702" t="str">
        <f t="shared" si="84"/>
        <v/>
      </c>
      <c r="B2702" t="str">
        <f t="shared" si="85"/>
        <v/>
      </c>
      <c r="C2702" t="str">
        <f>IF(D2702="","",IF(COUNTIF($D$2:D2702,D2702)&gt;1,"",SUMIFS(tbl_input[필요수량],tbl_input[집계키_청],D2702)))</f>
        <v/>
      </c>
      <c r="D2702" t="str">
        <f>IFERROR(INDEX(tbl_input[집계키_청],ROW()-1),"")</f>
        <v/>
      </c>
    </row>
    <row r="2703" spans="1:4" x14ac:dyDescent="0.4">
      <c r="A2703" t="str">
        <f t="shared" si="84"/>
        <v/>
      </c>
      <c r="B2703" t="str">
        <f t="shared" si="85"/>
        <v/>
      </c>
      <c r="C2703" t="str">
        <f>IF(D2703="","",IF(COUNTIF($D$2:D2703,D2703)&gt;1,"",SUMIFS(tbl_input[필요수량],tbl_input[집계키_청],D2703)))</f>
        <v/>
      </c>
      <c r="D2703" t="str">
        <f>IFERROR(INDEX(tbl_input[집계키_청],ROW()-1),"")</f>
        <v/>
      </c>
    </row>
    <row r="2704" spans="1:4" x14ac:dyDescent="0.4">
      <c r="A2704" t="str">
        <f t="shared" si="84"/>
        <v/>
      </c>
      <c r="B2704" t="str">
        <f t="shared" si="85"/>
        <v/>
      </c>
      <c r="C2704" t="str">
        <f>IF(D2704="","",IF(COUNTIF($D$2:D2704,D2704)&gt;1,"",SUMIFS(tbl_input[필요수량],tbl_input[집계키_청],D2704)))</f>
        <v/>
      </c>
      <c r="D2704" t="str">
        <f>IFERROR(INDEX(tbl_input[집계키_청],ROW()-1),"")</f>
        <v/>
      </c>
    </row>
    <row r="2705" spans="1:4" x14ac:dyDescent="0.4">
      <c r="A2705" t="str">
        <f t="shared" si="84"/>
        <v/>
      </c>
      <c r="B2705" t="str">
        <f t="shared" si="85"/>
        <v/>
      </c>
      <c r="C2705" t="str">
        <f>IF(D2705="","",IF(COUNTIF($D$2:D2705,D2705)&gt;1,"",SUMIFS(tbl_input[필요수량],tbl_input[집계키_청],D2705)))</f>
        <v/>
      </c>
      <c r="D2705" t="str">
        <f>IFERROR(INDEX(tbl_input[집계키_청],ROW()-1),"")</f>
        <v/>
      </c>
    </row>
    <row r="2706" spans="1:4" x14ac:dyDescent="0.4">
      <c r="A2706" t="str">
        <f t="shared" si="84"/>
        <v/>
      </c>
      <c r="B2706" t="str">
        <f t="shared" si="85"/>
        <v/>
      </c>
      <c r="C2706" t="str">
        <f>IF(D2706="","",IF(COUNTIF($D$2:D2706,D2706)&gt;1,"",SUMIFS(tbl_input[필요수량],tbl_input[집계키_청],D2706)))</f>
        <v/>
      </c>
      <c r="D2706" t="str">
        <f>IFERROR(INDEX(tbl_input[집계키_청],ROW()-1),"")</f>
        <v/>
      </c>
    </row>
    <row r="2707" spans="1:4" x14ac:dyDescent="0.4">
      <c r="A2707" t="str">
        <f t="shared" si="84"/>
        <v/>
      </c>
      <c r="B2707" t="str">
        <f t="shared" si="85"/>
        <v/>
      </c>
      <c r="C2707" t="str">
        <f>IF(D2707="","",IF(COUNTIF($D$2:D2707,D2707)&gt;1,"",SUMIFS(tbl_input[필요수량],tbl_input[집계키_청],D2707)))</f>
        <v/>
      </c>
      <c r="D2707" t="str">
        <f>IFERROR(INDEX(tbl_input[집계키_청],ROW()-1),"")</f>
        <v/>
      </c>
    </row>
    <row r="2708" spans="1:4" x14ac:dyDescent="0.4">
      <c r="A2708" t="str">
        <f t="shared" si="84"/>
        <v/>
      </c>
      <c r="B2708" t="str">
        <f t="shared" si="85"/>
        <v/>
      </c>
      <c r="C2708" t="str">
        <f>IF(D2708="","",IF(COUNTIF($D$2:D2708,D2708)&gt;1,"",SUMIFS(tbl_input[필요수량],tbl_input[집계키_청],D2708)))</f>
        <v/>
      </c>
      <c r="D2708" t="str">
        <f>IFERROR(INDEX(tbl_input[집계키_청],ROW()-1),"")</f>
        <v/>
      </c>
    </row>
    <row r="2709" spans="1:4" x14ac:dyDescent="0.4">
      <c r="A2709" t="str">
        <f t="shared" si="84"/>
        <v/>
      </c>
      <c r="B2709" t="str">
        <f t="shared" si="85"/>
        <v/>
      </c>
      <c r="C2709" t="str">
        <f>IF(D2709="","",IF(COUNTIF($D$2:D2709,D2709)&gt;1,"",SUMIFS(tbl_input[필요수량],tbl_input[집계키_청],D2709)))</f>
        <v/>
      </c>
      <c r="D2709" t="str">
        <f>IFERROR(INDEX(tbl_input[집계키_청],ROW()-1),"")</f>
        <v/>
      </c>
    </row>
    <row r="2710" spans="1:4" x14ac:dyDescent="0.4">
      <c r="A2710" t="str">
        <f t="shared" si="84"/>
        <v/>
      </c>
      <c r="B2710" t="str">
        <f t="shared" si="85"/>
        <v/>
      </c>
      <c r="C2710" t="str">
        <f>IF(D2710="","",IF(COUNTIF($D$2:D2710,D2710)&gt;1,"",SUMIFS(tbl_input[필요수량],tbl_input[집계키_청],D2710)))</f>
        <v/>
      </c>
      <c r="D2710" t="str">
        <f>IFERROR(INDEX(tbl_input[집계키_청],ROW()-1),"")</f>
        <v/>
      </c>
    </row>
    <row r="2711" spans="1:4" x14ac:dyDescent="0.4">
      <c r="A2711" t="str">
        <f t="shared" si="84"/>
        <v/>
      </c>
      <c r="B2711" t="str">
        <f t="shared" si="85"/>
        <v/>
      </c>
      <c r="C2711" t="str">
        <f>IF(D2711="","",IF(COUNTIF($D$2:D2711,D2711)&gt;1,"",SUMIFS(tbl_input[필요수량],tbl_input[집계키_청],D2711)))</f>
        <v/>
      </c>
      <c r="D2711" t="str">
        <f>IFERROR(INDEX(tbl_input[집계키_청],ROW()-1),"")</f>
        <v/>
      </c>
    </row>
    <row r="2712" spans="1:4" x14ac:dyDescent="0.4">
      <c r="A2712" t="str">
        <f t="shared" si="84"/>
        <v/>
      </c>
      <c r="B2712" t="str">
        <f t="shared" si="85"/>
        <v/>
      </c>
      <c r="C2712" t="str">
        <f>IF(D2712="","",IF(COUNTIF($D$2:D2712,D2712)&gt;1,"",SUMIFS(tbl_input[필요수량],tbl_input[집계키_청],D2712)))</f>
        <v/>
      </c>
      <c r="D2712" t="str">
        <f>IFERROR(INDEX(tbl_input[집계키_청],ROW()-1),"")</f>
        <v/>
      </c>
    </row>
    <row r="2713" spans="1:4" x14ac:dyDescent="0.4">
      <c r="A2713" t="str">
        <f t="shared" si="84"/>
        <v/>
      </c>
      <c r="B2713" t="str">
        <f t="shared" si="85"/>
        <v/>
      </c>
      <c r="C2713" t="str">
        <f>IF(D2713="","",IF(COUNTIF($D$2:D2713,D2713)&gt;1,"",SUMIFS(tbl_input[필요수량],tbl_input[집계키_청],D2713)))</f>
        <v/>
      </c>
      <c r="D2713" t="str">
        <f>IFERROR(INDEX(tbl_input[집계키_청],ROW()-1),"")</f>
        <v/>
      </c>
    </row>
    <row r="2714" spans="1:4" x14ac:dyDescent="0.4">
      <c r="A2714" t="str">
        <f t="shared" si="84"/>
        <v/>
      </c>
      <c r="B2714" t="str">
        <f t="shared" si="85"/>
        <v/>
      </c>
      <c r="C2714" t="str">
        <f>IF(D2714="","",IF(COUNTIF($D$2:D2714,D2714)&gt;1,"",SUMIFS(tbl_input[필요수량],tbl_input[집계키_청],D2714)))</f>
        <v/>
      </c>
      <c r="D2714" t="str">
        <f>IFERROR(INDEX(tbl_input[집계키_청],ROW()-1),"")</f>
        <v/>
      </c>
    </row>
    <row r="2715" spans="1:4" x14ac:dyDescent="0.4">
      <c r="A2715" t="str">
        <f t="shared" si="84"/>
        <v/>
      </c>
      <c r="B2715" t="str">
        <f t="shared" si="85"/>
        <v/>
      </c>
      <c r="C2715" t="str">
        <f>IF(D2715="","",IF(COUNTIF($D$2:D2715,D2715)&gt;1,"",SUMIFS(tbl_input[필요수량],tbl_input[집계키_청],D2715)))</f>
        <v/>
      </c>
      <c r="D2715" t="str">
        <f>IFERROR(INDEX(tbl_input[집계키_청],ROW()-1),"")</f>
        <v/>
      </c>
    </row>
    <row r="2716" spans="1:4" x14ac:dyDescent="0.4">
      <c r="A2716" t="str">
        <f t="shared" si="84"/>
        <v/>
      </c>
      <c r="B2716" t="str">
        <f t="shared" si="85"/>
        <v/>
      </c>
      <c r="C2716" t="str">
        <f>IF(D2716="","",IF(COUNTIF($D$2:D2716,D2716)&gt;1,"",SUMIFS(tbl_input[필요수량],tbl_input[집계키_청],D2716)))</f>
        <v/>
      </c>
      <c r="D2716" t="str">
        <f>IFERROR(INDEX(tbl_input[집계키_청],ROW()-1),"")</f>
        <v/>
      </c>
    </row>
    <row r="2717" spans="1:4" x14ac:dyDescent="0.4">
      <c r="A2717" t="str">
        <f t="shared" si="84"/>
        <v/>
      </c>
      <c r="B2717" t="str">
        <f t="shared" si="85"/>
        <v/>
      </c>
      <c r="C2717" t="str">
        <f>IF(D2717="","",IF(COUNTIF($D$2:D2717,D2717)&gt;1,"",SUMIFS(tbl_input[필요수량],tbl_input[집계키_청],D2717)))</f>
        <v/>
      </c>
      <c r="D2717" t="str">
        <f>IFERROR(INDEX(tbl_input[집계키_청],ROW()-1),"")</f>
        <v/>
      </c>
    </row>
    <row r="2718" spans="1:4" x14ac:dyDescent="0.4">
      <c r="A2718" t="str">
        <f t="shared" si="84"/>
        <v/>
      </c>
      <c r="B2718" t="str">
        <f t="shared" si="85"/>
        <v/>
      </c>
      <c r="C2718" t="str">
        <f>IF(D2718="","",IF(COUNTIF($D$2:D2718,D2718)&gt;1,"",SUMIFS(tbl_input[필요수량],tbl_input[집계키_청],D2718)))</f>
        <v/>
      </c>
      <c r="D2718" t="str">
        <f>IFERROR(INDEX(tbl_input[집계키_청],ROW()-1),"")</f>
        <v/>
      </c>
    </row>
    <row r="2719" spans="1:4" x14ac:dyDescent="0.4">
      <c r="A2719" t="str">
        <f t="shared" si="84"/>
        <v/>
      </c>
      <c r="B2719" t="str">
        <f t="shared" si="85"/>
        <v/>
      </c>
      <c r="C2719" t="str">
        <f>IF(D2719="","",IF(COUNTIF($D$2:D2719,D2719)&gt;1,"",SUMIFS(tbl_input[필요수량],tbl_input[집계키_청],D2719)))</f>
        <v/>
      </c>
      <c r="D2719" t="str">
        <f>IFERROR(INDEX(tbl_input[집계키_청],ROW()-1),"")</f>
        <v/>
      </c>
    </row>
    <row r="2720" spans="1:4" x14ac:dyDescent="0.4">
      <c r="A2720" t="str">
        <f t="shared" si="84"/>
        <v/>
      </c>
      <c r="B2720" t="str">
        <f t="shared" si="85"/>
        <v/>
      </c>
      <c r="C2720" t="str">
        <f>IF(D2720="","",IF(COUNTIF($D$2:D2720,D2720)&gt;1,"",SUMIFS(tbl_input[필요수량],tbl_input[집계키_청],D2720)))</f>
        <v/>
      </c>
      <c r="D2720" t="str">
        <f>IFERROR(INDEX(tbl_input[집계키_청],ROW()-1),"")</f>
        <v/>
      </c>
    </row>
    <row r="2721" spans="1:4" x14ac:dyDescent="0.4">
      <c r="A2721" t="str">
        <f t="shared" si="84"/>
        <v/>
      </c>
      <c r="B2721" t="str">
        <f t="shared" si="85"/>
        <v/>
      </c>
      <c r="C2721" t="str">
        <f>IF(D2721="","",IF(COUNTIF($D$2:D2721,D2721)&gt;1,"",SUMIFS(tbl_input[필요수량],tbl_input[집계키_청],D2721)))</f>
        <v/>
      </c>
      <c r="D2721" t="str">
        <f>IFERROR(INDEX(tbl_input[집계키_청],ROW()-1),"")</f>
        <v/>
      </c>
    </row>
    <row r="2722" spans="1:4" x14ac:dyDescent="0.4">
      <c r="A2722" t="str">
        <f t="shared" si="84"/>
        <v/>
      </c>
      <c r="B2722" t="str">
        <f t="shared" si="85"/>
        <v/>
      </c>
      <c r="C2722" t="str">
        <f>IF(D2722="","",IF(COUNTIF($D$2:D2722,D2722)&gt;1,"",SUMIFS(tbl_input[필요수량],tbl_input[집계키_청],D2722)))</f>
        <v/>
      </c>
      <c r="D2722" t="str">
        <f>IFERROR(INDEX(tbl_input[집계키_청],ROW()-1),"")</f>
        <v/>
      </c>
    </row>
    <row r="2723" spans="1:4" x14ac:dyDescent="0.4">
      <c r="A2723" t="str">
        <f t="shared" si="84"/>
        <v/>
      </c>
      <c r="B2723" t="str">
        <f t="shared" si="85"/>
        <v/>
      </c>
      <c r="C2723" t="str">
        <f>IF(D2723="","",IF(COUNTIF($D$2:D2723,D2723)&gt;1,"",SUMIFS(tbl_input[필요수량],tbl_input[집계키_청],D2723)))</f>
        <v/>
      </c>
      <c r="D2723" t="str">
        <f>IFERROR(INDEX(tbl_input[집계키_청],ROW()-1),"")</f>
        <v/>
      </c>
    </row>
    <row r="2724" spans="1:4" x14ac:dyDescent="0.4">
      <c r="A2724" t="str">
        <f t="shared" si="84"/>
        <v/>
      </c>
      <c r="B2724" t="str">
        <f t="shared" si="85"/>
        <v/>
      </c>
      <c r="C2724" t="str">
        <f>IF(D2724="","",IF(COUNTIF($D$2:D2724,D2724)&gt;1,"",SUMIFS(tbl_input[필요수량],tbl_input[집계키_청],D2724)))</f>
        <v/>
      </c>
      <c r="D2724" t="str">
        <f>IFERROR(INDEX(tbl_input[집계키_청],ROW()-1),"")</f>
        <v/>
      </c>
    </row>
    <row r="2725" spans="1:4" x14ac:dyDescent="0.4">
      <c r="A2725" t="str">
        <f t="shared" si="84"/>
        <v/>
      </c>
      <c r="B2725" t="str">
        <f t="shared" si="85"/>
        <v/>
      </c>
      <c r="C2725" t="str">
        <f>IF(D2725="","",IF(COUNTIF($D$2:D2725,D2725)&gt;1,"",SUMIFS(tbl_input[필요수량],tbl_input[집계키_청],D2725)))</f>
        <v/>
      </c>
      <c r="D2725" t="str">
        <f>IFERROR(INDEX(tbl_input[집계키_청],ROW()-1),"")</f>
        <v/>
      </c>
    </row>
    <row r="2726" spans="1:4" x14ac:dyDescent="0.4">
      <c r="A2726" t="str">
        <f t="shared" si="84"/>
        <v/>
      </c>
      <c r="B2726" t="str">
        <f t="shared" si="85"/>
        <v/>
      </c>
      <c r="C2726" t="str">
        <f>IF(D2726="","",IF(COUNTIF($D$2:D2726,D2726)&gt;1,"",SUMIFS(tbl_input[필요수량],tbl_input[집계키_청],D2726)))</f>
        <v/>
      </c>
      <c r="D2726" t="str">
        <f>IFERROR(INDEX(tbl_input[집계키_청],ROW()-1),"")</f>
        <v/>
      </c>
    </row>
    <row r="2727" spans="1:4" x14ac:dyDescent="0.4">
      <c r="A2727" t="str">
        <f t="shared" si="84"/>
        <v/>
      </c>
      <c r="B2727" t="str">
        <f t="shared" si="85"/>
        <v/>
      </c>
      <c r="C2727" t="str">
        <f>IF(D2727="","",IF(COUNTIF($D$2:D2727,D2727)&gt;1,"",SUMIFS(tbl_input[필요수량],tbl_input[집계키_청],D2727)))</f>
        <v/>
      </c>
      <c r="D2727" t="str">
        <f>IFERROR(INDEX(tbl_input[집계키_청],ROW()-1),"")</f>
        <v/>
      </c>
    </row>
    <row r="2728" spans="1:4" x14ac:dyDescent="0.4">
      <c r="A2728" t="str">
        <f t="shared" si="84"/>
        <v/>
      </c>
      <c r="B2728" t="str">
        <f t="shared" si="85"/>
        <v/>
      </c>
      <c r="C2728" t="str">
        <f>IF(D2728="","",IF(COUNTIF($D$2:D2728,D2728)&gt;1,"",SUMIFS(tbl_input[필요수량],tbl_input[집계키_청],D2728)))</f>
        <v/>
      </c>
      <c r="D2728" t="str">
        <f>IFERROR(INDEX(tbl_input[집계키_청],ROW()-1),"")</f>
        <v/>
      </c>
    </row>
    <row r="2729" spans="1:4" x14ac:dyDescent="0.4">
      <c r="A2729" t="str">
        <f t="shared" si="84"/>
        <v/>
      </c>
      <c r="B2729" t="str">
        <f t="shared" si="85"/>
        <v/>
      </c>
      <c r="C2729" t="str">
        <f>IF(D2729="","",IF(COUNTIF($D$2:D2729,D2729)&gt;1,"",SUMIFS(tbl_input[필요수량],tbl_input[집계키_청],D2729)))</f>
        <v/>
      </c>
      <c r="D2729" t="str">
        <f>IFERROR(INDEX(tbl_input[집계키_청],ROW()-1),"")</f>
        <v/>
      </c>
    </row>
    <row r="2730" spans="1:4" x14ac:dyDescent="0.4">
      <c r="A2730" t="str">
        <f t="shared" si="84"/>
        <v/>
      </c>
      <c r="B2730" t="str">
        <f t="shared" si="85"/>
        <v/>
      </c>
      <c r="C2730" t="str">
        <f>IF(D2730="","",IF(COUNTIF($D$2:D2730,D2730)&gt;1,"",SUMIFS(tbl_input[필요수량],tbl_input[집계키_청],D2730)))</f>
        <v/>
      </c>
      <c r="D2730" t="str">
        <f>IFERROR(INDEX(tbl_input[집계키_청],ROW()-1),"")</f>
        <v/>
      </c>
    </row>
    <row r="2731" spans="1:4" x14ac:dyDescent="0.4">
      <c r="A2731" t="str">
        <f t="shared" si="84"/>
        <v/>
      </c>
      <c r="B2731" t="str">
        <f t="shared" si="85"/>
        <v/>
      </c>
      <c r="C2731" t="str">
        <f>IF(D2731="","",IF(COUNTIF($D$2:D2731,D2731)&gt;1,"",SUMIFS(tbl_input[필요수량],tbl_input[집계키_청],D2731)))</f>
        <v/>
      </c>
      <c r="D2731" t="str">
        <f>IFERROR(INDEX(tbl_input[집계키_청],ROW()-1),"")</f>
        <v/>
      </c>
    </row>
    <row r="2732" spans="1:4" x14ac:dyDescent="0.4">
      <c r="A2732" t="str">
        <f t="shared" si="84"/>
        <v/>
      </c>
      <c r="B2732" t="str">
        <f t="shared" si="85"/>
        <v/>
      </c>
      <c r="C2732" t="str">
        <f>IF(D2732="","",IF(COUNTIF($D$2:D2732,D2732)&gt;1,"",SUMIFS(tbl_input[필요수량],tbl_input[집계키_청],D2732)))</f>
        <v/>
      </c>
      <c r="D2732" t="str">
        <f>IFERROR(INDEX(tbl_input[집계키_청],ROW()-1),"")</f>
        <v/>
      </c>
    </row>
    <row r="2733" spans="1:4" x14ac:dyDescent="0.4">
      <c r="A2733" t="str">
        <f t="shared" si="84"/>
        <v/>
      </c>
      <c r="B2733" t="str">
        <f t="shared" si="85"/>
        <v/>
      </c>
      <c r="C2733" t="str">
        <f>IF(D2733="","",IF(COUNTIF($D$2:D2733,D2733)&gt;1,"",SUMIFS(tbl_input[필요수량],tbl_input[집계키_청],D2733)))</f>
        <v/>
      </c>
      <c r="D2733" t="str">
        <f>IFERROR(INDEX(tbl_input[집계키_청],ROW()-1),"")</f>
        <v/>
      </c>
    </row>
    <row r="2734" spans="1:4" x14ac:dyDescent="0.4">
      <c r="A2734" t="str">
        <f t="shared" si="84"/>
        <v/>
      </c>
      <c r="B2734" t="str">
        <f t="shared" si="85"/>
        <v/>
      </c>
      <c r="C2734" t="str">
        <f>IF(D2734="","",IF(COUNTIF($D$2:D2734,D2734)&gt;1,"",SUMIFS(tbl_input[필요수량],tbl_input[집계키_청],D2734)))</f>
        <v/>
      </c>
      <c r="D2734" t="str">
        <f>IFERROR(INDEX(tbl_input[집계키_청],ROW()-1),"")</f>
        <v/>
      </c>
    </row>
    <row r="2735" spans="1:4" x14ac:dyDescent="0.4">
      <c r="A2735" t="str">
        <f t="shared" si="84"/>
        <v/>
      </c>
      <c r="B2735" t="str">
        <f t="shared" si="85"/>
        <v/>
      </c>
      <c r="C2735" t="str">
        <f>IF(D2735="","",IF(COUNTIF($D$2:D2735,D2735)&gt;1,"",SUMIFS(tbl_input[필요수량],tbl_input[집계키_청],D2735)))</f>
        <v/>
      </c>
      <c r="D2735" t="str">
        <f>IFERROR(INDEX(tbl_input[집계키_청],ROW()-1),"")</f>
        <v/>
      </c>
    </row>
    <row r="2736" spans="1:4" x14ac:dyDescent="0.4">
      <c r="A2736" t="str">
        <f t="shared" si="84"/>
        <v/>
      </c>
      <c r="B2736" t="str">
        <f t="shared" si="85"/>
        <v/>
      </c>
      <c r="C2736" t="str">
        <f>IF(D2736="","",IF(COUNTIF($D$2:D2736,D2736)&gt;1,"",SUMIFS(tbl_input[필요수량],tbl_input[집계키_청],D2736)))</f>
        <v/>
      </c>
      <c r="D2736" t="str">
        <f>IFERROR(INDEX(tbl_input[집계키_청],ROW()-1),"")</f>
        <v/>
      </c>
    </row>
    <row r="2737" spans="1:4" x14ac:dyDescent="0.4">
      <c r="A2737" t="str">
        <f t="shared" si="84"/>
        <v/>
      </c>
      <c r="B2737" t="str">
        <f t="shared" si="85"/>
        <v/>
      </c>
      <c r="C2737" t="str">
        <f>IF(D2737="","",IF(COUNTIF($D$2:D2737,D2737)&gt;1,"",SUMIFS(tbl_input[필요수량],tbl_input[집계키_청],D2737)))</f>
        <v/>
      </c>
      <c r="D2737" t="str">
        <f>IFERROR(INDEX(tbl_input[집계키_청],ROW()-1),"")</f>
        <v/>
      </c>
    </row>
    <row r="2738" spans="1:4" x14ac:dyDescent="0.4">
      <c r="A2738" t="str">
        <f t="shared" si="84"/>
        <v/>
      </c>
      <c r="B2738" t="str">
        <f t="shared" si="85"/>
        <v/>
      </c>
      <c r="C2738" t="str">
        <f>IF(D2738="","",IF(COUNTIF($D$2:D2738,D2738)&gt;1,"",SUMIFS(tbl_input[필요수량],tbl_input[집계키_청],D2738)))</f>
        <v/>
      </c>
      <c r="D2738" t="str">
        <f>IFERROR(INDEX(tbl_input[집계키_청],ROW()-1),"")</f>
        <v/>
      </c>
    </row>
    <row r="2739" spans="1:4" x14ac:dyDescent="0.4">
      <c r="A2739" t="str">
        <f t="shared" si="84"/>
        <v/>
      </c>
      <c r="B2739" t="str">
        <f t="shared" si="85"/>
        <v/>
      </c>
      <c r="C2739" t="str">
        <f>IF(D2739="","",IF(COUNTIF($D$2:D2739,D2739)&gt;1,"",SUMIFS(tbl_input[필요수량],tbl_input[집계키_청],D2739)))</f>
        <v/>
      </c>
      <c r="D2739" t="str">
        <f>IFERROR(INDEX(tbl_input[집계키_청],ROW()-1),"")</f>
        <v/>
      </c>
    </row>
    <row r="2740" spans="1:4" x14ac:dyDescent="0.4">
      <c r="A2740" t="str">
        <f t="shared" si="84"/>
        <v/>
      </c>
      <c r="B2740" t="str">
        <f t="shared" si="85"/>
        <v/>
      </c>
      <c r="C2740" t="str">
        <f>IF(D2740="","",IF(COUNTIF($D$2:D2740,D2740)&gt;1,"",SUMIFS(tbl_input[필요수량],tbl_input[집계키_청],D2740)))</f>
        <v/>
      </c>
      <c r="D2740" t="str">
        <f>IFERROR(INDEX(tbl_input[집계키_청],ROW()-1),"")</f>
        <v/>
      </c>
    </row>
    <row r="2741" spans="1:4" x14ac:dyDescent="0.4">
      <c r="A2741" t="str">
        <f t="shared" si="84"/>
        <v/>
      </c>
      <c r="B2741" t="str">
        <f t="shared" si="85"/>
        <v/>
      </c>
      <c r="C2741" t="str">
        <f>IF(D2741="","",IF(COUNTIF($D$2:D2741,D2741)&gt;1,"",SUMIFS(tbl_input[필요수량],tbl_input[집계키_청],D2741)))</f>
        <v/>
      </c>
      <c r="D2741" t="str">
        <f>IFERROR(INDEX(tbl_input[집계키_청],ROW()-1),"")</f>
        <v/>
      </c>
    </row>
    <row r="2742" spans="1:4" x14ac:dyDescent="0.4">
      <c r="A2742" t="str">
        <f t="shared" si="84"/>
        <v/>
      </c>
      <c r="B2742" t="str">
        <f t="shared" si="85"/>
        <v/>
      </c>
      <c r="C2742" t="str">
        <f>IF(D2742="","",IF(COUNTIF($D$2:D2742,D2742)&gt;1,"",SUMIFS(tbl_input[필요수량],tbl_input[집계키_청],D2742)))</f>
        <v/>
      </c>
      <c r="D2742" t="str">
        <f>IFERROR(INDEX(tbl_input[집계키_청],ROW()-1),"")</f>
        <v/>
      </c>
    </row>
    <row r="2743" spans="1:4" x14ac:dyDescent="0.4">
      <c r="A2743" t="str">
        <f t="shared" si="84"/>
        <v/>
      </c>
      <c r="B2743" t="str">
        <f t="shared" si="85"/>
        <v/>
      </c>
      <c r="C2743" t="str">
        <f>IF(D2743="","",IF(COUNTIF($D$2:D2743,D2743)&gt;1,"",SUMIFS(tbl_input[필요수량],tbl_input[집계키_청],D2743)))</f>
        <v/>
      </c>
      <c r="D2743" t="str">
        <f>IFERROR(INDEX(tbl_input[집계키_청],ROW()-1),"")</f>
        <v/>
      </c>
    </row>
    <row r="2744" spans="1:4" x14ac:dyDescent="0.4">
      <c r="A2744" t="str">
        <f t="shared" si="84"/>
        <v/>
      </c>
      <c r="B2744" t="str">
        <f t="shared" si="85"/>
        <v/>
      </c>
      <c r="C2744" t="str">
        <f>IF(D2744="","",IF(COUNTIF($D$2:D2744,D2744)&gt;1,"",SUMIFS(tbl_input[필요수량],tbl_input[집계키_청],D2744)))</f>
        <v/>
      </c>
      <c r="D2744" t="str">
        <f>IFERROR(INDEX(tbl_input[집계키_청],ROW()-1),"")</f>
        <v/>
      </c>
    </row>
    <row r="2745" spans="1:4" x14ac:dyDescent="0.4">
      <c r="A2745" t="str">
        <f t="shared" si="84"/>
        <v/>
      </c>
      <c r="B2745" t="str">
        <f t="shared" si="85"/>
        <v/>
      </c>
      <c r="C2745" t="str">
        <f>IF(D2745="","",IF(COUNTIF($D$2:D2745,D2745)&gt;1,"",SUMIFS(tbl_input[필요수량],tbl_input[집계키_청],D2745)))</f>
        <v/>
      </c>
      <c r="D2745" t="str">
        <f>IFERROR(INDEX(tbl_input[집계키_청],ROW()-1),"")</f>
        <v/>
      </c>
    </row>
    <row r="2746" spans="1:4" x14ac:dyDescent="0.4">
      <c r="A2746" t="str">
        <f t="shared" si="84"/>
        <v/>
      </c>
      <c r="B2746" t="str">
        <f t="shared" si="85"/>
        <v/>
      </c>
      <c r="C2746" t="str">
        <f>IF(D2746="","",IF(COUNTIF($D$2:D2746,D2746)&gt;1,"",SUMIFS(tbl_input[필요수량],tbl_input[집계키_청],D2746)))</f>
        <v/>
      </c>
      <c r="D2746" t="str">
        <f>IFERROR(INDEX(tbl_input[집계키_청],ROW()-1),"")</f>
        <v/>
      </c>
    </row>
    <row r="2747" spans="1:4" x14ac:dyDescent="0.4">
      <c r="A2747" t="str">
        <f t="shared" si="84"/>
        <v/>
      </c>
      <c r="B2747" t="str">
        <f t="shared" si="85"/>
        <v/>
      </c>
      <c r="C2747" t="str">
        <f>IF(D2747="","",IF(COUNTIF($D$2:D2747,D2747)&gt;1,"",SUMIFS(tbl_input[필요수량],tbl_input[집계키_청],D2747)))</f>
        <v/>
      </c>
      <c r="D2747" t="str">
        <f>IFERROR(INDEX(tbl_input[집계키_청],ROW()-1),"")</f>
        <v/>
      </c>
    </row>
    <row r="2748" spans="1:4" x14ac:dyDescent="0.4">
      <c r="A2748" t="str">
        <f t="shared" si="84"/>
        <v/>
      </c>
      <c r="B2748" t="str">
        <f t="shared" si="85"/>
        <v/>
      </c>
      <c r="C2748" t="str">
        <f>IF(D2748="","",IF(COUNTIF($D$2:D2748,D2748)&gt;1,"",SUMIFS(tbl_input[필요수량],tbl_input[집계키_청],D2748)))</f>
        <v/>
      </c>
      <c r="D2748" t="str">
        <f>IFERROR(INDEX(tbl_input[집계키_청],ROW()-1),"")</f>
        <v/>
      </c>
    </row>
    <row r="2749" spans="1:4" x14ac:dyDescent="0.4">
      <c r="A2749" t="str">
        <f t="shared" si="84"/>
        <v/>
      </c>
      <c r="B2749" t="str">
        <f t="shared" si="85"/>
        <v/>
      </c>
      <c r="C2749" t="str">
        <f>IF(D2749="","",IF(COUNTIF($D$2:D2749,D2749)&gt;1,"",SUMIFS(tbl_input[필요수량],tbl_input[집계키_청],D2749)))</f>
        <v/>
      </c>
      <c r="D2749" t="str">
        <f>IFERROR(INDEX(tbl_input[집계키_청],ROW()-1),"")</f>
        <v/>
      </c>
    </row>
    <row r="2750" spans="1:4" x14ac:dyDescent="0.4">
      <c r="A2750" t="str">
        <f t="shared" si="84"/>
        <v/>
      </c>
      <c r="B2750" t="str">
        <f t="shared" si="85"/>
        <v/>
      </c>
      <c r="C2750" t="str">
        <f>IF(D2750="","",IF(COUNTIF($D$2:D2750,D2750)&gt;1,"",SUMIFS(tbl_input[필요수량],tbl_input[집계키_청],D2750)))</f>
        <v/>
      </c>
      <c r="D2750" t="str">
        <f>IFERROR(INDEX(tbl_input[집계키_청],ROW()-1),"")</f>
        <v/>
      </c>
    </row>
    <row r="2751" spans="1:4" x14ac:dyDescent="0.4">
      <c r="A2751" t="str">
        <f t="shared" si="84"/>
        <v/>
      </c>
      <c r="B2751" t="str">
        <f t="shared" si="85"/>
        <v/>
      </c>
      <c r="C2751" t="str">
        <f>IF(D2751="","",IF(COUNTIF($D$2:D2751,D2751)&gt;1,"",SUMIFS(tbl_input[필요수량],tbl_input[집계키_청],D2751)))</f>
        <v/>
      </c>
      <c r="D2751" t="str">
        <f>IFERROR(INDEX(tbl_input[집계키_청],ROW()-1),"")</f>
        <v/>
      </c>
    </row>
    <row r="2752" spans="1:4" x14ac:dyDescent="0.4">
      <c r="A2752" t="str">
        <f t="shared" si="84"/>
        <v/>
      </c>
      <c r="B2752" t="str">
        <f t="shared" si="85"/>
        <v/>
      </c>
      <c r="C2752" t="str">
        <f>IF(D2752="","",IF(COUNTIF($D$2:D2752,D2752)&gt;1,"",SUMIFS(tbl_input[필요수량],tbl_input[집계키_청],D2752)))</f>
        <v/>
      </c>
      <c r="D2752" t="str">
        <f>IFERROR(INDEX(tbl_input[집계키_청],ROW()-1),"")</f>
        <v/>
      </c>
    </row>
    <row r="2753" spans="1:4" x14ac:dyDescent="0.4">
      <c r="A2753" t="str">
        <f t="shared" si="84"/>
        <v/>
      </c>
      <c r="B2753" t="str">
        <f t="shared" si="85"/>
        <v/>
      </c>
      <c r="C2753" t="str">
        <f>IF(D2753="","",IF(COUNTIF($D$2:D2753,D2753)&gt;1,"",SUMIFS(tbl_input[필요수량],tbl_input[집계키_청],D2753)))</f>
        <v/>
      </c>
      <c r="D2753" t="str">
        <f>IFERROR(INDEX(tbl_input[집계키_청],ROW()-1),"")</f>
        <v/>
      </c>
    </row>
    <row r="2754" spans="1:4" x14ac:dyDescent="0.4">
      <c r="A2754" t="str">
        <f t="shared" ref="A2754:A2817" si="86">IF(D2754="","",LEFT(D2754,FIND("♦",D2754)-1))</f>
        <v/>
      </c>
      <c r="B2754" t="str">
        <f t="shared" ref="B2754:B2817" si="87">IF(D2754="","",MID(D2754,FIND("♦",D2754)+1,999))</f>
        <v/>
      </c>
      <c r="C2754" t="str">
        <f>IF(D2754="","",IF(COUNTIF($D$2:D2754,D2754)&gt;1,"",SUMIFS(tbl_input[필요수량],tbl_input[집계키_청],D2754)))</f>
        <v/>
      </c>
      <c r="D2754" t="str">
        <f>IFERROR(INDEX(tbl_input[집계키_청],ROW()-1),"")</f>
        <v/>
      </c>
    </row>
    <row r="2755" spans="1:4" x14ac:dyDescent="0.4">
      <c r="A2755" t="str">
        <f t="shared" si="86"/>
        <v/>
      </c>
      <c r="B2755" t="str">
        <f t="shared" si="87"/>
        <v/>
      </c>
      <c r="C2755" t="str">
        <f>IF(D2755="","",IF(COUNTIF($D$2:D2755,D2755)&gt;1,"",SUMIFS(tbl_input[필요수량],tbl_input[집계키_청],D2755)))</f>
        <v/>
      </c>
      <c r="D2755" t="str">
        <f>IFERROR(INDEX(tbl_input[집계키_청],ROW()-1),"")</f>
        <v/>
      </c>
    </row>
    <row r="2756" spans="1:4" x14ac:dyDescent="0.4">
      <c r="A2756" t="str">
        <f t="shared" si="86"/>
        <v/>
      </c>
      <c r="B2756" t="str">
        <f t="shared" si="87"/>
        <v/>
      </c>
      <c r="C2756" t="str">
        <f>IF(D2756="","",IF(COUNTIF($D$2:D2756,D2756)&gt;1,"",SUMIFS(tbl_input[필요수량],tbl_input[집계키_청],D2756)))</f>
        <v/>
      </c>
      <c r="D2756" t="str">
        <f>IFERROR(INDEX(tbl_input[집계키_청],ROW()-1),"")</f>
        <v/>
      </c>
    </row>
    <row r="2757" spans="1:4" x14ac:dyDescent="0.4">
      <c r="A2757" t="str">
        <f t="shared" si="86"/>
        <v/>
      </c>
      <c r="B2757" t="str">
        <f t="shared" si="87"/>
        <v/>
      </c>
      <c r="C2757" t="str">
        <f>IF(D2757="","",IF(COUNTIF($D$2:D2757,D2757)&gt;1,"",SUMIFS(tbl_input[필요수량],tbl_input[집계키_청],D2757)))</f>
        <v/>
      </c>
      <c r="D2757" t="str">
        <f>IFERROR(INDEX(tbl_input[집계키_청],ROW()-1),"")</f>
        <v/>
      </c>
    </row>
    <row r="2758" spans="1:4" x14ac:dyDescent="0.4">
      <c r="A2758" t="str">
        <f t="shared" si="86"/>
        <v/>
      </c>
      <c r="B2758" t="str">
        <f t="shared" si="87"/>
        <v/>
      </c>
      <c r="C2758" t="str">
        <f>IF(D2758="","",IF(COUNTIF($D$2:D2758,D2758)&gt;1,"",SUMIFS(tbl_input[필요수량],tbl_input[집계키_청],D2758)))</f>
        <v/>
      </c>
      <c r="D2758" t="str">
        <f>IFERROR(INDEX(tbl_input[집계키_청],ROW()-1),"")</f>
        <v/>
      </c>
    </row>
    <row r="2759" spans="1:4" x14ac:dyDescent="0.4">
      <c r="A2759" t="str">
        <f t="shared" si="86"/>
        <v/>
      </c>
      <c r="B2759" t="str">
        <f t="shared" si="87"/>
        <v/>
      </c>
      <c r="C2759" t="str">
        <f>IF(D2759="","",IF(COUNTIF($D$2:D2759,D2759)&gt;1,"",SUMIFS(tbl_input[필요수량],tbl_input[집계키_청],D2759)))</f>
        <v/>
      </c>
      <c r="D2759" t="str">
        <f>IFERROR(INDEX(tbl_input[집계키_청],ROW()-1),"")</f>
        <v/>
      </c>
    </row>
    <row r="2760" spans="1:4" x14ac:dyDescent="0.4">
      <c r="A2760" t="str">
        <f t="shared" si="86"/>
        <v/>
      </c>
      <c r="B2760" t="str">
        <f t="shared" si="87"/>
        <v/>
      </c>
      <c r="C2760" t="str">
        <f>IF(D2760="","",IF(COUNTIF($D$2:D2760,D2760)&gt;1,"",SUMIFS(tbl_input[필요수량],tbl_input[집계키_청],D2760)))</f>
        <v/>
      </c>
      <c r="D2760" t="str">
        <f>IFERROR(INDEX(tbl_input[집계키_청],ROW()-1),"")</f>
        <v/>
      </c>
    </row>
    <row r="2761" spans="1:4" x14ac:dyDescent="0.4">
      <c r="A2761" t="str">
        <f t="shared" si="86"/>
        <v/>
      </c>
      <c r="B2761" t="str">
        <f t="shared" si="87"/>
        <v/>
      </c>
      <c r="C2761" t="str">
        <f>IF(D2761="","",IF(COUNTIF($D$2:D2761,D2761)&gt;1,"",SUMIFS(tbl_input[필요수량],tbl_input[집계키_청],D2761)))</f>
        <v/>
      </c>
      <c r="D2761" t="str">
        <f>IFERROR(INDEX(tbl_input[집계키_청],ROW()-1),"")</f>
        <v/>
      </c>
    </row>
    <row r="2762" spans="1:4" x14ac:dyDescent="0.4">
      <c r="A2762" t="str">
        <f t="shared" si="86"/>
        <v/>
      </c>
      <c r="B2762" t="str">
        <f t="shared" si="87"/>
        <v/>
      </c>
      <c r="C2762" t="str">
        <f>IF(D2762="","",IF(COUNTIF($D$2:D2762,D2762)&gt;1,"",SUMIFS(tbl_input[필요수량],tbl_input[집계키_청],D2762)))</f>
        <v/>
      </c>
      <c r="D2762" t="str">
        <f>IFERROR(INDEX(tbl_input[집계키_청],ROW()-1),"")</f>
        <v/>
      </c>
    </row>
    <row r="2763" spans="1:4" x14ac:dyDescent="0.4">
      <c r="A2763" t="str">
        <f t="shared" si="86"/>
        <v/>
      </c>
      <c r="B2763" t="str">
        <f t="shared" si="87"/>
        <v/>
      </c>
      <c r="C2763" t="str">
        <f>IF(D2763="","",IF(COUNTIF($D$2:D2763,D2763)&gt;1,"",SUMIFS(tbl_input[필요수량],tbl_input[집계키_청],D2763)))</f>
        <v/>
      </c>
      <c r="D2763" t="str">
        <f>IFERROR(INDEX(tbl_input[집계키_청],ROW()-1),"")</f>
        <v/>
      </c>
    </row>
    <row r="2764" spans="1:4" x14ac:dyDescent="0.4">
      <c r="A2764" t="str">
        <f t="shared" si="86"/>
        <v/>
      </c>
      <c r="B2764" t="str">
        <f t="shared" si="87"/>
        <v/>
      </c>
      <c r="C2764" t="str">
        <f>IF(D2764="","",IF(COUNTIF($D$2:D2764,D2764)&gt;1,"",SUMIFS(tbl_input[필요수량],tbl_input[집계키_청],D2764)))</f>
        <v/>
      </c>
      <c r="D2764" t="str">
        <f>IFERROR(INDEX(tbl_input[집계키_청],ROW()-1),"")</f>
        <v/>
      </c>
    </row>
    <row r="2765" spans="1:4" x14ac:dyDescent="0.4">
      <c r="A2765" t="str">
        <f t="shared" si="86"/>
        <v/>
      </c>
      <c r="B2765" t="str">
        <f t="shared" si="87"/>
        <v/>
      </c>
      <c r="C2765" t="str">
        <f>IF(D2765="","",IF(COUNTIF($D$2:D2765,D2765)&gt;1,"",SUMIFS(tbl_input[필요수량],tbl_input[집계키_청],D2765)))</f>
        <v/>
      </c>
      <c r="D2765" t="str">
        <f>IFERROR(INDEX(tbl_input[집계키_청],ROW()-1),"")</f>
        <v/>
      </c>
    </row>
    <row r="2766" spans="1:4" x14ac:dyDescent="0.4">
      <c r="A2766" t="str">
        <f t="shared" si="86"/>
        <v/>
      </c>
      <c r="B2766" t="str">
        <f t="shared" si="87"/>
        <v/>
      </c>
      <c r="C2766" t="str">
        <f>IF(D2766="","",IF(COUNTIF($D$2:D2766,D2766)&gt;1,"",SUMIFS(tbl_input[필요수량],tbl_input[집계키_청],D2766)))</f>
        <v/>
      </c>
      <c r="D2766" t="str">
        <f>IFERROR(INDEX(tbl_input[집계키_청],ROW()-1),"")</f>
        <v/>
      </c>
    </row>
    <row r="2767" spans="1:4" x14ac:dyDescent="0.4">
      <c r="A2767" t="str">
        <f t="shared" si="86"/>
        <v/>
      </c>
      <c r="B2767" t="str">
        <f t="shared" si="87"/>
        <v/>
      </c>
      <c r="C2767" t="str">
        <f>IF(D2767="","",IF(COUNTIF($D$2:D2767,D2767)&gt;1,"",SUMIFS(tbl_input[필요수량],tbl_input[집계키_청],D2767)))</f>
        <v/>
      </c>
      <c r="D2767" t="str">
        <f>IFERROR(INDEX(tbl_input[집계키_청],ROW()-1),"")</f>
        <v/>
      </c>
    </row>
    <row r="2768" spans="1:4" x14ac:dyDescent="0.4">
      <c r="A2768" t="str">
        <f t="shared" si="86"/>
        <v/>
      </c>
      <c r="B2768" t="str">
        <f t="shared" si="87"/>
        <v/>
      </c>
      <c r="C2768" t="str">
        <f>IF(D2768="","",IF(COUNTIF($D$2:D2768,D2768)&gt;1,"",SUMIFS(tbl_input[필요수량],tbl_input[집계키_청],D2768)))</f>
        <v/>
      </c>
      <c r="D2768" t="str">
        <f>IFERROR(INDEX(tbl_input[집계키_청],ROW()-1),"")</f>
        <v/>
      </c>
    </row>
    <row r="2769" spans="1:4" x14ac:dyDescent="0.4">
      <c r="A2769" t="str">
        <f t="shared" si="86"/>
        <v/>
      </c>
      <c r="B2769" t="str">
        <f t="shared" si="87"/>
        <v/>
      </c>
      <c r="C2769" t="str">
        <f>IF(D2769="","",IF(COUNTIF($D$2:D2769,D2769)&gt;1,"",SUMIFS(tbl_input[필요수량],tbl_input[집계키_청],D2769)))</f>
        <v/>
      </c>
      <c r="D2769" t="str">
        <f>IFERROR(INDEX(tbl_input[집계키_청],ROW()-1),"")</f>
        <v/>
      </c>
    </row>
    <row r="2770" spans="1:4" x14ac:dyDescent="0.4">
      <c r="A2770" t="str">
        <f t="shared" si="86"/>
        <v/>
      </c>
      <c r="B2770" t="str">
        <f t="shared" si="87"/>
        <v/>
      </c>
      <c r="C2770" t="str">
        <f>IF(D2770="","",IF(COUNTIF($D$2:D2770,D2770)&gt;1,"",SUMIFS(tbl_input[필요수량],tbl_input[집계키_청],D2770)))</f>
        <v/>
      </c>
      <c r="D2770" t="str">
        <f>IFERROR(INDEX(tbl_input[집계키_청],ROW()-1),"")</f>
        <v/>
      </c>
    </row>
    <row r="2771" spans="1:4" x14ac:dyDescent="0.4">
      <c r="A2771" t="str">
        <f t="shared" si="86"/>
        <v/>
      </c>
      <c r="B2771" t="str">
        <f t="shared" si="87"/>
        <v/>
      </c>
      <c r="C2771" t="str">
        <f>IF(D2771="","",IF(COUNTIF($D$2:D2771,D2771)&gt;1,"",SUMIFS(tbl_input[필요수량],tbl_input[집계키_청],D2771)))</f>
        <v/>
      </c>
      <c r="D2771" t="str">
        <f>IFERROR(INDEX(tbl_input[집계키_청],ROW()-1),"")</f>
        <v/>
      </c>
    </row>
    <row r="2772" spans="1:4" x14ac:dyDescent="0.4">
      <c r="A2772" t="str">
        <f t="shared" si="86"/>
        <v/>
      </c>
      <c r="B2772" t="str">
        <f t="shared" si="87"/>
        <v/>
      </c>
      <c r="C2772" t="str">
        <f>IF(D2772="","",IF(COUNTIF($D$2:D2772,D2772)&gt;1,"",SUMIFS(tbl_input[필요수량],tbl_input[집계키_청],D2772)))</f>
        <v/>
      </c>
      <c r="D2772" t="str">
        <f>IFERROR(INDEX(tbl_input[집계키_청],ROW()-1),"")</f>
        <v/>
      </c>
    </row>
    <row r="2773" spans="1:4" x14ac:dyDescent="0.4">
      <c r="A2773" t="str">
        <f t="shared" si="86"/>
        <v/>
      </c>
      <c r="B2773" t="str">
        <f t="shared" si="87"/>
        <v/>
      </c>
      <c r="C2773" t="str">
        <f>IF(D2773="","",IF(COUNTIF($D$2:D2773,D2773)&gt;1,"",SUMIFS(tbl_input[필요수량],tbl_input[집계키_청],D2773)))</f>
        <v/>
      </c>
      <c r="D2773" t="str">
        <f>IFERROR(INDEX(tbl_input[집계키_청],ROW()-1),"")</f>
        <v/>
      </c>
    </row>
    <row r="2774" spans="1:4" x14ac:dyDescent="0.4">
      <c r="A2774" t="str">
        <f t="shared" si="86"/>
        <v/>
      </c>
      <c r="B2774" t="str">
        <f t="shared" si="87"/>
        <v/>
      </c>
      <c r="C2774" t="str">
        <f>IF(D2774="","",IF(COUNTIF($D$2:D2774,D2774)&gt;1,"",SUMIFS(tbl_input[필요수량],tbl_input[집계키_청],D2774)))</f>
        <v/>
      </c>
      <c r="D2774" t="str">
        <f>IFERROR(INDEX(tbl_input[집계키_청],ROW()-1),"")</f>
        <v/>
      </c>
    </row>
    <row r="2775" spans="1:4" x14ac:dyDescent="0.4">
      <c r="A2775" t="str">
        <f t="shared" si="86"/>
        <v/>
      </c>
      <c r="B2775" t="str">
        <f t="shared" si="87"/>
        <v/>
      </c>
      <c r="C2775" t="str">
        <f>IF(D2775="","",IF(COUNTIF($D$2:D2775,D2775)&gt;1,"",SUMIFS(tbl_input[필요수량],tbl_input[집계키_청],D2775)))</f>
        <v/>
      </c>
      <c r="D2775" t="str">
        <f>IFERROR(INDEX(tbl_input[집계키_청],ROW()-1),"")</f>
        <v/>
      </c>
    </row>
    <row r="2776" spans="1:4" x14ac:dyDescent="0.4">
      <c r="A2776" t="str">
        <f t="shared" si="86"/>
        <v/>
      </c>
      <c r="B2776" t="str">
        <f t="shared" si="87"/>
        <v/>
      </c>
      <c r="C2776" t="str">
        <f>IF(D2776="","",IF(COUNTIF($D$2:D2776,D2776)&gt;1,"",SUMIFS(tbl_input[필요수량],tbl_input[집계키_청],D2776)))</f>
        <v/>
      </c>
      <c r="D2776" t="str">
        <f>IFERROR(INDEX(tbl_input[집계키_청],ROW()-1),"")</f>
        <v/>
      </c>
    </row>
    <row r="2777" spans="1:4" x14ac:dyDescent="0.4">
      <c r="A2777" t="str">
        <f t="shared" si="86"/>
        <v/>
      </c>
      <c r="B2777" t="str">
        <f t="shared" si="87"/>
        <v/>
      </c>
      <c r="C2777" t="str">
        <f>IF(D2777="","",IF(COUNTIF($D$2:D2777,D2777)&gt;1,"",SUMIFS(tbl_input[필요수량],tbl_input[집계키_청],D2777)))</f>
        <v/>
      </c>
      <c r="D2777" t="str">
        <f>IFERROR(INDEX(tbl_input[집계키_청],ROW()-1),"")</f>
        <v/>
      </c>
    </row>
    <row r="2778" spans="1:4" x14ac:dyDescent="0.4">
      <c r="A2778" t="str">
        <f t="shared" si="86"/>
        <v/>
      </c>
      <c r="B2778" t="str">
        <f t="shared" si="87"/>
        <v/>
      </c>
      <c r="C2778" t="str">
        <f>IF(D2778="","",IF(COUNTIF($D$2:D2778,D2778)&gt;1,"",SUMIFS(tbl_input[필요수량],tbl_input[집계키_청],D2778)))</f>
        <v/>
      </c>
      <c r="D2778" t="str">
        <f>IFERROR(INDEX(tbl_input[집계키_청],ROW()-1),"")</f>
        <v/>
      </c>
    </row>
    <row r="2779" spans="1:4" x14ac:dyDescent="0.4">
      <c r="A2779" t="str">
        <f t="shared" si="86"/>
        <v/>
      </c>
      <c r="B2779" t="str">
        <f t="shared" si="87"/>
        <v/>
      </c>
      <c r="C2779" t="str">
        <f>IF(D2779="","",IF(COUNTIF($D$2:D2779,D2779)&gt;1,"",SUMIFS(tbl_input[필요수량],tbl_input[집계키_청],D2779)))</f>
        <v/>
      </c>
      <c r="D2779" t="str">
        <f>IFERROR(INDEX(tbl_input[집계키_청],ROW()-1),"")</f>
        <v/>
      </c>
    </row>
    <row r="2780" spans="1:4" x14ac:dyDescent="0.4">
      <c r="A2780" t="str">
        <f t="shared" si="86"/>
        <v/>
      </c>
      <c r="B2780" t="str">
        <f t="shared" si="87"/>
        <v/>
      </c>
      <c r="C2780" t="str">
        <f>IF(D2780="","",IF(COUNTIF($D$2:D2780,D2780)&gt;1,"",SUMIFS(tbl_input[필요수량],tbl_input[집계키_청],D2780)))</f>
        <v/>
      </c>
      <c r="D2780" t="str">
        <f>IFERROR(INDEX(tbl_input[집계키_청],ROW()-1),"")</f>
        <v/>
      </c>
    </row>
    <row r="2781" spans="1:4" x14ac:dyDescent="0.4">
      <c r="A2781" t="str">
        <f t="shared" si="86"/>
        <v/>
      </c>
      <c r="B2781" t="str">
        <f t="shared" si="87"/>
        <v/>
      </c>
      <c r="C2781" t="str">
        <f>IF(D2781="","",IF(COUNTIF($D$2:D2781,D2781)&gt;1,"",SUMIFS(tbl_input[필요수량],tbl_input[집계키_청],D2781)))</f>
        <v/>
      </c>
      <c r="D2781" t="str">
        <f>IFERROR(INDEX(tbl_input[집계키_청],ROW()-1),"")</f>
        <v/>
      </c>
    </row>
    <row r="2782" spans="1:4" x14ac:dyDescent="0.4">
      <c r="A2782" t="str">
        <f t="shared" si="86"/>
        <v/>
      </c>
      <c r="B2782" t="str">
        <f t="shared" si="87"/>
        <v/>
      </c>
      <c r="C2782" t="str">
        <f>IF(D2782="","",IF(COUNTIF($D$2:D2782,D2782)&gt;1,"",SUMIFS(tbl_input[필요수량],tbl_input[집계키_청],D2782)))</f>
        <v/>
      </c>
      <c r="D2782" t="str">
        <f>IFERROR(INDEX(tbl_input[집계키_청],ROW()-1),"")</f>
        <v/>
      </c>
    </row>
    <row r="2783" spans="1:4" x14ac:dyDescent="0.4">
      <c r="A2783" t="str">
        <f t="shared" si="86"/>
        <v/>
      </c>
      <c r="B2783" t="str">
        <f t="shared" si="87"/>
        <v/>
      </c>
      <c r="C2783" t="str">
        <f>IF(D2783="","",IF(COUNTIF($D$2:D2783,D2783)&gt;1,"",SUMIFS(tbl_input[필요수량],tbl_input[집계키_청],D2783)))</f>
        <v/>
      </c>
      <c r="D2783" t="str">
        <f>IFERROR(INDEX(tbl_input[집계키_청],ROW()-1),"")</f>
        <v/>
      </c>
    </row>
    <row r="2784" spans="1:4" x14ac:dyDescent="0.4">
      <c r="A2784" t="str">
        <f t="shared" si="86"/>
        <v/>
      </c>
      <c r="B2784" t="str">
        <f t="shared" si="87"/>
        <v/>
      </c>
      <c r="C2784" t="str">
        <f>IF(D2784="","",IF(COUNTIF($D$2:D2784,D2784)&gt;1,"",SUMIFS(tbl_input[필요수량],tbl_input[집계키_청],D2784)))</f>
        <v/>
      </c>
      <c r="D2784" t="str">
        <f>IFERROR(INDEX(tbl_input[집계키_청],ROW()-1),"")</f>
        <v/>
      </c>
    </row>
    <row r="2785" spans="1:4" x14ac:dyDescent="0.4">
      <c r="A2785" t="str">
        <f t="shared" si="86"/>
        <v/>
      </c>
      <c r="B2785" t="str">
        <f t="shared" si="87"/>
        <v/>
      </c>
      <c r="C2785" t="str">
        <f>IF(D2785="","",IF(COUNTIF($D$2:D2785,D2785)&gt;1,"",SUMIFS(tbl_input[필요수량],tbl_input[집계키_청],D2785)))</f>
        <v/>
      </c>
      <c r="D2785" t="str">
        <f>IFERROR(INDEX(tbl_input[집계키_청],ROW()-1),"")</f>
        <v/>
      </c>
    </row>
    <row r="2786" spans="1:4" x14ac:dyDescent="0.4">
      <c r="A2786" t="str">
        <f t="shared" si="86"/>
        <v/>
      </c>
      <c r="B2786" t="str">
        <f t="shared" si="87"/>
        <v/>
      </c>
      <c r="C2786" t="str">
        <f>IF(D2786="","",IF(COUNTIF($D$2:D2786,D2786)&gt;1,"",SUMIFS(tbl_input[필요수량],tbl_input[집계키_청],D2786)))</f>
        <v/>
      </c>
      <c r="D2786" t="str">
        <f>IFERROR(INDEX(tbl_input[집계키_청],ROW()-1),"")</f>
        <v/>
      </c>
    </row>
    <row r="2787" spans="1:4" x14ac:dyDescent="0.4">
      <c r="A2787" t="str">
        <f t="shared" si="86"/>
        <v/>
      </c>
      <c r="B2787" t="str">
        <f t="shared" si="87"/>
        <v/>
      </c>
      <c r="C2787" t="str">
        <f>IF(D2787="","",IF(COUNTIF($D$2:D2787,D2787)&gt;1,"",SUMIFS(tbl_input[필요수량],tbl_input[집계키_청],D2787)))</f>
        <v/>
      </c>
      <c r="D2787" t="str">
        <f>IFERROR(INDEX(tbl_input[집계키_청],ROW()-1),"")</f>
        <v/>
      </c>
    </row>
    <row r="2788" spans="1:4" x14ac:dyDescent="0.4">
      <c r="A2788" t="str">
        <f t="shared" si="86"/>
        <v/>
      </c>
      <c r="B2788" t="str">
        <f t="shared" si="87"/>
        <v/>
      </c>
      <c r="C2788" t="str">
        <f>IF(D2788="","",IF(COUNTIF($D$2:D2788,D2788)&gt;1,"",SUMIFS(tbl_input[필요수량],tbl_input[집계키_청],D2788)))</f>
        <v/>
      </c>
      <c r="D2788" t="str">
        <f>IFERROR(INDEX(tbl_input[집계키_청],ROW()-1),"")</f>
        <v/>
      </c>
    </row>
    <row r="2789" spans="1:4" x14ac:dyDescent="0.4">
      <c r="A2789" t="str">
        <f t="shared" si="86"/>
        <v/>
      </c>
      <c r="B2789" t="str">
        <f t="shared" si="87"/>
        <v/>
      </c>
      <c r="C2789" t="str">
        <f>IF(D2789="","",IF(COUNTIF($D$2:D2789,D2789)&gt;1,"",SUMIFS(tbl_input[필요수량],tbl_input[집계키_청],D2789)))</f>
        <v/>
      </c>
      <c r="D2789" t="str">
        <f>IFERROR(INDEX(tbl_input[집계키_청],ROW()-1),"")</f>
        <v/>
      </c>
    </row>
    <row r="2790" spans="1:4" x14ac:dyDescent="0.4">
      <c r="A2790" t="str">
        <f t="shared" si="86"/>
        <v/>
      </c>
      <c r="B2790" t="str">
        <f t="shared" si="87"/>
        <v/>
      </c>
      <c r="C2790" t="str">
        <f>IF(D2790="","",IF(COUNTIF($D$2:D2790,D2790)&gt;1,"",SUMIFS(tbl_input[필요수량],tbl_input[집계키_청],D2790)))</f>
        <v/>
      </c>
      <c r="D2790" t="str">
        <f>IFERROR(INDEX(tbl_input[집계키_청],ROW()-1),"")</f>
        <v/>
      </c>
    </row>
    <row r="2791" spans="1:4" x14ac:dyDescent="0.4">
      <c r="A2791" t="str">
        <f t="shared" si="86"/>
        <v/>
      </c>
      <c r="B2791" t="str">
        <f t="shared" si="87"/>
        <v/>
      </c>
      <c r="C2791" t="str">
        <f>IF(D2791="","",IF(COUNTIF($D$2:D2791,D2791)&gt;1,"",SUMIFS(tbl_input[필요수량],tbl_input[집계키_청],D2791)))</f>
        <v/>
      </c>
      <c r="D2791" t="str">
        <f>IFERROR(INDEX(tbl_input[집계키_청],ROW()-1),"")</f>
        <v/>
      </c>
    </row>
    <row r="2792" spans="1:4" x14ac:dyDescent="0.4">
      <c r="A2792" t="str">
        <f t="shared" si="86"/>
        <v/>
      </c>
      <c r="B2792" t="str">
        <f t="shared" si="87"/>
        <v/>
      </c>
      <c r="C2792" t="str">
        <f>IF(D2792="","",IF(COUNTIF($D$2:D2792,D2792)&gt;1,"",SUMIFS(tbl_input[필요수량],tbl_input[집계키_청],D2792)))</f>
        <v/>
      </c>
      <c r="D2792" t="str">
        <f>IFERROR(INDEX(tbl_input[집계키_청],ROW()-1),"")</f>
        <v/>
      </c>
    </row>
    <row r="2793" spans="1:4" x14ac:dyDescent="0.4">
      <c r="A2793" t="str">
        <f t="shared" si="86"/>
        <v/>
      </c>
      <c r="B2793" t="str">
        <f t="shared" si="87"/>
        <v/>
      </c>
      <c r="C2793" t="str">
        <f>IF(D2793="","",IF(COUNTIF($D$2:D2793,D2793)&gt;1,"",SUMIFS(tbl_input[필요수량],tbl_input[집계키_청],D2793)))</f>
        <v/>
      </c>
      <c r="D2793" t="str">
        <f>IFERROR(INDEX(tbl_input[집계키_청],ROW()-1),"")</f>
        <v/>
      </c>
    </row>
    <row r="2794" spans="1:4" x14ac:dyDescent="0.4">
      <c r="A2794" t="str">
        <f t="shared" si="86"/>
        <v/>
      </c>
      <c r="B2794" t="str">
        <f t="shared" si="87"/>
        <v/>
      </c>
      <c r="C2794" t="str">
        <f>IF(D2794="","",IF(COUNTIF($D$2:D2794,D2794)&gt;1,"",SUMIFS(tbl_input[필요수량],tbl_input[집계키_청],D2794)))</f>
        <v/>
      </c>
      <c r="D2794" t="str">
        <f>IFERROR(INDEX(tbl_input[집계키_청],ROW()-1),"")</f>
        <v/>
      </c>
    </row>
    <row r="2795" spans="1:4" x14ac:dyDescent="0.4">
      <c r="A2795" t="str">
        <f t="shared" si="86"/>
        <v/>
      </c>
      <c r="B2795" t="str">
        <f t="shared" si="87"/>
        <v/>
      </c>
      <c r="C2795" t="str">
        <f>IF(D2795="","",IF(COUNTIF($D$2:D2795,D2795)&gt;1,"",SUMIFS(tbl_input[필요수량],tbl_input[집계키_청],D2795)))</f>
        <v/>
      </c>
      <c r="D2795" t="str">
        <f>IFERROR(INDEX(tbl_input[집계키_청],ROW()-1),"")</f>
        <v/>
      </c>
    </row>
    <row r="2796" spans="1:4" x14ac:dyDescent="0.4">
      <c r="A2796" t="str">
        <f t="shared" si="86"/>
        <v/>
      </c>
      <c r="B2796" t="str">
        <f t="shared" si="87"/>
        <v/>
      </c>
      <c r="C2796" t="str">
        <f>IF(D2796="","",IF(COUNTIF($D$2:D2796,D2796)&gt;1,"",SUMIFS(tbl_input[필요수량],tbl_input[집계키_청],D2796)))</f>
        <v/>
      </c>
      <c r="D2796" t="str">
        <f>IFERROR(INDEX(tbl_input[집계키_청],ROW()-1),"")</f>
        <v/>
      </c>
    </row>
    <row r="2797" spans="1:4" x14ac:dyDescent="0.4">
      <c r="A2797" t="str">
        <f t="shared" si="86"/>
        <v/>
      </c>
      <c r="B2797" t="str">
        <f t="shared" si="87"/>
        <v/>
      </c>
      <c r="C2797" t="str">
        <f>IF(D2797="","",IF(COUNTIF($D$2:D2797,D2797)&gt;1,"",SUMIFS(tbl_input[필요수량],tbl_input[집계키_청],D2797)))</f>
        <v/>
      </c>
      <c r="D2797" t="str">
        <f>IFERROR(INDEX(tbl_input[집계키_청],ROW()-1),"")</f>
        <v/>
      </c>
    </row>
    <row r="2798" spans="1:4" x14ac:dyDescent="0.4">
      <c r="A2798" t="str">
        <f t="shared" si="86"/>
        <v/>
      </c>
      <c r="B2798" t="str">
        <f t="shared" si="87"/>
        <v/>
      </c>
      <c r="C2798" t="str">
        <f>IF(D2798="","",IF(COUNTIF($D$2:D2798,D2798)&gt;1,"",SUMIFS(tbl_input[필요수량],tbl_input[집계키_청],D2798)))</f>
        <v/>
      </c>
      <c r="D2798" t="str">
        <f>IFERROR(INDEX(tbl_input[집계키_청],ROW()-1),"")</f>
        <v/>
      </c>
    </row>
    <row r="2799" spans="1:4" x14ac:dyDescent="0.4">
      <c r="A2799" t="str">
        <f t="shared" si="86"/>
        <v/>
      </c>
      <c r="B2799" t="str">
        <f t="shared" si="87"/>
        <v/>
      </c>
      <c r="C2799" t="str">
        <f>IF(D2799="","",IF(COUNTIF($D$2:D2799,D2799)&gt;1,"",SUMIFS(tbl_input[필요수량],tbl_input[집계키_청],D2799)))</f>
        <v/>
      </c>
      <c r="D2799" t="str">
        <f>IFERROR(INDEX(tbl_input[집계키_청],ROW()-1),"")</f>
        <v/>
      </c>
    </row>
    <row r="2800" spans="1:4" x14ac:dyDescent="0.4">
      <c r="A2800" t="str">
        <f t="shared" si="86"/>
        <v/>
      </c>
      <c r="B2800" t="str">
        <f t="shared" si="87"/>
        <v/>
      </c>
      <c r="C2800" t="str">
        <f>IF(D2800="","",IF(COUNTIF($D$2:D2800,D2800)&gt;1,"",SUMIFS(tbl_input[필요수량],tbl_input[집계키_청],D2800)))</f>
        <v/>
      </c>
      <c r="D2800" t="str">
        <f>IFERROR(INDEX(tbl_input[집계키_청],ROW()-1),"")</f>
        <v/>
      </c>
    </row>
    <row r="2801" spans="1:4" x14ac:dyDescent="0.4">
      <c r="A2801" t="str">
        <f t="shared" si="86"/>
        <v/>
      </c>
      <c r="B2801" t="str">
        <f t="shared" si="87"/>
        <v/>
      </c>
      <c r="C2801" t="str">
        <f>IF(D2801="","",IF(COUNTIF($D$2:D2801,D2801)&gt;1,"",SUMIFS(tbl_input[필요수량],tbl_input[집계키_청],D2801)))</f>
        <v/>
      </c>
      <c r="D2801" t="str">
        <f>IFERROR(INDEX(tbl_input[집계키_청],ROW()-1),"")</f>
        <v/>
      </c>
    </row>
    <row r="2802" spans="1:4" x14ac:dyDescent="0.4">
      <c r="A2802" t="str">
        <f t="shared" si="86"/>
        <v/>
      </c>
      <c r="B2802" t="str">
        <f t="shared" si="87"/>
        <v/>
      </c>
      <c r="C2802" t="str">
        <f>IF(D2802="","",IF(COUNTIF($D$2:D2802,D2802)&gt;1,"",SUMIFS(tbl_input[필요수량],tbl_input[집계키_청],D2802)))</f>
        <v/>
      </c>
      <c r="D2802" t="str">
        <f>IFERROR(INDEX(tbl_input[집계키_청],ROW()-1),"")</f>
        <v/>
      </c>
    </row>
    <row r="2803" spans="1:4" x14ac:dyDescent="0.4">
      <c r="A2803" t="str">
        <f t="shared" si="86"/>
        <v/>
      </c>
      <c r="B2803" t="str">
        <f t="shared" si="87"/>
        <v/>
      </c>
      <c r="C2803" t="str">
        <f>IF(D2803="","",IF(COUNTIF($D$2:D2803,D2803)&gt;1,"",SUMIFS(tbl_input[필요수량],tbl_input[집계키_청],D2803)))</f>
        <v/>
      </c>
      <c r="D2803" t="str">
        <f>IFERROR(INDEX(tbl_input[집계키_청],ROW()-1),"")</f>
        <v/>
      </c>
    </row>
    <row r="2804" spans="1:4" x14ac:dyDescent="0.4">
      <c r="A2804" t="str">
        <f t="shared" si="86"/>
        <v/>
      </c>
      <c r="B2804" t="str">
        <f t="shared" si="87"/>
        <v/>
      </c>
      <c r="C2804" t="str">
        <f>IF(D2804="","",IF(COUNTIF($D$2:D2804,D2804)&gt;1,"",SUMIFS(tbl_input[필요수량],tbl_input[집계키_청],D2804)))</f>
        <v/>
      </c>
      <c r="D2804" t="str">
        <f>IFERROR(INDEX(tbl_input[집계키_청],ROW()-1),"")</f>
        <v/>
      </c>
    </row>
    <row r="2805" spans="1:4" x14ac:dyDescent="0.4">
      <c r="A2805" t="str">
        <f t="shared" si="86"/>
        <v/>
      </c>
      <c r="B2805" t="str">
        <f t="shared" si="87"/>
        <v/>
      </c>
      <c r="C2805" t="str">
        <f>IF(D2805="","",IF(COUNTIF($D$2:D2805,D2805)&gt;1,"",SUMIFS(tbl_input[필요수량],tbl_input[집계키_청],D2805)))</f>
        <v/>
      </c>
      <c r="D2805" t="str">
        <f>IFERROR(INDEX(tbl_input[집계키_청],ROW()-1),"")</f>
        <v/>
      </c>
    </row>
    <row r="2806" spans="1:4" x14ac:dyDescent="0.4">
      <c r="A2806" t="str">
        <f t="shared" si="86"/>
        <v/>
      </c>
      <c r="B2806" t="str">
        <f t="shared" si="87"/>
        <v/>
      </c>
      <c r="C2806" t="str">
        <f>IF(D2806="","",IF(COUNTIF($D$2:D2806,D2806)&gt;1,"",SUMIFS(tbl_input[필요수량],tbl_input[집계키_청],D2806)))</f>
        <v/>
      </c>
      <c r="D2806" t="str">
        <f>IFERROR(INDEX(tbl_input[집계키_청],ROW()-1),"")</f>
        <v/>
      </c>
    </row>
    <row r="2807" spans="1:4" x14ac:dyDescent="0.4">
      <c r="A2807" t="str">
        <f t="shared" si="86"/>
        <v/>
      </c>
      <c r="B2807" t="str">
        <f t="shared" si="87"/>
        <v/>
      </c>
      <c r="C2807" t="str">
        <f>IF(D2807="","",IF(COUNTIF($D$2:D2807,D2807)&gt;1,"",SUMIFS(tbl_input[필요수량],tbl_input[집계키_청],D2807)))</f>
        <v/>
      </c>
      <c r="D2807" t="str">
        <f>IFERROR(INDEX(tbl_input[집계키_청],ROW()-1),"")</f>
        <v/>
      </c>
    </row>
    <row r="2808" spans="1:4" x14ac:dyDescent="0.4">
      <c r="A2808" t="str">
        <f t="shared" si="86"/>
        <v/>
      </c>
      <c r="B2808" t="str">
        <f t="shared" si="87"/>
        <v/>
      </c>
      <c r="C2808" t="str">
        <f>IF(D2808="","",IF(COUNTIF($D$2:D2808,D2808)&gt;1,"",SUMIFS(tbl_input[필요수량],tbl_input[집계키_청],D2808)))</f>
        <v/>
      </c>
      <c r="D2808" t="str">
        <f>IFERROR(INDEX(tbl_input[집계키_청],ROW()-1),"")</f>
        <v/>
      </c>
    </row>
    <row r="2809" spans="1:4" x14ac:dyDescent="0.4">
      <c r="A2809" t="str">
        <f t="shared" si="86"/>
        <v/>
      </c>
      <c r="B2809" t="str">
        <f t="shared" si="87"/>
        <v/>
      </c>
      <c r="C2809" t="str">
        <f>IF(D2809="","",IF(COUNTIF($D$2:D2809,D2809)&gt;1,"",SUMIFS(tbl_input[필요수량],tbl_input[집계키_청],D2809)))</f>
        <v/>
      </c>
      <c r="D2809" t="str">
        <f>IFERROR(INDEX(tbl_input[집계키_청],ROW()-1),"")</f>
        <v/>
      </c>
    </row>
    <row r="2810" spans="1:4" x14ac:dyDescent="0.4">
      <c r="A2810" t="str">
        <f t="shared" si="86"/>
        <v/>
      </c>
      <c r="B2810" t="str">
        <f t="shared" si="87"/>
        <v/>
      </c>
      <c r="C2810" t="str">
        <f>IF(D2810="","",IF(COUNTIF($D$2:D2810,D2810)&gt;1,"",SUMIFS(tbl_input[필요수량],tbl_input[집계키_청],D2810)))</f>
        <v/>
      </c>
      <c r="D2810" t="str">
        <f>IFERROR(INDEX(tbl_input[집계키_청],ROW()-1),"")</f>
        <v/>
      </c>
    </row>
    <row r="2811" spans="1:4" x14ac:dyDescent="0.4">
      <c r="A2811" t="str">
        <f t="shared" si="86"/>
        <v/>
      </c>
      <c r="B2811" t="str">
        <f t="shared" si="87"/>
        <v/>
      </c>
      <c r="C2811" t="str">
        <f>IF(D2811="","",IF(COUNTIF($D$2:D2811,D2811)&gt;1,"",SUMIFS(tbl_input[필요수량],tbl_input[집계키_청],D2811)))</f>
        <v/>
      </c>
      <c r="D2811" t="str">
        <f>IFERROR(INDEX(tbl_input[집계키_청],ROW()-1),"")</f>
        <v/>
      </c>
    </row>
    <row r="2812" spans="1:4" x14ac:dyDescent="0.4">
      <c r="A2812" t="str">
        <f t="shared" si="86"/>
        <v/>
      </c>
      <c r="B2812" t="str">
        <f t="shared" si="87"/>
        <v/>
      </c>
      <c r="C2812" t="str">
        <f>IF(D2812="","",IF(COUNTIF($D$2:D2812,D2812)&gt;1,"",SUMIFS(tbl_input[필요수량],tbl_input[집계키_청],D2812)))</f>
        <v/>
      </c>
      <c r="D2812" t="str">
        <f>IFERROR(INDEX(tbl_input[집계키_청],ROW()-1),"")</f>
        <v/>
      </c>
    </row>
    <row r="2813" spans="1:4" x14ac:dyDescent="0.4">
      <c r="A2813" t="str">
        <f t="shared" si="86"/>
        <v/>
      </c>
      <c r="B2813" t="str">
        <f t="shared" si="87"/>
        <v/>
      </c>
      <c r="C2813" t="str">
        <f>IF(D2813="","",IF(COUNTIF($D$2:D2813,D2813)&gt;1,"",SUMIFS(tbl_input[필요수량],tbl_input[집계키_청],D2813)))</f>
        <v/>
      </c>
      <c r="D2813" t="str">
        <f>IFERROR(INDEX(tbl_input[집계키_청],ROW()-1),"")</f>
        <v/>
      </c>
    </row>
    <row r="2814" spans="1:4" x14ac:dyDescent="0.4">
      <c r="A2814" t="str">
        <f t="shared" si="86"/>
        <v/>
      </c>
      <c r="B2814" t="str">
        <f t="shared" si="87"/>
        <v/>
      </c>
      <c r="C2814" t="str">
        <f>IF(D2814="","",IF(COUNTIF($D$2:D2814,D2814)&gt;1,"",SUMIFS(tbl_input[필요수량],tbl_input[집계키_청],D2814)))</f>
        <v/>
      </c>
      <c r="D2814" t="str">
        <f>IFERROR(INDEX(tbl_input[집계키_청],ROW()-1),"")</f>
        <v/>
      </c>
    </row>
    <row r="2815" spans="1:4" x14ac:dyDescent="0.4">
      <c r="A2815" t="str">
        <f t="shared" si="86"/>
        <v/>
      </c>
      <c r="B2815" t="str">
        <f t="shared" si="87"/>
        <v/>
      </c>
      <c r="C2815" t="str">
        <f>IF(D2815="","",IF(COUNTIF($D$2:D2815,D2815)&gt;1,"",SUMIFS(tbl_input[필요수량],tbl_input[집계키_청],D2815)))</f>
        <v/>
      </c>
      <c r="D2815" t="str">
        <f>IFERROR(INDEX(tbl_input[집계키_청],ROW()-1),"")</f>
        <v/>
      </c>
    </row>
    <row r="2816" spans="1:4" x14ac:dyDescent="0.4">
      <c r="A2816" t="str">
        <f t="shared" si="86"/>
        <v/>
      </c>
      <c r="B2816" t="str">
        <f t="shared" si="87"/>
        <v/>
      </c>
      <c r="C2816" t="str">
        <f>IF(D2816="","",IF(COUNTIF($D$2:D2816,D2816)&gt;1,"",SUMIFS(tbl_input[필요수량],tbl_input[집계키_청],D2816)))</f>
        <v/>
      </c>
      <c r="D2816" t="str">
        <f>IFERROR(INDEX(tbl_input[집계키_청],ROW()-1),"")</f>
        <v/>
      </c>
    </row>
    <row r="2817" spans="1:4" x14ac:dyDescent="0.4">
      <c r="A2817" t="str">
        <f t="shared" si="86"/>
        <v/>
      </c>
      <c r="B2817" t="str">
        <f t="shared" si="87"/>
        <v/>
      </c>
      <c r="C2817" t="str">
        <f>IF(D2817="","",IF(COUNTIF($D$2:D2817,D2817)&gt;1,"",SUMIFS(tbl_input[필요수량],tbl_input[집계키_청],D2817)))</f>
        <v/>
      </c>
      <c r="D2817" t="str">
        <f>IFERROR(INDEX(tbl_input[집계키_청],ROW()-1),"")</f>
        <v/>
      </c>
    </row>
    <row r="2818" spans="1:4" x14ac:dyDescent="0.4">
      <c r="A2818" t="str">
        <f t="shared" ref="A2818:A2881" si="88">IF(D2818="","",LEFT(D2818,FIND("♦",D2818)-1))</f>
        <v/>
      </c>
      <c r="B2818" t="str">
        <f t="shared" ref="B2818:B2881" si="89">IF(D2818="","",MID(D2818,FIND("♦",D2818)+1,999))</f>
        <v/>
      </c>
      <c r="C2818" t="str">
        <f>IF(D2818="","",IF(COUNTIF($D$2:D2818,D2818)&gt;1,"",SUMIFS(tbl_input[필요수량],tbl_input[집계키_청],D2818)))</f>
        <v/>
      </c>
      <c r="D2818" t="str">
        <f>IFERROR(INDEX(tbl_input[집계키_청],ROW()-1),"")</f>
        <v/>
      </c>
    </row>
    <row r="2819" spans="1:4" x14ac:dyDescent="0.4">
      <c r="A2819" t="str">
        <f t="shared" si="88"/>
        <v/>
      </c>
      <c r="B2819" t="str">
        <f t="shared" si="89"/>
        <v/>
      </c>
      <c r="C2819" t="str">
        <f>IF(D2819="","",IF(COUNTIF($D$2:D2819,D2819)&gt;1,"",SUMIFS(tbl_input[필요수량],tbl_input[집계키_청],D2819)))</f>
        <v/>
      </c>
      <c r="D2819" t="str">
        <f>IFERROR(INDEX(tbl_input[집계키_청],ROW()-1),"")</f>
        <v/>
      </c>
    </row>
    <row r="2820" spans="1:4" x14ac:dyDescent="0.4">
      <c r="A2820" t="str">
        <f t="shared" si="88"/>
        <v/>
      </c>
      <c r="B2820" t="str">
        <f t="shared" si="89"/>
        <v/>
      </c>
      <c r="C2820" t="str">
        <f>IF(D2820="","",IF(COUNTIF($D$2:D2820,D2820)&gt;1,"",SUMIFS(tbl_input[필요수량],tbl_input[집계키_청],D2820)))</f>
        <v/>
      </c>
      <c r="D2820" t="str">
        <f>IFERROR(INDEX(tbl_input[집계키_청],ROW()-1),"")</f>
        <v/>
      </c>
    </row>
    <row r="2821" spans="1:4" x14ac:dyDescent="0.4">
      <c r="A2821" t="str">
        <f t="shared" si="88"/>
        <v/>
      </c>
      <c r="B2821" t="str">
        <f t="shared" si="89"/>
        <v/>
      </c>
      <c r="C2821" t="str">
        <f>IF(D2821="","",IF(COUNTIF($D$2:D2821,D2821)&gt;1,"",SUMIFS(tbl_input[필요수량],tbl_input[집계키_청],D2821)))</f>
        <v/>
      </c>
      <c r="D2821" t="str">
        <f>IFERROR(INDEX(tbl_input[집계키_청],ROW()-1),"")</f>
        <v/>
      </c>
    </row>
    <row r="2822" spans="1:4" x14ac:dyDescent="0.4">
      <c r="A2822" t="str">
        <f t="shared" si="88"/>
        <v/>
      </c>
      <c r="B2822" t="str">
        <f t="shared" si="89"/>
        <v/>
      </c>
      <c r="C2822" t="str">
        <f>IF(D2822="","",IF(COUNTIF($D$2:D2822,D2822)&gt;1,"",SUMIFS(tbl_input[필요수량],tbl_input[집계키_청],D2822)))</f>
        <v/>
      </c>
      <c r="D2822" t="str">
        <f>IFERROR(INDEX(tbl_input[집계키_청],ROW()-1),"")</f>
        <v/>
      </c>
    </row>
    <row r="2823" spans="1:4" x14ac:dyDescent="0.4">
      <c r="A2823" t="str">
        <f t="shared" si="88"/>
        <v/>
      </c>
      <c r="B2823" t="str">
        <f t="shared" si="89"/>
        <v/>
      </c>
      <c r="C2823" t="str">
        <f>IF(D2823="","",IF(COUNTIF($D$2:D2823,D2823)&gt;1,"",SUMIFS(tbl_input[필요수량],tbl_input[집계키_청],D2823)))</f>
        <v/>
      </c>
      <c r="D2823" t="str">
        <f>IFERROR(INDEX(tbl_input[집계키_청],ROW()-1),"")</f>
        <v/>
      </c>
    </row>
    <row r="2824" spans="1:4" x14ac:dyDescent="0.4">
      <c r="A2824" t="str">
        <f t="shared" si="88"/>
        <v/>
      </c>
      <c r="B2824" t="str">
        <f t="shared" si="89"/>
        <v/>
      </c>
      <c r="C2824" t="str">
        <f>IF(D2824="","",IF(COUNTIF($D$2:D2824,D2824)&gt;1,"",SUMIFS(tbl_input[필요수량],tbl_input[집계키_청],D2824)))</f>
        <v/>
      </c>
      <c r="D2824" t="str">
        <f>IFERROR(INDEX(tbl_input[집계키_청],ROW()-1),"")</f>
        <v/>
      </c>
    </row>
    <row r="2825" spans="1:4" x14ac:dyDescent="0.4">
      <c r="A2825" t="str">
        <f t="shared" si="88"/>
        <v/>
      </c>
      <c r="B2825" t="str">
        <f t="shared" si="89"/>
        <v/>
      </c>
      <c r="C2825" t="str">
        <f>IF(D2825="","",IF(COUNTIF($D$2:D2825,D2825)&gt;1,"",SUMIFS(tbl_input[필요수량],tbl_input[집계키_청],D2825)))</f>
        <v/>
      </c>
      <c r="D2825" t="str">
        <f>IFERROR(INDEX(tbl_input[집계키_청],ROW()-1),"")</f>
        <v/>
      </c>
    </row>
    <row r="2826" spans="1:4" x14ac:dyDescent="0.4">
      <c r="A2826" t="str">
        <f t="shared" si="88"/>
        <v/>
      </c>
      <c r="B2826" t="str">
        <f t="shared" si="89"/>
        <v/>
      </c>
      <c r="C2826" t="str">
        <f>IF(D2826="","",IF(COUNTIF($D$2:D2826,D2826)&gt;1,"",SUMIFS(tbl_input[필요수량],tbl_input[집계키_청],D2826)))</f>
        <v/>
      </c>
      <c r="D2826" t="str">
        <f>IFERROR(INDEX(tbl_input[집계키_청],ROW()-1),"")</f>
        <v/>
      </c>
    </row>
    <row r="2827" spans="1:4" x14ac:dyDescent="0.4">
      <c r="A2827" t="str">
        <f t="shared" si="88"/>
        <v/>
      </c>
      <c r="B2827" t="str">
        <f t="shared" si="89"/>
        <v/>
      </c>
      <c r="C2827" t="str">
        <f>IF(D2827="","",IF(COUNTIF($D$2:D2827,D2827)&gt;1,"",SUMIFS(tbl_input[필요수량],tbl_input[집계키_청],D2827)))</f>
        <v/>
      </c>
      <c r="D2827" t="str">
        <f>IFERROR(INDEX(tbl_input[집계키_청],ROW()-1),"")</f>
        <v/>
      </c>
    </row>
    <row r="2828" spans="1:4" x14ac:dyDescent="0.4">
      <c r="A2828" t="str">
        <f t="shared" si="88"/>
        <v/>
      </c>
      <c r="B2828" t="str">
        <f t="shared" si="89"/>
        <v/>
      </c>
      <c r="C2828" t="str">
        <f>IF(D2828="","",IF(COUNTIF($D$2:D2828,D2828)&gt;1,"",SUMIFS(tbl_input[필요수량],tbl_input[집계키_청],D2828)))</f>
        <v/>
      </c>
      <c r="D2828" t="str">
        <f>IFERROR(INDEX(tbl_input[집계키_청],ROW()-1),"")</f>
        <v/>
      </c>
    </row>
    <row r="2829" spans="1:4" x14ac:dyDescent="0.4">
      <c r="A2829" t="str">
        <f t="shared" si="88"/>
        <v/>
      </c>
      <c r="B2829" t="str">
        <f t="shared" si="89"/>
        <v/>
      </c>
      <c r="C2829" t="str">
        <f>IF(D2829="","",IF(COUNTIF($D$2:D2829,D2829)&gt;1,"",SUMIFS(tbl_input[필요수량],tbl_input[집계키_청],D2829)))</f>
        <v/>
      </c>
      <c r="D2829" t="str">
        <f>IFERROR(INDEX(tbl_input[집계키_청],ROW()-1),"")</f>
        <v/>
      </c>
    </row>
    <row r="2830" spans="1:4" x14ac:dyDescent="0.4">
      <c r="A2830" t="str">
        <f t="shared" si="88"/>
        <v/>
      </c>
      <c r="B2830" t="str">
        <f t="shared" si="89"/>
        <v/>
      </c>
      <c r="C2830" t="str">
        <f>IF(D2830="","",IF(COUNTIF($D$2:D2830,D2830)&gt;1,"",SUMIFS(tbl_input[필요수량],tbl_input[집계키_청],D2830)))</f>
        <v/>
      </c>
      <c r="D2830" t="str">
        <f>IFERROR(INDEX(tbl_input[집계키_청],ROW()-1),"")</f>
        <v/>
      </c>
    </row>
    <row r="2831" spans="1:4" x14ac:dyDescent="0.4">
      <c r="A2831" t="str">
        <f t="shared" si="88"/>
        <v/>
      </c>
      <c r="B2831" t="str">
        <f t="shared" si="89"/>
        <v/>
      </c>
      <c r="C2831" t="str">
        <f>IF(D2831="","",IF(COUNTIF($D$2:D2831,D2831)&gt;1,"",SUMIFS(tbl_input[필요수량],tbl_input[집계키_청],D2831)))</f>
        <v/>
      </c>
      <c r="D2831" t="str">
        <f>IFERROR(INDEX(tbl_input[집계키_청],ROW()-1),"")</f>
        <v/>
      </c>
    </row>
    <row r="2832" spans="1:4" x14ac:dyDescent="0.4">
      <c r="A2832" t="str">
        <f t="shared" si="88"/>
        <v/>
      </c>
      <c r="B2832" t="str">
        <f t="shared" si="89"/>
        <v/>
      </c>
      <c r="C2832" t="str">
        <f>IF(D2832="","",IF(COUNTIF($D$2:D2832,D2832)&gt;1,"",SUMIFS(tbl_input[필요수량],tbl_input[집계키_청],D2832)))</f>
        <v/>
      </c>
      <c r="D2832" t="str">
        <f>IFERROR(INDEX(tbl_input[집계키_청],ROW()-1),"")</f>
        <v/>
      </c>
    </row>
    <row r="2833" spans="1:4" x14ac:dyDescent="0.4">
      <c r="A2833" t="str">
        <f t="shared" si="88"/>
        <v/>
      </c>
      <c r="B2833" t="str">
        <f t="shared" si="89"/>
        <v/>
      </c>
      <c r="C2833" t="str">
        <f>IF(D2833="","",IF(COUNTIF($D$2:D2833,D2833)&gt;1,"",SUMIFS(tbl_input[필요수량],tbl_input[집계키_청],D2833)))</f>
        <v/>
      </c>
      <c r="D2833" t="str">
        <f>IFERROR(INDEX(tbl_input[집계키_청],ROW()-1),"")</f>
        <v/>
      </c>
    </row>
    <row r="2834" spans="1:4" x14ac:dyDescent="0.4">
      <c r="A2834" t="str">
        <f t="shared" si="88"/>
        <v/>
      </c>
      <c r="B2834" t="str">
        <f t="shared" si="89"/>
        <v/>
      </c>
      <c r="C2834" t="str">
        <f>IF(D2834="","",IF(COUNTIF($D$2:D2834,D2834)&gt;1,"",SUMIFS(tbl_input[필요수량],tbl_input[집계키_청],D2834)))</f>
        <v/>
      </c>
      <c r="D2834" t="str">
        <f>IFERROR(INDEX(tbl_input[집계키_청],ROW()-1),"")</f>
        <v/>
      </c>
    </row>
    <row r="2835" spans="1:4" x14ac:dyDescent="0.4">
      <c r="A2835" t="str">
        <f t="shared" si="88"/>
        <v/>
      </c>
      <c r="B2835" t="str">
        <f t="shared" si="89"/>
        <v/>
      </c>
      <c r="C2835" t="str">
        <f>IF(D2835="","",IF(COUNTIF($D$2:D2835,D2835)&gt;1,"",SUMIFS(tbl_input[필요수량],tbl_input[집계키_청],D2835)))</f>
        <v/>
      </c>
      <c r="D2835" t="str">
        <f>IFERROR(INDEX(tbl_input[집계키_청],ROW()-1),"")</f>
        <v/>
      </c>
    </row>
    <row r="2836" spans="1:4" x14ac:dyDescent="0.4">
      <c r="A2836" t="str">
        <f t="shared" si="88"/>
        <v/>
      </c>
      <c r="B2836" t="str">
        <f t="shared" si="89"/>
        <v/>
      </c>
      <c r="C2836" t="str">
        <f>IF(D2836="","",IF(COUNTIF($D$2:D2836,D2836)&gt;1,"",SUMIFS(tbl_input[필요수량],tbl_input[집계키_청],D2836)))</f>
        <v/>
      </c>
      <c r="D2836" t="str">
        <f>IFERROR(INDEX(tbl_input[집계키_청],ROW()-1),"")</f>
        <v/>
      </c>
    </row>
    <row r="2837" spans="1:4" x14ac:dyDescent="0.4">
      <c r="A2837" t="str">
        <f t="shared" si="88"/>
        <v/>
      </c>
      <c r="B2837" t="str">
        <f t="shared" si="89"/>
        <v/>
      </c>
      <c r="C2837" t="str">
        <f>IF(D2837="","",IF(COUNTIF($D$2:D2837,D2837)&gt;1,"",SUMIFS(tbl_input[필요수량],tbl_input[집계키_청],D2837)))</f>
        <v/>
      </c>
      <c r="D2837" t="str">
        <f>IFERROR(INDEX(tbl_input[집계키_청],ROW()-1),"")</f>
        <v/>
      </c>
    </row>
    <row r="2838" spans="1:4" x14ac:dyDescent="0.4">
      <c r="A2838" t="str">
        <f t="shared" si="88"/>
        <v/>
      </c>
      <c r="B2838" t="str">
        <f t="shared" si="89"/>
        <v/>
      </c>
      <c r="C2838" t="str">
        <f>IF(D2838="","",IF(COUNTIF($D$2:D2838,D2838)&gt;1,"",SUMIFS(tbl_input[필요수량],tbl_input[집계키_청],D2838)))</f>
        <v/>
      </c>
      <c r="D2838" t="str">
        <f>IFERROR(INDEX(tbl_input[집계키_청],ROW()-1),"")</f>
        <v/>
      </c>
    </row>
    <row r="2839" spans="1:4" x14ac:dyDescent="0.4">
      <c r="A2839" t="str">
        <f t="shared" si="88"/>
        <v/>
      </c>
      <c r="B2839" t="str">
        <f t="shared" si="89"/>
        <v/>
      </c>
      <c r="C2839" t="str">
        <f>IF(D2839="","",IF(COUNTIF($D$2:D2839,D2839)&gt;1,"",SUMIFS(tbl_input[필요수량],tbl_input[집계키_청],D2839)))</f>
        <v/>
      </c>
      <c r="D2839" t="str">
        <f>IFERROR(INDEX(tbl_input[집계키_청],ROW()-1),"")</f>
        <v/>
      </c>
    </row>
    <row r="2840" spans="1:4" x14ac:dyDescent="0.4">
      <c r="A2840" t="str">
        <f t="shared" si="88"/>
        <v/>
      </c>
      <c r="B2840" t="str">
        <f t="shared" si="89"/>
        <v/>
      </c>
      <c r="C2840" t="str">
        <f>IF(D2840="","",IF(COUNTIF($D$2:D2840,D2840)&gt;1,"",SUMIFS(tbl_input[필요수량],tbl_input[집계키_청],D2840)))</f>
        <v/>
      </c>
      <c r="D2840" t="str">
        <f>IFERROR(INDEX(tbl_input[집계키_청],ROW()-1),"")</f>
        <v/>
      </c>
    </row>
    <row r="2841" spans="1:4" x14ac:dyDescent="0.4">
      <c r="A2841" t="str">
        <f t="shared" si="88"/>
        <v/>
      </c>
      <c r="B2841" t="str">
        <f t="shared" si="89"/>
        <v/>
      </c>
      <c r="C2841" t="str">
        <f>IF(D2841="","",IF(COUNTIF($D$2:D2841,D2841)&gt;1,"",SUMIFS(tbl_input[필요수량],tbl_input[집계키_청],D2841)))</f>
        <v/>
      </c>
      <c r="D2841" t="str">
        <f>IFERROR(INDEX(tbl_input[집계키_청],ROW()-1),"")</f>
        <v/>
      </c>
    </row>
    <row r="2842" spans="1:4" x14ac:dyDescent="0.4">
      <c r="A2842" t="str">
        <f t="shared" si="88"/>
        <v/>
      </c>
      <c r="B2842" t="str">
        <f t="shared" si="89"/>
        <v/>
      </c>
      <c r="C2842" t="str">
        <f>IF(D2842="","",IF(COUNTIF($D$2:D2842,D2842)&gt;1,"",SUMIFS(tbl_input[필요수량],tbl_input[집계키_청],D2842)))</f>
        <v/>
      </c>
      <c r="D2842" t="str">
        <f>IFERROR(INDEX(tbl_input[집계키_청],ROW()-1),"")</f>
        <v/>
      </c>
    </row>
    <row r="2843" spans="1:4" x14ac:dyDescent="0.4">
      <c r="A2843" t="str">
        <f t="shared" si="88"/>
        <v/>
      </c>
      <c r="B2843" t="str">
        <f t="shared" si="89"/>
        <v/>
      </c>
      <c r="C2843" t="str">
        <f>IF(D2843="","",IF(COUNTIF($D$2:D2843,D2843)&gt;1,"",SUMIFS(tbl_input[필요수량],tbl_input[집계키_청],D2843)))</f>
        <v/>
      </c>
      <c r="D2843" t="str">
        <f>IFERROR(INDEX(tbl_input[집계키_청],ROW()-1),"")</f>
        <v/>
      </c>
    </row>
    <row r="2844" spans="1:4" x14ac:dyDescent="0.4">
      <c r="A2844" t="str">
        <f t="shared" si="88"/>
        <v/>
      </c>
      <c r="B2844" t="str">
        <f t="shared" si="89"/>
        <v/>
      </c>
      <c r="C2844" t="str">
        <f>IF(D2844="","",IF(COUNTIF($D$2:D2844,D2844)&gt;1,"",SUMIFS(tbl_input[필요수량],tbl_input[집계키_청],D2844)))</f>
        <v/>
      </c>
      <c r="D2844" t="str">
        <f>IFERROR(INDEX(tbl_input[집계키_청],ROW()-1),"")</f>
        <v/>
      </c>
    </row>
    <row r="2845" spans="1:4" x14ac:dyDescent="0.4">
      <c r="A2845" t="str">
        <f t="shared" si="88"/>
        <v/>
      </c>
      <c r="B2845" t="str">
        <f t="shared" si="89"/>
        <v/>
      </c>
      <c r="C2845" t="str">
        <f>IF(D2845="","",IF(COUNTIF($D$2:D2845,D2845)&gt;1,"",SUMIFS(tbl_input[필요수량],tbl_input[집계키_청],D2845)))</f>
        <v/>
      </c>
      <c r="D2845" t="str">
        <f>IFERROR(INDEX(tbl_input[집계키_청],ROW()-1),"")</f>
        <v/>
      </c>
    </row>
    <row r="2846" spans="1:4" x14ac:dyDescent="0.4">
      <c r="A2846" t="str">
        <f t="shared" si="88"/>
        <v/>
      </c>
      <c r="B2846" t="str">
        <f t="shared" si="89"/>
        <v/>
      </c>
      <c r="C2846" t="str">
        <f>IF(D2846="","",IF(COUNTIF($D$2:D2846,D2846)&gt;1,"",SUMIFS(tbl_input[필요수량],tbl_input[집계키_청],D2846)))</f>
        <v/>
      </c>
      <c r="D2846" t="str">
        <f>IFERROR(INDEX(tbl_input[집계키_청],ROW()-1),"")</f>
        <v/>
      </c>
    </row>
    <row r="2847" spans="1:4" x14ac:dyDescent="0.4">
      <c r="A2847" t="str">
        <f t="shared" si="88"/>
        <v/>
      </c>
      <c r="B2847" t="str">
        <f t="shared" si="89"/>
        <v/>
      </c>
      <c r="C2847" t="str">
        <f>IF(D2847="","",IF(COUNTIF($D$2:D2847,D2847)&gt;1,"",SUMIFS(tbl_input[필요수량],tbl_input[집계키_청],D2847)))</f>
        <v/>
      </c>
      <c r="D2847" t="str">
        <f>IFERROR(INDEX(tbl_input[집계키_청],ROW()-1),"")</f>
        <v/>
      </c>
    </row>
    <row r="2848" spans="1:4" x14ac:dyDescent="0.4">
      <c r="A2848" t="str">
        <f t="shared" si="88"/>
        <v/>
      </c>
      <c r="B2848" t="str">
        <f t="shared" si="89"/>
        <v/>
      </c>
      <c r="C2848" t="str">
        <f>IF(D2848="","",IF(COUNTIF($D$2:D2848,D2848)&gt;1,"",SUMIFS(tbl_input[필요수량],tbl_input[집계키_청],D2848)))</f>
        <v/>
      </c>
      <c r="D2848" t="str">
        <f>IFERROR(INDEX(tbl_input[집계키_청],ROW()-1),"")</f>
        <v/>
      </c>
    </row>
    <row r="2849" spans="1:4" x14ac:dyDescent="0.4">
      <c r="A2849" t="str">
        <f t="shared" si="88"/>
        <v/>
      </c>
      <c r="B2849" t="str">
        <f t="shared" si="89"/>
        <v/>
      </c>
      <c r="C2849" t="str">
        <f>IF(D2849="","",IF(COUNTIF($D$2:D2849,D2849)&gt;1,"",SUMIFS(tbl_input[필요수량],tbl_input[집계키_청],D2849)))</f>
        <v/>
      </c>
      <c r="D2849" t="str">
        <f>IFERROR(INDEX(tbl_input[집계키_청],ROW()-1),"")</f>
        <v/>
      </c>
    </row>
    <row r="2850" spans="1:4" x14ac:dyDescent="0.4">
      <c r="A2850" t="str">
        <f t="shared" si="88"/>
        <v/>
      </c>
      <c r="B2850" t="str">
        <f t="shared" si="89"/>
        <v/>
      </c>
      <c r="C2850" t="str">
        <f>IF(D2850="","",IF(COUNTIF($D$2:D2850,D2850)&gt;1,"",SUMIFS(tbl_input[필요수량],tbl_input[집계키_청],D2850)))</f>
        <v/>
      </c>
      <c r="D2850" t="str">
        <f>IFERROR(INDEX(tbl_input[집계키_청],ROW()-1),"")</f>
        <v/>
      </c>
    </row>
    <row r="2851" spans="1:4" x14ac:dyDescent="0.4">
      <c r="A2851" t="str">
        <f t="shared" si="88"/>
        <v/>
      </c>
      <c r="B2851" t="str">
        <f t="shared" si="89"/>
        <v/>
      </c>
      <c r="C2851" t="str">
        <f>IF(D2851="","",IF(COUNTIF($D$2:D2851,D2851)&gt;1,"",SUMIFS(tbl_input[필요수량],tbl_input[집계키_청],D2851)))</f>
        <v/>
      </c>
      <c r="D2851" t="str">
        <f>IFERROR(INDEX(tbl_input[집계키_청],ROW()-1),"")</f>
        <v/>
      </c>
    </row>
    <row r="2852" spans="1:4" x14ac:dyDescent="0.4">
      <c r="A2852" t="str">
        <f t="shared" si="88"/>
        <v/>
      </c>
      <c r="B2852" t="str">
        <f t="shared" si="89"/>
        <v/>
      </c>
      <c r="C2852" t="str">
        <f>IF(D2852="","",IF(COUNTIF($D$2:D2852,D2852)&gt;1,"",SUMIFS(tbl_input[필요수량],tbl_input[집계키_청],D2852)))</f>
        <v/>
      </c>
      <c r="D2852" t="str">
        <f>IFERROR(INDEX(tbl_input[집계키_청],ROW()-1),"")</f>
        <v/>
      </c>
    </row>
    <row r="2853" spans="1:4" x14ac:dyDescent="0.4">
      <c r="A2853" t="str">
        <f t="shared" si="88"/>
        <v/>
      </c>
      <c r="B2853" t="str">
        <f t="shared" si="89"/>
        <v/>
      </c>
      <c r="C2853" t="str">
        <f>IF(D2853="","",IF(COUNTIF($D$2:D2853,D2853)&gt;1,"",SUMIFS(tbl_input[필요수량],tbl_input[집계키_청],D2853)))</f>
        <v/>
      </c>
      <c r="D2853" t="str">
        <f>IFERROR(INDEX(tbl_input[집계키_청],ROW()-1),"")</f>
        <v/>
      </c>
    </row>
    <row r="2854" spans="1:4" x14ac:dyDescent="0.4">
      <c r="A2854" t="str">
        <f t="shared" si="88"/>
        <v/>
      </c>
      <c r="B2854" t="str">
        <f t="shared" si="89"/>
        <v/>
      </c>
      <c r="C2854" t="str">
        <f>IF(D2854="","",IF(COUNTIF($D$2:D2854,D2854)&gt;1,"",SUMIFS(tbl_input[필요수량],tbl_input[집계키_청],D2854)))</f>
        <v/>
      </c>
      <c r="D2854" t="str">
        <f>IFERROR(INDEX(tbl_input[집계키_청],ROW()-1),"")</f>
        <v/>
      </c>
    </row>
    <row r="2855" spans="1:4" x14ac:dyDescent="0.4">
      <c r="A2855" t="str">
        <f t="shared" si="88"/>
        <v/>
      </c>
      <c r="B2855" t="str">
        <f t="shared" si="89"/>
        <v/>
      </c>
      <c r="C2855" t="str">
        <f>IF(D2855="","",IF(COUNTIF($D$2:D2855,D2855)&gt;1,"",SUMIFS(tbl_input[필요수량],tbl_input[집계키_청],D2855)))</f>
        <v/>
      </c>
      <c r="D2855" t="str">
        <f>IFERROR(INDEX(tbl_input[집계키_청],ROW()-1),"")</f>
        <v/>
      </c>
    </row>
    <row r="2856" spans="1:4" x14ac:dyDescent="0.4">
      <c r="A2856" t="str">
        <f t="shared" si="88"/>
        <v/>
      </c>
      <c r="B2856" t="str">
        <f t="shared" si="89"/>
        <v/>
      </c>
      <c r="C2856" t="str">
        <f>IF(D2856="","",IF(COUNTIF($D$2:D2856,D2856)&gt;1,"",SUMIFS(tbl_input[필요수량],tbl_input[집계키_청],D2856)))</f>
        <v/>
      </c>
      <c r="D2856" t="str">
        <f>IFERROR(INDEX(tbl_input[집계키_청],ROW()-1),"")</f>
        <v/>
      </c>
    </row>
    <row r="2857" spans="1:4" x14ac:dyDescent="0.4">
      <c r="A2857" t="str">
        <f t="shared" si="88"/>
        <v/>
      </c>
      <c r="B2857" t="str">
        <f t="shared" si="89"/>
        <v/>
      </c>
      <c r="C2857" t="str">
        <f>IF(D2857="","",IF(COUNTIF($D$2:D2857,D2857)&gt;1,"",SUMIFS(tbl_input[필요수량],tbl_input[집계키_청],D2857)))</f>
        <v/>
      </c>
      <c r="D2857" t="str">
        <f>IFERROR(INDEX(tbl_input[집계키_청],ROW()-1),"")</f>
        <v/>
      </c>
    </row>
    <row r="2858" spans="1:4" x14ac:dyDescent="0.4">
      <c r="A2858" t="str">
        <f t="shared" si="88"/>
        <v/>
      </c>
      <c r="B2858" t="str">
        <f t="shared" si="89"/>
        <v/>
      </c>
      <c r="C2858" t="str">
        <f>IF(D2858="","",IF(COUNTIF($D$2:D2858,D2858)&gt;1,"",SUMIFS(tbl_input[필요수량],tbl_input[집계키_청],D2858)))</f>
        <v/>
      </c>
      <c r="D2858" t="str">
        <f>IFERROR(INDEX(tbl_input[집계키_청],ROW()-1),"")</f>
        <v/>
      </c>
    </row>
    <row r="2859" spans="1:4" x14ac:dyDescent="0.4">
      <c r="A2859" t="str">
        <f t="shared" si="88"/>
        <v/>
      </c>
      <c r="B2859" t="str">
        <f t="shared" si="89"/>
        <v/>
      </c>
      <c r="C2859" t="str">
        <f>IF(D2859="","",IF(COUNTIF($D$2:D2859,D2859)&gt;1,"",SUMIFS(tbl_input[필요수량],tbl_input[집계키_청],D2859)))</f>
        <v/>
      </c>
      <c r="D2859" t="str">
        <f>IFERROR(INDEX(tbl_input[집계키_청],ROW()-1),"")</f>
        <v/>
      </c>
    </row>
    <row r="2860" spans="1:4" x14ac:dyDescent="0.4">
      <c r="A2860" t="str">
        <f t="shared" si="88"/>
        <v/>
      </c>
      <c r="B2860" t="str">
        <f t="shared" si="89"/>
        <v/>
      </c>
      <c r="C2860" t="str">
        <f>IF(D2860="","",IF(COUNTIF($D$2:D2860,D2860)&gt;1,"",SUMIFS(tbl_input[필요수량],tbl_input[집계키_청],D2860)))</f>
        <v/>
      </c>
      <c r="D2860" t="str">
        <f>IFERROR(INDEX(tbl_input[집계키_청],ROW()-1),"")</f>
        <v/>
      </c>
    </row>
    <row r="2861" spans="1:4" x14ac:dyDescent="0.4">
      <c r="A2861" t="str">
        <f t="shared" si="88"/>
        <v/>
      </c>
      <c r="B2861" t="str">
        <f t="shared" si="89"/>
        <v/>
      </c>
      <c r="C2861" t="str">
        <f>IF(D2861="","",IF(COUNTIF($D$2:D2861,D2861)&gt;1,"",SUMIFS(tbl_input[필요수량],tbl_input[집계키_청],D2861)))</f>
        <v/>
      </c>
      <c r="D2861" t="str">
        <f>IFERROR(INDEX(tbl_input[집계키_청],ROW()-1),"")</f>
        <v/>
      </c>
    </row>
    <row r="2862" spans="1:4" x14ac:dyDescent="0.4">
      <c r="A2862" t="str">
        <f t="shared" si="88"/>
        <v/>
      </c>
      <c r="B2862" t="str">
        <f t="shared" si="89"/>
        <v/>
      </c>
      <c r="C2862" t="str">
        <f>IF(D2862="","",IF(COUNTIF($D$2:D2862,D2862)&gt;1,"",SUMIFS(tbl_input[필요수량],tbl_input[집계키_청],D2862)))</f>
        <v/>
      </c>
      <c r="D2862" t="str">
        <f>IFERROR(INDEX(tbl_input[집계키_청],ROW()-1),"")</f>
        <v/>
      </c>
    </row>
    <row r="2863" spans="1:4" x14ac:dyDescent="0.4">
      <c r="A2863" t="str">
        <f t="shared" si="88"/>
        <v/>
      </c>
      <c r="B2863" t="str">
        <f t="shared" si="89"/>
        <v/>
      </c>
      <c r="C2863" t="str">
        <f>IF(D2863="","",IF(COUNTIF($D$2:D2863,D2863)&gt;1,"",SUMIFS(tbl_input[필요수량],tbl_input[집계키_청],D2863)))</f>
        <v/>
      </c>
      <c r="D2863" t="str">
        <f>IFERROR(INDEX(tbl_input[집계키_청],ROW()-1),"")</f>
        <v/>
      </c>
    </row>
    <row r="2864" spans="1:4" x14ac:dyDescent="0.4">
      <c r="A2864" t="str">
        <f t="shared" si="88"/>
        <v/>
      </c>
      <c r="B2864" t="str">
        <f t="shared" si="89"/>
        <v/>
      </c>
      <c r="C2864" t="str">
        <f>IF(D2864="","",IF(COUNTIF($D$2:D2864,D2864)&gt;1,"",SUMIFS(tbl_input[필요수량],tbl_input[집계키_청],D2864)))</f>
        <v/>
      </c>
      <c r="D2864" t="str">
        <f>IFERROR(INDEX(tbl_input[집계키_청],ROW()-1),"")</f>
        <v/>
      </c>
    </row>
    <row r="2865" spans="1:4" x14ac:dyDescent="0.4">
      <c r="A2865" t="str">
        <f t="shared" si="88"/>
        <v/>
      </c>
      <c r="B2865" t="str">
        <f t="shared" si="89"/>
        <v/>
      </c>
      <c r="C2865" t="str">
        <f>IF(D2865="","",IF(COUNTIF($D$2:D2865,D2865)&gt;1,"",SUMIFS(tbl_input[필요수량],tbl_input[집계키_청],D2865)))</f>
        <v/>
      </c>
      <c r="D2865" t="str">
        <f>IFERROR(INDEX(tbl_input[집계키_청],ROW()-1),"")</f>
        <v/>
      </c>
    </row>
    <row r="2866" spans="1:4" x14ac:dyDescent="0.4">
      <c r="A2866" t="str">
        <f t="shared" si="88"/>
        <v/>
      </c>
      <c r="B2866" t="str">
        <f t="shared" si="89"/>
        <v/>
      </c>
      <c r="C2866" t="str">
        <f>IF(D2866="","",IF(COUNTIF($D$2:D2866,D2866)&gt;1,"",SUMIFS(tbl_input[필요수량],tbl_input[집계키_청],D2866)))</f>
        <v/>
      </c>
      <c r="D2866" t="str">
        <f>IFERROR(INDEX(tbl_input[집계키_청],ROW()-1),"")</f>
        <v/>
      </c>
    </row>
    <row r="2867" spans="1:4" x14ac:dyDescent="0.4">
      <c r="A2867" t="str">
        <f t="shared" si="88"/>
        <v/>
      </c>
      <c r="B2867" t="str">
        <f t="shared" si="89"/>
        <v/>
      </c>
      <c r="C2867" t="str">
        <f>IF(D2867="","",IF(COUNTIF($D$2:D2867,D2867)&gt;1,"",SUMIFS(tbl_input[필요수량],tbl_input[집계키_청],D2867)))</f>
        <v/>
      </c>
      <c r="D2867" t="str">
        <f>IFERROR(INDEX(tbl_input[집계키_청],ROW()-1),"")</f>
        <v/>
      </c>
    </row>
    <row r="2868" spans="1:4" x14ac:dyDescent="0.4">
      <c r="A2868" t="str">
        <f t="shared" si="88"/>
        <v/>
      </c>
      <c r="B2868" t="str">
        <f t="shared" si="89"/>
        <v/>
      </c>
      <c r="C2868" t="str">
        <f>IF(D2868="","",IF(COUNTIF($D$2:D2868,D2868)&gt;1,"",SUMIFS(tbl_input[필요수량],tbl_input[집계키_청],D2868)))</f>
        <v/>
      </c>
      <c r="D2868" t="str">
        <f>IFERROR(INDEX(tbl_input[집계키_청],ROW()-1),"")</f>
        <v/>
      </c>
    </row>
    <row r="2869" spans="1:4" x14ac:dyDescent="0.4">
      <c r="A2869" t="str">
        <f t="shared" si="88"/>
        <v/>
      </c>
      <c r="B2869" t="str">
        <f t="shared" si="89"/>
        <v/>
      </c>
      <c r="C2869" t="str">
        <f>IF(D2869="","",IF(COUNTIF($D$2:D2869,D2869)&gt;1,"",SUMIFS(tbl_input[필요수량],tbl_input[집계키_청],D2869)))</f>
        <v/>
      </c>
      <c r="D2869" t="str">
        <f>IFERROR(INDEX(tbl_input[집계키_청],ROW()-1),"")</f>
        <v/>
      </c>
    </row>
    <row r="2870" spans="1:4" x14ac:dyDescent="0.4">
      <c r="A2870" t="str">
        <f t="shared" si="88"/>
        <v/>
      </c>
      <c r="B2870" t="str">
        <f t="shared" si="89"/>
        <v/>
      </c>
      <c r="C2870" t="str">
        <f>IF(D2870="","",IF(COUNTIF($D$2:D2870,D2870)&gt;1,"",SUMIFS(tbl_input[필요수량],tbl_input[집계키_청],D2870)))</f>
        <v/>
      </c>
      <c r="D2870" t="str">
        <f>IFERROR(INDEX(tbl_input[집계키_청],ROW()-1),"")</f>
        <v/>
      </c>
    </row>
    <row r="2871" spans="1:4" x14ac:dyDescent="0.4">
      <c r="A2871" t="str">
        <f t="shared" si="88"/>
        <v/>
      </c>
      <c r="B2871" t="str">
        <f t="shared" si="89"/>
        <v/>
      </c>
      <c r="C2871" t="str">
        <f>IF(D2871="","",IF(COUNTIF($D$2:D2871,D2871)&gt;1,"",SUMIFS(tbl_input[필요수량],tbl_input[집계키_청],D2871)))</f>
        <v/>
      </c>
      <c r="D2871" t="str">
        <f>IFERROR(INDEX(tbl_input[집계키_청],ROW()-1),"")</f>
        <v/>
      </c>
    </row>
    <row r="2872" spans="1:4" x14ac:dyDescent="0.4">
      <c r="A2872" t="str">
        <f t="shared" si="88"/>
        <v/>
      </c>
      <c r="B2872" t="str">
        <f t="shared" si="89"/>
        <v/>
      </c>
      <c r="C2872" t="str">
        <f>IF(D2872="","",IF(COUNTIF($D$2:D2872,D2872)&gt;1,"",SUMIFS(tbl_input[필요수량],tbl_input[집계키_청],D2872)))</f>
        <v/>
      </c>
      <c r="D2872" t="str">
        <f>IFERROR(INDEX(tbl_input[집계키_청],ROW()-1),"")</f>
        <v/>
      </c>
    </row>
    <row r="2873" spans="1:4" x14ac:dyDescent="0.4">
      <c r="A2873" t="str">
        <f t="shared" si="88"/>
        <v/>
      </c>
      <c r="B2873" t="str">
        <f t="shared" si="89"/>
        <v/>
      </c>
      <c r="C2873" t="str">
        <f>IF(D2873="","",IF(COUNTIF($D$2:D2873,D2873)&gt;1,"",SUMIFS(tbl_input[필요수량],tbl_input[집계키_청],D2873)))</f>
        <v/>
      </c>
      <c r="D2873" t="str">
        <f>IFERROR(INDEX(tbl_input[집계키_청],ROW()-1),"")</f>
        <v/>
      </c>
    </row>
    <row r="2874" spans="1:4" x14ac:dyDescent="0.4">
      <c r="A2874" t="str">
        <f t="shared" si="88"/>
        <v/>
      </c>
      <c r="B2874" t="str">
        <f t="shared" si="89"/>
        <v/>
      </c>
      <c r="C2874" t="str">
        <f>IF(D2874="","",IF(COUNTIF($D$2:D2874,D2874)&gt;1,"",SUMIFS(tbl_input[필요수량],tbl_input[집계키_청],D2874)))</f>
        <v/>
      </c>
      <c r="D2874" t="str">
        <f>IFERROR(INDEX(tbl_input[집계키_청],ROW()-1),"")</f>
        <v/>
      </c>
    </row>
    <row r="2875" spans="1:4" x14ac:dyDescent="0.4">
      <c r="A2875" t="str">
        <f t="shared" si="88"/>
        <v/>
      </c>
      <c r="B2875" t="str">
        <f t="shared" si="89"/>
        <v/>
      </c>
      <c r="C2875" t="str">
        <f>IF(D2875="","",IF(COUNTIF($D$2:D2875,D2875)&gt;1,"",SUMIFS(tbl_input[필요수량],tbl_input[집계키_청],D2875)))</f>
        <v/>
      </c>
      <c r="D2875" t="str">
        <f>IFERROR(INDEX(tbl_input[집계키_청],ROW()-1),"")</f>
        <v/>
      </c>
    </row>
    <row r="2876" spans="1:4" x14ac:dyDescent="0.4">
      <c r="A2876" t="str">
        <f t="shared" si="88"/>
        <v/>
      </c>
      <c r="B2876" t="str">
        <f t="shared" si="89"/>
        <v/>
      </c>
      <c r="C2876" t="str">
        <f>IF(D2876="","",IF(COUNTIF($D$2:D2876,D2876)&gt;1,"",SUMIFS(tbl_input[필요수량],tbl_input[집계키_청],D2876)))</f>
        <v/>
      </c>
      <c r="D2876" t="str">
        <f>IFERROR(INDEX(tbl_input[집계키_청],ROW()-1),"")</f>
        <v/>
      </c>
    </row>
    <row r="2877" spans="1:4" x14ac:dyDescent="0.4">
      <c r="A2877" t="str">
        <f t="shared" si="88"/>
        <v/>
      </c>
      <c r="B2877" t="str">
        <f t="shared" si="89"/>
        <v/>
      </c>
      <c r="C2877" t="str">
        <f>IF(D2877="","",IF(COUNTIF($D$2:D2877,D2877)&gt;1,"",SUMIFS(tbl_input[필요수량],tbl_input[집계키_청],D2877)))</f>
        <v/>
      </c>
      <c r="D2877" t="str">
        <f>IFERROR(INDEX(tbl_input[집계키_청],ROW()-1),"")</f>
        <v/>
      </c>
    </row>
    <row r="2878" spans="1:4" x14ac:dyDescent="0.4">
      <c r="A2878" t="str">
        <f t="shared" si="88"/>
        <v/>
      </c>
      <c r="B2878" t="str">
        <f t="shared" si="89"/>
        <v/>
      </c>
      <c r="C2878" t="str">
        <f>IF(D2878="","",IF(COUNTIF($D$2:D2878,D2878)&gt;1,"",SUMIFS(tbl_input[필요수량],tbl_input[집계키_청],D2878)))</f>
        <v/>
      </c>
      <c r="D2878" t="str">
        <f>IFERROR(INDEX(tbl_input[집계키_청],ROW()-1),"")</f>
        <v/>
      </c>
    </row>
    <row r="2879" spans="1:4" x14ac:dyDescent="0.4">
      <c r="A2879" t="str">
        <f t="shared" si="88"/>
        <v/>
      </c>
      <c r="B2879" t="str">
        <f t="shared" si="89"/>
        <v/>
      </c>
      <c r="C2879" t="str">
        <f>IF(D2879="","",IF(COUNTIF($D$2:D2879,D2879)&gt;1,"",SUMIFS(tbl_input[필요수량],tbl_input[집계키_청],D2879)))</f>
        <v/>
      </c>
      <c r="D2879" t="str">
        <f>IFERROR(INDEX(tbl_input[집계키_청],ROW()-1),"")</f>
        <v/>
      </c>
    </row>
    <row r="2880" spans="1:4" x14ac:dyDescent="0.4">
      <c r="A2880" t="str">
        <f t="shared" si="88"/>
        <v/>
      </c>
      <c r="B2880" t="str">
        <f t="shared" si="89"/>
        <v/>
      </c>
      <c r="C2880" t="str">
        <f>IF(D2880="","",IF(COUNTIF($D$2:D2880,D2880)&gt;1,"",SUMIFS(tbl_input[필요수량],tbl_input[집계키_청],D2880)))</f>
        <v/>
      </c>
      <c r="D2880" t="str">
        <f>IFERROR(INDEX(tbl_input[집계키_청],ROW()-1),"")</f>
        <v/>
      </c>
    </row>
    <row r="2881" spans="1:4" x14ac:dyDescent="0.4">
      <c r="A2881" t="str">
        <f t="shared" si="88"/>
        <v/>
      </c>
      <c r="B2881" t="str">
        <f t="shared" si="89"/>
        <v/>
      </c>
      <c r="C2881" t="str">
        <f>IF(D2881="","",IF(COUNTIF($D$2:D2881,D2881)&gt;1,"",SUMIFS(tbl_input[필요수량],tbl_input[집계키_청],D2881)))</f>
        <v/>
      </c>
      <c r="D2881" t="str">
        <f>IFERROR(INDEX(tbl_input[집계키_청],ROW()-1),"")</f>
        <v/>
      </c>
    </row>
    <row r="2882" spans="1:4" x14ac:dyDescent="0.4">
      <c r="A2882" t="str">
        <f t="shared" ref="A2882:A2945" si="90">IF(D2882="","",LEFT(D2882,FIND("♦",D2882)-1))</f>
        <v/>
      </c>
      <c r="B2882" t="str">
        <f t="shared" ref="B2882:B2945" si="91">IF(D2882="","",MID(D2882,FIND("♦",D2882)+1,999))</f>
        <v/>
      </c>
      <c r="C2882" t="str">
        <f>IF(D2882="","",IF(COUNTIF($D$2:D2882,D2882)&gt;1,"",SUMIFS(tbl_input[필요수량],tbl_input[집계키_청],D2882)))</f>
        <v/>
      </c>
      <c r="D2882" t="str">
        <f>IFERROR(INDEX(tbl_input[집계키_청],ROW()-1),"")</f>
        <v/>
      </c>
    </row>
    <row r="2883" spans="1:4" x14ac:dyDescent="0.4">
      <c r="A2883" t="str">
        <f t="shared" si="90"/>
        <v/>
      </c>
      <c r="B2883" t="str">
        <f t="shared" si="91"/>
        <v/>
      </c>
      <c r="C2883" t="str">
        <f>IF(D2883="","",IF(COUNTIF($D$2:D2883,D2883)&gt;1,"",SUMIFS(tbl_input[필요수량],tbl_input[집계키_청],D2883)))</f>
        <v/>
      </c>
      <c r="D2883" t="str">
        <f>IFERROR(INDEX(tbl_input[집계키_청],ROW()-1),"")</f>
        <v/>
      </c>
    </row>
    <row r="2884" spans="1:4" x14ac:dyDescent="0.4">
      <c r="A2884" t="str">
        <f t="shared" si="90"/>
        <v/>
      </c>
      <c r="B2884" t="str">
        <f t="shared" si="91"/>
        <v/>
      </c>
      <c r="C2884" t="str">
        <f>IF(D2884="","",IF(COUNTIF($D$2:D2884,D2884)&gt;1,"",SUMIFS(tbl_input[필요수량],tbl_input[집계키_청],D2884)))</f>
        <v/>
      </c>
      <c r="D2884" t="str">
        <f>IFERROR(INDEX(tbl_input[집계키_청],ROW()-1),"")</f>
        <v/>
      </c>
    </row>
    <row r="2885" spans="1:4" x14ac:dyDescent="0.4">
      <c r="A2885" t="str">
        <f t="shared" si="90"/>
        <v/>
      </c>
      <c r="B2885" t="str">
        <f t="shared" si="91"/>
        <v/>
      </c>
      <c r="C2885" t="str">
        <f>IF(D2885="","",IF(COUNTIF($D$2:D2885,D2885)&gt;1,"",SUMIFS(tbl_input[필요수량],tbl_input[집계키_청],D2885)))</f>
        <v/>
      </c>
      <c r="D2885" t="str">
        <f>IFERROR(INDEX(tbl_input[집계키_청],ROW()-1),"")</f>
        <v/>
      </c>
    </row>
    <row r="2886" spans="1:4" x14ac:dyDescent="0.4">
      <c r="A2886" t="str">
        <f t="shared" si="90"/>
        <v/>
      </c>
      <c r="B2886" t="str">
        <f t="shared" si="91"/>
        <v/>
      </c>
      <c r="C2886" t="str">
        <f>IF(D2886="","",IF(COUNTIF($D$2:D2886,D2886)&gt;1,"",SUMIFS(tbl_input[필요수량],tbl_input[집계키_청],D2886)))</f>
        <v/>
      </c>
      <c r="D2886" t="str">
        <f>IFERROR(INDEX(tbl_input[집계키_청],ROW()-1),"")</f>
        <v/>
      </c>
    </row>
    <row r="2887" spans="1:4" x14ac:dyDescent="0.4">
      <c r="A2887" t="str">
        <f t="shared" si="90"/>
        <v/>
      </c>
      <c r="B2887" t="str">
        <f t="shared" si="91"/>
        <v/>
      </c>
      <c r="C2887" t="str">
        <f>IF(D2887="","",IF(COUNTIF($D$2:D2887,D2887)&gt;1,"",SUMIFS(tbl_input[필요수량],tbl_input[집계키_청],D2887)))</f>
        <v/>
      </c>
      <c r="D2887" t="str">
        <f>IFERROR(INDEX(tbl_input[집계키_청],ROW()-1),"")</f>
        <v/>
      </c>
    </row>
    <row r="2888" spans="1:4" x14ac:dyDescent="0.4">
      <c r="A2888" t="str">
        <f t="shared" si="90"/>
        <v/>
      </c>
      <c r="B2888" t="str">
        <f t="shared" si="91"/>
        <v/>
      </c>
      <c r="C2888" t="str">
        <f>IF(D2888="","",IF(COUNTIF($D$2:D2888,D2888)&gt;1,"",SUMIFS(tbl_input[필요수량],tbl_input[집계키_청],D2888)))</f>
        <v/>
      </c>
      <c r="D2888" t="str">
        <f>IFERROR(INDEX(tbl_input[집계키_청],ROW()-1),"")</f>
        <v/>
      </c>
    </row>
    <row r="2889" spans="1:4" x14ac:dyDescent="0.4">
      <c r="A2889" t="str">
        <f t="shared" si="90"/>
        <v/>
      </c>
      <c r="B2889" t="str">
        <f t="shared" si="91"/>
        <v/>
      </c>
      <c r="C2889" t="str">
        <f>IF(D2889="","",IF(COUNTIF($D$2:D2889,D2889)&gt;1,"",SUMIFS(tbl_input[필요수량],tbl_input[집계키_청],D2889)))</f>
        <v/>
      </c>
      <c r="D2889" t="str">
        <f>IFERROR(INDEX(tbl_input[집계키_청],ROW()-1),"")</f>
        <v/>
      </c>
    </row>
    <row r="2890" spans="1:4" x14ac:dyDescent="0.4">
      <c r="A2890" t="str">
        <f t="shared" si="90"/>
        <v/>
      </c>
      <c r="B2890" t="str">
        <f t="shared" si="91"/>
        <v/>
      </c>
      <c r="C2890" t="str">
        <f>IF(D2890="","",IF(COUNTIF($D$2:D2890,D2890)&gt;1,"",SUMIFS(tbl_input[필요수량],tbl_input[집계키_청],D2890)))</f>
        <v/>
      </c>
      <c r="D2890" t="str">
        <f>IFERROR(INDEX(tbl_input[집계키_청],ROW()-1),"")</f>
        <v/>
      </c>
    </row>
    <row r="2891" spans="1:4" x14ac:dyDescent="0.4">
      <c r="A2891" t="str">
        <f t="shared" si="90"/>
        <v/>
      </c>
      <c r="B2891" t="str">
        <f t="shared" si="91"/>
        <v/>
      </c>
      <c r="C2891" t="str">
        <f>IF(D2891="","",IF(COUNTIF($D$2:D2891,D2891)&gt;1,"",SUMIFS(tbl_input[필요수량],tbl_input[집계키_청],D2891)))</f>
        <v/>
      </c>
      <c r="D2891" t="str">
        <f>IFERROR(INDEX(tbl_input[집계키_청],ROW()-1),"")</f>
        <v/>
      </c>
    </row>
    <row r="2892" spans="1:4" x14ac:dyDescent="0.4">
      <c r="A2892" t="str">
        <f t="shared" si="90"/>
        <v/>
      </c>
      <c r="B2892" t="str">
        <f t="shared" si="91"/>
        <v/>
      </c>
      <c r="C2892" t="str">
        <f>IF(D2892="","",IF(COUNTIF($D$2:D2892,D2892)&gt;1,"",SUMIFS(tbl_input[필요수량],tbl_input[집계키_청],D2892)))</f>
        <v/>
      </c>
      <c r="D2892" t="str">
        <f>IFERROR(INDEX(tbl_input[집계키_청],ROW()-1),"")</f>
        <v/>
      </c>
    </row>
    <row r="2893" spans="1:4" x14ac:dyDescent="0.4">
      <c r="A2893" t="str">
        <f t="shared" si="90"/>
        <v/>
      </c>
      <c r="B2893" t="str">
        <f t="shared" si="91"/>
        <v/>
      </c>
      <c r="C2893" t="str">
        <f>IF(D2893="","",IF(COUNTIF($D$2:D2893,D2893)&gt;1,"",SUMIFS(tbl_input[필요수량],tbl_input[집계키_청],D2893)))</f>
        <v/>
      </c>
      <c r="D2893" t="str">
        <f>IFERROR(INDEX(tbl_input[집계키_청],ROW()-1),"")</f>
        <v/>
      </c>
    </row>
    <row r="2894" spans="1:4" x14ac:dyDescent="0.4">
      <c r="A2894" t="str">
        <f t="shared" si="90"/>
        <v/>
      </c>
      <c r="B2894" t="str">
        <f t="shared" si="91"/>
        <v/>
      </c>
      <c r="C2894" t="str">
        <f>IF(D2894="","",IF(COUNTIF($D$2:D2894,D2894)&gt;1,"",SUMIFS(tbl_input[필요수량],tbl_input[집계키_청],D2894)))</f>
        <v/>
      </c>
      <c r="D2894" t="str">
        <f>IFERROR(INDEX(tbl_input[집계키_청],ROW()-1),"")</f>
        <v/>
      </c>
    </row>
    <row r="2895" spans="1:4" x14ac:dyDescent="0.4">
      <c r="A2895" t="str">
        <f t="shared" si="90"/>
        <v/>
      </c>
      <c r="B2895" t="str">
        <f t="shared" si="91"/>
        <v/>
      </c>
      <c r="C2895" t="str">
        <f>IF(D2895="","",IF(COUNTIF($D$2:D2895,D2895)&gt;1,"",SUMIFS(tbl_input[필요수량],tbl_input[집계키_청],D2895)))</f>
        <v/>
      </c>
      <c r="D2895" t="str">
        <f>IFERROR(INDEX(tbl_input[집계키_청],ROW()-1),"")</f>
        <v/>
      </c>
    </row>
    <row r="2896" spans="1:4" x14ac:dyDescent="0.4">
      <c r="A2896" t="str">
        <f t="shared" si="90"/>
        <v/>
      </c>
      <c r="B2896" t="str">
        <f t="shared" si="91"/>
        <v/>
      </c>
      <c r="C2896" t="str">
        <f>IF(D2896="","",IF(COUNTIF($D$2:D2896,D2896)&gt;1,"",SUMIFS(tbl_input[필요수량],tbl_input[집계키_청],D2896)))</f>
        <v/>
      </c>
      <c r="D2896" t="str">
        <f>IFERROR(INDEX(tbl_input[집계키_청],ROW()-1),"")</f>
        <v/>
      </c>
    </row>
    <row r="2897" spans="1:4" x14ac:dyDescent="0.4">
      <c r="A2897" t="str">
        <f t="shared" si="90"/>
        <v/>
      </c>
      <c r="B2897" t="str">
        <f t="shared" si="91"/>
        <v/>
      </c>
      <c r="C2897" t="str">
        <f>IF(D2897="","",IF(COUNTIF($D$2:D2897,D2897)&gt;1,"",SUMIFS(tbl_input[필요수량],tbl_input[집계키_청],D2897)))</f>
        <v/>
      </c>
      <c r="D2897" t="str">
        <f>IFERROR(INDEX(tbl_input[집계키_청],ROW()-1),"")</f>
        <v/>
      </c>
    </row>
    <row r="2898" spans="1:4" x14ac:dyDescent="0.4">
      <c r="A2898" t="str">
        <f t="shared" si="90"/>
        <v/>
      </c>
      <c r="B2898" t="str">
        <f t="shared" si="91"/>
        <v/>
      </c>
      <c r="C2898" t="str">
        <f>IF(D2898="","",IF(COUNTIF($D$2:D2898,D2898)&gt;1,"",SUMIFS(tbl_input[필요수량],tbl_input[집계키_청],D2898)))</f>
        <v/>
      </c>
      <c r="D2898" t="str">
        <f>IFERROR(INDEX(tbl_input[집계키_청],ROW()-1),"")</f>
        <v/>
      </c>
    </row>
    <row r="2899" spans="1:4" x14ac:dyDescent="0.4">
      <c r="A2899" t="str">
        <f t="shared" si="90"/>
        <v/>
      </c>
      <c r="B2899" t="str">
        <f t="shared" si="91"/>
        <v/>
      </c>
      <c r="C2899" t="str">
        <f>IF(D2899="","",IF(COUNTIF($D$2:D2899,D2899)&gt;1,"",SUMIFS(tbl_input[필요수량],tbl_input[집계키_청],D2899)))</f>
        <v/>
      </c>
      <c r="D2899" t="str">
        <f>IFERROR(INDEX(tbl_input[집계키_청],ROW()-1),"")</f>
        <v/>
      </c>
    </row>
    <row r="2900" spans="1:4" x14ac:dyDescent="0.4">
      <c r="A2900" t="str">
        <f t="shared" si="90"/>
        <v/>
      </c>
      <c r="B2900" t="str">
        <f t="shared" si="91"/>
        <v/>
      </c>
      <c r="C2900" t="str">
        <f>IF(D2900="","",IF(COUNTIF($D$2:D2900,D2900)&gt;1,"",SUMIFS(tbl_input[필요수량],tbl_input[집계키_청],D2900)))</f>
        <v/>
      </c>
      <c r="D2900" t="str">
        <f>IFERROR(INDEX(tbl_input[집계키_청],ROW()-1),"")</f>
        <v/>
      </c>
    </row>
    <row r="2901" spans="1:4" x14ac:dyDescent="0.4">
      <c r="A2901" t="str">
        <f t="shared" si="90"/>
        <v/>
      </c>
      <c r="B2901" t="str">
        <f t="shared" si="91"/>
        <v/>
      </c>
      <c r="C2901" t="str">
        <f>IF(D2901="","",IF(COUNTIF($D$2:D2901,D2901)&gt;1,"",SUMIFS(tbl_input[필요수량],tbl_input[집계키_청],D2901)))</f>
        <v/>
      </c>
      <c r="D2901" t="str">
        <f>IFERROR(INDEX(tbl_input[집계키_청],ROW()-1),"")</f>
        <v/>
      </c>
    </row>
    <row r="2902" spans="1:4" x14ac:dyDescent="0.4">
      <c r="A2902" t="str">
        <f t="shared" si="90"/>
        <v/>
      </c>
      <c r="B2902" t="str">
        <f t="shared" si="91"/>
        <v/>
      </c>
      <c r="C2902" t="str">
        <f>IF(D2902="","",IF(COUNTIF($D$2:D2902,D2902)&gt;1,"",SUMIFS(tbl_input[필요수량],tbl_input[집계키_청],D2902)))</f>
        <v/>
      </c>
      <c r="D2902" t="str">
        <f>IFERROR(INDEX(tbl_input[집계키_청],ROW()-1),"")</f>
        <v/>
      </c>
    </row>
    <row r="2903" spans="1:4" x14ac:dyDescent="0.4">
      <c r="A2903" t="str">
        <f t="shared" si="90"/>
        <v/>
      </c>
      <c r="B2903" t="str">
        <f t="shared" si="91"/>
        <v/>
      </c>
      <c r="C2903" t="str">
        <f>IF(D2903="","",IF(COUNTIF($D$2:D2903,D2903)&gt;1,"",SUMIFS(tbl_input[필요수량],tbl_input[집계키_청],D2903)))</f>
        <v/>
      </c>
      <c r="D2903" t="str">
        <f>IFERROR(INDEX(tbl_input[집계키_청],ROW()-1),"")</f>
        <v/>
      </c>
    </row>
    <row r="2904" spans="1:4" x14ac:dyDescent="0.4">
      <c r="A2904" t="str">
        <f t="shared" si="90"/>
        <v/>
      </c>
      <c r="B2904" t="str">
        <f t="shared" si="91"/>
        <v/>
      </c>
      <c r="C2904" t="str">
        <f>IF(D2904="","",IF(COUNTIF($D$2:D2904,D2904)&gt;1,"",SUMIFS(tbl_input[필요수량],tbl_input[집계키_청],D2904)))</f>
        <v/>
      </c>
      <c r="D2904" t="str">
        <f>IFERROR(INDEX(tbl_input[집계키_청],ROW()-1),"")</f>
        <v/>
      </c>
    </row>
    <row r="2905" spans="1:4" x14ac:dyDescent="0.4">
      <c r="A2905" t="str">
        <f t="shared" si="90"/>
        <v/>
      </c>
      <c r="B2905" t="str">
        <f t="shared" si="91"/>
        <v/>
      </c>
      <c r="C2905" t="str">
        <f>IF(D2905="","",IF(COUNTIF($D$2:D2905,D2905)&gt;1,"",SUMIFS(tbl_input[필요수량],tbl_input[집계키_청],D2905)))</f>
        <v/>
      </c>
      <c r="D2905" t="str">
        <f>IFERROR(INDEX(tbl_input[집계키_청],ROW()-1),"")</f>
        <v/>
      </c>
    </row>
    <row r="2906" spans="1:4" x14ac:dyDescent="0.4">
      <c r="A2906" t="str">
        <f t="shared" si="90"/>
        <v/>
      </c>
      <c r="B2906" t="str">
        <f t="shared" si="91"/>
        <v/>
      </c>
      <c r="C2906" t="str">
        <f>IF(D2906="","",IF(COUNTIF($D$2:D2906,D2906)&gt;1,"",SUMIFS(tbl_input[필요수량],tbl_input[집계키_청],D2906)))</f>
        <v/>
      </c>
      <c r="D2906" t="str">
        <f>IFERROR(INDEX(tbl_input[집계키_청],ROW()-1),"")</f>
        <v/>
      </c>
    </row>
    <row r="2907" spans="1:4" x14ac:dyDescent="0.4">
      <c r="A2907" t="str">
        <f t="shared" si="90"/>
        <v/>
      </c>
      <c r="B2907" t="str">
        <f t="shared" si="91"/>
        <v/>
      </c>
      <c r="C2907" t="str">
        <f>IF(D2907="","",IF(COUNTIF($D$2:D2907,D2907)&gt;1,"",SUMIFS(tbl_input[필요수량],tbl_input[집계키_청],D2907)))</f>
        <v/>
      </c>
      <c r="D2907" t="str">
        <f>IFERROR(INDEX(tbl_input[집계키_청],ROW()-1),"")</f>
        <v/>
      </c>
    </row>
    <row r="2908" spans="1:4" x14ac:dyDescent="0.4">
      <c r="A2908" t="str">
        <f t="shared" si="90"/>
        <v/>
      </c>
      <c r="B2908" t="str">
        <f t="shared" si="91"/>
        <v/>
      </c>
      <c r="C2908" t="str">
        <f>IF(D2908="","",IF(COUNTIF($D$2:D2908,D2908)&gt;1,"",SUMIFS(tbl_input[필요수량],tbl_input[집계키_청],D2908)))</f>
        <v/>
      </c>
      <c r="D2908" t="str">
        <f>IFERROR(INDEX(tbl_input[집계키_청],ROW()-1),"")</f>
        <v/>
      </c>
    </row>
    <row r="2909" spans="1:4" x14ac:dyDescent="0.4">
      <c r="A2909" t="str">
        <f t="shared" si="90"/>
        <v/>
      </c>
      <c r="B2909" t="str">
        <f t="shared" si="91"/>
        <v/>
      </c>
      <c r="C2909" t="str">
        <f>IF(D2909="","",IF(COUNTIF($D$2:D2909,D2909)&gt;1,"",SUMIFS(tbl_input[필요수량],tbl_input[집계키_청],D2909)))</f>
        <v/>
      </c>
      <c r="D2909" t="str">
        <f>IFERROR(INDEX(tbl_input[집계키_청],ROW()-1),"")</f>
        <v/>
      </c>
    </row>
    <row r="2910" spans="1:4" x14ac:dyDescent="0.4">
      <c r="A2910" t="str">
        <f t="shared" si="90"/>
        <v/>
      </c>
      <c r="B2910" t="str">
        <f t="shared" si="91"/>
        <v/>
      </c>
      <c r="C2910" t="str">
        <f>IF(D2910="","",IF(COUNTIF($D$2:D2910,D2910)&gt;1,"",SUMIFS(tbl_input[필요수량],tbl_input[집계키_청],D2910)))</f>
        <v/>
      </c>
      <c r="D2910" t="str">
        <f>IFERROR(INDEX(tbl_input[집계키_청],ROW()-1),"")</f>
        <v/>
      </c>
    </row>
    <row r="2911" spans="1:4" x14ac:dyDescent="0.4">
      <c r="A2911" t="str">
        <f t="shared" si="90"/>
        <v/>
      </c>
      <c r="B2911" t="str">
        <f t="shared" si="91"/>
        <v/>
      </c>
      <c r="C2911" t="str">
        <f>IF(D2911="","",IF(COUNTIF($D$2:D2911,D2911)&gt;1,"",SUMIFS(tbl_input[필요수량],tbl_input[집계키_청],D2911)))</f>
        <v/>
      </c>
      <c r="D2911" t="str">
        <f>IFERROR(INDEX(tbl_input[집계키_청],ROW()-1),"")</f>
        <v/>
      </c>
    </row>
    <row r="2912" spans="1:4" x14ac:dyDescent="0.4">
      <c r="A2912" t="str">
        <f t="shared" si="90"/>
        <v/>
      </c>
      <c r="B2912" t="str">
        <f t="shared" si="91"/>
        <v/>
      </c>
      <c r="C2912" t="str">
        <f>IF(D2912="","",IF(COUNTIF($D$2:D2912,D2912)&gt;1,"",SUMIFS(tbl_input[필요수량],tbl_input[집계키_청],D2912)))</f>
        <v/>
      </c>
      <c r="D2912" t="str">
        <f>IFERROR(INDEX(tbl_input[집계키_청],ROW()-1),"")</f>
        <v/>
      </c>
    </row>
    <row r="2913" spans="1:4" x14ac:dyDescent="0.4">
      <c r="A2913" t="str">
        <f t="shared" si="90"/>
        <v/>
      </c>
      <c r="B2913" t="str">
        <f t="shared" si="91"/>
        <v/>
      </c>
      <c r="C2913" t="str">
        <f>IF(D2913="","",IF(COUNTIF($D$2:D2913,D2913)&gt;1,"",SUMIFS(tbl_input[필요수량],tbl_input[집계키_청],D2913)))</f>
        <v/>
      </c>
      <c r="D2913" t="str">
        <f>IFERROR(INDEX(tbl_input[집계키_청],ROW()-1),"")</f>
        <v/>
      </c>
    </row>
    <row r="2914" spans="1:4" x14ac:dyDescent="0.4">
      <c r="A2914" t="str">
        <f t="shared" si="90"/>
        <v/>
      </c>
      <c r="B2914" t="str">
        <f t="shared" si="91"/>
        <v/>
      </c>
      <c r="C2914" t="str">
        <f>IF(D2914="","",IF(COUNTIF($D$2:D2914,D2914)&gt;1,"",SUMIFS(tbl_input[필요수량],tbl_input[집계키_청],D2914)))</f>
        <v/>
      </c>
      <c r="D2914" t="str">
        <f>IFERROR(INDEX(tbl_input[집계키_청],ROW()-1),"")</f>
        <v/>
      </c>
    </row>
    <row r="2915" spans="1:4" x14ac:dyDescent="0.4">
      <c r="A2915" t="str">
        <f t="shared" si="90"/>
        <v/>
      </c>
      <c r="B2915" t="str">
        <f t="shared" si="91"/>
        <v/>
      </c>
      <c r="C2915" t="str">
        <f>IF(D2915="","",IF(COUNTIF($D$2:D2915,D2915)&gt;1,"",SUMIFS(tbl_input[필요수량],tbl_input[집계키_청],D2915)))</f>
        <v/>
      </c>
      <c r="D2915" t="str">
        <f>IFERROR(INDEX(tbl_input[집계키_청],ROW()-1),"")</f>
        <v/>
      </c>
    </row>
    <row r="2916" spans="1:4" x14ac:dyDescent="0.4">
      <c r="A2916" t="str">
        <f t="shared" si="90"/>
        <v/>
      </c>
      <c r="B2916" t="str">
        <f t="shared" si="91"/>
        <v/>
      </c>
      <c r="C2916" t="str">
        <f>IF(D2916="","",IF(COUNTIF($D$2:D2916,D2916)&gt;1,"",SUMIFS(tbl_input[필요수량],tbl_input[집계키_청],D2916)))</f>
        <v/>
      </c>
      <c r="D2916" t="str">
        <f>IFERROR(INDEX(tbl_input[집계키_청],ROW()-1),"")</f>
        <v/>
      </c>
    </row>
    <row r="2917" spans="1:4" x14ac:dyDescent="0.4">
      <c r="A2917" t="str">
        <f t="shared" si="90"/>
        <v/>
      </c>
      <c r="B2917" t="str">
        <f t="shared" si="91"/>
        <v/>
      </c>
      <c r="C2917" t="str">
        <f>IF(D2917="","",IF(COUNTIF($D$2:D2917,D2917)&gt;1,"",SUMIFS(tbl_input[필요수량],tbl_input[집계키_청],D2917)))</f>
        <v/>
      </c>
      <c r="D2917" t="str">
        <f>IFERROR(INDEX(tbl_input[집계키_청],ROW()-1),"")</f>
        <v/>
      </c>
    </row>
    <row r="2918" spans="1:4" x14ac:dyDescent="0.4">
      <c r="A2918" t="str">
        <f t="shared" si="90"/>
        <v/>
      </c>
      <c r="B2918" t="str">
        <f t="shared" si="91"/>
        <v/>
      </c>
      <c r="C2918" t="str">
        <f>IF(D2918="","",IF(COUNTIF($D$2:D2918,D2918)&gt;1,"",SUMIFS(tbl_input[필요수량],tbl_input[집계키_청],D2918)))</f>
        <v/>
      </c>
      <c r="D2918" t="str">
        <f>IFERROR(INDEX(tbl_input[집계키_청],ROW()-1),"")</f>
        <v/>
      </c>
    </row>
    <row r="2919" spans="1:4" x14ac:dyDescent="0.4">
      <c r="A2919" t="str">
        <f t="shared" si="90"/>
        <v/>
      </c>
      <c r="B2919" t="str">
        <f t="shared" si="91"/>
        <v/>
      </c>
      <c r="C2919" t="str">
        <f>IF(D2919="","",IF(COUNTIF($D$2:D2919,D2919)&gt;1,"",SUMIFS(tbl_input[필요수량],tbl_input[집계키_청],D2919)))</f>
        <v/>
      </c>
      <c r="D2919" t="str">
        <f>IFERROR(INDEX(tbl_input[집계키_청],ROW()-1),"")</f>
        <v/>
      </c>
    </row>
    <row r="2920" spans="1:4" x14ac:dyDescent="0.4">
      <c r="A2920" t="str">
        <f t="shared" si="90"/>
        <v/>
      </c>
      <c r="B2920" t="str">
        <f t="shared" si="91"/>
        <v/>
      </c>
      <c r="C2920" t="str">
        <f>IF(D2920="","",IF(COUNTIF($D$2:D2920,D2920)&gt;1,"",SUMIFS(tbl_input[필요수량],tbl_input[집계키_청],D2920)))</f>
        <v/>
      </c>
      <c r="D2920" t="str">
        <f>IFERROR(INDEX(tbl_input[집계키_청],ROW()-1),"")</f>
        <v/>
      </c>
    </row>
    <row r="2921" spans="1:4" x14ac:dyDescent="0.4">
      <c r="A2921" t="str">
        <f t="shared" si="90"/>
        <v/>
      </c>
      <c r="B2921" t="str">
        <f t="shared" si="91"/>
        <v/>
      </c>
      <c r="C2921" t="str">
        <f>IF(D2921="","",IF(COUNTIF($D$2:D2921,D2921)&gt;1,"",SUMIFS(tbl_input[필요수량],tbl_input[집계키_청],D2921)))</f>
        <v/>
      </c>
      <c r="D2921" t="str">
        <f>IFERROR(INDEX(tbl_input[집계키_청],ROW()-1),"")</f>
        <v/>
      </c>
    </row>
    <row r="2922" spans="1:4" x14ac:dyDescent="0.4">
      <c r="A2922" t="str">
        <f t="shared" si="90"/>
        <v/>
      </c>
      <c r="B2922" t="str">
        <f t="shared" si="91"/>
        <v/>
      </c>
      <c r="C2922" t="str">
        <f>IF(D2922="","",IF(COUNTIF($D$2:D2922,D2922)&gt;1,"",SUMIFS(tbl_input[필요수량],tbl_input[집계키_청],D2922)))</f>
        <v/>
      </c>
      <c r="D2922" t="str">
        <f>IFERROR(INDEX(tbl_input[집계키_청],ROW()-1),"")</f>
        <v/>
      </c>
    </row>
    <row r="2923" spans="1:4" x14ac:dyDescent="0.4">
      <c r="A2923" t="str">
        <f t="shared" si="90"/>
        <v/>
      </c>
      <c r="B2923" t="str">
        <f t="shared" si="91"/>
        <v/>
      </c>
      <c r="C2923" t="str">
        <f>IF(D2923="","",IF(COUNTIF($D$2:D2923,D2923)&gt;1,"",SUMIFS(tbl_input[필요수량],tbl_input[집계키_청],D2923)))</f>
        <v/>
      </c>
      <c r="D2923" t="str">
        <f>IFERROR(INDEX(tbl_input[집계키_청],ROW()-1),"")</f>
        <v/>
      </c>
    </row>
    <row r="2924" spans="1:4" x14ac:dyDescent="0.4">
      <c r="A2924" t="str">
        <f t="shared" si="90"/>
        <v/>
      </c>
      <c r="B2924" t="str">
        <f t="shared" si="91"/>
        <v/>
      </c>
      <c r="C2924" t="str">
        <f>IF(D2924="","",IF(COUNTIF($D$2:D2924,D2924)&gt;1,"",SUMIFS(tbl_input[필요수량],tbl_input[집계키_청],D2924)))</f>
        <v/>
      </c>
      <c r="D2924" t="str">
        <f>IFERROR(INDEX(tbl_input[집계키_청],ROW()-1),"")</f>
        <v/>
      </c>
    </row>
    <row r="2925" spans="1:4" x14ac:dyDescent="0.4">
      <c r="A2925" t="str">
        <f t="shared" si="90"/>
        <v/>
      </c>
      <c r="B2925" t="str">
        <f t="shared" si="91"/>
        <v/>
      </c>
      <c r="C2925" t="str">
        <f>IF(D2925="","",IF(COUNTIF($D$2:D2925,D2925)&gt;1,"",SUMIFS(tbl_input[필요수량],tbl_input[집계키_청],D2925)))</f>
        <v/>
      </c>
      <c r="D2925" t="str">
        <f>IFERROR(INDEX(tbl_input[집계키_청],ROW()-1),"")</f>
        <v/>
      </c>
    </row>
    <row r="2926" spans="1:4" x14ac:dyDescent="0.4">
      <c r="A2926" t="str">
        <f t="shared" si="90"/>
        <v/>
      </c>
      <c r="B2926" t="str">
        <f t="shared" si="91"/>
        <v/>
      </c>
      <c r="C2926" t="str">
        <f>IF(D2926="","",IF(COUNTIF($D$2:D2926,D2926)&gt;1,"",SUMIFS(tbl_input[필요수량],tbl_input[집계키_청],D2926)))</f>
        <v/>
      </c>
      <c r="D2926" t="str">
        <f>IFERROR(INDEX(tbl_input[집계키_청],ROW()-1),"")</f>
        <v/>
      </c>
    </row>
    <row r="2927" spans="1:4" x14ac:dyDescent="0.4">
      <c r="A2927" t="str">
        <f t="shared" si="90"/>
        <v/>
      </c>
      <c r="B2927" t="str">
        <f t="shared" si="91"/>
        <v/>
      </c>
      <c r="C2927" t="str">
        <f>IF(D2927="","",IF(COUNTIF($D$2:D2927,D2927)&gt;1,"",SUMIFS(tbl_input[필요수량],tbl_input[집계키_청],D2927)))</f>
        <v/>
      </c>
      <c r="D2927" t="str">
        <f>IFERROR(INDEX(tbl_input[집계키_청],ROW()-1),"")</f>
        <v/>
      </c>
    </row>
    <row r="2928" spans="1:4" x14ac:dyDescent="0.4">
      <c r="A2928" t="str">
        <f t="shared" si="90"/>
        <v/>
      </c>
      <c r="B2928" t="str">
        <f t="shared" si="91"/>
        <v/>
      </c>
      <c r="C2928" t="str">
        <f>IF(D2928="","",IF(COUNTIF($D$2:D2928,D2928)&gt;1,"",SUMIFS(tbl_input[필요수량],tbl_input[집계키_청],D2928)))</f>
        <v/>
      </c>
      <c r="D2928" t="str">
        <f>IFERROR(INDEX(tbl_input[집계키_청],ROW()-1),"")</f>
        <v/>
      </c>
    </row>
    <row r="2929" spans="1:4" x14ac:dyDescent="0.4">
      <c r="A2929" t="str">
        <f t="shared" si="90"/>
        <v/>
      </c>
      <c r="B2929" t="str">
        <f t="shared" si="91"/>
        <v/>
      </c>
      <c r="C2929" t="str">
        <f>IF(D2929="","",IF(COUNTIF($D$2:D2929,D2929)&gt;1,"",SUMIFS(tbl_input[필요수량],tbl_input[집계키_청],D2929)))</f>
        <v/>
      </c>
      <c r="D2929" t="str">
        <f>IFERROR(INDEX(tbl_input[집계키_청],ROW()-1),"")</f>
        <v/>
      </c>
    </row>
    <row r="2930" spans="1:4" x14ac:dyDescent="0.4">
      <c r="A2930" t="str">
        <f t="shared" si="90"/>
        <v/>
      </c>
      <c r="B2930" t="str">
        <f t="shared" si="91"/>
        <v/>
      </c>
      <c r="C2930" t="str">
        <f>IF(D2930="","",IF(COUNTIF($D$2:D2930,D2930)&gt;1,"",SUMIFS(tbl_input[필요수량],tbl_input[집계키_청],D2930)))</f>
        <v/>
      </c>
      <c r="D2930" t="str">
        <f>IFERROR(INDEX(tbl_input[집계키_청],ROW()-1),"")</f>
        <v/>
      </c>
    </row>
    <row r="2931" spans="1:4" x14ac:dyDescent="0.4">
      <c r="A2931" t="str">
        <f t="shared" si="90"/>
        <v/>
      </c>
      <c r="B2931" t="str">
        <f t="shared" si="91"/>
        <v/>
      </c>
      <c r="C2931" t="str">
        <f>IF(D2931="","",IF(COUNTIF($D$2:D2931,D2931)&gt;1,"",SUMIFS(tbl_input[필요수량],tbl_input[집계키_청],D2931)))</f>
        <v/>
      </c>
      <c r="D2931" t="str">
        <f>IFERROR(INDEX(tbl_input[집계키_청],ROW()-1),"")</f>
        <v/>
      </c>
    </row>
    <row r="2932" spans="1:4" x14ac:dyDescent="0.4">
      <c r="A2932" t="str">
        <f t="shared" si="90"/>
        <v/>
      </c>
      <c r="B2932" t="str">
        <f t="shared" si="91"/>
        <v/>
      </c>
      <c r="C2932" t="str">
        <f>IF(D2932="","",IF(COUNTIF($D$2:D2932,D2932)&gt;1,"",SUMIFS(tbl_input[필요수량],tbl_input[집계키_청],D2932)))</f>
        <v/>
      </c>
      <c r="D2932" t="str">
        <f>IFERROR(INDEX(tbl_input[집계키_청],ROW()-1),"")</f>
        <v/>
      </c>
    </row>
    <row r="2933" spans="1:4" x14ac:dyDescent="0.4">
      <c r="A2933" t="str">
        <f t="shared" si="90"/>
        <v/>
      </c>
      <c r="B2933" t="str">
        <f t="shared" si="91"/>
        <v/>
      </c>
      <c r="C2933" t="str">
        <f>IF(D2933="","",IF(COUNTIF($D$2:D2933,D2933)&gt;1,"",SUMIFS(tbl_input[필요수량],tbl_input[집계키_청],D2933)))</f>
        <v/>
      </c>
      <c r="D2933" t="str">
        <f>IFERROR(INDEX(tbl_input[집계키_청],ROW()-1),"")</f>
        <v/>
      </c>
    </row>
    <row r="2934" spans="1:4" x14ac:dyDescent="0.4">
      <c r="A2934" t="str">
        <f t="shared" si="90"/>
        <v/>
      </c>
      <c r="B2934" t="str">
        <f t="shared" si="91"/>
        <v/>
      </c>
      <c r="C2934" t="str">
        <f>IF(D2934="","",IF(COUNTIF($D$2:D2934,D2934)&gt;1,"",SUMIFS(tbl_input[필요수량],tbl_input[집계키_청],D2934)))</f>
        <v/>
      </c>
      <c r="D2934" t="str">
        <f>IFERROR(INDEX(tbl_input[집계키_청],ROW()-1),"")</f>
        <v/>
      </c>
    </row>
    <row r="2935" spans="1:4" x14ac:dyDescent="0.4">
      <c r="A2935" t="str">
        <f t="shared" si="90"/>
        <v/>
      </c>
      <c r="B2935" t="str">
        <f t="shared" si="91"/>
        <v/>
      </c>
      <c r="C2935" t="str">
        <f>IF(D2935="","",IF(COUNTIF($D$2:D2935,D2935)&gt;1,"",SUMIFS(tbl_input[필요수량],tbl_input[집계키_청],D2935)))</f>
        <v/>
      </c>
      <c r="D2935" t="str">
        <f>IFERROR(INDEX(tbl_input[집계키_청],ROW()-1),"")</f>
        <v/>
      </c>
    </row>
    <row r="2936" spans="1:4" x14ac:dyDescent="0.4">
      <c r="A2936" t="str">
        <f t="shared" si="90"/>
        <v/>
      </c>
      <c r="B2936" t="str">
        <f t="shared" si="91"/>
        <v/>
      </c>
      <c r="C2936" t="str">
        <f>IF(D2936="","",IF(COUNTIF($D$2:D2936,D2936)&gt;1,"",SUMIFS(tbl_input[필요수량],tbl_input[집계키_청],D2936)))</f>
        <v/>
      </c>
      <c r="D2936" t="str">
        <f>IFERROR(INDEX(tbl_input[집계키_청],ROW()-1),"")</f>
        <v/>
      </c>
    </row>
    <row r="2937" spans="1:4" x14ac:dyDescent="0.4">
      <c r="A2937" t="str">
        <f t="shared" si="90"/>
        <v/>
      </c>
      <c r="B2937" t="str">
        <f t="shared" si="91"/>
        <v/>
      </c>
      <c r="C2937" t="str">
        <f>IF(D2937="","",IF(COUNTIF($D$2:D2937,D2937)&gt;1,"",SUMIFS(tbl_input[필요수량],tbl_input[집계키_청],D2937)))</f>
        <v/>
      </c>
      <c r="D2937" t="str">
        <f>IFERROR(INDEX(tbl_input[집계키_청],ROW()-1),"")</f>
        <v/>
      </c>
    </row>
    <row r="2938" spans="1:4" x14ac:dyDescent="0.4">
      <c r="A2938" t="str">
        <f t="shared" si="90"/>
        <v/>
      </c>
      <c r="B2938" t="str">
        <f t="shared" si="91"/>
        <v/>
      </c>
      <c r="C2938" t="str">
        <f>IF(D2938="","",IF(COUNTIF($D$2:D2938,D2938)&gt;1,"",SUMIFS(tbl_input[필요수량],tbl_input[집계키_청],D2938)))</f>
        <v/>
      </c>
      <c r="D2938" t="str">
        <f>IFERROR(INDEX(tbl_input[집계키_청],ROW()-1),"")</f>
        <v/>
      </c>
    </row>
    <row r="2939" spans="1:4" x14ac:dyDescent="0.4">
      <c r="A2939" t="str">
        <f t="shared" si="90"/>
        <v/>
      </c>
      <c r="B2939" t="str">
        <f t="shared" si="91"/>
        <v/>
      </c>
      <c r="C2939" t="str">
        <f>IF(D2939="","",IF(COUNTIF($D$2:D2939,D2939)&gt;1,"",SUMIFS(tbl_input[필요수량],tbl_input[집계키_청],D2939)))</f>
        <v/>
      </c>
      <c r="D2939" t="str">
        <f>IFERROR(INDEX(tbl_input[집계키_청],ROW()-1),"")</f>
        <v/>
      </c>
    </row>
    <row r="2940" spans="1:4" x14ac:dyDescent="0.4">
      <c r="A2940" t="str">
        <f t="shared" si="90"/>
        <v/>
      </c>
      <c r="B2940" t="str">
        <f t="shared" si="91"/>
        <v/>
      </c>
      <c r="C2940" t="str">
        <f>IF(D2940="","",IF(COUNTIF($D$2:D2940,D2940)&gt;1,"",SUMIFS(tbl_input[필요수량],tbl_input[집계키_청],D2940)))</f>
        <v/>
      </c>
      <c r="D2940" t="str">
        <f>IFERROR(INDEX(tbl_input[집계키_청],ROW()-1),"")</f>
        <v/>
      </c>
    </row>
    <row r="2941" spans="1:4" x14ac:dyDescent="0.4">
      <c r="A2941" t="str">
        <f t="shared" si="90"/>
        <v/>
      </c>
      <c r="B2941" t="str">
        <f t="shared" si="91"/>
        <v/>
      </c>
      <c r="C2941" t="str">
        <f>IF(D2941="","",IF(COUNTIF($D$2:D2941,D2941)&gt;1,"",SUMIFS(tbl_input[필요수량],tbl_input[집계키_청],D2941)))</f>
        <v/>
      </c>
      <c r="D2941" t="str">
        <f>IFERROR(INDEX(tbl_input[집계키_청],ROW()-1),"")</f>
        <v/>
      </c>
    </row>
    <row r="2942" spans="1:4" x14ac:dyDescent="0.4">
      <c r="A2942" t="str">
        <f t="shared" si="90"/>
        <v/>
      </c>
      <c r="B2942" t="str">
        <f t="shared" si="91"/>
        <v/>
      </c>
      <c r="C2942" t="str">
        <f>IF(D2942="","",IF(COUNTIF($D$2:D2942,D2942)&gt;1,"",SUMIFS(tbl_input[필요수량],tbl_input[집계키_청],D2942)))</f>
        <v/>
      </c>
      <c r="D2942" t="str">
        <f>IFERROR(INDEX(tbl_input[집계키_청],ROW()-1),"")</f>
        <v/>
      </c>
    </row>
    <row r="2943" spans="1:4" x14ac:dyDescent="0.4">
      <c r="A2943" t="str">
        <f t="shared" si="90"/>
        <v/>
      </c>
      <c r="B2943" t="str">
        <f t="shared" si="91"/>
        <v/>
      </c>
      <c r="C2943" t="str">
        <f>IF(D2943="","",IF(COUNTIF($D$2:D2943,D2943)&gt;1,"",SUMIFS(tbl_input[필요수량],tbl_input[집계키_청],D2943)))</f>
        <v/>
      </c>
      <c r="D2943" t="str">
        <f>IFERROR(INDEX(tbl_input[집계키_청],ROW()-1),"")</f>
        <v/>
      </c>
    </row>
    <row r="2944" spans="1:4" x14ac:dyDescent="0.4">
      <c r="A2944" t="str">
        <f t="shared" si="90"/>
        <v/>
      </c>
      <c r="B2944" t="str">
        <f t="shared" si="91"/>
        <v/>
      </c>
      <c r="C2944" t="str">
        <f>IF(D2944="","",IF(COUNTIF($D$2:D2944,D2944)&gt;1,"",SUMIFS(tbl_input[필요수량],tbl_input[집계키_청],D2944)))</f>
        <v/>
      </c>
      <c r="D2944" t="str">
        <f>IFERROR(INDEX(tbl_input[집계키_청],ROW()-1),"")</f>
        <v/>
      </c>
    </row>
    <row r="2945" spans="1:4" x14ac:dyDescent="0.4">
      <c r="A2945" t="str">
        <f t="shared" si="90"/>
        <v/>
      </c>
      <c r="B2945" t="str">
        <f t="shared" si="91"/>
        <v/>
      </c>
      <c r="C2945" t="str">
        <f>IF(D2945="","",IF(COUNTIF($D$2:D2945,D2945)&gt;1,"",SUMIFS(tbl_input[필요수량],tbl_input[집계키_청],D2945)))</f>
        <v/>
      </c>
      <c r="D2945" t="str">
        <f>IFERROR(INDEX(tbl_input[집계키_청],ROW()-1),"")</f>
        <v/>
      </c>
    </row>
    <row r="2946" spans="1:4" x14ac:dyDescent="0.4">
      <c r="A2946" t="str">
        <f t="shared" ref="A2946:A3009" si="92">IF(D2946="","",LEFT(D2946,FIND("♦",D2946)-1))</f>
        <v/>
      </c>
      <c r="B2946" t="str">
        <f t="shared" ref="B2946:B3009" si="93">IF(D2946="","",MID(D2946,FIND("♦",D2946)+1,999))</f>
        <v/>
      </c>
      <c r="C2946" t="str">
        <f>IF(D2946="","",IF(COUNTIF($D$2:D2946,D2946)&gt;1,"",SUMIFS(tbl_input[필요수량],tbl_input[집계키_청],D2946)))</f>
        <v/>
      </c>
      <c r="D2946" t="str">
        <f>IFERROR(INDEX(tbl_input[집계키_청],ROW()-1),"")</f>
        <v/>
      </c>
    </row>
    <row r="2947" spans="1:4" x14ac:dyDescent="0.4">
      <c r="A2947" t="str">
        <f t="shared" si="92"/>
        <v/>
      </c>
      <c r="B2947" t="str">
        <f t="shared" si="93"/>
        <v/>
      </c>
      <c r="C2947" t="str">
        <f>IF(D2947="","",IF(COUNTIF($D$2:D2947,D2947)&gt;1,"",SUMIFS(tbl_input[필요수량],tbl_input[집계키_청],D2947)))</f>
        <v/>
      </c>
      <c r="D2947" t="str">
        <f>IFERROR(INDEX(tbl_input[집계키_청],ROW()-1),"")</f>
        <v/>
      </c>
    </row>
    <row r="2948" spans="1:4" x14ac:dyDescent="0.4">
      <c r="A2948" t="str">
        <f t="shared" si="92"/>
        <v/>
      </c>
      <c r="B2948" t="str">
        <f t="shared" si="93"/>
        <v/>
      </c>
      <c r="C2948" t="str">
        <f>IF(D2948="","",IF(COUNTIF($D$2:D2948,D2948)&gt;1,"",SUMIFS(tbl_input[필요수량],tbl_input[집계키_청],D2948)))</f>
        <v/>
      </c>
      <c r="D2948" t="str">
        <f>IFERROR(INDEX(tbl_input[집계키_청],ROW()-1),"")</f>
        <v/>
      </c>
    </row>
    <row r="2949" spans="1:4" x14ac:dyDescent="0.4">
      <c r="A2949" t="str">
        <f t="shared" si="92"/>
        <v/>
      </c>
      <c r="B2949" t="str">
        <f t="shared" si="93"/>
        <v/>
      </c>
      <c r="C2949" t="str">
        <f>IF(D2949="","",IF(COUNTIF($D$2:D2949,D2949)&gt;1,"",SUMIFS(tbl_input[필요수량],tbl_input[집계키_청],D2949)))</f>
        <v/>
      </c>
      <c r="D2949" t="str">
        <f>IFERROR(INDEX(tbl_input[집계키_청],ROW()-1),"")</f>
        <v/>
      </c>
    </row>
    <row r="2950" spans="1:4" x14ac:dyDescent="0.4">
      <c r="A2950" t="str">
        <f t="shared" si="92"/>
        <v/>
      </c>
      <c r="B2950" t="str">
        <f t="shared" si="93"/>
        <v/>
      </c>
      <c r="C2950" t="str">
        <f>IF(D2950="","",IF(COUNTIF($D$2:D2950,D2950)&gt;1,"",SUMIFS(tbl_input[필요수량],tbl_input[집계키_청],D2950)))</f>
        <v/>
      </c>
      <c r="D2950" t="str">
        <f>IFERROR(INDEX(tbl_input[집계키_청],ROW()-1),"")</f>
        <v/>
      </c>
    </row>
    <row r="2951" spans="1:4" x14ac:dyDescent="0.4">
      <c r="A2951" t="str">
        <f t="shared" si="92"/>
        <v/>
      </c>
      <c r="B2951" t="str">
        <f t="shared" si="93"/>
        <v/>
      </c>
      <c r="C2951" t="str">
        <f>IF(D2951="","",IF(COUNTIF($D$2:D2951,D2951)&gt;1,"",SUMIFS(tbl_input[필요수량],tbl_input[집계키_청],D2951)))</f>
        <v/>
      </c>
      <c r="D2951" t="str">
        <f>IFERROR(INDEX(tbl_input[집계키_청],ROW()-1),"")</f>
        <v/>
      </c>
    </row>
    <row r="2952" spans="1:4" x14ac:dyDescent="0.4">
      <c r="A2952" t="str">
        <f t="shared" si="92"/>
        <v/>
      </c>
      <c r="B2952" t="str">
        <f t="shared" si="93"/>
        <v/>
      </c>
      <c r="C2952" t="str">
        <f>IF(D2952="","",IF(COUNTIF($D$2:D2952,D2952)&gt;1,"",SUMIFS(tbl_input[필요수량],tbl_input[집계키_청],D2952)))</f>
        <v/>
      </c>
      <c r="D2952" t="str">
        <f>IFERROR(INDEX(tbl_input[집계키_청],ROW()-1),"")</f>
        <v/>
      </c>
    </row>
    <row r="2953" spans="1:4" x14ac:dyDescent="0.4">
      <c r="A2953" t="str">
        <f t="shared" si="92"/>
        <v/>
      </c>
      <c r="B2953" t="str">
        <f t="shared" si="93"/>
        <v/>
      </c>
      <c r="C2953" t="str">
        <f>IF(D2953="","",IF(COUNTIF($D$2:D2953,D2953)&gt;1,"",SUMIFS(tbl_input[필요수량],tbl_input[집계키_청],D2953)))</f>
        <v/>
      </c>
      <c r="D2953" t="str">
        <f>IFERROR(INDEX(tbl_input[집계키_청],ROW()-1),"")</f>
        <v/>
      </c>
    </row>
    <row r="2954" spans="1:4" x14ac:dyDescent="0.4">
      <c r="A2954" t="str">
        <f t="shared" si="92"/>
        <v/>
      </c>
      <c r="B2954" t="str">
        <f t="shared" si="93"/>
        <v/>
      </c>
      <c r="C2954" t="str">
        <f>IF(D2954="","",IF(COUNTIF($D$2:D2954,D2954)&gt;1,"",SUMIFS(tbl_input[필요수량],tbl_input[집계키_청],D2954)))</f>
        <v/>
      </c>
      <c r="D2954" t="str">
        <f>IFERROR(INDEX(tbl_input[집계키_청],ROW()-1),"")</f>
        <v/>
      </c>
    </row>
    <row r="2955" spans="1:4" x14ac:dyDescent="0.4">
      <c r="A2955" t="str">
        <f t="shared" si="92"/>
        <v/>
      </c>
      <c r="B2955" t="str">
        <f t="shared" si="93"/>
        <v/>
      </c>
      <c r="C2955" t="str">
        <f>IF(D2955="","",IF(COUNTIF($D$2:D2955,D2955)&gt;1,"",SUMIFS(tbl_input[필요수량],tbl_input[집계키_청],D2955)))</f>
        <v/>
      </c>
      <c r="D2955" t="str">
        <f>IFERROR(INDEX(tbl_input[집계키_청],ROW()-1),"")</f>
        <v/>
      </c>
    </row>
    <row r="2956" spans="1:4" x14ac:dyDescent="0.4">
      <c r="A2956" t="str">
        <f t="shared" si="92"/>
        <v/>
      </c>
      <c r="B2956" t="str">
        <f t="shared" si="93"/>
        <v/>
      </c>
      <c r="C2956" t="str">
        <f>IF(D2956="","",IF(COUNTIF($D$2:D2956,D2956)&gt;1,"",SUMIFS(tbl_input[필요수량],tbl_input[집계키_청],D2956)))</f>
        <v/>
      </c>
      <c r="D2956" t="str">
        <f>IFERROR(INDEX(tbl_input[집계키_청],ROW()-1),"")</f>
        <v/>
      </c>
    </row>
    <row r="2957" spans="1:4" x14ac:dyDescent="0.4">
      <c r="A2957" t="str">
        <f t="shared" si="92"/>
        <v/>
      </c>
      <c r="B2957" t="str">
        <f t="shared" si="93"/>
        <v/>
      </c>
      <c r="C2957" t="str">
        <f>IF(D2957="","",IF(COUNTIF($D$2:D2957,D2957)&gt;1,"",SUMIFS(tbl_input[필요수량],tbl_input[집계키_청],D2957)))</f>
        <v/>
      </c>
      <c r="D2957" t="str">
        <f>IFERROR(INDEX(tbl_input[집계키_청],ROW()-1),"")</f>
        <v/>
      </c>
    </row>
    <row r="2958" spans="1:4" x14ac:dyDescent="0.4">
      <c r="A2958" t="str">
        <f t="shared" si="92"/>
        <v/>
      </c>
      <c r="B2958" t="str">
        <f t="shared" si="93"/>
        <v/>
      </c>
      <c r="C2958" t="str">
        <f>IF(D2958="","",IF(COUNTIF($D$2:D2958,D2958)&gt;1,"",SUMIFS(tbl_input[필요수량],tbl_input[집계키_청],D2958)))</f>
        <v/>
      </c>
      <c r="D2958" t="str">
        <f>IFERROR(INDEX(tbl_input[집계키_청],ROW()-1),"")</f>
        <v/>
      </c>
    </row>
    <row r="2959" spans="1:4" x14ac:dyDescent="0.4">
      <c r="A2959" t="str">
        <f t="shared" si="92"/>
        <v/>
      </c>
      <c r="B2959" t="str">
        <f t="shared" si="93"/>
        <v/>
      </c>
      <c r="C2959" t="str">
        <f>IF(D2959="","",IF(COUNTIF($D$2:D2959,D2959)&gt;1,"",SUMIFS(tbl_input[필요수량],tbl_input[집계키_청],D2959)))</f>
        <v/>
      </c>
      <c r="D2959" t="str">
        <f>IFERROR(INDEX(tbl_input[집계키_청],ROW()-1),"")</f>
        <v/>
      </c>
    </row>
    <row r="2960" spans="1:4" x14ac:dyDescent="0.4">
      <c r="A2960" t="str">
        <f t="shared" si="92"/>
        <v/>
      </c>
      <c r="B2960" t="str">
        <f t="shared" si="93"/>
        <v/>
      </c>
      <c r="C2960" t="str">
        <f>IF(D2960="","",IF(COUNTIF($D$2:D2960,D2960)&gt;1,"",SUMIFS(tbl_input[필요수량],tbl_input[집계키_청],D2960)))</f>
        <v/>
      </c>
      <c r="D2960" t="str">
        <f>IFERROR(INDEX(tbl_input[집계키_청],ROW()-1),"")</f>
        <v/>
      </c>
    </row>
    <row r="2961" spans="1:4" x14ac:dyDescent="0.4">
      <c r="A2961" t="str">
        <f t="shared" si="92"/>
        <v/>
      </c>
      <c r="B2961" t="str">
        <f t="shared" si="93"/>
        <v/>
      </c>
      <c r="C2961" t="str">
        <f>IF(D2961="","",IF(COUNTIF($D$2:D2961,D2961)&gt;1,"",SUMIFS(tbl_input[필요수량],tbl_input[집계키_청],D2961)))</f>
        <v/>
      </c>
      <c r="D2961" t="str">
        <f>IFERROR(INDEX(tbl_input[집계키_청],ROW()-1),"")</f>
        <v/>
      </c>
    </row>
    <row r="2962" spans="1:4" x14ac:dyDescent="0.4">
      <c r="A2962" t="str">
        <f t="shared" si="92"/>
        <v/>
      </c>
      <c r="B2962" t="str">
        <f t="shared" si="93"/>
        <v/>
      </c>
      <c r="C2962" t="str">
        <f>IF(D2962="","",IF(COUNTIF($D$2:D2962,D2962)&gt;1,"",SUMIFS(tbl_input[필요수량],tbl_input[집계키_청],D2962)))</f>
        <v/>
      </c>
      <c r="D2962" t="str">
        <f>IFERROR(INDEX(tbl_input[집계키_청],ROW()-1),"")</f>
        <v/>
      </c>
    </row>
    <row r="2963" spans="1:4" x14ac:dyDescent="0.4">
      <c r="A2963" t="str">
        <f t="shared" si="92"/>
        <v/>
      </c>
      <c r="B2963" t="str">
        <f t="shared" si="93"/>
        <v/>
      </c>
      <c r="C2963" t="str">
        <f>IF(D2963="","",IF(COUNTIF($D$2:D2963,D2963)&gt;1,"",SUMIFS(tbl_input[필요수량],tbl_input[집계키_청],D2963)))</f>
        <v/>
      </c>
      <c r="D2963" t="str">
        <f>IFERROR(INDEX(tbl_input[집계키_청],ROW()-1),"")</f>
        <v/>
      </c>
    </row>
    <row r="2964" spans="1:4" x14ac:dyDescent="0.4">
      <c r="A2964" t="str">
        <f t="shared" si="92"/>
        <v/>
      </c>
      <c r="B2964" t="str">
        <f t="shared" si="93"/>
        <v/>
      </c>
      <c r="C2964" t="str">
        <f>IF(D2964="","",IF(COUNTIF($D$2:D2964,D2964)&gt;1,"",SUMIFS(tbl_input[필요수량],tbl_input[집계키_청],D2964)))</f>
        <v/>
      </c>
      <c r="D2964" t="str">
        <f>IFERROR(INDEX(tbl_input[집계키_청],ROW()-1),"")</f>
        <v/>
      </c>
    </row>
    <row r="2965" spans="1:4" x14ac:dyDescent="0.4">
      <c r="A2965" t="str">
        <f t="shared" si="92"/>
        <v/>
      </c>
      <c r="B2965" t="str">
        <f t="shared" si="93"/>
        <v/>
      </c>
      <c r="C2965" t="str">
        <f>IF(D2965="","",IF(COUNTIF($D$2:D2965,D2965)&gt;1,"",SUMIFS(tbl_input[필요수량],tbl_input[집계키_청],D2965)))</f>
        <v/>
      </c>
      <c r="D2965" t="str">
        <f>IFERROR(INDEX(tbl_input[집계키_청],ROW()-1),"")</f>
        <v/>
      </c>
    </row>
    <row r="2966" spans="1:4" x14ac:dyDescent="0.4">
      <c r="A2966" t="str">
        <f t="shared" si="92"/>
        <v/>
      </c>
      <c r="B2966" t="str">
        <f t="shared" si="93"/>
        <v/>
      </c>
      <c r="C2966" t="str">
        <f>IF(D2966="","",IF(COUNTIF($D$2:D2966,D2966)&gt;1,"",SUMIFS(tbl_input[필요수량],tbl_input[집계키_청],D2966)))</f>
        <v/>
      </c>
      <c r="D2966" t="str">
        <f>IFERROR(INDEX(tbl_input[집계키_청],ROW()-1),"")</f>
        <v/>
      </c>
    </row>
    <row r="2967" spans="1:4" x14ac:dyDescent="0.4">
      <c r="A2967" t="str">
        <f t="shared" si="92"/>
        <v/>
      </c>
      <c r="B2967" t="str">
        <f t="shared" si="93"/>
        <v/>
      </c>
      <c r="C2967" t="str">
        <f>IF(D2967="","",IF(COUNTIF($D$2:D2967,D2967)&gt;1,"",SUMIFS(tbl_input[필요수량],tbl_input[집계키_청],D2967)))</f>
        <v/>
      </c>
      <c r="D2967" t="str">
        <f>IFERROR(INDEX(tbl_input[집계키_청],ROW()-1),"")</f>
        <v/>
      </c>
    </row>
    <row r="2968" spans="1:4" x14ac:dyDescent="0.4">
      <c r="A2968" t="str">
        <f t="shared" si="92"/>
        <v/>
      </c>
      <c r="B2968" t="str">
        <f t="shared" si="93"/>
        <v/>
      </c>
      <c r="C2968" t="str">
        <f>IF(D2968="","",IF(COUNTIF($D$2:D2968,D2968)&gt;1,"",SUMIFS(tbl_input[필요수량],tbl_input[집계키_청],D2968)))</f>
        <v/>
      </c>
      <c r="D2968" t="str">
        <f>IFERROR(INDEX(tbl_input[집계키_청],ROW()-1),"")</f>
        <v/>
      </c>
    </row>
    <row r="2969" spans="1:4" x14ac:dyDescent="0.4">
      <c r="A2969" t="str">
        <f t="shared" si="92"/>
        <v/>
      </c>
      <c r="B2969" t="str">
        <f t="shared" si="93"/>
        <v/>
      </c>
      <c r="C2969" t="str">
        <f>IF(D2969="","",IF(COUNTIF($D$2:D2969,D2969)&gt;1,"",SUMIFS(tbl_input[필요수량],tbl_input[집계키_청],D2969)))</f>
        <v/>
      </c>
      <c r="D2969" t="str">
        <f>IFERROR(INDEX(tbl_input[집계키_청],ROW()-1),"")</f>
        <v/>
      </c>
    </row>
    <row r="2970" spans="1:4" x14ac:dyDescent="0.4">
      <c r="A2970" t="str">
        <f t="shared" si="92"/>
        <v/>
      </c>
      <c r="B2970" t="str">
        <f t="shared" si="93"/>
        <v/>
      </c>
      <c r="C2970" t="str">
        <f>IF(D2970="","",IF(COUNTIF($D$2:D2970,D2970)&gt;1,"",SUMIFS(tbl_input[필요수량],tbl_input[집계키_청],D2970)))</f>
        <v/>
      </c>
      <c r="D2970" t="str">
        <f>IFERROR(INDEX(tbl_input[집계키_청],ROW()-1),"")</f>
        <v/>
      </c>
    </row>
    <row r="2971" spans="1:4" x14ac:dyDescent="0.4">
      <c r="A2971" t="str">
        <f t="shared" si="92"/>
        <v/>
      </c>
      <c r="B2971" t="str">
        <f t="shared" si="93"/>
        <v/>
      </c>
      <c r="C2971" t="str">
        <f>IF(D2971="","",IF(COUNTIF($D$2:D2971,D2971)&gt;1,"",SUMIFS(tbl_input[필요수량],tbl_input[집계키_청],D2971)))</f>
        <v/>
      </c>
      <c r="D2971" t="str">
        <f>IFERROR(INDEX(tbl_input[집계키_청],ROW()-1),"")</f>
        <v/>
      </c>
    </row>
    <row r="2972" spans="1:4" x14ac:dyDescent="0.4">
      <c r="A2972" t="str">
        <f t="shared" si="92"/>
        <v/>
      </c>
      <c r="B2972" t="str">
        <f t="shared" si="93"/>
        <v/>
      </c>
      <c r="C2972" t="str">
        <f>IF(D2972="","",IF(COUNTIF($D$2:D2972,D2972)&gt;1,"",SUMIFS(tbl_input[필요수량],tbl_input[집계키_청],D2972)))</f>
        <v/>
      </c>
      <c r="D2972" t="str">
        <f>IFERROR(INDEX(tbl_input[집계키_청],ROW()-1),"")</f>
        <v/>
      </c>
    </row>
    <row r="2973" spans="1:4" x14ac:dyDescent="0.4">
      <c r="A2973" t="str">
        <f t="shared" si="92"/>
        <v/>
      </c>
      <c r="B2973" t="str">
        <f t="shared" si="93"/>
        <v/>
      </c>
      <c r="C2973" t="str">
        <f>IF(D2973="","",IF(COUNTIF($D$2:D2973,D2973)&gt;1,"",SUMIFS(tbl_input[필요수량],tbl_input[집계키_청],D2973)))</f>
        <v/>
      </c>
      <c r="D2973" t="str">
        <f>IFERROR(INDEX(tbl_input[집계키_청],ROW()-1),"")</f>
        <v/>
      </c>
    </row>
    <row r="2974" spans="1:4" x14ac:dyDescent="0.4">
      <c r="A2974" t="str">
        <f t="shared" si="92"/>
        <v/>
      </c>
      <c r="B2974" t="str">
        <f t="shared" si="93"/>
        <v/>
      </c>
      <c r="C2974" t="str">
        <f>IF(D2974="","",IF(COUNTIF($D$2:D2974,D2974)&gt;1,"",SUMIFS(tbl_input[필요수량],tbl_input[집계키_청],D2974)))</f>
        <v/>
      </c>
      <c r="D2974" t="str">
        <f>IFERROR(INDEX(tbl_input[집계키_청],ROW()-1),"")</f>
        <v/>
      </c>
    </row>
    <row r="2975" spans="1:4" x14ac:dyDescent="0.4">
      <c r="A2975" t="str">
        <f t="shared" si="92"/>
        <v/>
      </c>
      <c r="B2975" t="str">
        <f t="shared" si="93"/>
        <v/>
      </c>
      <c r="C2975" t="str">
        <f>IF(D2975="","",IF(COUNTIF($D$2:D2975,D2975)&gt;1,"",SUMIFS(tbl_input[필요수량],tbl_input[집계키_청],D2975)))</f>
        <v/>
      </c>
      <c r="D2975" t="str">
        <f>IFERROR(INDEX(tbl_input[집계키_청],ROW()-1),"")</f>
        <v/>
      </c>
    </row>
    <row r="2976" spans="1:4" x14ac:dyDescent="0.4">
      <c r="A2976" t="str">
        <f t="shared" si="92"/>
        <v/>
      </c>
      <c r="B2976" t="str">
        <f t="shared" si="93"/>
        <v/>
      </c>
      <c r="C2976" t="str">
        <f>IF(D2976="","",IF(COUNTIF($D$2:D2976,D2976)&gt;1,"",SUMIFS(tbl_input[필요수량],tbl_input[집계키_청],D2976)))</f>
        <v/>
      </c>
      <c r="D2976" t="str">
        <f>IFERROR(INDEX(tbl_input[집계키_청],ROW()-1),"")</f>
        <v/>
      </c>
    </row>
    <row r="2977" spans="1:4" x14ac:dyDescent="0.4">
      <c r="A2977" t="str">
        <f t="shared" si="92"/>
        <v/>
      </c>
      <c r="B2977" t="str">
        <f t="shared" si="93"/>
        <v/>
      </c>
      <c r="C2977" t="str">
        <f>IF(D2977="","",IF(COUNTIF($D$2:D2977,D2977)&gt;1,"",SUMIFS(tbl_input[필요수량],tbl_input[집계키_청],D2977)))</f>
        <v/>
      </c>
      <c r="D2977" t="str">
        <f>IFERROR(INDEX(tbl_input[집계키_청],ROW()-1),"")</f>
        <v/>
      </c>
    </row>
    <row r="2978" spans="1:4" x14ac:dyDescent="0.4">
      <c r="A2978" t="str">
        <f t="shared" si="92"/>
        <v/>
      </c>
      <c r="B2978" t="str">
        <f t="shared" si="93"/>
        <v/>
      </c>
      <c r="C2978" t="str">
        <f>IF(D2978="","",IF(COUNTIF($D$2:D2978,D2978)&gt;1,"",SUMIFS(tbl_input[필요수량],tbl_input[집계키_청],D2978)))</f>
        <v/>
      </c>
      <c r="D2978" t="str">
        <f>IFERROR(INDEX(tbl_input[집계키_청],ROW()-1),"")</f>
        <v/>
      </c>
    </row>
    <row r="2979" spans="1:4" x14ac:dyDescent="0.4">
      <c r="A2979" t="str">
        <f t="shared" si="92"/>
        <v/>
      </c>
      <c r="B2979" t="str">
        <f t="shared" si="93"/>
        <v/>
      </c>
      <c r="C2979" t="str">
        <f>IF(D2979="","",IF(COUNTIF($D$2:D2979,D2979)&gt;1,"",SUMIFS(tbl_input[필요수량],tbl_input[집계키_청],D2979)))</f>
        <v/>
      </c>
      <c r="D2979" t="str">
        <f>IFERROR(INDEX(tbl_input[집계키_청],ROW()-1),"")</f>
        <v/>
      </c>
    </row>
    <row r="2980" spans="1:4" x14ac:dyDescent="0.4">
      <c r="A2980" t="str">
        <f t="shared" si="92"/>
        <v/>
      </c>
      <c r="B2980" t="str">
        <f t="shared" si="93"/>
        <v/>
      </c>
      <c r="C2980" t="str">
        <f>IF(D2980="","",IF(COUNTIF($D$2:D2980,D2980)&gt;1,"",SUMIFS(tbl_input[필요수량],tbl_input[집계키_청],D2980)))</f>
        <v/>
      </c>
      <c r="D2980" t="str">
        <f>IFERROR(INDEX(tbl_input[집계키_청],ROW()-1),"")</f>
        <v/>
      </c>
    </row>
    <row r="2981" spans="1:4" x14ac:dyDescent="0.4">
      <c r="A2981" t="str">
        <f t="shared" si="92"/>
        <v/>
      </c>
      <c r="B2981" t="str">
        <f t="shared" si="93"/>
        <v/>
      </c>
      <c r="C2981" t="str">
        <f>IF(D2981="","",IF(COUNTIF($D$2:D2981,D2981)&gt;1,"",SUMIFS(tbl_input[필요수량],tbl_input[집계키_청],D2981)))</f>
        <v/>
      </c>
      <c r="D2981" t="str">
        <f>IFERROR(INDEX(tbl_input[집계키_청],ROW()-1),"")</f>
        <v/>
      </c>
    </row>
    <row r="2982" spans="1:4" x14ac:dyDescent="0.4">
      <c r="A2982" t="str">
        <f t="shared" si="92"/>
        <v/>
      </c>
      <c r="B2982" t="str">
        <f t="shared" si="93"/>
        <v/>
      </c>
      <c r="C2982" t="str">
        <f>IF(D2982="","",IF(COUNTIF($D$2:D2982,D2982)&gt;1,"",SUMIFS(tbl_input[필요수량],tbl_input[집계키_청],D2982)))</f>
        <v/>
      </c>
      <c r="D2982" t="str">
        <f>IFERROR(INDEX(tbl_input[집계키_청],ROW()-1),"")</f>
        <v/>
      </c>
    </row>
    <row r="2983" spans="1:4" x14ac:dyDescent="0.4">
      <c r="A2983" t="str">
        <f t="shared" si="92"/>
        <v/>
      </c>
      <c r="B2983" t="str">
        <f t="shared" si="93"/>
        <v/>
      </c>
      <c r="C2983" t="str">
        <f>IF(D2983="","",IF(COUNTIF($D$2:D2983,D2983)&gt;1,"",SUMIFS(tbl_input[필요수량],tbl_input[집계키_청],D2983)))</f>
        <v/>
      </c>
      <c r="D2983" t="str">
        <f>IFERROR(INDEX(tbl_input[집계키_청],ROW()-1),"")</f>
        <v/>
      </c>
    </row>
    <row r="2984" spans="1:4" x14ac:dyDescent="0.4">
      <c r="A2984" t="str">
        <f t="shared" si="92"/>
        <v/>
      </c>
      <c r="B2984" t="str">
        <f t="shared" si="93"/>
        <v/>
      </c>
      <c r="C2984" t="str">
        <f>IF(D2984="","",IF(COUNTIF($D$2:D2984,D2984)&gt;1,"",SUMIFS(tbl_input[필요수량],tbl_input[집계키_청],D2984)))</f>
        <v/>
      </c>
      <c r="D2984" t="str">
        <f>IFERROR(INDEX(tbl_input[집계키_청],ROW()-1),"")</f>
        <v/>
      </c>
    </row>
    <row r="2985" spans="1:4" x14ac:dyDescent="0.4">
      <c r="A2985" t="str">
        <f t="shared" si="92"/>
        <v/>
      </c>
      <c r="B2985" t="str">
        <f t="shared" si="93"/>
        <v/>
      </c>
      <c r="C2985" t="str">
        <f>IF(D2985="","",IF(COUNTIF($D$2:D2985,D2985)&gt;1,"",SUMIFS(tbl_input[필요수량],tbl_input[집계키_청],D2985)))</f>
        <v/>
      </c>
      <c r="D2985" t="str">
        <f>IFERROR(INDEX(tbl_input[집계키_청],ROW()-1),"")</f>
        <v/>
      </c>
    </row>
    <row r="2986" spans="1:4" x14ac:dyDescent="0.4">
      <c r="A2986" t="str">
        <f t="shared" si="92"/>
        <v/>
      </c>
      <c r="B2986" t="str">
        <f t="shared" si="93"/>
        <v/>
      </c>
      <c r="C2986" t="str">
        <f>IF(D2986="","",IF(COUNTIF($D$2:D2986,D2986)&gt;1,"",SUMIFS(tbl_input[필요수량],tbl_input[집계키_청],D2986)))</f>
        <v/>
      </c>
      <c r="D2986" t="str">
        <f>IFERROR(INDEX(tbl_input[집계키_청],ROW()-1),"")</f>
        <v/>
      </c>
    </row>
    <row r="2987" spans="1:4" x14ac:dyDescent="0.4">
      <c r="A2987" t="str">
        <f t="shared" si="92"/>
        <v/>
      </c>
      <c r="B2987" t="str">
        <f t="shared" si="93"/>
        <v/>
      </c>
      <c r="C2987" t="str">
        <f>IF(D2987="","",IF(COUNTIF($D$2:D2987,D2987)&gt;1,"",SUMIFS(tbl_input[필요수량],tbl_input[집계키_청],D2987)))</f>
        <v/>
      </c>
      <c r="D2987" t="str">
        <f>IFERROR(INDEX(tbl_input[집계키_청],ROW()-1),"")</f>
        <v/>
      </c>
    </row>
    <row r="2988" spans="1:4" x14ac:dyDescent="0.4">
      <c r="A2988" t="str">
        <f t="shared" si="92"/>
        <v/>
      </c>
      <c r="B2988" t="str">
        <f t="shared" si="93"/>
        <v/>
      </c>
      <c r="C2988" t="str">
        <f>IF(D2988="","",IF(COUNTIF($D$2:D2988,D2988)&gt;1,"",SUMIFS(tbl_input[필요수량],tbl_input[집계키_청],D2988)))</f>
        <v/>
      </c>
      <c r="D2988" t="str">
        <f>IFERROR(INDEX(tbl_input[집계키_청],ROW()-1),"")</f>
        <v/>
      </c>
    </row>
    <row r="2989" spans="1:4" x14ac:dyDescent="0.4">
      <c r="A2989" t="str">
        <f t="shared" si="92"/>
        <v/>
      </c>
      <c r="B2989" t="str">
        <f t="shared" si="93"/>
        <v/>
      </c>
      <c r="C2989" t="str">
        <f>IF(D2989="","",IF(COUNTIF($D$2:D2989,D2989)&gt;1,"",SUMIFS(tbl_input[필요수량],tbl_input[집계키_청],D2989)))</f>
        <v/>
      </c>
      <c r="D2989" t="str">
        <f>IFERROR(INDEX(tbl_input[집계키_청],ROW()-1),"")</f>
        <v/>
      </c>
    </row>
    <row r="2990" spans="1:4" x14ac:dyDescent="0.4">
      <c r="A2990" t="str">
        <f t="shared" si="92"/>
        <v/>
      </c>
      <c r="B2990" t="str">
        <f t="shared" si="93"/>
        <v/>
      </c>
      <c r="C2990" t="str">
        <f>IF(D2990="","",IF(COUNTIF($D$2:D2990,D2990)&gt;1,"",SUMIFS(tbl_input[필요수량],tbl_input[집계키_청],D2990)))</f>
        <v/>
      </c>
      <c r="D2990" t="str">
        <f>IFERROR(INDEX(tbl_input[집계키_청],ROW()-1),"")</f>
        <v/>
      </c>
    </row>
    <row r="2991" spans="1:4" x14ac:dyDescent="0.4">
      <c r="A2991" t="str">
        <f t="shared" si="92"/>
        <v/>
      </c>
      <c r="B2991" t="str">
        <f t="shared" si="93"/>
        <v/>
      </c>
      <c r="C2991" t="str">
        <f>IF(D2991="","",IF(COUNTIF($D$2:D2991,D2991)&gt;1,"",SUMIFS(tbl_input[필요수량],tbl_input[집계키_청],D2991)))</f>
        <v/>
      </c>
      <c r="D2991" t="str">
        <f>IFERROR(INDEX(tbl_input[집계키_청],ROW()-1),"")</f>
        <v/>
      </c>
    </row>
    <row r="2992" spans="1:4" x14ac:dyDescent="0.4">
      <c r="A2992" t="str">
        <f t="shared" si="92"/>
        <v/>
      </c>
      <c r="B2992" t="str">
        <f t="shared" si="93"/>
        <v/>
      </c>
      <c r="C2992" t="str">
        <f>IF(D2992="","",IF(COUNTIF($D$2:D2992,D2992)&gt;1,"",SUMIFS(tbl_input[필요수량],tbl_input[집계키_청],D2992)))</f>
        <v/>
      </c>
      <c r="D2992" t="str">
        <f>IFERROR(INDEX(tbl_input[집계키_청],ROW()-1),"")</f>
        <v/>
      </c>
    </row>
    <row r="2993" spans="1:4" x14ac:dyDescent="0.4">
      <c r="A2993" t="str">
        <f t="shared" si="92"/>
        <v/>
      </c>
      <c r="B2993" t="str">
        <f t="shared" si="93"/>
        <v/>
      </c>
      <c r="C2993" t="str">
        <f>IF(D2993="","",IF(COUNTIF($D$2:D2993,D2993)&gt;1,"",SUMIFS(tbl_input[필요수량],tbl_input[집계키_청],D2993)))</f>
        <v/>
      </c>
      <c r="D2993" t="str">
        <f>IFERROR(INDEX(tbl_input[집계키_청],ROW()-1),"")</f>
        <v/>
      </c>
    </row>
    <row r="2994" spans="1:4" x14ac:dyDescent="0.4">
      <c r="A2994" t="str">
        <f t="shared" si="92"/>
        <v/>
      </c>
      <c r="B2994" t="str">
        <f t="shared" si="93"/>
        <v/>
      </c>
      <c r="C2994" t="str">
        <f>IF(D2994="","",IF(COUNTIF($D$2:D2994,D2994)&gt;1,"",SUMIFS(tbl_input[필요수량],tbl_input[집계키_청],D2994)))</f>
        <v/>
      </c>
      <c r="D2994" t="str">
        <f>IFERROR(INDEX(tbl_input[집계키_청],ROW()-1),"")</f>
        <v/>
      </c>
    </row>
    <row r="2995" spans="1:4" x14ac:dyDescent="0.4">
      <c r="A2995" t="str">
        <f t="shared" si="92"/>
        <v/>
      </c>
      <c r="B2995" t="str">
        <f t="shared" si="93"/>
        <v/>
      </c>
      <c r="C2995" t="str">
        <f>IF(D2995="","",IF(COUNTIF($D$2:D2995,D2995)&gt;1,"",SUMIFS(tbl_input[필요수량],tbl_input[집계키_청],D2995)))</f>
        <v/>
      </c>
      <c r="D2995" t="str">
        <f>IFERROR(INDEX(tbl_input[집계키_청],ROW()-1),"")</f>
        <v/>
      </c>
    </row>
    <row r="2996" spans="1:4" x14ac:dyDescent="0.4">
      <c r="A2996" t="str">
        <f t="shared" si="92"/>
        <v/>
      </c>
      <c r="B2996" t="str">
        <f t="shared" si="93"/>
        <v/>
      </c>
      <c r="C2996" t="str">
        <f>IF(D2996="","",IF(COUNTIF($D$2:D2996,D2996)&gt;1,"",SUMIFS(tbl_input[필요수량],tbl_input[집계키_청],D2996)))</f>
        <v/>
      </c>
      <c r="D2996" t="str">
        <f>IFERROR(INDEX(tbl_input[집계키_청],ROW()-1),"")</f>
        <v/>
      </c>
    </row>
    <row r="2997" spans="1:4" x14ac:dyDescent="0.4">
      <c r="A2997" t="str">
        <f t="shared" si="92"/>
        <v/>
      </c>
      <c r="B2997" t="str">
        <f t="shared" si="93"/>
        <v/>
      </c>
      <c r="C2997" t="str">
        <f>IF(D2997="","",IF(COUNTIF($D$2:D2997,D2997)&gt;1,"",SUMIFS(tbl_input[필요수량],tbl_input[집계키_청],D2997)))</f>
        <v/>
      </c>
      <c r="D2997" t="str">
        <f>IFERROR(INDEX(tbl_input[집계키_청],ROW()-1),"")</f>
        <v/>
      </c>
    </row>
    <row r="2998" spans="1:4" x14ac:dyDescent="0.4">
      <c r="A2998" t="str">
        <f t="shared" si="92"/>
        <v/>
      </c>
      <c r="B2998" t="str">
        <f t="shared" si="93"/>
        <v/>
      </c>
      <c r="C2998" t="str">
        <f>IF(D2998="","",IF(COUNTIF($D$2:D2998,D2998)&gt;1,"",SUMIFS(tbl_input[필요수량],tbl_input[집계키_청],D2998)))</f>
        <v/>
      </c>
      <c r="D2998" t="str">
        <f>IFERROR(INDEX(tbl_input[집계키_청],ROW()-1),"")</f>
        <v/>
      </c>
    </row>
    <row r="2999" spans="1:4" x14ac:dyDescent="0.4">
      <c r="A2999" t="str">
        <f t="shared" si="92"/>
        <v/>
      </c>
      <c r="B2999" t="str">
        <f t="shared" si="93"/>
        <v/>
      </c>
      <c r="C2999" t="str">
        <f>IF(D2999="","",IF(COUNTIF($D$2:D2999,D2999)&gt;1,"",SUMIFS(tbl_input[필요수량],tbl_input[집계키_청],D2999)))</f>
        <v/>
      </c>
      <c r="D2999" t="str">
        <f>IFERROR(INDEX(tbl_input[집계키_청],ROW()-1),"")</f>
        <v/>
      </c>
    </row>
    <row r="3000" spans="1:4" x14ac:dyDescent="0.4">
      <c r="A3000" t="str">
        <f t="shared" si="92"/>
        <v/>
      </c>
      <c r="B3000" t="str">
        <f t="shared" si="93"/>
        <v/>
      </c>
      <c r="C3000" t="str">
        <f>IF(D3000="","",IF(COUNTIF($D$2:D3000,D3000)&gt;1,"",SUMIFS(tbl_input[필요수량],tbl_input[집계키_청],D3000)))</f>
        <v/>
      </c>
      <c r="D3000" t="str">
        <f>IFERROR(INDEX(tbl_input[집계키_청],ROW()-1),"")</f>
        <v/>
      </c>
    </row>
    <row r="3001" spans="1:4" x14ac:dyDescent="0.4">
      <c r="A3001" t="str">
        <f t="shared" si="92"/>
        <v/>
      </c>
      <c r="B3001" t="str">
        <f t="shared" si="93"/>
        <v/>
      </c>
      <c r="C3001" t="str">
        <f>IF(D3001="","",IF(COUNTIF($D$2:D3001,D3001)&gt;1,"",SUMIFS(tbl_input[필요수량],tbl_input[집계키_청],D3001)))</f>
        <v/>
      </c>
      <c r="D3001" t="str">
        <f>IFERROR(INDEX(tbl_input[집계키_청],ROW()-1),"")</f>
        <v/>
      </c>
    </row>
    <row r="3002" spans="1:4" x14ac:dyDescent="0.4">
      <c r="A3002" t="str">
        <f t="shared" si="92"/>
        <v/>
      </c>
      <c r="B3002" t="str">
        <f t="shared" si="93"/>
        <v/>
      </c>
      <c r="C3002" t="str">
        <f>IF(D3002="","",IF(COUNTIF($D$2:D3002,D3002)&gt;1,"",SUMIFS(tbl_input[필요수량],tbl_input[집계키_청],D3002)))</f>
        <v/>
      </c>
      <c r="D3002" t="str">
        <f>IFERROR(INDEX(tbl_input[집계키_청],ROW()-1),"")</f>
        <v/>
      </c>
    </row>
    <row r="3003" spans="1:4" x14ac:dyDescent="0.4">
      <c r="A3003" t="str">
        <f t="shared" si="92"/>
        <v/>
      </c>
      <c r="B3003" t="str">
        <f t="shared" si="93"/>
        <v/>
      </c>
      <c r="C3003" t="str">
        <f>IF(D3003="","",IF(COUNTIF($D$2:D3003,D3003)&gt;1,"",SUMIFS(tbl_input[필요수량],tbl_input[집계키_청],D3003)))</f>
        <v/>
      </c>
      <c r="D3003" t="str">
        <f>IFERROR(INDEX(tbl_input[집계키_청],ROW()-1),"")</f>
        <v/>
      </c>
    </row>
    <row r="3004" spans="1:4" x14ac:dyDescent="0.4">
      <c r="A3004" t="str">
        <f t="shared" si="92"/>
        <v/>
      </c>
      <c r="B3004" t="str">
        <f t="shared" si="93"/>
        <v/>
      </c>
      <c r="C3004" t="str">
        <f>IF(D3004="","",IF(COUNTIF($D$2:D3004,D3004)&gt;1,"",SUMIFS(tbl_input[필요수량],tbl_input[집계키_청],D3004)))</f>
        <v/>
      </c>
      <c r="D3004" t="str">
        <f>IFERROR(INDEX(tbl_input[집계키_청],ROW()-1),"")</f>
        <v/>
      </c>
    </row>
    <row r="3005" spans="1:4" x14ac:dyDescent="0.4">
      <c r="A3005" t="str">
        <f t="shared" si="92"/>
        <v/>
      </c>
      <c r="B3005" t="str">
        <f t="shared" si="93"/>
        <v/>
      </c>
      <c r="C3005" t="str">
        <f>IF(D3005="","",IF(COUNTIF($D$2:D3005,D3005)&gt;1,"",SUMIFS(tbl_input[필요수량],tbl_input[집계키_청],D3005)))</f>
        <v/>
      </c>
      <c r="D3005" t="str">
        <f>IFERROR(INDEX(tbl_input[집계키_청],ROW()-1),"")</f>
        <v/>
      </c>
    </row>
    <row r="3006" spans="1:4" x14ac:dyDescent="0.4">
      <c r="A3006" t="str">
        <f t="shared" si="92"/>
        <v/>
      </c>
      <c r="B3006" t="str">
        <f t="shared" si="93"/>
        <v/>
      </c>
      <c r="C3006" t="str">
        <f>IF(D3006="","",IF(COUNTIF($D$2:D3006,D3006)&gt;1,"",SUMIFS(tbl_input[필요수량],tbl_input[집계키_청],D3006)))</f>
        <v/>
      </c>
      <c r="D3006" t="str">
        <f>IFERROR(INDEX(tbl_input[집계키_청],ROW()-1),"")</f>
        <v/>
      </c>
    </row>
    <row r="3007" spans="1:4" x14ac:dyDescent="0.4">
      <c r="A3007" t="str">
        <f t="shared" si="92"/>
        <v/>
      </c>
      <c r="B3007" t="str">
        <f t="shared" si="93"/>
        <v/>
      </c>
      <c r="C3007" t="str">
        <f>IF(D3007="","",IF(COUNTIF($D$2:D3007,D3007)&gt;1,"",SUMIFS(tbl_input[필요수량],tbl_input[집계키_청],D3007)))</f>
        <v/>
      </c>
      <c r="D3007" t="str">
        <f>IFERROR(INDEX(tbl_input[집계키_청],ROW()-1),"")</f>
        <v/>
      </c>
    </row>
    <row r="3008" spans="1:4" x14ac:dyDescent="0.4">
      <c r="A3008" t="str">
        <f t="shared" si="92"/>
        <v/>
      </c>
      <c r="B3008" t="str">
        <f t="shared" si="93"/>
        <v/>
      </c>
      <c r="C3008" t="str">
        <f>IF(D3008="","",IF(COUNTIF($D$2:D3008,D3008)&gt;1,"",SUMIFS(tbl_input[필요수량],tbl_input[집계키_청],D3008)))</f>
        <v/>
      </c>
      <c r="D3008" t="str">
        <f>IFERROR(INDEX(tbl_input[집계키_청],ROW()-1),"")</f>
        <v/>
      </c>
    </row>
    <row r="3009" spans="1:4" x14ac:dyDescent="0.4">
      <c r="A3009" t="str">
        <f t="shared" si="92"/>
        <v/>
      </c>
      <c r="B3009" t="str">
        <f t="shared" si="93"/>
        <v/>
      </c>
      <c r="C3009" t="str">
        <f>IF(D3009="","",IF(COUNTIF($D$2:D3009,D3009)&gt;1,"",SUMIFS(tbl_input[필요수량],tbl_input[집계키_청],D3009)))</f>
        <v/>
      </c>
      <c r="D3009" t="str">
        <f>IFERROR(INDEX(tbl_input[집계키_청],ROW()-1),"")</f>
        <v/>
      </c>
    </row>
    <row r="3010" spans="1:4" x14ac:dyDescent="0.4">
      <c r="A3010" t="str">
        <f t="shared" ref="A3010:A3073" si="94">IF(D3010="","",LEFT(D3010,FIND("♦",D3010)-1))</f>
        <v/>
      </c>
      <c r="B3010" t="str">
        <f t="shared" ref="B3010:B3073" si="95">IF(D3010="","",MID(D3010,FIND("♦",D3010)+1,999))</f>
        <v/>
      </c>
      <c r="C3010" t="str">
        <f>IF(D3010="","",IF(COUNTIF($D$2:D3010,D3010)&gt;1,"",SUMIFS(tbl_input[필요수량],tbl_input[집계키_청],D3010)))</f>
        <v/>
      </c>
      <c r="D3010" t="str">
        <f>IFERROR(INDEX(tbl_input[집계키_청],ROW()-1),"")</f>
        <v/>
      </c>
    </row>
    <row r="3011" spans="1:4" x14ac:dyDescent="0.4">
      <c r="A3011" t="str">
        <f t="shared" si="94"/>
        <v/>
      </c>
      <c r="B3011" t="str">
        <f t="shared" si="95"/>
        <v/>
      </c>
      <c r="C3011" t="str">
        <f>IF(D3011="","",IF(COUNTIF($D$2:D3011,D3011)&gt;1,"",SUMIFS(tbl_input[필요수량],tbl_input[집계키_청],D3011)))</f>
        <v/>
      </c>
      <c r="D3011" t="str">
        <f>IFERROR(INDEX(tbl_input[집계키_청],ROW()-1),"")</f>
        <v/>
      </c>
    </row>
    <row r="3012" spans="1:4" x14ac:dyDescent="0.4">
      <c r="A3012" t="str">
        <f t="shared" si="94"/>
        <v/>
      </c>
      <c r="B3012" t="str">
        <f t="shared" si="95"/>
        <v/>
      </c>
      <c r="C3012" t="str">
        <f>IF(D3012="","",IF(COUNTIF($D$2:D3012,D3012)&gt;1,"",SUMIFS(tbl_input[필요수량],tbl_input[집계키_청],D3012)))</f>
        <v/>
      </c>
      <c r="D3012" t="str">
        <f>IFERROR(INDEX(tbl_input[집계키_청],ROW()-1),"")</f>
        <v/>
      </c>
    </row>
    <row r="3013" spans="1:4" x14ac:dyDescent="0.4">
      <c r="A3013" t="str">
        <f t="shared" si="94"/>
        <v/>
      </c>
      <c r="B3013" t="str">
        <f t="shared" si="95"/>
        <v/>
      </c>
      <c r="C3013" t="str">
        <f>IF(D3013="","",IF(COUNTIF($D$2:D3013,D3013)&gt;1,"",SUMIFS(tbl_input[필요수량],tbl_input[집계키_청],D3013)))</f>
        <v/>
      </c>
      <c r="D3013" t="str">
        <f>IFERROR(INDEX(tbl_input[집계키_청],ROW()-1),"")</f>
        <v/>
      </c>
    </row>
    <row r="3014" spans="1:4" x14ac:dyDescent="0.4">
      <c r="A3014" t="str">
        <f t="shared" si="94"/>
        <v/>
      </c>
      <c r="B3014" t="str">
        <f t="shared" si="95"/>
        <v/>
      </c>
      <c r="C3014" t="str">
        <f>IF(D3014="","",IF(COUNTIF($D$2:D3014,D3014)&gt;1,"",SUMIFS(tbl_input[필요수량],tbl_input[집계키_청],D3014)))</f>
        <v/>
      </c>
      <c r="D3014" t="str">
        <f>IFERROR(INDEX(tbl_input[집계키_청],ROW()-1),"")</f>
        <v/>
      </c>
    </row>
    <row r="3015" spans="1:4" x14ac:dyDescent="0.4">
      <c r="A3015" t="str">
        <f t="shared" si="94"/>
        <v/>
      </c>
      <c r="B3015" t="str">
        <f t="shared" si="95"/>
        <v/>
      </c>
      <c r="C3015" t="str">
        <f>IF(D3015="","",IF(COUNTIF($D$2:D3015,D3015)&gt;1,"",SUMIFS(tbl_input[필요수량],tbl_input[집계키_청],D3015)))</f>
        <v/>
      </c>
      <c r="D3015" t="str">
        <f>IFERROR(INDEX(tbl_input[집계키_청],ROW()-1),"")</f>
        <v/>
      </c>
    </row>
    <row r="3016" spans="1:4" x14ac:dyDescent="0.4">
      <c r="A3016" t="str">
        <f t="shared" si="94"/>
        <v/>
      </c>
      <c r="B3016" t="str">
        <f t="shared" si="95"/>
        <v/>
      </c>
      <c r="C3016" t="str">
        <f>IF(D3016="","",IF(COUNTIF($D$2:D3016,D3016)&gt;1,"",SUMIFS(tbl_input[필요수량],tbl_input[집계키_청],D3016)))</f>
        <v/>
      </c>
      <c r="D3016" t="str">
        <f>IFERROR(INDEX(tbl_input[집계키_청],ROW()-1),"")</f>
        <v/>
      </c>
    </row>
    <row r="3017" spans="1:4" x14ac:dyDescent="0.4">
      <c r="A3017" t="str">
        <f t="shared" si="94"/>
        <v/>
      </c>
      <c r="B3017" t="str">
        <f t="shared" si="95"/>
        <v/>
      </c>
      <c r="C3017" t="str">
        <f>IF(D3017="","",IF(COUNTIF($D$2:D3017,D3017)&gt;1,"",SUMIFS(tbl_input[필요수량],tbl_input[집계키_청],D3017)))</f>
        <v/>
      </c>
      <c r="D3017" t="str">
        <f>IFERROR(INDEX(tbl_input[집계키_청],ROW()-1),"")</f>
        <v/>
      </c>
    </row>
    <row r="3018" spans="1:4" x14ac:dyDescent="0.4">
      <c r="A3018" t="str">
        <f t="shared" si="94"/>
        <v/>
      </c>
      <c r="B3018" t="str">
        <f t="shared" si="95"/>
        <v/>
      </c>
      <c r="C3018" t="str">
        <f>IF(D3018="","",IF(COUNTIF($D$2:D3018,D3018)&gt;1,"",SUMIFS(tbl_input[필요수량],tbl_input[집계키_청],D3018)))</f>
        <v/>
      </c>
      <c r="D3018" t="str">
        <f>IFERROR(INDEX(tbl_input[집계키_청],ROW()-1),"")</f>
        <v/>
      </c>
    </row>
    <row r="3019" spans="1:4" x14ac:dyDescent="0.4">
      <c r="A3019" t="str">
        <f t="shared" si="94"/>
        <v/>
      </c>
      <c r="B3019" t="str">
        <f t="shared" si="95"/>
        <v/>
      </c>
      <c r="C3019" t="str">
        <f>IF(D3019="","",IF(COUNTIF($D$2:D3019,D3019)&gt;1,"",SUMIFS(tbl_input[필요수량],tbl_input[집계키_청],D3019)))</f>
        <v/>
      </c>
      <c r="D3019" t="str">
        <f>IFERROR(INDEX(tbl_input[집계키_청],ROW()-1),"")</f>
        <v/>
      </c>
    </row>
    <row r="3020" spans="1:4" x14ac:dyDescent="0.4">
      <c r="A3020" t="str">
        <f t="shared" si="94"/>
        <v/>
      </c>
      <c r="B3020" t="str">
        <f t="shared" si="95"/>
        <v/>
      </c>
      <c r="C3020" t="str">
        <f>IF(D3020="","",IF(COUNTIF($D$2:D3020,D3020)&gt;1,"",SUMIFS(tbl_input[필요수량],tbl_input[집계키_청],D3020)))</f>
        <v/>
      </c>
      <c r="D3020" t="str">
        <f>IFERROR(INDEX(tbl_input[집계키_청],ROW()-1),"")</f>
        <v/>
      </c>
    </row>
    <row r="3021" spans="1:4" x14ac:dyDescent="0.4">
      <c r="A3021" t="str">
        <f t="shared" si="94"/>
        <v/>
      </c>
      <c r="B3021" t="str">
        <f t="shared" si="95"/>
        <v/>
      </c>
      <c r="C3021" t="str">
        <f>IF(D3021="","",IF(COUNTIF($D$2:D3021,D3021)&gt;1,"",SUMIFS(tbl_input[필요수량],tbl_input[집계키_청],D3021)))</f>
        <v/>
      </c>
      <c r="D3021" t="str">
        <f>IFERROR(INDEX(tbl_input[집계키_청],ROW()-1),"")</f>
        <v/>
      </c>
    </row>
    <row r="3022" spans="1:4" x14ac:dyDescent="0.4">
      <c r="A3022" t="str">
        <f t="shared" si="94"/>
        <v/>
      </c>
      <c r="B3022" t="str">
        <f t="shared" si="95"/>
        <v/>
      </c>
      <c r="C3022" t="str">
        <f>IF(D3022="","",IF(COUNTIF($D$2:D3022,D3022)&gt;1,"",SUMIFS(tbl_input[필요수량],tbl_input[집계키_청],D3022)))</f>
        <v/>
      </c>
      <c r="D3022" t="str">
        <f>IFERROR(INDEX(tbl_input[집계키_청],ROW()-1),"")</f>
        <v/>
      </c>
    </row>
    <row r="3023" spans="1:4" x14ac:dyDescent="0.4">
      <c r="A3023" t="str">
        <f t="shared" si="94"/>
        <v/>
      </c>
      <c r="B3023" t="str">
        <f t="shared" si="95"/>
        <v/>
      </c>
      <c r="C3023" t="str">
        <f>IF(D3023="","",IF(COUNTIF($D$2:D3023,D3023)&gt;1,"",SUMIFS(tbl_input[필요수량],tbl_input[집계키_청],D3023)))</f>
        <v/>
      </c>
      <c r="D3023" t="str">
        <f>IFERROR(INDEX(tbl_input[집계키_청],ROW()-1),"")</f>
        <v/>
      </c>
    </row>
    <row r="3024" spans="1:4" x14ac:dyDescent="0.4">
      <c r="A3024" t="str">
        <f t="shared" si="94"/>
        <v/>
      </c>
      <c r="B3024" t="str">
        <f t="shared" si="95"/>
        <v/>
      </c>
      <c r="C3024" t="str">
        <f>IF(D3024="","",IF(COUNTIF($D$2:D3024,D3024)&gt;1,"",SUMIFS(tbl_input[필요수량],tbl_input[집계키_청],D3024)))</f>
        <v/>
      </c>
      <c r="D3024" t="str">
        <f>IFERROR(INDEX(tbl_input[집계키_청],ROW()-1),"")</f>
        <v/>
      </c>
    </row>
    <row r="3025" spans="1:4" x14ac:dyDescent="0.4">
      <c r="A3025" t="str">
        <f t="shared" si="94"/>
        <v/>
      </c>
      <c r="B3025" t="str">
        <f t="shared" si="95"/>
        <v/>
      </c>
      <c r="C3025" t="str">
        <f>IF(D3025="","",IF(COUNTIF($D$2:D3025,D3025)&gt;1,"",SUMIFS(tbl_input[필요수량],tbl_input[집계키_청],D3025)))</f>
        <v/>
      </c>
      <c r="D3025" t="str">
        <f>IFERROR(INDEX(tbl_input[집계키_청],ROW()-1),"")</f>
        <v/>
      </c>
    </row>
    <row r="3026" spans="1:4" x14ac:dyDescent="0.4">
      <c r="A3026" t="str">
        <f t="shared" si="94"/>
        <v/>
      </c>
      <c r="B3026" t="str">
        <f t="shared" si="95"/>
        <v/>
      </c>
      <c r="C3026" t="str">
        <f>IF(D3026="","",IF(COUNTIF($D$2:D3026,D3026)&gt;1,"",SUMIFS(tbl_input[필요수량],tbl_input[집계키_청],D3026)))</f>
        <v/>
      </c>
      <c r="D3026" t="str">
        <f>IFERROR(INDEX(tbl_input[집계키_청],ROW()-1),"")</f>
        <v/>
      </c>
    </row>
    <row r="3027" spans="1:4" x14ac:dyDescent="0.4">
      <c r="A3027" t="str">
        <f t="shared" si="94"/>
        <v/>
      </c>
      <c r="B3027" t="str">
        <f t="shared" si="95"/>
        <v/>
      </c>
      <c r="C3027" t="str">
        <f>IF(D3027="","",IF(COUNTIF($D$2:D3027,D3027)&gt;1,"",SUMIFS(tbl_input[필요수량],tbl_input[집계키_청],D3027)))</f>
        <v/>
      </c>
      <c r="D3027" t="str">
        <f>IFERROR(INDEX(tbl_input[집계키_청],ROW()-1),"")</f>
        <v/>
      </c>
    </row>
    <row r="3028" spans="1:4" x14ac:dyDescent="0.4">
      <c r="A3028" t="str">
        <f t="shared" si="94"/>
        <v/>
      </c>
      <c r="B3028" t="str">
        <f t="shared" si="95"/>
        <v/>
      </c>
      <c r="C3028" t="str">
        <f>IF(D3028="","",IF(COUNTIF($D$2:D3028,D3028)&gt;1,"",SUMIFS(tbl_input[필요수량],tbl_input[집계키_청],D3028)))</f>
        <v/>
      </c>
      <c r="D3028" t="str">
        <f>IFERROR(INDEX(tbl_input[집계키_청],ROW()-1),"")</f>
        <v/>
      </c>
    </row>
    <row r="3029" spans="1:4" x14ac:dyDescent="0.4">
      <c r="A3029" t="str">
        <f t="shared" si="94"/>
        <v/>
      </c>
      <c r="B3029" t="str">
        <f t="shared" si="95"/>
        <v/>
      </c>
      <c r="C3029" t="str">
        <f>IF(D3029="","",IF(COUNTIF($D$2:D3029,D3029)&gt;1,"",SUMIFS(tbl_input[필요수량],tbl_input[집계키_청],D3029)))</f>
        <v/>
      </c>
      <c r="D3029" t="str">
        <f>IFERROR(INDEX(tbl_input[집계키_청],ROW()-1),"")</f>
        <v/>
      </c>
    </row>
    <row r="3030" spans="1:4" x14ac:dyDescent="0.4">
      <c r="A3030" t="str">
        <f t="shared" si="94"/>
        <v/>
      </c>
      <c r="B3030" t="str">
        <f t="shared" si="95"/>
        <v/>
      </c>
      <c r="C3030" t="str">
        <f>IF(D3030="","",IF(COUNTIF($D$2:D3030,D3030)&gt;1,"",SUMIFS(tbl_input[필요수량],tbl_input[집계키_청],D3030)))</f>
        <v/>
      </c>
      <c r="D3030" t="str">
        <f>IFERROR(INDEX(tbl_input[집계키_청],ROW()-1),"")</f>
        <v/>
      </c>
    </row>
    <row r="3031" spans="1:4" x14ac:dyDescent="0.4">
      <c r="A3031" t="str">
        <f t="shared" si="94"/>
        <v/>
      </c>
      <c r="B3031" t="str">
        <f t="shared" si="95"/>
        <v/>
      </c>
      <c r="C3031" t="str">
        <f>IF(D3031="","",IF(COUNTIF($D$2:D3031,D3031)&gt;1,"",SUMIFS(tbl_input[필요수량],tbl_input[집계키_청],D3031)))</f>
        <v/>
      </c>
      <c r="D3031" t="str">
        <f>IFERROR(INDEX(tbl_input[집계키_청],ROW()-1),"")</f>
        <v/>
      </c>
    </row>
    <row r="3032" spans="1:4" x14ac:dyDescent="0.4">
      <c r="A3032" t="str">
        <f t="shared" si="94"/>
        <v/>
      </c>
      <c r="B3032" t="str">
        <f t="shared" si="95"/>
        <v/>
      </c>
      <c r="C3032" t="str">
        <f>IF(D3032="","",IF(COUNTIF($D$2:D3032,D3032)&gt;1,"",SUMIFS(tbl_input[필요수량],tbl_input[집계키_청],D3032)))</f>
        <v/>
      </c>
      <c r="D3032" t="str">
        <f>IFERROR(INDEX(tbl_input[집계키_청],ROW()-1),"")</f>
        <v/>
      </c>
    </row>
    <row r="3033" spans="1:4" x14ac:dyDescent="0.4">
      <c r="A3033" t="str">
        <f t="shared" si="94"/>
        <v/>
      </c>
      <c r="B3033" t="str">
        <f t="shared" si="95"/>
        <v/>
      </c>
      <c r="C3033" t="str">
        <f>IF(D3033="","",IF(COUNTIF($D$2:D3033,D3033)&gt;1,"",SUMIFS(tbl_input[필요수량],tbl_input[집계키_청],D3033)))</f>
        <v/>
      </c>
      <c r="D3033" t="str">
        <f>IFERROR(INDEX(tbl_input[집계키_청],ROW()-1),"")</f>
        <v/>
      </c>
    </row>
    <row r="3034" spans="1:4" x14ac:dyDescent="0.4">
      <c r="A3034" t="str">
        <f t="shared" si="94"/>
        <v/>
      </c>
      <c r="B3034" t="str">
        <f t="shared" si="95"/>
        <v/>
      </c>
      <c r="C3034" t="str">
        <f>IF(D3034="","",IF(COUNTIF($D$2:D3034,D3034)&gt;1,"",SUMIFS(tbl_input[필요수량],tbl_input[집계키_청],D3034)))</f>
        <v/>
      </c>
      <c r="D3034" t="str">
        <f>IFERROR(INDEX(tbl_input[집계키_청],ROW()-1),"")</f>
        <v/>
      </c>
    </row>
    <row r="3035" spans="1:4" x14ac:dyDescent="0.4">
      <c r="A3035" t="str">
        <f t="shared" si="94"/>
        <v/>
      </c>
      <c r="B3035" t="str">
        <f t="shared" si="95"/>
        <v/>
      </c>
      <c r="C3035" t="str">
        <f>IF(D3035="","",IF(COUNTIF($D$2:D3035,D3035)&gt;1,"",SUMIFS(tbl_input[필요수량],tbl_input[집계키_청],D3035)))</f>
        <v/>
      </c>
      <c r="D3035" t="str">
        <f>IFERROR(INDEX(tbl_input[집계키_청],ROW()-1),"")</f>
        <v/>
      </c>
    </row>
    <row r="3036" spans="1:4" x14ac:dyDescent="0.4">
      <c r="A3036" t="str">
        <f t="shared" si="94"/>
        <v/>
      </c>
      <c r="B3036" t="str">
        <f t="shared" si="95"/>
        <v/>
      </c>
      <c r="C3036" t="str">
        <f>IF(D3036="","",IF(COUNTIF($D$2:D3036,D3036)&gt;1,"",SUMIFS(tbl_input[필요수량],tbl_input[집계키_청],D3036)))</f>
        <v/>
      </c>
      <c r="D3036" t="str">
        <f>IFERROR(INDEX(tbl_input[집계키_청],ROW()-1),"")</f>
        <v/>
      </c>
    </row>
    <row r="3037" spans="1:4" x14ac:dyDescent="0.4">
      <c r="A3037" t="str">
        <f t="shared" si="94"/>
        <v/>
      </c>
      <c r="B3037" t="str">
        <f t="shared" si="95"/>
        <v/>
      </c>
      <c r="C3037" t="str">
        <f>IF(D3037="","",IF(COUNTIF($D$2:D3037,D3037)&gt;1,"",SUMIFS(tbl_input[필요수량],tbl_input[집계키_청],D3037)))</f>
        <v/>
      </c>
      <c r="D3037" t="str">
        <f>IFERROR(INDEX(tbl_input[집계키_청],ROW()-1),"")</f>
        <v/>
      </c>
    </row>
    <row r="3038" spans="1:4" x14ac:dyDescent="0.4">
      <c r="A3038" t="str">
        <f t="shared" si="94"/>
        <v/>
      </c>
      <c r="B3038" t="str">
        <f t="shared" si="95"/>
        <v/>
      </c>
      <c r="C3038" t="str">
        <f>IF(D3038="","",IF(COUNTIF($D$2:D3038,D3038)&gt;1,"",SUMIFS(tbl_input[필요수량],tbl_input[집계키_청],D3038)))</f>
        <v/>
      </c>
      <c r="D3038" t="str">
        <f>IFERROR(INDEX(tbl_input[집계키_청],ROW()-1),"")</f>
        <v/>
      </c>
    </row>
    <row r="3039" spans="1:4" x14ac:dyDescent="0.4">
      <c r="A3039" t="str">
        <f t="shared" si="94"/>
        <v/>
      </c>
      <c r="B3039" t="str">
        <f t="shared" si="95"/>
        <v/>
      </c>
      <c r="C3039" t="str">
        <f>IF(D3039="","",IF(COUNTIF($D$2:D3039,D3039)&gt;1,"",SUMIFS(tbl_input[필요수량],tbl_input[집계키_청],D3039)))</f>
        <v/>
      </c>
      <c r="D3039" t="str">
        <f>IFERROR(INDEX(tbl_input[집계키_청],ROW()-1),"")</f>
        <v/>
      </c>
    </row>
    <row r="3040" spans="1:4" x14ac:dyDescent="0.4">
      <c r="A3040" t="str">
        <f t="shared" si="94"/>
        <v/>
      </c>
      <c r="B3040" t="str">
        <f t="shared" si="95"/>
        <v/>
      </c>
      <c r="C3040" t="str">
        <f>IF(D3040="","",IF(COUNTIF($D$2:D3040,D3040)&gt;1,"",SUMIFS(tbl_input[필요수량],tbl_input[집계키_청],D3040)))</f>
        <v/>
      </c>
      <c r="D3040" t="str">
        <f>IFERROR(INDEX(tbl_input[집계키_청],ROW()-1),"")</f>
        <v/>
      </c>
    </row>
    <row r="3041" spans="1:4" x14ac:dyDescent="0.4">
      <c r="A3041" t="str">
        <f t="shared" si="94"/>
        <v/>
      </c>
      <c r="B3041" t="str">
        <f t="shared" si="95"/>
        <v/>
      </c>
      <c r="C3041" t="str">
        <f>IF(D3041="","",IF(COUNTIF($D$2:D3041,D3041)&gt;1,"",SUMIFS(tbl_input[필요수량],tbl_input[집계키_청],D3041)))</f>
        <v/>
      </c>
      <c r="D3041" t="str">
        <f>IFERROR(INDEX(tbl_input[집계키_청],ROW()-1),"")</f>
        <v/>
      </c>
    </row>
    <row r="3042" spans="1:4" x14ac:dyDescent="0.4">
      <c r="A3042" t="str">
        <f t="shared" si="94"/>
        <v/>
      </c>
      <c r="B3042" t="str">
        <f t="shared" si="95"/>
        <v/>
      </c>
      <c r="C3042" t="str">
        <f>IF(D3042="","",IF(COUNTIF($D$2:D3042,D3042)&gt;1,"",SUMIFS(tbl_input[필요수량],tbl_input[집계키_청],D3042)))</f>
        <v/>
      </c>
      <c r="D3042" t="str">
        <f>IFERROR(INDEX(tbl_input[집계키_청],ROW()-1),"")</f>
        <v/>
      </c>
    </row>
    <row r="3043" spans="1:4" x14ac:dyDescent="0.4">
      <c r="A3043" t="str">
        <f t="shared" si="94"/>
        <v/>
      </c>
      <c r="B3043" t="str">
        <f t="shared" si="95"/>
        <v/>
      </c>
      <c r="C3043" t="str">
        <f>IF(D3043="","",IF(COUNTIF($D$2:D3043,D3043)&gt;1,"",SUMIFS(tbl_input[필요수량],tbl_input[집계키_청],D3043)))</f>
        <v/>
      </c>
      <c r="D3043" t="str">
        <f>IFERROR(INDEX(tbl_input[집계키_청],ROW()-1),"")</f>
        <v/>
      </c>
    </row>
    <row r="3044" spans="1:4" x14ac:dyDescent="0.4">
      <c r="A3044" t="str">
        <f t="shared" si="94"/>
        <v/>
      </c>
      <c r="B3044" t="str">
        <f t="shared" si="95"/>
        <v/>
      </c>
      <c r="C3044" t="str">
        <f>IF(D3044="","",IF(COUNTIF($D$2:D3044,D3044)&gt;1,"",SUMIFS(tbl_input[필요수량],tbl_input[집계키_청],D3044)))</f>
        <v/>
      </c>
      <c r="D3044" t="str">
        <f>IFERROR(INDEX(tbl_input[집계키_청],ROW()-1),"")</f>
        <v/>
      </c>
    </row>
    <row r="3045" spans="1:4" x14ac:dyDescent="0.4">
      <c r="A3045" t="str">
        <f t="shared" si="94"/>
        <v/>
      </c>
      <c r="B3045" t="str">
        <f t="shared" si="95"/>
        <v/>
      </c>
      <c r="C3045" t="str">
        <f>IF(D3045="","",IF(COUNTIF($D$2:D3045,D3045)&gt;1,"",SUMIFS(tbl_input[필요수량],tbl_input[집계키_청],D3045)))</f>
        <v/>
      </c>
      <c r="D3045" t="str">
        <f>IFERROR(INDEX(tbl_input[집계키_청],ROW()-1),"")</f>
        <v/>
      </c>
    </row>
    <row r="3046" spans="1:4" x14ac:dyDescent="0.4">
      <c r="A3046" t="str">
        <f t="shared" si="94"/>
        <v/>
      </c>
      <c r="B3046" t="str">
        <f t="shared" si="95"/>
        <v/>
      </c>
      <c r="C3046" t="str">
        <f>IF(D3046="","",IF(COUNTIF($D$2:D3046,D3046)&gt;1,"",SUMIFS(tbl_input[필요수량],tbl_input[집계키_청],D3046)))</f>
        <v/>
      </c>
      <c r="D3046" t="str">
        <f>IFERROR(INDEX(tbl_input[집계키_청],ROW()-1),"")</f>
        <v/>
      </c>
    </row>
    <row r="3047" spans="1:4" x14ac:dyDescent="0.4">
      <c r="A3047" t="str">
        <f t="shared" si="94"/>
        <v/>
      </c>
      <c r="B3047" t="str">
        <f t="shared" si="95"/>
        <v/>
      </c>
      <c r="C3047" t="str">
        <f>IF(D3047="","",IF(COUNTIF($D$2:D3047,D3047)&gt;1,"",SUMIFS(tbl_input[필요수량],tbl_input[집계키_청],D3047)))</f>
        <v/>
      </c>
      <c r="D3047" t="str">
        <f>IFERROR(INDEX(tbl_input[집계키_청],ROW()-1),"")</f>
        <v/>
      </c>
    </row>
    <row r="3048" spans="1:4" x14ac:dyDescent="0.4">
      <c r="A3048" t="str">
        <f t="shared" si="94"/>
        <v/>
      </c>
      <c r="B3048" t="str">
        <f t="shared" si="95"/>
        <v/>
      </c>
      <c r="C3048" t="str">
        <f>IF(D3048="","",IF(COUNTIF($D$2:D3048,D3048)&gt;1,"",SUMIFS(tbl_input[필요수량],tbl_input[집계키_청],D3048)))</f>
        <v/>
      </c>
      <c r="D3048" t="str">
        <f>IFERROR(INDEX(tbl_input[집계키_청],ROW()-1),"")</f>
        <v/>
      </c>
    </row>
    <row r="3049" spans="1:4" x14ac:dyDescent="0.4">
      <c r="A3049" t="str">
        <f t="shared" si="94"/>
        <v/>
      </c>
      <c r="B3049" t="str">
        <f t="shared" si="95"/>
        <v/>
      </c>
      <c r="C3049" t="str">
        <f>IF(D3049="","",IF(COUNTIF($D$2:D3049,D3049)&gt;1,"",SUMIFS(tbl_input[필요수량],tbl_input[집계키_청],D3049)))</f>
        <v/>
      </c>
      <c r="D3049" t="str">
        <f>IFERROR(INDEX(tbl_input[집계키_청],ROW()-1),"")</f>
        <v/>
      </c>
    </row>
    <row r="3050" spans="1:4" x14ac:dyDescent="0.4">
      <c r="A3050" t="str">
        <f t="shared" si="94"/>
        <v/>
      </c>
      <c r="B3050" t="str">
        <f t="shared" si="95"/>
        <v/>
      </c>
      <c r="C3050" t="str">
        <f>IF(D3050="","",IF(COUNTIF($D$2:D3050,D3050)&gt;1,"",SUMIFS(tbl_input[필요수량],tbl_input[집계키_청],D3050)))</f>
        <v/>
      </c>
      <c r="D3050" t="str">
        <f>IFERROR(INDEX(tbl_input[집계키_청],ROW()-1),"")</f>
        <v/>
      </c>
    </row>
    <row r="3051" spans="1:4" x14ac:dyDescent="0.4">
      <c r="A3051" t="str">
        <f t="shared" si="94"/>
        <v/>
      </c>
      <c r="B3051" t="str">
        <f t="shared" si="95"/>
        <v/>
      </c>
      <c r="C3051" t="str">
        <f>IF(D3051="","",IF(COUNTIF($D$2:D3051,D3051)&gt;1,"",SUMIFS(tbl_input[필요수량],tbl_input[집계키_청],D3051)))</f>
        <v/>
      </c>
      <c r="D3051" t="str">
        <f>IFERROR(INDEX(tbl_input[집계키_청],ROW()-1),"")</f>
        <v/>
      </c>
    </row>
    <row r="3052" spans="1:4" x14ac:dyDescent="0.4">
      <c r="A3052" t="str">
        <f t="shared" si="94"/>
        <v/>
      </c>
      <c r="B3052" t="str">
        <f t="shared" si="95"/>
        <v/>
      </c>
      <c r="C3052" t="str">
        <f>IF(D3052="","",IF(COUNTIF($D$2:D3052,D3052)&gt;1,"",SUMIFS(tbl_input[필요수량],tbl_input[집계키_청],D3052)))</f>
        <v/>
      </c>
      <c r="D3052" t="str">
        <f>IFERROR(INDEX(tbl_input[집계키_청],ROW()-1),"")</f>
        <v/>
      </c>
    </row>
    <row r="3053" spans="1:4" x14ac:dyDescent="0.4">
      <c r="A3053" t="str">
        <f t="shared" si="94"/>
        <v/>
      </c>
      <c r="B3053" t="str">
        <f t="shared" si="95"/>
        <v/>
      </c>
      <c r="C3053" t="str">
        <f>IF(D3053="","",IF(COUNTIF($D$2:D3053,D3053)&gt;1,"",SUMIFS(tbl_input[필요수량],tbl_input[집계키_청],D3053)))</f>
        <v/>
      </c>
      <c r="D3053" t="str">
        <f>IFERROR(INDEX(tbl_input[집계키_청],ROW()-1),"")</f>
        <v/>
      </c>
    </row>
    <row r="3054" spans="1:4" x14ac:dyDescent="0.4">
      <c r="A3054" t="str">
        <f t="shared" si="94"/>
        <v/>
      </c>
      <c r="B3054" t="str">
        <f t="shared" si="95"/>
        <v/>
      </c>
      <c r="C3054" t="str">
        <f>IF(D3054="","",IF(COUNTIF($D$2:D3054,D3054)&gt;1,"",SUMIFS(tbl_input[필요수량],tbl_input[집계키_청],D3054)))</f>
        <v/>
      </c>
      <c r="D3054" t="str">
        <f>IFERROR(INDEX(tbl_input[집계키_청],ROW()-1),"")</f>
        <v/>
      </c>
    </row>
    <row r="3055" spans="1:4" x14ac:dyDescent="0.4">
      <c r="A3055" t="str">
        <f t="shared" si="94"/>
        <v/>
      </c>
      <c r="B3055" t="str">
        <f t="shared" si="95"/>
        <v/>
      </c>
      <c r="C3055" t="str">
        <f>IF(D3055="","",IF(COUNTIF($D$2:D3055,D3055)&gt;1,"",SUMIFS(tbl_input[필요수량],tbl_input[집계키_청],D3055)))</f>
        <v/>
      </c>
      <c r="D3055" t="str">
        <f>IFERROR(INDEX(tbl_input[집계키_청],ROW()-1),"")</f>
        <v/>
      </c>
    </row>
    <row r="3056" spans="1:4" x14ac:dyDescent="0.4">
      <c r="A3056" t="str">
        <f t="shared" si="94"/>
        <v/>
      </c>
      <c r="B3056" t="str">
        <f t="shared" si="95"/>
        <v/>
      </c>
      <c r="C3056" t="str">
        <f>IF(D3056="","",IF(COUNTIF($D$2:D3056,D3056)&gt;1,"",SUMIFS(tbl_input[필요수량],tbl_input[집계키_청],D3056)))</f>
        <v/>
      </c>
      <c r="D3056" t="str">
        <f>IFERROR(INDEX(tbl_input[집계키_청],ROW()-1),"")</f>
        <v/>
      </c>
    </row>
    <row r="3057" spans="1:4" x14ac:dyDescent="0.4">
      <c r="A3057" t="str">
        <f t="shared" si="94"/>
        <v/>
      </c>
      <c r="B3057" t="str">
        <f t="shared" si="95"/>
        <v/>
      </c>
      <c r="C3057" t="str">
        <f>IF(D3057="","",IF(COUNTIF($D$2:D3057,D3057)&gt;1,"",SUMIFS(tbl_input[필요수량],tbl_input[집계키_청],D3057)))</f>
        <v/>
      </c>
      <c r="D3057" t="str">
        <f>IFERROR(INDEX(tbl_input[집계키_청],ROW()-1),"")</f>
        <v/>
      </c>
    </row>
    <row r="3058" spans="1:4" x14ac:dyDescent="0.4">
      <c r="A3058" t="str">
        <f t="shared" si="94"/>
        <v/>
      </c>
      <c r="B3058" t="str">
        <f t="shared" si="95"/>
        <v/>
      </c>
      <c r="C3058" t="str">
        <f>IF(D3058="","",IF(COUNTIF($D$2:D3058,D3058)&gt;1,"",SUMIFS(tbl_input[필요수량],tbl_input[집계키_청],D3058)))</f>
        <v/>
      </c>
      <c r="D3058" t="str">
        <f>IFERROR(INDEX(tbl_input[집계키_청],ROW()-1),"")</f>
        <v/>
      </c>
    </row>
    <row r="3059" spans="1:4" x14ac:dyDescent="0.4">
      <c r="A3059" t="str">
        <f t="shared" si="94"/>
        <v/>
      </c>
      <c r="B3059" t="str">
        <f t="shared" si="95"/>
        <v/>
      </c>
      <c r="C3059" t="str">
        <f>IF(D3059="","",IF(COUNTIF($D$2:D3059,D3059)&gt;1,"",SUMIFS(tbl_input[필요수량],tbl_input[집계키_청],D3059)))</f>
        <v/>
      </c>
      <c r="D3059" t="str">
        <f>IFERROR(INDEX(tbl_input[집계키_청],ROW()-1),"")</f>
        <v/>
      </c>
    </row>
    <row r="3060" spans="1:4" x14ac:dyDescent="0.4">
      <c r="A3060" t="str">
        <f t="shared" si="94"/>
        <v/>
      </c>
      <c r="B3060" t="str">
        <f t="shared" si="95"/>
        <v/>
      </c>
      <c r="C3060" t="str">
        <f>IF(D3060="","",IF(COUNTIF($D$2:D3060,D3060)&gt;1,"",SUMIFS(tbl_input[필요수량],tbl_input[집계키_청],D3060)))</f>
        <v/>
      </c>
      <c r="D3060" t="str">
        <f>IFERROR(INDEX(tbl_input[집계키_청],ROW()-1),"")</f>
        <v/>
      </c>
    </row>
    <row r="3061" spans="1:4" x14ac:dyDescent="0.4">
      <c r="A3061" t="str">
        <f t="shared" si="94"/>
        <v/>
      </c>
      <c r="B3061" t="str">
        <f t="shared" si="95"/>
        <v/>
      </c>
      <c r="C3061" t="str">
        <f>IF(D3061="","",IF(COUNTIF($D$2:D3061,D3061)&gt;1,"",SUMIFS(tbl_input[필요수량],tbl_input[집계키_청],D3061)))</f>
        <v/>
      </c>
      <c r="D3061" t="str">
        <f>IFERROR(INDEX(tbl_input[집계키_청],ROW()-1),"")</f>
        <v/>
      </c>
    </row>
    <row r="3062" spans="1:4" x14ac:dyDescent="0.4">
      <c r="A3062" t="str">
        <f t="shared" si="94"/>
        <v/>
      </c>
      <c r="B3062" t="str">
        <f t="shared" si="95"/>
        <v/>
      </c>
      <c r="C3062" t="str">
        <f>IF(D3062="","",IF(COUNTIF($D$2:D3062,D3062)&gt;1,"",SUMIFS(tbl_input[필요수량],tbl_input[집계키_청],D3062)))</f>
        <v/>
      </c>
      <c r="D3062" t="str">
        <f>IFERROR(INDEX(tbl_input[집계키_청],ROW()-1),"")</f>
        <v/>
      </c>
    </row>
    <row r="3063" spans="1:4" x14ac:dyDescent="0.4">
      <c r="A3063" t="str">
        <f t="shared" si="94"/>
        <v/>
      </c>
      <c r="B3063" t="str">
        <f t="shared" si="95"/>
        <v/>
      </c>
      <c r="C3063" t="str">
        <f>IF(D3063="","",IF(COUNTIF($D$2:D3063,D3063)&gt;1,"",SUMIFS(tbl_input[필요수량],tbl_input[집계키_청],D3063)))</f>
        <v/>
      </c>
      <c r="D3063" t="str">
        <f>IFERROR(INDEX(tbl_input[집계키_청],ROW()-1),"")</f>
        <v/>
      </c>
    </row>
    <row r="3064" spans="1:4" x14ac:dyDescent="0.4">
      <c r="A3064" t="str">
        <f t="shared" si="94"/>
        <v/>
      </c>
      <c r="B3064" t="str">
        <f t="shared" si="95"/>
        <v/>
      </c>
      <c r="C3064" t="str">
        <f>IF(D3064="","",IF(COUNTIF($D$2:D3064,D3064)&gt;1,"",SUMIFS(tbl_input[필요수량],tbl_input[집계키_청],D3064)))</f>
        <v/>
      </c>
      <c r="D3064" t="str">
        <f>IFERROR(INDEX(tbl_input[집계키_청],ROW()-1),"")</f>
        <v/>
      </c>
    </row>
    <row r="3065" spans="1:4" x14ac:dyDescent="0.4">
      <c r="A3065" t="str">
        <f t="shared" si="94"/>
        <v/>
      </c>
      <c r="B3065" t="str">
        <f t="shared" si="95"/>
        <v/>
      </c>
      <c r="C3065" t="str">
        <f>IF(D3065="","",IF(COUNTIF($D$2:D3065,D3065)&gt;1,"",SUMIFS(tbl_input[필요수량],tbl_input[집계키_청],D3065)))</f>
        <v/>
      </c>
      <c r="D3065" t="str">
        <f>IFERROR(INDEX(tbl_input[집계키_청],ROW()-1),"")</f>
        <v/>
      </c>
    </row>
    <row r="3066" spans="1:4" x14ac:dyDescent="0.4">
      <c r="A3066" t="str">
        <f t="shared" si="94"/>
        <v/>
      </c>
      <c r="B3066" t="str">
        <f t="shared" si="95"/>
        <v/>
      </c>
      <c r="C3066" t="str">
        <f>IF(D3066="","",IF(COUNTIF($D$2:D3066,D3066)&gt;1,"",SUMIFS(tbl_input[필요수량],tbl_input[집계키_청],D3066)))</f>
        <v/>
      </c>
      <c r="D3066" t="str">
        <f>IFERROR(INDEX(tbl_input[집계키_청],ROW()-1),"")</f>
        <v/>
      </c>
    </row>
    <row r="3067" spans="1:4" x14ac:dyDescent="0.4">
      <c r="A3067" t="str">
        <f t="shared" si="94"/>
        <v/>
      </c>
      <c r="B3067" t="str">
        <f t="shared" si="95"/>
        <v/>
      </c>
      <c r="C3067" t="str">
        <f>IF(D3067="","",IF(COUNTIF($D$2:D3067,D3067)&gt;1,"",SUMIFS(tbl_input[필요수량],tbl_input[집계키_청],D3067)))</f>
        <v/>
      </c>
      <c r="D3067" t="str">
        <f>IFERROR(INDEX(tbl_input[집계키_청],ROW()-1),"")</f>
        <v/>
      </c>
    </row>
    <row r="3068" spans="1:4" x14ac:dyDescent="0.4">
      <c r="A3068" t="str">
        <f t="shared" si="94"/>
        <v/>
      </c>
      <c r="B3068" t="str">
        <f t="shared" si="95"/>
        <v/>
      </c>
      <c r="C3068" t="str">
        <f>IF(D3068="","",IF(COUNTIF($D$2:D3068,D3068)&gt;1,"",SUMIFS(tbl_input[필요수량],tbl_input[집계키_청],D3068)))</f>
        <v/>
      </c>
      <c r="D3068" t="str">
        <f>IFERROR(INDEX(tbl_input[집계키_청],ROW()-1),"")</f>
        <v/>
      </c>
    </row>
    <row r="3069" spans="1:4" x14ac:dyDescent="0.4">
      <c r="A3069" t="str">
        <f t="shared" si="94"/>
        <v/>
      </c>
      <c r="B3069" t="str">
        <f t="shared" si="95"/>
        <v/>
      </c>
      <c r="C3069" t="str">
        <f>IF(D3069="","",IF(COUNTIF($D$2:D3069,D3069)&gt;1,"",SUMIFS(tbl_input[필요수량],tbl_input[집계키_청],D3069)))</f>
        <v/>
      </c>
      <c r="D3069" t="str">
        <f>IFERROR(INDEX(tbl_input[집계키_청],ROW()-1),"")</f>
        <v/>
      </c>
    </row>
    <row r="3070" spans="1:4" x14ac:dyDescent="0.4">
      <c r="A3070" t="str">
        <f t="shared" si="94"/>
        <v/>
      </c>
      <c r="B3070" t="str">
        <f t="shared" si="95"/>
        <v/>
      </c>
      <c r="C3070" t="str">
        <f>IF(D3070="","",IF(COUNTIF($D$2:D3070,D3070)&gt;1,"",SUMIFS(tbl_input[필요수량],tbl_input[집계키_청],D3070)))</f>
        <v/>
      </c>
      <c r="D3070" t="str">
        <f>IFERROR(INDEX(tbl_input[집계키_청],ROW()-1),"")</f>
        <v/>
      </c>
    </row>
    <row r="3071" spans="1:4" x14ac:dyDescent="0.4">
      <c r="A3071" t="str">
        <f t="shared" si="94"/>
        <v/>
      </c>
      <c r="B3071" t="str">
        <f t="shared" si="95"/>
        <v/>
      </c>
      <c r="C3071" t="str">
        <f>IF(D3071="","",IF(COUNTIF($D$2:D3071,D3071)&gt;1,"",SUMIFS(tbl_input[필요수량],tbl_input[집계키_청],D3071)))</f>
        <v/>
      </c>
      <c r="D3071" t="str">
        <f>IFERROR(INDEX(tbl_input[집계키_청],ROW()-1),"")</f>
        <v/>
      </c>
    </row>
    <row r="3072" spans="1:4" x14ac:dyDescent="0.4">
      <c r="A3072" t="str">
        <f t="shared" si="94"/>
        <v/>
      </c>
      <c r="B3072" t="str">
        <f t="shared" si="95"/>
        <v/>
      </c>
      <c r="C3072" t="str">
        <f>IF(D3072="","",IF(COUNTIF($D$2:D3072,D3072)&gt;1,"",SUMIFS(tbl_input[필요수량],tbl_input[집계키_청],D3072)))</f>
        <v/>
      </c>
      <c r="D3072" t="str">
        <f>IFERROR(INDEX(tbl_input[집계키_청],ROW()-1),"")</f>
        <v/>
      </c>
    </row>
    <row r="3073" spans="1:4" x14ac:dyDescent="0.4">
      <c r="A3073" t="str">
        <f t="shared" si="94"/>
        <v/>
      </c>
      <c r="B3073" t="str">
        <f t="shared" si="95"/>
        <v/>
      </c>
      <c r="C3073" t="str">
        <f>IF(D3073="","",IF(COUNTIF($D$2:D3073,D3073)&gt;1,"",SUMIFS(tbl_input[필요수량],tbl_input[집계키_청],D3073)))</f>
        <v/>
      </c>
      <c r="D3073" t="str">
        <f>IFERROR(INDEX(tbl_input[집계키_청],ROW()-1),"")</f>
        <v/>
      </c>
    </row>
    <row r="3074" spans="1:4" x14ac:dyDescent="0.4">
      <c r="A3074" t="str">
        <f t="shared" ref="A3074:A3137" si="96">IF(D3074="","",LEFT(D3074,FIND("♦",D3074)-1))</f>
        <v/>
      </c>
      <c r="B3074" t="str">
        <f t="shared" ref="B3074:B3137" si="97">IF(D3074="","",MID(D3074,FIND("♦",D3074)+1,999))</f>
        <v/>
      </c>
      <c r="C3074" t="str">
        <f>IF(D3074="","",IF(COUNTIF($D$2:D3074,D3074)&gt;1,"",SUMIFS(tbl_input[필요수량],tbl_input[집계키_청],D3074)))</f>
        <v/>
      </c>
      <c r="D3074" t="str">
        <f>IFERROR(INDEX(tbl_input[집계키_청],ROW()-1),"")</f>
        <v/>
      </c>
    </row>
    <row r="3075" spans="1:4" x14ac:dyDescent="0.4">
      <c r="A3075" t="str">
        <f t="shared" si="96"/>
        <v/>
      </c>
      <c r="B3075" t="str">
        <f t="shared" si="97"/>
        <v/>
      </c>
      <c r="C3075" t="str">
        <f>IF(D3075="","",IF(COUNTIF($D$2:D3075,D3075)&gt;1,"",SUMIFS(tbl_input[필요수량],tbl_input[집계키_청],D3075)))</f>
        <v/>
      </c>
      <c r="D3075" t="str">
        <f>IFERROR(INDEX(tbl_input[집계키_청],ROW()-1),"")</f>
        <v/>
      </c>
    </row>
    <row r="3076" spans="1:4" x14ac:dyDescent="0.4">
      <c r="A3076" t="str">
        <f t="shared" si="96"/>
        <v/>
      </c>
      <c r="B3076" t="str">
        <f t="shared" si="97"/>
        <v/>
      </c>
      <c r="C3076" t="str">
        <f>IF(D3076="","",IF(COUNTIF($D$2:D3076,D3076)&gt;1,"",SUMIFS(tbl_input[필요수량],tbl_input[집계키_청],D3076)))</f>
        <v/>
      </c>
      <c r="D3076" t="str">
        <f>IFERROR(INDEX(tbl_input[집계키_청],ROW()-1),"")</f>
        <v/>
      </c>
    </row>
    <row r="3077" spans="1:4" x14ac:dyDescent="0.4">
      <c r="A3077" t="str">
        <f t="shared" si="96"/>
        <v/>
      </c>
      <c r="B3077" t="str">
        <f t="shared" si="97"/>
        <v/>
      </c>
      <c r="C3077" t="str">
        <f>IF(D3077="","",IF(COUNTIF($D$2:D3077,D3077)&gt;1,"",SUMIFS(tbl_input[필요수량],tbl_input[집계키_청],D3077)))</f>
        <v/>
      </c>
      <c r="D3077" t="str">
        <f>IFERROR(INDEX(tbl_input[집계키_청],ROW()-1),"")</f>
        <v/>
      </c>
    </row>
    <row r="3078" spans="1:4" x14ac:dyDescent="0.4">
      <c r="A3078" t="str">
        <f t="shared" si="96"/>
        <v/>
      </c>
      <c r="B3078" t="str">
        <f t="shared" si="97"/>
        <v/>
      </c>
      <c r="C3078" t="str">
        <f>IF(D3078="","",IF(COUNTIF($D$2:D3078,D3078)&gt;1,"",SUMIFS(tbl_input[필요수량],tbl_input[집계키_청],D3078)))</f>
        <v/>
      </c>
      <c r="D3078" t="str">
        <f>IFERROR(INDEX(tbl_input[집계키_청],ROW()-1),"")</f>
        <v/>
      </c>
    </row>
    <row r="3079" spans="1:4" x14ac:dyDescent="0.4">
      <c r="A3079" t="str">
        <f t="shared" si="96"/>
        <v/>
      </c>
      <c r="B3079" t="str">
        <f t="shared" si="97"/>
        <v/>
      </c>
      <c r="C3079" t="str">
        <f>IF(D3079="","",IF(COUNTIF($D$2:D3079,D3079)&gt;1,"",SUMIFS(tbl_input[필요수량],tbl_input[집계키_청],D3079)))</f>
        <v/>
      </c>
      <c r="D3079" t="str">
        <f>IFERROR(INDEX(tbl_input[집계키_청],ROW()-1),"")</f>
        <v/>
      </c>
    </row>
    <row r="3080" spans="1:4" x14ac:dyDescent="0.4">
      <c r="A3080" t="str">
        <f t="shared" si="96"/>
        <v/>
      </c>
      <c r="B3080" t="str">
        <f t="shared" si="97"/>
        <v/>
      </c>
      <c r="C3080" t="str">
        <f>IF(D3080="","",IF(COUNTIF($D$2:D3080,D3080)&gt;1,"",SUMIFS(tbl_input[필요수량],tbl_input[집계키_청],D3080)))</f>
        <v/>
      </c>
      <c r="D3080" t="str">
        <f>IFERROR(INDEX(tbl_input[집계키_청],ROW()-1),"")</f>
        <v/>
      </c>
    </row>
    <row r="3081" spans="1:4" x14ac:dyDescent="0.4">
      <c r="A3081" t="str">
        <f t="shared" si="96"/>
        <v/>
      </c>
      <c r="B3081" t="str">
        <f t="shared" si="97"/>
        <v/>
      </c>
      <c r="C3081" t="str">
        <f>IF(D3081="","",IF(COUNTIF($D$2:D3081,D3081)&gt;1,"",SUMIFS(tbl_input[필요수량],tbl_input[집계키_청],D3081)))</f>
        <v/>
      </c>
      <c r="D3081" t="str">
        <f>IFERROR(INDEX(tbl_input[집계키_청],ROW()-1),"")</f>
        <v/>
      </c>
    </row>
    <row r="3082" spans="1:4" x14ac:dyDescent="0.4">
      <c r="A3082" t="str">
        <f t="shared" si="96"/>
        <v/>
      </c>
      <c r="B3082" t="str">
        <f t="shared" si="97"/>
        <v/>
      </c>
      <c r="C3082" t="str">
        <f>IF(D3082="","",IF(COUNTIF($D$2:D3082,D3082)&gt;1,"",SUMIFS(tbl_input[필요수량],tbl_input[집계키_청],D3082)))</f>
        <v/>
      </c>
      <c r="D3082" t="str">
        <f>IFERROR(INDEX(tbl_input[집계키_청],ROW()-1),"")</f>
        <v/>
      </c>
    </row>
    <row r="3083" spans="1:4" x14ac:dyDescent="0.4">
      <c r="A3083" t="str">
        <f t="shared" si="96"/>
        <v/>
      </c>
      <c r="B3083" t="str">
        <f t="shared" si="97"/>
        <v/>
      </c>
      <c r="C3083" t="str">
        <f>IF(D3083="","",IF(COUNTIF($D$2:D3083,D3083)&gt;1,"",SUMIFS(tbl_input[필요수량],tbl_input[집계키_청],D3083)))</f>
        <v/>
      </c>
      <c r="D3083" t="str">
        <f>IFERROR(INDEX(tbl_input[집계키_청],ROW()-1),"")</f>
        <v/>
      </c>
    </row>
    <row r="3084" spans="1:4" x14ac:dyDescent="0.4">
      <c r="A3084" t="str">
        <f t="shared" si="96"/>
        <v/>
      </c>
      <c r="B3084" t="str">
        <f t="shared" si="97"/>
        <v/>
      </c>
      <c r="C3084" t="str">
        <f>IF(D3084="","",IF(COUNTIF($D$2:D3084,D3084)&gt;1,"",SUMIFS(tbl_input[필요수량],tbl_input[집계키_청],D3084)))</f>
        <v/>
      </c>
      <c r="D3084" t="str">
        <f>IFERROR(INDEX(tbl_input[집계키_청],ROW()-1),"")</f>
        <v/>
      </c>
    </row>
    <row r="3085" spans="1:4" x14ac:dyDescent="0.4">
      <c r="A3085" t="str">
        <f t="shared" si="96"/>
        <v/>
      </c>
      <c r="B3085" t="str">
        <f t="shared" si="97"/>
        <v/>
      </c>
      <c r="C3085" t="str">
        <f>IF(D3085="","",IF(COUNTIF($D$2:D3085,D3085)&gt;1,"",SUMIFS(tbl_input[필요수량],tbl_input[집계키_청],D3085)))</f>
        <v/>
      </c>
      <c r="D3085" t="str">
        <f>IFERROR(INDEX(tbl_input[집계키_청],ROW()-1),"")</f>
        <v/>
      </c>
    </row>
    <row r="3086" spans="1:4" x14ac:dyDescent="0.4">
      <c r="A3086" t="str">
        <f t="shared" si="96"/>
        <v/>
      </c>
      <c r="B3086" t="str">
        <f t="shared" si="97"/>
        <v/>
      </c>
      <c r="C3086" t="str">
        <f>IF(D3086="","",IF(COUNTIF($D$2:D3086,D3086)&gt;1,"",SUMIFS(tbl_input[필요수량],tbl_input[집계키_청],D3086)))</f>
        <v/>
      </c>
      <c r="D3086" t="str">
        <f>IFERROR(INDEX(tbl_input[집계키_청],ROW()-1),"")</f>
        <v/>
      </c>
    </row>
    <row r="3087" spans="1:4" x14ac:dyDescent="0.4">
      <c r="A3087" t="str">
        <f t="shared" si="96"/>
        <v/>
      </c>
      <c r="B3087" t="str">
        <f t="shared" si="97"/>
        <v/>
      </c>
      <c r="C3087" t="str">
        <f>IF(D3087="","",IF(COUNTIF($D$2:D3087,D3087)&gt;1,"",SUMIFS(tbl_input[필요수량],tbl_input[집계키_청],D3087)))</f>
        <v/>
      </c>
      <c r="D3087" t="str">
        <f>IFERROR(INDEX(tbl_input[집계키_청],ROW()-1),"")</f>
        <v/>
      </c>
    </row>
    <row r="3088" spans="1:4" x14ac:dyDescent="0.4">
      <c r="A3088" t="str">
        <f t="shared" si="96"/>
        <v/>
      </c>
      <c r="B3088" t="str">
        <f t="shared" si="97"/>
        <v/>
      </c>
      <c r="C3088" t="str">
        <f>IF(D3088="","",IF(COUNTIF($D$2:D3088,D3088)&gt;1,"",SUMIFS(tbl_input[필요수량],tbl_input[집계키_청],D3088)))</f>
        <v/>
      </c>
      <c r="D3088" t="str">
        <f>IFERROR(INDEX(tbl_input[집계키_청],ROW()-1),"")</f>
        <v/>
      </c>
    </row>
    <row r="3089" spans="1:4" x14ac:dyDescent="0.4">
      <c r="A3089" t="str">
        <f t="shared" si="96"/>
        <v/>
      </c>
      <c r="B3089" t="str">
        <f t="shared" si="97"/>
        <v/>
      </c>
      <c r="C3089" t="str">
        <f>IF(D3089="","",IF(COUNTIF($D$2:D3089,D3089)&gt;1,"",SUMIFS(tbl_input[필요수량],tbl_input[집계키_청],D3089)))</f>
        <v/>
      </c>
      <c r="D3089" t="str">
        <f>IFERROR(INDEX(tbl_input[집계키_청],ROW()-1),"")</f>
        <v/>
      </c>
    </row>
    <row r="3090" spans="1:4" x14ac:dyDescent="0.4">
      <c r="A3090" t="str">
        <f t="shared" si="96"/>
        <v/>
      </c>
      <c r="B3090" t="str">
        <f t="shared" si="97"/>
        <v/>
      </c>
      <c r="C3090" t="str">
        <f>IF(D3090="","",IF(COUNTIF($D$2:D3090,D3090)&gt;1,"",SUMIFS(tbl_input[필요수량],tbl_input[집계키_청],D3090)))</f>
        <v/>
      </c>
      <c r="D3090" t="str">
        <f>IFERROR(INDEX(tbl_input[집계키_청],ROW()-1),"")</f>
        <v/>
      </c>
    </row>
    <row r="3091" spans="1:4" x14ac:dyDescent="0.4">
      <c r="A3091" t="str">
        <f t="shared" si="96"/>
        <v/>
      </c>
      <c r="B3091" t="str">
        <f t="shared" si="97"/>
        <v/>
      </c>
      <c r="C3091" t="str">
        <f>IF(D3091="","",IF(COUNTIF($D$2:D3091,D3091)&gt;1,"",SUMIFS(tbl_input[필요수량],tbl_input[집계키_청],D3091)))</f>
        <v/>
      </c>
      <c r="D3091" t="str">
        <f>IFERROR(INDEX(tbl_input[집계키_청],ROW()-1),"")</f>
        <v/>
      </c>
    </row>
    <row r="3092" spans="1:4" x14ac:dyDescent="0.4">
      <c r="A3092" t="str">
        <f t="shared" si="96"/>
        <v/>
      </c>
      <c r="B3092" t="str">
        <f t="shared" si="97"/>
        <v/>
      </c>
      <c r="C3092" t="str">
        <f>IF(D3092="","",IF(COUNTIF($D$2:D3092,D3092)&gt;1,"",SUMIFS(tbl_input[필요수량],tbl_input[집계키_청],D3092)))</f>
        <v/>
      </c>
      <c r="D3092" t="str">
        <f>IFERROR(INDEX(tbl_input[집계키_청],ROW()-1),"")</f>
        <v/>
      </c>
    </row>
    <row r="3093" spans="1:4" x14ac:dyDescent="0.4">
      <c r="A3093" t="str">
        <f t="shared" si="96"/>
        <v/>
      </c>
      <c r="B3093" t="str">
        <f t="shared" si="97"/>
        <v/>
      </c>
      <c r="C3093" t="str">
        <f>IF(D3093="","",IF(COUNTIF($D$2:D3093,D3093)&gt;1,"",SUMIFS(tbl_input[필요수량],tbl_input[집계키_청],D3093)))</f>
        <v/>
      </c>
      <c r="D3093" t="str">
        <f>IFERROR(INDEX(tbl_input[집계키_청],ROW()-1),"")</f>
        <v/>
      </c>
    </row>
    <row r="3094" spans="1:4" x14ac:dyDescent="0.4">
      <c r="A3094" t="str">
        <f t="shared" si="96"/>
        <v/>
      </c>
      <c r="B3094" t="str">
        <f t="shared" si="97"/>
        <v/>
      </c>
      <c r="C3094" t="str">
        <f>IF(D3094="","",IF(COUNTIF($D$2:D3094,D3094)&gt;1,"",SUMIFS(tbl_input[필요수량],tbl_input[집계키_청],D3094)))</f>
        <v/>
      </c>
      <c r="D3094" t="str">
        <f>IFERROR(INDEX(tbl_input[집계키_청],ROW()-1),"")</f>
        <v/>
      </c>
    </row>
    <row r="3095" spans="1:4" x14ac:dyDescent="0.4">
      <c r="A3095" t="str">
        <f t="shared" si="96"/>
        <v/>
      </c>
      <c r="B3095" t="str">
        <f t="shared" si="97"/>
        <v/>
      </c>
      <c r="C3095" t="str">
        <f>IF(D3095="","",IF(COUNTIF($D$2:D3095,D3095)&gt;1,"",SUMIFS(tbl_input[필요수량],tbl_input[집계키_청],D3095)))</f>
        <v/>
      </c>
      <c r="D3095" t="str">
        <f>IFERROR(INDEX(tbl_input[집계키_청],ROW()-1),"")</f>
        <v/>
      </c>
    </row>
    <row r="3096" spans="1:4" x14ac:dyDescent="0.4">
      <c r="A3096" t="str">
        <f t="shared" si="96"/>
        <v/>
      </c>
      <c r="B3096" t="str">
        <f t="shared" si="97"/>
        <v/>
      </c>
      <c r="C3096" t="str">
        <f>IF(D3096="","",IF(COUNTIF($D$2:D3096,D3096)&gt;1,"",SUMIFS(tbl_input[필요수량],tbl_input[집계키_청],D3096)))</f>
        <v/>
      </c>
      <c r="D3096" t="str">
        <f>IFERROR(INDEX(tbl_input[집계키_청],ROW()-1),"")</f>
        <v/>
      </c>
    </row>
    <row r="3097" spans="1:4" x14ac:dyDescent="0.4">
      <c r="A3097" t="str">
        <f t="shared" si="96"/>
        <v/>
      </c>
      <c r="B3097" t="str">
        <f t="shared" si="97"/>
        <v/>
      </c>
      <c r="C3097" t="str">
        <f>IF(D3097="","",IF(COUNTIF($D$2:D3097,D3097)&gt;1,"",SUMIFS(tbl_input[필요수량],tbl_input[집계키_청],D3097)))</f>
        <v/>
      </c>
      <c r="D3097" t="str">
        <f>IFERROR(INDEX(tbl_input[집계키_청],ROW()-1),"")</f>
        <v/>
      </c>
    </row>
    <row r="3098" spans="1:4" x14ac:dyDescent="0.4">
      <c r="A3098" t="str">
        <f t="shared" si="96"/>
        <v/>
      </c>
      <c r="B3098" t="str">
        <f t="shared" si="97"/>
        <v/>
      </c>
      <c r="C3098" t="str">
        <f>IF(D3098="","",IF(COUNTIF($D$2:D3098,D3098)&gt;1,"",SUMIFS(tbl_input[필요수량],tbl_input[집계키_청],D3098)))</f>
        <v/>
      </c>
      <c r="D3098" t="str">
        <f>IFERROR(INDEX(tbl_input[집계키_청],ROW()-1),"")</f>
        <v/>
      </c>
    </row>
    <row r="3099" spans="1:4" x14ac:dyDescent="0.4">
      <c r="A3099" t="str">
        <f t="shared" si="96"/>
        <v/>
      </c>
      <c r="B3099" t="str">
        <f t="shared" si="97"/>
        <v/>
      </c>
      <c r="C3099" t="str">
        <f>IF(D3099="","",IF(COUNTIF($D$2:D3099,D3099)&gt;1,"",SUMIFS(tbl_input[필요수량],tbl_input[집계키_청],D3099)))</f>
        <v/>
      </c>
      <c r="D3099" t="str">
        <f>IFERROR(INDEX(tbl_input[집계키_청],ROW()-1),"")</f>
        <v/>
      </c>
    </row>
    <row r="3100" spans="1:4" x14ac:dyDescent="0.4">
      <c r="A3100" t="str">
        <f t="shared" si="96"/>
        <v/>
      </c>
      <c r="B3100" t="str">
        <f t="shared" si="97"/>
        <v/>
      </c>
      <c r="C3100" t="str">
        <f>IF(D3100="","",IF(COUNTIF($D$2:D3100,D3100)&gt;1,"",SUMIFS(tbl_input[필요수량],tbl_input[집계키_청],D3100)))</f>
        <v/>
      </c>
      <c r="D3100" t="str">
        <f>IFERROR(INDEX(tbl_input[집계키_청],ROW()-1),"")</f>
        <v/>
      </c>
    </row>
    <row r="3101" spans="1:4" x14ac:dyDescent="0.4">
      <c r="A3101" t="str">
        <f t="shared" si="96"/>
        <v/>
      </c>
      <c r="B3101" t="str">
        <f t="shared" si="97"/>
        <v/>
      </c>
      <c r="C3101" t="str">
        <f>IF(D3101="","",IF(COUNTIF($D$2:D3101,D3101)&gt;1,"",SUMIFS(tbl_input[필요수량],tbl_input[집계키_청],D3101)))</f>
        <v/>
      </c>
      <c r="D3101" t="str">
        <f>IFERROR(INDEX(tbl_input[집계키_청],ROW()-1),"")</f>
        <v/>
      </c>
    </row>
    <row r="3102" spans="1:4" x14ac:dyDescent="0.4">
      <c r="A3102" t="str">
        <f t="shared" si="96"/>
        <v/>
      </c>
      <c r="B3102" t="str">
        <f t="shared" si="97"/>
        <v/>
      </c>
      <c r="C3102" t="str">
        <f>IF(D3102="","",IF(COUNTIF($D$2:D3102,D3102)&gt;1,"",SUMIFS(tbl_input[필요수량],tbl_input[집계키_청],D3102)))</f>
        <v/>
      </c>
      <c r="D3102" t="str">
        <f>IFERROR(INDEX(tbl_input[집계키_청],ROW()-1),"")</f>
        <v/>
      </c>
    </row>
    <row r="3103" spans="1:4" x14ac:dyDescent="0.4">
      <c r="A3103" t="str">
        <f t="shared" si="96"/>
        <v/>
      </c>
      <c r="B3103" t="str">
        <f t="shared" si="97"/>
        <v/>
      </c>
      <c r="C3103" t="str">
        <f>IF(D3103="","",IF(COUNTIF($D$2:D3103,D3103)&gt;1,"",SUMIFS(tbl_input[필요수량],tbl_input[집계키_청],D3103)))</f>
        <v/>
      </c>
      <c r="D3103" t="str">
        <f>IFERROR(INDEX(tbl_input[집계키_청],ROW()-1),"")</f>
        <v/>
      </c>
    </row>
    <row r="3104" spans="1:4" x14ac:dyDescent="0.4">
      <c r="A3104" t="str">
        <f t="shared" si="96"/>
        <v/>
      </c>
      <c r="B3104" t="str">
        <f t="shared" si="97"/>
        <v/>
      </c>
      <c r="C3104" t="str">
        <f>IF(D3104="","",IF(COUNTIF($D$2:D3104,D3104)&gt;1,"",SUMIFS(tbl_input[필요수량],tbl_input[집계키_청],D3104)))</f>
        <v/>
      </c>
      <c r="D3104" t="str">
        <f>IFERROR(INDEX(tbl_input[집계키_청],ROW()-1),"")</f>
        <v/>
      </c>
    </row>
    <row r="3105" spans="1:4" x14ac:dyDescent="0.4">
      <c r="A3105" t="str">
        <f t="shared" si="96"/>
        <v/>
      </c>
      <c r="B3105" t="str">
        <f t="shared" si="97"/>
        <v/>
      </c>
      <c r="C3105" t="str">
        <f>IF(D3105="","",IF(COUNTIF($D$2:D3105,D3105)&gt;1,"",SUMIFS(tbl_input[필요수량],tbl_input[집계키_청],D3105)))</f>
        <v/>
      </c>
      <c r="D3105" t="str">
        <f>IFERROR(INDEX(tbl_input[집계키_청],ROW()-1),"")</f>
        <v/>
      </c>
    </row>
    <row r="3106" spans="1:4" x14ac:dyDescent="0.4">
      <c r="A3106" t="str">
        <f t="shared" si="96"/>
        <v/>
      </c>
      <c r="B3106" t="str">
        <f t="shared" si="97"/>
        <v/>
      </c>
      <c r="C3106" t="str">
        <f>IF(D3106="","",IF(COUNTIF($D$2:D3106,D3106)&gt;1,"",SUMIFS(tbl_input[필요수량],tbl_input[집계키_청],D3106)))</f>
        <v/>
      </c>
      <c r="D3106" t="str">
        <f>IFERROR(INDEX(tbl_input[집계키_청],ROW()-1),"")</f>
        <v/>
      </c>
    </row>
    <row r="3107" spans="1:4" x14ac:dyDescent="0.4">
      <c r="A3107" t="str">
        <f t="shared" si="96"/>
        <v/>
      </c>
      <c r="B3107" t="str">
        <f t="shared" si="97"/>
        <v/>
      </c>
      <c r="C3107" t="str">
        <f>IF(D3107="","",IF(COUNTIF($D$2:D3107,D3107)&gt;1,"",SUMIFS(tbl_input[필요수량],tbl_input[집계키_청],D3107)))</f>
        <v/>
      </c>
      <c r="D3107" t="str">
        <f>IFERROR(INDEX(tbl_input[집계키_청],ROW()-1),"")</f>
        <v/>
      </c>
    </row>
    <row r="3108" spans="1:4" x14ac:dyDescent="0.4">
      <c r="A3108" t="str">
        <f t="shared" si="96"/>
        <v/>
      </c>
      <c r="B3108" t="str">
        <f t="shared" si="97"/>
        <v/>
      </c>
      <c r="C3108" t="str">
        <f>IF(D3108="","",IF(COUNTIF($D$2:D3108,D3108)&gt;1,"",SUMIFS(tbl_input[필요수량],tbl_input[집계키_청],D3108)))</f>
        <v/>
      </c>
      <c r="D3108" t="str">
        <f>IFERROR(INDEX(tbl_input[집계키_청],ROW()-1),"")</f>
        <v/>
      </c>
    </row>
    <row r="3109" spans="1:4" x14ac:dyDescent="0.4">
      <c r="A3109" t="str">
        <f t="shared" si="96"/>
        <v/>
      </c>
      <c r="B3109" t="str">
        <f t="shared" si="97"/>
        <v/>
      </c>
      <c r="C3109" t="str">
        <f>IF(D3109="","",IF(COUNTIF($D$2:D3109,D3109)&gt;1,"",SUMIFS(tbl_input[필요수량],tbl_input[집계키_청],D3109)))</f>
        <v/>
      </c>
      <c r="D3109" t="str">
        <f>IFERROR(INDEX(tbl_input[집계키_청],ROW()-1),"")</f>
        <v/>
      </c>
    </row>
    <row r="3110" spans="1:4" x14ac:dyDescent="0.4">
      <c r="A3110" t="str">
        <f t="shared" si="96"/>
        <v/>
      </c>
      <c r="B3110" t="str">
        <f t="shared" si="97"/>
        <v/>
      </c>
      <c r="C3110" t="str">
        <f>IF(D3110="","",IF(COUNTIF($D$2:D3110,D3110)&gt;1,"",SUMIFS(tbl_input[필요수량],tbl_input[집계키_청],D3110)))</f>
        <v/>
      </c>
      <c r="D3110" t="str">
        <f>IFERROR(INDEX(tbl_input[집계키_청],ROW()-1),"")</f>
        <v/>
      </c>
    </row>
    <row r="3111" spans="1:4" x14ac:dyDescent="0.4">
      <c r="A3111" t="str">
        <f t="shared" si="96"/>
        <v/>
      </c>
      <c r="B3111" t="str">
        <f t="shared" si="97"/>
        <v/>
      </c>
      <c r="C3111" t="str">
        <f>IF(D3111="","",IF(COUNTIF($D$2:D3111,D3111)&gt;1,"",SUMIFS(tbl_input[필요수량],tbl_input[집계키_청],D3111)))</f>
        <v/>
      </c>
      <c r="D3111" t="str">
        <f>IFERROR(INDEX(tbl_input[집계키_청],ROW()-1),"")</f>
        <v/>
      </c>
    </row>
    <row r="3112" spans="1:4" x14ac:dyDescent="0.4">
      <c r="A3112" t="str">
        <f t="shared" si="96"/>
        <v/>
      </c>
      <c r="B3112" t="str">
        <f t="shared" si="97"/>
        <v/>
      </c>
      <c r="C3112" t="str">
        <f>IF(D3112="","",IF(COUNTIF($D$2:D3112,D3112)&gt;1,"",SUMIFS(tbl_input[필요수량],tbl_input[집계키_청],D3112)))</f>
        <v/>
      </c>
      <c r="D3112" t="str">
        <f>IFERROR(INDEX(tbl_input[집계키_청],ROW()-1),"")</f>
        <v/>
      </c>
    </row>
    <row r="3113" spans="1:4" x14ac:dyDescent="0.4">
      <c r="A3113" t="str">
        <f t="shared" si="96"/>
        <v/>
      </c>
      <c r="B3113" t="str">
        <f t="shared" si="97"/>
        <v/>
      </c>
      <c r="C3113" t="str">
        <f>IF(D3113="","",IF(COUNTIF($D$2:D3113,D3113)&gt;1,"",SUMIFS(tbl_input[필요수량],tbl_input[집계키_청],D3113)))</f>
        <v/>
      </c>
      <c r="D3113" t="str">
        <f>IFERROR(INDEX(tbl_input[집계키_청],ROW()-1),"")</f>
        <v/>
      </c>
    </row>
    <row r="3114" spans="1:4" x14ac:dyDescent="0.4">
      <c r="A3114" t="str">
        <f t="shared" si="96"/>
        <v/>
      </c>
      <c r="B3114" t="str">
        <f t="shared" si="97"/>
        <v/>
      </c>
      <c r="C3114" t="str">
        <f>IF(D3114="","",IF(COUNTIF($D$2:D3114,D3114)&gt;1,"",SUMIFS(tbl_input[필요수량],tbl_input[집계키_청],D3114)))</f>
        <v/>
      </c>
      <c r="D3114" t="str">
        <f>IFERROR(INDEX(tbl_input[집계키_청],ROW()-1),"")</f>
        <v/>
      </c>
    </row>
    <row r="3115" spans="1:4" x14ac:dyDescent="0.4">
      <c r="A3115" t="str">
        <f t="shared" si="96"/>
        <v/>
      </c>
      <c r="B3115" t="str">
        <f t="shared" si="97"/>
        <v/>
      </c>
      <c r="C3115" t="str">
        <f>IF(D3115="","",IF(COUNTIF($D$2:D3115,D3115)&gt;1,"",SUMIFS(tbl_input[필요수량],tbl_input[집계키_청],D3115)))</f>
        <v/>
      </c>
      <c r="D3115" t="str">
        <f>IFERROR(INDEX(tbl_input[집계키_청],ROW()-1),"")</f>
        <v/>
      </c>
    </row>
    <row r="3116" spans="1:4" x14ac:dyDescent="0.4">
      <c r="A3116" t="str">
        <f t="shared" si="96"/>
        <v/>
      </c>
      <c r="B3116" t="str">
        <f t="shared" si="97"/>
        <v/>
      </c>
      <c r="C3116" t="str">
        <f>IF(D3116="","",IF(COUNTIF($D$2:D3116,D3116)&gt;1,"",SUMIFS(tbl_input[필요수량],tbl_input[집계키_청],D3116)))</f>
        <v/>
      </c>
      <c r="D3116" t="str">
        <f>IFERROR(INDEX(tbl_input[집계키_청],ROW()-1),"")</f>
        <v/>
      </c>
    </row>
    <row r="3117" spans="1:4" x14ac:dyDescent="0.4">
      <c r="A3117" t="str">
        <f t="shared" si="96"/>
        <v/>
      </c>
      <c r="B3117" t="str">
        <f t="shared" si="97"/>
        <v/>
      </c>
      <c r="C3117" t="str">
        <f>IF(D3117="","",IF(COUNTIF($D$2:D3117,D3117)&gt;1,"",SUMIFS(tbl_input[필요수량],tbl_input[집계키_청],D3117)))</f>
        <v/>
      </c>
      <c r="D3117" t="str">
        <f>IFERROR(INDEX(tbl_input[집계키_청],ROW()-1),"")</f>
        <v/>
      </c>
    </row>
    <row r="3118" spans="1:4" x14ac:dyDescent="0.4">
      <c r="A3118" t="str">
        <f t="shared" si="96"/>
        <v/>
      </c>
      <c r="B3118" t="str">
        <f t="shared" si="97"/>
        <v/>
      </c>
      <c r="C3118" t="str">
        <f>IF(D3118="","",IF(COUNTIF($D$2:D3118,D3118)&gt;1,"",SUMIFS(tbl_input[필요수량],tbl_input[집계키_청],D3118)))</f>
        <v/>
      </c>
      <c r="D3118" t="str">
        <f>IFERROR(INDEX(tbl_input[집계키_청],ROW()-1),"")</f>
        <v/>
      </c>
    </row>
    <row r="3119" spans="1:4" x14ac:dyDescent="0.4">
      <c r="A3119" t="str">
        <f t="shared" si="96"/>
        <v/>
      </c>
      <c r="B3119" t="str">
        <f t="shared" si="97"/>
        <v/>
      </c>
      <c r="C3119" t="str">
        <f>IF(D3119="","",IF(COUNTIF($D$2:D3119,D3119)&gt;1,"",SUMIFS(tbl_input[필요수량],tbl_input[집계키_청],D3119)))</f>
        <v/>
      </c>
      <c r="D3119" t="str">
        <f>IFERROR(INDEX(tbl_input[집계키_청],ROW()-1),"")</f>
        <v/>
      </c>
    </row>
    <row r="3120" spans="1:4" x14ac:dyDescent="0.4">
      <c r="A3120" t="str">
        <f t="shared" si="96"/>
        <v/>
      </c>
      <c r="B3120" t="str">
        <f t="shared" si="97"/>
        <v/>
      </c>
      <c r="C3120" t="str">
        <f>IF(D3120="","",IF(COUNTIF($D$2:D3120,D3120)&gt;1,"",SUMIFS(tbl_input[필요수량],tbl_input[집계키_청],D3120)))</f>
        <v/>
      </c>
      <c r="D3120" t="str">
        <f>IFERROR(INDEX(tbl_input[집계키_청],ROW()-1),"")</f>
        <v/>
      </c>
    </row>
    <row r="3121" spans="1:4" x14ac:dyDescent="0.4">
      <c r="A3121" t="str">
        <f t="shared" si="96"/>
        <v/>
      </c>
      <c r="B3121" t="str">
        <f t="shared" si="97"/>
        <v/>
      </c>
      <c r="C3121" t="str">
        <f>IF(D3121="","",IF(COUNTIF($D$2:D3121,D3121)&gt;1,"",SUMIFS(tbl_input[필요수량],tbl_input[집계키_청],D3121)))</f>
        <v/>
      </c>
      <c r="D3121" t="str">
        <f>IFERROR(INDEX(tbl_input[집계키_청],ROW()-1),"")</f>
        <v/>
      </c>
    </row>
    <row r="3122" spans="1:4" x14ac:dyDescent="0.4">
      <c r="A3122" t="str">
        <f t="shared" si="96"/>
        <v/>
      </c>
      <c r="B3122" t="str">
        <f t="shared" si="97"/>
        <v/>
      </c>
      <c r="C3122" t="str">
        <f>IF(D3122="","",IF(COUNTIF($D$2:D3122,D3122)&gt;1,"",SUMIFS(tbl_input[필요수량],tbl_input[집계키_청],D3122)))</f>
        <v/>
      </c>
      <c r="D3122" t="str">
        <f>IFERROR(INDEX(tbl_input[집계키_청],ROW()-1),"")</f>
        <v/>
      </c>
    </row>
    <row r="3123" spans="1:4" x14ac:dyDescent="0.4">
      <c r="A3123" t="str">
        <f t="shared" si="96"/>
        <v/>
      </c>
      <c r="B3123" t="str">
        <f t="shared" si="97"/>
        <v/>
      </c>
      <c r="C3123" t="str">
        <f>IF(D3123="","",IF(COUNTIF($D$2:D3123,D3123)&gt;1,"",SUMIFS(tbl_input[필요수량],tbl_input[집계키_청],D3123)))</f>
        <v/>
      </c>
      <c r="D3123" t="str">
        <f>IFERROR(INDEX(tbl_input[집계키_청],ROW()-1),"")</f>
        <v/>
      </c>
    </row>
    <row r="3124" spans="1:4" x14ac:dyDescent="0.4">
      <c r="A3124" t="str">
        <f t="shared" si="96"/>
        <v/>
      </c>
      <c r="B3124" t="str">
        <f t="shared" si="97"/>
        <v/>
      </c>
      <c r="C3124" t="str">
        <f>IF(D3124="","",IF(COUNTIF($D$2:D3124,D3124)&gt;1,"",SUMIFS(tbl_input[필요수량],tbl_input[집계키_청],D3124)))</f>
        <v/>
      </c>
      <c r="D3124" t="str">
        <f>IFERROR(INDEX(tbl_input[집계키_청],ROW()-1),"")</f>
        <v/>
      </c>
    </row>
    <row r="3125" spans="1:4" x14ac:dyDescent="0.4">
      <c r="A3125" t="str">
        <f t="shared" si="96"/>
        <v/>
      </c>
      <c r="B3125" t="str">
        <f t="shared" si="97"/>
        <v/>
      </c>
      <c r="C3125" t="str">
        <f>IF(D3125="","",IF(COUNTIF($D$2:D3125,D3125)&gt;1,"",SUMIFS(tbl_input[필요수량],tbl_input[집계키_청],D3125)))</f>
        <v/>
      </c>
      <c r="D3125" t="str">
        <f>IFERROR(INDEX(tbl_input[집계키_청],ROW()-1),"")</f>
        <v/>
      </c>
    </row>
    <row r="3126" spans="1:4" x14ac:dyDescent="0.4">
      <c r="A3126" t="str">
        <f t="shared" si="96"/>
        <v/>
      </c>
      <c r="B3126" t="str">
        <f t="shared" si="97"/>
        <v/>
      </c>
      <c r="C3126" t="str">
        <f>IF(D3126="","",IF(COUNTIF($D$2:D3126,D3126)&gt;1,"",SUMIFS(tbl_input[필요수량],tbl_input[집계키_청],D3126)))</f>
        <v/>
      </c>
      <c r="D3126" t="str">
        <f>IFERROR(INDEX(tbl_input[집계키_청],ROW()-1),"")</f>
        <v/>
      </c>
    </row>
    <row r="3127" spans="1:4" x14ac:dyDescent="0.4">
      <c r="A3127" t="str">
        <f t="shared" si="96"/>
        <v/>
      </c>
      <c r="B3127" t="str">
        <f t="shared" si="97"/>
        <v/>
      </c>
      <c r="C3127" t="str">
        <f>IF(D3127="","",IF(COUNTIF($D$2:D3127,D3127)&gt;1,"",SUMIFS(tbl_input[필요수량],tbl_input[집계키_청],D3127)))</f>
        <v/>
      </c>
      <c r="D3127" t="str">
        <f>IFERROR(INDEX(tbl_input[집계키_청],ROW()-1),"")</f>
        <v/>
      </c>
    </row>
    <row r="3128" spans="1:4" x14ac:dyDescent="0.4">
      <c r="A3128" t="str">
        <f t="shared" si="96"/>
        <v/>
      </c>
      <c r="B3128" t="str">
        <f t="shared" si="97"/>
        <v/>
      </c>
      <c r="C3128" t="str">
        <f>IF(D3128="","",IF(COUNTIF($D$2:D3128,D3128)&gt;1,"",SUMIFS(tbl_input[필요수량],tbl_input[집계키_청],D3128)))</f>
        <v/>
      </c>
      <c r="D3128" t="str">
        <f>IFERROR(INDEX(tbl_input[집계키_청],ROW()-1),"")</f>
        <v/>
      </c>
    </row>
    <row r="3129" spans="1:4" x14ac:dyDescent="0.4">
      <c r="A3129" t="str">
        <f t="shared" si="96"/>
        <v/>
      </c>
      <c r="B3129" t="str">
        <f t="shared" si="97"/>
        <v/>
      </c>
      <c r="C3129" t="str">
        <f>IF(D3129="","",IF(COUNTIF($D$2:D3129,D3129)&gt;1,"",SUMIFS(tbl_input[필요수량],tbl_input[집계키_청],D3129)))</f>
        <v/>
      </c>
      <c r="D3129" t="str">
        <f>IFERROR(INDEX(tbl_input[집계키_청],ROW()-1),"")</f>
        <v/>
      </c>
    </row>
    <row r="3130" spans="1:4" x14ac:dyDescent="0.4">
      <c r="A3130" t="str">
        <f t="shared" si="96"/>
        <v/>
      </c>
      <c r="B3130" t="str">
        <f t="shared" si="97"/>
        <v/>
      </c>
      <c r="C3130" t="str">
        <f>IF(D3130="","",IF(COUNTIF($D$2:D3130,D3130)&gt;1,"",SUMIFS(tbl_input[필요수량],tbl_input[집계키_청],D3130)))</f>
        <v/>
      </c>
      <c r="D3130" t="str">
        <f>IFERROR(INDEX(tbl_input[집계키_청],ROW()-1),"")</f>
        <v/>
      </c>
    </row>
    <row r="3131" spans="1:4" x14ac:dyDescent="0.4">
      <c r="A3131" t="str">
        <f t="shared" si="96"/>
        <v/>
      </c>
      <c r="B3131" t="str">
        <f t="shared" si="97"/>
        <v/>
      </c>
      <c r="C3131" t="str">
        <f>IF(D3131="","",IF(COUNTIF($D$2:D3131,D3131)&gt;1,"",SUMIFS(tbl_input[필요수량],tbl_input[집계키_청],D3131)))</f>
        <v/>
      </c>
      <c r="D3131" t="str">
        <f>IFERROR(INDEX(tbl_input[집계키_청],ROW()-1),"")</f>
        <v/>
      </c>
    </row>
    <row r="3132" spans="1:4" x14ac:dyDescent="0.4">
      <c r="A3132" t="str">
        <f t="shared" si="96"/>
        <v/>
      </c>
      <c r="B3132" t="str">
        <f t="shared" si="97"/>
        <v/>
      </c>
      <c r="C3132" t="str">
        <f>IF(D3132="","",IF(COUNTIF($D$2:D3132,D3132)&gt;1,"",SUMIFS(tbl_input[필요수량],tbl_input[집계키_청],D3132)))</f>
        <v/>
      </c>
      <c r="D3132" t="str">
        <f>IFERROR(INDEX(tbl_input[집계키_청],ROW()-1),"")</f>
        <v/>
      </c>
    </row>
    <row r="3133" spans="1:4" x14ac:dyDescent="0.4">
      <c r="A3133" t="str">
        <f t="shared" si="96"/>
        <v/>
      </c>
      <c r="B3133" t="str">
        <f t="shared" si="97"/>
        <v/>
      </c>
      <c r="C3133" t="str">
        <f>IF(D3133="","",IF(COUNTIF($D$2:D3133,D3133)&gt;1,"",SUMIFS(tbl_input[필요수량],tbl_input[집계키_청],D3133)))</f>
        <v/>
      </c>
      <c r="D3133" t="str">
        <f>IFERROR(INDEX(tbl_input[집계키_청],ROW()-1),"")</f>
        <v/>
      </c>
    </row>
    <row r="3134" spans="1:4" x14ac:dyDescent="0.4">
      <c r="A3134" t="str">
        <f t="shared" si="96"/>
        <v/>
      </c>
      <c r="B3134" t="str">
        <f t="shared" si="97"/>
        <v/>
      </c>
      <c r="C3134" t="str">
        <f>IF(D3134="","",IF(COUNTIF($D$2:D3134,D3134)&gt;1,"",SUMIFS(tbl_input[필요수량],tbl_input[집계키_청],D3134)))</f>
        <v/>
      </c>
      <c r="D3134" t="str">
        <f>IFERROR(INDEX(tbl_input[집계키_청],ROW()-1),"")</f>
        <v/>
      </c>
    </row>
    <row r="3135" spans="1:4" x14ac:dyDescent="0.4">
      <c r="A3135" t="str">
        <f t="shared" si="96"/>
        <v/>
      </c>
      <c r="B3135" t="str">
        <f t="shared" si="97"/>
        <v/>
      </c>
      <c r="C3135" t="str">
        <f>IF(D3135="","",IF(COUNTIF($D$2:D3135,D3135)&gt;1,"",SUMIFS(tbl_input[필요수량],tbl_input[집계키_청],D3135)))</f>
        <v/>
      </c>
      <c r="D3135" t="str">
        <f>IFERROR(INDEX(tbl_input[집계키_청],ROW()-1),"")</f>
        <v/>
      </c>
    </row>
    <row r="3136" spans="1:4" x14ac:dyDescent="0.4">
      <c r="A3136" t="str">
        <f t="shared" si="96"/>
        <v/>
      </c>
      <c r="B3136" t="str">
        <f t="shared" si="97"/>
        <v/>
      </c>
      <c r="C3136" t="str">
        <f>IF(D3136="","",IF(COUNTIF($D$2:D3136,D3136)&gt;1,"",SUMIFS(tbl_input[필요수량],tbl_input[집계키_청],D3136)))</f>
        <v/>
      </c>
      <c r="D3136" t="str">
        <f>IFERROR(INDEX(tbl_input[집계키_청],ROW()-1),"")</f>
        <v/>
      </c>
    </row>
    <row r="3137" spans="1:4" x14ac:dyDescent="0.4">
      <c r="A3137" t="str">
        <f t="shared" si="96"/>
        <v/>
      </c>
      <c r="B3137" t="str">
        <f t="shared" si="97"/>
        <v/>
      </c>
      <c r="C3137" t="str">
        <f>IF(D3137="","",IF(COUNTIF($D$2:D3137,D3137)&gt;1,"",SUMIFS(tbl_input[필요수량],tbl_input[집계키_청],D3137)))</f>
        <v/>
      </c>
      <c r="D3137" t="str">
        <f>IFERROR(INDEX(tbl_input[집계키_청],ROW()-1),"")</f>
        <v/>
      </c>
    </row>
    <row r="3138" spans="1:4" x14ac:dyDescent="0.4">
      <c r="A3138" t="str">
        <f t="shared" ref="A3138:A3201" si="98">IF(D3138="","",LEFT(D3138,FIND("♦",D3138)-1))</f>
        <v/>
      </c>
      <c r="B3138" t="str">
        <f t="shared" ref="B3138:B3201" si="99">IF(D3138="","",MID(D3138,FIND("♦",D3138)+1,999))</f>
        <v/>
      </c>
      <c r="C3138" t="str">
        <f>IF(D3138="","",IF(COUNTIF($D$2:D3138,D3138)&gt;1,"",SUMIFS(tbl_input[필요수량],tbl_input[집계키_청],D3138)))</f>
        <v/>
      </c>
      <c r="D3138" t="str">
        <f>IFERROR(INDEX(tbl_input[집계키_청],ROW()-1),"")</f>
        <v/>
      </c>
    </row>
    <row r="3139" spans="1:4" x14ac:dyDescent="0.4">
      <c r="A3139" t="str">
        <f t="shared" si="98"/>
        <v/>
      </c>
      <c r="B3139" t="str">
        <f t="shared" si="99"/>
        <v/>
      </c>
      <c r="C3139" t="str">
        <f>IF(D3139="","",IF(COUNTIF($D$2:D3139,D3139)&gt;1,"",SUMIFS(tbl_input[필요수량],tbl_input[집계키_청],D3139)))</f>
        <v/>
      </c>
      <c r="D3139" t="str">
        <f>IFERROR(INDEX(tbl_input[집계키_청],ROW()-1),"")</f>
        <v/>
      </c>
    </row>
    <row r="3140" spans="1:4" x14ac:dyDescent="0.4">
      <c r="A3140" t="str">
        <f t="shared" si="98"/>
        <v/>
      </c>
      <c r="B3140" t="str">
        <f t="shared" si="99"/>
        <v/>
      </c>
      <c r="C3140" t="str">
        <f>IF(D3140="","",IF(COUNTIF($D$2:D3140,D3140)&gt;1,"",SUMIFS(tbl_input[필요수량],tbl_input[집계키_청],D3140)))</f>
        <v/>
      </c>
      <c r="D3140" t="str">
        <f>IFERROR(INDEX(tbl_input[집계키_청],ROW()-1),"")</f>
        <v/>
      </c>
    </row>
    <row r="3141" spans="1:4" x14ac:dyDescent="0.4">
      <c r="A3141" t="str">
        <f t="shared" si="98"/>
        <v/>
      </c>
      <c r="B3141" t="str">
        <f t="shared" si="99"/>
        <v/>
      </c>
      <c r="C3141" t="str">
        <f>IF(D3141="","",IF(COUNTIF($D$2:D3141,D3141)&gt;1,"",SUMIFS(tbl_input[필요수량],tbl_input[집계키_청],D3141)))</f>
        <v/>
      </c>
      <c r="D3141" t="str">
        <f>IFERROR(INDEX(tbl_input[집계키_청],ROW()-1),"")</f>
        <v/>
      </c>
    </row>
    <row r="3142" spans="1:4" x14ac:dyDescent="0.4">
      <c r="A3142" t="str">
        <f t="shared" si="98"/>
        <v/>
      </c>
      <c r="B3142" t="str">
        <f t="shared" si="99"/>
        <v/>
      </c>
      <c r="C3142" t="str">
        <f>IF(D3142="","",IF(COUNTIF($D$2:D3142,D3142)&gt;1,"",SUMIFS(tbl_input[필요수량],tbl_input[집계키_청],D3142)))</f>
        <v/>
      </c>
      <c r="D3142" t="str">
        <f>IFERROR(INDEX(tbl_input[집계키_청],ROW()-1),"")</f>
        <v/>
      </c>
    </row>
    <row r="3143" spans="1:4" x14ac:dyDescent="0.4">
      <c r="A3143" t="str">
        <f t="shared" si="98"/>
        <v/>
      </c>
      <c r="B3143" t="str">
        <f t="shared" si="99"/>
        <v/>
      </c>
      <c r="C3143" t="str">
        <f>IF(D3143="","",IF(COUNTIF($D$2:D3143,D3143)&gt;1,"",SUMIFS(tbl_input[필요수량],tbl_input[집계키_청],D3143)))</f>
        <v/>
      </c>
      <c r="D3143" t="str">
        <f>IFERROR(INDEX(tbl_input[집계키_청],ROW()-1),"")</f>
        <v/>
      </c>
    </row>
    <row r="3144" spans="1:4" x14ac:dyDescent="0.4">
      <c r="A3144" t="str">
        <f t="shared" si="98"/>
        <v/>
      </c>
      <c r="B3144" t="str">
        <f t="shared" si="99"/>
        <v/>
      </c>
      <c r="C3144" t="str">
        <f>IF(D3144="","",IF(COUNTIF($D$2:D3144,D3144)&gt;1,"",SUMIFS(tbl_input[필요수량],tbl_input[집계키_청],D3144)))</f>
        <v/>
      </c>
      <c r="D3144" t="str">
        <f>IFERROR(INDEX(tbl_input[집계키_청],ROW()-1),"")</f>
        <v/>
      </c>
    </row>
    <row r="3145" spans="1:4" x14ac:dyDescent="0.4">
      <c r="A3145" t="str">
        <f t="shared" si="98"/>
        <v/>
      </c>
      <c r="B3145" t="str">
        <f t="shared" si="99"/>
        <v/>
      </c>
      <c r="C3145" t="str">
        <f>IF(D3145="","",IF(COUNTIF($D$2:D3145,D3145)&gt;1,"",SUMIFS(tbl_input[필요수량],tbl_input[집계키_청],D3145)))</f>
        <v/>
      </c>
      <c r="D3145" t="str">
        <f>IFERROR(INDEX(tbl_input[집계키_청],ROW()-1),"")</f>
        <v/>
      </c>
    </row>
    <row r="3146" spans="1:4" x14ac:dyDescent="0.4">
      <c r="A3146" t="str">
        <f t="shared" si="98"/>
        <v/>
      </c>
      <c r="B3146" t="str">
        <f t="shared" si="99"/>
        <v/>
      </c>
      <c r="C3146" t="str">
        <f>IF(D3146="","",IF(COUNTIF($D$2:D3146,D3146)&gt;1,"",SUMIFS(tbl_input[필요수량],tbl_input[집계키_청],D3146)))</f>
        <v/>
      </c>
      <c r="D3146" t="str">
        <f>IFERROR(INDEX(tbl_input[집계키_청],ROW()-1),"")</f>
        <v/>
      </c>
    </row>
    <row r="3147" spans="1:4" x14ac:dyDescent="0.4">
      <c r="A3147" t="str">
        <f t="shared" si="98"/>
        <v/>
      </c>
      <c r="B3147" t="str">
        <f t="shared" si="99"/>
        <v/>
      </c>
      <c r="C3147" t="str">
        <f>IF(D3147="","",IF(COUNTIF($D$2:D3147,D3147)&gt;1,"",SUMIFS(tbl_input[필요수량],tbl_input[집계키_청],D3147)))</f>
        <v/>
      </c>
      <c r="D3147" t="str">
        <f>IFERROR(INDEX(tbl_input[집계키_청],ROW()-1),"")</f>
        <v/>
      </c>
    </row>
    <row r="3148" spans="1:4" x14ac:dyDescent="0.4">
      <c r="A3148" t="str">
        <f t="shared" si="98"/>
        <v/>
      </c>
      <c r="B3148" t="str">
        <f t="shared" si="99"/>
        <v/>
      </c>
      <c r="C3148" t="str">
        <f>IF(D3148="","",IF(COUNTIF($D$2:D3148,D3148)&gt;1,"",SUMIFS(tbl_input[필요수량],tbl_input[집계키_청],D3148)))</f>
        <v/>
      </c>
      <c r="D3148" t="str">
        <f>IFERROR(INDEX(tbl_input[집계키_청],ROW()-1),"")</f>
        <v/>
      </c>
    </row>
    <row r="3149" spans="1:4" x14ac:dyDescent="0.4">
      <c r="A3149" t="str">
        <f t="shared" si="98"/>
        <v/>
      </c>
      <c r="B3149" t="str">
        <f t="shared" si="99"/>
        <v/>
      </c>
      <c r="C3149" t="str">
        <f>IF(D3149="","",IF(COUNTIF($D$2:D3149,D3149)&gt;1,"",SUMIFS(tbl_input[필요수량],tbl_input[집계키_청],D3149)))</f>
        <v/>
      </c>
      <c r="D3149" t="str">
        <f>IFERROR(INDEX(tbl_input[집계키_청],ROW()-1),"")</f>
        <v/>
      </c>
    </row>
    <row r="3150" spans="1:4" x14ac:dyDescent="0.4">
      <c r="A3150" t="str">
        <f t="shared" si="98"/>
        <v/>
      </c>
      <c r="B3150" t="str">
        <f t="shared" si="99"/>
        <v/>
      </c>
      <c r="C3150" t="str">
        <f>IF(D3150="","",IF(COUNTIF($D$2:D3150,D3150)&gt;1,"",SUMIFS(tbl_input[필요수량],tbl_input[집계키_청],D3150)))</f>
        <v/>
      </c>
      <c r="D3150" t="str">
        <f>IFERROR(INDEX(tbl_input[집계키_청],ROW()-1),"")</f>
        <v/>
      </c>
    </row>
    <row r="3151" spans="1:4" x14ac:dyDescent="0.4">
      <c r="A3151" t="str">
        <f t="shared" si="98"/>
        <v/>
      </c>
      <c r="B3151" t="str">
        <f t="shared" si="99"/>
        <v/>
      </c>
      <c r="C3151" t="str">
        <f>IF(D3151="","",IF(COUNTIF($D$2:D3151,D3151)&gt;1,"",SUMIFS(tbl_input[필요수량],tbl_input[집계키_청],D3151)))</f>
        <v/>
      </c>
      <c r="D3151" t="str">
        <f>IFERROR(INDEX(tbl_input[집계키_청],ROW()-1),"")</f>
        <v/>
      </c>
    </row>
    <row r="3152" spans="1:4" x14ac:dyDescent="0.4">
      <c r="A3152" t="str">
        <f t="shared" si="98"/>
        <v/>
      </c>
      <c r="B3152" t="str">
        <f t="shared" si="99"/>
        <v/>
      </c>
      <c r="C3152" t="str">
        <f>IF(D3152="","",IF(COUNTIF($D$2:D3152,D3152)&gt;1,"",SUMIFS(tbl_input[필요수량],tbl_input[집계키_청],D3152)))</f>
        <v/>
      </c>
      <c r="D3152" t="str">
        <f>IFERROR(INDEX(tbl_input[집계키_청],ROW()-1),"")</f>
        <v/>
      </c>
    </row>
    <row r="3153" spans="1:4" x14ac:dyDescent="0.4">
      <c r="A3153" t="str">
        <f t="shared" si="98"/>
        <v/>
      </c>
      <c r="B3153" t="str">
        <f t="shared" si="99"/>
        <v/>
      </c>
      <c r="C3153" t="str">
        <f>IF(D3153="","",IF(COUNTIF($D$2:D3153,D3153)&gt;1,"",SUMIFS(tbl_input[필요수량],tbl_input[집계키_청],D3153)))</f>
        <v/>
      </c>
      <c r="D3153" t="str">
        <f>IFERROR(INDEX(tbl_input[집계키_청],ROW()-1),"")</f>
        <v/>
      </c>
    </row>
    <row r="3154" spans="1:4" x14ac:dyDescent="0.4">
      <c r="A3154" t="str">
        <f t="shared" si="98"/>
        <v/>
      </c>
      <c r="B3154" t="str">
        <f t="shared" si="99"/>
        <v/>
      </c>
      <c r="C3154" t="str">
        <f>IF(D3154="","",IF(COUNTIF($D$2:D3154,D3154)&gt;1,"",SUMIFS(tbl_input[필요수량],tbl_input[집계키_청],D3154)))</f>
        <v/>
      </c>
      <c r="D3154" t="str">
        <f>IFERROR(INDEX(tbl_input[집계키_청],ROW()-1),"")</f>
        <v/>
      </c>
    </row>
    <row r="3155" spans="1:4" x14ac:dyDescent="0.4">
      <c r="A3155" t="str">
        <f t="shared" si="98"/>
        <v/>
      </c>
      <c r="B3155" t="str">
        <f t="shared" si="99"/>
        <v/>
      </c>
      <c r="C3155" t="str">
        <f>IF(D3155="","",IF(COUNTIF($D$2:D3155,D3155)&gt;1,"",SUMIFS(tbl_input[필요수량],tbl_input[집계키_청],D3155)))</f>
        <v/>
      </c>
      <c r="D3155" t="str">
        <f>IFERROR(INDEX(tbl_input[집계키_청],ROW()-1),"")</f>
        <v/>
      </c>
    </row>
    <row r="3156" spans="1:4" x14ac:dyDescent="0.4">
      <c r="A3156" t="str">
        <f t="shared" si="98"/>
        <v/>
      </c>
      <c r="B3156" t="str">
        <f t="shared" si="99"/>
        <v/>
      </c>
      <c r="C3156" t="str">
        <f>IF(D3156="","",IF(COUNTIF($D$2:D3156,D3156)&gt;1,"",SUMIFS(tbl_input[필요수량],tbl_input[집계키_청],D3156)))</f>
        <v/>
      </c>
      <c r="D3156" t="str">
        <f>IFERROR(INDEX(tbl_input[집계키_청],ROW()-1),"")</f>
        <v/>
      </c>
    </row>
    <row r="3157" spans="1:4" x14ac:dyDescent="0.4">
      <c r="A3157" t="str">
        <f t="shared" si="98"/>
        <v/>
      </c>
      <c r="B3157" t="str">
        <f t="shared" si="99"/>
        <v/>
      </c>
      <c r="C3157" t="str">
        <f>IF(D3157="","",IF(COUNTIF($D$2:D3157,D3157)&gt;1,"",SUMIFS(tbl_input[필요수량],tbl_input[집계키_청],D3157)))</f>
        <v/>
      </c>
      <c r="D3157" t="str">
        <f>IFERROR(INDEX(tbl_input[집계키_청],ROW()-1),"")</f>
        <v/>
      </c>
    </row>
    <row r="3158" spans="1:4" x14ac:dyDescent="0.4">
      <c r="A3158" t="str">
        <f t="shared" si="98"/>
        <v/>
      </c>
      <c r="B3158" t="str">
        <f t="shared" si="99"/>
        <v/>
      </c>
      <c r="C3158" t="str">
        <f>IF(D3158="","",IF(COUNTIF($D$2:D3158,D3158)&gt;1,"",SUMIFS(tbl_input[필요수량],tbl_input[집계키_청],D3158)))</f>
        <v/>
      </c>
      <c r="D3158" t="str">
        <f>IFERROR(INDEX(tbl_input[집계키_청],ROW()-1),"")</f>
        <v/>
      </c>
    </row>
    <row r="3159" spans="1:4" x14ac:dyDescent="0.4">
      <c r="A3159" t="str">
        <f t="shared" si="98"/>
        <v/>
      </c>
      <c r="B3159" t="str">
        <f t="shared" si="99"/>
        <v/>
      </c>
      <c r="C3159" t="str">
        <f>IF(D3159="","",IF(COUNTIF($D$2:D3159,D3159)&gt;1,"",SUMIFS(tbl_input[필요수량],tbl_input[집계키_청],D3159)))</f>
        <v/>
      </c>
      <c r="D3159" t="str">
        <f>IFERROR(INDEX(tbl_input[집계키_청],ROW()-1),"")</f>
        <v/>
      </c>
    </row>
    <row r="3160" spans="1:4" x14ac:dyDescent="0.4">
      <c r="A3160" t="str">
        <f t="shared" si="98"/>
        <v/>
      </c>
      <c r="B3160" t="str">
        <f t="shared" si="99"/>
        <v/>
      </c>
      <c r="C3160" t="str">
        <f>IF(D3160="","",IF(COUNTIF($D$2:D3160,D3160)&gt;1,"",SUMIFS(tbl_input[필요수량],tbl_input[집계키_청],D3160)))</f>
        <v/>
      </c>
      <c r="D3160" t="str">
        <f>IFERROR(INDEX(tbl_input[집계키_청],ROW()-1),"")</f>
        <v/>
      </c>
    </row>
    <row r="3161" spans="1:4" x14ac:dyDescent="0.4">
      <c r="A3161" t="str">
        <f t="shared" si="98"/>
        <v/>
      </c>
      <c r="B3161" t="str">
        <f t="shared" si="99"/>
        <v/>
      </c>
      <c r="C3161" t="str">
        <f>IF(D3161="","",IF(COUNTIF($D$2:D3161,D3161)&gt;1,"",SUMIFS(tbl_input[필요수량],tbl_input[집계키_청],D3161)))</f>
        <v/>
      </c>
      <c r="D3161" t="str">
        <f>IFERROR(INDEX(tbl_input[집계키_청],ROW()-1),"")</f>
        <v/>
      </c>
    </row>
    <row r="3162" spans="1:4" x14ac:dyDescent="0.4">
      <c r="A3162" t="str">
        <f t="shared" si="98"/>
        <v/>
      </c>
      <c r="B3162" t="str">
        <f t="shared" si="99"/>
        <v/>
      </c>
      <c r="C3162" t="str">
        <f>IF(D3162="","",IF(COUNTIF($D$2:D3162,D3162)&gt;1,"",SUMIFS(tbl_input[필요수량],tbl_input[집계키_청],D3162)))</f>
        <v/>
      </c>
      <c r="D3162" t="str">
        <f>IFERROR(INDEX(tbl_input[집계키_청],ROW()-1),"")</f>
        <v/>
      </c>
    </row>
    <row r="3163" spans="1:4" x14ac:dyDescent="0.4">
      <c r="A3163" t="str">
        <f t="shared" si="98"/>
        <v/>
      </c>
      <c r="B3163" t="str">
        <f t="shared" si="99"/>
        <v/>
      </c>
      <c r="C3163" t="str">
        <f>IF(D3163="","",IF(COUNTIF($D$2:D3163,D3163)&gt;1,"",SUMIFS(tbl_input[필요수량],tbl_input[집계키_청],D3163)))</f>
        <v/>
      </c>
      <c r="D3163" t="str">
        <f>IFERROR(INDEX(tbl_input[집계키_청],ROW()-1),"")</f>
        <v/>
      </c>
    </row>
    <row r="3164" spans="1:4" x14ac:dyDescent="0.4">
      <c r="A3164" t="str">
        <f t="shared" si="98"/>
        <v/>
      </c>
      <c r="B3164" t="str">
        <f t="shared" si="99"/>
        <v/>
      </c>
      <c r="C3164" t="str">
        <f>IF(D3164="","",IF(COUNTIF($D$2:D3164,D3164)&gt;1,"",SUMIFS(tbl_input[필요수량],tbl_input[집계키_청],D3164)))</f>
        <v/>
      </c>
      <c r="D3164" t="str">
        <f>IFERROR(INDEX(tbl_input[집계키_청],ROW()-1),"")</f>
        <v/>
      </c>
    </row>
    <row r="3165" spans="1:4" x14ac:dyDescent="0.4">
      <c r="A3165" t="str">
        <f t="shared" si="98"/>
        <v/>
      </c>
      <c r="B3165" t="str">
        <f t="shared" si="99"/>
        <v/>
      </c>
      <c r="C3165" t="str">
        <f>IF(D3165="","",IF(COUNTIF($D$2:D3165,D3165)&gt;1,"",SUMIFS(tbl_input[필요수량],tbl_input[집계키_청],D3165)))</f>
        <v/>
      </c>
      <c r="D3165" t="str">
        <f>IFERROR(INDEX(tbl_input[집계키_청],ROW()-1),"")</f>
        <v/>
      </c>
    </row>
    <row r="3166" spans="1:4" x14ac:dyDescent="0.4">
      <c r="A3166" t="str">
        <f t="shared" si="98"/>
        <v/>
      </c>
      <c r="B3166" t="str">
        <f t="shared" si="99"/>
        <v/>
      </c>
      <c r="C3166" t="str">
        <f>IF(D3166="","",IF(COUNTIF($D$2:D3166,D3166)&gt;1,"",SUMIFS(tbl_input[필요수량],tbl_input[집계키_청],D3166)))</f>
        <v/>
      </c>
      <c r="D3166" t="str">
        <f>IFERROR(INDEX(tbl_input[집계키_청],ROW()-1),"")</f>
        <v/>
      </c>
    </row>
    <row r="3167" spans="1:4" x14ac:dyDescent="0.4">
      <c r="A3167" t="str">
        <f t="shared" si="98"/>
        <v/>
      </c>
      <c r="B3167" t="str">
        <f t="shared" si="99"/>
        <v/>
      </c>
      <c r="C3167" t="str">
        <f>IF(D3167="","",IF(COUNTIF($D$2:D3167,D3167)&gt;1,"",SUMIFS(tbl_input[필요수량],tbl_input[집계키_청],D3167)))</f>
        <v/>
      </c>
      <c r="D3167" t="str">
        <f>IFERROR(INDEX(tbl_input[집계키_청],ROW()-1),"")</f>
        <v/>
      </c>
    </row>
    <row r="3168" spans="1:4" x14ac:dyDescent="0.4">
      <c r="A3168" t="str">
        <f t="shared" si="98"/>
        <v/>
      </c>
      <c r="B3168" t="str">
        <f t="shared" si="99"/>
        <v/>
      </c>
      <c r="C3168" t="str">
        <f>IF(D3168="","",IF(COUNTIF($D$2:D3168,D3168)&gt;1,"",SUMIFS(tbl_input[필요수량],tbl_input[집계키_청],D3168)))</f>
        <v/>
      </c>
      <c r="D3168" t="str">
        <f>IFERROR(INDEX(tbl_input[집계키_청],ROW()-1),"")</f>
        <v/>
      </c>
    </row>
    <row r="3169" spans="1:4" x14ac:dyDescent="0.4">
      <c r="A3169" t="str">
        <f t="shared" si="98"/>
        <v/>
      </c>
      <c r="B3169" t="str">
        <f t="shared" si="99"/>
        <v/>
      </c>
      <c r="C3169" t="str">
        <f>IF(D3169="","",IF(COUNTIF($D$2:D3169,D3169)&gt;1,"",SUMIFS(tbl_input[필요수량],tbl_input[집계키_청],D3169)))</f>
        <v/>
      </c>
      <c r="D3169" t="str">
        <f>IFERROR(INDEX(tbl_input[집계키_청],ROW()-1),"")</f>
        <v/>
      </c>
    </row>
    <row r="3170" spans="1:4" x14ac:dyDescent="0.4">
      <c r="A3170" t="str">
        <f t="shared" si="98"/>
        <v/>
      </c>
      <c r="B3170" t="str">
        <f t="shared" si="99"/>
        <v/>
      </c>
      <c r="C3170" t="str">
        <f>IF(D3170="","",IF(COUNTIF($D$2:D3170,D3170)&gt;1,"",SUMIFS(tbl_input[필요수량],tbl_input[집계키_청],D3170)))</f>
        <v/>
      </c>
      <c r="D3170" t="str">
        <f>IFERROR(INDEX(tbl_input[집계키_청],ROW()-1),"")</f>
        <v/>
      </c>
    </row>
    <row r="3171" spans="1:4" x14ac:dyDescent="0.4">
      <c r="A3171" t="str">
        <f t="shared" si="98"/>
        <v/>
      </c>
      <c r="B3171" t="str">
        <f t="shared" si="99"/>
        <v/>
      </c>
      <c r="C3171" t="str">
        <f>IF(D3171="","",IF(COUNTIF($D$2:D3171,D3171)&gt;1,"",SUMIFS(tbl_input[필요수량],tbl_input[집계키_청],D3171)))</f>
        <v/>
      </c>
      <c r="D3171" t="str">
        <f>IFERROR(INDEX(tbl_input[집계키_청],ROW()-1),"")</f>
        <v/>
      </c>
    </row>
    <row r="3172" spans="1:4" x14ac:dyDescent="0.4">
      <c r="A3172" t="str">
        <f t="shared" si="98"/>
        <v/>
      </c>
      <c r="B3172" t="str">
        <f t="shared" si="99"/>
        <v/>
      </c>
      <c r="C3172" t="str">
        <f>IF(D3172="","",IF(COUNTIF($D$2:D3172,D3172)&gt;1,"",SUMIFS(tbl_input[필요수량],tbl_input[집계키_청],D3172)))</f>
        <v/>
      </c>
      <c r="D3172" t="str">
        <f>IFERROR(INDEX(tbl_input[집계키_청],ROW()-1),"")</f>
        <v/>
      </c>
    </row>
    <row r="3173" spans="1:4" x14ac:dyDescent="0.4">
      <c r="A3173" t="str">
        <f t="shared" si="98"/>
        <v/>
      </c>
      <c r="B3173" t="str">
        <f t="shared" si="99"/>
        <v/>
      </c>
      <c r="C3173" t="str">
        <f>IF(D3173="","",IF(COUNTIF($D$2:D3173,D3173)&gt;1,"",SUMIFS(tbl_input[필요수량],tbl_input[집계키_청],D3173)))</f>
        <v/>
      </c>
      <c r="D3173" t="str">
        <f>IFERROR(INDEX(tbl_input[집계키_청],ROW()-1),"")</f>
        <v/>
      </c>
    </row>
    <row r="3174" spans="1:4" x14ac:dyDescent="0.4">
      <c r="A3174" t="str">
        <f t="shared" si="98"/>
        <v/>
      </c>
      <c r="B3174" t="str">
        <f t="shared" si="99"/>
        <v/>
      </c>
      <c r="C3174" t="str">
        <f>IF(D3174="","",IF(COUNTIF($D$2:D3174,D3174)&gt;1,"",SUMIFS(tbl_input[필요수량],tbl_input[집계키_청],D3174)))</f>
        <v/>
      </c>
      <c r="D3174" t="str">
        <f>IFERROR(INDEX(tbl_input[집계키_청],ROW()-1),"")</f>
        <v/>
      </c>
    </row>
    <row r="3175" spans="1:4" x14ac:dyDescent="0.4">
      <c r="A3175" t="str">
        <f t="shared" si="98"/>
        <v/>
      </c>
      <c r="B3175" t="str">
        <f t="shared" si="99"/>
        <v/>
      </c>
      <c r="C3175" t="str">
        <f>IF(D3175="","",IF(COUNTIF($D$2:D3175,D3175)&gt;1,"",SUMIFS(tbl_input[필요수량],tbl_input[집계키_청],D3175)))</f>
        <v/>
      </c>
      <c r="D3175" t="str">
        <f>IFERROR(INDEX(tbl_input[집계키_청],ROW()-1),"")</f>
        <v/>
      </c>
    </row>
    <row r="3176" spans="1:4" x14ac:dyDescent="0.4">
      <c r="A3176" t="str">
        <f t="shared" si="98"/>
        <v/>
      </c>
      <c r="B3176" t="str">
        <f t="shared" si="99"/>
        <v/>
      </c>
      <c r="C3176" t="str">
        <f>IF(D3176="","",IF(COUNTIF($D$2:D3176,D3176)&gt;1,"",SUMIFS(tbl_input[필요수량],tbl_input[집계키_청],D3176)))</f>
        <v/>
      </c>
      <c r="D3176" t="str">
        <f>IFERROR(INDEX(tbl_input[집계키_청],ROW()-1),"")</f>
        <v/>
      </c>
    </row>
    <row r="3177" spans="1:4" x14ac:dyDescent="0.4">
      <c r="A3177" t="str">
        <f t="shared" si="98"/>
        <v/>
      </c>
      <c r="B3177" t="str">
        <f t="shared" si="99"/>
        <v/>
      </c>
      <c r="C3177" t="str">
        <f>IF(D3177="","",IF(COUNTIF($D$2:D3177,D3177)&gt;1,"",SUMIFS(tbl_input[필요수량],tbl_input[집계키_청],D3177)))</f>
        <v/>
      </c>
      <c r="D3177" t="str">
        <f>IFERROR(INDEX(tbl_input[집계키_청],ROW()-1),"")</f>
        <v/>
      </c>
    </row>
    <row r="3178" spans="1:4" x14ac:dyDescent="0.4">
      <c r="A3178" t="str">
        <f t="shared" si="98"/>
        <v/>
      </c>
      <c r="B3178" t="str">
        <f t="shared" si="99"/>
        <v/>
      </c>
      <c r="C3178" t="str">
        <f>IF(D3178="","",IF(COUNTIF($D$2:D3178,D3178)&gt;1,"",SUMIFS(tbl_input[필요수량],tbl_input[집계키_청],D3178)))</f>
        <v/>
      </c>
      <c r="D3178" t="str">
        <f>IFERROR(INDEX(tbl_input[집계키_청],ROW()-1),"")</f>
        <v/>
      </c>
    </row>
    <row r="3179" spans="1:4" x14ac:dyDescent="0.4">
      <c r="A3179" t="str">
        <f t="shared" si="98"/>
        <v/>
      </c>
      <c r="B3179" t="str">
        <f t="shared" si="99"/>
        <v/>
      </c>
      <c r="C3179" t="str">
        <f>IF(D3179="","",IF(COUNTIF($D$2:D3179,D3179)&gt;1,"",SUMIFS(tbl_input[필요수량],tbl_input[집계키_청],D3179)))</f>
        <v/>
      </c>
      <c r="D3179" t="str">
        <f>IFERROR(INDEX(tbl_input[집계키_청],ROW()-1),"")</f>
        <v/>
      </c>
    </row>
    <row r="3180" spans="1:4" x14ac:dyDescent="0.4">
      <c r="A3180" t="str">
        <f t="shared" si="98"/>
        <v/>
      </c>
      <c r="B3180" t="str">
        <f t="shared" si="99"/>
        <v/>
      </c>
      <c r="C3180" t="str">
        <f>IF(D3180="","",IF(COUNTIF($D$2:D3180,D3180)&gt;1,"",SUMIFS(tbl_input[필요수량],tbl_input[집계키_청],D3180)))</f>
        <v/>
      </c>
      <c r="D3180" t="str">
        <f>IFERROR(INDEX(tbl_input[집계키_청],ROW()-1),"")</f>
        <v/>
      </c>
    </row>
    <row r="3181" spans="1:4" x14ac:dyDescent="0.4">
      <c r="A3181" t="str">
        <f t="shared" si="98"/>
        <v/>
      </c>
      <c r="B3181" t="str">
        <f t="shared" si="99"/>
        <v/>
      </c>
      <c r="C3181" t="str">
        <f>IF(D3181="","",IF(COUNTIF($D$2:D3181,D3181)&gt;1,"",SUMIFS(tbl_input[필요수량],tbl_input[집계키_청],D3181)))</f>
        <v/>
      </c>
      <c r="D3181" t="str">
        <f>IFERROR(INDEX(tbl_input[집계키_청],ROW()-1),"")</f>
        <v/>
      </c>
    </row>
    <row r="3182" spans="1:4" x14ac:dyDescent="0.4">
      <c r="A3182" t="str">
        <f t="shared" si="98"/>
        <v/>
      </c>
      <c r="B3182" t="str">
        <f t="shared" si="99"/>
        <v/>
      </c>
      <c r="C3182" t="str">
        <f>IF(D3182="","",IF(COUNTIF($D$2:D3182,D3182)&gt;1,"",SUMIFS(tbl_input[필요수량],tbl_input[집계키_청],D3182)))</f>
        <v/>
      </c>
      <c r="D3182" t="str">
        <f>IFERROR(INDEX(tbl_input[집계키_청],ROW()-1),"")</f>
        <v/>
      </c>
    </row>
    <row r="3183" spans="1:4" x14ac:dyDescent="0.4">
      <c r="A3183" t="str">
        <f t="shared" si="98"/>
        <v/>
      </c>
      <c r="B3183" t="str">
        <f t="shared" si="99"/>
        <v/>
      </c>
      <c r="C3183" t="str">
        <f>IF(D3183="","",IF(COUNTIF($D$2:D3183,D3183)&gt;1,"",SUMIFS(tbl_input[필요수량],tbl_input[집계키_청],D3183)))</f>
        <v/>
      </c>
      <c r="D3183" t="str">
        <f>IFERROR(INDEX(tbl_input[집계키_청],ROW()-1),"")</f>
        <v/>
      </c>
    </row>
    <row r="3184" spans="1:4" x14ac:dyDescent="0.4">
      <c r="A3184" t="str">
        <f t="shared" si="98"/>
        <v/>
      </c>
      <c r="B3184" t="str">
        <f t="shared" si="99"/>
        <v/>
      </c>
      <c r="C3184" t="str">
        <f>IF(D3184="","",IF(COUNTIF($D$2:D3184,D3184)&gt;1,"",SUMIFS(tbl_input[필요수량],tbl_input[집계키_청],D3184)))</f>
        <v/>
      </c>
      <c r="D3184" t="str">
        <f>IFERROR(INDEX(tbl_input[집계키_청],ROW()-1),"")</f>
        <v/>
      </c>
    </row>
    <row r="3185" spans="1:4" x14ac:dyDescent="0.4">
      <c r="A3185" t="str">
        <f t="shared" si="98"/>
        <v/>
      </c>
      <c r="B3185" t="str">
        <f t="shared" si="99"/>
        <v/>
      </c>
      <c r="C3185" t="str">
        <f>IF(D3185="","",IF(COUNTIF($D$2:D3185,D3185)&gt;1,"",SUMIFS(tbl_input[필요수량],tbl_input[집계키_청],D3185)))</f>
        <v/>
      </c>
      <c r="D3185" t="str">
        <f>IFERROR(INDEX(tbl_input[집계키_청],ROW()-1),"")</f>
        <v/>
      </c>
    </row>
    <row r="3186" spans="1:4" x14ac:dyDescent="0.4">
      <c r="A3186" t="str">
        <f t="shared" si="98"/>
        <v/>
      </c>
      <c r="B3186" t="str">
        <f t="shared" si="99"/>
        <v/>
      </c>
      <c r="C3186" t="str">
        <f>IF(D3186="","",IF(COUNTIF($D$2:D3186,D3186)&gt;1,"",SUMIFS(tbl_input[필요수량],tbl_input[집계키_청],D3186)))</f>
        <v/>
      </c>
      <c r="D3186" t="str">
        <f>IFERROR(INDEX(tbl_input[집계키_청],ROW()-1),"")</f>
        <v/>
      </c>
    </row>
    <row r="3187" spans="1:4" x14ac:dyDescent="0.4">
      <c r="A3187" t="str">
        <f t="shared" si="98"/>
        <v/>
      </c>
      <c r="B3187" t="str">
        <f t="shared" si="99"/>
        <v/>
      </c>
      <c r="C3187" t="str">
        <f>IF(D3187="","",IF(COUNTIF($D$2:D3187,D3187)&gt;1,"",SUMIFS(tbl_input[필요수량],tbl_input[집계키_청],D3187)))</f>
        <v/>
      </c>
      <c r="D3187" t="str">
        <f>IFERROR(INDEX(tbl_input[집계키_청],ROW()-1),"")</f>
        <v/>
      </c>
    </row>
    <row r="3188" spans="1:4" x14ac:dyDescent="0.4">
      <c r="A3188" t="str">
        <f t="shared" si="98"/>
        <v/>
      </c>
      <c r="B3188" t="str">
        <f t="shared" si="99"/>
        <v/>
      </c>
      <c r="C3188" t="str">
        <f>IF(D3188="","",IF(COUNTIF($D$2:D3188,D3188)&gt;1,"",SUMIFS(tbl_input[필요수량],tbl_input[집계키_청],D3188)))</f>
        <v/>
      </c>
      <c r="D3188" t="str">
        <f>IFERROR(INDEX(tbl_input[집계키_청],ROW()-1),"")</f>
        <v/>
      </c>
    </row>
    <row r="3189" spans="1:4" x14ac:dyDescent="0.4">
      <c r="A3189" t="str">
        <f t="shared" si="98"/>
        <v/>
      </c>
      <c r="B3189" t="str">
        <f t="shared" si="99"/>
        <v/>
      </c>
      <c r="C3189" t="str">
        <f>IF(D3189="","",IF(COUNTIF($D$2:D3189,D3189)&gt;1,"",SUMIFS(tbl_input[필요수량],tbl_input[집계키_청],D3189)))</f>
        <v/>
      </c>
      <c r="D3189" t="str">
        <f>IFERROR(INDEX(tbl_input[집계키_청],ROW()-1),"")</f>
        <v/>
      </c>
    </row>
    <row r="3190" spans="1:4" x14ac:dyDescent="0.4">
      <c r="A3190" t="str">
        <f t="shared" si="98"/>
        <v/>
      </c>
      <c r="B3190" t="str">
        <f t="shared" si="99"/>
        <v/>
      </c>
      <c r="C3190" t="str">
        <f>IF(D3190="","",IF(COUNTIF($D$2:D3190,D3190)&gt;1,"",SUMIFS(tbl_input[필요수량],tbl_input[집계키_청],D3190)))</f>
        <v/>
      </c>
      <c r="D3190" t="str">
        <f>IFERROR(INDEX(tbl_input[집계키_청],ROW()-1),"")</f>
        <v/>
      </c>
    </row>
    <row r="3191" spans="1:4" x14ac:dyDescent="0.4">
      <c r="A3191" t="str">
        <f t="shared" si="98"/>
        <v/>
      </c>
      <c r="B3191" t="str">
        <f t="shared" si="99"/>
        <v/>
      </c>
      <c r="C3191" t="str">
        <f>IF(D3191="","",IF(COUNTIF($D$2:D3191,D3191)&gt;1,"",SUMIFS(tbl_input[필요수량],tbl_input[집계키_청],D3191)))</f>
        <v/>
      </c>
      <c r="D3191" t="str">
        <f>IFERROR(INDEX(tbl_input[집계키_청],ROW()-1),"")</f>
        <v/>
      </c>
    </row>
    <row r="3192" spans="1:4" x14ac:dyDescent="0.4">
      <c r="A3192" t="str">
        <f t="shared" si="98"/>
        <v/>
      </c>
      <c r="B3192" t="str">
        <f t="shared" si="99"/>
        <v/>
      </c>
      <c r="C3192" t="str">
        <f>IF(D3192="","",IF(COUNTIF($D$2:D3192,D3192)&gt;1,"",SUMIFS(tbl_input[필요수량],tbl_input[집계키_청],D3192)))</f>
        <v/>
      </c>
      <c r="D3192" t="str">
        <f>IFERROR(INDEX(tbl_input[집계키_청],ROW()-1),"")</f>
        <v/>
      </c>
    </row>
    <row r="3193" spans="1:4" x14ac:dyDescent="0.4">
      <c r="A3193" t="str">
        <f t="shared" si="98"/>
        <v/>
      </c>
      <c r="B3193" t="str">
        <f t="shared" si="99"/>
        <v/>
      </c>
      <c r="C3193" t="str">
        <f>IF(D3193="","",IF(COUNTIF($D$2:D3193,D3193)&gt;1,"",SUMIFS(tbl_input[필요수량],tbl_input[집계키_청],D3193)))</f>
        <v/>
      </c>
      <c r="D3193" t="str">
        <f>IFERROR(INDEX(tbl_input[집계키_청],ROW()-1),"")</f>
        <v/>
      </c>
    </row>
    <row r="3194" spans="1:4" x14ac:dyDescent="0.4">
      <c r="A3194" t="str">
        <f t="shared" si="98"/>
        <v/>
      </c>
      <c r="B3194" t="str">
        <f t="shared" si="99"/>
        <v/>
      </c>
      <c r="C3194" t="str">
        <f>IF(D3194="","",IF(COUNTIF($D$2:D3194,D3194)&gt;1,"",SUMIFS(tbl_input[필요수량],tbl_input[집계키_청],D3194)))</f>
        <v/>
      </c>
      <c r="D3194" t="str">
        <f>IFERROR(INDEX(tbl_input[집계키_청],ROW()-1),"")</f>
        <v/>
      </c>
    </row>
    <row r="3195" spans="1:4" x14ac:dyDescent="0.4">
      <c r="A3195" t="str">
        <f t="shared" si="98"/>
        <v/>
      </c>
      <c r="B3195" t="str">
        <f t="shared" si="99"/>
        <v/>
      </c>
      <c r="C3195" t="str">
        <f>IF(D3195="","",IF(COUNTIF($D$2:D3195,D3195)&gt;1,"",SUMIFS(tbl_input[필요수량],tbl_input[집계키_청],D3195)))</f>
        <v/>
      </c>
      <c r="D3195" t="str">
        <f>IFERROR(INDEX(tbl_input[집계키_청],ROW()-1),"")</f>
        <v/>
      </c>
    </row>
    <row r="3196" spans="1:4" x14ac:dyDescent="0.4">
      <c r="A3196" t="str">
        <f t="shared" si="98"/>
        <v/>
      </c>
      <c r="B3196" t="str">
        <f t="shared" si="99"/>
        <v/>
      </c>
      <c r="C3196" t="str">
        <f>IF(D3196="","",IF(COUNTIF($D$2:D3196,D3196)&gt;1,"",SUMIFS(tbl_input[필요수량],tbl_input[집계키_청],D3196)))</f>
        <v/>
      </c>
      <c r="D3196" t="str">
        <f>IFERROR(INDEX(tbl_input[집계키_청],ROW()-1),"")</f>
        <v/>
      </c>
    </row>
    <row r="3197" spans="1:4" x14ac:dyDescent="0.4">
      <c r="A3197" t="str">
        <f t="shared" si="98"/>
        <v/>
      </c>
      <c r="B3197" t="str">
        <f t="shared" si="99"/>
        <v/>
      </c>
      <c r="C3197" t="str">
        <f>IF(D3197="","",IF(COUNTIF($D$2:D3197,D3197)&gt;1,"",SUMIFS(tbl_input[필요수량],tbl_input[집계키_청],D3197)))</f>
        <v/>
      </c>
      <c r="D3197" t="str">
        <f>IFERROR(INDEX(tbl_input[집계키_청],ROW()-1),"")</f>
        <v/>
      </c>
    </row>
    <row r="3198" spans="1:4" x14ac:dyDescent="0.4">
      <c r="A3198" t="str">
        <f t="shared" si="98"/>
        <v/>
      </c>
      <c r="B3198" t="str">
        <f t="shared" si="99"/>
        <v/>
      </c>
      <c r="C3198" t="str">
        <f>IF(D3198="","",IF(COUNTIF($D$2:D3198,D3198)&gt;1,"",SUMIFS(tbl_input[필요수량],tbl_input[집계키_청],D3198)))</f>
        <v/>
      </c>
      <c r="D3198" t="str">
        <f>IFERROR(INDEX(tbl_input[집계키_청],ROW()-1),"")</f>
        <v/>
      </c>
    </row>
    <row r="3199" spans="1:4" x14ac:dyDescent="0.4">
      <c r="A3199" t="str">
        <f t="shared" si="98"/>
        <v/>
      </c>
      <c r="B3199" t="str">
        <f t="shared" si="99"/>
        <v/>
      </c>
      <c r="C3199" t="str">
        <f>IF(D3199="","",IF(COUNTIF($D$2:D3199,D3199)&gt;1,"",SUMIFS(tbl_input[필요수량],tbl_input[집계키_청],D3199)))</f>
        <v/>
      </c>
      <c r="D3199" t="str">
        <f>IFERROR(INDEX(tbl_input[집계키_청],ROW()-1),"")</f>
        <v/>
      </c>
    </row>
    <row r="3200" spans="1:4" x14ac:dyDescent="0.4">
      <c r="A3200" t="str">
        <f t="shared" si="98"/>
        <v/>
      </c>
      <c r="B3200" t="str">
        <f t="shared" si="99"/>
        <v/>
      </c>
      <c r="C3200" t="str">
        <f>IF(D3200="","",IF(COUNTIF($D$2:D3200,D3200)&gt;1,"",SUMIFS(tbl_input[필요수량],tbl_input[집계키_청],D3200)))</f>
        <v/>
      </c>
      <c r="D3200" t="str">
        <f>IFERROR(INDEX(tbl_input[집계키_청],ROW()-1),"")</f>
        <v/>
      </c>
    </row>
    <row r="3201" spans="1:4" x14ac:dyDescent="0.4">
      <c r="A3201" t="str">
        <f t="shared" si="98"/>
        <v/>
      </c>
      <c r="B3201" t="str">
        <f t="shared" si="99"/>
        <v/>
      </c>
      <c r="C3201" t="str">
        <f>IF(D3201="","",IF(COUNTIF($D$2:D3201,D3201)&gt;1,"",SUMIFS(tbl_input[필요수량],tbl_input[집계키_청],D3201)))</f>
        <v/>
      </c>
      <c r="D3201" t="str">
        <f>IFERROR(INDEX(tbl_input[집계키_청],ROW()-1),"")</f>
        <v/>
      </c>
    </row>
    <row r="3202" spans="1:4" x14ac:dyDescent="0.4">
      <c r="A3202" t="str">
        <f t="shared" ref="A3202:A3265" si="100">IF(D3202="","",LEFT(D3202,FIND("♦",D3202)-1))</f>
        <v/>
      </c>
      <c r="B3202" t="str">
        <f t="shared" ref="B3202:B3265" si="101">IF(D3202="","",MID(D3202,FIND("♦",D3202)+1,999))</f>
        <v/>
      </c>
      <c r="C3202" t="str">
        <f>IF(D3202="","",IF(COUNTIF($D$2:D3202,D3202)&gt;1,"",SUMIFS(tbl_input[필요수량],tbl_input[집계키_청],D3202)))</f>
        <v/>
      </c>
      <c r="D3202" t="str">
        <f>IFERROR(INDEX(tbl_input[집계키_청],ROW()-1),"")</f>
        <v/>
      </c>
    </row>
    <row r="3203" spans="1:4" x14ac:dyDescent="0.4">
      <c r="A3203" t="str">
        <f t="shared" si="100"/>
        <v/>
      </c>
      <c r="B3203" t="str">
        <f t="shared" si="101"/>
        <v/>
      </c>
      <c r="C3203" t="str">
        <f>IF(D3203="","",IF(COUNTIF($D$2:D3203,D3203)&gt;1,"",SUMIFS(tbl_input[필요수량],tbl_input[집계키_청],D3203)))</f>
        <v/>
      </c>
      <c r="D3203" t="str">
        <f>IFERROR(INDEX(tbl_input[집계키_청],ROW()-1),"")</f>
        <v/>
      </c>
    </row>
    <row r="3204" spans="1:4" x14ac:dyDescent="0.4">
      <c r="A3204" t="str">
        <f t="shared" si="100"/>
        <v/>
      </c>
      <c r="B3204" t="str">
        <f t="shared" si="101"/>
        <v/>
      </c>
      <c r="C3204" t="str">
        <f>IF(D3204="","",IF(COUNTIF($D$2:D3204,D3204)&gt;1,"",SUMIFS(tbl_input[필요수량],tbl_input[집계키_청],D3204)))</f>
        <v/>
      </c>
      <c r="D3204" t="str">
        <f>IFERROR(INDEX(tbl_input[집계키_청],ROW()-1),"")</f>
        <v/>
      </c>
    </row>
    <row r="3205" spans="1:4" x14ac:dyDescent="0.4">
      <c r="A3205" t="str">
        <f t="shared" si="100"/>
        <v/>
      </c>
      <c r="B3205" t="str">
        <f t="shared" si="101"/>
        <v/>
      </c>
      <c r="C3205" t="str">
        <f>IF(D3205="","",IF(COUNTIF($D$2:D3205,D3205)&gt;1,"",SUMIFS(tbl_input[필요수량],tbl_input[집계키_청],D3205)))</f>
        <v/>
      </c>
      <c r="D3205" t="str">
        <f>IFERROR(INDEX(tbl_input[집계키_청],ROW()-1),"")</f>
        <v/>
      </c>
    </row>
    <row r="3206" spans="1:4" x14ac:dyDescent="0.4">
      <c r="A3206" t="str">
        <f t="shared" si="100"/>
        <v/>
      </c>
      <c r="B3206" t="str">
        <f t="shared" si="101"/>
        <v/>
      </c>
      <c r="C3206" t="str">
        <f>IF(D3206="","",IF(COUNTIF($D$2:D3206,D3206)&gt;1,"",SUMIFS(tbl_input[필요수량],tbl_input[집계키_청],D3206)))</f>
        <v/>
      </c>
      <c r="D3206" t="str">
        <f>IFERROR(INDEX(tbl_input[집계키_청],ROW()-1),"")</f>
        <v/>
      </c>
    </row>
    <row r="3207" spans="1:4" x14ac:dyDescent="0.4">
      <c r="A3207" t="str">
        <f t="shared" si="100"/>
        <v/>
      </c>
      <c r="B3207" t="str">
        <f t="shared" si="101"/>
        <v/>
      </c>
      <c r="C3207" t="str">
        <f>IF(D3207="","",IF(COUNTIF($D$2:D3207,D3207)&gt;1,"",SUMIFS(tbl_input[필요수량],tbl_input[집계키_청],D3207)))</f>
        <v/>
      </c>
      <c r="D3207" t="str">
        <f>IFERROR(INDEX(tbl_input[집계키_청],ROW()-1),"")</f>
        <v/>
      </c>
    </row>
    <row r="3208" spans="1:4" x14ac:dyDescent="0.4">
      <c r="A3208" t="str">
        <f t="shared" si="100"/>
        <v/>
      </c>
      <c r="B3208" t="str">
        <f t="shared" si="101"/>
        <v/>
      </c>
      <c r="C3208" t="str">
        <f>IF(D3208="","",IF(COUNTIF($D$2:D3208,D3208)&gt;1,"",SUMIFS(tbl_input[필요수량],tbl_input[집계키_청],D3208)))</f>
        <v/>
      </c>
      <c r="D3208" t="str">
        <f>IFERROR(INDEX(tbl_input[집계키_청],ROW()-1),"")</f>
        <v/>
      </c>
    </row>
    <row r="3209" spans="1:4" x14ac:dyDescent="0.4">
      <c r="A3209" t="str">
        <f t="shared" si="100"/>
        <v/>
      </c>
      <c r="B3209" t="str">
        <f t="shared" si="101"/>
        <v/>
      </c>
      <c r="C3209" t="str">
        <f>IF(D3209="","",IF(COUNTIF($D$2:D3209,D3209)&gt;1,"",SUMIFS(tbl_input[필요수량],tbl_input[집계키_청],D3209)))</f>
        <v/>
      </c>
      <c r="D3209" t="str">
        <f>IFERROR(INDEX(tbl_input[집계키_청],ROW()-1),"")</f>
        <v/>
      </c>
    </row>
    <row r="3210" spans="1:4" x14ac:dyDescent="0.4">
      <c r="A3210" t="str">
        <f t="shared" si="100"/>
        <v/>
      </c>
      <c r="B3210" t="str">
        <f t="shared" si="101"/>
        <v/>
      </c>
      <c r="C3210" t="str">
        <f>IF(D3210="","",IF(COUNTIF($D$2:D3210,D3210)&gt;1,"",SUMIFS(tbl_input[필요수량],tbl_input[집계키_청],D3210)))</f>
        <v/>
      </c>
      <c r="D3210" t="str">
        <f>IFERROR(INDEX(tbl_input[집계키_청],ROW()-1),"")</f>
        <v/>
      </c>
    </row>
    <row r="3211" spans="1:4" x14ac:dyDescent="0.4">
      <c r="A3211" t="str">
        <f t="shared" si="100"/>
        <v/>
      </c>
      <c r="B3211" t="str">
        <f t="shared" si="101"/>
        <v/>
      </c>
      <c r="C3211" t="str">
        <f>IF(D3211="","",IF(COUNTIF($D$2:D3211,D3211)&gt;1,"",SUMIFS(tbl_input[필요수량],tbl_input[집계키_청],D3211)))</f>
        <v/>
      </c>
      <c r="D3211" t="str">
        <f>IFERROR(INDEX(tbl_input[집계키_청],ROW()-1),"")</f>
        <v/>
      </c>
    </row>
    <row r="3212" spans="1:4" x14ac:dyDescent="0.4">
      <c r="A3212" t="str">
        <f t="shared" si="100"/>
        <v/>
      </c>
      <c r="B3212" t="str">
        <f t="shared" si="101"/>
        <v/>
      </c>
      <c r="C3212" t="str">
        <f>IF(D3212="","",IF(COUNTIF($D$2:D3212,D3212)&gt;1,"",SUMIFS(tbl_input[필요수량],tbl_input[집계키_청],D3212)))</f>
        <v/>
      </c>
      <c r="D3212" t="str">
        <f>IFERROR(INDEX(tbl_input[집계키_청],ROW()-1),"")</f>
        <v/>
      </c>
    </row>
    <row r="3213" spans="1:4" x14ac:dyDescent="0.4">
      <c r="A3213" t="str">
        <f t="shared" si="100"/>
        <v/>
      </c>
      <c r="B3213" t="str">
        <f t="shared" si="101"/>
        <v/>
      </c>
      <c r="C3213" t="str">
        <f>IF(D3213="","",IF(COUNTIF($D$2:D3213,D3213)&gt;1,"",SUMIFS(tbl_input[필요수량],tbl_input[집계키_청],D3213)))</f>
        <v/>
      </c>
      <c r="D3213" t="str">
        <f>IFERROR(INDEX(tbl_input[집계키_청],ROW()-1),"")</f>
        <v/>
      </c>
    </row>
    <row r="3214" spans="1:4" x14ac:dyDescent="0.4">
      <c r="A3214" t="str">
        <f t="shared" si="100"/>
        <v/>
      </c>
      <c r="B3214" t="str">
        <f t="shared" si="101"/>
        <v/>
      </c>
      <c r="C3214" t="str">
        <f>IF(D3214="","",IF(COUNTIF($D$2:D3214,D3214)&gt;1,"",SUMIFS(tbl_input[필요수량],tbl_input[집계키_청],D3214)))</f>
        <v/>
      </c>
      <c r="D3214" t="str">
        <f>IFERROR(INDEX(tbl_input[집계키_청],ROW()-1),"")</f>
        <v/>
      </c>
    </row>
    <row r="3215" spans="1:4" x14ac:dyDescent="0.4">
      <c r="A3215" t="str">
        <f t="shared" si="100"/>
        <v/>
      </c>
      <c r="B3215" t="str">
        <f t="shared" si="101"/>
        <v/>
      </c>
      <c r="C3215" t="str">
        <f>IF(D3215="","",IF(COUNTIF($D$2:D3215,D3215)&gt;1,"",SUMIFS(tbl_input[필요수량],tbl_input[집계키_청],D3215)))</f>
        <v/>
      </c>
      <c r="D3215" t="str">
        <f>IFERROR(INDEX(tbl_input[집계키_청],ROW()-1),"")</f>
        <v/>
      </c>
    </row>
    <row r="3216" spans="1:4" x14ac:dyDescent="0.4">
      <c r="A3216" t="str">
        <f t="shared" si="100"/>
        <v/>
      </c>
      <c r="B3216" t="str">
        <f t="shared" si="101"/>
        <v/>
      </c>
      <c r="C3216" t="str">
        <f>IF(D3216="","",IF(COUNTIF($D$2:D3216,D3216)&gt;1,"",SUMIFS(tbl_input[필요수량],tbl_input[집계키_청],D3216)))</f>
        <v/>
      </c>
      <c r="D3216" t="str">
        <f>IFERROR(INDEX(tbl_input[집계키_청],ROW()-1),"")</f>
        <v/>
      </c>
    </row>
    <row r="3217" spans="1:4" x14ac:dyDescent="0.4">
      <c r="A3217" t="str">
        <f t="shared" si="100"/>
        <v/>
      </c>
      <c r="B3217" t="str">
        <f t="shared" si="101"/>
        <v/>
      </c>
      <c r="C3217" t="str">
        <f>IF(D3217="","",IF(COUNTIF($D$2:D3217,D3217)&gt;1,"",SUMIFS(tbl_input[필요수량],tbl_input[집계키_청],D3217)))</f>
        <v/>
      </c>
      <c r="D3217" t="str">
        <f>IFERROR(INDEX(tbl_input[집계키_청],ROW()-1),"")</f>
        <v/>
      </c>
    </row>
    <row r="3218" spans="1:4" x14ac:dyDescent="0.4">
      <c r="A3218" t="str">
        <f t="shared" si="100"/>
        <v/>
      </c>
      <c r="B3218" t="str">
        <f t="shared" si="101"/>
        <v/>
      </c>
      <c r="C3218" t="str">
        <f>IF(D3218="","",IF(COUNTIF($D$2:D3218,D3218)&gt;1,"",SUMIFS(tbl_input[필요수량],tbl_input[집계키_청],D3218)))</f>
        <v/>
      </c>
      <c r="D3218" t="str">
        <f>IFERROR(INDEX(tbl_input[집계키_청],ROW()-1),"")</f>
        <v/>
      </c>
    </row>
    <row r="3219" spans="1:4" x14ac:dyDescent="0.4">
      <c r="A3219" t="str">
        <f t="shared" si="100"/>
        <v/>
      </c>
      <c r="B3219" t="str">
        <f t="shared" si="101"/>
        <v/>
      </c>
      <c r="C3219" t="str">
        <f>IF(D3219="","",IF(COUNTIF($D$2:D3219,D3219)&gt;1,"",SUMIFS(tbl_input[필요수량],tbl_input[집계키_청],D3219)))</f>
        <v/>
      </c>
      <c r="D3219" t="str">
        <f>IFERROR(INDEX(tbl_input[집계키_청],ROW()-1),"")</f>
        <v/>
      </c>
    </row>
    <row r="3220" spans="1:4" x14ac:dyDescent="0.4">
      <c r="A3220" t="str">
        <f t="shared" si="100"/>
        <v/>
      </c>
      <c r="B3220" t="str">
        <f t="shared" si="101"/>
        <v/>
      </c>
      <c r="C3220" t="str">
        <f>IF(D3220="","",IF(COUNTIF($D$2:D3220,D3220)&gt;1,"",SUMIFS(tbl_input[필요수량],tbl_input[집계키_청],D3220)))</f>
        <v/>
      </c>
      <c r="D3220" t="str">
        <f>IFERROR(INDEX(tbl_input[집계키_청],ROW()-1),"")</f>
        <v/>
      </c>
    </row>
    <row r="3221" spans="1:4" x14ac:dyDescent="0.4">
      <c r="A3221" t="str">
        <f t="shared" si="100"/>
        <v/>
      </c>
      <c r="B3221" t="str">
        <f t="shared" si="101"/>
        <v/>
      </c>
      <c r="C3221" t="str">
        <f>IF(D3221="","",IF(COUNTIF($D$2:D3221,D3221)&gt;1,"",SUMIFS(tbl_input[필요수량],tbl_input[집계키_청],D3221)))</f>
        <v/>
      </c>
      <c r="D3221" t="str">
        <f>IFERROR(INDEX(tbl_input[집계키_청],ROW()-1),"")</f>
        <v/>
      </c>
    </row>
    <row r="3222" spans="1:4" x14ac:dyDescent="0.4">
      <c r="A3222" t="str">
        <f t="shared" si="100"/>
        <v/>
      </c>
      <c r="B3222" t="str">
        <f t="shared" si="101"/>
        <v/>
      </c>
      <c r="C3222" t="str">
        <f>IF(D3222="","",IF(COUNTIF($D$2:D3222,D3222)&gt;1,"",SUMIFS(tbl_input[필요수량],tbl_input[집계키_청],D3222)))</f>
        <v/>
      </c>
      <c r="D3222" t="str">
        <f>IFERROR(INDEX(tbl_input[집계키_청],ROW()-1),"")</f>
        <v/>
      </c>
    </row>
    <row r="3223" spans="1:4" x14ac:dyDescent="0.4">
      <c r="A3223" t="str">
        <f t="shared" si="100"/>
        <v/>
      </c>
      <c r="B3223" t="str">
        <f t="shared" si="101"/>
        <v/>
      </c>
      <c r="C3223" t="str">
        <f>IF(D3223="","",IF(COUNTIF($D$2:D3223,D3223)&gt;1,"",SUMIFS(tbl_input[필요수량],tbl_input[집계키_청],D3223)))</f>
        <v/>
      </c>
      <c r="D3223" t="str">
        <f>IFERROR(INDEX(tbl_input[집계키_청],ROW()-1),"")</f>
        <v/>
      </c>
    </row>
    <row r="3224" spans="1:4" x14ac:dyDescent="0.4">
      <c r="A3224" t="str">
        <f t="shared" si="100"/>
        <v/>
      </c>
      <c r="B3224" t="str">
        <f t="shared" si="101"/>
        <v/>
      </c>
      <c r="C3224" t="str">
        <f>IF(D3224="","",IF(COUNTIF($D$2:D3224,D3224)&gt;1,"",SUMIFS(tbl_input[필요수량],tbl_input[집계키_청],D3224)))</f>
        <v/>
      </c>
      <c r="D3224" t="str">
        <f>IFERROR(INDEX(tbl_input[집계키_청],ROW()-1),"")</f>
        <v/>
      </c>
    </row>
    <row r="3225" spans="1:4" x14ac:dyDescent="0.4">
      <c r="A3225" t="str">
        <f t="shared" si="100"/>
        <v/>
      </c>
      <c r="B3225" t="str">
        <f t="shared" si="101"/>
        <v/>
      </c>
      <c r="C3225" t="str">
        <f>IF(D3225="","",IF(COUNTIF($D$2:D3225,D3225)&gt;1,"",SUMIFS(tbl_input[필요수량],tbl_input[집계키_청],D3225)))</f>
        <v/>
      </c>
      <c r="D3225" t="str">
        <f>IFERROR(INDEX(tbl_input[집계키_청],ROW()-1),"")</f>
        <v/>
      </c>
    </row>
    <row r="3226" spans="1:4" x14ac:dyDescent="0.4">
      <c r="A3226" t="str">
        <f t="shared" si="100"/>
        <v/>
      </c>
      <c r="B3226" t="str">
        <f t="shared" si="101"/>
        <v/>
      </c>
      <c r="C3226" t="str">
        <f>IF(D3226="","",IF(COUNTIF($D$2:D3226,D3226)&gt;1,"",SUMIFS(tbl_input[필요수량],tbl_input[집계키_청],D3226)))</f>
        <v/>
      </c>
      <c r="D3226" t="str">
        <f>IFERROR(INDEX(tbl_input[집계키_청],ROW()-1),"")</f>
        <v/>
      </c>
    </row>
    <row r="3227" spans="1:4" x14ac:dyDescent="0.4">
      <c r="A3227" t="str">
        <f t="shared" si="100"/>
        <v/>
      </c>
      <c r="B3227" t="str">
        <f t="shared" si="101"/>
        <v/>
      </c>
      <c r="C3227" t="str">
        <f>IF(D3227="","",IF(COUNTIF($D$2:D3227,D3227)&gt;1,"",SUMIFS(tbl_input[필요수량],tbl_input[집계키_청],D3227)))</f>
        <v/>
      </c>
      <c r="D3227" t="str">
        <f>IFERROR(INDEX(tbl_input[집계키_청],ROW()-1),"")</f>
        <v/>
      </c>
    </row>
    <row r="3228" spans="1:4" x14ac:dyDescent="0.4">
      <c r="A3228" t="str">
        <f t="shared" si="100"/>
        <v/>
      </c>
      <c r="B3228" t="str">
        <f t="shared" si="101"/>
        <v/>
      </c>
      <c r="C3228" t="str">
        <f>IF(D3228="","",IF(COUNTIF($D$2:D3228,D3228)&gt;1,"",SUMIFS(tbl_input[필요수량],tbl_input[집계키_청],D3228)))</f>
        <v/>
      </c>
      <c r="D3228" t="str">
        <f>IFERROR(INDEX(tbl_input[집계키_청],ROW()-1),"")</f>
        <v/>
      </c>
    </row>
    <row r="3229" spans="1:4" x14ac:dyDescent="0.4">
      <c r="A3229" t="str">
        <f t="shared" si="100"/>
        <v/>
      </c>
      <c r="B3229" t="str">
        <f t="shared" si="101"/>
        <v/>
      </c>
      <c r="C3229" t="str">
        <f>IF(D3229="","",IF(COUNTIF($D$2:D3229,D3229)&gt;1,"",SUMIFS(tbl_input[필요수량],tbl_input[집계키_청],D3229)))</f>
        <v/>
      </c>
      <c r="D3229" t="str">
        <f>IFERROR(INDEX(tbl_input[집계키_청],ROW()-1),"")</f>
        <v/>
      </c>
    </row>
    <row r="3230" spans="1:4" x14ac:dyDescent="0.4">
      <c r="A3230" t="str">
        <f t="shared" si="100"/>
        <v/>
      </c>
      <c r="B3230" t="str">
        <f t="shared" si="101"/>
        <v/>
      </c>
      <c r="C3230" t="str">
        <f>IF(D3230="","",IF(COUNTIF($D$2:D3230,D3230)&gt;1,"",SUMIFS(tbl_input[필요수량],tbl_input[집계키_청],D3230)))</f>
        <v/>
      </c>
      <c r="D3230" t="str">
        <f>IFERROR(INDEX(tbl_input[집계키_청],ROW()-1),"")</f>
        <v/>
      </c>
    </row>
    <row r="3231" spans="1:4" x14ac:dyDescent="0.4">
      <c r="A3231" t="str">
        <f t="shared" si="100"/>
        <v/>
      </c>
      <c r="B3231" t="str">
        <f t="shared" si="101"/>
        <v/>
      </c>
      <c r="C3231" t="str">
        <f>IF(D3231="","",IF(COUNTIF($D$2:D3231,D3231)&gt;1,"",SUMIFS(tbl_input[필요수량],tbl_input[집계키_청],D3231)))</f>
        <v/>
      </c>
      <c r="D3231" t="str">
        <f>IFERROR(INDEX(tbl_input[집계키_청],ROW()-1),"")</f>
        <v/>
      </c>
    </row>
    <row r="3232" spans="1:4" x14ac:dyDescent="0.4">
      <c r="A3232" t="str">
        <f t="shared" si="100"/>
        <v/>
      </c>
      <c r="B3232" t="str">
        <f t="shared" si="101"/>
        <v/>
      </c>
      <c r="C3232" t="str">
        <f>IF(D3232="","",IF(COUNTIF($D$2:D3232,D3232)&gt;1,"",SUMIFS(tbl_input[필요수량],tbl_input[집계키_청],D3232)))</f>
        <v/>
      </c>
      <c r="D3232" t="str">
        <f>IFERROR(INDEX(tbl_input[집계키_청],ROW()-1),"")</f>
        <v/>
      </c>
    </row>
    <row r="3233" spans="1:4" x14ac:dyDescent="0.4">
      <c r="A3233" t="str">
        <f t="shared" si="100"/>
        <v/>
      </c>
      <c r="B3233" t="str">
        <f t="shared" si="101"/>
        <v/>
      </c>
      <c r="C3233" t="str">
        <f>IF(D3233="","",IF(COUNTIF($D$2:D3233,D3233)&gt;1,"",SUMIFS(tbl_input[필요수량],tbl_input[집계키_청],D3233)))</f>
        <v/>
      </c>
      <c r="D3233" t="str">
        <f>IFERROR(INDEX(tbl_input[집계키_청],ROW()-1),"")</f>
        <v/>
      </c>
    </row>
    <row r="3234" spans="1:4" x14ac:dyDescent="0.4">
      <c r="A3234" t="str">
        <f t="shared" si="100"/>
        <v/>
      </c>
      <c r="B3234" t="str">
        <f t="shared" si="101"/>
        <v/>
      </c>
      <c r="C3234" t="str">
        <f>IF(D3234="","",IF(COUNTIF($D$2:D3234,D3234)&gt;1,"",SUMIFS(tbl_input[필요수량],tbl_input[집계키_청],D3234)))</f>
        <v/>
      </c>
      <c r="D3234" t="str">
        <f>IFERROR(INDEX(tbl_input[집계키_청],ROW()-1),"")</f>
        <v/>
      </c>
    </row>
    <row r="3235" spans="1:4" x14ac:dyDescent="0.4">
      <c r="A3235" t="str">
        <f t="shared" si="100"/>
        <v/>
      </c>
      <c r="B3235" t="str">
        <f t="shared" si="101"/>
        <v/>
      </c>
      <c r="C3235" t="str">
        <f>IF(D3235="","",IF(COUNTIF($D$2:D3235,D3235)&gt;1,"",SUMIFS(tbl_input[필요수량],tbl_input[집계키_청],D3235)))</f>
        <v/>
      </c>
      <c r="D3235" t="str">
        <f>IFERROR(INDEX(tbl_input[집계키_청],ROW()-1),"")</f>
        <v/>
      </c>
    </row>
    <row r="3236" spans="1:4" x14ac:dyDescent="0.4">
      <c r="A3236" t="str">
        <f t="shared" si="100"/>
        <v/>
      </c>
      <c r="B3236" t="str">
        <f t="shared" si="101"/>
        <v/>
      </c>
      <c r="C3236" t="str">
        <f>IF(D3236="","",IF(COUNTIF($D$2:D3236,D3236)&gt;1,"",SUMIFS(tbl_input[필요수량],tbl_input[집계키_청],D3236)))</f>
        <v/>
      </c>
      <c r="D3236" t="str">
        <f>IFERROR(INDEX(tbl_input[집계키_청],ROW()-1),"")</f>
        <v/>
      </c>
    </row>
    <row r="3237" spans="1:4" x14ac:dyDescent="0.4">
      <c r="A3237" t="str">
        <f t="shared" si="100"/>
        <v/>
      </c>
      <c r="B3237" t="str">
        <f t="shared" si="101"/>
        <v/>
      </c>
      <c r="C3237" t="str">
        <f>IF(D3237="","",IF(COUNTIF($D$2:D3237,D3237)&gt;1,"",SUMIFS(tbl_input[필요수량],tbl_input[집계키_청],D3237)))</f>
        <v/>
      </c>
      <c r="D3237" t="str">
        <f>IFERROR(INDEX(tbl_input[집계키_청],ROW()-1),"")</f>
        <v/>
      </c>
    </row>
    <row r="3238" spans="1:4" x14ac:dyDescent="0.4">
      <c r="A3238" t="str">
        <f t="shared" si="100"/>
        <v/>
      </c>
      <c r="B3238" t="str">
        <f t="shared" si="101"/>
        <v/>
      </c>
      <c r="C3238" t="str">
        <f>IF(D3238="","",IF(COUNTIF($D$2:D3238,D3238)&gt;1,"",SUMIFS(tbl_input[필요수량],tbl_input[집계키_청],D3238)))</f>
        <v/>
      </c>
      <c r="D3238" t="str">
        <f>IFERROR(INDEX(tbl_input[집계키_청],ROW()-1),"")</f>
        <v/>
      </c>
    </row>
    <row r="3239" spans="1:4" x14ac:dyDescent="0.4">
      <c r="A3239" t="str">
        <f t="shared" si="100"/>
        <v/>
      </c>
      <c r="B3239" t="str">
        <f t="shared" si="101"/>
        <v/>
      </c>
      <c r="C3239" t="str">
        <f>IF(D3239="","",IF(COUNTIF($D$2:D3239,D3239)&gt;1,"",SUMIFS(tbl_input[필요수량],tbl_input[집계키_청],D3239)))</f>
        <v/>
      </c>
      <c r="D3239" t="str">
        <f>IFERROR(INDEX(tbl_input[집계키_청],ROW()-1),"")</f>
        <v/>
      </c>
    </row>
    <row r="3240" spans="1:4" x14ac:dyDescent="0.4">
      <c r="A3240" t="str">
        <f t="shared" si="100"/>
        <v/>
      </c>
      <c r="B3240" t="str">
        <f t="shared" si="101"/>
        <v/>
      </c>
      <c r="C3240" t="str">
        <f>IF(D3240="","",IF(COUNTIF($D$2:D3240,D3240)&gt;1,"",SUMIFS(tbl_input[필요수량],tbl_input[집계키_청],D3240)))</f>
        <v/>
      </c>
      <c r="D3240" t="str">
        <f>IFERROR(INDEX(tbl_input[집계키_청],ROW()-1),"")</f>
        <v/>
      </c>
    </row>
    <row r="3241" spans="1:4" x14ac:dyDescent="0.4">
      <c r="A3241" t="str">
        <f t="shared" si="100"/>
        <v/>
      </c>
      <c r="B3241" t="str">
        <f t="shared" si="101"/>
        <v/>
      </c>
      <c r="C3241" t="str">
        <f>IF(D3241="","",IF(COUNTIF($D$2:D3241,D3241)&gt;1,"",SUMIFS(tbl_input[필요수량],tbl_input[집계키_청],D3241)))</f>
        <v/>
      </c>
      <c r="D3241" t="str">
        <f>IFERROR(INDEX(tbl_input[집계키_청],ROW()-1),"")</f>
        <v/>
      </c>
    </row>
    <row r="3242" spans="1:4" x14ac:dyDescent="0.4">
      <c r="A3242" t="str">
        <f t="shared" si="100"/>
        <v/>
      </c>
      <c r="B3242" t="str">
        <f t="shared" si="101"/>
        <v/>
      </c>
      <c r="C3242" t="str">
        <f>IF(D3242="","",IF(COUNTIF($D$2:D3242,D3242)&gt;1,"",SUMIFS(tbl_input[필요수량],tbl_input[집계키_청],D3242)))</f>
        <v/>
      </c>
      <c r="D3242" t="str">
        <f>IFERROR(INDEX(tbl_input[집계키_청],ROW()-1),"")</f>
        <v/>
      </c>
    </row>
    <row r="3243" spans="1:4" x14ac:dyDescent="0.4">
      <c r="A3243" t="str">
        <f t="shared" si="100"/>
        <v/>
      </c>
      <c r="B3243" t="str">
        <f t="shared" si="101"/>
        <v/>
      </c>
      <c r="C3243" t="str">
        <f>IF(D3243="","",IF(COUNTIF($D$2:D3243,D3243)&gt;1,"",SUMIFS(tbl_input[필요수량],tbl_input[집계키_청],D3243)))</f>
        <v/>
      </c>
      <c r="D3243" t="str">
        <f>IFERROR(INDEX(tbl_input[집계키_청],ROW()-1),"")</f>
        <v/>
      </c>
    </row>
    <row r="3244" spans="1:4" x14ac:dyDescent="0.4">
      <c r="A3244" t="str">
        <f t="shared" si="100"/>
        <v/>
      </c>
      <c r="B3244" t="str">
        <f t="shared" si="101"/>
        <v/>
      </c>
      <c r="C3244" t="str">
        <f>IF(D3244="","",IF(COUNTIF($D$2:D3244,D3244)&gt;1,"",SUMIFS(tbl_input[필요수량],tbl_input[집계키_청],D3244)))</f>
        <v/>
      </c>
      <c r="D3244" t="str">
        <f>IFERROR(INDEX(tbl_input[집계키_청],ROW()-1),"")</f>
        <v/>
      </c>
    </row>
    <row r="3245" spans="1:4" x14ac:dyDescent="0.4">
      <c r="A3245" t="str">
        <f t="shared" si="100"/>
        <v/>
      </c>
      <c r="B3245" t="str">
        <f t="shared" si="101"/>
        <v/>
      </c>
      <c r="C3245" t="str">
        <f>IF(D3245="","",IF(COUNTIF($D$2:D3245,D3245)&gt;1,"",SUMIFS(tbl_input[필요수량],tbl_input[집계키_청],D3245)))</f>
        <v/>
      </c>
      <c r="D3245" t="str">
        <f>IFERROR(INDEX(tbl_input[집계키_청],ROW()-1),"")</f>
        <v/>
      </c>
    </row>
    <row r="3246" spans="1:4" x14ac:dyDescent="0.4">
      <c r="A3246" t="str">
        <f t="shared" si="100"/>
        <v/>
      </c>
      <c r="B3246" t="str">
        <f t="shared" si="101"/>
        <v/>
      </c>
      <c r="C3246" t="str">
        <f>IF(D3246="","",IF(COUNTIF($D$2:D3246,D3246)&gt;1,"",SUMIFS(tbl_input[필요수량],tbl_input[집계키_청],D3246)))</f>
        <v/>
      </c>
      <c r="D3246" t="str">
        <f>IFERROR(INDEX(tbl_input[집계키_청],ROW()-1),"")</f>
        <v/>
      </c>
    </row>
    <row r="3247" spans="1:4" x14ac:dyDescent="0.4">
      <c r="A3247" t="str">
        <f t="shared" si="100"/>
        <v/>
      </c>
      <c r="B3247" t="str">
        <f t="shared" si="101"/>
        <v/>
      </c>
      <c r="C3247" t="str">
        <f>IF(D3247="","",IF(COUNTIF($D$2:D3247,D3247)&gt;1,"",SUMIFS(tbl_input[필요수량],tbl_input[집계키_청],D3247)))</f>
        <v/>
      </c>
      <c r="D3247" t="str">
        <f>IFERROR(INDEX(tbl_input[집계키_청],ROW()-1),"")</f>
        <v/>
      </c>
    </row>
    <row r="3248" spans="1:4" x14ac:dyDescent="0.4">
      <c r="A3248" t="str">
        <f t="shared" si="100"/>
        <v/>
      </c>
      <c r="B3248" t="str">
        <f t="shared" si="101"/>
        <v/>
      </c>
      <c r="C3248" t="str">
        <f>IF(D3248="","",IF(COUNTIF($D$2:D3248,D3248)&gt;1,"",SUMIFS(tbl_input[필요수량],tbl_input[집계키_청],D3248)))</f>
        <v/>
      </c>
      <c r="D3248" t="str">
        <f>IFERROR(INDEX(tbl_input[집계키_청],ROW()-1),"")</f>
        <v/>
      </c>
    </row>
    <row r="3249" spans="1:4" x14ac:dyDescent="0.4">
      <c r="A3249" t="str">
        <f t="shared" si="100"/>
        <v/>
      </c>
      <c r="B3249" t="str">
        <f t="shared" si="101"/>
        <v/>
      </c>
      <c r="C3249" t="str">
        <f>IF(D3249="","",IF(COUNTIF($D$2:D3249,D3249)&gt;1,"",SUMIFS(tbl_input[필요수량],tbl_input[집계키_청],D3249)))</f>
        <v/>
      </c>
      <c r="D3249" t="str">
        <f>IFERROR(INDEX(tbl_input[집계키_청],ROW()-1),"")</f>
        <v/>
      </c>
    </row>
    <row r="3250" spans="1:4" x14ac:dyDescent="0.4">
      <c r="A3250" t="str">
        <f t="shared" si="100"/>
        <v/>
      </c>
      <c r="B3250" t="str">
        <f t="shared" si="101"/>
        <v/>
      </c>
      <c r="C3250" t="str">
        <f>IF(D3250="","",IF(COUNTIF($D$2:D3250,D3250)&gt;1,"",SUMIFS(tbl_input[필요수량],tbl_input[집계키_청],D3250)))</f>
        <v/>
      </c>
      <c r="D3250" t="str">
        <f>IFERROR(INDEX(tbl_input[집계키_청],ROW()-1),"")</f>
        <v/>
      </c>
    </row>
    <row r="3251" spans="1:4" x14ac:dyDescent="0.4">
      <c r="A3251" t="str">
        <f t="shared" si="100"/>
        <v/>
      </c>
      <c r="B3251" t="str">
        <f t="shared" si="101"/>
        <v/>
      </c>
      <c r="C3251" t="str">
        <f>IF(D3251="","",IF(COUNTIF($D$2:D3251,D3251)&gt;1,"",SUMIFS(tbl_input[필요수량],tbl_input[집계키_청],D3251)))</f>
        <v/>
      </c>
      <c r="D3251" t="str">
        <f>IFERROR(INDEX(tbl_input[집계키_청],ROW()-1),"")</f>
        <v/>
      </c>
    </row>
    <row r="3252" spans="1:4" x14ac:dyDescent="0.4">
      <c r="A3252" t="str">
        <f t="shared" si="100"/>
        <v/>
      </c>
      <c r="B3252" t="str">
        <f t="shared" si="101"/>
        <v/>
      </c>
      <c r="C3252" t="str">
        <f>IF(D3252="","",IF(COUNTIF($D$2:D3252,D3252)&gt;1,"",SUMIFS(tbl_input[필요수량],tbl_input[집계키_청],D3252)))</f>
        <v/>
      </c>
      <c r="D3252" t="str">
        <f>IFERROR(INDEX(tbl_input[집계키_청],ROW()-1),"")</f>
        <v/>
      </c>
    </row>
    <row r="3253" spans="1:4" x14ac:dyDescent="0.4">
      <c r="A3253" t="str">
        <f t="shared" si="100"/>
        <v/>
      </c>
      <c r="B3253" t="str">
        <f t="shared" si="101"/>
        <v/>
      </c>
      <c r="C3253" t="str">
        <f>IF(D3253="","",IF(COUNTIF($D$2:D3253,D3253)&gt;1,"",SUMIFS(tbl_input[필요수량],tbl_input[집계키_청],D3253)))</f>
        <v/>
      </c>
      <c r="D3253" t="str">
        <f>IFERROR(INDEX(tbl_input[집계키_청],ROW()-1),"")</f>
        <v/>
      </c>
    </row>
    <row r="3254" spans="1:4" x14ac:dyDescent="0.4">
      <c r="A3254" t="str">
        <f t="shared" si="100"/>
        <v/>
      </c>
      <c r="B3254" t="str">
        <f t="shared" si="101"/>
        <v/>
      </c>
      <c r="C3254" t="str">
        <f>IF(D3254="","",IF(COUNTIF($D$2:D3254,D3254)&gt;1,"",SUMIFS(tbl_input[필요수량],tbl_input[집계키_청],D3254)))</f>
        <v/>
      </c>
      <c r="D3254" t="str">
        <f>IFERROR(INDEX(tbl_input[집계키_청],ROW()-1),"")</f>
        <v/>
      </c>
    </row>
    <row r="3255" spans="1:4" x14ac:dyDescent="0.4">
      <c r="A3255" t="str">
        <f t="shared" si="100"/>
        <v/>
      </c>
      <c r="B3255" t="str">
        <f t="shared" si="101"/>
        <v/>
      </c>
      <c r="C3255" t="str">
        <f>IF(D3255="","",IF(COUNTIF($D$2:D3255,D3255)&gt;1,"",SUMIFS(tbl_input[필요수량],tbl_input[집계키_청],D3255)))</f>
        <v/>
      </c>
      <c r="D3255" t="str">
        <f>IFERROR(INDEX(tbl_input[집계키_청],ROW()-1),"")</f>
        <v/>
      </c>
    </row>
    <row r="3256" spans="1:4" x14ac:dyDescent="0.4">
      <c r="A3256" t="str">
        <f t="shared" si="100"/>
        <v/>
      </c>
      <c r="B3256" t="str">
        <f t="shared" si="101"/>
        <v/>
      </c>
      <c r="C3256" t="str">
        <f>IF(D3256="","",IF(COUNTIF($D$2:D3256,D3256)&gt;1,"",SUMIFS(tbl_input[필요수량],tbl_input[집계키_청],D3256)))</f>
        <v/>
      </c>
      <c r="D3256" t="str">
        <f>IFERROR(INDEX(tbl_input[집계키_청],ROW()-1),"")</f>
        <v/>
      </c>
    </row>
    <row r="3257" spans="1:4" x14ac:dyDescent="0.4">
      <c r="A3257" t="str">
        <f t="shared" si="100"/>
        <v/>
      </c>
      <c r="B3257" t="str">
        <f t="shared" si="101"/>
        <v/>
      </c>
      <c r="C3257" t="str">
        <f>IF(D3257="","",IF(COUNTIF($D$2:D3257,D3257)&gt;1,"",SUMIFS(tbl_input[필요수량],tbl_input[집계키_청],D3257)))</f>
        <v/>
      </c>
      <c r="D3257" t="str">
        <f>IFERROR(INDEX(tbl_input[집계키_청],ROW()-1),"")</f>
        <v/>
      </c>
    </row>
    <row r="3258" spans="1:4" x14ac:dyDescent="0.4">
      <c r="A3258" t="str">
        <f t="shared" si="100"/>
        <v/>
      </c>
      <c r="B3258" t="str">
        <f t="shared" si="101"/>
        <v/>
      </c>
      <c r="C3258" t="str">
        <f>IF(D3258="","",IF(COUNTIF($D$2:D3258,D3258)&gt;1,"",SUMIFS(tbl_input[필요수량],tbl_input[집계키_청],D3258)))</f>
        <v/>
      </c>
      <c r="D3258" t="str">
        <f>IFERROR(INDEX(tbl_input[집계키_청],ROW()-1),"")</f>
        <v/>
      </c>
    </row>
    <row r="3259" spans="1:4" x14ac:dyDescent="0.4">
      <c r="A3259" t="str">
        <f t="shared" si="100"/>
        <v/>
      </c>
      <c r="B3259" t="str">
        <f t="shared" si="101"/>
        <v/>
      </c>
      <c r="C3259" t="str">
        <f>IF(D3259="","",IF(COUNTIF($D$2:D3259,D3259)&gt;1,"",SUMIFS(tbl_input[필요수량],tbl_input[집계키_청],D3259)))</f>
        <v/>
      </c>
      <c r="D3259" t="str">
        <f>IFERROR(INDEX(tbl_input[집계키_청],ROW()-1),"")</f>
        <v/>
      </c>
    </row>
    <row r="3260" spans="1:4" x14ac:dyDescent="0.4">
      <c r="A3260" t="str">
        <f t="shared" si="100"/>
        <v/>
      </c>
      <c r="B3260" t="str">
        <f t="shared" si="101"/>
        <v/>
      </c>
      <c r="C3260" t="str">
        <f>IF(D3260="","",IF(COUNTIF($D$2:D3260,D3260)&gt;1,"",SUMIFS(tbl_input[필요수량],tbl_input[집계키_청],D3260)))</f>
        <v/>
      </c>
      <c r="D3260" t="str">
        <f>IFERROR(INDEX(tbl_input[집계키_청],ROW()-1),"")</f>
        <v/>
      </c>
    </row>
    <row r="3261" spans="1:4" x14ac:dyDescent="0.4">
      <c r="A3261" t="str">
        <f t="shared" si="100"/>
        <v/>
      </c>
      <c r="B3261" t="str">
        <f t="shared" si="101"/>
        <v/>
      </c>
      <c r="C3261" t="str">
        <f>IF(D3261="","",IF(COUNTIF($D$2:D3261,D3261)&gt;1,"",SUMIFS(tbl_input[필요수량],tbl_input[집계키_청],D3261)))</f>
        <v/>
      </c>
      <c r="D3261" t="str">
        <f>IFERROR(INDEX(tbl_input[집계키_청],ROW()-1),"")</f>
        <v/>
      </c>
    </row>
    <row r="3262" spans="1:4" x14ac:dyDescent="0.4">
      <c r="A3262" t="str">
        <f t="shared" si="100"/>
        <v/>
      </c>
      <c r="B3262" t="str">
        <f t="shared" si="101"/>
        <v/>
      </c>
      <c r="C3262" t="str">
        <f>IF(D3262="","",IF(COUNTIF($D$2:D3262,D3262)&gt;1,"",SUMIFS(tbl_input[필요수량],tbl_input[집계키_청],D3262)))</f>
        <v/>
      </c>
      <c r="D3262" t="str">
        <f>IFERROR(INDEX(tbl_input[집계키_청],ROW()-1),"")</f>
        <v/>
      </c>
    </row>
    <row r="3263" spans="1:4" x14ac:dyDescent="0.4">
      <c r="A3263" t="str">
        <f t="shared" si="100"/>
        <v/>
      </c>
      <c r="B3263" t="str">
        <f t="shared" si="101"/>
        <v/>
      </c>
      <c r="C3263" t="str">
        <f>IF(D3263="","",IF(COUNTIF($D$2:D3263,D3263)&gt;1,"",SUMIFS(tbl_input[필요수량],tbl_input[집계키_청],D3263)))</f>
        <v/>
      </c>
      <c r="D3263" t="str">
        <f>IFERROR(INDEX(tbl_input[집계키_청],ROW()-1),"")</f>
        <v/>
      </c>
    </row>
    <row r="3264" spans="1:4" x14ac:dyDescent="0.4">
      <c r="A3264" t="str">
        <f t="shared" si="100"/>
        <v/>
      </c>
      <c r="B3264" t="str">
        <f t="shared" si="101"/>
        <v/>
      </c>
      <c r="C3264" t="str">
        <f>IF(D3264="","",IF(COUNTIF($D$2:D3264,D3264)&gt;1,"",SUMIFS(tbl_input[필요수량],tbl_input[집계키_청],D3264)))</f>
        <v/>
      </c>
      <c r="D3264" t="str">
        <f>IFERROR(INDEX(tbl_input[집계키_청],ROW()-1),"")</f>
        <v/>
      </c>
    </row>
    <row r="3265" spans="1:4" x14ac:dyDescent="0.4">
      <c r="A3265" t="str">
        <f t="shared" si="100"/>
        <v/>
      </c>
      <c r="B3265" t="str">
        <f t="shared" si="101"/>
        <v/>
      </c>
      <c r="C3265" t="str">
        <f>IF(D3265="","",IF(COUNTIF($D$2:D3265,D3265)&gt;1,"",SUMIFS(tbl_input[필요수량],tbl_input[집계키_청],D3265)))</f>
        <v/>
      </c>
      <c r="D3265" t="str">
        <f>IFERROR(INDEX(tbl_input[집계키_청],ROW()-1),"")</f>
        <v/>
      </c>
    </row>
    <row r="3266" spans="1:4" x14ac:dyDescent="0.4">
      <c r="A3266" t="str">
        <f t="shared" ref="A3266:A3329" si="102">IF(D3266="","",LEFT(D3266,FIND("♦",D3266)-1))</f>
        <v/>
      </c>
      <c r="B3266" t="str">
        <f t="shared" ref="B3266:B3329" si="103">IF(D3266="","",MID(D3266,FIND("♦",D3266)+1,999))</f>
        <v/>
      </c>
      <c r="C3266" t="str">
        <f>IF(D3266="","",IF(COUNTIF($D$2:D3266,D3266)&gt;1,"",SUMIFS(tbl_input[필요수량],tbl_input[집계키_청],D3266)))</f>
        <v/>
      </c>
      <c r="D3266" t="str">
        <f>IFERROR(INDEX(tbl_input[집계키_청],ROW()-1),"")</f>
        <v/>
      </c>
    </row>
    <row r="3267" spans="1:4" x14ac:dyDescent="0.4">
      <c r="A3267" t="str">
        <f t="shared" si="102"/>
        <v/>
      </c>
      <c r="B3267" t="str">
        <f t="shared" si="103"/>
        <v/>
      </c>
      <c r="C3267" t="str">
        <f>IF(D3267="","",IF(COUNTIF($D$2:D3267,D3267)&gt;1,"",SUMIFS(tbl_input[필요수량],tbl_input[집계키_청],D3267)))</f>
        <v/>
      </c>
      <c r="D3267" t="str">
        <f>IFERROR(INDEX(tbl_input[집계키_청],ROW()-1),"")</f>
        <v/>
      </c>
    </row>
    <row r="3268" spans="1:4" x14ac:dyDescent="0.4">
      <c r="A3268" t="str">
        <f t="shared" si="102"/>
        <v/>
      </c>
      <c r="B3268" t="str">
        <f t="shared" si="103"/>
        <v/>
      </c>
      <c r="C3268" t="str">
        <f>IF(D3268="","",IF(COUNTIF($D$2:D3268,D3268)&gt;1,"",SUMIFS(tbl_input[필요수량],tbl_input[집계키_청],D3268)))</f>
        <v/>
      </c>
      <c r="D3268" t="str">
        <f>IFERROR(INDEX(tbl_input[집계키_청],ROW()-1),"")</f>
        <v/>
      </c>
    </row>
    <row r="3269" spans="1:4" x14ac:dyDescent="0.4">
      <c r="A3269" t="str">
        <f t="shared" si="102"/>
        <v/>
      </c>
      <c r="B3269" t="str">
        <f t="shared" si="103"/>
        <v/>
      </c>
      <c r="C3269" t="str">
        <f>IF(D3269="","",IF(COUNTIF($D$2:D3269,D3269)&gt;1,"",SUMIFS(tbl_input[필요수량],tbl_input[집계키_청],D3269)))</f>
        <v/>
      </c>
      <c r="D3269" t="str">
        <f>IFERROR(INDEX(tbl_input[집계키_청],ROW()-1),"")</f>
        <v/>
      </c>
    </row>
    <row r="3270" spans="1:4" x14ac:dyDescent="0.4">
      <c r="A3270" t="str">
        <f t="shared" si="102"/>
        <v/>
      </c>
      <c r="B3270" t="str">
        <f t="shared" si="103"/>
        <v/>
      </c>
      <c r="C3270" t="str">
        <f>IF(D3270="","",IF(COUNTIF($D$2:D3270,D3270)&gt;1,"",SUMIFS(tbl_input[필요수량],tbl_input[집계키_청],D3270)))</f>
        <v/>
      </c>
      <c r="D3270" t="str">
        <f>IFERROR(INDEX(tbl_input[집계키_청],ROW()-1),"")</f>
        <v/>
      </c>
    </row>
    <row r="3271" spans="1:4" x14ac:dyDescent="0.4">
      <c r="A3271" t="str">
        <f t="shared" si="102"/>
        <v/>
      </c>
      <c r="B3271" t="str">
        <f t="shared" si="103"/>
        <v/>
      </c>
      <c r="C3271" t="str">
        <f>IF(D3271="","",IF(COUNTIF($D$2:D3271,D3271)&gt;1,"",SUMIFS(tbl_input[필요수량],tbl_input[집계키_청],D3271)))</f>
        <v/>
      </c>
      <c r="D3271" t="str">
        <f>IFERROR(INDEX(tbl_input[집계키_청],ROW()-1),"")</f>
        <v/>
      </c>
    </row>
    <row r="3272" spans="1:4" x14ac:dyDescent="0.4">
      <c r="A3272" t="str">
        <f t="shared" si="102"/>
        <v/>
      </c>
      <c r="B3272" t="str">
        <f t="shared" si="103"/>
        <v/>
      </c>
      <c r="C3272" t="str">
        <f>IF(D3272="","",IF(COUNTIF($D$2:D3272,D3272)&gt;1,"",SUMIFS(tbl_input[필요수량],tbl_input[집계키_청],D3272)))</f>
        <v/>
      </c>
      <c r="D3272" t="str">
        <f>IFERROR(INDEX(tbl_input[집계키_청],ROW()-1),"")</f>
        <v/>
      </c>
    </row>
    <row r="3273" spans="1:4" x14ac:dyDescent="0.4">
      <c r="A3273" t="str">
        <f t="shared" si="102"/>
        <v/>
      </c>
      <c r="B3273" t="str">
        <f t="shared" si="103"/>
        <v/>
      </c>
      <c r="C3273" t="str">
        <f>IF(D3273="","",IF(COUNTIF($D$2:D3273,D3273)&gt;1,"",SUMIFS(tbl_input[필요수량],tbl_input[집계키_청],D3273)))</f>
        <v/>
      </c>
      <c r="D3273" t="str">
        <f>IFERROR(INDEX(tbl_input[집계키_청],ROW()-1),"")</f>
        <v/>
      </c>
    </row>
    <row r="3274" spans="1:4" x14ac:dyDescent="0.4">
      <c r="A3274" t="str">
        <f t="shared" si="102"/>
        <v/>
      </c>
      <c r="B3274" t="str">
        <f t="shared" si="103"/>
        <v/>
      </c>
      <c r="C3274" t="str">
        <f>IF(D3274="","",IF(COUNTIF($D$2:D3274,D3274)&gt;1,"",SUMIFS(tbl_input[필요수량],tbl_input[집계키_청],D3274)))</f>
        <v/>
      </c>
      <c r="D3274" t="str">
        <f>IFERROR(INDEX(tbl_input[집계키_청],ROW()-1),"")</f>
        <v/>
      </c>
    </row>
    <row r="3275" spans="1:4" x14ac:dyDescent="0.4">
      <c r="A3275" t="str">
        <f t="shared" si="102"/>
        <v/>
      </c>
      <c r="B3275" t="str">
        <f t="shared" si="103"/>
        <v/>
      </c>
      <c r="C3275" t="str">
        <f>IF(D3275="","",IF(COUNTIF($D$2:D3275,D3275)&gt;1,"",SUMIFS(tbl_input[필요수량],tbl_input[집계키_청],D3275)))</f>
        <v/>
      </c>
      <c r="D3275" t="str">
        <f>IFERROR(INDEX(tbl_input[집계키_청],ROW()-1),"")</f>
        <v/>
      </c>
    </row>
    <row r="3276" spans="1:4" x14ac:dyDescent="0.4">
      <c r="A3276" t="str">
        <f t="shared" si="102"/>
        <v/>
      </c>
      <c r="B3276" t="str">
        <f t="shared" si="103"/>
        <v/>
      </c>
      <c r="C3276" t="str">
        <f>IF(D3276="","",IF(COUNTIF($D$2:D3276,D3276)&gt;1,"",SUMIFS(tbl_input[필요수량],tbl_input[집계키_청],D3276)))</f>
        <v/>
      </c>
      <c r="D3276" t="str">
        <f>IFERROR(INDEX(tbl_input[집계키_청],ROW()-1),"")</f>
        <v/>
      </c>
    </row>
    <row r="3277" spans="1:4" x14ac:dyDescent="0.4">
      <c r="A3277" t="str">
        <f t="shared" si="102"/>
        <v/>
      </c>
      <c r="B3277" t="str">
        <f t="shared" si="103"/>
        <v/>
      </c>
      <c r="C3277" t="str">
        <f>IF(D3277="","",IF(COUNTIF($D$2:D3277,D3277)&gt;1,"",SUMIFS(tbl_input[필요수량],tbl_input[집계키_청],D3277)))</f>
        <v/>
      </c>
      <c r="D3277" t="str">
        <f>IFERROR(INDEX(tbl_input[집계키_청],ROW()-1),"")</f>
        <v/>
      </c>
    </row>
    <row r="3278" spans="1:4" x14ac:dyDescent="0.4">
      <c r="A3278" t="str">
        <f t="shared" si="102"/>
        <v/>
      </c>
      <c r="B3278" t="str">
        <f t="shared" si="103"/>
        <v/>
      </c>
      <c r="C3278" t="str">
        <f>IF(D3278="","",IF(COUNTIF($D$2:D3278,D3278)&gt;1,"",SUMIFS(tbl_input[필요수량],tbl_input[집계키_청],D3278)))</f>
        <v/>
      </c>
      <c r="D3278" t="str">
        <f>IFERROR(INDEX(tbl_input[집계키_청],ROW()-1),"")</f>
        <v/>
      </c>
    </row>
    <row r="3279" spans="1:4" x14ac:dyDescent="0.4">
      <c r="A3279" t="str">
        <f t="shared" si="102"/>
        <v/>
      </c>
      <c r="B3279" t="str">
        <f t="shared" si="103"/>
        <v/>
      </c>
      <c r="C3279" t="str">
        <f>IF(D3279="","",IF(COUNTIF($D$2:D3279,D3279)&gt;1,"",SUMIFS(tbl_input[필요수량],tbl_input[집계키_청],D3279)))</f>
        <v/>
      </c>
      <c r="D3279" t="str">
        <f>IFERROR(INDEX(tbl_input[집계키_청],ROW()-1),"")</f>
        <v/>
      </c>
    </row>
    <row r="3280" spans="1:4" x14ac:dyDescent="0.4">
      <c r="A3280" t="str">
        <f t="shared" si="102"/>
        <v/>
      </c>
      <c r="B3280" t="str">
        <f t="shared" si="103"/>
        <v/>
      </c>
      <c r="C3280" t="str">
        <f>IF(D3280="","",IF(COUNTIF($D$2:D3280,D3280)&gt;1,"",SUMIFS(tbl_input[필요수량],tbl_input[집계키_청],D3280)))</f>
        <v/>
      </c>
      <c r="D3280" t="str">
        <f>IFERROR(INDEX(tbl_input[집계키_청],ROW()-1),"")</f>
        <v/>
      </c>
    </row>
    <row r="3281" spans="1:4" x14ac:dyDescent="0.4">
      <c r="A3281" t="str">
        <f t="shared" si="102"/>
        <v/>
      </c>
      <c r="B3281" t="str">
        <f t="shared" si="103"/>
        <v/>
      </c>
      <c r="C3281" t="str">
        <f>IF(D3281="","",IF(COUNTIF($D$2:D3281,D3281)&gt;1,"",SUMIFS(tbl_input[필요수량],tbl_input[집계키_청],D3281)))</f>
        <v/>
      </c>
      <c r="D3281" t="str">
        <f>IFERROR(INDEX(tbl_input[집계키_청],ROW()-1),"")</f>
        <v/>
      </c>
    </row>
    <row r="3282" spans="1:4" x14ac:dyDescent="0.4">
      <c r="A3282" t="str">
        <f t="shared" si="102"/>
        <v/>
      </c>
      <c r="B3282" t="str">
        <f t="shared" si="103"/>
        <v/>
      </c>
      <c r="C3282" t="str">
        <f>IF(D3282="","",IF(COUNTIF($D$2:D3282,D3282)&gt;1,"",SUMIFS(tbl_input[필요수량],tbl_input[집계키_청],D3282)))</f>
        <v/>
      </c>
      <c r="D3282" t="str">
        <f>IFERROR(INDEX(tbl_input[집계키_청],ROW()-1),"")</f>
        <v/>
      </c>
    </row>
    <row r="3283" spans="1:4" x14ac:dyDescent="0.4">
      <c r="A3283" t="str">
        <f t="shared" si="102"/>
        <v/>
      </c>
      <c r="B3283" t="str">
        <f t="shared" si="103"/>
        <v/>
      </c>
      <c r="C3283" t="str">
        <f>IF(D3283="","",IF(COUNTIF($D$2:D3283,D3283)&gt;1,"",SUMIFS(tbl_input[필요수량],tbl_input[집계키_청],D3283)))</f>
        <v/>
      </c>
      <c r="D3283" t="str">
        <f>IFERROR(INDEX(tbl_input[집계키_청],ROW()-1),"")</f>
        <v/>
      </c>
    </row>
    <row r="3284" spans="1:4" x14ac:dyDescent="0.4">
      <c r="A3284" t="str">
        <f t="shared" si="102"/>
        <v/>
      </c>
      <c r="B3284" t="str">
        <f t="shared" si="103"/>
        <v/>
      </c>
      <c r="C3284" t="str">
        <f>IF(D3284="","",IF(COUNTIF($D$2:D3284,D3284)&gt;1,"",SUMIFS(tbl_input[필요수량],tbl_input[집계키_청],D3284)))</f>
        <v/>
      </c>
      <c r="D3284" t="str">
        <f>IFERROR(INDEX(tbl_input[집계키_청],ROW()-1),"")</f>
        <v/>
      </c>
    </row>
    <row r="3285" spans="1:4" x14ac:dyDescent="0.4">
      <c r="A3285" t="str">
        <f t="shared" si="102"/>
        <v/>
      </c>
      <c r="B3285" t="str">
        <f t="shared" si="103"/>
        <v/>
      </c>
      <c r="C3285" t="str">
        <f>IF(D3285="","",IF(COUNTIF($D$2:D3285,D3285)&gt;1,"",SUMIFS(tbl_input[필요수량],tbl_input[집계키_청],D3285)))</f>
        <v/>
      </c>
      <c r="D3285" t="str">
        <f>IFERROR(INDEX(tbl_input[집계키_청],ROW()-1),"")</f>
        <v/>
      </c>
    </row>
    <row r="3286" spans="1:4" x14ac:dyDescent="0.4">
      <c r="A3286" t="str">
        <f t="shared" si="102"/>
        <v/>
      </c>
      <c r="B3286" t="str">
        <f t="shared" si="103"/>
        <v/>
      </c>
      <c r="C3286" t="str">
        <f>IF(D3286="","",IF(COUNTIF($D$2:D3286,D3286)&gt;1,"",SUMIFS(tbl_input[필요수량],tbl_input[집계키_청],D3286)))</f>
        <v/>
      </c>
      <c r="D3286" t="str">
        <f>IFERROR(INDEX(tbl_input[집계키_청],ROW()-1),"")</f>
        <v/>
      </c>
    </row>
    <row r="3287" spans="1:4" x14ac:dyDescent="0.4">
      <c r="A3287" t="str">
        <f t="shared" si="102"/>
        <v/>
      </c>
      <c r="B3287" t="str">
        <f t="shared" si="103"/>
        <v/>
      </c>
      <c r="C3287" t="str">
        <f>IF(D3287="","",IF(COUNTIF($D$2:D3287,D3287)&gt;1,"",SUMIFS(tbl_input[필요수량],tbl_input[집계키_청],D3287)))</f>
        <v/>
      </c>
      <c r="D3287" t="str">
        <f>IFERROR(INDEX(tbl_input[집계키_청],ROW()-1),"")</f>
        <v/>
      </c>
    </row>
    <row r="3288" spans="1:4" x14ac:dyDescent="0.4">
      <c r="A3288" t="str">
        <f t="shared" si="102"/>
        <v/>
      </c>
      <c r="B3288" t="str">
        <f t="shared" si="103"/>
        <v/>
      </c>
      <c r="C3288" t="str">
        <f>IF(D3288="","",IF(COUNTIF($D$2:D3288,D3288)&gt;1,"",SUMIFS(tbl_input[필요수량],tbl_input[집계키_청],D3288)))</f>
        <v/>
      </c>
      <c r="D3288" t="str">
        <f>IFERROR(INDEX(tbl_input[집계키_청],ROW()-1),"")</f>
        <v/>
      </c>
    </row>
    <row r="3289" spans="1:4" x14ac:dyDescent="0.4">
      <c r="A3289" t="str">
        <f t="shared" si="102"/>
        <v/>
      </c>
      <c r="B3289" t="str">
        <f t="shared" si="103"/>
        <v/>
      </c>
      <c r="C3289" t="str">
        <f>IF(D3289="","",IF(COUNTIF($D$2:D3289,D3289)&gt;1,"",SUMIFS(tbl_input[필요수량],tbl_input[집계키_청],D3289)))</f>
        <v/>
      </c>
      <c r="D3289" t="str">
        <f>IFERROR(INDEX(tbl_input[집계키_청],ROW()-1),"")</f>
        <v/>
      </c>
    </row>
    <row r="3290" spans="1:4" x14ac:dyDescent="0.4">
      <c r="A3290" t="str">
        <f t="shared" si="102"/>
        <v/>
      </c>
      <c r="B3290" t="str">
        <f t="shared" si="103"/>
        <v/>
      </c>
      <c r="C3290" t="str">
        <f>IF(D3290="","",IF(COUNTIF($D$2:D3290,D3290)&gt;1,"",SUMIFS(tbl_input[필요수량],tbl_input[집계키_청],D3290)))</f>
        <v/>
      </c>
      <c r="D3290" t="str">
        <f>IFERROR(INDEX(tbl_input[집계키_청],ROW()-1),"")</f>
        <v/>
      </c>
    </row>
    <row r="3291" spans="1:4" x14ac:dyDescent="0.4">
      <c r="A3291" t="str">
        <f t="shared" si="102"/>
        <v/>
      </c>
      <c r="B3291" t="str">
        <f t="shared" si="103"/>
        <v/>
      </c>
      <c r="C3291" t="str">
        <f>IF(D3291="","",IF(COUNTIF($D$2:D3291,D3291)&gt;1,"",SUMIFS(tbl_input[필요수량],tbl_input[집계키_청],D3291)))</f>
        <v/>
      </c>
      <c r="D3291" t="str">
        <f>IFERROR(INDEX(tbl_input[집계키_청],ROW()-1),"")</f>
        <v/>
      </c>
    </row>
    <row r="3292" spans="1:4" x14ac:dyDescent="0.4">
      <c r="A3292" t="str">
        <f t="shared" si="102"/>
        <v/>
      </c>
      <c r="B3292" t="str">
        <f t="shared" si="103"/>
        <v/>
      </c>
      <c r="C3292" t="str">
        <f>IF(D3292="","",IF(COUNTIF($D$2:D3292,D3292)&gt;1,"",SUMIFS(tbl_input[필요수량],tbl_input[집계키_청],D3292)))</f>
        <v/>
      </c>
      <c r="D3292" t="str">
        <f>IFERROR(INDEX(tbl_input[집계키_청],ROW()-1),"")</f>
        <v/>
      </c>
    </row>
    <row r="3293" spans="1:4" x14ac:dyDescent="0.4">
      <c r="A3293" t="str">
        <f t="shared" si="102"/>
        <v/>
      </c>
      <c r="B3293" t="str">
        <f t="shared" si="103"/>
        <v/>
      </c>
      <c r="C3293" t="str">
        <f>IF(D3293="","",IF(COUNTIF($D$2:D3293,D3293)&gt;1,"",SUMIFS(tbl_input[필요수량],tbl_input[집계키_청],D3293)))</f>
        <v/>
      </c>
      <c r="D3293" t="str">
        <f>IFERROR(INDEX(tbl_input[집계키_청],ROW()-1),"")</f>
        <v/>
      </c>
    </row>
    <row r="3294" spans="1:4" x14ac:dyDescent="0.4">
      <c r="A3294" t="str">
        <f t="shared" si="102"/>
        <v/>
      </c>
      <c r="B3294" t="str">
        <f t="shared" si="103"/>
        <v/>
      </c>
      <c r="C3294" t="str">
        <f>IF(D3294="","",IF(COUNTIF($D$2:D3294,D3294)&gt;1,"",SUMIFS(tbl_input[필요수량],tbl_input[집계키_청],D3294)))</f>
        <v/>
      </c>
      <c r="D3294" t="str">
        <f>IFERROR(INDEX(tbl_input[집계키_청],ROW()-1),"")</f>
        <v/>
      </c>
    </row>
    <row r="3295" spans="1:4" x14ac:dyDescent="0.4">
      <c r="A3295" t="str">
        <f t="shared" si="102"/>
        <v/>
      </c>
      <c r="B3295" t="str">
        <f t="shared" si="103"/>
        <v/>
      </c>
      <c r="C3295" t="str">
        <f>IF(D3295="","",IF(COUNTIF($D$2:D3295,D3295)&gt;1,"",SUMIFS(tbl_input[필요수량],tbl_input[집계키_청],D3295)))</f>
        <v/>
      </c>
      <c r="D3295" t="str">
        <f>IFERROR(INDEX(tbl_input[집계키_청],ROW()-1),"")</f>
        <v/>
      </c>
    </row>
    <row r="3296" spans="1:4" x14ac:dyDescent="0.4">
      <c r="A3296" t="str">
        <f t="shared" si="102"/>
        <v/>
      </c>
      <c r="B3296" t="str">
        <f t="shared" si="103"/>
        <v/>
      </c>
      <c r="C3296" t="str">
        <f>IF(D3296="","",IF(COUNTIF($D$2:D3296,D3296)&gt;1,"",SUMIFS(tbl_input[필요수량],tbl_input[집계키_청],D3296)))</f>
        <v/>
      </c>
      <c r="D3296" t="str">
        <f>IFERROR(INDEX(tbl_input[집계키_청],ROW()-1),"")</f>
        <v/>
      </c>
    </row>
    <row r="3297" spans="1:4" x14ac:dyDescent="0.4">
      <c r="A3297" t="str">
        <f t="shared" si="102"/>
        <v/>
      </c>
      <c r="B3297" t="str">
        <f t="shared" si="103"/>
        <v/>
      </c>
      <c r="C3297" t="str">
        <f>IF(D3297="","",IF(COUNTIF($D$2:D3297,D3297)&gt;1,"",SUMIFS(tbl_input[필요수량],tbl_input[집계키_청],D3297)))</f>
        <v/>
      </c>
      <c r="D3297" t="str">
        <f>IFERROR(INDEX(tbl_input[집계키_청],ROW()-1),"")</f>
        <v/>
      </c>
    </row>
    <row r="3298" spans="1:4" x14ac:dyDescent="0.4">
      <c r="A3298" t="str">
        <f t="shared" si="102"/>
        <v/>
      </c>
      <c r="B3298" t="str">
        <f t="shared" si="103"/>
        <v/>
      </c>
      <c r="C3298" t="str">
        <f>IF(D3298="","",IF(COUNTIF($D$2:D3298,D3298)&gt;1,"",SUMIFS(tbl_input[필요수량],tbl_input[집계키_청],D3298)))</f>
        <v/>
      </c>
      <c r="D3298" t="str">
        <f>IFERROR(INDEX(tbl_input[집계키_청],ROW()-1),"")</f>
        <v/>
      </c>
    </row>
    <row r="3299" spans="1:4" x14ac:dyDescent="0.4">
      <c r="A3299" t="str">
        <f t="shared" si="102"/>
        <v/>
      </c>
      <c r="B3299" t="str">
        <f t="shared" si="103"/>
        <v/>
      </c>
      <c r="C3299" t="str">
        <f>IF(D3299="","",IF(COUNTIF($D$2:D3299,D3299)&gt;1,"",SUMIFS(tbl_input[필요수량],tbl_input[집계키_청],D3299)))</f>
        <v/>
      </c>
      <c r="D3299" t="str">
        <f>IFERROR(INDEX(tbl_input[집계키_청],ROW()-1),"")</f>
        <v/>
      </c>
    </row>
    <row r="3300" spans="1:4" x14ac:dyDescent="0.4">
      <c r="A3300" t="str">
        <f t="shared" si="102"/>
        <v/>
      </c>
      <c r="B3300" t="str">
        <f t="shared" si="103"/>
        <v/>
      </c>
      <c r="C3300" t="str">
        <f>IF(D3300="","",IF(COUNTIF($D$2:D3300,D3300)&gt;1,"",SUMIFS(tbl_input[필요수량],tbl_input[집계키_청],D3300)))</f>
        <v/>
      </c>
      <c r="D3300" t="str">
        <f>IFERROR(INDEX(tbl_input[집계키_청],ROW()-1),"")</f>
        <v/>
      </c>
    </row>
    <row r="3301" spans="1:4" x14ac:dyDescent="0.4">
      <c r="A3301" t="str">
        <f t="shared" si="102"/>
        <v/>
      </c>
      <c r="B3301" t="str">
        <f t="shared" si="103"/>
        <v/>
      </c>
      <c r="C3301" t="str">
        <f>IF(D3301="","",IF(COUNTIF($D$2:D3301,D3301)&gt;1,"",SUMIFS(tbl_input[필요수량],tbl_input[집계키_청],D3301)))</f>
        <v/>
      </c>
      <c r="D3301" t="str">
        <f>IFERROR(INDEX(tbl_input[집계키_청],ROW()-1),"")</f>
        <v/>
      </c>
    </row>
    <row r="3302" spans="1:4" x14ac:dyDescent="0.4">
      <c r="A3302" t="str">
        <f t="shared" si="102"/>
        <v/>
      </c>
      <c r="B3302" t="str">
        <f t="shared" si="103"/>
        <v/>
      </c>
      <c r="C3302" t="str">
        <f>IF(D3302="","",IF(COUNTIF($D$2:D3302,D3302)&gt;1,"",SUMIFS(tbl_input[필요수량],tbl_input[집계키_청],D3302)))</f>
        <v/>
      </c>
      <c r="D3302" t="str">
        <f>IFERROR(INDEX(tbl_input[집계키_청],ROW()-1),"")</f>
        <v/>
      </c>
    </row>
    <row r="3303" spans="1:4" x14ac:dyDescent="0.4">
      <c r="A3303" t="str">
        <f t="shared" si="102"/>
        <v/>
      </c>
      <c r="B3303" t="str">
        <f t="shared" si="103"/>
        <v/>
      </c>
      <c r="C3303" t="str">
        <f>IF(D3303="","",IF(COUNTIF($D$2:D3303,D3303)&gt;1,"",SUMIFS(tbl_input[필요수량],tbl_input[집계키_청],D3303)))</f>
        <v/>
      </c>
      <c r="D3303" t="str">
        <f>IFERROR(INDEX(tbl_input[집계키_청],ROW()-1),"")</f>
        <v/>
      </c>
    </row>
    <row r="3304" spans="1:4" x14ac:dyDescent="0.4">
      <c r="A3304" t="str">
        <f t="shared" si="102"/>
        <v/>
      </c>
      <c r="B3304" t="str">
        <f t="shared" si="103"/>
        <v/>
      </c>
      <c r="C3304" t="str">
        <f>IF(D3304="","",IF(COUNTIF($D$2:D3304,D3304)&gt;1,"",SUMIFS(tbl_input[필요수량],tbl_input[집계키_청],D3304)))</f>
        <v/>
      </c>
      <c r="D3304" t="str">
        <f>IFERROR(INDEX(tbl_input[집계키_청],ROW()-1),"")</f>
        <v/>
      </c>
    </row>
    <row r="3305" spans="1:4" x14ac:dyDescent="0.4">
      <c r="A3305" t="str">
        <f t="shared" si="102"/>
        <v/>
      </c>
      <c r="B3305" t="str">
        <f t="shared" si="103"/>
        <v/>
      </c>
      <c r="C3305" t="str">
        <f>IF(D3305="","",IF(COUNTIF($D$2:D3305,D3305)&gt;1,"",SUMIFS(tbl_input[필요수량],tbl_input[집계키_청],D3305)))</f>
        <v/>
      </c>
      <c r="D3305" t="str">
        <f>IFERROR(INDEX(tbl_input[집계키_청],ROW()-1),"")</f>
        <v/>
      </c>
    </row>
    <row r="3306" spans="1:4" x14ac:dyDescent="0.4">
      <c r="A3306" t="str">
        <f t="shared" si="102"/>
        <v/>
      </c>
      <c r="B3306" t="str">
        <f t="shared" si="103"/>
        <v/>
      </c>
      <c r="C3306" t="str">
        <f>IF(D3306="","",IF(COUNTIF($D$2:D3306,D3306)&gt;1,"",SUMIFS(tbl_input[필요수량],tbl_input[집계키_청],D3306)))</f>
        <v/>
      </c>
      <c r="D3306" t="str">
        <f>IFERROR(INDEX(tbl_input[집계키_청],ROW()-1),"")</f>
        <v/>
      </c>
    </row>
    <row r="3307" spans="1:4" x14ac:dyDescent="0.4">
      <c r="A3307" t="str">
        <f t="shared" si="102"/>
        <v/>
      </c>
      <c r="B3307" t="str">
        <f t="shared" si="103"/>
        <v/>
      </c>
      <c r="C3307" t="str">
        <f>IF(D3307="","",IF(COUNTIF($D$2:D3307,D3307)&gt;1,"",SUMIFS(tbl_input[필요수량],tbl_input[집계키_청],D3307)))</f>
        <v/>
      </c>
      <c r="D3307" t="str">
        <f>IFERROR(INDEX(tbl_input[집계키_청],ROW()-1),"")</f>
        <v/>
      </c>
    </row>
    <row r="3308" spans="1:4" x14ac:dyDescent="0.4">
      <c r="A3308" t="str">
        <f t="shared" si="102"/>
        <v/>
      </c>
      <c r="B3308" t="str">
        <f t="shared" si="103"/>
        <v/>
      </c>
      <c r="C3308" t="str">
        <f>IF(D3308="","",IF(COUNTIF($D$2:D3308,D3308)&gt;1,"",SUMIFS(tbl_input[필요수량],tbl_input[집계키_청],D3308)))</f>
        <v/>
      </c>
      <c r="D3308" t="str">
        <f>IFERROR(INDEX(tbl_input[집계키_청],ROW()-1),"")</f>
        <v/>
      </c>
    </row>
    <row r="3309" spans="1:4" x14ac:dyDescent="0.4">
      <c r="A3309" t="str">
        <f t="shared" si="102"/>
        <v/>
      </c>
      <c r="B3309" t="str">
        <f t="shared" si="103"/>
        <v/>
      </c>
      <c r="C3309" t="str">
        <f>IF(D3309="","",IF(COUNTIF($D$2:D3309,D3309)&gt;1,"",SUMIFS(tbl_input[필요수량],tbl_input[집계키_청],D3309)))</f>
        <v/>
      </c>
      <c r="D3309" t="str">
        <f>IFERROR(INDEX(tbl_input[집계키_청],ROW()-1),"")</f>
        <v/>
      </c>
    </row>
    <row r="3310" spans="1:4" x14ac:dyDescent="0.4">
      <c r="A3310" t="str">
        <f t="shared" si="102"/>
        <v/>
      </c>
      <c r="B3310" t="str">
        <f t="shared" si="103"/>
        <v/>
      </c>
      <c r="C3310" t="str">
        <f>IF(D3310="","",IF(COUNTIF($D$2:D3310,D3310)&gt;1,"",SUMIFS(tbl_input[필요수량],tbl_input[집계키_청],D3310)))</f>
        <v/>
      </c>
      <c r="D3310" t="str">
        <f>IFERROR(INDEX(tbl_input[집계키_청],ROW()-1),"")</f>
        <v/>
      </c>
    </row>
    <row r="3311" spans="1:4" x14ac:dyDescent="0.4">
      <c r="A3311" t="str">
        <f t="shared" si="102"/>
        <v/>
      </c>
      <c r="B3311" t="str">
        <f t="shared" si="103"/>
        <v/>
      </c>
      <c r="C3311" t="str">
        <f>IF(D3311="","",IF(COUNTIF($D$2:D3311,D3311)&gt;1,"",SUMIFS(tbl_input[필요수량],tbl_input[집계키_청],D3311)))</f>
        <v/>
      </c>
      <c r="D3311" t="str">
        <f>IFERROR(INDEX(tbl_input[집계키_청],ROW()-1),"")</f>
        <v/>
      </c>
    </row>
    <row r="3312" spans="1:4" x14ac:dyDescent="0.4">
      <c r="A3312" t="str">
        <f t="shared" si="102"/>
        <v/>
      </c>
      <c r="B3312" t="str">
        <f t="shared" si="103"/>
        <v/>
      </c>
      <c r="C3312" t="str">
        <f>IF(D3312="","",IF(COUNTIF($D$2:D3312,D3312)&gt;1,"",SUMIFS(tbl_input[필요수량],tbl_input[집계키_청],D3312)))</f>
        <v/>
      </c>
      <c r="D3312" t="str">
        <f>IFERROR(INDEX(tbl_input[집계키_청],ROW()-1),"")</f>
        <v/>
      </c>
    </row>
    <row r="3313" spans="1:4" x14ac:dyDescent="0.4">
      <c r="A3313" t="str">
        <f t="shared" si="102"/>
        <v/>
      </c>
      <c r="B3313" t="str">
        <f t="shared" si="103"/>
        <v/>
      </c>
      <c r="C3313" t="str">
        <f>IF(D3313="","",IF(COUNTIF($D$2:D3313,D3313)&gt;1,"",SUMIFS(tbl_input[필요수량],tbl_input[집계키_청],D3313)))</f>
        <v/>
      </c>
      <c r="D3313" t="str">
        <f>IFERROR(INDEX(tbl_input[집계키_청],ROW()-1),"")</f>
        <v/>
      </c>
    </row>
    <row r="3314" spans="1:4" x14ac:dyDescent="0.4">
      <c r="A3314" t="str">
        <f t="shared" si="102"/>
        <v/>
      </c>
      <c r="B3314" t="str">
        <f t="shared" si="103"/>
        <v/>
      </c>
      <c r="C3314" t="str">
        <f>IF(D3314="","",IF(COUNTIF($D$2:D3314,D3314)&gt;1,"",SUMIFS(tbl_input[필요수량],tbl_input[집계키_청],D3314)))</f>
        <v/>
      </c>
      <c r="D3314" t="str">
        <f>IFERROR(INDEX(tbl_input[집계키_청],ROW()-1),"")</f>
        <v/>
      </c>
    </row>
    <row r="3315" spans="1:4" x14ac:dyDescent="0.4">
      <c r="A3315" t="str">
        <f t="shared" si="102"/>
        <v/>
      </c>
      <c r="B3315" t="str">
        <f t="shared" si="103"/>
        <v/>
      </c>
      <c r="C3315" t="str">
        <f>IF(D3315="","",IF(COUNTIF($D$2:D3315,D3315)&gt;1,"",SUMIFS(tbl_input[필요수량],tbl_input[집계키_청],D3315)))</f>
        <v/>
      </c>
      <c r="D3315" t="str">
        <f>IFERROR(INDEX(tbl_input[집계키_청],ROW()-1),"")</f>
        <v/>
      </c>
    </row>
    <row r="3316" spans="1:4" x14ac:dyDescent="0.4">
      <c r="A3316" t="str">
        <f t="shared" si="102"/>
        <v/>
      </c>
      <c r="B3316" t="str">
        <f t="shared" si="103"/>
        <v/>
      </c>
      <c r="C3316" t="str">
        <f>IF(D3316="","",IF(COUNTIF($D$2:D3316,D3316)&gt;1,"",SUMIFS(tbl_input[필요수량],tbl_input[집계키_청],D3316)))</f>
        <v/>
      </c>
      <c r="D3316" t="str">
        <f>IFERROR(INDEX(tbl_input[집계키_청],ROW()-1),"")</f>
        <v/>
      </c>
    </row>
    <row r="3317" spans="1:4" x14ac:dyDescent="0.4">
      <c r="A3317" t="str">
        <f t="shared" si="102"/>
        <v/>
      </c>
      <c r="B3317" t="str">
        <f t="shared" si="103"/>
        <v/>
      </c>
      <c r="C3317" t="str">
        <f>IF(D3317="","",IF(COUNTIF($D$2:D3317,D3317)&gt;1,"",SUMIFS(tbl_input[필요수량],tbl_input[집계키_청],D3317)))</f>
        <v/>
      </c>
      <c r="D3317" t="str">
        <f>IFERROR(INDEX(tbl_input[집계키_청],ROW()-1),"")</f>
        <v/>
      </c>
    </row>
    <row r="3318" spans="1:4" x14ac:dyDescent="0.4">
      <c r="A3318" t="str">
        <f t="shared" si="102"/>
        <v/>
      </c>
      <c r="B3318" t="str">
        <f t="shared" si="103"/>
        <v/>
      </c>
      <c r="C3318" t="str">
        <f>IF(D3318="","",IF(COUNTIF($D$2:D3318,D3318)&gt;1,"",SUMIFS(tbl_input[필요수량],tbl_input[집계키_청],D3318)))</f>
        <v/>
      </c>
      <c r="D3318" t="str">
        <f>IFERROR(INDEX(tbl_input[집계키_청],ROW()-1),"")</f>
        <v/>
      </c>
    </row>
    <row r="3319" spans="1:4" x14ac:dyDescent="0.4">
      <c r="A3319" t="str">
        <f t="shared" si="102"/>
        <v/>
      </c>
      <c r="B3319" t="str">
        <f t="shared" si="103"/>
        <v/>
      </c>
      <c r="C3319" t="str">
        <f>IF(D3319="","",IF(COUNTIF($D$2:D3319,D3319)&gt;1,"",SUMIFS(tbl_input[필요수량],tbl_input[집계키_청],D3319)))</f>
        <v/>
      </c>
      <c r="D3319" t="str">
        <f>IFERROR(INDEX(tbl_input[집계키_청],ROW()-1),"")</f>
        <v/>
      </c>
    </row>
    <row r="3320" spans="1:4" x14ac:dyDescent="0.4">
      <c r="A3320" t="str">
        <f t="shared" si="102"/>
        <v/>
      </c>
      <c r="B3320" t="str">
        <f t="shared" si="103"/>
        <v/>
      </c>
      <c r="C3320" t="str">
        <f>IF(D3320="","",IF(COUNTIF($D$2:D3320,D3320)&gt;1,"",SUMIFS(tbl_input[필요수량],tbl_input[집계키_청],D3320)))</f>
        <v/>
      </c>
      <c r="D3320" t="str">
        <f>IFERROR(INDEX(tbl_input[집계키_청],ROW()-1),"")</f>
        <v/>
      </c>
    </row>
    <row r="3321" spans="1:4" x14ac:dyDescent="0.4">
      <c r="A3321" t="str">
        <f t="shared" si="102"/>
        <v/>
      </c>
      <c r="B3321" t="str">
        <f t="shared" si="103"/>
        <v/>
      </c>
      <c r="C3321" t="str">
        <f>IF(D3321="","",IF(COUNTIF($D$2:D3321,D3321)&gt;1,"",SUMIFS(tbl_input[필요수량],tbl_input[집계키_청],D3321)))</f>
        <v/>
      </c>
      <c r="D3321" t="str">
        <f>IFERROR(INDEX(tbl_input[집계키_청],ROW()-1),"")</f>
        <v/>
      </c>
    </row>
    <row r="3322" spans="1:4" x14ac:dyDescent="0.4">
      <c r="A3322" t="str">
        <f t="shared" si="102"/>
        <v/>
      </c>
      <c r="B3322" t="str">
        <f t="shared" si="103"/>
        <v/>
      </c>
      <c r="C3322" t="str">
        <f>IF(D3322="","",IF(COUNTIF($D$2:D3322,D3322)&gt;1,"",SUMIFS(tbl_input[필요수량],tbl_input[집계키_청],D3322)))</f>
        <v/>
      </c>
      <c r="D3322" t="str">
        <f>IFERROR(INDEX(tbl_input[집계키_청],ROW()-1),"")</f>
        <v/>
      </c>
    </row>
    <row r="3323" spans="1:4" x14ac:dyDescent="0.4">
      <c r="A3323" t="str">
        <f t="shared" si="102"/>
        <v/>
      </c>
      <c r="B3323" t="str">
        <f t="shared" si="103"/>
        <v/>
      </c>
      <c r="C3323" t="str">
        <f>IF(D3323="","",IF(COUNTIF($D$2:D3323,D3323)&gt;1,"",SUMIFS(tbl_input[필요수량],tbl_input[집계키_청],D3323)))</f>
        <v/>
      </c>
      <c r="D3323" t="str">
        <f>IFERROR(INDEX(tbl_input[집계키_청],ROW()-1),"")</f>
        <v/>
      </c>
    </row>
    <row r="3324" spans="1:4" x14ac:dyDescent="0.4">
      <c r="A3324" t="str">
        <f t="shared" si="102"/>
        <v/>
      </c>
      <c r="B3324" t="str">
        <f t="shared" si="103"/>
        <v/>
      </c>
      <c r="C3324" t="str">
        <f>IF(D3324="","",IF(COUNTIF($D$2:D3324,D3324)&gt;1,"",SUMIFS(tbl_input[필요수량],tbl_input[집계키_청],D3324)))</f>
        <v/>
      </c>
      <c r="D3324" t="str">
        <f>IFERROR(INDEX(tbl_input[집계키_청],ROW()-1),"")</f>
        <v/>
      </c>
    </row>
    <row r="3325" spans="1:4" x14ac:dyDescent="0.4">
      <c r="A3325" t="str">
        <f t="shared" si="102"/>
        <v/>
      </c>
      <c r="B3325" t="str">
        <f t="shared" si="103"/>
        <v/>
      </c>
      <c r="C3325" t="str">
        <f>IF(D3325="","",IF(COUNTIF($D$2:D3325,D3325)&gt;1,"",SUMIFS(tbl_input[필요수량],tbl_input[집계키_청],D3325)))</f>
        <v/>
      </c>
      <c r="D3325" t="str">
        <f>IFERROR(INDEX(tbl_input[집계키_청],ROW()-1),"")</f>
        <v/>
      </c>
    </row>
    <row r="3326" spans="1:4" x14ac:dyDescent="0.4">
      <c r="A3326" t="str">
        <f t="shared" si="102"/>
        <v/>
      </c>
      <c r="B3326" t="str">
        <f t="shared" si="103"/>
        <v/>
      </c>
      <c r="C3326" t="str">
        <f>IF(D3326="","",IF(COUNTIF($D$2:D3326,D3326)&gt;1,"",SUMIFS(tbl_input[필요수량],tbl_input[집계키_청],D3326)))</f>
        <v/>
      </c>
      <c r="D3326" t="str">
        <f>IFERROR(INDEX(tbl_input[집계키_청],ROW()-1),"")</f>
        <v/>
      </c>
    </row>
    <row r="3327" spans="1:4" x14ac:dyDescent="0.4">
      <c r="A3327" t="str">
        <f t="shared" si="102"/>
        <v/>
      </c>
      <c r="B3327" t="str">
        <f t="shared" si="103"/>
        <v/>
      </c>
      <c r="C3327" t="str">
        <f>IF(D3327="","",IF(COUNTIF($D$2:D3327,D3327)&gt;1,"",SUMIFS(tbl_input[필요수량],tbl_input[집계키_청],D3327)))</f>
        <v/>
      </c>
      <c r="D3327" t="str">
        <f>IFERROR(INDEX(tbl_input[집계키_청],ROW()-1),"")</f>
        <v/>
      </c>
    </row>
    <row r="3328" spans="1:4" x14ac:dyDescent="0.4">
      <c r="A3328" t="str">
        <f t="shared" si="102"/>
        <v/>
      </c>
      <c r="B3328" t="str">
        <f t="shared" si="103"/>
        <v/>
      </c>
      <c r="C3328" t="str">
        <f>IF(D3328="","",IF(COUNTIF($D$2:D3328,D3328)&gt;1,"",SUMIFS(tbl_input[필요수량],tbl_input[집계키_청],D3328)))</f>
        <v/>
      </c>
      <c r="D3328" t="str">
        <f>IFERROR(INDEX(tbl_input[집계키_청],ROW()-1),"")</f>
        <v/>
      </c>
    </row>
    <row r="3329" spans="1:4" x14ac:dyDescent="0.4">
      <c r="A3329" t="str">
        <f t="shared" si="102"/>
        <v/>
      </c>
      <c r="B3329" t="str">
        <f t="shared" si="103"/>
        <v/>
      </c>
      <c r="C3329" t="str">
        <f>IF(D3329="","",IF(COUNTIF($D$2:D3329,D3329)&gt;1,"",SUMIFS(tbl_input[필요수량],tbl_input[집계키_청],D3329)))</f>
        <v/>
      </c>
      <c r="D3329" t="str">
        <f>IFERROR(INDEX(tbl_input[집계키_청],ROW()-1),"")</f>
        <v/>
      </c>
    </row>
    <row r="3330" spans="1:4" x14ac:dyDescent="0.4">
      <c r="A3330" t="str">
        <f t="shared" ref="A3330:A3393" si="104">IF(D3330="","",LEFT(D3330,FIND("♦",D3330)-1))</f>
        <v/>
      </c>
      <c r="B3330" t="str">
        <f t="shared" ref="B3330:B3393" si="105">IF(D3330="","",MID(D3330,FIND("♦",D3330)+1,999))</f>
        <v/>
      </c>
      <c r="C3330" t="str">
        <f>IF(D3330="","",IF(COUNTIF($D$2:D3330,D3330)&gt;1,"",SUMIFS(tbl_input[필요수량],tbl_input[집계키_청],D3330)))</f>
        <v/>
      </c>
      <c r="D3330" t="str">
        <f>IFERROR(INDEX(tbl_input[집계키_청],ROW()-1),"")</f>
        <v/>
      </c>
    </row>
    <row r="3331" spans="1:4" x14ac:dyDescent="0.4">
      <c r="A3331" t="str">
        <f t="shared" si="104"/>
        <v/>
      </c>
      <c r="B3331" t="str">
        <f t="shared" si="105"/>
        <v/>
      </c>
      <c r="C3331" t="str">
        <f>IF(D3331="","",IF(COUNTIF($D$2:D3331,D3331)&gt;1,"",SUMIFS(tbl_input[필요수량],tbl_input[집계키_청],D3331)))</f>
        <v/>
      </c>
      <c r="D3331" t="str">
        <f>IFERROR(INDEX(tbl_input[집계키_청],ROW()-1),"")</f>
        <v/>
      </c>
    </row>
    <row r="3332" spans="1:4" x14ac:dyDescent="0.4">
      <c r="A3332" t="str">
        <f t="shared" si="104"/>
        <v/>
      </c>
      <c r="B3332" t="str">
        <f t="shared" si="105"/>
        <v/>
      </c>
      <c r="C3332" t="str">
        <f>IF(D3332="","",IF(COUNTIF($D$2:D3332,D3332)&gt;1,"",SUMIFS(tbl_input[필요수량],tbl_input[집계키_청],D3332)))</f>
        <v/>
      </c>
      <c r="D3332" t="str">
        <f>IFERROR(INDEX(tbl_input[집계키_청],ROW()-1),"")</f>
        <v/>
      </c>
    </row>
    <row r="3333" spans="1:4" x14ac:dyDescent="0.4">
      <c r="A3333" t="str">
        <f t="shared" si="104"/>
        <v/>
      </c>
      <c r="B3333" t="str">
        <f t="shared" si="105"/>
        <v/>
      </c>
      <c r="C3333" t="str">
        <f>IF(D3333="","",IF(COUNTIF($D$2:D3333,D3333)&gt;1,"",SUMIFS(tbl_input[필요수량],tbl_input[집계키_청],D3333)))</f>
        <v/>
      </c>
      <c r="D3333" t="str">
        <f>IFERROR(INDEX(tbl_input[집계키_청],ROW()-1),"")</f>
        <v/>
      </c>
    </row>
    <row r="3334" spans="1:4" x14ac:dyDescent="0.4">
      <c r="A3334" t="str">
        <f t="shared" si="104"/>
        <v/>
      </c>
      <c r="B3334" t="str">
        <f t="shared" si="105"/>
        <v/>
      </c>
      <c r="C3334" t="str">
        <f>IF(D3334="","",IF(COUNTIF($D$2:D3334,D3334)&gt;1,"",SUMIFS(tbl_input[필요수량],tbl_input[집계키_청],D3334)))</f>
        <v/>
      </c>
      <c r="D3334" t="str">
        <f>IFERROR(INDEX(tbl_input[집계키_청],ROW()-1),"")</f>
        <v/>
      </c>
    </row>
    <row r="3335" spans="1:4" x14ac:dyDescent="0.4">
      <c r="A3335" t="str">
        <f t="shared" si="104"/>
        <v/>
      </c>
      <c r="B3335" t="str">
        <f t="shared" si="105"/>
        <v/>
      </c>
      <c r="C3335" t="str">
        <f>IF(D3335="","",IF(COUNTIF($D$2:D3335,D3335)&gt;1,"",SUMIFS(tbl_input[필요수량],tbl_input[집계키_청],D3335)))</f>
        <v/>
      </c>
      <c r="D3335" t="str">
        <f>IFERROR(INDEX(tbl_input[집계키_청],ROW()-1),"")</f>
        <v/>
      </c>
    </row>
    <row r="3336" spans="1:4" x14ac:dyDescent="0.4">
      <c r="A3336" t="str">
        <f t="shared" si="104"/>
        <v/>
      </c>
      <c r="B3336" t="str">
        <f t="shared" si="105"/>
        <v/>
      </c>
      <c r="C3336" t="str">
        <f>IF(D3336="","",IF(COUNTIF($D$2:D3336,D3336)&gt;1,"",SUMIFS(tbl_input[필요수량],tbl_input[집계키_청],D3336)))</f>
        <v/>
      </c>
      <c r="D3336" t="str">
        <f>IFERROR(INDEX(tbl_input[집계키_청],ROW()-1),"")</f>
        <v/>
      </c>
    </row>
    <row r="3337" spans="1:4" x14ac:dyDescent="0.4">
      <c r="A3337" t="str">
        <f t="shared" si="104"/>
        <v/>
      </c>
      <c r="B3337" t="str">
        <f t="shared" si="105"/>
        <v/>
      </c>
      <c r="C3337" t="str">
        <f>IF(D3337="","",IF(COUNTIF($D$2:D3337,D3337)&gt;1,"",SUMIFS(tbl_input[필요수량],tbl_input[집계키_청],D3337)))</f>
        <v/>
      </c>
      <c r="D3337" t="str">
        <f>IFERROR(INDEX(tbl_input[집계키_청],ROW()-1),"")</f>
        <v/>
      </c>
    </row>
    <row r="3338" spans="1:4" x14ac:dyDescent="0.4">
      <c r="A3338" t="str">
        <f t="shared" si="104"/>
        <v/>
      </c>
      <c r="B3338" t="str">
        <f t="shared" si="105"/>
        <v/>
      </c>
      <c r="C3338" t="str">
        <f>IF(D3338="","",IF(COUNTIF($D$2:D3338,D3338)&gt;1,"",SUMIFS(tbl_input[필요수량],tbl_input[집계키_청],D3338)))</f>
        <v/>
      </c>
      <c r="D3338" t="str">
        <f>IFERROR(INDEX(tbl_input[집계키_청],ROW()-1),"")</f>
        <v/>
      </c>
    </row>
    <row r="3339" spans="1:4" x14ac:dyDescent="0.4">
      <c r="A3339" t="str">
        <f t="shared" si="104"/>
        <v/>
      </c>
      <c r="B3339" t="str">
        <f t="shared" si="105"/>
        <v/>
      </c>
      <c r="C3339" t="str">
        <f>IF(D3339="","",IF(COUNTIF($D$2:D3339,D3339)&gt;1,"",SUMIFS(tbl_input[필요수량],tbl_input[집계키_청],D3339)))</f>
        <v/>
      </c>
      <c r="D3339" t="str">
        <f>IFERROR(INDEX(tbl_input[집계키_청],ROW()-1),"")</f>
        <v/>
      </c>
    </row>
    <row r="3340" spans="1:4" x14ac:dyDescent="0.4">
      <c r="A3340" t="str">
        <f t="shared" si="104"/>
        <v/>
      </c>
      <c r="B3340" t="str">
        <f t="shared" si="105"/>
        <v/>
      </c>
      <c r="C3340" t="str">
        <f>IF(D3340="","",IF(COUNTIF($D$2:D3340,D3340)&gt;1,"",SUMIFS(tbl_input[필요수량],tbl_input[집계키_청],D3340)))</f>
        <v/>
      </c>
      <c r="D3340" t="str">
        <f>IFERROR(INDEX(tbl_input[집계키_청],ROW()-1),"")</f>
        <v/>
      </c>
    </row>
    <row r="3341" spans="1:4" x14ac:dyDescent="0.4">
      <c r="A3341" t="str">
        <f t="shared" si="104"/>
        <v/>
      </c>
      <c r="B3341" t="str">
        <f t="shared" si="105"/>
        <v/>
      </c>
      <c r="C3341" t="str">
        <f>IF(D3341="","",IF(COUNTIF($D$2:D3341,D3341)&gt;1,"",SUMIFS(tbl_input[필요수량],tbl_input[집계키_청],D3341)))</f>
        <v/>
      </c>
      <c r="D3341" t="str">
        <f>IFERROR(INDEX(tbl_input[집계키_청],ROW()-1),"")</f>
        <v/>
      </c>
    </row>
    <row r="3342" spans="1:4" x14ac:dyDescent="0.4">
      <c r="A3342" t="str">
        <f t="shared" si="104"/>
        <v/>
      </c>
      <c r="B3342" t="str">
        <f t="shared" si="105"/>
        <v/>
      </c>
      <c r="C3342" t="str">
        <f>IF(D3342="","",IF(COUNTIF($D$2:D3342,D3342)&gt;1,"",SUMIFS(tbl_input[필요수량],tbl_input[집계키_청],D3342)))</f>
        <v/>
      </c>
      <c r="D3342" t="str">
        <f>IFERROR(INDEX(tbl_input[집계키_청],ROW()-1),"")</f>
        <v/>
      </c>
    </row>
    <row r="3343" spans="1:4" x14ac:dyDescent="0.4">
      <c r="A3343" t="str">
        <f t="shared" si="104"/>
        <v/>
      </c>
      <c r="B3343" t="str">
        <f t="shared" si="105"/>
        <v/>
      </c>
      <c r="C3343" t="str">
        <f>IF(D3343="","",IF(COUNTIF($D$2:D3343,D3343)&gt;1,"",SUMIFS(tbl_input[필요수량],tbl_input[집계키_청],D3343)))</f>
        <v/>
      </c>
      <c r="D3343" t="str">
        <f>IFERROR(INDEX(tbl_input[집계키_청],ROW()-1),"")</f>
        <v/>
      </c>
    </row>
    <row r="3344" spans="1:4" x14ac:dyDescent="0.4">
      <c r="A3344" t="str">
        <f t="shared" si="104"/>
        <v/>
      </c>
      <c r="B3344" t="str">
        <f t="shared" si="105"/>
        <v/>
      </c>
      <c r="C3344" t="str">
        <f>IF(D3344="","",IF(COUNTIF($D$2:D3344,D3344)&gt;1,"",SUMIFS(tbl_input[필요수량],tbl_input[집계키_청],D3344)))</f>
        <v/>
      </c>
      <c r="D3344" t="str">
        <f>IFERROR(INDEX(tbl_input[집계키_청],ROW()-1),"")</f>
        <v/>
      </c>
    </row>
    <row r="3345" spans="1:4" x14ac:dyDescent="0.4">
      <c r="A3345" t="str">
        <f t="shared" si="104"/>
        <v/>
      </c>
      <c r="B3345" t="str">
        <f t="shared" si="105"/>
        <v/>
      </c>
      <c r="C3345" t="str">
        <f>IF(D3345="","",IF(COUNTIF($D$2:D3345,D3345)&gt;1,"",SUMIFS(tbl_input[필요수량],tbl_input[집계키_청],D3345)))</f>
        <v/>
      </c>
      <c r="D3345" t="str">
        <f>IFERROR(INDEX(tbl_input[집계키_청],ROW()-1),"")</f>
        <v/>
      </c>
    </row>
    <row r="3346" spans="1:4" x14ac:dyDescent="0.4">
      <c r="A3346" t="str">
        <f t="shared" si="104"/>
        <v/>
      </c>
      <c r="B3346" t="str">
        <f t="shared" si="105"/>
        <v/>
      </c>
      <c r="C3346" t="str">
        <f>IF(D3346="","",IF(COUNTIF($D$2:D3346,D3346)&gt;1,"",SUMIFS(tbl_input[필요수량],tbl_input[집계키_청],D3346)))</f>
        <v/>
      </c>
      <c r="D3346" t="str">
        <f>IFERROR(INDEX(tbl_input[집계키_청],ROW()-1),"")</f>
        <v/>
      </c>
    </row>
    <row r="3347" spans="1:4" x14ac:dyDescent="0.4">
      <c r="A3347" t="str">
        <f t="shared" si="104"/>
        <v/>
      </c>
      <c r="B3347" t="str">
        <f t="shared" si="105"/>
        <v/>
      </c>
      <c r="C3347" t="str">
        <f>IF(D3347="","",IF(COUNTIF($D$2:D3347,D3347)&gt;1,"",SUMIFS(tbl_input[필요수량],tbl_input[집계키_청],D3347)))</f>
        <v/>
      </c>
      <c r="D3347" t="str">
        <f>IFERROR(INDEX(tbl_input[집계키_청],ROW()-1),"")</f>
        <v/>
      </c>
    </row>
    <row r="3348" spans="1:4" x14ac:dyDescent="0.4">
      <c r="A3348" t="str">
        <f t="shared" si="104"/>
        <v/>
      </c>
      <c r="B3348" t="str">
        <f t="shared" si="105"/>
        <v/>
      </c>
      <c r="C3348" t="str">
        <f>IF(D3348="","",IF(COUNTIF($D$2:D3348,D3348)&gt;1,"",SUMIFS(tbl_input[필요수량],tbl_input[집계키_청],D3348)))</f>
        <v/>
      </c>
      <c r="D3348" t="str">
        <f>IFERROR(INDEX(tbl_input[집계키_청],ROW()-1),"")</f>
        <v/>
      </c>
    </row>
    <row r="3349" spans="1:4" x14ac:dyDescent="0.4">
      <c r="A3349" t="str">
        <f t="shared" si="104"/>
        <v/>
      </c>
      <c r="B3349" t="str">
        <f t="shared" si="105"/>
        <v/>
      </c>
      <c r="C3349" t="str">
        <f>IF(D3349="","",IF(COUNTIF($D$2:D3349,D3349)&gt;1,"",SUMIFS(tbl_input[필요수량],tbl_input[집계키_청],D3349)))</f>
        <v/>
      </c>
      <c r="D3349" t="str">
        <f>IFERROR(INDEX(tbl_input[집계키_청],ROW()-1),"")</f>
        <v/>
      </c>
    </row>
    <row r="3350" spans="1:4" x14ac:dyDescent="0.4">
      <c r="A3350" t="str">
        <f t="shared" si="104"/>
        <v/>
      </c>
      <c r="B3350" t="str">
        <f t="shared" si="105"/>
        <v/>
      </c>
      <c r="C3350" t="str">
        <f>IF(D3350="","",IF(COUNTIF($D$2:D3350,D3350)&gt;1,"",SUMIFS(tbl_input[필요수량],tbl_input[집계키_청],D3350)))</f>
        <v/>
      </c>
      <c r="D3350" t="str">
        <f>IFERROR(INDEX(tbl_input[집계키_청],ROW()-1),"")</f>
        <v/>
      </c>
    </row>
    <row r="3351" spans="1:4" x14ac:dyDescent="0.4">
      <c r="A3351" t="str">
        <f t="shared" si="104"/>
        <v/>
      </c>
      <c r="B3351" t="str">
        <f t="shared" si="105"/>
        <v/>
      </c>
      <c r="C3351" t="str">
        <f>IF(D3351="","",IF(COUNTIF($D$2:D3351,D3351)&gt;1,"",SUMIFS(tbl_input[필요수량],tbl_input[집계키_청],D3351)))</f>
        <v/>
      </c>
      <c r="D3351" t="str">
        <f>IFERROR(INDEX(tbl_input[집계키_청],ROW()-1),"")</f>
        <v/>
      </c>
    </row>
    <row r="3352" spans="1:4" x14ac:dyDescent="0.4">
      <c r="A3352" t="str">
        <f t="shared" si="104"/>
        <v/>
      </c>
      <c r="B3352" t="str">
        <f t="shared" si="105"/>
        <v/>
      </c>
      <c r="C3352" t="str">
        <f>IF(D3352="","",IF(COUNTIF($D$2:D3352,D3352)&gt;1,"",SUMIFS(tbl_input[필요수량],tbl_input[집계키_청],D3352)))</f>
        <v/>
      </c>
      <c r="D3352" t="str">
        <f>IFERROR(INDEX(tbl_input[집계키_청],ROW()-1),"")</f>
        <v/>
      </c>
    </row>
    <row r="3353" spans="1:4" x14ac:dyDescent="0.4">
      <c r="A3353" t="str">
        <f t="shared" si="104"/>
        <v/>
      </c>
      <c r="B3353" t="str">
        <f t="shared" si="105"/>
        <v/>
      </c>
      <c r="C3353" t="str">
        <f>IF(D3353="","",IF(COUNTIF($D$2:D3353,D3353)&gt;1,"",SUMIFS(tbl_input[필요수량],tbl_input[집계키_청],D3353)))</f>
        <v/>
      </c>
      <c r="D3353" t="str">
        <f>IFERROR(INDEX(tbl_input[집계키_청],ROW()-1),"")</f>
        <v/>
      </c>
    </row>
    <row r="3354" spans="1:4" x14ac:dyDescent="0.4">
      <c r="A3354" t="str">
        <f t="shared" si="104"/>
        <v/>
      </c>
      <c r="B3354" t="str">
        <f t="shared" si="105"/>
        <v/>
      </c>
      <c r="C3354" t="str">
        <f>IF(D3354="","",IF(COUNTIF($D$2:D3354,D3354)&gt;1,"",SUMIFS(tbl_input[필요수량],tbl_input[집계키_청],D3354)))</f>
        <v/>
      </c>
      <c r="D3354" t="str">
        <f>IFERROR(INDEX(tbl_input[집계키_청],ROW()-1),"")</f>
        <v/>
      </c>
    </row>
    <row r="3355" spans="1:4" x14ac:dyDescent="0.4">
      <c r="A3355" t="str">
        <f t="shared" si="104"/>
        <v/>
      </c>
      <c r="B3355" t="str">
        <f t="shared" si="105"/>
        <v/>
      </c>
      <c r="C3355" t="str">
        <f>IF(D3355="","",IF(COUNTIF($D$2:D3355,D3355)&gt;1,"",SUMIFS(tbl_input[필요수량],tbl_input[집계키_청],D3355)))</f>
        <v/>
      </c>
      <c r="D3355" t="str">
        <f>IFERROR(INDEX(tbl_input[집계키_청],ROW()-1),"")</f>
        <v/>
      </c>
    </row>
    <row r="3356" spans="1:4" x14ac:dyDescent="0.4">
      <c r="A3356" t="str">
        <f t="shared" si="104"/>
        <v/>
      </c>
      <c r="B3356" t="str">
        <f t="shared" si="105"/>
        <v/>
      </c>
      <c r="C3356" t="str">
        <f>IF(D3356="","",IF(COUNTIF($D$2:D3356,D3356)&gt;1,"",SUMIFS(tbl_input[필요수량],tbl_input[집계키_청],D3356)))</f>
        <v/>
      </c>
      <c r="D3356" t="str">
        <f>IFERROR(INDEX(tbl_input[집계키_청],ROW()-1),"")</f>
        <v/>
      </c>
    </row>
    <row r="3357" spans="1:4" x14ac:dyDescent="0.4">
      <c r="A3357" t="str">
        <f t="shared" si="104"/>
        <v/>
      </c>
      <c r="B3357" t="str">
        <f t="shared" si="105"/>
        <v/>
      </c>
      <c r="C3357" t="str">
        <f>IF(D3357="","",IF(COUNTIF($D$2:D3357,D3357)&gt;1,"",SUMIFS(tbl_input[필요수량],tbl_input[집계키_청],D3357)))</f>
        <v/>
      </c>
      <c r="D3357" t="str">
        <f>IFERROR(INDEX(tbl_input[집계키_청],ROW()-1),"")</f>
        <v/>
      </c>
    </row>
    <row r="3358" spans="1:4" x14ac:dyDescent="0.4">
      <c r="A3358" t="str">
        <f t="shared" si="104"/>
        <v/>
      </c>
      <c r="B3358" t="str">
        <f t="shared" si="105"/>
        <v/>
      </c>
      <c r="C3358" t="str">
        <f>IF(D3358="","",IF(COUNTIF($D$2:D3358,D3358)&gt;1,"",SUMIFS(tbl_input[필요수량],tbl_input[집계키_청],D3358)))</f>
        <v/>
      </c>
      <c r="D3358" t="str">
        <f>IFERROR(INDEX(tbl_input[집계키_청],ROW()-1),"")</f>
        <v/>
      </c>
    </row>
    <row r="3359" spans="1:4" x14ac:dyDescent="0.4">
      <c r="A3359" t="str">
        <f t="shared" si="104"/>
        <v/>
      </c>
      <c r="B3359" t="str">
        <f t="shared" si="105"/>
        <v/>
      </c>
      <c r="C3359" t="str">
        <f>IF(D3359="","",IF(COUNTIF($D$2:D3359,D3359)&gt;1,"",SUMIFS(tbl_input[필요수량],tbl_input[집계키_청],D3359)))</f>
        <v/>
      </c>
      <c r="D3359" t="str">
        <f>IFERROR(INDEX(tbl_input[집계키_청],ROW()-1),"")</f>
        <v/>
      </c>
    </row>
    <row r="3360" spans="1:4" x14ac:dyDescent="0.4">
      <c r="A3360" t="str">
        <f t="shared" si="104"/>
        <v/>
      </c>
      <c r="B3360" t="str">
        <f t="shared" si="105"/>
        <v/>
      </c>
      <c r="C3360" t="str">
        <f>IF(D3360="","",IF(COUNTIF($D$2:D3360,D3360)&gt;1,"",SUMIFS(tbl_input[필요수량],tbl_input[집계키_청],D3360)))</f>
        <v/>
      </c>
      <c r="D3360" t="str">
        <f>IFERROR(INDEX(tbl_input[집계키_청],ROW()-1),"")</f>
        <v/>
      </c>
    </row>
    <row r="3361" spans="1:4" x14ac:dyDescent="0.4">
      <c r="A3361" t="str">
        <f t="shared" si="104"/>
        <v/>
      </c>
      <c r="B3361" t="str">
        <f t="shared" si="105"/>
        <v/>
      </c>
      <c r="C3361" t="str">
        <f>IF(D3361="","",IF(COUNTIF($D$2:D3361,D3361)&gt;1,"",SUMIFS(tbl_input[필요수량],tbl_input[집계키_청],D3361)))</f>
        <v/>
      </c>
      <c r="D3361" t="str">
        <f>IFERROR(INDEX(tbl_input[집계키_청],ROW()-1),"")</f>
        <v/>
      </c>
    </row>
    <row r="3362" spans="1:4" x14ac:dyDescent="0.4">
      <c r="A3362" t="str">
        <f t="shared" si="104"/>
        <v/>
      </c>
      <c r="B3362" t="str">
        <f t="shared" si="105"/>
        <v/>
      </c>
      <c r="C3362" t="str">
        <f>IF(D3362="","",IF(COUNTIF($D$2:D3362,D3362)&gt;1,"",SUMIFS(tbl_input[필요수량],tbl_input[집계키_청],D3362)))</f>
        <v/>
      </c>
      <c r="D3362" t="str">
        <f>IFERROR(INDEX(tbl_input[집계키_청],ROW()-1),"")</f>
        <v/>
      </c>
    </row>
    <row r="3363" spans="1:4" x14ac:dyDescent="0.4">
      <c r="A3363" t="str">
        <f t="shared" si="104"/>
        <v/>
      </c>
      <c r="B3363" t="str">
        <f t="shared" si="105"/>
        <v/>
      </c>
      <c r="C3363" t="str">
        <f>IF(D3363="","",IF(COUNTIF($D$2:D3363,D3363)&gt;1,"",SUMIFS(tbl_input[필요수량],tbl_input[집계키_청],D3363)))</f>
        <v/>
      </c>
      <c r="D3363" t="str">
        <f>IFERROR(INDEX(tbl_input[집계키_청],ROW()-1),"")</f>
        <v/>
      </c>
    </row>
    <row r="3364" spans="1:4" x14ac:dyDescent="0.4">
      <c r="A3364" t="str">
        <f t="shared" si="104"/>
        <v/>
      </c>
      <c r="B3364" t="str">
        <f t="shared" si="105"/>
        <v/>
      </c>
      <c r="C3364" t="str">
        <f>IF(D3364="","",IF(COUNTIF($D$2:D3364,D3364)&gt;1,"",SUMIFS(tbl_input[필요수량],tbl_input[집계키_청],D3364)))</f>
        <v/>
      </c>
      <c r="D3364" t="str">
        <f>IFERROR(INDEX(tbl_input[집계키_청],ROW()-1),"")</f>
        <v/>
      </c>
    </row>
    <row r="3365" spans="1:4" x14ac:dyDescent="0.4">
      <c r="A3365" t="str">
        <f t="shared" si="104"/>
        <v/>
      </c>
      <c r="B3365" t="str">
        <f t="shared" si="105"/>
        <v/>
      </c>
      <c r="C3365" t="str">
        <f>IF(D3365="","",IF(COUNTIF($D$2:D3365,D3365)&gt;1,"",SUMIFS(tbl_input[필요수량],tbl_input[집계키_청],D3365)))</f>
        <v/>
      </c>
      <c r="D3365" t="str">
        <f>IFERROR(INDEX(tbl_input[집계키_청],ROW()-1),"")</f>
        <v/>
      </c>
    </row>
    <row r="3366" spans="1:4" x14ac:dyDescent="0.4">
      <c r="A3366" t="str">
        <f t="shared" si="104"/>
        <v/>
      </c>
      <c r="B3366" t="str">
        <f t="shared" si="105"/>
        <v/>
      </c>
      <c r="C3366" t="str">
        <f>IF(D3366="","",IF(COUNTIF($D$2:D3366,D3366)&gt;1,"",SUMIFS(tbl_input[필요수량],tbl_input[집계키_청],D3366)))</f>
        <v/>
      </c>
      <c r="D3366" t="str">
        <f>IFERROR(INDEX(tbl_input[집계키_청],ROW()-1),"")</f>
        <v/>
      </c>
    </row>
    <row r="3367" spans="1:4" x14ac:dyDescent="0.4">
      <c r="A3367" t="str">
        <f t="shared" si="104"/>
        <v/>
      </c>
      <c r="B3367" t="str">
        <f t="shared" si="105"/>
        <v/>
      </c>
      <c r="C3367" t="str">
        <f>IF(D3367="","",IF(COUNTIF($D$2:D3367,D3367)&gt;1,"",SUMIFS(tbl_input[필요수량],tbl_input[집계키_청],D3367)))</f>
        <v/>
      </c>
      <c r="D3367" t="str">
        <f>IFERROR(INDEX(tbl_input[집계키_청],ROW()-1),"")</f>
        <v/>
      </c>
    </row>
    <row r="3368" spans="1:4" x14ac:dyDescent="0.4">
      <c r="A3368" t="str">
        <f t="shared" si="104"/>
        <v/>
      </c>
      <c r="B3368" t="str">
        <f t="shared" si="105"/>
        <v/>
      </c>
      <c r="C3368" t="str">
        <f>IF(D3368="","",IF(COUNTIF($D$2:D3368,D3368)&gt;1,"",SUMIFS(tbl_input[필요수량],tbl_input[집계키_청],D3368)))</f>
        <v/>
      </c>
      <c r="D3368" t="str">
        <f>IFERROR(INDEX(tbl_input[집계키_청],ROW()-1),"")</f>
        <v/>
      </c>
    </row>
    <row r="3369" spans="1:4" x14ac:dyDescent="0.4">
      <c r="A3369" t="str">
        <f t="shared" si="104"/>
        <v/>
      </c>
      <c r="B3369" t="str">
        <f t="shared" si="105"/>
        <v/>
      </c>
      <c r="C3369" t="str">
        <f>IF(D3369="","",IF(COUNTIF($D$2:D3369,D3369)&gt;1,"",SUMIFS(tbl_input[필요수량],tbl_input[집계키_청],D3369)))</f>
        <v/>
      </c>
      <c r="D3369" t="str">
        <f>IFERROR(INDEX(tbl_input[집계키_청],ROW()-1),"")</f>
        <v/>
      </c>
    </row>
    <row r="3370" spans="1:4" x14ac:dyDescent="0.4">
      <c r="A3370" t="str">
        <f t="shared" si="104"/>
        <v/>
      </c>
      <c r="B3370" t="str">
        <f t="shared" si="105"/>
        <v/>
      </c>
      <c r="C3370" t="str">
        <f>IF(D3370="","",IF(COUNTIF($D$2:D3370,D3370)&gt;1,"",SUMIFS(tbl_input[필요수량],tbl_input[집계키_청],D3370)))</f>
        <v/>
      </c>
      <c r="D3370" t="str">
        <f>IFERROR(INDEX(tbl_input[집계키_청],ROW()-1),"")</f>
        <v/>
      </c>
    </row>
    <row r="3371" spans="1:4" x14ac:dyDescent="0.4">
      <c r="A3371" t="str">
        <f t="shared" si="104"/>
        <v/>
      </c>
      <c r="B3371" t="str">
        <f t="shared" si="105"/>
        <v/>
      </c>
      <c r="C3371" t="str">
        <f>IF(D3371="","",IF(COUNTIF($D$2:D3371,D3371)&gt;1,"",SUMIFS(tbl_input[필요수량],tbl_input[집계키_청],D3371)))</f>
        <v/>
      </c>
      <c r="D3371" t="str">
        <f>IFERROR(INDEX(tbl_input[집계키_청],ROW()-1),"")</f>
        <v/>
      </c>
    </row>
    <row r="3372" spans="1:4" x14ac:dyDescent="0.4">
      <c r="A3372" t="str">
        <f t="shared" si="104"/>
        <v/>
      </c>
      <c r="B3372" t="str">
        <f t="shared" si="105"/>
        <v/>
      </c>
      <c r="C3372" t="str">
        <f>IF(D3372="","",IF(COUNTIF($D$2:D3372,D3372)&gt;1,"",SUMIFS(tbl_input[필요수량],tbl_input[집계키_청],D3372)))</f>
        <v/>
      </c>
      <c r="D3372" t="str">
        <f>IFERROR(INDEX(tbl_input[집계키_청],ROW()-1),"")</f>
        <v/>
      </c>
    </row>
    <row r="3373" spans="1:4" x14ac:dyDescent="0.4">
      <c r="A3373" t="str">
        <f t="shared" si="104"/>
        <v/>
      </c>
      <c r="B3373" t="str">
        <f t="shared" si="105"/>
        <v/>
      </c>
      <c r="C3373" t="str">
        <f>IF(D3373="","",IF(COUNTIF($D$2:D3373,D3373)&gt;1,"",SUMIFS(tbl_input[필요수량],tbl_input[집계키_청],D3373)))</f>
        <v/>
      </c>
      <c r="D3373" t="str">
        <f>IFERROR(INDEX(tbl_input[집계키_청],ROW()-1),"")</f>
        <v/>
      </c>
    </row>
    <row r="3374" spans="1:4" x14ac:dyDescent="0.4">
      <c r="A3374" t="str">
        <f t="shared" si="104"/>
        <v/>
      </c>
      <c r="B3374" t="str">
        <f t="shared" si="105"/>
        <v/>
      </c>
      <c r="C3374" t="str">
        <f>IF(D3374="","",IF(COUNTIF($D$2:D3374,D3374)&gt;1,"",SUMIFS(tbl_input[필요수량],tbl_input[집계키_청],D3374)))</f>
        <v/>
      </c>
      <c r="D3374" t="str">
        <f>IFERROR(INDEX(tbl_input[집계키_청],ROW()-1),"")</f>
        <v/>
      </c>
    </row>
    <row r="3375" spans="1:4" x14ac:dyDescent="0.4">
      <c r="A3375" t="str">
        <f t="shared" si="104"/>
        <v/>
      </c>
      <c r="B3375" t="str">
        <f t="shared" si="105"/>
        <v/>
      </c>
      <c r="C3375" t="str">
        <f>IF(D3375="","",IF(COUNTIF($D$2:D3375,D3375)&gt;1,"",SUMIFS(tbl_input[필요수량],tbl_input[집계키_청],D3375)))</f>
        <v/>
      </c>
      <c r="D3375" t="str">
        <f>IFERROR(INDEX(tbl_input[집계키_청],ROW()-1),"")</f>
        <v/>
      </c>
    </row>
    <row r="3376" spans="1:4" x14ac:dyDescent="0.4">
      <c r="A3376" t="str">
        <f t="shared" si="104"/>
        <v/>
      </c>
      <c r="B3376" t="str">
        <f t="shared" si="105"/>
        <v/>
      </c>
      <c r="C3376" t="str">
        <f>IF(D3376="","",IF(COUNTIF($D$2:D3376,D3376)&gt;1,"",SUMIFS(tbl_input[필요수량],tbl_input[집계키_청],D3376)))</f>
        <v/>
      </c>
      <c r="D3376" t="str">
        <f>IFERROR(INDEX(tbl_input[집계키_청],ROW()-1),"")</f>
        <v/>
      </c>
    </row>
    <row r="3377" spans="1:4" x14ac:dyDescent="0.4">
      <c r="A3377" t="str">
        <f t="shared" si="104"/>
        <v/>
      </c>
      <c r="B3377" t="str">
        <f t="shared" si="105"/>
        <v/>
      </c>
      <c r="C3377" t="str">
        <f>IF(D3377="","",IF(COUNTIF($D$2:D3377,D3377)&gt;1,"",SUMIFS(tbl_input[필요수량],tbl_input[집계키_청],D3377)))</f>
        <v/>
      </c>
      <c r="D3377" t="str">
        <f>IFERROR(INDEX(tbl_input[집계키_청],ROW()-1),"")</f>
        <v/>
      </c>
    </row>
    <row r="3378" spans="1:4" x14ac:dyDescent="0.4">
      <c r="A3378" t="str">
        <f t="shared" si="104"/>
        <v/>
      </c>
      <c r="B3378" t="str">
        <f t="shared" si="105"/>
        <v/>
      </c>
      <c r="C3378" t="str">
        <f>IF(D3378="","",IF(COUNTIF($D$2:D3378,D3378)&gt;1,"",SUMIFS(tbl_input[필요수량],tbl_input[집계키_청],D3378)))</f>
        <v/>
      </c>
      <c r="D3378" t="str">
        <f>IFERROR(INDEX(tbl_input[집계키_청],ROW()-1),"")</f>
        <v/>
      </c>
    </row>
    <row r="3379" spans="1:4" x14ac:dyDescent="0.4">
      <c r="A3379" t="str">
        <f t="shared" si="104"/>
        <v/>
      </c>
      <c r="B3379" t="str">
        <f t="shared" si="105"/>
        <v/>
      </c>
      <c r="C3379" t="str">
        <f>IF(D3379="","",IF(COUNTIF($D$2:D3379,D3379)&gt;1,"",SUMIFS(tbl_input[필요수량],tbl_input[집계키_청],D3379)))</f>
        <v/>
      </c>
      <c r="D3379" t="str">
        <f>IFERROR(INDEX(tbl_input[집계키_청],ROW()-1),"")</f>
        <v/>
      </c>
    </row>
    <row r="3380" spans="1:4" x14ac:dyDescent="0.4">
      <c r="A3380" t="str">
        <f t="shared" si="104"/>
        <v/>
      </c>
      <c r="B3380" t="str">
        <f t="shared" si="105"/>
        <v/>
      </c>
      <c r="C3380" t="str">
        <f>IF(D3380="","",IF(COUNTIF($D$2:D3380,D3380)&gt;1,"",SUMIFS(tbl_input[필요수량],tbl_input[집계키_청],D3380)))</f>
        <v/>
      </c>
      <c r="D3380" t="str">
        <f>IFERROR(INDEX(tbl_input[집계키_청],ROW()-1),"")</f>
        <v/>
      </c>
    </row>
    <row r="3381" spans="1:4" x14ac:dyDescent="0.4">
      <c r="A3381" t="str">
        <f t="shared" si="104"/>
        <v/>
      </c>
      <c r="B3381" t="str">
        <f t="shared" si="105"/>
        <v/>
      </c>
      <c r="C3381" t="str">
        <f>IF(D3381="","",IF(COUNTIF($D$2:D3381,D3381)&gt;1,"",SUMIFS(tbl_input[필요수량],tbl_input[집계키_청],D3381)))</f>
        <v/>
      </c>
      <c r="D3381" t="str">
        <f>IFERROR(INDEX(tbl_input[집계키_청],ROW()-1),"")</f>
        <v/>
      </c>
    </row>
    <row r="3382" spans="1:4" x14ac:dyDescent="0.4">
      <c r="A3382" t="str">
        <f t="shared" si="104"/>
        <v/>
      </c>
      <c r="B3382" t="str">
        <f t="shared" si="105"/>
        <v/>
      </c>
      <c r="C3382" t="str">
        <f>IF(D3382="","",IF(COUNTIF($D$2:D3382,D3382)&gt;1,"",SUMIFS(tbl_input[필요수량],tbl_input[집계키_청],D3382)))</f>
        <v/>
      </c>
      <c r="D3382" t="str">
        <f>IFERROR(INDEX(tbl_input[집계키_청],ROW()-1),"")</f>
        <v/>
      </c>
    </row>
    <row r="3383" spans="1:4" x14ac:dyDescent="0.4">
      <c r="A3383" t="str">
        <f t="shared" si="104"/>
        <v/>
      </c>
      <c r="B3383" t="str">
        <f t="shared" si="105"/>
        <v/>
      </c>
      <c r="C3383" t="str">
        <f>IF(D3383="","",IF(COUNTIF($D$2:D3383,D3383)&gt;1,"",SUMIFS(tbl_input[필요수량],tbl_input[집계키_청],D3383)))</f>
        <v/>
      </c>
      <c r="D3383" t="str">
        <f>IFERROR(INDEX(tbl_input[집계키_청],ROW()-1),"")</f>
        <v/>
      </c>
    </row>
    <row r="3384" spans="1:4" x14ac:dyDescent="0.4">
      <c r="A3384" t="str">
        <f t="shared" si="104"/>
        <v/>
      </c>
      <c r="B3384" t="str">
        <f t="shared" si="105"/>
        <v/>
      </c>
      <c r="C3384" t="str">
        <f>IF(D3384="","",IF(COUNTIF($D$2:D3384,D3384)&gt;1,"",SUMIFS(tbl_input[필요수량],tbl_input[집계키_청],D3384)))</f>
        <v/>
      </c>
      <c r="D3384" t="str">
        <f>IFERROR(INDEX(tbl_input[집계키_청],ROW()-1),"")</f>
        <v/>
      </c>
    </row>
    <row r="3385" spans="1:4" x14ac:dyDescent="0.4">
      <c r="A3385" t="str">
        <f t="shared" si="104"/>
        <v/>
      </c>
      <c r="B3385" t="str">
        <f t="shared" si="105"/>
        <v/>
      </c>
      <c r="C3385" t="str">
        <f>IF(D3385="","",IF(COUNTIF($D$2:D3385,D3385)&gt;1,"",SUMIFS(tbl_input[필요수량],tbl_input[집계키_청],D3385)))</f>
        <v/>
      </c>
      <c r="D3385" t="str">
        <f>IFERROR(INDEX(tbl_input[집계키_청],ROW()-1),"")</f>
        <v/>
      </c>
    </row>
    <row r="3386" spans="1:4" x14ac:dyDescent="0.4">
      <c r="A3386" t="str">
        <f t="shared" si="104"/>
        <v/>
      </c>
      <c r="B3386" t="str">
        <f t="shared" si="105"/>
        <v/>
      </c>
      <c r="C3386" t="str">
        <f>IF(D3386="","",IF(COUNTIF($D$2:D3386,D3386)&gt;1,"",SUMIFS(tbl_input[필요수량],tbl_input[집계키_청],D3386)))</f>
        <v/>
      </c>
      <c r="D3386" t="str">
        <f>IFERROR(INDEX(tbl_input[집계키_청],ROW()-1),"")</f>
        <v/>
      </c>
    </row>
    <row r="3387" spans="1:4" x14ac:dyDescent="0.4">
      <c r="A3387" t="str">
        <f t="shared" si="104"/>
        <v/>
      </c>
      <c r="B3387" t="str">
        <f t="shared" si="105"/>
        <v/>
      </c>
      <c r="C3387" t="str">
        <f>IF(D3387="","",IF(COUNTIF($D$2:D3387,D3387)&gt;1,"",SUMIFS(tbl_input[필요수량],tbl_input[집계키_청],D3387)))</f>
        <v/>
      </c>
      <c r="D3387" t="str">
        <f>IFERROR(INDEX(tbl_input[집계키_청],ROW()-1),"")</f>
        <v/>
      </c>
    </row>
    <row r="3388" spans="1:4" x14ac:dyDescent="0.4">
      <c r="A3388" t="str">
        <f t="shared" si="104"/>
        <v/>
      </c>
      <c r="B3388" t="str">
        <f t="shared" si="105"/>
        <v/>
      </c>
      <c r="C3388" t="str">
        <f>IF(D3388="","",IF(COUNTIF($D$2:D3388,D3388)&gt;1,"",SUMIFS(tbl_input[필요수량],tbl_input[집계키_청],D3388)))</f>
        <v/>
      </c>
      <c r="D3388" t="str">
        <f>IFERROR(INDEX(tbl_input[집계키_청],ROW()-1),"")</f>
        <v/>
      </c>
    </row>
    <row r="3389" spans="1:4" x14ac:dyDescent="0.4">
      <c r="A3389" t="str">
        <f t="shared" si="104"/>
        <v/>
      </c>
      <c r="B3389" t="str">
        <f t="shared" si="105"/>
        <v/>
      </c>
      <c r="C3389" t="str">
        <f>IF(D3389="","",IF(COUNTIF($D$2:D3389,D3389)&gt;1,"",SUMIFS(tbl_input[필요수량],tbl_input[집계키_청],D3389)))</f>
        <v/>
      </c>
      <c r="D3389" t="str">
        <f>IFERROR(INDEX(tbl_input[집계키_청],ROW()-1),"")</f>
        <v/>
      </c>
    </row>
    <row r="3390" spans="1:4" x14ac:dyDescent="0.4">
      <c r="A3390" t="str">
        <f t="shared" si="104"/>
        <v/>
      </c>
      <c r="B3390" t="str">
        <f t="shared" si="105"/>
        <v/>
      </c>
      <c r="C3390" t="str">
        <f>IF(D3390="","",IF(COUNTIF($D$2:D3390,D3390)&gt;1,"",SUMIFS(tbl_input[필요수량],tbl_input[집계키_청],D3390)))</f>
        <v/>
      </c>
      <c r="D3390" t="str">
        <f>IFERROR(INDEX(tbl_input[집계키_청],ROW()-1),"")</f>
        <v/>
      </c>
    </row>
    <row r="3391" spans="1:4" x14ac:dyDescent="0.4">
      <c r="A3391" t="str">
        <f t="shared" si="104"/>
        <v/>
      </c>
      <c r="B3391" t="str">
        <f t="shared" si="105"/>
        <v/>
      </c>
      <c r="C3391" t="str">
        <f>IF(D3391="","",IF(COUNTIF($D$2:D3391,D3391)&gt;1,"",SUMIFS(tbl_input[필요수량],tbl_input[집계키_청],D3391)))</f>
        <v/>
      </c>
      <c r="D3391" t="str">
        <f>IFERROR(INDEX(tbl_input[집계키_청],ROW()-1),"")</f>
        <v/>
      </c>
    </row>
    <row r="3392" spans="1:4" x14ac:dyDescent="0.4">
      <c r="A3392" t="str">
        <f t="shared" si="104"/>
        <v/>
      </c>
      <c r="B3392" t="str">
        <f t="shared" si="105"/>
        <v/>
      </c>
      <c r="C3392" t="str">
        <f>IF(D3392="","",IF(COUNTIF($D$2:D3392,D3392)&gt;1,"",SUMIFS(tbl_input[필요수량],tbl_input[집계키_청],D3392)))</f>
        <v/>
      </c>
      <c r="D3392" t="str">
        <f>IFERROR(INDEX(tbl_input[집계키_청],ROW()-1),"")</f>
        <v/>
      </c>
    </row>
    <row r="3393" spans="1:4" x14ac:dyDescent="0.4">
      <c r="A3393" t="str">
        <f t="shared" si="104"/>
        <v/>
      </c>
      <c r="B3393" t="str">
        <f t="shared" si="105"/>
        <v/>
      </c>
      <c r="C3393" t="str">
        <f>IF(D3393="","",IF(COUNTIF($D$2:D3393,D3393)&gt;1,"",SUMIFS(tbl_input[필요수량],tbl_input[집계키_청],D3393)))</f>
        <v/>
      </c>
      <c r="D3393" t="str">
        <f>IFERROR(INDEX(tbl_input[집계키_청],ROW()-1),"")</f>
        <v/>
      </c>
    </row>
    <row r="3394" spans="1:4" x14ac:dyDescent="0.4">
      <c r="A3394" t="str">
        <f t="shared" ref="A3394:A3457" si="106">IF(D3394="","",LEFT(D3394,FIND("♦",D3394)-1))</f>
        <v/>
      </c>
      <c r="B3394" t="str">
        <f t="shared" ref="B3394:B3457" si="107">IF(D3394="","",MID(D3394,FIND("♦",D3394)+1,999))</f>
        <v/>
      </c>
      <c r="C3394" t="str">
        <f>IF(D3394="","",IF(COUNTIF($D$2:D3394,D3394)&gt;1,"",SUMIFS(tbl_input[필요수량],tbl_input[집계키_청],D3394)))</f>
        <v/>
      </c>
      <c r="D3394" t="str">
        <f>IFERROR(INDEX(tbl_input[집계키_청],ROW()-1),"")</f>
        <v/>
      </c>
    </row>
    <row r="3395" spans="1:4" x14ac:dyDescent="0.4">
      <c r="A3395" t="str">
        <f t="shared" si="106"/>
        <v/>
      </c>
      <c r="B3395" t="str">
        <f t="shared" si="107"/>
        <v/>
      </c>
      <c r="C3395" t="str">
        <f>IF(D3395="","",IF(COUNTIF($D$2:D3395,D3395)&gt;1,"",SUMIFS(tbl_input[필요수량],tbl_input[집계키_청],D3395)))</f>
        <v/>
      </c>
      <c r="D3395" t="str">
        <f>IFERROR(INDEX(tbl_input[집계키_청],ROW()-1),"")</f>
        <v/>
      </c>
    </row>
    <row r="3396" spans="1:4" x14ac:dyDescent="0.4">
      <c r="A3396" t="str">
        <f t="shared" si="106"/>
        <v/>
      </c>
      <c r="B3396" t="str">
        <f t="shared" si="107"/>
        <v/>
      </c>
      <c r="C3396" t="str">
        <f>IF(D3396="","",IF(COUNTIF($D$2:D3396,D3396)&gt;1,"",SUMIFS(tbl_input[필요수량],tbl_input[집계키_청],D3396)))</f>
        <v/>
      </c>
      <c r="D3396" t="str">
        <f>IFERROR(INDEX(tbl_input[집계키_청],ROW()-1),"")</f>
        <v/>
      </c>
    </row>
    <row r="3397" spans="1:4" x14ac:dyDescent="0.4">
      <c r="A3397" t="str">
        <f t="shared" si="106"/>
        <v/>
      </c>
      <c r="B3397" t="str">
        <f t="shared" si="107"/>
        <v/>
      </c>
      <c r="C3397" t="str">
        <f>IF(D3397="","",IF(COUNTIF($D$2:D3397,D3397)&gt;1,"",SUMIFS(tbl_input[필요수량],tbl_input[집계키_청],D3397)))</f>
        <v/>
      </c>
      <c r="D3397" t="str">
        <f>IFERROR(INDEX(tbl_input[집계키_청],ROW()-1),"")</f>
        <v/>
      </c>
    </row>
    <row r="3398" spans="1:4" x14ac:dyDescent="0.4">
      <c r="A3398" t="str">
        <f t="shared" si="106"/>
        <v/>
      </c>
      <c r="B3398" t="str">
        <f t="shared" si="107"/>
        <v/>
      </c>
      <c r="C3398" t="str">
        <f>IF(D3398="","",IF(COUNTIF($D$2:D3398,D3398)&gt;1,"",SUMIFS(tbl_input[필요수량],tbl_input[집계키_청],D3398)))</f>
        <v/>
      </c>
      <c r="D3398" t="str">
        <f>IFERROR(INDEX(tbl_input[집계키_청],ROW()-1),"")</f>
        <v/>
      </c>
    </row>
    <row r="3399" spans="1:4" x14ac:dyDescent="0.4">
      <c r="A3399" t="str">
        <f t="shared" si="106"/>
        <v/>
      </c>
      <c r="B3399" t="str">
        <f t="shared" si="107"/>
        <v/>
      </c>
      <c r="C3399" t="str">
        <f>IF(D3399="","",IF(COUNTIF($D$2:D3399,D3399)&gt;1,"",SUMIFS(tbl_input[필요수량],tbl_input[집계키_청],D3399)))</f>
        <v/>
      </c>
      <c r="D3399" t="str">
        <f>IFERROR(INDEX(tbl_input[집계키_청],ROW()-1),"")</f>
        <v/>
      </c>
    </row>
    <row r="3400" spans="1:4" x14ac:dyDescent="0.4">
      <c r="A3400" t="str">
        <f t="shared" si="106"/>
        <v/>
      </c>
      <c r="B3400" t="str">
        <f t="shared" si="107"/>
        <v/>
      </c>
      <c r="C3400" t="str">
        <f>IF(D3400="","",IF(COUNTIF($D$2:D3400,D3400)&gt;1,"",SUMIFS(tbl_input[필요수량],tbl_input[집계키_청],D3400)))</f>
        <v/>
      </c>
      <c r="D3400" t="str">
        <f>IFERROR(INDEX(tbl_input[집계키_청],ROW()-1),"")</f>
        <v/>
      </c>
    </row>
    <row r="3401" spans="1:4" x14ac:dyDescent="0.4">
      <c r="A3401" t="str">
        <f t="shared" si="106"/>
        <v/>
      </c>
      <c r="B3401" t="str">
        <f t="shared" si="107"/>
        <v/>
      </c>
      <c r="C3401" t="str">
        <f>IF(D3401="","",IF(COUNTIF($D$2:D3401,D3401)&gt;1,"",SUMIFS(tbl_input[필요수량],tbl_input[집계키_청],D3401)))</f>
        <v/>
      </c>
      <c r="D3401" t="str">
        <f>IFERROR(INDEX(tbl_input[집계키_청],ROW()-1),"")</f>
        <v/>
      </c>
    </row>
    <row r="3402" spans="1:4" x14ac:dyDescent="0.4">
      <c r="A3402" t="str">
        <f t="shared" si="106"/>
        <v/>
      </c>
      <c r="B3402" t="str">
        <f t="shared" si="107"/>
        <v/>
      </c>
      <c r="C3402" t="str">
        <f>IF(D3402="","",IF(COUNTIF($D$2:D3402,D3402)&gt;1,"",SUMIFS(tbl_input[필요수량],tbl_input[집계키_청],D3402)))</f>
        <v/>
      </c>
      <c r="D3402" t="str">
        <f>IFERROR(INDEX(tbl_input[집계키_청],ROW()-1),"")</f>
        <v/>
      </c>
    </row>
    <row r="3403" spans="1:4" x14ac:dyDescent="0.4">
      <c r="A3403" t="str">
        <f t="shared" si="106"/>
        <v/>
      </c>
      <c r="B3403" t="str">
        <f t="shared" si="107"/>
        <v/>
      </c>
      <c r="C3403" t="str">
        <f>IF(D3403="","",IF(COUNTIF($D$2:D3403,D3403)&gt;1,"",SUMIFS(tbl_input[필요수량],tbl_input[집계키_청],D3403)))</f>
        <v/>
      </c>
      <c r="D3403" t="str">
        <f>IFERROR(INDEX(tbl_input[집계키_청],ROW()-1),"")</f>
        <v/>
      </c>
    </row>
    <row r="3404" spans="1:4" x14ac:dyDescent="0.4">
      <c r="A3404" t="str">
        <f t="shared" si="106"/>
        <v/>
      </c>
      <c r="B3404" t="str">
        <f t="shared" si="107"/>
        <v/>
      </c>
      <c r="C3404" t="str">
        <f>IF(D3404="","",IF(COUNTIF($D$2:D3404,D3404)&gt;1,"",SUMIFS(tbl_input[필요수량],tbl_input[집계키_청],D3404)))</f>
        <v/>
      </c>
      <c r="D3404" t="str">
        <f>IFERROR(INDEX(tbl_input[집계키_청],ROW()-1),"")</f>
        <v/>
      </c>
    </row>
    <row r="3405" spans="1:4" x14ac:dyDescent="0.4">
      <c r="A3405" t="str">
        <f t="shared" si="106"/>
        <v/>
      </c>
      <c r="B3405" t="str">
        <f t="shared" si="107"/>
        <v/>
      </c>
      <c r="C3405" t="str">
        <f>IF(D3405="","",IF(COUNTIF($D$2:D3405,D3405)&gt;1,"",SUMIFS(tbl_input[필요수량],tbl_input[집계키_청],D3405)))</f>
        <v/>
      </c>
      <c r="D3405" t="str">
        <f>IFERROR(INDEX(tbl_input[집계키_청],ROW()-1),"")</f>
        <v/>
      </c>
    </row>
    <row r="3406" spans="1:4" x14ac:dyDescent="0.4">
      <c r="A3406" t="str">
        <f t="shared" si="106"/>
        <v/>
      </c>
      <c r="B3406" t="str">
        <f t="shared" si="107"/>
        <v/>
      </c>
      <c r="C3406" t="str">
        <f>IF(D3406="","",IF(COUNTIF($D$2:D3406,D3406)&gt;1,"",SUMIFS(tbl_input[필요수량],tbl_input[집계키_청],D3406)))</f>
        <v/>
      </c>
      <c r="D3406" t="str">
        <f>IFERROR(INDEX(tbl_input[집계키_청],ROW()-1),"")</f>
        <v/>
      </c>
    </row>
    <row r="3407" spans="1:4" x14ac:dyDescent="0.4">
      <c r="A3407" t="str">
        <f t="shared" si="106"/>
        <v/>
      </c>
      <c r="B3407" t="str">
        <f t="shared" si="107"/>
        <v/>
      </c>
      <c r="C3407" t="str">
        <f>IF(D3407="","",IF(COUNTIF($D$2:D3407,D3407)&gt;1,"",SUMIFS(tbl_input[필요수량],tbl_input[집계키_청],D3407)))</f>
        <v/>
      </c>
      <c r="D3407" t="str">
        <f>IFERROR(INDEX(tbl_input[집계키_청],ROW()-1),"")</f>
        <v/>
      </c>
    </row>
    <row r="3408" spans="1:4" x14ac:dyDescent="0.4">
      <c r="A3408" t="str">
        <f t="shared" si="106"/>
        <v/>
      </c>
      <c r="B3408" t="str">
        <f t="shared" si="107"/>
        <v/>
      </c>
      <c r="C3408" t="str">
        <f>IF(D3408="","",IF(COUNTIF($D$2:D3408,D3408)&gt;1,"",SUMIFS(tbl_input[필요수량],tbl_input[집계키_청],D3408)))</f>
        <v/>
      </c>
      <c r="D3408" t="str">
        <f>IFERROR(INDEX(tbl_input[집계키_청],ROW()-1),"")</f>
        <v/>
      </c>
    </row>
    <row r="3409" spans="1:4" x14ac:dyDescent="0.4">
      <c r="A3409" t="str">
        <f t="shared" si="106"/>
        <v/>
      </c>
      <c r="B3409" t="str">
        <f t="shared" si="107"/>
        <v/>
      </c>
      <c r="C3409" t="str">
        <f>IF(D3409="","",IF(COUNTIF($D$2:D3409,D3409)&gt;1,"",SUMIFS(tbl_input[필요수량],tbl_input[집계키_청],D3409)))</f>
        <v/>
      </c>
      <c r="D3409" t="str">
        <f>IFERROR(INDEX(tbl_input[집계키_청],ROW()-1),"")</f>
        <v/>
      </c>
    </row>
    <row r="3410" spans="1:4" x14ac:dyDescent="0.4">
      <c r="A3410" t="str">
        <f t="shared" si="106"/>
        <v/>
      </c>
      <c r="B3410" t="str">
        <f t="shared" si="107"/>
        <v/>
      </c>
      <c r="C3410" t="str">
        <f>IF(D3410="","",IF(COUNTIF($D$2:D3410,D3410)&gt;1,"",SUMIFS(tbl_input[필요수량],tbl_input[집계키_청],D3410)))</f>
        <v/>
      </c>
      <c r="D3410" t="str">
        <f>IFERROR(INDEX(tbl_input[집계키_청],ROW()-1),"")</f>
        <v/>
      </c>
    </row>
    <row r="3411" spans="1:4" x14ac:dyDescent="0.4">
      <c r="A3411" t="str">
        <f t="shared" si="106"/>
        <v/>
      </c>
      <c r="B3411" t="str">
        <f t="shared" si="107"/>
        <v/>
      </c>
      <c r="C3411" t="str">
        <f>IF(D3411="","",IF(COUNTIF($D$2:D3411,D3411)&gt;1,"",SUMIFS(tbl_input[필요수량],tbl_input[집계키_청],D3411)))</f>
        <v/>
      </c>
      <c r="D3411" t="str">
        <f>IFERROR(INDEX(tbl_input[집계키_청],ROW()-1),"")</f>
        <v/>
      </c>
    </row>
    <row r="3412" spans="1:4" x14ac:dyDescent="0.4">
      <c r="A3412" t="str">
        <f t="shared" si="106"/>
        <v/>
      </c>
      <c r="B3412" t="str">
        <f t="shared" si="107"/>
        <v/>
      </c>
      <c r="C3412" t="str">
        <f>IF(D3412="","",IF(COUNTIF($D$2:D3412,D3412)&gt;1,"",SUMIFS(tbl_input[필요수량],tbl_input[집계키_청],D3412)))</f>
        <v/>
      </c>
      <c r="D3412" t="str">
        <f>IFERROR(INDEX(tbl_input[집계키_청],ROW()-1),"")</f>
        <v/>
      </c>
    </row>
    <row r="3413" spans="1:4" x14ac:dyDescent="0.4">
      <c r="A3413" t="str">
        <f t="shared" si="106"/>
        <v/>
      </c>
      <c r="B3413" t="str">
        <f t="shared" si="107"/>
        <v/>
      </c>
      <c r="C3413" t="str">
        <f>IF(D3413="","",IF(COUNTIF($D$2:D3413,D3413)&gt;1,"",SUMIFS(tbl_input[필요수량],tbl_input[집계키_청],D3413)))</f>
        <v/>
      </c>
      <c r="D3413" t="str">
        <f>IFERROR(INDEX(tbl_input[집계키_청],ROW()-1),"")</f>
        <v/>
      </c>
    </row>
    <row r="3414" spans="1:4" x14ac:dyDescent="0.4">
      <c r="A3414" t="str">
        <f t="shared" si="106"/>
        <v/>
      </c>
      <c r="B3414" t="str">
        <f t="shared" si="107"/>
        <v/>
      </c>
      <c r="C3414" t="str">
        <f>IF(D3414="","",IF(COUNTIF($D$2:D3414,D3414)&gt;1,"",SUMIFS(tbl_input[필요수량],tbl_input[집계키_청],D3414)))</f>
        <v/>
      </c>
      <c r="D3414" t="str">
        <f>IFERROR(INDEX(tbl_input[집계키_청],ROW()-1),"")</f>
        <v/>
      </c>
    </row>
    <row r="3415" spans="1:4" x14ac:dyDescent="0.4">
      <c r="A3415" t="str">
        <f t="shared" si="106"/>
        <v/>
      </c>
      <c r="B3415" t="str">
        <f t="shared" si="107"/>
        <v/>
      </c>
      <c r="C3415" t="str">
        <f>IF(D3415="","",IF(COUNTIF($D$2:D3415,D3415)&gt;1,"",SUMIFS(tbl_input[필요수량],tbl_input[집계키_청],D3415)))</f>
        <v/>
      </c>
      <c r="D3415" t="str">
        <f>IFERROR(INDEX(tbl_input[집계키_청],ROW()-1),"")</f>
        <v/>
      </c>
    </row>
    <row r="3416" spans="1:4" x14ac:dyDescent="0.4">
      <c r="A3416" t="str">
        <f t="shared" si="106"/>
        <v/>
      </c>
      <c r="B3416" t="str">
        <f t="shared" si="107"/>
        <v/>
      </c>
      <c r="C3416" t="str">
        <f>IF(D3416="","",IF(COUNTIF($D$2:D3416,D3416)&gt;1,"",SUMIFS(tbl_input[필요수량],tbl_input[집계키_청],D3416)))</f>
        <v/>
      </c>
      <c r="D3416" t="str">
        <f>IFERROR(INDEX(tbl_input[집계키_청],ROW()-1),"")</f>
        <v/>
      </c>
    </row>
    <row r="3417" spans="1:4" x14ac:dyDescent="0.4">
      <c r="A3417" t="str">
        <f t="shared" si="106"/>
        <v/>
      </c>
      <c r="B3417" t="str">
        <f t="shared" si="107"/>
        <v/>
      </c>
      <c r="C3417" t="str">
        <f>IF(D3417="","",IF(COUNTIF($D$2:D3417,D3417)&gt;1,"",SUMIFS(tbl_input[필요수량],tbl_input[집계키_청],D3417)))</f>
        <v/>
      </c>
      <c r="D3417" t="str">
        <f>IFERROR(INDEX(tbl_input[집계키_청],ROW()-1),"")</f>
        <v/>
      </c>
    </row>
    <row r="3418" spans="1:4" x14ac:dyDescent="0.4">
      <c r="A3418" t="str">
        <f t="shared" si="106"/>
        <v/>
      </c>
      <c r="B3418" t="str">
        <f t="shared" si="107"/>
        <v/>
      </c>
      <c r="C3418" t="str">
        <f>IF(D3418="","",IF(COUNTIF($D$2:D3418,D3418)&gt;1,"",SUMIFS(tbl_input[필요수량],tbl_input[집계키_청],D3418)))</f>
        <v/>
      </c>
      <c r="D3418" t="str">
        <f>IFERROR(INDEX(tbl_input[집계키_청],ROW()-1),"")</f>
        <v/>
      </c>
    </row>
    <row r="3419" spans="1:4" x14ac:dyDescent="0.4">
      <c r="A3419" t="str">
        <f t="shared" si="106"/>
        <v/>
      </c>
      <c r="B3419" t="str">
        <f t="shared" si="107"/>
        <v/>
      </c>
      <c r="C3419" t="str">
        <f>IF(D3419="","",IF(COUNTIF($D$2:D3419,D3419)&gt;1,"",SUMIFS(tbl_input[필요수량],tbl_input[집계키_청],D3419)))</f>
        <v/>
      </c>
      <c r="D3419" t="str">
        <f>IFERROR(INDEX(tbl_input[집계키_청],ROW()-1),"")</f>
        <v/>
      </c>
    </row>
    <row r="3420" spans="1:4" x14ac:dyDescent="0.4">
      <c r="A3420" t="str">
        <f t="shared" si="106"/>
        <v/>
      </c>
      <c r="B3420" t="str">
        <f t="shared" si="107"/>
        <v/>
      </c>
      <c r="C3420" t="str">
        <f>IF(D3420="","",IF(COUNTIF($D$2:D3420,D3420)&gt;1,"",SUMIFS(tbl_input[필요수량],tbl_input[집계키_청],D3420)))</f>
        <v/>
      </c>
      <c r="D3420" t="str">
        <f>IFERROR(INDEX(tbl_input[집계키_청],ROW()-1),"")</f>
        <v/>
      </c>
    </row>
    <row r="3421" spans="1:4" x14ac:dyDescent="0.4">
      <c r="A3421" t="str">
        <f t="shared" si="106"/>
        <v/>
      </c>
      <c r="B3421" t="str">
        <f t="shared" si="107"/>
        <v/>
      </c>
      <c r="C3421" t="str">
        <f>IF(D3421="","",IF(COUNTIF($D$2:D3421,D3421)&gt;1,"",SUMIFS(tbl_input[필요수량],tbl_input[집계키_청],D3421)))</f>
        <v/>
      </c>
      <c r="D3421" t="str">
        <f>IFERROR(INDEX(tbl_input[집계키_청],ROW()-1),"")</f>
        <v/>
      </c>
    </row>
    <row r="3422" spans="1:4" x14ac:dyDescent="0.4">
      <c r="A3422" t="str">
        <f t="shared" si="106"/>
        <v/>
      </c>
      <c r="B3422" t="str">
        <f t="shared" si="107"/>
        <v/>
      </c>
      <c r="C3422" t="str">
        <f>IF(D3422="","",IF(COUNTIF($D$2:D3422,D3422)&gt;1,"",SUMIFS(tbl_input[필요수량],tbl_input[집계키_청],D3422)))</f>
        <v/>
      </c>
      <c r="D3422" t="str">
        <f>IFERROR(INDEX(tbl_input[집계키_청],ROW()-1),"")</f>
        <v/>
      </c>
    </row>
    <row r="3423" spans="1:4" x14ac:dyDescent="0.4">
      <c r="A3423" t="str">
        <f t="shared" si="106"/>
        <v/>
      </c>
      <c r="B3423" t="str">
        <f t="shared" si="107"/>
        <v/>
      </c>
      <c r="C3423" t="str">
        <f>IF(D3423="","",IF(COUNTIF($D$2:D3423,D3423)&gt;1,"",SUMIFS(tbl_input[필요수량],tbl_input[집계키_청],D3423)))</f>
        <v/>
      </c>
      <c r="D3423" t="str">
        <f>IFERROR(INDEX(tbl_input[집계키_청],ROW()-1),"")</f>
        <v/>
      </c>
    </row>
    <row r="3424" spans="1:4" x14ac:dyDescent="0.4">
      <c r="A3424" t="str">
        <f t="shared" si="106"/>
        <v/>
      </c>
      <c r="B3424" t="str">
        <f t="shared" si="107"/>
        <v/>
      </c>
      <c r="C3424" t="str">
        <f>IF(D3424="","",IF(COUNTIF($D$2:D3424,D3424)&gt;1,"",SUMIFS(tbl_input[필요수량],tbl_input[집계키_청],D3424)))</f>
        <v/>
      </c>
      <c r="D3424" t="str">
        <f>IFERROR(INDEX(tbl_input[집계키_청],ROW()-1),"")</f>
        <v/>
      </c>
    </row>
    <row r="3425" spans="1:4" x14ac:dyDescent="0.4">
      <c r="A3425" t="str">
        <f t="shared" si="106"/>
        <v/>
      </c>
      <c r="B3425" t="str">
        <f t="shared" si="107"/>
        <v/>
      </c>
      <c r="C3425" t="str">
        <f>IF(D3425="","",IF(COUNTIF($D$2:D3425,D3425)&gt;1,"",SUMIFS(tbl_input[필요수량],tbl_input[집계키_청],D3425)))</f>
        <v/>
      </c>
      <c r="D3425" t="str">
        <f>IFERROR(INDEX(tbl_input[집계키_청],ROW()-1),"")</f>
        <v/>
      </c>
    </row>
    <row r="3426" spans="1:4" x14ac:dyDescent="0.4">
      <c r="A3426" t="str">
        <f t="shared" si="106"/>
        <v/>
      </c>
      <c r="B3426" t="str">
        <f t="shared" si="107"/>
        <v/>
      </c>
      <c r="C3426" t="str">
        <f>IF(D3426="","",IF(COUNTIF($D$2:D3426,D3426)&gt;1,"",SUMIFS(tbl_input[필요수량],tbl_input[집계키_청],D3426)))</f>
        <v/>
      </c>
      <c r="D3426" t="str">
        <f>IFERROR(INDEX(tbl_input[집계키_청],ROW()-1),"")</f>
        <v/>
      </c>
    </row>
    <row r="3427" spans="1:4" x14ac:dyDescent="0.4">
      <c r="A3427" t="str">
        <f t="shared" si="106"/>
        <v/>
      </c>
      <c r="B3427" t="str">
        <f t="shared" si="107"/>
        <v/>
      </c>
      <c r="C3427" t="str">
        <f>IF(D3427="","",IF(COUNTIF($D$2:D3427,D3427)&gt;1,"",SUMIFS(tbl_input[필요수량],tbl_input[집계키_청],D3427)))</f>
        <v/>
      </c>
      <c r="D3427" t="str">
        <f>IFERROR(INDEX(tbl_input[집계키_청],ROW()-1),"")</f>
        <v/>
      </c>
    </row>
    <row r="3428" spans="1:4" x14ac:dyDescent="0.4">
      <c r="A3428" t="str">
        <f t="shared" si="106"/>
        <v/>
      </c>
      <c r="B3428" t="str">
        <f t="shared" si="107"/>
        <v/>
      </c>
      <c r="C3428" t="str">
        <f>IF(D3428="","",IF(COUNTIF($D$2:D3428,D3428)&gt;1,"",SUMIFS(tbl_input[필요수량],tbl_input[집계키_청],D3428)))</f>
        <v/>
      </c>
      <c r="D3428" t="str">
        <f>IFERROR(INDEX(tbl_input[집계키_청],ROW()-1),"")</f>
        <v/>
      </c>
    </row>
    <row r="3429" spans="1:4" x14ac:dyDescent="0.4">
      <c r="A3429" t="str">
        <f t="shared" si="106"/>
        <v/>
      </c>
      <c r="B3429" t="str">
        <f t="shared" si="107"/>
        <v/>
      </c>
      <c r="C3429" t="str">
        <f>IF(D3429="","",IF(COUNTIF($D$2:D3429,D3429)&gt;1,"",SUMIFS(tbl_input[필요수량],tbl_input[집계키_청],D3429)))</f>
        <v/>
      </c>
      <c r="D3429" t="str">
        <f>IFERROR(INDEX(tbl_input[집계키_청],ROW()-1),"")</f>
        <v/>
      </c>
    </row>
    <row r="3430" spans="1:4" x14ac:dyDescent="0.4">
      <c r="A3430" t="str">
        <f t="shared" si="106"/>
        <v/>
      </c>
      <c r="B3430" t="str">
        <f t="shared" si="107"/>
        <v/>
      </c>
      <c r="C3430" t="str">
        <f>IF(D3430="","",IF(COUNTIF($D$2:D3430,D3430)&gt;1,"",SUMIFS(tbl_input[필요수량],tbl_input[집계키_청],D3430)))</f>
        <v/>
      </c>
      <c r="D3430" t="str">
        <f>IFERROR(INDEX(tbl_input[집계키_청],ROW()-1),"")</f>
        <v/>
      </c>
    </row>
    <row r="3431" spans="1:4" x14ac:dyDescent="0.4">
      <c r="A3431" t="str">
        <f t="shared" si="106"/>
        <v/>
      </c>
      <c r="B3431" t="str">
        <f t="shared" si="107"/>
        <v/>
      </c>
      <c r="C3431" t="str">
        <f>IF(D3431="","",IF(COUNTIF($D$2:D3431,D3431)&gt;1,"",SUMIFS(tbl_input[필요수량],tbl_input[집계키_청],D3431)))</f>
        <v/>
      </c>
      <c r="D3431" t="str">
        <f>IFERROR(INDEX(tbl_input[집계키_청],ROW()-1),"")</f>
        <v/>
      </c>
    </row>
    <row r="3432" spans="1:4" x14ac:dyDescent="0.4">
      <c r="A3432" t="str">
        <f t="shared" si="106"/>
        <v/>
      </c>
      <c r="B3432" t="str">
        <f t="shared" si="107"/>
        <v/>
      </c>
      <c r="C3432" t="str">
        <f>IF(D3432="","",IF(COUNTIF($D$2:D3432,D3432)&gt;1,"",SUMIFS(tbl_input[필요수량],tbl_input[집계키_청],D3432)))</f>
        <v/>
      </c>
      <c r="D3432" t="str">
        <f>IFERROR(INDEX(tbl_input[집계키_청],ROW()-1),"")</f>
        <v/>
      </c>
    </row>
    <row r="3433" spans="1:4" x14ac:dyDescent="0.4">
      <c r="A3433" t="str">
        <f t="shared" si="106"/>
        <v/>
      </c>
      <c r="B3433" t="str">
        <f t="shared" si="107"/>
        <v/>
      </c>
      <c r="C3433" t="str">
        <f>IF(D3433="","",IF(COUNTIF($D$2:D3433,D3433)&gt;1,"",SUMIFS(tbl_input[필요수량],tbl_input[집계키_청],D3433)))</f>
        <v/>
      </c>
      <c r="D3433" t="str">
        <f>IFERROR(INDEX(tbl_input[집계키_청],ROW()-1),"")</f>
        <v/>
      </c>
    </row>
    <row r="3434" spans="1:4" x14ac:dyDescent="0.4">
      <c r="A3434" t="str">
        <f t="shared" si="106"/>
        <v/>
      </c>
      <c r="B3434" t="str">
        <f t="shared" si="107"/>
        <v/>
      </c>
      <c r="C3434" t="str">
        <f>IF(D3434="","",IF(COUNTIF($D$2:D3434,D3434)&gt;1,"",SUMIFS(tbl_input[필요수량],tbl_input[집계키_청],D3434)))</f>
        <v/>
      </c>
      <c r="D3434" t="str">
        <f>IFERROR(INDEX(tbl_input[집계키_청],ROW()-1),"")</f>
        <v/>
      </c>
    </row>
    <row r="3435" spans="1:4" x14ac:dyDescent="0.4">
      <c r="A3435" t="str">
        <f t="shared" si="106"/>
        <v/>
      </c>
      <c r="B3435" t="str">
        <f t="shared" si="107"/>
        <v/>
      </c>
      <c r="C3435" t="str">
        <f>IF(D3435="","",IF(COUNTIF($D$2:D3435,D3435)&gt;1,"",SUMIFS(tbl_input[필요수량],tbl_input[집계키_청],D3435)))</f>
        <v/>
      </c>
      <c r="D3435" t="str">
        <f>IFERROR(INDEX(tbl_input[집계키_청],ROW()-1),"")</f>
        <v/>
      </c>
    </row>
    <row r="3436" spans="1:4" x14ac:dyDescent="0.4">
      <c r="A3436" t="str">
        <f t="shared" si="106"/>
        <v/>
      </c>
      <c r="B3436" t="str">
        <f t="shared" si="107"/>
        <v/>
      </c>
      <c r="C3436" t="str">
        <f>IF(D3436="","",IF(COUNTIF($D$2:D3436,D3436)&gt;1,"",SUMIFS(tbl_input[필요수량],tbl_input[집계키_청],D3436)))</f>
        <v/>
      </c>
      <c r="D3436" t="str">
        <f>IFERROR(INDEX(tbl_input[집계키_청],ROW()-1),"")</f>
        <v/>
      </c>
    </row>
    <row r="3437" spans="1:4" x14ac:dyDescent="0.4">
      <c r="A3437" t="str">
        <f t="shared" si="106"/>
        <v/>
      </c>
      <c r="B3437" t="str">
        <f t="shared" si="107"/>
        <v/>
      </c>
      <c r="C3437" t="str">
        <f>IF(D3437="","",IF(COUNTIF($D$2:D3437,D3437)&gt;1,"",SUMIFS(tbl_input[필요수량],tbl_input[집계키_청],D3437)))</f>
        <v/>
      </c>
      <c r="D3437" t="str">
        <f>IFERROR(INDEX(tbl_input[집계키_청],ROW()-1),"")</f>
        <v/>
      </c>
    </row>
    <row r="3438" spans="1:4" x14ac:dyDescent="0.4">
      <c r="A3438" t="str">
        <f t="shared" si="106"/>
        <v/>
      </c>
      <c r="B3438" t="str">
        <f t="shared" si="107"/>
        <v/>
      </c>
      <c r="C3438" t="str">
        <f>IF(D3438="","",IF(COUNTIF($D$2:D3438,D3438)&gt;1,"",SUMIFS(tbl_input[필요수량],tbl_input[집계키_청],D3438)))</f>
        <v/>
      </c>
      <c r="D3438" t="str">
        <f>IFERROR(INDEX(tbl_input[집계키_청],ROW()-1),"")</f>
        <v/>
      </c>
    </row>
    <row r="3439" spans="1:4" x14ac:dyDescent="0.4">
      <c r="A3439" t="str">
        <f t="shared" si="106"/>
        <v/>
      </c>
      <c r="B3439" t="str">
        <f t="shared" si="107"/>
        <v/>
      </c>
      <c r="C3439" t="str">
        <f>IF(D3439="","",IF(COUNTIF($D$2:D3439,D3439)&gt;1,"",SUMIFS(tbl_input[필요수량],tbl_input[집계키_청],D3439)))</f>
        <v/>
      </c>
      <c r="D3439" t="str">
        <f>IFERROR(INDEX(tbl_input[집계키_청],ROW()-1),"")</f>
        <v/>
      </c>
    </row>
    <row r="3440" spans="1:4" x14ac:dyDescent="0.4">
      <c r="A3440" t="str">
        <f t="shared" si="106"/>
        <v/>
      </c>
      <c r="B3440" t="str">
        <f t="shared" si="107"/>
        <v/>
      </c>
      <c r="C3440" t="str">
        <f>IF(D3440="","",IF(COUNTIF($D$2:D3440,D3440)&gt;1,"",SUMIFS(tbl_input[필요수량],tbl_input[집계키_청],D3440)))</f>
        <v/>
      </c>
      <c r="D3440" t="str">
        <f>IFERROR(INDEX(tbl_input[집계키_청],ROW()-1),"")</f>
        <v/>
      </c>
    </row>
    <row r="3441" spans="1:4" x14ac:dyDescent="0.4">
      <c r="A3441" t="str">
        <f t="shared" si="106"/>
        <v/>
      </c>
      <c r="B3441" t="str">
        <f t="shared" si="107"/>
        <v/>
      </c>
      <c r="C3441" t="str">
        <f>IF(D3441="","",IF(COUNTIF($D$2:D3441,D3441)&gt;1,"",SUMIFS(tbl_input[필요수량],tbl_input[집계키_청],D3441)))</f>
        <v/>
      </c>
      <c r="D3441" t="str">
        <f>IFERROR(INDEX(tbl_input[집계키_청],ROW()-1),"")</f>
        <v/>
      </c>
    </row>
    <row r="3442" spans="1:4" x14ac:dyDescent="0.4">
      <c r="A3442" t="str">
        <f t="shared" si="106"/>
        <v/>
      </c>
      <c r="B3442" t="str">
        <f t="shared" si="107"/>
        <v/>
      </c>
      <c r="C3442" t="str">
        <f>IF(D3442="","",IF(COUNTIF($D$2:D3442,D3442)&gt;1,"",SUMIFS(tbl_input[필요수량],tbl_input[집계키_청],D3442)))</f>
        <v/>
      </c>
      <c r="D3442" t="str">
        <f>IFERROR(INDEX(tbl_input[집계키_청],ROW()-1),"")</f>
        <v/>
      </c>
    </row>
    <row r="3443" spans="1:4" x14ac:dyDescent="0.4">
      <c r="A3443" t="str">
        <f t="shared" si="106"/>
        <v/>
      </c>
      <c r="B3443" t="str">
        <f t="shared" si="107"/>
        <v/>
      </c>
      <c r="C3443" t="str">
        <f>IF(D3443="","",IF(COUNTIF($D$2:D3443,D3443)&gt;1,"",SUMIFS(tbl_input[필요수량],tbl_input[집계키_청],D3443)))</f>
        <v/>
      </c>
      <c r="D3443" t="str">
        <f>IFERROR(INDEX(tbl_input[집계키_청],ROW()-1),"")</f>
        <v/>
      </c>
    </row>
    <row r="3444" spans="1:4" x14ac:dyDescent="0.4">
      <c r="A3444" t="str">
        <f t="shared" si="106"/>
        <v/>
      </c>
      <c r="B3444" t="str">
        <f t="shared" si="107"/>
        <v/>
      </c>
      <c r="C3444" t="str">
        <f>IF(D3444="","",IF(COUNTIF($D$2:D3444,D3444)&gt;1,"",SUMIFS(tbl_input[필요수량],tbl_input[집계키_청],D3444)))</f>
        <v/>
      </c>
      <c r="D3444" t="str">
        <f>IFERROR(INDEX(tbl_input[집계키_청],ROW()-1),"")</f>
        <v/>
      </c>
    </row>
    <row r="3445" spans="1:4" x14ac:dyDescent="0.4">
      <c r="A3445" t="str">
        <f t="shared" si="106"/>
        <v/>
      </c>
      <c r="B3445" t="str">
        <f t="shared" si="107"/>
        <v/>
      </c>
      <c r="C3445" t="str">
        <f>IF(D3445="","",IF(COUNTIF($D$2:D3445,D3445)&gt;1,"",SUMIFS(tbl_input[필요수량],tbl_input[집계키_청],D3445)))</f>
        <v/>
      </c>
      <c r="D3445" t="str">
        <f>IFERROR(INDEX(tbl_input[집계키_청],ROW()-1),"")</f>
        <v/>
      </c>
    </row>
    <row r="3446" spans="1:4" x14ac:dyDescent="0.4">
      <c r="A3446" t="str">
        <f t="shared" si="106"/>
        <v/>
      </c>
      <c r="B3446" t="str">
        <f t="shared" si="107"/>
        <v/>
      </c>
      <c r="C3446" t="str">
        <f>IF(D3446="","",IF(COUNTIF($D$2:D3446,D3446)&gt;1,"",SUMIFS(tbl_input[필요수량],tbl_input[집계키_청],D3446)))</f>
        <v/>
      </c>
      <c r="D3446" t="str">
        <f>IFERROR(INDEX(tbl_input[집계키_청],ROW()-1),"")</f>
        <v/>
      </c>
    </row>
    <row r="3447" spans="1:4" x14ac:dyDescent="0.4">
      <c r="A3447" t="str">
        <f t="shared" si="106"/>
        <v/>
      </c>
      <c r="B3447" t="str">
        <f t="shared" si="107"/>
        <v/>
      </c>
      <c r="C3447" t="str">
        <f>IF(D3447="","",IF(COUNTIF($D$2:D3447,D3447)&gt;1,"",SUMIFS(tbl_input[필요수량],tbl_input[집계키_청],D3447)))</f>
        <v/>
      </c>
      <c r="D3447" t="str">
        <f>IFERROR(INDEX(tbl_input[집계키_청],ROW()-1),"")</f>
        <v/>
      </c>
    </row>
    <row r="3448" spans="1:4" x14ac:dyDescent="0.4">
      <c r="A3448" t="str">
        <f t="shared" si="106"/>
        <v/>
      </c>
      <c r="B3448" t="str">
        <f t="shared" si="107"/>
        <v/>
      </c>
      <c r="C3448" t="str">
        <f>IF(D3448="","",IF(COUNTIF($D$2:D3448,D3448)&gt;1,"",SUMIFS(tbl_input[필요수량],tbl_input[집계키_청],D3448)))</f>
        <v/>
      </c>
      <c r="D3448" t="str">
        <f>IFERROR(INDEX(tbl_input[집계키_청],ROW()-1),"")</f>
        <v/>
      </c>
    </row>
    <row r="3449" spans="1:4" x14ac:dyDescent="0.4">
      <c r="A3449" t="str">
        <f t="shared" si="106"/>
        <v/>
      </c>
      <c r="B3449" t="str">
        <f t="shared" si="107"/>
        <v/>
      </c>
      <c r="C3449" t="str">
        <f>IF(D3449="","",IF(COUNTIF($D$2:D3449,D3449)&gt;1,"",SUMIFS(tbl_input[필요수량],tbl_input[집계키_청],D3449)))</f>
        <v/>
      </c>
      <c r="D3449" t="str">
        <f>IFERROR(INDEX(tbl_input[집계키_청],ROW()-1),"")</f>
        <v/>
      </c>
    </row>
    <row r="3450" spans="1:4" x14ac:dyDescent="0.4">
      <c r="A3450" t="str">
        <f t="shared" si="106"/>
        <v/>
      </c>
      <c r="B3450" t="str">
        <f t="shared" si="107"/>
        <v/>
      </c>
      <c r="C3450" t="str">
        <f>IF(D3450="","",IF(COUNTIF($D$2:D3450,D3450)&gt;1,"",SUMIFS(tbl_input[필요수량],tbl_input[집계키_청],D3450)))</f>
        <v/>
      </c>
      <c r="D3450" t="str">
        <f>IFERROR(INDEX(tbl_input[집계키_청],ROW()-1),"")</f>
        <v/>
      </c>
    </row>
    <row r="3451" spans="1:4" x14ac:dyDescent="0.4">
      <c r="A3451" t="str">
        <f t="shared" si="106"/>
        <v/>
      </c>
      <c r="B3451" t="str">
        <f t="shared" si="107"/>
        <v/>
      </c>
      <c r="C3451" t="str">
        <f>IF(D3451="","",IF(COUNTIF($D$2:D3451,D3451)&gt;1,"",SUMIFS(tbl_input[필요수량],tbl_input[집계키_청],D3451)))</f>
        <v/>
      </c>
      <c r="D3451" t="str">
        <f>IFERROR(INDEX(tbl_input[집계키_청],ROW()-1),"")</f>
        <v/>
      </c>
    </row>
    <row r="3452" spans="1:4" x14ac:dyDescent="0.4">
      <c r="A3452" t="str">
        <f t="shared" si="106"/>
        <v/>
      </c>
      <c r="B3452" t="str">
        <f t="shared" si="107"/>
        <v/>
      </c>
      <c r="C3452" t="str">
        <f>IF(D3452="","",IF(COUNTIF($D$2:D3452,D3452)&gt;1,"",SUMIFS(tbl_input[필요수량],tbl_input[집계키_청],D3452)))</f>
        <v/>
      </c>
      <c r="D3452" t="str">
        <f>IFERROR(INDEX(tbl_input[집계키_청],ROW()-1),"")</f>
        <v/>
      </c>
    </row>
    <row r="3453" spans="1:4" x14ac:dyDescent="0.4">
      <c r="A3453" t="str">
        <f t="shared" si="106"/>
        <v/>
      </c>
      <c r="B3453" t="str">
        <f t="shared" si="107"/>
        <v/>
      </c>
      <c r="C3453" t="str">
        <f>IF(D3453="","",IF(COUNTIF($D$2:D3453,D3453)&gt;1,"",SUMIFS(tbl_input[필요수량],tbl_input[집계키_청],D3453)))</f>
        <v/>
      </c>
      <c r="D3453" t="str">
        <f>IFERROR(INDEX(tbl_input[집계키_청],ROW()-1),"")</f>
        <v/>
      </c>
    </row>
    <row r="3454" spans="1:4" x14ac:dyDescent="0.4">
      <c r="A3454" t="str">
        <f t="shared" si="106"/>
        <v/>
      </c>
      <c r="B3454" t="str">
        <f t="shared" si="107"/>
        <v/>
      </c>
      <c r="C3454" t="str">
        <f>IF(D3454="","",IF(COUNTIF($D$2:D3454,D3454)&gt;1,"",SUMIFS(tbl_input[필요수량],tbl_input[집계키_청],D3454)))</f>
        <v/>
      </c>
      <c r="D3454" t="str">
        <f>IFERROR(INDEX(tbl_input[집계키_청],ROW()-1),"")</f>
        <v/>
      </c>
    </row>
    <row r="3455" spans="1:4" x14ac:dyDescent="0.4">
      <c r="A3455" t="str">
        <f t="shared" si="106"/>
        <v/>
      </c>
      <c r="B3455" t="str">
        <f t="shared" si="107"/>
        <v/>
      </c>
      <c r="C3455" t="str">
        <f>IF(D3455="","",IF(COUNTIF($D$2:D3455,D3455)&gt;1,"",SUMIFS(tbl_input[필요수량],tbl_input[집계키_청],D3455)))</f>
        <v/>
      </c>
      <c r="D3455" t="str">
        <f>IFERROR(INDEX(tbl_input[집계키_청],ROW()-1),"")</f>
        <v/>
      </c>
    </row>
    <row r="3456" spans="1:4" x14ac:dyDescent="0.4">
      <c r="A3456" t="str">
        <f t="shared" si="106"/>
        <v/>
      </c>
      <c r="B3456" t="str">
        <f t="shared" si="107"/>
        <v/>
      </c>
      <c r="C3456" t="str">
        <f>IF(D3456="","",IF(COUNTIF($D$2:D3456,D3456)&gt;1,"",SUMIFS(tbl_input[필요수량],tbl_input[집계키_청],D3456)))</f>
        <v/>
      </c>
      <c r="D3456" t="str">
        <f>IFERROR(INDEX(tbl_input[집계키_청],ROW()-1),"")</f>
        <v/>
      </c>
    </row>
    <row r="3457" spans="1:4" x14ac:dyDescent="0.4">
      <c r="A3457" t="str">
        <f t="shared" si="106"/>
        <v/>
      </c>
      <c r="B3457" t="str">
        <f t="shared" si="107"/>
        <v/>
      </c>
      <c r="C3457" t="str">
        <f>IF(D3457="","",IF(COUNTIF($D$2:D3457,D3457)&gt;1,"",SUMIFS(tbl_input[필요수량],tbl_input[집계키_청],D3457)))</f>
        <v/>
      </c>
      <c r="D3457" t="str">
        <f>IFERROR(INDEX(tbl_input[집계키_청],ROW()-1),"")</f>
        <v/>
      </c>
    </row>
    <row r="3458" spans="1:4" x14ac:dyDescent="0.4">
      <c r="A3458" t="str">
        <f t="shared" ref="A3458:A3521" si="108">IF(D3458="","",LEFT(D3458,FIND("♦",D3458)-1))</f>
        <v/>
      </c>
      <c r="B3458" t="str">
        <f t="shared" ref="B3458:B3521" si="109">IF(D3458="","",MID(D3458,FIND("♦",D3458)+1,999))</f>
        <v/>
      </c>
      <c r="C3458" t="str">
        <f>IF(D3458="","",IF(COUNTIF($D$2:D3458,D3458)&gt;1,"",SUMIFS(tbl_input[필요수량],tbl_input[집계키_청],D3458)))</f>
        <v/>
      </c>
      <c r="D3458" t="str">
        <f>IFERROR(INDEX(tbl_input[집계키_청],ROW()-1),"")</f>
        <v/>
      </c>
    </row>
    <row r="3459" spans="1:4" x14ac:dyDescent="0.4">
      <c r="A3459" t="str">
        <f t="shared" si="108"/>
        <v/>
      </c>
      <c r="B3459" t="str">
        <f t="shared" si="109"/>
        <v/>
      </c>
      <c r="C3459" t="str">
        <f>IF(D3459="","",IF(COUNTIF($D$2:D3459,D3459)&gt;1,"",SUMIFS(tbl_input[필요수량],tbl_input[집계키_청],D3459)))</f>
        <v/>
      </c>
      <c r="D3459" t="str">
        <f>IFERROR(INDEX(tbl_input[집계키_청],ROW()-1),"")</f>
        <v/>
      </c>
    </row>
    <row r="3460" spans="1:4" x14ac:dyDescent="0.4">
      <c r="A3460" t="str">
        <f t="shared" si="108"/>
        <v/>
      </c>
      <c r="B3460" t="str">
        <f t="shared" si="109"/>
        <v/>
      </c>
      <c r="C3460" t="str">
        <f>IF(D3460="","",IF(COUNTIF($D$2:D3460,D3460)&gt;1,"",SUMIFS(tbl_input[필요수량],tbl_input[집계키_청],D3460)))</f>
        <v/>
      </c>
      <c r="D3460" t="str">
        <f>IFERROR(INDEX(tbl_input[집계키_청],ROW()-1),"")</f>
        <v/>
      </c>
    </row>
    <row r="3461" spans="1:4" x14ac:dyDescent="0.4">
      <c r="A3461" t="str">
        <f t="shared" si="108"/>
        <v/>
      </c>
      <c r="B3461" t="str">
        <f t="shared" si="109"/>
        <v/>
      </c>
      <c r="C3461" t="str">
        <f>IF(D3461="","",IF(COUNTIF($D$2:D3461,D3461)&gt;1,"",SUMIFS(tbl_input[필요수량],tbl_input[집계키_청],D3461)))</f>
        <v/>
      </c>
      <c r="D3461" t="str">
        <f>IFERROR(INDEX(tbl_input[집계키_청],ROW()-1),"")</f>
        <v/>
      </c>
    </row>
    <row r="3462" spans="1:4" x14ac:dyDescent="0.4">
      <c r="A3462" t="str">
        <f t="shared" si="108"/>
        <v/>
      </c>
      <c r="B3462" t="str">
        <f t="shared" si="109"/>
        <v/>
      </c>
      <c r="C3462" t="str">
        <f>IF(D3462="","",IF(COUNTIF($D$2:D3462,D3462)&gt;1,"",SUMIFS(tbl_input[필요수량],tbl_input[집계키_청],D3462)))</f>
        <v/>
      </c>
      <c r="D3462" t="str">
        <f>IFERROR(INDEX(tbl_input[집계키_청],ROW()-1),"")</f>
        <v/>
      </c>
    </row>
    <row r="3463" spans="1:4" x14ac:dyDescent="0.4">
      <c r="A3463" t="str">
        <f t="shared" si="108"/>
        <v/>
      </c>
      <c r="B3463" t="str">
        <f t="shared" si="109"/>
        <v/>
      </c>
      <c r="C3463" t="str">
        <f>IF(D3463="","",IF(COUNTIF($D$2:D3463,D3463)&gt;1,"",SUMIFS(tbl_input[필요수량],tbl_input[집계키_청],D3463)))</f>
        <v/>
      </c>
      <c r="D3463" t="str">
        <f>IFERROR(INDEX(tbl_input[집계키_청],ROW()-1),"")</f>
        <v/>
      </c>
    </row>
    <row r="3464" spans="1:4" x14ac:dyDescent="0.4">
      <c r="A3464" t="str">
        <f t="shared" si="108"/>
        <v/>
      </c>
      <c r="B3464" t="str">
        <f t="shared" si="109"/>
        <v/>
      </c>
      <c r="C3464" t="str">
        <f>IF(D3464="","",IF(COUNTIF($D$2:D3464,D3464)&gt;1,"",SUMIFS(tbl_input[필요수량],tbl_input[집계키_청],D3464)))</f>
        <v/>
      </c>
      <c r="D3464" t="str">
        <f>IFERROR(INDEX(tbl_input[집계키_청],ROW()-1),"")</f>
        <v/>
      </c>
    </row>
    <row r="3465" spans="1:4" x14ac:dyDescent="0.4">
      <c r="A3465" t="str">
        <f t="shared" si="108"/>
        <v/>
      </c>
      <c r="B3465" t="str">
        <f t="shared" si="109"/>
        <v/>
      </c>
      <c r="C3465" t="str">
        <f>IF(D3465="","",IF(COUNTIF($D$2:D3465,D3465)&gt;1,"",SUMIFS(tbl_input[필요수량],tbl_input[집계키_청],D3465)))</f>
        <v/>
      </c>
      <c r="D3465" t="str">
        <f>IFERROR(INDEX(tbl_input[집계키_청],ROW()-1),"")</f>
        <v/>
      </c>
    </row>
    <row r="3466" spans="1:4" x14ac:dyDescent="0.4">
      <c r="A3466" t="str">
        <f t="shared" si="108"/>
        <v/>
      </c>
      <c r="B3466" t="str">
        <f t="shared" si="109"/>
        <v/>
      </c>
      <c r="C3466" t="str">
        <f>IF(D3466="","",IF(COUNTIF($D$2:D3466,D3466)&gt;1,"",SUMIFS(tbl_input[필요수량],tbl_input[집계키_청],D3466)))</f>
        <v/>
      </c>
      <c r="D3466" t="str">
        <f>IFERROR(INDEX(tbl_input[집계키_청],ROW()-1),"")</f>
        <v/>
      </c>
    </row>
    <row r="3467" spans="1:4" x14ac:dyDescent="0.4">
      <c r="A3467" t="str">
        <f t="shared" si="108"/>
        <v/>
      </c>
      <c r="B3467" t="str">
        <f t="shared" si="109"/>
        <v/>
      </c>
      <c r="C3467" t="str">
        <f>IF(D3467="","",IF(COUNTIF($D$2:D3467,D3467)&gt;1,"",SUMIFS(tbl_input[필요수량],tbl_input[집계키_청],D3467)))</f>
        <v/>
      </c>
      <c r="D3467" t="str">
        <f>IFERROR(INDEX(tbl_input[집계키_청],ROW()-1),"")</f>
        <v/>
      </c>
    </row>
    <row r="3468" spans="1:4" x14ac:dyDescent="0.4">
      <c r="A3468" t="str">
        <f t="shared" si="108"/>
        <v/>
      </c>
      <c r="B3468" t="str">
        <f t="shared" si="109"/>
        <v/>
      </c>
      <c r="C3468" t="str">
        <f>IF(D3468="","",IF(COUNTIF($D$2:D3468,D3468)&gt;1,"",SUMIFS(tbl_input[필요수량],tbl_input[집계키_청],D3468)))</f>
        <v/>
      </c>
      <c r="D3468" t="str">
        <f>IFERROR(INDEX(tbl_input[집계키_청],ROW()-1),"")</f>
        <v/>
      </c>
    </row>
    <row r="3469" spans="1:4" x14ac:dyDescent="0.4">
      <c r="A3469" t="str">
        <f t="shared" si="108"/>
        <v/>
      </c>
      <c r="B3469" t="str">
        <f t="shared" si="109"/>
        <v/>
      </c>
      <c r="C3469" t="str">
        <f>IF(D3469="","",IF(COUNTIF($D$2:D3469,D3469)&gt;1,"",SUMIFS(tbl_input[필요수량],tbl_input[집계키_청],D3469)))</f>
        <v/>
      </c>
      <c r="D3469" t="str">
        <f>IFERROR(INDEX(tbl_input[집계키_청],ROW()-1),"")</f>
        <v/>
      </c>
    </row>
    <row r="3470" spans="1:4" x14ac:dyDescent="0.4">
      <c r="A3470" t="str">
        <f t="shared" si="108"/>
        <v/>
      </c>
      <c r="B3470" t="str">
        <f t="shared" si="109"/>
        <v/>
      </c>
      <c r="C3470" t="str">
        <f>IF(D3470="","",IF(COUNTIF($D$2:D3470,D3470)&gt;1,"",SUMIFS(tbl_input[필요수량],tbl_input[집계키_청],D3470)))</f>
        <v/>
      </c>
      <c r="D3470" t="str">
        <f>IFERROR(INDEX(tbl_input[집계키_청],ROW()-1),"")</f>
        <v/>
      </c>
    </row>
    <row r="3471" spans="1:4" x14ac:dyDescent="0.4">
      <c r="A3471" t="str">
        <f t="shared" si="108"/>
        <v/>
      </c>
      <c r="B3471" t="str">
        <f t="shared" si="109"/>
        <v/>
      </c>
      <c r="C3471" t="str">
        <f>IF(D3471="","",IF(COUNTIF($D$2:D3471,D3471)&gt;1,"",SUMIFS(tbl_input[필요수량],tbl_input[집계키_청],D3471)))</f>
        <v/>
      </c>
      <c r="D3471" t="str">
        <f>IFERROR(INDEX(tbl_input[집계키_청],ROW()-1),"")</f>
        <v/>
      </c>
    </row>
    <row r="3472" spans="1:4" x14ac:dyDescent="0.4">
      <c r="A3472" t="str">
        <f t="shared" si="108"/>
        <v/>
      </c>
      <c r="B3472" t="str">
        <f t="shared" si="109"/>
        <v/>
      </c>
      <c r="C3472" t="str">
        <f>IF(D3472="","",IF(COUNTIF($D$2:D3472,D3472)&gt;1,"",SUMIFS(tbl_input[필요수량],tbl_input[집계키_청],D3472)))</f>
        <v/>
      </c>
      <c r="D3472" t="str">
        <f>IFERROR(INDEX(tbl_input[집계키_청],ROW()-1),"")</f>
        <v/>
      </c>
    </row>
    <row r="3473" spans="1:4" x14ac:dyDescent="0.4">
      <c r="A3473" t="str">
        <f t="shared" si="108"/>
        <v/>
      </c>
      <c r="B3473" t="str">
        <f t="shared" si="109"/>
        <v/>
      </c>
      <c r="C3473" t="str">
        <f>IF(D3473="","",IF(COUNTIF($D$2:D3473,D3473)&gt;1,"",SUMIFS(tbl_input[필요수량],tbl_input[집계키_청],D3473)))</f>
        <v/>
      </c>
      <c r="D3473" t="str">
        <f>IFERROR(INDEX(tbl_input[집계키_청],ROW()-1),"")</f>
        <v/>
      </c>
    </row>
    <row r="3474" spans="1:4" x14ac:dyDescent="0.4">
      <c r="A3474" t="str">
        <f t="shared" si="108"/>
        <v/>
      </c>
      <c r="B3474" t="str">
        <f t="shared" si="109"/>
        <v/>
      </c>
      <c r="C3474" t="str">
        <f>IF(D3474="","",IF(COUNTIF($D$2:D3474,D3474)&gt;1,"",SUMIFS(tbl_input[필요수량],tbl_input[집계키_청],D3474)))</f>
        <v/>
      </c>
      <c r="D3474" t="str">
        <f>IFERROR(INDEX(tbl_input[집계키_청],ROW()-1),"")</f>
        <v/>
      </c>
    </row>
    <row r="3475" spans="1:4" x14ac:dyDescent="0.4">
      <c r="A3475" t="str">
        <f t="shared" si="108"/>
        <v/>
      </c>
      <c r="B3475" t="str">
        <f t="shared" si="109"/>
        <v/>
      </c>
      <c r="C3475" t="str">
        <f>IF(D3475="","",IF(COUNTIF($D$2:D3475,D3475)&gt;1,"",SUMIFS(tbl_input[필요수량],tbl_input[집계키_청],D3475)))</f>
        <v/>
      </c>
      <c r="D3475" t="str">
        <f>IFERROR(INDEX(tbl_input[집계키_청],ROW()-1),"")</f>
        <v/>
      </c>
    </row>
    <row r="3476" spans="1:4" x14ac:dyDescent="0.4">
      <c r="A3476" t="str">
        <f t="shared" si="108"/>
        <v/>
      </c>
      <c r="B3476" t="str">
        <f t="shared" si="109"/>
        <v/>
      </c>
      <c r="C3476" t="str">
        <f>IF(D3476="","",IF(COUNTIF($D$2:D3476,D3476)&gt;1,"",SUMIFS(tbl_input[필요수량],tbl_input[집계키_청],D3476)))</f>
        <v/>
      </c>
      <c r="D3476" t="str">
        <f>IFERROR(INDEX(tbl_input[집계키_청],ROW()-1),"")</f>
        <v/>
      </c>
    </row>
    <row r="3477" spans="1:4" x14ac:dyDescent="0.4">
      <c r="A3477" t="str">
        <f t="shared" si="108"/>
        <v/>
      </c>
      <c r="B3477" t="str">
        <f t="shared" si="109"/>
        <v/>
      </c>
      <c r="C3477" t="str">
        <f>IF(D3477="","",IF(COUNTIF($D$2:D3477,D3477)&gt;1,"",SUMIFS(tbl_input[필요수량],tbl_input[집계키_청],D3477)))</f>
        <v/>
      </c>
      <c r="D3477" t="str">
        <f>IFERROR(INDEX(tbl_input[집계키_청],ROW()-1),"")</f>
        <v/>
      </c>
    </row>
    <row r="3478" spans="1:4" x14ac:dyDescent="0.4">
      <c r="A3478" t="str">
        <f t="shared" si="108"/>
        <v/>
      </c>
      <c r="B3478" t="str">
        <f t="shared" si="109"/>
        <v/>
      </c>
      <c r="C3478" t="str">
        <f>IF(D3478="","",IF(COUNTIF($D$2:D3478,D3478)&gt;1,"",SUMIFS(tbl_input[필요수량],tbl_input[집계키_청],D3478)))</f>
        <v/>
      </c>
      <c r="D3478" t="str">
        <f>IFERROR(INDEX(tbl_input[집계키_청],ROW()-1),"")</f>
        <v/>
      </c>
    </row>
    <row r="3479" spans="1:4" x14ac:dyDescent="0.4">
      <c r="A3479" t="str">
        <f t="shared" si="108"/>
        <v/>
      </c>
      <c r="B3479" t="str">
        <f t="shared" si="109"/>
        <v/>
      </c>
      <c r="C3479" t="str">
        <f>IF(D3479="","",IF(COUNTIF($D$2:D3479,D3479)&gt;1,"",SUMIFS(tbl_input[필요수량],tbl_input[집계키_청],D3479)))</f>
        <v/>
      </c>
      <c r="D3479" t="str">
        <f>IFERROR(INDEX(tbl_input[집계키_청],ROW()-1),"")</f>
        <v/>
      </c>
    </row>
    <row r="3480" spans="1:4" x14ac:dyDescent="0.4">
      <c r="A3480" t="str">
        <f t="shared" si="108"/>
        <v/>
      </c>
      <c r="B3480" t="str">
        <f t="shared" si="109"/>
        <v/>
      </c>
      <c r="C3480" t="str">
        <f>IF(D3480="","",IF(COUNTIF($D$2:D3480,D3480)&gt;1,"",SUMIFS(tbl_input[필요수량],tbl_input[집계키_청],D3480)))</f>
        <v/>
      </c>
      <c r="D3480" t="str">
        <f>IFERROR(INDEX(tbl_input[집계키_청],ROW()-1),"")</f>
        <v/>
      </c>
    </row>
    <row r="3481" spans="1:4" x14ac:dyDescent="0.4">
      <c r="A3481" t="str">
        <f t="shared" si="108"/>
        <v/>
      </c>
      <c r="B3481" t="str">
        <f t="shared" si="109"/>
        <v/>
      </c>
      <c r="C3481" t="str">
        <f>IF(D3481="","",IF(COUNTIF($D$2:D3481,D3481)&gt;1,"",SUMIFS(tbl_input[필요수량],tbl_input[집계키_청],D3481)))</f>
        <v/>
      </c>
      <c r="D3481" t="str">
        <f>IFERROR(INDEX(tbl_input[집계키_청],ROW()-1),"")</f>
        <v/>
      </c>
    </row>
    <row r="3482" spans="1:4" x14ac:dyDescent="0.4">
      <c r="A3482" t="str">
        <f t="shared" si="108"/>
        <v/>
      </c>
      <c r="B3482" t="str">
        <f t="shared" si="109"/>
        <v/>
      </c>
      <c r="C3482" t="str">
        <f>IF(D3482="","",IF(COUNTIF($D$2:D3482,D3482)&gt;1,"",SUMIFS(tbl_input[필요수량],tbl_input[집계키_청],D3482)))</f>
        <v/>
      </c>
      <c r="D3482" t="str">
        <f>IFERROR(INDEX(tbl_input[집계키_청],ROW()-1),"")</f>
        <v/>
      </c>
    </row>
    <row r="3483" spans="1:4" x14ac:dyDescent="0.4">
      <c r="A3483" t="str">
        <f t="shared" si="108"/>
        <v/>
      </c>
      <c r="B3483" t="str">
        <f t="shared" si="109"/>
        <v/>
      </c>
      <c r="C3483" t="str">
        <f>IF(D3483="","",IF(COUNTIF($D$2:D3483,D3483)&gt;1,"",SUMIFS(tbl_input[필요수량],tbl_input[집계키_청],D3483)))</f>
        <v/>
      </c>
      <c r="D3483" t="str">
        <f>IFERROR(INDEX(tbl_input[집계키_청],ROW()-1),"")</f>
        <v/>
      </c>
    </row>
    <row r="3484" spans="1:4" x14ac:dyDescent="0.4">
      <c r="A3484" t="str">
        <f t="shared" si="108"/>
        <v/>
      </c>
      <c r="B3484" t="str">
        <f t="shared" si="109"/>
        <v/>
      </c>
      <c r="C3484" t="str">
        <f>IF(D3484="","",IF(COUNTIF($D$2:D3484,D3484)&gt;1,"",SUMIFS(tbl_input[필요수량],tbl_input[집계키_청],D3484)))</f>
        <v/>
      </c>
      <c r="D3484" t="str">
        <f>IFERROR(INDEX(tbl_input[집계키_청],ROW()-1),"")</f>
        <v/>
      </c>
    </row>
    <row r="3485" spans="1:4" x14ac:dyDescent="0.4">
      <c r="A3485" t="str">
        <f t="shared" si="108"/>
        <v/>
      </c>
      <c r="B3485" t="str">
        <f t="shared" si="109"/>
        <v/>
      </c>
      <c r="C3485" t="str">
        <f>IF(D3485="","",IF(COUNTIF($D$2:D3485,D3485)&gt;1,"",SUMIFS(tbl_input[필요수량],tbl_input[집계키_청],D3485)))</f>
        <v/>
      </c>
      <c r="D3485" t="str">
        <f>IFERROR(INDEX(tbl_input[집계키_청],ROW()-1),"")</f>
        <v/>
      </c>
    </row>
    <row r="3486" spans="1:4" x14ac:dyDescent="0.4">
      <c r="A3486" t="str">
        <f t="shared" si="108"/>
        <v/>
      </c>
      <c r="B3486" t="str">
        <f t="shared" si="109"/>
        <v/>
      </c>
      <c r="C3486" t="str">
        <f>IF(D3486="","",IF(COUNTIF($D$2:D3486,D3486)&gt;1,"",SUMIFS(tbl_input[필요수량],tbl_input[집계키_청],D3486)))</f>
        <v/>
      </c>
      <c r="D3486" t="str">
        <f>IFERROR(INDEX(tbl_input[집계키_청],ROW()-1),"")</f>
        <v/>
      </c>
    </row>
    <row r="3487" spans="1:4" x14ac:dyDescent="0.4">
      <c r="A3487" t="str">
        <f t="shared" si="108"/>
        <v/>
      </c>
      <c r="B3487" t="str">
        <f t="shared" si="109"/>
        <v/>
      </c>
      <c r="C3487" t="str">
        <f>IF(D3487="","",IF(COUNTIF($D$2:D3487,D3487)&gt;1,"",SUMIFS(tbl_input[필요수량],tbl_input[집계키_청],D3487)))</f>
        <v/>
      </c>
      <c r="D3487" t="str">
        <f>IFERROR(INDEX(tbl_input[집계키_청],ROW()-1),"")</f>
        <v/>
      </c>
    </row>
    <row r="3488" spans="1:4" x14ac:dyDescent="0.4">
      <c r="A3488" t="str">
        <f t="shared" si="108"/>
        <v/>
      </c>
      <c r="B3488" t="str">
        <f t="shared" si="109"/>
        <v/>
      </c>
      <c r="C3488" t="str">
        <f>IF(D3488="","",IF(COUNTIF($D$2:D3488,D3488)&gt;1,"",SUMIFS(tbl_input[필요수량],tbl_input[집계키_청],D3488)))</f>
        <v/>
      </c>
      <c r="D3488" t="str">
        <f>IFERROR(INDEX(tbl_input[집계키_청],ROW()-1),"")</f>
        <v/>
      </c>
    </row>
    <row r="3489" spans="1:4" x14ac:dyDescent="0.4">
      <c r="A3489" t="str">
        <f t="shared" si="108"/>
        <v/>
      </c>
      <c r="B3489" t="str">
        <f t="shared" si="109"/>
        <v/>
      </c>
      <c r="C3489" t="str">
        <f>IF(D3489="","",IF(COUNTIF($D$2:D3489,D3489)&gt;1,"",SUMIFS(tbl_input[필요수량],tbl_input[집계키_청],D3489)))</f>
        <v/>
      </c>
      <c r="D3489" t="str">
        <f>IFERROR(INDEX(tbl_input[집계키_청],ROW()-1),"")</f>
        <v/>
      </c>
    </row>
    <row r="3490" spans="1:4" x14ac:dyDescent="0.4">
      <c r="A3490" t="str">
        <f t="shared" si="108"/>
        <v/>
      </c>
      <c r="B3490" t="str">
        <f t="shared" si="109"/>
        <v/>
      </c>
      <c r="C3490" t="str">
        <f>IF(D3490="","",IF(COUNTIF($D$2:D3490,D3490)&gt;1,"",SUMIFS(tbl_input[필요수량],tbl_input[집계키_청],D3490)))</f>
        <v/>
      </c>
      <c r="D3490" t="str">
        <f>IFERROR(INDEX(tbl_input[집계키_청],ROW()-1),"")</f>
        <v/>
      </c>
    </row>
    <row r="3491" spans="1:4" x14ac:dyDescent="0.4">
      <c r="A3491" t="str">
        <f t="shared" si="108"/>
        <v/>
      </c>
      <c r="B3491" t="str">
        <f t="shared" si="109"/>
        <v/>
      </c>
      <c r="C3491" t="str">
        <f>IF(D3491="","",IF(COUNTIF($D$2:D3491,D3491)&gt;1,"",SUMIFS(tbl_input[필요수량],tbl_input[집계키_청],D3491)))</f>
        <v/>
      </c>
      <c r="D3491" t="str">
        <f>IFERROR(INDEX(tbl_input[집계키_청],ROW()-1),"")</f>
        <v/>
      </c>
    </row>
    <row r="3492" spans="1:4" x14ac:dyDescent="0.4">
      <c r="A3492" t="str">
        <f t="shared" si="108"/>
        <v/>
      </c>
      <c r="B3492" t="str">
        <f t="shared" si="109"/>
        <v/>
      </c>
      <c r="C3492" t="str">
        <f>IF(D3492="","",IF(COUNTIF($D$2:D3492,D3492)&gt;1,"",SUMIFS(tbl_input[필요수량],tbl_input[집계키_청],D3492)))</f>
        <v/>
      </c>
      <c r="D3492" t="str">
        <f>IFERROR(INDEX(tbl_input[집계키_청],ROW()-1),"")</f>
        <v/>
      </c>
    </row>
    <row r="3493" spans="1:4" x14ac:dyDescent="0.4">
      <c r="A3493" t="str">
        <f t="shared" si="108"/>
        <v/>
      </c>
      <c r="B3493" t="str">
        <f t="shared" si="109"/>
        <v/>
      </c>
      <c r="C3493" t="str">
        <f>IF(D3493="","",IF(COUNTIF($D$2:D3493,D3493)&gt;1,"",SUMIFS(tbl_input[필요수량],tbl_input[집계키_청],D3493)))</f>
        <v/>
      </c>
      <c r="D3493" t="str">
        <f>IFERROR(INDEX(tbl_input[집계키_청],ROW()-1),"")</f>
        <v/>
      </c>
    </row>
    <row r="3494" spans="1:4" x14ac:dyDescent="0.4">
      <c r="A3494" t="str">
        <f t="shared" si="108"/>
        <v/>
      </c>
      <c r="B3494" t="str">
        <f t="shared" si="109"/>
        <v/>
      </c>
      <c r="C3494" t="str">
        <f>IF(D3494="","",IF(COUNTIF($D$2:D3494,D3494)&gt;1,"",SUMIFS(tbl_input[필요수량],tbl_input[집계키_청],D3494)))</f>
        <v/>
      </c>
      <c r="D3494" t="str">
        <f>IFERROR(INDEX(tbl_input[집계키_청],ROW()-1),"")</f>
        <v/>
      </c>
    </row>
    <row r="3495" spans="1:4" x14ac:dyDescent="0.4">
      <c r="A3495" t="str">
        <f t="shared" si="108"/>
        <v/>
      </c>
      <c r="B3495" t="str">
        <f t="shared" si="109"/>
        <v/>
      </c>
      <c r="C3495" t="str">
        <f>IF(D3495="","",IF(COUNTIF($D$2:D3495,D3495)&gt;1,"",SUMIFS(tbl_input[필요수량],tbl_input[집계키_청],D3495)))</f>
        <v/>
      </c>
      <c r="D3495" t="str">
        <f>IFERROR(INDEX(tbl_input[집계키_청],ROW()-1),"")</f>
        <v/>
      </c>
    </row>
    <row r="3496" spans="1:4" x14ac:dyDescent="0.4">
      <c r="A3496" t="str">
        <f t="shared" si="108"/>
        <v/>
      </c>
      <c r="B3496" t="str">
        <f t="shared" si="109"/>
        <v/>
      </c>
      <c r="C3496" t="str">
        <f>IF(D3496="","",IF(COUNTIF($D$2:D3496,D3496)&gt;1,"",SUMIFS(tbl_input[필요수량],tbl_input[집계키_청],D3496)))</f>
        <v/>
      </c>
      <c r="D3496" t="str">
        <f>IFERROR(INDEX(tbl_input[집계키_청],ROW()-1),"")</f>
        <v/>
      </c>
    </row>
    <row r="3497" spans="1:4" x14ac:dyDescent="0.4">
      <c r="A3497" t="str">
        <f t="shared" si="108"/>
        <v/>
      </c>
      <c r="B3497" t="str">
        <f t="shared" si="109"/>
        <v/>
      </c>
      <c r="C3497" t="str">
        <f>IF(D3497="","",IF(COUNTIF($D$2:D3497,D3497)&gt;1,"",SUMIFS(tbl_input[필요수량],tbl_input[집계키_청],D3497)))</f>
        <v/>
      </c>
      <c r="D3497" t="str">
        <f>IFERROR(INDEX(tbl_input[집계키_청],ROW()-1),"")</f>
        <v/>
      </c>
    </row>
    <row r="3498" spans="1:4" x14ac:dyDescent="0.4">
      <c r="A3498" t="str">
        <f t="shared" si="108"/>
        <v/>
      </c>
      <c r="B3498" t="str">
        <f t="shared" si="109"/>
        <v/>
      </c>
      <c r="C3498" t="str">
        <f>IF(D3498="","",IF(COUNTIF($D$2:D3498,D3498)&gt;1,"",SUMIFS(tbl_input[필요수량],tbl_input[집계키_청],D3498)))</f>
        <v/>
      </c>
      <c r="D3498" t="str">
        <f>IFERROR(INDEX(tbl_input[집계키_청],ROW()-1),"")</f>
        <v/>
      </c>
    </row>
    <row r="3499" spans="1:4" x14ac:dyDescent="0.4">
      <c r="A3499" t="str">
        <f t="shared" si="108"/>
        <v/>
      </c>
      <c r="B3499" t="str">
        <f t="shared" si="109"/>
        <v/>
      </c>
      <c r="C3499" t="str">
        <f>IF(D3499="","",IF(COUNTIF($D$2:D3499,D3499)&gt;1,"",SUMIFS(tbl_input[필요수량],tbl_input[집계키_청],D3499)))</f>
        <v/>
      </c>
      <c r="D3499" t="str">
        <f>IFERROR(INDEX(tbl_input[집계키_청],ROW()-1),"")</f>
        <v/>
      </c>
    </row>
    <row r="3500" spans="1:4" x14ac:dyDescent="0.4">
      <c r="A3500" t="str">
        <f t="shared" si="108"/>
        <v/>
      </c>
      <c r="B3500" t="str">
        <f t="shared" si="109"/>
        <v/>
      </c>
      <c r="C3500" t="str">
        <f>IF(D3500="","",IF(COUNTIF($D$2:D3500,D3500)&gt;1,"",SUMIFS(tbl_input[필요수량],tbl_input[집계키_청],D3500)))</f>
        <v/>
      </c>
      <c r="D3500" t="str">
        <f>IFERROR(INDEX(tbl_input[집계키_청],ROW()-1),"")</f>
        <v/>
      </c>
    </row>
    <row r="3501" spans="1:4" x14ac:dyDescent="0.4">
      <c r="A3501" t="str">
        <f t="shared" si="108"/>
        <v/>
      </c>
      <c r="B3501" t="str">
        <f t="shared" si="109"/>
        <v/>
      </c>
      <c r="C3501" t="str">
        <f>IF(D3501="","",IF(COUNTIF($D$2:D3501,D3501)&gt;1,"",SUMIFS(tbl_input[필요수량],tbl_input[집계키_청],D3501)))</f>
        <v/>
      </c>
      <c r="D3501" t="str">
        <f>IFERROR(INDEX(tbl_input[집계키_청],ROW()-1),"")</f>
        <v/>
      </c>
    </row>
    <row r="3502" spans="1:4" x14ac:dyDescent="0.4">
      <c r="A3502" t="str">
        <f t="shared" si="108"/>
        <v/>
      </c>
      <c r="B3502" t="str">
        <f t="shared" si="109"/>
        <v/>
      </c>
      <c r="C3502" t="str">
        <f>IF(D3502="","",IF(COUNTIF($D$2:D3502,D3502)&gt;1,"",SUMIFS(tbl_input[필요수량],tbl_input[집계키_청],D3502)))</f>
        <v/>
      </c>
      <c r="D3502" t="str">
        <f>IFERROR(INDEX(tbl_input[집계키_청],ROW()-1),"")</f>
        <v/>
      </c>
    </row>
    <row r="3503" spans="1:4" x14ac:dyDescent="0.4">
      <c r="A3503" t="str">
        <f t="shared" si="108"/>
        <v/>
      </c>
      <c r="B3503" t="str">
        <f t="shared" si="109"/>
        <v/>
      </c>
      <c r="C3503" t="str">
        <f>IF(D3503="","",IF(COUNTIF($D$2:D3503,D3503)&gt;1,"",SUMIFS(tbl_input[필요수량],tbl_input[집계키_청],D3503)))</f>
        <v/>
      </c>
      <c r="D3503" t="str">
        <f>IFERROR(INDEX(tbl_input[집계키_청],ROW()-1),"")</f>
        <v/>
      </c>
    </row>
    <row r="3504" spans="1:4" x14ac:dyDescent="0.4">
      <c r="A3504" t="str">
        <f t="shared" si="108"/>
        <v/>
      </c>
      <c r="B3504" t="str">
        <f t="shared" si="109"/>
        <v/>
      </c>
      <c r="C3504" t="str">
        <f>IF(D3504="","",IF(COUNTIF($D$2:D3504,D3504)&gt;1,"",SUMIFS(tbl_input[필요수량],tbl_input[집계키_청],D3504)))</f>
        <v/>
      </c>
      <c r="D3504" t="str">
        <f>IFERROR(INDEX(tbl_input[집계키_청],ROW()-1),"")</f>
        <v/>
      </c>
    </row>
    <row r="3505" spans="1:4" x14ac:dyDescent="0.4">
      <c r="A3505" t="str">
        <f t="shared" si="108"/>
        <v/>
      </c>
      <c r="B3505" t="str">
        <f t="shared" si="109"/>
        <v/>
      </c>
      <c r="C3505" t="str">
        <f>IF(D3505="","",IF(COUNTIF($D$2:D3505,D3505)&gt;1,"",SUMIFS(tbl_input[필요수량],tbl_input[집계키_청],D3505)))</f>
        <v/>
      </c>
      <c r="D3505" t="str">
        <f>IFERROR(INDEX(tbl_input[집계키_청],ROW()-1),"")</f>
        <v/>
      </c>
    </row>
    <row r="3506" spans="1:4" x14ac:dyDescent="0.4">
      <c r="A3506" t="str">
        <f t="shared" si="108"/>
        <v/>
      </c>
      <c r="B3506" t="str">
        <f t="shared" si="109"/>
        <v/>
      </c>
      <c r="C3506" t="str">
        <f>IF(D3506="","",IF(COUNTIF($D$2:D3506,D3506)&gt;1,"",SUMIFS(tbl_input[필요수량],tbl_input[집계키_청],D3506)))</f>
        <v/>
      </c>
      <c r="D3506" t="str">
        <f>IFERROR(INDEX(tbl_input[집계키_청],ROW()-1),"")</f>
        <v/>
      </c>
    </row>
    <row r="3507" spans="1:4" x14ac:dyDescent="0.4">
      <c r="A3507" t="str">
        <f t="shared" si="108"/>
        <v/>
      </c>
      <c r="B3507" t="str">
        <f t="shared" si="109"/>
        <v/>
      </c>
      <c r="C3507" t="str">
        <f>IF(D3507="","",IF(COUNTIF($D$2:D3507,D3507)&gt;1,"",SUMIFS(tbl_input[필요수량],tbl_input[집계키_청],D3507)))</f>
        <v/>
      </c>
      <c r="D3507" t="str">
        <f>IFERROR(INDEX(tbl_input[집계키_청],ROW()-1),"")</f>
        <v/>
      </c>
    </row>
    <row r="3508" spans="1:4" x14ac:dyDescent="0.4">
      <c r="A3508" t="str">
        <f t="shared" si="108"/>
        <v/>
      </c>
      <c r="B3508" t="str">
        <f t="shared" si="109"/>
        <v/>
      </c>
      <c r="C3508" t="str">
        <f>IF(D3508="","",IF(COUNTIF($D$2:D3508,D3508)&gt;1,"",SUMIFS(tbl_input[필요수량],tbl_input[집계키_청],D3508)))</f>
        <v/>
      </c>
      <c r="D3508" t="str">
        <f>IFERROR(INDEX(tbl_input[집계키_청],ROW()-1),"")</f>
        <v/>
      </c>
    </row>
    <row r="3509" spans="1:4" x14ac:dyDescent="0.4">
      <c r="A3509" t="str">
        <f t="shared" si="108"/>
        <v/>
      </c>
      <c r="B3509" t="str">
        <f t="shared" si="109"/>
        <v/>
      </c>
      <c r="C3509" t="str">
        <f>IF(D3509="","",IF(COUNTIF($D$2:D3509,D3509)&gt;1,"",SUMIFS(tbl_input[필요수량],tbl_input[집계키_청],D3509)))</f>
        <v/>
      </c>
      <c r="D3509" t="str">
        <f>IFERROR(INDEX(tbl_input[집계키_청],ROW()-1),"")</f>
        <v/>
      </c>
    </row>
    <row r="3510" spans="1:4" x14ac:dyDescent="0.4">
      <c r="A3510" t="str">
        <f t="shared" si="108"/>
        <v/>
      </c>
      <c r="B3510" t="str">
        <f t="shared" si="109"/>
        <v/>
      </c>
      <c r="C3510" t="str">
        <f>IF(D3510="","",IF(COUNTIF($D$2:D3510,D3510)&gt;1,"",SUMIFS(tbl_input[필요수량],tbl_input[집계키_청],D3510)))</f>
        <v/>
      </c>
      <c r="D3510" t="str">
        <f>IFERROR(INDEX(tbl_input[집계키_청],ROW()-1),"")</f>
        <v/>
      </c>
    </row>
    <row r="3511" spans="1:4" x14ac:dyDescent="0.4">
      <c r="A3511" t="str">
        <f t="shared" si="108"/>
        <v/>
      </c>
      <c r="B3511" t="str">
        <f t="shared" si="109"/>
        <v/>
      </c>
      <c r="C3511" t="str">
        <f>IF(D3511="","",IF(COUNTIF($D$2:D3511,D3511)&gt;1,"",SUMIFS(tbl_input[필요수량],tbl_input[집계키_청],D3511)))</f>
        <v/>
      </c>
      <c r="D3511" t="str">
        <f>IFERROR(INDEX(tbl_input[집계키_청],ROW()-1),"")</f>
        <v/>
      </c>
    </row>
    <row r="3512" spans="1:4" x14ac:dyDescent="0.4">
      <c r="A3512" t="str">
        <f t="shared" si="108"/>
        <v/>
      </c>
      <c r="B3512" t="str">
        <f t="shared" si="109"/>
        <v/>
      </c>
      <c r="C3512" t="str">
        <f>IF(D3512="","",IF(COUNTIF($D$2:D3512,D3512)&gt;1,"",SUMIFS(tbl_input[필요수량],tbl_input[집계키_청],D3512)))</f>
        <v/>
      </c>
      <c r="D3512" t="str">
        <f>IFERROR(INDEX(tbl_input[집계키_청],ROW()-1),"")</f>
        <v/>
      </c>
    </row>
    <row r="3513" spans="1:4" x14ac:dyDescent="0.4">
      <c r="A3513" t="str">
        <f t="shared" si="108"/>
        <v/>
      </c>
      <c r="B3513" t="str">
        <f t="shared" si="109"/>
        <v/>
      </c>
      <c r="C3513" t="str">
        <f>IF(D3513="","",IF(COUNTIF($D$2:D3513,D3513)&gt;1,"",SUMIFS(tbl_input[필요수량],tbl_input[집계키_청],D3513)))</f>
        <v/>
      </c>
      <c r="D3513" t="str">
        <f>IFERROR(INDEX(tbl_input[집계키_청],ROW()-1),"")</f>
        <v/>
      </c>
    </row>
    <row r="3514" spans="1:4" x14ac:dyDescent="0.4">
      <c r="A3514" t="str">
        <f t="shared" si="108"/>
        <v/>
      </c>
      <c r="B3514" t="str">
        <f t="shared" si="109"/>
        <v/>
      </c>
      <c r="C3514" t="str">
        <f>IF(D3514="","",IF(COUNTIF($D$2:D3514,D3514)&gt;1,"",SUMIFS(tbl_input[필요수량],tbl_input[집계키_청],D3514)))</f>
        <v/>
      </c>
      <c r="D3514" t="str">
        <f>IFERROR(INDEX(tbl_input[집계키_청],ROW()-1),"")</f>
        <v/>
      </c>
    </row>
    <row r="3515" spans="1:4" x14ac:dyDescent="0.4">
      <c r="A3515" t="str">
        <f t="shared" si="108"/>
        <v/>
      </c>
      <c r="B3515" t="str">
        <f t="shared" si="109"/>
        <v/>
      </c>
      <c r="C3515" t="str">
        <f>IF(D3515="","",IF(COUNTIF($D$2:D3515,D3515)&gt;1,"",SUMIFS(tbl_input[필요수량],tbl_input[집계키_청],D3515)))</f>
        <v/>
      </c>
      <c r="D3515" t="str">
        <f>IFERROR(INDEX(tbl_input[집계키_청],ROW()-1),"")</f>
        <v/>
      </c>
    </row>
    <row r="3516" spans="1:4" x14ac:dyDescent="0.4">
      <c r="A3516" t="str">
        <f t="shared" si="108"/>
        <v/>
      </c>
      <c r="B3516" t="str">
        <f t="shared" si="109"/>
        <v/>
      </c>
      <c r="C3516" t="str">
        <f>IF(D3516="","",IF(COUNTIF($D$2:D3516,D3516)&gt;1,"",SUMIFS(tbl_input[필요수량],tbl_input[집계키_청],D3516)))</f>
        <v/>
      </c>
      <c r="D3516" t="str">
        <f>IFERROR(INDEX(tbl_input[집계키_청],ROW()-1),"")</f>
        <v/>
      </c>
    </row>
    <row r="3517" spans="1:4" x14ac:dyDescent="0.4">
      <c r="A3517" t="str">
        <f t="shared" si="108"/>
        <v/>
      </c>
      <c r="B3517" t="str">
        <f t="shared" si="109"/>
        <v/>
      </c>
      <c r="C3517" t="str">
        <f>IF(D3517="","",IF(COUNTIF($D$2:D3517,D3517)&gt;1,"",SUMIFS(tbl_input[필요수량],tbl_input[집계키_청],D3517)))</f>
        <v/>
      </c>
      <c r="D3517" t="str">
        <f>IFERROR(INDEX(tbl_input[집계키_청],ROW()-1),"")</f>
        <v/>
      </c>
    </row>
    <row r="3518" spans="1:4" x14ac:dyDescent="0.4">
      <c r="A3518" t="str">
        <f t="shared" si="108"/>
        <v/>
      </c>
      <c r="B3518" t="str">
        <f t="shared" si="109"/>
        <v/>
      </c>
      <c r="C3518" t="str">
        <f>IF(D3518="","",IF(COUNTIF($D$2:D3518,D3518)&gt;1,"",SUMIFS(tbl_input[필요수량],tbl_input[집계키_청],D3518)))</f>
        <v/>
      </c>
      <c r="D3518" t="str">
        <f>IFERROR(INDEX(tbl_input[집계키_청],ROW()-1),"")</f>
        <v/>
      </c>
    </row>
    <row r="3519" spans="1:4" x14ac:dyDescent="0.4">
      <c r="A3519" t="str">
        <f t="shared" si="108"/>
        <v/>
      </c>
      <c r="B3519" t="str">
        <f t="shared" si="109"/>
        <v/>
      </c>
      <c r="C3519" t="str">
        <f>IF(D3519="","",IF(COUNTIF($D$2:D3519,D3519)&gt;1,"",SUMIFS(tbl_input[필요수량],tbl_input[집계키_청],D3519)))</f>
        <v/>
      </c>
      <c r="D3519" t="str">
        <f>IFERROR(INDEX(tbl_input[집계키_청],ROW()-1),"")</f>
        <v/>
      </c>
    </row>
    <row r="3520" spans="1:4" x14ac:dyDescent="0.4">
      <c r="A3520" t="str">
        <f t="shared" si="108"/>
        <v/>
      </c>
      <c r="B3520" t="str">
        <f t="shared" si="109"/>
        <v/>
      </c>
      <c r="C3520" t="str">
        <f>IF(D3520="","",IF(COUNTIF($D$2:D3520,D3520)&gt;1,"",SUMIFS(tbl_input[필요수량],tbl_input[집계키_청],D3520)))</f>
        <v/>
      </c>
      <c r="D3520" t="str">
        <f>IFERROR(INDEX(tbl_input[집계키_청],ROW()-1),"")</f>
        <v/>
      </c>
    </row>
    <row r="3521" spans="1:4" x14ac:dyDescent="0.4">
      <c r="A3521" t="str">
        <f t="shared" si="108"/>
        <v/>
      </c>
      <c r="B3521" t="str">
        <f t="shared" si="109"/>
        <v/>
      </c>
      <c r="C3521" t="str">
        <f>IF(D3521="","",IF(COUNTIF($D$2:D3521,D3521)&gt;1,"",SUMIFS(tbl_input[필요수량],tbl_input[집계키_청],D3521)))</f>
        <v/>
      </c>
      <c r="D3521" t="str">
        <f>IFERROR(INDEX(tbl_input[집계키_청],ROW()-1),"")</f>
        <v/>
      </c>
    </row>
    <row r="3522" spans="1:4" x14ac:dyDescent="0.4">
      <c r="A3522" t="str">
        <f t="shared" ref="A3522:A3585" si="110">IF(D3522="","",LEFT(D3522,FIND("♦",D3522)-1))</f>
        <v/>
      </c>
      <c r="B3522" t="str">
        <f t="shared" ref="B3522:B3585" si="111">IF(D3522="","",MID(D3522,FIND("♦",D3522)+1,999))</f>
        <v/>
      </c>
      <c r="C3522" t="str">
        <f>IF(D3522="","",IF(COUNTIF($D$2:D3522,D3522)&gt;1,"",SUMIFS(tbl_input[필요수량],tbl_input[집계키_청],D3522)))</f>
        <v/>
      </c>
      <c r="D3522" t="str">
        <f>IFERROR(INDEX(tbl_input[집계키_청],ROW()-1),"")</f>
        <v/>
      </c>
    </row>
    <row r="3523" spans="1:4" x14ac:dyDescent="0.4">
      <c r="A3523" t="str">
        <f t="shared" si="110"/>
        <v/>
      </c>
      <c r="B3523" t="str">
        <f t="shared" si="111"/>
        <v/>
      </c>
      <c r="C3523" t="str">
        <f>IF(D3523="","",IF(COUNTIF($D$2:D3523,D3523)&gt;1,"",SUMIFS(tbl_input[필요수량],tbl_input[집계키_청],D3523)))</f>
        <v/>
      </c>
      <c r="D3523" t="str">
        <f>IFERROR(INDEX(tbl_input[집계키_청],ROW()-1),"")</f>
        <v/>
      </c>
    </row>
    <row r="3524" spans="1:4" x14ac:dyDescent="0.4">
      <c r="A3524" t="str">
        <f t="shared" si="110"/>
        <v/>
      </c>
      <c r="B3524" t="str">
        <f t="shared" si="111"/>
        <v/>
      </c>
      <c r="C3524" t="str">
        <f>IF(D3524="","",IF(COUNTIF($D$2:D3524,D3524)&gt;1,"",SUMIFS(tbl_input[필요수량],tbl_input[집계키_청],D3524)))</f>
        <v/>
      </c>
      <c r="D3524" t="str">
        <f>IFERROR(INDEX(tbl_input[집계키_청],ROW()-1),"")</f>
        <v/>
      </c>
    </row>
    <row r="3525" spans="1:4" x14ac:dyDescent="0.4">
      <c r="A3525" t="str">
        <f t="shared" si="110"/>
        <v/>
      </c>
      <c r="B3525" t="str">
        <f t="shared" si="111"/>
        <v/>
      </c>
      <c r="C3525" t="str">
        <f>IF(D3525="","",IF(COUNTIF($D$2:D3525,D3525)&gt;1,"",SUMIFS(tbl_input[필요수량],tbl_input[집계키_청],D3525)))</f>
        <v/>
      </c>
      <c r="D3525" t="str">
        <f>IFERROR(INDEX(tbl_input[집계키_청],ROW()-1),"")</f>
        <v/>
      </c>
    </row>
    <row r="3526" spans="1:4" x14ac:dyDescent="0.4">
      <c r="A3526" t="str">
        <f t="shared" si="110"/>
        <v/>
      </c>
      <c r="B3526" t="str">
        <f t="shared" si="111"/>
        <v/>
      </c>
      <c r="C3526" t="str">
        <f>IF(D3526="","",IF(COUNTIF($D$2:D3526,D3526)&gt;1,"",SUMIFS(tbl_input[필요수량],tbl_input[집계키_청],D3526)))</f>
        <v/>
      </c>
      <c r="D3526" t="str">
        <f>IFERROR(INDEX(tbl_input[집계키_청],ROW()-1),"")</f>
        <v/>
      </c>
    </row>
    <row r="3527" spans="1:4" x14ac:dyDescent="0.4">
      <c r="A3527" t="str">
        <f t="shared" si="110"/>
        <v/>
      </c>
      <c r="B3527" t="str">
        <f t="shared" si="111"/>
        <v/>
      </c>
      <c r="C3527" t="str">
        <f>IF(D3527="","",IF(COUNTIF($D$2:D3527,D3527)&gt;1,"",SUMIFS(tbl_input[필요수량],tbl_input[집계키_청],D3527)))</f>
        <v/>
      </c>
      <c r="D3527" t="str">
        <f>IFERROR(INDEX(tbl_input[집계키_청],ROW()-1),"")</f>
        <v/>
      </c>
    </row>
    <row r="3528" spans="1:4" x14ac:dyDescent="0.4">
      <c r="A3528" t="str">
        <f t="shared" si="110"/>
        <v/>
      </c>
      <c r="B3528" t="str">
        <f t="shared" si="111"/>
        <v/>
      </c>
      <c r="C3528" t="str">
        <f>IF(D3528="","",IF(COUNTIF($D$2:D3528,D3528)&gt;1,"",SUMIFS(tbl_input[필요수량],tbl_input[집계키_청],D3528)))</f>
        <v/>
      </c>
      <c r="D3528" t="str">
        <f>IFERROR(INDEX(tbl_input[집계키_청],ROW()-1),"")</f>
        <v/>
      </c>
    </row>
    <row r="3529" spans="1:4" x14ac:dyDescent="0.4">
      <c r="A3529" t="str">
        <f t="shared" si="110"/>
        <v/>
      </c>
      <c r="B3529" t="str">
        <f t="shared" si="111"/>
        <v/>
      </c>
      <c r="C3529" t="str">
        <f>IF(D3529="","",IF(COUNTIF($D$2:D3529,D3529)&gt;1,"",SUMIFS(tbl_input[필요수량],tbl_input[집계키_청],D3529)))</f>
        <v/>
      </c>
      <c r="D3529" t="str">
        <f>IFERROR(INDEX(tbl_input[집계키_청],ROW()-1),"")</f>
        <v/>
      </c>
    </row>
    <row r="3530" spans="1:4" x14ac:dyDescent="0.4">
      <c r="A3530" t="str">
        <f t="shared" si="110"/>
        <v/>
      </c>
      <c r="B3530" t="str">
        <f t="shared" si="111"/>
        <v/>
      </c>
      <c r="C3530" t="str">
        <f>IF(D3530="","",IF(COUNTIF($D$2:D3530,D3530)&gt;1,"",SUMIFS(tbl_input[필요수량],tbl_input[집계키_청],D3530)))</f>
        <v/>
      </c>
      <c r="D3530" t="str">
        <f>IFERROR(INDEX(tbl_input[집계키_청],ROW()-1),"")</f>
        <v/>
      </c>
    </row>
    <row r="3531" spans="1:4" x14ac:dyDescent="0.4">
      <c r="A3531" t="str">
        <f t="shared" si="110"/>
        <v/>
      </c>
      <c r="B3531" t="str">
        <f t="shared" si="111"/>
        <v/>
      </c>
      <c r="C3531" t="str">
        <f>IF(D3531="","",IF(COUNTIF($D$2:D3531,D3531)&gt;1,"",SUMIFS(tbl_input[필요수량],tbl_input[집계키_청],D3531)))</f>
        <v/>
      </c>
      <c r="D3531" t="str">
        <f>IFERROR(INDEX(tbl_input[집계키_청],ROW()-1),"")</f>
        <v/>
      </c>
    </row>
    <row r="3532" spans="1:4" x14ac:dyDescent="0.4">
      <c r="A3532" t="str">
        <f t="shared" si="110"/>
        <v/>
      </c>
      <c r="B3532" t="str">
        <f t="shared" si="111"/>
        <v/>
      </c>
      <c r="C3532" t="str">
        <f>IF(D3532="","",IF(COUNTIF($D$2:D3532,D3532)&gt;1,"",SUMIFS(tbl_input[필요수량],tbl_input[집계키_청],D3532)))</f>
        <v/>
      </c>
      <c r="D3532" t="str">
        <f>IFERROR(INDEX(tbl_input[집계키_청],ROW()-1),"")</f>
        <v/>
      </c>
    </row>
    <row r="3533" spans="1:4" x14ac:dyDescent="0.4">
      <c r="A3533" t="str">
        <f t="shared" si="110"/>
        <v/>
      </c>
      <c r="B3533" t="str">
        <f t="shared" si="111"/>
        <v/>
      </c>
      <c r="C3533" t="str">
        <f>IF(D3533="","",IF(COUNTIF($D$2:D3533,D3533)&gt;1,"",SUMIFS(tbl_input[필요수량],tbl_input[집계키_청],D3533)))</f>
        <v/>
      </c>
      <c r="D3533" t="str">
        <f>IFERROR(INDEX(tbl_input[집계키_청],ROW()-1),"")</f>
        <v/>
      </c>
    </row>
    <row r="3534" spans="1:4" x14ac:dyDescent="0.4">
      <c r="A3534" t="str">
        <f t="shared" si="110"/>
        <v/>
      </c>
      <c r="B3534" t="str">
        <f t="shared" si="111"/>
        <v/>
      </c>
      <c r="C3534" t="str">
        <f>IF(D3534="","",IF(COUNTIF($D$2:D3534,D3534)&gt;1,"",SUMIFS(tbl_input[필요수량],tbl_input[집계키_청],D3534)))</f>
        <v/>
      </c>
      <c r="D3534" t="str">
        <f>IFERROR(INDEX(tbl_input[집계키_청],ROW()-1),"")</f>
        <v/>
      </c>
    </row>
    <row r="3535" spans="1:4" x14ac:dyDescent="0.4">
      <c r="A3535" t="str">
        <f t="shared" si="110"/>
        <v/>
      </c>
      <c r="B3535" t="str">
        <f t="shared" si="111"/>
        <v/>
      </c>
      <c r="C3535" t="str">
        <f>IF(D3535="","",IF(COUNTIF($D$2:D3535,D3535)&gt;1,"",SUMIFS(tbl_input[필요수량],tbl_input[집계키_청],D3535)))</f>
        <v/>
      </c>
      <c r="D3535" t="str">
        <f>IFERROR(INDEX(tbl_input[집계키_청],ROW()-1),"")</f>
        <v/>
      </c>
    </row>
    <row r="3536" spans="1:4" x14ac:dyDescent="0.4">
      <c r="A3536" t="str">
        <f t="shared" si="110"/>
        <v/>
      </c>
      <c r="B3536" t="str">
        <f t="shared" si="111"/>
        <v/>
      </c>
      <c r="C3536" t="str">
        <f>IF(D3536="","",IF(COUNTIF($D$2:D3536,D3536)&gt;1,"",SUMIFS(tbl_input[필요수량],tbl_input[집계키_청],D3536)))</f>
        <v/>
      </c>
      <c r="D3536" t="str">
        <f>IFERROR(INDEX(tbl_input[집계키_청],ROW()-1),"")</f>
        <v/>
      </c>
    </row>
    <row r="3537" spans="1:4" x14ac:dyDescent="0.4">
      <c r="A3537" t="str">
        <f t="shared" si="110"/>
        <v/>
      </c>
      <c r="B3537" t="str">
        <f t="shared" si="111"/>
        <v/>
      </c>
      <c r="C3537" t="str">
        <f>IF(D3537="","",IF(COUNTIF($D$2:D3537,D3537)&gt;1,"",SUMIFS(tbl_input[필요수량],tbl_input[집계키_청],D3537)))</f>
        <v/>
      </c>
      <c r="D3537" t="str">
        <f>IFERROR(INDEX(tbl_input[집계키_청],ROW()-1),"")</f>
        <v/>
      </c>
    </row>
    <row r="3538" spans="1:4" x14ac:dyDescent="0.4">
      <c r="A3538" t="str">
        <f t="shared" si="110"/>
        <v/>
      </c>
      <c r="B3538" t="str">
        <f t="shared" si="111"/>
        <v/>
      </c>
      <c r="C3538" t="str">
        <f>IF(D3538="","",IF(COUNTIF($D$2:D3538,D3538)&gt;1,"",SUMIFS(tbl_input[필요수량],tbl_input[집계키_청],D3538)))</f>
        <v/>
      </c>
      <c r="D3538" t="str">
        <f>IFERROR(INDEX(tbl_input[집계키_청],ROW()-1),"")</f>
        <v/>
      </c>
    </row>
    <row r="3539" spans="1:4" x14ac:dyDescent="0.4">
      <c r="A3539" t="str">
        <f t="shared" si="110"/>
        <v/>
      </c>
      <c r="B3539" t="str">
        <f t="shared" si="111"/>
        <v/>
      </c>
      <c r="C3539" t="str">
        <f>IF(D3539="","",IF(COUNTIF($D$2:D3539,D3539)&gt;1,"",SUMIFS(tbl_input[필요수량],tbl_input[집계키_청],D3539)))</f>
        <v/>
      </c>
      <c r="D3539" t="str">
        <f>IFERROR(INDEX(tbl_input[집계키_청],ROW()-1),"")</f>
        <v/>
      </c>
    </row>
    <row r="3540" spans="1:4" x14ac:dyDescent="0.4">
      <c r="A3540" t="str">
        <f t="shared" si="110"/>
        <v/>
      </c>
      <c r="B3540" t="str">
        <f t="shared" si="111"/>
        <v/>
      </c>
      <c r="C3540" t="str">
        <f>IF(D3540="","",IF(COUNTIF($D$2:D3540,D3540)&gt;1,"",SUMIFS(tbl_input[필요수량],tbl_input[집계키_청],D3540)))</f>
        <v/>
      </c>
      <c r="D3540" t="str">
        <f>IFERROR(INDEX(tbl_input[집계키_청],ROW()-1),"")</f>
        <v/>
      </c>
    </row>
    <row r="3541" spans="1:4" x14ac:dyDescent="0.4">
      <c r="A3541" t="str">
        <f t="shared" si="110"/>
        <v/>
      </c>
      <c r="B3541" t="str">
        <f t="shared" si="111"/>
        <v/>
      </c>
      <c r="C3541" t="str">
        <f>IF(D3541="","",IF(COUNTIF($D$2:D3541,D3541)&gt;1,"",SUMIFS(tbl_input[필요수량],tbl_input[집계키_청],D3541)))</f>
        <v/>
      </c>
      <c r="D3541" t="str">
        <f>IFERROR(INDEX(tbl_input[집계키_청],ROW()-1),"")</f>
        <v/>
      </c>
    </row>
    <row r="3542" spans="1:4" x14ac:dyDescent="0.4">
      <c r="A3542" t="str">
        <f t="shared" si="110"/>
        <v/>
      </c>
      <c r="B3542" t="str">
        <f t="shared" si="111"/>
        <v/>
      </c>
      <c r="C3542" t="str">
        <f>IF(D3542="","",IF(COUNTIF($D$2:D3542,D3542)&gt;1,"",SUMIFS(tbl_input[필요수량],tbl_input[집계키_청],D3542)))</f>
        <v/>
      </c>
      <c r="D3542" t="str">
        <f>IFERROR(INDEX(tbl_input[집계키_청],ROW()-1),"")</f>
        <v/>
      </c>
    </row>
    <row r="3543" spans="1:4" x14ac:dyDescent="0.4">
      <c r="A3543" t="str">
        <f t="shared" si="110"/>
        <v/>
      </c>
      <c r="B3543" t="str">
        <f t="shared" si="111"/>
        <v/>
      </c>
      <c r="C3543" t="str">
        <f>IF(D3543="","",IF(COUNTIF($D$2:D3543,D3543)&gt;1,"",SUMIFS(tbl_input[필요수량],tbl_input[집계키_청],D3543)))</f>
        <v/>
      </c>
      <c r="D3543" t="str">
        <f>IFERROR(INDEX(tbl_input[집계키_청],ROW()-1),"")</f>
        <v/>
      </c>
    </row>
    <row r="3544" spans="1:4" x14ac:dyDescent="0.4">
      <c r="A3544" t="str">
        <f t="shared" si="110"/>
        <v/>
      </c>
      <c r="B3544" t="str">
        <f t="shared" si="111"/>
        <v/>
      </c>
      <c r="C3544" t="str">
        <f>IF(D3544="","",IF(COUNTIF($D$2:D3544,D3544)&gt;1,"",SUMIFS(tbl_input[필요수량],tbl_input[집계키_청],D3544)))</f>
        <v/>
      </c>
      <c r="D3544" t="str">
        <f>IFERROR(INDEX(tbl_input[집계키_청],ROW()-1),"")</f>
        <v/>
      </c>
    </row>
    <row r="3545" spans="1:4" x14ac:dyDescent="0.4">
      <c r="A3545" t="str">
        <f t="shared" si="110"/>
        <v/>
      </c>
      <c r="B3545" t="str">
        <f t="shared" si="111"/>
        <v/>
      </c>
      <c r="C3545" t="str">
        <f>IF(D3545="","",IF(COUNTIF($D$2:D3545,D3545)&gt;1,"",SUMIFS(tbl_input[필요수량],tbl_input[집계키_청],D3545)))</f>
        <v/>
      </c>
      <c r="D3545" t="str">
        <f>IFERROR(INDEX(tbl_input[집계키_청],ROW()-1),"")</f>
        <v/>
      </c>
    </row>
    <row r="3546" spans="1:4" x14ac:dyDescent="0.4">
      <c r="A3546" t="str">
        <f t="shared" si="110"/>
        <v/>
      </c>
      <c r="B3546" t="str">
        <f t="shared" si="111"/>
        <v/>
      </c>
      <c r="C3546" t="str">
        <f>IF(D3546="","",IF(COUNTIF($D$2:D3546,D3546)&gt;1,"",SUMIFS(tbl_input[필요수량],tbl_input[집계키_청],D3546)))</f>
        <v/>
      </c>
      <c r="D3546" t="str">
        <f>IFERROR(INDEX(tbl_input[집계키_청],ROW()-1),"")</f>
        <v/>
      </c>
    </row>
    <row r="3547" spans="1:4" x14ac:dyDescent="0.4">
      <c r="A3547" t="str">
        <f t="shared" si="110"/>
        <v/>
      </c>
      <c r="B3547" t="str">
        <f t="shared" si="111"/>
        <v/>
      </c>
      <c r="C3547" t="str">
        <f>IF(D3547="","",IF(COUNTIF($D$2:D3547,D3547)&gt;1,"",SUMIFS(tbl_input[필요수량],tbl_input[집계키_청],D3547)))</f>
        <v/>
      </c>
      <c r="D3547" t="str">
        <f>IFERROR(INDEX(tbl_input[집계키_청],ROW()-1),"")</f>
        <v/>
      </c>
    </row>
    <row r="3548" spans="1:4" x14ac:dyDescent="0.4">
      <c r="A3548" t="str">
        <f t="shared" si="110"/>
        <v/>
      </c>
      <c r="B3548" t="str">
        <f t="shared" si="111"/>
        <v/>
      </c>
      <c r="C3548" t="str">
        <f>IF(D3548="","",IF(COUNTIF($D$2:D3548,D3548)&gt;1,"",SUMIFS(tbl_input[필요수량],tbl_input[집계키_청],D3548)))</f>
        <v/>
      </c>
      <c r="D3548" t="str">
        <f>IFERROR(INDEX(tbl_input[집계키_청],ROW()-1),"")</f>
        <v/>
      </c>
    </row>
    <row r="3549" spans="1:4" x14ac:dyDescent="0.4">
      <c r="A3549" t="str">
        <f t="shared" si="110"/>
        <v/>
      </c>
      <c r="B3549" t="str">
        <f t="shared" si="111"/>
        <v/>
      </c>
      <c r="C3549" t="str">
        <f>IF(D3549="","",IF(COUNTIF($D$2:D3549,D3549)&gt;1,"",SUMIFS(tbl_input[필요수량],tbl_input[집계키_청],D3549)))</f>
        <v/>
      </c>
      <c r="D3549" t="str">
        <f>IFERROR(INDEX(tbl_input[집계키_청],ROW()-1),"")</f>
        <v/>
      </c>
    </row>
    <row r="3550" spans="1:4" x14ac:dyDescent="0.4">
      <c r="A3550" t="str">
        <f t="shared" si="110"/>
        <v/>
      </c>
      <c r="B3550" t="str">
        <f t="shared" si="111"/>
        <v/>
      </c>
      <c r="C3550" t="str">
        <f>IF(D3550="","",IF(COUNTIF($D$2:D3550,D3550)&gt;1,"",SUMIFS(tbl_input[필요수량],tbl_input[집계키_청],D3550)))</f>
        <v/>
      </c>
      <c r="D3550" t="str">
        <f>IFERROR(INDEX(tbl_input[집계키_청],ROW()-1),"")</f>
        <v/>
      </c>
    </row>
    <row r="3551" spans="1:4" x14ac:dyDescent="0.4">
      <c r="A3551" t="str">
        <f t="shared" si="110"/>
        <v/>
      </c>
      <c r="B3551" t="str">
        <f t="shared" si="111"/>
        <v/>
      </c>
      <c r="C3551" t="str">
        <f>IF(D3551="","",IF(COUNTIF($D$2:D3551,D3551)&gt;1,"",SUMIFS(tbl_input[필요수량],tbl_input[집계키_청],D3551)))</f>
        <v/>
      </c>
      <c r="D3551" t="str">
        <f>IFERROR(INDEX(tbl_input[집계키_청],ROW()-1),"")</f>
        <v/>
      </c>
    </row>
    <row r="3552" spans="1:4" x14ac:dyDescent="0.4">
      <c r="A3552" t="str">
        <f t="shared" si="110"/>
        <v/>
      </c>
      <c r="B3552" t="str">
        <f t="shared" si="111"/>
        <v/>
      </c>
      <c r="C3552" t="str">
        <f>IF(D3552="","",IF(COUNTIF($D$2:D3552,D3552)&gt;1,"",SUMIFS(tbl_input[필요수량],tbl_input[집계키_청],D3552)))</f>
        <v/>
      </c>
      <c r="D3552" t="str">
        <f>IFERROR(INDEX(tbl_input[집계키_청],ROW()-1),"")</f>
        <v/>
      </c>
    </row>
    <row r="3553" spans="1:4" x14ac:dyDescent="0.4">
      <c r="A3553" t="str">
        <f t="shared" si="110"/>
        <v/>
      </c>
      <c r="B3553" t="str">
        <f t="shared" si="111"/>
        <v/>
      </c>
      <c r="C3553" t="str">
        <f>IF(D3553="","",IF(COUNTIF($D$2:D3553,D3553)&gt;1,"",SUMIFS(tbl_input[필요수량],tbl_input[집계키_청],D3553)))</f>
        <v/>
      </c>
      <c r="D3553" t="str">
        <f>IFERROR(INDEX(tbl_input[집계키_청],ROW()-1),"")</f>
        <v/>
      </c>
    </row>
    <row r="3554" spans="1:4" x14ac:dyDescent="0.4">
      <c r="A3554" t="str">
        <f t="shared" si="110"/>
        <v/>
      </c>
      <c r="B3554" t="str">
        <f t="shared" si="111"/>
        <v/>
      </c>
      <c r="C3554" t="str">
        <f>IF(D3554="","",IF(COUNTIF($D$2:D3554,D3554)&gt;1,"",SUMIFS(tbl_input[필요수량],tbl_input[집계키_청],D3554)))</f>
        <v/>
      </c>
      <c r="D3554" t="str">
        <f>IFERROR(INDEX(tbl_input[집계키_청],ROW()-1),"")</f>
        <v/>
      </c>
    </row>
    <row r="3555" spans="1:4" x14ac:dyDescent="0.4">
      <c r="A3555" t="str">
        <f t="shared" si="110"/>
        <v/>
      </c>
      <c r="B3555" t="str">
        <f t="shared" si="111"/>
        <v/>
      </c>
      <c r="C3555" t="str">
        <f>IF(D3555="","",IF(COUNTIF($D$2:D3555,D3555)&gt;1,"",SUMIFS(tbl_input[필요수량],tbl_input[집계키_청],D3555)))</f>
        <v/>
      </c>
      <c r="D3555" t="str">
        <f>IFERROR(INDEX(tbl_input[집계키_청],ROW()-1),"")</f>
        <v/>
      </c>
    </row>
    <row r="3556" spans="1:4" x14ac:dyDescent="0.4">
      <c r="A3556" t="str">
        <f t="shared" si="110"/>
        <v/>
      </c>
      <c r="B3556" t="str">
        <f t="shared" si="111"/>
        <v/>
      </c>
      <c r="C3556" t="str">
        <f>IF(D3556="","",IF(COUNTIF($D$2:D3556,D3556)&gt;1,"",SUMIFS(tbl_input[필요수량],tbl_input[집계키_청],D3556)))</f>
        <v/>
      </c>
      <c r="D3556" t="str">
        <f>IFERROR(INDEX(tbl_input[집계키_청],ROW()-1),"")</f>
        <v/>
      </c>
    </row>
    <row r="3557" spans="1:4" x14ac:dyDescent="0.4">
      <c r="A3557" t="str">
        <f t="shared" si="110"/>
        <v/>
      </c>
      <c r="B3557" t="str">
        <f t="shared" si="111"/>
        <v/>
      </c>
      <c r="C3557" t="str">
        <f>IF(D3557="","",IF(COUNTIF($D$2:D3557,D3557)&gt;1,"",SUMIFS(tbl_input[필요수량],tbl_input[집계키_청],D3557)))</f>
        <v/>
      </c>
      <c r="D3557" t="str">
        <f>IFERROR(INDEX(tbl_input[집계키_청],ROW()-1),"")</f>
        <v/>
      </c>
    </row>
    <row r="3558" spans="1:4" x14ac:dyDescent="0.4">
      <c r="A3558" t="str">
        <f t="shared" si="110"/>
        <v/>
      </c>
      <c r="B3558" t="str">
        <f t="shared" si="111"/>
        <v/>
      </c>
      <c r="C3558" t="str">
        <f>IF(D3558="","",IF(COUNTIF($D$2:D3558,D3558)&gt;1,"",SUMIFS(tbl_input[필요수량],tbl_input[집계키_청],D3558)))</f>
        <v/>
      </c>
      <c r="D3558" t="str">
        <f>IFERROR(INDEX(tbl_input[집계키_청],ROW()-1),"")</f>
        <v/>
      </c>
    </row>
    <row r="3559" spans="1:4" x14ac:dyDescent="0.4">
      <c r="A3559" t="str">
        <f t="shared" si="110"/>
        <v/>
      </c>
      <c r="B3559" t="str">
        <f t="shared" si="111"/>
        <v/>
      </c>
      <c r="C3559" t="str">
        <f>IF(D3559="","",IF(COUNTIF($D$2:D3559,D3559)&gt;1,"",SUMIFS(tbl_input[필요수량],tbl_input[집계키_청],D3559)))</f>
        <v/>
      </c>
      <c r="D3559" t="str">
        <f>IFERROR(INDEX(tbl_input[집계키_청],ROW()-1),"")</f>
        <v/>
      </c>
    </row>
    <row r="3560" spans="1:4" x14ac:dyDescent="0.4">
      <c r="A3560" t="str">
        <f t="shared" si="110"/>
        <v/>
      </c>
      <c r="B3560" t="str">
        <f t="shared" si="111"/>
        <v/>
      </c>
      <c r="C3560" t="str">
        <f>IF(D3560="","",IF(COUNTIF($D$2:D3560,D3560)&gt;1,"",SUMIFS(tbl_input[필요수량],tbl_input[집계키_청],D3560)))</f>
        <v/>
      </c>
      <c r="D3560" t="str">
        <f>IFERROR(INDEX(tbl_input[집계키_청],ROW()-1),"")</f>
        <v/>
      </c>
    </row>
    <row r="3561" spans="1:4" x14ac:dyDescent="0.4">
      <c r="A3561" t="str">
        <f t="shared" si="110"/>
        <v/>
      </c>
      <c r="B3561" t="str">
        <f t="shared" si="111"/>
        <v/>
      </c>
      <c r="C3561" t="str">
        <f>IF(D3561="","",IF(COUNTIF($D$2:D3561,D3561)&gt;1,"",SUMIFS(tbl_input[필요수량],tbl_input[집계키_청],D3561)))</f>
        <v/>
      </c>
      <c r="D3561" t="str">
        <f>IFERROR(INDEX(tbl_input[집계키_청],ROW()-1),"")</f>
        <v/>
      </c>
    </row>
    <row r="3562" spans="1:4" x14ac:dyDescent="0.4">
      <c r="A3562" t="str">
        <f t="shared" si="110"/>
        <v/>
      </c>
      <c r="B3562" t="str">
        <f t="shared" si="111"/>
        <v/>
      </c>
      <c r="C3562" t="str">
        <f>IF(D3562="","",IF(COUNTIF($D$2:D3562,D3562)&gt;1,"",SUMIFS(tbl_input[필요수량],tbl_input[집계키_청],D3562)))</f>
        <v/>
      </c>
      <c r="D3562" t="str">
        <f>IFERROR(INDEX(tbl_input[집계키_청],ROW()-1),"")</f>
        <v/>
      </c>
    </row>
    <row r="3563" spans="1:4" x14ac:dyDescent="0.4">
      <c r="A3563" t="str">
        <f t="shared" si="110"/>
        <v/>
      </c>
      <c r="B3563" t="str">
        <f t="shared" si="111"/>
        <v/>
      </c>
      <c r="C3563" t="str">
        <f>IF(D3563="","",IF(COUNTIF($D$2:D3563,D3563)&gt;1,"",SUMIFS(tbl_input[필요수량],tbl_input[집계키_청],D3563)))</f>
        <v/>
      </c>
      <c r="D3563" t="str">
        <f>IFERROR(INDEX(tbl_input[집계키_청],ROW()-1),"")</f>
        <v/>
      </c>
    </row>
    <row r="3564" spans="1:4" x14ac:dyDescent="0.4">
      <c r="A3564" t="str">
        <f t="shared" si="110"/>
        <v/>
      </c>
      <c r="B3564" t="str">
        <f t="shared" si="111"/>
        <v/>
      </c>
      <c r="C3564" t="str">
        <f>IF(D3564="","",IF(COUNTIF($D$2:D3564,D3564)&gt;1,"",SUMIFS(tbl_input[필요수량],tbl_input[집계키_청],D3564)))</f>
        <v/>
      </c>
      <c r="D3564" t="str">
        <f>IFERROR(INDEX(tbl_input[집계키_청],ROW()-1),"")</f>
        <v/>
      </c>
    </row>
    <row r="3565" spans="1:4" x14ac:dyDescent="0.4">
      <c r="A3565" t="str">
        <f t="shared" si="110"/>
        <v/>
      </c>
      <c r="B3565" t="str">
        <f t="shared" si="111"/>
        <v/>
      </c>
      <c r="C3565" t="str">
        <f>IF(D3565="","",IF(COUNTIF($D$2:D3565,D3565)&gt;1,"",SUMIFS(tbl_input[필요수량],tbl_input[집계키_청],D3565)))</f>
        <v/>
      </c>
      <c r="D3565" t="str">
        <f>IFERROR(INDEX(tbl_input[집계키_청],ROW()-1),"")</f>
        <v/>
      </c>
    </row>
    <row r="3566" spans="1:4" x14ac:dyDescent="0.4">
      <c r="A3566" t="str">
        <f t="shared" si="110"/>
        <v/>
      </c>
      <c r="B3566" t="str">
        <f t="shared" si="111"/>
        <v/>
      </c>
      <c r="C3566" t="str">
        <f>IF(D3566="","",IF(COUNTIF($D$2:D3566,D3566)&gt;1,"",SUMIFS(tbl_input[필요수량],tbl_input[집계키_청],D3566)))</f>
        <v/>
      </c>
      <c r="D3566" t="str">
        <f>IFERROR(INDEX(tbl_input[집계키_청],ROW()-1),"")</f>
        <v/>
      </c>
    </row>
    <row r="3567" spans="1:4" x14ac:dyDescent="0.4">
      <c r="A3567" t="str">
        <f t="shared" si="110"/>
        <v/>
      </c>
      <c r="B3567" t="str">
        <f t="shared" si="111"/>
        <v/>
      </c>
      <c r="C3567" t="str">
        <f>IF(D3567="","",IF(COUNTIF($D$2:D3567,D3567)&gt;1,"",SUMIFS(tbl_input[필요수량],tbl_input[집계키_청],D3567)))</f>
        <v/>
      </c>
      <c r="D3567" t="str">
        <f>IFERROR(INDEX(tbl_input[집계키_청],ROW()-1),"")</f>
        <v/>
      </c>
    </row>
    <row r="3568" spans="1:4" x14ac:dyDescent="0.4">
      <c r="A3568" t="str">
        <f t="shared" si="110"/>
        <v/>
      </c>
      <c r="B3568" t="str">
        <f t="shared" si="111"/>
        <v/>
      </c>
      <c r="C3568" t="str">
        <f>IF(D3568="","",IF(COUNTIF($D$2:D3568,D3568)&gt;1,"",SUMIFS(tbl_input[필요수량],tbl_input[집계키_청],D3568)))</f>
        <v/>
      </c>
      <c r="D3568" t="str">
        <f>IFERROR(INDEX(tbl_input[집계키_청],ROW()-1),"")</f>
        <v/>
      </c>
    </row>
    <row r="3569" spans="1:4" x14ac:dyDescent="0.4">
      <c r="A3569" t="str">
        <f t="shared" si="110"/>
        <v/>
      </c>
      <c r="B3569" t="str">
        <f t="shared" si="111"/>
        <v/>
      </c>
      <c r="C3569" t="str">
        <f>IF(D3569="","",IF(COUNTIF($D$2:D3569,D3569)&gt;1,"",SUMIFS(tbl_input[필요수량],tbl_input[집계키_청],D3569)))</f>
        <v/>
      </c>
      <c r="D3569" t="str">
        <f>IFERROR(INDEX(tbl_input[집계키_청],ROW()-1),"")</f>
        <v/>
      </c>
    </row>
    <row r="3570" spans="1:4" x14ac:dyDescent="0.4">
      <c r="A3570" t="str">
        <f t="shared" si="110"/>
        <v/>
      </c>
      <c r="B3570" t="str">
        <f t="shared" si="111"/>
        <v/>
      </c>
      <c r="C3570" t="str">
        <f>IF(D3570="","",IF(COUNTIF($D$2:D3570,D3570)&gt;1,"",SUMIFS(tbl_input[필요수량],tbl_input[집계키_청],D3570)))</f>
        <v/>
      </c>
      <c r="D3570" t="str">
        <f>IFERROR(INDEX(tbl_input[집계키_청],ROW()-1),"")</f>
        <v/>
      </c>
    </row>
    <row r="3571" spans="1:4" x14ac:dyDescent="0.4">
      <c r="A3571" t="str">
        <f t="shared" si="110"/>
        <v/>
      </c>
      <c r="B3571" t="str">
        <f t="shared" si="111"/>
        <v/>
      </c>
      <c r="C3571" t="str">
        <f>IF(D3571="","",IF(COUNTIF($D$2:D3571,D3571)&gt;1,"",SUMIFS(tbl_input[필요수량],tbl_input[집계키_청],D3571)))</f>
        <v/>
      </c>
      <c r="D3571" t="str">
        <f>IFERROR(INDEX(tbl_input[집계키_청],ROW()-1),"")</f>
        <v/>
      </c>
    </row>
    <row r="3572" spans="1:4" x14ac:dyDescent="0.4">
      <c r="A3572" t="str">
        <f t="shared" si="110"/>
        <v/>
      </c>
      <c r="B3572" t="str">
        <f t="shared" si="111"/>
        <v/>
      </c>
      <c r="C3572" t="str">
        <f>IF(D3572="","",IF(COUNTIF($D$2:D3572,D3572)&gt;1,"",SUMIFS(tbl_input[필요수량],tbl_input[집계키_청],D3572)))</f>
        <v/>
      </c>
      <c r="D3572" t="str">
        <f>IFERROR(INDEX(tbl_input[집계키_청],ROW()-1),"")</f>
        <v/>
      </c>
    </row>
    <row r="3573" spans="1:4" x14ac:dyDescent="0.4">
      <c r="A3573" t="str">
        <f t="shared" si="110"/>
        <v/>
      </c>
      <c r="B3573" t="str">
        <f t="shared" si="111"/>
        <v/>
      </c>
      <c r="C3573" t="str">
        <f>IF(D3573="","",IF(COUNTIF($D$2:D3573,D3573)&gt;1,"",SUMIFS(tbl_input[필요수량],tbl_input[집계키_청],D3573)))</f>
        <v/>
      </c>
      <c r="D3573" t="str">
        <f>IFERROR(INDEX(tbl_input[집계키_청],ROW()-1),"")</f>
        <v/>
      </c>
    </row>
    <row r="3574" spans="1:4" x14ac:dyDescent="0.4">
      <c r="A3574" t="str">
        <f t="shared" si="110"/>
        <v/>
      </c>
      <c r="B3574" t="str">
        <f t="shared" si="111"/>
        <v/>
      </c>
      <c r="C3574" t="str">
        <f>IF(D3574="","",IF(COUNTIF($D$2:D3574,D3574)&gt;1,"",SUMIFS(tbl_input[필요수량],tbl_input[집계키_청],D3574)))</f>
        <v/>
      </c>
      <c r="D3574" t="str">
        <f>IFERROR(INDEX(tbl_input[집계키_청],ROW()-1),"")</f>
        <v/>
      </c>
    </row>
    <row r="3575" spans="1:4" x14ac:dyDescent="0.4">
      <c r="A3575" t="str">
        <f t="shared" si="110"/>
        <v/>
      </c>
      <c r="B3575" t="str">
        <f t="shared" si="111"/>
        <v/>
      </c>
      <c r="C3575" t="str">
        <f>IF(D3575="","",IF(COUNTIF($D$2:D3575,D3575)&gt;1,"",SUMIFS(tbl_input[필요수량],tbl_input[집계키_청],D3575)))</f>
        <v/>
      </c>
      <c r="D3575" t="str">
        <f>IFERROR(INDEX(tbl_input[집계키_청],ROW()-1),"")</f>
        <v/>
      </c>
    </row>
    <row r="3576" spans="1:4" x14ac:dyDescent="0.4">
      <c r="A3576" t="str">
        <f t="shared" si="110"/>
        <v/>
      </c>
      <c r="B3576" t="str">
        <f t="shared" si="111"/>
        <v/>
      </c>
      <c r="C3576" t="str">
        <f>IF(D3576="","",IF(COUNTIF($D$2:D3576,D3576)&gt;1,"",SUMIFS(tbl_input[필요수량],tbl_input[집계키_청],D3576)))</f>
        <v/>
      </c>
      <c r="D3576" t="str">
        <f>IFERROR(INDEX(tbl_input[집계키_청],ROW()-1),"")</f>
        <v/>
      </c>
    </row>
    <row r="3577" spans="1:4" x14ac:dyDescent="0.4">
      <c r="A3577" t="str">
        <f t="shared" si="110"/>
        <v/>
      </c>
      <c r="B3577" t="str">
        <f t="shared" si="111"/>
        <v/>
      </c>
      <c r="C3577" t="str">
        <f>IF(D3577="","",IF(COUNTIF($D$2:D3577,D3577)&gt;1,"",SUMIFS(tbl_input[필요수량],tbl_input[집계키_청],D3577)))</f>
        <v/>
      </c>
      <c r="D3577" t="str">
        <f>IFERROR(INDEX(tbl_input[집계키_청],ROW()-1),"")</f>
        <v/>
      </c>
    </row>
    <row r="3578" spans="1:4" x14ac:dyDescent="0.4">
      <c r="A3578" t="str">
        <f t="shared" si="110"/>
        <v/>
      </c>
      <c r="B3578" t="str">
        <f t="shared" si="111"/>
        <v/>
      </c>
      <c r="C3578" t="str">
        <f>IF(D3578="","",IF(COUNTIF($D$2:D3578,D3578)&gt;1,"",SUMIFS(tbl_input[필요수량],tbl_input[집계키_청],D3578)))</f>
        <v/>
      </c>
      <c r="D3578" t="str">
        <f>IFERROR(INDEX(tbl_input[집계키_청],ROW()-1),"")</f>
        <v/>
      </c>
    </row>
    <row r="3579" spans="1:4" x14ac:dyDescent="0.4">
      <c r="A3579" t="str">
        <f t="shared" si="110"/>
        <v/>
      </c>
      <c r="B3579" t="str">
        <f t="shared" si="111"/>
        <v/>
      </c>
      <c r="C3579" t="str">
        <f>IF(D3579="","",IF(COUNTIF($D$2:D3579,D3579)&gt;1,"",SUMIFS(tbl_input[필요수량],tbl_input[집계키_청],D3579)))</f>
        <v/>
      </c>
      <c r="D3579" t="str">
        <f>IFERROR(INDEX(tbl_input[집계키_청],ROW()-1),"")</f>
        <v/>
      </c>
    </row>
    <row r="3580" spans="1:4" x14ac:dyDescent="0.4">
      <c r="A3580" t="str">
        <f t="shared" si="110"/>
        <v/>
      </c>
      <c r="B3580" t="str">
        <f t="shared" si="111"/>
        <v/>
      </c>
      <c r="C3580" t="str">
        <f>IF(D3580="","",IF(COUNTIF($D$2:D3580,D3580)&gt;1,"",SUMIFS(tbl_input[필요수량],tbl_input[집계키_청],D3580)))</f>
        <v/>
      </c>
      <c r="D3580" t="str">
        <f>IFERROR(INDEX(tbl_input[집계키_청],ROW()-1),"")</f>
        <v/>
      </c>
    </row>
    <row r="3581" spans="1:4" x14ac:dyDescent="0.4">
      <c r="A3581" t="str">
        <f t="shared" si="110"/>
        <v/>
      </c>
      <c r="B3581" t="str">
        <f t="shared" si="111"/>
        <v/>
      </c>
      <c r="C3581" t="str">
        <f>IF(D3581="","",IF(COUNTIF($D$2:D3581,D3581)&gt;1,"",SUMIFS(tbl_input[필요수량],tbl_input[집계키_청],D3581)))</f>
        <v/>
      </c>
      <c r="D3581" t="str">
        <f>IFERROR(INDEX(tbl_input[집계키_청],ROW()-1),"")</f>
        <v/>
      </c>
    </row>
    <row r="3582" spans="1:4" x14ac:dyDescent="0.4">
      <c r="A3582" t="str">
        <f t="shared" si="110"/>
        <v/>
      </c>
      <c r="B3582" t="str">
        <f t="shared" si="111"/>
        <v/>
      </c>
      <c r="C3582" t="str">
        <f>IF(D3582="","",IF(COUNTIF($D$2:D3582,D3582)&gt;1,"",SUMIFS(tbl_input[필요수량],tbl_input[집계키_청],D3582)))</f>
        <v/>
      </c>
      <c r="D3582" t="str">
        <f>IFERROR(INDEX(tbl_input[집계키_청],ROW()-1),"")</f>
        <v/>
      </c>
    </row>
    <row r="3583" spans="1:4" x14ac:dyDescent="0.4">
      <c r="A3583" t="str">
        <f t="shared" si="110"/>
        <v/>
      </c>
      <c r="B3583" t="str">
        <f t="shared" si="111"/>
        <v/>
      </c>
      <c r="C3583" t="str">
        <f>IF(D3583="","",IF(COUNTIF($D$2:D3583,D3583)&gt;1,"",SUMIFS(tbl_input[필요수량],tbl_input[집계키_청],D3583)))</f>
        <v/>
      </c>
      <c r="D3583" t="str">
        <f>IFERROR(INDEX(tbl_input[집계키_청],ROW()-1),"")</f>
        <v/>
      </c>
    </row>
    <row r="3584" spans="1:4" x14ac:dyDescent="0.4">
      <c r="A3584" t="str">
        <f t="shared" si="110"/>
        <v/>
      </c>
      <c r="B3584" t="str">
        <f t="shared" si="111"/>
        <v/>
      </c>
      <c r="C3584" t="str">
        <f>IF(D3584="","",IF(COUNTIF($D$2:D3584,D3584)&gt;1,"",SUMIFS(tbl_input[필요수량],tbl_input[집계키_청],D3584)))</f>
        <v/>
      </c>
      <c r="D3584" t="str">
        <f>IFERROR(INDEX(tbl_input[집계키_청],ROW()-1),"")</f>
        <v/>
      </c>
    </row>
    <row r="3585" spans="1:4" x14ac:dyDescent="0.4">
      <c r="A3585" t="str">
        <f t="shared" si="110"/>
        <v/>
      </c>
      <c r="B3585" t="str">
        <f t="shared" si="111"/>
        <v/>
      </c>
      <c r="C3585" t="str">
        <f>IF(D3585="","",IF(COUNTIF($D$2:D3585,D3585)&gt;1,"",SUMIFS(tbl_input[필요수량],tbl_input[집계키_청],D3585)))</f>
        <v/>
      </c>
      <c r="D3585" t="str">
        <f>IFERROR(INDEX(tbl_input[집계키_청],ROW()-1),"")</f>
        <v/>
      </c>
    </row>
    <row r="3586" spans="1:4" x14ac:dyDescent="0.4">
      <c r="A3586" t="str">
        <f t="shared" ref="A3586:A3649" si="112">IF(D3586="","",LEFT(D3586,FIND("♦",D3586)-1))</f>
        <v/>
      </c>
      <c r="B3586" t="str">
        <f t="shared" ref="B3586:B3649" si="113">IF(D3586="","",MID(D3586,FIND("♦",D3586)+1,999))</f>
        <v/>
      </c>
      <c r="C3586" t="str">
        <f>IF(D3586="","",IF(COUNTIF($D$2:D3586,D3586)&gt;1,"",SUMIFS(tbl_input[필요수량],tbl_input[집계키_청],D3586)))</f>
        <v/>
      </c>
      <c r="D3586" t="str">
        <f>IFERROR(INDEX(tbl_input[집계키_청],ROW()-1),"")</f>
        <v/>
      </c>
    </row>
    <row r="3587" spans="1:4" x14ac:dyDescent="0.4">
      <c r="A3587" t="str">
        <f t="shared" si="112"/>
        <v/>
      </c>
      <c r="B3587" t="str">
        <f t="shared" si="113"/>
        <v/>
      </c>
      <c r="C3587" t="str">
        <f>IF(D3587="","",IF(COUNTIF($D$2:D3587,D3587)&gt;1,"",SUMIFS(tbl_input[필요수량],tbl_input[집계키_청],D3587)))</f>
        <v/>
      </c>
      <c r="D3587" t="str">
        <f>IFERROR(INDEX(tbl_input[집계키_청],ROW()-1),"")</f>
        <v/>
      </c>
    </row>
    <row r="3588" spans="1:4" x14ac:dyDescent="0.4">
      <c r="A3588" t="str">
        <f t="shared" si="112"/>
        <v/>
      </c>
      <c r="B3588" t="str">
        <f t="shared" si="113"/>
        <v/>
      </c>
      <c r="C3588" t="str">
        <f>IF(D3588="","",IF(COUNTIF($D$2:D3588,D3588)&gt;1,"",SUMIFS(tbl_input[필요수량],tbl_input[집계키_청],D3588)))</f>
        <v/>
      </c>
      <c r="D3588" t="str">
        <f>IFERROR(INDEX(tbl_input[집계키_청],ROW()-1),"")</f>
        <v/>
      </c>
    </row>
    <row r="3589" spans="1:4" x14ac:dyDescent="0.4">
      <c r="A3589" t="str">
        <f t="shared" si="112"/>
        <v/>
      </c>
      <c r="B3589" t="str">
        <f t="shared" si="113"/>
        <v/>
      </c>
      <c r="C3589" t="str">
        <f>IF(D3589="","",IF(COUNTIF($D$2:D3589,D3589)&gt;1,"",SUMIFS(tbl_input[필요수량],tbl_input[집계키_청],D3589)))</f>
        <v/>
      </c>
      <c r="D3589" t="str">
        <f>IFERROR(INDEX(tbl_input[집계키_청],ROW()-1),"")</f>
        <v/>
      </c>
    </row>
    <row r="3590" spans="1:4" x14ac:dyDescent="0.4">
      <c r="A3590" t="str">
        <f t="shared" si="112"/>
        <v/>
      </c>
      <c r="B3590" t="str">
        <f t="shared" si="113"/>
        <v/>
      </c>
      <c r="C3590" t="str">
        <f>IF(D3590="","",IF(COUNTIF($D$2:D3590,D3590)&gt;1,"",SUMIFS(tbl_input[필요수량],tbl_input[집계키_청],D3590)))</f>
        <v/>
      </c>
      <c r="D3590" t="str">
        <f>IFERROR(INDEX(tbl_input[집계키_청],ROW()-1),"")</f>
        <v/>
      </c>
    </row>
    <row r="3591" spans="1:4" x14ac:dyDescent="0.4">
      <c r="A3591" t="str">
        <f t="shared" si="112"/>
        <v/>
      </c>
      <c r="B3591" t="str">
        <f t="shared" si="113"/>
        <v/>
      </c>
      <c r="C3591" t="str">
        <f>IF(D3591="","",IF(COUNTIF($D$2:D3591,D3591)&gt;1,"",SUMIFS(tbl_input[필요수량],tbl_input[집계키_청],D3591)))</f>
        <v/>
      </c>
      <c r="D3591" t="str">
        <f>IFERROR(INDEX(tbl_input[집계키_청],ROW()-1),"")</f>
        <v/>
      </c>
    </row>
    <row r="3592" spans="1:4" x14ac:dyDescent="0.4">
      <c r="A3592" t="str">
        <f t="shared" si="112"/>
        <v/>
      </c>
      <c r="B3592" t="str">
        <f t="shared" si="113"/>
        <v/>
      </c>
      <c r="C3592" t="str">
        <f>IF(D3592="","",IF(COUNTIF($D$2:D3592,D3592)&gt;1,"",SUMIFS(tbl_input[필요수량],tbl_input[집계키_청],D3592)))</f>
        <v/>
      </c>
      <c r="D3592" t="str">
        <f>IFERROR(INDEX(tbl_input[집계키_청],ROW()-1),"")</f>
        <v/>
      </c>
    </row>
    <row r="3593" spans="1:4" x14ac:dyDescent="0.4">
      <c r="A3593" t="str">
        <f t="shared" si="112"/>
        <v/>
      </c>
      <c r="B3593" t="str">
        <f t="shared" si="113"/>
        <v/>
      </c>
      <c r="C3593" t="str">
        <f>IF(D3593="","",IF(COUNTIF($D$2:D3593,D3593)&gt;1,"",SUMIFS(tbl_input[필요수량],tbl_input[집계키_청],D3593)))</f>
        <v/>
      </c>
      <c r="D3593" t="str">
        <f>IFERROR(INDEX(tbl_input[집계키_청],ROW()-1),"")</f>
        <v/>
      </c>
    </row>
    <row r="3594" spans="1:4" x14ac:dyDescent="0.4">
      <c r="A3594" t="str">
        <f t="shared" si="112"/>
        <v/>
      </c>
      <c r="B3594" t="str">
        <f t="shared" si="113"/>
        <v/>
      </c>
      <c r="C3594" t="str">
        <f>IF(D3594="","",IF(COUNTIF($D$2:D3594,D3594)&gt;1,"",SUMIFS(tbl_input[필요수량],tbl_input[집계키_청],D3594)))</f>
        <v/>
      </c>
      <c r="D3594" t="str">
        <f>IFERROR(INDEX(tbl_input[집계키_청],ROW()-1),"")</f>
        <v/>
      </c>
    </row>
    <row r="3595" spans="1:4" x14ac:dyDescent="0.4">
      <c r="A3595" t="str">
        <f t="shared" si="112"/>
        <v/>
      </c>
      <c r="B3595" t="str">
        <f t="shared" si="113"/>
        <v/>
      </c>
      <c r="C3595" t="str">
        <f>IF(D3595="","",IF(COUNTIF($D$2:D3595,D3595)&gt;1,"",SUMIFS(tbl_input[필요수량],tbl_input[집계키_청],D3595)))</f>
        <v/>
      </c>
      <c r="D3595" t="str">
        <f>IFERROR(INDEX(tbl_input[집계키_청],ROW()-1),"")</f>
        <v/>
      </c>
    </row>
    <row r="3596" spans="1:4" x14ac:dyDescent="0.4">
      <c r="A3596" t="str">
        <f t="shared" si="112"/>
        <v/>
      </c>
      <c r="B3596" t="str">
        <f t="shared" si="113"/>
        <v/>
      </c>
      <c r="C3596" t="str">
        <f>IF(D3596="","",IF(COUNTIF($D$2:D3596,D3596)&gt;1,"",SUMIFS(tbl_input[필요수량],tbl_input[집계키_청],D3596)))</f>
        <v/>
      </c>
      <c r="D3596" t="str">
        <f>IFERROR(INDEX(tbl_input[집계키_청],ROW()-1),"")</f>
        <v/>
      </c>
    </row>
    <row r="3597" spans="1:4" x14ac:dyDescent="0.4">
      <c r="A3597" t="str">
        <f t="shared" si="112"/>
        <v/>
      </c>
      <c r="B3597" t="str">
        <f t="shared" si="113"/>
        <v/>
      </c>
      <c r="C3597" t="str">
        <f>IF(D3597="","",IF(COUNTIF($D$2:D3597,D3597)&gt;1,"",SUMIFS(tbl_input[필요수량],tbl_input[집계키_청],D3597)))</f>
        <v/>
      </c>
      <c r="D3597" t="str">
        <f>IFERROR(INDEX(tbl_input[집계키_청],ROW()-1),"")</f>
        <v/>
      </c>
    </row>
    <row r="3598" spans="1:4" x14ac:dyDescent="0.4">
      <c r="A3598" t="str">
        <f t="shared" si="112"/>
        <v/>
      </c>
      <c r="B3598" t="str">
        <f t="shared" si="113"/>
        <v/>
      </c>
      <c r="C3598" t="str">
        <f>IF(D3598="","",IF(COUNTIF($D$2:D3598,D3598)&gt;1,"",SUMIFS(tbl_input[필요수량],tbl_input[집계키_청],D3598)))</f>
        <v/>
      </c>
      <c r="D3598" t="str">
        <f>IFERROR(INDEX(tbl_input[집계키_청],ROW()-1),"")</f>
        <v/>
      </c>
    </row>
    <row r="3599" spans="1:4" x14ac:dyDescent="0.4">
      <c r="A3599" t="str">
        <f t="shared" si="112"/>
        <v/>
      </c>
      <c r="B3599" t="str">
        <f t="shared" si="113"/>
        <v/>
      </c>
      <c r="C3599" t="str">
        <f>IF(D3599="","",IF(COUNTIF($D$2:D3599,D3599)&gt;1,"",SUMIFS(tbl_input[필요수량],tbl_input[집계키_청],D3599)))</f>
        <v/>
      </c>
      <c r="D3599" t="str">
        <f>IFERROR(INDEX(tbl_input[집계키_청],ROW()-1),"")</f>
        <v/>
      </c>
    </row>
    <row r="3600" spans="1:4" x14ac:dyDescent="0.4">
      <c r="A3600" t="str">
        <f t="shared" si="112"/>
        <v/>
      </c>
      <c r="B3600" t="str">
        <f t="shared" si="113"/>
        <v/>
      </c>
      <c r="C3600" t="str">
        <f>IF(D3600="","",IF(COUNTIF($D$2:D3600,D3600)&gt;1,"",SUMIFS(tbl_input[필요수량],tbl_input[집계키_청],D3600)))</f>
        <v/>
      </c>
      <c r="D3600" t="str">
        <f>IFERROR(INDEX(tbl_input[집계키_청],ROW()-1),"")</f>
        <v/>
      </c>
    </row>
    <row r="3601" spans="1:4" x14ac:dyDescent="0.4">
      <c r="A3601" t="str">
        <f t="shared" si="112"/>
        <v/>
      </c>
      <c r="B3601" t="str">
        <f t="shared" si="113"/>
        <v/>
      </c>
      <c r="C3601" t="str">
        <f>IF(D3601="","",IF(COUNTIF($D$2:D3601,D3601)&gt;1,"",SUMIFS(tbl_input[필요수량],tbl_input[집계키_청],D3601)))</f>
        <v/>
      </c>
      <c r="D3601" t="str">
        <f>IFERROR(INDEX(tbl_input[집계키_청],ROW()-1),"")</f>
        <v/>
      </c>
    </row>
    <row r="3602" spans="1:4" x14ac:dyDescent="0.4">
      <c r="A3602" t="str">
        <f t="shared" si="112"/>
        <v/>
      </c>
      <c r="B3602" t="str">
        <f t="shared" si="113"/>
        <v/>
      </c>
      <c r="C3602" t="str">
        <f>IF(D3602="","",IF(COUNTIF($D$2:D3602,D3602)&gt;1,"",SUMIFS(tbl_input[필요수량],tbl_input[집계키_청],D3602)))</f>
        <v/>
      </c>
      <c r="D3602" t="str">
        <f>IFERROR(INDEX(tbl_input[집계키_청],ROW()-1),"")</f>
        <v/>
      </c>
    </row>
    <row r="3603" spans="1:4" x14ac:dyDescent="0.4">
      <c r="A3603" t="str">
        <f t="shared" si="112"/>
        <v/>
      </c>
      <c r="B3603" t="str">
        <f t="shared" si="113"/>
        <v/>
      </c>
      <c r="C3603" t="str">
        <f>IF(D3603="","",IF(COUNTIF($D$2:D3603,D3603)&gt;1,"",SUMIFS(tbl_input[필요수량],tbl_input[집계키_청],D3603)))</f>
        <v/>
      </c>
      <c r="D3603" t="str">
        <f>IFERROR(INDEX(tbl_input[집계키_청],ROW()-1),"")</f>
        <v/>
      </c>
    </row>
    <row r="3604" spans="1:4" x14ac:dyDescent="0.4">
      <c r="A3604" t="str">
        <f t="shared" si="112"/>
        <v/>
      </c>
      <c r="B3604" t="str">
        <f t="shared" si="113"/>
        <v/>
      </c>
      <c r="C3604" t="str">
        <f>IF(D3604="","",IF(COUNTIF($D$2:D3604,D3604)&gt;1,"",SUMIFS(tbl_input[필요수량],tbl_input[집계키_청],D3604)))</f>
        <v/>
      </c>
      <c r="D3604" t="str">
        <f>IFERROR(INDEX(tbl_input[집계키_청],ROW()-1),"")</f>
        <v/>
      </c>
    </row>
    <row r="3605" spans="1:4" x14ac:dyDescent="0.4">
      <c r="A3605" t="str">
        <f t="shared" si="112"/>
        <v/>
      </c>
      <c r="B3605" t="str">
        <f t="shared" si="113"/>
        <v/>
      </c>
      <c r="C3605" t="str">
        <f>IF(D3605="","",IF(COUNTIF($D$2:D3605,D3605)&gt;1,"",SUMIFS(tbl_input[필요수량],tbl_input[집계키_청],D3605)))</f>
        <v/>
      </c>
      <c r="D3605" t="str">
        <f>IFERROR(INDEX(tbl_input[집계키_청],ROW()-1),"")</f>
        <v/>
      </c>
    </row>
    <row r="3606" spans="1:4" x14ac:dyDescent="0.4">
      <c r="A3606" t="str">
        <f t="shared" si="112"/>
        <v/>
      </c>
      <c r="B3606" t="str">
        <f t="shared" si="113"/>
        <v/>
      </c>
      <c r="C3606" t="str">
        <f>IF(D3606="","",IF(COUNTIF($D$2:D3606,D3606)&gt;1,"",SUMIFS(tbl_input[필요수량],tbl_input[집계키_청],D3606)))</f>
        <v/>
      </c>
      <c r="D3606" t="str">
        <f>IFERROR(INDEX(tbl_input[집계키_청],ROW()-1),"")</f>
        <v/>
      </c>
    </row>
    <row r="3607" spans="1:4" x14ac:dyDescent="0.4">
      <c r="A3607" t="str">
        <f t="shared" si="112"/>
        <v/>
      </c>
      <c r="B3607" t="str">
        <f t="shared" si="113"/>
        <v/>
      </c>
      <c r="C3607" t="str">
        <f>IF(D3607="","",IF(COUNTIF($D$2:D3607,D3607)&gt;1,"",SUMIFS(tbl_input[필요수량],tbl_input[집계키_청],D3607)))</f>
        <v/>
      </c>
      <c r="D3607" t="str">
        <f>IFERROR(INDEX(tbl_input[집계키_청],ROW()-1),"")</f>
        <v/>
      </c>
    </row>
    <row r="3608" spans="1:4" x14ac:dyDescent="0.4">
      <c r="A3608" t="str">
        <f t="shared" si="112"/>
        <v/>
      </c>
      <c r="B3608" t="str">
        <f t="shared" si="113"/>
        <v/>
      </c>
      <c r="C3608" t="str">
        <f>IF(D3608="","",IF(COUNTIF($D$2:D3608,D3608)&gt;1,"",SUMIFS(tbl_input[필요수량],tbl_input[집계키_청],D3608)))</f>
        <v/>
      </c>
      <c r="D3608" t="str">
        <f>IFERROR(INDEX(tbl_input[집계키_청],ROW()-1),"")</f>
        <v/>
      </c>
    </row>
    <row r="3609" spans="1:4" x14ac:dyDescent="0.4">
      <c r="A3609" t="str">
        <f t="shared" si="112"/>
        <v/>
      </c>
      <c r="B3609" t="str">
        <f t="shared" si="113"/>
        <v/>
      </c>
      <c r="C3609" t="str">
        <f>IF(D3609="","",IF(COUNTIF($D$2:D3609,D3609)&gt;1,"",SUMIFS(tbl_input[필요수량],tbl_input[집계키_청],D3609)))</f>
        <v/>
      </c>
      <c r="D3609" t="str">
        <f>IFERROR(INDEX(tbl_input[집계키_청],ROW()-1),"")</f>
        <v/>
      </c>
    </row>
    <row r="3610" spans="1:4" x14ac:dyDescent="0.4">
      <c r="A3610" t="str">
        <f t="shared" si="112"/>
        <v/>
      </c>
      <c r="B3610" t="str">
        <f t="shared" si="113"/>
        <v/>
      </c>
      <c r="C3610" t="str">
        <f>IF(D3610="","",IF(COUNTIF($D$2:D3610,D3610)&gt;1,"",SUMIFS(tbl_input[필요수량],tbl_input[집계키_청],D3610)))</f>
        <v/>
      </c>
      <c r="D3610" t="str">
        <f>IFERROR(INDEX(tbl_input[집계키_청],ROW()-1),"")</f>
        <v/>
      </c>
    </row>
    <row r="3611" spans="1:4" x14ac:dyDescent="0.4">
      <c r="A3611" t="str">
        <f t="shared" si="112"/>
        <v/>
      </c>
      <c r="B3611" t="str">
        <f t="shared" si="113"/>
        <v/>
      </c>
      <c r="C3611" t="str">
        <f>IF(D3611="","",IF(COUNTIF($D$2:D3611,D3611)&gt;1,"",SUMIFS(tbl_input[필요수량],tbl_input[집계키_청],D3611)))</f>
        <v/>
      </c>
      <c r="D3611" t="str">
        <f>IFERROR(INDEX(tbl_input[집계키_청],ROW()-1),"")</f>
        <v/>
      </c>
    </row>
    <row r="3612" spans="1:4" x14ac:dyDescent="0.4">
      <c r="A3612" t="str">
        <f t="shared" si="112"/>
        <v/>
      </c>
      <c r="B3612" t="str">
        <f t="shared" si="113"/>
        <v/>
      </c>
      <c r="C3612" t="str">
        <f>IF(D3612="","",IF(COUNTIF($D$2:D3612,D3612)&gt;1,"",SUMIFS(tbl_input[필요수량],tbl_input[집계키_청],D3612)))</f>
        <v/>
      </c>
      <c r="D3612" t="str">
        <f>IFERROR(INDEX(tbl_input[집계키_청],ROW()-1),"")</f>
        <v/>
      </c>
    </row>
    <row r="3613" spans="1:4" x14ac:dyDescent="0.4">
      <c r="A3613" t="str">
        <f t="shared" si="112"/>
        <v/>
      </c>
      <c r="B3613" t="str">
        <f t="shared" si="113"/>
        <v/>
      </c>
      <c r="C3613" t="str">
        <f>IF(D3613="","",IF(COUNTIF($D$2:D3613,D3613)&gt;1,"",SUMIFS(tbl_input[필요수량],tbl_input[집계키_청],D3613)))</f>
        <v/>
      </c>
      <c r="D3613" t="str">
        <f>IFERROR(INDEX(tbl_input[집계키_청],ROW()-1),"")</f>
        <v/>
      </c>
    </row>
    <row r="3614" spans="1:4" x14ac:dyDescent="0.4">
      <c r="A3614" t="str">
        <f t="shared" si="112"/>
        <v/>
      </c>
      <c r="B3614" t="str">
        <f t="shared" si="113"/>
        <v/>
      </c>
      <c r="C3614" t="str">
        <f>IF(D3614="","",IF(COUNTIF($D$2:D3614,D3614)&gt;1,"",SUMIFS(tbl_input[필요수량],tbl_input[집계키_청],D3614)))</f>
        <v/>
      </c>
      <c r="D3614" t="str">
        <f>IFERROR(INDEX(tbl_input[집계키_청],ROW()-1),"")</f>
        <v/>
      </c>
    </row>
    <row r="3615" spans="1:4" x14ac:dyDescent="0.4">
      <c r="A3615" t="str">
        <f t="shared" si="112"/>
        <v/>
      </c>
      <c r="B3615" t="str">
        <f t="shared" si="113"/>
        <v/>
      </c>
      <c r="C3615" t="str">
        <f>IF(D3615="","",IF(COUNTIF($D$2:D3615,D3615)&gt;1,"",SUMIFS(tbl_input[필요수량],tbl_input[집계키_청],D3615)))</f>
        <v/>
      </c>
      <c r="D3615" t="str">
        <f>IFERROR(INDEX(tbl_input[집계키_청],ROW()-1),"")</f>
        <v/>
      </c>
    </row>
    <row r="3616" spans="1:4" x14ac:dyDescent="0.4">
      <c r="A3616" t="str">
        <f t="shared" si="112"/>
        <v/>
      </c>
      <c r="B3616" t="str">
        <f t="shared" si="113"/>
        <v/>
      </c>
      <c r="C3616" t="str">
        <f>IF(D3616="","",IF(COUNTIF($D$2:D3616,D3616)&gt;1,"",SUMIFS(tbl_input[필요수량],tbl_input[집계키_청],D3616)))</f>
        <v/>
      </c>
      <c r="D3616" t="str">
        <f>IFERROR(INDEX(tbl_input[집계키_청],ROW()-1),"")</f>
        <v/>
      </c>
    </row>
    <row r="3617" spans="1:4" x14ac:dyDescent="0.4">
      <c r="A3617" t="str">
        <f t="shared" si="112"/>
        <v/>
      </c>
      <c r="B3617" t="str">
        <f t="shared" si="113"/>
        <v/>
      </c>
      <c r="C3617" t="str">
        <f>IF(D3617="","",IF(COUNTIF($D$2:D3617,D3617)&gt;1,"",SUMIFS(tbl_input[필요수량],tbl_input[집계키_청],D3617)))</f>
        <v/>
      </c>
      <c r="D3617" t="str">
        <f>IFERROR(INDEX(tbl_input[집계키_청],ROW()-1),"")</f>
        <v/>
      </c>
    </row>
    <row r="3618" spans="1:4" x14ac:dyDescent="0.4">
      <c r="A3618" t="str">
        <f t="shared" si="112"/>
        <v/>
      </c>
      <c r="B3618" t="str">
        <f t="shared" si="113"/>
        <v/>
      </c>
      <c r="C3618" t="str">
        <f>IF(D3618="","",IF(COUNTIF($D$2:D3618,D3618)&gt;1,"",SUMIFS(tbl_input[필요수량],tbl_input[집계키_청],D3618)))</f>
        <v/>
      </c>
      <c r="D3618" t="str">
        <f>IFERROR(INDEX(tbl_input[집계키_청],ROW()-1),"")</f>
        <v/>
      </c>
    </row>
    <row r="3619" spans="1:4" x14ac:dyDescent="0.4">
      <c r="A3619" t="str">
        <f t="shared" si="112"/>
        <v/>
      </c>
      <c r="B3619" t="str">
        <f t="shared" si="113"/>
        <v/>
      </c>
      <c r="C3619" t="str">
        <f>IF(D3619="","",IF(COUNTIF($D$2:D3619,D3619)&gt;1,"",SUMIFS(tbl_input[필요수량],tbl_input[집계키_청],D3619)))</f>
        <v/>
      </c>
      <c r="D3619" t="str">
        <f>IFERROR(INDEX(tbl_input[집계키_청],ROW()-1),"")</f>
        <v/>
      </c>
    </row>
    <row r="3620" spans="1:4" x14ac:dyDescent="0.4">
      <c r="A3620" t="str">
        <f t="shared" si="112"/>
        <v/>
      </c>
      <c r="B3620" t="str">
        <f t="shared" si="113"/>
        <v/>
      </c>
      <c r="C3620" t="str">
        <f>IF(D3620="","",IF(COUNTIF($D$2:D3620,D3620)&gt;1,"",SUMIFS(tbl_input[필요수량],tbl_input[집계키_청],D3620)))</f>
        <v/>
      </c>
      <c r="D3620" t="str">
        <f>IFERROR(INDEX(tbl_input[집계키_청],ROW()-1),"")</f>
        <v/>
      </c>
    </row>
    <row r="3621" spans="1:4" x14ac:dyDescent="0.4">
      <c r="A3621" t="str">
        <f t="shared" si="112"/>
        <v/>
      </c>
      <c r="B3621" t="str">
        <f t="shared" si="113"/>
        <v/>
      </c>
      <c r="C3621" t="str">
        <f>IF(D3621="","",IF(COUNTIF($D$2:D3621,D3621)&gt;1,"",SUMIFS(tbl_input[필요수량],tbl_input[집계키_청],D3621)))</f>
        <v/>
      </c>
      <c r="D3621" t="str">
        <f>IFERROR(INDEX(tbl_input[집계키_청],ROW()-1),"")</f>
        <v/>
      </c>
    </row>
    <row r="3622" spans="1:4" x14ac:dyDescent="0.4">
      <c r="A3622" t="str">
        <f t="shared" si="112"/>
        <v/>
      </c>
      <c r="B3622" t="str">
        <f t="shared" si="113"/>
        <v/>
      </c>
      <c r="C3622" t="str">
        <f>IF(D3622="","",IF(COUNTIF($D$2:D3622,D3622)&gt;1,"",SUMIFS(tbl_input[필요수량],tbl_input[집계키_청],D3622)))</f>
        <v/>
      </c>
      <c r="D3622" t="str">
        <f>IFERROR(INDEX(tbl_input[집계키_청],ROW()-1),"")</f>
        <v/>
      </c>
    </row>
    <row r="3623" spans="1:4" x14ac:dyDescent="0.4">
      <c r="A3623" t="str">
        <f t="shared" si="112"/>
        <v/>
      </c>
      <c r="B3623" t="str">
        <f t="shared" si="113"/>
        <v/>
      </c>
      <c r="C3623" t="str">
        <f>IF(D3623="","",IF(COUNTIF($D$2:D3623,D3623)&gt;1,"",SUMIFS(tbl_input[필요수량],tbl_input[집계키_청],D3623)))</f>
        <v/>
      </c>
      <c r="D3623" t="str">
        <f>IFERROR(INDEX(tbl_input[집계키_청],ROW()-1),"")</f>
        <v/>
      </c>
    </row>
    <row r="3624" spans="1:4" x14ac:dyDescent="0.4">
      <c r="A3624" t="str">
        <f t="shared" si="112"/>
        <v/>
      </c>
      <c r="B3624" t="str">
        <f t="shared" si="113"/>
        <v/>
      </c>
      <c r="C3624" t="str">
        <f>IF(D3624="","",IF(COUNTIF($D$2:D3624,D3624)&gt;1,"",SUMIFS(tbl_input[필요수량],tbl_input[집계키_청],D3624)))</f>
        <v/>
      </c>
      <c r="D3624" t="str">
        <f>IFERROR(INDEX(tbl_input[집계키_청],ROW()-1),"")</f>
        <v/>
      </c>
    </row>
    <row r="3625" spans="1:4" x14ac:dyDescent="0.4">
      <c r="A3625" t="str">
        <f t="shared" si="112"/>
        <v/>
      </c>
      <c r="B3625" t="str">
        <f t="shared" si="113"/>
        <v/>
      </c>
      <c r="C3625" t="str">
        <f>IF(D3625="","",IF(COUNTIF($D$2:D3625,D3625)&gt;1,"",SUMIFS(tbl_input[필요수량],tbl_input[집계키_청],D3625)))</f>
        <v/>
      </c>
      <c r="D3625" t="str">
        <f>IFERROR(INDEX(tbl_input[집계키_청],ROW()-1),"")</f>
        <v/>
      </c>
    </row>
    <row r="3626" spans="1:4" x14ac:dyDescent="0.4">
      <c r="A3626" t="str">
        <f t="shared" si="112"/>
        <v/>
      </c>
      <c r="B3626" t="str">
        <f t="shared" si="113"/>
        <v/>
      </c>
      <c r="C3626" t="str">
        <f>IF(D3626="","",IF(COUNTIF($D$2:D3626,D3626)&gt;1,"",SUMIFS(tbl_input[필요수량],tbl_input[집계키_청],D3626)))</f>
        <v/>
      </c>
      <c r="D3626" t="str">
        <f>IFERROR(INDEX(tbl_input[집계키_청],ROW()-1),"")</f>
        <v/>
      </c>
    </row>
    <row r="3627" spans="1:4" x14ac:dyDescent="0.4">
      <c r="A3627" t="str">
        <f t="shared" si="112"/>
        <v/>
      </c>
      <c r="B3627" t="str">
        <f t="shared" si="113"/>
        <v/>
      </c>
      <c r="C3627" t="str">
        <f>IF(D3627="","",IF(COUNTIF($D$2:D3627,D3627)&gt;1,"",SUMIFS(tbl_input[필요수량],tbl_input[집계키_청],D3627)))</f>
        <v/>
      </c>
      <c r="D3627" t="str">
        <f>IFERROR(INDEX(tbl_input[집계키_청],ROW()-1),"")</f>
        <v/>
      </c>
    </row>
    <row r="3628" spans="1:4" x14ac:dyDescent="0.4">
      <c r="A3628" t="str">
        <f t="shared" si="112"/>
        <v/>
      </c>
      <c r="B3628" t="str">
        <f t="shared" si="113"/>
        <v/>
      </c>
      <c r="C3628" t="str">
        <f>IF(D3628="","",IF(COUNTIF($D$2:D3628,D3628)&gt;1,"",SUMIFS(tbl_input[필요수량],tbl_input[집계키_청],D3628)))</f>
        <v/>
      </c>
      <c r="D3628" t="str">
        <f>IFERROR(INDEX(tbl_input[집계키_청],ROW()-1),"")</f>
        <v/>
      </c>
    </row>
    <row r="3629" spans="1:4" x14ac:dyDescent="0.4">
      <c r="A3629" t="str">
        <f t="shared" si="112"/>
        <v/>
      </c>
      <c r="B3629" t="str">
        <f t="shared" si="113"/>
        <v/>
      </c>
      <c r="C3629" t="str">
        <f>IF(D3629="","",IF(COUNTIF($D$2:D3629,D3629)&gt;1,"",SUMIFS(tbl_input[필요수량],tbl_input[집계키_청],D3629)))</f>
        <v/>
      </c>
      <c r="D3629" t="str">
        <f>IFERROR(INDEX(tbl_input[집계키_청],ROW()-1),"")</f>
        <v/>
      </c>
    </row>
    <row r="3630" spans="1:4" x14ac:dyDescent="0.4">
      <c r="A3630" t="str">
        <f t="shared" si="112"/>
        <v/>
      </c>
      <c r="B3630" t="str">
        <f t="shared" si="113"/>
        <v/>
      </c>
      <c r="C3630" t="str">
        <f>IF(D3630="","",IF(COUNTIF($D$2:D3630,D3630)&gt;1,"",SUMIFS(tbl_input[필요수량],tbl_input[집계키_청],D3630)))</f>
        <v/>
      </c>
      <c r="D3630" t="str">
        <f>IFERROR(INDEX(tbl_input[집계키_청],ROW()-1),"")</f>
        <v/>
      </c>
    </row>
    <row r="3631" spans="1:4" x14ac:dyDescent="0.4">
      <c r="A3631" t="str">
        <f t="shared" si="112"/>
        <v/>
      </c>
      <c r="B3631" t="str">
        <f t="shared" si="113"/>
        <v/>
      </c>
      <c r="C3631" t="str">
        <f>IF(D3631="","",IF(COUNTIF($D$2:D3631,D3631)&gt;1,"",SUMIFS(tbl_input[필요수량],tbl_input[집계키_청],D3631)))</f>
        <v/>
      </c>
      <c r="D3631" t="str">
        <f>IFERROR(INDEX(tbl_input[집계키_청],ROW()-1),"")</f>
        <v/>
      </c>
    </row>
    <row r="3632" spans="1:4" x14ac:dyDescent="0.4">
      <c r="A3632" t="str">
        <f t="shared" si="112"/>
        <v/>
      </c>
      <c r="B3632" t="str">
        <f t="shared" si="113"/>
        <v/>
      </c>
      <c r="C3632" t="str">
        <f>IF(D3632="","",IF(COUNTIF($D$2:D3632,D3632)&gt;1,"",SUMIFS(tbl_input[필요수량],tbl_input[집계키_청],D3632)))</f>
        <v/>
      </c>
      <c r="D3632" t="str">
        <f>IFERROR(INDEX(tbl_input[집계키_청],ROW()-1),"")</f>
        <v/>
      </c>
    </row>
    <row r="3633" spans="1:4" x14ac:dyDescent="0.4">
      <c r="A3633" t="str">
        <f t="shared" si="112"/>
        <v/>
      </c>
      <c r="B3633" t="str">
        <f t="shared" si="113"/>
        <v/>
      </c>
      <c r="C3633" t="str">
        <f>IF(D3633="","",IF(COUNTIF($D$2:D3633,D3633)&gt;1,"",SUMIFS(tbl_input[필요수량],tbl_input[집계키_청],D3633)))</f>
        <v/>
      </c>
      <c r="D3633" t="str">
        <f>IFERROR(INDEX(tbl_input[집계키_청],ROW()-1),"")</f>
        <v/>
      </c>
    </row>
    <row r="3634" spans="1:4" x14ac:dyDescent="0.4">
      <c r="A3634" t="str">
        <f t="shared" si="112"/>
        <v/>
      </c>
      <c r="B3634" t="str">
        <f t="shared" si="113"/>
        <v/>
      </c>
      <c r="C3634" t="str">
        <f>IF(D3634="","",IF(COUNTIF($D$2:D3634,D3634)&gt;1,"",SUMIFS(tbl_input[필요수량],tbl_input[집계키_청],D3634)))</f>
        <v/>
      </c>
      <c r="D3634" t="str">
        <f>IFERROR(INDEX(tbl_input[집계키_청],ROW()-1),"")</f>
        <v/>
      </c>
    </row>
    <row r="3635" spans="1:4" x14ac:dyDescent="0.4">
      <c r="A3635" t="str">
        <f t="shared" si="112"/>
        <v/>
      </c>
      <c r="B3635" t="str">
        <f t="shared" si="113"/>
        <v/>
      </c>
      <c r="C3635" t="str">
        <f>IF(D3635="","",IF(COUNTIF($D$2:D3635,D3635)&gt;1,"",SUMIFS(tbl_input[필요수량],tbl_input[집계키_청],D3635)))</f>
        <v/>
      </c>
      <c r="D3635" t="str">
        <f>IFERROR(INDEX(tbl_input[집계키_청],ROW()-1),"")</f>
        <v/>
      </c>
    </row>
    <row r="3636" spans="1:4" x14ac:dyDescent="0.4">
      <c r="A3636" t="str">
        <f t="shared" si="112"/>
        <v/>
      </c>
      <c r="B3636" t="str">
        <f t="shared" si="113"/>
        <v/>
      </c>
      <c r="C3636" t="str">
        <f>IF(D3636="","",IF(COUNTIF($D$2:D3636,D3636)&gt;1,"",SUMIFS(tbl_input[필요수량],tbl_input[집계키_청],D3636)))</f>
        <v/>
      </c>
      <c r="D3636" t="str">
        <f>IFERROR(INDEX(tbl_input[집계키_청],ROW()-1),"")</f>
        <v/>
      </c>
    </row>
    <row r="3637" spans="1:4" x14ac:dyDescent="0.4">
      <c r="A3637" t="str">
        <f t="shared" si="112"/>
        <v/>
      </c>
      <c r="B3637" t="str">
        <f t="shared" si="113"/>
        <v/>
      </c>
      <c r="C3637" t="str">
        <f>IF(D3637="","",IF(COUNTIF($D$2:D3637,D3637)&gt;1,"",SUMIFS(tbl_input[필요수량],tbl_input[집계키_청],D3637)))</f>
        <v/>
      </c>
      <c r="D3637" t="str">
        <f>IFERROR(INDEX(tbl_input[집계키_청],ROW()-1),"")</f>
        <v/>
      </c>
    </row>
    <row r="3638" spans="1:4" x14ac:dyDescent="0.4">
      <c r="A3638" t="str">
        <f t="shared" si="112"/>
        <v/>
      </c>
      <c r="B3638" t="str">
        <f t="shared" si="113"/>
        <v/>
      </c>
      <c r="C3638" t="str">
        <f>IF(D3638="","",IF(COUNTIF($D$2:D3638,D3638)&gt;1,"",SUMIFS(tbl_input[필요수량],tbl_input[집계키_청],D3638)))</f>
        <v/>
      </c>
      <c r="D3638" t="str">
        <f>IFERROR(INDEX(tbl_input[집계키_청],ROW()-1),"")</f>
        <v/>
      </c>
    </row>
    <row r="3639" spans="1:4" x14ac:dyDescent="0.4">
      <c r="A3639" t="str">
        <f t="shared" si="112"/>
        <v/>
      </c>
      <c r="B3639" t="str">
        <f t="shared" si="113"/>
        <v/>
      </c>
      <c r="C3639" t="str">
        <f>IF(D3639="","",IF(COUNTIF($D$2:D3639,D3639)&gt;1,"",SUMIFS(tbl_input[필요수량],tbl_input[집계키_청],D3639)))</f>
        <v/>
      </c>
      <c r="D3639" t="str">
        <f>IFERROR(INDEX(tbl_input[집계키_청],ROW()-1),"")</f>
        <v/>
      </c>
    </row>
    <row r="3640" spans="1:4" x14ac:dyDescent="0.4">
      <c r="A3640" t="str">
        <f t="shared" si="112"/>
        <v/>
      </c>
      <c r="B3640" t="str">
        <f t="shared" si="113"/>
        <v/>
      </c>
      <c r="C3640" t="str">
        <f>IF(D3640="","",IF(COUNTIF($D$2:D3640,D3640)&gt;1,"",SUMIFS(tbl_input[필요수량],tbl_input[집계키_청],D3640)))</f>
        <v/>
      </c>
      <c r="D3640" t="str">
        <f>IFERROR(INDEX(tbl_input[집계키_청],ROW()-1),"")</f>
        <v/>
      </c>
    </row>
    <row r="3641" spans="1:4" x14ac:dyDescent="0.4">
      <c r="A3641" t="str">
        <f t="shared" si="112"/>
        <v/>
      </c>
      <c r="B3641" t="str">
        <f t="shared" si="113"/>
        <v/>
      </c>
      <c r="C3641" t="str">
        <f>IF(D3641="","",IF(COUNTIF($D$2:D3641,D3641)&gt;1,"",SUMIFS(tbl_input[필요수량],tbl_input[집계키_청],D3641)))</f>
        <v/>
      </c>
      <c r="D3641" t="str">
        <f>IFERROR(INDEX(tbl_input[집계키_청],ROW()-1),"")</f>
        <v/>
      </c>
    </row>
    <row r="3642" spans="1:4" x14ac:dyDescent="0.4">
      <c r="A3642" t="str">
        <f t="shared" si="112"/>
        <v/>
      </c>
      <c r="B3642" t="str">
        <f t="shared" si="113"/>
        <v/>
      </c>
      <c r="C3642" t="str">
        <f>IF(D3642="","",IF(COUNTIF($D$2:D3642,D3642)&gt;1,"",SUMIFS(tbl_input[필요수량],tbl_input[집계키_청],D3642)))</f>
        <v/>
      </c>
      <c r="D3642" t="str">
        <f>IFERROR(INDEX(tbl_input[집계키_청],ROW()-1),"")</f>
        <v/>
      </c>
    </row>
    <row r="3643" spans="1:4" x14ac:dyDescent="0.4">
      <c r="A3643" t="str">
        <f t="shared" si="112"/>
        <v/>
      </c>
      <c r="B3643" t="str">
        <f t="shared" si="113"/>
        <v/>
      </c>
      <c r="C3643" t="str">
        <f>IF(D3643="","",IF(COUNTIF($D$2:D3643,D3643)&gt;1,"",SUMIFS(tbl_input[필요수량],tbl_input[집계키_청],D3643)))</f>
        <v/>
      </c>
      <c r="D3643" t="str">
        <f>IFERROR(INDEX(tbl_input[집계키_청],ROW()-1),"")</f>
        <v/>
      </c>
    </row>
    <row r="3644" spans="1:4" x14ac:dyDescent="0.4">
      <c r="A3644" t="str">
        <f t="shared" si="112"/>
        <v/>
      </c>
      <c r="B3644" t="str">
        <f t="shared" si="113"/>
        <v/>
      </c>
      <c r="C3644" t="str">
        <f>IF(D3644="","",IF(COUNTIF($D$2:D3644,D3644)&gt;1,"",SUMIFS(tbl_input[필요수량],tbl_input[집계키_청],D3644)))</f>
        <v/>
      </c>
      <c r="D3644" t="str">
        <f>IFERROR(INDEX(tbl_input[집계키_청],ROW()-1),"")</f>
        <v/>
      </c>
    </row>
    <row r="3645" spans="1:4" x14ac:dyDescent="0.4">
      <c r="A3645" t="str">
        <f t="shared" si="112"/>
        <v/>
      </c>
      <c r="B3645" t="str">
        <f t="shared" si="113"/>
        <v/>
      </c>
      <c r="C3645" t="str">
        <f>IF(D3645="","",IF(COUNTIF($D$2:D3645,D3645)&gt;1,"",SUMIFS(tbl_input[필요수량],tbl_input[집계키_청],D3645)))</f>
        <v/>
      </c>
      <c r="D3645" t="str">
        <f>IFERROR(INDEX(tbl_input[집계키_청],ROW()-1),"")</f>
        <v/>
      </c>
    </row>
    <row r="3646" spans="1:4" x14ac:dyDescent="0.4">
      <c r="A3646" t="str">
        <f t="shared" si="112"/>
        <v/>
      </c>
      <c r="B3646" t="str">
        <f t="shared" si="113"/>
        <v/>
      </c>
      <c r="C3646" t="str">
        <f>IF(D3646="","",IF(COUNTIF($D$2:D3646,D3646)&gt;1,"",SUMIFS(tbl_input[필요수량],tbl_input[집계키_청],D3646)))</f>
        <v/>
      </c>
      <c r="D3646" t="str">
        <f>IFERROR(INDEX(tbl_input[집계키_청],ROW()-1),"")</f>
        <v/>
      </c>
    </row>
    <row r="3647" spans="1:4" x14ac:dyDescent="0.4">
      <c r="A3647" t="str">
        <f t="shared" si="112"/>
        <v/>
      </c>
      <c r="B3647" t="str">
        <f t="shared" si="113"/>
        <v/>
      </c>
      <c r="C3647" t="str">
        <f>IF(D3647="","",IF(COUNTIF($D$2:D3647,D3647)&gt;1,"",SUMIFS(tbl_input[필요수량],tbl_input[집계키_청],D3647)))</f>
        <v/>
      </c>
      <c r="D3647" t="str">
        <f>IFERROR(INDEX(tbl_input[집계키_청],ROW()-1),"")</f>
        <v/>
      </c>
    </row>
    <row r="3648" spans="1:4" x14ac:dyDescent="0.4">
      <c r="A3648" t="str">
        <f t="shared" si="112"/>
        <v/>
      </c>
      <c r="B3648" t="str">
        <f t="shared" si="113"/>
        <v/>
      </c>
      <c r="C3648" t="str">
        <f>IF(D3648="","",IF(COUNTIF($D$2:D3648,D3648)&gt;1,"",SUMIFS(tbl_input[필요수량],tbl_input[집계키_청],D3648)))</f>
        <v/>
      </c>
      <c r="D3648" t="str">
        <f>IFERROR(INDEX(tbl_input[집계키_청],ROW()-1),"")</f>
        <v/>
      </c>
    </row>
    <row r="3649" spans="1:4" x14ac:dyDescent="0.4">
      <c r="A3649" t="str">
        <f t="shared" si="112"/>
        <v/>
      </c>
      <c r="B3649" t="str">
        <f t="shared" si="113"/>
        <v/>
      </c>
      <c r="C3649" t="str">
        <f>IF(D3649="","",IF(COUNTIF($D$2:D3649,D3649)&gt;1,"",SUMIFS(tbl_input[필요수량],tbl_input[집계키_청],D3649)))</f>
        <v/>
      </c>
      <c r="D3649" t="str">
        <f>IFERROR(INDEX(tbl_input[집계키_청],ROW()-1),"")</f>
        <v/>
      </c>
    </row>
    <row r="3650" spans="1:4" x14ac:dyDescent="0.4">
      <c r="A3650" t="str">
        <f t="shared" ref="A3650:A3713" si="114">IF(D3650="","",LEFT(D3650,FIND("♦",D3650)-1))</f>
        <v/>
      </c>
      <c r="B3650" t="str">
        <f t="shared" ref="B3650:B3713" si="115">IF(D3650="","",MID(D3650,FIND("♦",D3650)+1,999))</f>
        <v/>
      </c>
      <c r="C3650" t="str">
        <f>IF(D3650="","",IF(COUNTIF($D$2:D3650,D3650)&gt;1,"",SUMIFS(tbl_input[필요수량],tbl_input[집계키_청],D3650)))</f>
        <v/>
      </c>
      <c r="D3650" t="str">
        <f>IFERROR(INDEX(tbl_input[집계키_청],ROW()-1),"")</f>
        <v/>
      </c>
    </row>
    <row r="3651" spans="1:4" x14ac:dyDescent="0.4">
      <c r="A3651" t="str">
        <f t="shared" si="114"/>
        <v/>
      </c>
      <c r="B3651" t="str">
        <f t="shared" si="115"/>
        <v/>
      </c>
      <c r="C3651" t="str">
        <f>IF(D3651="","",IF(COUNTIF($D$2:D3651,D3651)&gt;1,"",SUMIFS(tbl_input[필요수량],tbl_input[집계키_청],D3651)))</f>
        <v/>
      </c>
      <c r="D3651" t="str">
        <f>IFERROR(INDEX(tbl_input[집계키_청],ROW()-1),"")</f>
        <v/>
      </c>
    </row>
    <row r="3652" spans="1:4" x14ac:dyDescent="0.4">
      <c r="A3652" t="str">
        <f t="shared" si="114"/>
        <v/>
      </c>
      <c r="B3652" t="str">
        <f t="shared" si="115"/>
        <v/>
      </c>
      <c r="C3652" t="str">
        <f>IF(D3652="","",IF(COUNTIF($D$2:D3652,D3652)&gt;1,"",SUMIFS(tbl_input[필요수량],tbl_input[집계키_청],D3652)))</f>
        <v/>
      </c>
      <c r="D3652" t="str">
        <f>IFERROR(INDEX(tbl_input[집계키_청],ROW()-1),"")</f>
        <v/>
      </c>
    </row>
    <row r="3653" spans="1:4" x14ac:dyDescent="0.4">
      <c r="A3653" t="str">
        <f t="shared" si="114"/>
        <v/>
      </c>
      <c r="B3653" t="str">
        <f t="shared" si="115"/>
        <v/>
      </c>
      <c r="C3653" t="str">
        <f>IF(D3653="","",IF(COUNTIF($D$2:D3653,D3653)&gt;1,"",SUMIFS(tbl_input[필요수량],tbl_input[집계키_청],D3653)))</f>
        <v/>
      </c>
      <c r="D3653" t="str">
        <f>IFERROR(INDEX(tbl_input[집계키_청],ROW()-1),"")</f>
        <v/>
      </c>
    </row>
    <row r="3654" spans="1:4" x14ac:dyDescent="0.4">
      <c r="A3654" t="str">
        <f t="shared" si="114"/>
        <v/>
      </c>
      <c r="B3654" t="str">
        <f t="shared" si="115"/>
        <v/>
      </c>
      <c r="C3654" t="str">
        <f>IF(D3654="","",IF(COUNTIF($D$2:D3654,D3654)&gt;1,"",SUMIFS(tbl_input[필요수량],tbl_input[집계키_청],D3654)))</f>
        <v/>
      </c>
      <c r="D3654" t="str">
        <f>IFERROR(INDEX(tbl_input[집계키_청],ROW()-1),"")</f>
        <v/>
      </c>
    </row>
    <row r="3655" spans="1:4" x14ac:dyDescent="0.4">
      <c r="A3655" t="str">
        <f t="shared" si="114"/>
        <v/>
      </c>
      <c r="B3655" t="str">
        <f t="shared" si="115"/>
        <v/>
      </c>
      <c r="C3655" t="str">
        <f>IF(D3655="","",IF(COUNTIF($D$2:D3655,D3655)&gt;1,"",SUMIFS(tbl_input[필요수량],tbl_input[집계키_청],D3655)))</f>
        <v/>
      </c>
      <c r="D3655" t="str">
        <f>IFERROR(INDEX(tbl_input[집계키_청],ROW()-1),"")</f>
        <v/>
      </c>
    </row>
    <row r="3656" spans="1:4" x14ac:dyDescent="0.4">
      <c r="A3656" t="str">
        <f t="shared" si="114"/>
        <v/>
      </c>
      <c r="B3656" t="str">
        <f t="shared" si="115"/>
        <v/>
      </c>
      <c r="C3656" t="str">
        <f>IF(D3656="","",IF(COUNTIF($D$2:D3656,D3656)&gt;1,"",SUMIFS(tbl_input[필요수량],tbl_input[집계키_청],D3656)))</f>
        <v/>
      </c>
      <c r="D3656" t="str">
        <f>IFERROR(INDEX(tbl_input[집계키_청],ROW()-1),"")</f>
        <v/>
      </c>
    </row>
    <row r="3657" spans="1:4" x14ac:dyDescent="0.4">
      <c r="A3657" t="str">
        <f t="shared" si="114"/>
        <v/>
      </c>
      <c r="B3657" t="str">
        <f t="shared" si="115"/>
        <v/>
      </c>
      <c r="C3657" t="str">
        <f>IF(D3657="","",IF(COUNTIF($D$2:D3657,D3657)&gt;1,"",SUMIFS(tbl_input[필요수량],tbl_input[집계키_청],D3657)))</f>
        <v/>
      </c>
      <c r="D3657" t="str">
        <f>IFERROR(INDEX(tbl_input[집계키_청],ROW()-1),"")</f>
        <v/>
      </c>
    </row>
    <row r="3658" spans="1:4" x14ac:dyDescent="0.4">
      <c r="A3658" t="str">
        <f t="shared" si="114"/>
        <v/>
      </c>
      <c r="B3658" t="str">
        <f t="shared" si="115"/>
        <v/>
      </c>
      <c r="C3658" t="str">
        <f>IF(D3658="","",IF(COUNTIF($D$2:D3658,D3658)&gt;1,"",SUMIFS(tbl_input[필요수량],tbl_input[집계키_청],D3658)))</f>
        <v/>
      </c>
      <c r="D3658" t="str">
        <f>IFERROR(INDEX(tbl_input[집계키_청],ROW()-1),"")</f>
        <v/>
      </c>
    </row>
    <row r="3659" spans="1:4" x14ac:dyDescent="0.4">
      <c r="A3659" t="str">
        <f t="shared" si="114"/>
        <v/>
      </c>
      <c r="B3659" t="str">
        <f t="shared" si="115"/>
        <v/>
      </c>
      <c r="C3659" t="str">
        <f>IF(D3659="","",IF(COUNTIF($D$2:D3659,D3659)&gt;1,"",SUMIFS(tbl_input[필요수량],tbl_input[집계키_청],D3659)))</f>
        <v/>
      </c>
      <c r="D3659" t="str">
        <f>IFERROR(INDEX(tbl_input[집계키_청],ROW()-1),"")</f>
        <v/>
      </c>
    </row>
    <row r="3660" spans="1:4" x14ac:dyDescent="0.4">
      <c r="A3660" t="str">
        <f t="shared" si="114"/>
        <v/>
      </c>
      <c r="B3660" t="str">
        <f t="shared" si="115"/>
        <v/>
      </c>
      <c r="C3660" t="str">
        <f>IF(D3660="","",IF(COUNTIF($D$2:D3660,D3660)&gt;1,"",SUMIFS(tbl_input[필요수량],tbl_input[집계키_청],D3660)))</f>
        <v/>
      </c>
      <c r="D3660" t="str">
        <f>IFERROR(INDEX(tbl_input[집계키_청],ROW()-1),"")</f>
        <v/>
      </c>
    </row>
    <row r="3661" spans="1:4" x14ac:dyDescent="0.4">
      <c r="A3661" t="str">
        <f t="shared" si="114"/>
        <v/>
      </c>
      <c r="B3661" t="str">
        <f t="shared" si="115"/>
        <v/>
      </c>
      <c r="C3661" t="str">
        <f>IF(D3661="","",IF(COUNTIF($D$2:D3661,D3661)&gt;1,"",SUMIFS(tbl_input[필요수량],tbl_input[집계키_청],D3661)))</f>
        <v/>
      </c>
      <c r="D3661" t="str">
        <f>IFERROR(INDEX(tbl_input[집계키_청],ROW()-1),"")</f>
        <v/>
      </c>
    </row>
    <row r="3662" spans="1:4" x14ac:dyDescent="0.4">
      <c r="A3662" t="str">
        <f t="shared" si="114"/>
        <v/>
      </c>
      <c r="B3662" t="str">
        <f t="shared" si="115"/>
        <v/>
      </c>
      <c r="C3662" t="str">
        <f>IF(D3662="","",IF(COUNTIF($D$2:D3662,D3662)&gt;1,"",SUMIFS(tbl_input[필요수량],tbl_input[집계키_청],D3662)))</f>
        <v/>
      </c>
      <c r="D3662" t="str">
        <f>IFERROR(INDEX(tbl_input[집계키_청],ROW()-1),"")</f>
        <v/>
      </c>
    </row>
    <row r="3663" spans="1:4" x14ac:dyDescent="0.4">
      <c r="A3663" t="str">
        <f t="shared" si="114"/>
        <v/>
      </c>
      <c r="B3663" t="str">
        <f t="shared" si="115"/>
        <v/>
      </c>
      <c r="C3663" t="str">
        <f>IF(D3663="","",IF(COUNTIF($D$2:D3663,D3663)&gt;1,"",SUMIFS(tbl_input[필요수량],tbl_input[집계키_청],D3663)))</f>
        <v/>
      </c>
      <c r="D3663" t="str">
        <f>IFERROR(INDEX(tbl_input[집계키_청],ROW()-1),"")</f>
        <v/>
      </c>
    </row>
    <row r="3664" spans="1:4" x14ac:dyDescent="0.4">
      <c r="A3664" t="str">
        <f t="shared" si="114"/>
        <v/>
      </c>
      <c r="B3664" t="str">
        <f t="shared" si="115"/>
        <v/>
      </c>
      <c r="C3664" t="str">
        <f>IF(D3664="","",IF(COUNTIF($D$2:D3664,D3664)&gt;1,"",SUMIFS(tbl_input[필요수량],tbl_input[집계키_청],D3664)))</f>
        <v/>
      </c>
      <c r="D3664" t="str">
        <f>IFERROR(INDEX(tbl_input[집계키_청],ROW()-1),"")</f>
        <v/>
      </c>
    </row>
    <row r="3665" spans="1:4" x14ac:dyDescent="0.4">
      <c r="A3665" t="str">
        <f t="shared" si="114"/>
        <v/>
      </c>
      <c r="B3665" t="str">
        <f t="shared" si="115"/>
        <v/>
      </c>
      <c r="C3665" t="str">
        <f>IF(D3665="","",IF(COUNTIF($D$2:D3665,D3665)&gt;1,"",SUMIFS(tbl_input[필요수량],tbl_input[집계키_청],D3665)))</f>
        <v/>
      </c>
      <c r="D3665" t="str">
        <f>IFERROR(INDEX(tbl_input[집계키_청],ROW()-1),"")</f>
        <v/>
      </c>
    </row>
    <row r="3666" spans="1:4" x14ac:dyDescent="0.4">
      <c r="A3666" t="str">
        <f t="shared" si="114"/>
        <v/>
      </c>
      <c r="B3666" t="str">
        <f t="shared" si="115"/>
        <v/>
      </c>
      <c r="C3666" t="str">
        <f>IF(D3666="","",IF(COUNTIF($D$2:D3666,D3666)&gt;1,"",SUMIFS(tbl_input[필요수량],tbl_input[집계키_청],D3666)))</f>
        <v/>
      </c>
      <c r="D3666" t="str">
        <f>IFERROR(INDEX(tbl_input[집계키_청],ROW()-1),"")</f>
        <v/>
      </c>
    </row>
    <row r="3667" spans="1:4" x14ac:dyDescent="0.4">
      <c r="A3667" t="str">
        <f t="shared" si="114"/>
        <v/>
      </c>
      <c r="B3667" t="str">
        <f t="shared" si="115"/>
        <v/>
      </c>
      <c r="C3667" t="str">
        <f>IF(D3667="","",IF(COUNTIF($D$2:D3667,D3667)&gt;1,"",SUMIFS(tbl_input[필요수량],tbl_input[집계키_청],D3667)))</f>
        <v/>
      </c>
      <c r="D3667" t="str">
        <f>IFERROR(INDEX(tbl_input[집계키_청],ROW()-1),"")</f>
        <v/>
      </c>
    </row>
    <row r="3668" spans="1:4" x14ac:dyDescent="0.4">
      <c r="A3668" t="str">
        <f t="shared" si="114"/>
        <v/>
      </c>
      <c r="B3668" t="str">
        <f t="shared" si="115"/>
        <v/>
      </c>
      <c r="C3668" t="str">
        <f>IF(D3668="","",IF(COUNTIF($D$2:D3668,D3668)&gt;1,"",SUMIFS(tbl_input[필요수량],tbl_input[집계키_청],D3668)))</f>
        <v/>
      </c>
      <c r="D3668" t="str">
        <f>IFERROR(INDEX(tbl_input[집계키_청],ROW()-1),"")</f>
        <v/>
      </c>
    </row>
    <row r="3669" spans="1:4" x14ac:dyDescent="0.4">
      <c r="A3669" t="str">
        <f t="shared" si="114"/>
        <v/>
      </c>
      <c r="B3669" t="str">
        <f t="shared" si="115"/>
        <v/>
      </c>
      <c r="C3669" t="str">
        <f>IF(D3669="","",IF(COUNTIF($D$2:D3669,D3669)&gt;1,"",SUMIFS(tbl_input[필요수량],tbl_input[집계키_청],D3669)))</f>
        <v/>
      </c>
      <c r="D3669" t="str">
        <f>IFERROR(INDEX(tbl_input[집계키_청],ROW()-1),"")</f>
        <v/>
      </c>
    </row>
    <row r="3670" spans="1:4" x14ac:dyDescent="0.4">
      <c r="A3670" t="str">
        <f t="shared" si="114"/>
        <v/>
      </c>
      <c r="B3670" t="str">
        <f t="shared" si="115"/>
        <v/>
      </c>
      <c r="C3670" t="str">
        <f>IF(D3670="","",IF(COUNTIF($D$2:D3670,D3670)&gt;1,"",SUMIFS(tbl_input[필요수량],tbl_input[집계키_청],D3670)))</f>
        <v/>
      </c>
      <c r="D3670" t="str">
        <f>IFERROR(INDEX(tbl_input[집계키_청],ROW()-1),"")</f>
        <v/>
      </c>
    </row>
    <row r="3671" spans="1:4" x14ac:dyDescent="0.4">
      <c r="A3671" t="str">
        <f t="shared" si="114"/>
        <v/>
      </c>
      <c r="B3671" t="str">
        <f t="shared" si="115"/>
        <v/>
      </c>
      <c r="C3671" t="str">
        <f>IF(D3671="","",IF(COUNTIF($D$2:D3671,D3671)&gt;1,"",SUMIFS(tbl_input[필요수량],tbl_input[집계키_청],D3671)))</f>
        <v/>
      </c>
      <c r="D3671" t="str">
        <f>IFERROR(INDEX(tbl_input[집계키_청],ROW()-1),"")</f>
        <v/>
      </c>
    </row>
    <row r="3672" spans="1:4" x14ac:dyDescent="0.4">
      <c r="A3672" t="str">
        <f t="shared" si="114"/>
        <v/>
      </c>
      <c r="B3672" t="str">
        <f t="shared" si="115"/>
        <v/>
      </c>
      <c r="C3672" t="str">
        <f>IF(D3672="","",IF(COUNTIF($D$2:D3672,D3672)&gt;1,"",SUMIFS(tbl_input[필요수량],tbl_input[집계키_청],D3672)))</f>
        <v/>
      </c>
      <c r="D3672" t="str">
        <f>IFERROR(INDEX(tbl_input[집계키_청],ROW()-1),"")</f>
        <v/>
      </c>
    </row>
    <row r="3673" spans="1:4" x14ac:dyDescent="0.4">
      <c r="A3673" t="str">
        <f t="shared" si="114"/>
        <v/>
      </c>
      <c r="B3673" t="str">
        <f t="shared" si="115"/>
        <v/>
      </c>
      <c r="C3673" t="str">
        <f>IF(D3673="","",IF(COUNTIF($D$2:D3673,D3673)&gt;1,"",SUMIFS(tbl_input[필요수량],tbl_input[집계키_청],D3673)))</f>
        <v/>
      </c>
      <c r="D3673" t="str">
        <f>IFERROR(INDEX(tbl_input[집계키_청],ROW()-1),"")</f>
        <v/>
      </c>
    </row>
    <row r="3674" spans="1:4" x14ac:dyDescent="0.4">
      <c r="A3674" t="str">
        <f t="shared" si="114"/>
        <v/>
      </c>
      <c r="B3674" t="str">
        <f t="shared" si="115"/>
        <v/>
      </c>
      <c r="C3674" t="str">
        <f>IF(D3674="","",IF(COUNTIF($D$2:D3674,D3674)&gt;1,"",SUMIFS(tbl_input[필요수량],tbl_input[집계키_청],D3674)))</f>
        <v/>
      </c>
      <c r="D3674" t="str">
        <f>IFERROR(INDEX(tbl_input[집계키_청],ROW()-1),"")</f>
        <v/>
      </c>
    </row>
    <row r="3675" spans="1:4" x14ac:dyDescent="0.4">
      <c r="A3675" t="str">
        <f t="shared" si="114"/>
        <v/>
      </c>
      <c r="B3675" t="str">
        <f t="shared" si="115"/>
        <v/>
      </c>
      <c r="C3675" t="str">
        <f>IF(D3675="","",IF(COUNTIF($D$2:D3675,D3675)&gt;1,"",SUMIFS(tbl_input[필요수량],tbl_input[집계키_청],D3675)))</f>
        <v/>
      </c>
      <c r="D3675" t="str">
        <f>IFERROR(INDEX(tbl_input[집계키_청],ROW()-1),"")</f>
        <v/>
      </c>
    </row>
    <row r="3676" spans="1:4" x14ac:dyDescent="0.4">
      <c r="A3676" t="str">
        <f t="shared" si="114"/>
        <v/>
      </c>
      <c r="B3676" t="str">
        <f t="shared" si="115"/>
        <v/>
      </c>
      <c r="C3676" t="str">
        <f>IF(D3676="","",IF(COUNTIF($D$2:D3676,D3676)&gt;1,"",SUMIFS(tbl_input[필요수량],tbl_input[집계키_청],D3676)))</f>
        <v/>
      </c>
      <c r="D3676" t="str">
        <f>IFERROR(INDEX(tbl_input[집계키_청],ROW()-1),"")</f>
        <v/>
      </c>
    </row>
    <row r="3677" spans="1:4" x14ac:dyDescent="0.4">
      <c r="A3677" t="str">
        <f t="shared" si="114"/>
        <v/>
      </c>
      <c r="B3677" t="str">
        <f t="shared" si="115"/>
        <v/>
      </c>
      <c r="C3677" t="str">
        <f>IF(D3677="","",IF(COUNTIF($D$2:D3677,D3677)&gt;1,"",SUMIFS(tbl_input[필요수량],tbl_input[집계키_청],D3677)))</f>
        <v/>
      </c>
      <c r="D3677" t="str">
        <f>IFERROR(INDEX(tbl_input[집계키_청],ROW()-1),"")</f>
        <v/>
      </c>
    </row>
    <row r="3678" spans="1:4" x14ac:dyDescent="0.4">
      <c r="A3678" t="str">
        <f t="shared" si="114"/>
        <v/>
      </c>
      <c r="B3678" t="str">
        <f t="shared" si="115"/>
        <v/>
      </c>
      <c r="C3678" t="str">
        <f>IF(D3678="","",IF(COUNTIF($D$2:D3678,D3678)&gt;1,"",SUMIFS(tbl_input[필요수량],tbl_input[집계키_청],D3678)))</f>
        <v/>
      </c>
      <c r="D3678" t="str">
        <f>IFERROR(INDEX(tbl_input[집계키_청],ROW()-1),"")</f>
        <v/>
      </c>
    </row>
    <row r="3679" spans="1:4" x14ac:dyDescent="0.4">
      <c r="A3679" t="str">
        <f t="shared" si="114"/>
        <v/>
      </c>
      <c r="B3679" t="str">
        <f t="shared" si="115"/>
        <v/>
      </c>
      <c r="C3679" t="str">
        <f>IF(D3679="","",IF(COUNTIF($D$2:D3679,D3679)&gt;1,"",SUMIFS(tbl_input[필요수량],tbl_input[집계키_청],D3679)))</f>
        <v/>
      </c>
      <c r="D3679" t="str">
        <f>IFERROR(INDEX(tbl_input[집계키_청],ROW()-1),"")</f>
        <v/>
      </c>
    </row>
    <row r="3680" spans="1:4" x14ac:dyDescent="0.4">
      <c r="A3680" t="str">
        <f t="shared" si="114"/>
        <v/>
      </c>
      <c r="B3680" t="str">
        <f t="shared" si="115"/>
        <v/>
      </c>
      <c r="C3680" t="str">
        <f>IF(D3680="","",IF(COUNTIF($D$2:D3680,D3680)&gt;1,"",SUMIFS(tbl_input[필요수량],tbl_input[집계키_청],D3680)))</f>
        <v/>
      </c>
      <c r="D3680" t="str">
        <f>IFERROR(INDEX(tbl_input[집계키_청],ROW()-1),"")</f>
        <v/>
      </c>
    </row>
    <row r="3681" spans="1:4" x14ac:dyDescent="0.4">
      <c r="A3681" t="str">
        <f t="shared" si="114"/>
        <v/>
      </c>
      <c r="B3681" t="str">
        <f t="shared" si="115"/>
        <v/>
      </c>
      <c r="C3681" t="str">
        <f>IF(D3681="","",IF(COUNTIF($D$2:D3681,D3681)&gt;1,"",SUMIFS(tbl_input[필요수량],tbl_input[집계키_청],D3681)))</f>
        <v/>
      </c>
      <c r="D3681" t="str">
        <f>IFERROR(INDEX(tbl_input[집계키_청],ROW()-1),"")</f>
        <v/>
      </c>
    </row>
    <row r="3682" spans="1:4" x14ac:dyDescent="0.4">
      <c r="A3682" t="str">
        <f t="shared" si="114"/>
        <v/>
      </c>
      <c r="B3682" t="str">
        <f t="shared" si="115"/>
        <v/>
      </c>
      <c r="C3682" t="str">
        <f>IF(D3682="","",IF(COUNTIF($D$2:D3682,D3682)&gt;1,"",SUMIFS(tbl_input[필요수량],tbl_input[집계키_청],D3682)))</f>
        <v/>
      </c>
      <c r="D3682" t="str">
        <f>IFERROR(INDEX(tbl_input[집계키_청],ROW()-1),"")</f>
        <v/>
      </c>
    </row>
    <row r="3683" spans="1:4" x14ac:dyDescent="0.4">
      <c r="A3683" t="str">
        <f t="shared" si="114"/>
        <v/>
      </c>
      <c r="B3683" t="str">
        <f t="shared" si="115"/>
        <v/>
      </c>
      <c r="C3683" t="str">
        <f>IF(D3683="","",IF(COUNTIF($D$2:D3683,D3683)&gt;1,"",SUMIFS(tbl_input[필요수량],tbl_input[집계키_청],D3683)))</f>
        <v/>
      </c>
      <c r="D3683" t="str">
        <f>IFERROR(INDEX(tbl_input[집계키_청],ROW()-1),"")</f>
        <v/>
      </c>
    </row>
    <row r="3684" spans="1:4" x14ac:dyDescent="0.4">
      <c r="A3684" t="str">
        <f t="shared" si="114"/>
        <v/>
      </c>
      <c r="B3684" t="str">
        <f t="shared" si="115"/>
        <v/>
      </c>
      <c r="C3684" t="str">
        <f>IF(D3684="","",IF(COUNTIF($D$2:D3684,D3684)&gt;1,"",SUMIFS(tbl_input[필요수량],tbl_input[집계키_청],D3684)))</f>
        <v/>
      </c>
      <c r="D3684" t="str">
        <f>IFERROR(INDEX(tbl_input[집계키_청],ROW()-1),"")</f>
        <v/>
      </c>
    </row>
    <row r="3685" spans="1:4" x14ac:dyDescent="0.4">
      <c r="A3685" t="str">
        <f t="shared" si="114"/>
        <v/>
      </c>
      <c r="B3685" t="str">
        <f t="shared" si="115"/>
        <v/>
      </c>
      <c r="C3685" t="str">
        <f>IF(D3685="","",IF(COUNTIF($D$2:D3685,D3685)&gt;1,"",SUMIFS(tbl_input[필요수량],tbl_input[집계키_청],D3685)))</f>
        <v/>
      </c>
      <c r="D3685" t="str">
        <f>IFERROR(INDEX(tbl_input[집계키_청],ROW()-1),"")</f>
        <v/>
      </c>
    </row>
    <row r="3686" spans="1:4" x14ac:dyDescent="0.4">
      <c r="A3686" t="str">
        <f t="shared" si="114"/>
        <v/>
      </c>
      <c r="B3686" t="str">
        <f t="shared" si="115"/>
        <v/>
      </c>
      <c r="C3686" t="str">
        <f>IF(D3686="","",IF(COUNTIF($D$2:D3686,D3686)&gt;1,"",SUMIFS(tbl_input[필요수량],tbl_input[집계키_청],D3686)))</f>
        <v/>
      </c>
      <c r="D3686" t="str">
        <f>IFERROR(INDEX(tbl_input[집계키_청],ROW()-1),"")</f>
        <v/>
      </c>
    </row>
    <row r="3687" spans="1:4" x14ac:dyDescent="0.4">
      <c r="A3687" t="str">
        <f t="shared" si="114"/>
        <v/>
      </c>
      <c r="B3687" t="str">
        <f t="shared" si="115"/>
        <v/>
      </c>
      <c r="C3687" t="str">
        <f>IF(D3687="","",IF(COUNTIF($D$2:D3687,D3687)&gt;1,"",SUMIFS(tbl_input[필요수량],tbl_input[집계키_청],D3687)))</f>
        <v/>
      </c>
      <c r="D3687" t="str">
        <f>IFERROR(INDEX(tbl_input[집계키_청],ROW()-1),"")</f>
        <v/>
      </c>
    </row>
    <row r="3688" spans="1:4" x14ac:dyDescent="0.4">
      <c r="A3688" t="str">
        <f t="shared" si="114"/>
        <v/>
      </c>
      <c r="B3688" t="str">
        <f t="shared" si="115"/>
        <v/>
      </c>
      <c r="C3688" t="str">
        <f>IF(D3688="","",IF(COUNTIF($D$2:D3688,D3688)&gt;1,"",SUMIFS(tbl_input[필요수량],tbl_input[집계키_청],D3688)))</f>
        <v/>
      </c>
      <c r="D3688" t="str">
        <f>IFERROR(INDEX(tbl_input[집계키_청],ROW()-1),"")</f>
        <v/>
      </c>
    </row>
    <row r="3689" spans="1:4" x14ac:dyDescent="0.4">
      <c r="A3689" t="str">
        <f t="shared" si="114"/>
        <v/>
      </c>
      <c r="B3689" t="str">
        <f t="shared" si="115"/>
        <v/>
      </c>
      <c r="C3689" t="str">
        <f>IF(D3689="","",IF(COUNTIF($D$2:D3689,D3689)&gt;1,"",SUMIFS(tbl_input[필요수량],tbl_input[집계키_청],D3689)))</f>
        <v/>
      </c>
      <c r="D3689" t="str">
        <f>IFERROR(INDEX(tbl_input[집계키_청],ROW()-1),"")</f>
        <v/>
      </c>
    </row>
    <row r="3690" spans="1:4" x14ac:dyDescent="0.4">
      <c r="A3690" t="str">
        <f t="shared" si="114"/>
        <v/>
      </c>
      <c r="B3690" t="str">
        <f t="shared" si="115"/>
        <v/>
      </c>
      <c r="C3690" t="str">
        <f>IF(D3690="","",IF(COUNTIF($D$2:D3690,D3690)&gt;1,"",SUMIFS(tbl_input[필요수량],tbl_input[집계키_청],D3690)))</f>
        <v/>
      </c>
      <c r="D3690" t="str">
        <f>IFERROR(INDEX(tbl_input[집계키_청],ROW()-1),"")</f>
        <v/>
      </c>
    </row>
    <row r="3691" spans="1:4" x14ac:dyDescent="0.4">
      <c r="A3691" t="str">
        <f t="shared" si="114"/>
        <v/>
      </c>
      <c r="B3691" t="str">
        <f t="shared" si="115"/>
        <v/>
      </c>
      <c r="C3691" t="str">
        <f>IF(D3691="","",IF(COUNTIF($D$2:D3691,D3691)&gt;1,"",SUMIFS(tbl_input[필요수량],tbl_input[집계키_청],D3691)))</f>
        <v/>
      </c>
      <c r="D3691" t="str">
        <f>IFERROR(INDEX(tbl_input[집계키_청],ROW()-1),"")</f>
        <v/>
      </c>
    </row>
    <row r="3692" spans="1:4" x14ac:dyDescent="0.4">
      <c r="A3692" t="str">
        <f t="shared" si="114"/>
        <v/>
      </c>
      <c r="B3692" t="str">
        <f t="shared" si="115"/>
        <v/>
      </c>
      <c r="C3692" t="str">
        <f>IF(D3692="","",IF(COUNTIF($D$2:D3692,D3692)&gt;1,"",SUMIFS(tbl_input[필요수량],tbl_input[집계키_청],D3692)))</f>
        <v/>
      </c>
      <c r="D3692" t="str">
        <f>IFERROR(INDEX(tbl_input[집계키_청],ROW()-1),"")</f>
        <v/>
      </c>
    </row>
    <row r="3693" spans="1:4" x14ac:dyDescent="0.4">
      <c r="A3693" t="str">
        <f t="shared" si="114"/>
        <v/>
      </c>
      <c r="B3693" t="str">
        <f t="shared" si="115"/>
        <v/>
      </c>
      <c r="C3693" t="str">
        <f>IF(D3693="","",IF(COUNTIF($D$2:D3693,D3693)&gt;1,"",SUMIFS(tbl_input[필요수량],tbl_input[집계키_청],D3693)))</f>
        <v/>
      </c>
      <c r="D3693" t="str">
        <f>IFERROR(INDEX(tbl_input[집계키_청],ROW()-1),"")</f>
        <v/>
      </c>
    </row>
    <row r="3694" spans="1:4" x14ac:dyDescent="0.4">
      <c r="A3694" t="str">
        <f t="shared" si="114"/>
        <v/>
      </c>
      <c r="B3694" t="str">
        <f t="shared" si="115"/>
        <v/>
      </c>
      <c r="C3694" t="str">
        <f>IF(D3694="","",IF(COUNTIF($D$2:D3694,D3694)&gt;1,"",SUMIFS(tbl_input[필요수량],tbl_input[집계키_청],D3694)))</f>
        <v/>
      </c>
      <c r="D3694" t="str">
        <f>IFERROR(INDEX(tbl_input[집계키_청],ROW()-1),"")</f>
        <v/>
      </c>
    </row>
    <row r="3695" spans="1:4" x14ac:dyDescent="0.4">
      <c r="A3695" t="str">
        <f t="shared" si="114"/>
        <v/>
      </c>
      <c r="B3695" t="str">
        <f t="shared" si="115"/>
        <v/>
      </c>
      <c r="C3695" t="str">
        <f>IF(D3695="","",IF(COUNTIF($D$2:D3695,D3695)&gt;1,"",SUMIFS(tbl_input[필요수량],tbl_input[집계키_청],D3695)))</f>
        <v/>
      </c>
      <c r="D3695" t="str">
        <f>IFERROR(INDEX(tbl_input[집계키_청],ROW()-1),"")</f>
        <v/>
      </c>
    </row>
    <row r="3696" spans="1:4" x14ac:dyDescent="0.4">
      <c r="A3696" t="str">
        <f t="shared" si="114"/>
        <v/>
      </c>
      <c r="B3696" t="str">
        <f t="shared" si="115"/>
        <v/>
      </c>
      <c r="C3696" t="str">
        <f>IF(D3696="","",IF(COUNTIF($D$2:D3696,D3696)&gt;1,"",SUMIFS(tbl_input[필요수량],tbl_input[집계키_청],D3696)))</f>
        <v/>
      </c>
      <c r="D3696" t="str">
        <f>IFERROR(INDEX(tbl_input[집계키_청],ROW()-1),"")</f>
        <v/>
      </c>
    </row>
    <row r="3697" spans="1:4" x14ac:dyDescent="0.4">
      <c r="A3697" t="str">
        <f t="shared" si="114"/>
        <v/>
      </c>
      <c r="B3697" t="str">
        <f t="shared" si="115"/>
        <v/>
      </c>
      <c r="C3697" t="str">
        <f>IF(D3697="","",IF(COUNTIF($D$2:D3697,D3697)&gt;1,"",SUMIFS(tbl_input[필요수량],tbl_input[집계키_청],D3697)))</f>
        <v/>
      </c>
      <c r="D3697" t="str">
        <f>IFERROR(INDEX(tbl_input[집계키_청],ROW()-1),"")</f>
        <v/>
      </c>
    </row>
    <row r="3698" spans="1:4" x14ac:dyDescent="0.4">
      <c r="A3698" t="str">
        <f t="shared" si="114"/>
        <v/>
      </c>
      <c r="B3698" t="str">
        <f t="shared" si="115"/>
        <v/>
      </c>
      <c r="C3698" t="str">
        <f>IF(D3698="","",IF(COUNTIF($D$2:D3698,D3698)&gt;1,"",SUMIFS(tbl_input[필요수량],tbl_input[집계키_청],D3698)))</f>
        <v/>
      </c>
      <c r="D3698" t="str">
        <f>IFERROR(INDEX(tbl_input[집계키_청],ROW()-1),"")</f>
        <v/>
      </c>
    </row>
    <row r="3699" spans="1:4" x14ac:dyDescent="0.4">
      <c r="A3699" t="str">
        <f t="shared" si="114"/>
        <v/>
      </c>
      <c r="B3699" t="str">
        <f t="shared" si="115"/>
        <v/>
      </c>
      <c r="C3699" t="str">
        <f>IF(D3699="","",IF(COUNTIF($D$2:D3699,D3699)&gt;1,"",SUMIFS(tbl_input[필요수량],tbl_input[집계키_청],D3699)))</f>
        <v/>
      </c>
      <c r="D3699" t="str">
        <f>IFERROR(INDEX(tbl_input[집계키_청],ROW()-1),"")</f>
        <v/>
      </c>
    </row>
    <row r="3700" spans="1:4" x14ac:dyDescent="0.4">
      <c r="A3700" t="str">
        <f t="shared" si="114"/>
        <v/>
      </c>
      <c r="B3700" t="str">
        <f t="shared" si="115"/>
        <v/>
      </c>
      <c r="C3700" t="str">
        <f>IF(D3700="","",IF(COUNTIF($D$2:D3700,D3700)&gt;1,"",SUMIFS(tbl_input[필요수량],tbl_input[집계키_청],D3700)))</f>
        <v/>
      </c>
      <c r="D3700" t="str">
        <f>IFERROR(INDEX(tbl_input[집계키_청],ROW()-1),"")</f>
        <v/>
      </c>
    </row>
    <row r="3701" spans="1:4" x14ac:dyDescent="0.4">
      <c r="A3701" t="str">
        <f t="shared" si="114"/>
        <v/>
      </c>
      <c r="B3701" t="str">
        <f t="shared" si="115"/>
        <v/>
      </c>
      <c r="C3701" t="str">
        <f>IF(D3701="","",IF(COUNTIF($D$2:D3701,D3701)&gt;1,"",SUMIFS(tbl_input[필요수량],tbl_input[집계키_청],D3701)))</f>
        <v/>
      </c>
      <c r="D3701" t="str">
        <f>IFERROR(INDEX(tbl_input[집계키_청],ROW()-1),"")</f>
        <v/>
      </c>
    </row>
    <row r="3702" spans="1:4" x14ac:dyDescent="0.4">
      <c r="A3702" t="str">
        <f t="shared" si="114"/>
        <v/>
      </c>
      <c r="B3702" t="str">
        <f t="shared" si="115"/>
        <v/>
      </c>
      <c r="C3702" t="str">
        <f>IF(D3702="","",IF(COUNTIF($D$2:D3702,D3702)&gt;1,"",SUMIFS(tbl_input[필요수량],tbl_input[집계키_청],D3702)))</f>
        <v/>
      </c>
      <c r="D3702" t="str">
        <f>IFERROR(INDEX(tbl_input[집계키_청],ROW()-1),"")</f>
        <v/>
      </c>
    </row>
    <row r="3703" spans="1:4" x14ac:dyDescent="0.4">
      <c r="A3703" t="str">
        <f t="shared" si="114"/>
        <v/>
      </c>
      <c r="B3703" t="str">
        <f t="shared" si="115"/>
        <v/>
      </c>
      <c r="C3703" t="str">
        <f>IF(D3703="","",IF(COUNTIF($D$2:D3703,D3703)&gt;1,"",SUMIFS(tbl_input[필요수량],tbl_input[집계키_청],D3703)))</f>
        <v/>
      </c>
      <c r="D3703" t="str">
        <f>IFERROR(INDEX(tbl_input[집계키_청],ROW()-1),"")</f>
        <v/>
      </c>
    </row>
    <row r="3704" spans="1:4" x14ac:dyDescent="0.4">
      <c r="A3704" t="str">
        <f t="shared" si="114"/>
        <v/>
      </c>
      <c r="B3704" t="str">
        <f t="shared" si="115"/>
        <v/>
      </c>
      <c r="C3704" t="str">
        <f>IF(D3704="","",IF(COUNTIF($D$2:D3704,D3704)&gt;1,"",SUMIFS(tbl_input[필요수량],tbl_input[집계키_청],D3704)))</f>
        <v/>
      </c>
      <c r="D3704" t="str">
        <f>IFERROR(INDEX(tbl_input[집계키_청],ROW()-1),"")</f>
        <v/>
      </c>
    </row>
    <row r="3705" spans="1:4" x14ac:dyDescent="0.4">
      <c r="A3705" t="str">
        <f t="shared" si="114"/>
        <v/>
      </c>
      <c r="B3705" t="str">
        <f t="shared" si="115"/>
        <v/>
      </c>
      <c r="C3705" t="str">
        <f>IF(D3705="","",IF(COUNTIF($D$2:D3705,D3705)&gt;1,"",SUMIFS(tbl_input[필요수량],tbl_input[집계키_청],D3705)))</f>
        <v/>
      </c>
      <c r="D3705" t="str">
        <f>IFERROR(INDEX(tbl_input[집계키_청],ROW()-1),"")</f>
        <v/>
      </c>
    </row>
    <row r="3706" spans="1:4" x14ac:dyDescent="0.4">
      <c r="A3706" t="str">
        <f t="shared" si="114"/>
        <v/>
      </c>
      <c r="B3706" t="str">
        <f t="shared" si="115"/>
        <v/>
      </c>
      <c r="C3706" t="str">
        <f>IF(D3706="","",IF(COUNTIF($D$2:D3706,D3706)&gt;1,"",SUMIFS(tbl_input[필요수량],tbl_input[집계키_청],D3706)))</f>
        <v/>
      </c>
      <c r="D3706" t="str">
        <f>IFERROR(INDEX(tbl_input[집계키_청],ROW()-1),"")</f>
        <v/>
      </c>
    </row>
    <row r="3707" spans="1:4" x14ac:dyDescent="0.4">
      <c r="A3707" t="str">
        <f t="shared" si="114"/>
        <v/>
      </c>
      <c r="B3707" t="str">
        <f t="shared" si="115"/>
        <v/>
      </c>
      <c r="C3707" t="str">
        <f>IF(D3707="","",IF(COUNTIF($D$2:D3707,D3707)&gt;1,"",SUMIFS(tbl_input[필요수량],tbl_input[집계키_청],D3707)))</f>
        <v/>
      </c>
      <c r="D3707" t="str">
        <f>IFERROR(INDEX(tbl_input[집계키_청],ROW()-1),"")</f>
        <v/>
      </c>
    </row>
    <row r="3708" spans="1:4" x14ac:dyDescent="0.4">
      <c r="A3708" t="str">
        <f t="shared" si="114"/>
        <v/>
      </c>
      <c r="B3708" t="str">
        <f t="shared" si="115"/>
        <v/>
      </c>
      <c r="C3708" t="str">
        <f>IF(D3708="","",IF(COUNTIF($D$2:D3708,D3708)&gt;1,"",SUMIFS(tbl_input[필요수량],tbl_input[집계키_청],D3708)))</f>
        <v/>
      </c>
      <c r="D3708" t="str">
        <f>IFERROR(INDEX(tbl_input[집계키_청],ROW()-1),"")</f>
        <v/>
      </c>
    </row>
    <row r="3709" spans="1:4" x14ac:dyDescent="0.4">
      <c r="A3709" t="str">
        <f t="shared" si="114"/>
        <v/>
      </c>
      <c r="B3709" t="str">
        <f t="shared" si="115"/>
        <v/>
      </c>
      <c r="C3709" t="str">
        <f>IF(D3709="","",IF(COUNTIF($D$2:D3709,D3709)&gt;1,"",SUMIFS(tbl_input[필요수량],tbl_input[집계키_청],D3709)))</f>
        <v/>
      </c>
      <c r="D3709" t="str">
        <f>IFERROR(INDEX(tbl_input[집계키_청],ROW()-1),"")</f>
        <v/>
      </c>
    </row>
    <row r="3710" spans="1:4" x14ac:dyDescent="0.4">
      <c r="A3710" t="str">
        <f t="shared" si="114"/>
        <v/>
      </c>
      <c r="B3710" t="str">
        <f t="shared" si="115"/>
        <v/>
      </c>
      <c r="C3710" t="str">
        <f>IF(D3710="","",IF(COUNTIF($D$2:D3710,D3710)&gt;1,"",SUMIFS(tbl_input[필요수량],tbl_input[집계키_청],D3710)))</f>
        <v/>
      </c>
      <c r="D3710" t="str">
        <f>IFERROR(INDEX(tbl_input[집계키_청],ROW()-1),"")</f>
        <v/>
      </c>
    </row>
    <row r="3711" spans="1:4" x14ac:dyDescent="0.4">
      <c r="A3711" t="str">
        <f t="shared" si="114"/>
        <v/>
      </c>
      <c r="B3711" t="str">
        <f t="shared" si="115"/>
        <v/>
      </c>
      <c r="C3711" t="str">
        <f>IF(D3711="","",IF(COUNTIF($D$2:D3711,D3711)&gt;1,"",SUMIFS(tbl_input[필요수량],tbl_input[집계키_청],D3711)))</f>
        <v/>
      </c>
      <c r="D3711" t="str">
        <f>IFERROR(INDEX(tbl_input[집계키_청],ROW()-1),"")</f>
        <v/>
      </c>
    </row>
    <row r="3712" spans="1:4" x14ac:dyDescent="0.4">
      <c r="A3712" t="str">
        <f t="shared" si="114"/>
        <v/>
      </c>
      <c r="B3712" t="str">
        <f t="shared" si="115"/>
        <v/>
      </c>
      <c r="C3712" t="str">
        <f>IF(D3712="","",IF(COUNTIF($D$2:D3712,D3712)&gt;1,"",SUMIFS(tbl_input[필요수량],tbl_input[집계키_청],D3712)))</f>
        <v/>
      </c>
      <c r="D3712" t="str">
        <f>IFERROR(INDEX(tbl_input[집계키_청],ROW()-1),"")</f>
        <v/>
      </c>
    </row>
    <row r="3713" spans="1:4" x14ac:dyDescent="0.4">
      <c r="A3713" t="str">
        <f t="shared" si="114"/>
        <v/>
      </c>
      <c r="B3713" t="str">
        <f t="shared" si="115"/>
        <v/>
      </c>
      <c r="C3713" t="str">
        <f>IF(D3713="","",IF(COUNTIF($D$2:D3713,D3713)&gt;1,"",SUMIFS(tbl_input[필요수량],tbl_input[집계키_청],D3713)))</f>
        <v/>
      </c>
      <c r="D3713" t="str">
        <f>IFERROR(INDEX(tbl_input[집계키_청],ROW()-1),"")</f>
        <v/>
      </c>
    </row>
    <row r="3714" spans="1:4" x14ac:dyDescent="0.4">
      <c r="A3714" t="str">
        <f t="shared" ref="A3714:A3777" si="116">IF(D3714="","",LEFT(D3714,FIND("♦",D3714)-1))</f>
        <v/>
      </c>
      <c r="B3714" t="str">
        <f t="shared" ref="B3714:B3777" si="117">IF(D3714="","",MID(D3714,FIND("♦",D3714)+1,999))</f>
        <v/>
      </c>
      <c r="C3714" t="str">
        <f>IF(D3714="","",IF(COUNTIF($D$2:D3714,D3714)&gt;1,"",SUMIFS(tbl_input[필요수량],tbl_input[집계키_청],D3714)))</f>
        <v/>
      </c>
      <c r="D3714" t="str">
        <f>IFERROR(INDEX(tbl_input[집계키_청],ROW()-1),"")</f>
        <v/>
      </c>
    </row>
    <row r="3715" spans="1:4" x14ac:dyDescent="0.4">
      <c r="A3715" t="str">
        <f t="shared" si="116"/>
        <v/>
      </c>
      <c r="B3715" t="str">
        <f t="shared" si="117"/>
        <v/>
      </c>
      <c r="C3715" t="str">
        <f>IF(D3715="","",IF(COUNTIF($D$2:D3715,D3715)&gt;1,"",SUMIFS(tbl_input[필요수량],tbl_input[집계키_청],D3715)))</f>
        <v/>
      </c>
      <c r="D3715" t="str">
        <f>IFERROR(INDEX(tbl_input[집계키_청],ROW()-1),"")</f>
        <v/>
      </c>
    </row>
    <row r="3716" spans="1:4" x14ac:dyDescent="0.4">
      <c r="A3716" t="str">
        <f t="shared" si="116"/>
        <v/>
      </c>
      <c r="B3716" t="str">
        <f t="shared" si="117"/>
        <v/>
      </c>
      <c r="C3716" t="str">
        <f>IF(D3716="","",IF(COUNTIF($D$2:D3716,D3716)&gt;1,"",SUMIFS(tbl_input[필요수량],tbl_input[집계키_청],D3716)))</f>
        <v/>
      </c>
      <c r="D3716" t="str">
        <f>IFERROR(INDEX(tbl_input[집계키_청],ROW()-1),"")</f>
        <v/>
      </c>
    </row>
    <row r="3717" spans="1:4" x14ac:dyDescent="0.4">
      <c r="A3717" t="str">
        <f t="shared" si="116"/>
        <v/>
      </c>
      <c r="B3717" t="str">
        <f t="shared" si="117"/>
        <v/>
      </c>
      <c r="C3717" t="str">
        <f>IF(D3717="","",IF(COUNTIF($D$2:D3717,D3717)&gt;1,"",SUMIFS(tbl_input[필요수량],tbl_input[집계키_청],D3717)))</f>
        <v/>
      </c>
      <c r="D3717" t="str">
        <f>IFERROR(INDEX(tbl_input[집계키_청],ROW()-1),"")</f>
        <v/>
      </c>
    </row>
    <row r="3718" spans="1:4" x14ac:dyDescent="0.4">
      <c r="A3718" t="str">
        <f t="shared" si="116"/>
        <v/>
      </c>
      <c r="B3718" t="str">
        <f t="shared" si="117"/>
        <v/>
      </c>
      <c r="C3718" t="str">
        <f>IF(D3718="","",IF(COUNTIF($D$2:D3718,D3718)&gt;1,"",SUMIFS(tbl_input[필요수량],tbl_input[집계키_청],D3718)))</f>
        <v/>
      </c>
      <c r="D3718" t="str">
        <f>IFERROR(INDEX(tbl_input[집계키_청],ROW()-1),"")</f>
        <v/>
      </c>
    </row>
    <row r="3719" spans="1:4" x14ac:dyDescent="0.4">
      <c r="A3719" t="str">
        <f t="shared" si="116"/>
        <v/>
      </c>
      <c r="B3719" t="str">
        <f t="shared" si="117"/>
        <v/>
      </c>
      <c r="C3719" t="str">
        <f>IF(D3719="","",IF(COUNTIF($D$2:D3719,D3719)&gt;1,"",SUMIFS(tbl_input[필요수량],tbl_input[집계키_청],D3719)))</f>
        <v/>
      </c>
      <c r="D3719" t="str">
        <f>IFERROR(INDEX(tbl_input[집계키_청],ROW()-1),"")</f>
        <v/>
      </c>
    </row>
    <row r="3720" spans="1:4" x14ac:dyDescent="0.4">
      <c r="A3720" t="str">
        <f t="shared" si="116"/>
        <v/>
      </c>
      <c r="B3720" t="str">
        <f t="shared" si="117"/>
        <v/>
      </c>
      <c r="C3720" t="str">
        <f>IF(D3720="","",IF(COUNTIF($D$2:D3720,D3720)&gt;1,"",SUMIFS(tbl_input[필요수량],tbl_input[집계키_청],D3720)))</f>
        <v/>
      </c>
      <c r="D3720" t="str">
        <f>IFERROR(INDEX(tbl_input[집계키_청],ROW()-1),"")</f>
        <v/>
      </c>
    </row>
    <row r="3721" spans="1:4" x14ac:dyDescent="0.4">
      <c r="A3721" t="str">
        <f t="shared" si="116"/>
        <v/>
      </c>
      <c r="B3721" t="str">
        <f t="shared" si="117"/>
        <v/>
      </c>
      <c r="C3721" t="str">
        <f>IF(D3721="","",IF(COUNTIF($D$2:D3721,D3721)&gt;1,"",SUMIFS(tbl_input[필요수량],tbl_input[집계키_청],D3721)))</f>
        <v/>
      </c>
      <c r="D3721" t="str">
        <f>IFERROR(INDEX(tbl_input[집계키_청],ROW()-1),"")</f>
        <v/>
      </c>
    </row>
    <row r="3722" spans="1:4" x14ac:dyDescent="0.4">
      <c r="A3722" t="str">
        <f t="shared" si="116"/>
        <v/>
      </c>
      <c r="B3722" t="str">
        <f t="shared" si="117"/>
        <v/>
      </c>
      <c r="C3722" t="str">
        <f>IF(D3722="","",IF(COUNTIF($D$2:D3722,D3722)&gt;1,"",SUMIFS(tbl_input[필요수량],tbl_input[집계키_청],D3722)))</f>
        <v/>
      </c>
      <c r="D3722" t="str">
        <f>IFERROR(INDEX(tbl_input[집계키_청],ROW()-1),"")</f>
        <v/>
      </c>
    </row>
    <row r="3723" spans="1:4" x14ac:dyDescent="0.4">
      <c r="A3723" t="str">
        <f t="shared" si="116"/>
        <v/>
      </c>
      <c r="B3723" t="str">
        <f t="shared" si="117"/>
        <v/>
      </c>
      <c r="C3723" t="str">
        <f>IF(D3723="","",IF(COUNTIF($D$2:D3723,D3723)&gt;1,"",SUMIFS(tbl_input[필요수량],tbl_input[집계키_청],D3723)))</f>
        <v/>
      </c>
      <c r="D3723" t="str">
        <f>IFERROR(INDEX(tbl_input[집계키_청],ROW()-1),"")</f>
        <v/>
      </c>
    </row>
    <row r="3724" spans="1:4" x14ac:dyDescent="0.4">
      <c r="A3724" t="str">
        <f t="shared" si="116"/>
        <v/>
      </c>
      <c r="B3724" t="str">
        <f t="shared" si="117"/>
        <v/>
      </c>
      <c r="C3724" t="str">
        <f>IF(D3724="","",IF(COUNTIF($D$2:D3724,D3724)&gt;1,"",SUMIFS(tbl_input[필요수량],tbl_input[집계키_청],D3724)))</f>
        <v/>
      </c>
      <c r="D3724" t="str">
        <f>IFERROR(INDEX(tbl_input[집계키_청],ROW()-1),"")</f>
        <v/>
      </c>
    </row>
    <row r="3725" spans="1:4" x14ac:dyDescent="0.4">
      <c r="A3725" t="str">
        <f t="shared" si="116"/>
        <v/>
      </c>
      <c r="B3725" t="str">
        <f t="shared" si="117"/>
        <v/>
      </c>
      <c r="C3725" t="str">
        <f>IF(D3725="","",IF(COUNTIF($D$2:D3725,D3725)&gt;1,"",SUMIFS(tbl_input[필요수량],tbl_input[집계키_청],D3725)))</f>
        <v/>
      </c>
      <c r="D3725" t="str">
        <f>IFERROR(INDEX(tbl_input[집계키_청],ROW()-1),"")</f>
        <v/>
      </c>
    </row>
    <row r="3726" spans="1:4" x14ac:dyDescent="0.4">
      <c r="A3726" t="str">
        <f t="shared" si="116"/>
        <v/>
      </c>
      <c r="B3726" t="str">
        <f t="shared" si="117"/>
        <v/>
      </c>
      <c r="C3726" t="str">
        <f>IF(D3726="","",IF(COUNTIF($D$2:D3726,D3726)&gt;1,"",SUMIFS(tbl_input[필요수량],tbl_input[집계키_청],D3726)))</f>
        <v/>
      </c>
      <c r="D3726" t="str">
        <f>IFERROR(INDEX(tbl_input[집계키_청],ROW()-1),"")</f>
        <v/>
      </c>
    </row>
    <row r="3727" spans="1:4" x14ac:dyDescent="0.4">
      <c r="A3727" t="str">
        <f t="shared" si="116"/>
        <v/>
      </c>
      <c r="B3727" t="str">
        <f t="shared" si="117"/>
        <v/>
      </c>
      <c r="C3727" t="str">
        <f>IF(D3727="","",IF(COUNTIF($D$2:D3727,D3727)&gt;1,"",SUMIFS(tbl_input[필요수량],tbl_input[집계키_청],D3727)))</f>
        <v/>
      </c>
      <c r="D3727" t="str">
        <f>IFERROR(INDEX(tbl_input[집계키_청],ROW()-1),"")</f>
        <v/>
      </c>
    </row>
    <row r="3728" spans="1:4" x14ac:dyDescent="0.4">
      <c r="A3728" t="str">
        <f t="shared" si="116"/>
        <v/>
      </c>
      <c r="B3728" t="str">
        <f t="shared" si="117"/>
        <v/>
      </c>
      <c r="C3728" t="str">
        <f>IF(D3728="","",IF(COUNTIF($D$2:D3728,D3728)&gt;1,"",SUMIFS(tbl_input[필요수량],tbl_input[집계키_청],D3728)))</f>
        <v/>
      </c>
      <c r="D3728" t="str">
        <f>IFERROR(INDEX(tbl_input[집계키_청],ROW()-1),"")</f>
        <v/>
      </c>
    </row>
    <row r="3729" spans="1:4" x14ac:dyDescent="0.4">
      <c r="A3729" t="str">
        <f t="shared" si="116"/>
        <v/>
      </c>
      <c r="B3729" t="str">
        <f t="shared" si="117"/>
        <v/>
      </c>
      <c r="C3729" t="str">
        <f>IF(D3729="","",IF(COUNTIF($D$2:D3729,D3729)&gt;1,"",SUMIFS(tbl_input[필요수량],tbl_input[집계키_청],D3729)))</f>
        <v/>
      </c>
      <c r="D3729" t="str">
        <f>IFERROR(INDEX(tbl_input[집계키_청],ROW()-1),"")</f>
        <v/>
      </c>
    </row>
    <row r="3730" spans="1:4" x14ac:dyDescent="0.4">
      <c r="A3730" t="str">
        <f t="shared" si="116"/>
        <v/>
      </c>
      <c r="B3730" t="str">
        <f t="shared" si="117"/>
        <v/>
      </c>
      <c r="C3730" t="str">
        <f>IF(D3730="","",IF(COUNTIF($D$2:D3730,D3730)&gt;1,"",SUMIFS(tbl_input[필요수량],tbl_input[집계키_청],D3730)))</f>
        <v/>
      </c>
      <c r="D3730" t="str">
        <f>IFERROR(INDEX(tbl_input[집계키_청],ROW()-1),"")</f>
        <v/>
      </c>
    </row>
    <row r="3731" spans="1:4" x14ac:dyDescent="0.4">
      <c r="A3731" t="str">
        <f t="shared" si="116"/>
        <v/>
      </c>
      <c r="B3731" t="str">
        <f t="shared" si="117"/>
        <v/>
      </c>
      <c r="C3731" t="str">
        <f>IF(D3731="","",IF(COUNTIF($D$2:D3731,D3731)&gt;1,"",SUMIFS(tbl_input[필요수량],tbl_input[집계키_청],D3731)))</f>
        <v/>
      </c>
      <c r="D3731" t="str">
        <f>IFERROR(INDEX(tbl_input[집계키_청],ROW()-1),"")</f>
        <v/>
      </c>
    </row>
    <row r="3732" spans="1:4" x14ac:dyDescent="0.4">
      <c r="A3732" t="str">
        <f t="shared" si="116"/>
        <v/>
      </c>
      <c r="B3732" t="str">
        <f t="shared" si="117"/>
        <v/>
      </c>
      <c r="C3732" t="str">
        <f>IF(D3732="","",IF(COUNTIF($D$2:D3732,D3732)&gt;1,"",SUMIFS(tbl_input[필요수량],tbl_input[집계키_청],D3732)))</f>
        <v/>
      </c>
      <c r="D3732" t="str">
        <f>IFERROR(INDEX(tbl_input[집계키_청],ROW()-1),"")</f>
        <v/>
      </c>
    </row>
    <row r="3733" spans="1:4" x14ac:dyDescent="0.4">
      <c r="A3733" t="str">
        <f t="shared" si="116"/>
        <v/>
      </c>
      <c r="B3733" t="str">
        <f t="shared" si="117"/>
        <v/>
      </c>
      <c r="C3733" t="str">
        <f>IF(D3733="","",IF(COUNTIF($D$2:D3733,D3733)&gt;1,"",SUMIFS(tbl_input[필요수량],tbl_input[집계키_청],D3733)))</f>
        <v/>
      </c>
      <c r="D3733" t="str">
        <f>IFERROR(INDEX(tbl_input[집계키_청],ROW()-1),"")</f>
        <v/>
      </c>
    </row>
    <row r="3734" spans="1:4" x14ac:dyDescent="0.4">
      <c r="A3734" t="str">
        <f t="shared" si="116"/>
        <v/>
      </c>
      <c r="B3734" t="str">
        <f t="shared" si="117"/>
        <v/>
      </c>
      <c r="C3734" t="str">
        <f>IF(D3734="","",IF(COUNTIF($D$2:D3734,D3734)&gt;1,"",SUMIFS(tbl_input[필요수량],tbl_input[집계키_청],D3734)))</f>
        <v/>
      </c>
      <c r="D3734" t="str">
        <f>IFERROR(INDEX(tbl_input[집계키_청],ROW()-1),"")</f>
        <v/>
      </c>
    </row>
    <row r="3735" spans="1:4" x14ac:dyDescent="0.4">
      <c r="A3735" t="str">
        <f t="shared" si="116"/>
        <v/>
      </c>
      <c r="B3735" t="str">
        <f t="shared" si="117"/>
        <v/>
      </c>
      <c r="C3735" t="str">
        <f>IF(D3735="","",IF(COUNTIF($D$2:D3735,D3735)&gt;1,"",SUMIFS(tbl_input[필요수량],tbl_input[집계키_청],D3735)))</f>
        <v/>
      </c>
      <c r="D3735" t="str">
        <f>IFERROR(INDEX(tbl_input[집계키_청],ROW()-1),"")</f>
        <v/>
      </c>
    </row>
    <row r="3736" spans="1:4" x14ac:dyDescent="0.4">
      <c r="A3736" t="str">
        <f t="shared" si="116"/>
        <v/>
      </c>
      <c r="B3736" t="str">
        <f t="shared" si="117"/>
        <v/>
      </c>
      <c r="C3736" t="str">
        <f>IF(D3736="","",IF(COUNTIF($D$2:D3736,D3736)&gt;1,"",SUMIFS(tbl_input[필요수량],tbl_input[집계키_청],D3736)))</f>
        <v/>
      </c>
      <c r="D3736" t="str">
        <f>IFERROR(INDEX(tbl_input[집계키_청],ROW()-1),"")</f>
        <v/>
      </c>
    </row>
    <row r="3737" spans="1:4" x14ac:dyDescent="0.4">
      <c r="A3737" t="str">
        <f t="shared" si="116"/>
        <v/>
      </c>
      <c r="B3737" t="str">
        <f t="shared" si="117"/>
        <v/>
      </c>
      <c r="C3737" t="str">
        <f>IF(D3737="","",IF(COUNTIF($D$2:D3737,D3737)&gt;1,"",SUMIFS(tbl_input[필요수량],tbl_input[집계키_청],D3737)))</f>
        <v/>
      </c>
      <c r="D3737" t="str">
        <f>IFERROR(INDEX(tbl_input[집계키_청],ROW()-1),"")</f>
        <v/>
      </c>
    </row>
    <row r="3738" spans="1:4" x14ac:dyDescent="0.4">
      <c r="A3738" t="str">
        <f t="shared" si="116"/>
        <v/>
      </c>
      <c r="B3738" t="str">
        <f t="shared" si="117"/>
        <v/>
      </c>
      <c r="C3738" t="str">
        <f>IF(D3738="","",IF(COUNTIF($D$2:D3738,D3738)&gt;1,"",SUMIFS(tbl_input[필요수량],tbl_input[집계키_청],D3738)))</f>
        <v/>
      </c>
      <c r="D3738" t="str">
        <f>IFERROR(INDEX(tbl_input[집계키_청],ROW()-1),"")</f>
        <v/>
      </c>
    </row>
    <row r="3739" spans="1:4" x14ac:dyDescent="0.4">
      <c r="A3739" t="str">
        <f t="shared" si="116"/>
        <v/>
      </c>
      <c r="B3739" t="str">
        <f t="shared" si="117"/>
        <v/>
      </c>
      <c r="C3739" t="str">
        <f>IF(D3739="","",IF(COUNTIF($D$2:D3739,D3739)&gt;1,"",SUMIFS(tbl_input[필요수량],tbl_input[집계키_청],D3739)))</f>
        <v/>
      </c>
      <c r="D3739" t="str">
        <f>IFERROR(INDEX(tbl_input[집계키_청],ROW()-1),"")</f>
        <v/>
      </c>
    </row>
    <row r="3740" spans="1:4" x14ac:dyDescent="0.4">
      <c r="A3740" t="str">
        <f t="shared" si="116"/>
        <v/>
      </c>
      <c r="B3740" t="str">
        <f t="shared" si="117"/>
        <v/>
      </c>
      <c r="C3740" t="str">
        <f>IF(D3740="","",IF(COUNTIF($D$2:D3740,D3740)&gt;1,"",SUMIFS(tbl_input[필요수량],tbl_input[집계키_청],D3740)))</f>
        <v/>
      </c>
      <c r="D3740" t="str">
        <f>IFERROR(INDEX(tbl_input[집계키_청],ROW()-1),"")</f>
        <v/>
      </c>
    </row>
    <row r="3741" spans="1:4" x14ac:dyDescent="0.4">
      <c r="A3741" t="str">
        <f t="shared" si="116"/>
        <v/>
      </c>
      <c r="B3741" t="str">
        <f t="shared" si="117"/>
        <v/>
      </c>
      <c r="C3741" t="str">
        <f>IF(D3741="","",IF(COUNTIF($D$2:D3741,D3741)&gt;1,"",SUMIFS(tbl_input[필요수량],tbl_input[집계키_청],D3741)))</f>
        <v/>
      </c>
      <c r="D3741" t="str">
        <f>IFERROR(INDEX(tbl_input[집계키_청],ROW()-1),"")</f>
        <v/>
      </c>
    </row>
    <row r="3742" spans="1:4" x14ac:dyDescent="0.4">
      <c r="A3742" t="str">
        <f t="shared" si="116"/>
        <v/>
      </c>
      <c r="B3742" t="str">
        <f t="shared" si="117"/>
        <v/>
      </c>
      <c r="C3742" t="str">
        <f>IF(D3742="","",IF(COUNTIF($D$2:D3742,D3742)&gt;1,"",SUMIFS(tbl_input[필요수량],tbl_input[집계키_청],D3742)))</f>
        <v/>
      </c>
      <c r="D3742" t="str">
        <f>IFERROR(INDEX(tbl_input[집계키_청],ROW()-1),"")</f>
        <v/>
      </c>
    </row>
    <row r="3743" spans="1:4" x14ac:dyDescent="0.4">
      <c r="A3743" t="str">
        <f t="shared" si="116"/>
        <v/>
      </c>
      <c r="B3743" t="str">
        <f t="shared" si="117"/>
        <v/>
      </c>
      <c r="C3743" t="str">
        <f>IF(D3743="","",IF(COUNTIF($D$2:D3743,D3743)&gt;1,"",SUMIFS(tbl_input[필요수량],tbl_input[집계키_청],D3743)))</f>
        <v/>
      </c>
      <c r="D3743" t="str">
        <f>IFERROR(INDEX(tbl_input[집계키_청],ROW()-1),"")</f>
        <v/>
      </c>
    </row>
    <row r="3744" spans="1:4" x14ac:dyDescent="0.4">
      <c r="A3744" t="str">
        <f t="shared" si="116"/>
        <v/>
      </c>
      <c r="B3744" t="str">
        <f t="shared" si="117"/>
        <v/>
      </c>
      <c r="C3744" t="str">
        <f>IF(D3744="","",IF(COUNTIF($D$2:D3744,D3744)&gt;1,"",SUMIFS(tbl_input[필요수량],tbl_input[집계키_청],D3744)))</f>
        <v/>
      </c>
      <c r="D3744" t="str">
        <f>IFERROR(INDEX(tbl_input[집계키_청],ROW()-1),"")</f>
        <v/>
      </c>
    </row>
    <row r="3745" spans="1:4" x14ac:dyDescent="0.4">
      <c r="A3745" t="str">
        <f t="shared" si="116"/>
        <v/>
      </c>
      <c r="B3745" t="str">
        <f t="shared" si="117"/>
        <v/>
      </c>
      <c r="C3745" t="str">
        <f>IF(D3745="","",IF(COUNTIF($D$2:D3745,D3745)&gt;1,"",SUMIFS(tbl_input[필요수량],tbl_input[집계키_청],D3745)))</f>
        <v/>
      </c>
      <c r="D3745" t="str">
        <f>IFERROR(INDEX(tbl_input[집계키_청],ROW()-1),"")</f>
        <v/>
      </c>
    </row>
    <row r="3746" spans="1:4" x14ac:dyDescent="0.4">
      <c r="A3746" t="str">
        <f t="shared" si="116"/>
        <v/>
      </c>
      <c r="B3746" t="str">
        <f t="shared" si="117"/>
        <v/>
      </c>
      <c r="C3746" t="str">
        <f>IF(D3746="","",IF(COUNTIF($D$2:D3746,D3746)&gt;1,"",SUMIFS(tbl_input[필요수량],tbl_input[집계키_청],D3746)))</f>
        <v/>
      </c>
      <c r="D3746" t="str">
        <f>IFERROR(INDEX(tbl_input[집계키_청],ROW()-1),"")</f>
        <v/>
      </c>
    </row>
    <row r="3747" spans="1:4" x14ac:dyDescent="0.4">
      <c r="A3747" t="str">
        <f t="shared" si="116"/>
        <v/>
      </c>
      <c r="B3747" t="str">
        <f t="shared" si="117"/>
        <v/>
      </c>
      <c r="C3747" t="str">
        <f>IF(D3747="","",IF(COUNTIF($D$2:D3747,D3747)&gt;1,"",SUMIFS(tbl_input[필요수량],tbl_input[집계키_청],D3747)))</f>
        <v/>
      </c>
      <c r="D3747" t="str">
        <f>IFERROR(INDEX(tbl_input[집계키_청],ROW()-1),"")</f>
        <v/>
      </c>
    </row>
    <row r="3748" spans="1:4" x14ac:dyDescent="0.4">
      <c r="A3748" t="str">
        <f t="shared" si="116"/>
        <v/>
      </c>
      <c r="B3748" t="str">
        <f t="shared" si="117"/>
        <v/>
      </c>
      <c r="C3748" t="str">
        <f>IF(D3748="","",IF(COUNTIF($D$2:D3748,D3748)&gt;1,"",SUMIFS(tbl_input[필요수량],tbl_input[집계키_청],D3748)))</f>
        <v/>
      </c>
      <c r="D3748" t="str">
        <f>IFERROR(INDEX(tbl_input[집계키_청],ROW()-1),"")</f>
        <v/>
      </c>
    </row>
    <row r="3749" spans="1:4" x14ac:dyDescent="0.4">
      <c r="A3749" t="str">
        <f t="shared" si="116"/>
        <v/>
      </c>
      <c r="B3749" t="str">
        <f t="shared" si="117"/>
        <v/>
      </c>
      <c r="C3749" t="str">
        <f>IF(D3749="","",IF(COUNTIF($D$2:D3749,D3749)&gt;1,"",SUMIFS(tbl_input[필요수량],tbl_input[집계키_청],D3749)))</f>
        <v/>
      </c>
      <c r="D3749" t="str">
        <f>IFERROR(INDEX(tbl_input[집계키_청],ROW()-1),"")</f>
        <v/>
      </c>
    </row>
    <row r="3750" spans="1:4" x14ac:dyDescent="0.4">
      <c r="A3750" t="str">
        <f t="shared" si="116"/>
        <v/>
      </c>
      <c r="B3750" t="str">
        <f t="shared" si="117"/>
        <v/>
      </c>
      <c r="C3750" t="str">
        <f>IF(D3750="","",IF(COUNTIF($D$2:D3750,D3750)&gt;1,"",SUMIFS(tbl_input[필요수량],tbl_input[집계키_청],D3750)))</f>
        <v/>
      </c>
      <c r="D3750" t="str">
        <f>IFERROR(INDEX(tbl_input[집계키_청],ROW()-1),"")</f>
        <v/>
      </c>
    </row>
    <row r="3751" spans="1:4" x14ac:dyDescent="0.4">
      <c r="A3751" t="str">
        <f t="shared" si="116"/>
        <v/>
      </c>
      <c r="B3751" t="str">
        <f t="shared" si="117"/>
        <v/>
      </c>
      <c r="C3751" t="str">
        <f>IF(D3751="","",IF(COUNTIF($D$2:D3751,D3751)&gt;1,"",SUMIFS(tbl_input[필요수량],tbl_input[집계키_청],D3751)))</f>
        <v/>
      </c>
      <c r="D3751" t="str">
        <f>IFERROR(INDEX(tbl_input[집계키_청],ROW()-1),"")</f>
        <v/>
      </c>
    </row>
    <row r="3752" spans="1:4" x14ac:dyDescent="0.4">
      <c r="A3752" t="str">
        <f t="shared" si="116"/>
        <v/>
      </c>
      <c r="B3752" t="str">
        <f t="shared" si="117"/>
        <v/>
      </c>
      <c r="C3752" t="str">
        <f>IF(D3752="","",IF(COUNTIF($D$2:D3752,D3752)&gt;1,"",SUMIFS(tbl_input[필요수량],tbl_input[집계키_청],D3752)))</f>
        <v/>
      </c>
      <c r="D3752" t="str">
        <f>IFERROR(INDEX(tbl_input[집계키_청],ROW()-1),"")</f>
        <v/>
      </c>
    </row>
    <row r="3753" spans="1:4" x14ac:dyDescent="0.4">
      <c r="A3753" t="str">
        <f t="shared" si="116"/>
        <v/>
      </c>
      <c r="B3753" t="str">
        <f t="shared" si="117"/>
        <v/>
      </c>
      <c r="C3753" t="str">
        <f>IF(D3753="","",IF(COUNTIF($D$2:D3753,D3753)&gt;1,"",SUMIFS(tbl_input[필요수량],tbl_input[집계키_청],D3753)))</f>
        <v/>
      </c>
      <c r="D3753" t="str">
        <f>IFERROR(INDEX(tbl_input[집계키_청],ROW()-1),"")</f>
        <v/>
      </c>
    </row>
    <row r="3754" spans="1:4" x14ac:dyDescent="0.4">
      <c r="A3754" t="str">
        <f t="shared" si="116"/>
        <v/>
      </c>
      <c r="B3754" t="str">
        <f t="shared" si="117"/>
        <v/>
      </c>
      <c r="C3754" t="str">
        <f>IF(D3754="","",IF(COUNTIF($D$2:D3754,D3754)&gt;1,"",SUMIFS(tbl_input[필요수량],tbl_input[집계키_청],D3754)))</f>
        <v/>
      </c>
      <c r="D3754" t="str">
        <f>IFERROR(INDEX(tbl_input[집계키_청],ROW()-1),"")</f>
        <v/>
      </c>
    </row>
    <row r="3755" spans="1:4" x14ac:dyDescent="0.4">
      <c r="A3755" t="str">
        <f t="shared" si="116"/>
        <v/>
      </c>
      <c r="B3755" t="str">
        <f t="shared" si="117"/>
        <v/>
      </c>
      <c r="C3755" t="str">
        <f>IF(D3755="","",IF(COUNTIF($D$2:D3755,D3755)&gt;1,"",SUMIFS(tbl_input[필요수량],tbl_input[집계키_청],D3755)))</f>
        <v/>
      </c>
      <c r="D3755" t="str">
        <f>IFERROR(INDEX(tbl_input[집계키_청],ROW()-1),"")</f>
        <v/>
      </c>
    </row>
    <row r="3756" spans="1:4" x14ac:dyDescent="0.4">
      <c r="A3756" t="str">
        <f t="shared" si="116"/>
        <v/>
      </c>
      <c r="B3756" t="str">
        <f t="shared" si="117"/>
        <v/>
      </c>
      <c r="C3756" t="str">
        <f>IF(D3756="","",IF(COUNTIF($D$2:D3756,D3756)&gt;1,"",SUMIFS(tbl_input[필요수량],tbl_input[집계키_청],D3756)))</f>
        <v/>
      </c>
      <c r="D3756" t="str">
        <f>IFERROR(INDEX(tbl_input[집계키_청],ROW()-1),"")</f>
        <v/>
      </c>
    </row>
    <row r="3757" spans="1:4" x14ac:dyDescent="0.4">
      <c r="A3757" t="str">
        <f t="shared" si="116"/>
        <v/>
      </c>
      <c r="B3757" t="str">
        <f t="shared" si="117"/>
        <v/>
      </c>
      <c r="C3757" t="str">
        <f>IF(D3757="","",IF(COUNTIF($D$2:D3757,D3757)&gt;1,"",SUMIFS(tbl_input[필요수량],tbl_input[집계키_청],D3757)))</f>
        <v/>
      </c>
      <c r="D3757" t="str">
        <f>IFERROR(INDEX(tbl_input[집계키_청],ROW()-1),"")</f>
        <v/>
      </c>
    </row>
    <row r="3758" spans="1:4" x14ac:dyDescent="0.4">
      <c r="A3758" t="str">
        <f t="shared" si="116"/>
        <v/>
      </c>
      <c r="B3758" t="str">
        <f t="shared" si="117"/>
        <v/>
      </c>
      <c r="C3758" t="str">
        <f>IF(D3758="","",IF(COUNTIF($D$2:D3758,D3758)&gt;1,"",SUMIFS(tbl_input[필요수량],tbl_input[집계키_청],D3758)))</f>
        <v/>
      </c>
      <c r="D3758" t="str">
        <f>IFERROR(INDEX(tbl_input[집계키_청],ROW()-1),"")</f>
        <v/>
      </c>
    </row>
    <row r="3759" spans="1:4" x14ac:dyDescent="0.4">
      <c r="A3759" t="str">
        <f t="shared" si="116"/>
        <v/>
      </c>
      <c r="B3759" t="str">
        <f t="shared" si="117"/>
        <v/>
      </c>
      <c r="C3759" t="str">
        <f>IF(D3759="","",IF(COUNTIF($D$2:D3759,D3759)&gt;1,"",SUMIFS(tbl_input[필요수량],tbl_input[집계키_청],D3759)))</f>
        <v/>
      </c>
      <c r="D3759" t="str">
        <f>IFERROR(INDEX(tbl_input[집계키_청],ROW()-1),"")</f>
        <v/>
      </c>
    </row>
    <row r="3760" spans="1:4" x14ac:dyDescent="0.4">
      <c r="A3760" t="str">
        <f t="shared" si="116"/>
        <v/>
      </c>
      <c r="B3760" t="str">
        <f t="shared" si="117"/>
        <v/>
      </c>
      <c r="C3760" t="str">
        <f>IF(D3760="","",IF(COUNTIF($D$2:D3760,D3760)&gt;1,"",SUMIFS(tbl_input[필요수량],tbl_input[집계키_청],D3760)))</f>
        <v/>
      </c>
      <c r="D3760" t="str">
        <f>IFERROR(INDEX(tbl_input[집계키_청],ROW()-1),"")</f>
        <v/>
      </c>
    </row>
    <row r="3761" spans="1:4" x14ac:dyDescent="0.4">
      <c r="A3761" t="str">
        <f t="shared" si="116"/>
        <v/>
      </c>
      <c r="B3761" t="str">
        <f t="shared" si="117"/>
        <v/>
      </c>
      <c r="C3761" t="str">
        <f>IF(D3761="","",IF(COUNTIF($D$2:D3761,D3761)&gt;1,"",SUMIFS(tbl_input[필요수량],tbl_input[집계키_청],D3761)))</f>
        <v/>
      </c>
      <c r="D3761" t="str">
        <f>IFERROR(INDEX(tbl_input[집계키_청],ROW()-1),"")</f>
        <v/>
      </c>
    </row>
    <row r="3762" spans="1:4" x14ac:dyDescent="0.4">
      <c r="A3762" t="str">
        <f t="shared" si="116"/>
        <v/>
      </c>
      <c r="B3762" t="str">
        <f t="shared" si="117"/>
        <v/>
      </c>
      <c r="C3762" t="str">
        <f>IF(D3762="","",IF(COUNTIF($D$2:D3762,D3762)&gt;1,"",SUMIFS(tbl_input[필요수량],tbl_input[집계키_청],D3762)))</f>
        <v/>
      </c>
      <c r="D3762" t="str">
        <f>IFERROR(INDEX(tbl_input[집계키_청],ROW()-1),"")</f>
        <v/>
      </c>
    </row>
    <row r="3763" spans="1:4" x14ac:dyDescent="0.4">
      <c r="A3763" t="str">
        <f t="shared" si="116"/>
        <v/>
      </c>
      <c r="B3763" t="str">
        <f t="shared" si="117"/>
        <v/>
      </c>
      <c r="C3763" t="str">
        <f>IF(D3763="","",IF(COUNTIF($D$2:D3763,D3763)&gt;1,"",SUMIFS(tbl_input[필요수량],tbl_input[집계키_청],D3763)))</f>
        <v/>
      </c>
      <c r="D3763" t="str">
        <f>IFERROR(INDEX(tbl_input[집계키_청],ROW()-1),"")</f>
        <v/>
      </c>
    </row>
    <row r="3764" spans="1:4" x14ac:dyDescent="0.4">
      <c r="A3764" t="str">
        <f t="shared" si="116"/>
        <v/>
      </c>
      <c r="B3764" t="str">
        <f t="shared" si="117"/>
        <v/>
      </c>
      <c r="C3764" t="str">
        <f>IF(D3764="","",IF(COUNTIF($D$2:D3764,D3764)&gt;1,"",SUMIFS(tbl_input[필요수량],tbl_input[집계키_청],D3764)))</f>
        <v/>
      </c>
      <c r="D3764" t="str">
        <f>IFERROR(INDEX(tbl_input[집계키_청],ROW()-1),"")</f>
        <v/>
      </c>
    </row>
    <row r="3765" spans="1:4" x14ac:dyDescent="0.4">
      <c r="A3765" t="str">
        <f t="shared" si="116"/>
        <v/>
      </c>
      <c r="B3765" t="str">
        <f t="shared" si="117"/>
        <v/>
      </c>
      <c r="C3765" t="str">
        <f>IF(D3765="","",IF(COUNTIF($D$2:D3765,D3765)&gt;1,"",SUMIFS(tbl_input[필요수량],tbl_input[집계키_청],D3765)))</f>
        <v/>
      </c>
      <c r="D3765" t="str">
        <f>IFERROR(INDEX(tbl_input[집계키_청],ROW()-1),"")</f>
        <v/>
      </c>
    </row>
    <row r="3766" spans="1:4" x14ac:dyDescent="0.4">
      <c r="A3766" t="str">
        <f t="shared" si="116"/>
        <v/>
      </c>
      <c r="B3766" t="str">
        <f t="shared" si="117"/>
        <v/>
      </c>
      <c r="C3766" t="str">
        <f>IF(D3766="","",IF(COUNTIF($D$2:D3766,D3766)&gt;1,"",SUMIFS(tbl_input[필요수량],tbl_input[집계키_청],D3766)))</f>
        <v/>
      </c>
      <c r="D3766" t="str">
        <f>IFERROR(INDEX(tbl_input[집계키_청],ROW()-1),"")</f>
        <v/>
      </c>
    </row>
    <row r="3767" spans="1:4" x14ac:dyDescent="0.4">
      <c r="A3767" t="str">
        <f t="shared" si="116"/>
        <v/>
      </c>
      <c r="B3767" t="str">
        <f t="shared" si="117"/>
        <v/>
      </c>
      <c r="C3767" t="str">
        <f>IF(D3767="","",IF(COUNTIF($D$2:D3767,D3767)&gt;1,"",SUMIFS(tbl_input[필요수량],tbl_input[집계키_청],D3767)))</f>
        <v/>
      </c>
      <c r="D3767" t="str">
        <f>IFERROR(INDEX(tbl_input[집계키_청],ROW()-1),"")</f>
        <v/>
      </c>
    </row>
    <row r="3768" spans="1:4" x14ac:dyDescent="0.4">
      <c r="A3768" t="str">
        <f t="shared" si="116"/>
        <v/>
      </c>
      <c r="B3768" t="str">
        <f t="shared" si="117"/>
        <v/>
      </c>
      <c r="C3768" t="str">
        <f>IF(D3768="","",IF(COUNTIF($D$2:D3768,D3768)&gt;1,"",SUMIFS(tbl_input[필요수량],tbl_input[집계키_청],D3768)))</f>
        <v/>
      </c>
      <c r="D3768" t="str">
        <f>IFERROR(INDEX(tbl_input[집계키_청],ROW()-1),"")</f>
        <v/>
      </c>
    </row>
    <row r="3769" spans="1:4" x14ac:dyDescent="0.4">
      <c r="A3769" t="str">
        <f t="shared" si="116"/>
        <v/>
      </c>
      <c r="B3769" t="str">
        <f t="shared" si="117"/>
        <v/>
      </c>
      <c r="C3769" t="str">
        <f>IF(D3769="","",IF(COUNTIF($D$2:D3769,D3769)&gt;1,"",SUMIFS(tbl_input[필요수량],tbl_input[집계키_청],D3769)))</f>
        <v/>
      </c>
      <c r="D3769" t="str">
        <f>IFERROR(INDEX(tbl_input[집계키_청],ROW()-1),"")</f>
        <v/>
      </c>
    </row>
    <row r="3770" spans="1:4" x14ac:dyDescent="0.4">
      <c r="A3770" t="str">
        <f t="shared" si="116"/>
        <v/>
      </c>
      <c r="B3770" t="str">
        <f t="shared" si="117"/>
        <v/>
      </c>
      <c r="C3770" t="str">
        <f>IF(D3770="","",IF(COUNTIF($D$2:D3770,D3770)&gt;1,"",SUMIFS(tbl_input[필요수량],tbl_input[집계키_청],D3770)))</f>
        <v/>
      </c>
      <c r="D3770" t="str">
        <f>IFERROR(INDEX(tbl_input[집계키_청],ROW()-1),"")</f>
        <v/>
      </c>
    </row>
    <row r="3771" spans="1:4" x14ac:dyDescent="0.4">
      <c r="A3771" t="str">
        <f t="shared" si="116"/>
        <v/>
      </c>
      <c r="B3771" t="str">
        <f t="shared" si="117"/>
        <v/>
      </c>
      <c r="C3771" t="str">
        <f>IF(D3771="","",IF(COUNTIF($D$2:D3771,D3771)&gt;1,"",SUMIFS(tbl_input[필요수량],tbl_input[집계키_청],D3771)))</f>
        <v/>
      </c>
      <c r="D3771" t="str">
        <f>IFERROR(INDEX(tbl_input[집계키_청],ROW()-1),"")</f>
        <v/>
      </c>
    </row>
    <row r="3772" spans="1:4" x14ac:dyDescent="0.4">
      <c r="A3772" t="str">
        <f t="shared" si="116"/>
        <v/>
      </c>
      <c r="B3772" t="str">
        <f t="shared" si="117"/>
        <v/>
      </c>
      <c r="C3772" t="str">
        <f>IF(D3772="","",IF(COUNTIF($D$2:D3772,D3772)&gt;1,"",SUMIFS(tbl_input[필요수량],tbl_input[집계키_청],D3772)))</f>
        <v/>
      </c>
      <c r="D3772" t="str">
        <f>IFERROR(INDEX(tbl_input[집계키_청],ROW()-1),"")</f>
        <v/>
      </c>
    </row>
    <row r="3773" spans="1:4" x14ac:dyDescent="0.4">
      <c r="A3773" t="str">
        <f t="shared" si="116"/>
        <v/>
      </c>
      <c r="B3773" t="str">
        <f t="shared" si="117"/>
        <v/>
      </c>
      <c r="C3773" t="str">
        <f>IF(D3773="","",IF(COUNTIF($D$2:D3773,D3773)&gt;1,"",SUMIFS(tbl_input[필요수량],tbl_input[집계키_청],D3773)))</f>
        <v/>
      </c>
      <c r="D3773" t="str">
        <f>IFERROR(INDEX(tbl_input[집계키_청],ROW()-1),"")</f>
        <v/>
      </c>
    </row>
    <row r="3774" spans="1:4" x14ac:dyDescent="0.4">
      <c r="A3774" t="str">
        <f t="shared" si="116"/>
        <v/>
      </c>
      <c r="B3774" t="str">
        <f t="shared" si="117"/>
        <v/>
      </c>
      <c r="C3774" t="str">
        <f>IF(D3774="","",IF(COUNTIF($D$2:D3774,D3774)&gt;1,"",SUMIFS(tbl_input[필요수량],tbl_input[집계키_청],D3774)))</f>
        <v/>
      </c>
      <c r="D3774" t="str">
        <f>IFERROR(INDEX(tbl_input[집계키_청],ROW()-1),"")</f>
        <v/>
      </c>
    </row>
    <row r="3775" spans="1:4" x14ac:dyDescent="0.4">
      <c r="A3775" t="str">
        <f t="shared" si="116"/>
        <v/>
      </c>
      <c r="B3775" t="str">
        <f t="shared" si="117"/>
        <v/>
      </c>
      <c r="C3775" t="str">
        <f>IF(D3775="","",IF(COUNTIF($D$2:D3775,D3775)&gt;1,"",SUMIFS(tbl_input[필요수량],tbl_input[집계키_청],D3775)))</f>
        <v/>
      </c>
      <c r="D3775" t="str">
        <f>IFERROR(INDEX(tbl_input[집계키_청],ROW()-1),"")</f>
        <v/>
      </c>
    </row>
    <row r="3776" spans="1:4" x14ac:dyDescent="0.4">
      <c r="A3776" t="str">
        <f t="shared" si="116"/>
        <v/>
      </c>
      <c r="B3776" t="str">
        <f t="shared" si="117"/>
        <v/>
      </c>
      <c r="C3776" t="str">
        <f>IF(D3776="","",IF(COUNTIF($D$2:D3776,D3776)&gt;1,"",SUMIFS(tbl_input[필요수량],tbl_input[집계키_청],D3776)))</f>
        <v/>
      </c>
      <c r="D3776" t="str">
        <f>IFERROR(INDEX(tbl_input[집계키_청],ROW()-1),"")</f>
        <v/>
      </c>
    </row>
    <row r="3777" spans="1:4" x14ac:dyDescent="0.4">
      <c r="A3777" t="str">
        <f t="shared" si="116"/>
        <v/>
      </c>
      <c r="B3777" t="str">
        <f t="shared" si="117"/>
        <v/>
      </c>
      <c r="C3777" t="str">
        <f>IF(D3777="","",IF(COUNTIF($D$2:D3777,D3777)&gt;1,"",SUMIFS(tbl_input[필요수량],tbl_input[집계키_청],D3777)))</f>
        <v/>
      </c>
      <c r="D3777" t="str">
        <f>IFERROR(INDEX(tbl_input[집계키_청],ROW()-1),"")</f>
        <v/>
      </c>
    </row>
    <row r="3778" spans="1:4" x14ac:dyDescent="0.4">
      <c r="A3778" t="str">
        <f t="shared" ref="A3778:A3841" si="118">IF(D3778="","",LEFT(D3778,FIND("♦",D3778)-1))</f>
        <v/>
      </c>
      <c r="B3778" t="str">
        <f t="shared" ref="B3778:B3841" si="119">IF(D3778="","",MID(D3778,FIND("♦",D3778)+1,999))</f>
        <v/>
      </c>
      <c r="C3778" t="str">
        <f>IF(D3778="","",IF(COUNTIF($D$2:D3778,D3778)&gt;1,"",SUMIFS(tbl_input[필요수량],tbl_input[집계키_청],D3778)))</f>
        <v/>
      </c>
      <c r="D3778" t="str">
        <f>IFERROR(INDEX(tbl_input[집계키_청],ROW()-1),"")</f>
        <v/>
      </c>
    </row>
    <row r="3779" spans="1:4" x14ac:dyDescent="0.4">
      <c r="A3779" t="str">
        <f t="shared" si="118"/>
        <v/>
      </c>
      <c r="B3779" t="str">
        <f t="shared" si="119"/>
        <v/>
      </c>
      <c r="C3779" t="str">
        <f>IF(D3779="","",IF(COUNTIF($D$2:D3779,D3779)&gt;1,"",SUMIFS(tbl_input[필요수량],tbl_input[집계키_청],D3779)))</f>
        <v/>
      </c>
      <c r="D3779" t="str">
        <f>IFERROR(INDEX(tbl_input[집계키_청],ROW()-1),"")</f>
        <v/>
      </c>
    </row>
    <row r="3780" spans="1:4" x14ac:dyDescent="0.4">
      <c r="A3780" t="str">
        <f t="shared" si="118"/>
        <v/>
      </c>
      <c r="B3780" t="str">
        <f t="shared" si="119"/>
        <v/>
      </c>
      <c r="C3780" t="str">
        <f>IF(D3780="","",IF(COUNTIF($D$2:D3780,D3780)&gt;1,"",SUMIFS(tbl_input[필요수량],tbl_input[집계키_청],D3780)))</f>
        <v/>
      </c>
      <c r="D3780" t="str">
        <f>IFERROR(INDEX(tbl_input[집계키_청],ROW()-1),"")</f>
        <v/>
      </c>
    </row>
    <row r="3781" spans="1:4" x14ac:dyDescent="0.4">
      <c r="A3781" t="str">
        <f t="shared" si="118"/>
        <v/>
      </c>
      <c r="B3781" t="str">
        <f t="shared" si="119"/>
        <v/>
      </c>
      <c r="C3781" t="str">
        <f>IF(D3781="","",IF(COUNTIF($D$2:D3781,D3781)&gt;1,"",SUMIFS(tbl_input[필요수량],tbl_input[집계키_청],D3781)))</f>
        <v/>
      </c>
      <c r="D3781" t="str">
        <f>IFERROR(INDEX(tbl_input[집계키_청],ROW()-1),"")</f>
        <v/>
      </c>
    </row>
    <row r="3782" spans="1:4" x14ac:dyDescent="0.4">
      <c r="A3782" t="str">
        <f t="shared" si="118"/>
        <v/>
      </c>
      <c r="B3782" t="str">
        <f t="shared" si="119"/>
        <v/>
      </c>
      <c r="C3782" t="str">
        <f>IF(D3782="","",IF(COUNTIF($D$2:D3782,D3782)&gt;1,"",SUMIFS(tbl_input[필요수량],tbl_input[집계키_청],D3782)))</f>
        <v/>
      </c>
      <c r="D3782" t="str">
        <f>IFERROR(INDEX(tbl_input[집계키_청],ROW()-1),"")</f>
        <v/>
      </c>
    </row>
    <row r="3783" spans="1:4" x14ac:dyDescent="0.4">
      <c r="A3783" t="str">
        <f t="shared" si="118"/>
        <v/>
      </c>
      <c r="B3783" t="str">
        <f t="shared" si="119"/>
        <v/>
      </c>
      <c r="C3783" t="str">
        <f>IF(D3783="","",IF(COUNTIF($D$2:D3783,D3783)&gt;1,"",SUMIFS(tbl_input[필요수량],tbl_input[집계키_청],D3783)))</f>
        <v/>
      </c>
      <c r="D3783" t="str">
        <f>IFERROR(INDEX(tbl_input[집계키_청],ROW()-1),"")</f>
        <v/>
      </c>
    </row>
    <row r="3784" spans="1:4" x14ac:dyDescent="0.4">
      <c r="A3784" t="str">
        <f t="shared" si="118"/>
        <v/>
      </c>
      <c r="B3784" t="str">
        <f t="shared" si="119"/>
        <v/>
      </c>
      <c r="C3784" t="str">
        <f>IF(D3784="","",IF(COUNTIF($D$2:D3784,D3784)&gt;1,"",SUMIFS(tbl_input[필요수량],tbl_input[집계키_청],D3784)))</f>
        <v/>
      </c>
      <c r="D3784" t="str">
        <f>IFERROR(INDEX(tbl_input[집계키_청],ROW()-1),"")</f>
        <v/>
      </c>
    </row>
    <row r="3785" spans="1:4" x14ac:dyDescent="0.4">
      <c r="A3785" t="str">
        <f t="shared" si="118"/>
        <v/>
      </c>
      <c r="B3785" t="str">
        <f t="shared" si="119"/>
        <v/>
      </c>
      <c r="C3785" t="str">
        <f>IF(D3785="","",IF(COUNTIF($D$2:D3785,D3785)&gt;1,"",SUMIFS(tbl_input[필요수량],tbl_input[집계키_청],D3785)))</f>
        <v/>
      </c>
      <c r="D3785" t="str">
        <f>IFERROR(INDEX(tbl_input[집계키_청],ROW()-1),"")</f>
        <v/>
      </c>
    </row>
    <row r="3786" spans="1:4" x14ac:dyDescent="0.4">
      <c r="A3786" t="str">
        <f t="shared" si="118"/>
        <v/>
      </c>
      <c r="B3786" t="str">
        <f t="shared" si="119"/>
        <v/>
      </c>
      <c r="C3786" t="str">
        <f>IF(D3786="","",IF(COUNTIF($D$2:D3786,D3786)&gt;1,"",SUMIFS(tbl_input[필요수량],tbl_input[집계키_청],D3786)))</f>
        <v/>
      </c>
      <c r="D3786" t="str">
        <f>IFERROR(INDEX(tbl_input[집계키_청],ROW()-1),"")</f>
        <v/>
      </c>
    </row>
    <row r="3787" spans="1:4" x14ac:dyDescent="0.4">
      <c r="A3787" t="str">
        <f t="shared" si="118"/>
        <v/>
      </c>
      <c r="B3787" t="str">
        <f t="shared" si="119"/>
        <v/>
      </c>
      <c r="C3787" t="str">
        <f>IF(D3787="","",IF(COUNTIF($D$2:D3787,D3787)&gt;1,"",SUMIFS(tbl_input[필요수량],tbl_input[집계키_청],D3787)))</f>
        <v/>
      </c>
      <c r="D3787" t="str">
        <f>IFERROR(INDEX(tbl_input[집계키_청],ROW()-1),"")</f>
        <v/>
      </c>
    </row>
    <row r="3788" spans="1:4" x14ac:dyDescent="0.4">
      <c r="A3788" t="str">
        <f t="shared" si="118"/>
        <v/>
      </c>
      <c r="B3788" t="str">
        <f t="shared" si="119"/>
        <v/>
      </c>
      <c r="C3788" t="str">
        <f>IF(D3788="","",IF(COUNTIF($D$2:D3788,D3788)&gt;1,"",SUMIFS(tbl_input[필요수량],tbl_input[집계키_청],D3788)))</f>
        <v/>
      </c>
      <c r="D3788" t="str">
        <f>IFERROR(INDEX(tbl_input[집계키_청],ROW()-1),"")</f>
        <v/>
      </c>
    </row>
    <row r="3789" spans="1:4" x14ac:dyDescent="0.4">
      <c r="A3789" t="str">
        <f t="shared" si="118"/>
        <v/>
      </c>
      <c r="B3789" t="str">
        <f t="shared" si="119"/>
        <v/>
      </c>
      <c r="C3789" t="str">
        <f>IF(D3789="","",IF(COUNTIF($D$2:D3789,D3789)&gt;1,"",SUMIFS(tbl_input[필요수량],tbl_input[집계키_청],D3789)))</f>
        <v/>
      </c>
      <c r="D3789" t="str">
        <f>IFERROR(INDEX(tbl_input[집계키_청],ROW()-1),"")</f>
        <v/>
      </c>
    </row>
    <row r="3790" spans="1:4" x14ac:dyDescent="0.4">
      <c r="A3790" t="str">
        <f t="shared" si="118"/>
        <v/>
      </c>
      <c r="B3790" t="str">
        <f t="shared" si="119"/>
        <v/>
      </c>
      <c r="C3790" t="str">
        <f>IF(D3790="","",IF(COUNTIF($D$2:D3790,D3790)&gt;1,"",SUMIFS(tbl_input[필요수량],tbl_input[집계키_청],D3790)))</f>
        <v/>
      </c>
      <c r="D3790" t="str">
        <f>IFERROR(INDEX(tbl_input[집계키_청],ROW()-1),"")</f>
        <v/>
      </c>
    </row>
    <row r="3791" spans="1:4" x14ac:dyDescent="0.4">
      <c r="A3791" t="str">
        <f t="shared" si="118"/>
        <v/>
      </c>
      <c r="B3791" t="str">
        <f t="shared" si="119"/>
        <v/>
      </c>
      <c r="C3791" t="str">
        <f>IF(D3791="","",IF(COUNTIF($D$2:D3791,D3791)&gt;1,"",SUMIFS(tbl_input[필요수량],tbl_input[집계키_청],D3791)))</f>
        <v/>
      </c>
      <c r="D3791" t="str">
        <f>IFERROR(INDEX(tbl_input[집계키_청],ROW()-1),"")</f>
        <v/>
      </c>
    </row>
    <row r="3792" spans="1:4" x14ac:dyDescent="0.4">
      <c r="A3792" t="str">
        <f t="shared" si="118"/>
        <v/>
      </c>
      <c r="B3792" t="str">
        <f t="shared" si="119"/>
        <v/>
      </c>
      <c r="C3792" t="str">
        <f>IF(D3792="","",IF(COUNTIF($D$2:D3792,D3792)&gt;1,"",SUMIFS(tbl_input[필요수량],tbl_input[집계키_청],D3792)))</f>
        <v/>
      </c>
      <c r="D3792" t="str">
        <f>IFERROR(INDEX(tbl_input[집계키_청],ROW()-1),"")</f>
        <v/>
      </c>
    </row>
    <row r="3793" spans="1:4" x14ac:dyDescent="0.4">
      <c r="A3793" t="str">
        <f t="shared" si="118"/>
        <v/>
      </c>
      <c r="B3793" t="str">
        <f t="shared" si="119"/>
        <v/>
      </c>
      <c r="C3793" t="str">
        <f>IF(D3793="","",IF(COUNTIF($D$2:D3793,D3793)&gt;1,"",SUMIFS(tbl_input[필요수량],tbl_input[집계키_청],D3793)))</f>
        <v/>
      </c>
      <c r="D3793" t="str">
        <f>IFERROR(INDEX(tbl_input[집계키_청],ROW()-1),"")</f>
        <v/>
      </c>
    </row>
    <row r="3794" spans="1:4" x14ac:dyDescent="0.4">
      <c r="A3794" t="str">
        <f t="shared" si="118"/>
        <v/>
      </c>
      <c r="B3794" t="str">
        <f t="shared" si="119"/>
        <v/>
      </c>
      <c r="C3794" t="str">
        <f>IF(D3794="","",IF(COUNTIF($D$2:D3794,D3794)&gt;1,"",SUMIFS(tbl_input[필요수량],tbl_input[집계키_청],D3794)))</f>
        <v/>
      </c>
      <c r="D3794" t="str">
        <f>IFERROR(INDEX(tbl_input[집계키_청],ROW()-1),"")</f>
        <v/>
      </c>
    </row>
    <row r="3795" spans="1:4" x14ac:dyDescent="0.4">
      <c r="A3795" t="str">
        <f t="shared" si="118"/>
        <v/>
      </c>
      <c r="B3795" t="str">
        <f t="shared" si="119"/>
        <v/>
      </c>
      <c r="C3795" t="str">
        <f>IF(D3795="","",IF(COUNTIF($D$2:D3795,D3795)&gt;1,"",SUMIFS(tbl_input[필요수량],tbl_input[집계키_청],D3795)))</f>
        <v/>
      </c>
      <c r="D3795" t="str">
        <f>IFERROR(INDEX(tbl_input[집계키_청],ROW()-1),"")</f>
        <v/>
      </c>
    </row>
    <row r="3796" spans="1:4" x14ac:dyDescent="0.4">
      <c r="A3796" t="str">
        <f t="shared" si="118"/>
        <v/>
      </c>
      <c r="B3796" t="str">
        <f t="shared" si="119"/>
        <v/>
      </c>
      <c r="C3796" t="str">
        <f>IF(D3796="","",IF(COUNTIF($D$2:D3796,D3796)&gt;1,"",SUMIFS(tbl_input[필요수량],tbl_input[집계키_청],D3796)))</f>
        <v/>
      </c>
      <c r="D3796" t="str">
        <f>IFERROR(INDEX(tbl_input[집계키_청],ROW()-1),"")</f>
        <v/>
      </c>
    </row>
    <row r="3797" spans="1:4" x14ac:dyDescent="0.4">
      <c r="A3797" t="str">
        <f t="shared" si="118"/>
        <v/>
      </c>
      <c r="B3797" t="str">
        <f t="shared" si="119"/>
        <v/>
      </c>
      <c r="C3797" t="str">
        <f>IF(D3797="","",IF(COUNTIF($D$2:D3797,D3797)&gt;1,"",SUMIFS(tbl_input[필요수량],tbl_input[집계키_청],D3797)))</f>
        <v/>
      </c>
      <c r="D3797" t="str">
        <f>IFERROR(INDEX(tbl_input[집계키_청],ROW()-1),"")</f>
        <v/>
      </c>
    </row>
    <row r="3798" spans="1:4" x14ac:dyDescent="0.4">
      <c r="A3798" t="str">
        <f t="shared" si="118"/>
        <v/>
      </c>
      <c r="B3798" t="str">
        <f t="shared" si="119"/>
        <v/>
      </c>
      <c r="C3798" t="str">
        <f>IF(D3798="","",IF(COUNTIF($D$2:D3798,D3798)&gt;1,"",SUMIFS(tbl_input[필요수량],tbl_input[집계키_청],D3798)))</f>
        <v/>
      </c>
      <c r="D3798" t="str">
        <f>IFERROR(INDEX(tbl_input[집계키_청],ROW()-1),"")</f>
        <v/>
      </c>
    </row>
    <row r="3799" spans="1:4" x14ac:dyDescent="0.4">
      <c r="A3799" t="str">
        <f t="shared" si="118"/>
        <v/>
      </c>
      <c r="B3799" t="str">
        <f t="shared" si="119"/>
        <v/>
      </c>
      <c r="C3799" t="str">
        <f>IF(D3799="","",IF(COUNTIF($D$2:D3799,D3799)&gt;1,"",SUMIFS(tbl_input[필요수량],tbl_input[집계키_청],D3799)))</f>
        <v/>
      </c>
      <c r="D3799" t="str">
        <f>IFERROR(INDEX(tbl_input[집계키_청],ROW()-1),"")</f>
        <v/>
      </c>
    </row>
    <row r="3800" spans="1:4" x14ac:dyDescent="0.4">
      <c r="A3800" t="str">
        <f t="shared" si="118"/>
        <v/>
      </c>
      <c r="B3800" t="str">
        <f t="shared" si="119"/>
        <v/>
      </c>
      <c r="C3800" t="str">
        <f>IF(D3800="","",IF(COUNTIF($D$2:D3800,D3800)&gt;1,"",SUMIFS(tbl_input[필요수량],tbl_input[집계키_청],D3800)))</f>
        <v/>
      </c>
      <c r="D3800" t="str">
        <f>IFERROR(INDEX(tbl_input[집계키_청],ROW()-1),"")</f>
        <v/>
      </c>
    </row>
    <row r="3801" spans="1:4" x14ac:dyDescent="0.4">
      <c r="A3801" t="str">
        <f t="shared" si="118"/>
        <v/>
      </c>
      <c r="B3801" t="str">
        <f t="shared" si="119"/>
        <v/>
      </c>
      <c r="C3801" t="str">
        <f>IF(D3801="","",IF(COUNTIF($D$2:D3801,D3801)&gt;1,"",SUMIFS(tbl_input[필요수량],tbl_input[집계키_청],D3801)))</f>
        <v/>
      </c>
      <c r="D3801" t="str">
        <f>IFERROR(INDEX(tbl_input[집계키_청],ROW()-1),"")</f>
        <v/>
      </c>
    </row>
    <row r="3802" spans="1:4" x14ac:dyDescent="0.4">
      <c r="A3802" t="str">
        <f t="shared" si="118"/>
        <v/>
      </c>
      <c r="B3802" t="str">
        <f t="shared" si="119"/>
        <v/>
      </c>
      <c r="C3802" t="str">
        <f>IF(D3802="","",IF(COUNTIF($D$2:D3802,D3802)&gt;1,"",SUMIFS(tbl_input[필요수량],tbl_input[집계키_청],D3802)))</f>
        <v/>
      </c>
      <c r="D3802" t="str">
        <f>IFERROR(INDEX(tbl_input[집계키_청],ROW()-1),"")</f>
        <v/>
      </c>
    </row>
    <row r="3803" spans="1:4" x14ac:dyDescent="0.4">
      <c r="A3803" t="str">
        <f t="shared" si="118"/>
        <v/>
      </c>
      <c r="B3803" t="str">
        <f t="shared" si="119"/>
        <v/>
      </c>
      <c r="C3803" t="str">
        <f>IF(D3803="","",IF(COUNTIF($D$2:D3803,D3803)&gt;1,"",SUMIFS(tbl_input[필요수량],tbl_input[집계키_청],D3803)))</f>
        <v/>
      </c>
      <c r="D3803" t="str">
        <f>IFERROR(INDEX(tbl_input[집계키_청],ROW()-1),"")</f>
        <v/>
      </c>
    </row>
    <row r="3804" spans="1:4" x14ac:dyDescent="0.4">
      <c r="A3804" t="str">
        <f t="shared" si="118"/>
        <v/>
      </c>
      <c r="B3804" t="str">
        <f t="shared" si="119"/>
        <v/>
      </c>
      <c r="C3804" t="str">
        <f>IF(D3804="","",IF(COUNTIF($D$2:D3804,D3804)&gt;1,"",SUMIFS(tbl_input[필요수량],tbl_input[집계키_청],D3804)))</f>
        <v/>
      </c>
      <c r="D3804" t="str">
        <f>IFERROR(INDEX(tbl_input[집계키_청],ROW()-1),"")</f>
        <v/>
      </c>
    </row>
    <row r="3805" spans="1:4" x14ac:dyDescent="0.4">
      <c r="A3805" t="str">
        <f t="shared" si="118"/>
        <v/>
      </c>
      <c r="B3805" t="str">
        <f t="shared" si="119"/>
        <v/>
      </c>
      <c r="C3805" t="str">
        <f>IF(D3805="","",IF(COUNTIF($D$2:D3805,D3805)&gt;1,"",SUMIFS(tbl_input[필요수량],tbl_input[집계키_청],D3805)))</f>
        <v/>
      </c>
      <c r="D3805" t="str">
        <f>IFERROR(INDEX(tbl_input[집계키_청],ROW()-1),"")</f>
        <v/>
      </c>
    </row>
    <row r="3806" spans="1:4" x14ac:dyDescent="0.4">
      <c r="A3806" t="str">
        <f t="shared" si="118"/>
        <v/>
      </c>
      <c r="B3806" t="str">
        <f t="shared" si="119"/>
        <v/>
      </c>
      <c r="C3806" t="str">
        <f>IF(D3806="","",IF(COUNTIF($D$2:D3806,D3806)&gt;1,"",SUMIFS(tbl_input[필요수량],tbl_input[집계키_청],D3806)))</f>
        <v/>
      </c>
      <c r="D3806" t="str">
        <f>IFERROR(INDEX(tbl_input[집계키_청],ROW()-1),"")</f>
        <v/>
      </c>
    </row>
    <row r="3807" spans="1:4" x14ac:dyDescent="0.4">
      <c r="A3807" t="str">
        <f t="shared" si="118"/>
        <v/>
      </c>
      <c r="B3807" t="str">
        <f t="shared" si="119"/>
        <v/>
      </c>
      <c r="C3807" t="str">
        <f>IF(D3807="","",IF(COUNTIF($D$2:D3807,D3807)&gt;1,"",SUMIFS(tbl_input[필요수량],tbl_input[집계키_청],D3807)))</f>
        <v/>
      </c>
      <c r="D3807" t="str">
        <f>IFERROR(INDEX(tbl_input[집계키_청],ROW()-1),"")</f>
        <v/>
      </c>
    </row>
    <row r="3808" spans="1:4" x14ac:dyDescent="0.4">
      <c r="A3808" t="str">
        <f t="shared" si="118"/>
        <v/>
      </c>
      <c r="B3808" t="str">
        <f t="shared" si="119"/>
        <v/>
      </c>
      <c r="C3808" t="str">
        <f>IF(D3808="","",IF(COUNTIF($D$2:D3808,D3808)&gt;1,"",SUMIFS(tbl_input[필요수량],tbl_input[집계키_청],D3808)))</f>
        <v/>
      </c>
      <c r="D3808" t="str">
        <f>IFERROR(INDEX(tbl_input[집계키_청],ROW()-1),"")</f>
        <v/>
      </c>
    </row>
    <row r="3809" spans="1:4" x14ac:dyDescent="0.4">
      <c r="A3809" t="str">
        <f t="shared" si="118"/>
        <v/>
      </c>
      <c r="B3809" t="str">
        <f t="shared" si="119"/>
        <v/>
      </c>
      <c r="C3809" t="str">
        <f>IF(D3809="","",IF(COUNTIF($D$2:D3809,D3809)&gt;1,"",SUMIFS(tbl_input[필요수량],tbl_input[집계키_청],D3809)))</f>
        <v/>
      </c>
      <c r="D3809" t="str">
        <f>IFERROR(INDEX(tbl_input[집계키_청],ROW()-1),"")</f>
        <v/>
      </c>
    </row>
    <row r="3810" spans="1:4" x14ac:dyDescent="0.4">
      <c r="A3810" t="str">
        <f t="shared" si="118"/>
        <v/>
      </c>
      <c r="B3810" t="str">
        <f t="shared" si="119"/>
        <v/>
      </c>
      <c r="C3810" t="str">
        <f>IF(D3810="","",IF(COUNTIF($D$2:D3810,D3810)&gt;1,"",SUMIFS(tbl_input[필요수량],tbl_input[집계키_청],D3810)))</f>
        <v/>
      </c>
      <c r="D3810" t="str">
        <f>IFERROR(INDEX(tbl_input[집계키_청],ROW()-1),"")</f>
        <v/>
      </c>
    </row>
    <row r="3811" spans="1:4" x14ac:dyDescent="0.4">
      <c r="A3811" t="str">
        <f t="shared" si="118"/>
        <v/>
      </c>
      <c r="B3811" t="str">
        <f t="shared" si="119"/>
        <v/>
      </c>
      <c r="C3811" t="str">
        <f>IF(D3811="","",IF(COUNTIF($D$2:D3811,D3811)&gt;1,"",SUMIFS(tbl_input[필요수량],tbl_input[집계키_청],D3811)))</f>
        <v/>
      </c>
      <c r="D3811" t="str">
        <f>IFERROR(INDEX(tbl_input[집계키_청],ROW()-1),"")</f>
        <v/>
      </c>
    </row>
    <row r="3812" spans="1:4" x14ac:dyDescent="0.4">
      <c r="A3812" t="str">
        <f t="shared" si="118"/>
        <v/>
      </c>
      <c r="B3812" t="str">
        <f t="shared" si="119"/>
        <v/>
      </c>
      <c r="C3812" t="str">
        <f>IF(D3812="","",IF(COUNTIF($D$2:D3812,D3812)&gt;1,"",SUMIFS(tbl_input[필요수량],tbl_input[집계키_청],D3812)))</f>
        <v/>
      </c>
      <c r="D3812" t="str">
        <f>IFERROR(INDEX(tbl_input[집계키_청],ROW()-1),"")</f>
        <v/>
      </c>
    </row>
    <row r="3813" spans="1:4" x14ac:dyDescent="0.4">
      <c r="A3813" t="str">
        <f t="shared" si="118"/>
        <v/>
      </c>
      <c r="B3813" t="str">
        <f t="shared" si="119"/>
        <v/>
      </c>
      <c r="C3813" t="str">
        <f>IF(D3813="","",IF(COUNTIF($D$2:D3813,D3813)&gt;1,"",SUMIFS(tbl_input[필요수량],tbl_input[집계키_청],D3813)))</f>
        <v/>
      </c>
      <c r="D3813" t="str">
        <f>IFERROR(INDEX(tbl_input[집계키_청],ROW()-1),"")</f>
        <v/>
      </c>
    </row>
    <row r="3814" spans="1:4" x14ac:dyDescent="0.4">
      <c r="A3814" t="str">
        <f t="shared" si="118"/>
        <v/>
      </c>
      <c r="B3814" t="str">
        <f t="shared" si="119"/>
        <v/>
      </c>
      <c r="C3814" t="str">
        <f>IF(D3814="","",IF(COUNTIF($D$2:D3814,D3814)&gt;1,"",SUMIFS(tbl_input[필요수량],tbl_input[집계키_청],D3814)))</f>
        <v/>
      </c>
      <c r="D3814" t="str">
        <f>IFERROR(INDEX(tbl_input[집계키_청],ROW()-1),"")</f>
        <v/>
      </c>
    </row>
    <row r="3815" spans="1:4" x14ac:dyDescent="0.4">
      <c r="A3815" t="str">
        <f t="shared" si="118"/>
        <v/>
      </c>
      <c r="B3815" t="str">
        <f t="shared" si="119"/>
        <v/>
      </c>
      <c r="C3815" t="str">
        <f>IF(D3815="","",IF(COUNTIF($D$2:D3815,D3815)&gt;1,"",SUMIFS(tbl_input[필요수량],tbl_input[집계키_청],D3815)))</f>
        <v/>
      </c>
      <c r="D3815" t="str">
        <f>IFERROR(INDEX(tbl_input[집계키_청],ROW()-1),"")</f>
        <v/>
      </c>
    </row>
    <row r="3816" spans="1:4" x14ac:dyDescent="0.4">
      <c r="A3816" t="str">
        <f t="shared" si="118"/>
        <v/>
      </c>
      <c r="B3816" t="str">
        <f t="shared" si="119"/>
        <v/>
      </c>
      <c r="C3816" t="str">
        <f>IF(D3816="","",IF(COUNTIF($D$2:D3816,D3816)&gt;1,"",SUMIFS(tbl_input[필요수량],tbl_input[집계키_청],D3816)))</f>
        <v/>
      </c>
      <c r="D3816" t="str">
        <f>IFERROR(INDEX(tbl_input[집계키_청],ROW()-1),"")</f>
        <v/>
      </c>
    </row>
    <row r="3817" spans="1:4" x14ac:dyDescent="0.4">
      <c r="A3817" t="str">
        <f t="shared" si="118"/>
        <v/>
      </c>
      <c r="B3817" t="str">
        <f t="shared" si="119"/>
        <v/>
      </c>
      <c r="C3817" t="str">
        <f>IF(D3817="","",IF(COUNTIF($D$2:D3817,D3817)&gt;1,"",SUMIFS(tbl_input[필요수량],tbl_input[집계키_청],D3817)))</f>
        <v/>
      </c>
      <c r="D3817" t="str">
        <f>IFERROR(INDEX(tbl_input[집계키_청],ROW()-1),"")</f>
        <v/>
      </c>
    </row>
    <row r="3818" spans="1:4" x14ac:dyDescent="0.4">
      <c r="A3818" t="str">
        <f t="shared" si="118"/>
        <v/>
      </c>
      <c r="B3818" t="str">
        <f t="shared" si="119"/>
        <v/>
      </c>
      <c r="C3818" t="str">
        <f>IF(D3818="","",IF(COUNTIF($D$2:D3818,D3818)&gt;1,"",SUMIFS(tbl_input[필요수량],tbl_input[집계키_청],D3818)))</f>
        <v/>
      </c>
      <c r="D3818" t="str">
        <f>IFERROR(INDEX(tbl_input[집계키_청],ROW()-1),"")</f>
        <v/>
      </c>
    </row>
    <row r="3819" spans="1:4" x14ac:dyDescent="0.4">
      <c r="A3819" t="str">
        <f t="shared" si="118"/>
        <v/>
      </c>
      <c r="B3819" t="str">
        <f t="shared" si="119"/>
        <v/>
      </c>
      <c r="C3819" t="str">
        <f>IF(D3819="","",IF(COUNTIF($D$2:D3819,D3819)&gt;1,"",SUMIFS(tbl_input[필요수량],tbl_input[집계키_청],D3819)))</f>
        <v/>
      </c>
      <c r="D3819" t="str">
        <f>IFERROR(INDEX(tbl_input[집계키_청],ROW()-1),"")</f>
        <v/>
      </c>
    </row>
    <row r="3820" spans="1:4" x14ac:dyDescent="0.4">
      <c r="A3820" t="str">
        <f t="shared" si="118"/>
        <v/>
      </c>
      <c r="B3820" t="str">
        <f t="shared" si="119"/>
        <v/>
      </c>
      <c r="C3820" t="str">
        <f>IF(D3820="","",IF(COUNTIF($D$2:D3820,D3820)&gt;1,"",SUMIFS(tbl_input[필요수량],tbl_input[집계키_청],D3820)))</f>
        <v/>
      </c>
      <c r="D3820" t="str">
        <f>IFERROR(INDEX(tbl_input[집계키_청],ROW()-1),"")</f>
        <v/>
      </c>
    </row>
    <row r="3821" spans="1:4" x14ac:dyDescent="0.4">
      <c r="A3821" t="str">
        <f t="shared" si="118"/>
        <v/>
      </c>
      <c r="B3821" t="str">
        <f t="shared" si="119"/>
        <v/>
      </c>
      <c r="C3821" t="str">
        <f>IF(D3821="","",IF(COUNTIF($D$2:D3821,D3821)&gt;1,"",SUMIFS(tbl_input[필요수량],tbl_input[집계키_청],D3821)))</f>
        <v/>
      </c>
      <c r="D3821" t="str">
        <f>IFERROR(INDEX(tbl_input[집계키_청],ROW()-1),"")</f>
        <v/>
      </c>
    </row>
    <row r="3822" spans="1:4" x14ac:dyDescent="0.4">
      <c r="A3822" t="str">
        <f t="shared" si="118"/>
        <v/>
      </c>
      <c r="B3822" t="str">
        <f t="shared" si="119"/>
        <v/>
      </c>
      <c r="C3822" t="str">
        <f>IF(D3822="","",IF(COUNTIF($D$2:D3822,D3822)&gt;1,"",SUMIFS(tbl_input[필요수량],tbl_input[집계키_청],D3822)))</f>
        <v/>
      </c>
      <c r="D3822" t="str">
        <f>IFERROR(INDEX(tbl_input[집계키_청],ROW()-1),"")</f>
        <v/>
      </c>
    </row>
    <row r="3823" spans="1:4" x14ac:dyDescent="0.4">
      <c r="A3823" t="str">
        <f t="shared" si="118"/>
        <v/>
      </c>
      <c r="B3823" t="str">
        <f t="shared" si="119"/>
        <v/>
      </c>
      <c r="C3823" t="str">
        <f>IF(D3823="","",IF(COUNTIF($D$2:D3823,D3823)&gt;1,"",SUMIFS(tbl_input[필요수량],tbl_input[집계키_청],D3823)))</f>
        <v/>
      </c>
      <c r="D3823" t="str">
        <f>IFERROR(INDEX(tbl_input[집계키_청],ROW()-1),"")</f>
        <v/>
      </c>
    </row>
    <row r="3824" spans="1:4" x14ac:dyDescent="0.4">
      <c r="A3824" t="str">
        <f t="shared" si="118"/>
        <v/>
      </c>
      <c r="B3824" t="str">
        <f t="shared" si="119"/>
        <v/>
      </c>
      <c r="C3824" t="str">
        <f>IF(D3824="","",IF(COUNTIF($D$2:D3824,D3824)&gt;1,"",SUMIFS(tbl_input[필요수량],tbl_input[집계키_청],D3824)))</f>
        <v/>
      </c>
      <c r="D3824" t="str">
        <f>IFERROR(INDEX(tbl_input[집계키_청],ROW()-1),"")</f>
        <v/>
      </c>
    </row>
    <row r="3825" spans="1:4" x14ac:dyDescent="0.4">
      <c r="A3825" t="str">
        <f t="shared" si="118"/>
        <v/>
      </c>
      <c r="B3825" t="str">
        <f t="shared" si="119"/>
        <v/>
      </c>
      <c r="C3825" t="str">
        <f>IF(D3825="","",IF(COUNTIF($D$2:D3825,D3825)&gt;1,"",SUMIFS(tbl_input[필요수량],tbl_input[집계키_청],D3825)))</f>
        <v/>
      </c>
      <c r="D3825" t="str">
        <f>IFERROR(INDEX(tbl_input[집계키_청],ROW()-1),"")</f>
        <v/>
      </c>
    </row>
    <row r="3826" spans="1:4" x14ac:dyDescent="0.4">
      <c r="A3826" t="str">
        <f t="shared" si="118"/>
        <v/>
      </c>
      <c r="B3826" t="str">
        <f t="shared" si="119"/>
        <v/>
      </c>
      <c r="C3826" t="str">
        <f>IF(D3826="","",IF(COUNTIF($D$2:D3826,D3826)&gt;1,"",SUMIFS(tbl_input[필요수량],tbl_input[집계키_청],D3826)))</f>
        <v/>
      </c>
      <c r="D3826" t="str">
        <f>IFERROR(INDEX(tbl_input[집계키_청],ROW()-1),"")</f>
        <v/>
      </c>
    </row>
    <row r="3827" spans="1:4" x14ac:dyDescent="0.4">
      <c r="A3827" t="str">
        <f t="shared" si="118"/>
        <v/>
      </c>
      <c r="B3827" t="str">
        <f t="shared" si="119"/>
        <v/>
      </c>
      <c r="C3827" t="str">
        <f>IF(D3827="","",IF(COUNTIF($D$2:D3827,D3827)&gt;1,"",SUMIFS(tbl_input[필요수량],tbl_input[집계키_청],D3827)))</f>
        <v/>
      </c>
      <c r="D3827" t="str">
        <f>IFERROR(INDEX(tbl_input[집계키_청],ROW()-1),"")</f>
        <v/>
      </c>
    </row>
    <row r="3828" spans="1:4" x14ac:dyDescent="0.4">
      <c r="A3828" t="str">
        <f t="shared" si="118"/>
        <v/>
      </c>
      <c r="B3828" t="str">
        <f t="shared" si="119"/>
        <v/>
      </c>
      <c r="C3828" t="str">
        <f>IF(D3828="","",IF(COUNTIF($D$2:D3828,D3828)&gt;1,"",SUMIFS(tbl_input[필요수량],tbl_input[집계키_청],D3828)))</f>
        <v/>
      </c>
      <c r="D3828" t="str">
        <f>IFERROR(INDEX(tbl_input[집계키_청],ROW()-1),"")</f>
        <v/>
      </c>
    </row>
    <row r="3829" spans="1:4" x14ac:dyDescent="0.4">
      <c r="A3829" t="str">
        <f t="shared" si="118"/>
        <v/>
      </c>
      <c r="B3829" t="str">
        <f t="shared" si="119"/>
        <v/>
      </c>
      <c r="C3829" t="str">
        <f>IF(D3829="","",IF(COUNTIF($D$2:D3829,D3829)&gt;1,"",SUMIFS(tbl_input[필요수량],tbl_input[집계키_청],D3829)))</f>
        <v/>
      </c>
      <c r="D3829" t="str">
        <f>IFERROR(INDEX(tbl_input[집계키_청],ROW()-1),"")</f>
        <v/>
      </c>
    </row>
    <row r="3830" spans="1:4" x14ac:dyDescent="0.4">
      <c r="A3830" t="str">
        <f t="shared" si="118"/>
        <v/>
      </c>
      <c r="B3830" t="str">
        <f t="shared" si="119"/>
        <v/>
      </c>
      <c r="C3830" t="str">
        <f>IF(D3830="","",IF(COUNTIF($D$2:D3830,D3830)&gt;1,"",SUMIFS(tbl_input[필요수량],tbl_input[집계키_청],D3830)))</f>
        <v/>
      </c>
      <c r="D3830" t="str">
        <f>IFERROR(INDEX(tbl_input[집계키_청],ROW()-1),"")</f>
        <v/>
      </c>
    </row>
    <row r="3831" spans="1:4" x14ac:dyDescent="0.4">
      <c r="A3831" t="str">
        <f t="shared" si="118"/>
        <v/>
      </c>
      <c r="B3831" t="str">
        <f t="shared" si="119"/>
        <v/>
      </c>
      <c r="C3831" t="str">
        <f>IF(D3831="","",IF(COUNTIF($D$2:D3831,D3831)&gt;1,"",SUMIFS(tbl_input[필요수량],tbl_input[집계키_청],D3831)))</f>
        <v/>
      </c>
      <c r="D3831" t="str">
        <f>IFERROR(INDEX(tbl_input[집계키_청],ROW()-1),"")</f>
        <v/>
      </c>
    </row>
    <row r="3832" spans="1:4" x14ac:dyDescent="0.4">
      <c r="A3832" t="str">
        <f t="shared" si="118"/>
        <v/>
      </c>
      <c r="B3832" t="str">
        <f t="shared" si="119"/>
        <v/>
      </c>
      <c r="C3832" t="str">
        <f>IF(D3832="","",IF(COUNTIF($D$2:D3832,D3832)&gt;1,"",SUMIFS(tbl_input[필요수량],tbl_input[집계키_청],D3832)))</f>
        <v/>
      </c>
      <c r="D3832" t="str">
        <f>IFERROR(INDEX(tbl_input[집계키_청],ROW()-1),"")</f>
        <v/>
      </c>
    </row>
    <row r="3833" spans="1:4" x14ac:dyDescent="0.4">
      <c r="A3833" t="str">
        <f t="shared" si="118"/>
        <v/>
      </c>
      <c r="B3833" t="str">
        <f t="shared" si="119"/>
        <v/>
      </c>
      <c r="C3833" t="str">
        <f>IF(D3833="","",IF(COUNTIF($D$2:D3833,D3833)&gt;1,"",SUMIFS(tbl_input[필요수량],tbl_input[집계키_청],D3833)))</f>
        <v/>
      </c>
      <c r="D3833" t="str">
        <f>IFERROR(INDEX(tbl_input[집계키_청],ROW()-1),"")</f>
        <v/>
      </c>
    </row>
    <row r="3834" spans="1:4" x14ac:dyDescent="0.4">
      <c r="A3834" t="str">
        <f t="shared" si="118"/>
        <v/>
      </c>
      <c r="B3834" t="str">
        <f t="shared" si="119"/>
        <v/>
      </c>
      <c r="C3834" t="str">
        <f>IF(D3834="","",IF(COUNTIF($D$2:D3834,D3834)&gt;1,"",SUMIFS(tbl_input[필요수량],tbl_input[집계키_청],D3834)))</f>
        <v/>
      </c>
      <c r="D3834" t="str">
        <f>IFERROR(INDEX(tbl_input[집계키_청],ROW()-1),"")</f>
        <v/>
      </c>
    </row>
    <row r="3835" spans="1:4" x14ac:dyDescent="0.4">
      <c r="A3835" t="str">
        <f t="shared" si="118"/>
        <v/>
      </c>
      <c r="B3835" t="str">
        <f t="shared" si="119"/>
        <v/>
      </c>
      <c r="C3835" t="str">
        <f>IF(D3835="","",IF(COUNTIF($D$2:D3835,D3835)&gt;1,"",SUMIFS(tbl_input[필요수량],tbl_input[집계키_청],D3835)))</f>
        <v/>
      </c>
      <c r="D3835" t="str">
        <f>IFERROR(INDEX(tbl_input[집계키_청],ROW()-1),"")</f>
        <v/>
      </c>
    </row>
    <row r="3836" spans="1:4" x14ac:dyDescent="0.4">
      <c r="A3836" t="str">
        <f t="shared" si="118"/>
        <v/>
      </c>
      <c r="B3836" t="str">
        <f t="shared" si="119"/>
        <v/>
      </c>
      <c r="C3836" t="str">
        <f>IF(D3836="","",IF(COUNTIF($D$2:D3836,D3836)&gt;1,"",SUMIFS(tbl_input[필요수량],tbl_input[집계키_청],D3836)))</f>
        <v/>
      </c>
      <c r="D3836" t="str">
        <f>IFERROR(INDEX(tbl_input[집계키_청],ROW()-1),"")</f>
        <v/>
      </c>
    </row>
    <row r="3837" spans="1:4" x14ac:dyDescent="0.4">
      <c r="A3837" t="str">
        <f t="shared" si="118"/>
        <v/>
      </c>
      <c r="B3837" t="str">
        <f t="shared" si="119"/>
        <v/>
      </c>
      <c r="C3837" t="str">
        <f>IF(D3837="","",IF(COUNTIF($D$2:D3837,D3837)&gt;1,"",SUMIFS(tbl_input[필요수량],tbl_input[집계키_청],D3837)))</f>
        <v/>
      </c>
      <c r="D3837" t="str">
        <f>IFERROR(INDEX(tbl_input[집계키_청],ROW()-1),"")</f>
        <v/>
      </c>
    </row>
    <row r="3838" spans="1:4" x14ac:dyDescent="0.4">
      <c r="A3838" t="str">
        <f t="shared" si="118"/>
        <v/>
      </c>
      <c r="B3838" t="str">
        <f t="shared" si="119"/>
        <v/>
      </c>
      <c r="C3838" t="str">
        <f>IF(D3838="","",IF(COUNTIF($D$2:D3838,D3838)&gt;1,"",SUMIFS(tbl_input[필요수량],tbl_input[집계키_청],D3838)))</f>
        <v/>
      </c>
      <c r="D3838" t="str">
        <f>IFERROR(INDEX(tbl_input[집계키_청],ROW()-1),"")</f>
        <v/>
      </c>
    </row>
    <row r="3839" spans="1:4" x14ac:dyDescent="0.4">
      <c r="A3839" t="str">
        <f t="shared" si="118"/>
        <v/>
      </c>
      <c r="B3839" t="str">
        <f t="shared" si="119"/>
        <v/>
      </c>
      <c r="C3839" t="str">
        <f>IF(D3839="","",IF(COUNTIF($D$2:D3839,D3839)&gt;1,"",SUMIFS(tbl_input[필요수량],tbl_input[집계키_청],D3839)))</f>
        <v/>
      </c>
      <c r="D3839" t="str">
        <f>IFERROR(INDEX(tbl_input[집계키_청],ROW()-1),"")</f>
        <v/>
      </c>
    </row>
    <row r="3840" spans="1:4" x14ac:dyDescent="0.4">
      <c r="A3840" t="str">
        <f t="shared" si="118"/>
        <v/>
      </c>
      <c r="B3840" t="str">
        <f t="shared" si="119"/>
        <v/>
      </c>
      <c r="C3840" t="str">
        <f>IF(D3840="","",IF(COUNTIF($D$2:D3840,D3840)&gt;1,"",SUMIFS(tbl_input[필요수량],tbl_input[집계키_청],D3840)))</f>
        <v/>
      </c>
      <c r="D3840" t="str">
        <f>IFERROR(INDEX(tbl_input[집계키_청],ROW()-1),"")</f>
        <v/>
      </c>
    </row>
    <row r="3841" spans="1:4" x14ac:dyDescent="0.4">
      <c r="A3841" t="str">
        <f t="shared" si="118"/>
        <v/>
      </c>
      <c r="B3841" t="str">
        <f t="shared" si="119"/>
        <v/>
      </c>
      <c r="C3841" t="str">
        <f>IF(D3841="","",IF(COUNTIF($D$2:D3841,D3841)&gt;1,"",SUMIFS(tbl_input[필요수량],tbl_input[집계키_청],D3841)))</f>
        <v/>
      </c>
      <c r="D3841" t="str">
        <f>IFERROR(INDEX(tbl_input[집계키_청],ROW()-1),"")</f>
        <v/>
      </c>
    </row>
    <row r="3842" spans="1:4" x14ac:dyDescent="0.4">
      <c r="A3842" t="str">
        <f t="shared" ref="A3842:A3905" si="120">IF(D3842="","",LEFT(D3842,FIND("♦",D3842)-1))</f>
        <v/>
      </c>
      <c r="B3842" t="str">
        <f t="shared" ref="B3842:B3905" si="121">IF(D3842="","",MID(D3842,FIND("♦",D3842)+1,999))</f>
        <v/>
      </c>
      <c r="C3842" t="str">
        <f>IF(D3842="","",IF(COUNTIF($D$2:D3842,D3842)&gt;1,"",SUMIFS(tbl_input[필요수량],tbl_input[집계키_청],D3842)))</f>
        <v/>
      </c>
      <c r="D3842" t="str">
        <f>IFERROR(INDEX(tbl_input[집계키_청],ROW()-1),"")</f>
        <v/>
      </c>
    </row>
    <row r="3843" spans="1:4" x14ac:dyDescent="0.4">
      <c r="A3843" t="str">
        <f t="shared" si="120"/>
        <v/>
      </c>
      <c r="B3843" t="str">
        <f t="shared" si="121"/>
        <v/>
      </c>
      <c r="C3843" t="str">
        <f>IF(D3843="","",IF(COUNTIF($D$2:D3843,D3843)&gt;1,"",SUMIFS(tbl_input[필요수량],tbl_input[집계키_청],D3843)))</f>
        <v/>
      </c>
      <c r="D3843" t="str">
        <f>IFERROR(INDEX(tbl_input[집계키_청],ROW()-1),"")</f>
        <v/>
      </c>
    </row>
    <row r="3844" spans="1:4" x14ac:dyDescent="0.4">
      <c r="A3844" t="str">
        <f t="shared" si="120"/>
        <v/>
      </c>
      <c r="B3844" t="str">
        <f t="shared" si="121"/>
        <v/>
      </c>
      <c r="C3844" t="str">
        <f>IF(D3844="","",IF(COUNTIF($D$2:D3844,D3844)&gt;1,"",SUMIFS(tbl_input[필요수량],tbl_input[집계키_청],D3844)))</f>
        <v/>
      </c>
      <c r="D3844" t="str">
        <f>IFERROR(INDEX(tbl_input[집계키_청],ROW()-1),"")</f>
        <v/>
      </c>
    </row>
    <row r="3845" spans="1:4" x14ac:dyDescent="0.4">
      <c r="A3845" t="str">
        <f t="shared" si="120"/>
        <v/>
      </c>
      <c r="B3845" t="str">
        <f t="shared" si="121"/>
        <v/>
      </c>
      <c r="C3845" t="str">
        <f>IF(D3845="","",IF(COUNTIF($D$2:D3845,D3845)&gt;1,"",SUMIFS(tbl_input[필요수량],tbl_input[집계키_청],D3845)))</f>
        <v/>
      </c>
      <c r="D3845" t="str">
        <f>IFERROR(INDEX(tbl_input[집계키_청],ROW()-1),"")</f>
        <v/>
      </c>
    </row>
    <row r="3846" spans="1:4" x14ac:dyDescent="0.4">
      <c r="A3846" t="str">
        <f t="shared" si="120"/>
        <v/>
      </c>
      <c r="B3846" t="str">
        <f t="shared" si="121"/>
        <v/>
      </c>
      <c r="C3846" t="str">
        <f>IF(D3846="","",IF(COUNTIF($D$2:D3846,D3846)&gt;1,"",SUMIFS(tbl_input[필요수량],tbl_input[집계키_청],D3846)))</f>
        <v/>
      </c>
      <c r="D3846" t="str">
        <f>IFERROR(INDEX(tbl_input[집계키_청],ROW()-1),"")</f>
        <v/>
      </c>
    </row>
    <row r="3847" spans="1:4" x14ac:dyDescent="0.4">
      <c r="A3847" t="str">
        <f t="shared" si="120"/>
        <v/>
      </c>
      <c r="B3847" t="str">
        <f t="shared" si="121"/>
        <v/>
      </c>
      <c r="C3847" t="str">
        <f>IF(D3847="","",IF(COUNTIF($D$2:D3847,D3847)&gt;1,"",SUMIFS(tbl_input[필요수량],tbl_input[집계키_청],D3847)))</f>
        <v/>
      </c>
      <c r="D3847" t="str">
        <f>IFERROR(INDEX(tbl_input[집계키_청],ROW()-1),"")</f>
        <v/>
      </c>
    </row>
    <row r="3848" spans="1:4" x14ac:dyDescent="0.4">
      <c r="A3848" t="str">
        <f t="shared" si="120"/>
        <v/>
      </c>
      <c r="B3848" t="str">
        <f t="shared" si="121"/>
        <v/>
      </c>
      <c r="C3848" t="str">
        <f>IF(D3848="","",IF(COUNTIF($D$2:D3848,D3848)&gt;1,"",SUMIFS(tbl_input[필요수량],tbl_input[집계키_청],D3848)))</f>
        <v/>
      </c>
      <c r="D3848" t="str">
        <f>IFERROR(INDEX(tbl_input[집계키_청],ROW()-1),"")</f>
        <v/>
      </c>
    </row>
    <row r="3849" spans="1:4" x14ac:dyDescent="0.4">
      <c r="A3849" t="str">
        <f t="shared" si="120"/>
        <v/>
      </c>
      <c r="B3849" t="str">
        <f t="shared" si="121"/>
        <v/>
      </c>
      <c r="C3849" t="str">
        <f>IF(D3849="","",IF(COUNTIF($D$2:D3849,D3849)&gt;1,"",SUMIFS(tbl_input[필요수량],tbl_input[집계키_청],D3849)))</f>
        <v/>
      </c>
      <c r="D3849" t="str">
        <f>IFERROR(INDEX(tbl_input[집계키_청],ROW()-1),"")</f>
        <v/>
      </c>
    </row>
    <row r="3850" spans="1:4" x14ac:dyDescent="0.4">
      <c r="A3850" t="str">
        <f t="shared" si="120"/>
        <v/>
      </c>
      <c r="B3850" t="str">
        <f t="shared" si="121"/>
        <v/>
      </c>
      <c r="C3850" t="str">
        <f>IF(D3850="","",IF(COUNTIF($D$2:D3850,D3850)&gt;1,"",SUMIFS(tbl_input[필요수량],tbl_input[집계키_청],D3850)))</f>
        <v/>
      </c>
      <c r="D3850" t="str">
        <f>IFERROR(INDEX(tbl_input[집계키_청],ROW()-1),"")</f>
        <v/>
      </c>
    </row>
    <row r="3851" spans="1:4" x14ac:dyDescent="0.4">
      <c r="A3851" t="str">
        <f t="shared" si="120"/>
        <v/>
      </c>
      <c r="B3851" t="str">
        <f t="shared" si="121"/>
        <v/>
      </c>
      <c r="C3851" t="str">
        <f>IF(D3851="","",IF(COUNTIF($D$2:D3851,D3851)&gt;1,"",SUMIFS(tbl_input[필요수량],tbl_input[집계키_청],D3851)))</f>
        <v/>
      </c>
      <c r="D3851" t="str">
        <f>IFERROR(INDEX(tbl_input[집계키_청],ROW()-1),"")</f>
        <v/>
      </c>
    </row>
    <row r="3852" spans="1:4" x14ac:dyDescent="0.4">
      <c r="A3852" t="str">
        <f t="shared" si="120"/>
        <v/>
      </c>
      <c r="B3852" t="str">
        <f t="shared" si="121"/>
        <v/>
      </c>
      <c r="C3852" t="str">
        <f>IF(D3852="","",IF(COUNTIF($D$2:D3852,D3852)&gt;1,"",SUMIFS(tbl_input[필요수량],tbl_input[집계키_청],D3852)))</f>
        <v/>
      </c>
      <c r="D3852" t="str">
        <f>IFERROR(INDEX(tbl_input[집계키_청],ROW()-1),"")</f>
        <v/>
      </c>
    </row>
    <row r="3853" spans="1:4" x14ac:dyDescent="0.4">
      <c r="A3853" t="str">
        <f t="shared" si="120"/>
        <v/>
      </c>
      <c r="B3853" t="str">
        <f t="shared" si="121"/>
        <v/>
      </c>
      <c r="C3853" t="str">
        <f>IF(D3853="","",IF(COUNTIF($D$2:D3853,D3853)&gt;1,"",SUMIFS(tbl_input[필요수량],tbl_input[집계키_청],D3853)))</f>
        <v/>
      </c>
      <c r="D3853" t="str">
        <f>IFERROR(INDEX(tbl_input[집계키_청],ROW()-1),"")</f>
        <v/>
      </c>
    </row>
    <row r="3854" spans="1:4" x14ac:dyDescent="0.4">
      <c r="A3854" t="str">
        <f t="shared" si="120"/>
        <v/>
      </c>
      <c r="B3854" t="str">
        <f t="shared" si="121"/>
        <v/>
      </c>
      <c r="C3854" t="str">
        <f>IF(D3854="","",IF(COUNTIF($D$2:D3854,D3854)&gt;1,"",SUMIFS(tbl_input[필요수량],tbl_input[집계키_청],D3854)))</f>
        <v/>
      </c>
      <c r="D3854" t="str">
        <f>IFERROR(INDEX(tbl_input[집계키_청],ROW()-1),"")</f>
        <v/>
      </c>
    </row>
    <row r="3855" spans="1:4" x14ac:dyDescent="0.4">
      <c r="A3855" t="str">
        <f t="shared" si="120"/>
        <v/>
      </c>
      <c r="B3855" t="str">
        <f t="shared" si="121"/>
        <v/>
      </c>
      <c r="C3855" t="str">
        <f>IF(D3855="","",IF(COUNTIF($D$2:D3855,D3855)&gt;1,"",SUMIFS(tbl_input[필요수량],tbl_input[집계키_청],D3855)))</f>
        <v/>
      </c>
      <c r="D3855" t="str">
        <f>IFERROR(INDEX(tbl_input[집계키_청],ROW()-1),"")</f>
        <v/>
      </c>
    </row>
    <row r="3856" spans="1:4" x14ac:dyDescent="0.4">
      <c r="A3856" t="str">
        <f t="shared" si="120"/>
        <v/>
      </c>
      <c r="B3856" t="str">
        <f t="shared" si="121"/>
        <v/>
      </c>
      <c r="C3856" t="str">
        <f>IF(D3856="","",IF(COUNTIF($D$2:D3856,D3856)&gt;1,"",SUMIFS(tbl_input[필요수량],tbl_input[집계키_청],D3856)))</f>
        <v/>
      </c>
      <c r="D3856" t="str">
        <f>IFERROR(INDEX(tbl_input[집계키_청],ROW()-1),"")</f>
        <v/>
      </c>
    </row>
    <row r="3857" spans="1:4" x14ac:dyDescent="0.4">
      <c r="A3857" t="str">
        <f t="shared" si="120"/>
        <v/>
      </c>
      <c r="B3857" t="str">
        <f t="shared" si="121"/>
        <v/>
      </c>
      <c r="C3857" t="str">
        <f>IF(D3857="","",IF(COUNTIF($D$2:D3857,D3857)&gt;1,"",SUMIFS(tbl_input[필요수량],tbl_input[집계키_청],D3857)))</f>
        <v/>
      </c>
      <c r="D3857" t="str">
        <f>IFERROR(INDEX(tbl_input[집계키_청],ROW()-1),"")</f>
        <v/>
      </c>
    </row>
    <row r="3858" spans="1:4" x14ac:dyDescent="0.4">
      <c r="A3858" t="str">
        <f t="shared" si="120"/>
        <v/>
      </c>
      <c r="B3858" t="str">
        <f t="shared" si="121"/>
        <v/>
      </c>
      <c r="C3858" t="str">
        <f>IF(D3858="","",IF(COUNTIF($D$2:D3858,D3858)&gt;1,"",SUMIFS(tbl_input[필요수량],tbl_input[집계키_청],D3858)))</f>
        <v/>
      </c>
      <c r="D3858" t="str">
        <f>IFERROR(INDEX(tbl_input[집계키_청],ROW()-1),"")</f>
        <v/>
      </c>
    </row>
    <row r="3859" spans="1:4" x14ac:dyDescent="0.4">
      <c r="A3859" t="str">
        <f t="shared" si="120"/>
        <v/>
      </c>
      <c r="B3859" t="str">
        <f t="shared" si="121"/>
        <v/>
      </c>
      <c r="C3859" t="str">
        <f>IF(D3859="","",IF(COUNTIF($D$2:D3859,D3859)&gt;1,"",SUMIFS(tbl_input[필요수량],tbl_input[집계키_청],D3859)))</f>
        <v/>
      </c>
      <c r="D3859" t="str">
        <f>IFERROR(INDEX(tbl_input[집계키_청],ROW()-1),"")</f>
        <v/>
      </c>
    </row>
    <row r="3860" spans="1:4" x14ac:dyDescent="0.4">
      <c r="A3860" t="str">
        <f t="shared" si="120"/>
        <v/>
      </c>
      <c r="B3860" t="str">
        <f t="shared" si="121"/>
        <v/>
      </c>
      <c r="C3860" t="str">
        <f>IF(D3860="","",IF(COUNTIF($D$2:D3860,D3860)&gt;1,"",SUMIFS(tbl_input[필요수량],tbl_input[집계키_청],D3860)))</f>
        <v/>
      </c>
      <c r="D3860" t="str">
        <f>IFERROR(INDEX(tbl_input[집계키_청],ROW()-1),"")</f>
        <v/>
      </c>
    </row>
    <row r="3861" spans="1:4" x14ac:dyDescent="0.4">
      <c r="A3861" t="str">
        <f t="shared" si="120"/>
        <v/>
      </c>
      <c r="B3861" t="str">
        <f t="shared" si="121"/>
        <v/>
      </c>
      <c r="C3861" t="str">
        <f>IF(D3861="","",IF(COUNTIF($D$2:D3861,D3861)&gt;1,"",SUMIFS(tbl_input[필요수량],tbl_input[집계키_청],D3861)))</f>
        <v/>
      </c>
      <c r="D3861" t="str">
        <f>IFERROR(INDEX(tbl_input[집계키_청],ROW()-1),"")</f>
        <v/>
      </c>
    </row>
    <row r="3862" spans="1:4" x14ac:dyDescent="0.4">
      <c r="A3862" t="str">
        <f t="shared" si="120"/>
        <v/>
      </c>
      <c r="B3862" t="str">
        <f t="shared" si="121"/>
        <v/>
      </c>
      <c r="C3862" t="str">
        <f>IF(D3862="","",IF(COUNTIF($D$2:D3862,D3862)&gt;1,"",SUMIFS(tbl_input[필요수량],tbl_input[집계키_청],D3862)))</f>
        <v/>
      </c>
      <c r="D3862" t="str">
        <f>IFERROR(INDEX(tbl_input[집계키_청],ROW()-1),"")</f>
        <v/>
      </c>
    </row>
    <row r="3863" spans="1:4" x14ac:dyDescent="0.4">
      <c r="A3863" t="str">
        <f t="shared" si="120"/>
        <v/>
      </c>
      <c r="B3863" t="str">
        <f t="shared" si="121"/>
        <v/>
      </c>
      <c r="C3863" t="str">
        <f>IF(D3863="","",IF(COUNTIF($D$2:D3863,D3863)&gt;1,"",SUMIFS(tbl_input[필요수량],tbl_input[집계키_청],D3863)))</f>
        <v/>
      </c>
      <c r="D3863" t="str">
        <f>IFERROR(INDEX(tbl_input[집계키_청],ROW()-1),"")</f>
        <v/>
      </c>
    </row>
    <row r="3864" spans="1:4" x14ac:dyDescent="0.4">
      <c r="A3864" t="str">
        <f t="shared" si="120"/>
        <v/>
      </c>
      <c r="B3864" t="str">
        <f t="shared" si="121"/>
        <v/>
      </c>
      <c r="C3864" t="str">
        <f>IF(D3864="","",IF(COUNTIF($D$2:D3864,D3864)&gt;1,"",SUMIFS(tbl_input[필요수량],tbl_input[집계키_청],D3864)))</f>
        <v/>
      </c>
      <c r="D3864" t="str">
        <f>IFERROR(INDEX(tbl_input[집계키_청],ROW()-1),"")</f>
        <v/>
      </c>
    </row>
    <row r="3865" spans="1:4" x14ac:dyDescent="0.4">
      <c r="A3865" t="str">
        <f t="shared" si="120"/>
        <v/>
      </c>
      <c r="B3865" t="str">
        <f t="shared" si="121"/>
        <v/>
      </c>
      <c r="C3865" t="str">
        <f>IF(D3865="","",IF(COUNTIF($D$2:D3865,D3865)&gt;1,"",SUMIFS(tbl_input[필요수량],tbl_input[집계키_청],D3865)))</f>
        <v/>
      </c>
      <c r="D3865" t="str">
        <f>IFERROR(INDEX(tbl_input[집계키_청],ROW()-1),"")</f>
        <v/>
      </c>
    </row>
    <row r="3866" spans="1:4" x14ac:dyDescent="0.4">
      <c r="A3866" t="str">
        <f t="shared" si="120"/>
        <v/>
      </c>
      <c r="B3866" t="str">
        <f t="shared" si="121"/>
        <v/>
      </c>
      <c r="C3866" t="str">
        <f>IF(D3866="","",IF(COUNTIF($D$2:D3866,D3866)&gt;1,"",SUMIFS(tbl_input[필요수량],tbl_input[집계키_청],D3866)))</f>
        <v/>
      </c>
      <c r="D3866" t="str">
        <f>IFERROR(INDEX(tbl_input[집계키_청],ROW()-1),"")</f>
        <v/>
      </c>
    </row>
    <row r="3867" spans="1:4" x14ac:dyDescent="0.4">
      <c r="A3867" t="str">
        <f t="shared" si="120"/>
        <v/>
      </c>
      <c r="B3867" t="str">
        <f t="shared" si="121"/>
        <v/>
      </c>
      <c r="C3867" t="str">
        <f>IF(D3867="","",IF(COUNTIF($D$2:D3867,D3867)&gt;1,"",SUMIFS(tbl_input[필요수량],tbl_input[집계키_청],D3867)))</f>
        <v/>
      </c>
      <c r="D3867" t="str">
        <f>IFERROR(INDEX(tbl_input[집계키_청],ROW()-1),"")</f>
        <v/>
      </c>
    </row>
    <row r="3868" spans="1:4" x14ac:dyDescent="0.4">
      <c r="A3868" t="str">
        <f t="shared" si="120"/>
        <v/>
      </c>
      <c r="B3868" t="str">
        <f t="shared" si="121"/>
        <v/>
      </c>
      <c r="C3868" t="str">
        <f>IF(D3868="","",IF(COUNTIF($D$2:D3868,D3868)&gt;1,"",SUMIFS(tbl_input[필요수량],tbl_input[집계키_청],D3868)))</f>
        <v/>
      </c>
      <c r="D3868" t="str">
        <f>IFERROR(INDEX(tbl_input[집계키_청],ROW()-1),"")</f>
        <v/>
      </c>
    </row>
    <row r="3869" spans="1:4" x14ac:dyDescent="0.4">
      <c r="A3869" t="str">
        <f t="shared" si="120"/>
        <v/>
      </c>
      <c r="B3869" t="str">
        <f t="shared" si="121"/>
        <v/>
      </c>
      <c r="C3869" t="str">
        <f>IF(D3869="","",IF(COUNTIF($D$2:D3869,D3869)&gt;1,"",SUMIFS(tbl_input[필요수량],tbl_input[집계키_청],D3869)))</f>
        <v/>
      </c>
      <c r="D3869" t="str">
        <f>IFERROR(INDEX(tbl_input[집계키_청],ROW()-1),"")</f>
        <v/>
      </c>
    </row>
    <row r="3870" spans="1:4" x14ac:dyDescent="0.4">
      <c r="A3870" t="str">
        <f t="shared" si="120"/>
        <v/>
      </c>
      <c r="B3870" t="str">
        <f t="shared" si="121"/>
        <v/>
      </c>
      <c r="C3870" t="str">
        <f>IF(D3870="","",IF(COUNTIF($D$2:D3870,D3870)&gt;1,"",SUMIFS(tbl_input[필요수량],tbl_input[집계키_청],D3870)))</f>
        <v/>
      </c>
      <c r="D3870" t="str">
        <f>IFERROR(INDEX(tbl_input[집계키_청],ROW()-1),"")</f>
        <v/>
      </c>
    </row>
    <row r="3871" spans="1:4" x14ac:dyDescent="0.4">
      <c r="A3871" t="str">
        <f t="shared" si="120"/>
        <v/>
      </c>
      <c r="B3871" t="str">
        <f t="shared" si="121"/>
        <v/>
      </c>
      <c r="C3871" t="str">
        <f>IF(D3871="","",IF(COUNTIF($D$2:D3871,D3871)&gt;1,"",SUMIFS(tbl_input[필요수량],tbl_input[집계키_청],D3871)))</f>
        <v/>
      </c>
      <c r="D3871" t="str">
        <f>IFERROR(INDEX(tbl_input[집계키_청],ROW()-1),"")</f>
        <v/>
      </c>
    </row>
    <row r="3872" spans="1:4" x14ac:dyDescent="0.4">
      <c r="A3872" t="str">
        <f t="shared" si="120"/>
        <v/>
      </c>
      <c r="B3872" t="str">
        <f t="shared" si="121"/>
        <v/>
      </c>
      <c r="C3872" t="str">
        <f>IF(D3872="","",IF(COUNTIF($D$2:D3872,D3872)&gt;1,"",SUMIFS(tbl_input[필요수량],tbl_input[집계키_청],D3872)))</f>
        <v/>
      </c>
      <c r="D3872" t="str">
        <f>IFERROR(INDEX(tbl_input[집계키_청],ROW()-1),"")</f>
        <v/>
      </c>
    </row>
    <row r="3873" spans="1:4" x14ac:dyDescent="0.4">
      <c r="A3873" t="str">
        <f t="shared" si="120"/>
        <v/>
      </c>
      <c r="B3873" t="str">
        <f t="shared" si="121"/>
        <v/>
      </c>
      <c r="C3873" t="str">
        <f>IF(D3873="","",IF(COUNTIF($D$2:D3873,D3873)&gt;1,"",SUMIFS(tbl_input[필요수량],tbl_input[집계키_청],D3873)))</f>
        <v/>
      </c>
      <c r="D3873" t="str">
        <f>IFERROR(INDEX(tbl_input[집계키_청],ROW()-1),"")</f>
        <v/>
      </c>
    </row>
    <row r="3874" spans="1:4" x14ac:dyDescent="0.4">
      <c r="A3874" t="str">
        <f t="shared" si="120"/>
        <v/>
      </c>
      <c r="B3874" t="str">
        <f t="shared" si="121"/>
        <v/>
      </c>
      <c r="C3874" t="str">
        <f>IF(D3874="","",IF(COUNTIF($D$2:D3874,D3874)&gt;1,"",SUMIFS(tbl_input[필요수량],tbl_input[집계키_청],D3874)))</f>
        <v/>
      </c>
      <c r="D3874" t="str">
        <f>IFERROR(INDEX(tbl_input[집계키_청],ROW()-1),"")</f>
        <v/>
      </c>
    </row>
    <row r="3875" spans="1:4" x14ac:dyDescent="0.4">
      <c r="A3875" t="str">
        <f t="shared" si="120"/>
        <v/>
      </c>
      <c r="B3875" t="str">
        <f t="shared" si="121"/>
        <v/>
      </c>
      <c r="C3875" t="str">
        <f>IF(D3875="","",IF(COUNTIF($D$2:D3875,D3875)&gt;1,"",SUMIFS(tbl_input[필요수량],tbl_input[집계키_청],D3875)))</f>
        <v/>
      </c>
      <c r="D3875" t="str">
        <f>IFERROR(INDEX(tbl_input[집계키_청],ROW()-1),"")</f>
        <v/>
      </c>
    </row>
    <row r="3876" spans="1:4" x14ac:dyDescent="0.4">
      <c r="A3876" t="str">
        <f t="shared" si="120"/>
        <v/>
      </c>
      <c r="B3876" t="str">
        <f t="shared" si="121"/>
        <v/>
      </c>
      <c r="C3876" t="str">
        <f>IF(D3876="","",IF(COUNTIF($D$2:D3876,D3876)&gt;1,"",SUMIFS(tbl_input[필요수량],tbl_input[집계키_청],D3876)))</f>
        <v/>
      </c>
      <c r="D3876" t="str">
        <f>IFERROR(INDEX(tbl_input[집계키_청],ROW()-1),"")</f>
        <v/>
      </c>
    </row>
    <row r="3877" spans="1:4" x14ac:dyDescent="0.4">
      <c r="A3877" t="str">
        <f t="shared" si="120"/>
        <v/>
      </c>
      <c r="B3877" t="str">
        <f t="shared" si="121"/>
        <v/>
      </c>
      <c r="C3877" t="str">
        <f>IF(D3877="","",IF(COUNTIF($D$2:D3877,D3877)&gt;1,"",SUMIFS(tbl_input[필요수량],tbl_input[집계키_청],D3877)))</f>
        <v/>
      </c>
      <c r="D3877" t="str">
        <f>IFERROR(INDEX(tbl_input[집계키_청],ROW()-1),"")</f>
        <v/>
      </c>
    </row>
    <row r="3878" spans="1:4" x14ac:dyDescent="0.4">
      <c r="A3878" t="str">
        <f t="shared" si="120"/>
        <v/>
      </c>
      <c r="B3878" t="str">
        <f t="shared" si="121"/>
        <v/>
      </c>
      <c r="C3878" t="str">
        <f>IF(D3878="","",IF(COUNTIF($D$2:D3878,D3878)&gt;1,"",SUMIFS(tbl_input[필요수량],tbl_input[집계키_청],D3878)))</f>
        <v/>
      </c>
      <c r="D3878" t="str">
        <f>IFERROR(INDEX(tbl_input[집계키_청],ROW()-1),"")</f>
        <v/>
      </c>
    </row>
    <row r="3879" spans="1:4" x14ac:dyDescent="0.4">
      <c r="A3879" t="str">
        <f t="shared" si="120"/>
        <v/>
      </c>
      <c r="B3879" t="str">
        <f t="shared" si="121"/>
        <v/>
      </c>
      <c r="C3879" t="str">
        <f>IF(D3879="","",IF(COUNTIF($D$2:D3879,D3879)&gt;1,"",SUMIFS(tbl_input[필요수량],tbl_input[집계키_청],D3879)))</f>
        <v/>
      </c>
      <c r="D3879" t="str">
        <f>IFERROR(INDEX(tbl_input[집계키_청],ROW()-1),"")</f>
        <v/>
      </c>
    </row>
    <row r="3880" spans="1:4" x14ac:dyDescent="0.4">
      <c r="A3880" t="str">
        <f t="shared" si="120"/>
        <v/>
      </c>
      <c r="B3880" t="str">
        <f t="shared" si="121"/>
        <v/>
      </c>
      <c r="C3880" t="str">
        <f>IF(D3880="","",IF(COUNTIF($D$2:D3880,D3880)&gt;1,"",SUMIFS(tbl_input[필요수량],tbl_input[집계키_청],D3880)))</f>
        <v/>
      </c>
      <c r="D3880" t="str">
        <f>IFERROR(INDEX(tbl_input[집계키_청],ROW()-1),"")</f>
        <v/>
      </c>
    </row>
    <row r="3881" spans="1:4" x14ac:dyDescent="0.4">
      <c r="A3881" t="str">
        <f t="shared" si="120"/>
        <v/>
      </c>
      <c r="B3881" t="str">
        <f t="shared" si="121"/>
        <v/>
      </c>
      <c r="C3881" t="str">
        <f>IF(D3881="","",IF(COUNTIF($D$2:D3881,D3881)&gt;1,"",SUMIFS(tbl_input[필요수량],tbl_input[집계키_청],D3881)))</f>
        <v/>
      </c>
      <c r="D3881" t="str">
        <f>IFERROR(INDEX(tbl_input[집계키_청],ROW()-1),"")</f>
        <v/>
      </c>
    </row>
    <row r="3882" spans="1:4" x14ac:dyDescent="0.4">
      <c r="A3882" t="str">
        <f t="shared" si="120"/>
        <v/>
      </c>
      <c r="B3882" t="str">
        <f t="shared" si="121"/>
        <v/>
      </c>
      <c r="C3882" t="str">
        <f>IF(D3882="","",IF(COUNTIF($D$2:D3882,D3882)&gt;1,"",SUMIFS(tbl_input[필요수량],tbl_input[집계키_청],D3882)))</f>
        <v/>
      </c>
      <c r="D3882" t="str">
        <f>IFERROR(INDEX(tbl_input[집계키_청],ROW()-1),"")</f>
        <v/>
      </c>
    </row>
    <row r="3883" spans="1:4" x14ac:dyDescent="0.4">
      <c r="A3883" t="str">
        <f t="shared" si="120"/>
        <v/>
      </c>
      <c r="B3883" t="str">
        <f t="shared" si="121"/>
        <v/>
      </c>
      <c r="C3883" t="str">
        <f>IF(D3883="","",IF(COUNTIF($D$2:D3883,D3883)&gt;1,"",SUMIFS(tbl_input[필요수량],tbl_input[집계키_청],D3883)))</f>
        <v/>
      </c>
      <c r="D3883" t="str">
        <f>IFERROR(INDEX(tbl_input[집계키_청],ROW()-1),"")</f>
        <v/>
      </c>
    </row>
    <row r="3884" spans="1:4" x14ac:dyDescent="0.4">
      <c r="A3884" t="str">
        <f t="shared" si="120"/>
        <v/>
      </c>
      <c r="B3884" t="str">
        <f t="shared" si="121"/>
        <v/>
      </c>
      <c r="C3884" t="str">
        <f>IF(D3884="","",IF(COUNTIF($D$2:D3884,D3884)&gt;1,"",SUMIFS(tbl_input[필요수량],tbl_input[집계키_청],D3884)))</f>
        <v/>
      </c>
      <c r="D3884" t="str">
        <f>IFERROR(INDEX(tbl_input[집계키_청],ROW()-1),"")</f>
        <v/>
      </c>
    </row>
    <row r="3885" spans="1:4" x14ac:dyDescent="0.4">
      <c r="A3885" t="str">
        <f t="shared" si="120"/>
        <v/>
      </c>
      <c r="B3885" t="str">
        <f t="shared" si="121"/>
        <v/>
      </c>
      <c r="C3885" t="str">
        <f>IF(D3885="","",IF(COUNTIF($D$2:D3885,D3885)&gt;1,"",SUMIFS(tbl_input[필요수량],tbl_input[집계키_청],D3885)))</f>
        <v/>
      </c>
      <c r="D3885" t="str">
        <f>IFERROR(INDEX(tbl_input[집계키_청],ROW()-1),"")</f>
        <v/>
      </c>
    </row>
    <row r="3886" spans="1:4" x14ac:dyDescent="0.4">
      <c r="A3886" t="str">
        <f t="shared" si="120"/>
        <v/>
      </c>
      <c r="B3886" t="str">
        <f t="shared" si="121"/>
        <v/>
      </c>
      <c r="C3886" t="str">
        <f>IF(D3886="","",IF(COUNTIF($D$2:D3886,D3886)&gt;1,"",SUMIFS(tbl_input[필요수량],tbl_input[집계키_청],D3886)))</f>
        <v/>
      </c>
      <c r="D3886" t="str">
        <f>IFERROR(INDEX(tbl_input[집계키_청],ROW()-1),"")</f>
        <v/>
      </c>
    </row>
    <row r="3887" spans="1:4" x14ac:dyDescent="0.4">
      <c r="A3887" t="str">
        <f t="shared" si="120"/>
        <v/>
      </c>
      <c r="B3887" t="str">
        <f t="shared" si="121"/>
        <v/>
      </c>
      <c r="C3887" t="str">
        <f>IF(D3887="","",IF(COUNTIF($D$2:D3887,D3887)&gt;1,"",SUMIFS(tbl_input[필요수량],tbl_input[집계키_청],D3887)))</f>
        <v/>
      </c>
      <c r="D3887" t="str">
        <f>IFERROR(INDEX(tbl_input[집계키_청],ROW()-1),"")</f>
        <v/>
      </c>
    </row>
    <row r="3888" spans="1:4" x14ac:dyDescent="0.4">
      <c r="A3888" t="str">
        <f t="shared" si="120"/>
        <v/>
      </c>
      <c r="B3888" t="str">
        <f t="shared" si="121"/>
        <v/>
      </c>
      <c r="C3888" t="str">
        <f>IF(D3888="","",IF(COUNTIF($D$2:D3888,D3888)&gt;1,"",SUMIFS(tbl_input[필요수량],tbl_input[집계키_청],D3888)))</f>
        <v/>
      </c>
      <c r="D3888" t="str">
        <f>IFERROR(INDEX(tbl_input[집계키_청],ROW()-1),"")</f>
        <v/>
      </c>
    </row>
    <row r="3889" spans="1:4" x14ac:dyDescent="0.4">
      <c r="A3889" t="str">
        <f t="shared" si="120"/>
        <v/>
      </c>
      <c r="B3889" t="str">
        <f t="shared" si="121"/>
        <v/>
      </c>
      <c r="C3889" t="str">
        <f>IF(D3889="","",IF(COUNTIF($D$2:D3889,D3889)&gt;1,"",SUMIFS(tbl_input[필요수량],tbl_input[집계키_청],D3889)))</f>
        <v/>
      </c>
      <c r="D3889" t="str">
        <f>IFERROR(INDEX(tbl_input[집계키_청],ROW()-1),"")</f>
        <v/>
      </c>
    </row>
    <row r="3890" spans="1:4" x14ac:dyDescent="0.4">
      <c r="A3890" t="str">
        <f t="shared" si="120"/>
        <v/>
      </c>
      <c r="B3890" t="str">
        <f t="shared" si="121"/>
        <v/>
      </c>
      <c r="C3890" t="str">
        <f>IF(D3890="","",IF(COUNTIF($D$2:D3890,D3890)&gt;1,"",SUMIFS(tbl_input[필요수량],tbl_input[집계키_청],D3890)))</f>
        <v/>
      </c>
      <c r="D3890" t="str">
        <f>IFERROR(INDEX(tbl_input[집계키_청],ROW()-1),"")</f>
        <v/>
      </c>
    </row>
    <row r="3891" spans="1:4" x14ac:dyDescent="0.4">
      <c r="A3891" t="str">
        <f t="shared" si="120"/>
        <v/>
      </c>
      <c r="B3891" t="str">
        <f t="shared" si="121"/>
        <v/>
      </c>
      <c r="C3891" t="str">
        <f>IF(D3891="","",IF(COUNTIF($D$2:D3891,D3891)&gt;1,"",SUMIFS(tbl_input[필요수량],tbl_input[집계키_청],D3891)))</f>
        <v/>
      </c>
      <c r="D3891" t="str">
        <f>IFERROR(INDEX(tbl_input[집계키_청],ROW()-1),"")</f>
        <v/>
      </c>
    </row>
    <row r="3892" spans="1:4" x14ac:dyDescent="0.4">
      <c r="A3892" t="str">
        <f t="shared" si="120"/>
        <v/>
      </c>
      <c r="B3892" t="str">
        <f t="shared" si="121"/>
        <v/>
      </c>
      <c r="C3892" t="str">
        <f>IF(D3892="","",IF(COUNTIF($D$2:D3892,D3892)&gt;1,"",SUMIFS(tbl_input[필요수량],tbl_input[집계키_청],D3892)))</f>
        <v/>
      </c>
      <c r="D3892" t="str">
        <f>IFERROR(INDEX(tbl_input[집계키_청],ROW()-1),"")</f>
        <v/>
      </c>
    </row>
    <row r="3893" spans="1:4" x14ac:dyDescent="0.4">
      <c r="A3893" t="str">
        <f t="shared" si="120"/>
        <v/>
      </c>
      <c r="B3893" t="str">
        <f t="shared" si="121"/>
        <v/>
      </c>
      <c r="C3893" t="str">
        <f>IF(D3893="","",IF(COUNTIF($D$2:D3893,D3893)&gt;1,"",SUMIFS(tbl_input[필요수량],tbl_input[집계키_청],D3893)))</f>
        <v/>
      </c>
      <c r="D3893" t="str">
        <f>IFERROR(INDEX(tbl_input[집계키_청],ROW()-1),"")</f>
        <v/>
      </c>
    </row>
    <row r="3894" spans="1:4" x14ac:dyDescent="0.4">
      <c r="A3894" t="str">
        <f t="shared" si="120"/>
        <v/>
      </c>
      <c r="B3894" t="str">
        <f t="shared" si="121"/>
        <v/>
      </c>
      <c r="C3894" t="str">
        <f>IF(D3894="","",IF(COUNTIF($D$2:D3894,D3894)&gt;1,"",SUMIFS(tbl_input[필요수량],tbl_input[집계키_청],D3894)))</f>
        <v/>
      </c>
      <c r="D3894" t="str">
        <f>IFERROR(INDEX(tbl_input[집계키_청],ROW()-1),"")</f>
        <v/>
      </c>
    </row>
    <row r="3895" spans="1:4" x14ac:dyDescent="0.4">
      <c r="A3895" t="str">
        <f t="shared" si="120"/>
        <v/>
      </c>
      <c r="B3895" t="str">
        <f t="shared" si="121"/>
        <v/>
      </c>
      <c r="C3895" t="str">
        <f>IF(D3895="","",IF(COUNTIF($D$2:D3895,D3895)&gt;1,"",SUMIFS(tbl_input[필요수량],tbl_input[집계키_청],D3895)))</f>
        <v/>
      </c>
      <c r="D3895" t="str">
        <f>IFERROR(INDEX(tbl_input[집계키_청],ROW()-1),"")</f>
        <v/>
      </c>
    </row>
    <row r="3896" spans="1:4" x14ac:dyDescent="0.4">
      <c r="A3896" t="str">
        <f t="shared" si="120"/>
        <v/>
      </c>
      <c r="B3896" t="str">
        <f t="shared" si="121"/>
        <v/>
      </c>
      <c r="C3896" t="str">
        <f>IF(D3896="","",IF(COUNTIF($D$2:D3896,D3896)&gt;1,"",SUMIFS(tbl_input[필요수량],tbl_input[집계키_청],D3896)))</f>
        <v/>
      </c>
      <c r="D3896" t="str">
        <f>IFERROR(INDEX(tbl_input[집계키_청],ROW()-1),"")</f>
        <v/>
      </c>
    </row>
    <row r="3897" spans="1:4" x14ac:dyDescent="0.4">
      <c r="A3897" t="str">
        <f t="shared" si="120"/>
        <v/>
      </c>
      <c r="B3897" t="str">
        <f t="shared" si="121"/>
        <v/>
      </c>
      <c r="C3897" t="str">
        <f>IF(D3897="","",IF(COUNTIF($D$2:D3897,D3897)&gt;1,"",SUMIFS(tbl_input[필요수량],tbl_input[집계키_청],D3897)))</f>
        <v/>
      </c>
      <c r="D3897" t="str">
        <f>IFERROR(INDEX(tbl_input[집계키_청],ROW()-1),"")</f>
        <v/>
      </c>
    </row>
    <row r="3898" spans="1:4" x14ac:dyDescent="0.4">
      <c r="A3898" t="str">
        <f t="shared" si="120"/>
        <v/>
      </c>
      <c r="B3898" t="str">
        <f t="shared" si="121"/>
        <v/>
      </c>
      <c r="C3898" t="str">
        <f>IF(D3898="","",IF(COUNTIF($D$2:D3898,D3898)&gt;1,"",SUMIFS(tbl_input[필요수량],tbl_input[집계키_청],D3898)))</f>
        <v/>
      </c>
      <c r="D3898" t="str">
        <f>IFERROR(INDEX(tbl_input[집계키_청],ROW()-1),"")</f>
        <v/>
      </c>
    </row>
    <row r="3899" spans="1:4" x14ac:dyDescent="0.4">
      <c r="A3899" t="str">
        <f t="shared" si="120"/>
        <v/>
      </c>
      <c r="B3899" t="str">
        <f t="shared" si="121"/>
        <v/>
      </c>
      <c r="C3899" t="str">
        <f>IF(D3899="","",IF(COUNTIF($D$2:D3899,D3899)&gt;1,"",SUMIFS(tbl_input[필요수량],tbl_input[집계키_청],D3899)))</f>
        <v/>
      </c>
      <c r="D3899" t="str">
        <f>IFERROR(INDEX(tbl_input[집계키_청],ROW()-1),"")</f>
        <v/>
      </c>
    </row>
    <row r="3900" spans="1:4" x14ac:dyDescent="0.4">
      <c r="A3900" t="str">
        <f t="shared" si="120"/>
        <v/>
      </c>
      <c r="B3900" t="str">
        <f t="shared" si="121"/>
        <v/>
      </c>
      <c r="C3900" t="str">
        <f>IF(D3900="","",IF(COUNTIF($D$2:D3900,D3900)&gt;1,"",SUMIFS(tbl_input[필요수량],tbl_input[집계키_청],D3900)))</f>
        <v/>
      </c>
      <c r="D3900" t="str">
        <f>IFERROR(INDEX(tbl_input[집계키_청],ROW()-1),"")</f>
        <v/>
      </c>
    </row>
    <row r="3901" spans="1:4" x14ac:dyDescent="0.4">
      <c r="A3901" t="str">
        <f t="shared" si="120"/>
        <v/>
      </c>
      <c r="B3901" t="str">
        <f t="shared" si="121"/>
        <v/>
      </c>
      <c r="C3901" t="str">
        <f>IF(D3901="","",IF(COUNTIF($D$2:D3901,D3901)&gt;1,"",SUMIFS(tbl_input[필요수량],tbl_input[집계키_청],D3901)))</f>
        <v/>
      </c>
      <c r="D3901" t="str">
        <f>IFERROR(INDEX(tbl_input[집계키_청],ROW()-1),"")</f>
        <v/>
      </c>
    </row>
    <row r="3902" spans="1:4" x14ac:dyDescent="0.4">
      <c r="A3902" t="str">
        <f t="shared" si="120"/>
        <v/>
      </c>
      <c r="B3902" t="str">
        <f t="shared" si="121"/>
        <v/>
      </c>
      <c r="C3902" t="str">
        <f>IF(D3902="","",IF(COUNTIF($D$2:D3902,D3902)&gt;1,"",SUMIFS(tbl_input[필요수량],tbl_input[집계키_청],D3902)))</f>
        <v/>
      </c>
      <c r="D3902" t="str">
        <f>IFERROR(INDEX(tbl_input[집계키_청],ROW()-1),"")</f>
        <v/>
      </c>
    </row>
    <row r="3903" spans="1:4" x14ac:dyDescent="0.4">
      <c r="A3903" t="str">
        <f t="shared" si="120"/>
        <v/>
      </c>
      <c r="B3903" t="str">
        <f t="shared" si="121"/>
        <v/>
      </c>
      <c r="C3903" t="str">
        <f>IF(D3903="","",IF(COUNTIF($D$2:D3903,D3903)&gt;1,"",SUMIFS(tbl_input[필요수량],tbl_input[집계키_청],D3903)))</f>
        <v/>
      </c>
      <c r="D3903" t="str">
        <f>IFERROR(INDEX(tbl_input[집계키_청],ROW()-1),"")</f>
        <v/>
      </c>
    </row>
    <row r="3904" spans="1:4" x14ac:dyDescent="0.4">
      <c r="A3904" t="str">
        <f t="shared" si="120"/>
        <v/>
      </c>
      <c r="B3904" t="str">
        <f t="shared" si="121"/>
        <v/>
      </c>
      <c r="C3904" t="str">
        <f>IF(D3904="","",IF(COUNTIF($D$2:D3904,D3904)&gt;1,"",SUMIFS(tbl_input[필요수량],tbl_input[집계키_청],D3904)))</f>
        <v/>
      </c>
      <c r="D3904" t="str">
        <f>IFERROR(INDEX(tbl_input[집계키_청],ROW()-1),"")</f>
        <v/>
      </c>
    </row>
    <row r="3905" spans="1:4" x14ac:dyDescent="0.4">
      <c r="A3905" t="str">
        <f t="shared" si="120"/>
        <v/>
      </c>
      <c r="B3905" t="str">
        <f t="shared" si="121"/>
        <v/>
      </c>
      <c r="C3905" t="str">
        <f>IF(D3905="","",IF(COUNTIF($D$2:D3905,D3905)&gt;1,"",SUMIFS(tbl_input[필요수량],tbl_input[집계키_청],D3905)))</f>
        <v/>
      </c>
      <c r="D3905" t="str">
        <f>IFERROR(INDEX(tbl_input[집계키_청],ROW()-1),"")</f>
        <v/>
      </c>
    </row>
    <row r="3906" spans="1:4" x14ac:dyDescent="0.4">
      <c r="A3906" t="str">
        <f t="shared" ref="A3906:A3969" si="122">IF(D3906="","",LEFT(D3906,FIND("♦",D3906)-1))</f>
        <v/>
      </c>
      <c r="B3906" t="str">
        <f t="shared" ref="B3906:B3969" si="123">IF(D3906="","",MID(D3906,FIND("♦",D3906)+1,999))</f>
        <v/>
      </c>
      <c r="C3906" t="str">
        <f>IF(D3906="","",IF(COUNTIF($D$2:D3906,D3906)&gt;1,"",SUMIFS(tbl_input[필요수량],tbl_input[집계키_청],D3906)))</f>
        <v/>
      </c>
      <c r="D3906" t="str">
        <f>IFERROR(INDEX(tbl_input[집계키_청],ROW()-1),"")</f>
        <v/>
      </c>
    </row>
    <row r="3907" spans="1:4" x14ac:dyDescent="0.4">
      <c r="A3907" t="str">
        <f t="shared" si="122"/>
        <v/>
      </c>
      <c r="B3907" t="str">
        <f t="shared" si="123"/>
        <v/>
      </c>
      <c r="C3907" t="str">
        <f>IF(D3907="","",IF(COUNTIF($D$2:D3907,D3907)&gt;1,"",SUMIFS(tbl_input[필요수량],tbl_input[집계키_청],D3907)))</f>
        <v/>
      </c>
      <c r="D3907" t="str">
        <f>IFERROR(INDEX(tbl_input[집계키_청],ROW()-1),"")</f>
        <v/>
      </c>
    </row>
    <row r="3908" spans="1:4" x14ac:dyDescent="0.4">
      <c r="A3908" t="str">
        <f t="shared" si="122"/>
        <v/>
      </c>
      <c r="B3908" t="str">
        <f t="shared" si="123"/>
        <v/>
      </c>
      <c r="C3908" t="str">
        <f>IF(D3908="","",IF(COUNTIF($D$2:D3908,D3908)&gt;1,"",SUMIFS(tbl_input[필요수량],tbl_input[집계키_청],D3908)))</f>
        <v/>
      </c>
      <c r="D3908" t="str">
        <f>IFERROR(INDEX(tbl_input[집계키_청],ROW()-1),"")</f>
        <v/>
      </c>
    </row>
    <row r="3909" spans="1:4" x14ac:dyDescent="0.4">
      <c r="A3909" t="str">
        <f t="shared" si="122"/>
        <v/>
      </c>
      <c r="B3909" t="str">
        <f t="shared" si="123"/>
        <v/>
      </c>
      <c r="C3909" t="str">
        <f>IF(D3909="","",IF(COUNTIF($D$2:D3909,D3909)&gt;1,"",SUMIFS(tbl_input[필요수량],tbl_input[집계키_청],D3909)))</f>
        <v/>
      </c>
      <c r="D3909" t="str">
        <f>IFERROR(INDEX(tbl_input[집계키_청],ROW()-1),"")</f>
        <v/>
      </c>
    </row>
    <row r="3910" spans="1:4" x14ac:dyDescent="0.4">
      <c r="A3910" t="str">
        <f t="shared" si="122"/>
        <v/>
      </c>
      <c r="B3910" t="str">
        <f t="shared" si="123"/>
        <v/>
      </c>
      <c r="C3910" t="str">
        <f>IF(D3910="","",IF(COUNTIF($D$2:D3910,D3910)&gt;1,"",SUMIFS(tbl_input[필요수량],tbl_input[집계키_청],D3910)))</f>
        <v/>
      </c>
      <c r="D3910" t="str">
        <f>IFERROR(INDEX(tbl_input[집계키_청],ROW()-1),"")</f>
        <v/>
      </c>
    </row>
    <row r="3911" spans="1:4" x14ac:dyDescent="0.4">
      <c r="A3911" t="str">
        <f t="shared" si="122"/>
        <v/>
      </c>
      <c r="B3911" t="str">
        <f t="shared" si="123"/>
        <v/>
      </c>
      <c r="C3911" t="str">
        <f>IF(D3911="","",IF(COUNTIF($D$2:D3911,D3911)&gt;1,"",SUMIFS(tbl_input[필요수량],tbl_input[집계키_청],D3911)))</f>
        <v/>
      </c>
      <c r="D3911" t="str">
        <f>IFERROR(INDEX(tbl_input[집계키_청],ROW()-1),"")</f>
        <v/>
      </c>
    </row>
    <row r="3912" spans="1:4" x14ac:dyDescent="0.4">
      <c r="A3912" t="str">
        <f t="shared" si="122"/>
        <v/>
      </c>
      <c r="B3912" t="str">
        <f t="shared" si="123"/>
        <v/>
      </c>
      <c r="C3912" t="str">
        <f>IF(D3912="","",IF(COUNTIF($D$2:D3912,D3912)&gt;1,"",SUMIFS(tbl_input[필요수량],tbl_input[집계키_청],D3912)))</f>
        <v/>
      </c>
      <c r="D3912" t="str">
        <f>IFERROR(INDEX(tbl_input[집계키_청],ROW()-1),"")</f>
        <v/>
      </c>
    </row>
    <row r="3913" spans="1:4" x14ac:dyDescent="0.4">
      <c r="A3913" t="str">
        <f t="shared" si="122"/>
        <v/>
      </c>
      <c r="B3913" t="str">
        <f t="shared" si="123"/>
        <v/>
      </c>
      <c r="C3913" t="str">
        <f>IF(D3913="","",IF(COUNTIF($D$2:D3913,D3913)&gt;1,"",SUMIFS(tbl_input[필요수량],tbl_input[집계키_청],D3913)))</f>
        <v/>
      </c>
      <c r="D3913" t="str">
        <f>IFERROR(INDEX(tbl_input[집계키_청],ROW()-1),"")</f>
        <v/>
      </c>
    </row>
    <row r="3914" spans="1:4" x14ac:dyDescent="0.4">
      <c r="A3914" t="str">
        <f t="shared" si="122"/>
        <v/>
      </c>
      <c r="B3914" t="str">
        <f t="shared" si="123"/>
        <v/>
      </c>
      <c r="C3914" t="str">
        <f>IF(D3914="","",IF(COUNTIF($D$2:D3914,D3914)&gt;1,"",SUMIFS(tbl_input[필요수량],tbl_input[집계키_청],D3914)))</f>
        <v/>
      </c>
      <c r="D3914" t="str">
        <f>IFERROR(INDEX(tbl_input[집계키_청],ROW()-1),"")</f>
        <v/>
      </c>
    </row>
    <row r="3915" spans="1:4" x14ac:dyDescent="0.4">
      <c r="A3915" t="str">
        <f t="shared" si="122"/>
        <v/>
      </c>
      <c r="B3915" t="str">
        <f t="shared" si="123"/>
        <v/>
      </c>
      <c r="C3915" t="str">
        <f>IF(D3915="","",IF(COUNTIF($D$2:D3915,D3915)&gt;1,"",SUMIFS(tbl_input[필요수량],tbl_input[집계키_청],D3915)))</f>
        <v/>
      </c>
      <c r="D3915" t="str">
        <f>IFERROR(INDEX(tbl_input[집계키_청],ROW()-1),"")</f>
        <v/>
      </c>
    </row>
    <row r="3916" spans="1:4" x14ac:dyDescent="0.4">
      <c r="A3916" t="str">
        <f t="shared" si="122"/>
        <v/>
      </c>
      <c r="B3916" t="str">
        <f t="shared" si="123"/>
        <v/>
      </c>
      <c r="C3916" t="str">
        <f>IF(D3916="","",IF(COUNTIF($D$2:D3916,D3916)&gt;1,"",SUMIFS(tbl_input[필요수량],tbl_input[집계키_청],D3916)))</f>
        <v/>
      </c>
      <c r="D3916" t="str">
        <f>IFERROR(INDEX(tbl_input[집계키_청],ROW()-1),"")</f>
        <v/>
      </c>
    </row>
    <row r="3917" spans="1:4" x14ac:dyDescent="0.4">
      <c r="A3917" t="str">
        <f t="shared" si="122"/>
        <v/>
      </c>
      <c r="B3917" t="str">
        <f t="shared" si="123"/>
        <v/>
      </c>
      <c r="C3917" t="str">
        <f>IF(D3917="","",IF(COUNTIF($D$2:D3917,D3917)&gt;1,"",SUMIFS(tbl_input[필요수량],tbl_input[집계키_청],D3917)))</f>
        <v/>
      </c>
      <c r="D3917" t="str">
        <f>IFERROR(INDEX(tbl_input[집계키_청],ROW()-1),"")</f>
        <v/>
      </c>
    </row>
    <row r="3918" spans="1:4" x14ac:dyDescent="0.4">
      <c r="A3918" t="str">
        <f t="shared" si="122"/>
        <v/>
      </c>
      <c r="B3918" t="str">
        <f t="shared" si="123"/>
        <v/>
      </c>
      <c r="C3918" t="str">
        <f>IF(D3918="","",IF(COUNTIF($D$2:D3918,D3918)&gt;1,"",SUMIFS(tbl_input[필요수량],tbl_input[집계키_청],D3918)))</f>
        <v/>
      </c>
      <c r="D3918" t="str">
        <f>IFERROR(INDEX(tbl_input[집계키_청],ROW()-1),"")</f>
        <v/>
      </c>
    </row>
    <row r="3919" spans="1:4" x14ac:dyDescent="0.4">
      <c r="A3919" t="str">
        <f t="shared" si="122"/>
        <v/>
      </c>
      <c r="B3919" t="str">
        <f t="shared" si="123"/>
        <v/>
      </c>
      <c r="C3919" t="str">
        <f>IF(D3919="","",IF(COUNTIF($D$2:D3919,D3919)&gt;1,"",SUMIFS(tbl_input[필요수량],tbl_input[집계키_청],D3919)))</f>
        <v/>
      </c>
      <c r="D3919" t="str">
        <f>IFERROR(INDEX(tbl_input[집계키_청],ROW()-1),"")</f>
        <v/>
      </c>
    </row>
    <row r="3920" spans="1:4" x14ac:dyDescent="0.4">
      <c r="A3920" t="str">
        <f t="shared" si="122"/>
        <v/>
      </c>
      <c r="B3920" t="str">
        <f t="shared" si="123"/>
        <v/>
      </c>
      <c r="C3920" t="str">
        <f>IF(D3920="","",IF(COUNTIF($D$2:D3920,D3920)&gt;1,"",SUMIFS(tbl_input[필요수량],tbl_input[집계키_청],D3920)))</f>
        <v/>
      </c>
      <c r="D3920" t="str">
        <f>IFERROR(INDEX(tbl_input[집계키_청],ROW()-1),"")</f>
        <v/>
      </c>
    </row>
    <row r="3921" spans="1:4" x14ac:dyDescent="0.4">
      <c r="A3921" t="str">
        <f t="shared" si="122"/>
        <v/>
      </c>
      <c r="B3921" t="str">
        <f t="shared" si="123"/>
        <v/>
      </c>
      <c r="C3921" t="str">
        <f>IF(D3921="","",IF(COUNTIF($D$2:D3921,D3921)&gt;1,"",SUMIFS(tbl_input[필요수량],tbl_input[집계키_청],D3921)))</f>
        <v/>
      </c>
      <c r="D3921" t="str">
        <f>IFERROR(INDEX(tbl_input[집계키_청],ROW()-1),"")</f>
        <v/>
      </c>
    </row>
    <row r="3922" spans="1:4" x14ac:dyDescent="0.4">
      <c r="A3922" t="str">
        <f t="shared" si="122"/>
        <v/>
      </c>
      <c r="B3922" t="str">
        <f t="shared" si="123"/>
        <v/>
      </c>
      <c r="C3922" t="str">
        <f>IF(D3922="","",IF(COUNTIF($D$2:D3922,D3922)&gt;1,"",SUMIFS(tbl_input[필요수량],tbl_input[집계키_청],D3922)))</f>
        <v/>
      </c>
      <c r="D3922" t="str">
        <f>IFERROR(INDEX(tbl_input[집계키_청],ROW()-1),"")</f>
        <v/>
      </c>
    </row>
    <row r="3923" spans="1:4" x14ac:dyDescent="0.4">
      <c r="A3923" t="str">
        <f t="shared" si="122"/>
        <v/>
      </c>
      <c r="B3923" t="str">
        <f t="shared" si="123"/>
        <v/>
      </c>
      <c r="C3923" t="str">
        <f>IF(D3923="","",IF(COUNTIF($D$2:D3923,D3923)&gt;1,"",SUMIFS(tbl_input[필요수량],tbl_input[집계키_청],D3923)))</f>
        <v/>
      </c>
      <c r="D3923" t="str">
        <f>IFERROR(INDEX(tbl_input[집계키_청],ROW()-1),"")</f>
        <v/>
      </c>
    </row>
    <row r="3924" spans="1:4" x14ac:dyDescent="0.4">
      <c r="A3924" t="str">
        <f t="shared" si="122"/>
        <v/>
      </c>
      <c r="B3924" t="str">
        <f t="shared" si="123"/>
        <v/>
      </c>
      <c r="C3924" t="str">
        <f>IF(D3924="","",IF(COUNTIF($D$2:D3924,D3924)&gt;1,"",SUMIFS(tbl_input[필요수량],tbl_input[집계키_청],D3924)))</f>
        <v/>
      </c>
      <c r="D3924" t="str">
        <f>IFERROR(INDEX(tbl_input[집계키_청],ROW()-1),"")</f>
        <v/>
      </c>
    </row>
    <row r="3925" spans="1:4" x14ac:dyDescent="0.4">
      <c r="A3925" t="str">
        <f t="shared" si="122"/>
        <v/>
      </c>
      <c r="B3925" t="str">
        <f t="shared" si="123"/>
        <v/>
      </c>
      <c r="C3925" t="str">
        <f>IF(D3925="","",IF(COUNTIF($D$2:D3925,D3925)&gt;1,"",SUMIFS(tbl_input[필요수량],tbl_input[집계키_청],D3925)))</f>
        <v/>
      </c>
      <c r="D3925" t="str">
        <f>IFERROR(INDEX(tbl_input[집계키_청],ROW()-1),"")</f>
        <v/>
      </c>
    </row>
    <row r="3926" spans="1:4" x14ac:dyDescent="0.4">
      <c r="A3926" t="str">
        <f t="shared" si="122"/>
        <v/>
      </c>
      <c r="B3926" t="str">
        <f t="shared" si="123"/>
        <v/>
      </c>
      <c r="C3926" t="str">
        <f>IF(D3926="","",IF(COUNTIF($D$2:D3926,D3926)&gt;1,"",SUMIFS(tbl_input[필요수량],tbl_input[집계키_청],D3926)))</f>
        <v/>
      </c>
      <c r="D3926" t="str">
        <f>IFERROR(INDEX(tbl_input[집계키_청],ROW()-1),"")</f>
        <v/>
      </c>
    </row>
    <row r="3927" spans="1:4" x14ac:dyDescent="0.4">
      <c r="A3927" t="str">
        <f t="shared" si="122"/>
        <v/>
      </c>
      <c r="B3927" t="str">
        <f t="shared" si="123"/>
        <v/>
      </c>
      <c r="C3927" t="str">
        <f>IF(D3927="","",IF(COUNTIF($D$2:D3927,D3927)&gt;1,"",SUMIFS(tbl_input[필요수량],tbl_input[집계키_청],D3927)))</f>
        <v/>
      </c>
      <c r="D3927" t="str">
        <f>IFERROR(INDEX(tbl_input[집계키_청],ROW()-1),"")</f>
        <v/>
      </c>
    </row>
    <row r="3928" spans="1:4" x14ac:dyDescent="0.4">
      <c r="A3928" t="str">
        <f t="shared" si="122"/>
        <v/>
      </c>
      <c r="B3928" t="str">
        <f t="shared" si="123"/>
        <v/>
      </c>
      <c r="C3928" t="str">
        <f>IF(D3928="","",IF(COUNTIF($D$2:D3928,D3928)&gt;1,"",SUMIFS(tbl_input[필요수량],tbl_input[집계키_청],D3928)))</f>
        <v/>
      </c>
      <c r="D3928" t="str">
        <f>IFERROR(INDEX(tbl_input[집계키_청],ROW()-1),"")</f>
        <v/>
      </c>
    </row>
    <row r="3929" spans="1:4" x14ac:dyDescent="0.4">
      <c r="A3929" t="str">
        <f t="shared" si="122"/>
        <v/>
      </c>
      <c r="B3929" t="str">
        <f t="shared" si="123"/>
        <v/>
      </c>
      <c r="C3929" t="str">
        <f>IF(D3929="","",IF(COUNTIF($D$2:D3929,D3929)&gt;1,"",SUMIFS(tbl_input[필요수량],tbl_input[집계키_청],D3929)))</f>
        <v/>
      </c>
      <c r="D3929" t="str">
        <f>IFERROR(INDEX(tbl_input[집계키_청],ROW()-1),"")</f>
        <v/>
      </c>
    </row>
    <row r="3930" spans="1:4" x14ac:dyDescent="0.4">
      <c r="A3930" t="str">
        <f t="shared" si="122"/>
        <v/>
      </c>
      <c r="B3930" t="str">
        <f t="shared" si="123"/>
        <v/>
      </c>
      <c r="C3930" t="str">
        <f>IF(D3930="","",IF(COUNTIF($D$2:D3930,D3930)&gt;1,"",SUMIFS(tbl_input[필요수량],tbl_input[집계키_청],D3930)))</f>
        <v/>
      </c>
      <c r="D3930" t="str">
        <f>IFERROR(INDEX(tbl_input[집계키_청],ROW()-1),"")</f>
        <v/>
      </c>
    </row>
    <row r="3931" spans="1:4" x14ac:dyDescent="0.4">
      <c r="A3931" t="str">
        <f t="shared" si="122"/>
        <v/>
      </c>
      <c r="B3931" t="str">
        <f t="shared" si="123"/>
        <v/>
      </c>
      <c r="C3931" t="str">
        <f>IF(D3931="","",IF(COUNTIF($D$2:D3931,D3931)&gt;1,"",SUMIFS(tbl_input[필요수량],tbl_input[집계키_청],D3931)))</f>
        <v/>
      </c>
      <c r="D3931" t="str">
        <f>IFERROR(INDEX(tbl_input[집계키_청],ROW()-1),"")</f>
        <v/>
      </c>
    </row>
    <row r="3932" spans="1:4" x14ac:dyDescent="0.4">
      <c r="A3932" t="str">
        <f t="shared" si="122"/>
        <v/>
      </c>
      <c r="B3932" t="str">
        <f t="shared" si="123"/>
        <v/>
      </c>
      <c r="C3932" t="str">
        <f>IF(D3932="","",IF(COUNTIF($D$2:D3932,D3932)&gt;1,"",SUMIFS(tbl_input[필요수량],tbl_input[집계키_청],D3932)))</f>
        <v/>
      </c>
      <c r="D3932" t="str">
        <f>IFERROR(INDEX(tbl_input[집계키_청],ROW()-1),"")</f>
        <v/>
      </c>
    </row>
    <row r="3933" spans="1:4" x14ac:dyDescent="0.4">
      <c r="A3933" t="str">
        <f t="shared" si="122"/>
        <v/>
      </c>
      <c r="B3933" t="str">
        <f t="shared" si="123"/>
        <v/>
      </c>
      <c r="C3933" t="str">
        <f>IF(D3933="","",IF(COUNTIF($D$2:D3933,D3933)&gt;1,"",SUMIFS(tbl_input[필요수량],tbl_input[집계키_청],D3933)))</f>
        <v/>
      </c>
      <c r="D3933" t="str">
        <f>IFERROR(INDEX(tbl_input[집계키_청],ROW()-1),"")</f>
        <v/>
      </c>
    </row>
    <row r="3934" spans="1:4" x14ac:dyDescent="0.4">
      <c r="A3934" t="str">
        <f t="shared" si="122"/>
        <v/>
      </c>
      <c r="B3934" t="str">
        <f t="shared" si="123"/>
        <v/>
      </c>
      <c r="C3934" t="str">
        <f>IF(D3934="","",IF(COUNTIF($D$2:D3934,D3934)&gt;1,"",SUMIFS(tbl_input[필요수량],tbl_input[집계키_청],D3934)))</f>
        <v/>
      </c>
      <c r="D3934" t="str">
        <f>IFERROR(INDEX(tbl_input[집계키_청],ROW()-1),"")</f>
        <v/>
      </c>
    </row>
    <row r="3935" spans="1:4" x14ac:dyDescent="0.4">
      <c r="A3935" t="str">
        <f t="shared" si="122"/>
        <v/>
      </c>
      <c r="B3935" t="str">
        <f t="shared" si="123"/>
        <v/>
      </c>
      <c r="C3935" t="str">
        <f>IF(D3935="","",IF(COUNTIF($D$2:D3935,D3935)&gt;1,"",SUMIFS(tbl_input[필요수량],tbl_input[집계키_청],D3935)))</f>
        <v/>
      </c>
      <c r="D3935" t="str">
        <f>IFERROR(INDEX(tbl_input[집계키_청],ROW()-1),"")</f>
        <v/>
      </c>
    </row>
    <row r="3936" spans="1:4" x14ac:dyDescent="0.4">
      <c r="A3936" t="str">
        <f t="shared" si="122"/>
        <v/>
      </c>
      <c r="B3936" t="str">
        <f t="shared" si="123"/>
        <v/>
      </c>
      <c r="C3936" t="str">
        <f>IF(D3936="","",IF(COUNTIF($D$2:D3936,D3936)&gt;1,"",SUMIFS(tbl_input[필요수량],tbl_input[집계키_청],D3936)))</f>
        <v/>
      </c>
      <c r="D3936" t="str">
        <f>IFERROR(INDEX(tbl_input[집계키_청],ROW()-1),"")</f>
        <v/>
      </c>
    </row>
    <row r="3937" spans="1:4" x14ac:dyDescent="0.4">
      <c r="A3937" t="str">
        <f t="shared" si="122"/>
        <v/>
      </c>
      <c r="B3937" t="str">
        <f t="shared" si="123"/>
        <v/>
      </c>
      <c r="C3937" t="str">
        <f>IF(D3937="","",IF(COUNTIF($D$2:D3937,D3937)&gt;1,"",SUMIFS(tbl_input[필요수량],tbl_input[집계키_청],D3937)))</f>
        <v/>
      </c>
      <c r="D3937" t="str">
        <f>IFERROR(INDEX(tbl_input[집계키_청],ROW()-1),"")</f>
        <v/>
      </c>
    </row>
    <row r="3938" spans="1:4" x14ac:dyDescent="0.4">
      <c r="A3938" t="str">
        <f t="shared" si="122"/>
        <v/>
      </c>
      <c r="B3938" t="str">
        <f t="shared" si="123"/>
        <v/>
      </c>
      <c r="C3938" t="str">
        <f>IF(D3938="","",IF(COUNTIF($D$2:D3938,D3938)&gt;1,"",SUMIFS(tbl_input[필요수량],tbl_input[집계키_청],D3938)))</f>
        <v/>
      </c>
      <c r="D3938" t="str">
        <f>IFERROR(INDEX(tbl_input[집계키_청],ROW()-1),"")</f>
        <v/>
      </c>
    </row>
    <row r="3939" spans="1:4" x14ac:dyDescent="0.4">
      <c r="A3939" t="str">
        <f t="shared" si="122"/>
        <v/>
      </c>
      <c r="B3939" t="str">
        <f t="shared" si="123"/>
        <v/>
      </c>
      <c r="C3939" t="str">
        <f>IF(D3939="","",IF(COUNTIF($D$2:D3939,D3939)&gt;1,"",SUMIFS(tbl_input[필요수량],tbl_input[집계키_청],D3939)))</f>
        <v/>
      </c>
      <c r="D3939" t="str">
        <f>IFERROR(INDEX(tbl_input[집계키_청],ROW()-1),"")</f>
        <v/>
      </c>
    </row>
    <row r="3940" spans="1:4" x14ac:dyDescent="0.4">
      <c r="A3940" t="str">
        <f t="shared" si="122"/>
        <v/>
      </c>
      <c r="B3940" t="str">
        <f t="shared" si="123"/>
        <v/>
      </c>
      <c r="C3940" t="str">
        <f>IF(D3940="","",IF(COUNTIF($D$2:D3940,D3940)&gt;1,"",SUMIFS(tbl_input[필요수량],tbl_input[집계키_청],D3940)))</f>
        <v/>
      </c>
      <c r="D3940" t="str">
        <f>IFERROR(INDEX(tbl_input[집계키_청],ROW()-1),"")</f>
        <v/>
      </c>
    </row>
    <row r="3941" spans="1:4" x14ac:dyDescent="0.4">
      <c r="A3941" t="str">
        <f t="shared" si="122"/>
        <v/>
      </c>
      <c r="B3941" t="str">
        <f t="shared" si="123"/>
        <v/>
      </c>
      <c r="C3941" t="str">
        <f>IF(D3941="","",IF(COUNTIF($D$2:D3941,D3941)&gt;1,"",SUMIFS(tbl_input[필요수량],tbl_input[집계키_청],D3941)))</f>
        <v/>
      </c>
      <c r="D3941" t="str">
        <f>IFERROR(INDEX(tbl_input[집계키_청],ROW()-1),"")</f>
        <v/>
      </c>
    </row>
    <row r="3942" spans="1:4" x14ac:dyDescent="0.4">
      <c r="A3942" t="str">
        <f t="shared" si="122"/>
        <v/>
      </c>
      <c r="B3942" t="str">
        <f t="shared" si="123"/>
        <v/>
      </c>
      <c r="C3942" t="str">
        <f>IF(D3942="","",IF(COUNTIF($D$2:D3942,D3942)&gt;1,"",SUMIFS(tbl_input[필요수량],tbl_input[집계키_청],D3942)))</f>
        <v/>
      </c>
      <c r="D3942" t="str">
        <f>IFERROR(INDEX(tbl_input[집계키_청],ROW()-1),"")</f>
        <v/>
      </c>
    </row>
    <row r="3943" spans="1:4" x14ac:dyDescent="0.4">
      <c r="A3943" t="str">
        <f t="shared" si="122"/>
        <v/>
      </c>
      <c r="B3943" t="str">
        <f t="shared" si="123"/>
        <v/>
      </c>
      <c r="C3943" t="str">
        <f>IF(D3943="","",IF(COUNTIF($D$2:D3943,D3943)&gt;1,"",SUMIFS(tbl_input[필요수량],tbl_input[집계키_청],D3943)))</f>
        <v/>
      </c>
      <c r="D3943" t="str">
        <f>IFERROR(INDEX(tbl_input[집계키_청],ROW()-1),"")</f>
        <v/>
      </c>
    </row>
    <row r="3944" spans="1:4" x14ac:dyDescent="0.4">
      <c r="A3944" t="str">
        <f t="shared" si="122"/>
        <v/>
      </c>
      <c r="B3944" t="str">
        <f t="shared" si="123"/>
        <v/>
      </c>
      <c r="C3944" t="str">
        <f>IF(D3944="","",IF(COUNTIF($D$2:D3944,D3944)&gt;1,"",SUMIFS(tbl_input[필요수량],tbl_input[집계키_청],D3944)))</f>
        <v/>
      </c>
      <c r="D3944" t="str">
        <f>IFERROR(INDEX(tbl_input[집계키_청],ROW()-1),"")</f>
        <v/>
      </c>
    </row>
    <row r="3945" spans="1:4" x14ac:dyDescent="0.4">
      <c r="A3945" t="str">
        <f t="shared" si="122"/>
        <v/>
      </c>
      <c r="B3945" t="str">
        <f t="shared" si="123"/>
        <v/>
      </c>
      <c r="C3945" t="str">
        <f>IF(D3945="","",IF(COUNTIF($D$2:D3945,D3945)&gt;1,"",SUMIFS(tbl_input[필요수량],tbl_input[집계키_청],D3945)))</f>
        <v/>
      </c>
      <c r="D3945" t="str">
        <f>IFERROR(INDEX(tbl_input[집계키_청],ROW()-1),"")</f>
        <v/>
      </c>
    </row>
    <row r="3946" spans="1:4" x14ac:dyDescent="0.4">
      <c r="A3946" t="str">
        <f t="shared" si="122"/>
        <v/>
      </c>
      <c r="B3946" t="str">
        <f t="shared" si="123"/>
        <v/>
      </c>
      <c r="C3946" t="str">
        <f>IF(D3946="","",IF(COUNTIF($D$2:D3946,D3946)&gt;1,"",SUMIFS(tbl_input[필요수량],tbl_input[집계키_청],D3946)))</f>
        <v/>
      </c>
      <c r="D3946" t="str">
        <f>IFERROR(INDEX(tbl_input[집계키_청],ROW()-1),"")</f>
        <v/>
      </c>
    </row>
    <row r="3947" spans="1:4" x14ac:dyDescent="0.4">
      <c r="A3947" t="str">
        <f t="shared" si="122"/>
        <v/>
      </c>
      <c r="B3947" t="str">
        <f t="shared" si="123"/>
        <v/>
      </c>
      <c r="C3947" t="str">
        <f>IF(D3947="","",IF(COUNTIF($D$2:D3947,D3947)&gt;1,"",SUMIFS(tbl_input[필요수량],tbl_input[집계키_청],D3947)))</f>
        <v/>
      </c>
      <c r="D3947" t="str">
        <f>IFERROR(INDEX(tbl_input[집계키_청],ROW()-1),"")</f>
        <v/>
      </c>
    </row>
    <row r="3948" spans="1:4" x14ac:dyDescent="0.4">
      <c r="A3948" t="str">
        <f t="shared" si="122"/>
        <v/>
      </c>
      <c r="B3948" t="str">
        <f t="shared" si="123"/>
        <v/>
      </c>
      <c r="C3948" t="str">
        <f>IF(D3948="","",IF(COUNTIF($D$2:D3948,D3948)&gt;1,"",SUMIFS(tbl_input[필요수량],tbl_input[집계키_청],D3948)))</f>
        <v/>
      </c>
      <c r="D3948" t="str">
        <f>IFERROR(INDEX(tbl_input[집계키_청],ROW()-1),"")</f>
        <v/>
      </c>
    </row>
    <row r="3949" spans="1:4" x14ac:dyDescent="0.4">
      <c r="A3949" t="str">
        <f t="shared" si="122"/>
        <v/>
      </c>
      <c r="B3949" t="str">
        <f t="shared" si="123"/>
        <v/>
      </c>
      <c r="C3949" t="str">
        <f>IF(D3949="","",IF(COUNTIF($D$2:D3949,D3949)&gt;1,"",SUMIFS(tbl_input[필요수량],tbl_input[집계키_청],D3949)))</f>
        <v/>
      </c>
      <c r="D3949" t="str">
        <f>IFERROR(INDEX(tbl_input[집계키_청],ROW()-1),"")</f>
        <v/>
      </c>
    </row>
    <row r="3950" spans="1:4" x14ac:dyDescent="0.4">
      <c r="A3950" t="str">
        <f t="shared" si="122"/>
        <v/>
      </c>
      <c r="B3950" t="str">
        <f t="shared" si="123"/>
        <v/>
      </c>
      <c r="C3950" t="str">
        <f>IF(D3950="","",IF(COUNTIF($D$2:D3950,D3950)&gt;1,"",SUMIFS(tbl_input[필요수량],tbl_input[집계키_청],D3950)))</f>
        <v/>
      </c>
      <c r="D3950" t="str">
        <f>IFERROR(INDEX(tbl_input[집계키_청],ROW()-1),"")</f>
        <v/>
      </c>
    </row>
    <row r="3951" spans="1:4" x14ac:dyDescent="0.4">
      <c r="A3951" t="str">
        <f t="shared" si="122"/>
        <v/>
      </c>
      <c r="B3951" t="str">
        <f t="shared" si="123"/>
        <v/>
      </c>
      <c r="C3951" t="str">
        <f>IF(D3951="","",IF(COUNTIF($D$2:D3951,D3951)&gt;1,"",SUMIFS(tbl_input[필요수량],tbl_input[집계키_청],D3951)))</f>
        <v/>
      </c>
      <c r="D3951" t="str">
        <f>IFERROR(INDEX(tbl_input[집계키_청],ROW()-1),"")</f>
        <v/>
      </c>
    </row>
    <row r="3952" spans="1:4" x14ac:dyDescent="0.4">
      <c r="A3952" t="str">
        <f t="shared" si="122"/>
        <v/>
      </c>
      <c r="B3952" t="str">
        <f t="shared" si="123"/>
        <v/>
      </c>
      <c r="C3952" t="str">
        <f>IF(D3952="","",IF(COUNTIF($D$2:D3952,D3952)&gt;1,"",SUMIFS(tbl_input[필요수량],tbl_input[집계키_청],D3952)))</f>
        <v/>
      </c>
      <c r="D3952" t="str">
        <f>IFERROR(INDEX(tbl_input[집계키_청],ROW()-1),"")</f>
        <v/>
      </c>
    </row>
    <row r="3953" spans="1:4" x14ac:dyDescent="0.4">
      <c r="A3953" t="str">
        <f t="shared" si="122"/>
        <v/>
      </c>
      <c r="B3953" t="str">
        <f t="shared" si="123"/>
        <v/>
      </c>
      <c r="C3953" t="str">
        <f>IF(D3953="","",IF(COUNTIF($D$2:D3953,D3953)&gt;1,"",SUMIFS(tbl_input[필요수량],tbl_input[집계키_청],D3953)))</f>
        <v/>
      </c>
      <c r="D3953" t="str">
        <f>IFERROR(INDEX(tbl_input[집계키_청],ROW()-1),"")</f>
        <v/>
      </c>
    </row>
    <row r="3954" spans="1:4" x14ac:dyDescent="0.4">
      <c r="A3954" t="str">
        <f t="shared" si="122"/>
        <v/>
      </c>
      <c r="B3954" t="str">
        <f t="shared" si="123"/>
        <v/>
      </c>
      <c r="C3954" t="str">
        <f>IF(D3954="","",IF(COUNTIF($D$2:D3954,D3954)&gt;1,"",SUMIFS(tbl_input[필요수량],tbl_input[집계키_청],D3954)))</f>
        <v/>
      </c>
      <c r="D3954" t="str">
        <f>IFERROR(INDEX(tbl_input[집계키_청],ROW()-1),"")</f>
        <v/>
      </c>
    </row>
    <row r="3955" spans="1:4" x14ac:dyDescent="0.4">
      <c r="A3955" t="str">
        <f t="shared" si="122"/>
        <v/>
      </c>
      <c r="B3955" t="str">
        <f t="shared" si="123"/>
        <v/>
      </c>
      <c r="C3955" t="str">
        <f>IF(D3955="","",IF(COUNTIF($D$2:D3955,D3955)&gt;1,"",SUMIFS(tbl_input[필요수량],tbl_input[집계키_청],D3955)))</f>
        <v/>
      </c>
      <c r="D3955" t="str">
        <f>IFERROR(INDEX(tbl_input[집계키_청],ROW()-1),"")</f>
        <v/>
      </c>
    </row>
    <row r="3956" spans="1:4" x14ac:dyDescent="0.4">
      <c r="A3956" t="str">
        <f t="shared" si="122"/>
        <v/>
      </c>
      <c r="B3956" t="str">
        <f t="shared" si="123"/>
        <v/>
      </c>
      <c r="C3956" t="str">
        <f>IF(D3956="","",IF(COUNTIF($D$2:D3956,D3956)&gt;1,"",SUMIFS(tbl_input[필요수량],tbl_input[집계키_청],D3956)))</f>
        <v/>
      </c>
      <c r="D3956" t="str">
        <f>IFERROR(INDEX(tbl_input[집계키_청],ROW()-1),"")</f>
        <v/>
      </c>
    </row>
    <row r="3957" spans="1:4" x14ac:dyDescent="0.4">
      <c r="A3957" t="str">
        <f t="shared" si="122"/>
        <v/>
      </c>
      <c r="B3957" t="str">
        <f t="shared" si="123"/>
        <v/>
      </c>
      <c r="C3957" t="str">
        <f>IF(D3957="","",IF(COUNTIF($D$2:D3957,D3957)&gt;1,"",SUMIFS(tbl_input[필요수량],tbl_input[집계키_청],D3957)))</f>
        <v/>
      </c>
      <c r="D3957" t="str">
        <f>IFERROR(INDEX(tbl_input[집계키_청],ROW()-1),"")</f>
        <v/>
      </c>
    </row>
    <row r="3958" spans="1:4" x14ac:dyDescent="0.4">
      <c r="A3958" t="str">
        <f t="shared" si="122"/>
        <v/>
      </c>
      <c r="B3958" t="str">
        <f t="shared" si="123"/>
        <v/>
      </c>
      <c r="C3958" t="str">
        <f>IF(D3958="","",IF(COUNTIF($D$2:D3958,D3958)&gt;1,"",SUMIFS(tbl_input[필요수량],tbl_input[집계키_청],D3958)))</f>
        <v/>
      </c>
      <c r="D3958" t="str">
        <f>IFERROR(INDEX(tbl_input[집계키_청],ROW()-1),"")</f>
        <v/>
      </c>
    </row>
    <row r="3959" spans="1:4" x14ac:dyDescent="0.4">
      <c r="A3959" t="str">
        <f t="shared" si="122"/>
        <v/>
      </c>
      <c r="B3959" t="str">
        <f t="shared" si="123"/>
        <v/>
      </c>
      <c r="C3959" t="str">
        <f>IF(D3959="","",IF(COUNTIF($D$2:D3959,D3959)&gt;1,"",SUMIFS(tbl_input[필요수량],tbl_input[집계키_청],D3959)))</f>
        <v/>
      </c>
      <c r="D3959" t="str">
        <f>IFERROR(INDEX(tbl_input[집계키_청],ROW()-1),"")</f>
        <v/>
      </c>
    </row>
    <row r="3960" spans="1:4" x14ac:dyDescent="0.4">
      <c r="A3960" t="str">
        <f t="shared" si="122"/>
        <v/>
      </c>
      <c r="B3960" t="str">
        <f t="shared" si="123"/>
        <v/>
      </c>
      <c r="C3960" t="str">
        <f>IF(D3960="","",IF(COUNTIF($D$2:D3960,D3960)&gt;1,"",SUMIFS(tbl_input[필요수량],tbl_input[집계키_청],D3960)))</f>
        <v/>
      </c>
      <c r="D3960" t="str">
        <f>IFERROR(INDEX(tbl_input[집계키_청],ROW()-1),"")</f>
        <v/>
      </c>
    </row>
    <row r="3961" spans="1:4" x14ac:dyDescent="0.4">
      <c r="A3961" t="str">
        <f t="shared" si="122"/>
        <v/>
      </c>
      <c r="B3961" t="str">
        <f t="shared" si="123"/>
        <v/>
      </c>
      <c r="C3961" t="str">
        <f>IF(D3961="","",IF(COUNTIF($D$2:D3961,D3961)&gt;1,"",SUMIFS(tbl_input[필요수량],tbl_input[집계키_청],D3961)))</f>
        <v/>
      </c>
      <c r="D3961" t="str">
        <f>IFERROR(INDEX(tbl_input[집계키_청],ROW()-1),"")</f>
        <v/>
      </c>
    </row>
    <row r="3962" spans="1:4" x14ac:dyDescent="0.4">
      <c r="A3962" t="str">
        <f t="shared" si="122"/>
        <v/>
      </c>
      <c r="B3962" t="str">
        <f t="shared" si="123"/>
        <v/>
      </c>
      <c r="C3962" t="str">
        <f>IF(D3962="","",IF(COUNTIF($D$2:D3962,D3962)&gt;1,"",SUMIFS(tbl_input[필요수량],tbl_input[집계키_청],D3962)))</f>
        <v/>
      </c>
      <c r="D3962" t="str">
        <f>IFERROR(INDEX(tbl_input[집계키_청],ROW()-1),"")</f>
        <v/>
      </c>
    </row>
    <row r="3963" spans="1:4" x14ac:dyDescent="0.4">
      <c r="A3963" t="str">
        <f t="shared" si="122"/>
        <v/>
      </c>
      <c r="B3963" t="str">
        <f t="shared" si="123"/>
        <v/>
      </c>
      <c r="C3963" t="str">
        <f>IF(D3963="","",IF(COUNTIF($D$2:D3963,D3963)&gt;1,"",SUMIFS(tbl_input[필요수량],tbl_input[집계키_청],D3963)))</f>
        <v/>
      </c>
      <c r="D3963" t="str">
        <f>IFERROR(INDEX(tbl_input[집계키_청],ROW()-1),"")</f>
        <v/>
      </c>
    </row>
    <row r="3964" spans="1:4" x14ac:dyDescent="0.4">
      <c r="A3964" t="str">
        <f t="shared" si="122"/>
        <v/>
      </c>
      <c r="B3964" t="str">
        <f t="shared" si="123"/>
        <v/>
      </c>
      <c r="C3964" t="str">
        <f>IF(D3964="","",IF(COUNTIF($D$2:D3964,D3964)&gt;1,"",SUMIFS(tbl_input[필요수량],tbl_input[집계키_청],D3964)))</f>
        <v/>
      </c>
      <c r="D3964" t="str">
        <f>IFERROR(INDEX(tbl_input[집계키_청],ROW()-1),"")</f>
        <v/>
      </c>
    </row>
    <row r="3965" spans="1:4" x14ac:dyDescent="0.4">
      <c r="A3965" t="str">
        <f t="shared" si="122"/>
        <v/>
      </c>
      <c r="B3965" t="str">
        <f t="shared" si="123"/>
        <v/>
      </c>
      <c r="C3965" t="str">
        <f>IF(D3965="","",IF(COUNTIF($D$2:D3965,D3965)&gt;1,"",SUMIFS(tbl_input[필요수량],tbl_input[집계키_청],D3965)))</f>
        <v/>
      </c>
      <c r="D3965" t="str">
        <f>IFERROR(INDEX(tbl_input[집계키_청],ROW()-1),"")</f>
        <v/>
      </c>
    </row>
    <row r="3966" spans="1:4" x14ac:dyDescent="0.4">
      <c r="A3966" t="str">
        <f t="shared" si="122"/>
        <v/>
      </c>
      <c r="B3966" t="str">
        <f t="shared" si="123"/>
        <v/>
      </c>
      <c r="C3966" t="str">
        <f>IF(D3966="","",IF(COUNTIF($D$2:D3966,D3966)&gt;1,"",SUMIFS(tbl_input[필요수량],tbl_input[집계키_청],D3966)))</f>
        <v/>
      </c>
      <c r="D3966" t="str">
        <f>IFERROR(INDEX(tbl_input[집계키_청],ROW()-1),"")</f>
        <v/>
      </c>
    </row>
    <row r="3967" spans="1:4" x14ac:dyDescent="0.4">
      <c r="A3967" t="str">
        <f t="shared" si="122"/>
        <v/>
      </c>
      <c r="B3967" t="str">
        <f t="shared" si="123"/>
        <v/>
      </c>
      <c r="C3967" t="str">
        <f>IF(D3967="","",IF(COUNTIF($D$2:D3967,D3967)&gt;1,"",SUMIFS(tbl_input[필요수량],tbl_input[집계키_청],D3967)))</f>
        <v/>
      </c>
      <c r="D3967" t="str">
        <f>IFERROR(INDEX(tbl_input[집계키_청],ROW()-1),"")</f>
        <v/>
      </c>
    </row>
    <row r="3968" spans="1:4" x14ac:dyDescent="0.4">
      <c r="A3968" t="str">
        <f t="shared" si="122"/>
        <v/>
      </c>
      <c r="B3968" t="str">
        <f t="shared" si="123"/>
        <v/>
      </c>
      <c r="C3968" t="str">
        <f>IF(D3968="","",IF(COUNTIF($D$2:D3968,D3968)&gt;1,"",SUMIFS(tbl_input[필요수량],tbl_input[집계키_청],D3968)))</f>
        <v/>
      </c>
      <c r="D3968" t="str">
        <f>IFERROR(INDEX(tbl_input[집계키_청],ROW()-1),"")</f>
        <v/>
      </c>
    </row>
    <row r="3969" spans="1:4" x14ac:dyDescent="0.4">
      <c r="A3969" t="str">
        <f t="shared" si="122"/>
        <v/>
      </c>
      <c r="B3969" t="str">
        <f t="shared" si="123"/>
        <v/>
      </c>
      <c r="C3969" t="str">
        <f>IF(D3969="","",IF(COUNTIF($D$2:D3969,D3969)&gt;1,"",SUMIFS(tbl_input[필요수량],tbl_input[집계키_청],D3969)))</f>
        <v/>
      </c>
      <c r="D3969" t="str">
        <f>IFERROR(INDEX(tbl_input[집계키_청],ROW()-1),"")</f>
        <v/>
      </c>
    </row>
    <row r="3970" spans="1:4" x14ac:dyDescent="0.4">
      <c r="A3970" t="str">
        <f t="shared" ref="A3970:A4033" si="124">IF(D3970="","",LEFT(D3970,FIND("♦",D3970)-1))</f>
        <v/>
      </c>
      <c r="B3970" t="str">
        <f t="shared" ref="B3970:B4033" si="125">IF(D3970="","",MID(D3970,FIND("♦",D3970)+1,999))</f>
        <v/>
      </c>
      <c r="C3970" t="str">
        <f>IF(D3970="","",IF(COUNTIF($D$2:D3970,D3970)&gt;1,"",SUMIFS(tbl_input[필요수량],tbl_input[집계키_청],D3970)))</f>
        <v/>
      </c>
      <c r="D3970" t="str">
        <f>IFERROR(INDEX(tbl_input[집계키_청],ROW()-1),"")</f>
        <v/>
      </c>
    </row>
    <row r="3971" spans="1:4" x14ac:dyDescent="0.4">
      <c r="A3971" t="str">
        <f t="shared" si="124"/>
        <v/>
      </c>
      <c r="B3971" t="str">
        <f t="shared" si="125"/>
        <v/>
      </c>
      <c r="C3971" t="str">
        <f>IF(D3971="","",IF(COUNTIF($D$2:D3971,D3971)&gt;1,"",SUMIFS(tbl_input[필요수량],tbl_input[집계키_청],D3971)))</f>
        <v/>
      </c>
      <c r="D3971" t="str">
        <f>IFERROR(INDEX(tbl_input[집계키_청],ROW()-1),"")</f>
        <v/>
      </c>
    </row>
    <row r="3972" spans="1:4" x14ac:dyDescent="0.4">
      <c r="A3972" t="str">
        <f t="shared" si="124"/>
        <v/>
      </c>
      <c r="B3972" t="str">
        <f t="shared" si="125"/>
        <v/>
      </c>
      <c r="C3972" t="str">
        <f>IF(D3972="","",IF(COUNTIF($D$2:D3972,D3972)&gt;1,"",SUMIFS(tbl_input[필요수량],tbl_input[집계키_청],D3972)))</f>
        <v/>
      </c>
      <c r="D3972" t="str">
        <f>IFERROR(INDEX(tbl_input[집계키_청],ROW()-1),"")</f>
        <v/>
      </c>
    </row>
    <row r="3973" spans="1:4" x14ac:dyDescent="0.4">
      <c r="A3973" t="str">
        <f t="shared" si="124"/>
        <v/>
      </c>
      <c r="B3973" t="str">
        <f t="shared" si="125"/>
        <v/>
      </c>
      <c r="C3973" t="str">
        <f>IF(D3973="","",IF(COUNTIF($D$2:D3973,D3973)&gt;1,"",SUMIFS(tbl_input[필요수량],tbl_input[집계키_청],D3973)))</f>
        <v/>
      </c>
      <c r="D3973" t="str">
        <f>IFERROR(INDEX(tbl_input[집계키_청],ROW()-1),"")</f>
        <v/>
      </c>
    </row>
    <row r="3974" spans="1:4" x14ac:dyDescent="0.4">
      <c r="A3974" t="str">
        <f t="shared" si="124"/>
        <v/>
      </c>
      <c r="B3974" t="str">
        <f t="shared" si="125"/>
        <v/>
      </c>
      <c r="C3974" t="str">
        <f>IF(D3974="","",IF(COUNTIF($D$2:D3974,D3974)&gt;1,"",SUMIFS(tbl_input[필요수량],tbl_input[집계키_청],D3974)))</f>
        <v/>
      </c>
      <c r="D3974" t="str">
        <f>IFERROR(INDEX(tbl_input[집계키_청],ROW()-1),"")</f>
        <v/>
      </c>
    </row>
    <row r="3975" spans="1:4" x14ac:dyDescent="0.4">
      <c r="A3975" t="str">
        <f t="shared" si="124"/>
        <v/>
      </c>
      <c r="B3975" t="str">
        <f t="shared" si="125"/>
        <v/>
      </c>
      <c r="C3975" t="str">
        <f>IF(D3975="","",IF(COUNTIF($D$2:D3975,D3975)&gt;1,"",SUMIFS(tbl_input[필요수량],tbl_input[집계키_청],D3975)))</f>
        <v/>
      </c>
      <c r="D3975" t="str">
        <f>IFERROR(INDEX(tbl_input[집계키_청],ROW()-1),"")</f>
        <v/>
      </c>
    </row>
    <row r="3976" spans="1:4" x14ac:dyDescent="0.4">
      <c r="A3976" t="str">
        <f t="shared" si="124"/>
        <v/>
      </c>
      <c r="B3976" t="str">
        <f t="shared" si="125"/>
        <v/>
      </c>
      <c r="C3976" t="str">
        <f>IF(D3976="","",IF(COUNTIF($D$2:D3976,D3976)&gt;1,"",SUMIFS(tbl_input[필요수량],tbl_input[집계키_청],D3976)))</f>
        <v/>
      </c>
      <c r="D3976" t="str">
        <f>IFERROR(INDEX(tbl_input[집계키_청],ROW()-1),"")</f>
        <v/>
      </c>
    </row>
    <row r="3977" spans="1:4" x14ac:dyDescent="0.4">
      <c r="A3977" t="str">
        <f t="shared" si="124"/>
        <v/>
      </c>
      <c r="B3977" t="str">
        <f t="shared" si="125"/>
        <v/>
      </c>
      <c r="C3977" t="str">
        <f>IF(D3977="","",IF(COUNTIF($D$2:D3977,D3977)&gt;1,"",SUMIFS(tbl_input[필요수량],tbl_input[집계키_청],D3977)))</f>
        <v/>
      </c>
      <c r="D3977" t="str">
        <f>IFERROR(INDEX(tbl_input[집계키_청],ROW()-1),"")</f>
        <v/>
      </c>
    </row>
    <row r="3978" spans="1:4" x14ac:dyDescent="0.4">
      <c r="A3978" t="str">
        <f t="shared" si="124"/>
        <v/>
      </c>
      <c r="B3978" t="str">
        <f t="shared" si="125"/>
        <v/>
      </c>
      <c r="C3978" t="str">
        <f>IF(D3978="","",IF(COUNTIF($D$2:D3978,D3978)&gt;1,"",SUMIFS(tbl_input[필요수량],tbl_input[집계키_청],D3978)))</f>
        <v/>
      </c>
      <c r="D3978" t="str">
        <f>IFERROR(INDEX(tbl_input[집계키_청],ROW()-1),"")</f>
        <v/>
      </c>
    </row>
    <row r="3979" spans="1:4" x14ac:dyDescent="0.4">
      <c r="A3979" t="str">
        <f t="shared" si="124"/>
        <v/>
      </c>
      <c r="B3979" t="str">
        <f t="shared" si="125"/>
        <v/>
      </c>
      <c r="C3979" t="str">
        <f>IF(D3979="","",IF(COUNTIF($D$2:D3979,D3979)&gt;1,"",SUMIFS(tbl_input[필요수량],tbl_input[집계키_청],D3979)))</f>
        <v/>
      </c>
      <c r="D3979" t="str">
        <f>IFERROR(INDEX(tbl_input[집계키_청],ROW()-1),"")</f>
        <v/>
      </c>
    </row>
    <row r="3980" spans="1:4" x14ac:dyDescent="0.4">
      <c r="A3980" t="str">
        <f t="shared" si="124"/>
        <v/>
      </c>
      <c r="B3980" t="str">
        <f t="shared" si="125"/>
        <v/>
      </c>
      <c r="C3980" t="str">
        <f>IF(D3980="","",IF(COUNTIF($D$2:D3980,D3980)&gt;1,"",SUMIFS(tbl_input[필요수량],tbl_input[집계키_청],D3980)))</f>
        <v/>
      </c>
      <c r="D3980" t="str">
        <f>IFERROR(INDEX(tbl_input[집계키_청],ROW()-1),"")</f>
        <v/>
      </c>
    </row>
    <row r="3981" spans="1:4" x14ac:dyDescent="0.4">
      <c r="A3981" t="str">
        <f t="shared" si="124"/>
        <v/>
      </c>
      <c r="B3981" t="str">
        <f t="shared" si="125"/>
        <v/>
      </c>
      <c r="C3981" t="str">
        <f>IF(D3981="","",IF(COUNTIF($D$2:D3981,D3981)&gt;1,"",SUMIFS(tbl_input[필요수량],tbl_input[집계키_청],D3981)))</f>
        <v/>
      </c>
      <c r="D3981" t="str">
        <f>IFERROR(INDEX(tbl_input[집계키_청],ROW()-1),"")</f>
        <v/>
      </c>
    </row>
    <row r="3982" spans="1:4" x14ac:dyDescent="0.4">
      <c r="A3982" t="str">
        <f t="shared" si="124"/>
        <v/>
      </c>
      <c r="B3982" t="str">
        <f t="shared" si="125"/>
        <v/>
      </c>
      <c r="C3982" t="str">
        <f>IF(D3982="","",IF(COUNTIF($D$2:D3982,D3982)&gt;1,"",SUMIFS(tbl_input[필요수량],tbl_input[집계키_청],D3982)))</f>
        <v/>
      </c>
      <c r="D3982" t="str">
        <f>IFERROR(INDEX(tbl_input[집계키_청],ROW()-1),"")</f>
        <v/>
      </c>
    </row>
    <row r="3983" spans="1:4" x14ac:dyDescent="0.4">
      <c r="A3983" t="str">
        <f t="shared" si="124"/>
        <v/>
      </c>
      <c r="B3983" t="str">
        <f t="shared" si="125"/>
        <v/>
      </c>
      <c r="C3983" t="str">
        <f>IF(D3983="","",IF(COUNTIF($D$2:D3983,D3983)&gt;1,"",SUMIFS(tbl_input[필요수량],tbl_input[집계키_청],D3983)))</f>
        <v/>
      </c>
      <c r="D3983" t="str">
        <f>IFERROR(INDEX(tbl_input[집계키_청],ROW()-1),"")</f>
        <v/>
      </c>
    </row>
    <row r="3984" spans="1:4" x14ac:dyDescent="0.4">
      <c r="A3984" t="str">
        <f t="shared" si="124"/>
        <v/>
      </c>
      <c r="B3984" t="str">
        <f t="shared" si="125"/>
        <v/>
      </c>
      <c r="C3984" t="str">
        <f>IF(D3984="","",IF(COUNTIF($D$2:D3984,D3984)&gt;1,"",SUMIFS(tbl_input[필요수량],tbl_input[집계키_청],D3984)))</f>
        <v/>
      </c>
      <c r="D3984" t="str">
        <f>IFERROR(INDEX(tbl_input[집계키_청],ROW()-1),"")</f>
        <v/>
      </c>
    </row>
    <row r="3985" spans="1:4" x14ac:dyDescent="0.4">
      <c r="A3985" t="str">
        <f t="shared" si="124"/>
        <v/>
      </c>
      <c r="B3985" t="str">
        <f t="shared" si="125"/>
        <v/>
      </c>
      <c r="C3985" t="str">
        <f>IF(D3985="","",IF(COUNTIF($D$2:D3985,D3985)&gt;1,"",SUMIFS(tbl_input[필요수량],tbl_input[집계키_청],D3985)))</f>
        <v/>
      </c>
      <c r="D3985" t="str">
        <f>IFERROR(INDEX(tbl_input[집계키_청],ROW()-1),"")</f>
        <v/>
      </c>
    </row>
    <row r="3986" spans="1:4" x14ac:dyDescent="0.4">
      <c r="A3986" t="str">
        <f t="shared" si="124"/>
        <v/>
      </c>
      <c r="B3986" t="str">
        <f t="shared" si="125"/>
        <v/>
      </c>
      <c r="C3986" t="str">
        <f>IF(D3986="","",IF(COUNTIF($D$2:D3986,D3986)&gt;1,"",SUMIFS(tbl_input[필요수량],tbl_input[집계키_청],D3986)))</f>
        <v/>
      </c>
      <c r="D3986" t="str">
        <f>IFERROR(INDEX(tbl_input[집계키_청],ROW()-1),"")</f>
        <v/>
      </c>
    </row>
    <row r="3987" spans="1:4" x14ac:dyDescent="0.4">
      <c r="A3987" t="str">
        <f t="shared" si="124"/>
        <v/>
      </c>
      <c r="B3987" t="str">
        <f t="shared" si="125"/>
        <v/>
      </c>
      <c r="C3987" t="str">
        <f>IF(D3987="","",IF(COUNTIF($D$2:D3987,D3987)&gt;1,"",SUMIFS(tbl_input[필요수량],tbl_input[집계키_청],D3987)))</f>
        <v/>
      </c>
      <c r="D3987" t="str">
        <f>IFERROR(INDEX(tbl_input[집계키_청],ROW()-1),"")</f>
        <v/>
      </c>
    </row>
    <row r="3988" spans="1:4" x14ac:dyDescent="0.4">
      <c r="A3988" t="str">
        <f t="shared" si="124"/>
        <v/>
      </c>
      <c r="B3988" t="str">
        <f t="shared" si="125"/>
        <v/>
      </c>
      <c r="C3988" t="str">
        <f>IF(D3988="","",IF(COUNTIF($D$2:D3988,D3988)&gt;1,"",SUMIFS(tbl_input[필요수량],tbl_input[집계키_청],D3988)))</f>
        <v/>
      </c>
      <c r="D3988" t="str">
        <f>IFERROR(INDEX(tbl_input[집계키_청],ROW()-1),"")</f>
        <v/>
      </c>
    </row>
    <row r="3989" spans="1:4" x14ac:dyDescent="0.4">
      <c r="A3989" t="str">
        <f t="shared" si="124"/>
        <v/>
      </c>
      <c r="B3989" t="str">
        <f t="shared" si="125"/>
        <v/>
      </c>
      <c r="C3989" t="str">
        <f>IF(D3989="","",IF(COUNTIF($D$2:D3989,D3989)&gt;1,"",SUMIFS(tbl_input[필요수량],tbl_input[집계키_청],D3989)))</f>
        <v/>
      </c>
      <c r="D3989" t="str">
        <f>IFERROR(INDEX(tbl_input[집계키_청],ROW()-1),"")</f>
        <v/>
      </c>
    </row>
    <row r="3990" spans="1:4" x14ac:dyDescent="0.4">
      <c r="A3990" t="str">
        <f t="shared" si="124"/>
        <v/>
      </c>
      <c r="B3990" t="str">
        <f t="shared" si="125"/>
        <v/>
      </c>
      <c r="C3990" t="str">
        <f>IF(D3990="","",IF(COUNTIF($D$2:D3990,D3990)&gt;1,"",SUMIFS(tbl_input[필요수량],tbl_input[집계키_청],D3990)))</f>
        <v/>
      </c>
      <c r="D3990" t="str">
        <f>IFERROR(INDEX(tbl_input[집계키_청],ROW()-1),"")</f>
        <v/>
      </c>
    </row>
    <row r="3991" spans="1:4" x14ac:dyDescent="0.4">
      <c r="A3991" t="str">
        <f t="shared" si="124"/>
        <v/>
      </c>
      <c r="B3991" t="str">
        <f t="shared" si="125"/>
        <v/>
      </c>
      <c r="C3991" t="str">
        <f>IF(D3991="","",IF(COUNTIF($D$2:D3991,D3991)&gt;1,"",SUMIFS(tbl_input[필요수량],tbl_input[집계키_청],D3991)))</f>
        <v/>
      </c>
      <c r="D3991" t="str">
        <f>IFERROR(INDEX(tbl_input[집계키_청],ROW()-1),"")</f>
        <v/>
      </c>
    </row>
    <row r="3992" spans="1:4" x14ac:dyDescent="0.4">
      <c r="A3992" t="str">
        <f t="shared" si="124"/>
        <v/>
      </c>
      <c r="B3992" t="str">
        <f t="shared" si="125"/>
        <v/>
      </c>
      <c r="C3992" t="str">
        <f>IF(D3992="","",IF(COUNTIF($D$2:D3992,D3992)&gt;1,"",SUMIFS(tbl_input[필요수량],tbl_input[집계키_청],D3992)))</f>
        <v/>
      </c>
      <c r="D3992" t="str">
        <f>IFERROR(INDEX(tbl_input[집계키_청],ROW()-1),"")</f>
        <v/>
      </c>
    </row>
    <row r="3993" spans="1:4" x14ac:dyDescent="0.4">
      <c r="A3993" t="str">
        <f t="shared" si="124"/>
        <v/>
      </c>
      <c r="B3993" t="str">
        <f t="shared" si="125"/>
        <v/>
      </c>
      <c r="C3993" t="str">
        <f>IF(D3993="","",IF(COUNTIF($D$2:D3993,D3993)&gt;1,"",SUMIFS(tbl_input[필요수량],tbl_input[집계키_청],D3993)))</f>
        <v/>
      </c>
      <c r="D3993" t="str">
        <f>IFERROR(INDEX(tbl_input[집계키_청],ROW()-1),"")</f>
        <v/>
      </c>
    </row>
    <row r="3994" spans="1:4" x14ac:dyDescent="0.4">
      <c r="A3994" t="str">
        <f t="shared" si="124"/>
        <v/>
      </c>
      <c r="B3994" t="str">
        <f t="shared" si="125"/>
        <v/>
      </c>
      <c r="C3994" t="str">
        <f>IF(D3994="","",IF(COUNTIF($D$2:D3994,D3994)&gt;1,"",SUMIFS(tbl_input[필요수량],tbl_input[집계키_청],D3994)))</f>
        <v/>
      </c>
      <c r="D3994" t="str">
        <f>IFERROR(INDEX(tbl_input[집계키_청],ROW()-1),"")</f>
        <v/>
      </c>
    </row>
    <row r="3995" spans="1:4" x14ac:dyDescent="0.4">
      <c r="A3995" t="str">
        <f t="shared" si="124"/>
        <v/>
      </c>
      <c r="B3995" t="str">
        <f t="shared" si="125"/>
        <v/>
      </c>
      <c r="C3995" t="str">
        <f>IF(D3995="","",IF(COUNTIF($D$2:D3995,D3995)&gt;1,"",SUMIFS(tbl_input[필요수량],tbl_input[집계키_청],D3995)))</f>
        <v/>
      </c>
      <c r="D3995" t="str">
        <f>IFERROR(INDEX(tbl_input[집계키_청],ROW()-1),"")</f>
        <v/>
      </c>
    </row>
    <row r="3996" spans="1:4" x14ac:dyDescent="0.4">
      <c r="A3996" t="str">
        <f t="shared" si="124"/>
        <v/>
      </c>
      <c r="B3996" t="str">
        <f t="shared" si="125"/>
        <v/>
      </c>
      <c r="C3996" t="str">
        <f>IF(D3996="","",IF(COUNTIF($D$2:D3996,D3996)&gt;1,"",SUMIFS(tbl_input[필요수량],tbl_input[집계키_청],D3996)))</f>
        <v/>
      </c>
      <c r="D3996" t="str">
        <f>IFERROR(INDEX(tbl_input[집계키_청],ROW()-1),"")</f>
        <v/>
      </c>
    </row>
    <row r="3997" spans="1:4" x14ac:dyDescent="0.4">
      <c r="A3997" t="str">
        <f t="shared" si="124"/>
        <v/>
      </c>
      <c r="B3997" t="str">
        <f t="shared" si="125"/>
        <v/>
      </c>
      <c r="C3997" t="str">
        <f>IF(D3997="","",IF(COUNTIF($D$2:D3997,D3997)&gt;1,"",SUMIFS(tbl_input[필요수량],tbl_input[집계키_청],D3997)))</f>
        <v/>
      </c>
      <c r="D3997" t="str">
        <f>IFERROR(INDEX(tbl_input[집계키_청],ROW()-1),"")</f>
        <v/>
      </c>
    </row>
    <row r="3998" spans="1:4" x14ac:dyDescent="0.4">
      <c r="A3998" t="str">
        <f t="shared" si="124"/>
        <v/>
      </c>
      <c r="B3998" t="str">
        <f t="shared" si="125"/>
        <v/>
      </c>
      <c r="C3998" t="str">
        <f>IF(D3998="","",IF(COUNTIF($D$2:D3998,D3998)&gt;1,"",SUMIFS(tbl_input[필요수량],tbl_input[집계키_청],D3998)))</f>
        <v/>
      </c>
      <c r="D3998" t="str">
        <f>IFERROR(INDEX(tbl_input[집계키_청],ROW()-1),"")</f>
        <v/>
      </c>
    </row>
    <row r="3999" spans="1:4" x14ac:dyDescent="0.4">
      <c r="A3999" t="str">
        <f t="shared" si="124"/>
        <v/>
      </c>
      <c r="B3999" t="str">
        <f t="shared" si="125"/>
        <v/>
      </c>
      <c r="C3999" t="str">
        <f>IF(D3999="","",IF(COUNTIF($D$2:D3999,D3999)&gt;1,"",SUMIFS(tbl_input[필요수량],tbl_input[집계키_청],D3999)))</f>
        <v/>
      </c>
      <c r="D3999" t="str">
        <f>IFERROR(INDEX(tbl_input[집계키_청],ROW()-1),"")</f>
        <v/>
      </c>
    </row>
    <row r="4000" spans="1:4" x14ac:dyDescent="0.4">
      <c r="A4000" t="str">
        <f t="shared" si="124"/>
        <v/>
      </c>
      <c r="B4000" t="str">
        <f t="shared" si="125"/>
        <v/>
      </c>
      <c r="C4000" t="str">
        <f>IF(D4000="","",IF(COUNTIF($D$2:D4000,D4000)&gt;1,"",SUMIFS(tbl_input[필요수량],tbl_input[집계키_청],D4000)))</f>
        <v/>
      </c>
      <c r="D4000" t="str">
        <f>IFERROR(INDEX(tbl_input[집계키_청],ROW()-1),"")</f>
        <v/>
      </c>
    </row>
    <row r="4001" spans="1:4" x14ac:dyDescent="0.4">
      <c r="A4001" t="str">
        <f t="shared" si="124"/>
        <v/>
      </c>
      <c r="B4001" t="str">
        <f t="shared" si="125"/>
        <v/>
      </c>
      <c r="C4001" t="str">
        <f>IF(D4001="","",IF(COUNTIF($D$2:D4001,D4001)&gt;1,"",SUMIFS(tbl_input[필요수량],tbl_input[집계키_청],D4001)))</f>
        <v/>
      </c>
      <c r="D4001" t="str">
        <f>IFERROR(INDEX(tbl_input[집계키_청],ROW()-1),"")</f>
        <v/>
      </c>
    </row>
    <row r="4002" spans="1:4" x14ac:dyDescent="0.4">
      <c r="A4002" t="str">
        <f t="shared" si="124"/>
        <v/>
      </c>
      <c r="B4002" t="str">
        <f t="shared" si="125"/>
        <v/>
      </c>
      <c r="C4002" t="str">
        <f>IF(D4002="","",IF(COUNTIF($D$2:D4002,D4002)&gt;1,"",SUMIFS(tbl_input[필요수량],tbl_input[집계키_청],D4002)))</f>
        <v/>
      </c>
      <c r="D4002" t="str">
        <f>IFERROR(INDEX(tbl_input[집계키_청],ROW()-1),"")</f>
        <v/>
      </c>
    </row>
    <row r="4003" spans="1:4" x14ac:dyDescent="0.4">
      <c r="A4003" t="str">
        <f t="shared" si="124"/>
        <v/>
      </c>
      <c r="B4003" t="str">
        <f t="shared" si="125"/>
        <v/>
      </c>
      <c r="C4003" t="str">
        <f>IF(D4003="","",IF(COUNTIF($D$2:D4003,D4003)&gt;1,"",SUMIFS(tbl_input[필요수량],tbl_input[집계키_청],D4003)))</f>
        <v/>
      </c>
      <c r="D4003" t="str">
        <f>IFERROR(INDEX(tbl_input[집계키_청],ROW()-1),"")</f>
        <v/>
      </c>
    </row>
    <row r="4004" spans="1:4" x14ac:dyDescent="0.4">
      <c r="A4004" t="str">
        <f t="shared" si="124"/>
        <v/>
      </c>
      <c r="B4004" t="str">
        <f t="shared" si="125"/>
        <v/>
      </c>
      <c r="C4004" t="str">
        <f>IF(D4004="","",IF(COUNTIF($D$2:D4004,D4004)&gt;1,"",SUMIFS(tbl_input[필요수량],tbl_input[집계키_청],D4004)))</f>
        <v/>
      </c>
      <c r="D4004" t="str">
        <f>IFERROR(INDEX(tbl_input[집계키_청],ROW()-1),"")</f>
        <v/>
      </c>
    </row>
    <row r="4005" spans="1:4" x14ac:dyDescent="0.4">
      <c r="A4005" t="str">
        <f t="shared" si="124"/>
        <v/>
      </c>
      <c r="B4005" t="str">
        <f t="shared" si="125"/>
        <v/>
      </c>
      <c r="C4005" t="str">
        <f>IF(D4005="","",IF(COUNTIF($D$2:D4005,D4005)&gt;1,"",SUMIFS(tbl_input[필요수량],tbl_input[집계키_청],D4005)))</f>
        <v/>
      </c>
      <c r="D4005" t="str">
        <f>IFERROR(INDEX(tbl_input[집계키_청],ROW()-1),"")</f>
        <v/>
      </c>
    </row>
    <row r="4006" spans="1:4" x14ac:dyDescent="0.4">
      <c r="A4006" t="str">
        <f t="shared" si="124"/>
        <v/>
      </c>
      <c r="B4006" t="str">
        <f t="shared" si="125"/>
        <v/>
      </c>
      <c r="C4006" t="str">
        <f>IF(D4006="","",IF(COUNTIF($D$2:D4006,D4006)&gt;1,"",SUMIFS(tbl_input[필요수량],tbl_input[집계키_청],D4006)))</f>
        <v/>
      </c>
      <c r="D4006" t="str">
        <f>IFERROR(INDEX(tbl_input[집계키_청],ROW()-1),"")</f>
        <v/>
      </c>
    </row>
    <row r="4007" spans="1:4" x14ac:dyDescent="0.4">
      <c r="A4007" t="str">
        <f t="shared" si="124"/>
        <v/>
      </c>
      <c r="B4007" t="str">
        <f t="shared" si="125"/>
        <v/>
      </c>
      <c r="C4007" t="str">
        <f>IF(D4007="","",IF(COUNTIF($D$2:D4007,D4007)&gt;1,"",SUMIFS(tbl_input[필요수량],tbl_input[집계키_청],D4007)))</f>
        <v/>
      </c>
      <c r="D4007" t="str">
        <f>IFERROR(INDEX(tbl_input[집계키_청],ROW()-1),"")</f>
        <v/>
      </c>
    </row>
    <row r="4008" spans="1:4" x14ac:dyDescent="0.4">
      <c r="A4008" t="str">
        <f t="shared" si="124"/>
        <v/>
      </c>
      <c r="B4008" t="str">
        <f t="shared" si="125"/>
        <v/>
      </c>
      <c r="C4008" t="str">
        <f>IF(D4008="","",IF(COUNTIF($D$2:D4008,D4008)&gt;1,"",SUMIFS(tbl_input[필요수량],tbl_input[집계키_청],D4008)))</f>
        <v/>
      </c>
      <c r="D4008" t="str">
        <f>IFERROR(INDEX(tbl_input[집계키_청],ROW()-1),"")</f>
        <v/>
      </c>
    </row>
    <row r="4009" spans="1:4" x14ac:dyDescent="0.4">
      <c r="A4009" t="str">
        <f t="shared" si="124"/>
        <v/>
      </c>
      <c r="B4009" t="str">
        <f t="shared" si="125"/>
        <v/>
      </c>
      <c r="C4009" t="str">
        <f>IF(D4009="","",IF(COUNTIF($D$2:D4009,D4009)&gt;1,"",SUMIFS(tbl_input[필요수량],tbl_input[집계키_청],D4009)))</f>
        <v/>
      </c>
      <c r="D4009" t="str">
        <f>IFERROR(INDEX(tbl_input[집계키_청],ROW()-1),"")</f>
        <v/>
      </c>
    </row>
    <row r="4010" spans="1:4" x14ac:dyDescent="0.4">
      <c r="A4010" t="str">
        <f t="shared" si="124"/>
        <v/>
      </c>
      <c r="B4010" t="str">
        <f t="shared" si="125"/>
        <v/>
      </c>
      <c r="C4010" t="str">
        <f>IF(D4010="","",IF(COUNTIF($D$2:D4010,D4010)&gt;1,"",SUMIFS(tbl_input[필요수량],tbl_input[집계키_청],D4010)))</f>
        <v/>
      </c>
      <c r="D4010" t="str">
        <f>IFERROR(INDEX(tbl_input[집계키_청],ROW()-1),"")</f>
        <v/>
      </c>
    </row>
    <row r="4011" spans="1:4" x14ac:dyDescent="0.4">
      <c r="A4011" t="str">
        <f t="shared" si="124"/>
        <v/>
      </c>
      <c r="B4011" t="str">
        <f t="shared" si="125"/>
        <v/>
      </c>
      <c r="C4011" t="str">
        <f>IF(D4011="","",IF(COUNTIF($D$2:D4011,D4011)&gt;1,"",SUMIFS(tbl_input[필요수량],tbl_input[집계키_청],D4011)))</f>
        <v/>
      </c>
      <c r="D4011" t="str">
        <f>IFERROR(INDEX(tbl_input[집계키_청],ROW()-1),"")</f>
        <v/>
      </c>
    </row>
    <row r="4012" spans="1:4" x14ac:dyDescent="0.4">
      <c r="A4012" t="str">
        <f t="shared" si="124"/>
        <v/>
      </c>
      <c r="B4012" t="str">
        <f t="shared" si="125"/>
        <v/>
      </c>
      <c r="C4012" t="str">
        <f>IF(D4012="","",IF(COUNTIF($D$2:D4012,D4012)&gt;1,"",SUMIFS(tbl_input[필요수량],tbl_input[집계키_청],D4012)))</f>
        <v/>
      </c>
      <c r="D4012" t="str">
        <f>IFERROR(INDEX(tbl_input[집계키_청],ROW()-1),"")</f>
        <v/>
      </c>
    </row>
    <row r="4013" spans="1:4" x14ac:dyDescent="0.4">
      <c r="A4013" t="str">
        <f t="shared" si="124"/>
        <v/>
      </c>
      <c r="B4013" t="str">
        <f t="shared" si="125"/>
        <v/>
      </c>
      <c r="C4013" t="str">
        <f>IF(D4013="","",IF(COUNTIF($D$2:D4013,D4013)&gt;1,"",SUMIFS(tbl_input[필요수량],tbl_input[집계키_청],D4013)))</f>
        <v/>
      </c>
      <c r="D4013" t="str">
        <f>IFERROR(INDEX(tbl_input[집계키_청],ROW()-1),"")</f>
        <v/>
      </c>
    </row>
    <row r="4014" spans="1:4" x14ac:dyDescent="0.4">
      <c r="A4014" t="str">
        <f t="shared" si="124"/>
        <v/>
      </c>
      <c r="B4014" t="str">
        <f t="shared" si="125"/>
        <v/>
      </c>
      <c r="C4014" t="str">
        <f>IF(D4014="","",IF(COUNTIF($D$2:D4014,D4014)&gt;1,"",SUMIFS(tbl_input[필요수량],tbl_input[집계키_청],D4014)))</f>
        <v/>
      </c>
      <c r="D4014" t="str">
        <f>IFERROR(INDEX(tbl_input[집계키_청],ROW()-1),"")</f>
        <v/>
      </c>
    </row>
    <row r="4015" spans="1:4" x14ac:dyDescent="0.4">
      <c r="A4015" t="str">
        <f t="shared" si="124"/>
        <v/>
      </c>
      <c r="B4015" t="str">
        <f t="shared" si="125"/>
        <v/>
      </c>
      <c r="C4015" t="str">
        <f>IF(D4015="","",IF(COUNTIF($D$2:D4015,D4015)&gt;1,"",SUMIFS(tbl_input[필요수량],tbl_input[집계키_청],D4015)))</f>
        <v/>
      </c>
      <c r="D4015" t="str">
        <f>IFERROR(INDEX(tbl_input[집계키_청],ROW()-1),"")</f>
        <v/>
      </c>
    </row>
    <row r="4016" spans="1:4" x14ac:dyDescent="0.4">
      <c r="A4016" t="str">
        <f t="shared" si="124"/>
        <v/>
      </c>
      <c r="B4016" t="str">
        <f t="shared" si="125"/>
        <v/>
      </c>
      <c r="C4016" t="str">
        <f>IF(D4016="","",IF(COUNTIF($D$2:D4016,D4016)&gt;1,"",SUMIFS(tbl_input[필요수량],tbl_input[집계키_청],D4016)))</f>
        <v/>
      </c>
      <c r="D4016" t="str">
        <f>IFERROR(INDEX(tbl_input[집계키_청],ROW()-1),"")</f>
        <v/>
      </c>
    </row>
    <row r="4017" spans="1:4" x14ac:dyDescent="0.4">
      <c r="A4017" t="str">
        <f t="shared" si="124"/>
        <v/>
      </c>
      <c r="B4017" t="str">
        <f t="shared" si="125"/>
        <v/>
      </c>
      <c r="C4017" t="str">
        <f>IF(D4017="","",IF(COUNTIF($D$2:D4017,D4017)&gt;1,"",SUMIFS(tbl_input[필요수량],tbl_input[집계키_청],D4017)))</f>
        <v/>
      </c>
      <c r="D4017" t="str">
        <f>IFERROR(INDEX(tbl_input[집계키_청],ROW()-1),"")</f>
        <v/>
      </c>
    </row>
    <row r="4018" spans="1:4" x14ac:dyDescent="0.4">
      <c r="A4018" t="str">
        <f t="shared" si="124"/>
        <v/>
      </c>
      <c r="B4018" t="str">
        <f t="shared" si="125"/>
        <v/>
      </c>
      <c r="C4018" t="str">
        <f>IF(D4018="","",IF(COUNTIF($D$2:D4018,D4018)&gt;1,"",SUMIFS(tbl_input[필요수량],tbl_input[집계키_청],D4018)))</f>
        <v/>
      </c>
      <c r="D4018" t="str">
        <f>IFERROR(INDEX(tbl_input[집계키_청],ROW()-1),"")</f>
        <v/>
      </c>
    </row>
    <row r="4019" spans="1:4" x14ac:dyDescent="0.4">
      <c r="A4019" t="str">
        <f t="shared" si="124"/>
        <v/>
      </c>
      <c r="B4019" t="str">
        <f t="shared" si="125"/>
        <v/>
      </c>
      <c r="C4019" t="str">
        <f>IF(D4019="","",IF(COUNTIF($D$2:D4019,D4019)&gt;1,"",SUMIFS(tbl_input[필요수량],tbl_input[집계키_청],D4019)))</f>
        <v/>
      </c>
      <c r="D4019" t="str">
        <f>IFERROR(INDEX(tbl_input[집계키_청],ROW()-1),"")</f>
        <v/>
      </c>
    </row>
    <row r="4020" spans="1:4" x14ac:dyDescent="0.4">
      <c r="A4020" t="str">
        <f t="shared" si="124"/>
        <v/>
      </c>
      <c r="B4020" t="str">
        <f t="shared" si="125"/>
        <v/>
      </c>
      <c r="C4020" t="str">
        <f>IF(D4020="","",IF(COUNTIF($D$2:D4020,D4020)&gt;1,"",SUMIFS(tbl_input[필요수량],tbl_input[집계키_청],D4020)))</f>
        <v/>
      </c>
      <c r="D4020" t="str">
        <f>IFERROR(INDEX(tbl_input[집계키_청],ROW()-1),"")</f>
        <v/>
      </c>
    </row>
    <row r="4021" spans="1:4" x14ac:dyDescent="0.4">
      <c r="A4021" t="str">
        <f t="shared" si="124"/>
        <v/>
      </c>
      <c r="B4021" t="str">
        <f t="shared" si="125"/>
        <v/>
      </c>
      <c r="C4021" t="str">
        <f>IF(D4021="","",IF(COUNTIF($D$2:D4021,D4021)&gt;1,"",SUMIFS(tbl_input[필요수량],tbl_input[집계키_청],D4021)))</f>
        <v/>
      </c>
      <c r="D4021" t="str">
        <f>IFERROR(INDEX(tbl_input[집계키_청],ROW()-1),"")</f>
        <v/>
      </c>
    </row>
    <row r="4022" spans="1:4" x14ac:dyDescent="0.4">
      <c r="A4022" t="str">
        <f t="shared" si="124"/>
        <v/>
      </c>
      <c r="B4022" t="str">
        <f t="shared" si="125"/>
        <v/>
      </c>
      <c r="C4022" t="str">
        <f>IF(D4022="","",IF(COUNTIF($D$2:D4022,D4022)&gt;1,"",SUMIFS(tbl_input[필요수량],tbl_input[집계키_청],D4022)))</f>
        <v/>
      </c>
      <c r="D4022" t="str">
        <f>IFERROR(INDEX(tbl_input[집계키_청],ROW()-1),"")</f>
        <v/>
      </c>
    </row>
    <row r="4023" spans="1:4" x14ac:dyDescent="0.4">
      <c r="A4023" t="str">
        <f t="shared" si="124"/>
        <v/>
      </c>
      <c r="B4023" t="str">
        <f t="shared" si="125"/>
        <v/>
      </c>
      <c r="C4023" t="str">
        <f>IF(D4023="","",IF(COUNTIF($D$2:D4023,D4023)&gt;1,"",SUMIFS(tbl_input[필요수량],tbl_input[집계키_청],D4023)))</f>
        <v/>
      </c>
      <c r="D4023" t="str">
        <f>IFERROR(INDEX(tbl_input[집계키_청],ROW()-1),"")</f>
        <v/>
      </c>
    </row>
    <row r="4024" spans="1:4" x14ac:dyDescent="0.4">
      <c r="A4024" t="str">
        <f t="shared" si="124"/>
        <v/>
      </c>
      <c r="B4024" t="str">
        <f t="shared" si="125"/>
        <v/>
      </c>
      <c r="C4024" t="str">
        <f>IF(D4024="","",IF(COUNTIF($D$2:D4024,D4024)&gt;1,"",SUMIFS(tbl_input[필요수량],tbl_input[집계키_청],D4024)))</f>
        <v/>
      </c>
      <c r="D4024" t="str">
        <f>IFERROR(INDEX(tbl_input[집계키_청],ROW()-1),"")</f>
        <v/>
      </c>
    </row>
    <row r="4025" spans="1:4" x14ac:dyDescent="0.4">
      <c r="A4025" t="str">
        <f t="shared" si="124"/>
        <v/>
      </c>
      <c r="B4025" t="str">
        <f t="shared" si="125"/>
        <v/>
      </c>
      <c r="C4025" t="str">
        <f>IF(D4025="","",IF(COUNTIF($D$2:D4025,D4025)&gt;1,"",SUMIFS(tbl_input[필요수량],tbl_input[집계키_청],D4025)))</f>
        <v/>
      </c>
      <c r="D4025" t="str">
        <f>IFERROR(INDEX(tbl_input[집계키_청],ROW()-1),"")</f>
        <v/>
      </c>
    </row>
    <row r="4026" spans="1:4" x14ac:dyDescent="0.4">
      <c r="A4026" t="str">
        <f t="shared" si="124"/>
        <v/>
      </c>
      <c r="B4026" t="str">
        <f t="shared" si="125"/>
        <v/>
      </c>
      <c r="C4026" t="str">
        <f>IF(D4026="","",IF(COUNTIF($D$2:D4026,D4026)&gt;1,"",SUMIFS(tbl_input[필요수량],tbl_input[집계키_청],D4026)))</f>
        <v/>
      </c>
      <c r="D4026" t="str">
        <f>IFERROR(INDEX(tbl_input[집계키_청],ROW()-1),"")</f>
        <v/>
      </c>
    </row>
    <row r="4027" spans="1:4" x14ac:dyDescent="0.4">
      <c r="A4027" t="str">
        <f t="shared" si="124"/>
        <v/>
      </c>
      <c r="B4027" t="str">
        <f t="shared" si="125"/>
        <v/>
      </c>
      <c r="C4027" t="str">
        <f>IF(D4027="","",IF(COUNTIF($D$2:D4027,D4027)&gt;1,"",SUMIFS(tbl_input[필요수량],tbl_input[집계키_청],D4027)))</f>
        <v/>
      </c>
      <c r="D4027" t="str">
        <f>IFERROR(INDEX(tbl_input[집계키_청],ROW()-1),"")</f>
        <v/>
      </c>
    </row>
    <row r="4028" spans="1:4" x14ac:dyDescent="0.4">
      <c r="A4028" t="str">
        <f t="shared" si="124"/>
        <v/>
      </c>
      <c r="B4028" t="str">
        <f t="shared" si="125"/>
        <v/>
      </c>
      <c r="C4028" t="str">
        <f>IF(D4028="","",IF(COUNTIF($D$2:D4028,D4028)&gt;1,"",SUMIFS(tbl_input[필요수량],tbl_input[집계키_청],D4028)))</f>
        <v/>
      </c>
      <c r="D4028" t="str">
        <f>IFERROR(INDEX(tbl_input[집계키_청],ROW()-1),"")</f>
        <v/>
      </c>
    </row>
    <row r="4029" spans="1:4" x14ac:dyDescent="0.4">
      <c r="A4029" t="str">
        <f t="shared" si="124"/>
        <v/>
      </c>
      <c r="B4029" t="str">
        <f t="shared" si="125"/>
        <v/>
      </c>
      <c r="C4029" t="str">
        <f>IF(D4029="","",IF(COUNTIF($D$2:D4029,D4029)&gt;1,"",SUMIFS(tbl_input[필요수량],tbl_input[집계키_청],D4029)))</f>
        <v/>
      </c>
      <c r="D4029" t="str">
        <f>IFERROR(INDEX(tbl_input[집계키_청],ROW()-1),"")</f>
        <v/>
      </c>
    </row>
    <row r="4030" spans="1:4" x14ac:dyDescent="0.4">
      <c r="A4030" t="str">
        <f t="shared" si="124"/>
        <v/>
      </c>
      <c r="B4030" t="str">
        <f t="shared" si="125"/>
        <v/>
      </c>
      <c r="C4030" t="str">
        <f>IF(D4030="","",IF(COUNTIF($D$2:D4030,D4030)&gt;1,"",SUMIFS(tbl_input[필요수량],tbl_input[집계키_청],D4030)))</f>
        <v/>
      </c>
      <c r="D4030" t="str">
        <f>IFERROR(INDEX(tbl_input[집계키_청],ROW()-1),"")</f>
        <v/>
      </c>
    </row>
    <row r="4031" spans="1:4" x14ac:dyDescent="0.4">
      <c r="A4031" t="str">
        <f t="shared" si="124"/>
        <v/>
      </c>
      <c r="B4031" t="str">
        <f t="shared" si="125"/>
        <v/>
      </c>
      <c r="C4031" t="str">
        <f>IF(D4031="","",IF(COUNTIF($D$2:D4031,D4031)&gt;1,"",SUMIFS(tbl_input[필요수량],tbl_input[집계키_청],D4031)))</f>
        <v/>
      </c>
      <c r="D4031" t="str">
        <f>IFERROR(INDEX(tbl_input[집계키_청],ROW()-1),"")</f>
        <v/>
      </c>
    </row>
    <row r="4032" spans="1:4" x14ac:dyDescent="0.4">
      <c r="A4032" t="str">
        <f t="shared" si="124"/>
        <v/>
      </c>
      <c r="B4032" t="str">
        <f t="shared" si="125"/>
        <v/>
      </c>
      <c r="C4032" t="str">
        <f>IF(D4032="","",IF(COUNTIF($D$2:D4032,D4032)&gt;1,"",SUMIFS(tbl_input[필요수량],tbl_input[집계키_청],D4032)))</f>
        <v/>
      </c>
      <c r="D4032" t="str">
        <f>IFERROR(INDEX(tbl_input[집계키_청],ROW()-1),"")</f>
        <v/>
      </c>
    </row>
    <row r="4033" spans="1:4" x14ac:dyDescent="0.4">
      <c r="A4033" t="str">
        <f t="shared" si="124"/>
        <v/>
      </c>
      <c r="B4033" t="str">
        <f t="shared" si="125"/>
        <v/>
      </c>
      <c r="C4033" t="str">
        <f>IF(D4033="","",IF(COUNTIF($D$2:D4033,D4033)&gt;1,"",SUMIFS(tbl_input[필요수량],tbl_input[집계키_청],D4033)))</f>
        <v/>
      </c>
      <c r="D4033" t="str">
        <f>IFERROR(INDEX(tbl_input[집계키_청],ROW()-1),"")</f>
        <v/>
      </c>
    </row>
    <row r="4034" spans="1:4" x14ac:dyDescent="0.4">
      <c r="A4034" t="str">
        <f t="shared" ref="A4034:A4097" si="126">IF(D4034="","",LEFT(D4034,FIND("♦",D4034)-1))</f>
        <v/>
      </c>
      <c r="B4034" t="str">
        <f t="shared" ref="B4034:B4097" si="127">IF(D4034="","",MID(D4034,FIND("♦",D4034)+1,999))</f>
        <v/>
      </c>
      <c r="C4034" t="str">
        <f>IF(D4034="","",IF(COUNTIF($D$2:D4034,D4034)&gt;1,"",SUMIFS(tbl_input[필요수량],tbl_input[집계키_청],D4034)))</f>
        <v/>
      </c>
      <c r="D4034" t="str">
        <f>IFERROR(INDEX(tbl_input[집계키_청],ROW()-1),"")</f>
        <v/>
      </c>
    </row>
    <row r="4035" spans="1:4" x14ac:dyDescent="0.4">
      <c r="A4035" t="str">
        <f t="shared" si="126"/>
        <v/>
      </c>
      <c r="B4035" t="str">
        <f t="shared" si="127"/>
        <v/>
      </c>
      <c r="C4035" t="str">
        <f>IF(D4035="","",IF(COUNTIF($D$2:D4035,D4035)&gt;1,"",SUMIFS(tbl_input[필요수량],tbl_input[집계키_청],D4035)))</f>
        <v/>
      </c>
      <c r="D4035" t="str">
        <f>IFERROR(INDEX(tbl_input[집계키_청],ROW()-1),"")</f>
        <v/>
      </c>
    </row>
    <row r="4036" spans="1:4" x14ac:dyDescent="0.4">
      <c r="A4036" t="str">
        <f t="shared" si="126"/>
        <v/>
      </c>
      <c r="B4036" t="str">
        <f t="shared" si="127"/>
        <v/>
      </c>
      <c r="C4036" t="str">
        <f>IF(D4036="","",IF(COUNTIF($D$2:D4036,D4036)&gt;1,"",SUMIFS(tbl_input[필요수량],tbl_input[집계키_청],D4036)))</f>
        <v/>
      </c>
      <c r="D4036" t="str">
        <f>IFERROR(INDEX(tbl_input[집계키_청],ROW()-1),"")</f>
        <v/>
      </c>
    </row>
    <row r="4037" spans="1:4" x14ac:dyDescent="0.4">
      <c r="A4037" t="str">
        <f t="shared" si="126"/>
        <v/>
      </c>
      <c r="B4037" t="str">
        <f t="shared" si="127"/>
        <v/>
      </c>
      <c r="C4037" t="str">
        <f>IF(D4037="","",IF(COUNTIF($D$2:D4037,D4037)&gt;1,"",SUMIFS(tbl_input[필요수량],tbl_input[집계키_청],D4037)))</f>
        <v/>
      </c>
      <c r="D4037" t="str">
        <f>IFERROR(INDEX(tbl_input[집계키_청],ROW()-1),"")</f>
        <v/>
      </c>
    </row>
    <row r="4038" spans="1:4" x14ac:dyDescent="0.4">
      <c r="A4038" t="str">
        <f t="shared" si="126"/>
        <v/>
      </c>
      <c r="B4038" t="str">
        <f t="shared" si="127"/>
        <v/>
      </c>
      <c r="C4038" t="str">
        <f>IF(D4038="","",IF(COUNTIF($D$2:D4038,D4038)&gt;1,"",SUMIFS(tbl_input[필요수량],tbl_input[집계키_청],D4038)))</f>
        <v/>
      </c>
      <c r="D4038" t="str">
        <f>IFERROR(INDEX(tbl_input[집계키_청],ROW()-1),"")</f>
        <v/>
      </c>
    </row>
    <row r="4039" spans="1:4" x14ac:dyDescent="0.4">
      <c r="A4039" t="str">
        <f t="shared" si="126"/>
        <v/>
      </c>
      <c r="B4039" t="str">
        <f t="shared" si="127"/>
        <v/>
      </c>
      <c r="C4039" t="str">
        <f>IF(D4039="","",IF(COUNTIF($D$2:D4039,D4039)&gt;1,"",SUMIFS(tbl_input[필요수량],tbl_input[집계키_청],D4039)))</f>
        <v/>
      </c>
      <c r="D4039" t="str">
        <f>IFERROR(INDEX(tbl_input[집계키_청],ROW()-1),"")</f>
        <v/>
      </c>
    </row>
    <row r="4040" spans="1:4" x14ac:dyDescent="0.4">
      <c r="A4040" t="str">
        <f t="shared" si="126"/>
        <v/>
      </c>
      <c r="B4040" t="str">
        <f t="shared" si="127"/>
        <v/>
      </c>
      <c r="C4040" t="str">
        <f>IF(D4040="","",IF(COUNTIF($D$2:D4040,D4040)&gt;1,"",SUMIFS(tbl_input[필요수량],tbl_input[집계키_청],D4040)))</f>
        <v/>
      </c>
      <c r="D4040" t="str">
        <f>IFERROR(INDEX(tbl_input[집계키_청],ROW()-1),"")</f>
        <v/>
      </c>
    </row>
    <row r="4041" spans="1:4" x14ac:dyDescent="0.4">
      <c r="A4041" t="str">
        <f t="shared" si="126"/>
        <v/>
      </c>
      <c r="B4041" t="str">
        <f t="shared" si="127"/>
        <v/>
      </c>
      <c r="C4041" t="str">
        <f>IF(D4041="","",IF(COUNTIF($D$2:D4041,D4041)&gt;1,"",SUMIFS(tbl_input[필요수량],tbl_input[집계키_청],D4041)))</f>
        <v/>
      </c>
      <c r="D4041" t="str">
        <f>IFERROR(INDEX(tbl_input[집계키_청],ROW()-1),"")</f>
        <v/>
      </c>
    </row>
    <row r="4042" spans="1:4" x14ac:dyDescent="0.4">
      <c r="A4042" t="str">
        <f t="shared" si="126"/>
        <v/>
      </c>
      <c r="B4042" t="str">
        <f t="shared" si="127"/>
        <v/>
      </c>
      <c r="C4042" t="str">
        <f>IF(D4042="","",IF(COUNTIF($D$2:D4042,D4042)&gt;1,"",SUMIFS(tbl_input[필요수량],tbl_input[집계키_청],D4042)))</f>
        <v/>
      </c>
      <c r="D4042" t="str">
        <f>IFERROR(INDEX(tbl_input[집계키_청],ROW()-1),"")</f>
        <v/>
      </c>
    </row>
    <row r="4043" spans="1:4" x14ac:dyDescent="0.4">
      <c r="A4043" t="str">
        <f t="shared" si="126"/>
        <v/>
      </c>
      <c r="B4043" t="str">
        <f t="shared" si="127"/>
        <v/>
      </c>
      <c r="C4043" t="str">
        <f>IF(D4043="","",IF(COUNTIF($D$2:D4043,D4043)&gt;1,"",SUMIFS(tbl_input[필요수량],tbl_input[집계키_청],D4043)))</f>
        <v/>
      </c>
      <c r="D4043" t="str">
        <f>IFERROR(INDEX(tbl_input[집계키_청],ROW()-1),"")</f>
        <v/>
      </c>
    </row>
    <row r="4044" spans="1:4" x14ac:dyDescent="0.4">
      <c r="A4044" t="str">
        <f t="shared" si="126"/>
        <v/>
      </c>
      <c r="B4044" t="str">
        <f t="shared" si="127"/>
        <v/>
      </c>
      <c r="C4044" t="str">
        <f>IF(D4044="","",IF(COUNTIF($D$2:D4044,D4044)&gt;1,"",SUMIFS(tbl_input[필요수량],tbl_input[집계키_청],D4044)))</f>
        <v/>
      </c>
      <c r="D4044" t="str">
        <f>IFERROR(INDEX(tbl_input[집계키_청],ROW()-1),"")</f>
        <v/>
      </c>
    </row>
    <row r="4045" spans="1:4" x14ac:dyDescent="0.4">
      <c r="A4045" t="str">
        <f t="shared" si="126"/>
        <v/>
      </c>
      <c r="B4045" t="str">
        <f t="shared" si="127"/>
        <v/>
      </c>
      <c r="C4045" t="str">
        <f>IF(D4045="","",IF(COUNTIF($D$2:D4045,D4045)&gt;1,"",SUMIFS(tbl_input[필요수량],tbl_input[집계키_청],D4045)))</f>
        <v/>
      </c>
      <c r="D4045" t="str">
        <f>IFERROR(INDEX(tbl_input[집계키_청],ROW()-1),"")</f>
        <v/>
      </c>
    </row>
    <row r="4046" spans="1:4" x14ac:dyDescent="0.4">
      <c r="A4046" t="str">
        <f t="shared" si="126"/>
        <v/>
      </c>
      <c r="B4046" t="str">
        <f t="shared" si="127"/>
        <v/>
      </c>
      <c r="C4046" t="str">
        <f>IF(D4046="","",IF(COUNTIF($D$2:D4046,D4046)&gt;1,"",SUMIFS(tbl_input[필요수량],tbl_input[집계키_청],D4046)))</f>
        <v/>
      </c>
      <c r="D4046" t="str">
        <f>IFERROR(INDEX(tbl_input[집계키_청],ROW()-1),"")</f>
        <v/>
      </c>
    </row>
    <row r="4047" spans="1:4" x14ac:dyDescent="0.4">
      <c r="A4047" t="str">
        <f t="shared" si="126"/>
        <v/>
      </c>
      <c r="B4047" t="str">
        <f t="shared" si="127"/>
        <v/>
      </c>
      <c r="C4047" t="str">
        <f>IF(D4047="","",IF(COUNTIF($D$2:D4047,D4047)&gt;1,"",SUMIFS(tbl_input[필요수량],tbl_input[집계키_청],D4047)))</f>
        <v/>
      </c>
      <c r="D4047" t="str">
        <f>IFERROR(INDEX(tbl_input[집계키_청],ROW()-1),"")</f>
        <v/>
      </c>
    </row>
    <row r="4048" spans="1:4" x14ac:dyDescent="0.4">
      <c r="A4048" t="str">
        <f t="shared" si="126"/>
        <v/>
      </c>
      <c r="B4048" t="str">
        <f t="shared" si="127"/>
        <v/>
      </c>
      <c r="C4048" t="str">
        <f>IF(D4048="","",IF(COUNTIF($D$2:D4048,D4048)&gt;1,"",SUMIFS(tbl_input[필요수량],tbl_input[집계키_청],D4048)))</f>
        <v/>
      </c>
      <c r="D4048" t="str">
        <f>IFERROR(INDEX(tbl_input[집계키_청],ROW()-1),"")</f>
        <v/>
      </c>
    </row>
    <row r="4049" spans="1:4" x14ac:dyDescent="0.4">
      <c r="A4049" t="str">
        <f t="shared" si="126"/>
        <v/>
      </c>
      <c r="B4049" t="str">
        <f t="shared" si="127"/>
        <v/>
      </c>
      <c r="C4049" t="str">
        <f>IF(D4049="","",IF(COUNTIF($D$2:D4049,D4049)&gt;1,"",SUMIFS(tbl_input[필요수량],tbl_input[집계키_청],D4049)))</f>
        <v/>
      </c>
      <c r="D4049" t="str">
        <f>IFERROR(INDEX(tbl_input[집계키_청],ROW()-1),"")</f>
        <v/>
      </c>
    </row>
    <row r="4050" spans="1:4" x14ac:dyDescent="0.4">
      <c r="A4050" t="str">
        <f t="shared" si="126"/>
        <v/>
      </c>
      <c r="B4050" t="str">
        <f t="shared" si="127"/>
        <v/>
      </c>
      <c r="C4050" t="str">
        <f>IF(D4050="","",IF(COUNTIF($D$2:D4050,D4050)&gt;1,"",SUMIFS(tbl_input[필요수량],tbl_input[집계키_청],D4050)))</f>
        <v/>
      </c>
      <c r="D4050" t="str">
        <f>IFERROR(INDEX(tbl_input[집계키_청],ROW()-1),"")</f>
        <v/>
      </c>
    </row>
    <row r="4051" spans="1:4" x14ac:dyDescent="0.4">
      <c r="A4051" t="str">
        <f t="shared" si="126"/>
        <v/>
      </c>
      <c r="B4051" t="str">
        <f t="shared" si="127"/>
        <v/>
      </c>
      <c r="C4051" t="str">
        <f>IF(D4051="","",IF(COUNTIF($D$2:D4051,D4051)&gt;1,"",SUMIFS(tbl_input[필요수량],tbl_input[집계키_청],D4051)))</f>
        <v/>
      </c>
      <c r="D4051" t="str">
        <f>IFERROR(INDEX(tbl_input[집계키_청],ROW()-1),"")</f>
        <v/>
      </c>
    </row>
    <row r="4052" spans="1:4" x14ac:dyDescent="0.4">
      <c r="A4052" t="str">
        <f t="shared" si="126"/>
        <v/>
      </c>
      <c r="B4052" t="str">
        <f t="shared" si="127"/>
        <v/>
      </c>
      <c r="C4052" t="str">
        <f>IF(D4052="","",IF(COUNTIF($D$2:D4052,D4052)&gt;1,"",SUMIFS(tbl_input[필요수량],tbl_input[집계키_청],D4052)))</f>
        <v/>
      </c>
      <c r="D4052" t="str">
        <f>IFERROR(INDEX(tbl_input[집계키_청],ROW()-1),"")</f>
        <v/>
      </c>
    </row>
    <row r="4053" spans="1:4" x14ac:dyDescent="0.4">
      <c r="A4053" t="str">
        <f t="shared" si="126"/>
        <v/>
      </c>
      <c r="B4053" t="str">
        <f t="shared" si="127"/>
        <v/>
      </c>
      <c r="C4053" t="str">
        <f>IF(D4053="","",IF(COUNTIF($D$2:D4053,D4053)&gt;1,"",SUMIFS(tbl_input[필요수량],tbl_input[집계키_청],D4053)))</f>
        <v/>
      </c>
      <c r="D4053" t="str">
        <f>IFERROR(INDEX(tbl_input[집계키_청],ROW()-1),"")</f>
        <v/>
      </c>
    </row>
    <row r="4054" spans="1:4" x14ac:dyDescent="0.4">
      <c r="A4054" t="str">
        <f t="shared" si="126"/>
        <v/>
      </c>
      <c r="B4054" t="str">
        <f t="shared" si="127"/>
        <v/>
      </c>
      <c r="C4054" t="str">
        <f>IF(D4054="","",IF(COUNTIF($D$2:D4054,D4054)&gt;1,"",SUMIFS(tbl_input[필요수량],tbl_input[집계키_청],D4054)))</f>
        <v/>
      </c>
      <c r="D4054" t="str">
        <f>IFERROR(INDEX(tbl_input[집계키_청],ROW()-1),"")</f>
        <v/>
      </c>
    </row>
    <row r="4055" spans="1:4" x14ac:dyDescent="0.4">
      <c r="A4055" t="str">
        <f t="shared" si="126"/>
        <v/>
      </c>
      <c r="B4055" t="str">
        <f t="shared" si="127"/>
        <v/>
      </c>
      <c r="C4055" t="str">
        <f>IF(D4055="","",IF(COUNTIF($D$2:D4055,D4055)&gt;1,"",SUMIFS(tbl_input[필요수량],tbl_input[집계키_청],D4055)))</f>
        <v/>
      </c>
      <c r="D4055" t="str">
        <f>IFERROR(INDEX(tbl_input[집계키_청],ROW()-1),"")</f>
        <v/>
      </c>
    </row>
    <row r="4056" spans="1:4" x14ac:dyDescent="0.4">
      <c r="A4056" t="str">
        <f t="shared" si="126"/>
        <v/>
      </c>
      <c r="B4056" t="str">
        <f t="shared" si="127"/>
        <v/>
      </c>
      <c r="C4056" t="str">
        <f>IF(D4056="","",IF(COUNTIF($D$2:D4056,D4056)&gt;1,"",SUMIFS(tbl_input[필요수량],tbl_input[집계키_청],D4056)))</f>
        <v/>
      </c>
      <c r="D4056" t="str">
        <f>IFERROR(INDEX(tbl_input[집계키_청],ROW()-1),"")</f>
        <v/>
      </c>
    </row>
    <row r="4057" spans="1:4" x14ac:dyDescent="0.4">
      <c r="A4057" t="str">
        <f t="shared" si="126"/>
        <v/>
      </c>
      <c r="B4057" t="str">
        <f t="shared" si="127"/>
        <v/>
      </c>
      <c r="C4057" t="str">
        <f>IF(D4057="","",IF(COUNTIF($D$2:D4057,D4057)&gt;1,"",SUMIFS(tbl_input[필요수량],tbl_input[집계키_청],D4057)))</f>
        <v/>
      </c>
      <c r="D4057" t="str">
        <f>IFERROR(INDEX(tbl_input[집계키_청],ROW()-1),"")</f>
        <v/>
      </c>
    </row>
    <row r="4058" spans="1:4" x14ac:dyDescent="0.4">
      <c r="A4058" t="str">
        <f t="shared" si="126"/>
        <v/>
      </c>
      <c r="B4058" t="str">
        <f t="shared" si="127"/>
        <v/>
      </c>
      <c r="C4058" t="str">
        <f>IF(D4058="","",IF(COUNTIF($D$2:D4058,D4058)&gt;1,"",SUMIFS(tbl_input[필요수량],tbl_input[집계키_청],D4058)))</f>
        <v/>
      </c>
      <c r="D4058" t="str">
        <f>IFERROR(INDEX(tbl_input[집계키_청],ROW()-1),"")</f>
        <v/>
      </c>
    </row>
    <row r="4059" spans="1:4" x14ac:dyDescent="0.4">
      <c r="A4059" t="str">
        <f t="shared" si="126"/>
        <v/>
      </c>
      <c r="B4059" t="str">
        <f t="shared" si="127"/>
        <v/>
      </c>
      <c r="C4059" t="str">
        <f>IF(D4059="","",IF(COUNTIF($D$2:D4059,D4059)&gt;1,"",SUMIFS(tbl_input[필요수량],tbl_input[집계키_청],D4059)))</f>
        <v/>
      </c>
      <c r="D4059" t="str">
        <f>IFERROR(INDEX(tbl_input[집계키_청],ROW()-1),"")</f>
        <v/>
      </c>
    </row>
    <row r="4060" spans="1:4" x14ac:dyDescent="0.4">
      <c r="A4060" t="str">
        <f t="shared" si="126"/>
        <v/>
      </c>
      <c r="B4060" t="str">
        <f t="shared" si="127"/>
        <v/>
      </c>
      <c r="C4060" t="str">
        <f>IF(D4060="","",IF(COUNTIF($D$2:D4060,D4060)&gt;1,"",SUMIFS(tbl_input[필요수량],tbl_input[집계키_청],D4060)))</f>
        <v/>
      </c>
      <c r="D4060" t="str">
        <f>IFERROR(INDEX(tbl_input[집계키_청],ROW()-1),"")</f>
        <v/>
      </c>
    </row>
    <row r="4061" spans="1:4" x14ac:dyDescent="0.4">
      <c r="A4061" t="str">
        <f t="shared" si="126"/>
        <v/>
      </c>
      <c r="B4061" t="str">
        <f t="shared" si="127"/>
        <v/>
      </c>
      <c r="C4061" t="str">
        <f>IF(D4061="","",IF(COUNTIF($D$2:D4061,D4061)&gt;1,"",SUMIFS(tbl_input[필요수량],tbl_input[집계키_청],D4061)))</f>
        <v/>
      </c>
      <c r="D4061" t="str">
        <f>IFERROR(INDEX(tbl_input[집계키_청],ROW()-1),"")</f>
        <v/>
      </c>
    </row>
    <row r="4062" spans="1:4" x14ac:dyDescent="0.4">
      <c r="A4062" t="str">
        <f t="shared" si="126"/>
        <v/>
      </c>
      <c r="B4062" t="str">
        <f t="shared" si="127"/>
        <v/>
      </c>
      <c r="C4062" t="str">
        <f>IF(D4062="","",IF(COUNTIF($D$2:D4062,D4062)&gt;1,"",SUMIFS(tbl_input[필요수량],tbl_input[집계키_청],D4062)))</f>
        <v/>
      </c>
      <c r="D4062" t="str">
        <f>IFERROR(INDEX(tbl_input[집계키_청],ROW()-1),"")</f>
        <v/>
      </c>
    </row>
    <row r="4063" spans="1:4" x14ac:dyDescent="0.4">
      <c r="A4063" t="str">
        <f t="shared" si="126"/>
        <v/>
      </c>
      <c r="B4063" t="str">
        <f t="shared" si="127"/>
        <v/>
      </c>
      <c r="C4063" t="str">
        <f>IF(D4063="","",IF(COUNTIF($D$2:D4063,D4063)&gt;1,"",SUMIFS(tbl_input[필요수량],tbl_input[집계키_청],D4063)))</f>
        <v/>
      </c>
      <c r="D4063" t="str">
        <f>IFERROR(INDEX(tbl_input[집계키_청],ROW()-1),"")</f>
        <v/>
      </c>
    </row>
    <row r="4064" spans="1:4" x14ac:dyDescent="0.4">
      <c r="A4064" t="str">
        <f t="shared" si="126"/>
        <v/>
      </c>
      <c r="B4064" t="str">
        <f t="shared" si="127"/>
        <v/>
      </c>
      <c r="C4064" t="str">
        <f>IF(D4064="","",IF(COUNTIF($D$2:D4064,D4064)&gt;1,"",SUMIFS(tbl_input[필요수량],tbl_input[집계키_청],D4064)))</f>
        <v/>
      </c>
      <c r="D4064" t="str">
        <f>IFERROR(INDEX(tbl_input[집계키_청],ROW()-1),"")</f>
        <v/>
      </c>
    </row>
    <row r="4065" spans="1:4" x14ac:dyDescent="0.4">
      <c r="A4065" t="str">
        <f t="shared" si="126"/>
        <v/>
      </c>
      <c r="B4065" t="str">
        <f t="shared" si="127"/>
        <v/>
      </c>
      <c r="C4065" t="str">
        <f>IF(D4065="","",IF(COUNTIF($D$2:D4065,D4065)&gt;1,"",SUMIFS(tbl_input[필요수량],tbl_input[집계키_청],D4065)))</f>
        <v/>
      </c>
      <c r="D4065" t="str">
        <f>IFERROR(INDEX(tbl_input[집계키_청],ROW()-1),"")</f>
        <v/>
      </c>
    </row>
    <row r="4066" spans="1:4" x14ac:dyDescent="0.4">
      <c r="A4066" t="str">
        <f t="shared" si="126"/>
        <v/>
      </c>
      <c r="B4066" t="str">
        <f t="shared" si="127"/>
        <v/>
      </c>
      <c r="C4066" t="str">
        <f>IF(D4066="","",IF(COUNTIF($D$2:D4066,D4066)&gt;1,"",SUMIFS(tbl_input[필요수량],tbl_input[집계키_청],D4066)))</f>
        <v/>
      </c>
      <c r="D4066" t="str">
        <f>IFERROR(INDEX(tbl_input[집계키_청],ROW()-1),"")</f>
        <v/>
      </c>
    </row>
    <row r="4067" spans="1:4" x14ac:dyDescent="0.4">
      <c r="A4067" t="str">
        <f t="shared" si="126"/>
        <v/>
      </c>
      <c r="B4067" t="str">
        <f t="shared" si="127"/>
        <v/>
      </c>
      <c r="C4067" t="str">
        <f>IF(D4067="","",IF(COUNTIF($D$2:D4067,D4067)&gt;1,"",SUMIFS(tbl_input[필요수량],tbl_input[집계키_청],D4067)))</f>
        <v/>
      </c>
      <c r="D4067" t="str">
        <f>IFERROR(INDEX(tbl_input[집계키_청],ROW()-1),"")</f>
        <v/>
      </c>
    </row>
    <row r="4068" spans="1:4" x14ac:dyDescent="0.4">
      <c r="A4068" t="str">
        <f t="shared" si="126"/>
        <v/>
      </c>
      <c r="B4068" t="str">
        <f t="shared" si="127"/>
        <v/>
      </c>
      <c r="C4068" t="str">
        <f>IF(D4068="","",IF(COUNTIF($D$2:D4068,D4068)&gt;1,"",SUMIFS(tbl_input[필요수량],tbl_input[집계키_청],D4068)))</f>
        <v/>
      </c>
      <c r="D4068" t="str">
        <f>IFERROR(INDEX(tbl_input[집계키_청],ROW()-1),"")</f>
        <v/>
      </c>
    </row>
    <row r="4069" spans="1:4" x14ac:dyDescent="0.4">
      <c r="A4069" t="str">
        <f t="shared" si="126"/>
        <v/>
      </c>
      <c r="B4069" t="str">
        <f t="shared" si="127"/>
        <v/>
      </c>
      <c r="C4069" t="str">
        <f>IF(D4069="","",IF(COUNTIF($D$2:D4069,D4069)&gt;1,"",SUMIFS(tbl_input[필요수량],tbl_input[집계키_청],D4069)))</f>
        <v/>
      </c>
      <c r="D4069" t="str">
        <f>IFERROR(INDEX(tbl_input[집계키_청],ROW()-1),"")</f>
        <v/>
      </c>
    </row>
    <row r="4070" spans="1:4" x14ac:dyDescent="0.4">
      <c r="A4070" t="str">
        <f t="shared" si="126"/>
        <v/>
      </c>
      <c r="B4070" t="str">
        <f t="shared" si="127"/>
        <v/>
      </c>
      <c r="C4070" t="str">
        <f>IF(D4070="","",IF(COUNTIF($D$2:D4070,D4070)&gt;1,"",SUMIFS(tbl_input[필요수량],tbl_input[집계키_청],D4070)))</f>
        <v/>
      </c>
      <c r="D4070" t="str">
        <f>IFERROR(INDEX(tbl_input[집계키_청],ROW()-1),"")</f>
        <v/>
      </c>
    </row>
    <row r="4071" spans="1:4" x14ac:dyDescent="0.4">
      <c r="A4071" t="str">
        <f t="shared" si="126"/>
        <v/>
      </c>
      <c r="B4071" t="str">
        <f t="shared" si="127"/>
        <v/>
      </c>
      <c r="C4071" t="str">
        <f>IF(D4071="","",IF(COUNTIF($D$2:D4071,D4071)&gt;1,"",SUMIFS(tbl_input[필요수량],tbl_input[집계키_청],D4071)))</f>
        <v/>
      </c>
      <c r="D4071" t="str">
        <f>IFERROR(INDEX(tbl_input[집계키_청],ROW()-1),"")</f>
        <v/>
      </c>
    </row>
    <row r="4072" spans="1:4" x14ac:dyDescent="0.4">
      <c r="A4072" t="str">
        <f t="shared" si="126"/>
        <v/>
      </c>
      <c r="B4072" t="str">
        <f t="shared" si="127"/>
        <v/>
      </c>
      <c r="C4072" t="str">
        <f>IF(D4072="","",IF(COUNTIF($D$2:D4072,D4072)&gt;1,"",SUMIFS(tbl_input[필요수량],tbl_input[집계키_청],D4072)))</f>
        <v/>
      </c>
      <c r="D4072" t="str">
        <f>IFERROR(INDEX(tbl_input[집계키_청],ROW()-1),"")</f>
        <v/>
      </c>
    </row>
    <row r="4073" spans="1:4" x14ac:dyDescent="0.4">
      <c r="A4073" t="str">
        <f t="shared" si="126"/>
        <v/>
      </c>
      <c r="B4073" t="str">
        <f t="shared" si="127"/>
        <v/>
      </c>
      <c r="C4073" t="str">
        <f>IF(D4073="","",IF(COUNTIF($D$2:D4073,D4073)&gt;1,"",SUMIFS(tbl_input[필요수량],tbl_input[집계키_청],D4073)))</f>
        <v/>
      </c>
      <c r="D4073" t="str">
        <f>IFERROR(INDEX(tbl_input[집계키_청],ROW()-1),"")</f>
        <v/>
      </c>
    </row>
    <row r="4074" spans="1:4" x14ac:dyDescent="0.4">
      <c r="A4074" t="str">
        <f t="shared" si="126"/>
        <v/>
      </c>
      <c r="B4074" t="str">
        <f t="shared" si="127"/>
        <v/>
      </c>
      <c r="C4074" t="str">
        <f>IF(D4074="","",IF(COUNTIF($D$2:D4074,D4074)&gt;1,"",SUMIFS(tbl_input[필요수량],tbl_input[집계키_청],D4074)))</f>
        <v/>
      </c>
      <c r="D4074" t="str">
        <f>IFERROR(INDEX(tbl_input[집계키_청],ROW()-1),"")</f>
        <v/>
      </c>
    </row>
    <row r="4075" spans="1:4" x14ac:dyDescent="0.4">
      <c r="A4075" t="str">
        <f t="shared" si="126"/>
        <v/>
      </c>
      <c r="B4075" t="str">
        <f t="shared" si="127"/>
        <v/>
      </c>
      <c r="C4075" t="str">
        <f>IF(D4075="","",IF(COUNTIF($D$2:D4075,D4075)&gt;1,"",SUMIFS(tbl_input[필요수량],tbl_input[집계키_청],D4075)))</f>
        <v/>
      </c>
      <c r="D4075" t="str">
        <f>IFERROR(INDEX(tbl_input[집계키_청],ROW()-1),"")</f>
        <v/>
      </c>
    </row>
    <row r="4076" spans="1:4" x14ac:dyDescent="0.4">
      <c r="A4076" t="str">
        <f t="shared" si="126"/>
        <v/>
      </c>
      <c r="B4076" t="str">
        <f t="shared" si="127"/>
        <v/>
      </c>
      <c r="C4076" t="str">
        <f>IF(D4076="","",IF(COUNTIF($D$2:D4076,D4076)&gt;1,"",SUMIFS(tbl_input[필요수량],tbl_input[집계키_청],D4076)))</f>
        <v/>
      </c>
      <c r="D4076" t="str">
        <f>IFERROR(INDEX(tbl_input[집계키_청],ROW()-1),"")</f>
        <v/>
      </c>
    </row>
    <row r="4077" spans="1:4" x14ac:dyDescent="0.4">
      <c r="A4077" t="str">
        <f t="shared" si="126"/>
        <v/>
      </c>
      <c r="B4077" t="str">
        <f t="shared" si="127"/>
        <v/>
      </c>
      <c r="C4077" t="str">
        <f>IF(D4077="","",IF(COUNTIF($D$2:D4077,D4077)&gt;1,"",SUMIFS(tbl_input[필요수량],tbl_input[집계키_청],D4077)))</f>
        <v/>
      </c>
      <c r="D4077" t="str">
        <f>IFERROR(INDEX(tbl_input[집계키_청],ROW()-1),"")</f>
        <v/>
      </c>
    </row>
    <row r="4078" spans="1:4" x14ac:dyDescent="0.4">
      <c r="A4078" t="str">
        <f t="shared" si="126"/>
        <v/>
      </c>
      <c r="B4078" t="str">
        <f t="shared" si="127"/>
        <v/>
      </c>
      <c r="C4078" t="str">
        <f>IF(D4078="","",IF(COUNTIF($D$2:D4078,D4078)&gt;1,"",SUMIFS(tbl_input[필요수량],tbl_input[집계키_청],D4078)))</f>
        <v/>
      </c>
      <c r="D4078" t="str">
        <f>IFERROR(INDEX(tbl_input[집계키_청],ROW()-1),"")</f>
        <v/>
      </c>
    </row>
    <row r="4079" spans="1:4" x14ac:dyDescent="0.4">
      <c r="A4079" t="str">
        <f t="shared" si="126"/>
        <v/>
      </c>
      <c r="B4079" t="str">
        <f t="shared" si="127"/>
        <v/>
      </c>
      <c r="C4079" t="str">
        <f>IF(D4079="","",IF(COUNTIF($D$2:D4079,D4079)&gt;1,"",SUMIFS(tbl_input[필요수량],tbl_input[집계키_청],D4079)))</f>
        <v/>
      </c>
      <c r="D4079" t="str">
        <f>IFERROR(INDEX(tbl_input[집계키_청],ROW()-1),"")</f>
        <v/>
      </c>
    </row>
    <row r="4080" spans="1:4" x14ac:dyDescent="0.4">
      <c r="A4080" t="str">
        <f t="shared" si="126"/>
        <v/>
      </c>
      <c r="B4080" t="str">
        <f t="shared" si="127"/>
        <v/>
      </c>
      <c r="C4080" t="str">
        <f>IF(D4080="","",IF(COUNTIF($D$2:D4080,D4080)&gt;1,"",SUMIFS(tbl_input[필요수량],tbl_input[집계키_청],D4080)))</f>
        <v/>
      </c>
      <c r="D4080" t="str">
        <f>IFERROR(INDEX(tbl_input[집계키_청],ROW()-1),"")</f>
        <v/>
      </c>
    </row>
    <row r="4081" spans="1:4" x14ac:dyDescent="0.4">
      <c r="A4081" t="str">
        <f t="shared" si="126"/>
        <v/>
      </c>
      <c r="B4081" t="str">
        <f t="shared" si="127"/>
        <v/>
      </c>
      <c r="C4081" t="str">
        <f>IF(D4081="","",IF(COUNTIF($D$2:D4081,D4081)&gt;1,"",SUMIFS(tbl_input[필요수량],tbl_input[집계키_청],D4081)))</f>
        <v/>
      </c>
      <c r="D4081" t="str">
        <f>IFERROR(INDEX(tbl_input[집계키_청],ROW()-1),"")</f>
        <v/>
      </c>
    </row>
    <row r="4082" spans="1:4" x14ac:dyDescent="0.4">
      <c r="A4082" t="str">
        <f t="shared" si="126"/>
        <v/>
      </c>
      <c r="B4082" t="str">
        <f t="shared" si="127"/>
        <v/>
      </c>
      <c r="C4082" t="str">
        <f>IF(D4082="","",IF(COUNTIF($D$2:D4082,D4082)&gt;1,"",SUMIFS(tbl_input[필요수량],tbl_input[집계키_청],D4082)))</f>
        <v/>
      </c>
      <c r="D4082" t="str">
        <f>IFERROR(INDEX(tbl_input[집계키_청],ROW()-1),"")</f>
        <v/>
      </c>
    </row>
    <row r="4083" spans="1:4" x14ac:dyDescent="0.4">
      <c r="A4083" t="str">
        <f t="shared" si="126"/>
        <v/>
      </c>
      <c r="B4083" t="str">
        <f t="shared" si="127"/>
        <v/>
      </c>
      <c r="C4083" t="str">
        <f>IF(D4083="","",IF(COUNTIF($D$2:D4083,D4083)&gt;1,"",SUMIFS(tbl_input[필요수량],tbl_input[집계키_청],D4083)))</f>
        <v/>
      </c>
      <c r="D4083" t="str">
        <f>IFERROR(INDEX(tbl_input[집계키_청],ROW()-1),"")</f>
        <v/>
      </c>
    </row>
    <row r="4084" spans="1:4" x14ac:dyDescent="0.4">
      <c r="A4084" t="str">
        <f t="shared" si="126"/>
        <v/>
      </c>
      <c r="B4084" t="str">
        <f t="shared" si="127"/>
        <v/>
      </c>
      <c r="C4084" t="str">
        <f>IF(D4084="","",IF(COUNTIF($D$2:D4084,D4084)&gt;1,"",SUMIFS(tbl_input[필요수량],tbl_input[집계키_청],D4084)))</f>
        <v/>
      </c>
      <c r="D4084" t="str">
        <f>IFERROR(INDEX(tbl_input[집계키_청],ROW()-1),"")</f>
        <v/>
      </c>
    </row>
    <row r="4085" spans="1:4" x14ac:dyDescent="0.4">
      <c r="A4085" t="str">
        <f t="shared" si="126"/>
        <v/>
      </c>
      <c r="B4085" t="str">
        <f t="shared" si="127"/>
        <v/>
      </c>
      <c r="C4085" t="str">
        <f>IF(D4085="","",IF(COUNTIF($D$2:D4085,D4085)&gt;1,"",SUMIFS(tbl_input[필요수량],tbl_input[집계키_청],D4085)))</f>
        <v/>
      </c>
      <c r="D4085" t="str">
        <f>IFERROR(INDEX(tbl_input[집계키_청],ROW()-1),"")</f>
        <v/>
      </c>
    </row>
    <row r="4086" spans="1:4" x14ac:dyDescent="0.4">
      <c r="A4086" t="str">
        <f t="shared" si="126"/>
        <v/>
      </c>
      <c r="B4086" t="str">
        <f t="shared" si="127"/>
        <v/>
      </c>
      <c r="C4086" t="str">
        <f>IF(D4086="","",IF(COUNTIF($D$2:D4086,D4086)&gt;1,"",SUMIFS(tbl_input[필요수량],tbl_input[집계키_청],D4086)))</f>
        <v/>
      </c>
      <c r="D4086" t="str">
        <f>IFERROR(INDEX(tbl_input[집계키_청],ROW()-1),"")</f>
        <v/>
      </c>
    </row>
    <row r="4087" spans="1:4" x14ac:dyDescent="0.4">
      <c r="A4087" t="str">
        <f t="shared" si="126"/>
        <v/>
      </c>
      <c r="B4087" t="str">
        <f t="shared" si="127"/>
        <v/>
      </c>
      <c r="C4087" t="str">
        <f>IF(D4087="","",IF(COUNTIF($D$2:D4087,D4087)&gt;1,"",SUMIFS(tbl_input[필요수량],tbl_input[집계키_청],D4087)))</f>
        <v/>
      </c>
      <c r="D4087" t="str">
        <f>IFERROR(INDEX(tbl_input[집계키_청],ROW()-1),"")</f>
        <v/>
      </c>
    </row>
    <row r="4088" spans="1:4" x14ac:dyDescent="0.4">
      <c r="A4088" t="str">
        <f t="shared" si="126"/>
        <v/>
      </c>
      <c r="B4088" t="str">
        <f t="shared" si="127"/>
        <v/>
      </c>
      <c r="C4088" t="str">
        <f>IF(D4088="","",IF(COUNTIF($D$2:D4088,D4088)&gt;1,"",SUMIFS(tbl_input[필요수량],tbl_input[집계키_청],D4088)))</f>
        <v/>
      </c>
      <c r="D4088" t="str">
        <f>IFERROR(INDEX(tbl_input[집계키_청],ROW()-1),"")</f>
        <v/>
      </c>
    </row>
    <row r="4089" spans="1:4" x14ac:dyDescent="0.4">
      <c r="A4089" t="str">
        <f t="shared" si="126"/>
        <v/>
      </c>
      <c r="B4089" t="str">
        <f t="shared" si="127"/>
        <v/>
      </c>
      <c r="C4089" t="str">
        <f>IF(D4089="","",IF(COUNTIF($D$2:D4089,D4089)&gt;1,"",SUMIFS(tbl_input[필요수량],tbl_input[집계키_청],D4089)))</f>
        <v/>
      </c>
      <c r="D4089" t="str">
        <f>IFERROR(INDEX(tbl_input[집계키_청],ROW()-1),"")</f>
        <v/>
      </c>
    </row>
    <row r="4090" spans="1:4" x14ac:dyDescent="0.4">
      <c r="A4090" t="str">
        <f t="shared" si="126"/>
        <v/>
      </c>
      <c r="B4090" t="str">
        <f t="shared" si="127"/>
        <v/>
      </c>
      <c r="C4090" t="str">
        <f>IF(D4090="","",IF(COUNTIF($D$2:D4090,D4090)&gt;1,"",SUMIFS(tbl_input[필요수량],tbl_input[집계키_청],D4090)))</f>
        <v/>
      </c>
      <c r="D4090" t="str">
        <f>IFERROR(INDEX(tbl_input[집계키_청],ROW()-1),"")</f>
        <v/>
      </c>
    </row>
    <row r="4091" spans="1:4" x14ac:dyDescent="0.4">
      <c r="A4091" t="str">
        <f t="shared" si="126"/>
        <v/>
      </c>
      <c r="B4091" t="str">
        <f t="shared" si="127"/>
        <v/>
      </c>
      <c r="C4091" t="str">
        <f>IF(D4091="","",IF(COUNTIF($D$2:D4091,D4091)&gt;1,"",SUMIFS(tbl_input[필요수량],tbl_input[집계키_청],D4091)))</f>
        <v/>
      </c>
      <c r="D4091" t="str">
        <f>IFERROR(INDEX(tbl_input[집계키_청],ROW()-1),"")</f>
        <v/>
      </c>
    </row>
    <row r="4092" spans="1:4" x14ac:dyDescent="0.4">
      <c r="A4092" t="str">
        <f t="shared" si="126"/>
        <v/>
      </c>
      <c r="B4092" t="str">
        <f t="shared" si="127"/>
        <v/>
      </c>
      <c r="C4092" t="str">
        <f>IF(D4092="","",IF(COUNTIF($D$2:D4092,D4092)&gt;1,"",SUMIFS(tbl_input[필요수량],tbl_input[집계키_청],D4092)))</f>
        <v/>
      </c>
      <c r="D4092" t="str">
        <f>IFERROR(INDEX(tbl_input[집계키_청],ROW()-1),"")</f>
        <v/>
      </c>
    </row>
    <row r="4093" spans="1:4" x14ac:dyDescent="0.4">
      <c r="A4093" t="str">
        <f t="shared" si="126"/>
        <v/>
      </c>
      <c r="B4093" t="str">
        <f t="shared" si="127"/>
        <v/>
      </c>
      <c r="C4093" t="str">
        <f>IF(D4093="","",IF(COUNTIF($D$2:D4093,D4093)&gt;1,"",SUMIFS(tbl_input[필요수량],tbl_input[집계키_청],D4093)))</f>
        <v/>
      </c>
      <c r="D4093" t="str">
        <f>IFERROR(INDEX(tbl_input[집계키_청],ROW()-1),"")</f>
        <v/>
      </c>
    </row>
    <row r="4094" spans="1:4" x14ac:dyDescent="0.4">
      <c r="A4094" t="str">
        <f t="shared" si="126"/>
        <v/>
      </c>
      <c r="B4094" t="str">
        <f t="shared" si="127"/>
        <v/>
      </c>
      <c r="C4094" t="str">
        <f>IF(D4094="","",IF(COUNTIF($D$2:D4094,D4094)&gt;1,"",SUMIFS(tbl_input[필요수량],tbl_input[집계키_청],D4094)))</f>
        <v/>
      </c>
      <c r="D4094" t="str">
        <f>IFERROR(INDEX(tbl_input[집계키_청],ROW()-1),"")</f>
        <v/>
      </c>
    </row>
    <row r="4095" spans="1:4" x14ac:dyDescent="0.4">
      <c r="A4095" t="str">
        <f t="shared" si="126"/>
        <v/>
      </c>
      <c r="B4095" t="str">
        <f t="shared" si="127"/>
        <v/>
      </c>
      <c r="C4095" t="str">
        <f>IF(D4095="","",IF(COUNTIF($D$2:D4095,D4095)&gt;1,"",SUMIFS(tbl_input[필요수량],tbl_input[집계키_청],D4095)))</f>
        <v/>
      </c>
      <c r="D4095" t="str">
        <f>IFERROR(INDEX(tbl_input[집계키_청],ROW()-1),"")</f>
        <v/>
      </c>
    </row>
    <row r="4096" spans="1:4" x14ac:dyDescent="0.4">
      <c r="A4096" t="str">
        <f t="shared" si="126"/>
        <v/>
      </c>
      <c r="B4096" t="str">
        <f t="shared" si="127"/>
        <v/>
      </c>
      <c r="C4096" t="str">
        <f>IF(D4096="","",IF(COUNTIF($D$2:D4096,D4096)&gt;1,"",SUMIFS(tbl_input[필요수량],tbl_input[집계키_청],D4096)))</f>
        <v/>
      </c>
      <c r="D4096" t="str">
        <f>IFERROR(INDEX(tbl_input[집계키_청],ROW()-1),"")</f>
        <v/>
      </c>
    </row>
    <row r="4097" spans="1:4" x14ac:dyDescent="0.4">
      <c r="A4097" t="str">
        <f t="shared" si="126"/>
        <v/>
      </c>
      <c r="B4097" t="str">
        <f t="shared" si="127"/>
        <v/>
      </c>
      <c r="C4097" t="str">
        <f>IF(D4097="","",IF(COUNTIF($D$2:D4097,D4097)&gt;1,"",SUMIFS(tbl_input[필요수량],tbl_input[집계키_청],D4097)))</f>
        <v/>
      </c>
      <c r="D4097" t="str">
        <f>IFERROR(INDEX(tbl_input[집계키_청],ROW()-1),"")</f>
        <v/>
      </c>
    </row>
    <row r="4098" spans="1:4" x14ac:dyDescent="0.4">
      <c r="A4098" t="str">
        <f t="shared" ref="A4098:A4161" si="128">IF(D4098="","",LEFT(D4098,FIND("♦",D4098)-1))</f>
        <v/>
      </c>
      <c r="B4098" t="str">
        <f t="shared" ref="B4098:B4161" si="129">IF(D4098="","",MID(D4098,FIND("♦",D4098)+1,999))</f>
        <v/>
      </c>
      <c r="C4098" t="str">
        <f>IF(D4098="","",IF(COUNTIF($D$2:D4098,D4098)&gt;1,"",SUMIFS(tbl_input[필요수량],tbl_input[집계키_청],D4098)))</f>
        <v/>
      </c>
      <c r="D4098" t="str">
        <f>IFERROR(INDEX(tbl_input[집계키_청],ROW()-1),"")</f>
        <v/>
      </c>
    </row>
    <row r="4099" spans="1:4" x14ac:dyDescent="0.4">
      <c r="A4099" t="str">
        <f t="shared" si="128"/>
        <v/>
      </c>
      <c r="B4099" t="str">
        <f t="shared" si="129"/>
        <v/>
      </c>
      <c r="C4099" t="str">
        <f>IF(D4099="","",IF(COUNTIF($D$2:D4099,D4099)&gt;1,"",SUMIFS(tbl_input[필요수량],tbl_input[집계키_청],D4099)))</f>
        <v/>
      </c>
      <c r="D4099" t="str">
        <f>IFERROR(INDEX(tbl_input[집계키_청],ROW()-1),"")</f>
        <v/>
      </c>
    </row>
    <row r="4100" spans="1:4" x14ac:dyDescent="0.4">
      <c r="A4100" t="str">
        <f t="shared" si="128"/>
        <v/>
      </c>
      <c r="B4100" t="str">
        <f t="shared" si="129"/>
        <v/>
      </c>
      <c r="C4100" t="str">
        <f>IF(D4100="","",IF(COUNTIF($D$2:D4100,D4100)&gt;1,"",SUMIFS(tbl_input[필요수량],tbl_input[집계키_청],D4100)))</f>
        <v/>
      </c>
      <c r="D4100" t="str">
        <f>IFERROR(INDEX(tbl_input[집계키_청],ROW()-1),"")</f>
        <v/>
      </c>
    </row>
    <row r="4101" spans="1:4" x14ac:dyDescent="0.4">
      <c r="A4101" t="str">
        <f t="shared" si="128"/>
        <v/>
      </c>
      <c r="B4101" t="str">
        <f t="shared" si="129"/>
        <v/>
      </c>
      <c r="C4101" t="str">
        <f>IF(D4101="","",IF(COUNTIF($D$2:D4101,D4101)&gt;1,"",SUMIFS(tbl_input[필요수량],tbl_input[집계키_청],D4101)))</f>
        <v/>
      </c>
      <c r="D4101" t="str">
        <f>IFERROR(INDEX(tbl_input[집계키_청],ROW()-1),"")</f>
        <v/>
      </c>
    </row>
    <row r="4102" spans="1:4" x14ac:dyDescent="0.4">
      <c r="A4102" t="str">
        <f t="shared" si="128"/>
        <v/>
      </c>
      <c r="B4102" t="str">
        <f t="shared" si="129"/>
        <v/>
      </c>
      <c r="C4102" t="str">
        <f>IF(D4102="","",IF(COUNTIF($D$2:D4102,D4102)&gt;1,"",SUMIFS(tbl_input[필요수량],tbl_input[집계키_청],D4102)))</f>
        <v/>
      </c>
      <c r="D4102" t="str">
        <f>IFERROR(INDEX(tbl_input[집계키_청],ROW()-1),"")</f>
        <v/>
      </c>
    </row>
    <row r="4103" spans="1:4" x14ac:dyDescent="0.4">
      <c r="A4103" t="str">
        <f t="shared" si="128"/>
        <v/>
      </c>
      <c r="B4103" t="str">
        <f t="shared" si="129"/>
        <v/>
      </c>
      <c r="C4103" t="str">
        <f>IF(D4103="","",IF(COUNTIF($D$2:D4103,D4103)&gt;1,"",SUMIFS(tbl_input[필요수량],tbl_input[집계키_청],D4103)))</f>
        <v/>
      </c>
      <c r="D4103" t="str">
        <f>IFERROR(INDEX(tbl_input[집계키_청],ROW()-1),"")</f>
        <v/>
      </c>
    </row>
    <row r="4104" spans="1:4" x14ac:dyDescent="0.4">
      <c r="A4104" t="str">
        <f t="shared" si="128"/>
        <v/>
      </c>
      <c r="B4104" t="str">
        <f t="shared" si="129"/>
        <v/>
      </c>
      <c r="C4104" t="str">
        <f>IF(D4104="","",IF(COUNTIF($D$2:D4104,D4104)&gt;1,"",SUMIFS(tbl_input[필요수량],tbl_input[집계키_청],D4104)))</f>
        <v/>
      </c>
      <c r="D4104" t="str">
        <f>IFERROR(INDEX(tbl_input[집계키_청],ROW()-1),"")</f>
        <v/>
      </c>
    </row>
    <row r="4105" spans="1:4" x14ac:dyDescent="0.4">
      <c r="A4105" t="str">
        <f t="shared" si="128"/>
        <v/>
      </c>
      <c r="B4105" t="str">
        <f t="shared" si="129"/>
        <v/>
      </c>
      <c r="C4105" t="str">
        <f>IF(D4105="","",IF(COUNTIF($D$2:D4105,D4105)&gt;1,"",SUMIFS(tbl_input[필요수량],tbl_input[집계키_청],D4105)))</f>
        <v/>
      </c>
      <c r="D4105" t="str">
        <f>IFERROR(INDEX(tbl_input[집계키_청],ROW()-1),"")</f>
        <v/>
      </c>
    </row>
    <row r="4106" spans="1:4" x14ac:dyDescent="0.4">
      <c r="A4106" t="str">
        <f t="shared" si="128"/>
        <v/>
      </c>
      <c r="B4106" t="str">
        <f t="shared" si="129"/>
        <v/>
      </c>
      <c r="C4106" t="str">
        <f>IF(D4106="","",IF(COUNTIF($D$2:D4106,D4106)&gt;1,"",SUMIFS(tbl_input[필요수량],tbl_input[집계키_청],D4106)))</f>
        <v/>
      </c>
      <c r="D4106" t="str">
        <f>IFERROR(INDEX(tbl_input[집계키_청],ROW()-1),"")</f>
        <v/>
      </c>
    </row>
    <row r="4107" spans="1:4" x14ac:dyDescent="0.4">
      <c r="A4107" t="str">
        <f t="shared" si="128"/>
        <v/>
      </c>
      <c r="B4107" t="str">
        <f t="shared" si="129"/>
        <v/>
      </c>
      <c r="C4107" t="str">
        <f>IF(D4107="","",IF(COUNTIF($D$2:D4107,D4107)&gt;1,"",SUMIFS(tbl_input[필요수량],tbl_input[집계키_청],D4107)))</f>
        <v/>
      </c>
      <c r="D4107" t="str">
        <f>IFERROR(INDEX(tbl_input[집계키_청],ROW()-1),"")</f>
        <v/>
      </c>
    </row>
    <row r="4108" spans="1:4" x14ac:dyDescent="0.4">
      <c r="A4108" t="str">
        <f t="shared" si="128"/>
        <v/>
      </c>
      <c r="B4108" t="str">
        <f t="shared" si="129"/>
        <v/>
      </c>
      <c r="C4108" t="str">
        <f>IF(D4108="","",IF(COUNTIF($D$2:D4108,D4108)&gt;1,"",SUMIFS(tbl_input[필요수량],tbl_input[집계키_청],D4108)))</f>
        <v/>
      </c>
      <c r="D4108" t="str">
        <f>IFERROR(INDEX(tbl_input[집계키_청],ROW()-1),"")</f>
        <v/>
      </c>
    </row>
    <row r="4109" spans="1:4" x14ac:dyDescent="0.4">
      <c r="A4109" t="str">
        <f t="shared" si="128"/>
        <v/>
      </c>
      <c r="B4109" t="str">
        <f t="shared" si="129"/>
        <v/>
      </c>
      <c r="C4109" t="str">
        <f>IF(D4109="","",IF(COUNTIF($D$2:D4109,D4109)&gt;1,"",SUMIFS(tbl_input[필요수량],tbl_input[집계키_청],D4109)))</f>
        <v/>
      </c>
      <c r="D4109" t="str">
        <f>IFERROR(INDEX(tbl_input[집계키_청],ROW()-1),"")</f>
        <v/>
      </c>
    </row>
    <row r="4110" spans="1:4" x14ac:dyDescent="0.4">
      <c r="A4110" t="str">
        <f t="shared" si="128"/>
        <v/>
      </c>
      <c r="B4110" t="str">
        <f t="shared" si="129"/>
        <v/>
      </c>
      <c r="C4110" t="str">
        <f>IF(D4110="","",IF(COUNTIF($D$2:D4110,D4110)&gt;1,"",SUMIFS(tbl_input[필요수량],tbl_input[집계키_청],D4110)))</f>
        <v/>
      </c>
      <c r="D4110" t="str">
        <f>IFERROR(INDEX(tbl_input[집계키_청],ROW()-1),"")</f>
        <v/>
      </c>
    </row>
    <row r="4111" spans="1:4" x14ac:dyDescent="0.4">
      <c r="A4111" t="str">
        <f t="shared" si="128"/>
        <v/>
      </c>
      <c r="B4111" t="str">
        <f t="shared" si="129"/>
        <v/>
      </c>
      <c r="C4111" t="str">
        <f>IF(D4111="","",IF(COUNTIF($D$2:D4111,D4111)&gt;1,"",SUMIFS(tbl_input[필요수량],tbl_input[집계키_청],D4111)))</f>
        <v/>
      </c>
      <c r="D4111" t="str">
        <f>IFERROR(INDEX(tbl_input[집계키_청],ROW()-1),"")</f>
        <v/>
      </c>
    </row>
    <row r="4112" spans="1:4" x14ac:dyDescent="0.4">
      <c r="A4112" t="str">
        <f t="shared" si="128"/>
        <v/>
      </c>
      <c r="B4112" t="str">
        <f t="shared" si="129"/>
        <v/>
      </c>
      <c r="C4112" t="str">
        <f>IF(D4112="","",IF(COUNTIF($D$2:D4112,D4112)&gt;1,"",SUMIFS(tbl_input[필요수량],tbl_input[집계키_청],D4112)))</f>
        <v/>
      </c>
      <c r="D4112" t="str">
        <f>IFERROR(INDEX(tbl_input[집계키_청],ROW()-1),"")</f>
        <v/>
      </c>
    </row>
    <row r="4113" spans="1:4" x14ac:dyDescent="0.4">
      <c r="A4113" t="str">
        <f t="shared" si="128"/>
        <v/>
      </c>
      <c r="B4113" t="str">
        <f t="shared" si="129"/>
        <v/>
      </c>
      <c r="C4113" t="str">
        <f>IF(D4113="","",IF(COUNTIF($D$2:D4113,D4113)&gt;1,"",SUMIFS(tbl_input[필요수량],tbl_input[집계키_청],D4113)))</f>
        <v/>
      </c>
      <c r="D4113" t="str">
        <f>IFERROR(INDEX(tbl_input[집계키_청],ROW()-1),"")</f>
        <v/>
      </c>
    </row>
    <row r="4114" spans="1:4" x14ac:dyDescent="0.4">
      <c r="A4114" t="str">
        <f t="shared" si="128"/>
        <v/>
      </c>
      <c r="B4114" t="str">
        <f t="shared" si="129"/>
        <v/>
      </c>
      <c r="C4114" t="str">
        <f>IF(D4114="","",IF(COUNTIF($D$2:D4114,D4114)&gt;1,"",SUMIFS(tbl_input[필요수량],tbl_input[집계키_청],D4114)))</f>
        <v/>
      </c>
      <c r="D4114" t="str">
        <f>IFERROR(INDEX(tbl_input[집계키_청],ROW()-1),"")</f>
        <v/>
      </c>
    </row>
    <row r="4115" spans="1:4" x14ac:dyDescent="0.4">
      <c r="A4115" t="str">
        <f t="shared" si="128"/>
        <v/>
      </c>
      <c r="B4115" t="str">
        <f t="shared" si="129"/>
        <v/>
      </c>
      <c r="C4115" t="str">
        <f>IF(D4115="","",IF(COUNTIF($D$2:D4115,D4115)&gt;1,"",SUMIFS(tbl_input[필요수량],tbl_input[집계키_청],D4115)))</f>
        <v/>
      </c>
      <c r="D4115" t="str">
        <f>IFERROR(INDEX(tbl_input[집계키_청],ROW()-1),"")</f>
        <v/>
      </c>
    </row>
    <row r="4116" spans="1:4" x14ac:dyDescent="0.4">
      <c r="A4116" t="str">
        <f t="shared" si="128"/>
        <v/>
      </c>
      <c r="B4116" t="str">
        <f t="shared" si="129"/>
        <v/>
      </c>
      <c r="C4116" t="str">
        <f>IF(D4116="","",IF(COUNTIF($D$2:D4116,D4116)&gt;1,"",SUMIFS(tbl_input[필요수량],tbl_input[집계키_청],D4116)))</f>
        <v/>
      </c>
      <c r="D4116" t="str">
        <f>IFERROR(INDEX(tbl_input[집계키_청],ROW()-1),"")</f>
        <v/>
      </c>
    </row>
    <row r="4117" spans="1:4" x14ac:dyDescent="0.4">
      <c r="A4117" t="str">
        <f t="shared" si="128"/>
        <v/>
      </c>
      <c r="B4117" t="str">
        <f t="shared" si="129"/>
        <v/>
      </c>
      <c r="C4117" t="str">
        <f>IF(D4117="","",IF(COUNTIF($D$2:D4117,D4117)&gt;1,"",SUMIFS(tbl_input[필요수량],tbl_input[집계키_청],D4117)))</f>
        <v/>
      </c>
      <c r="D4117" t="str">
        <f>IFERROR(INDEX(tbl_input[집계키_청],ROW()-1),"")</f>
        <v/>
      </c>
    </row>
    <row r="4118" spans="1:4" x14ac:dyDescent="0.4">
      <c r="A4118" t="str">
        <f t="shared" si="128"/>
        <v/>
      </c>
      <c r="B4118" t="str">
        <f t="shared" si="129"/>
        <v/>
      </c>
      <c r="C4118" t="str">
        <f>IF(D4118="","",IF(COUNTIF($D$2:D4118,D4118)&gt;1,"",SUMIFS(tbl_input[필요수량],tbl_input[집계키_청],D4118)))</f>
        <v/>
      </c>
      <c r="D4118" t="str">
        <f>IFERROR(INDEX(tbl_input[집계키_청],ROW()-1),"")</f>
        <v/>
      </c>
    </row>
    <row r="4119" spans="1:4" x14ac:dyDescent="0.4">
      <c r="A4119" t="str">
        <f t="shared" si="128"/>
        <v/>
      </c>
      <c r="B4119" t="str">
        <f t="shared" si="129"/>
        <v/>
      </c>
      <c r="C4119" t="str">
        <f>IF(D4119="","",IF(COUNTIF($D$2:D4119,D4119)&gt;1,"",SUMIFS(tbl_input[필요수량],tbl_input[집계키_청],D4119)))</f>
        <v/>
      </c>
      <c r="D4119" t="str">
        <f>IFERROR(INDEX(tbl_input[집계키_청],ROW()-1),"")</f>
        <v/>
      </c>
    </row>
    <row r="4120" spans="1:4" x14ac:dyDescent="0.4">
      <c r="A4120" t="str">
        <f t="shared" si="128"/>
        <v/>
      </c>
      <c r="B4120" t="str">
        <f t="shared" si="129"/>
        <v/>
      </c>
      <c r="C4120" t="str">
        <f>IF(D4120="","",IF(COUNTIF($D$2:D4120,D4120)&gt;1,"",SUMIFS(tbl_input[필요수량],tbl_input[집계키_청],D4120)))</f>
        <v/>
      </c>
      <c r="D4120" t="str">
        <f>IFERROR(INDEX(tbl_input[집계키_청],ROW()-1),"")</f>
        <v/>
      </c>
    </row>
    <row r="4121" spans="1:4" x14ac:dyDescent="0.4">
      <c r="A4121" t="str">
        <f t="shared" si="128"/>
        <v/>
      </c>
      <c r="B4121" t="str">
        <f t="shared" si="129"/>
        <v/>
      </c>
      <c r="C4121" t="str">
        <f>IF(D4121="","",IF(COUNTIF($D$2:D4121,D4121)&gt;1,"",SUMIFS(tbl_input[필요수량],tbl_input[집계키_청],D4121)))</f>
        <v/>
      </c>
      <c r="D4121" t="str">
        <f>IFERROR(INDEX(tbl_input[집계키_청],ROW()-1),"")</f>
        <v/>
      </c>
    </row>
    <row r="4122" spans="1:4" x14ac:dyDescent="0.4">
      <c r="A4122" t="str">
        <f t="shared" si="128"/>
        <v/>
      </c>
      <c r="B4122" t="str">
        <f t="shared" si="129"/>
        <v/>
      </c>
      <c r="C4122" t="str">
        <f>IF(D4122="","",IF(COUNTIF($D$2:D4122,D4122)&gt;1,"",SUMIFS(tbl_input[필요수량],tbl_input[집계키_청],D4122)))</f>
        <v/>
      </c>
      <c r="D4122" t="str">
        <f>IFERROR(INDEX(tbl_input[집계키_청],ROW()-1),"")</f>
        <v/>
      </c>
    </row>
    <row r="4123" spans="1:4" x14ac:dyDescent="0.4">
      <c r="A4123" t="str">
        <f t="shared" si="128"/>
        <v/>
      </c>
      <c r="B4123" t="str">
        <f t="shared" si="129"/>
        <v/>
      </c>
      <c r="C4123" t="str">
        <f>IF(D4123="","",IF(COUNTIF($D$2:D4123,D4123)&gt;1,"",SUMIFS(tbl_input[필요수량],tbl_input[집계키_청],D4123)))</f>
        <v/>
      </c>
      <c r="D4123" t="str">
        <f>IFERROR(INDEX(tbl_input[집계키_청],ROW()-1),"")</f>
        <v/>
      </c>
    </row>
    <row r="4124" spans="1:4" x14ac:dyDescent="0.4">
      <c r="A4124" t="str">
        <f t="shared" si="128"/>
        <v/>
      </c>
      <c r="B4124" t="str">
        <f t="shared" si="129"/>
        <v/>
      </c>
      <c r="C4124" t="str">
        <f>IF(D4124="","",IF(COUNTIF($D$2:D4124,D4124)&gt;1,"",SUMIFS(tbl_input[필요수량],tbl_input[집계키_청],D4124)))</f>
        <v/>
      </c>
      <c r="D4124" t="str">
        <f>IFERROR(INDEX(tbl_input[집계키_청],ROW()-1),"")</f>
        <v/>
      </c>
    </row>
    <row r="4125" spans="1:4" x14ac:dyDescent="0.4">
      <c r="A4125" t="str">
        <f t="shared" si="128"/>
        <v/>
      </c>
      <c r="B4125" t="str">
        <f t="shared" si="129"/>
        <v/>
      </c>
      <c r="C4125" t="str">
        <f>IF(D4125="","",IF(COUNTIF($D$2:D4125,D4125)&gt;1,"",SUMIFS(tbl_input[필요수량],tbl_input[집계키_청],D4125)))</f>
        <v/>
      </c>
      <c r="D4125" t="str">
        <f>IFERROR(INDEX(tbl_input[집계키_청],ROW()-1),"")</f>
        <v/>
      </c>
    </row>
    <row r="4126" spans="1:4" x14ac:dyDescent="0.4">
      <c r="A4126" t="str">
        <f t="shared" si="128"/>
        <v/>
      </c>
      <c r="B4126" t="str">
        <f t="shared" si="129"/>
        <v/>
      </c>
      <c r="C4126" t="str">
        <f>IF(D4126="","",IF(COUNTIF($D$2:D4126,D4126)&gt;1,"",SUMIFS(tbl_input[필요수량],tbl_input[집계키_청],D4126)))</f>
        <v/>
      </c>
      <c r="D4126" t="str">
        <f>IFERROR(INDEX(tbl_input[집계키_청],ROW()-1),"")</f>
        <v/>
      </c>
    </row>
    <row r="4127" spans="1:4" x14ac:dyDescent="0.4">
      <c r="A4127" t="str">
        <f t="shared" si="128"/>
        <v/>
      </c>
      <c r="B4127" t="str">
        <f t="shared" si="129"/>
        <v/>
      </c>
      <c r="C4127" t="str">
        <f>IF(D4127="","",IF(COUNTIF($D$2:D4127,D4127)&gt;1,"",SUMIFS(tbl_input[필요수량],tbl_input[집계키_청],D4127)))</f>
        <v/>
      </c>
      <c r="D4127" t="str">
        <f>IFERROR(INDEX(tbl_input[집계키_청],ROW()-1),"")</f>
        <v/>
      </c>
    </row>
    <row r="4128" spans="1:4" x14ac:dyDescent="0.4">
      <c r="A4128" t="str">
        <f t="shared" si="128"/>
        <v/>
      </c>
      <c r="B4128" t="str">
        <f t="shared" si="129"/>
        <v/>
      </c>
      <c r="C4128" t="str">
        <f>IF(D4128="","",IF(COUNTIF($D$2:D4128,D4128)&gt;1,"",SUMIFS(tbl_input[필요수량],tbl_input[집계키_청],D4128)))</f>
        <v/>
      </c>
      <c r="D4128" t="str">
        <f>IFERROR(INDEX(tbl_input[집계키_청],ROW()-1),"")</f>
        <v/>
      </c>
    </row>
    <row r="4129" spans="1:4" x14ac:dyDescent="0.4">
      <c r="A4129" t="str">
        <f t="shared" si="128"/>
        <v/>
      </c>
      <c r="B4129" t="str">
        <f t="shared" si="129"/>
        <v/>
      </c>
      <c r="C4129" t="str">
        <f>IF(D4129="","",IF(COUNTIF($D$2:D4129,D4129)&gt;1,"",SUMIFS(tbl_input[필요수량],tbl_input[집계키_청],D4129)))</f>
        <v/>
      </c>
      <c r="D4129" t="str">
        <f>IFERROR(INDEX(tbl_input[집계키_청],ROW()-1),"")</f>
        <v/>
      </c>
    </row>
    <row r="4130" spans="1:4" x14ac:dyDescent="0.4">
      <c r="A4130" t="str">
        <f t="shared" si="128"/>
        <v/>
      </c>
      <c r="B4130" t="str">
        <f t="shared" si="129"/>
        <v/>
      </c>
      <c r="C4130" t="str">
        <f>IF(D4130="","",IF(COUNTIF($D$2:D4130,D4130)&gt;1,"",SUMIFS(tbl_input[필요수량],tbl_input[집계키_청],D4130)))</f>
        <v/>
      </c>
      <c r="D4130" t="str">
        <f>IFERROR(INDEX(tbl_input[집계키_청],ROW()-1),"")</f>
        <v/>
      </c>
    </row>
    <row r="4131" spans="1:4" x14ac:dyDescent="0.4">
      <c r="A4131" t="str">
        <f t="shared" si="128"/>
        <v/>
      </c>
      <c r="B4131" t="str">
        <f t="shared" si="129"/>
        <v/>
      </c>
      <c r="C4131" t="str">
        <f>IF(D4131="","",IF(COUNTIF($D$2:D4131,D4131)&gt;1,"",SUMIFS(tbl_input[필요수량],tbl_input[집계키_청],D4131)))</f>
        <v/>
      </c>
      <c r="D4131" t="str">
        <f>IFERROR(INDEX(tbl_input[집계키_청],ROW()-1),"")</f>
        <v/>
      </c>
    </row>
    <row r="4132" spans="1:4" x14ac:dyDescent="0.4">
      <c r="A4132" t="str">
        <f t="shared" si="128"/>
        <v/>
      </c>
      <c r="B4132" t="str">
        <f t="shared" si="129"/>
        <v/>
      </c>
      <c r="C4132" t="str">
        <f>IF(D4132="","",IF(COUNTIF($D$2:D4132,D4132)&gt;1,"",SUMIFS(tbl_input[필요수량],tbl_input[집계키_청],D4132)))</f>
        <v/>
      </c>
      <c r="D4132" t="str">
        <f>IFERROR(INDEX(tbl_input[집계키_청],ROW()-1),"")</f>
        <v/>
      </c>
    </row>
    <row r="4133" spans="1:4" x14ac:dyDescent="0.4">
      <c r="A4133" t="str">
        <f t="shared" si="128"/>
        <v/>
      </c>
      <c r="B4133" t="str">
        <f t="shared" si="129"/>
        <v/>
      </c>
      <c r="C4133" t="str">
        <f>IF(D4133="","",IF(COUNTIF($D$2:D4133,D4133)&gt;1,"",SUMIFS(tbl_input[필요수량],tbl_input[집계키_청],D4133)))</f>
        <v/>
      </c>
      <c r="D4133" t="str">
        <f>IFERROR(INDEX(tbl_input[집계키_청],ROW()-1),"")</f>
        <v/>
      </c>
    </row>
    <row r="4134" spans="1:4" x14ac:dyDescent="0.4">
      <c r="A4134" t="str">
        <f t="shared" si="128"/>
        <v/>
      </c>
      <c r="B4134" t="str">
        <f t="shared" si="129"/>
        <v/>
      </c>
      <c r="C4134" t="str">
        <f>IF(D4134="","",IF(COUNTIF($D$2:D4134,D4134)&gt;1,"",SUMIFS(tbl_input[필요수량],tbl_input[집계키_청],D4134)))</f>
        <v/>
      </c>
      <c r="D4134" t="str">
        <f>IFERROR(INDEX(tbl_input[집계키_청],ROW()-1),"")</f>
        <v/>
      </c>
    </row>
    <row r="4135" spans="1:4" x14ac:dyDescent="0.4">
      <c r="A4135" t="str">
        <f t="shared" si="128"/>
        <v/>
      </c>
      <c r="B4135" t="str">
        <f t="shared" si="129"/>
        <v/>
      </c>
      <c r="C4135" t="str">
        <f>IF(D4135="","",IF(COUNTIF($D$2:D4135,D4135)&gt;1,"",SUMIFS(tbl_input[필요수량],tbl_input[집계키_청],D4135)))</f>
        <v/>
      </c>
      <c r="D4135" t="str">
        <f>IFERROR(INDEX(tbl_input[집계키_청],ROW()-1),"")</f>
        <v/>
      </c>
    </row>
    <row r="4136" spans="1:4" x14ac:dyDescent="0.4">
      <c r="A4136" t="str">
        <f t="shared" si="128"/>
        <v/>
      </c>
      <c r="B4136" t="str">
        <f t="shared" si="129"/>
        <v/>
      </c>
      <c r="C4136" t="str">
        <f>IF(D4136="","",IF(COUNTIF($D$2:D4136,D4136)&gt;1,"",SUMIFS(tbl_input[필요수량],tbl_input[집계키_청],D4136)))</f>
        <v/>
      </c>
      <c r="D4136" t="str">
        <f>IFERROR(INDEX(tbl_input[집계키_청],ROW()-1),"")</f>
        <v/>
      </c>
    </row>
    <row r="4137" spans="1:4" x14ac:dyDescent="0.4">
      <c r="A4137" t="str">
        <f t="shared" si="128"/>
        <v/>
      </c>
      <c r="B4137" t="str">
        <f t="shared" si="129"/>
        <v/>
      </c>
      <c r="C4137" t="str">
        <f>IF(D4137="","",IF(COUNTIF($D$2:D4137,D4137)&gt;1,"",SUMIFS(tbl_input[필요수량],tbl_input[집계키_청],D4137)))</f>
        <v/>
      </c>
      <c r="D4137" t="str">
        <f>IFERROR(INDEX(tbl_input[집계키_청],ROW()-1),"")</f>
        <v/>
      </c>
    </row>
    <row r="4138" spans="1:4" x14ac:dyDescent="0.4">
      <c r="A4138" t="str">
        <f t="shared" si="128"/>
        <v/>
      </c>
      <c r="B4138" t="str">
        <f t="shared" si="129"/>
        <v/>
      </c>
      <c r="C4138" t="str">
        <f>IF(D4138="","",IF(COUNTIF($D$2:D4138,D4138)&gt;1,"",SUMIFS(tbl_input[필요수량],tbl_input[집계키_청],D4138)))</f>
        <v/>
      </c>
      <c r="D4138" t="str">
        <f>IFERROR(INDEX(tbl_input[집계키_청],ROW()-1),"")</f>
        <v/>
      </c>
    </row>
    <row r="4139" spans="1:4" x14ac:dyDescent="0.4">
      <c r="A4139" t="str">
        <f t="shared" si="128"/>
        <v/>
      </c>
      <c r="B4139" t="str">
        <f t="shared" si="129"/>
        <v/>
      </c>
      <c r="C4139" t="str">
        <f>IF(D4139="","",IF(COUNTIF($D$2:D4139,D4139)&gt;1,"",SUMIFS(tbl_input[필요수량],tbl_input[집계키_청],D4139)))</f>
        <v/>
      </c>
      <c r="D4139" t="str">
        <f>IFERROR(INDEX(tbl_input[집계키_청],ROW()-1),"")</f>
        <v/>
      </c>
    </row>
    <row r="4140" spans="1:4" x14ac:dyDescent="0.4">
      <c r="A4140" t="str">
        <f t="shared" si="128"/>
        <v/>
      </c>
      <c r="B4140" t="str">
        <f t="shared" si="129"/>
        <v/>
      </c>
      <c r="C4140" t="str">
        <f>IF(D4140="","",IF(COUNTIF($D$2:D4140,D4140)&gt;1,"",SUMIFS(tbl_input[필요수량],tbl_input[집계키_청],D4140)))</f>
        <v/>
      </c>
      <c r="D4140" t="str">
        <f>IFERROR(INDEX(tbl_input[집계키_청],ROW()-1),"")</f>
        <v/>
      </c>
    </row>
    <row r="4141" spans="1:4" x14ac:dyDescent="0.4">
      <c r="A4141" t="str">
        <f t="shared" si="128"/>
        <v/>
      </c>
      <c r="B4141" t="str">
        <f t="shared" si="129"/>
        <v/>
      </c>
      <c r="C4141" t="str">
        <f>IF(D4141="","",IF(COUNTIF($D$2:D4141,D4141)&gt;1,"",SUMIFS(tbl_input[필요수량],tbl_input[집계키_청],D4141)))</f>
        <v/>
      </c>
      <c r="D4141" t="str">
        <f>IFERROR(INDEX(tbl_input[집계키_청],ROW()-1),"")</f>
        <v/>
      </c>
    </row>
    <row r="4142" spans="1:4" x14ac:dyDescent="0.4">
      <c r="A4142" t="str">
        <f t="shared" si="128"/>
        <v/>
      </c>
      <c r="B4142" t="str">
        <f t="shared" si="129"/>
        <v/>
      </c>
      <c r="C4142" t="str">
        <f>IF(D4142="","",IF(COUNTIF($D$2:D4142,D4142)&gt;1,"",SUMIFS(tbl_input[필요수량],tbl_input[집계키_청],D4142)))</f>
        <v/>
      </c>
      <c r="D4142" t="str">
        <f>IFERROR(INDEX(tbl_input[집계키_청],ROW()-1),"")</f>
        <v/>
      </c>
    </row>
    <row r="4143" spans="1:4" x14ac:dyDescent="0.4">
      <c r="A4143" t="str">
        <f t="shared" si="128"/>
        <v/>
      </c>
      <c r="B4143" t="str">
        <f t="shared" si="129"/>
        <v/>
      </c>
      <c r="C4143" t="str">
        <f>IF(D4143="","",IF(COUNTIF($D$2:D4143,D4143)&gt;1,"",SUMIFS(tbl_input[필요수량],tbl_input[집계키_청],D4143)))</f>
        <v/>
      </c>
      <c r="D4143" t="str">
        <f>IFERROR(INDEX(tbl_input[집계키_청],ROW()-1),"")</f>
        <v/>
      </c>
    </row>
    <row r="4144" spans="1:4" x14ac:dyDescent="0.4">
      <c r="A4144" t="str">
        <f t="shared" si="128"/>
        <v/>
      </c>
      <c r="B4144" t="str">
        <f t="shared" si="129"/>
        <v/>
      </c>
      <c r="C4144" t="str">
        <f>IF(D4144="","",IF(COUNTIF($D$2:D4144,D4144)&gt;1,"",SUMIFS(tbl_input[필요수량],tbl_input[집계키_청],D4144)))</f>
        <v/>
      </c>
      <c r="D4144" t="str">
        <f>IFERROR(INDEX(tbl_input[집계키_청],ROW()-1),"")</f>
        <v/>
      </c>
    </row>
    <row r="4145" spans="1:4" x14ac:dyDescent="0.4">
      <c r="A4145" t="str">
        <f t="shared" si="128"/>
        <v/>
      </c>
      <c r="B4145" t="str">
        <f t="shared" si="129"/>
        <v/>
      </c>
      <c r="C4145" t="str">
        <f>IF(D4145="","",IF(COUNTIF($D$2:D4145,D4145)&gt;1,"",SUMIFS(tbl_input[필요수량],tbl_input[집계키_청],D4145)))</f>
        <v/>
      </c>
      <c r="D4145" t="str">
        <f>IFERROR(INDEX(tbl_input[집계키_청],ROW()-1),"")</f>
        <v/>
      </c>
    </row>
    <row r="4146" spans="1:4" x14ac:dyDescent="0.4">
      <c r="A4146" t="str">
        <f t="shared" si="128"/>
        <v/>
      </c>
      <c r="B4146" t="str">
        <f t="shared" si="129"/>
        <v/>
      </c>
      <c r="C4146" t="str">
        <f>IF(D4146="","",IF(COUNTIF($D$2:D4146,D4146)&gt;1,"",SUMIFS(tbl_input[필요수량],tbl_input[집계키_청],D4146)))</f>
        <v/>
      </c>
      <c r="D4146" t="str">
        <f>IFERROR(INDEX(tbl_input[집계키_청],ROW()-1),"")</f>
        <v/>
      </c>
    </row>
    <row r="4147" spans="1:4" x14ac:dyDescent="0.4">
      <c r="A4147" t="str">
        <f t="shared" si="128"/>
        <v/>
      </c>
      <c r="B4147" t="str">
        <f t="shared" si="129"/>
        <v/>
      </c>
      <c r="C4147" t="str">
        <f>IF(D4147="","",IF(COUNTIF($D$2:D4147,D4147)&gt;1,"",SUMIFS(tbl_input[필요수량],tbl_input[집계키_청],D4147)))</f>
        <v/>
      </c>
      <c r="D4147" t="str">
        <f>IFERROR(INDEX(tbl_input[집계키_청],ROW()-1),"")</f>
        <v/>
      </c>
    </row>
    <row r="4148" spans="1:4" x14ac:dyDescent="0.4">
      <c r="A4148" t="str">
        <f t="shared" si="128"/>
        <v/>
      </c>
      <c r="B4148" t="str">
        <f t="shared" si="129"/>
        <v/>
      </c>
      <c r="C4148" t="str">
        <f>IF(D4148="","",IF(COUNTIF($D$2:D4148,D4148)&gt;1,"",SUMIFS(tbl_input[필요수량],tbl_input[집계키_청],D4148)))</f>
        <v/>
      </c>
      <c r="D4148" t="str">
        <f>IFERROR(INDEX(tbl_input[집계키_청],ROW()-1),"")</f>
        <v/>
      </c>
    </row>
    <row r="4149" spans="1:4" x14ac:dyDescent="0.4">
      <c r="A4149" t="str">
        <f t="shared" si="128"/>
        <v/>
      </c>
      <c r="B4149" t="str">
        <f t="shared" si="129"/>
        <v/>
      </c>
      <c r="C4149" t="str">
        <f>IF(D4149="","",IF(COUNTIF($D$2:D4149,D4149)&gt;1,"",SUMIFS(tbl_input[필요수량],tbl_input[집계키_청],D4149)))</f>
        <v/>
      </c>
      <c r="D4149" t="str">
        <f>IFERROR(INDEX(tbl_input[집계키_청],ROW()-1),"")</f>
        <v/>
      </c>
    </row>
    <row r="4150" spans="1:4" x14ac:dyDescent="0.4">
      <c r="A4150" t="str">
        <f t="shared" si="128"/>
        <v/>
      </c>
      <c r="B4150" t="str">
        <f t="shared" si="129"/>
        <v/>
      </c>
      <c r="C4150" t="str">
        <f>IF(D4150="","",IF(COUNTIF($D$2:D4150,D4150)&gt;1,"",SUMIFS(tbl_input[필요수량],tbl_input[집계키_청],D4150)))</f>
        <v/>
      </c>
      <c r="D4150" t="str">
        <f>IFERROR(INDEX(tbl_input[집계키_청],ROW()-1),"")</f>
        <v/>
      </c>
    </row>
    <row r="4151" spans="1:4" x14ac:dyDescent="0.4">
      <c r="A4151" t="str">
        <f t="shared" si="128"/>
        <v/>
      </c>
      <c r="B4151" t="str">
        <f t="shared" si="129"/>
        <v/>
      </c>
      <c r="C4151" t="str">
        <f>IF(D4151="","",IF(COUNTIF($D$2:D4151,D4151)&gt;1,"",SUMIFS(tbl_input[필요수량],tbl_input[집계키_청],D4151)))</f>
        <v/>
      </c>
      <c r="D4151" t="str">
        <f>IFERROR(INDEX(tbl_input[집계키_청],ROW()-1),"")</f>
        <v/>
      </c>
    </row>
    <row r="4152" spans="1:4" x14ac:dyDescent="0.4">
      <c r="A4152" t="str">
        <f t="shared" si="128"/>
        <v/>
      </c>
      <c r="B4152" t="str">
        <f t="shared" si="129"/>
        <v/>
      </c>
      <c r="C4152" t="str">
        <f>IF(D4152="","",IF(COUNTIF($D$2:D4152,D4152)&gt;1,"",SUMIFS(tbl_input[필요수량],tbl_input[집계키_청],D4152)))</f>
        <v/>
      </c>
      <c r="D4152" t="str">
        <f>IFERROR(INDEX(tbl_input[집계키_청],ROW()-1),"")</f>
        <v/>
      </c>
    </row>
    <row r="4153" spans="1:4" x14ac:dyDescent="0.4">
      <c r="A4153" t="str">
        <f t="shared" si="128"/>
        <v/>
      </c>
      <c r="B4153" t="str">
        <f t="shared" si="129"/>
        <v/>
      </c>
      <c r="C4153" t="str">
        <f>IF(D4153="","",IF(COUNTIF($D$2:D4153,D4153)&gt;1,"",SUMIFS(tbl_input[필요수량],tbl_input[집계키_청],D4153)))</f>
        <v/>
      </c>
      <c r="D4153" t="str">
        <f>IFERROR(INDEX(tbl_input[집계키_청],ROW()-1),"")</f>
        <v/>
      </c>
    </row>
    <row r="4154" spans="1:4" x14ac:dyDescent="0.4">
      <c r="A4154" t="str">
        <f t="shared" si="128"/>
        <v/>
      </c>
      <c r="B4154" t="str">
        <f t="shared" si="129"/>
        <v/>
      </c>
      <c r="C4154" t="str">
        <f>IF(D4154="","",IF(COUNTIF($D$2:D4154,D4154)&gt;1,"",SUMIFS(tbl_input[필요수량],tbl_input[집계키_청],D4154)))</f>
        <v/>
      </c>
      <c r="D4154" t="str">
        <f>IFERROR(INDEX(tbl_input[집계키_청],ROW()-1),"")</f>
        <v/>
      </c>
    </row>
    <row r="4155" spans="1:4" x14ac:dyDescent="0.4">
      <c r="A4155" t="str">
        <f t="shared" si="128"/>
        <v/>
      </c>
      <c r="B4155" t="str">
        <f t="shared" si="129"/>
        <v/>
      </c>
      <c r="C4155" t="str">
        <f>IF(D4155="","",IF(COUNTIF($D$2:D4155,D4155)&gt;1,"",SUMIFS(tbl_input[필요수량],tbl_input[집계키_청],D4155)))</f>
        <v/>
      </c>
      <c r="D4155" t="str">
        <f>IFERROR(INDEX(tbl_input[집계키_청],ROW()-1),"")</f>
        <v/>
      </c>
    </row>
    <row r="4156" spans="1:4" x14ac:dyDescent="0.4">
      <c r="A4156" t="str">
        <f t="shared" si="128"/>
        <v/>
      </c>
      <c r="B4156" t="str">
        <f t="shared" si="129"/>
        <v/>
      </c>
      <c r="C4156" t="str">
        <f>IF(D4156="","",IF(COUNTIF($D$2:D4156,D4156)&gt;1,"",SUMIFS(tbl_input[필요수량],tbl_input[집계키_청],D4156)))</f>
        <v/>
      </c>
      <c r="D4156" t="str">
        <f>IFERROR(INDEX(tbl_input[집계키_청],ROW()-1),"")</f>
        <v/>
      </c>
    </row>
    <row r="4157" spans="1:4" x14ac:dyDescent="0.4">
      <c r="A4157" t="str">
        <f t="shared" si="128"/>
        <v/>
      </c>
      <c r="B4157" t="str">
        <f t="shared" si="129"/>
        <v/>
      </c>
      <c r="C4157" t="str">
        <f>IF(D4157="","",IF(COUNTIF($D$2:D4157,D4157)&gt;1,"",SUMIFS(tbl_input[필요수량],tbl_input[집계키_청],D4157)))</f>
        <v/>
      </c>
      <c r="D4157" t="str">
        <f>IFERROR(INDEX(tbl_input[집계키_청],ROW()-1),"")</f>
        <v/>
      </c>
    </row>
    <row r="4158" spans="1:4" x14ac:dyDescent="0.4">
      <c r="A4158" t="str">
        <f t="shared" si="128"/>
        <v/>
      </c>
      <c r="B4158" t="str">
        <f t="shared" si="129"/>
        <v/>
      </c>
      <c r="C4158" t="str">
        <f>IF(D4158="","",IF(COUNTIF($D$2:D4158,D4158)&gt;1,"",SUMIFS(tbl_input[필요수량],tbl_input[집계키_청],D4158)))</f>
        <v/>
      </c>
      <c r="D4158" t="str">
        <f>IFERROR(INDEX(tbl_input[집계키_청],ROW()-1),"")</f>
        <v/>
      </c>
    </row>
    <row r="4159" spans="1:4" x14ac:dyDescent="0.4">
      <c r="A4159" t="str">
        <f t="shared" si="128"/>
        <v/>
      </c>
      <c r="B4159" t="str">
        <f t="shared" si="129"/>
        <v/>
      </c>
      <c r="C4159" t="str">
        <f>IF(D4159="","",IF(COUNTIF($D$2:D4159,D4159)&gt;1,"",SUMIFS(tbl_input[필요수량],tbl_input[집계키_청],D4159)))</f>
        <v/>
      </c>
      <c r="D4159" t="str">
        <f>IFERROR(INDEX(tbl_input[집계키_청],ROW()-1),"")</f>
        <v/>
      </c>
    </row>
    <row r="4160" spans="1:4" x14ac:dyDescent="0.4">
      <c r="A4160" t="str">
        <f t="shared" si="128"/>
        <v/>
      </c>
      <c r="B4160" t="str">
        <f t="shared" si="129"/>
        <v/>
      </c>
      <c r="C4160" t="str">
        <f>IF(D4160="","",IF(COUNTIF($D$2:D4160,D4160)&gt;1,"",SUMIFS(tbl_input[필요수량],tbl_input[집계키_청],D4160)))</f>
        <v/>
      </c>
      <c r="D4160" t="str">
        <f>IFERROR(INDEX(tbl_input[집계키_청],ROW()-1),"")</f>
        <v/>
      </c>
    </row>
    <row r="4161" spans="1:4" x14ac:dyDescent="0.4">
      <c r="A4161" t="str">
        <f t="shared" si="128"/>
        <v/>
      </c>
      <c r="B4161" t="str">
        <f t="shared" si="129"/>
        <v/>
      </c>
      <c r="C4161" t="str">
        <f>IF(D4161="","",IF(COUNTIF($D$2:D4161,D4161)&gt;1,"",SUMIFS(tbl_input[필요수량],tbl_input[집계키_청],D4161)))</f>
        <v/>
      </c>
      <c r="D4161" t="str">
        <f>IFERROR(INDEX(tbl_input[집계키_청],ROW()-1),"")</f>
        <v/>
      </c>
    </row>
    <row r="4162" spans="1:4" x14ac:dyDescent="0.4">
      <c r="A4162" t="str">
        <f t="shared" ref="A4162:A4225" si="130">IF(D4162="","",LEFT(D4162,FIND("♦",D4162)-1))</f>
        <v/>
      </c>
      <c r="B4162" t="str">
        <f t="shared" ref="B4162:B4225" si="131">IF(D4162="","",MID(D4162,FIND("♦",D4162)+1,999))</f>
        <v/>
      </c>
      <c r="C4162" t="str">
        <f>IF(D4162="","",IF(COUNTIF($D$2:D4162,D4162)&gt;1,"",SUMIFS(tbl_input[필요수량],tbl_input[집계키_청],D4162)))</f>
        <v/>
      </c>
      <c r="D4162" t="str">
        <f>IFERROR(INDEX(tbl_input[집계키_청],ROW()-1),"")</f>
        <v/>
      </c>
    </row>
    <row r="4163" spans="1:4" x14ac:dyDescent="0.4">
      <c r="A4163" t="str">
        <f t="shared" si="130"/>
        <v/>
      </c>
      <c r="B4163" t="str">
        <f t="shared" si="131"/>
        <v/>
      </c>
      <c r="C4163" t="str">
        <f>IF(D4163="","",IF(COUNTIF($D$2:D4163,D4163)&gt;1,"",SUMIFS(tbl_input[필요수량],tbl_input[집계키_청],D4163)))</f>
        <v/>
      </c>
      <c r="D4163" t="str">
        <f>IFERROR(INDEX(tbl_input[집계키_청],ROW()-1),"")</f>
        <v/>
      </c>
    </row>
    <row r="4164" spans="1:4" x14ac:dyDescent="0.4">
      <c r="A4164" t="str">
        <f t="shared" si="130"/>
        <v/>
      </c>
      <c r="B4164" t="str">
        <f t="shared" si="131"/>
        <v/>
      </c>
      <c r="C4164" t="str">
        <f>IF(D4164="","",IF(COUNTIF($D$2:D4164,D4164)&gt;1,"",SUMIFS(tbl_input[필요수량],tbl_input[집계키_청],D4164)))</f>
        <v/>
      </c>
      <c r="D4164" t="str">
        <f>IFERROR(INDEX(tbl_input[집계키_청],ROW()-1),"")</f>
        <v/>
      </c>
    </row>
    <row r="4165" spans="1:4" x14ac:dyDescent="0.4">
      <c r="A4165" t="str">
        <f t="shared" si="130"/>
        <v/>
      </c>
      <c r="B4165" t="str">
        <f t="shared" si="131"/>
        <v/>
      </c>
      <c r="C4165" t="str">
        <f>IF(D4165="","",IF(COUNTIF($D$2:D4165,D4165)&gt;1,"",SUMIFS(tbl_input[필요수량],tbl_input[집계키_청],D4165)))</f>
        <v/>
      </c>
      <c r="D4165" t="str">
        <f>IFERROR(INDEX(tbl_input[집계키_청],ROW()-1),"")</f>
        <v/>
      </c>
    </row>
    <row r="4166" spans="1:4" x14ac:dyDescent="0.4">
      <c r="A4166" t="str">
        <f t="shared" si="130"/>
        <v/>
      </c>
      <c r="B4166" t="str">
        <f t="shared" si="131"/>
        <v/>
      </c>
      <c r="C4166" t="str">
        <f>IF(D4166="","",IF(COUNTIF($D$2:D4166,D4166)&gt;1,"",SUMIFS(tbl_input[필요수량],tbl_input[집계키_청],D4166)))</f>
        <v/>
      </c>
      <c r="D4166" t="str">
        <f>IFERROR(INDEX(tbl_input[집계키_청],ROW()-1),"")</f>
        <v/>
      </c>
    </row>
    <row r="4167" spans="1:4" x14ac:dyDescent="0.4">
      <c r="A4167" t="str">
        <f t="shared" si="130"/>
        <v/>
      </c>
      <c r="B4167" t="str">
        <f t="shared" si="131"/>
        <v/>
      </c>
      <c r="C4167" t="str">
        <f>IF(D4167="","",IF(COUNTIF($D$2:D4167,D4167)&gt;1,"",SUMIFS(tbl_input[필요수량],tbl_input[집계키_청],D4167)))</f>
        <v/>
      </c>
      <c r="D4167" t="str">
        <f>IFERROR(INDEX(tbl_input[집계키_청],ROW()-1),"")</f>
        <v/>
      </c>
    </row>
    <row r="4168" spans="1:4" x14ac:dyDescent="0.4">
      <c r="A4168" t="str">
        <f t="shared" si="130"/>
        <v/>
      </c>
      <c r="B4168" t="str">
        <f t="shared" si="131"/>
        <v/>
      </c>
      <c r="C4168" t="str">
        <f>IF(D4168="","",IF(COUNTIF($D$2:D4168,D4168)&gt;1,"",SUMIFS(tbl_input[필요수량],tbl_input[집계키_청],D4168)))</f>
        <v/>
      </c>
      <c r="D4168" t="str">
        <f>IFERROR(INDEX(tbl_input[집계키_청],ROW()-1),"")</f>
        <v/>
      </c>
    </row>
    <row r="4169" spans="1:4" x14ac:dyDescent="0.4">
      <c r="A4169" t="str">
        <f t="shared" si="130"/>
        <v/>
      </c>
      <c r="B4169" t="str">
        <f t="shared" si="131"/>
        <v/>
      </c>
      <c r="C4169" t="str">
        <f>IF(D4169="","",IF(COUNTIF($D$2:D4169,D4169)&gt;1,"",SUMIFS(tbl_input[필요수량],tbl_input[집계키_청],D4169)))</f>
        <v/>
      </c>
      <c r="D4169" t="str">
        <f>IFERROR(INDEX(tbl_input[집계키_청],ROW()-1),"")</f>
        <v/>
      </c>
    </row>
    <row r="4170" spans="1:4" x14ac:dyDescent="0.4">
      <c r="A4170" t="str">
        <f t="shared" si="130"/>
        <v/>
      </c>
      <c r="B4170" t="str">
        <f t="shared" si="131"/>
        <v/>
      </c>
      <c r="C4170" t="str">
        <f>IF(D4170="","",IF(COUNTIF($D$2:D4170,D4170)&gt;1,"",SUMIFS(tbl_input[필요수량],tbl_input[집계키_청],D4170)))</f>
        <v/>
      </c>
      <c r="D4170" t="str">
        <f>IFERROR(INDEX(tbl_input[집계키_청],ROW()-1),"")</f>
        <v/>
      </c>
    </row>
    <row r="4171" spans="1:4" x14ac:dyDescent="0.4">
      <c r="A4171" t="str">
        <f t="shared" si="130"/>
        <v/>
      </c>
      <c r="B4171" t="str">
        <f t="shared" si="131"/>
        <v/>
      </c>
      <c r="C4171" t="str">
        <f>IF(D4171="","",IF(COUNTIF($D$2:D4171,D4171)&gt;1,"",SUMIFS(tbl_input[필요수량],tbl_input[집계키_청],D4171)))</f>
        <v/>
      </c>
      <c r="D4171" t="str">
        <f>IFERROR(INDEX(tbl_input[집계키_청],ROW()-1),"")</f>
        <v/>
      </c>
    </row>
    <row r="4172" spans="1:4" x14ac:dyDescent="0.4">
      <c r="A4172" t="str">
        <f t="shared" si="130"/>
        <v/>
      </c>
      <c r="B4172" t="str">
        <f t="shared" si="131"/>
        <v/>
      </c>
      <c r="C4172" t="str">
        <f>IF(D4172="","",IF(COUNTIF($D$2:D4172,D4172)&gt;1,"",SUMIFS(tbl_input[필요수량],tbl_input[집계키_청],D4172)))</f>
        <v/>
      </c>
      <c r="D4172" t="str">
        <f>IFERROR(INDEX(tbl_input[집계키_청],ROW()-1),"")</f>
        <v/>
      </c>
    </row>
    <row r="4173" spans="1:4" x14ac:dyDescent="0.4">
      <c r="A4173" t="str">
        <f t="shared" si="130"/>
        <v/>
      </c>
      <c r="B4173" t="str">
        <f t="shared" si="131"/>
        <v/>
      </c>
      <c r="C4173" t="str">
        <f>IF(D4173="","",IF(COUNTIF($D$2:D4173,D4173)&gt;1,"",SUMIFS(tbl_input[필요수량],tbl_input[집계키_청],D4173)))</f>
        <v/>
      </c>
      <c r="D4173" t="str">
        <f>IFERROR(INDEX(tbl_input[집계키_청],ROW()-1),"")</f>
        <v/>
      </c>
    </row>
    <row r="4174" spans="1:4" x14ac:dyDescent="0.4">
      <c r="A4174" t="str">
        <f t="shared" si="130"/>
        <v/>
      </c>
      <c r="B4174" t="str">
        <f t="shared" si="131"/>
        <v/>
      </c>
      <c r="C4174" t="str">
        <f>IF(D4174="","",IF(COUNTIF($D$2:D4174,D4174)&gt;1,"",SUMIFS(tbl_input[필요수량],tbl_input[집계키_청],D4174)))</f>
        <v/>
      </c>
      <c r="D4174" t="str">
        <f>IFERROR(INDEX(tbl_input[집계키_청],ROW()-1),"")</f>
        <v/>
      </c>
    </row>
    <row r="4175" spans="1:4" x14ac:dyDescent="0.4">
      <c r="A4175" t="str">
        <f t="shared" si="130"/>
        <v/>
      </c>
      <c r="B4175" t="str">
        <f t="shared" si="131"/>
        <v/>
      </c>
      <c r="C4175" t="str">
        <f>IF(D4175="","",IF(COUNTIF($D$2:D4175,D4175)&gt;1,"",SUMIFS(tbl_input[필요수량],tbl_input[집계키_청],D4175)))</f>
        <v/>
      </c>
      <c r="D4175" t="str">
        <f>IFERROR(INDEX(tbl_input[집계키_청],ROW()-1),"")</f>
        <v/>
      </c>
    </row>
    <row r="4176" spans="1:4" x14ac:dyDescent="0.4">
      <c r="A4176" t="str">
        <f t="shared" si="130"/>
        <v/>
      </c>
      <c r="B4176" t="str">
        <f t="shared" si="131"/>
        <v/>
      </c>
      <c r="C4176" t="str">
        <f>IF(D4176="","",IF(COUNTIF($D$2:D4176,D4176)&gt;1,"",SUMIFS(tbl_input[필요수량],tbl_input[집계키_청],D4176)))</f>
        <v/>
      </c>
      <c r="D4176" t="str">
        <f>IFERROR(INDEX(tbl_input[집계키_청],ROW()-1),"")</f>
        <v/>
      </c>
    </row>
    <row r="4177" spans="1:4" x14ac:dyDescent="0.4">
      <c r="A4177" t="str">
        <f t="shared" si="130"/>
        <v/>
      </c>
      <c r="B4177" t="str">
        <f t="shared" si="131"/>
        <v/>
      </c>
      <c r="C4177" t="str">
        <f>IF(D4177="","",IF(COUNTIF($D$2:D4177,D4177)&gt;1,"",SUMIFS(tbl_input[필요수량],tbl_input[집계키_청],D4177)))</f>
        <v/>
      </c>
      <c r="D4177" t="str">
        <f>IFERROR(INDEX(tbl_input[집계키_청],ROW()-1),"")</f>
        <v/>
      </c>
    </row>
    <row r="4178" spans="1:4" x14ac:dyDescent="0.4">
      <c r="A4178" t="str">
        <f t="shared" si="130"/>
        <v/>
      </c>
      <c r="B4178" t="str">
        <f t="shared" si="131"/>
        <v/>
      </c>
      <c r="C4178" t="str">
        <f>IF(D4178="","",IF(COUNTIF($D$2:D4178,D4178)&gt;1,"",SUMIFS(tbl_input[필요수량],tbl_input[집계키_청],D4178)))</f>
        <v/>
      </c>
      <c r="D4178" t="str">
        <f>IFERROR(INDEX(tbl_input[집계키_청],ROW()-1),"")</f>
        <v/>
      </c>
    </row>
    <row r="4179" spans="1:4" x14ac:dyDescent="0.4">
      <c r="A4179" t="str">
        <f t="shared" si="130"/>
        <v/>
      </c>
      <c r="B4179" t="str">
        <f t="shared" si="131"/>
        <v/>
      </c>
      <c r="C4179" t="str">
        <f>IF(D4179="","",IF(COUNTIF($D$2:D4179,D4179)&gt;1,"",SUMIFS(tbl_input[필요수량],tbl_input[집계키_청],D4179)))</f>
        <v/>
      </c>
      <c r="D4179" t="str">
        <f>IFERROR(INDEX(tbl_input[집계키_청],ROW()-1),"")</f>
        <v/>
      </c>
    </row>
    <row r="4180" spans="1:4" x14ac:dyDescent="0.4">
      <c r="A4180" t="str">
        <f t="shared" si="130"/>
        <v/>
      </c>
      <c r="B4180" t="str">
        <f t="shared" si="131"/>
        <v/>
      </c>
      <c r="C4180" t="str">
        <f>IF(D4180="","",IF(COUNTIF($D$2:D4180,D4180)&gt;1,"",SUMIFS(tbl_input[필요수량],tbl_input[집계키_청],D4180)))</f>
        <v/>
      </c>
      <c r="D4180" t="str">
        <f>IFERROR(INDEX(tbl_input[집계키_청],ROW()-1),"")</f>
        <v/>
      </c>
    </row>
    <row r="4181" spans="1:4" x14ac:dyDescent="0.4">
      <c r="A4181" t="str">
        <f t="shared" si="130"/>
        <v/>
      </c>
      <c r="B4181" t="str">
        <f t="shared" si="131"/>
        <v/>
      </c>
      <c r="C4181" t="str">
        <f>IF(D4181="","",IF(COUNTIF($D$2:D4181,D4181)&gt;1,"",SUMIFS(tbl_input[필요수량],tbl_input[집계키_청],D4181)))</f>
        <v/>
      </c>
      <c r="D4181" t="str">
        <f>IFERROR(INDEX(tbl_input[집계키_청],ROW()-1),"")</f>
        <v/>
      </c>
    </row>
    <row r="4182" spans="1:4" x14ac:dyDescent="0.4">
      <c r="A4182" t="str">
        <f t="shared" si="130"/>
        <v/>
      </c>
      <c r="B4182" t="str">
        <f t="shared" si="131"/>
        <v/>
      </c>
      <c r="C4182" t="str">
        <f>IF(D4182="","",IF(COUNTIF($D$2:D4182,D4182)&gt;1,"",SUMIFS(tbl_input[필요수량],tbl_input[집계키_청],D4182)))</f>
        <v/>
      </c>
      <c r="D4182" t="str">
        <f>IFERROR(INDEX(tbl_input[집계키_청],ROW()-1),"")</f>
        <v/>
      </c>
    </row>
    <row r="4183" spans="1:4" x14ac:dyDescent="0.4">
      <c r="A4183" t="str">
        <f t="shared" si="130"/>
        <v/>
      </c>
      <c r="B4183" t="str">
        <f t="shared" si="131"/>
        <v/>
      </c>
      <c r="C4183" t="str">
        <f>IF(D4183="","",IF(COUNTIF($D$2:D4183,D4183)&gt;1,"",SUMIFS(tbl_input[필요수량],tbl_input[집계키_청],D4183)))</f>
        <v/>
      </c>
      <c r="D4183" t="str">
        <f>IFERROR(INDEX(tbl_input[집계키_청],ROW()-1),"")</f>
        <v/>
      </c>
    </row>
    <row r="4184" spans="1:4" x14ac:dyDescent="0.4">
      <c r="A4184" t="str">
        <f t="shared" si="130"/>
        <v/>
      </c>
      <c r="B4184" t="str">
        <f t="shared" si="131"/>
        <v/>
      </c>
      <c r="C4184" t="str">
        <f>IF(D4184="","",IF(COUNTIF($D$2:D4184,D4184)&gt;1,"",SUMIFS(tbl_input[필요수량],tbl_input[집계키_청],D4184)))</f>
        <v/>
      </c>
      <c r="D4184" t="str">
        <f>IFERROR(INDEX(tbl_input[집계키_청],ROW()-1),"")</f>
        <v/>
      </c>
    </row>
    <row r="4185" spans="1:4" x14ac:dyDescent="0.4">
      <c r="A4185" t="str">
        <f t="shared" si="130"/>
        <v/>
      </c>
      <c r="B4185" t="str">
        <f t="shared" si="131"/>
        <v/>
      </c>
      <c r="C4185" t="str">
        <f>IF(D4185="","",IF(COUNTIF($D$2:D4185,D4185)&gt;1,"",SUMIFS(tbl_input[필요수량],tbl_input[집계키_청],D4185)))</f>
        <v/>
      </c>
      <c r="D4185" t="str">
        <f>IFERROR(INDEX(tbl_input[집계키_청],ROW()-1),"")</f>
        <v/>
      </c>
    </row>
    <row r="4186" spans="1:4" x14ac:dyDescent="0.4">
      <c r="A4186" t="str">
        <f t="shared" si="130"/>
        <v/>
      </c>
      <c r="B4186" t="str">
        <f t="shared" si="131"/>
        <v/>
      </c>
      <c r="C4186" t="str">
        <f>IF(D4186="","",IF(COUNTIF($D$2:D4186,D4186)&gt;1,"",SUMIFS(tbl_input[필요수량],tbl_input[집계키_청],D4186)))</f>
        <v/>
      </c>
      <c r="D4186" t="str">
        <f>IFERROR(INDEX(tbl_input[집계키_청],ROW()-1),"")</f>
        <v/>
      </c>
    </row>
    <row r="4187" spans="1:4" x14ac:dyDescent="0.4">
      <c r="A4187" t="str">
        <f t="shared" si="130"/>
        <v/>
      </c>
      <c r="B4187" t="str">
        <f t="shared" si="131"/>
        <v/>
      </c>
      <c r="C4187" t="str">
        <f>IF(D4187="","",IF(COUNTIF($D$2:D4187,D4187)&gt;1,"",SUMIFS(tbl_input[필요수량],tbl_input[집계키_청],D4187)))</f>
        <v/>
      </c>
      <c r="D4187" t="str">
        <f>IFERROR(INDEX(tbl_input[집계키_청],ROW()-1),"")</f>
        <v/>
      </c>
    </row>
    <row r="4188" spans="1:4" x14ac:dyDescent="0.4">
      <c r="A4188" t="str">
        <f t="shared" si="130"/>
        <v/>
      </c>
      <c r="B4188" t="str">
        <f t="shared" si="131"/>
        <v/>
      </c>
      <c r="C4188" t="str">
        <f>IF(D4188="","",IF(COUNTIF($D$2:D4188,D4188)&gt;1,"",SUMIFS(tbl_input[필요수량],tbl_input[집계키_청],D4188)))</f>
        <v/>
      </c>
      <c r="D4188" t="str">
        <f>IFERROR(INDEX(tbl_input[집계키_청],ROW()-1),"")</f>
        <v/>
      </c>
    </row>
    <row r="4189" spans="1:4" x14ac:dyDescent="0.4">
      <c r="A4189" t="str">
        <f t="shared" si="130"/>
        <v/>
      </c>
      <c r="B4189" t="str">
        <f t="shared" si="131"/>
        <v/>
      </c>
      <c r="C4189" t="str">
        <f>IF(D4189="","",IF(COUNTIF($D$2:D4189,D4189)&gt;1,"",SUMIFS(tbl_input[필요수량],tbl_input[집계키_청],D4189)))</f>
        <v/>
      </c>
      <c r="D4189" t="str">
        <f>IFERROR(INDEX(tbl_input[집계키_청],ROW()-1),"")</f>
        <v/>
      </c>
    </row>
    <row r="4190" spans="1:4" x14ac:dyDescent="0.4">
      <c r="A4190" t="str">
        <f t="shared" si="130"/>
        <v/>
      </c>
      <c r="B4190" t="str">
        <f t="shared" si="131"/>
        <v/>
      </c>
      <c r="C4190" t="str">
        <f>IF(D4190="","",IF(COUNTIF($D$2:D4190,D4190)&gt;1,"",SUMIFS(tbl_input[필요수량],tbl_input[집계키_청],D4190)))</f>
        <v/>
      </c>
      <c r="D4190" t="str">
        <f>IFERROR(INDEX(tbl_input[집계키_청],ROW()-1),"")</f>
        <v/>
      </c>
    </row>
    <row r="4191" spans="1:4" x14ac:dyDescent="0.4">
      <c r="A4191" t="str">
        <f t="shared" si="130"/>
        <v/>
      </c>
      <c r="B4191" t="str">
        <f t="shared" si="131"/>
        <v/>
      </c>
      <c r="C4191" t="str">
        <f>IF(D4191="","",IF(COUNTIF($D$2:D4191,D4191)&gt;1,"",SUMIFS(tbl_input[필요수량],tbl_input[집계키_청],D4191)))</f>
        <v/>
      </c>
      <c r="D4191" t="str">
        <f>IFERROR(INDEX(tbl_input[집계키_청],ROW()-1),"")</f>
        <v/>
      </c>
    </row>
    <row r="4192" spans="1:4" x14ac:dyDescent="0.4">
      <c r="A4192" t="str">
        <f t="shared" si="130"/>
        <v/>
      </c>
      <c r="B4192" t="str">
        <f t="shared" si="131"/>
        <v/>
      </c>
      <c r="C4192" t="str">
        <f>IF(D4192="","",IF(COUNTIF($D$2:D4192,D4192)&gt;1,"",SUMIFS(tbl_input[필요수량],tbl_input[집계키_청],D4192)))</f>
        <v/>
      </c>
      <c r="D4192" t="str">
        <f>IFERROR(INDEX(tbl_input[집계키_청],ROW()-1),"")</f>
        <v/>
      </c>
    </row>
    <row r="4193" spans="1:4" x14ac:dyDescent="0.4">
      <c r="A4193" t="str">
        <f t="shared" si="130"/>
        <v/>
      </c>
      <c r="B4193" t="str">
        <f t="shared" si="131"/>
        <v/>
      </c>
      <c r="C4193" t="str">
        <f>IF(D4193="","",IF(COUNTIF($D$2:D4193,D4193)&gt;1,"",SUMIFS(tbl_input[필요수량],tbl_input[집계키_청],D4193)))</f>
        <v/>
      </c>
      <c r="D4193" t="str">
        <f>IFERROR(INDEX(tbl_input[집계키_청],ROW()-1),"")</f>
        <v/>
      </c>
    </row>
    <row r="4194" spans="1:4" x14ac:dyDescent="0.4">
      <c r="A4194" t="str">
        <f t="shared" si="130"/>
        <v/>
      </c>
      <c r="B4194" t="str">
        <f t="shared" si="131"/>
        <v/>
      </c>
      <c r="C4194" t="str">
        <f>IF(D4194="","",IF(COUNTIF($D$2:D4194,D4194)&gt;1,"",SUMIFS(tbl_input[필요수량],tbl_input[집계키_청],D4194)))</f>
        <v/>
      </c>
      <c r="D4194" t="str">
        <f>IFERROR(INDEX(tbl_input[집계키_청],ROW()-1),"")</f>
        <v/>
      </c>
    </row>
    <row r="4195" spans="1:4" x14ac:dyDescent="0.4">
      <c r="A4195" t="str">
        <f t="shared" si="130"/>
        <v/>
      </c>
      <c r="B4195" t="str">
        <f t="shared" si="131"/>
        <v/>
      </c>
      <c r="C4195" t="str">
        <f>IF(D4195="","",IF(COUNTIF($D$2:D4195,D4195)&gt;1,"",SUMIFS(tbl_input[필요수량],tbl_input[집계키_청],D4195)))</f>
        <v/>
      </c>
      <c r="D4195" t="str">
        <f>IFERROR(INDEX(tbl_input[집계키_청],ROW()-1),"")</f>
        <v/>
      </c>
    </row>
    <row r="4196" spans="1:4" x14ac:dyDescent="0.4">
      <c r="A4196" t="str">
        <f t="shared" si="130"/>
        <v/>
      </c>
      <c r="B4196" t="str">
        <f t="shared" si="131"/>
        <v/>
      </c>
      <c r="C4196" t="str">
        <f>IF(D4196="","",IF(COUNTIF($D$2:D4196,D4196)&gt;1,"",SUMIFS(tbl_input[필요수량],tbl_input[집계키_청],D4196)))</f>
        <v/>
      </c>
      <c r="D4196" t="str">
        <f>IFERROR(INDEX(tbl_input[집계키_청],ROW()-1),"")</f>
        <v/>
      </c>
    </row>
    <row r="4197" spans="1:4" x14ac:dyDescent="0.4">
      <c r="A4197" t="str">
        <f t="shared" si="130"/>
        <v/>
      </c>
      <c r="B4197" t="str">
        <f t="shared" si="131"/>
        <v/>
      </c>
      <c r="C4197" t="str">
        <f>IF(D4197="","",IF(COUNTIF($D$2:D4197,D4197)&gt;1,"",SUMIFS(tbl_input[필요수량],tbl_input[집계키_청],D4197)))</f>
        <v/>
      </c>
      <c r="D4197" t="str">
        <f>IFERROR(INDEX(tbl_input[집계키_청],ROW()-1),"")</f>
        <v/>
      </c>
    </row>
    <row r="4198" spans="1:4" x14ac:dyDescent="0.4">
      <c r="A4198" t="str">
        <f t="shared" si="130"/>
        <v/>
      </c>
      <c r="B4198" t="str">
        <f t="shared" si="131"/>
        <v/>
      </c>
      <c r="C4198" t="str">
        <f>IF(D4198="","",IF(COUNTIF($D$2:D4198,D4198)&gt;1,"",SUMIFS(tbl_input[필요수량],tbl_input[집계키_청],D4198)))</f>
        <v/>
      </c>
      <c r="D4198" t="str">
        <f>IFERROR(INDEX(tbl_input[집계키_청],ROW()-1),"")</f>
        <v/>
      </c>
    </row>
    <row r="4199" spans="1:4" x14ac:dyDescent="0.4">
      <c r="A4199" t="str">
        <f t="shared" si="130"/>
        <v/>
      </c>
      <c r="B4199" t="str">
        <f t="shared" si="131"/>
        <v/>
      </c>
      <c r="C4199" t="str">
        <f>IF(D4199="","",IF(COUNTIF($D$2:D4199,D4199)&gt;1,"",SUMIFS(tbl_input[필요수량],tbl_input[집계키_청],D4199)))</f>
        <v/>
      </c>
      <c r="D4199" t="str">
        <f>IFERROR(INDEX(tbl_input[집계키_청],ROW()-1),"")</f>
        <v/>
      </c>
    </row>
    <row r="4200" spans="1:4" x14ac:dyDescent="0.4">
      <c r="A4200" t="str">
        <f t="shared" si="130"/>
        <v/>
      </c>
      <c r="B4200" t="str">
        <f t="shared" si="131"/>
        <v/>
      </c>
      <c r="C4200" t="str">
        <f>IF(D4200="","",IF(COUNTIF($D$2:D4200,D4200)&gt;1,"",SUMIFS(tbl_input[필요수량],tbl_input[집계키_청],D4200)))</f>
        <v/>
      </c>
      <c r="D4200" t="str">
        <f>IFERROR(INDEX(tbl_input[집계키_청],ROW()-1),"")</f>
        <v/>
      </c>
    </row>
    <row r="4201" spans="1:4" x14ac:dyDescent="0.4">
      <c r="A4201" t="str">
        <f t="shared" si="130"/>
        <v/>
      </c>
      <c r="B4201" t="str">
        <f t="shared" si="131"/>
        <v/>
      </c>
      <c r="C4201" t="str">
        <f>IF(D4201="","",IF(COUNTIF($D$2:D4201,D4201)&gt;1,"",SUMIFS(tbl_input[필요수량],tbl_input[집계키_청],D4201)))</f>
        <v/>
      </c>
      <c r="D4201" t="str">
        <f>IFERROR(INDEX(tbl_input[집계키_청],ROW()-1),"")</f>
        <v/>
      </c>
    </row>
    <row r="4202" spans="1:4" x14ac:dyDescent="0.4">
      <c r="A4202" t="str">
        <f t="shared" si="130"/>
        <v/>
      </c>
      <c r="B4202" t="str">
        <f t="shared" si="131"/>
        <v/>
      </c>
      <c r="C4202" t="str">
        <f>IF(D4202="","",IF(COUNTIF($D$2:D4202,D4202)&gt;1,"",SUMIFS(tbl_input[필요수량],tbl_input[집계키_청],D4202)))</f>
        <v/>
      </c>
      <c r="D4202" t="str">
        <f>IFERROR(INDEX(tbl_input[집계키_청],ROW()-1),"")</f>
        <v/>
      </c>
    </row>
    <row r="4203" spans="1:4" x14ac:dyDescent="0.4">
      <c r="A4203" t="str">
        <f t="shared" si="130"/>
        <v/>
      </c>
      <c r="B4203" t="str">
        <f t="shared" si="131"/>
        <v/>
      </c>
      <c r="C4203" t="str">
        <f>IF(D4203="","",IF(COUNTIF($D$2:D4203,D4203)&gt;1,"",SUMIFS(tbl_input[필요수량],tbl_input[집계키_청],D4203)))</f>
        <v/>
      </c>
      <c r="D4203" t="str">
        <f>IFERROR(INDEX(tbl_input[집계키_청],ROW()-1),"")</f>
        <v/>
      </c>
    </row>
    <row r="4204" spans="1:4" x14ac:dyDescent="0.4">
      <c r="A4204" t="str">
        <f t="shared" si="130"/>
        <v/>
      </c>
      <c r="B4204" t="str">
        <f t="shared" si="131"/>
        <v/>
      </c>
      <c r="C4204" t="str">
        <f>IF(D4204="","",IF(COUNTIF($D$2:D4204,D4204)&gt;1,"",SUMIFS(tbl_input[필요수량],tbl_input[집계키_청],D4204)))</f>
        <v/>
      </c>
      <c r="D4204" t="str">
        <f>IFERROR(INDEX(tbl_input[집계키_청],ROW()-1),"")</f>
        <v/>
      </c>
    </row>
    <row r="4205" spans="1:4" x14ac:dyDescent="0.4">
      <c r="A4205" t="str">
        <f t="shared" si="130"/>
        <v/>
      </c>
      <c r="B4205" t="str">
        <f t="shared" si="131"/>
        <v/>
      </c>
      <c r="C4205" t="str">
        <f>IF(D4205="","",IF(COUNTIF($D$2:D4205,D4205)&gt;1,"",SUMIFS(tbl_input[필요수량],tbl_input[집계키_청],D4205)))</f>
        <v/>
      </c>
      <c r="D4205" t="str">
        <f>IFERROR(INDEX(tbl_input[집계키_청],ROW()-1),"")</f>
        <v/>
      </c>
    </row>
    <row r="4206" spans="1:4" x14ac:dyDescent="0.4">
      <c r="A4206" t="str">
        <f t="shared" si="130"/>
        <v/>
      </c>
      <c r="B4206" t="str">
        <f t="shared" si="131"/>
        <v/>
      </c>
      <c r="C4206" t="str">
        <f>IF(D4206="","",IF(COUNTIF($D$2:D4206,D4206)&gt;1,"",SUMIFS(tbl_input[필요수량],tbl_input[집계키_청],D4206)))</f>
        <v/>
      </c>
      <c r="D4206" t="str">
        <f>IFERROR(INDEX(tbl_input[집계키_청],ROW()-1),"")</f>
        <v/>
      </c>
    </row>
    <row r="4207" spans="1:4" x14ac:dyDescent="0.4">
      <c r="A4207" t="str">
        <f t="shared" si="130"/>
        <v/>
      </c>
      <c r="B4207" t="str">
        <f t="shared" si="131"/>
        <v/>
      </c>
      <c r="C4207" t="str">
        <f>IF(D4207="","",IF(COUNTIF($D$2:D4207,D4207)&gt;1,"",SUMIFS(tbl_input[필요수량],tbl_input[집계키_청],D4207)))</f>
        <v/>
      </c>
      <c r="D4207" t="str">
        <f>IFERROR(INDEX(tbl_input[집계키_청],ROW()-1),"")</f>
        <v/>
      </c>
    </row>
    <row r="4208" spans="1:4" x14ac:dyDescent="0.4">
      <c r="A4208" t="str">
        <f t="shared" si="130"/>
        <v/>
      </c>
      <c r="B4208" t="str">
        <f t="shared" si="131"/>
        <v/>
      </c>
      <c r="C4208" t="str">
        <f>IF(D4208="","",IF(COUNTIF($D$2:D4208,D4208)&gt;1,"",SUMIFS(tbl_input[필요수량],tbl_input[집계키_청],D4208)))</f>
        <v/>
      </c>
      <c r="D4208" t="str">
        <f>IFERROR(INDEX(tbl_input[집계키_청],ROW()-1),"")</f>
        <v/>
      </c>
    </row>
    <row r="4209" spans="1:4" x14ac:dyDescent="0.4">
      <c r="A4209" t="str">
        <f t="shared" si="130"/>
        <v/>
      </c>
      <c r="B4209" t="str">
        <f t="shared" si="131"/>
        <v/>
      </c>
      <c r="C4209" t="str">
        <f>IF(D4209="","",IF(COUNTIF($D$2:D4209,D4209)&gt;1,"",SUMIFS(tbl_input[필요수량],tbl_input[집계키_청],D4209)))</f>
        <v/>
      </c>
      <c r="D4209" t="str">
        <f>IFERROR(INDEX(tbl_input[집계키_청],ROW()-1),"")</f>
        <v/>
      </c>
    </row>
    <row r="4210" spans="1:4" x14ac:dyDescent="0.4">
      <c r="A4210" t="str">
        <f t="shared" si="130"/>
        <v/>
      </c>
      <c r="B4210" t="str">
        <f t="shared" si="131"/>
        <v/>
      </c>
      <c r="C4210" t="str">
        <f>IF(D4210="","",IF(COUNTIF($D$2:D4210,D4210)&gt;1,"",SUMIFS(tbl_input[필요수량],tbl_input[집계키_청],D4210)))</f>
        <v/>
      </c>
      <c r="D4210" t="str">
        <f>IFERROR(INDEX(tbl_input[집계키_청],ROW()-1),"")</f>
        <v/>
      </c>
    </row>
    <row r="4211" spans="1:4" x14ac:dyDescent="0.4">
      <c r="A4211" t="str">
        <f t="shared" si="130"/>
        <v/>
      </c>
      <c r="B4211" t="str">
        <f t="shared" si="131"/>
        <v/>
      </c>
      <c r="C4211" t="str">
        <f>IF(D4211="","",IF(COUNTIF($D$2:D4211,D4211)&gt;1,"",SUMIFS(tbl_input[필요수량],tbl_input[집계키_청],D4211)))</f>
        <v/>
      </c>
      <c r="D4211" t="str">
        <f>IFERROR(INDEX(tbl_input[집계키_청],ROW()-1),"")</f>
        <v/>
      </c>
    </row>
    <row r="4212" spans="1:4" x14ac:dyDescent="0.4">
      <c r="A4212" t="str">
        <f t="shared" si="130"/>
        <v/>
      </c>
      <c r="B4212" t="str">
        <f t="shared" si="131"/>
        <v/>
      </c>
      <c r="C4212" t="str">
        <f>IF(D4212="","",IF(COUNTIF($D$2:D4212,D4212)&gt;1,"",SUMIFS(tbl_input[필요수량],tbl_input[집계키_청],D4212)))</f>
        <v/>
      </c>
      <c r="D4212" t="str">
        <f>IFERROR(INDEX(tbl_input[집계키_청],ROW()-1),"")</f>
        <v/>
      </c>
    </row>
    <row r="4213" spans="1:4" x14ac:dyDescent="0.4">
      <c r="A4213" t="str">
        <f t="shared" si="130"/>
        <v/>
      </c>
      <c r="B4213" t="str">
        <f t="shared" si="131"/>
        <v/>
      </c>
      <c r="C4213" t="str">
        <f>IF(D4213="","",IF(COUNTIF($D$2:D4213,D4213)&gt;1,"",SUMIFS(tbl_input[필요수량],tbl_input[집계키_청],D4213)))</f>
        <v/>
      </c>
      <c r="D4213" t="str">
        <f>IFERROR(INDEX(tbl_input[집계키_청],ROW()-1),"")</f>
        <v/>
      </c>
    </row>
    <row r="4214" spans="1:4" x14ac:dyDescent="0.4">
      <c r="A4214" t="str">
        <f t="shared" si="130"/>
        <v/>
      </c>
      <c r="B4214" t="str">
        <f t="shared" si="131"/>
        <v/>
      </c>
      <c r="C4214" t="str">
        <f>IF(D4214="","",IF(COUNTIF($D$2:D4214,D4214)&gt;1,"",SUMIFS(tbl_input[필요수량],tbl_input[집계키_청],D4214)))</f>
        <v/>
      </c>
      <c r="D4214" t="str">
        <f>IFERROR(INDEX(tbl_input[집계키_청],ROW()-1),"")</f>
        <v/>
      </c>
    </row>
    <row r="4215" spans="1:4" x14ac:dyDescent="0.4">
      <c r="A4215" t="str">
        <f t="shared" si="130"/>
        <v/>
      </c>
      <c r="B4215" t="str">
        <f t="shared" si="131"/>
        <v/>
      </c>
      <c r="C4215" t="str">
        <f>IF(D4215="","",IF(COUNTIF($D$2:D4215,D4215)&gt;1,"",SUMIFS(tbl_input[필요수량],tbl_input[집계키_청],D4215)))</f>
        <v/>
      </c>
      <c r="D4215" t="str">
        <f>IFERROR(INDEX(tbl_input[집계키_청],ROW()-1),"")</f>
        <v/>
      </c>
    </row>
    <row r="4216" spans="1:4" x14ac:dyDescent="0.4">
      <c r="A4216" t="str">
        <f t="shared" si="130"/>
        <v/>
      </c>
      <c r="B4216" t="str">
        <f t="shared" si="131"/>
        <v/>
      </c>
      <c r="C4216" t="str">
        <f>IF(D4216="","",IF(COUNTIF($D$2:D4216,D4216)&gt;1,"",SUMIFS(tbl_input[필요수량],tbl_input[집계키_청],D4216)))</f>
        <v/>
      </c>
      <c r="D4216" t="str">
        <f>IFERROR(INDEX(tbl_input[집계키_청],ROW()-1),"")</f>
        <v/>
      </c>
    </row>
    <row r="4217" spans="1:4" x14ac:dyDescent="0.4">
      <c r="A4217" t="str">
        <f t="shared" si="130"/>
        <v/>
      </c>
      <c r="B4217" t="str">
        <f t="shared" si="131"/>
        <v/>
      </c>
      <c r="C4217" t="str">
        <f>IF(D4217="","",IF(COUNTIF($D$2:D4217,D4217)&gt;1,"",SUMIFS(tbl_input[필요수량],tbl_input[집계키_청],D4217)))</f>
        <v/>
      </c>
      <c r="D4217" t="str">
        <f>IFERROR(INDEX(tbl_input[집계키_청],ROW()-1),"")</f>
        <v/>
      </c>
    </row>
    <row r="4218" spans="1:4" x14ac:dyDescent="0.4">
      <c r="A4218" t="str">
        <f t="shared" si="130"/>
        <v/>
      </c>
      <c r="B4218" t="str">
        <f t="shared" si="131"/>
        <v/>
      </c>
      <c r="C4218" t="str">
        <f>IF(D4218="","",IF(COUNTIF($D$2:D4218,D4218)&gt;1,"",SUMIFS(tbl_input[필요수량],tbl_input[집계키_청],D4218)))</f>
        <v/>
      </c>
      <c r="D4218" t="str">
        <f>IFERROR(INDEX(tbl_input[집계키_청],ROW()-1),"")</f>
        <v/>
      </c>
    </row>
    <row r="4219" spans="1:4" x14ac:dyDescent="0.4">
      <c r="A4219" t="str">
        <f t="shared" si="130"/>
        <v/>
      </c>
      <c r="B4219" t="str">
        <f t="shared" si="131"/>
        <v/>
      </c>
      <c r="C4219" t="str">
        <f>IF(D4219="","",IF(COUNTIF($D$2:D4219,D4219)&gt;1,"",SUMIFS(tbl_input[필요수량],tbl_input[집계키_청],D4219)))</f>
        <v/>
      </c>
      <c r="D4219" t="str">
        <f>IFERROR(INDEX(tbl_input[집계키_청],ROW()-1),"")</f>
        <v/>
      </c>
    </row>
    <row r="4220" spans="1:4" x14ac:dyDescent="0.4">
      <c r="A4220" t="str">
        <f t="shared" si="130"/>
        <v/>
      </c>
      <c r="B4220" t="str">
        <f t="shared" si="131"/>
        <v/>
      </c>
      <c r="C4220" t="str">
        <f>IF(D4220="","",IF(COUNTIF($D$2:D4220,D4220)&gt;1,"",SUMIFS(tbl_input[필요수량],tbl_input[집계키_청],D4220)))</f>
        <v/>
      </c>
      <c r="D4220" t="str">
        <f>IFERROR(INDEX(tbl_input[집계키_청],ROW()-1),"")</f>
        <v/>
      </c>
    </row>
    <row r="4221" spans="1:4" x14ac:dyDescent="0.4">
      <c r="A4221" t="str">
        <f t="shared" si="130"/>
        <v/>
      </c>
      <c r="B4221" t="str">
        <f t="shared" si="131"/>
        <v/>
      </c>
      <c r="C4221" t="str">
        <f>IF(D4221="","",IF(COUNTIF($D$2:D4221,D4221)&gt;1,"",SUMIFS(tbl_input[필요수량],tbl_input[집계키_청],D4221)))</f>
        <v/>
      </c>
      <c r="D4221" t="str">
        <f>IFERROR(INDEX(tbl_input[집계키_청],ROW()-1),"")</f>
        <v/>
      </c>
    </row>
    <row r="4222" spans="1:4" x14ac:dyDescent="0.4">
      <c r="A4222" t="str">
        <f t="shared" si="130"/>
        <v/>
      </c>
      <c r="B4222" t="str">
        <f t="shared" si="131"/>
        <v/>
      </c>
      <c r="C4222" t="str">
        <f>IF(D4222="","",IF(COUNTIF($D$2:D4222,D4222)&gt;1,"",SUMIFS(tbl_input[필요수량],tbl_input[집계키_청],D4222)))</f>
        <v/>
      </c>
      <c r="D4222" t="str">
        <f>IFERROR(INDEX(tbl_input[집계키_청],ROW()-1),"")</f>
        <v/>
      </c>
    </row>
    <row r="4223" spans="1:4" x14ac:dyDescent="0.4">
      <c r="A4223" t="str">
        <f t="shared" si="130"/>
        <v/>
      </c>
      <c r="B4223" t="str">
        <f t="shared" si="131"/>
        <v/>
      </c>
      <c r="C4223" t="str">
        <f>IF(D4223="","",IF(COUNTIF($D$2:D4223,D4223)&gt;1,"",SUMIFS(tbl_input[필요수량],tbl_input[집계키_청],D4223)))</f>
        <v/>
      </c>
      <c r="D4223" t="str">
        <f>IFERROR(INDEX(tbl_input[집계키_청],ROW()-1),"")</f>
        <v/>
      </c>
    </row>
    <row r="4224" spans="1:4" x14ac:dyDescent="0.4">
      <c r="A4224" t="str">
        <f t="shared" si="130"/>
        <v/>
      </c>
      <c r="B4224" t="str">
        <f t="shared" si="131"/>
        <v/>
      </c>
      <c r="C4224" t="str">
        <f>IF(D4224="","",IF(COUNTIF($D$2:D4224,D4224)&gt;1,"",SUMIFS(tbl_input[필요수량],tbl_input[집계키_청],D4224)))</f>
        <v/>
      </c>
      <c r="D4224" t="str">
        <f>IFERROR(INDEX(tbl_input[집계키_청],ROW()-1),"")</f>
        <v/>
      </c>
    </row>
    <row r="4225" spans="1:4" x14ac:dyDescent="0.4">
      <c r="A4225" t="str">
        <f t="shared" si="130"/>
        <v/>
      </c>
      <c r="B4225" t="str">
        <f t="shared" si="131"/>
        <v/>
      </c>
      <c r="C4225" t="str">
        <f>IF(D4225="","",IF(COUNTIF($D$2:D4225,D4225)&gt;1,"",SUMIFS(tbl_input[필요수량],tbl_input[집계키_청],D4225)))</f>
        <v/>
      </c>
      <c r="D4225" t="str">
        <f>IFERROR(INDEX(tbl_input[집계키_청],ROW()-1),"")</f>
        <v/>
      </c>
    </row>
    <row r="4226" spans="1:4" x14ac:dyDescent="0.4">
      <c r="A4226" t="str">
        <f t="shared" ref="A4226:A4289" si="132">IF(D4226="","",LEFT(D4226,FIND("♦",D4226)-1))</f>
        <v/>
      </c>
      <c r="B4226" t="str">
        <f t="shared" ref="B4226:B4289" si="133">IF(D4226="","",MID(D4226,FIND("♦",D4226)+1,999))</f>
        <v/>
      </c>
      <c r="C4226" t="str">
        <f>IF(D4226="","",IF(COUNTIF($D$2:D4226,D4226)&gt;1,"",SUMIFS(tbl_input[필요수량],tbl_input[집계키_청],D4226)))</f>
        <v/>
      </c>
      <c r="D4226" t="str">
        <f>IFERROR(INDEX(tbl_input[집계키_청],ROW()-1),"")</f>
        <v/>
      </c>
    </row>
    <row r="4227" spans="1:4" x14ac:dyDescent="0.4">
      <c r="A4227" t="str">
        <f t="shared" si="132"/>
        <v/>
      </c>
      <c r="B4227" t="str">
        <f t="shared" si="133"/>
        <v/>
      </c>
      <c r="C4227" t="str">
        <f>IF(D4227="","",IF(COUNTIF($D$2:D4227,D4227)&gt;1,"",SUMIFS(tbl_input[필요수량],tbl_input[집계키_청],D4227)))</f>
        <v/>
      </c>
      <c r="D4227" t="str">
        <f>IFERROR(INDEX(tbl_input[집계키_청],ROW()-1),"")</f>
        <v/>
      </c>
    </row>
    <row r="4228" spans="1:4" x14ac:dyDescent="0.4">
      <c r="A4228" t="str">
        <f t="shared" si="132"/>
        <v/>
      </c>
      <c r="B4228" t="str">
        <f t="shared" si="133"/>
        <v/>
      </c>
      <c r="C4228" t="str">
        <f>IF(D4228="","",IF(COUNTIF($D$2:D4228,D4228)&gt;1,"",SUMIFS(tbl_input[필요수량],tbl_input[집계키_청],D4228)))</f>
        <v/>
      </c>
      <c r="D4228" t="str">
        <f>IFERROR(INDEX(tbl_input[집계키_청],ROW()-1),"")</f>
        <v/>
      </c>
    </row>
    <row r="4229" spans="1:4" x14ac:dyDescent="0.4">
      <c r="A4229" t="str">
        <f t="shared" si="132"/>
        <v/>
      </c>
      <c r="B4229" t="str">
        <f t="shared" si="133"/>
        <v/>
      </c>
      <c r="C4229" t="str">
        <f>IF(D4229="","",IF(COUNTIF($D$2:D4229,D4229)&gt;1,"",SUMIFS(tbl_input[필요수량],tbl_input[집계키_청],D4229)))</f>
        <v/>
      </c>
      <c r="D4229" t="str">
        <f>IFERROR(INDEX(tbl_input[집계키_청],ROW()-1),"")</f>
        <v/>
      </c>
    </row>
    <row r="4230" spans="1:4" x14ac:dyDescent="0.4">
      <c r="A4230" t="str">
        <f t="shared" si="132"/>
        <v/>
      </c>
      <c r="B4230" t="str">
        <f t="shared" si="133"/>
        <v/>
      </c>
      <c r="C4230" t="str">
        <f>IF(D4230="","",IF(COUNTIF($D$2:D4230,D4230)&gt;1,"",SUMIFS(tbl_input[필요수량],tbl_input[집계키_청],D4230)))</f>
        <v/>
      </c>
      <c r="D4230" t="str">
        <f>IFERROR(INDEX(tbl_input[집계키_청],ROW()-1),"")</f>
        <v/>
      </c>
    </row>
    <row r="4231" spans="1:4" x14ac:dyDescent="0.4">
      <c r="A4231" t="str">
        <f t="shared" si="132"/>
        <v/>
      </c>
      <c r="B4231" t="str">
        <f t="shared" si="133"/>
        <v/>
      </c>
      <c r="C4231" t="str">
        <f>IF(D4231="","",IF(COUNTIF($D$2:D4231,D4231)&gt;1,"",SUMIFS(tbl_input[필요수량],tbl_input[집계키_청],D4231)))</f>
        <v/>
      </c>
      <c r="D4231" t="str">
        <f>IFERROR(INDEX(tbl_input[집계키_청],ROW()-1),"")</f>
        <v/>
      </c>
    </row>
    <row r="4232" spans="1:4" x14ac:dyDescent="0.4">
      <c r="A4232" t="str">
        <f t="shared" si="132"/>
        <v/>
      </c>
      <c r="B4232" t="str">
        <f t="shared" si="133"/>
        <v/>
      </c>
      <c r="C4232" t="str">
        <f>IF(D4232="","",IF(COUNTIF($D$2:D4232,D4232)&gt;1,"",SUMIFS(tbl_input[필요수량],tbl_input[집계키_청],D4232)))</f>
        <v/>
      </c>
      <c r="D4232" t="str">
        <f>IFERROR(INDEX(tbl_input[집계키_청],ROW()-1),"")</f>
        <v/>
      </c>
    </row>
    <row r="4233" spans="1:4" x14ac:dyDescent="0.4">
      <c r="A4233" t="str">
        <f t="shared" si="132"/>
        <v/>
      </c>
      <c r="B4233" t="str">
        <f t="shared" si="133"/>
        <v/>
      </c>
      <c r="C4233" t="str">
        <f>IF(D4233="","",IF(COUNTIF($D$2:D4233,D4233)&gt;1,"",SUMIFS(tbl_input[필요수량],tbl_input[집계키_청],D4233)))</f>
        <v/>
      </c>
      <c r="D4233" t="str">
        <f>IFERROR(INDEX(tbl_input[집계키_청],ROW()-1),"")</f>
        <v/>
      </c>
    </row>
    <row r="4234" spans="1:4" x14ac:dyDescent="0.4">
      <c r="A4234" t="str">
        <f t="shared" si="132"/>
        <v/>
      </c>
      <c r="B4234" t="str">
        <f t="shared" si="133"/>
        <v/>
      </c>
      <c r="C4234" t="str">
        <f>IF(D4234="","",IF(COUNTIF($D$2:D4234,D4234)&gt;1,"",SUMIFS(tbl_input[필요수량],tbl_input[집계키_청],D4234)))</f>
        <v/>
      </c>
      <c r="D4234" t="str">
        <f>IFERROR(INDEX(tbl_input[집계키_청],ROW()-1),"")</f>
        <v/>
      </c>
    </row>
    <row r="4235" spans="1:4" x14ac:dyDescent="0.4">
      <c r="A4235" t="str">
        <f t="shared" si="132"/>
        <v/>
      </c>
      <c r="B4235" t="str">
        <f t="shared" si="133"/>
        <v/>
      </c>
      <c r="C4235" t="str">
        <f>IF(D4235="","",IF(COUNTIF($D$2:D4235,D4235)&gt;1,"",SUMIFS(tbl_input[필요수량],tbl_input[집계키_청],D4235)))</f>
        <v/>
      </c>
      <c r="D4235" t="str">
        <f>IFERROR(INDEX(tbl_input[집계키_청],ROW()-1),"")</f>
        <v/>
      </c>
    </row>
    <row r="4236" spans="1:4" x14ac:dyDescent="0.4">
      <c r="A4236" t="str">
        <f t="shared" si="132"/>
        <v/>
      </c>
      <c r="B4236" t="str">
        <f t="shared" si="133"/>
        <v/>
      </c>
      <c r="C4236" t="str">
        <f>IF(D4236="","",IF(COUNTIF($D$2:D4236,D4236)&gt;1,"",SUMIFS(tbl_input[필요수량],tbl_input[집계키_청],D4236)))</f>
        <v/>
      </c>
      <c r="D4236" t="str">
        <f>IFERROR(INDEX(tbl_input[집계키_청],ROW()-1),"")</f>
        <v/>
      </c>
    </row>
    <row r="4237" spans="1:4" x14ac:dyDescent="0.4">
      <c r="A4237" t="str">
        <f t="shared" si="132"/>
        <v/>
      </c>
      <c r="B4237" t="str">
        <f t="shared" si="133"/>
        <v/>
      </c>
      <c r="C4237" t="str">
        <f>IF(D4237="","",IF(COUNTIF($D$2:D4237,D4237)&gt;1,"",SUMIFS(tbl_input[필요수량],tbl_input[집계키_청],D4237)))</f>
        <v/>
      </c>
      <c r="D4237" t="str">
        <f>IFERROR(INDEX(tbl_input[집계키_청],ROW()-1),"")</f>
        <v/>
      </c>
    </row>
    <row r="4238" spans="1:4" x14ac:dyDescent="0.4">
      <c r="A4238" t="str">
        <f t="shared" si="132"/>
        <v/>
      </c>
      <c r="B4238" t="str">
        <f t="shared" si="133"/>
        <v/>
      </c>
      <c r="C4238" t="str">
        <f>IF(D4238="","",IF(COUNTIF($D$2:D4238,D4238)&gt;1,"",SUMIFS(tbl_input[필요수량],tbl_input[집계키_청],D4238)))</f>
        <v/>
      </c>
      <c r="D4238" t="str">
        <f>IFERROR(INDEX(tbl_input[집계키_청],ROW()-1),"")</f>
        <v/>
      </c>
    </row>
    <row r="4239" spans="1:4" x14ac:dyDescent="0.4">
      <c r="A4239" t="str">
        <f t="shared" si="132"/>
        <v/>
      </c>
      <c r="B4239" t="str">
        <f t="shared" si="133"/>
        <v/>
      </c>
      <c r="C4239" t="str">
        <f>IF(D4239="","",IF(COUNTIF($D$2:D4239,D4239)&gt;1,"",SUMIFS(tbl_input[필요수량],tbl_input[집계키_청],D4239)))</f>
        <v/>
      </c>
      <c r="D4239" t="str">
        <f>IFERROR(INDEX(tbl_input[집계키_청],ROW()-1),"")</f>
        <v/>
      </c>
    </row>
    <row r="4240" spans="1:4" x14ac:dyDescent="0.4">
      <c r="A4240" t="str">
        <f t="shared" si="132"/>
        <v/>
      </c>
      <c r="B4240" t="str">
        <f t="shared" si="133"/>
        <v/>
      </c>
      <c r="C4240" t="str">
        <f>IF(D4240="","",IF(COUNTIF($D$2:D4240,D4240)&gt;1,"",SUMIFS(tbl_input[필요수량],tbl_input[집계키_청],D4240)))</f>
        <v/>
      </c>
      <c r="D4240" t="str">
        <f>IFERROR(INDEX(tbl_input[집계키_청],ROW()-1),"")</f>
        <v/>
      </c>
    </row>
    <row r="4241" spans="1:4" x14ac:dyDescent="0.4">
      <c r="A4241" t="str">
        <f t="shared" si="132"/>
        <v/>
      </c>
      <c r="B4241" t="str">
        <f t="shared" si="133"/>
        <v/>
      </c>
      <c r="C4241" t="str">
        <f>IF(D4241="","",IF(COUNTIF($D$2:D4241,D4241)&gt;1,"",SUMIFS(tbl_input[필요수량],tbl_input[집계키_청],D4241)))</f>
        <v/>
      </c>
      <c r="D4241" t="str">
        <f>IFERROR(INDEX(tbl_input[집계키_청],ROW()-1),"")</f>
        <v/>
      </c>
    </row>
    <row r="4242" spans="1:4" x14ac:dyDescent="0.4">
      <c r="A4242" t="str">
        <f t="shared" si="132"/>
        <v/>
      </c>
      <c r="B4242" t="str">
        <f t="shared" si="133"/>
        <v/>
      </c>
      <c r="C4242" t="str">
        <f>IF(D4242="","",IF(COUNTIF($D$2:D4242,D4242)&gt;1,"",SUMIFS(tbl_input[필요수량],tbl_input[집계키_청],D4242)))</f>
        <v/>
      </c>
      <c r="D4242" t="str">
        <f>IFERROR(INDEX(tbl_input[집계키_청],ROW()-1),"")</f>
        <v/>
      </c>
    </row>
    <row r="4243" spans="1:4" x14ac:dyDescent="0.4">
      <c r="A4243" t="str">
        <f t="shared" si="132"/>
        <v/>
      </c>
      <c r="B4243" t="str">
        <f t="shared" si="133"/>
        <v/>
      </c>
      <c r="C4243" t="str">
        <f>IF(D4243="","",IF(COUNTIF($D$2:D4243,D4243)&gt;1,"",SUMIFS(tbl_input[필요수량],tbl_input[집계키_청],D4243)))</f>
        <v/>
      </c>
      <c r="D4243" t="str">
        <f>IFERROR(INDEX(tbl_input[집계키_청],ROW()-1),"")</f>
        <v/>
      </c>
    </row>
    <row r="4244" spans="1:4" x14ac:dyDescent="0.4">
      <c r="A4244" t="str">
        <f t="shared" si="132"/>
        <v/>
      </c>
      <c r="B4244" t="str">
        <f t="shared" si="133"/>
        <v/>
      </c>
      <c r="C4244" t="str">
        <f>IF(D4244="","",IF(COUNTIF($D$2:D4244,D4244)&gt;1,"",SUMIFS(tbl_input[필요수량],tbl_input[집계키_청],D4244)))</f>
        <v/>
      </c>
      <c r="D4244" t="str">
        <f>IFERROR(INDEX(tbl_input[집계키_청],ROW()-1),"")</f>
        <v/>
      </c>
    </row>
    <row r="4245" spans="1:4" x14ac:dyDescent="0.4">
      <c r="A4245" t="str">
        <f t="shared" si="132"/>
        <v/>
      </c>
      <c r="B4245" t="str">
        <f t="shared" si="133"/>
        <v/>
      </c>
      <c r="C4245" t="str">
        <f>IF(D4245="","",IF(COUNTIF($D$2:D4245,D4245)&gt;1,"",SUMIFS(tbl_input[필요수량],tbl_input[집계키_청],D4245)))</f>
        <v/>
      </c>
      <c r="D4245" t="str">
        <f>IFERROR(INDEX(tbl_input[집계키_청],ROW()-1),"")</f>
        <v/>
      </c>
    </row>
    <row r="4246" spans="1:4" x14ac:dyDescent="0.4">
      <c r="A4246" t="str">
        <f t="shared" si="132"/>
        <v/>
      </c>
      <c r="B4246" t="str">
        <f t="shared" si="133"/>
        <v/>
      </c>
      <c r="C4246" t="str">
        <f>IF(D4246="","",IF(COUNTIF($D$2:D4246,D4246)&gt;1,"",SUMIFS(tbl_input[필요수량],tbl_input[집계키_청],D4246)))</f>
        <v/>
      </c>
      <c r="D4246" t="str">
        <f>IFERROR(INDEX(tbl_input[집계키_청],ROW()-1),"")</f>
        <v/>
      </c>
    </row>
    <row r="4247" spans="1:4" x14ac:dyDescent="0.4">
      <c r="A4247" t="str">
        <f t="shared" si="132"/>
        <v/>
      </c>
      <c r="B4247" t="str">
        <f t="shared" si="133"/>
        <v/>
      </c>
      <c r="C4247" t="str">
        <f>IF(D4247="","",IF(COUNTIF($D$2:D4247,D4247)&gt;1,"",SUMIFS(tbl_input[필요수량],tbl_input[집계키_청],D4247)))</f>
        <v/>
      </c>
      <c r="D4247" t="str">
        <f>IFERROR(INDEX(tbl_input[집계키_청],ROW()-1),"")</f>
        <v/>
      </c>
    </row>
    <row r="4248" spans="1:4" x14ac:dyDescent="0.4">
      <c r="A4248" t="str">
        <f t="shared" si="132"/>
        <v/>
      </c>
      <c r="B4248" t="str">
        <f t="shared" si="133"/>
        <v/>
      </c>
      <c r="C4248" t="str">
        <f>IF(D4248="","",IF(COUNTIF($D$2:D4248,D4248)&gt;1,"",SUMIFS(tbl_input[필요수량],tbl_input[집계키_청],D4248)))</f>
        <v/>
      </c>
      <c r="D4248" t="str">
        <f>IFERROR(INDEX(tbl_input[집계키_청],ROW()-1),"")</f>
        <v/>
      </c>
    </row>
    <row r="4249" spans="1:4" x14ac:dyDescent="0.4">
      <c r="A4249" t="str">
        <f t="shared" si="132"/>
        <v/>
      </c>
      <c r="B4249" t="str">
        <f t="shared" si="133"/>
        <v/>
      </c>
      <c r="C4249" t="str">
        <f>IF(D4249="","",IF(COUNTIF($D$2:D4249,D4249)&gt;1,"",SUMIFS(tbl_input[필요수량],tbl_input[집계키_청],D4249)))</f>
        <v/>
      </c>
      <c r="D4249" t="str">
        <f>IFERROR(INDEX(tbl_input[집계키_청],ROW()-1),"")</f>
        <v/>
      </c>
    </row>
    <row r="4250" spans="1:4" x14ac:dyDescent="0.4">
      <c r="A4250" t="str">
        <f t="shared" si="132"/>
        <v/>
      </c>
      <c r="B4250" t="str">
        <f t="shared" si="133"/>
        <v/>
      </c>
      <c r="C4250" t="str">
        <f>IF(D4250="","",IF(COUNTIF($D$2:D4250,D4250)&gt;1,"",SUMIFS(tbl_input[필요수량],tbl_input[집계키_청],D4250)))</f>
        <v/>
      </c>
      <c r="D4250" t="str">
        <f>IFERROR(INDEX(tbl_input[집계키_청],ROW()-1),"")</f>
        <v/>
      </c>
    </row>
    <row r="4251" spans="1:4" x14ac:dyDescent="0.4">
      <c r="A4251" t="str">
        <f t="shared" si="132"/>
        <v/>
      </c>
      <c r="B4251" t="str">
        <f t="shared" si="133"/>
        <v/>
      </c>
      <c r="C4251" t="str">
        <f>IF(D4251="","",IF(COUNTIF($D$2:D4251,D4251)&gt;1,"",SUMIFS(tbl_input[필요수량],tbl_input[집계키_청],D4251)))</f>
        <v/>
      </c>
      <c r="D4251" t="str">
        <f>IFERROR(INDEX(tbl_input[집계키_청],ROW()-1),"")</f>
        <v/>
      </c>
    </row>
    <row r="4252" spans="1:4" x14ac:dyDescent="0.4">
      <c r="A4252" t="str">
        <f t="shared" si="132"/>
        <v/>
      </c>
      <c r="B4252" t="str">
        <f t="shared" si="133"/>
        <v/>
      </c>
      <c r="C4252" t="str">
        <f>IF(D4252="","",IF(COUNTIF($D$2:D4252,D4252)&gt;1,"",SUMIFS(tbl_input[필요수량],tbl_input[집계키_청],D4252)))</f>
        <v/>
      </c>
      <c r="D4252" t="str">
        <f>IFERROR(INDEX(tbl_input[집계키_청],ROW()-1),"")</f>
        <v/>
      </c>
    </row>
    <row r="4253" spans="1:4" x14ac:dyDescent="0.4">
      <c r="A4253" t="str">
        <f t="shared" si="132"/>
        <v/>
      </c>
      <c r="B4253" t="str">
        <f t="shared" si="133"/>
        <v/>
      </c>
      <c r="C4253" t="str">
        <f>IF(D4253="","",IF(COUNTIF($D$2:D4253,D4253)&gt;1,"",SUMIFS(tbl_input[필요수량],tbl_input[집계키_청],D4253)))</f>
        <v/>
      </c>
      <c r="D4253" t="str">
        <f>IFERROR(INDEX(tbl_input[집계키_청],ROW()-1),"")</f>
        <v/>
      </c>
    </row>
    <row r="4254" spans="1:4" x14ac:dyDescent="0.4">
      <c r="A4254" t="str">
        <f t="shared" si="132"/>
        <v/>
      </c>
      <c r="B4254" t="str">
        <f t="shared" si="133"/>
        <v/>
      </c>
      <c r="C4254" t="str">
        <f>IF(D4254="","",IF(COUNTIF($D$2:D4254,D4254)&gt;1,"",SUMIFS(tbl_input[필요수량],tbl_input[집계키_청],D4254)))</f>
        <v/>
      </c>
      <c r="D4254" t="str">
        <f>IFERROR(INDEX(tbl_input[집계키_청],ROW()-1),"")</f>
        <v/>
      </c>
    </row>
    <row r="4255" spans="1:4" x14ac:dyDescent="0.4">
      <c r="A4255" t="str">
        <f t="shared" si="132"/>
        <v/>
      </c>
      <c r="B4255" t="str">
        <f t="shared" si="133"/>
        <v/>
      </c>
      <c r="C4255" t="str">
        <f>IF(D4255="","",IF(COUNTIF($D$2:D4255,D4255)&gt;1,"",SUMIFS(tbl_input[필요수량],tbl_input[집계키_청],D4255)))</f>
        <v/>
      </c>
      <c r="D4255" t="str">
        <f>IFERROR(INDEX(tbl_input[집계키_청],ROW()-1),"")</f>
        <v/>
      </c>
    </row>
    <row r="4256" spans="1:4" x14ac:dyDescent="0.4">
      <c r="A4256" t="str">
        <f t="shared" si="132"/>
        <v/>
      </c>
      <c r="B4256" t="str">
        <f t="shared" si="133"/>
        <v/>
      </c>
      <c r="C4256" t="str">
        <f>IF(D4256="","",IF(COUNTIF($D$2:D4256,D4256)&gt;1,"",SUMIFS(tbl_input[필요수량],tbl_input[집계키_청],D4256)))</f>
        <v/>
      </c>
      <c r="D4256" t="str">
        <f>IFERROR(INDEX(tbl_input[집계키_청],ROW()-1),"")</f>
        <v/>
      </c>
    </row>
    <row r="4257" spans="1:4" x14ac:dyDescent="0.4">
      <c r="A4257" t="str">
        <f t="shared" si="132"/>
        <v/>
      </c>
      <c r="B4257" t="str">
        <f t="shared" si="133"/>
        <v/>
      </c>
      <c r="C4257" t="str">
        <f>IF(D4257="","",IF(COUNTIF($D$2:D4257,D4257)&gt;1,"",SUMIFS(tbl_input[필요수량],tbl_input[집계키_청],D4257)))</f>
        <v/>
      </c>
      <c r="D4257" t="str">
        <f>IFERROR(INDEX(tbl_input[집계키_청],ROW()-1),"")</f>
        <v/>
      </c>
    </row>
    <row r="4258" spans="1:4" x14ac:dyDescent="0.4">
      <c r="A4258" t="str">
        <f t="shared" si="132"/>
        <v/>
      </c>
      <c r="B4258" t="str">
        <f t="shared" si="133"/>
        <v/>
      </c>
      <c r="C4258" t="str">
        <f>IF(D4258="","",IF(COUNTIF($D$2:D4258,D4258)&gt;1,"",SUMIFS(tbl_input[필요수량],tbl_input[집계키_청],D4258)))</f>
        <v/>
      </c>
      <c r="D4258" t="str">
        <f>IFERROR(INDEX(tbl_input[집계키_청],ROW()-1),"")</f>
        <v/>
      </c>
    </row>
    <row r="4259" spans="1:4" x14ac:dyDescent="0.4">
      <c r="A4259" t="str">
        <f t="shared" si="132"/>
        <v/>
      </c>
      <c r="B4259" t="str">
        <f t="shared" si="133"/>
        <v/>
      </c>
      <c r="C4259" t="str">
        <f>IF(D4259="","",IF(COUNTIF($D$2:D4259,D4259)&gt;1,"",SUMIFS(tbl_input[필요수량],tbl_input[집계키_청],D4259)))</f>
        <v/>
      </c>
      <c r="D4259" t="str">
        <f>IFERROR(INDEX(tbl_input[집계키_청],ROW()-1),"")</f>
        <v/>
      </c>
    </row>
    <row r="4260" spans="1:4" x14ac:dyDescent="0.4">
      <c r="A4260" t="str">
        <f t="shared" si="132"/>
        <v/>
      </c>
      <c r="B4260" t="str">
        <f t="shared" si="133"/>
        <v/>
      </c>
      <c r="C4260" t="str">
        <f>IF(D4260="","",IF(COUNTIF($D$2:D4260,D4260)&gt;1,"",SUMIFS(tbl_input[필요수량],tbl_input[집계키_청],D4260)))</f>
        <v/>
      </c>
      <c r="D4260" t="str">
        <f>IFERROR(INDEX(tbl_input[집계키_청],ROW()-1),"")</f>
        <v/>
      </c>
    </row>
    <row r="4261" spans="1:4" x14ac:dyDescent="0.4">
      <c r="A4261" t="str">
        <f t="shared" si="132"/>
        <v/>
      </c>
      <c r="B4261" t="str">
        <f t="shared" si="133"/>
        <v/>
      </c>
      <c r="C4261" t="str">
        <f>IF(D4261="","",IF(COUNTIF($D$2:D4261,D4261)&gt;1,"",SUMIFS(tbl_input[필요수량],tbl_input[집계키_청],D4261)))</f>
        <v/>
      </c>
      <c r="D4261" t="str">
        <f>IFERROR(INDEX(tbl_input[집계키_청],ROW()-1),"")</f>
        <v/>
      </c>
    </row>
    <row r="4262" spans="1:4" x14ac:dyDescent="0.4">
      <c r="A4262" t="str">
        <f t="shared" si="132"/>
        <v/>
      </c>
      <c r="B4262" t="str">
        <f t="shared" si="133"/>
        <v/>
      </c>
      <c r="C4262" t="str">
        <f>IF(D4262="","",IF(COUNTIF($D$2:D4262,D4262)&gt;1,"",SUMIFS(tbl_input[필요수량],tbl_input[집계키_청],D4262)))</f>
        <v/>
      </c>
      <c r="D4262" t="str">
        <f>IFERROR(INDEX(tbl_input[집계키_청],ROW()-1),"")</f>
        <v/>
      </c>
    </row>
    <row r="4263" spans="1:4" x14ac:dyDescent="0.4">
      <c r="A4263" t="str">
        <f t="shared" si="132"/>
        <v/>
      </c>
      <c r="B4263" t="str">
        <f t="shared" si="133"/>
        <v/>
      </c>
      <c r="C4263" t="str">
        <f>IF(D4263="","",IF(COUNTIF($D$2:D4263,D4263)&gt;1,"",SUMIFS(tbl_input[필요수량],tbl_input[집계키_청],D4263)))</f>
        <v/>
      </c>
      <c r="D4263" t="str">
        <f>IFERROR(INDEX(tbl_input[집계키_청],ROW()-1),"")</f>
        <v/>
      </c>
    </row>
    <row r="4264" spans="1:4" x14ac:dyDescent="0.4">
      <c r="A4264" t="str">
        <f t="shared" si="132"/>
        <v/>
      </c>
      <c r="B4264" t="str">
        <f t="shared" si="133"/>
        <v/>
      </c>
      <c r="C4264" t="str">
        <f>IF(D4264="","",IF(COUNTIF($D$2:D4264,D4264)&gt;1,"",SUMIFS(tbl_input[필요수량],tbl_input[집계키_청],D4264)))</f>
        <v/>
      </c>
      <c r="D4264" t="str">
        <f>IFERROR(INDEX(tbl_input[집계키_청],ROW()-1),"")</f>
        <v/>
      </c>
    </row>
    <row r="4265" spans="1:4" x14ac:dyDescent="0.4">
      <c r="A4265" t="str">
        <f t="shared" si="132"/>
        <v/>
      </c>
      <c r="B4265" t="str">
        <f t="shared" si="133"/>
        <v/>
      </c>
      <c r="C4265" t="str">
        <f>IF(D4265="","",IF(COUNTIF($D$2:D4265,D4265)&gt;1,"",SUMIFS(tbl_input[필요수량],tbl_input[집계키_청],D4265)))</f>
        <v/>
      </c>
      <c r="D4265" t="str">
        <f>IFERROR(INDEX(tbl_input[집계키_청],ROW()-1),"")</f>
        <v/>
      </c>
    </row>
    <row r="4266" spans="1:4" x14ac:dyDescent="0.4">
      <c r="A4266" t="str">
        <f t="shared" si="132"/>
        <v/>
      </c>
      <c r="B4266" t="str">
        <f t="shared" si="133"/>
        <v/>
      </c>
      <c r="C4266" t="str">
        <f>IF(D4266="","",IF(COUNTIF($D$2:D4266,D4266)&gt;1,"",SUMIFS(tbl_input[필요수량],tbl_input[집계키_청],D4266)))</f>
        <v/>
      </c>
      <c r="D4266" t="str">
        <f>IFERROR(INDEX(tbl_input[집계키_청],ROW()-1),"")</f>
        <v/>
      </c>
    </row>
    <row r="4267" spans="1:4" x14ac:dyDescent="0.4">
      <c r="A4267" t="str">
        <f t="shared" si="132"/>
        <v/>
      </c>
      <c r="B4267" t="str">
        <f t="shared" si="133"/>
        <v/>
      </c>
      <c r="C4267" t="str">
        <f>IF(D4267="","",IF(COUNTIF($D$2:D4267,D4267)&gt;1,"",SUMIFS(tbl_input[필요수량],tbl_input[집계키_청],D4267)))</f>
        <v/>
      </c>
      <c r="D4267" t="str">
        <f>IFERROR(INDEX(tbl_input[집계키_청],ROW()-1),"")</f>
        <v/>
      </c>
    </row>
    <row r="4268" spans="1:4" x14ac:dyDescent="0.4">
      <c r="A4268" t="str">
        <f t="shared" si="132"/>
        <v/>
      </c>
      <c r="B4268" t="str">
        <f t="shared" si="133"/>
        <v/>
      </c>
      <c r="C4268" t="str">
        <f>IF(D4268="","",IF(COUNTIF($D$2:D4268,D4268)&gt;1,"",SUMIFS(tbl_input[필요수량],tbl_input[집계키_청],D4268)))</f>
        <v/>
      </c>
      <c r="D4268" t="str">
        <f>IFERROR(INDEX(tbl_input[집계키_청],ROW()-1),"")</f>
        <v/>
      </c>
    </row>
    <row r="4269" spans="1:4" x14ac:dyDescent="0.4">
      <c r="A4269" t="str">
        <f t="shared" si="132"/>
        <v/>
      </c>
      <c r="B4269" t="str">
        <f t="shared" si="133"/>
        <v/>
      </c>
      <c r="C4269" t="str">
        <f>IF(D4269="","",IF(COUNTIF($D$2:D4269,D4269)&gt;1,"",SUMIFS(tbl_input[필요수량],tbl_input[집계키_청],D4269)))</f>
        <v/>
      </c>
      <c r="D4269" t="str">
        <f>IFERROR(INDEX(tbl_input[집계키_청],ROW()-1),"")</f>
        <v/>
      </c>
    </row>
    <row r="4270" spans="1:4" x14ac:dyDescent="0.4">
      <c r="A4270" t="str">
        <f t="shared" si="132"/>
        <v/>
      </c>
      <c r="B4270" t="str">
        <f t="shared" si="133"/>
        <v/>
      </c>
      <c r="C4270" t="str">
        <f>IF(D4270="","",IF(COUNTIF($D$2:D4270,D4270)&gt;1,"",SUMIFS(tbl_input[필요수량],tbl_input[집계키_청],D4270)))</f>
        <v/>
      </c>
      <c r="D4270" t="str">
        <f>IFERROR(INDEX(tbl_input[집계키_청],ROW()-1),"")</f>
        <v/>
      </c>
    </row>
    <row r="4271" spans="1:4" x14ac:dyDescent="0.4">
      <c r="A4271" t="str">
        <f t="shared" si="132"/>
        <v/>
      </c>
      <c r="B4271" t="str">
        <f t="shared" si="133"/>
        <v/>
      </c>
      <c r="C4271" t="str">
        <f>IF(D4271="","",IF(COUNTIF($D$2:D4271,D4271)&gt;1,"",SUMIFS(tbl_input[필요수량],tbl_input[집계키_청],D4271)))</f>
        <v/>
      </c>
      <c r="D4271" t="str">
        <f>IFERROR(INDEX(tbl_input[집계키_청],ROW()-1),"")</f>
        <v/>
      </c>
    </row>
    <row r="4272" spans="1:4" x14ac:dyDescent="0.4">
      <c r="A4272" t="str">
        <f t="shared" si="132"/>
        <v/>
      </c>
      <c r="B4272" t="str">
        <f t="shared" si="133"/>
        <v/>
      </c>
      <c r="C4272" t="str">
        <f>IF(D4272="","",IF(COUNTIF($D$2:D4272,D4272)&gt;1,"",SUMIFS(tbl_input[필요수량],tbl_input[집계키_청],D4272)))</f>
        <v/>
      </c>
      <c r="D4272" t="str">
        <f>IFERROR(INDEX(tbl_input[집계키_청],ROW()-1),"")</f>
        <v/>
      </c>
    </row>
    <row r="4273" spans="1:4" x14ac:dyDescent="0.4">
      <c r="A4273" t="str">
        <f t="shared" si="132"/>
        <v/>
      </c>
      <c r="B4273" t="str">
        <f t="shared" si="133"/>
        <v/>
      </c>
      <c r="C4273" t="str">
        <f>IF(D4273="","",IF(COUNTIF($D$2:D4273,D4273)&gt;1,"",SUMIFS(tbl_input[필요수량],tbl_input[집계키_청],D4273)))</f>
        <v/>
      </c>
      <c r="D4273" t="str">
        <f>IFERROR(INDEX(tbl_input[집계키_청],ROW()-1),"")</f>
        <v/>
      </c>
    </row>
    <row r="4274" spans="1:4" x14ac:dyDescent="0.4">
      <c r="A4274" t="str">
        <f t="shared" si="132"/>
        <v/>
      </c>
      <c r="B4274" t="str">
        <f t="shared" si="133"/>
        <v/>
      </c>
      <c r="C4274" t="str">
        <f>IF(D4274="","",IF(COUNTIF($D$2:D4274,D4274)&gt;1,"",SUMIFS(tbl_input[필요수량],tbl_input[집계키_청],D4274)))</f>
        <v/>
      </c>
      <c r="D4274" t="str">
        <f>IFERROR(INDEX(tbl_input[집계키_청],ROW()-1),"")</f>
        <v/>
      </c>
    </row>
    <row r="4275" spans="1:4" x14ac:dyDescent="0.4">
      <c r="A4275" t="str">
        <f t="shared" si="132"/>
        <v/>
      </c>
      <c r="B4275" t="str">
        <f t="shared" si="133"/>
        <v/>
      </c>
      <c r="C4275" t="str">
        <f>IF(D4275="","",IF(COUNTIF($D$2:D4275,D4275)&gt;1,"",SUMIFS(tbl_input[필요수량],tbl_input[집계키_청],D4275)))</f>
        <v/>
      </c>
      <c r="D4275" t="str">
        <f>IFERROR(INDEX(tbl_input[집계키_청],ROW()-1),"")</f>
        <v/>
      </c>
    </row>
    <row r="4276" spans="1:4" x14ac:dyDescent="0.4">
      <c r="A4276" t="str">
        <f t="shared" si="132"/>
        <v/>
      </c>
      <c r="B4276" t="str">
        <f t="shared" si="133"/>
        <v/>
      </c>
      <c r="C4276" t="str">
        <f>IF(D4276="","",IF(COUNTIF($D$2:D4276,D4276)&gt;1,"",SUMIFS(tbl_input[필요수량],tbl_input[집계키_청],D4276)))</f>
        <v/>
      </c>
      <c r="D4276" t="str">
        <f>IFERROR(INDEX(tbl_input[집계키_청],ROW()-1),"")</f>
        <v/>
      </c>
    </row>
    <row r="4277" spans="1:4" x14ac:dyDescent="0.4">
      <c r="A4277" t="str">
        <f t="shared" si="132"/>
        <v/>
      </c>
      <c r="B4277" t="str">
        <f t="shared" si="133"/>
        <v/>
      </c>
      <c r="C4277" t="str">
        <f>IF(D4277="","",IF(COUNTIF($D$2:D4277,D4277)&gt;1,"",SUMIFS(tbl_input[필요수량],tbl_input[집계키_청],D4277)))</f>
        <v/>
      </c>
      <c r="D4277" t="str">
        <f>IFERROR(INDEX(tbl_input[집계키_청],ROW()-1),"")</f>
        <v/>
      </c>
    </row>
    <row r="4278" spans="1:4" x14ac:dyDescent="0.4">
      <c r="A4278" t="str">
        <f t="shared" si="132"/>
        <v/>
      </c>
      <c r="B4278" t="str">
        <f t="shared" si="133"/>
        <v/>
      </c>
      <c r="C4278" t="str">
        <f>IF(D4278="","",IF(COUNTIF($D$2:D4278,D4278)&gt;1,"",SUMIFS(tbl_input[필요수량],tbl_input[집계키_청],D4278)))</f>
        <v/>
      </c>
      <c r="D4278" t="str">
        <f>IFERROR(INDEX(tbl_input[집계키_청],ROW()-1),"")</f>
        <v/>
      </c>
    </row>
    <row r="4279" spans="1:4" x14ac:dyDescent="0.4">
      <c r="A4279" t="str">
        <f t="shared" si="132"/>
        <v/>
      </c>
      <c r="B4279" t="str">
        <f t="shared" si="133"/>
        <v/>
      </c>
      <c r="C4279" t="str">
        <f>IF(D4279="","",IF(COUNTIF($D$2:D4279,D4279)&gt;1,"",SUMIFS(tbl_input[필요수량],tbl_input[집계키_청],D4279)))</f>
        <v/>
      </c>
      <c r="D4279" t="str">
        <f>IFERROR(INDEX(tbl_input[집계키_청],ROW()-1),"")</f>
        <v/>
      </c>
    </row>
    <row r="4280" spans="1:4" x14ac:dyDescent="0.4">
      <c r="A4280" t="str">
        <f t="shared" si="132"/>
        <v/>
      </c>
      <c r="B4280" t="str">
        <f t="shared" si="133"/>
        <v/>
      </c>
      <c r="C4280" t="str">
        <f>IF(D4280="","",IF(COUNTIF($D$2:D4280,D4280)&gt;1,"",SUMIFS(tbl_input[필요수량],tbl_input[집계키_청],D4280)))</f>
        <v/>
      </c>
      <c r="D4280" t="str">
        <f>IFERROR(INDEX(tbl_input[집계키_청],ROW()-1),"")</f>
        <v/>
      </c>
    </row>
    <row r="4281" spans="1:4" x14ac:dyDescent="0.4">
      <c r="A4281" t="str">
        <f t="shared" si="132"/>
        <v/>
      </c>
      <c r="B4281" t="str">
        <f t="shared" si="133"/>
        <v/>
      </c>
      <c r="C4281" t="str">
        <f>IF(D4281="","",IF(COUNTIF($D$2:D4281,D4281)&gt;1,"",SUMIFS(tbl_input[필요수량],tbl_input[집계키_청],D4281)))</f>
        <v/>
      </c>
      <c r="D4281" t="str">
        <f>IFERROR(INDEX(tbl_input[집계키_청],ROW()-1),"")</f>
        <v/>
      </c>
    </row>
    <row r="4282" spans="1:4" x14ac:dyDescent="0.4">
      <c r="A4282" t="str">
        <f t="shared" si="132"/>
        <v/>
      </c>
      <c r="B4282" t="str">
        <f t="shared" si="133"/>
        <v/>
      </c>
      <c r="C4282" t="str">
        <f>IF(D4282="","",IF(COUNTIF($D$2:D4282,D4282)&gt;1,"",SUMIFS(tbl_input[필요수량],tbl_input[집계키_청],D4282)))</f>
        <v/>
      </c>
      <c r="D4282" t="str">
        <f>IFERROR(INDEX(tbl_input[집계키_청],ROW()-1),"")</f>
        <v/>
      </c>
    </row>
    <row r="4283" spans="1:4" x14ac:dyDescent="0.4">
      <c r="A4283" t="str">
        <f t="shared" si="132"/>
        <v/>
      </c>
      <c r="B4283" t="str">
        <f t="shared" si="133"/>
        <v/>
      </c>
      <c r="C4283" t="str">
        <f>IF(D4283="","",IF(COUNTIF($D$2:D4283,D4283)&gt;1,"",SUMIFS(tbl_input[필요수량],tbl_input[집계키_청],D4283)))</f>
        <v/>
      </c>
      <c r="D4283" t="str">
        <f>IFERROR(INDEX(tbl_input[집계키_청],ROW()-1),"")</f>
        <v/>
      </c>
    </row>
    <row r="4284" spans="1:4" x14ac:dyDescent="0.4">
      <c r="A4284" t="str">
        <f t="shared" si="132"/>
        <v/>
      </c>
      <c r="B4284" t="str">
        <f t="shared" si="133"/>
        <v/>
      </c>
      <c r="C4284" t="str">
        <f>IF(D4284="","",IF(COUNTIF($D$2:D4284,D4284)&gt;1,"",SUMIFS(tbl_input[필요수량],tbl_input[집계키_청],D4284)))</f>
        <v/>
      </c>
      <c r="D4284" t="str">
        <f>IFERROR(INDEX(tbl_input[집계키_청],ROW()-1),"")</f>
        <v/>
      </c>
    </row>
    <row r="4285" spans="1:4" x14ac:dyDescent="0.4">
      <c r="A4285" t="str">
        <f t="shared" si="132"/>
        <v/>
      </c>
      <c r="B4285" t="str">
        <f t="shared" si="133"/>
        <v/>
      </c>
      <c r="C4285" t="str">
        <f>IF(D4285="","",IF(COUNTIF($D$2:D4285,D4285)&gt;1,"",SUMIFS(tbl_input[필요수량],tbl_input[집계키_청],D4285)))</f>
        <v/>
      </c>
      <c r="D4285" t="str">
        <f>IFERROR(INDEX(tbl_input[집계키_청],ROW()-1),"")</f>
        <v/>
      </c>
    </row>
    <row r="4286" spans="1:4" x14ac:dyDescent="0.4">
      <c r="A4286" t="str">
        <f t="shared" si="132"/>
        <v/>
      </c>
      <c r="B4286" t="str">
        <f t="shared" si="133"/>
        <v/>
      </c>
      <c r="C4286" t="str">
        <f>IF(D4286="","",IF(COUNTIF($D$2:D4286,D4286)&gt;1,"",SUMIFS(tbl_input[필요수량],tbl_input[집계키_청],D4286)))</f>
        <v/>
      </c>
      <c r="D4286" t="str">
        <f>IFERROR(INDEX(tbl_input[집계키_청],ROW()-1),"")</f>
        <v/>
      </c>
    </row>
    <row r="4287" spans="1:4" x14ac:dyDescent="0.4">
      <c r="A4287" t="str">
        <f t="shared" si="132"/>
        <v/>
      </c>
      <c r="B4287" t="str">
        <f t="shared" si="133"/>
        <v/>
      </c>
      <c r="C4287" t="str">
        <f>IF(D4287="","",IF(COUNTIF($D$2:D4287,D4287)&gt;1,"",SUMIFS(tbl_input[필요수량],tbl_input[집계키_청],D4287)))</f>
        <v/>
      </c>
      <c r="D4287" t="str">
        <f>IFERROR(INDEX(tbl_input[집계키_청],ROW()-1),"")</f>
        <v/>
      </c>
    </row>
    <row r="4288" spans="1:4" x14ac:dyDescent="0.4">
      <c r="A4288" t="str">
        <f t="shared" si="132"/>
        <v/>
      </c>
      <c r="B4288" t="str">
        <f t="shared" si="133"/>
        <v/>
      </c>
      <c r="C4288" t="str">
        <f>IF(D4288="","",IF(COUNTIF($D$2:D4288,D4288)&gt;1,"",SUMIFS(tbl_input[필요수량],tbl_input[집계키_청],D4288)))</f>
        <v/>
      </c>
      <c r="D4288" t="str">
        <f>IFERROR(INDEX(tbl_input[집계키_청],ROW()-1),"")</f>
        <v/>
      </c>
    </row>
    <row r="4289" spans="1:4" x14ac:dyDescent="0.4">
      <c r="A4289" t="str">
        <f t="shared" si="132"/>
        <v/>
      </c>
      <c r="B4289" t="str">
        <f t="shared" si="133"/>
        <v/>
      </c>
      <c r="C4289" t="str">
        <f>IF(D4289="","",IF(COUNTIF($D$2:D4289,D4289)&gt;1,"",SUMIFS(tbl_input[필요수량],tbl_input[집계키_청],D4289)))</f>
        <v/>
      </c>
      <c r="D4289" t="str">
        <f>IFERROR(INDEX(tbl_input[집계키_청],ROW()-1),"")</f>
        <v/>
      </c>
    </row>
    <row r="4290" spans="1:4" x14ac:dyDescent="0.4">
      <c r="A4290" t="str">
        <f t="shared" ref="A4290:A4353" si="134">IF(D4290="","",LEFT(D4290,FIND("♦",D4290)-1))</f>
        <v/>
      </c>
      <c r="B4290" t="str">
        <f t="shared" ref="B4290:B4353" si="135">IF(D4290="","",MID(D4290,FIND("♦",D4290)+1,999))</f>
        <v/>
      </c>
      <c r="C4290" t="str">
        <f>IF(D4290="","",IF(COUNTIF($D$2:D4290,D4290)&gt;1,"",SUMIFS(tbl_input[필요수량],tbl_input[집계키_청],D4290)))</f>
        <v/>
      </c>
      <c r="D4290" t="str">
        <f>IFERROR(INDEX(tbl_input[집계키_청],ROW()-1),"")</f>
        <v/>
      </c>
    </row>
    <row r="4291" spans="1:4" x14ac:dyDescent="0.4">
      <c r="A4291" t="str">
        <f t="shared" si="134"/>
        <v/>
      </c>
      <c r="B4291" t="str">
        <f t="shared" si="135"/>
        <v/>
      </c>
      <c r="C4291" t="str">
        <f>IF(D4291="","",IF(COUNTIF($D$2:D4291,D4291)&gt;1,"",SUMIFS(tbl_input[필요수량],tbl_input[집계키_청],D4291)))</f>
        <v/>
      </c>
      <c r="D4291" t="str">
        <f>IFERROR(INDEX(tbl_input[집계키_청],ROW()-1),"")</f>
        <v/>
      </c>
    </row>
    <row r="4292" spans="1:4" x14ac:dyDescent="0.4">
      <c r="A4292" t="str">
        <f t="shared" si="134"/>
        <v/>
      </c>
      <c r="B4292" t="str">
        <f t="shared" si="135"/>
        <v/>
      </c>
      <c r="C4292" t="str">
        <f>IF(D4292="","",IF(COUNTIF($D$2:D4292,D4292)&gt;1,"",SUMIFS(tbl_input[필요수량],tbl_input[집계키_청],D4292)))</f>
        <v/>
      </c>
      <c r="D4292" t="str">
        <f>IFERROR(INDEX(tbl_input[집계키_청],ROW()-1),"")</f>
        <v/>
      </c>
    </row>
    <row r="4293" spans="1:4" x14ac:dyDescent="0.4">
      <c r="A4293" t="str">
        <f t="shared" si="134"/>
        <v/>
      </c>
      <c r="B4293" t="str">
        <f t="shared" si="135"/>
        <v/>
      </c>
      <c r="C4293" t="str">
        <f>IF(D4293="","",IF(COUNTIF($D$2:D4293,D4293)&gt;1,"",SUMIFS(tbl_input[필요수량],tbl_input[집계키_청],D4293)))</f>
        <v/>
      </c>
      <c r="D4293" t="str">
        <f>IFERROR(INDEX(tbl_input[집계키_청],ROW()-1),"")</f>
        <v/>
      </c>
    </row>
    <row r="4294" spans="1:4" x14ac:dyDescent="0.4">
      <c r="A4294" t="str">
        <f t="shared" si="134"/>
        <v/>
      </c>
      <c r="B4294" t="str">
        <f t="shared" si="135"/>
        <v/>
      </c>
      <c r="C4294" t="str">
        <f>IF(D4294="","",IF(COUNTIF($D$2:D4294,D4294)&gt;1,"",SUMIFS(tbl_input[필요수량],tbl_input[집계키_청],D4294)))</f>
        <v/>
      </c>
      <c r="D4294" t="str">
        <f>IFERROR(INDEX(tbl_input[집계키_청],ROW()-1),"")</f>
        <v/>
      </c>
    </row>
    <row r="4295" spans="1:4" x14ac:dyDescent="0.4">
      <c r="A4295" t="str">
        <f t="shared" si="134"/>
        <v/>
      </c>
      <c r="B4295" t="str">
        <f t="shared" si="135"/>
        <v/>
      </c>
      <c r="C4295" t="str">
        <f>IF(D4295="","",IF(COUNTIF($D$2:D4295,D4295)&gt;1,"",SUMIFS(tbl_input[필요수량],tbl_input[집계키_청],D4295)))</f>
        <v/>
      </c>
      <c r="D4295" t="str">
        <f>IFERROR(INDEX(tbl_input[집계키_청],ROW()-1),"")</f>
        <v/>
      </c>
    </row>
    <row r="4296" spans="1:4" x14ac:dyDescent="0.4">
      <c r="A4296" t="str">
        <f t="shared" si="134"/>
        <v/>
      </c>
      <c r="B4296" t="str">
        <f t="shared" si="135"/>
        <v/>
      </c>
      <c r="C4296" t="str">
        <f>IF(D4296="","",IF(COUNTIF($D$2:D4296,D4296)&gt;1,"",SUMIFS(tbl_input[필요수량],tbl_input[집계키_청],D4296)))</f>
        <v/>
      </c>
      <c r="D4296" t="str">
        <f>IFERROR(INDEX(tbl_input[집계키_청],ROW()-1),"")</f>
        <v/>
      </c>
    </row>
    <row r="4297" spans="1:4" x14ac:dyDescent="0.4">
      <c r="A4297" t="str">
        <f t="shared" si="134"/>
        <v/>
      </c>
      <c r="B4297" t="str">
        <f t="shared" si="135"/>
        <v/>
      </c>
      <c r="C4297" t="str">
        <f>IF(D4297="","",IF(COUNTIF($D$2:D4297,D4297)&gt;1,"",SUMIFS(tbl_input[필요수량],tbl_input[집계키_청],D4297)))</f>
        <v/>
      </c>
      <c r="D4297" t="str">
        <f>IFERROR(INDEX(tbl_input[집계키_청],ROW()-1),"")</f>
        <v/>
      </c>
    </row>
    <row r="4298" spans="1:4" x14ac:dyDescent="0.4">
      <c r="A4298" t="str">
        <f t="shared" si="134"/>
        <v/>
      </c>
      <c r="B4298" t="str">
        <f t="shared" si="135"/>
        <v/>
      </c>
      <c r="C4298" t="str">
        <f>IF(D4298="","",IF(COUNTIF($D$2:D4298,D4298)&gt;1,"",SUMIFS(tbl_input[필요수량],tbl_input[집계키_청],D4298)))</f>
        <v/>
      </c>
      <c r="D4298" t="str">
        <f>IFERROR(INDEX(tbl_input[집계키_청],ROW()-1),"")</f>
        <v/>
      </c>
    </row>
    <row r="4299" spans="1:4" x14ac:dyDescent="0.4">
      <c r="A4299" t="str">
        <f t="shared" si="134"/>
        <v/>
      </c>
      <c r="B4299" t="str">
        <f t="shared" si="135"/>
        <v/>
      </c>
      <c r="C4299" t="str">
        <f>IF(D4299="","",IF(COUNTIF($D$2:D4299,D4299)&gt;1,"",SUMIFS(tbl_input[필요수량],tbl_input[집계키_청],D4299)))</f>
        <v/>
      </c>
      <c r="D4299" t="str">
        <f>IFERROR(INDEX(tbl_input[집계키_청],ROW()-1),"")</f>
        <v/>
      </c>
    </row>
    <row r="4300" spans="1:4" x14ac:dyDescent="0.4">
      <c r="A4300" t="str">
        <f t="shared" si="134"/>
        <v/>
      </c>
      <c r="B4300" t="str">
        <f t="shared" si="135"/>
        <v/>
      </c>
      <c r="C4300" t="str">
        <f>IF(D4300="","",IF(COUNTIF($D$2:D4300,D4300)&gt;1,"",SUMIFS(tbl_input[필요수량],tbl_input[집계키_청],D4300)))</f>
        <v/>
      </c>
      <c r="D4300" t="str">
        <f>IFERROR(INDEX(tbl_input[집계키_청],ROW()-1),"")</f>
        <v/>
      </c>
    </row>
    <row r="4301" spans="1:4" x14ac:dyDescent="0.4">
      <c r="A4301" t="str">
        <f t="shared" si="134"/>
        <v/>
      </c>
      <c r="B4301" t="str">
        <f t="shared" si="135"/>
        <v/>
      </c>
      <c r="C4301" t="str">
        <f>IF(D4301="","",IF(COUNTIF($D$2:D4301,D4301)&gt;1,"",SUMIFS(tbl_input[필요수량],tbl_input[집계키_청],D4301)))</f>
        <v/>
      </c>
      <c r="D4301" t="str">
        <f>IFERROR(INDEX(tbl_input[집계키_청],ROW()-1),"")</f>
        <v/>
      </c>
    </row>
    <row r="4302" spans="1:4" x14ac:dyDescent="0.4">
      <c r="A4302" t="str">
        <f t="shared" si="134"/>
        <v/>
      </c>
      <c r="B4302" t="str">
        <f t="shared" si="135"/>
        <v/>
      </c>
      <c r="C4302" t="str">
        <f>IF(D4302="","",IF(COUNTIF($D$2:D4302,D4302)&gt;1,"",SUMIFS(tbl_input[필요수량],tbl_input[집계키_청],D4302)))</f>
        <v/>
      </c>
      <c r="D4302" t="str">
        <f>IFERROR(INDEX(tbl_input[집계키_청],ROW()-1),"")</f>
        <v/>
      </c>
    </row>
    <row r="4303" spans="1:4" x14ac:dyDescent="0.4">
      <c r="A4303" t="str">
        <f t="shared" si="134"/>
        <v/>
      </c>
      <c r="B4303" t="str">
        <f t="shared" si="135"/>
        <v/>
      </c>
      <c r="C4303" t="str">
        <f>IF(D4303="","",IF(COUNTIF($D$2:D4303,D4303)&gt;1,"",SUMIFS(tbl_input[필요수량],tbl_input[집계키_청],D4303)))</f>
        <v/>
      </c>
      <c r="D4303" t="str">
        <f>IFERROR(INDEX(tbl_input[집계키_청],ROW()-1),"")</f>
        <v/>
      </c>
    </row>
    <row r="4304" spans="1:4" x14ac:dyDescent="0.4">
      <c r="A4304" t="str">
        <f t="shared" si="134"/>
        <v/>
      </c>
      <c r="B4304" t="str">
        <f t="shared" si="135"/>
        <v/>
      </c>
      <c r="C4304" t="str">
        <f>IF(D4304="","",IF(COUNTIF($D$2:D4304,D4304)&gt;1,"",SUMIFS(tbl_input[필요수량],tbl_input[집계키_청],D4304)))</f>
        <v/>
      </c>
      <c r="D4304" t="str">
        <f>IFERROR(INDEX(tbl_input[집계키_청],ROW()-1),"")</f>
        <v/>
      </c>
    </row>
    <row r="4305" spans="1:4" x14ac:dyDescent="0.4">
      <c r="A4305" t="str">
        <f t="shared" si="134"/>
        <v/>
      </c>
      <c r="B4305" t="str">
        <f t="shared" si="135"/>
        <v/>
      </c>
      <c r="C4305" t="str">
        <f>IF(D4305="","",IF(COUNTIF($D$2:D4305,D4305)&gt;1,"",SUMIFS(tbl_input[필요수량],tbl_input[집계키_청],D4305)))</f>
        <v/>
      </c>
      <c r="D4305" t="str">
        <f>IFERROR(INDEX(tbl_input[집계키_청],ROW()-1),"")</f>
        <v/>
      </c>
    </row>
    <row r="4306" spans="1:4" x14ac:dyDescent="0.4">
      <c r="A4306" t="str">
        <f t="shared" si="134"/>
        <v/>
      </c>
      <c r="B4306" t="str">
        <f t="shared" si="135"/>
        <v/>
      </c>
      <c r="C4306" t="str">
        <f>IF(D4306="","",IF(COUNTIF($D$2:D4306,D4306)&gt;1,"",SUMIFS(tbl_input[필요수량],tbl_input[집계키_청],D4306)))</f>
        <v/>
      </c>
      <c r="D4306" t="str">
        <f>IFERROR(INDEX(tbl_input[집계키_청],ROW()-1),"")</f>
        <v/>
      </c>
    </row>
    <row r="4307" spans="1:4" x14ac:dyDescent="0.4">
      <c r="A4307" t="str">
        <f t="shared" si="134"/>
        <v/>
      </c>
      <c r="B4307" t="str">
        <f t="shared" si="135"/>
        <v/>
      </c>
      <c r="C4307" t="str">
        <f>IF(D4307="","",IF(COUNTIF($D$2:D4307,D4307)&gt;1,"",SUMIFS(tbl_input[필요수량],tbl_input[집계키_청],D4307)))</f>
        <v/>
      </c>
      <c r="D4307" t="str">
        <f>IFERROR(INDEX(tbl_input[집계키_청],ROW()-1),"")</f>
        <v/>
      </c>
    </row>
    <row r="4308" spans="1:4" x14ac:dyDescent="0.4">
      <c r="A4308" t="str">
        <f t="shared" si="134"/>
        <v/>
      </c>
      <c r="B4308" t="str">
        <f t="shared" si="135"/>
        <v/>
      </c>
      <c r="C4308" t="str">
        <f>IF(D4308="","",IF(COUNTIF($D$2:D4308,D4308)&gt;1,"",SUMIFS(tbl_input[필요수량],tbl_input[집계키_청],D4308)))</f>
        <v/>
      </c>
      <c r="D4308" t="str">
        <f>IFERROR(INDEX(tbl_input[집계키_청],ROW()-1),"")</f>
        <v/>
      </c>
    </row>
    <row r="4309" spans="1:4" x14ac:dyDescent="0.4">
      <c r="A4309" t="str">
        <f t="shared" si="134"/>
        <v/>
      </c>
      <c r="B4309" t="str">
        <f t="shared" si="135"/>
        <v/>
      </c>
      <c r="C4309" t="str">
        <f>IF(D4309="","",IF(COUNTIF($D$2:D4309,D4309)&gt;1,"",SUMIFS(tbl_input[필요수량],tbl_input[집계키_청],D4309)))</f>
        <v/>
      </c>
      <c r="D4309" t="str">
        <f>IFERROR(INDEX(tbl_input[집계키_청],ROW()-1),"")</f>
        <v/>
      </c>
    </row>
    <row r="4310" spans="1:4" x14ac:dyDescent="0.4">
      <c r="A4310" t="str">
        <f t="shared" si="134"/>
        <v/>
      </c>
      <c r="B4310" t="str">
        <f t="shared" si="135"/>
        <v/>
      </c>
      <c r="C4310" t="str">
        <f>IF(D4310="","",IF(COUNTIF($D$2:D4310,D4310)&gt;1,"",SUMIFS(tbl_input[필요수량],tbl_input[집계키_청],D4310)))</f>
        <v/>
      </c>
      <c r="D4310" t="str">
        <f>IFERROR(INDEX(tbl_input[집계키_청],ROW()-1),"")</f>
        <v/>
      </c>
    </row>
    <row r="4311" spans="1:4" x14ac:dyDescent="0.4">
      <c r="A4311" t="str">
        <f t="shared" si="134"/>
        <v/>
      </c>
      <c r="B4311" t="str">
        <f t="shared" si="135"/>
        <v/>
      </c>
      <c r="C4311" t="str">
        <f>IF(D4311="","",IF(COUNTIF($D$2:D4311,D4311)&gt;1,"",SUMIFS(tbl_input[필요수량],tbl_input[집계키_청],D4311)))</f>
        <v/>
      </c>
      <c r="D4311" t="str">
        <f>IFERROR(INDEX(tbl_input[집계키_청],ROW()-1),"")</f>
        <v/>
      </c>
    </row>
    <row r="4312" spans="1:4" x14ac:dyDescent="0.4">
      <c r="A4312" t="str">
        <f t="shared" si="134"/>
        <v/>
      </c>
      <c r="B4312" t="str">
        <f t="shared" si="135"/>
        <v/>
      </c>
      <c r="C4312" t="str">
        <f>IF(D4312="","",IF(COUNTIF($D$2:D4312,D4312)&gt;1,"",SUMIFS(tbl_input[필요수량],tbl_input[집계키_청],D4312)))</f>
        <v/>
      </c>
      <c r="D4312" t="str">
        <f>IFERROR(INDEX(tbl_input[집계키_청],ROW()-1),"")</f>
        <v/>
      </c>
    </row>
    <row r="4313" spans="1:4" x14ac:dyDescent="0.4">
      <c r="A4313" t="str">
        <f t="shared" si="134"/>
        <v/>
      </c>
      <c r="B4313" t="str">
        <f t="shared" si="135"/>
        <v/>
      </c>
      <c r="C4313" t="str">
        <f>IF(D4313="","",IF(COUNTIF($D$2:D4313,D4313)&gt;1,"",SUMIFS(tbl_input[필요수량],tbl_input[집계키_청],D4313)))</f>
        <v/>
      </c>
      <c r="D4313" t="str">
        <f>IFERROR(INDEX(tbl_input[집계키_청],ROW()-1),"")</f>
        <v/>
      </c>
    </row>
    <row r="4314" spans="1:4" x14ac:dyDescent="0.4">
      <c r="A4314" t="str">
        <f t="shared" si="134"/>
        <v/>
      </c>
      <c r="B4314" t="str">
        <f t="shared" si="135"/>
        <v/>
      </c>
      <c r="C4314" t="str">
        <f>IF(D4314="","",IF(COUNTIF($D$2:D4314,D4314)&gt;1,"",SUMIFS(tbl_input[필요수량],tbl_input[집계키_청],D4314)))</f>
        <v/>
      </c>
      <c r="D4314" t="str">
        <f>IFERROR(INDEX(tbl_input[집계키_청],ROW()-1),"")</f>
        <v/>
      </c>
    </row>
    <row r="4315" spans="1:4" x14ac:dyDescent="0.4">
      <c r="A4315" t="str">
        <f t="shared" si="134"/>
        <v/>
      </c>
      <c r="B4315" t="str">
        <f t="shared" si="135"/>
        <v/>
      </c>
      <c r="C4315" t="str">
        <f>IF(D4315="","",IF(COUNTIF($D$2:D4315,D4315)&gt;1,"",SUMIFS(tbl_input[필요수량],tbl_input[집계키_청],D4315)))</f>
        <v/>
      </c>
      <c r="D4315" t="str">
        <f>IFERROR(INDEX(tbl_input[집계키_청],ROW()-1),"")</f>
        <v/>
      </c>
    </row>
    <row r="4316" spans="1:4" x14ac:dyDescent="0.4">
      <c r="A4316" t="str">
        <f t="shared" si="134"/>
        <v/>
      </c>
      <c r="B4316" t="str">
        <f t="shared" si="135"/>
        <v/>
      </c>
      <c r="C4316" t="str">
        <f>IF(D4316="","",IF(COUNTIF($D$2:D4316,D4316)&gt;1,"",SUMIFS(tbl_input[필요수량],tbl_input[집계키_청],D4316)))</f>
        <v/>
      </c>
      <c r="D4316" t="str">
        <f>IFERROR(INDEX(tbl_input[집계키_청],ROW()-1),"")</f>
        <v/>
      </c>
    </row>
    <row r="4317" spans="1:4" x14ac:dyDescent="0.4">
      <c r="A4317" t="str">
        <f t="shared" si="134"/>
        <v/>
      </c>
      <c r="B4317" t="str">
        <f t="shared" si="135"/>
        <v/>
      </c>
      <c r="C4317" t="str">
        <f>IF(D4317="","",IF(COUNTIF($D$2:D4317,D4317)&gt;1,"",SUMIFS(tbl_input[필요수량],tbl_input[집계키_청],D4317)))</f>
        <v/>
      </c>
      <c r="D4317" t="str">
        <f>IFERROR(INDEX(tbl_input[집계키_청],ROW()-1),"")</f>
        <v/>
      </c>
    </row>
    <row r="4318" spans="1:4" x14ac:dyDescent="0.4">
      <c r="A4318" t="str">
        <f t="shared" si="134"/>
        <v/>
      </c>
      <c r="B4318" t="str">
        <f t="shared" si="135"/>
        <v/>
      </c>
      <c r="C4318" t="str">
        <f>IF(D4318="","",IF(COUNTIF($D$2:D4318,D4318)&gt;1,"",SUMIFS(tbl_input[필요수량],tbl_input[집계키_청],D4318)))</f>
        <v/>
      </c>
      <c r="D4318" t="str">
        <f>IFERROR(INDEX(tbl_input[집계키_청],ROW()-1),"")</f>
        <v/>
      </c>
    </row>
    <row r="4319" spans="1:4" x14ac:dyDescent="0.4">
      <c r="A4319" t="str">
        <f t="shared" si="134"/>
        <v/>
      </c>
      <c r="B4319" t="str">
        <f t="shared" si="135"/>
        <v/>
      </c>
      <c r="C4319" t="str">
        <f>IF(D4319="","",IF(COUNTIF($D$2:D4319,D4319)&gt;1,"",SUMIFS(tbl_input[필요수량],tbl_input[집계키_청],D4319)))</f>
        <v/>
      </c>
      <c r="D4319" t="str">
        <f>IFERROR(INDEX(tbl_input[집계키_청],ROW()-1),"")</f>
        <v/>
      </c>
    </row>
    <row r="4320" spans="1:4" x14ac:dyDescent="0.4">
      <c r="A4320" t="str">
        <f t="shared" si="134"/>
        <v/>
      </c>
      <c r="B4320" t="str">
        <f t="shared" si="135"/>
        <v/>
      </c>
      <c r="C4320" t="str">
        <f>IF(D4320="","",IF(COUNTIF($D$2:D4320,D4320)&gt;1,"",SUMIFS(tbl_input[필요수량],tbl_input[집계키_청],D4320)))</f>
        <v/>
      </c>
      <c r="D4320" t="str">
        <f>IFERROR(INDEX(tbl_input[집계키_청],ROW()-1),"")</f>
        <v/>
      </c>
    </row>
    <row r="4321" spans="1:4" x14ac:dyDescent="0.4">
      <c r="A4321" t="str">
        <f t="shared" si="134"/>
        <v/>
      </c>
      <c r="B4321" t="str">
        <f t="shared" si="135"/>
        <v/>
      </c>
      <c r="C4321" t="str">
        <f>IF(D4321="","",IF(COUNTIF($D$2:D4321,D4321)&gt;1,"",SUMIFS(tbl_input[필요수량],tbl_input[집계키_청],D4321)))</f>
        <v/>
      </c>
      <c r="D4321" t="str">
        <f>IFERROR(INDEX(tbl_input[집계키_청],ROW()-1),"")</f>
        <v/>
      </c>
    </row>
    <row r="4322" spans="1:4" x14ac:dyDescent="0.4">
      <c r="A4322" t="str">
        <f t="shared" si="134"/>
        <v/>
      </c>
      <c r="B4322" t="str">
        <f t="shared" si="135"/>
        <v/>
      </c>
      <c r="C4322" t="str">
        <f>IF(D4322="","",IF(COUNTIF($D$2:D4322,D4322)&gt;1,"",SUMIFS(tbl_input[필요수량],tbl_input[집계키_청],D4322)))</f>
        <v/>
      </c>
      <c r="D4322" t="str">
        <f>IFERROR(INDEX(tbl_input[집계키_청],ROW()-1),"")</f>
        <v/>
      </c>
    </row>
    <row r="4323" spans="1:4" x14ac:dyDescent="0.4">
      <c r="A4323" t="str">
        <f t="shared" si="134"/>
        <v/>
      </c>
      <c r="B4323" t="str">
        <f t="shared" si="135"/>
        <v/>
      </c>
      <c r="C4323" t="str">
        <f>IF(D4323="","",IF(COUNTIF($D$2:D4323,D4323)&gt;1,"",SUMIFS(tbl_input[필요수량],tbl_input[집계키_청],D4323)))</f>
        <v/>
      </c>
      <c r="D4323" t="str">
        <f>IFERROR(INDEX(tbl_input[집계키_청],ROW()-1),"")</f>
        <v/>
      </c>
    </row>
    <row r="4324" spans="1:4" x14ac:dyDescent="0.4">
      <c r="A4324" t="str">
        <f t="shared" si="134"/>
        <v/>
      </c>
      <c r="B4324" t="str">
        <f t="shared" si="135"/>
        <v/>
      </c>
      <c r="C4324" t="str">
        <f>IF(D4324="","",IF(COUNTIF($D$2:D4324,D4324)&gt;1,"",SUMIFS(tbl_input[필요수량],tbl_input[집계키_청],D4324)))</f>
        <v/>
      </c>
      <c r="D4324" t="str">
        <f>IFERROR(INDEX(tbl_input[집계키_청],ROW()-1),"")</f>
        <v/>
      </c>
    </row>
    <row r="4325" spans="1:4" x14ac:dyDescent="0.4">
      <c r="A4325" t="str">
        <f t="shared" si="134"/>
        <v/>
      </c>
      <c r="B4325" t="str">
        <f t="shared" si="135"/>
        <v/>
      </c>
      <c r="C4325" t="str">
        <f>IF(D4325="","",IF(COUNTIF($D$2:D4325,D4325)&gt;1,"",SUMIFS(tbl_input[필요수량],tbl_input[집계키_청],D4325)))</f>
        <v/>
      </c>
      <c r="D4325" t="str">
        <f>IFERROR(INDEX(tbl_input[집계키_청],ROW()-1),"")</f>
        <v/>
      </c>
    </row>
    <row r="4326" spans="1:4" x14ac:dyDescent="0.4">
      <c r="A4326" t="str">
        <f t="shared" si="134"/>
        <v/>
      </c>
      <c r="B4326" t="str">
        <f t="shared" si="135"/>
        <v/>
      </c>
      <c r="C4326" t="str">
        <f>IF(D4326="","",IF(COUNTIF($D$2:D4326,D4326)&gt;1,"",SUMIFS(tbl_input[필요수량],tbl_input[집계키_청],D4326)))</f>
        <v/>
      </c>
      <c r="D4326" t="str">
        <f>IFERROR(INDEX(tbl_input[집계키_청],ROW()-1),"")</f>
        <v/>
      </c>
    </row>
    <row r="4327" spans="1:4" x14ac:dyDescent="0.4">
      <c r="A4327" t="str">
        <f t="shared" si="134"/>
        <v/>
      </c>
      <c r="B4327" t="str">
        <f t="shared" si="135"/>
        <v/>
      </c>
      <c r="C4327" t="str">
        <f>IF(D4327="","",IF(COUNTIF($D$2:D4327,D4327)&gt;1,"",SUMIFS(tbl_input[필요수량],tbl_input[집계키_청],D4327)))</f>
        <v/>
      </c>
      <c r="D4327" t="str">
        <f>IFERROR(INDEX(tbl_input[집계키_청],ROW()-1),"")</f>
        <v/>
      </c>
    </row>
    <row r="4328" spans="1:4" x14ac:dyDescent="0.4">
      <c r="A4328" t="str">
        <f t="shared" si="134"/>
        <v/>
      </c>
      <c r="B4328" t="str">
        <f t="shared" si="135"/>
        <v/>
      </c>
      <c r="C4328" t="str">
        <f>IF(D4328="","",IF(COUNTIF($D$2:D4328,D4328)&gt;1,"",SUMIFS(tbl_input[필요수량],tbl_input[집계키_청],D4328)))</f>
        <v/>
      </c>
      <c r="D4328" t="str">
        <f>IFERROR(INDEX(tbl_input[집계키_청],ROW()-1),"")</f>
        <v/>
      </c>
    </row>
    <row r="4329" spans="1:4" x14ac:dyDescent="0.4">
      <c r="A4329" t="str">
        <f t="shared" si="134"/>
        <v/>
      </c>
      <c r="B4329" t="str">
        <f t="shared" si="135"/>
        <v/>
      </c>
      <c r="C4329" t="str">
        <f>IF(D4329="","",IF(COUNTIF($D$2:D4329,D4329)&gt;1,"",SUMIFS(tbl_input[필요수량],tbl_input[집계키_청],D4329)))</f>
        <v/>
      </c>
      <c r="D4329" t="str">
        <f>IFERROR(INDEX(tbl_input[집계키_청],ROW()-1),"")</f>
        <v/>
      </c>
    </row>
    <row r="4330" spans="1:4" x14ac:dyDescent="0.4">
      <c r="A4330" t="str">
        <f t="shared" si="134"/>
        <v/>
      </c>
      <c r="B4330" t="str">
        <f t="shared" si="135"/>
        <v/>
      </c>
      <c r="C4330" t="str">
        <f>IF(D4330="","",IF(COUNTIF($D$2:D4330,D4330)&gt;1,"",SUMIFS(tbl_input[필요수량],tbl_input[집계키_청],D4330)))</f>
        <v/>
      </c>
      <c r="D4330" t="str">
        <f>IFERROR(INDEX(tbl_input[집계키_청],ROW()-1),"")</f>
        <v/>
      </c>
    </row>
    <row r="4331" spans="1:4" x14ac:dyDescent="0.4">
      <c r="A4331" t="str">
        <f t="shared" si="134"/>
        <v/>
      </c>
      <c r="B4331" t="str">
        <f t="shared" si="135"/>
        <v/>
      </c>
      <c r="C4331" t="str">
        <f>IF(D4331="","",IF(COUNTIF($D$2:D4331,D4331)&gt;1,"",SUMIFS(tbl_input[필요수량],tbl_input[집계키_청],D4331)))</f>
        <v/>
      </c>
      <c r="D4331" t="str">
        <f>IFERROR(INDEX(tbl_input[집계키_청],ROW()-1),"")</f>
        <v/>
      </c>
    </row>
    <row r="4332" spans="1:4" x14ac:dyDescent="0.4">
      <c r="A4332" t="str">
        <f t="shared" si="134"/>
        <v/>
      </c>
      <c r="B4332" t="str">
        <f t="shared" si="135"/>
        <v/>
      </c>
      <c r="C4332" t="str">
        <f>IF(D4332="","",IF(COUNTIF($D$2:D4332,D4332)&gt;1,"",SUMIFS(tbl_input[필요수량],tbl_input[집계키_청],D4332)))</f>
        <v/>
      </c>
      <c r="D4332" t="str">
        <f>IFERROR(INDEX(tbl_input[집계키_청],ROW()-1),"")</f>
        <v/>
      </c>
    </row>
    <row r="4333" spans="1:4" x14ac:dyDescent="0.4">
      <c r="A4333" t="str">
        <f t="shared" si="134"/>
        <v/>
      </c>
      <c r="B4333" t="str">
        <f t="shared" si="135"/>
        <v/>
      </c>
      <c r="C4333" t="str">
        <f>IF(D4333="","",IF(COUNTIF($D$2:D4333,D4333)&gt;1,"",SUMIFS(tbl_input[필요수량],tbl_input[집계키_청],D4333)))</f>
        <v/>
      </c>
      <c r="D4333" t="str">
        <f>IFERROR(INDEX(tbl_input[집계키_청],ROW()-1),"")</f>
        <v/>
      </c>
    </row>
    <row r="4334" spans="1:4" x14ac:dyDescent="0.4">
      <c r="A4334" t="str">
        <f t="shared" si="134"/>
        <v/>
      </c>
      <c r="B4334" t="str">
        <f t="shared" si="135"/>
        <v/>
      </c>
      <c r="C4334" t="str">
        <f>IF(D4334="","",IF(COUNTIF($D$2:D4334,D4334)&gt;1,"",SUMIFS(tbl_input[필요수량],tbl_input[집계키_청],D4334)))</f>
        <v/>
      </c>
      <c r="D4334" t="str">
        <f>IFERROR(INDEX(tbl_input[집계키_청],ROW()-1),"")</f>
        <v/>
      </c>
    </row>
    <row r="4335" spans="1:4" x14ac:dyDescent="0.4">
      <c r="A4335" t="str">
        <f t="shared" si="134"/>
        <v/>
      </c>
      <c r="B4335" t="str">
        <f t="shared" si="135"/>
        <v/>
      </c>
      <c r="C4335" t="str">
        <f>IF(D4335="","",IF(COUNTIF($D$2:D4335,D4335)&gt;1,"",SUMIFS(tbl_input[필요수량],tbl_input[집계키_청],D4335)))</f>
        <v/>
      </c>
      <c r="D4335" t="str">
        <f>IFERROR(INDEX(tbl_input[집계키_청],ROW()-1),"")</f>
        <v/>
      </c>
    </row>
    <row r="4336" spans="1:4" x14ac:dyDescent="0.4">
      <c r="A4336" t="str">
        <f t="shared" si="134"/>
        <v/>
      </c>
      <c r="B4336" t="str">
        <f t="shared" si="135"/>
        <v/>
      </c>
      <c r="C4336" t="str">
        <f>IF(D4336="","",IF(COUNTIF($D$2:D4336,D4336)&gt;1,"",SUMIFS(tbl_input[필요수량],tbl_input[집계키_청],D4336)))</f>
        <v/>
      </c>
      <c r="D4336" t="str">
        <f>IFERROR(INDEX(tbl_input[집계키_청],ROW()-1),"")</f>
        <v/>
      </c>
    </row>
    <row r="4337" spans="1:4" x14ac:dyDescent="0.4">
      <c r="A4337" t="str">
        <f t="shared" si="134"/>
        <v/>
      </c>
      <c r="B4337" t="str">
        <f t="shared" si="135"/>
        <v/>
      </c>
      <c r="C4337" t="str">
        <f>IF(D4337="","",IF(COUNTIF($D$2:D4337,D4337)&gt;1,"",SUMIFS(tbl_input[필요수량],tbl_input[집계키_청],D4337)))</f>
        <v/>
      </c>
      <c r="D4337" t="str">
        <f>IFERROR(INDEX(tbl_input[집계키_청],ROW()-1),"")</f>
        <v/>
      </c>
    </row>
    <row r="4338" spans="1:4" x14ac:dyDescent="0.4">
      <c r="A4338" t="str">
        <f t="shared" si="134"/>
        <v/>
      </c>
      <c r="B4338" t="str">
        <f t="shared" si="135"/>
        <v/>
      </c>
      <c r="C4338" t="str">
        <f>IF(D4338="","",IF(COUNTIF($D$2:D4338,D4338)&gt;1,"",SUMIFS(tbl_input[필요수량],tbl_input[집계키_청],D4338)))</f>
        <v/>
      </c>
      <c r="D4338" t="str">
        <f>IFERROR(INDEX(tbl_input[집계키_청],ROW()-1),"")</f>
        <v/>
      </c>
    </row>
    <row r="4339" spans="1:4" x14ac:dyDescent="0.4">
      <c r="A4339" t="str">
        <f t="shared" si="134"/>
        <v/>
      </c>
      <c r="B4339" t="str">
        <f t="shared" si="135"/>
        <v/>
      </c>
      <c r="C4339" t="str">
        <f>IF(D4339="","",IF(COUNTIF($D$2:D4339,D4339)&gt;1,"",SUMIFS(tbl_input[필요수량],tbl_input[집계키_청],D4339)))</f>
        <v/>
      </c>
      <c r="D4339" t="str">
        <f>IFERROR(INDEX(tbl_input[집계키_청],ROW()-1),"")</f>
        <v/>
      </c>
    </row>
    <row r="4340" spans="1:4" x14ac:dyDescent="0.4">
      <c r="A4340" t="str">
        <f t="shared" si="134"/>
        <v/>
      </c>
      <c r="B4340" t="str">
        <f t="shared" si="135"/>
        <v/>
      </c>
      <c r="C4340" t="str">
        <f>IF(D4340="","",IF(COUNTIF($D$2:D4340,D4340)&gt;1,"",SUMIFS(tbl_input[필요수량],tbl_input[집계키_청],D4340)))</f>
        <v/>
      </c>
      <c r="D4340" t="str">
        <f>IFERROR(INDEX(tbl_input[집계키_청],ROW()-1),"")</f>
        <v/>
      </c>
    </row>
    <row r="4341" spans="1:4" x14ac:dyDescent="0.4">
      <c r="A4341" t="str">
        <f t="shared" si="134"/>
        <v/>
      </c>
      <c r="B4341" t="str">
        <f t="shared" si="135"/>
        <v/>
      </c>
      <c r="C4341" t="str">
        <f>IF(D4341="","",IF(COUNTIF($D$2:D4341,D4341)&gt;1,"",SUMIFS(tbl_input[필요수량],tbl_input[집계키_청],D4341)))</f>
        <v/>
      </c>
      <c r="D4341" t="str">
        <f>IFERROR(INDEX(tbl_input[집계키_청],ROW()-1),"")</f>
        <v/>
      </c>
    </row>
    <row r="4342" spans="1:4" x14ac:dyDescent="0.4">
      <c r="A4342" t="str">
        <f t="shared" si="134"/>
        <v/>
      </c>
      <c r="B4342" t="str">
        <f t="shared" si="135"/>
        <v/>
      </c>
      <c r="C4342" t="str">
        <f>IF(D4342="","",IF(COUNTIF($D$2:D4342,D4342)&gt;1,"",SUMIFS(tbl_input[필요수량],tbl_input[집계키_청],D4342)))</f>
        <v/>
      </c>
      <c r="D4342" t="str">
        <f>IFERROR(INDEX(tbl_input[집계키_청],ROW()-1),"")</f>
        <v/>
      </c>
    </row>
    <row r="4343" spans="1:4" x14ac:dyDescent="0.4">
      <c r="A4343" t="str">
        <f t="shared" si="134"/>
        <v/>
      </c>
      <c r="B4343" t="str">
        <f t="shared" si="135"/>
        <v/>
      </c>
      <c r="C4343" t="str">
        <f>IF(D4343="","",IF(COUNTIF($D$2:D4343,D4343)&gt;1,"",SUMIFS(tbl_input[필요수량],tbl_input[집계키_청],D4343)))</f>
        <v/>
      </c>
      <c r="D4343" t="str">
        <f>IFERROR(INDEX(tbl_input[집계키_청],ROW()-1),"")</f>
        <v/>
      </c>
    </row>
    <row r="4344" spans="1:4" x14ac:dyDescent="0.4">
      <c r="A4344" t="str">
        <f t="shared" si="134"/>
        <v/>
      </c>
      <c r="B4344" t="str">
        <f t="shared" si="135"/>
        <v/>
      </c>
      <c r="C4344" t="str">
        <f>IF(D4344="","",IF(COUNTIF($D$2:D4344,D4344)&gt;1,"",SUMIFS(tbl_input[필요수량],tbl_input[집계키_청],D4344)))</f>
        <v/>
      </c>
      <c r="D4344" t="str">
        <f>IFERROR(INDEX(tbl_input[집계키_청],ROW()-1),"")</f>
        <v/>
      </c>
    </row>
    <row r="4345" spans="1:4" x14ac:dyDescent="0.4">
      <c r="A4345" t="str">
        <f t="shared" si="134"/>
        <v/>
      </c>
      <c r="B4345" t="str">
        <f t="shared" si="135"/>
        <v/>
      </c>
      <c r="C4345" t="str">
        <f>IF(D4345="","",IF(COUNTIF($D$2:D4345,D4345)&gt;1,"",SUMIFS(tbl_input[필요수량],tbl_input[집계키_청],D4345)))</f>
        <v/>
      </c>
      <c r="D4345" t="str">
        <f>IFERROR(INDEX(tbl_input[집계키_청],ROW()-1),"")</f>
        <v/>
      </c>
    </row>
    <row r="4346" spans="1:4" x14ac:dyDescent="0.4">
      <c r="A4346" t="str">
        <f t="shared" si="134"/>
        <v/>
      </c>
      <c r="B4346" t="str">
        <f t="shared" si="135"/>
        <v/>
      </c>
      <c r="C4346" t="str">
        <f>IF(D4346="","",IF(COUNTIF($D$2:D4346,D4346)&gt;1,"",SUMIFS(tbl_input[필요수량],tbl_input[집계키_청],D4346)))</f>
        <v/>
      </c>
      <c r="D4346" t="str">
        <f>IFERROR(INDEX(tbl_input[집계키_청],ROW()-1),"")</f>
        <v/>
      </c>
    </row>
    <row r="4347" spans="1:4" x14ac:dyDescent="0.4">
      <c r="A4347" t="str">
        <f t="shared" si="134"/>
        <v/>
      </c>
      <c r="B4347" t="str">
        <f t="shared" si="135"/>
        <v/>
      </c>
      <c r="C4347" t="str">
        <f>IF(D4347="","",IF(COUNTIF($D$2:D4347,D4347)&gt;1,"",SUMIFS(tbl_input[필요수량],tbl_input[집계키_청],D4347)))</f>
        <v/>
      </c>
      <c r="D4347" t="str">
        <f>IFERROR(INDEX(tbl_input[집계키_청],ROW()-1),"")</f>
        <v/>
      </c>
    </row>
    <row r="4348" spans="1:4" x14ac:dyDescent="0.4">
      <c r="A4348" t="str">
        <f t="shared" si="134"/>
        <v/>
      </c>
      <c r="B4348" t="str">
        <f t="shared" si="135"/>
        <v/>
      </c>
      <c r="C4348" t="str">
        <f>IF(D4348="","",IF(COUNTIF($D$2:D4348,D4348)&gt;1,"",SUMIFS(tbl_input[필요수량],tbl_input[집계키_청],D4348)))</f>
        <v/>
      </c>
      <c r="D4348" t="str">
        <f>IFERROR(INDEX(tbl_input[집계키_청],ROW()-1),"")</f>
        <v/>
      </c>
    </row>
    <row r="4349" spans="1:4" x14ac:dyDescent="0.4">
      <c r="A4349" t="str">
        <f t="shared" si="134"/>
        <v/>
      </c>
      <c r="B4349" t="str">
        <f t="shared" si="135"/>
        <v/>
      </c>
      <c r="C4349" t="str">
        <f>IF(D4349="","",IF(COUNTIF($D$2:D4349,D4349)&gt;1,"",SUMIFS(tbl_input[필요수량],tbl_input[집계키_청],D4349)))</f>
        <v/>
      </c>
      <c r="D4349" t="str">
        <f>IFERROR(INDEX(tbl_input[집계키_청],ROW()-1),"")</f>
        <v/>
      </c>
    </row>
    <row r="4350" spans="1:4" x14ac:dyDescent="0.4">
      <c r="A4350" t="str">
        <f t="shared" si="134"/>
        <v/>
      </c>
      <c r="B4350" t="str">
        <f t="shared" si="135"/>
        <v/>
      </c>
      <c r="C4350" t="str">
        <f>IF(D4350="","",IF(COUNTIF($D$2:D4350,D4350)&gt;1,"",SUMIFS(tbl_input[필요수량],tbl_input[집계키_청],D4350)))</f>
        <v/>
      </c>
      <c r="D4350" t="str">
        <f>IFERROR(INDEX(tbl_input[집계키_청],ROW()-1),"")</f>
        <v/>
      </c>
    </row>
    <row r="4351" spans="1:4" x14ac:dyDescent="0.4">
      <c r="A4351" t="str">
        <f t="shared" si="134"/>
        <v/>
      </c>
      <c r="B4351" t="str">
        <f t="shared" si="135"/>
        <v/>
      </c>
      <c r="C4351" t="str">
        <f>IF(D4351="","",IF(COUNTIF($D$2:D4351,D4351)&gt;1,"",SUMIFS(tbl_input[필요수량],tbl_input[집계키_청],D4351)))</f>
        <v/>
      </c>
      <c r="D4351" t="str">
        <f>IFERROR(INDEX(tbl_input[집계키_청],ROW()-1),"")</f>
        <v/>
      </c>
    </row>
    <row r="4352" spans="1:4" x14ac:dyDescent="0.4">
      <c r="A4352" t="str">
        <f t="shared" si="134"/>
        <v/>
      </c>
      <c r="B4352" t="str">
        <f t="shared" si="135"/>
        <v/>
      </c>
      <c r="C4352" t="str">
        <f>IF(D4352="","",IF(COUNTIF($D$2:D4352,D4352)&gt;1,"",SUMIFS(tbl_input[필요수량],tbl_input[집계키_청],D4352)))</f>
        <v/>
      </c>
      <c r="D4352" t="str">
        <f>IFERROR(INDEX(tbl_input[집계키_청],ROW()-1),"")</f>
        <v/>
      </c>
    </row>
    <row r="4353" spans="1:4" x14ac:dyDescent="0.4">
      <c r="A4353" t="str">
        <f t="shared" si="134"/>
        <v/>
      </c>
      <c r="B4353" t="str">
        <f t="shared" si="135"/>
        <v/>
      </c>
      <c r="C4353" t="str">
        <f>IF(D4353="","",IF(COUNTIF($D$2:D4353,D4353)&gt;1,"",SUMIFS(tbl_input[필요수량],tbl_input[집계키_청],D4353)))</f>
        <v/>
      </c>
      <c r="D4353" t="str">
        <f>IFERROR(INDEX(tbl_input[집계키_청],ROW()-1),"")</f>
        <v/>
      </c>
    </row>
    <row r="4354" spans="1:4" x14ac:dyDescent="0.4">
      <c r="A4354" t="str">
        <f t="shared" ref="A4354:A4417" si="136">IF(D4354="","",LEFT(D4354,FIND("♦",D4354)-1))</f>
        <v/>
      </c>
      <c r="B4354" t="str">
        <f t="shared" ref="B4354:B4417" si="137">IF(D4354="","",MID(D4354,FIND("♦",D4354)+1,999))</f>
        <v/>
      </c>
      <c r="C4354" t="str">
        <f>IF(D4354="","",IF(COUNTIF($D$2:D4354,D4354)&gt;1,"",SUMIFS(tbl_input[필요수량],tbl_input[집계키_청],D4354)))</f>
        <v/>
      </c>
      <c r="D4354" t="str">
        <f>IFERROR(INDEX(tbl_input[집계키_청],ROW()-1),"")</f>
        <v/>
      </c>
    </row>
    <row r="4355" spans="1:4" x14ac:dyDescent="0.4">
      <c r="A4355" t="str">
        <f t="shared" si="136"/>
        <v/>
      </c>
      <c r="B4355" t="str">
        <f t="shared" si="137"/>
        <v/>
      </c>
      <c r="C4355" t="str">
        <f>IF(D4355="","",IF(COUNTIF($D$2:D4355,D4355)&gt;1,"",SUMIFS(tbl_input[필요수량],tbl_input[집계키_청],D4355)))</f>
        <v/>
      </c>
      <c r="D4355" t="str">
        <f>IFERROR(INDEX(tbl_input[집계키_청],ROW()-1),"")</f>
        <v/>
      </c>
    </row>
    <row r="4356" spans="1:4" x14ac:dyDescent="0.4">
      <c r="A4356" t="str">
        <f t="shared" si="136"/>
        <v/>
      </c>
      <c r="B4356" t="str">
        <f t="shared" si="137"/>
        <v/>
      </c>
      <c r="C4356" t="str">
        <f>IF(D4356="","",IF(COUNTIF($D$2:D4356,D4356)&gt;1,"",SUMIFS(tbl_input[필요수량],tbl_input[집계키_청],D4356)))</f>
        <v/>
      </c>
      <c r="D4356" t="str">
        <f>IFERROR(INDEX(tbl_input[집계키_청],ROW()-1),"")</f>
        <v/>
      </c>
    </row>
    <row r="4357" spans="1:4" x14ac:dyDescent="0.4">
      <c r="A4357" t="str">
        <f t="shared" si="136"/>
        <v/>
      </c>
      <c r="B4357" t="str">
        <f t="shared" si="137"/>
        <v/>
      </c>
      <c r="C4357" t="str">
        <f>IF(D4357="","",IF(COUNTIF($D$2:D4357,D4357)&gt;1,"",SUMIFS(tbl_input[필요수량],tbl_input[집계키_청],D4357)))</f>
        <v/>
      </c>
      <c r="D4357" t="str">
        <f>IFERROR(INDEX(tbl_input[집계키_청],ROW()-1),"")</f>
        <v/>
      </c>
    </row>
    <row r="4358" spans="1:4" x14ac:dyDescent="0.4">
      <c r="A4358" t="str">
        <f t="shared" si="136"/>
        <v/>
      </c>
      <c r="B4358" t="str">
        <f t="shared" si="137"/>
        <v/>
      </c>
      <c r="C4358" t="str">
        <f>IF(D4358="","",IF(COUNTIF($D$2:D4358,D4358)&gt;1,"",SUMIFS(tbl_input[필요수량],tbl_input[집계키_청],D4358)))</f>
        <v/>
      </c>
      <c r="D4358" t="str">
        <f>IFERROR(INDEX(tbl_input[집계키_청],ROW()-1),"")</f>
        <v/>
      </c>
    </row>
    <row r="4359" spans="1:4" x14ac:dyDescent="0.4">
      <c r="A4359" t="str">
        <f t="shared" si="136"/>
        <v/>
      </c>
      <c r="B4359" t="str">
        <f t="shared" si="137"/>
        <v/>
      </c>
      <c r="C4359" t="str">
        <f>IF(D4359="","",IF(COUNTIF($D$2:D4359,D4359)&gt;1,"",SUMIFS(tbl_input[필요수량],tbl_input[집계키_청],D4359)))</f>
        <v/>
      </c>
      <c r="D4359" t="str">
        <f>IFERROR(INDEX(tbl_input[집계키_청],ROW()-1),"")</f>
        <v/>
      </c>
    </row>
    <row r="4360" spans="1:4" x14ac:dyDescent="0.4">
      <c r="A4360" t="str">
        <f t="shared" si="136"/>
        <v/>
      </c>
      <c r="B4360" t="str">
        <f t="shared" si="137"/>
        <v/>
      </c>
      <c r="C4360" t="str">
        <f>IF(D4360="","",IF(COUNTIF($D$2:D4360,D4360)&gt;1,"",SUMIFS(tbl_input[필요수량],tbl_input[집계키_청],D4360)))</f>
        <v/>
      </c>
      <c r="D4360" t="str">
        <f>IFERROR(INDEX(tbl_input[집계키_청],ROW()-1),"")</f>
        <v/>
      </c>
    </row>
    <row r="4361" spans="1:4" x14ac:dyDescent="0.4">
      <c r="A4361" t="str">
        <f t="shared" si="136"/>
        <v/>
      </c>
      <c r="B4361" t="str">
        <f t="shared" si="137"/>
        <v/>
      </c>
      <c r="C4361" t="str">
        <f>IF(D4361="","",IF(COUNTIF($D$2:D4361,D4361)&gt;1,"",SUMIFS(tbl_input[필요수량],tbl_input[집계키_청],D4361)))</f>
        <v/>
      </c>
      <c r="D4361" t="str">
        <f>IFERROR(INDEX(tbl_input[집계키_청],ROW()-1),"")</f>
        <v/>
      </c>
    </row>
    <row r="4362" spans="1:4" x14ac:dyDescent="0.4">
      <c r="A4362" t="str">
        <f t="shared" si="136"/>
        <v/>
      </c>
      <c r="B4362" t="str">
        <f t="shared" si="137"/>
        <v/>
      </c>
      <c r="C4362" t="str">
        <f>IF(D4362="","",IF(COUNTIF($D$2:D4362,D4362)&gt;1,"",SUMIFS(tbl_input[필요수량],tbl_input[집계키_청],D4362)))</f>
        <v/>
      </c>
      <c r="D4362" t="str">
        <f>IFERROR(INDEX(tbl_input[집계키_청],ROW()-1),"")</f>
        <v/>
      </c>
    </row>
    <row r="4363" spans="1:4" x14ac:dyDescent="0.4">
      <c r="A4363" t="str">
        <f t="shared" si="136"/>
        <v/>
      </c>
      <c r="B4363" t="str">
        <f t="shared" si="137"/>
        <v/>
      </c>
      <c r="C4363" t="str">
        <f>IF(D4363="","",IF(COUNTIF($D$2:D4363,D4363)&gt;1,"",SUMIFS(tbl_input[필요수량],tbl_input[집계키_청],D4363)))</f>
        <v/>
      </c>
      <c r="D4363" t="str">
        <f>IFERROR(INDEX(tbl_input[집계키_청],ROW()-1),"")</f>
        <v/>
      </c>
    </row>
    <row r="4364" spans="1:4" x14ac:dyDescent="0.4">
      <c r="A4364" t="str">
        <f t="shared" si="136"/>
        <v/>
      </c>
      <c r="B4364" t="str">
        <f t="shared" si="137"/>
        <v/>
      </c>
      <c r="C4364" t="str">
        <f>IF(D4364="","",IF(COUNTIF($D$2:D4364,D4364)&gt;1,"",SUMIFS(tbl_input[필요수량],tbl_input[집계키_청],D4364)))</f>
        <v/>
      </c>
      <c r="D4364" t="str">
        <f>IFERROR(INDEX(tbl_input[집계키_청],ROW()-1),"")</f>
        <v/>
      </c>
    </row>
    <row r="4365" spans="1:4" x14ac:dyDescent="0.4">
      <c r="A4365" t="str">
        <f t="shared" si="136"/>
        <v/>
      </c>
      <c r="B4365" t="str">
        <f t="shared" si="137"/>
        <v/>
      </c>
      <c r="C4365" t="str">
        <f>IF(D4365="","",IF(COUNTIF($D$2:D4365,D4365)&gt;1,"",SUMIFS(tbl_input[필요수량],tbl_input[집계키_청],D4365)))</f>
        <v/>
      </c>
      <c r="D4365" t="str">
        <f>IFERROR(INDEX(tbl_input[집계키_청],ROW()-1),"")</f>
        <v/>
      </c>
    </row>
    <row r="4366" spans="1:4" x14ac:dyDescent="0.4">
      <c r="A4366" t="str">
        <f t="shared" si="136"/>
        <v/>
      </c>
      <c r="B4366" t="str">
        <f t="shared" si="137"/>
        <v/>
      </c>
      <c r="C4366" t="str">
        <f>IF(D4366="","",IF(COUNTIF($D$2:D4366,D4366)&gt;1,"",SUMIFS(tbl_input[필요수량],tbl_input[집계키_청],D4366)))</f>
        <v/>
      </c>
      <c r="D4366" t="str">
        <f>IFERROR(INDEX(tbl_input[집계키_청],ROW()-1),"")</f>
        <v/>
      </c>
    </row>
    <row r="4367" spans="1:4" x14ac:dyDescent="0.4">
      <c r="A4367" t="str">
        <f t="shared" si="136"/>
        <v/>
      </c>
      <c r="B4367" t="str">
        <f t="shared" si="137"/>
        <v/>
      </c>
      <c r="C4367" t="str">
        <f>IF(D4367="","",IF(COUNTIF($D$2:D4367,D4367)&gt;1,"",SUMIFS(tbl_input[필요수량],tbl_input[집계키_청],D4367)))</f>
        <v/>
      </c>
      <c r="D4367" t="str">
        <f>IFERROR(INDEX(tbl_input[집계키_청],ROW()-1),"")</f>
        <v/>
      </c>
    </row>
    <row r="4368" spans="1:4" x14ac:dyDescent="0.4">
      <c r="A4368" t="str">
        <f t="shared" si="136"/>
        <v/>
      </c>
      <c r="B4368" t="str">
        <f t="shared" si="137"/>
        <v/>
      </c>
      <c r="C4368" t="str">
        <f>IF(D4368="","",IF(COUNTIF($D$2:D4368,D4368)&gt;1,"",SUMIFS(tbl_input[필요수량],tbl_input[집계키_청],D4368)))</f>
        <v/>
      </c>
      <c r="D4368" t="str">
        <f>IFERROR(INDEX(tbl_input[집계키_청],ROW()-1),"")</f>
        <v/>
      </c>
    </row>
    <row r="4369" spans="1:4" x14ac:dyDescent="0.4">
      <c r="A4369" t="str">
        <f t="shared" si="136"/>
        <v/>
      </c>
      <c r="B4369" t="str">
        <f t="shared" si="137"/>
        <v/>
      </c>
      <c r="C4369" t="str">
        <f>IF(D4369="","",IF(COUNTIF($D$2:D4369,D4369)&gt;1,"",SUMIFS(tbl_input[필요수량],tbl_input[집계키_청],D4369)))</f>
        <v/>
      </c>
      <c r="D4369" t="str">
        <f>IFERROR(INDEX(tbl_input[집계키_청],ROW()-1),"")</f>
        <v/>
      </c>
    </row>
    <row r="4370" spans="1:4" x14ac:dyDescent="0.4">
      <c r="A4370" t="str">
        <f t="shared" si="136"/>
        <v/>
      </c>
      <c r="B4370" t="str">
        <f t="shared" si="137"/>
        <v/>
      </c>
      <c r="C4370" t="str">
        <f>IF(D4370="","",IF(COUNTIF($D$2:D4370,D4370)&gt;1,"",SUMIFS(tbl_input[필요수량],tbl_input[집계키_청],D4370)))</f>
        <v/>
      </c>
      <c r="D4370" t="str">
        <f>IFERROR(INDEX(tbl_input[집계키_청],ROW()-1),"")</f>
        <v/>
      </c>
    </row>
    <row r="4371" spans="1:4" x14ac:dyDescent="0.4">
      <c r="A4371" t="str">
        <f t="shared" si="136"/>
        <v/>
      </c>
      <c r="B4371" t="str">
        <f t="shared" si="137"/>
        <v/>
      </c>
      <c r="C4371" t="str">
        <f>IF(D4371="","",IF(COUNTIF($D$2:D4371,D4371)&gt;1,"",SUMIFS(tbl_input[필요수량],tbl_input[집계키_청],D4371)))</f>
        <v/>
      </c>
      <c r="D4371" t="str">
        <f>IFERROR(INDEX(tbl_input[집계키_청],ROW()-1),"")</f>
        <v/>
      </c>
    </row>
    <row r="4372" spans="1:4" x14ac:dyDescent="0.4">
      <c r="A4372" t="str">
        <f t="shared" si="136"/>
        <v/>
      </c>
      <c r="B4372" t="str">
        <f t="shared" si="137"/>
        <v/>
      </c>
      <c r="C4372" t="str">
        <f>IF(D4372="","",IF(COUNTIF($D$2:D4372,D4372)&gt;1,"",SUMIFS(tbl_input[필요수량],tbl_input[집계키_청],D4372)))</f>
        <v/>
      </c>
      <c r="D4372" t="str">
        <f>IFERROR(INDEX(tbl_input[집계키_청],ROW()-1),"")</f>
        <v/>
      </c>
    </row>
    <row r="4373" spans="1:4" x14ac:dyDescent="0.4">
      <c r="A4373" t="str">
        <f t="shared" si="136"/>
        <v/>
      </c>
      <c r="B4373" t="str">
        <f t="shared" si="137"/>
        <v/>
      </c>
      <c r="C4373" t="str">
        <f>IF(D4373="","",IF(COUNTIF($D$2:D4373,D4373)&gt;1,"",SUMIFS(tbl_input[필요수량],tbl_input[집계키_청],D4373)))</f>
        <v/>
      </c>
      <c r="D4373" t="str">
        <f>IFERROR(INDEX(tbl_input[집계키_청],ROW()-1),"")</f>
        <v/>
      </c>
    </row>
    <row r="4374" spans="1:4" x14ac:dyDescent="0.4">
      <c r="A4374" t="str">
        <f t="shared" si="136"/>
        <v/>
      </c>
      <c r="B4374" t="str">
        <f t="shared" si="137"/>
        <v/>
      </c>
      <c r="C4374" t="str">
        <f>IF(D4374="","",IF(COUNTIF($D$2:D4374,D4374)&gt;1,"",SUMIFS(tbl_input[필요수량],tbl_input[집계키_청],D4374)))</f>
        <v/>
      </c>
      <c r="D4374" t="str">
        <f>IFERROR(INDEX(tbl_input[집계키_청],ROW()-1),"")</f>
        <v/>
      </c>
    </row>
    <row r="4375" spans="1:4" x14ac:dyDescent="0.4">
      <c r="A4375" t="str">
        <f t="shared" si="136"/>
        <v/>
      </c>
      <c r="B4375" t="str">
        <f t="shared" si="137"/>
        <v/>
      </c>
      <c r="C4375" t="str">
        <f>IF(D4375="","",IF(COUNTIF($D$2:D4375,D4375)&gt;1,"",SUMIFS(tbl_input[필요수량],tbl_input[집계키_청],D4375)))</f>
        <v/>
      </c>
      <c r="D4375" t="str">
        <f>IFERROR(INDEX(tbl_input[집계키_청],ROW()-1),"")</f>
        <v/>
      </c>
    </row>
    <row r="4376" spans="1:4" x14ac:dyDescent="0.4">
      <c r="A4376" t="str">
        <f t="shared" si="136"/>
        <v/>
      </c>
      <c r="B4376" t="str">
        <f t="shared" si="137"/>
        <v/>
      </c>
      <c r="C4376" t="str">
        <f>IF(D4376="","",IF(COUNTIF($D$2:D4376,D4376)&gt;1,"",SUMIFS(tbl_input[필요수량],tbl_input[집계키_청],D4376)))</f>
        <v/>
      </c>
      <c r="D4376" t="str">
        <f>IFERROR(INDEX(tbl_input[집계키_청],ROW()-1),"")</f>
        <v/>
      </c>
    </row>
    <row r="4377" spans="1:4" x14ac:dyDescent="0.4">
      <c r="A4377" t="str">
        <f t="shared" si="136"/>
        <v/>
      </c>
      <c r="B4377" t="str">
        <f t="shared" si="137"/>
        <v/>
      </c>
      <c r="C4377" t="str">
        <f>IF(D4377="","",IF(COUNTIF($D$2:D4377,D4377)&gt;1,"",SUMIFS(tbl_input[필요수량],tbl_input[집계키_청],D4377)))</f>
        <v/>
      </c>
      <c r="D4377" t="str">
        <f>IFERROR(INDEX(tbl_input[집계키_청],ROW()-1),"")</f>
        <v/>
      </c>
    </row>
    <row r="4378" spans="1:4" x14ac:dyDescent="0.4">
      <c r="A4378" t="str">
        <f t="shared" si="136"/>
        <v/>
      </c>
      <c r="B4378" t="str">
        <f t="shared" si="137"/>
        <v/>
      </c>
      <c r="C4378" t="str">
        <f>IF(D4378="","",IF(COUNTIF($D$2:D4378,D4378)&gt;1,"",SUMIFS(tbl_input[필요수량],tbl_input[집계키_청],D4378)))</f>
        <v/>
      </c>
      <c r="D4378" t="str">
        <f>IFERROR(INDEX(tbl_input[집계키_청],ROW()-1),"")</f>
        <v/>
      </c>
    </row>
    <row r="4379" spans="1:4" x14ac:dyDescent="0.4">
      <c r="A4379" t="str">
        <f t="shared" si="136"/>
        <v/>
      </c>
      <c r="B4379" t="str">
        <f t="shared" si="137"/>
        <v/>
      </c>
      <c r="C4379" t="str">
        <f>IF(D4379="","",IF(COUNTIF($D$2:D4379,D4379)&gt;1,"",SUMIFS(tbl_input[필요수량],tbl_input[집계키_청],D4379)))</f>
        <v/>
      </c>
      <c r="D4379" t="str">
        <f>IFERROR(INDEX(tbl_input[집계키_청],ROW()-1),"")</f>
        <v/>
      </c>
    </row>
    <row r="4380" spans="1:4" x14ac:dyDescent="0.4">
      <c r="A4380" t="str">
        <f t="shared" si="136"/>
        <v/>
      </c>
      <c r="B4380" t="str">
        <f t="shared" si="137"/>
        <v/>
      </c>
      <c r="C4380" t="str">
        <f>IF(D4380="","",IF(COUNTIF($D$2:D4380,D4380)&gt;1,"",SUMIFS(tbl_input[필요수량],tbl_input[집계키_청],D4380)))</f>
        <v/>
      </c>
      <c r="D4380" t="str">
        <f>IFERROR(INDEX(tbl_input[집계키_청],ROW()-1),"")</f>
        <v/>
      </c>
    </row>
    <row r="4381" spans="1:4" x14ac:dyDescent="0.4">
      <c r="A4381" t="str">
        <f t="shared" si="136"/>
        <v/>
      </c>
      <c r="B4381" t="str">
        <f t="shared" si="137"/>
        <v/>
      </c>
      <c r="C4381" t="str">
        <f>IF(D4381="","",IF(COUNTIF($D$2:D4381,D4381)&gt;1,"",SUMIFS(tbl_input[필요수량],tbl_input[집계키_청],D4381)))</f>
        <v/>
      </c>
      <c r="D4381" t="str">
        <f>IFERROR(INDEX(tbl_input[집계키_청],ROW()-1),"")</f>
        <v/>
      </c>
    </row>
    <row r="4382" spans="1:4" x14ac:dyDescent="0.4">
      <c r="A4382" t="str">
        <f t="shared" si="136"/>
        <v/>
      </c>
      <c r="B4382" t="str">
        <f t="shared" si="137"/>
        <v/>
      </c>
      <c r="C4382" t="str">
        <f>IF(D4382="","",IF(COUNTIF($D$2:D4382,D4382)&gt;1,"",SUMIFS(tbl_input[필요수량],tbl_input[집계키_청],D4382)))</f>
        <v/>
      </c>
      <c r="D4382" t="str">
        <f>IFERROR(INDEX(tbl_input[집계키_청],ROW()-1),"")</f>
        <v/>
      </c>
    </row>
    <row r="4383" spans="1:4" x14ac:dyDescent="0.4">
      <c r="A4383" t="str">
        <f t="shared" si="136"/>
        <v/>
      </c>
      <c r="B4383" t="str">
        <f t="shared" si="137"/>
        <v/>
      </c>
      <c r="C4383" t="str">
        <f>IF(D4383="","",IF(COUNTIF($D$2:D4383,D4383)&gt;1,"",SUMIFS(tbl_input[필요수량],tbl_input[집계키_청],D4383)))</f>
        <v/>
      </c>
      <c r="D4383" t="str">
        <f>IFERROR(INDEX(tbl_input[집계키_청],ROW()-1),"")</f>
        <v/>
      </c>
    </row>
    <row r="4384" spans="1:4" x14ac:dyDescent="0.4">
      <c r="A4384" t="str">
        <f t="shared" si="136"/>
        <v/>
      </c>
      <c r="B4384" t="str">
        <f t="shared" si="137"/>
        <v/>
      </c>
      <c r="C4384" t="str">
        <f>IF(D4384="","",IF(COUNTIF($D$2:D4384,D4384)&gt;1,"",SUMIFS(tbl_input[필요수량],tbl_input[집계키_청],D4384)))</f>
        <v/>
      </c>
      <c r="D4384" t="str">
        <f>IFERROR(INDEX(tbl_input[집계키_청],ROW()-1),"")</f>
        <v/>
      </c>
    </row>
    <row r="4385" spans="1:4" x14ac:dyDescent="0.4">
      <c r="A4385" t="str">
        <f t="shared" si="136"/>
        <v/>
      </c>
      <c r="B4385" t="str">
        <f t="shared" si="137"/>
        <v/>
      </c>
      <c r="C4385" t="str">
        <f>IF(D4385="","",IF(COUNTIF($D$2:D4385,D4385)&gt;1,"",SUMIFS(tbl_input[필요수량],tbl_input[집계키_청],D4385)))</f>
        <v/>
      </c>
      <c r="D4385" t="str">
        <f>IFERROR(INDEX(tbl_input[집계키_청],ROW()-1),"")</f>
        <v/>
      </c>
    </row>
    <row r="4386" spans="1:4" x14ac:dyDescent="0.4">
      <c r="A4386" t="str">
        <f t="shared" si="136"/>
        <v/>
      </c>
      <c r="B4386" t="str">
        <f t="shared" si="137"/>
        <v/>
      </c>
      <c r="C4386" t="str">
        <f>IF(D4386="","",IF(COUNTIF($D$2:D4386,D4386)&gt;1,"",SUMIFS(tbl_input[필요수량],tbl_input[집계키_청],D4386)))</f>
        <v/>
      </c>
      <c r="D4386" t="str">
        <f>IFERROR(INDEX(tbl_input[집계키_청],ROW()-1),"")</f>
        <v/>
      </c>
    </row>
    <row r="4387" spans="1:4" x14ac:dyDescent="0.4">
      <c r="A4387" t="str">
        <f t="shared" si="136"/>
        <v/>
      </c>
      <c r="B4387" t="str">
        <f t="shared" si="137"/>
        <v/>
      </c>
      <c r="C4387" t="str">
        <f>IF(D4387="","",IF(COUNTIF($D$2:D4387,D4387)&gt;1,"",SUMIFS(tbl_input[필요수량],tbl_input[집계키_청],D4387)))</f>
        <v/>
      </c>
      <c r="D4387" t="str">
        <f>IFERROR(INDEX(tbl_input[집계키_청],ROW()-1),"")</f>
        <v/>
      </c>
    </row>
    <row r="4388" spans="1:4" x14ac:dyDescent="0.4">
      <c r="A4388" t="str">
        <f t="shared" si="136"/>
        <v/>
      </c>
      <c r="B4388" t="str">
        <f t="shared" si="137"/>
        <v/>
      </c>
      <c r="C4388" t="str">
        <f>IF(D4388="","",IF(COUNTIF($D$2:D4388,D4388)&gt;1,"",SUMIFS(tbl_input[필요수량],tbl_input[집계키_청],D4388)))</f>
        <v/>
      </c>
      <c r="D4388" t="str">
        <f>IFERROR(INDEX(tbl_input[집계키_청],ROW()-1),"")</f>
        <v/>
      </c>
    </row>
    <row r="4389" spans="1:4" x14ac:dyDescent="0.4">
      <c r="A4389" t="str">
        <f t="shared" si="136"/>
        <v/>
      </c>
      <c r="B4389" t="str">
        <f t="shared" si="137"/>
        <v/>
      </c>
      <c r="C4389" t="str">
        <f>IF(D4389="","",IF(COUNTIF($D$2:D4389,D4389)&gt;1,"",SUMIFS(tbl_input[필요수량],tbl_input[집계키_청],D4389)))</f>
        <v/>
      </c>
      <c r="D4389" t="str">
        <f>IFERROR(INDEX(tbl_input[집계키_청],ROW()-1),"")</f>
        <v/>
      </c>
    </row>
    <row r="4390" spans="1:4" x14ac:dyDescent="0.4">
      <c r="A4390" t="str">
        <f t="shared" si="136"/>
        <v/>
      </c>
      <c r="B4390" t="str">
        <f t="shared" si="137"/>
        <v/>
      </c>
      <c r="C4390" t="str">
        <f>IF(D4390="","",IF(COUNTIF($D$2:D4390,D4390)&gt;1,"",SUMIFS(tbl_input[필요수량],tbl_input[집계키_청],D4390)))</f>
        <v/>
      </c>
      <c r="D4390" t="str">
        <f>IFERROR(INDEX(tbl_input[집계키_청],ROW()-1),"")</f>
        <v/>
      </c>
    </row>
    <row r="4391" spans="1:4" x14ac:dyDescent="0.4">
      <c r="A4391" t="str">
        <f t="shared" si="136"/>
        <v/>
      </c>
      <c r="B4391" t="str">
        <f t="shared" si="137"/>
        <v/>
      </c>
      <c r="C4391" t="str">
        <f>IF(D4391="","",IF(COUNTIF($D$2:D4391,D4391)&gt;1,"",SUMIFS(tbl_input[필요수량],tbl_input[집계키_청],D4391)))</f>
        <v/>
      </c>
      <c r="D4391" t="str">
        <f>IFERROR(INDEX(tbl_input[집계키_청],ROW()-1),"")</f>
        <v/>
      </c>
    </row>
    <row r="4392" spans="1:4" x14ac:dyDescent="0.4">
      <c r="A4392" t="str">
        <f t="shared" si="136"/>
        <v/>
      </c>
      <c r="B4392" t="str">
        <f t="shared" si="137"/>
        <v/>
      </c>
      <c r="C4392" t="str">
        <f>IF(D4392="","",IF(COUNTIF($D$2:D4392,D4392)&gt;1,"",SUMIFS(tbl_input[필요수량],tbl_input[집계키_청],D4392)))</f>
        <v/>
      </c>
      <c r="D4392" t="str">
        <f>IFERROR(INDEX(tbl_input[집계키_청],ROW()-1),"")</f>
        <v/>
      </c>
    </row>
    <row r="4393" spans="1:4" x14ac:dyDescent="0.4">
      <c r="A4393" t="str">
        <f t="shared" si="136"/>
        <v/>
      </c>
      <c r="B4393" t="str">
        <f t="shared" si="137"/>
        <v/>
      </c>
      <c r="C4393" t="str">
        <f>IF(D4393="","",IF(COUNTIF($D$2:D4393,D4393)&gt;1,"",SUMIFS(tbl_input[필요수량],tbl_input[집계키_청],D4393)))</f>
        <v/>
      </c>
      <c r="D4393" t="str">
        <f>IFERROR(INDEX(tbl_input[집계키_청],ROW()-1),"")</f>
        <v/>
      </c>
    </row>
    <row r="4394" spans="1:4" x14ac:dyDescent="0.4">
      <c r="A4394" t="str">
        <f t="shared" si="136"/>
        <v/>
      </c>
      <c r="B4394" t="str">
        <f t="shared" si="137"/>
        <v/>
      </c>
      <c r="C4394" t="str">
        <f>IF(D4394="","",IF(COUNTIF($D$2:D4394,D4394)&gt;1,"",SUMIFS(tbl_input[필요수량],tbl_input[집계키_청],D4394)))</f>
        <v/>
      </c>
      <c r="D4394" t="str">
        <f>IFERROR(INDEX(tbl_input[집계키_청],ROW()-1),"")</f>
        <v/>
      </c>
    </row>
    <row r="4395" spans="1:4" x14ac:dyDescent="0.4">
      <c r="A4395" t="str">
        <f t="shared" si="136"/>
        <v/>
      </c>
      <c r="B4395" t="str">
        <f t="shared" si="137"/>
        <v/>
      </c>
      <c r="C4395" t="str">
        <f>IF(D4395="","",IF(COUNTIF($D$2:D4395,D4395)&gt;1,"",SUMIFS(tbl_input[필요수량],tbl_input[집계키_청],D4395)))</f>
        <v/>
      </c>
      <c r="D4395" t="str">
        <f>IFERROR(INDEX(tbl_input[집계키_청],ROW()-1),"")</f>
        <v/>
      </c>
    </row>
    <row r="4396" spans="1:4" x14ac:dyDescent="0.4">
      <c r="A4396" t="str">
        <f t="shared" si="136"/>
        <v/>
      </c>
      <c r="B4396" t="str">
        <f t="shared" si="137"/>
        <v/>
      </c>
      <c r="C4396" t="str">
        <f>IF(D4396="","",IF(COUNTIF($D$2:D4396,D4396)&gt;1,"",SUMIFS(tbl_input[필요수량],tbl_input[집계키_청],D4396)))</f>
        <v/>
      </c>
      <c r="D4396" t="str">
        <f>IFERROR(INDEX(tbl_input[집계키_청],ROW()-1),"")</f>
        <v/>
      </c>
    </row>
    <row r="4397" spans="1:4" x14ac:dyDescent="0.4">
      <c r="A4397" t="str">
        <f t="shared" si="136"/>
        <v/>
      </c>
      <c r="B4397" t="str">
        <f t="shared" si="137"/>
        <v/>
      </c>
      <c r="C4397" t="str">
        <f>IF(D4397="","",IF(COUNTIF($D$2:D4397,D4397)&gt;1,"",SUMIFS(tbl_input[필요수량],tbl_input[집계키_청],D4397)))</f>
        <v/>
      </c>
      <c r="D4397" t="str">
        <f>IFERROR(INDEX(tbl_input[집계키_청],ROW()-1),"")</f>
        <v/>
      </c>
    </row>
    <row r="4398" spans="1:4" x14ac:dyDescent="0.4">
      <c r="A4398" t="str">
        <f t="shared" si="136"/>
        <v/>
      </c>
      <c r="B4398" t="str">
        <f t="shared" si="137"/>
        <v/>
      </c>
      <c r="C4398" t="str">
        <f>IF(D4398="","",IF(COUNTIF($D$2:D4398,D4398)&gt;1,"",SUMIFS(tbl_input[필요수량],tbl_input[집계키_청],D4398)))</f>
        <v/>
      </c>
      <c r="D4398" t="str">
        <f>IFERROR(INDEX(tbl_input[집계키_청],ROW()-1),"")</f>
        <v/>
      </c>
    </row>
    <row r="4399" spans="1:4" x14ac:dyDescent="0.4">
      <c r="A4399" t="str">
        <f t="shared" si="136"/>
        <v/>
      </c>
      <c r="B4399" t="str">
        <f t="shared" si="137"/>
        <v/>
      </c>
      <c r="C4399" t="str">
        <f>IF(D4399="","",IF(COUNTIF($D$2:D4399,D4399)&gt;1,"",SUMIFS(tbl_input[필요수량],tbl_input[집계키_청],D4399)))</f>
        <v/>
      </c>
      <c r="D4399" t="str">
        <f>IFERROR(INDEX(tbl_input[집계키_청],ROW()-1),"")</f>
        <v/>
      </c>
    </row>
    <row r="4400" spans="1:4" x14ac:dyDescent="0.4">
      <c r="A4400" t="str">
        <f t="shared" si="136"/>
        <v/>
      </c>
      <c r="B4400" t="str">
        <f t="shared" si="137"/>
        <v/>
      </c>
      <c r="C4400" t="str">
        <f>IF(D4400="","",IF(COUNTIF($D$2:D4400,D4400)&gt;1,"",SUMIFS(tbl_input[필요수량],tbl_input[집계키_청],D4400)))</f>
        <v/>
      </c>
      <c r="D4400" t="str">
        <f>IFERROR(INDEX(tbl_input[집계키_청],ROW()-1),"")</f>
        <v/>
      </c>
    </row>
    <row r="4401" spans="1:4" x14ac:dyDescent="0.4">
      <c r="A4401" t="str">
        <f t="shared" si="136"/>
        <v/>
      </c>
      <c r="B4401" t="str">
        <f t="shared" si="137"/>
        <v/>
      </c>
      <c r="C4401" t="str">
        <f>IF(D4401="","",IF(COUNTIF($D$2:D4401,D4401)&gt;1,"",SUMIFS(tbl_input[필요수량],tbl_input[집계키_청],D4401)))</f>
        <v/>
      </c>
      <c r="D4401" t="str">
        <f>IFERROR(INDEX(tbl_input[집계키_청],ROW()-1),"")</f>
        <v/>
      </c>
    </row>
    <row r="4402" spans="1:4" x14ac:dyDescent="0.4">
      <c r="A4402" t="str">
        <f t="shared" si="136"/>
        <v/>
      </c>
      <c r="B4402" t="str">
        <f t="shared" si="137"/>
        <v/>
      </c>
      <c r="C4402" t="str">
        <f>IF(D4402="","",IF(COUNTIF($D$2:D4402,D4402)&gt;1,"",SUMIFS(tbl_input[필요수량],tbl_input[집계키_청],D4402)))</f>
        <v/>
      </c>
      <c r="D4402" t="str">
        <f>IFERROR(INDEX(tbl_input[집계키_청],ROW()-1),"")</f>
        <v/>
      </c>
    </row>
    <row r="4403" spans="1:4" x14ac:dyDescent="0.4">
      <c r="A4403" t="str">
        <f t="shared" si="136"/>
        <v/>
      </c>
      <c r="B4403" t="str">
        <f t="shared" si="137"/>
        <v/>
      </c>
      <c r="C4403" t="str">
        <f>IF(D4403="","",IF(COUNTIF($D$2:D4403,D4403)&gt;1,"",SUMIFS(tbl_input[필요수량],tbl_input[집계키_청],D4403)))</f>
        <v/>
      </c>
      <c r="D4403" t="str">
        <f>IFERROR(INDEX(tbl_input[집계키_청],ROW()-1),"")</f>
        <v/>
      </c>
    </row>
    <row r="4404" spans="1:4" x14ac:dyDescent="0.4">
      <c r="A4404" t="str">
        <f t="shared" si="136"/>
        <v/>
      </c>
      <c r="B4404" t="str">
        <f t="shared" si="137"/>
        <v/>
      </c>
      <c r="C4404" t="str">
        <f>IF(D4404="","",IF(COUNTIF($D$2:D4404,D4404)&gt;1,"",SUMIFS(tbl_input[필요수량],tbl_input[집계키_청],D4404)))</f>
        <v/>
      </c>
      <c r="D4404" t="str">
        <f>IFERROR(INDEX(tbl_input[집계키_청],ROW()-1),"")</f>
        <v/>
      </c>
    </row>
    <row r="4405" spans="1:4" x14ac:dyDescent="0.4">
      <c r="A4405" t="str">
        <f t="shared" si="136"/>
        <v/>
      </c>
      <c r="B4405" t="str">
        <f t="shared" si="137"/>
        <v/>
      </c>
      <c r="C4405" t="str">
        <f>IF(D4405="","",IF(COUNTIF($D$2:D4405,D4405)&gt;1,"",SUMIFS(tbl_input[필요수량],tbl_input[집계키_청],D4405)))</f>
        <v/>
      </c>
      <c r="D4405" t="str">
        <f>IFERROR(INDEX(tbl_input[집계키_청],ROW()-1),"")</f>
        <v/>
      </c>
    </row>
    <row r="4406" spans="1:4" x14ac:dyDescent="0.4">
      <c r="A4406" t="str">
        <f t="shared" si="136"/>
        <v/>
      </c>
      <c r="B4406" t="str">
        <f t="shared" si="137"/>
        <v/>
      </c>
      <c r="C4406" t="str">
        <f>IF(D4406="","",IF(COUNTIF($D$2:D4406,D4406)&gt;1,"",SUMIFS(tbl_input[필요수량],tbl_input[집계키_청],D4406)))</f>
        <v/>
      </c>
      <c r="D4406" t="str">
        <f>IFERROR(INDEX(tbl_input[집계키_청],ROW()-1),"")</f>
        <v/>
      </c>
    </row>
    <row r="4407" spans="1:4" x14ac:dyDescent="0.4">
      <c r="A4407" t="str">
        <f t="shared" si="136"/>
        <v/>
      </c>
      <c r="B4407" t="str">
        <f t="shared" si="137"/>
        <v/>
      </c>
      <c r="C4407" t="str">
        <f>IF(D4407="","",IF(COUNTIF($D$2:D4407,D4407)&gt;1,"",SUMIFS(tbl_input[필요수량],tbl_input[집계키_청],D4407)))</f>
        <v/>
      </c>
      <c r="D4407" t="str">
        <f>IFERROR(INDEX(tbl_input[집계키_청],ROW()-1),"")</f>
        <v/>
      </c>
    </row>
    <row r="4408" spans="1:4" x14ac:dyDescent="0.4">
      <c r="A4408" t="str">
        <f t="shared" si="136"/>
        <v/>
      </c>
      <c r="B4408" t="str">
        <f t="shared" si="137"/>
        <v/>
      </c>
      <c r="C4408" t="str">
        <f>IF(D4408="","",IF(COUNTIF($D$2:D4408,D4408)&gt;1,"",SUMIFS(tbl_input[필요수량],tbl_input[집계키_청],D4408)))</f>
        <v/>
      </c>
      <c r="D4408" t="str">
        <f>IFERROR(INDEX(tbl_input[집계키_청],ROW()-1),"")</f>
        <v/>
      </c>
    </row>
    <row r="4409" spans="1:4" x14ac:dyDescent="0.4">
      <c r="A4409" t="str">
        <f t="shared" si="136"/>
        <v/>
      </c>
      <c r="B4409" t="str">
        <f t="shared" si="137"/>
        <v/>
      </c>
      <c r="C4409" t="str">
        <f>IF(D4409="","",IF(COUNTIF($D$2:D4409,D4409)&gt;1,"",SUMIFS(tbl_input[필요수량],tbl_input[집계키_청],D4409)))</f>
        <v/>
      </c>
      <c r="D4409" t="str">
        <f>IFERROR(INDEX(tbl_input[집계키_청],ROW()-1),"")</f>
        <v/>
      </c>
    </row>
    <row r="4410" spans="1:4" x14ac:dyDescent="0.4">
      <c r="A4410" t="str">
        <f t="shared" si="136"/>
        <v/>
      </c>
      <c r="B4410" t="str">
        <f t="shared" si="137"/>
        <v/>
      </c>
      <c r="C4410" t="str">
        <f>IF(D4410="","",IF(COUNTIF($D$2:D4410,D4410)&gt;1,"",SUMIFS(tbl_input[필요수량],tbl_input[집계키_청],D4410)))</f>
        <v/>
      </c>
      <c r="D4410" t="str">
        <f>IFERROR(INDEX(tbl_input[집계키_청],ROW()-1),"")</f>
        <v/>
      </c>
    </row>
    <row r="4411" spans="1:4" x14ac:dyDescent="0.4">
      <c r="A4411" t="str">
        <f t="shared" si="136"/>
        <v/>
      </c>
      <c r="B4411" t="str">
        <f t="shared" si="137"/>
        <v/>
      </c>
      <c r="C4411" t="str">
        <f>IF(D4411="","",IF(COUNTIF($D$2:D4411,D4411)&gt;1,"",SUMIFS(tbl_input[필요수량],tbl_input[집계키_청],D4411)))</f>
        <v/>
      </c>
      <c r="D4411" t="str">
        <f>IFERROR(INDEX(tbl_input[집계키_청],ROW()-1),"")</f>
        <v/>
      </c>
    </row>
    <row r="4412" spans="1:4" x14ac:dyDescent="0.4">
      <c r="A4412" t="str">
        <f t="shared" si="136"/>
        <v/>
      </c>
      <c r="B4412" t="str">
        <f t="shared" si="137"/>
        <v/>
      </c>
      <c r="C4412" t="str">
        <f>IF(D4412="","",IF(COUNTIF($D$2:D4412,D4412)&gt;1,"",SUMIFS(tbl_input[필요수량],tbl_input[집계키_청],D4412)))</f>
        <v/>
      </c>
      <c r="D4412" t="str">
        <f>IFERROR(INDEX(tbl_input[집계키_청],ROW()-1),"")</f>
        <v/>
      </c>
    </row>
    <row r="4413" spans="1:4" x14ac:dyDescent="0.4">
      <c r="A4413" t="str">
        <f t="shared" si="136"/>
        <v/>
      </c>
      <c r="B4413" t="str">
        <f t="shared" si="137"/>
        <v/>
      </c>
      <c r="C4413" t="str">
        <f>IF(D4413="","",IF(COUNTIF($D$2:D4413,D4413)&gt;1,"",SUMIFS(tbl_input[필요수량],tbl_input[집계키_청],D4413)))</f>
        <v/>
      </c>
      <c r="D4413" t="str">
        <f>IFERROR(INDEX(tbl_input[집계키_청],ROW()-1),"")</f>
        <v/>
      </c>
    </row>
    <row r="4414" spans="1:4" x14ac:dyDescent="0.4">
      <c r="A4414" t="str">
        <f t="shared" si="136"/>
        <v/>
      </c>
      <c r="B4414" t="str">
        <f t="shared" si="137"/>
        <v/>
      </c>
      <c r="C4414" t="str">
        <f>IF(D4414="","",IF(COUNTIF($D$2:D4414,D4414)&gt;1,"",SUMIFS(tbl_input[필요수량],tbl_input[집계키_청],D4414)))</f>
        <v/>
      </c>
      <c r="D4414" t="str">
        <f>IFERROR(INDEX(tbl_input[집계키_청],ROW()-1),"")</f>
        <v/>
      </c>
    </row>
    <row r="4415" spans="1:4" x14ac:dyDescent="0.4">
      <c r="A4415" t="str">
        <f t="shared" si="136"/>
        <v/>
      </c>
      <c r="B4415" t="str">
        <f t="shared" si="137"/>
        <v/>
      </c>
      <c r="C4415" t="str">
        <f>IF(D4415="","",IF(COUNTIF($D$2:D4415,D4415)&gt;1,"",SUMIFS(tbl_input[필요수량],tbl_input[집계키_청],D4415)))</f>
        <v/>
      </c>
      <c r="D4415" t="str">
        <f>IFERROR(INDEX(tbl_input[집계키_청],ROW()-1),"")</f>
        <v/>
      </c>
    </row>
    <row r="4416" spans="1:4" x14ac:dyDescent="0.4">
      <c r="A4416" t="str">
        <f t="shared" si="136"/>
        <v/>
      </c>
      <c r="B4416" t="str">
        <f t="shared" si="137"/>
        <v/>
      </c>
      <c r="C4416" t="str">
        <f>IF(D4416="","",IF(COUNTIF($D$2:D4416,D4416)&gt;1,"",SUMIFS(tbl_input[필요수량],tbl_input[집계키_청],D4416)))</f>
        <v/>
      </c>
      <c r="D4416" t="str">
        <f>IFERROR(INDEX(tbl_input[집계키_청],ROW()-1),"")</f>
        <v/>
      </c>
    </row>
    <row r="4417" spans="1:4" x14ac:dyDescent="0.4">
      <c r="A4417" t="str">
        <f t="shared" si="136"/>
        <v/>
      </c>
      <c r="B4417" t="str">
        <f t="shared" si="137"/>
        <v/>
      </c>
      <c r="C4417" t="str">
        <f>IF(D4417="","",IF(COUNTIF($D$2:D4417,D4417)&gt;1,"",SUMIFS(tbl_input[필요수량],tbl_input[집계키_청],D4417)))</f>
        <v/>
      </c>
      <c r="D4417" t="str">
        <f>IFERROR(INDEX(tbl_input[집계키_청],ROW()-1),"")</f>
        <v/>
      </c>
    </row>
    <row r="4418" spans="1:4" x14ac:dyDescent="0.4">
      <c r="A4418" t="str">
        <f t="shared" ref="A4418:A4481" si="138">IF(D4418="","",LEFT(D4418,FIND("♦",D4418)-1))</f>
        <v/>
      </c>
      <c r="B4418" t="str">
        <f t="shared" ref="B4418:B4481" si="139">IF(D4418="","",MID(D4418,FIND("♦",D4418)+1,999))</f>
        <v/>
      </c>
      <c r="C4418" t="str">
        <f>IF(D4418="","",IF(COUNTIF($D$2:D4418,D4418)&gt;1,"",SUMIFS(tbl_input[필요수량],tbl_input[집계키_청],D4418)))</f>
        <v/>
      </c>
      <c r="D4418" t="str">
        <f>IFERROR(INDEX(tbl_input[집계키_청],ROW()-1),"")</f>
        <v/>
      </c>
    </row>
    <row r="4419" spans="1:4" x14ac:dyDescent="0.4">
      <c r="A4419" t="str">
        <f t="shared" si="138"/>
        <v/>
      </c>
      <c r="B4419" t="str">
        <f t="shared" si="139"/>
        <v/>
      </c>
      <c r="C4419" t="str">
        <f>IF(D4419="","",IF(COUNTIF($D$2:D4419,D4419)&gt;1,"",SUMIFS(tbl_input[필요수량],tbl_input[집계키_청],D4419)))</f>
        <v/>
      </c>
      <c r="D4419" t="str">
        <f>IFERROR(INDEX(tbl_input[집계키_청],ROW()-1),"")</f>
        <v/>
      </c>
    </row>
    <row r="4420" spans="1:4" x14ac:dyDescent="0.4">
      <c r="A4420" t="str">
        <f t="shared" si="138"/>
        <v/>
      </c>
      <c r="B4420" t="str">
        <f t="shared" si="139"/>
        <v/>
      </c>
      <c r="C4420" t="str">
        <f>IF(D4420="","",IF(COUNTIF($D$2:D4420,D4420)&gt;1,"",SUMIFS(tbl_input[필요수량],tbl_input[집계키_청],D4420)))</f>
        <v/>
      </c>
      <c r="D4420" t="str">
        <f>IFERROR(INDEX(tbl_input[집계키_청],ROW()-1),"")</f>
        <v/>
      </c>
    </row>
    <row r="4421" spans="1:4" x14ac:dyDescent="0.4">
      <c r="A4421" t="str">
        <f t="shared" si="138"/>
        <v/>
      </c>
      <c r="B4421" t="str">
        <f t="shared" si="139"/>
        <v/>
      </c>
      <c r="C4421" t="str">
        <f>IF(D4421="","",IF(COUNTIF($D$2:D4421,D4421)&gt;1,"",SUMIFS(tbl_input[필요수량],tbl_input[집계키_청],D4421)))</f>
        <v/>
      </c>
      <c r="D4421" t="str">
        <f>IFERROR(INDEX(tbl_input[집계키_청],ROW()-1),"")</f>
        <v/>
      </c>
    </row>
    <row r="4422" spans="1:4" x14ac:dyDescent="0.4">
      <c r="A4422" t="str">
        <f t="shared" si="138"/>
        <v/>
      </c>
      <c r="B4422" t="str">
        <f t="shared" si="139"/>
        <v/>
      </c>
      <c r="C4422" t="str">
        <f>IF(D4422="","",IF(COUNTIF($D$2:D4422,D4422)&gt;1,"",SUMIFS(tbl_input[필요수량],tbl_input[집계키_청],D4422)))</f>
        <v/>
      </c>
      <c r="D4422" t="str">
        <f>IFERROR(INDEX(tbl_input[집계키_청],ROW()-1),"")</f>
        <v/>
      </c>
    </row>
    <row r="4423" spans="1:4" x14ac:dyDescent="0.4">
      <c r="A4423" t="str">
        <f t="shared" si="138"/>
        <v/>
      </c>
      <c r="B4423" t="str">
        <f t="shared" si="139"/>
        <v/>
      </c>
      <c r="C4423" t="str">
        <f>IF(D4423="","",IF(COUNTIF($D$2:D4423,D4423)&gt;1,"",SUMIFS(tbl_input[필요수량],tbl_input[집계키_청],D4423)))</f>
        <v/>
      </c>
      <c r="D4423" t="str">
        <f>IFERROR(INDEX(tbl_input[집계키_청],ROW()-1),"")</f>
        <v/>
      </c>
    </row>
    <row r="4424" spans="1:4" x14ac:dyDescent="0.4">
      <c r="A4424" t="str">
        <f t="shared" si="138"/>
        <v/>
      </c>
      <c r="B4424" t="str">
        <f t="shared" si="139"/>
        <v/>
      </c>
      <c r="C4424" t="str">
        <f>IF(D4424="","",IF(COUNTIF($D$2:D4424,D4424)&gt;1,"",SUMIFS(tbl_input[필요수량],tbl_input[집계키_청],D4424)))</f>
        <v/>
      </c>
      <c r="D4424" t="str">
        <f>IFERROR(INDEX(tbl_input[집계키_청],ROW()-1),"")</f>
        <v/>
      </c>
    </row>
    <row r="4425" spans="1:4" x14ac:dyDescent="0.4">
      <c r="A4425" t="str">
        <f t="shared" si="138"/>
        <v/>
      </c>
      <c r="B4425" t="str">
        <f t="shared" si="139"/>
        <v/>
      </c>
      <c r="C4425" t="str">
        <f>IF(D4425="","",IF(COUNTIF($D$2:D4425,D4425)&gt;1,"",SUMIFS(tbl_input[필요수량],tbl_input[집계키_청],D4425)))</f>
        <v/>
      </c>
      <c r="D4425" t="str">
        <f>IFERROR(INDEX(tbl_input[집계키_청],ROW()-1),"")</f>
        <v/>
      </c>
    </row>
    <row r="4426" spans="1:4" x14ac:dyDescent="0.4">
      <c r="A4426" t="str">
        <f t="shared" si="138"/>
        <v/>
      </c>
      <c r="B4426" t="str">
        <f t="shared" si="139"/>
        <v/>
      </c>
      <c r="C4426" t="str">
        <f>IF(D4426="","",IF(COUNTIF($D$2:D4426,D4426)&gt;1,"",SUMIFS(tbl_input[필요수량],tbl_input[집계키_청],D4426)))</f>
        <v/>
      </c>
      <c r="D4426" t="str">
        <f>IFERROR(INDEX(tbl_input[집계키_청],ROW()-1),"")</f>
        <v/>
      </c>
    </row>
    <row r="4427" spans="1:4" x14ac:dyDescent="0.4">
      <c r="A4427" t="str">
        <f t="shared" si="138"/>
        <v/>
      </c>
      <c r="B4427" t="str">
        <f t="shared" si="139"/>
        <v/>
      </c>
      <c r="C4427" t="str">
        <f>IF(D4427="","",IF(COUNTIF($D$2:D4427,D4427)&gt;1,"",SUMIFS(tbl_input[필요수량],tbl_input[집계키_청],D4427)))</f>
        <v/>
      </c>
      <c r="D4427" t="str">
        <f>IFERROR(INDEX(tbl_input[집계키_청],ROW()-1),"")</f>
        <v/>
      </c>
    </row>
    <row r="4428" spans="1:4" x14ac:dyDescent="0.4">
      <c r="A4428" t="str">
        <f t="shared" si="138"/>
        <v/>
      </c>
      <c r="B4428" t="str">
        <f t="shared" si="139"/>
        <v/>
      </c>
      <c r="C4428" t="str">
        <f>IF(D4428="","",IF(COUNTIF($D$2:D4428,D4428)&gt;1,"",SUMIFS(tbl_input[필요수량],tbl_input[집계키_청],D4428)))</f>
        <v/>
      </c>
      <c r="D4428" t="str">
        <f>IFERROR(INDEX(tbl_input[집계키_청],ROW()-1),"")</f>
        <v/>
      </c>
    </row>
    <row r="4429" spans="1:4" x14ac:dyDescent="0.4">
      <c r="A4429" t="str">
        <f t="shared" si="138"/>
        <v/>
      </c>
      <c r="B4429" t="str">
        <f t="shared" si="139"/>
        <v/>
      </c>
      <c r="C4429" t="str">
        <f>IF(D4429="","",IF(COUNTIF($D$2:D4429,D4429)&gt;1,"",SUMIFS(tbl_input[필요수량],tbl_input[집계키_청],D4429)))</f>
        <v/>
      </c>
      <c r="D4429" t="str">
        <f>IFERROR(INDEX(tbl_input[집계키_청],ROW()-1),"")</f>
        <v/>
      </c>
    </row>
    <row r="4430" spans="1:4" x14ac:dyDescent="0.4">
      <c r="A4430" t="str">
        <f t="shared" si="138"/>
        <v/>
      </c>
      <c r="B4430" t="str">
        <f t="shared" si="139"/>
        <v/>
      </c>
      <c r="C4430" t="str">
        <f>IF(D4430="","",IF(COUNTIF($D$2:D4430,D4430)&gt;1,"",SUMIFS(tbl_input[필요수량],tbl_input[집계키_청],D4430)))</f>
        <v/>
      </c>
      <c r="D4430" t="str">
        <f>IFERROR(INDEX(tbl_input[집계키_청],ROW()-1),"")</f>
        <v/>
      </c>
    </row>
    <row r="4431" spans="1:4" x14ac:dyDescent="0.4">
      <c r="A4431" t="str">
        <f t="shared" si="138"/>
        <v/>
      </c>
      <c r="B4431" t="str">
        <f t="shared" si="139"/>
        <v/>
      </c>
      <c r="C4431" t="str">
        <f>IF(D4431="","",IF(COUNTIF($D$2:D4431,D4431)&gt;1,"",SUMIFS(tbl_input[필요수량],tbl_input[집계키_청],D4431)))</f>
        <v/>
      </c>
      <c r="D4431" t="str">
        <f>IFERROR(INDEX(tbl_input[집계키_청],ROW()-1),"")</f>
        <v/>
      </c>
    </row>
    <row r="4432" spans="1:4" x14ac:dyDescent="0.4">
      <c r="A4432" t="str">
        <f t="shared" si="138"/>
        <v/>
      </c>
      <c r="B4432" t="str">
        <f t="shared" si="139"/>
        <v/>
      </c>
      <c r="C4432" t="str">
        <f>IF(D4432="","",IF(COUNTIF($D$2:D4432,D4432)&gt;1,"",SUMIFS(tbl_input[필요수량],tbl_input[집계키_청],D4432)))</f>
        <v/>
      </c>
      <c r="D4432" t="str">
        <f>IFERROR(INDEX(tbl_input[집계키_청],ROW()-1),"")</f>
        <v/>
      </c>
    </row>
    <row r="4433" spans="1:4" x14ac:dyDescent="0.4">
      <c r="A4433" t="str">
        <f t="shared" si="138"/>
        <v/>
      </c>
      <c r="B4433" t="str">
        <f t="shared" si="139"/>
        <v/>
      </c>
      <c r="C4433" t="str">
        <f>IF(D4433="","",IF(COUNTIF($D$2:D4433,D4433)&gt;1,"",SUMIFS(tbl_input[필요수량],tbl_input[집계키_청],D4433)))</f>
        <v/>
      </c>
      <c r="D4433" t="str">
        <f>IFERROR(INDEX(tbl_input[집계키_청],ROW()-1),"")</f>
        <v/>
      </c>
    </row>
    <row r="4434" spans="1:4" x14ac:dyDescent="0.4">
      <c r="A4434" t="str">
        <f t="shared" si="138"/>
        <v/>
      </c>
      <c r="B4434" t="str">
        <f t="shared" si="139"/>
        <v/>
      </c>
      <c r="C4434" t="str">
        <f>IF(D4434="","",IF(COUNTIF($D$2:D4434,D4434)&gt;1,"",SUMIFS(tbl_input[필요수량],tbl_input[집계키_청],D4434)))</f>
        <v/>
      </c>
      <c r="D4434" t="str">
        <f>IFERROR(INDEX(tbl_input[집계키_청],ROW()-1),"")</f>
        <v/>
      </c>
    </row>
    <row r="4435" spans="1:4" x14ac:dyDescent="0.4">
      <c r="A4435" t="str">
        <f t="shared" si="138"/>
        <v/>
      </c>
      <c r="B4435" t="str">
        <f t="shared" si="139"/>
        <v/>
      </c>
      <c r="C4435" t="str">
        <f>IF(D4435="","",IF(COUNTIF($D$2:D4435,D4435)&gt;1,"",SUMIFS(tbl_input[필요수량],tbl_input[집계키_청],D4435)))</f>
        <v/>
      </c>
      <c r="D4435" t="str">
        <f>IFERROR(INDEX(tbl_input[집계키_청],ROW()-1),"")</f>
        <v/>
      </c>
    </row>
    <row r="4436" spans="1:4" x14ac:dyDescent="0.4">
      <c r="A4436" t="str">
        <f t="shared" si="138"/>
        <v/>
      </c>
      <c r="B4436" t="str">
        <f t="shared" si="139"/>
        <v/>
      </c>
      <c r="C4436" t="str">
        <f>IF(D4436="","",IF(COUNTIF($D$2:D4436,D4436)&gt;1,"",SUMIFS(tbl_input[필요수량],tbl_input[집계키_청],D4436)))</f>
        <v/>
      </c>
      <c r="D4436" t="str">
        <f>IFERROR(INDEX(tbl_input[집계키_청],ROW()-1),"")</f>
        <v/>
      </c>
    </row>
    <row r="4437" spans="1:4" x14ac:dyDescent="0.4">
      <c r="A4437" t="str">
        <f t="shared" si="138"/>
        <v/>
      </c>
      <c r="B4437" t="str">
        <f t="shared" si="139"/>
        <v/>
      </c>
      <c r="C4437" t="str">
        <f>IF(D4437="","",IF(COUNTIF($D$2:D4437,D4437)&gt;1,"",SUMIFS(tbl_input[필요수량],tbl_input[집계키_청],D4437)))</f>
        <v/>
      </c>
      <c r="D4437" t="str">
        <f>IFERROR(INDEX(tbl_input[집계키_청],ROW()-1),"")</f>
        <v/>
      </c>
    </row>
    <row r="4438" spans="1:4" x14ac:dyDescent="0.4">
      <c r="A4438" t="str">
        <f t="shared" si="138"/>
        <v/>
      </c>
      <c r="B4438" t="str">
        <f t="shared" si="139"/>
        <v/>
      </c>
      <c r="C4438" t="str">
        <f>IF(D4438="","",IF(COUNTIF($D$2:D4438,D4438)&gt;1,"",SUMIFS(tbl_input[필요수량],tbl_input[집계키_청],D4438)))</f>
        <v/>
      </c>
      <c r="D4438" t="str">
        <f>IFERROR(INDEX(tbl_input[집계키_청],ROW()-1),"")</f>
        <v/>
      </c>
    </row>
    <row r="4439" spans="1:4" x14ac:dyDescent="0.4">
      <c r="A4439" t="str">
        <f t="shared" si="138"/>
        <v/>
      </c>
      <c r="B4439" t="str">
        <f t="shared" si="139"/>
        <v/>
      </c>
      <c r="C4439" t="str">
        <f>IF(D4439="","",IF(COUNTIF($D$2:D4439,D4439)&gt;1,"",SUMIFS(tbl_input[필요수량],tbl_input[집계키_청],D4439)))</f>
        <v/>
      </c>
      <c r="D4439" t="str">
        <f>IFERROR(INDEX(tbl_input[집계키_청],ROW()-1),"")</f>
        <v/>
      </c>
    </row>
    <row r="4440" spans="1:4" x14ac:dyDescent="0.4">
      <c r="A4440" t="str">
        <f t="shared" si="138"/>
        <v/>
      </c>
      <c r="B4440" t="str">
        <f t="shared" si="139"/>
        <v/>
      </c>
      <c r="C4440" t="str">
        <f>IF(D4440="","",IF(COUNTIF($D$2:D4440,D4440)&gt;1,"",SUMIFS(tbl_input[필요수량],tbl_input[집계키_청],D4440)))</f>
        <v/>
      </c>
      <c r="D4440" t="str">
        <f>IFERROR(INDEX(tbl_input[집계키_청],ROW()-1),"")</f>
        <v/>
      </c>
    </row>
    <row r="4441" spans="1:4" x14ac:dyDescent="0.4">
      <c r="A4441" t="str">
        <f t="shared" si="138"/>
        <v/>
      </c>
      <c r="B4441" t="str">
        <f t="shared" si="139"/>
        <v/>
      </c>
      <c r="C4441" t="str">
        <f>IF(D4441="","",IF(COUNTIF($D$2:D4441,D4441)&gt;1,"",SUMIFS(tbl_input[필요수량],tbl_input[집계키_청],D4441)))</f>
        <v/>
      </c>
      <c r="D4441" t="str">
        <f>IFERROR(INDEX(tbl_input[집계키_청],ROW()-1),"")</f>
        <v/>
      </c>
    </row>
    <row r="4442" spans="1:4" x14ac:dyDescent="0.4">
      <c r="A4442" t="str">
        <f t="shared" si="138"/>
        <v/>
      </c>
      <c r="B4442" t="str">
        <f t="shared" si="139"/>
        <v/>
      </c>
      <c r="C4442" t="str">
        <f>IF(D4442="","",IF(COUNTIF($D$2:D4442,D4442)&gt;1,"",SUMIFS(tbl_input[필요수량],tbl_input[집계키_청],D4442)))</f>
        <v/>
      </c>
      <c r="D4442" t="str">
        <f>IFERROR(INDEX(tbl_input[집계키_청],ROW()-1),"")</f>
        <v/>
      </c>
    </row>
    <row r="4443" spans="1:4" x14ac:dyDescent="0.4">
      <c r="A4443" t="str">
        <f t="shared" si="138"/>
        <v/>
      </c>
      <c r="B4443" t="str">
        <f t="shared" si="139"/>
        <v/>
      </c>
      <c r="C4443" t="str">
        <f>IF(D4443="","",IF(COUNTIF($D$2:D4443,D4443)&gt;1,"",SUMIFS(tbl_input[필요수량],tbl_input[집계키_청],D4443)))</f>
        <v/>
      </c>
      <c r="D4443" t="str">
        <f>IFERROR(INDEX(tbl_input[집계키_청],ROW()-1),"")</f>
        <v/>
      </c>
    </row>
    <row r="4444" spans="1:4" x14ac:dyDescent="0.4">
      <c r="A4444" t="str">
        <f t="shared" si="138"/>
        <v/>
      </c>
      <c r="B4444" t="str">
        <f t="shared" si="139"/>
        <v/>
      </c>
      <c r="C4444" t="str">
        <f>IF(D4444="","",IF(COUNTIF($D$2:D4444,D4444)&gt;1,"",SUMIFS(tbl_input[필요수량],tbl_input[집계키_청],D4444)))</f>
        <v/>
      </c>
      <c r="D4444" t="str">
        <f>IFERROR(INDEX(tbl_input[집계키_청],ROW()-1),"")</f>
        <v/>
      </c>
    </row>
    <row r="4445" spans="1:4" x14ac:dyDescent="0.4">
      <c r="A4445" t="str">
        <f t="shared" si="138"/>
        <v/>
      </c>
      <c r="B4445" t="str">
        <f t="shared" si="139"/>
        <v/>
      </c>
      <c r="C4445" t="str">
        <f>IF(D4445="","",IF(COUNTIF($D$2:D4445,D4445)&gt;1,"",SUMIFS(tbl_input[필요수량],tbl_input[집계키_청],D4445)))</f>
        <v/>
      </c>
      <c r="D4445" t="str">
        <f>IFERROR(INDEX(tbl_input[집계키_청],ROW()-1),"")</f>
        <v/>
      </c>
    </row>
    <row r="4446" spans="1:4" x14ac:dyDescent="0.4">
      <c r="A4446" t="str">
        <f t="shared" si="138"/>
        <v/>
      </c>
      <c r="B4446" t="str">
        <f t="shared" si="139"/>
        <v/>
      </c>
      <c r="C4446" t="str">
        <f>IF(D4446="","",IF(COUNTIF($D$2:D4446,D4446)&gt;1,"",SUMIFS(tbl_input[필요수량],tbl_input[집계키_청],D4446)))</f>
        <v/>
      </c>
      <c r="D4446" t="str">
        <f>IFERROR(INDEX(tbl_input[집계키_청],ROW()-1),"")</f>
        <v/>
      </c>
    </row>
    <row r="4447" spans="1:4" x14ac:dyDescent="0.4">
      <c r="A4447" t="str">
        <f t="shared" si="138"/>
        <v/>
      </c>
      <c r="B4447" t="str">
        <f t="shared" si="139"/>
        <v/>
      </c>
      <c r="C4447" t="str">
        <f>IF(D4447="","",IF(COUNTIF($D$2:D4447,D4447)&gt;1,"",SUMIFS(tbl_input[필요수량],tbl_input[집계키_청],D4447)))</f>
        <v/>
      </c>
      <c r="D4447" t="str">
        <f>IFERROR(INDEX(tbl_input[집계키_청],ROW()-1),"")</f>
        <v/>
      </c>
    </row>
    <row r="4448" spans="1:4" x14ac:dyDescent="0.4">
      <c r="A4448" t="str">
        <f t="shared" si="138"/>
        <v/>
      </c>
      <c r="B4448" t="str">
        <f t="shared" si="139"/>
        <v/>
      </c>
      <c r="C4448" t="str">
        <f>IF(D4448="","",IF(COUNTIF($D$2:D4448,D4448)&gt;1,"",SUMIFS(tbl_input[필요수량],tbl_input[집계키_청],D4448)))</f>
        <v/>
      </c>
      <c r="D4448" t="str">
        <f>IFERROR(INDEX(tbl_input[집계키_청],ROW()-1),"")</f>
        <v/>
      </c>
    </row>
    <row r="4449" spans="1:4" x14ac:dyDescent="0.4">
      <c r="A4449" t="str">
        <f t="shared" si="138"/>
        <v/>
      </c>
      <c r="B4449" t="str">
        <f t="shared" si="139"/>
        <v/>
      </c>
      <c r="C4449" t="str">
        <f>IF(D4449="","",IF(COUNTIF($D$2:D4449,D4449)&gt;1,"",SUMIFS(tbl_input[필요수량],tbl_input[집계키_청],D4449)))</f>
        <v/>
      </c>
      <c r="D4449" t="str">
        <f>IFERROR(INDEX(tbl_input[집계키_청],ROW()-1),"")</f>
        <v/>
      </c>
    </row>
    <row r="4450" spans="1:4" x14ac:dyDescent="0.4">
      <c r="A4450" t="str">
        <f t="shared" si="138"/>
        <v/>
      </c>
      <c r="B4450" t="str">
        <f t="shared" si="139"/>
        <v/>
      </c>
      <c r="C4450" t="str">
        <f>IF(D4450="","",IF(COUNTIF($D$2:D4450,D4450)&gt;1,"",SUMIFS(tbl_input[필요수량],tbl_input[집계키_청],D4450)))</f>
        <v/>
      </c>
      <c r="D4450" t="str">
        <f>IFERROR(INDEX(tbl_input[집계키_청],ROW()-1),"")</f>
        <v/>
      </c>
    </row>
    <row r="4451" spans="1:4" x14ac:dyDescent="0.4">
      <c r="A4451" t="str">
        <f t="shared" si="138"/>
        <v/>
      </c>
      <c r="B4451" t="str">
        <f t="shared" si="139"/>
        <v/>
      </c>
      <c r="C4451" t="str">
        <f>IF(D4451="","",IF(COUNTIF($D$2:D4451,D4451)&gt;1,"",SUMIFS(tbl_input[필요수량],tbl_input[집계키_청],D4451)))</f>
        <v/>
      </c>
      <c r="D4451" t="str">
        <f>IFERROR(INDEX(tbl_input[집계키_청],ROW()-1),"")</f>
        <v/>
      </c>
    </row>
    <row r="4452" spans="1:4" x14ac:dyDescent="0.4">
      <c r="A4452" t="str">
        <f t="shared" si="138"/>
        <v/>
      </c>
      <c r="B4452" t="str">
        <f t="shared" si="139"/>
        <v/>
      </c>
      <c r="C4452" t="str">
        <f>IF(D4452="","",IF(COUNTIF($D$2:D4452,D4452)&gt;1,"",SUMIFS(tbl_input[필요수량],tbl_input[집계키_청],D4452)))</f>
        <v/>
      </c>
      <c r="D4452" t="str">
        <f>IFERROR(INDEX(tbl_input[집계키_청],ROW()-1),"")</f>
        <v/>
      </c>
    </row>
    <row r="4453" spans="1:4" x14ac:dyDescent="0.4">
      <c r="A4453" t="str">
        <f t="shared" si="138"/>
        <v/>
      </c>
      <c r="B4453" t="str">
        <f t="shared" si="139"/>
        <v/>
      </c>
      <c r="C4453" t="str">
        <f>IF(D4453="","",IF(COUNTIF($D$2:D4453,D4453)&gt;1,"",SUMIFS(tbl_input[필요수량],tbl_input[집계키_청],D4453)))</f>
        <v/>
      </c>
      <c r="D4453" t="str">
        <f>IFERROR(INDEX(tbl_input[집계키_청],ROW()-1),"")</f>
        <v/>
      </c>
    </row>
    <row r="4454" spans="1:4" x14ac:dyDescent="0.4">
      <c r="A4454" t="str">
        <f t="shared" si="138"/>
        <v/>
      </c>
      <c r="B4454" t="str">
        <f t="shared" si="139"/>
        <v/>
      </c>
      <c r="C4454" t="str">
        <f>IF(D4454="","",IF(COUNTIF($D$2:D4454,D4454)&gt;1,"",SUMIFS(tbl_input[필요수량],tbl_input[집계키_청],D4454)))</f>
        <v/>
      </c>
      <c r="D4454" t="str">
        <f>IFERROR(INDEX(tbl_input[집계키_청],ROW()-1),"")</f>
        <v/>
      </c>
    </row>
    <row r="4455" spans="1:4" x14ac:dyDescent="0.4">
      <c r="A4455" t="str">
        <f t="shared" si="138"/>
        <v/>
      </c>
      <c r="B4455" t="str">
        <f t="shared" si="139"/>
        <v/>
      </c>
      <c r="C4455" t="str">
        <f>IF(D4455="","",IF(COUNTIF($D$2:D4455,D4455)&gt;1,"",SUMIFS(tbl_input[필요수량],tbl_input[집계키_청],D4455)))</f>
        <v/>
      </c>
      <c r="D4455" t="str">
        <f>IFERROR(INDEX(tbl_input[집계키_청],ROW()-1),"")</f>
        <v/>
      </c>
    </row>
    <row r="4456" spans="1:4" x14ac:dyDescent="0.4">
      <c r="A4456" t="str">
        <f t="shared" si="138"/>
        <v/>
      </c>
      <c r="B4456" t="str">
        <f t="shared" si="139"/>
        <v/>
      </c>
      <c r="C4456" t="str">
        <f>IF(D4456="","",IF(COUNTIF($D$2:D4456,D4456)&gt;1,"",SUMIFS(tbl_input[필요수량],tbl_input[집계키_청],D4456)))</f>
        <v/>
      </c>
      <c r="D4456" t="str">
        <f>IFERROR(INDEX(tbl_input[집계키_청],ROW()-1),"")</f>
        <v/>
      </c>
    </row>
    <row r="4457" spans="1:4" x14ac:dyDescent="0.4">
      <c r="A4457" t="str">
        <f t="shared" si="138"/>
        <v/>
      </c>
      <c r="B4457" t="str">
        <f t="shared" si="139"/>
        <v/>
      </c>
      <c r="C4457" t="str">
        <f>IF(D4457="","",IF(COUNTIF($D$2:D4457,D4457)&gt;1,"",SUMIFS(tbl_input[필요수량],tbl_input[집계키_청],D4457)))</f>
        <v/>
      </c>
      <c r="D4457" t="str">
        <f>IFERROR(INDEX(tbl_input[집계키_청],ROW()-1),"")</f>
        <v/>
      </c>
    </row>
    <row r="4458" spans="1:4" x14ac:dyDescent="0.4">
      <c r="A4458" t="str">
        <f t="shared" si="138"/>
        <v/>
      </c>
      <c r="B4458" t="str">
        <f t="shared" si="139"/>
        <v/>
      </c>
      <c r="C4458" t="str">
        <f>IF(D4458="","",IF(COUNTIF($D$2:D4458,D4458)&gt;1,"",SUMIFS(tbl_input[필요수량],tbl_input[집계키_청],D4458)))</f>
        <v/>
      </c>
      <c r="D4458" t="str">
        <f>IFERROR(INDEX(tbl_input[집계키_청],ROW()-1),"")</f>
        <v/>
      </c>
    </row>
    <row r="4459" spans="1:4" x14ac:dyDescent="0.4">
      <c r="A4459" t="str">
        <f t="shared" si="138"/>
        <v/>
      </c>
      <c r="B4459" t="str">
        <f t="shared" si="139"/>
        <v/>
      </c>
      <c r="C4459" t="str">
        <f>IF(D4459="","",IF(COUNTIF($D$2:D4459,D4459)&gt;1,"",SUMIFS(tbl_input[필요수량],tbl_input[집계키_청],D4459)))</f>
        <v/>
      </c>
      <c r="D4459" t="str">
        <f>IFERROR(INDEX(tbl_input[집계키_청],ROW()-1),"")</f>
        <v/>
      </c>
    </row>
    <row r="4460" spans="1:4" x14ac:dyDescent="0.4">
      <c r="A4460" t="str">
        <f t="shared" si="138"/>
        <v/>
      </c>
      <c r="B4460" t="str">
        <f t="shared" si="139"/>
        <v/>
      </c>
      <c r="C4460" t="str">
        <f>IF(D4460="","",IF(COUNTIF($D$2:D4460,D4460)&gt;1,"",SUMIFS(tbl_input[필요수량],tbl_input[집계키_청],D4460)))</f>
        <v/>
      </c>
      <c r="D4460" t="str">
        <f>IFERROR(INDEX(tbl_input[집계키_청],ROW()-1),"")</f>
        <v/>
      </c>
    </row>
    <row r="4461" spans="1:4" x14ac:dyDescent="0.4">
      <c r="A4461" t="str">
        <f t="shared" si="138"/>
        <v/>
      </c>
      <c r="B4461" t="str">
        <f t="shared" si="139"/>
        <v/>
      </c>
      <c r="C4461" t="str">
        <f>IF(D4461="","",IF(COUNTIF($D$2:D4461,D4461)&gt;1,"",SUMIFS(tbl_input[필요수량],tbl_input[집계키_청],D4461)))</f>
        <v/>
      </c>
      <c r="D4461" t="str">
        <f>IFERROR(INDEX(tbl_input[집계키_청],ROW()-1),"")</f>
        <v/>
      </c>
    </row>
    <row r="4462" spans="1:4" x14ac:dyDescent="0.4">
      <c r="A4462" t="str">
        <f t="shared" si="138"/>
        <v/>
      </c>
      <c r="B4462" t="str">
        <f t="shared" si="139"/>
        <v/>
      </c>
      <c r="C4462" t="str">
        <f>IF(D4462="","",IF(COUNTIF($D$2:D4462,D4462)&gt;1,"",SUMIFS(tbl_input[필요수량],tbl_input[집계키_청],D4462)))</f>
        <v/>
      </c>
      <c r="D4462" t="str">
        <f>IFERROR(INDEX(tbl_input[집계키_청],ROW()-1),"")</f>
        <v/>
      </c>
    </row>
    <row r="4463" spans="1:4" x14ac:dyDescent="0.4">
      <c r="A4463" t="str">
        <f t="shared" si="138"/>
        <v/>
      </c>
      <c r="B4463" t="str">
        <f t="shared" si="139"/>
        <v/>
      </c>
      <c r="C4463" t="str">
        <f>IF(D4463="","",IF(COUNTIF($D$2:D4463,D4463)&gt;1,"",SUMIFS(tbl_input[필요수량],tbl_input[집계키_청],D4463)))</f>
        <v/>
      </c>
      <c r="D4463" t="str">
        <f>IFERROR(INDEX(tbl_input[집계키_청],ROW()-1),"")</f>
        <v/>
      </c>
    </row>
    <row r="4464" spans="1:4" x14ac:dyDescent="0.4">
      <c r="A4464" t="str">
        <f t="shared" si="138"/>
        <v/>
      </c>
      <c r="B4464" t="str">
        <f t="shared" si="139"/>
        <v/>
      </c>
      <c r="C4464" t="str">
        <f>IF(D4464="","",IF(COUNTIF($D$2:D4464,D4464)&gt;1,"",SUMIFS(tbl_input[필요수량],tbl_input[집계키_청],D4464)))</f>
        <v/>
      </c>
      <c r="D4464" t="str">
        <f>IFERROR(INDEX(tbl_input[집계키_청],ROW()-1),"")</f>
        <v/>
      </c>
    </row>
    <row r="4465" spans="1:4" x14ac:dyDescent="0.4">
      <c r="A4465" t="str">
        <f t="shared" si="138"/>
        <v/>
      </c>
      <c r="B4465" t="str">
        <f t="shared" si="139"/>
        <v/>
      </c>
      <c r="C4465" t="str">
        <f>IF(D4465="","",IF(COUNTIF($D$2:D4465,D4465)&gt;1,"",SUMIFS(tbl_input[필요수량],tbl_input[집계키_청],D4465)))</f>
        <v/>
      </c>
      <c r="D4465" t="str">
        <f>IFERROR(INDEX(tbl_input[집계키_청],ROW()-1),"")</f>
        <v/>
      </c>
    </row>
    <row r="4466" spans="1:4" x14ac:dyDescent="0.4">
      <c r="A4466" t="str">
        <f t="shared" si="138"/>
        <v/>
      </c>
      <c r="B4466" t="str">
        <f t="shared" si="139"/>
        <v/>
      </c>
      <c r="C4466" t="str">
        <f>IF(D4466="","",IF(COUNTIF($D$2:D4466,D4466)&gt;1,"",SUMIFS(tbl_input[필요수량],tbl_input[집계키_청],D4466)))</f>
        <v/>
      </c>
      <c r="D4466" t="str">
        <f>IFERROR(INDEX(tbl_input[집계키_청],ROW()-1),"")</f>
        <v/>
      </c>
    </row>
    <row r="4467" spans="1:4" x14ac:dyDescent="0.4">
      <c r="A4467" t="str">
        <f t="shared" si="138"/>
        <v/>
      </c>
      <c r="B4467" t="str">
        <f t="shared" si="139"/>
        <v/>
      </c>
      <c r="C4467" t="str">
        <f>IF(D4467="","",IF(COUNTIF($D$2:D4467,D4467)&gt;1,"",SUMIFS(tbl_input[필요수량],tbl_input[집계키_청],D4467)))</f>
        <v/>
      </c>
      <c r="D4467" t="str">
        <f>IFERROR(INDEX(tbl_input[집계키_청],ROW()-1),"")</f>
        <v/>
      </c>
    </row>
    <row r="4468" spans="1:4" x14ac:dyDescent="0.4">
      <c r="A4468" t="str">
        <f t="shared" si="138"/>
        <v/>
      </c>
      <c r="B4468" t="str">
        <f t="shared" si="139"/>
        <v/>
      </c>
      <c r="C4468" t="str">
        <f>IF(D4468="","",IF(COUNTIF($D$2:D4468,D4468)&gt;1,"",SUMIFS(tbl_input[필요수량],tbl_input[집계키_청],D4468)))</f>
        <v/>
      </c>
      <c r="D4468" t="str">
        <f>IFERROR(INDEX(tbl_input[집계키_청],ROW()-1),"")</f>
        <v/>
      </c>
    </row>
    <row r="4469" spans="1:4" x14ac:dyDescent="0.4">
      <c r="A4469" t="str">
        <f t="shared" si="138"/>
        <v/>
      </c>
      <c r="B4469" t="str">
        <f t="shared" si="139"/>
        <v/>
      </c>
      <c r="C4469" t="str">
        <f>IF(D4469="","",IF(COUNTIF($D$2:D4469,D4469)&gt;1,"",SUMIFS(tbl_input[필요수량],tbl_input[집계키_청],D4469)))</f>
        <v/>
      </c>
      <c r="D4469" t="str">
        <f>IFERROR(INDEX(tbl_input[집계키_청],ROW()-1),"")</f>
        <v/>
      </c>
    </row>
    <row r="4470" spans="1:4" x14ac:dyDescent="0.4">
      <c r="A4470" t="str">
        <f t="shared" si="138"/>
        <v/>
      </c>
      <c r="B4470" t="str">
        <f t="shared" si="139"/>
        <v/>
      </c>
      <c r="C4470" t="str">
        <f>IF(D4470="","",IF(COUNTIF($D$2:D4470,D4470)&gt;1,"",SUMIFS(tbl_input[필요수량],tbl_input[집계키_청],D4470)))</f>
        <v/>
      </c>
      <c r="D4470" t="str">
        <f>IFERROR(INDEX(tbl_input[집계키_청],ROW()-1),"")</f>
        <v/>
      </c>
    </row>
    <row r="4471" spans="1:4" x14ac:dyDescent="0.4">
      <c r="A4471" t="str">
        <f t="shared" si="138"/>
        <v/>
      </c>
      <c r="B4471" t="str">
        <f t="shared" si="139"/>
        <v/>
      </c>
      <c r="C4471" t="str">
        <f>IF(D4471="","",IF(COUNTIF($D$2:D4471,D4471)&gt;1,"",SUMIFS(tbl_input[필요수량],tbl_input[집계키_청],D4471)))</f>
        <v/>
      </c>
      <c r="D4471" t="str">
        <f>IFERROR(INDEX(tbl_input[집계키_청],ROW()-1),"")</f>
        <v/>
      </c>
    </row>
    <row r="4472" spans="1:4" x14ac:dyDescent="0.4">
      <c r="A4472" t="str">
        <f t="shared" si="138"/>
        <v/>
      </c>
      <c r="B4472" t="str">
        <f t="shared" si="139"/>
        <v/>
      </c>
      <c r="C4472" t="str">
        <f>IF(D4472="","",IF(COUNTIF($D$2:D4472,D4472)&gt;1,"",SUMIFS(tbl_input[필요수량],tbl_input[집계키_청],D4472)))</f>
        <v/>
      </c>
      <c r="D4472" t="str">
        <f>IFERROR(INDEX(tbl_input[집계키_청],ROW()-1),"")</f>
        <v/>
      </c>
    </row>
    <row r="4473" spans="1:4" x14ac:dyDescent="0.4">
      <c r="A4473" t="str">
        <f t="shared" si="138"/>
        <v/>
      </c>
      <c r="B4473" t="str">
        <f t="shared" si="139"/>
        <v/>
      </c>
      <c r="C4473" t="str">
        <f>IF(D4473="","",IF(COUNTIF($D$2:D4473,D4473)&gt;1,"",SUMIFS(tbl_input[필요수량],tbl_input[집계키_청],D4473)))</f>
        <v/>
      </c>
      <c r="D4473" t="str">
        <f>IFERROR(INDEX(tbl_input[집계키_청],ROW()-1),"")</f>
        <v/>
      </c>
    </row>
    <row r="4474" spans="1:4" x14ac:dyDescent="0.4">
      <c r="A4474" t="str">
        <f t="shared" si="138"/>
        <v/>
      </c>
      <c r="B4474" t="str">
        <f t="shared" si="139"/>
        <v/>
      </c>
      <c r="C4474" t="str">
        <f>IF(D4474="","",IF(COUNTIF($D$2:D4474,D4474)&gt;1,"",SUMIFS(tbl_input[필요수량],tbl_input[집계키_청],D4474)))</f>
        <v/>
      </c>
      <c r="D4474" t="str">
        <f>IFERROR(INDEX(tbl_input[집계키_청],ROW()-1),"")</f>
        <v/>
      </c>
    </row>
    <row r="4475" spans="1:4" x14ac:dyDescent="0.4">
      <c r="A4475" t="str">
        <f t="shared" si="138"/>
        <v/>
      </c>
      <c r="B4475" t="str">
        <f t="shared" si="139"/>
        <v/>
      </c>
      <c r="C4475" t="str">
        <f>IF(D4475="","",IF(COUNTIF($D$2:D4475,D4475)&gt;1,"",SUMIFS(tbl_input[필요수량],tbl_input[집계키_청],D4475)))</f>
        <v/>
      </c>
      <c r="D4475" t="str">
        <f>IFERROR(INDEX(tbl_input[집계키_청],ROW()-1),"")</f>
        <v/>
      </c>
    </row>
    <row r="4476" spans="1:4" x14ac:dyDescent="0.4">
      <c r="A4476" t="str">
        <f t="shared" si="138"/>
        <v/>
      </c>
      <c r="B4476" t="str">
        <f t="shared" si="139"/>
        <v/>
      </c>
      <c r="C4476" t="str">
        <f>IF(D4476="","",IF(COUNTIF($D$2:D4476,D4476)&gt;1,"",SUMIFS(tbl_input[필요수량],tbl_input[집계키_청],D4476)))</f>
        <v/>
      </c>
      <c r="D4476" t="str">
        <f>IFERROR(INDEX(tbl_input[집계키_청],ROW()-1),"")</f>
        <v/>
      </c>
    </row>
    <row r="4477" spans="1:4" x14ac:dyDescent="0.4">
      <c r="A4477" t="str">
        <f t="shared" si="138"/>
        <v/>
      </c>
      <c r="B4477" t="str">
        <f t="shared" si="139"/>
        <v/>
      </c>
      <c r="C4477" t="str">
        <f>IF(D4477="","",IF(COUNTIF($D$2:D4477,D4477)&gt;1,"",SUMIFS(tbl_input[필요수량],tbl_input[집계키_청],D4477)))</f>
        <v/>
      </c>
      <c r="D4477" t="str">
        <f>IFERROR(INDEX(tbl_input[집계키_청],ROW()-1),"")</f>
        <v/>
      </c>
    </row>
    <row r="4478" spans="1:4" x14ac:dyDescent="0.4">
      <c r="A4478" t="str">
        <f t="shared" si="138"/>
        <v/>
      </c>
      <c r="B4478" t="str">
        <f t="shared" si="139"/>
        <v/>
      </c>
      <c r="C4478" t="str">
        <f>IF(D4478="","",IF(COUNTIF($D$2:D4478,D4478)&gt;1,"",SUMIFS(tbl_input[필요수량],tbl_input[집계키_청],D4478)))</f>
        <v/>
      </c>
      <c r="D4478" t="str">
        <f>IFERROR(INDEX(tbl_input[집계키_청],ROW()-1),"")</f>
        <v/>
      </c>
    </row>
    <row r="4479" spans="1:4" x14ac:dyDescent="0.4">
      <c r="A4479" t="str">
        <f t="shared" si="138"/>
        <v/>
      </c>
      <c r="B4479" t="str">
        <f t="shared" si="139"/>
        <v/>
      </c>
      <c r="C4479" t="str">
        <f>IF(D4479="","",IF(COUNTIF($D$2:D4479,D4479)&gt;1,"",SUMIFS(tbl_input[필요수량],tbl_input[집계키_청],D4479)))</f>
        <v/>
      </c>
      <c r="D4479" t="str">
        <f>IFERROR(INDEX(tbl_input[집계키_청],ROW()-1),"")</f>
        <v/>
      </c>
    </row>
    <row r="4480" spans="1:4" x14ac:dyDescent="0.4">
      <c r="A4480" t="str">
        <f t="shared" si="138"/>
        <v/>
      </c>
      <c r="B4480" t="str">
        <f t="shared" si="139"/>
        <v/>
      </c>
      <c r="C4480" t="str">
        <f>IF(D4480="","",IF(COUNTIF($D$2:D4480,D4480)&gt;1,"",SUMIFS(tbl_input[필요수량],tbl_input[집계키_청],D4480)))</f>
        <v/>
      </c>
      <c r="D4480" t="str">
        <f>IFERROR(INDEX(tbl_input[집계키_청],ROW()-1),"")</f>
        <v/>
      </c>
    </row>
    <row r="4481" spans="1:4" x14ac:dyDescent="0.4">
      <c r="A4481" t="str">
        <f t="shared" si="138"/>
        <v/>
      </c>
      <c r="B4481" t="str">
        <f t="shared" si="139"/>
        <v/>
      </c>
      <c r="C4481" t="str">
        <f>IF(D4481="","",IF(COUNTIF($D$2:D4481,D4481)&gt;1,"",SUMIFS(tbl_input[필요수량],tbl_input[집계키_청],D4481)))</f>
        <v/>
      </c>
      <c r="D4481" t="str">
        <f>IFERROR(INDEX(tbl_input[집계키_청],ROW()-1),"")</f>
        <v/>
      </c>
    </row>
    <row r="4482" spans="1:4" x14ac:dyDescent="0.4">
      <c r="A4482" t="str">
        <f t="shared" ref="A4482:A4545" si="140">IF(D4482="","",LEFT(D4482,FIND("♦",D4482)-1))</f>
        <v/>
      </c>
      <c r="B4482" t="str">
        <f t="shared" ref="B4482:B4545" si="141">IF(D4482="","",MID(D4482,FIND("♦",D4482)+1,999))</f>
        <v/>
      </c>
      <c r="C4482" t="str">
        <f>IF(D4482="","",IF(COUNTIF($D$2:D4482,D4482)&gt;1,"",SUMIFS(tbl_input[필요수량],tbl_input[집계키_청],D4482)))</f>
        <v/>
      </c>
      <c r="D4482" t="str">
        <f>IFERROR(INDEX(tbl_input[집계키_청],ROW()-1),"")</f>
        <v/>
      </c>
    </row>
    <row r="4483" spans="1:4" x14ac:dyDescent="0.4">
      <c r="A4483" t="str">
        <f t="shared" si="140"/>
        <v/>
      </c>
      <c r="B4483" t="str">
        <f t="shared" si="141"/>
        <v/>
      </c>
      <c r="C4483" t="str">
        <f>IF(D4483="","",IF(COUNTIF($D$2:D4483,D4483)&gt;1,"",SUMIFS(tbl_input[필요수량],tbl_input[집계키_청],D4483)))</f>
        <v/>
      </c>
      <c r="D4483" t="str">
        <f>IFERROR(INDEX(tbl_input[집계키_청],ROW()-1),"")</f>
        <v/>
      </c>
    </row>
    <row r="4484" spans="1:4" x14ac:dyDescent="0.4">
      <c r="A4484" t="str">
        <f t="shared" si="140"/>
        <v/>
      </c>
      <c r="B4484" t="str">
        <f t="shared" si="141"/>
        <v/>
      </c>
      <c r="C4484" t="str">
        <f>IF(D4484="","",IF(COUNTIF($D$2:D4484,D4484)&gt;1,"",SUMIFS(tbl_input[필요수량],tbl_input[집계키_청],D4484)))</f>
        <v/>
      </c>
      <c r="D4484" t="str">
        <f>IFERROR(INDEX(tbl_input[집계키_청],ROW()-1),"")</f>
        <v/>
      </c>
    </row>
    <row r="4485" spans="1:4" x14ac:dyDescent="0.4">
      <c r="A4485" t="str">
        <f t="shared" si="140"/>
        <v/>
      </c>
      <c r="B4485" t="str">
        <f t="shared" si="141"/>
        <v/>
      </c>
      <c r="C4485" t="str">
        <f>IF(D4485="","",IF(COUNTIF($D$2:D4485,D4485)&gt;1,"",SUMIFS(tbl_input[필요수량],tbl_input[집계키_청],D4485)))</f>
        <v/>
      </c>
      <c r="D4485" t="str">
        <f>IFERROR(INDEX(tbl_input[집계키_청],ROW()-1),"")</f>
        <v/>
      </c>
    </row>
    <row r="4486" spans="1:4" x14ac:dyDescent="0.4">
      <c r="A4486" t="str">
        <f t="shared" si="140"/>
        <v/>
      </c>
      <c r="B4486" t="str">
        <f t="shared" si="141"/>
        <v/>
      </c>
      <c r="C4486" t="str">
        <f>IF(D4486="","",IF(COUNTIF($D$2:D4486,D4486)&gt;1,"",SUMIFS(tbl_input[필요수량],tbl_input[집계키_청],D4486)))</f>
        <v/>
      </c>
      <c r="D4486" t="str">
        <f>IFERROR(INDEX(tbl_input[집계키_청],ROW()-1),"")</f>
        <v/>
      </c>
    </row>
    <row r="4487" spans="1:4" x14ac:dyDescent="0.4">
      <c r="A4487" t="str">
        <f t="shared" si="140"/>
        <v/>
      </c>
      <c r="B4487" t="str">
        <f t="shared" si="141"/>
        <v/>
      </c>
      <c r="C4487" t="str">
        <f>IF(D4487="","",IF(COUNTIF($D$2:D4487,D4487)&gt;1,"",SUMIFS(tbl_input[필요수량],tbl_input[집계키_청],D4487)))</f>
        <v/>
      </c>
      <c r="D4487" t="str">
        <f>IFERROR(INDEX(tbl_input[집계키_청],ROW()-1),"")</f>
        <v/>
      </c>
    </row>
    <row r="4488" spans="1:4" x14ac:dyDescent="0.4">
      <c r="A4488" t="str">
        <f t="shared" si="140"/>
        <v/>
      </c>
      <c r="B4488" t="str">
        <f t="shared" si="141"/>
        <v/>
      </c>
      <c r="C4488" t="str">
        <f>IF(D4488="","",IF(COUNTIF($D$2:D4488,D4488)&gt;1,"",SUMIFS(tbl_input[필요수량],tbl_input[집계키_청],D4488)))</f>
        <v/>
      </c>
      <c r="D4488" t="str">
        <f>IFERROR(INDEX(tbl_input[집계키_청],ROW()-1),"")</f>
        <v/>
      </c>
    </row>
    <row r="4489" spans="1:4" x14ac:dyDescent="0.4">
      <c r="A4489" t="str">
        <f t="shared" si="140"/>
        <v/>
      </c>
      <c r="B4489" t="str">
        <f t="shared" si="141"/>
        <v/>
      </c>
      <c r="C4489" t="str">
        <f>IF(D4489="","",IF(COUNTIF($D$2:D4489,D4489)&gt;1,"",SUMIFS(tbl_input[필요수량],tbl_input[집계키_청],D4489)))</f>
        <v/>
      </c>
      <c r="D4489" t="str">
        <f>IFERROR(INDEX(tbl_input[집계키_청],ROW()-1),"")</f>
        <v/>
      </c>
    </row>
    <row r="4490" spans="1:4" x14ac:dyDescent="0.4">
      <c r="A4490" t="str">
        <f t="shared" si="140"/>
        <v/>
      </c>
      <c r="B4490" t="str">
        <f t="shared" si="141"/>
        <v/>
      </c>
      <c r="C4490" t="str">
        <f>IF(D4490="","",IF(COUNTIF($D$2:D4490,D4490)&gt;1,"",SUMIFS(tbl_input[필요수량],tbl_input[집계키_청],D4490)))</f>
        <v/>
      </c>
      <c r="D4490" t="str">
        <f>IFERROR(INDEX(tbl_input[집계키_청],ROW()-1),"")</f>
        <v/>
      </c>
    </row>
    <row r="4491" spans="1:4" x14ac:dyDescent="0.4">
      <c r="A4491" t="str">
        <f t="shared" si="140"/>
        <v/>
      </c>
      <c r="B4491" t="str">
        <f t="shared" si="141"/>
        <v/>
      </c>
      <c r="C4491" t="str">
        <f>IF(D4491="","",IF(COUNTIF($D$2:D4491,D4491)&gt;1,"",SUMIFS(tbl_input[필요수량],tbl_input[집계키_청],D4491)))</f>
        <v/>
      </c>
      <c r="D4491" t="str">
        <f>IFERROR(INDEX(tbl_input[집계키_청],ROW()-1),"")</f>
        <v/>
      </c>
    </row>
    <row r="4492" spans="1:4" x14ac:dyDescent="0.4">
      <c r="A4492" t="str">
        <f t="shared" si="140"/>
        <v/>
      </c>
      <c r="B4492" t="str">
        <f t="shared" si="141"/>
        <v/>
      </c>
      <c r="C4492" t="str">
        <f>IF(D4492="","",IF(COUNTIF($D$2:D4492,D4492)&gt;1,"",SUMIFS(tbl_input[필요수량],tbl_input[집계키_청],D4492)))</f>
        <v/>
      </c>
      <c r="D4492" t="str">
        <f>IFERROR(INDEX(tbl_input[집계키_청],ROW()-1),"")</f>
        <v/>
      </c>
    </row>
    <row r="4493" spans="1:4" x14ac:dyDescent="0.4">
      <c r="A4493" t="str">
        <f t="shared" si="140"/>
        <v/>
      </c>
      <c r="B4493" t="str">
        <f t="shared" si="141"/>
        <v/>
      </c>
      <c r="C4493" t="str">
        <f>IF(D4493="","",IF(COUNTIF($D$2:D4493,D4493)&gt;1,"",SUMIFS(tbl_input[필요수량],tbl_input[집계키_청],D4493)))</f>
        <v/>
      </c>
      <c r="D4493" t="str">
        <f>IFERROR(INDEX(tbl_input[집계키_청],ROW()-1),"")</f>
        <v/>
      </c>
    </row>
    <row r="4494" spans="1:4" x14ac:dyDescent="0.4">
      <c r="A4494" t="str">
        <f t="shared" si="140"/>
        <v/>
      </c>
      <c r="B4494" t="str">
        <f t="shared" si="141"/>
        <v/>
      </c>
      <c r="C4494" t="str">
        <f>IF(D4494="","",IF(COUNTIF($D$2:D4494,D4494)&gt;1,"",SUMIFS(tbl_input[필요수량],tbl_input[집계키_청],D4494)))</f>
        <v/>
      </c>
      <c r="D4494" t="str">
        <f>IFERROR(INDEX(tbl_input[집계키_청],ROW()-1),"")</f>
        <v/>
      </c>
    </row>
    <row r="4495" spans="1:4" x14ac:dyDescent="0.4">
      <c r="A4495" t="str">
        <f t="shared" si="140"/>
        <v/>
      </c>
      <c r="B4495" t="str">
        <f t="shared" si="141"/>
        <v/>
      </c>
      <c r="C4495" t="str">
        <f>IF(D4495="","",IF(COUNTIF($D$2:D4495,D4495)&gt;1,"",SUMIFS(tbl_input[필요수량],tbl_input[집계키_청],D4495)))</f>
        <v/>
      </c>
      <c r="D4495" t="str">
        <f>IFERROR(INDEX(tbl_input[집계키_청],ROW()-1),"")</f>
        <v/>
      </c>
    </row>
    <row r="4496" spans="1:4" x14ac:dyDescent="0.4">
      <c r="A4496" t="str">
        <f t="shared" si="140"/>
        <v/>
      </c>
      <c r="B4496" t="str">
        <f t="shared" si="141"/>
        <v/>
      </c>
      <c r="C4496" t="str">
        <f>IF(D4496="","",IF(COUNTIF($D$2:D4496,D4496)&gt;1,"",SUMIFS(tbl_input[필요수량],tbl_input[집계키_청],D4496)))</f>
        <v/>
      </c>
      <c r="D4496" t="str">
        <f>IFERROR(INDEX(tbl_input[집계키_청],ROW()-1),"")</f>
        <v/>
      </c>
    </row>
    <row r="4497" spans="1:4" x14ac:dyDescent="0.4">
      <c r="A4497" t="str">
        <f t="shared" si="140"/>
        <v/>
      </c>
      <c r="B4497" t="str">
        <f t="shared" si="141"/>
        <v/>
      </c>
      <c r="C4497" t="str">
        <f>IF(D4497="","",IF(COUNTIF($D$2:D4497,D4497)&gt;1,"",SUMIFS(tbl_input[필요수량],tbl_input[집계키_청],D4497)))</f>
        <v/>
      </c>
      <c r="D4497" t="str">
        <f>IFERROR(INDEX(tbl_input[집계키_청],ROW()-1),"")</f>
        <v/>
      </c>
    </row>
    <row r="4498" spans="1:4" x14ac:dyDescent="0.4">
      <c r="A4498" t="str">
        <f t="shared" si="140"/>
        <v/>
      </c>
      <c r="B4498" t="str">
        <f t="shared" si="141"/>
        <v/>
      </c>
      <c r="C4498" t="str">
        <f>IF(D4498="","",IF(COUNTIF($D$2:D4498,D4498)&gt;1,"",SUMIFS(tbl_input[필요수량],tbl_input[집계키_청],D4498)))</f>
        <v/>
      </c>
      <c r="D4498" t="str">
        <f>IFERROR(INDEX(tbl_input[집계키_청],ROW()-1),"")</f>
        <v/>
      </c>
    </row>
    <row r="4499" spans="1:4" x14ac:dyDescent="0.4">
      <c r="A4499" t="str">
        <f t="shared" si="140"/>
        <v/>
      </c>
      <c r="B4499" t="str">
        <f t="shared" si="141"/>
        <v/>
      </c>
      <c r="C4499" t="str">
        <f>IF(D4499="","",IF(COUNTIF($D$2:D4499,D4499)&gt;1,"",SUMIFS(tbl_input[필요수량],tbl_input[집계키_청],D4499)))</f>
        <v/>
      </c>
      <c r="D4499" t="str">
        <f>IFERROR(INDEX(tbl_input[집계키_청],ROW()-1),"")</f>
        <v/>
      </c>
    </row>
    <row r="4500" spans="1:4" x14ac:dyDescent="0.4">
      <c r="A4500" t="str">
        <f t="shared" si="140"/>
        <v/>
      </c>
      <c r="B4500" t="str">
        <f t="shared" si="141"/>
        <v/>
      </c>
      <c r="C4500" t="str">
        <f>IF(D4500="","",IF(COUNTIF($D$2:D4500,D4500)&gt;1,"",SUMIFS(tbl_input[필요수량],tbl_input[집계키_청],D4500)))</f>
        <v/>
      </c>
      <c r="D4500" t="str">
        <f>IFERROR(INDEX(tbl_input[집계키_청],ROW()-1),"")</f>
        <v/>
      </c>
    </row>
    <row r="4501" spans="1:4" x14ac:dyDescent="0.4">
      <c r="A4501" t="str">
        <f t="shared" si="140"/>
        <v/>
      </c>
      <c r="B4501" t="str">
        <f t="shared" si="141"/>
        <v/>
      </c>
      <c r="C4501" t="str">
        <f>IF(D4501="","",IF(COUNTIF($D$2:D4501,D4501)&gt;1,"",SUMIFS(tbl_input[필요수량],tbl_input[집계키_청],D4501)))</f>
        <v/>
      </c>
      <c r="D4501" t="str">
        <f>IFERROR(INDEX(tbl_input[집계키_청],ROW()-1),"")</f>
        <v/>
      </c>
    </row>
    <row r="4502" spans="1:4" x14ac:dyDescent="0.4">
      <c r="A4502" t="str">
        <f t="shared" si="140"/>
        <v/>
      </c>
      <c r="B4502" t="str">
        <f t="shared" si="141"/>
        <v/>
      </c>
      <c r="C4502" t="str">
        <f>IF(D4502="","",IF(COUNTIF($D$2:D4502,D4502)&gt;1,"",SUMIFS(tbl_input[필요수량],tbl_input[집계키_청],D4502)))</f>
        <v/>
      </c>
      <c r="D4502" t="str">
        <f>IFERROR(INDEX(tbl_input[집계키_청],ROW()-1),"")</f>
        <v/>
      </c>
    </row>
    <row r="4503" spans="1:4" x14ac:dyDescent="0.4">
      <c r="A4503" t="str">
        <f t="shared" si="140"/>
        <v/>
      </c>
      <c r="B4503" t="str">
        <f t="shared" si="141"/>
        <v/>
      </c>
      <c r="C4503" t="str">
        <f>IF(D4503="","",IF(COUNTIF($D$2:D4503,D4503)&gt;1,"",SUMIFS(tbl_input[필요수량],tbl_input[집계키_청],D4503)))</f>
        <v/>
      </c>
      <c r="D4503" t="str">
        <f>IFERROR(INDEX(tbl_input[집계키_청],ROW()-1),"")</f>
        <v/>
      </c>
    </row>
    <row r="4504" spans="1:4" x14ac:dyDescent="0.4">
      <c r="A4504" t="str">
        <f t="shared" si="140"/>
        <v/>
      </c>
      <c r="B4504" t="str">
        <f t="shared" si="141"/>
        <v/>
      </c>
      <c r="C4504" t="str">
        <f>IF(D4504="","",IF(COUNTIF($D$2:D4504,D4504)&gt;1,"",SUMIFS(tbl_input[필요수량],tbl_input[집계키_청],D4504)))</f>
        <v/>
      </c>
      <c r="D4504" t="str">
        <f>IFERROR(INDEX(tbl_input[집계키_청],ROW()-1),"")</f>
        <v/>
      </c>
    </row>
    <row r="4505" spans="1:4" x14ac:dyDescent="0.4">
      <c r="A4505" t="str">
        <f t="shared" si="140"/>
        <v/>
      </c>
      <c r="B4505" t="str">
        <f t="shared" si="141"/>
        <v/>
      </c>
      <c r="C4505" t="str">
        <f>IF(D4505="","",IF(COUNTIF($D$2:D4505,D4505)&gt;1,"",SUMIFS(tbl_input[필요수량],tbl_input[집계키_청],D4505)))</f>
        <v/>
      </c>
      <c r="D4505" t="str">
        <f>IFERROR(INDEX(tbl_input[집계키_청],ROW()-1),"")</f>
        <v/>
      </c>
    </row>
    <row r="4506" spans="1:4" x14ac:dyDescent="0.4">
      <c r="A4506" t="str">
        <f t="shared" si="140"/>
        <v/>
      </c>
      <c r="B4506" t="str">
        <f t="shared" si="141"/>
        <v/>
      </c>
      <c r="C4506" t="str">
        <f>IF(D4506="","",IF(COUNTIF($D$2:D4506,D4506)&gt;1,"",SUMIFS(tbl_input[필요수량],tbl_input[집계키_청],D4506)))</f>
        <v/>
      </c>
      <c r="D4506" t="str">
        <f>IFERROR(INDEX(tbl_input[집계키_청],ROW()-1),"")</f>
        <v/>
      </c>
    </row>
    <row r="4507" spans="1:4" x14ac:dyDescent="0.4">
      <c r="A4507" t="str">
        <f t="shared" si="140"/>
        <v/>
      </c>
      <c r="B4507" t="str">
        <f t="shared" si="141"/>
        <v/>
      </c>
      <c r="C4507" t="str">
        <f>IF(D4507="","",IF(COUNTIF($D$2:D4507,D4507)&gt;1,"",SUMIFS(tbl_input[필요수량],tbl_input[집계키_청],D4507)))</f>
        <v/>
      </c>
      <c r="D4507" t="str">
        <f>IFERROR(INDEX(tbl_input[집계키_청],ROW()-1),"")</f>
        <v/>
      </c>
    </row>
    <row r="4508" spans="1:4" x14ac:dyDescent="0.4">
      <c r="A4508" t="str">
        <f t="shared" si="140"/>
        <v/>
      </c>
      <c r="B4508" t="str">
        <f t="shared" si="141"/>
        <v/>
      </c>
      <c r="C4508" t="str">
        <f>IF(D4508="","",IF(COUNTIF($D$2:D4508,D4508)&gt;1,"",SUMIFS(tbl_input[필요수량],tbl_input[집계키_청],D4508)))</f>
        <v/>
      </c>
      <c r="D4508" t="str">
        <f>IFERROR(INDEX(tbl_input[집계키_청],ROW()-1),"")</f>
        <v/>
      </c>
    </row>
    <row r="4509" spans="1:4" x14ac:dyDescent="0.4">
      <c r="A4509" t="str">
        <f t="shared" si="140"/>
        <v/>
      </c>
      <c r="B4509" t="str">
        <f t="shared" si="141"/>
        <v/>
      </c>
      <c r="C4509" t="str">
        <f>IF(D4509="","",IF(COUNTIF($D$2:D4509,D4509)&gt;1,"",SUMIFS(tbl_input[필요수량],tbl_input[집계키_청],D4509)))</f>
        <v/>
      </c>
      <c r="D4509" t="str">
        <f>IFERROR(INDEX(tbl_input[집계키_청],ROW()-1),"")</f>
        <v/>
      </c>
    </row>
    <row r="4510" spans="1:4" x14ac:dyDescent="0.4">
      <c r="A4510" t="str">
        <f t="shared" si="140"/>
        <v/>
      </c>
      <c r="B4510" t="str">
        <f t="shared" si="141"/>
        <v/>
      </c>
      <c r="C4510" t="str">
        <f>IF(D4510="","",IF(COUNTIF($D$2:D4510,D4510)&gt;1,"",SUMIFS(tbl_input[필요수량],tbl_input[집계키_청],D4510)))</f>
        <v/>
      </c>
      <c r="D4510" t="str">
        <f>IFERROR(INDEX(tbl_input[집계키_청],ROW()-1),"")</f>
        <v/>
      </c>
    </row>
    <row r="4511" spans="1:4" x14ac:dyDescent="0.4">
      <c r="A4511" t="str">
        <f t="shared" si="140"/>
        <v/>
      </c>
      <c r="B4511" t="str">
        <f t="shared" si="141"/>
        <v/>
      </c>
      <c r="C4511" t="str">
        <f>IF(D4511="","",IF(COUNTIF($D$2:D4511,D4511)&gt;1,"",SUMIFS(tbl_input[필요수량],tbl_input[집계키_청],D4511)))</f>
        <v/>
      </c>
      <c r="D4511" t="str">
        <f>IFERROR(INDEX(tbl_input[집계키_청],ROW()-1),"")</f>
        <v/>
      </c>
    </row>
    <row r="4512" spans="1:4" x14ac:dyDescent="0.4">
      <c r="A4512" t="str">
        <f t="shared" si="140"/>
        <v/>
      </c>
      <c r="B4512" t="str">
        <f t="shared" si="141"/>
        <v/>
      </c>
      <c r="C4512" t="str">
        <f>IF(D4512="","",IF(COUNTIF($D$2:D4512,D4512)&gt;1,"",SUMIFS(tbl_input[필요수량],tbl_input[집계키_청],D4512)))</f>
        <v/>
      </c>
      <c r="D4512" t="str">
        <f>IFERROR(INDEX(tbl_input[집계키_청],ROW()-1),"")</f>
        <v/>
      </c>
    </row>
    <row r="4513" spans="1:4" x14ac:dyDescent="0.4">
      <c r="A4513" t="str">
        <f t="shared" si="140"/>
        <v/>
      </c>
      <c r="B4513" t="str">
        <f t="shared" si="141"/>
        <v/>
      </c>
      <c r="C4513" t="str">
        <f>IF(D4513="","",IF(COUNTIF($D$2:D4513,D4513)&gt;1,"",SUMIFS(tbl_input[필요수량],tbl_input[집계키_청],D4513)))</f>
        <v/>
      </c>
      <c r="D4513" t="str">
        <f>IFERROR(INDEX(tbl_input[집계키_청],ROW()-1),"")</f>
        <v/>
      </c>
    </row>
    <row r="4514" spans="1:4" x14ac:dyDescent="0.4">
      <c r="A4514" t="str">
        <f t="shared" si="140"/>
        <v/>
      </c>
      <c r="B4514" t="str">
        <f t="shared" si="141"/>
        <v/>
      </c>
      <c r="C4514" t="str">
        <f>IF(D4514="","",IF(COUNTIF($D$2:D4514,D4514)&gt;1,"",SUMIFS(tbl_input[필요수량],tbl_input[집계키_청],D4514)))</f>
        <v/>
      </c>
      <c r="D4514" t="str">
        <f>IFERROR(INDEX(tbl_input[집계키_청],ROW()-1),"")</f>
        <v/>
      </c>
    </row>
    <row r="4515" spans="1:4" x14ac:dyDescent="0.4">
      <c r="A4515" t="str">
        <f t="shared" si="140"/>
        <v/>
      </c>
      <c r="B4515" t="str">
        <f t="shared" si="141"/>
        <v/>
      </c>
      <c r="C4515" t="str">
        <f>IF(D4515="","",IF(COUNTIF($D$2:D4515,D4515)&gt;1,"",SUMIFS(tbl_input[필요수량],tbl_input[집계키_청],D4515)))</f>
        <v/>
      </c>
      <c r="D4515" t="str">
        <f>IFERROR(INDEX(tbl_input[집계키_청],ROW()-1),"")</f>
        <v/>
      </c>
    </row>
    <row r="4516" spans="1:4" x14ac:dyDescent="0.4">
      <c r="A4516" t="str">
        <f t="shared" si="140"/>
        <v/>
      </c>
      <c r="B4516" t="str">
        <f t="shared" si="141"/>
        <v/>
      </c>
      <c r="C4516" t="str">
        <f>IF(D4516="","",IF(COUNTIF($D$2:D4516,D4516)&gt;1,"",SUMIFS(tbl_input[필요수량],tbl_input[집계키_청],D4516)))</f>
        <v/>
      </c>
      <c r="D4516" t="str">
        <f>IFERROR(INDEX(tbl_input[집계키_청],ROW()-1),"")</f>
        <v/>
      </c>
    </row>
    <row r="4517" spans="1:4" x14ac:dyDescent="0.4">
      <c r="A4517" t="str">
        <f t="shared" si="140"/>
        <v/>
      </c>
      <c r="B4517" t="str">
        <f t="shared" si="141"/>
        <v/>
      </c>
      <c r="C4517" t="str">
        <f>IF(D4517="","",IF(COUNTIF($D$2:D4517,D4517)&gt;1,"",SUMIFS(tbl_input[필요수량],tbl_input[집계키_청],D4517)))</f>
        <v/>
      </c>
      <c r="D4517" t="str">
        <f>IFERROR(INDEX(tbl_input[집계키_청],ROW()-1),"")</f>
        <v/>
      </c>
    </row>
    <row r="4518" spans="1:4" x14ac:dyDescent="0.4">
      <c r="A4518" t="str">
        <f t="shared" si="140"/>
        <v/>
      </c>
      <c r="B4518" t="str">
        <f t="shared" si="141"/>
        <v/>
      </c>
      <c r="C4518" t="str">
        <f>IF(D4518="","",IF(COUNTIF($D$2:D4518,D4518)&gt;1,"",SUMIFS(tbl_input[필요수량],tbl_input[집계키_청],D4518)))</f>
        <v/>
      </c>
      <c r="D4518" t="str">
        <f>IFERROR(INDEX(tbl_input[집계키_청],ROW()-1),"")</f>
        <v/>
      </c>
    </row>
    <row r="4519" spans="1:4" x14ac:dyDescent="0.4">
      <c r="A4519" t="str">
        <f t="shared" si="140"/>
        <v/>
      </c>
      <c r="B4519" t="str">
        <f t="shared" si="141"/>
        <v/>
      </c>
      <c r="C4519" t="str">
        <f>IF(D4519="","",IF(COUNTIF($D$2:D4519,D4519)&gt;1,"",SUMIFS(tbl_input[필요수량],tbl_input[집계키_청],D4519)))</f>
        <v/>
      </c>
      <c r="D4519" t="str">
        <f>IFERROR(INDEX(tbl_input[집계키_청],ROW()-1),"")</f>
        <v/>
      </c>
    </row>
    <row r="4520" spans="1:4" x14ac:dyDescent="0.4">
      <c r="A4520" t="str">
        <f t="shared" si="140"/>
        <v/>
      </c>
      <c r="B4520" t="str">
        <f t="shared" si="141"/>
        <v/>
      </c>
      <c r="C4520" t="str">
        <f>IF(D4520="","",IF(COUNTIF($D$2:D4520,D4520)&gt;1,"",SUMIFS(tbl_input[필요수량],tbl_input[집계키_청],D4520)))</f>
        <v/>
      </c>
      <c r="D4520" t="str">
        <f>IFERROR(INDEX(tbl_input[집계키_청],ROW()-1),"")</f>
        <v/>
      </c>
    </row>
    <row r="4521" spans="1:4" x14ac:dyDescent="0.4">
      <c r="A4521" t="str">
        <f t="shared" si="140"/>
        <v/>
      </c>
      <c r="B4521" t="str">
        <f t="shared" si="141"/>
        <v/>
      </c>
      <c r="C4521" t="str">
        <f>IF(D4521="","",IF(COUNTIF($D$2:D4521,D4521)&gt;1,"",SUMIFS(tbl_input[필요수량],tbl_input[집계키_청],D4521)))</f>
        <v/>
      </c>
      <c r="D4521" t="str">
        <f>IFERROR(INDEX(tbl_input[집계키_청],ROW()-1),"")</f>
        <v/>
      </c>
    </row>
    <row r="4522" spans="1:4" x14ac:dyDescent="0.4">
      <c r="A4522" t="str">
        <f t="shared" si="140"/>
        <v/>
      </c>
      <c r="B4522" t="str">
        <f t="shared" si="141"/>
        <v/>
      </c>
      <c r="C4522" t="str">
        <f>IF(D4522="","",IF(COUNTIF($D$2:D4522,D4522)&gt;1,"",SUMIFS(tbl_input[필요수량],tbl_input[집계키_청],D4522)))</f>
        <v/>
      </c>
      <c r="D4522" t="str">
        <f>IFERROR(INDEX(tbl_input[집계키_청],ROW()-1),"")</f>
        <v/>
      </c>
    </row>
    <row r="4523" spans="1:4" x14ac:dyDescent="0.4">
      <c r="A4523" t="str">
        <f t="shared" si="140"/>
        <v/>
      </c>
      <c r="B4523" t="str">
        <f t="shared" si="141"/>
        <v/>
      </c>
      <c r="C4523" t="str">
        <f>IF(D4523="","",IF(COUNTIF($D$2:D4523,D4523)&gt;1,"",SUMIFS(tbl_input[필요수량],tbl_input[집계키_청],D4523)))</f>
        <v/>
      </c>
      <c r="D4523" t="str">
        <f>IFERROR(INDEX(tbl_input[집계키_청],ROW()-1),"")</f>
        <v/>
      </c>
    </row>
    <row r="4524" spans="1:4" x14ac:dyDescent="0.4">
      <c r="A4524" t="str">
        <f t="shared" si="140"/>
        <v/>
      </c>
      <c r="B4524" t="str">
        <f t="shared" si="141"/>
        <v/>
      </c>
      <c r="C4524" t="str">
        <f>IF(D4524="","",IF(COUNTIF($D$2:D4524,D4524)&gt;1,"",SUMIFS(tbl_input[필요수량],tbl_input[집계키_청],D4524)))</f>
        <v/>
      </c>
      <c r="D4524" t="str">
        <f>IFERROR(INDEX(tbl_input[집계키_청],ROW()-1),"")</f>
        <v/>
      </c>
    </row>
    <row r="4525" spans="1:4" x14ac:dyDescent="0.4">
      <c r="A4525" t="str">
        <f t="shared" si="140"/>
        <v/>
      </c>
      <c r="B4525" t="str">
        <f t="shared" si="141"/>
        <v/>
      </c>
      <c r="C4525" t="str">
        <f>IF(D4525="","",IF(COUNTIF($D$2:D4525,D4525)&gt;1,"",SUMIFS(tbl_input[필요수량],tbl_input[집계키_청],D4525)))</f>
        <v/>
      </c>
      <c r="D4525" t="str">
        <f>IFERROR(INDEX(tbl_input[집계키_청],ROW()-1),"")</f>
        <v/>
      </c>
    </row>
    <row r="4526" spans="1:4" x14ac:dyDescent="0.4">
      <c r="A4526" t="str">
        <f t="shared" si="140"/>
        <v/>
      </c>
      <c r="B4526" t="str">
        <f t="shared" si="141"/>
        <v/>
      </c>
      <c r="C4526" t="str">
        <f>IF(D4526="","",IF(COUNTIF($D$2:D4526,D4526)&gt;1,"",SUMIFS(tbl_input[필요수량],tbl_input[집계키_청],D4526)))</f>
        <v/>
      </c>
      <c r="D4526" t="str">
        <f>IFERROR(INDEX(tbl_input[집계키_청],ROW()-1),"")</f>
        <v/>
      </c>
    </row>
    <row r="4527" spans="1:4" x14ac:dyDescent="0.4">
      <c r="A4527" t="str">
        <f t="shared" si="140"/>
        <v/>
      </c>
      <c r="B4527" t="str">
        <f t="shared" si="141"/>
        <v/>
      </c>
      <c r="C4527" t="str">
        <f>IF(D4527="","",IF(COUNTIF($D$2:D4527,D4527)&gt;1,"",SUMIFS(tbl_input[필요수량],tbl_input[집계키_청],D4527)))</f>
        <v/>
      </c>
      <c r="D4527" t="str">
        <f>IFERROR(INDEX(tbl_input[집계키_청],ROW()-1),"")</f>
        <v/>
      </c>
    </row>
    <row r="4528" spans="1:4" x14ac:dyDescent="0.4">
      <c r="A4528" t="str">
        <f t="shared" si="140"/>
        <v/>
      </c>
      <c r="B4528" t="str">
        <f t="shared" si="141"/>
        <v/>
      </c>
      <c r="C4528" t="str">
        <f>IF(D4528="","",IF(COUNTIF($D$2:D4528,D4528)&gt;1,"",SUMIFS(tbl_input[필요수량],tbl_input[집계키_청],D4528)))</f>
        <v/>
      </c>
      <c r="D4528" t="str">
        <f>IFERROR(INDEX(tbl_input[집계키_청],ROW()-1),"")</f>
        <v/>
      </c>
    </row>
    <row r="4529" spans="1:4" x14ac:dyDescent="0.4">
      <c r="A4529" t="str">
        <f t="shared" si="140"/>
        <v/>
      </c>
      <c r="B4529" t="str">
        <f t="shared" si="141"/>
        <v/>
      </c>
      <c r="C4529" t="str">
        <f>IF(D4529="","",IF(COUNTIF($D$2:D4529,D4529)&gt;1,"",SUMIFS(tbl_input[필요수량],tbl_input[집계키_청],D4529)))</f>
        <v/>
      </c>
      <c r="D4529" t="str">
        <f>IFERROR(INDEX(tbl_input[집계키_청],ROW()-1),"")</f>
        <v/>
      </c>
    </row>
    <row r="4530" spans="1:4" x14ac:dyDescent="0.4">
      <c r="A4530" t="str">
        <f t="shared" si="140"/>
        <v/>
      </c>
      <c r="B4530" t="str">
        <f t="shared" si="141"/>
        <v/>
      </c>
      <c r="C4530" t="str">
        <f>IF(D4530="","",IF(COUNTIF($D$2:D4530,D4530)&gt;1,"",SUMIFS(tbl_input[필요수량],tbl_input[집계키_청],D4530)))</f>
        <v/>
      </c>
      <c r="D4530" t="str">
        <f>IFERROR(INDEX(tbl_input[집계키_청],ROW()-1),"")</f>
        <v/>
      </c>
    </row>
    <row r="4531" spans="1:4" x14ac:dyDescent="0.4">
      <c r="A4531" t="str">
        <f t="shared" si="140"/>
        <v/>
      </c>
      <c r="B4531" t="str">
        <f t="shared" si="141"/>
        <v/>
      </c>
      <c r="C4531" t="str">
        <f>IF(D4531="","",IF(COUNTIF($D$2:D4531,D4531)&gt;1,"",SUMIFS(tbl_input[필요수량],tbl_input[집계키_청],D4531)))</f>
        <v/>
      </c>
      <c r="D4531" t="str">
        <f>IFERROR(INDEX(tbl_input[집계키_청],ROW()-1),"")</f>
        <v/>
      </c>
    </row>
    <row r="4532" spans="1:4" x14ac:dyDescent="0.4">
      <c r="A4532" t="str">
        <f t="shared" si="140"/>
        <v/>
      </c>
      <c r="B4532" t="str">
        <f t="shared" si="141"/>
        <v/>
      </c>
      <c r="C4532" t="str">
        <f>IF(D4532="","",IF(COUNTIF($D$2:D4532,D4532)&gt;1,"",SUMIFS(tbl_input[필요수량],tbl_input[집계키_청],D4532)))</f>
        <v/>
      </c>
      <c r="D4532" t="str">
        <f>IFERROR(INDEX(tbl_input[집계키_청],ROW()-1),"")</f>
        <v/>
      </c>
    </row>
    <row r="4533" spans="1:4" x14ac:dyDescent="0.4">
      <c r="A4533" t="str">
        <f t="shared" si="140"/>
        <v/>
      </c>
      <c r="B4533" t="str">
        <f t="shared" si="141"/>
        <v/>
      </c>
      <c r="C4533" t="str">
        <f>IF(D4533="","",IF(COUNTIF($D$2:D4533,D4533)&gt;1,"",SUMIFS(tbl_input[필요수량],tbl_input[집계키_청],D4533)))</f>
        <v/>
      </c>
      <c r="D4533" t="str">
        <f>IFERROR(INDEX(tbl_input[집계키_청],ROW()-1),"")</f>
        <v/>
      </c>
    </row>
    <row r="4534" spans="1:4" x14ac:dyDescent="0.4">
      <c r="A4534" t="str">
        <f t="shared" si="140"/>
        <v/>
      </c>
      <c r="B4534" t="str">
        <f t="shared" si="141"/>
        <v/>
      </c>
      <c r="C4534" t="str">
        <f>IF(D4534="","",IF(COUNTIF($D$2:D4534,D4534)&gt;1,"",SUMIFS(tbl_input[필요수량],tbl_input[집계키_청],D4534)))</f>
        <v/>
      </c>
      <c r="D4534" t="str">
        <f>IFERROR(INDEX(tbl_input[집계키_청],ROW()-1),"")</f>
        <v/>
      </c>
    </row>
    <row r="4535" spans="1:4" x14ac:dyDescent="0.4">
      <c r="A4535" t="str">
        <f t="shared" si="140"/>
        <v/>
      </c>
      <c r="B4535" t="str">
        <f t="shared" si="141"/>
        <v/>
      </c>
      <c r="C4535" t="str">
        <f>IF(D4535="","",IF(COUNTIF($D$2:D4535,D4535)&gt;1,"",SUMIFS(tbl_input[필요수량],tbl_input[집계키_청],D4535)))</f>
        <v/>
      </c>
      <c r="D4535" t="str">
        <f>IFERROR(INDEX(tbl_input[집계키_청],ROW()-1),"")</f>
        <v/>
      </c>
    </row>
    <row r="4536" spans="1:4" x14ac:dyDescent="0.4">
      <c r="A4536" t="str">
        <f t="shared" si="140"/>
        <v/>
      </c>
      <c r="B4536" t="str">
        <f t="shared" si="141"/>
        <v/>
      </c>
      <c r="C4536" t="str">
        <f>IF(D4536="","",IF(COUNTIF($D$2:D4536,D4536)&gt;1,"",SUMIFS(tbl_input[필요수량],tbl_input[집계키_청],D4536)))</f>
        <v/>
      </c>
      <c r="D4536" t="str">
        <f>IFERROR(INDEX(tbl_input[집계키_청],ROW()-1),"")</f>
        <v/>
      </c>
    </row>
    <row r="4537" spans="1:4" x14ac:dyDescent="0.4">
      <c r="A4537" t="str">
        <f t="shared" si="140"/>
        <v/>
      </c>
      <c r="B4537" t="str">
        <f t="shared" si="141"/>
        <v/>
      </c>
      <c r="C4537" t="str">
        <f>IF(D4537="","",IF(COUNTIF($D$2:D4537,D4537)&gt;1,"",SUMIFS(tbl_input[필요수량],tbl_input[집계키_청],D4537)))</f>
        <v/>
      </c>
      <c r="D4537" t="str">
        <f>IFERROR(INDEX(tbl_input[집계키_청],ROW()-1),"")</f>
        <v/>
      </c>
    </row>
    <row r="4538" spans="1:4" x14ac:dyDescent="0.4">
      <c r="A4538" t="str">
        <f t="shared" si="140"/>
        <v/>
      </c>
      <c r="B4538" t="str">
        <f t="shared" si="141"/>
        <v/>
      </c>
      <c r="C4538" t="str">
        <f>IF(D4538="","",IF(COUNTIF($D$2:D4538,D4538)&gt;1,"",SUMIFS(tbl_input[필요수량],tbl_input[집계키_청],D4538)))</f>
        <v/>
      </c>
      <c r="D4538" t="str">
        <f>IFERROR(INDEX(tbl_input[집계키_청],ROW()-1),"")</f>
        <v/>
      </c>
    </row>
    <row r="4539" spans="1:4" x14ac:dyDescent="0.4">
      <c r="A4539" t="str">
        <f t="shared" si="140"/>
        <v/>
      </c>
      <c r="B4539" t="str">
        <f t="shared" si="141"/>
        <v/>
      </c>
      <c r="C4539" t="str">
        <f>IF(D4539="","",IF(COUNTIF($D$2:D4539,D4539)&gt;1,"",SUMIFS(tbl_input[필요수량],tbl_input[집계키_청],D4539)))</f>
        <v/>
      </c>
      <c r="D4539" t="str">
        <f>IFERROR(INDEX(tbl_input[집계키_청],ROW()-1),"")</f>
        <v/>
      </c>
    </row>
    <row r="4540" spans="1:4" x14ac:dyDescent="0.4">
      <c r="A4540" t="str">
        <f t="shared" si="140"/>
        <v/>
      </c>
      <c r="B4540" t="str">
        <f t="shared" si="141"/>
        <v/>
      </c>
      <c r="C4540" t="str">
        <f>IF(D4540="","",IF(COUNTIF($D$2:D4540,D4540)&gt;1,"",SUMIFS(tbl_input[필요수량],tbl_input[집계키_청],D4540)))</f>
        <v/>
      </c>
      <c r="D4540" t="str">
        <f>IFERROR(INDEX(tbl_input[집계키_청],ROW()-1),"")</f>
        <v/>
      </c>
    </row>
    <row r="4541" spans="1:4" x14ac:dyDescent="0.4">
      <c r="A4541" t="str">
        <f t="shared" si="140"/>
        <v/>
      </c>
      <c r="B4541" t="str">
        <f t="shared" si="141"/>
        <v/>
      </c>
      <c r="C4541" t="str">
        <f>IF(D4541="","",IF(COUNTIF($D$2:D4541,D4541)&gt;1,"",SUMIFS(tbl_input[필요수량],tbl_input[집계키_청],D4541)))</f>
        <v/>
      </c>
      <c r="D4541" t="str">
        <f>IFERROR(INDEX(tbl_input[집계키_청],ROW()-1),"")</f>
        <v/>
      </c>
    </row>
    <row r="4542" spans="1:4" x14ac:dyDescent="0.4">
      <c r="A4542" t="str">
        <f t="shared" si="140"/>
        <v/>
      </c>
      <c r="B4542" t="str">
        <f t="shared" si="141"/>
        <v/>
      </c>
      <c r="C4542" t="str">
        <f>IF(D4542="","",IF(COUNTIF($D$2:D4542,D4542)&gt;1,"",SUMIFS(tbl_input[필요수량],tbl_input[집계키_청],D4542)))</f>
        <v/>
      </c>
      <c r="D4542" t="str">
        <f>IFERROR(INDEX(tbl_input[집계키_청],ROW()-1),"")</f>
        <v/>
      </c>
    </row>
    <row r="4543" spans="1:4" x14ac:dyDescent="0.4">
      <c r="A4543" t="str">
        <f t="shared" si="140"/>
        <v/>
      </c>
      <c r="B4543" t="str">
        <f t="shared" si="141"/>
        <v/>
      </c>
      <c r="C4543" t="str">
        <f>IF(D4543="","",IF(COUNTIF($D$2:D4543,D4543)&gt;1,"",SUMIFS(tbl_input[필요수량],tbl_input[집계키_청],D4543)))</f>
        <v/>
      </c>
      <c r="D4543" t="str">
        <f>IFERROR(INDEX(tbl_input[집계키_청],ROW()-1),"")</f>
        <v/>
      </c>
    </row>
    <row r="4544" spans="1:4" x14ac:dyDescent="0.4">
      <c r="A4544" t="str">
        <f t="shared" si="140"/>
        <v/>
      </c>
      <c r="B4544" t="str">
        <f t="shared" si="141"/>
        <v/>
      </c>
      <c r="C4544" t="str">
        <f>IF(D4544="","",IF(COUNTIF($D$2:D4544,D4544)&gt;1,"",SUMIFS(tbl_input[필요수량],tbl_input[집계키_청],D4544)))</f>
        <v/>
      </c>
      <c r="D4544" t="str">
        <f>IFERROR(INDEX(tbl_input[집계키_청],ROW()-1),"")</f>
        <v/>
      </c>
    </row>
    <row r="4545" spans="1:4" x14ac:dyDescent="0.4">
      <c r="A4545" t="str">
        <f t="shared" si="140"/>
        <v/>
      </c>
      <c r="B4545" t="str">
        <f t="shared" si="141"/>
        <v/>
      </c>
      <c r="C4545" t="str">
        <f>IF(D4545="","",IF(COUNTIF($D$2:D4545,D4545)&gt;1,"",SUMIFS(tbl_input[필요수량],tbl_input[집계키_청],D4545)))</f>
        <v/>
      </c>
      <c r="D4545" t="str">
        <f>IFERROR(INDEX(tbl_input[집계키_청],ROW()-1),"")</f>
        <v/>
      </c>
    </row>
    <row r="4546" spans="1:4" x14ac:dyDescent="0.4">
      <c r="A4546" t="str">
        <f t="shared" ref="A4546:A4609" si="142">IF(D4546="","",LEFT(D4546,FIND("♦",D4546)-1))</f>
        <v/>
      </c>
      <c r="B4546" t="str">
        <f t="shared" ref="B4546:B4609" si="143">IF(D4546="","",MID(D4546,FIND("♦",D4546)+1,999))</f>
        <v/>
      </c>
      <c r="C4546" t="str">
        <f>IF(D4546="","",IF(COUNTIF($D$2:D4546,D4546)&gt;1,"",SUMIFS(tbl_input[필요수량],tbl_input[집계키_청],D4546)))</f>
        <v/>
      </c>
      <c r="D4546" t="str">
        <f>IFERROR(INDEX(tbl_input[집계키_청],ROW()-1),"")</f>
        <v/>
      </c>
    </row>
    <row r="4547" spans="1:4" x14ac:dyDescent="0.4">
      <c r="A4547" t="str">
        <f t="shared" si="142"/>
        <v/>
      </c>
      <c r="B4547" t="str">
        <f t="shared" si="143"/>
        <v/>
      </c>
      <c r="C4547" t="str">
        <f>IF(D4547="","",IF(COUNTIF($D$2:D4547,D4547)&gt;1,"",SUMIFS(tbl_input[필요수량],tbl_input[집계키_청],D4547)))</f>
        <v/>
      </c>
      <c r="D4547" t="str">
        <f>IFERROR(INDEX(tbl_input[집계키_청],ROW()-1),"")</f>
        <v/>
      </c>
    </row>
    <row r="4548" spans="1:4" x14ac:dyDescent="0.4">
      <c r="A4548" t="str">
        <f t="shared" si="142"/>
        <v/>
      </c>
      <c r="B4548" t="str">
        <f t="shared" si="143"/>
        <v/>
      </c>
      <c r="C4548" t="str">
        <f>IF(D4548="","",IF(COUNTIF($D$2:D4548,D4548)&gt;1,"",SUMIFS(tbl_input[필요수량],tbl_input[집계키_청],D4548)))</f>
        <v/>
      </c>
      <c r="D4548" t="str">
        <f>IFERROR(INDEX(tbl_input[집계키_청],ROW()-1),"")</f>
        <v/>
      </c>
    </row>
    <row r="4549" spans="1:4" x14ac:dyDescent="0.4">
      <c r="A4549" t="str">
        <f t="shared" si="142"/>
        <v/>
      </c>
      <c r="B4549" t="str">
        <f t="shared" si="143"/>
        <v/>
      </c>
      <c r="C4549" t="str">
        <f>IF(D4549="","",IF(COUNTIF($D$2:D4549,D4549)&gt;1,"",SUMIFS(tbl_input[필요수량],tbl_input[집계키_청],D4549)))</f>
        <v/>
      </c>
      <c r="D4549" t="str">
        <f>IFERROR(INDEX(tbl_input[집계키_청],ROW()-1),"")</f>
        <v/>
      </c>
    </row>
    <row r="4550" spans="1:4" x14ac:dyDescent="0.4">
      <c r="A4550" t="str">
        <f t="shared" si="142"/>
        <v/>
      </c>
      <c r="B4550" t="str">
        <f t="shared" si="143"/>
        <v/>
      </c>
      <c r="C4550" t="str">
        <f>IF(D4550="","",IF(COUNTIF($D$2:D4550,D4550)&gt;1,"",SUMIFS(tbl_input[필요수량],tbl_input[집계키_청],D4550)))</f>
        <v/>
      </c>
      <c r="D4550" t="str">
        <f>IFERROR(INDEX(tbl_input[집계키_청],ROW()-1),"")</f>
        <v/>
      </c>
    </row>
    <row r="4551" spans="1:4" x14ac:dyDescent="0.4">
      <c r="A4551" t="str">
        <f t="shared" si="142"/>
        <v/>
      </c>
      <c r="B4551" t="str">
        <f t="shared" si="143"/>
        <v/>
      </c>
      <c r="C4551" t="str">
        <f>IF(D4551="","",IF(COUNTIF($D$2:D4551,D4551)&gt;1,"",SUMIFS(tbl_input[필요수량],tbl_input[집계키_청],D4551)))</f>
        <v/>
      </c>
      <c r="D4551" t="str">
        <f>IFERROR(INDEX(tbl_input[집계키_청],ROW()-1),"")</f>
        <v/>
      </c>
    </row>
    <row r="4552" spans="1:4" x14ac:dyDescent="0.4">
      <c r="A4552" t="str">
        <f t="shared" si="142"/>
        <v/>
      </c>
      <c r="B4552" t="str">
        <f t="shared" si="143"/>
        <v/>
      </c>
      <c r="C4552" t="str">
        <f>IF(D4552="","",IF(COUNTIF($D$2:D4552,D4552)&gt;1,"",SUMIFS(tbl_input[필요수량],tbl_input[집계키_청],D4552)))</f>
        <v/>
      </c>
      <c r="D4552" t="str">
        <f>IFERROR(INDEX(tbl_input[집계키_청],ROW()-1),"")</f>
        <v/>
      </c>
    </row>
    <row r="4553" spans="1:4" x14ac:dyDescent="0.4">
      <c r="A4553" t="str">
        <f t="shared" si="142"/>
        <v/>
      </c>
      <c r="B4553" t="str">
        <f t="shared" si="143"/>
        <v/>
      </c>
      <c r="C4553" t="str">
        <f>IF(D4553="","",IF(COUNTIF($D$2:D4553,D4553)&gt;1,"",SUMIFS(tbl_input[필요수량],tbl_input[집계키_청],D4553)))</f>
        <v/>
      </c>
      <c r="D4553" t="str">
        <f>IFERROR(INDEX(tbl_input[집계키_청],ROW()-1),"")</f>
        <v/>
      </c>
    </row>
    <row r="4554" spans="1:4" x14ac:dyDescent="0.4">
      <c r="A4554" t="str">
        <f t="shared" si="142"/>
        <v/>
      </c>
      <c r="B4554" t="str">
        <f t="shared" si="143"/>
        <v/>
      </c>
      <c r="C4554" t="str">
        <f>IF(D4554="","",IF(COUNTIF($D$2:D4554,D4554)&gt;1,"",SUMIFS(tbl_input[필요수량],tbl_input[집계키_청],D4554)))</f>
        <v/>
      </c>
      <c r="D4554" t="str">
        <f>IFERROR(INDEX(tbl_input[집계키_청],ROW()-1),"")</f>
        <v/>
      </c>
    </row>
    <row r="4555" spans="1:4" x14ac:dyDescent="0.4">
      <c r="A4555" t="str">
        <f t="shared" si="142"/>
        <v/>
      </c>
      <c r="B4555" t="str">
        <f t="shared" si="143"/>
        <v/>
      </c>
      <c r="C4555" t="str">
        <f>IF(D4555="","",IF(COUNTIF($D$2:D4555,D4555)&gt;1,"",SUMIFS(tbl_input[필요수량],tbl_input[집계키_청],D4555)))</f>
        <v/>
      </c>
      <c r="D4555" t="str">
        <f>IFERROR(INDEX(tbl_input[집계키_청],ROW()-1),"")</f>
        <v/>
      </c>
    </row>
    <row r="4556" spans="1:4" x14ac:dyDescent="0.4">
      <c r="A4556" t="str">
        <f t="shared" si="142"/>
        <v/>
      </c>
      <c r="B4556" t="str">
        <f t="shared" si="143"/>
        <v/>
      </c>
      <c r="C4556" t="str">
        <f>IF(D4556="","",IF(COUNTIF($D$2:D4556,D4556)&gt;1,"",SUMIFS(tbl_input[필요수량],tbl_input[집계키_청],D4556)))</f>
        <v/>
      </c>
      <c r="D4556" t="str">
        <f>IFERROR(INDEX(tbl_input[집계키_청],ROW()-1),"")</f>
        <v/>
      </c>
    </row>
    <row r="4557" spans="1:4" x14ac:dyDescent="0.4">
      <c r="A4557" t="str">
        <f t="shared" si="142"/>
        <v/>
      </c>
      <c r="B4557" t="str">
        <f t="shared" si="143"/>
        <v/>
      </c>
      <c r="C4557" t="str">
        <f>IF(D4557="","",IF(COUNTIF($D$2:D4557,D4557)&gt;1,"",SUMIFS(tbl_input[필요수량],tbl_input[집계키_청],D4557)))</f>
        <v/>
      </c>
      <c r="D4557" t="str">
        <f>IFERROR(INDEX(tbl_input[집계키_청],ROW()-1),"")</f>
        <v/>
      </c>
    </row>
    <row r="4558" spans="1:4" x14ac:dyDescent="0.4">
      <c r="A4558" t="str">
        <f t="shared" si="142"/>
        <v/>
      </c>
      <c r="B4558" t="str">
        <f t="shared" si="143"/>
        <v/>
      </c>
      <c r="C4558" t="str">
        <f>IF(D4558="","",IF(COUNTIF($D$2:D4558,D4558)&gt;1,"",SUMIFS(tbl_input[필요수량],tbl_input[집계키_청],D4558)))</f>
        <v/>
      </c>
      <c r="D4558" t="str">
        <f>IFERROR(INDEX(tbl_input[집계키_청],ROW()-1),"")</f>
        <v/>
      </c>
    </row>
    <row r="4559" spans="1:4" x14ac:dyDescent="0.4">
      <c r="A4559" t="str">
        <f t="shared" si="142"/>
        <v/>
      </c>
      <c r="B4559" t="str">
        <f t="shared" si="143"/>
        <v/>
      </c>
      <c r="C4559" t="str">
        <f>IF(D4559="","",IF(COUNTIF($D$2:D4559,D4559)&gt;1,"",SUMIFS(tbl_input[필요수량],tbl_input[집계키_청],D4559)))</f>
        <v/>
      </c>
      <c r="D4559" t="str">
        <f>IFERROR(INDEX(tbl_input[집계키_청],ROW()-1),"")</f>
        <v/>
      </c>
    </row>
    <row r="4560" spans="1:4" x14ac:dyDescent="0.4">
      <c r="A4560" t="str">
        <f t="shared" si="142"/>
        <v/>
      </c>
      <c r="B4560" t="str">
        <f t="shared" si="143"/>
        <v/>
      </c>
      <c r="C4560" t="str">
        <f>IF(D4560="","",IF(COUNTIF($D$2:D4560,D4560)&gt;1,"",SUMIFS(tbl_input[필요수량],tbl_input[집계키_청],D4560)))</f>
        <v/>
      </c>
      <c r="D4560" t="str">
        <f>IFERROR(INDEX(tbl_input[집계키_청],ROW()-1),"")</f>
        <v/>
      </c>
    </row>
    <row r="4561" spans="1:4" x14ac:dyDescent="0.4">
      <c r="A4561" t="str">
        <f t="shared" si="142"/>
        <v/>
      </c>
      <c r="B4561" t="str">
        <f t="shared" si="143"/>
        <v/>
      </c>
      <c r="C4561" t="str">
        <f>IF(D4561="","",IF(COUNTIF($D$2:D4561,D4561)&gt;1,"",SUMIFS(tbl_input[필요수량],tbl_input[집계키_청],D4561)))</f>
        <v/>
      </c>
      <c r="D4561" t="str">
        <f>IFERROR(INDEX(tbl_input[집계키_청],ROW()-1),"")</f>
        <v/>
      </c>
    </row>
    <row r="4562" spans="1:4" x14ac:dyDescent="0.4">
      <c r="A4562" t="str">
        <f t="shared" si="142"/>
        <v/>
      </c>
      <c r="B4562" t="str">
        <f t="shared" si="143"/>
        <v/>
      </c>
      <c r="C4562" t="str">
        <f>IF(D4562="","",IF(COUNTIF($D$2:D4562,D4562)&gt;1,"",SUMIFS(tbl_input[필요수량],tbl_input[집계키_청],D4562)))</f>
        <v/>
      </c>
      <c r="D4562" t="str">
        <f>IFERROR(INDEX(tbl_input[집계키_청],ROW()-1),"")</f>
        <v/>
      </c>
    </row>
    <row r="4563" spans="1:4" x14ac:dyDescent="0.4">
      <c r="A4563" t="str">
        <f t="shared" si="142"/>
        <v/>
      </c>
      <c r="B4563" t="str">
        <f t="shared" si="143"/>
        <v/>
      </c>
      <c r="C4563" t="str">
        <f>IF(D4563="","",IF(COUNTIF($D$2:D4563,D4563)&gt;1,"",SUMIFS(tbl_input[필요수량],tbl_input[집계키_청],D4563)))</f>
        <v/>
      </c>
      <c r="D4563" t="str">
        <f>IFERROR(INDEX(tbl_input[집계키_청],ROW()-1),"")</f>
        <v/>
      </c>
    </row>
    <row r="4564" spans="1:4" x14ac:dyDescent="0.4">
      <c r="A4564" t="str">
        <f t="shared" si="142"/>
        <v/>
      </c>
      <c r="B4564" t="str">
        <f t="shared" si="143"/>
        <v/>
      </c>
      <c r="C4564" t="str">
        <f>IF(D4564="","",IF(COUNTIF($D$2:D4564,D4564)&gt;1,"",SUMIFS(tbl_input[필요수량],tbl_input[집계키_청],D4564)))</f>
        <v/>
      </c>
      <c r="D4564" t="str">
        <f>IFERROR(INDEX(tbl_input[집계키_청],ROW()-1),"")</f>
        <v/>
      </c>
    </row>
    <row r="4565" spans="1:4" x14ac:dyDescent="0.4">
      <c r="A4565" t="str">
        <f t="shared" si="142"/>
        <v/>
      </c>
      <c r="B4565" t="str">
        <f t="shared" si="143"/>
        <v/>
      </c>
      <c r="C4565" t="str">
        <f>IF(D4565="","",IF(COUNTIF($D$2:D4565,D4565)&gt;1,"",SUMIFS(tbl_input[필요수량],tbl_input[집계키_청],D4565)))</f>
        <v/>
      </c>
      <c r="D4565" t="str">
        <f>IFERROR(INDEX(tbl_input[집계키_청],ROW()-1),"")</f>
        <v/>
      </c>
    </row>
    <row r="4566" spans="1:4" x14ac:dyDescent="0.4">
      <c r="A4566" t="str">
        <f t="shared" si="142"/>
        <v/>
      </c>
      <c r="B4566" t="str">
        <f t="shared" si="143"/>
        <v/>
      </c>
      <c r="C4566" t="str">
        <f>IF(D4566="","",IF(COUNTIF($D$2:D4566,D4566)&gt;1,"",SUMIFS(tbl_input[필요수량],tbl_input[집계키_청],D4566)))</f>
        <v/>
      </c>
      <c r="D4566" t="str">
        <f>IFERROR(INDEX(tbl_input[집계키_청],ROW()-1),"")</f>
        <v/>
      </c>
    </row>
    <row r="4567" spans="1:4" x14ac:dyDescent="0.4">
      <c r="A4567" t="str">
        <f t="shared" si="142"/>
        <v/>
      </c>
      <c r="B4567" t="str">
        <f t="shared" si="143"/>
        <v/>
      </c>
      <c r="C4567" t="str">
        <f>IF(D4567="","",IF(COUNTIF($D$2:D4567,D4567)&gt;1,"",SUMIFS(tbl_input[필요수량],tbl_input[집계키_청],D4567)))</f>
        <v/>
      </c>
      <c r="D4567" t="str">
        <f>IFERROR(INDEX(tbl_input[집계키_청],ROW()-1),"")</f>
        <v/>
      </c>
    </row>
    <row r="4568" spans="1:4" x14ac:dyDescent="0.4">
      <c r="A4568" t="str">
        <f t="shared" si="142"/>
        <v/>
      </c>
      <c r="B4568" t="str">
        <f t="shared" si="143"/>
        <v/>
      </c>
      <c r="C4568" t="str">
        <f>IF(D4568="","",IF(COUNTIF($D$2:D4568,D4568)&gt;1,"",SUMIFS(tbl_input[필요수량],tbl_input[집계키_청],D4568)))</f>
        <v/>
      </c>
      <c r="D4568" t="str">
        <f>IFERROR(INDEX(tbl_input[집계키_청],ROW()-1),"")</f>
        <v/>
      </c>
    </row>
    <row r="4569" spans="1:4" x14ac:dyDescent="0.4">
      <c r="A4569" t="str">
        <f t="shared" si="142"/>
        <v/>
      </c>
      <c r="B4569" t="str">
        <f t="shared" si="143"/>
        <v/>
      </c>
      <c r="C4569" t="str">
        <f>IF(D4569="","",IF(COUNTIF($D$2:D4569,D4569)&gt;1,"",SUMIFS(tbl_input[필요수량],tbl_input[집계키_청],D4569)))</f>
        <v/>
      </c>
      <c r="D4569" t="str">
        <f>IFERROR(INDEX(tbl_input[집계키_청],ROW()-1),"")</f>
        <v/>
      </c>
    </row>
    <row r="4570" spans="1:4" x14ac:dyDescent="0.4">
      <c r="A4570" t="str">
        <f t="shared" si="142"/>
        <v/>
      </c>
      <c r="B4570" t="str">
        <f t="shared" si="143"/>
        <v/>
      </c>
      <c r="C4570" t="str">
        <f>IF(D4570="","",IF(COUNTIF($D$2:D4570,D4570)&gt;1,"",SUMIFS(tbl_input[필요수량],tbl_input[집계키_청],D4570)))</f>
        <v/>
      </c>
      <c r="D4570" t="str">
        <f>IFERROR(INDEX(tbl_input[집계키_청],ROW()-1),"")</f>
        <v/>
      </c>
    </row>
    <row r="4571" spans="1:4" x14ac:dyDescent="0.4">
      <c r="A4571" t="str">
        <f t="shared" si="142"/>
        <v/>
      </c>
      <c r="B4571" t="str">
        <f t="shared" si="143"/>
        <v/>
      </c>
      <c r="C4571" t="str">
        <f>IF(D4571="","",IF(COUNTIF($D$2:D4571,D4571)&gt;1,"",SUMIFS(tbl_input[필요수량],tbl_input[집계키_청],D4571)))</f>
        <v/>
      </c>
      <c r="D4571" t="str">
        <f>IFERROR(INDEX(tbl_input[집계키_청],ROW()-1),"")</f>
        <v/>
      </c>
    </row>
    <row r="4572" spans="1:4" x14ac:dyDescent="0.4">
      <c r="A4572" t="str">
        <f t="shared" si="142"/>
        <v/>
      </c>
      <c r="B4572" t="str">
        <f t="shared" si="143"/>
        <v/>
      </c>
      <c r="C4572" t="str">
        <f>IF(D4572="","",IF(COUNTIF($D$2:D4572,D4572)&gt;1,"",SUMIFS(tbl_input[필요수량],tbl_input[집계키_청],D4572)))</f>
        <v/>
      </c>
      <c r="D4572" t="str">
        <f>IFERROR(INDEX(tbl_input[집계키_청],ROW()-1),"")</f>
        <v/>
      </c>
    </row>
    <row r="4573" spans="1:4" x14ac:dyDescent="0.4">
      <c r="A4573" t="str">
        <f t="shared" si="142"/>
        <v/>
      </c>
      <c r="B4573" t="str">
        <f t="shared" si="143"/>
        <v/>
      </c>
      <c r="C4573" t="str">
        <f>IF(D4573="","",IF(COUNTIF($D$2:D4573,D4573)&gt;1,"",SUMIFS(tbl_input[필요수량],tbl_input[집계키_청],D4573)))</f>
        <v/>
      </c>
      <c r="D4573" t="str">
        <f>IFERROR(INDEX(tbl_input[집계키_청],ROW()-1),"")</f>
        <v/>
      </c>
    </row>
    <row r="4574" spans="1:4" x14ac:dyDescent="0.4">
      <c r="A4574" t="str">
        <f t="shared" si="142"/>
        <v/>
      </c>
      <c r="B4574" t="str">
        <f t="shared" si="143"/>
        <v/>
      </c>
      <c r="C4574" t="str">
        <f>IF(D4574="","",IF(COUNTIF($D$2:D4574,D4574)&gt;1,"",SUMIFS(tbl_input[필요수량],tbl_input[집계키_청],D4574)))</f>
        <v/>
      </c>
      <c r="D4574" t="str">
        <f>IFERROR(INDEX(tbl_input[집계키_청],ROW()-1),"")</f>
        <v/>
      </c>
    </row>
    <row r="4575" spans="1:4" x14ac:dyDescent="0.4">
      <c r="A4575" t="str">
        <f t="shared" si="142"/>
        <v/>
      </c>
      <c r="B4575" t="str">
        <f t="shared" si="143"/>
        <v/>
      </c>
      <c r="C4575" t="str">
        <f>IF(D4575="","",IF(COUNTIF($D$2:D4575,D4575)&gt;1,"",SUMIFS(tbl_input[필요수량],tbl_input[집계키_청],D4575)))</f>
        <v/>
      </c>
      <c r="D4575" t="str">
        <f>IFERROR(INDEX(tbl_input[집계키_청],ROW()-1),"")</f>
        <v/>
      </c>
    </row>
    <row r="4576" spans="1:4" x14ac:dyDescent="0.4">
      <c r="A4576" t="str">
        <f t="shared" si="142"/>
        <v/>
      </c>
      <c r="B4576" t="str">
        <f t="shared" si="143"/>
        <v/>
      </c>
      <c r="C4576" t="str">
        <f>IF(D4576="","",IF(COUNTIF($D$2:D4576,D4576)&gt;1,"",SUMIFS(tbl_input[필요수량],tbl_input[집계키_청],D4576)))</f>
        <v/>
      </c>
      <c r="D4576" t="str">
        <f>IFERROR(INDEX(tbl_input[집계키_청],ROW()-1),"")</f>
        <v/>
      </c>
    </row>
    <row r="4577" spans="1:4" x14ac:dyDescent="0.4">
      <c r="A4577" t="str">
        <f t="shared" si="142"/>
        <v/>
      </c>
      <c r="B4577" t="str">
        <f t="shared" si="143"/>
        <v/>
      </c>
      <c r="C4577" t="str">
        <f>IF(D4577="","",IF(COUNTIF($D$2:D4577,D4577)&gt;1,"",SUMIFS(tbl_input[필요수량],tbl_input[집계키_청],D4577)))</f>
        <v/>
      </c>
      <c r="D4577" t="str">
        <f>IFERROR(INDEX(tbl_input[집계키_청],ROW()-1),"")</f>
        <v/>
      </c>
    </row>
    <row r="4578" spans="1:4" x14ac:dyDescent="0.4">
      <c r="A4578" t="str">
        <f t="shared" si="142"/>
        <v/>
      </c>
      <c r="B4578" t="str">
        <f t="shared" si="143"/>
        <v/>
      </c>
      <c r="C4578" t="str">
        <f>IF(D4578="","",IF(COUNTIF($D$2:D4578,D4578)&gt;1,"",SUMIFS(tbl_input[필요수량],tbl_input[집계키_청],D4578)))</f>
        <v/>
      </c>
      <c r="D4578" t="str">
        <f>IFERROR(INDEX(tbl_input[집계키_청],ROW()-1),"")</f>
        <v/>
      </c>
    </row>
    <row r="4579" spans="1:4" x14ac:dyDescent="0.4">
      <c r="A4579" t="str">
        <f t="shared" si="142"/>
        <v/>
      </c>
      <c r="B4579" t="str">
        <f t="shared" si="143"/>
        <v/>
      </c>
      <c r="C4579" t="str">
        <f>IF(D4579="","",IF(COUNTIF($D$2:D4579,D4579)&gt;1,"",SUMIFS(tbl_input[필요수량],tbl_input[집계키_청],D4579)))</f>
        <v/>
      </c>
      <c r="D4579" t="str">
        <f>IFERROR(INDEX(tbl_input[집계키_청],ROW()-1),"")</f>
        <v/>
      </c>
    </row>
    <row r="4580" spans="1:4" x14ac:dyDescent="0.4">
      <c r="A4580" t="str">
        <f t="shared" si="142"/>
        <v/>
      </c>
      <c r="B4580" t="str">
        <f t="shared" si="143"/>
        <v/>
      </c>
      <c r="C4580" t="str">
        <f>IF(D4580="","",IF(COUNTIF($D$2:D4580,D4580)&gt;1,"",SUMIFS(tbl_input[필요수량],tbl_input[집계키_청],D4580)))</f>
        <v/>
      </c>
      <c r="D4580" t="str">
        <f>IFERROR(INDEX(tbl_input[집계키_청],ROW()-1),"")</f>
        <v/>
      </c>
    </row>
    <row r="4581" spans="1:4" x14ac:dyDescent="0.4">
      <c r="A4581" t="str">
        <f t="shared" si="142"/>
        <v/>
      </c>
      <c r="B4581" t="str">
        <f t="shared" si="143"/>
        <v/>
      </c>
      <c r="C4581" t="str">
        <f>IF(D4581="","",IF(COUNTIF($D$2:D4581,D4581)&gt;1,"",SUMIFS(tbl_input[필요수량],tbl_input[집계키_청],D4581)))</f>
        <v/>
      </c>
      <c r="D4581" t="str">
        <f>IFERROR(INDEX(tbl_input[집계키_청],ROW()-1),"")</f>
        <v/>
      </c>
    </row>
    <row r="4582" spans="1:4" x14ac:dyDescent="0.4">
      <c r="A4582" t="str">
        <f t="shared" si="142"/>
        <v/>
      </c>
      <c r="B4582" t="str">
        <f t="shared" si="143"/>
        <v/>
      </c>
      <c r="C4582" t="str">
        <f>IF(D4582="","",IF(COUNTIF($D$2:D4582,D4582)&gt;1,"",SUMIFS(tbl_input[필요수량],tbl_input[집계키_청],D4582)))</f>
        <v/>
      </c>
      <c r="D4582" t="str">
        <f>IFERROR(INDEX(tbl_input[집계키_청],ROW()-1),"")</f>
        <v/>
      </c>
    </row>
    <row r="4583" spans="1:4" x14ac:dyDescent="0.4">
      <c r="A4583" t="str">
        <f t="shared" si="142"/>
        <v/>
      </c>
      <c r="B4583" t="str">
        <f t="shared" si="143"/>
        <v/>
      </c>
      <c r="C4583" t="str">
        <f>IF(D4583="","",IF(COUNTIF($D$2:D4583,D4583)&gt;1,"",SUMIFS(tbl_input[필요수량],tbl_input[집계키_청],D4583)))</f>
        <v/>
      </c>
      <c r="D4583" t="str">
        <f>IFERROR(INDEX(tbl_input[집계키_청],ROW()-1),"")</f>
        <v/>
      </c>
    </row>
    <row r="4584" spans="1:4" x14ac:dyDescent="0.4">
      <c r="A4584" t="str">
        <f t="shared" si="142"/>
        <v/>
      </c>
      <c r="B4584" t="str">
        <f t="shared" si="143"/>
        <v/>
      </c>
      <c r="C4584" t="str">
        <f>IF(D4584="","",IF(COUNTIF($D$2:D4584,D4584)&gt;1,"",SUMIFS(tbl_input[필요수량],tbl_input[집계키_청],D4584)))</f>
        <v/>
      </c>
      <c r="D4584" t="str">
        <f>IFERROR(INDEX(tbl_input[집계키_청],ROW()-1),"")</f>
        <v/>
      </c>
    </row>
    <row r="4585" spans="1:4" x14ac:dyDescent="0.4">
      <c r="A4585" t="str">
        <f t="shared" si="142"/>
        <v/>
      </c>
      <c r="B4585" t="str">
        <f t="shared" si="143"/>
        <v/>
      </c>
      <c r="C4585" t="str">
        <f>IF(D4585="","",IF(COUNTIF($D$2:D4585,D4585)&gt;1,"",SUMIFS(tbl_input[필요수량],tbl_input[집계키_청],D4585)))</f>
        <v/>
      </c>
      <c r="D4585" t="str">
        <f>IFERROR(INDEX(tbl_input[집계키_청],ROW()-1),"")</f>
        <v/>
      </c>
    </row>
    <row r="4586" spans="1:4" x14ac:dyDescent="0.4">
      <c r="A4586" t="str">
        <f t="shared" si="142"/>
        <v/>
      </c>
      <c r="B4586" t="str">
        <f t="shared" si="143"/>
        <v/>
      </c>
      <c r="C4586" t="str">
        <f>IF(D4586="","",IF(COUNTIF($D$2:D4586,D4586)&gt;1,"",SUMIFS(tbl_input[필요수량],tbl_input[집계키_청],D4586)))</f>
        <v/>
      </c>
      <c r="D4586" t="str">
        <f>IFERROR(INDEX(tbl_input[집계키_청],ROW()-1),"")</f>
        <v/>
      </c>
    </row>
    <row r="4587" spans="1:4" x14ac:dyDescent="0.4">
      <c r="A4587" t="str">
        <f t="shared" si="142"/>
        <v/>
      </c>
      <c r="B4587" t="str">
        <f t="shared" si="143"/>
        <v/>
      </c>
      <c r="C4587" t="str">
        <f>IF(D4587="","",IF(COUNTIF($D$2:D4587,D4587)&gt;1,"",SUMIFS(tbl_input[필요수량],tbl_input[집계키_청],D4587)))</f>
        <v/>
      </c>
      <c r="D4587" t="str">
        <f>IFERROR(INDEX(tbl_input[집계키_청],ROW()-1),"")</f>
        <v/>
      </c>
    </row>
    <row r="4588" spans="1:4" x14ac:dyDescent="0.4">
      <c r="A4588" t="str">
        <f t="shared" si="142"/>
        <v/>
      </c>
      <c r="B4588" t="str">
        <f t="shared" si="143"/>
        <v/>
      </c>
      <c r="C4588" t="str">
        <f>IF(D4588="","",IF(COUNTIF($D$2:D4588,D4588)&gt;1,"",SUMIFS(tbl_input[필요수량],tbl_input[집계키_청],D4588)))</f>
        <v/>
      </c>
      <c r="D4588" t="str">
        <f>IFERROR(INDEX(tbl_input[집계키_청],ROW()-1),"")</f>
        <v/>
      </c>
    </row>
    <row r="4589" spans="1:4" x14ac:dyDescent="0.4">
      <c r="A4589" t="str">
        <f t="shared" si="142"/>
        <v/>
      </c>
      <c r="B4589" t="str">
        <f t="shared" si="143"/>
        <v/>
      </c>
      <c r="C4589" t="str">
        <f>IF(D4589="","",IF(COUNTIF($D$2:D4589,D4589)&gt;1,"",SUMIFS(tbl_input[필요수량],tbl_input[집계키_청],D4589)))</f>
        <v/>
      </c>
      <c r="D4589" t="str">
        <f>IFERROR(INDEX(tbl_input[집계키_청],ROW()-1),"")</f>
        <v/>
      </c>
    </row>
    <row r="4590" spans="1:4" x14ac:dyDescent="0.4">
      <c r="A4590" t="str">
        <f t="shared" si="142"/>
        <v/>
      </c>
      <c r="B4590" t="str">
        <f t="shared" si="143"/>
        <v/>
      </c>
      <c r="C4590" t="str">
        <f>IF(D4590="","",IF(COUNTIF($D$2:D4590,D4590)&gt;1,"",SUMIFS(tbl_input[필요수량],tbl_input[집계키_청],D4590)))</f>
        <v/>
      </c>
      <c r="D4590" t="str">
        <f>IFERROR(INDEX(tbl_input[집계키_청],ROW()-1),"")</f>
        <v/>
      </c>
    </row>
    <row r="4591" spans="1:4" x14ac:dyDescent="0.4">
      <c r="A4591" t="str">
        <f t="shared" si="142"/>
        <v/>
      </c>
      <c r="B4591" t="str">
        <f t="shared" si="143"/>
        <v/>
      </c>
      <c r="C4591" t="str">
        <f>IF(D4591="","",IF(COUNTIF($D$2:D4591,D4591)&gt;1,"",SUMIFS(tbl_input[필요수량],tbl_input[집계키_청],D4591)))</f>
        <v/>
      </c>
      <c r="D4591" t="str">
        <f>IFERROR(INDEX(tbl_input[집계키_청],ROW()-1),"")</f>
        <v/>
      </c>
    </row>
    <row r="4592" spans="1:4" x14ac:dyDescent="0.4">
      <c r="A4592" t="str">
        <f t="shared" si="142"/>
        <v/>
      </c>
      <c r="B4592" t="str">
        <f t="shared" si="143"/>
        <v/>
      </c>
      <c r="C4592" t="str">
        <f>IF(D4592="","",IF(COUNTIF($D$2:D4592,D4592)&gt;1,"",SUMIFS(tbl_input[필요수량],tbl_input[집계키_청],D4592)))</f>
        <v/>
      </c>
      <c r="D4592" t="str">
        <f>IFERROR(INDEX(tbl_input[집계키_청],ROW()-1),"")</f>
        <v/>
      </c>
    </row>
    <row r="4593" spans="1:4" x14ac:dyDescent="0.4">
      <c r="A4593" t="str">
        <f t="shared" si="142"/>
        <v/>
      </c>
      <c r="B4593" t="str">
        <f t="shared" si="143"/>
        <v/>
      </c>
      <c r="C4593" t="str">
        <f>IF(D4593="","",IF(COUNTIF($D$2:D4593,D4593)&gt;1,"",SUMIFS(tbl_input[필요수량],tbl_input[집계키_청],D4593)))</f>
        <v/>
      </c>
      <c r="D4593" t="str">
        <f>IFERROR(INDEX(tbl_input[집계키_청],ROW()-1),"")</f>
        <v/>
      </c>
    </row>
    <row r="4594" spans="1:4" x14ac:dyDescent="0.4">
      <c r="A4594" t="str">
        <f t="shared" si="142"/>
        <v/>
      </c>
      <c r="B4594" t="str">
        <f t="shared" si="143"/>
        <v/>
      </c>
      <c r="C4594" t="str">
        <f>IF(D4594="","",IF(COUNTIF($D$2:D4594,D4594)&gt;1,"",SUMIFS(tbl_input[필요수량],tbl_input[집계키_청],D4594)))</f>
        <v/>
      </c>
      <c r="D4594" t="str">
        <f>IFERROR(INDEX(tbl_input[집계키_청],ROW()-1),"")</f>
        <v/>
      </c>
    </row>
    <row r="4595" spans="1:4" x14ac:dyDescent="0.4">
      <c r="A4595" t="str">
        <f t="shared" si="142"/>
        <v/>
      </c>
      <c r="B4595" t="str">
        <f t="shared" si="143"/>
        <v/>
      </c>
      <c r="C4595" t="str">
        <f>IF(D4595="","",IF(COUNTIF($D$2:D4595,D4595)&gt;1,"",SUMIFS(tbl_input[필요수량],tbl_input[집계키_청],D4595)))</f>
        <v/>
      </c>
      <c r="D4595" t="str">
        <f>IFERROR(INDEX(tbl_input[집계키_청],ROW()-1),"")</f>
        <v/>
      </c>
    </row>
    <row r="4596" spans="1:4" x14ac:dyDescent="0.4">
      <c r="A4596" t="str">
        <f t="shared" si="142"/>
        <v/>
      </c>
      <c r="B4596" t="str">
        <f t="shared" si="143"/>
        <v/>
      </c>
      <c r="C4596" t="str">
        <f>IF(D4596="","",IF(COUNTIF($D$2:D4596,D4596)&gt;1,"",SUMIFS(tbl_input[필요수량],tbl_input[집계키_청],D4596)))</f>
        <v/>
      </c>
      <c r="D4596" t="str">
        <f>IFERROR(INDEX(tbl_input[집계키_청],ROW()-1),"")</f>
        <v/>
      </c>
    </row>
    <row r="4597" spans="1:4" x14ac:dyDescent="0.4">
      <c r="A4597" t="str">
        <f t="shared" si="142"/>
        <v/>
      </c>
      <c r="B4597" t="str">
        <f t="shared" si="143"/>
        <v/>
      </c>
      <c r="C4597" t="str">
        <f>IF(D4597="","",IF(COUNTIF($D$2:D4597,D4597)&gt;1,"",SUMIFS(tbl_input[필요수량],tbl_input[집계키_청],D4597)))</f>
        <v/>
      </c>
      <c r="D4597" t="str">
        <f>IFERROR(INDEX(tbl_input[집계키_청],ROW()-1),"")</f>
        <v/>
      </c>
    </row>
    <row r="4598" spans="1:4" x14ac:dyDescent="0.4">
      <c r="A4598" t="str">
        <f t="shared" si="142"/>
        <v/>
      </c>
      <c r="B4598" t="str">
        <f t="shared" si="143"/>
        <v/>
      </c>
      <c r="C4598" t="str">
        <f>IF(D4598="","",IF(COUNTIF($D$2:D4598,D4598)&gt;1,"",SUMIFS(tbl_input[필요수량],tbl_input[집계키_청],D4598)))</f>
        <v/>
      </c>
      <c r="D4598" t="str">
        <f>IFERROR(INDEX(tbl_input[집계키_청],ROW()-1),"")</f>
        <v/>
      </c>
    </row>
    <row r="4599" spans="1:4" x14ac:dyDescent="0.4">
      <c r="A4599" t="str">
        <f t="shared" si="142"/>
        <v/>
      </c>
      <c r="B4599" t="str">
        <f t="shared" si="143"/>
        <v/>
      </c>
      <c r="C4599" t="str">
        <f>IF(D4599="","",IF(COUNTIF($D$2:D4599,D4599)&gt;1,"",SUMIFS(tbl_input[필요수량],tbl_input[집계키_청],D4599)))</f>
        <v/>
      </c>
      <c r="D4599" t="str">
        <f>IFERROR(INDEX(tbl_input[집계키_청],ROW()-1),"")</f>
        <v/>
      </c>
    </row>
    <row r="4600" spans="1:4" x14ac:dyDescent="0.4">
      <c r="A4600" t="str">
        <f t="shared" si="142"/>
        <v/>
      </c>
      <c r="B4600" t="str">
        <f t="shared" si="143"/>
        <v/>
      </c>
      <c r="C4600" t="str">
        <f>IF(D4600="","",IF(COUNTIF($D$2:D4600,D4600)&gt;1,"",SUMIFS(tbl_input[필요수량],tbl_input[집계키_청],D4600)))</f>
        <v/>
      </c>
      <c r="D4600" t="str">
        <f>IFERROR(INDEX(tbl_input[집계키_청],ROW()-1),"")</f>
        <v/>
      </c>
    </row>
    <row r="4601" spans="1:4" x14ac:dyDescent="0.4">
      <c r="A4601" t="str">
        <f t="shared" si="142"/>
        <v/>
      </c>
      <c r="B4601" t="str">
        <f t="shared" si="143"/>
        <v/>
      </c>
      <c r="C4601" t="str">
        <f>IF(D4601="","",IF(COUNTIF($D$2:D4601,D4601)&gt;1,"",SUMIFS(tbl_input[필요수량],tbl_input[집계키_청],D4601)))</f>
        <v/>
      </c>
      <c r="D4601" t="str">
        <f>IFERROR(INDEX(tbl_input[집계키_청],ROW()-1),"")</f>
        <v/>
      </c>
    </row>
    <row r="4602" spans="1:4" x14ac:dyDescent="0.4">
      <c r="A4602" t="str">
        <f t="shared" si="142"/>
        <v/>
      </c>
      <c r="B4602" t="str">
        <f t="shared" si="143"/>
        <v/>
      </c>
      <c r="C4602" t="str">
        <f>IF(D4602="","",IF(COUNTIF($D$2:D4602,D4602)&gt;1,"",SUMIFS(tbl_input[필요수량],tbl_input[집계키_청],D4602)))</f>
        <v/>
      </c>
      <c r="D4602" t="str">
        <f>IFERROR(INDEX(tbl_input[집계키_청],ROW()-1),"")</f>
        <v/>
      </c>
    </row>
    <row r="4603" spans="1:4" x14ac:dyDescent="0.4">
      <c r="A4603" t="str">
        <f t="shared" si="142"/>
        <v/>
      </c>
      <c r="B4603" t="str">
        <f t="shared" si="143"/>
        <v/>
      </c>
      <c r="C4603" t="str">
        <f>IF(D4603="","",IF(COUNTIF($D$2:D4603,D4603)&gt;1,"",SUMIFS(tbl_input[필요수량],tbl_input[집계키_청],D4603)))</f>
        <v/>
      </c>
      <c r="D4603" t="str">
        <f>IFERROR(INDEX(tbl_input[집계키_청],ROW()-1),"")</f>
        <v/>
      </c>
    </row>
    <row r="4604" spans="1:4" x14ac:dyDescent="0.4">
      <c r="A4604" t="str">
        <f t="shared" si="142"/>
        <v/>
      </c>
      <c r="B4604" t="str">
        <f t="shared" si="143"/>
        <v/>
      </c>
      <c r="C4604" t="str">
        <f>IF(D4604="","",IF(COUNTIF($D$2:D4604,D4604)&gt;1,"",SUMIFS(tbl_input[필요수량],tbl_input[집계키_청],D4604)))</f>
        <v/>
      </c>
      <c r="D4604" t="str">
        <f>IFERROR(INDEX(tbl_input[집계키_청],ROW()-1),"")</f>
        <v/>
      </c>
    </row>
    <row r="4605" spans="1:4" x14ac:dyDescent="0.4">
      <c r="A4605" t="str">
        <f t="shared" si="142"/>
        <v/>
      </c>
      <c r="B4605" t="str">
        <f t="shared" si="143"/>
        <v/>
      </c>
      <c r="C4605" t="str">
        <f>IF(D4605="","",IF(COUNTIF($D$2:D4605,D4605)&gt;1,"",SUMIFS(tbl_input[필요수량],tbl_input[집계키_청],D4605)))</f>
        <v/>
      </c>
      <c r="D4605" t="str">
        <f>IFERROR(INDEX(tbl_input[집계키_청],ROW()-1),"")</f>
        <v/>
      </c>
    </row>
    <row r="4606" spans="1:4" x14ac:dyDescent="0.4">
      <c r="A4606" t="str">
        <f t="shared" si="142"/>
        <v/>
      </c>
      <c r="B4606" t="str">
        <f t="shared" si="143"/>
        <v/>
      </c>
      <c r="C4606" t="str">
        <f>IF(D4606="","",IF(COUNTIF($D$2:D4606,D4606)&gt;1,"",SUMIFS(tbl_input[필요수량],tbl_input[집계키_청],D4606)))</f>
        <v/>
      </c>
      <c r="D4606" t="str">
        <f>IFERROR(INDEX(tbl_input[집계키_청],ROW()-1),"")</f>
        <v/>
      </c>
    </row>
    <row r="4607" spans="1:4" x14ac:dyDescent="0.4">
      <c r="A4607" t="str">
        <f t="shared" si="142"/>
        <v/>
      </c>
      <c r="B4607" t="str">
        <f t="shared" si="143"/>
        <v/>
      </c>
      <c r="C4607" t="str">
        <f>IF(D4607="","",IF(COUNTIF($D$2:D4607,D4607)&gt;1,"",SUMIFS(tbl_input[필요수량],tbl_input[집계키_청],D4607)))</f>
        <v/>
      </c>
      <c r="D4607" t="str">
        <f>IFERROR(INDEX(tbl_input[집계키_청],ROW()-1),"")</f>
        <v/>
      </c>
    </row>
    <row r="4608" spans="1:4" x14ac:dyDescent="0.4">
      <c r="A4608" t="str">
        <f t="shared" si="142"/>
        <v/>
      </c>
      <c r="B4608" t="str">
        <f t="shared" si="143"/>
        <v/>
      </c>
      <c r="C4608" t="str">
        <f>IF(D4608="","",IF(COUNTIF($D$2:D4608,D4608)&gt;1,"",SUMIFS(tbl_input[필요수량],tbl_input[집계키_청],D4608)))</f>
        <v/>
      </c>
      <c r="D4608" t="str">
        <f>IFERROR(INDEX(tbl_input[집계키_청],ROW()-1),"")</f>
        <v/>
      </c>
    </row>
    <row r="4609" spans="1:4" x14ac:dyDescent="0.4">
      <c r="A4609" t="str">
        <f t="shared" si="142"/>
        <v/>
      </c>
      <c r="B4609" t="str">
        <f t="shared" si="143"/>
        <v/>
      </c>
      <c r="C4609" t="str">
        <f>IF(D4609="","",IF(COUNTIF($D$2:D4609,D4609)&gt;1,"",SUMIFS(tbl_input[필요수량],tbl_input[집계키_청],D4609)))</f>
        <v/>
      </c>
      <c r="D4609" t="str">
        <f>IFERROR(INDEX(tbl_input[집계키_청],ROW()-1),"")</f>
        <v/>
      </c>
    </row>
    <row r="4610" spans="1:4" x14ac:dyDescent="0.4">
      <c r="A4610" t="str">
        <f t="shared" ref="A4610:A4673" si="144">IF(D4610="","",LEFT(D4610,FIND("♦",D4610)-1))</f>
        <v/>
      </c>
      <c r="B4610" t="str">
        <f t="shared" ref="B4610:B4673" si="145">IF(D4610="","",MID(D4610,FIND("♦",D4610)+1,999))</f>
        <v/>
      </c>
      <c r="C4610" t="str">
        <f>IF(D4610="","",IF(COUNTIF($D$2:D4610,D4610)&gt;1,"",SUMIFS(tbl_input[필요수량],tbl_input[집계키_청],D4610)))</f>
        <v/>
      </c>
      <c r="D4610" t="str">
        <f>IFERROR(INDEX(tbl_input[집계키_청],ROW()-1),"")</f>
        <v/>
      </c>
    </row>
    <row r="4611" spans="1:4" x14ac:dyDescent="0.4">
      <c r="A4611" t="str">
        <f t="shared" si="144"/>
        <v/>
      </c>
      <c r="B4611" t="str">
        <f t="shared" si="145"/>
        <v/>
      </c>
      <c r="C4611" t="str">
        <f>IF(D4611="","",IF(COUNTIF($D$2:D4611,D4611)&gt;1,"",SUMIFS(tbl_input[필요수량],tbl_input[집계키_청],D4611)))</f>
        <v/>
      </c>
      <c r="D4611" t="str">
        <f>IFERROR(INDEX(tbl_input[집계키_청],ROW()-1),"")</f>
        <v/>
      </c>
    </row>
    <row r="4612" spans="1:4" x14ac:dyDescent="0.4">
      <c r="A4612" t="str">
        <f t="shared" si="144"/>
        <v/>
      </c>
      <c r="B4612" t="str">
        <f t="shared" si="145"/>
        <v/>
      </c>
      <c r="C4612" t="str">
        <f>IF(D4612="","",IF(COUNTIF($D$2:D4612,D4612)&gt;1,"",SUMIFS(tbl_input[필요수량],tbl_input[집계키_청],D4612)))</f>
        <v/>
      </c>
      <c r="D4612" t="str">
        <f>IFERROR(INDEX(tbl_input[집계키_청],ROW()-1),"")</f>
        <v/>
      </c>
    </row>
    <row r="4613" spans="1:4" x14ac:dyDescent="0.4">
      <c r="A4613" t="str">
        <f t="shared" si="144"/>
        <v/>
      </c>
      <c r="B4613" t="str">
        <f t="shared" si="145"/>
        <v/>
      </c>
      <c r="C4613" t="str">
        <f>IF(D4613="","",IF(COUNTIF($D$2:D4613,D4613)&gt;1,"",SUMIFS(tbl_input[필요수량],tbl_input[집계키_청],D4613)))</f>
        <v/>
      </c>
      <c r="D4613" t="str">
        <f>IFERROR(INDEX(tbl_input[집계키_청],ROW()-1),"")</f>
        <v/>
      </c>
    </row>
    <row r="4614" spans="1:4" x14ac:dyDescent="0.4">
      <c r="A4614" t="str">
        <f t="shared" si="144"/>
        <v/>
      </c>
      <c r="B4614" t="str">
        <f t="shared" si="145"/>
        <v/>
      </c>
      <c r="C4614" t="str">
        <f>IF(D4614="","",IF(COUNTIF($D$2:D4614,D4614)&gt;1,"",SUMIFS(tbl_input[필요수량],tbl_input[집계키_청],D4614)))</f>
        <v/>
      </c>
      <c r="D4614" t="str">
        <f>IFERROR(INDEX(tbl_input[집계키_청],ROW()-1),"")</f>
        <v/>
      </c>
    </row>
    <row r="4615" spans="1:4" x14ac:dyDescent="0.4">
      <c r="A4615" t="str">
        <f t="shared" si="144"/>
        <v/>
      </c>
      <c r="B4615" t="str">
        <f t="shared" si="145"/>
        <v/>
      </c>
      <c r="C4615" t="str">
        <f>IF(D4615="","",IF(COUNTIF($D$2:D4615,D4615)&gt;1,"",SUMIFS(tbl_input[필요수량],tbl_input[집계키_청],D4615)))</f>
        <v/>
      </c>
      <c r="D4615" t="str">
        <f>IFERROR(INDEX(tbl_input[집계키_청],ROW()-1),"")</f>
        <v/>
      </c>
    </row>
    <row r="4616" spans="1:4" x14ac:dyDescent="0.4">
      <c r="A4616" t="str">
        <f t="shared" si="144"/>
        <v/>
      </c>
      <c r="B4616" t="str">
        <f t="shared" si="145"/>
        <v/>
      </c>
      <c r="C4616" t="str">
        <f>IF(D4616="","",IF(COUNTIF($D$2:D4616,D4616)&gt;1,"",SUMIFS(tbl_input[필요수량],tbl_input[집계키_청],D4616)))</f>
        <v/>
      </c>
      <c r="D4616" t="str">
        <f>IFERROR(INDEX(tbl_input[집계키_청],ROW()-1),"")</f>
        <v/>
      </c>
    </row>
    <row r="4617" spans="1:4" x14ac:dyDescent="0.4">
      <c r="A4617" t="str">
        <f t="shared" si="144"/>
        <v/>
      </c>
      <c r="B4617" t="str">
        <f t="shared" si="145"/>
        <v/>
      </c>
      <c r="C4617" t="str">
        <f>IF(D4617="","",IF(COUNTIF($D$2:D4617,D4617)&gt;1,"",SUMIFS(tbl_input[필요수량],tbl_input[집계키_청],D4617)))</f>
        <v/>
      </c>
      <c r="D4617" t="str">
        <f>IFERROR(INDEX(tbl_input[집계키_청],ROW()-1),"")</f>
        <v/>
      </c>
    </row>
    <row r="4618" spans="1:4" x14ac:dyDescent="0.4">
      <c r="A4618" t="str">
        <f t="shared" si="144"/>
        <v/>
      </c>
      <c r="B4618" t="str">
        <f t="shared" si="145"/>
        <v/>
      </c>
      <c r="C4618" t="str">
        <f>IF(D4618="","",IF(COUNTIF($D$2:D4618,D4618)&gt;1,"",SUMIFS(tbl_input[필요수량],tbl_input[집계키_청],D4618)))</f>
        <v/>
      </c>
      <c r="D4618" t="str">
        <f>IFERROR(INDEX(tbl_input[집계키_청],ROW()-1),"")</f>
        <v/>
      </c>
    </row>
    <row r="4619" spans="1:4" x14ac:dyDescent="0.4">
      <c r="A4619" t="str">
        <f t="shared" si="144"/>
        <v/>
      </c>
      <c r="B4619" t="str">
        <f t="shared" si="145"/>
        <v/>
      </c>
      <c r="C4619" t="str">
        <f>IF(D4619="","",IF(COUNTIF($D$2:D4619,D4619)&gt;1,"",SUMIFS(tbl_input[필요수량],tbl_input[집계키_청],D4619)))</f>
        <v/>
      </c>
      <c r="D4619" t="str">
        <f>IFERROR(INDEX(tbl_input[집계키_청],ROW()-1),"")</f>
        <v/>
      </c>
    </row>
    <row r="4620" spans="1:4" x14ac:dyDescent="0.4">
      <c r="A4620" t="str">
        <f t="shared" si="144"/>
        <v/>
      </c>
      <c r="B4620" t="str">
        <f t="shared" si="145"/>
        <v/>
      </c>
      <c r="C4620" t="str">
        <f>IF(D4620="","",IF(COUNTIF($D$2:D4620,D4620)&gt;1,"",SUMIFS(tbl_input[필요수량],tbl_input[집계키_청],D4620)))</f>
        <v/>
      </c>
      <c r="D4620" t="str">
        <f>IFERROR(INDEX(tbl_input[집계키_청],ROW()-1),"")</f>
        <v/>
      </c>
    </row>
    <row r="4621" spans="1:4" x14ac:dyDescent="0.4">
      <c r="A4621" t="str">
        <f t="shared" si="144"/>
        <v/>
      </c>
      <c r="B4621" t="str">
        <f t="shared" si="145"/>
        <v/>
      </c>
      <c r="C4621" t="str">
        <f>IF(D4621="","",IF(COUNTIF($D$2:D4621,D4621)&gt;1,"",SUMIFS(tbl_input[필요수량],tbl_input[집계키_청],D4621)))</f>
        <v/>
      </c>
      <c r="D4621" t="str">
        <f>IFERROR(INDEX(tbl_input[집계키_청],ROW()-1),"")</f>
        <v/>
      </c>
    </row>
    <row r="4622" spans="1:4" x14ac:dyDescent="0.4">
      <c r="A4622" t="str">
        <f t="shared" si="144"/>
        <v/>
      </c>
      <c r="B4622" t="str">
        <f t="shared" si="145"/>
        <v/>
      </c>
      <c r="C4622" t="str">
        <f>IF(D4622="","",IF(COUNTIF($D$2:D4622,D4622)&gt;1,"",SUMIFS(tbl_input[필요수량],tbl_input[집계키_청],D4622)))</f>
        <v/>
      </c>
      <c r="D4622" t="str">
        <f>IFERROR(INDEX(tbl_input[집계키_청],ROW()-1),"")</f>
        <v/>
      </c>
    </row>
    <row r="4623" spans="1:4" x14ac:dyDescent="0.4">
      <c r="A4623" t="str">
        <f t="shared" si="144"/>
        <v/>
      </c>
      <c r="B4623" t="str">
        <f t="shared" si="145"/>
        <v/>
      </c>
      <c r="C4623" t="str">
        <f>IF(D4623="","",IF(COUNTIF($D$2:D4623,D4623)&gt;1,"",SUMIFS(tbl_input[필요수량],tbl_input[집계키_청],D4623)))</f>
        <v/>
      </c>
      <c r="D4623" t="str">
        <f>IFERROR(INDEX(tbl_input[집계키_청],ROW()-1),"")</f>
        <v/>
      </c>
    </row>
    <row r="4624" spans="1:4" x14ac:dyDescent="0.4">
      <c r="A4624" t="str">
        <f t="shared" si="144"/>
        <v/>
      </c>
      <c r="B4624" t="str">
        <f t="shared" si="145"/>
        <v/>
      </c>
      <c r="C4624" t="str">
        <f>IF(D4624="","",IF(COUNTIF($D$2:D4624,D4624)&gt;1,"",SUMIFS(tbl_input[필요수량],tbl_input[집계키_청],D4624)))</f>
        <v/>
      </c>
      <c r="D4624" t="str">
        <f>IFERROR(INDEX(tbl_input[집계키_청],ROW()-1),"")</f>
        <v/>
      </c>
    </row>
    <row r="4625" spans="1:4" x14ac:dyDescent="0.4">
      <c r="A4625" t="str">
        <f t="shared" si="144"/>
        <v/>
      </c>
      <c r="B4625" t="str">
        <f t="shared" si="145"/>
        <v/>
      </c>
      <c r="C4625" t="str">
        <f>IF(D4625="","",IF(COUNTIF($D$2:D4625,D4625)&gt;1,"",SUMIFS(tbl_input[필요수량],tbl_input[집계키_청],D4625)))</f>
        <v/>
      </c>
      <c r="D4625" t="str">
        <f>IFERROR(INDEX(tbl_input[집계키_청],ROW()-1),"")</f>
        <v/>
      </c>
    </row>
    <row r="4626" spans="1:4" x14ac:dyDescent="0.4">
      <c r="A4626" t="str">
        <f t="shared" si="144"/>
        <v/>
      </c>
      <c r="B4626" t="str">
        <f t="shared" si="145"/>
        <v/>
      </c>
      <c r="C4626" t="str">
        <f>IF(D4626="","",IF(COUNTIF($D$2:D4626,D4626)&gt;1,"",SUMIFS(tbl_input[필요수량],tbl_input[집계키_청],D4626)))</f>
        <v/>
      </c>
      <c r="D4626" t="str">
        <f>IFERROR(INDEX(tbl_input[집계키_청],ROW()-1),"")</f>
        <v/>
      </c>
    </row>
    <row r="4627" spans="1:4" x14ac:dyDescent="0.4">
      <c r="A4627" t="str">
        <f t="shared" si="144"/>
        <v/>
      </c>
      <c r="B4627" t="str">
        <f t="shared" si="145"/>
        <v/>
      </c>
      <c r="C4627" t="str">
        <f>IF(D4627="","",IF(COUNTIF($D$2:D4627,D4627)&gt;1,"",SUMIFS(tbl_input[필요수량],tbl_input[집계키_청],D4627)))</f>
        <v/>
      </c>
      <c r="D4627" t="str">
        <f>IFERROR(INDEX(tbl_input[집계키_청],ROW()-1),"")</f>
        <v/>
      </c>
    </row>
    <row r="4628" spans="1:4" x14ac:dyDescent="0.4">
      <c r="A4628" t="str">
        <f t="shared" si="144"/>
        <v/>
      </c>
      <c r="B4628" t="str">
        <f t="shared" si="145"/>
        <v/>
      </c>
      <c r="C4628" t="str">
        <f>IF(D4628="","",IF(COUNTIF($D$2:D4628,D4628)&gt;1,"",SUMIFS(tbl_input[필요수량],tbl_input[집계키_청],D4628)))</f>
        <v/>
      </c>
      <c r="D4628" t="str">
        <f>IFERROR(INDEX(tbl_input[집계키_청],ROW()-1),"")</f>
        <v/>
      </c>
    </row>
    <row r="4629" spans="1:4" x14ac:dyDescent="0.4">
      <c r="A4629" t="str">
        <f t="shared" si="144"/>
        <v/>
      </c>
      <c r="B4629" t="str">
        <f t="shared" si="145"/>
        <v/>
      </c>
      <c r="C4629" t="str">
        <f>IF(D4629="","",IF(COUNTIF($D$2:D4629,D4629)&gt;1,"",SUMIFS(tbl_input[필요수량],tbl_input[집계키_청],D4629)))</f>
        <v/>
      </c>
      <c r="D4629" t="str">
        <f>IFERROR(INDEX(tbl_input[집계키_청],ROW()-1),"")</f>
        <v/>
      </c>
    </row>
    <row r="4630" spans="1:4" x14ac:dyDescent="0.4">
      <c r="A4630" t="str">
        <f t="shared" si="144"/>
        <v/>
      </c>
      <c r="B4630" t="str">
        <f t="shared" si="145"/>
        <v/>
      </c>
      <c r="C4630" t="str">
        <f>IF(D4630="","",IF(COUNTIF($D$2:D4630,D4630)&gt;1,"",SUMIFS(tbl_input[필요수량],tbl_input[집계키_청],D4630)))</f>
        <v/>
      </c>
      <c r="D4630" t="str">
        <f>IFERROR(INDEX(tbl_input[집계키_청],ROW()-1),"")</f>
        <v/>
      </c>
    </row>
    <row r="4631" spans="1:4" x14ac:dyDescent="0.4">
      <c r="A4631" t="str">
        <f t="shared" si="144"/>
        <v/>
      </c>
      <c r="B4631" t="str">
        <f t="shared" si="145"/>
        <v/>
      </c>
      <c r="C4631" t="str">
        <f>IF(D4631="","",IF(COUNTIF($D$2:D4631,D4631)&gt;1,"",SUMIFS(tbl_input[필요수량],tbl_input[집계키_청],D4631)))</f>
        <v/>
      </c>
      <c r="D4631" t="str">
        <f>IFERROR(INDEX(tbl_input[집계키_청],ROW()-1),"")</f>
        <v/>
      </c>
    </row>
    <row r="4632" spans="1:4" x14ac:dyDescent="0.4">
      <c r="A4632" t="str">
        <f t="shared" si="144"/>
        <v/>
      </c>
      <c r="B4632" t="str">
        <f t="shared" si="145"/>
        <v/>
      </c>
      <c r="C4632" t="str">
        <f>IF(D4632="","",IF(COUNTIF($D$2:D4632,D4632)&gt;1,"",SUMIFS(tbl_input[필요수량],tbl_input[집계키_청],D4632)))</f>
        <v/>
      </c>
      <c r="D4632" t="str">
        <f>IFERROR(INDEX(tbl_input[집계키_청],ROW()-1),"")</f>
        <v/>
      </c>
    </row>
    <row r="4633" spans="1:4" x14ac:dyDescent="0.4">
      <c r="A4633" t="str">
        <f t="shared" si="144"/>
        <v/>
      </c>
      <c r="B4633" t="str">
        <f t="shared" si="145"/>
        <v/>
      </c>
      <c r="C4633" t="str">
        <f>IF(D4633="","",IF(COUNTIF($D$2:D4633,D4633)&gt;1,"",SUMIFS(tbl_input[필요수량],tbl_input[집계키_청],D4633)))</f>
        <v/>
      </c>
      <c r="D4633" t="str">
        <f>IFERROR(INDEX(tbl_input[집계키_청],ROW()-1),"")</f>
        <v/>
      </c>
    </row>
    <row r="4634" spans="1:4" x14ac:dyDescent="0.4">
      <c r="A4634" t="str">
        <f t="shared" si="144"/>
        <v/>
      </c>
      <c r="B4634" t="str">
        <f t="shared" si="145"/>
        <v/>
      </c>
      <c r="C4634" t="str">
        <f>IF(D4634="","",IF(COUNTIF($D$2:D4634,D4634)&gt;1,"",SUMIFS(tbl_input[필요수량],tbl_input[집계키_청],D4634)))</f>
        <v/>
      </c>
      <c r="D4634" t="str">
        <f>IFERROR(INDEX(tbl_input[집계키_청],ROW()-1),"")</f>
        <v/>
      </c>
    </row>
    <row r="4635" spans="1:4" x14ac:dyDescent="0.4">
      <c r="A4635" t="str">
        <f t="shared" si="144"/>
        <v/>
      </c>
      <c r="B4635" t="str">
        <f t="shared" si="145"/>
        <v/>
      </c>
      <c r="C4635" t="str">
        <f>IF(D4635="","",IF(COUNTIF($D$2:D4635,D4635)&gt;1,"",SUMIFS(tbl_input[필요수량],tbl_input[집계키_청],D4635)))</f>
        <v/>
      </c>
      <c r="D4635" t="str">
        <f>IFERROR(INDEX(tbl_input[집계키_청],ROW()-1),"")</f>
        <v/>
      </c>
    </row>
    <row r="4636" spans="1:4" x14ac:dyDescent="0.4">
      <c r="A4636" t="str">
        <f t="shared" si="144"/>
        <v/>
      </c>
      <c r="B4636" t="str">
        <f t="shared" si="145"/>
        <v/>
      </c>
      <c r="C4636" t="str">
        <f>IF(D4636="","",IF(COUNTIF($D$2:D4636,D4636)&gt;1,"",SUMIFS(tbl_input[필요수량],tbl_input[집계키_청],D4636)))</f>
        <v/>
      </c>
      <c r="D4636" t="str">
        <f>IFERROR(INDEX(tbl_input[집계키_청],ROW()-1),"")</f>
        <v/>
      </c>
    </row>
    <row r="4637" spans="1:4" x14ac:dyDescent="0.4">
      <c r="A4637" t="str">
        <f t="shared" si="144"/>
        <v/>
      </c>
      <c r="B4637" t="str">
        <f t="shared" si="145"/>
        <v/>
      </c>
      <c r="C4637" t="str">
        <f>IF(D4637="","",IF(COUNTIF($D$2:D4637,D4637)&gt;1,"",SUMIFS(tbl_input[필요수량],tbl_input[집계키_청],D4637)))</f>
        <v/>
      </c>
      <c r="D4637" t="str">
        <f>IFERROR(INDEX(tbl_input[집계키_청],ROW()-1),"")</f>
        <v/>
      </c>
    </row>
    <row r="4638" spans="1:4" x14ac:dyDescent="0.4">
      <c r="A4638" t="str">
        <f t="shared" si="144"/>
        <v/>
      </c>
      <c r="B4638" t="str">
        <f t="shared" si="145"/>
        <v/>
      </c>
      <c r="C4638" t="str">
        <f>IF(D4638="","",IF(COUNTIF($D$2:D4638,D4638)&gt;1,"",SUMIFS(tbl_input[필요수량],tbl_input[집계키_청],D4638)))</f>
        <v/>
      </c>
      <c r="D4638" t="str">
        <f>IFERROR(INDEX(tbl_input[집계키_청],ROW()-1),"")</f>
        <v/>
      </c>
    </row>
    <row r="4639" spans="1:4" x14ac:dyDescent="0.4">
      <c r="A4639" t="str">
        <f t="shared" si="144"/>
        <v/>
      </c>
      <c r="B4639" t="str">
        <f t="shared" si="145"/>
        <v/>
      </c>
      <c r="C4639" t="str">
        <f>IF(D4639="","",IF(COUNTIF($D$2:D4639,D4639)&gt;1,"",SUMIFS(tbl_input[필요수량],tbl_input[집계키_청],D4639)))</f>
        <v/>
      </c>
      <c r="D4639" t="str">
        <f>IFERROR(INDEX(tbl_input[집계키_청],ROW()-1),"")</f>
        <v/>
      </c>
    </row>
    <row r="4640" spans="1:4" x14ac:dyDescent="0.4">
      <c r="A4640" t="str">
        <f t="shared" si="144"/>
        <v/>
      </c>
      <c r="B4640" t="str">
        <f t="shared" si="145"/>
        <v/>
      </c>
      <c r="C4640" t="str">
        <f>IF(D4640="","",IF(COUNTIF($D$2:D4640,D4640)&gt;1,"",SUMIFS(tbl_input[필요수량],tbl_input[집계키_청],D4640)))</f>
        <v/>
      </c>
      <c r="D4640" t="str">
        <f>IFERROR(INDEX(tbl_input[집계키_청],ROW()-1),"")</f>
        <v/>
      </c>
    </row>
    <row r="4641" spans="1:4" x14ac:dyDescent="0.4">
      <c r="A4641" t="str">
        <f t="shared" si="144"/>
        <v/>
      </c>
      <c r="B4641" t="str">
        <f t="shared" si="145"/>
        <v/>
      </c>
      <c r="C4641" t="str">
        <f>IF(D4641="","",IF(COUNTIF($D$2:D4641,D4641)&gt;1,"",SUMIFS(tbl_input[필요수량],tbl_input[집계키_청],D4641)))</f>
        <v/>
      </c>
      <c r="D4641" t="str">
        <f>IFERROR(INDEX(tbl_input[집계키_청],ROW()-1),"")</f>
        <v/>
      </c>
    </row>
    <row r="4642" spans="1:4" x14ac:dyDescent="0.4">
      <c r="A4642" t="str">
        <f t="shared" si="144"/>
        <v/>
      </c>
      <c r="B4642" t="str">
        <f t="shared" si="145"/>
        <v/>
      </c>
      <c r="C4642" t="str">
        <f>IF(D4642="","",IF(COUNTIF($D$2:D4642,D4642)&gt;1,"",SUMIFS(tbl_input[필요수량],tbl_input[집계키_청],D4642)))</f>
        <v/>
      </c>
      <c r="D4642" t="str">
        <f>IFERROR(INDEX(tbl_input[집계키_청],ROW()-1),"")</f>
        <v/>
      </c>
    </row>
    <row r="4643" spans="1:4" x14ac:dyDescent="0.4">
      <c r="A4643" t="str">
        <f t="shared" si="144"/>
        <v/>
      </c>
      <c r="B4643" t="str">
        <f t="shared" si="145"/>
        <v/>
      </c>
      <c r="C4643" t="str">
        <f>IF(D4643="","",IF(COUNTIF($D$2:D4643,D4643)&gt;1,"",SUMIFS(tbl_input[필요수량],tbl_input[집계키_청],D4643)))</f>
        <v/>
      </c>
      <c r="D4643" t="str">
        <f>IFERROR(INDEX(tbl_input[집계키_청],ROW()-1),"")</f>
        <v/>
      </c>
    </row>
    <row r="4644" spans="1:4" x14ac:dyDescent="0.4">
      <c r="A4644" t="str">
        <f t="shared" si="144"/>
        <v/>
      </c>
      <c r="B4644" t="str">
        <f t="shared" si="145"/>
        <v/>
      </c>
      <c r="C4644" t="str">
        <f>IF(D4644="","",IF(COUNTIF($D$2:D4644,D4644)&gt;1,"",SUMIFS(tbl_input[필요수량],tbl_input[집계키_청],D4644)))</f>
        <v/>
      </c>
      <c r="D4644" t="str">
        <f>IFERROR(INDEX(tbl_input[집계키_청],ROW()-1),"")</f>
        <v/>
      </c>
    </row>
    <row r="4645" spans="1:4" x14ac:dyDescent="0.4">
      <c r="A4645" t="str">
        <f t="shared" si="144"/>
        <v/>
      </c>
      <c r="B4645" t="str">
        <f t="shared" si="145"/>
        <v/>
      </c>
      <c r="C4645" t="str">
        <f>IF(D4645="","",IF(COUNTIF($D$2:D4645,D4645)&gt;1,"",SUMIFS(tbl_input[필요수량],tbl_input[집계키_청],D4645)))</f>
        <v/>
      </c>
      <c r="D4645" t="str">
        <f>IFERROR(INDEX(tbl_input[집계키_청],ROW()-1),"")</f>
        <v/>
      </c>
    </row>
    <row r="4646" spans="1:4" x14ac:dyDescent="0.4">
      <c r="A4646" t="str">
        <f t="shared" si="144"/>
        <v/>
      </c>
      <c r="B4646" t="str">
        <f t="shared" si="145"/>
        <v/>
      </c>
      <c r="C4646" t="str">
        <f>IF(D4646="","",IF(COUNTIF($D$2:D4646,D4646)&gt;1,"",SUMIFS(tbl_input[필요수량],tbl_input[집계키_청],D4646)))</f>
        <v/>
      </c>
      <c r="D4646" t="str">
        <f>IFERROR(INDEX(tbl_input[집계키_청],ROW()-1),"")</f>
        <v/>
      </c>
    </row>
    <row r="4647" spans="1:4" x14ac:dyDescent="0.4">
      <c r="A4647" t="str">
        <f t="shared" si="144"/>
        <v/>
      </c>
      <c r="B4647" t="str">
        <f t="shared" si="145"/>
        <v/>
      </c>
      <c r="C4647" t="str">
        <f>IF(D4647="","",IF(COUNTIF($D$2:D4647,D4647)&gt;1,"",SUMIFS(tbl_input[필요수량],tbl_input[집계키_청],D4647)))</f>
        <v/>
      </c>
      <c r="D4647" t="str">
        <f>IFERROR(INDEX(tbl_input[집계키_청],ROW()-1),"")</f>
        <v/>
      </c>
    </row>
    <row r="4648" spans="1:4" x14ac:dyDescent="0.4">
      <c r="A4648" t="str">
        <f t="shared" si="144"/>
        <v/>
      </c>
      <c r="B4648" t="str">
        <f t="shared" si="145"/>
        <v/>
      </c>
      <c r="C4648" t="str">
        <f>IF(D4648="","",IF(COUNTIF($D$2:D4648,D4648)&gt;1,"",SUMIFS(tbl_input[필요수량],tbl_input[집계키_청],D4648)))</f>
        <v/>
      </c>
      <c r="D4648" t="str">
        <f>IFERROR(INDEX(tbl_input[집계키_청],ROW()-1),"")</f>
        <v/>
      </c>
    </row>
    <row r="4649" spans="1:4" x14ac:dyDescent="0.4">
      <c r="A4649" t="str">
        <f t="shared" si="144"/>
        <v/>
      </c>
      <c r="B4649" t="str">
        <f t="shared" si="145"/>
        <v/>
      </c>
      <c r="C4649" t="str">
        <f>IF(D4649="","",IF(COUNTIF($D$2:D4649,D4649)&gt;1,"",SUMIFS(tbl_input[필요수량],tbl_input[집계키_청],D4649)))</f>
        <v/>
      </c>
      <c r="D4649" t="str">
        <f>IFERROR(INDEX(tbl_input[집계키_청],ROW()-1),"")</f>
        <v/>
      </c>
    </row>
    <row r="4650" spans="1:4" x14ac:dyDescent="0.4">
      <c r="A4650" t="str">
        <f t="shared" si="144"/>
        <v/>
      </c>
      <c r="B4650" t="str">
        <f t="shared" si="145"/>
        <v/>
      </c>
      <c r="C4650" t="str">
        <f>IF(D4650="","",IF(COUNTIF($D$2:D4650,D4650)&gt;1,"",SUMIFS(tbl_input[필요수량],tbl_input[집계키_청],D4650)))</f>
        <v/>
      </c>
      <c r="D4650" t="str">
        <f>IFERROR(INDEX(tbl_input[집계키_청],ROW()-1),"")</f>
        <v/>
      </c>
    </row>
    <row r="4651" spans="1:4" x14ac:dyDescent="0.4">
      <c r="A4651" t="str">
        <f t="shared" si="144"/>
        <v/>
      </c>
      <c r="B4651" t="str">
        <f t="shared" si="145"/>
        <v/>
      </c>
      <c r="C4651" t="str">
        <f>IF(D4651="","",IF(COUNTIF($D$2:D4651,D4651)&gt;1,"",SUMIFS(tbl_input[필요수량],tbl_input[집계키_청],D4651)))</f>
        <v/>
      </c>
      <c r="D4651" t="str">
        <f>IFERROR(INDEX(tbl_input[집계키_청],ROW()-1),"")</f>
        <v/>
      </c>
    </row>
    <row r="4652" spans="1:4" x14ac:dyDescent="0.4">
      <c r="A4652" t="str">
        <f t="shared" si="144"/>
        <v/>
      </c>
      <c r="B4652" t="str">
        <f t="shared" si="145"/>
        <v/>
      </c>
      <c r="C4652" t="str">
        <f>IF(D4652="","",IF(COUNTIF($D$2:D4652,D4652)&gt;1,"",SUMIFS(tbl_input[필요수량],tbl_input[집계키_청],D4652)))</f>
        <v/>
      </c>
      <c r="D4652" t="str">
        <f>IFERROR(INDEX(tbl_input[집계키_청],ROW()-1),"")</f>
        <v/>
      </c>
    </row>
    <row r="4653" spans="1:4" x14ac:dyDescent="0.4">
      <c r="A4653" t="str">
        <f t="shared" si="144"/>
        <v/>
      </c>
      <c r="B4653" t="str">
        <f t="shared" si="145"/>
        <v/>
      </c>
      <c r="C4653" t="str">
        <f>IF(D4653="","",IF(COUNTIF($D$2:D4653,D4653)&gt;1,"",SUMIFS(tbl_input[필요수량],tbl_input[집계키_청],D4653)))</f>
        <v/>
      </c>
      <c r="D4653" t="str">
        <f>IFERROR(INDEX(tbl_input[집계키_청],ROW()-1),"")</f>
        <v/>
      </c>
    </row>
    <row r="4654" spans="1:4" x14ac:dyDescent="0.4">
      <c r="A4654" t="str">
        <f t="shared" si="144"/>
        <v/>
      </c>
      <c r="B4654" t="str">
        <f t="shared" si="145"/>
        <v/>
      </c>
      <c r="C4654" t="str">
        <f>IF(D4654="","",IF(COUNTIF($D$2:D4654,D4654)&gt;1,"",SUMIFS(tbl_input[필요수량],tbl_input[집계키_청],D4654)))</f>
        <v/>
      </c>
      <c r="D4654" t="str">
        <f>IFERROR(INDEX(tbl_input[집계키_청],ROW()-1),"")</f>
        <v/>
      </c>
    </row>
    <row r="4655" spans="1:4" x14ac:dyDescent="0.4">
      <c r="A4655" t="str">
        <f t="shared" si="144"/>
        <v/>
      </c>
      <c r="B4655" t="str">
        <f t="shared" si="145"/>
        <v/>
      </c>
      <c r="C4655" t="str">
        <f>IF(D4655="","",IF(COUNTIF($D$2:D4655,D4655)&gt;1,"",SUMIFS(tbl_input[필요수량],tbl_input[집계키_청],D4655)))</f>
        <v/>
      </c>
      <c r="D4655" t="str">
        <f>IFERROR(INDEX(tbl_input[집계키_청],ROW()-1),"")</f>
        <v/>
      </c>
    </row>
    <row r="4656" spans="1:4" x14ac:dyDescent="0.4">
      <c r="A4656" t="str">
        <f t="shared" si="144"/>
        <v/>
      </c>
      <c r="B4656" t="str">
        <f t="shared" si="145"/>
        <v/>
      </c>
      <c r="C4656" t="str">
        <f>IF(D4656="","",IF(COUNTIF($D$2:D4656,D4656)&gt;1,"",SUMIFS(tbl_input[필요수량],tbl_input[집계키_청],D4656)))</f>
        <v/>
      </c>
      <c r="D4656" t="str">
        <f>IFERROR(INDEX(tbl_input[집계키_청],ROW()-1),"")</f>
        <v/>
      </c>
    </row>
    <row r="4657" spans="1:4" x14ac:dyDescent="0.4">
      <c r="A4657" t="str">
        <f t="shared" si="144"/>
        <v/>
      </c>
      <c r="B4657" t="str">
        <f t="shared" si="145"/>
        <v/>
      </c>
      <c r="C4657" t="str">
        <f>IF(D4657="","",IF(COUNTIF($D$2:D4657,D4657)&gt;1,"",SUMIFS(tbl_input[필요수량],tbl_input[집계키_청],D4657)))</f>
        <v/>
      </c>
      <c r="D4657" t="str">
        <f>IFERROR(INDEX(tbl_input[집계키_청],ROW()-1),"")</f>
        <v/>
      </c>
    </row>
    <row r="4658" spans="1:4" x14ac:dyDescent="0.4">
      <c r="A4658" t="str">
        <f t="shared" si="144"/>
        <v/>
      </c>
      <c r="B4658" t="str">
        <f t="shared" si="145"/>
        <v/>
      </c>
      <c r="C4658" t="str">
        <f>IF(D4658="","",IF(COUNTIF($D$2:D4658,D4658)&gt;1,"",SUMIFS(tbl_input[필요수량],tbl_input[집계키_청],D4658)))</f>
        <v/>
      </c>
      <c r="D4658" t="str">
        <f>IFERROR(INDEX(tbl_input[집계키_청],ROW()-1),"")</f>
        <v/>
      </c>
    </row>
    <row r="4659" spans="1:4" x14ac:dyDescent="0.4">
      <c r="A4659" t="str">
        <f t="shared" si="144"/>
        <v/>
      </c>
      <c r="B4659" t="str">
        <f t="shared" si="145"/>
        <v/>
      </c>
      <c r="C4659" t="str">
        <f>IF(D4659="","",IF(COUNTIF($D$2:D4659,D4659)&gt;1,"",SUMIFS(tbl_input[필요수량],tbl_input[집계키_청],D4659)))</f>
        <v/>
      </c>
      <c r="D4659" t="str">
        <f>IFERROR(INDEX(tbl_input[집계키_청],ROW()-1),"")</f>
        <v/>
      </c>
    </row>
    <row r="4660" spans="1:4" x14ac:dyDescent="0.4">
      <c r="A4660" t="str">
        <f t="shared" si="144"/>
        <v/>
      </c>
      <c r="B4660" t="str">
        <f t="shared" si="145"/>
        <v/>
      </c>
      <c r="C4660" t="str">
        <f>IF(D4660="","",IF(COUNTIF($D$2:D4660,D4660)&gt;1,"",SUMIFS(tbl_input[필요수량],tbl_input[집계키_청],D4660)))</f>
        <v/>
      </c>
      <c r="D4660" t="str">
        <f>IFERROR(INDEX(tbl_input[집계키_청],ROW()-1),"")</f>
        <v/>
      </c>
    </row>
    <row r="4661" spans="1:4" x14ac:dyDescent="0.4">
      <c r="A4661" t="str">
        <f t="shared" si="144"/>
        <v/>
      </c>
      <c r="B4661" t="str">
        <f t="shared" si="145"/>
        <v/>
      </c>
      <c r="C4661" t="str">
        <f>IF(D4661="","",IF(COUNTIF($D$2:D4661,D4661)&gt;1,"",SUMIFS(tbl_input[필요수량],tbl_input[집계키_청],D4661)))</f>
        <v/>
      </c>
      <c r="D4661" t="str">
        <f>IFERROR(INDEX(tbl_input[집계키_청],ROW()-1),"")</f>
        <v/>
      </c>
    </row>
    <row r="4662" spans="1:4" x14ac:dyDescent="0.4">
      <c r="A4662" t="str">
        <f t="shared" si="144"/>
        <v/>
      </c>
      <c r="B4662" t="str">
        <f t="shared" si="145"/>
        <v/>
      </c>
      <c r="C4662" t="str">
        <f>IF(D4662="","",IF(COUNTIF($D$2:D4662,D4662)&gt;1,"",SUMIFS(tbl_input[필요수량],tbl_input[집계키_청],D4662)))</f>
        <v/>
      </c>
      <c r="D4662" t="str">
        <f>IFERROR(INDEX(tbl_input[집계키_청],ROW()-1),"")</f>
        <v/>
      </c>
    </row>
    <row r="4663" spans="1:4" x14ac:dyDescent="0.4">
      <c r="A4663" t="str">
        <f t="shared" si="144"/>
        <v/>
      </c>
      <c r="B4663" t="str">
        <f t="shared" si="145"/>
        <v/>
      </c>
      <c r="C4663" t="str">
        <f>IF(D4663="","",IF(COUNTIF($D$2:D4663,D4663)&gt;1,"",SUMIFS(tbl_input[필요수량],tbl_input[집계키_청],D4663)))</f>
        <v/>
      </c>
      <c r="D4663" t="str">
        <f>IFERROR(INDEX(tbl_input[집계키_청],ROW()-1),"")</f>
        <v/>
      </c>
    </row>
    <row r="4664" spans="1:4" x14ac:dyDescent="0.4">
      <c r="A4664" t="str">
        <f t="shared" si="144"/>
        <v/>
      </c>
      <c r="B4664" t="str">
        <f t="shared" si="145"/>
        <v/>
      </c>
      <c r="C4664" t="str">
        <f>IF(D4664="","",IF(COUNTIF($D$2:D4664,D4664)&gt;1,"",SUMIFS(tbl_input[필요수량],tbl_input[집계키_청],D4664)))</f>
        <v/>
      </c>
      <c r="D4664" t="str">
        <f>IFERROR(INDEX(tbl_input[집계키_청],ROW()-1),"")</f>
        <v/>
      </c>
    </row>
    <row r="4665" spans="1:4" x14ac:dyDescent="0.4">
      <c r="A4665" t="str">
        <f t="shared" si="144"/>
        <v/>
      </c>
      <c r="B4665" t="str">
        <f t="shared" si="145"/>
        <v/>
      </c>
      <c r="C4665" t="str">
        <f>IF(D4665="","",IF(COUNTIF($D$2:D4665,D4665)&gt;1,"",SUMIFS(tbl_input[필요수량],tbl_input[집계키_청],D4665)))</f>
        <v/>
      </c>
      <c r="D4665" t="str">
        <f>IFERROR(INDEX(tbl_input[집계키_청],ROW()-1),"")</f>
        <v/>
      </c>
    </row>
    <row r="4666" spans="1:4" x14ac:dyDescent="0.4">
      <c r="A4666" t="str">
        <f t="shared" si="144"/>
        <v/>
      </c>
      <c r="B4666" t="str">
        <f t="shared" si="145"/>
        <v/>
      </c>
      <c r="C4666" t="str">
        <f>IF(D4666="","",IF(COUNTIF($D$2:D4666,D4666)&gt;1,"",SUMIFS(tbl_input[필요수량],tbl_input[집계키_청],D4666)))</f>
        <v/>
      </c>
      <c r="D4666" t="str">
        <f>IFERROR(INDEX(tbl_input[집계키_청],ROW()-1),"")</f>
        <v/>
      </c>
    </row>
    <row r="4667" spans="1:4" x14ac:dyDescent="0.4">
      <c r="A4667" t="str">
        <f t="shared" si="144"/>
        <v/>
      </c>
      <c r="B4667" t="str">
        <f t="shared" si="145"/>
        <v/>
      </c>
      <c r="C4667" t="str">
        <f>IF(D4667="","",IF(COUNTIF($D$2:D4667,D4667)&gt;1,"",SUMIFS(tbl_input[필요수량],tbl_input[집계키_청],D4667)))</f>
        <v/>
      </c>
      <c r="D4667" t="str">
        <f>IFERROR(INDEX(tbl_input[집계키_청],ROW()-1),"")</f>
        <v/>
      </c>
    </row>
    <row r="4668" spans="1:4" x14ac:dyDescent="0.4">
      <c r="A4668" t="str">
        <f t="shared" si="144"/>
        <v/>
      </c>
      <c r="B4668" t="str">
        <f t="shared" si="145"/>
        <v/>
      </c>
      <c r="C4668" t="str">
        <f>IF(D4668="","",IF(COUNTIF($D$2:D4668,D4668)&gt;1,"",SUMIFS(tbl_input[필요수량],tbl_input[집계키_청],D4668)))</f>
        <v/>
      </c>
      <c r="D4668" t="str">
        <f>IFERROR(INDEX(tbl_input[집계키_청],ROW()-1),"")</f>
        <v/>
      </c>
    </row>
    <row r="4669" spans="1:4" x14ac:dyDescent="0.4">
      <c r="A4669" t="str">
        <f t="shared" si="144"/>
        <v/>
      </c>
      <c r="B4669" t="str">
        <f t="shared" si="145"/>
        <v/>
      </c>
      <c r="C4669" t="str">
        <f>IF(D4669="","",IF(COUNTIF($D$2:D4669,D4669)&gt;1,"",SUMIFS(tbl_input[필요수량],tbl_input[집계키_청],D4669)))</f>
        <v/>
      </c>
      <c r="D4669" t="str">
        <f>IFERROR(INDEX(tbl_input[집계키_청],ROW()-1),"")</f>
        <v/>
      </c>
    </row>
    <row r="4670" spans="1:4" x14ac:dyDescent="0.4">
      <c r="A4670" t="str">
        <f t="shared" si="144"/>
        <v/>
      </c>
      <c r="B4670" t="str">
        <f t="shared" si="145"/>
        <v/>
      </c>
      <c r="C4670" t="str">
        <f>IF(D4670="","",IF(COUNTIF($D$2:D4670,D4670)&gt;1,"",SUMIFS(tbl_input[필요수량],tbl_input[집계키_청],D4670)))</f>
        <v/>
      </c>
      <c r="D4670" t="str">
        <f>IFERROR(INDEX(tbl_input[집계키_청],ROW()-1),"")</f>
        <v/>
      </c>
    </row>
    <row r="4671" spans="1:4" x14ac:dyDescent="0.4">
      <c r="A4671" t="str">
        <f t="shared" si="144"/>
        <v/>
      </c>
      <c r="B4671" t="str">
        <f t="shared" si="145"/>
        <v/>
      </c>
      <c r="C4671" t="str">
        <f>IF(D4671="","",IF(COUNTIF($D$2:D4671,D4671)&gt;1,"",SUMIFS(tbl_input[필요수량],tbl_input[집계키_청],D4671)))</f>
        <v/>
      </c>
      <c r="D4671" t="str">
        <f>IFERROR(INDEX(tbl_input[집계키_청],ROW()-1),"")</f>
        <v/>
      </c>
    </row>
    <row r="4672" spans="1:4" x14ac:dyDescent="0.4">
      <c r="A4672" t="str">
        <f t="shared" si="144"/>
        <v/>
      </c>
      <c r="B4672" t="str">
        <f t="shared" si="145"/>
        <v/>
      </c>
      <c r="C4672" t="str">
        <f>IF(D4672="","",IF(COUNTIF($D$2:D4672,D4672)&gt;1,"",SUMIFS(tbl_input[필요수량],tbl_input[집계키_청],D4672)))</f>
        <v/>
      </c>
      <c r="D4672" t="str">
        <f>IFERROR(INDEX(tbl_input[집계키_청],ROW()-1),"")</f>
        <v/>
      </c>
    </row>
    <row r="4673" spans="1:4" x14ac:dyDescent="0.4">
      <c r="A4673" t="str">
        <f t="shared" si="144"/>
        <v/>
      </c>
      <c r="B4673" t="str">
        <f t="shared" si="145"/>
        <v/>
      </c>
      <c r="C4673" t="str">
        <f>IF(D4673="","",IF(COUNTIF($D$2:D4673,D4673)&gt;1,"",SUMIFS(tbl_input[필요수량],tbl_input[집계키_청],D4673)))</f>
        <v/>
      </c>
      <c r="D4673" t="str">
        <f>IFERROR(INDEX(tbl_input[집계키_청],ROW()-1),"")</f>
        <v/>
      </c>
    </row>
    <row r="4674" spans="1:4" x14ac:dyDescent="0.4">
      <c r="A4674" t="str">
        <f t="shared" ref="A4674:A4737" si="146">IF(D4674="","",LEFT(D4674,FIND("♦",D4674)-1))</f>
        <v/>
      </c>
      <c r="B4674" t="str">
        <f t="shared" ref="B4674:B4737" si="147">IF(D4674="","",MID(D4674,FIND("♦",D4674)+1,999))</f>
        <v/>
      </c>
      <c r="C4674" t="str">
        <f>IF(D4674="","",IF(COUNTIF($D$2:D4674,D4674)&gt;1,"",SUMIFS(tbl_input[필요수량],tbl_input[집계키_청],D4674)))</f>
        <v/>
      </c>
      <c r="D4674" t="str">
        <f>IFERROR(INDEX(tbl_input[집계키_청],ROW()-1),"")</f>
        <v/>
      </c>
    </row>
    <row r="4675" spans="1:4" x14ac:dyDescent="0.4">
      <c r="A4675" t="str">
        <f t="shared" si="146"/>
        <v/>
      </c>
      <c r="B4675" t="str">
        <f t="shared" si="147"/>
        <v/>
      </c>
      <c r="C4675" t="str">
        <f>IF(D4675="","",IF(COUNTIF($D$2:D4675,D4675)&gt;1,"",SUMIFS(tbl_input[필요수량],tbl_input[집계키_청],D4675)))</f>
        <v/>
      </c>
      <c r="D4675" t="str">
        <f>IFERROR(INDEX(tbl_input[집계키_청],ROW()-1),"")</f>
        <v/>
      </c>
    </row>
    <row r="4676" spans="1:4" x14ac:dyDescent="0.4">
      <c r="A4676" t="str">
        <f t="shared" si="146"/>
        <v/>
      </c>
      <c r="B4676" t="str">
        <f t="shared" si="147"/>
        <v/>
      </c>
      <c r="C4676" t="str">
        <f>IF(D4676="","",IF(COUNTIF($D$2:D4676,D4676)&gt;1,"",SUMIFS(tbl_input[필요수량],tbl_input[집계키_청],D4676)))</f>
        <v/>
      </c>
      <c r="D4676" t="str">
        <f>IFERROR(INDEX(tbl_input[집계키_청],ROW()-1),"")</f>
        <v/>
      </c>
    </row>
    <row r="4677" spans="1:4" x14ac:dyDescent="0.4">
      <c r="A4677" t="str">
        <f t="shared" si="146"/>
        <v/>
      </c>
      <c r="B4677" t="str">
        <f t="shared" si="147"/>
        <v/>
      </c>
      <c r="C4677" t="str">
        <f>IF(D4677="","",IF(COUNTIF($D$2:D4677,D4677)&gt;1,"",SUMIFS(tbl_input[필요수량],tbl_input[집계키_청],D4677)))</f>
        <v/>
      </c>
      <c r="D4677" t="str">
        <f>IFERROR(INDEX(tbl_input[집계키_청],ROW()-1),"")</f>
        <v/>
      </c>
    </row>
    <row r="4678" spans="1:4" x14ac:dyDescent="0.4">
      <c r="A4678" t="str">
        <f t="shared" si="146"/>
        <v/>
      </c>
      <c r="B4678" t="str">
        <f t="shared" si="147"/>
        <v/>
      </c>
      <c r="C4678" t="str">
        <f>IF(D4678="","",IF(COUNTIF($D$2:D4678,D4678)&gt;1,"",SUMIFS(tbl_input[필요수량],tbl_input[집계키_청],D4678)))</f>
        <v/>
      </c>
      <c r="D4678" t="str">
        <f>IFERROR(INDEX(tbl_input[집계키_청],ROW()-1),"")</f>
        <v/>
      </c>
    </row>
    <row r="4679" spans="1:4" x14ac:dyDescent="0.4">
      <c r="A4679" t="str">
        <f t="shared" si="146"/>
        <v/>
      </c>
      <c r="B4679" t="str">
        <f t="shared" si="147"/>
        <v/>
      </c>
      <c r="C4679" t="str">
        <f>IF(D4679="","",IF(COUNTIF($D$2:D4679,D4679)&gt;1,"",SUMIFS(tbl_input[필요수량],tbl_input[집계키_청],D4679)))</f>
        <v/>
      </c>
      <c r="D4679" t="str">
        <f>IFERROR(INDEX(tbl_input[집계키_청],ROW()-1),"")</f>
        <v/>
      </c>
    </row>
    <row r="4680" spans="1:4" x14ac:dyDescent="0.4">
      <c r="A4680" t="str">
        <f t="shared" si="146"/>
        <v/>
      </c>
      <c r="B4680" t="str">
        <f t="shared" si="147"/>
        <v/>
      </c>
      <c r="C4680" t="str">
        <f>IF(D4680="","",IF(COUNTIF($D$2:D4680,D4680)&gt;1,"",SUMIFS(tbl_input[필요수량],tbl_input[집계키_청],D4680)))</f>
        <v/>
      </c>
      <c r="D4680" t="str">
        <f>IFERROR(INDEX(tbl_input[집계키_청],ROW()-1),"")</f>
        <v/>
      </c>
    </row>
    <row r="4681" spans="1:4" x14ac:dyDescent="0.4">
      <c r="A4681" t="str">
        <f t="shared" si="146"/>
        <v/>
      </c>
      <c r="B4681" t="str">
        <f t="shared" si="147"/>
        <v/>
      </c>
      <c r="C4681" t="str">
        <f>IF(D4681="","",IF(COUNTIF($D$2:D4681,D4681)&gt;1,"",SUMIFS(tbl_input[필요수량],tbl_input[집계키_청],D4681)))</f>
        <v/>
      </c>
      <c r="D4681" t="str">
        <f>IFERROR(INDEX(tbl_input[집계키_청],ROW()-1),"")</f>
        <v/>
      </c>
    </row>
    <row r="4682" spans="1:4" x14ac:dyDescent="0.4">
      <c r="A4682" t="str">
        <f t="shared" si="146"/>
        <v/>
      </c>
      <c r="B4682" t="str">
        <f t="shared" si="147"/>
        <v/>
      </c>
      <c r="C4682" t="str">
        <f>IF(D4682="","",IF(COUNTIF($D$2:D4682,D4682)&gt;1,"",SUMIFS(tbl_input[필요수량],tbl_input[집계키_청],D4682)))</f>
        <v/>
      </c>
      <c r="D4682" t="str">
        <f>IFERROR(INDEX(tbl_input[집계키_청],ROW()-1),"")</f>
        <v/>
      </c>
    </row>
    <row r="4683" spans="1:4" x14ac:dyDescent="0.4">
      <c r="A4683" t="str">
        <f t="shared" si="146"/>
        <v/>
      </c>
      <c r="B4683" t="str">
        <f t="shared" si="147"/>
        <v/>
      </c>
      <c r="C4683" t="str">
        <f>IF(D4683="","",IF(COUNTIF($D$2:D4683,D4683)&gt;1,"",SUMIFS(tbl_input[필요수량],tbl_input[집계키_청],D4683)))</f>
        <v/>
      </c>
      <c r="D4683" t="str">
        <f>IFERROR(INDEX(tbl_input[집계키_청],ROW()-1),"")</f>
        <v/>
      </c>
    </row>
    <row r="4684" spans="1:4" x14ac:dyDescent="0.4">
      <c r="A4684" t="str">
        <f t="shared" si="146"/>
        <v/>
      </c>
      <c r="B4684" t="str">
        <f t="shared" si="147"/>
        <v/>
      </c>
      <c r="C4684" t="str">
        <f>IF(D4684="","",IF(COUNTIF($D$2:D4684,D4684)&gt;1,"",SUMIFS(tbl_input[필요수량],tbl_input[집계키_청],D4684)))</f>
        <v/>
      </c>
      <c r="D4684" t="str">
        <f>IFERROR(INDEX(tbl_input[집계키_청],ROW()-1),"")</f>
        <v/>
      </c>
    </row>
    <row r="4685" spans="1:4" x14ac:dyDescent="0.4">
      <c r="A4685" t="str">
        <f t="shared" si="146"/>
        <v/>
      </c>
      <c r="B4685" t="str">
        <f t="shared" si="147"/>
        <v/>
      </c>
      <c r="C4685" t="str">
        <f>IF(D4685="","",IF(COUNTIF($D$2:D4685,D4685)&gt;1,"",SUMIFS(tbl_input[필요수량],tbl_input[집계키_청],D4685)))</f>
        <v/>
      </c>
      <c r="D4685" t="str">
        <f>IFERROR(INDEX(tbl_input[집계키_청],ROW()-1),"")</f>
        <v/>
      </c>
    </row>
    <row r="4686" spans="1:4" x14ac:dyDescent="0.4">
      <c r="A4686" t="str">
        <f t="shared" si="146"/>
        <v/>
      </c>
      <c r="B4686" t="str">
        <f t="shared" si="147"/>
        <v/>
      </c>
      <c r="C4686" t="str">
        <f>IF(D4686="","",IF(COUNTIF($D$2:D4686,D4686)&gt;1,"",SUMIFS(tbl_input[필요수량],tbl_input[집계키_청],D4686)))</f>
        <v/>
      </c>
      <c r="D4686" t="str">
        <f>IFERROR(INDEX(tbl_input[집계키_청],ROW()-1),"")</f>
        <v/>
      </c>
    </row>
    <row r="4687" spans="1:4" x14ac:dyDescent="0.4">
      <c r="A4687" t="str">
        <f t="shared" si="146"/>
        <v/>
      </c>
      <c r="B4687" t="str">
        <f t="shared" si="147"/>
        <v/>
      </c>
      <c r="C4687" t="str">
        <f>IF(D4687="","",IF(COUNTIF($D$2:D4687,D4687)&gt;1,"",SUMIFS(tbl_input[필요수량],tbl_input[집계키_청],D4687)))</f>
        <v/>
      </c>
      <c r="D4687" t="str">
        <f>IFERROR(INDEX(tbl_input[집계키_청],ROW()-1),"")</f>
        <v/>
      </c>
    </row>
    <row r="4688" spans="1:4" x14ac:dyDescent="0.4">
      <c r="A4688" t="str">
        <f t="shared" si="146"/>
        <v/>
      </c>
      <c r="B4688" t="str">
        <f t="shared" si="147"/>
        <v/>
      </c>
      <c r="C4688" t="str">
        <f>IF(D4688="","",IF(COUNTIF($D$2:D4688,D4688)&gt;1,"",SUMIFS(tbl_input[필요수량],tbl_input[집계키_청],D4688)))</f>
        <v/>
      </c>
      <c r="D4688" t="str">
        <f>IFERROR(INDEX(tbl_input[집계키_청],ROW()-1),"")</f>
        <v/>
      </c>
    </row>
    <row r="4689" spans="1:4" x14ac:dyDescent="0.4">
      <c r="A4689" t="str">
        <f t="shared" si="146"/>
        <v/>
      </c>
      <c r="B4689" t="str">
        <f t="shared" si="147"/>
        <v/>
      </c>
      <c r="C4689" t="str">
        <f>IF(D4689="","",IF(COUNTIF($D$2:D4689,D4689)&gt;1,"",SUMIFS(tbl_input[필요수량],tbl_input[집계키_청],D4689)))</f>
        <v/>
      </c>
      <c r="D4689" t="str">
        <f>IFERROR(INDEX(tbl_input[집계키_청],ROW()-1),"")</f>
        <v/>
      </c>
    </row>
    <row r="4690" spans="1:4" x14ac:dyDescent="0.4">
      <c r="A4690" t="str">
        <f t="shared" si="146"/>
        <v/>
      </c>
      <c r="B4690" t="str">
        <f t="shared" si="147"/>
        <v/>
      </c>
      <c r="C4690" t="str">
        <f>IF(D4690="","",IF(COUNTIF($D$2:D4690,D4690)&gt;1,"",SUMIFS(tbl_input[필요수량],tbl_input[집계키_청],D4690)))</f>
        <v/>
      </c>
      <c r="D4690" t="str">
        <f>IFERROR(INDEX(tbl_input[집계키_청],ROW()-1),"")</f>
        <v/>
      </c>
    </row>
    <row r="4691" spans="1:4" x14ac:dyDescent="0.4">
      <c r="A4691" t="str">
        <f t="shared" si="146"/>
        <v/>
      </c>
      <c r="B4691" t="str">
        <f t="shared" si="147"/>
        <v/>
      </c>
      <c r="C4691" t="str">
        <f>IF(D4691="","",IF(COUNTIF($D$2:D4691,D4691)&gt;1,"",SUMIFS(tbl_input[필요수량],tbl_input[집계키_청],D4691)))</f>
        <v/>
      </c>
      <c r="D4691" t="str">
        <f>IFERROR(INDEX(tbl_input[집계키_청],ROW()-1),"")</f>
        <v/>
      </c>
    </row>
    <row r="4692" spans="1:4" x14ac:dyDescent="0.4">
      <c r="A4692" t="str">
        <f t="shared" si="146"/>
        <v/>
      </c>
      <c r="B4692" t="str">
        <f t="shared" si="147"/>
        <v/>
      </c>
      <c r="C4692" t="str">
        <f>IF(D4692="","",IF(COUNTIF($D$2:D4692,D4692)&gt;1,"",SUMIFS(tbl_input[필요수량],tbl_input[집계키_청],D4692)))</f>
        <v/>
      </c>
      <c r="D4692" t="str">
        <f>IFERROR(INDEX(tbl_input[집계키_청],ROW()-1),"")</f>
        <v/>
      </c>
    </row>
    <row r="4693" spans="1:4" x14ac:dyDescent="0.4">
      <c r="A4693" t="str">
        <f t="shared" si="146"/>
        <v/>
      </c>
      <c r="B4693" t="str">
        <f t="shared" si="147"/>
        <v/>
      </c>
      <c r="C4693" t="str">
        <f>IF(D4693="","",IF(COUNTIF($D$2:D4693,D4693)&gt;1,"",SUMIFS(tbl_input[필요수량],tbl_input[집계키_청],D4693)))</f>
        <v/>
      </c>
      <c r="D4693" t="str">
        <f>IFERROR(INDEX(tbl_input[집계키_청],ROW()-1),"")</f>
        <v/>
      </c>
    </row>
    <row r="4694" spans="1:4" x14ac:dyDescent="0.4">
      <c r="A4694" t="str">
        <f t="shared" si="146"/>
        <v/>
      </c>
      <c r="B4694" t="str">
        <f t="shared" si="147"/>
        <v/>
      </c>
      <c r="C4694" t="str">
        <f>IF(D4694="","",IF(COUNTIF($D$2:D4694,D4694)&gt;1,"",SUMIFS(tbl_input[필요수량],tbl_input[집계키_청],D4694)))</f>
        <v/>
      </c>
      <c r="D4694" t="str">
        <f>IFERROR(INDEX(tbl_input[집계키_청],ROW()-1),"")</f>
        <v/>
      </c>
    </row>
    <row r="4695" spans="1:4" x14ac:dyDescent="0.4">
      <c r="A4695" t="str">
        <f t="shared" si="146"/>
        <v/>
      </c>
      <c r="B4695" t="str">
        <f t="shared" si="147"/>
        <v/>
      </c>
      <c r="C4695" t="str">
        <f>IF(D4695="","",IF(COUNTIF($D$2:D4695,D4695)&gt;1,"",SUMIFS(tbl_input[필요수량],tbl_input[집계키_청],D4695)))</f>
        <v/>
      </c>
      <c r="D4695" t="str">
        <f>IFERROR(INDEX(tbl_input[집계키_청],ROW()-1),"")</f>
        <v/>
      </c>
    </row>
    <row r="4696" spans="1:4" x14ac:dyDescent="0.4">
      <c r="A4696" t="str">
        <f t="shared" si="146"/>
        <v/>
      </c>
      <c r="B4696" t="str">
        <f t="shared" si="147"/>
        <v/>
      </c>
      <c r="C4696" t="str">
        <f>IF(D4696="","",IF(COUNTIF($D$2:D4696,D4696)&gt;1,"",SUMIFS(tbl_input[필요수량],tbl_input[집계키_청],D4696)))</f>
        <v/>
      </c>
      <c r="D4696" t="str">
        <f>IFERROR(INDEX(tbl_input[집계키_청],ROW()-1),"")</f>
        <v/>
      </c>
    </row>
    <row r="4697" spans="1:4" x14ac:dyDescent="0.4">
      <c r="A4697" t="str">
        <f t="shared" si="146"/>
        <v/>
      </c>
      <c r="B4697" t="str">
        <f t="shared" si="147"/>
        <v/>
      </c>
      <c r="C4697" t="str">
        <f>IF(D4697="","",IF(COUNTIF($D$2:D4697,D4697)&gt;1,"",SUMIFS(tbl_input[필요수량],tbl_input[집계키_청],D4697)))</f>
        <v/>
      </c>
      <c r="D4697" t="str">
        <f>IFERROR(INDEX(tbl_input[집계키_청],ROW()-1),"")</f>
        <v/>
      </c>
    </row>
    <row r="4698" spans="1:4" x14ac:dyDescent="0.4">
      <c r="A4698" t="str">
        <f t="shared" si="146"/>
        <v/>
      </c>
      <c r="B4698" t="str">
        <f t="shared" si="147"/>
        <v/>
      </c>
      <c r="C4698" t="str">
        <f>IF(D4698="","",IF(COUNTIF($D$2:D4698,D4698)&gt;1,"",SUMIFS(tbl_input[필요수량],tbl_input[집계키_청],D4698)))</f>
        <v/>
      </c>
      <c r="D4698" t="str">
        <f>IFERROR(INDEX(tbl_input[집계키_청],ROW()-1),"")</f>
        <v/>
      </c>
    </row>
    <row r="4699" spans="1:4" x14ac:dyDescent="0.4">
      <c r="A4699" t="str">
        <f t="shared" si="146"/>
        <v/>
      </c>
      <c r="B4699" t="str">
        <f t="shared" si="147"/>
        <v/>
      </c>
      <c r="C4699" t="str">
        <f>IF(D4699="","",IF(COUNTIF($D$2:D4699,D4699)&gt;1,"",SUMIFS(tbl_input[필요수량],tbl_input[집계키_청],D4699)))</f>
        <v/>
      </c>
      <c r="D4699" t="str">
        <f>IFERROR(INDEX(tbl_input[집계키_청],ROW()-1),"")</f>
        <v/>
      </c>
    </row>
    <row r="4700" spans="1:4" x14ac:dyDescent="0.4">
      <c r="A4700" t="str">
        <f t="shared" si="146"/>
        <v/>
      </c>
      <c r="B4700" t="str">
        <f t="shared" si="147"/>
        <v/>
      </c>
      <c r="C4700" t="str">
        <f>IF(D4700="","",IF(COUNTIF($D$2:D4700,D4700)&gt;1,"",SUMIFS(tbl_input[필요수량],tbl_input[집계키_청],D4700)))</f>
        <v/>
      </c>
      <c r="D4700" t="str">
        <f>IFERROR(INDEX(tbl_input[집계키_청],ROW()-1),"")</f>
        <v/>
      </c>
    </row>
    <row r="4701" spans="1:4" x14ac:dyDescent="0.4">
      <c r="A4701" t="str">
        <f t="shared" si="146"/>
        <v/>
      </c>
      <c r="B4701" t="str">
        <f t="shared" si="147"/>
        <v/>
      </c>
      <c r="C4701" t="str">
        <f>IF(D4701="","",IF(COUNTIF($D$2:D4701,D4701)&gt;1,"",SUMIFS(tbl_input[필요수량],tbl_input[집계키_청],D4701)))</f>
        <v/>
      </c>
      <c r="D4701" t="str">
        <f>IFERROR(INDEX(tbl_input[집계키_청],ROW()-1),"")</f>
        <v/>
      </c>
    </row>
    <row r="4702" spans="1:4" x14ac:dyDescent="0.4">
      <c r="A4702" t="str">
        <f t="shared" si="146"/>
        <v/>
      </c>
      <c r="B4702" t="str">
        <f t="shared" si="147"/>
        <v/>
      </c>
      <c r="C4702" t="str">
        <f>IF(D4702="","",IF(COUNTIF($D$2:D4702,D4702)&gt;1,"",SUMIFS(tbl_input[필요수량],tbl_input[집계키_청],D4702)))</f>
        <v/>
      </c>
      <c r="D4702" t="str">
        <f>IFERROR(INDEX(tbl_input[집계키_청],ROW()-1),"")</f>
        <v/>
      </c>
    </row>
    <row r="4703" spans="1:4" x14ac:dyDescent="0.4">
      <c r="A4703" t="str">
        <f t="shared" si="146"/>
        <v/>
      </c>
      <c r="B4703" t="str">
        <f t="shared" si="147"/>
        <v/>
      </c>
      <c r="C4703" t="str">
        <f>IF(D4703="","",IF(COUNTIF($D$2:D4703,D4703)&gt;1,"",SUMIFS(tbl_input[필요수량],tbl_input[집계키_청],D4703)))</f>
        <v/>
      </c>
      <c r="D4703" t="str">
        <f>IFERROR(INDEX(tbl_input[집계키_청],ROW()-1),"")</f>
        <v/>
      </c>
    </row>
    <row r="4704" spans="1:4" x14ac:dyDescent="0.4">
      <c r="A4704" t="str">
        <f t="shared" si="146"/>
        <v/>
      </c>
      <c r="B4704" t="str">
        <f t="shared" si="147"/>
        <v/>
      </c>
      <c r="C4704" t="str">
        <f>IF(D4704="","",IF(COUNTIF($D$2:D4704,D4704)&gt;1,"",SUMIFS(tbl_input[필요수량],tbl_input[집계키_청],D4704)))</f>
        <v/>
      </c>
      <c r="D4704" t="str">
        <f>IFERROR(INDEX(tbl_input[집계키_청],ROW()-1),"")</f>
        <v/>
      </c>
    </row>
    <row r="4705" spans="1:4" x14ac:dyDescent="0.4">
      <c r="A4705" t="str">
        <f t="shared" si="146"/>
        <v/>
      </c>
      <c r="B4705" t="str">
        <f t="shared" si="147"/>
        <v/>
      </c>
      <c r="C4705" t="str">
        <f>IF(D4705="","",IF(COUNTIF($D$2:D4705,D4705)&gt;1,"",SUMIFS(tbl_input[필요수량],tbl_input[집계키_청],D4705)))</f>
        <v/>
      </c>
      <c r="D4705" t="str">
        <f>IFERROR(INDEX(tbl_input[집계키_청],ROW()-1),"")</f>
        <v/>
      </c>
    </row>
    <row r="4706" spans="1:4" x14ac:dyDescent="0.4">
      <c r="A4706" t="str">
        <f t="shared" si="146"/>
        <v/>
      </c>
      <c r="B4706" t="str">
        <f t="shared" si="147"/>
        <v/>
      </c>
      <c r="C4706" t="str">
        <f>IF(D4706="","",IF(COUNTIF($D$2:D4706,D4706)&gt;1,"",SUMIFS(tbl_input[필요수량],tbl_input[집계키_청],D4706)))</f>
        <v/>
      </c>
      <c r="D4706" t="str">
        <f>IFERROR(INDEX(tbl_input[집계키_청],ROW()-1),"")</f>
        <v/>
      </c>
    </row>
    <row r="4707" spans="1:4" x14ac:dyDescent="0.4">
      <c r="A4707" t="str">
        <f t="shared" si="146"/>
        <v/>
      </c>
      <c r="B4707" t="str">
        <f t="shared" si="147"/>
        <v/>
      </c>
      <c r="C4707" t="str">
        <f>IF(D4707="","",IF(COUNTIF($D$2:D4707,D4707)&gt;1,"",SUMIFS(tbl_input[필요수량],tbl_input[집계키_청],D4707)))</f>
        <v/>
      </c>
      <c r="D4707" t="str">
        <f>IFERROR(INDEX(tbl_input[집계키_청],ROW()-1),"")</f>
        <v/>
      </c>
    </row>
    <row r="4708" spans="1:4" x14ac:dyDescent="0.4">
      <c r="A4708" t="str">
        <f t="shared" si="146"/>
        <v/>
      </c>
      <c r="B4708" t="str">
        <f t="shared" si="147"/>
        <v/>
      </c>
      <c r="C4708" t="str">
        <f>IF(D4708="","",IF(COUNTIF($D$2:D4708,D4708)&gt;1,"",SUMIFS(tbl_input[필요수량],tbl_input[집계키_청],D4708)))</f>
        <v/>
      </c>
      <c r="D4708" t="str">
        <f>IFERROR(INDEX(tbl_input[집계키_청],ROW()-1),"")</f>
        <v/>
      </c>
    </row>
    <row r="4709" spans="1:4" x14ac:dyDescent="0.4">
      <c r="A4709" t="str">
        <f t="shared" si="146"/>
        <v/>
      </c>
      <c r="B4709" t="str">
        <f t="shared" si="147"/>
        <v/>
      </c>
      <c r="C4709" t="str">
        <f>IF(D4709="","",IF(COUNTIF($D$2:D4709,D4709)&gt;1,"",SUMIFS(tbl_input[필요수량],tbl_input[집계키_청],D4709)))</f>
        <v/>
      </c>
      <c r="D4709" t="str">
        <f>IFERROR(INDEX(tbl_input[집계키_청],ROW()-1),"")</f>
        <v/>
      </c>
    </row>
    <row r="4710" spans="1:4" x14ac:dyDescent="0.4">
      <c r="A4710" t="str">
        <f t="shared" si="146"/>
        <v/>
      </c>
      <c r="B4710" t="str">
        <f t="shared" si="147"/>
        <v/>
      </c>
      <c r="C4710" t="str">
        <f>IF(D4710="","",IF(COUNTIF($D$2:D4710,D4710)&gt;1,"",SUMIFS(tbl_input[필요수량],tbl_input[집계키_청],D4710)))</f>
        <v/>
      </c>
      <c r="D4710" t="str">
        <f>IFERROR(INDEX(tbl_input[집계키_청],ROW()-1),"")</f>
        <v/>
      </c>
    </row>
    <row r="4711" spans="1:4" x14ac:dyDescent="0.4">
      <c r="A4711" t="str">
        <f t="shared" si="146"/>
        <v/>
      </c>
      <c r="B4711" t="str">
        <f t="shared" si="147"/>
        <v/>
      </c>
      <c r="C4711" t="str">
        <f>IF(D4711="","",IF(COUNTIF($D$2:D4711,D4711)&gt;1,"",SUMIFS(tbl_input[필요수량],tbl_input[집계키_청],D4711)))</f>
        <v/>
      </c>
      <c r="D4711" t="str">
        <f>IFERROR(INDEX(tbl_input[집계키_청],ROW()-1),"")</f>
        <v/>
      </c>
    </row>
    <row r="4712" spans="1:4" x14ac:dyDescent="0.4">
      <c r="A4712" t="str">
        <f t="shared" si="146"/>
        <v/>
      </c>
      <c r="B4712" t="str">
        <f t="shared" si="147"/>
        <v/>
      </c>
      <c r="C4712" t="str">
        <f>IF(D4712="","",IF(COUNTIF($D$2:D4712,D4712)&gt;1,"",SUMIFS(tbl_input[필요수량],tbl_input[집계키_청],D4712)))</f>
        <v/>
      </c>
      <c r="D4712" t="str">
        <f>IFERROR(INDEX(tbl_input[집계키_청],ROW()-1),"")</f>
        <v/>
      </c>
    </row>
    <row r="4713" spans="1:4" x14ac:dyDescent="0.4">
      <c r="A4713" t="str">
        <f t="shared" si="146"/>
        <v/>
      </c>
      <c r="B4713" t="str">
        <f t="shared" si="147"/>
        <v/>
      </c>
      <c r="C4713" t="str">
        <f>IF(D4713="","",IF(COUNTIF($D$2:D4713,D4713)&gt;1,"",SUMIFS(tbl_input[필요수량],tbl_input[집계키_청],D4713)))</f>
        <v/>
      </c>
      <c r="D4713" t="str">
        <f>IFERROR(INDEX(tbl_input[집계키_청],ROW()-1),"")</f>
        <v/>
      </c>
    </row>
    <row r="4714" spans="1:4" x14ac:dyDescent="0.4">
      <c r="A4714" t="str">
        <f t="shared" si="146"/>
        <v/>
      </c>
      <c r="B4714" t="str">
        <f t="shared" si="147"/>
        <v/>
      </c>
      <c r="C4714" t="str">
        <f>IF(D4714="","",IF(COUNTIF($D$2:D4714,D4714)&gt;1,"",SUMIFS(tbl_input[필요수량],tbl_input[집계키_청],D4714)))</f>
        <v/>
      </c>
      <c r="D4714" t="str">
        <f>IFERROR(INDEX(tbl_input[집계키_청],ROW()-1),"")</f>
        <v/>
      </c>
    </row>
    <row r="4715" spans="1:4" x14ac:dyDescent="0.4">
      <c r="A4715" t="str">
        <f t="shared" si="146"/>
        <v/>
      </c>
      <c r="B4715" t="str">
        <f t="shared" si="147"/>
        <v/>
      </c>
      <c r="C4715" t="str">
        <f>IF(D4715="","",IF(COUNTIF($D$2:D4715,D4715)&gt;1,"",SUMIFS(tbl_input[필요수량],tbl_input[집계키_청],D4715)))</f>
        <v/>
      </c>
      <c r="D4715" t="str">
        <f>IFERROR(INDEX(tbl_input[집계키_청],ROW()-1),"")</f>
        <v/>
      </c>
    </row>
    <row r="4716" spans="1:4" x14ac:dyDescent="0.4">
      <c r="A4716" t="str">
        <f t="shared" si="146"/>
        <v/>
      </c>
      <c r="B4716" t="str">
        <f t="shared" si="147"/>
        <v/>
      </c>
      <c r="C4716" t="str">
        <f>IF(D4716="","",IF(COUNTIF($D$2:D4716,D4716)&gt;1,"",SUMIFS(tbl_input[필요수량],tbl_input[집계키_청],D4716)))</f>
        <v/>
      </c>
      <c r="D4716" t="str">
        <f>IFERROR(INDEX(tbl_input[집계키_청],ROW()-1),"")</f>
        <v/>
      </c>
    </row>
    <row r="4717" spans="1:4" x14ac:dyDescent="0.4">
      <c r="A4717" t="str">
        <f t="shared" si="146"/>
        <v/>
      </c>
      <c r="B4717" t="str">
        <f t="shared" si="147"/>
        <v/>
      </c>
      <c r="C4717" t="str">
        <f>IF(D4717="","",IF(COUNTIF($D$2:D4717,D4717)&gt;1,"",SUMIFS(tbl_input[필요수량],tbl_input[집계키_청],D4717)))</f>
        <v/>
      </c>
      <c r="D4717" t="str">
        <f>IFERROR(INDEX(tbl_input[집계키_청],ROW()-1),"")</f>
        <v/>
      </c>
    </row>
    <row r="4718" spans="1:4" x14ac:dyDescent="0.4">
      <c r="A4718" t="str">
        <f t="shared" si="146"/>
        <v/>
      </c>
      <c r="B4718" t="str">
        <f t="shared" si="147"/>
        <v/>
      </c>
      <c r="C4718" t="str">
        <f>IF(D4718="","",IF(COUNTIF($D$2:D4718,D4718)&gt;1,"",SUMIFS(tbl_input[필요수량],tbl_input[집계키_청],D4718)))</f>
        <v/>
      </c>
      <c r="D4718" t="str">
        <f>IFERROR(INDEX(tbl_input[집계키_청],ROW()-1),"")</f>
        <v/>
      </c>
    </row>
    <row r="4719" spans="1:4" x14ac:dyDescent="0.4">
      <c r="A4719" t="str">
        <f t="shared" si="146"/>
        <v/>
      </c>
      <c r="B4719" t="str">
        <f t="shared" si="147"/>
        <v/>
      </c>
      <c r="C4719" t="str">
        <f>IF(D4719="","",IF(COUNTIF($D$2:D4719,D4719)&gt;1,"",SUMIFS(tbl_input[필요수량],tbl_input[집계키_청],D4719)))</f>
        <v/>
      </c>
      <c r="D4719" t="str">
        <f>IFERROR(INDEX(tbl_input[집계키_청],ROW()-1),"")</f>
        <v/>
      </c>
    </row>
    <row r="4720" spans="1:4" x14ac:dyDescent="0.4">
      <c r="A4720" t="str">
        <f t="shared" si="146"/>
        <v/>
      </c>
      <c r="B4720" t="str">
        <f t="shared" si="147"/>
        <v/>
      </c>
      <c r="C4720" t="str">
        <f>IF(D4720="","",IF(COUNTIF($D$2:D4720,D4720)&gt;1,"",SUMIFS(tbl_input[필요수량],tbl_input[집계키_청],D4720)))</f>
        <v/>
      </c>
      <c r="D4720" t="str">
        <f>IFERROR(INDEX(tbl_input[집계키_청],ROW()-1),"")</f>
        <v/>
      </c>
    </row>
    <row r="4721" spans="1:4" x14ac:dyDescent="0.4">
      <c r="A4721" t="str">
        <f t="shared" si="146"/>
        <v/>
      </c>
      <c r="B4721" t="str">
        <f t="shared" si="147"/>
        <v/>
      </c>
      <c r="C4721" t="str">
        <f>IF(D4721="","",IF(COUNTIF($D$2:D4721,D4721)&gt;1,"",SUMIFS(tbl_input[필요수량],tbl_input[집계키_청],D4721)))</f>
        <v/>
      </c>
      <c r="D4721" t="str">
        <f>IFERROR(INDEX(tbl_input[집계키_청],ROW()-1),"")</f>
        <v/>
      </c>
    </row>
    <row r="4722" spans="1:4" x14ac:dyDescent="0.4">
      <c r="A4722" t="str">
        <f t="shared" si="146"/>
        <v/>
      </c>
      <c r="B4722" t="str">
        <f t="shared" si="147"/>
        <v/>
      </c>
      <c r="C4722" t="str">
        <f>IF(D4722="","",IF(COUNTIF($D$2:D4722,D4722)&gt;1,"",SUMIFS(tbl_input[필요수량],tbl_input[집계키_청],D4722)))</f>
        <v/>
      </c>
      <c r="D4722" t="str">
        <f>IFERROR(INDEX(tbl_input[집계키_청],ROW()-1),"")</f>
        <v/>
      </c>
    </row>
    <row r="4723" spans="1:4" x14ac:dyDescent="0.4">
      <c r="A4723" t="str">
        <f t="shared" si="146"/>
        <v/>
      </c>
      <c r="B4723" t="str">
        <f t="shared" si="147"/>
        <v/>
      </c>
      <c r="C4723" t="str">
        <f>IF(D4723="","",IF(COUNTIF($D$2:D4723,D4723)&gt;1,"",SUMIFS(tbl_input[필요수량],tbl_input[집계키_청],D4723)))</f>
        <v/>
      </c>
      <c r="D4723" t="str">
        <f>IFERROR(INDEX(tbl_input[집계키_청],ROW()-1),"")</f>
        <v/>
      </c>
    </row>
    <row r="4724" spans="1:4" x14ac:dyDescent="0.4">
      <c r="A4724" t="str">
        <f t="shared" si="146"/>
        <v/>
      </c>
      <c r="B4724" t="str">
        <f t="shared" si="147"/>
        <v/>
      </c>
      <c r="C4724" t="str">
        <f>IF(D4724="","",IF(COUNTIF($D$2:D4724,D4724)&gt;1,"",SUMIFS(tbl_input[필요수량],tbl_input[집계키_청],D4724)))</f>
        <v/>
      </c>
      <c r="D4724" t="str">
        <f>IFERROR(INDEX(tbl_input[집계키_청],ROW()-1),"")</f>
        <v/>
      </c>
    </row>
    <row r="4725" spans="1:4" x14ac:dyDescent="0.4">
      <c r="A4725" t="str">
        <f t="shared" si="146"/>
        <v/>
      </c>
      <c r="B4725" t="str">
        <f t="shared" si="147"/>
        <v/>
      </c>
      <c r="C4725" t="str">
        <f>IF(D4725="","",IF(COUNTIF($D$2:D4725,D4725)&gt;1,"",SUMIFS(tbl_input[필요수량],tbl_input[집계키_청],D4725)))</f>
        <v/>
      </c>
      <c r="D4725" t="str">
        <f>IFERROR(INDEX(tbl_input[집계키_청],ROW()-1),"")</f>
        <v/>
      </c>
    </row>
    <row r="4726" spans="1:4" x14ac:dyDescent="0.4">
      <c r="A4726" t="str">
        <f t="shared" si="146"/>
        <v/>
      </c>
      <c r="B4726" t="str">
        <f t="shared" si="147"/>
        <v/>
      </c>
      <c r="C4726" t="str">
        <f>IF(D4726="","",IF(COUNTIF($D$2:D4726,D4726)&gt;1,"",SUMIFS(tbl_input[필요수량],tbl_input[집계키_청],D4726)))</f>
        <v/>
      </c>
      <c r="D4726" t="str">
        <f>IFERROR(INDEX(tbl_input[집계키_청],ROW()-1),"")</f>
        <v/>
      </c>
    </row>
    <row r="4727" spans="1:4" x14ac:dyDescent="0.4">
      <c r="A4727" t="str">
        <f t="shared" si="146"/>
        <v/>
      </c>
      <c r="B4727" t="str">
        <f t="shared" si="147"/>
        <v/>
      </c>
      <c r="C4727" t="str">
        <f>IF(D4727="","",IF(COUNTIF($D$2:D4727,D4727)&gt;1,"",SUMIFS(tbl_input[필요수량],tbl_input[집계키_청],D4727)))</f>
        <v/>
      </c>
      <c r="D4727" t="str">
        <f>IFERROR(INDEX(tbl_input[집계키_청],ROW()-1),"")</f>
        <v/>
      </c>
    </row>
    <row r="4728" spans="1:4" x14ac:dyDescent="0.4">
      <c r="A4728" t="str">
        <f t="shared" si="146"/>
        <v/>
      </c>
      <c r="B4728" t="str">
        <f t="shared" si="147"/>
        <v/>
      </c>
      <c r="C4728" t="str">
        <f>IF(D4728="","",IF(COUNTIF($D$2:D4728,D4728)&gt;1,"",SUMIFS(tbl_input[필요수량],tbl_input[집계키_청],D4728)))</f>
        <v/>
      </c>
      <c r="D4728" t="str">
        <f>IFERROR(INDEX(tbl_input[집계키_청],ROW()-1),"")</f>
        <v/>
      </c>
    </row>
    <row r="4729" spans="1:4" x14ac:dyDescent="0.4">
      <c r="A4729" t="str">
        <f t="shared" si="146"/>
        <v/>
      </c>
      <c r="B4729" t="str">
        <f t="shared" si="147"/>
        <v/>
      </c>
      <c r="C4729" t="str">
        <f>IF(D4729="","",IF(COUNTIF($D$2:D4729,D4729)&gt;1,"",SUMIFS(tbl_input[필요수량],tbl_input[집계키_청],D4729)))</f>
        <v/>
      </c>
      <c r="D4729" t="str">
        <f>IFERROR(INDEX(tbl_input[집계키_청],ROW()-1),"")</f>
        <v/>
      </c>
    </row>
    <row r="4730" spans="1:4" x14ac:dyDescent="0.4">
      <c r="A4730" t="str">
        <f t="shared" si="146"/>
        <v/>
      </c>
      <c r="B4730" t="str">
        <f t="shared" si="147"/>
        <v/>
      </c>
      <c r="C4730" t="str">
        <f>IF(D4730="","",IF(COUNTIF($D$2:D4730,D4730)&gt;1,"",SUMIFS(tbl_input[필요수량],tbl_input[집계키_청],D4730)))</f>
        <v/>
      </c>
      <c r="D4730" t="str">
        <f>IFERROR(INDEX(tbl_input[집계키_청],ROW()-1),"")</f>
        <v/>
      </c>
    </row>
    <row r="4731" spans="1:4" x14ac:dyDescent="0.4">
      <c r="A4731" t="str">
        <f t="shared" si="146"/>
        <v/>
      </c>
      <c r="B4731" t="str">
        <f t="shared" si="147"/>
        <v/>
      </c>
      <c r="C4731" t="str">
        <f>IF(D4731="","",IF(COUNTIF($D$2:D4731,D4731)&gt;1,"",SUMIFS(tbl_input[필요수량],tbl_input[집계키_청],D4731)))</f>
        <v/>
      </c>
      <c r="D4731" t="str">
        <f>IFERROR(INDEX(tbl_input[집계키_청],ROW()-1),"")</f>
        <v/>
      </c>
    </row>
    <row r="4732" spans="1:4" x14ac:dyDescent="0.4">
      <c r="A4732" t="str">
        <f t="shared" si="146"/>
        <v/>
      </c>
      <c r="B4732" t="str">
        <f t="shared" si="147"/>
        <v/>
      </c>
      <c r="C4732" t="str">
        <f>IF(D4732="","",IF(COUNTIF($D$2:D4732,D4732)&gt;1,"",SUMIFS(tbl_input[필요수량],tbl_input[집계키_청],D4732)))</f>
        <v/>
      </c>
      <c r="D4732" t="str">
        <f>IFERROR(INDEX(tbl_input[집계키_청],ROW()-1),"")</f>
        <v/>
      </c>
    </row>
    <row r="4733" spans="1:4" x14ac:dyDescent="0.4">
      <c r="A4733" t="str">
        <f t="shared" si="146"/>
        <v/>
      </c>
      <c r="B4733" t="str">
        <f t="shared" si="147"/>
        <v/>
      </c>
      <c r="C4733" t="str">
        <f>IF(D4733="","",IF(COUNTIF($D$2:D4733,D4733)&gt;1,"",SUMIFS(tbl_input[필요수량],tbl_input[집계키_청],D4733)))</f>
        <v/>
      </c>
      <c r="D4733" t="str">
        <f>IFERROR(INDEX(tbl_input[집계키_청],ROW()-1),"")</f>
        <v/>
      </c>
    </row>
    <row r="4734" spans="1:4" x14ac:dyDescent="0.4">
      <c r="A4734" t="str">
        <f t="shared" si="146"/>
        <v/>
      </c>
      <c r="B4734" t="str">
        <f t="shared" si="147"/>
        <v/>
      </c>
      <c r="C4734" t="str">
        <f>IF(D4734="","",IF(COUNTIF($D$2:D4734,D4734)&gt;1,"",SUMIFS(tbl_input[필요수량],tbl_input[집계키_청],D4734)))</f>
        <v/>
      </c>
      <c r="D4734" t="str">
        <f>IFERROR(INDEX(tbl_input[집계키_청],ROW()-1),"")</f>
        <v/>
      </c>
    </row>
    <row r="4735" spans="1:4" x14ac:dyDescent="0.4">
      <c r="A4735" t="str">
        <f t="shared" si="146"/>
        <v/>
      </c>
      <c r="B4735" t="str">
        <f t="shared" si="147"/>
        <v/>
      </c>
      <c r="C4735" t="str">
        <f>IF(D4735="","",IF(COUNTIF($D$2:D4735,D4735)&gt;1,"",SUMIFS(tbl_input[필요수량],tbl_input[집계키_청],D4735)))</f>
        <v/>
      </c>
      <c r="D4735" t="str">
        <f>IFERROR(INDEX(tbl_input[집계키_청],ROW()-1),"")</f>
        <v/>
      </c>
    </row>
    <row r="4736" spans="1:4" x14ac:dyDescent="0.4">
      <c r="A4736" t="str">
        <f t="shared" si="146"/>
        <v/>
      </c>
      <c r="B4736" t="str">
        <f t="shared" si="147"/>
        <v/>
      </c>
      <c r="C4736" t="str">
        <f>IF(D4736="","",IF(COUNTIF($D$2:D4736,D4736)&gt;1,"",SUMIFS(tbl_input[필요수량],tbl_input[집계키_청],D4736)))</f>
        <v/>
      </c>
      <c r="D4736" t="str">
        <f>IFERROR(INDEX(tbl_input[집계키_청],ROW()-1),"")</f>
        <v/>
      </c>
    </row>
    <row r="4737" spans="1:4" x14ac:dyDescent="0.4">
      <c r="A4737" t="str">
        <f t="shared" si="146"/>
        <v/>
      </c>
      <c r="B4737" t="str">
        <f t="shared" si="147"/>
        <v/>
      </c>
      <c r="C4737" t="str">
        <f>IF(D4737="","",IF(COUNTIF($D$2:D4737,D4737)&gt;1,"",SUMIFS(tbl_input[필요수량],tbl_input[집계키_청],D4737)))</f>
        <v/>
      </c>
      <c r="D4737" t="str">
        <f>IFERROR(INDEX(tbl_input[집계키_청],ROW()-1),"")</f>
        <v/>
      </c>
    </row>
    <row r="4738" spans="1:4" x14ac:dyDescent="0.4">
      <c r="A4738" t="str">
        <f t="shared" ref="A4738:A4801" si="148">IF(D4738="","",LEFT(D4738,FIND("♦",D4738)-1))</f>
        <v/>
      </c>
      <c r="B4738" t="str">
        <f t="shared" ref="B4738:B4801" si="149">IF(D4738="","",MID(D4738,FIND("♦",D4738)+1,999))</f>
        <v/>
      </c>
      <c r="C4738" t="str">
        <f>IF(D4738="","",IF(COUNTIF($D$2:D4738,D4738)&gt;1,"",SUMIFS(tbl_input[필요수량],tbl_input[집계키_청],D4738)))</f>
        <v/>
      </c>
      <c r="D4738" t="str">
        <f>IFERROR(INDEX(tbl_input[집계키_청],ROW()-1),"")</f>
        <v/>
      </c>
    </row>
    <row r="4739" spans="1:4" x14ac:dyDescent="0.4">
      <c r="A4739" t="str">
        <f t="shared" si="148"/>
        <v/>
      </c>
      <c r="B4739" t="str">
        <f t="shared" si="149"/>
        <v/>
      </c>
      <c r="C4739" t="str">
        <f>IF(D4739="","",IF(COUNTIF($D$2:D4739,D4739)&gt;1,"",SUMIFS(tbl_input[필요수량],tbl_input[집계키_청],D4739)))</f>
        <v/>
      </c>
      <c r="D4739" t="str">
        <f>IFERROR(INDEX(tbl_input[집계키_청],ROW()-1),"")</f>
        <v/>
      </c>
    </row>
    <row r="4740" spans="1:4" x14ac:dyDescent="0.4">
      <c r="A4740" t="str">
        <f t="shared" si="148"/>
        <v/>
      </c>
      <c r="B4740" t="str">
        <f t="shared" si="149"/>
        <v/>
      </c>
      <c r="C4740" t="str">
        <f>IF(D4740="","",IF(COUNTIF($D$2:D4740,D4740)&gt;1,"",SUMIFS(tbl_input[필요수량],tbl_input[집계키_청],D4740)))</f>
        <v/>
      </c>
      <c r="D4740" t="str">
        <f>IFERROR(INDEX(tbl_input[집계키_청],ROW()-1),"")</f>
        <v/>
      </c>
    </row>
    <row r="4741" spans="1:4" x14ac:dyDescent="0.4">
      <c r="A4741" t="str">
        <f t="shared" si="148"/>
        <v/>
      </c>
      <c r="B4741" t="str">
        <f t="shared" si="149"/>
        <v/>
      </c>
      <c r="C4741" t="str">
        <f>IF(D4741="","",IF(COUNTIF($D$2:D4741,D4741)&gt;1,"",SUMIFS(tbl_input[필요수량],tbl_input[집계키_청],D4741)))</f>
        <v/>
      </c>
      <c r="D4741" t="str">
        <f>IFERROR(INDEX(tbl_input[집계키_청],ROW()-1),"")</f>
        <v/>
      </c>
    </row>
    <row r="4742" spans="1:4" x14ac:dyDescent="0.4">
      <c r="A4742" t="str">
        <f t="shared" si="148"/>
        <v/>
      </c>
      <c r="B4742" t="str">
        <f t="shared" si="149"/>
        <v/>
      </c>
      <c r="C4742" t="str">
        <f>IF(D4742="","",IF(COUNTIF($D$2:D4742,D4742)&gt;1,"",SUMIFS(tbl_input[필요수량],tbl_input[집계키_청],D4742)))</f>
        <v/>
      </c>
      <c r="D4742" t="str">
        <f>IFERROR(INDEX(tbl_input[집계키_청],ROW()-1),"")</f>
        <v/>
      </c>
    </row>
    <row r="4743" spans="1:4" x14ac:dyDescent="0.4">
      <c r="A4743" t="str">
        <f t="shared" si="148"/>
        <v/>
      </c>
      <c r="B4743" t="str">
        <f t="shared" si="149"/>
        <v/>
      </c>
      <c r="C4743" t="str">
        <f>IF(D4743="","",IF(COUNTIF($D$2:D4743,D4743)&gt;1,"",SUMIFS(tbl_input[필요수량],tbl_input[집계키_청],D4743)))</f>
        <v/>
      </c>
      <c r="D4743" t="str">
        <f>IFERROR(INDEX(tbl_input[집계키_청],ROW()-1),"")</f>
        <v/>
      </c>
    </row>
    <row r="4744" spans="1:4" x14ac:dyDescent="0.4">
      <c r="A4744" t="str">
        <f t="shared" si="148"/>
        <v/>
      </c>
      <c r="B4744" t="str">
        <f t="shared" si="149"/>
        <v/>
      </c>
      <c r="C4744" t="str">
        <f>IF(D4744="","",IF(COUNTIF($D$2:D4744,D4744)&gt;1,"",SUMIFS(tbl_input[필요수량],tbl_input[집계키_청],D4744)))</f>
        <v/>
      </c>
      <c r="D4744" t="str">
        <f>IFERROR(INDEX(tbl_input[집계키_청],ROW()-1),"")</f>
        <v/>
      </c>
    </row>
    <row r="4745" spans="1:4" x14ac:dyDescent="0.4">
      <c r="A4745" t="str">
        <f t="shared" si="148"/>
        <v/>
      </c>
      <c r="B4745" t="str">
        <f t="shared" si="149"/>
        <v/>
      </c>
      <c r="C4745" t="str">
        <f>IF(D4745="","",IF(COUNTIF($D$2:D4745,D4745)&gt;1,"",SUMIFS(tbl_input[필요수량],tbl_input[집계키_청],D4745)))</f>
        <v/>
      </c>
      <c r="D4745" t="str">
        <f>IFERROR(INDEX(tbl_input[집계키_청],ROW()-1),"")</f>
        <v/>
      </c>
    </row>
    <row r="4746" spans="1:4" x14ac:dyDescent="0.4">
      <c r="A4746" t="str">
        <f t="shared" si="148"/>
        <v/>
      </c>
      <c r="B4746" t="str">
        <f t="shared" si="149"/>
        <v/>
      </c>
      <c r="C4746" t="str">
        <f>IF(D4746="","",IF(COUNTIF($D$2:D4746,D4746)&gt;1,"",SUMIFS(tbl_input[필요수량],tbl_input[집계키_청],D4746)))</f>
        <v/>
      </c>
      <c r="D4746" t="str">
        <f>IFERROR(INDEX(tbl_input[집계키_청],ROW()-1),"")</f>
        <v/>
      </c>
    </row>
    <row r="4747" spans="1:4" x14ac:dyDescent="0.4">
      <c r="A4747" t="str">
        <f t="shared" si="148"/>
        <v/>
      </c>
      <c r="B4747" t="str">
        <f t="shared" si="149"/>
        <v/>
      </c>
      <c r="C4747" t="str">
        <f>IF(D4747="","",IF(COUNTIF($D$2:D4747,D4747)&gt;1,"",SUMIFS(tbl_input[필요수량],tbl_input[집계키_청],D4747)))</f>
        <v/>
      </c>
      <c r="D4747" t="str">
        <f>IFERROR(INDEX(tbl_input[집계키_청],ROW()-1),"")</f>
        <v/>
      </c>
    </row>
    <row r="4748" spans="1:4" x14ac:dyDescent="0.4">
      <c r="A4748" t="str">
        <f t="shared" si="148"/>
        <v/>
      </c>
      <c r="B4748" t="str">
        <f t="shared" si="149"/>
        <v/>
      </c>
      <c r="C4748" t="str">
        <f>IF(D4748="","",IF(COUNTIF($D$2:D4748,D4748)&gt;1,"",SUMIFS(tbl_input[필요수량],tbl_input[집계키_청],D4748)))</f>
        <v/>
      </c>
      <c r="D4748" t="str">
        <f>IFERROR(INDEX(tbl_input[집계키_청],ROW()-1),"")</f>
        <v/>
      </c>
    </row>
    <row r="4749" spans="1:4" x14ac:dyDescent="0.4">
      <c r="A4749" t="str">
        <f t="shared" si="148"/>
        <v/>
      </c>
      <c r="B4749" t="str">
        <f t="shared" si="149"/>
        <v/>
      </c>
      <c r="C4749" t="str">
        <f>IF(D4749="","",IF(COUNTIF($D$2:D4749,D4749)&gt;1,"",SUMIFS(tbl_input[필요수량],tbl_input[집계키_청],D4749)))</f>
        <v/>
      </c>
      <c r="D4749" t="str">
        <f>IFERROR(INDEX(tbl_input[집계키_청],ROW()-1),"")</f>
        <v/>
      </c>
    </row>
    <row r="4750" spans="1:4" x14ac:dyDescent="0.4">
      <c r="A4750" t="str">
        <f t="shared" si="148"/>
        <v/>
      </c>
      <c r="B4750" t="str">
        <f t="shared" si="149"/>
        <v/>
      </c>
      <c r="C4750" t="str">
        <f>IF(D4750="","",IF(COUNTIF($D$2:D4750,D4750)&gt;1,"",SUMIFS(tbl_input[필요수량],tbl_input[집계키_청],D4750)))</f>
        <v/>
      </c>
      <c r="D4750" t="str">
        <f>IFERROR(INDEX(tbl_input[집계키_청],ROW()-1),"")</f>
        <v/>
      </c>
    </row>
    <row r="4751" spans="1:4" x14ac:dyDescent="0.4">
      <c r="A4751" t="str">
        <f t="shared" si="148"/>
        <v/>
      </c>
      <c r="B4751" t="str">
        <f t="shared" si="149"/>
        <v/>
      </c>
      <c r="C4751" t="str">
        <f>IF(D4751="","",IF(COUNTIF($D$2:D4751,D4751)&gt;1,"",SUMIFS(tbl_input[필요수량],tbl_input[집계키_청],D4751)))</f>
        <v/>
      </c>
      <c r="D4751" t="str">
        <f>IFERROR(INDEX(tbl_input[집계키_청],ROW()-1),"")</f>
        <v/>
      </c>
    </row>
    <row r="4752" spans="1:4" x14ac:dyDescent="0.4">
      <c r="A4752" t="str">
        <f t="shared" si="148"/>
        <v/>
      </c>
      <c r="B4752" t="str">
        <f t="shared" si="149"/>
        <v/>
      </c>
      <c r="C4752" t="str">
        <f>IF(D4752="","",IF(COUNTIF($D$2:D4752,D4752)&gt;1,"",SUMIFS(tbl_input[필요수량],tbl_input[집계키_청],D4752)))</f>
        <v/>
      </c>
      <c r="D4752" t="str">
        <f>IFERROR(INDEX(tbl_input[집계키_청],ROW()-1),"")</f>
        <v/>
      </c>
    </row>
    <row r="4753" spans="1:4" x14ac:dyDescent="0.4">
      <c r="A4753" t="str">
        <f t="shared" si="148"/>
        <v/>
      </c>
      <c r="B4753" t="str">
        <f t="shared" si="149"/>
        <v/>
      </c>
      <c r="C4753" t="str">
        <f>IF(D4753="","",IF(COUNTIF($D$2:D4753,D4753)&gt;1,"",SUMIFS(tbl_input[필요수량],tbl_input[집계키_청],D4753)))</f>
        <v/>
      </c>
      <c r="D4753" t="str">
        <f>IFERROR(INDEX(tbl_input[집계키_청],ROW()-1),"")</f>
        <v/>
      </c>
    </row>
    <row r="4754" spans="1:4" x14ac:dyDescent="0.4">
      <c r="A4754" t="str">
        <f t="shared" si="148"/>
        <v/>
      </c>
      <c r="B4754" t="str">
        <f t="shared" si="149"/>
        <v/>
      </c>
      <c r="C4754" t="str">
        <f>IF(D4754="","",IF(COUNTIF($D$2:D4754,D4754)&gt;1,"",SUMIFS(tbl_input[필요수량],tbl_input[집계키_청],D4754)))</f>
        <v/>
      </c>
      <c r="D4754" t="str">
        <f>IFERROR(INDEX(tbl_input[집계키_청],ROW()-1),"")</f>
        <v/>
      </c>
    </row>
    <row r="4755" spans="1:4" x14ac:dyDescent="0.4">
      <c r="A4755" t="str">
        <f t="shared" si="148"/>
        <v/>
      </c>
      <c r="B4755" t="str">
        <f t="shared" si="149"/>
        <v/>
      </c>
      <c r="C4755" t="str">
        <f>IF(D4755="","",IF(COUNTIF($D$2:D4755,D4755)&gt;1,"",SUMIFS(tbl_input[필요수량],tbl_input[집계키_청],D4755)))</f>
        <v/>
      </c>
      <c r="D4755" t="str">
        <f>IFERROR(INDEX(tbl_input[집계키_청],ROW()-1),"")</f>
        <v/>
      </c>
    </row>
    <row r="4756" spans="1:4" x14ac:dyDescent="0.4">
      <c r="A4756" t="str">
        <f t="shared" si="148"/>
        <v/>
      </c>
      <c r="B4756" t="str">
        <f t="shared" si="149"/>
        <v/>
      </c>
      <c r="C4756" t="str">
        <f>IF(D4756="","",IF(COUNTIF($D$2:D4756,D4756)&gt;1,"",SUMIFS(tbl_input[필요수량],tbl_input[집계키_청],D4756)))</f>
        <v/>
      </c>
      <c r="D4756" t="str">
        <f>IFERROR(INDEX(tbl_input[집계키_청],ROW()-1),"")</f>
        <v/>
      </c>
    </row>
    <row r="4757" spans="1:4" x14ac:dyDescent="0.4">
      <c r="A4757" t="str">
        <f t="shared" si="148"/>
        <v/>
      </c>
      <c r="B4757" t="str">
        <f t="shared" si="149"/>
        <v/>
      </c>
      <c r="C4757" t="str">
        <f>IF(D4757="","",IF(COUNTIF($D$2:D4757,D4757)&gt;1,"",SUMIFS(tbl_input[필요수량],tbl_input[집계키_청],D4757)))</f>
        <v/>
      </c>
      <c r="D4757" t="str">
        <f>IFERROR(INDEX(tbl_input[집계키_청],ROW()-1),"")</f>
        <v/>
      </c>
    </row>
    <row r="4758" spans="1:4" x14ac:dyDescent="0.4">
      <c r="A4758" t="str">
        <f t="shared" si="148"/>
        <v/>
      </c>
      <c r="B4758" t="str">
        <f t="shared" si="149"/>
        <v/>
      </c>
      <c r="C4758" t="str">
        <f>IF(D4758="","",IF(COUNTIF($D$2:D4758,D4758)&gt;1,"",SUMIFS(tbl_input[필요수량],tbl_input[집계키_청],D4758)))</f>
        <v/>
      </c>
      <c r="D4758" t="str">
        <f>IFERROR(INDEX(tbl_input[집계키_청],ROW()-1),"")</f>
        <v/>
      </c>
    </row>
    <row r="4759" spans="1:4" x14ac:dyDescent="0.4">
      <c r="A4759" t="str">
        <f t="shared" si="148"/>
        <v/>
      </c>
      <c r="B4759" t="str">
        <f t="shared" si="149"/>
        <v/>
      </c>
      <c r="C4759" t="str">
        <f>IF(D4759="","",IF(COUNTIF($D$2:D4759,D4759)&gt;1,"",SUMIFS(tbl_input[필요수량],tbl_input[집계키_청],D4759)))</f>
        <v/>
      </c>
      <c r="D4759" t="str">
        <f>IFERROR(INDEX(tbl_input[집계키_청],ROW()-1),"")</f>
        <v/>
      </c>
    </row>
    <row r="4760" spans="1:4" x14ac:dyDescent="0.4">
      <c r="A4760" t="str">
        <f t="shared" si="148"/>
        <v/>
      </c>
      <c r="B4760" t="str">
        <f t="shared" si="149"/>
        <v/>
      </c>
      <c r="C4760" t="str">
        <f>IF(D4760="","",IF(COUNTIF($D$2:D4760,D4760)&gt;1,"",SUMIFS(tbl_input[필요수량],tbl_input[집계키_청],D4760)))</f>
        <v/>
      </c>
      <c r="D4760" t="str">
        <f>IFERROR(INDEX(tbl_input[집계키_청],ROW()-1),"")</f>
        <v/>
      </c>
    </row>
    <row r="4761" spans="1:4" x14ac:dyDescent="0.4">
      <c r="A4761" t="str">
        <f t="shared" si="148"/>
        <v/>
      </c>
      <c r="B4761" t="str">
        <f t="shared" si="149"/>
        <v/>
      </c>
      <c r="C4761" t="str">
        <f>IF(D4761="","",IF(COUNTIF($D$2:D4761,D4761)&gt;1,"",SUMIFS(tbl_input[필요수량],tbl_input[집계키_청],D4761)))</f>
        <v/>
      </c>
      <c r="D4761" t="str">
        <f>IFERROR(INDEX(tbl_input[집계키_청],ROW()-1),"")</f>
        <v/>
      </c>
    </row>
    <row r="4762" spans="1:4" x14ac:dyDescent="0.4">
      <c r="A4762" t="str">
        <f t="shared" si="148"/>
        <v/>
      </c>
      <c r="B4762" t="str">
        <f t="shared" si="149"/>
        <v/>
      </c>
      <c r="C4762" t="str">
        <f>IF(D4762="","",IF(COUNTIF($D$2:D4762,D4762)&gt;1,"",SUMIFS(tbl_input[필요수량],tbl_input[집계키_청],D4762)))</f>
        <v/>
      </c>
      <c r="D4762" t="str">
        <f>IFERROR(INDEX(tbl_input[집계키_청],ROW()-1),"")</f>
        <v/>
      </c>
    </row>
    <row r="4763" spans="1:4" x14ac:dyDescent="0.4">
      <c r="A4763" t="str">
        <f t="shared" si="148"/>
        <v/>
      </c>
      <c r="B4763" t="str">
        <f t="shared" si="149"/>
        <v/>
      </c>
      <c r="C4763" t="str">
        <f>IF(D4763="","",IF(COUNTIF($D$2:D4763,D4763)&gt;1,"",SUMIFS(tbl_input[필요수량],tbl_input[집계키_청],D4763)))</f>
        <v/>
      </c>
      <c r="D4763" t="str">
        <f>IFERROR(INDEX(tbl_input[집계키_청],ROW()-1),"")</f>
        <v/>
      </c>
    </row>
    <row r="4764" spans="1:4" x14ac:dyDescent="0.4">
      <c r="A4764" t="str">
        <f t="shared" si="148"/>
        <v/>
      </c>
      <c r="B4764" t="str">
        <f t="shared" si="149"/>
        <v/>
      </c>
      <c r="C4764" t="str">
        <f>IF(D4764="","",IF(COUNTIF($D$2:D4764,D4764)&gt;1,"",SUMIFS(tbl_input[필요수량],tbl_input[집계키_청],D4764)))</f>
        <v/>
      </c>
      <c r="D4764" t="str">
        <f>IFERROR(INDEX(tbl_input[집계키_청],ROW()-1),"")</f>
        <v/>
      </c>
    </row>
    <row r="4765" spans="1:4" x14ac:dyDescent="0.4">
      <c r="A4765" t="str">
        <f t="shared" si="148"/>
        <v/>
      </c>
      <c r="B4765" t="str">
        <f t="shared" si="149"/>
        <v/>
      </c>
      <c r="C4765" t="str">
        <f>IF(D4765="","",IF(COUNTIF($D$2:D4765,D4765)&gt;1,"",SUMIFS(tbl_input[필요수량],tbl_input[집계키_청],D4765)))</f>
        <v/>
      </c>
      <c r="D4765" t="str">
        <f>IFERROR(INDEX(tbl_input[집계키_청],ROW()-1),"")</f>
        <v/>
      </c>
    </row>
    <row r="4766" spans="1:4" x14ac:dyDescent="0.4">
      <c r="A4766" t="str">
        <f t="shared" si="148"/>
        <v/>
      </c>
      <c r="B4766" t="str">
        <f t="shared" si="149"/>
        <v/>
      </c>
      <c r="C4766" t="str">
        <f>IF(D4766="","",IF(COUNTIF($D$2:D4766,D4766)&gt;1,"",SUMIFS(tbl_input[필요수량],tbl_input[집계키_청],D4766)))</f>
        <v/>
      </c>
      <c r="D4766" t="str">
        <f>IFERROR(INDEX(tbl_input[집계키_청],ROW()-1),"")</f>
        <v/>
      </c>
    </row>
    <row r="4767" spans="1:4" x14ac:dyDescent="0.4">
      <c r="A4767" t="str">
        <f t="shared" si="148"/>
        <v/>
      </c>
      <c r="B4767" t="str">
        <f t="shared" si="149"/>
        <v/>
      </c>
      <c r="C4767" t="str">
        <f>IF(D4767="","",IF(COUNTIF($D$2:D4767,D4767)&gt;1,"",SUMIFS(tbl_input[필요수량],tbl_input[집계키_청],D4767)))</f>
        <v/>
      </c>
      <c r="D4767" t="str">
        <f>IFERROR(INDEX(tbl_input[집계키_청],ROW()-1),"")</f>
        <v/>
      </c>
    </row>
    <row r="4768" spans="1:4" x14ac:dyDescent="0.4">
      <c r="A4768" t="str">
        <f t="shared" si="148"/>
        <v/>
      </c>
      <c r="B4768" t="str">
        <f t="shared" si="149"/>
        <v/>
      </c>
      <c r="C4768" t="str">
        <f>IF(D4768="","",IF(COUNTIF($D$2:D4768,D4768)&gt;1,"",SUMIFS(tbl_input[필요수량],tbl_input[집계키_청],D4768)))</f>
        <v/>
      </c>
      <c r="D4768" t="str">
        <f>IFERROR(INDEX(tbl_input[집계키_청],ROW()-1),"")</f>
        <v/>
      </c>
    </row>
    <row r="4769" spans="1:4" x14ac:dyDescent="0.4">
      <c r="A4769" t="str">
        <f t="shared" si="148"/>
        <v/>
      </c>
      <c r="B4769" t="str">
        <f t="shared" si="149"/>
        <v/>
      </c>
      <c r="C4769" t="str">
        <f>IF(D4769="","",IF(COUNTIF($D$2:D4769,D4769)&gt;1,"",SUMIFS(tbl_input[필요수량],tbl_input[집계키_청],D4769)))</f>
        <v/>
      </c>
      <c r="D4769" t="str">
        <f>IFERROR(INDEX(tbl_input[집계키_청],ROW()-1),"")</f>
        <v/>
      </c>
    </row>
    <row r="4770" spans="1:4" x14ac:dyDescent="0.4">
      <c r="A4770" t="str">
        <f t="shared" si="148"/>
        <v/>
      </c>
      <c r="B4770" t="str">
        <f t="shared" si="149"/>
        <v/>
      </c>
      <c r="C4770" t="str">
        <f>IF(D4770="","",IF(COUNTIF($D$2:D4770,D4770)&gt;1,"",SUMIFS(tbl_input[필요수량],tbl_input[집계키_청],D4770)))</f>
        <v/>
      </c>
      <c r="D4770" t="str">
        <f>IFERROR(INDEX(tbl_input[집계키_청],ROW()-1),"")</f>
        <v/>
      </c>
    </row>
    <row r="4771" spans="1:4" x14ac:dyDescent="0.4">
      <c r="A4771" t="str">
        <f t="shared" si="148"/>
        <v/>
      </c>
      <c r="B4771" t="str">
        <f t="shared" si="149"/>
        <v/>
      </c>
      <c r="C4771" t="str">
        <f>IF(D4771="","",IF(COUNTIF($D$2:D4771,D4771)&gt;1,"",SUMIFS(tbl_input[필요수량],tbl_input[집계키_청],D4771)))</f>
        <v/>
      </c>
      <c r="D4771" t="str">
        <f>IFERROR(INDEX(tbl_input[집계키_청],ROW()-1),"")</f>
        <v/>
      </c>
    </row>
    <row r="4772" spans="1:4" x14ac:dyDescent="0.4">
      <c r="A4772" t="str">
        <f t="shared" si="148"/>
        <v/>
      </c>
      <c r="B4772" t="str">
        <f t="shared" si="149"/>
        <v/>
      </c>
      <c r="C4772" t="str">
        <f>IF(D4772="","",IF(COUNTIF($D$2:D4772,D4772)&gt;1,"",SUMIFS(tbl_input[필요수량],tbl_input[집계키_청],D4772)))</f>
        <v/>
      </c>
      <c r="D4772" t="str">
        <f>IFERROR(INDEX(tbl_input[집계키_청],ROW()-1),"")</f>
        <v/>
      </c>
    </row>
    <row r="4773" spans="1:4" x14ac:dyDescent="0.4">
      <c r="A4773" t="str">
        <f t="shared" si="148"/>
        <v/>
      </c>
      <c r="B4773" t="str">
        <f t="shared" si="149"/>
        <v/>
      </c>
      <c r="C4773" t="str">
        <f>IF(D4773="","",IF(COUNTIF($D$2:D4773,D4773)&gt;1,"",SUMIFS(tbl_input[필요수량],tbl_input[집계키_청],D4773)))</f>
        <v/>
      </c>
      <c r="D4773" t="str">
        <f>IFERROR(INDEX(tbl_input[집계키_청],ROW()-1),"")</f>
        <v/>
      </c>
    </row>
    <row r="4774" spans="1:4" x14ac:dyDescent="0.4">
      <c r="A4774" t="str">
        <f t="shared" si="148"/>
        <v/>
      </c>
      <c r="B4774" t="str">
        <f t="shared" si="149"/>
        <v/>
      </c>
      <c r="C4774" t="str">
        <f>IF(D4774="","",IF(COUNTIF($D$2:D4774,D4774)&gt;1,"",SUMIFS(tbl_input[필요수량],tbl_input[집계키_청],D4774)))</f>
        <v/>
      </c>
      <c r="D4774" t="str">
        <f>IFERROR(INDEX(tbl_input[집계키_청],ROW()-1),"")</f>
        <v/>
      </c>
    </row>
    <row r="4775" spans="1:4" x14ac:dyDescent="0.4">
      <c r="A4775" t="str">
        <f t="shared" si="148"/>
        <v/>
      </c>
      <c r="B4775" t="str">
        <f t="shared" si="149"/>
        <v/>
      </c>
      <c r="C4775" t="str">
        <f>IF(D4775="","",IF(COUNTIF($D$2:D4775,D4775)&gt;1,"",SUMIFS(tbl_input[필요수량],tbl_input[집계키_청],D4775)))</f>
        <v/>
      </c>
      <c r="D4775" t="str">
        <f>IFERROR(INDEX(tbl_input[집계키_청],ROW()-1),"")</f>
        <v/>
      </c>
    </row>
    <row r="4776" spans="1:4" x14ac:dyDescent="0.4">
      <c r="A4776" t="str">
        <f t="shared" si="148"/>
        <v/>
      </c>
      <c r="B4776" t="str">
        <f t="shared" si="149"/>
        <v/>
      </c>
      <c r="C4776" t="str">
        <f>IF(D4776="","",IF(COUNTIF($D$2:D4776,D4776)&gt;1,"",SUMIFS(tbl_input[필요수량],tbl_input[집계키_청],D4776)))</f>
        <v/>
      </c>
      <c r="D4776" t="str">
        <f>IFERROR(INDEX(tbl_input[집계키_청],ROW()-1),"")</f>
        <v/>
      </c>
    </row>
    <row r="4777" spans="1:4" x14ac:dyDescent="0.4">
      <c r="A4777" t="str">
        <f t="shared" si="148"/>
        <v/>
      </c>
      <c r="B4777" t="str">
        <f t="shared" si="149"/>
        <v/>
      </c>
      <c r="C4777" t="str">
        <f>IF(D4777="","",IF(COUNTIF($D$2:D4777,D4777)&gt;1,"",SUMIFS(tbl_input[필요수량],tbl_input[집계키_청],D4777)))</f>
        <v/>
      </c>
      <c r="D4777" t="str">
        <f>IFERROR(INDEX(tbl_input[집계키_청],ROW()-1),"")</f>
        <v/>
      </c>
    </row>
    <row r="4778" spans="1:4" x14ac:dyDescent="0.4">
      <c r="A4778" t="str">
        <f t="shared" si="148"/>
        <v/>
      </c>
      <c r="B4778" t="str">
        <f t="shared" si="149"/>
        <v/>
      </c>
      <c r="C4778" t="str">
        <f>IF(D4778="","",IF(COUNTIF($D$2:D4778,D4778)&gt;1,"",SUMIFS(tbl_input[필요수량],tbl_input[집계키_청],D4778)))</f>
        <v/>
      </c>
      <c r="D4778" t="str">
        <f>IFERROR(INDEX(tbl_input[집계키_청],ROW()-1),"")</f>
        <v/>
      </c>
    </row>
    <row r="4779" spans="1:4" x14ac:dyDescent="0.4">
      <c r="A4779" t="str">
        <f t="shared" si="148"/>
        <v/>
      </c>
      <c r="B4779" t="str">
        <f t="shared" si="149"/>
        <v/>
      </c>
      <c r="C4779" t="str">
        <f>IF(D4779="","",IF(COUNTIF($D$2:D4779,D4779)&gt;1,"",SUMIFS(tbl_input[필요수량],tbl_input[집계키_청],D4779)))</f>
        <v/>
      </c>
      <c r="D4779" t="str">
        <f>IFERROR(INDEX(tbl_input[집계키_청],ROW()-1),"")</f>
        <v/>
      </c>
    </row>
    <row r="4780" spans="1:4" x14ac:dyDescent="0.4">
      <c r="A4780" t="str">
        <f t="shared" si="148"/>
        <v/>
      </c>
      <c r="B4780" t="str">
        <f t="shared" si="149"/>
        <v/>
      </c>
      <c r="C4780" t="str">
        <f>IF(D4780="","",IF(COUNTIF($D$2:D4780,D4780)&gt;1,"",SUMIFS(tbl_input[필요수량],tbl_input[집계키_청],D4780)))</f>
        <v/>
      </c>
      <c r="D4780" t="str">
        <f>IFERROR(INDEX(tbl_input[집계키_청],ROW()-1),"")</f>
        <v/>
      </c>
    </row>
    <row r="4781" spans="1:4" x14ac:dyDescent="0.4">
      <c r="A4781" t="str">
        <f t="shared" si="148"/>
        <v/>
      </c>
      <c r="B4781" t="str">
        <f t="shared" si="149"/>
        <v/>
      </c>
      <c r="C4781" t="str">
        <f>IF(D4781="","",IF(COUNTIF($D$2:D4781,D4781)&gt;1,"",SUMIFS(tbl_input[필요수량],tbl_input[집계키_청],D4781)))</f>
        <v/>
      </c>
      <c r="D4781" t="str">
        <f>IFERROR(INDEX(tbl_input[집계키_청],ROW()-1),"")</f>
        <v/>
      </c>
    </row>
    <row r="4782" spans="1:4" x14ac:dyDescent="0.4">
      <c r="A4782" t="str">
        <f t="shared" si="148"/>
        <v/>
      </c>
      <c r="B4782" t="str">
        <f t="shared" si="149"/>
        <v/>
      </c>
      <c r="C4782" t="str">
        <f>IF(D4782="","",IF(COUNTIF($D$2:D4782,D4782)&gt;1,"",SUMIFS(tbl_input[필요수량],tbl_input[집계키_청],D4782)))</f>
        <v/>
      </c>
      <c r="D4782" t="str">
        <f>IFERROR(INDEX(tbl_input[집계키_청],ROW()-1),"")</f>
        <v/>
      </c>
    </row>
    <row r="4783" spans="1:4" x14ac:dyDescent="0.4">
      <c r="A4783" t="str">
        <f t="shared" si="148"/>
        <v/>
      </c>
      <c r="B4783" t="str">
        <f t="shared" si="149"/>
        <v/>
      </c>
      <c r="C4783" t="str">
        <f>IF(D4783="","",IF(COUNTIF($D$2:D4783,D4783)&gt;1,"",SUMIFS(tbl_input[필요수량],tbl_input[집계키_청],D4783)))</f>
        <v/>
      </c>
      <c r="D4783" t="str">
        <f>IFERROR(INDEX(tbl_input[집계키_청],ROW()-1),"")</f>
        <v/>
      </c>
    </row>
    <row r="4784" spans="1:4" x14ac:dyDescent="0.4">
      <c r="A4784" t="str">
        <f t="shared" si="148"/>
        <v/>
      </c>
      <c r="B4784" t="str">
        <f t="shared" si="149"/>
        <v/>
      </c>
      <c r="C4784" t="str">
        <f>IF(D4784="","",IF(COUNTIF($D$2:D4784,D4784)&gt;1,"",SUMIFS(tbl_input[필요수량],tbl_input[집계키_청],D4784)))</f>
        <v/>
      </c>
      <c r="D4784" t="str">
        <f>IFERROR(INDEX(tbl_input[집계키_청],ROW()-1),"")</f>
        <v/>
      </c>
    </row>
    <row r="4785" spans="1:4" x14ac:dyDescent="0.4">
      <c r="A4785" t="str">
        <f t="shared" si="148"/>
        <v/>
      </c>
      <c r="B4785" t="str">
        <f t="shared" si="149"/>
        <v/>
      </c>
      <c r="C4785" t="str">
        <f>IF(D4785="","",IF(COUNTIF($D$2:D4785,D4785)&gt;1,"",SUMIFS(tbl_input[필요수량],tbl_input[집계키_청],D4785)))</f>
        <v/>
      </c>
      <c r="D4785" t="str">
        <f>IFERROR(INDEX(tbl_input[집계키_청],ROW()-1),"")</f>
        <v/>
      </c>
    </row>
    <row r="4786" spans="1:4" x14ac:dyDescent="0.4">
      <c r="A4786" t="str">
        <f t="shared" si="148"/>
        <v/>
      </c>
      <c r="B4786" t="str">
        <f t="shared" si="149"/>
        <v/>
      </c>
      <c r="C4786" t="str">
        <f>IF(D4786="","",IF(COUNTIF($D$2:D4786,D4786)&gt;1,"",SUMIFS(tbl_input[필요수량],tbl_input[집계키_청],D4786)))</f>
        <v/>
      </c>
      <c r="D4786" t="str">
        <f>IFERROR(INDEX(tbl_input[집계키_청],ROW()-1),"")</f>
        <v/>
      </c>
    </row>
    <row r="4787" spans="1:4" x14ac:dyDescent="0.4">
      <c r="A4787" t="str">
        <f t="shared" si="148"/>
        <v/>
      </c>
      <c r="B4787" t="str">
        <f t="shared" si="149"/>
        <v/>
      </c>
      <c r="C4787" t="str">
        <f>IF(D4787="","",IF(COUNTIF($D$2:D4787,D4787)&gt;1,"",SUMIFS(tbl_input[필요수량],tbl_input[집계키_청],D4787)))</f>
        <v/>
      </c>
      <c r="D4787" t="str">
        <f>IFERROR(INDEX(tbl_input[집계키_청],ROW()-1),"")</f>
        <v/>
      </c>
    </row>
    <row r="4788" spans="1:4" x14ac:dyDescent="0.4">
      <c r="A4788" t="str">
        <f t="shared" si="148"/>
        <v/>
      </c>
      <c r="B4788" t="str">
        <f t="shared" si="149"/>
        <v/>
      </c>
      <c r="C4788" t="str">
        <f>IF(D4788="","",IF(COUNTIF($D$2:D4788,D4788)&gt;1,"",SUMIFS(tbl_input[필요수량],tbl_input[집계키_청],D4788)))</f>
        <v/>
      </c>
      <c r="D4788" t="str">
        <f>IFERROR(INDEX(tbl_input[집계키_청],ROW()-1),"")</f>
        <v/>
      </c>
    </row>
    <row r="4789" spans="1:4" x14ac:dyDescent="0.4">
      <c r="A4789" t="str">
        <f t="shared" si="148"/>
        <v/>
      </c>
      <c r="B4789" t="str">
        <f t="shared" si="149"/>
        <v/>
      </c>
      <c r="C4789" t="str">
        <f>IF(D4789="","",IF(COUNTIF($D$2:D4789,D4789)&gt;1,"",SUMIFS(tbl_input[필요수량],tbl_input[집계키_청],D4789)))</f>
        <v/>
      </c>
      <c r="D4789" t="str">
        <f>IFERROR(INDEX(tbl_input[집계키_청],ROW()-1),"")</f>
        <v/>
      </c>
    </row>
    <row r="4790" spans="1:4" x14ac:dyDescent="0.4">
      <c r="A4790" t="str">
        <f t="shared" si="148"/>
        <v/>
      </c>
      <c r="B4790" t="str">
        <f t="shared" si="149"/>
        <v/>
      </c>
      <c r="C4790" t="str">
        <f>IF(D4790="","",IF(COUNTIF($D$2:D4790,D4790)&gt;1,"",SUMIFS(tbl_input[필요수량],tbl_input[집계키_청],D4790)))</f>
        <v/>
      </c>
      <c r="D4790" t="str">
        <f>IFERROR(INDEX(tbl_input[집계키_청],ROW()-1),"")</f>
        <v/>
      </c>
    </row>
    <row r="4791" spans="1:4" x14ac:dyDescent="0.4">
      <c r="A4791" t="str">
        <f t="shared" si="148"/>
        <v/>
      </c>
      <c r="B4791" t="str">
        <f t="shared" si="149"/>
        <v/>
      </c>
      <c r="C4791" t="str">
        <f>IF(D4791="","",IF(COUNTIF($D$2:D4791,D4791)&gt;1,"",SUMIFS(tbl_input[필요수량],tbl_input[집계키_청],D4791)))</f>
        <v/>
      </c>
      <c r="D4791" t="str">
        <f>IFERROR(INDEX(tbl_input[집계키_청],ROW()-1),"")</f>
        <v/>
      </c>
    </row>
    <row r="4792" spans="1:4" x14ac:dyDescent="0.4">
      <c r="A4792" t="str">
        <f t="shared" si="148"/>
        <v/>
      </c>
      <c r="B4792" t="str">
        <f t="shared" si="149"/>
        <v/>
      </c>
      <c r="C4792" t="str">
        <f>IF(D4792="","",IF(COUNTIF($D$2:D4792,D4792)&gt;1,"",SUMIFS(tbl_input[필요수량],tbl_input[집계키_청],D4792)))</f>
        <v/>
      </c>
      <c r="D4792" t="str">
        <f>IFERROR(INDEX(tbl_input[집계키_청],ROW()-1),"")</f>
        <v/>
      </c>
    </row>
    <row r="4793" spans="1:4" x14ac:dyDescent="0.4">
      <c r="A4793" t="str">
        <f t="shared" si="148"/>
        <v/>
      </c>
      <c r="B4793" t="str">
        <f t="shared" si="149"/>
        <v/>
      </c>
      <c r="C4793" t="str">
        <f>IF(D4793="","",IF(COUNTIF($D$2:D4793,D4793)&gt;1,"",SUMIFS(tbl_input[필요수량],tbl_input[집계키_청],D4793)))</f>
        <v/>
      </c>
      <c r="D4793" t="str">
        <f>IFERROR(INDEX(tbl_input[집계키_청],ROW()-1),"")</f>
        <v/>
      </c>
    </row>
    <row r="4794" spans="1:4" x14ac:dyDescent="0.4">
      <c r="A4794" t="str">
        <f t="shared" si="148"/>
        <v/>
      </c>
      <c r="B4794" t="str">
        <f t="shared" si="149"/>
        <v/>
      </c>
      <c r="C4794" t="str">
        <f>IF(D4794="","",IF(COUNTIF($D$2:D4794,D4794)&gt;1,"",SUMIFS(tbl_input[필요수량],tbl_input[집계키_청],D4794)))</f>
        <v/>
      </c>
      <c r="D4794" t="str">
        <f>IFERROR(INDEX(tbl_input[집계키_청],ROW()-1),"")</f>
        <v/>
      </c>
    </row>
    <row r="4795" spans="1:4" x14ac:dyDescent="0.4">
      <c r="A4795" t="str">
        <f t="shared" si="148"/>
        <v/>
      </c>
      <c r="B4795" t="str">
        <f t="shared" si="149"/>
        <v/>
      </c>
      <c r="C4795" t="str">
        <f>IF(D4795="","",IF(COUNTIF($D$2:D4795,D4795)&gt;1,"",SUMIFS(tbl_input[필요수량],tbl_input[집계키_청],D4795)))</f>
        <v/>
      </c>
      <c r="D4795" t="str">
        <f>IFERROR(INDEX(tbl_input[집계키_청],ROW()-1),"")</f>
        <v/>
      </c>
    </row>
    <row r="4796" spans="1:4" x14ac:dyDescent="0.4">
      <c r="A4796" t="str">
        <f t="shared" si="148"/>
        <v/>
      </c>
      <c r="B4796" t="str">
        <f t="shared" si="149"/>
        <v/>
      </c>
      <c r="C4796" t="str">
        <f>IF(D4796="","",IF(COUNTIF($D$2:D4796,D4796)&gt;1,"",SUMIFS(tbl_input[필요수량],tbl_input[집계키_청],D4796)))</f>
        <v/>
      </c>
      <c r="D4796" t="str">
        <f>IFERROR(INDEX(tbl_input[집계키_청],ROW()-1),"")</f>
        <v/>
      </c>
    </row>
    <row r="4797" spans="1:4" x14ac:dyDescent="0.4">
      <c r="A4797" t="str">
        <f t="shared" si="148"/>
        <v/>
      </c>
      <c r="B4797" t="str">
        <f t="shared" si="149"/>
        <v/>
      </c>
      <c r="C4797" t="str">
        <f>IF(D4797="","",IF(COUNTIF($D$2:D4797,D4797)&gt;1,"",SUMIFS(tbl_input[필요수량],tbl_input[집계키_청],D4797)))</f>
        <v/>
      </c>
      <c r="D4797" t="str">
        <f>IFERROR(INDEX(tbl_input[집계키_청],ROW()-1),"")</f>
        <v/>
      </c>
    </row>
    <row r="4798" spans="1:4" x14ac:dyDescent="0.4">
      <c r="A4798" t="str">
        <f t="shared" si="148"/>
        <v/>
      </c>
      <c r="B4798" t="str">
        <f t="shared" si="149"/>
        <v/>
      </c>
      <c r="C4798" t="str">
        <f>IF(D4798="","",IF(COUNTIF($D$2:D4798,D4798)&gt;1,"",SUMIFS(tbl_input[필요수량],tbl_input[집계키_청],D4798)))</f>
        <v/>
      </c>
      <c r="D4798" t="str">
        <f>IFERROR(INDEX(tbl_input[집계키_청],ROW()-1),"")</f>
        <v/>
      </c>
    </row>
    <row r="4799" spans="1:4" x14ac:dyDescent="0.4">
      <c r="A4799" t="str">
        <f t="shared" si="148"/>
        <v/>
      </c>
      <c r="B4799" t="str">
        <f t="shared" si="149"/>
        <v/>
      </c>
      <c r="C4799" t="str">
        <f>IF(D4799="","",IF(COUNTIF($D$2:D4799,D4799)&gt;1,"",SUMIFS(tbl_input[필요수량],tbl_input[집계키_청],D4799)))</f>
        <v/>
      </c>
      <c r="D4799" t="str">
        <f>IFERROR(INDEX(tbl_input[집계키_청],ROW()-1),"")</f>
        <v/>
      </c>
    </row>
    <row r="4800" spans="1:4" x14ac:dyDescent="0.4">
      <c r="A4800" t="str">
        <f t="shared" si="148"/>
        <v/>
      </c>
      <c r="B4800" t="str">
        <f t="shared" si="149"/>
        <v/>
      </c>
      <c r="C4800" t="str">
        <f>IF(D4800="","",IF(COUNTIF($D$2:D4800,D4800)&gt;1,"",SUMIFS(tbl_input[필요수량],tbl_input[집계키_청],D4800)))</f>
        <v/>
      </c>
      <c r="D4800" t="str">
        <f>IFERROR(INDEX(tbl_input[집계키_청],ROW()-1),"")</f>
        <v/>
      </c>
    </row>
    <row r="4801" spans="1:4" x14ac:dyDescent="0.4">
      <c r="A4801" t="str">
        <f t="shared" si="148"/>
        <v/>
      </c>
      <c r="B4801" t="str">
        <f t="shared" si="149"/>
        <v/>
      </c>
      <c r="C4801" t="str">
        <f>IF(D4801="","",IF(COUNTIF($D$2:D4801,D4801)&gt;1,"",SUMIFS(tbl_input[필요수량],tbl_input[집계키_청],D4801)))</f>
        <v/>
      </c>
      <c r="D4801" t="str">
        <f>IFERROR(INDEX(tbl_input[집계키_청],ROW()-1),"")</f>
        <v/>
      </c>
    </row>
    <row r="4802" spans="1:4" x14ac:dyDescent="0.4">
      <c r="A4802" t="str">
        <f t="shared" ref="A4802:A4865" si="150">IF(D4802="","",LEFT(D4802,FIND("♦",D4802)-1))</f>
        <v/>
      </c>
      <c r="B4802" t="str">
        <f t="shared" ref="B4802:B4865" si="151">IF(D4802="","",MID(D4802,FIND("♦",D4802)+1,999))</f>
        <v/>
      </c>
      <c r="C4802" t="str">
        <f>IF(D4802="","",IF(COUNTIF($D$2:D4802,D4802)&gt;1,"",SUMIFS(tbl_input[필요수량],tbl_input[집계키_청],D4802)))</f>
        <v/>
      </c>
      <c r="D4802" t="str">
        <f>IFERROR(INDEX(tbl_input[집계키_청],ROW()-1),"")</f>
        <v/>
      </c>
    </row>
    <row r="4803" spans="1:4" x14ac:dyDescent="0.4">
      <c r="A4803" t="str">
        <f t="shared" si="150"/>
        <v/>
      </c>
      <c r="B4803" t="str">
        <f t="shared" si="151"/>
        <v/>
      </c>
      <c r="C4803" t="str">
        <f>IF(D4803="","",IF(COUNTIF($D$2:D4803,D4803)&gt;1,"",SUMIFS(tbl_input[필요수량],tbl_input[집계키_청],D4803)))</f>
        <v/>
      </c>
      <c r="D4803" t="str">
        <f>IFERROR(INDEX(tbl_input[집계키_청],ROW()-1),"")</f>
        <v/>
      </c>
    </row>
    <row r="4804" spans="1:4" x14ac:dyDescent="0.4">
      <c r="A4804" t="str">
        <f t="shared" si="150"/>
        <v/>
      </c>
      <c r="B4804" t="str">
        <f t="shared" si="151"/>
        <v/>
      </c>
      <c r="C4804" t="str">
        <f>IF(D4804="","",IF(COUNTIF($D$2:D4804,D4804)&gt;1,"",SUMIFS(tbl_input[필요수량],tbl_input[집계키_청],D4804)))</f>
        <v/>
      </c>
      <c r="D4804" t="str">
        <f>IFERROR(INDEX(tbl_input[집계키_청],ROW()-1),"")</f>
        <v/>
      </c>
    </row>
    <row r="4805" spans="1:4" x14ac:dyDescent="0.4">
      <c r="A4805" t="str">
        <f t="shared" si="150"/>
        <v/>
      </c>
      <c r="B4805" t="str">
        <f t="shared" si="151"/>
        <v/>
      </c>
      <c r="C4805" t="str">
        <f>IF(D4805="","",IF(COUNTIF($D$2:D4805,D4805)&gt;1,"",SUMIFS(tbl_input[필요수량],tbl_input[집계키_청],D4805)))</f>
        <v/>
      </c>
      <c r="D4805" t="str">
        <f>IFERROR(INDEX(tbl_input[집계키_청],ROW()-1),"")</f>
        <v/>
      </c>
    </row>
    <row r="4806" spans="1:4" x14ac:dyDescent="0.4">
      <c r="A4806" t="str">
        <f t="shared" si="150"/>
        <v/>
      </c>
      <c r="B4806" t="str">
        <f t="shared" si="151"/>
        <v/>
      </c>
      <c r="C4806" t="str">
        <f>IF(D4806="","",IF(COUNTIF($D$2:D4806,D4806)&gt;1,"",SUMIFS(tbl_input[필요수량],tbl_input[집계키_청],D4806)))</f>
        <v/>
      </c>
      <c r="D4806" t="str">
        <f>IFERROR(INDEX(tbl_input[집계키_청],ROW()-1),"")</f>
        <v/>
      </c>
    </row>
    <row r="4807" spans="1:4" x14ac:dyDescent="0.4">
      <c r="A4807" t="str">
        <f t="shared" si="150"/>
        <v/>
      </c>
      <c r="B4807" t="str">
        <f t="shared" si="151"/>
        <v/>
      </c>
      <c r="C4807" t="str">
        <f>IF(D4807="","",IF(COUNTIF($D$2:D4807,D4807)&gt;1,"",SUMIFS(tbl_input[필요수량],tbl_input[집계키_청],D4807)))</f>
        <v/>
      </c>
      <c r="D4807" t="str">
        <f>IFERROR(INDEX(tbl_input[집계키_청],ROW()-1),"")</f>
        <v/>
      </c>
    </row>
    <row r="4808" spans="1:4" x14ac:dyDescent="0.4">
      <c r="A4808" t="str">
        <f t="shared" si="150"/>
        <v/>
      </c>
      <c r="B4808" t="str">
        <f t="shared" si="151"/>
        <v/>
      </c>
      <c r="C4808" t="str">
        <f>IF(D4808="","",IF(COUNTIF($D$2:D4808,D4808)&gt;1,"",SUMIFS(tbl_input[필요수량],tbl_input[집계키_청],D4808)))</f>
        <v/>
      </c>
      <c r="D4808" t="str">
        <f>IFERROR(INDEX(tbl_input[집계키_청],ROW()-1),"")</f>
        <v/>
      </c>
    </row>
    <row r="4809" spans="1:4" x14ac:dyDescent="0.4">
      <c r="A4809" t="str">
        <f t="shared" si="150"/>
        <v/>
      </c>
      <c r="B4809" t="str">
        <f t="shared" si="151"/>
        <v/>
      </c>
      <c r="C4809" t="str">
        <f>IF(D4809="","",IF(COUNTIF($D$2:D4809,D4809)&gt;1,"",SUMIFS(tbl_input[필요수량],tbl_input[집계키_청],D4809)))</f>
        <v/>
      </c>
      <c r="D4809" t="str">
        <f>IFERROR(INDEX(tbl_input[집계키_청],ROW()-1),"")</f>
        <v/>
      </c>
    </row>
    <row r="4810" spans="1:4" x14ac:dyDescent="0.4">
      <c r="A4810" t="str">
        <f t="shared" si="150"/>
        <v/>
      </c>
      <c r="B4810" t="str">
        <f t="shared" si="151"/>
        <v/>
      </c>
      <c r="C4810" t="str">
        <f>IF(D4810="","",IF(COUNTIF($D$2:D4810,D4810)&gt;1,"",SUMIFS(tbl_input[필요수량],tbl_input[집계키_청],D4810)))</f>
        <v/>
      </c>
      <c r="D4810" t="str">
        <f>IFERROR(INDEX(tbl_input[집계키_청],ROW()-1),"")</f>
        <v/>
      </c>
    </row>
    <row r="4811" spans="1:4" x14ac:dyDescent="0.4">
      <c r="A4811" t="str">
        <f t="shared" si="150"/>
        <v/>
      </c>
      <c r="B4811" t="str">
        <f t="shared" si="151"/>
        <v/>
      </c>
      <c r="C4811" t="str">
        <f>IF(D4811="","",IF(COUNTIF($D$2:D4811,D4811)&gt;1,"",SUMIFS(tbl_input[필요수량],tbl_input[집계키_청],D4811)))</f>
        <v/>
      </c>
      <c r="D4811" t="str">
        <f>IFERROR(INDEX(tbl_input[집계키_청],ROW()-1),"")</f>
        <v/>
      </c>
    </row>
    <row r="4812" spans="1:4" x14ac:dyDescent="0.4">
      <c r="A4812" t="str">
        <f t="shared" si="150"/>
        <v/>
      </c>
      <c r="B4812" t="str">
        <f t="shared" si="151"/>
        <v/>
      </c>
      <c r="C4812" t="str">
        <f>IF(D4812="","",IF(COUNTIF($D$2:D4812,D4812)&gt;1,"",SUMIFS(tbl_input[필요수량],tbl_input[집계키_청],D4812)))</f>
        <v/>
      </c>
      <c r="D4812" t="str">
        <f>IFERROR(INDEX(tbl_input[집계키_청],ROW()-1),"")</f>
        <v/>
      </c>
    </row>
    <row r="4813" spans="1:4" x14ac:dyDescent="0.4">
      <c r="A4813" t="str">
        <f t="shared" si="150"/>
        <v/>
      </c>
      <c r="B4813" t="str">
        <f t="shared" si="151"/>
        <v/>
      </c>
      <c r="C4813" t="str">
        <f>IF(D4813="","",IF(COUNTIF($D$2:D4813,D4813)&gt;1,"",SUMIFS(tbl_input[필요수량],tbl_input[집계키_청],D4813)))</f>
        <v/>
      </c>
      <c r="D4813" t="str">
        <f>IFERROR(INDEX(tbl_input[집계키_청],ROW()-1),"")</f>
        <v/>
      </c>
    </row>
    <row r="4814" spans="1:4" x14ac:dyDescent="0.4">
      <c r="A4814" t="str">
        <f t="shared" si="150"/>
        <v/>
      </c>
      <c r="B4814" t="str">
        <f t="shared" si="151"/>
        <v/>
      </c>
      <c r="C4814" t="str">
        <f>IF(D4814="","",IF(COUNTIF($D$2:D4814,D4814)&gt;1,"",SUMIFS(tbl_input[필요수량],tbl_input[집계키_청],D4814)))</f>
        <v/>
      </c>
      <c r="D4814" t="str">
        <f>IFERROR(INDEX(tbl_input[집계키_청],ROW()-1),"")</f>
        <v/>
      </c>
    </row>
    <row r="4815" spans="1:4" x14ac:dyDescent="0.4">
      <c r="A4815" t="str">
        <f t="shared" si="150"/>
        <v/>
      </c>
      <c r="B4815" t="str">
        <f t="shared" si="151"/>
        <v/>
      </c>
      <c r="C4815" t="str">
        <f>IF(D4815="","",IF(COUNTIF($D$2:D4815,D4815)&gt;1,"",SUMIFS(tbl_input[필요수량],tbl_input[집계키_청],D4815)))</f>
        <v/>
      </c>
      <c r="D4815" t="str">
        <f>IFERROR(INDEX(tbl_input[집계키_청],ROW()-1),"")</f>
        <v/>
      </c>
    </row>
    <row r="4816" spans="1:4" x14ac:dyDescent="0.4">
      <c r="A4816" t="str">
        <f t="shared" si="150"/>
        <v/>
      </c>
      <c r="B4816" t="str">
        <f t="shared" si="151"/>
        <v/>
      </c>
      <c r="C4816" t="str">
        <f>IF(D4816="","",IF(COUNTIF($D$2:D4816,D4816)&gt;1,"",SUMIFS(tbl_input[필요수량],tbl_input[집계키_청],D4816)))</f>
        <v/>
      </c>
      <c r="D4816" t="str">
        <f>IFERROR(INDEX(tbl_input[집계키_청],ROW()-1),"")</f>
        <v/>
      </c>
    </row>
    <row r="4817" spans="1:4" x14ac:dyDescent="0.4">
      <c r="A4817" t="str">
        <f t="shared" si="150"/>
        <v/>
      </c>
      <c r="B4817" t="str">
        <f t="shared" si="151"/>
        <v/>
      </c>
      <c r="C4817" t="str">
        <f>IF(D4817="","",IF(COUNTIF($D$2:D4817,D4817)&gt;1,"",SUMIFS(tbl_input[필요수량],tbl_input[집계키_청],D4817)))</f>
        <v/>
      </c>
      <c r="D4817" t="str">
        <f>IFERROR(INDEX(tbl_input[집계키_청],ROW()-1),"")</f>
        <v/>
      </c>
    </row>
    <row r="4818" spans="1:4" x14ac:dyDescent="0.4">
      <c r="A4818" t="str">
        <f t="shared" si="150"/>
        <v/>
      </c>
      <c r="B4818" t="str">
        <f t="shared" si="151"/>
        <v/>
      </c>
      <c r="C4818" t="str">
        <f>IF(D4818="","",IF(COUNTIF($D$2:D4818,D4818)&gt;1,"",SUMIFS(tbl_input[필요수량],tbl_input[집계키_청],D4818)))</f>
        <v/>
      </c>
      <c r="D4818" t="str">
        <f>IFERROR(INDEX(tbl_input[집계키_청],ROW()-1),"")</f>
        <v/>
      </c>
    </row>
    <row r="4819" spans="1:4" x14ac:dyDescent="0.4">
      <c r="A4819" t="str">
        <f t="shared" si="150"/>
        <v/>
      </c>
      <c r="B4819" t="str">
        <f t="shared" si="151"/>
        <v/>
      </c>
      <c r="C4819" t="str">
        <f>IF(D4819="","",IF(COUNTIF($D$2:D4819,D4819)&gt;1,"",SUMIFS(tbl_input[필요수량],tbl_input[집계키_청],D4819)))</f>
        <v/>
      </c>
      <c r="D4819" t="str">
        <f>IFERROR(INDEX(tbl_input[집계키_청],ROW()-1),"")</f>
        <v/>
      </c>
    </row>
    <row r="4820" spans="1:4" x14ac:dyDescent="0.4">
      <c r="A4820" t="str">
        <f t="shared" si="150"/>
        <v/>
      </c>
      <c r="B4820" t="str">
        <f t="shared" si="151"/>
        <v/>
      </c>
      <c r="C4820" t="str">
        <f>IF(D4820="","",IF(COUNTIF($D$2:D4820,D4820)&gt;1,"",SUMIFS(tbl_input[필요수량],tbl_input[집계키_청],D4820)))</f>
        <v/>
      </c>
      <c r="D4820" t="str">
        <f>IFERROR(INDEX(tbl_input[집계키_청],ROW()-1),"")</f>
        <v/>
      </c>
    </row>
    <row r="4821" spans="1:4" x14ac:dyDescent="0.4">
      <c r="A4821" t="str">
        <f t="shared" si="150"/>
        <v/>
      </c>
      <c r="B4821" t="str">
        <f t="shared" si="151"/>
        <v/>
      </c>
      <c r="C4821" t="str">
        <f>IF(D4821="","",IF(COUNTIF($D$2:D4821,D4821)&gt;1,"",SUMIFS(tbl_input[필요수량],tbl_input[집계키_청],D4821)))</f>
        <v/>
      </c>
      <c r="D4821" t="str">
        <f>IFERROR(INDEX(tbl_input[집계키_청],ROW()-1),"")</f>
        <v/>
      </c>
    </row>
    <row r="4822" spans="1:4" x14ac:dyDescent="0.4">
      <c r="A4822" t="str">
        <f t="shared" si="150"/>
        <v/>
      </c>
      <c r="B4822" t="str">
        <f t="shared" si="151"/>
        <v/>
      </c>
      <c r="C4822" t="str">
        <f>IF(D4822="","",IF(COUNTIF($D$2:D4822,D4822)&gt;1,"",SUMIFS(tbl_input[필요수량],tbl_input[집계키_청],D4822)))</f>
        <v/>
      </c>
      <c r="D4822" t="str">
        <f>IFERROR(INDEX(tbl_input[집계키_청],ROW()-1),"")</f>
        <v/>
      </c>
    </row>
    <row r="4823" spans="1:4" x14ac:dyDescent="0.4">
      <c r="A4823" t="str">
        <f t="shared" si="150"/>
        <v/>
      </c>
      <c r="B4823" t="str">
        <f t="shared" si="151"/>
        <v/>
      </c>
      <c r="C4823" t="str">
        <f>IF(D4823="","",IF(COUNTIF($D$2:D4823,D4823)&gt;1,"",SUMIFS(tbl_input[필요수량],tbl_input[집계키_청],D4823)))</f>
        <v/>
      </c>
      <c r="D4823" t="str">
        <f>IFERROR(INDEX(tbl_input[집계키_청],ROW()-1),"")</f>
        <v/>
      </c>
    </row>
    <row r="4824" spans="1:4" x14ac:dyDescent="0.4">
      <c r="A4824" t="str">
        <f t="shared" si="150"/>
        <v/>
      </c>
      <c r="B4824" t="str">
        <f t="shared" si="151"/>
        <v/>
      </c>
      <c r="C4824" t="str">
        <f>IF(D4824="","",IF(COUNTIF($D$2:D4824,D4824)&gt;1,"",SUMIFS(tbl_input[필요수량],tbl_input[집계키_청],D4824)))</f>
        <v/>
      </c>
      <c r="D4824" t="str">
        <f>IFERROR(INDEX(tbl_input[집계키_청],ROW()-1),"")</f>
        <v/>
      </c>
    </row>
    <row r="4825" spans="1:4" x14ac:dyDescent="0.4">
      <c r="A4825" t="str">
        <f t="shared" si="150"/>
        <v/>
      </c>
      <c r="B4825" t="str">
        <f t="shared" si="151"/>
        <v/>
      </c>
      <c r="C4825" t="str">
        <f>IF(D4825="","",IF(COUNTIF($D$2:D4825,D4825)&gt;1,"",SUMIFS(tbl_input[필요수량],tbl_input[집계키_청],D4825)))</f>
        <v/>
      </c>
      <c r="D4825" t="str">
        <f>IFERROR(INDEX(tbl_input[집계키_청],ROW()-1),"")</f>
        <v/>
      </c>
    </row>
    <row r="4826" spans="1:4" x14ac:dyDescent="0.4">
      <c r="A4826" t="str">
        <f t="shared" si="150"/>
        <v/>
      </c>
      <c r="B4826" t="str">
        <f t="shared" si="151"/>
        <v/>
      </c>
      <c r="C4826" t="str">
        <f>IF(D4826="","",IF(COUNTIF($D$2:D4826,D4826)&gt;1,"",SUMIFS(tbl_input[필요수량],tbl_input[집계키_청],D4826)))</f>
        <v/>
      </c>
      <c r="D4826" t="str">
        <f>IFERROR(INDEX(tbl_input[집계키_청],ROW()-1),"")</f>
        <v/>
      </c>
    </row>
    <row r="4827" spans="1:4" x14ac:dyDescent="0.4">
      <c r="A4827" t="str">
        <f t="shared" si="150"/>
        <v/>
      </c>
      <c r="B4827" t="str">
        <f t="shared" si="151"/>
        <v/>
      </c>
      <c r="C4827" t="str">
        <f>IF(D4827="","",IF(COUNTIF($D$2:D4827,D4827)&gt;1,"",SUMIFS(tbl_input[필요수량],tbl_input[집계키_청],D4827)))</f>
        <v/>
      </c>
      <c r="D4827" t="str">
        <f>IFERROR(INDEX(tbl_input[집계키_청],ROW()-1),"")</f>
        <v/>
      </c>
    </row>
    <row r="4828" spans="1:4" x14ac:dyDescent="0.4">
      <c r="A4828" t="str">
        <f t="shared" si="150"/>
        <v/>
      </c>
      <c r="B4828" t="str">
        <f t="shared" si="151"/>
        <v/>
      </c>
      <c r="C4828" t="str">
        <f>IF(D4828="","",IF(COUNTIF($D$2:D4828,D4828)&gt;1,"",SUMIFS(tbl_input[필요수량],tbl_input[집계키_청],D4828)))</f>
        <v/>
      </c>
      <c r="D4828" t="str">
        <f>IFERROR(INDEX(tbl_input[집계키_청],ROW()-1),"")</f>
        <v/>
      </c>
    </row>
    <row r="4829" spans="1:4" x14ac:dyDescent="0.4">
      <c r="A4829" t="str">
        <f t="shared" si="150"/>
        <v/>
      </c>
      <c r="B4829" t="str">
        <f t="shared" si="151"/>
        <v/>
      </c>
      <c r="C4829" t="str">
        <f>IF(D4829="","",IF(COUNTIF($D$2:D4829,D4829)&gt;1,"",SUMIFS(tbl_input[필요수량],tbl_input[집계키_청],D4829)))</f>
        <v/>
      </c>
      <c r="D4829" t="str">
        <f>IFERROR(INDEX(tbl_input[집계키_청],ROW()-1),"")</f>
        <v/>
      </c>
    </row>
    <row r="4830" spans="1:4" x14ac:dyDescent="0.4">
      <c r="A4830" t="str">
        <f t="shared" si="150"/>
        <v/>
      </c>
      <c r="B4830" t="str">
        <f t="shared" si="151"/>
        <v/>
      </c>
      <c r="C4830" t="str">
        <f>IF(D4830="","",IF(COUNTIF($D$2:D4830,D4830)&gt;1,"",SUMIFS(tbl_input[필요수량],tbl_input[집계키_청],D4830)))</f>
        <v/>
      </c>
      <c r="D4830" t="str">
        <f>IFERROR(INDEX(tbl_input[집계키_청],ROW()-1),"")</f>
        <v/>
      </c>
    </row>
    <row r="4831" spans="1:4" x14ac:dyDescent="0.4">
      <c r="A4831" t="str">
        <f t="shared" si="150"/>
        <v/>
      </c>
      <c r="B4831" t="str">
        <f t="shared" si="151"/>
        <v/>
      </c>
      <c r="C4831" t="str">
        <f>IF(D4831="","",IF(COUNTIF($D$2:D4831,D4831)&gt;1,"",SUMIFS(tbl_input[필요수량],tbl_input[집계키_청],D4831)))</f>
        <v/>
      </c>
      <c r="D4831" t="str">
        <f>IFERROR(INDEX(tbl_input[집계키_청],ROW()-1),"")</f>
        <v/>
      </c>
    </row>
    <row r="4832" spans="1:4" x14ac:dyDescent="0.4">
      <c r="A4832" t="str">
        <f t="shared" si="150"/>
        <v/>
      </c>
      <c r="B4832" t="str">
        <f t="shared" si="151"/>
        <v/>
      </c>
      <c r="C4832" t="str">
        <f>IF(D4832="","",IF(COUNTIF($D$2:D4832,D4832)&gt;1,"",SUMIFS(tbl_input[필요수량],tbl_input[집계키_청],D4832)))</f>
        <v/>
      </c>
      <c r="D4832" t="str">
        <f>IFERROR(INDEX(tbl_input[집계키_청],ROW()-1),"")</f>
        <v/>
      </c>
    </row>
    <row r="4833" spans="1:4" x14ac:dyDescent="0.4">
      <c r="A4833" t="str">
        <f t="shared" si="150"/>
        <v/>
      </c>
      <c r="B4833" t="str">
        <f t="shared" si="151"/>
        <v/>
      </c>
      <c r="C4833" t="str">
        <f>IF(D4833="","",IF(COUNTIF($D$2:D4833,D4833)&gt;1,"",SUMIFS(tbl_input[필요수량],tbl_input[집계키_청],D4833)))</f>
        <v/>
      </c>
      <c r="D4833" t="str">
        <f>IFERROR(INDEX(tbl_input[집계키_청],ROW()-1),"")</f>
        <v/>
      </c>
    </row>
    <row r="4834" spans="1:4" x14ac:dyDescent="0.4">
      <c r="A4834" t="str">
        <f t="shared" si="150"/>
        <v/>
      </c>
      <c r="B4834" t="str">
        <f t="shared" si="151"/>
        <v/>
      </c>
      <c r="C4834" t="str">
        <f>IF(D4834="","",IF(COUNTIF($D$2:D4834,D4834)&gt;1,"",SUMIFS(tbl_input[필요수량],tbl_input[집계키_청],D4834)))</f>
        <v/>
      </c>
      <c r="D4834" t="str">
        <f>IFERROR(INDEX(tbl_input[집계키_청],ROW()-1),"")</f>
        <v/>
      </c>
    </row>
    <row r="4835" spans="1:4" x14ac:dyDescent="0.4">
      <c r="A4835" t="str">
        <f t="shared" si="150"/>
        <v/>
      </c>
      <c r="B4835" t="str">
        <f t="shared" si="151"/>
        <v/>
      </c>
      <c r="C4835" t="str">
        <f>IF(D4835="","",IF(COUNTIF($D$2:D4835,D4835)&gt;1,"",SUMIFS(tbl_input[필요수량],tbl_input[집계키_청],D4835)))</f>
        <v/>
      </c>
      <c r="D4835" t="str">
        <f>IFERROR(INDEX(tbl_input[집계키_청],ROW()-1),"")</f>
        <v/>
      </c>
    </row>
    <row r="4836" spans="1:4" x14ac:dyDescent="0.4">
      <c r="A4836" t="str">
        <f t="shared" si="150"/>
        <v/>
      </c>
      <c r="B4836" t="str">
        <f t="shared" si="151"/>
        <v/>
      </c>
      <c r="C4836" t="str">
        <f>IF(D4836="","",IF(COUNTIF($D$2:D4836,D4836)&gt;1,"",SUMIFS(tbl_input[필요수량],tbl_input[집계키_청],D4836)))</f>
        <v/>
      </c>
      <c r="D4836" t="str">
        <f>IFERROR(INDEX(tbl_input[집계키_청],ROW()-1),"")</f>
        <v/>
      </c>
    </row>
    <row r="4837" spans="1:4" x14ac:dyDescent="0.4">
      <c r="A4837" t="str">
        <f t="shared" si="150"/>
        <v/>
      </c>
      <c r="B4837" t="str">
        <f t="shared" si="151"/>
        <v/>
      </c>
      <c r="C4837" t="str">
        <f>IF(D4837="","",IF(COUNTIF($D$2:D4837,D4837)&gt;1,"",SUMIFS(tbl_input[필요수량],tbl_input[집계키_청],D4837)))</f>
        <v/>
      </c>
      <c r="D4837" t="str">
        <f>IFERROR(INDEX(tbl_input[집계키_청],ROW()-1),"")</f>
        <v/>
      </c>
    </row>
    <row r="4838" spans="1:4" x14ac:dyDescent="0.4">
      <c r="A4838" t="str">
        <f t="shared" si="150"/>
        <v/>
      </c>
      <c r="B4838" t="str">
        <f t="shared" si="151"/>
        <v/>
      </c>
      <c r="C4838" t="str">
        <f>IF(D4838="","",IF(COUNTIF($D$2:D4838,D4838)&gt;1,"",SUMIFS(tbl_input[필요수량],tbl_input[집계키_청],D4838)))</f>
        <v/>
      </c>
      <c r="D4838" t="str">
        <f>IFERROR(INDEX(tbl_input[집계키_청],ROW()-1),"")</f>
        <v/>
      </c>
    </row>
    <row r="4839" spans="1:4" x14ac:dyDescent="0.4">
      <c r="A4839" t="str">
        <f t="shared" si="150"/>
        <v/>
      </c>
      <c r="B4839" t="str">
        <f t="shared" si="151"/>
        <v/>
      </c>
      <c r="C4839" t="str">
        <f>IF(D4839="","",IF(COUNTIF($D$2:D4839,D4839)&gt;1,"",SUMIFS(tbl_input[필요수량],tbl_input[집계키_청],D4839)))</f>
        <v/>
      </c>
      <c r="D4839" t="str">
        <f>IFERROR(INDEX(tbl_input[집계키_청],ROW()-1),"")</f>
        <v/>
      </c>
    </row>
    <row r="4840" spans="1:4" x14ac:dyDescent="0.4">
      <c r="A4840" t="str">
        <f t="shared" si="150"/>
        <v/>
      </c>
      <c r="B4840" t="str">
        <f t="shared" si="151"/>
        <v/>
      </c>
      <c r="C4840" t="str">
        <f>IF(D4840="","",IF(COUNTIF($D$2:D4840,D4840)&gt;1,"",SUMIFS(tbl_input[필요수량],tbl_input[집계키_청],D4840)))</f>
        <v/>
      </c>
      <c r="D4840" t="str">
        <f>IFERROR(INDEX(tbl_input[집계키_청],ROW()-1),"")</f>
        <v/>
      </c>
    </row>
    <row r="4841" spans="1:4" x14ac:dyDescent="0.4">
      <c r="A4841" t="str">
        <f t="shared" si="150"/>
        <v/>
      </c>
      <c r="B4841" t="str">
        <f t="shared" si="151"/>
        <v/>
      </c>
      <c r="C4841" t="str">
        <f>IF(D4841="","",IF(COUNTIF($D$2:D4841,D4841)&gt;1,"",SUMIFS(tbl_input[필요수량],tbl_input[집계키_청],D4841)))</f>
        <v/>
      </c>
      <c r="D4841" t="str">
        <f>IFERROR(INDEX(tbl_input[집계키_청],ROW()-1),"")</f>
        <v/>
      </c>
    </row>
    <row r="4842" spans="1:4" x14ac:dyDescent="0.4">
      <c r="A4842" t="str">
        <f t="shared" si="150"/>
        <v/>
      </c>
      <c r="B4842" t="str">
        <f t="shared" si="151"/>
        <v/>
      </c>
      <c r="C4842" t="str">
        <f>IF(D4842="","",IF(COUNTIF($D$2:D4842,D4842)&gt;1,"",SUMIFS(tbl_input[필요수량],tbl_input[집계키_청],D4842)))</f>
        <v/>
      </c>
      <c r="D4842" t="str">
        <f>IFERROR(INDEX(tbl_input[집계키_청],ROW()-1),"")</f>
        <v/>
      </c>
    </row>
    <row r="4843" spans="1:4" x14ac:dyDescent="0.4">
      <c r="A4843" t="str">
        <f t="shared" si="150"/>
        <v/>
      </c>
      <c r="B4843" t="str">
        <f t="shared" si="151"/>
        <v/>
      </c>
      <c r="C4843" t="str">
        <f>IF(D4843="","",IF(COUNTIF($D$2:D4843,D4843)&gt;1,"",SUMIFS(tbl_input[필요수량],tbl_input[집계키_청],D4843)))</f>
        <v/>
      </c>
      <c r="D4843" t="str">
        <f>IFERROR(INDEX(tbl_input[집계키_청],ROW()-1),"")</f>
        <v/>
      </c>
    </row>
    <row r="4844" spans="1:4" x14ac:dyDescent="0.4">
      <c r="A4844" t="str">
        <f t="shared" si="150"/>
        <v/>
      </c>
      <c r="B4844" t="str">
        <f t="shared" si="151"/>
        <v/>
      </c>
      <c r="C4844" t="str">
        <f>IF(D4844="","",IF(COUNTIF($D$2:D4844,D4844)&gt;1,"",SUMIFS(tbl_input[필요수량],tbl_input[집계키_청],D4844)))</f>
        <v/>
      </c>
      <c r="D4844" t="str">
        <f>IFERROR(INDEX(tbl_input[집계키_청],ROW()-1),"")</f>
        <v/>
      </c>
    </row>
    <row r="4845" spans="1:4" x14ac:dyDescent="0.4">
      <c r="A4845" t="str">
        <f t="shared" si="150"/>
        <v/>
      </c>
      <c r="B4845" t="str">
        <f t="shared" si="151"/>
        <v/>
      </c>
      <c r="C4845" t="str">
        <f>IF(D4845="","",IF(COUNTIF($D$2:D4845,D4845)&gt;1,"",SUMIFS(tbl_input[필요수량],tbl_input[집계키_청],D4845)))</f>
        <v/>
      </c>
      <c r="D4845" t="str">
        <f>IFERROR(INDEX(tbl_input[집계키_청],ROW()-1),"")</f>
        <v/>
      </c>
    </row>
    <row r="4846" spans="1:4" x14ac:dyDescent="0.4">
      <c r="A4846" t="str">
        <f t="shared" si="150"/>
        <v/>
      </c>
      <c r="B4846" t="str">
        <f t="shared" si="151"/>
        <v/>
      </c>
      <c r="C4846" t="str">
        <f>IF(D4846="","",IF(COUNTIF($D$2:D4846,D4846)&gt;1,"",SUMIFS(tbl_input[필요수량],tbl_input[집계키_청],D4846)))</f>
        <v/>
      </c>
      <c r="D4846" t="str">
        <f>IFERROR(INDEX(tbl_input[집계키_청],ROW()-1),"")</f>
        <v/>
      </c>
    </row>
    <row r="4847" spans="1:4" x14ac:dyDescent="0.4">
      <c r="A4847" t="str">
        <f t="shared" si="150"/>
        <v/>
      </c>
      <c r="B4847" t="str">
        <f t="shared" si="151"/>
        <v/>
      </c>
      <c r="C4847" t="str">
        <f>IF(D4847="","",IF(COUNTIF($D$2:D4847,D4847)&gt;1,"",SUMIFS(tbl_input[필요수량],tbl_input[집계키_청],D4847)))</f>
        <v/>
      </c>
      <c r="D4847" t="str">
        <f>IFERROR(INDEX(tbl_input[집계키_청],ROW()-1),"")</f>
        <v/>
      </c>
    </row>
    <row r="4848" spans="1:4" x14ac:dyDescent="0.4">
      <c r="A4848" t="str">
        <f t="shared" si="150"/>
        <v/>
      </c>
      <c r="B4848" t="str">
        <f t="shared" si="151"/>
        <v/>
      </c>
      <c r="C4848" t="str">
        <f>IF(D4848="","",IF(COUNTIF($D$2:D4848,D4848)&gt;1,"",SUMIFS(tbl_input[필요수량],tbl_input[집계키_청],D4848)))</f>
        <v/>
      </c>
      <c r="D4848" t="str">
        <f>IFERROR(INDEX(tbl_input[집계키_청],ROW()-1),"")</f>
        <v/>
      </c>
    </row>
    <row r="4849" spans="1:4" x14ac:dyDescent="0.4">
      <c r="A4849" t="str">
        <f t="shared" si="150"/>
        <v/>
      </c>
      <c r="B4849" t="str">
        <f t="shared" si="151"/>
        <v/>
      </c>
      <c r="C4849" t="str">
        <f>IF(D4849="","",IF(COUNTIF($D$2:D4849,D4849)&gt;1,"",SUMIFS(tbl_input[필요수량],tbl_input[집계키_청],D4849)))</f>
        <v/>
      </c>
      <c r="D4849" t="str">
        <f>IFERROR(INDEX(tbl_input[집계키_청],ROW()-1),"")</f>
        <v/>
      </c>
    </row>
    <row r="4850" spans="1:4" x14ac:dyDescent="0.4">
      <c r="A4850" t="str">
        <f t="shared" si="150"/>
        <v/>
      </c>
      <c r="B4850" t="str">
        <f t="shared" si="151"/>
        <v/>
      </c>
      <c r="C4850" t="str">
        <f>IF(D4850="","",IF(COUNTIF($D$2:D4850,D4850)&gt;1,"",SUMIFS(tbl_input[필요수량],tbl_input[집계키_청],D4850)))</f>
        <v/>
      </c>
      <c r="D4850" t="str">
        <f>IFERROR(INDEX(tbl_input[집계키_청],ROW()-1),"")</f>
        <v/>
      </c>
    </row>
    <row r="4851" spans="1:4" x14ac:dyDescent="0.4">
      <c r="A4851" t="str">
        <f t="shared" si="150"/>
        <v/>
      </c>
      <c r="B4851" t="str">
        <f t="shared" si="151"/>
        <v/>
      </c>
      <c r="C4851" t="str">
        <f>IF(D4851="","",IF(COUNTIF($D$2:D4851,D4851)&gt;1,"",SUMIFS(tbl_input[필요수량],tbl_input[집계키_청],D4851)))</f>
        <v/>
      </c>
      <c r="D4851" t="str">
        <f>IFERROR(INDEX(tbl_input[집계키_청],ROW()-1),"")</f>
        <v/>
      </c>
    </row>
    <row r="4852" spans="1:4" x14ac:dyDescent="0.4">
      <c r="A4852" t="str">
        <f t="shared" si="150"/>
        <v/>
      </c>
      <c r="B4852" t="str">
        <f t="shared" si="151"/>
        <v/>
      </c>
      <c r="C4852" t="str">
        <f>IF(D4852="","",IF(COUNTIF($D$2:D4852,D4852)&gt;1,"",SUMIFS(tbl_input[필요수량],tbl_input[집계키_청],D4852)))</f>
        <v/>
      </c>
      <c r="D4852" t="str">
        <f>IFERROR(INDEX(tbl_input[집계키_청],ROW()-1),"")</f>
        <v/>
      </c>
    </row>
    <row r="4853" spans="1:4" x14ac:dyDescent="0.4">
      <c r="A4853" t="str">
        <f t="shared" si="150"/>
        <v/>
      </c>
      <c r="B4853" t="str">
        <f t="shared" si="151"/>
        <v/>
      </c>
      <c r="C4853" t="str">
        <f>IF(D4853="","",IF(COUNTIF($D$2:D4853,D4853)&gt;1,"",SUMIFS(tbl_input[필요수량],tbl_input[집계키_청],D4853)))</f>
        <v/>
      </c>
      <c r="D4853" t="str">
        <f>IFERROR(INDEX(tbl_input[집계키_청],ROW()-1),"")</f>
        <v/>
      </c>
    </row>
    <row r="4854" spans="1:4" x14ac:dyDescent="0.4">
      <c r="A4854" t="str">
        <f t="shared" si="150"/>
        <v/>
      </c>
      <c r="B4854" t="str">
        <f t="shared" si="151"/>
        <v/>
      </c>
      <c r="C4854" t="str">
        <f>IF(D4854="","",IF(COUNTIF($D$2:D4854,D4854)&gt;1,"",SUMIFS(tbl_input[필요수량],tbl_input[집계키_청],D4854)))</f>
        <v/>
      </c>
      <c r="D4854" t="str">
        <f>IFERROR(INDEX(tbl_input[집계키_청],ROW()-1),"")</f>
        <v/>
      </c>
    </row>
    <row r="4855" spans="1:4" x14ac:dyDescent="0.4">
      <c r="A4855" t="str">
        <f t="shared" si="150"/>
        <v/>
      </c>
      <c r="B4855" t="str">
        <f t="shared" si="151"/>
        <v/>
      </c>
      <c r="C4855" t="str">
        <f>IF(D4855="","",IF(COUNTIF($D$2:D4855,D4855)&gt;1,"",SUMIFS(tbl_input[필요수량],tbl_input[집계키_청],D4855)))</f>
        <v/>
      </c>
      <c r="D4855" t="str">
        <f>IFERROR(INDEX(tbl_input[집계키_청],ROW()-1),"")</f>
        <v/>
      </c>
    </row>
    <row r="4856" spans="1:4" x14ac:dyDescent="0.4">
      <c r="A4856" t="str">
        <f t="shared" si="150"/>
        <v/>
      </c>
      <c r="B4856" t="str">
        <f t="shared" si="151"/>
        <v/>
      </c>
      <c r="C4856" t="str">
        <f>IF(D4856="","",IF(COUNTIF($D$2:D4856,D4856)&gt;1,"",SUMIFS(tbl_input[필요수량],tbl_input[집계키_청],D4856)))</f>
        <v/>
      </c>
      <c r="D4856" t="str">
        <f>IFERROR(INDEX(tbl_input[집계키_청],ROW()-1),"")</f>
        <v/>
      </c>
    </row>
    <row r="4857" spans="1:4" x14ac:dyDescent="0.4">
      <c r="A4857" t="str">
        <f t="shared" si="150"/>
        <v/>
      </c>
      <c r="B4857" t="str">
        <f t="shared" si="151"/>
        <v/>
      </c>
      <c r="C4857" t="str">
        <f>IF(D4857="","",IF(COUNTIF($D$2:D4857,D4857)&gt;1,"",SUMIFS(tbl_input[필요수량],tbl_input[집계키_청],D4857)))</f>
        <v/>
      </c>
      <c r="D4857" t="str">
        <f>IFERROR(INDEX(tbl_input[집계키_청],ROW()-1),"")</f>
        <v/>
      </c>
    </row>
    <row r="4858" spans="1:4" x14ac:dyDescent="0.4">
      <c r="A4858" t="str">
        <f t="shared" si="150"/>
        <v/>
      </c>
      <c r="B4858" t="str">
        <f t="shared" si="151"/>
        <v/>
      </c>
      <c r="C4858" t="str">
        <f>IF(D4858="","",IF(COUNTIF($D$2:D4858,D4858)&gt;1,"",SUMIFS(tbl_input[필요수량],tbl_input[집계키_청],D4858)))</f>
        <v/>
      </c>
      <c r="D4858" t="str">
        <f>IFERROR(INDEX(tbl_input[집계키_청],ROW()-1),"")</f>
        <v/>
      </c>
    </row>
    <row r="4859" spans="1:4" x14ac:dyDescent="0.4">
      <c r="A4859" t="str">
        <f t="shared" si="150"/>
        <v/>
      </c>
      <c r="B4859" t="str">
        <f t="shared" si="151"/>
        <v/>
      </c>
      <c r="C4859" t="str">
        <f>IF(D4859="","",IF(COUNTIF($D$2:D4859,D4859)&gt;1,"",SUMIFS(tbl_input[필요수량],tbl_input[집계키_청],D4859)))</f>
        <v/>
      </c>
      <c r="D4859" t="str">
        <f>IFERROR(INDEX(tbl_input[집계키_청],ROW()-1),"")</f>
        <v/>
      </c>
    </row>
    <row r="4860" spans="1:4" x14ac:dyDescent="0.4">
      <c r="A4860" t="str">
        <f t="shared" si="150"/>
        <v/>
      </c>
      <c r="B4860" t="str">
        <f t="shared" si="151"/>
        <v/>
      </c>
      <c r="C4860" t="str">
        <f>IF(D4860="","",IF(COUNTIF($D$2:D4860,D4860)&gt;1,"",SUMIFS(tbl_input[필요수량],tbl_input[집계키_청],D4860)))</f>
        <v/>
      </c>
      <c r="D4860" t="str">
        <f>IFERROR(INDEX(tbl_input[집계키_청],ROW()-1),"")</f>
        <v/>
      </c>
    </row>
    <row r="4861" spans="1:4" x14ac:dyDescent="0.4">
      <c r="A4861" t="str">
        <f t="shared" si="150"/>
        <v/>
      </c>
      <c r="B4861" t="str">
        <f t="shared" si="151"/>
        <v/>
      </c>
      <c r="C4861" t="str">
        <f>IF(D4861="","",IF(COUNTIF($D$2:D4861,D4861)&gt;1,"",SUMIFS(tbl_input[필요수량],tbl_input[집계키_청],D4861)))</f>
        <v/>
      </c>
      <c r="D4861" t="str">
        <f>IFERROR(INDEX(tbl_input[집계키_청],ROW()-1),"")</f>
        <v/>
      </c>
    </row>
    <row r="4862" spans="1:4" x14ac:dyDescent="0.4">
      <c r="A4862" t="str">
        <f t="shared" si="150"/>
        <v/>
      </c>
      <c r="B4862" t="str">
        <f t="shared" si="151"/>
        <v/>
      </c>
      <c r="C4862" t="str">
        <f>IF(D4862="","",IF(COUNTIF($D$2:D4862,D4862)&gt;1,"",SUMIFS(tbl_input[필요수량],tbl_input[집계키_청],D4862)))</f>
        <v/>
      </c>
      <c r="D4862" t="str">
        <f>IFERROR(INDEX(tbl_input[집계키_청],ROW()-1),"")</f>
        <v/>
      </c>
    </row>
    <row r="4863" spans="1:4" x14ac:dyDescent="0.4">
      <c r="A4863" t="str">
        <f t="shared" si="150"/>
        <v/>
      </c>
      <c r="B4863" t="str">
        <f t="shared" si="151"/>
        <v/>
      </c>
      <c r="C4863" t="str">
        <f>IF(D4863="","",IF(COUNTIF($D$2:D4863,D4863)&gt;1,"",SUMIFS(tbl_input[필요수량],tbl_input[집계키_청],D4863)))</f>
        <v/>
      </c>
      <c r="D4863" t="str">
        <f>IFERROR(INDEX(tbl_input[집계키_청],ROW()-1),"")</f>
        <v/>
      </c>
    </row>
    <row r="4864" spans="1:4" x14ac:dyDescent="0.4">
      <c r="A4864" t="str">
        <f t="shared" si="150"/>
        <v/>
      </c>
      <c r="B4864" t="str">
        <f t="shared" si="151"/>
        <v/>
      </c>
      <c r="C4864" t="str">
        <f>IF(D4864="","",IF(COUNTIF($D$2:D4864,D4864)&gt;1,"",SUMIFS(tbl_input[필요수량],tbl_input[집계키_청],D4864)))</f>
        <v/>
      </c>
      <c r="D4864" t="str">
        <f>IFERROR(INDEX(tbl_input[집계키_청],ROW()-1),"")</f>
        <v/>
      </c>
    </row>
    <row r="4865" spans="1:4" x14ac:dyDescent="0.4">
      <c r="A4865" t="str">
        <f t="shared" si="150"/>
        <v/>
      </c>
      <c r="B4865" t="str">
        <f t="shared" si="151"/>
        <v/>
      </c>
      <c r="C4865" t="str">
        <f>IF(D4865="","",IF(COUNTIF($D$2:D4865,D4865)&gt;1,"",SUMIFS(tbl_input[필요수량],tbl_input[집계키_청],D4865)))</f>
        <v/>
      </c>
      <c r="D4865" t="str">
        <f>IFERROR(INDEX(tbl_input[집계키_청],ROW()-1),"")</f>
        <v/>
      </c>
    </row>
    <row r="4866" spans="1:4" x14ac:dyDescent="0.4">
      <c r="A4866" t="str">
        <f t="shared" ref="A4866:A4929" si="152">IF(D4866="","",LEFT(D4866,FIND("♦",D4866)-1))</f>
        <v/>
      </c>
      <c r="B4866" t="str">
        <f t="shared" ref="B4866:B4929" si="153">IF(D4866="","",MID(D4866,FIND("♦",D4866)+1,999))</f>
        <v/>
      </c>
      <c r="C4866" t="str">
        <f>IF(D4866="","",IF(COUNTIF($D$2:D4866,D4866)&gt;1,"",SUMIFS(tbl_input[필요수량],tbl_input[집계키_청],D4866)))</f>
        <v/>
      </c>
      <c r="D4866" t="str">
        <f>IFERROR(INDEX(tbl_input[집계키_청],ROW()-1),"")</f>
        <v/>
      </c>
    </row>
    <row r="4867" spans="1:4" x14ac:dyDescent="0.4">
      <c r="A4867" t="str">
        <f t="shared" si="152"/>
        <v/>
      </c>
      <c r="B4867" t="str">
        <f t="shared" si="153"/>
        <v/>
      </c>
      <c r="C4867" t="str">
        <f>IF(D4867="","",IF(COUNTIF($D$2:D4867,D4867)&gt;1,"",SUMIFS(tbl_input[필요수량],tbl_input[집계키_청],D4867)))</f>
        <v/>
      </c>
      <c r="D4867" t="str">
        <f>IFERROR(INDEX(tbl_input[집계키_청],ROW()-1),"")</f>
        <v/>
      </c>
    </row>
    <row r="4868" spans="1:4" x14ac:dyDescent="0.4">
      <c r="A4868" t="str">
        <f t="shared" si="152"/>
        <v/>
      </c>
      <c r="B4868" t="str">
        <f t="shared" si="153"/>
        <v/>
      </c>
      <c r="C4868" t="str">
        <f>IF(D4868="","",IF(COUNTIF($D$2:D4868,D4868)&gt;1,"",SUMIFS(tbl_input[필요수량],tbl_input[집계키_청],D4868)))</f>
        <v/>
      </c>
      <c r="D4868" t="str">
        <f>IFERROR(INDEX(tbl_input[집계키_청],ROW()-1),"")</f>
        <v/>
      </c>
    </row>
    <row r="4869" spans="1:4" x14ac:dyDescent="0.4">
      <c r="A4869" t="str">
        <f t="shared" si="152"/>
        <v/>
      </c>
      <c r="B4869" t="str">
        <f t="shared" si="153"/>
        <v/>
      </c>
      <c r="C4869" t="str">
        <f>IF(D4869="","",IF(COUNTIF($D$2:D4869,D4869)&gt;1,"",SUMIFS(tbl_input[필요수량],tbl_input[집계키_청],D4869)))</f>
        <v/>
      </c>
      <c r="D4869" t="str">
        <f>IFERROR(INDEX(tbl_input[집계키_청],ROW()-1),"")</f>
        <v/>
      </c>
    </row>
    <row r="4870" spans="1:4" x14ac:dyDescent="0.4">
      <c r="A4870" t="str">
        <f t="shared" si="152"/>
        <v/>
      </c>
      <c r="B4870" t="str">
        <f t="shared" si="153"/>
        <v/>
      </c>
      <c r="C4870" t="str">
        <f>IF(D4870="","",IF(COUNTIF($D$2:D4870,D4870)&gt;1,"",SUMIFS(tbl_input[필요수량],tbl_input[집계키_청],D4870)))</f>
        <v/>
      </c>
      <c r="D4870" t="str">
        <f>IFERROR(INDEX(tbl_input[집계키_청],ROW()-1),"")</f>
        <v/>
      </c>
    </row>
    <row r="4871" spans="1:4" x14ac:dyDescent="0.4">
      <c r="A4871" t="str">
        <f t="shared" si="152"/>
        <v/>
      </c>
      <c r="B4871" t="str">
        <f t="shared" si="153"/>
        <v/>
      </c>
      <c r="C4871" t="str">
        <f>IF(D4871="","",IF(COUNTIF($D$2:D4871,D4871)&gt;1,"",SUMIFS(tbl_input[필요수량],tbl_input[집계키_청],D4871)))</f>
        <v/>
      </c>
      <c r="D4871" t="str">
        <f>IFERROR(INDEX(tbl_input[집계키_청],ROW()-1),"")</f>
        <v/>
      </c>
    </row>
    <row r="4872" spans="1:4" x14ac:dyDescent="0.4">
      <c r="A4872" t="str">
        <f t="shared" si="152"/>
        <v/>
      </c>
      <c r="B4872" t="str">
        <f t="shared" si="153"/>
        <v/>
      </c>
      <c r="C4872" t="str">
        <f>IF(D4872="","",IF(COUNTIF($D$2:D4872,D4872)&gt;1,"",SUMIFS(tbl_input[필요수량],tbl_input[집계키_청],D4872)))</f>
        <v/>
      </c>
      <c r="D4872" t="str">
        <f>IFERROR(INDEX(tbl_input[집계키_청],ROW()-1),"")</f>
        <v/>
      </c>
    </row>
    <row r="4873" spans="1:4" x14ac:dyDescent="0.4">
      <c r="A4873" t="str">
        <f t="shared" si="152"/>
        <v/>
      </c>
      <c r="B4873" t="str">
        <f t="shared" si="153"/>
        <v/>
      </c>
      <c r="C4873" t="str">
        <f>IF(D4873="","",IF(COUNTIF($D$2:D4873,D4873)&gt;1,"",SUMIFS(tbl_input[필요수량],tbl_input[집계키_청],D4873)))</f>
        <v/>
      </c>
      <c r="D4873" t="str">
        <f>IFERROR(INDEX(tbl_input[집계키_청],ROW()-1),"")</f>
        <v/>
      </c>
    </row>
    <row r="4874" spans="1:4" x14ac:dyDescent="0.4">
      <c r="A4874" t="str">
        <f t="shared" si="152"/>
        <v/>
      </c>
      <c r="B4874" t="str">
        <f t="shared" si="153"/>
        <v/>
      </c>
      <c r="C4874" t="str">
        <f>IF(D4874="","",IF(COUNTIF($D$2:D4874,D4874)&gt;1,"",SUMIFS(tbl_input[필요수량],tbl_input[집계키_청],D4874)))</f>
        <v/>
      </c>
      <c r="D4874" t="str">
        <f>IFERROR(INDEX(tbl_input[집계키_청],ROW()-1),"")</f>
        <v/>
      </c>
    </row>
    <row r="4875" spans="1:4" x14ac:dyDescent="0.4">
      <c r="A4875" t="str">
        <f t="shared" si="152"/>
        <v/>
      </c>
      <c r="B4875" t="str">
        <f t="shared" si="153"/>
        <v/>
      </c>
      <c r="C4875" t="str">
        <f>IF(D4875="","",IF(COUNTIF($D$2:D4875,D4875)&gt;1,"",SUMIFS(tbl_input[필요수량],tbl_input[집계키_청],D4875)))</f>
        <v/>
      </c>
      <c r="D4875" t="str">
        <f>IFERROR(INDEX(tbl_input[집계키_청],ROW()-1),"")</f>
        <v/>
      </c>
    </row>
    <row r="4876" spans="1:4" x14ac:dyDescent="0.4">
      <c r="A4876" t="str">
        <f t="shared" si="152"/>
        <v/>
      </c>
      <c r="B4876" t="str">
        <f t="shared" si="153"/>
        <v/>
      </c>
      <c r="C4876" t="str">
        <f>IF(D4876="","",IF(COUNTIF($D$2:D4876,D4876)&gt;1,"",SUMIFS(tbl_input[필요수량],tbl_input[집계키_청],D4876)))</f>
        <v/>
      </c>
      <c r="D4876" t="str">
        <f>IFERROR(INDEX(tbl_input[집계키_청],ROW()-1),"")</f>
        <v/>
      </c>
    </row>
    <row r="4877" spans="1:4" x14ac:dyDescent="0.4">
      <c r="A4877" t="str">
        <f t="shared" si="152"/>
        <v/>
      </c>
      <c r="B4877" t="str">
        <f t="shared" si="153"/>
        <v/>
      </c>
      <c r="C4877" t="str">
        <f>IF(D4877="","",IF(COUNTIF($D$2:D4877,D4877)&gt;1,"",SUMIFS(tbl_input[필요수량],tbl_input[집계키_청],D4877)))</f>
        <v/>
      </c>
      <c r="D4877" t="str">
        <f>IFERROR(INDEX(tbl_input[집계키_청],ROW()-1),"")</f>
        <v/>
      </c>
    </row>
    <row r="4878" spans="1:4" x14ac:dyDescent="0.4">
      <c r="A4878" t="str">
        <f t="shared" si="152"/>
        <v/>
      </c>
      <c r="B4878" t="str">
        <f t="shared" si="153"/>
        <v/>
      </c>
      <c r="C4878" t="str">
        <f>IF(D4878="","",IF(COUNTIF($D$2:D4878,D4878)&gt;1,"",SUMIFS(tbl_input[필요수량],tbl_input[집계키_청],D4878)))</f>
        <v/>
      </c>
      <c r="D4878" t="str">
        <f>IFERROR(INDEX(tbl_input[집계키_청],ROW()-1),"")</f>
        <v/>
      </c>
    </row>
    <row r="4879" spans="1:4" x14ac:dyDescent="0.4">
      <c r="A4879" t="str">
        <f t="shared" si="152"/>
        <v/>
      </c>
      <c r="B4879" t="str">
        <f t="shared" si="153"/>
        <v/>
      </c>
      <c r="C4879" t="str">
        <f>IF(D4879="","",IF(COUNTIF($D$2:D4879,D4879)&gt;1,"",SUMIFS(tbl_input[필요수량],tbl_input[집계키_청],D4879)))</f>
        <v/>
      </c>
      <c r="D4879" t="str">
        <f>IFERROR(INDEX(tbl_input[집계키_청],ROW()-1),"")</f>
        <v/>
      </c>
    </row>
    <row r="4880" spans="1:4" x14ac:dyDescent="0.4">
      <c r="A4880" t="str">
        <f t="shared" si="152"/>
        <v/>
      </c>
      <c r="B4880" t="str">
        <f t="shared" si="153"/>
        <v/>
      </c>
      <c r="C4880" t="str">
        <f>IF(D4880="","",IF(COUNTIF($D$2:D4880,D4880)&gt;1,"",SUMIFS(tbl_input[필요수량],tbl_input[집계키_청],D4880)))</f>
        <v/>
      </c>
      <c r="D4880" t="str">
        <f>IFERROR(INDEX(tbl_input[집계키_청],ROW()-1),"")</f>
        <v/>
      </c>
    </row>
    <row r="4881" spans="1:4" x14ac:dyDescent="0.4">
      <c r="A4881" t="str">
        <f t="shared" si="152"/>
        <v/>
      </c>
      <c r="B4881" t="str">
        <f t="shared" si="153"/>
        <v/>
      </c>
      <c r="C4881" t="str">
        <f>IF(D4881="","",IF(COUNTIF($D$2:D4881,D4881)&gt;1,"",SUMIFS(tbl_input[필요수량],tbl_input[집계키_청],D4881)))</f>
        <v/>
      </c>
      <c r="D4881" t="str">
        <f>IFERROR(INDEX(tbl_input[집계키_청],ROW()-1),"")</f>
        <v/>
      </c>
    </row>
    <row r="4882" spans="1:4" x14ac:dyDescent="0.4">
      <c r="A4882" t="str">
        <f t="shared" si="152"/>
        <v/>
      </c>
      <c r="B4882" t="str">
        <f t="shared" si="153"/>
        <v/>
      </c>
      <c r="C4882" t="str">
        <f>IF(D4882="","",IF(COUNTIF($D$2:D4882,D4882)&gt;1,"",SUMIFS(tbl_input[필요수량],tbl_input[집계키_청],D4882)))</f>
        <v/>
      </c>
      <c r="D4882" t="str">
        <f>IFERROR(INDEX(tbl_input[집계키_청],ROW()-1),"")</f>
        <v/>
      </c>
    </row>
    <row r="4883" spans="1:4" x14ac:dyDescent="0.4">
      <c r="A4883" t="str">
        <f t="shared" si="152"/>
        <v/>
      </c>
      <c r="B4883" t="str">
        <f t="shared" si="153"/>
        <v/>
      </c>
      <c r="C4883" t="str">
        <f>IF(D4883="","",IF(COUNTIF($D$2:D4883,D4883)&gt;1,"",SUMIFS(tbl_input[필요수량],tbl_input[집계키_청],D4883)))</f>
        <v/>
      </c>
      <c r="D4883" t="str">
        <f>IFERROR(INDEX(tbl_input[집계키_청],ROW()-1),"")</f>
        <v/>
      </c>
    </row>
    <row r="4884" spans="1:4" x14ac:dyDescent="0.4">
      <c r="A4884" t="str">
        <f t="shared" si="152"/>
        <v/>
      </c>
      <c r="B4884" t="str">
        <f t="shared" si="153"/>
        <v/>
      </c>
      <c r="C4884" t="str">
        <f>IF(D4884="","",IF(COUNTIF($D$2:D4884,D4884)&gt;1,"",SUMIFS(tbl_input[필요수량],tbl_input[집계키_청],D4884)))</f>
        <v/>
      </c>
      <c r="D4884" t="str">
        <f>IFERROR(INDEX(tbl_input[집계키_청],ROW()-1),"")</f>
        <v/>
      </c>
    </row>
    <row r="4885" spans="1:4" x14ac:dyDescent="0.4">
      <c r="A4885" t="str">
        <f t="shared" si="152"/>
        <v/>
      </c>
      <c r="B4885" t="str">
        <f t="shared" si="153"/>
        <v/>
      </c>
      <c r="C4885" t="str">
        <f>IF(D4885="","",IF(COUNTIF($D$2:D4885,D4885)&gt;1,"",SUMIFS(tbl_input[필요수량],tbl_input[집계키_청],D4885)))</f>
        <v/>
      </c>
      <c r="D4885" t="str">
        <f>IFERROR(INDEX(tbl_input[집계키_청],ROW()-1),"")</f>
        <v/>
      </c>
    </row>
    <row r="4886" spans="1:4" x14ac:dyDescent="0.4">
      <c r="A4886" t="str">
        <f t="shared" si="152"/>
        <v/>
      </c>
      <c r="B4886" t="str">
        <f t="shared" si="153"/>
        <v/>
      </c>
      <c r="C4886" t="str">
        <f>IF(D4886="","",IF(COUNTIF($D$2:D4886,D4886)&gt;1,"",SUMIFS(tbl_input[필요수량],tbl_input[집계키_청],D4886)))</f>
        <v/>
      </c>
      <c r="D4886" t="str">
        <f>IFERROR(INDEX(tbl_input[집계키_청],ROW()-1),"")</f>
        <v/>
      </c>
    </row>
    <row r="4887" spans="1:4" x14ac:dyDescent="0.4">
      <c r="A4887" t="str">
        <f t="shared" si="152"/>
        <v/>
      </c>
      <c r="B4887" t="str">
        <f t="shared" si="153"/>
        <v/>
      </c>
      <c r="C4887" t="str">
        <f>IF(D4887="","",IF(COUNTIF($D$2:D4887,D4887)&gt;1,"",SUMIFS(tbl_input[필요수량],tbl_input[집계키_청],D4887)))</f>
        <v/>
      </c>
      <c r="D4887" t="str">
        <f>IFERROR(INDEX(tbl_input[집계키_청],ROW()-1),"")</f>
        <v/>
      </c>
    </row>
    <row r="4888" spans="1:4" x14ac:dyDescent="0.4">
      <c r="A4888" t="str">
        <f t="shared" si="152"/>
        <v/>
      </c>
      <c r="B4888" t="str">
        <f t="shared" si="153"/>
        <v/>
      </c>
      <c r="C4888" t="str">
        <f>IF(D4888="","",IF(COUNTIF($D$2:D4888,D4888)&gt;1,"",SUMIFS(tbl_input[필요수량],tbl_input[집계키_청],D4888)))</f>
        <v/>
      </c>
      <c r="D4888" t="str">
        <f>IFERROR(INDEX(tbl_input[집계키_청],ROW()-1),"")</f>
        <v/>
      </c>
    </row>
    <row r="4889" spans="1:4" x14ac:dyDescent="0.4">
      <c r="A4889" t="str">
        <f t="shared" si="152"/>
        <v/>
      </c>
      <c r="B4889" t="str">
        <f t="shared" si="153"/>
        <v/>
      </c>
      <c r="C4889" t="str">
        <f>IF(D4889="","",IF(COUNTIF($D$2:D4889,D4889)&gt;1,"",SUMIFS(tbl_input[필요수량],tbl_input[집계키_청],D4889)))</f>
        <v/>
      </c>
      <c r="D4889" t="str">
        <f>IFERROR(INDEX(tbl_input[집계키_청],ROW()-1),"")</f>
        <v/>
      </c>
    </row>
    <row r="4890" spans="1:4" x14ac:dyDescent="0.4">
      <c r="A4890" t="str">
        <f t="shared" si="152"/>
        <v/>
      </c>
      <c r="B4890" t="str">
        <f t="shared" si="153"/>
        <v/>
      </c>
      <c r="C4890" t="str">
        <f>IF(D4890="","",IF(COUNTIF($D$2:D4890,D4890)&gt;1,"",SUMIFS(tbl_input[필요수량],tbl_input[집계키_청],D4890)))</f>
        <v/>
      </c>
      <c r="D4890" t="str">
        <f>IFERROR(INDEX(tbl_input[집계키_청],ROW()-1),"")</f>
        <v/>
      </c>
    </row>
    <row r="4891" spans="1:4" x14ac:dyDescent="0.4">
      <c r="A4891" t="str">
        <f t="shared" si="152"/>
        <v/>
      </c>
      <c r="B4891" t="str">
        <f t="shared" si="153"/>
        <v/>
      </c>
      <c r="C4891" t="str">
        <f>IF(D4891="","",IF(COUNTIF($D$2:D4891,D4891)&gt;1,"",SUMIFS(tbl_input[필요수량],tbl_input[집계키_청],D4891)))</f>
        <v/>
      </c>
      <c r="D4891" t="str">
        <f>IFERROR(INDEX(tbl_input[집계키_청],ROW()-1),"")</f>
        <v/>
      </c>
    </row>
    <row r="4892" spans="1:4" x14ac:dyDescent="0.4">
      <c r="A4892" t="str">
        <f t="shared" si="152"/>
        <v/>
      </c>
      <c r="B4892" t="str">
        <f t="shared" si="153"/>
        <v/>
      </c>
      <c r="C4892" t="str">
        <f>IF(D4892="","",IF(COUNTIF($D$2:D4892,D4892)&gt;1,"",SUMIFS(tbl_input[필요수량],tbl_input[집계키_청],D4892)))</f>
        <v/>
      </c>
      <c r="D4892" t="str">
        <f>IFERROR(INDEX(tbl_input[집계키_청],ROW()-1),"")</f>
        <v/>
      </c>
    </row>
    <row r="4893" spans="1:4" x14ac:dyDescent="0.4">
      <c r="A4893" t="str">
        <f t="shared" si="152"/>
        <v/>
      </c>
      <c r="B4893" t="str">
        <f t="shared" si="153"/>
        <v/>
      </c>
      <c r="C4893" t="str">
        <f>IF(D4893="","",IF(COUNTIF($D$2:D4893,D4893)&gt;1,"",SUMIFS(tbl_input[필요수량],tbl_input[집계키_청],D4893)))</f>
        <v/>
      </c>
      <c r="D4893" t="str">
        <f>IFERROR(INDEX(tbl_input[집계키_청],ROW()-1),"")</f>
        <v/>
      </c>
    </row>
    <row r="4894" spans="1:4" x14ac:dyDescent="0.4">
      <c r="A4894" t="str">
        <f t="shared" si="152"/>
        <v/>
      </c>
      <c r="B4894" t="str">
        <f t="shared" si="153"/>
        <v/>
      </c>
      <c r="C4894" t="str">
        <f>IF(D4894="","",IF(COUNTIF($D$2:D4894,D4894)&gt;1,"",SUMIFS(tbl_input[필요수량],tbl_input[집계키_청],D4894)))</f>
        <v/>
      </c>
      <c r="D4894" t="str">
        <f>IFERROR(INDEX(tbl_input[집계키_청],ROW()-1),"")</f>
        <v/>
      </c>
    </row>
    <row r="4895" spans="1:4" x14ac:dyDescent="0.4">
      <c r="A4895" t="str">
        <f t="shared" si="152"/>
        <v/>
      </c>
      <c r="B4895" t="str">
        <f t="shared" si="153"/>
        <v/>
      </c>
      <c r="C4895" t="str">
        <f>IF(D4895="","",IF(COUNTIF($D$2:D4895,D4895)&gt;1,"",SUMIFS(tbl_input[필요수량],tbl_input[집계키_청],D4895)))</f>
        <v/>
      </c>
      <c r="D4895" t="str">
        <f>IFERROR(INDEX(tbl_input[집계키_청],ROW()-1),"")</f>
        <v/>
      </c>
    </row>
    <row r="4896" spans="1:4" x14ac:dyDescent="0.4">
      <c r="A4896" t="str">
        <f t="shared" si="152"/>
        <v/>
      </c>
      <c r="B4896" t="str">
        <f t="shared" si="153"/>
        <v/>
      </c>
      <c r="C4896" t="str">
        <f>IF(D4896="","",IF(COUNTIF($D$2:D4896,D4896)&gt;1,"",SUMIFS(tbl_input[필요수량],tbl_input[집계키_청],D4896)))</f>
        <v/>
      </c>
      <c r="D4896" t="str">
        <f>IFERROR(INDEX(tbl_input[집계키_청],ROW()-1),"")</f>
        <v/>
      </c>
    </row>
    <row r="4897" spans="1:4" x14ac:dyDescent="0.4">
      <c r="A4897" t="str">
        <f t="shared" si="152"/>
        <v/>
      </c>
      <c r="B4897" t="str">
        <f t="shared" si="153"/>
        <v/>
      </c>
      <c r="C4897" t="str">
        <f>IF(D4897="","",IF(COUNTIF($D$2:D4897,D4897)&gt;1,"",SUMIFS(tbl_input[필요수량],tbl_input[집계키_청],D4897)))</f>
        <v/>
      </c>
      <c r="D4897" t="str">
        <f>IFERROR(INDEX(tbl_input[집계키_청],ROW()-1),"")</f>
        <v/>
      </c>
    </row>
    <row r="4898" spans="1:4" x14ac:dyDescent="0.4">
      <c r="A4898" t="str">
        <f t="shared" si="152"/>
        <v/>
      </c>
      <c r="B4898" t="str">
        <f t="shared" si="153"/>
        <v/>
      </c>
      <c r="C4898" t="str">
        <f>IF(D4898="","",IF(COUNTIF($D$2:D4898,D4898)&gt;1,"",SUMIFS(tbl_input[필요수량],tbl_input[집계키_청],D4898)))</f>
        <v/>
      </c>
      <c r="D4898" t="str">
        <f>IFERROR(INDEX(tbl_input[집계키_청],ROW()-1),"")</f>
        <v/>
      </c>
    </row>
    <row r="4899" spans="1:4" x14ac:dyDescent="0.4">
      <c r="A4899" t="str">
        <f t="shared" si="152"/>
        <v/>
      </c>
      <c r="B4899" t="str">
        <f t="shared" si="153"/>
        <v/>
      </c>
      <c r="C4899" t="str">
        <f>IF(D4899="","",IF(COUNTIF($D$2:D4899,D4899)&gt;1,"",SUMIFS(tbl_input[필요수량],tbl_input[집계키_청],D4899)))</f>
        <v/>
      </c>
      <c r="D4899" t="str">
        <f>IFERROR(INDEX(tbl_input[집계키_청],ROW()-1),"")</f>
        <v/>
      </c>
    </row>
    <row r="4900" spans="1:4" x14ac:dyDescent="0.4">
      <c r="A4900" t="str">
        <f t="shared" si="152"/>
        <v/>
      </c>
      <c r="B4900" t="str">
        <f t="shared" si="153"/>
        <v/>
      </c>
      <c r="C4900" t="str">
        <f>IF(D4900="","",IF(COUNTIF($D$2:D4900,D4900)&gt;1,"",SUMIFS(tbl_input[필요수량],tbl_input[집계키_청],D4900)))</f>
        <v/>
      </c>
      <c r="D4900" t="str">
        <f>IFERROR(INDEX(tbl_input[집계키_청],ROW()-1),"")</f>
        <v/>
      </c>
    </row>
    <row r="4901" spans="1:4" x14ac:dyDescent="0.4">
      <c r="A4901" t="str">
        <f t="shared" si="152"/>
        <v/>
      </c>
      <c r="B4901" t="str">
        <f t="shared" si="153"/>
        <v/>
      </c>
      <c r="C4901" t="str">
        <f>IF(D4901="","",IF(COUNTIF($D$2:D4901,D4901)&gt;1,"",SUMIFS(tbl_input[필요수량],tbl_input[집계키_청],D4901)))</f>
        <v/>
      </c>
      <c r="D4901" t="str">
        <f>IFERROR(INDEX(tbl_input[집계키_청],ROW()-1),"")</f>
        <v/>
      </c>
    </row>
    <row r="4902" spans="1:4" x14ac:dyDescent="0.4">
      <c r="A4902" t="str">
        <f t="shared" si="152"/>
        <v/>
      </c>
      <c r="B4902" t="str">
        <f t="shared" si="153"/>
        <v/>
      </c>
      <c r="C4902" t="str">
        <f>IF(D4902="","",IF(COUNTIF($D$2:D4902,D4902)&gt;1,"",SUMIFS(tbl_input[필요수량],tbl_input[집계키_청],D4902)))</f>
        <v/>
      </c>
      <c r="D4902" t="str">
        <f>IFERROR(INDEX(tbl_input[집계키_청],ROW()-1),"")</f>
        <v/>
      </c>
    </row>
    <row r="4903" spans="1:4" x14ac:dyDescent="0.4">
      <c r="A4903" t="str">
        <f t="shared" si="152"/>
        <v/>
      </c>
      <c r="B4903" t="str">
        <f t="shared" si="153"/>
        <v/>
      </c>
      <c r="C4903" t="str">
        <f>IF(D4903="","",IF(COUNTIF($D$2:D4903,D4903)&gt;1,"",SUMIFS(tbl_input[필요수량],tbl_input[집계키_청],D4903)))</f>
        <v/>
      </c>
      <c r="D4903" t="str">
        <f>IFERROR(INDEX(tbl_input[집계키_청],ROW()-1),"")</f>
        <v/>
      </c>
    </row>
    <row r="4904" spans="1:4" x14ac:dyDescent="0.4">
      <c r="A4904" t="str">
        <f t="shared" si="152"/>
        <v/>
      </c>
      <c r="B4904" t="str">
        <f t="shared" si="153"/>
        <v/>
      </c>
      <c r="C4904" t="str">
        <f>IF(D4904="","",IF(COUNTIF($D$2:D4904,D4904)&gt;1,"",SUMIFS(tbl_input[필요수량],tbl_input[집계키_청],D4904)))</f>
        <v/>
      </c>
      <c r="D4904" t="str">
        <f>IFERROR(INDEX(tbl_input[집계키_청],ROW()-1),"")</f>
        <v/>
      </c>
    </row>
    <row r="4905" spans="1:4" x14ac:dyDescent="0.4">
      <c r="A4905" t="str">
        <f t="shared" si="152"/>
        <v/>
      </c>
      <c r="B4905" t="str">
        <f t="shared" si="153"/>
        <v/>
      </c>
      <c r="C4905" t="str">
        <f>IF(D4905="","",IF(COUNTIF($D$2:D4905,D4905)&gt;1,"",SUMIFS(tbl_input[필요수량],tbl_input[집계키_청],D4905)))</f>
        <v/>
      </c>
      <c r="D4905" t="str">
        <f>IFERROR(INDEX(tbl_input[집계키_청],ROW()-1),"")</f>
        <v/>
      </c>
    </row>
    <row r="4906" spans="1:4" x14ac:dyDescent="0.4">
      <c r="A4906" t="str">
        <f t="shared" si="152"/>
        <v/>
      </c>
      <c r="B4906" t="str">
        <f t="shared" si="153"/>
        <v/>
      </c>
      <c r="C4906" t="str">
        <f>IF(D4906="","",IF(COUNTIF($D$2:D4906,D4906)&gt;1,"",SUMIFS(tbl_input[필요수량],tbl_input[집계키_청],D4906)))</f>
        <v/>
      </c>
      <c r="D4906" t="str">
        <f>IFERROR(INDEX(tbl_input[집계키_청],ROW()-1),"")</f>
        <v/>
      </c>
    </row>
    <row r="4907" spans="1:4" x14ac:dyDescent="0.4">
      <c r="A4907" t="str">
        <f t="shared" si="152"/>
        <v/>
      </c>
      <c r="B4907" t="str">
        <f t="shared" si="153"/>
        <v/>
      </c>
      <c r="C4907" t="str">
        <f>IF(D4907="","",IF(COUNTIF($D$2:D4907,D4907)&gt;1,"",SUMIFS(tbl_input[필요수량],tbl_input[집계키_청],D4907)))</f>
        <v/>
      </c>
      <c r="D4907" t="str">
        <f>IFERROR(INDEX(tbl_input[집계키_청],ROW()-1),"")</f>
        <v/>
      </c>
    </row>
    <row r="4908" spans="1:4" x14ac:dyDescent="0.4">
      <c r="A4908" t="str">
        <f t="shared" si="152"/>
        <v/>
      </c>
      <c r="B4908" t="str">
        <f t="shared" si="153"/>
        <v/>
      </c>
      <c r="C4908" t="str">
        <f>IF(D4908="","",IF(COUNTIF($D$2:D4908,D4908)&gt;1,"",SUMIFS(tbl_input[필요수량],tbl_input[집계키_청],D4908)))</f>
        <v/>
      </c>
      <c r="D4908" t="str">
        <f>IFERROR(INDEX(tbl_input[집계키_청],ROW()-1),"")</f>
        <v/>
      </c>
    </row>
    <row r="4909" spans="1:4" x14ac:dyDescent="0.4">
      <c r="A4909" t="str">
        <f t="shared" si="152"/>
        <v/>
      </c>
      <c r="B4909" t="str">
        <f t="shared" si="153"/>
        <v/>
      </c>
      <c r="C4909" t="str">
        <f>IF(D4909="","",IF(COUNTIF($D$2:D4909,D4909)&gt;1,"",SUMIFS(tbl_input[필요수량],tbl_input[집계키_청],D4909)))</f>
        <v/>
      </c>
      <c r="D4909" t="str">
        <f>IFERROR(INDEX(tbl_input[집계키_청],ROW()-1),"")</f>
        <v/>
      </c>
    </row>
    <row r="4910" spans="1:4" x14ac:dyDescent="0.4">
      <c r="A4910" t="str">
        <f t="shared" si="152"/>
        <v/>
      </c>
      <c r="B4910" t="str">
        <f t="shared" si="153"/>
        <v/>
      </c>
      <c r="C4910" t="str">
        <f>IF(D4910="","",IF(COUNTIF($D$2:D4910,D4910)&gt;1,"",SUMIFS(tbl_input[필요수량],tbl_input[집계키_청],D4910)))</f>
        <v/>
      </c>
      <c r="D4910" t="str">
        <f>IFERROR(INDEX(tbl_input[집계키_청],ROW()-1),"")</f>
        <v/>
      </c>
    </row>
    <row r="4911" spans="1:4" x14ac:dyDescent="0.4">
      <c r="A4911" t="str">
        <f t="shared" si="152"/>
        <v/>
      </c>
      <c r="B4911" t="str">
        <f t="shared" si="153"/>
        <v/>
      </c>
      <c r="C4911" t="str">
        <f>IF(D4911="","",IF(COUNTIF($D$2:D4911,D4911)&gt;1,"",SUMIFS(tbl_input[필요수량],tbl_input[집계키_청],D4911)))</f>
        <v/>
      </c>
      <c r="D4911" t="str">
        <f>IFERROR(INDEX(tbl_input[집계키_청],ROW()-1),"")</f>
        <v/>
      </c>
    </row>
    <row r="4912" spans="1:4" x14ac:dyDescent="0.4">
      <c r="A4912" t="str">
        <f t="shared" si="152"/>
        <v/>
      </c>
      <c r="B4912" t="str">
        <f t="shared" si="153"/>
        <v/>
      </c>
      <c r="C4912" t="str">
        <f>IF(D4912="","",IF(COUNTIF($D$2:D4912,D4912)&gt;1,"",SUMIFS(tbl_input[필요수량],tbl_input[집계키_청],D4912)))</f>
        <v/>
      </c>
      <c r="D4912" t="str">
        <f>IFERROR(INDEX(tbl_input[집계키_청],ROW()-1),"")</f>
        <v/>
      </c>
    </row>
    <row r="4913" spans="1:4" x14ac:dyDescent="0.4">
      <c r="A4913" t="str">
        <f t="shared" si="152"/>
        <v/>
      </c>
      <c r="B4913" t="str">
        <f t="shared" si="153"/>
        <v/>
      </c>
      <c r="C4913" t="str">
        <f>IF(D4913="","",IF(COUNTIF($D$2:D4913,D4913)&gt;1,"",SUMIFS(tbl_input[필요수량],tbl_input[집계키_청],D4913)))</f>
        <v/>
      </c>
      <c r="D4913" t="str">
        <f>IFERROR(INDEX(tbl_input[집계키_청],ROW()-1),"")</f>
        <v/>
      </c>
    </row>
    <row r="4914" spans="1:4" x14ac:dyDescent="0.4">
      <c r="A4914" t="str">
        <f t="shared" si="152"/>
        <v/>
      </c>
      <c r="B4914" t="str">
        <f t="shared" si="153"/>
        <v/>
      </c>
      <c r="C4914" t="str">
        <f>IF(D4914="","",IF(COUNTIF($D$2:D4914,D4914)&gt;1,"",SUMIFS(tbl_input[필요수량],tbl_input[집계키_청],D4914)))</f>
        <v/>
      </c>
      <c r="D4914" t="str">
        <f>IFERROR(INDEX(tbl_input[집계키_청],ROW()-1),"")</f>
        <v/>
      </c>
    </row>
    <row r="4915" spans="1:4" x14ac:dyDescent="0.4">
      <c r="A4915" t="str">
        <f t="shared" si="152"/>
        <v/>
      </c>
      <c r="B4915" t="str">
        <f t="shared" si="153"/>
        <v/>
      </c>
      <c r="C4915" t="str">
        <f>IF(D4915="","",IF(COUNTIF($D$2:D4915,D4915)&gt;1,"",SUMIFS(tbl_input[필요수량],tbl_input[집계키_청],D4915)))</f>
        <v/>
      </c>
      <c r="D4915" t="str">
        <f>IFERROR(INDEX(tbl_input[집계키_청],ROW()-1),"")</f>
        <v/>
      </c>
    </row>
    <row r="4916" spans="1:4" x14ac:dyDescent="0.4">
      <c r="A4916" t="str">
        <f t="shared" si="152"/>
        <v/>
      </c>
      <c r="B4916" t="str">
        <f t="shared" si="153"/>
        <v/>
      </c>
      <c r="C4916" t="str">
        <f>IF(D4916="","",IF(COUNTIF($D$2:D4916,D4916)&gt;1,"",SUMIFS(tbl_input[필요수량],tbl_input[집계키_청],D4916)))</f>
        <v/>
      </c>
      <c r="D4916" t="str">
        <f>IFERROR(INDEX(tbl_input[집계키_청],ROW()-1),"")</f>
        <v/>
      </c>
    </row>
    <row r="4917" spans="1:4" x14ac:dyDescent="0.4">
      <c r="A4917" t="str">
        <f t="shared" si="152"/>
        <v/>
      </c>
      <c r="B4917" t="str">
        <f t="shared" si="153"/>
        <v/>
      </c>
      <c r="C4917" t="str">
        <f>IF(D4917="","",IF(COUNTIF($D$2:D4917,D4917)&gt;1,"",SUMIFS(tbl_input[필요수량],tbl_input[집계키_청],D4917)))</f>
        <v/>
      </c>
      <c r="D4917" t="str">
        <f>IFERROR(INDEX(tbl_input[집계키_청],ROW()-1),"")</f>
        <v/>
      </c>
    </row>
    <row r="4918" spans="1:4" x14ac:dyDescent="0.4">
      <c r="A4918" t="str">
        <f t="shared" si="152"/>
        <v/>
      </c>
      <c r="B4918" t="str">
        <f t="shared" si="153"/>
        <v/>
      </c>
      <c r="C4918" t="str">
        <f>IF(D4918="","",IF(COUNTIF($D$2:D4918,D4918)&gt;1,"",SUMIFS(tbl_input[필요수량],tbl_input[집계키_청],D4918)))</f>
        <v/>
      </c>
      <c r="D4918" t="str">
        <f>IFERROR(INDEX(tbl_input[집계키_청],ROW()-1),"")</f>
        <v/>
      </c>
    </row>
    <row r="4919" spans="1:4" x14ac:dyDescent="0.4">
      <c r="A4919" t="str">
        <f t="shared" si="152"/>
        <v/>
      </c>
      <c r="B4919" t="str">
        <f t="shared" si="153"/>
        <v/>
      </c>
      <c r="C4919" t="str">
        <f>IF(D4919="","",IF(COUNTIF($D$2:D4919,D4919)&gt;1,"",SUMIFS(tbl_input[필요수량],tbl_input[집계키_청],D4919)))</f>
        <v/>
      </c>
      <c r="D4919" t="str">
        <f>IFERROR(INDEX(tbl_input[집계키_청],ROW()-1),"")</f>
        <v/>
      </c>
    </row>
    <row r="4920" spans="1:4" x14ac:dyDescent="0.4">
      <c r="A4920" t="str">
        <f t="shared" si="152"/>
        <v/>
      </c>
      <c r="B4920" t="str">
        <f t="shared" si="153"/>
        <v/>
      </c>
      <c r="C4920" t="str">
        <f>IF(D4920="","",IF(COUNTIF($D$2:D4920,D4920)&gt;1,"",SUMIFS(tbl_input[필요수량],tbl_input[집계키_청],D4920)))</f>
        <v/>
      </c>
      <c r="D4920" t="str">
        <f>IFERROR(INDEX(tbl_input[집계키_청],ROW()-1),"")</f>
        <v/>
      </c>
    </row>
    <row r="4921" spans="1:4" x14ac:dyDescent="0.4">
      <c r="A4921" t="str">
        <f t="shared" si="152"/>
        <v/>
      </c>
      <c r="B4921" t="str">
        <f t="shared" si="153"/>
        <v/>
      </c>
      <c r="C4921" t="str">
        <f>IF(D4921="","",IF(COUNTIF($D$2:D4921,D4921)&gt;1,"",SUMIFS(tbl_input[필요수량],tbl_input[집계키_청],D4921)))</f>
        <v/>
      </c>
      <c r="D4921" t="str">
        <f>IFERROR(INDEX(tbl_input[집계키_청],ROW()-1),"")</f>
        <v/>
      </c>
    </row>
    <row r="4922" spans="1:4" x14ac:dyDescent="0.4">
      <c r="A4922" t="str">
        <f t="shared" si="152"/>
        <v/>
      </c>
      <c r="B4922" t="str">
        <f t="shared" si="153"/>
        <v/>
      </c>
      <c r="C4922" t="str">
        <f>IF(D4922="","",IF(COUNTIF($D$2:D4922,D4922)&gt;1,"",SUMIFS(tbl_input[필요수량],tbl_input[집계키_청],D4922)))</f>
        <v/>
      </c>
      <c r="D4922" t="str">
        <f>IFERROR(INDEX(tbl_input[집계키_청],ROW()-1),"")</f>
        <v/>
      </c>
    </row>
    <row r="4923" spans="1:4" x14ac:dyDescent="0.4">
      <c r="A4923" t="str">
        <f t="shared" si="152"/>
        <v/>
      </c>
      <c r="B4923" t="str">
        <f t="shared" si="153"/>
        <v/>
      </c>
      <c r="C4923" t="str">
        <f>IF(D4923="","",IF(COUNTIF($D$2:D4923,D4923)&gt;1,"",SUMIFS(tbl_input[필요수량],tbl_input[집계키_청],D4923)))</f>
        <v/>
      </c>
      <c r="D4923" t="str">
        <f>IFERROR(INDEX(tbl_input[집계키_청],ROW()-1),"")</f>
        <v/>
      </c>
    </row>
    <row r="4924" spans="1:4" x14ac:dyDescent="0.4">
      <c r="A4924" t="str">
        <f t="shared" si="152"/>
        <v/>
      </c>
      <c r="B4924" t="str">
        <f t="shared" si="153"/>
        <v/>
      </c>
      <c r="C4924" t="str">
        <f>IF(D4924="","",IF(COUNTIF($D$2:D4924,D4924)&gt;1,"",SUMIFS(tbl_input[필요수량],tbl_input[집계키_청],D4924)))</f>
        <v/>
      </c>
      <c r="D4924" t="str">
        <f>IFERROR(INDEX(tbl_input[집계키_청],ROW()-1),"")</f>
        <v/>
      </c>
    </row>
    <row r="4925" spans="1:4" x14ac:dyDescent="0.4">
      <c r="A4925" t="str">
        <f t="shared" si="152"/>
        <v/>
      </c>
      <c r="B4925" t="str">
        <f t="shared" si="153"/>
        <v/>
      </c>
      <c r="C4925" t="str">
        <f>IF(D4925="","",IF(COUNTIF($D$2:D4925,D4925)&gt;1,"",SUMIFS(tbl_input[필요수량],tbl_input[집계키_청],D4925)))</f>
        <v/>
      </c>
      <c r="D4925" t="str">
        <f>IFERROR(INDEX(tbl_input[집계키_청],ROW()-1),"")</f>
        <v/>
      </c>
    </row>
    <row r="4926" spans="1:4" x14ac:dyDescent="0.4">
      <c r="A4926" t="str">
        <f t="shared" si="152"/>
        <v/>
      </c>
      <c r="B4926" t="str">
        <f t="shared" si="153"/>
        <v/>
      </c>
      <c r="C4926" t="str">
        <f>IF(D4926="","",IF(COUNTIF($D$2:D4926,D4926)&gt;1,"",SUMIFS(tbl_input[필요수량],tbl_input[집계키_청],D4926)))</f>
        <v/>
      </c>
      <c r="D4926" t="str">
        <f>IFERROR(INDEX(tbl_input[집계키_청],ROW()-1),"")</f>
        <v/>
      </c>
    </row>
    <row r="4927" spans="1:4" x14ac:dyDescent="0.4">
      <c r="A4927" t="str">
        <f t="shared" si="152"/>
        <v/>
      </c>
      <c r="B4927" t="str">
        <f t="shared" si="153"/>
        <v/>
      </c>
      <c r="C4927" t="str">
        <f>IF(D4927="","",IF(COUNTIF($D$2:D4927,D4927)&gt;1,"",SUMIFS(tbl_input[필요수량],tbl_input[집계키_청],D4927)))</f>
        <v/>
      </c>
      <c r="D4927" t="str">
        <f>IFERROR(INDEX(tbl_input[집계키_청],ROW()-1),"")</f>
        <v/>
      </c>
    </row>
    <row r="4928" spans="1:4" x14ac:dyDescent="0.4">
      <c r="A4928" t="str">
        <f t="shared" si="152"/>
        <v/>
      </c>
      <c r="B4928" t="str">
        <f t="shared" si="153"/>
        <v/>
      </c>
      <c r="C4928" t="str">
        <f>IF(D4928="","",IF(COUNTIF($D$2:D4928,D4928)&gt;1,"",SUMIFS(tbl_input[필요수량],tbl_input[집계키_청],D4928)))</f>
        <v/>
      </c>
      <c r="D4928" t="str">
        <f>IFERROR(INDEX(tbl_input[집계키_청],ROW()-1),"")</f>
        <v/>
      </c>
    </row>
    <row r="4929" spans="1:4" x14ac:dyDescent="0.4">
      <c r="A4929" t="str">
        <f t="shared" si="152"/>
        <v/>
      </c>
      <c r="B4929" t="str">
        <f t="shared" si="153"/>
        <v/>
      </c>
      <c r="C4929" t="str">
        <f>IF(D4929="","",IF(COUNTIF($D$2:D4929,D4929)&gt;1,"",SUMIFS(tbl_input[필요수량],tbl_input[집계키_청],D4929)))</f>
        <v/>
      </c>
      <c r="D4929" t="str">
        <f>IFERROR(INDEX(tbl_input[집계키_청],ROW()-1),"")</f>
        <v/>
      </c>
    </row>
    <row r="4930" spans="1:4" x14ac:dyDescent="0.4">
      <c r="A4930" t="str">
        <f t="shared" ref="A4930:A4993" si="154">IF(D4930="","",LEFT(D4930,FIND("♦",D4930)-1))</f>
        <v/>
      </c>
      <c r="B4930" t="str">
        <f t="shared" ref="B4930:B4993" si="155">IF(D4930="","",MID(D4930,FIND("♦",D4930)+1,999))</f>
        <v/>
      </c>
      <c r="C4930" t="str">
        <f>IF(D4930="","",IF(COUNTIF($D$2:D4930,D4930)&gt;1,"",SUMIFS(tbl_input[필요수량],tbl_input[집계키_청],D4930)))</f>
        <v/>
      </c>
      <c r="D4930" t="str">
        <f>IFERROR(INDEX(tbl_input[집계키_청],ROW()-1),"")</f>
        <v/>
      </c>
    </row>
    <row r="4931" spans="1:4" x14ac:dyDescent="0.4">
      <c r="A4931" t="str">
        <f t="shared" si="154"/>
        <v/>
      </c>
      <c r="B4931" t="str">
        <f t="shared" si="155"/>
        <v/>
      </c>
      <c r="C4931" t="str">
        <f>IF(D4931="","",IF(COUNTIF($D$2:D4931,D4931)&gt;1,"",SUMIFS(tbl_input[필요수량],tbl_input[집계키_청],D4931)))</f>
        <v/>
      </c>
      <c r="D4931" t="str">
        <f>IFERROR(INDEX(tbl_input[집계키_청],ROW()-1),"")</f>
        <v/>
      </c>
    </row>
    <row r="4932" spans="1:4" x14ac:dyDescent="0.4">
      <c r="A4932" t="str">
        <f t="shared" si="154"/>
        <v/>
      </c>
      <c r="B4932" t="str">
        <f t="shared" si="155"/>
        <v/>
      </c>
      <c r="C4932" t="str">
        <f>IF(D4932="","",IF(COUNTIF($D$2:D4932,D4932)&gt;1,"",SUMIFS(tbl_input[필요수량],tbl_input[집계키_청],D4932)))</f>
        <v/>
      </c>
      <c r="D4932" t="str">
        <f>IFERROR(INDEX(tbl_input[집계키_청],ROW()-1),"")</f>
        <v/>
      </c>
    </row>
    <row r="4933" spans="1:4" x14ac:dyDescent="0.4">
      <c r="A4933" t="str">
        <f t="shared" si="154"/>
        <v/>
      </c>
      <c r="B4933" t="str">
        <f t="shared" si="155"/>
        <v/>
      </c>
      <c r="C4933" t="str">
        <f>IF(D4933="","",IF(COUNTIF($D$2:D4933,D4933)&gt;1,"",SUMIFS(tbl_input[필요수량],tbl_input[집계키_청],D4933)))</f>
        <v/>
      </c>
      <c r="D4933" t="str">
        <f>IFERROR(INDEX(tbl_input[집계키_청],ROW()-1),"")</f>
        <v/>
      </c>
    </row>
    <row r="4934" spans="1:4" x14ac:dyDescent="0.4">
      <c r="A4934" t="str">
        <f t="shared" si="154"/>
        <v/>
      </c>
      <c r="B4934" t="str">
        <f t="shared" si="155"/>
        <v/>
      </c>
      <c r="C4934" t="str">
        <f>IF(D4934="","",IF(COUNTIF($D$2:D4934,D4934)&gt;1,"",SUMIFS(tbl_input[필요수량],tbl_input[집계키_청],D4934)))</f>
        <v/>
      </c>
      <c r="D4934" t="str">
        <f>IFERROR(INDEX(tbl_input[집계키_청],ROW()-1),"")</f>
        <v/>
      </c>
    </row>
    <row r="4935" spans="1:4" x14ac:dyDescent="0.4">
      <c r="A4935" t="str">
        <f t="shared" si="154"/>
        <v/>
      </c>
      <c r="B4935" t="str">
        <f t="shared" si="155"/>
        <v/>
      </c>
      <c r="C4935" t="str">
        <f>IF(D4935="","",IF(COUNTIF($D$2:D4935,D4935)&gt;1,"",SUMIFS(tbl_input[필요수량],tbl_input[집계키_청],D4935)))</f>
        <v/>
      </c>
      <c r="D4935" t="str">
        <f>IFERROR(INDEX(tbl_input[집계키_청],ROW()-1),"")</f>
        <v/>
      </c>
    </row>
    <row r="4936" spans="1:4" x14ac:dyDescent="0.4">
      <c r="A4936" t="str">
        <f t="shared" si="154"/>
        <v/>
      </c>
      <c r="B4936" t="str">
        <f t="shared" si="155"/>
        <v/>
      </c>
      <c r="C4936" t="str">
        <f>IF(D4936="","",IF(COUNTIF($D$2:D4936,D4936)&gt;1,"",SUMIFS(tbl_input[필요수량],tbl_input[집계키_청],D4936)))</f>
        <v/>
      </c>
      <c r="D4936" t="str">
        <f>IFERROR(INDEX(tbl_input[집계키_청],ROW()-1),"")</f>
        <v/>
      </c>
    </row>
    <row r="4937" spans="1:4" x14ac:dyDescent="0.4">
      <c r="A4937" t="str">
        <f t="shared" si="154"/>
        <v/>
      </c>
      <c r="B4937" t="str">
        <f t="shared" si="155"/>
        <v/>
      </c>
      <c r="C4937" t="str">
        <f>IF(D4937="","",IF(COUNTIF($D$2:D4937,D4937)&gt;1,"",SUMIFS(tbl_input[필요수량],tbl_input[집계키_청],D4937)))</f>
        <v/>
      </c>
      <c r="D4937" t="str">
        <f>IFERROR(INDEX(tbl_input[집계키_청],ROW()-1),"")</f>
        <v/>
      </c>
    </row>
    <row r="4938" spans="1:4" x14ac:dyDescent="0.4">
      <c r="A4938" t="str">
        <f t="shared" si="154"/>
        <v/>
      </c>
      <c r="B4938" t="str">
        <f t="shared" si="155"/>
        <v/>
      </c>
      <c r="C4938" t="str">
        <f>IF(D4938="","",IF(COUNTIF($D$2:D4938,D4938)&gt;1,"",SUMIFS(tbl_input[필요수량],tbl_input[집계키_청],D4938)))</f>
        <v/>
      </c>
      <c r="D4938" t="str">
        <f>IFERROR(INDEX(tbl_input[집계키_청],ROW()-1),"")</f>
        <v/>
      </c>
    </row>
    <row r="4939" spans="1:4" x14ac:dyDescent="0.4">
      <c r="A4939" t="str">
        <f t="shared" si="154"/>
        <v/>
      </c>
      <c r="B4939" t="str">
        <f t="shared" si="155"/>
        <v/>
      </c>
      <c r="C4939" t="str">
        <f>IF(D4939="","",IF(COUNTIF($D$2:D4939,D4939)&gt;1,"",SUMIFS(tbl_input[필요수량],tbl_input[집계키_청],D4939)))</f>
        <v/>
      </c>
      <c r="D4939" t="str">
        <f>IFERROR(INDEX(tbl_input[집계키_청],ROW()-1),"")</f>
        <v/>
      </c>
    </row>
    <row r="4940" spans="1:4" x14ac:dyDescent="0.4">
      <c r="A4940" t="str">
        <f t="shared" si="154"/>
        <v/>
      </c>
      <c r="B4940" t="str">
        <f t="shared" si="155"/>
        <v/>
      </c>
      <c r="C4940" t="str">
        <f>IF(D4940="","",IF(COUNTIF($D$2:D4940,D4940)&gt;1,"",SUMIFS(tbl_input[필요수량],tbl_input[집계키_청],D4940)))</f>
        <v/>
      </c>
      <c r="D4940" t="str">
        <f>IFERROR(INDEX(tbl_input[집계키_청],ROW()-1),"")</f>
        <v/>
      </c>
    </row>
    <row r="4941" spans="1:4" x14ac:dyDescent="0.4">
      <c r="A4941" t="str">
        <f t="shared" si="154"/>
        <v/>
      </c>
      <c r="B4941" t="str">
        <f t="shared" si="155"/>
        <v/>
      </c>
      <c r="C4941" t="str">
        <f>IF(D4941="","",IF(COUNTIF($D$2:D4941,D4941)&gt;1,"",SUMIFS(tbl_input[필요수량],tbl_input[집계키_청],D4941)))</f>
        <v/>
      </c>
      <c r="D4941" t="str">
        <f>IFERROR(INDEX(tbl_input[집계키_청],ROW()-1),"")</f>
        <v/>
      </c>
    </row>
    <row r="4942" spans="1:4" x14ac:dyDescent="0.4">
      <c r="A4942" t="str">
        <f t="shared" si="154"/>
        <v/>
      </c>
      <c r="B4942" t="str">
        <f t="shared" si="155"/>
        <v/>
      </c>
      <c r="C4942" t="str">
        <f>IF(D4942="","",IF(COUNTIF($D$2:D4942,D4942)&gt;1,"",SUMIFS(tbl_input[필요수량],tbl_input[집계키_청],D4942)))</f>
        <v/>
      </c>
      <c r="D4942" t="str">
        <f>IFERROR(INDEX(tbl_input[집계키_청],ROW()-1),"")</f>
        <v/>
      </c>
    </row>
    <row r="4943" spans="1:4" x14ac:dyDescent="0.4">
      <c r="A4943" t="str">
        <f t="shared" si="154"/>
        <v/>
      </c>
      <c r="B4943" t="str">
        <f t="shared" si="155"/>
        <v/>
      </c>
      <c r="C4943" t="str">
        <f>IF(D4943="","",IF(COUNTIF($D$2:D4943,D4943)&gt;1,"",SUMIFS(tbl_input[필요수량],tbl_input[집계키_청],D4943)))</f>
        <v/>
      </c>
      <c r="D4943" t="str">
        <f>IFERROR(INDEX(tbl_input[집계키_청],ROW()-1),"")</f>
        <v/>
      </c>
    </row>
    <row r="4944" spans="1:4" x14ac:dyDescent="0.4">
      <c r="A4944" t="str">
        <f t="shared" si="154"/>
        <v/>
      </c>
      <c r="B4944" t="str">
        <f t="shared" si="155"/>
        <v/>
      </c>
      <c r="C4944" t="str">
        <f>IF(D4944="","",IF(COUNTIF($D$2:D4944,D4944)&gt;1,"",SUMIFS(tbl_input[필요수량],tbl_input[집계키_청],D4944)))</f>
        <v/>
      </c>
      <c r="D4944" t="str">
        <f>IFERROR(INDEX(tbl_input[집계키_청],ROW()-1),"")</f>
        <v/>
      </c>
    </row>
    <row r="4945" spans="1:4" x14ac:dyDescent="0.4">
      <c r="A4945" t="str">
        <f t="shared" si="154"/>
        <v/>
      </c>
      <c r="B4945" t="str">
        <f t="shared" si="155"/>
        <v/>
      </c>
      <c r="C4945" t="str">
        <f>IF(D4945="","",IF(COUNTIF($D$2:D4945,D4945)&gt;1,"",SUMIFS(tbl_input[필요수량],tbl_input[집계키_청],D4945)))</f>
        <v/>
      </c>
      <c r="D4945" t="str">
        <f>IFERROR(INDEX(tbl_input[집계키_청],ROW()-1),"")</f>
        <v/>
      </c>
    </row>
    <row r="4946" spans="1:4" x14ac:dyDescent="0.4">
      <c r="A4946" t="str">
        <f t="shared" si="154"/>
        <v/>
      </c>
      <c r="B4946" t="str">
        <f t="shared" si="155"/>
        <v/>
      </c>
      <c r="C4946" t="str">
        <f>IF(D4946="","",IF(COUNTIF($D$2:D4946,D4946)&gt;1,"",SUMIFS(tbl_input[필요수량],tbl_input[집계키_청],D4946)))</f>
        <v/>
      </c>
      <c r="D4946" t="str">
        <f>IFERROR(INDEX(tbl_input[집계키_청],ROW()-1),"")</f>
        <v/>
      </c>
    </row>
    <row r="4947" spans="1:4" x14ac:dyDescent="0.4">
      <c r="A4947" t="str">
        <f t="shared" si="154"/>
        <v/>
      </c>
      <c r="B4947" t="str">
        <f t="shared" si="155"/>
        <v/>
      </c>
      <c r="C4947" t="str">
        <f>IF(D4947="","",IF(COUNTIF($D$2:D4947,D4947)&gt;1,"",SUMIFS(tbl_input[필요수량],tbl_input[집계키_청],D4947)))</f>
        <v/>
      </c>
      <c r="D4947" t="str">
        <f>IFERROR(INDEX(tbl_input[집계키_청],ROW()-1),"")</f>
        <v/>
      </c>
    </row>
    <row r="4948" spans="1:4" x14ac:dyDescent="0.4">
      <c r="A4948" t="str">
        <f t="shared" si="154"/>
        <v/>
      </c>
      <c r="B4948" t="str">
        <f t="shared" si="155"/>
        <v/>
      </c>
      <c r="C4948" t="str">
        <f>IF(D4948="","",IF(COUNTIF($D$2:D4948,D4948)&gt;1,"",SUMIFS(tbl_input[필요수량],tbl_input[집계키_청],D4948)))</f>
        <v/>
      </c>
      <c r="D4948" t="str">
        <f>IFERROR(INDEX(tbl_input[집계키_청],ROW()-1),"")</f>
        <v/>
      </c>
    </row>
    <row r="4949" spans="1:4" x14ac:dyDescent="0.4">
      <c r="A4949" t="str">
        <f t="shared" si="154"/>
        <v/>
      </c>
      <c r="B4949" t="str">
        <f t="shared" si="155"/>
        <v/>
      </c>
      <c r="C4949" t="str">
        <f>IF(D4949="","",IF(COUNTIF($D$2:D4949,D4949)&gt;1,"",SUMIFS(tbl_input[필요수량],tbl_input[집계키_청],D4949)))</f>
        <v/>
      </c>
      <c r="D4949" t="str">
        <f>IFERROR(INDEX(tbl_input[집계키_청],ROW()-1),"")</f>
        <v/>
      </c>
    </row>
    <row r="4950" spans="1:4" x14ac:dyDescent="0.4">
      <c r="A4950" t="str">
        <f t="shared" si="154"/>
        <v/>
      </c>
      <c r="B4950" t="str">
        <f t="shared" si="155"/>
        <v/>
      </c>
      <c r="C4950" t="str">
        <f>IF(D4950="","",IF(COUNTIF($D$2:D4950,D4950)&gt;1,"",SUMIFS(tbl_input[필요수량],tbl_input[집계키_청],D4950)))</f>
        <v/>
      </c>
      <c r="D4950" t="str">
        <f>IFERROR(INDEX(tbl_input[집계키_청],ROW()-1),"")</f>
        <v/>
      </c>
    </row>
    <row r="4951" spans="1:4" x14ac:dyDescent="0.4">
      <c r="A4951" t="str">
        <f t="shared" si="154"/>
        <v/>
      </c>
      <c r="B4951" t="str">
        <f t="shared" si="155"/>
        <v/>
      </c>
      <c r="C4951" t="str">
        <f>IF(D4951="","",IF(COUNTIF($D$2:D4951,D4951)&gt;1,"",SUMIFS(tbl_input[필요수량],tbl_input[집계키_청],D4951)))</f>
        <v/>
      </c>
      <c r="D4951" t="str">
        <f>IFERROR(INDEX(tbl_input[집계키_청],ROW()-1),"")</f>
        <v/>
      </c>
    </row>
    <row r="4952" spans="1:4" x14ac:dyDescent="0.4">
      <c r="A4952" t="str">
        <f t="shared" si="154"/>
        <v/>
      </c>
      <c r="B4952" t="str">
        <f t="shared" si="155"/>
        <v/>
      </c>
      <c r="C4952" t="str">
        <f>IF(D4952="","",IF(COUNTIF($D$2:D4952,D4952)&gt;1,"",SUMIFS(tbl_input[필요수량],tbl_input[집계키_청],D4952)))</f>
        <v/>
      </c>
      <c r="D4952" t="str">
        <f>IFERROR(INDEX(tbl_input[집계키_청],ROW()-1),"")</f>
        <v/>
      </c>
    </row>
    <row r="4953" spans="1:4" x14ac:dyDescent="0.4">
      <c r="A4953" t="str">
        <f t="shared" si="154"/>
        <v/>
      </c>
      <c r="B4953" t="str">
        <f t="shared" si="155"/>
        <v/>
      </c>
      <c r="C4953" t="str">
        <f>IF(D4953="","",IF(COUNTIF($D$2:D4953,D4953)&gt;1,"",SUMIFS(tbl_input[필요수량],tbl_input[집계키_청],D4953)))</f>
        <v/>
      </c>
      <c r="D4953" t="str">
        <f>IFERROR(INDEX(tbl_input[집계키_청],ROW()-1),"")</f>
        <v/>
      </c>
    </row>
    <row r="4954" spans="1:4" x14ac:dyDescent="0.4">
      <c r="A4954" t="str">
        <f t="shared" si="154"/>
        <v/>
      </c>
      <c r="B4954" t="str">
        <f t="shared" si="155"/>
        <v/>
      </c>
      <c r="C4954" t="str">
        <f>IF(D4954="","",IF(COUNTIF($D$2:D4954,D4954)&gt;1,"",SUMIFS(tbl_input[필요수량],tbl_input[집계키_청],D4954)))</f>
        <v/>
      </c>
      <c r="D4954" t="str">
        <f>IFERROR(INDEX(tbl_input[집계키_청],ROW()-1),"")</f>
        <v/>
      </c>
    </row>
    <row r="4955" spans="1:4" x14ac:dyDescent="0.4">
      <c r="A4955" t="str">
        <f t="shared" si="154"/>
        <v/>
      </c>
      <c r="B4955" t="str">
        <f t="shared" si="155"/>
        <v/>
      </c>
      <c r="C4955" t="str">
        <f>IF(D4955="","",IF(COUNTIF($D$2:D4955,D4955)&gt;1,"",SUMIFS(tbl_input[필요수량],tbl_input[집계키_청],D4955)))</f>
        <v/>
      </c>
      <c r="D4955" t="str">
        <f>IFERROR(INDEX(tbl_input[집계키_청],ROW()-1),"")</f>
        <v/>
      </c>
    </row>
    <row r="4956" spans="1:4" x14ac:dyDescent="0.4">
      <c r="A4956" t="str">
        <f t="shared" si="154"/>
        <v/>
      </c>
      <c r="B4956" t="str">
        <f t="shared" si="155"/>
        <v/>
      </c>
      <c r="C4956" t="str">
        <f>IF(D4956="","",IF(COUNTIF($D$2:D4956,D4956)&gt;1,"",SUMIFS(tbl_input[필요수량],tbl_input[집계키_청],D4956)))</f>
        <v/>
      </c>
      <c r="D4956" t="str">
        <f>IFERROR(INDEX(tbl_input[집계키_청],ROW()-1),"")</f>
        <v/>
      </c>
    </row>
    <row r="4957" spans="1:4" x14ac:dyDescent="0.4">
      <c r="A4957" t="str">
        <f t="shared" si="154"/>
        <v/>
      </c>
      <c r="B4957" t="str">
        <f t="shared" si="155"/>
        <v/>
      </c>
      <c r="C4957" t="str">
        <f>IF(D4957="","",IF(COUNTIF($D$2:D4957,D4957)&gt;1,"",SUMIFS(tbl_input[필요수량],tbl_input[집계키_청],D4957)))</f>
        <v/>
      </c>
      <c r="D4957" t="str">
        <f>IFERROR(INDEX(tbl_input[집계키_청],ROW()-1),"")</f>
        <v/>
      </c>
    </row>
    <row r="4958" spans="1:4" x14ac:dyDescent="0.4">
      <c r="A4958" t="str">
        <f t="shared" si="154"/>
        <v/>
      </c>
      <c r="B4958" t="str">
        <f t="shared" si="155"/>
        <v/>
      </c>
      <c r="C4958" t="str">
        <f>IF(D4958="","",IF(COUNTIF($D$2:D4958,D4958)&gt;1,"",SUMIFS(tbl_input[필요수량],tbl_input[집계키_청],D4958)))</f>
        <v/>
      </c>
      <c r="D4958" t="str">
        <f>IFERROR(INDEX(tbl_input[집계키_청],ROW()-1),"")</f>
        <v/>
      </c>
    </row>
    <row r="4959" spans="1:4" x14ac:dyDescent="0.4">
      <c r="A4959" t="str">
        <f t="shared" si="154"/>
        <v/>
      </c>
      <c r="B4959" t="str">
        <f t="shared" si="155"/>
        <v/>
      </c>
      <c r="C4959" t="str">
        <f>IF(D4959="","",IF(COUNTIF($D$2:D4959,D4959)&gt;1,"",SUMIFS(tbl_input[필요수량],tbl_input[집계키_청],D4959)))</f>
        <v/>
      </c>
      <c r="D4959" t="str">
        <f>IFERROR(INDEX(tbl_input[집계키_청],ROW()-1),"")</f>
        <v/>
      </c>
    </row>
    <row r="4960" spans="1:4" x14ac:dyDescent="0.4">
      <c r="A4960" t="str">
        <f t="shared" si="154"/>
        <v/>
      </c>
      <c r="B4960" t="str">
        <f t="shared" si="155"/>
        <v/>
      </c>
      <c r="C4960" t="str">
        <f>IF(D4960="","",IF(COUNTIF($D$2:D4960,D4960)&gt;1,"",SUMIFS(tbl_input[필요수량],tbl_input[집계키_청],D4960)))</f>
        <v/>
      </c>
      <c r="D4960" t="str">
        <f>IFERROR(INDEX(tbl_input[집계키_청],ROW()-1),"")</f>
        <v/>
      </c>
    </row>
    <row r="4961" spans="1:4" x14ac:dyDescent="0.4">
      <c r="A4961" t="str">
        <f t="shared" si="154"/>
        <v/>
      </c>
      <c r="B4961" t="str">
        <f t="shared" si="155"/>
        <v/>
      </c>
      <c r="C4961" t="str">
        <f>IF(D4961="","",IF(COUNTIF($D$2:D4961,D4961)&gt;1,"",SUMIFS(tbl_input[필요수량],tbl_input[집계키_청],D4961)))</f>
        <v/>
      </c>
      <c r="D4961" t="str">
        <f>IFERROR(INDEX(tbl_input[집계키_청],ROW()-1),"")</f>
        <v/>
      </c>
    </row>
    <row r="4962" spans="1:4" x14ac:dyDescent="0.4">
      <c r="A4962" t="str">
        <f t="shared" si="154"/>
        <v/>
      </c>
      <c r="B4962" t="str">
        <f t="shared" si="155"/>
        <v/>
      </c>
      <c r="C4962" t="str">
        <f>IF(D4962="","",IF(COUNTIF($D$2:D4962,D4962)&gt;1,"",SUMIFS(tbl_input[필요수량],tbl_input[집계키_청],D4962)))</f>
        <v/>
      </c>
      <c r="D4962" t="str">
        <f>IFERROR(INDEX(tbl_input[집계키_청],ROW()-1),"")</f>
        <v/>
      </c>
    </row>
    <row r="4963" spans="1:4" x14ac:dyDescent="0.4">
      <c r="A4963" t="str">
        <f t="shared" si="154"/>
        <v/>
      </c>
      <c r="B4963" t="str">
        <f t="shared" si="155"/>
        <v/>
      </c>
      <c r="C4963" t="str">
        <f>IF(D4963="","",IF(COUNTIF($D$2:D4963,D4963)&gt;1,"",SUMIFS(tbl_input[필요수량],tbl_input[집계키_청],D4963)))</f>
        <v/>
      </c>
      <c r="D4963" t="str">
        <f>IFERROR(INDEX(tbl_input[집계키_청],ROW()-1),"")</f>
        <v/>
      </c>
    </row>
    <row r="4964" spans="1:4" x14ac:dyDescent="0.4">
      <c r="A4964" t="str">
        <f t="shared" si="154"/>
        <v/>
      </c>
      <c r="B4964" t="str">
        <f t="shared" si="155"/>
        <v/>
      </c>
      <c r="C4964" t="str">
        <f>IF(D4964="","",IF(COUNTIF($D$2:D4964,D4964)&gt;1,"",SUMIFS(tbl_input[필요수량],tbl_input[집계키_청],D4964)))</f>
        <v/>
      </c>
      <c r="D4964" t="str">
        <f>IFERROR(INDEX(tbl_input[집계키_청],ROW()-1),"")</f>
        <v/>
      </c>
    </row>
    <row r="4965" spans="1:4" x14ac:dyDescent="0.4">
      <c r="A4965" t="str">
        <f t="shared" si="154"/>
        <v/>
      </c>
      <c r="B4965" t="str">
        <f t="shared" si="155"/>
        <v/>
      </c>
      <c r="C4965" t="str">
        <f>IF(D4965="","",IF(COUNTIF($D$2:D4965,D4965)&gt;1,"",SUMIFS(tbl_input[필요수량],tbl_input[집계키_청],D4965)))</f>
        <v/>
      </c>
      <c r="D4965" t="str">
        <f>IFERROR(INDEX(tbl_input[집계키_청],ROW()-1),"")</f>
        <v/>
      </c>
    </row>
    <row r="4966" spans="1:4" x14ac:dyDescent="0.4">
      <c r="A4966" t="str">
        <f t="shared" si="154"/>
        <v/>
      </c>
      <c r="B4966" t="str">
        <f t="shared" si="155"/>
        <v/>
      </c>
      <c r="C4966" t="str">
        <f>IF(D4966="","",IF(COUNTIF($D$2:D4966,D4966)&gt;1,"",SUMIFS(tbl_input[필요수량],tbl_input[집계키_청],D4966)))</f>
        <v/>
      </c>
      <c r="D4966" t="str">
        <f>IFERROR(INDEX(tbl_input[집계키_청],ROW()-1),"")</f>
        <v/>
      </c>
    </row>
    <row r="4967" spans="1:4" x14ac:dyDescent="0.4">
      <c r="A4967" t="str">
        <f t="shared" si="154"/>
        <v/>
      </c>
      <c r="B4967" t="str">
        <f t="shared" si="155"/>
        <v/>
      </c>
      <c r="C4967" t="str">
        <f>IF(D4967="","",IF(COUNTIF($D$2:D4967,D4967)&gt;1,"",SUMIFS(tbl_input[필요수량],tbl_input[집계키_청],D4967)))</f>
        <v/>
      </c>
      <c r="D4967" t="str">
        <f>IFERROR(INDEX(tbl_input[집계키_청],ROW()-1),"")</f>
        <v/>
      </c>
    </row>
    <row r="4968" spans="1:4" x14ac:dyDescent="0.4">
      <c r="A4968" t="str">
        <f t="shared" si="154"/>
        <v/>
      </c>
      <c r="B4968" t="str">
        <f t="shared" si="155"/>
        <v/>
      </c>
      <c r="C4968" t="str">
        <f>IF(D4968="","",IF(COUNTIF($D$2:D4968,D4968)&gt;1,"",SUMIFS(tbl_input[필요수량],tbl_input[집계키_청],D4968)))</f>
        <v/>
      </c>
      <c r="D4968" t="str">
        <f>IFERROR(INDEX(tbl_input[집계키_청],ROW()-1),"")</f>
        <v/>
      </c>
    </row>
    <row r="4969" spans="1:4" x14ac:dyDescent="0.4">
      <c r="A4969" t="str">
        <f t="shared" si="154"/>
        <v/>
      </c>
      <c r="B4969" t="str">
        <f t="shared" si="155"/>
        <v/>
      </c>
      <c r="C4969" t="str">
        <f>IF(D4969="","",IF(COUNTIF($D$2:D4969,D4969)&gt;1,"",SUMIFS(tbl_input[필요수량],tbl_input[집계키_청],D4969)))</f>
        <v/>
      </c>
      <c r="D4969" t="str">
        <f>IFERROR(INDEX(tbl_input[집계키_청],ROW()-1),"")</f>
        <v/>
      </c>
    </row>
    <row r="4970" spans="1:4" x14ac:dyDescent="0.4">
      <c r="A4970" t="str">
        <f t="shared" si="154"/>
        <v/>
      </c>
      <c r="B4970" t="str">
        <f t="shared" si="155"/>
        <v/>
      </c>
      <c r="C4970" t="str">
        <f>IF(D4970="","",IF(COUNTIF($D$2:D4970,D4970)&gt;1,"",SUMIFS(tbl_input[필요수량],tbl_input[집계키_청],D4970)))</f>
        <v/>
      </c>
      <c r="D4970" t="str">
        <f>IFERROR(INDEX(tbl_input[집계키_청],ROW()-1),"")</f>
        <v/>
      </c>
    </row>
    <row r="4971" spans="1:4" x14ac:dyDescent="0.4">
      <c r="A4971" t="str">
        <f t="shared" si="154"/>
        <v/>
      </c>
      <c r="B4971" t="str">
        <f t="shared" si="155"/>
        <v/>
      </c>
      <c r="C4971" t="str">
        <f>IF(D4971="","",IF(COUNTIF($D$2:D4971,D4971)&gt;1,"",SUMIFS(tbl_input[필요수량],tbl_input[집계키_청],D4971)))</f>
        <v/>
      </c>
      <c r="D4971" t="str">
        <f>IFERROR(INDEX(tbl_input[집계키_청],ROW()-1),"")</f>
        <v/>
      </c>
    </row>
    <row r="4972" spans="1:4" x14ac:dyDescent="0.4">
      <c r="A4972" t="str">
        <f t="shared" si="154"/>
        <v/>
      </c>
      <c r="B4972" t="str">
        <f t="shared" si="155"/>
        <v/>
      </c>
      <c r="C4972" t="str">
        <f>IF(D4972="","",IF(COUNTIF($D$2:D4972,D4972)&gt;1,"",SUMIFS(tbl_input[필요수량],tbl_input[집계키_청],D4972)))</f>
        <v/>
      </c>
      <c r="D4972" t="str">
        <f>IFERROR(INDEX(tbl_input[집계키_청],ROW()-1),"")</f>
        <v/>
      </c>
    </row>
    <row r="4973" spans="1:4" x14ac:dyDescent="0.4">
      <c r="A4973" t="str">
        <f t="shared" si="154"/>
        <v/>
      </c>
      <c r="B4973" t="str">
        <f t="shared" si="155"/>
        <v/>
      </c>
      <c r="C4973" t="str">
        <f>IF(D4973="","",IF(COUNTIF($D$2:D4973,D4973)&gt;1,"",SUMIFS(tbl_input[필요수량],tbl_input[집계키_청],D4973)))</f>
        <v/>
      </c>
      <c r="D4973" t="str">
        <f>IFERROR(INDEX(tbl_input[집계키_청],ROW()-1),"")</f>
        <v/>
      </c>
    </row>
    <row r="4974" spans="1:4" x14ac:dyDescent="0.4">
      <c r="A4974" t="str">
        <f t="shared" si="154"/>
        <v/>
      </c>
      <c r="B4974" t="str">
        <f t="shared" si="155"/>
        <v/>
      </c>
      <c r="C4974" t="str">
        <f>IF(D4974="","",IF(COUNTIF($D$2:D4974,D4974)&gt;1,"",SUMIFS(tbl_input[필요수량],tbl_input[집계키_청],D4974)))</f>
        <v/>
      </c>
      <c r="D4974" t="str">
        <f>IFERROR(INDEX(tbl_input[집계키_청],ROW()-1),"")</f>
        <v/>
      </c>
    </row>
    <row r="4975" spans="1:4" x14ac:dyDescent="0.4">
      <c r="A4975" t="str">
        <f t="shared" si="154"/>
        <v/>
      </c>
      <c r="B4975" t="str">
        <f t="shared" si="155"/>
        <v/>
      </c>
      <c r="C4975" t="str">
        <f>IF(D4975="","",IF(COUNTIF($D$2:D4975,D4975)&gt;1,"",SUMIFS(tbl_input[필요수량],tbl_input[집계키_청],D4975)))</f>
        <v/>
      </c>
      <c r="D4975" t="str">
        <f>IFERROR(INDEX(tbl_input[집계키_청],ROW()-1),"")</f>
        <v/>
      </c>
    </row>
    <row r="4976" spans="1:4" x14ac:dyDescent="0.4">
      <c r="A4976" t="str">
        <f t="shared" si="154"/>
        <v/>
      </c>
      <c r="B4976" t="str">
        <f t="shared" si="155"/>
        <v/>
      </c>
      <c r="C4976" t="str">
        <f>IF(D4976="","",IF(COUNTIF($D$2:D4976,D4976)&gt;1,"",SUMIFS(tbl_input[필요수량],tbl_input[집계키_청],D4976)))</f>
        <v/>
      </c>
      <c r="D4976" t="str">
        <f>IFERROR(INDEX(tbl_input[집계키_청],ROW()-1),"")</f>
        <v/>
      </c>
    </row>
    <row r="4977" spans="1:4" x14ac:dyDescent="0.4">
      <c r="A4977" t="str">
        <f t="shared" si="154"/>
        <v/>
      </c>
      <c r="B4977" t="str">
        <f t="shared" si="155"/>
        <v/>
      </c>
      <c r="C4977" t="str">
        <f>IF(D4977="","",IF(COUNTIF($D$2:D4977,D4977)&gt;1,"",SUMIFS(tbl_input[필요수량],tbl_input[집계키_청],D4977)))</f>
        <v/>
      </c>
      <c r="D4977" t="str">
        <f>IFERROR(INDEX(tbl_input[집계키_청],ROW()-1),"")</f>
        <v/>
      </c>
    </row>
    <row r="4978" spans="1:4" x14ac:dyDescent="0.4">
      <c r="A4978" t="str">
        <f t="shared" si="154"/>
        <v/>
      </c>
      <c r="B4978" t="str">
        <f t="shared" si="155"/>
        <v/>
      </c>
      <c r="C4978" t="str">
        <f>IF(D4978="","",IF(COUNTIF($D$2:D4978,D4978)&gt;1,"",SUMIFS(tbl_input[필요수량],tbl_input[집계키_청],D4978)))</f>
        <v/>
      </c>
      <c r="D4978" t="str">
        <f>IFERROR(INDEX(tbl_input[집계키_청],ROW()-1),"")</f>
        <v/>
      </c>
    </row>
    <row r="4979" spans="1:4" x14ac:dyDescent="0.4">
      <c r="A4979" t="str">
        <f t="shared" si="154"/>
        <v/>
      </c>
      <c r="B4979" t="str">
        <f t="shared" si="155"/>
        <v/>
      </c>
      <c r="C4979" t="str">
        <f>IF(D4979="","",IF(COUNTIF($D$2:D4979,D4979)&gt;1,"",SUMIFS(tbl_input[필요수량],tbl_input[집계키_청],D4979)))</f>
        <v/>
      </c>
      <c r="D4979" t="str">
        <f>IFERROR(INDEX(tbl_input[집계키_청],ROW()-1),"")</f>
        <v/>
      </c>
    </row>
    <row r="4980" spans="1:4" x14ac:dyDescent="0.4">
      <c r="A4980" t="str">
        <f t="shared" si="154"/>
        <v/>
      </c>
      <c r="B4980" t="str">
        <f t="shared" si="155"/>
        <v/>
      </c>
      <c r="C4980" t="str">
        <f>IF(D4980="","",IF(COUNTIF($D$2:D4980,D4980)&gt;1,"",SUMIFS(tbl_input[필요수량],tbl_input[집계키_청],D4980)))</f>
        <v/>
      </c>
      <c r="D4980" t="str">
        <f>IFERROR(INDEX(tbl_input[집계키_청],ROW()-1),"")</f>
        <v/>
      </c>
    </row>
    <row r="4981" spans="1:4" x14ac:dyDescent="0.4">
      <c r="A4981" t="str">
        <f t="shared" si="154"/>
        <v/>
      </c>
      <c r="B4981" t="str">
        <f t="shared" si="155"/>
        <v/>
      </c>
      <c r="C4981" t="str">
        <f>IF(D4981="","",IF(COUNTIF($D$2:D4981,D4981)&gt;1,"",SUMIFS(tbl_input[필요수량],tbl_input[집계키_청],D4981)))</f>
        <v/>
      </c>
      <c r="D4981" t="str">
        <f>IFERROR(INDEX(tbl_input[집계키_청],ROW()-1),"")</f>
        <v/>
      </c>
    </row>
    <row r="4982" spans="1:4" x14ac:dyDescent="0.4">
      <c r="A4982" t="str">
        <f t="shared" si="154"/>
        <v/>
      </c>
      <c r="B4982" t="str">
        <f t="shared" si="155"/>
        <v/>
      </c>
      <c r="C4982" t="str">
        <f>IF(D4982="","",IF(COUNTIF($D$2:D4982,D4982)&gt;1,"",SUMIFS(tbl_input[필요수량],tbl_input[집계키_청],D4982)))</f>
        <v/>
      </c>
      <c r="D4982" t="str">
        <f>IFERROR(INDEX(tbl_input[집계키_청],ROW()-1),"")</f>
        <v/>
      </c>
    </row>
    <row r="4983" spans="1:4" x14ac:dyDescent="0.4">
      <c r="A4983" t="str">
        <f t="shared" si="154"/>
        <v/>
      </c>
      <c r="B4983" t="str">
        <f t="shared" si="155"/>
        <v/>
      </c>
      <c r="C4983" t="str">
        <f>IF(D4983="","",IF(COUNTIF($D$2:D4983,D4983)&gt;1,"",SUMIFS(tbl_input[필요수량],tbl_input[집계키_청],D4983)))</f>
        <v/>
      </c>
      <c r="D4983" t="str">
        <f>IFERROR(INDEX(tbl_input[집계키_청],ROW()-1),"")</f>
        <v/>
      </c>
    </row>
    <row r="4984" spans="1:4" x14ac:dyDescent="0.4">
      <c r="A4984" t="str">
        <f t="shared" si="154"/>
        <v/>
      </c>
      <c r="B4984" t="str">
        <f t="shared" si="155"/>
        <v/>
      </c>
      <c r="C4984" t="str">
        <f>IF(D4984="","",IF(COUNTIF($D$2:D4984,D4984)&gt;1,"",SUMIFS(tbl_input[필요수량],tbl_input[집계키_청],D4984)))</f>
        <v/>
      </c>
      <c r="D4984" t="str">
        <f>IFERROR(INDEX(tbl_input[집계키_청],ROW()-1),"")</f>
        <v/>
      </c>
    </row>
    <row r="4985" spans="1:4" x14ac:dyDescent="0.4">
      <c r="A4985" t="str">
        <f t="shared" si="154"/>
        <v/>
      </c>
      <c r="B4985" t="str">
        <f t="shared" si="155"/>
        <v/>
      </c>
      <c r="C4985" t="str">
        <f>IF(D4985="","",IF(COUNTIF($D$2:D4985,D4985)&gt;1,"",SUMIFS(tbl_input[필요수량],tbl_input[집계키_청],D4985)))</f>
        <v/>
      </c>
      <c r="D4985" t="str">
        <f>IFERROR(INDEX(tbl_input[집계키_청],ROW()-1),"")</f>
        <v/>
      </c>
    </row>
    <row r="4986" spans="1:4" x14ac:dyDescent="0.4">
      <c r="A4986" t="str">
        <f t="shared" si="154"/>
        <v/>
      </c>
      <c r="B4986" t="str">
        <f t="shared" si="155"/>
        <v/>
      </c>
      <c r="C4986" t="str">
        <f>IF(D4986="","",IF(COUNTIF($D$2:D4986,D4986)&gt;1,"",SUMIFS(tbl_input[필요수량],tbl_input[집계키_청],D4986)))</f>
        <v/>
      </c>
      <c r="D4986" t="str">
        <f>IFERROR(INDEX(tbl_input[집계키_청],ROW()-1),"")</f>
        <v/>
      </c>
    </row>
    <row r="4987" spans="1:4" x14ac:dyDescent="0.4">
      <c r="A4987" t="str">
        <f t="shared" si="154"/>
        <v/>
      </c>
      <c r="B4987" t="str">
        <f t="shared" si="155"/>
        <v/>
      </c>
      <c r="C4987" t="str">
        <f>IF(D4987="","",IF(COUNTIF($D$2:D4987,D4987)&gt;1,"",SUMIFS(tbl_input[필요수량],tbl_input[집계키_청],D4987)))</f>
        <v/>
      </c>
      <c r="D4987" t="str">
        <f>IFERROR(INDEX(tbl_input[집계키_청],ROW()-1),"")</f>
        <v/>
      </c>
    </row>
    <row r="4988" spans="1:4" x14ac:dyDescent="0.4">
      <c r="A4988" t="str">
        <f t="shared" si="154"/>
        <v/>
      </c>
      <c r="B4988" t="str">
        <f t="shared" si="155"/>
        <v/>
      </c>
      <c r="C4988" t="str">
        <f>IF(D4988="","",IF(COUNTIF($D$2:D4988,D4988)&gt;1,"",SUMIFS(tbl_input[필요수량],tbl_input[집계키_청],D4988)))</f>
        <v/>
      </c>
      <c r="D4988" t="str">
        <f>IFERROR(INDEX(tbl_input[집계키_청],ROW()-1),"")</f>
        <v/>
      </c>
    </row>
    <row r="4989" spans="1:4" x14ac:dyDescent="0.4">
      <c r="A4989" t="str">
        <f t="shared" si="154"/>
        <v/>
      </c>
      <c r="B4989" t="str">
        <f t="shared" si="155"/>
        <v/>
      </c>
      <c r="C4989" t="str">
        <f>IF(D4989="","",IF(COUNTIF($D$2:D4989,D4989)&gt;1,"",SUMIFS(tbl_input[필요수량],tbl_input[집계키_청],D4989)))</f>
        <v/>
      </c>
      <c r="D4989" t="str">
        <f>IFERROR(INDEX(tbl_input[집계키_청],ROW()-1),"")</f>
        <v/>
      </c>
    </row>
    <row r="4990" spans="1:4" x14ac:dyDescent="0.4">
      <c r="A4990" t="str">
        <f t="shared" si="154"/>
        <v/>
      </c>
      <c r="B4990" t="str">
        <f t="shared" si="155"/>
        <v/>
      </c>
      <c r="C4990" t="str">
        <f>IF(D4990="","",IF(COUNTIF($D$2:D4990,D4990)&gt;1,"",SUMIFS(tbl_input[필요수량],tbl_input[집계키_청],D4990)))</f>
        <v/>
      </c>
      <c r="D4990" t="str">
        <f>IFERROR(INDEX(tbl_input[집계키_청],ROW()-1),"")</f>
        <v/>
      </c>
    </row>
    <row r="4991" spans="1:4" x14ac:dyDescent="0.4">
      <c r="A4991" t="str">
        <f t="shared" si="154"/>
        <v/>
      </c>
      <c r="B4991" t="str">
        <f t="shared" si="155"/>
        <v/>
      </c>
      <c r="C4991" t="str">
        <f>IF(D4991="","",IF(COUNTIF($D$2:D4991,D4991)&gt;1,"",SUMIFS(tbl_input[필요수량],tbl_input[집계키_청],D4991)))</f>
        <v/>
      </c>
      <c r="D4991" t="str">
        <f>IFERROR(INDEX(tbl_input[집계키_청],ROW()-1),"")</f>
        <v/>
      </c>
    </row>
    <row r="4992" spans="1:4" x14ac:dyDescent="0.4">
      <c r="A4992" t="str">
        <f t="shared" si="154"/>
        <v/>
      </c>
      <c r="B4992" t="str">
        <f t="shared" si="155"/>
        <v/>
      </c>
      <c r="C4992" t="str">
        <f>IF(D4992="","",IF(COUNTIF($D$2:D4992,D4992)&gt;1,"",SUMIFS(tbl_input[필요수량],tbl_input[집계키_청],D4992)))</f>
        <v/>
      </c>
      <c r="D4992" t="str">
        <f>IFERROR(INDEX(tbl_input[집계키_청],ROW()-1),"")</f>
        <v/>
      </c>
    </row>
    <row r="4993" spans="1:4" x14ac:dyDescent="0.4">
      <c r="A4993" t="str">
        <f t="shared" si="154"/>
        <v/>
      </c>
      <c r="B4993" t="str">
        <f t="shared" si="155"/>
        <v/>
      </c>
      <c r="C4993" t="str">
        <f>IF(D4993="","",IF(COUNTIF($D$2:D4993,D4993)&gt;1,"",SUMIFS(tbl_input[필요수량],tbl_input[집계키_청],D4993)))</f>
        <v/>
      </c>
      <c r="D4993" t="str">
        <f>IFERROR(INDEX(tbl_input[집계키_청],ROW()-1),"")</f>
        <v/>
      </c>
    </row>
    <row r="4994" spans="1:4" x14ac:dyDescent="0.4">
      <c r="A4994" t="str">
        <f t="shared" ref="A4994:A5000" si="156">IF(D4994="","",LEFT(D4994,FIND("♦",D4994)-1))</f>
        <v/>
      </c>
      <c r="B4994" t="str">
        <f t="shared" ref="B4994:B5000" si="157">IF(D4994="","",MID(D4994,FIND("♦",D4994)+1,999))</f>
        <v/>
      </c>
      <c r="C4994" t="str">
        <f>IF(D4994="","",IF(COUNTIF($D$2:D4994,D4994)&gt;1,"",SUMIFS(tbl_input[필요수량],tbl_input[집계키_청],D4994)))</f>
        <v/>
      </c>
      <c r="D4994" t="str">
        <f>IFERROR(INDEX(tbl_input[집계키_청],ROW()-1),"")</f>
        <v/>
      </c>
    </row>
    <row r="4995" spans="1:4" x14ac:dyDescent="0.4">
      <c r="A4995" t="str">
        <f t="shared" si="156"/>
        <v/>
      </c>
      <c r="B4995" t="str">
        <f t="shared" si="157"/>
        <v/>
      </c>
      <c r="C4995" t="str">
        <f>IF(D4995="","",IF(COUNTIF($D$2:D4995,D4995)&gt;1,"",SUMIFS(tbl_input[필요수량],tbl_input[집계키_청],D4995)))</f>
        <v/>
      </c>
      <c r="D4995" t="str">
        <f>IFERROR(INDEX(tbl_input[집계키_청],ROW()-1),"")</f>
        <v/>
      </c>
    </row>
    <row r="4996" spans="1:4" x14ac:dyDescent="0.4">
      <c r="A4996" t="str">
        <f t="shared" si="156"/>
        <v/>
      </c>
      <c r="B4996" t="str">
        <f t="shared" si="157"/>
        <v/>
      </c>
      <c r="C4996" t="str">
        <f>IF(D4996="","",IF(COUNTIF($D$2:D4996,D4996)&gt;1,"",SUMIFS(tbl_input[필요수량],tbl_input[집계키_청],D4996)))</f>
        <v/>
      </c>
      <c r="D4996" t="str">
        <f>IFERROR(INDEX(tbl_input[집계키_청],ROW()-1),"")</f>
        <v/>
      </c>
    </row>
    <row r="4997" spans="1:4" x14ac:dyDescent="0.4">
      <c r="A4997" t="str">
        <f t="shared" si="156"/>
        <v/>
      </c>
      <c r="B4997" t="str">
        <f t="shared" si="157"/>
        <v/>
      </c>
      <c r="C4997" t="str">
        <f>IF(D4997="","",IF(COUNTIF($D$2:D4997,D4997)&gt;1,"",SUMIFS(tbl_input[필요수량],tbl_input[집계키_청],D4997)))</f>
        <v/>
      </c>
      <c r="D4997" t="str">
        <f>IFERROR(INDEX(tbl_input[집계키_청],ROW()-1),"")</f>
        <v/>
      </c>
    </row>
    <row r="4998" spans="1:4" x14ac:dyDescent="0.4">
      <c r="A4998" t="str">
        <f t="shared" si="156"/>
        <v/>
      </c>
      <c r="B4998" t="str">
        <f t="shared" si="157"/>
        <v/>
      </c>
      <c r="C4998" t="str">
        <f>IF(D4998="","",IF(COUNTIF($D$2:D4998,D4998)&gt;1,"",SUMIFS(tbl_input[필요수량],tbl_input[집계키_청],D4998)))</f>
        <v/>
      </c>
      <c r="D4998" t="str">
        <f>IFERROR(INDEX(tbl_input[집계키_청],ROW()-1),"")</f>
        <v/>
      </c>
    </row>
    <row r="4999" spans="1:4" x14ac:dyDescent="0.4">
      <c r="A4999" t="str">
        <f t="shared" si="156"/>
        <v/>
      </c>
      <c r="B4999" t="str">
        <f t="shared" si="157"/>
        <v/>
      </c>
      <c r="C4999" t="str">
        <f>IF(D4999="","",IF(COUNTIF($D$2:D4999,D4999)&gt;1,"",SUMIFS(tbl_input[필요수량],tbl_input[집계키_청],D4999)))</f>
        <v/>
      </c>
      <c r="D4999" t="str">
        <f>IFERROR(INDEX(tbl_input[집계키_청],ROW()-1),"")</f>
        <v/>
      </c>
    </row>
    <row r="5000" spans="1:4" x14ac:dyDescent="0.4">
      <c r="A5000" t="str">
        <f t="shared" si="156"/>
        <v/>
      </c>
      <c r="B5000" t="str">
        <f t="shared" si="157"/>
        <v/>
      </c>
      <c r="C5000" t="str">
        <f>IF(D5000="","",IF(COUNTIF($D$2:D5000,D5000)&gt;1,"",SUMIFS(tbl_input[필요수량],tbl_input[집계키_청],D5000)))</f>
        <v/>
      </c>
      <c r="D5000" t="str">
        <f>IFERROR(INDEX(tbl_input[집계키_청],ROW()-1),"")</f>
        <v/>
      </c>
    </row>
  </sheetData>
  <sheetProtection sheet="1" objects="1" scenarios="1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7A92-5D16-4E24-91A4-C9BAEFD9FAA8}">
  <dimension ref="A1:J2"/>
  <sheetViews>
    <sheetView workbookViewId="0">
      <pane ySplit="1" topLeftCell="A2" activePane="bottomLeft" state="frozenSplit"/>
      <selection pane="bottomLeft"/>
    </sheetView>
  </sheetViews>
  <sheetFormatPr defaultRowHeight="17.399999999999999" x14ac:dyDescent="0.4"/>
  <cols>
    <col min="1" max="1" width="5.19921875" bestFit="1" customWidth="1"/>
    <col min="2" max="3" width="7" bestFit="1" customWidth="1"/>
    <col min="4" max="4" width="10.59765625" bestFit="1" customWidth="1"/>
    <col min="6" max="6" width="10.59765625" style="2" bestFit="1" customWidth="1"/>
    <col min="7" max="7" width="11.796875" bestFit="1" customWidth="1"/>
    <col min="8" max="8" width="10.59765625" hidden="1" customWidth="1"/>
    <col min="9" max="10" width="12.3984375" hidden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H2" t="str">
        <f>tbl_input[[#This Row],[품목코드]]&amp;"♦"&amp;tbl_input[[#This Row],[품목명]]</f>
        <v>♦</v>
      </c>
      <c r="I2" t="str">
        <f>tbl_input[[#This Row],[지청]]&amp;"♦"&amp;tbl_input[[#This Row],[품목코드]]&amp;"♦"&amp;tbl_input[[#This Row],[품목명]]</f>
        <v>♦♦</v>
      </c>
      <c r="J2" t="str">
        <f>tbl_input[[#This Row],[지청]]&amp;"♦"&amp;tbl_input[[#This Row],[센터]]&amp;"♦"&amp;tbl_input[[#This Row],[품목코드]]&amp;"♦"&amp;tbl_input[[#This Row],[품목명]]</f>
        <v>♦♦♦</v>
      </c>
    </row>
  </sheetData>
  <phoneticPr fontId="2" type="noConversion"/>
  <dataValidations count="5">
    <dataValidation type="custom" allowBlank="1" showDropDown="1" showInputMessage="1" showErrorMessage="1" errorTitle="청 필수 입력" error="이 행을 입력할 때 청은 필수입니다." sqref="A2:A1048576" xr:uid="{16221596-69A7-43AC-B28B-92AECB90C06E}">
      <formula1>OR(COUNTA($A2:$F2)=0,LEN(TRIM(A2))&gt;0)</formula1>
    </dataValidation>
    <dataValidation type="custom" allowBlank="1" showDropDown="1" showInputMessage="1" showErrorMessage="1" errorTitle="지청 필수 입력" error="이 행을 입력할 때 지청은 필수입니다." sqref="B2:B1048576" xr:uid="{7DEAD559-BCFE-470D-BD4C-D110FE6641B7}">
      <formula1>OR(COUNTA($A2:$F2)=0,LEN(TRIM(B2))&gt;0)</formula1>
    </dataValidation>
    <dataValidation type="custom" allowBlank="1" showDropDown="1" showInputMessage="1" showErrorMessage="1" errorTitle="센터 필수 입력" error="이 행을 입력할 때 센터는 필수입니다." sqref="C2:C1048576" xr:uid="{2FC723E1-F970-437C-87C2-BA511FACC835}">
      <formula1>OR(COUNTA($A2:$F2)=0,LEN(TRIM(C2))&gt;0)</formula1>
    </dataValidation>
    <dataValidation type="custom" allowBlank="1" showDropDown="1" showInputMessage="1" showErrorMessage="1" errorTitle="품목명 필수 입력" error="이 행을 입력할 때 품목명은 필수입니다." sqref="E2:E1048576" xr:uid="{B57A57F9-3CF2-4278-8191-9F26790BD20D}">
      <formula1>OR(COUNTA($A2:$F2)=0,LEN(TRIM(E2))&gt;0)</formula1>
    </dataValidation>
    <dataValidation type="custom" allowBlank="1" showDropDown="1" showInputMessage="1" showErrorMessage="1" errorTitle="필요수량 숫자 입력" error="필요수량은 숫자만 입력할 수 있습니다. (0 이상)" sqref="F2:F1048576" xr:uid="{0BDD841F-0F01-4070-A01D-4BB57046DDA7}">
      <formula1>OR(COUNTA($A2:$F2)=0,AND(ISNUMBER(F2),F2&gt;=0))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취합_센터원본</vt:lpstr>
      <vt:lpstr>취합_지청별</vt:lpstr>
      <vt:lpstr>취합_청전체</vt:lpstr>
      <vt:lpstr>센터입력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notebiz001</dc:creator>
  <cp:lastModifiedBy>notebiz001</cp:lastModifiedBy>
  <dcterms:created xsi:type="dcterms:W3CDTF">2026-04-09T02:28:09Z</dcterms:created>
  <dcterms:modified xsi:type="dcterms:W3CDTF">2026-04-09T02:28:11Z</dcterms:modified>
</cp:coreProperties>
</file>